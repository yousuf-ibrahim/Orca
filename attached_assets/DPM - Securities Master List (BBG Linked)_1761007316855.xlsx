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ommon\Investments - 2024\DPM and High Value Accounts Live Positions\"/>
    </mc:Choice>
  </mc:AlternateContent>
  <xr:revisionPtr revIDLastSave="0" documentId="13_ncr:1_{C28A8510-761C-49A4-ACEF-69DF1AB52DA5}" xr6:coauthVersionLast="47" xr6:coauthVersionMax="47" xr10:uidLastSave="{00000000-0000-0000-0000-000000000000}"/>
  <bookViews>
    <workbookView xWindow="-120" yWindow="-120" windowWidth="29040" windowHeight="15720" activeTab="3" xr2:uid="{E980921F-58BE-454B-A63E-F6E2069361EF}"/>
  </bookViews>
  <sheets>
    <sheet name="Cover" sheetId="6" r:id="rId1"/>
    <sheet name="Cash" sheetId="7" r:id="rId2"/>
    <sheet name="Bonds" sheetId="1" r:id="rId3"/>
    <sheet name="Equities" sheetId="2" r:id="rId4"/>
    <sheet name="MF and ETFs" sheetId="3" r:id="rId5"/>
    <sheet name="Commodities" sheetId="4" r:id="rId6"/>
    <sheet name="Structured Products" sheetId="5" r:id="rId7"/>
    <sheet name="Loans" sheetId="8" r:id="rId8"/>
    <sheet name="Loans (USD and HKD)" sheetId="9" r:id="rId9"/>
  </sheets>
  <externalReferences>
    <externalReference r:id="rId10"/>
    <externalReference r:id="rId11"/>
  </externalReferences>
  <definedNames>
    <definedName name="_xlnm._FilterDatabase" localSheetId="2" hidden="1">Bonds!$A$2:$BL$168</definedName>
    <definedName name="_xlnm._FilterDatabase" localSheetId="1" hidden="1">Cash!$A$4:$G$4</definedName>
    <definedName name="_xlnm._FilterDatabase" localSheetId="5" hidden="1">Commodities!$A$2:$BL$2</definedName>
    <definedName name="_xlnm._FilterDatabase" localSheetId="3" hidden="1">Equities!$A$2:$AX$303</definedName>
    <definedName name="_xlnm._FilterDatabase" localSheetId="7" hidden="1">Loans!$A$1:$I$48</definedName>
    <definedName name="_xlnm._FilterDatabase" localSheetId="8" hidden="1">'Loans (USD and HKD)'!$A$1:$J$1</definedName>
    <definedName name="_xlnm._FilterDatabase" localSheetId="4" hidden="1">'MF and ETFs'!$A$2:$BH$141</definedName>
    <definedName name="_xlnm._FilterDatabase" localSheetId="6" hidden="1">'Structured Products'!$A$2:$BF$2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02" i="2" l="1"/>
  <c r="BC302" i="2" a="1"/>
  <c r="AV302" i="2" a="1"/>
  <c r="AV302" i="2" l="1"/>
  <c r="BC302" i="2"/>
  <c r="AU302" i="2" a="1"/>
  <c r="AU302" i="2" l="1"/>
  <c r="AW302" i="2" s="1"/>
  <c r="AT302" i="2" a="1"/>
  <c r="AS302" i="2"/>
  <c r="AR302" i="2"/>
  <c r="AQ302" i="2"/>
  <c r="AP302" i="2"/>
  <c r="AO302" i="2"/>
  <c r="AN302" i="2"/>
  <c r="AT302" i="2" l="1"/>
  <c r="AL302" i="2"/>
  <c r="AK302" i="2" a="1"/>
  <c r="AJ302" i="2"/>
  <c r="AI302" i="2"/>
  <c r="AH302" i="2"/>
  <c r="AK302" i="2" l="1"/>
  <c r="AG302" i="2" a="1"/>
  <c r="AG302" i="2" l="1"/>
  <c r="AF302" i="2" a="1"/>
  <c r="AF302" i="2" l="1"/>
  <c r="AE302" i="2"/>
  <c r="AD302" i="2" a="1"/>
  <c r="AD302" i="2" l="1"/>
  <c r="AC302" i="2" a="1"/>
  <c r="AC302" i="2" l="1"/>
  <c r="AA302" i="2"/>
  <c r="W302" i="2" a="1"/>
  <c r="W302" i="2" l="1"/>
  <c r="V302" i="2" a="1"/>
  <c r="V302" i="2" l="1"/>
  <c r="N302" i="2" a="1"/>
  <c r="N302" i="2" l="1"/>
  <c r="M302" i="2" a="1"/>
  <c r="M302" i="2" l="1"/>
  <c r="L302" i="2" a="1"/>
  <c r="L302" i="2" l="1"/>
  <c r="K302" i="2" a="1"/>
  <c r="J302" i="2"/>
  <c r="I302" i="2"/>
  <c r="K302" i="2" l="1"/>
  <c r="H302" i="2" a="1"/>
  <c r="F302" i="2"/>
  <c r="E302" i="2"/>
  <c r="Q302" i="2" a="1"/>
  <c r="R302" i="2"/>
  <c r="Q302" i="2" l="1"/>
  <c r="H302" i="2"/>
  <c r="AM302" i="2" l="1"/>
  <c r="AB302" i="2"/>
  <c r="AX301" i="2"/>
  <c r="S302" i="2"/>
  <c r="BC301" i="2" a="1"/>
  <c r="AV301" i="2" a="1"/>
  <c r="AV301" i="2" l="1"/>
  <c r="BC301" i="2"/>
  <c r="Z302" i="2"/>
  <c r="X302" i="2"/>
  <c r="Y302" i="2"/>
  <c r="T302" i="2"/>
  <c r="U302" i="2" s="1"/>
  <c r="AU301" i="2" a="1"/>
  <c r="AU301" i="2" l="1"/>
  <c r="AW301" i="2" s="1"/>
  <c r="AT301" i="2" a="1"/>
  <c r="AS301" i="2"/>
  <c r="AR301" i="2"/>
  <c r="AQ301" i="2"/>
  <c r="AP301" i="2"/>
  <c r="AO301" i="2"/>
  <c r="AN301" i="2"/>
  <c r="AT301" i="2" l="1"/>
  <c r="AL301" i="2"/>
  <c r="AK301" i="2" a="1"/>
  <c r="AJ301" i="2"/>
  <c r="AI301" i="2"/>
  <c r="AH301" i="2"/>
  <c r="AK301" i="2" l="1"/>
  <c r="AG301" i="2" a="1"/>
  <c r="AG301" i="2" l="1"/>
  <c r="AF301" i="2" a="1"/>
  <c r="AF301" i="2" l="1"/>
  <c r="AE301" i="2"/>
  <c r="AD301" i="2" a="1"/>
  <c r="AD301" i="2" l="1"/>
  <c r="AC301" i="2" a="1"/>
  <c r="AC301" i="2" l="1"/>
  <c r="AA301" i="2"/>
  <c r="W301" i="2" a="1"/>
  <c r="W301" i="2" l="1"/>
  <c r="V301" i="2" a="1"/>
  <c r="V301" i="2" l="1"/>
  <c r="N301" i="2" a="1"/>
  <c r="N301" i="2" l="1"/>
  <c r="M301" i="2" a="1"/>
  <c r="M301" i="2" l="1"/>
  <c r="L301" i="2" a="1"/>
  <c r="L301" i="2" l="1"/>
  <c r="K301" i="2" a="1"/>
  <c r="J301" i="2"/>
  <c r="I301" i="2"/>
  <c r="K301" i="2" l="1"/>
  <c r="H301" i="2" a="1"/>
  <c r="F301" i="2"/>
  <c r="E301" i="2"/>
  <c r="Q301" i="2" a="1"/>
  <c r="R301" i="2"/>
  <c r="Q301" i="2" l="1"/>
  <c r="H301" i="2"/>
  <c r="AM301" i="2" l="1"/>
  <c r="AB301" i="2"/>
  <c r="AX300" i="2"/>
  <c r="BC300" i="2" a="1"/>
  <c r="S301" i="2"/>
  <c r="AV300" i="2" a="1"/>
  <c r="AV300" i="2" l="1"/>
  <c r="Z301" i="2"/>
  <c r="Y301" i="2"/>
  <c r="X301" i="2"/>
  <c r="T301" i="2"/>
  <c r="U301" i="2" s="1"/>
  <c r="BC300" i="2"/>
  <c r="AU300" i="2" a="1"/>
  <c r="AU300" i="2" l="1"/>
  <c r="AW300" i="2" s="1"/>
  <c r="AT300" i="2" a="1"/>
  <c r="AS300" i="2"/>
  <c r="AR300" i="2"/>
  <c r="AQ300" i="2"/>
  <c r="AP300" i="2"/>
  <c r="AO300" i="2"/>
  <c r="AN300" i="2"/>
  <c r="AT300" i="2" l="1"/>
  <c r="AL300" i="2"/>
  <c r="AK300" i="2" a="1"/>
  <c r="AJ300" i="2"/>
  <c r="AI300" i="2"/>
  <c r="AH300" i="2"/>
  <c r="AK300" i="2" l="1"/>
  <c r="AG300" i="2" a="1"/>
  <c r="AG300" i="2" l="1"/>
  <c r="AF300" i="2" a="1"/>
  <c r="AF300" i="2" l="1"/>
  <c r="AE300" i="2"/>
  <c r="AD300" i="2" a="1"/>
  <c r="AD300" i="2" l="1"/>
  <c r="AC300" i="2" a="1"/>
  <c r="AC300" i="2" l="1"/>
  <c r="AA300" i="2"/>
  <c r="W300" i="2" a="1"/>
  <c r="W300" i="2" l="1"/>
  <c r="V300" i="2" a="1"/>
  <c r="V300" i="2" l="1"/>
  <c r="N300" i="2" a="1"/>
  <c r="N300" i="2" l="1"/>
  <c r="M300" i="2" a="1"/>
  <c r="M300" i="2" l="1"/>
  <c r="L300" i="2" a="1"/>
  <c r="L300" i="2" l="1"/>
  <c r="K300" i="2" a="1"/>
  <c r="J300" i="2"/>
  <c r="I300" i="2"/>
  <c r="K300" i="2" l="1"/>
  <c r="H300" i="2" a="1"/>
  <c r="F300" i="2"/>
  <c r="E300" i="2"/>
  <c r="Q300" i="2" a="1"/>
  <c r="R300" i="2"/>
  <c r="Q300" i="2" l="1"/>
  <c r="H300" i="2"/>
  <c r="AM300" i="2" l="1"/>
  <c r="AB300" i="2"/>
  <c r="AX299" i="2"/>
  <c r="BC299" i="2" a="1"/>
  <c r="S300" i="2"/>
  <c r="AV299" i="2" a="1"/>
  <c r="AV299" i="2" l="1"/>
  <c r="Z300" i="2"/>
  <c r="X300" i="2"/>
  <c r="Y300" i="2"/>
  <c r="T300" i="2"/>
  <c r="U300" i="2" s="1"/>
  <c r="BC299" i="2"/>
  <c r="AU299" i="2" a="1"/>
  <c r="AU299" i="2" l="1"/>
  <c r="AW299" i="2" s="1"/>
  <c r="AT299" i="2" a="1"/>
  <c r="AS299" i="2"/>
  <c r="AR299" i="2"/>
  <c r="AQ299" i="2"/>
  <c r="AP299" i="2"/>
  <c r="AO299" i="2"/>
  <c r="AN299" i="2"/>
  <c r="AT299" i="2" l="1"/>
  <c r="AL299" i="2"/>
  <c r="AK299" i="2" a="1"/>
  <c r="AJ299" i="2"/>
  <c r="AI299" i="2"/>
  <c r="AH299" i="2"/>
  <c r="AK299" i="2" l="1"/>
  <c r="AG299" i="2" a="1"/>
  <c r="AG299" i="2" l="1"/>
  <c r="AF299" i="2" a="1"/>
  <c r="AF299" i="2" l="1"/>
  <c r="AE299" i="2"/>
  <c r="AD299" i="2" a="1"/>
  <c r="AD299" i="2" l="1"/>
  <c r="AC299" i="2" a="1"/>
  <c r="AC299" i="2" l="1"/>
  <c r="AA299" i="2"/>
  <c r="W299" i="2" a="1"/>
  <c r="W299" i="2" l="1"/>
  <c r="V299" i="2" a="1"/>
  <c r="V299" i="2" l="1"/>
  <c r="N299" i="2" a="1"/>
  <c r="N299" i="2" l="1"/>
  <c r="M299" i="2" a="1"/>
  <c r="M299" i="2" l="1"/>
  <c r="L299" i="2" a="1"/>
  <c r="L299" i="2" l="1"/>
  <c r="K299" i="2" a="1"/>
  <c r="J299" i="2"/>
  <c r="I299" i="2"/>
  <c r="K299" i="2" l="1"/>
  <c r="H299" i="2" a="1"/>
  <c r="F299" i="2"/>
  <c r="E299" i="2"/>
  <c r="Q299" i="2" a="1"/>
  <c r="R299" i="2"/>
  <c r="Q299" i="2" l="1"/>
  <c r="H299" i="2"/>
  <c r="AM299" i="2" l="1"/>
  <c r="AB299" i="2"/>
  <c r="AX298" i="2"/>
  <c r="S299" i="2"/>
  <c r="BC298" i="2" a="1"/>
  <c r="AV298" i="2" a="1"/>
  <c r="AV298" i="2" l="1"/>
  <c r="BC298" i="2"/>
  <c r="Z299" i="2"/>
  <c r="Y299" i="2"/>
  <c r="X299" i="2"/>
  <c r="T299" i="2"/>
  <c r="U299" i="2" s="1"/>
  <c r="AU298" i="2" a="1"/>
  <c r="AU298" i="2" l="1"/>
  <c r="AW298" i="2" s="1"/>
  <c r="AT298" i="2" a="1"/>
  <c r="AS298" i="2"/>
  <c r="AR298" i="2"/>
  <c r="AQ298" i="2"/>
  <c r="AP298" i="2"/>
  <c r="AO298" i="2"/>
  <c r="AN298" i="2"/>
  <c r="AT298" i="2" l="1"/>
  <c r="AL298" i="2"/>
  <c r="AK298" i="2" a="1"/>
  <c r="AJ298" i="2"/>
  <c r="AI298" i="2"/>
  <c r="AH298" i="2"/>
  <c r="AK298" i="2" l="1"/>
  <c r="AG298" i="2" a="1"/>
  <c r="AG298" i="2" l="1"/>
  <c r="AF298" i="2" a="1"/>
  <c r="AF298" i="2" l="1"/>
  <c r="AE298" i="2"/>
  <c r="AD298" i="2" a="1"/>
  <c r="AD298" i="2" l="1"/>
  <c r="AC298" i="2" a="1"/>
  <c r="AC298" i="2" l="1"/>
  <c r="AA298" i="2"/>
  <c r="W298" i="2" a="1"/>
  <c r="W298" i="2" l="1"/>
  <c r="V298" i="2" a="1"/>
  <c r="V298" i="2" l="1"/>
  <c r="N298" i="2" a="1"/>
  <c r="N298" i="2" l="1"/>
  <c r="M298" i="2" a="1"/>
  <c r="M298" i="2" l="1"/>
  <c r="L298" i="2" a="1"/>
  <c r="L298" i="2" l="1"/>
  <c r="K298" i="2" a="1"/>
  <c r="J298" i="2"/>
  <c r="I298" i="2"/>
  <c r="K298" i="2" l="1"/>
  <c r="H298" i="2" a="1"/>
  <c r="F298" i="2"/>
  <c r="E298" i="2"/>
  <c r="Q298" i="2" a="1"/>
  <c r="R298" i="2"/>
  <c r="Q298" i="2" l="1"/>
  <c r="H298" i="2"/>
  <c r="AM298" i="2" l="1"/>
  <c r="AB298" i="2"/>
  <c r="AX297" i="2"/>
  <c r="S298" i="2"/>
  <c r="BC297" i="2" a="1"/>
  <c r="AV297" i="2" a="1"/>
  <c r="AV297" i="2" l="1"/>
  <c r="BC297" i="2"/>
  <c r="Z298" i="2"/>
  <c r="Y298" i="2"/>
  <c r="X298" i="2"/>
  <c r="T298" i="2"/>
  <c r="U298" i="2" s="1"/>
  <c r="AU297" i="2" a="1"/>
  <c r="AU297" i="2" l="1"/>
  <c r="AW297" i="2" s="1"/>
  <c r="AT297" i="2" a="1"/>
  <c r="AS297" i="2"/>
  <c r="AR297" i="2"/>
  <c r="AQ297" i="2"/>
  <c r="AP297" i="2"/>
  <c r="AO297" i="2"/>
  <c r="AN297" i="2"/>
  <c r="AT297" i="2" l="1"/>
  <c r="AL297" i="2"/>
  <c r="AK297" i="2" a="1"/>
  <c r="AJ297" i="2"/>
  <c r="AI297" i="2"/>
  <c r="AH297" i="2"/>
  <c r="AK297" i="2" l="1"/>
  <c r="AG297" i="2" a="1"/>
  <c r="AG297" i="2" l="1"/>
  <c r="AF297" i="2" a="1"/>
  <c r="AF297" i="2" l="1"/>
  <c r="AE297" i="2"/>
  <c r="AD297" i="2" a="1"/>
  <c r="AD297" i="2" l="1"/>
  <c r="AC297" i="2" a="1"/>
  <c r="AC297" i="2" l="1"/>
  <c r="AA297" i="2"/>
  <c r="W297" i="2" a="1"/>
  <c r="W297" i="2" l="1"/>
  <c r="V297" i="2" a="1"/>
  <c r="V297" i="2" l="1"/>
  <c r="N297" i="2" a="1"/>
  <c r="N297" i="2" l="1"/>
  <c r="M297" i="2" a="1"/>
  <c r="M297" i="2" l="1"/>
  <c r="L297" i="2" a="1"/>
  <c r="L297" i="2" l="1"/>
  <c r="K297" i="2" a="1"/>
  <c r="J297" i="2"/>
  <c r="I297" i="2"/>
  <c r="K297" i="2" l="1"/>
  <c r="H297" i="2" a="1"/>
  <c r="F297" i="2"/>
  <c r="E297" i="2"/>
  <c r="Q297" i="2" a="1"/>
  <c r="R297" i="2"/>
  <c r="Q297" i="2" l="1"/>
  <c r="H297" i="2"/>
  <c r="AM297" i="2" l="1"/>
  <c r="AB297" i="2"/>
  <c r="AX296" i="2"/>
  <c r="S297" i="2"/>
  <c r="BC296" i="2" a="1"/>
  <c r="AV296" i="2" a="1"/>
  <c r="AV296" i="2" l="1"/>
  <c r="BC296" i="2"/>
  <c r="Z297" i="2"/>
  <c r="Y297" i="2"/>
  <c r="X297" i="2"/>
  <c r="T297" i="2"/>
  <c r="U297" i="2" s="1"/>
  <c r="AU296" i="2" a="1"/>
  <c r="AU296" i="2" l="1"/>
  <c r="AW296" i="2" s="1"/>
  <c r="AT296" i="2" a="1"/>
  <c r="AS296" i="2"/>
  <c r="AR296" i="2"/>
  <c r="AQ296" i="2"/>
  <c r="AP296" i="2"/>
  <c r="AO296" i="2"/>
  <c r="AN296" i="2"/>
  <c r="AT296" i="2" l="1"/>
  <c r="AL296" i="2"/>
  <c r="AK296" i="2" a="1"/>
  <c r="AJ296" i="2"/>
  <c r="AI296" i="2"/>
  <c r="AH296" i="2"/>
  <c r="AK296" i="2" l="1"/>
  <c r="AG296" i="2" a="1"/>
  <c r="AG296" i="2" l="1"/>
  <c r="AF296" i="2" a="1"/>
  <c r="AF296" i="2" l="1"/>
  <c r="AE296" i="2"/>
  <c r="AD296" i="2" a="1"/>
  <c r="AD296" i="2" l="1"/>
  <c r="AC296" i="2" a="1"/>
  <c r="AC296" i="2" l="1"/>
  <c r="AA296" i="2"/>
  <c r="W296" i="2" a="1"/>
  <c r="W296" i="2" l="1"/>
  <c r="V296" i="2" a="1"/>
  <c r="V296" i="2" l="1"/>
  <c r="N296" i="2" a="1"/>
  <c r="N296" i="2" l="1"/>
  <c r="M296" i="2" a="1"/>
  <c r="M296" i="2" l="1"/>
  <c r="L296" i="2" a="1"/>
  <c r="L296" i="2" l="1"/>
  <c r="K296" i="2" a="1"/>
  <c r="J296" i="2"/>
  <c r="I296" i="2"/>
  <c r="K296" i="2" l="1"/>
  <c r="H296" i="2" a="1"/>
  <c r="F296" i="2"/>
  <c r="E296" i="2"/>
  <c r="Q296" i="2" a="1"/>
  <c r="R296" i="2"/>
  <c r="Q296" i="2" l="1"/>
  <c r="H296" i="2"/>
  <c r="AM296" i="2" l="1"/>
  <c r="AB296" i="2"/>
  <c r="AX295" i="2"/>
  <c r="S296" i="2"/>
  <c r="BC295" i="2" a="1"/>
  <c r="AV295" i="2" a="1"/>
  <c r="AV295" i="2" l="1"/>
  <c r="BC295" i="2"/>
  <c r="Z296" i="2"/>
  <c r="X296" i="2"/>
  <c r="Y296" i="2"/>
  <c r="T296" i="2"/>
  <c r="U296" i="2" s="1"/>
  <c r="AU295" i="2" a="1"/>
  <c r="AU295" i="2" l="1"/>
  <c r="AW295" i="2" s="1"/>
  <c r="AT295" i="2" a="1"/>
  <c r="AS295" i="2"/>
  <c r="AR295" i="2"/>
  <c r="AQ295" i="2"/>
  <c r="AP295" i="2"/>
  <c r="AO295" i="2"/>
  <c r="AN295" i="2"/>
  <c r="AT295" i="2" l="1"/>
  <c r="AL295" i="2"/>
  <c r="AK295" i="2" a="1"/>
  <c r="AJ295" i="2"/>
  <c r="AI295" i="2"/>
  <c r="AH295" i="2"/>
  <c r="AK295" i="2" l="1"/>
  <c r="AG295" i="2" a="1"/>
  <c r="AG295" i="2" l="1"/>
  <c r="AF295" i="2" a="1"/>
  <c r="AF295" i="2" l="1"/>
  <c r="AE295" i="2"/>
  <c r="AD295" i="2" a="1"/>
  <c r="AD295" i="2" l="1"/>
  <c r="AC295" i="2" a="1"/>
  <c r="AC295" i="2" l="1"/>
  <c r="AA295" i="2"/>
  <c r="W295" i="2" a="1"/>
  <c r="W295" i="2" l="1"/>
  <c r="V295" i="2" a="1"/>
  <c r="V295" i="2" l="1"/>
  <c r="N295" i="2" a="1"/>
  <c r="N295" i="2" l="1"/>
  <c r="M295" i="2" a="1"/>
  <c r="M295" i="2" l="1"/>
  <c r="L295" i="2" a="1"/>
  <c r="L295" i="2" l="1"/>
  <c r="K295" i="2" a="1"/>
  <c r="J295" i="2"/>
  <c r="I295" i="2"/>
  <c r="K295" i="2" l="1"/>
  <c r="H295" i="2" a="1"/>
  <c r="F295" i="2"/>
  <c r="E295" i="2"/>
  <c r="Q295" i="2" a="1"/>
  <c r="R295" i="2"/>
  <c r="Q295" i="2" l="1"/>
  <c r="H295" i="2"/>
  <c r="AM295" i="2" l="1"/>
  <c r="AB295" i="2"/>
  <c r="AX294" i="2"/>
  <c r="BC294" i="2" a="1"/>
  <c r="S295" i="2"/>
  <c r="AV294" i="2" a="1"/>
  <c r="AV294" i="2" l="1"/>
  <c r="Z295" i="2"/>
  <c r="Y295" i="2"/>
  <c r="X295" i="2"/>
  <c r="T295" i="2"/>
  <c r="U295" i="2" s="1"/>
  <c r="BC294" i="2"/>
  <c r="AU294" i="2" a="1"/>
  <c r="AU294" i="2" l="1"/>
  <c r="AW294" i="2" s="1"/>
  <c r="AT294" i="2" a="1"/>
  <c r="AS294" i="2"/>
  <c r="AR294" i="2"/>
  <c r="AQ294" i="2"/>
  <c r="AP294" i="2"/>
  <c r="AO294" i="2"/>
  <c r="AN294" i="2"/>
  <c r="AT294" i="2" l="1"/>
  <c r="AL294" i="2"/>
  <c r="AK294" i="2" a="1"/>
  <c r="AJ294" i="2"/>
  <c r="AI294" i="2"/>
  <c r="AH294" i="2"/>
  <c r="AK294" i="2" l="1"/>
  <c r="AG294" i="2" a="1"/>
  <c r="AG294" i="2" l="1"/>
  <c r="AF294" i="2" a="1"/>
  <c r="AF294" i="2" l="1"/>
  <c r="AE294" i="2"/>
  <c r="AD294" i="2" a="1"/>
  <c r="AD294" i="2" l="1"/>
  <c r="AC294" i="2" a="1"/>
  <c r="AC294" i="2" l="1"/>
  <c r="AA294" i="2"/>
  <c r="W294" i="2" a="1"/>
  <c r="W294" i="2" l="1"/>
  <c r="V294" i="2" a="1"/>
  <c r="V294" i="2" l="1"/>
  <c r="N294" i="2" a="1"/>
  <c r="N294" i="2" l="1"/>
  <c r="M294" i="2" a="1"/>
  <c r="M294" i="2" l="1"/>
  <c r="L294" i="2" a="1"/>
  <c r="L294" i="2" l="1"/>
  <c r="K294" i="2" a="1"/>
  <c r="J294" i="2"/>
  <c r="I294" i="2"/>
  <c r="K294" i="2" l="1"/>
  <c r="H294" i="2" a="1"/>
  <c r="F294" i="2"/>
  <c r="E294" i="2"/>
  <c r="Q294" i="2" a="1"/>
  <c r="R294" i="2"/>
  <c r="Q294" i="2" l="1"/>
  <c r="H294" i="2"/>
  <c r="AM294" i="2" l="1"/>
  <c r="AB294" i="2"/>
  <c r="AX293" i="2"/>
  <c r="BC293" i="2" a="1"/>
  <c r="S294" i="2"/>
  <c r="AV293" i="2" a="1"/>
  <c r="AV293" i="2" l="1"/>
  <c r="Z294" i="2"/>
  <c r="Y294" i="2"/>
  <c r="X294" i="2"/>
  <c r="T294" i="2"/>
  <c r="U294" i="2" s="1"/>
  <c r="BC293" i="2"/>
  <c r="AU293" i="2" a="1"/>
  <c r="AU293" i="2" l="1"/>
  <c r="AW293" i="2" s="1"/>
  <c r="AT293" i="2" a="1"/>
  <c r="AS293" i="2"/>
  <c r="AR293" i="2"/>
  <c r="AQ293" i="2"/>
  <c r="AP293" i="2"/>
  <c r="AO293" i="2"/>
  <c r="AN293" i="2"/>
  <c r="AT293" i="2" l="1"/>
  <c r="AL293" i="2"/>
  <c r="AK293" i="2" a="1"/>
  <c r="AJ293" i="2"/>
  <c r="AI293" i="2"/>
  <c r="AH293" i="2"/>
  <c r="AK293" i="2" l="1"/>
  <c r="AG293" i="2" a="1"/>
  <c r="AG293" i="2" l="1"/>
  <c r="AF293" i="2" a="1"/>
  <c r="AF293" i="2" l="1"/>
  <c r="AE293" i="2"/>
  <c r="AD293" i="2" a="1"/>
  <c r="AD293" i="2" l="1"/>
  <c r="AC293" i="2" a="1"/>
  <c r="AC293" i="2" l="1"/>
  <c r="AA293" i="2"/>
  <c r="W293" i="2" a="1"/>
  <c r="W293" i="2" l="1"/>
  <c r="V293" i="2" a="1"/>
  <c r="V293" i="2" l="1"/>
  <c r="N293" i="2" a="1"/>
  <c r="N293" i="2" l="1"/>
  <c r="M293" i="2" a="1"/>
  <c r="M293" i="2" l="1"/>
  <c r="L293" i="2" a="1"/>
  <c r="L293" i="2" l="1"/>
  <c r="K293" i="2" a="1"/>
  <c r="J293" i="2"/>
  <c r="I293" i="2"/>
  <c r="K293" i="2" l="1"/>
  <c r="H293" i="2" a="1"/>
  <c r="F293" i="2"/>
  <c r="E293" i="2"/>
  <c r="Q293" i="2" a="1"/>
  <c r="R293" i="2"/>
  <c r="Q293" i="2" l="1"/>
  <c r="H293" i="2"/>
  <c r="AM293" i="2" l="1"/>
  <c r="AB293" i="2"/>
  <c r="AX292" i="2"/>
  <c r="BC292" i="2" a="1"/>
  <c r="S293" i="2"/>
  <c r="AV292" i="2" a="1"/>
  <c r="AV292" i="2" l="1"/>
  <c r="Z293" i="2"/>
  <c r="Y293" i="2"/>
  <c r="X293" i="2"/>
  <c r="T293" i="2"/>
  <c r="U293" i="2" s="1"/>
  <c r="BC292" i="2"/>
  <c r="AU292" i="2" a="1"/>
  <c r="AU292" i="2" l="1"/>
  <c r="AW292" i="2" s="1"/>
  <c r="AT292" i="2" a="1"/>
  <c r="AS292" i="2"/>
  <c r="AR292" i="2"/>
  <c r="AQ292" i="2"/>
  <c r="AP292" i="2"/>
  <c r="AO292" i="2"/>
  <c r="AN292" i="2"/>
  <c r="AT292" i="2" l="1"/>
  <c r="AL292" i="2"/>
  <c r="AK292" i="2" a="1"/>
  <c r="AJ292" i="2"/>
  <c r="AI292" i="2"/>
  <c r="AH292" i="2"/>
  <c r="AK292" i="2" l="1"/>
  <c r="AG292" i="2" a="1"/>
  <c r="AG292" i="2" l="1"/>
  <c r="AF292" i="2" a="1"/>
  <c r="AF292" i="2" l="1"/>
  <c r="AE292" i="2"/>
  <c r="AD292" i="2" a="1"/>
  <c r="AD292" i="2" l="1"/>
  <c r="AC292" i="2" a="1"/>
  <c r="AC292" i="2" l="1"/>
  <c r="AA292" i="2"/>
  <c r="W292" i="2" a="1"/>
  <c r="W292" i="2" l="1"/>
  <c r="V292" i="2" a="1"/>
  <c r="V292" i="2" l="1"/>
  <c r="N292" i="2" a="1"/>
  <c r="N292" i="2" l="1"/>
  <c r="M292" i="2" a="1"/>
  <c r="M292" i="2" l="1"/>
  <c r="L292" i="2" a="1"/>
  <c r="L292" i="2" l="1"/>
  <c r="K292" i="2" a="1"/>
  <c r="J292" i="2"/>
  <c r="I292" i="2"/>
  <c r="K292" i="2" l="1"/>
  <c r="H292" i="2" a="1"/>
  <c r="F292" i="2"/>
  <c r="E292" i="2"/>
  <c r="Q292" i="2" a="1"/>
  <c r="R292" i="2"/>
  <c r="Q292" i="2" l="1"/>
  <c r="H292" i="2"/>
  <c r="AM292" i="2" l="1"/>
  <c r="AB292" i="2"/>
  <c r="AX291" i="2"/>
  <c r="S292" i="2"/>
  <c r="BC291" i="2" a="1"/>
  <c r="AV291" i="2" a="1"/>
  <c r="AV291" i="2" l="1"/>
  <c r="BC291" i="2"/>
  <c r="Z292" i="2"/>
  <c r="Y292" i="2"/>
  <c r="X292" i="2"/>
  <c r="T292" i="2"/>
  <c r="U292" i="2" s="1"/>
  <c r="AU291" i="2" a="1"/>
  <c r="AU291" i="2" l="1"/>
  <c r="AW291" i="2" s="1"/>
  <c r="AT291" i="2" a="1"/>
  <c r="AS291" i="2"/>
  <c r="AR291" i="2"/>
  <c r="AQ291" i="2"/>
  <c r="AP291" i="2"/>
  <c r="AO291" i="2"/>
  <c r="AN291" i="2"/>
  <c r="AT291" i="2" l="1"/>
  <c r="AL291" i="2"/>
  <c r="AK291" i="2" a="1"/>
  <c r="AJ291" i="2"/>
  <c r="AI291" i="2"/>
  <c r="AH291" i="2"/>
  <c r="AK291" i="2" l="1"/>
  <c r="AG291" i="2" a="1"/>
  <c r="AG291" i="2" l="1"/>
  <c r="AF291" i="2" a="1"/>
  <c r="AF291" i="2" l="1"/>
  <c r="AE291" i="2"/>
  <c r="AD291" i="2" a="1"/>
  <c r="AD291" i="2" l="1"/>
  <c r="AC291" i="2" a="1"/>
  <c r="AC291" i="2" l="1"/>
  <c r="AA291" i="2"/>
  <c r="W291" i="2" a="1"/>
  <c r="W291" i="2" l="1"/>
  <c r="V291" i="2" a="1"/>
  <c r="V291" i="2" l="1"/>
  <c r="N291" i="2" a="1"/>
  <c r="N291" i="2" l="1"/>
  <c r="M291" i="2" a="1"/>
  <c r="M291" i="2" l="1"/>
  <c r="L291" i="2" a="1"/>
  <c r="L291" i="2" l="1"/>
  <c r="K291" i="2" a="1"/>
  <c r="J291" i="2"/>
  <c r="I291" i="2"/>
  <c r="K291" i="2" l="1"/>
  <c r="H291" i="2" a="1"/>
  <c r="F291" i="2"/>
  <c r="E291" i="2"/>
  <c r="Q291" i="2" a="1"/>
  <c r="R291" i="2"/>
  <c r="Q291" i="2" l="1"/>
  <c r="H291" i="2"/>
  <c r="AM291" i="2" l="1"/>
  <c r="AB291" i="2"/>
  <c r="AX290" i="2"/>
  <c r="BC290" i="2" a="1"/>
  <c r="S291" i="2"/>
  <c r="AV290" i="2" a="1"/>
  <c r="AV290" i="2" l="1"/>
  <c r="Z291" i="2"/>
  <c r="Y291" i="2"/>
  <c r="X291" i="2"/>
  <c r="T291" i="2"/>
  <c r="U291" i="2" s="1"/>
  <c r="BC290" i="2"/>
  <c r="AU290" i="2" a="1"/>
  <c r="AU290" i="2" l="1"/>
  <c r="AW290" i="2" s="1"/>
  <c r="AT290" i="2" a="1"/>
  <c r="AS290" i="2"/>
  <c r="AR290" i="2"/>
  <c r="AQ290" i="2"/>
  <c r="AP290" i="2"/>
  <c r="AO290" i="2"/>
  <c r="AN290" i="2"/>
  <c r="AT290" i="2" l="1"/>
  <c r="AL290" i="2"/>
  <c r="AK290" i="2" a="1"/>
  <c r="AJ290" i="2"/>
  <c r="AI290" i="2"/>
  <c r="AH290" i="2"/>
  <c r="AK290" i="2" l="1"/>
  <c r="AG290" i="2" a="1"/>
  <c r="AG290" i="2" l="1"/>
  <c r="AF290" i="2" a="1"/>
  <c r="AF290" i="2" l="1"/>
  <c r="AE290" i="2"/>
  <c r="AD290" i="2" a="1"/>
  <c r="AD290" i="2" l="1"/>
  <c r="AC290" i="2" a="1"/>
  <c r="AC290" i="2" l="1"/>
  <c r="AA290" i="2"/>
  <c r="W290" i="2" a="1"/>
  <c r="W290" i="2" l="1"/>
  <c r="V290" i="2" a="1"/>
  <c r="V290" i="2" l="1"/>
  <c r="N290" i="2" a="1"/>
  <c r="N290" i="2" l="1"/>
  <c r="M290" i="2" a="1"/>
  <c r="M290" i="2" l="1"/>
  <c r="L290" i="2" a="1"/>
  <c r="L290" i="2" l="1"/>
  <c r="K290" i="2" a="1"/>
  <c r="J290" i="2"/>
  <c r="I290" i="2"/>
  <c r="K290" i="2" l="1"/>
  <c r="H290" i="2" a="1"/>
  <c r="F290" i="2"/>
  <c r="E290" i="2"/>
  <c r="Q290" i="2" a="1"/>
  <c r="R290" i="2"/>
  <c r="Q290" i="2" l="1"/>
  <c r="H290" i="2"/>
  <c r="AM290" i="2" l="1"/>
  <c r="AB290" i="2"/>
  <c r="AX289" i="2"/>
  <c r="BC289" i="2" a="1"/>
  <c r="S290" i="2"/>
  <c r="AV289" i="2" a="1"/>
  <c r="AV289" i="2" l="1"/>
  <c r="Y290" i="2"/>
  <c r="X290" i="2"/>
  <c r="Z290" i="2"/>
  <c r="T290" i="2"/>
  <c r="U290" i="2" s="1"/>
  <c r="BC289" i="2"/>
  <c r="AU289" i="2" a="1"/>
  <c r="AU289" i="2" l="1"/>
  <c r="AW289" i="2" s="1"/>
  <c r="AT289" i="2" a="1"/>
  <c r="AS289" i="2"/>
  <c r="AR289" i="2"/>
  <c r="AQ289" i="2"/>
  <c r="AP289" i="2"/>
  <c r="AO289" i="2"/>
  <c r="AN289" i="2"/>
  <c r="AT289" i="2" l="1"/>
  <c r="AL289" i="2"/>
  <c r="AK289" i="2" a="1"/>
  <c r="AJ289" i="2"/>
  <c r="AI289" i="2"/>
  <c r="AH289" i="2"/>
  <c r="AK289" i="2" l="1"/>
  <c r="AG289" i="2" a="1"/>
  <c r="AG289" i="2" l="1"/>
  <c r="AF289" i="2" a="1"/>
  <c r="AF289" i="2" l="1"/>
  <c r="AE289" i="2"/>
  <c r="AD289" i="2" a="1"/>
  <c r="AD289" i="2" l="1"/>
  <c r="AC289" i="2" a="1"/>
  <c r="AC289" i="2" l="1"/>
  <c r="AA289" i="2"/>
  <c r="W289" i="2" a="1"/>
  <c r="W289" i="2" l="1"/>
  <c r="V289" i="2" a="1"/>
  <c r="V289" i="2" l="1"/>
  <c r="N289" i="2" a="1"/>
  <c r="N289" i="2" l="1"/>
  <c r="M289" i="2" a="1"/>
  <c r="M289" i="2" l="1"/>
  <c r="L289" i="2" a="1"/>
  <c r="L289" i="2" l="1"/>
  <c r="K289" i="2" a="1"/>
  <c r="J289" i="2"/>
  <c r="I289" i="2"/>
  <c r="K289" i="2" l="1"/>
  <c r="H289" i="2" a="1"/>
  <c r="F289" i="2"/>
  <c r="E289" i="2"/>
  <c r="Q289" i="2" a="1"/>
  <c r="R289" i="2"/>
  <c r="Q289" i="2" l="1"/>
  <c r="H289" i="2"/>
  <c r="AX288" i="2"/>
  <c r="AV288" i="2" a="1"/>
  <c r="AV288" i="2" l="1"/>
  <c r="AM289" i="2"/>
  <c r="AB289" i="2"/>
  <c r="S289" i="2"/>
  <c r="AU288" i="2" a="1"/>
  <c r="AU288" i="2" l="1"/>
  <c r="AW288" i="2" s="1"/>
  <c r="Z289" i="2"/>
  <c r="X289" i="2"/>
  <c r="Y289" i="2"/>
  <c r="T289" i="2"/>
  <c r="U289" i="2" s="1"/>
  <c r="AT288" i="2" a="1"/>
  <c r="AS288" i="2"/>
  <c r="AR288" i="2"/>
  <c r="AQ288" i="2"/>
  <c r="AP288" i="2"/>
  <c r="AO288" i="2"/>
  <c r="AN288" i="2"/>
  <c r="AT288" i="2" l="1"/>
  <c r="AL288" i="2"/>
  <c r="AK288" i="2" a="1"/>
  <c r="AJ288" i="2"/>
  <c r="AI288" i="2"/>
  <c r="AH288" i="2"/>
  <c r="AK288" i="2" l="1"/>
  <c r="AG288" i="2" a="1"/>
  <c r="AG288" i="2" l="1"/>
  <c r="AF288" i="2" a="1"/>
  <c r="AF288" i="2" l="1"/>
  <c r="AE288" i="2"/>
  <c r="AD288" i="2" a="1"/>
  <c r="AD288" i="2" l="1"/>
  <c r="AC288" i="2" a="1"/>
  <c r="AC288" i="2" l="1"/>
  <c r="AA288" i="2"/>
  <c r="W288" i="2" a="1"/>
  <c r="W288" i="2" l="1"/>
  <c r="V288" i="2" a="1"/>
  <c r="V288" i="2" l="1"/>
  <c r="N288" i="2" a="1"/>
  <c r="N288" i="2" l="1"/>
  <c r="M288" i="2" a="1"/>
  <c r="M288" i="2" l="1"/>
  <c r="L288" i="2" a="1"/>
  <c r="L288" i="2" l="1"/>
  <c r="K288" i="2" a="1"/>
  <c r="J288" i="2"/>
  <c r="I288" i="2"/>
  <c r="K288" i="2" l="1"/>
  <c r="H288" i="2" a="1"/>
  <c r="F288" i="2"/>
  <c r="E288" i="2"/>
  <c r="Q288" i="2" a="1"/>
  <c r="R288" i="2"/>
  <c r="Q288" i="2" l="1"/>
  <c r="H288" i="2"/>
  <c r="AX287" i="2"/>
  <c r="AV287" i="2" a="1"/>
  <c r="AV287" i="2" l="1"/>
  <c r="AM288" i="2"/>
  <c r="AB288" i="2"/>
  <c r="S288" i="2"/>
  <c r="AU287" i="2" a="1"/>
  <c r="AU287" i="2" l="1"/>
  <c r="AW287" i="2" s="1"/>
  <c r="Z288" i="2"/>
  <c r="X288" i="2"/>
  <c r="Y288" i="2"/>
  <c r="T288" i="2"/>
  <c r="U288" i="2" s="1"/>
  <c r="AT287" i="2" a="1"/>
  <c r="AS287" i="2"/>
  <c r="AR287" i="2"/>
  <c r="AQ287" i="2"/>
  <c r="AP287" i="2"/>
  <c r="AO287" i="2"/>
  <c r="AN287" i="2"/>
  <c r="AT287" i="2" l="1"/>
  <c r="AL287" i="2"/>
  <c r="AK287" i="2" a="1"/>
  <c r="AJ287" i="2"/>
  <c r="AI287" i="2"/>
  <c r="AH287" i="2"/>
  <c r="AK287" i="2" l="1"/>
  <c r="AG287" i="2" a="1"/>
  <c r="AG287" i="2" l="1"/>
  <c r="AF287" i="2" a="1"/>
  <c r="AF287" i="2" l="1"/>
  <c r="AE287" i="2"/>
  <c r="AD287" i="2" a="1"/>
  <c r="AD287" i="2" l="1"/>
  <c r="AC287" i="2" a="1"/>
  <c r="AC287" i="2" l="1"/>
  <c r="AA287" i="2"/>
  <c r="W287" i="2" a="1"/>
  <c r="W287" i="2" l="1"/>
  <c r="V287" i="2" a="1"/>
  <c r="V287" i="2" l="1"/>
  <c r="N287" i="2" a="1"/>
  <c r="N287" i="2" l="1"/>
  <c r="M287" i="2" a="1"/>
  <c r="M287" i="2" l="1"/>
  <c r="L287" i="2" a="1"/>
  <c r="L287" i="2" l="1"/>
  <c r="K287" i="2" a="1"/>
  <c r="J287" i="2"/>
  <c r="K287" i="2" l="1"/>
  <c r="H287" i="2" a="1"/>
  <c r="F287" i="2"/>
  <c r="E287" i="2"/>
  <c r="Q287" i="2" a="1"/>
  <c r="R287" i="2"/>
  <c r="Q287" i="2" l="1"/>
  <c r="H287" i="2"/>
  <c r="AM287" i="2" l="1"/>
  <c r="AB287" i="2"/>
  <c r="AX286" i="2"/>
  <c r="BC286" i="2" a="1"/>
  <c r="S287" i="2"/>
  <c r="AV286" i="2" a="1"/>
  <c r="AV286" i="2" l="1"/>
  <c r="Y287" i="2"/>
  <c r="X287" i="2"/>
  <c r="Z287" i="2"/>
  <c r="T287" i="2"/>
  <c r="U287" i="2" s="1"/>
  <c r="BC286" i="2"/>
  <c r="AU286" i="2" a="1"/>
  <c r="AU286" i="2" l="1"/>
  <c r="AW286" i="2" s="1"/>
  <c r="AT286" i="2" a="1"/>
  <c r="AS286" i="2"/>
  <c r="AR286" i="2"/>
  <c r="AQ286" i="2"/>
  <c r="AP286" i="2"/>
  <c r="AO286" i="2"/>
  <c r="AN286" i="2"/>
  <c r="AT286" i="2" l="1"/>
  <c r="AL286" i="2"/>
  <c r="AK286" i="2" a="1"/>
  <c r="AJ286" i="2"/>
  <c r="AI286" i="2"/>
  <c r="AH286" i="2"/>
  <c r="AK286" i="2" l="1"/>
  <c r="AG286" i="2" a="1"/>
  <c r="AG286" i="2" l="1"/>
  <c r="AF286" i="2" a="1"/>
  <c r="AF286" i="2" l="1"/>
  <c r="AE286" i="2"/>
  <c r="AD286" i="2" a="1"/>
  <c r="AD286" i="2" l="1"/>
  <c r="AC286" i="2" a="1"/>
  <c r="AC286" i="2" l="1"/>
  <c r="AA286" i="2"/>
  <c r="W286" i="2" a="1"/>
  <c r="W286" i="2" l="1"/>
  <c r="V286" i="2" a="1"/>
  <c r="V286" i="2" l="1"/>
  <c r="N286" i="2" a="1"/>
  <c r="N286" i="2" l="1"/>
  <c r="M286" i="2" a="1"/>
  <c r="M286" i="2" l="1"/>
  <c r="L286" i="2" a="1"/>
  <c r="L286" i="2" l="1"/>
  <c r="K286" i="2" a="1"/>
  <c r="J286" i="2"/>
  <c r="I286" i="2"/>
  <c r="K286" i="2" l="1"/>
  <c r="H286" i="2" a="1"/>
  <c r="F286" i="2"/>
  <c r="E286" i="2"/>
  <c r="Q286" i="2" a="1"/>
  <c r="R286" i="2"/>
  <c r="Q286" i="2" l="1"/>
  <c r="H286" i="2"/>
  <c r="AM286" i="2" l="1"/>
  <c r="AB286" i="2"/>
  <c r="AX285" i="2"/>
  <c r="BC285" i="2" a="1"/>
  <c r="S286" i="2"/>
  <c r="AV285" i="2" a="1"/>
  <c r="AV285" i="2" l="1"/>
  <c r="Z286" i="2"/>
  <c r="X286" i="2"/>
  <c r="Y286" i="2"/>
  <c r="T286" i="2"/>
  <c r="U286" i="2" s="1"/>
  <c r="BC285" i="2"/>
  <c r="AU285" i="2" a="1"/>
  <c r="AU285" i="2" l="1"/>
  <c r="AW285" i="2" s="1"/>
  <c r="AT285" i="2" a="1"/>
  <c r="AS285" i="2"/>
  <c r="AR285" i="2"/>
  <c r="AQ285" i="2"/>
  <c r="AP285" i="2"/>
  <c r="AO285" i="2"/>
  <c r="AN285" i="2"/>
  <c r="AT285" i="2" l="1"/>
  <c r="AL285" i="2"/>
  <c r="AK285" i="2" a="1"/>
  <c r="AJ285" i="2"/>
  <c r="AI285" i="2"/>
  <c r="AH285" i="2"/>
  <c r="AK285" i="2" l="1"/>
  <c r="AG285" i="2" a="1"/>
  <c r="AG285" i="2" l="1"/>
  <c r="AF285" i="2" a="1"/>
  <c r="AF285" i="2" l="1"/>
  <c r="AE285" i="2"/>
  <c r="AD285" i="2" a="1"/>
  <c r="AD285" i="2" l="1"/>
  <c r="AC285" i="2" a="1"/>
  <c r="AC285" i="2" l="1"/>
  <c r="AA285" i="2"/>
  <c r="W285" i="2" a="1"/>
  <c r="W285" i="2" l="1"/>
  <c r="V285" i="2" a="1"/>
  <c r="V285" i="2" l="1"/>
  <c r="N285" i="2" a="1"/>
  <c r="N285" i="2" l="1"/>
  <c r="M285" i="2" a="1"/>
  <c r="M285" i="2" l="1"/>
  <c r="L285" i="2" a="1"/>
  <c r="L285" i="2" l="1"/>
  <c r="K285" i="2" a="1"/>
  <c r="J285" i="2"/>
  <c r="I285" i="2"/>
  <c r="K285" i="2" l="1"/>
  <c r="H285" i="2" a="1"/>
  <c r="F285" i="2"/>
  <c r="E285" i="2"/>
  <c r="Q285" i="2" a="1"/>
  <c r="R285" i="2"/>
  <c r="Q285" i="2" l="1"/>
  <c r="H285" i="2"/>
  <c r="AM285" i="2" l="1"/>
  <c r="AB285" i="2"/>
  <c r="AX284" i="2"/>
  <c r="BC284" i="2" a="1"/>
  <c r="S285" i="2"/>
  <c r="AV284" i="2" a="1"/>
  <c r="AV284" i="2" l="1"/>
  <c r="Y285" i="2"/>
  <c r="X285" i="2"/>
  <c r="Z285" i="2"/>
  <c r="T285" i="2"/>
  <c r="U285" i="2" s="1"/>
  <c r="BC284" i="2"/>
  <c r="AU284" i="2" a="1"/>
  <c r="AU284" i="2" l="1"/>
  <c r="AW284" i="2" s="1"/>
  <c r="AT284" i="2" a="1"/>
  <c r="AS284" i="2"/>
  <c r="AR284" i="2"/>
  <c r="AQ284" i="2"/>
  <c r="AP284" i="2"/>
  <c r="AO284" i="2"/>
  <c r="AN284" i="2"/>
  <c r="AT284" i="2" l="1"/>
  <c r="AL284" i="2"/>
  <c r="AK284" i="2" a="1"/>
  <c r="AJ284" i="2"/>
  <c r="AI284" i="2"/>
  <c r="AH284" i="2"/>
  <c r="AK284" i="2" l="1"/>
  <c r="AG284" i="2" a="1"/>
  <c r="AG284" i="2" l="1"/>
  <c r="AF284" i="2" a="1"/>
  <c r="AF284" i="2" l="1"/>
  <c r="AE284" i="2"/>
  <c r="AD284" i="2" a="1"/>
  <c r="AD284" i="2" l="1"/>
  <c r="AC284" i="2" a="1"/>
  <c r="AC284" i="2" l="1"/>
  <c r="AA284" i="2"/>
  <c r="W284" i="2" a="1"/>
  <c r="W284" i="2" l="1"/>
  <c r="V284" i="2" a="1"/>
  <c r="V284" i="2" l="1"/>
  <c r="N284" i="2" a="1"/>
  <c r="N284" i="2" l="1"/>
  <c r="M284" i="2" a="1"/>
  <c r="M284" i="2" l="1"/>
  <c r="L284" i="2" a="1"/>
  <c r="L284" i="2" l="1"/>
  <c r="K284" i="2" a="1"/>
  <c r="J284" i="2"/>
  <c r="I284" i="2"/>
  <c r="K284" i="2" l="1"/>
  <c r="H284" i="2" a="1"/>
  <c r="F284" i="2"/>
  <c r="E284" i="2"/>
  <c r="Q284" i="2" a="1"/>
  <c r="R284" i="2"/>
  <c r="Q284" i="2" l="1"/>
  <c r="H284" i="2"/>
  <c r="AM284" i="2" l="1"/>
  <c r="AB284" i="2"/>
  <c r="AX283" i="2"/>
  <c r="S284" i="2"/>
  <c r="BC283" i="2" a="1"/>
  <c r="AV283" i="2" a="1"/>
  <c r="AV283" i="2" l="1"/>
  <c r="BC283" i="2"/>
  <c r="Y284" i="2"/>
  <c r="Z284" i="2"/>
  <c r="X284" i="2"/>
  <c r="T284" i="2"/>
  <c r="U284" i="2" s="1"/>
  <c r="AU283" i="2" a="1"/>
  <c r="AU283" i="2" l="1"/>
  <c r="AW283" i="2" s="1"/>
  <c r="AT283" i="2" a="1"/>
  <c r="AS283" i="2"/>
  <c r="AR283" i="2"/>
  <c r="AQ283" i="2"/>
  <c r="AP283" i="2"/>
  <c r="AO283" i="2"/>
  <c r="AN283" i="2"/>
  <c r="AT283" i="2" l="1"/>
  <c r="AL283" i="2"/>
  <c r="AK283" i="2" a="1"/>
  <c r="AJ283" i="2"/>
  <c r="AI283" i="2"/>
  <c r="AH283" i="2"/>
  <c r="AK283" i="2" l="1"/>
  <c r="AG283" i="2" a="1"/>
  <c r="AG283" i="2" l="1"/>
  <c r="AF283" i="2" a="1"/>
  <c r="AF283" i="2" l="1"/>
  <c r="AE283" i="2"/>
  <c r="AD283" i="2" a="1"/>
  <c r="AD283" i="2" l="1"/>
  <c r="AC283" i="2" a="1"/>
  <c r="AC283" i="2" l="1"/>
  <c r="AA283" i="2"/>
  <c r="W283" i="2" a="1"/>
  <c r="W283" i="2" l="1"/>
  <c r="V283" i="2" a="1"/>
  <c r="V283" i="2" l="1"/>
  <c r="N283" i="2" a="1"/>
  <c r="N283" i="2" l="1"/>
  <c r="M283" i="2" a="1"/>
  <c r="M283" i="2" l="1"/>
  <c r="L283" i="2" a="1"/>
  <c r="L283" i="2" l="1"/>
  <c r="K283" i="2" a="1"/>
  <c r="J283" i="2"/>
  <c r="I283" i="2"/>
  <c r="K283" i="2" l="1"/>
  <c r="H283" i="2" a="1"/>
  <c r="F283" i="2"/>
  <c r="E283" i="2"/>
  <c r="Q283" i="2" a="1"/>
  <c r="R283" i="2"/>
  <c r="Q283" i="2" l="1"/>
  <c r="H283" i="2"/>
  <c r="AM283" i="2" l="1"/>
  <c r="AB283" i="2"/>
  <c r="AX282" i="2"/>
  <c r="S283" i="2"/>
  <c r="BC282" i="2" a="1"/>
  <c r="AV282" i="2" a="1"/>
  <c r="AV282" i="2" l="1"/>
  <c r="BC282" i="2"/>
  <c r="Z283" i="2"/>
  <c r="X283" i="2"/>
  <c r="Y283" i="2"/>
  <c r="T283" i="2"/>
  <c r="U283" i="2" s="1"/>
  <c r="AU282" i="2" a="1"/>
  <c r="AU282" i="2" l="1"/>
  <c r="AW282" i="2" s="1"/>
  <c r="AT282" i="2" a="1"/>
  <c r="AS282" i="2"/>
  <c r="AR282" i="2"/>
  <c r="AQ282" i="2"/>
  <c r="AP282" i="2"/>
  <c r="AO282" i="2"/>
  <c r="AN282" i="2"/>
  <c r="AT282" i="2" l="1"/>
  <c r="AL282" i="2"/>
  <c r="AK282" i="2" a="1"/>
  <c r="AJ282" i="2"/>
  <c r="AI282" i="2"/>
  <c r="AH282" i="2"/>
  <c r="AK282" i="2" l="1"/>
  <c r="AG282" i="2" a="1"/>
  <c r="AG282" i="2" l="1"/>
  <c r="AF282" i="2" a="1"/>
  <c r="AF282" i="2" l="1"/>
  <c r="AE282" i="2"/>
  <c r="AD282" i="2" a="1"/>
  <c r="AD282" i="2" l="1"/>
  <c r="AC282" i="2" a="1"/>
  <c r="AC282" i="2" l="1"/>
  <c r="AA282" i="2"/>
  <c r="W282" i="2" a="1"/>
  <c r="W282" i="2" l="1"/>
  <c r="V282" i="2" a="1"/>
  <c r="V282" i="2" l="1"/>
  <c r="N282" i="2" a="1"/>
  <c r="N282" i="2" l="1"/>
  <c r="M282" i="2" a="1"/>
  <c r="M282" i="2" l="1"/>
  <c r="L282" i="2" a="1"/>
  <c r="L282" i="2" l="1"/>
  <c r="K282" i="2" a="1"/>
  <c r="J282" i="2"/>
  <c r="I282" i="2"/>
  <c r="K282" i="2" l="1"/>
  <c r="H282" i="2" a="1"/>
  <c r="F282" i="2"/>
  <c r="E282" i="2"/>
  <c r="Q282" i="2" a="1"/>
  <c r="R282" i="2"/>
  <c r="Q282" i="2" l="1"/>
  <c r="H282" i="2"/>
  <c r="AM282" i="2" l="1"/>
  <c r="AB282" i="2"/>
  <c r="AX281" i="2"/>
  <c r="S282" i="2"/>
  <c r="BC281" i="2" a="1"/>
  <c r="AV281" i="2" a="1"/>
  <c r="AV281" i="2" l="1"/>
  <c r="BC281" i="2"/>
  <c r="Z282" i="2"/>
  <c r="Y282" i="2"/>
  <c r="X282" i="2"/>
  <c r="T282" i="2"/>
  <c r="U282" i="2" s="1"/>
  <c r="AU281" i="2" a="1"/>
  <c r="AU281" i="2" l="1"/>
  <c r="AW281" i="2" s="1"/>
  <c r="AT281" i="2" a="1"/>
  <c r="AS281" i="2"/>
  <c r="AR281" i="2"/>
  <c r="AQ281" i="2"/>
  <c r="AP281" i="2"/>
  <c r="AO281" i="2"/>
  <c r="AN281" i="2"/>
  <c r="AT281" i="2" l="1"/>
  <c r="AL281" i="2"/>
  <c r="AK281" i="2" a="1"/>
  <c r="AJ281" i="2"/>
  <c r="AI281" i="2"/>
  <c r="AH281" i="2"/>
  <c r="AK281" i="2" l="1"/>
  <c r="AG281" i="2" a="1"/>
  <c r="AG281" i="2" l="1"/>
  <c r="AF281" i="2" a="1"/>
  <c r="AF281" i="2" l="1"/>
  <c r="AE281" i="2"/>
  <c r="AD281" i="2" a="1"/>
  <c r="AD281" i="2" l="1"/>
  <c r="AC281" i="2" a="1"/>
  <c r="AC281" i="2" l="1"/>
  <c r="AA281" i="2"/>
  <c r="W281" i="2" a="1"/>
  <c r="W281" i="2" l="1"/>
  <c r="V281" i="2" a="1"/>
  <c r="V281" i="2" l="1"/>
  <c r="N281" i="2" a="1"/>
  <c r="N281" i="2" l="1"/>
  <c r="M281" i="2" a="1"/>
  <c r="M281" i="2" l="1"/>
  <c r="L281" i="2" a="1"/>
  <c r="L281" i="2" l="1"/>
  <c r="K281" i="2" a="1"/>
  <c r="J281" i="2"/>
  <c r="I281" i="2"/>
  <c r="K281" i="2" l="1"/>
  <c r="H281" i="2" a="1"/>
  <c r="F281" i="2"/>
  <c r="E281" i="2"/>
  <c r="Q281" i="2" a="1"/>
  <c r="R281" i="2"/>
  <c r="Q281" i="2" l="1"/>
  <c r="H281" i="2"/>
  <c r="AM281" i="2" l="1"/>
  <c r="AB281" i="2"/>
  <c r="AX280" i="2"/>
  <c r="S281" i="2"/>
  <c r="BC280" i="2" a="1"/>
  <c r="AV280" i="2" a="1"/>
  <c r="AV280" i="2" l="1"/>
  <c r="BC280" i="2"/>
  <c r="Z281" i="2"/>
  <c r="Y281" i="2"/>
  <c r="X281" i="2"/>
  <c r="T281" i="2"/>
  <c r="U281" i="2" s="1"/>
  <c r="AU280" i="2" a="1"/>
  <c r="AU280" i="2" l="1"/>
  <c r="AW280" i="2" s="1"/>
  <c r="AT280" i="2" a="1"/>
  <c r="AS280" i="2"/>
  <c r="AR280" i="2"/>
  <c r="AQ280" i="2"/>
  <c r="AP280" i="2"/>
  <c r="AO280" i="2"/>
  <c r="AN280" i="2"/>
  <c r="AT280" i="2" l="1"/>
  <c r="AL280" i="2"/>
  <c r="AK280" i="2" a="1"/>
  <c r="AJ280" i="2"/>
  <c r="AI280" i="2"/>
  <c r="AH280" i="2"/>
  <c r="AK280" i="2" l="1"/>
  <c r="AG280" i="2" a="1"/>
  <c r="AG280" i="2" l="1"/>
  <c r="AF280" i="2" a="1"/>
  <c r="AF280" i="2" l="1"/>
  <c r="AE280" i="2"/>
  <c r="AD280" i="2" a="1"/>
  <c r="AD280" i="2" l="1"/>
  <c r="AC280" i="2" a="1"/>
  <c r="AC280" i="2" l="1"/>
  <c r="AA280" i="2"/>
  <c r="W280" i="2" a="1"/>
  <c r="W280" i="2" l="1"/>
  <c r="V280" i="2" a="1"/>
  <c r="V280" i="2" l="1"/>
  <c r="N280" i="2" a="1"/>
  <c r="N280" i="2" l="1"/>
  <c r="M280" i="2" a="1"/>
  <c r="M280" i="2" l="1"/>
  <c r="L280" i="2" a="1"/>
  <c r="L280" i="2" l="1"/>
  <c r="K280" i="2" a="1"/>
  <c r="J280" i="2"/>
  <c r="I280" i="2"/>
  <c r="K280" i="2" l="1"/>
  <c r="H280" i="2" a="1"/>
  <c r="F280" i="2"/>
  <c r="E280" i="2"/>
  <c r="Q280" i="2" a="1"/>
  <c r="R280" i="2"/>
  <c r="Q280" i="2" l="1"/>
  <c r="H280" i="2"/>
  <c r="AM280" i="2" l="1"/>
  <c r="AB280" i="2"/>
  <c r="AX279" i="2"/>
  <c r="BC279" i="2" a="1"/>
  <c r="S280" i="2"/>
  <c r="AV279" i="2" a="1"/>
  <c r="AV279" i="2" l="1"/>
  <c r="Y280" i="2"/>
  <c r="Z280" i="2"/>
  <c r="X280" i="2"/>
  <c r="T280" i="2"/>
  <c r="U280" i="2" s="1"/>
  <c r="BC279" i="2"/>
  <c r="AU279" i="2" a="1"/>
  <c r="AU279" i="2" l="1"/>
  <c r="AW279" i="2" s="1"/>
  <c r="AT279" i="2" a="1"/>
  <c r="AS279" i="2"/>
  <c r="AR279" i="2"/>
  <c r="AQ279" i="2"/>
  <c r="AP279" i="2"/>
  <c r="AO279" i="2"/>
  <c r="AN279" i="2"/>
  <c r="AT279" i="2" l="1"/>
  <c r="AL279" i="2"/>
  <c r="AK279" i="2" a="1"/>
  <c r="AJ279" i="2"/>
  <c r="AI279" i="2"/>
  <c r="AH279" i="2"/>
  <c r="AK279" i="2" l="1"/>
  <c r="AG279" i="2" a="1"/>
  <c r="AG279" i="2" l="1"/>
  <c r="AF279" i="2" a="1"/>
  <c r="AF279" i="2" l="1"/>
  <c r="AE279" i="2"/>
  <c r="AD279" i="2" a="1"/>
  <c r="AD279" i="2" l="1"/>
  <c r="AC279" i="2" a="1"/>
  <c r="AC279" i="2" l="1"/>
  <c r="AA279" i="2"/>
  <c r="W279" i="2" a="1"/>
  <c r="W279" i="2" l="1"/>
  <c r="V279" i="2" a="1"/>
  <c r="V279" i="2" l="1"/>
  <c r="N279" i="2" a="1"/>
  <c r="N279" i="2" l="1"/>
  <c r="M279" i="2" a="1"/>
  <c r="M279" i="2" l="1"/>
  <c r="L279" i="2" a="1"/>
  <c r="L279" i="2" l="1"/>
  <c r="K279" i="2" a="1"/>
  <c r="J279" i="2"/>
  <c r="I279" i="2"/>
  <c r="K279" i="2" l="1"/>
  <c r="H279" i="2" a="1"/>
  <c r="F279" i="2"/>
  <c r="E279" i="2"/>
  <c r="Q279" i="2" a="1"/>
  <c r="R279" i="2"/>
  <c r="Q279" i="2" l="1"/>
  <c r="H279" i="2"/>
  <c r="AM279" i="2" l="1"/>
  <c r="AB279" i="2"/>
  <c r="AX278" i="2"/>
  <c r="BC278" i="2" a="1"/>
  <c r="S279" i="2"/>
  <c r="AV278" i="2" a="1"/>
  <c r="AV278" i="2" l="1"/>
  <c r="Z279" i="2"/>
  <c r="X279" i="2"/>
  <c r="Y279" i="2"/>
  <c r="T279" i="2"/>
  <c r="U279" i="2" s="1"/>
  <c r="BC278" i="2"/>
  <c r="AU278" i="2" a="1"/>
  <c r="AU278" i="2" l="1"/>
  <c r="AW278" i="2" s="1"/>
  <c r="AT278" i="2" a="1"/>
  <c r="AS278" i="2"/>
  <c r="AR278" i="2"/>
  <c r="AQ278" i="2"/>
  <c r="AP278" i="2"/>
  <c r="AO278" i="2"/>
  <c r="AN278" i="2"/>
  <c r="AT278" i="2" l="1"/>
  <c r="AL278" i="2"/>
  <c r="AK278" i="2" a="1"/>
  <c r="AJ278" i="2"/>
  <c r="AI278" i="2"/>
  <c r="AH278" i="2"/>
  <c r="AK278" i="2" l="1"/>
  <c r="AG278" i="2" a="1"/>
  <c r="AG278" i="2" l="1"/>
  <c r="AF278" i="2" a="1"/>
  <c r="AF278" i="2" l="1"/>
  <c r="AE278" i="2"/>
  <c r="AD278" i="2" a="1"/>
  <c r="AD278" i="2" l="1"/>
  <c r="AC278" i="2" a="1"/>
  <c r="AC278" i="2" l="1"/>
  <c r="AA278" i="2"/>
  <c r="W278" i="2" a="1"/>
  <c r="W278" i="2" l="1"/>
  <c r="V278" i="2" a="1"/>
  <c r="V278" i="2" l="1"/>
  <c r="N278" i="2" a="1"/>
  <c r="N278" i="2" l="1"/>
  <c r="M278" i="2" a="1"/>
  <c r="M278" i="2" l="1"/>
  <c r="L278" i="2" a="1"/>
  <c r="L278" i="2" l="1"/>
  <c r="K278" i="2" a="1"/>
  <c r="J278" i="2"/>
  <c r="I278" i="2"/>
  <c r="K278" i="2" l="1"/>
  <c r="H278" i="2" a="1"/>
  <c r="F278" i="2"/>
  <c r="E278" i="2"/>
  <c r="Q278" i="2" a="1"/>
  <c r="R278" i="2"/>
  <c r="Q278" i="2" l="1"/>
  <c r="H278" i="2"/>
  <c r="AM278" i="2" l="1"/>
  <c r="AB278" i="2"/>
  <c r="AX277" i="2"/>
  <c r="BC277" i="2" a="1"/>
  <c r="S278" i="2"/>
  <c r="AV277" i="2" a="1"/>
  <c r="AV277" i="2" l="1"/>
  <c r="Z278" i="2"/>
  <c r="Y278" i="2"/>
  <c r="X278" i="2"/>
  <c r="T278" i="2"/>
  <c r="U278" i="2" s="1"/>
  <c r="BC277" i="2"/>
  <c r="AU277" i="2" a="1"/>
  <c r="AU277" i="2" l="1"/>
  <c r="AW277" i="2" s="1"/>
  <c r="AT277" i="2" a="1"/>
  <c r="AS277" i="2"/>
  <c r="AR277" i="2"/>
  <c r="AQ277" i="2"/>
  <c r="AP277" i="2"/>
  <c r="AO277" i="2"/>
  <c r="AN277" i="2"/>
  <c r="AT277" i="2" l="1"/>
  <c r="AL277" i="2"/>
  <c r="AK277" i="2" a="1"/>
  <c r="AJ277" i="2"/>
  <c r="AI277" i="2"/>
  <c r="AH277" i="2"/>
  <c r="AK277" i="2" l="1"/>
  <c r="AG277" i="2" a="1"/>
  <c r="AG277" i="2" l="1"/>
  <c r="AF277" i="2" a="1"/>
  <c r="AF277" i="2" l="1"/>
  <c r="AE277" i="2"/>
  <c r="AD277" i="2" a="1"/>
  <c r="AD277" i="2" l="1"/>
  <c r="AC277" i="2" a="1"/>
  <c r="AC277" i="2" l="1"/>
  <c r="AA277" i="2"/>
  <c r="W277" i="2" a="1"/>
  <c r="W277" i="2" l="1"/>
  <c r="V277" i="2" a="1"/>
  <c r="V277" i="2" l="1"/>
  <c r="N277" i="2" a="1"/>
  <c r="N277" i="2" l="1"/>
  <c r="M277" i="2" a="1"/>
  <c r="M277" i="2" l="1"/>
  <c r="L277" i="2" a="1"/>
  <c r="L277" i="2" l="1"/>
  <c r="K277" i="2" a="1"/>
  <c r="J277" i="2"/>
  <c r="I277" i="2"/>
  <c r="K277" i="2" l="1"/>
  <c r="H277" i="2" a="1"/>
  <c r="F277" i="2"/>
  <c r="E277" i="2"/>
  <c r="Q277" i="2" a="1"/>
  <c r="R277" i="2"/>
  <c r="Q277" i="2" l="1"/>
  <c r="H277" i="2"/>
  <c r="AM277" i="2" l="1"/>
  <c r="AB277" i="2"/>
  <c r="AX276" i="2"/>
  <c r="S277" i="2"/>
  <c r="BC276" i="2" a="1"/>
  <c r="AV276" i="2" a="1"/>
  <c r="AV276" i="2" l="1"/>
  <c r="BC276" i="2"/>
  <c r="Z277" i="2"/>
  <c r="Y277" i="2"/>
  <c r="X277" i="2"/>
  <c r="T277" i="2"/>
  <c r="U277" i="2" s="1"/>
  <c r="AU276" i="2" a="1"/>
  <c r="AU276" i="2" l="1"/>
  <c r="AW276" i="2" s="1"/>
  <c r="AT276" i="2" a="1"/>
  <c r="AS276" i="2"/>
  <c r="AR276" i="2"/>
  <c r="AQ276" i="2"/>
  <c r="AP276" i="2"/>
  <c r="AO276" i="2"/>
  <c r="AN276" i="2"/>
  <c r="AT276" i="2" l="1"/>
  <c r="AL276" i="2"/>
  <c r="AK276" i="2" a="1"/>
  <c r="AJ276" i="2"/>
  <c r="AI276" i="2"/>
  <c r="AH276" i="2"/>
  <c r="AK276" i="2" l="1"/>
  <c r="AG276" i="2" a="1"/>
  <c r="AG276" i="2" l="1"/>
  <c r="AF276" i="2" a="1"/>
  <c r="AF276" i="2" l="1"/>
  <c r="AE276" i="2"/>
  <c r="AD276" i="2" a="1"/>
  <c r="AD276" i="2" l="1"/>
  <c r="AC276" i="2" a="1"/>
  <c r="AC276" i="2" l="1"/>
  <c r="AA276" i="2"/>
  <c r="W276" i="2" a="1"/>
  <c r="W276" i="2" l="1"/>
  <c r="V276" i="2" a="1"/>
  <c r="V276" i="2" l="1"/>
  <c r="N276" i="2" a="1"/>
  <c r="N276" i="2" l="1"/>
  <c r="M276" i="2" a="1"/>
  <c r="M276" i="2" l="1"/>
  <c r="L276" i="2" a="1"/>
  <c r="L276" i="2" l="1"/>
  <c r="K276" i="2" a="1"/>
  <c r="J276" i="2"/>
  <c r="I276" i="2"/>
  <c r="K276" i="2" l="1"/>
  <c r="H276" i="2" a="1"/>
  <c r="F276" i="2"/>
  <c r="E276" i="2"/>
  <c r="Q276" i="2" a="1"/>
  <c r="R276" i="2"/>
  <c r="Q276" i="2" l="1"/>
  <c r="H276" i="2"/>
  <c r="AM276" i="2" l="1"/>
  <c r="AB276" i="2"/>
  <c r="AX275" i="2"/>
  <c r="S276" i="2"/>
  <c r="BC275" i="2" a="1"/>
  <c r="AV275" i="2" a="1"/>
  <c r="AV275" i="2" l="1"/>
  <c r="BC275" i="2"/>
  <c r="Y276" i="2"/>
  <c r="X276" i="2"/>
  <c r="Z276" i="2"/>
  <c r="T276" i="2"/>
  <c r="U276" i="2" s="1"/>
  <c r="AU275" i="2" a="1"/>
  <c r="AU275" i="2" l="1"/>
  <c r="AW275" i="2" s="1"/>
  <c r="AT275" i="2" a="1"/>
  <c r="AS275" i="2"/>
  <c r="AR275" i="2"/>
  <c r="AQ275" i="2"/>
  <c r="AP275" i="2"/>
  <c r="AO275" i="2"/>
  <c r="AN275" i="2"/>
  <c r="AT275" i="2" l="1"/>
  <c r="AL275" i="2"/>
  <c r="AK275" i="2" a="1"/>
  <c r="AJ275" i="2"/>
  <c r="AI275" i="2"/>
  <c r="AH275" i="2"/>
  <c r="AK275" i="2" l="1"/>
  <c r="AG275" i="2" a="1"/>
  <c r="AG275" i="2" l="1"/>
  <c r="AF275" i="2" a="1"/>
  <c r="AF275" i="2" l="1"/>
  <c r="AE275" i="2"/>
  <c r="AD275" i="2" a="1"/>
  <c r="AD275" i="2" l="1"/>
  <c r="AC275" i="2" a="1"/>
  <c r="AC275" i="2" l="1"/>
  <c r="AA275" i="2"/>
  <c r="W275" i="2" a="1"/>
  <c r="W275" i="2" l="1"/>
  <c r="V275" i="2" a="1"/>
  <c r="V275" i="2" l="1"/>
  <c r="N275" i="2" a="1"/>
  <c r="N275" i="2" l="1"/>
  <c r="M275" i="2" a="1"/>
  <c r="M275" i="2" l="1"/>
  <c r="L275" i="2" a="1"/>
  <c r="L275" i="2" l="1"/>
  <c r="K275" i="2" a="1"/>
  <c r="J275" i="2"/>
  <c r="I275" i="2"/>
  <c r="K275" i="2" l="1"/>
  <c r="H275" i="2" a="1"/>
  <c r="F275" i="2"/>
  <c r="E275" i="2"/>
  <c r="Q275" i="2" a="1"/>
  <c r="R275" i="2"/>
  <c r="Q275" i="2" l="1"/>
  <c r="H275" i="2"/>
  <c r="AM275" i="2" l="1"/>
  <c r="AB275" i="2"/>
  <c r="AX274" i="2"/>
  <c r="BC274" i="2" a="1"/>
  <c r="S275" i="2"/>
  <c r="AV274" i="2" a="1"/>
  <c r="AV274" i="2" l="1"/>
  <c r="Z275" i="2"/>
  <c r="X275" i="2"/>
  <c r="Y275" i="2"/>
  <c r="T275" i="2"/>
  <c r="U275" i="2" s="1"/>
  <c r="BC274" i="2"/>
  <c r="AU274" i="2" a="1"/>
  <c r="AU274" i="2" l="1"/>
  <c r="AW274" i="2" s="1"/>
  <c r="AT274" i="2" a="1"/>
  <c r="AS274" i="2"/>
  <c r="AR274" i="2"/>
  <c r="AQ274" i="2"/>
  <c r="AP274" i="2"/>
  <c r="AO274" i="2"/>
  <c r="AN274" i="2"/>
  <c r="AT274" i="2" l="1"/>
  <c r="AL274" i="2"/>
  <c r="AK274" i="2" a="1"/>
  <c r="AJ274" i="2"/>
  <c r="AI274" i="2"/>
  <c r="AH274" i="2"/>
  <c r="AK274" i="2" l="1"/>
  <c r="AG274" i="2" a="1"/>
  <c r="AG274" i="2" l="1"/>
  <c r="AF274" i="2" a="1"/>
  <c r="AF274" i="2" l="1"/>
  <c r="AE274" i="2"/>
  <c r="AD274" i="2" a="1"/>
  <c r="AD274" i="2" l="1"/>
  <c r="AC274" i="2" a="1"/>
  <c r="AC274" i="2" l="1"/>
  <c r="AA274" i="2"/>
  <c r="W274" i="2" a="1"/>
  <c r="W274" i="2" l="1"/>
  <c r="V274" i="2" a="1"/>
  <c r="V274" i="2" l="1"/>
  <c r="N274" i="2" a="1"/>
  <c r="N274" i="2" l="1"/>
  <c r="M274" i="2" a="1"/>
  <c r="M274" i="2" l="1"/>
  <c r="L274" i="2" a="1"/>
  <c r="L274" i="2" l="1"/>
  <c r="K274" i="2" a="1"/>
  <c r="J274" i="2"/>
  <c r="K274" i="2" l="1"/>
  <c r="H274" i="2" a="1"/>
  <c r="F274" i="2"/>
  <c r="E274" i="2"/>
  <c r="Q274" i="2" a="1"/>
  <c r="R274" i="2"/>
  <c r="Q274" i="2" l="1"/>
  <c r="H274" i="2"/>
  <c r="AM274" i="2" l="1"/>
  <c r="AB274" i="2"/>
  <c r="AX273" i="2"/>
  <c r="S274" i="2"/>
  <c r="BC273" i="2" a="1"/>
  <c r="AV273" i="2" a="1"/>
  <c r="AV273" i="2" l="1"/>
  <c r="BC273" i="2"/>
  <c r="Y274" i="2"/>
  <c r="Z274" i="2"/>
  <c r="X274" i="2"/>
  <c r="T274" i="2"/>
  <c r="U274" i="2" s="1"/>
  <c r="AU273" i="2" a="1"/>
  <c r="AU273" i="2" l="1"/>
  <c r="AW273" i="2" s="1"/>
  <c r="AT273" i="2" a="1"/>
  <c r="AS273" i="2"/>
  <c r="AR273" i="2"/>
  <c r="AQ273" i="2"/>
  <c r="AP273" i="2"/>
  <c r="AO273" i="2"/>
  <c r="AN273" i="2"/>
  <c r="AT273" i="2" l="1"/>
  <c r="AL273" i="2"/>
  <c r="AK273" i="2" a="1"/>
  <c r="AJ273" i="2"/>
  <c r="AI273" i="2"/>
  <c r="AH273" i="2"/>
  <c r="AK273" i="2" l="1"/>
  <c r="AG273" i="2" a="1"/>
  <c r="AG273" i="2" l="1"/>
  <c r="AF273" i="2" a="1"/>
  <c r="AF273" i="2" l="1"/>
  <c r="AE273" i="2"/>
  <c r="AD273" i="2" a="1"/>
  <c r="AD273" i="2" l="1"/>
  <c r="AC273" i="2" a="1"/>
  <c r="AC273" i="2" l="1"/>
  <c r="AA273" i="2"/>
  <c r="W273" i="2" a="1"/>
  <c r="W273" i="2" l="1"/>
  <c r="V273" i="2" a="1"/>
  <c r="V273" i="2" l="1"/>
  <c r="N273" i="2" a="1"/>
  <c r="N273" i="2" l="1"/>
  <c r="M273" i="2" a="1"/>
  <c r="M273" i="2" l="1"/>
  <c r="L273" i="2" a="1"/>
  <c r="L273" i="2" l="1"/>
  <c r="K273" i="2" a="1"/>
  <c r="J273" i="2"/>
  <c r="I273" i="2"/>
  <c r="K273" i="2" l="1"/>
  <c r="H273" i="2" a="1"/>
  <c r="F273" i="2"/>
  <c r="E273" i="2"/>
  <c r="Q273" i="2" a="1"/>
  <c r="R273" i="2"/>
  <c r="Q273" i="2" l="1"/>
  <c r="H273" i="2"/>
  <c r="AM273" i="2" l="1"/>
  <c r="AB273" i="2"/>
  <c r="AX272" i="2"/>
  <c r="S273" i="2"/>
  <c r="BC272" i="2" a="1"/>
  <c r="AV272" i="2" a="1"/>
  <c r="AV272" i="2" l="1"/>
  <c r="BC272" i="2"/>
  <c r="Y273" i="2"/>
  <c r="X273" i="2"/>
  <c r="Z273" i="2"/>
  <c r="T273" i="2"/>
  <c r="U273" i="2" s="1"/>
  <c r="AU272" i="2" a="1"/>
  <c r="AU272" i="2" l="1"/>
  <c r="AW272" i="2" s="1"/>
  <c r="AT272" i="2" a="1"/>
  <c r="AS272" i="2"/>
  <c r="AR272" i="2"/>
  <c r="AQ272" i="2"/>
  <c r="AP272" i="2"/>
  <c r="AO272" i="2"/>
  <c r="AN272" i="2"/>
  <c r="AT272" i="2" l="1"/>
  <c r="AL272" i="2"/>
  <c r="AK272" i="2" a="1"/>
  <c r="AJ272" i="2"/>
  <c r="AI272" i="2"/>
  <c r="AH272" i="2"/>
  <c r="AK272" i="2" l="1"/>
  <c r="AG272" i="2" a="1"/>
  <c r="AG272" i="2" l="1"/>
  <c r="AF272" i="2" a="1"/>
  <c r="AF272" i="2" l="1"/>
  <c r="AE272" i="2"/>
  <c r="AD272" i="2" a="1"/>
  <c r="AD272" i="2" l="1"/>
  <c r="AC272" i="2" a="1"/>
  <c r="AC272" i="2" l="1"/>
  <c r="AA272" i="2"/>
  <c r="W272" i="2" a="1"/>
  <c r="W272" i="2" l="1"/>
  <c r="V272" i="2" a="1"/>
  <c r="V272" i="2" l="1"/>
  <c r="N272" i="2" a="1"/>
  <c r="N272" i="2" l="1"/>
  <c r="M272" i="2" a="1"/>
  <c r="M272" i="2" l="1"/>
  <c r="L272" i="2" a="1"/>
  <c r="L272" i="2" l="1"/>
  <c r="K272" i="2" a="1"/>
  <c r="J272" i="2"/>
  <c r="I272" i="2"/>
  <c r="K272" i="2" l="1"/>
  <c r="H272" i="2" a="1"/>
  <c r="F272" i="2"/>
  <c r="E272" i="2"/>
  <c r="Q272" i="2" a="1"/>
  <c r="R272" i="2"/>
  <c r="Q272" i="2" l="1"/>
  <c r="H272" i="2"/>
  <c r="AM272" i="2" l="1"/>
  <c r="AB272" i="2"/>
  <c r="AX271" i="2"/>
  <c r="S272" i="2"/>
  <c r="BC271" i="2" a="1"/>
  <c r="AV271" i="2" a="1"/>
  <c r="AV271" i="2" l="1"/>
  <c r="BC271" i="2"/>
  <c r="Y272" i="2"/>
  <c r="X272" i="2"/>
  <c r="Z272" i="2"/>
  <c r="T272" i="2"/>
  <c r="U272" i="2" s="1"/>
  <c r="AU271" i="2" a="1"/>
  <c r="AU271" i="2" l="1"/>
  <c r="AW271" i="2" s="1"/>
  <c r="AT271" i="2" a="1"/>
  <c r="AS271" i="2"/>
  <c r="AR271" i="2"/>
  <c r="AQ271" i="2"/>
  <c r="AP271" i="2"/>
  <c r="AO271" i="2"/>
  <c r="AN271" i="2"/>
  <c r="AT271" i="2" l="1"/>
  <c r="AL271" i="2"/>
  <c r="AK271" i="2" a="1"/>
  <c r="AJ271" i="2"/>
  <c r="AI271" i="2"/>
  <c r="AH271" i="2"/>
  <c r="AK271" i="2" l="1"/>
  <c r="AG271" i="2" a="1"/>
  <c r="AG271" i="2" l="1"/>
  <c r="AF271" i="2" a="1"/>
  <c r="AF271" i="2" l="1"/>
  <c r="AE271" i="2"/>
  <c r="AD271" i="2" a="1"/>
  <c r="AD271" i="2" l="1"/>
  <c r="AC271" i="2" a="1"/>
  <c r="AC271" i="2" l="1"/>
  <c r="AA271" i="2"/>
  <c r="W271" i="2" a="1"/>
  <c r="W271" i="2" l="1"/>
  <c r="V271" i="2" a="1"/>
  <c r="V271" i="2" l="1"/>
  <c r="N271" i="2" a="1"/>
  <c r="N271" i="2" l="1"/>
  <c r="M271" i="2" a="1"/>
  <c r="M271" i="2" l="1"/>
  <c r="L271" i="2" a="1"/>
  <c r="L271" i="2" l="1"/>
  <c r="K271" i="2" a="1"/>
  <c r="J271" i="2"/>
  <c r="I271" i="2"/>
  <c r="K271" i="2" l="1"/>
  <c r="H271" i="2" a="1"/>
  <c r="F271" i="2"/>
  <c r="E271" i="2"/>
  <c r="Q271" i="2" a="1"/>
  <c r="R271" i="2"/>
  <c r="Q271" i="2" l="1"/>
  <c r="H271" i="2"/>
  <c r="AM271" i="2" l="1"/>
  <c r="AB271" i="2"/>
  <c r="AX270" i="2"/>
  <c r="BC270" i="2" a="1"/>
  <c r="S271" i="2"/>
  <c r="AV270" i="2" a="1"/>
  <c r="AV270" i="2" l="1"/>
  <c r="Y271" i="2"/>
  <c r="X271" i="2"/>
  <c r="Z271" i="2"/>
  <c r="T271" i="2"/>
  <c r="U271" i="2" s="1"/>
  <c r="BC270" i="2"/>
  <c r="AU270" i="2" a="1"/>
  <c r="AU270" i="2" l="1"/>
  <c r="AW270" i="2" s="1"/>
  <c r="AT270" i="2" a="1"/>
  <c r="AS270" i="2"/>
  <c r="AR270" i="2"/>
  <c r="AQ270" i="2"/>
  <c r="AP270" i="2"/>
  <c r="AO270" i="2"/>
  <c r="AN270" i="2"/>
  <c r="AT270" i="2" l="1"/>
  <c r="AL270" i="2"/>
  <c r="AK270" i="2" a="1"/>
  <c r="AJ270" i="2"/>
  <c r="AI270" i="2"/>
  <c r="AH270" i="2"/>
  <c r="AK270" i="2" l="1"/>
  <c r="AG270" i="2" a="1"/>
  <c r="AG270" i="2" l="1"/>
  <c r="AF270" i="2" a="1"/>
  <c r="AF270" i="2" l="1"/>
  <c r="AE270" i="2"/>
  <c r="AD270" i="2" a="1"/>
  <c r="AD270" i="2" l="1"/>
  <c r="AC270" i="2" a="1"/>
  <c r="AC270" i="2" l="1"/>
  <c r="AA270" i="2"/>
  <c r="W270" i="2" a="1"/>
  <c r="W270" i="2" l="1"/>
  <c r="V270" i="2" a="1"/>
  <c r="V270" i="2" l="1"/>
  <c r="N270" i="2" a="1"/>
  <c r="N270" i="2" l="1"/>
  <c r="M270" i="2" a="1"/>
  <c r="M270" i="2" l="1"/>
  <c r="L270" i="2" a="1"/>
  <c r="L270" i="2" l="1"/>
  <c r="K270" i="2" a="1"/>
  <c r="J270" i="2"/>
  <c r="I270" i="2"/>
  <c r="K270" i="2" l="1"/>
  <c r="H270" i="2" a="1"/>
  <c r="F270" i="2"/>
  <c r="E270" i="2"/>
  <c r="Q270" i="2" a="1"/>
  <c r="R270" i="2"/>
  <c r="Q270" i="2" l="1"/>
  <c r="H270" i="2"/>
  <c r="AM270" i="2" l="1"/>
  <c r="AB270" i="2"/>
  <c r="AX269" i="2"/>
  <c r="BC269" i="2" a="1"/>
  <c r="S270" i="2"/>
  <c r="AV269" i="2" a="1"/>
  <c r="AV269" i="2" l="1"/>
  <c r="Y270" i="2"/>
  <c r="Z270" i="2"/>
  <c r="X270" i="2"/>
  <c r="T270" i="2"/>
  <c r="U270" i="2" s="1"/>
  <c r="BC269" i="2"/>
  <c r="AU269" i="2" a="1"/>
  <c r="AU269" i="2" l="1"/>
  <c r="AW269" i="2" s="1"/>
  <c r="AT269" i="2" a="1"/>
  <c r="AS269" i="2"/>
  <c r="AR269" i="2"/>
  <c r="AQ269" i="2"/>
  <c r="AP269" i="2"/>
  <c r="AO269" i="2"/>
  <c r="AN269" i="2"/>
  <c r="AT269" i="2" l="1"/>
  <c r="AL269" i="2"/>
  <c r="AK269" i="2" a="1"/>
  <c r="AJ269" i="2"/>
  <c r="AI269" i="2"/>
  <c r="AH269" i="2"/>
  <c r="AK269" i="2" l="1"/>
  <c r="AG269" i="2" a="1"/>
  <c r="AG269" i="2" l="1"/>
  <c r="AF269" i="2" a="1"/>
  <c r="AF269" i="2" l="1"/>
  <c r="AE269" i="2"/>
  <c r="AD269" i="2" a="1"/>
  <c r="AD269" i="2" l="1"/>
  <c r="AC269" i="2" a="1"/>
  <c r="AC269" i="2" l="1"/>
  <c r="AA269" i="2"/>
  <c r="W269" i="2" a="1"/>
  <c r="W269" i="2" l="1"/>
  <c r="V269" i="2" a="1"/>
  <c r="V269" i="2" l="1"/>
  <c r="N269" i="2" a="1"/>
  <c r="N269" i="2" l="1"/>
  <c r="M269" i="2" a="1"/>
  <c r="M269" i="2" l="1"/>
  <c r="L269" i="2" a="1"/>
  <c r="L269" i="2" l="1"/>
  <c r="K269" i="2" a="1"/>
  <c r="J269" i="2"/>
  <c r="I269" i="2"/>
  <c r="K269" i="2" l="1"/>
  <c r="H269" i="2" a="1"/>
  <c r="F269" i="2"/>
  <c r="E269" i="2"/>
  <c r="Q269" i="2" a="1"/>
  <c r="R269" i="2"/>
  <c r="Q269" i="2" l="1"/>
  <c r="H269" i="2"/>
  <c r="AM269" i="2" l="1"/>
  <c r="AB269" i="2"/>
  <c r="AX268" i="2"/>
  <c r="S269" i="2"/>
  <c r="BC268" i="2" a="1"/>
  <c r="AV268" i="2" a="1"/>
  <c r="AV268" i="2" l="1"/>
  <c r="BC268" i="2"/>
  <c r="Y269" i="2"/>
  <c r="X269" i="2"/>
  <c r="Z269" i="2"/>
  <c r="T269" i="2"/>
  <c r="U269" i="2" s="1"/>
  <c r="AU268" i="2" a="1"/>
  <c r="AU268" i="2" l="1"/>
  <c r="AW268" i="2" s="1"/>
  <c r="AT268" i="2" a="1"/>
  <c r="AS268" i="2"/>
  <c r="AR268" i="2"/>
  <c r="AQ268" i="2"/>
  <c r="AP268" i="2"/>
  <c r="AO268" i="2"/>
  <c r="AN268" i="2"/>
  <c r="AT268" i="2" l="1"/>
  <c r="AL268" i="2"/>
  <c r="AK268" i="2" a="1"/>
  <c r="AJ268" i="2"/>
  <c r="AI268" i="2"/>
  <c r="AH268" i="2"/>
  <c r="AK268" i="2" l="1"/>
  <c r="AG268" i="2" a="1"/>
  <c r="AG268" i="2" l="1"/>
  <c r="AF268" i="2" a="1"/>
  <c r="AF268" i="2" l="1"/>
  <c r="AE268" i="2"/>
  <c r="AD268" i="2" a="1"/>
  <c r="AD268" i="2" l="1"/>
  <c r="AC268" i="2" a="1"/>
  <c r="AC268" i="2" l="1"/>
  <c r="AA268" i="2"/>
  <c r="W268" i="2" a="1"/>
  <c r="W268" i="2" l="1"/>
  <c r="V268" i="2" a="1"/>
  <c r="V268" i="2" l="1"/>
  <c r="N268" i="2" a="1"/>
  <c r="N268" i="2" l="1"/>
  <c r="M268" i="2" a="1"/>
  <c r="M268" i="2" l="1"/>
  <c r="L268" i="2" a="1"/>
  <c r="L268" i="2" l="1"/>
  <c r="K268" i="2" a="1"/>
  <c r="J268" i="2"/>
  <c r="I268" i="2"/>
  <c r="K268" i="2" l="1"/>
  <c r="H268" i="2" a="1"/>
  <c r="F268" i="2"/>
  <c r="E268" i="2"/>
  <c r="Q268" i="2" a="1"/>
  <c r="R268" i="2"/>
  <c r="Q268" i="2" l="1"/>
  <c r="H268" i="2"/>
  <c r="AM268" i="2" l="1"/>
  <c r="AB268" i="2"/>
  <c r="AX267" i="2"/>
  <c r="BC267" i="2" a="1"/>
  <c r="S268" i="2"/>
  <c r="AV267" i="2" a="1"/>
  <c r="AV267" i="2" l="1"/>
  <c r="Y268" i="2"/>
  <c r="X268" i="2"/>
  <c r="Z268" i="2"/>
  <c r="T268" i="2"/>
  <c r="U268" i="2" s="1"/>
  <c r="BC267" i="2"/>
  <c r="AU267" i="2" a="1"/>
  <c r="AU267" i="2" l="1"/>
  <c r="AW267" i="2" s="1"/>
  <c r="AT267" i="2" a="1"/>
  <c r="AS267" i="2"/>
  <c r="AR267" i="2"/>
  <c r="AQ267" i="2"/>
  <c r="AP267" i="2"/>
  <c r="AO267" i="2"/>
  <c r="AN267" i="2"/>
  <c r="AT267" i="2" l="1"/>
  <c r="AL267" i="2"/>
  <c r="AK267" i="2" a="1"/>
  <c r="AJ267" i="2"/>
  <c r="AI267" i="2"/>
  <c r="AH267" i="2"/>
  <c r="AK267" i="2" l="1"/>
  <c r="AG267" i="2" a="1"/>
  <c r="AG267" i="2" l="1"/>
  <c r="AF267" i="2" a="1"/>
  <c r="AF267" i="2" l="1"/>
  <c r="AE267" i="2"/>
  <c r="AD267" i="2" a="1"/>
  <c r="AD267" i="2" l="1"/>
  <c r="AC267" i="2" a="1"/>
  <c r="AC267" i="2" l="1"/>
  <c r="AA267" i="2"/>
  <c r="W267" i="2" a="1"/>
  <c r="W267" i="2" l="1"/>
  <c r="V267" i="2" a="1"/>
  <c r="V267" i="2" l="1"/>
  <c r="N267" i="2" a="1"/>
  <c r="N267" i="2" l="1"/>
  <c r="M267" i="2" a="1"/>
  <c r="M267" i="2" l="1"/>
  <c r="L267" i="2" a="1"/>
  <c r="L267" i="2" l="1"/>
  <c r="K267" i="2" a="1"/>
  <c r="J267" i="2"/>
  <c r="I267" i="2"/>
  <c r="K267" i="2" l="1"/>
  <c r="H267" i="2" a="1"/>
  <c r="F267" i="2"/>
  <c r="E267" i="2"/>
  <c r="Q267" i="2" a="1"/>
  <c r="R267" i="2"/>
  <c r="Q267" i="2" l="1"/>
  <c r="H267" i="2"/>
  <c r="AM267" i="2" l="1"/>
  <c r="AB267" i="2"/>
  <c r="AX266" i="2"/>
  <c r="S267" i="2"/>
  <c r="BC266" i="2" a="1"/>
  <c r="AV266" i="2" a="1"/>
  <c r="AV266" i="2" l="1"/>
  <c r="BC266" i="2"/>
  <c r="Z267" i="2"/>
  <c r="X267" i="2"/>
  <c r="Y267" i="2"/>
  <c r="T267" i="2"/>
  <c r="U267" i="2" s="1"/>
  <c r="AU266" i="2" a="1"/>
  <c r="AU266" i="2" l="1"/>
  <c r="AW266" i="2" s="1"/>
  <c r="AT266" i="2" a="1"/>
  <c r="AS266" i="2"/>
  <c r="AR266" i="2"/>
  <c r="AQ266" i="2"/>
  <c r="AP266" i="2"/>
  <c r="AO266" i="2"/>
  <c r="AN266" i="2"/>
  <c r="AT266" i="2" l="1"/>
  <c r="AL266" i="2"/>
  <c r="AK266" i="2" a="1"/>
  <c r="AJ266" i="2"/>
  <c r="AI266" i="2"/>
  <c r="AH266" i="2"/>
  <c r="AK266" i="2" l="1"/>
  <c r="AG266" i="2" a="1"/>
  <c r="AG266" i="2" l="1"/>
  <c r="AF266" i="2" a="1"/>
  <c r="AF266" i="2" l="1"/>
  <c r="AE266" i="2"/>
  <c r="AD266" i="2" a="1"/>
  <c r="AD266" i="2" l="1"/>
  <c r="AC266" i="2" a="1"/>
  <c r="AC266" i="2" l="1"/>
  <c r="AA266" i="2"/>
  <c r="W266" i="2" a="1"/>
  <c r="W266" i="2" l="1"/>
  <c r="V266" i="2" a="1"/>
  <c r="V266" i="2" l="1"/>
  <c r="N266" i="2" a="1"/>
  <c r="N266" i="2" l="1"/>
  <c r="M266" i="2" a="1"/>
  <c r="M266" i="2" l="1"/>
  <c r="L266" i="2" a="1"/>
  <c r="L266" i="2" l="1"/>
  <c r="K266" i="2" a="1"/>
  <c r="J266" i="2"/>
  <c r="I266" i="2"/>
  <c r="K266" i="2" l="1"/>
  <c r="H266" i="2" a="1"/>
  <c r="F266" i="2"/>
  <c r="E266" i="2"/>
  <c r="Q266" i="2" a="1"/>
  <c r="R266" i="2"/>
  <c r="Q266" i="2" l="1"/>
  <c r="H266" i="2"/>
  <c r="AM266" i="2" l="1"/>
  <c r="AB266" i="2"/>
  <c r="AX265" i="2"/>
  <c r="BC265" i="2" a="1"/>
  <c r="S266" i="2"/>
  <c r="AV265" i="2" a="1"/>
  <c r="AV265" i="2" l="1"/>
  <c r="Z266" i="2"/>
  <c r="Y266" i="2"/>
  <c r="X266" i="2"/>
  <c r="T266" i="2"/>
  <c r="U266" i="2" s="1"/>
  <c r="BC265" i="2"/>
  <c r="AU265" i="2" a="1"/>
  <c r="AU265" i="2" l="1"/>
  <c r="AW265" i="2" s="1"/>
  <c r="AT265" i="2" a="1"/>
  <c r="AS265" i="2"/>
  <c r="AR265" i="2"/>
  <c r="AQ265" i="2"/>
  <c r="AP265" i="2"/>
  <c r="AO265" i="2"/>
  <c r="AN265" i="2"/>
  <c r="AT265" i="2" l="1"/>
  <c r="AL265" i="2"/>
  <c r="AK265" i="2" a="1"/>
  <c r="AJ265" i="2"/>
  <c r="AI265" i="2"/>
  <c r="AH265" i="2"/>
  <c r="AK265" i="2" l="1"/>
  <c r="AG265" i="2" a="1"/>
  <c r="AG265" i="2" l="1"/>
  <c r="AF265" i="2" a="1"/>
  <c r="AF265" i="2" l="1"/>
  <c r="AE265" i="2"/>
  <c r="AD265" i="2" a="1"/>
  <c r="AD265" i="2" l="1"/>
  <c r="AC265" i="2" a="1"/>
  <c r="AC265" i="2" l="1"/>
  <c r="AA265" i="2"/>
  <c r="W265" i="2" a="1"/>
  <c r="W265" i="2" l="1"/>
  <c r="V265" i="2" a="1"/>
  <c r="V265" i="2" l="1"/>
  <c r="N265" i="2" a="1"/>
  <c r="N265" i="2" l="1"/>
  <c r="M265" i="2" a="1"/>
  <c r="M265" i="2" l="1"/>
  <c r="L265" i="2" a="1"/>
  <c r="L265" i="2" l="1"/>
  <c r="K265" i="2" a="1"/>
  <c r="J265" i="2"/>
  <c r="I265" i="2"/>
  <c r="K265" i="2" l="1"/>
  <c r="H265" i="2" a="1"/>
  <c r="F265" i="2"/>
  <c r="E265" i="2"/>
  <c r="Q265" i="2" a="1"/>
  <c r="R265" i="2"/>
  <c r="Q265" i="2" l="1"/>
  <c r="H265" i="2"/>
  <c r="AM265" i="2" l="1"/>
  <c r="AB265" i="2"/>
  <c r="AX264" i="2"/>
  <c r="S265" i="2"/>
  <c r="BC264" i="2" a="1"/>
  <c r="AV264" i="2" a="1"/>
  <c r="AV264" i="2" l="1"/>
  <c r="BC264" i="2"/>
  <c r="Y265" i="2"/>
  <c r="Z265" i="2"/>
  <c r="X265" i="2"/>
  <c r="T265" i="2"/>
  <c r="U265" i="2" s="1"/>
  <c r="AU264" i="2" a="1"/>
  <c r="AU264" i="2" l="1"/>
  <c r="AW264" i="2" s="1"/>
  <c r="AT264" i="2" a="1"/>
  <c r="AS264" i="2"/>
  <c r="AR264" i="2"/>
  <c r="AQ264" i="2"/>
  <c r="AP264" i="2"/>
  <c r="AO264" i="2"/>
  <c r="AN264" i="2"/>
  <c r="AT264" i="2" l="1"/>
  <c r="AL264" i="2"/>
  <c r="AK264" i="2" a="1"/>
  <c r="AJ264" i="2"/>
  <c r="AI264" i="2"/>
  <c r="AH264" i="2"/>
  <c r="AK264" i="2" l="1"/>
  <c r="AG264" i="2" a="1"/>
  <c r="AG264" i="2" l="1"/>
  <c r="AF264" i="2" a="1"/>
  <c r="AF264" i="2" l="1"/>
  <c r="AE264" i="2"/>
  <c r="AD264" i="2" a="1"/>
  <c r="AD264" i="2" l="1"/>
  <c r="AC264" i="2" a="1"/>
  <c r="AC264" i="2" l="1"/>
  <c r="AA264" i="2"/>
  <c r="W264" i="2" a="1"/>
  <c r="W264" i="2" l="1"/>
  <c r="V264" i="2" a="1"/>
  <c r="V264" i="2" l="1"/>
  <c r="N264" i="2" a="1"/>
  <c r="N264" i="2" l="1"/>
  <c r="M264" i="2" a="1"/>
  <c r="M264" i="2" l="1"/>
  <c r="L264" i="2" a="1"/>
  <c r="L264" i="2" l="1"/>
  <c r="K264" i="2" a="1"/>
  <c r="J264" i="2"/>
  <c r="I264" i="2"/>
  <c r="K264" i="2" l="1"/>
  <c r="H264" i="2" a="1"/>
  <c r="F264" i="2"/>
  <c r="E264" i="2"/>
  <c r="Q264" i="2" a="1"/>
  <c r="R264" i="2"/>
  <c r="Q264" i="2" l="1"/>
  <c r="H264" i="2"/>
  <c r="AM264" i="2" l="1"/>
  <c r="AB264" i="2"/>
  <c r="AX263" i="2"/>
  <c r="BC263" i="2" a="1"/>
  <c r="S264" i="2"/>
  <c r="AV263" i="2" a="1"/>
  <c r="AV263" i="2" l="1"/>
  <c r="Z264" i="2"/>
  <c r="X264" i="2"/>
  <c r="Y264" i="2"/>
  <c r="T264" i="2"/>
  <c r="U264" i="2" s="1"/>
  <c r="BC263" i="2"/>
  <c r="AU263" i="2" a="1"/>
  <c r="AU263" i="2" l="1"/>
  <c r="AW263" i="2" s="1"/>
  <c r="AT263" i="2" a="1"/>
  <c r="AS263" i="2"/>
  <c r="AR263" i="2"/>
  <c r="AQ263" i="2"/>
  <c r="AP263" i="2"/>
  <c r="AO263" i="2"/>
  <c r="AN263" i="2"/>
  <c r="AT263" i="2" l="1"/>
  <c r="AL263" i="2"/>
  <c r="AK263" i="2" a="1"/>
  <c r="AJ263" i="2"/>
  <c r="AI263" i="2"/>
  <c r="AH263" i="2"/>
  <c r="AK263" i="2" l="1"/>
  <c r="AG263" i="2" a="1"/>
  <c r="AG263" i="2" l="1"/>
  <c r="AF263" i="2" a="1"/>
  <c r="AF263" i="2" l="1"/>
  <c r="AE263" i="2"/>
  <c r="AD263" i="2" a="1"/>
  <c r="AD263" i="2" l="1"/>
  <c r="AC263" i="2" a="1"/>
  <c r="AC263" i="2" l="1"/>
  <c r="AA263" i="2"/>
  <c r="W263" i="2" a="1"/>
  <c r="W263" i="2" l="1"/>
  <c r="V263" i="2" a="1"/>
  <c r="V263" i="2" l="1"/>
  <c r="N263" i="2" a="1"/>
  <c r="N263" i="2" l="1"/>
  <c r="M263" i="2" a="1"/>
  <c r="M263" i="2" l="1"/>
  <c r="L263" i="2" a="1"/>
  <c r="L263" i="2" l="1"/>
  <c r="K263" i="2" a="1"/>
  <c r="J263" i="2"/>
  <c r="I263" i="2"/>
  <c r="K263" i="2" l="1"/>
  <c r="H263" i="2" a="1"/>
  <c r="F263" i="2"/>
  <c r="E263" i="2"/>
  <c r="Q263" i="2" a="1"/>
  <c r="R263" i="2"/>
  <c r="Q263" i="2" l="1"/>
  <c r="H263" i="2"/>
  <c r="AM263" i="2" l="1"/>
  <c r="AB263" i="2"/>
  <c r="AX262" i="2"/>
  <c r="BC262" i="2" a="1"/>
  <c r="S263" i="2"/>
  <c r="AV262" i="2" a="1"/>
  <c r="AV262" i="2" l="1"/>
  <c r="Z263" i="2"/>
  <c r="Y263" i="2"/>
  <c r="X263" i="2"/>
  <c r="T263" i="2"/>
  <c r="U263" i="2" s="1"/>
  <c r="BC262" i="2"/>
  <c r="AU262" i="2" a="1"/>
  <c r="AU262" i="2" l="1"/>
  <c r="AW262" i="2" s="1"/>
  <c r="AT262" i="2" a="1"/>
  <c r="AS262" i="2"/>
  <c r="AR262" i="2"/>
  <c r="AQ262" i="2"/>
  <c r="AP262" i="2"/>
  <c r="AO262" i="2"/>
  <c r="AN262" i="2"/>
  <c r="AT262" i="2" l="1"/>
  <c r="AL262" i="2"/>
  <c r="AK262" i="2" a="1"/>
  <c r="AJ262" i="2"/>
  <c r="AI262" i="2"/>
  <c r="AH262" i="2"/>
  <c r="AK262" i="2" l="1"/>
  <c r="AG262" i="2" a="1"/>
  <c r="AG262" i="2" l="1"/>
  <c r="AF262" i="2" a="1"/>
  <c r="AF262" i="2" l="1"/>
  <c r="AE262" i="2"/>
  <c r="AD262" i="2" a="1"/>
  <c r="AD262" i="2" l="1"/>
  <c r="AC262" i="2" a="1"/>
  <c r="AC262" i="2" l="1"/>
  <c r="AA262" i="2"/>
  <c r="W262" i="2" a="1"/>
  <c r="W262" i="2" l="1"/>
  <c r="V262" i="2" a="1"/>
  <c r="V262" i="2" l="1"/>
  <c r="N262" i="2" a="1"/>
  <c r="N262" i="2" l="1"/>
  <c r="M262" i="2" a="1"/>
  <c r="M262" i="2" l="1"/>
  <c r="L262" i="2" a="1"/>
  <c r="L262" i="2" l="1"/>
  <c r="K262" i="2" a="1"/>
  <c r="J262" i="2"/>
  <c r="I262" i="2"/>
  <c r="K262" i="2" l="1"/>
  <c r="H262" i="2" a="1"/>
  <c r="F262" i="2"/>
  <c r="E262" i="2"/>
  <c r="Q262" i="2" a="1"/>
  <c r="R262" i="2"/>
  <c r="Q262" i="2" l="1"/>
  <c r="H262" i="2"/>
  <c r="AM262" i="2" l="1"/>
  <c r="AB262" i="2"/>
  <c r="AX261" i="2"/>
  <c r="S262" i="2"/>
  <c r="BC261" i="2" a="1"/>
  <c r="AV261" i="2" a="1"/>
  <c r="AV261" i="2" l="1"/>
  <c r="BC261" i="2"/>
  <c r="Z262" i="2"/>
  <c r="Y262" i="2"/>
  <c r="X262" i="2"/>
  <c r="T262" i="2"/>
  <c r="U262" i="2" s="1"/>
  <c r="AU261" i="2" a="1"/>
  <c r="AU261" i="2" l="1"/>
  <c r="AW261" i="2" s="1"/>
  <c r="AT261" i="2" a="1"/>
  <c r="AS261" i="2"/>
  <c r="AR261" i="2"/>
  <c r="AQ261" i="2"/>
  <c r="AP261" i="2"/>
  <c r="AO261" i="2"/>
  <c r="AN261" i="2"/>
  <c r="AT261" i="2" l="1"/>
  <c r="AL261" i="2"/>
  <c r="AK261" i="2" a="1"/>
  <c r="AJ261" i="2"/>
  <c r="AI261" i="2"/>
  <c r="AH261" i="2"/>
  <c r="AK261" i="2" l="1"/>
  <c r="AG261" i="2" a="1"/>
  <c r="AG261" i="2" l="1"/>
  <c r="AF261" i="2" a="1"/>
  <c r="AF261" i="2" l="1"/>
  <c r="AE261" i="2"/>
  <c r="AD261" i="2" a="1"/>
  <c r="AD261" i="2" l="1"/>
  <c r="AC261" i="2" a="1"/>
  <c r="AC261" i="2" l="1"/>
  <c r="AA261" i="2"/>
  <c r="W261" i="2" a="1"/>
  <c r="W261" i="2" l="1"/>
  <c r="V261" i="2" a="1"/>
  <c r="V261" i="2" l="1"/>
  <c r="N261" i="2" a="1"/>
  <c r="N261" i="2" l="1"/>
  <c r="M261" i="2" a="1"/>
  <c r="M261" i="2" l="1"/>
  <c r="L261" i="2" a="1"/>
  <c r="L261" i="2" l="1"/>
  <c r="K261" i="2" a="1"/>
  <c r="J261" i="2"/>
  <c r="I261" i="2"/>
  <c r="K261" i="2" l="1"/>
  <c r="H261" i="2" a="1"/>
  <c r="F261" i="2"/>
  <c r="E261" i="2"/>
  <c r="Q261" i="2" a="1"/>
  <c r="R261" i="2"/>
  <c r="Q261" i="2" l="1"/>
  <c r="H261" i="2"/>
  <c r="AM261" i="2" l="1"/>
  <c r="AB261" i="2"/>
  <c r="AX260" i="2"/>
  <c r="BC260" i="2" a="1"/>
  <c r="S261" i="2"/>
  <c r="AV260" i="2" a="1"/>
  <c r="AV260" i="2" l="1"/>
  <c r="Y261" i="2"/>
  <c r="Z261" i="2"/>
  <c r="X261" i="2"/>
  <c r="T261" i="2"/>
  <c r="U261" i="2" s="1"/>
  <c r="BC260" i="2"/>
  <c r="AU260" i="2" a="1"/>
  <c r="AU260" i="2" l="1"/>
  <c r="AW260" i="2" s="1"/>
  <c r="AT260" i="2" a="1"/>
  <c r="AS260" i="2"/>
  <c r="AR260" i="2"/>
  <c r="AQ260" i="2"/>
  <c r="AP260" i="2"/>
  <c r="AO260" i="2"/>
  <c r="AN260" i="2"/>
  <c r="AT260" i="2" l="1"/>
  <c r="AL260" i="2"/>
  <c r="AK260" i="2" a="1"/>
  <c r="AJ260" i="2"/>
  <c r="AI260" i="2"/>
  <c r="AH260" i="2"/>
  <c r="AK260" i="2" l="1"/>
  <c r="AG260" i="2" a="1"/>
  <c r="AG260" i="2" l="1"/>
  <c r="AF260" i="2" a="1"/>
  <c r="AF260" i="2" l="1"/>
  <c r="AE260" i="2"/>
  <c r="AD260" i="2" a="1"/>
  <c r="AD260" i="2" l="1"/>
  <c r="AC260" i="2" a="1"/>
  <c r="AC260" i="2" l="1"/>
  <c r="AA260" i="2"/>
  <c r="W260" i="2" a="1"/>
  <c r="W260" i="2" l="1"/>
  <c r="V260" i="2" a="1"/>
  <c r="V260" i="2" l="1"/>
  <c r="N260" i="2" a="1"/>
  <c r="N260" i="2" l="1"/>
  <c r="M260" i="2" a="1"/>
  <c r="M260" i="2" l="1"/>
  <c r="L260" i="2" a="1"/>
  <c r="L260" i="2" l="1"/>
  <c r="K260" i="2" a="1"/>
  <c r="J260" i="2"/>
  <c r="I260" i="2"/>
  <c r="K260" i="2" l="1"/>
  <c r="H260" i="2" a="1"/>
  <c r="F260" i="2"/>
  <c r="E260" i="2"/>
  <c r="Q260" i="2" a="1"/>
  <c r="R260" i="2"/>
  <c r="Q260" i="2" l="1"/>
  <c r="H260" i="2"/>
  <c r="AM260" i="2" l="1"/>
  <c r="AB260" i="2"/>
  <c r="AX259" i="2"/>
  <c r="BC259" i="2" a="1"/>
  <c r="S260" i="2"/>
  <c r="AV259" i="2" a="1"/>
  <c r="AV259" i="2" l="1"/>
  <c r="Y260" i="2"/>
  <c r="X260" i="2"/>
  <c r="Z260" i="2"/>
  <c r="T260" i="2"/>
  <c r="U260" i="2" s="1"/>
  <c r="BC259" i="2"/>
  <c r="AU259" i="2" a="1"/>
  <c r="AU259" i="2" l="1"/>
  <c r="AW259" i="2" s="1"/>
  <c r="AT259" i="2" a="1"/>
  <c r="AS259" i="2"/>
  <c r="AR259" i="2"/>
  <c r="AQ259" i="2"/>
  <c r="AP259" i="2"/>
  <c r="AO259" i="2"/>
  <c r="AN259" i="2"/>
  <c r="AT259" i="2" l="1"/>
  <c r="AL259" i="2"/>
  <c r="AK259" i="2" a="1"/>
  <c r="AJ259" i="2"/>
  <c r="AI259" i="2"/>
  <c r="AH259" i="2"/>
  <c r="AK259" i="2" l="1"/>
  <c r="AG259" i="2" a="1"/>
  <c r="AG259" i="2" l="1"/>
  <c r="AF259" i="2" a="1"/>
  <c r="AF259" i="2" l="1"/>
  <c r="AE259" i="2"/>
  <c r="AD259" i="2" a="1"/>
  <c r="AD259" i="2" l="1"/>
  <c r="AC259" i="2" a="1"/>
  <c r="AC259" i="2" l="1"/>
  <c r="AA259" i="2"/>
  <c r="W259" i="2" a="1"/>
  <c r="W259" i="2" l="1"/>
  <c r="V259" i="2" a="1"/>
  <c r="V259" i="2" l="1"/>
  <c r="N259" i="2" a="1"/>
  <c r="N259" i="2" l="1"/>
  <c r="M259" i="2" a="1"/>
  <c r="M259" i="2" l="1"/>
  <c r="L259" i="2" a="1"/>
  <c r="L259" i="2" l="1"/>
  <c r="K259" i="2" a="1"/>
  <c r="J259" i="2"/>
  <c r="I259" i="2"/>
  <c r="K259" i="2" l="1"/>
  <c r="H259" i="2" a="1"/>
  <c r="F259" i="2"/>
  <c r="E259" i="2"/>
  <c r="Q259" i="2" a="1"/>
  <c r="R259" i="2"/>
  <c r="Q259" i="2" l="1"/>
  <c r="H259" i="2"/>
  <c r="AM259" i="2" l="1"/>
  <c r="AB259" i="2"/>
  <c r="AX258" i="2"/>
  <c r="S259" i="2"/>
  <c r="BC258" i="2" a="1"/>
  <c r="AV258" i="2" a="1"/>
  <c r="AV258" i="2" l="1"/>
  <c r="BC258" i="2"/>
  <c r="Y259" i="2"/>
  <c r="X259" i="2"/>
  <c r="Z259" i="2"/>
  <c r="T259" i="2"/>
  <c r="U259" i="2" s="1"/>
  <c r="AU258" i="2" a="1"/>
  <c r="AU258" i="2" l="1"/>
  <c r="AW258" i="2" s="1"/>
  <c r="AT258" i="2" a="1"/>
  <c r="AS258" i="2"/>
  <c r="AR258" i="2"/>
  <c r="AQ258" i="2"/>
  <c r="AP258" i="2"/>
  <c r="AO258" i="2"/>
  <c r="AN258" i="2"/>
  <c r="AT258" i="2" l="1"/>
  <c r="AL258" i="2"/>
  <c r="AK258" i="2" a="1"/>
  <c r="AJ258" i="2"/>
  <c r="AI258" i="2"/>
  <c r="AH258" i="2"/>
  <c r="AK258" i="2" l="1"/>
  <c r="AG258" i="2" a="1"/>
  <c r="AG258" i="2" l="1"/>
  <c r="AF258" i="2" a="1"/>
  <c r="AF258" i="2" l="1"/>
  <c r="AE258" i="2"/>
  <c r="AD258" i="2" a="1"/>
  <c r="AD258" i="2" l="1"/>
  <c r="AC258" i="2" a="1"/>
  <c r="AC258" i="2" l="1"/>
  <c r="AA258" i="2"/>
  <c r="W258" i="2" a="1"/>
  <c r="W258" i="2" l="1"/>
  <c r="V258" i="2" a="1"/>
  <c r="V258" i="2" l="1"/>
  <c r="N258" i="2" a="1"/>
  <c r="N258" i="2" l="1"/>
  <c r="M258" i="2" a="1"/>
  <c r="M258" i="2" l="1"/>
  <c r="L258" i="2" a="1"/>
  <c r="L258" i="2" l="1"/>
  <c r="K258" i="2" a="1"/>
  <c r="J258" i="2"/>
  <c r="I258" i="2"/>
  <c r="K258" i="2" l="1"/>
  <c r="H258" i="2" a="1"/>
  <c r="F258" i="2"/>
  <c r="E258" i="2"/>
  <c r="Q258" i="2" a="1"/>
  <c r="R258" i="2"/>
  <c r="Q258" i="2" l="1"/>
  <c r="H258" i="2"/>
  <c r="AM258" i="2" l="1"/>
  <c r="AB258" i="2"/>
  <c r="AX257" i="2"/>
  <c r="BC257" i="2" a="1"/>
  <c r="S258" i="2"/>
  <c r="AV257" i="2" a="1"/>
  <c r="AV257" i="2" l="1"/>
  <c r="Z258" i="2"/>
  <c r="X258" i="2"/>
  <c r="Y258" i="2"/>
  <c r="T258" i="2"/>
  <c r="U258" i="2" s="1"/>
  <c r="BC257" i="2"/>
  <c r="AU257" i="2" a="1"/>
  <c r="AU257" i="2" l="1"/>
  <c r="AW257" i="2" s="1"/>
  <c r="AT257" i="2" a="1"/>
  <c r="AS257" i="2"/>
  <c r="AR257" i="2"/>
  <c r="AQ257" i="2"/>
  <c r="AP257" i="2"/>
  <c r="AO257" i="2"/>
  <c r="AN257" i="2"/>
  <c r="AT257" i="2" l="1"/>
  <c r="AL257" i="2"/>
  <c r="AK257" i="2" a="1"/>
  <c r="AJ257" i="2"/>
  <c r="AI257" i="2"/>
  <c r="AH257" i="2"/>
  <c r="AK257" i="2" l="1"/>
  <c r="AG257" i="2" a="1"/>
  <c r="AG257" i="2" l="1"/>
  <c r="AF257" i="2" a="1"/>
  <c r="AF257" i="2" l="1"/>
  <c r="AE257" i="2"/>
  <c r="AD257" i="2" a="1"/>
  <c r="AD257" i="2" l="1"/>
  <c r="AC257" i="2" a="1"/>
  <c r="AC257" i="2" l="1"/>
  <c r="AA257" i="2"/>
  <c r="W257" i="2" a="1"/>
  <c r="W257" i="2" l="1"/>
  <c r="V257" i="2" a="1"/>
  <c r="V257" i="2" l="1"/>
  <c r="N257" i="2" a="1"/>
  <c r="N257" i="2" l="1"/>
  <c r="M257" i="2" a="1"/>
  <c r="M257" i="2" l="1"/>
  <c r="L257" i="2" a="1"/>
  <c r="L257" i="2" l="1"/>
  <c r="K257" i="2" a="1"/>
  <c r="J257" i="2"/>
  <c r="K257" i="2" l="1"/>
  <c r="H257" i="2" a="1"/>
  <c r="F257" i="2"/>
  <c r="E257" i="2"/>
  <c r="Q257" i="2" a="1"/>
  <c r="R257" i="2"/>
  <c r="Q257" i="2" l="1"/>
  <c r="H257" i="2"/>
  <c r="AM257" i="2" l="1"/>
  <c r="AB257" i="2"/>
  <c r="AX256" i="2"/>
  <c r="BC256" i="2" a="1"/>
  <c r="S257" i="2"/>
  <c r="AV256" i="2" a="1"/>
  <c r="AV256" i="2" l="1"/>
  <c r="Y257" i="2"/>
  <c r="X257" i="2"/>
  <c r="Z257" i="2"/>
  <c r="T257" i="2"/>
  <c r="U257" i="2" s="1"/>
  <c r="BC256" i="2"/>
  <c r="AU256" i="2" a="1"/>
  <c r="AU256" i="2" l="1"/>
  <c r="AW256" i="2" s="1"/>
  <c r="AT256" i="2" a="1"/>
  <c r="AS256" i="2"/>
  <c r="AR256" i="2"/>
  <c r="AQ256" i="2"/>
  <c r="AP256" i="2"/>
  <c r="AO256" i="2"/>
  <c r="AN256" i="2"/>
  <c r="AT256" i="2" l="1"/>
  <c r="AL256" i="2"/>
  <c r="AK256" i="2" a="1"/>
  <c r="AJ256" i="2"/>
  <c r="AI256" i="2"/>
  <c r="AH256" i="2"/>
  <c r="AK256" i="2" l="1"/>
  <c r="AG256" i="2" a="1"/>
  <c r="AG256" i="2" l="1"/>
  <c r="AF256" i="2" a="1"/>
  <c r="AF256" i="2" l="1"/>
  <c r="AE256" i="2"/>
  <c r="AD256" i="2" a="1"/>
  <c r="AD256" i="2" l="1"/>
  <c r="AC256" i="2" a="1"/>
  <c r="AC256" i="2" l="1"/>
  <c r="AA256" i="2"/>
  <c r="W256" i="2" a="1"/>
  <c r="W256" i="2" l="1"/>
  <c r="V256" i="2" a="1"/>
  <c r="V256" i="2" l="1"/>
  <c r="N256" i="2" a="1"/>
  <c r="N256" i="2" l="1"/>
  <c r="M256" i="2" a="1"/>
  <c r="M256" i="2" l="1"/>
  <c r="L256" i="2" a="1"/>
  <c r="L256" i="2" l="1"/>
  <c r="K256" i="2" a="1"/>
  <c r="J256" i="2"/>
  <c r="I256" i="2"/>
  <c r="K256" i="2" l="1"/>
  <c r="H256" i="2" a="1"/>
  <c r="F256" i="2"/>
  <c r="E256" i="2"/>
  <c r="Q256" i="2" a="1"/>
  <c r="R256" i="2"/>
  <c r="Q256" i="2" l="1"/>
  <c r="H256" i="2"/>
  <c r="AM256" i="2" l="1"/>
  <c r="AB256" i="2"/>
  <c r="AX255" i="2"/>
  <c r="S256" i="2"/>
  <c r="BC255" i="2" a="1"/>
  <c r="AV255" i="2" a="1"/>
  <c r="AV255" i="2" l="1"/>
  <c r="BC255" i="2"/>
  <c r="Y256" i="2"/>
  <c r="X256" i="2"/>
  <c r="Z256" i="2"/>
  <c r="T256" i="2"/>
  <c r="U256" i="2" s="1"/>
  <c r="AU255" i="2" a="1"/>
  <c r="AU255" i="2" l="1"/>
  <c r="AW255" i="2" s="1"/>
  <c r="AT255" i="2" a="1"/>
  <c r="AS255" i="2"/>
  <c r="AR255" i="2"/>
  <c r="AQ255" i="2"/>
  <c r="AP255" i="2"/>
  <c r="AO255" i="2"/>
  <c r="AN255" i="2"/>
  <c r="AT255" i="2" l="1"/>
  <c r="AL255" i="2"/>
  <c r="AK255" i="2" a="1"/>
  <c r="AJ255" i="2"/>
  <c r="AI255" i="2"/>
  <c r="AH255" i="2"/>
  <c r="AK255" i="2" l="1"/>
  <c r="AG255" i="2" a="1"/>
  <c r="AG255" i="2" l="1"/>
  <c r="AF255" i="2" a="1"/>
  <c r="AF255" i="2" l="1"/>
  <c r="AE255" i="2"/>
  <c r="AD255" i="2" a="1"/>
  <c r="AD255" i="2" l="1"/>
  <c r="AC255" i="2" a="1"/>
  <c r="AC255" i="2" l="1"/>
  <c r="AA255" i="2"/>
  <c r="W255" i="2" a="1"/>
  <c r="W255" i="2" l="1"/>
  <c r="V255" i="2" a="1"/>
  <c r="V255" i="2" l="1"/>
  <c r="N255" i="2" a="1"/>
  <c r="N255" i="2" l="1"/>
  <c r="M255" i="2" a="1"/>
  <c r="M255" i="2" l="1"/>
  <c r="L255" i="2" a="1"/>
  <c r="L255" i="2" l="1"/>
  <c r="K255" i="2" a="1"/>
  <c r="J255" i="2"/>
  <c r="I255" i="2"/>
  <c r="K255" i="2" l="1"/>
  <c r="H255" i="2" a="1"/>
  <c r="F255" i="2"/>
  <c r="E255" i="2"/>
  <c r="Q255" i="2" a="1"/>
  <c r="R255" i="2"/>
  <c r="Q255" i="2" l="1"/>
  <c r="H255" i="2"/>
  <c r="AM255" i="2" l="1"/>
  <c r="AB255" i="2"/>
  <c r="AX254" i="2"/>
  <c r="BC254" i="2" a="1"/>
  <c r="S255" i="2"/>
  <c r="AV254" i="2" a="1"/>
  <c r="AV254" i="2" l="1"/>
  <c r="Y255" i="2"/>
  <c r="X255" i="2"/>
  <c r="Z255" i="2"/>
  <c r="T255" i="2"/>
  <c r="U255" i="2" s="1"/>
  <c r="BC254" i="2"/>
  <c r="AU254" i="2" a="1"/>
  <c r="AU254" i="2" l="1"/>
  <c r="AW254" i="2" s="1"/>
  <c r="AT254" i="2" a="1"/>
  <c r="AS254" i="2"/>
  <c r="AR254" i="2"/>
  <c r="AQ254" i="2"/>
  <c r="AP254" i="2"/>
  <c r="AO254" i="2"/>
  <c r="AN254" i="2"/>
  <c r="AT254" i="2" l="1"/>
  <c r="AL254" i="2"/>
  <c r="AK254" i="2" a="1"/>
  <c r="AJ254" i="2"/>
  <c r="AI254" i="2"/>
  <c r="AH254" i="2"/>
  <c r="AK254" i="2" l="1"/>
  <c r="AG254" i="2" a="1"/>
  <c r="AG254" i="2" l="1"/>
  <c r="AF254" i="2" a="1"/>
  <c r="AF254" i="2" l="1"/>
  <c r="AE254" i="2"/>
  <c r="AD254" i="2" a="1"/>
  <c r="AD254" i="2" l="1"/>
  <c r="AC254" i="2" a="1"/>
  <c r="AC254" i="2" l="1"/>
  <c r="AA254" i="2"/>
  <c r="W254" i="2" a="1"/>
  <c r="W254" i="2" l="1"/>
  <c r="V254" i="2" a="1"/>
  <c r="V254" i="2" l="1"/>
  <c r="N254" i="2" a="1"/>
  <c r="N254" i="2" l="1"/>
  <c r="M254" i="2" a="1"/>
  <c r="M254" i="2" l="1"/>
  <c r="L254" i="2" a="1"/>
  <c r="L254" i="2" l="1"/>
  <c r="K254" i="2" a="1"/>
  <c r="J254" i="2"/>
  <c r="I254" i="2"/>
  <c r="K254" i="2" l="1"/>
  <c r="H254" i="2" a="1"/>
  <c r="F254" i="2"/>
  <c r="E254" i="2"/>
  <c r="Q254" i="2" a="1"/>
  <c r="R254" i="2"/>
  <c r="Q254" i="2" l="1"/>
  <c r="H254" i="2"/>
  <c r="AX253" i="2"/>
  <c r="AV253" i="2" a="1"/>
  <c r="AV253" i="2" l="1"/>
  <c r="AM254" i="2"/>
  <c r="AB254" i="2"/>
  <c r="S254" i="2"/>
  <c r="AU253" i="2" a="1"/>
  <c r="AU253" i="2" l="1"/>
  <c r="AW253" i="2" s="1"/>
  <c r="Z254" i="2"/>
  <c r="X254" i="2"/>
  <c r="Y254" i="2"/>
  <c r="T254" i="2"/>
  <c r="U254" i="2" s="1"/>
  <c r="AT253" i="2" a="1"/>
  <c r="AS253" i="2"/>
  <c r="AR253" i="2"/>
  <c r="AQ253" i="2"/>
  <c r="AP253" i="2"/>
  <c r="AO253" i="2"/>
  <c r="AN253" i="2"/>
  <c r="AT253" i="2" l="1"/>
  <c r="AL253" i="2"/>
  <c r="AK253" i="2" a="1"/>
  <c r="AJ253" i="2"/>
  <c r="AI253" i="2"/>
  <c r="AH253" i="2"/>
  <c r="AK253" i="2" l="1"/>
  <c r="AG253" i="2" a="1"/>
  <c r="AG253" i="2" l="1"/>
  <c r="AF253" i="2" a="1"/>
  <c r="AF253" i="2" l="1"/>
  <c r="AE253" i="2"/>
  <c r="AD253" i="2" a="1"/>
  <c r="AD253" i="2" l="1"/>
  <c r="AC253" i="2" a="1"/>
  <c r="AC253" i="2" l="1"/>
  <c r="AA253" i="2"/>
  <c r="W253" i="2" a="1"/>
  <c r="W253" i="2" l="1"/>
  <c r="V253" i="2" a="1"/>
  <c r="V253" i="2" l="1"/>
  <c r="N253" i="2" a="1"/>
  <c r="N253" i="2" l="1"/>
  <c r="M253" i="2" a="1"/>
  <c r="M253" i="2" l="1"/>
  <c r="L253" i="2" a="1"/>
  <c r="L253" i="2" l="1"/>
  <c r="K253" i="2" a="1"/>
  <c r="J253" i="2"/>
  <c r="I253" i="2"/>
  <c r="K253" i="2" l="1"/>
  <c r="H253" i="2" a="1"/>
  <c r="F253" i="2"/>
  <c r="E253" i="2"/>
  <c r="Q253" i="2" a="1"/>
  <c r="R253" i="2"/>
  <c r="Q253" i="2" l="1"/>
  <c r="H253" i="2"/>
  <c r="AM253" i="2" l="1"/>
  <c r="AB253" i="2"/>
  <c r="AX252" i="2"/>
  <c r="S253" i="2"/>
  <c r="BC252" i="2" a="1"/>
  <c r="AV252" i="2" a="1"/>
  <c r="AV252" i="2" l="1"/>
  <c r="BC252" i="2"/>
  <c r="Y253" i="2"/>
  <c r="X253" i="2"/>
  <c r="Z253" i="2"/>
  <c r="T253" i="2"/>
  <c r="U253" i="2" s="1"/>
  <c r="AU252" i="2" a="1"/>
  <c r="AU252" i="2" l="1"/>
  <c r="AW252" i="2" s="1"/>
  <c r="AT252" i="2" a="1"/>
  <c r="AS252" i="2"/>
  <c r="AR252" i="2"/>
  <c r="AQ252" i="2"/>
  <c r="AP252" i="2"/>
  <c r="AO252" i="2"/>
  <c r="AN252" i="2"/>
  <c r="AT252" i="2" l="1"/>
  <c r="AL252" i="2"/>
  <c r="AK252" i="2" a="1"/>
  <c r="AJ252" i="2"/>
  <c r="AI252" i="2"/>
  <c r="AH252" i="2"/>
  <c r="AK252" i="2" l="1"/>
  <c r="AG252" i="2" a="1"/>
  <c r="AG252" i="2" l="1"/>
  <c r="AF252" i="2" a="1"/>
  <c r="AF252" i="2" l="1"/>
  <c r="AE252" i="2"/>
  <c r="AD252" i="2" a="1"/>
  <c r="AD252" i="2" l="1"/>
  <c r="AC252" i="2" a="1"/>
  <c r="AC252" i="2" l="1"/>
  <c r="AA252" i="2"/>
  <c r="W252" i="2" a="1"/>
  <c r="W252" i="2" l="1"/>
  <c r="V252" i="2" a="1"/>
  <c r="V252" i="2" l="1"/>
  <c r="N252" i="2" a="1"/>
  <c r="N252" i="2" l="1"/>
  <c r="M252" i="2" a="1"/>
  <c r="M252" i="2" l="1"/>
  <c r="L252" i="2" a="1"/>
  <c r="L252" i="2" l="1"/>
  <c r="K252" i="2" a="1"/>
  <c r="J252" i="2"/>
  <c r="I252" i="2"/>
  <c r="K252" i="2" l="1"/>
  <c r="H252" i="2" a="1"/>
  <c r="F252" i="2"/>
  <c r="E252" i="2"/>
  <c r="Q252" i="2" a="1"/>
  <c r="R252" i="2"/>
  <c r="Q252" i="2" l="1"/>
  <c r="H252" i="2"/>
  <c r="AM252" i="2" l="1"/>
  <c r="AB252" i="2"/>
  <c r="AX251" i="2"/>
  <c r="S252" i="2"/>
  <c r="BC251" i="2" a="1"/>
  <c r="AV251" i="2" a="1"/>
  <c r="AV251" i="2" l="1"/>
  <c r="BC251" i="2"/>
  <c r="Z252" i="2"/>
  <c r="X252" i="2"/>
  <c r="Y252" i="2"/>
  <c r="T252" i="2"/>
  <c r="U252" i="2" s="1"/>
  <c r="AU251" i="2" a="1"/>
  <c r="AU251" i="2" l="1"/>
  <c r="AW251" i="2" s="1"/>
  <c r="AT251" i="2" a="1"/>
  <c r="AS251" i="2"/>
  <c r="AR251" i="2"/>
  <c r="AQ251" i="2"/>
  <c r="AP251" i="2"/>
  <c r="AO251" i="2"/>
  <c r="AN251" i="2"/>
  <c r="AT251" i="2" l="1"/>
  <c r="AL251" i="2"/>
  <c r="AK251" i="2" a="1"/>
  <c r="AJ251" i="2"/>
  <c r="AI251" i="2"/>
  <c r="AH251" i="2"/>
  <c r="AK251" i="2" l="1"/>
  <c r="AG251" i="2" a="1"/>
  <c r="AG251" i="2" l="1"/>
  <c r="AF251" i="2" a="1"/>
  <c r="AF251" i="2" l="1"/>
  <c r="AE251" i="2"/>
  <c r="AD251" i="2" a="1"/>
  <c r="AD251" i="2" l="1"/>
  <c r="AC251" i="2" a="1"/>
  <c r="AC251" i="2" l="1"/>
  <c r="AA251" i="2"/>
  <c r="W251" i="2" a="1"/>
  <c r="W251" i="2" l="1"/>
  <c r="V251" i="2" a="1"/>
  <c r="V251" i="2" l="1"/>
  <c r="N251" i="2" a="1"/>
  <c r="N251" i="2" l="1"/>
  <c r="M251" i="2" a="1"/>
  <c r="M251" i="2" l="1"/>
  <c r="L251" i="2" a="1"/>
  <c r="L251" i="2" l="1"/>
  <c r="K251" i="2" a="1"/>
  <c r="J251" i="2"/>
  <c r="I251" i="2"/>
  <c r="K251" i="2" l="1"/>
  <c r="H251" i="2" a="1"/>
  <c r="F251" i="2"/>
  <c r="E251" i="2"/>
  <c r="Q251" i="2" a="1"/>
  <c r="R251" i="2"/>
  <c r="Q251" i="2" l="1"/>
  <c r="H251" i="2"/>
  <c r="AM251" i="2" l="1"/>
  <c r="AB251" i="2"/>
  <c r="AX250" i="2"/>
  <c r="S251" i="2"/>
  <c r="BC250" i="2" a="1"/>
  <c r="AV250" i="2" a="1"/>
  <c r="AV250" i="2" l="1"/>
  <c r="BC250" i="2"/>
  <c r="Z251" i="2"/>
  <c r="X251" i="2"/>
  <c r="Y251" i="2"/>
  <c r="T251" i="2"/>
  <c r="U251" i="2" s="1"/>
  <c r="AU250" i="2" a="1"/>
  <c r="AU250" i="2" l="1"/>
  <c r="AW250" i="2" s="1"/>
  <c r="AT250" i="2" a="1"/>
  <c r="AS250" i="2"/>
  <c r="AR250" i="2"/>
  <c r="AQ250" i="2"/>
  <c r="AP250" i="2"/>
  <c r="AO250" i="2"/>
  <c r="AN250" i="2"/>
  <c r="AT250" i="2" l="1"/>
  <c r="AL250" i="2"/>
  <c r="AK250" i="2" a="1"/>
  <c r="AJ250" i="2"/>
  <c r="AI250" i="2"/>
  <c r="AH250" i="2"/>
  <c r="AK250" i="2" l="1"/>
  <c r="AG250" i="2" a="1"/>
  <c r="AG250" i="2" l="1"/>
  <c r="AF250" i="2" a="1"/>
  <c r="AF250" i="2" l="1"/>
  <c r="AE250" i="2"/>
  <c r="AD250" i="2" a="1"/>
  <c r="AD250" i="2" l="1"/>
  <c r="AC250" i="2" a="1"/>
  <c r="AC250" i="2" l="1"/>
  <c r="AA250" i="2"/>
  <c r="W250" i="2" a="1"/>
  <c r="W250" i="2" l="1"/>
  <c r="V250" i="2" a="1"/>
  <c r="V250" i="2" l="1"/>
  <c r="N250" i="2" a="1"/>
  <c r="N250" i="2" l="1"/>
  <c r="M250" i="2" a="1"/>
  <c r="M250" i="2" l="1"/>
  <c r="L250" i="2" a="1"/>
  <c r="L250" i="2" l="1"/>
  <c r="K250" i="2" a="1"/>
  <c r="J250" i="2"/>
  <c r="I250" i="2"/>
  <c r="K250" i="2" l="1"/>
  <c r="H250" i="2" a="1"/>
  <c r="F250" i="2"/>
  <c r="E250" i="2"/>
  <c r="Q250" i="2" a="1"/>
  <c r="R250" i="2"/>
  <c r="Q250" i="2" l="1"/>
  <c r="H250" i="2"/>
  <c r="AM250" i="2" l="1"/>
  <c r="AB250" i="2"/>
  <c r="AX249" i="2"/>
  <c r="S250" i="2"/>
  <c r="BC249" i="2" a="1"/>
  <c r="AV249" i="2" a="1"/>
  <c r="AV249" i="2" l="1"/>
  <c r="BC249" i="2"/>
  <c r="Y250" i="2"/>
  <c r="X250" i="2"/>
  <c r="Z250" i="2"/>
  <c r="T250" i="2"/>
  <c r="U250" i="2" s="1"/>
  <c r="AU249" i="2" a="1"/>
  <c r="AU249" i="2" l="1"/>
  <c r="AW249" i="2" s="1"/>
  <c r="AT249" i="2" a="1"/>
  <c r="AS249" i="2"/>
  <c r="AR249" i="2"/>
  <c r="AQ249" i="2"/>
  <c r="AP249" i="2"/>
  <c r="AO249" i="2"/>
  <c r="AN249" i="2"/>
  <c r="AT249" i="2" l="1"/>
  <c r="AL249" i="2"/>
  <c r="AK249" i="2" a="1"/>
  <c r="AJ249" i="2"/>
  <c r="AI249" i="2"/>
  <c r="AH249" i="2"/>
  <c r="AK249" i="2" l="1"/>
  <c r="AG249" i="2" a="1"/>
  <c r="AG249" i="2" l="1"/>
  <c r="AF249" i="2" a="1"/>
  <c r="AF249" i="2" l="1"/>
  <c r="AE249" i="2"/>
  <c r="AD249" i="2" a="1"/>
  <c r="AD249" i="2" l="1"/>
  <c r="AC249" i="2" a="1"/>
  <c r="AC249" i="2" l="1"/>
  <c r="AA249" i="2"/>
  <c r="W249" i="2" a="1"/>
  <c r="W249" i="2" l="1"/>
  <c r="V249" i="2" a="1"/>
  <c r="V249" i="2" l="1"/>
  <c r="N249" i="2" a="1"/>
  <c r="N249" i="2" l="1"/>
  <c r="M249" i="2" a="1"/>
  <c r="M249" i="2" l="1"/>
  <c r="L249" i="2" a="1"/>
  <c r="L249" i="2" l="1"/>
  <c r="K249" i="2" a="1"/>
  <c r="J249" i="2"/>
  <c r="I249" i="2"/>
  <c r="K249" i="2" l="1"/>
  <c r="H249" i="2" a="1"/>
  <c r="F249" i="2"/>
  <c r="E249" i="2"/>
  <c r="Q249" i="2" a="1"/>
  <c r="R249" i="2"/>
  <c r="Q249" i="2" l="1"/>
  <c r="H249" i="2"/>
  <c r="AM249" i="2" l="1"/>
  <c r="AB249" i="2"/>
  <c r="AX248" i="2"/>
  <c r="S249" i="2"/>
  <c r="BC248" i="2" a="1"/>
  <c r="AV248" i="2" a="1"/>
  <c r="AV248" i="2" l="1"/>
  <c r="BC248" i="2"/>
  <c r="Z249" i="2"/>
  <c r="X249" i="2"/>
  <c r="Y249" i="2"/>
  <c r="T249" i="2"/>
  <c r="U249" i="2" s="1"/>
  <c r="AU248" i="2" a="1"/>
  <c r="AU248" i="2" l="1"/>
  <c r="AW248" i="2" s="1"/>
  <c r="AT248" i="2" a="1"/>
  <c r="AS248" i="2"/>
  <c r="AR248" i="2"/>
  <c r="AQ248" i="2"/>
  <c r="AP248" i="2"/>
  <c r="AO248" i="2"/>
  <c r="AN248" i="2"/>
  <c r="AT248" i="2" l="1"/>
  <c r="AL248" i="2"/>
  <c r="AK248" i="2" a="1"/>
  <c r="AJ248" i="2"/>
  <c r="AI248" i="2"/>
  <c r="AH248" i="2"/>
  <c r="AK248" i="2" l="1"/>
  <c r="AG248" i="2" a="1"/>
  <c r="AG248" i="2" l="1"/>
  <c r="AF248" i="2" a="1"/>
  <c r="AF248" i="2" l="1"/>
  <c r="AE248" i="2"/>
  <c r="AD248" i="2" a="1"/>
  <c r="AD248" i="2" l="1"/>
  <c r="AC248" i="2" a="1"/>
  <c r="AC248" i="2" l="1"/>
  <c r="AA248" i="2"/>
  <c r="W248" i="2" a="1"/>
  <c r="W248" i="2" l="1"/>
  <c r="V248" i="2" a="1"/>
  <c r="V248" i="2" l="1"/>
  <c r="N248" i="2" a="1"/>
  <c r="N248" i="2" l="1"/>
  <c r="M248" i="2" a="1"/>
  <c r="M248" i="2" l="1"/>
  <c r="L248" i="2" a="1"/>
  <c r="L248" i="2" l="1"/>
  <c r="K248" i="2" a="1"/>
  <c r="J248" i="2"/>
  <c r="I248" i="2"/>
  <c r="K248" i="2" l="1"/>
  <c r="H248" i="2" a="1"/>
  <c r="F248" i="2"/>
  <c r="E248" i="2"/>
  <c r="Q248" i="2" a="1"/>
  <c r="R248" i="2"/>
  <c r="Q248" i="2" l="1"/>
  <c r="H248" i="2"/>
  <c r="AM248" i="2" l="1"/>
  <c r="AB248" i="2"/>
  <c r="AX247" i="2"/>
  <c r="S248" i="2"/>
  <c r="BC247" i="2" a="1"/>
  <c r="AV247" i="2" a="1"/>
  <c r="AV247" i="2" l="1"/>
  <c r="BC247" i="2"/>
  <c r="Z248" i="2"/>
  <c r="Y248" i="2"/>
  <c r="X248" i="2"/>
  <c r="T248" i="2"/>
  <c r="U248" i="2" s="1"/>
  <c r="AU247" i="2" a="1"/>
  <c r="AU247" i="2" l="1"/>
  <c r="AW247" i="2" s="1"/>
  <c r="AT247" i="2" a="1"/>
  <c r="AS247" i="2"/>
  <c r="AR247" i="2"/>
  <c r="AQ247" i="2"/>
  <c r="AP247" i="2"/>
  <c r="AO247" i="2"/>
  <c r="AN247" i="2"/>
  <c r="AT247" i="2" l="1"/>
  <c r="AL247" i="2"/>
  <c r="AK247" i="2" a="1"/>
  <c r="AJ247" i="2"/>
  <c r="AI247" i="2"/>
  <c r="AH247" i="2"/>
  <c r="AK247" i="2" l="1"/>
  <c r="AG247" i="2" a="1"/>
  <c r="AG247" i="2" l="1"/>
  <c r="AF247" i="2" a="1"/>
  <c r="AF247" i="2" l="1"/>
  <c r="AE247" i="2"/>
  <c r="AD247" i="2" a="1"/>
  <c r="AD247" i="2" l="1"/>
  <c r="AC247" i="2" a="1"/>
  <c r="AC247" i="2" l="1"/>
  <c r="AA247" i="2"/>
  <c r="W247" i="2" a="1"/>
  <c r="W247" i="2" l="1"/>
  <c r="V247" i="2" a="1"/>
  <c r="V247" i="2" l="1"/>
  <c r="N247" i="2" a="1"/>
  <c r="N247" i="2" l="1"/>
  <c r="M247" i="2" a="1"/>
  <c r="M247" i="2" l="1"/>
  <c r="L247" i="2" a="1"/>
  <c r="L247" i="2" l="1"/>
  <c r="K247" i="2" a="1"/>
  <c r="J247" i="2"/>
  <c r="I247" i="2"/>
  <c r="K247" i="2" l="1"/>
  <c r="H247" i="2" a="1"/>
  <c r="F247" i="2"/>
  <c r="E247" i="2"/>
  <c r="Q247" i="2" a="1"/>
  <c r="R247" i="2"/>
  <c r="Q247" i="2" l="1"/>
  <c r="H247" i="2"/>
  <c r="AM247" i="2" l="1"/>
  <c r="AB247" i="2"/>
  <c r="AX246" i="2"/>
  <c r="BC246" i="2" a="1"/>
  <c r="S247" i="2"/>
  <c r="AV246" i="2" a="1"/>
  <c r="AV246" i="2" l="1"/>
  <c r="Z247" i="2"/>
  <c r="X247" i="2"/>
  <c r="Y247" i="2"/>
  <c r="T247" i="2"/>
  <c r="U247" i="2" s="1"/>
  <c r="BC246" i="2"/>
  <c r="AU246" i="2" a="1"/>
  <c r="AU246" i="2" l="1"/>
  <c r="AW246" i="2" s="1"/>
  <c r="AT246" i="2" a="1"/>
  <c r="AS246" i="2"/>
  <c r="AR246" i="2"/>
  <c r="AQ246" i="2"/>
  <c r="AP246" i="2"/>
  <c r="AO246" i="2"/>
  <c r="AN246" i="2"/>
  <c r="AT246" i="2" l="1"/>
  <c r="AL246" i="2"/>
  <c r="AK246" i="2" a="1"/>
  <c r="AJ246" i="2"/>
  <c r="AI246" i="2"/>
  <c r="AH246" i="2"/>
  <c r="AK246" i="2" l="1"/>
  <c r="AG246" i="2" a="1"/>
  <c r="AG246" i="2" l="1"/>
  <c r="AF246" i="2" a="1"/>
  <c r="AF246" i="2" l="1"/>
  <c r="AE246" i="2"/>
  <c r="AD246" i="2" a="1"/>
  <c r="AD246" i="2" l="1"/>
  <c r="AC246" i="2" a="1"/>
  <c r="AC246" i="2" l="1"/>
  <c r="AA246" i="2"/>
  <c r="W246" i="2" a="1"/>
  <c r="W246" i="2" l="1"/>
  <c r="V246" i="2" a="1"/>
  <c r="V246" i="2" l="1"/>
  <c r="N246" i="2" a="1"/>
  <c r="N246" i="2" l="1"/>
  <c r="M246" i="2" a="1"/>
  <c r="M246" i="2" l="1"/>
  <c r="L246" i="2" a="1"/>
  <c r="L246" i="2" l="1"/>
  <c r="K246" i="2" a="1"/>
  <c r="J246" i="2"/>
  <c r="I246" i="2"/>
  <c r="K246" i="2" l="1"/>
  <c r="H246" i="2" a="1"/>
  <c r="F246" i="2"/>
  <c r="E246" i="2"/>
  <c r="Q246" i="2" a="1"/>
  <c r="R246" i="2"/>
  <c r="Q246" i="2" l="1"/>
  <c r="H246" i="2"/>
  <c r="AM246" i="2" l="1"/>
  <c r="AB246" i="2"/>
  <c r="AX245" i="2"/>
  <c r="S246" i="2"/>
  <c r="BC245" i="2" a="1"/>
  <c r="AV245" i="2" a="1"/>
  <c r="AV245" i="2" l="1"/>
  <c r="BC245" i="2"/>
  <c r="Z246" i="2"/>
  <c r="X246" i="2"/>
  <c r="Y246" i="2"/>
  <c r="T246" i="2"/>
  <c r="U246" i="2" s="1"/>
  <c r="AU245" i="2" a="1"/>
  <c r="AU245" i="2" l="1"/>
  <c r="AW245" i="2" s="1"/>
  <c r="AT245" i="2" a="1"/>
  <c r="AS245" i="2"/>
  <c r="AR245" i="2"/>
  <c r="AQ245" i="2"/>
  <c r="AP245" i="2"/>
  <c r="AO245" i="2"/>
  <c r="AN245" i="2"/>
  <c r="AT245" i="2" l="1"/>
  <c r="AL245" i="2"/>
  <c r="AK245" i="2" a="1"/>
  <c r="AJ245" i="2"/>
  <c r="AI245" i="2"/>
  <c r="AH245" i="2"/>
  <c r="AK245" i="2" l="1"/>
  <c r="AG245" i="2" a="1"/>
  <c r="AG245" i="2" l="1"/>
  <c r="AF245" i="2" a="1"/>
  <c r="AF245" i="2" l="1"/>
  <c r="AE245" i="2"/>
  <c r="AD245" i="2" a="1"/>
  <c r="AD245" i="2" l="1"/>
  <c r="AC245" i="2" a="1"/>
  <c r="AC245" i="2" l="1"/>
  <c r="AA245" i="2"/>
  <c r="W245" i="2" a="1"/>
  <c r="W245" i="2" l="1"/>
  <c r="V245" i="2" a="1"/>
  <c r="V245" i="2" l="1"/>
  <c r="F245" i="2"/>
  <c r="E245" i="2"/>
  <c r="Q245" i="2" a="1"/>
  <c r="R245" i="2"/>
  <c r="Q245" i="2" l="1"/>
  <c r="AM245" i="2" l="1"/>
  <c r="AB245" i="2"/>
  <c r="AX244" i="2"/>
  <c r="S245" i="2"/>
  <c r="BC244" i="2" a="1"/>
  <c r="AV244" i="2" a="1"/>
  <c r="AV244" i="2" l="1"/>
  <c r="BC244" i="2"/>
  <c r="Y245" i="2"/>
  <c r="X245" i="2"/>
  <c r="Z245" i="2"/>
  <c r="T245" i="2"/>
  <c r="U245" i="2" s="1"/>
  <c r="AU244" i="2" a="1"/>
  <c r="AU244" i="2" l="1"/>
  <c r="AW244" i="2" s="1"/>
  <c r="AT244" i="2" a="1"/>
  <c r="AS244" i="2"/>
  <c r="AR244" i="2"/>
  <c r="AQ244" i="2"/>
  <c r="AP244" i="2"/>
  <c r="AO244" i="2"/>
  <c r="AN244" i="2"/>
  <c r="AT244" i="2" l="1"/>
  <c r="AL244" i="2"/>
  <c r="AK244" i="2" a="1"/>
  <c r="AJ244" i="2"/>
  <c r="AI244" i="2"/>
  <c r="AH244" i="2"/>
  <c r="AK244" i="2" l="1"/>
  <c r="AG244" i="2" a="1"/>
  <c r="AG244" i="2" l="1"/>
  <c r="AF244" i="2" a="1"/>
  <c r="AF244" i="2" l="1"/>
  <c r="AE244" i="2"/>
  <c r="AD244" i="2" a="1"/>
  <c r="AD244" i="2" l="1"/>
  <c r="AC244" i="2" a="1"/>
  <c r="AC244" i="2" l="1"/>
  <c r="AA244" i="2"/>
  <c r="W244" i="2" a="1"/>
  <c r="W244" i="2" l="1"/>
  <c r="V244" i="2" a="1"/>
  <c r="V244" i="2" l="1"/>
  <c r="N244" i="2" a="1"/>
  <c r="N244" i="2" l="1"/>
  <c r="M244" i="2" a="1"/>
  <c r="M244" i="2" l="1"/>
  <c r="L244" i="2" a="1"/>
  <c r="L244" i="2" l="1"/>
  <c r="K244" i="2" a="1"/>
  <c r="J244" i="2"/>
  <c r="I244" i="2"/>
  <c r="K244" i="2" l="1"/>
  <c r="H244" i="2" a="1"/>
  <c r="F244" i="2"/>
  <c r="E244" i="2"/>
  <c r="Q244" i="2" a="1"/>
  <c r="R244" i="2"/>
  <c r="Q244" i="2" l="1"/>
  <c r="H244" i="2"/>
  <c r="AM244" i="2" l="1"/>
  <c r="AB244" i="2"/>
  <c r="AX243" i="2"/>
  <c r="S244" i="2"/>
  <c r="BC243" i="2" a="1"/>
  <c r="AV243" i="2" a="1"/>
  <c r="AV243" i="2" l="1"/>
  <c r="BC243" i="2"/>
  <c r="Y244" i="2"/>
  <c r="X244" i="2"/>
  <c r="Z244" i="2"/>
  <c r="T244" i="2"/>
  <c r="U244" i="2" s="1"/>
  <c r="AU243" i="2" a="1"/>
  <c r="AU243" i="2" l="1"/>
  <c r="AW243" i="2" s="1"/>
  <c r="AT243" i="2" a="1"/>
  <c r="AS243" i="2"/>
  <c r="AR243" i="2"/>
  <c r="AQ243" i="2"/>
  <c r="AP243" i="2"/>
  <c r="AO243" i="2"/>
  <c r="AN243" i="2"/>
  <c r="AT243" i="2" l="1"/>
  <c r="AL243" i="2"/>
  <c r="AK243" i="2" a="1"/>
  <c r="AJ243" i="2"/>
  <c r="AI243" i="2"/>
  <c r="AH243" i="2"/>
  <c r="AK243" i="2" l="1"/>
  <c r="AG243" i="2" a="1"/>
  <c r="AG243" i="2" l="1"/>
  <c r="AF243" i="2" a="1"/>
  <c r="AF243" i="2" l="1"/>
  <c r="AE243" i="2"/>
  <c r="AD243" i="2" a="1"/>
  <c r="AD243" i="2" l="1"/>
  <c r="AC243" i="2" a="1"/>
  <c r="AC243" i="2" l="1"/>
  <c r="AA243" i="2"/>
  <c r="W243" i="2" a="1"/>
  <c r="W243" i="2" l="1"/>
  <c r="V243" i="2" a="1"/>
  <c r="V243" i="2" l="1"/>
  <c r="N243" i="2" a="1"/>
  <c r="N243" i="2" l="1"/>
  <c r="M243" i="2" a="1"/>
  <c r="M243" i="2" l="1"/>
  <c r="L243" i="2" a="1"/>
  <c r="L243" i="2" l="1"/>
  <c r="K243" i="2" a="1"/>
  <c r="J243" i="2"/>
  <c r="I243" i="2"/>
  <c r="K243" i="2" l="1"/>
  <c r="H243" i="2" a="1"/>
  <c r="F243" i="2"/>
  <c r="E243" i="2"/>
  <c r="Q243" i="2" a="1"/>
  <c r="R243" i="2"/>
  <c r="Q243" i="2" l="1"/>
  <c r="H243" i="2"/>
  <c r="AX242" i="2"/>
  <c r="AV242" i="2" a="1"/>
  <c r="AV242" i="2" l="1"/>
  <c r="AM243" i="2"/>
  <c r="AB243" i="2"/>
  <c r="S243" i="2"/>
  <c r="AU242" i="2" a="1"/>
  <c r="AU242" i="2" l="1"/>
  <c r="AW242" i="2" s="1"/>
  <c r="Z243" i="2"/>
  <c r="X243" i="2"/>
  <c r="Y243" i="2"/>
  <c r="T243" i="2"/>
  <c r="U243" i="2" s="1"/>
  <c r="AT242" i="2" a="1"/>
  <c r="AS242" i="2"/>
  <c r="AR242" i="2"/>
  <c r="AQ242" i="2"/>
  <c r="AP242" i="2"/>
  <c r="AO242" i="2"/>
  <c r="AN242" i="2"/>
  <c r="AT242" i="2" l="1"/>
  <c r="AL242" i="2"/>
  <c r="AK242" i="2" a="1"/>
  <c r="AJ242" i="2"/>
  <c r="AI242" i="2"/>
  <c r="AH242" i="2"/>
  <c r="AK242" i="2" l="1"/>
  <c r="AG242" i="2" a="1"/>
  <c r="AG242" i="2" l="1"/>
  <c r="AF242" i="2" a="1"/>
  <c r="AF242" i="2" l="1"/>
  <c r="AE242" i="2"/>
  <c r="AD242" i="2" a="1"/>
  <c r="AD242" i="2" l="1"/>
  <c r="AC242" i="2" a="1"/>
  <c r="AC242" i="2" l="1"/>
  <c r="AA242" i="2"/>
  <c r="W242" i="2" a="1"/>
  <c r="W242" i="2" l="1"/>
  <c r="V242" i="2" a="1"/>
  <c r="V242" i="2" l="1"/>
  <c r="N242" i="2" a="1"/>
  <c r="N242" i="2" l="1"/>
  <c r="M242" i="2" a="1"/>
  <c r="M242" i="2" l="1"/>
  <c r="L242" i="2" a="1"/>
  <c r="L242" i="2" l="1"/>
  <c r="K242" i="2" a="1"/>
  <c r="J242" i="2"/>
  <c r="I242" i="2"/>
  <c r="K242" i="2" l="1"/>
  <c r="H242" i="2" a="1"/>
  <c r="F242" i="2"/>
  <c r="E242" i="2"/>
  <c r="Q242" i="2" a="1"/>
  <c r="R242" i="2"/>
  <c r="Q242" i="2" l="1"/>
  <c r="H242" i="2"/>
  <c r="AM242" i="2" l="1"/>
  <c r="AB242" i="2"/>
  <c r="AX241" i="2"/>
  <c r="S242" i="2"/>
  <c r="BC241" i="2" a="1"/>
  <c r="AV241" i="2" a="1"/>
  <c r="AV241" i="2" l="1"/>
  <c r="BC241" i="2"/>
  <c r="Z242" i="2"/>
  <c r="Y242" i="2"/>
  <c r="X242" i="2"/>
  <c r="T242" i="2"/>
  <c r="U242" i="2" s="1"/>
  <c r="AU241" i="2" a="1"/>
  <c r="AU241" i="2" l="1"/>
  <c r="AW241" i="2" s="1"/>
  <c r="AT241" i="2" a="1"/>
  <c r="AS241" i="2"/>
  <c r="AR241" i="2"/>
  <c r="AQ241" i="2"/>
  <c r="AP241" i="2"/>
  <c r="AO241" i="2"/>
  <c r="AN241" i="2"/>
  <c r="AT241" i="2" l="1"/>
  <c r="AL241" i="2"/>
  <c r="AK241" i="2" a="1"/>
  <c r="AJ241" i="2"/>
  <c r="AI241" i="2"/>
  <c r="AH241" i="2"/>
  <c r="AK241" i="2" l="1"/>
  <c r="AG241" i="2" a="1"/>
  <c r="AG241" i="2" l="1"/>
  <c r="AF241" i="2" a="1"/>
  <c r="AF241" i="2" l="1"/>
  <c r="AE241" i="2"/>
  <c r="AD241" i="2" a="1"/>
  <c r="AD241" i="2" l="1"/>
  <c r="AC241" i="2" a="1"/>
  <c r="AC241" i="2" l="1"/>
  <c r="AA241" i="2"/>
  <c r="W241" i="2" a="1"/>
  <c r="W241" i="2" l="1"/>
  <c r="V241" i="2" a="1"/>
  <c r="V241" i="2" l="1"/>
  <c r="N241" i="2" a="1"/>
  <c r="N241" i="2" l="1"/>
  <c r="M241" i="2" a="1"/>
  <c r="M241" i="2" l="1"/>
  <c r="L241" i="2" a="1"/>
  <c r="L241" i="2" l="1"/>
  <c r="K241" i="2" a="1"/>
  <c r="J241" i="2"/>
  <c r="I241" i="2"/>
  <c r="K241" i="2" l="1"/>
  <c r="H241" i="2" a="1"/>
  <c r="F241" i="2"/>
  <c r="E241" i="2"/>
  <c r="Q241" i="2" a="1"/>
  <c r="Q241" i="2" l="1"/>
  <c r="H241" i="2"/>
  <c r="R241" i="2"/>
  <c r="AM241" i="2" l="1"/>
  <c r="AB241" i="2"/>
  <c r="AX240" i="2"/>
  <c r="S241" i="2"/>
  <c r="BC240" i="2" a="1"/>
  <c r="AV240" i="2" a="1"/>
  <c r="AV240" i="2" l="1"/>
  <c r="BC240" i="2"/>
  <c r="Z241" i="2"/>
  <c r="X241" i="2"/>
  <c r="Y241" i="2"/>
  <c r="T241" i="2"/>
  <c r="U241" i="2" s="1"/>
  <c r="AU240" i="2" a="1"/>
  <c r="AU240" i="2" l="1"/>
  <c r="AW240" i="2" s="1"/>
  <c r="AT240" i="2" a="1"/>
  <c r="AS240" i="2"/>
  <c r="AR240" i="2"/>
  <c r="AQ240" i="2"/>
  <c r="AP240" i="2"/>
  <c r="AO240" i="2"/>
  <c r="AN240" i="2"/>
  <c r="AT240" i="2" l="1"/>
  <c r="AL240" i="2"/>
  <c r="AK240" i="2" a="1"/>
  <c r="AJ240" i="2"/>
  <c r="AI240" i="2"/>
  <c r="AH240" i="2"/>
  <c r="AK240" i="2" l="1"/>
  <c r="AG240" i="2" a="1"/>
  <c r="AG240" i="2" l="1"/>
  <c r="AF240" i="2" a="1"/>
  <c r="AF240" i="2" l="1"/>
  <c r="AE240" i="2"/>
  <c r="AD240" i="2" a="1"/>
  <c r="AD240" i="2" l="1"/>
  <c r="AC240" i="2" a="1"/>
  <c r="AC240" i="2" l="1"/>
  <c r="AA240" i="2"/>
  <c r="W240" i="2" a="1"/>
  <c r="W240" i="2" l="1"/>
  <c r="V240" i="2" a="1"/>
  <c r="V240" i="2" l="1"/>
  <c r="N240" i="2" a="1"/>
  <c r="N240" i="2" l="1"/>
  <c r="M240" i="2" a="1"/>
  <c r="M240" i="2" l="1"/>
  <c r="L240" i="2" a="1"/>
  <c r="L240" i="2" l="1"/>
  <c r="K240" i="2" a="1"/>
  <c r="J240" i="2"/>
  <c r="I240" i="2"/>
  <c r="K240" i="2" l="1"/>
  <c r="H240" i="2" a="1"/>
  <c r="F240" i="2"/>
  <c r="E240" i="2"/>
  <c r="Q240" i="2" a="1"/>
  <c r="R240" i="2"/>
  <c r="Q240" i="2" l="1"/>
  <c r="H240" i="2"/>
  <c r="AM240" i="2" l="1"/>
  <c r="AB240" i="2"/>
  <c r="AX239" i="2"/>
  <c r="BC239" i="2" a="1"/>
  <c r="S240" i="2"/>
  <c r="AV239" i="2" a="1"/>
  <c r="AV239" i="2" l="1"/>
  <c r="Y240" i="2"/>
  <c r="Z240" i="2"/>
  <c r="X240" i="2"/>
  <c r="T240" i="2"/>
  <c r="U240" i="2" s="1"/>
  <c r="BC239" i="2"/>
  <c r="AU239" i="2" a="1"/>
  <c r="AU239" i="2" l="1"/>
  <c r="AW239" i="2" s="1"/>
  <c r="AT239" i="2" a="1"/>
  <c r="AS239" i="2"/>
  <c r="AR239" i="2"/>
  <c r="AQ239" i="2"/>
  <c r="AP239" i="2"/>
  <c r="AO239" i="2"/>
  <c r="AN239" i="2"/>
  <c r="AT239" i="2" l="1"/>
  <c r="AL239" i="2"/>
  <c r="AK239" i="2" a="1"/>
  <c r="AJ239" i="2"/>
  <c r="AI239" i="2"/>
  <c r="AH239" i="2"/>
  <c r="AK239" i="2" l="1"/>
  <c r="AG239" i="2" a="1"/>
  <c r="AG239" i="2" l="1"/>
  <c r="AF239" i="2" a="1"/>
  <c r="AF239" i="2" l="1"/>
  <c r="AE239" i="2"/>
  <c r="AD239" i="2" a="1"/>
  <c r="AD239" i="2" l="1"/>
  <c r="AC239" i="2" a="1"/>
  <c r="AC239" i="2" l="1"/>
  <c r="AA239" i="2"/>
  <c r="W239" i="2" a="1"/>
  <c r="W239" i="2" l="1"/>
  <c r="V239" i="2" a="1"/>
  <c r="V239" i="2" l="1"/>
  <c r="N239" i="2" a="1"/>
  <c r="N239" i="2" l="1"/>
  <c r="M239" i="2" a="1"/>
  <c r="M239" i="2" l="1"/>
  <c r="L239" i="2" a="1"/>
  <c r="L239" i="2" l="1"/>
  <c r="K239" i="2" a="1"/>
  <c r="J239" i="2"/>
  <c r="I239" i="2"/>
  <c r="K239" i="2" l="1"/>
  <c r="H239" i="2" a="1"/>
  <c r="F239" i="2"/>
  <c r="E239" i="2"/>
  <c r="Q239" i="2" a="1"/>
  <c r="Q239" i="2" l="1"/>
  <c r="H239" i="2"/>
  <c r="R239" i="2"/>
  <c r="AM239" i="2" l="1"/>
  <c r="AB239" i="2"/>
  <c r="AX238" i="2"/>
  <c r="S239" i="2"/>
  <c r="BC238" i="2" a="1"/>
  <c r="AV238" i="2" a="1"/>
  <c r="AV238" i="2" l="1"/>
  <c r="BC238" i="2"/>
  <c r="Z239" i="2"/>
  <c r="Y239" i="2"/>
  <c r="X239" i="2"/>
  <c r="T239" i="2"/>
  <c r="U239" i="2" s="1"/>
  <c r="AU238" i="2" a="1"/>
  <c r="AU238" i="2" l="1"/>
  <c r="AW238" i="2" s="1"/>
  <c r="AT238" i="2" a="1"/>
  <c r="AS238" i="2"/>
  <c r="AR238" i="2"/>
  <c r="AQ238" i="2"/>
  <c r="AP238" i="2"/>
  <c r="AO238" i="2"/>
  <c r="AN238" i="2"/>
  <c r="AT238" i="2" l="1"/>
  <c r="AL238" i="2"/>
  <c r="AK238" i="2" a="1"/>
  <c r="AJ238" i="2"/>
  <c r="AI238" i="2"/>
  <c r="AH238" i="2"/>
  <c r="AK238" i="2" l="1"/>
  <c r="AG238" i="2" a="1"/>
  <c r="AG238" i="2" l="1"/>
  <c r="AF238" i="2" a="1"/>
  <c r="AF238" i="2" l="1"/>
  <c r="AE238" i="2"/>
  <c r="AD238" i="2" a="1"/>
  <c r="AD238" i="2" l="1"/>
  <c r="AC238" i="2" a="1"/>
  <c r="AC238" i="2" l="1"/>
  <c r="AA238" i="2"/>
  <c r="W238" i="2" a="1"/>
  <c r="W238" i="2" l="1"/>
  <c r="V238" i="2" a="1"/>
  <c r="V238" i="2" l="1"/>
  <c r="N238" i="2" a="1"/>
  <c r="N238" i="2" l="1"/>
  <c r="M238" i="2" a="1"/>
  <c r="M238" i="2" l="1"/>
  <c r="L238" i="2" a="1"/>
  <c r="L238" i="2" l="1"/>
  <c r="K238" i="2" a="1"/>
  <c r="J238" i="2"/>
  <c r="I238" i="2"/>
  <c r="K238" i="2" l="1"/>
  <c r="H238" i="2" a="1"/>
  <c r="F238" i="2"/>
  <c r="E238" i="2"/>
  <c r="Q238" i="2" a="1"/>
  <c r="Q238" i="2" l="1"/>
  <c r="H238" i="2"/>
  <c r="R238" i="2"/>
  <c r="AM238" i="2" l="1"/>
  <c r="AB238" i="2"/>
  <c r="AX237" i="2"/>
  <c r="S238" i="2"/>
  <c r="BC237" i="2" a="1"/>
  <c r="AV237" i="2" a="1"/>
  <c r="AV237" i="2" l="1"/>
  <c r="BC237" i="2"/>
  <c r="Y238" i="2"/>
  <c r="X238" i="2"/>
  <c r="Z238" i="2"/>
  <c r="T238" i="2"/>
  <c r="U238" i="2" s="1"/>
  <c r="AU237" i="2" a="1"/>
  <c r="AU237" i="2" l="1"/>
  <c r="AW237" i="2" s="1"/>
  <c r="AT237" i="2" a="1"/>
  <c r="AS237" i="2"/>
  <c r="AR237" i="2"/>
  <c r="AQ237" i="2"/>
  <c r="AP237" i="2"/>
  <c r="AO237" i="2"/>
  <c r="AN237" i="2"/>
  <c r="AT237" i="2" l="1"/>
  <c r="AL237" i="2"/>
  <c r="AK237" i="2" a="1"/>
  <c r="AJ237" i="2"/>
  <c r="AI237" i="2"/>
  <c r="AH237" i="2"/>
  <c r="AK237" i="2" l="1"/>
  <c r="AG237" i="2" a="1"/>
  <c r="AG237" i="2" l="1"/>
  <c r="AF237" i="2" a="1"/>
  <c r="AF237" i="2" l="1"/>
  <c r="AE237" i="2"/>
  <c r="AD237" i="2" a="1"/>
  <c r="AD237" i="2" l="1"/>
  <c r="AC237" i="2" a="1"/>
  <c r="AC237" i="2" l="1"/>
  <c r="AA237" i="2"/>
  <c r="W237" i="2" a="1"/>
  <c r="W237" i="2" l="1"/>
  <c r="V237" i="2" a="1"/>
  <c r="V237" i="2" l="1"/>
  <c r="N237" i="2" a="1"/>
  <c r="N237" i="2" l="1"/>
  <c r="M237" i="2" a="1"/>
  <c r="M237" i="2" l="1"/>
  <c r="L237" i="2" a="1"/>
  <c r="L237" i="2" l="1"/>
  <c r="K237" i="2" a="1"/>
  <c r="J237" i="2"/>
  <c r="I237" i="2"/>
  <c r="K237" i="2" l="1"/>
  <c r="H237" i="2" a="1"/>
  <c r="F237" i="2"/>
  <c r="E237" i="2"/>
  <c r="Q237" i="2" a="1"/>
  <c r="Q237" i="2" l="1"/>
  <c r="H237" i="2"/>
  <c r="R237" i="2"/>
  <c r="AM237" i="2" l="1"/>
  <c r="AB237" i="2"/>
  <c r="AX236" i="2"/>
  <c r="S237" i="2"/>
  <c r="BC236" i="2" a="1"/>
  <c r="AV236" i="2" a="1"/>
  <c r="AV236" i="2" l="1"/>
  <c r="BC236" i="2"/>
  <c r="Z237" i="2"/>
  <c r="X237" i="2"/>
  <c r="Y237" i="2"/>
  <c r="T237" i="2"/>
  <c r="U237" i="2" s="1"/>
  <c r="AU236" i="2" a="1"/>
  <c r="AU236" i="2" l="1"/>
  <c r="AW236" i="2" s="1"/>
  <c r="AT236" i="2" a="1"/>
  <c r="AS236" i="2"/>
  <c r="AR236" i="2"/>
  <c r="AQ236" i="2"/>
  <c r="AP236" i="2"/>
  <c r="AO236" i="2"/>
  <c r="AN236" i="2"/>
  <c r="AT236" i="2" l="1"/>
  <c r="AL236" i="2"/>
  <c r="AK236" i="2" a="1"/>
  <c r="AJ236" i="2"/>
  <c r="AI236" i="2"/>
  <c r="AH236" i="2"/>
  <c r="AK236" i="2" l="1"/>
  <c r="AG236" i="2" a="1"/>
  <c r="AG236" i="2" l="1"/>
  <c r="AF236" i="2" a="1"/>
  <c r="AF236" i="2" l="1"/>
  <c r="AE236" i="2"/>
  <c r="AD236" i="2" a="1"/>
  <c r="AD236" i="2" l="1"/>
  <c r="AC236" i="2" a="1"/>
  <c r="AC236" i="2" l="1"/>
  <c r="AA236" i="2"/>
  <c r="W236" i="2" a="1"/>
  <c r="W236" i="2" l="1"/>
  <c r="V236" i="2" a="1"/>
  <c r="V236" i="2" l="1"/>
  <c r="N236" i="2" a="1"/>
  <c r="N236" i="2" l="1"/>
  <c r="M236" i="2" a="1"/>
  <c r="M236" i="2" l="1"/>
  <c r="L236" i="2" a="1"/>
  <c r="L236" i="2" l="1"/>
  <c r="K236" i="2" a="1"/>
  <c r="J236" i="2"/>
  <c r="K236" i="2" l="1"/>
  <c r="H236" i="2" a="1"/>
  <c r="F236" i="2"/>
  <c r="E236" i="2"/>
  <c r="Q236" i="2" a="1"/>
  <c r="R236" i="2"/>
  <c r="Q236" i="2" l="1"/>
  <c r="H236" i="2"/>
  <c r="AM236" i="2" l="1"/>
  <c r="AB236" i="2"/>
  <c r="AX235" i="2"/>
  <c r="S236" i="2"/>
  <c r="BC235" i="2" a="1"/>
  <c r="AV235" i="2" a="1"/>
  <c r="AV235" i="2" l="1"/>
  <c r="BC235" i="2"/>
  <c r="Y236" i="2"/>
  <c r="X236" i="2"/>
  <c r="Z236" i="2"/>
  <c r="T236" i="2"/>
  <c r="U236" i="2" s="1"/>
  <c r="AU235" i="2" a="1"/>
  <c r="AU235" i="2" l="1"/>
  <c r="AW235" i="2" s="1"/>
  <c r="AT235" i="2" a="1"/>
  <c r="AS235" i="2"/>
  <c r="AR235" i="2"/>
  <c r="AQ235" i="2"/>
  <c r="AP235" i="2"/>
  <c r="AO235" i="2"/>
  <c r="AN235" i="2"/>
  <c r="AT235" i="2" l="1"/>
  <c r="AL235" i="2"/>
  <c r="AK235" i="2" a="1"/>
  <c r="AJ235" i="2"/>
  <c r="AI235" i="2"/>
  <c r="AH235" i="2"/>
  <c r="AK235" i="2" l="1"/>
  <c r="AG235" i="2" a="1"/>
  <c r="AG235" i="2" l="1"/>
  <c r="AF235" i="2" a="1"/>
  <c r="AF235" i="2" l="1"/>
  <c r="AE235" i="2"/>
  <c r="AD235" i="2" a="1"/>
  <c r="AD235" i="2" l="1"/>
  <c r="AC235" i="2" a="1"/>
  <c r="AC235" i="2" l="1"/>
  <c r="AA235" i="2"/>
  <c r="W235" i="2" a="1"/>
  <c r="W235" i="2" l="1"/>
  <c r="V235" i="2" a="1"/>
  <c r="V235" i="2" l="1"/>
  <c r="N235" i="2" a="1"/>
  <c r="N235" i="2" l="1"/>
  <c r="M235" i="2" a="1"/>
  <c r="M235" i="2" l="1"/>
  <c r="L235" i="2" a="1"/>
  <c r="L235" i="2" l="1"/>
  <c r="K235" i="2" a="1"/>
  <c r="J235" i="2"/>
  <c r="I235" i="2"/>
  <c r="K235" i="2" l="1"/>
  <c r="H235" i="2" a="1"/>
  <c r="F235" i="2"/>
  <c r="E235" i="2"/>
  <c r="Q235" i="2" a="1"/>
  <c r="R235" i="2"/>
  <c r="Q235" i="2" l="1"/>
  <c r="H235" i="2"/>
  <c r="AM235" i="2" l="1"/>
  <c r="AB235" i="2"/>
  <c r="AX234" i="2"/>
  <c r="BC234" i="2" a="1"/>
  <c r="S235" i="2"/>
  <c r="AV234" i="2" a="1"/>
  <c r="AV234" i="2" l="1"/>
  <c r="Z235" i="2"/>
  <c r="X235" i="2"/>
  <c r="Y235" i="2"/>
  <c r="T235" i="2"/>
  <c r="U235" i="2" s="1"/>
  <c r="BC234" i="2"/>
  <c r="AU234" i="2" a="1"/>
  <c r="AU234" i="2" l="1"/>
  <c r="AW234" i="2" s="1"/>
  <c r="AT234" i="2" a="1"/>
  <c r="AS234" i="2"/>
  <c r="AR234" i="2"/>
  <c r="AQ234" i="2"/>
  <c r="AP234" i="2"/>
  <c r="AO234" i="2"/>
  <c r="AN234" i="2"/>
  <c r="AT234" i="2" l="1"/>
  <c r="AL234" i="2"/>
  <c r="AK234" i="2" a="1"/>
  <c r="AJ234" i="2"/>
  <c r="AI234" i="2"/>
  <c r="AH234" i="2"/>
  <c r="AK234" i="2" l="1"/>
  <c r="AG234" i="2" a="1"/>
  <c r="AG234" i="2" l="1"/>
  <c r="AF234" i="2" a="1"/>
  <c r="AF234" i="2" l="1"/>
  <c r="AE234" i="2"/>
  <c r="AD234" i="2" a="1"/>
  <c r="AD234" i="2" l="1"/>
  <c r="AC234" i="2" a="1"/>
  <c r="AC234" i="2" l="1"/>
  <c r="AA234" i="2"/>
  <c r="W234" i="2" a="1"/>
  <c r="W234" i="2" l="1"/>
  <c r="V234" i="2" a="1"/>
  <c r="V234" i="2" l="1"/>
  <c r="N234" i="2" a="1"/>
  <c r="N234" i="2" l="1"/>
  <c r="M234" i="2" a="1"/>
  <c r="M234" i="2" l="1"/>
  <c r="L234" i="2" a="1"/>
  <c r="L234" i="2" l="1"/>
  <c r="K234" i="2" a="1"/>
  <c r="J234" i="2"/>
  <c r="I234" i="2"/>
  <c r="K234" i="2" l="1"/>
  <c r="H234" i="2" a="1"/>
  <c r="F234" i="2"/>
  <c r="E234" i="2"/>
  <c r="Q234" i="2" a="1"/>
  <c r="R234" i="2"/>
  <c r="Q234" i="2" l="1"/>
  <c r="H234" i="2"/>
  <c r="AM234" i="2" l="1"/>
  <c r="AB234" i="2"/>
  <c r="AX233" i="2"/>
  <c r="S234" i="2"/>
  <c r="BC233" i="2" a="1"/>
  <c r="AV233" i="2" a="1"/>
  <c r="AV233" i="2" l="1"/>
  <c r="BC233" i="2"/>
  <c r="Z234" i="2"/>
  <c r="X234" i="2"/>
  <c r="Y234" i="2"/>
  <c r="T234" i="2"/>
  <c r="U234" i="2" s="1"/>
  <c r="AU233" i="2" a="1"/>
  <c r="AU233" i="2" l="1"/>
  <c r="AW233" i="2" s="1"/>
  <c r="AT233" i="2" a="1"/>
  <c r="AS233" i="2"/>
  <c r="AR233" i="2"/>
  <c r="AQ233" i="2"/>
  <c r="AP233" i="2"/>
  <c r="AO233" i="2"/>
  <c r="AN233" i="2"/>
  <c r="AT233" i="2" l="1"/>
  <c r="AL233" i="2"/>
  <c r="AK233" i="2" a="1"/>
  <c r="AJ233" i="2"/>
  <c r="AI233" i="2"/>
  <c r="AH233" i="2"/>
  <c r="AK233" i="2" l="1"/>
  <c r="AG233" i="2" a="1"/>
  <c r="AG233" i="2" l="1"/>
  <c r="AF233" i="2" a="1"/>
  <c r="AF233" i="2" l="1"/>
  <c r="AE233" i="2"/>
  <c r="AD233" i="2" a="1"/>
  <c r="AD233" i="2" l="1"/>
  <c r="AC233" i="2" a="1"/>
  <c r="AC233" i="2" l="1"/>
  <c r="AA233" i="2"/>
  <c r="W233" i="2" a="1"/>
  <c r="W233" i="2" l="1"/>
  <c r="V233" i="2" a="1"/>
  <c r="V233" i="2" l="1"/>
  <c r="N233" i="2" a="1"/>
  <c r="N233" i="2" l="1"/>
  <c r="M233" i="2" a="1"/>
  <c r="M233" i="2" l="1"/>
  <c r="L233" i="2" a="1"/>
  <c r="L233" i="2" l="1"/>
  <c r="K233" i="2" a="1"/>
  <c r="J233" i="2"/>
  <c r="I233" i="2"/>
  <c r="K233" i="2" l="1"/>
  <c r="H233" i="2" a="1"/>
  <c r="F233" i="2"/>
  <c r="E233" i="2"/>
  <c r="Q233" i="2" a="1"/>
  <c r="R233" i="2"/>
  <c r="Q233" i="2" l="1"/>
  <c r="H233" i="2"/>
  <c r="AM233" i="2" l="1"/>
  <c r="AB233" i="2"/>
  <c r="AX232" i="2"/>
  <c r="BC232" i="2" a="1"/>
  <c r="S233" i="2"/>
  <c r="AV232" i="2" a="1"/>
  <c r="AV232" i="2" l="1"/>
  <c r="Z233" i="2"/>
  <c r="Y233" i="2"/>
  <c r="X233" i="2"/>
  <c r="T233" i="2"/>
  <c r="U233" i="2" s="1"/>
  <c r="BC232" i="2"/>
  <c r="AU232" i="2" a="1"/>
  <c r="AU232" i="2" l="1"/>
  <c r="AW232" i="2" s="1"/>
  <c r="AT232" i="2" a="1"/>
  <c r="AS232" i="2"/>
  <c r="AR232" i="2"/>
  <c r="AQ232" i="2"/>
  <c r="AP232" i="2"/>
  <c r="AO232" i="2"/>
  <c r="AN232" i="2"/>
  <c r="AT232" i="2" l="1"/>
  <c r="AL232" i="2"/>
  <c r="AK232" i="2" a="1"/>
  <c r="AJ232" i="2"/>
  <c r="AI232" i="2"/>
  <c r="AH232" i="2"/>
  <c r="AK232" i="2" l="1"/>
  <c r="AG232" i="2" a="1"/>
  <c r="AG232" i="2" l="1"/>
  <c r="AF232" i="2" a="1"/>
  <c r="AF232" i="2" l="1"/>
  <c r="AE232" i="2"/>
  <c r="AD232" i="2" a="1"/>
  <c r="AD232" i="2" l="1"/>
  <c r="AC232" i="2" a="1"/>
  <c r="AC232" i="2" l="1"/>
  <c r="AA232" i="2"/>
  <c r="W232" i="2" a="1"/>
  <c r="W232" i="2" l="1"/>
  <c r="V232" i="2" a="1"/>
  <c r="V232" i="2" l="1"/>
  <c r="N232" i="2" a="1"/>
  <c r="N232" i="2" l="1"/>
  <c r="M232" i="2" a="1"/>
  <c r="M232" i="2" l="1"/>
  <c r="L232" i="2" a="1"/>
  <c r="L232" i="2" l="1"/>
  <c r="K232" i="2" a="1"/>
  <c r="J232" i="2"/>
  <c r="I232" i="2"/>
  <c r="K232" i="2" l="1"/>
  <c r="H232" i="2" a="1"/>
  <c r="F232" i="2"/>
  <c r="E232" i="2"/>
  <c r="Q232" i="2" a="1"/>
  <c r="R232" i="2"/>
  <c r="Q232" i="2" l="1"/>
  <c r="H232" i="2"/>
  <c r="AM232" i="2" l="1"/>
  <c r="AB232" i="2"/>
  <c r="AX231" i="2"/>
  <c r="S232" i="2"/>
  <c r="BC231" i="2" a="1"/>
  <c r="AV231" i="2" a="1"/>
  <c r="AV231" i="2" l="1"/>
  <c r="BC231" i="2"/>
  <c r="Z232" i="2"/>
  <c r="Y232" i="2"/>
  <c r="X232" i="2"/>
  <c r="T232" i="2"/>
  <c r="U232" i="2" s="1"/>
  <c r="AU231" i="2" a="1"/>
  <c r="AU231" i="2" l="1"/>
  <c r="AW231" i="2" s="1"/>
  <c r="AT231" i="2" a="1"/>
  <c r="AS231" i="2"/>
  <c r="AR231" i="2"/>
  <c r="AQ231" i="2"/>
  <c r="AP231" i="2"/>
  <c r="AO231" i="2"/>
  <c r="AN231" i="2"/>
  <c r="AT231" i="2" l="1"/>
  <c r="AL231" i="2"/>
  <c r="AK231" i="2" a="1"/>
  <c r="AJ231" i="2"/>
  <c r="AI231" i="2"/>
  <c r="AH231" i="2"/>
  <c r="AK231" i="2" l="1"/>
  <c r="AG231" i="2" a="1"/>
  <c r="AG231" i="2" l="1"/>
  <c r="AF231" i="2" a="1"/>
  <c r="AF231" i="2" l="1"/>
  <c r="AE231" i="2"/>
  <c r="AD231" i="2" a="1"/>
  <c r="AD231" i="2" l="1"/>
  <c r="AC231" i="2" a="1"/>
  <c r="AC231" i="2" l="1"/>
  <c r="AA231" i="2"/>
  <c r="W231" i="2" a="1"/>
  <c r="W231" i="2" l="1"/>
  <c r="V231" i="2" a="1"/>
  <c r="V231" i="2" l="1"/>
  <c r="N231" i="2" a="1"/>
  <c r="N231" i="2" l="1"/>
  <c r="M231" i="2" a="1"/>
  <c r="M231" i="2" l="1"/>
  <c r="L231" i="2" a="1"/>
  <c r="L231" i="2" l="1"/>
  <c r="K231" i="2" a="1"/>
  <c r="J231" i="2"/>
  <c r="I231" i="2"/>
  <c r="K231" i="2" l="1"/>
  <c r="H231" i="2" a="1"/>
  <c r="F231" i="2"/>
  <c r="E231" i="2"/>
  <c r="Q231" i="2" a="1"/>
  <c r="R231" i="2"/>
  <c r="Q231" i="2" l="1"/>
  <c r="H231" i="2"/>
  <c r="AM231" i="2" l="1"/>
  <c r="AB231" i="2"/>
  <c r="AX230" i="2"/>
  <c r="S231" i="2"/>
  <c r="BC230" i="2" a="1"/>
  <c r="AV230" i="2" a="1"/>
  <c r="AV230" i="2" l="1"/>
  <c r="BC230" i="2"/>
  <c r="Z231" i="2"/>
  <c r="Y231" i="2"/>
  <c r="X231" i="2"/>
  <c r="T231" i="2"/>
  <c r="U231" i="2" s="1"/>
  <c r="AU230" i="2" a="1"/>
  <c r="AU230" i="2" l="1"/>
  <c r="AW230" i="2" s="1"/>
  <c r="AT230" i="2" a="1"/>
  <c r="AS230" i="2"/>
  <c r="AR230" i="2"/>
  <c r="AQ230" i="2"/>
  <c r="AP230" i="2"/>
  <c r="AO230" i="2"/>
  <c r="AN230" i="2"/>
  <c r="AT230" i="2" l="1"/>
  <c r="AL230" i="2"/>
  <c r="AK230" i="2" a="1"/>
  <c r="AJ230" i="2"/>
  <c r="AI230" i="2"/>
  <c r="AH230" i="2"/>
  <c r="AK230" i="2" l="1"/>
  <c r="AG230" i="2" a="1"/>
  <c r="AG230" i="2" l="1"/>
  <c r="AF230" i="2" a="1"/>
  <c r="AF230" i="2" l="1"/>
  <c r="AE230" i="2"/>
  <c r="AD230" i="2" a="1"/>
  <c r="AD230" i="2" l="1"/>
  <c r="AC230" i="2" a="1"/>
  <c r="AC230" i="2" l="1"/>
  <c r="AA230" i="2"/>
  <c r="W230" i="2" a="1"/>
  <c r="W230" i="2" l="1"/>
  <c r="V230" i="2" a="1"/>
  <c r="V230" i="2" l="1"/>
  <c r="N230" i="2" a="1"/>
  <c r="N230" i="2" l="1"/>
  <c r="M230" i="2" a="1"/>
  <c r="M230" i="2" l="1"/>
  <c r="L230" i="2" a="1"/>
  <c r="L230" i="2" l="1"/>
  <c r="K230" i="2" a="1"/>
  <c r="J230" i="2"/>
  <c r="I230" i="2"/>
  <c r="K230" i="2" l="1"/>
  <c r="H230" i="2" a="1"/>
  <c r="F230" i="2"/>
  <c r="E230" i="2"/>
  <c r="Q230" i="2" a="1"/>
  <c r="R230" i="2"/>
  <c r="Q230" i="2" l="1"/>
  <c r="H230" i="2"/>
  <c r="AM230" i="2" l="1"/>
  <c r="AB230" i="2"/>
  <c r="AX229" i="2"/>
  <c r="S230" i="2"/>
  <c r="BC229" i="2" a="1"/>
  <c r="AV229" i="2" a="1"/>
  <c r="AV229" i="2" l="1"/>
  <c r="BC229" i="2"/>
  <c r="Z230" i="2"/>
  <c r="Y230" i="2"/>
  <c r="X230" i="2"/>
  <c r="T230" i="2"/>
  <c r="U230" i="2" s="1"/>
  <c r="AU229" i="2" a="1"/>
  <c r="AU229" i="2" l="1"/>
  <c r="AW229" i="2" s="1"/>
  <c r="AT229" i="2" a="1"/>
  <c r="AS229" i="2"/>
  <c r="AR229" i="2"/>
  <c r="AQ229" i="2"/>
  <c r="AP229" i="2"/>
  <c r="AO229" i="2"/>
  <c r="AN229" i="2"/>
  <c r="AT229" i="2" l="1"/>
  <c r="AL229" i="2"/>
  <c r="AK229" i="2" a="1"/>
  <c r="AJ229" i="2"/>
  <c r="AI229" i="2"/>
  <c r="AH229" i="2"/>
  <c r="AK229" i="2" l="1"/>
  <c r="AG229" i="2" a="1"/>
  <c r="AG229" i="2" l="1"/>
  <c r="AF229" i="2" a="1"/>
  <c r="AF229" i="2" l="1"/>
  <c r="AE229" i="2"/>
  <c r="AD229" i="2" a="1"/>
  <c r="AD229" i="2" l="1"/>
  <c r="AC229" i="2" a="1"/>
  <c r="AC229" i="2" l="1"/>
  <c r="AA229" i="2"/>
  <c r="W229" i="2" a="1"/>
  <c r="W229" i="2" l="1"/>
  <c r="V229" i="2" a="1"/>
  <c r="V229" i="2" l="1"/>
  <c r="N229" i="2" a="1"/>
  <c r="N229" i="2" l="1"/>
  <c r="M229" i="2" a="1"/>
  <c r="M229" i="2" l="1"/>
  <c r="L229" i="2" a="1"/>
  <c r="L229" i="2" l="1"/>
  <c r="K229" i="2" a="1"/>
  <c r="J229" i="2"/>
  <c r="I229" i="2"/>
  <c r="K229" i="2" l="1"/>
  <c r="H229" i="2" a="1"/>
  <c r="F229" i="2"/>
  <c r="E229" i="2"/>
  <c r="Q229" i="2" a="1"/>
  <c r="R229" i="2"/>
  <c r="Q229" i="2" l="1"/>
  <c r="H229" i="2"/>
  <c r="AM229" i="2" l="1"/>
  <c r="AB229" i="2"/>
  <c r="AX228" i="2"/>
  <c r="BC228" i="2" a="1"/>
  <c r="S229" i="2"/>
  <c r="AV228" i="2" a="1"/>
  <c r="AV228" i="2" l="1"/>
  <c r="Z229" i="2"/>
  <c r="X229" i="2"/>
  <c r="Y229" i="2"/>
  <c r="T229" i="2"/>
  <c r="U229" i="2" s="1"/>
  <c r="BC228" i="2"/>
  <c r="AU228" i="2" a="1"/>
  <c r="AU228" i="2" l="1"/>
  <c r="AW228" i="2" s="1"/>
  <c r="AT228" i="2" a="1"/>
  <c r="AS228" i="2"/>
  <c r="AR228" i="2"/>
  <c r="AQ228" i="2"/>
  <c r="AP228" i="2"/>
  <c r="AO228" i="2"/>
  <c r="AN228" i="2"/>
  <c r="AT228" i="2" l="1"/>
  <c r="AL228" i="2"/>
  <c r="AK228" i="2" a="1"/>
  <c r="AJ228" i="2"/>
  <c r="AI228" i="2"/>
  <c r="AH228" i="2"/>
  <c r="AK228" i="2" l="1"/>
  <c r="AG228" i="2" a="1"/>
  <c r="AG228" i="2" l="1"/>
  <c r="AF228" i="2" a="1"/>
  <c r="AF228" i="2" l="1"/>
  <c r="AE228" i="2"/>
  <c r="AD228" i="2" a="1"/>
  <c r="AD228" i="2" l="1"/>
  <c r="AC228" i="2" a="1"/>
  <c r="AC228" i="2" l="1"/>
  <c r="AA228" i="2"/>
  <c r="W228" i="2" a="1"/>
  <c r="W228" i="2" l="1"/>
  <c r="V228" i="2" a="1"/>
  <c r="V228" i="2" l="1"/>
  <c r="N228" i="2" a="1"/>
  <c r="N228" i="2" l="1"/>
  <c r="M228" i="2" a="1"/>
  <c r="M228" i="2" l="1"/>
  <c r="L228" i="2" a="1"/>
  <c r="L228" i="2" l="1"/>
  <c r="K228" i="2" a="1"/>
  <c r="J228" i="2"/>
  <c r="I228" i="2"/>
  <c r="K228" i="2" l="1"/>
  <c r="H228" i="2" a="1"/>
  <c r="F228" i="2"/>
  <c r="E228" i="2"/>
  <c r="Q228" i="2" a="1"/>
  <c r="R228" i="2"/>
  <c r="Q228" i="2" l="1"/>
  <c r="H228" i="2"/>
  <c r="AM228" i="2" l="1"/>
  <c r="AB228" i="2"/>
  <c r="AX227" i="2"/>
  <c r="BC227" i="2" a="1"/>
  <c r="S228" i="2"/>
  <c r="AV227" i="2" a="1"/>
  <c r="AV227" i="2" l="1"/>
  <c r="Y228" i="2"/>
  <c r="X228" i="2"/>
  <c r="Z228" i="2"/>
  <c r="T228" i="2"/>
  <c r="U228" i="2" s="1"/>
  <c r="BC227" i="2"/>
  <c r="AU227" i="2" a="1"/>
  <c r="AU227" i="2" l="1"/>
  <c r="AW227" i="2" s="1"/>
  <c r="AT227" i="2" a="1"/>
  <c r="AS227" i="2"/>
  <c r="AR227" i="2"/>
  <c r="AQ227" i="2"/>
  <c r="AP227" i="2"/>
  <c r="AO227" i="2"/>
  <c r="AN227" i="2"/>
  <c r="AT227" i="2" l="1"/>
  <c r="AL227" i="2"/>
  <c r="AK227" i="2" a="1"/>
  <c r="AJ227" i="2"/>
  <c r="AI227" i="2"/>
  <c r="AH227" i="2"/>
  <c r="AK227" i="2" l="1"/>
  <c r="AG227" i="2" a="1"/>
  <c r="AG227" i="2" l="1"/>
  <c r="AF227" i="2" a="1"/>
  <c r="AF227" i="2" l="1"/>
  <c r="AE227" i="2"/>
  <c r="AD227" i="2" a="1"/>
  <c r="AD227" i="2" l="1"/>
  <c r="AC227" i="2" a="1"/>
  <c r="AC227" i="2" l="1"/>
  <c r="AA227" i="2"/>
  <c r="W227" i="2" a="1"/>
  <c r="W227" i="2" l="1"/>
  <c r="V227" i="2" a="1"/>
  <c r="V227" i="2" l="1"/>
  <c r="N227" i="2" a="1"/>
  <c r="N227" i="2" l="1"/>
  <c r="M227" i="2" a="1"/>
  <c r="M227" i="2" l="1"/>
  <c r="L227" i="2" a="1"/>
  <c r="L227" i="2" l="1"/>
  <c r="K227" i="2" a="1"/>
  <c r="J227" i="2"/>
  <c r="I227" i="2"/>
  <c r="K227" i="2" l="1"/>
  <c r="H227" i="2" a="1"/>
  <c r="F227" i="2"/>
  <c r="E227" i="2"/>
  <c r="Q227" i="2" a="1"/>
  <c r="R227" i="2"/>
  <c r="Q227" i="2" l="1"/>
  <c r="H227" i="2"/>
  <c r="AM227" i="2" l="1"/>
  <c r="AB227" i="2"/>
  <c r="AX226" i="2"/>
  <c r="S227" i="2"/>
  <c r="BC226" i="2" a="1"/>
  <c r="AV226" i="2" a="1"/>
  <c r="AV226" i="2" l="1"/>
  <c r="BC226" i="2"/>
  <c r="Z227" i="2"/>
  <c r="Y227" i="2"/>
  <c r="X227" i="2"/>
  <c r="T227" i="2"/>
  <c r="U227" i="2" s="1"/>
  <c r="AU226" i="2" a="1"/>
  <c r="AU226" i="2" l="1"/>
  <c r="AW226" i="2" s="1"/>
  <c r="AT226" i="2" a="1"/>
  <c r="AS226" i="2"/>
  <c r="AR226" i="2"/>
  <c r="AQ226" i="2"/>
  <c r="AP226" i="2"/>
  <c r="AO226" i="2"/>
  <c r="AN226" i="2"/>
  <c r="AT226" i="2" l="1"/>
  <c r="AL226" i="2"/>
  <c r="AK226" i="2" a="1"/>
  <c r="AJ226" i="2"/>
  <c r="AI226" i="2"/>
  <c r="AH226" i="2"/>
  <c r="AK226" i="2" l="1"/>
  <c r="AG226" i="2" a="1"/>
  <c r="AG226" i="2" l="1"/>
  <c r="AF226" i="2" a="1"/>
  <c r="AF226" i="2" l="1"/>
  <c r="AE226" i="2"/>
  <c r="AD226" i="2" a="1"/>
  <c r="AD226" i="2" l="1"/>
  <c r="AC226" i="2" a="1"/>
  <c r="AC226" i="2" l="1"/>
  <c r="AA226" i="2"/>
  <c r="W226" i="2" a="1"/>
  <c r="W226" i="2" l="1"/>
  <c r="V226" i="2" a="1"/>
  <c r="V226" i="2" l="1"/>
  <c r="N226" i="2" a="1"/>
  <c r="N226" i="2" l="1"/>
  <c r="M226" i="2" a="1"/>
  <c r="M226" i="2" l="1"/>
  <c r="L226" i="2" a="1"/>
  <c r="L226" i="2" l="1"/>
  <c r="K226" i="2" a="1"/>
  <c r="J226" i="2"/>
  <c r="I226" i="2"/>
  <c r="K226" i="2" l="1"/>
  <c r="H226" i="2" a="1"/>
  <c r="F226" i="2"/>
  <c r="E226" i="2"/>
  <c r="Q226" i="2" a="1"/>
  <c r="R226" i="2"/>
  <c r="Q226" i="2" l="1"/>
  <c r="H226" i="2"/>
  <c r="AM226" i="2" l="1"/>
  <c r="AB226" i="2"/>
  <c r="AX225" i="2"/>
  <c r="BC225" i="2" a="1"/>
  <c r="S226" i="2"/>
  <c r="AV225" i="2" a="1"/>
  <c r="AV225" i="2" l="1"/>
  <c r="Z226" i="2"/>
  <c r="Y226" i="2"/>
  <c r="X226" i="2"/>
  <c r="T226" i="2"/>
  <c r="U226" i="2" s="1"/>
  <c r="BC225" i="2"/>
  <c r="AU225" i="2" a="1"/>
  <c r="AU225" i="2" l="1"/>
  <c r="AW225" i="2" s="1"/>
  <c r="AT225" i="2" a="1"/>
  <c r="AS225" i="2"/>
  <c r="AR225" i="2"/>
  <c r="AQ225" i="2"/>
  <c r="AP225" i="2"/>
  <c r="AO225" i="2"/>
  <c r="AN225" i="2"/>
  <c r="AT225" i="2" l="1"/>
  <c r="AL225" i="2"/>
  <c r="AK225" i="2" a="1"/>
  <c r="AJ225" i="2"/>
  <c r="AI225" i="2"/>
  <c r="AH225" i="2"/>
  <c r="AK225" i="2" l="1"/>
  <c r="AG225" i="2" a="1"/>
  <c r="AG225" i="2" l="1"/>
  <c r="AF225" i="2" a="1"/>
  <c r="AF225" i="2" l="1"/>
  <c r="AE225" i="2"/>
  <c r="AD225" i="2" a="1"/>
  <c r="AD225" i="2" l="1"/>
  <c r="AC225" i="2" a="1"/>
  <c r="AC225" i="2" l="1"/>
  <c r="AA225" i="2"/>
  <c r="W225" i="2" a="1"/>
  <c r="W225" i="2" l="1"/>
  <c r="V225" i="2" a="1"/>
  <c r="V225" i="2" l="1"/>
  <c r="N225" i="2" a="1"/>
  <c r="N225" i="2" l="1"/>
  <c r="M225" i="2" a="1"/>
  <c r="M225" i="2" l="1"/>
  <c r="L225" i="2" a="1"/>
  <c r="L225" i="2" l="1"/>
  <c r="K225" i="2" a="1"/>
  <c r="J225" i="2"/>
  <c r="I225" i="2"/>
  <c r="K225" i="2" l="1"/>
  <c r="H225" i="2" a="1"/>
  <c r="F225" i="2"/>
  <c r="E225" i="2"/>
  <c r="Q225" i="2" a="1"/>
  <c r="Q225" i="2" l="1"/>
  <c r="H225" i="2"/>
  <c r="R225" i="2"/>
  <c r="AM225" i="2" l="1"/>
  <c r="AB225" i="2"/>
  <c r="AX224" i="2"/>
  <c r="S225" i="2"/>
  <c r="BC224" i="2" a="1"/>
  <c r="AV224" i="2" a="1"/>
  <c r="AV224" i="2" l="1"/>
  <c r="BC224" i="2"/>
  <c r="Y225" i="2"/>
  <c r="X225" i="2"/>
  <c r="Z225" i="2"/>
  <c r="T225" i="2"/>
  <c r="U225" i="2" s="1"/>
  <c r="AU224" i="2" a="1"/>
  <c r="AU224" i="2" l="1"/>
  <c r="AW224" i="2" s="1"/>
  <c r="AT224" i="2" a="1"/>
  <c r="AS224" i="2"/>
  <c r="AR224" i="2"/>
  <c r="AQ224" i="2"/>
  <c r="AP224" i="2"/>
  <c r="AO224" i="2"/>
  <c r="AN224" i="2"/>
  <c r="AT224" i="2" l="1"/>
  <c r="AL224" i="2"/>
  <c r="AK224" i="2" a="1"/>
  <c r="AJ224" i="2"/>
  <c r="AI224" i="2"/>
  <c r="AH224" i="2"/>
  <c r="AK224" i="2" l="1"/>
  <c r="AG224" i="2" a="1"/>
  <c r="AG224" i="2" l="1"/>
  <c r="AF224" i="2" a="1"/>
  <c r="AF224" i="2" l="1"/>
  <c r="AE224" i="2"/>
  <c r="AD224" i="2" a="1"/>
  <c r="AD224" i="2" l="1"/>
  <c r="AC224" i="2" a="1"/>
  <c r="AC224" i="2" l="1"/>
  <c r="AA224" i="2"/>
  <c r="W224" i="2" a="1"/>
  <c r="W224" i="2" l="1"/>
  <c r="V224" i="2" a="1"/>
  <c r="V224" i="2" l="1"/>
  <c r="N224" i="2" a="1"/>
  <c r="N224" i="2" l="1"/>
  <c r="M224" i="2" a="1"/>
  <c r="M224" i="2" l="1"/>
  <c r="L224" i="2" a="1"/>
  <c r="L224" i="2" l="1"/>
  <c r="K224" i="2" a="1"/>
  <c r="J224" i="2"/>
  <c r="I224" i="2"/>
  <c r="K224" i="2" l="1"/>
  <c r="H224" i="2" a="1"/>
  <c r="F224" i="2"/>
  <c r="E224" i="2"/>
  <c r="Q224" i="2" a="1"/>
  <c r="R224" i="2"/>
  <c r="Q224" i="2" l="1"/>
  <c r="H224" i="2"/>
  <c r="AM224" i="2" l="1"/>
  <c r="AB224" i="2"/>
  <c r="AX223" i="2"/>
  <c r="S224" i="2"/>
  <c r="BC223" i="2" a="1"/>
  <c r="AV223" i="2" a="1"/>
  <c r="AV223" i="2" l="1"/>
  <c r="BC223" i="2"/>
  <c r="Y224" i="2"/>
  <c r="X224" i="2"/>
  <c r="Z224" i="2"/>
  <c r="T224" i="2"/>
  <c r="U224" i="2" s="1"/>
  <c r="AU223" i="2" a="1"/>
  <c r="AU223" i="2" l="1"/>
  <c r="AW223" i="2" s="1"/>
  <c r="AT223" i="2" a="1"/>
  <c r="AS223" i="2"/>
  <c r="AR223" i="2"/>
  <c r="AQ223" i="2"/>
  <c r="AP223" i="2"/>
  <c r="AO223" i="2"/>
  <c r="AN223" i="2"/>
  <c r="AT223" i="2" l="1"/>
  <c r="AL223" i="2"/>
  <c r="AK223" i="2" a="1"/>
  <c r="AJ223" i="2"/>
  <c r="AI223" i="2"/>
  <c r="AH223" i="2"/>
  <c r="AK223" i="2" l="1"/>
  <c r="AG223" i="2" a="1"/>
  <c r="AG223" i="2" l="1"/>
  <c r="AF223" i="2" a="1"/>
  <c r="AF223" i="2" l="1"/>
  <c r="AE223" i="2"/>
  <c r="AD223" i="2" a="1"/>
  <c r="AD223" i="2" l="1"/>
  <c r="AC223" i="2" a="1"/>
  <c r="AC223" i="2" l="1"/>
  <c r="AA223" i="2"/>
  <c r="W223" i="2" a="1"/>
  <c r="W223" i="2" l="1"/>
  <c r="V223" i="2" a="1"/>
  <c r="V223" i="2" l="1"/>
  <c r="N223" i="2" a="1"/>
  <c r="N223" i="2" l="1"/>
  <c r="M223" i="2" a="1"/>
  <c r="M223" i="2" l="1"/>
  <c r="L223" i="2" a="1"/>
  <c r="L223" i="2" l="1"/>
  <c r="K223" i="2" a="1"/>
  <c r="J223" i="2"/>
  <c r="I223" i="2"/>
  <c r="K223" i="2" l="1"/>
  <c r="H223" i="2" a="1"/>
  <c r="F223" i="2"/>
  <c r="E223" i="2"/>
  <c r="Q223" i="2" a="1"/>
  <c r="R223" i="2"/>
  <c r="Q223" i="2" l="1"/>
  <c r="H223" i="2"/>
  <c r="AM223" i="2" l="1"/>
  <c r="AB223" i="2"/>
  <c r="AX222" i="2"/>
  <c r="BC222" i="2" a="1"/>
  <c r="S223" i="2"/>
  <c r="AV222" i="2" a="1"/>
  <c r="AV222" i="2" l="1"/>
  <c r="Z223" i="2"/>
  <c r="Y223" i="2"/>
  <c r="X223" i="2"/>
  <c r="T223" i="2"/>
  <c r="U223" i="2" s="1"/>
  <c r="BC222" i="2"/>
  <c r="AU222" i="2" a="1"/>
  <c r="AU222" i="2" l="1"/>
  <c r="AW222" i="2" s="1"/>
  <c r="AT222" i="2" a="1"/>
  <c r="AS222" i="2"/>
  <c r="AR222" i="2"/>
  <c r="AQ222" i="2"/>
  <c r="AP222" i="2"/>
  <c r="AO222" i="2"/>
  <c r="AN222" i="2"/>
  <c r="AT222" i="2" l="1"/>
  <c r="AL222" i="2"/>
  <c r="AK222" i="2" a="1"/>
  <c r="AJ222" i="2"/>
  <c r="AI222" i="2"/>
  <c r="AH222" i="2"/>
  <c r="AK222" i="2" l="1"/>
  <c r="AG222" i="2" a="1"/>
  <c r="AG222" i="2" l="1"/>
  <c r="AF222" i="2" a="1"/>
  <c r="AF222" i="2" l="1"/>
  <c r="AE222" i="2"/>
  <c r="AD222" i="2" a="1"/>
  <c r="AD222" i="2" l="1"/>
  <c r="AC222" i="2" a="1"/>
  <c r="AC222" i="2" l="1"/>
  <c r="AA222" i="2"/>
  <c r="W222" i="2" a="1"/>
  <c r="W222" i="2" l="1"/>
  <c r="V222" i="2" a="1"/>
  <c r="V222" i="2" l="1"/>
  <c r="N222" i="2" a="1"/>
  <c r="N222" i="2" l="1"/>
  <c r="M222" i="2" a="1"/>
  <c r="M222" i="2" l="1"/>
  <c r="L222" i="2" a="1"/>
  <c r="L222" i="2" l="1"/>
  <c r="K222" i="2" a="1"/>
  <c r="J222" i="2"/>
  <c r="I222" i="2"/>
  <c r="K222" i="2" l="1"/>
  <c r="H222" i="2" a="1"/>
  <c r="F222" i="2"/>
  <c r="E222" i="2"/>
  <c r="Q222" i="2" a="1"/>
  <c r="Q222" i="2" l="1"/>
  <c r="H222" i="2"/>
  <c r="R222" i="2"/>
  <c r="AM222" i="2" l="1"/>
  <c r="AB222" i="2"/>
  <c r="AX221" i="2"/>
  <c r="S222" i="2"/>
  <c r="BC221" i="2" a="1"/>
  <c r="AV221" i="2" a="1"/>
  <c r="AV221" i="2" l="1"/>
  <c r="BC221" i="2"/>
  <c r="Z222" i="2"/>
  <c r="X222" i="2"/>
  <c r="Y222" i="2"/>
  <c r="T222" i="2"/>
  <c r="U222" i="2" s="1"/>
  <c r="AU221" i="2" a="1"/>
  <c r="AU221" i="2" l="1"/>
  <c r="AW221" i="2" s="1"/>
  <c r="AT221" i="2" a="1"/>
  <c r="AS221" i="2"/>
  <c r="AR221" i="2"/>
  <c r="AQ221" i="2"/>
  <c r="AP221" i="2"/>
  <c r="AO221" i="2"/>
  <c r="AN221" i="2"/>
  <c r="AT221" i="2" l="1"/>
  <c r="AL221" i="2"/>
  <c r="AK221" i="2" a="1"/>
  <c r="AJ221" i="2"/>
  <c r="AI221" i="2"/>
  <c r="AH221" i="2"/>
  <c r="AK221" i="2" l="1"/>
  <c r="AG221" i="2" a="1"/>
  <c r="AG221" i="2" l="1"/>
  <c r="AF221" i="2" a="1"/>
  <c r="AF221" i="2" l="1"/>
  <c r="AE221" i="2"/>
  <c r="AD221" i="2" a="1"/>
  <c r="AD221" i="2" l="1"/>
  <c r="AC221" i="2" a="1"/>
  <c r="AC221" i="2" l="1"/>
  <c r="AA221" i="2"/>
  <c r="W221" i="2" a="1"/>
  <c r="W221" i="2" l="1"/>
  <c r="V221" i="2" a="1"/>
  <c r="V221" i="2" l="1"/>
  <c r="N221" i="2" a="1"/>
  <c r="N221" i="2" l="1"/>
  <c r="M221" i="2" a="1"/>
  <c r="M221" i="2" l="1"/>
  <c r="L221" i="2" a="1"/>
  <c r="L221" i="2" l="1"/>
  <c r="K221" i="2" a="1"/>
  <c r="J221" i="2"/>
  <c r="I221" i="2"/>
  <c r="K221" i="2" l="1"/>
  <c r="H221" i="2" a="1"/>
  <c r="F221" i="2"/>
  <c r="E221" i="2"/>
  <c r="Q221" i="2" a="1"/>
  <c r="Q221" i="2" l="1"/>
  <c r="H221" i="2"/>
  <c r="R221" i="2"/>
  <c r="AM221" i="2" l="1"/>
  <c r="AB221" i="2"/>
  <c r="AX220" i="2"/>
  <c r="S221" i="2"/>
  <c r="BC220" i="2" a="1"/>
  <c r="AV220" i="2" a="1"/>
  <c r="AV220" i="2" l="1"/>
  <c r="BC220" i="2"/>
  <c r="Z221" i="2"/>
  <c r="Y221" i="2"/>
  <c r="X221" i="2"/>
  <c r="T221" i="2"/>
  <c r="U221" i="2" s="1"/>
  <c r="AU220" i="2" a="1"/>
  <c r="AU220" i="2" l="1"/>
  <c r="AW220" i="2" s="1"/>
  <c r="AT220" i="2" a="1"/>
  <c r="AS220" i="2"/>
  <c r="AR220" i="2"/>
  <c r="AQ220" i="2"/>
  <c r="AP220" i="2"/>
  <c r="AO220" i="2"/>
  <c r="AN220" i="2"/>
  <c r="AT220" i="2" l="1"/>
  <c r="AL220" i="2"/>
  <c r="AK220" i="2" a="1"/>
  <c r="AJ220" i="2"/>
  <c r="AI220" i="2"/>
  <c r="AH220" i="2"/>
  <c r="AK220" i="2" l="1"/>
  <c r="AG220" i="2" a="1"/>
  <c r="AG220" i="2" l="1"/>
  <c r="AF220" i="2" a="1"/>
  <c r="AF220" i="2" l="1"/>
  <c r="AE220" i="2"/>
  <c r="AD220" i="2" a="1"/>
  <c r="AD220" i="2" l="1"/>
  <c r="AC220" i="2" a="1"/>
  <c r="AC220" i="2" l="1"/>
  <c r="AA220" i="2"/>
  <c r="W220" i="2" a="1"/>
  <c r="W220" i="2" l="1"/>
  <c r="V220" i="2" a="1"/>
  <c r="V220" i="2" l="1"/>
  <c r="N220" i="2" a="1"/>
  <c r="N220" i="2" l="1"/>
  <c r="M220" i="2" a="1"/>
  <c r="M220" i="2" l="1"/>
  <c r="L220" i="2" a="1"/>
  <c r="L220" i="2" l="1"/>
  <c r="K220" i="2" a="1"/>
  <c r="J220" i="2"/>
  <c r="K220" i="2" l="1"/>
  <c r="H220" i="2" a="1"/>
  <c r="F220" i="2"/>
  <c r="E220" i="2"/>
  <c r="Q220" i="2" a="1"/>
  <c r="Q220" i="2" l="1"/>
  <c r="H220" i="2"/>
  <c r="R220" i="2"/>
  <c r="AM220" i="2" l="1"/>
  <c r="AB220" i="2"/>
  <c r="AX219" i="2"/>
  <c r="S220" i="2"/>
  <c r="BC219" i="2" a="1"/>
  <c r="AV219" i="2" a="1"/>
  <c r="AV219" i="2" l="1"/>
  <c r="BC219" i="2"/>
  <c r="Y220" i="2"/>
  <c r="X220" i="2"/>
  <c r="Z220" i="2"/>
  <c r="T220" i="2"/>
  <c r="U220" i="2" s="1"/>
  <c r="AU219" i="2" a="1"/>
  <c r="AU219" i="2" l="1"/>
  <c r="AW219" i="2" s="1"/>
  <c r="AT219" i="2" a="1"/>
  <c r="AS219" i="2"/>
  <c r="AR219" i="2"/>
  <c r="AQ219" i="2"/>
  <c r="AP219" i="2"/>
  <c r="AO219" i="2"/>
  <c r="AN219" i="2"/>
  <c r="AT219" i="2" l="1"/>
  <c r="AL219" i="2"/>
  <c r="AK219" i="2" a="1"/>
  <c r="AJ219" i="2"/>
  <c r="AI219" i="2"/>
  <c r="AH219" i="2"/>
  <c r="AK219" i="2" l="1"/>
  <c r="AG219" i="2" a="1"/>
  <c r="AG219" i="2" l="1"/>
  <c r="AF219" i="2" a="1"/>
  <c r="AF219" i="2" l="1"/>
  <c r="AE219" i="2"/>
  <c r="AD219" i="2" a="1"/>
  <c r="AD219" i="2" l="1"/>
  <c r="AC219" i="2" a="1"/>
  <c r="AC219" i="2" l="1"/>
  <c r="AA219" i="2"/>
  <c r="W219" i="2" a="1"/>
  <c r="W219" i="2" l="1"/>
  <c r="V219" i="2" a="1"/>
  <c r="V219" i="2" l="1"/>
  <c r="N219" i="2" a="1"/>
  <c r="N219" i="2" l="1"/>
  <c r="M219" i="2" a="1"/>
  <c r="M219" i="2" l="1"/>
  <c r="L219" i="2" a="1"/>
  <c r="L219" i="2" l="1"/>
  <c r="K219" i="2" a="1"/>
  <c r="J219" i="2"/>
  <c r="I219" i="2"/>
  <c r="K219" i="2" l="1"/>
  <c r="H219" i="2" a="1"/>
  <c r="F219" i="2"/>
  <c r="E219" i="2"/>
  <c r="Q219" i="2" a="1"/>
  <c r="Q219" i="2" l="1"/>
  <c r="H219" i="2"/>
  <c r="R219" i="2"/>
  <c r="AM219" i="2" l="1"/>
  <c r="AB219" i="2"/>
  <c r="AX218" i="2"/>
  <c r="S219" i="2"/>
  <c r="BC218" i="2" a="1"/>
  <c r="AV218" i="2" a="1"/>
  <c r="AV218" i="2" l="1"/>
  <c r="BC218" i="2"/>
  <c r="Y219" i="2"/>
  <c r="X219" i="2"/>
  <c r="Z219" i="2"/>
  <c r="T219" i="2"/>
  <c r="U219" i="2" s="1"/>
  <c r="AU218" i="2" a="1"/>
  <c r="AU218" i="2" l="1"/>
  <c r="AW218" i="2" s="1"/>
  <c r="AT218" i="2" a="1"/>
  <c r="AS218" i="2"/>
  <c r="AR218" i="2"/>
  <c r="AQ218" i="2"/>
  <c r="AP218" i="2"/>
  <c r="AO218" i="2"/>
  <c r="AN218" i="2"/>
  <c r="AT218" i="2" l="1"/>
  <c r="AL218" i="2"/>
  <c r="AK218" i="2" a="1"/>
  <c r="AJ218" i="2"/>
  <c r="AI218" i="2"/>
  <c r="AH218" i="2"/>
  <c r="AK218" i="2" l="1"/>
  <c r="AG218" i="2" a="1"/>
  <c r="AG218" i="2" l="1"/>
  <c r="AF218" i="2" a="1"/>
  <c r="AF218" i="2" l="1"/>
  <c r="AE218" i="2"/>
  <c r="AD218" i="2" a="1"/>
  <c r="AD218" i="2" l="1"/>
  <c r="AC218" i="2" a="1"/>
  <c r="AC218" i="2" l="1"/>
  <c r="AA218" i="2"/>
  <c r="W218" i="2" a="1"/>
  <c r="W218" i="2" l="1"/>
  <c r="V218" i="2" a="1"/>
  <c r="V218" i="2" l="1"/>
  <c r="N218" i="2" a="1"/>
  <c r="N218" i="2" l="1"/>
  <c r="M218" i="2" a="1"/>
  <c r="M218" i="2" l="1"/>
  <c r="L218" i="2" a="1"/>
  <c r="L218" i="2" l="1"/>
  <c r="K218" i="2" a="1"/>
  <c r="J218" i="2"/>
  <c r="I218" i="2"/>
  <c r="K218" i="2" l="1"/>
  <c r="H218" i="2" a="1"/>
  <c r="F218" i="2"/>
  <c r="E218" i="2"/>
  <c r="Q218" i="2" a="1"/>
  <c r="Q218" i="2" l="1"/>
  <c r="H218" i="2"/>
  <c r="R218" i="2"/>
  <c r="AM218" i="2" l="1"/>
  <c r="AB218" i="2"/>
  <c r="AX217" i="2"/>
  <c r="S218" i="2"/>
  <c r="BC217" i="2" a="1"/>
  <c r="AV217" i="2" a="1"/>
  <c r="AV217" i="2" l="1"/>
  <c r="BC217" i="2"/>
  <c r="Z218" i="2"/>
  <c r="X218" i="2"/>
  <c r="Y218" i="2"/>
  <c r="T218" i="2"/>
  <c r="U218" i="2" s="1"/>
  <c r="AU217" i="2" a="1"/>
  <c r="AU217" i="2" l="1"/>
  <c r="AW217" i="2" s="1"/>
  <c r="AT217" i="2" a="1"/>
  <c r="AS217" i="2"/>
  <c r="AR217" i="2"/>
  <c r="AQ217" i="2"/>
  <c r="AP217" i="2"/>
  <c r="AO217" i="2"/>
  <c r="AN217" i="2"/>
  <c r="AT217" i="2" l="1"/>
  <c r="AL217" i="2"/>
  <c r="AK217" i="2" a="1"/>
  <c r="AJ217" i="2"/>
  <c r="AI217" i="2"/>
  <c r="AH217" i="2"/>
  <c r="AK217" i="2" l="1"/>
  <c r="AG217" i="2" a="1"/>
  <c r="AG217" i="2" l="1"/>
  <c r="AF217" i="2" a="1"/>
  <c r="AF217" i="2" l="1"/>
  <c r="AE217" i="2"/>
  <c r="AD217" i="2" a="1"/>
  <c r="AD217" i="2" l="1"/>
  <c r="AC217" i="2" a="1"/>
  <c r="AC217" i="2" l="1"/>
  <c r="AA217" i="2"/>
  <c r="W217" i="2" a="1"/>
  <c r="W217" i="2" l="1"/>
  <c r="V217" i="2" a="1"/>
  <c r="V217" i="2" l="1"/>
  <c r="N217" i="2" a="1"/>
  <c r="N217" i="2" l="1"/>
  <c r="M217" i="2" a="1"/>
  <c r="M217" i="2" l="1"/>
  <c r="L217" i="2" a="1"/>
  <c r="L217" i="2" l="1"/>
  <c r="K217" i="2" a="1"/>
  <c r="J217" i="2"/>
  <c r="I217" i="2"/>
  <c r="K217" i="2" l="1"/>
  <c r="H217" i="2" a="1"/>
  <c r="F217" i="2"/>
  <c r="E217" i="2"/>
  <c r="Q217" i="2" a="1"/>
  <c r="Q217" i="2" l="1"/>
  <c r="H217" i="2"/>
  <c r="R217" i="2"/>
  <c r="AM217" i="2" l="1"/>
  <c r="AB217" i="2"/>
  <c r="AX216" i="2"/>
  <c r="S217" i="2"/>
  <c r="BC216" i="2" a="1"/>
  <c r="AV216" i="2" a="1"/>
  <c r="AV216" i="2" l="1"/>
  <c r="BC216" i="2"/>
  <c r="Z217" i="2"/>
  <c r="X217" i="2"/>
  <c r="Y217" i="2"/>
  <c r="T217" i="2"/>
  <c r="U217" i="2" s="1"/>
  <c r="AU216" i="2" a="1"/>
  <c r="AU216" i="2" l="1"/>
  <c r="AW216" i="2" s="1"/>
  <c r="AT216" i="2" a="1"/>
  <c r="AS216" i="2"/>
  <c r="AR216" i="2"/>
  <c r="AQ216" i="2"/>
  <c r="AP216" i="2"/>
  <c r="AO216" i="2"/>
  <c r="AN216" i="2"/>
  <c r="AT216" i="2" l="1"/>
  <c r="AL216" i="2"/>
  <c r="AK216" i="2" a="1"/>
  <c r="AJ216" i="2"/>
  <c r="AI216" i="2"/>
  <c r="AH216" i="2"/>
  <c r="AK216" i="2" l="1"/>
  <c r="AG216" i="2" a="1"/>
  <c r="AG216" i="2" l="1"/>
  <c r="AF216" i="2" a="1"/>
  <c r="AF216" i="2" l="1"/>
  <c r="AE216" i="2"/>
  <c r="AD216" i="2" a="1"/>
  <c r="AD216" i="2" l="1"/>
  <c r="AC216" i="2" a="1"/>
  <c r="AC216" i="2" l="1"/>
  <c r="AA216" i="2"/>
  <c r="W216" i="2" a="1"/>
  <c r="W216" i="2" l="1"/>
  <c r="V216" i="2" a="1"/>
  <c r="V216" i="2" l="1"/>
  <c r="N216" i="2" a="1"/>
  <c r="N216" i="2" l="1"/>
  <c r="M216" i="2" a="1"/>
  <c r="M216" i="2" l="1"/>
  <c r="L216" i="2" a="1"/>
  <c r="L216" i="2" l="1"/>
  <c r="K216" i="2" a="1"/>
  <c r="J216" i="2"/>
  <c r="I216" i="2"/>
  <c r="K216" i="2" l="1"/>
  <c r="H216" i="2" a="1"/>
  <c r="F216" i="2"/>
  <c r="E216" i="2"/>
  <c r="Q216" i="2" a="1"/>
  <c r="Q216" i="2" l="1"/>
  <c r="H216" i="2"/>
  <c r="R216" i="2"/>
  <c r="AM216" i="2" l="1"/>
  <c r="AB216" i="2"/>
  <c r="AX215" i="2"/>
  <c r="S216" i="2"/>
  <c r="BC215" i="2" a="1"/>
  <c r="AV215" i="2" a="1"/>
  <c r="AV215" i="2" l="1"/>
  <c r="BC215" i="2"/>
  <c r="Z216" i="2"/>
  <c r="X216" i="2"/>
  <c r="Y216" i="2"/>
  <c r="T216" i="2"/>
  <c r="U216" i="2" s="1"/>
  <c r="AU215" i="2" a="1"/>
  <c r="AU215" i="2" l="1"/>
  <c r="AW215" i="2" s="1"/>
  <c r="AT215" i="2" a="1"/>
  <c r="AS215" i="2"/>
  <c r="AR215" i="2"/>
  <c r="AQ215" i="2"/>
  <c r="AP215" i="2"/>
  <c r="AO215" i="2"/>
  <c r="AN215" i="2"/>
  <c r="AT215" i="2" l="1"/>
  <c r="AL215" i="2"/>
  <c r="AK215" i="2" a="1"/>
  <c r="AJ215" i="2"/>
  <c r="AI215" i="2"/>
  <c r="AH215" i="2"/>
  <c r="AK215" i="2" l="1"/>
  <c r="AG215" i="2" a="1"/>
  <c r="AG215" i="2" l="1"/>
  <c r="AF215" i="2" a="1"/>
  <c r="AF215" i="2" l="1"/>
  <c r="AE215" i="2"/>
  <c r="AD215" i="2" a="1"/>
  <c r="AD215" i="2" l="1"/>
  <c r="AC215" i="2" a="1"/>
  <c r="AC215" i="2" l="1"/>
  <c r="AA215" i="2"/>
  <c r="W215" i="2" a="1"/>
  <c r="W215" i="2" l="1"/>
  <c r="V215" i="2" a="1"/>
  <c r="V215" i="2" l="1"/>
  <c r="N215" i="2" a="1"/>
  <c r="N215" i="2" l="1"/>
  <c r="M215" i="2" a="1"/>
  <c r="M215" i="2" l="1"/>
  <c r="L215" i="2" a="1"/>
  <c r="L215" i="2" l="1"/>
  <c r="K215" i="2" a="1"/>
  <c r="J215" i="2"/>
  <c r="I215" i="2"/>
  <c r="K215" i="2" l="1"/>
  <c r="H215" i="2" a="1"/>
  <c r="F215" i="2"/>
  <c r="E215" i="2"/>
  <c r="Q215" i="2" a="1"/>
  <c r="Q215" i="2" l="1"/>
  <c r="H215" i="2"/>
  <c r="R215" i="2"/>
  <c r="AM215" i="2" l="1"/>
  <c r="AB215" i="2"/>
  <c r="AX214" i="2"/>
  <c r="S215" i="2"/>
  <c r="BC214" i="2" a="1"/>
  <c r="AV214" i="2" a="1"/>
  <c r="AV214" i="2" l="1"/>
  <c r="BC214" i="2"/>
  <c r="Y215" i="2"/>
  <c r="X215" i="2"/>
  <c r="Z215" i="2"/>
  <c r="T215" i="2"/>
  <c r="U215" i="2" s="1"/>
  <c r="AU214" i="2" a="1"/>
  <c r="AU214" i="2" l="1"/>
  <c r="AW214" i="2" s="1"/>
  <c r="AT214" i="2" a="1"/>
  <c r="AS214" i="2"/>
  <c r="AR214" i="2"/>
  <c r="AQ214" i="2"/>
  <c r="AP214" i="2"/>
  <c r="AO214" i="2"/>
  <c r="AN214" i="2"/>
  <c r="AT214" i="2" l="1"/>
  <c r="AL214" i="2"/>
  <c r="AK214" i="2" a="1"/>
  <c r="AJ214" i="2"/>
  <c r="AI214" i="2"/>
  <c r="AH214" i="2"/>
  <c r="AK214" i="2" l="1"/>
  <c r="AG214" i="2" a="1"/>
  <c r="AG214" i="2" l="1"/>
  <c r="AF214" i="2" a="1"/>
  <c r="AF214" i="2" l="1"/>
  <c r="AE214" i="2"/>
  <c r="AD214" i="2" a="1"/>
  <c r="AD214" i="2" l="1"/>
  <c r="AC214" i="2" a="1"/>
  <c r="AC214" i="2" l="1"/>
  <c r="AA214" i="2"/>
  <c r="W214" i="2" a="1"/>
  <c r="W214" i="2" l="1"/>
  <c r="V214" i="2" a="1"/>
  <c r="V214" i="2" l="1"/>
  <c r="N214" i="2" a="1"/>
  <c r="N214" i="2" l="1"/>
  <c r="M214" i="2" a="1"/>
  <c r="M214" i="2" l="1"/>
  <c r="L214" i="2" a="1"/>
  <c r="L214" i="2" l="1"/>
  <c r="K214" i="2" a="1"/>
  <c r="J214" i="2"/>
  <c r="I214" i="2"/>
  <c r="K214" i="2" l="1"/>
  <c r="H214" i="2" a="1"/>
  <c r="F214" i="2"/>
  <c r="E214" i="2"/>
  <c r="Q214" i="2" a="1"/>
  <c r="Q214" i="2" l="1"/>
  <c r="H214" i="2"/>
  <c r="R214" i="2"/>
  <c r="AM214" i="2" l="1"/>
  <c r="AB214" i="2"/>
  <c r="AX213" i="2"/>
  <c r="S214" i="2"/>
  <c r="BC213" i="2" a="1"/>
  <c r="AV213" i="2" a="1"/>
  <c r="AV213" i="2" l="1"/>
  <c r="BC213" i="2"/>
  <c r="Y214" i="2"/>
  <c r="X214" i="2"/>
  <c r="Z214" i="2"/>
  <c r="T214" i="2"/>
  <c r="U214" i="2" s="1"/>
  <c r="AU213" i="2" a="1"/>
  <c r="AU213" i="2" l="1"/>
  <c r="AW213" i="2" s="1"/>
  <c r="AT213" i="2" a="1"/>
  <c r="AS213" i="2"/>
  <c r="AR213" i="2"/>
  <c r="AQ213" i="2"/>
  <c r="AP213" i="2"/>
  <c r="AO213" i="2"/>
  <c r="AN213" i="2"/>
  <c r="AT213" i="2" l="1"/>
  <c r="AL213" i="2"/>
  <c r="AK213" i="2" a="1"/>
  <c r="AJ213" i="2"/>
  <c r="AI213" i="2"/>
  <c r="AH213" i="2"/>
  <c r="AK213" i="2" l="1"/>
  <c r="AG213" i="2" a="1"/>
  <c r="AG213" i="2" l="1"/>
  <c r="AF213" i="2" a="1"/>
  <c r="AF213" i="2" l="1"/>
  <c r="AE213" i="2"/>
  <c r="AD213" i="2" a="1"/>
  <c r="AD213" i="2" l="1"/>
  <c r="AC213" i="2" a="1"/>
  <c r="AC213" i="2" l="1"/>
  <c r="AA213" i="2"/>
  <c r="W213" i="2" a="1"/>
  <c r="W213" i="2" l="1"/>
  <c r="V213" i="2" a="1"/>
  <c r="V213" i="2" l="1"/>
  <c r="N213" i="2" a="1"/>
  <c r="N213" i="2" l="1"/>
  <c r="M213" i="2" a="1"/>
  <c r="M213" i="2" l="1"/>
  <c r="L213" i="2" a="1"/>
  <c r="L213" i="2" l="1"/>
  <c r="K213" i="2" a="1"/>
  <c r="J213" i="2"/>
  <c r="I213" i="2"/>
  <c r="K213" i="2" l="1"/>
  <c r="H213" i="2" a="1"/>
  <c r="F213" i="2"/>
  <c r="E213" i="2"/>
  <c r="Q213" i="2" a="1"/>
  <c r="Q213" i="2" l="1"/>
  <c r="H213" i="2"/>
  <c r="R213" i="2"/>
  <c r="AM213" i="2" l="1"/>
  <c r="AB213" i="2"/>
  <c r="AX212" i="2"/>
  <c r="S213" i="2"/>
  <c r="BC212" i="2" a="1"/>
  <c r="AV212" i="2" a="1"/>
  <c r="AV212" i="2" l="1"/>
  <c r="BC212" i="2"/>
  <c r="Z213" i="2"/>
  <c r="X213" i="2"/>
  <c r="Y213" i="2"/>
  <c r="T213" i="2"/>
  <c r="U213" i="2" s="1"/>
  <c r="AU212" i="2" a="1"/>
  <c r="AU212" i="2" l="1"/>
  <c r="AW212" i="2" s="1"/>
  <c r="AT212" i="2" a="1"/>
  <c r="AS212" i="2"/>
  <c r="AR212" i="2"/>
  <c r="AQ212" i="2"/>
  <c r="AP212" i="2"/>
  <c r="AO212" i="2"/>
  <c r="AN212" i="2"/>
  <c r="AT212" i="2" l="1"/>
  <c r="AL212" i="2"/>
  <c r="AK212" i="2" a="1"/>
  <c r="AJ212" i="2"/>
  <c r="AI212" i="2"/>
  <c r="AH212" i="2"/>
  <c r="AK212" i="2" l="1"/>
  <c r="AG212" i="2" a="1"/>
  <c r="AG212" i="2" l="1"/>
  <c r="AF212" i="2" a="1"/>
  <c r="AF212" i="2" l="1"/>
  <c r="AE212" i="2"/>
  <c r="AD212" i="2" a="1"/>
  <c r="AD212" i="2" l="1"/>
  <c r="AC212" i="2" a="1"/>
  <c r="AC212" i="2" l="1"/>
  <c r="AA212" i="2"/>
  <c r="W212" i="2" a="1"/>
  <c r="W212" i="2" l="1"/>
  <c r="V212" i="2" a="1"/>
  <c r="V212" i="2" l="1"/>
  <c r="N212" i="2" a="1"/>
  <c r="N212" i="2" l="1"/>
  <c r="M212" i="2" a="1"/>
  <c r="M212" i="2" l="1"/>
  <c r="L212" i="2" a="1"/>
  <c r="L212" i="2" l="1"/>
  <c r="K212" i="2" a="1"/>
  <c r="J212" i="2"/>
  <c r="I212" i="2"/>
  <c r="K212" i="2" l="1"/>
  <c r="H212" i="2" a="1"/>
  <c r="F212" i="2"/>
  <c r="E212" i="2"/>
  <c r="Q212" i="2" a="1"/>
  <c r="Q212" i="2" l="1"/>
  <c r="H212" i="2"/>
  <c r="R212" i="2"/>
  <c r="AM212" i="2" l="1"/>
  <c r="AB212" i="2"/>
  <c r="AX211" i="2"/>
  <c r="S212" i="2"/>
  <c r="BC211" i="2" a="1"/>
  <c r="AV211" i="2" a="1"/>
  <c r="AV211" i="2" l="1"/>
  <c r="BC211" i="2"/>
  <c r="Z212" i="2"/>
  <c r="X212" i="2"/>
  <c r="Y212" i="2"/>
  <c r="T212" i="2"/>
  <c r="U212" i="2" s="1"/>
  <c r="AU211" i="2" a="1"/>
  <c r="AU211" i="2" l="1"/>
  <c r="AW211" i="2" s="1"/>
  <c r="AT211" i="2" a="1"/>
  <c r="AS211" i="2"/>
  <c r="AR211" i="2"/>
  <c r="AQ211" i="2"/>
  <c r="AP211" i="2"/>
  <c r="AO211" i="2"/>
  <c r="AN211" i="2"/>
  <c r="AT211" i="2" l="1"/>
  <c r="AL211" i="2"/>
  <c r="AK211" i="2" a="1"/>
  <c r="AJ211" i="2"/>
  <c r="AI211" i="2"/>
  <c r="AH211" i="2"/>
  <c r="AK211" i="2" l="1"/>
  <c r="AG211" i="2" a="1"/>
  <c r="AG211" i="2" l="1"/>
  <c r="AF211" i="2" a="1"/>
  <c r="AF211" i="2" l="1"/>
  <c r="AE211" i="2"/>
  <c r="AD211" i="2" a="1"/>
  <c r="AD211" i="2" l="1"/>
  <c r="AC211" i="2" a="1"/>
  <c r="AC211" i="2" l="1"/>
  <c r="AA211" i="2"/>
  <c r="W211" i="2" a="1"/>
  <c r="W211" i="2" l="1"/>
  <c r="V211" i="2" a="1"/>
  <c r="V211" i="2" l="1"/>
  <c r="N211" i="2" a="1"/>
  <c r="N211" i="2" l="1"/>
  <c r="M211" i="2" a="1"/>
  <c r="M211" i="2" l="1"/>
  <c r="L211" i="2" a="1"/>
  <c r="L211" i="2" l="1"/>
  <c r="K211" i="2" a="1"/>
  <c r="J211" i="2"/>
  <c r="I211" i="2"/>
  <c r="K211" i="2" l="1"/>
  <c r="H211" i="2" a="1"/>
  <c r="F211" i="2"/>
  <c r="E211" i="2"/>
  <c r="Q211" i="2" a="1"/>
  <c r="Q211" i="2" l="1"/>
  <c r="H211" i="2"/>
  <c r="R211" i="2"/>
  <c r="AM211" i="2" l="1"/>
  <c r="AB211" i="2"/>
  <c r="AX210" i="2"/>
  <c r="S211" i="2"/>
  <c r="BC210" i="2" a="1"/>
  <c r="AV210" i="2" a="1"/>
  <c r="AV210" i="2" l="1"/>
  <c r="BC210" i="2"/>
  <c r="Z211" i="2"/>
  <c r="Y211" i="2"/>
  <c r="X211" i="2"/>
  <c r="T211" i="2"/>
  <c r="U211" i="2" s="1"/>
  <c r="AU210" i="2" a="1"/>
  <c r="AU210" i="2" l="1"/>
  <c r="AW210" i="2" s="1"/>
  <c r="AT210" i="2" a="1"/>
  <c r="AS210" i="2"/>
  <c r="AR210" i="2"/>
  <c r="AQ210" i="2"/>
  <c r="AP210" i="2"/>
  <c r="AO210" i="2"/>
  <c r="AN210" i="2"/>
  <c r="AT210" i="2" l="1"/>
  <c r="AL210" i="2"/>
  <c r="AK210" i="2" a="1"/>
  <c r="AJ210" i="2"/>
  <c r="AI210" i="2"/>
  <c r="AH210" i="2"/>
  <c r="AK210" i="2" l="1"/>
  <c r="AG210" i="2" a="1"/>
  <c r="AG210" i="2" l="1"/>
  <c r="AF210" i="2" a="1"/>
  <c r="AF210" i="2" l="1"/>
  <c r="AE210" i="2"/>
  <c r="AD210" i="2" a="1"/>
  <c r="AD210" i="2" l="1"/>
  <c r="AC210" i="2" a="1"/>
  <c r="AC210" i="2" l="1"/>
  <c r="AA210" i="2"/>
  <c r="W210" i="2" a="1"/>
  <c r="W210" i="2" l="1"/>
  <c r="V210" i="2" a="1"/>
  <c r="V210" i="2" l="1"/>
  <c r="N210" i="2" a="1"/>
  <c r="N210" i="2" l="1"/>
  <c r="M210" i="2" a="1"/>
  <c r="M210" i="2" l="1"/>
  <c r="L210" i="2" a="1"/>
  <c r="L210" i="2" l="1"/>
  <c r="K210" i="2" a="1"/>
  <c r="J210" i="2"/>
  <c r="I210" i="2"/>
  <c r="K210" i="2" l="1"/>
  <c r="H210" i="2" a="1"/>
  <c r="F210" i="2"/>
  <c r="E210" i="2"/>
  <c r="Q210" i="2" a="1"/>
  <c r="Q210" i="2" l="1"/>
  <c r="H210" i="2"/>
  <c r="R210" i="2"/>
  <c r="AM210" i="2" l="1"/>
  <c r="AB210" i="2"/>
  <c r="AX209" i="2"/>
  <c r="S210" i="2"/>
  <c r="BC209" i="2" a="1"/>
  <c r="AV209" i="2" a="1"/>
  <c r="AV209" i="2" l="1"/>
  <c r="BC209" i="2"/>
  <c r="Z210" i="2"/>
  <c r="Y210" i="2"/>
  <c r="X210" i="2"/>
  <c r="T210" i="2"/>
  <c r="U210" i="2" s="1"/>
  <c r="AU209" i="2" a="1"/>
  <c r="AU209" i="2" l="1"/>
  <c r="AW209" i="2" s="1"/>
  <c r="AT209" i="2" a="1"/>
  <c r="AS209" i="2"/>
  <c r="AR209" i="2"/>
  <c r="AQ209" i="2"/>
  <c r="AP209" i="2"/>
  <c r="AO209" i="2"/>
  <c r="AN209" i="2"/>
  <c r="AT209" i="2" l="1"/>
  <c r="AL209" i="2"/>
  <c r="AK209" i="2" a="1"/>
  <c r="AJ209" i="2"/>
  <c r="AI209" i="2"/>
  <c r="AH209" i="2"/>
  <c r="AK209" i="2" l="1"/>
  <c r="AG209" i="2" a="1"/>
  <c r="AG209" i="2" l="1"/>
  <c r="AF209" i="2" a="1"/>
  <c r="AF209" i="2" l="1"/>
  <c r="AE209" i="2"/>
  <c r="AD209" i="2" a="1"/>
  <c r="AD209" i="2" l="1"/>
  <c r="AC209" i="2" a="1"/>
  <c r="AC209" i="2" l="1"/>
  <c r="AA209" i="2"/>
  <c r="W209" i="2" a="1"/>
  <c r="W209" i="2" l="1"/>
  <c r="V209" i="2" a="1"/>
  <c r="V209" i="2" l="1"/>
  <c r="N209" i="2" a="1"/>
  <c r="N209" i="2" l="1"/>
  <c r="M209" i="2" a="1"/>
  <c r="M209" i="2" l="1"/>
  <c r="L209" i="2" a="1"/>
  <c r="L209" i="2" l="1"/>
  <c r="K209" i="2" a="1"/>
  <c r="J209" i="2"/>
  <c r="I209" i="2"/>
  <c r="K209" i="2" l="1"/>
  <c r="H209" i="2" a="1"/>
  <c r="F209" i="2"/>
  <c r="E209" i="2"/>
  <c r="Q209" i="2" a="1"/>
  <c r="Q209" i="2" l="1"/>
  <c r="H209" i="2"/>
  <c r="R209" i="2"/>
  <c r="AM209" i="2" l="1"/>
  <c r="AB209" i="2"/>
  <c r="AX208" i="2"/>
  <c r="S209" i="2"/>
  <c r="BC208" i="2" a="1"/>
  <c r="AV208" i="2" a="1"/>
  <c r="AV208" i="2" l="1"/>
  <c r="BC208" i="2"/>
  <c r="BD208" i="2" s="1"/>
  <c r="Z209" i="2"/>
  <c r="X209" i="2"/>
  <c r="Y209" i="2"/>
  <c r="T209" i="2"/>
  <c r="U209" i="2" s="1"/>
  <c r="AU208" i="2" a="1"/>
  <c r="AU208" i="2" l="1"/>
  <c r="AW208" i="2" s="1"/>
  <c r="AT208" i="2" a="1"/>
  <c r="AS208" i="2"/>
  <c r="AR208" i="2"/>
  <c r="AQ208" i="2"/>
  <c r="AP208" i="2"/>
  <c r="AO208" i="2"/>
  <c r="AN208" i="2"/>
  <c r="AT208" i="2" l="1"/>
  <c r="AL208" i="2"/>
  <c r="AK208" i="2" a="1"/>
  <c r="AJ208" i="2"/>
  <c r="AI208" i="2"/>
  <c r="AH208" i="2"/>
  <c r="AK208" i="2" l="1"/>
  <c r="AG208" i="2" a="1"/>
  <c r="AG208" i="2" l="1"/>
  <c r="AF208" i="2" a="1"/>
  <c r="AF208" i="2" l="1"/>
  <c r="AE208" i="2"/>
  <c r="AD208" i="2" a="1"/>
  <c r="AD208" i="2" l="1"/>
  <c r="AC208" i="2" a="1"/>
  <c r="AC208" i="2" l="1"/>
  <c r="AA208" i="2"/>
  <c r="W208" i="2" a="1"/>
  <c r="W208" i="2" l="1"/>
  <c r="V208" i="2" a="1"/>
  <c r="V208" i="2" l="1"/>
  <c r="N208" i="2" a="1"/>
  <c r="N208" i="2" l="1"/>
  <c r="M208" i="2" a="1"/>
  <c r="M208" i="2" l="1"/>
  <c r="L208" i="2" a="1"/>
  <c r="L208" i="2" l="1"/>
  <c r="K208" i="2" a="1"/>
  <c r="J208" i="2"/>
  <c r="I208" i="2"/>
  <c r="K208" i="2" l="1"/>
  <c r="H208" i="2" a="1"/>
  <c r="F208" i="2"/>
  <c r="E208" i="2"/>
  <c r="Q208" i="2" a="1"/>
  <c r="Q208" i="2" l="1"/>
  <c r="H208" i="2"/>
  <c r="R208" i="2"/>
  <c r="AM208" i="2" l="1"/>
  <c r="AB208" i="2"/>
  <c r="AX207" i="2"/>
  <c r="S208" i="2"/>
  <c r="BC207" i="2" a="1"/>
  <c r="AV207" i="2" a="1"/>
  <c r="AV207" i="2" l="1"/>
  <c r="BC207" i="2"/>
  <c r="BD207" i="2" s="1"/>
  <c r="Y208" i="2"/>
  <c r="X208" i="2"/>
  <c r="Z208" i="2"/>
  <c r="T208" i="2"/>
  <c r="U208" i="2" s="1"/>
  <c r="AU207" i="2" a="1"/>
  <c r="AU207" i="2" l="1"/>
  <c r="AW207" i="2" s="1"/>
  <c r="AT207" i="2" a="1"/>
  <c r="AS207" i="2"/>
  <c r="AR207" i="2"/>
  <c r="AQ207" i="2"/>
  <c r="AP207" i="2"/>
  <c r="AO207" i="2"/>
  <c r="AN207" i="2"/>
  <c r="AT207" i="2" l="1"/>
  <c r="AL207" i="2"/>
  <c r="AK207" i="2" a="1"/>
  <c r="AJ207" i="2"/>
  <c r="AI207" i="2"/>
  <c r="AH207" i="2"/>
  <c r="AK207" i="2" l="1"/>
  <c r="AG207" i="2" a="1"/>
  <c r="AG207" i="2" l="1"/>
  <c r="AF207" i="2" a="1"/>
  <c r="AF207" i="2" l="1"/>
  <c r="AE207" i="2"/>
  <c r="AD207" i="2" a="1"/>
  <c r="AD207" i="2" l="1"/>
  <c r="AC207" i="2" a="1"/>
  <c r="AC207" i="2" l="1"/>
  <c r="AA207" i="2"/>
  <c r="W207" i="2" a="1"/>
  <c r="W207" i="2" l="1"/>
  <c r="V207" i="2" a="1"/>
  <c r="V207" i="2" l="1"/>
  <c r="N207" i="2" a="1"/>
  <c r="N207" i="2" l="1"/>
  <c r="M207" i="2" a="1"/>
  <c r="M207" i="2" l="1"/>
  <c r="L207" i="2" a="1"/>
  <c r="L207" i="2" l="1"/>
  <c r="K207" i="2" a="1"/>
  <c r="J207" i="2"/>
  <c r="I207" i="2"/>
  <c r="K207" i="2" l="1"/>
  <c r="H207" i="2" a="1"/>
  <c r="F207" i="2"/>
  <c r="E207" i="2"/>
  <c r="Q207" i="2" a="1"/>
  <c r="Q207" i="2" l="1"/>
  <c r="H207" i="2"/>
  <c r="R207" i="2"/>
  <c r="AM207" i="2" l="1"/>
  <c r="AB207" i="2"/>
  <c r="AX206" i="2"/>
  <c r="S207" i="2"/>
  <c r="BC206" i="2" a="1"/>
  <c r="AV206" i="2" a="1"/>
  <c r="AV206" i="2" l="1"/>
  <c r="BC206" i="2"/>
  <c r="BD206" i="2" s="1"/>
  <c r="Y207" i="2"/>
  <c r="X207" i="2"/>
  <c r="Z207" i="2"/>
  <c r="T207" i="2"/>
  <c r="U207" i="2" s="1"/>
  <c r="AU206" i="2" a="1"/>
  <c r="AU206" i="2" l="1"/>
  <c r="AW206" i="2" s="1"/>
  <c r="AT206" i="2" a="1"/>
  <c r="AS206" i="2"/>
  <c r="AR206" i="2"/>
  <c r="AQ206" i="2"/>
  <c r="AP206" i="2"/>
  <c r="AO206" i="2"/>
  <c r="AN206" i="2"/>
  <c r="AT206" i="2" l="1"/>
  <c r="AL206" i="2"/>
  <c r="AK206" i="2" a="1"/>
  <c r="AJ206" i="2"/>
  <c r="AI206" i="2"/>
  <c r="AH206" i="2"/>
  <c r="AK206" i="2" l="1"/>
  <c r="AG206" i="2" a="1"/>
  <c r="AG206" i="2" l="1"/>
  <c r="AF206" i="2" a="1"/>
  <c r="AF206" i="2" l="1"/>
  <c r="AE206" i="2"/>
  <c r="AD206" i="2" a="1"/>
  <c r="AD206" i="2" l="1"/>
  <c r="AC206" i="2" a="1"/>
  <c r="AC206" i="2" l="1"/>
  <c r="AA206" i="2"/>
  <c r="W206" i="2" a="1"/>
  <c r="W206" i="2" l="1"/>
  <c r="V206" i="2" a="1"/>
  <c r="V206" i="2" l="1"/>
  <c r="N206" i="2" a="1"/>
  <c r="N206" i="2" l="1"/>
  <c r="M206" i="2" a="1"/>
  <c r="M206" i="2" l="1"/>
  <c r="L206" i="2" a="1"/>
  <c r="L206" i="2" l="1"/>
  <c r="K206" i="2" a="1"/>
  <c r="J206" i="2"/>
  <c r="I206" i="2"/>
  <c r="K206" i="2" l="1"/>
  <c r="H206" i="2" a="1"/>
  <c r="F206" i="2"/>
  <c r="E206" i="2"/>
  <c r="Q206" i="2" a="1"/>
  <c r="R206" i="2"/>
  <c r="Q206" i="2" l="1"/>
  <c r="H206" i="2"/>
  <c r="AM206" i="2" l="1"/>
  <c r="AB206" i="2"/>
  <c r="AX205" i="2"/>
  <c r="S206" i="2"/>
  <c r="BC205" i="2" a="1"/>
  <c r="AV205" i="2" a="1"/>
  <c r="AV205" i="2" l="1"/>
  <c r="BC205" i="2"/>
  <c r="BD205" i="2" s="1"/>
  <c r="Y206" i="2"/>
  <c r="X206" i="2"/>
  <c r="Z206" i="2"/>
  <c r="T206" i="2"/>
  <c r="U206" i="2" s="1"/>
  <c r="AU205" i="2" a="1"/>
  <c r="AU205" i="2" l="1"/>
  <c r="AW205" i="2" s="1"/>
  <c r="AT205" i="2" a="1"/>
  <c r="AS205" i="2"/>
  <c r="AR205" i="2"/>
  <c r="AQ205" i="2"/>
  <c r="AP205" i="2"/>
  <c r="AO205" i="2"/>
  <c r="AN205" i="2"/>
  <c r="AT205" i="2" l="1"/>
  <c r="AL205" i="2"/>
  <c r="AK205" i="2" a="1"/>
  <c r="AJ205" i="2"/>
  <c r="AI205" i="2"/>
  <c r="AH205" i="2"/>
  <c r="AK205" i="2" l="1"/>
  <c r="AG205" i="2" a="1"/>
  <c r="AG205" i="2" l="1"/>
  <c r="AF205" i="2" a="1"/>
  <c r="AF205" i="2" l="1"/>
  <c r="AE205" i="2"/>
  <c r="AD205" i="2" a="1"/>
  <c r="AD205" i="2" l="1"/>
  <c r="AC205" i="2" a="1"/>
  <c r="AC205" i="2" l="1"/>
  <c r="AA205" i="2"/>
  <c r="W205" i="2" a="1"/>
  <c r="W205" i="2" l="1"/>
  <c r="V205" i="2" a="1"/>
  <c r="V205" i="2" l="1"/>
  <c r="N205" i="2" a="1"/>
  <c r="N205" i="2" l="1"/>
  <c r="M205" i="2" a="1"/>
  <c r="M205" i="2" l="1"/>
  <c r="L205" i="2" a="1"/>
  <c r="L205" i="2" l="1"/>
  <c r="K205" i="2" a="1"/>
  <c r="J205" i="2"/>
  <c r="I205" i="2"/>
  <c r="K205" i="2" l="1"/>
  <c r="H205" i="2" a="1"/>
  <c r="F205" i="2"/>
  <c r="E205" i="2"/>
  <c r="Q205" i="2" a="1"/>
  <c r="R205" i="2"/>
  <c r="Q205" i="2" l="1"/>
  <c r="H205" i="2"/>
  <c r="AM205" i="2" l="1"/>
  <c r="AB205" i="2"/>
  <c r="AX204" i="2"/>
  <c r="BC204" i="2" a="1"/>
  <c r="S205" i="2"/>
  <c r="AV204" i="2" a="1"/>
  <c r="AV204" i="2" l="1"/>
  <c r="Z205" i="2"/>
  <c r="Y205" i="2"/>
  <c r="X205" i="2"/>
  <c r="T205" i="2"/>
  <c r="U205" i="2" s="1"/>
  <c r="BC204" i="2"/>
  <c r="BD204" i="2" s="1"/>
  <c r="AU204" i="2" a="1"/>
  <c r="AU204" i="2" l="1"/>
  <c r="AW204" i="2" s="1"/>
  <c r="AT204" i="2" a="1"/>
  <c r="AS204" i="2"/>
  <c r="AR204" i="2"/>
  <c r="AQ204" i="2"/>
  <c r="AP204" i="2"/>
  <c r="AO204" i="2"/>
  <c r="AN204" i="2"/>
  <c r="AT204" i="2" l="1"/>
  <c r="AL204" i="2"/>
  <c r="AK204" i="2" a="1"/>
  <c r="AJ204" i="2"/>
  <c r="AI204" i="2"/>
  <c r="AH204" i="2"/>
  <c r="AK204" i="2" l="1"/>
  <c r="AG204" i="2" a="1"/>
  <c r="AG204" i="2" l="1"/>
  <c r="AF204" i="2" a="1"/>
  <c r="AF204" i="2" l="1"/>
  <c r="AE204" i="2"/>
  <c r="AD204" i="2" a="1"/>
  <c r="AD204" i="2" l="1"/>
  <c r="AC204" i="2" a="1"/>
  <c r="AC204" i="2" l="1"/>
  <c r="AA204" i="2"/>
  <c r="W204" i="2" a="1"/>
  <c r="W204" i="2" l="1"/>
  <c r="V204" i="2" a="1"/>
  <c r="V204" i="2" l="1"/>
  <c r="N204" i="2" a="1"/>
  <c r="N204" i="2" l="1"/>
  <c r="M204" i="2" a="1"/>
  <c r="M204" i="2" l="1"/>
  <c r="L204" i="2" a="1"/>
  <c r="L204" i="2" l="1"/>
  <c r="K204" i="2" a="1"/>
  <c r="J204" i="2"/>
  <c r="I204" i="2"/>
  <c r="K204" i="2" l="1"/>
  <c r="H204" i="2" a="1"/>
  <c r="F204" i="2"/>
  <c r="E204" i="2"/>
  <c r="Q204" i="2" a="1"/>
  <c r="R204" i="2"/>
  <c r="Q204" i="2" l="1"/>
  <c r="H204" i="2"/>
  <c r="AM204" i="2" l="1"/>
  <c r="AB204" i="2"/>
  <c r="AX203" i="2"/>
  <c r="BC203" i="2" a="1"/>
  <c r="S204" i="2"/>
  <c r="AV203" i="2" a="1"/>
  <c r="AV203" i="2" l="1"/>
  <c r="Z204" i="2"/>
  <c r="Y204" i="2"/>
  <c r="X204" i="2"/>
  <c r="T204" i="2"/>
  <c r="U204" i="2" s="1"/>
  <c r="BC203" i="2"/>
  <c r="BD203" i="2" s="1"/>
  <c r="AU203" i="2" a="1"/>
  <c r="AU203" i="2" l="1"/>
  <c r="AW203" i="2" s="1"/>
  <c r="AT203" i="2" a="1"/>
  <c r="AS203" i="2"/>
  <c r="AR203" i="2"/>
  <c r="AQ203" i="2"/>
  <c r="AP203" i="2"/>
  <c r="AO203" i="2"/>
  <c r="AN203" i="2"/>
  <c r="AT203" i="2" l="1"/>
  <c r="AL203" i="2"/>
  <c r="AK203" i="2" a="1"/>
  <c r="AJ203" i="2"/>
  <c r="AI203" i="2"/>
  <c r="AH203" i="2"/>
  <c r="AK203" i="2" l="1"/>
  <c r="AG203" i="2" a="1"/>
  <c r="AG203" i="2" l="1"/>
  <c r="AF203" i="2" a="1"/>
  <c r="AF203" i="2" l="1"/>
  <c r="AE203" i="2"/>
  <c r="AD203" i="2" a="1"/>
  <c r="AD203" i="2" l="1"/>
  <c r="AC203" i="2" a="1"/>
  <c r="AC203" i="2" l="1"/>
  <c r="AA203" i="2"/>
  <c r="W203" i="2" a="1"/>
  <c r="W203" i="2" l="1"/>
  <c r="V203" i="2" a="1"/>
  <c r="V203" i="2" l="1"/>
  <c r="N203" i="2" a="1"/>
  <c r="N203" i="2" l="1"/>
  <c r="M203" i="2" a="1"/>
  <c r="M203" i="2" l="1"/>
  <c r="L203" i="2" a="1"/>
  <c r="L203" i="2" l="1"/>
  <c r="K203" i="2" a="1"/>
  <c r="J203" i="2"/>
  <c r="I203" i="2"/>
  <c r="K203" i="2" l="1"/>
  <c r="H203" i="2" a="1"/>
  <c r="F203" i="2"/>
  <c r="E203" i="2"/>
  <c r="Q203" i="2" a="1"/>
  <c r="R203" i="2"/>
  <c r="Q203" i="2" l="1"/>
  <c r="H203" i="2"/>
  <c r="AM203" i="2" l="1"/>
  <c r="AB203" i="2"/>
  <c r="AX202" i="2"/>
  <c r="S203" i="2"/>
  <c r="BC202" i="2" a="1"/>
  <c r="AV202" i="2" a="1"/>
  <c r="AV202" i="2" l="1"/>
  <c r="BC202" i="2"/>
  <c r="BD202" i="2" s="1"/>
  <c r="Y203" i="2"/>
  <c r="X203" i="2"/>
  <c r="Z203" i="2"/>
  <c r="T203" i="2"/>
  <c r="U203" i="2" s="1"/>
  <c r="AU202" i="2" a="1"/>
  <c r="AU202" i="2" l="1"/>
  <c r="AW202" i="2" s="1"/>
  <c r="AT202" i="2" a="1"/>
  <c r="AS202" i="2"/>
  <c r="AR202" i="2"/>
  <c r="AQ202" i="2"/>
  <c r="AP202" i="2"/>
  <c r="AO202" i="2"/>
  <c r="AN202" i="2"/>
  <c r="AT202" i="2" l="1"/>
  <c r="AL202" i="2"/>
  <c r="AK202" i="2" a="1"/>
  <c r="AJ202" i="2"/>
  <c r="AI202" i="2"/>
  <c r="AH202" i="2"/>
  <c r="AK202" i="2" l="1"/>
  <c r="AG202" i="2" a="1"/>
  <c r="AG202" i="2" l="1"/>
  <c r="AF202" i="2" a="1"/>
  <c r="AF202" i="2" l="1"/>
  <c r="AE202" i="2"/>
  <c r="AD202" i="2" a="1"/>
  <c r="AD202" i="2" l="1"/>
  <c r="AC202" i="2" a="1"/>
  <c r="AC202" i="2" l="1"/>
  <c r="AA202" i="2"/>
  <c r="W202" i="2" a="1"/>
  <c r="W202" i="2" l="1"/>
  <c r="V202" i="2" a="1"/>
  <c r="V202" i="2" l="1"/>
  <c r="N202" i="2" a="1"/>
  <c r="N202" i="2" l="1"/>
  <c r="M202" i="2" a="1"/>
  <c r="M202" i="2" l="1"/>
  <c r="L202" i="2" a="1"/>
  <c r="L202" i="2" l="1"/>
  <c r="K202" i="2" a="1"/>
  <c r="J202" i="2"/>
  <c r="I202" i="2"/>
  <c r="K202" i="2" l="1"/>
  <c r="H202" i="2" a="1"/>
  <c r="F202" i="2"/>
  <c r="E202" i="2"/>
  <c r="Q202" i="2" a="1"/>
  <c r="R202" i="2"/>
  <c r="Q202" i="2" l="1"/>
  <c r="H202" i="2"/>
  <c r="AM202" i="2" l="1"/>
  <c r="AB202" i="2"/>
  <c r="AX201" i="2"/>
  <c r="S202" i="2"/>
  <c r="BC201" i="2" a="1"/>
  <c r="AV201" i="2" a="1"/>
  <c r="AV201" i="2" l="1"/>
  <c r="BC201" i="2"/>
  <c r="BD201" i="2" s="1"/>
  <c r="Z202" i="2"/>
  <c r="Y202" i="2"/>
  <c r="X202" i="2"/>
  <c r="T202" i="2"/>
  <c r="U202" i="2" s="1"/>
  <c r="AU201" i="2" a="1"/>
  <c r="AU201" i="2" l="1"/>
  <c r="AW201" i="2" s="1"/>
  <c r="AT201" i="2" a="1"/>
  <c r="AS201" i="2"/>
  <c r="AR201" i="2"/>
  <c r="AQ201" i="2"/>
  <c r="AP201" i="2"/>
  <c r="AO201" i="2"/>
  <c r="AN201" i="2"/>
  <c r="AT201" i="2" l="1"/>
  <c r="AL201" i="2"/>
  <c r="AK201" i="2" a="1"/>
  <c r="AJ201" i="2"/>
  <c r="AI201" i="2"/>
  <c r="AH201" i="2"/>
  <c r="AK201" i="2" l="1"/>
  <c r="AG201" i="2" a="1"/>
  <c r="AG201" i="2" l="1"/>
  <c r="AF201" i="2" a="1"/>
  <c r="AF201" i="2" l="1"/>
  <c r="AE201" i="2"/>
  <c r="AD201" i="2" a="1"/>
  <c r="AD201" i="2" l="1"/>
  <c r="AC201" i="2" a="1"/>
  <c r="AC201" i="2" l="1"/>
  <c r="AA201" i="2"/>
  <c r="W201" i="2" a="1"/>
  <c r="W201" i="2" l="1"/>
  <c r="V201" i="2" a="1"/>
  <c r="V201" i="2" l="1"/>
  <c r="N201" i="2" a="1"/>
  <c r="N201" i="2" l="1"/>
  <c r="M201" i="2" a="1"/>
  <c r="M201" i="2" l="1"/>
  <c r="L201" i="2" a="1"/>
  <c r="L201" i="2" l="1"/>
  <c r="K201" i="2" a="1"/>
  <c r="J201" i="2"/>
  <c r="I201" i="2"/>
  <c r="K201" i="2" l="1"/>
  <c r="H201" i="2" a="1"/>
  <c r="F201" i="2"/>
  <c r="E201" i="2"/>
  <c r="Q201" i="2" a="1"/>
  <c r="R201" i="2"/>
  <c r="Q201" i="2" l="1"/>
  <c r="H201" i="2"/>
  <c r="AM201" i="2" l="1"/>
  <c r="AB201" i="2"/>
  <c r="AX200" i="2"/>
  <c r="S201" i="2"/>
  <c r="BC200" i="2" a="1"/>
  <c r="AV200" i="2" a="1"/>
  <c r="AV200" i="2" l="1"/>
  <c r="BC200" i="2"/>
  <c r="BD200" i="2" s="1"/>
  <c r="Z201" i="2"/>
  <c r="Y201" i="2"/>
  <c r="X201" i="2"/>
  <c r="T201" i="2"/>
  <c r="U201" i="2" s="1"/>
  <c r="AU200" i="2" a="1"/>
  <c r="AU200" i="2" l="1"/>
  <c r="AW200" i="2" s="1"/>
  <c r="AT200" i="2" a="1"/>
  <c r="AS200" i="2"/>
  <c r="AR200" i="2"/>
  <c r="AQ200" i="2"/>
  <c r="AP200" i="2"/>
  <c r="AO200" i="2"/>
  <c r="AN200" i="2"/>
  <c r="AT200" i="2" l="1"/>
  <c r="AL200" i="2"/>
  <c r="AK200" i="2" a="1"/>
  <c r="AJ200" i="2"/>
  <c r="AI200" i="2"/>
  <c r="AH200" i="2"/>
  <c r="AK200" i="2" l="1"/>
  <c r="AG200" i="2" a="1"/>
  <c r="AG200" i="2" l="1"/>
  <c r="AF200" i="2" a="1"/>
  <c r="AF200" i="2" l="1"/>
  <c r="AE200" i="2"/>
  <c r="AD200" i="2" a="1"/>
  <c r="AD200" i="2" l="1"/>
  <c r="AC200" i="2" a="1"/>
  <c r="AC200" i="2" l="1"/>
  <c r="AA200" i="2"/>
  <c r="W200" i="2" a="1"/>
  <c r="W200" i="2" l="1"/>
  <c r="V200" i="2" a="1"/>
  <c r="V200" i="2" l="1"/>
  <c r="N200" i="2" a="1"/>
  <c r="N200" i="2" l="1"/>
  <c r="M200" i="2" a="1"/>
  <c r="M200" i="2" l="1"/>
  <c r="L200" i="2" a="1"/>
  <c r="L200" i="2" l="1"/>
  <c r="K200" i="2" a="1"/>
  <c r="J200" i="2"/>
  <c r="I200" i="2"/>
  <c r="K200" i="2" l="1"/>
  <c r="H200" i="2" a="1"/>
  <c r="F200" i="2"/>
  <c r="E200" i="2"/>
  <c r="Q200" i="2" a="1"/>
  <c r="R200" i="2"/>
  <c r="Q200" i="2" l="1"/>
  <c r="H200" i="2"/>
  <c r="AM200" i="2" l="1"/>
  <c r="AB200" i="2"/>
  <c r="AX199" i="2"/>
  <c r="S200" i="2"/>
  <c r="BC199" i="2" a="1"/>
  <c r="AV199" i="2" a="1"/>
  <c r="AV199" i="2" l="1"/>
  <c r="BC199" i="2"/>
  <c r="BD199" i="2" s="1"/>
  <c r="Z200" i="2"/>
  <c r="Y200" i="2"/>
  <c r="X200" i="2"/>
  <c r="T200" i="2"/>
  <c r="U200" i="2" s="1"/>
  <c r="AU199" i="2" a="1"/>
  <c r="AU199" i="2" l="1"/>
  <c r="AW199" i="2" s="1"/>
  <c r="AT199" i="2" a="1"/>
  <c r="AS199" i="2"/>
  <c r="AR199" i="2"/>
  <c r="AQ199" i="2"/>
  <c r="AP199" i="2"/>
  <c r="AO199" i="2"/>
  <c r="AN199" i="2"/>
  <c r="AT199" i="2" l="1"/>
  <c r="AL199" i="2"/>
  <c r="AK199" i="2" a="1"/>
  <c r="AJ199" i="2"/>
  <c r="AI199" i="2"/>
  <c r="AH199" i="2"/>
  <c r="AK199" i="2" l="1"/>
  <c r="AG199" i="2" a="1"/>
  <c r="AG199" i="2" l="1"/>
  <c r="AF199" i="2" a="1"/>
  <c r="AF199" i="2" l="1"/>
  <c r="AE199" i="2"/>
  <c r="AD199" i="2" a="1"/>
  <c r="AD199" i="2" l="1"/>
  <c r="AC199" i="2" a="1"/>
  <c r="AC199" i="2" l="1"/>
  <c r="AA199" i="2"/>
  <c r="W199" i="2" a="1"/>
  <c r="W199" i="2" l="1"/>
  <c r="V199" i="2" a="1"/>
  <c r="V199" i="2" l="1"/>
  <c r="N199" i="2" a="1"/>
  <c r="N199" i="2" l="1"/>
  <c r="M199" i="2" a="1"/>
  <c r="M199" i="2" l="1"/>
  <c r="L199" i="2" a="1"/>
  <c r="L199" i="2" l="1"/>
  <c r="K199" i="2" a="1"/>
  <c r="J199" i="2"/>
  <c r="I199" i="2"/>
  <c r="K199" i="2" l="1"/>
  <c r="H199" i="2" a="1"/>
  <c r="F199" i="2"/>
  <c r="E199" i="2"/>
  <c r="Q199" i="2" a="1"/>
  <c r="R199" i="2"/>
  <c r="Q199" i="2" l="1"/>
  <c r="H199" i="2"/>
  <c r="AM199" i="2" l="1"/>
  <c r="AB199" i="2"/>
  <c r="AX198" i="2"/>
  <c r="S199" i="2"/>
  <c r="BC198" i="2" a="1"/>
  <c r="AV198" i="2" a="1"/>
  <c r="AV198" i="2" l="1"/>
  <c r="BC198" i="2"/>
  <c r="BD198" i="2" s="1"/>
  <c r="Z199" i="2"/>
  <c r="Y199" i="2"/>
  <c r="X199" i="2"/>
  <c r="T199" i="2"/>
  <c r="U199" i="2" s="1"/>
  <c r="AU198" i="2" a="1"/>
  <c r="AU198" i="2" l="1"/>
  <c r="AW198" i="2" s="1"/>
  <c r="AT198" i="2" a="1"/>
  <c r="AS198" i="2"/>
  <c r="AR198" i="2"/>
  <c r="AQ198" i="2"/>
  <c r="AP198" i="2"/>
  <c r="AO198" i="2"/>
  <c r="AN198" i="2"/>
  <c r="AT198" i="2" l="1"/>
  <c r="AL198" i="2"/>
  <c r="AK198" i="2" a="1"/>
  <c r="AJ198" i="2"/>
  <c r="AI198" i="2"/>
  <c r="AH198" i="2"/>
  <c r="AK198" i="2" l="1"/>
  <c r="AG198" i="2" a="1"/>
  <c r="AG198" i="2" l="1"/>
  <c r="AF198" i="2" a="1"/>
  <c r="AF198" i="2" l="1"/>
  <c r="AE198" i="2"/>
  <c r="AD198" i="2" a="1"/>
  <c r="AD198" i="2" l="1"/>
  <c r="AC198" i="2" a="1"/>
  <c r="AC198" i="2" l="1"/>
  <c r="AA198" i="2"/>
  <c r="W198" i="2" a="1"/>
  <c r="W198" i="2" l="1"/>
  <c r="V198" i="2" a="1"/>
  <c r="V198" i="2" l="1"/>
  <c r="N198" i="2" a="1"/>
  <c r="N198" i="2" l="1"/>
  <c r="M198" i="2" a="1"/>
  <c r="M198" i="2" l="1"/>
  <c r="L198" i="2" a="1"/>
  <c r="L198" i="2" l="1"/>
  <c r="K198" i="2" a="1"/>
  <c r="J198" i="2"/>
  <c r="I198" i="2"/>
  <c r="K198" i="2" l="1"/>
  <c r="H198" i="2" a="1"/>
  <c r="F198" i="2"/>
  <c r="E198" i="2"/>
  <c r="Q198" i="2" a="1"/>
  <c r="R198" i="2"/>
  <c r="Q198" i="2" l="1"/>
  <c r="H198" i="2"/>
  <c r="AM198" i="2" l="1"/>
  <c r="AB198" i="2"/>
  <c r="AX197" i="2"/>
  <c r="S198" i="2"/>
  <c r="BC197" i="2" a="1"/>
  <c r="AV197" i="2" a="1"/>
  <c r="AV197" i="2" l="1"/>
  <c r="BC197" i="2"/>
  <c r="BD197" i="2" s="1"/>
  <c r="Z198" i="2"/>
  <c r="Y198" i="2"/>
  <c r="X198" i="2"/>
  <c r="T198" i="2"/>
  <c r="U198" i="2" s="1"/>
  <c r="AU197" i="2" a="1"/>
  <c r="AU197" i="2" l="1"/>
  <c r="AW197" i="2" s="1"/>
  <c r="AT197" i="2" a="1"/>
  <c r="AS197" i="2"/>
  <c r="AR197" i="2"/>
  <c r="AQ197" i="2"/>
  <c r="AP197" i="2"/>
  <c r="AO197" i="2"/>
  <c r="AN197" i="2"/>
  <c r="AT197" i="2" l="1"/>
  <c r="AL197" i="2"/>
  <c r="AK197" i="2" a="1"/>
  <c r="AJ197" i="2"/>
  <c r="AI197" i="2"/>
  <c r="AH197" i="2"/>
  <c r="AK197" i="2" l="1"/>
  <c r="AG197" i="2" a="1"/>
  <c r="AG197" i="2" l="1"/>
  <c r="AF197" i="2" a="1"/>
  <c r="AF197" i="2" l="1"/>
  <c r="AE197" i="2"/>
  <c r="AD197" i="2" a="1"/>
  <c r="AD197" i="2" l="1"/>
  <c r="AC197" i="2" a="1"/>
  <c r="AC197" i="2" l="1"/>
  <c r="AA197" i="2"/>
  <c r="W197" i="2" a="1"/>
  <c r="W197" i="2" l="1"/>
  <c r="V197" i="2" a="1"/>
  <c r="V197" i="2" l="1"/>
  <c r="N197" i="2" a="1"/>
  <c r="N197" i="2" l="1"/>
  <c r="M197" i="2" a="1"/>
  <c r="M197" i="2" l="1"/>
  <c r="L197" i="2" a="1"/>
  <c r="L197" i="2" l="1"/>
  <c r="K197" i="2" a="1"/>
  <c r="J197" i="2"/>
  <c r="I197" i="2"/>
  <c r="K197" i="2" l="1"/>
  <c r="H197" i="2" a="1"/>
  <c r="F197" i="2"/>
  <c r="E197" i="2"/>
  <c r="Q197" i="2" a="1"/>
  <c r="R197" i="2"/>
  <c r="Q197" i="2" l="1"/>
  <c r="H197" i="2"/>
  <c r="AM197" i="2" l="1"/>
  <c r="AB197" i="2"/>
  <c r="AX196" i="2"/>
  <c r="S197" i="2"/>
  <c r="BC196" i="2" a="1"/>
  <c r="AV196" i="2" a="1"/>
  <c r="AV196" i="2" l="1"/>
  <c r="BC196" i="2"/>
  <c r="BD196" i="2" s="1"/>
  <c r="Z197" i="2"/>
  <c r="Y197" i="2"/>
  <c r="X197" i="2"/>
  <c r="T197" i="2"/>
  <c r="U197" i="2" s="1"/>
  <c r="AU196" i="2" a="1"/>
  <c r="AU196" i="2" l="1"/>
  <c r="AW196" i="2" s="1"/>
  <c r="AT196" i="2" a="1"/>
  <c r="AS196" i="2"/>
  <c r="AR196" i="2"/>
  <c r="AQ196" i="2"/>
  <c r="AP196" i="2"/>
  <c r="AO196" i="2"/>
  <c r="AN196" i="2"/>
  <c r="AT196" i="2" l="1"/>
  <c r="AL196" i="2"/>
  <c r="AK196" i="2" a="1"/>
  <c r="AJ196" i="2"/>
  <c r="AI196" i="2"/>
  <c r="AH196" i="2"/>
  <c r="AK196" i="2" l="1"/>
  <c r="AG196" i="2" a="1"/>
  <c r="AG196" i="2" l="1"/>
  <c r="AF196" i="2" a="1"/>
  <c r="AF196" i="2" l="1"/>
  <c r="AE196" i="2"/>
  <c r="AD196" i="2" a="1"/>
  <c r="AD196" i="2" l="1"/>
  <c r="AC196" i="2" a="1"/>
  <c r="AC196" i="2" l="1"/>
  <c r="AA196" i="2"/>
  <c r="W196" i="2" a="1"/>
  <c r="W196" i="2" l="1"/>
  <c r="V196" i="2" a="1"/>
  <c r="V196" i="2" l="1"/>
  <c r="N196" i="2" a="1"/>
  <c r="N196" i="2" l="1"/>
  <c r="M196" i="2" a="1"/>
  <c r="M196" i="2" l="1"/>
  <c r="L196" i="2" a="1"/>
  <c r="L196" i="2" l="1"/>
  <c r="K196" i="2" a="1"/>
  <c r="J196" i="2"/>
  <c r="I196" i="2"/>
  <c r="K196" i="2" l="1"/>
  <c r="H196" i="2" a="1"/>
  <c r="F196" i="2"/>
  <c r="E196" i="2"/>
  <c r="Q196" i="2" a="1"/>
  <c r="R196" i="2"/>
  <c r="Q196" i="2" l="1"/>
  <c r="H196" i="2"/>
  <c r="AM196" i="2" l="1"/>
  <c r="AB196" i="2"/>
  <c r="AX195" i="2"/>
  <c r="S196" i="2"/>
  <c r="BC195" i="2" a="1"/>
  <c r="AV195" i="2" a="1"/>
  <c r="AV195" i="2" l="1"/>
  <c r="BC195" i="2"/>
  <c r="Z196" i="2"/>
  <c r="Y196" i="2"/>
  <c r="X196" i="2"/>
  <c r="T196" i="2"/>
  <c r="U196" i="2" s="1"/>
  <c r="AU195" i="2" a="1"/>
  <c r="AU195" i="2" l="1"/>
  <c r="AW195" i="2" s="1"/>
  <c r="AT195" i="2" a="1"/>
  <c r="AS195" i="2"/>
  <c r="AR195" i="2"/>
  <c r="AQ195" i="2"/>
  <c r="AP195" i="2"/>
  <c r="AO195" i="2"/>
  <c r="AN195" i="2"/>
  <c r="AT195" i="2" l="1"/>
  <c r="AL195" i="2"/>
  <c r="AK195" i="2" a="1"/>
  <c r="AJ195" i="2"/>
  <c r="AI195" i="2"/>
  <c r="AH195" i="2"/>
  <c r="AK195" i="2" l="1"/>
  <c r="AG195" i="2" a="1"/>
  <c r="AG195" i="2" l="1"/>
  <c r="AF195" i="2" a="1"/>
  <c r="AF195" i="2" l="1"/>
  <c r="AE195" i="2"/>
  <c r="AD195" i="2" a="1"/>
  <c r="AD195" i="2" l="1"/>
  <c r="AC195" i="2" a="1"/>
  <c r="AC195" i="2" l="1"/>
  <c r="AA195" i="2"/>
  <c r="W195" i="2" a="1"/>
  <c r="W195" i="2" l="1"/>
  <c r="V195" i="2" a="1"/>
  <c r="V195" i="2" l="1"/>
  <c r="N195" i="2" a="1"/>
  <c r="N195" i="2" l="1"/>
  <c r="M195" i="2" a="1"/>
  <c r="M195" i="2" l="1"/>
  <c r="L195" i="2" a="1"/>
  <c r="L195" i="2" l="1"/>
  <c r="K195" i="2" a="1"/>
  <c r="J195" i="2"/>
  <c r="I195" i="2"/>
  <c r="K195" i="2" l="1"/>
  <c r="H195" i="2" a="1"/>
  <c r="F195" i="2"/>
  <c r="E195" i="2"/>
  <c r="Q195" i="2" a="1"/>
  <c r="R195" i="2"/>
  <c r="Q195" i="2" l="1"/>
  <c r="H195" i="2"/>
  <c r="AM195" i="2" l="1"/>
  <c r="AB195" i="2"/>
  <c r="AX194" i="2"/>
  <c r="S195" i="2"/>
  <c r="BC194" i="2" a="1"/>
  <c r="AV194" i="2" a="1"/>
  <c r="AV194" i="2" l="1"/>
  <c r="BC194" i="2"/>
  <c r="BD194" i="2" s="1"/>
  <c r="Z195" i="2"/>
  <c r="Y195" i="2"/>
  <c r="X195" i="2"/>
  <c r="T195" i="2"/>
  <c r="U195" i="2" s="1"/>
  <c r="AU194" i="2" a="1"/>
  <c r="AU194" i="2" l="1"/>
  <c r="AW194" i="2" s="1"/>
  <c r="AT194" i="2" a="1"/>
  <c r="AS194" i="2"/>
  <c r="AR194" i="2"/>
  <c r="AQ194" i="2"/>
  <c r="AP194" i="2"/>
  <c r="AO194" i="2"/>
  <c r="AN194" i="2"/>
  <c r="AT194" i="2" l="1"/>
  <c r="AL194" i="2"/>
  <c r="AK194" i="2" a="1"/>
  <c r="AJ194" i="2"/>
  <c r="AI194" i="2"/>
  <c r="AH194" i="2"/>
  <c r="AK194" i="2" l="1"/>
  <c r="AG194" i="2" a="1"/>
  <c r="AG194" i="2" l="1"/>
  <c r="AF194" i="2" a="1"/>
  <c r="AF194" i="2" l="1"/>
  <c r="AE194" i="2"/>
  <c r="AD194" i="2" a="1"/>
  <c r="AD194" i="2" l="1"/>
  <c r="AC194" i="2" a="1"/>
  <c r="AC194" i="2" l="1"/>
  <c r="AA194" i="2"/>
  <c r="W194" i="2" a="1"/>
  <c r="W194" i="2" l="1"/>
  <c r="V194" i="2" a="1"/>
  <c r="V194" i="2" l="1"/>
  <c r="N194" i="2" a="1"/>
  <c r="N194" i="2" l="1"/>
  <c r="M194" i="2" a="1"/>
  <c r="M194" i="2" l="1"/>
  <c r="L194" i="2" a="1"/>
  <c r="L194" i="2" l="1"/>
  <c r="K194" i="2" a="1"/>
  <c r="J194" i="2"/>
  <c r="I194" i="2"/>
  <c r="K194" i="2" l="1"/>
  <c r="H194" i="2" a="1"/>
  <c r="F194" i="2"/>
  <c r="E194" i="2"/>
  <c r="Q194" i="2" a="1"/>
  <c r="R194" i="2"/>
  <c r="Q194" i="2" l="1"/>
  <c r="H194" i="2"/>
  <c r="AM194" i="2" l="1"/>
  <c r="AB194" i="2"/>
  <c r="AX193" i="2"/>
  <c r="S194" i="2"/>
  <c r="BC193" i="2" a="1"/>
  <c r="AV193" i="2" a="1"/>
  <c r="AV193" i="2" l="1"/>
  <c r="BC193" i="2"/>
  <c r="Z194" i="2"/>
  <c r="Y194" i="2"/>
  <c r="X194" i="2"/>
  <c r="T194" i="2"/>
  <c r="U194" i="2" s="1"/>
  <c r="AU193" i="2" a="1"/>
  <c r="AU193" i="2" l="1"/>
  <c r="AW193" i="2" s="1"/>
  <c r="AT193" i="2" a="1"/>
  <c r="AS193" i="2"/>
  <c r="AR193" i="2"/>
  <c r="AQ193" i="2"/>
  <c r="AP193" i="2"/>
  <c r="AO193" i="2"/>
  <c r="AN193" i="2"/>
  <c r="AT193" i="2" l="1"/>
  <c r="AL193" i="2"/>
  <c r="AK193" i="2" a="1"/>
  <c r="AJ193" i="2"/>
  <c r="AI193" i="2"/>
  <c r="AH193" i="2"/>
  <c r="AK193" i="2" l="1"/>
  <c r="AG193" i="2" a="1"/>
  <c r="AG193" i="2" l="1"/>
  <c r="AF193" i="2" a="1"/>
  <c r="AF193" i="2" l="1"/>
  <c r="AE193" i="2"/>
  <c r="AD193" i="2" a="1"/>
  <c r="AD193" i="2" l="1"/>
  <c r="AC193" i="2" a="1"/>
  <c r="AC193" i="2" l="1"/>
  <c r="AA193" i="2"/>
  <c r="W193" i="2" a="1"/>
  <c r="W193" i="2" l="1"/>
  <c r="V193" i="2" a="1"/>
  <c r="V193" i="2" l="1"/>
  <c r="N193" i="2" a="1"/>
  <c r="N193" i="2" l="1"/>
  <c r="M193" i="2" a="1"/>
  <c r="M193" i="2" l="1"/>
  <c r="L193" i="2" a="1"/>
  <c r="L193" i="2" l="1"/>
  <c r="K193" i="2" a="1"/>
  <c r="J193" i="2"/>
  <c r="I193" i="2"/>
  <c r="K193" i="2" l="1"/>
  <c r="H193" i="2" a="1"/>
  <c r="F193" i="2"/>
  <c r="E193" i="2"/>
  <c r="Q193" i="2" a="1"/>
  <c r="R193" i="2"/>
  <c r="Q193" i="2" l="1"/>
  <c r="H193" i="2"/>
  <c r="AM193" i="2" l="1"/>
  <c r="AB193" i="2"/>
  <c r="AX192" i="2"/>
  <c r="S193" i="2"/>
  <c r="BC192" i="2" a="1"/>
  <c r="AV192" i="2" a="1"/>
  <c r="AV192" i="2" l="1"/>
  <c r="BC192" i="2"/>
  <c r="Z193" i="2"/>
  <c r="Y193" i="2"/>
  <c r="X193" i="2"/>
  <c r="T193" i="2"/>
  <c r="U193" i="2" s="1"/>
  <c r="AU192" i="2" a="1"/>
  <c r="AU192" i="2" l="1"/>
  <c r="AW192" i="2" s="1"/>
  <c r="AT192" i="2" a="1"/>
  <c r="AS192" i="2"/>
  <c r="AR192" i="2"/>
  <c r="AQ192" i="2"/>
  <c r="AP192" i="2"/>
  <c r="AO192" i="2"/>
  <c r="AN192" i="2"/>
  <c r="AT192" i="2" l="1"/>
  <c r="AL192" i="2"/>
  <c r="AK192" i="2" a="1"/>
  <c r="AJ192" i="2"/>
  <c r="AI192" i="2"/>
  <c r="AH192" i="2"/>
  <c r="AK192" i="2" l="1"/>
  <c r="AG192" i="2" a="1"/>
  <c r="AG192" i="2" l="1"/>
  <c r="AF192" i="2" a="1"/>
  <c r="AF192" i="2" l="1"/>
  <c r="AE192" i="2"/>
  <c r="AD192" i="2" a="1"/>
  <c r="AD192" i="2" l="1"/>
  <c r="AC192" i="2" a="1"/>
  <c r="AC192" i="2" l="1"/>
  <c r="AA192" i="2"/>
  <c r="W192" i="2" a="1"/>
  <c r="W192" i="2" l="1"/>
  <c r="V192" i="2" a="1"/>
  <c r="V192" i="2" l="1"/>
  <c r="N192" i="2" a="1"/>
  <c r="N192" i="2" l="1"/>
  <c r="M192" i="2" a="1"/>
  <c r="M192" i="2" l="1"/>
  <c r="L192" i="2" a="1"/>
  <c r="L192" i="2" l="1"/>
  <c r="K192" i="2" a="1"/>
  <c r="J192" i="2"/>
  <c r="I192" i="2"/>
  <c r="K192" i="2" l="1"/>
  <c r="H192" i="2" a="1"/>
  <c r="F192" i="2"/>
  <c r="E192" i="2"/>
  <c r="Q192" i="2" a="1"/>
  <c r="R192" i="2"/>
  <c r="Q192" i="2" l="1"/>
  <c r="H192" i="2"/>
  <c r="AM192" i="2" l="1"/>
  <c r="AB192" i="2"/>
  <c r="AX191" i="2"/>
  <c r="S192" i="2"/>
  <c r="BC191" i="2" a="1"/>
  <c r="AV191" i="2" a="1"/>
  <c r="AV191" i="2" l="1"/>
  <c r="BC191" i="2"/>
  <c r="Z192" i="2"/>
  <c r="Y192" i="2"/>
  <c r="X192" i="2"/>
  <c r="T192" i="2"/>
  <c r="U192" i="2" s="1"/>
  <c r="AU191" i="2" a="1"/>
  <c r="AU191" i="2" l="1"/>
  <c r="AW191" i="2" s="1"/>
  <c r="AT191" i="2" a="1"/>
  <c r="AS191" i="2"/>
  <c r="AR191" i="2"/>
  <c r="AQ191" i="2"/>
  <c r="AP191" i="2"/>
  <c r="AO191" i="2"/>
  <c r="AN191" i="2"/>
  <c r="AT191" i="2" l="1"/>
  <c r="AL191" i="2"/>
  <c r="AK191" i="2" a="1"/>
  <c r="AJ191" i="2"/>
  <c r="AI191" i="2"/>
  <c r="AH191" i="2"/>
  <c r="AK191" i="2" l="1"/>
  <c r="AG191" i="2" a="1"/>
  <c r="AG191" i="2" l="1"/>
  <c r="AF191" i="2" a="1"/>
  <c r="AF191" i="2" l="1"/>
  <c r="AE191" i="2"/>
  <c r="AD191" i="2" a="1"/>
  <c r="AD191" i="2" l="1"/>
  <c r="AC191" i="2" a="1"/>
  <c r="AC191" i="2" l="1"/>
  <c r="AA191" i="2"/>
  <c r="W191" i="2" a="1"/>
  <c r="W191" i="2" l="1"/>
  <c r="V191" i="2" a="1"/>
  <c r="V191" i="2" l="1"/>
  <c r="N191" i="2" a="1"/>
  <c r="N191" i="2" l="1"/>
  <c r="M191" i="2" a="1"/>
  <c r="M191" i="2" l="1"/>
  <c r="L191" i="2" a="1"/>
  <c r="L191" i="2" l="1"/>
  <c r="K191" i="2" a="1"/>
  <c r="J191" i="2"/>
  <c r="I191" i="2"/>
  <c r="K191" i="2" l="1"/>
  <c r="H191" i="2" a="1"/>
  <c r="F191" i="2"/>
  <c r="E191" i="2"/>
  <c r="Q191" i="2" a="1"/>
  <c r="R191" i="2"/>
  <c r="Q191" i="2" l="1"/>
  <c r="H191" i="2"/>
  <c r="AM191" i="2" l="1"/>
  <c r="AB191" i="2"/>
  <c r="AX190" i="2"/>
  <c r="BC190" i="2" a="1"/>
  <c r="S191" i="2"/>
  <c r="AV190" i="2" a="1"/>
  <c r="AV190" i="2" l="1"/>
  <c r="Z191" i="2"/>
  <c r="Y191" i="2"/>
  <c r="X191" i="2"/>
  <c r="T191" i="2"/>
  <c r="U191" i="2" s="1"/>
  <c r="BC190" i="2"/>
  <c r="AU190" i="2" a="1"/>
  <c r="AU190" i="2" l="1"/>
  <c r="AW190" i="2" s="1"/>
  <c r="AT190" i="2" a="1"/>
  <c r="AS190" i="2"/>
  <c r="AR190" i="2"/>
  <c r="AQ190" i="2"/>
  <c r="AP190" i="2"/>
  <c r="AO190" i="2"/>
  <c r="AN190" i="2"/>
  <c r="AT190" i="2" l="1"/>
  <c r="AL190" i="2"/>
  <c r="AK190" i="2" a="1"/>
  <c r="AJ190" i="2"/>
  <c r="AI190" i="2"/>
  <c r="AH190" i="2"/>
  <c r="AK190" i="2" l="1"/>
  <c r="AG190" i="2" a="1"/>
  <c r="AG190" i="2" l="1"/>
  <c r="AF190" i="2" a="1"/>
  <c r="AF190" i="2" l="1"/>
  <c r="AE190" i="2"/>
  <c r="AD190" i="2" a="1"/>
  <c r="AD190" i="2" l="1"/>
  <c r="AC190" i="2" a="1"/>
  <c r="AC190" i="2" l="1"/>
  <c r="AA190" i="2"/>
  <c r="W190" i="2" a="1"/>
  <c r="W190" i="2" l="1"/>
  <c r="V190" i="2" a="1"/>
  <c r="V190" i="2" l="1"/>
  <c r="N190" i="2" a="1"/>
  <c r="N190" i="2" l="1"/>
  <c r="M190" i="2" a="1"/>
  <c r="M190" i="2" l="1"/>
  <c r="L190" i="2" a="1"/>
  <c r="L190" i="2" l="1"/>
  <c r="K190" i="2" a="1"/>
  <c r="J190" i="2"/>
  <c r="I190" i="2"/>
  <c r="K190" i="2" l="1"/>
  <c r="H190" i="2" a="1"/>
  <c r="F190" i="2"/>
  <c r="E190" i="2"/>
  <c r="Q190" i="2" a="1"/>
  <c r="R190" i="2"/>
  <c r="Q190" i="2" l="1"/>
  <c r="H190" i="2"/>
  <c r="AM190" i="2" l="1"/>
  <c r="AB190" i="2"/>
  <c r="AX189" i="2"/>
  <c r="BC189" i="2" a="1"/>
  <c r="S190" i="2"/>
  <c r="AV189" i="2" a="1"/>
  <c r="AV189" i="2" l="1"/>
  <c r="Z190" i="2"/>
  <c r="X190" i="2"/>
  <c r="Y190" i="2"/>
  <c r="T190" i="2"/>
  <c r="U190" i="2" s="1"/>
  <c r="BC189" i="2"/>
  <c r="AU189" i="2" a="1"/>
  <c r="AU189" i="2" l="1"/>
  <c r="AW189" i="2" s="1"/>
  <c r="AT189" i="2" a="1"/>
  <c r="AS189" i="2"/>
  <c r="AR189" i="2"/>
  <c r="AQ189" i="2"/>
  <c r="AP189" i="2"/>
  <c r="AO189" i="2"/>
  <c r="AN189" i="2"/>
  <c r="AT189" i="2" l="1"/>
  <c r="AL189" i="2"/>
  <c r="AK189" i="2" a="1"/>
  <c r="AJ189" i="2"/>
  <c r="AI189" i="2"/>
  <c r="AH189" i="2"/>
  <c r="AK189" i="2" l="1"/>
  <c r="AG189" i="2" a="1"/>
  <c r="AG189" i="2" l="1"/>
  <c r="AF189" i="2" a="1"/>
  <c r="AF189" i="2" l="1"/>
  <c r="AE189" i="2"/>
  <c r="AD189" i="2" a="1"/>
  <c r="AD189" i="2" l="1"/>
  <c r="AC189" i="2" a="1"/>
  <c r="AC189" i="2" l="1"/>
  <c r="AA189" i="2"/>
  <c r="W189" i="2" a="1"/>
  <c r="W189" i="2" l="1"/>
  <c r="V189" i="2" a="1"/>
  <c r="V189" i="2" l="1"/>
  <c r="N189" i="2" a="1"/>
  <c r="N189" i="2" l="1"/>
  <c r="M189" i="2" a="1"/>
  <c r="M189" i="2" l="1"/>
  <c r="L189" i="2" a="1"/>
  <c r="L189" i="2" l="1"/>
  <c r="K189" i="2" a="1"/>
  <c r="J189" i="2"/>
  <c r="I189" i="2"/>
  <c r="K189" i="2" l="1"/>
  <c r="H189" i="2" a="1"/>
  <c r="F189" i="2"/>
  <c r="E189" i="2"/>
  <c r="Q189" i="2" a="1"/>
  <c r="R189" i="2"/>
  <c r="Q189" i="2" l="1"/>
  <c r="H189" i="2"/>
  <c r="AM189" i="2" l="1"/>
  <c r="AB189" i="2"/>
  <c r="AX188" i="2"/>
  <c r="S189" i="2"/>
  <c r="BC188" i="2" a="1"/>
  <c r="AV188" i="2" a="1"/>
  <c r="AV188" i="2" l="1"/>
  <c r="BC188" i="2"/>
  <c r="Z189" i="2"/>
  <c r="Y189" i="2"/>
  <c r="X189" i="2"/>
  <c r="T189" i="2"/>
  <c r="U189" i="2" s="1"/>
  <c r="AU188" i="2" a="1"/>
  <c r="AU188" i="2" l="1"/>
  <c r="AW188" i="2" s="1"/>
  <c r="AT188" i="2" a="1"/>
  <c r="AS188" i="2"/>
  <c r="AR188" i="2"/>
  <c r="AQ188" i="2"/>
  <c r="AP188" i="2"/>
  <c r="AO188" i="2"/>
  <c r="AN188" i="2"/>
  <c r="AT188" i="2" l="1"/>
  <c r="AL188" i="2"/>
  <c r="AK188" i="2" a="1"/>
  <c r="AJ188" i="2"/>
  <c r="AI188" i="2"/>
  <c r="AH188" i="2"/>
  <c r="AK188" i="2" l="1"/>
  <c r="AG188" i="2" a="1"/>
  <c r="AG188" i="2" l="1"/>
  <c r="AF188" i="2" a="1"/>
  <c r="AF188" i="2" l="1"/>
  <c r="AE188" i="2"/>
  <c r="AD188" i="2" a="1"/>
  <c r="AD188" i="2" l="1"/>
  <c r="AC188" i="2" a="1"/>
  <c r="AC188" i="2" l="1"/>
  <c r="AA188" i="2"/>
  <c r="W188" i="2" a="1"/>
  <c r="W188" i="2" l="1"/>
  <c r="V188" i="2" a="1"/>
  <c r="V188" i="2" l="1"/>
  <c r="N188" i="2" a="1"/>
  <c r="N188" i="2" l="1"/>
  <c r="M188" i="2" a="1"/>
  <c r="M188" i="2" l="1"/>
  <c r="L188" i="2" a="1"/>
  <c r="L188" i="2" l="1"/>
  <c r="K188" i="2" a="1"/>
  <c r="J188" i="2"/>
  <c r="I188" i="2"/>
  <c r="K188" i="2" l="1"/>
  <c r="H188" i="2" a="1"/>
  <c r="F188" i="2"/>
  <c r="E188" i="2"/>
  <c r="Q188" i="2" a="1"/>
  <c r="Q188" i="2" l="1"/>
  <c r="H188" i="2"/>
  <c r="R188" i="2"/>
  <c r="AM188" i="2" l="1"/>
  <c r="AB188" i="2"/>
  <c r="AX187" i="2"/>
  <c r="S188" i="2"/>
  <c r="BC187" i="2" a="1"/>
  <c r="AV187" i="2" a="1"/>
  <c r="AV187" i="2" l="1"/>
  <c r="BC187" i="2"/>
  <c r="X188" i="2"/>
  <c r="Z188" i="2"/>
  <c r="Y188" i="2"/>
  <c r="T188" i="2"/>
  <c r="U188" i="2" s="1"/>
  <c r="AU187" i="2" a="1"/>
  <c r="AU187" i="2" l="1"/>
  <c r="AW187" i="2" s="1"/>
  <c r="AT187" i="2" a="1"/>
  <c r="AS187" i="2"/>
  <c r="AR187" i="2"/>
  <c r="AQ187" i="2"/>
  <c r="AP187" i="2"/>
  <c r="AO187" i="2"/>
  <c r="AN187" i="2"/>
  <c r="AT187" i="2" l="1"/>
  <c r="AL187" i="2"/>
  <c r="AK187" i="2" a="1"/>
  <c r="AJ187" i="2"/>
  <c r="AI187" i="2"/>
  <c r="AH187" i="2"/>
  <c r="AK187" i="2" l="1"/>
  <c r="AG187" i="2" a="1"/>
  <c r="AG187" i="2" l="1"/>
  <c r="AF187" i="2" a="1"/>
  <c r="AF187" i="2" l="1"/>
  <c r="AE187" i="2"/>
  <c r="AD187" i="2" a="1"/>
  <c r="AD187" i="2" l="1"/>
  <c r="AC187" i="2" a="1"/>
  <c r="AC187" i="2" l="1"/>
  <c r="AA187" i="2"/>
  <c r="W187" i="2" a="1"/>
  <c r="W187" i="2" l="1"/>
  <c r="V187" i="2" a="1"/>
  <c r="V187" i="2" l="1"/>
  <c r="N187" i="2" a="1"/>
  <c r="N187" i="2" l="1"/>
  <c r="M187" i="2" a="1"/>
  <c r="M187" i="2" l="1"/>
  <c r="L187" i="2" a="1"/>
  <c r="L187" i="2" l="1"/>
  <c r="K187" i="2" a="1"/>
  <c r="J187" i="2"/>
  <c r="I187" i="2"/>
  <c r="K187" i="2" l="1"/>
  <c r="H187" i="2" a="1"/>
  <c r="F187" i="2"/>
  <c r="E187" i="2"/>
  <c r="Q187" i="2" a="1"/>
  <c r="Q187" i="2" l="1"/>
  <c r="H187" i="2"/>
  <c r="R187" i="2"/>
  <c r="AM187" i="2" l="1"/>
  <c r="AB187" i="2"/>
  <c r="AX186" i="2"/>
  <c r="S187" i="2"/>
  <c r="BC186" i="2" a="1"/>
  <c r="AV186" i="2" a="1"/>
  <c r="AV186" i="2" l="1"/>
  <c r="BC186" i="2"/>
  <c r="Z187" i="2"/>
  <c r="Y187" i="2"/>
  <c r="X187" i="2"/>
  <c r="T187" i="2"/>
  <c r="U187" i="2" s="1"/>
  <c r="AU186" i="2" a="1"/>
  <c r="AU186" i="2" l="1"/>
  <c r="AW186" i="2" s="1"/>
  <c r="AT186" i="2" a="1"/>
  <c r="AS186" i="2"/>
  <c r="AR186" i="2"/>
  <c r="AQ186" i="2"/>
  <c r="AP186" i="2"/>
  <c r="AO186" i="2"/>
  <c r="AN186" i="2"/>
  <c r="AT186" i="2" l="1"/>
  <c r="AL186" i="2"/>
  <c r="AK186" i="2" a="1"/>
  <c r="AJ186" i="2"/>
  <c r="AI186" i="2"/>
  <c r="AH186" i="2"/>
  <c r="AK186" i="2" l="1"/>
  <c r="AG186" i="2" a="1"/>
  <c r="AG186" i="2" l="1"/>
  <c r="AF186" i="2" a="1"/>
  <c r="AF186" i="2" l="1"/>
  <c r="AE186" i="2"/>
  <c r="AD186" i="2" a="1"/>
  <c r="AD186" i="2" l="1"/>
  <c r="AC186" i="2" a="1"/>
  <c r="AC186" i="2" l="1"/>
  <c r="AA186" i="2"/>
  <c r="W186" i="2" a="1"/>
  <c r="W186" i="2" l="1"/>
  <c r="V186" i="2" a="1"/>
  <c r="V186" i="2" l="1"/>
  <c r="N186" i="2" a="1"/>
  <c r="N186" i="2" l="1"/>
  <c r="M186" i="2" a="1"/>
  <c r="M186" i="2" l="1"/>
  <c r="L186" i="2" a="1"/>
  <c r="L186" i="2" l="1"/>
  <c r="K186" i="2" a="1"/>
  <c r="J186" i="2"/>
  <c r="K186" i="2" l="1"/>
  <c r="H186" i="2" a="1"/>
  <c r="F186" i="2"/>
  <c r="E186" i="2"/>
  <c r="Q186" i="2" a="1"/>
  <c r="Q186" i="2" l="1"/>
  <c r="H186" i="2"/>
  <c r="R186" i="2"/>
  <c r="AM186" i="2" l="1"/>
  <c r="AB186" i="2"/>
  <c r="AX185" i="2"/>
  <c r="S186" i="2"/>
  <c r="BC185" i="2" a="1"/>
  <c r="AV185" i="2" a="1"/>
  <c r="AV185" i="2" l="1"/>
  <c r="BC185" i="2"/>
  <c r="Z186" i="2"/>
  <c r="Y186" i="2"/>
  <c r="X186" i="2"/>
  <c r="T186" i="2"/>
  <c r="U186" i="2" s="1"/>
  <c r="AU185" i="2" a="1"/>
  <c r="AU185" i="2" l="1"/>
  <c r="AW185" i="2" s="1"/>
  <c r="AT185" i="2" a="1"/>
  <c r="AS185" i="2"/>
  <c r="AR185" i="2"/>
  <c r="AQ185" i="2"/>
  <c r="AP185" i="2"/>
  <c r="AO185" i="2"/>
  <c r="AN185" i="2"/>
  <c r="AT185" i="2" l="1"/>
  <c r="AL185" i="2"/>
  <c r="AK185" i="2" a="1"/>
  <c r="AJ185" i="2"/>
  <c r="AI185" i="2"/>
  <c r="AH185" i="2"/>
  <c r="AK185" i="2" l="1"/>
  <c r="AG185" i="2" a="1"/>
  <c r="AG185" i="2" l="1"/>
  <c r="AF185" i="2" a="1"/>
  <c r="AF185" i="2" l="1"/>
  <c r="AE185" i="2"/>
  <c r="AD185" i="2" a="1"/>
  <c r="AD185" i="2" l="1"/>
  <c r="AC185" i="2" a="1"/>
  <c r="AC185" i="2" l="1"/>
  <c r="AA185" i="2"/>
  <c r="W185" i="2" a="1"/>
  <c r="W185" i="2" l="1"/>
  <c r="V185" i="2" a="1"/>
  <c r="V185" i="2" l="1"/>
  <c r="N185" i="2" a="1"/>
  <c r="N185" i="2" l="1"/>
  <c r="M185" i="2" a="1"/>
  <c r="M185" i="2" l="1"/>
  <c r="L185" i="2" a="1"/>
  <c r="L185" i="2" l="1"/>
  <c r="K185" i="2" a="1"/>
  <c r="J185" i="2"/>
  <c r="I185" i="2"/>
  <c r="K185" i="2" l="1"/>
  <c r="H185" i="2" a="1"/>
  <c r="F185" i="2"/>
  <c r="E185" i="2"/>
  <c r="Q185" i="2" a="1"/>
  <c r="Q185" i="2" l="1"/>
  <c r="H185" i="2"/>
  <c r="R185" i="2"/>
  <c r="AM185" i="2" l="1"/>
  <c r="AB185" i="2"/>
  <c r="AX184" i="2"/>
  <c r="S185" i="2"/>
  <c r="BC184" i="2" a="1"/>
  <c r="AV184" i="2" a="1"/>
  <c r="AV184" i="2" l="1"/>
  <c r="BC184" i="2"/>
  <c r="Z185" i="2"/>
  <c r="Y185" i="2"/>
  <c r="X185" i="2"/>
  <c r="T185" i="2"/>
  <c r="U185" i="2" s="1"/>
  <c r="AU184" i="2" a="1"/>
  <c r="AU184" i="2" l="1"/>
  <c r="AW184" i="2" s="1"/>
  <c r="AT184" i="2" a="1"/>
  <c r="AS184" i="2"/>
  <c r="AR184" i="2"/>
  <c r="AQ184" i="2"/>
  <c r="AP184" i="2"/>
  <c r="AO184" i="2"/>
  <c r="AN184" i="2"/>
  <c r="AT184" i="2" l="1"/>
  <c r="AL184" i="2"/>
  <c r="AK184" i="2" a="1"/>
  <c r="AJ184" i="2"/>
  <c r="AI184" i="2"/>
  <c r="AH184" i="2"/>
  <c r="AK184" i="2" l="1"/>
  <c r="AG184" i="2" a="1"/>
  <c r="AG184" i="2" l="1"/>
  <c r="AF184" i="2" a="1"/>
  <c r="AF184" i="2" l="1"/>
  <c r="AE184" i="2"/>
  <c r="AD184" i="2" a="1"/>
  <c r="AD184" i="2" l="1"/>
  <c r="AC184" i="2" a="1"/>
  <c r="AC184" i="2" l="1"/>
  <c r="AA184" i="2"/>
  <c r="W184" i="2" a="1"/>
  <c r="W184" i="2" l="1"/>
  <c r="V184" i="2" a="1"/>
  <c r="V184" i="2" l="1"/>
  <c r="N184" i="2" a="1"/>
  <c r="N184" i="2" l="1"/>
  <c r="M184" i="2" a="1"/>
  <c r="M184" i="2" l="1"/>
  <c r="L184" i="2" a="1"/>
  <c r="L184" i="2" l="1"/>
  <c r="K184" i="2" a="1"/>
  <c r="J184" i="2"/>
  <c r="I184" i="2"/>
  <c r="K184" i="2" l="1"/>
  <c r="H184" i="2" a="1"/>
  <c r="F184" i="2"/>
  <c r="E184" i="2"/>
  <c r="Q184" i="2" a="1"/>
  <c r="Q184" i="2" l="1"/>
  <c r="H184" i="2"/>
  <c r="R184" i="2"/>
  <c r="AM184" i="2" l="1"/>
  <c r="AB184" i="2"/>
  <c r="AX183" i="2"/>
  <c r="S184" i="2"/>
  <c r="BC183" i="2" a="1"/>
  <c r="AV183" i="2" a="1"/>
  <c r="AV183" i="2" l="1"/>
  <c r="BC183" i="2"/>
  <c r="Z184" i="2"/>
  <c r="X184" i="2"/>
  <c r="Y184" i="2"/>
  <c r="T184" i="2"/>
  <c r="U184" i="2" s="1"/>
  <c r="AU183" i="2" a="1"/>
  <c r="AU183" i="2" l="1"/>
  <c r="AW183" i="2" s="1"/>
  <c r="AT183" i="2" a="1"/>
  <c r="AS183" i="2"/>
  <c r="AR183" i="2"/>
  <c r="AQ183" i="2"/>
  <c r="AP183" i="2"/>
  <c r="AO183" i="2"/>
  <c r="AN183" i="2"/>
  <c r="AT183" i="2" l="1"/>
  <c r="AL183" i="2"/>
  <c r="AK183" i="2" a="1"/>
  <c r="AJ183" i="2"/>
  <c r="AI183" i="2"/>
  <c r="AH183" i="2"/>
  <c r="AK183" i="2" l="1"/>
  <c r="AG183" i="2" a="1"/>
  <c r="AG183" i="2" l="1"/>
  <c r="AF183" i="2" a="1"/>
  <c r="AF183" i="2" l="1"/>
  <c r="AE183" i="2"/>
  <c r="AD183" i="2" a="1"/>
  <c r="AD183" i="2" l="1"/>
  <c r="AC183" i="2" a="1"/>
  <c r="AC183" i="2" l="1"/>
  <c r="AA183" i="2"/>
  <c r="W183" i="2" a="1"/>
  <c r="W183" i="2" l="1"/>
  <c r="V183" i="2" a="1"/>
  <c r="V183" i="2" l="1"/>
  <c r="N183" i="2" a="1"/>
  <c r="N183" i="2" l="1"/>
  <c r="M183" i="2" a="1"/>
  <c r="M183" i="2" l="1"/>
  <c r="L183" i="2" a="1"/>
  <c r="L183" i="2" l="1"/>
  <c r="K183" i="2" a="1"/>
  <c r="J183" i="2"/>
  <c r="I183" i="2"/>
  <c r="K183" i="2" l="1"/>
  <c r="H183" i="2" a="1"/>
  <c r="F183" i="2"/>
  <c r="E183" i="2"/>
  <c r="Q183" i="2" a="1"/>
  <c r="Q183" i="2" l="1"/>
  <c r="H183" i="2"/>
  <c r="AX182" i="2"/>
  <c r="R183" i="2"/>
  <c r="AV182" i="2" a="1"/>
  <c r="AV182" i="2" l="1"/>
  <c r="AM183" i="2"/>
  <c r="AB183" i="2"/>
  <c r="S183" i="2"/>
  <c r="AU182" i="2" a="1"/>
  <c r="AU182" i="2" l="1"/>
  <c r="AW182" i="2" s="1"/>
  <c r="Y183" i="2"/>
  <c r="Z183" i="2"/>
  <c r="X183" i="2"/>
  <c r="T183" i="2"/>
  <c r="U183" i="2" s="1"/>
  <c r="AT182" i="2" a="1"/>
  <c r="AS182" i="2"/>
  <c r="AR182" i="2"/>
  <c r="AQ182" i="2"/>
  <c r="AP182" i="2"/>
  <c r="AO182" i="2"/>
  <c r="AN182" i="2"/>
  <c r="AT182" i="2" l="1"/>
  <c r="AL182" i="2"/>
  <c r="AK182" i="2" a="1"/>
  <c r="AJ182" i="2"/>
  <c r="AI182" i="2"/>
  <c r="AH182" i="2"/>
  <c r="AK182" i="2" l="1"/>
  <c r="AG182" i="2" a="1"/>
  <c r="AG182" i="2" l="1"/>
  <c r="AF182" i="2" a="1"/>
  <c r="AF182" i="2" l="1"/>
  <c r="AE182" i="2"/>
  <c r="AD182" i="2" a="1"/>
  <c r="AD182" i="2" l="1"/>
  <c r="AC182" i="2" a="1"/>
  <c r="AC182" i="2" l="1"/>
  <c r="AA182" i="2"/>
  <c r="W182" i="2" a="1"/>
  <c r="W182" i="2" l="1"/>
  <c r="V182" i="2" a="1"/>
  <c r="V182" i="2" l="1"/>
  <c r="N182" i="2" a="1"/>
  <c r="N182" i="2" l="1"/>
  <c r="M182" i="2" a="1"/>
  <c r="M182" i="2" l="1"/>
  <c r="L182" i="2" a="1"/>
  <c r="L182" i="2" l="1"/>
  <c r="K182" i="2" a="1"/>
  <c r="J182" i="2"/>
  <c r="I182" i="2"/>
  <c r="K182" i="2" l="1"/>
  <c r="H182" i="2" a="1"/>
  <c r="F182" i="2"/>
  <c r="E182" i="2"/>
  <c r="Q182" i="2" a="1"/>
  <c r="Q182" i="2" l="1"/>
  <c r="H182" i="2"/>
  <c r="R182" i="2"/>
  <c r="AM182" i="2" l="1"/>
  <c r="AB182" i="2"/>
  <c r="AX181" i="2"/>
  <c r="S182" i="2"/>
  <c r="BC181" i="2" a="1"/>
  <c r="AV181" i="2" a="1"/>
  <c r="AV181" i="2" l="1"/>
  <c r="BC181" i="2"/>
  <c r="Z182" i="2"/>
  <c r="Y182" i="2"/>
  <c r="X182" i="2"/>
  <c r="T182" i="2"/>
  <c r="U182" i="2" s="1"/>
  <c r="AU181" i="2" a="1"/>
  <c r="AU181" i="2" l="1"/>
  <c r="AW181" i="2" s="1"/>
  <c r="AT181" i="2" a="1"/>
  <c r="AS181" i="2"/>
  <c r="AR181" i="2"/>
  <c r="AQ181" i="2"/>
  <c r="AP181" i="2"/>
  <c r="AO181" i="2"/>
  <c r="AN181" i="2"/>
  <c r="AT181" i="2" l="1"/>
  <c r="AL181" i="2"/>
  <c r="AK181" i="2" a="1"/>
  <c r="AJ181" i="2"/>
  <c r="AI181" i="2"/>
  <c r="AH181" i="2"/>
  <c r="AK181" i="2" l="1"/>
  <c r="AG181" i="2" a="1"/>
  <c r="AG181" i="2" l="1"/>
  <c r="AF181" i="2" a="1"/>
  <c r="AF181" i="2" l="1"/>
  <c r="AE181" i="2"/>
  <c r="AD181" i="2" a="1"/>
  <c r="AD181" i="2" l="1"/>
  <c r="AC181" i="2" a="1"/>
  <c r="AC181" i="2" l="1"/>
  <c r="AA181" i="2"/>
  <c r="W181" i="2" a="1"/>
  <c r="W181" i="2" l="1"/>
  <c r="V181" i="2" a="1"/>
  <c r="V181" i="2" l="1"/>
  <c r="N181" i="2" a="1"/>
  <c r="N181" i="2" l="1"/>
  <c r="M181" i="2" a="1"/>
  <c r="M181" i="2" l="1"/>
  <c r="L181" i="2" a="1"/>
  <c r="L181" i="2" l="1"/>
  <c r="K181" i="2" a="1"/>
  <c r="J181" i="2"/>
  <c r="I181" i="2"/>
  <c r="K181" i="2" l="1"/>
  <c r="H181" i="2" a="1"/>
  <c r="F181" i="2"/>
  <c r="E181" i="2"/>
  <c r="Q181" i="2" a="1"/>
  <c r="Q181" i="2" l="1"/>
  <c r="H181" i="2"/>
  <c r="R181" i="2"/>
  <c r="AM181" i="2" l="1"/>
  <c r="AB181" i="2"/>
  <c r="AX180" i="2"/>
  <c r="S181" i="2"/>
  <c r="BC180" i="2" a="1"/>
  <c r="AV180" i="2" a="1"/>
  <c r="AV180" i="2" l="1"/>
  <c r="BC180" i="2"/>
  <c r="Z181" i="2"/>
  <c r="Y181" i="2"/>
  <c r="X181" i="2"/>
  <c r="T181" i="2"/>
  <c r="U181" i="2" s="1"/>
  <c r="AU180" i="2" a="1"/>
  <c r="AU180" i="2" l="1"/>
  <c r="AW180" i="2" s="1"/>
  <c r="AT180" i="2" a="1"/>
  <c r="AS180" i="2"/>
  <c r="AR180" i="2"/>
  <c r="AQ180" i="2"/>
  <c r="AP180" i="2"/>
  <c r="AO180" i="2"/>
  <c r="AN180" i="2"/>
  <c r="AT180" i="2" l="1"/>
  <c r="AL180" i="2"/>
  <c r="AK180" i="2" a="1"/>
  <c r="AJ180" i="2"/>
  <c r="AI180" i="2"/>
  <c r="AH180" i="2"/>
  <c r="AK180" i="2" l="1"/>
  <c r="AG180" i="2" a="1"/>
  <c r="AG180" i="2" l="1"/>
  <c r="AF180" i="2" a="1"/>
  <c r="AF180" i="2" l="1"/>
  <c r="AE180" i="2"/>
  <c r="AD180" i="2" a="1"/>
  <c r="AD180" i="2" l="1"/>
  <c r="AC180" i="2" a="1"/>
  <c r="AC180" i="2" l="1"/>
  <c r="AA180" i="2"/>
  <c r="W180" i="2" a="1"/>
  <c r="W180" i="2" l="1"/>
  <c r="V180" i="2" a="1"/>
  <c r="V180" i="2" l="1"/>
  <c r="N180" i="2" a="1"/>
  <c r="N180" i="2" l="1"/>
  <c r="M180" i="2" a="1"/>
  <c r="M180" i="2" l="1"/>
  <c r="L180" i="2" a="1"/>
  <c r="L180" i="2" l="1"/>
  <c r="K180" i="2" a="1"/>
  <c r="J180" i="2"/>
  <c r="I180" i="2"/>
  <c r="K180" i="2" l="1"/>
  <c r="H180" i="2" a="1"/>
  <c r="F180" i="2"/>
  <c r="E180" i="2"/>
  <c r="Q180" i="2" a="1"/>
  <c r="Q180" i="2" l="1"/>
  <c r="H180" i="2"/>
  <c r="R180" i="2"/>
  <c r="AM180" i="2" l="1"/>
  <c r="AB180" i="2"/>
  <c r="AX179" i="2"/>
  <c r="S180" i="2"/>
  <c r="BC179" i="2" a="1"/>
  <c r="AV179" i="2" a="1"/>
  <c r="AV179" i="2" l="1"/>
  <c r="BC179" i="2"/>
  <c r="Y180" i="2"/>
  <c r="X180" i="2"/>
  <c r="Z180" i="2"/>
  <c r="T180" i="2"/>
  <c r="U180" i="2" s="1"/>
  <c r="AU179" i="2" a="1"/>
  <c r="AU179" i="2" l="1"/>
  <c r="AW179" i="2" s="1"/>
  <c r="AT179" i="2" a="1"/>
  <c r="AS179" i="2"/>
  <c r="AR179" i="2"/>
  <c r="AQ179" i="2"/>
  <c r="AP179" i="2"/>
  <c r="AO179" i="2"/>
  <c r="AN179" i="2"/>
  <c r="AT179" i="2" l="1"/>
  <c r="AL179" i="2"/>
  <c r="AK179" i="2" a="1"/>
  <c r="AJ179" i="2"/>
  <c r="AI179" i="2"/>
  <c r="AH179" i="2"/>
  <c r="AK179" i="2" l="1"/>
  <c r="AG179" i="2" a="1"/>
  <c r="AG179" i="2" l="1"/>
  <c r="AF179" i="2" a="1"/>
  <c r="AF179" i="2" l="1"/>
  <c r="AE179" i="2"/>
  <c r="AD179" i="2" a="1"/>
  <c r="AD179" i="2" l="1"/>
  <c r="AC179" i="2" a="1"/>
  <c r="AC179" i="2" l="1"/>
  <c r="AA179" i="2"/>
  <c r="W179" i="2" a="1"/>
  <c r="W179" i="2" l="1"/>
  <c r="V179" i="2" a="1"/>
  <c r="V179" i="2" l="1"/>
  <c r="N179" i="2" a="1"/>
  <c r="N179" i="2" l="1"/>
  <c r="M179" i="2" a="1"/>
  <c r="M179" i="2" l="1"/>
  <c r="L179" i="2" a="1"/>
  <c r="L179" i="2" l="1"/>
  <c r="K179" i="2" a="1"/>
  <c r="J179" i="2"/>
  <c r="I179" i="2"/>
  <c r="K179" i="2" l="1"/>
  <c r="H179" i="2" a="1"/>
  <c r="F179" i="2"/>
  <c r="E179" i="2"/>
  <c r="Q179" i="2" a="1"/>
  <c r="Q179" i="2" l="1"/>
  <c r="H179" i="2"/>
  <c r="R179" i="2"/>
  <c r="AM179" i="2" l="1"/>
  <c r="AB179" i="2"/>
  <c r="AX178" i="2"/>
  <c r="S179" i="2"/>
  <c r="BC178" i="2" a="1"/>
  <c r="AV178" i="2" a="1"/>
  <c r="AV178" i="2" l="1"/>
  <c r="BC178" i="2"/>
  <c r="Y179" i="2"/>
  <c r="X179" i="2"/>
  <c r="Z179" i="2"/>
  <c r="T179" i="2"/>
  <c r="U179" i="2" s="1"/>
  <c r="AU178" i="2" a="1"/>
  <c r="AU178" i="2" l="1"/>
  <c r="AW178" i="2" s="1"/>
  <c r="AT178" i="2" a="1"/>
  <c r="AS178" i="2"/>
  <c r="AR178" i="2"/>
  <c r="AQ178" i="2"/>
  <c r="AP178" i="2"/>
  <c r="AO178" i="2"/>
  <c r="AN178" i="2"/>
  <c r="AT178" i="2" l="1"/>
  <c r="AL178" i="2"/>
  <c r="AK178" i="2" a="1"/>
  <c r="AJ178" i="2"/>
  <c r="AI178" i="2"/>
  <c r="AH178" i="2"/>
  <c r="AK178" i="2" l="1"/>
  <c r="AG178" i="2" a="1"/>
  <c r="AG178" i="2" l="1"/>
  <c r="AF178" i="2" a="1"/>
  <c r="AF178" i="2" l="1"/>
  <c r="AE178" i="2"/>
  <c r="AD178" i="2" a="1"/>
  <c r="AD178" i="2" l="1"/>
  <c r="AC178" i="2" a="1"/>
  <c r="AC178" i="2" l="1"/>
  <c r="AA178" i="2"/>
  <c r="W178" i="2" a="1"/>
  <c r="W178" i="2" l="1"/>
  <c r="V178" i="2" a="1"/>
  <c r="V178" i="2" l="1"/>
  <c r="N178" i="2" a="1"/>
  <c r="N178" i="2" l="1"/>
  <c r="M178" i="2" a="1"/>
  <c r="M178" i="2" l="1"/>
  <c r="L178" i="2" a="1"/>
  <c r="L178" i="2" l="1"/>
  <c r="K178" i="2" a="1"/>
  <c r="J178" i="2"/>
  <c r="I178" i="2"/>
  <c r="K178" i="2" l="1"/>
  <c r="H178" i="2" a="1"/>
  <c r="F178" i="2"/>
  <c r="E178" i="2"/>
  <c r="Q178" i="2" a="1"/>
  <c r="Q178" i="2" l="1"/>
  <c r="H178" i="2"/>
  <c r="R178" i="2"/>
  <c r="AM178" i="2" l="1"/>
  <c r="AB178" i="2"/>
  <c r="AX177" i="2"/>
  <c r="S178" i="2"/>
  <c r="BC177" i="2" a="1"/>
  <c r="AV177" i="2" a="1"/>
  <c r="AV177" i="2" l="1"/>
  <c r="BC177" i="2"/>
  <c r="Z178" i="2"/>
  <c r="Y178" i="2"/>
  <c r="X178" i="2"/>
  <c r="T178" i="2"/>
  <c r="U178" i="2" s="1"/>
  <c r="AU177" i="2" a="1"/>
  <c r="AU177" i="2" l="1"/>
  <c r="AW177" i="2" s="1"/>
  <c r="AT177" i="2" a="1"/>
  <c r="AS177" i="2"/>
  <c r="AR177" i="2"/>
  <c r="AQ177" i="2"/>
  <c r="AP177" i="2"/>
  <c r="AO177" i="2"/>
  <c r="AN177" i="2"/>
  <c r="AT177" i="2" l="1"/>
  <c r="AL177" i="2"/>
  <c r="AK177" i="2" a="1"/>
  <c r="AJ177" i="2"/>
  <c r="AI177" i="2"/>
  <c r="AH177" i="2"/>
  <c r="AK177" i="2" l="1"/>
  <c r="AG177" i="2" a="1"/>
  <c r="AG177" i="2" l="1"/>
  <c r="AF177" i="2" a="1"/>
  <c r="AF177" i="2" l="1"/>
  <c r="AE177" i="2"/>
  <c r="AD177" i="2" a="1"/>
  <c r="AD177" i="2" l="1"/>
  <c r="AC177" i="2" a="1"/>
  <c r="AC177" i="2" l="1"/>
  <c r="AA177" i="2"/>
  <c r="W177" i="2" a="1"/>
  <c r="W177" i="2" l="1"/>
  <c r="V177" i="2" a="1"/>
  <c r="V177" i="2" l="1"/>
  <c r="N177" i="2" a="1"/>
  <c r="N177" i="2" l="1"/>
  <c r="M177" i="2" a="1"/>
  <c r="M177" i="2" l="1"/>
  <c r="L177" i="2" a="1"/>
  <c r="L177" i="2" l="1"/>
  <c r="K177" i="2" a="1"/>
  <c r="J177" i="2"/>
  <c r="I177" i="2"/>
  <c r="K177" i="2" l="1"/>
  <c r="H177" i="2" a="1"/>
  <c r="F177" i="2"/>
  <c r="E177" i="2"/>
  <c r="Q177" i="2" a="1"/>
  <c r="Q177" i="2" l="1"/>
  <c r="H177" i="2"/>
  <c r="R177" i="2"/>
  <c r="AM177" i="2" l="1"/>
  <c r="AB177" i="2"/>
  <c r="AX176" i="2"/>
  <c r="S177" i="2"/>
  <c r="BC176" i="2" a="1"/>
  <c r="AV176" i="2" a="1"/>
  <c r="AV176" i="2" l="1"/>
  <c r="BC176" i="2"/>
  <c r="Z177" i="2"/>
  <c r="Y177" i="2"/>
  <c r="X177" i="2"/>
  <c r="T177" i="2"/>
  <c r="U177" i="2" s="1"/>
  <c r="AU176" i="2" a="1"/>
  <c r="AU176" i="2" l="1"/>
  <c r="AW176" i="2" s="1"/>
  <c r="AT176" i="2" a="1"/>
  <c r="AS176" i="2"/>
  <c r="AR176" i="2"/>
  <c r="AQ176" i="2"/>
  <c r="AP176" i="2"/>
  <c r="AO176" i="2"/>
  <c r="AN176" i="2"/>
  <c r="AT176" i="2" l="1"/>
  <c r="AL176" i="2"/>
  <c r="AK176" i="2" a="1"/>
  <c r="AJ176" i="2"/>
  <c r="AI176" i="2"/>
  <c r="AH176" i="2"/>
  <c r="AK176" i="2" l="1"/>
  <c r="AG176" i="2" a="1"/>
  <c r="AG176" i="2" l="1"/>
  <c r="AF176" i="2" a="1"/>
  <c r="AF176" i="2" l="1"/>
  <c r="AE176" i="2"/>
  <c r="AD176" i="2" a="1"/>
  <c r="AD176" i="2" l="1"/>
  <c r="AC176" i="2" a="1"/>
  <c r="AC176" i="2" l="1"/>
  <c r="AA176" i="2"/>
  <c r="W176" i="2" a="1"/>
  <c r="W176" i="2" l="1"/>
  <c r="V176" i="2" a="1"/>
  <c r="V176" i="2" l="1"/>
  <c r="N176" i="2" a="1"/>
  <c r="N176" i="2" l="1"/>
  <c r="M176" i="2" a="1"/>
  <c r="M176" i="2" l="1"/>
  <c r="L176" i="2" a="1"/>
  <c r="L176" i="2" l="1"/>
  <c r="K176" i="2" a="1"/>
  <c r="J176" i="2"/>
  <c r="I176" i="2"/>
  <c r="K176" i="2" l="1"/>
  <c r="H176" i="2" a="1"/>
  <c r="F176" i="2"/>
  <c r="E176" i="2"/>
  <c r="Q176" i="2" a="1"/>
  <c r="Q176" i="2" l="1"/>
  <c r="H176" i="2"/>
  <c r="R176" i="2"/>
  <c r="AM176" i="2" l="1"/>
  <c r="AB176" i="2"/>
  <c r="AX175" i="2"/>
  <c r="S176" i="2"/>
  <c r="BC175" i="2" a="1"/>
  <c r="AV175" i="2" a="1"/>
  <c r="AV175" i="2" l="1"/>
  <c r="BC175" i="2"/>
  <c r="Y176" i="2"/>
  <c r="X176" i="2"/>
  <c r="Z176" i="2"/>
  <c r="T176" i="2"/>
  <c r="U176" i="2" s="1"/>
  <c r="AU175" i="2" a="1"/>
  <c r="AU175" i="2" l="1"/>
  <c r="AW175" i="2" s="1"/>
  <c r="AT175" i="2" a="1"/>
  <c r="AS175" i="2"/>
  <c r="AR175" i="2"/>
  <c r="AQ175" i="2"/>
  <c r="AP175" i="2"/>
  <c r="AO175" i="2"/>
  <c r="AN175" i="2"/>
  <c r="AT175" i="2" l="1"/>
  <c r="AL175" i="2"/>
  <c r="AK175" i="2" a="1"/>
  <c r="AJ175" i="2"/>
  <c r="AI175" i="2"/>
  <c r="AH175" i="2"/>
  <c r="AK175" i="2" l="1"/>
  <c r="AG175" i="2" a="1"/>
  <c r="AG175" i="2" l="1"/>
  <c r="AF175" i="2" a="1"/>
  <c r="AF175" i="2" l="1"/>
  <c r="AE175" i="2"/>
  <c r="AD175" i="2" a="1"/>
  <c r="AD175" i="2" l="1"/>
  <c r="AC175" i="2" a="1"/>
  <c r="AC175" i="2" l="1"/>
  <c r="AA175" i="2"/>
  <c r="W175" i="2" a="1"/>
  <c r="W175" i="2" l="1"/>
  <c r="V175" i="2" a="1"/>
  <c r="V175" i="2" l="1"/>
  <c r="N175" i="2" a="1"/>
  <c r="N175" i="2" l="1"/>
  <c r="M175" i="2" a="1"/>
  <c r="M175" i="2" l="1"/>
  <c r="L175" i="2" a="1"/>
  <c r="L175" i="2" l="1"/>
  <c r="K175" i="2" a="1"/>
  <c r="J175" i="2"/>
  <c r="I175" i="2"/>
  <c r="K175" i="2" l="1"/>
  <c r="H175" i="2" a="1"/>
  <c r="F175" i="2"/>
  <c r="E175" i="2"/>
  <c r="Q175" i="2" a="1"/>
  <c r="Q175" i="2" l="1"/>
  <c r="H175" i="2"/>
  <c r="R175" i="2"/>
  <c r="AM175" i="2" l="1"/>
  <c r="AB175" i="2"/>
  <c r="AX174" i="2"/>
  <c r="S175" i="2"/>
  <c r="BC174" i="2" a="1"/>
  <c r="AV174" i="2" a="1"/>
  <c r="AV174" i="2" l="1"/>
  <c r="BC174" i="2"/>
  <c r="Y175" i="2"/>
  <c r="X175" i="2"/>
  <c r="Z175" i="2"/>
  <c r="T175" i="2"/>
  <c r="U175" i="2" s="1"/>
  <c r="AU174" i="2" a="1"/>
  <c r="AU174" i="2" l="1"/>
  <c r="AW174" i="2" s="1"/>
  <c r="AT174" i="2" a="1"/>
  <c r="AS174" i="2"/>
  <c r="AR174" i="2"/>
  <c r="AQ174" i="2"/>
  <c r="AP174" i="2"/>
  <c r="AO174" i="2"/>
  <c r="AN174" i="2"/>
  <c r="AT174" i="2" l="1"/>
  <c r="AL174" i="2"/>
  <c r="AK174" i="2" a="1"/>
  <c r="AJ174" i="2"/>
  <c r="AI174" i="2"/>
  <c r="AH174" i="2"/>
  <c r="AK174" i="2" l="1"/>
  <c r="AG174" i="2" a="1"/>
  <c r="AG174" i="2" l="1"/>
  <c r="AF174" i="2" a="1"/>
  <c r="AF174" i="2" l="1"/>
  <c r="AE174" i="2"/>
  <c r="AD174" i="2" a="1"/>
  <c r="AD174" i="2" l="1"/>
  <c r="AC174" i="2" a="1"/>
  <c r="AC174" i="2" l="1"/>
  <c r="AA174" i="2"/>
  <c r="W174" i="2" a="1"/>
  <c r="W174" i="2" l="1"/>
  <c r="V174" i="2" a="1"/>
  <c r="V174" i="2" l="1"/>
  <c r="N174" i="2" a="1"/>
  <c r="N174" i="2" l="1"/>
  <c r="M174" i="2" a="1"/>
  <c r="M174" i="2" l="1"/>
  <c r="L174" i="2" a="1"/>
  <c r="L174" i="2" l="1"/>
  <c r="K174" i="2" a="1"/>
  <c r="J174" i="2"/>
  <c r="I174" i="2"/>
  <c r="K174" i="2" l="1"/>
  <c r="H174" i="2" a="1"/>
  <c r="F174" i="2"/>
  <c r="E174" i="2"/>
  <c r="Q174" i="2" a="1"/>
  <c r="Q174" i="2" l="1"/>
  <c r="H174" i="2"/>
  <c r="R174" i="2"/>
  <c r="AM174" i="2" l="1"/>
  <c r="AB174" i="2"/>
  <c r="AX173" i="2"/>
  <c r="S174" i="2"/>
  <c r="BC173" i="2" a="1"/>
  <c r="AV173" i="2" a="1"/>
  <c r="AV173" i="2" l="1"/>
  <c r="BC173" i="2"/>
  <c r="Z174" i="2"/>
  <c r="Y174" i="2"/>
  <c r="X174" i="2"/>
  <c r="T174" i="2"/>
  <c r="U174" i="2" s="1"/>
  <c r="AU173" i="2" a="1"/>
  <c r="AU173" i="2" l="1"/>
  <c r="AW173" i="2" s="1"/>
  <c r="AT173" i="2" a="1"/>
  <c r="AS173" i="2"/>
  <c r="AR173" i="2"/>
  <c r="AQ173" i="2"/>
  <c r="AP173" i="2"/>
  <c r="AO173" i="2"/>
  <c r="AN173" i="2"/>
  <c r="AT173" i="2" l="1"/>
  <c r="AL173" i="2"/>
  <c r="AK173" i="2" a="1"/>
  <c r="AJ173" i="2"/>
  <c r="AI173" i="2"/>
  <c r="AH173" i="2"/>
  <c r="AK173" i="2" l="1"/>
  <c r="AG173" i="2" a="1"/>
  <c r="AG173" i="2" l="1"/>
  <c r="AF173" i="2" a="1"/>
  <c r="AF173" i="2" l="1"/>
  <c r="AE173" i="2"/>
  <c r="AD173" i="2" a="1"/>
  <c r="AD173" i="2" l="1"/>
  <c r="AC173" i="2" a="1"/>
  <c r="AC173" i="2" l="1"/>
  <c r="AA173" i="2"/>
  <c r="W173" i="2" a="1"/>
  <c r="W173" i="2" l="1"/>
  <c r="V173" i="2" a="1"/>
  <c r="V173" i="2" l="1"/>
  <c r="N173" i="2" a="1"/>
  <c r="N173" i="2" l="1"/>
  <c r="M173" i="2" a="1"/>
  <c r="M173" i="2" l="1"/>
  <c r="L173" i="2" a="1"/>
  <c r="L173" i="2" l="1"/>
  <c r="K173" i="2" a="1"/>
  <c r="J173" i="2"/>
  <c r="I173" i="2"/>
  <c r="K173" i="2" l="1"/>
  <c r="H173" i="2" a="1"/>
  <c r="F173" i="2"/>
  <c r="E173" i="2"/>
  <c r="Q173" i="2" a="1"/>
  <c r="Q173" i="2" l="1"/>
  <c r="H173" i="2"/>
  <c r="R173" i="2"/>
  <c r="AM173" i="2" l="1"/>
  <c r="AB173" i="2"/>
  <c r="AX172" i="2"/>
  <c r="S173" i="2"/>
  <c r="BC172" i="2"/>
  <c r="AV172" i="2" a="1"/>
  <c r="AV172" i="2" l="1"/>
  <c r="BD172" i="2"/>
  <c r="Z173" i="2"/>
  <c r="X173" i="2"/>
  <c r="Y173" i="2"/>
  <c r="T173" i="2"/>
  <c r="U173" i="2" s="1"/>
  <c r="AU172" i="2" a="1"/>
  <c r="AU172" i="2" l="1"/>
  <c r="AW172" i="2" s="1"/>
  <c r="AT172" i="2" a="1"/>
  <c r="AS172" i="2"/>
  <c r="AR172" i="2"/>
  <c r="AQ172" i="2"/>
  <c r="AP172" i="2"/>
  <c r="AO172" i="2"/>
  <c r="AN172" i="2"/>
  <c r="AT172" i="2" l="1"/>
  <c r="AL172" i="2"/>
  <c r="AK172" i="2" a="1"/>
  <c r="AJ172" i="2"/>
  <c r="AI172" i="2"/>
  <c r="AH172" i="2"/>
  <c r="AK172" i="2" l="1"/>
  <c r="AG172" i="2" a="1"/>
  <c r="AG172" i="2" l="1"/>
  <c r="AF172" i="2" a="1"/>
  <c r="AF172" i="2" l="1"/>
  <c r="AE172" i="2"/>
  <c r="AD172" i="2" a="1"/>
  <c r="AD172" i="2" l="1"/>
  <c r="AC172" i="2" a="1"/>
  <c r="AC172" i="2" l="1"/>
  <c r="AA172" i="2"/>
  <c r="W172" i="2" a="1"/>
  <c r="W172" i="2" l="1"/>
  <c r="V172" i="2" a="1"/>
  <c r="V172" i="2" l="1"/>
  <c r="N172" i="2" a="1"/>
  <c r="N172" i="2" l="1"/>
  <c r="M172" i="2" a="1"/>
  <c r="M172" i="2" l="1"/>
  <c r="L172" i="2" a="1"/>
  <c r="L172" i="2" l="1"/>
  <c r="K172" i="2" a="1"/>
  <c r="J172" i="2"/>
  <c r="I172" i="2"/>
  <c r="K172" i="2" l="1"/>
  <c r="H172" i="2" a="1"/>
  <c r="F172" i="2"/>
  <c r="E172" i="2"/>
  <c r="Q172" i="2" a="1"/>
  <c r="Q172" i="2" l="1"/>
  <c r="H172" i="2"/>
  <c r="R172" i="2"/>
  <c r="AM172" i="2" l="1"/>
  <c r="AB172" i="2"/>
  <c r="AX171" i="2"/>
  <c r="S172" i="2"/>
  <c r="BC171" i="2"/>
  <c r="AV171" i="2" a="1"/>
  <c r="AV171" i="2" l="1"/>
  <c r="BD171" i="2"/>
  <c r="Y172" i="2"/>
  <c r="X172" i="2"/>
  <c r="Z172" i="2"/>
  <c r="T172" i="2"/>
  <c r="U172" i="2" s="1"/>
  <c r="AU171" i="2" a="1"/>
  <c r="AU171" i="2" l="1"/>
  <c r="AW171" i="2" s="1"/>
  <c r="AT171" i="2" a="1"/>
  <c r="AS171" i="2"/>
  <c r="AR171" i="2"/>
  <c r="AQ171" i="2"/>
  <c r="AP171" i="2"/>
  <c r="AO171" i="2"/>
  <c r="AN171" i="2"/>
  <c r="AT171" i="2" l="1"/>
  <c r="AL171" i="2"/>
  <c r="AK171" i="2" a="1"/>
  <c r="AJ171" i="2"/>
  <c r="AI171" i="2"/>
  <c r="AH171" i="2"/>
  <c r="AK171" i="2" l="1"/>
  <c r="AG171" i="2" a="1"/>
  <c r="AG171" i="2" l="1"/>
  <c r="AF171" i="2" a="1"/>
  <c r="AF171" i="2" l="1"/>
  <c r="AE171" i="2"/>
  <c r="AD171" i="2" a="1"/>
  <c r="AD171" i="2" l="1"/>
  <c r="AC171" i="2" a="1"/>
  <c r="AC171" i="2" l="1"/>
  <c r="AA171" i="2"/>
  <c r="W171" i="2" a="1"/>
  <c r="W171" i="2" l="1"/>
  <c r="V171" i="2" a="1"/>
  <c r="V171" i="2" l="1"/>
  <c r="N171" i="2" a="1"/>
  <c r="N171" i="2" l="1"/>
  <c r="M171" i="2" a="1"/>
  <c r="M171" i="2" l="1"/>
  <c r="L171" i="2" a="1"/>
  <c r="L171" i="2" l="1"/>
  <c r="K171" i="2" a="1"/>
  <c r="J171" i="2"/>
  <c r="I171" i="2"/>
  <c r="K171" i="2" l="1"/>
  <c r="H171" i="2" a="1"/>
  <c r="F171" i="2"/>
  <c r="E171" i="2"/>
  <c r="Q171" i="2" a="1"/>
  <c r="Q171" i="2" l="1"/>
  <c r="H171" i="2"/>
  <c r="R171" i="2"/>
  <c r="AM171" i="2" l="1"/>
  <c r="AB171" i="2"/>
  <c r="AX170" i="2"/>
  <c r="S171" i="2"/>
  <c r="BC170" i="2"/>
  <c r="AV170" i="2" a="1"/>
  <c r="AV170" i="2" l="1"/>
  <c r="BD170" i="2"/>
  <c r="Z171" i="2"/>
  <c r="X171" i="2"/>
  <c r="Y171" i="2"/>
  <c r="T171" i="2"/>
  <c r="U171" i="2" s="1"/>
  <c r="AU170" i="2" a="1"/>
  <c r="AU170" i="2" l="1"/>
  <c r="AW170" i="2" s="1"/>
  <c r="AT170" i="2" a="1"/>
  <c r="AS170" i="2"/>
  <c r="AR170" i="2"/>
  <c r="AQ170" i="2"/>
  <c r="AP170" i="2"/>
  <c r="AO170" i="2"/>
  <c r="AN170" i="2"/>
  <c r="AT170" i="2" l="1"/>
  <c r="AL170" i="2"/>
  <c r="AK170" i="2" a="1"/>
  <c r="AJ170" i="2"/>
  <c r="AI170" i="2"/>
  <c r="AH170" i="2"/>
  <c r="AK170" i="2" l="1"/>
  <c r="AG170" i="2" a="1"/>
  <c r="AG170" i="2" l="1"/>
  <c r="AF170" i="2" a="1"/>
  <c r="AF170" i="2" l="1"/>
  <c r="AE170" i="2"/>
  <c r="AD170" i="2" a="1"/>
  <c r="AD170" i="2" l="1"/>
  <c r="AC170" i="2" a="1"/>
  <c r="AC170" i="2" l="1"/>
  <c r="AA170" i="2"/>
  <c r="W170" i="2" a="1"/>
  <c r="W170" i="2" l="1"/>
  <c r="V170" i="2" a="1"/>
  <c r="V170" i="2" l="1"/>
  <c r="N170" i="2" a="1"/>
  <c r="N170" i="2" l="1"/>
  <c r="M170" i="2" a="1"/>
  <c r="M170" i="2" l="1"/>
  <c r="L170" i="2" a="1"/>
  <c r="L170" i="2" l="1"/>
  <c r="K170" i="2" a="1"/>
  <c r="J170" i="2"/>
  <c r="I170" i="2"/>
  <c r="K170" i="2" l="1"/>
  <c r="H170" i="2" a="1"/>
  <c r="F170" i="2"/>
  <c r="E170" i="2"/>
  <c r="Q170" i="2" a="1"/>
  <c r="Q170" i="2" l="1"/>
  <c r="H170" i="2"/>
  <c r="R170" i="2"/>
  <c r="AM170" i="2" l="1"/>
  <c r="AB170" i="2"/>
  <c r="AX169" i="2"/>
  <c r="S170" i="2"/>
  <c r="BC169" i="2"/>
  <c r="AV169" i="2" a="1"/>
  <c r="AV169" i="2" l="1"/>
  <c r="BD169" i="2"/>
  <c r="Z170" i="2"/>
  <c r="Y170" i="2"/>
  <c r="X170" i="2"/>
  <c r="T170" i="2"/>
  <c r="U170" i="2" s="1"/>
  <c r="AU169" i="2" a="1"/>
  <c r="AU169" i="2" l="1"/>
  <c r="AW169" i="2" s="1"/>
  <c r="AT169" i="2" a="1"/>
  <c r="AS169" i="2"/>
  <c r="AR169" i="2"/>
  <c r="AQ169" i="2"/>
  <c r="AP169" i="2"/>
  <c r="AO169" i="2"/>
  <c r="AN169" i="2"/>
  <c r="AT169" i="2" l="1"/>
  <c r="AL169" i="2"/>
  <c r="AK169" i="2" a="1"/>
  <c r="AJ169" i="2"/>
  <c r="AI169" i="2"/>
  <c r="AH169" i="2"/>
  <c r="AK169" i="2" l="1"/>
  <c r="AG169" i="2" a="1"/>
  <c r="AG169" i="2" l="1"/>
  <c r="AF169" i="2" a="1"/>
  <c r="AF169" i="2" l="1"/>
  <c r="AE169" i="2"/>
  <c r="AD169" i="2" a="1"/>
  <c r="AD169" i="2" l="1"/>
  <c r="AC169" i="2" a="1"/>
  <c r="AC169" i="2" l="1"/>
  <c r="AA169" i="2"/>
  <c r="W169" i="2" a="1"/>
  <c r="W169" i="2" l="1"/>
  <c r="V169" i="2" a="1"/>
  <c r="V169" i="2" l="1"/>
  <c r="N169" i="2" a="1"/>
  <c r="N169" i="2" l="1"/>
  <c r="M169" i="2" a="1"/>
  <c r="M169" i="2" l="1"/>
  <c r="L169" i="2" a="1"/>
  <c r="L169" i="2" l="1"/>
  <c r="K169" i="2" a="1"/>
  <c r="J169" i="2"/>
  <c r="I169" i="2"/>
  <c r="K169" i="2" l="1"/>
  <c r="H169" i="2" a="1"/>
  <c r="F169" i="2"/>
  <c r="E169" i="2"/>
  <c r="Q169" i="2" a="1"/>
  <c r="R169" i="2"/>
  <c r="Q169" i="2" l="1"/>
  <c r="H169" i="2"/>
  <c r="AM169" i="2" l="1"/>
  <c r="AB169" i="2"/>
  <c r="AX168" i="2"/>
  <c r="S169" i="2"/>
  <c r="BC168" i="2"/>
  <c r="AV168" i="2" a="1"/>
  <c r="AV168" i="2" l="1"/>
  <c r="BD168" i="2"/>
  <c r="Z169" i="2"/>
  <c r="Y169" i="2"/>
  <c r="X169" i="2"/>
  <c r="T169" i="2"/>
  <c r="U169" i="2" s="1"/>
  <c r="AU168" i="2" a="1"/>
  <c r="AU168" i="2" l="1"/>
  <c r="AW168" i="2" s="1"/>
  <c r="AT168" i="2" a="1"/>
  <c r="AS168" i="2"/>
  <c r="AR168" i="2"/>
  <c r="AQ168" i="2"/>
  <c r="AP168" i="2"/>
  <c r="AO168" i="2"/>
  <c r="AN168" i="2"/>
  <c r="AT168" i="2" l="1"/>
  <c r="AL168" i="2"/>
  <c r="AK168" i="2" a="1"/>
  <c r="AJ168" i="2"/>
  <c r="AI168" i="2"/>
  <c r="AH168" i="2"/>
  <c r="AK168" i="2" l="1"/>
  <c r="AG168" i="2" a="1"/>
  <c r="AG168" i="2" l="1"/>
  <c r="AF168" i="2" a="1"/>
  <c r="AF168" i="2" l="1"/>
  <c r="AE168" i="2"/>
  <c r="AD168" i="2" a="1"/>
  <c r="AD168" i="2" l="1"/>
  <c r="AC168" i="2" a="1"/>
  <c r="AC168" i="2" l="1"/>
  <c r="AA168" i="2"/>
  <c r="W168" i="2" a="1"/>
  <c r="W168" i="2" l="1"/>
  <c r="V168" i="2" a="1"/>
  <c r="V168" i="2" l="1"/>
  <c r="N168" i="2" a="1"/>
  <c r="N168" i="2" l="1"/>
  <c r="M168" i="2" a="1"/>
  <c r="M168" i="2" l="1"/>
  <c r="L168" i="2" a="1"/>
  <c r="L168" i="2" l="1"/>
  <c r="K168" i="2" a="1"/>
  <c r="J168" i="2"/>
  <c r="I168" i="2"/>
  <c r="K168" i="2" l="1"/>
  <c r="H168" i="2" a="1"/>
  <c r="F168" i="2"/>
  <c r="E168" i="2"/>
  <c r="Q168" i="2" a="1"/>
  <c r="R168" i="2"/>
  <c r="Q168" i="2" l="1"/>
  <c r="H168" i="2"/>
  <c r="AM168" i="2" l="1"/>
  <c r="AB168" i="2"/>
  <c r="AX167" i="2"/>
  <c r="BC167" i="2"/>
  <c r="S168" i="2"/>
  <c r="AV167" i="2" a="1"/>
  <c r="AV167" i="2" l="1"/>
  <c r="Z168" i="2"/>
  <c r="Y168" i="2"/>
  <c r="X168" i="2"/>
  <c r="T168" i="2"/>
  <c r="U168" i="2" s="1"/>
  <c r="BD167" i="2"/>
  <c r="AU167" i="2" a="1"/>
  <c r="AU167" i="2" l="1"/>
  <c r="AW167" i="2" s="1"/>
  <c r="AT167" i="2" a="1"/>
  <c r="AS167" i="2"/>
  <c r="AR167" i="2"/>
  <c r="AQ167" i="2"/>
  <c r="AP167" i="2"/>
  <c r="AO167" i="2"/>
  <c r="AN167" i="2"/>
  <c r="AT167" i="2" l="1"/>
  <c r="AL167" i="2"/>
  <c r="AK167" i="2" a="1"/>
  <c r="AJ167" i="2"/>
  <c r="AI167" i="2"/>
  <c r="AH167" i="2"/>
  <c r="AK167" i="2" l="1"/>
  <c r="AG167" i="2" a="1"/>
  <c r="AG167" i="2" l="1"/>
  <c r="AF167" i="2" a="1"/>
  <c r="AF167" i="2" l="1"/>
  <c r="AE167" i="2"/>
  <c r="AD167" i="2" a="1"/>
  <c r="AD167" i="2" l="1"/>
  <c r="AC167" i="2" a="1"/>
  <c r="AC167" i="2" l="1"/>
  <c r="AA167" i="2"/>
  <c r="W167" i="2" a="1"/>
  <c r="W167" i="2" l="1"/>
  <c r="V167" i="2" a="1"/>
  <c r="V167" i="2" l="1"/>
  <c r="N167" i="2" a="1"/>
  <c r="N167" i="2" l="1"/>
  <c r="M167" i="2" a="1"/>
  <c r="M167" i="2" l="1"/>
  <c r="L167" i="2" a="1"/>
  <c r="L167" i="2" l="1"/>
  <c r="K167" i="2" a="1"/>
  <c r="J167" i="2"/>
  <c r="I167" i="2"/>
  <c r="K167" i="2" l="1"/>
  <c r="H167" i="2" a="1"/>
  <c r="F167" i="2"/>
  <c r="E167" i="2"/>
  <c r="Q167" i="2" a="1"/>
  <c r="R167" i="2"/>
  <c r="Q167" i="2" l="1"/>
  <c r="H167" i="2"/>
  <c r="AM167" i="2" l="1"/>
  <c r="AB167" i="2"/>
  <c r="AX166" i="2"/>
  <c r="S167" i="2"/>
  <c r="BC166" i="2"/>
  <c r="AV166" i="2" a="1"/>
  <c r="AV166" i="2" l="1"/>
  <c r="BD166" i="2"/>
  <c r="Y167" i="2"/>
  <c r="X167" i="2"/>
  <c r="Z167" i="2"/>
  <c r="T167" i="2"/>
  <c r="U167" i="2" s="1"/>
  <c r="AU166" i="2" a="1"/>
  <c r="AU166" i="2" l="1"/>
  <c r="AW166" i="2" s="1"/>
  <c r="AT166" i="2" a="1"/>
  <c r="AS166" i="2"/>
  <c r="AR166" i="2"/>
  <c r="AQ166" i="2"/>
  <c r="AP166" i="2"/>
  <c r="AO166" i="2"/>
  <c r="AN166" i="2"/>
  <c r="AT166" i="2" l="1"/>
  <c r="AL166" i="2"/>
  <c r="AK166" i="2" a="1"/>
  <c r="AJ166" i="2"/>
  <c r="AI166" i="2"/>
  <c r="AH166" i="2"/>
  <c r="AK166" i="2" l="1"/>
  <c r="AG166" i="2" a="1"/>
  <c r="AG166" i="2" l="1"/>
  <c r="AF166" i="2" a="1"/>
  <c r="AF166" i="2" l="1"/>
  <c r="AE166" i="2"/>
  <c r="AD166" i="2" a="1"/>
  <c r="AD166" i="2" l="1"/>
  <c r="AC166" i="2" a="1"/>
  <c r="AC166" i="2" l="1"/>
  <c r="AA166" i="2"/>
  <c r="W166" i="2" a="1"/>
  <c r="W166" i="2" l="1"/>
  <c r="V166" i="2" a="1"/>
  <c r="V166" i="2" l="1"/>
  <c r="N166" i="2" a="1"/>
  <c r="N166" i="2" l="1"/>
  <c r="M166" i="2" a="1"/>
  <c r="M166" i="2" l="1"/>
  <c r="L166" i="2" a="1"/>
  <c r="L166" i="2" l="1"/>
  <c r="K166" i="2" a="1"/>
  <c r="J166" i="2"/>
  <c r="I166" i="2"/>
  <c r="K166" i="2" l="1"/>
  <c r="H166" i="2" a="1"/>
  <c r="F166" i="2"/>
  <c r="E166" i="2"/>
  <c r="Q166" i="2" a="1"/>
  <c r="R166" i="2"/>
  <c r="Q166" i="2" l="1"/>
  <c r="H166" i="2"/>
  <c r="AM166" i="2" l="1"/>
  <c r="AB166" i="2"/>
  <c r="AX165" i="2"/>
  <c r="S166" i="2"/>
  <c r="BC165" i="2"/>
  <c r="AV165" i="2" a="1"/>
  <c r="AV165" i="2" l="1"/>
  <c r="BD165" i="2"/>
  <c r="Y166" i="2"/>
  <c r="X166" i="2"/>
  <c r="Z166" i="2"/>
  <c r="T166" i="2"/>
  <c r="U166" i="2" s="1"/>
  <c r="AU165" i="2" a="1"/>
  <c r="AU165" i="2" l="1"/>
  <c r="AW165" i="2" s="1"/>
  <c r="AT165" i="2" a="1"/>
  <c r="AS165" i="2"/>
  <c r="AR165" i="2"/>
  <c r="AQ165" i="2"/>
  <c r="AP165" i="2"/>
  <c r="AO165" i="2"/>
  <c r="AN165" i="2"/>
  <c r="AT165" i="2" l="1"/>
  <c r="AL165" i="2"/>
  <c r="AK165" i="2" a="1"/>
  <c r="AJ165" i="2"/>
  <c r="AI165" i="2"/>
  <c r="AH165" i="2"/>
  <c r="AK165" i="2" l="1"/>
  <c r="AG165" i="2" a="1"/>
  <c r="AG165" i="2" l="1"/>
  <c r="AF165" i="2" a="1"/>
  <c r="AF165" i="2" l="1"/>
  <c r="AE165" i="2"/>
  <c r="AD165" i="2" a="1"/>
  <c r="AD165" i="2" l="1"/>
  <c r="AC165" i="2" a="1"/>
  <c r="AC165" i="2" l="1"/>
  <c r="AA165" i="2"/>
  <c r="W165" i="2" a="1"/>
  <c r="W165" i="2" l="1"/>
  <c r="V165" i="2" a="1"/>
  <c r="V165" i="2" l="1"/>
  <c r="N165" i="2" a="1"/>
  <c r="N165" i="2" l="1"/>
  <c r="M165" i="2" a="1"/>
  <c r="M165" i="2" l="1"/>
  <c r="L165" i="2" a="1"/>
  <c r="L165" i="2" l="1"/>
  <c r="K165" i="2" a="1"/>
  <c r="J165" i="2"/>
  <c r="I165" i="2"/>
  <c r="K165" i="2" l="1"/>
  <c r="H165" i="2" a="1"/>
  <c r="F165" i="2"/>
  <c r="E165" i="2"/>
  <c r="Q165" i="2" a="1"/>
  <c r="R165" i="2"/>
  <c r="Q165" i="2" l="1"/>
  <c r="H165" i="2"/>
  <c r="AM165" i="2" l="1"/>
  <c r="AB165" i="2"/>
  <c r="AX164" i="2"/>
  <c r="S165" i="2"/>
  <c r="BC164" i="2"/>
  <c r="AV164" i="2" a="1"/>
  <c r="AV164" i="2" l="1"/>
  <c r="BD164" i="2"/>
  <c r="Z165" i="2"/>
  <c r="X165" i="2"/>
  <c r="Y165" i="2"/>
  <c r="T165" i="2"/>
  <c r="U165" i="2" s="1"/>
  <c r="AU164" i="2" a="1"/>
  <c r="AU164" i="2" l="1"/>
  <c r="AW164" i="2" s="1"/>
  <c r="AT164" i="2" a="1"/>
  <c r="AS164" i="2"/>
  <c r="AR164" i="2"/>
  <c r="AQ164" i="2"/>
  <c r="AP164" i="2"/>
  <c r="AO164" i="2"/>
  <c r="AN164" i="2"/>
  <c r="AT164" i="2" l="1"/>
  <c r="AL164" i="2"/>
  <c r="AK164" i="2" a="1"/>
  <c r="AJ164" i="2"/>
  <c r="AI164" i="2"/>
  <c r="AH164" i="2"/>
  <c r="AK164" i="2" l="1"/>
  <c r="AG164" i="2" a="1"/>
  <c r="AG164" i="2" l="1"/>
  <c r="AF164" i="2" a="1"/>
  <c r="AF164" i="2" l="1"/>
  <c r="AE164" i="2"/>
  <c r="AD164" i="2" a="1"/>
  <c r="AD164" i="2" l="1"/>
  <c r="AC164" i="2" a="1"/>
  <c r="AC164" i="2" l="1"/>
  <c r="AA164" i="2"/>
  <c r="W164" i="2" a="1"/>
  <c r="W164" i="2" l="1"/>
  <c r="V164" i="2" a="1"/>
  <c r="V164" i="2" l="1"/>
  <c r="N164" i="2" a="1"/>
  <c r="N164" i="2" l="1"/>
  <c r="M164" i="2" a="1"/>
  <c r="M164" i="2" l="1"/>
  <c r="L164" i="2" a="1"/>
  <c r="L164" i="2" l="1"/>
  <c r="K164" i="2" a="1"/>
  <c r="J164" i="2"/>
  <c r="I164" i="2"/>
  <c r="K164" i="2" l="1"/>
  <c r="H164" i="2" a="1"/>
  <c r="F164" i="2"/>
  <c r="E164" i="2"/>
  <c r="Q164" i="2" a="1"/>
  <c r="R164" i="2"/>
  <c r="Q164" i="2" l="1"/>
  <c r="H164" i="2"/>
  <c r="AM164" i="2" l="1"/>
  <c r="AB164" i="2"/>
  <c r="AX163" i="2"/>
  <c r="S164" i="2"/>
  <c r="BC163" i="2"/>
  <c r="AV163" i="2" a="1"/>
  <c r="AV163" i="2" l="1"/>
  <c r="BD163" i="2"/>
  <c r="Z164" i="2"/>
  <c r="Y164" i="2"/>
  <c r="X164" i="2"/>
  <c r="T164" i="2"/>
  <c r="U164" i="2" s="1"/>
  <c r="AU163" i="2" a="1"/>
  <c r="AU163" i="2" l="1"/>
  <c r="AW163" i="2" s="1"/>
  <c r="AT163" i="2" a="1"/>
  <c r="AS163" i="2"/>
  <c r="AR163" i="2"/>
  <c r="AQ163" i="2"/>
  <c r="AP163" i="2"/>
  <c r="AO163" i="2"/>
  <c r="AN163" i="2"/>
  <c r="AT163" i="2" l="1"/>
  <c r="AL163" i="2"/>
  <c r="AK163" i="2" a="1"/>
  <c r="AJ163" i="2"/>
  <c r="AI163" i="2"/>
  <c r="AH163" i="2"/>
  <c r="AK163" i="2" l="1"/>
  <c r="AG163" i="2" a="1"/>
  <c r="AG163" i="2" l="1"/>
  <c r="AF163" i="2" a="1"/>
  <c r="AF163" i="2" l="1"/>
  <c r="AE163" i="2"/>
  <c r="AD163" i="2" a="1"/>
  <c r="AD163" i="2" l="1"/>
  <c r="AC163" i="2" a="1"/>
  <c r="AC163" i="2" l="1"/>
  <c r="AA163" i="2"/>
  <c r="W163" i="2" a="1"/>
  <c r="W163" i="2" l="1"/>
  <c r="V163" i="2" a="1"/>
  <c r="V163" i="2" l="1"/>
  <c r="N163" i="2" a="1"/>
  <c r="N163" i="2" l="1"/>
  <c r="M163" i="2" a="1"/>
  <c r="M163" i="2" l="1"/>
  <c r="L163" i="2" a="1"/>
  <c r="L163" i="2" l="1"/>
  <c r="K163" i="2" a="1"/>
  <c r="J163" i="2"/>
  <c r="I163" i="2"/>
  <c r="K163" i="2" l="1"/>
  <c r="H163" i="2" a="1"/>
  <c r="F163" i="2"/>
  <c r="E163" i="2"/>
  <c r="Q163" i="2" a="1"/>
  <c r="R163" i="2"/>
  <c r="Q163" i="2" l="1"/>
  <c r="H163" i="2"/>
  <c r="AM163" i="2" l="1"/>
  <c r="AB163" i="2"/>
  <c r="AX162" i="2"/>
  <c r="S163" i="2"/>
  <c r="BC162" i="2"/>
  <c r="AV162" i="2" a="1"/>
  <c r="AV162" i="2" l="1"/>
  <c r="BD162" i="2"/>
  <c r="Z163" i="2"/>
  <c r="Y163" i="2"/>
  <c r="X163" i="2"/>
  <c r="T163" i="2"/>
  <c r="U163" i="2" s="1"/>
  <c r="AU162" i="2" a="1"/>
  <c r="AU162" i="2" l="1"/>
  <c r="AW162" i="2" s="1"/>
  <c r="AT162" i="2" a="1"/>
  <c r="AS162" i="2"/>
  <c r="AR162" i="2"/>
  <c r="AQ162" i="2"/>
  <c r="AP162" i="2"/>
  <c r="AO162" i="2"/>
  <c r="AN162" i="2"/>
  <c r="AT162" i="2" l="1"/>
  <c r="AL162" i="2"/>
  <c r="AK162" i="2" a="1"/>
  <c r="AJ162" i="2"/>
  <c r="AI162" i="2"/>
  <c r="AH162" i="2"/>
  <c r="AK162" i="2" l="1"/>
  <c r="AG162" i="2" a="1"/>
  <c r="AG162" i="2" l="1"/>
  <c r="AF162" i="2" a="1"/>
  <c r="AF162" i="2" l="1"/>
  <c r="AE162" i="2"/>
  <c r="AD162" i="2" a="1"/>
  <c r="AD162" i="2" l="1"/>
  <c r="AC162" i="2" a="1"/>
  <c r="AC162" i="2" l="1"/>
  <c r="AA162" i="2"/>
  <c r="W162" i="2" a="1"/>
  <c r="W162" i="2" l="1"/>
  <c r="V162" i="2" a="1"/>
  <c r="V162" i="2" l="1"/>
  <c r="N162" i="2" a="1"/>
  <c r="N162" i="2" l="1"/>
  <c r="M162" i="2" a="1"/>
  <c r="M162" i="2" l="1"/>
  <c r="L162" i="2" a="1"/>
  <c r="L162" i="2" l="1"/>
  <c r="K162" i="2" a="1"/>
  <c r="J162" i="2"/>
  <c r="I162" i="2"/>
  <c r="K162" i="2" l="1"/>
  <c r="H162" i="2" a="1"/>
  <c r="F162" i="2"/>
  <c r="E162" i="2"/>
  <c r="Q162" i="2" a="1"/>
  <c r="R162" i="2"/>
  <c r="Q162" i="2" l="1"/>
  <c r="H162" i="2"/>
  <c r="AM162" i="2" l="1"/>
  <c r="AB162" i="2"/>
  <c r="AX161" i="2"/>
  <c r="S162" i="2"/>
  <c r="BC161" i="2"/>
  <c r="AV161" i="2" a="1"/>
  <c r="AV161" i="2" l="1"/>
  <c r="BD161" i="2"/>
  <c r="Z162" i="2"/>
  <c r="Y162" i="2"/>
  <c r="X162" i="2"/>
  <c r="T162" i="2"/>
  <c r="U162" i="2" s="1"/>
  <c r="AU161" i="2" a="1"/>
  <c r="AU161" i="2" l="1"/>
  <c r="AW161" i="2" s="1"/>
  <c r="AT161" i="2" a="1"/>
  <c r="AS161" i="2"/>
  <c r="AR161" i="2"/>
  <c r="AQ161" i="2"/>
  <c r="AP161" i="2"/>
  <c r="AO161" i="2"/>
  <c r="AN161" i="2"/>
  <c r="AT161" i="2" l="1"/>
  <c r="AL161" i="2"/>
  <c r="AK161" i="2" a="1"/>
  <c r="AJ161" i="2"/>
  <c r="AI161" i="2"/>
  <c r="AH161" i="2"/>
  <c r="AK161" i="2" l="1"/>
  <c r="AG161" i="2" a="1"/>
  <c r="AG161" i="2" l="1"/>
  <c r="AF161" i="2" a="1"/>
  <c r="AF161" i="2" l="1"/>
  <c r="AE161" i="2"/>
  <c r="AD161" i="2" a="1"/>
  <c r="AD161" i="2" l="1"/>
  <c r="AC161" i="2" a="1"/>
  <c r="AC161" i="2" l="1"/>
  <c r="AA161" i="2"/>
  <c r="W161" i="2" a="1"/>
  <c r="W161" i="2" l="1"/>
  <c r="V161" i="2" a="1"/>
  <c r="V161" i="2" l="1"/>
  <c r="N161" i="2" a="1"/>
  <c r="N161" i="2" l="1"/>
  <c r="M161" i="2" a="1"/>
  <c r="M161" i="2" l="1"/>
  <c r="L161" i="2" a="1"/>
  <c r="L161" i="2" l="1"/>
  <c r="K161" i="2" a="1"/>
  <c r="J161" i="2"/>
  <c r="I161" i="2"/>
  <c r="K161" i="2" l="1"/>
  <c r="H161" i="2" a="1"/>
  <c r="F161" i="2"/>
  <c r="E161" i="2"/>
  <c r="Q161" i="2" a="1"/>
  <c r="R161" i="2"/>
  <c r="Q161" i="2" l="1"/>
  <c r="H161" i="2"/>
  <c r="AM161" i="2" l="1"/>
  <c r="AB161" i="2"/>
  <c r="AX160" i="2"/>
  <c r="S161" i="2"/>
  <c r="BC160" i="2"/>
  <c r="AV160" i="2" a="1"/>
  <c r="AV160" i="2" l="1"/>
  <c r="BD160" i="2"/>
  <c r="Z161" i="2"/>
  <c r="Y161" i="2"/>
  <c r="X161" i="2"/>
  <c r="T161" i="2"/>
  <c r="U161" i="2" s="1"/>
  <c r="AU160" i="2" a="1"/>
  <c r="AU160" i="2" l="1"/>
  <c r="AW160" i="2" s="1"/>
  <c r="AT160" i="2" a="1"/>
  <c r="AS160" i="2"/>
  <c r="AR160" i="2"/>
  <c r="AQ160" i="2"/>
  <c r="AP160" i="2"/>
  <c r="AO160" i="2"/>
  <c r="AN160" i="2"/>
  <c r="AT160" i="2" l="1"/>
  <c r="AL160" i="2"/>
  <c r="AK160" i="2" a="1"/>
  <c r="AJ160" i="2"/>
  <c r="AI160" i="2"/>
  <c r="AH160" i="2"/>
  <c r="AK160" i="2" l="1"/>
  <c r="AG160" i="2" a="1"/>
  <c r="AG160" i="2" l="1"/>
  <c r="AF160" i="2" a="1"/>
  <c r="AF160" i="2" l="1"/>
  <c r="AE160" i="2"/>
  <c r="AD160" i="2" a="1"/>
  <c r="AD160" i="2" l="1"/>
  <c r="AC160" i="2" a="1"/>
  <c r="AC160" i="2" l="1"/>
  <c r="AA160" i="2"/>
  <c r="W160" i="2" a="1"/>
  <c r="W160" i="2" l="1"/>
  <c r="V160" i="2" a="1"/>
  <c r="V160" i="2" l="1"/>
  <c r="N160" i="2" a="1"/>
  <c r="N160" i="2" l="1"/>
  <c r="M160" i="2" a="1"/>
  <c r="M160" i="2" l="1"/>
  <c r="L160" i="2" a="1"/>
  <c r="L160" i="2" l="1"/>
  <c r="K160" i="2" a="1"/>
  <c r="J160" i="2"/>
  <c r="I160" i="2"/>
  <c r="K160" i="2" l="1"/>
  <c r="H160" i="2" a="1"/>
  <c r="F160" i="2"/>
  <c r="E160" i="2"/>
  <c r="Q160" i="2" a="1"/>
  <c r="R160" i="2"/>
  <c r="Q160" i="2" l="1"/>
  <c r="H160" i="2"/>
  <c r="AM160" i="2" l="1"/>
  <c r="AB160" i="2"/>
  <c r="AX159" i="2"/>
  <c r="S160" i="2"/>
  <c r="BC159" i="2"/>
  <c r="AV159" i="2" a="1"/>
  <c r="AV159" i="2" l="1"/>
  <c r="BD159" i="2"/>
  <c r="Z160" i="2"/>
  <c r="Y160" i="2"/>
  <c r="X160" i="2"/>
  <c r="T160" i="2"/>
  <c r="U160" i="2" s="1"/>
  <c r="AU159" i="2" a="1"/>
  <c r="AU159" i="2" l="1"/>
  <c r="AW159" i="2" s="1"/>
  <c r="AT159" i="2" a="1"/>
  <c r="AS159" i="2"/>
  <c r="AR159" i="2"/>
  <c r="AQ159" i="2"/>
  <c r="AP159" i="2"/>
  <c r="AO159" i="2"/>
  <c r="AN159" i="2"/>
  <c r="AT159" i="2" l="1"/>
  <c r="AL159" i="2"/>
  <c r="AK159" i="2" a="1"/>
  <c r="AJ159" i="2"/>
  <c r="AI159" i="2"/>
  <c r="AH159" i="2"/>
  <c r="AK159" i="2" l="1"/>
  <c r="AG159" i="2" a="1"/>
  <c r="AG159" i="2" l="1"/>
  <c r="AF159" i="2" a="1"/>
  <c r="AF159" i="2" l="1"/>
  <c r="AE159" i="2"/>
  <c r="AD159" i="2" a="1"/>
  <c r="AD159" i="2" l="1"/>
  <c r="AC159" i="2" a="1"/>
  <c r="AC159" i="2" l="1"/>
  <c r="AA159" i="2"/>
  <c r="W159" i="2" a="1"/>
  <c r="W159" i="2" l="1"/>
  <c r="V159" i="2" a="1"/>
  <c r="V159" i="2" l="1"/>
  <c r="N159" i="2" a="1"/>
  <c r="N159" i="2" l="1"/>
  <c r="M159" i="2" a="1"/>
  <c r="M159" i="2" l="1"/>
  <c r="L159" i="2" a="1"/>
  <c r="L159" i="2" l="1"/>
  <c r="K159" i="2" a="1"/>
  <c r="J159" i="2"/>
  <c r="I159" i="2"/>
  <c r="K159" i="2" l="1"/>
  <c r="H159" i="2" a="1"/>
  <c r="F159" i="2"/>
  <c r="E159" i="2"/>
  <c r="Q159" i="2" a="1"/>
  <c r="R159" i="2"/>
  <c r="Q159" i="2" l="1"/>
  <c r="H159" i="2"/>
  <c r="AM159" i="2" l="1"/>
  <c r="AB159" i="2"/>
  <c r="AX158" i="2"/>
  <c r="S159" i="2"/>
  <c r="BC158" i="2"/>
  <c r="AV158" i="2" a="1"/>
  <c r="AV158" i="2" l="1"/>
  <c r="BD158" i="2"/>
  <c r="Z159" i="2"/>
  <c r="Y159" i="2"/>
  <c r="X159" i="2"/>
  <c r="T159" i="2"/>
  <c r="U159" i="2" s="1"/>
  <c r="AU158" i="2" a="1"/>
  <c r="AU158" i="2" l="1"/>
  <c r="AW158" i="2" s="1"/>
  <c r="AT158" i="2" a="1"/>
  <c r="AS158" i="2"/>
  <c r="AR158" i="2"/>
  <c r="AQ158" i="2"/>
  <c r="AP158" i="2"/>
  <c r="AO158" i="2"/>
  <c r="AN158" i="2"/>
  <c r="AT158" i="2" l="1"/>
  <c r="AL158" i="2"/>
  <c r="AK158" i="2" a="1"/>
  <c r="AJ158" i="2"/>
  <c r="AI158" i="2"/>
  <c r="AH158" i="2"/>
  <c r="AK158" i="2" l="1"/>
  <c r="AG158" i="2" a="1"/>
  <c r="AG158" i="2" l="1"/>
  <c r="AF158" i="2" a="1"/>
  <c r="AF158" i="2" l="1"/>
  <c r="AE158" i="2"/>
  <c r="AD158" i="2" a="1"/>
  <c r="AD158" i="2" l="1"/>
  <c r="AC158" i="2" a="1"/>
  <c r="AC158" i="2" l="1"/>
  <c r="AA158" i="2"/>
  <c r="W158" i="2" a="1"/>
  <c r="W158" i="2" l="1"/>
  <c r="V158" i="2" a="1"/>
  <c r="V158" i="2" l="1"/>
  <c r="N158" i="2" a="1"/>
  <c r="N158" i="2" l="1"/>
  <c r="M158" i="2" a="1"/>
  <c r="M158" i="2" l="1"/>
  <c r="L158" i="2" a="1"/>
  <c r="L158" i="2" l="1"/>
  <c r="K158" i="2" a="1"/>
  <c r="J158" i="2"/>
  <c r="I158" i="2"/>
  <c r="K158" i="2" l="1"/>
  <c r="H158" i="2" a="1"/>
  <c r="F158" i="2"/>
  <c r="E158" i="2"/>
  <c r="Q158" i="2" a="1"/>
  <c r="R158" i="2"/>
  <c r="Q158" i="2" l="1"/>
  <c r="H158" i="2"/>
  <c r="AM158" i="2" l="1"/>
  <c r="AB158" i="2"/>
  <c r="AX157" i="2"/>
  <c r="S158" i="2"/>
  <c r="BC157" i="2"/>
  <c r="AV157" i="2" a="1"/>
  <c r="AV157" i="2" l="1"/>
  <c r="BD157" i="2"/>
  <c r="Z158" i="2"/>
  <c r="Y158" i="2"/>
  <c r="X158" i="2"/>
  <c r="T158" i="2"/>
  <c r="U158" i="2" s="1"/>
  <c r="AU157" i="2" a="1"/>
  <c r="AU157" i="2" l="1"/>
  <c r="AW157" i="2" s="1"/>
  <c r="AT157" i="2" a="1"/>
  <c r="AS157" i="2"/>
  <c r="AR157" i="2"/>
  <c r="AQ157" i="2"/>
  <c r="AP157" i="2"/>
  <c r="AO157" i="2"/>
  <c r="AN157" i="2"/>
  <c r="AT157" i="2" l="1"/>
  <c r="AL157" i="2"/>
  <c r="AK157" i="2" a="1"/>
  <c r="AJ157" i="2"/>
  <c r="AI157" i="2"/>
  <c r="AH157" i="2"/>
  <c r="AK157" i="2" l="1"/>
  <c r="AG157" i="2" a="1"/>
  <c r="AG157" i="2" l="1"/>
  <c r="AF157" i="2" a="1"/>
  <c r="AF157" i="2" l="1"/>
  <c r="AE157" i="2"/>
  <c r="AD157" i="2" a="1"/>
  <c r="AD157" i="2" l="1"/>
  <c r="AC157" i="2" a="1"/>
  <c r="AC157" i="2" l="1"/>
  <c r="AA157" i="2"/>
  <c r="W157" i="2" a="1"/>
  <c r="W157" i="2" l="1"/>
  <c r="V157" i="2" a="1"/>
  <c r="V157" i="2" l="1"/>
  <c r="N157" i="2" a="1"/>
  <c r="N157" i="2" l="1"/>
  <c r="M157" i="2" a="1"/>
  <c r="M157" i="2" l="1"/>
  <c r="L157" i="2" a="1"/>
  <c r="L157" i="2" l="1"/>
  <c r="K157" i="2" a="1"/>
  <c r="J157" i="2"/>
  <c r="I157" i="2"/>
  <c r="K157" i="2" l="1"/>
  <c r="H157" i="2" a="1"/>
  <c r="F157" i="2"/>
  <c r="E157" i="2"/>
  <c r="Q157" i="2" a="1"/>
  <c r="R157" i="2"/>
  <c r="Q157" i="2" l="1"/>
  <c r="H157" i="2"/>
  <c r="AM157" i="2" l="1"/>
  <c r="AB157" i="2"/>
  <c r="AX156" i="2"/>
  <c r="S157" i="2"/>
  <c r="BC156" i="2"/>
  <c r="AV156" i="2" a="1"/>
  <c r="AV156" i="2" l="1"/>
  <c r="BD156" i="2"/>
  <c r="Z157" i="2"/>
  <c r="Y157" i="2"/>
  <c r="X157" i="2"/>
  <c r="T157" i="2"/>
  <c r="U157" i="2" s="1"/>
  <c r="AU156" i="2" a="1"/>
  <c r="AU156" i="2" l="1"/>
  <c r="AW156" i="2" s="1"/>
  <c r="AT156" i="2" a="1"/>
  <c r="AS156" i="2"/>
  <c r="AR156" i="2"/>
  <c r="AQ156" i="2"/>
  <c r="AP156" i="2"/>
  <c r="AO156" i="2"/>
  <c r="AN156" i="2"/>
  <c r="AT156" i="2" l="1"/>
  <c r="AL156" i="2"/>
  <c r="AK156" i="2" a="1"/>
  <c r="AJ156" i="2"/>
  <c r="AI156" i="2"/>
  <c r="AH156" i="2"/>
  <c r="AK156" i="2" l="1"/>
  <c r="AG156" i="2" a="1"/>
  <c r="AG156" i="2" l="1"/>
  <c r="AF156" i="2" a="1"/>
  <c r="AF156" i="2" l="1"/>
  <c r="AE156" i="2"/>
  <c r="AD156" i="2" a="1"/>
  <c r="AD156" i="2" l="1"/>
  <c r="AC156" i="2" a="1"/>
  <c r="AC156" i="2" l="1"/>
  <c r="AA156" i="2"/>
  <c r="W156" i="2" a="1"/>
  <c r="W156" i="2" l="1"/>
  <c r="V156" i="2" a="1"/>
  <c r="V156" i="2" l="1"/>
  <c r="N156" i="2" a="1"/>
  <c r="N156" i="2" l="1"/>
  <c r="M156" i="2" a="1"/>
  <c r="M156" i="2" l="1"/>
  <c r="L156" i="2" a="1"/>
  <c r="L156" i="2" l="1"/>
  <c r="K156" i="2" a="1"/>
  <c r="J156" i="2"/>
  <c r="I156" i="2"/>
  <c r="K156" i="2" l="1"/>
  <c r="H156" i="2" a="1"/>
  <c r="F156" i="2"/>
  <c r="E156" i="2"/>
  <c r="Q156" i="2" a="1"/>
  <c r="Q156" i="2" l="1"/>
  <c r="H156" i="2"/>
  <c r="R156" i="2"/>
  <c r="AM156" i="2" l="1"/>
  <c r="AB156" i="2"/>
  <c r="AX155" i="2"/>
  <c r="S156" i="2"/>
  <c r="BC155" i="2"/>
  <c r="AV155" i="2" a="1"/>
  <c r="AV155" i="2" l="1"/>
  <c r="BD155" i="2"/>
  <c r="Z156" i="2"/>
  <c r="Y156" i="2"/>
  <c r="X156" i="2"/>
  <c r="T156" i="2"/>
  <c r="U156" i="2" s="1"/>
  <c r="AU155" i="2" a="1"/>
  <c r="AU155" i="2" l="1"/>
  <c r="AW155" i="2" s="1"/>
  <c r="AT155" i="2" a="1"/>
  <c r="AS155" i="2"/>
  <c r="AR155" i="2"/>
  <c r="AQ155" i="2"/>
  <c r="AP155" i="2"/>
  <c r="AO155" i="2"/>
  <c r="AN155" i="2"/>
  <c r="AT155" i="2" l="1"/>
  <c r="AL155" i="2"/>
  <c r="AK155" i="2" a="1"/>
  <c r="AJ155" i="2"/>
  <c r="AI155" i="2"/>
  <c r="AH155" i="2"/>
  <c r="AK155" i="2" l="1"/>
  <c r="AG155" i="2" a="1"/>
  <c r="AG155" i="2" l="1"/>
  <c r="AF155" i="2" a="1"/>
  <c r="AF155" i="2" l="1"/>
  <c r="AE155" i="2"/>
  <c r="AD155" i="2" a="1"/>
  <c r="AD155" i="2" l="1"/>
  <c r="AC155" i="2" a="1"/>
  <c r="AC155" i="2" l="1"/>
  <c r="AA155" i="2"/>
  <c r="W155" i="2" a="1"/>
  <c r="W155" i="2" l="1"/>
  <c r="V155" i="2" a="1"/>
  <c r="V155" i="2" l="1"/>
  <c r="N155" i="2" a="1"/>
  <c r="N155" i="2" l="1"/>
  <c r="M155" i="2" a="1"/>
  <c r="M155" i="2" l="1"/>
  <c r="L155" i="2" a="1"/>
  <c r="L155" i="2" l="1"/>
  <c r="K155" i="2" a="1"/>
  <c r="J155" i="2"/>
  <c r="I155" i="2"/>
  <c r="K155" i="2" l="1"/>
  <c r="H155" i="2" a="1"/>
  <c r="F155" i="2"/>
  <c r="E155" i="2"/>
  <c r="Q155" i="2" a="1"/>
  <c r="R155" i="2"/>
  <c r="Q155" i="2" l="1"/>
  <c r="H155" i="2"/>
  <c r="AX154" i="2"/>
  <c r="BC154" i="2"/>
  <c r="AV154" i="2" a="1"/>
  <c r="AV154" i="2" l="1"/>
  <c r="AM155" i="2"/>
  <c r="AB155" i="2"/>
  <c r="S155" i="2"/>
  <c r="AU154" i="2" a="1"/>
  <c r="AU154" i="2" l="1"/>
  <c r="AW154" i="2" s="1"/>
  <c r="Z155" i="2"/>
  <c r="Y155" i="2"/>
  <c r="X155" i="2"/>
  <c r="T155" i="2"/>
  <c r="U155" i="2" s="1"/>
  <c r="AT154" i="2" a="1"/>
  <c r="AS154" i="2"/>
  <c r="AR154" i="2"/>
  <c r="AQ154" i="2"/>
  <c r="AP154" i="2"/>
  <c r="AO154" i="2"/>
  <c r="AN154" i="2"/>
  <c r="AT154" i="2" l="1"/>
  <c r="AL154" i="2"/>
  <c r="AK154" i="2" a="1"/>
  <c r="AJ154" i="2"/>
  <c r="AI154" i="2"/>
  <c r="AH154" i="2"/>
  <c r="AK154" i="2" l="1"/>
  <c r="AG154" i="2" a="1"/>
  <c r="AG154" i="2" l="1"/>
  <c r="AF154" i="2" a="1"/>
  <c r="AF154" i="2" l="1"/>
  <c r="AE154" i="2"/>
  <c r="AD154" i="2" a="1"/>
  <c r="AD154" i="2" l="1"/>
  <c r="AC154" i="2" a="1"/>
  <c r="AC154" i="2" l="1"/>
  <c r="AA154" i="2"/>
  <c r="W154" i="2" a="1"/>
  <c r="W154" i="2" l="1"/>
  <c r="V154" i="2" a="1"/>
  <c r="V154" i="2" l="1"/>
  <c r="N154" i="2" a="1"/>
  <c r="N154" i="2" l="1"/>
  <c r="M154" i="2" a="1"/>
  <c r="M154" i="2" l="1"/>
  <c r="L154" i="2" a="1"/>
  <c r="L154" i="2" l="1"/>
  <c r="K154" i="2" a="1"/>
  <c r="J154" i="2"/>
  <c r="I154" i="2"/>
  <c r="K154" i="2" l="1"/>
  <c r="H154" i="2" a="1"/>
  <c r="F154" i="2"/>
  <c r="E154" i="2"/>
  <c r="Q154" i="2" a="1"/>
  <c r="R154" i="2"/>
  <c r="Q154" i="2" l="1"/>
  <c r="H154" i="2"/>
  <c r="AM154" i="2" l="1"/>
  <c r="AB154" i="2"/>
  <c r="AX153" i="2"/>
  <c r="BC153" i="2"/>
  <c r="S154" i="2"/>
  <c r="AV153" i="2" a="1"/>
  <c r="AV153" i="2" l="1"/>
  <c r="Z154" i="2"/>
  <c r="Y154" i="2"/>
  <c r="X154" i="2"/>
  <c r="T154" i="2"/>
  <c r="U154" i="2" s="1"/>
  <c r="BD153" i="2"/>
  <c r="AU153" i="2" a="1"/>
  <c r="AU153" i="2" l="1"/>
  <c r="AW153" i="2" s="1"/>
  <c r="AT153" i="2" a="1"/>
  <c r="AS153" i="2"/>
  <c r="AR153" i="2"/>
  <c r="AQ153" i="2"/>
  <c r="AP153" i="2"/>
  <c r="AO153" i="2"/>
  <c r="AN153" i="2"/>
  <c r="AT153" i="2" l="1"/>
  <c r="AL153" i="2"/>
  <c r="AK153" i="2" a="1"/>
  <c r="AJ153" i="2"/>
  <c r="AI153" i="2"/>
  <c r="AH153" i="2"/>
  <c r="AK153" i="2" l="1"/>
  <c r="AG153" i="2" a="1"/>
  <c r="AG153" i="2" l="1"/>
  <c r="AF153" i="2" a="1"/>
  <c r="AF153" i="2" l="1"/>
  <c r="AE153" i="2"/>
  <c r="AD153" i="2" a="1"/>
  <c r="AD153" i="2" l="1"/>
  <c r="AC153" i="2" a="1"/>
  <c r="AC153" i="2" l="1"/>
  <c r="AA153" i="2"/>
  <c r="W153" i="2" a="1"/>
  <c r="W153" i="2" l="1"/>
  <c r="V153" i="2" a="1"/>
  <c r="V153" i="2" l="1"/>
  <c r="N153" i="2" a="1"/>
  <c r="N153" i="2" l="1"/>
  <c r="M153" i="2" a="1"/>
  <c r="M153" i="2" l="1"/>
  <c r="L153" i="2" a="1"/>
  <c r="L153" i="2" l="1"/>
  <c r="K153" i="2" a="1"/>
  <c r="J153" i="2"/>
  <c r="I153" i="2"/>
  <c r="K153" i="2" l="1"/>
  <c r="H153" i="2" a="1"/>
  <c r="F153" i="2"/>
  <c r="E153" i="2"/>
  <c r="Q153" i="2" a="1"/>
  <c r="R153" i="2"/>
  <c r="Q153" i="2" l="1"/>
  <c r="H153" i="2"/>
  <c r="AM153" i="2" l="1"/>
  <c r="AB153" i="2"/>
  <c r="AX152" i="2"/>
  <c r="S153" i="2"/>
  <c r="BC152" i="2" a="1"/>
  <c r="AV152" i="2" a="1"/>
  <c r="AV152" i="2" l="1"/>
  <c r="BC152" i="2"/>
  <c r="Z153" i="2"/>
  <c r="Y153" i="2"/>
  <c r="X153" i="2"/>
  <c r="T153" i="2"/>
  <c r="U153" i="2" s="1"/>
  <c r="AU152" i="2" a="1"/>
  <c r="AU152" i="2" l="1"/>
  <c r="AW152" i="2" s="1"/>
  <c r="AT152" i="2" a="1"/>
  <c r="AS152" i="2"/>
  <c r="AR152" i="2"/>
  <c r="AQ152" i="2"/>
  <c r="AP152" i="2"/>
  <c r="AO152" i="2"/>
  <c r="AN152" i="2"/>
  <c r="AT152" i="2" l="1"/>
  <c r="AL152" i="2"/>
  <c r="AK152" i="2" a="1"/>
  <c r="AJ152" i="2"/>
  <c r="AI152" i="2"/>
  <c r="AH152" i="2"/>
  <c r="AK152" i="2" l="1"/>
  <c r="AG152" i="2" a="1"/>
  <c r="AG152" i="2" l="1"/>
  <c r="AF152" i="2" a="1"/>
  <c r="AF152" i="2" l="1"/>
  <c r="AE152" i="2"/>
  <c r="AD152" i="2" a="1"/>
  <c r="AD152" i="2" l="1"/>
  <c r="AC152" i="2" a="1"/>
  <c r="AC152" i="2" l="1"/>
  <c r="AA152" i="2"/>
  <c r="W152" i="2" a="1"/>
  <c r="W152" i="2" l="1"/>
  <c r="V152" i="2" a="1"/>
  <c r="V152" i="2" l="1"/>
  <c r="N152" i="2" a="1"/>
  <c r="N152" i="2" l="1"/>
  <c r="M152" i="2" a="1"/>
  <c r="M152" i="2" l="1"/>
  <c r="L152" i="2" a="1"/>
  <c r="L152" i="2" l="1"/>
  <c r="K152" i="2" a="1"/>
  <c r="J152" i="2"/>
  <c r="I152" i="2"/>
  <c r="K152" i="2" l="1"/>
  <c r="H152" i="2" a="1"/>
  <c r="F152" i="2"/>
  <c r="E152" i="2"/>
  <c r="Q152" i="2" a="1"/>
  <c r="R152" i="2"/>
  <c r="Q152" i="2" l="1"/>
  <c r="H152" i="2"/>
  <c r="AM152" i="2" l="1"/>
  <c r="AB152" i="2"/>
  <c r="AX151" i="2"/>
  <c r="S152" i="2"/>
  <c r="BC151" i="2" a="1"/>
  <c r="AV151" i="2" a="1"/>
  <c r="AV151" i="2" l="1"/>
  <c r="BC151" i="2"/>
  <c r="Z152" i="2"/>
  <c r="Y152" i="2"/>
  <c r="X152" i="2"/>
  <c r="T152" i="2"/>
  <c r="U152" i="2" s="1"/>
  <c r="AU151" i="2" a="1"/>
  <c r="AU151" i="2" l="1"/>
  <c r="AW151" i="2" s="1"/>
  <c r="AT151" i="2" a="1"/>
  <c r="AS151" i="2"/>
  <c r="AR151" i="2"/>
  <c r="AQ151" i="2"/>
  <c r="AP151" i="2"/>
  <c r="AO151" i="2"/>
  <c r="AN151" i="2"/>
  <c r="AT151" i="2" l="1"/>
  <c r="AL151" i="2"/>
  <c r="AK151" i="2" a="1"/>
  <c r="AJ151" i="2"/>
  <c r="AI151" i="2"/>
  <c r="AH151" i="2"/>
  <c r="AK151" i="2" l="1"/>
  <c r="AG151" i="2" a="1"/>
  <c r="AG151" i="2" l="1"/>
  <c r="AF151" i="2" a="1"/>
  <c r="AF151" i="2" l="1"/>
  <c r="AE151" i="2"/>
  <c r="AD151" i="2" a="1"/>
  <c r="AD151" i="2" l="1"/>
  <c r="AC151" i="2" a="1"/>
  <c r="AC151" i="2" l="1"/>
  <c r="AA151" i="2"/>
  <c r="W151" i="2" a="1"/>
  <c r="W151" i="2" l="1"/>
  <c r="V151" i="2" a="1"/>
  <c r="V151" i="2" l="1"/>
  <c r="N151" i="2" a="1"/>
  <c r="N151" i="2" l="1"/>
  <c r="M151" i="2" a="1"/>
  <c r="M151" i="2" l="1"/>
  <c r="L151" i="2" a="1"/>
  <c r="L151" i="2" l="1"/>
  <c r="K151" i="2" a="1"/>
  <c r="J151" i="2"/>
  <c r="I151" i="2"/>
  <c r="K151" i="2" l="1"/>
  <c r="H151" i="2" a="1"/>
  <c r="F151" i="2"/>
  <c r="E151" i="2"/>
  <c r="Q151" i="2" a="1"/>
  <c r="R151" i="2"/>
  <c r="Q151" i="2" l="1"/>
  <c r="H151" i="2"/>
  <c r="AM151" i="2" l="1"/>
  <c r="AB151" i="2"/>
  <c r="AX150" i="2"/>
  <c r="S151" i="2"/>
  <c r="BC150" i="2" a="1"/>
  <c r="AV150" i="2" a="1"/>
  <c r="AV150" i="2" l="1"/>
  <c r="BC150" i="2"/>
  <c r="Z151" i="2"/>
  <c r="Y151" i="2"/>
  <c r="X151" i="2"/>
  <c r="T151" i="2"/>
  <c r="U151" i="2" s="1"/>
  <c r="AU150" i="2" a="1"/>
  <c r="AU150" i="2" l="1"/>
  <c r="AW150" i="2" s="1"/>
  <c r="AT150" i="2" a="1"/>
  <c r="AS150" i="2"/>
  <c r="AR150" i="2"/>
  <c r="AQ150" i="2"/>
  <c r="AP150" i="2"/>
  <c r="AO150" i="2"/>
  <c r="AN150" i="2"/>
  <c r="AT150" i="2" l="1"/>
  <c r="AL150" i="2"/>
  <c r="AK150" i="2" a="1"/>
  <c r="AJ150" i="2"/>
  <c r="AI150" i="2"/>
  <c r="AH150" i="2"/>
  <c r="AK150" i="2" l="1"/>
  <c r="AG150" i="2" a="1"/>
  <c r="AG150" i="2" l="1"/>
  <c r="AF150" i="2" a="1"/>
  <c r="AF150" i="2" l="1"/>
  <c r="AE150" i="2"/>
  <c r="AD150" i="2" a="1"/>
  <c r="AD150" i="2" l="1"/>
  <c r="AC150" i="2" a="1"/>
  <c r="AC150" i="2" l="1"/>
  <c r="AA150" i="2"/>
  <c r="W150" i="2" a="1"/>
  <c r="W150" i="2" l="1"/>
  <c r="V150" i="2" a="1"/>
  <c r="V150" i="2" l="1"/>
  <c r="N150" i="2" a="1"/>
  <c r="N150" i="2" l="1"/>
  <c r="M150" i="2" a="1"/>
  <c r="M150" i="2" l="1"/>
  <c r="L150" i="2" a="1"/>
  <c r="L150" i="2" l="1"/>
  <c r="K150" i="2" a="1"/>
  <c r="J150" i="2"/>
  <c r="I150" i="2"/>
  <c r="K150" i="2" l="1"/>
  <c r="H150" i="2" a="1"/>
  <c r="F150" i="2"/>
  <c r="E150" i="2"/>
  <c r="Q150" i="2" a="1"/>
  <c r="R150" i="2"/>
  <c r="Q150" i="2" l="1"/>
  <c r="H150" i="2"/>
  <c r="AM150" i="2" l="1"/>
  <c r="AB150" i="2"/>
  <c r="AX149" i="2"/>
  <c r="S150" i="2"/>
  <c r="BC149" i="2" a="1"/>
  <c r="AV149" i="2" a="1"/>
  <c r="AV149" i="2" l="1"/>
  <c r="BC149" i="2"/>
  <c r="Z150" i="2"/>
  <c r="Y150" i="2"/>
  <c r="X150" i="2"/>
  <c r="T150" i="2"/>
  <c r="U150" i="2" s="1"/>
  <c r="AU149" i="2" a="1"/>
  <c r="AU149" i="2" l="1"/>
  <c r="AW149" i="2" s="1"/>
  <c r="AT149" i="2" a="1"/>
  <c r="AS149" i="2"/>
  <c r="AR149" i="2"/>
  <c r="AQ149" i="2"/>
  <c r="AP149" i="2"/>
  <c r="AO149" i="2"/>
  <c r="AN149" i="2"/>
  <c r="AT149" i="2" l="1"/>
  <c r="AL149" i="2"/>
  <c r="AK149" i="2" a="1"/>
  <c r="AJ149" i="2"/>
  <c r="AI149" i="2"/>
  <c r="AH149" i="2"/>
  <c r="AK149" i="2" l="1"/>
  <c r="AG149" i="2" a="1"/>
  <c r="AG149" i="2" l="1"/>
  <c r="AF149" i="2" a="1"/>
  <c r="AF149" i="2" l="1"/>
  <c r="AE149" i="2"/>
  <c r="AD149" i="2" a="1"/>
  <c r="AD149" i="2" l="1"/>
  <c r="AC149" i="2" a="1"/>
  <c r="AC149" i="2" l="1"/>
  <c r="AA149" i="2"/>
  <c r="W149" i="2" a="1"/>
  <c r="W149" i="2" l="1"/>
  <c r="V149" i="2" a="1"/>
  <c r="V149" i="2" l="1"/>
  <c r="N149" i="2" a="1"/>
  <c r="N149" i="2" l="1"/>
  <c r="M149" i="2" a="1"/>
  <c r="M149" i="2" l="1"/>
  <c r="L149" i="2" a="1"/>
  <c r="L149" i="2" l="1"/>
  <c r="K149" i="2" a="1"/>
  <c r="J149" i="2"/>
  <c r="I149" i="2"/>
  <c r="K149" i="2" l="1"/>
  <c r="H149" i="2" a="1"/>
  <c r="F149" i="2"/>
  <c r="E149" i="2"/>
  <c r="Q149" i="2" a="1"/>
  <c r="R149" i="2"/>
  <c r="Q149" i="2" l="1"/>
  <c r="H149" i="2"/>
  <c r="AM149" i="2" l="1"/>
  <c r="AB149" i="2"/>
  <c r="AX148" i="2"/>
  <c r="S149" i="2"/>
  <c r="BC148" i="2" a="1"/>
  <c r="AV148" i="2" a="1"/>
  <c r="AV148" i="2" l="1"/>
  <c r="BC148" i="2"/>
  <c r="Z149" i="2"/>
  <c r="Y149" i="2"/>
  <c r="X149" i="2"/>
  <c r="T149" i="2"/>
  <c r="U149" i="2" s="1"/>
  <c r="AU148" i="2" a="1"/>
  <c r="AU148" i="2" l="1"/>
  <c r="AW148" i="2" s="1"/>
  <c r="AT148" i="2" a="1"/>
  <c r="AS148" i="2"/>
  <c r="AR148" i="2"/>
  <c r="AQ148" i="2"/>
  <c r="AP148" i="2"/>
  <c r="AO148" i="2"/>
  <c r="AN148" i="2"/>
  <c r="AT148" i="2" l="1"/>
  <c r="AL148" i="2"/>
  <c r="AK148" i="2" a="1"/>
  <c r="AJ148" i="2"/>
  <c r="AI148" i="2"/>
  <c r="AH148" i="2"/>
  <c r="AK148" i="2" l="1"/>
  <c r="AG148" i="2" a="1"/>
  <c r="AG148" i="2" l="1"/>
  <c r="AF148" i="2" a="1"/>
  <c r="AF148" i="2" l="1"/>
  <c r="AE148" i="2"/>
  <c r="AD148" i="2" a="1"/>
  <c r="AD148" i="2" l="1"/>
  <c r="AC148" i="2" a="1"/>
  <c r="AC148" i="2" l="1"/>
  <c r="AA148" i="2"/>
  <c r="W148" i="2" a="1"/>
  <c r="W148" i="2" l="1"/>
  <c r="V148" i="2" a="1"/>
  <c r="V148" i="2" l="1"/>
  <c r="N148" i="2" a="1"/>
  <c r="N148" i="2" l="1"/>
  <c r="M148" i="2" a="1"/>
  <c r="M148" i="2" l="1"/>
  <c r="L148" i="2" a="1"/>
  <c r="L148" i="2" l="1"/>
  <c r="K148" i="2" a="1"/>
  <c r="J148" i="2"/>
  <c r="I148" i="2"/>
  <c r="K148" i="2" l="1"/>
  <c r="H148" i="2" a="1"/>
  <c r="F148" i="2"/>
  <c r="E148" i="2"/>
  <c r="Q148" i="2" a="1"/>
  <c r="Q148" i="2" l="1"/>
  <c r="H148" i="2"/>
  <c r="R148" i="2"/>
  <c r="AM148" i="2" l="1"/>
  <c r="AB148" i="2"/>
  <c r="AX147" i="2"/>
  <c r="S148" i="2"/>
  <c r="BC147" i="2" a="1"/>
  <c r="AV147" i="2" a="1"/>
  <c r="AV147" i="2" l="1"/>
  <c r="BC147" i="2"/>
  <c r="Z148" i="2"/>
  <c r="Y148" i="2"/>
  <c r="X148" i="2"/>
  <c r="T148" i="2"/>
  <c r="U148" i="2" s="1"/>
  <c r="AU147" i="2" a="1"/>
  <c r="AU147" i="2" l="1"/>
  <c r="AW147" i="2" s="1"/>
  <c r="AT147" i="2" a="1"/>
  <c r="AS147" i="2"/>
  <c r="AR147" i="2"/>
  <c r="AQ147" i="2"/>
  <c r="AP147" i="2"/>
  <c r="AO147" i="2"/>
  <c r="AN147" i="2"/>
  <c r="AT147" i="2" l="1"/>
  <c r="AL147" i="2"/>
  <c r="AK147" i="2" a="1"/>
  <c r="AJ147" i="2"/>
  <c r="AI147" i="2"/>
  <c r="AH147" i="2"/>
  <c r="AK147" i="2" l="1"/>
  <c r="AG147" i="2" a="1"/>
  <c r="AG147" i="2" l="1"/>
  <c r="AF147" i="2" a="1"/>
  <c r="AF147" i="2" l="1"/>
  <c r="AE147" i="2"/>
  <c r="AD147" i="2" a="1"/>
  <c r="AD147" i="2" l="1"/>
  <c r="AC147" i="2" a="1"/>
  <c r="AC147" i="2" l="1"/>
  <c r="AA147" i="2"/>
  <c r="W147" i="2" a="1"/>
  <c r="W147" i="2" l="1"/>
  <c r="V147" i="2" a="1"/>
  <c r="V147" i="2" l="1"/>
  <c r="N147" i="2" a="1"/>
  <c r="N147" i="2" l="1"/>
  <c r="M147" i="2" a="1"/>
  <c r="M147" i="2" l="1"/>
  <c r="L147" i="2" a="1"/>
  <c r="L147" i="2" l="1"/>
  <c r="K147" i="2" a="1"/>
  <c r="J147" i="2"/>
  <c r="I147" i="2"/>
  <c r="K147" i="2" l="1"/>
  <c r="H147" i="2" a="1"/>
  <c r="F147" i="2"/>
  <c r="E147" i="2"/>
  <c r="Q147" i="2" a="1"/>
  <c r="Q147" i="2" l="1"/>
  <c r="H147" i="2"/>
  <c r="R147" i="2"/>
  <c r="AM147" i="2" l="1"/>
  <c r="AB147" i="2"/>
  <c r="AX146" i="2"/>
  <c r="S147" i="2"/>
  <c r="BC146" i="2" a="1"/>
  <c r="AV146" i="2" a="1"/>
  <c r="AV146" i="2" l="1"/>
  <c r="BC146" i="2"/>
  <c r="Z147" i="2"/>
  <c r="Y147" i="2"/>
  <c r="X147" i="2"/>
  <c r="T147" i="2"/>
  <c r="U147" i="2" s="1"/>
  <c r="AU146" i="2" a="1"/>
  <c r="AU146" i="2" l="1"/>
  <c r="AW146" i="2" s="1"/>
  <c r="AT146" i="2" a="1"/>
  <c r="AS146" i="2"/>
  <c r="AR146" i="2"/>
  <c r="AQ146" i="2"/>
  <c r="AP146" i="2"/>
  <c r="AO146" i="2"/>
  <c r="AN146" i="2"/>
  <c r="AT146" i="2" l="1"/>
  <c r="AL146" i="2"/>
  <c r="AK146" i="2" a="1"/>
  <c r="AJ146" i="2"/>
  <c r="AI146" i="2"/>
  <c r="AH146" i="2"/>
  <c r="AK146" i="2" l="1"/>
  <c r="AG146" i="2" a="1"/>
  <c r="AG146" i="2" l="1"/>
  <c r="AF146" i="2" a="1"/>
  <c r="AF146" i="2" l="1"/>
  <c r="AE146" i="2"/>
  <c r="AD146" i="2" a="1"/>
  <c r="AD146" i="2" l="1"/>
  <c r="AC146" i="2" a="1"/>
  <c r="AC146" i="2" l="1"/>
  <c r="AA146" i="2"/>
  <c r="W146" i="2" a="1"/>
  <c r="W146" i="2" l="1"/>
  <c r="V146" i="2" a="1"/>
  <c r="V146" i="2" l="1"/>
  <c r="N146" i="2" a="1"/>
  <c r="N146" i="2" l="1"/>
  <c r="M146" i="2" a="1"/>
  <c r="M146" i="2" l="1"/>
  <c r="L146" i="2" a="1"/>
  <c r="L146" i="2" l="1"/>
  <c r="K146" i="2" a="1"/>
  <c r="J146" i="2"/>
  <c r="I146" i="2"/>
  <c r="K146" i="2" l="1"/>
  <c r="H146" i="2" a="1"/>
  <c r="F146" i="2"/>
  <c r="E146" i="2"/>
  <c r="Q146" i="2" a="1"/>
  <c r="Q146" i="2" l="1"/>
  <c r="H146" i="2"/>
  <c r="R146" i="2"/>
  <c r="AM146" i="2" l="1"/>
  <c r="AB146" i="2"/>
  <c r="AX145" i="2"/>
  <c r="S146" i="2"/>
  <c r="BC145" i="2" a="1"/>
  <c r="AV145" i="2" a="1"/>
  <c r="AV145" i="2" l="1"/>
  <c r="BC145" i="2"/>
  <c r="Z146" i="2"/>
  <c r="Y146" i="2"/>
  <c r="X146" i="2"/>
  <c r="T146" i="2"/>
  <c r="U146" i="2" s="1"/>
  <c r="AU145" i="2" a="1"/>
  <c r="AU145" i="2" l="1"/>
  <c r="AW145" i="2" s="1"/>
  <c r="AT145" i="2" a="1"/>
  <c r="AS145" i="2"/>
  <c r="AR145" i="2"/>
  <c r="AQ145" i="2"/>
  <c r="AP145" i="2"/>
  <c r="AO145" i="2"/>
  <c r="AN145" i="2"/>
  <c r="AT145" i="2" l="1"/>
  <c r="AL145" i="2"/>
  <c r="AK145" i="2" a="1"/>
  <c r="AJ145" i="2"/>
  <c r="AI145" i="2"/>
  <c r="AH145" i="2"/>
  <c r="AK145" i="2" l="1"/>
  <c r="AG145" i="2" a="1"/>
  <c r="AG145" i="2" l="1"/>
  <c r="AF145" i="2" a="1"/>
  <c r="AF145" i="2" l="1"/>
  <c r="AE145" i="2"/>
  <c r="AD145" i="2" a="1"/>
  <c r="AD145" i="2" l="1"/>
  <c r="AC145" i="2" a="1"/>
  <c r="AC145" i="2" l="1"/>
  <c r="AA145" i="2"/>
  <c r="W145" i="2" a="1"/>
  <c r="W145" i="2" l="1"/>
  <c r="V145" i="2" a="1"/>
  <c r="V145" i="2" l="1"/>
  <c r="N145" i="2" a="1"/>
  <c r="N145" i="2" l="1"/>
  <c r="M145" i="2" a="1"/>
  <c r="M145" i="2" l="1"/>
  <c r="L145" i="2" a="1"/>
  <c r="L145" i="2" l="1"/>
  <c r="K145" i="2" a="1"/>
  <c r="J145" i="2"/>
  <c r="K145" i="2" l="1"/>
  <c r="H145" i="2" a="1"/>
  <c r="F145" i="2"/>
  <c r="E145" i="2"/>
  <c r="Q145" i="2" a="1"/>
  <c r="R145" i="2"/>
  <c r="Q145" i="2" l="1"/>
  <c r="H145" i="2"/>
  <c r="AM145" i="2" l="1"/>
  <c r="AB145" i="2"/>
  <c r="AX144" i="2"/>
  <c r="S145" i="2"/>
  <c r="BC144" i="2" a="1"/>
  <c r="AV144" i="2" a="1"/>
  <c r="AV144" i="2" l="1"/>
  <c r="BC144" i="2"/>
  <c r="Z145" i="2"/>
  <c r="Y145" i="2"/>
  <c r="X145" i="2"/>
  <c r="T145" i="2"/>
  <c r="U145" i="2" s="1"/>
  <c r="AU144" i="2" a="1"/>
  <c r="AU144" i="2" l="1"/>
  <c r="AW144" i="2" s="1"/>
  <c r="AT144" i="2" a="1"/>
  <c r="AS144" i="2"/>
  <c r="AR144" i="2"/>
  <c r="AQ144" i="2"/>
  <c r="AP144" i="2"/>
  <c r="AO144" i="2"/>
  <c r="AN144" i="2"/>
  <c r="AT144" i="2" l="1"/>
  <c r="AL144" i="2"/>
  <c r="AK144" i="2" a="1"/>
  <c r="AJ144" i="2"/>
  <c r="AI144" i="2"/>
  <c r="AH144" i="2"/>
  <c r="AK144" i="2" l="1"/>
  <c r="AG144" i="2" a="1"/>
  <c r="AG144" i="2" l="1"/>
  <c r="AF144" i="2" a="1"/>
  <c r="AF144" i="2" l="1"/>
  <c r="AE144" i="2"/>
  <c r="AD144" i="2" a="1"/>
  <c r="AD144" i="2" l="1"/>
  <c r="AC144" i="2" a="1"/>
  <c r="AC144" i="2" l="1"/>
  <c r="AA144" i="2"/>
  <c r="W144" i="2" a="1"/>
  <c r="W144" i="2" l="1"/>
  <c r="V144" i="2" a="1"/>
  <c r="V144" i="2" l="1"/>
  <c r="N144" i="2" a="1"/>
  <c r="N144" i="2" l="1"/>
  <c r="M144" i="2" a="1"/>
  <c r="M144" i="2" l="1"/>
  <c r="L144" i="2" a="1"/>
  <c r="L144" i="2" l="1"/>
  <c r="K144" i="2" a="1"/>
  <c r="J144" i="2"/>
  <c r="I144" i="2"/>
  <c r="K144" i="2" l="1"/>
  <c r="H144" i="2" a="1"/>
  <c r="F144" i="2"/>
  <c r="E144" i="2"/>
  <c r="Q144" i="2" a="1"/>
  <c r="R144" i="2"/>
  <c r="Q144" i="2" l="1"/>
  <c r="H144" i="2"/>
  <c r="AM144" i="2" l="1"/>
  <c r="AB144" i="2"/>
  <c r="AX143" i="2"/>
  <c r="S144" i="2"/>
  <c r="BC143" i="2" a="1"/>
  <c r="AV143" i="2" a="1"/>
  <c r="AV143" i="2" l="1"/>
  <c r="BC143" i="2"/>
  <c r="Z144" i="2"/>
  <c r="Y144" i="2"/>
  <c r="X144" i="2"/>
  <c r="T144" i="2"/>
  <c r="U144" i="2" s="1"/>
  <c r="AU143" i="2" a="1"/>
  <c r="AU143" i="2" l="1"/>
  <c r="AW143" i="2" s="1"/>
  <c r="AT143" i="2" a="1"/>
  <c r="AS143" i="2"/>
  <c r="AR143" i="2"/>
  <c r="AQ143" i="2"/>
  <c r="AP143" i="2"/>
  <c r="AO143" i="2"/>
  <c r="AN143" i="2"/>
  <c r="AT143" i="2" l="1"/>
  <c r="AL143" i="2"/>
  <c r="AK143" i="2" a="1"/>
  <c r="AJ143" i="2"/>
  <c r="AI143" i="2"/>
  <c r="AH143" i="2"/>
  <c r="AK143" i="2" l="1"/>
  <c r="AG143" i="2" a="1"/>
  <c r="AG143" i="2" l="1"/>
  <c r="AF143" i="2" a="1"/>
  <c r="AF143" i="2" l="1"/>
  <c r="AE143" i="2"/>
  <c r="AD143" i="2" a="1"/>
  <c r="AD143" i="2" l="1"/>
  <c r="AC143" i="2" a="1"/>
  <c r="AC143" i="2" l="1"/>
  <c r="AA143" i="2"/>
  <c r="W143" i="2" a="1"/>
  <c r="W143" i="2" l="1"/>
  <c r="V143" i="2" a="1"/>
  <c r="V143" i="2" l="1"/>
  <c r="N143" i="2" a="1"/>
  <c r="N143" i="2" l="1"/>
  <c r="M143" i="2" a="1"/>
  <c r="M143" i="2" l="1"/>
  <c r="L143" i="2" a="1"/>
  <c r="L143" i="2" l="1"/>
  <c r="K143" i="2" a="1"/>
  <c r="J143" i="2"/>
  <c r="I143" i="2"/>
  <c r="K143" i="2" l="1"/>
  <c r="H143" i="2" a="1"/>
  <c r="F143" i="2"/>
  <c r="E143" i="2"/>
  <c r="Q143" i="2" a="1"/>
  <c r="R143" i="2"/>
  <c r="Q143" i="2" l="1"/>
  <c r="H143" i="2"/>
  <c r="AM143" i="2" l="1"/>
  <c r="AB143" i="2"/>
  <c r="AX142" i="2"/>
  <c r="S143" i="2"/>
  <c r="BC142" i="2" a="1"/>
  <c r="AV142" i="2" a="1"/>
  <c r="AV142" i="2" l="1"/>
  <c r="BC142" i="2"/>
  <c r="Z143" i="2"/>
  <c r="Y143" i="2"/>
  <c r="X143" i="2"/>
  <c r="T143" i="2"/>
  <c r="U143" i="2" s="1"/>
  <c r="AU142" i="2" a="1"/>
  <c r="AU142" i="2" l="1"/>
  <c r="AW142" i="2" s="1"/>
  <c r="AT142" i="2" a="1"/>
  <c r="AS142" i="2"/>
  <c r="AR142" i="2"/>
  <c r="AQ142" i="2"/>
  <c r="AP142" i="2"/>
  <c r="AO142" i="2"/>
  <c r="AN142" i="2"/>
  <c r="AT142" i="2" l="1"/>
  <c r="AL142" i="2"/>
  <c r="AK142" i="2" a="1"/>
  <c r="AJ142" i="2"/>
  <c r="AI142" i="2"/>
  <c r="AH142" i="2"/>
  <c r="AK142" i="2" l="1"/>
  <c r="AG142" i="2" a="1"/>
  <c r="AG142" i="2" l="1"/>
  <c r="AF142" i="2" a="1"/>
  <c r="AF142" i="2" l="1"/>
  <c r="AE142" i="2"/>
  <c r="AD142" i="2" a="1"/>
  <c r="AD142" i="2" l="1"/>
  <c r="AC142" i="2" a="1"/>
  <c r="AC142" i="2" l="1"/>
  <c r="AA142" i="2"/>
  <c r="W142" i="2" a="1"/>
  <c r="W142" i="2" l="1"/>
  <c r="V142" i="2" a="1"/>
  <c r="V142" i="2" l="1"/>
  <c r="N142" i="2" a="1"/>
  <c r="N142" i="2" l="1"/>
  <c r="M142" i="2" a="1"/>
  <c r="M142" i="2" l="1"/>
  <c r="L142" i="2" a="1"/>
  <c r="L142" i="2" l="1"/>
  <c r="K142" i="2" a="1"/>
  <c r="J142" i="2"/>
  <c r="I142" i="2"/>
  <c r="K142" i="2" l="1"/>
  <c r="H142" i="2" a="1"/>
  <c r="F142" i="2"/>
  <c r="E142" i="2"/>
  <c r="Q142" i="2" a="1"/>
  <c r="R142" i="2"/>
  <c r="Q142" i="2" l="1"/>
  <c r="H142" i="2"/>
  <c r="AM142" i="2" l="1"/>
  <c r="AB142" i="2"/>
  <c r="AX141" i="2"/>
  <c r="S142" i="2"/>
  <c r="BC141" i="2" a="1"/>
  <c r="AV141" i="2" a="1"/>
  <c r="AV141" i="2" l="1"/>
  <c r="BC141" i="2"/>
  <c r="Z142" i="2"/>
  <c r="Y142" i="2"/>
  <c r="X142" i="2"/>
  <c r="T142" i="2"/>
  <c r="U142" i="2" s="1"/>
  <c r="AU141" i="2" a="1"/>
  <c r="AU141" i="2" l="1"/>
  <c r="AW141" i="2" s="1"/>
  <c r="AT141" i="2" a="1"/>
  <c r="AS141" i="2"/>
  <c r="AR141" i="2"/>
  <c r="AQ141" i="2"/>
  <c r="AP141" i="2"/>
  <c r="AO141" i="2"/>
  <c r="AN141" i="2"/>
  <c r="AT141" i="2" l="1"/>
  <c r="AL141" i="2"/>
  <c r="AK141" i="2" a="1"/>
  <c r="AJ141" i="2"/>
  <c r="AI141" i="2"/>
  <c r="AH141" i="2"/>
  <c r="AK141" i="2" l="1"/>
  <c r="AG141" i="2" a="1"/>
  <c r="AG141" i="2" l="1"/>
  <c r="AF141" i="2" a="1"/>
  <c r="AF141" i="2" l="1"/>
  <c r="AE141" i="2"/>
  <c r="AD141" i="2" a="1"/>
  <c r="AD141" i="2" l="1"/>
  <c r="AC141" i="2" a="1"/>
  <c r="AC141" i="2" l="1"/>
  <c r="AA141" i="2"/>
  <c r="W141" i="2" a="1"/>
  <c r="W141" i="2" l="1"/>
  <c r="V141" i="2" a="1"/>
  <c r="V141" i="2" l="1"/>
  <c r="N141" i="2" a="1"/>
  <c r="N141" i="2" l="1"/>
  <c r="M141" i="2" a="1"/>
  <c r="M141" i="2" l="1"/>
  <c r="L141" i="2" a="1"/>
  <c r="L141" i="2" l="1"/>
  <c r="K141" i="2" a="1"/>
  <c r="J141" i="2"/>
  <c r="I141" i="2"/>
  <c r="K141" i="2" l="1"/>
  <c r="H141" i="2" a="1"/>
  <c r="F141" i="2"/>
  <c r="E141" i="2"/>
  <c r="Q141" i="2" a="1"/>
  <c r="Q141" i="2" l="1"/>
  <c r="H141" i="2"/>
  <c r="R141" i="2"/>
  <c r="AM141" i="2" l="1"/>
  <c r="AB141" i="2"/>
  <c r="AX140" i="2"/>
  <c r="S141" i="2"/>
  <c r="BC140" i="2" a="1"/>
  <c r="AV140" i="2" a="1"/>
  <c r="AV140" i="2" l="1"/>
  <c r="BC140" i="2"/>
  <c r="Z141" i="2"/>
  <c r="Y141" i="2"/>
  <c r="X141" i="2"/>
  <c r="T141" i="2"/>
  <c r="U141" i="2" s="1"/>
  <c r="AU140" i="2" a="1"/>
  <c r="AU140" i="2" l="1"/>
  <c r="AW140" i="2" s="1"/>
  <c r="AT140" i="2" a="1"/>
  <c r="AS140" i="2"/>
  <c r="AR140" i="2"/>
  <c r="AQ140" i="2"/>
  <c r="AP140" i="2"/>
  <c r="AO140" i="2"/>
  <c r="AN140" i="2"/>
  <c r="AT140" i="2" l="1"/>
  <c r="AL140" i="2"/>
  <c r="AK140" i="2" a="1"/>
  <c r="AJ140" i="2"/>
  <c r="AI140" i="2"/>
  <c r="AH140" i="2"/>
  <c r="AK140" i="2" l="1"/>
  <c r="AG140" i="2" a="1"/>
  <c r="AG140" i="2" l="1"/>
  <c r="AF140" i="2" a="1"/>
  <c r="AF140" i="2" l="1"/>
  <c r="AE140" i="2"/>
  <c r="AD140" i="2" a="1"/>
  <c r="AD140" i="2" l="1"/>
  <c r="AC140" i="2" a="1"/>
  <c r="AC140" i="2" l="1"/>
  <c r="AA140" i="2"/>
  <c r="W140" i="2" a="1"/>
  <c r="W140" i="2" l="1"/>
  <c r="V140" i="2" a="1"/>
  <c r="V140" i="2" l="1"/>
  <c r="N140" i="2" a="1"/>
  <c r="N140" i="2" l="1"/>
  <c r="M140" i="2" a="1"/>
  <c r="M140" i="2" l="1"/>
  <c r="L140" i="2" a="1"/>
  <c r="L140" i="2" l="1"/>
  <c r="K140" i="2" a="1"/>
  <c r="J140" i="2"/>
  <c r="K140" i="2" l="1"/>
  <c r="H140" i="2" a="1"/>
  <c r="F140" i="2"/>
  <c r="E140" i="2"/>
  <c r="Q140" i="2" a="1"/>
  <c r="Q140" i="2" l="1"/>
  <c r="H140" i="2"/>
  <c r="R140" i="2"/>
  <c r="AM140" i="2" l="1"/>
  <c r="AB140" i="2"/>
  <c r="AX139" i="2"/>
  <c r="S140" i="2"/>
  <c r="BC139" i="2" a="1"/>
  <c r="AV139" i="2" a="1"/>
  <c r="AV139" i="2" l="1"/>
  <c r="BC139" i="2"/>
  <c r="Z140" i="2"/>
  <c r="X140" i="2"/>
  <c r="Y140" i="2"/>
  <c r="T140" i="2"/>
  <c r="U140" i="2" s="1"/>
  <c r="AU139" i="2" a="1"/>
  <c r="AU139" i="2" l="1"/>
  <c r="AW139" i="2" s="1"/>
  <c r="AT139" i="2" a="1"/>
  <c r="AS139" i="2"/>
  <c r="AR139" i="2"/>
  <c r="AQ139" i="2"/>
  <c r="AP139" i="2"/>
  <c r="AO139" i="2"/>
  <c r="AN139" i="2"/>
  <c r="AT139" i="2" l="1"/>
  <c r="AL139" i="2"/>
  <c r="AK139" i="2" a="1"/>
  <c r="AJ139" i="2"/>
  <c r="AI139" i="2"/>
  <c r="AH139" i="2"/>
  <c r="AK139" i="2" l="1"/>
  <c r="AG139" i="2" a="1"/>
  <c r="AG139" i="2" l="1"/>
  <c r="AF139" i="2" a="1"/>
  <c r="AF139" i="2" l="1"/>
  <c r="AE139" i="2"/>
  <c r="AD139" i="2" a="1"/>
  <c r="AD139" i="2" l="1"/>
  <c r="AC139" i="2" a="1"/>
  <c r="AC139" i="2" l="1"/>
  <c r="AA139" i="2"/>
  <c r="W139" i="2" a="1"/>
  <c r="W139" i="2" l="1"/>
  <c r="V139" i="2" a="1"/>
  <c r="V139" i="2" l="1"/>
  <c r="N139" i="2" a="1"/>
  <c r="N139" i="2" l="1"/>
  <c r="M139" i="2" a="1"/>
  <c r="M139" i="2" l="1"/>
  <c r="L139" i="2" a="1"/>
  <c r="L139" i="2" l="1"/>
  <c r="K139" i="2" a="1"/>
  <c r="J139" i="2"/>
  <c r="I139" i="2"/>
  <c r="K139" i="2" l="1"/>
  <c r="H139" i="2" a="1"/>
  <c r="F139" i="2"/>
  <c r="E139" i="2"/>
  <c r="Q139" i="2" a="1"/>
  <c r="Q139" i="2" l="1"/>
  <c r="H139" i="2"/>
  <c r="R139" i="2"/>
  <c r="AM139" i="2" l="1"/>
  <c r="AB139" i="2"/>
  <c r="AX138" i="2"/>
  <c r="S139" i="2"/>
  <c r="BC138" i="2" a="1"/>
  <c r="AV138" i="2" a="1"/>
  <c r="AV138" i="2" l="1"/>
  <c r="BC138" i="2"/>
  <c r="Z139" i="2"/>
  <c r="Y139" i="2"/>
  <c r="X139" i="2"/>
  <c r="T139" i="2"/>
  <c r="U139" i="2" s="1"/>
  <c r="AU138" i="2" a="1"/>
  <c r="AU138" i="2" l="1"/>
  <c r="AW138" i="2" s="1"/>
  <c r="AT138" i="2" a="1"/>
  <c r="AS138" i="2"/>
  <c r="AR138" i="2"/>
  <c r="AQ138" i="2"/>
  <c r="AP138" i="2"/>
  <c r="AO138" i="2"/>
  <c r="AN138" i="2"/>
  <c r="AT138" i="2" l="1"/>
  <c r="AL138" i="2"/>
  <c r="AK138" i="2" a="1"/>
  <c r="AJ138" i="2"/>
  <c r="AI138" i="2"/>
  <c r="AH138" i="2"/>
  <c r="AK138" i="2" l="1"/>
  <c r="AG138" i="2" a="1"/>
  <c r="AG138" i="2" l="1"/>
  <c r="AF138" i="2" a="1"/>
  <c r="AF138" i="2" l="1"/>
  <c r="AE138" i="2"/>
  <c r="AD138" i="2" a="1"/>
  <c r="AD138" i="2" l="1"/>
  <c r="AC138" i="2" a="1"/>
  <c r="AC138" i="2" l="1"/>
  <c r="AA138" i="2"/>
  <c r="W138" i="2" a="1"/>
  <c r="W138" i="2" l="1"/>
  <c r="V138" i="2" a="1"/>
  <c r="V138" i="2" l="1"/>
  <c r="N138" i="2" a="1"/>
  <c r="N138" i="2" l="1"/>
  <c r="M138" i="2" a="1"/>
  <c r="M138" i="2" l="1"/>
  <c r="L138" i="2" a="1"/>
  <c r="L138" i="2" l="1"/>
  <c r="K138" i="2" a="1"/>
  <c r="J138" i="2"/>
  <c r="I138" i="2"/>
  <c r="K138" i="2" l="1"/>
  <c r="H138" i="2" a="1"/>
  <c r="F138" i="2"/>
  <c r="E138" i="2"/>
  <c r="Q138" i="2" a="1"/>
  <c r="Q138" i="2" l="1"/>
  <c r="H138" i="2"/>
  <c r="R138" i="2"/>
  <c r="AM138" i="2" l="1"/>
  <c r="AB138" i="2"/>
  <c r="AX137" i="2"/>
  <c r="S138" i="2"/>
  <c r="BC137" i="2" a="1"/>
  <c r="AV137" i="2" a="1"/>
  <c r="AV137" i="2" l="1"/>
  <c r="BC137" i="2"/>
  <c r="Z138" i="2"/>
  <c r="Y138" i="2"/>
  <c r="X138" i="2"/>
  <c r="T138" i="2"/>
  <c r="U138" i="2" s="1"/>
  <c r="AU137" i="2" a="1"/>
  <c r="AU137" i="2" l="1"/>
  <c r="AW137" i="2" s="1"/>
  <c r="AT137" i="2" a="1"/>
  <c r="AS137" i="2"/>
  <c r="AR137" i="2"/>
  <c r="AQ137" i="2"/>
  <c r="AP137" i="2"/>
  <c r="AO137" i="2"/>
  <c r="AN137" i="2"/>
  <c r="AT137" i="2" l="1"/>
  <c r="AL137" i="2"/>
  <c r="AK137" i="2" a="1"/>
  <c r="AJ137" i="2"/>
  <c r="AI137" i="2"/>
  <c r="AH137" i="2"/>
  <c r="AK137" i="2" l="1"/>
  <c r="AG137" i="2" a="1"/>
  <c r="AG137" i="2" l="1"/>
  <c r="AF137" i="2" a="1"/>
  <c r="AF137" i="2" l="1"/>
  <c r="AE137" i="2"/>
  <c r="AD137" i="2" a="1"/>
  <c r="AD137" i="2" l="1"/>
  <c r="AC137" i="2" a="1"/>
  <c r="AC137" i="2" l="1"/>
  <c r="AA137" i="2"/>
  <c r="W137" i="2" a="1"/>
  <c r="W137" i="2" l="1"/>
  <c r="V137" i="2" a="1"/>
  <c r="V137" i="2" l="1"/>
  <c r="N137" i="2" a="1"/>
  <c r="N137" i="2" l="1"/>
  <c r="M137" i="2" a="1"/>
  <c r="M137" i="2" l="1"/>
  <c r="L137" i="2" a="1"/>
  <c r="L137" i="2" l="1"/>
  <c r="K137" i="2" a="1"/>
  <c r="J137" i="2"/>
  <c r="I137" i="2"/>
  <c r="K137" i="2" l="1"/>
  <c r="H137" i="2" a="1"/>
  <c r="F137" i="2"/>
  <c r="E137" i="2"/>
  <c r="Q137" i="2" a="1"/>
  <c r="Q137" i="2" l="1"/>
  <c r="H137" i="2"/>
  <c r="R137" i="2"/>
  <c r="AM137" i="2" l="1"/>
  <c r="AB137" i="2"/>
  <c r="AX136" i="2"/>
  <c r="S137" i="2"/>
  <c r="BC136" i="2" a="1"/>
  <c r="AV136" i="2" a="1"/>
  <c r="AV136" i="2" l="1"/>
  <c r="BC136" i="2"/>
  <c r="Z137" i="2"/>
  <c r="Y137" i="2"/>
  <c r="X137" i="2"/>
  <c r="T137" i="2"/>
  <c r="U137" i="2" s="1"/>
  <c r="AU136" i="2" a="1"/>
  <c r="AU136" i="2" l="1"/>
  <c r="AW136" i="2" s="1"/>
  <c r="AT136" i="2" a="1"/>
  <c r="AS136" i="2"/>
  <c r="AR136" i="2"/>
  <c r="AQ136" i="2"/>
  <c r="AP136" i="2"/>
  <c r="AO136" i="2"/>
  <c r="AN136" i="2"/>
  <c r="AT136" i="2" l="1"/>
  <c r="AL136" i="2"/>
  <c r="AK136" i="2" a="1"/>
  <c r="AJ136" i="2"/>
  <c r="AI136" i="2"/>
  <c r="AH136" i="2"/>
  <c r="AK136" i="2" l="1"/>
  <c r="AG136" i="2" a="1"/>
  <c r="AG136" i="2" l="1"/>
  <c r="AF136" i="2" a="1"/>
  <c r="AF136" i="2" l="1"/>
  <c r="AE136" i="2"/>
  <c r="AD136" i="2" a="1"/>
  <c r="AD136" i="2" l="1"/>
  <c r="AC136" i="2" a="1"/>
  <c r="AC136" i="2" l="1"/>
  <c r="AA136" i="2"/>
  <c r="W136" i="2" a="1"/>
  <c r="W136" i="2" l="1"/>
  <c r="V136" i="2" a="1"/>
  <c r="V136" i="2" l="1"/>
  <c r="N136" i="2" a="1"/>
  <c r="N136" i="2" l="1"/>
  <c r="M136" i="2" a="1"/>
  <c r="M136" i="2" l="1"/>
  <c r="L136" i="2" a="1"/>
  <c r="L136" i="2" l="1"/>
  <c r="K136" i="2" a="1"/>
  <c r="J136" i="2"/>
  <c r="I136" i="2"/>
  <c r="K136" i="2" l="1"/>
  <c r="H136" i="2" a="1"/>
  <c r="F136" i="2"/>
  <c r="E136" i="2"/>
  <c r="Q136" i="2" a="1"/>
  <c r="Q136" i="2" l="1"/>
  <c r="H136" i="2"/>
  <c r="R136" i="2"/>
  <c r="AM136" i="2" l="1"/>
  <c r="AB136" i="2"/>
  <c r="AX135" i="2"/>
  <c r="S136" i="2"/>
  <c r="BC135" i="2" a="1"/>
  <c r="AV135" i="2" a="1"/>
  <c r="AV135" i="2" l="1"/>
  <c r="BC135" i="2"/>
  <c r="Z136" i="2"/>
  <c r="Y136" i="2"/>
  <c r="X136" i="2"/>
  <c r="T136" i="2"/>
  <c r="U136" i="2" s="1"/>
  <c r="AU135" i="2" a="1"/>
  <c r="AU135" i="2" l="1"/>
  <c r="AW135" i="2" s="1"/>
  <c r="AT135" i="2" a="1"/>
  <c r="AS135" i="2"/>
  <c r="AR135" i="2"/>
  <c r="AQ135" i="2"/>
  <c r="AP135" i="2"/>
  <c r="AO135" i="2"/>
  <c r="AN135" i="2"/>
  <c r="AT135" i="2" l="1"/>
  <c r="AL135" i="2"/>
  <c r="AK135" i="2" a="1"/>
  <c r="AJ135" i="2"/>
  <c r="AI135" i="2"/>
  <c r="AH135" i="2"/>
  <c r="AK135" i="2" l="1"/>
  <c r="AG135" i="2" a="1"/>
  <c r="AG135" i="2" l="1"/>
  <c r="AF135" i="2" a="1"/>
  <c r="AF135" i="2" l="1"/>
  <c r="AE135" i="2"/>
  <c r="AD135" i="2" a="1"/>
  <c r="AD135" i="2" l="1"/>
  <c r="AC135" i="2" a="1"/>
  <c r="AC135" i="2" l="1"/>
  <c r="AA135" i="2"/>
  <c r="W135" i="2" a="1"/>
  <c r="W135" i="2" l="1"/>
  <c r="V135" i="2" a="1"/>
  <c r="V135" i="2" l="1"/>
  <c r="N135" i="2" a="1"/>
  <c r="N135" i="2" l="1"/>
  <c r="M135" i="2" a="1"/>
  <c r="M135" i="2" l="1"/>
  <c r="L135" i="2" a="1"/>
  <c r="L135" i="2" l="1"/>
  <c r="K135" i="2" a="1"/>
  <c r="J135" i="2"/>
  <c r="I135" i="2"/>
  <c r="K135" i="2" l="1"/>
  <c r="H135" i="2" a="1"/>
  <c r="F135" i="2"/>
  <c r="E135" i="2"/>
  <c r="Q135" i="2" a="1"/>
  <c r="Q135" i="2" l="1"/>
  <c r="H135" i="2"/>
  <c r="R135" i="2"/>
  <c r="AM135" i="2" l="1"/>
  <c r="AB135" i="2"/>
  <c r="AX134" i="2"/>
  <c r="S135" i="2"/>
  <c r="BC134" i="2" a="1"/>
  <c r="AV134" i="2" a="1"/>
  <c r="AV134" i="2" l="1"/>
  <c r="BC134" i="2"/>
  <c r="Z135" i="2"/>
  <c r="Y135" i="2"/>
  <c r="X135" i="2"/>
  <c r="T135" i="2"/>
  <c r="U135" i="2" s="1"/>
  <c r="AU134" i="2" a="1"/>
  <c r="AU134" i="2" l="1"/>
  <c r="AW134" i="2" s="1"/>
  <c r="AT134" i="2" a="1"/>
  <c r="AS134" i="2"/>
  <c r="AR134" i="2"/>
  <c r="AQ134" i="2"/>
  <c r="AP134" i="2"/>
  <c r="AO134" i="2"/>
  <c r="AN134" i="2"/>
  <c r="AT134" i="2" l="1"/>
  <c r="AL134" i="2"/>
  <c r="AK134" i="2" a="1"/>
  <c r="AJ134" i="2"/>
  <c r="AI134" i="2"/>
  <c r="AH134" i="2"/>
  <c r="AK134" i="2" l="1"/>
  <c r="AG134" i="2" a="1"/>
  <c r="AG134" i="2" l="1"/>
  <c r="AF134" i="2" a="1"/>
  <c r="AF134" i="2" l="1"/>
  <c r="AE134" i="2"/>
  <c r="AD134" i="2" a="1"/>
  <c r="AD134" i="2" l="1"/>
  <c r="AC134" i="2" a="1"/>
  <c r="AC134" i="2" l="1"/>
  <c r="AA134" i="2"/>
  <c r="W134" i="2" a="1"/>
  <c r="W134" i="2" l="1"/>
  <c r="V134" i="2" a="1"/>
  <c r="V134" i="2" l="1"/>
  <c r="N134" i="2" a="1"/>
  <c r="N134" i="2" l="1"/>
  <c r="M134" i="2" a="1"/>
  <c r="M134" i="2" l="1"/>
  <c r="L134" i="2" a="1"/>
  <c r="L134" i="2" l="1"/>
  <c r="K134" i="2" a="1"/>
  <c r="J134" i="2"/>
  <c r="I134" i="2"/>
  <c r="K134" i="2" l="1"/>
  <c r="H134" i="2" a="1"/>
  <c r="F134" i="2"/>
  <c r="E134" i="2"/>
  <c r="Q134" i="2" a="1"/>
  <c r="Q134" i="2" l="1"/>
  <c r="H134" i="2"/>
  <c r="R134" i="2"/>
  <c r="AM134" i="2" l="1"/>
  <c r="AB134" i="2"/>
  <c r="AX133" i="2"/>
  <c r="S134" i="2"/>
  <c r="BC133" i="2" a="1"/>
  <c r="AV133" i="2" a="1"/>
  <c r="AV133" i="2" l="1"/>
  <c r="BC133" i="2"/>
  <c r="Z134" i="2"/>
  <c r="Y134" i="2"/>
  <c r="X134" i="2"/>
  <c r="T134" i="2"/>
  <c r="U134" i="2" s="1"/>
  <c r="AU133" i="2" a="1"/>
  <c r="AU133" i="2" l="1"/>
  <c r="AW133" i="2" s="1"/>
  <c r="AT133" i="2" a="1"/>
  <c r="AS133" i="2"/>
  <c r="AR133" i="2"/>
  <c r="AQ133" i="2"/>
  <c r="AP133" i="2"/>
  <c r="AO133" i="2"/>
  <c r="AN133" i="2"/>
  <c r="AT133" i="2" l="1"/>
  <c r="AL133" i="2"/>
  <c r="AK133" i="2" a="1"/>
  <c r="AJ133" i="2"/>
  <c r="AI133" i="2"/>
  <c r="AH133" i="2"/>
  <c r="AK133" i="2" l="1"/>
  <c r="AG133" i="2" a="1"/>
  <c r="AG133" i="2" l="1"/>
  <c r="AF133" i="2" a="1"/>
  <c r="AF133" i="2" l="1"/>
  <c r="AE133" i="2"/>
  <c r="AD133" i="2" a="1"/>
  <c r="AD133" i="2" l="1"/>
  <c r="AC133" i="2" a="1"/>
  <c r="AC133" i="2" l="1"/>
  <c r="AA133" i="2"/>
  <c r="W133" i="2" a="1"/>
  <c r="W133" i="2" l="1"/>
  <c r="V133" i="2" a="1"/>
  <c r="V133" i="2" l="1"/>
  <c r="N133" i="2" a="1"/>
  <c r="N133" i="2" l="1"/>
  <c r="M133" i="2" a="1"/>
  <c r="M133" i="2" l="1"/>
  <c r="L133" i="2" a="1"/>
  <c r="L133" i="2" l="1"/>
  <c r="K133" i="2" a="1"/>
  <c r="J133" i="2"/>
  <c r="I133" i="2"/>
  <c r="K133" i="2" l="1"/>
  <c r="H133" i="2" a="1"/>
  <c r="F133" i="2"/>
  <c r="E133" i="2"/>
  <c r="Q133" i="2" a="1"/>
  <c r="Q133" i="2" l="1"/>
  <c r="H133" i="2"/>
  <c r="R133" i="2"/>
  <c r="AM133" i="2" l="1"/>
  <c r="AB133" i="2"/>
  <c r="AX132" i="2"/>
  <c r="S133" i="2"/>
  <c r="BC132" i="2" a="1"/>
  <c r="AV132" i="2" a="1"/>
  <c r="AV132" i="2" l="1"/>
  <c r="BC132" i="2"/>
  <c r="Y133" i="2"/>
  <c r="X133" i="2"/>
  <c r="Z133" i="2"/>
  <c r="T133" i="2"/>
  <c r="U133" i="2" s="1"/>
  <c r="AU132" i="2" a="1"/>
  <c r="AU132" i="2" l="1"/>
  <c r="AW132" i="2" s="1"/>
  <c r="AT132" i="2" a="1"/>
  <c r="AS132" i="2"/>
  <c r="AR132" i="2"/>
  <c r="AQ132" i="2"/>
  <c r="AP132" i="2"/>
  <c r="AO132" i="2"/>
  <c r="AN132" i="2"/>
  <c r="AT132" i="2" l="1"/>
  <c r="AL132" i="2"/>
  <c r="AK132" i="2" a="1"/>
  <c r="AJ132" i="2"/>
  <c r="AI132" i="2"/>
  <c r="AH132" i="2"/>
  <c r="AK132" i="2" l="1"/>
  <c r="AG132" i="2" a="1"/>
  <c r="AG132" i="2" l="1"/>
  <c r="AF132" i="2" a="1"/>
  <c r="AF132" i="2" l="1"/>
  <c r="AE132" i="2"/>
  <c r="AD132" i="2" a="1"/>
  <c r="AD132" i="2" l="1"/>
  <c r="AC132" i="2" a="1"/>
  <c r="AC132" i="2" l="1"/>
  <c r="AA132" i="2"/>
  <c r="W132" i="2" a="1"/>
  <c r="W132" i="2" l="1"/>
  <c r="V132" i="2" a="1"/>
  <c r="V132" i="2" l="1"/>
  <c r="N132" i="2" a="1"/>
  <c r="N132" i="2" l="1"/>
  <c r="M132" i="2" a="1"/>
  <c r="M132" i="2" l="1"/>
  <c r="L132" i="2" a="1"/>
  <c r="L132" i="2" l="1"/>
  <c r="K132" i="2" a="1"/>
  <c r="J132" i="2"/>
  <c r="I132" i="2"/>
  <c r="K132" i="2" l="1"/>
  <c r="H132" i="2" a="1"/>
  <c r="F132" i="2"/>
  <c r="E132" i="2"/>
  <c r="Q132" i="2" a="1"/>
  <c r="Q132" i="2" l="1"/>
  <c r="H132" i="2"/>
  <c r="R132" i="2"/>
  <c r="AM132" i="2" l="1"/>
  <c r="AB132" i="2"/>
  <c r="AX131" i="2"/>
  <c r="S132" i="2"/>
  <c r="BC131" i="2" a="1"/>
  <c r="AV131" i="2" a="1"/>
  <c r="AV131" i="2" l="1"/>
  <c r="BC131" i="2"/>
  <c r="Z132" i="2"/>
  <c r="Y132" i="2"/>
  <c r="X132" i="2"/>
  <c r="T132" i="2"/>
  <c r="U132" i="2" s="1"/>
  <c r="AU131" i="2" a="1"/>
  <c r="AU131" i="2" l="1"/>
  <c r="AW131" i="2" s="1"/>
  <c r="AT131" i="2" a="1"/>
  <c r="AS131" i="2"/>
  <c r="AR131" i="2"/>
  <c r="AQ131" i="2"/>
  <c r="AP131" i="2"/>
  <c r="AO131" i="2"/>
  <c r="AN131" i="2"/>
  <c r="AT131" i="2" l="1"/>
  <c r="AL131" i="2"/>
  <c r="AK131" i="2" a="1"/>
  <c r="AJ131" i="2"/>
  <c r="AI131" i="2"/>
  <c r="AH131" i="2"/>
  <c r="AK131" i="2" l="1"/>
  <c r="AG131" i="2" a="1"/>
  <c r="AG131" i="2" l="1"/>
  <c r="AF131" i="2" a="1"/>
  <c r="AF131" i="2" l="1"/>
  <c r="AE131" i="2"/>
  <c r="AD131" i="2" a="1"/>
  <c r="AD131" i="2" l="1"/>
  <c r="AC131" i="2" a="1"/>
  <c r="AC131" i="2" l="1"/>
  <c r="AA131" i="2"/>
  <c r="W131" i="2" a="1"/>
  <c r="W131" i="2" l="1"/>
  <c r="V131" i="2" a="1"/>
  <c r="V131" i="2" l="1"/>
  <c r="N131" i="2" a="1"/>
  <c r="N131" i="2" l="1"/>
  <c r="M131" i="2" a="1"/>
  <c r="M131" i="2" l="1"/>
  <c r="L131" i="2" a="1"/>
  <c r="L131" i="2" l="1"/>
  <c r="K131" i="2" a="1"/>
  <c r="J131" i="2"/>
  <c r="I131" i="2"/>
  <c r="K131" i="2" l="1"/>
  <c r="H131" i="2" a="1"/>
  <c r="F131" i="2"/>
  <c r="E131" i="2"/>
  <c r="Q131" i="2" a="1"/>
  <c r="Q131" i="2" l="1"/>
  <c r="H131" i="2"/>
  <c r="R131" i="2"/>
  <c r="AM131" i="2" l="1"/>
  <c r="AB131" i="2"/>
  <c r="AX130" i="2"/>
  <c r="S131" i="2"/>
  <c r="BC130" i="2" a="1"/>
  <c r="AV130" i="2" a="1"/>
  <c r="AV130" i="2" l="1"/>
  <c r="BC130" i="2"/>
  <c r="Z131" i="2"/>
  <c r="Y131" i="2"/>
  <c r="X131" i="2"/>
  <c r="T131" i="2"/>
  <c r="U131" i="2" s="1"/>
  <c r="AU130" i="2" a="1"/>
  <c r="AU130" i="2" l="1"/>
  <c r="AW130" i="2" s="1"/>
  <c r="AT130" i="2" a="1"/>
  <c r="AS130" i="2"/>
  <c r="AR130" i="2"/>
  <c r="AQ130" i="2"/>
  <c r="AP130" i="2"/>
  <c r="AO130" i="2"/>
  <c r="AN130" i="2"/>
  <c r="AT130" i="2" l="1"/>
  <c r="AL130" i="2"/>
  <c r="AK130" i="2" a="1"/>
  <c r="AJ130" i="2"/>
  <c r="AI130" i="2"/>
  <c r="AH130" i="2"/>
  <c r="AK130" i="2" l="1"/>
  <c r="AG130" i="2" a="1"/>
  <c r="AG130" i="2" l="1"/>
  <c r="AF130" i="2" a="1"/>
  <c r="AF130" i="2" l="1"/>
  <c r="AE130" i="2"/>
  <c r="AD130" i="2" a="1"/>
  <c r="AD130" i="2" l="1"/>
  <c r="AC130" i="2" a="1"/>
  <c r="AC130" i="2" l="1"/>
  <c r="AA130" i="2"/>
  <c r="W130" i="2" a="1"/>
  <c r="W130" i="2" l="1"/>
  <c r="V130" i="2" a="1"/>
  <c r="V130" i="2" l="1"/>
  <c r="N130" i="2" a="1"/>
  <c r="N130" i="2" l="1"/>
  <c r="M130" i="2" a="1"/>
  <c r="M130" i="2" l="1"/>
  <c r="L130" i="2" a="1"/>
  <c r="L130" i="2" l="1"/>
  <c r="K130" i="2" a="1"/>
  <c r="J130" i="2"/>
  <c r="I130" i="2"/>
  <c r="K130" i="2" l="1"/>
  <c r="H130" i="2" a="1"/>
  <c r="F130" i="2"/>
  <c r="E130" i="2"/>
  <c r="Q130" i="2" a="1"/>
  <c r="Q130" i="2" l="1"/>
  <c r="H130" i="2"/>
  <c r="R130" i="2"/>
  <c r="AM130" i="2" l="1"/>
  <c r="AB130" i="2"/>
  <c r="AX129" i="2"/>
  <c r="S130" i="2"/>
  <c r="BC129" i="2" a="1"/>
  <c r="AV129" i="2" a="1"/>
  <c r="AV129" i="2" l="1"/>
  <c r="BC129" i="2"/>
  <c r="Z130" i="2"/>
  <c r="Y130" i="2"/>
  <c r="X130" i="2"/>
  <c r="T130" i="2"/>
  <c r="U130" i="2" s="1"/>
  <c r="AU129" i="2" a="1"/>
  <c r="AU129" i="2" l="1"/>
  <c r="AW129" i="2" s="1"/>
  <c r="AT129" i="2" a="1"/>
  <c r="AS129" i="2"/>
  <c r="AR129" i="2"/>
  <c r="AQ129" i="2"/>
  <c r="AP129" i="2"/>
  <c r="AO129" i="2"/>
  <c r="AN129" i="2"/>
  <c r="AT129" i="2" l="1"/>
  <c r="AL129" i="2"/>
  <c r="AK129" i="2" a="1"/>
  <c r="AJ129" i="2"/>
  <c r="AI129" i="2"/>
  <c r="AH129" i="2"/>
  <c r="AK129" i="2" l="1"/>
  <c r="AG129" i="2" a="1"/>
  <c r="AG129" i="2" l="1"/>
  <c r="AF129" i="2" a="1"/>
  <c r="AF129" i="2" l="1"/>
  <c r="AE129" i="2"/>
  <c r="AD129" i="2" a="1"/>
  <c r="AD129" i="2" l="1"/>
  <c r="AC129" i="2" a="1"/>
  <c r="AC129" i="2" l="1"/>
  <c r="AA129" i="2"/>
  <c r="W129" i="2" a="1"/>
  <c r="W129" i="2" l="1"/>
  <c r="V129" i="2" a="1"/>
  <c r="V129" i="2" l="1"/>
  <c r="N129" i="2" a="1"/>
  <c r="N129" i="2" l="1"/>
  <c r="M129" i="2" a="1"/>
  <c r="M129" i="2" l="1"/>
  <c r="L129" i="2" a="1"/>
  <c r="L129" i="2" l="1"/>
  <c r="K129" i="2" a="1"/>
  <c r="J129" i="2"/>
  <c r="I129" i="2"/>
  <c r="K129" i="2" l="1"/>
  <c r="H129" i="2" a="1"/>
  <c r="F129" i="2"/>
  <c r="E129" i="2"/>
  <c r="Q129" i="2" a="1"/>
  <c r="Q129" i="2" l="1"/>
  <c r="H129" i="2"/>
  <c r="R129" i="2"/>
  <c r="AM129" i="2" l="1"/>
  <c r="AB129" i="2"/>
  <c r="AX128" i="2"/>
  <c r="S129" i="2"/>
  <c r="BC128" i="2" a="1"/>
  <c r="AV128" i="2" a="1"/>
  <c r="AV128" i="2" l="1"/>
  <c r="BC128" i="2"/>
  <c r="Z129" i="2"/>
  <c r="Y129" i="2"/>
  <c r="X129" i="2"/>
  <c r="T129" i="2"/>
  <c r="U129" i="2" s="1"/>
  <c r="AU128" i="2" a="1"/>
  <c r="AU128" i="2" l="1"/>
  <c r="AW128" i="2" s="1"/>
  <c r="AT128" i="2" a="1"/>
  <c r="AS128" i="2"/>
  <c r="AR128" i="2"/>
  <c r="AQ128" i="2"/>
  <c r="AP128" i="2"/>
  <c r="AO128" i="2"/>
  <c r="AN128" i="2"/>
  <c r="AT128" i="2" l="1"/>
  <c r="AL128" i="2"/>
  <c r="AK128" i="2" a="1"/>
  <c r="AJ128" i="2"/>
  <c r="AI128" i="2"/>
  <c r="AH128" i="2"/>
  <c r="AK128" i="2" l="1"/>
  <c r="AG128" i="2" a="1"/>
  <c r="AG128" i="2" l="1"/>
  <c r="AF128" i="2" a="1"/>
  <c r="AF128" i="2" l="1"/>
  <c r="AE128" i="2"/>
  <c r="AD128" i="2" a="1"/>
  <c r="AD128" i="2" l="1"/>
  <c r="AC128" i="2" a="1"/>
  <c r="AC128" i="2" l="1"/>
  <c r="AA128" i="2"/>
  <c r="W128" i="2" a="1"/>
  <c r="W128" i="2" l="1"/>
  <c r="V128" i="2" a="1"/>
  <c r="V128" i="2" l="1"/>
  <c r="N128" i="2" a="1"/>
  <c r="N128" i="2" l="1"/>
  <c r="M128" i="2" a="1"/>
  <c r="M128" i="2" l="1"/>
  <c r="L128" i="2" a="1"/>
  <c r="L128" i="2" l="1"/>
  <c r="K128" i="2" a="1"/>
  <c r="J128" i="2"/>
  <c r="I128" i="2"/>
  <c r="K128" i="2" l="1"/>
  <c r="H128" i="2" a="1"/>
  <c r="F128" i="2"/>
  <c r="E128" i="2"/>
  <c r="Q128" i="2" a="1"/>
  <c r="Q128" i="2" l="1"/>
  <c r="H128" i="2"/>
  <c r="R128" i="2"/>
  <c r="AM128" i="2" l="1"/>
  <c r="AB128" i="2"/>
  <c r="AX127" i="2"/>
  <c r="S128" i="2"/>
  <c r="BC127" i="2" a="1"/>
  <c r="AV127" i="2" a="1"/>
  <c r="AV127" i="2" l="1"/>
  <c r="BC127" i="2"/>
  <c r="Z128" i="2"/>
  <c r="Y128" i="2"/>
  <c r="X128" i="2"/>
  <c r="T128" i="2"/>
  <c r="U128" i="2" s="1"/>
  <c r="AU127" i="2" a="1"/>
  <c r="AU127" i="2" l="1"/>
  <c r="AW127" i="2" s="1"/>
  <c r="AT127" i="2" a="1"/>
  <c r="AS127" i="2"/>
  <c r="AR127" i="2"/>
  <c r="AQ127" i="2"/>
  <c r="AP127" i="2"/>
  <c r="AO127" i="2"/>
  <c r="AN127" i="2"/>
  <c r="AT127" i="2" l="1"/>
  <c r="AL127" i="2"/>
  <c r="AK127" i="2" a="1"/>
  <c r="AJ127" i="2"/>
  <c r="AI127" i="2"/>
  <c r="AH127" i="2"/>
  <c r="AK127" i="2" l="1"/>
  <c r="AG127" i="2" a="1"/>
  <c r="AG127" i="2" l="1"/>
  <c r="AF127" i="2" a="1"/>
  <c r="AF127" i="2" l="1"/>
  <c r="AE127" i="2"/>
  <c r="AD127" i="2" a="1"/>
  <c r="AD127" i="2" l="1"/>
  <c r="AC127" i="2" a="1"/>
  <c r="AC127" i="2" l="1"/>
  <c r="AA127" i="2"/>
  <c r="W127" i="2" a="1"/>
  <c r="W127" i="2" l="1"/>
  <c r="V127" i="2" a="1"/>
  <c r="V127" i="2" l="1"/>
  <c r="N127" i="2" a="1"/>
  <c r="N127" i="2" l="1"/>
  <c r="M127" i="2" a="1"/>
  <c r="M127" i="2" l="1"/>
  <c r="L127" i="2" a="1"/>
  <c r="L127" i="2" l="1"/>
  <c r="K127" i="2" a="1"/>
  <c r="J127" i="2"/>
  <c r="I127" i="2"/>
  <c r="K127" i="2" l="1"/>
  <c r="H127" i="2" a="1"/>
  <c r="F127" i="2"/>
  <c r="E127" i="2"/>
  <c r="Q127" i="2" a="1"/>
  <c r="Q127" i="2" l="1"/>
  <c r="H127" i="2"/>
  <c r="R127" i="2"/>
  <c r="AM127" i="2" l="1"/>
  <c r="AB127" i="2"/>
  <c r="AX126" i="2"/>
  <c r="S127" i="2"/>
  <c r="BC126" i="2" a="1"/>
  <c r="AV126" i="2" a="1"/>
  <c r="AV126" i="2" l="1"/>
  <c r="BC126" i="2"/>
  <c r="Z127" i="2"/>
  <c r="Y127" i="2"/>
  <c r="X127" i="2"/>
  <c r="T127" i="2"/>
  <c r="U127" i="2" s="1"/>
  <c r="AU126" i="2" a="1"/>
  <c r="AU126" i="2" l="1"/>
  <c r="AW126" i="2" s="1"/>
  <c r="AT126" i="2" a="1"/>
  <c r="AS126" i="2"/>
  <c r="AR126" i="2"/>
  <c r="AQ126" i="2"/>
  <c r="AP126" i="2"/>
  <c r="AO126" i="2"/>
  <c r="AN126" i="2"/>
  <c r="AT126" i="2" l="1"/>
  <c r="AL126" i="2"/>
  <c r="AK126" i="2" a="1"/>
  <c r="AJ126" i="2"/>
  <c r="AI126" i="2"/>
  <c r="AH126" i="2"/>
  <c r="AK126" i="2" l="1"/>
  <c r="AG126" i="2" a="1"/>
  <c r="AG126" i="2" l="1"/>
  <c r="AF126" i="2" a="1"/>
  <c r="AF126" i="2" l="1"/>
  <c r="AE126" i="2"/>
  <c r="AD126" i="2" a="1"/>
  <c r="AD126" i="2" l="1"/>
  <c r="AC126" i="2" a="1"/>
  <c r="AC126" i="2" l="1"/>
  <c r="AA126" i="2"/>
  <c r="W126" i="2" a="1"/>
  <c r="W126" i="2" l="1"/>
  <c r="V126" i="2" a="1"/>
  <c r="V126" i="2" l="1"/>
  <c r="N126" i="2" a="1"/>
  <c r="N126" i="2" l="1"/>
  <c r="M126" i="2" a="1"/>
  <c r="M126" i="2" l="1"/>
  <c r="L126" i="2" a="1"/>
  <c r="L126" i="2" l="1"/>
  <c r="K126" i="2" a="1"/>
  <c r="J126" i="2"/>
  <c r="I126" i="2"/>
  <c r="K126" i="2" l="1"/>
  <c r="H126" i="2" a="1"/>
  <c r="F126" i="2"/>
  <c r="E126" i="2"/>
  <c r="Q126" i="2" a="1"/>
  <c r="R126" i="2"/>
  <c r="Q126" i="2" l="1"/>
  <c r="H126" i="2"/>
  <c r="AM126" i="2" l="1"/>
  <c r="AB126" i="2"/>
  <c r="AX125" i="2"/>
  <c r="S126" i="2"/>
  <c r="BC125" i="2" a="1"/>
  <c r="AV125" i="2" a="1"/>
  <c r="AV125" i="2" l="1"/>
  <c r="BC125" i="2"/>
  <c r="Z126" i="2"/>
  <c r="Y126" i="2"/>
  <c r="X126" i="2"/>
  <c r="T126" i="2"/>
  <c r="U126" i="2" s="1"/>
  <c r="AU125" i="2" a="1"/>
  <c r="AU125" i="2" l="1"/>
  <c r="AW125" i="2" s="1"/>
  <c r="AT125" i="2" a="1"/>
  <c r="AS125" i="2"/>
  <c r="AR125" i="2"/>
  <c r="AQ125" i="2"/>
  <c r="AP125" i="2"/>
  <c r="AO125" i="2"/>
  <c r="AN125" i="2"/>
  <c r="AT125" i="2" l="1"/>
  <c r="AL125" i="2"/>
  <c r="AK125" i="2" a="1"/>
  <c r="AJ125" i="2"/>
  <c r="AI125" i="2"/>
  <c r="AH125" i="2"/>
  <c r="AK125" i="2" l="1"/>
  <c r="AG125" i="2" a="1"/>
  <c r="AG125" i="2" l="1"/>
  <c r="AF125" i="2" a="1"/>
  <c r="AF125" i="2" l="1"/>
  <c r="AE125" i="2"/>
  <c r="AD125" i="2" a="1"/>
  <c r="AD125" i="2" l="1"/>
  <c r="AC125" i="2" a="1"/>
  <c r="AC125" i="2" l="1"/>
  <c r="AA125" i="2"/>
  <c r="W125" i="2" a="1"/>
  <c r="W125" i="2" l="1"/>
  <c r="V125" i="2" a="1"/>
  <c r="V125" i="2" l="1"/>
  <c r="N125" i="2" a="1"/>
  <c r="N125" i="2" l="1"/>
  <c r="M125" i="2" a="1"/>
  <c r="M125" i="2" l="1"/>
  <c r="L125" i="2" a="1"/>
  <c r="L125" i="2" l="1"/>
  <c r="K125" i="2" a="1"/>
  <c r="J125" i="2"/>
  <c r="I125" i="2"/>
  <c r="K125" i="2" l="1"/>
  <c r="H125" i="2" a="1"/>
  <c r="F125" i="2"/>
  <c r="E125" i="2"/>
  <c r="Q125" i="2" a="1"/>
  <c r="R125" i="2"/>
  <c r="Q125" i="2" l="1"/>
  <c r="H125" i="2"/>
  <c r="AM125" i="2" l="1"/>
  <c r="AB125" i="2"/>
  <c r="AX124" i="2"/>
  <c r="S125" i="2"/>
  <c r="BC124" i="2" a="1"/>
  <c r="AV124" i="2" a="1"/>
  <c r="AV124" i="2" l="1"/>
  <c r="BC124" i="2"/>
  <c r="Z125" i="2"/>
  <c r="Y125" i="2"/>
  <c r="X125" i="2"/>
  <c r="T125" i="2"/>
  <c r="U125" i="2" s="1"/>
  <c r="AU124" i="2" a="1"/>
  <c r="AU124" i="2" l="1"/>
  <c r="AW124" i="2" s="1"/>
  <c r="AT124" i="2" a="1"/>
  <c r="AS124" i="2"/>
  <c r="AR124" i="2"/>
  <c r="AQ124" i="2"/>
  <c r="AP124" i="2"/>
  <c r="AO124" i="2"/>
  <c r="AN124" i="2"/>
  <c r="AT124" i="2" l="1"/>
  <c r="AL124" i="2"/>
  <c r="AK124" i="2" a="1"/>
  <c r="AJ124" i="2"/>
  <c r="AI124" i="2"/>
  <c r="AH124" i="2"/>
  <c r="AK124" i="2" l="1"/>
  <c r="AG124" i="2" a="1"/>
  <c r="AG124" i="2" l="1"/>
  <c r="AF124" i="2" a="1"/>
  <c r="AF124" i="2" l="1"/>
  <c r="AE124" i="2"/>
  <c r="AD124" i="2" a="1"/>
  <c r="AD124" i="2" l="1"/>
  <c r="AC124" i="2" a="1"/>
  <c r="AC124" i="2" l="1"/>
  <c r="AA124" i="2"/>
  <c r="W124" i="2" a="1"/>
  <c r="W124" i="2" l="1"/>
  <c r="V124" i="2" a="1"/>
  <c r="V124" i="2" l="1"/>
  <c r="N124" i="2" a="1"/>
  <c r="N124" i="2" l="1"/>
  <c r="M124" i="2" a="1"/>
  <c r="M124" i="2" l="1"/>
  <c r="L124" i="2" a="1"/>
  <c r="L124" i="2" l="1"/>
  <c r="K124" i="2" a="1"/>
  <c r="J124" i="2"/>
  <c r="I124" i="2"/>
  <c r="K124" i="2" l="1"/>
  <c r="H124" i="2" a="1"/>
  <c r="F124" i="2"/>
  <c r="E124" i="2"/>
  <c r="Q124" i="2" a="1"/>
  <c r="R124" i="2"/>
  <c r="Q124" i="2" l="1"/>
  <c r="H124" i="2"/>
  <c r="AM124" i="2" l="1"/>
  <c r="AB124" i="2"/>
  <c r="AX123" i="2"/>
  <c r="S124" i="2"/>
  <c r="BC123" i="2" a="1"/>
  <c r="AV123" i="2" a="1"/>
  <c r="AV123" i="2" l="1"/>
  <c r="BC123" i="2"/>
  <c r="Z124" i="2"/>
  <c r="Y124" i="2"/>
  <c r="X124" i="2"/>
  <c r="T124" i="2"/>
  <c r="U124" i="2" s="1"/>
  <c r="AU123" i="2" a="1"/>
  <c r="AU123" i="2" l="1"/>
  <c r="AW123" i="2" s="1"/>
  <c r="AT123" i="2" a="1"/>
  <c r="AS123" i="2"/>
  <c r="AR123" i="2"/>
  <c r="AQ123" i="2"/>
  <c r="AP123" i="2"/>
  <c r="AO123" i="2"/>
  <c r="AN123" i="2"/>
  <c r="AT123" i="2" l="1"/>
  <c r="AL123" i="2"/>
  <c r="AK123" i="2" a="1"/>
  <c r="AJ123" i="2"/>
  <c r="AI123" i="2"/>
  <c r="AH123" i="2"/>
  <c r="AK123" i="2" l="1"/>
  <c r="AG123" i="2" a="1"/>
  <c r="AG123" i="2" l="1"/>
  <c r="AF123" i="2" a="1"/>
  <c r="AF123" i="2" l="1"/>
  <c r="AE123" i="2"/>
  <c r="AD123" i="2" a="1"/>
  <c r="AD123" i="2" l="1"/>
  <c r="AC123" i="2" a="1"/>
  <c r="AC123" i="2" l="1"/>
  <c r="AA123" i="2"/>
  <c r="W123" i="2" a="1"/>
  <c r="W123" i="2" l="1"/>
  <c r="V123" i="2" a="1"/>
  <c r="V123" i="2" l="1"/>
  <c r="N123" i="2" a="1"/>
  <c r="N123" i="2" l="1"/>
  <c r="M123" i="2" a="1"/>
  <c r="M123" i="2" l="1"/>
  <c r="L123" i="2" a="1"/>
  <c r="L123" i="2" l="1"/>
  <c r="K123" i="2" a="1"/>
  <c r="J123" i="2"/>
  <c r="I123" i="2"/>
  <c r="K123" i="2" l="1"/>
  <c r="H123" i="2" a="1"/>
  <c r="F123" i="2"/>
  <c r="E123" i="2"/>
  <c r="Q123" i="2" a="1"/>
  <c r="R123" i="2"/>
  <c r="Q123" i="2" l="1"/>
  <c r="H123" i="2"/>
  <c r="AM123" i="2" l="1"/>
  <c r="AB123" i="2"/>
  <c r="AX122" i="2"/>
  <c r="S123" i="2"/>
  <c r="BC122" i="2" a="1"/>
  <c r="AV122" i="2" a="1"/>
  <c r="AV122" i="2" l="1"/>
  <c r="BC122" i="2"/>
  <c r="Z123" i="2"/>
  <c r="Y123" i="2"/>
  <c r="X123" i="2"/>
  <c r="T123" i="2"/>
  <c r="U123" i="2" s="1"/>
  <c r="AU122" i="2" a="1"/>
  <c r="AU122" i="2" l="1"/>
  <c r="AW122" i="2" s="1"/>
  <c r="AT122" i="2" a="1"/>
  <c r="AS122" i="2"/>
  <c r="AR122" i="2"/>
  <c r="AQ122" i="2"/>
  <c r="AP122" i="2"/>
  <c r="AO122" i="2"/>
  <c r="AN122" i="2"/>
  <c r="AT122" i="2" l="1"/>
  <c r="AL122" i="2"/>
  <c r="AK122" i="2" a="1"/>
  <c r="AJ122" i="2"/>
  <c r="AI122" i="2"/>
  <c r="AH122" i="2"/>
  <c r="AK122" i="2" l="1"/>
  <c r="AG122" i="2" a="1"/>
  <c r="AG122" i="2" l="1"/>
  <c r="AF122" i="2" a="1"/>
  <c r="AF122" i="2" l="1"/>
  <c r="AE122" i="2"/>
  <c r="AD122" i="2" a="1"/>
  <c r="AD122" i="2" l="1"/>
  <c r="AC122" i="2" a="1"/>
  <c r="AC122" i="2" l="1"/>
  <c r="AA122" i="2"/>
  <c r="W122" i="2" a="1"/>
  <c r="W122" i="2" l="1"/>
  <c r="V122" i="2" a="1"/>
  <c r="V122" i="2" l="1"/>
  <c r="N122" i="2" a="1"/>
  <c r="N122" i="2" l="1"/>
  <c r="M122" i="2" a="1"/>
  <c r="M122" i="2" l="1"/>
  <c r="L122" i="2" a="1"/>
  <c r="L122" i="2" l="1"/>
  <c r="K122" i="2" a="1"/>
  <c r="J122" i="2"/>
  <c r="I122" i="2"/>
  <c r="K122" i="2" l="1"/>
  <c r="H122" i="2" a="1"/>
  <c r="F122" i="2"/>
  <c r="E122" i="2"/>
  <c r="Q122" i="2" a="1"/>
  <c r="R122" i="2"/>
  <c r="Q122" i="2" l="1"/>
  <c r="H122" i="2"/>
  <c r="AM122" i="2" l="1"/>
  <c r="AB122" i="2"/>
  <c r="AX121" i="2"/>
  <c r="S122" i="2"/>
  <c r="BC121" i="2" a="1"/>
  <c r="AV121" i="2" a="1"/>
  <c r="AV121" i="2" l="1"/>
  <c r="BC121" i="2"/>
  <c r="Z122" i="2"/>
  <c r="Y122" i="2"/>
  <c r="X122" i="2"/>
  <c r="T122" i="2"/>
  <c r="U122" i="2" s="1"/>
  <c r="AU121" i="2" a="1"/>
  <c r="AU121" i="2" l="1"/>
  <c r="AW121" i="2" s="1"/>
  <c r="AT121" i="2" a="1"/>
  <c r="AS121" i="2"/>
  <c r="AR121" i="2"/>
  <c r="AQ121" i="2"/>
  <c r="AP121" i="2"/>
  <c r="AO121" i="2"/>
  <c r="AN121" i="2"/>
  <c r="AT121" i="2" l="1"/>
  <c r="AL121" i="2"/>
  <c r="AK121" i="2" a="1"/>
  <c r="AJ121" i="2"/>
  <c r="AI121" i="2"/>
  <c r="AH121" i="2"/>
  <c r="AK121" i="2" l="1"/>
  <c r="AG121" i="2" a="1"/>
  <c r="AG121" i="2" l="1"/>
  <c r="AF121" i="2" a="1"/>
  <c r="AF121" i="2" l="1"/>
  <c r="AE121" i="2"/>
  <c r="AD121" i="2" a="1"/>
  <c r="AD121" i="2" l="1"/>
  <c r="AC121" i="2" a="1"/>
  <c r="AC121" i="2" l="1"/>
  <c r="AA121" i="2"/>
  <c r="W121" i="2" a="1"/>
  <c r="W121" i="2" l="1"/>
  <c r="V121" i="2" a="1"/>
  <c r="V121" i="2" l="1"/>
  <c r="N121" i="2" a="1"/>
  <c r="N121" i="2" l="1"/>
  <c r="M121" i="2" a="1"/>
  <c r="M121" i="2" l="1"/>
  <c r="L121" i="2" a="1"/>
  <c r="L121" i="2" l="1"/>
  <c r="K121" i="2" a="1"/>
  <c r="J121" i="2"/>
  <c r="I121" i="2"/>
  <c r="K121" i="2" l="1"/>
  <c r="H121" i="2" a="1"/>
  <c r="F121" i="2"/>
  <c r="E121" i="2"/>
  <c r="Q121" i="2" a="1"/>
  <c r="R121" i="2"/>
  <c r="Q121" i="2" l="1"/>
  <c r="H121" i="2"/>
  <c r="AM121" i="2" l="1"/>
  <c r="AB121" i="2"/>
  <c r="AX120" i="2"/>
  <c r="S121" i="2"/>
  <c r="BC120" i="2" a="1"/>
  <c r="AV120" i="2" a="1"/>
  <c r="AV120" i="2" l="1"/>
  <c r="BC120" i="2"/>
  <c r="Z121" i="2"/>
  <c r="Y121" i="2"/>
  <c r="X121" i="2"/>
  <c r="T121" i="2"/>
  <c r="U121" i="2" s="1"/>
  <c r="AU120" i="2" a="1"/>
  <c r="AU120" i="2" l="1"/>
  <c r="AW120" i="2" s="1"/>
  <c r="AT120" i="2" a="1"/>
  <c r="AS120" i="2"/>
  <c r="AR120" i="2"/>
  <c r="AQ120" i="2"/>
  <c r="AP120" i="2"/>
  <c r="AO120" i="2"/>
  <c r="AN120" i="2"/>
  <c r="AT120" i="2" l="1"/>
  <c r="AL120" i="2"/>
  <c r="AK120" i="2" a="1"/>
  <c r="AJ120" i="2"/>
  <c r="AI120" i="2"/>
  <c r="AH120" i="2"/>
  <c r="AK120" i="2" l="1"/>
  <c r="AG120" i="2" a="1"/>
  <c r="AG120" i="2" l="1"/>
  <c r="AF120" i="2" a="1"/>
  <c r="AF120" i="2" l="1"/>
  <c r="AE120" i="2"/>
  <c r="AD120" i="2" a="1"/>
  <c r="AD120" i="2" l="1"/>
  <c r="AC120" i="2" a="1"/>
  <c r="AC120" i="2" l="1"/>
  <c r="AA120" i="2"/>
  <c r="W120" i="2" a="1"/>
  <c r="W120" i="2" l="1"/>
  <c r="V120" i="2" a="1"/>
  <c r="V120" i="2" l="1"/>
  <c r="N120" i="2" a="1"/>
  <c r="N120" i="2" l="1"/>
  <c r="M120" i="2" a="1"/>
  <c r="M120" i="2" l="1"/>
  <c r="L120" i="2" a="1"/>
  <c r="L120" i="2" l="1"/>
  <c r="K120" i="2" a="1"/>
  <c r="J120" i="2"/>
  <c r="I120" i="2"/>
  <c r="K120" i="2" l="1"/>
  <c r="H120" i="2" a="1"/>
  <c r="F120" i="2"/>
  <c r="E120" i="2"/>
  <c r="Q120" i="2" a="1"/>
  <c r="R120" i="2"/>
  <c r="Q120" i="2" l="1"/>
  <c r="H120" i="2"/>
  <c r="AM120" i="2" l="1"/>
  <c r="AB120" i="2"/>
  <c r="AX119" i="2"/>
  <c r="S120" i="2"/>
  <c r="BC119" i="2" a="1"/>
  <c r="AV119" i="2" a="1"/>
  <c r="AV119" i="2" l="1"/>
  <c r="BC119" i="2"/>
  <c r="Z120" i="2"/>
  <c r="Y120" i="2"/>
  <c r="X120" i="2"/>
  <c r="T120" i="2"/>
  <c r="U120" i="2" s="1"/>
  <c r="AU119" i="2" a="1"/>
  <c r="AU119" i="2" l="1"/>
  <c r="AW119" i="2" s="1"/>
  <c r="AT119" i="2" a="1"/>
  <c r="AS119" i="2"/>
  <c r="AR119" i="2"/>
  <c r="AQ119" i="2"/>
  <c r="AP119" i="2"/>
  <c r="AO119" i="2"/>
  <c r="AN119" i="2"/>
  <c r="AT119" i="2" l="1"/>
  <c r="AL119" i="2"/>
  <c r="AK119" i="2" a="1"/>
  <c r="AJ119" i="2"/>
  <c r="AI119" i="2"/>
  <c r="AH119" i="2"/>
  <c r="AK119" i="2" l="1"/>
  <c r="AG119" i="2" a="1"/>
  <c r="AG119" i="2" l="1"/>
  <c r="AF119" i="2" a="1"/>
  <c r="AF119" i="2" l="1"/>
  <c r="AE119" i="2"/>
  <c r="AD119" i="2" a="1"/>
  <c r="AD119" i="2" l="1"/>
  <c r="AC119" i="2" a="1"/>
  <c r="AC119" i="2" l="1"/>
  <c r="AA119" i="2"/>
  <c r="W119" i="2" a="1"/>
  <c r="W119" i="2" l="1"/>
  <c r="V119" i="2" a="1"/>
  <c r="V119" i="2" l="1"/>
  <c r="N119" i="2" a="1"/>
  <c r="N119" i="2" l="1"/>
  <c r="M119" i="2" a="1"/>
  <c r="M119" i="2" l="1"/>
  <c r="L119" i="2" a="1"/>
  <c r="L119" i="2" l="1"/>
  <c r="K119" i="2" a="1"/>
  <c r="J119" i="2"/>
  <c r="I119" i="2"/>
  <c r="K119" i="2" l="1"/>
  <c r="H119" i="2" a="1"/>
  <c r="F119" i="2"/>
  <c r="E119" i="2"/>
  <c r="Q119" i="2" a="1"/>
  <c r="R119" i="2"/>
  <c r="Q119" i="2" l="1"/>
  <c r="H119" i="2"/>
  <c r="AM119" i="2" l="1"/>
  <c r="AB119" i="2"/>
  <c r="AX118" i="2"/>
  <c r="S119" i="2"/>
  <c r="BC118" i="2" a="1"/>
  <c r="AV118" i="2" a="1"/>
  <c r="AV118" i="2" l="1"/>
  <c r="BC118" i="2"/>
  <c r="Z119" i="2"/>
  <c r="Y119" i="2"/>
  <c r="X119" i="2"/>
  <c r="T119" i="2"/>
  <c r="U119" i="2" s="1"/>
  <c r="AU118" i="2" a="1"/>
  <c r="AU118" i="2" l="1"/>
  <c r="AW118" i="2" s="1"/>
  <c r="AT118" i="2" a="1"/>
  <c r="AS118" i="2"/>
  <c r="AR118" i="2"/>
  <c r="AQ118" i="2"/>
  <c r="AP118" i="2"/>
  <c r="AO118" i="2"/>
  <c r="AN118" i="2"/>
  <c r="AT118" i="2" l="1"/>
  <c r="AL118" i="2"/>
  <c r="AK118" i="2" a="1"/>
  <c r="AJ118" i="2"/>
  <c r="AI118" i="2"/>
  <c r="AH118" i="2"/>
  <c r="AK118" i="2" l="1"/>
  <c r="AG118" i="2" a="1"/>
  <c r="AG118" i="2" l="1"/>
  <c r="AF118" i="2" a="1"/>
  <c r="AF118" i="2" l="1"/>
  <c r="AE118" i="2"/>
  <c r="AD118" i="2" a="1"/>
  <c r="AD118" i="2" l="1"/>
  <c r="AC118" i="2" a="1"/>
  <c r="AC118" i="2" l="1"/>
  <c r="AA118" i="2"/>
  <c r="W118" i="2" a="1"/>
  <c r="W118" i="2" l="1"/>
  <c r="V118" i="2" a="1"/>
  <c r="V118" i="2" l="1"/>
  <c r="N118" i="2" a="1"/>
  <c r="N118" i="2" l="1"/>
  <c r="M118" i="2" a="1"/>
  <c r="M118" i="2" l="1"/>
  <c r="L118" i="2" a="1"/>
  <c r="L118" i="2" l="1"/>
  <c r="K118" i="2" a="1"/>
  <c r="J118" i="2"/>
  <c r="I118" i="2"/>
  <c r="K118" i="2" l="1"/>
  <c r="H118" i="2" a="1"/>
  <c r="F118" i="2"/>
  <c r="E118" i="2"/>
  <c r="Q118" i="2" a="1"/>
  <c r="R118" i="2"/>
  <c r="Q118" i="2" l="1"/>
  <c r="H118" i="2"/>
  <c r="AM118" i="2" l="1"/>
  <c r="AB118" i="2"/>
  <c r="AX117" i="2"/>
  <c r="S118" i="2"/>
  <c r="BC117" i="2" a="1"/>
  <c r="AV117" i="2" a="1"/>
  <c r="AV117" i="2" l="1"/>
  <c r="BC117" i="2"/>
  <c r="Z118" i="2"/>
  <c r="Y118" i="2"/>
  <c r="X118" i="2"/>
  <c r="T118" i="2"/>
  <c r="U118" i="2" s="1"/>
  <c r="AU117" i="2" a="1"/>
  <c r="AU117" i="2" l="1"/>
  <c r="AW117" i="2" s="1"/>
  <c r="AT117" i="2" a="1"/>
  <c r="AS117" i="2"/>
  <c r="AR117" i="2"/>
  <c r="AQ117" i="2"/>
  <c r="AP117" i="2"/>
  <c r="AO117" i="2"/>
  <c r="AN117" i="2"/>
  <c r="AT117" i="2" l="1"/>
  <c r="AL117" i="2"/>
  <c r="AK117" i="2" a="1"/>
  <c r="AJ117" i="2"/>
  <c r="AI117" i="2"/>
  <c r="AH117" i="2"/>
  <c r="AK117" i="2" l="1"/>
  <c r="AG117" i="2" a="1"/>
  <c r="AG117" i="2" l="1"/>
  <c r="AF117" i="2" a="1"/>
  <c r="AF117" i="2" l="1"/>
  <c r="AE117" i="2"/>
  <c r="AD117" i="2" a="1"/>
  <c r="AD117" i="2" l="1"/>
  <c r="AC117" i="2" a="1"/>
  <c r="AC117" i="2" l="1"/>
  <c r="AA117" i="2"/>
  <c r="W117" i="2" a="1"/>
  <c r="W117" i="2" l="1"/>
  <c r="V117" i="2" a="1"/>
  <c r="V117" i="2" l="1"/>
  <c r="N117" i="2" a="1"/>
  <c r="N117" i="2" l="1"/>
  <c r="M117" i="2" a="1"/>
  <c r="M117" i="2" l="1"/>
  <c r="L117" i="2" a="1"/>
  <c r="L117" i="2" l="1"/>
  <c r="K117" i="2" a="1"/>
  <c r="J117" i="2"/>
  <c r="I117" i="2"/>
  <c r="K117" i="2" l="1"/>
  <c r="H117" i="2" a="1"/>
  <c r="F117" i="2"/>
  <c r="E117" i="2"/>
  <c r="Q117" i="2" a="1"/>
  <c r="R117" i="2"/>
  <c r="Q117" i="2" l="1"/>
  <c r="H117" i="2"/>
  <c r="AM117" i="2" l="1"/>
  <c r="AB117" i="2"/>
  <c r="AX116" i="2"/>
  <c r="S117" i="2"/>
  <c r="BC116" i="2" a="1"/>
  <c r="AV116" i="2" a="1"/>
  <c r="AV116" i="2" l="1"/>
  <c r="BC116" i="2"/>
  <c r="Z117" i="2"/>
  <c r="Y117" i="2"/>
  <c r="X117" i="2"/>
  <c r="T117" i="2"/>
  <c r="U117" i="2" s="1"/>
  <c r="AU116" i="2" a="1"/>
  <c r="AU116" i="2" l="1"/>
  <c r="AW116" i="2" s="1"/>
  <c r="AT116" i="2" a="1"/>
  <c r="AS116" i="2"/>
  <c r="AR116" i="2"/>
  <c r="AQ116" i="2"/>
  <c r="AP116" i="2"/>
  <c r="AO116" i="2"/>
  <c r="AN116" i="2"/>
  <c r="AT116" i="2" l="1"/>
  <c r="AL116" i="2"/>
  <c r="AK116" i="2" a="1"/>
  <c r="AJ116" i="2"/>
  <c r="AI116" i="2"/>
  <c r="AH116" i="2"/>
  <c r="AK116" i="2" l="1"/>
  <c r="AG116" i="2" a="1"/>
  <c r="AG116" i="2" l="1"/>
  <c r="AF116" i="2" a="1"/>
  <c r="AF116" i="2" l="1"/>
  <c r="AE116" i="2"/>
  <c r="AD116" i="2" a="1"/>
  <c r="AD116" i="2" l="1"/>
  <c r="AC116" i="2" a="1"/>
  <c r="AC116" i="2" l="1"/>
  <c r="AA116" i="2"/>
  <c r="W116" i="2" a="1"/>
  <c r="W116" i="2" l="1"/>
  <c r="V116" i="2" a="1"/>
  <c r="V116" i="2" l="1"/>
  <c r="N116" i="2" a="1"/>
  <c r="N116" i="2" l="1"/>
  <c r="M116" i="2" a="1"/>
  <c r="M116" i="2" l="1"/>
  <c r="L116" i="2" a="1"/>
  <c r="L116" i="2" l="1"/>
  <c r="K116" i="2" a="1"/>
  <c r="J116" i="2"/>
  <c r="I116" i="2"/>
  <c r="K116" i="2" l="1"/>
  <c r="H116" i="2" a="1"/>
  <c r="F116" i="2"/>
  <c r="E116" i="2"/>
  <c r="Q116" i="2" a="1"/>
  <c r="R116" i="2"/>
  <c r="Q116" i="2" l="1"/>
  <c r="H116" i="2"/>
  <c r="AM116" i="2" l="1"/>
  <c r="AB116" i="2"/>
  <c r="AX115" i="2"/>
  <c r="S116" i="2"/>
  <c r="BC115" i="2" a="1"/>
  <c r="AV115" i="2" a="1"/>
  <c r="AV115" i="2" l="1"/>
  <c r="BC115" i="2"/>
  <c r="Z116" i="2"/>
  <c r="Y116" i="2"/>
  <c r="X116" i="2"/>
  <c r="T116" i="2"/>
  <c r="U116" i="2" s="1"/>
  <c r="AU115" i="2" a="1"/>
  <c r="AU115" i="2" l="1"/>
  <c r="AW115" i="2" s="1"/>
  <c r="AT115" i="2" a="1"/>
  <c r="AS115" i="2"/>
  <c r="AR115" i="2"/>
  <c r="AQ115" i="2"/>
  <c r="AP115" i="2"/>
  <c r="AO115" i="2"/>
  <c r="AN115" i="2"/>
  <c r="AT115" i="2" l="1"/>
  <c r="AL115" i="2"/>
  <c r="AK115" i="2" a="1"/>
  <c r="AJ115" i="2"/>
  <c r="AI115" i="2"/>
  <c r="AH115" i="2"/>
  <c r="AK115" i="2" l="1"/>
  <c r="AG115" i="2" a="1"/>
  <c r="AG115" i="2" l="1"/>
  <c r="AF115" i="2" a="1"/>
  <c r="AF115" i="2" l="1"/>
  <c r="AE115" i="2"/>
  <c r="AD115" i="2" a="1"/>
  <c r="AD115" i="2" l="1"/>
  <c r="AC115" i="2" a="1"/>
  <c r="AC115" i="2" l="1"/>
  <c r="AA115" i="2"/>
  <c r="W115" i="2" a="1"/>
  <c r="W115" i="2" l="1"/>
  <c r="V115" i="2" a="1"/>
  <c r="V115" i="2" l="1"/>
  <c r="N115" i="2" a="1"/>
  <c r="N115" i="2" l="1"/>
  <c r="M115" i="2" a="1"/>
  <c r="M115" i="2" l="1"/>
  <c r="L115" i="2" a="1"/>
  <c r="L115" i="2" l="1"/>
  <c r="K115" i="2" a="1"/>
  <c r="J115" i="2"/>
  <c r="I115" i="2"/>
  <c r="K115" i="2" l="1"/>
  <c r="H115" i="2" a="1"/>
  <c r="F115" i="2"/>
  <c r="E115" i="2"/>
  <c r="Q115" i="2" a="1"/>
  <c r="Q115" i="2" l="1"/>
  <c r="H115" i="2"/>
  <c r="R115" i="2"/>
  <c r="AM115" i="2" l="1"/>
  <c r="AB115" i="2"/>
  <c r="AX114" i="2"/>
  <c r="S115" i="2"/>
  <c r="BC114" i="2" a="1"/>
  <c r="AV114" i="2" a="1"/>
  <c r="AV114" i="2" l="1"/>
  <c r="BC114" i="2"/>
  <c r="Z115" i="2"/>
  <c r="Y115" i="2"/>
  <c r="X115" i="2"/>
  <c r="T115" i="2"/>
  <c r="U115" i="2" s="1"/>
  <c r="AU114" i="2" a="1"/>
  <c r="AU114" i="2" l="1"/>
  <c r="AW114" i="2" s="1"/>
  <c r="AT114" i="2" a="1"/>
  <c r="AS114" i="2"/>
  <c r="AR114" i="2"/>
  <c r="AQ114" i="2"/>
  <c r="AP114" i="2"/>
  <c r="AO114" i="2"/>
  <c r="AN114" i="2"/>
  <c r="AT114" i="2" l="1"/>
  <c r="AL114" i="2"/>
  <c r="AK114" i="2" a="1"/>
  <c r="AJ114" i="2"/>
  <c r="AI114" i="2"/>
  <c r="AH114" i="2"/>
  <c r="AK114" i="2" l="1"/>
  <c r="AG114" i="2" a="1"/>
  <c r="AG114" i="2" l="1"/>
  <c r="AF114" i="2" a="1"/>
  <c r="AF114" i="2" l="1"/>
  <c r="AE114" i="2"/>
  <c r="AD114" i="2" a="1"/>
  <c r="AD114" i="2" l="1"/>
  <c r="AC114" i="2" a="1"/>
  <c r="AC114" i="2" l="1"/>
  <c r="AA114" i="2"/>
  <c r="W114" i="2" a="1"/>
  <c r="W114" i="2" l="1"/>
  <c r="V114" i="2" a="1"/>
  <c r="V114" i="2" l="1"/>
  <c r="N114" i="2" a="1"/>
  <c r="N114" i="2" l="1"/>
  <c r="M114" i="2" a="1"/>
  <c r="M114" i="2" l="1"/>
  <c r="L114" i="2" a="1"/>
  <c r="L114" i="2" l="1"/>
  <c r="K114" i="2" a="1"/>
  <c r="J114" i="2"/>
  <c r="I114" i="2"/>
  <c r="K114" i="2" l="1"/>
  <c r="H114" i="2" a="1"/>
  <c r="F114" i="2"/>
  <c r="E114" i="2"/>
  <c r="Q114" i="2" a="1"/>
  <c r="Q114" i="2" l="1"/>
  <c r="H114" i="2"/>
  <c r="R114" i="2"/>
  <c r="AM114" i="2" l="1"/>
  <c r="AB114" i="2"/>
  <c r="AX113" i="2"/>
  <c r="S114" i="2"/>
  <c r="BC113" i="2" a="1"/>
  <c r="AV113" i="2" a="1"/>
  <c r="AV113" i="2" l="1"/>
  <c r="BC113" i="2"/>
  <c r="Z114" i="2"/>
  <c r="Y114" i="2"/>
  <c r="X114" i="2"/>
  <c r="T114" i="2"/>
  <c r="U114" i="2" s="1"/>
  <c r="AU113" i="2" a="1"/>
  <c r="AU113" i="2" l="1"/>
  <c r="AW113" i="2" s="1"/>
  <c r="AT113" i="2" a="1"/>
  <c r="AS113" i="2"/>
  <c r="AR113" i="2"/>
  <c r="AQ113" i="2"/>
  <c r="AP113" i="2"/>
  <c r="AO113" i="2"/>
  <c r="AN113" i="2"/>
  <c r="AT113" i="2" l="1"/>
  <c r="AL113" i="2"/>
  <c r="AK113" i="2" a="1"/>
  <c r="AJ113" i="2"/>
  <c r="AI113" i="2"/>
  <c r="AH113" i="2"/>
  <c r="AK113" i="2" l="1"/>
  <c r="AG113" i="2" a="1"/>
  <c r="AG113" i="2" l="1"/>
  <c r="AF113" i="2" a="1"/>
  <c r="AF113" i="2" l="1"/>
  <c r="AE113" i="2"/>
  <c r="AD113" i="2" a="1"/>
  <c r="AD113" i="2" l="1"/>
  <c r="AC113" i="2" a="1"/>
  <c r="AC113" i="2" l="1"/>
  <c r="AA113" i="2"/>
  <c r="W113" i="2" a="1"/>
  <c r="W113" i="2" l="1"/>
  <c r="V113" i="2" a="1"/>
  <c r="V113" i="2" l="1"/>
  <c r="N113" i="2" a="1"/>
  <c r="N113" i="2" l="1"/>
  <c r="M113" i="2" a="1"/>
  <c r="M113" i="2" l="1"/>
  <c r="L113" i="2" a="1"/>
  <c r="L113" i="2" l="1"/>
  <c r="K113" i="2" a="1"/>
  <c r="J113" i="2"/>
  <c r="I113" i="2"/>
  <c r="K113" i="2" l="1"/>
  <c r="H113" i="2" a="1"/>
  <c r="F113" i="2"/>
  <c r="E113" i="2"/>
  <c r="Q113" i="2" a="1"/>
  <c r="Q113" i="2" l="1"/>
  <c r="H113" i="2"/>
  <c r="R113" i="2"/>
  <c r="AM113" i="2" l="1"/>
  <c r="AB113" i="2"/>
  <c r="AX112" i="2"/>
  <c r="S113" i="2"/>
  <c r="BC112" i="2" a="1"/>
  <c r="AV112" i="2" a="1"/>
  <c r="AV112" i="2" l="1"/>
  <c r="BC112" i="2"/>
  <c r="Z113" i="2"/>
  <c r="Y113" i="2"/>
  <c r="X113" i="2"/>
  <c r="T113" i="2"/>
  <c r="U113" i="2" s="1"/>
  <c r="AU112" i="2" a="1"/>
  <c r="AU112" i="2" l="1"/>
  <c r="AW112" i="2" s="1"/>
  <c r="AT112" i="2" a="1"/>
  <c r="AS112" i="2"/>
  <c r="AR112" i="2"/>
  <c r="AQ112" i="2"/>
  <c r="AP112" i="2"/>
  <c r="AO112" i="2"/>
  <c r="AN112" i="2"/>
  <c r="AT112" i="2" l="1"/>
  <c r="AL112" i="2"/>
  <c r="AK112" i="2" a="1"/>
  <c r="AJ112" i="2"/>
  <c r="AI112" i="2"/>
  <c r="AH112" i="2"/>
  <c r="AK112" i="2" l="1"/>
  <c r="AG112" i="2" a="1"/>
  <c r="AG112" i="2" l="1"/>
  <c r="AF112" i="2" a="1"/>
  <c r="AF112" i="2" l="1"/>
  <c r="AE112" i="2"/>
  <c r="AD112" i="2" a="1"/>
  <c r="AD112" i="2" l="1"/>
  <c r="AC112" i="2" a="1"/>
  <c r="AC112" i="2" l="1"/>
  <c r="AA112" i="2"/>
  <c r="W112" i="2" a="1"/>
  <c r="W112" i="2" l="1"/>
  <c r="V112" i="2" a="1"/>
  <c r="V112" i="2" l="1"/>
  <c r="N112" i="2" a="1"/>
  <c r="N112" i="2" l="1"/>
  <c r="M112" i="2" a="1"/>
  <c r="M112" i="2" l="1"/>
  <c r="L112" i="2" a="1"/>
  <c r="L112" i="2" l="1"/>
  <c r="K112" i="2" a="1"/>
  <c r="J112" i="2"/>
  <c r="I112" i="2"/>
  <c r="K112" i="2" l="1"/>
  <c r="H112" i="2" a="1"/>
  <c r="F112" i="2"/>
  <c r="E112" i="2"/>
  <c r="Q112" i="2" a="1"/>
  <c r="Q112" i="2" l="1"/>
  <c r="H112" i="2"/>
  <c r="R112" i="2"/>
  <c r="AM112" i="2" l="1"/>
  <c r="AB112" i="2"/>
  <c r="AX111" i="2"/>
  <c r="S112" i="2"/>
  <c r="BC111" i="2" a="1"/>
  <c r="AV111" i="2" a="1"/>
  <c r="AV111" i="2" l="1"/>
  <c r="BC111" i="2"/>
  <c r="Z112" i="2"/>
  <c r="Y112" i="2"/>
  <c r="X112" i="2"/>
  <c r="T112" i="2"/>
  <c r="U112" i="2" s="1"/>
  <c r="AU111" i="2" a="1"/>
  <c r="AU111" i="2" l="1"/>
  <c r="AW111" i="2" s="1"/>
  <c r="AT111" i="2" a="1"/>
  <c r="AS111" i="2"/>
  <c r="AR111" i="2"/>
  <c r="AQ111" i="2"/>
  <c r="AP111" i="2"/>
  <c r="AO111" i="2"/>
  <c r="AN111" i="2"/>
  <c r="AT111" i="2" l="1"/>
  <c r="AL111" i="2"/>
  <c r="AK111" i="2" a="1"/>
  <c r="AJ111" i="2"/>
  <c r="AI111" i="2"/>
  <c r="AH111" i="2"/>
  <c r="AK111" i="2" l="1"/>
  <c r="AG111" i="2" a="1"/>
  <c r="AG111" i="2" l="1"/>
  <c r="AF111" i="2" a="1"/>
  <c r="AF111" i="2" l="1"/>
  <c r="AE111" i="2"/>
  <c r="AD111" i="2" a="1"/>
  <c r="AD111" i="2" l="1"/>
  <c r="AC111" i="2" a="1"/>
  <c r="AC111" i="2" l="1"/>
  <c r="AA111" i="2"/>
  <c r="W111" i="2" a="1"/>
  <c r="W111" i="2" l="1"/>
  <c r="V111" i="2" a="1"/>
  <c r="V111" i="2" l="1"/>
  <c r="N111" i="2" a="1"/>
  <c r="N111" i="2" l="1"/>
  <c r="M111" i="2" a="1"/>
  <c r="M111" i="2" l="1"/>
  <c r="L111" i="2" a="1"/>
  <c r="L111" i="2" l="1"/>
  <c r="K111" i="2" a="1"/>
  <c r="J111" i="2"/>
  <c r="I111" i="2"/>
  <c r="K111" i="2" l="1"/>
  <c r="H111" i="2" a="1"/>
  <c r="F111" i="2"/>
  <c r="E111" i="2"/>
  <c r="Q111" i="2" a="1"/>
  <c r="R111" i="2"/>
  <c r="Q111" i="2" l="1"/>
  <c r="H111" i="2"/>
  <c r="AM111" i="2" l="1"/>
  <c r="AB111" i="2"/>
  <c r="AX110" i="2"/>
  <c r="S111" i="2"/>
  <c r="BC110" i="2" a="1"/>
  <c r="AV110" i="2" a="1"/>
  <c r="AV110" i="2" l="1"/>
  <c r="BC110" i="2"/>
  <c r="Y111" i="2"/>
  <c r="Z111" i="2"/>
  <c r="X111" i="2"/>
  <c r="T111" i="2"/>
  <c r="U111" i="2" s="1"/>
  <c r="AU110" i="2" a="1"/>
  <c r="AU110" i="2" l="1"/>
  <c r="AW110" i="2" s="1"/>
  <c r="AT110" i="2" a="1"/>
  <c r="AS110" i="2"/>
  <c r="AR110" i="2"/>
  <c r="AQ110" i="2"/>
  <c r="AP110" i="2"/>
  <c r="AO110" i="2"/>
  <c r="AN110" i="2"/>
  <c r="AT110" i="2" l="1"/>
  <c r="AL110" i="2"/>
  <c r="AK110" i="2" a="1"/>
  <c r="AJ110" i="2"/>
  <c r="AI110" i="2"/>
  <c r="AH110" i="2"/>
  <c r="AK110" i="2" l="1"/>
  <c r="AG110" i="2" a="1"/>
  <c r="AG110" i="2" l="1"/>
  <c r="AF110" i="2" a="1"/>
  <c r="AF110" i="2" l="1"/>
  <c r="AE110" i="2"/>
  <c r="AD110" i="2" a="1"/>
  <c r="AD110" i="2" l="1"/>
  <c r="AC110" i="2" a="1"/>
  <c r="AC110" i="2" l="1"/>
  <c r="AA110" i="2"/>
  <c r="W110" i="2" a="1"/>
  <c r="W110" i="2" l="1"/>
  <c r="V110" i="2" a="1"/>
  <c r="V110" i="2" l="1"/>
  <c r="N110" i="2" a="1"/>
  <c r="N110" i="2" l="1"/>
  <c r="M110" i="2" a="1"/>
  <c r="M110" i="2" l="1"/>
  <c r="L110" i="2" a="1"/>
  <c r="L110" i="2" l="1"/>
  <c r="K110" i="2" a="1"/>
  <c r="J110" i="2"/>
  <c r="I110" i="2"/>
  <c r="K110" i="2" l="1"/>
  <c r="H110" i="2" a="1"/>
  <c r="F110" i="2"/>
  <c r="E110" i="2"/>
  <c r="Q110" i="2" a="1"/>
  <c r="R110" i="2"/>
  <c r="Q110" i="2" l="1"/>
  <c r="H110" i="2"/>
  <c r="AM110" i="2" l="1"/>
  <c r="AB110" i="2"/>
  <c r="AX109" i="2"/>
  <c r="S110" i="2"/>
  <c r="BC109" i="2" a="1"/>
  <c r="AV109" i="2" a="1"/>
  <c r="AV109" i="2" l="1"/>
  <c r="BC109" i="2"/>
  <c r="Z110" i="2"/>
  <c r="Y110" i="2"/>
  <c r="X110" i="2"/>
  <c r="T110" i="2"/>
  <c r="U110" i="2" s="1"/>
  <c r="AU109" i="2" a="1"/>
  <c r="AU109" i="2" l="1"/>
  <c r="AW109" i="2" s="1"/>
  <c r="AT109" i="2" a="1"/>
  <c r="AS109" i="2"/>
  <c r="AR109" i="2"/>
  <c r="AQ109" i="2"/>
  <c r="AP109" i="2"/>
  <c r="AO109" i="2"/>
  <c r="AN109" i="2"/>
  <c r="AT109" i="2" l="1"/>
  <c r="AL109" i="2"/>
  <c r="AK109" i="2" a="1"/>
  <c r="AJ109" i="2"/>
  <c r="AI109" i="2"/>
  <c r="AH109" i="2"/>
  <c r="AK109" i="2" l="1"/>
  <c r="AG109" i="2" a="1"/>
  <c r="AG109" i="2" l="1"/>
  <c r="AF109" i="2" a="1"/>
  <c r="AF109" i="2" l="1"/>
  <c r="AE109" i="2"/>
  <c r="AD109" i="2" a="1"/>
  <c r="AD109" i="2" l="1"/>
  <c r="AC109" i="2" a="1"/>
  <c r="AC109" i="2" l="1"/>
  <c r="AA109" i="2"/>
  <c r="W109" i="2" a="1"/>
  <c r="W109" i="2" l="1"/>
  <c r="V109" i="2" a="1"/>
  <c r="V109" i="2" l="1"/>
  <c r="N109" i="2" a="1"/>
  <c r="N109" i="2" l="1"/>
  <c r="M109" i="2" a="1"/>
  <c r="M109" i="2" l="1"/>
  <c r="L109" i="2" a="1"/>
  <c r="L109" i="2" l="1"/>
  <c r="K109" i="2" a="1"/>
  <c r="J109" i="2"/>
  <c r="I109" i="2"/>
  <c r="K109" i="2" l="1"/>
  <c r="H109" i="2" a="1"/>
  <c r="F109" i="2"/>
  <c r="E109" i="2"/>
  <c r="Q109" i="2" a="1"/>
  <c r="R109" i="2"/>
  <c r="Q109" i="2" l="1"/>
  <c r="H109" i="2"/>
  <c r="AM109" i="2" l="1"/>
  <c r="AB109" i="2"/>
  <c r="AX108" i="2"/>
  <c r="BC108" i="2" a="1"/>
  <c r="S109" i="2"/>
  <c r="AV108" i="2" a="1"/>
  <c r="AV108" i="2" l="1"/>
  <c r="Z109" i="2"/>
  <c r="Y109" i="2"/>
  <c r="X109" i="2"/>
  <c r="T109" i="2"/>
  <c r="U109" i="2" s="1"/>
  <c r="BC108" i="2"/>
  <c r="AU108" i="2" a="1"/>
  <c r="AU108" i="2" l="1"/>
  <c r="AW108" i="2" s="1"/>
  <c r="AT108" i="2" a="1"/>
  <c r="AS108" i="2"/>
  <c r="AR108" i="2"/>
  <c r="AQ108" i="2"/>
  <c r="AP108" i="2"/>
  <c r="AO108" i="2"/>
  <c r="AN108" i="2"/>
  <c r="AT108" i="2" l="1"/>
  <c r="AL108" i="2"/>
  <c r="AK108" i="2" a="1"/>
  <c r="AJ108" i="2"/>
  <c r="AI108" i="2"/>
  <c r="AH108" i="2"/>
  <c r="AK108" i="2" l="1"/>
  <c r="AG108" i="2" a="1"/>
  <c r="AG108" i="2" l="1"/>
  <c r="AF108" i="2" a="1"/>
  <c r="AF108" i="2" l="1"/>
  <c r="AE108" i="2"/>
  <c r="AD108" i="2" a="1"/>
  <c r="AD108" i="2" l="1"/>
  <c r="AC108" i="2" a="1"/>
  <c r="AC108" i="2" l="1"/>
  <c r="AA108" i="2"/>
  <c r="W108" i="2" a="1"/>
  <c r="W108" i="2" l="1"/>
  <c r="V108" i="2" a="1"/>
  <c r="V108" i="2" l="1"/>
  <c r="N108" i="2" a="1"/>
  <c r="N108" i="2" l="1"/>
  <c r="M108" i="2" a="1"/>
  <c r="M108" i="2" l="1"/>
  <c r="L108" i="2" a="1"/>
  <c r="L108" i="2" l="1"/>
  <c r="K108" i="2" a="1"/>
  <c r="J108" i="2"/>
  <c r="I108" i="2"/>
  <c r="K108" i="2" l="1"/>
  <c r="H108" i="2" a="1"/>
  <c r="F108" i="2"/>
  <c r="E108" i="2"/>
  <c r="Q108" i="2" a="1"/>
  <c r="R108" i="2"/>
  <c r="Q108" i="2" l="1"/>
  <c r="H108" i="2"/>
  <c r="AM108" i="2" l="1"/>
  <c r="AB108" i="2"/>
  <c r="AX107" i="2"/>
  <c r="S108" i="2"/>
  <c r="BC107" i="2" a="1"/>
  <c r="AV107" i="2" a="1"/>
  <c r="AV107" i="2" l="1"/>
  <c r="BC107" i="2"/>
  <c r="Y108" i="2"/>
  <c r="X108" i="2"/>
  <c r="Z108" i="2"/>
  <c r="T108" i="2"/>
  <c r="U108" i="2" s="1"/>
  <c r="AU107" i="2" a="1"/>
  <c r="AU107" i="2" l="1"/>
  <c r="AW107" i="2" s="1"/>
  <c r="AT107" i="2" a="1"/>
  <c r="AS107" i="2"/>
  <c r="AR107" i="2"/>
  <c r="AQ107" i="2"/>
  <c r="AP107" i="2"/>
  <c r="AO107" i="2"/>
  <c r="AN107" i="2"/>
  <c r="AT107" i="2" l="1"/>
  <c r="AL107" i="2"/>
  <c r="AK107" i="2" a="1"/>
  <c r="AJ107" i="2"/>
  <c r="AI107" i="2"/>
  <c r="AH107" i="2"/>
  <c r="AK107" i="2" l="1"/>
  <c r="AG107" i="2" a="1"/>
  <c r="AG107" i="2" l="1"/>
  <c r="AF107" i="2" a="1"/>
  <c r="AF107" i="2" l="1"/>
  <c r="AE107" i="2"/>
  <c r="AD107" i="2" a="1"/>
  <c r="AD107" i="2" l="1"/>
  <c r="AC107" i="2" a="1"/>
  <c r="AC107" i="2" l="1"/>
  <c r="AA107" i="2"/>
  <c r="W107" i="2" a="1"/>
  <c r="W107" i="2" l="1"/>
  <c r="V107" i="2" a="1"/>
  <c r="V107" i="2" l="1"/>
  <c r="N107" i="2" a="1"/>
  <c r="N107" i="2" l="1"/>
  <c r="M107" i="2" a="1"/>
  <c r="M107" i="2" l="1"/>
  <c r="L107" i="2" a="1"/>
  <c r="L107" i="2" l="1"/>
  <c r="K107" i="2" a="1"/>
  <c r="J107" i="2"/>
  <c r="I107" i="2"/>
  <c r="K107" i="2" l="1"/>
  <c r="H107" i="2" a="1"/>
  <c r="F107" i="2"/>
  <c r="E107" i="2"/>
  <c r="Q107" i="2" a="1"/>
  <c r="Q107" i="2" l="1"/>
  <c r="H107" i="2"/>
  <c r="R107" i="2"/>
  <c r="AM107" i="2" l="1"/>
  <c r="AB107" i="2"/>
  <c r="AX106" i="2"/>
  <c r="S107" i="2"/>
  <c r="BC106" i="2" a="1"/>
  <c r="AV106" i="2" a="1"/>
  <c r="AV106" i="2" l="1"/>
  <c r="BC106" i="2"/>
  <c r="Z107" i="2"/>
  <c r="X107" i="2"/>
  <c r="Y107" i="2"/>
  <c r="T107" i="2"/>
  <c r="U107" i="2" s="1"/>
  <c r="AU106" i="2" a="1"/>
  <c r="AU106" i="2" l="1"/>
  <c r="AW106" i="2" s="1"/>
  <c r="AT106" i="2" a="1"/>
  <c r="AS106" i="2"/>
  <c r="AR106" i="2"/>
  <c r="AQ106" i="2"/>
  <c r="AP106" i="2"/>
  <c r="AO106" i="2"/>
  <c r="AN106" i="2"/>
  <c r="AT106" i="2" l="1"/>
  <c r="AL106" i="2"/>
  <c r="AK106" i="2" a="1"/>
  <c r="AJ106" i="2"/>
  <c r="AI106" i="2"/>
  <c r="AH106" i="2"/>
  <c r="AK106" i="2" l="1"/>
  <c r="AG106" i="2" a="1"/>
  <c r="AG106" i="2" l="1"/>
  <c r="AF106" i="2" a="1"/>
  <c r="AF106" i="2" l="1"/>
  <c r="AE106" i="2"/>
  <c r="AD106" i="2" a="1"/>
  <c r="AD106" i="2" l="1"/>
  <c r="AC106" i="2" a="1"/>
  <c r="AC106" i="2" l="1"/>
  <c r="AA106" i="2"/>
  <c r="W106" i="2" a="1"/>
  <c r="W106" i="2" l="1"/>
  <c r="V106" i="2" a="1"/>
  <c r="V106" i="2" l="1"/>
  <c r="N106" i="2" a="1"/>
  <c r="N106" i="2" l="1"/>
  <c r="M106" i="2" a="1"/>
  <c r="M106" i="2" l="1"/>
  <c r="L106" i="2" a="1"/>
  <c r="L106" i="2" l="1"/>
  <c r="K106" i="2" a="1"/>
  <c r="J106" i="2"/>
  <c r="K106" i="2" l="1"/>
  <c r="H106" i="2" a="1"/>
  <c r="F106" i="2"/>
  <c r="E106" i="2"/>
  <c r="Q106" i="2" a="1"/>
  <c r="Q106" i="2" l="1"/>
  <c r="H106" i="2"/>
  <c r="R106" i="2"/>
  <c r="AM106" i="2" l="1"/>
  <c r="AB106" i="2"/>
  <c r="AX105" i="2"/>
  <c r="S106" i="2"/>
  <c r="BC105" i="2" a="1"/>
  <c r="AV105" i="2" a="1"/>
  <c r="AV105" i="2" l="1"/>
  <c r="BC105" i="2"/>
  <c r="Z106" i="2"/>
  <c r="Y106" i="2"/>
  <c r="X106" i="2"/>
  <c r="T106" i="2"/>
  <c r="U106" i="2" s="1"/>
  <c r="AU105" i="2" a="1"/>
  <c r="AU105" i="2" l="1"/>
  <c r="AW105" i="2" s="1"/>
  <c r="AT105" i="2" a="1"/>
  <c r="AS105" i="2"/>
  <c r="AR105" i="2"/>
  <c r="AQ105" i="2"/>
  <c r="AP105" i="2"/>
  <c r="AO105" i="2"/>
  <c r="AN105" i="2"/>
  <c r="AT105" i="2" l="1"/>
  <c r="AL105" i="2"/>
  <c r="AK105" i="2" a="1"/>
  <c r="AJ105" i="2"/>
  <c r="AI105" i="2"/>
  <c r="AH105" i="2"/>
  <c r="AK105" i="2" l="1"/>
  <c r="AG105" i="2" a="1"/>
  <c r="AG105" i="2" l="1"/>
  <c r="AF105" i="2" a="1"/>
  <c r="AF105" i="2" l="1"/>
  <c r="AE105" i="2"/>
  <c r="AD105" i="2" a="1"/>
  <c r="AD105" i="2" l="1"/>
  <c r="AC105" i="2" a="1"/>
  <c r="AC105" i="2" l="1"/>
  <c r="AA105" i="2"/>
  <c r="W105" i="2" a="1"/>
  <c r="W105" i="2" l="1"/>
  <c r="V105" i="2" a="1"/>
  <c r="V105" i="2" l="1"/>
  <c r="N105" i="2" a="1"/>
  <c r="N105" i="2" l="1"/>
  <c r="M105" i="2" a="1"/>
  <c r="M105" i="2" l="1"/>
  <c r="L105" i="2" a="1"/>
  <c r="L105" i="2" l="1"/>
  <c r="K105" i="2" a="1"/>
  <c r="J105" i="2"/>
  <c r="I105" i="2"/>
  <c r="K105" i="2" l="1"/>
  <c r="H105" i="2" a="1"/>
  <c r="F105" i="2"/>
  <c r="E105" i="2"/>
  <c r="Q105" i="2" a="1"/>
  <c r="Q105" i="2" l="1"/>
  <c r="H105" i="2"/>
  <c r="R105" i="2"/>
  <c r="AM105" i="2" l="1"/>
  <c r="AB105" i="2"/>
  <c r="AX104" i="2"/>
  <c r="S105" i="2"/>
  <c r="BC104" i="2" a="1"/>
  <c r="AV104" i="2" a="1"/>
  <c r="AV104" i="2" l="1"/>
  <c r="BC104" i="2"/>
  <c r="Z105" i="2"/>
  <c r="Y105" i="2"/>
  <c r="X105" i="2"/>
  <c r="T105" i="2"/>
  <c r="U105" i="2" s="1"/>
  <c r="AU104" i="2" a="1"/>
  <c r="AU104" i="2" l="1"/>
  <c r="AW104" i="2" s="1"/>
  <c r="AT104" i="2" a="1"/>
  <c r="AS104" i="2"/>
  <c r="AR104" i="2"/>
  <c r="AQ104" i="2"/>
  <c r="AP104" i="2"/>
  <c r="AO104" i="2"/>
  <c r="AN104" i="2"/>
  <c r="AT104" i="2" l="1"/>
  <c r="AL104" i="2"/>
  <c r="AK104" i="2" a="1"/>
  <c r="AJ104" i="2"/>
  <c r="AI104" i="2"/>
  <c r="AH104" i="2"/>
  <c r="AK104" i="2" l="1"/>
  <c r="AG104" i="2" a="1"/>
  <c r="AG104" i="2" l="1"/>
  <c r="AF104" i="2" a="1"/>
  <c r="AF104" i="2" l="1"/>
  <c r="AE104" i="2"/>
  <c r="AD104" i="2" a="1"/>
  <c r="AD104" i="2" l="1"/>
  <c r="AC104" i="2" a="1"/>
  <c r="AC104" i="2" l="1"/>
  <c r="AA104" i="2"/>
  <c r="W104" i="2" a="1"/>
  <c r="W104" i="2" l="1"/>
  <c r="V104" i="2" a="1"/>
  <c r="V104" i="2" l="1"/>
  <c r="N104" i="2" a="1"/>
  <c r="N104" i="2" l="1"/>
  <c r="M104" i="2" a="1"/>
  <c r="M104" i="2" l="1"/>
  <c r="L104" i="2" a="1"/>
  <c r="L104" i="2" l="1"/>
  <c r="K104" i="2" a="1"/>
  <c r="J104" i="2"/>
  <c r="I104" i="2"/>
  <c r="K104" i="2" l="1"/>
  <c r="H104" i="2" a="1"/>
  <c r="F104" i="2"/>
  <c r="E104" i="2"/>
  <c r="Q104" i="2" a="1"/>
  <c r="Q104" i="2" l="1"/>
  <c r="H104" i="2"/>
  <c r="R104" i="2"/>
  <c r="AM104" i="2" l="1"/>
  <c r="AB104" i="2"/>
  <c r="AX103" i="2"/>
  <c r="S104" i="2"/>
  <c r="BC103" i="2" a="1"/>
  <c r="AV103" i="2" a="1"/>
  <c r="AV103" i="2" l="1"/>
  <c r="BC103" i="2"/>
  <c r="Z104" i="2"/>
  <c r="Y104" i="2"/>
  <c r="X104" i="2"/>
  <c r="T104" i="2"/>
  <c r="U104" i="2" s="1"/>
  <c r="AU103" i="2" a="1"/>
  <c r="AU103" i="2" l="1"/>
  <c r="AW103" i="2" s="1"/>
  <c r="AT103" i="2" a="1"/>
  <c r="AS103" i="2"/>
  <c r="AR103" i="2"/>
  <c r="AQ103" i="2"/>
  <c r="AP103" i="2"/>
  <c r="AO103" i="2"/>
  <c r="AN103" i="2"/>
  <c r="AT103" i="2" l="1"/>
  <c r="AL103" i="2"/>
  <c r="AK103" i="2" a="1"/>
  <c r="AJ103" i="2"/>
  <c r="AI103" i="2"/>
  <c r="AH103" i="2"/>
  <c r="AK103" i="2" l="1"/>
  <c r="AG103" i="2" a="1"/>
  <c r="AG103" i="2" l="1"/>
  <c r="AF103" i="2" a="1"/>
  <c r="AF103" i="2" l="1"/>
  <c r="AE103" i="2"/>
  <c r="AD103" i="2" a="1"/>
  <c r="AD103" i="2" l="1"/>
  <c r="AC103" i="2" a="1"/>
  <c r="AC103" i="2" l="1"/>
  <c r="AA103" i="2"/>
  <c r="W103" i="2" a="1"/>
  <c r="W103" i="2" l="1"/>
  <c r="V103" i="2" a="1"/>
  <c r="V103" i="2" l="1"/>
  <c r="N103" i="2" a="1"/>
  <c r="N103" i="2" l="1"/>
  <c r="M103" i="2" a="1"/>
  <c r="M103" i="2" l="1"/>
  <c r="L103" i="2" a="1"/>
  <c r="L103" i="2" l="1"/>
  <c r="K103" i="2" a="1"/>
  <c r="J103" i="2"/>
  <c r="I103" i="2"/>
  <c r="K103" i="2" l="1"/>
  <c r="H103" i="2" a="1"/>
  <c r="F103" i="2"/>
  <c r="E103" i="2"/>
  <c r="Q103" i="2" a="1"/>
  <c r="Q103" i="2" l="1"/>
  <c r="H103" i="2"/>
  <c r="R103" i="2"/>
  <c r="AM103" i="2" l="1"/>
  <c r="AB103" i="2"/>
  <c r="AX102" i="2"/>
  <c r="S103" i="2"/>
  <c r="BC102" i="2" a="1"/>
  <c r="AV102" i="2" a="1"/>
  <c r="AV102" i="2" l="1"/>
  <c r="BC102" i="2"/>
  <c r="Z103" i="2"/>
  <c r="Y103" i="2"/>
  <c r="X103" i="2"/>
  <c r="T103" i="2"/>
  <c r="U103" i="2" s="1"/>
  <c r="AU102" i="2" a="1"/>
  <c r="AU102" i="2" l="1"/>
  <c r="AW102" i="2" s="1"/>
  <c r="AT102" i="2" a="1"/>
  <c r="AS102" i="2"/>
  <c r="AR102" i="2"/>
  <c r="AQ102" i="2"/>
  <c r="AP102" i="2"/>
  <c r="AO102" i="2"/>
  <c r="AN102" i="2"/>
  <c r="AT102" i="2" l="1"/>
  <c r="AL102" i="2"/>
  <c r="AK102" i="2" a="1"/>
  <c r="AJ102" i="2"/>
  <c r="AI102" i="2"/>
  <c r="AH102" i="2"/>
  <c r="AK102" i="2" l="1"/>
  <c r="AG102" i="2" a="1"/>
  <c r="AG102" i="2" l="1"/>
  <c r="AF102" i="2" a="1"/>
  <c r="AF102" i="2" l="1"/>
  <c r="AE102" i="2"/>
  <c r="AD102" i="2" a="1"/>
  <c r="AD102" i="2" l="1"/>
  <c r="AC102" i="2" a="1"/>
  <c r="AC102" i="2" l="1"/>
  <c r="AA102" i="2"/>
  <c r="W102" i="2" a="1"/>
  <c r="W102" i="2" l="1"/>
  <c r="V102" i="2" a="1"/>
  <c r="V102" i="2" l="1"/>
  <c r="N102" i="2" a="1"/>
  <c r="N102" i="2" l="1"/>
  <c r="M102" i="2" a="1"/>
  <c r="M102" i="2" l="1"/>
  <c r="L102" i="2" a="1"/>
  <c r="L102" i="2" l="1"/>
  <c r="K102" i="2" a="1"/>
  <c r="J102" i="2"/>
  <c r="I102" i="2"/>
  <c r="K102" i="2" l="1"/>
  <c r="H102" i="2" a="1"/>
  <c r="F102" i="2"/>
  <c r="E102" i="2"/>
  <c r="Q102" i="2" a="1"/>
  <c r="Q102" i="2" l="1"/>
  <c r="H102" i="2"/>
  <c r="R102" i="2"/>
  <c r="AM102" i="2" l="1"/>
  <c r="AB102" i="2"/>
  <c r="AX101" i="2"/>
  <c r="S102" i="2"/>
  <c r="BC101" i="2" a="1"/>
  <c r="AV101" i="2" a="1"/>
  <c r="AV101" i="2" l="1"/>
  <c r="BC101" i="2"/>
  <c r="Z102" i="2"/>
  <c r="Y102" i="2"/>
  <c r="X102" i="2"/>
  <c r="T102" i="2"/>
  <c r="U102" i="2" s="1"/>
  <c r="AU101" i="2" a="1"/>
  <c r="AU101" i="2" l="1"/>
  <c r="AW101" i="2" s="1"/>
  <c r="AT101" i="2" a="1"/>
  <c r="AS101" i="2"/>
  <c r="AR101" i="2"/>
  <c r="AQ101" i="2"/>
  <c r="AP101" i="2"/>
  <c r="AO101" i="2"/>
  <c r="AN101" i="2"/>
  <c r="AT101" i="2" l="1"/>
  <c r="AL101" i="2"/>
  <c r="AK101" i="2" a="1"/>
  <c r="AJ101" i="2"/>
  <c r="AI101" i="2"/>
  <c r="AH101" i="2"/>
  <c r="AK101" i="2" l="1"/>
  <c r="AG101" i="2" a="1"/>
  <c r="AG101" i="2" l="1"/>
  <c r="AF101" i="2" a="1"/>
  <c r="AF101" i="2" l="1"/>
  <c r="AE101" i="2"/>
  <c r="AD101" i="2" a="1"/>
  <c r="AD101" i="2" l="1"/>
  <c r="AC101" i="2" a="1"/>
  <c r="AC101" i="2" l="1"/>
  <c r="AA101" i="2"/>
  <c r="W101" i="2" a="1"/>
  <c r="W101" i="2" l="1"/>
  <c r="V101" i="2" a="1"/>
  <c r="V101" i="2" l="1"/>
  <c r="N101" i="2" a="1"/>
  <c r="N101" i="2" l="1"/>
  <c r="M101" i="2" a="1"/>
  <c r="M101" i="2" l="1"/>
  <c r="L101" i="2" a="1"/>
  <c r="L101" i="2" l="1"/>
  <c r="K101" i="2" a="1"/>
  <c r="J101" i="2"/>
  <c r="I101" i="2"/>
  <c r="K101" i="2" l="1"/>
  <c r="H101" i="2" a="1"/>
  <c r="F101" i="2"/>
  <c r="E101" i="2"/>
  <c r="Q101" i="2" a="1"/>
  <c r="Q101" i="2" l="1"/>
  <c r="H101" i="2"/>
  <c r="R101" i="2"/>
  <c r="AM101" i="2" l="1"/>
  <c r="AB101" i="2"/>
  <c r="AX100" i="2"/>
  <c r="S101" i="2"/>
  <c r="BC100" i="2" a="1"/>
  <c r="AV100" i="2" a="1"/>
  <c r="AV100" i="2" l="1"/>
  <c r="BC100" i="2"/>
  <c r="Z101" i="2"/>
  <c r="Y101" i="2"/>
  <c r="X101" i="2"/>
  <c r="T101" i="2"/>
  <c r="U101" i="2" s="1"/>
  <c r="AU100" i="2" a="1"/>
  <c r="AU100" i="2" l="1"/>
  <c r="AW100" i="2" s="1"/>
  <c r="AT100" i="2" a="1"/>
  <c r="AS100" i="2"/>
  <c r="AR100" i="2"/>
  <c r="AQ100" i="2"/>
  <c r="AP100" i="2"/>
  <c r="AO100" i="2"/>
  <c r="AN100" i="2"/>
  <c r="AT100" i="2" l="1"/>
  <c r="AL100" i="2"/>
  <c r="AK100" i="2" a="1"/>
  <c r="AJ100" i="2"/>
  <c r="AI100" i="2"/>
  <c r="AH100" i="2"/>
  <c r="AK100" i="2" l="1"/>
  <c r="AG100" i="2" a="1"/>
  <c r="AG100" i="2" l="1"/>
  <c r="AF100" i="2" a="1"/>
  <c r="AF100" i="2" l="1"/>
  <c r="AE100" i="2"/>
  <c r="AD100" i="2" a="1"/>
  <c r="AD100" i="2" l="1"/>
  <c r="AC100" i="2" a="1"/>
  <c r="AC100" i="2" l="1"/>
  <c r="AA100" i="2"/>
  <c r="W100" i="2" a="1"/>
  <c r="W100" i="2" l="1"/>
  <c r="V100" i="2" a="1"/>
  <c r="V100" i="2" l="1"/>
  <c r="N100" i="2" a="1"/>
  <c r="N100" i="2" l="1"/>
  <c r="M100" i="2" a="1"/>
  <c r="M100" i="2" l="1"/>
  <c r="L100" i="2" a="1"/>
  <c r="L100" i="2" l="1"/>
  <c r="K100" i="2" a="1"/>
  <c r="J100" i="2"/>
  <c r="I100" i="2"/>
  <c r="K100" i="2" l="1"/>
  <c r="H100" i="2" a="1"/>
  <c r="F100" i="2"/>
  <c r="E100" i="2"/>
  <c r="Q100" i="2" a="1"/>
  <c r="Q100" i="2" l="1"/>
  <c r="H100" i="2"/>
  <c r="R100" i="2"/>
  <c r="AM100" i="2" l="1"/>
  <c r="AB100" i="2"/>
  <c r="AX99" i="2"/>
  <c r="S100" i="2"/>
  <c r="BC99" i="2" a="1"/>
  <c r="AV99" i="2" a="1"/>
  <c r="AV99" i="2" l="1"/>
  <c r="BC99" i="2"/>
  <c r="Z100" i="2"/>
  <c r="Y100" i="2"/>
  <c r="X100" i="2"/>
  <c r="T100" i="2"/>
  <c r="U100" i="2" s="1"/>
  <c r="AU99" i="2" a="1"/>
  <c r="AU99" i="2" l="1"/>
  <c r="AW99" i="2" s="1"/>
  <c r="AT99" i="2" a="1"/>
  <c r="AS99" i="2"/>
  <c r="AR99" i="2"/>
  <c r="AQ99" i="2"/>
  <c r="AP99" i="2"/>
  <c r="AO99" i="2"/>
  <c r="AN99" i="2"/>
  <c r="AT99" i="2" l="1"/>
  <c r="AL99" i="2"/>
  <c r="AK99" i="2" a="1"/>
  <c r="AJ99" i="2"/>
  <c r="AI99" i="2"/>
  <c r="AH99" i="2"/>
  <c r="AK99" i="2" l="1"/>
  <c r="AG99" i="2" a="1"/>
  <c r="AG99" i="2" l="1"/>
  <c r="AF99" i="2" a="1"/>
  <c r="AF99" i="2" l="1"/>
  <c r="AE99" i="2"/>
  <c r="AD99" i="2" a="1"/>
  <c r="AD99" i="2" l="1"/>
  <c r="AC99" i="2" a="1"/>
  <c r="AC99" i="2" l="1"/>
  <c r="AA99" i="2"/>
  <c r="W99" i="2" a="1"/>
  <c r="W99" i="2" l="1"/>
  <c r="V99" i="2" a="1"/>
  <c r="V99" i="2" l="1"/>
  <c r="N99" i="2" a="1"/>
  <c r="N99" i="2" l="1"/>
  <c r="M99" i="2" a="1"/>
  <c r="M99" i="2" l="1"/>
  <c r="L99" i="2" a="1"/>
  <c r="L99" i="2" l="1"/>
  <c r="K99" i="2" a="1"/>
  <c r="J99" i="2"/>
  <c r="I99" i="2"/>
  <c r="K99" i="2" l="1"/>
  <c r="H99" i="2" a="1"/>
  <c r="F99" i="2"/>
  <c r="E99" i="2"/>
  <c r="Q99" i="2" a="1"/>
  <c r="Q99" i="2" l="1"/>
  <c r="H99" i="2"/>
  <c r="R99" i="2"/>
  <c r="AM99" i="2" l="1"/>
  <c r="AB99" i="2"/>
  <c r="AX98" i="2"/>
  <c r="S99" i="2"/>
  <c r="BC98" i="2" a="1"/>
  <c r="AV98" i="2" a="1"/>
  <c r="AV98" i="2" l="1"/>
  <c r="BC98" i="2"/>
  <c r="Z99" i="2"/>
  <c r="Y99" i="2"/>
  <c r="X99" i="2"/>
  <c r="T99" i="2"/>
  <c r="U99" i="2" s="1"/>
  <c r="AU98" i="2" a="1"/>
  <c r="AU98" i="2" l="1"/>
  <c r="AW98" i="2" s="1"/>
  <c r="AT98" i="2" a="1"/>
  <c r="AS98" i="2"/>
  <c r="AR98" i="2"/>
  <c r="AQ98" i="2"/>
  <c r="AP98" i="2"/>
  <c r="AO98" i="2"/>
  <c r="AN98" i="2"/>
  <c r="AT98" i="2" l="1"/>
  <c r="AL98" i="2"/>
  <c r="AK98" i="2" a="1"/>
  <c r="AJ98" i="2"/>
  <c r="AI98" i="2"/>
  <c r="AH98" i="2"/>
  <c r="AK98" i="2" l="1"/>
  <c r="AG98" i="2" a="1"/>
  <c r="AG98" i="2" l="1"/>
  <c r="AF98" i="2" a="1"/>
  <c r="AF98" i="2" l="1"/>
  <c r="AE98" i="2"/>
  <c r="AD98" i="2" a="1"/>
  <c r="AD98" i="2" l="1"/>
  <c r="AC98" i="2" a="1"/>
  <c r="AC98" i="2" l="1"/>
  <c r="AA98" i="2"/>
  <c r="W98" i="2" a="1"/>
  <c r="W98" i="2" l="1"/>
  <c r="V98" i="2" a="1"/>
  <c r="V98" i="2" l="1"/>
  <c r="N98" i="2" a="1"/>
  <c r="N98" i="2" l="1"/>
  <c r="M98" i="2" a="1"/>
  <c r="M98" i="2" l="1"/>
  <c r="L98" i="2" a="1"/>
  <c r="L98" i="2" l="1"/>
  <c r="K98" i="2" a="1"/>
  <c r="J98" i="2"/>
  <c r="I98" i="2"/>
  <c r="K98" i="2" l="1"/>
  <c r="H98" i="2" a="1"/>
  <c r="F98" i="2"/>
  <c r="E98" i="2"/>
  <c r="Q98" i="2" a="1"/>
  <c r="Q98" i="2" l="1"/>
  <c r="H98" i="2"/>
  <c r="R98" i="2"/>
  <c r="AM98" i="2" l="1"/>
  <c r="AB98" i="2"/>
  <c r="AX97" i="2"/>
  <c r="S98" i="2"/>
  <c r="BC97" i="2" a="1"/>
  <c r="AV97" i="2" a="1"/>
  <c r="AV97" i="2" l="1"/>
  <c r="BC97" i="2"/>
  <c r="Z98" i="2"/>
  <c r="Y98" i="2"/>
  <c r="X98" i="2"/>
  <c r="T98" i="2"/>
  <c r="U98" i="2" s="1"/>
  <c r="AU97" i="2" a="1"/>
  <c r="AU97" i="2" l="1"/>
  <c r="AW97" i="2" s="1"/>
  <c r="AT97" i="2" a="1"/>
  <c r="AS97" i="2"/>
  <c r="AR97" i="2"/>
  <c r="AQ97" i="2"/>
  <c r="AP97" i="2"/>
  <c r="AO97" i="2"/>
  <c r="AN97" i="2"/>
  <c r="AT97" i="2" l="1"/>
  <c r="AL97" i="2"/>
  <c r="AK97" i="2" a="1"/>
  <c r="AJ97" i="2"/>
  <c r="AI97" i="2"/>
  <c r="AH97" i="2"/>
  <c r="AK97" i="2" l="1"/>
  <c r="AG97" i="2" a="1"/>
  <c r="AG97" i="2" l="1"/>
  <c r="AF97" i="2" a="1"/>
  <c r="AF97" i="2" l="1"/>
  <c r="AE97" i="2"/>
  <c r="AD97" i="2" a="1"/>
  <c r="AD97" i="2" l="1"/>
  <c r="AC97" i="2" a="1"/>
  <c r="AC97" i="2" l="1"/>
  <c r="AA97" i="2"/>
  <c r="W97" i="2" a="1"/>
  <c r="W97" i="2" l="1"/>
  <c r="V97" i="2" a="1"/>
  <c r="V97" i="2" l="1"/>
  <c r="N97" i="2" a="1"/>
  <c r="N97" i="2" l="1"/>
  <c r="M97" i="2" a="1"/>
  <c r="M97" i="2" l="1"/>
  <c r="L97" i="2" a="1"/>
  <c r="L97" i="2" l="1"/>
  <c r="K97" i="2" a="1"/>
  <c r="J97" i="2"/>
  <c r="I97" i="2"/>
  <c r="K97" i="2" l="1"/>
  <c r="H97" i="2" a="1"/>
  <c r="F97" i="2"/>
  <c r="E97" i="2"/>
  <c r="Q97" i="2" a="1"/>
  <c r="Q97" i="2" l="1"/>
  <c r="H97" i="2"/>
  <c r="R97" i="2"/>
  <c r="AM97" i="2" l="1"/>
  <c r="AB97" i="2"/>
  <c r="AX96" i="2"/>
  <c r="S97" i="2"/>
  <c r="BC96" i="2" a="1"/>
  <c r="AV96" i="2" a="1"/>
  <c r="AV96" i="2" l="1"/>
  <c r="BC96" i="2"/>
  <c r="Z97" i="2"/>
  <c r="Y97" i="2"/>
  <c r="X97" i="2"/>
  <c r="T97" i="2"/>
  <c r="U97" i="2" s="1"/>
  <c r="AU96" i="2" a="1"/>
  <c r="AU96" i="2" l="1"/>
  <c r="AW96" i="2" s="1"/>
  <c r="AT96" i="2" a="1"/>
  <c r="AS96" i="2"/>
  <c r="AR96" i="2"/>
  <c r="AQ96" i="2"/>
  <c r="AP96" i="2"/>
  <c r="AO96" i="2"/>
  <c r="AN96" i="2"/>
  <c r="AT96" i="2" l="1"/>
  <c r="AL96" i="2"/>
  <c r="AK96" i="2" a="1"/>
  <c r="AJ96" i="2"/>
  <c r="AI96" i="2"/>
  <c r="AH96" i="2"/>
  <c r="AK96" i="2" l="1"/>
  <c r="AG96" i="2" a="1"/>
  <c r="AG96" i="2" l="1"/>
  <c r="AF96" i="2" a="1"/>
  <c r="AF96" i="2" l="1"/>
  <c r="AE96" i="2"/>
  <c r="AD96" i="2" a="1"/>
  <c r="AD96" i="2" l="1"/>
  <c r="AC96" i="2" a="1"/>
  <c r="AC96" i="2" l="1"/>
  <c r="AA96" i="2"/>
  <c r="W96" i="2" a="1"/>
  <c r="W96" i="2" l="1"/>
  <c r="V96" i="2" a="1"/>
  <c r="V96" i="2" l="1"/>
  <c r="N96" i="2" a="1"/>
  <c r="N96" i="2" l="1"/>
  <c r="M96" i="2" a="1"/>
  <c r="M96" i="2" l="1"/>
  <c r="L96" i="2" a="1"/>
  <c r="L96" i="2" l="1"/>
  <c r="K96" i="2" a="1"/>
  <c r="J96" i="2"/>
  <c r="I96" i="2"/>
  <c r="K96" i="2" l="1"/>
  <c r="H96" i="2" a="1"/>
  <c r="F96" i="2"/>
  <c r="E96" i="2"/>
  <c r="Q96" i="2" a="1"/>
  <c r="Q96" i="2" l="1"/>
  <c r="H96" i="2"/>
  <c r="R96" i="2"/>
  <c r="AM96" i="2" l="1"/>
  <c r="AB96" i="2"/>
  <c r="AX95" i="2"/>
  <c r="S96" i="2"/>
  <c r="BC95" i="2" a="1"/>
  <c r="AV95" i="2" a="1"/>
  <c r="AV95" i="2" l="1"/>
  <c r="BC95" i="2"/>
  <c r="Z96" i="2"/>
  <c r="Y96" i="2"/>
  <c r="X96" i="2"/>
  <c r="T96" i="2"/>
  <c r="U96" i="2" s="1"/>
  <c r="AU95" i="2" a="1"/>
  <c r="AU95" i="2" l="1"/>
  <c r="AW95" i="2" s="1"/>
  <c r="AT95" i="2" a="1"/>
  <c r="AS95" i="2"/>
  <c r="AR95" i="2"/>
  <c r="AQ95" i="2"/>
  <c r="AP95" i="2"/>
  <c r="AO95" i="2"/>
  <c r="AN95" i="2"/>
  <c r="AT95" i="2" l="1"/>
  <c r="AL95" i="2"/>
  <c r="AK95" i="2" a="1"/>
  <c r="AJ95" i="2"/>
  <c r="AI95" i="2"/>
  <c r="AH95" i="2"/>
  <c r="AK95" i="2" l="1"/>
  <c r="AG95" i="2" a="1"/>
  <c r="AG95" i="2" l="1"/>
  <c r="AF95" i="2" a="1"/>
  <c r="AF95" i="2" l="1"/>
  <c r="AE95" i="2"/>
  <c r="AD95" i="2" a="1"/>
  <c r="AD95" i="2" l="1"/>
  <c r="AC95" i="2" a="1"/>
  <c r="AC95" i="2" l="1"/>
  <c r="AA95" i="2"/>
  <c r="W95" i="2" a="1"/>
  <c r="W95" i="2" l="1"/>
  <c r="V95" i="2" a="1"/>
  <c r="V95" i="2" l="1"/>
  <c r="N95" i="2" a="1"/>
  <c r="N95" i="2" l="1"/>
  <c r="M95" i="2" a="1"/>
  <c r="M95" i="2" l="1"/>
  <c r="L95" i="2" a="1"/>
  <c r="L95" i="2" l="1"/>
  <c r="K95" i="2" a="1"/>
  <c r="J95" i="2"/>
  <c r="I95" i="2"/>
  <c r="K95" i="2" l="1"/>
  <c r="H95" i="2" a="1"/>
  <c r="F95" i="2"/>
  <c r="E95" i="2"/>
  <c r="Q95" i="2" a="1"/>
  <c r="Q95" i="2" l="1"/>
  <c r="H95" i="2"/>
  <c r="R95" i="2"/>
  <c r="AM95" i="2" l="1"/>
  <c r="AB95" i="2"/>
  <c r="AX94" i="2"/>
  <c r="S95" i="2"/>
  <c r="BC94" i="2" a="1"/>
  <c r="AV94" i="2" a="1"/>
  <c r="AV94" i="2" l="1"/>
  <c r="BC94" i="2"/>
  <c r="Z95" i="2"/>
  <c r="Y95" i="2"/>
  <c r="X95" i="2"/>
  <c r="T95" i="2"/>
  <c r="U95" i="2" s="1"/>
  <c r="AU94" i="2" a="1"/>
  <c r="AU94" i="2" l="1"/>
  <c r="AW94" i="2" s="1"/>
  <c r="AT94" i="2" a="1"/>
  <c r="AS94" i="2"/>
  <c r="AR94" i="2"/>
  <c r="AQ94" i="2"/>
  <c r="AP94" i="2"/>
  <c r="AO94" i="2"/>
  <c r="AN94" i="2"/>
  <c r="AT94" i="2" l="1"/>
  <c r="AL94" i="2"/>
  <c r="AK94" i="2" a="1"/>
  <c r="AJ94" i="2"/>
  <c r="AI94" i="2"/>
  <c r="AH94" i="2"/>
  <c r="AK94" i="2" l="1"/>
  <c r="AG94" i="2" a="1"/>
  <c r="AG94" i="2" l="1"/>
  <c r="AF94" i="2" a="1"/>
  <c r="AF94" i="2" l="1"/>
  <c r="AE94" i="2"/>
  <c r="AD94" i="2" a="1"/>
  <c r="AD94" i="2" l="1"/>
  <c r="AC94" i="2" a="1"/>
  <c r="AC94" i="2" l="1"/>
  <c r="AA94" i="2"/>
  <c r="W94" i="2" a="1"/>
  <c r="W94" i="2" l="1"/>
  <c r="V94" i="2" a="1"/>
  <c r="V94" i="2" l="1"/>
  <c r="N94" i="2" a="1"/>
  <c r="N94" i="2" l="1"/>
  <c r="M94" i="2" a="1"/>
  <c r="M94" i="2" l="1"/>
  <c r="L94" i="2" a="1"/>
  <c r="L94" i="2" l="1"/>
  <c r="K94" i="2" a="1"/>
  <c r="J94" i="2"/>
  <c r="I94" i="2"/>
  <c r="K94" i="2" l="1"/>
  <c r="H94" i="2" a="1"/>
  <c r="F94" i="2"/>
  <c r="E94" i="2"/>
  <c r="Q94" i="2" a="1"/>
  <c r="Q94" i="2" l="1"/>
  <c r="H94" i="2"/>
  <c r="R94" i="2"/>
  <c r="AM94" i="2" l="1"/>
  <c r="AB94" i="2"/>
  <c r="AX93" i="2"/>
  <c r="S94" i="2"/>
  <c r="BC93" i="2" a="1"/>
  <c r="AV93" i="2" a="1"/>
  <c r="AV93" i="2" l="1"/>
  <c r="BC93" i="2"/>
  <c r="Z94" i="2"/>
  <c r="Y94" i="2"/>
  <c r="X94" i="2"/>
  <c r="T94" i="2"/>
  <c r="U94" i="2" s="1"/>
  <c r="AU93" i="2" a="1"/>
  <c r="AU93" i="2" l="1"/>
  <c r="AW93" i="2" s="1"/>
  <c r="AT93" i="2" a="1"/>
  <c r="AS93" i="2"/>
  <c r="AR93" i="2"/>
  <c r="AQ93" i="2"/>
  <c r="AP93" i="2"/>
  <c r="AO93" i="2"/>
  <c r="AN93" i="2"/>
  <c r="AT93" i="2" l="1"/>
  <c r="AL93" i="2"/>
  <c r="AK93" i="2" a="1"/>
  <c r="AJ93" i="2"/>
  <c r="AI93" i="2"/>
  <c r="AH93" i="2"/>
  <c r="AK93" i="2" l="1"/>
  <c r="AG93" i="2" a="1"/>
  <c r="AG93" i="2" l="1"/>
  <c r="AF93" i="2" a="1"/>
  <c r="AF93" i="2" l="1"/>
  <c r="AE93" i="2"/>
  <c r="AD93" i="2" a="1"/>
  <c r="AD93" i="2" l="1"/>
  <c r="AC93" i="2" a="1"/>
  <c r="AC93" i="2" l="1"/>
  <c r="AA93" i="2"/>
  <c r="W93" i="2" a="1"/>
  <c r="W93" i="2" l="1"/>
  <c r="V93" i="2" a="1"/>
  <c r="V93" i="2" l="1"/>
  <c r="N93" i="2" a="1"/>
  <c r="N93" i="2" l="1"/>
  <c r="M93" i="2" a="1"/>
  <c r="M93" i="2" l="1"/>
  <c r="L93" i="2" a="1"/>
  <c r="L93" i="2" l="1"/>
  <c r="K93" i="2" a="1"/>
  <c r="J93" i="2"/>
  <c r="I93" i="2"/>
  <c r="K93" i="2" l="1"/>
  <c r="H93" i="2" a="1"/>
  <c r="F93" i="2"/>
  <c r="E93" i="2"/>
  <c r="Q93" i="2" a="1"/>
  <c r="Q93" i="2" l="1"/>
  <c r="H93" i="2"/>
  <c r="R93" i="2"/>
  <c r="AM93" i="2" l="1"/>
  <c r="AB93" i="2"/>
  <c r="AX92" i="2"/>
  <c r="S93" i="2"/>
  <c r="BC92" i="2" a="1"/>
  <c r="AV92" i="2" a="1"/>
  <c r="AV92" i="2" l="1"/>
  <c r="BC92" i="2"/>
  <c r="Z93" i="2"/>
  <c r="Y93" i="2"/>
  <c r="X93" i="2"/>
  <c r="T93" i="2"/>
  <c r="U93" i="2" s="1"/>
  <c r="AU92" i="2" a="1"/>
  <c r="AU92" i="2" l="1"/>
  <c r="AW92" i="2" s="1"/>
  <c r="AT92" i="2" a="1"/>
  <c r="AS92" i="2"/>
  <c r="AR92" i="2"/>
  <c r="AQ92" i="2"/>
  <c r="AP92" i="2"/>
  <c r="AO92" i="2"/>
  <c r="AN92" i="2"/>
  <c r="AT92" i="2" l="1"/>
  <c r="AL92" i="2"/>
  <c r="AK92" i="2" a="1"/>
  <c r="AJ92" i="2"/>
  <c r="AI92" i="2"/>
  <c r="AH92" i="2"/>
  <c r="AK92" i="2" l="1"/>
  <c r="AG92" i="2" a="1"/>
  <c r="AG92" i="2" l="1"/>
  <c r="AF92" i="2" a="1"/>
  <c r="AF92" i="2" l="1"/>
  <c r="AE92" i="2"/>
  <c r="AD92" i="2" a="1"/>
  <c r="AD92" i="2" l="1"/>
  <c r="AC92" i="2" a="1"/>
  <c r="AC92" i="2" l="1"/>
  <c r="AA92" i="2"/>
  <c r="W92" i="2" a="1"/>
  <c r="W92" i="2" l="1"/>
  <c r="V92" i="2" a="1"/>
  <c r="V92" i="2" l="1"/>
  <c r="N92" i="2" a="1"/>
  <c r="N92" i="2" l="1"/>
  <c r="M92" i="2" a="1"/>
  <c r="M92" i="2" l="1"/>
  <c r="L92" i="2" a="1"/>
  <c r="L92" i="2" l="1"/>
  <c r="K92" i="2" a="1"/>
  <c r="J92" i="2"/>
  <c r="I92" i="2"/>
  <c r="K92" i="2" l="1"/>
  <c r="H92" i="2" a="1"/>
  <c r="F92" i="2"/>
  <c r="E92" i="2"/>
  <c r="Q92" i="2" a="1"/>
  <c r="Q92" i="2" l="1"/>
  <c r="H92" i="2"/>
  <c r="R92" i="2"/>
  <c r="AM92" i="2" l="1"/>
  <c r="AB92" i="2"/>
  <c r="AX91" i="2"/>
  <c r="S92" i="2"/>
  <c r="BC91" i="2" a="1"/>
  <c r="AV91" i="2" a="1"/>
  <c r="AV91" i="2" l="1"/>
  <c r="BC91" i="2"/>
  <c r="Z92" i="2"/>
  <c r="Y92" i="2"/>
  <c r="X92" i="2"/>
  <c r="T92" i="2"/>
  <c r="U92" i="2" s="1"/>
  <c r="AU91" i="2" a="1"/>
  <c r="AU91" i="2" l="1"/>
  <c r="AW91" i="2" s="1"/>
  <c r="AT91" i="2" a="1"/>
  <c r="AS91" i="2"/>
  <c r="AR91" i="2"/>
  <c r="AQ91" i="2"/>
  <c r="AP91" i="2"/>
  <c r="AO91" i="2"/>
  <c r="AN91" i="2"/>
  <c r="AT91" i="2" l="1"/>
  <c r="AL91" i="2"/>
  <c r="AK91" i="2" a="1"/>
  <c r="AJ91" i="2"/>
  <c r="AI91" i="2"/>
  <c r="AH91" i="2"/>
  <c r="AK91" i="2" l="1"/>
  <c r="AG91" i="2" a="1"/>
  <c r="AG91" i="2" l="1"/>
  <c r="AF91" i="2" a="1"/>
  <c r="AF91" i="2" l="1"/>
  <c r="AE91" i="2"/>
  <c r="AD91" i="2" a="1"/>
  <c r="AD91" i="2" l="1"/>
  <c r="AC91" i="2" a="1"/>
  <c r="AC91" i="2" l="1"/>
  <c r="AA91" i="2"/>
  <c r="W91" i="2" a="1"/>
  <c r="W91" i="2" l="1"/>
  <c r="V91" i="2" a="1"/>
  <c r="V91" i="2" l="1"/>
  <c r="N91" i="2" a="1"/>
  <c r="N91" i="2" l="1"/>
  <c r="M91" i="2" a="1"/>
  <c r="M91" i="2" l="1"/>
  <c r="L91" i="2" a="1"/>
  <c r="L91" i="2" l="1"/>
  <c r="K91" i="2" a="1"/>
  <c r="J91" i="2"/>
  <c r="I91" i="2"/>
  <c r="K91" i="2" l="1"/>
  <c r="H91" i="2" a="1"/>
  <c r="F91" i="2"/>
  <c r="E91" i="2"/>
  <c r="Q91" i="2" a="1"/>
  <c r="R91" i="2"/>
  <c r="Q91" i="2" l="1"/>
  <c r="H91" i="2"/>
  <c r="AM91" i="2" l="1"/>
  <c r="AB91" i="2"/>
  <c r="AX90" i="2"/>
  <c r="S91" i="2"/>
  <c r="BC90" i="2" a="1"/>
  <c r="AV90" i="2" a="1"/>
  <c r="AV90" i="2" l="1"/>
  <c r="BC90" i="2"/>
  <c r="Z91" i="2"/>
  <c r="Y91" i="2"/>
  <c r="X91" i="2"/>
  <c r="T91" i="2"/>
  <c r="U91" i="2" s="1"/>
  <c r="AU90" i="2" a="1"/>
  <c r="AU90" i="2" l="1"/>
  <c r="AW90" i="2" s="1"/>
  <c r="AT90" i="2" a="1"/>
  <c r="AS90" i="2"/>
  <c r="AR90" i="2"/>
  <c r="AQ90" i="2"/>
  <c r="AP90" i="2"/>
  <c r="AO90" i="2"/>
  <c r="AN90" i="2"/>
  <c r="AT90" i="2" l="1"/>
  <c r="AL90" i="2"/>
  <c r="AK90" i="2" a="1"/>
  <c r="AJ90" i="2"/>
  <c r="AI90" i="2"/>
  <c r="AH90" i="2"/>
  <c r="AK90" i="2" l="1"/>
  <c r="AG90" i="2" a="1"/>
  <c r="AG90" i="2" l="1"/>
  <c r="AF90" i="2" a="1"/>
  <c r="AF90" i="2" l="1"/>
  <c r="AE90" i="2"/>
  <c r="AD90" i="2" a="1"/>
  <c r="AD90" i="2" l="1"/>
  <c r="AC90" i="2" a="1"/>
  <c r="AC90" i="2" l="1"/>
  <c r="AA90" i="2"/>
  <c r="W90" i="2" a="1"/>
  <c r="W90" i="2" l="1"/>
  <c r="V90" i="2" a="1"/>
  <c r="V90" i="2" l="1"/>
  <c r="N90" i="2" a="1"/>
  <c r="N90" i="2" l="1"/>
  <c r="M90" i="2" a="1"/>
  <c r="M90" i="2" l="1"/>
  <c r="L90" i="2" a="1"/>
  <c r="L90" i="2" l="1"/>
  <c r="K90" i="2" a="1"/>
  <c r="J90" i="2"/>
  <c r="I90" i="2"/>
  <c r="K90" i="2" l="1"/>
  <c r="H90" i="2" a="1"/>
  <c r="F90" i="2"/>
  <c r="E90" i="2"/>
  <c r="Q90" i="2" a="1"/>
  <c r="R90" i="2"/>
  <c r="Q90" i="2" l="1"/>
  <c r="H90" i="2"/>
  <c r="AM90" i="2" l="1"/>
  <c r="AB90" i="2"/>
  <c r="AX89" i="2"/>
  <c r="S90" i="2"/>
  <c r="BC89" i="2" a="1"/>
  <c r="AV89" i="2" a="1"/>
  <c r="AV89" i="2" l="1"/>
  <c r="BC89" i="2"/>
  <c r="Z90" i="2"/>
  <c r="Y90" i="2"/>
  <c r="X90" i="2"/>
  <c r="T90" i="2"/>
  <c r="U90" i="2" s="1"/>
  <c r="AU89" i="2" a="1"/>
  <c r="AU89" i="2" l="1"/>
  <c r="AW89" i="2" s="1"/>
  <c r="AT89" i="2" a="1"/>
  <c r="AS89" i="2"/>
  <c r="AR89" i="2"/>
  <c r="AQ89" i="2"/>
  <c r="AP89" i="2"/>
  <c r="AO89" i="2"/>
  <c r="AN89" i="2"/>
  <c r="AT89" i="2" l="1"/>
  <c r="AL89" i="2"/>
  <c r="AK89" i="2" a="1"/>
  <c r="AJ89" i="2"/>
  <c r="AI89" i="2"/>
  <c r="AH89" i="2"/>
  <c r="AK89" i="2" l="1"/>
  <c r="AG89" i="2" a="1"/>
  <c r="AG89" i="2" l="1"/>
  <c r="AF89" i="2" a="1"/>
  <c r="AF89" i="2" l="1"/>
  <c r="AE89" i="2"/>
  <c r="AD89" i="2" a="1"/>
  <c r="AD89" i="2" l="1"/>
  <c r="AC89" i="2" a="1"/>
  <c r="AC89" i="2" l="1"/>
  <c r="AA89" i="2"/>
  <c r="W89" i="2" a="1"/>
  <c r="W89" i="2" l="1"/>
  <c r="V89" i="2" a="1"/>
  <c r="V89" i="2" l="1"/>
  <c r="N89" i="2" a="1"/>
  <c r="N89" i="2" l="1"/>
  <c r="M89" i="2" a="1"/>
  <c r="M89" i="2" l="1"/>
  <c r="L89" i="2" a="1"/>
  <c r="L89" i="2" l="1"/>
  <c r="K89" i="2" a="1"/>
  <c r="J89" i="2"/>
  <c r="I89" i="2"/>
  <c r="K89" i="2" l="1"/>
  <c r="H89" i="2" a="1"/>
  <c r="F89" i="2"/>
  <c r="E89" i="2"/>
  <c r="Q89" i="2" a="1"/>
  <c r="R89" i="2"/>
  <c r="Q89" i="2" l="1"/>
  <c r="H89" i="2"/>
  <c r="AM89" i="2" l="1"/>
  <c r="AB89" i="2"/>
  <c r="AX88" i="2"/>
  <c r="S89" i="2"/>
  <c r="BC88" i="2" a="1"/>
  <c r="AV88" i="2" a="1"/>
  <c r="AV88" i="2" l="1"/>
  <c r="BC88" i="2"/>
  <c r="Z89" i="2"/>
  <c r="Y89" i="2"/>
  <c r="X89" i="2"/>
  <c r="T89" i="2"/>
  <c r="U89" i="2" s="1"/>
  <c r="AU88" i="2" a="1"/>
  <c r="AU88" i="2" l="1"/>
  <c r="AW88" i="2" s="1"/>
  <c r="AT88" i="2" a="1"/>
  <c r="AS88" i="2"/>
  <c r="AR88" i="2"/>
  <c r="AQ88" i="2"/>
  <c r="AP88" i="2"/>
  <c r="AO88" i="2"/>
  <c r="AN88" i="2"/>
  <c r="AT88" i="2" l="1"/>
  <c r="AL88" i="2"/>
  <c r="AK88" i="2" a="1"/>
  <c r="AJ88" i="2"/>
  <c r="AI88" i="2"/>
  <c r="AH88" i="2"/>
  <c r="AK88" i="2" l="1"/>
  <c r="AG88" i="2" a="1"/>
  <c r="AG88" i="2" l="1"/>
  <c r="AF88" i="2" a="1"/>
  <c r="AF88" i="2" l="1"/>
  <c r="AE88" i="2"/>
  <c r="AD88" i="2" a="1"/>
  <c r="AD88" i="2" l="1"/>
  <c r="AC88" i="2" a="1"/>
  <c r="AC88" i="2" l="1"/>
  <c r="AA88" i="2"/>
  <c r="W88" i="2" a="1"/>
  <c r="W88" i="2" l="1"/>
  <c r="V88" i="2" a="1"/>
  <c r="V88" i="2" l="1"/>
  <c r="N88" i="2" a="1"/>
  <c r="N88" i="2" l="1"/>
  <c r="M88" i="2" a="1"/>
  <c r="M88" i="2" l="1"/>
  <c r="L88" i="2" a="1"/>
  <c r="L88" i="2" l="1"/>
  <c r="K88" i="2" a="1"/>
  <c r="J88" i="2"/>
  <c r="I88" i="2"/>
  <c r="K88" i="2" l="1"/>
  <c r="H88" i="2" a="1"/>
  <c r="F88" i="2"/>
  <c r="E88" i="2"/>
  <c r="Q88" i="2" a="1"/>
  <c r="R88" i="2"/>
  <c r="Q88" i="2" l="1"/>
  <c r="H88" i="2"/>
  <c r="AM88" i="2" l="1"/>
  <c r="AB88" i="2"/>
  <c r="AX87" i="2"/>
  <c r="S88" i="2"/>
  <c r="BC87" i="2" a="1"/>
  <c r="AV87" i="2" a="1"/>
  <c r="AV87" i="2" l="1"/>
  <c r="BC87" i="2"/>
  <c r="Z88" i="2"/>
  <c r="Y88" i="2"/>
  <c r="X88" i="2"/>
  <c r="T88" i="2"/>
  <c r="U88" i="2" s="1"/>
  <c r="AU87" i="2" a="1"/>
  <c r="AU87" i="2" l="1"/>
  <c r="AW87" i="2" s="1"/>
  <c r="AT87" i="2" a="1"/>
  <c r="AS87" i="2"/>
  <c r="AR87" i="2"/>
  <c r="AQ87" i="2"/>
  <c r="AP87" i="2"/>
  <c r="AO87" i="2"/>
  <c r="AN87" i="2"/>
  <c r="AT87" i="2" l="1"/>
  <c r="AL87" i="2"/>
  <c r="AK87" i="2" a="1"/>
  <c r="AJ87" i="2"/>
  <c r="AI87" i="2"/>
  <c r="AH87" i="2"/>
  <c r="AK87" i="2" l="1"/>
  <c r="AG87" i="2" a="1"/>
  <c r="AG87" i="2" l="1"/>
  <c r="AF87" i="2" a="1"/>
  <c r="AF87" i="2" l="1"/>
  <c r="AE87" i="2"/>
  <c r="AD87" i="2" a="1"/>
  <c r="AD87" i="2" l="1"/>
  <c r="AC87" i="2" a="1"/>
  <c r="AC87" i="2" l="1"/>
  <c r="AA87" i="2"/>
  <c r="W87" i="2" a="1"/>
  <c r="W87" i="2" l="1"/>
  <c r="V87" i="2" a="1"/>
  <c r="V87" i="2" l="1"/>
  <c r="N87" i="2" a="1"/>
  <c r="N87" i="2" l="1"/>
  <c r="M87" i="2" a="1"/>
  <c r="M87" i="2" l="1"/>
  <c r="L87" i="2" a="1"/>
  <c r="L87" i="2" l="1"/>
  <c r="K87" i="2" a="1"/>
  <c r="J87" i="2"/>
  <c r="I87" i="2"/>
  <c r="K87" i="2" l="1"/>
  <c r="H87" i="2" a="1"/>
  <c r="F87" i="2"/>
  <c r="E87" i="2"/>
  <c r="Q87" i="2" a="1"/>
  <c r="R87" i="2"/>
  <c r="Q87" i="2" l="1"/>
  <c r="H87" i="2"/>
  <c r="AM87" i="2" l="1"/>
  <c r="AB87" i="2"/>
  <c r="AX86" i="2"/>
  <c r="S87" i="2"/>
  <c r="BC86" i="2" a="1"/>
  <c r="AV86" i="2" a="1"/>
  <c r="AV86" i="2" l="1"/>
  <c r="BC86" i="2"/>
  <c r="Z87" i="2"/>
  <c r="Y87" i="2"/>
  <c r="X87" i="2"/>
  <c r="T87" i="2"/>
  <c r="U87" i="2" s="1"/>
  <c r="AU86" i="2" a="1"/>
  <c r="AU86" i="2" l="1"/>
  <c r="AW86" i="2" s="1"/>
  <c r="AT86" i="2" a="1"/>
  <c r="AS86" i="2"/>
  <c r="AR86" i="2"/>
  <c r="AQ86" i="2"/>
  <c r="AP86" i="2"/>
  <c r="AO86" i="2"/>
  <c r="AN86" i="2"/>
  <c r="AT86" i="2" l="1"/>
  <c r="AL86" i="2"/>
  <c r="AK86" i="2" a="1"/>
  <c r="AJ86" i="2"/>
  <c r="AI86" i="2"/>
  <c r="AH86" i="2"/>
  <c r="AK86" i="2" l="1"/>
  <c r="AG86" i="2" a="1"/>
  <c r="AG86" i="2" l="1"/>
  <c r="AF86" i="2" a="1"/>
  <c r="AF86" i="2" l="1"/>
  <c r="AE86" i="2"/>
  <c r="AD86" i="2" a="1"/>
  <c r="AD86" i="2" l="1"/>
  <c r="AC86" i="2" a="1"/>
  <c r="AC86" i="2" l="1"/>
  <c r="AA86" i="2"/>
  <c r="W86" i="2" a="1"/>
  <c r="W86" i="2" l="1"/>
  <c r="V86" i="2" a="1"/>
  <c r="V86" i="2" l="1"/>
  <c r="N86" i="2" a="1"/>
  <c r="N86" i="2" l="1"/>
  <c r="M86" i="2" a="1"/>
  <c r="M86" i="2" l="1"/>
  <c r="L86" i="2" a="1"/>
  <c r="L86" i="2" l="1"/>
  <c r="K86" i="2" a="1"/>
  <c r="J86" i="2"/>
  <c r="I86" i="2"/>
  <c r="K86" i="2" l="1"/>
  <c r="H86" i="2" a="1"/>
  <c r="F86" i="2"/>
  <c r="E86" i="2"/>
  <c r="Q86" i="2" a="1"/>
  <c r="R86" i="2"/>
  <c r="Q86" i="2" l="1"/>
  <c r="H86" i="2"/>
  <c r="AM86" i="2" l="1"/>
  <c r="AB86" i="2"/>
  <c r="AX85" i="2"/>
  <c r="S86" i="2"/>
  <c r="BC85" i="2" a="1"/>
  <c r="AV85" i="2" a="1"/>
  <c r="AV85" i="2" l="1"/>
  <c r="BC85" i="2"/>
  <c r="Z86" i="2"/>
  <c r="Y86" i="2"/>
  <c r="X86" i="2"/>
  <c r="T86" i="2"/>
  <c r="U86" i="2" s="1"/>
  <c r="AU85" i="2" a="1"/>
  <c r="AU85" i="2" l="1"/>
  <c r="AW85" i="2" s="1"/>
  <c r="AT85" i="2" a="1"/>
  <c r="AS85" i="2"/>
  <c r="AR85" i="2"/>
  <c r="AQ85" i="2"/>
  <c r="AP85" i="2"/>
  <c r="AO85" i="2"/>
  <c r="AN85" i="2"/>
  <c r="AT85" i="2" l="1"/>
  <c r="AL85" i="2"/>
  <c r="AK85" i="2" a="1"/>
  <c r="AJ85" i="2"/>
  <c r="AI85" i="2"/>
  <c r="AH85" i="2"/>
  <c r="AK85" i="2" l="1"/>
  <c r="AG85" i="2" a="1"/>
  <c r="AG85" i="2" l="1"/>
  <c r="AF85" i="2" a="1"/>
  <c r="AF85" i="2" l="1"/>
  <c r="AE85" i="2"/>
  <c r="AD85" i="2" a="1"/>
  <c r="AD85" i="2" l="1"/>
  <c r="AC85" i="2" a="1"/>
  <c r="AC85" i="2" l="1"/>
  <c r="AA85" i="2"/>
  <c r="W85" i="2" a="1"/>
  <c r="W85" i="2" l="1"/>
  <c r="V85" i="2" a="1"/>
  <c r="V85" i="2" l="1"/>
  <c r="N85" i="2" a="1"/>
  <c r="N85" i="2" l="1"/>
  <c r="M85" i="2" a="1"/>
  <c r="M85" i="2" l="1"/>
  <c r="L85" i="2" a="1"/>
  <c r="L85" i="2" l="1"/>
  <c r="K85" i="2" a="1"/>
  <c r="J85" i="2"/>
  <c r="I85" i="2"/>
  <c r="K85" i="2" l="1"/>
  <c r="H85" i="2" a="1"/>
  <c r="F85" i="2"/>
  <c r="E85" i="2"/>
  <c r="Q85" i="2" a="1"/>
  <c r="R85" i="2"/>
  <c r="Q85" i="2" l="1"/>
  <c r="H85" i="2"/>
  <c r="AM85" i="2" l="1"/>
  <c r="AB85" i="2"/>
  <c r="AX84" i="2"/>
  <c r="S85" i="2"/>
  <c r="BC84" i="2" a="1"/>
  <c r="AV84" i="2" a="1"/>
  <c r="AV84" i="2" l="1"/>
  <c r="BC84" i="2"/>
  <c r="Z85" i="2"/>
  <c r="Y85" i="2"/>
  <c r="X85" i="2"/>
  <c r="T85" i="2"/>
  <c r="U85" i="2" s="1"/>
  <c r="AU84" i="2" a="1"/>
  <c r="AU84" i="2" l="1"/>
  <c r="AW84" i="2" s="1"/>
  <c r="AT84" i="2" a="1"/>
  <c r="AS84" i="2"/>
  <c r="AR84" i="2"/>
  <c r="AQ84" i="2"/>
  <c r="AP84" i="2"/>
  <c r="AO84" i="2"/>
  <c r="AN84" i="2"/>
  <c r="AT84" i="2" l="1"/>
  <c r="AL84" i="2"/>
  <c r="AK84" i="2" a="1"/>
  <c r="AJ84" i="2"/>
  <c r="AI84" i="2"/>
  <c r="AH84" i="2"/>
  <c r="AK84" i="2" l="1"/>
  <c r="AG84" i="2" a="1"/>
  <c r="AG84" i="2" l="1"/>
  <c r="AF84" i="2" a="1"/>
  <c r="AF84" i="2" l="1"/>
  <c r="AE84" i="2"/>
  <c r="AD84" i="2" a="1"/>
  <c r="AD84" i="2" l="1"/>
  <c r="AC84" i="2" a="1"/>
  <c r="AC84" i="2" l="1"/>
  <c r="AA84" i="2"/>
  <c r="W84" i="2" a="1"/>
  <c r="W84" i="2" l="1"/>
  <c r="V84" i="2" a="1"/>
  <c r="V84" i="2" l="1"/>
  <c r="N84" i="2" a="1"/>
  <c r="N84" i="2" l="1"/>
  <c r="M84" i="2" a="1"/>
  <c r="M84" i="2" l="1"/>
  <c r="L84" i="2" a="1"/>
  <c r="L84" i="2" l="1"/>
  <c r="K84" i="2" a="1"/>
  <c r="J84" i="2"/>
  <c r="I84" i="2"/>
  <c r="K84" i="2" l="1"/>
  <c r="H84" i="2" a="1"/>
  <c r="F84" i="2"/>
  <c r="E84" i="2"/>
  <c r="Q84" i="2" a="1"/>
  <c r="R84" i="2"/>
  <c r="Q84" i="2" l="1"/>
  <c r="H84" i="2"/>
  <c r="AM84" i="2" l="1"/>
  <c r="AB84" i="2"/>
  <c r="AX83" i="2"/>
  <c r="S84" i="2"/>
  <c r="BC83" i="2" a="1"/>
  <c r="AV83" i="2" a="1"/>
  <c r="AV83" i="2" l="1"/>
  <c r="BC83" i="2"/>
  <c r="Z84" i="2"/>
  <c r="Y84" i="2"/>
  <c r="X84" i="2"/>
  <c r="T84" i="2"/>
  <c r="U84" i="2" s="1"/>
  <c r="AU83" i="2" a="1"/>
  <c r="AU83" i="2" l="1"/>
  <c r="AW83" i="2" s="1"/>
  <c r="AT83" i="2" a="1"/>
  <c r="AS83" i="2"/>
  <c r="AR83" i="2"/>
  <c r="AQ83" i="2"/>
  <c r="AP83" i="2"/>
  <c r="AO83" i="2"/>
  <c r="AN83" i="2"/>
  <c r="AT83" i="2" l="1"/>
  <c r="AL83" i="2"/>
  <c r="AK83" i="2" a="1"/>
  <c r="AJ83" i="2"/>
  <c r="AI83" i="2"/>
  <c r="AH83" i="2"/>
  <c r="AK83" i="2" l="1"/>
  <c r="AG83" i="2" a="1"/>
  <c r="AG83" i="2" l="1"/>
  <c r="AF83" i="2" a="1"/>
  <c r="AF83" i="2" l="1"/>
  <c r="AE83" i="2"/>
  <c r="AD83" i="2" a="1"/>
  <c r="AD83" i="2" l="1"/>
  <c r="AC83" i="2" a="1"/>
  <c r="AC83" i="2" l="1"/>
  <c r="AA83" i="2"/>
  <c r="W83" i="2" a="1"/>
  <c r="W83" i="2" l="1"/>
  <c r="V83" i="2" a="1"/>
  <c r="V83" i="2" l="1"/>
  <c r="N83" i="2" a="1"/>
  <c r="N83" i="2" l="1"/>
  <c r="M83" i="2" a="1"/>
  <c r="M83" i="2" l="1"/>
  <c r="L83" i="2" a="1"/>
  <c r="L83" i="2" l="1"/>
  <c r="K83" i="2" a="1"/>
  <c r="J83" i="2"/>
  <c r="I83" i="2"/>
  <c r="K83" i="2" l="1"/>
  <c r="H83" i="2" a="1"/>
  <c r="F83" i="2"/>
  <c r="E83" i="2"/>
  <c r="Q83" i="2" a="1"/>
  <c r="R83" i="2"/>
  <c r="Q83" i="2" l="1"/>
  <c r="H83" i="2"/>
  <c r="AM83" i="2" l="1"/>
  <c r="AB83" i="2"/>
  <c r="AX82" i="2"/>
  <c r="BC82" i="2" a="1"/>
  <c r="S83" i="2"/>
  <c r="AV82" i="2" a="1"/>
  <c r="AV82" i="2" l="1"/>
  <c r="Z83" i="2"/>
  <c r="Y83" i="2"/>
  <c r="X83" i="2"/>
  <c r="T83" i="2"/>
  <c r="U83" i="2" s="1"/>
  <c r="BC82" i="2"/>
  <c r="AU82" i="2" a="1"/>
  <c r="AU82" i="2" l="1"/>
  <c r="AW82" i="2" s="1"/>
  <c r="AT82" i="2" a="1"/>
  <c r="AS82" i="2"/>
  <c r="AR82" i="2"/>
  <c r="AQ82" i="2"/>
  <c r="AP82" i="2"/>
  <c r="AO82" i="2"/>
  <c r="AN82" i="2"/>
  <c r="AT82" i="2" l="1"/>
  <c r="AL82" i="2"/>
  <c r="AK82" i="2" a="1"/>
  <c r="AJ82" i="2"/>
  <c r="AI82" i="2"/>
  <c r="AH82" i="2"/>
  <c r="AK82" i="2" l="1"/>
  <c r="AG82" i="2" a="1"/>
  <c r="AG82" i="2" l="1"/>
  <c r="AF82" i="2" a="1"/>
  <c r="AF82" i="2" l="1"/>
  <c r="AE82" i="2"/>
  <c r="AD82" i="2" a="1"/>
  <c r="AD82" i="2" l="1"/>
  <c r="AC82" i="2" a="1"/>
  <c r="AC82" i="2" l="1"/>
  <c r="AA82" i="2"/>
  <c r="W82" i="2" a="1"/>
  <c r="W82" i="2" l="1"/>
  <c r="V82" i="2" a="1"/>
  <c r="V82" i="2" l="1"/>
  <c r="N82" i="2" a="1"/>
  <c r="N82" i="2" l="1"/>
  <c r="M82" i="2" a="1"/>
  <c r="M82" i="2" l="1"/>
  <c r="L82" i="2" a="1"/>
  <c r="L82" i="2" l="1"/>
  <c r="K82" i="2" a="1"/>
  <c r="J82" i="2"/>
  <c r="I82" i="2"/>
  <c r="K82" i="2" l="1"/>
  <c r="H82" i="2" a="1"/>
  <c r="F82" i="2"/>
  <c r="E82" i="2"/>
  <c r="Q82" i="2" a="1"/>
  <c r="R82" i="2"/>
  <c r="Q82" i="2" l="1"/>
  <c r="H82" i="2"/>
  <c r="AM82" i="2" l="1"/>
  <c r="AB82" i="2"/>
  <c r="AX81" i="2"/>
  <c r="BC81" i="2" a="1"/>
  <c r="S82" i="2"/>
  <c r="AV81" i="2" a="1"/>
  <c r="AV81" i="2" l="1"/>
  <c r="Y82" i="2"/>
  <c r="X82" i="2"/>
  <c r="Z82" i="2"/>
  <c r="T82" i="2"/>
  <c r="U82" i="2" s="1"/>
  <c r="BC81" i="2"/>
  <c r="AU81" i="2" a="1"/>
  <c r="AU81" i="2" l="1"/>
  <c r="AW81" i="2" s="1"/>
  <c r="AT81" i="2" a="1"/>
  <c r="AS81" i="2"/>
  <c r="AR81" i="2"/>
  <c r="AQ81" i="2"/>
  <c r="AP81" i="2"/>
  <c r="AO81" i="2"/>
  <c r="AN81" i="2"/>
  <c r="AT81" i="2" l="1"/>
  <c r="AL81" i="2"/>
  <c r="AK81" i="2" a="1"/>
  <c r="AJ81" i="2"/>
  <c r="AI81" i="2"/>
  <c r="AH81" i="2"/>
  <c r="AK81" i="2" l="1"/>
  <c r="AG81" i="2" a="1"/>
  <c r="AG81" i="2" l="1"/>
  <c r="AF81" i="2" a="1"/>
  <c r="AF81" i="2" l="1"/>
  <c r="AE81" i="2"/>
  <c r="AD81" i="2" a="1"/>
  <c r="AD81" i="2" l="1"/>
  <c r="AC81" i="2" a="1"/>
  <c r="AC81" i="2" l="1"/>
  <c r="AA81" i="2"/>
  <c r="W81" i="2" a="1"/>
  <c r="W81" i="2" l="1"/>
  <c r="V81" i="2" a="1"/>
  <c r="V81" i="2" l="1"/>
  <c r="N81" i="2" a="1"/>
  <c r="N81" i="2" l="1"/>
  <c r="M81" i="2" a="1"/>
  <c r="M81" i="2" l="1"/>
  <c r="L81" i="2" a="1"/>
  <c r="L81" i="2" l="1"/>
  <c r="K81" i="2" a="1"/>
  <c r="J81" i="2"/>
  <c r="I81" i="2"/>
  <c r="K81" i="2" l="1"/>
  <c r="H81" i="2" a="1"/>
  <c r="F81" i="2"/>
  <c r="E81" i="2"/>
  <c r="Q81" i="2" a="1"/>
  <c r="R81" i="2"/>
  <c r="Q81" i="2" l="1"/>
  <c r="H81" i="2"/>
  <c r="AM81" i="2" l="1"/>
  <c r="AB81" i="2"/>
  <c r="AX80" i="2"/>
  <c r="S81" i="2"/>
  <c r="BC80" i="2" a="1"/>
  <c r="AV80" i="2" a="1"/>
  <c r="AV80" i="2" l="1"/>
  <c r="BC80" i="2"/>
  <c r="Z81" i="2"/>
  <c r="Y81" i="2"/>
  <c r="X81" i="2"/>
  <c r="T81" i="2"/>
  <c r="U81" i="2" s="1"/>
  <c r="AU80" i="2" a="1"/>
  <c r="AU80" i="2" l="1"/>
  <c r="AW80" i="2" s="1"/>
  <c r="AT80" i="2" a="1"/>
  <c r="AS80" i="2"/>
  <c r="AR80" i="2"/>
  <c r="AQ80" i="2"/>
  <c r="AP80" i="2"/>
  <c r="AO80" i="2"/>
  <c r="AN80" i="2"/>
  <c r="AT80" i="2" l="1"/>
  <c r="AL80" i="2"/>
  <c r="AK80" i="2" a="1"/>
  <c r="AJ80" i="2"/>
  <c r="AI80" i="2"/>
  <c r="AH80" i="2"/>
  <c r="AK80" i="2" l="1"/>
  <c r="AG80" i="2" a="1"/>
  <c r="AG80" i="2" l="1"/>
  <c r="AF80" i="2" a="1"/>
  <c r="AF80" i="2" l="1"/>
  <c r="AE80" i="2"/>
  <c r="AD80" i="2" a="1"/>
  <c r="AD80" i="2" l="1"/>
  <c r="AC80" i="2" a="1"/>
  <c r="AC80" i="2" l="1"/>
  <c r="AA80" i="2"/>
  <c r="W80" i="2" a="1"/>
  <c r="W80" i="2" l="1"/>
  <c r="V80" i="2" a="1"/>
  <c r="V80" i="2" l="1"/>
  <c r="N80" i="2" a="1"/>
  <c r="N80" i="2" l="1"/>
  <c r="M80" i="2" a="1"/>
  <c r="M80" i="2" l="1"/>
  <c r="L80" i="2" a="1"/>
  <c r="L80" i="2" l="1"/>
  <c r="K80" i="2" a="1"/>
  <c r="J80" i="2"/>
  <c r="I80" i="2"/>
  <c r="K80" i="2" l="1"/>
  <c r="H80" i="2" a="1"/>
  <c r="F80" i="2"/>
  <c r="E80" i="2"/>
  <c r="Q80" i="2" a="1"/>
  <c r="R80" i="2"/>
  <c r="Q80" i="2" l="1"/>
  <c r="H80" i="2"/>
  <c r="AM80" i="2" l="1"/>
  <c r="AB80" i="2"/>
  <c r="AX79" i="2"/>
  <c r="S80" i="2"/>
  <c r="BC79" i="2" a="1"/>
  <c r="AV79" i="2" a="1"/>
  <c r="AV79" i="2" l="1"/>
  <c r="BC79" i="2"/>
  <c r="Z80" i="2"/>
  <c r="Y80" i="2"/>
  <c r="X80" i="2"/>
  <c r="T80" i="2"/>
  <c r="U80" i="2" s="1"/>
  <c r="AU79" i="2" a="1"/>
  <c r="AU79" i="2" l="1"/>
  <c r="AW79" i="2" s="1"/>
  <c r="AT79" i="2" a="1"/>
  <c r="AS79" i="2"/>
  <c r="AR79" i="2"/>
  <c r="AQ79" i="2"/>
  <c r="AP79" i="2"/>
  <c r="AO79" i="2"/>
  <c r="AN79" i="2"/>
  <c r="AT79" i="2" l="1"/>
  <c r="AL79" i="2"/>
  <c r="AK79" i="2" a="1"/>
  <c r="AJ79" i="2"/>
  <c r="AI79" i="2"/>
  <c r="AH79" i="2"/>
  <c r="AK79" i="2" l="1"/>
  <c r="AG79" i="2" a="1"/>
  <c r="AG79" i="2" l="1"/>
  <c r="AF79" i="2" a="1"/>
  <c r="AF79" i="2" l="1"/>
  <c r="AE79" i="2"/>
  <c r="AD79" i="2" a="1"/>
  <c r="AD79" i="2" l="1"/>
  <c r="AC79" i="2" a="1"/>
  <c r="AC79" i="2" l="1"/>
  <c r="AA79" i="2"/>
  <c r="W79" i="2" a="1"/>
  <c r="W79" i="2" l="1"/>
  <c r="V79" i="2" a="1"/>
  <c r="V79" i="2" l="1"/>
  <c r="N79" i="2" a="1"/>
  <c r="N79" i="2" l="1"/>
  <c r="M79" i="2" a="1"/>
  <c r="M79" i="2" l="1"/>
  <c r="L79" i="2" a="1"/>
  <c r="L79" i="2" l="1"/>
  <c r="K79" i="2" a="1"/>
  <c r="J79" i="2"/>
  <c r="I79" i="2"/>
  <c r="K79" i="2" l="1"/>
  <c r="H79" i="2" a="1"/>
  <c r="F79" i="2"/>
  <c r="E79" i="2"/>
  <c r="Q79" i="2" a="1"/>
  <c r="R79" i="2"/>
  <c r="Q79" i="2" l="1"/>
  <c r="H79" i="2"/>
  <c r="AM79" i="2" l="1"/>
  <c r="AB79" i="2"/>
  <c r="AX78" i="2"/>
  <c r="S79" i="2"/>
  <c r="BC78" i="2" a="1"/>
  <c r="AV78" i="2" a="1"/>
  <c r="AV78" i="2" l="1"/>
  <c r="BC78" i="2"/>
  <c r="Z79" i="2"/>
  <c r="X79" i="2"/>
  <c r="Y79" i="2"/>
  <c r="T79" i="2"/>
  <c r="U79" i="2" s="1"/>
  <c r="AU78" i="2" a="1"/>
  <c r="AU78" i="2" l="1"/>
  <c r="AW78" i="2" s="1"/>
  <c r="AT78" i="2" a="1"/>
  <c r="AS78" i="2"/>
  <c r="AR78" i="2"/>
  <c r="AQ78" i="2"/>
  <c r="AP78" i="2"/>
  <c r="AO78" i="2"/>
  <c r="AN78" i="2"/>
  <c r="AT78" i="2" l="1"/>
  <c r="AL78" i="2"/>
  <c r="AK78" i="2" a="1"/>
  <c r="AJ78" i="2"/>
  <c r="AI78" i="2"/>
  <c r="AH78" i="2"/>
  <c r="AK78" i="2" l="1"/>
  <c r="AG78" i="2" a="1"/>
  <c r="AG78" i="2" l="1"/>
  <c r="AF78" i="2" a="1"/>
  <c r="AF78" i="2" l="1"/>
  <c r="AE78" i="2"/>
  <c r="AD78" i="2" a="1"/>
  <c r="AD78" i="2" l="1"/>
  <c r="AC78" i="2" a="1"/>
  <c r="AC78" i="2" l="1"/>
  <c r="AA78" i="2"/>
  <c r="W78" i="2" a="1"/>
  <c r="W78" i="2" l="1"/>
  <c r="V78" i="2" a="1"/>
  <c r="V78" i="2" l="1"/>
  <c r="N78" i="2" a="1"/>
  <c r="N78" i="2" l="1"/>
  <c r="M78" i="2" a="1"/>
  <c r="M78" i="2" l="1"/>
  <c r="L78" i="2" a="1"/>
  <c r="L78" i="2" l="1"/>
  <c r="K78" i="2" a="1"/>
  <c r="J78" i="2"/>
  <c r="I78" i="2"/>
  <c r="K78" i="2" l="1"/>
  <c r="H78" i="2" a="1"/>
  <c r="F78" i="2"/>
  <c r="E78" i="2"/>
  <c r="Q78" i="2" a="1"/>
  <c r="R78" i="2"/>
  <c r="Q78" i="2" l="1"/>
  <c r="H78" i="2"/>
  <c r="AM78" i="2" l="1"/>
  <c r="AB78" i="2"/>
  <c r="AX77" i="2"/>
  <c r="S78" i="2"/>
  <c r="BC77" i="2" a="1"/>
  <c r="AV77" i="2" a="1"/>
  <c r="AV77" i="2" l="1"/>
  <c r="BC77" i="2"/>
  <c r="Z78" i="2"/>
  <c r="Y78" i="2"/>
  <c r="X78" i="2"/>
  <c r="T78" i="2"/>
  <c r="U78" i="2" s="1"/>
  <c r="AU77" i="2" a="1"/>
  <c r="AU77" i="2" l="1"/>
  <c r="AW77" i="2" s="1"/>
  <c r="AT77" i="2" a="1"/>
  <c r="AS77" i="2"/>
  <c r="AR77" i="2"/>
  <c r="AQ77" i="2"/>
  <c r="AP77" i="2"/>
  <c r="AO77" i="2"/>
  <c r="AN77" i="2"/>
  <c r="AT77" i="2" l="1"/>
  <c r="AL77" i="2"/>
  <c r="AK77" i="2" a="1"/>
  <c r="AJ77" i="2"/>
  <c r="AI77" i="2"/>
  <c r="AH77" i="2"/>
  <c r="AK77" i="2" l="1"/>
  <c r="AG77" i="2" a="1"/>
  <c r="AG77" i="2" l="1"/>
  <c r="AF77" i="2" a="1"/>
  <c r="AF77" i="2" l="1"/>
  <c r="AE77" i="2"/>
  <c r="AD77" i="2" a="1"/>
  <c r="AD77" i="2" l="1"/>
  <c r="AC77" i="2" a="1"/>
  <c r="AC77" i="2" l="1"/>
  <c r="AA77" i="2"/>
  <c r="W77" i="2" a="1"/>
  <c r="W77" i="2" l="1"/>
  <c r="V77" i="2" a="1"/>
  <c r="V77" i="2" l="1"/>
  <c r="N77" i="2" a="1"/>
  <c r="N77" i="2" l="1"/>
  <c r="M77" i="2" a="1"/>
  <c r="M77" i="2" l="1"/>
  <c r="L77" i="2" a="1"/>
  <c r="L77" i="2" l="1"/>
  <c r="K77" i="2" a="1"/>
  <c r="J77" i="2"/>
  <c r="I77" i="2"/>
  <c r="K77" i="2" l="1"/>
  <c r="H77" i="2" a="1"/>
  <c r="F77" i="2"/>
  <c r="E77" i="2"/>
  <c r="Q77" i="2" a="1"/>
  <c r="R77" i="2"/>
  <c r="Q77" i="2" l="1"/>
  <c r="H77" i="2"/>
  <c r="AM77" i="2" l="1"/>
  <c r="AB77" i="2"/>
  <c r="AX76" i="2"/>
  <c r="S77" i="2"/>
  <c r="BC76" i="2" a="1"/>
  <c r="AV76" i="2" a="1"/>
  <c r="AV76" i="2" l="1"/>
  <c r="BC76" i="2"/>
  <c r="Z77" i="2"/>
  <c r="Y77" i="2"/>
  <c r="X77" i="2"/>
  <c r="T77" i="2"/>
  <c r="U77" i="2" s="1"/>
  <c r="AU76" i="2" a="1"/>
  <c r="AU76" i="2" l="1"/>
  <c r="AW76" i="2" s="1"/>
  <c r="AT76" i="2" a="1"/>
  <c r="AS76" i="2"/>
  <c r="AR76" i="2"/>
  <c r="AQ76" i="2"/>
  <c r="AP76" i="2"/>
  <c r="AO76" i="2"/>
  <c r="AN76" i="2"/>
  <c r="AT76" i="2" l="1"/>
  <c r="AL76" i="2"/>
  <c r="AK76" i="2" a="1"/>
  <c r="AJ76" i="2"/>
  <c r="AI76" i="2"/>
  <c r="AH76" i="2"/>
  <c r="AK76" i="2" l="1"/>
  <c r="AG76" i="2" a="1"/>
  <c r="AG76" i="2" l="1"/>
  <c r="AF76" i="2" a="1"/>
  <c r="AF76" i="2" l="1"/>
  <c r="AE76" i="2"/>
  <c r="AD76" i="2" a="1"/>
  <c r="AD76" i="2" l="1"/>
  <c r="AC76" i="2" a="1"/>
  <c r="AC76" i="2" l="1"/>
  <c r="AA76" i="2"/>
  <c r="W76" i="2" a="1"/>
  <c r="W76" i="2" l="1"/>
  <c r="V76" i="2" a="1"/>
  <c r="V76" i="2" l="1"/>
  <c r="N76" i="2" a="1"/>
  <c r="N76" i="2" l="1"/>
  <c r="M76" i="2" a="1"/>
  <c r="M76" i="2" l="1"/>
  <c r="L76" i="2" a="1"/>
  <c r="L76" i="2" l="1"/>
  <c r="K76" i="2" a="1"/>
  <c r="J76" i="2"/>
  <c r="I76" i="2"/>
  <c r="K76" i="2" l="1"/>
  <c r="H76" i="2" a="1"/>
  <c r="F76" i="2"/>
  <c r="E76" i="2"/>
  <c r="Q76" i="2" a="1"/>
  <c r="R76" i="2"/>
  <c r="Q76" i="2" l="1"/>
  <c r="H76" i="2"/>
  <c r="AM76" i="2" l="1"/>
  <c r="AB76" i="2"/>
  <c r="AX75" i="2"/>
  <c r="S76" i="2"/>
  <c r="BC75" i="2" a="1"/>
  <c r="AV75" i="2" a="1"/>
  <c r="AV75" i="2" l="1"/>
  <c r="BC75" i="2"/>
  <c r="Y76" i="2"/>
  <c r="Z76" i="2"/>
  <c r="X76" i="2"/>
  <c r="T76" i="2"/>
  <c r="U76" i="2" s="1"/>
  <c r="AU75" i="2" a="1"/>
  <c r="AU75" i="2" l="1"/>
  <c r="AW75" i="2" s="1"/>
  <c r="AT75" i="2" a="1"/>
  <c r="AS75" i="2"/>
  <c r="AR75" i="2"/>
  <c r="AQ75" i="2"/>
  <c r="AP75" i="2"/>
  <c r="AO75" i="2"/>
  <c r="AN75" i="2"/>
  <c r="AT75" i="2" l="1"/>
  <c r="AL75" i="2"/>
  <c r="AK75" i="2" a="1"/>
  <c r="AJ75" i="2"/>
  <c r="AI75" i="2"/>
  <c r="AH75" i="2"/>
  <c r="AK75" i="2" l="1"/>
  <c r="AG75" i="2" a="1"/>
  <c r="AG75" i="2" l="1"/>
  <c r="AF75" i="2" a="1"/>
  <c r="AF75" i="2" l="1"/>
  <c r="AE75" i="2"/>
  <c r="AD75" i="2" a="1"/>
  <c r="AD75" i="2" l="1"/>
  <c r="AC75" i="2" a="1"/>
  <c r="AC75" i="2" l="1"/>
  <c r="AA75" i="2"/>
  <c r="W75" i="2" a="1"/>
  <c r="W75" i="2" l="1"/>
  <c r="V75" i="2" a="1"/>
  <c r="V75" i="2" l="1"/>
  <c r="N75" i="2" a="1"/>
  <c r="N75" i="2" l="1"/>
  <c r="M75" i="2" a="1"/>
  <c r="M75" i="2" l="1"/>
  <c r="L75" i="2" a="1"/>
  <c r="L75" i="2" l="1"/>
  <c r="K75" i="2" a="1"/>
  <c r="J75" i="2"/>
  <c r="I75" i="2"/>
  <c r="K75" i="2" l="1"/>
  <c r="H75" i="2" a="1"/>
  <c r="F75" i="2"/>
  <c r="E75" i="2"/>
  <c r="Q75" i="2" a="1"/>
  <c r="R75" i="2"/>
  <c r="Q75" i="2" l="1"/>
  <c r="H75" i="2"/>
  <c r="AM75" i="2" l="1"/>
  <c r="AB75" i="2"/>
  <c r="AX74" i="2"/>
  <c r="S75" i="2"/>
  <c r="BC74" i="2" a="1"/>
  <c r="AV74" i="2" a="1"/>
  <c r="AV74" i="2" l="1"/>
  <c r="BC74" i="2"/>
  <c r="Z75" i="2"/>
  <c r="Y75" i="2"/>
  <c r="X75" i="2"/>
  <c r="T75" i="2"/>
  <c r="U75" i="2" s="1"/>
  <c r="AU74" i="2" a="1"/>
  <c r="AU74" i="2" l="1"/>
  <c r="AW74" i="2" s="1"/>
  <c r="AT74" i="2" a="1"/>
  <c r="AS74" i="2"/>
  <c r="AR74" i="2"/>
  <c r="AQ74" i="2"/>
  <c r="AP74" i="2"/>
  <c r="AO74" i="2"/>
  <c r="AN74" i="2"/>
  <c r="AT74" i="2" l="1"/>
  <c r="AL74" i="2"/>
  <c r="AK74" i="2" a="1"/>
  <c r="AJ74" i="2"/>
  <c r="AI74" i="2"/>
  <c r="AH74" i="2"/>
  <c r="AK74" i="2" l="1"/>
  <c r="AG74" i="2" a="1"/>
  <c r="AG74" i="2" l="1"/>
  <c r="AF74" i="2" a="1"/>
  <c r="AF74" i="2" l="1"/>
  <c r="AE74" i="2"/>
  <c r="AD74" i="2" a="1"/>
  <c r="AD74" i="2" l="1"/>
  <c r="AC74" i="2" a="1"/>
  <c r="AC74" i="2" l="1"/>
  <c r="AA74" i="2"/>
  <c r="W74" i="2" a="1"/>
  <c r="W74" i="2" l="1"/>
  <c r="V74" i="2" a="1"/>
  <c r="V74" i="2" l="1"/>
  <c r="N74" i="2" a="1"/>
  <c r="N74" i="2" l="1"/>
  <c r="M74" i="2" a="1"/>
  <c r="M74" i="2" l="1"/>
  <c r="L74" i="2" a="1"/>
  <c r="L74" i="2" l="1"/>
  <c r="K74" i="2" a="1"/>
  <c r="J74" i="2"/>
  <c r="I74" i="2"/>
  <c r="K74" i="2" l="1"/>
  <c r="H74" i="2" a="1"/>
  <c r="F74" i="2"/>
  <c r="E74" i="2"/>
  <c r="Q74" i="2" a="1"/>
  <c r="R74" i="2"/>
  <c r="Q74" i="2" l="1"/>
  <c r="H74" i="2"/>
  <c r="AM74" i="2" l="1"/>
  <c r="AB74" i="2"/>
  <c r="AX73" i="2"/>
  <c r="S74" i="2"/>
  <c r="BC73" i="2" a="1"/>
  <c r="AV73" i="2" a="1"/>
  <c r="AV73" i="2" l="1"/>
  <c r="BC73" i="2"/>
  <c r="Z74" i="2"/>
  <c r="Y74" i="2"/>
  <c r="X74" i="2"/>
  <c r="T74" i="2"/>
  <c r="U74" i="2" s="1"/>
  <c r="AU73" i="2" a="1"/>
  <c r="AU73" i="2" l="1"/>
  <c r="AW73" i="2" s="1"/>
  <c r="AT73" i="2" a="1"/>
  <c r="AS73" i="2"/>
  <c r="AR73" i="2"/>
  <c r="AQ73" i="2"/>
  <c r="AP73" i="2"/>
  <c r="AO73" i="2"/>
  <c r="AN73" i="2"/>
  <c r="AT73" i="2" l="1"/>
  <c r="AL73" i="2"/>
  <c r="AK73" i="2" a="1"/>
  <c r="AJ73" i="2"/>
  <c r="AI73" i="2"/>
  <c r="AH73" i="2"/>
  <c r="AK73" i="2" l="1"/>
  <c r="AG73" i="2" a="1"/>
  <c r="AG73" i="2" l="1"/>
  <c r="AF73" i="2" a="1"/>
  <c r="AF73" i="2" l="1"/>
  <c r="AE73" i="2"/>
  <c r="AD73" i="2" a="1"/>
  <c r="AD73" i="2" l="1"/>
  <c r="AC73" i="2" a="1"/>
  <c r="AC73" i="2" l="1"/>
  <c r="AA73" i="2"/>
  <c r="W73" i="2" a="1"/>
  <c r="W73" i="2" l="1"/>
  <c r="V73" i="2" a="1"/>
  <c r="V73" i="2" l="1"/>
  <c r="N73" i="2" a="1"/>
  <c r="N73" i="2" l="1"/>
  <c r="M73" i="2" a="1"/>
  <c r="M73" i="2" l="1"/>
  <c r="L73" i="2" a="1"/>
  <c r="L73" i="2" l="1"/>
  <c r="K73" i="2" a="1"/>
  <c r="J73" i="2"/>
  <c r="I73" i="2"/>
  <c r="K73" i="2" l="1"/>
  <c r="H73" i="2" a="1"/>
  <c r="F73" i="2"/>
  <c r="E73" i="2"/>
  <c r="Q73" i="2" a="1"/>
  <c r="R73" i="2"/>
  <c r="Q73" i="2" l="1"/>
  <c r="H73" i="2"/>
  <c r="AM73" i="2" l="1"/>
  <c r="AB73" i="2"/>
  <c r="AX72" i="2"/>
  <c r="S73" i="2"/>
  <c r="BC72" i="2" a="1"/>
  <c r="AV72" i="2" a="1"/>
  <c r="AV72" i="2" l="1"/>
  <c r="BC72" i="2"/>
  <c r="Z73" i="2"/>
  <c r="Y73" i="2"/>
  <c r="X73" i="2"/>
  <c r="T73" i="2"/>
  <c r="U73" i="2" s="1"/>
  <c r="AU72" i="2" a="1"/>
  <c r="AU72" i="2" l="1"/>
  <c r="AW72" i="2" s="1"/>
  <c r="AT72" i="2" a="1"/>
  <c r="AS72" i="2"/>
  <c r="AR72" i="2"/>
  <c r="AQ72" i="2"/>
  <c r="AP72" i="2"/>
  <c r="AO72" i="2"/>
  <c r="AN72" i="2"/>
  <c r="AT72" i="2" l="1"/>
  <c r="AL72" i="2"/>
  <c r="AK72" i="2" a="1"/>
  <c r="AJ72" i="2"/>
  <c r="AI72" i="2"/>
  <c r="AH72" i="2"/>
  <c r="AK72" i="2" l="1"/>
  <c r="AG72" i="2" a="1"/>
  <c r="AG72" i="2" l="1"/>
  <c r="AF72" i="2" a="1"/>
  <c r="AF72" i="2" l="1"/>
  <c r="AE72" i="2"/>
  <c r="AD72" i="2" a="1"/>
  <c r="AD72" i="2" l="1"/>
  <c r="AC72" i="2" a="1"/>
  <c r="AC72" i="2" l="1"/>
  <c r="AA72" i="2"/>
  <c r="W72" i="2" a="1"/>
  <c r="W72" i="2" l="1"/>
  <c r="V72" i="2" a="1"/>
  <c r="V72" i="2" l="1"/>
  <c r="N72" i="2" a="1"/>
  <c r="N72" i="2" l="1"/>
  <c r="M72" i="2" a="1"/>
  <c r="M72" i="2" l="1"/>
  <c r="L72" i="2" a="1"/>
  <c r="L72" i="2" l="1"/>
  <c r="K72" i="2" a="1"/>
  <c r="J72" i="2"/>
  <c r="I72" i="2"/>
  <c r="K72" i="2" l="1"/>
  <c r="H72" i="2" a="1"/>
  <c r="F72" i="2"/>
  <c r="E72" i="2"/>
  <c r="Q72" i="2" a="1"/>
  <c r="R72" i="2"/>
  <c r="Q72" i="2" l="1"/>
  <c r="H72" i="2"/>
  <c r="AM72" i="2" l="1"/>
  <c r="AB72" i="2"/>
  <c r="AX71" i="2"/>
  <c r="S72" i="2"/>
  <c r="BC71" i="2" a="1"/>
  <c r="AV71" i="2" a="1"/>
  <c r="AV71" i="2" l="1"/>
  <c r="BC71" i="2"/>
  <c r="Z72" i="2"/>
  <c r="Y72" i="2"/>
  <c r="X72" i="2"/>
  <c r="T72" i="2"/>
  <c r="U72" i="2" s="1"/>
  <c r="AU71" i="2" a="1"/>
  <c r="AU71" i="2" l="1"/>
  <c r="AW71" i="2" s="1"/>
  <c r="AT71" i="2" a="1"/>
  <c r="AS71" i="2"/>
  <c r="AR71" i="2"/>
  <c r="AQ71" i="2"/>
  <c r="AP71" i="2"/>
  <c r="AO71" i="2"/>
  <c r="AN71" i="2"/>
  <c r="AT71" i="2" l="1"/>
  <c r="AL71" i="2"/>
  <c r="AK71" i="2" a="1"/>
  <c r="AJ71" i="2"/>
  <c r="AI71" i="2"/>
  <c r="AH71" i="2"/>
  <c r="AK71" i="2" l="1"/>
  <c r="AG71" i="2" a="1"/>
  <c r="AG71" i="2" l="1"/>
  <c r="AF71" i="2" a="1"/>
  <c r="AF71" i="2" l="1"/>
  <c r="AE71" i="2"/>
  <c r="AD71" i="2" a="1"/>
  <c r="AD71" i="2" l="1"/>
  <c r="AC71" i="2" a="1"/>
  <c r="AC71" i="2" l="1"/>
  <c r="AA71" i="2"/>
  <c r="W71" i="2" a="1"/>
  <c r="W71" i="2" l="1"/>
  <c r="V71" i="2" a="1"/>
  <c r="V71" i="2" l="1"/>
  <c r="N71" i="2" a="1"/>
  <c r="N71" i="2" l="1"/>
  <c r="M71" i="2" a="1"/>
  <c r="M71" i="2" l="1"/>
  <c r="L71" i="2" a="1"/>
  <c r="L71" i="2" l="1"/>
  <c r="K71" i="2" a="1"/>
  <c r="J71" i="2"/>
  <c r="I71" i="2"/>
  <c r="K71" i="2" l="1"/>
  <c r="H71" i="2" a="1"/>
  <c r="F71" i="2"/>
  <c r="E71" i="2"/>
  <c r="Q71" i="2" a="1"/>
  <c r="R71" i="2"/>
  <c r="Q71" i="2" l="1"/>
  <c r="H71" i="2"/>
  <c r="AM71" i="2" l="1"/>
  <c r="AB71" i="2"/>
  <c r="AX70" i="2"/>
  <c r="S71" i="2"/>
  <c r="BC70" i="2" a="1"/>
  <c r="AV70" i="2" a="1"/>
  <c r="AV70" i="2" l="1"/>
  <c r="BC70" i="2"/>
  <c r="Z71" i="2"/>
  <c r="Y71" i="2"/>
  <c r="X71" i="2"/>
  <c r="T71" i="2"/>
  <c r="U71" i="2" s="1"/>
  <c r="AU70" i="2" a="1"/>
  <c r="AU70" i="2" l="1"/>
  <c r="AW70" i="2" s="1"/>
  <c r="AT70" i="2" a="1"/>
  <c r="AS70" i="2"/>
  <c r="AR70" i="2"/>
  <c r="AQ70" i="2"/>
  <c r="AP70" i="2"/>
  <c r="AO70" i="2"/>
  <c r="AN70" i="2"/>
  <c r="AT70" i="2" l="1"/>
  <c r="AL70" i="2"/>
  <c r="AK70" i="2" a="1"/>
  <c r="AJ70" i="2"/>
  <c r="AI70" i="2"/>
  <c r="AH70" i="2"/>
  <c r="AK70" i="2" l="1"/>
  <c r="AG70" i="2" a="1"/>
  <c r="AG70" i="2" l="1"/>
  <c r="AF70" i="2" a="1"/>
  <c r="AF70" i="2" l="1"/>
  <c r="AE70" i="2"/>
  <c r="AD70" i="2" a="1"/>
  <c r="AD70" i="2" l="1"/>
  <c r="AC70" i="2" a="1"/>
  <c r="AC70" i="2" l="1"/>
  <c r="AA70" i="2"/>
  <c r="W70" i="2" a="1"/>
  <c r="W70" i="2" l="1"/>
  <c r="V70" i="2" a="1"/>
  <c r="V70" i="2" l="1"/>
  <c r="N70" i="2" a="1"/>
  <c r="N70" i="2" l="1"/>
  <c r="M70" i="2" a="1"/>
  <c r="M70" i="2" l="1"/>
  <c r="L70" i="2" a="1"/>
  <c r="L70" i="2" l="1"/>
  <c r="K70" i="2" a="1"/>
  <c r="J70" i="2"/>
  <c r="I70" i="2"/>
  <c r="K70" i="2" l="1"/>
  <c r="H70" i="2" a="1"/>
  <c r="F70" i="2"/>
  <c r="E70" i="2"/>
  <c r="Q70" i="2" a="1"/>
  <c r="R70" i="2"/>
  <c r="Q70" i="2" l="1"/>
  <c r="H70" i="2"/>
  <c r="AM70" i="2" l="1"/>
  <c r="AB70" i="2"/>
  <c r="AX69" i="2"/>
  <c r="S70" i="2"/>
  <c r="BC69" i="2" a="1"/>
  <c r="AV69" i="2" a="1"/>
  <c r="AV69" i="2" l="1"/>
  <c r="BC69" i="2"/>
  <c r="Z70" i="2"/>
  <c r="Y70" i="2"/>
  <c r="X70" i="2"/>
  <c r="T70" i="2"/>
  <c r="U70" i="2" s="1"/>
  <c r="AU69" i="2" a="1"/>
  <c r="AU69" i="2" l="1"/>
  <c r="AW69" i="2" s="1"/>
  <c r="AT69" i="2" a="1"/>
  <c r="AS69" i="2"/>
  <c r="AR69" i="2"/>
  <c r="AQ69" i="2"/>
  <c r="AP69" i="2"/>
  <c r="AO69" i="2"/>
  <c r="AN69" i="2"/>
  <c r="AT69" i="2" l="1"/>
  <c r="AL69" i="2"/>
  <c r="AK69" i="2" a="1"/>
  <c r="AJ69" i="2"/>
  <c r="AI69" i="2"/>
  <c r="AH69" i="2"/>
  <c r="AK69" i="2" l="1"/>
  <c r="AG69" i="2" a="1"/>
  <c r="AG69" i="2" l="1"/>
  <c r="AF69" i="2" a="1"/>
  <c r="AF69" i="2" l="1"/>
  <c r="AE69" i="2"/>
  <c r="AD69" i="2" a="1"/>
  <c r="AD69" i="2" l="1"/>
  <c r="AC69" i="2" a="1"/>
  <c r="AC69" i="2" l="1"/>
  <c r="AA69" i="2"/>
  <c r="W69" i="2" a="1"/>
  <c r="W69" i="2" l="1"/>
  <c r="V69" i="2" a="1"/>
  <c r="V69" i="2" l="1"/>
  <c r="N69" i="2" a="1"/>
  <c r="N69" i="2" l="1"/>
  <c r="M69" i="2" a="1"/>
  <c r="M69" i="2" l="1"/>
  <c r="L69" i="2" a="1"/>
  <c r="L69" i="2" l="1"/>
  <c r="K69" i="2" a="1"/>
  <c r="J69" i="2"/>
  <c r="I69" i="2"/>
  <c r="K69" i="2" l="1"/>
  <c r="H69" i="2" a="1"/>
  <c r="F69" i="2"/>
  <c r="E69" i="2"/>
  <c r="Q69" i="2" a="1"/>
  <c r="R69" i="2"/>
  <c r="Q69" i="2" l="1"/>
  <c r="H69" i="2"/>
  <c r="AX68" i="2"/>
  <c r="AV68" i="2" a="1"/>
  <c r="AV68" i="2" l="1"/>
  <c r="AM69" i="2"/>
  <c r="AB69" i="2"/>
  <c r="S69" i="2"/>
  <c r="AU68" i="2" a="1"/>
  <c r="AU68" i="2" l="1"/>
  <c r="AW68" i="2" s="1"/>
  <c r="Z69" i="2"/>
  <c r="Y69" i="2"/>
  <c r="X69" i="2"/>
  <c r="T69" i="2"/>
  <c r="U69" i="2" s="1"/>
  <c r="AT68" i="2" a="1"/>
  <c r="AS68" i="2"/>
  <c r="AR68" i="2"/>
  <c r="AQ68" i="2"/>
  <c r="AP68" i="2"/>
  <c r="AO68" i="2"/>
  <c r="AN68" i="2"/>
  <c r="AT68" i="2" l="1"/>
  <c r="AL68" i="2"/>
  <c r="AK68" i="2" a="1"/>
  <c r="AJ68" i="2"/>
  <c r="AI68" i="2"/>
  <c r="AH68" i="2"/>
  <c r="AK68" i="2" l="1"/>
  <c r="AG68" i="2" a="1"/>
  <c r="AG68" i="2" l="1"/>
  <c r="AF68" i="2" a="1"/>
  <c r="AF68" i="2" l="1"/>
  <c r="AE68" i="2"/>
  <c r="AD68" i="2" a="1"/>
  <c r="AD68" i="2" l="1"/>
  <c r="AC68" i="2" a="1"/>
  <c r="AC68" i="2" l="1"/>
  <c r="AA68" i="2"/>
  <c r="W68" i="2" a="1"/>
  <c r="W68" i="2" l="1"/>
  <c r="V68" i="2" a="1"/>
  <c r="V68" i="2" l="1"/>
  <c r="N68" i="2" a="1"/>
  <c r="N68" i="2" l="1"/>
  <c r="M68" i="2" a="1"/>
  <c r="M68" i="2" l="1"/>
  <c r="L68" i="2" a="1"/>
  <c r="L68" i="2" l="1"/>
  <c r="K68" i="2" a="1"/>
  <c r="J68" i="2"/>
  <c r="I68" i="2"/>
  <c r="K68" i="2" l="1"/>
  <c r="H68" i="2" a="1"/>
  <c r="F68" i="2"/>
  <c r="E68" i="2"/>
  <c r="Q68" i="2" a="1"/>
  <c r="R68" i="2"/>
  <c r="Q68" i="2" l="1"/>
  <c r="H68" i="2"/>
  <c r="AX67" i="2"/>
  <c r="AV67" i="2" a="1"/>
  <c r="AV67" i="2" l="1"/>
  <c r="AM68" i="2"/>
  <c r="AB68" i="2"/>
  <c r="S68" i="2"/>
  <c r="AU67" i="2" a="1"/>
  <c r="AU67" i="2" l="1"/>
  <c r="AW67" i="2" s="1"/>
  <c r="Z68" i="2"/>
  <c r="Y68" i="2"/>
  <c r="X68" i="2"/>
  <c r="T68" i="2"/>
  <c r="U68" i="2" s="1"/>
  <c r="AT67" i="2" a="1"/>
  <c r="AS67" i="2"/>
  <c r="AR67" i="2"/>
  <c r="AQ67" i="2"/>
  <c r="AP67" i="2"/>
  <c r="AO67" i="2"/>
  <c r="AN67" i="2"/>
  <c r="AT67" i="2" l="1"/>
  <c r="AL67" i="2"/>
  <c r="AK67" i="2" a="1"/>
  <c r="AJ67" i="2"/>
  <c r="AI67" i="2"/>
  <c r="AH67" i="2"/>
  <c r="AK67" i="2" l="1"/>
  <c r="AG67" i="2" a="1"/>
  <c r="AG67" i="2" l="1"/>
  <c r="AF67" i="2" a="1"/>
  <c r="AF67" i="2" l="1"/>
  <c r="AE67" i="2"/>
  <c r="AD67" i="2" a="1"/>
  <c r="AD67" i="2" l="1"/>
  <c r="AC67" i="2" a="1"/>
  <c r="AC67" i="2" l="1"/>
  <c r="AA67" i="2"/>
  <c r="W67" i="2" a="1"/>
  <c r="W67" i="2" l="1"/>
  <c r="V67" i="2" a="1"/>
  <c r="V67" i="2" l="1"/>
  <c r="N67" i="2" a="1"/>
  <c r="N67" i="2" l="1"/>
  <c r="M67" i="2" a="1"/>
  <c r="M67" i="2" l="1"/>
  <c r="L67" i="2" a="1"/>
  <c r="L67" i="2" l="1"/>
  <c r="K67" i="2" a="1"/>
  <c r="J67" i="2"/>
  <c r="I67" i="2"/>
  <c r="K67" i="2" l="1"/>
  <c r="H67" i="2" a="1"/>
  <c r="F67" i="2"/>
  <c r="E67" i="2"/>
  <c r="Q67" i="2" a="1"/>
  <c r="R67" i="2"/>
  <c r="Q67" i="2" l="1"/>
  <c r="H67" i="2"/>
  <c r="AM67" i="2" l="1"/>
  <c r="AB67" i="2"/>
  <c r="AX66" i="2"/>
  <c r="S67" i="2"/>
  <c r="BC66" i="2" a="1"/>
  <c r="AV66" i="2" a="1"/>
  <c r="AV66" i="2" l="1"/>
  <c r="BC66" i="2"/>
  <c r="Z67" i="2"/>
  <c r="Y67" i="2"/>
  <c r="X67" i="2"/>
  <c r="T67" i="2"/>
  <c r="U67" i="2" s="1"/>
  <c r="AU66" i="2" a="1"/>
  <c r="AU66" i="2" l="1"/>
  <c r="AW66" i="2" s="1"/>
  <c r="AT66" i="2" a="1"/>
  <c r="AS66" i="2"/>
  <c r="AR66" i="2"/>
  <c r="AQ66" i="2"/>
  <c r="AP66" i="2"/>
  <c r="AO66" i="2"/>
  <c r="AN66" i="2"/>
  <c r="AT66" i="2" l="1"/>
  <c r="AL66" i="2"/>
  <c r="AK66" i="2" a="1"/>
  <c r="AJ66" i="2"/>
  <c r="AI66" i="2"/>
  <c r="AH66" i="2"/>
  <c r="AK66" i="2" l="1"/>
  <c r="AG66" i="2" a="1"/>
  <c r="AG66" i="2" l="1"/>
  <c r="AF66" i="2" a="1"/>
  <c r="AF66" i="2" l="1"/>
  <c r="AE66" i="2"/>
  <c r="AD66" i="2" a="1"/>
  <c r="AD66" i="2" l="1"/>
  <c r="AC66" i="2" a="1"/>
  <c r="AC66" i="2" l="1"/>
  <c r="AA66" i="2"/>
  <c r="W66" i="2" a="1"/>
  <c r="W66" i="2" l="1"/>
  <c r="V66" i="2" a="1"/>
  <c r="V66" i="2" l="1"/>
  <c r="N66" i="2" a="1"/>
  <c r="N66" i="2" l="1"/>
  <c r="M66" i="2" a="1"/>
  <c r="M66" i="2" l="1"/>
  <c r="L66" i="2" a="1"/>
  <c r="L66" i="2" l="1"/>
  <c r="K66" i="2" a="1"/>
  <c r="J66" i="2"/>
  <c r="I66" i="2"/>
  <c r="K66" i="2" l="1"/>
  <c r="H66" i="2" a="1"/>
  <c r="F66" i="2"/>
  <c r="E66" i="2"/>
  <c r="Q66" i="2" a="1"/>
  <c r="R66" i="2"/>
  <c r="Q66" i="2" l="1"/>
  <c r="H66" i="2"/>
  <c r="AM66" i="2" l="1"/>
  <c r="AB66" i="2"/>
  <c r="AX65" i="2"/>
  <c r="S66" i="2"/>
  <c r="BC65" i="2" a="1"/>
  <c r="AV65" i="2" a="1"/>
  <c r="AV65" i="2" l="1"/>
  <c r="BC65" i="2"/>
  <c r="Z66" i="2"/>
  <c r="Y66" i="2"/>
  <c r="X66" i="2"/>
  <c r="T66" i="2"/>
  <c r="U66" i="2" s="1"/>
  <c r="AU65" i="2" a="1"/>
  <c r="AU65" i="2" l="1"/>
  <c r="AW65" i="2" s="1"/>
  <c r="AT65" i="2" a="1"/>
  <c r="AS65" i="2"/>
  <c r="AR65" i="2"/>
  <c r="AQ65" i="2"/>
  <c r="AP65" i="2"/>
  <c r="AO65" i="2"/>
  <c r="AN65" i="2"/>
  <c r="AT65" i="2" l="1"/>
  <c r="AL65" i="2"/>
  <c r="AK65" i="2" a="1"/>
  <c r="AJ65" i="2"/>
  <c r="AI65" i="2"/>
  <c r="AH65" i="2"/>
  <c r="AK65" i="2" l="1"/>
  <c r="AG65" i="2" a="1"/>
  <c r="AG65" i="2" l="1"/>
  <c r="AF65" i="2" a="1"/>
  <c r="AF65" i="2" l="1"/>
  <c r="AE65" i="2"/>
  <c r="AD65" i="2" a="1"/>
  <c r="AD65" i="2" l="1"/>
  <c r="AC65" i="2" a="1"/>
  <c r="AC65" i="2" l="1"/>
  <c r="AA65" i="2"/>
  <c r="W65" i="2" a="1"/>
  <c r="W65" i="2" l="1"/>
  <c r="V65" i="2" a="1"/>
  <c r="V65" i="2" l="1"/>
  <c r="N65" i="2" a="1"/>
  <c r="N65" i="2" l="1"/>
  <c r="M65" i="2" a="1"/>
  <c r="M65" i="2" l="1"/>
  <c r="L65" i="2" a="1"/>
  <c r="L65" i="2" l="1"/>
  <c r="K65" i="2" a="1"/>
  <c r="J65" i="2"/>
  <c r="I65" i="2"/>
  <c r="K65" i="2" l="1"/>
  <c r="H65" i="2" a="1"/>
  <c r="F65" i="2"/>
  <c r="E65" i="2"/>
  <c r="Q65" i="2" a="1"/>
  <c r="R65" i="2"/>
  <c r="Q65" i="2" l="1"/>
  <c r="H65" i="2"/>
  <c r="AM65" i="2" l="1"/>
  <c r="AB65" i="2"/>
  <c r="AX64" i="2"/>
  <c r="S65" i="2"/>
  <c r="BC64" i="2" a="1"/>
  <c r="AV64" i="2" a="1"/>
  <c r="AV64" i="2" l="1"/>
  <c r="BC64" i="2"/>
  <c r="Z65" i="2"/>
  <c r="Y65" i="2"/>
  <c r="X65" i="2"/>
  <c r="T65" i="2"/>
  <c r="U65" i="2" s="1"/>
  <c r="AU64" i="2" a="1"/>
  <c r="AU64" i="2" l="1"/>
  <c r="AW64" i="2" s="1"/>
  <c r="AT64" i="2" a="1"/>
  <c r="AS64" i="2"/>
  <c r="AR64" i="2"/>
  <c r="AQ64" i="2"/>
  <c r="AP64" i="2"/>
  <c r="AO64" i="2"/>
  <c r="AN64" i="2"/>
  <c r="AT64" i="2" l="1"/>
  <c r="AL64" i="2"/>
  <c r="AK64" i="2" a="1"/>
  <c r="AJ64" i="2"/>
  <c r="AI64" i="2"/>
  <c r="AH64" i="2"/>
  <c r="AK64" i="2" l="1"/>
  <c r="AG64" i="2" a="1"/>
  <c r="AG64" i="2" l="1"/>
  <c r="AF64" i="2" a="1"/>
  <c r="AF64" i="2" l="1"/>
  <c r="AE64" i="2"/>
  <c r="AD64" i="2" a="1"/>
  <c r="AD64" i="2" l="1"/>
  <c r="AC64" i="2" a="1"/>
  <c r="AC64" i="2" l="1"/>
  <c r="AA64" i="2"/>
  <c r="W64" i="2" a="1"/>
  <c r="W64" i="2" l="1"/>
  <c r="V64" i="2" a="1"/>
  <c r="V64" i="2" l="1"/>
  <c r="N64" i="2" a="1"/>
  <c r="N64" i="2" l="1"/>
  <c r="M64" i="2" a="1"/>
  <c r="M64" i="2" l="1"/>
  <c r="L64" i="2" a="1"/>
  <c r="L64" i="2" l="1"/>
  <c r="K64" i="2" a="1"/>
  <c r="J64" i="2"/>
  <c r="I64" i="2"/>
  <c r="K64" i="2" l="1"/>
  <c r="H64" i="2" a="1"/>
  <c r="F64" i="2"/>
  <c r="E64" i="2"/>
  <c r="Q64" i="2" a="1"/>
  <c r="R64" i="2"/>
  <c r="Q64" i="2" l="1"/>
  <c r="H64" i="2"/>
  <c r="AM64" i="2" l="1"/>
  <c r="AB64" i="2"/>
  <c r="AX63" i="2"/>
  <c r="S64" i="2"/>
  <c r="BC63" i="2" a="1"/>
  <c r="AV63" i="2" a="1"/>
  <c r="AV63" i="2" l="1"/>
  <c r="BC63" i="2"/>
  <c r="Z64" i="2"/>
  <c r="Y64" i="2"/>
  <c r="X64" i="2"/>
  <c r="T64" i="2"/>
  <c r="U64" i="2" s="1"/>
  <c r="AU63" i="2" a="1"/>
  <c r="AU63" i="2" l="1"/>
  <c r="AW63" i="2" s="1"/>
  <c r="AT63" i="2" a="1"/>
  <c r="AS63" i="2"/>
  <c r="AR63" i="2"/>
  <c r="AQ63" i="2"/>
  <c r="AP63" i="2"/>
  <c r="AO63" i="2"/>
  <c r="AN63" i="2"/>
  <c r="AT63" i="2" l="1"/>
  <c r="AL63" i="2"/>
  <c r="AK63" i="2" a="1"/>
  <c r="AJ63" i="2"/>
  <c r="AI63" i="2"/>
  <c r="AH63" i="2"/>
  <c r="AK63" i="2" l="1"/>
  <c r="AG63" i="2" a="1"/>
  <c r="AG63" i="2" l="1"/>
  <c r="AF63" i="2" a="1"/>
  <c r="AF63" i="2" l="1"/>
  <c r="AE63" i="2"/>
  <c r="AD63" i="2" a="1"/>
  <c r="AD63" i="2" l="1"/>
  <c r="AC63" i="2" a="1"/>
  <c r="AC63" i="2" l="1"/>
  <c r="AA63" i="2"/>
  <c r="W63" i="2" a="1"/>
  <c r="W63" i="2" l="1"/>
  <c r="V63" i="2" a="1"/>
  <c r="V63" i="2" l="1"/>
  <c r="N63" i="2" a="1"/>
  <c r="N63" i="2" l="1"/>
  <c r="M63" i="2" a="1"/>
  <c r="M63" i="2" l="1"/>
  <c r="L63" i="2" a="1"/>
  <c r="L63" i="2" l="1"/>
  <c r="K63" i="2" a="1"/>
  <c r="J63" i="2"/>
  <c r="I63" i="2"/>
  <c r="K63" i="2" l="1"/>
  <c r="H63" i="2" a="1"/>
  <c r="F63" i="2"/>
  <c r="E63" i="2"/>
  <c r="Q63" i="2" a="1"/>
  <c r="R63" i="2"/>
  <c r="Q63" i="2" l="1"/>
  <c r="H63" i="2"/>
  <c r="AM63" i="2" l="1"/>
  <c r="AB63" i="2"/>
  <c r="AX62" i="2"/>
  <c r="S63" i="2"/>
  <c r="BC62" i="2" a="1"/>
  <c r="AV62" i="2" a="1"/>
  <c r="AV62" i="2" l="1"/>
  <c r="BC62" i="2"/>
  <c r="Z63" i="2"/>
  <c r="Y63" i="2"/>
  <c r="X63" i="2"/>
  <c r="T63" i="2"/>
  <c r="U63" i="2" s="1"/>
  <c r="AU62" i="2" a="1"/>
  <c r="AU62" i="2" l="1"/>
  <c r="AW62" i="2" s="1"/>
  <c r="AT62" i="2" a="1"/>
  <c r="AS62" i="2"/>
  <c r="AR62" i="2"/>
  <c r="AQ62" i="2"/>
  <c r="AP62" i="2"/>
  <c r="AO62" i="2"/>
  <c r="AN62" i="2"/>
  <c r="AT62" i="2" l="1"/>
  <c r="AL62" i="2"/>
  <c r="AK62" i="2" a="1"/>
  <c r="AJ62" i="2"/>
  <c r="AI62" i="2"/>
  <c r="AH62" i="2"/>
  <c r="AK62" i="2" l="1"/>
  <c r="AG62" i="2" a="1"/>
  <c r="AG62" i="2" l="1"/>
  <c r="AF62" i="2" a="1"/>
  <c r="AF62" i="2" l="1"/>
  <c r="AE62" i="2"/>
  <c r="AD62" i="2" a="1"/>
  <c r="AD62" i="2" l="1"/>
  <c r="AC62" i="2" a="1"/>
  <c r="AC62" i="2" l="1"/>
  <c r="AA62" i="2"/>
  <c r="W62" i="2" a="1"/>
  <c r="W62" i="2" l="1"/>
  <c r="V62" i="2" a="1"/>
  <c r="V62" i="2" l="1"/>
  <c r="N62" i="2" a="1"/>
  <c r="N62" i="2" l="1"/>
  <c r="M62" i="2" a="1"/>
  <c r="M62" i="2" l="1"/>
  <c r="L62" i="2" a="1"/>
  <c r="L62" i="2" l="1"/>
  <c r="K62" i="2" a="1"/>
  <c r="J62" i="2"/>
  <c r="I62" i="2"/>
  <c r="K62" i="2" l="1"/>
  <c r="H62" i="2" a="1"/>
  <c r="F62" i="2"/>
  <c r="E62" i="2"/>
  <c r="Q62" i="2" a="1"/>
  <c r="R62" i="2"/>
  <c r="Q62" i="2" l="1"/>
  <c r="H62" i="2"/>
  <c r="AM62" i="2" l="1"/>
  <c r="AB62" i="2"/>
  <c r="AX61" i="2"/>
  <c r="BC61" i="2" a="1"/>
  <c r="S62" i="2"/>
  <c r="AV61" i="2" a="1"/>
  <c r="AV61" i="2" l="1"/>
  <c r="Z62" i="2"/>
  <c r="Y62" i="2"/>
  <c r="X62" i="2"/>
  <c r="T62" i="2"/>
  <c r="U62" i="2" s="1"/>
  <c r="BC61" i="2"/>
  <c r="AU61" i="2" a="1"/>
  <c r="AU61" i="2" l="1"/>
  <c r="AW61" i="2" s="1"/>
  <c r="AT61" i="2" a="1"/>
  <c r="AS61" i="2"/>
  <c r="AR61" i="2"/>
  <c r="AQ61" i="2"/>
  <c r="AP61" i="2"/>
  <c r="AO61" i="2"/>
  <c r="AN61" i="2"/>
  <c r="AT61" i="2" l="1"/>
  <c r="AL61" i="2"/>
  <c r="AK61" i="2" a="1"/>
  <c r="AJ61" i="2"/>
  <c r="AI61" i="2"/>
  <c r="AH61" i="2"/>
  <c r="AK61" i="2" l="1"/>
  <c r="AG61" i="2" a="1"/>
  <c r="AG61" i="2" l="1"/>
  <c r="AF61" i="2" a="1"/>
  <c r="AF61" i="2" l="1"/>
  <c r="AE61" i="2"/>
  <c r="AD61" i="2" a="1"/>
  <c r="AD61" i="2" l="1"/>
  <c r="AC61" i="2" a="1"/>
  <c r="AC61" i="2" l="1"/>
  <c r="AA61" i="2"/>
  <c r="W61" i="2" a="1"/>
  <c r="W61" i="2" l="1"/>
  <c r="V61" i="2" a="1"/>
  <c r="V61" i="2" l="1"/>
  <c r="N61" i="2" a="1"/>
  <c r="N61" i="2" l="1"/>
  <c r="M61" i="2" a="1"/>
  <c r="M61" i="2" l="1"/>
  <c r="L61" i="2" a="1"/>
  <c r="L61" i="2" l="1"/>
  <c r="K61" i="2" a="1"/>
  <c r="J61" i="2"/>
  <c r="I61" i="2"/>
  <c r="K61" i="2" l="1"/>
  <c r="H61" i="2" a="1"/>
  <c r="F61" i="2"/>
  <c r="E61" i="2"/>
  <c r="Q61" i="2" a="1"/>
  <c r="R61" i="2"/>
  <c r="Q61" i="2" l="1"/>
  <c r="H61" i="2"/>
  <c r="AM61" i="2" l="1"/>
  <c r="AB61" i="2"/>
  <c r="AX60" i="2"/>
  <c r="S61" i="2"/>
  <c r="BC60" i="2" a="1"/>
  <c r="AV60" i="2" a="1"/>
  <c r="AV60" i="2" l="1"/>
  <c r="BC60" i="2"/>
  <c r="Z61" i="2"/>
  <c r="Y61" i="2"/>
  <c r="X61" i="2"/>
  <c r="T61" i="2"/>
  <c r="U61" i="2" s="1"/>
  <c r="AU60" i="2" a="1"/>
  <c r="AU60" i="2" l="1"/>
  <c r="AW60" i="2" s="1"/>
  <c r="AT60" i="2" a="1"/>
  <c r="AS60" i="2"/>
  <c r="AR60" i="2"/>
  <c r="AQ60" i="2"/>
  <c r="AP60" i="2"/>
  <c r="AO60" i="2"/>
  <c r="AN60" i="2"/>
  <c r="AT60" i="2" l="1"/>
  <c r="AL60" i="2"/>
  <c r="AK60" i="2" a="1"/>
  <c r="AJ60" i="2"/>
  <c r="AI60" i="2"/>
  <c r="AH60" i="2"/>
  <c r="AK60" i="2" l="1"/>
  <c r="AG60" i="2" a="1"/>
  <c r="AG60" i="2" l="1"/>
  <c r="AF60" i="2" a="1"/>
  <c r="AF60" i="2" l="1"/>
  <c r="AE60" i="2"/>
  <c r="AD60" i="2" a="1"/>
  <c r="AD60" i="2" l="1"/>
  <c r="AC60" i="2" a="1"/>
  <c r="AC60" i="2" l="1"/>
  <c r="AA60" i="2"/>
  <c r="W60" i="2" a="1"/>
  <c r="W60" i="2" l="1"/>
  <c r="V60" i="2" a="1"/>
  <c r="V60" i="2" l="1"/>
  <c r="N60" i="2" a="1"/>
  <c r="N60" i="2" l="1"/>
  <c r="M60" i="2" a="1"/>
  <c r="M60" i="2" l="1"/>
  <c r="L60" i="2" a="1"/>
  <c r="L60" i="2" l="1"/>
  <c r="K60" i="2" a="1"/>
  <c r="J60" i="2"/>
  <c r="I60" i="2"/>
  <c r="K60" i="2" l="1"/>
  <c r="H60" i="2" a="1"/>
  <c r="F60" i="2"/>
  <c r="E60" i="2"/>
  <c r="Q60" i="2" a="1"/>
  <c r="R60" i="2"/>
  <c r="Q60" i="2" l="1"/>
  <c r="H60" i="2"/>
  <c r="AM60" i="2" l="1"/>
  <c r="AB60" i="2"/>
  <c r="AX59" i="2"/>
  <c r="S60" i="2"/>
  <c r="BC59" i="2" a="1"/>
  <c r="AV59" i="2" a="1"/>
  <c r="AV59" i="2" l="1"/>
  <c r="BC59" i="2"/>
  <c r="Z60" i="2"/>
  <c r="Y60" i="2"/>
  <c r="X60" i="2"/>
  <c r="T60" i="2"/>
  <c r="U60" i="2" s="1"/>
  <c r="AU59" i="2" a="1"/>
  <c r="AU59" i="2" l="1"/>
  <c r="AW59" i="2" s="1"/>
  <c r="AT59" i="2" a="1"/>
  <c r="AS59" i="2"/>
  <c r="AR59" i="2"/>
  <c r="AQ59" i="2"/>
  <c r="AP59" i="2"/>
  <c r="AO59" i="2"/>
  <c r="AN59" i="2"/>
  <c r="AT59" i="2" l="1"/>
  <c r="AL59" i="2"/>
  <c r="AK59" i="2" a="1"/>
  <c r="AJ59" i="2"/>
  <c r="AI59" i="2"/>
  <c r="AH59" i="2"/>
  <c r="AK59" i="2" l="1"/>
  <c r="AG59" i="2" a="1"/>
  <c r="AG59" i="2" l="1"/>
  <c r="AF59" i="2" a="1"/>
  <c r="AF59" i="2" l="1"/>
  <c r="AE59" i="2"/>
  <c r="AD59" i="2" a="1"/>
  <c r="AD59" i="2" l="1"/>
  <c r="AC59" i="2" a="1"/>
  <c r="AC59" i="2" l="1"/>
  <c r="AA59" i="2"/>
  <c r="W59" i="2" a="1"/>
  <c r="W59" i="2" l="1"/>
  <c r="V59" i="2" a="1"/>
  <c r="V59" i="2" l="1"/>
  <c r="N59" i="2" a="1"/>
  <c r="N59" i="2" l="1"/>
  <c r="M59" i="2" a="1"/>
  <c r="M59" i="2" l="1"/>
  <c r="L59" i="2" a="1"/>
  <c r="L59" i="2" l="1"/>
  <c r="K59" i="2" a="1"/>
  <c r="J59" i="2"/>
  <c r="I59" i="2"/>
  <c r="K59" i="2" l="1"/>
  <c r="H59" i="2" a="1"/>
  <c r="F59" i="2"/>
  <c r="E59" i="2"/>
  <c r="Q59" i="2" a="1"/>
  <c r="R59" i="2"/>
  <c r="Q59" i="2" l="1"/>
  <c r="H59" i="2"/>
  <c r="AM59" i="2" l="1"/>
  <c r="AB59" i="2"/>
  <c r="AX58" i="2"/>
  <c r="S59" i="2"/>
  <c r="BC58" i="2" a="1"/>
  <c r="AV58" i="2" a="1"/>
  <c r="AV58" i="2" l="1"/>
  <c r="BC58" i="2"/>
  <c r="Z59" i="2"/>
  <c r="Y59" i="2"/>
  <c r="X59" i="2"/>
  <c r="T59" i="2"/>
  <c r="U59" i="2" s="1"/>
  <c r="AU58" i="2" a="1"/>
  <c r="AU58" i="2" l="1"/>
  <c r="AW58" i="2" s="1"/>
  <c r="AT58" i="2" a="1"/>
  <c r="AS58" i="2"/>
  <c r="AR58" i="2"/>
  <c r="AQ58" i="2"/>
  <c r="AP58" i="2"/>
  <c r="AO58" i="2"/>
  <c r="AN58" i="2"/>
  <c r="AT58" i="2" l="1"/>
  <c r="AL58" i="2"/>
  <c r="AK58" i="2" a="1"/>
  <c r="AJ58" i="2"/>
  <c r="AI58" i="2"/>
  <c r="AH58" i="2"/>
  <c r="AK58" i="2" l="1"/>
  <c r="AG58" i="2" a="1"/>
  <c r="AG58" i="2" l="1"/>
  <c r="AF58" i="2" a="1"/>
  <c r="AF58" i="2" l="1"/>
  <c r="AE58" i="2"/>
  <c r="AD58" i="2" a="1"/>
  <c r="AD58" i="2" l="1"/>
  <c r="AC58" i="2" a="1"/>
  <c r="AC58" i="2" l="1"/>
  <c r="AA58" i="2"/>
  <c r="W58" i="2" a="1"/>
  <c r="W58" i="2" l="1"/>
  <c r="V58" i="2" a="1"/>
  <c r="V58" i="2" l="1"/>
  <c r="N58" i="2" a="1"/>
  <c r="N58" i="2" l="1"/>
  <c r="M58" i="2" a="1"/>
  <c r="M58" i="2" l="1"/>
  <c r="L58" i="2" a="1"/>
  <c r="L58" i="2" l="1"/>
  <c r="K58" i="2" a="1"/>
  <c r="J58" i="2"/>
  <c r="I58" i="2"/>
  <c r="K58" i="2" l="1"/>
  <c r="H58" i="2" a="1"/>
  <c r="F58" i="2"/>
  <c r="E58" i="2"/>
  <c r="Q58" i="2" a="1"/>
  <c r="R58" i="2"/>
  <c r="Q58" i="2" l="1"/>
  <c r="H58" i="2"/>
  <c r="AM58" i="2" l="1"/>
  <c r="AB58" i="2"/>
  <c r="AX57" i="2"/>
  <c r="S58" i="2"/>
  <c r="BC57" i="2" a="1"/>
  <c r="AV57" i="2" a="1"/>
  <c r="AV57" i="2" l="1"/>
  <c r="BC57" i="2"/>
  <c r="Z58" i="2"/>
  <c r="Y58" i="2"/>
  <c r="X58" i="2"/>
  <c r="T58" i="2"/>
  <c r="U58" i="2" s="1"/>
  <c r="AU57" i="2" a="1"/>
  <c r="AU57" i="2" l="1"/>
  <c r="AW57" i="2" s="1"/>
  <c r="AT57" i="2" a="1"/>
  <c r="AS57" i="2"/>
  <c r="AR57" i="2"/>
  <c r="AQ57" i="2"/>
  <c r="AP57" i="2"/>
  <c r="AO57" i="2"/>
  <c r="AN57" i="2"/>
  <c r="AT57" i="2" l="1"/>
  <c r="AL57" i="2"/>
  <c r="AK57" i="2" a="1"/>
  <c r="AJ57" i="2"/>
  <c r="AI57" i="2"/>
  <c r="AH57" i="2"/>
  <c r="AK57" i="2" l="1"/>
  <c r="AG57" i="2" a="1"/>
  <c r="AG57" i="2" l="1"/>
  <c r="AF57" i="2" a="1"/>
  <c r="AF57" i="2" l="1"/>
  <c r="AE57" i="2"/>
  <c r="AD57" i="2" a="1"/>
  <c r="AD57" i="2" l="1"/>
  <c r="AC57" i="2" a="1"/>
  <c r="AC57" i="2" l="1"/>
  <c r="AA57" i="2"/>
  <c r="W57" i="2" a="1"/>
  <c r="W57" i="2" l="1"/>
  <c r="V57" i="2" a="1"/>
  <c r="V57" i="2" l="1"/>
  <c r="N57" i="2" a="1"/>
  <c r="N57" i="2" l="1"/>
  <c r="M57" i="2" a="1"/>
  <c r="M57" i="2" l="1"/>
  <c r="L57" i="2" a="1"/>
  <c r="L57" i="2" l="1"/>
  <c r="K57" i="2" a="1"/>
  <c r="J57" i="2"/>
  <c r="I57" i="2"/>
  <c r="K57" i="2" l="1"/>
  <c r="H57" i="2" a="1"/>
  <c r="F57" i="2"/>
  <c r="E57" i="2"/>
  <c r="Q57" i="2" a="1"/>
  <c r="R57" i="2"/>
  <c r="Q57" i="2" l="1"/>
  <c r="H57" i="2"/>
  <c r="AM57" i="2" l="1"/>
  <c r="AB57" i="2"/>
  <c r="AX56" i="2"/>
  <c r="S57" i="2"/>
  <c r="BC56" i="2" a="1"/>
  <c r="AV56" i="2" a="1"/>
  <c r="AV56" i="2" l="1"/>
  <c r="BC56" i="2"/>
  <c r="Z57" i="2"/>
  <c r="Y57" i="2"/>
  <c r="X57" i="2"/>
  <c r="T57" i="2"/>
  <c r="U57" i="2" s="1"/>
  <c r="AU56" i="2" a="1"/>
  <c r="AU56" i="2" l="1"/>
  <c r="AW56" i="2" s="1"/>
  <c r="AT56" i="2" a="1"/>
  <c r="AS56" i="2"/>
  <c r="AR56" i="2"/>
  <c r="AQ56" i="2"/>
  <c r="AP56" i="2"/>
  <c r="AO56" i="2"/>
  <c r="AN56" i="2"/>
  <c r="AT56" i="2" l="1"/>
  <c r="AL56" i="2"/>
  <c r="AK56" i="2" a="1"/>
  <c r="AJ56" i="2"/>
  <c r="AI56" i="2"/>
  <c r="AH56" i="2"/>
  <c r="AK56" i="2" l="1"/>
  <c r="AG56" i="2" a="1"/>
  <c r="AG56" i="2" l="1"/>
  <c r="AF56" i="2" a="1"/>
  <c r="AF56" i="2" l="1"/>
  <c r="AE56" i="2"/>
  <c r="AD56" i="2" a="1"/>
  <c r="AD56" i="2" l="1"/>
  <c r="AC56" i="2" a="1"/>
  <c r="AC56" i="2" l="1"/>
  <c r="AA56" i="2"/>
  <c r="W56" i="2" a="1"/>
  <c r="W56" i="2" l="1"/>
  <c r="V56" i="2" a="1"/>
  <c r="V56" i="2" l="1"/>
  <c r="N56" i="2" a="1"/>
  <c r="N56" i="2" l="1"/>
  <c r="M56" i="2" a="1"/>
  <c r="M56" i="2" l="1"/>
  <c r="L56" i="2" a="1"/>
  <c r="L56" i="2" l="1"/>
  <c r="K56" i="2" a="1"/>
  <c r="J56" i="2"/>
  <c r="I56" i="2"/>
  <c r="K56" i="2" l="1"/>
  <c r="H56" i="2" a="1"/>
  <c r="F56" i="2"/>
  <c r="E56" i="2"/>
  <c r="Q56" i="2" a="1"/>
  <c r="R56" i="2"/>
  <c r="Q56" i="2" l="1"/>
  <c r="H56" i="2"/>
  <c r="AM56" i="2" l="1"/>
  <c r="AB56" i="2"/>
  <c r="AX55" i="2"/>
  <c r="S56" i="2"/>
  <c r="BC55" i="2" a="1"/>
  <c r="AV55" i="2" a="1"/>
  <c r="AV55" i="2" l="1"/>
  <c r="BC55" i="2"/>
  <c r="Z56" i="2"/>
  <c r="Y56" i="2"/>
  <c r="X56" i="2"/>
  <c r="T56" i="2"/>
  <c r="U56" i="2" s="1"/>
  <c r="AU55" i="2" a="1"/>
  <c r="AU55" i="2" l="1"/>
  <c r="AW55" i="2" s="1"/>
  <c r="AT55" i="2" a="1"/>
  <c r="AS55" i="2"/>
  <c r="AR55" i="2"/>
  <c r="AQ55" i="2"/>
  <c r="AP55" i="2"/>
  <c r="AO55" i="2"/>
  <c r="AN55" i="2"/>
  <c r="AT55" i="2" l="1"/>
  <c r="AL55" i="2"/>
  <c r="AK55" i="2" a="1"/>
  <c r="AJ55" i="2"/>
  <c r="AI55" i="2"/>
  <c r="AH55" i="2"/>
  <c r="AK55" i="2" l="1"/>
  <c r="AG55" i="2" a="1"/>
  <c r="AG55" i="2" l="1"/>
  <c r="AF55" i="2" a="1"/>
  <c r="AF55" i="2" l="1"/>
  <c r="AE55" i="2"/>
  <c r="AD55" i="2" a="1"/>
  <c r="AD55" i="2" l="1"/>
  <c r="AC55" i="2" a="1"/>
  <c r="AC55" i="2" l="1"/>
  <c r="AA55" i="2"/>
  <c r="W55" i="2" a="1"/>
  <c r="W55" i="2" l="1"/>
  <c r="V55" i="2" a="1"/>
  <c r="V55" i="2" l="1"/>
  <c r="N55" i="2" a="1"/>
  <c r="N55" i="2" l="1"/>
  <c r="M55" i="2" a="1"/>
  <c r="M55" i="2" l="1"/>
  <c r="L55" i="2" a="1"/>
  <c r="L55" i="2" l="1"/>
  <c r="K55" i="2" a="1"/>
  <c r="J55" i="2"/>
  <c r="I55" i="2"/>
  <c r="K55" i="2" l="1"/>
  <c r="H55" i="2" a="1"/>
  <c r="F55" i="2"/>
  <c r="E55" i="2"/>
  <c r="Q55" i="2" a="1"/>
  <c r="R55" i="2"/>
  <c r="Q55" i="2" l="1"/>
  <c r="H55" i="2"/>
  <c r="AM55" i="2" l="1"/>
  <c r="AB55" i="2"/>
  <c r="AX54" i="2"/>
  <c r="BC54" i="2" a="1"/>
  <c r="S55" i="2"/>
  <c r="AV54" i="2" a="1"/>
  <c r="AV54" i="2" l="1"/>
  <c r="Z55" i="2"/>
  <c r="Y55" i="2"/>
  <c r="X55" i="2"/>
  <c r="T55" i="2"/>
  <c r="U55" i="2" s="1"/>
  <c r="BC54" i="2"/>
  <c r="AU54" i="2" a="1"/>
  <c r="AU54" i="2" l="1"/>
  <c r="AW54" i="2" s="1"/>
  <c r="AT54" i="2" a="1"/>
  <c r="AS54" i="2"/>
  <c r="AR54" i="2"/>
  <c r="AQ54" i="2"/>
  <c r="AP54" i="2"/>
  <c r="AO54" i="2"/>
  <c r="AN54" i="2"/>
  <c r="AT54" i="2" l="1"/>
  <c r="AL54" i="2"/>
  <c r="AK54" i="2" a="1"/>
  <c r="AJ54" i="2"/>
  <c r="AI54" i="2"/>
  <c r="AH54" i="2"/>
  <c r="AK54" i="2" l="1"/>
  <c r="AG54" i="2" a="1"/>
  <c r="AG54" i="2" l="1"/>
  <c r="AF54" i="2" a="1"/>
  <c r="AF54" i="2" l="1"/>
  <c r="AE54" i="2"/>
  <c r="AD54" i="2" a="1"/>
  <c r="AD54" i="2" l="1"/>
  <c r="AC54" i="2" a="1"/>
  <c r="AC54" i="2" l="1"/>
  <c r="AA54" i="2"/>
  <c r="W54" i="2" a="1"/>
  <c r="W54" i="2" l="1"/>
  <c r="V54" i="2" a="1"/>
  <c r="V54" i="2" l="1"/>
  <c r="N54" i="2" a="1"/>
  <c r="N54" i="2" l="1"/>
  <c r="M54" i="2" a="1"/>
  <c r="M54" i="2" l="1"/>
  <c r="L54" i="2" a="1"/>
  <c r="L54" i="2" l="1"/>
  <c r="K54" i="2" a="1"/>
  <c r="J54" i="2"/>
  <c r="I54" i="2"/>
  <c r="K54" i="2" l="1"/>
  <c r="H54" i="2" a="1"/>
  <c r="F54" i="2"/>
  <c r="E54" i="2"/>
  <c r="Q54" i="2" a="1"/>
  <c r="R54" i="2"/>
  <c r="Q54" i="2" l="1"/>
  <c r="H54" i="2"/>
  <c r="AM54" i="2" l="1"/>
  <c r="AB54" i="2"/>
  <c r="AX53" i="2"/>
  <c r="S54" i="2"/>
  <c r="BC53" i="2" a="1"/>
  <c r="AV53" i="2" a="1"/>
  <c r="AV53" i="2" l="1"/>
  <c r="BC53" i="2"/>
  <c r="Z54" i="2"/>
  <c r="Y54" i="2"/>
  <c r="X54" i="2"/>
  <c r="T54" i="2"/>
  <c r="U54" i="2" s="1"/>
  <c r="AU53" i="2" a="1"/>
  <c r="AU53" i="2" l="1"/>
  <c r="AW53" i="2" s="1"/>
  <c r="AT53" i="2" a="1"/>
  <c r="AS53" i="2"/>
  <c r="AR53" i="2"/>
  <c r="AQ53" i="2"/>
  <c r="AP53" i="2"/>
  <c r="AO53" i="2"/>
  <c r="AN53" i="2"/>
  <c r="AT53" i="2" l="1"/>
  <c r="AL53" i="2"/>
  <c r="AK53" i="2" a="1"/>
  <c r="AJ53" i="2"/>
  <c r="AI53" i="2"/>
  <c r="AH53" i="2"/>
  <c r="AK53" i="2" l="1"/>
  <c r="AG53" i="2" a="1"/>
  <c r="AG53" i="2" l="1"/>
  <c r="AF53" i="2" a="1"/>
  <c r="AF53" i="2" l="1"/>
  <c r="AE53" i="2"/>
  <c r="AD53" i="2" a="1"/>
  <c r="AD53" i="2" l="1"/>
  <c r="AC53" i="2" a="1"/>
  <c r="AC53" i="2" l="1"/>
  <c r="AA53" i="2"/>
  <c r="W53" i="2" a="1"/>
  <c r="W53" i="2" l="1"/>
  <c r="V53" i="2" a="1"/>
  <c r="V53" i="2" l="1"/>
  <c r="N53" i="2" a="1"/>
  <c r="N53" i="2" l="1"/>
  <c r="M53" i="2" a="1"/>
  <c r="M53" i="2" l="1"/>
  <c r="L53" i="2" a="1"/>
  <c r="L53" i="2" l="1"/>
  <c r="K53" i="2" a="1"/>
  <c r="J53" i="2"/>
  <c r="I53" i="2"/>
  <c r="K53" i="2" l="1"/>
  <c r="H53" i="2" a="1"/>
  <c r="F53" i="2"/>
  <c r="E53" i="2"/>
  <c r="Q53" i="2" a="1"/>
  <c r="R53" i="2"/>
  <c r="Q53" i="2" l="1"/>
  <c r="H53" i="2"/>
  <c r="AM53" i="2" l="1"/>
  <c r="AB53" i="2"/>
  <c r="AX52" i="2"/>
  <c r="S53" i="2"/>
  <c r="BC52" i="2" a="1"/>
  <c r="AV52" i="2" a="1"/>
  <c r="AV52" i="2" l="1"/>
  <c r="BC52" i="2"/>
  <c r="Z53" i="2"/>
  <c r="Y53" i="2"/>
  <c r="X53" i="2"/>
  <c r="T53" i="2"/>
  <c r="U53" i="2" s="1"/>
  <c r="AU52" i="2" a="1"/>
  <c r="AU52" i="2" l="1"/>
  <c r="AW52" i="2" s="1"/>
  <c r="AT52" i="2" a="1"/>
  <c r="AS52" i="2"/>
  <c r="AR52" i="2"/>
  <c r="AQ52" i="2"/>
  <c r="AP52" i="2"/>
  <c r="AO52" i="2"/>
  <c r="AN52" i="2"/>
  <c r="AT52" i="2" l="1"/>
  <c r="AL52" i="2"/>
  <c r="AK52" i="2" a="1"/>
  <c r="AJ52" i="2"/>
  <c r="AI52" i="2"/>
  <c r="AH52" i="2"/>
  <c r="AK52" i="2" l="1"/>
  <c r="AG52" i="2" a="1"/>
  <c r="AG52" i="2" l="1"/>
  <c r="AF52" i="2" a="1"/>
  <c r="AF52" i="2" l="1"/>
  <c r="AE52" i="2"/>
  <c r="AD52" i="2" a="1"/>
  <c r="AD52" i="2" l="1"/>
  <c r="AC52" i="2" a="1"/>
  <c r="AC52" i="2" l="1"/>
  <c r="AA52" i="2"/>
  <c r="W52" i="2" a="1"/>
  <c r="W52" i="2" l="1"/>
  <c r="V52" i="2" a="1"/>
  <c r="V52" i="2" l="1"/>
  <c r="N52" i="2" a="1"/>
  <c r="N52" i="2" l="1"/>
  <c r="M52" i="2" a="1"/>
  <c r="M52" i="2" l="1"/>
  <c r="L52" i="2" a="1"/>
  <c r="L52" i="2" l="1"/>
  <c r="K52" i="2" a="1"/>
  <c r="J52" i="2"/>
  <c r="I52" i="2"/>
  <c r="K52" i="2" l="1"/>
  <c r="H52" i="2" a="1"/>
  <c r="F52" i="2"/>
  <c r="E52" i="2"/>
  <c r="Q52" i="2" a="1"/>
  <c r="R52" i="2"/>
  <c r="Q52" i="2" l="1"/>
  <c r="H52" i="2"/>
  <c r="AX51" i="2"/>
  <c r="AV51" i="2" a="1"/>
  <c r="AV51" i="2" l="1"/>
  <c r="AM52" i="2"/>
  <c r="AB52" i="2"/>
  <c r="S52" i="2"/>
  <c r="AU51" i="2" a="1"/>
  <c r="AU51" i="2" l="1"/>
  <c r="AW51" i="2" s="1"/>
  <c r="Z52" i="2"/>
  <c r="Y52" i="2"/>
  <c r="X52" i="2"/>
  <c r="T52" i="2"/>
  <c r="U52" i="2" s="1"/>
  <c r="AT51" i="2" a="1"/>
  <c r="AS51" i="2"/>
  <c r="AR51" i="2"/>
  <c r="AQ51" i="2"/>
  <c r="AP51" i="2"/>
  <c r="AO51" i="2"/>
  <c r="AN51" i="2"/>
  <c r="AT51" i="2" l="1"/>
  <c r="AL51" i="2"/>
  <c r="AK51" i="2" a="1"/>
  <c r="AJ51" i="2"/>
  <c r="AI51" i="2"/>
  <c r="AH51" i="2"/>
  <c r="AK51" i="2" l="1"/>
  <c r="AG51" i="2" a="1"/>
  <c r="AG51" i="2" l="1"/>
  <c r="AF51" i="2" a="1"/>
  <c r="AF51" i="2" l="1"/>
  <c r="AE51" i="2"/>
  <c r="AD51" i="2" a="1"/>
  <c r="AD51" i="2" l="1"/>
  <c r="AC51" i="2" a="1"/>
  <c r="AC51" i="2" l="1"/>
  <c r="AA51" i="2"/>
  <c r="W51" i="2" a="1"/>
  <c r="W51" i="2" l="1"/>
  <c r="V51" i="2" a="1"/>
  <c r="V51" i="2" l="1"/>
  <c r="N51" i="2" a="1"/>
  <c r="N51" i="2" l="1"/>
  <c r="M51" i="2" a="1"/>
  <c r="M51" i="2" l="1"/>
  <c r="L51" i="2" a="1"/>
  <c r="L51" i="2" l="1"/>
  <c r="K51" i="2" a="1"/>
  <c r="J51" i="2"/>
  <c r="I51" i="2"/>
  <c r="K51" i="2" l="1"/>
  <c r="H51" i="2" a="1"/>
  <c r="F51" i="2"/>
  <c r="E51" i="2"/>
  <c r="Q51" i="2" a="1"/>
  <c r="R51" i="2"/>
  <c r="Q51" i="2" l="1"/>
  <c r="H51" i="2"/>
  <c r="AX50" i="2"/>
  <c r="AV50" i="2" a="1"/>
  <c r="AV50" i="2" l="1"/>
  <c r="AM51" i="2"/>
  <c r="AB51" i="2"/>
  <c r="S51" i="2"/>
  <c r="AU50" i="2" a="1"/>
  <c r="AU50" i="2" l="1"/>
  <c r="AW50" i="2" s="1"/>
  <c r="Z51" i="2"/>
  <c r="Y51" i="2"/>
  <c r="X51" i="2"/>
  <c r="T51" i="2"/>
  <c r="U51" i="2" s="1"/>
  <c r="AT50" i="2" a="1"/>
  <c r="AS50" i="2"/>
  <c r="AR50" i="2"/>
  <c r="AQ50" i="2"/>
  <c r="AP50" i="2"/>
  <c r="AO50" i="2"/>
  <c r="AN50" i="2"/>
  <c r="AT50" i="2" l="1"/>
  <c r="AL50" i="2"/>
  <c r="AK50" i="2" a="1"/>
  <c r="AJ50" i="2"/>
  <c r="AI50" i="2"/>
  <c r="AH50" i="2"/>
  <c r="AK50" i="2" l="1"/>
  <c r="AG50" i="2" a="1"/>
  <c r="AG50" i="2" l="1"/>
  <c r="AF50" i="2" a="1"/>
  <c r="AF50" i="2" l="1"/>
  <c r="AE50" i="2"/>
  <c r="AD50" i="2" a="1"/>
  <c r="AD50" i="2" l="1"/>
  <c r="AC50" i="2" a="1"/>
  <c r="AC50" i="2" l="1"/>
  <c r="AA50" i="2"/>
  <c r="W50" i="2" a="1"/>
  <c r="W50" i="2" l="1"/>
  <c r="V50" i="2" a="1"/>
  <c r="V50" i="2" l="1"/>
  <c r="N50" i="2" a="1"/>
  <c r="N50" i="2" l="1"/>
  <c r="M50" i="2" a="1"/>
  <c r="M50" i="2" l="1"/>
  <c r="L50" i="2" a="1"/>
  <c r="L50" i="2" l="1"/>
  <c r="K50" i="2" a="1"/>
  <c r="J50" i="2"/>
  <c r="I50" i="2"/>
  <c r="K50" i="2" l="1"/>
  <c r="H50" i="2" a="1"/>
  <c r="F50" i="2"/>
  <c r="E50" i="2"/>
  <c r="Q50" i="2" a="1"/>
  <c r="R50" i="2"/>
  <c r="Q50" i="2" l="1"/>
  <c r="H50" i="2"/>
  <c r="AX49" i="2"/>
  <c r="AV49" i="2" a="1"/>
  <c r="AV49" i="2" l="1"/>
  <c r="AM50" i="2"/>
  <c r="AB50" i="2"/>
  <c r="S50" i="2"/>
  <c r="AU49" i="2" a="1"/>
  <c r="AU49" i="2" l="1"/>
  <c r="AW49" i="2" s="1"/>
  <c r="Z50" i="2"/>
  <c r="Y50" i="2"/>
  <c r="X50" i="2"/>
  <c r="T50" i="2"/>
  <c r="U50" i="2" s="1"/>
  <c r="AT49" i="2" a="1"/>
  <c r="AS49" i="2"/>
  <c r="AR49" i="2"/>
  <c r="AQ49" i="2"/>
  <c r="AP49" i="2"/>
  <c r="AO49" i="2"/>
  <c r="AN49" i="2"/>
  <c r="AT49" i="2" l="1"/>
  <c r="AL49" i="2"/>
  <c r="AK49" i="2" a="1"/>
  <c r="AJ49" i="2"/>
  <c r="AI49" i="2"/>
  <c r="AH49" i="2"/>
  <c r="AK49" i="2" l="1"/>
  <c r="AG49" i="2" a="1"/>
  <c r="AG49" i="2" l="1"/>
  <c r="AF49" i="2" a="1"/>
  <c r="AF49" i="2" l="1"/>
  <c r="AE49" i="2"/>
  <c r="AD49" i="2" a="1"/>
  <c r="AD49" i="2" l="1"/>
  <c r="AC49" i="2" a="1"/>
  <c r="AC49" i="2" l="1"/>
  <c r="AA49" i="2"/>
  <c r="W49" i="2" a="1"/>
  <c r="W49" i="2" l="1"/>
  <c r="V49" i="2" a="1"/>
  <c r="V49" i="2" l="1"/>
  <c r="N49" i="2" a="1"/>
  <c r="N49" i="2" l="1"/>
  <c r="M49" i="2" a="1"/>
  <c r="M49" i="2" l="1"/>
  <c r="L49" i="2" a="1"/>
  <c r="L49" i="2" l="1"/>
  <c r="K49" i="2" a="1"/>
  <c r="J49" i="2"/>
  <c r="I49" i="2"/>
  <c r="K49" i="2" l="1"/>
  <c r="H49" i="2" a="1"/>
  <c r="F49" i="2"/>
  <c r="E49" i="2"/>
  <c r="Q49" i="2" a="1"/>
  <c r="Q49" i="2" l="1"/>
  <c r="H49" i="2"/>
  <c r="AX48" i="2"/>
  <c r="R49" i="2"/>
  <c r="AV48" i="2" a="1"/>
  <c r="AV48" i="2" l="1"/>
  <c r="AM49" i="2"/>
  <c r="AB49" i="2"/>
  <c r="S49" i="2"/>
  <c r="AU48" i="2" a="1"/>
  <c r="AU48" i="2" l="1"/>
  <c r="AW48" i="2" s="1"/>
  <c r="Z49" i="2"/>
  <c r="Y49" i="2"/>
  <c r="X49" i="2"/>
  <c r="T49" i="2"/>
  <c r="U49" i="2" s="1"/>
  <c r="AT48" i="2" a="1"/>
  <c r="AS48" i="2"/>
  <c r="AR48" i="2"/>
  <c r="AQ48" i="2"/>
  <c r="AP48" i="2"/>
  <c r="AO48" i="2"/>
  <c r="AN48" i="2"/>
  <c r="AT48" i="2" l="1"/>
  <c r="AL48" i="2"/>
  <c r="AK48" i="2" a="1"/>
  <c r="AJ48" i="2"/>
  <c r="AI48" i="2"/>
  <c r="AH48" i="2"/>
  <c r="AK48" i="2" l="1"/>
  <c r="AG48" i="2" a="1"/>
  <c r="AG48" i="2" l="1"/>
  <c r="AF48" i="2" a="1"/>
  <c r="AF48" i="2" l="1"/>
  <c r="AE48" i="2"/>
  <c r="AD48" i="2" a="1"/>
  <c r="AD48" i="2" l="1"/>
  <c r="AC48" i="2" a="1"/>
  <c r="AC48" i="2" l="1"/>
  <c r="AA48" i="2"/>
  <c r="W48" i="2" a="1"/>
  <c r="W48" i="2" l="1"/>
  <c r="V48" i="2" a="1"/>
  <c r="V48" i="2" l="1"/>
  <c r="N48" i="2" a="1"/>
  <c r="N48" i="2" l="1"/>
  <c r="M48" i="2" a="1"/>
  <c r="M48" i="2" l="1"/>
  <c r="L48" i="2" a="1"/>
  <c r="L48" i="2" l="1"/>
  <c r="K48" i="2" a="1"/>
  <c r="J48" i="2"/>
  <c r="K48" i="2" l="1"/>
  <c r="H48" i="2" a="1"/>
  <c r="F48" i="2"/>
  <c r="E48" i="2"/>
  <c r="Q48" i="2" a="1"/>
  <c r="Q48" i="2" l="1"/>
  <c r="H48" i="2"/>
  <c r="AX47" i="2"/>
  <c r="R48" i="2"/>
  <c r="AV47" i="2" a="1"/>
  <c r="AV47" i="2" l="1"/>
  <c r="AM48" i="2"/>
  <c r="AB48" i="2"/>
  <c r="S48" i="2"/>
  <c r="AU47" i="2" a="1"/>
  <c r="AU47" i="2" l="1"/>
  <c r="AW47" i="2" s="1"/>
  <c r="Z48" i="2"/>
  <c r="Y48" i="2"/>
  <c r="X48" i="2"/>
  <c r="T48" i="2"/>
  <c r="U48" i="2" s="1"/>
  <c r="AT47" i="2" a="1"/>
  <c r="AS47" i="2"/>
  <c r="AR47" i="2"/>
  <c r="AQ47" i="2"/>
  <c r="AP47" i="2"/>
  <c r="AO47" i="2"/>
  <c r="AN47" i="2"/>
  <c r="AT47" i="2" l="1"/>
  <c r="AL47" i="2"/>
  <c r="AK47" i="2" a="1"/>
  <c r="AJ47" i="2"/>
  <c r="AI47" i="2"/>
  <c r="AH47" i="2"/>
  <c r="AK47" i="2" l="1"/>
  <c r="AG47" i="2" a="1"/>
  <c r="AG47" i="2" l="1"/>
  <c r="AF47" i="2" a="1"/>
  <c r="AF47" i="2" l="1"/>
  <c r="AE47" i="2"/>
  <c r="AD47" i="2" a="1"/>
  <c r="AD47" i="2" l="1"/>
  <c r="AC47" i="2" a="1"/>
  <c r="AC47" i="2" l="1"/>
  <c r="AA47" i="2"/>
  <c r="W47" i="2" a="1"/>
  <c r="W47" i="2" l="1"/>
  <c r="V47" i="2" a="1"/>
  <c r="V47" i="2" l="1"/>
  <c r="N47" i="2" a="1"/>
  <c r="N47" i="2" l="1"/>
  <c r="M47" i="2" a="1"/>
  <c r="M47" i="2" l="1"/>
  <c r="L47" i="2" a="1"/>
  <c r="L47" i="2" l="1"/>
  <c r="K47" i="2" a="1"/>
  <c r="J47" i="2"/>
  <c r="I47" i="2"/>
  <c r="K47" i="2" l="1"/>
  <c r="H47" i="2" a="1"/>
  <c r="F47" i="2"/>
  <c r="E47" i="2"/>
  <c r="Q47" i="2" a="1"/>
  <c r="Q47" i="2" l="1"/>
  <c r="H47" i="2"/>
  <c r="AX46" i="2"/>
  <c r="R47" i="2"/>
  <c r="AV46" i="2" a="1"/>
  <c r="AV46" i="2" l="1"/>
  <c r="AM47" i="2"/>
  <c r="AB47" i="2"/>
  <c r="S47" i="2"/>
  <c r="AU46" i="2" a="1"/>
  <c r="AU46" i="2" l="1"/>
  <c r="AW46" i="2" s="1"/>
  <c r="Y47" i="2"/>
  <c r="X47" i="2"/>
  <c r="Z47" i="2"/>
  <c r="T47" i="2"/>
  <c r="U47" i="2" s="1"/>
  <c r="AT46" i="2" a="1"/>
  <c r="AS46" i="2"/>
  <c r="AR46" i="2"/>
  <c r="AQ46" i="2"/>
  <c r="AP46" i="2"/>
  <c r="AO46" i="2"/>
  <c r="AN46" i="2"/>
  <c r="AT46" i="2" l="1"/>
  <c r="AL46" i="2"/>
  <c r="AK46" i="2" a="1"/>
  <c r="AJ46" i="2"/>
  <c r="AI46" i="2"/>
  <c r="AH46" i="2"/>
  <c r="AK46" i="2" l="1"/>
  <c r="AG46" i="2" a="1"/>
  <c r="AG46" i="2" l="1"/>
  <c r="AF46" i="2" a="1"/>
  <c r="AF46" i="2" l="1"/>
  <c r="AE46" i="2"/>
  <c r="AD46" i="2" a="1"/>
  <c r="AD46" i="2" l="1"/>
  <c r="AC46" i="2" a="1"/>
  <c r="AC46" i="2" l="1"/>
  <c r="AA46" i="2"/>
  <c r="W46" i="2" a="1"/>
  <c r="W46" i="2" l="1"/>
  <c r="V46" i="2" a="1"/>
  <c r="V46" i="2" l="1"/>
  <c r="N46" i="2" a="1"/>
  <c r="N46" i="2" l="1"/>
  <c r="M46" i="2" a="1"/>
  <c r="M46" i="2" l="1"/>
  <c r="L46" i="2" a="1"/>
  <c r="L46" i="2" l="1"/>
  <c r="K46" i="2" a="1"/>
  <c r="J46" i="2"/>
  <c r="I46" i="2"/>
  <c r="K46" i="2" l="1"/>
  <c r="H46" i="2" a="1"/>
  <c r="F46" i="2"/>
  <c r="E46" i="2"/>
  <c r="Q46" i="2" a="1"/>
  <c r="Q46" i="2" l="1"/>
  <c r="H46" i="2"/>
  <c r="AX45" i="2"/>
  <c r="R46" i="2"/>
  <c r="AV45" i="2" a="1"/>
  <c r="AV45" i="2" l="1"/>
  <c r="AM46" i="2"/>
  <c r="AB46" i="2"/>
  <c r="S46" i="2"/>
  <c r="AU45" i="2" a="1"/>
  <c r="AU45" i="2" l="1"/>
  <c r="AW45" i="2" s="1"/>
  <c r="Z46" i="2"/>
  <c r="Y46" i="2"/>
  <c r="X46" i="2"/>
  <c r="T46" i="2"/>
  <c r="U46" i="2" s="1"/>
  <c r="AT45" i="2" a="1"/>
  <c r="AS45" i="2"/>
  <c r="AR45" i="2"/>
  <c r="AQ45" i="2"/>
  <c r="AP45" i="2"/>
  <c r="AO45" i="2"/>
  <c r="AN45" i="2"/>
  <c r="AT45" i="2" l="1"/>
  <c r="AL45" i="2"/>
  <c r="AK45" i="2" a="1"/>
  <c r="AJ45" i="2"/>
  <c r="AI45" i="2"/>
  <c r="AH45" i="2"/>
  <c r="AK45" i="2" l="1"/>
  <c r="AG45" i="2" a="1"/>
  <c r="AG45" i="2" l="1"/>
  <c r="AF45" i="2" a="1"/>
  <c r="AF45" i="2" l="1"/>
  <c r="AE45" i="2"/>
  <c r="AD45" i="2" a="1"/>
  <c r="AD45" i="2" l="1"/>
  <c r="AC45" i="2" a="1"/>
  <c r="AC45" i="2" l="1"/>
  <c r="AA45" i="2"/>
  <c r="W45" i="2" a="1"/>
  <c r="W45" i="2" l="1"/>
  <c r="V45" i="2" a="1"/>
  <c r="V45" i="2" l="1"/>
  <c r="N45" i="2" a="1"/>
  <c r="N45" i="2" l="1"/>
  <c r="M45" i="2" a="1"/>
  <c r="M45" i="2" l="1"/>
  <c r="L45" i="2" a="1"/>
  <c r="L45" i="2" l="1"/>
  <c r="K45" i="2" a="1"/>
  <c r="J45" i="2"/>
  <c r="I45" i="2"/>
  <c r="K45" i="2" l="1"/>
  <c r="H45" i="2" a="1"/>
  <c r="F45" i="2"/>
  <c r="E45" i="2"/>
  <c r="Q45" i="2" a="1"/>
  <c r="Q45" i="2" l="1"/>
  <c r="H45" i="2"/>
  <c r="AX44" i="2"/>
  <c r="R45" i="2"/>
  <c r="AV44" i="2" a="1"/>
  <c r="AV44" i="2" l="1"/>
  <c r="AM45" i="2"/>
  <c r="AB45" i="2"/>
  <c r="S45" i="2"/>
  <c r="AU44" i="2" a="1"/>
  <c r="AU44" i="2" l="1"/>
  <c r="AW44" i="2" s="1"/>
  <c r="Y45" i="2"/>
  <c r="X45" i="2"/>
  <c r="Z45" i="2"/>
  <c r="T45" i="2"/>
  <c r="U45" i="2" s="1"/>
  <c r="AT44" i="2" a="1"/>
  <c r="AS44" i="2"/>
  <c r="AR44" i="2"/>
  <c r="AQ44" i="2"/>
  <c r="AP44" i="2"/>
  <c r="AO44" i="2"/>
  <c r="AN44" i="2"/>
  <c r="AT44" i="2" l="1"/>
  <c r="AL44" i="2"/>
  <c r="AK44" i="2" a="1"/>
  <c r="AJ44" i="2"/>
  <c r="AI44" i="2"/>
  <c r="AH44" i="2"/>
  <c r="AK44" i="2" l="1"/>
  <c r="AG44" i="2" a="1"/>
  <c r="AG44" i="2" l="1"/>
  <c r="AF44" i="2" a="1"/>
  <c r="AF44" i="2" l="1"/>
  <c r="AE44" i="2"/>
  <c r="AD44" i="2" a="1"/>
  <c r="AD44" i="2" l="1"/>
  <c r="AC44" i="2" a="1"/>
  <c r="AC44" i="2" l="1"/>
  <c r="AA44" i="2"/>
  <c r="W44" i="2" a="1"/>
  <c r="W44" i="2" l="1"/>
  <c r="V44" i="2" a="1"/>
  <c r="V44" i="2" l="1"/>
  <c r="N44" i="2" a="1"/>
  <c r="N44" i="2" l="1"/>
  <c r="M44" i="2" a="1"/>
  <c r="M44" i="2" l="1"/>
  <c r="L44" i="2" a="1"/>
  <c r="L44" i="2" l="1"/>
  <c r="K44" i="2" a="1"/>
  <c r="J44" i="2"/>
  <c r="I44" i="2"/>
  <c r="K44" i="2" l="1"/>
  <c r="H44" i="2" a="1"/>
  <c r="F44" i="2"/>
  <c r="E44" i="2"/>
  <c r="Q44" i="2" a="1"/>
  <c r="Q44" i="2" l="1"/>
  <c r="H44" i="2"/>
  <c r="R44" i="2"/>
  <c r="AM44" i="2" l="1"/>
  <c r="AB44" i="2"/>
  <c r="AX43" i="2"/>
  <c r="S44" i="2"/>
  <c r="BC43" i="2" a="1"/>
  <c r="AV43" i="2" a="1"/>
  <c r="AV43" i="2" l="1"/>
  <c r="BC43" i="2"/>
  <c r="Y44" i="2"/>
  <c r="X44" i="2"/>
  <c r="Z44" i="2"/>
  <c r="T44" i="2"/>
  <c r="U44" i="2" s="1"/>
  <c r="AU43" i="2" a="1"/>
  <c r="AU43" i="2" l="1"/>
  <c r="AW43" i="2" s="1"/>
  <c r="AT43" i="2" a="1"/>
  <c r="AS43" i="2"/>
  <c r="AR43" i="2"/>
  <c r="AQ43" i="2"/>
  <c r="AP43" i="2"/>
  <c r="AO43" i="2"/>
  <c r="AN43" i="2"/>
  <c r="AT43" i="2" l="1"/>
  <c r="AL43" i="2"/>
  <c r="AK43" i="2" a="1"/>
  <c r="AJ43" i="2"/>
  <c r="AI43" i="2"/>
  <c r="AH43" i="2"/>
  <c r="AK43" i="2" l="1"/>
  <c r="AG43" i="2" a="1"/>
  <c r="AG43" i="2" l="1"/>
  <c r="AF43" i="2" a="1"/>
  <c r="AF43" i="2" l="1"/>
  <c r="AE43" i="2"/>
  <c r="AD43" i="2" a="1"/>
  <c r="AD43" i="2" l="1"/>
  <c r="AC43" i="2" a="1"/>
  <c r="AC43" i="2" l="1"/>
  <c r="AA43" i="2"/>
  <c r="W43" i="2" a="1"/>
  <c r="W43" i="2" l="1"/>
  <c r="V43" i="2" a="1"/>
  <c r="V43" i="2" l="1"/>
  <c r="N43" i="2" a="1"/>
  <c r="N43" i="2" l="1"/>
  <c r="M43" i="2" a="1"/>
  <c r="M43" i="2" l="1"/>
  <c r="L43" i="2" a="1"/>
  <c r="L43" i="2" l="1"/>
  <c r="K43" i="2" a="1"/>
  <c r="J43" i="2"/>
  <c r="I43" i="2"/>
  <c r="K43" i="2" l="1"/>
  <c r="H43" i="2" a="1"/>
  <c r="F43" i="2"/>
  <c r="E43" i="2"/>
  <c r="Q43" i="2" a="1"/>
  <c r="Q43" i="2" l="1"/>
  <c r="H43" i="2"/>
  <c r="AX42" i="2"/>
  <c r="R43" i="2"/>
  <c r="AV42" i="2" a="1"/>
  <c r="AV42" i="2" l="1"/>
  <c r="AM43" i="2"/>
  <c r="AB43" i="2"/>
  <c r="S43" i="2"/>
  <c r="AU42" i="2" a="1"/>
  <c r="AU42" i="2" l="1"/>
  <c r="AW42" i="2" s="1"/>
  <c r="Z43" i="2"/>
  <c r="Y43" i="2"/>
  <c r="X43" i="2"/>
  <c r="T43" i="2"/>
  <c r="U43" i="2" s="1"/>
  <c r="AT42" i="2" a="1"/>
  <c r="AS42" i="2"/>
  <c r="AR42" i="2"/>
  <c r="AQ42" i="2"/>
  <c r="AP42" i="2"/>
  <c r="AO42" i="2"/>
  <c r="AN42" i="2"/>
  <c r="AT42" i="2" l="1"/>
  <c r="AL42" i="2"/>
  <c r="AK42" i="2" a="1"/>
  <c r="AJ42" i="2"/>
  <c r="AI42" i="2"/>
  <c r="AH42" i="2"/>
  <c r="AK42" i="2" l="1"/>
  <c r="AG42" i="2" a="1"/>
  <c r="AG42" i="2" l="1"/>
  <c r="AF42" i="2" a="1"/>
  <c r="AF42" i="2" l="1"/>
  <c r="AE42" i="2"/>
  <c r="AD42" i="2" a="1"/>
  <c r="AD42" i="2" l="1"/>
  <c r="AC42" i="2" a="1"/>
  <c r="AC42" i="2" l="1"/>
  <c r="AA42" i="2"/>
  <c r="W42" i="2" a="1"/>
  <c r="W42" i="2" l="1"/>
  <c r="V42" i="2" a="1"/>
  <c r="V42" i="2" l="1"/>
  <c r="N42" i="2" a="1"/>
  <c r="N42" i="2" l="1"/>
  <c r="M42" i="2" a="1"/>
  <c r="M42" i="2" l="1"/>
  <c r="L42" i="2" a="1"/>
  <c r="L42" i="2" l="1"/>
  <c r="K42" i="2" a="1"/>
  <c r="J42" i="2"/>
  <c r="I42" i="2"/>
  <c r="K42" i="2" l="1"/>
  <c r="H42" i="2" a="1"/>
  <c r="F42" i="2"/>
  <c r="E42" i="2"/>
  <c r="Q42" i="2" a="1"/>
  <c r="Q42" i="2" l="1"/>
  <c r="H42" i="2"/>
  <c r="AX41" i="2"/>
  <c r="R42" i="2"/>
  <c r="AV41" i="2" a="1"/>
  <c r="AV41" i="2" l="1"/>
  <c r="AM42" i="2"/>
  <c r="AB42" i="2"/>
  <c r="S42" i="2"/>
  <c r="AU41" i="2" a="1"/>
  <c r="AU41" i="2" l="1"/>
  <c r="AW41" i="2" s="1"/>
  <c r="Z42" i="2"/>
  <c r="Y42" i="2"/>
  <c r="X42" i="2"/>
  <c r="T42" i="2"/>
  <c r="U42" i="2" s="1"/>
  <c r="AT41" i="2" a="1"/>
  <c r="AS41" i="2"/>
  <c r="AR41" i="2"/>
  <c r="AQ41" i="2"/>
  <c r="AP41" i="2"/>
  <c r="AO41" i="2"/>
  <c r="AN41" i="2"/>
  <c r="AT41" i="2" l="1"/>
  <c r="AL41" i="2"/>
  <c r="AK41" i="2" a="1"/>
  <c r="AJ41" i="2"/>
  <c r="AI41" i="2"/>
  <c r="AH41" i="2"/>
  <c r="AK41" i="2" l="1"/>
  <c r="AG41" i="2" a="1"/>
  <c r="AG41" i="2" l="1"/>
  <c r="AF41" i="2" a="1"/>
  <c r="AF41" i="2" l="1"/>
  <c r="AE41" i="2"/>
  <c r="AD41" i="2" a="1"/>
  <c r="AD41" i="2" l="1"/>
  <c r="AC41" i="2" a="1"/>
  <c r="AC41" i="2" l="1"/>
  <c r="AA41" i="2"/>
  <c r="W41" i="2" a="1"/>
  <c r="W41" i="2" l="1"/>
  <c r="V41" i="2" a="1"/>
  <c r="V41" i="2" l="1"/>
  <c r="N41" i="2" a="1"/>
  <c r="N41" i="2" l="1"/>
  <c r="M41" i="2" a="1"/>
  <c r="M41" i="2" l="1"/>
  <c r="L41" i="2" a="1"/>
  <c r="L41" i="2" l="1"/>
  <c r="K41" i="2" a="1"/>
  <c r="J41" i="2"/>
  <c r="I41" i="2"/>
  <c r="K41" i="2" l="1"/>
  <c r="H41" i="2" a="1"/>
  <c r="F41" i="2"/>
  <c r="E41" i="2"/>
  <c r="Q41" i="2" a="1"/>
  <c r="Q41" i="2" l="1"/>
  <c r="H41" i="2"/>
  <c r="AX40" i="2"/>
  <c r="R41" i="2"/>
  <c r="AV40" i="2" a="1"/>
  <c r="AV40" i="2" l="1"/>
  <c r="AM41" i="2"/>
  <c r="AB41" i="2"/>
  <c r="S41" i="2"/>
  <c r="AU40" i="2" a="1"/>
  <c r="AU40" i="2" l="1"/>
  <c r="AW40" i="2" s="1"/>
  <c r="Z41" i="2"/>
  <c r="Y41" i="2"/>
  <c r="X41" i="2"/>
  <c r="T41" i="2"/>
  <c r="U41" i="2" s="1"/>
  <c r="AT40" i="2" a="1"/>
  <c r="AS40" i="2"/>
  <c r="AR40" i="2"/>
  <c r="AQ40" i="2"/>
  <c r="AP40" i="2"/>
  <c r="AO40" i="2"/>
  <c r="AN40" i="2"/>
  <c r="AT40" i="2" l="1"/>
  <c r="AL40" i="2"/>
  <c r="AK40" i="2" a="1"/>
  <c r="AJ40" i="2"/>
  <c r="AI40" i="2"/>
  <c r="AH40" i="2"/>
  <c r="AK40" i="2" l="1"/>
  <c r="AG40" i="2" a="1"/>
  <c r="AG40" i="2" l="1"/>
  <c r="AF40" i="2" a="1"/>
  <c r="AF40" i="2" l="1"/>
  <c r="AE40" i="2"/>
  <c r="AD40" i="2" a="1"/>
  <c r="AD40" i="2" l="1"/>
  <c r="AC40" i="2" a="1"/>
  <c r="AC40" i="2" l="1"/>
  <c r="AA40" i="2"/>
  <c r="W40" i="2" a="1"/>
  <c r="W40" i="2" l="1"/>
  <c r="V40" i="2" a="1"/>
  <c r="V40" i="2" l="1"/>
  <c r="N40" i="2" a="1"/>
  <c r="N40" i="2" l="1"/>
  <c r="M40" i="2" a="1"/>
  <c r="M40" i="2" l="1"/>
  <c r="L40" i="2" a="1"/>
  <c r="L40" i="2" l="1"/>
  <c r="K40" i="2" a="1"/>
  <c r="J40" i="2"/>
  <c r="I40" i="2"/>
  <c r="K40" i="2" l="1"/>
  <c r="H40" i="2" a="1"/>
  <c r="F40" i="2"/>
  <c r="E40" i="2"/>
  <c r="Q40" i="2" a="1"/>
  <c r="Q40" i="2" l="1"/>
  <c r="H40" i="2"/>
  <c r="AX39" i="2"/>
  <c r="R40" i="2"/>
  <c r="AV39" i="2" a="1"/>
  <c r="AV39" i="2" l="1"/>
  <c r="AM40" i="2"/>
  <c r="AB40" i="2"/>
  <c r="S40" i="2"/>
  <c r="AU39" i="2" a="1"/>
  <c r="AU39" i="2" l="1"/>
  <c r="AW39" i="2" s="1"/>
  <c r="Z40" i="2"/>
  <c r="Y40" i="2"/>
  <c r="X40" i="2"/>
  <c r="T40" i="2"/>
  <c r="U40" i="2" s="1"/>
  <c r="AT39" i="2" a="1"/>
  <c r="AS39" i="2"/>
  <c r="AR39" i="2"/>
  <c r="AQ39" i="2"/>
  <c r="AP39" i="2"/>
  <c r="AO39" i="2"/>
  <c r="AN39" i="2"/>
  <c r="AT39" i="2" l="1"/>
  <c r="AL39" i="2"/>
  <c r="AK39" i="2" a="1"/>
  <c r="AJ39" i="2"/>
  <c r="AI39" i="2"/>
  <c r="AH39" i="2"/>
  <c r="AK39" i="2" l="1"/>
  <c r="AG39" i="2" a="1"/>
  <c r="AG39" i="2" l="1"/>
  <c r="AF39" i="2" a="1"/>
  <c r="AF39" i="2" l="1"/>
  <c r="AE39" i="2"/>
  <c r="AD39" i="2" a="1"/>
  <c r="AD39" i="2" l="1"/>
  <c r="AC39" i="2" a="1"/>
  <c r="AC39" i="2" l="1"/>
  <c r="AA39" i="2"/>
  <c r="W39" i="2" a="1"/>
  <c r="W39" i="2" l="1"/>
  <c r="V39" i="2" a="1"/>
  <c r="V39" i="2" l="1"/>
  <c r="N39" i="2" a="1"/>
  <c r="N39" i="2" l="1"/>
  <c r="M39" i="2" a="1"/>
  <c r="M39" i="2" l="1"/>
  <c r="L39" i="2" a="1"/>
  <c r="L39" i="2" l="1"/>
  <c r="K39" i="2" a="1"/>
  <c r="J39" i="2"/>
  <c r="I39" i="2"/>
  <c r="K39" i="2" l="1"/>
  <c r="H39" i="2" a="1"/>
  <c r="F39" i="2"/>
  <c r="E39" i="2"/>
  <c r="Q39" i="2" a="1"/>
  <c r="Q39" i="2" l="1"/>
  <c r="H39" i="2"/>
  <c r="AX38" i="2"/>
  <c r="R39" i="2"/>
  <c r="AV38" i="2" a="1"/>
  <c r="AV38" i="2" l="1"/>
  <c r="AM39" i="2"/>
  <c r="AB39" i="2"/>
  <c r="S39" i="2"/>
  <c r="AU38" i="2" a="1"/>
  <c r="AU38" i="2" l="1"/>
  <c r="AW38" i="2" s="1"/>
  <c r="Z39" i="2"/>
  <c r="Y39" i="2"/>
  <c r="X39" i="2"/>
  <c r="T39" i="2"/>
  <c r="U39" i="2" s="1"/>
  <c r="AT38" i="2" a="1"/>
  <c r="AS38" i="2"/>
  <c r="AR38" i="2"/>
  <c r="AQ38" i="2"/>
  <c r="AP38" i="2"/>
  <c r="AO38" i="2"/>
  <c r="AN38" i="2"/>
  <c r="AT38" i="2" l="1"/>
  <c r="AL38" i="2"/>
  <c r="AK38" i="2" a="1"/>
  <c r="AJ38" i="2"/>
  <c r="AI38" i="2"/>
  <c r="AH38" i="2"/>
  <c r="AK38" i="2" l="1"/>
  <c r="AG38" i="2" a="1"/>
  <c r="AG38" i="2" l="1"/>
  <c r="AF38" i="2" a="1"/>
  <c r="AF38" i="2" l="1"/>
  <c r="AE38" i="2"/>
  <c r="AD38" i="2" a="1"/>
  <c r="AD38" i="2" l="1"/>
  <c r="AC38" i="2" a="1"/>
  <c r="AC38" i="2" l="1"/>
  <c r="AA38" i="2"/>
  <c r="W38" i="2" a="1"/>
  <c r="W38" i="2" l="1"/>
  <c r="V38" i="2" a="1"/>
  <c r="V38" i="2" l="1"/>
  <c r="N38" i="2" a="1"/>
  <c r="N38" i="2" l="1"/>
  <c r="M38" i="2" a="1"/>
  <c r="M38" i="2" l="1"/>
  <c r="L38" i="2" a="1"/>
  <c r="L38" i="2" l="1"/>
  <c r="K38" i="2" a="1"/>
  <c r="J38" i="2"/>
  <c r="I38" i="2"/>
  <c r="K38" i="2" l="1"/>
  <c r="H38" i="2" a="1"/>
  <c r="F38" i="2"/>
  <c r="E38" i="2"/>
  <c r="Q38" i="2" a="1"/>
  <c r="Q38" i="2" l="1"/>
  <c r="H38" i="2"/>
  <c r="AX37" i="2"/>
  <c r="R38" i="2"/>
  <c r="AV37" i="2" a="1"/>
  <c r="AV37" i="2" l="1"/>
  <c r="AM38" i="2"/>
  <c r="AB38" i="2"/>
  <c r="S38" i="2"/>
  <c r="AU37" i="2" a="1"/>
  <c r="AU37" i="2" l="1"/>
  <c r="AW37" i="2" s="1"/>
  <c r="Z38" i="2"/>
  <c r="X38" i="2"/>
  <c r="Y38" i="2"/>
  <c r="T38" i="2"/>
  <c r="U38" i="2" s="1"/>
  <c r="AT37" i="2" a="1"/>
  <c r="AS37" i="2"/>
  <c r="AR37" i="2"/>
  <c r="AQ37" i="2"/>
  <c r="AP37" i="2"/>
  <c r="AO37" i="2"/>
  <c r="AN37" i="2"/>
  <c r="AT37" i="2" l="1"/>
  <c r="AL37" i="2"/>
  <c r="AK37" i="2" a="1"/>
  <c r="AJ37" i="2"/>
  <c r="AI37" i="2"/>
  <c r="AH37" i="2"/>
  <c r="AK37" i="2" l="1"/>
  <c r="AG37" i="2" a="1"/>
  <c r="AG37" i="2" l="1"/>
  <c r="AF37" i="2" a="1"/>
  <c r="AF37" i="2" l="1"/>
  <c r="AE37" i="2"/>
  <c r="AD37" i="2" a="1"/>
  <c r="AD37" i="2" l="1"/>
  <c r="AC37" i="2" a="1"/>
  <c r="AC37" i="2" l="1"/>
  <c r="AA37" i="2"/>
  <c r="W37" i="2" a="1"/>
  <c r="W37" i="2" l="1"/>
  <c r="V37" i="2" a="1"/>
  <c r="V37" i="2" l="1"/>
  <c r="N37" i="2" a="1"/>
  <c r="N37" i="2" l="1"/>
  <c r="M37" i="2" a="1"/>
  <c r="M37" i="2" l="1"/>
  <c r="L37" i="2" a="1"/>
  <c r="L37" i="2" l="1"/>
  <c r="K37" i="2" a="1"/>
  <c r="J37" i="2"/>
  <c r="I37" i="2"/>
  <c r="K37" i="2" l="1"/>
  <c r="H37" i="2" a="1"/>
  <c r="F37" i="2"/>
  <c r="E37" i="2"/>
  <c r="Q37" i="2" a="1"/>
  <c r="Q37" i="2" l="1"/>
  <c r="H37" i="2"/>
  <c r="AX36" i="2"/>
  <c r="R37" i="2"/>
  <c r="AV36" i="2" a="1"/>
  <c r="AV36" i="2" l="1"/>
  <c r="AM37" i="2"/>
  <c r="AB37" i="2"/>
  <c r="S37" i="2"/>
  <c r="AU36" i="2" a="1"/>
  <c r="AU36" i="2" l="1"/>
  <c r="AW36" i="2" s="1"/>
  <c r="Z37" i="2"/>
  <c r="Y37" i="2"/>
  <c r="X37" i="2"/>
  <c r="T37" i="2"/>
  <c r="U37" i="2" s="1"/>
  <c r="AT36" i="2" a="1"/>
  <c r="AS36" i="2"/>
  <c r="AR36" i="2"/>
  <c r="AQ36" i="2"/>
  <c r="AP36" i="2"/>
  <c r="AO36" i="2"/>
  <c r="AN36" i="2"/>
  <c r="AT36" i="2" l="1"/>
  <c r="AL36" i="2"/>
  <c r="AK36" i="2" a="1"/>
  <c r="AJ36" i="2"/>
  <c r="AI36" i="2"/>
  <c r="AH36" i="2"/>
  <c r="AK36" i="2" l="1"/>
  <c r="AG36" i="2" a="1"/>
  <c r="AG36" i="2" l="1"/>
  <c r="AF36" i="2" a="1"/>
  <c r="AF36" i="2" l="1"/>
  <c r="AE36" i="2"/>
  <c r="AD36" i="2" a="1"/>
  <c r="AD36" i="2" l="1"/>
  <c r="AC36" i="2" a="1"/>
  <c r="AC36" i="2" l="1"/>
  <c r="AA36" i="2"/>
  <c r="W36" i="2" a="1"/>
  <c r="W36" i="2" l="1"/>
  <c r="V36" i="2" a="1"/>
  <c r="V36" i="2" l="1"/>
  <c r="N36" i="2" a="1"/>
  <c r="N36" i="2" l="1"/>
  <c r="M36" i="2" a="1"/>
  <c r="M36" i="2" l="1"/>
  <c r="L36" i="2" a="1"/>
  <c r="L36" i="2" l="1"/>
  <c r="K36" i="2" a="1"/>
  <c r="J36" i="2"/>
  <c r="I36" i="2"/>
  <c r="K36" i="2" l="1"/>
  <c r="H36" i="2" a="1"/>
  <c r="F36" i="2"/>
  <c r="E36" i="2"/>
  <c r="Q36" i="2" a="1"/>
  <c r="Q36" i="2" l="1"/>
  <c r="H36" i="2"/>
  <c r="AX35" i="2"/>
  <c r="R36" i="2"/>
  <c r="AV35" i="2" a="1"/>
  <c r="AV35" i="2" l="1"/>
  <c r="AM36" i="2"/>
  <c r="AB36" i="2"/>
  <c r="S36" i="2"/>
  <c r="AU35" i="2" a="1"/>
  <c r="AU35" i="2" l="1"/>
  <c r="AW35" i="2" s="1"/>
  <c r="Z36" i="2"/>
  <c r="Y36" i="2"/>
  <c r="X36" i="2"/>
  <c r="T36" i="2"/>
  <c r="U36" i="2" s="1"/>
  <c r="AT35" i="2" a="1"/>
  <c r="AS35" i="2"/>
  <c r="AR35" i="2"/>
  <c r="AQ35" i="2"/>
  <c r="AP35" i="2"/>
  <c r="AO35" i="2"/>
  <c r="AN35" i="2"/>
  <c r="AT35" i="2" l="1"/>
  <c r="AL35" i="2"/>
  <c r="AK35" i="2" a="1"/>
  <c r="AJ35" i="2"/>
  <c r="AI35" i="2"/>
  <c r="AH35" i="2"/>
  <c r="AK35" i="2" l="1"/>
  <c r="AG35" i="2" a="1"/>
  <c r="AG35" i="2" l="1"/>
  <c r="AF35" i="2" a="1"/>
  <c r="AF35" i="2" l="1"/>
  <c r="AE35" i="2"/>
  <c r="AD35" i="2" a="1"/>
  <c r="AD35" i="2" l="1"/>
  <c r="AC35" i="2" a="1"/>
  <c r="AC35" i="2" l="1"/>
  <c r="AA35" i="2"/>
  <c r="W35" i="2" a="1"/>
  <c r="W35" i="2" l="1"/>
  <c r="V35" i="2" a="1"/>
  <c r="V35" i="2" l="1"/>
  <c r="N35" i="2" a="1"/>
  <c r="N35" i="2" l="1"/>
  <c r="M35" i="2" a="1"/>
  <c r="M35" i="2" l="1"/>
  <c r="L35" i="2" a="1"/>
  <c r="L35" i="2" l="1"/>
  <c r="K35" i="2" a="1"/>
  <c r="J35" i="2"/>
  <c r="I35" i="2"/>
  <c r="K35" i="2" l="1"/>
  <c r="H35" i="2" a="1"/>
  <c r="F35" i="2"/>
  <c r="E35" i="2"/>
  <c r="Q35" i="2" a="1"/>
  <c r="R35" i="2"/>
  <c r="Q35" i="2" l="1"/>
  <c r="H35" i="2"/>
  <c r="AM35" i="2" l="1"/>
  <c r="AB35" i="2"/>
  <c r="AX34" i="2"/>
  <c r="S35" i="2"/>
  <c r="BC34" i="2" a="1"/>
  <c r="AV34" i="2" a="1"/>
  <c r="AV34" i="2" l="1"/>
  <c r="BC34" i="2"/>
  <c r="Z35" i="2"/>
  <c r="Y35" i="2"/>
  <c r="X35" i="2"/>
  <c r="T35" i="2"/>
  <c r="U35" i="2" s="1"/>
  <c r="AU34" i="2" a="1"/>
  <c r="AU34" i="2" l="1"/>
  <c r="AW34" i="2" s="1"/>
  <c r="AT34" i="2" a="1"/>
  <c r="AS34" i="2"/>
  <c r="AR34" i="2"/>
  <c r="AQ34" i="2"/>
  <c r="AP34" i="2"/>
  <c r="AO34" i="2"/>
  <c r="AN34" i="2"/>
  <c r="AT34" i="2" l="1"/>
  <c r="AL34" i="2"/>
  <c r="AK34" i="2" a="1"/>
  <c r="AJ34" i="2"/>
  <c r="AI34" i="2"/>
  <c r="AH34" i="2"/>
  <c r="AK34" i="2" l="1"/>
  <c r="AG34" i="2" a="1"/>
  <c r="AG34" i="2" l="1"/>
  <c r="AF34" i="2" a="1"/>
  <c r="AF34" i="2" l="1"/>
  <c r="AE34" i="2"/>
  <c r="AD34" i="2" a="1"/>
  <c r="AD34" i="2" l="1"/>
  <c r="AC34" i="2" a="1"/>
  <c r="AC34" i="2" l="1"/>
  <c r="AA34" i="2"/>
  <c r="W34" i="2" a="1"/>
  <c r="W34" i="2" l="1"/>
  <c r="V34" i="2" a="1"/>
  <c r="V34" i="2" l="1"/>
  <c r="N34" i="2" a="1"/>
  <c r="N34" i="2" l="1"/>
  <c r="M34" i="2" a="1"/>
  <c r="M34" i="2" l="1"/>
  <c r="L34" i="2" a="1"/>
  <c r="L34" i="2" l="1"/>
  <c r="K34" i="2" a="1"/>
  <c r="J34" i="2"/>
  <c r="I34" i="2"/>
  <c r="K34" i="2" l="1"/>
  <c r="H34" i="2" a="1"/>
  <c r="F34" i="2"/>
  <c r="E34" i="2"/>
  <c r="Q34" i="2" a="1"/>
  <c r="R34" i="2"/>
  <c r="Q34" i="2" l="1"/>
  <c r="H34" i="2"/>
  <c r="AX33" i="2"/>
  <c r="AV33" i="2" a="1"/>
  <c r="AV33" i="2" l="1"/>
  <c r="AM34" i="2"/>
  <c r="AB34" i="2"/>
  <c r="S34" i="2"/>
  <c r="AU33" i="2" a="1"/>
  <c r="AU33" i="2" l="1"/>
  <c r="AW33" i="2" s="1"/>
  <c r="Z34" i="2"/>
  <c r="Y34" i="2"/>
  <c r="X34" i="2"/>
  <c r="T34" i="2"/>
  <c r="U34" i="2" s="1"/>
  <c r="AT33" i="2" a="1"/>
  <c r="AS33" i="2"/>
  <c r="AR33" i="2"/>
  <c r="AQ33" i="2"/>
  <c r="AP33" i="2"/>
  <c r="AO33" i="2"/>
  <c r="AN33" i="2"/>
  <c r="AT33" i="2" l="1"/>
  <c r="AL33" i="2"/>
  <c r="AK33" i="2" a="1"/>
  <c r="AJ33" i="2"/>
  <c r="AI33" i="2"/>
  <c r="AH33" i="2"/>
  <c r="AK33" i="2" l="1"/>
  <c r="AG33" i="2" a="1"/>
  <c r="AG33" i="2" l="1"/>
  <c r="AF33" i="2" a="1"/>
  <c r="AF33" i="2" l="1"/>
  <c r="AE33" i="2"/>
  <c r="AD33" i="2" a="1"/>
  <c r="AD33" i="2" l="1"/>
  <c r="AC33" i="2" a="1"/>
  <c r="AC33" i="2" l="1"/>
  <c r="AA33" i="2"/>
  <c r="W33" i="2" a="1"/>
  <c r="W33" i="2" l="1"/>
  <c r="V33" i="2" a="1"/>
  <c r="V33" i="2" l="1"/>
  <c r="N33" i="2" a="1"/>
  <c r="N33" i="2" l="1"/>
  <c r="M33" i="2" a="1"/>
  <c r="M33" i="2" l="1"/>
  <c r="L33" i="2" a="1"/>
  <c r="L33" i="2" l="1"/>
  <c r="K33" i="2" a="1"/>
  <c r="J33" i="2"/>
  <c r="K33" i="2" l="1"/>
  <c r="H33" i="2" a="1"/>
  <c r="F33" i="2"/>
  <c r="E33" i="2"/>
  <c r="Q33" i="2" a="1"/>
  <c r="R33" i="2"/>
  <c r="Q33" i="2" l="1"/>
  <c r="H33" i="2"/>
  <c r="AM33" i="2" l="1"/>
  <c r="AB33" i="2"/>
  <c r="AX32" i="2"/>
  <c r="S33" i="2"/>
  <c r="BC32" i="2" a="1"/>
  <c r="AV32" i="2" a="1"/>
  <c r="AV32" i="2" l="1"/>
  <c r="BC32" i="2"/>
  <c r="Z33" i="2"/>
  <c r="Y33" i="2"/>
  <c r="X33" i="2"/>
  <c r="T33" i="2"/>
  <c r="U33" i="2" s="1"/>
  <c r="AU32" i="2" a="1"/>
  <c r="AU32" i="2" l="1"/>
  <c r="AW32" i="2" s="1"/>
  <c r="AT32" i="2" a="1"/>
  <c r="AS32" i="2"/>
  <c r="AR32" i="2"/>
  <c r="AQ32" i="2"/>
  <c r="AP32" i="2"/>
  <c r="AO32" i="2"/>
  <c r="AN32" i="2"/>
  <c r="AT32" i="2" l="1"/>
  <c r="AL32" i="2"/>
  <c r="AK32" i="2" a="1"/>
  <c r="AJ32" i="2"/>
  <c r="AI32" i="2"/>
  <c r="AH32" i="2"/>
  <c r="AK32" i="2" l="1"/>
  <c r="AG32" i="2" a="1"/>
  <c r="AG32" i="2" l="1"/>
  <c r="AF32" i="2" a="1"/>
  <c r="AF32" i="2" l="1"/>
  <c r="AE32" i="2"/>
  <c r="AD32" i="2" a="1"/>
  <c r="AD32" i="2" l="1"/>
  <c r="AC32" i="2" a="1"/>
  <c r="AC32" i="2" l="1"/>
  <c r="AA32" i="2"/>
  <c r="W32" i="2" a="1"/>
  <c r="W32" i="2" l="1"/>
  <c r="V32" i="2" a="1"/>
  <c r="V32" i="2" l="1"/>
  <c r="N32" i="2" a="1"/>
  <c r="N32" i="2" l="1"/>
  <c r="M32" i="2" a="1"/>
  <c r="M32" i="2" l="1"/>
  <c r="L32" i="2" a="1"/>
  <c r="L32" i="2" l="1"/>
  <c r="K32" i="2" a="1"/>
  <c r="J32" i="2"/>
  <c r="I32" i="2"/>
  <c r="K32" i="2" l="1"/>
  <c r="H32" i="2" a="1"/>
  <c r="F32" i="2"/>
  <c r="E32" i="2"/>
  <c r="Q32" i="2" a="1"/>
  <c r="R32" i="2"/>
  <c r="Q32" i="2" l="1"/>
  <c r="H32" i="2"/>
  <c r="AM32" i="2" l="1"/>
  <c r="AB32" i="2"/>
  <c r="AX31" i="2"/>
  <c r="S32" i="2"/>
  <c r="BC31" i="2" a="1"/>
  <c r="AV31" i="2" a="1"/>
  <c r="AV31" i="2" l="1"/>
  <c r="BC31" i="2"/>
  <c r="Z32" i="2"/>
  <c r="Y32" i="2"/>
  <c r="X32" i="2"/>
  <c r="T32" i="2"/>
  <c r="U32" i="2" s="1"/>
  <c r="AU31" i="2" a="1"/>
  <c r="AU31" i="2" l="1"/>
  <c r="AW31" i="2" s="1"/>
  <c r="AT31" i="2" a="1"/>
  <c r="AS31" i="2"/>
  <c r="AR31" i="2"/>
  <c r="AQ31" i="2"/>
  <c r="AP31" i="2"/>
  <c r="AO31" i="2"/>
  <c r="AN31" i="2"/>
  <c r="AT31" i="2" l="1"/>
  <c r="AL31" i="2"/>
  <c r="AK31" i="2" a="1"/>
  <c r="AJ31" i="2"/>
  <c r="AI31" i="2"/>
  <c r="AH31" i="2"/>
  <c r="AK31" i="2" l="1"/>
  <c r="AG31" i="2" a="1"/>
  <c r="AG31" i="2" l="1"/>
  <c r="AF31" i="2" a="1"/>
  <c r="AF31" i="2" l="1"/>
  <c r="AE31" i="2"/>
  <c r="AD31" i="2" a="1"/>
  <c r="AD31" i="2" l="1"/>
  <c r="AC31" i="2" a="1"/>
  <c r="AC31" i="2" l="1"/>
  <c r="AA31" i="2"/>
  <c r="W31" i="2" a="1"/>
  <c r="W31" i="2" l="1"/>
  <c r="V31" i="2" a="1"/>
  <c r="V31" i="2" l="1"/>
  <c r="N31" i="2" a="1"/>
  <c r="N31" i="2" l="1"/>
  <c r="M31" i="2" a="1"/>
  <c r="M31" i="2" l="1"/>
  <c r="L31" i="2" a="1"/>
  <c r="L31" i="2" l="1"/>
  <c r="K31" i="2" a="1"/>
  <c r="J31" i="2"/>
  <c r="I31" i="2"/>
  <c r="K31" i="2" l="1"/>
  <c r="H31" i="2" a="1"/>
  <c r="F31" i="2"/>
  <c r="E31" i="2"/>
  <c r="Q31" i="2" a="1"/>
  <c r="R31" i="2"/>
  <c r="Q31" i="2" l="1"/>
  <c r="H31" i="2"/>
  <c r="AM31" i="2" l="1"/>
  <c r="AB31" i="2"/>
  <c r="AX30" i="2"/>
  <c r="S31" i="2"/>
  <c r="BC30" i="2" a="1"/>
  <c r="AV30" i="2" a="1"/>
  <c r="AV30" i="2" l="1"/>
  <c r="BC30" i="2"/>
  <c r="Y31" i="2"/>
  <c r="Z31" i="2"/>
  <c r="X31" i="2"/>
  <c r="T31" i="2"/>
  <c r="U31" i="2" s="1"/>
  <c r="AU30" i="2" a="1"/>
  <c r="AU30" i="2" l="1"/>
  <c r="AW30" i="2" s="1"/>
  <c r="AT30" i="2" a="1"/>
  <c r="AS30" i="2"/>
  <c r="AR30" i="2"/>
  <c r="AQ30" i="2"/>
  <c r="AP30" i="2"/>
  <c r="AO30" i="2"/>
  <c r="AN30" i="2"/>
  <c r="AT30" i="2" l="1"/>
  <c r="AL30" i="2"/>
  <c r="AK30" i="2" a="1"/>
  <c r="AJ30" i="2"/>
  <c r="AI30" i="2"/>
  <c r="AH30" i="2"/>
  <c r="AK30" i="2" l="1"/>
  <c r="AG30" i="2" a="1"/>
  <c r="AG30" i="2" l="1"/>
  <c r="AF30" i="2" a="1"/>
  <c r="AF30" i="2" l="1"/>
  <c r="AE30" i="2"/>
  <c r="AD30" i="2" a="1"/>
  <c r="AD30" i="2" l="1"/>
  <c r="AC30" i="2" a="1"/>
  <c r="AC30" i="2" l="1"/>
  <c r="AA30" i="2"/>
  <c r="W30" i="2" a="1"/>
  <c r="W30" i="2" l="1"/>
  <c r="V30" i="2" a="1"/>
  <c r="V30" i="2" l="1"/>
  <c r="N30" i="2" a="1"/>
  <c r="N30" i="2" l="1"/>
  <c r="M30" i="2" a="1"/>
  <c r="M30" i="2" l="1"/>
  <c r="L30" i="2" a="1"/>
  <c r="L30" i="2" l="1"/>
  <c r="K30" i="2" a="1"/>
  <c r="J30" i="2"/>
  <c r="I30" i="2"/>
  <c r="K30" i="2" l="1"/>
  <c r="H30" i="2" a="1"/>
  <c r="F30" i="2"/>
  <c r="E30" i="2"/>
  <c r="Q30" i="2" a="1"/>
  <c r="R30" i="2"/>
  <c r="Q30" i="2" l="1"/>
  <c r="H30" i="2"/>
  <c r="AX29" i="2"/>
  <c r="AV29" i="2" a="1"/>
  <c r="AV29" i="2" l="1"/>
  <c r="AM30" i="2"/>
  <c r="AB30" i="2"/>
  <c r="S30" i="2"/>
  <c r="AU29" i="2" a="1"/>
  <c r="AU29" i="2" l="1"/>
  <c r="AW29" i="2" s="1"/>
  <c r="Z30" i="2"/>
  <c r="Y30" i="2"/>
  <c r="X30" i="2"/>
  <c r="T30" i="2"/>
  <c r="U30" i="2" s="1"/>
  <c r="AT29" i="2" a="1"/>
  <c r="AS29" i="2"/>
  <c r="AR29" i="2"/>
  <c r="AQ29" i="2"/>
  <c r="AP29" i="2"/>
  <c r="AO29" i="2"/>
  <c r="AN29" i="2"/>
  <c r="AT29" i="2" l="1"/>
  <c r="AL29" i="2"/>
  <c r="AK29" i="2" a="1"/>
  <c r="AJ29" i="2"/>
  <c r="AI29" i="2"/>
  <c r="AH29" i="2"/>
  <c r="AK29" i="2" l="1"/>
  <c r="AG29" i="2" a="1"/>
  <c r="AG29" i="2" l="1"/>
  <c r="AF29" i="2" a="1"/>
  <c r="AF29" i="2" l="1"/>
  <c r="AE29" i="2"/>
  <c r="AD29" i="2" a="1"/>
  <c r="AD29" i="2" l="1"/>
  <c r="AC29" i="2" a="1"/>
  <c r="AC29" i="2" l="1"/>
  <c r="AA29" i="2"/>
  <c r="W29" i="2" a="1"/>
  <c r="W29" i="2" l="1"/>
  <c r="V29" i="2" a="1"/>
  <c r="V29" i="2" l="1"/>
  <c r="N29" i="2" a="1"/>
  <c r="N29" i="2" l="1"/>
  <c r="M29" i="2" a="1"/>
  <c r="M29" i="2" l="1"/>
  <c r="L29" i="2" a="1"/>
  <c r="L29" i="2" l="1"/>
  <c r="K29" i="2" a="1"/>
  <c r="J29" i="2"/>
  <c r="I29" i="2"/>
  <c r="K29" i="2" l="1"/>
  <c r="H29" i="2" a="1"/>
  <c r="F29" i="2"/>
  <c r="E29" i="2"/>
  <c r="Q29" i="2" a="1"/>
  <c r="R29" i="2"/>
  <c r="Q29" i="2" l="1"/>
  <c r="H29" i="2"/>
  <c r="AM29" i="2" l="1"/>
  <c r="AB29" i="2"/>
  <c r="AX28" i="2"/>
  <c r="S29" i="2"/>
  <c r="BC28" i="2" a="1"/>
  <c r="AV28" i="2" a="1"/>
  <c r="AV28" i="2" l="1"/>
  <c r="BC28" i="2"/>
  <c r="Z29" i="2"/>
  <c r="Y29" i="2"/>
  <c r="X29" i="2"/>
  <c r="T29" i="2"/>
  <c r="U29" i="2" s="1"/>
  <c r="AU28" i="2" a="1"/>
  <c r="AU28" i="2" l="1"/>
  <c r="AW28" i="2" s="1"/>
  <c r="AT28" i="2" a="1"/>
  <c r="AS28" i="2"/>
  <c r="AR28" i="2"/>
  <c r="AQ28" i="2"/>
  <c r="AP28" i="2"/>
  <c r="AO28" i="2"/>
  <c r="AN28" i="2"/>
  <c r="AT28" i="2" l="1"/>
  <c r="AL28" i="2"/>
  <c r="AK28" i="2" a="1"/>
  <c r="AJ28" i="2"/>
  <c r="AI28" i="2"/>
  <c r="AH28" i="2"/>
  <c r="AK28" i="2" l="1"/>
  <c r="AG28" i="2" a="1"/>
  <c r="AG28" i="2" l="1"/>
  <c r="AF28" i="2" a="1"/>
  <c r="AF28" i="2" l="1"/>
  <c r="AE28" i="2"/>
  <c r="AD28" i="2" a="1"/>
  <c r="AD28" i="2" l="1"/>
  <c r="AC28" i="2" a="1"/>
  <c r="AC28" i="2" l="1"/>
  <c r="AA28" i="2"/>
  <c r="W28" i="2" a="1"/>
  <c r="W28" i="2" l="1"/>
  <c r="V28" i="2" a="1"/>
  <c r="V28" i="2" l="1"/>
  <c r="N28" i="2" a="1"/>
  <c r="N28" i="2" l="1"/>
  <c r="M28" i="2" a="1"/>
  <c r="M28" i="2" l="1"/>
  <c r="L28" i="2" a="1"/>
  <c r="L28" i="2" l="1"/>
  <c r="K28" i="2" a="1"/>
  <c r="J28" i="2"/>
  <c r="I28" i="2"/>
  <c r="K28" i="2" l="1"/>
  <c r="H28" i="2" a="1"/>
  <c r="F28" i="2"/>
  <c r="E28" i="2"/>
  <c r="Q28" i="2" a="1"/>
  <c r="R28" i="2"/>
  <c r="Q28" i="2" l="1"/>
  <c r="H28" i="2"/>
  <c r="AM28" i="2" l="1"/>
  <c r="AB28" i="2"/>
  <c r="AX27" i="2"/>
  <c r="S28" i="2"/>
  <c r="BC27" i="2" a="1"/>
  <c r="AV27" i="2" a="1"/>
  <c r="AV27" i="2" l="1"/>
  <c r="BC27" i="2"/>
  <c r="Z28" i="2"/>
  <c r="Y28" i="2"/>
  <c r="X28" i="2"/>
  <c r="T28" i="2"/>
  <c r="U28" i="2" s="1"/>
  <c r="AU27" i="2" a="1"/>
  <c r="AU27" i="2" l="1"/>
  <c r="AW27" i="2" s="1"/>
  <c r="AT27" i="2" a="1"/>
  <c r="AS27" i="2"/>
  <c r="AR27" i="2"/>
  <c r="AQ27" i="2"/>
  <c r="AP27" i="2"/>
  <c r="AO27" i="2"/>
  <c r="AN27" i="2"/>
  <c r="AT27" i="2" l="1"/>
  <c r="AL27" i="2"/>
  <c r="AK27" i="2" a="1"/>
  <c r="AJ27" i="2"/>
  <c r="AI27" i="2"/>
  <c r="AH27" i="2"/>
  <c r="AK27" i="2" l="1"/>
  <c r="AG27" i="2" a="1"/>
  <c r="AG27" i="2" l="1"/>
  <c r="AF27" i="2" a="1"/>
  <c r="AF27" i="2" l="1"/>
  <c r="AE27" i="2"/>
  <c r="AD27" i="2" a="1"/>
  <c r="AD27" i="2" l="1"/>
  <c r="AC27" i="2" a="1"/>
  <c r="AC27" i="2" l="1"/>
  <c r="AA27" i="2"/>
  <c r="W27" i="2" a="1"/>
  <c r="W27" i="2" l="1"/>
  <c r="V27" i="2" a="1"/>
  <c r="V27" i="2" l="1"/>
  <c r="N27" i="2" a="1"/>
  <c r="N27" i="2" l="1"/>
  <c r="M27" i="2" a="1"/>
  <c r="M27" i="2" l="1"/>
  <c r="L27" i="2" a="1"/>
  <c r="L27" i="2" l="1"/>
  <c r="K27" i="2" a="1"/>
  <c r="J27" i="2"/>
  <c r="I27" i="2"/>
  <c r="K27" i="2" l="1"/>
  <c r="H27" i="2" a="1"/>
  <c r="F27" i="2"/>
  <c r="E27" i="2"/>
  <c r="Q27" i="2" a="1"/>
  <c r="R27" i="2"/>
  <c r="Q27" i="2" l="1"/>
  <c r="H27" i="2"/>
  <c r="AM27" i="2" l="1"/>
  <c r="AB27" i="2"/>
  <c r="AX26" i="2"/>
  <c r="S27" i="2"/>
  <c r="BC26" i="2" a="1"/>
  <c r="AV26" i="2" a="1"/>
  <c r="AV26" i="2" l="1"/>
  <c r="BC26" i="2"/>
  <c r="Z27" i="2"/>
  <c r="Y27" i="2"/>
  <c r="X27" i="2"/>
  <c r="T27" i="2"/>
  <c r="U27" i="2" s="1"/>
  <c r="AU26" i="2" a="1"/>
  <c r="AU26" i="2" l="1"/>
  <c r="AW26" i="2" s="1"/>
  <c r="AT26" i="2" a="1"/>
  <c r="AS26" i="2"/>
  <c r="AR26" i="2"/>
  <c r="AQ26" i="2"/>
  <c r="AP26" i="2"/>
  <c r="AO26" i="2"/>
  <c r="AN26" i="2"/>
  <c r="AT26" i="2" l="1"/>
  <c r="AL26" i="2"/>
  <c r="AK26" i="2" a="1"/>
  <c r="AJ26" i="2"/>
  <c r="AI26" i="2"/>
  <c r="AH26" i="2"/>
  <c r="AK26" i="2" l="1"/>
  <c r="AG26" i="2" a="1"/>
  <c r="AG26" i="2" l="1"/>
  <c r="AF26" i="2" a="1"/>
  <c r="AF26" i="2" l="1"/>
  <c r="AE26" i="2"/>
  <c r="AD26" i="2" a="1"/>
  <c r="AD26" i="2" l="1"/>
  <c r="AC26" i="2" a="1"/>
  <c r="AC26" i="2" l="1"/>
  <c r="AA26" i="2"/>
  <c r="W26" i="2" a="1"/>
  <c r="W26" i="2" l="1"/>
  <c r="V26" i="2" a="1"/>
  <c r="V26" i="2" l="1"/>
  <c r="N26" i="2" a="1"/>
  <c r="N26" i="2" l="1"/>
  <c r="M26" i="2" a="1"/>
  <c r="M26" i="2" l="1"/>
  <c r="L26" i="2" a="1"/>
  <c r="L26" i="2" l="1"/>
  <c r="K26" i="2" a="1"/>
  <c r="J26" i="2"/>
  <c r="K26" i="2" l="1"/>
  <c r="H26" i="2" a="1"/>
  <c r="F26" i="2"/>
  <c r="E26" i="2"/>
  <c r="Q26" i="2" a="1"/>
  <c r="R26" i="2"/>
  <c r="Q26" i="2" l="1"/>
  <c r="H26" i="2"/>
  <c r="AM26" i="2" l="1"/>
  <c r="AB26" i="2"/>
  <c r="AX25" i="2"/>
  <c r="S26" i="2"/>
  <c r="BC25" i="2" a="1"/>
  <c r="AV25" i="2" a="1"/>
  <c r="AV25" i="2" l="1"/>
  <c r="BC25" i="2"/>
  <c r="Z26" i="2"/>
  <c r="Y26" i="2"/>
  <c r="X26" i="2"/>
  <c r="T26" i="2"/>
  <c r="U26" i="2" s="1"/>
  <c r="AU25" i="2" a="1"/>
  <c r="AU25" i="2" l="1"/>
  <c r="AW25" i="2" s="1"/>
  <c r="AT25" i="2" a="1"/>
  <c r="AS25" i="2"/>
  <c r="AR25" i="2"/>
  <c r="AQ25" i="2"/>
  <c r="AP25" i="2"/>
  <c r="AO25" i="2"/>
  <c r="AN25" i="2"/>
  <c r="AT25" i="2" l="1"/>
  <c r="AL25" i="2"/>
  <c r="AK25" i="2" a="1"/>
  <c r="AJ25" i="2"/>
  <c r="AI25" i="2"/>
  <c r="AH25" i="2"/>
  <c r="AK25" i="2" l="1"/>
  <c r="AG25" i="2" a="1"/>
  <c r="AG25" i="2" l="1"/>
  <c r="AF25" i="2" a="1"/>
  <c r="AF25" i="2" l="1"/>
  <c r="AE25" i="2"/>
  <c r="AD25" i="2" a="1"/>
  <c r="AD25" i="2" l="1"/>
  <c r="AC25" i="2" a="1"/>
  <c r="AC25" i="2" l="1"/>
  <c r="AA25" i="2"/>
  <c r="W25" i="2" a="1"/>
  <c r="W25" i="2" l="1"/>
  <c r="V25" i="2" a="1"/>
  <c r="V25" i="2" l="1"/>
  <c r="N25" i="2" a="1"/>
  <c r="N25" i="2" l="1"/>
  <c r="M25" i="2" a="1"/>
  <c r="M25" i="2" l="1"/>
  <c r="L25" i="2" a="1"/>
  <c r="L25" i="2" l="1"/>
  <c r="K25" i="2" a="1"/>
  <c r="J25" i="2"/>
  <c r="I25" i="2"/>
  <c r="K25" i="2" l="1"/>
  <c r="H25" i="2" a="1"/>
  <c r="F25" i="2"/>
  <c r="E25" i="2"/>
  <c r="Q25" i="2" a="1"/>
  <c r="R25" i="2"/>
  <c r="Q25" i="2" l="1"/>
  <c r="H25" i="2"/>
  <c r="AM25" i="2" l="1"/>
  <c r="AB25" i="2"/>
  <c r="AX24" i="2"/>
  <c r="S25" i="2"/>
  <c r="BC24" i="2" a="1"/>
  <c r="AV24" i="2" a="1"/>
  <c r="AV24" i="2" l="1"/>
  <c r="BC24" i="2"/>
  <c r="Z25" i="2"/>
  <c r="Y25" i="2"/>
  <c r="X25" i="2"/>
  <c r="T25" i="2"/>
  <c r="U25" i="2" s="1"/>
  <c r="AU24" i="2" a="1"/>
  <c r="AU24" i="2" l="1"/>
  <c r="AW24" i="2" s="1"/>
  <c r="AT24" i="2" a="1"/>
  <c r="AS24" i="2"/>
  <c r="AR24" i="2"/>
  <c r="AQ24" i="2"/>
  <c r="AP24" i="2"/>
  <c r="AO24" i="2"/>
  <c r="AN24" i="2"/>
  <c r="AT24" i="2" l="1"/>
  <c r="AL24" i="2"/>
  <c r="AK24" i="2" a="1"/>
  <c r="AJ24" i="2"/>
  <c r="AI24" i="2"/>
  <c r="AH24" i="2"/>
  <c r="AK24" i="2" l="1"/>
  <c r="AG24" i="2" a="1"/>
  <c r="AG24" i="2" l="1"/>
  <c r="AF24" i="2" a="1"/>
  <c r="AF24" i="2" l="1"/>
  <c r="AE24" i="2"/>
  <c r="AD24" i="2" a="1"/>
  <c r="AD24" i="2" l="1"/>
  <c r="AC24" i="2" a="1"/>
  <c r="AC24" i="2" l="1"/>
  <c r="AA24" i="2"/>
  <c r="W24" i="2" a="1"/>
  <c r="W24" i="2" l="1"/>
  <c r="V24" i="2" a="1"/>
  <c r="V24" i="2" l="1"/>
  <c r="N24" i="2" a="1"/>
  <c r="N24" i="2" l="1"/>
  <c r="M24" i="2" a="1"/>
  <c r="M24" i="2" l="1"/>
  <c r="L24" i="2" a="1"/>
  <c r="L24" i="2" l="1"/>
  <c r="K24" i="2" a="1"/>
  <c r="J24" i="2"/>
  <c r="I24" i="2"/>
  <c r="K24" i="2" l="1"/>
  <c r="H24" i="2" a="1"/>
  <c r="F24" i="2"/>
  <c r="E24" i="2"/>
  <c r="Q24" i="2" a="1"/>
  <c r="R24" i="2"/>
  <c r="Q24" i="2" l="1"/>
  <c r="H24" i="2"/>
  <c r="AM24" i="2" l="1"/>
  <c r="AB24" i="2"/>
  <c r="AX23" i="2"/>
  <c r="BC23" i="2" a="1"/>
  <c r="S24" i="2"/>
  <c r="AV23" i="2" a="1"/>
  <c r="AV23" i="2" l="1"/>
  <c r="Z24" i="2"/>
  <c r="Y24" i="2"/>
  <c r="X24" i="2"/>
  <c r="T24" i="2"/>
  <c r="U24" i="2" s="1"/>
  <c r="BC23" i="2"/>
  <c r="AU23" i="2" a="1"/>
  <c r="AU23" i="2" l="1"/>
  <c r="AW23" i="2" s="1"/>
  <c r="AT23" i="2" a="1"/>
  <c r="AS23" i="2"/>
  <c r="AR23" i="2"/>
  <c r="AQ23" i="2"/>
  <c r="AP23" i="2"/>
  <c r="AO23" i="2"/>
  <c r="AN23" i="2"/>
  <c r="AT23" i="2" l="1"/>
  <c r="AL23" i="2"/>
  <c r="AK23" i="2" a="1"/>
  <c r="AJ23" i="2"/>
  <c r="AI23" i="2"/>
  <c r="AH23" i="2"/>
  <c r="AK23" i="2" l="1"/>
  <c r="AG23" i="2" a="1"/>
  <c r="AG23" i="2" l="1"/>
  <c r="AF23" i="2" a="1"/>
  <c r="AF23" i="2" l="1"/>
  <c r="AE23" i="2"/>
  <c r="AD23" i="2" a="1"/>
  <c r="AD23" i="2" l="1"/>
  <c r="AC23" i="2" a="1"/>
  <c r="AC23" i="2" l="1"/>
  <c r="AA23" i="2"/>
  <c r="W23" i="2" a="1"/>
  <c r="W23" i="2" l="1"/>
  <c r="V23" i="2" a="1"/>
  <c r="V23" i="2" l="1"/>
  <c r="N23" i="2" a="1"/>
  <c r="N23" i="2" l="1"/>
  <c r="M23" i="2" a="1"/>
  <c r="M23" i="2" l="1"/>
  <c r="L23" i="2" a="1"/>
  <c r="L23" i="2" l="1"/>
  <c r="K23" i="2" a="1"/>
  <c r="J23" i="2"/>
  <c r="I23" i="2"/>
  <c r="K23" i="2" l="1"/>
  <c r="H23" i="2" a="1"/>
  <c r="F23" i="2"/>
  <c r="E23" i="2"/>
  <c r="Q23" i="2" a="1"/>
  <c r="R23" i="2"/>
  <c r="Q23" i="2" l="1"/>
  <c r="H23" i="2"/>
  <c r="AM23" i="2" l="1"/>
  <c r="AB23" i="2"/>
  <c r="AX22" i="2"/>
  <c r="S23" i="2"/>
  <c r="BC22" i="2" a="1"/>
  <c r="AV22" i="2" a="1"/>
  <c r="AV22" i="2" l="1"/>
  <c r="BC22" i="2"/>
  <c r="Z23" i="2"/>
  <c r="Y23" i="2"/>
  <c r="X23" i="2"/>
  <c r="T23" i="2"/>
  <c r="U23" i="2" s="1"/>
  <c r="AU22" i="2" a="1"/>
  <c r="AU22" i="2" l="1"/>
  <c r="AW22" i="2" s="1"/>
  <c r="AT22" i="2" a="1"/>
  <c r="AS22" i="2"/>
  <c r="AR22" i="2"/>
  <c r="AQ22" i="2"/>
  <c r="AP22" i="2"/>
  <c r="AO22" i="2"/>
  <c r="AN22" i="2"/>
  <c r="AT22" i="2" l="1"/>
  <c r="AL22" i="2"/>
  <c r="AK22" i="2" a="1"/>
  <c r="AJ22" i="2"/>
  <c r="AI22" i="2"/>
  <c r="AH22" i="2"/>
  <c r="AK22" i="2" l="1"/>
  <c r="AG22" i="2" a="1"/>
  <c r="AG22" i="2" l="1"/>
  <c r="AF22" i="2" a="1"/>
  <c r="AF22" i="2" l="1"/>
  <c r="AE22" i="2"/>
  <c r="AD22" i="2" a="1"/>
  <c r="AD22" i="2" l="1"/>
  <c r="AC22" i="2" a="1"/>
  <c r="AC22" i="2" l="1"/>
  <c r="AA22" i="2"/>
  <c r="W22" i="2" a="1"/>
  <c r="W22" i="2" l="1"/>
  <c r="V22" i="2" a="1"/>
  <c r="V22" i="2" l="1"/>
  <c r="N22" i="2" a="1"/>
  <c r="N22" i="2" l="1"/>
  <c r="M22" i="2" a="1"/>
  <c r="M22" i="2" l="1"/>
  <c r="L22" i="2" a="1"/>
  <c r="L22" i="2" l="1"/>
  <c r="K22" i="2" a="1"/>
  <c r="J22" i="2"/>
  <c r="I22" i="2"/>
  <c r="K22" i="2" l="1"/>
  <c r="H22" i="2" a="1"/>
  <c r="F22" i="2"/>
  <c r="E22" i="2"/>
  <c r="Q22" i="2" a="1"/>
  <c r="R22" i="2"/>
  <c r="Q22" i="2" l="1"/>
  <c r="H22" i="2"/>
  <c r="AM22" i="2" l="1"/>
  <c r="AB22" i="2"/>
  <c r="AX21" i="2"/>
  <c r="S22" i="2"/>
  <c r="BC21" i="2" a="1"/>
  <c r="AV21" i="2" a="1"/>
  <c r="AV21" i="2" l="1"/>
  <c r="BC21" i="2"/>
  <c r="Z22" i="2"/>
  <c r="Y22" i="2"/>
  <c r="X22" i="2"/>
  <c r="T22" i="2"/>
  <c r="U22" i="2" s="1"/>
  <c r="AU21" i="2" a="1"/>
  <c r="AU21" i="2" l="1"/>
  <c r="AW21" i="2" s="1"/>
  <c r="AT21" i="2" a="1"/>
  <c r="AS21" i="2"/>
  <c r="AR21" i="2"/>
  <c r="AQ21" i="2"/>
  <c r="AP21" i="2"/>
  <c r="AO21" i="2"/>
  <c r="AN21" i="2"/>
  <c r="AT21" i="2" l="1"/>
  <c r="AL21" i="2"/>
  <c r="AK21" i="2" a="1"/>
  <c r="AJ21" i="2"/>
  <c r="AI21" i="2"/>
  <c r="AH21" i="2"/>
  <c r="AK21" i="2" l="1"/>
  <c r="AG21" i="2" a="1"/>
  <c r="AG21" i="2" l="1"/>
  <c r="AF21" i="2" a="1"/>
  <c r="AF21" i="2" l="1"/>
  <c r="AE21" i="2"/>
  <c r="AD21" i="2" a="1"/>
  <c r="AD21" i="2" l="1"/>
  <c r="AC21" i="2" a="1"/>
  <c r="AC21" i="2" l="1"/>
  <c r="AA21" i="2"/>
  <c r="W21" i="2" a="1"/>
  <c r="W21" i="2" l="1"/>
  <c r="V21" i="2" a="1"/>
  <c r="V21" i="2" l="1"/>
  <c r="N21" i="2" a="1"/>
  <c r="N21" i="2" l="1"/>
  <c r="M21" i="2" a="1"/>
  <c r="M21" i="2" l="1"/>
  <c r="L21" i="2" a="1"/>
  <c r="L21" i="2" l="1"/>
  <c r="K21" i="2" a="1"/>
  <c r="J21" i="2"/>
  <c r="I21" i="2"/>
  <c r="K21" i="2" l="1"/>
  <c r="H21" i="2" a="1"/>
  <c r="F21" i="2"/>
  <c r="E21" i="2"/>
  <c r="Q21" i="2" a="1"/>
  <c r="R21" i="2"/>
  <c r="Q21" i="2" l="1"/>
  <c r="H21" i="2"/>
  <c r="AM21" i="2" l="1"/>
  <c r="AB21" i="2"/>
  <c r="AX20" i="2"/>
  <c r="BC20" i="2" a="1"/>
  <c r="S21" i="2"/>
  <c r="AV20" i="2" a="1"/>
  <c r="AV20" i="2" l="1"/>
  <c r="Z21" i="2"/>
  <c r="Y21" i="2"/>
  <c r="X21" i="2"/>
  <c r="T21" i="2"/>
  <c r="U21" i="2" s="1"/>
  <c r="BC20" i="2"/>
  <c r="AU20" i="2" a="1"/>
  <c r="AU20" i="2" l="1"/>
  <c r="AW20" i="2" s="1"/>
  <c r="AT20" i="2" a="1"/>
  <c r="AS20" i="2"/>
  <c r="AR20" i="2"/>
  <c r="AQ20" i="2"/>
  <c r="AP20" i="2"/>
  <c r="AO20" i="2"/>
  <c r="AN20" i="2"/>
  <c r="AT20" i="2" l="1"/>
  <c r="AL20" i="2"/>
  <c r="AK20" i="2" a="1"/>
  <c r="AJ20" i="2"/>
  <c r="AI20" i="2"/>
  <c r="AH20" i="2"/>
  <c r="AK20" i="2" l="1"/>
  <c r="AG20" i="2" a="1"/>
  <c r="AG20" i="2" l="1"/>
  <c r="AF20" i="2" a="1"/>
  <c r="AF20" i="2" l="1"/>
  <c r="AE20" i="2"/>
  <c r="AD20" i="2" a="1"/>
  <c r="AD20" i="2" l="1"/>
  <c r="AC20" i="2" a="1"/>
  <c r="AC20" i="2" l="1"/>
  <c r="AA20" i="2"/>
  <c r="W20" i="2" a="1"/>
  <c r="W20" i="2" l="1"/>
  <c r="V20" i="2" a="1"/>
  <c r="V20" i="2" l="1"/>
  <c r="N20" i="2" a="1"/>
  <c r="N20" i="2" l="1"/>
  <c r="M20" i="2" a="1"/>
  <c r="M20" i="2" l="1"/>
  <c r="L20" i="2" a="1"/>
  <c r="L20" i="2" l="1"/>
  <c r="K20" i="2" a="1"/>
  <c r="J20" i="2"/>
  <c r="I20" i="2"/>
  <c r="K20" i="2" l="1"/>
  <c r="H20" i="2" a="1"/>
  <c r="F20" i="2"/>
  <c r="E20" i="2"/>
  <c r="Q20" i="2" a="1"/>
  <c r="R20" i="2"/>
  <c r="Q20" i="2" l="1"/>
  <c r="H20" i="2"/>
  <c r="AM20" i="2" l="1"/>
  <c r="AB20" i="2"/>
  <c r="AX19" i="2"/>
  <c r="S20" i="2"/>
  <c r="BC19" i="2" a="1"/>
  <c r="AV19" i="2" a="1"/>
  <c r="AV19" i="2" l="1"/>
  <c r="BC19" i="2"/>
  <c r="Z20" i="2"/>
  <c r="Y20" i="2"/>
  <c r="X20" i="2"/>
  <c r="T20" i="2"/>
  <c r="U20" i="2" s="1"/>
  <c r="AU19" i="2" a="1"/>
  <c r="AU19" i="2" l="1"/>
  <c r="AW19" i="2" s="1"/>
  <c r="AT19" i="2" a="1"/>
  <c r="AS19" i="2"/>
  <c r="AR19" i="2"/>
  <c r="AQ19" i="2"/>
  <c r="AP19" i="2"/>
  <c r="AO19" i="2"/>
  <c r="AN19" i="2"/>
  <c r="AT19" i="2" l="1"/>
  <c r="AL19" i="2"/>
  <c r="AK19" i="2" a="1"/>
  <c r="AJ19" i="2"/>
  <c r="AI19" i="2"/>
  <c r="AH19" i="2"/>
  <c r="AK19" i="2" l="1"/>
  <c r="AG19" i="2" a="1"/>
  <c r="AG19" i="2" l="1"/>
  <c r="AF19" i="2" a="1"/>
  <c r="AF19" i="2" l="1"/>
  <c r="AE19" i="2"/>
  <c r="AD19" i="2" a="1"/>
  <c r="AD19" i="2" l="1"/>
  <c r="AC19" i="2" a="1"/>
  <c r="AC19" i="2" l="1"/>
  <c r="AA19" i="2"/>
  <c r="W19" i="2" a="1"/>
  <c r="W19" i="2" l="1"/>
  <c r="V19" i="2" a="1"/>
  <c r="V19" i="2" l="1"/>
  <c r="N19" i="2" a="1"/>
  <c r="N19" i="2" l="1"/>
  <c r="M19" i="2" a="1"/>
  <c r="M19" i="2" l="1"/>
  <c r="L19" i="2" a="1"/>
  <c r="L19" i="2" l="1"/>
  <c r="K19" i="2" a="1"/>
  <c r="J19" i="2"/>
  <c r="I19" i="2"/>
  <c r="K19" i="2" l="1"/>
  <c r="H19" i="2" a="1"/>
  <c r="F19" i="2"/>
  <c r="E19" i="2"/>
  <c r="Q19" i="2" a="1"/>
  <c r="R19" i="2"/>
  <c r="Q19" i="2" l="1"/>
  <c r="H19" i="2"/>
  <c r="AM19" i="2" l="1"/>
  <c r="AB19" i="2"/>
  <c r="AX18" i="2"/>
  <c r="S19" i="2"/>
  <c r="BC18" i="2" a="1"/>
  <c r="AV18" i="2" a="1"/>
  <c r="AV18" i="2" l="1"/>
  <c r="BC18" i="2"/>
  <c r="Z19" i="2"/>
  <c r="Y19" i="2"/>
  <c r="X19" i="2"/>
  <c r="T19" i="2"/>
  <c r="U19" i="2" s="1"/>
  <c r="AU18" i="2" a="1"/>
  <c r="AU18" i="2" l="1"/>
  <c r="AW18" i="2" s="1"/>
  <c r="AT18" i="2" a="1"/>
  <c r="AS18" i="2"/>
  <c r="AR18" i="2"/>
  <c r="AQ18" i="2"/>
  <c r="AP18" i="2"/>
  <c r="AO18" i="2"/>
  <c r="AN18" i="2"/>
  <c r="AT18" i="2" l="1"/>
  <c r="AL18" i="2"/>
  <c r="AK18" i="2" a="1"/>
  <c r="AJ18" i="2"/>
  <c r="AI18" i="2"/>
  <c r="AH18" i="2"/>
  <c r="AK18" i="2" l="1"/>
  <c r="AG18" i="2" a="1"/>
  <c r="AG18" i="2" l="1"/>
  <c r="AF18" i="2" a="1"/>
  <c r="AF18" i="2" l="1"/>
  <c r="AE18" i="2"/>
  <c r="AD18" i="2" a="1"/>
  <c r="AD18" i="2" l="1"/>
  <c r="AC18" i="2" a="1"/>
  <c r="AC18" i="2" l="1"/>
  <c r="AA18" i="2"/>
  <c r="W18" i="2" a="1"/>
  <c r="W18" i="2" l="1"/>
  <c r="V18" i="2" a="1"/>
  <c r="V18" i="2" l="1"/>
  <c r="N18" i="2" a="1"/>
  <c r="N18" i="2" l="1"/>
  <c r="M18" i="2" a="1"/>
  <c r="M18" i="2" l="1"/>
  <c r="L18" i="2" a="1"/>
  <c r="L18" i="2" l="1"/>
  <c r="K18" i="2" a="1"/>
  <c r="J18" i="2"/>
  <c r="I18" i="2"/>
  <c r="K18" i="2" l="1"/>
  <c r="H18" i="2" a="1"/>
  <c r="F18" i="2"/>
  <c r="E18" i="2"/>
  <c r="Q18" i="2" a="1"/>
  <c r="R18" i="2"/>
  <c r="Q18" i="2" l="1"/>
  <c r="H18" i="2"/>
  <c r="AM18" i="2" l="1"/>
  <c r="AB18" i="2"/>
  <c r="AX17" i="2"/>
  <c r="S18" i="2"/>
  <c r="BC17" i="2" a="1"/>
  <c r="AV17" i="2" a="1"/>
  <c r="AV17" i="2" l="1"/>
  <c r="BC17" i="2"/>
  <c r="Z18" i="2"/>
  <c r="Y18" i="2"/>
  <c r="X18" i="2"/>
  <c r="T18" i="2"/>
  <c r="U18" i="2" s="1"/>
  <c r="AU17" i="2" a="1"/>
  <c r="AU17" i="2" l="1"/>
  <c r="AW17" i="2" s="1"/>
  <c r="AT17" i="2" a="1"/>
  <c r="AS17" i="2"/>
  <c r="AR17" i="2"/>
  <c r="AQ17" i="2"/>
  <c r="AP17" i="2"/>
  <c r="AO17" i="2"/>
  <c r="AN17" i="2"/>
  <c r="AT17" i="2" l="1"/>
  <c r="AL17" i="2"/>
  <c r="AK17" i="2" a="1"/>
  <c r="AJ17" i="2"/>
  <c r="AI17" i="2"/>
  <c r="AH17" i="2"/>
  <c r="AK17" i="2" l="1"/>
  <c r="AG17" i="2" a="1"/>
  <c r="AG17" i="2" l="1"/>
  <c r="AF17" i="2" a="1"/>
  <c r="AF17" i="2" l="1"/>
  <c r="AE17" i="2"/>
  <c r="AD17" i="2" a="1"/>
  <c r="AD17" i="2" l="1"/>
  <c r="AC17" i="2" a="1"/>
  <c r="AC17" i="2" l="1"/>
  <c r="AA17" i="2"/>
  <c r="W17" i="2" a="1"/>
  <c r="W17" i="2" l="1"/>
  <c r="V17" i="2" a="1"/>
  <c r="V17" i="2" l="1"/>
  <c r="N17" i="2" a="1"/>
  <c r="N17" i="2" l="1"/>
  <c r="M17" i="2" a="1"/>
  <c r="M17" i="2" l="1"/>
  <c r="L17" i="2" a="1"/>
  <c r="L17" i="2" l="1"/>
  <c r="K17" i="2" a="1"/>
  <c r="J17" i="2"/>
  <c r="I17" i="2"/>
  <c r="K17" i="2" l="1"/>
  <c r="H17" i="2" a="1"/>
  <c r="F17" i="2"/>
  <c r="E17" i="2"/>
  <c r="Q17" i="2" a="1"/>
  <c r="R17" i="2"/>
  <c r="Q17" i="2" l="1"/>
  <c r="H17" i="2"/>
  <c r="AM17" i="2" l="1"/>
  <c r="AB17" i="2"/>
  <c r="AX16" i="2"/>
  <c r="S17" i="2"/>
  <c r="BC16" i="2" a="1"/>
  <c r="AV16" i="2" a="1"/>
  <c r="AV16" i="2" l="1"/>
  <c r="BC16" i="2"/>
  <c r="Z17" i="2"/>
  <c r="Y17" i="2"/>
  <c r="X17" i="2"/>
  <c r="T17" i="2"/>
  <c r="U17" i="2" s="1"/>
  <c r="AU16" i="2" a="1"/>
  <c r="AU16" i="2" l="1"/>
  <c r="AW16" i="2" s="1"/>
  <c r="AT16" i="2" a="1"/>
  <c r="AS16" i="2"/>
  <c r="AR16" i="2"/>
  <c r="AQ16" i="2"/>
  <c r="AP16" i="2"/>
  <c r="AO16" i="2"/>
  <c r="AN16" i="2"/>
  <c r="AT16" i="2" l="1"/>
  <c r="AL16" i="2"/>
  <c r="AK16" i="2" a="1"/>
  <c r="AJ16" i="2"/>
  <c r="AI16" i="2"/>
  <c r="AH16" i="2"/>
  <c r="AK16" i="2" l="1"/>
  <c r="AG16" i="2" a="1"/>
  <c r="AG16" i="2" l="1"/>
  <c r="AF16" i="2" a="1"/>
  <c r="AF16" i="2" l="1"/>
  <c r="AE16" i="2"/>
  <c r="AD16" i="2" a="1"/>
  <c r="AD16" i="2" l="1"/>
  <c r="AC16" i="2" a="1"/>
  <c r="AC16" i="2" l="1"/>
  <c r="AA16" i="2"/>
  <c r="W16" i="2" a="1"/>
  <c r="W16" i="2" l="1"/>
  <c r="V16" i="2" a="1"/>
  <c r="V16" i="2" l="1"/>
  <c r="N16" i="2" a="1"/>
  <c r="N16" i="2" l="1"/>
  <c r="M16" i="2" a="1"/>
  <c r="M16" i="2" l="1"/>
  <c r="L16" i="2" a="1"/>
  <c r="L16" i="2" l="1"/>
  <c r="K16" i="2" a="1"/>
  <c r="J16" i="2"/>
  <c r="I16" i="2"/>
  <c r="K16" i="2" l="1"/>
  <c r="H16" i="2" a="1"/>
  <c r="F16" i="2"/>
  <c r="E16" i="2"/>
  <c r="Q16" i="2" a="1"/>
  <c r="R16" i="2"/>
  <c r="Q16" i="2" l="1"/>
  <c r="H16" i="2"/>
  <c r="AM16" i="2" l="1"/>
  <c r="AB16" i="2"/>
  <c r="AX15" i="2"/>
  <c r="S16" i="2"/>
  <c r="BC15" i="2" a="1"/>
  <c r="AV15" i="2" a="1"/>
  <c r="AV15" i="2" l="1"/>
  <c r="BC15" i="2"/>
  <c r="Z16" i="2"/>
  <c r="Y16" i="2"/>
  <c r="X16" i="2"/>
  <c r="T16" i="2"/>
  <c r="U16" i="2" s="1"/>
  <c r="AU15" i="2" a="1"/>
  <c r="AU15" i="2" l="1"/>
  <c r="AW15" i="2" s="1"/>
  <c r="AT15" i="2" a="1"/>
  <c r="AS15" i="2"/>
  <c r="AR15" i="2"/>
  <c r="AQ15" i="2"/>
  <c r="AP15" i="2"/>
  <c r="AO15" i="2"/>
  <c r="AN15" i="2"/>
  <c r="AT15" i="2" l="1"/>
  <c r="AL15" i="2"/>
  <c r="AK15" i="2" a="1"/>
  <c r="AJ15" i="2"/>
  <c r="AI15" i="2"/>
  <c r="AH15" i="2"/>
  <c r="AK15" i="2" l="1"/>
  <c r="AG15" i="2" a="1"/>
  <c r="AG15" i="2" l="1"/>
  <c r="AF15" i="2" a="1"/>
  <c r="AF15" i="2" l="1"/>
  <c r="AE15" i="2"/>
  <c r="AD15" i="2" a="1"/>
  <c r="AD15" i="2" l="1"/>
  <c r="AC15" i="2" a="1"/>
  <c r="AC15" i="2" l="1"/>
  <c r="AA15" i="2"/>
  <c r="W15" i="2" a="1"/>
  <c r="W15" i="2" l="1"/>
  <c r="V15" i="2" a="1"/>
  <c r="V15" i="2" l="1"/>
  <c r="N15" i="2" a="1"/>
  <c r="N15" i="2" l="1"/>
  <c r="M15" i="2" a="1"/>
  <c r="M15" i="2" l="1"/>
  <c r="L15" i="2" a="1"/>
  <c r="L15" i="2" l="1"/>
  <c r="K15" i="2" a="1"/>
  <c r="J15" i="2"/>
  <c r="I15" i="2"/>
  <c r="K15" i="2" l="1"/>
  <c r="H15" i="2" a="1"/>
  <c r="F15" i="2"/>
  <c r="E15" i="2"/>
  <c r="Q15" i="2" a="1"/>
  <c r="R15" i="2"/>
  <c r="Q15" i="2" l="1"/>
  <c r="H15" i="2"/>
  <c r="AM15" i="2" l="1"/>
  <c r="AB15" i="2"/>
  <c r="AX14" i="2"/>
  <c r="S15" i="2"/>
  <c r="BC14" i="2" a="1"/>
  <c r="AV14" i="2" a="1"/>
  <c r="AV14" i="2" l="1"/>
  <c r="BC14" i="2"/>
  <c r="Y15" i="2"/>
  <c r="X15" i="2"/>
  <c r="Z15" i="2"/>
  <c r="T15" i="2"/>
  <c r="U15" i="2" s="1"/>
  <c r="AU14" i="2" a="1"/>
  <c r="AU14" i="2" l="1"/>
  <c r="AW14" i="2" s="1"/>
  <c r="AT14" i="2" a="1"/>
  <c r="AS14" i="2"/>
  <c r="AR14" i="2"/>
  <c r="AQ14" i="2"/>
  <c r="AP14" i="2"/>
  <c r="AO14" i="2"/>
  <c r="AN14" i="2"/>
  <c r="AT14" i="2" l="1"/>
  <c r="AL14" i="2"/>
  <c r="AK14" i="2" a="1"/>
  <c r="AJ14" i="2"/>
  <c r="AI14" i="2"/>
  <c r="AH14" i="2"/>
  <c r="AK14" i="2" l="1"/>
  <c r="AG14" i="2" a="1"/>
  <c r="AG14" i="2" l="1"/>
  <c r="AF14" i="2" a="1"/>
  <c r="AF14" i="2" l="1"/>
  <c r="AE14" i="2"/>
  <c r="AD14" i="2" a="1"/>
  <c r="AD14" i="2" l="1"/>
  <c r="AC14" i="2" a="1"/>
  <c r="AC14" i="2" l="1"/>
  <c r="AA14" i="2"/>
  <c r="W14" i="2" a="1"/>
  <c r="W14" i="2" l="1"/>
  <c r="V14" i="2" a="1"/>
  <c r="V14" i="2" l="1"/>
  <c r="N14" i="2" a="1"/>
  <c r="N14" i="2" l="1"/>
  <c r="M14" i="2" a="1"/>
  <c r="M14" i="2" l="1"/>
  <c r="L14" i="2" a="1"/>
  <c r="L14" i="2" l="1"/>
  <c r="K14" i="2" a="1"/>
  <c r="J14" i="2"/>
  <c r="I14" i="2"/>
  <c r="K14" i="2" l="1"/>
  <c r="H14" i="2" a="1"/>
  <c r="F14" i="2"/>
  <c r="E14" i="2"/>
  <c r="Q14" i="2" a="1"/>
  <c r="R14" i="2"/>
  <c r="Q14" i="2" l="1"/>
  <c r="H14" i="2"/>
  <c r="AM14" i="2" l="1"/>
  <c r="AB14" i="2"/>
  <c r="AX13" i="2"/>
  <c r="S14" i="2"/>
  <c r="BC13" i="2" a="1"/>
  <c r="AV13" i="2" a="1"/>
  <c r="AV13" i="2" l="1"/>
  <c r="BC13" i="2"/>
  <c r="Z14" i="2"/>
  <c r="Y14" i="2"/>
  <c r="X14" i="2"/>
  <c r="T14" i="2"/>
  <c r="U14" i="2" s="1"/>
  <c r="AU13" i="2" a="1"/>
  <c r="AU13" i="2" l="1"/>
  <c r="AW13" i="2" s="1"/>
  <c r="AT13" i="2" a="1"/>
  <c r="AS13" i="2"/>
  <c r="AR13" i="2"/>
  <c r="AQ13" i="2"/>
  <c r="AP13" i="2"/>
  <c r="AO13" i="2"/>
  <c r="AN13" i="2"/>
  <c r="AT13" i="2" l="1"/>
  <c r="AL13" i="2"/>
  <c r="AK13" i="2" a="1"/>
  <c r="AJ13" i="2"/>
  <c r="AI13" i="2"/>
  <c r="AH13" i="2"/>
  <c r="AK13" i="2" l="1"/>
  <c r="AG13" i="2" a="1"/>
  <c r="AG13" i="2" l="1"/>
  <c r="AF13" i="2" a="1"/>
  <c r="AF13" i="2" l="1"/>
  <c r="AE13" i="2"/>
  <c r="AD13" i="2" a="1"/>
  <c r="AD13" i="2" l="1"/>
  <c r="AC13" i="2" a="1"/>
  <c r="AC13" i="2" l="1"/>
  <c r="AA13" i="2"/>
  <c r="W13" i="2" a="1"/>
  <c r="W13" i="2" l="1"/>
  <c r="V13" i="2" a="1"/>
  <c r="V13" i="2" l="1"/>
  <c r="N13" i="2" a="1"/>
  <c r="N13" i="2" l="1"/>
  <c r="M13" i="2" a="1"/>
  <c r="M13" i="2" l="1"/>
  <c r="L13" i="2" a="1"/>
  <c r="L13" i="2" l="1"/>
  <c r="K13" i="2" a="1"/>
  <c r="J13" i="2"/>
  <c r="I13" i="2"/>
  <c r="K13" i="2" l="1"/>
  <c r="H13" i="2" a="1"/>
  <c r="F13" i="2"/>
  <c r="E13" i="2"/>
  <c r="Q13" i="2" a="1"/>
  <c r="R13" i="2"/>
  <c r="Q13" i="2" l="1"/>
  <c r="H13" i="2"/>
  <c r="AM13" i="2" l="1"/>
  <c r="AB13" i="2"/>
  <c r="AX12" i="2"/>
  <c r="S13" i="2"/>
  <c r="BC12" i="2" a="1"/>
  <c r="AV12" i="2" a="1"/>
  <c r="AV12" i="2" l="1"/>
  <c r="BC12" i="2"/>
  <c r="Z13" i="2"/>
  <c r="Y13" i="2"/>
  <c r="X13" i="2"/>
  <c r="T13" i="2"/>
  <c r="U13" i="2" s="1"/>
  <c r="AU12" i="2" a="1"/>
  <c r="AU12" i="2" l="1"/>
  <c r="AW12" i="2" s="1"/>
  <c r="AT12" i="2" a="1"/>
  <c r="AS12" i="2"/>
  <c r="AR12" i="2"/>
  <c r="AQ12" i="2"/>
  <c r="AP12" i="2"/>
  <c r="AO12" i="2"/>
  <c r="AN12" i="2"/>
  <c r="AT12" i="2" l="1"/>
  <c r="AL12" i="2"/>
  <c r="AK12" i="2" a="1"/>
  <c r="AJ12" i="2"/>
  <c r="AI12" i="2"/>
  <c r="AH12" i="2"/>
  <c r="AK12" i="2" l="1"/>
  <c r="AG12" i="2" a="1"/>
  <c r="AG12" i="2" l="1"/>
  <c r="AF12" i="2" a="1"/>
  <c r="AF12" i="2" l="1"/>
  <c r="AE12" i="2"/>
  <c r="AD12" i="2" a="1"/>
  <c r="AD12" i="2" l="1"/>
  <c r="AC12" i="2" a="1"/>
  <c r="AC12" i="2" l="1"/>
  <c r="AA12" i="2"/>
  <c r="W12" i="2" a="1"/>
  <c r="W12" i="2" l="1"/>
  <c r="V12" i="2" a="1"/>
  <c r="V12" i="2" l="1"/>
  <c r="N12" i="2" a="1"/>
  <c r="N12" i="2" l="1"/>
  <c r="M12" i="2" a="1"/>
  <c r="M12" i="2" l="1"/>
  <c r="L12" i="2" a="1"/>
  <c r="L12" i="2" l="1"/>
  <c r="K12" i="2" a="1"/>
  <c r="J12" i="2"/>
  <c r="I12" i="2"/>
  <c r="K12" i="2" l="1"/>
  <c r="H12" i="2" a="1"/>
  <c r="F12" i="2"/>
  <c r="E12" i="2"/>
  <c r="Q12" i="2" a="1"/>
  <c r="R12" i="2"/>
  <c r="Q12" i="2" l="1"/>
  <c r="H12" i="2"/>
  <c r="AX11" i="2"/>
  <c r="AV11" i="2" a="1"/>
  <c r="AV11" i="2" l="1"/>
  <c r="AM12" i="2"/>
  <c r="AB12" i="2"/>
  <c r="S12" i="2"/>
  <c r="AU11" i="2" a="1"/>
  <c r="AU11" i="2" l="1"/>
  <c r="AW11" i="2" s="1"/>
  <c r="Z12" i="2"/>
  <c r="Y12" i="2"/>
  <c r="X12" i="2"/>
  <c r="T12" i="2"/>
  <c r="U12" i="2" s="1"/>
  <c r="AT11" i="2" a="1"/>
  <c r="AS11" i="2"/>
  <c r="AR11" i="2"/>
  <c r="AQ11" i="2"/>
  <c r="AP11" i="2"/>
  <c r="AO11" i="2"/>
  <c r="AN11" i="2"/>
  <c r="AT11" i="2" l="1"/>
  <c r="AL11" i="2"/>
  <c r="AK11" i="2" a="1"/>
  <c r="AJ11" i="2"/>
  <c r="AI11" i="2"/>
  <c r="AH11" i="2"/>
  <c r="AK11" i="2" l="1"/>
  <c r="AG11" i="2" a="1"/>
  <c r="AG11" i="2" l="1"/>
  <c r="AF11" i="2" a="1"/>
  <c r="AF11" i="2" l="1"/>
  <c r="AE11" i="2"/>
  <c r="AD11" i="2" a="1"/>
  <c r="AD11" i="2" l="1"/>
  <c r="AC11" i="2" a="1"/>
  <c r="AC11" i="2" l="1"/>
  <c r="AA11" i="2"/>
  <c r="W11" i="2" a="1"/>
  <c r="W11" i="2" l="1"/>
  <c r="V11" i="2" a="1"/>
  <c r="V11" i="2" l="1"/>
  <c r="N11" i="2" a="1"/>
  <c r="N11" i="2" l="1"/>
  <c r="M11" i="2" a="1"/>
  <c r="M11" i="2" l="1"/>
  <c r="L11" i="2" a="1"/>
  <c r="L11" i="2" l="1"/>
  <c r="K11" i="2" a="1"/>
  <c r="J11" i="2"/>
  <c r="I11" i="2"/>
  <c r="K11" i="2" l="1"/>
  <c r="H11" i="2" a="1"/>
  <c r="F11" i="2"/>
  <c r="E11" i="2"/>
  <c r="Q11" i="2" a="1"/>
  <c r="R11" i="2"/>
  <c r="Q11" i="2" l="1"/>
  <c r="H11" i="2"/>
  <c r="AM11" i="2" l="1"/>
  <c r="AB11" i="2"/>
  <c r="AX10" i="2"/>
  <c r="S11" i="2"/>
  <c r="BC10" i="2" a="1"/>
  <c r="AV10" i="2" a="1"/>
  <c r="AV10" i="2" l="1"/>
  <c r="BC10" i="2"/>
  <c r="Z11" i="2"/>
  <c r="Y11" i="2"/>
  <c r="X11" i="2"/>
  <c r="T11" i="2"/>
  <c r="U11" i="2" s="1"/>
  <c r="AU10" i="2" a="1"/>
  <c r="AU10" i="2" l="1"/>
  <c r="AW10" i="2" s="1"/>
  <c r="AT10" i="2" a="1"/>
  <c r="AS10" i="2"/>
  <c r="AR10" i="2"/>
  <c r="AQ10" i="2"/>
  <c r="AP10" i="2"/>
  <c r="AO10" i="2"/>
  <c r="AN10" i="2"/>
  <c r="AT10" i="2" l="1"/>
  <c r="AL10" i="2"/>
  <c r="AK10" i="2" a="1"/>
  <c r="AJ10" i="2"/>
  <c r="AI10" i="2"/>
  <c r="AH10" i="2"/>
  <c r="AK10" i="2" l="1"/>
  <c r="AG10" i="2" a="1"/>
  <c r="AG10" i="2" l="1"/>
  <c r="AF10" i="2" a="1"/>
  <c r="AF10" i="2" l="1"/>
  <c r="AE10" i="2"/>
  <c r="AD10" i="2" a="1"/>
  <c r="AD10" i="2" l="1"/>
  <c r="AC10" i="2" a="1"/>
  <c r="AC10" i="2" l="1"/>
  <c r="AA10" i="2"/>
  <c r="W10" i="2" a="1"/>
  <c r="W10" i="2" l="1"/>
  <c r="V10" i="2" a="1"/>
  <c r="V10" i="2" l="1"/>
  <c r="N10" i="2" a="1"/>
  <c r="N10" i="2" l="1"/>
  <c r="M10" i="2" a="1"/>
  <c r="M10" i="2" l="1"/>
  <c r="L10" i="2" a="1"/>
  <c r="L10" i="2" l="1"/>
  <c r="K10" i="2" a="1"/>
  <c r="J10" i="2"/>
  <c r="I10" i="2"/>
  <c r="K10" i="2" l="1"/>
  <c r="H10" i="2" a="1"/>
  <c r="F10" i="2"/>
  <c r="E10" i="2"/>
  <c r="Q10" i="2" a="1"/>
  <c r="R10" i="2"/>
  <c r="Q10" i="2" l="1"/>
  <c r="H10" i="2"/>
  <c r="AM10" i="2" l="1"/>
  <c r="AB10" i="2"/>
  <c r="AX9" i="2"/>
  <c r="BC9" i="2" a="1"/>
  <c r="S10" i="2"/>
  <c r="AV9" i="2" a="1"/>
  <c r="AV9" i="2" l="1"/>
  <c r="Z10" i="2"/>
  <c r="Y10" i="2"/>
  <c r="X10" i="2"/>
  <c r="T10" i="2"/>
  <c r="U10" i="2" s="1"/>
  <c r="BC9" i="2"/>
  <c r="AU9" i="2" a="1"/>
  <c r="AU9" i="2" l="1"/>
  <c r="AW9" i="2" s="1"/>
  <c r="AT9" i="2" a="1"/>
  <c r="AS9" i="2"/>
  <c r="AR9" i="2"/>
  <c r="AQ9" i="2"/>
  <c r="AP9" i="2"/>
  <c r="AO9" i="2"/>
  <c r="AN9" i="2"/>
  <c r="AT9" i="2" l="1"/>
  <c r="AL9" i="2"/>
  <c r="AK9" i="2" a="1"/>
  <c r="AJ9" i="2"/>
  <c r="AI9" i="2"/>
  <c r="AH9" i="2"/>
  <c r="AK9" i="2" l="1"/>
  <c r="AG9" i="2" a="1"/>
  <c r="AG9" i="2" l="1"/>
  <c r="AF9" i="2" a="1"/>
  <c r="AF9" i="2" l="1"/>
  <c r="AE9" i="2"/>
  <c r="AD9" i="2" a="1"/>
  <c r="AD9" i="2" l="1"/>
  <c r="AC9" i="2" a="1"/>
  <c r="AC9" i="2" l="1"/>
  <c r="AA9" i="2"/>
  <c r="W9" i="2" a="1"/>
  <c r="W9" i="2" l="1"/>
  <c r="V9" i="2" a="1"/>
  <c r="V9" i="2" l="1"/>
  <c r="N9" i="2" a="1"/>
  <c r="N9" i="2" l="1"/>
  <c r="M9" i="2" a="1"/>
  <c r="M9" i="2" l="1"/>
  <c r="L9" i="2" a="1"/>
  <c r="L9" i="2" l="1"/>
  <c r="K9" i="2" a="1"/>
  <c r="J9" i="2"/>
  <c r="I9" i="2"/>
  <c r="K9" i="2" l="1"/>
  <c r="H9" i="2" a="1"/>
  <c r="F9" i="2"/>
  <c r="E9" i="2"/>
  <c r="Q9" i="2" a="1"/>
  <c r="R9" i="2"/>
  <c r="Q9" i="2" l="1"/>
  <c r="H9" i="2"/>
  <c r="AM9" i="2" l="1"/>
  <c r="AB9" i="2"/>
  <c r="AX8" i="2"/>
  <c r="S9" i="2"/>
  <c r="BC8" i="2" a="1"/>
  <c r="AV8" i="2" a="1"/>
  <c r="AV8" i="2" l="1"/>
  <c r="BC8" i="2"/>
  <c r="Z9" i="2"/>
  <c r="X9" i="2"/>
  <c r="Y9" i="2"/>
  <c r="T9" i="2"/>
  <c r="U9" i="2" s="1"/>
  <c r="AU8" i="2" a="1"/>
  <c r="AU8" i="2" l="1"/>
  <c r="AW8" i="2" s="1"/>
  <c r="AT8" i="2" a="1"/>
  <c r="AS8" i="2"/>
  <c r="AR8" i="2"/>
  <c r="AQ8" i="2"/>
  <c r="AP8" i="2"/>
  <c r="AO8" i="2"/>
  <c r="AN8" i="2"/>
  <c r="AT8" i="2" l="1"/>
  <c r="AL8" i="2"/>
  <c r="AK8" i="2" a="1"/>
  <c r="AJ8" i="2"/>
  <c r="AI8" i="2"/>
  <c r="AH8" i="2"/>
  <c r="AK8" i="2" l="1"/>
  <c r="AG8" i="2" a="1"/>
  <c r="AG8" i="2" l="1"/>
  <c r="AF8" i="2" a="1"/>
  <c r="AF8" i="2" l="1"/>
  <c r="AE8" i="2"/>
  <c r="AD8" i="2" a="1"/>
  <c r="AD8" i="2" l="1"/>
  <c r="AC8" i="2" a="1"/>
  <c r="AC8" i="2" l="1"/>
  <c r="AA8" i="2"/>
  <c r="W8" i="2" a="1"/>
  <c r="W8" i="2" l="1"/>
  <c r="V8" i="2" a="1"/>
  <c r="V8" i="2" l="1"/>
  <c r="N8" i="2" a="1"/>
  <c r="N8" i="2" l="1"/>
  <c r="M8" i="2" a="1"/>
  <c r="M8" i="2" l="1"/>
  <c r="L8" i="2" a="1"/>
  <c r="L8" i="2" l="1"/>
  <c r="K8" i="2" a="1"/>
  <c r="J8" i="2"/>
  <c r="I8" i="2"/>
  <c r="K8" i="2" l="1"/>
  <c r="H8" i="2" a="1"/>
  <c r="F8" i="2"/>
  <c r="E8" i="2"/>
  <c r="Q8" i="2" a="1"/>
  <c r="R8" i="2"/>
  <c r="Q8" i="2" l="1"/>
  <c r="H8" i="2"/>
  <c r="AM8" i="2" l="1"/>
  <c r="AB8" i="2"/>
  <c r="AX7" i="2"/>
  <c r="S8" i="2"/>
  <c r="BC7" i="2" a="1"/>
  <c r="AV7" i="2" a="1"/>
  <c r="AV7" i="2" l="1"/>
  <c r="BC7" i="2"/>
  <c r="Z8" i="2"/>
  <c r="Y8" i="2"/>
  <c r="X8" i="2"/>
  <c r="T8" i="2"/>
  <c r="U8" i="2" s="1"/>
  <c r="AU7" i="2" a="1"/>
  <c r="AU7" i="2" l="1"/>
  <c r="AW7" i="2" s="1"/>
  <c r="AT7" i="2" a="1"/>
  <c r="AS7" i="2"/>
  <c r="AR7" i="2"/>
  <c r="AQ7" i="2"/>
  <c r="AP7" i="2"/>
  <c r="AO7" i="2"/>
  <c r="AN7" i="2"/>
  <c r="AT7" i="2" l="1"/>
  <c r="AL7" i="2"/>
  <c r="AK7" i="2" a="1"/>
  <c r="AJ7" i="2"/>
  <c r="AI7" i="2"/>
  <c r="AH7" i="2"/>
  <c r="AK7" i="2" l="1"/>
  <c r="AG7" i="2" a="1"/>
  <c r="AG7" i="2" l="1"/>
  <c r="AF7" i="2" a="1"/>
  <c r="AF7" i="2" l="1"/>
  <c r="AE7" i="2"/>
  <c r="AD7" i="2" a="1"/>
  <c r="AD7" i="2" l="1"/>
  <c r="AC7" i="2" a="1"/>
  <c r="AC7" i="2" l="1"/>
  <c r="AA7" i="2"/>
  <c r="W7" i="2" a="1"/>
  <c r="W7" i="2" l="1"/>
  <c r="V7" i="2" a="1"/>
  <c r="V7" i="2" l="1"/>
  <c r="N7" i="2" a="1"/>
  <c r="N7" i="2" l="1"/>
  <c r="M7" i="2" a="1"/>
  <c r="M7" i="2" l="1"/>
  <c r="L7" i="2" a="1"/>
  <c r="L7" i="2" l="1"/>
  <c r="K7" i="2" a="1"/>
  <c r="J7" i="2"/>
  <c r="I7" i="2"/>
  <c r="K7" i="2" l="1"/>
  <c r="H7" i="2" a="1"/>
  <c r="F7" i="2"/>
  <c r="E7" i="2"/>
  <c r="Q7" i="2" a="1"/>
  <c r="R7" i="2"/>
  <c r="Q7" i="2" l="1"/>
  <c r="H7" i="2"/>
  <c r="AM7" i="2" l="1"/>
  <c r="AB7" i="2"/>
  <c r="AX6" i="2"/>
  <c r="S7" i="2"/>
  <c r="BC6" i="2" a="1"/>
  <c r="AV6" i="2" a="1"/>
  <c r="AV6" i="2" l="1"/>
  <c r="BC6" i="2"/>
  <c r="Z7" i="2"/>
  <c r="Y7" i="2"/>
  <c r="X7" i="2"/>
  <c r="T7" i="2"/>
  <c r="U7" i="2" s="1"/>
  <c r="AU6" i="2" a="1"/>
  <c r="AU6" i="2" l="1"/>
  <c r="AW6" i="2" s="1"/>
  <c r="AT6" i="2" a="1"/>
  <c r="AS6" i="2"/>
  <c r="AR6" i="2"/>
  <c r="AQ6" i="2"/>
  <c r="AP6" i="2"/>
  <c r="AO6" i="2"/>
  <c r="AN6" i="2"/>
  <c r="AT6" i="2" l="1"/>
  <c r="AL6" i="2"/>
  <c r="AK6" i="2" a="1"/>
  <c r="AJ6" i="2"/>
  <c r="AI6" i="2"/>
  <c r="AH6" i="2"/>
  <c r="AK6" i="2" l="1"/>
  <c r="AG6" i="2" a="1"/>
  <c r="AG6" i="2" l="1"/>
  <c r="AF6" i="2" a="1"/>
  <c r="AF6" i="2" l="1"/>
  <c r="AE6" i="2"/>
  <c r="AD6" i="2" a="1"/>
  <c r="AD6" i="2" l="1"/>
  <c r="AC6" i="2" a="1"/>
  <c r="AC6" i="2" l="1"/>
  <c r="AA6" i="2"/>
  <c r="W6" i="2" a="1"/>
  <c r="W6" i="2" l="1"/>
  <c r="V6" i="2" a="1"/>
  <c r="V6" i="2" l="1"/>
  <c r="N6" i="2" a="1"/>
  <c r="N6" i="2" l="1"/>
  <c r="M6" i="2" a="1"/>
  <c r="M6" i="2" l="1"/>
  <c r="L6" i="2" a="1"/>
  <c r="L6" i="2" l="1"/>
  <c r="K6" i="2" a="1"/>
  <c r="J6" i="2"/>
  <c r="I6" i="2"/>
  <c r="K6" i="2" l="1"/>
  <c r="H6" i="2" a="1"/>
  <c r="F6" i="2"/>
  <c r="E6" i="2"/>
  <c r="Q6" i="2" a="1"/>
  <c r="R6" i="2"/>
  <c r="Q6" i="2" l="1"/>
  <c r="H6" i="2"/>
  <c r="AM6" i="2" l="1"/>
  <c r="AB6" i="2"/>
  <c r="AX5" i="2"/>
  <c r="S6" i="2"/>
  <c r="BC5" i="2" a="1"/>
  <c r="AV5" i="2" a="1"/>
  <c r="AV5" i="2" l="1"/>
  <c r="BC5" i="2"/>
  <c r="Z6" i="2"/>
  <c r="Y6" i="2"/>
  <c r="X6" i="2"/>
  <c r="T6" i="2"/>
  <c r="U6" i="2" s="1"/>
  <c r="AU5" i="2" a="1"/>
  <c r="AU5" i="2" l="1"/>
  <c r="AW5" i="2" s="1"/>
  <c r="AT5" i="2" a="1"/>
  <c r="AS5" i="2"/>
  <c r="AR5" i="2"/>
  <c r="AQ5" i="2"/>
  <c r="AP5" i="2"/>
  <c r="AO5" i="2"/>
  <c r="AN5" i="2"/>
  <c r="AT5" i="2" l="1"/>
  <c r="AL5" i="2"/>
  <c r="AK5" i="2" a="1"/>
  <c r="AJ5" i="2"/>
  <c r="AI5" i="2"/>
  <c r="AH5" i="2"/>
  <c r="AK5" i="2" l="1"/>
  <c r="AG5" i="2" a="1"/>
  <c r="AG5" i="2" l="1"/>
  <c r="AF5" i="2" a="1"/>
  <c r="AF5" i="2" l="1"/>
  <c r="AE5" i="2"/>
  <c r="AD5" i="2" a="1"/>
  <c r="AD5" i="2" l="1"/>
  <c r="AC5" i="2" a="1"/>
  <c r="AC5" i="2" l="1"/>
  <c r="AA5" i="2"/>
  <c r="W5" i="2" a="1"/>
  <c r="W5" i="2" l="1"/>
  <c r="V5" i="2" a="1"/>
  <c r="V5" i="2" l="1"/>
  <c r="N5" i="2" a="1"/>
  <c r="N5" i="2" l="1"/>
  <c r="M5" i="2" a="1"/>
  <c r="M5" i="2" l="1"/>
  <c r="L5" i="2" a="1"/>
  <c r="L5" i="2" l="1"/>
  <c r="K5" i="2" a="1"/>
  <c r="J5" i="2"/>
  <c r="I5" i="2"/>
  <c r="K5" i="2" l="1"/>
  <c r="H5" i="2" a="1"/>
  <c r="F5" i="2"/>
  <c r="E5" i="2"/>
  <c r="Q5" i="2" a="1"/>
  <c r="R5" i="2"/>
  <c r="Q5" i="2" l="1"/>
  <c r="H5" i="2"/>
  <c r="AM5" i="2" l="1"/>
  <c r="AB5" i="2"/>
  <c r="AX4" i="2"/>
  <c r="S5" i="2"/>
  <c r="BC4" i="2" a="1"/>
  <c r="AV4" i="2" a="1"/>
  <c r="AV4" i="2" l="1"/>
  <c r="BC4" i="2"/>
  <c r="Z5" i="2"/>
  <c r="Y5" i="2"/>
  <c r="X5" i="2"/>
  <c r="T5" i="2"/>
  <c r="U5" i="2" s="1"/>
  <c r="AU4" i="2" a="1"/>
  <c r="AU4" i="2" l="1"/>
  <c r="AW4" i="2" s="1"/>
  <c r="AT4" i="2" a="1"/>
  <c r="AS4" i="2"/>
  <c r="AR4" i="2"/>
  <c r="AQ4" i="2"/>
  <c r="AP4" i="2"/>
  <c r="AO4" i="2"/>
  <c r="AN4" i="2"/>
  <c r="AT4" i="2" l="1"/>
  <c r="AL4" i="2"/>
  <c r="AK4" i="2" a="1"/>
  <c r="AJ4" i="2"/>
  <c r="AI4" i="2"/>
  <c r="AH4" i="2"/>
  <c r="AK4" i="2" l="1"/>
  <c r="AG4" i="2" a="1"/>
  <c r="AG4" i="2" l="1"/>
  <c r="AF4" i="2" a="1"/>
  <c r="AF4" i="2" l="1"/>
  <c r="AE4" i="2"/>
  <c r="AD4" i="2" a="1"/>
  <c r="AD4" i="2" l="1"/>
  <c r="AC4" i="2" a="1"/>
  <c r="AC4" i="2" l="1"/>
  <c r="AA4" i="2"/>
  <c r="W4" i="2" a="1"/>
  <c r="W4" i="2" l="1"/>
  <c r="V4" i="2" a="1"/>
  <c r="V4" i="2" l="1"/>
  <c r="N4" i="2" a="1"/>
  <c r="N4" i="2" l="1"/>
  <c r="M4" i="2" a="1"/>
  <c r="M4" i="2" l="1"/>
  <c r="L4" i="2" a="1"/>
  <c r="L4" i="2" l="1"/>
  <c r="K4" i="2" a="1"/>
  <c r="J4" i="2"/>
  <c r="I4" i="2"/>
  <c r="K4" i="2" l="1"/>
  <c r="H4" i="2" a="1"/>
  <c r="F4" i="2"/>
  <c r="E4" i="2"/>
  <c r="Q4" i="2" a="1"/>
  <c r="R4" i="2"/>
  <c r="Q4" i="2" l="1"/>
  <c r="H4" i="2"/>
  <c r="AM4" i="2" l="1"/>
  <c r="AB4" i="2"/>
  <c r="AX3" i="2"/>
  <c r="S4" i="2"/>
  <c r="BC3" i="2" a="1"/>
  <c r="AV3" i="2" a="1"/>
  <c r="AV3" i="2" l="1"/>
  <c r="BC3" i="2"/>
  <c r="Z4" i="2"/>
  <c r="Y4" i="2"/>
  <c r="X4" i="2"/>
  <c r="T4" i="2"/>
  <c r="U4" i="2" s="1"/>
  <c r="AU3" i="2" a="1"/>
  <c r="AU3" i="2" l="1"/>
  <c r="AW3" i="2" s="1"/>
  <c r="AT3" i="2" a="1"/>
  <c r="AS3" i="2"/>
  <c r="AR3" i="2"/>
  <c r="AQ3" i="2"/>
  <c r="AP3" i="2"/>
  <c r="AO3" i="2"/>
  <c r="AN3" i="2"/>
  <c r="AT3" i="2" l="1"/>
  <c r="AL3" i="2"/>
  <c r="AK3" i="2" a="1"/>
  <c r="AJ3" i="2"/>
  <c r="AI3" i="2"/>
  <c r="AH3" i="2"/>
  <c r="AK3" i="2" l="1"/>
  <c r="AG3" i="2" a="1"/>
  <c r="AG3" i="2" l="1"/>
  <c r="AF3" i="2" a="1"/>
  <c r="AF3" i="2" l="1"/>
  <c r="AE3" i="2"/>
  <c r="AD3" i="2" a="1"/>
  <c r="AD3" i="2" l="1"/>
  <c r="AC3" i="2" a="1"/>
  <c r="AC3" i="2" l="1"/>
  <c r="AA3" i="2"/>
  <c r="W3" i="2" a="1"/>
  <c r="W3" i="2" l="1"/>
  <c r="V3" i="2" a="1"/>
  <c r="V3" i="2" l="1"/>
  <c r="N3" i="2" a="1"/>
  <c r="N3" i="2" l="1"/>
  <c r="M3" i="2" a="1"/>
  <c r="M3" i="2" l="1"/>
  <c r="L3" i="2" a="1"/>
  <c r="L3" i="2" l="1"/>
  <c r="K3" i="2" a="1"/>
  <c r="J3" i="2"/>
  <c r="I3" i="2"/>
  <c r="K3" i="2" l="1"/>
  <c r="H3" i="2" a="1"/>
  <c r="F3" i="2"/>
  <c r="E3" i="2"/>
  <c r="Q3" i="2" a="1"/>
  <c r="R3" i="2"/>
  <c r="Q3" i="2" l="1"/>
  <c r="H3" i="2"/>
  <c r="BC87" i="3"/>
  <c r="BC56" i="3"/>
  <c r="BC42" i="3"/>
  <c r="BC25" i="3"/>
  <c r="AF64" i="3" a="1"/>
  <c r="AF64" i="3"/>
  <c r="AE64" i="3" a="1"/>
  <c r="AE64" i="3"/>
  <c r="H64" i="3" a="1"/>
  <c r="H64" i="3"/>
  <c r="N64" i="3" a="1"/>
  <c r="N64" i="3"/>
  <c r="K64" i="3"/>
  <c r="AL64" i="3" a="1"/>
  <c r="AL64" i="3"/>
  <c r="AU64" i="3" a="1"/>
  <c r="AU64" i="3"/>
  <c r="AD64" i="3" a="1"/>
  <c r="AD64" i="3"/>
  <c r="E64" i="3"/>
  <c r="AH64" i="3" a="1"/>
  <c r="AH64" i="3"/>
  <c r="AQ64" i="3" a="1"/>
  <c r="AQ64" i="3"/>
  <c r="AM64" i="3" a="1"/>
  <c r="AM64" i="3"/>
  <c r="J64" i="3" a="1"/>
  <c r="J64" i="3"/>
  <c r="AT64" i="3" a="1"/>
  <c r="AT64" i="3"/>
  <c r="I64" i="3" a="1"/>
  <c r="I64" i="3"/>
  <c r="AR64" i="3" a="1"/>
  <c r="AR64" i="3"/>
  <c r="L64" i="3"/>
  <c r="AJ64" i="3" a="1"/>
  <c r="AJ64" i="3"/>
  <c r="AN64" i="3" a="1"/>
  <c r="AN64" i="3"/>
  <c r="AS64" i="3" a="1"/>
  <c r="AS64" i="3"/>
  <c r="AP64" i="3" a="1"/>
  <c r="AP64" i="3"/>
  <c r="F64" i="3"/>
  <c r="Q64" i="3" s="1" a="1"/>
  <c r="AC64" i="3" a="1"/>
  <c r="AM3" i="2" l="1"/>
  <c r="AB3" i="2"/>
  <c r="Q64" i="3"/>
  <c r="AC64" i="3"/>
  <c r="M64" i="3" a="1"/>
  <c r="M64" i="3"/>
  <c r="AV64" i="3" a="1"/>
  <c r="AV64" i="3"/>
  <c r="AI64" i="3" a="1"/>
  <c r="AI64" i="3"/>
  <c r="AG64" i="3" a="1"/>
  <c r="AG64" i="3"/>
  <c r="AO64" i="3" a="1"/>
  <c r="AO64" i="3"/>
  <c r="AK64" i="3" a="1"/>
  <c r="AK64" i="3"/>
  <c r="BC64" i="3"/>
  <c r="AE78" i="3" a="1"/>
  <c r="AE78" i="3"/>
  <c r="AE77" i="3" a="1"/>
  <c r="AE77" i="3"/>
  <c r="AE76" i="3" a="1"/>
  <c r="AE76" i="3"/>
  <c r="AE75" i="3" a="1"/>
  <c r="AE75" i="3"/>
  <c r="AE74" i="3" a="1"/>
  <c r="AE74" i="3"/>
  <c r="AE73" i="3" a="1"/>
  <c r="AE73" i="3"/>
  <c r="M78" i="3" a="1"/>
  <c r="M78" i="3"/>
  <c r="M77" i="3" a="1"/>
  <c r="M77" i="3"/>
  <c r="M76" i="3" a="1"/>
  <c r="M76" i="3"/>
  <c r="M75" i="3" a="1"/>
  <c r="M75" i="3"/>
  <c r="M74" i="3" a="1"/>
  <c r="M74" i="3"/>
  <c r="M73" i="3" a="1"/>
  <c r="M73" i="3"/>
  <c r="H78" i="3" a="1"/>
  <c r="H78" i="3"/>
  <c r="H77" i="3" a="1"/>
  <c r="H77" i="3"/>
  <c r="H76" i="3" a="1"/>
  <c r="H76" i="3"/>
  <c r="H75" i="3" a="1"/>
  <c r="H75" i="3"/>
  <c r="H74" i="3" a="1"/>
  <c r="H74" i="3"/>
  <c r="H73" i="3" a="1"/>
  <c r="H73" i="3"/>
  <c r="AL78" i="3" a="1"/>
  <c r="AL78" i="3"/>
  <c r="AL77" i="3" a="1"/>
  <c r="AL77" i="3"/>
  <c r="AL76" i="3" a="1"/>
  <c r="AL76" i="3"/>
  <c r="AL75" i="3" a="1"/>
  <c r="AL75" i="3"/>
  <c r="AL74" i="3" a="1"/>
  <c r="AL74" i="3"/>
  <c r="AL73" i="3" a="1"/>
  <c r="AL73" i="3"/>
  <c r="AO78" i="3" a="1"/>
  <c r="AO78" i="3"/>
  <c r="AO77" i="3" a="1"/>
  <c r="AO77" i="3"/>
  <c r="AO76" i="3" a="1"/>
  <c r="AO76" i="3"/>
  <c r="AO75" i="3" a="1"/>
  <c r="AO75" i="3"/>
  <c r="AO74" i="3" a="1"/>
  <c r="AO74" i="3"/>
  <c r="AO73" i="3" a="1"/>
  <c r="AO73" i="3"/>
  <c r="AQ78" i="3" a="1"/>
  <c r="AQ78" i="3"/>
  <c r="AQ77" i="3" a="1"/>
  <c r="AQ77" i="3"/>
  <c r="AQ76" i="3" a="1"/>
  <c r="AQ76" i="3"/>
  <c r="AQ75" i="3" a="1"/>
  <c r="AQ75" i="3"/>
  <c r="AQ74" i="3" a="1"/>
  <c r="AQ74" i="3"/>
  <c r="AQ73" i="3" a="1"/>
  <c r="AQ73" i="3"/>
  <c r="L78" i="3"/>
  <c r="L77" i="3"/>
  <c r="L76" i="3"/>
  <c r="L75" i="3"/>
  <c r="L74" i="3"/>
  <c r="L73" i="3"/>
  <c r="AD78" i="3" a="1"/>
  <c r="AD78" i="3"/>
  <c r="AD77" i="3" a="1"/>
  <c r="AD77" i="3"/>
  <c r="AD76" i="3" a="1"/>
  <c r="AD76" i="3"/>
  <c r="AD75" i="3" a="1"/>
  <c r="AD75" i="3"/>
  <c r="AD74" i="3" a="1"/>
  <c r="AD74" i="3"/>
  <c r="AD73" i="3" a="1"/>
  <c r="AD73" i="3"/>
  <c r="BC76" i="3"/>
  <c r="AG78" i="3" a="1"/>
  <c r="AG78" i="3"/>
  <c r="AG77" i="3" a="1"/>
  <c r="AG77" i="3"/>
  <c r="AG76" i="3" a="1"/>
  <c r="AG76" i="3"/>
  <c r="AG75" i="3" a="1"/>
  <c r="AG75" i="3"/>
  <c r="AG74" i="3" a="1"/>
  <c r="AG74" i="3"/>
  <c r="AG73" i="3" a="1"/>
  <c r="AG73" i="3"/>
  <c r="I78" i="3" a="1"/>
  <c r="I78" i="3"/>
  <c r="I77" i="3" a="1"/>
  <c r="I77" i="3"/>
  <c r="I76" i="3" a="1"/>
  <c r="I76" i="3"/>
  <c r="I75" i="3" a="1"/>
  <c r="I75" i="3"/>
  <c r="I74" i="3" a="1"/>
  <c r="I74" i="3"/>
  <c r="I73" i="3" a="1"/>
  <c r="I73" i="3"/>
  <c r="N78" i="3" a="1"/>
  <c r="N78" i="3"/>
  <c r="N77" i="3" a="1"/>
  <c r="N77" i="3"/>
  <c r="N76" i="3" a="1"/>
  <c r="N76" i="3"/>
  <c r="N75" i="3" a="1"/>
  <c r="N75" i="3"/>
  <c r="N74" i="3" a="1"/>
  <c r="N74" i="3"/>
  <c r="N73" i="3" a="1"/>
  <c r="N73" i="3"/>
  <c r="BC78" i="3" a="1"/>
  <c r="BC78" i="3"/>
  <c r="BC77" i="3" a="1"/>
  <c r="BC77" i="3"/>
  <c r="BC75" i="3" a="1"/>
  <c r="BC75" i="3"/>
  <c r="BC74" i="3" a="1"/>
  <c r="BC74" i="3"/>
  <c r="BC73" i="3" a="1"/>
  <c r="BC73" i="3"/>
  <c r="AJ78" i="3" a="1"/>
  <c r="AJ78" i="3"/>
  <c r="AJ77" i="3" a="1"/>
  <c r="AJ77" i="3"/>
  <c r="AJ76" i="3" a="1"/>
  <c r="AJ76" i="3"/>
  <c r="AJ75" i="3" a="1"/>
  <c r="AJ75" i="3"/>
  <c r="AJ74" i="3" a="1"/>
  <c r="AJ74" i="3"/>
  <c r="AJ73" i="3" a="1"/>
  <c r="AJ73" i="3"/>
  <c r="AC78" i="3" a="1"/>
  <c r="AC78" i="3"/>
  <c r="AC77" i="3" a="1"/>
  <c r="AC77" i="3"/>
  <c r="AC76" i="3" a="1"/>
  <c r="AC76" i="3"/>
  <c r="AC75" i="3" a="1"/>
  <c r="AC75" i="3"/>
  <c r="AC74" i="3" a="1"/>
  <c r="AC74" i="3"/>
  <c r="AC73" i="3" a="1"/>
  <c r="AC73" i="3"/>
  <c r="AK78" i="3" a="1"/>
  <c r="AK78" i="3"/>
  <c r="AK77" i="3" a="1"/>
  <c r="AK77" i="3"/>
  <c r="AK76" i="3" a="1"/>
  <c r="AK76" i="3"/>
  <c r="AK75" i="3" a="1"/>
  <c r="AK75" i="3"/>
  <c r="AK74" i="3" a="1"/>
  <c r="AK74" i="3"/>
  <c r="AK73" i="3" a="1"/>
  <c r="AK73" i="3"/>
  <c r="AH78" i="3" a="1"/>
  <c r="AH78" i="3"/>
  <c r="AH77" i="3" a="1"/>
  <c r="AH77" i="3"/>
  <c r="AH76" i="3" a="1"/>
  <c r="AH76" i="3"/>
  <c r="AH75" i="3" a="1"/>
  <c r="AH75" i="3"/>
  <c r="AH74" i="3" a="1"/>
  <c r="AH74" i="3"/>
  <c r="AH73" i="3" a="1"/>
  <c r="AH73" i="3"/>
  <c r="E78" i="3"/>
  <c r="E77" i="3"/>
  <c r="E76" i="3"/>
  <c r="E75" i="3"/>
  <c r="E74" i="3"/>
  <c r="E73" i="3"/>
  <c r="AM78" i="3" a="1"/>
  <c r="AM78" i="3"/>
  <c r="AM77" i="3" a="1"/>
  <c r="AM77" i="3"/>
  <c r="AM76" i="3" a="1"/>
  <c r="AM76" i="3"/>
  <c r="AM75" i="3" a="1"/>
  <c r="AM75" i="3"/>
  <c r="AM74" i="3" a="1"/>
  <c r="AM74" i="3"/>
  <c r="AM73" i="3" a="1"/>
  <c r="AM73" i="3"/>
  <c r="J78" i="3" a="1"/>
  <c r="J78" i="3"/>
  <c r="J77" i="3" a="1"/>
  <c r="J77" i="3"/>
  <c r="J76" i="3" a="1"/>
  <c r="J76" i="3"/>
  <c r="J75" i="3" a="1"/>
  <c r="J75" i="3"/>
  <c r="J74" i="3" a="1"/>
  <c r="J74" i="3"/>
  <c r="J73" i="3" a="1"/>
  <c r="J73" i="3"/>
  <c r="AP78" i="3" a="1"/>
  <c r="AP78" i="3"/>
  <c r="AP77" i="3" a="1"/>
  <c r="AP77" i="3"/>
  <c r="AP76" i="3" a="1"/>
  <c r="AP76" i="3"/>
  <c r="AP75" i="3" a="1"/>
  <c r="AP75" i="3"/>
  <c r="AP74" i="3" a="1"/>
  <c r="AP74" i="3"/>
  <c r="AP73" i="3" a="1"/>
  <c r="AP73" i="3"/>
  <c r="F78" i="3"/>
  <c r="Q78" i="3" s="1" a="1"/>
  <c r="F77" i="3"/>
  <c r="Q77" i="3" s="1" a="1"/>
  <c r="F76" i="3"/>
  <c r="Q76" i="3" s="1" a="1"/>
  <c r="F75" i="3"/>
  <c r="Q75" i="3" s="1" a="1"/>
  <c r="F74" i="3"/>
  <c r="Q74" i="3" s="1" a="1"/>
  <c r="F73" i="3"/>
  <c r="Q73" i="3" s="1" a="1"/>
  <c r="AI78" i="3" a="1"/>
  <c r="S3" i="2"/>
  <c r="Z3" i="2" l="1"/>
  <c r="Y3" i="2"/>
  <c r="X3" i="2"/>
  <c r="T3" i="2"/>
  <c r="U3" i="2" s="1"/>
  <c r="Q73" i="3"/>
  <c r="Q74" i="3"/>
  <c r="Q75" i="3"/>
  <c r="Q76" i="3"/>
  <c r="Q77" i="3"/>
  <c r="Q78" i="3"/>
  <c r="AI78" i="3"/>
  <c r="AI77" i="3" a="1"/>
  <c r="AI77" i="3"/>
  <c r="AI76" i="3" a="1"/>
  <c r="AI76" i="3"/>
  <c r="AI75" i="3" a="1"/>
  <c r="AI75" i="3"/>
  <c r="AI74" i="3" a="1"/>
  <c r="AI74" i="3"/>
  <c r="AI73" i="3" a="1"/>
  <c r="AI73" i="3"/>
  <c r="AR78" i="3" a="1"/>
  <c r="AR78" i="3"/>
  <c r="AR77" i="3" a="1"/>
  <c r="AR77" i="3"/>
  <c r="AR76" i="3" a="1"/>
  <c r="AR76" i="3"/>
  <c r="AR75" i="3" a="1"/>
  <c r="AR75" i="3"/>
  <c r="AR74" i="3" a="1"/>
  <c r="AR74" i="3"/>
  <c r="AR73" i="3" a="1"/>
  <c r="AR73" i="3"/>
  <c r="AF78" i="3" a="1"/>
  <c r="AF78" i="3"/>
  <c r="AF77" i="3" a="1"/>
  <c r="AF77" i="3"/>
  <c r="AF76" i="3" a="1"/>
  <c r="AF76" i="3"/>
  <c r="AF75" i="3" a="1"/>
  <c r="AF75" i="3"/>
  <c r="AF74" i="3" a="1"/>
  <c r="AF74" i="3"/>
  <c r="AF73" i="3" a="1"/>
  <c r="AF73" i="3"/>
  <c r="AN78" i="3" a="1"/>
  <c r="AN78" i="3"/>
  <c r="AN77" i="3" a="1"/>
  <c r="AN77" i="3"/>
  <c r="AN76" i="3" a="1"/>
  <c r="AN76" i="3"/>
  <c r="AN75" i="3" a="1"/>
  <c r="AN75" i="3"/>
  <c r="AN74" i="3" a="1"/>
  <c r="AN74" i="3"/>
  <c r="AN73" i="3" a="1"/>
  <c r="AN73" i="3"/>
  <c r="AT78" i="3" a="1"/>
  <c r="AT78" i="3"/>
  <c r="AT77" i="3" a="1"/>
  <c r="AT77" i="3"/>
  <c r="AT76" i="3" a="1"/>
  <c r="AT76" i="3"/>
  <c r="AT75" i="3" a="1"/>
  <c r="AT75" i="3"/>
  <c r="AT74" i="3" a="1"/>
  <c r="AT74" i="3"/>
  <c r="AT73" i="3" a="1"/>
  <c r="AT73" i="3"/>
  <c r="AV78" i="3" a="1"/>
  <c r="AV78" i="3"/>
  <c r="AV77" i="3" a="1"/>
  <c r="AV77" i="3"/>
  <c r="AV76" i="3" a="1"/>
  <c r="AV76" i="3"/>
  <c r="AV75" i="3" a="1"/>
  <c r="AV75" i="3"/>
  <c r="AV74" i="3" a="1"/>
  <c r="AV74" i="3"/>
  <c r="AV73" i="3" a="1"/>
  <c r="AV73" i="3"/>
  <c r="AU78" i="3" a="1"/>
  <c r="AU78" i="3"/>
  <c r="AU77" i="3" a="1"/>
  <c r="AU77" i="3"/>
  <c r="AU76" i="3" a="1"/>
  <c r="AU76" i="3"/>
  <c r="AU75" i="3" a="1"/>
  <c r="AU75" i="3"/>
  <c r="AU74" i="3" a="1"/>
  <c r="AU74" i="3"/>
  <c r="AU73" i="3" a="1"/>
  <c r="AU73" i="3"/>
  <c r="AS78" i="3" a="1"/>
  <c r="AS78" i="3"/>
  <c r="AS77" i="3" a="1"/>
  <c r="AS77" i="3"/>
  <c r="AS76" i="3" a="1"/>
  <c r="AS76" i="3"/>
  <c r="AS75" i="3" a="1"/>
  <c r="AS75" i="3"/>
  <c r="AS74" i="3" a="1"/>
  <c r="AS74" i="3"/>
  <c r="AS73" i="3" a="1"/>
  <c r="AS73" i="3"/>
  <c r="K78" i="3"/>
  <c r="K77" i="3"/>
  <c r="K76" i="3"/>
  <c r="K75" i="3"/>
  <c r="K74" i="3"/>
  <c r="K73" i="3"/>
  <c r="AF9" i="3" a="1"/>
  <c r="AF9" i="3"/>
  <c r="AF8" i="3" a="1"/>
  <c r="AF8" i="3"/>
  <c r="AF7" i="3" a="1"/>
  <c r="AF7" i="3"/>
  <c r="AF6" i="3" a="1"/>
  <c r="AF6" i="3"/>
  <c r="AF5" i="3" a="1"/>
  <c r="AF5" i="3"/>
  <c r="AF4" i="3" a="1"/>
  <c r="AF4" i="3"/>
  <c r="AF3" i="3" a="1"/>
  <c r="AF3" i="3"/>
  <c r="AF15" i="3" a="1"/>
  <c r="AF15" i="3"/>
  <c r="AF14" i="3" a="1"/>
  <c r="AF14" i="3"/>
  <c r="AF13" i="3" a="1"/>
  <c r="AF13" i="3"/>
  <c r="AF12" i="3" a="1"/>
  <c r="AF12" i="3"/>
  <c r="AF11" i="3" a="1"/>
  <c r="AF11" i="3"/>
  <c r="AF10" i="3" a="1"/>
  <c r="AF10" i="3"/>
  <c r="AH9" i="3" a="1"/>
  <c r="AH9" i="3"/>
  <c r="AH8" i="3" a="1"/>
  <c r="AH8" i="3"/>
  <c r="AH7" i="3" a="1"/>
  <c r="AH7" i="3"/>
  <c r="AH6" i="3" a="1"/>
  <c r="AH6" i="3"/>
  <c r="AH5" i="3" a="1"/>
  <c r="AH5" i="3"/>
  <c r="AH4" i="3" a="1"/>
  <c r="AH4" i="3"/>
  <c r="AH3" i="3" a="1"/>
  <c r="AH3" i="3"/>
  <c r="AH15" i="3" a="1"/>
  <c r="AH15" i="3"/>
  <c r="AH14" i="3" a="1"/>
  <c r="AH14" i="3"/>
  <c r="AH13" i="3" a="1"/>
  <c r="AH13" i="3"/>
  <c r="AH12" i="3" a="1"/>
  <c r="AH12" i="3"/>
  <c r="AH11" i="3" a="1"/>
  <c r="AH11" i="3"/>
  <c r="AH10" i="3" a="1"/>
  <c r="AH10" i="3"/>
  <c r="AE9" i="3" a="1"/>
  <c r="AE9" i="3"/>
  <c r="AE8" i="3" a="1"/>
  <c r="AE8" i="3"/>
  <c r="AE7" i="3" a="1"/>
  <c r="AE7" i="3"/>
  <c r="AE6" i="3" a="1"/>
  <c r="AE6" i="3"/>
  <c r="AE5" i="3" a="1"/>
  <c r="AE5" i="3"/>
  <c r="AE4" i="3" a="1"/>
  <c r="AE4" i="3"/>
  <c r="AE3" i="3" a="1"/>
  <c r="AE3" i="3"/>
  <c r="AE15" i="3" a="1"/>
  <c r="AE15" i="3"/>
  <c r="AE14" i="3" a="1"/>
  <c r="AE14" i="3"/>
  <c r="AE13" i="3" a="1"/>
  <c r="AE13" i="3"/>
  <c r="AE12" i="3" a="1"/>
  <c r="AE12" i="3"/>
  <c r="AE11" i="3" a="1"/>
  <c r="AE11" i="3"/>
  <c r="AE10" i="3" a="1"/>
  <c r="AE10" i="3"/>
  <c r="AO16" i="3" a="1"/>
  <c r="AO16" i="3"/>
  <c r="I9" i="3" a="1"/>
  <c r="I9" i="3"/>
  <c r="I8" i="3" a="1"/>
  <c r="I8" i="3"/>
  <c r="I7" i="3" a="1"/>
  <c r="I7" i="3"/>
  <c r="I6" i="3" a="1"/>
  <c r="I6" i="3"/>
  <c r="I5" i="3" a="1"/>
  <c r="I5" i="3"/>
  <c r="I4" i="3" a="1"/>
  <c r="I4" i="3"/>
  <c r="I3" i="3" a="1"/>
  <c r="I3" i="3"/>
  <c r="I15" i="3" a="1"/>
  <c r="I15" i="3"/>
  <c r="I14" i="3" a="1"/>
  <c r="I14" i="3"/>
  <c r="I13" i="3" a="1"/>
  <c r="I13" i="3"/>
  <c r="I12" i="3" a="1"/>
  <c r="I12" i="3"/>
  <c r="I11" i="3" a="1"/>
  <c r="I11" i="3"/>
  <c r="I10" i="3" a="1"/>
  <c r="I10" i="3"/>
  <c r="W9" i="3" a="1"/>
  <c r="W9" i="3"/>
  <c r="W8" i="3" a="1"/>
  <c r="W8" i="3"/>
  <c r="W7" i="3" a="1"/>
  <c r="W7" i="3"/>
  <c r="W6" i="3" a="1"/>
  <c r="W6" i="3"/>
  <c r="W5" i="3" a="1"/>
  <c r="W5" i="3"/>
  <c r="W4" i="3" a="1"/>
  <c r="W4" i="3"/>
  <c r="W3" i="3" a="1"/>
  <c r="W3" i="3"/>
  <c r="W15" i="3" a="1"/>
  <c r="W15" i="3"/>
  <c r="W14" i="3" a="1"/>
  <c r="W14" i="3"/>
  <c r="W13" i="3" a="1"/>
  <c r="W13" i="3"/>
  <c r="W12" i="3" a="1"/>
  <c r="W12" i="3"/>
  <c r="W11" i="3" a="1"/>
  <c r="W11" i="3"/>
  <c r="W10" i="3" a="1"/>
  <c r="W10" i="3"/>
  <c r="BC9" i="3" a="1"/>
  <c r="BC9" i="3"/>
  <c r="BC7" i="3" a="1"/>
  <c r="BC7" i="3"/>
  <c r="BC6" i="3" a="1"/>
  <c r="BC6" i="3"/>
  <c r="BC5" i="3" a="1"/>
  <c r="BC5" i="3"/>
  <c r="BC4" i="3" a="1"/>
  <c r="BC4" i="3"/>
  <c r="BC3" i="3" a="1"/>
  <c r="BC3" i="3"/>
  <c r="BC15" i="3" a="1"/>
  <c r="BC15" i="3"/>
  <c r="BC14" i="3" a="1"/>
  <c r="BC14" i="3"/>
  <c r="BC13" i="3" a="1"/>
  <c r="BC13" i="3"/>
  <c r="BC12" i="3" a="1"/>
  <c r="BC12" i="3"/>
  <c r="BC11" i="3" a="1"/>
  <c r="BC11" i="3"/>
  <c r="BC10" i="3" a="1"/>
  <c r="BC10" i="3"/>
  <c r="AS16" i="3" a="1"/>
  <c r="AS16" i="3"/>
  <c r="M16" i="3" a="1"/>
  <c r="M16" i="3"/>
  <c r="AJ9" i="3" a="1"/>
  <c r="AJ9" i="3"/>
  <c r="AJ8" i="3" a="1"/>
  <c r="AJ8" i="3"/>
  <c r="AJ7" i="3" a="1"/>
  <c r="AJ7" i="3"/>
  <c r="AJ6" i="3" a="1"/>
  <c r="AJ6" i="3"/>
  <c r="AJ5" i="3" a="1"/>
  <c r="AJ5" i="3"/>
  <c r="AJ4" i="3" a="1"/>
  <c r="AJ4" i="3"/>
  <c r="AJ3" i="3" a="1"/>
  <c r="AJ3" i="3"/>
  <c r="AJ15" i="3" a="1"/>
  <c r="AJ15" i="3"/>
  <c r="AJ14" i="3" a="1"/>
  <c r="AJ14" i="3"/>
  <c r="AJ13" i="3" a="1"/>
  <c r="AJ13" i="3"/>
  <c r="AJ12" i="3" a="1"/>
  <c r="AJ12" i="3"/>
  <c r="AJ11" i="3" a="1"/>
  <c r="AJ11" i="3"/>
  <c r="AJ10" i="3" a="1"/>
  <c r="AJ10" i="3"/>
  <c r="AT9" i="3" a="1"/>
  <c r="AT9" i="3"/>
  <c r="AT8" i="3" a="1"/>
  <c r="AT8" i="3"/>
  <c r="AT7" i="3" a="1"/>
  <c r="AT7" i="3"/>
  <c r="AT6" i="3" a="1"/>
  <c r="AT6" i="3"/>
  <c r="AT5" i="3" a="1"/>
  <c r="AT5" i="3"/>
  <c r="AT4" i="3" a="1"/>
  <c r="AT4" i="3"/>
  <c r="AT3" i="3" a="1"/>
  <c r="AT3" i="3"/>
  <c r="AT15" i="3" a="1"/>
  <c r="AT15" i="3"/>
  <c r="AT14" i="3" a="1"/>
  <c r="AT14" i="3"/>
  <c r="AT13" i="3" a="1"/>
  <c r="AT13" i="3"/>
  <c r="AT12" i="3" a="1"/>
  <c r="AT12" i="3"/>
  <c r="AT11" i="3" a="1"/>
  <c r="AT11" i="3"/>
  <c r="AT10" i="3" a="1"/>
  <c r="AT10" i="3"/>
  <c r="I16" i="3" a="1"/>
  <c r="I16" i="3"/>
  <c r="AP16" i="3" a="1"/>
  <c r="AP16" i="3"/>
  <c r="AU16" i="3" a="1"/>
  <c r="AU16" i="3"/>
  <c r="F9" i="3"/>
  <c r="Q9" i="3" s="1" a="1"/>
  <c r="F8" i="3"/>
  <c r="Q8" i="3" s="1" a="1"/>
  <c r="F7" i="3"/>
  <c r="Q7" i="3" s="1" a="1"/>
  <c r="F6" i="3"/>
  <c r="Q6" i="3" s="1" a="1"/>
  <c r="F5" i="3"/>
  <c r="Q5" i="3" s="1" a="1"/>
  <c r="F4" i="3"/>
  <c r="Q4" i="3" s="1" a="1"/>
  <c r="F3" i="3"/>
  <c r="Q3" i="3" s="1" a="1"/>
  <c r="F15" i="3"/>
  <c r="Q15" i="3" s="1" a="1"/>
  <c r="F14" i="3"/>
  <c r="Q14" i="3" s="1" a="1"/>
  <c r="F13" i="3"/>
  <c r="Q13" i="3" s="1" a="1"/>
  <c r="F12" i="3"/>
  <c r="Q12" i="3" s="1" a="1"/>
  <c r="F11" i="3"/>
  <c r="Q11" i="3" s="1" a="1"/>
  <c r="F10" i="3"/>
  <c r="Q10" i="3" s="1" a="1"/>
  <c r="K9" i="3"/>
  <c r="K8" i="3"/>
  <c r="K7" i="3"/>
  <c r="K6" i="3"/>
  <c r="K5" i="3"/>
  <c r="K4" i="3"/>
  <c r="K3" i="3"/>
  <c r="K15" i="3"/>
  <c r="K14" i="3"/>
  <c r="K13" i="3"/>
  <c r="K12" i="3"/>
  <c r="K11" i="3"/>
  <c r="K10" i="3"/>
  <c r="AI9" i="3" a="1"/>
  <c r="Q10" i="3" l="1"/>
  <c r="Q11" i="3"/>
  <c r="Q12" i="3"/>
  <c r="Q13" i="3"/>
  <c r="Q14" i="3"/>
  <c r="Q15" i="3"/>
  <c r="Q3" i="3"/>
  <c r="Q4" i="3"/>
  <c r="Q5" i="3"/>
  <c r="Q6" i="3"/>
  <c r="Q7" i="3"/>
  <c r="Q8" i="3"/>
  <c r="Q9" i="3"/>
  <c r="AI9" i="3"/>
  <c r="AI8" i="3" a="1"/>
  <c r="AI8" i="3"/>
  <c r="AI7" i="3" a="1"/>
  <c r="AI7" i="3"/>
  <c r="AI6" i="3" a="1"/>
  <c r="AI6" i="3"/>
  <c r="AI5" i="3" a="1"/>
  <c r="AI5" i="3"/>
  <c r="AI4" i="3" a="1"/>
  <c r="AI4" i="3"/>
  <c r="AI3" i="3" a="1"/>
  <c r="AI3" i="3"/>
  <c r="AI15" i="3" a="1"/>
  <c r="AI15" i="3"/>
  <c r="AI14" i="3" a="1"/>
  <c r="AI14" i="3"/>
  <c r="AI13" i="3" a="1"/>
  <c r="AI13" i="3"/>
  <c r="AI12" i="3" a="1"/>
  <c r="AI12" i="3"/>
  <c r="AI11" i="3" a="1"/>
  <c r="AI11" i="3"/>
  <c r="AI10" i="3" a="1"/>
  <c r="AI10" i="3"/>
  <c r="AG16" i="3" a="1"/>
  <c r="AG16" i="3"/>
  <c r="V16" i="3" a="1"/>
  <c r="V16" i="3"/>
  <c r="AC16" i="3" a="1"/>
  <c r="AC16" i="3"/>
  <c r="AL9" i="3" a="1"/>
  <c r="AL9" i="3"/>
  <c r="AL8" i="3" a="1"/>
  <c r="AL8" i="3"/>
  <c r="AL7" i="3" a="1"/>
  <c r="AL7" i="3"/>
  <c r="AL6" i="3" a="1"/>
  <c r="AL6" i="3"/>
  <c r="AL5" i="3" a="1"/>
  <c r="AL5" i="3"/>
  <c r="AL4" i="3" a="1"/>
  <c r="AL4" i="3"/>
  <c r="AL3" i="3" a="1"/>
  <c r="AL3" i="3"/>
  <c r="AL15" i="3" a="1"/>
  <c r="AL15" i="3"/>
  <c r="AL14" i="3" a="1"/>
  <c r="AL14" i="3"/>
  <c r="AL13" i="3" a="1"/>
  <c r="AL13" i="3"/>
  <c r="AL12" i="3" a="1"/>
  <c r="AL12" i="3"/>
  <c r="AL11" i="3" a="1"/>
  <c r="AL11" i="3"/>
  <c r="AL10" i="3" a="1"/>
  <c r="AL10" i="3"/>
  <c r="AP9" i="3" a="1"/>
  <c r="AP9" i="3"/>
  <c r="AP8" i="3" a="1"/>
  <c r="AP8" i="3"/>
  <c r="AP7" i="3" a="1"/>
  <c r="AP7" i="3"/>
  <c r="AP6" i="3" a="1"/>
  <c r="AP6" i="3"/>
  <c r="AP5" i="3" a="1"/>
  <c r="AP5" i="3"/>
  <c r="AP4" i="3" a="1"/>
  <c r="AP4" i="3"/>
  <c r="AP3" i="3" a="1"/>
  <c r="AP3" i="3"/>
  <c r="AP15" i="3" a="1"/>
  <c r="AP15" i="3"/>
  <c r="AP14" i="3" a="1"/>
  <c r="AP14" i="3"/>
  <c r="AP13" i="3" a="1"/>
  <c r="AP13" i="3"/>
  <c r="AP12" i="3" a="1"/>
  <c r="AP12" i="3"/>
  <c r="AP11" i="3" a="1"/>
  <c r="AP11" i="3"/>
  <c r="AP10" i="3" a="1"/>
  <c r="AP10" i="3"/>
  <c r="E16" i="3"/>
  <c r="AV9" i="3" a="1"/>
  <c r="AV9" i="3"/>
  <c r="AV8" i="3" a="1"/>
  <c r="AV8" i="3"/>
  <c r="AV7" i="3" a="1"/>
  <c r="AV7" i="3"/>
  <c r="AV6" i="3" a="1"/>
  <c r="AV6" i="3"/>
  <c r="AV5" i="3" a="1"/>
  <c r="AV5" i="3"/>
  <c r="AV4" i="3" a="1"/>
  <c r="AV4" i="3"/>
  <c r="AV3" i="3" a="1"/>
  <c r="AV3" i="3"/>
  <c r="AV15" i="3" a="1"/>
  <c r="AV15" i="3"/>
  <c r="AV14" i="3" a="1"/>
  <c r="AV14" i="3"/>
  <c r="AV13" i="3" a="1"/>
  <c r="AV13" i="3"/>
  <c r="AV12" i="3" a="1"/>
  <c r="AV12" i="3"/>
  <c r="AV11" i="3" a="1"/>
  <c r="AV11" i="3"/>
  <c r="AV10" i="3" a="1"/>
  <c r="AV10" i="3"/>
  <c r="AK16" i="3" a="1"/>
  <c r="AK16" i="3"/>
  <c r="AJ16" i="3" a="1"/>
  <c r="AJ16" i="3"/>
  <c r="M9" i="3" a="1"/>
  <c r="M9" i="3"/>
  <c r="M8" i="3" a="1"/>
  <c r="M8" i="3"/>
  <c r="M7" i="3" a="1"/>
  <c r="M7" i="3"/>
  <c r="M6" i="3" a="1"/>
  <c r="M6" i="3"/>
  <c r="M5" i="3" a="1"/>
  <c r="M5" i="3"/>
  <c r="M4" i="3" a="1"/>
  <c r="M4" i="3"/>
  <c r="M3" i="3" a="1"/>
  <c r="M3" i="3"/>
  <c r="M15" i="3" a="1"/>
  <c r="M15" i="3"/>
  <c r="M14" i="3" a="1"/>
  <c r="M14" i="3"/>
  <c r="M13" i="3" a="1"/>
  <c r="M13" i="3"/>
  <c r="M12" i="3" a="1"/>
  <c r="M12" i="3"/>
  <c r="M11" i="3" a="1"/>
  <c r="M11" i="3"/>
  <c r="M10" i="3" a="1"/>
  <c r="M10" i="3"/>
  <c r="AT16" i="3" a="1"/>
  <c r="AT16" i="3"/>
  <c r="AC9" i="3" a="1"/>
  <c r="AC9" i="3"/>
  <c r="AC8" i="3" a="1"/>
  <c r="AC8" i="3"/>
  <c r="AC7" i="3" a="1"/>
  <c r="AC7" i="3"/>
  <c r="AC6" i="3" a="1"/>
  <c r="AC6" i="3"/>
  <c r="AC5" i="3" a="1"/>
  <c r="AC5" i="3"/>
  <c r="AC4" i="3" a="1"/>
  <c r="AC4" i="3"/>
  <c r="AC3" i="3" a="1"/>
  <c r="AC3" i="3"/>
  <c r="AC15" i="3" a="1"/>
  <c r="AC15" i="3"/>
  <c r="AC14" i="3" a="1"/>
  <c r="AC14" i="3"/>
  <c r="AC13" i="3" a="1"/>
  <c r="AC13" i="3"/>
  <c r="AC12" i="3" a="1"/>
  <c r="AC12" i="3"/>
  <c r="AC11" i="3" a="1"/>
  <c r="AC11" i="3"/>
  <c r="AC10" i="3" a="1"/>
  <c r="AC10" i="3"/>
  <c r="AQ9" i="3" a="1"/>
  <c r="AQ9" i="3"/>
  <c r="AQ8" i="3" a="1"/>
  <c r="AQ8" i="3"/>
  <c r="AQ7" i="3" a="1"/>
  <c r="AQ7" i="3"/>
  <c r="AQ6" i="3" a="1"/>
  <c r="AQ6" i="3"/>
  <c r="AQ5" i="3" a="1"/>
  <c r="AQ5" i="3"/>
  <c r="AQ4" i="3" a="1"/>
  <c r="AQ4" i="3"/>
  <c r="AQ3" i="3" a="1"/>
  <c r="AQ3" i="3"/>
  <c r="AQ15" i="3" a="1"/>
  <c r="AQ15" i="3"/>
  <c r="AQ14" i="3" a="1"/>
  <c r="AQ14" i="3"/>
  <c r="AQ13" i="3" a="1"/>
  <c r="AQ13" i="3"/>
  <c r="AQ12" i="3" a="1"/>
  <c r="AQ12" i="3"/>
  <c r="AQ11" i="3" a="1"/>
  <c r="AQ11" i="3"/>
  <c r="AQ10" i="3" a="1"/>
  <c r="AQ10" i="3"/>
  <c r="J9" i="3" a="1"/>
  <c r="J9" i="3"/>
  <c r="J8" i="3" a="1"/>
  <c r="J8" i="3"/>
  <c r="J7" i="3" a="1"/>
  <c r="J7" i="3"/>
  <c r="J6" i="3" a="1"/>
  <c r="J6" i="3"/>
  <c r="J5" i="3" a="1"/>
  <c r="J5" i="3"/>
  <c r="J4" i="3" a="1"/>
  <c r="J4" i="3"/>
  <c r="J3" i="3" a="1"/>
  <c r="J3" i="3"/>
  <c r="J15" i="3" a="1"/>
  <c r="J15" i="3"/>
  <c r="J14" i="3" a="1"/>
  <c r="J14" i="3"/>
  <c r="J13" i="3" a="1"/>
  <c r="J13" i="3"/>
  <c r="J12" i="3" a="1"/>
  <c r="J12" i="3"/>
  <c r="J11" i="3" a="1"/>
  <c r="J11" i="3"/>
  <c r="J10" i="3" a="1"/>
  <c r="J10" i="3"/>
  <c r="L16" i="3"/>
  <c r="N9" i="3" a="1"/>
  <c r="N9" i="3"/>
  <c r="N8" i="3" a="1"/>
  <c r="N8" i="3"/>
  <c r="N7" i="3" a="1"/>
  <c r="N7" i="3"/>
  <c r="N6" i="3" a="1"/>
  <c r="N6" i="3"/>
  <c r="N5" i="3" a="1"/>
  <c r="N5" i="3"/>
  <c r="N4" i="3" a="1"/>
  <c r="N4" i="3"/>
  <c r="N3" i="3" a="1"/>
  <c r="N3" i="3"/>
  <c r="N15" i="3" a="1"/>
  <c r="N15" i="3"/>
  <c r="N14" i="3" a="1"/>
  <c r="N14" i="3"/>
  <c r="N13" i="3" a="1"/>
  <c r="N13" i="3"/>
  <c r="N12" i="3" a="1"/>
  <c r="N12" i="3"/>
  <c r="N11" i="3" a="1"/>
  <c r="N11" i="3"/>
  <c r="N10" i="3" a="1"/>
  <c r="N10" i="3"/>
  <c r="AR16" i="3" a="1"/>
  <c r="AR16" i="3"/>
  <c r="AM9" i="3" a="1"/>
  <c r="AM9" i="3"/>
  <c r="AM8" i="3" a="1"/>
  <c r="AM8" i="3"/>
  <c r="AM7" i="3" a="1"/>
  <c r="AM7" i="3"/>
  <c r="AM6" i="3" a="1"/>
  <c r="AM6" i="3"/>
  <c r="AM5" i="3" a="1"/>
  <c r="AM5" i="3"/>
  <c r="AM4" i="3" a="1"/>
  <c r="AM4" i="3"/>
  <c r="AM3" i="3" a="1"/>
  <c r="AM3" i="3"/>
  <c r="AM15" i="3" a="1"/>
  <c r="AM15" i="3"/>
  <c r="AM14" i="3" a="1"/>
  <c r="AM14" i="3"/>
  <c r="AM13" i="3" a="1"/>
  <c r="AM13" i="3"/>
  <c r="AM12" i="3" a="1"/>
  <c r="AM12" i="3"/>
  <c r="AM11" i="3" a="1"/>
  <c r="AM11" i="3"/>
  <c r="AM10" i="3" a="1"/>
  <c r="AM10" i="3"/>
  <c r="H16" i="3" a="1"/>
  <c r="H16" i="3"/>
  <c r="AH16" i="3" a="1"/>
  <c r="AH16" i="3"/>
  <c r="AR9" i="3" a="1"/>
  <c r="AR9" i="3"/>
  <c r="AR8" i="3" a="1"/>
  <c r="AR8" i="3"/>
  <c r="AR7" i="3" a="1"/>
  <c r="AR7" i="3"/>
  <c r="AR6" i="3" a="1"/>
  <c r="AR6" i="3"/>
  <c r="AR5" i="3" a="1"/>
  <c r="AR5" i="3"/>
  <c r="AR4" i="3" a="1"/>
  <c r="AR4" i="3"/>
  <c r="AR3" i="3" a="1"/>
  <c r="AR3" i="3"/>
  <c r="AR15" i="3" a="1"/>
  <c r="AR15" i="3"/>
  <c r="AR14" i="3" a="1"/>
  <c r="AR14" i="3"/>
  <c r="AR13" i="3" a="1"/>
  <c r="AR13" i="3"/>
  <c r="AR12" i="3" a="1"/>
  <c r="AR12" i="3"/>
  <c r="AR11" i="3" a="1"/>
  <c r="AR11" i="3"/>
  <c r="AR10" i="3" a="1"/>
  <c r="AR10" i="3"/>
  <c r="AN9" i="3" a="1"/>
  <c r="AN9" i="3"/>
  <c r="AN8" i="3" a="1"/>
  <c r="AN8" i="3"/>
  <c r="AN7" i="3" a="1"/>
  <c r="AN7" i="3"/>
  <c r="AN6" i="3" a="1"/>
  <c r="AN6" i="3"/>
  <c r="AN5" i="3" a="1"/>
  <c r="AN5" i="3"/>
  <c r="AN4" i="3" a="1"/>
  <c r="AN4" i="3"/>
  <c r="AN3" i="3" a="1"/>
  <c r="AN3" i="3"/>
  <c r="AN15" i="3" a="1"/>
  <c r="AN15" i="3"/>
  <c r="AN14" i="3" a="1"/>
  <c r="AN14" i="3"/>
  <c r="AN13" i="3" a="1"/>
  <c r="AN13" i="3"/>
  <c r="AN12" i="3" a="1"/>
  <c r="AN12" i="3"/>
  <c r="AN11" i="3" a="1"/>
  <c r="AN11" i="3"/>
  <c r="AN10" i="3" a="1"/>
  <c r="AN10" i="3"/>
  <c r="AO9" i="3" a="1"/>
  <c r="AO9" i="3"/>
  <c r="AO8" i="3" a="1"/>
  <c r="AO8" i="3"/>
  <c r="AO7" i="3" a="1"/>
  <c r="AO7" i="3"/>
  <c r="AO6" i="3" a="1"/>
  <c r="AO6" i="3"/>
  <c r="AO5" i="3" a="1"/>
  <c r="AO5" i="3"/>
  <c r="AO4" i="3" a="1"/>
  <c r="AO4" i="3"/>
  <c r="AO3" i="3" a="1"/>
  <c r="AO3" i="3"/>
  <c r="AO15" i="3" a="1"/>
  <c r="AO15" i="3"/>
  <c r="AO14" i="3" a="1"/>
  <c r="AO14" i="3"/>
  <c r="AO13" i="3" a="1"/>
  <c r="AO13" i="3"/>
  <c r="AO12" i="3" a="1"/>
  <c r="AO12" i="3"/>
  <c r="AO11" i="3" a="1"/>
  <c r="AO11" i="3"/>
  <c r="AO10" i="3" a="1"/>
  <c r="AO10" i="3"/>
  <c r="AI16" i="3" a="1"/>
  <c r="AI16" i="3"/>
  <c r="BC8" i="3"/>
  <c r="BC16" i="3" a="1"/>
  <c r="BC16" i="3"/>
  <c r="N16" i="3" a="1"/>
  <c r="N16" i="3"/>
  <c r="AS9" i="3" a="1"/>
  <c r="AS9" i="3"/>
  <c r="AS8" i="3" a="1"/>
  <c r="AS8" i="3"/>
  <c r="AS7" i="3" a="1"/>
  <c r="AS7" i="3"/>
  <c r="AS6" i="3" a="1"/>
  <c r="AS6" i="3"/>
  <c r="AS5" i="3" a="1"/>
  <c r="AS5" i="3"/>
  <c r="AS4" i="3" a="1"/>
  <c r="AS4" i="3"/>
  <c r="AS3" i="3" a="1"/>
  <c r="AS3" i="3"/>
  <c r="AS15" i="3" a="1"/>
  <c r="AS15" i="3"/>
  <c r="AS14" i="3" a="1"/>
  <c r="AS14" i="3"/>
  <c r="AS13" i="3" a="1"/>
  <c r="AS13" i="3"/>
  <c r="AS12" i="3" a="1"/>
  <c r="AS12" i="3"/>
  <c r="AS11" i="3" a="1"/>
  <c r="AS11" i="3"/>
  <c r="AS10" i="3" a="1"/>
  <c r="AS10" i="3"/>
  <c r="AV16" i="3" a="1"/>
  <c r="AV16" i="3"/>
  <c r="E9" i="3"/>
  <c r="E8" i="3"/>
  <c r="E7" i="3"/>
  <c r="E6" i="3"/>
  <c r="E5" i="3"/>
  <c r="E4" i="3"/>
  <c r="E3" i="3"/>
  <c r="E15" i="3"/>
  <c r="E14" i="3"/>
  <c r="E13" i="3"/>
  <c r="E12" i="3"/>
  <c r="E11" i="3"/>
  <c r="E10" i="3"/>
  <c r="AF16" i="3" a="1"/>
  <c r="AF16" i="3"/>
  <c r="H9" i="3" a="1"/>
  <c r="H9" i="3"/>
  <c r="H8" i="3" a="1"/>
  <c r="H8" i="3"/>
  <c r="H7" i="3" a="1"/>
  <c r="H7" i="3"/>
  <c r="H6" i="3" a="1"/>
  <c r="H6" i="3"/>
  <c r="H5" i="3" a="1"/>
  <c r="H5" i="3"/>
  <c r="H4" i="3" a="1"/>
  <c r="H4" i="3"/>
  <c r="H3" i="3" a="1"/>
  <c r="H3" i="3"/>
  <c r="H15" i="3" a="1"/>
  <c r="H15" i="3"/>
  <c r="H14" i="3" a="1"/>
  <c r="H14" i="3"/>
  <c r="H13" i="3" a="1"/>
  <c r="H13" i="3"/>
  <c r="H12" i="3" a="1"/>
  <c r="H12" i="3"/>
  <c r="H11" i="3" a="1"/>
  <c r="H11" i="3"/>
  <c r="H10" i="3" a="1"/>
  <c r="H10" i="3"/>
  <c r="J16" i="3" a="1"/>
  <c r="J16" i="3"/>
  <c r="AQ16" i="3" a="1"/>
  <c r="AQ16" i="3"/>
  <c r="AG9" i="3" a="1"/>
  <c r="AG9" i="3"/>
  <c r="AG8" i="3" a="1"/>
  <c r="AG8" i="3"/>
  <c r="AG7" i="3" a="1"/>
  <c r="AG7" i="3"/>
  <c r="AG6" i="3" a="1"/>
  <c r="AG6" i="3"/>
  <c r="AG5" i="3" a="1"/>
  <c r="AG5" i="3"/>
  <c r="AG4" i="3" a="1"/>
  <c r="AG4" i="3"/>
  <c r="AG3" i="3" a="1"/>
  <c r="AG3" i="3"/>
  <c r="AG15" i="3" a="1"/>
  <c r="AG15" i="3"/>
  <c r="AG14" i="3" a="1"/>
  <c r="AG14" i="3"/>
  <c r="AG13" i="3" a="1"/>
  <c r="AG13" i="3"/>
  <c r="AG12" i="3" a="1"/>
  <c r="AG12" i="3"/>
  <c r="AG11" i="3" a="1"/>
  <c r="AG11" i="3"/>
  <c r="AG10" i="3" a="1"/>
  <c r="AG10" i="3"/>
  <c r="AE16" i="3" a="1"/>
  <c r="AE16" i="3"/>
  <c r="AU9" i="3" a="1"/>
  <c r="AU9" i="3"/>
  <c r="AU8" i="3" a="1"/>
  <c r="AU8" i="3"/>
  <c r="AU7" i="3" a="1"/>
  <c r="AU7" i="3"/>
  <c r="AU6" i="3" a="1"/>
  <c r="AU6" i="3"/>
  <c r="AU5" i="3" a="1"/>
  <c r="AU5" i="3"/>
  <c r="AU4" i="3" a="1"/>
  <c r="AU4" i="3"/>
  <c r="AU3" i="3" a="1"/>
  <c r="AU3" i="3"/>
  <c r="AU15" i="3" a="1"/>
  <c r="AU15" i="3"/>
  <c r="AU14" i="3" a="1"/>
  <c r="AU14" i="3"/>
  <c r="AU13" i="3" a="1"/>
  <c r="AU13" i="3"/>
  <c r="AU12" i="3" a="1"/>
  <c r="AU12" i="3"/>
  <c r="AU11" i="3" a="1"/>
  <c r="AU11" i="3"/>
  <c r="AU10" i="3" a="1"/>
  <c r="AU10" i="3"/>
  <c r="AK9" i="3" a="1"/>
  <c r="AK9" i="3"/>
  <c r="AK8" i="3" a="1"/>
  <c r="AK8" i="3"/>
  <c r="AK7" i="3" a="1"/>
  <c r="AK7" i="3"/>
  <c r="AK6" i="3" a="1"/>
  <c r="AK6" i="3"/>
  <c r="AK5" i="3" a="1"/>
  <c r="AK5" i="3"/>
  <c r="AK4" i="3" a="1"/>
  <c r="AK4" i="3"/>
  <c r="AK3" i="3" a="1"/>
  <c r="AK3" i="3"/>
  <c r="AK15" i="3" a="1"/>
  <c r="AK15" i="3"/>
  <c r="AK14" i="3" a="1"/>
  <c r="AK14" i="3"/>
  <c r="AK13" i="3" a="1"/>
  <c r="AK13" i="3"/>
  <c r="AK12" i="3" a="1"/>
  <c r="AK12" i="3"/>
  <c r="AK11" i="3" a="1"/>
  <c r="AK11" i="3"/>
  <c r="AK10" i="3" a="1"/>
  <c r="AK10" i="3"/>
  <c r="AD9" i="3" a="1"/>
  <c r="AD9" i="3"/>
  <c r="AD8" i="3" a="1"/>
  <c r="AD8" i="3"/>
  <c r="AD7" i="3" a="1"/>
  <c r="AD7" i="3"/>
  <c r="AD6" i="3" a="1"/>
  <c r="AD6" i="3"/>
  <c r="AD5" i="3" a="1"/>
  <c r="AD5" i="3"/>
  <c r="AD4" i="3" a="1"/>
  <c r="AD4" i="3"/>
  <c r="AD3" i="3" a="1"/>
  <c r="AD3" i="3"/>
  <c r="AD15" i="3" a="1"/>
  <c r="AD15" i="3"/>
  <c r="AD14" i="3" a="1"/>
  <c r="AD14" i="3"/>
  <c r="AD13" i="3" a="1"/>
  <c r="AD13" i="3"/>
  <c r="AD12" i="3" a="1"/>
  <c r="AD12" i="3"/>
  <c r="AD11" i="3" a="1"/>
  <c r="AD11" i="3"/>
  <c r="AD10" i="3" a="1"/>
  <c r="AD10" i="3"/>
  <c r="V9" i="3" a="1"/>
  <c r="V9" i="3"/>
  <c r="V8" i="3" a="1"/>
  <c r="V8" i="3"/>
  <c r="V7" i="3" a="1"/>
  <c r="V7" i="3"/>
  <c r="V6" i="3" a="1"/>
  <c r="V6" i="3"/>
  <c r="V5" i="3" a="1"/>
  <c r="V5" i="3"/>
  <c r="V4" i="3" a="1"/>
  <c r="V4" i="3"/>
  <c r="V3" i="3" a="1"/>
  <c r="V3" i="3"/>
  <c r="V15" i="3" a="1"/>
  <c r="V15" i="3"/>
  <c r="V14" i="3" a="1"/>
  <c r="V14" i="3"/>
  <c r="V13" i="3" a="1"/>
  <c r="V13" i="3"/>
  <c r="V12" i="3" a="1"/>
  <c r="V12" i="3"/>
  <c r="V11" i="3" a="1"/>
  <c r="V11" i="3"/>
  <c r="V10" i="3" a="1"/>
  <c r="V10" i="3"/>
  <c r="AM16" i="3" a="1"/>
  <c r="AM16" i="3"/>
  <c r="AL16" i="3" a="1"/>
  <c r="AL16" i="3"/>
  <c r="L9" i="3"/>
  <c r="L8" i="3"/>
  <c r="L7" i="3"/>
  <c r="L6" i="3"/>
  <c r="L5" i="3"/>
  <c r="L4" i="3"/>
  <c r="L3" i="3"/>
  <c r="L15" i="3"/>
  <c r="L14" i="3"/>
  <c r="L13" i="3"/>
  <c r="L12" i="3"/>
  <c r="L11" i="3"/>
  <c r="L10" i="3"/>
  <c r="AD16" i="3" a="1"/>
  <c r="AD16" i="3"/>
  <c r="W16" i="3" a="1"/>
  <c r="W16" i="3"/>
  <c r="K16" i="3"/>
  <c r="AN16" i="3" a="1"/>
  <c r="AN16" i="3"/>
  <c r="F16" i="3"/>
  <c r="Q16" i="3" s="1" a="1"/>
  <c r="Q16" i="3" l="1"/>
  <c r="AK72" i="3" a="1"/>
  <c r="AK72" i="3"/>
  <c r="AK71" i="3" a="1"/>
  <c r="AK71" i="3"/>
  <c r="AK70" i="3" a="1"/>
  <c r="AK70" i="3"/>
  <c r="AK69" i="3" a="1"/>
  <c r="AK69" i="3"/>
  <c r="AK68" i="3" a="1"/>
  <c r="AK68" i="3"/>
  <c r="AK67" i="3" a="1"/>
  <c r="AK67" i="3"/>
  <c r="AK66" i="3" a="1"/>
  <c r="AK66" i="3"/>
  <c r="AK65" i="3" a="1"/>
  <c r="AK65" i="3"/>
  <c r="BC72" i="3" a="1"/>
  <c r="BC72" i="3"/>
  <c r="BC71" i="3" a="1"/>
  <c r="BC71" i="3"/>
  <c r="BC70" i="3" a="1"/>
  <c r="BC70" i="3"/>
  <c r="BC69" i="3" a="1"/>
  <c r="BC69" i="3"/>
  <c r="BC68" i="3" a="1"/>
  <c r="BC68" i="3"/>
  <c r="BC67" i="3" a="1"/>
  <c r="BC67" i="3"/>
  <c r="BC66" i="3" a="1"/>
  <c r="BC66" i="3"/>
  <c r="BC65" i="3" a="1"/>
  <c r="BC65" i="3"/>
  <c r="H72" i="3" a="1"/>
  <c r="H72" i="3"/>
  <c r="H71" i="3" a="1"/>
  <c r="H71" i="3"/>
  <c r="H70" i="3" a="1"/>
  <c r="H70" i="3"/>
  <c r="H69" i="3" a="1"/>
  <c r="H69" i="3"/>
  <c r="H68" i="3" a="1"/>
  <c r="H68" i="3"/>
  <c r="H67" i="3" a="1"/>
  <c r="H67" i="3"/>
  <c r="H66" i="3" a="1"/>
  <c r="H66" i="3"/>
  <c r="H65" i="3" a="1"/>
  <c r="H65" i="3"/>
  <c r="AH72" i="3" a="1"/>
  <c r="AH72" i="3"/>
  <c r="AH71" i="3" a="1"/>
  <c r="AH71" i="3"/>
  <c r="AH70" i="3" a="1"/>
  <c r="AH70" i="3"/>
  <c r="AH69" i="3" a="1"/>
  <c r="AH69" i="3"/>
  <c r="AH68" i="3" a="1"/>
  <c r="AH68" i="3"/>
  <c r="AH67" i="3" a="1"/>
  <c r="AH67" i="3"/>
  <c r="AH66" i="3" a="1"/>
  <c r="AH66" i="3"/>
  <c r="AH65" i="3" a="1"/>
  <c r="AH65" i="3"/>
  <c r="E72" i="3"/>
  <c r="E71" i="3"/>
  <c r="E70" i="3"/>
  <c r="E69" i="3"/>
  <c r="E68" i="3"/>
  <c r="E67" i="3"/>
  <c r="E66" i="3"/>
  <c r="E65" i="3"/>
  <c r="AF72" i="3" a="1"/>
  <c r="AF72" i="3"/>
  <c r="AF71" i="3" a="1"/>
  <c r="AF71" i="3"/>
  <c r="AF70" i="3" a="1"/>
  <c r="AF70" i="3"/>
  <c r="AF69" i="3" a="1"/>
  <c r="AF69" i="3"/>
  <c r="AF68" i="3" a="1"/>
  <c r="AF68" i="3"/>
  <c r="AF67" i="3" a="1"/>
  <c r="AF67" i="3"/>
  <c r="AF66" i="3" a="1"/>
  <c r="AF66" i="3"/>
  <c r="AF65" i="3" a="1"/>
  <c r="AF65" i="3"/>
  <c r="AE72" i="3" a="1"/>
  <c r="AE72" i="3"/>
  <c r="AE71" i="3" a="1"/>
  <c r="AE71" i="3"/>
  <c r="AE70" i="3" a="1"/>
  <c r="AE70" i="3"/>
  <c r="AE69" i="3" a="1"/>
  <c r="AE69" i="3"/>
  <c r="AE68" i="3" a="1"/>
  <c r="AE68" i="3"/>
  <c r="AE67" i="3" a="1"/>
  <c r="AE67" i="3"/>
  <c r="AE66" i="3" a="1"/>
  <c r="AE66" i="3"/>
  <c r="AE65" i="3" a="1"/>
  <c r="AE65" i="3"/>
  <c r="M72" i="3" a="1"/>
  <c r="M72" i="3"/>
  <c r="M71" i="3" a="1"/>
  <c r="M71" i="3"/>
  <c r="M70" i="3" a="1"/>
  <c r="M70" i="3"/>
  <c r="M69" i="3" a="1"/>
  <c r="M69" i="3"/>
  <c r="M68" i="3" a="1"/>
  <c r="M68" i="3"/>
  <c r="M67" i="3" a="1"/>
  <c r="M67" i="3"/>
  <c r="M66" i="3" a="1"/>
  <c r="M66" i="3"/>
  <c r="M65" i="3" a="1"/>
  <c r="M65" i="3"/>
  <c r="AP72" i="3" a="1"/>
  <c r="AP72" i="3"/>
  <c r="AP71" i="3" a="1"/>
  <c r="AP71" i="3"/>
  <c r="AP70" i="3" a="1"/>
  <c r="AP70" i="3"/>
  <c r="AP69" i="3" a="1"/>
  <c r="AP69" i="3"/>
  <c r="AP68" i="3" a="1"/>
  <c r="AP68" i="3"/>
  <c r="AP67" i="3" a="1"/>
  <c r="AP67" i="3"/>
  <c r="AP66" i="3" a="1"/>
  <c r="AP66" i="3"/>
  <c r="AP65" i="3" a="1"/>
  <c r="AP65" i="3"/>
  <c r="K72" i="3"/>
  <c r="K71" i="3"/>
  <c r="K70" i="3"/>
  <c r="K69" i="3"/>
  <c r="K68" i="3"/>
  <c r="K67" i="3"/>
  <c r="K66" i="3"/>
  <c r="K65" i="3"/>
  <c r="N72" i="3" a="1"/>
  <c r="N72" i="3"/>
  <c r="N71" i="3" a="1"/>
  <c r="N71" i="3"/>
  <c r="N70" i="3" a="1"/>
  <c r="N70" i="3"/>
  <c r="N69" i="3" a="1"/>
  <c r="N69" i="3"/>
  <c r="N68" i="3" a="1"/>
  <c r="N68" i="3"/>
  <c r="N67" i="3" a="1"/>
  <c r="N67" i="3"/>
  <c r="N66" i="3" a="1"/>
  <c r="N66" i="3"/>
  <c r="N65" i="3" a="1"/>
  <c r="N65" i="3"/>
  <c r="AM72" i="3" a="1"/>
  <c r="AM72" i="3"/>
  <c r="AM71" i="3" a="1"/>
  <c r="AM71" i="3"/>
  <c r="AM70" i="3" a="1"/>
  <c r="AM70" i="3"/>
  <c r="AM69" i="3" a="1"/>
  <c r="AM69" i="3"/>
  <c r="AM68" i="3" a="1"/>
  <c r="AM68" i="3"/>
  <c r="AM67" i="3" a="1"/>
  <c r="AM67" i="3"/>
  <c r="AM66" i="3" a="1"/>
  <c r="AM66" i="3"/>
  <c r="AM65" i="3" a="1"/>
  <c r="AM65" i="3"/>
  <c r="AN72" i="3" a="1"/>
  <c r="AN72" i="3"/>
  <c r="AN71" i="3" a="1"/>
  <c r="AN71" i="3"/>
  <c r="AN70" i="3" a="1"/>
  <c r="AN70" i="3"/>
  <c r="AN69" i="3" a="1"/>
  <c r="AN69" i="3"/>
  <c r="AN68" i="3" a="1"/>
  <c r="AN68" i="3"/>
  <c r="AN67" i="3" a="1"/>
  <c r="AN67" i="3"/>
  <c r="AN66" i="3" a="1"/>
  <c r="AN66" i="3"/>
  <c r="AN65" i="3" a="1"/>
  <c r="AN65" i="3"/>
  <c r="AC72" i="3" a="1"/>
  <c r="AC72" i="3"/>
  <c r="AC71" i="3" a="1"/>
  <c r="AC71" i="3"/>
  <c r="AC70" i="3" a="1"/>
  <c r="AC70" i="3"/>
  <c r="AC69" i="3" a="1"/>
  <c r="AC69" i="3"/>
  <c r="AC68" i="3" a="1"/>
  <c r="AC68" i="3"/>
  <c r="AC67" i="3" a="1"/>
  <c r="AC67" i="3"/>
  <c r="AC66" i="3" a="1"/>
  <c r="AC66" i="3"/>
  <c r="AC65" i="3" a="1"/>
  <c r="AC65" i="3"/>
  <c r="AL72" i="3" a="1"/>
  <c r="AL72" i="3"/>
  <c r="AL71" i="3" a="1"/>
  <c r="AL71" i="3"/>
  <c r="AL70" i="3" a="1"/>
  <c r="AL70" i="3"/>
  <c r="AL69" i="3" a="1"/>
  <c r="AL69" i="3"/>
  <c r="AL68" i="3" a="1"/>
  <c r="AL68" i="3"/>
  <c r="AL67" i="3" a="1"/>
  <c r="AL67" i="3"/>
  <c r="AL66" i="3" a="1"/>
  <c r="AL66" i="3"/>
  <c r="AL65" i="3" a="1"/>
  <c r="AL65" i="3"/>
  <c r="J72" i="3" a="1"/>
  <c r="J72" i="3"/>
  <c r="J71" i="3" a="1"/>
  <c r="J71" i="3"/>
  <c r="J70" i="3" a="1"/>
  <c r="J70" i="3"/>
  <c r="J69" i="3" a="1"/>
  <c r="J69" i="3"/>
  <c r="J68" i="3" a="1"/>
  <c r="J68" i="3"/>
  <c r="J67" i="3" a="1"/>
  <c r="J67" i="3"/>
  <c r="J66" i="3" a="1"/>
  <c r="J66" i="3"/>
  <c r="J65" i="3" a="1"/>
  <c r="J65" i="3"/>
  <c r="AR72" i="3" a="1"/>
  <c r="AR72" i="3"/>
  <c r="AR71" i="3" a="1"/>
  <c r="AR71" i="3"/>
  <c r="AR70" i="3" a="1"/>
  <c r="AR70" i="3"/>
  <c r="AR69" i="3" a="1"/>
  <c r="AR69" i="3"/>
  <c r="AR68" i="3" a="1"/>
  <c r="AR68" i="3"/>
  <c r="AR67" i="3" a="1"/>
  <c r="AR67" i="3"/>
  <c r="AR66" i="3" a="1"/>
  <c r="AR66" i="3"/>
  <c r="AR65" i="3" a="1"/>
  <c r="AR65" i="3"/>
  <c r="AJ72" i="3" a="1"/>
  <c r="AJ72" i="3"/>
  <c r="AJ71" i="3" a="1"/>
  <c r="AJ71" i="3"/>
  <c r="AJ70" i="3" a="1"/>
  <c r="AJ70" i="3"/>
  <c r="AJ69" i="3" a="1"/>
  <c r="AJ69" i="3"/>
  <c r="AJ68" i="3" a="1"/>
  <c r="AJ68" i="3"/>
  <c r="AJ67" i="3" a="1"/>
  <c r="AJ67" i="3"/>
  <c r="AJ66" i="3" a="1"/>
  <c r="AJ66" i="3"/>
  <c r="AJ65" i="3" a="1"/>
  <c r="AJ65" i="3"/>
  <c r="AV72" i="3" a="1"/>
  <c r="AV72" i="3"/>
  <c r="AV71" i="3" a="1"/>
  <c r="AV71" i="3"/>
  <c r="AV70" i="3" a="1"/>
  <c r="AV70" i="3"/>
  <c r="AV69" i="3" a="1"/>
  <c r="AV69" i="3"/>
  <c r="AV68" i="3" a="1"/>
  <c r="AV68" i="3"/>
  <c r="AV67" i="3" a="1"/>
  <c r="AV67" i="3"/>
  <c r="AV66" i="3" a="1"/>
  <c r="AV66" i="3"/>
  <c r="AV65" i="3" a="1"/>
  <c r="AV65" i="3"/>
  <c r="AO72" i="3" a="1"/>
  <c r="AO72" i="3"/>
  <c r="AO71" i="3" a="1"/>
  <c r="AO71" i="3"/>
  <c r="AO70" i="3" a="1"/>
  <c r="AO70" i="3"/>
  <c r="AO69" i="3" a="1"/>
  <c r="AO69" i="3"/>
  <c r="AO68" i="3" a="1"/>
  <c r="AO68" i="3"/>
  <c r="AO67" i="3" a="1"/>
  <c r="AO67" i="3"/>
  <c r="AO66" i="3" a="1"/>
  <c r="AO66" i="3"/>
  <c r="AO65" i="3" a="1"/>
  <c r="AO65" i="3"/>
  <c r="AT72" i="3" a="1"/>
  <c r="AT72" i="3"/>
  <c r="AT71" i="3" a="1"/>
  <c r="AT71" i="3"/>
  <c r="AT70" i="3" a="1"/>
  <c r="AT70" i="3"/>
  <c r="AT69" i="3" a="1"/>
  <c r="AT69" i="3"/>
  <c r="AT68" i="3" a="1"/>
  <c r="AT68" i="3"/>
  <c r="AT67" i="3" a="1"/>
  <c r="AT67" i="3"/>
  <c r="AT66" i="3" a="1"/>
  <c r="AT66" i="3"/>
  <c r="AT65" i="3" a="1"/>
  <c r="AT65" i="3"/>
  <c r="AQ72" i="3" a="1"/>
  <c r="AQ72" i="3"/>
  <c r="AQ71" i="3" a="1"/>
  <c r="AQ71" i="3"/>
  <c r="AQ70" i="3" a="1"/>
  <c r="AQ70" i="3"/>
  <c r="AQ69" i="3" a="1"/>
  <c r="AQ69" i="3"/>
  <c r="AQ68" i="3" a="1"/>
  <c r="AQ68" i="3"/>
  <c r="AQ67" i="3" a="1"/>
  <c r="AQ67" i="3"/>
  <c r="AQ66" i="3" a="1"/>
  <c r="AQ66" i="3"/>
  <c r="AQ65" i="3" a="1"/>
  <c r="AQ65" i="3"/>
  <c r="AG72" i="3" a="1"/>
  <c r="AG72" i="3"/>
  <c r="AG71" i="3" a="1"/>
  <c r="AG71" i="3"/>
  <c r="AG70" i="3" a="1"/>
  <c r="AG70" i="3"/>
  <c r="AG69" i="3" a="1"/>
  <c r="AG69" i="3"/>
  <c r="AG68" i="3" a="1"/>
  <c r="AG68" i="3"/>
  <c r="AG67" i="3" a="1"/>
  <c r="AG67" i="3"/>
  <c r="AG66" i="3" a="1"/>
  <c r="AG66" i="3"/>
  <c r="AG65" i="3" a="1"/>
  <c r="AG65" i="3"/>
  <c r="AS72" i="3" a="1"/>
  <c r="AS72" i="3"/>
  <c r="AS71" i="3" a="1"/>
  <c r="AS71" i="3"/>
  <c r="AS70" i="3" a="1"/>
  <c r="AS70" i="3"/>
  <c r="AS69" i="3" a="1"/>
  <c r="AS69" i="3"/>
  <c r="AS68" i="3" a="1"/>
  <c r="AS68" i="3"/>
  <c r="AS67" i="3" a="1"/>
  <c r="AS67" i="3"/>
  <c r="AS66" i="3" a="1"/>
  <c r="AS66" i="3"/>
  <c r="AS65" i="3" a="1"/>
  <c r="AS65" i="3"/>
  <c r="L72" i="3"/>
  <c r="L71" i="3"/>
  <c r="L70" i="3"/>
  <c r="L69" i="3"/>
  <c r="L68" i="3"/>
  <c r="L67" i="3"/>
  <c r="L66" i="3"/>
  <c r="L65" i="3"/>
  <c r="AI72" i="3" a="1"/>
  <c r="AI72" i="3"/>
  <c r="AI71" i="3" a="1"/>
  <c r="AI71" i="3"/>
  <c r="AI70" i="3" a="1"/>
  <c r="AI70" i="3"/>
  <c r="AI69" i="3" a="1"/>
  <c r="AI69" i="3"/>
  <c r="AI68" i="3" a="1"/>
  <c r="AI68" i="3"/>
  <c r="AI67" i="3" a="1"/>
  <c r="AI67" i="3"/>
  <c r="AI66" i="3" a="1"/>
  <c r="AI66" i="3"/>
  <c r="AI65" i="3" a="1"/>
  <c r="AI65" i="3"/>
  <c r="I72" i="3" a="1"/>
  <c r="I72" i="3"/>
  <c r="I71" i="3" a="1"/>
  <c r="I71" i="3"/>
  <c r="I70" i="3" a="1"/>
  <c r="I70" i="3"/>
  <c r="I69" i="3" a="1"/>
  <c r="I69" i="3"/>
  <c r="I68" i="3" a="1"/>
  <c r="I68" i="3"/>
  <c r="I67" i="3" a="1"/>
  <c r="I67" i="3"/>
  <c r="I66" i="3" a="1"/>
  <c r="I66" i="3"/>
  <c r="I65" i="3" a="1"/>
  <c r="I65" i="3"/>
  <c r="AD72" i="3" a="1"/>
  <c r="AD72" i="3"/>
  <c r="AD71" i="3" a="1"/>
  <c r="AD71" i="3"/>
  <c r="AD70" i="3" a="1"/>
  <c r="AD70" i="3"/>
  <c r="AD69" i="3" a="1"/>
  <c r="AD69" i="3"/>
  <c r="AD68" i="3" a="1"/>
  <c r="AD68" i="3"/>
  <c r="AD67" i="3" a="1"/>
  <c r="AD67" i="3"/>
  <c r="AD66" i="3" a="1"/>
  <c r="AD66" i="3"/>
  <c r="AD65" i="3" a="1"/>
  <c r="AD65" i="3"/>
  <c r="AU72" i="3" a="1"/>
  <c r="AU72" i="3"/>
  <c r="AU71" i="3" a="1"/>
  <c r="AU71" i="3"/>
  <c r="AU70" i="3" a="1"/>
  <c r="AU70" i="3"/>
  <c r="AU69" i="3" a="1"/>
  <c r="AU69" i="3"/>
  <c r="AU68" i="3" a="1"/>
  <c r="AU68" i="3"/>
  <c r="AU67" i="3" a="1"/>
  <c r="AU67" i="3"/>
  <c r="AU66" i="3" a="1"/>
  <c r="AU66" i="3"/>
  <c r="AU65" i="3" a="1"/>
  <c r="AU65" i="3"/>
  <c r="F72" i="3"/>
  <c r="Q72" i="3" s="1" a="1"/>
  <c r="F71" i="3"/>
  <c r="Q71" i="3" s="1" a="1"/>
  <c r="F70" i="3"/>
  <c r="Q70" i="3" s="1" a="1"/>
  <c r="F69" i="3"/>
  <c r="Q69" i="3" s="1" a="1"/>
  <c r="F68" i="3"/>
  <c r="Q68" i="3" s="1" a="1"/>
  <c r="F67" i="3"/>
  <c r="Q67" i="3" s="1" a="1"/>
  <c r="F66" i="3"/>
  <c r="Q66" i="3" s="1" a="1"/>
  <c r="F65" i="3"/>
  <c r="Q65" i="3" s="1" a="1"/>
  <c r="W103" i="3" a="1"/>
  <c r="Q65" i="3" l="1"/>
  <c r="Q66" i="3"/>
  <c r="Q67" i="3"/>
  <c r="Q68" i="3"/>
  <c r="Q69" i="3"/>
  <c r="Q70" i="3"/>
  <c r="Q71" i="3"/>
  <c r="Q72" i="3"/>
  <c r="W103" i="3"/>
  <c r="AP99" i="3" a="1"/>
  <c r="AP99" i="3"/>
  <c r="AP98" i="3" a="1"/>
  <c r="AP98" i="3"/>
  <c r="AP97" i="3" a="1"/>
  <c r="AP97" i="3"/>
  <c r="AV111" i="3" a="1"/>
  <c r="AV111" i="3"/>
  <c r="AV110" i="3" a="1"/>
  <c r="AV110" i="3"/>
  <c r="AV109" i="3" a="1"/>
  <c r="AV109" i="3"/>
  <c r="AV108" i="3" a="1"/>
  <c r="AV108" i="3"/>
  <c r="AV107" i="3" a="1"/>
  <c r="AV107" i="3"/>
  <c r="AV106" i="3" a="1"/>
  <c r="AV106" i="3"/>
  <c r="AV105" i="3" a="1"/>
  <c r="AV105" i="3"/>
  <c r="AV104" i="3" a="1"/>
  <c r="AV104" i="3"/>
  <c r="AP114" i="3" a="1"/>
  <c r="AP114" i="3"/>
  <c r="AP113" i="3" a="1"/>
  <c r="AP113" i="3"/>
  <c r="AP112" i="3" a="1"/>
  <c r="AP112" i="3"/>
  <c r="AJ103" i="3" a="1"/>
  <c r="AJ103" i="3"/>
  <c r="L111" i="3"/>
  <c r="L110" i="3"/>
  <c r="L109" i="3"/>
  <c r="L108" i="3"/>
  <c r="L107" i="3"/>
  <c r="L106" i="3"/>
  <c r="L105" i="3"/>
  <c r="L104" i="3"/>
  <c r="BC114" i="3" a="1"/>
  <c r="BC114" i="3"/>
  <c r="BC113" i="3" a="1"/>
  <c r="BC113" i="3"/>
  <c r="BC112" i="3" a="1"/>
  <c r="BC112" i="3"/>
  <c r="V114" i="3" a="1"/>
  <c r="V114" i="3"/>
  <c r="V113" i="3" a="1"/>
  <c r="V113" i="3"/>
  <c r="V112" i="3" a="1"/>
  <c r="V112" i="3"/>
  <c r="AK111" i="3" a="1"/>
  <c r="AK111" i="3"/>
  <c r="AK110" i="3" a="1"/>
  <c r="AK110" i="3"/>
  <c r="AK109" i="3" a="1"/>
  <c r="AK109" i="3"/>
  <c r="AK108" i="3" a="1"/>
  <c r="AK108" i="3"/>
  <c r="AK107" i="3" a="1"/>
  <c r="AK107" i="3"/>
  <c r="AK106" i="3" a="1"/>
  <c r="AK106" i="3"/>
  <c r="AK105" i="3" a="1"/>
  <c r="AK105" i="3"/>
  <c r="AK104" i="3" a="1"/>
  <c r="AK104" i="3"/>
  <c r="I99" i="3" a="1"/>
  <c r="I99" i="3"/>
  <c r="I98" i="3" a="1"/>
  <c r="I98" i="3"/>
  <c r="I97" i="3" a="1"/>
  <c r="I97" i="3"/>
  <c r="AM96" i="3" a="1"/>
  <c r="AM96" i="3"/>
  <c r="AM95" i="3" a="1"/>
  <c r="AM95" i="3"/>
  <c r="AO99" i="3" a="1"/>
  <c r="AO99" i="3"/>
  <c r="AO98" i="3" a="1"/>
  <c r="AO98" i="3"/>
  <c r="AO97" i="3" a="1"/>
  <c r="AO97" i="3"/>
  <c r="AL99" i="3" a="1"/>
  <c r="AL99" i="3"/>
  <c r="AL98" i="3" a="1"/>
  <c r="AL98" i="3"/>
  <c r="AL97" i="3" a="1"/>
  <c r="AL97" i="3"/>
  <c r="K115" i="3"/>
  <c r="AC114" i="3" a="1"/>
  <c r="AC114" i="3"/>
  <c r="AC113" i="3" a="1"/>
  <c r="AC113" i="3"/>
  <c r="AC112" i="3" a="1"/>
  <c r="AC112" i="3"/>
  <c r="AO114" i="3" a="1"/>
  <c r="AO114" i="3"/>
  <c r="AO113" i="3" a="1"/>
  <c r="AO113" i="3"/>
  <c r="AO112" i="3" a="1"/>
  <c r="AO112" i="3"/>
  <c r="I96" i="3" a="1"/>
  <c r="I96" i="3"/>
  <c r="I95" i="3" a="1"/>
  <c r="I95" i="3"/>
  <c r="AH114" i="3" a="1"/>
  <c r="AH114" i="3"/>
  <c r="AH113" i="3" a="1"/>
  <c r="AH113" i="3"/>
  <c r="AH112" i="3" a="1"/>
  <c r="AH112" i="3"/>
  <c r="AK114" i="3" a="1"/>
  <c r="AK114" i="3"/>
  <c r="AK113" i="3" a="1"/>
  <c r="AK113" i="3"/>
  <c r="AK112" i="3" a="1"/>
  <c r="AK112" i="3"/>
  <c r="BC96" i="3" a="1"/>
  <c r="BC96" i="3"/>
  <c r="BC95" i="3" a="1"/>
  <c r="BC95" i="3"/>
  <c r="AD111" i="3" a="1"/>
  <c r="AD111" i="3"/>
  <c r="AD110" i="3" a="1"/>
  <c r="AD110" i="3"/>
  <c r="AD109" i="3" a="1"/>
  <c r="AD109" i="3"/>
  <c r="AD108" i="3" a="1"/>
  <c r="AD108" i="3"/>
  <c r="AD107" i="3" a="1"/>
  <c r="AD107" i="3"/>
  <c r="AD106" i="3" a="1"/>
  <c r="AD106" i="3"/>
  <c r="AD105" i="3" a="1"/>
  <c r="AD105" i="3"/>
  <c r="AD104" i="3" a="1"/>
  <c r="AD104" i="3"/>
  <c r="AC99" i="3" a="1"/>
  <c r="AC99" i="3"/>
  <c r="AC98" i="3" a="1"/>
  <c r="AC98" i="3"/>
  <c r="AC97" i="3" a="1"/>
  <c r="AC97" i="3"/>
  <c r="N115" i="3" a="1"/>
  <c r="N115" i="3"/>
  <c r="AN114" i="3" a="1"/>
  <c r="AN114" i="3"/>
  <c r="AN113" i="3" a="1"/>
  <c r="AN113" i="3"/>
  <c r="AN112" i="3" a="1"/>
  <c r="AN112" i="3"/>
  <c r="E114" i="3"/>
  <c r="E113" i="3"/>
  <c r="E112" i="3"/>
  <c r="AQ99" i="3" a="1"/>
  <c r="AQ99" i="3"/>
  <c r="AQ98" i="3" a="1"/>
  <c r="AQ98" i="3"/>
  <c r="AQ97" i="3" a="1"/>
  <c r="AQ97" i="3"/>
  <c r="AQ111" i="3" a="1"/>
  <c r="AQ111" i="3"/>
  <c r="AQ110" i="3" a="1"/>
  <c r="AQ110" i="3"/>
  <c r="AQ109" i="3" a="1"/>
  <c r="AQ109" i="3"/>
  <c r="AQ108" i="3" a="1"/>
  <c r="AQ108" i="3"/>
  <c r="AQ107" i="3" a="1"/>
  <c r="AQ107" i="3"/>
  <c r="AQ106" i="3" a="1"/>
  <c r="AQ106" i="3"/>
  <c r="AQ105" i="3" a="1"/>
  <c r="AQ105" i="3"/>
  <c r="AQ104" i="3" a="1"/>
  <c r="AQ104" i="3"/>
  <c r="H111" i="3" a="1"/>
  <c r="H111" i="3"/>
  <c r="H110" i="3" a="1"/>
  <c r="H110" i="3"/>
  <c r="H109" i="3" a="1"/>
  <c r="H109" i="3"/>
  <c r="H108" i="3" a="1"/>
  <c r="H108" i="3"/>
  <c r="H107" i="3" a="1"/>
  <c r="H107" i="3"/>
  <c r="H106" i="3" a="1"/>
  <c r="H106" i="3"/>
  <c r="H105" i="3" a="1"/>
  <c r="H105" i="3"/>
  <c r="H104" i="3" a="1"/>
  <c r="H104" i="3"/>
  <c r="N111" i="3" a="1"/>
  <c r="N111" i="3"/>
  <c r="N110" i="3" a="1"/>
  <c r="N110" i="3"/>
  <c r="N109" i="3" a="1"/>
  <c r="N109" i="3"/>
  <c r="N108" i="3" a="1"/>
  <c r="N108" i="3"/>
  <c r="N107" i="3" a="1"/>
  <c r="N107" i="3"/>
  <c r="N106" i="3" a="1"/>
  <c r="N106" i="3"/>
  <c r="N105" i="3" a="1"/>
  <c r="N105" i="3"/>
  <c r="N104" i="3" a="1"/>
  <c r="N104" i="3"/>
  <c r="AE111" i="3" a="1"/>
  <c r="AE111" i="3"/>
  <c r="AE110" i="3" a="1"/>
  <c r="AE110" i="3"/>
  <c r="AE109" i="3" a="1"/>
  <c r="AE109" i="3"/>
  <c r="AE108" i="3" a="1"/>
  <c r="AE108" i="3"/>
  <c r="AE107" i="3" a="1"/>
  <c r="AE107" i="3"/>
  <c r="AE106" i="3" a="1"/>
  <c r="AE106" i="3"/>
  <c r="AE105" i="3" a="1"/>
  <c r="AE105" i="3"/>
  <c r="AE104" i="3" a="1"/>
  <c r="AE104" i="3"/>
  <c r="AP103" i="3" a="1"/>
  <c r="AP103" i="3"/>
  <c r="AG103" i="3" a="1"/>
  <c r="AG103" i="3"/>
  <c r="L114" i="3"/>
  <c r="L113" i="3"/>
  <c r="L112" i="3"/>
  <c r="J96" i="3" a="1"/>
  <c r="J96" i="3"/>
  <c r="J95" i="3" a="1"/>
  <c r="J95" i="3"/>
  <c r="AH99" i="3" a="1"/>
  <c r="AH99" i="3"/>
  <c r="AH98" i="3" a="1"/>
  <c r="AH98" i="3"/>
  <c r="AH97" i="3" a="1"/>
  <c r="AH97" i="3"/>
  <c r="AN96" i="3" a="1"/>
  <c r="AN96" i="3"/>
  <c r="AN95" i="3" a="1"/>
  <c r="AN95" i="3"/>
  <c r="AU96" i="3" a="1"/>
  <c r="AU96" i="3"/>
  <c r="AU95" i="3" a="1"/>
  <c r="AU95" i="3"/>
  <c r="H114" i="3" a="1"/>
  <c r="H114" i="3"/>
  <c r="H113" i="3" a="1"/>
  <c r="H113" i="3"/>
  <c r="H112" i="3" a="1"/>
  <c r="H112" i="3"/>
  <c r="AS103" i="3" a="1"/>
  <c r="AS103" i="3"/>
  <c r="M103" i="3" a="1"/>
  <c r="M103" i="3"/>
  <c r="AO96" i="3" a="1"/>
  <c r="AO96" i="3"/>
  <c r="AO95" i="3" a="1"/>
  <c r="AO95" i="3"/>
  <c r="AS96" i="3" a="1"/>
  <c r="AS96" i="3"/>
  <c r="AS95" i="3" a="1"/>
  <c r="AS95" i="3"/>
  <c r="AN111" i="3" a="1"/>
  <c r="AN111" i="3"/>
  <c r="AN110" i="3" a="1"/>
  <c r="AN110" i="3"/>
  <c r="AN109" i="3" a="1"/>
  <c r="AN109" i="3"/>
  <c r="AN108" i="3" a="1"/>
  <c r="AN108" i="3"/>
  <c r="AN107" i="3" a="1"/>
  <c r="AN107" i="3"/>
  <c r="AN106" i="3" a="1"/>
  <c r="AN106" i="3"/>
  <c r="AN105" i="3" a="1"/>
  <c r="AN105" i="3"/>
  <c r="AN104" i="3" a="1"/>
  <c r="AN104" i="3"/>
  <c r="AR99" i="3" a="1"/>
  <c r="AR99" i="3"/>
  <c r="AR98" i="3" a="1"/>
  <c r="AR98" i="3"/>
  <c r="AR97" i="3" a="1"/>
  <c r="AR97" i="3"/>
  <c r="AE115" i="3" a="1"/>
  <c r="AE115" i="3"/>
  <c r="AH103" i="3" a="1"/>
  <c r="AH103" i="3"/>
  <c r="L96" i="3"/>
  <c r="L95" i="3"/>
  <c r="AI115" i="3" a="1"/>
  <c r="AI115" i="3"/>
  <c r="V103" i="3" a="1"/>
  <c r="V103" i="3"/>
  <c r="AM115" i="3" a="1"/>
  <c r="AM115" i="3"/>
  <c r="AI99" i="3" a="1"/>
  <c r="AI99" i="3"/>
  <c r="AI98" i="3" a="1"/>
  <c r="AI98" i="3"/>
  <c r="AI97" i="3" a="1"/>
  <c r="AI97" i="3"/>
  <c r="AP96" i="3" a="1"/>
  <c r="AP96" i="3"/>
  <c r="AP95" i="3" a="1"/>
  <c r="AP95" i="3"/>
  <c r="AH96" i="3" a="1"/>
  <c r="AH96" i="3"/>
  <c r="AH95" i="3" a="1"/>
  <c r="AH95" i="3"/>
  <c r="AR103" i="3" a="1"/>
  <c r="AR103" i="3"/>
  <c r="AL96" i="3" a="1"/>
  <c r="AL96" i="3"/>
  <c r="AL95" i="3" a="1"/>
  <c r="AL95" i="3"/>
  <c r="BC99" i="3" a="1"/>
  <c r="BC99" i="3"/>
  <c r="BC98" i="3" a="1"/>
  <c r="BC98" i="3"/>
  <c r="BC97" i="3" a="1"/>
  <c r="BC97" i="3"/>
  <c r="AF114" i="3" a="1"/>
  <c r="AF114" i="3"/>
  <c r="AF113" i="3" a="1"/>
  <c r="AF113" i="3"/>
  <c r="AF112" i="3" a="1"/>
  <c r="AF112" i="3"/>
  <c r="AE114" i="3" a="1"/>
  <c r="AE114" i="3"/>
  <c r="AE113" i="3" a="1"/>
  <c r="AE113" i="3"/>
  <c r="AE112" i="3" a="1"/>
  <c r="AE112" i="3"/>
  <c r="AK99" i="3" a="1"/>
  <c r="AK99" i="3"/>
  <c r="AK98" i="3" a="1"/>
  <c r="AK98" i="3"/>
  <c r="AK97" i="3" a="1"/>
  <c r="AK97" i="3"/>
  <c r="J103" i="3" a="1"/>
  <c r="J103" i="3"/>
  <c r="AO111" i="3" a="1"/>
  <c r="AO111" i="3"/>
  <c r="AO110" i="3" a="1"/>
  <c r="AO110" i="3"/>
  <c r="AO109" i="3" a="1"/>
  <c r="AO109" i="3"/>
  <c r="AO108" i="3" a="1"/>
  <c r="AO108" i="3"/>
  <c r="AO107" i="3" a="1"/>
  <c r="AO107" i="3"/>
  <c r="AO106" i="3" a="1"/>
  <c r="AO106" i="3"/>
  <c r="AO105" i="3" a="1"/>
  <c r="AO105" i="3"/>
  <c r="AO104" i="3" a="1"/>
  <c r="AO104" i="3"/>
  <c r="AV115" i="3" a="1"/>
  <c r="AV115" i="3"/>
  <c r="AE96" i="3" a="1"/>
  <c r="AE96" i="3"/>
  <c r="AE95" i="3" a="1"/>
  <c r="AE95" i="3"/>
  <c r="W96" i="3" a="1"/>
  <c r="W96" i="3"/>
  <c r="W95" i="3" a="1"/>
  <c r="W95" i="3"/>
  <c r="AT114" i="3" a="1"/>
  <c r="AT114" i="3"/>
  <c r="AT113" i="3" a="1"/>
  <c r="AT113" i="3"/>
  <c r="AT112" i="3" a="1"/>
  <c r="AT112" i="3"/>
  <c r="AD114" i="3" a="1"/>
  <c r="AD114" i="3"/>
  <c r="AD113" i="3" a="1"/>
  <c r="AD113" i="3"/>
  <c r="AD112" i="3" a="1"/>
  <c r="AD112" i="3"/>
  <c r="AU115" i="3" a="1"/>
  <c r="AU115" i="3"/>
  <c r="N114" i="3" a="1"/>
  <c r="N114" i="3"/>
  <c r="N113" i="3" a="1"/>
  <c r="N113" i="3"/>
  <c r="N112" i="3" a="1"/>
  <c r="N112" i="3"/>
  <c r="AH111" i="3" a="1"/>
  <c r="AH111" i="3"/>
  <c r="AH110" i="3" a="1"/>
  <c r="AH110" i="3"/>
  <c r="AH109" i="3" a="1"/>
  <c r="AH109" i="3"/>
  <c r="AH108" i="3" a="1"/>
  <c r="AH108" i="3"/>
  <c r="AH107" i="3" a="1"/>
  <c r="AH107" i="3"/>
  <c r="AH106" i="3" a="1"/>
  <c r="AH106" i="3"/>
  <c r="AH105" i="3" a="1"/>
  <c r="AH105" i="3"/>
  <c r="AH104" i="3" a="1"/>
  <c r="AH104" i="3"/>
  <c r="E111" i="3"/>
  <c r="E110" i="3"/>
  <c r="E109" i="3"/>
  <c r="E108" i="3"/>
  <c r="E107" i="3"/>
  <c r="E106" i="3"/>
  <c r="E105" i="3"/>
  <c r="E104" i="3"/>
  <c r="AD115" i="3" a="1"/>
  <c r="AD115" i="3"/>
  <c r="W99" i="3" a="1"/>
  <c r="W99" i="3"/>
  <c r="W98" i="3" a="1"/>
  <c r="W98" i="3"/>
  <c r="W97" i="3" a="1"/>
  <c r="W97" i="3"/>
  <c r="M114" i="3" a="1"/>
  <c r="M114" i="3"/>
  <c r="M113" i="3" a="1"/>
  <c r="M113" i="3"/>
  <c r="M112" i="3" a="1"/>
  <c r="M112" i="3"/>
  <c r="AR96" i="3" a="1"/>
  <c r="AR96" i="3"/>
  <c r="AR95" i="3" a="1"/>
  <c r="AR95" i="3"/>
  <c r="BC111" i="3" a="1"/>
  <c r="BC111" i="3"/>
  <c r="BC110" i="3" a="1"/>
  <c r="BC110" i="3"/>
  <c r="BC109" i="3" a="1"/>
  <c r="BC109" i="3"/>
  <c r="BC108" i="3" a="1"/>
  <c r="BC108" i="3"/>
  <c r="BC107" i="3" a="1"/>
  <c r="BC107" i="3"/>
  <c r="BC106" i="3" a="1"/>
  <c r="BC106" i="3"/>
  <c r="BC105" i="3" a="1"/>
  <c r="BC105" i="3"/>
  <c r="BC104" i="3" a="1"/>
  <c r="BC104" i="3"/>
  <c r="K114" i="3"/>
  <c r="K113" i="3"/>
  <c r="K112" i="3"/>
  <c r="H115" i="3" a="1"/>
  <c r="H115" i="3"/>
  <c r="AQ103" i="3" a="1"/>
  <c r="AQ103" i="3"/>
  <c r="E115" i="3"/>
  <c r="AN115" i="3" a="1"/>
  <c r="AN115" i="3"/>
  <c r="AG99" i="3" a="1"/>
  <c r="AG99" i="3"/>
  <c r="AG98" i="3" a="1"/>
  <c r="AG98" i="3"/>
  <c r="AG97" i="3" a="1"/>
  <c r="AG97" i="3"/>
  <c r="AI96" i="3" a="1"/>
  <c r="AI96" i="3"/>
  <c r="AI95" i="3" a="1"/>
  <c r="AI95" i="3"/>
  <c r="AS115" i="3" a="1"/>
  <c r="AS115" i="3"/>
  <c r="I115" i="3" a="1"/>
  <c r="I115" i="3"/>
  <c r="AJ111" i="3" a="1"/>
  <c r="AJ111" i="3"/>
  <c r="AJ110" i="3" a="1"/>
  <c r="AJ110" i="3"/>
  <c r="AJ109" i="3" a="1"/>
  <c r="AJ109" i="3"/>
  <c r="AJ108" i="3" a="1"/>
  <c r="AJ108" i="3"/>
  <c r="AJ107" i="3" a="1"/>
  <c r="AJ107" i="3"/>
  <c r="AJ106" i="3" a="1"/>
  <c r="AJ106" i="3"/>
  <c r="AJ105" i="3" a="1"/>
  <c r="AJ105" i="3"/>
  <c r="AJ104" i="3" a="1"/>
  <c r="AJ104" i="3"/>
  <c r="AF96" i="3" a="1"/>
  <c r="AF96" i="3"/>
  <c r="AF95" i="3" a="1"/>
  <c r="AF95" i="3"/>
  <c r="AF99" i="3" a="1"/>
  <c r="AF99" i="3"/>
  <c r="AF98" i="3" a="1"/>
  <c r="AF98" i="3"/>
  <c r="AF97" i="3" a="1"/>
  <c r="AF97" i="3"/>
  <c r="M99" i="3" a="1"/>
  <c r="M99" i="3"/>
  <c r="M98" i="3" a="1"/>
  <c r="M98" i="3"/>
  <c r="M97" i="3" a="1"/>
  <c r="M97" i="3"/>
  <c r="M111" i="3" a="1"/>
  <c r="M111" i="3"/>
  <c r="M110" i="3" a="1"/>
  <c r="M110" i="3"/>
  <c r="M109" i="3" a="1"/>
  <c r="M109" i="3"/>
  <c r="M108" i="3" a="1"/>
  <c r="M108" i="3"/>
  <c r="M107" i="3" a="1"/>
  <c r="M107" i="3"/>
  <c r="M106" i="3" a="1"/>
  <c r="M106" i="3"/>
  <c r="M105" i="3" a="1"/>
  <c r="M105" i="3"/>
  <c r="M104" i="3" a="1"/>
  <c r="M104" i="3"/>
  <c r="AK103" i="3" a="1"/>
  <c r="AK103" i="3"/>
  <c r="F111" i="3"/>
  <c r="Q111" i="3" s="1" a="1"/>
  <c r="F110" i="3"/>
  <c r="Q110" i="3" s="1" a="1"/>
  <c r="F109" i="3"/>
  <c r="Q109" i="3" s="1" a="1"/>
  <c r="F108" i="3"/>
  <c r="Q108" i="3" s="1" a="1"/>
  <c r="F107" i="3"/>
  <c r="Q107" i="3" s="1" a="1"/>
  <c r="F106" i="3"/>
  <c r="Q106" i="3" s="1" a="1"/>
  <c r="F105" i="3"/>
  <c r="Q105" i="3" s="1" a="1"/>
  <c r="F104" i="3"/>
  <c r="Q104" i="3" s="1" a="1"/>
  <c r="V111" i="3" a="1"/>
  <c r="Q104" i="3" l="1"/>
  <c r="Q105" i="3"/>
  <c r="Q106" i="3"/>
  <c r="Q107" i="3"/>
  <c r="Q108" i="3"/>
  <c r="Q109" i="3"/>
  <c r="Q110" i="3"/>
  <c r="Q111" i="3"/>
  <c r="V111" i="3"/>
  <c r="V110" i="3" a="1"/>
  <c r="V110" i="3"/>
  <c r="V109" i="3" a="1"/>
  <c r="V109" i="3"/>
  <c r="V108" i="3" a="1"/>
  <c r="V108" i="3"/>
  <c r="V107" i="3" a="1"/>
  <c r="V107" i="3"/>
  <c r="V106" i="3" a="1"/>
  <c r="V106" i="3"/>
  <c r="V105" i="3" a="1"/>
  <c r="V105" i="3"/>
  <c r="V104" i="3" a="1"/>
  <c r="V104" i="3"/>
  <c r="W111" i="3" a="1"/>
  <c r="W111" i="3"/>
  <c r="W110" i="3" a="1"/>
  <c r="W110" i="3"/>
  <c r="W109" i="3" a="1"/>
  <c r="W109" i="3"/>
  <c r="W108" i="3" a="1"/>
  <c r="W108" i="3"/>
  <c r="W107" i="3" a="1"/>
  <c r="W107" i="3"/>
  <c r="W106" i="3" a="1"/>
  <c r="W106" i="3"/>
  <c r="W105" i="3" a="1"/>
  <c r="W105" i="3"/>
  <c r="W104" i="3" a="1"/>
  <c r="W104" i="3"/>
  <c r="AG96" i="3" a="1"/>
  <c r="AG96" i="3"/>
  <c r="AG95" i="3" a="1"/>
  <c r="AG95" i="3"/>
  <c r="H99" i="3" a="1"/>
  <c r="H99" i="3"/>
  <c r="H98" i="3" a="1"/>
  <c r="H98" i="3"/>
  <c r="H97" i="3" a="1"/>
  <c r="H97" i="3"/>
  <c r="V96" i="3" a="1"/>
  <c r="V96" i="3"/>
  <c r="V95" i="3" a="1"/>
  <c r="V95" i="3"/>
  <c r="M96" i="3" a="1"/>
  <c r="M96" i="3"/>
  <c r="M95" i="3" a="1"/>
  <c r="M95" i="3"/>
  <c r="AS114" i="3" a="1"/>
  <c r="AS114" i="3"/>
  <c r="AS113" i="3" a="1"/>
  <c r="AS113" i="3"/>
  <c r="AS112" i="3" a="1"/>
  <c r="AS112" i="3"/>
  <c r="AM103" i="3" a="1"/>
  <c r="AM103" i="3"/>
  <c r="AU99" i="3" a="1"/>
  <c r="AU99" i="3"/>
  <c r="AU98" i="3" a="1"/>
  <c r="AU98" i="3"/>
  <c r="AU97" i="3" a="1"/>
  <c r="AU97" i="3"/>
  <c r="AJ99" i="3" a="1"/>
  <c r="AJ99" i="3"/>
  <c r="AJ98" i="3" a="1"/>
  <c r="AJ98" i="3"/>
  <c r="AJ97" i="3" a="1"/>
  <c r="AJ97" i="3"/>
  <c r="N99" i="3" a="1"/>
  <c r="N99" i="3"/>
  <c r="N98" i="3" a="1"/>
  <c r="N98" i="3"/>
  <c r="N97" i="3" a="1"/>
  <c r="N97" i="3"/>
  <c r="AQ114" i="3" a="1"/>
  <c r="AQ114" i="3"/>
  <c r="AQ113" i="3" a="1"/>
  <c r="AQ113" i="3"/>
  <c r="AQ112" i="3" a="1"/>
  <c r="AQ112" i="3"/>
  <c r="AU111" i="3" a="1"/>
  <c r="AU111" i="3"/>
  <c r="AU110" i="3" a="1"/>
  <c r="AU110" i="3"/>
  <c r="AU109" i="3" a="1"/>
  <c r="AU109" i="3"/>
  <c r="AU108" i="3" a="1"/>
  <c r="AU108" i="3"/>
  <c r="AU107" i="3" a="1"/>
  <c r="AU107" i="3"/>
  <c r="AU106" i="3" a="1"/>
  <c r="AU106" i="3"/>
  <c r="AU105" i="3" a="1"/>
  <c r="AU105" i="3"/>
  <c r="AU104" i="3" a="1"/>
  <c r="AU104" i="3"/>
  <c r="K103" i="3"/>
  <c r="N103" i="3" a="1"/>
  <c r="N103" i="3"/>
  <c r="AD103" i="3" a="1"/>
  <c r="AD103" i="3"/>
  <c r="AE99" i="3" a="1"/>
  <c r="AE99" i="3"/>
  <c r="AE98" i="3" a="1"/>
  <c r="AE98" i="3"/>
  <c r="AE97" i="3" a="1"/>
  <c r="AE97" i="3"/>
  <c r="F115" i="3"/>
  <c r="Q115" i="3" s="1" a="1"/>
  <c r="J114" i="3" a="1"/>
  <c r="Q115" i="3" l="1"/>
  <c r="J114" i="3"/>
  <c r="J113" i="3" a="1"/>
  <c r="J113" i="3"/>
  <c r="J112" i="3" a="1"/>
  <c r="J112" i="3"/>
  <c r="H103" i="3" a="1"/>
  <c r="H103" i="3"/>
  <c r="I114" i="3" a="1"/>
  <c r="I114" i="3"/>
  <c r="I113" i="3" a="1"/>
  <c r="I113" i="3"/>
  <c r="I112" i="3" a="1"/>
  <c r="I112" i="3"/>
  <c r="F114" i="3"/>
  <c r="F113" i="3"/>
  <c r="F112" i="3"/>
  <c r="AU114" i="3" a="1"/>
  <c r="AU114" i="3"/>
  <c r="AU113" i="3" a="1"/>
  <c r="AU113" i="3"/>
  <c r="AU112" i="3" a="1"/>
  <c r="AU112" i="3"/>
  <c r="Q114" i="3" a="1"/>
  <c r="Q114" i="3"/>
  <c r="Q113" i="3" a="1"/>
  <c r="Q113" i="3"/>
  <c r="Q112" i="3" a="1"/>
  <c r="Q112" i="3"/>
  <c r="H96" i="3" a="1"/>
  <c r="H96" i="3"/>
  <c r="H95" i="3" a="1"/>
  <c r="H95" i="3"/>
  <c r="AO115" i="3" a="1"/>
  <c r="AO115" i="3"/>
  <c r="L115" i="3"/>
  <c r="AT103" i="3" a="1"/>
  <c r="AT103" i="3"/>
  <c r="AG114" i="3" a="1"/>
  <c r="AG114" i="3"/>
  <c r="AG113" i="3" a="1"/>
  <c r="AG113" i="3"/>
  <c r="AG112" i="3" a="1"/>
  <c r="AG112" i="3"/>
  <c r="L103" i="3"/>
  <c r="AO103" i="3" a="1"/>
  <c r="AO103" i="3"/>
  <c r="AM111" i="3" a="1"/>
  <c r="AM111" i="3"/>
  <c r="AM110" i="3" a="1"/>
  <c r="AM110" i="3"/>
  <c r="AM109" i="3" a="1"/>
  <c r="AM109" i="3"/>
  <c r="AM108" i="3" a="1"/>
  <c r="AM108" i="3"/>
  <c r="AM107" i="3" a="1"/>
  <c r="AM107" i="3"/>
  <c r="AM106" i="3" a="1"/>
  <c r="AM106" i="3"/>
  <c r="AM105" i="3" a="1"/>
  <c r="AM105" i="3"/>
  <c r="AM104" i="3" a="1"/>
  <c r="AM104" i="3"/>
  <c r="AL114" i="3" a="1"/>
  <c r="AL114" i="3"/>
  <c r="AL113" i="3" a="1"/>
  <c r="AL113" i="3"/>
  <c r="AL112" i="3" a="1"/>
  <c r="AL112" i="3"/>
  <c r="AQ115" i="3" a="1"/>
  <c r="AQ115" i="3"/>
  <c r="E99" i="3"/>
  <c r="E98" i="3"/>
  <c r="E97" i="3"/>
  <c r="AP111" i="3" a="1"/>
  <c r="AP111" i="3"/>
  <c r="AP110" i="3" a="1"/>
  <c r="AP110" i="3"/>
  <c r="AP109" i="3" a="1"/>
  <c r="AP109" i="3"/>
  <c r="AP108" i="3" a="1"/>
  <c r="AP108" i="3"/>
  <c r="AP107" i="3" a="1"/>
  <c r="AP107" i="3"/>
  <c r="AP106" i="3" a="1"/>
  <c r="AP106" i="3"/>
  <c r="AP105" i="3" a="1"/>
  <c r="AP105" i="3"/>
  <c r="AP104" i="3" a="1"/>
  <c r="AP104" i="3"/>
  <c r="AL103" i="3" a="1"/>
  <c r="AL103" i="3"/>
  <c r="AS111" i="3" a="1"/>
  <c r="AS111" i="3"/>
  <c r="AS110" i="3" a="1"/>
  <c r="AS110" i="3"/>
  <c r="AS109" i="3" a="1"/>
  <c r="AS109" i="3"/>
  <c r="AS108" i="3" a="1"/>
  <c r="AS108" i="3"/>
  <c r="AS107" i="3" a="1"/>
  <c r="AS107" i="3"/>
  <c r="AS106" i="3" a="1"/>
  <c r="AS106" i="3"/>
  <c r="AS105" i="3" a="1"/>
  <c r="AS105" i="3"/>
  <c r="AS104" i="3" a="1"/>
  <c r="AS104" i="3"/>
  <c r="AI103" i="3" a="1"/>
  <c r="AI103" i="3"/>
  <c r="K96" i="3"/>
  <c r="K95" i="3"/>
  <c r="AK96" i="3" a="1"/>
  <c r="AK96" i="3"/>
  <c r="AK95" i="3" a="1"/>
  <c r="AK95" i="3"/>
  <c r="AT111" i="3" a="1"/>
  <c r="AT111" i="3"/>
  <c r="AT110" i="3" a="1"/>
  <c r="AT110" i="3"/>
  <c r="AT109" i="3" a="1"/>
  <c r="AT109" i="3"/>
  <c r="AT108" i="3" a="1"/>
  <c r="AT108" i="3"/>
  <c r="AT107" i="3" a="1"/>
  <c r="AT107" i="3"/>
  <c r="AT106" i="3" a="1"/>
  <c r="AT106" i="3"/>
  <c r="AT105" i="3" a="1"/>
  <c r="AT105" i="3"/>
  <c r="AT104" i="3" a="1"/>
  <c r="AT104" i="3"/>
  <c r="AD99" i="3" a="1"/>
  <c r="AD99" i="3"/>
  <c r="AD98" i="3" a="1"/>
  <c r="AD98" i="3"/>
  <c r="AD97" i="3" a="1"/>
  <c r="AD97" i="3"/>
  <c r="AS99" i="3" a="1"/>
  <c r="AS99" i="3"/>
  <c r="AS98" i="3" a="1"/>
  <c r="AS98" i="3"/>
  <c r="AS97" i="3" a="1"/>
  <c r="AS97" i="3"/>
  <c r="J111" i="3" a="1"/>
  <c r="J111" i="3"/>
  <c r="J110" i="3" a="1"/>
  <c r="J110" i="3"/>
  <c r="J109" i="3" a="1"/>
  <c r="J109" i="3"/>
  <c r="J108" i="3" a="1"/>
  <c r="J108" i="3"/>
  <c r="J107" i="3" a="1"/>
  <c r="J107" i="3"/>
  <c r="J106" i="3" a="1"/>
  <c r="J106" i="3"/>
  <c r="J105" i="3" a="1"/>
  <c r="J105" i="3"/>
  <c r="J104" i="3" a="1"/>
  <c r="J104" i="3"/>
  <c r="F96" i="3"/>
  <c r="Q96" i="3" s="1" a="1"/>
  <c r="F95" i="3"/>
  <c r="Q95" i="3" s="1" a="1"/>
  <c r="AF103" i="3" a="1"/>
  <c r="Q95" i="3" l="1"/>
  <c r="Q96" i="3"/>
  <c r="AF103" i="3"/>
  <c r="AK115" i="3" a="1"/>
  <c r="AK115" i="3"/>
  <c r="AM99" i="3" a="1"/>
  <c r="AM99" i="3"/>
  <c r="AM98" i="3" a="1"/>
  <c r="AM98" i="3"/>
  <c r="AM97" i="3" a="1"/>
  <c r="AM97" i="3"/>
  <c r="E96" i="3"/>
  <c r="E95" i="3"/>
  <c r="AJ115" i="3" a="1"/>
  <c r="AJ115" i="3"/>
  <c r="AC103" i="3" a="1"/>
  <c r="AC103" i="3"/>
  <c r="BC115" i="3" a="1"/>
  <c r="BC115" i="3"/>
  <c r="V115" i="3" a="1"/>
  <c r="V115" i="3"/>
  <c r="AU103" i="3" a="1"/>
  <c r="AU103" i="3"/>
  <c r="AG115" i="3" a="1"/>
  <c r="AG115" i="3"/>
  <c r="BC103" i="3" a="1"/>
  <c r="BC103" i="3"/>
  <c r="M115" i="3" a="1"/>
  <c r="M115" i="3"/>
  <c r="AR111" i="3" a="1"/>
  <c r="AR111" i="3"/>
  <c r="AR110" i="3" a="1"/>
  <c r="AR110" i="3"/>
  <c r="AR109" i="3" a="1"/>
  <c r="AR109" i="3"/>
  <c r="AR108" i="3" a="1"/>
  <c r="AR108" i="3"/>
  <c r="AR107" i="3" a="1"/>
  <c r="AR107" i="3"/>
  <c r="AR106" i="3" a="1"/>
  <c r="AR106" i="3"/>
  <c r="AR105" i="3" a="1"/>
  <c r="AR105" i="3"/>
  <c r="AR104" i="3" a="1"/>
  <c r="AR104" i="3"/>
  <c r="AV96" i="3" a="1"/>
  <c r="AV96" i="3"/>
  <c r="AV95" i="3" a="1"/>
  <c r="AV95" i="3"/>
  <c r="AJ96" i="3" a="1"/>
  <c r="AJ96" i="3"/>
  <c r="AJ95" i="3" a="1"/>
  <c r="AJ95" i="3"/>
  <c r="AI111" i="3" a="1"/>
  <c r="AI111" i="3"/>
  <c r="AI110" i="3" a="1"/>
  <c r="AI110" i="3"/>
  <c r="AI109" i="3" a="1"/>
  <c r="AI109" i="3"/>
  <c r="AI108" i="3" a="1"/>
  <c r="AI108" i="3"/>
  <c r="AI107" i="3" a="1"/>
  <c r="AI107" i="3"/>
  <c r="AI106" i="3" a="1"/>
  <c r="AI106" i="3"/>
  <c r="AI105" i="3" a="1"/>
  <c r="AI105" i="3"/>
  <c r="AI104" i="3" a="1"/>
  <c r="AI104" i="3"/>
  <c r="AF115" i="3" a="1"/>
  <c r="AF115" i="3"/>
  <c r="AD96" i="3" a="1"/>
  <c r="AD96" i="3"/>
  <c r="AD95" i="3" a="1"/>
  <c r="AD95" i="3"/>
  <c r="E103" i="3"/>
  <c r="AL115" i="3" a="1"/>
  <c r="AL115" i="3"/>
  <c r="AV114" i="3" a="1"/>
  <c r="AV114" i="3"/>
  <c r="AV113" i="3" a="1"/>
  <c r="AV113" i="3"/>
  <c r="AV112" i="3" a="1"/>
  <c r="AV112" i="3"/>
  <c r="AE103" i="3" a="1"/>
  <c r="AE103" i="3"/>
  <c r="J99" i="3" a="1"/>
  <c r="J99" i="3"/>
  <c r="J98" i="3" a="1"/>
  <c r="J98" i="3"/>
  <c r="J97" i="3" a="1"/>
  <c r="J97" i="3"/>
  <c r="AT96" i="3" a="1"/>
  <c r="AT96" i="3"/>
  <c r="AT95" i="3" a="1"/>
  <c r="AT95" i="3"/>
  <c r="AQ96" i="3" a="1"/>
  <c r="AQ96" i="3"/>
  <c r="AQ95" i="3" a="1"/>
  <c r="AQ95" i="3"/>
  <c r="N96" i="3" a="1"/>
  <c r="N96" i="3"/>
  <c r="N95" i="3" a="1"/>
  <c r="N95" i="3"/>
  <c r="AC96" i="3" a="1"/>
  <c r="AC96" i="3"/>
  <c r="AC95" i="3" a="1"/>
  <c r="AC95" i="3"/>
  <c r="L99" i="3"/>
  <c r="L98" i="3"/>
  <c r="L97" i="3"/>
  <c r="AC115" i="3" a="1"/>
  <c r="AC115" i="3"/>
  <c r="AR114" i="3" a="1"/>
  <c r="AR114" i="3"/>
  <c r="AR113" i="3" a="1"/>
  <c r="AR113" i="3"/>
  <c r="AR112" i="3" a="1"/>
  <c r="AR112" i="3"/>
  <c r="F99" i="3"/>
  <c r="Q99" i="3" s="1" a="1"/>
  <c r="F98" i="3"/>
  <c r="Q98" i="3" s="1" a="1"/>
  <c r="F97" i="3"/>
  <c r="Q97" i="3" s="1" a="1"/>
  <c r="AV99" i="3" a="1"/>
  <c r="Q97" i="3" l="1"/>
  <c r="Q98" i="3"/>
  <c r="Q99" i="3"/>
  <c r="AV99" i="3"/>
  <c r="AV98" i="3" a="1"/>
  <c r="AV98" i="3"/>
  <c r="AV97" i="3" a="1"/>
  <c r="AV97" i="3"/>
  <c r="W115" i="3" a="1"/>
  <c r="W115" i="3"/>
  <c r="AJ114" i="3" a="1"/>
  <c r="AJ114" i="3"/>
  <c r="AJ113" i="3" a="1"/>
  <c r="AJ113" i="3"/>
  <c r="AJ112" i="3" a="1"/>
  <c r="AJ112" i="3"/>
  <c r="J115" i="3" a="1"/>
  <c r="J115" i="3"/>
  <c r="F103" i="3"/>
  <c r="Q103" i="3" s="1" a="1"/>
  <c r="AN103" i="3" a="1"/>
  <c r="Q103" i="3" l="1"/>
  <c r="AN103" i="3"/>
  <c r="AM114" i="3" a="1"/>
  <c r="AM114" i="3"/>
  <c r="AM113" i="3" a="1"/>
  <c r="AM113" i="3"/>
  <c r="AM112" i="3" a="1"/>
  <c r="AM112" i="3"/>
  <c r="AH115" i="3" a="1"/>
  <c r="AH115" i="3"/>
  <c r="AC111" i="3" a="1"/>
  <c r="AC111" i="3"/>
  <c r="AC110" i="3" a="1"/>
  <c r="AC110" i="3"/>
  <c r="AC109" i="3" a="1"/>
  <c r="AC109" i="3"/>
  <c r="AC108" i="3" a="1"/>
  <c r="AC108" i="3"/>
  <c r="AC107" i="3" a="1"/>
  <c r="AC107" i="3"/>
  <c r="AC106" i="3" a="1"/>
  <c r="AC106" i="3"/>
  <c r="AC105" i="3" a="1"/>
  <c r="AC105" i="3"/>
  <c r="AC104" i="3" a="1"/>
  <c r="AC104" i="3"/>
  <c r="AT115" i="3" a="1"/>
  <c r="AT115" i="3"/>
  <c r="AN99" i="3" a="1"/>
  <c r="AN99" i="3"/>
  <c r="AN98" i="3" a="1"/>
  <c r="AN98" i="3"/>
  <c r="AN97" i="3" a="1"/>
  <c r="AN97" i="3"/>
  <c r="I111" i="3" a="1"/>
  <c r="I111" i="3"/>
  <c r="I110" i="3" a="1"/>
  <c r="I110" i="3"/>
  <c r="I109" i="3" a="1"/>
  <c r="I109" i="3"/>
  <c r="I108" i="3" a="1"/>
  <c r="I108" i="3"/>
  <c r="I107" i="3" a="1"/>
  <c r="I107" i="3"/>
  <c r="I106" i="3" a="1"/>
  <c r="I106" i="3"/>
  <c r="I105" i="3" a="1"/>
  <c r="I105" i="3"/>
  <c r="I104" i="3" a="1"/>
  <c r="I104" i="3"/>
  <c r="AI114" i="3" a="1"/>
  <c r="AI114" i="3"/>
  <c r="AI113" i="3" a="1"/>
  <c r="AI113" i="3"/>
  <c r="AI112" i="3" a="1"/>
  <c r="AI112" i="3"/>
  <c r="AT99" i="3" a="1"/>
  <c r="AT99" i="3"/>
  <c r="AT98" i="3" a="1"/>
  <c r="AT98" i="3"/>
  <c r="AT97" i="3" a="1"/>
  <c r="AT97" i="3"/>
  <c r="V99" i="3" a="1"/>
  <c r="V99" i="3"/>
  <c r="V98" i="3" a="1"/>
  <c r="V98" i="3"/>
  <c r="V97" i="3" a="1"/>
  <c r="V97" i="3"/>
  <c r="AV103" i="3" a="1"/>
  <c r="AV103" i="3"/>
  <c r="AG111" i="3" a="1"/>
  <c r="AG111" i="3"/>
  <c r="AG110" i="3" a="1"/>
  <c r="AG110" i="3"/>
  <c r="AG109" i="3" a="1"/>
  <c r="AG109" i="3"/>
  <c r="AG108" i="3" a="1"/>
  <c r="AG108" i="3"/>
  <c r="AG107" i="3" a="1"/>
  <c r="AG107" i="3"/>
  <c r="AG106" i="3" a="1"/>
  <c r="AG106" i="3"/>
  <c r="AG105" i="3" a="1"/>
  <c r="AG105" i="3"/>
  <c r="AG104" i="3" a="1"/>
  <c r="AG104" i="3"/>
  <c r="AF111" i="3" a="1"/>
  <c r="AF111" i="3"/>
  <c r="AF110" i="3" a="1"/>
  <c r="AF110" i="3"/>
  <c r="AF109" i="3" a="1"/>
  <c r="AF109" i="3"/>
  <c r="AF108" i="3" a="1"/>
  <c r="AF108" i="3"/>
  <c r="AF107" i="3" a="1"/>
  <c r="AF107" i="3"/>
  <c r="AF106" i="3" a="1"/>
  <c r="AF106" i="3"/>
  <c r="AF105" i="3" a="1"/>
  <c r="AF105" i="3"/>
  <c r="AF104" i="3" a="1"/>
  <c r="AF104" i="3"/>
  <c r="K99" i="3"/>
  <c r="K98" i="3"/>
  <c r="K97" i="3"/>
  <c r="AP115" i="3" a="1"/>
  <c r="AP115" i="3"/>
  <c r="W114" i="3" a="1"/>
  <c r="W114" i="3"/>
  <c r="W113" i="3" a="1"/>
  <c r="W113" i="3"/>
  <c r="W112" i="3" a="1"/>
  <c r="W112" i="3"/>
  <c r="I103" i="3" a="1"/>
  <c r="I103" i="3"/>
  <c r="K111" i="3"/>
  <c r="K110" i="3"/>
  <c r="K109" i="3"/>
  <c r="K108" i="3"/>
  <c r="K107" i="3"/>
  <c r="K106" i="3"/>
  <c r="K105" i="3"/>
  <c r="K104" i="3"/>
  <c r="AL111" i="3" a="1"/>
  <c r="AL111" i="3"/>
  <c r="AL110" i="3" a="1"/>
  <c r="AL110" i="3"/>
  <c r="AL109" i="3" a="1"/>
  <c r="AL109" i="3"/>
  <c r="AL108" i="3" a="1"/>
  <c r="AL108" i="3"/>
  <c r="AL107" i="3" a="1"/>
  <c r="AL107" i="3"/>
  <c r="AL106" i="3" a="1"/>
  <c r="AL106" i="3"/>
  <c r="AL105" i="3" a="1"/>
  <c r="AL105" i="3"/>
  <c r="AL104" i="3" a="1"/>
  <c r="AL104" i="3"/>
  <c r="AR115" i="3" a="1"/>
  <c r="AR115" i="3"/>
  <c r="W63" i="3" a="1"/>
  <c r="W63" i="3"/>
  <c r="W62" i="3" a="1"/>
  <c r="W62" i="3"/>
  <c r="W61" i="3" a="1"/>
  <c r="W61" i="3"/>
  <c r="W60" i="3" a="1"/>
  <c r="W60" i="3"/>
  <c r="W59" i="3" a="1"/>
  <c r="W59" i="3"/>
  <c r="W58" i="3" a="1"/>
  <c r="W58" i="3"/>
  <c r="W57" i="3" a="1"/>
  <c r="W57" i="3"/>
  <c r="W56" i="3" a="1"/>
  <c r="W56" i="3"/>
  <c r="W55" i="3" a="1"/>
  <c r="W55" i="3"/>
  <c r="W54" i="3" a="1"/>
  <c r="W54" i="3"/>
  <c r="W53" i="3" a="1"/>
  <c r="W53" i="3"/>
  <c r="W52" i="3" a="1"/>
  <c r="W52" i="3"/>
  <c r="W51" i="3" a="1"/>
  <c r="W51" i="3"/>
  <c r="V94" i="3" a="1"/>
  <c r="V94" i="3"/>
  <c r="V93" i="3" a="1"/>
  <c r="V93" i="3"/>
  <c r="V92" i="3" a="1"/>
  <c r="V92" i="3"/>
  <c r="V91" i="3" a="1"/>
  <c r="V91" i="3"/>
  <c r="V90" i="3" a="1"/>
  <c r="V90" i="3"/>
  <c r="V89" i="3" a="1"/>
  <c r="V89" i="3"/>
  <c r="V88" i="3" a="1"/>
  <c r="V88" i="3"/>
  <c r="V87" i="3" a="1"/>
  <c r="V87" i="3"/>
  <c r="V86" i="3" a="1"/>
  <c r="V86" i="3"/>
  <c r="V85" i="3" a="1"/>
  <c r="V85" i="3"/>
  <c r="V84" i="3" a="1"/>
  <c r="V84" i="3"/>
  <c r="V83" i="3" a="1"/>
  <c r="V83" i="3"/>
  <c r="V82" i="3" a="1"/>
  <c r="V82" i="3"/>
  <c r="V81" i="3" a="1"/>
  <c r="V81" i="3"/>
  <c r="V80" i="3" a="1"/>
  <c r="V80" i="3"/>
  <c r="V79" i="3" a="1"/>
  <c r="V79" i="3"/>
  <c r="W72" i="3" a="1"/>
  <c r="W72" i="3"/>
  <c r="W71" i="3" a="1"/>
  <c r="W71" i="3"/>
  <c r="W70" i="3" a="1"/>
  <c r="W70" i="3"/>
  <c r="W69" i="3" a="1"/>
  <c r="W69" i="3"/>
  <c r="W68" i="3" a="1"/>
  <c r="W68" i="3"/>
  <c r="W67" i="3" a="1"/>
  <c r="W67" i="3"/>
  <c r="W66" i="3" a="1"/>
  <c r="W66" i="3"/>
  <c r="W65" i="3" a="1"/>
  <c r="W65" i="3"/>
  <c r="V72" i="3" a="1"/>
  <c r="V72" i="3"/>
  <c r="V71" i="3" a="1"/>
  <c r="V71" i="3"/>
  <c r="V70" i="3" a="1"/>
  <c r="V70" i="3"/>
  <c r="V69" i="3" a="1"/>
  <c r="V69" i="3"/>
  <c r="V68" i="3" a="1"/>
  <c r="V68" i="3"/>
  <c r="V67" i="3" a="1"/>
  <c r="V67" i="3"/>
  <c r="V66" i="3" a="1"/>
  <c r="V66" i="3"/>
  <c r="V65" i="3" a="1"/>
  <c r="V65" i="3"/>
  <c r="V50" i="3" a="1"/>
  <c r="V50" i="3"/>
  <c r="V49" i="3" a="1"/>
  <c r="V49" i="3"/>
  <c r="V48" i="3" a="1"/>
  <c r="V48" i="3"/>
  <c r="V47" i="3" a="1"/>
  <c r="V47" i="3"/>
  <c r="V46" i="3" a="1"/>
  <c r="V46" i="3"/>
  <c r="V45" i="3" a="1"/>
  <c r="V45" i="3"/>
  <c r="V44" i="3" a="1"/>
  <c r="V44" i="3"/>
  <c r="V43" i="3" a="1"/>
  <c r="V43" i="3"/>
  <c r="V42" i="3" a="1"/>
  <c r="V42" i="3"/>
  <c r="V41" i="3" a="1"/>
  <c r="V41" i="3"/>
  <c r="V40" i="3" a="1"/>
  <c r="V40" i="3"/>
  <c r="V39" i="3" a="1"/>
  <c r="V39" i="3"/>
  <c r="V38" i="3" a="1"/>
  <c r="V38" i="3"/>
  <c r="V37" i="3" a="1"/>
  <c r="V37" i="3"/>
  <c r="V36" i="3" a="1"/>
  <c r="V36" i="3"/>
  <c r="V35" i="3" a="1"/>
  <c r="V35" i="3"/>
  <c r="W102" i="3" a="1"/>
  <c r="W102" i="3"/>
  <c r="W101" i="3" a="1"/>
  <c r="W101" i="3"/>
  <c r="W100" i="3" a="1"/>
  <c r="W100" i="3"/>
  <c r="V141" i="3" a="1"/>
  <c r="V141" i="3"/>
  <c r="V140" i="3" a="1"/>
  <c r="V140" i="3"/>
  <c r="V139" i="3" a="1"/>
  <c r="V139" i="3"/>
  <c r="V138" i="3" a="1"/>
  <c r="V138" i="3"/>
  <c r="V137" i="3" a="1"/>
  <c r="V137" i="3"/>
  <c r="V136" i="3" a="1"/>
  <c r="V136" i="3"/>
  <c r="V135" i="3" a="1"/>
  <c r="V135" i="3"/>
  <c r="V134" i="3" a="1"/>
  <c r="V134" i="3"/>
  <c r="V133" i="3" a="1"/>
  <c r="V133" i="3"/>
  <c r="V132" i="3" a="1"/>
  <c r="V132" i="3"/>
  <c r="V131" i="3" a="1"/>
  <c r="V131" i="3"/>
  <c r="V130" i="3" a="1"/>
  <c r="V130" i="3"/>
  <c r="W50" i="3" a="1"/>
  <c r="W50" i="3"/>
  <c r="W49" i="3" a="1"/>
  <c r="W49" i="3"/>
  <c r="W48" i="3" a="1"/>
  <c r="W48" i="3"/>
  <c r="W47" i="3" a="1"/>
  <c r="W47" i="3"/>
  <c r="W46" i="3" a="1"/>
  <c r="W46" i="3"/>
  <c r="W45" i="3" a="1"/>
  <c r="W45" i="3"/>
  <c r="W44" i="3" a="1"/>
  <c r="W44" i="3"/>
  <c r="W43" i="3" a="1"/>
  <c r="W43" i="3"/>
  <c r="W42" i="3" a="1"/>
  <c r="W42" i="3"/>
  <c r="W41" i="3" a="1"/>
  <c r="W41" i="3"/>
  <c r="W40" i="3" a="1"/>
  <c r="W40" i="3"/>
  <c r="W39" i="3" a="1"/>
  <c r="W39" i="3"/>
  <c r="W38" i="3" a="1"/>
  <c r="W38" i="3"/>
  <c r="W37" i="3" a="1"/>
  <c r="W37" i="3"/>
  <c r="W36" i="3" a="1"/>
  <c r="W36" i="3"/>
  <c r="W35" i="3" a="1"/>
  <c r="W35" i="3"/>
  <c r="W94" i="3" a="1"/>
  <c r="W94" i="3"/>
  <c r="W93" i="3" a="1"/>
  <c r="W93" i="3"/>
  <c r="W92" i="3" a="1"/>
  <c r="W92" i="3"/>
  <c r="W91" i="3" a="1"/>
  <c r="W91" i="3"/>
  <c r="W90" i="3" a="1"/>
  <c r="W90" i="3"/>
  <c r="W89" i="3" a="1"/>
  <c r="W89" i="3"/>
  <c r="W88" i="3" a="1"/>
  <c r="W88" i="3"/>
  <c r="W87" i="3" a="1"/>
  <c r="W87" i="3"/>
  <c r="W86" i="3" a="1"/>
  <c r="W86" i="3"/>
  <c r="W85" i="3" a="1"/>
  <c r="W85" i="3"/>
  <c r="W84" i="3" a="1"/>
  <c r="W84" i="3"/>
  <c r="W83" i="3" a="1"/>
  <c r="W83" i="3"/>
  <c r="W82" i="3" a="1"/>
  <c r="W82" i="3"/>
  <c r="W81" i="3" a="1"/>
  <c r="W81" i="3"/>
  <c r="W80" i="3" a="1"/>
  <c r="W80" i="3"/>
  <c r="W79" i="3" a="1"/>
  <c r="W79" i="3"/>
  <c r="V34" i="3" a="1"/>
  <c r="V34" i="3"/>
  <c r="V33" i="3" a="1"/>
  <c r="V33" i="3"/>
  <c r="V32" i="3" a="1"/>
  <c r="V32" i="3"/>
  <c r="V31" i="3" a="1"/>
  <c r="V31" i="3"/>
  <c r="V30" i="3" a="1"/>
  <c r="V30" i="3"/>
  <c r="V29" i="3" a="1"/>
  <c r="V29" i="3"/>
  <c r="V28" i="3" a="1"/>
  <c r="V28" i="3"/>
  <c r="V27" i="3" a="1"/>
  <c r="V27" i="3"/>
  <c r="V26" i="3" a="1"/>
  <c r="V26" i="3"/>
  <c r="V25" i="3" a="1"/>
  <c r="V25" i="3"/>
  <c r="V24" i="3" a="1"/>
  <c r="V24" i="3"/>
  <c r="V23" i="3" a="1"/>
  <c r="V23" i="3"/>
  <c r="V22" i="3" a="1"/>
  <c r="V22" i="3"/>
  <c r="V21" i="3" a="1"/>
  <c r="V21" i="3"/>
  <c r="V20" i="3" a="1"/>
  <c r="V20" i="3"/>
  <c r="V19" i="3" a="1"/>
  <c r="V19" i="3"/>
  <c r="V18" i="3" a="1"/>
  <c r="V18" i="3"/>
  <c r="V17" i="3" a="1"/>
  <c r="V17" i="3"/>
  <c r="V64" i="3" a="1"/>
  <c r="V64" i="3"/>
  <c r="W64" i="3" a="1"/>
  <c r="W64" i="3"/>
  <c r="W78" i="3" a="1"/>
  <c r="W78" i="3"/>
  <c r="W77" i="3" a="1"/>
  <c r="W77" i="3"/>
  <c r="W76" i="3" a="1"/>
  <c r="W76" i="3"/>
  <c r="W75" i="3" a="1"/>
  <c r="W75" i="3"/>
  <c r="W74" i="3" a="1"/>
  <c r="W74" i="3"/>
  <c r="W73" i="3" a="1"/>
  <c r="W73" i="3"/>
  <c r="W141" i="3" a="1"/>
  <c r="W141" i="3"/>
  <c r="W140" i="3" a="1"/>
  <c r="W140" i="3"/>
  <c r="W139" i="3" a="1"/>
  <c r="W139" i="3"/>
  <c r="W138" i="3" a="1"/>
  <c r="W138" i="3"/>
  <c r="W137" i="3" a="1"/>
  <c r="W137" i="3"/>
  <c r="W136" i="3" a="1"/>
  <c r="W136" i="3"/>
  <c r="W135" i="3" a="1"/>
  <c r="W135" i="3"/>
  <c r="W134" i="3" a="1"/>
  <c r="W134" i="3"/>
  <c r="W133" i="3" a="1"/>
  <c r="W133" i="3"/>
  <c r="W132" i="3" a="1"/>
  <c r="W132" i="3"/>
  <c r="W131" i="3" a="1"/>
  <c r="W131" i="3"/>
  <c r="W130" i="3" a="1"/>
  <c r="W130" i="3"/>
  <c r="W34" i="3" a="1"/>
  <c r="W34" i="3"/>
  <c r="W33" i="3" a="1"/>
  <c r="W33" i="3"/>
  <c r="W32" i="3" a="1"/>
  <c r="W32" i="3"/>
  <c r="W31" i="3" a="1"/>
  <c r="W31" i="3"/>
  <c r="W30" i="3" a="1"/>
  <c r="W30" i="3"/>
  <c r="W29" i="3" a="1"/>
  <c r="W29" i="3"/>
  <c r="W28" i="3" a="1"/>
  <c r="W28" i="3"/>
  <c r="W27" i="3" a="1"/>
  <c r="W27" i="3"/>
  <c r="W26" i="3" a="1"/>
  <c r="W26" i="3"/>
  <c r="W25" i="3" a="1"/>
  <c r="W25" i="3"/>
  <c r="W24" i="3" a="1"/>
  <c r="W24" i="3"/>
  <c r="W23" i="3" a="1"/>
  <c r="W23" i="3"/>
  <c r="W22" i="3" a="1"/>
  <c r="W22" i="3"/>
  <c r="W21" i="3" a="1"/>
  <c r="W21" i="3"/>
  <c r="W20" i="3" a="1"/>
  <c r="W20" i="3"/>
  <c r="W19" i="3" a="1"/>
  <c r="W19" i="3"/>
  <c r="W18" i="3" a="1"/>
  <c r="W18" i="3"/>
  <c r="W17" i="3" a="1"/>
  <c r="W17" i="3"/>
  <c r="V102" i="3" a="1"/>
  <c r="V102" i="3"/>
  <c r="V101" i="3" a="1"/>
  <c r="V101" i="3"/>
  <c r="V100" i="3" a="1"/>
  <c r="V100" i="3"/>
  <c r="V78" i="3" a="1"/>
  <c r="V78" i="3"/>
  <c r="V77" i="3" a="1"/>
  <c r="V77" i="3"/>
  <c r="V76" i="3" a="1"/>
  <c r="V76" i="3"/>
  <c r="V75" i="3" a="1"/>
  <c r="V75" i="3"/>
  <c r="V74" i="3" a="1"/>
  <c r="V74" i="3"/>
  <c r="V73" i="3" a="1"/>
  <c r="V73" i="3"/>
  <c r="V63" i="3" a="1"/>
  <c r="V63" i="3"/>
  <c r="V62" i="3" a="1"/>
  <c r="V62" i="3"/>
  <c r="V61" i="3" a="1"/>
  <c r="V61" i="3"/>
  <c r="V60" i="3" a="1"/>
  <c r="V60" i="3"/>
  <c r="V59" i="3" a="1"/>
  <c r="V59" i="3"/>
  <c r="V58" i="3" a="1"/>
  <c r="V58" i="3"/>
  <c r="V57" i="3" a="1"/>
  <c r="V57" i="3"/>
  <c r="V56" i="3" a="1"/>
  <c r="V56" i="3"/>
  <c r="V55" i="3" a="1"/>
  <c r="V55" i="3"/>
  <c r="V54" i="3" a="1"/>
  <c r="V54" i="3"/>
  <c r="V53" i="3" a="1"/>
  <c r="V53" i="3"/>
  <c r="V52" i="3" a="1"/>
  <c r="V52" i="3"/>
  <c r="V51" i="3" a="1"/>
  <c r="V51" i="3"/>
  <c r="BC116" i="3"/>
  <c r="V129" i="3" a="1"/>
  <c r="V129" i="3"/>
  <c r="V128" i="3" a="1"/>
  <c r="V128" i="3"/>
  <c r="V127" i="3" a="1"/>
  <c r="V127" i="3"/>
  <c r="V126" i="3" a="1"/>
  <c r="V126" i="3"/>
  <c r="V125" i="3" a="1"/>
  <c r="V125" i="3"/>
  <c r="V124" i="3" a="1"/>
  <c r="V124" i="3"/>
  <c r="V123" i="3" a="1"/>
  <c r="V123" i="3"/>
  <c r="V122" i="3" a="1"/>
  <c r="V122" i="3"/>
  <c r="V121" i="3" a="1"/>
  <c r="V121" i="3"/>
  <c r="V120" i="3" a="1"/>
  <c r="V120" i="3"/>
  <c r="W119" i="3" a="1"/>
  <c r="W119" i="3"/>
  <c r="W118" i="3" a="1"/>
  <c r="W118" i="3"/>
  <c r="W117" i="3" a="1"/>
  <c r="W117" i="3"/>
  <c r="W116" i="3" a="1"/>
  <c r="W116" i="3"/>
  <c r="V119" i="3" a="1"/>
  <c r="V119" i="3"/>
  <c r="V118" i="3" a="1"/>
  <c r="V118" i="3"/>
  <c r="V117" i="3" a="1"/>
  <c r="V117" i="3"/>
  <c r="V116" i="3" a="1"/>
  <c r="V116" i="3"/>
  <c r="BC124" i="3"/>
  <c r="W129" i="3" a="1"/>
  <c r="W129" i="3"/>
  <c r="W128" i="3" a="1"/>
  <c r="W128" i="3"/>
  <c r="W127" i="3" a="1"/>
  <c r="W127" i="3"/>
  <c r="W126" i="3" a="1"/>
  <c r="W126" i="3"/>
  <c r="W125" i="3" a="1"/>
  <c r="W125" i="3"/>
  <c r="W124" i="3" a="1"/>
  <c r="W124" i="3"/>
  <c r="W123" i="3" a="1"/>
  <c r="W123" i="3"/>
  <c r="W122" i="3" a="1"/>
  <c r="W122" i="3"/>
  <c r="W121" i="3" a="1"/>
  <c r="W121" i="3"/>
  <c r="W120" i="3" a="1"/>
  <c r="W120" i="3"/>
  <c r="AX141" i="3" l="1"/>
  <c r="AI141" i="3" a="1"/>
  <c r="I141" i="3" a="1"/>
  <c r="M141" i="3" a="1"/>
  <c r="E141" i="3"/>
  <c r="AS141" i="3" a="1"/>
  <c r="AQ141" i="3" a="1"/>
  <c r="K141" i="3"/>
  <c r="AK141" i="3" a="1"/>
  <c r="AO141" i="3" a="1"/>
  <c r="AJ141" i="3" a="1"/>
  <c r="AH141" i="3" a="1"/>
  <c r="N141" i="3" a="1"/>
  <c r="AP141" i="3" a="1"/>
  <c r="AN141" i="3" a="1"/>
  <c r="AL141" i="3" a="1"/>
  <c r="J141" i="3" a="1"/>
  <c r="AR141" i="3" a="1"/>
  <c r="AC141" i="3" a="1"/>
  <c r="H141" i="3" a="1"/>
  <c r="AG141" i="3" a="1"/>
  <c r="BC141" i="3" a="1"/>
  <c r="AM141" i="3" a="1"/>
  <c r="AE141" i="3" a="1"/>
  <c r="AU141" i="3" a="1"/>
  <c r="AF141" i="3" a="1"/>
  <c r="AD141" i="3" a="1"/>
  <c r="AV141" i="3" a="1"/>
  <c r="L141" i="3"/>
  <c r="AT141" i="3" a="1"/>
  <c r="F141" i="3"/>
  <c r="AT141" i="3" l="1"/>
  <c r="AV141" i="3"/>
  <c r="AD141" i="3"/>
  <c r="AF141" i="3"/>
  <c r="AU141" i="3"/>
  <c r="AE141" i="3"/>
  <c r="AM141" i="3"/>
  <c r="BC141" i="3"/>
  <c r="AG141" i="3"/>
  <c r="H141" i="3"/>
  <c r="AC141" i="3"/>
  <c r="AR141" i="3"/>
  <c r="J141" i="3"/>
  <c r="AL141" i="3"/>
  <c r="AN141" i="3"/>
  <c r="AP141" i="3"/>
  <c r="N141" i="3"/>
  <c r="AH141" i="3"/>
  <c r="AJ141" i="3"/>
  <c r="AO141" i="3"/>
  <c r="AK141" i="3"/>
  <c r="AQ141" i="3"/>
  <c r="AS141" i="3"/>
  <c r="M141" i="3"/>
  <c r="I141" i="3"/>
  <c r="AI141" i="3"/>
  <c r="AW141" i="3"/>
  <c r="Q141" i="3" a="1"/>
  <c r="Q141" i="3" l="1"/>
  <c r="AA141" i="3"/>
  <c r="R141" i="3"/>
  <c r="AB141" i="3" l="1"/>
  <c r="S141" i="3"/>
  <c r="Z141" i="3" l="1"/>
  <c r="X141" i="3"/>
  <c r="Y141" i="3"/>
  <c r="T141" i="3"/>
  <c r="U141" i="3" s="1"/>
  <c r="AX140" i="3"/>
  <c r="AT140" i="3" a="1"/>
  <c r="F140" i="3"/>
  <c r="L140" i="3"/>
  <c r="AF140" i="3" a="1"/>
  <c r="AE140" i="3" a="1"/>
  <c r="AM140" i="3" a="1"/>
  <c r="BC140" i="3" a="1"/>
  <c r="AV140" i="3" a="1"/>
  <c r="H140" i="3" a="1"/>
  <c r="AU140" i="3" a="1"/>
  <c r="AG140" i="3" a="1"/>
  <c r="AC140" i="3" a="1"/>
  <c r="AD140" i="3" a="1"/>
  <c r="AR140" i="3" a="1"/>
  <c r="J140" i="3" a="1"/>
  <c r="AP140" i="3" a="1"/>
  <c r="N140" i="3" a="1"/>
  <c r="AL140" i="3" a="1"/>
  <c r="AN140" i="3" a="1"/>
  <c r="AJ140" i="3" a="1"/>
  <c r="AH140" i="3" a="1"/>
  <c r="AO140" i="3" a="1"/>
  <c r="AK140" i="3" a="1"/>
  <c r="E140" i="3"/>
  <c r="K140" i="3"/>
  <c r="AI140" i="3" a="1"/>
  <c r="AQ140" i="3" a="1"/>
  <c r="AS140" i="3" a="1"/>
  <c r="M140" i="3" a="1"/>
  <c r="I140" i="3" a="1"/>
  <c r="I140" i="3" l="1"/>
  <c r="M140" i="3"/>
  <c r="AS140" i="3"/>
  <c r="AQ140" i="3"/>
  <c r="AI140" i="3"/>
  <c r="AK140" i="3"/>
  <c r="AO140" i="3"/>
  <c r="AH140" i="3"/>
  <c r="AJ140" i="3"/>
  <c r="AN140" i="3"/>
  <c r="AL140" i="3"/>
  <c r="N140" i="3"/>
  <c r="AP140" i="3"/>
  <c r="J140" i="3"/>
  <c r="AR140" i="3"/>
  <c r="AD140" i="3"/>
  <c r="AC140" i="3"/>
  <c r="AG140" i="3"/>
  <c r="AU140" i="3"/>
  <c r="H140" i="3"/>
  <c r="AV140" i="3"/>
  <c r="AW140" i="3" s="1"/>
  <c r="BC140" i="3"/>
  <c r="AM140" i="3"/>
  <c r="AE140" i="3"/>
  <c r="AF140" i="3"/>
  <c r="AT140" i="3"/>
  <c r="Q140" i="3" a="1"/>
  <c r="Q140" i="3" l="1"/>
  <c r="AA140" i="3"/>
  <c r="R140" i="3"/>
  <c r="AB140" i="3" l="1"/>
  <c r="S140" i="3"/>
  <c r="Y140" i="3" l="1"/>
  <c r="Z140" i="3"/>
  <c r="X140" i="3"/>
  <c r="T140" i="3"/>
  <c r="U140" i="3" s="1"/>
  <c r="AX139" i="3"/>
  <c r="AT139" i="3" a="1"/>
  <c r="F139" i="3"/>
  <c r="L139" i="3"/>
  <c r="AE139" i="3" a="1"/>
  <c r="AM139" i="3" a="1"/>
  <c r="BC139" i="3" a="1"/>
  <c r="AU139" i="3" a="1"/>
  <c r="AG139" i="3" a="1"/>
  <c r="AV139" i="3" a="1"/>
  <c r="H139" i="3" a="1"/>
  <c r="AC139" i="3" a="1"/>
  <c r="AD139" i="3" a="1"/>
  <c r="AF139" i="3" a="1"/>
  <c r="J139" i="3" a="1"/>
  <c r="AR139" i="3" a="1"/>
  <c r="N139" i="3" a="1"/>
  <c r="AL139" i="3" a="1"/>
  <c r="AN139" i="3" a="1"/>
  <c r="AP139" i="3" a="1"/>
  <c r="AJ139" i="3" a="1"/>
  <c r="M139" i="3" a="1"/>
  <c r="K139" i="3"/>
  <c r="AQ139" i="3" a="1"/>
  <c r="AH139" i="3" a="1"/>
  <c r="AS139" i="3" a="1"/>
  <c r="AO139" i="3" a="1"/>
  <c r="I139" i="3" a="1"/>
  <c r="E139" i="3"/>
  <c r="AI139" i="3" a="1"/>
  <c r="AK139" i="3" a="1"/>
  <c r="AK139" i="3" l="1"/>
  <c r="AI139" i="3"/>
  <c r="I139" i="3"/>
  <c r="AO139" i="3"/>
  <c r="AS139" i="3"/>
  <c r="AH139" i="3"/>
  <c r="AQ139" i="3"/>
  <c r="M139" i="3"/>
  <c r="AJ139" i="3"/>
  <c r="AP139" i="3"/>
  <c r="AN139" i="3"/>
  <c r="AL139" i="3"/>
  <c r="N139" i="3"/>
  <c r="AR139" i="3"/>
  <c r="J139" i="3"/>
  <c r="AF139" i="3"/>
  <c r="AD139" i="3"/>
  <c r="AC139" i="3"/>
  <c r="H139" i="3"/>
  <c r="AV139" i="3"/>
  <c r="AG139" i="3"/>
  <c r="AU139" i="3"/>
  <c r="AW139" i="3" s="1"/>
  <c r="BC139" i="3"/>
  <c r="AM139" i="3"/>
  <c r="AE139" i="3"/>
  <c r="AT139" i="3"/>
  <c r="Q139" i="3" a="1"/>
  <c r="Q139" i="3" l="1"/>
  <c r="AA139" i="3"/>
  <c r="R139" i="3"/>
  <c r="AB139" i="3" l="1"/>
  <c r="S139" i="3"/>
  <c r="Z139" i="3" l="1"/>
  <c r="Y139" i="3"/>
  <c r="X139" i="3"/>
  <c r="T139" i="3"/>
  <c r="U139" i="3" s="1"/>
  <c r="AX138" i="3"/>
  <c r="AT138" i="3" a="1"/>
  <c r="F138" i="3"/>
  <c r="L138" i="3"/>
  <c r="AU138" i="3" a="1"/>
  <c r="AG138" i="3" a="1"/>
  <c r="AV138" i="3" a="1"/>
  <c r="H138" i="3" a="1"/>
  <c r="AC138" i="3" a="1"/>
  <c r="AD138" i="3" a="1"/>
  <c r="AF138" i="3" a="1"/>
  <c r="AM138" i="3" a="1"/>
  <c r="AE138" i="3" a="1"/>
  <c r="BC138" i="3" a="1"/>
  <c r="J138" i="3" a="1"/>
  <c r="AR138" i="3" a="1"/>
  <c r="N138" i="3" a="1"/>
  <c r="AL138" i="3" a="1"/>
  <c r="AN138" i="3" a="1"/>
  <c r="AP138" i="3" a="1"/>
  <c r="AI138" i="3" a="1"/>
  <c r="AQ138" i="3" a="1"/>
  <c r="AH138" i="3" a="1"/>
  <c r="K138" i="3"/>
  <c r="AJ138" i="3" a="1"/>
  <c r="AO138" i="3" a="1"/>
  <c r="I138" i="3" a="1"/>
  <c r="AS138" i="3" a="1"/>
  <c r="AK138" i="3" a="1"/>
  <c r="M138" i="3" a="1"/>
  <c r="E138" i="3"/>
  <c r="M138" i="3" l="1"/>
  <c r="AK138" i="3"/>
  <c r="AS138" i="3"/>
  <c r="I138" i="3"/>
  <c r="AO138" i="3"/>
  <c r="AJ138" i="3"/>
  <c r="AH138" i="3"/>
  <c r="AQ138" i="3"/>
  <c r="AI138" i="3"/>
  <c r="AP138" i="3"/>
  <c r="AN138" i="3"/>
  <c r="AL138" i="3"/>
  <c r="N138" i="3"/>
  <c r="AR138" i="3"/>
  <c r="J138" i="3"/>
  <c r="BC138" i="3"/>
  <c r="AE138" i="3"/>
  <c r="AM138" i="3"/>
  <c r="AF138" i="3"/>
  <c r="AD138" i="3"/>
  <c r="AC138" i="3"/>
  <c r="H138" i="3"/>
  <c r="AV138" i="3"/>
  <c r="AG138" i="3"/>
  <c r="AU138" i="3"/>
  <c r="AT138" i="3"/>
  <c r="AW138" i="3"/>
  <c r="Q138" i="3" a="1"/>
  <c r="Q138" i="3" l="1"/>
  <c r="AA138" i="3"/>
  <c r="R138" i="3"/>
  <c r="AB138" i="3" l="1"/>
  <c r="S138" i="3"/>
  <c r="Y138" i="3" l="1"/>
  <c r="X138" i="3"/>
  <c r="Z138" i="3"/>
  <c r="T138" i="3"/>
  <c r="U138" i="3" s="1"/>
  <c r="AX137" i="3"/>
  <c r="F137" i="3"/>
  <c r="AT137" i="3" a="1"/>
  <c r="L137" i="3"/>
  <c r="AU137" i="3" a="1"/>
  <c r="AG137" i="3" a="1"/>
  <c r="AD137" i="3" a="1"/>
  <c r="AV137" i="3" a="1"/>
  <c r="AF137" i="3" a="1"/>
  <c r="AM137" i="3" a="1"/>
  <c r="AE137" i="3" a="1"/>
  <c r="BC137" i="3" a="1"/>
  <c r="H137" i="3" a="1"/>
  <c r="AC137" i="3" a="1"/>
  <c r="AR137" i="3" a="1"/>
  <c r="J137" i="3" a="1"/>
  <c r="N137" i="3" a="1"/>
  <c r="AN137" i="3" a="1"/>
  <c r="AP137" i="3" a="1"/>
  <c r="AL137" i="3" a="1"/>
  <c r="AJ137" i="3" a="1"/>
  <c r="AO137" i="3" a="1"/>
  <c r="AS137" i="3" a="1"/>
  <c r="AH137" i="3" a="1"/>
  <c r="AQ137" i="3" a="1"/>
  <c r="AK137" i="3" a="1"/>
  <c r="E137" i="3"/>
  <c r="M137" i="3" a="1"/>
  <c r="K137" i="3"/>
  <c r="I137" i="3" a="1"/>
  <c r="AI137" i="3" a="1"/>
  <c r="AI137" i="3" l="1"/>
  <c r="I137" i="3"/>
  <c r="M137" i="3"/>
  <c r="AK137" i="3"/>
  <c r="AQ137" i="3"/>
  <c r="AH137" i="3"/>
  <c r="AS137" i="3"/>
  <c r="AO137" i="3"/>
  <c r="AJ137" i="3"/>
  <c r="AL137" i="3"/>
  <c r="AP137" i="3"/>
  <c r="AN137" i="3"/>
  <c r="N137" i="3"/>
  <c r="J137" i="3"/>
  <c r="AR137" i="3"/>
  <c r="AC137" i="3"/>
  <c r="H137" i="3"/>
  <c r="BC137" i="3"/>
  <c r="AE137" i="3"/>
  <c r="AM137" i="3"/>
  <c r="AF137" i="3"/>
  <c r="AV137" i="3"/>
  <c r="AW137" i="3" s="1"/>
  <c r="AD137" i="3"/>
  <c r="AG137" i="3"/>
  <c r="AU137" i="3"/>
  <c r="AT137" i="3"/>
  <c r="Q137" i="3" a="1"/>
  <c r="Q137" i="3" l="1"/>
  <c r="AA137" i="3"/>
  <c r="R137" i="3"/>
  <c r="AB137" i="3" l="1"/>
  <c r="S137" i="3" s="1"/>
  <c r="Z137" i="3" l="1"/>
  <c r="Y137" i="3"/>
  <c r="X137" i="3"/>
  <c r="T137" i="3"/>
  <c r="U137" i="3" s="1"/>
  <c r="AX136" i="3"/>
  <c r="F136" i="3"/>
  <c r="AT136" i="3" a="1"/>
  <c r="L136" i="3"/>
  <c r="AF136" i="3" a="1"/>
  <c r="AM136" i="3" a="1"/>
  <c r="AE136" i="3" a="1"/>
  <c r="BC136" i="3" a="1"/>
  <c r="AU136" i="3" a="1"/>
  <c r="AG136" i="3" a="1"/>
  <c r="AV136" i="3" a="1"/>
  <c r="H136" i="3" a="1"/>
  <c r="AC136" i="3" a="1"/>
  <c r="AD136" i="3" a="1"/>
  <c r="AR136" i="3" a="1"/>
  <c r="J136" i="3" a="1"/>
  <c r="N136" i="3" a="1"/>
  <c r="AL136" i="3" a="1"/>
  <c r="AP136" i="3" a="1"/>
  <c r="AN136" i="3" a="1"/>
  <c r="AO136" i="3" a="1"/>
  <c r="AS136" i="3" a="1"/>
  <c r="AJ136" i="3" a="1"/>
  <c r="AK136" i="3" a="1"/>
  <c r="AQ136" i="3" a="1"/>
  <c r="AH136" i="3" a="1"/>
  <c r="K136" i="3"/>
  <c r="AI136" i="3" a="1"/>
  <c r="M136" i="3" a="1"/>
  <c r="I136" i="3" a="1"/>
  <c r="E136" i="3"/>
  <c r="I136" i="3" l="1"/>
  <c r="M136" i="3"/>
  <c r="AI136" i="3"/>
  <c r="AH136" i="3"/>
  <c r="AQ136" i="3"/>
  <c r="AK136" i="3"/>
  <c r="AJ136" i="3"/>
  <c r="AS136" i="3"/>
  <c r="AO136" i="3"/>
  <c r="AN136" i="3"/>
  <c r="AP136" i="3"/>
  <c r="AL136" i="3"/>
  <c r="N136" i="3"/>
  <c r="J136" i="3"/>
  <c r="AR136" i="3"/>
  <c r="AD136" i="3"/>
  <c r="AC136" i="3"/>
  <c r="H136" i="3"/>
  <c r="AV136" i="3"/>
  <c r="AG136" i="3"/>
  <c r="AU136" i="3"/>
  <c r="BC136" i="3"/>
  <c r="BD136" i="3" s="1"/>
  <c r="AE136" i="3"/>
  <c r="AM136" i="3"/>
  <c r="AF136" i="3"/>
  <c r="AT136" i="3"/>
  <c r="Q136" i="3" a="1"/>
  <c r="Q136" i="3" l="1"/>
  <c r="AW136" i="3"/>
  <c r="AA136" i="3" l="1"/>
  <c r="R136" i="3"/>
  <c r="AB136" i="3" l="1"/>
  <c r="S136" i="3"/>
  <c r="Z136" i="3" l="1"/>
  <c r="Y136" i="3"/>
  <c r="X136" i="3"/>
  <c r="T136" i="3"/>
  <c r="U136" i="3" s="1"/>
  <c r="AX135" i="3"/>
  <c r="F135" i="3"/>
  <c r="AT135" i="3" a="1"/>
  <c r="L135" i="3"/>
  <c r="AE135" i="3" a="1"/>
  <c r="AM135" i="3" a="1"/>
  <c r="BC135" i="3" a="1"/>
  <c r="AV135" i="3" a="1"/>
  <c r="AU135" i="3" a="1"/>
  <c r="AG135" i="3" a="1"/>
  <c r="H135" i="3" a="1"/>
  <c r="AC135" i="3" a="1"/>
  <c r="AD135" i="3" a="1"/>
  <c r="AF135" i="3" a="1"/>
  <c r="AR135" i="3" a="1"/>
  <c r="J135" i="3" a="1"/>
  <c r="N135" i="3" a="1"/>
  <c r="AL135" i="3" a="1"/>
  <c r="AN135" i="3" a="1"/>
  <c r="AP135" i="3" a="1"/>
  <c r="AO135" i="3" a="1"/>
  <c r="AS135" i="3" a="1"/>
  <c r="AH135" i="3" a="1"/>
  <c r="AQ135" i="3" a="1"/>
  <c r="I135" i="3" a="1"/>
  <c r="E135" i="3"/>
  <c r="AJ135" i="3" a="1"/>
  <c r="M135" i="3" a="1"/>
  <c r="AI135" i="3" a="1"/>
  <c r="K135" i="3"/>
  <c r="AK135" i="3" a="1"/>
  <c r="AK135" i="3" l="1"/>
  <c r="AI135" i="3"/>
  <c r="M135" i="3"/>
  <c r="AJ135" i="3"/>
  <c r="I135" i="3"/>
  <c r="AQ135" i="3"/>
  <c r="AH135" i="3"/>
  <c r="AS135" i="3"/>
  <c r="AO135" i="3"/>
  <c r="AP135" i="3"/>
  <c r="AN135" i="3"/>
  <c r="AL135" i="3"/>
  <c r="N135" i="3"/>
  <c r="J135" i="3"/>
  <c r="AR135" i="3"/>
  <c r="AF135" i="3"/>
  <c r="AD135" i="3"/>
  <c r="AC135" i="3"/>
  <c r="H135" i="3"/>
  <c r="AG135" i="3"/>
  <c r="AU135" i="3"/>
  <c r="AW135" i="3" s="1"/>
  <c r="AV135" i="3"/>
  <c r="BC135" i="3"/>
  <c r="AM135" i="3"/>
  <c r="AE135" i="3"/>
  <c r="AT135" i="3"/>
  <c r="Q135" i="3" a="1"/>
  <c r="Q135" i="3" l="1"/>
  <c r="AA135" i="3"/>
  <c r="R135" i="3"/>
  <c r="AB135" i="3" l="1"/>
  <c r="S135" i="3"/>
  <c r="Z135" i="3" l="1"/>
  <c r="Y135" i="3"/>
  <c r="X135" i="3"/>
  <c r="T135" i="3"/>
  <c r="U135" i="3" s="1"/>
  <c r="AX134" i="3"/>
  <c r="AT134" i="3" a="1"/>
  <c r="F134" i="3"/>
  <c r="L134" i="3"/>
  <c r="AU134" i="3" a="1"/>
  <c r="AG134" i="3" a="1"/>
  <c r="AV134" i="3" a="1"/>
  <c r="H134" i="3" a="1"/>
  <c r="AC134" i="3" a="1"/>
  <c r="AD134" i="3" a="1"/>
  <c r="AE134" i="3" a="1"/>
  <c r="AF134" i="3" a="1"/>
  <c r="AM134" i="3" a="1"/>
  <c r="BC134" i="3" a="1"/>
  <c r="J134" i="3" a="1"/>
  <c r="AR134" i="3" a="1"/>
  <c r="N134" i="3" a="1"/>
  <c r="AL134" i="3" a="1"/>
  <c r="AN134" i="3" a="1"/>
  <c r="AP134" i="3" a="1"/>
  <c r="AJ134" i="3" a="1"/>
  <c r="AH134" i="3" a="1"/>
  <c r="AQ134" i="3" a="1"/>
  <c r="I134" i="3" a="1"/>
  <c r="AI134" i="3" a="1"/>
  <c r="AO134" i="3" a="1"/>
  <c r="K134" i="3"/>
  <c r="AS134" i="3" a="1"/>
  <c r="AK134" i="3" a="1"/>
  <c r="E134" i="3"/>
  <c r="M134" i="3" a="1"/>
  <c r="M134" i="3" l="1"/>
  <c r="AK134" i="3"/>
  <c r="AS134" i="3"/>
  <c r="AO134" i="3"/>
  <c r="AI134" i="3"/>
  <c r="I134" i="3"/>
  <c r="AQ134" i="3"/>
  <c r="AH134" i="3"/>
  <c r="AJ134" i="3"/>
  <c r="AP134" i="3"/>
  <c r="AN134" i="3"/>
  <c r="AL134" i="3"/>
  <c r="N134" i="3"/>
  <c r="AR134" i="3"/>
  <c r="J134" i="3"/>
  <c r="BC134" i="3"/>
  <c r="AM134" i="3"/>
  <c r="AF134" i="3"/>
  <c r="AE134" i="3"/>
  <c r="AD134" i="3"/>
  <c r="AC134" i="3"/>
  <c r="H134" i="3"/>
  <c r="AV134" i="3"/>
  <c r="AG134" i="3"/>
  <c r="AU134" i="3"/>
  <c r="AW134" i="3" s="1"/>
  <c r="AT134" i="3"/>
  <c r="Q134" i="3" a="1"/>
  <c r="Q134" i="3" l="1"/>
  <c r="AA134" i="3"/>
  <c r="R134" i="3"/>
  <c r="AB134" i="3" l="1"/>
  <c r="S134" i="3"/>
  <c r="Z134" i="3" l="1"/>
  <c r="X134" i="3"/>
  <c r="Y134" i="3"/>
  <c r="T134" i="3"/>
  <c r="U134" i="3" s="1"/>
  <c r="AX133" i="3"/>
  <c r="AT133" i="3" a="1"/>
  <c r="F133" i="3"/>
  <c r="L133" i="3"/>
  <c r="AD133" i="3" a="1"/>
  <c r="AF133" i="3" a="1"/>
  <c r="AG133" i="3" a="1"/>
  <c r="H133" i="3" a="1"/>
  <c r="AM133" i="3" a="1"/>
  <c r="AU133" i="3" a="1"/>
  <c r="AV133" i="3" a="1"/>
  <c r="AE133" i="3" a="1"/>
  <c r="BC133" i="3" a="1"/>
  <c r="AC133" i="3" a="1"/>
  <c r="AR133" i="3" a="1"/>
  <c r="J133" i="3" a="1"/>
  <c r="N133" i="3" a="1"/>
  <c r="AN133" i="3" a="1"/>
  <c r="AP133" i="3" a="1"/>
  <c r="AL133" i="3" a="1"/>
  <c r="AK133" i="3" a="1"/>
  <c r="AJ133" i="3" a="1"/>
  <c r="AH133" i="3" a="1"/>
  <c r="AO133" i="3" a="1"/>
  <c r="K133" i="3"/>
  <c r="AQ133" i="3" a="1"/>
  <c r="AS133" i="3" a="1"/>
  <c r="E133" i="3"/>
  <c r="M133" i="3" a="1"/>
  <c r="I133" i="3" a="1"/>
  <c r="AI133" i="3" a="1"/>
  <c r="AI133" i="3" l="1"/>
  <c r="I133" i="3"/>
  <c r="M133" i="3"/>
  <c r="AS133" i="3"/>
  <c r="AQ133" i="3"/>
  <c r="AO133" i="3"/>
  <c r="AH133" i="3"/>
  <c r="AJ133" i="3"/>
  <c r="AK133" i="3"/>
  <c r="AL133" i="3"/>
  <c r="AP133" i="3"/>
  <c r="AN133" i="3"/>
  <c r="N133" i="3"/>
  <c r="J133" i="3"/>
  <c r="AR133" i="3"/>
  <c r="AC133" i="3"/>
  <c r="BC133" i="3"/>
  <c r="AE133" i="3"/>
  <c r="AV133" i="3"/>
  <c r="AU133" i="3"/>
  <c r="AM133" i="3"/>
  <c r="H133" i="3"/>
  <c r="AG133" i="3"/>
  <c r="AF133" i="3"/>
  <c r="AD133" i="3"/>
  <c r="AT133" i="3"/>
  <c r="AW133" i="3"/>
  <c r="Q133" i="3" a="1"/>
  <c r="Q133" i="3" l="1"/>
  <c r="AA133" i="3"/>
  <c r="R133" i="3"/>
  <c r="AB133" i="3" l="1"/>
  <c r="S133" i="3"/>
  <c r="Z133" i="3" l="1"/>
  <c r="X133" i="3"/>
  <c r="Y133" i="3"/>
  <c r="T133" i="3"/>
  <c r="U133" i="3" s="1"/>
  <c r="AX132" i="3"/>
  <c r="AT132" i="3" a="1"/>
  <c r="F132" i="3"/>
  <c r="L132" i="3"/>
  <c r="AF132" i="3" a="1"/>
  <c r="AE132" i="3" a="1"/>
  <c r="AM132" i="3" a="1"/>
  <c r="BC132" i="3" a="1"/>
  <c r="AV132" i="3" a="1"/>
  <c r="AU132" i="3" a="1"/>
  <c r="AG132" i="3" a="1"/>
  <c r="H132" i="3" a="1"/>
  <c r="AC132" i="3" a="1"/>
  <c r="AD132" i="3" a="1"/>
  <c r="AR132" i="3" a="1"/>
  <c r="J132" i="3" a="1"/>
  <c r="N132" i="3" a="1"/>
  <c r="AL132" i="3" a="1"/>
  <c r="AP132" i="3" a="1"/>
  <c r="AN132" i="3" a="1"/>
  <c r="AJ132" i="3" a="1"/>
  <c r="AO132" i="3" a="1"/>
  <c r="E132" i="3"/>
  <c r="AI132" i="3" a="1"/>
  <c r="AQ132" i="3" a="1"/>
  <c r="K132" i="3"/>
  <c r="AH132" i="3" a="1"/>
  <c r="AS132" i="3" a="1"/>
  <c r="AK132" i="3" a="1"/>
  <c r="M132" i="3" a="1"/>
  <c r="I132" i="3" a="1"/>
  <c r="I132" i="3" l="1"/>
  <c r="M132" i="3"/>
  <c r="AK132" i="3"/>
  <c r="AS132" i="3"/>
  <c r="AH132" i="3"/>
  <c r="AQ132" i="3"/>
  <c r="AI132" i="3"/>
  <c r="AO132" i="3"/>
  <c r="AJ132" i="3"/>
  <c r="AN132" i="3"/>
  <c r="AP132" i="3"/>
  <c r="AL132" i="3"/>
  <c r="N132" i="3"/>
  <c r="J132" i="3"/>
  <c r="AR132" i="3"/>
  <c r="AD132" i="3"/>
  <c r="AC132" i="3"/>
  <c r="H132" i="3"/>
  <c r="AG132" i="3"/>
  <c r="AU132" i="3"/>
  <c r="AV132" i="3"/>
  <c r="AW132" i="3" s="1"/>
  <c r="BC132" i="3"/>
  <c r="AM132" i="3"/>
  <c r="AE132" i="3"/>
  <c r="AF132" i="3"/>
  <c r="AT132" i="3"/>
  <c r="Q132" i="3" a="1"/>
  <c r="Q132" i="3" l="1"/>
  <c r="AA132" i="3"/>
  <c r="R132" i="3"/>
  <c r="AB132" i="3" l="1"/>
  <c r="S132" i="3"/>
  <c r="Z132" i="3" l="1"/>
  <c r="Y132" i="3"/>
  <c r="T132" i="3"/>
  <c r="U132" i="3" s="1"/>
  <c r="AX131" i="3"/>
  <c r="AT131" i="3" a="1"/>
  <c r="F131" i="3"/>
  <c r="L131" i="3"/>
  <c r="AE131" i="3" a="1"/>
  <c r="AM131" i="3" a="1"/>
  <c r="BC131" i="3" a="1"/>
  <c r="AU131" i="3" a="1"/>
  <c r="AG131" i="3" a="1"/>
  <c r="AV131" i="3" a="1"/>
  <c r="H131" i="3" a="1"/>
  <c r="AC131" i="3" a="1"/>
  <c r="AD131" i="3" a="1"/>
  <c r="AF131" i="3" a="1"/>
  <c r="J131" i="3" a="1"/>
  <c r="AR131" i="3" a="1"/>
  <c r="N131" i="3" a="1"/>
  <c r="AL131" i="3" a="1"/>
  <c r="AN131" i="3" a="1"/>
  <c r="AP131" i="3" a="1"/>
  <c r="AJ131" i="3" a="1"/>
  <c r="AO131" i="3" a="1"/>
  <c r="AH131" i="3" a="1"/>
  <c r="AQ131" i="3" a="1"/>
  <c r="E131" i="3"/>
  <c r="K131" i="3"/>
  <c r="M131" i="3" a="1"/>
  <c r="I131" i="3" a="1"/>
  <c r="AS131" i="3" a="1"/>
  <c r="AI131" i="3" a="1"/>
  <c r="AK131" i="3" a="1"/>
  <c r="AK131" i="3" l="1"/>
  <c r="AI131" i="3"/>
  <c r="AS131" i="3"/>
  <c r="I131" i="3"/>
  <c r="M131" i="3"/>
  <c r="AQ131" i="3"/>
  <c r="AH131" i="3"/>
  <c r="AO131" i="3"/>
  <c r="AJ131" i="3"/>
  <c r="AP131" i="3"/>
  <c r="AN131" i="3"/>
  <c r="AL131" i="3"/>
  <c r="N131" i="3"/>
  <c r="AR131" i="3"/>
  <c r="J131" i="3"/>
  <c r="AF131" i="3"/>
  <c r="AD131" i="3"/>
  <c r="AC131" i="3"/>
  <c r="H131" i="3"/>
  <c r="AV131" i="3"/>
  <c r="AG131" i="3"/>
  <c r="AU131" i="3"/>
  <c r="AW131" i="3" s="1"/>
  <c r="BC131" i="3"/>
  <c r="AM131" i="3"/>
  <c r="AE131" i="3"/>
  <c r="AT131" i="3"/>
  <c r="Q131" i="3" a="1"/>
  <c r="Q131" i="3" l="1"/>
  <c r="AA131" i="3"/>
  <c r="R131" i="3"/>
  <c r="AB131" i="3" l="1"/>
  <c r="S131" i="3"/>
  <c r="Z131" i="3" l="1"/>
  <c r="Y131" i="3"/>
  <c r="T131" i="3"/>
  <c r="U131" i="3" s="1"/>
  <c r="AX130" i="3"/>
  <c r="AT130" i="3" a="1"/>
  <c r="F130" i="3"/>
  <c r="L130" i="3"/>
  <c r="AE130" i="3" a="1"/>
  <c r="AU130" i="3" a="1"/>
  <c r="AG130" i="3" a="1"/>
  <c r="AV130" i="3" a="1"/>
  <c r="H130" i="3" a="1"/>
  <c r="AC130" i="3" a="1"/>
  <c r="AD130" i="3" a="1"/>
  <c r="AF130" i="3" a="1"/>
  <c r="AM130" i="3" a="1"/>
  <c r="BC130" i="3" a="1"/>
  <c r="J130" i="3" a="1"/>
  <c r="AR130" i="3" a="1"/>
  <c r="N130" i="3" a="1"/>
  <c r="AL130" i="3" a="1"/>
  <c r="AN130" i="3" a="1"/>
  <c r="AP130" i="3" a="1"/>
  <c r="AH130" i="3" a="1"/>
  <c r="AJ130" i="3" a="1"/>
  <c r="AQ130" i="3" a="1"/>
  <c r="E130" i="3"/>
  <c r="AI130" i="3" a="1"/>
  <c r="K130" i="3"/>
  <c r="I130" i="3" a="1"/>
  <c r="AO130" i="3" a="1"/>
  <c r="AS130" i="3" a="1"/>
  <c r="AK130" i="3" a="1"/>
  <c r="M130" i="3" a="1"/>
  <c r="M130" i="3" l="1"/>
  <c r="AK130" i="3"/>
  <c r="AS130" i="3"/>
  <c r="AO130" i="3"/>
  <c r="I130" i="3"/>
  <c r="AI130" i="3"/>
  <c r="AQ130" i="3"/>
  <c r="AJ130" i="3"/>
  <c r="AH130" i="3"/>
  <c r="AP130" i="3"/>
  <c r="AN130" i="3"/>
  <c r="AL130" i="3"/>
  <c r="N130" i="3"/>
  <c r="AR130" i="3"/>
  <c r="J130" i="3"/>
  <c r="BC130" i="3"/>
  <c r="AM130" i="3"/>
  <c r="AF130" i="3"/>
  <c r="AD130" i="3"/>
  <c r="AC130" i="3"/>
  <c r="H130" i="3"/>
  <c r="AV130" i="3"/>
  <c r="AG130" i="3"/>
  <c r="AU130" i="3"/>
  <c r="AE130" i="3"/>
  <c r="AT130" i="3"/>
  <c r="AW130" i="3"/>
  <c r="Q130" i="3" a="1"/>
  <c r="Q130" i="3" l="1"/>
  <c r="AA130" i="3"/>
  <c r="R130" i="3"/>
  <c r="AB130" i="3" l="1"/>
  <c r="S130" i="3"/>
  <c r="Y130" i="3" l="1"/>
  <c r="Z130" i="3"/>
  <c r="T130" i="3"/>
  <c r="U130" i="3" s="1"/>
  <c r="AX129" i="3"/>
  <c r="AL129" i="3" a="1"/>
  <c r="F129" i="3"/>
  <c r="AI129" i="3" a="1"/>
  <c r="AR129" i="3" a="1"/>
  <c r="M129" i="3" a="1"/>
  <c r="AM129" i="3" a="1"/>
  <c r="AE129" i="3" a="1"/>
  <c r="J129" i="3" a="1"/>
  <c r="AJ129" i="3" a="1"/>
  <c r="AT129" i="3" a="1"/>
  <c r="AU129" i="3" a="1"/>
  <c r="L129" i="3"/>
  <c r="I129" i="3" a="1"/>
  <c r="AG129" i="3" a="1"/>
  <c r="AP129" i="3" a="1"/>
  <c r="AH129" i="3" a="1"/>
  <c r="AC129" i="3" a="1"/>
  <c r="AS129" i="3" a="1"/>
  <c r="AV129" i="3" a="1"/>
  <c r="AD129" i="3" a="1"/>
  <c r="N129" i="3" a="1"/>
  <c r="E129" i="3"/>
  <c r="AF129" i="3" a="1"/>
  <c r="BC129" i="3" a="1"/>
  <c r="AK129" i="3" a="1"/>
  <c r="K129" i="3"/>
  <c r="AO129" i="3" a="1"/>
  <c r="AN129" i="3" a="1"/>
  <c r="AQ129" i="3" a="1"/>
  <c r="H129" i="3" a="1"/>
  <c r="H129" i="3" l="1"/>
  <c r="AQ129" i="3"/>
  <c r="AN129" i="3"/>
  <c r="AO129" i="3"/>
  <c r="AK129" i="3"/>
  <c r="BC129" i="3"/>
  <c r="AF129" i="3"/>
  <c r="N129" i="3"/>
  <c r="AD129" i="3"/>
  <c r="AV129" i="3"/>
  <c r="AS129" i="3"/>
  <c r="AC129" i="3"/>
  <c r="AH129" i="3"/>
  <c r="AP129" i="3"/>
  <c r="AG129" i="3"/>
  <c r="I129" i="3"/>
  <c r="AU129" i="3"/>
  <c r="AT129" i="3"/>
  <c r="AJ129" i="3"/>
  <c r="J129" i="3"/>
  <c r="AE129" i="3"/>
  <c r="AM129" i="3"/>
  <c r="M129" i="3"/>
  <c r="AR129" i="3"/>
  <c r="AI129" i="3"/>
  <c r="AL129" i="3"/>
  <c r="AW129" i="3"/>
  <c r="Q129" i="3" a="1"/>
  <c r="Q129" i="3" l="1"/>
  <c r="AA129" i="3"/>
  <c r="R129" i="3"/>
  <c r="AB129" i="3" l="1"/>
  <c r="S129" i="3"/>
  <c r="Y129" i="3" l="1"/>
  <c r="X129" i="3"/>
  <c r="Z129" i="3"/>
  <c r="T129" i="3"/>
  <c r="U129" i="3" s="1"/>
  <c r="AX128" i="3"/>
  <c r="AL128" i="3" a="1"/>
  <c r="AI128" i="3" a="1"/>
  <c r="AR128" i="3" a="1"/>
  <c r="M128" i="3" a="1"/>
  <c r="AM128" i="3" a="1"/>
  <c r="AE128" i="3" a="1"/>
  <c r="F128" i="3"/>
  <c r="J128" i="3" a="1"/>
  <c r="AU128" i="3" a="1"/>
  <c r="I128" i="3" a="1"/>
  <c r="L128" i="3"/>
  <c r="AG128" i="3" a="1"/>
  <c r="AP128" i="3" a="1"/>
  <c r="AJ128" i="3" a="1"/>
  <c r="AT128" i="3" a="1"/>
  <c r="AH128" i="3" a="1"/>
  <c r="AC128" i="3" a="1"/>
  <c r="AV128" i="3" a="1"/>
  <c r="AS128" i="3" a="1"/>
  <c r="AD128" i="3" a="1"/>
  <c r="N128" i="3" a="1"/>
  <c r="K128" i="3"/>
  <c r="AK128" i="3" a="1"/>
  <c r="E128" i="3"/>
  <c r="AF128" i="3" a="1"/>
  <c r="BC128" i="3" a="1"/>
  <c r="AN128" i="3" a="1"/>
  <c r="AO128" i="3" a="1"/>
  <c r="AQ128" i="3" a="1"/>
  <c r="H128" i="3" a="1"/>
  <c r="H128" i="3" l="1"/>
  <c r="AQ128" i="3"/>
  <c r="AO128" i="3"/>
  <c r="AN128" i="3"/>
  <c r="BC128" i="3"/>
  <c r="AF128" i="3"/>
  <c r="AK128" i="3"/>
  <c r="N128" i="3"/>
  <c r="AD128" i="3"/>
  <c r="AS128" i="3"/>
  <c r="AV128" i="3"/>
  <c r="AC128" i="3"/>
  <c r="AH128" i="3"/>
  <c r="AT128" i="3"/>
  <c r="AJ128" i="3"/>
  <c r="AP128" i="3"/>
  <c r="AG128" i="3"/>
  <c r="I128" i="3"/>
  <c r="AU128" i="3"/>
  <c r="J128" i="3"/>
  <c r="AE128" i="3"/>
  <c r="AM128" i="3"/>
  <c r="M128" i="3"/>
  <c r="AR128" i="3"/>
  <c r="AI128" i="3"/>
  <c r="AL128" i="3"/>
  <c r="AW128" i="3"/>
  <c r="Q128" i="3" a="1"/>
  <c r="Q128" i="3" l="1"/>
  <c r="AA128" i="3"/>
  <c r="R128" i="3"/>
  <c r="AB128" i="3" l="1"/>
  <c r="S128" i="3"/>
  <c r="Z128" i="3" l="1"/>
  <c r="X128" i="3"/>
  <c r="Y128" i="3"/>
  <c r="T128" i="3"/>
  <c r="U128" i="3" s="1"/>
  <c r="AX127" i="3"/>
  <c r="AL127" i="3" a="1"/>
  <c r="F127" i="3"/>
  <c r="AI127" i="3" a="1"/>
  <c r="AM127" i="3" a="1"/>
  <c r="AE127" i="3" a="1"/>
  <c r="M127" i="3" a="1"/>
  <c r="AR127" i="3" a="1"/>
  <c r="J127" i="3" a="1"/>
  <c r="AP127" i="3" a="1"/>
  <c r="AG127" i="3" a="1"/>
  <c r="L127" i="3"/>
  <c r="AJ127" i="3" a="1"/>
  <c r="AT127" i="3" a="1"/>
  <c r="AU127" i="3" a="1"/>
  <c r="I127" i="3" a="1"/>
  <c r="AH127" i="3" a="1"/>
  <c r="AC127" i="3" a="1"/>
  <c r="AV127" i="3" a="1"/>
  <c r="AS127" i="3" a="1"/>
  <c r="AD127" i="3" a="1"/>
  <c r="K127" i="3"/>
  <c r="AF127" i="3" a="1"/>
  <c r="AK127" i="3" a="1"/>
  <c r="E127" i="3"/>
  <c r="BC127" i="3" a="1"/>
  <c r="N127" i="3" a="1"/>
  <c r="H127" i="3" a="1"/>
  <c r="AQ127" i="3" a="1"/>
  <c r="AN127" i="3" a="1"/>
  <c r="AO127" i="3" a="1"/>
  <c r="AO127" i="3" l="1"/>
  <c r="AN127" i="3"/>
  <c r="AQ127" i="3"/>
  <c r="H127" i="3"/>
  <c r="N127" i="3"/>
  <c r="BC127" i="3"/>
  <c r="AK127" i="3"/>
  <c r="AF127" i="3"/>
  <c r="AD127" i="3"/>
  <c r="AS127" i="3"/>
  <c r="AV127" i="3"/>
  <c r="AC127" i="3"/>
  <c r="AH127" i="3"/>
  <c r="I127" i="3"/>
  <c r="AU127" i="3"/>
  <c r="AT127" i="3"/>
  <c r="AJ127" i="3"/>
  <c r="AG127" i="3"/>
  <c r="AP127" i="3"/>
  <c r="J127" i="3"/>
  <c r="AR127" i="3"/>
  <c r="M127" i="3"/>
  <c r="AE127" i="3"/>
  <c r="AM127" i="3"/>
  <c r="AI127" i="3"/>
  <c r="AL127" i="3"/>
  <c r="AW127" i="3"/>
  <c r="Q127" i="3" a="1"/>
  <c r="Q127" i="3" l="1"/>
  <c r="AA127" i="3"/>
  <c r="R127" i="3"/>
  <c r="AB127" i="3" l="1"/>
  <c r="S127" i="3"/>
  <c r="Z127" i="3" l="1"/>
  <c r="X127" i="3"/>
  <c r="Y127" i="3"/>
  <c r="T127" i="3"/>
  <c r="U127" i="3" s="1"/>
  <c r="AX126" i="3"/>
  <c r="AL126" i="3" a="1"/>
  <c r="M126" i="3" a="1"/>
  <c r="AM126" i="3" a="1"/>
  <c r="AE126" i="3" a="1"/>
  <c r="AR126" i="3" a="1"/>
  <c r="F126" i="3"/>
  <c r="AI126" i="3" a="1"/>
  <c r="J126" i="3" a="1"/>
  <c r="AT126" i="3" a="1"/>
  <c r="AP126" i="3" a="1"/>
  <c r="AJ126" i="3" a="1"/>
  <c r="AU126" i="3" a="1"/>
  <c r="I126" i="3" a="1"/>
  <c r="AG126" i="3" a="1"/>
  <c r="L126" i="3"/>
  <c r="AC126" i="3" a="1"/>
  <c r="AH126" i="3" a="1"/>
  <c r="AS126" i="3" a="1"/>
  <c r="AV126" i="3" a="1"/>
  <c r="AD126" i="3" a="1"/>
  <c r="K126" i="3"/>
  <c r="E126" i="3"/>
  <c r="AF126" i="3" a="1"/>
  <c r="BC126" i="3" a="1"/>
  <c r="N126" i="3" a="1"/>
  <c r="AK126" i="3" a="1"/>
  <c r="AN126" i="3" a="1"/>
  <c r="AQ126" i="3" a="1"/>
  <c r="H126" i="3" a="1"/>
  <c r="AO126" i="3" a="1"/>
  <c r="AO126" i="3" l="1"/>
  <c r="H126" i="3"/>
  <c r="AQ126" i="3"/>
  <c r="AN126" i="3"/>
  <c r="AK126" i="3"/>
  <c r="N126" i="3"/>
  <c r="BC126" i="3"/>
  <c r="AF126" i="3"/>
  <c r="AD126" i="3"/>
  <c r="AV126" i="3"/>
  <c r="AS126" i="3"/>
  <c r="AH126" i="3"/>
  <c r="AC126" i="3"/>
  <c r="AG126" i="3"/>
  <c r="I126" i="3"/>
  <c r="AU126" i="3"/>
  <c r="AJ126" i="3"/>
  <c r="AP126" i="3"/>
  <c r="AT126" i="3"/>
  <c r="J126" i="3"/>
  <c r="AI126" i="3"/>
  <c r="AR126" i="3"/>
  <c r="AE126" i="3"/>
  <c r="AM126" i="3"/>
  <c r="M126" i="3"/>
  <c r="AL126" i="3"/>
  <c r="BD126" i="3"/>
  <c r="Q126" i="3" a="1"/>
  <c r="Q126" i="3" l="1"/>
  <c r="AW126" i="3"/>
  <c r="AA126" i="3" l="1"/>
  <c r="R126" i="3"/>
  <c r="AB126" i="3" l="1"/>
  <c r="S126" i="3"/>
  <c r="Z126" i="3" l="1"/>
  <c r="Y126" i="3"/>
  <c r="X126" i="3"/>
  <c r="T126" i="3"/>
  <c r="U126" i="3" s="1"/>
  <c r="AX125" i="3"/>
  <c r="AL125" i="3" a="1"/>
  <c r="AR125" i="3" a="1"/>
  <c r="F125" i="3"/>
  <c r="AI125" i="3" a="1"/>
  <c r="AM125" i="3" a="1"/>
  <c r="AE125" i="3" a="1"/>
  <c r="M125" i="3" a="1"/>
  <c r="J125" i="3" a="1"/>
  <c r="AJ125" i="3" a="1"/>
  <c r="AT125" i="3" a="1"/>
  <c r="AU125" i="3" a="1"/>
  <c r="I125" i="3" a="1"/>
  <c r="AG125" i="3" a="1"/>
  <c r="L125" i="3"/>
  <c r="AP125" i="3" a="1"/>
  <c r="AC125" i="3" a="1"/>
  <c r="AH125" i="3" a="1"/>
  <c r="AS125" i="3" a="1"/>
  <c r="AV125" i="3" a="1"/>
  <c r="AD125" i="3" a="1"/>
  <c r="N125" i="3" a="1"/>
  <c r="AF125" i="3" a="1"/>
  <c r="E125" i="3"/>
  <c r="BC125" i="3" a="1"/>
  <c r="K125" i="3"/>
  <c r="AK125" i="3" a="1"/>
  <c r="AN125" i="3" a="1"/>
  <c r="AO125" i="3" a="1"/>
  <c r="AQ125" i="3" a="1"/>
  <c r="H125" i="3" a="1"/>
  <c r="H125" i="3" l="1"/>
  <c r="AQ125" i="3"/>
  <c r="AO125" i="3"/>
  <c r="AN125" i="3"/>
  <c r="AK125" i="3"/>
  <c r="BC125" i="3"/>
  <c r="AF125" i="3"/>
  <c r="N125" i="3"/>
  <c r="AD125" i="3"/>
  <c r="AV125" i="3"/>
  <c r="AS125" i="3"/>
  <c r="AH125" i="3"/>
  <c r="AC125" i="3"/>
  <c r="AP125" i="3"/>
  <c r="AG125" i="3"/>
  <c r="I125" i="3"/>
  <c r="AU125" i="3"/>
  <c r="AT125" i="3"/>
  <c r="AJ125" i="3"/>
  <c r="J125" i="3"/>
  <c r="M125" i="3"/>
  <c r="AE125" i="3"/>
  <c r="AM125" i="3"/>
  <c r="AI125" i="3"/>
  <c r="AR125" i="3"/>
  <c r="AL125" i="3"/>
  <c r="AW125" i="3"/>
  <c r="Q125" i="3" a="1"/>
  <c r="Q125" i="3" l="1"/>
  <c r="AA125" i="3"/>
  <c r="R125" i="3"/>
  <c r="AB125" i="3" l="1"/>
  <c r="S125" i="3"/>
  <c r="Z125" i="3" l="1"/>
  <c r="Y125" i="3"/>
  <c r="X125" i="3"/>
  <c r="T125" i="3"/>
  <c r="U125" i="3" s="1"/>
  <c r="AX124" i="3"/>
  <c r="AL124" i="3" a="1"/>
  <c r="AR124" i="3" a="1"/>
  <c r="AI124" i="3" a="1"/>
  <c r="F124" i="3"/>
  <c r="M124" i="3" a="1"/>
  <c r="AM124" i="3" a="1"/>
  <c r="AE124" i="3" a="1"/>
  <c r="J124" i="3" a="1"/>
  <c r="AU124" i="3" a="1"/>
  <c r="I124" i="3" a="1"/>
  <c r="AG124" i="3" a="1"/>
  <c r="AP124" i="3" a="1"/>
  <c r="L124" i="3"/>
  <c r="AJ124" i="3" a="1"/>
  <c r="AT124" i="3" a="1"/>
  <c r="AH124" i="3" a="1"/>
  <c r="AC124" i="3" a="1"/>
  <c r="AV124" i="3" a="1"/>
  <c r="AS124" i="3" a="1"/>
  <c r="AD124" i="3" a="1"/>
  <c r="K124" i="3"/>
  <c r="N124" i="3" a="1"/>
  <c r="AK124" i="3" a="1"/>
  <c r="AF124" i="3" a="1"/>
  <c r="E124" i="3"/>
  <c r="AQ124" i="3" a="1"/>
  <c r="AN124" i="3" a="1"/>
  <c r="AO124" i="3" a="1"/>
  <c r="H124" i="3" a="1"/>
  <c r="H124" i="3" l="1"/>
  <c r="AO124" i="3"/>
  <c r="AN124" i="3"/>
  <c r="AQ124" i="3"/>
  <c r="AF124" i="3"/>
  <c r="AK124" i="3"/>
  <c r="N124" i="3"/>
  <c r="AD124" i="3"/>
  <c r="AS124" i="3"/>
  <c r="AV124" i="3"/>
  <c r="AC124" i="3"/>
  <c r="AH124" i="3"/>
  <c r="AT124" i="3"/>
  <c r="AJ124" i="3"/>
  <c r="AP124" i="3"/>
  <c r="AG124" i="3"/>
  <c r="I124" i="3"/>
  <c r="AU124" i="3"/>
  <c r="J124" i="3"/>
  <c r="AE124" i="3"/>
  <c r="AM124" i="3"/>
  <c r="M124" i="3"/>
  <c r="AI124" i="3"/>
  <c r="AR124" i="3"/>
  <c r="AL124" i="3"/>
  <c r="BD124" i="3"/>
  <c r="Q124" i="3" a="1"/>
  <c r="Q124" i="3" l="1"/>
  <c r="AW124" i="3"/>
  <c r="AA124" i="3" l="1"/>
  <c r="R124" i="3"/>
  <c r="AB124" i="3" l="1"/>
  <c r="S124" i="3"/>
  <c r="Y124" i="3" l="1"/>
  <c r="X124" i="3"/>
  <c r="Z124" i="3"/>
  <c r="T124" i="3"/>
  <c r="U124" i="3" s="1"/>
  <c r="AX123" i="3"/>
  <c r="AL123" i="3" a="1"/>
  <c r="AI123" i="3" a="1"/>
  <c r="M123" i="3" a="1"/>
  <c r="AM123" i="3" a="1"/>
  <c r="AE123" i="3" a="1"/>
  <c r="F123" i="3"/>
  <c r="AR123" i="3" a="1"/>
  <c r="J123" i="3" a="1"/>
  <c r="AP123" i="3" a="1"/>
  <c r="AG123" i="3" a="1"/>
  <c r="AJ123" i="3" a="1"/>
  <c r="L123" i="3"/>
  <c r="AT123" i="3" a="1"/>
  <c r="AU123" i="3" a="1"/>
  <c r="I123" i="3" a="1"/>
  <c r="AH123" i="3" a="1"/>
  <c r="AC123" i="3" a="1"/>
  <c r="AV123" i="3" a="1"/>
  <c r="AS123" i="3" a="1"/>
  <c r="AD123" i="3" a="1"/>
  <c r="AF123" i="3" a="1"/>
  <c r="K123" i="3"/>
  <c r="AK123" i="3" a="1"/>
  <c r="E123" i="3"/>
  <c r="N123" i="3" a="1"/>
  <c r="BC123" i="3" a="1"/>
  <c r="AQ123" i="3" a="1"/>
  <c r="H123" i="3" a="1"/>
  <c r="AN123" i="3" a="1"/>
  <c r="AO123" i="3" a="1"/>
  <c r="AO123" i="3" l="1"/>
  <c r="AN123" i="3"/>
  <c r="H123" i="3"/>
  <c r="AQ123" i="3"/>
  <c r="BC123" i="3"/>
  <c r="N123" i="3"/>
  <c r="AK123" i="3"/>
  <c r="AF123" i="3"/>
  <c r="AD123" i="3"/>
  <c r="AS123" i="3"/>
  <c r="AV123" i="3"/>
  <c r="AC123" i="3"/>
  <c r="AH123" i="3"/>
  <c r="I123" i="3"/>
  <c r="AU123" i="3"/>
  <c r="AT123" i="3"/>
  <c r="AJ123" i="3"/>
  <c r="AG123" i="3"/>
  <c r="AP123" i="3"/>
  <c r="J123" i="3"/>
  <c r="AR123" i="3"/>
  <c r="AE123" i="3"/>
  <c r="AM123" i="3"/>
  <c r="M123" i="3"/>
  <c r="AI123" i="3"/>
  <c r="AL123" i="3"/>
  <c r="AW123" i="3"/>
  <c r="Q123" i="3" a="1"/>
  <c r="Q123" i="3" l="1"/>
  <c r="AA123" i="3"/>
  <c r="R123" i="3"/>
  <c r="AB123" i="3" l="1"/>
  <c r="S123" i="3"/>
  <c r="Y123" i="3" l="1"/>
  <c r="X123" i="3"/>
  <c r="Z123" i="3"/>
  <c r="T123" i="3"/>
  <c r="U123" i="3" s="1"/>
  <c r="AX122" i="3"/>
  <c r="AL122" i="3" a="1"/>
  <c r="M122" i="3" a="1"/>
  <c r="AM122" i="3" a="1"/>
  <c r="AE122" i="3" a="1"/>
  <c r="F122" i="3"/>
  <c r="AR122" i="3" a="1"/>
  <c r="AI122" i="3" a="1"/>
  <c r="J122" i="3" a="1"/>
  <c r="AT122" i="3" a="1"/>
  <c r="L122" i="3"/>
  <c r="AP122" i="3" a="1"/>
  <c r="AJ122" i="3" a="1"/>
  <c r="AU122" i="3" a="1"/>
  <c r="I122" i="3" a="1"/>
  <c r="AG122" i="3" a="1"/>
  <c r="AH122" i="3" a="1"/>
  <c r="AC122" i="3" a="1"/>
  <c r="AS122" i="3" a="1"/>
  <c r="AV122" i="3" a="1"/>
  <c r="K122" i="3"/>
  <c r="AD122" i="3" a="1"/>
  <c r="AF122" i="3" a="1"/>
  <c r="N122" i="3" a="1"/>
  <c r="BC122" i="3" a="1"/>
  <c r="E122" i="3"/>
  <c r="AK122" i="3" a="1"/>
  <c r="AO122" i="3" a="1"/>
  <c r="AQ122" i="3" a="1"/>
  <c r="H122" i="3" a="1"/>
  <c r="AN122" i="3" a="1"/>
  <c r="AN122" i="3" l="1"/>
  <c r="H122" i="3"/>
  <c r="AQ122" i="3"/>
  <c r="AO122" i="3"/>
  <c r="AK122" i="3"/>
  <c r="BC122" i="3"/>
  <c r="N122" i="3"/>
  <c r="AF122" i="3"/>
  <c r="AD122" i="3"/>
  <c r="AV122" i="3"/>
  <c r="AS122" i="3"/>
  <c r="AC122" i="3"/>
  <c r="AH122" i="3"/>
  <c r="AG122" i="3"/>
  <c r="I122" i="3"/>
  <c r="AU122" i="3"/>
  <c r="AJ122" i="3"/>
  <c r="AP122" i="3"/>
  <c r="AT122" i="3"/>
  <c r="J122" i="3"/>
  <c r="AI122" i="3"/>
  <c r="AR122" i="3"/>
  <c r="AE122" i="3"/>
  <c r="AM122" i="3"/>
  <c r="M122" i="3"/>
  <c r="AL122" i="3"/>
  <c r="AW122" i="3"/>
  <c r="Q122" i="3" a="1"/>
  <c r="Q122" i="3" l="1"/>
  <c r="AA122" i="3"/>
  <c r="R122" i="3"/>
  <c r="AB122" i="3" l="1"/>
  <c r="S122" i="3"/>
  <c r="Z122" i="3" l="1"/>
  <c r="Y122" i="3"/>
  <c r="T122" i="3"/>
  <c r="U122" i="3" s="1"/>
  <c r="AX121" i="3"/>
  <c r="AL121" i="3" a="1"/>
  <c r="F121" i="3"/>
  <c r="AI121" i="3" a="1"/>
  <c r="AR121" i="3" a="1"/>
  <c r="M121" i="3" a="1"/>
  <c r="AM121" i="3" a="1"/>
  <c r="AE121" i="3" a="1"/>
  <c r="J121" i="3" a="1"/>
  <c r="AJ121" i="3" a="1"/>
  <c r="AT121" i="3" a="1"/>
  <c r="AU121" i="3" a="1"/>
  <c r="L121" i="3"/>
  <c r="I121" i="3" a="1"/>
  <c r="AG121" i="3" a="1"/>
  <c r="AP121" i="3" a="1"/>
  <c r="AH121" i="3" a="1"/>
  <c r="AC121" i="3" a="1"/>
  <c r="AS121" i="3" a="1"/>
  <c r="AV121" i="3" a="1"/>
  <c r="AD121" i="3" a="1"/>
  <c r="E121" i="3"/>
  <c r="N121" i="3" a="1"/>
  <c r="AF121" i="3" a="1"/>
  <c r="BC121" i="3" a="1"/>
  <c r="AK121" i="3" a="1"/>
  <c r="K121" i="3"/>
  <c r="AN121" i="3" a="1"/>
  <c r="AO121" i="3" a="1"/>
  <c r="AQ121" i="3" a="1"/>
  <c r="H121" i="3" a="1"/>
  <c r="H121" i="3" l="1"/>
  <c r="AQ121" i="3"/>
  <c r="AO121" i="3"/>
  <c r="AN121" i="3"/>
  <c r="AK121" i="3"/>
  <c r="BC121" i="3"/>
  <c r="AF121" i="3"/>
  <c r="N121" i="3"/>
  <c r="AD121" i="3"/>
  <c r="AV121" i="3"/>
  <c r="AS121" i="3"/>
  <c r="AC121" i="3"/>
  <c r="AH121" i="3"/>
  <c r="AP121" i="3"/>
  <c r="AG121" i="3"/>
  <c r="I121" i="3"/>
  <c r="AU121" i="3"/>
  <c r="AT121" i="3"/>
  <c r="AJ121" i="3"/>
  <c r="J121" i="3"/>
  <c r="AE121" i="3"/>
  <c r="AM121" i="3"/>
  <c r="M121" i="3"/>
  <c r="AR121" i="3"/>
  <c r="AI121" i="3"/>
  <c r="AL121" i="3"/>
  <c r="AW121" i="3"/>
  <c r="Q121" i="3" a="1"/>
  <c r="Q121" i="3" l="1"/>
  <c r="AA121" i="3"/>
  <c r="R121" i="3"/>
  <c r="AB121" i="3" l="1"/>
  <c r="S121" i="3"/>
  <c r="Z121" i="3" l="1"/>
  <c r="Y121" i="3"/>
  <c r="T121" i="3"/>
  <c r="U121" i="3" s="1"/>
  <c r="AX120" i="3"/>
  <c r="AL120" i="3" a="1"/>
  <c r="AR120" i="3" a="1"/>
  <c r="AI120" i="3" a="1"/>
  <c r="M120" i="3" a="1"/>
  <c r="AM120" i="3" a="1"/>
  <c r="AE120" i="3" a="1"/>
  <c r="F120" i="3"/>
  <c r="J120" i="3" a="1"/>
  <c r="I120" i="3" a="1"/>
  <c r="AU120" i="3" a="1"/>
  <c r="L120" i="3"/>
  <c r="AG120" i="3" a="1"/>
  <c r="AP120" i="3" a="1"/>
  <c r="AJ120" i="3" a="1"/>
  <c r="AT120" i="3" a="1"/>
  <c r="AC120" i="3" a="1"/>
  <c r="AH120" i="3" a="1"/>
  <c r="AV120" i="3" a="1"/>
  <c r="AS120" i="3" a="1"/>
  <c r="AD120" i="3" a="1"/>
  <c r="N120" i="3" a="1"/>
  <c r="K120" i="3"/>
  <c r="BC120" i="3" a="1"/>
  <c r="AK120" i="3" a="1"/>
  <c r="E120" i="3"/>
  <c r="AF120" i="3" a="1"/>
  <c r="AQ120" i="3" a="1"/>
  <c r="H120" i="3" a="1"/>
  <c r="AN120" i="3" a="1"/>
  <c r="AO120" i="3" a="1"/>
  <c r="AO120" i="3" l="1"/>
  <c r="AN120" i="3"/>
  <c r="H120" i="3"/>
  <c r="AQ120" i="3"/>
  <c r="AF120" i="3"/>
  <c r="AK120" i="3"/>
  <c r="BC120" i="3"/>
  <c r="N120" i="3"/>
  <c r="AD120" i="3"/>
  <c r="AS120" i="3"/>
  <c r="AV120" i="3"/>
  <c r="AH120" i="3"/>
  <c r="AC120" i="3"/>
  <c r="AT120" i="3"/>
  <c r="AJ120" i="3"/>
  <c r="AP120" i="3"/>
  <c r="AG120" i="3"/>
  <c r="AU120" i="3"/>
  <c r="I120" i="3"/>
  <c r="J120" i="3"/>
  <c r="AE120" i="3"/>
  <c r="AM120" i="3"/>
  <c r="M120" i="3"/>
  <c r="AI120" i="3"/>
  <c r="AR120" i="3"/>
  <c r="AL120" i="3"/>
  <c r="AW120" i="3"/>
  <c r="Q120" i="3" a="1"/>
  <c r="Q120" i="3" l="1"/>
  <c r="AA120" i="3"/>
  <c r="R120" i="3"/>
  <c r="AB120" i="3" l="1"/>
  <c r="S120" i="3"/>
  <c r="Z120" i="3" l="1"/>
  <c r="Y120" i="3"/>
  <c r="T120" i="3"/>
  <c r="U120" i="3" s="1"/>
  <c r="AX119" i="3"/>
  <c r="E119" i="3"/>
  <c r="AD119" i="3" a="1"/>
  <c r="AH119" i="3" a="1"/>
  <c r="AG119" i="3" a="1"/>
  <c r="AN119" i="3" a="1"/>
  <c r="K119" i="3"/>
  <c r="AT119" i="3" a="1"/>
  <c r="AK119" i="3" a="1"/>
  <c r="AQ119" i="3" a="1"/>
  <c r="I119" i="3" a="1"/>
  <c r="AF119" i="3" a="1"/>
  <c r="J119" i="3" a="1"/>
  <c r="M119" i="3" a="1"/>
  <c r="AP119" i="3" a="1"/>
  <c r="L119" i="3"/>
  <c r="AM119" i="3" a="1"/>
  <c r="AV119" i="3" a="1"/>
  <c r="H119" i="3" a="1"/>
  <c r="N119" i="3" a="1"/>
  <c r="AS119" i="3" a="1"/>
  <c r="F119" i="3"/>
  <c r="AL119" i="3" a="1"/>
  <c r="AU119" i="3" a="1"/>
  <c r="AJ119" i="3" a="1"/>
  <c r="AE119" i="3" a="1"/>
  <c r="AI119" i="3" a="1"/>
  <c r="AO119" i="3" a="1"/>
  <c r="AR119" i="3" a="1"/>
  <c r="AC119" i="3" a="1"/>
  <c r="BC119" i="3" a="1"/>
  <c r="BC119" i="3" l="1"/>
  <c r="AC119" i="3"/>
  <c r="AR119" i="3"/>
  <c r="AO119" i="3"/>
  <c r="AI119" i="3"/>
  <c r="AE119" i="3"/>
  <c r="AJ119" i="3"/>
  <c r="AU119" i="3"/>
  <c r="AL119" i="3"/>
  <c r="AS119" i="3"/>
  <c r="N119" i="3"/>
  <c r="H119" i="3"/>
  <c r="AV119" i="3"/>
  <c r="AW119" i="3" s="1"/>
  <c r="AM119" i="3"/>
  <c r="AP119" i="3"/>
  <c r="M119" i="3"/>
  <c r="J119" i="3"/>
  <c r="AF119" i="3"/>
  <c r="I119" i="3"/>
  <c r="AQ119" i="3"/>
  <c r="AK119" i="3"/>
  <c r="AT119" i="3"/>
  <c r="AN119" i="3"/>
  <c r="AG119" i="3"/>
  <c r="AH119" i="3"/>
  <c r="AD119" i="3"/>
  <c r="Q119" i="3" a="1"/>
  <c r="Q119" i="3" l="1"/>
  <c r="AA119" i="3"/>
  <c r="R119" i="3"/>
  <c r="AB119" i="3" l="1"/>
  <c r="S119" i="3"/>
  <c r="Z119" i="3" l="1"/>
  <c r="Y119" i="3"/>
  <c r="X119" i="3"/>
  <c r="T119" i="3"/>
  <c r="U119" i="3" s="1"/>
  <c r="AX118" i="3"/>
  <c r="E118" i="3"/>
  <c r="AH118" i="3" a="1"/>
  <c r="AD118" i="3" a="1"/>
  <c r="AN118" i="3" a="1"/>
  <c r="K118" i="3"/>
  <c r="AG118" i="3" a="1"/>
  <c r="AT118" i="3" a="1"/>
  <c r="AK118" i="3" a="1"/>
  <c r="J118" i="3" a="1"/>
  <c r="M118" i="3" a="1"/>
  <c r="AQ118" i="3" a="1"/>
  <c r="I118" i="3" a="1"/>
  <c r="AF118" i="3" a="1"/>
  <c r="AP118" i="3" a="1"/>
  <c r="AM118" i="3" a="1"/>
  <c r="AV118" i="3" a="1"/>
  <c r="H118" i="3" a="1"/>
  <c r="L118" i="3"/>
  <c r="N118" i="3" a="1"/>
  <c r="F118" i="3"/>
  <c r="AL118" i="3" a="1"/>
  <c r="AS118" i="3" a="1"/>
  <c r="AU118" i="3" a="1"/>
  <c r="AJ118" i="3" a="1"/>
  <c r="AC118" i="3" a="1"/>
  <c r="AE118" i="3" a="1"/>
  <c r="BC118" i="3" a="1"/>
  <c r="AI118" i="3" a="1"/>
  <c r="AO118" i="3" a="1"/>
  <c r="AR118" i="3" a="1"/>
  <c r="AR118" i="3" l="1"/>
  <c r="AO118" i="3"/>
  <c r="AI118" i="3"/>
  <c r="BC118" i="3"/>
  <c r="AE118" i="3"/>
  <c r="AC118" i="3"/>
  <c r="AJ118" i="3"/>
  <c r="AU118" i="3"/>
  <c r="AS118" i="3"/>
  <c r="AL118" i="3"/>
  <c r="N118" i="3"/>
  <c r="H118" i="3"/>
  <c r="AV118" i="3"/>
  <c r="AW118" i="3" s="1"/>
  <c r="AM118" i="3"/>
  <c r="AP118" i="3"/>
  <c r="AF118" i="3"/>
  <c r="I118" i="3"/>
  <c r="AQ118" i="3"/>
  <c r="M118" i="3"/>
  <c r="J118" i="3"/>
  <c r="AK118" i="3"/>
  <c r="AT118" i="3"/>
  <c r="AG118" i="3"/>
  <c r="AN118" i="3"/>
  <c r="AD118" i="3"/>
  <c r="AH118" i="3"/>
  <c r="Q118" i="3" a="1"/>
  <c r="Q118" i="3" l="1"/>
  <c r="AA118" i="3"/>
  <c r="R118" i="3"/>
  <c r="AB118" i="3" l="1"/>
  <c r="S118" i="3"/>
  <c r="Y118" i="3" l="1"/>
  <c r="X118" i="3"/>
  <c r="Z118" i="3"/>
  <c r="T118" i="3"/>
  <c r="U118" i="3" s="1"/>
  <c r="AX117" i="3"/>
  <c r="E117" i="3"/>
  <c r="AN117" i="3" a="1"/>
  <c r="K117" i="3"/>
  <c r="AG117" i="3" a="1"/>
  <c r="AT117" i="3" a="1"/>
  <c r="AH117" i="3" a="1"/>
  <c r="AD117" i="3" a="1"/>
  <c r="AK117" i="3" a="1"/>
  <c r="AQ117" i="3" a="1"/>
  <c r="AF117" i="3" a="1"/>
  <c r="I117" i="3" a="1"/>
  <c r="J117" i="3" a="1"/>
  <c r="M117" i="3" a="1"/>
  <c r="AP117" i="3" a="1"/>
  <c r="AV117" i="3" a="1"/>
  <c r="H117" i="3" a="1"/>
  <c r="L117" i="3"/>
  <c r="AM117" i="3" a="1"/>
  <c r="N117" i="3" a="1"/>
  <c r="F117" i="3"/>
  <c r="AL117" i="3" a="1"/>
  <c r="AS117" i="3" a="1"/>
  <c r="AU117" i="3" a="1"/>
  <c r="AJ117" i="3" a="1"/>
  <c r="AI117" i="3" a="1"/>
  <c r="AO117" i="3" a="1"/>
  <c r="AC117" i="3" a="1"/>
  <c r="BC117" i="3" a="1"/>
  <c r="AR117" i="3" a="1"/>
  <c r="AE117" i="3" a="1"/>
  <c r="AE117" i="3" l="1"/>
  <c r="AR117" i="3"/>
  <c r="BC117" i="3"/>
  <c r="AC117" i="3"/>
  <c r="AO117" i="3"/>
  <c r="AI117" i="3"/>
  <c r="AJ117" i="3"/>
  <c r="AU117" i="3"/>
  <c r="AS117" i="3"/>
  <c r="AL117" i="3"/>
  <c r="N117" i="3"/>
  <c r="AM117" i="3"/>
  <c r="H117" i="3"/>
  <c r="AV117" i="3"/>
  <c r="AP117" i="3"/>
  <c r="M117" i="3"/>
  <c r="J117" i="3"/>
  <c r="I117" i="3"/>
  <c r="AF117" i="3"/>
  <c r="AQ117" i="3"/>
  <c r="AK117" i="3"/>
  <c r="AD117" i="3"/>
  <c r="AH117" i="3"/>
  <c r="AT117" i="3"/>
  <c r="AG117" i="3"/>
  <c r="AN117" i="3"/>
  <c r="BD117" i="3"/>
  <c r="Q117" i="3" a="1"/>
  <c r="Q117" i="3" l="1"/>
  <c r="AW117" i="3"/>
  <c r="AA117" i="3" l="1"/>
  <c r="R117" i="3"/>
  <c r="AB117" i="3" l="1"/>
  <c r="S117" i="3"/>
  <c r="Z117" i="3" l="1"/>
  <c r="Y117" i="3"/>
  <c r="X117" i="3"/>
  <c r="T117" i="3"/>
  <c r="U117" i="3" s="1"/>
  <c r="AX116" i="3"/>
  <c r="E116" i="3"/>
  <c r="AT116" i="3" a="1"/>
  <c r="K116" i="3"/>
  <c r="AH116" i="3" a="1"/>
  <c r="AD116" i="3" a="1"/>
  <c r="AN116" i="3" a="1"/>
  <c r="AG116" i="3" a="1"/>
  <c r="AK116" i="3" a="1"/>
  <c r="AP116" i="3" a="1"/>
  <c r="AQ116" i="3" a="1"/>
  <c r="I116" i="3" a="1"/>
  <c r="AF116" i="3" a="1"/>
  <c r="J116" i="3" a="1"/>
  <c r="M116" i="3" a="1"/>
  <c r="H116" i="3" a="1"/>
  <c r="AM116" i="3" a="1"/>
  <c r="AV116" i="3" a="1"/>
  <c r="L116" i="3"/>
  <c r="N116" i="3" a="1"/>
  <c r="F116" i="3"/>
  <c r="AU116" i="3" a="1"/>
  <c r="AL116" i="3" a="1"/>
  <c r="AS116" i="3" a="1"/>
  <c r="AJ116" i="3" a="1"/>
  <c r="AI116" i="3" a="1"/>
  <c r="AC116" i="3" a="1"/>
  <c r="AO116" i="3" a="1"/>
  <c r="AR116" i="3" a="1"/>
  <c r="AE116" i="3" a="1"/>
  <c r="AE116" i="3" l="1"/>
  <c r="AR116" i="3"/>
  <c r="AO116" i="3"/>
  <c r="AC116" i="3"/>
  <c r="AI116" i="3"/>
  <c r="AJ116" i="3"/>
  <c r="AS116" i="3"/>
  <c r="AL116" i="3"/>
  <c r="AU116" i="3"/>
  <c r="N116" i="3"/>
  <c r="AV116" i="3"/>
  <c r="AM116" i="3"/>
  <c r="H116" i="3"/>
  <c r="M116" i="3"/>
  <c r="J116" i="3"/>
  <c r="AF116" i="3"/>
  <c r="I116" i="3"/>
  <c r="AQ116" i="3"/>
  <c r="AP116" i="3"/>
  <c r="AK116" i="3"/>
  <c r="AG116" i="3"/>
  <c r="AN116" i="3"/>
  <c r="AD116" i="3"/>
  <c r="AH116" i="3"/>
  <c r="AT116" i="3"/>
  <c r="BD116" i="3"/>
  <c r="Q116" i="3" a="1"/>
  <c r="Q116" i="3" l="1"/>
  <c r="AW116" i="3"/>
  <c r="AA116" i="3" l="1"/>
  <c r="R116" i="3"/>
  <c r="AB116" i="3" l="1"/>
  <c r="S116" i="3"/>
  <c r="Z116" i="3" l="1"/>
  <c r="Y116" i="3"/>
  <c r="X116" i="3"/>
  <c r="T116" i="3"/>
  <c r="U116" i="3" s="1"/>
  <c r="AX115" i="3"/>
  <c r="AW115" i="3" l="1"/>
  <c r="AA115" i="3" l="1"/>
  <c r="R115" i="3"/>
  <c r="AB115" i="3" l="1"/>
  <c r="S115" i="3"/>
  <c r="Z115" i="3" l="1"/>
  <c r="Y115" i="3"/>
  <c r="X115" i="3"/>
  <c r="T115" i="3"/>
  <c r="U115" i="3" s="1"/>
  <c r="AX114" i="3"/>
  <c r="AW114" i="3" l="1"/>
  <c r="AA114" i="3" l="1"/>
  <c r="R114" i="3"/>
  <c r="AB114" i="3" l="1"/>
  <c r="S114" i="3"/>
  <c r="Z114" i="3" l="1"/>
  <c r="Y114" i="3"/>
  <c r="X114" i="3"/>
  <c r="T114" i="3"/>
  <c r="U114" i="3" s="1"/>
  <c r="AX113" i="3"/>
  <c r="AW113" i="3" l="1"/>
  <c r="AA113" i="3" l="1"/>
  <c r="R113" i="3"/>
  <c r="AB113" i="3" l="1"/>
  <c r="S113" i="3"/>
  <c r="Z113" i="3" l="1"/>
  <c r="Y113" i="3"/>
  <c r="T113" i="3"/>
  <c r="U113" i="3" s="1"/>
  <c r="AX112" i="3"/>
  <c r="AW112" i="3" l="1"/>
  <c r="AA112" i="3" l="1"/>
  <c r="R112" i="3"/>
  <c r="AB112" i="3" l="1"/>
  <c r="S112" i="3"/>
  <c r="Z112" i="3" l="1"/>
  <c r="Y112" i="3"/>
  <c r="T112" i="3"/>
  <c r="U112" i="3" s="1"/>
  <c r="AX111" i="3"/>
  <c r="AW111" i="3" l="1"/>
  <c r="AA111" i="3" l="1"/>
  <c r="R111" i="3"/>
  <c r="AB111" i="3" l="1"/>
  <c r="S111" i="3"/>
  <c r="Y111" i="3" l="1"/>
  <c r="X111" i="3"/>
  <c r="Z111" i="3"/>
  <c r="T111" i="3"/>
  <c r="U111" i="3" s="1"/>
  <c r="AX110" i="3"/>
  <c r="AW110" i="3" l="1"/>
  <c r="AA110" i="3" l="1"/>
  <c r="R110" i="3"/>
  <c r="AB110" i="3" l="1"/>
  <c r="S110" i="3"/>
  <c r="Z110" i="3" l="1"/>
  <c r="Y110" i="3"/>
  <c r="X110" i="3"/>
  <c r="T110" i="3"/>
  <c r="U110" i="3" s="1"/>
  <c r="AX109" i="3"/>
  <c r="AW109" i="3" l="1"/>
  <c r="AA109" i="3" l="1"/>
  <c r="R109" i="3"/>
  <c r="AB109" i="3" l="1"/>
  <c r="S109" i="3"/>
  <c r="Z109" i="3" l="1"/>
  <c r="Y109" i="3"/>
  <c r="X109" i="3"/>
  <c r="T109" i="3"/>
  <c r="U109" i="3" s="1"/>
  <c r="AX108" i="3"/>
  <c r="AW108" i="3" l="1"/>
  <c r="AA108" i="3" l="1"/>
  <c r="R108" i="3"/>
  <c r="AB108" i="3" l="1"/>
  <c r="S108" i="3"/>
  <c r="Z108" i="3" l="1"/>
  <c r="X108" i="3"/>
  <c r="Y108" i="3"/>
  <c r="T108" i="3"/>
  <c r="U108" i="3" s="1"/>
  <c r="AX107" i="3"/>
  <c r="AW107" i="3" l="1"/>
  <c r="AA107" i="3" l="1"/>
  <c r="R107" i="3"/>
  <c r="AB107" i="3" l="1"/>
  <c r="S107" i="3"/>
  <c r="Z107" i="3" l="1"/>
  <c r="X107" i="3"/>
  <c r="Y107" i="3"/>
  <c r="T107" i="3"/>
  <c r="U107" i="3" s="1"/>
  <c r="AX106" i="3"/>
  <c r="AW106" i="3" l="1"/>
  <c r="AA106" i="3" l="1"/>
  <c r="R106" i="3"/>
  <c r="AB106" i="3" l="1"/>
  <c r="S106" i="3"/>
  <c r="Z106" i="3" l="1"/>
  <c r="Y106" i="3"/>
  <c r="T106" i="3"/>
  <c r="U106" i="3" s="1"/>
  <c r="AX105" i="3"/>
  <c r="AW105" i="3" l="1"/>
  <c r="O105" i="3" l="1"/>
  <c r="AA105" i="3" l="1"/>
  <c r="R105" i="3"/>
  <c r="AB105" i="3" l="1"/>
  <c r="S105" i="3"/>
  <c r="Z105" i="3" l="1"/>
  <c r="Y105" i="3"/>
  <c r="T105" i="3"/>
  <c r="U105" i="3" s="1"/>
  <c r="AX104" i="3"/>
  <c r="AW104" i="3" l="1"/>
  <c r="AA104" i="3" l="1"/>
  <c r="R104" i="3"/>
  <c r="AB104" i="3" l="1"/>
  <c r="S104" i="3"/>
  <c r="Z104" i="3" l="1"/>
  <c r="Y104" i="3"/>
  <c r="T104" i="3"/>
  <c r="U104" i="3" s="1"/>
  <c r="AX103" i="3"/>
  <c r="AW103" i="3" l="1"/>
  <c r="AA103" i="3" l="1"/>
  <c r="R103" i="3"/>
  <c r="AB103" i="3" l="1"/>
  <c r="S103" i="3"/>
  <c r="Y103" i="3" l="1"/>
  <c r="X103" i="3"/>
  <c r="Z103" i="3"/>
  <c r="T103" i="3"/>
  <c r="U103" i="3" s="1"/>
  <c r="AX102" i="3"/>
  <c r="AN102" i="3" a="1"/>
  <c r="K102" i="3"/>
  <c r="AG102" i="3" a="1"/>
  <c r="AQ102" i="3" a="1"/>
  <c r="F102" i="3"/>
  <c r="AR102" i="3" a="1"/>
  <c r="AC102" i="3" a="1"/>
  <c r="AH102" i="3" a="1"/>
  <c r="AM102" i="3" a="1"/>
  <c r="AI102" i="3" a="1"/>
  <c r="AL102" i="3" a="1"/>
  <c r="AE102" i="3" a="1"/>
  <c r="AT102" i="3" a="1"/>
  <c r="I102" i="3" a="1"/>
  <c r="AO102" i="3" a="1"/>
  <c r="AK102" i="3" a="1"/>
  <c r="AJ102" i="3" a="1"/>
  <c r="AU102" i="3" a="1"/>
  <c r="AF102" i="3" a="1"/>
  <c r="BC102" i="3" a="1"/>
  <c r="AV102" i="3" a="1"/>
  <c r="L102" i="3"/>
  <c r="N102" i="3" a="1"/>
  <c r="AS102" i="3" a="1"/>
  <c r="E102" i="3"/>
  <c r="J102" i="3" a="1"/>
  <c r="AP102" i="3" a="1"/>
  <c r="M102" i="3" a="1"/>
  <c r="H102" i="3" a="1"/>
  <c r="AD102" i="3" a="1"/>
  <c r="AD102" i="3" l="1"/>
  <c r="H102" i="3"/>
  <c r="M102" i="3"/>
  <c r="AP102" i="3"/>
  <c r="J102" i="3"/>
  <c r="AS102" i="3"/>
  <c r="N102" i="3"/>
  <c r="AV102" i="3"/>
  <c r="BC102" i="3"/>
  <c r="AF102" i="3"/>
  <c r="AU102" i="3"/>
  <c r="AJ102" i="3"/>
  <c r="AK102" i="3"/>
  <c r="AO102" i="3"/>
  <c r="I102" i="3"/>
  <c r="AT102" i="3"/>
  <c r="AE102" i="3"/>
  <c r="AL102" i="3"/>
  <c r="AI102" i="3"/>
  <c r="AM102" i="3"/>
  <c r="AH102" i="3"/>
  <c r="AC102" i="3"/>
  <c r="AR102" i="3"/>
  <c r="AQ102" i="3"/>
  <c r="AG102" i="3"/>
  <c r="AN102" i="3"/>
  <c r="AW102" i="3"/>
  <c r="Q102" i="3" a="1"/>
  <c r="Q102" i="3" l="1"/>
  <c r="AA102" i="3"/>
  <c r="R102" i="3"/>
  <c r="AB102" i="3" l="1"/>
  <c r="S102" i="3"/>
  <c r="Y102" i="3" l="1"/>
  <c r="X102" i="3"/>
  <c r="Z102" i="3"/>
  <c r="T102" i="3"/>
  <c r="U102" i="3" s="1"/>
  <c r="AX101" i="3"/>
  <c r="AN101" i="3" a="1"/>
  <c r="K101" i="3"/>
  <c r="AR101" i="3" a="1"/>
  <c r="F101" i="3"/>
  <c r="AQ101" i="3" a="1"/>
  <c r="AG101" i="3" a="1"/>
  <c r="AM101" i="3" a="1"/>
  <c r="AH101" i="3" a="1"/>
  <c r="AC101" i="3" a="1"/>
  <c r="AI101" i="3" a="1"/>
  <c r="AT101" i="3" a="1"/>
  <c r="I101" i="3" a="1"/>
  <c r="AO101" i="3" a="1"/>
  <c r="AK101" i="3" a="1"/>
  <c r="AJ101" i="3" a="1"/>
  <c r="AU101" i="3" a="1"/>
  <c r="AF101" i="3" a="1"/>
  <c r="AL101" i="3" a="1"/>
  <c r="AE101" i="3" a="1"/>
  <c r="L101" i="3"/>
  <c r="AV101" i="3" a="1"/>
  <c r="BC101" i="3" a="1"/>
  <c r="AS101" i="3" a="1"/>
  <c r="E101" i="3"/>
  <c r="N101" i="3" a="1"/>
  <c r="J101" i="3" a="1"/>
  <c r="AP101" i="3" a="1"/>
  <c r="AD101" i="3" a="1"/>
  <c r="H101" i="3" a="1"/>
  <c r="M101" i="3" a="1"/>
  <c r="M101" i="3" l="1"/>
  <c r="H101" i="3"/>
  <c r="AD101" i="3"/>
  <c r="AP101" i="3"/>
  <c r="J101" i="3"/>
  <c r="N101" i="3"/>
  <c r="AS101" i="3"/>
  <c r="BC101" i="3"/>
  <c r="AV101" i="3"/>
  <c r="AE101" i="3"/>
  <c r="AL101" i="3"/>
  <c r="AF101" i="3"/>
  <c r="AU101" i="3"/>
  <c r="AJ101" i="3"/>
  <c r="AK101" i="3"/>
  <c r="AO101" i="3"/>
  <c r="I101" i="3"/>
  <c r="AT101" i="3"/>
  <c r="AI101" i="3"/>
  <c r="AC101" i="3"/>
  <c r="AH101" i="3"/>
  <c r="AM101" i="3"/>
  <c r="AG101" i="3"/>
  <c r="AQ101" i="3"/>
  <c r="AR101" i="3"/>
  <c r="AN101" i="3"/>
  <c r="AW101" i="3"/>
  <c r="Q101" i="3" a="1"/>
  <c r="Q101" i="3" l="1"/>
  <c r="AA101" i="3"/>
  <c r="R101" i="3"/>
  <c r="AB101" i="3" l="1"/>
  <c r="S101" i="3"/>
  <c r="Z101" i="3" l="1"/>
  <c r="Y101" i="3"/>
  <c r="X101" i="3"/>
  <c r="T101" i="3"/>
  <c r="U101" i="3" s="1"/>
  <c r="AX100" i="3"/>
  <c r="AN100" i="3" a="1"/>
  <c r="K100" i="3"/>
  <c r="F100" i="3"/>
  <c r="AG100" i="3" a="1"/>
  <c r="AQ100" i="3" a="1"/>
  <c r="AR100" i="3" a="1"/>
  <c r="AM100" i="3" a="1"/>
  <c r="AI100" i="3" a="1"/>
  <c r="AC100" i="3" a="1"/>
  <c r="AH100" i="3" a="1"/>
  <c r="AK100" i="3" a="1"/>
  <c r="AJ100" i="3" a="1"/>
  <c r="AF100" i="3" a="1"/>
  <c r="AL100" i="3" a="1"/>
  <c r="AE100" i="3" a="1"/>
  <c r="AU100" i="3" a="1"/>
  <c r="AT100" i="3" a="1"/>
  <c r="I100" i="3" a="1"/>
  <c r="AO100" i="3" a="1"/>
  <c r="AV100" i="3" a="1"/>
  <c r="BC100" i="3" a="1"/>
  <c r="L100" i="3"/>
  <c r="N100" i="3" a="1"/>
  <c r="E100" i="3"/>
  <c r="AP100" i="3" a="1"/>
  <c r="H100" i="3" a="1"/>
  <c r="AD100" i="3" a="1"/>
  <c r="M100" i="3" a="1"/>
  <c r="AS100" i="3" a="1"/>
  <c r="J100" i="3" a="1"/>
  <c r="J100" i="3" l="1"/>
  <c r="AS100" i="3"/>
  <c r="M100" i="3"/>
  <c r="AD100" i="3"/>
  <c r="H100" i="3"/>
  <c r="AP100" i="3"/>
  <c r="N100" i="3"/>
  <c r="BC100" i="3"/>
  <c r="AV100" i="3"/>
  <c r="AO100" i="3"/>
  <c r="I100" i="3"/>
  <c r="AT100" i="3"/>
  <c r="AU100" i="3"/>
  <c r="AW100" i="3" s="1"/>
  <c r="AE100" i="3"/>
  <c r="AL100" i="3"/>
  <c r="AF100" i="3"/>
  <c r="AJ100" i="3"/>
  <c r="AK100" i="3"/>
  <c r="AH100" i="3"/>
  <c r="AC100" i="3"/>
  <c r="AI100" i="3"/>
  <c r="AM100" i="3"/>
  <c r="AR100" i="3"/>
  <c r="AQ100" i="3"/>
  <c r="AG100" i="3"/>
  <c r="AN100" i="3"/>
  <c r="Q100" i="3" a="1"/>
  <c r="Q100" i="3" l="1"/>
  <c r="AA100" i="3"/>
  <c r="R100" i="3"/>
  <c r="AB100" i="3" l="1"/>
  <c r="S100" i="3"/>
  <c r="Y100" i="3" l="1"/>
  <c r="Z100" i="3"/>
  <c r="T100" i="3"/>
  <c r="U100" i="3" s="1"/>
  <c r="AX99" i="3"/>
  <c r="AW99" i="3" l="1"/>
  <c r="AA99" i="3" l="1"/>
  <c r="R99" i="3"/>
  <c r="AB99" i="3" l="1"/>
  <c r="S99" i="3"/>
  <c r="Z99" i="3" l="1"/>
  <c r="Y99" i="3"/>
  <c r="X99" i="3"/>
  <c r="T99" i="3"/>
  <c r="U99" i="3" s="1"/>
  <c r="AX98" i="3"/>
  <c r="AW98" i="3" l="1"/>
  <c r="AA98" i="3" l="1"/>
  <c r="R98" i="3"/>
  <c r="AB98" i="3" l="1"/>
  <c r="S98" i="3"/>
  <c r="Z98" i="3" l="1"/>
  <c r="Y98" i="3"/>
  <c r="X98" i="3"/>
  <c r="T98" i="3"/>
  <c r="U98" i="3" s="1"/>
  <c r="AX97" i="3"/>
  <c r="AW97" i="3" l="1"/>
  <c r="AA97" i="3" l="1"/>
  <c r="R97" i="3"/>
  <c r="AB97" i="3" l="1"/>
  <c r="S97" i="3"/>
  <c r="Y97" i="3" l="1"/>
  <c r="Z97" i="3"/>
  <c r="T97" i="3"/>
  <c r="U97" i="3" s="1"/>
  <c r="AX96" i="3"/>
  <c r="AW96" i="3" l="1"/>
  <c r="AA96" i="3" l="1"/>
  <c r="R96" i="3"/>
  <c r="AB96" i="3" l="1"/>
  <c r="S96" i="3"/>
  <c r="Y96" i="3" l="1"/>
  <c r="Z96" i="3"/>
  <c r="T96" i="3"/>
  <c r="U96" i="3" s="1"/>
  <c r="AX95" i="3"/>
  <c r="AW95" i="3" l="1"/>
  <c r="AA95" i="3" l="1"/>
  <c r="R95" i="3"/>
  <c r="AB95" i="3" l="1"/>
  <c r="S95" i="3"/>
  <c r="Y95" i="3" l="1"/>
  <c r="Z95" i="3"/>
  <c r="T95" i="3"/>
  <c r="U95" i="3" s="1"/>
  <c r="AX94" i="3"/>
  <c r="AN94" i="3" a="1"/>
  <c r="AC94" i="3" a="1"/>
  <c r="AL94" i="3" a="1"/>
  <c r="AI94" i="3" a="1"/>
  <c r="AR94" i="3" a="1"/>
  <c r="AO94" i="3" a="1"/>
  <c r="AS94" i="3" a="1"/>
  <c r="AF94" i="3" a="1"/>
  <c r="I94" i="3" a="1"/>
  <c r="L94" i="3"/>
  <c r="M94" i="3" a="1"/>
  <c r="J94" i="3" a="1"/>
  <c r="AQ94" i="3" a="1"/>
  <c r="BC94" i="3" a="1"/>
  <c r="AJ94" i="3" a="1"/>
  <c r="AK94" i="3" a="1"/>
  <c r="AG94" i="3" a="1"/>
  <c r="AE94" i="3" a="1"/>
  <c r="AH94" i="3" a="1"/>
  <c r="E94" i="3"/>
  <c r="K94" i="3"/>
  <c r="F94" i="3"/>
  <c r="AP94" i="3" a="1"/>
  <c r="AV94" i="3" a="1"/>
  <c r="AU94" i="3" a="1"/>
  <c r="AT94" i="3" a="1"/>
  <c r="AM94" i="3" a="1"/>
  <c r="H94" i="3" a="1"/>
  <c r="AD94" i="3" a="1"/>
  <c r="N94" i="3" a="1"/>
  <c r="N94" i="3" l="1"/>
  <c r="AD94" i="3"/>
  <c r="H94" i="3"/>
  <c r="AM94" i="3"/>
  <c r="AT94" i="3"/>
  <c r="AU94" i="3"/>
  <c r="AW94" i="3" s="1"/>
  <c r="AV94" i="3"/>
  <c r="AP94" i="3"/>
  <c r="AH94" i="3"/>
  <c r="AE94" i="3"/>
  <c r="AG94" i="3"/>
  <c r="AK94" i="3"/>
  <c r="AJ94" i="3"/>
  <c r="BC94" i="3"/>
  <c r="AQ94" i="3"/>
  <c r="J94" i="3"/>
  <c r="M94" i="3"/>
  <c r="I94" i="3"/>
  <c r="AF94" i="3"/>
  <c r="AS94" i="3"/>
  <c r="AO94" i="3"/>
  <c r="AR94" i="3"/>
  <c r="AI94" i="3"/>
  <c r="AL94" i="3"/>
  <c r="AC94" i="3"/>
  <c r="AN94" i="3"/>
  <c r="Q94" i="3" a="1"/>
  <c r="Q94" i="3" l="1"/>
  <c r="AA94" i="3"/>
  <c r="R94" i="3"/>
  <c r="AB94" i="3" l="1"/>
  <c r="S94" i="3"/>
  <c r="Z94" i="3" l="1"/>
  <c r="Y94" i="3"/>
  <c r="X94" i="3"/>
  <c r="T94" i="3"/>
  <c r="U94" i="3" s="1"/>
  <c r="AX93" i="3"/>
  <c r="AN93" i="3" a="1"/>
  <c r="AL93" i="3" a="1"/>
  <c r="AC93" i="3" a="1"/>
  <c r="AF93" i="3" a="1"/>
  <c r="AO93" i="3" a="1"/>
  <c r="AS93" i="3" a="1"/>
  <c r="AR93" i="3" a="1"/>
  <c r="AI93" i="3" a="1"/>
  <c r="I93" i="3" a="1"/>
  <c r="L93" i="3"/>
  <c r="AQ93" i="3" a="1"/>
  <c r="J93" i="3" a="1"/>
  <c r="M93" i="3" a="1"/>
  <c r="BC93" i="3" a="1"/>
  <c r="AK93" i="3" a="1"/>
  <c r="AE93" i="3" a="1"/>
  <c r="AJ93" i="3" a="1"/>
  <c r="AG93" i="3" a="1"/>
  <c r="AH93" i="3" a="1"/>
  <c r="K93" i="3"/>
  <c r="E93" i="3"/>
  <c r="AV93" i="3" a="1"/>
  <c r="AP93" i="3" a="1"/>
  <c r="F93" i="3"/>
  <c r="AU93" i="3" a="1"/>
  <c r="AM93" i="3" a="1"/>
  <c r="H93" i="3" a="1"/>
  <c r="AD93" i="3" a="1"/>
  <c r="AT93" i="3" a="1"/>
  <c r="N93" i="3" a="1"/>
  <c r="N93" i="3" l="1"/>
  <c r="AT93" i="3"/>
  <c r="AD93" i="3"/>
  <c r="H93" i="3"/>
  <c r="AM93" i="3"/>
  <c r="AU93" i="3"/>
  <c r="AW93" i="3" s="1"/>
  <c r="AP93" i="3"/>
  <c r="AV93" i="3"/>
  <c r="AH93" i="3"/>
  <c r="AG93" i="3"/>
  <c r="AJ93" i="3"/>
  <c r="AE93" i="3"/>
  <c r="AK93" i="3"/>
  <c r="BC93" i="3"/>
  <c r="M93" i="3"/>
  <c r="J93" i="3"/>
  <c r="AQ93" i="3"/>
  <c r="I93" i="3"/>
  <c r="AI93" i="3"/>
  <c r="AR93" i="3"/>
  <c r="AS93" i="3"/>
  <c r="AO93" i="3"/>
  <c r="AF93" i="3"/>
  <c r="AC93" i="3"/>
  <c r="AL93" i="3"/>
  <c r="AN93" i="3"/>
  <c r="Q93" i="3" a="1"/>
  <c r="Q93" i="3" l="1"/>
  <c r="AA93" i="3"/>
  <c r="R93" i="3"/>
  <c r="AB93" i="3" l="1"/>
  <c r="S93" i="3"/>
  <c r="Z93" i="3" l="1"/>
  <c r="Y93" i="3"/>
  <c r="X93" i="3"/>
  <c r="T93" i="3"/>
  <c r="U93" i="3" s="1"/>
  <c r="AX92" i="3"/>
  <c r="AL92" i="3" a="1"/>
  <c r="AS92" i="3" a="1"/>
  <c r="AF92" i="3" a="1"/>
  <c r="AO92" i="3" a="1"/>
  <c r="AR92" i="3" a="1"/>
  <c r="AI92" i="3" a="1"/>
  <c r="AN92" i="3" a="1"/>
  <c r="AC92" i="3" a="1"/>
  <c r="I92" i="3" a="1"/>
  <c r="L92" i="3"/>
  <c r="J92" i="3" a="1"/>
  <c r="AQ92" i="3" a="1"/>
  <c r="M92" i="3" a="1"/>
  <c r="BC92" i="3" a="1"/>
  <c r="AK92" i="3" a="1"/>
  <c r="AE92" i="3" a="1"/>
  <c r="AJ92" i="3" a="1"/>
  <c r="AG92" i="3" a="1"/>
  <c r="AH92" i="3" a="1"/>
  <c r="E92" i="3"/>
  <c r="K92" i="3"/>
  <c r="AP92" i="3" a="1"/>
  <c r="F92" i="3"/>
  <c r="AV92" i="3" a="1"/>
  <c r="H92" i="3" a="1"/>
  <c r="AU92" i="3" a="1"/>
  <c r="AM92" i="3" a="1"/>
  <c r="AD92" i="3" a="1"/>
  <c r="AT92" i="3" a="1"/>
  <c r="N92" i="3" a="1"/>
  <c r="N92" i="3" l="1"/>
  <c r="AT92" i="3"/>
  <c r="AD92" i="3"/>
  <c r="AM92" i="3"/>
  <c r="AU92" i="3"/>
  <c r="AW92" i="3" s="1"/>
  <c r="H92" i="3"/>
  <c r="AV92" i="3"/>
  <c r="AP92" i="3"/>
  <c r="AH92" i="3"/>
  <c r="AG92" i="3"/>
  <c r="AJ92" i="3"/>
  <c r="AE92" i="3"/>
  <c r="AK92" i="3"/>
  <c r="BC92" i="3"/>
  <c r="M92" i="3"/>
  <c r="AQ92" i="3"/>
  <c r="J92" i="3"/>
  <c r="I92" i="3"/>
  <c r="AC92" i="3"/>
  <c r="AN92" i="3"/>
  <c r="AI92" i="3"/>
  <c r="AR92" i="3"/>
  <c r="AO92" i="3"/>
  <c r="AF92" i="3"/>
  <c r="AS92" i="3"/>
  <c r="AL92" i="3"/>
  <c r="Q92" i="3" a="1"/>
  <c r="Q92" i="3" l="1"/>
  <c r="AA92" i="3"/>
  <c r="R92" i="3"/>
  <c r="AB92" i="3" l="1"/>
  <c r="S92" i="3"/>
  <c r="Z92" i="3" l="1"/>
  <c r="Y92" i="3"/>
  <c r="X92" i="3"/>
  <c r="T92" i="3"/>
  <c r="U92" i="3" s="1"/>
  <c r="AX91" i="3"/>
  <c r="AF91" i="3" a="1"/>
  <c r="AO91" i="3" a="1"/>
  <c r="AS91" i="3" a="1"/>
  <c r="AI91" i="3" a="1"/>
  <c r="AN91" i="3" a="1"/>
  <c r="AR91" i="3" a="1"/>
  <c r="AC91" i="3" a="1"/>
  <c r="AL91" i="3" a="1"/>
  <c r="I91" i="3" a="1"/>
  <c r="L91" i="3"/>
  <c r="J91" i="3" a="1"/>
  <c r="M91" i="3" a="1"/>
  <c r="AQ91" i="3" a="1"/>
  <c r="AK91" i="3" a="1"/>
  <c r="BC91" i="3" a="1"/>
  <c r="AE91" i="3" a="1"/>
  <c r="AJ91" i="3" a="1"/>
  <c r="AG91" i="3" a="1"/>
  <c r="AH91" i="3" a="1"/>
  <c r="K91" i="3"/>
  <c r="E91" i="3"/>
  <c r="AV91" i="3" a="1"/>
  <c r="AP91" i="3" a="1"/>
  <c r="F91" i="3"/>
  <c r="AT91" i="3" a="1"/>
  <c r="H91" i="3" a="1"/>
  <c r="AD91" i="3" a="1"/>
  <c r="AU91" i="3" a="1"/>
  <c r="AM91" i="3" a="1"/>
  <c r="N91" i="3" a="1"/>
  <c r="N91" i="3" l="1"/>
  <c r="AM91" i="3"/>
  <c r="AU91" i="3"/>
  <c r="AD91" i="3"/>
  <c r="H91" i="3"/>
  <c r="AT91" i="3"/>
  <c r="AP91" i="3"/>
  <c r="AV91" i="3"/>
  <c r="AH91" i="3"/>
  <c r="AG91" i="3"/>
  <c r="AJ91" i="3"/>
  <c r="AE91" i="3"/>
  <c r="BC91" i="3"/>
  <c r="AK91" i="3"/>
  <c r="AQ91" i="3"/>
  <c r="M91" i="3"/>
  <c r="J91" i="3"/>
  <c r="I91" i="3"/>
  <c r="AL91" i="3"/>
  <c r="AC91" i="3"/>
  <c r="AR91" i="3"/>
  <c r="AN91" i="3"/>
  <c r="AI91" i="3"/>
  <c r="AS91" i="3"/>
  <c r="AO91" i="3"/>
  <c r="AF91" i="3"/>
  <c r="AW91" i="3"/>
  <c r="Q91" i="3" a="1"/>
  <c r="Q91" i="3" l="1"/>
  <c r="AA91" i="3"/>
  <c r="R91" i="3"/>
  <c r="AB91" i="3" l="1"/>
  <c r="S91" i="3"/>
  <c r="Z91" i="3" l="1"/>
  <c r="Y91" i="3"/>
  <c r="X91" i="3"/>
  <c r="T91" i="3"/>
  <c r="U91" i="3" s="1"/>
  <c r="AX90" i="3"/>
  <c r="AN90" i="3" a="1"/>
  <c r="AI90" i="3" a="1"/>
  <c r="AR90" i="3" a="1"/>
  <c r="AL90" i="3" a="1"/>
  <c r="AC90" i="3" a="1"/>
  <c r="AO90" i="3" a="1"/>
  <c r="AS90" i="3" a="1"/>
  <c r="AF90" i="3" a="1"/>
  <c r="I90" i="3" a="1"/>
  <c r="L90" i="3"/>
  <c r="M90" i="3" a="1"/>
  <c r="J90" i="3" a="1"/>
  <c r="AQ90" i="3" a="1"/>
  <c r="AJ90" i="3" a="1"/>
  <c r="AG90" i="3" a="1"/>
  <c r="BC90" i="3" a="1"/>
  <c r="AK90" i="3" a="1"/>
  <c r="AE90" i="3" a="1"/>
  <c r="AH90" i="3" a="1"/>
  <c r="K90" i="3"/>
  <c r="E90" i="3"/>
  <c r="AP90" i="3" a="1"/>
  <c r="AV90" i="3" a="1"/>
  <c r="F90" i="3"/>
  <c r="AT90" i="3" a="1"/>
  <c r="AU90" i="3" a="1"/>
  <c r="H90" i="3" a="1"/>
  <c r="AM90" i="3" a="1"/>
  <c r="AD90" i="3" a="1"/>
  <c r="N90" i="3" a="1"/>
  <c r="N90" i="3" l="1"/>
  <c r="AD90" i="3"/>
  <c r="AM90" i="3"/>
  <c r="H90" i="3"/>
  <c r="AU90" i="3"/>
  <c r="AW90" i="3" s="1"/>
  <c r="AT90" i="3"/>
  <c r="AV90" i="3"/>
  <c r="AP90" i="3"/>
  <c r="AH90" i="3"/>
  <c r="AE90" i="3"/>
  <c r="AK90" i="3"/>
  <c r="BC90" i="3"/>
  <c r="AG90" i="3"/>
  <c r="AJ90" i="3"/>
  <c r="AQ90" i="3"/>
  <c r="J90" i="3"/>
  <c r="M90" i="3"/>
  <c r="I90" i="3"/>
  <c r="AF90" i="3"/>
  <c r="AS90" i="3"/>
  <c r="AO90" i="3"/>
  <c r="AC90" i="3"/>
  <c r="AL90" i="3"/>
  <c r="AR90" i="3"/>
  <c r="AI90" i="3"/>
  <c r="AN90" i="3"/>
  <c r="Q90" i="3" a="1"/>
  <c r="Q90" i="3" l="1"/>
  <c r="AA90" i="3"/>
  <c r="R90" i="3"/>
  <c r="AB90" i="3" l="1"/>
  <c r="S90" i="3" s="1"/>
  <c r="Y90" i="3" l="1"/>
  <c r="X90" i="3"/>
  <c r="Z90" i="3"/>
  <c r="T90" i="3"/>
  <c r="U90" i="3" s="1"/>
  <c r="AX89" i="3"/>
  <c r="AC89" i="3" a="1"/>
  <c r="AI89" i="3" a="1"/>
  <c r="AN89" i="3" a="1"/>
  <c r="AL89" i="3" a="1"/>
  <c r="AF89" i="3" a="1"/>
  <c r="AO89" i="3" a="1"/>
  <c r="AS89" i="3" a="1"/>
  <c r="AR89" i="3" a="1"/>
  <c r="L89" i="3"/>
  <c r="I89" i="3" a="1"/>
  <c r="J89" i="3" a="1"/>
  <c r="AQ89" i="3" a="1"/>
  <c r="M89" i="3" a="1"/>
  <c r="AJ89" i="3" a="1"/>
  <c r="AG89" i="3" a="1"/>
  <c r="AE89" i="3" a="1"/>
  <c r="BC89" i="3" a="1"/>
  <c r="AK89" i="3" a="1"/>
  <c r="AH89" i="3" a="1"/>
  <c r="K89" i="3"/>
  <c r="E89" i="3"/>
  <c r="AP89" i="3" a="1"/>
  <c r="F89" i="3"/>
  <c r="AV89" i="3" a="1"/>
  <c r="H89" i="3" a="1"/>
  <c r="AU89" i="3" a="1"/>
  <c r="AM89" i="3" a="1"/>
  <c r="AD89" i="3" a="1"/>
  <c r="AT89" i="3" a="1"/>
  <c r="N89" i="3" a="1"/>
  <c r="N89" i="3" l="1"/>
  <c r="AT89" i="3"/>
  <c r="AD89" i="3"/>
  <c r="AM89" i="3"/>
  <c r="AU89" i="3"/>
  <c r="AW89" i="3" s="1"/>
  <c r="H89" i="3"/>
  <c r="AV89" i="3"/>
  <c r="AP89" i="3"/>
  <c r="AH89" i="3"/>
  <c r="AK89" i="3"/>
  <c r="BC89" i="3"/>
  <c r="AE89" i="3"/>
  <c r="AG89" i="3"/>
  <c r="AJ89" i="3"/>
  <c r="M89" i="3"/>
  <c r="AQ89" i="3"/>
  <c r="J89" i="3"/>
  <c r="I89" i="3"/>
  <c r="AR89" i="3"/>
  <c r="AS89" i="3"/>
  <c r="AO89" i="3"/>
  <c r="AF89" i="3"/>
  <c r="AL89" i="3"/>
  <c r="AN89" i="3"/>
  <c r="AI89" i="3"/>
  <c r="AC89" i="3"/>
  <c r="Q89" i="3" a="1"/>
  <c r="Q89" i="3" l="1"/>
  <c r="AA89" i="3"/>
  <c r="R89" i="3"/>
  <c r="AB89" i="3" l="1"/>
  <c r="S89" i="3" s="1"/>
  <c r="Y89" i="3" l="1"/>
  <c r="X89" i="3"/>
  <c r="Z89" i="3"/>
  <c r="T89" i="3"/>
  <c r="U89" i="3" s="1"/>
  <c r="AX88" i="3"/>
  <c r="AL88" i="3" a="1"/>
  <c r="AO88" i="3" a="1"/>
  <c r="AS88" i="3" a="1"/>
  <c r="AF88" i="3" a="1"/>
  <c r="AR88" i="3" a="1"/>
  <c r="AI88" i="3" a="1"/>
  <c r="AN88" i="3" a="1"/>
  <c r="AC88" i="3" a="1"/>
  <c r="L88" i="3"/>
  <c r="I88" i="3" a="1"/>
  <c r="J88" i="3" a="1"/>
  <c r="AQ88" i="3" a="1"/>
  <c r="M88" i="3" a="1"/>
  <c r="AG88" i="3" a="1"/>
  <c r="AE88" i="3" a="1"/>
  <c r="BC88" i="3" a="1"/>
  <c r="AK88" i="3" a="1"/>
  <c r="AJ88" i="3" a="1"/>
  <c r="AH88" i="3" a="1"/>
  <c r="K88" i="3"/>
  <c r="E88" i="3"/>
  <c r="AP88" i="3" a="1"/>
  <c r="AV88" i="3" a="1"/>
  <c r="F88" i="3"/>
  <c r="H88" i="3" a="1"/>
  <c r="AU88" i="3" a="1"/>
  <c r="AM88" i="3" a="1"/>
  <c r="AD88" i="3" a="1"/>
  <c r="AT88" i="3" a="1"/>
  <c r="N88" i="3" a="1"/>
  <c r="N88" i="3" l="1"/>
  <c r="AT88" i="3"/>
  <c r="AD88" i="3"/>
  <c r="AM88" i="3"/>
  <c r="AU88" i="3"/>
  <c r="H88" i="3"/>
  <c r="AV88" i="3"/>
  <c r="AP88" i="3"/>
  <c r="AH88" i="3"/>
  <c r="AJ88" i="3"/>
  <c r="AK88" i="3"/>
  <c r="BC88" i="3"/>
  <c r="BD88" i="3" s="1"/>
  <c r="AE88" i="3"/>
  <c r="AG88" i="3"/>
  <c r="M88" i="3"/>
  <c r="AQ88" i="3"/>
  <c r="J88" i="3"/>
  <c r="I88" i="3"/>
  <c r="AC88" i="3"/>
  <c r="AN88" i="3"/>
  <c r="AI88" i="3"/>
  <c r="AR88" i="3"/>
  <c r="AF88" i="3"/>
  <c r="AS88" i="3"/>
  <c r="AO88" i="3"/>
  <c r="AL88" i="3"/>
  <c r="Q88" i="3" a="1"/>
  <c r="Q88" i="3" l="1"/>
  <c r="AW88" i="3"/>
  <c r="AA88" i="3" l="1"/>
  <c r="R88" i="3" s="1"/>
  <c r="AB88" i="3" l="1"/>
  <c r="AX87" i="3"/>
  <c r="S88" i="3"/>
  <c r="AF87" i="3" a="1"/>
  <c r="AO87" i="3" a="1"/>
  <c r="AS87" i="3" a="1"/>
  <c r="AN87" i="3" a="1"/>
  <c r="AR87" i="3" a="1"/>
  <c r="AI87" i="3" a="1"/>
  <c r="AC87" i="3" a="1"/>
  <c r="AL87" i="3" a="1"/>
  <c r="I87" i="3" a="1"/>
  <c r="L87" i="3"/>
  <c r="J87" i="3" a="1"/>
  <c r="M87" i="3" a="1"/>
  <c r="AQ87" i="3" a="1"/>
  <c r="AK87" i="3" a="1"/>
  <c r="AJ87" i="3" a="1"/>
  <c r="AG87" i="3" a="1"/>
  <c r="AE87" i="3" a="1"/>
  <c r="AH87" i="3" a="1"/>
  <c r="E87" i="3"/>
  <c r="K87" i="3"/>
  <c r="H87" i="3" a="1"/>
  <c r="AV87" i="3" a="1"/>
  <c r="AP87" i="3" a="1"/>
  <c r="F87" i="3"/>
  <c r="AT87" i="3" a="1"/>
  <c r="AD87" i="3" a="1"/>
  <c r="AU87" i="3" a="1"/>
  <c r="AM87" i="3" a="1"/>
  <c r="N87" i="3" a="1"/>
  <c r="N87" i="3" l="1"/>
  <c r="AM87" i="3"/>
  <c r="AU87" i="3"/>
  <c r="AD87" i="3"/>
  <c r="AT87" i="3"/>
  <c r="AP87" i="3"/>
  <c r="AV87" i="3"/>
  <c r="H87" i="3"/>
  <c r="AH87" i="3"/>
  <c r="AE87" i="3"/>
  <c r="AG87" i="3"/>
  <c r="AJ87" i="3"/>
  <c r="AK87" i="3"/>
  <c r="AQ87" i="3"/>
  <c r="M87" i="3"/>
  <c r="J87" i="3"/>
  <c r="I87" i="3"/>
  <c r="AL87" i="3"/>
  <c r="AC87" i="3"/>
  <c r="AI87" i="3"/>
  <c r="AR87" i="3"/>
  <c r="AN87" i="3"/>
  <c r="AS87" i="3"/>
  <c r="AO87" i="3"/>
  <c r="AF87" i="3"/>
  <c r="Z88" i="3"/>
  <c r="Y88" i="3"/>
  <c r="X88" i="3"/>
  <c r="T88" i="3"/>
  <c r="U88" i="3" s="1"/>
  <c r="Q87" i="3" a="1"/>
  <c r="Q87" i="3" l="1"/>
  <c r="AW87" i="3"/>
  <c r="AA87" i="3" l="1"/>
  <c r="R87" i="3" s="1"/>
  <c r="AB87" i="3" l="1"/>
  <c r="S87" i="3"/>
  <c r="Z87" i="3" l="1"/>
  <c r="X87" i="3"/>
  <c r="Y87" i="3"/>
  <c r="T87" i="3"/>
  <c r="U87" i="3" s="1"/>
  <c r="AX86" i="3"/>
  <c r="AI86" i="3" a="1"/>
  <c r="AN86" i="3" a="1"/>
  <c r="AC86" i="3" a="1"/>
  <c r="AR86" i="3" a="1"/>
  <c r="AL86" i="3" a="1"/>
  <c r="AO86" i="3" a="1"/>
  <c r="AS86" i="3" a="1"/>
  <c r="AF86" i="3" a="1"/>
  <c r="I86" i="3" a="1"/>
  <c r="L86" i="3"/>
  <c r="M86" i="3" a="1"/>
  <c r="J86" i="3" a="1"/>
  <c r="AQ86" i="3" a="1"/>
  <c r="BC86" i="3" a="1"/>
  <c r="AJ86" i="3" a="1"/>
  <c r="AG86" i="3" a="1"/>
  <c r="AK86" i="3" a="1"/>
  <c r="AE86" i="3" a="1"/>
  <c r="AH86" i="3" a="1"/>
  <c r="K86" i="3"/>
  <c r="E86" i="3"/>
  <c r="F86" i="3"/>
  <c r="AV86" i="3" a="1"/>
  <c r="AP86" i="3" a="1"/>
  <c r="AU86" i="3" a="1"/>
  <c r="AM86" i="3" a="1"/>
  <c r="H86" i="3" a="1"/>
  <c r="AT86" i="3" a="1"/>
  <c r="AD86" i="3" a="1"/>
  <c r="N86" i="3" a="1"/>
  <c r="N86" i="3" l="1"/>
  <c r="AD86" i="3"/>
  <c r="AT86" i="3"/>
  <c r="H86" i="3"/>
  <c r="AM86" i="3"/>
  <c r="AU86" i="3"/>
  <c r="AP86" i="3"/>
  <c r="AV86" i="3"/>
  <c r="AH86" i="3"/>
  <c r="AE86" i="3"/>
  <c r="AK86" i="3"/>
  <c r="AG86" i="3"/>
  <c r="AJ86" i="3"/>
  <c r="BC86" i="3"/>
  <c r="AQ86" i="3"/>
  <c r="J86" i="3"/>
  <c r="M86" i="3"/>
  <c r="I86" i="3"/>
  <c r="AF86" i="3"/>
  <c r="AS86" i="3"/>
  <c r="AO86" i="3"/>
  <c r="AL86" i="3"/>
  <c r="AR86" i="3"/>
  <c r="AC86" i="3"/>
  <c r="AN86" i="3"/>
  <c r="AI86" i="3"/>
  <c r="AW86" i="3"/>
  <c r="Q86" i="3" a="1"/>
  <c r="Q86" i="3" l="1"/>
  <c r="AA86" i="3"/>
  <c r="R86" i="3" s="1"/>
  <c r="AB86" i="3" l="1"/>
  <c r="S86" i="3" s="1"/>
  <c r="Z86" i="3" l="1"/>
  <c r="Y86" i="3"/>
  <c r="T86" i="3"/>
  <c r="U86" i="3" s="1"/>
  <c r="AX85" i="3"/>
  <c r="AN85" i="3" a="1"/>
  <c r="AL85" i="3" a="1"/>
  <c r="AF85" i="3" a="1"/>
  <c r="AO85" i="3" a="1"/>
  <c r="AS85" i="3" a="1"/>
  <c r="AI85" i="3" a="1"/>
  <c r="AC85" i="3" a="1"/>
  <c r="AR85" i="3" a="1"/>
  <c r="I85" i="3" a="1"/>
  <c r="L85" i="3"/>
  <c r="AQ85" i="3" a="1"/>
  <c r="J85" i="3" a="1"/>
  <c r="M85" i="3" a="1"/>
  <c r="AJ85" i="3" a="1"/>
  <c r="AG85" i="3" a="1"/>
  <c r="BC85" i="3" a="1"/>
  <c r="AK85" i="3" a="1"/>
  <c r="AE85" i="3" a="1"/>
  <c r="AH85" i="3" a="1"/>
  <c r="K85" i="3"/>
  <c r="E85" i="3"/>
  <c r="AV85" i="3" a="1"/>
  <c r="AP85" i="3" a="1"/>
  <c r="F85" i="3"/>
  <c r="H85" i="3" a="1"/>
  <c r="AU85" i="3" a="1"/>
  <c r="AM85" i="3" a="1"/>
  <c r="AD85" i="3" a="1"/>
  <c r="AT85" i="3" a="1"/>
  <c r="N85" i="3" a="1"/>
  <c r="N85" i="3" l="1"/>
  <c r="AT85" i="3"/>
  <c r="AD85" i="3"/>
  <c r="AM85" i="3"/>
  <c r="AU85" i="3"/>
  <c r="AW85" i="3" s="1"/>
  <c r="H85" i="3"/>
  <c r="AP85" i="3"/>
  <c r="AV85" i="3"/>
  <c r="AH85" i="3"/>
  <c r="AE85" i="3"/>
  <c r="AK85" i="3"/>
  <c r="BC85" i="3"/>
  <c r="AG85" i="3"/>
  <c r="AJ85" i="3"/>
  <c r="M85" i="3"/>
  <c r="J85" i="3"/>
  <c r="AQ85" i="3"/>
  <c r="I85" i="3"/>
  <c r="AR85" i="3"/>
  <c r="AC85" i="3"/>
  <c r="AI85" i="3"/>
  <c r="AS85" i="3"/>
  <c r="AO85" i="3"/>
  <c r="AF85" i="3"/>
  <c r="AL85" i="3"/>
  <c r="AN85" i="3"/>
  <c r="Q85" i="3" a="1"/>
  <c r="Q85" i="3" l="1"/>
  <c r="AA85" i="3"/>
  <c r="R85" i="3"/>
  <c r="AB85" i="3" l="1"/>
  <c r="S85" i="3" s="1"/>
  <c r="Y85" i="3" l="1"/>
  <c r="Z85" i="3"/>
  <c r="X85" i="3"/>
  <c r="T85" i="3"/>
  <c r="U85" i="3" s="1"/>
  <c r="AX84" i="3"/>
  <c r="AR84" i="3" a="1"/>
  <c r="AL84" i="3" a="1"/>
  <c r="AS84" i="3" a="1"/>
  <c r="AF84" i="3" a="1"/>
  <c r="AO84" i="3" a="1"/>
  <c r="AI84" i="3" a="1"/>
  <c r="AN84" i="3" a="1"/>
  <c r="AC84" i="3" a="1"/>
  <c r="I84" i="3" a="1"/>
  <c r="L84" i="3"/>
  <c r="J84" i="3" a="1"/>
  <c r="AQ84" i="3" a="1"/>
  <c r="M84" i="3" a="1"/>
  <c r="BC84" i="3" a="1"/>
  <c r="AJ84" i="3" a="1"/>
  <c r="AG84" i="3" a="1"/>
  <c r="AE84" i="3" a="1"/>
  <c r="AK84" i="3" a="1"/>
  <c r="AH84" i="3" a="1"/>
  <c r="K84" i="3"/>
  <c r="E84" i="3"/>
  <c r="F84" i="3"/>
  <c r="AV84" i="3" a="1"/>
  <c r="AP84" i="3" a="1"/>
  <c r="H84" i="3" a="1"/>
  <c r="AU84" i="3" a="1"/>
  <c r="AM84" i="3" a="1"/>
  <c r="AD84" i="3" a="1"/>
  <c r="AT84" i="3" a="1"/>
  <c r="N84" i="3" a="1"/>
  <c r="N84" i="3" l="1"/>
  <c r="AT84" i="3"/>
  <c r="AD84" i="3"/>
  <c r="AM84" i="3"/>
  <c r="AU84" i="3"/>
  <c r="AW84" i="3" s="1"/>
  <c r="H84" i="3"/>
  <c r="AP84" i="3"/>
  <c r="AV84" i="3"/>
  <c r="AH84" i="3"/>
  <c r="AK84" i="3"/>
  <c r="AE84" i="3"/>
  <c r="AG84" i="3"/>
  <c r="AJ84" i="3"/>
  <c r="BC84" i="3"/>
  <c r="M84" i="3"/>
  <c r="AQ84" i="3"/>
  <c r="J84" i="3"/>
  <c r="I84" i="3"/>
  <c r="AC84" i="3"/>
  <c r="AN84" i="3"/>
  <c r="AI84" i="3"/>
  <c r="AO84" i="3"/>
  <c r="AF84" i="3"/>
  <c r="AS84" i="3"/>
  <c r="AL84" i="3"/>
  <c r="AR84" i="3"/>
  <c r="Q84" i="3" a="1"/>
  <c r="Q84" i="3" l="1"/>
  <c r="AA84" i="3"/>
  <c r="R84" i="3"/>
  <c r="AB84" i="3" l="1"/>
  <c r="S84" i="3" s="1"/>
  <c r="Z84" i="3" l="1"/>
  <c r="Y84" i="3"/>
  <c r="X84" i="3"/>
  <c r="T84" i="3"/>
  <c r="U84" i="3" s="1"/>
  <c r="AX83" i="3"/>
  <c r="AR83" i="3" a="1"/>
  <c r="AF83" i="3" a="1"/>
  <c r="AO83" i="3" a="1"/>
  <c r="AS83" i="3" a="1"/>
  <c r="AN83" i="3" a="1"/>
  <c r="AI83" i="3" a="1"/>
  <c r="AC83" i="3" a="1"/>
  <c r="AL83" i="3" a="1"/>
  <c r="I83" i="3" a="1"/>
  <c r="L83" i="3"/>
  <c r="J83" i="3" a="1"/>
  <c r="M83" i="3" a="1"/>
  <c r="AQ83" i="3" a="1"/>
  <c r="AG83" i="3" a="1"/>
  <c r="AK83" i="3" a="1"/>
  <c r="BC83" i="3" a="1"/>
  <c r="AE83" i="3" a="1"/>
  <c r="AJ83" i="3" a="1"/>
  <c r="AH83" i="3" a="1"/>
  <c r="K83" i="3"/>
  <c r="E83" i="3"/>
  <c r="AV83" i="3" a="1"/>
  <c r="AP83" i="3" a="1"/>
  <c r="F83" i="3"/>
  <c r="H83" i="3" a="1"/>
  <c r="AT83" i="3" a="1"/>
  <c r="AD83" i="3" a="1"/>
  <c r="AU83" i="3" a="1"/>
  <c r="AM83" i="3" a="1"/>
  <c r="N83" i="3" a="1"/>
  <c r="N83" i="3" l="1"/>
  <c r="AM83" i="3"/>
  <c r="AU83" i="3"/>
  <c r="AD83" i="3"/>
  <c r="AT83" i="3"/>
  <c r="H83" i="3"/>
  <c r="AP83" i="3"/>
  <c r="AV83" i="3"/>
  <c r="AW83" i="3" s="1"/>
  <c r="AH83" i="3"/>
  <c r="AJ83" i="3"/>
  <c r="AE83" i="3"/>
  <c r="BC83" i="3"/>
  <c r="AK83" i="3"/>
  <c r="AG83" i="3"/>
  <c r="AQ83" i="3"/>
  <c r="M83" i="3"/>
  <c r="J83" i="3"/>
  <c r="I83" i="3"/>
  <c r="AL83" i="3"/>
  <c r="AC83" i="3"/>
  <c r="AI83" i="3"/>
  <c r="AN83" i="3"/>
  <c r="AS83" i="3"/>
  <c r="AO83" i="3"/>
  <c r="AF83" i="3"/>
  <c r="AR83" i="3"/>
  <c r="Q83" i="3" a="1"/>
  <c r="Q83" i="3" l="1"/>
  <c r="AA83" i="3"/>
  <c r="R83" i="3" s="1"/>
  <c r="AB83" i="3" l="1"/>
  <c r="S83" i="3"/>
  <c r="Z83" i="3" l="1"/>
  <c r="Y83" i="3"/>
  <c r="T83" i="3"/>
  <c r="U83" i="3" s="1"/>
  <c r="AX82" i="3"/>
  <c r="AN82" i="3" a="1"/>
  <c r="AC82" i="3" a="1"/>
  <c r="AL82" i="3" a="1"/>
  <c r="AI82" i="3" a="1"/>
  <c r="AR82" i="3" a="1"/>
  <c r="AO82" i="3" a="1"/>
  <c r="AS82" i="3" a="1"/>
  <c r="AF82" i="3" a="1"/>
  <c r="I82" i="3" a="1"/>
  <c r="L82" i="3"/>
  <c r="M82" i="3" a="1"/>
  <c r="J82" i="3" a="1"/>
  <c r="AQ82" i="3" a="1"/>
  <c r="AK82" i="3" a="1"/>
  <c r="BC82" i="3" a="1"/>
  <c r="AJ82" i="3" a="1"/>
  <c r="AG82" i="3" a="1"/>
  <c r="AE82" i="3" a="1"/>
  <c r="AH82" i="3" a="1"/>
  <c r="K82" i="3"/>
  <c r="E82" i="3"/>
  <c r="AV82" i="3" a="1"/>
  <c r="AP82" i="3" a="1"/>
  <c r="F82" i="3"/>
  <c r="H82" i="3" a="1"/>
  <c r="AT82" i="3" a="1"/>
  <c r="AM82" i="3" a="1"/>
  <c r="AU82" i="3" a="1"/>
  <c r="AD82" i="3" a="1"/>
  <c r="N82" i="3" a="1"/>
  <c r="N82" i="3" l="1"/>
  <c r="AD82" i="3"/>
  <c r="AU82" i="3"/>
  <c r="AW82" i="3" s="1"/>
  <c r="AM82" i="3"/>
  <c r="AT82" i="3"/>
  <c r="H82" i="3"/>
  <c r="AP82" i="3"/>
  <c r="AV82" i="3"/>
  <c r="AH82" i="3"/>
  <c r="AE82" i="3"/>
  <c r="AG82" i="3"/>
  <c r="AJ82" i="3"/>
  <c r="BC82" i="3"/>
  <c r="AK82" i="3"/>
  <c r="AQ82" i="3"/>
  <c r="J82" i="3"/>
  <c r="M82" i="3"/>
  <c r="I82" i="3"/>
  <c r="AF82" i="3"/>
  <c r="AS82" i="3"/>
  <c r="AO82" i="3"/>
  <c r="AR82" i="3"/>
  <c r="AI82" i="3"/>
  <c r="AL82" i="3"/>
  <c r="AC82" i="3"/>
  <c r="AN82" i="3"/>
  <c r="Q82" i="3" a="1"/>
  <c r="Q82" i="3" l="1"/>
  <c r="AA82" i="3"/>
  <c r="R82" i="3" s="1"/>
  <c r="AB82" i="3" l="1"/>
  <c r="S82" i="3"/>
  <c r="Z82" i="3" l="1"/>
  <c r="Y82" i="3"/>
  <c r="T82" i="3"/>
  <c r="U82" i="3" s="1"/>
  <c r="AX81" i="3"/>
  <c r="AI81" i="3" a="1"/>
  <c r="AC81" i="3" a="1"/>
  <c r="AN81" i="3" a="1"/>
  <c r="AL81" i="3" a="1"/>
  <c r="AF81" i="3" a="1"/>
  <c r="AO81" i="3" a="1"/>
  <c r="AS81" i="3" a="1"/>
  <c r="AR81" i="3" a="1"/>
  <c r="I81" i="3" a="1"/>
  <c r="L81" i="3"/>
  <c r="AQ81" i="3" a="1"/>
  <c r="J81" i="3" a="1"/>
  <c r="M81" i="3" a="1"/>
  <c r="BC81" i="3" a="1"/>
  <c r="AE81" i="3" a="1"/>
  <c r="AJ81" i="3" a="1"/>
  <c r="AG81" i="3" a="1"/>
  <c r="AK81" i="3" a="1"/>
  <c r="AH81" i="3" a="1"/>
  <c r="K81" i="3"/>
  <c r="E81" i="3"/>
  <c r="F81" i="3"/>
  <c r="AV81" i="3" a="1"/>
  <c r="AP81" i="3" a="1"/>
  <c r="H81" i="3" a="1"/>
  <c r="AU81" i="3" a="1"/>
  <c r="AM81" i="3" a="1"/>
  <c r="AD81" i="3" a="1"/>
  <c r="AT81" i="3" a="1"/>
  <c r="N81" i="3" a="1"/>
  <c r="N81" i="3" l="1"/>
  <c r="AT81" i="3"/>
  <c r="AD81" i="3"/>
  <c r="AM81" i="3"/>
  <c r="AU81" i="3"/>
  <c r="AW81" i="3" s="1"/>
  <c r="H81" i="3"/>
  <c r="AP81" i="3"/>
  <c r="AV81" i="3"/>
  <c r="AH81" i="3"/>
  <c r="AK81" i="3"/>
  <c r="AG81" i="3"/>
  <c r="AJ81" i="3"/>
  <c r="AE81" i="3"/>
  <c r="BC81" i="3"/>
  <c r="M81" i="3"/>
  <c r="J81" i="3"/>
  <c r="AQ81" i="3"/>
  <c r="I81" i="3"/>
  <c r="AR81" i="3"/>
  <c r="AS81" i="3"/>
  <c r="AO81" i="3"/>
  <c r="AF81" i="3"/>
  <c r="AL81" i="3"/>
  <c r="AN81" i="3"/>
  <c r="AC81" i="3"/>
  <c r="AI81" i="3"/>
  <c r="Q81" i="3" a="1"/>
  <c r="Q81" i="3" l="1"/>
  <c r="AA81" i="3"/>
  <c r="R81" i="3" s="1"/>
  <c r="AB81" i="3" l="1"/>
  <c r="S81" i="3"/>
  <c r="Z81" i="3" l="1"/>
  <c r="Y81" i="3"/>
  <c r="T81" i="3"/>
  <c r="U81" i="3" s="1"/>
  <c r="AX80" i="3"/>
  <c r="AL80" i="3" a="1"/>
  <c r="AF80" i="3" a="1"/>
  <c r="AO80" i="3" a="1"/>
  <c r="AR80" i="3" a="1"/>
  <c r="AS80" i="3" a="1"/>
  <c r="AI80" i="3" a="1"/>
  <c r="AN80" i="3" a="1"/>
  <c r="AC80" i="3" a="1"/>
  <c r="L80" i="3"/>
  <c r="I80" i="3" a="1"/>
  <c r="J80" i="3" a="1"/>
  <c r="AQ80" i="3" a="1"/>
  <c r="M80" i="3" a="1"/>
  <c r="AE80" i="3" a="1"/>
  <c r="AJ80" i="3" a="1"/>
  <c r="AG80" i="3" a="1"/>
  <c r="BC80" i="3" a="1"/>
  <c r="AK80" i="3" a="1"/>
  <c r="AH80" i="3" a="1"/>
  <c r="K80" i="3"/>
  <c r="E80" i="3"/>
  <c r="AP80" i="3" a="1"/>
  <c r="AV80" i="3" a="1"/>
  <c r="F80" i="3"/>
  <c r="H80" i="3" a="1"/>
  <c r="AU80" i="3" a="1"/>
  <c r="AM80" i="3" a="1"/>
  <c r="AD80" i="3" a="1"/>
  <c r="AT80" i="3" a="1"/>
  <c r="N80" i="3" a="1"/>
  <c r="N80" i="3" l="1"/>
  <c r="AT80" i="3"/>
  <c r="AD80" i="3"/>
  <c r="AM80" i="3"/>
  <c r="AU80" i="3"/>
  <c r="AW80" i="3" s="1"/>
  <c r="H80" i="3"/>
  <c r="AV80" i="3"/>
  <c r="AP80" i="3"/>
  <c r="AH80" i="3"/>
  <c r="AK80" i="3"/>
  <c r="BC80" i="3"/>
  <c r="AG80" i="3"/>
  <c r="AJ80" i="3"/>
  <c r="AE80" i="3"/>
  <c r="M80" i="3"/>
  <c r="AQ80" i="3"/>
  <c r="J80" i="3"/>
  <c r="I80" i="3"/>
  <c r="AC80" i="3"/>
  <c r="AN80" i="3"/>
  <c r="AI80" i="3"/>
  <c r="AS80" i="3"/>
  <c r="AR80" i="3"/>
  <c r="AO80" i="3"/>
  <c r="AF80" i="3"/>
  <c r="AL80" i="3"/>
  <c r="Q80" i="3" a="1"/>
  <c r="Q80" i="3" l="1"/>
  <c r="AA80" i="3"/>
  <c r="R80" i="3" s="1"/>
  <c r="AB80" i="3" l="1"/>
  <c r="S80" i="3"/>
  <c r="Z80" i="3" l="1"/>
  <c r="Y80" i="3"/>
  <c r="T80" i="3"/>
  <c r="U80" i="3" s="1"/>
  <c r="AX79" i="3"/>
  <c r="AF79" i="3" a="1"/>
  <c r="AO79" i="3" a="1"/>
  <c r="AS79" i="3" a="1"/>
  <c r="AI79" i="3" a="1"/>
  <c r="AN79" i="3" a="1"/>
  <c r="AR79" i="3" a="1"/>
  <c r="AC79" i="3" a="1"/>
  <c r="AL79" i="3" a="1"/>
  <c r="I79" i="3" a="1"/>
  <c r="L79" i="3"/>
  <c r="J79" i="3" a="1"/>
  <c r="M79" i="3" a="1"/>
  <c r="AQ79" i="3" a="1"/>
  <c r="BC79" i="3" a="1"/>
  <c r="AJ79" i="3" a="1"/>
  <c r="AE79" i="3" a="1"/>
  <c r="AK79" i="3" a="1"/>
  <c r="AG79" i="3" a="1"/>
  <c r="AH79" i="3" a="1"/>
  <c r="K79" i="3"/>
  <c r="E79" i="3"/>
  <c r="AP79" i="3" a="1"/>
  <c r="AV79" i="3" a="1"/>
  <c r="AT79" i="3" a="1"/>
  <c r="F79" i="3"/>
  <c r="H79" i="3" a="1"/>
  <c r="AD79" i="3" a="1"/>
  <c r="AU79" i="3" a="1"/>
  <c r="AM79" i="3" a="1"/>
  <c r="N79" i="3" a="1"/>
  <c r="N79" i="3" l="1"/>
  <c r="AM79" i="3"/>
  <c r="AU79" i="3"/>
  <c r="AD79" i="3"/>
  <c r="H79" i="3"/>
  <c r="AT79" i="3"/>
  <c r="AV79" i="3"/>
  <c r="AW79" i="3" s="1"/>
  <c r="AP79" i="3"/>
  <c r="AH79" i="3"/>
  <c r="AG79" i="3"/>
  <c r="AK79" i="3"/>
  <c r="AE79" i="3"/>
  <c r="AJ79" i="3"/>
  <c r="BC79" i="3"/>
  <c r="AQ79" i="3"/>
  <c r="M79" i="3"/>
  <c r="J79" i="3"/>
  <c r="I79" i="3"/>
  <c r="AL79" i="3"/>
  <c r="AC79" i="3"/>
  <c r="AR79" i="3"/>
  <c r="AN79" i="3"/>
  <c r="AI79" i="3"/>
  <c r="AS79" i="3"/>
  <c r="AO79" i="3"/>
  <c r="AF79" i="3"/>
  <c r="Q79" i="3" a="1"/>
  <c r="Q79" i="3" l="1"/>
  <c r="AA79" i="3"/>
  <c r="R79" i="3" s="1"/>
  <c r="AB79" i="3" l="1"/>
  <c r="S79" i="3"/>
  <c r="Y79" i="3" l="1"/>
  <c r="Z79" i="3"/>
  <c r="T79" i="3"/>
  <c r="U79" i="3" s="1"/>
  <c r="AX78" i="3"/>
  <c r="AW78" i="3" l="1"/>
  <c r="AA78" i="3" l="1"/>
  <c r="R78" i="3"/>
  <c r="AB78" i="3" l="1"/>
  <c r="S78" i="3"/>
  <c r="Y78" i="3" l="1"/>
  <c r="Z78" i="3"/>
  <c r="X78" i="3"/>
  <c r="T78" i="3"/>
  <c r="U78" i="3" s="1"/>
  <c r="AX77" i="3"/>
  <c r="BD77" i="3" l="1"/>
  <c r="AW77" i="3" l="1"/>
  <c r="AA77" i="3" l="1"/>
  <c r="R77" i="3"/>
  <c r="AB77" i="3" l="1"/>
  <c r="S77" i="3"/>
  <c r="Z77" i="3" l="1"/>
  <c r="Y77" i="3"/>
  <c r="X77" i="3"/>
  <c r="T77" i="3"/>
  <c r="U77" i="3" s="1"/>
  <c r="AX76" i="3"/>
  <c r="BD76" i="3" l="1"/>
  <c r="AW76" i="3" l="1"/>
  <c r="AA76" i="3" l="1"/>
  <c r="R76" i="3"/>
  <c r="AB76" i="3" l="1"/>
  <c r="S76" i="3"/>
  <c r="Z76" i="3" l="1"/>
  <c r="Y76" i="3"/>
  <c r="X76" i="3"/>
  <c r="T76" i="3"/>
  <c r="U76" i="3" s="1"/>
  <c r="AX75" i="3"/>
  <c r="AW75" i="3" l="1"/>
  <c r="AA75" i="3" l="1"/>
  <c r="R75" i="3"/>
  <c r="AB75" i="3" l="1"/>
  <c r="S75" i="3"/>
  <c r="Y75" i="3" l="1"/>
  <c r="X75" i="3"/>
  <c r="Z75" i="3"/>
  <c r="T75" i="3"/>
  <c r="U75" i="3" s="1"/>
  <c r="AX74" i="3"/>
  <c r="AW74" i="3" l="1"/>
  <c r="AA74" i="3" l="1"/>
  <c r="R74" i="3"/>
  <c r="AB74" i="3" l="1"/>
  <c r="S74" i="3"/>
  <c r="Y74" i="3" l="1"/>
  <c r="Z74" i="3"/>
  <c r="T74" i="3"/>
  <c r="U74" i="3" s="1"/>
  <c r="AX73" i="3"/>
  <c r="AW73" i="3" l="1"/>
  <c r="AA73" i="3" l="1"/>
  <c r="R73" i="3"/>
  <c r="AB73" i="3" l="1"/>
  <c r="S73" i="3"/>
  <c r="Z73" i="3" l="1"/>
  <c r="Y73" i="3"/>
  <c r="T73" i="3"/>
  <c r="U73" i="3" s="1"/>
  <c r="AX72" i="3"/>
  <c r="AW72" i="3" l="1"/>
  <c r="AA72" i="3" l="1"/>
  <c r="R72" i="3"/>
  <c r="AB72" i="3" l="1"/>
  <c r="S72" i="3"/>
  <c r="Y72" i="3" l="1"/>
  <c r="Z72" i="3"/>
  <c r="X72" i="3"/>
  <c r="T72" i="3"/>
  <c r="U72" i="3" s="1"/>
  <c r="AX71" i="3"/>
  <c r="AW71" i="3" l="1"/>
  <c r="AA71" i="3" l="1"/>
  <c r="R71" i="3"/>
  <c r="AB71" i="3" l="1"/>
  <c r="S71" i="3"/>
  <c r="Z71" i="3" l="1"/>
  <c r="Y71" i="3"/>
  <c r="X71" i="3"/>
  <c r="T71" i="3"/>
  <c r="U71" i="3" s="1"/>
  <c r="AX70" i="3"/>
  <c r="AW70" i="3" l="1"/>
  <c r="AA70" i="3" l="1"/>
  <c r="R70" i="3"/>
  <c r="AB70" i="3" l="1"/>
  <c r="S70" i="3"/>
  <c r="Z70" i="3" l="1"/>
  <c r="Y70" i="3"/>
  <c r="X70" i="3"/>
  <c r="T70" i="3"/>
  <c r="U70" i="3" s="1"/>
  <c r="AX69" i="3"/>
  <c r="AW69" i="3" l="1"/>
  <c r="AA69" i="3" l="1"/>
  <c r="R69" i="3"/>
  <c r="AB69" i="3" l="1"/>
  <c r="S69" i="3"/>
  <c r="Z69" i="3" l="1"/>
  <c r="X69" i="3"/>
  <c r="Y69" i="3"/>
  <c r="T69" i="3"/>
  <c r="U69" i="3" s="1"/>
  <c r="AX68" i="3"/>
  <c r="AW68" i="3" l="1"/>
  <c r="AA68" i="3" l="1"/>
  <c r="R68" i="3"/>
  <c r="AB68" i="3" l="1"/>
  <c r="S68" i="3"/>
  <c r="Y68" i="3" l="1"/>
  <c r="Z68" i="3"/>
  <c r="X68" i="3"/>
  <c r="T68" i="3"/>
  <c r="U68" i="3" s="1"/>
  <c r="AX67" i="3"/>
  <c r="AW67" i="3" l="1"/>
  <c r="AA67" i="3" l="1"/>
  <c r="R67" i="3"/>
  <c r="AB67" i="3" l="1"/>
  <c r="S67" i="3"/>
  <c r="Z67" i="3" l="1"/>
  <c r="Y67" i="3"/>
  <c r="X67" i="3"/>
  <c r="T67" i="3"/>
  <c r="U67" i="3" s="1"/>
  <c r="AX66" i="3"/>
  <c r="AW66" i="3" l="1"/>
  <c r="AA66" i="3" l="1"/>
  <c r="R66" i="3"/>
  <c r="AB66" i="3" l="1"/>
  <c r="S66" i="3"/>
  <c r="Z66" i="3" l="1"/>
  <c r="Y66" i="3"/>
  <c r="T66" i="3"/>
  <c r="U66" i="3" s="1"/>
  <c r="AX65" i="3"/>
  <c r="AW65" i="3" l="1"/>
  <c r="AA65" i="3" l="1"/>
  <c r="R65" i="3"/>
  <c r="AB65" i="3" l="1"/>
  <c r="AX64" i="3"/>
  <c r="S65" i="3"/>
  <c r="Z65" i="3" l="1"/>
  <c r="Y65" i="3"/>
  <c r="T65" i="3"/>
  <c r="U65" i="3" s="1"/>
  <c r="AW64" i="3" l="1"/>
  <c r="AA64" i="3" l="1"/>
  <c r="R64" i="3"/>
  <c r="AB64" i="3" l="1"/>
  <c r="S64" i="3"/>
  <c r="Y64" i="3" l="1"/>
  <c r="Z64" i="3"/>
  <c r="X64" i="3"/>
  <c r="T64" i="3"/>
  <c r="U64" i="3" s="1"/>
  <c r="AX63" i="3"/>
  <c r="L63" i="3"/>
  <c r="E63" i="3"/>
  <c r="H63" i="3" a="1"/>
  <c r="AN63" i="3" a="1"/>
  <c r="AT63" i="3" a="1"/>
  <c r="AD63" i="3" a="1"/>
  <c r="AK63" i="3" a="1"/>
  <c r="AL63" i="3" a="1"/>
  <c r="AG63" i="3" a="1"/>
  <c r="AP63" i="3" a="1"/>
  <c r="AU63" i="3" a="1"/>
  <c r="AO63" i="3" a="1"/>
  <c r="AI63" i="3" a="1"/>
  <c r="J63" i="3" a="1"/>
  <c r="F63" i="3"/>
  <c r="AR63" i="3" a="1"/>
  <c r="N63" i="3" a="1"/>
  <c r="I63" i="3" a="1"/>
  <c r="AM63" i="3" a="1"/>
  <c r="BC63" i="3" a="1"/>
  <c r="AQ63" i="3" a="1"/>
  <c r="AJ63" i="3" a="1"/>
  <c r="K63" i="3"/>
  <c r="AS63" i="3" a="1"/>
  <c r="AC63" i="3" a="1"/>
  <c r="AE63" i="3" a="1"/>
  <c r="AF63" i="3" a="1"/>
  <c r="AH63" i="3" a="1"/>
  <c r="M63" i="3" a="1"/>
  <c r="AV63" i="3" a="1"/>
  <c r="AV63" i="3" l="1"/>
  <c r="M63" i="3"/>
  <c r="AH63" i="3"/>
  <c r="AF63" i="3"/>
  <c r="AE63" i="3"/>
  <c r="AC63" i="3"/>
  <c r="AS63" i="3"/>
  <c r="AJ63" i="3"/>
  <c r="AQ63" i="3"/>
  <c r="BC63" i="3"/>
  <c r="AM63" i="3"/>
  <c r="I63" i="3"/>
  <c r="N63" i="3"/>
  <c r="AR63" i="3"/>
  <c r="J63" i="3"/>
  <c r="AI63" i="3"/>
  <c r="AO63" i="3"/>
  <c r="AU63" i="3"/>
  <c r="AW63" i="3" s="1"/>
  <c r="AP63" i="3"/>
  <c r="AG63" i="3"/>
  <c r="AL63" i="3"/>
  <c r="AK63" i="3"/>
  <c r="AD63" i="3"/>
  <c r="AT63" i="3"/>
  <c r="AN63" i="3"/>
  <c r="H63" i="3"/>
  <c r="Q63" i="3" a="1"/>
  <c r="Q63" i="3" l="1"/>
  <c r="AA63" i="3"/>
  <c r="R63" i="3"/>
  <c r="AB63" i="3" l="1"/>
  <c r="S63" i="3"/>
  <c r="Z63" i="3" l="1"/>
  <c r="X63" i="3"/>
  <c r="Y63" i="3"/>
  <c r="T63" i="3"/>
  <c r="U63" i="3" s="1"/>
  <c r="AX62" i="3"/>
  <c r="E62" i="3"/>
  <c r="H62" i="3" a="1"/>
  <c r="AN62" i="3" a="1"/>
  <c r="L62" i="3"/>
  <c r="AG62" i="3" a="1"/>
  <c r="AK62" i="3" a="1"/>
  <c r="AD62" i="3" a="1"/>
  <c r="AT62" i="3" a="1"/>
  <c r="AL62" i="3" a="1"/>
  <c r="F62" i="3"/>
  <c r="AI62" i="3" a="1"/>
  <c r="J62" i="3" a="1"/>
  <c r="AP62" i="3" a="1"/>
  <c r="AR62" i="3" a="1"/>
  <c r="AO62" i="3" a="1"/>
  <c r="AU62" i="3" a="1"/>
  <c r="AM62" i="3" a="1"/>
  <c r="BC62" i="3" a="1"/>
  <c r="AQ62" i="3" a="1"/>
  <c r="AJ62" i="3" a="1"/>
  <c r="N62" i="3" a="1"/>
  <c r="I62" i="3" a="1"/>
  <c r="K62" i="3"/>
  <c r="AC62" i="3" a="1"/>
  <c r="AS62" i="3" a="1"/>
  <c r="AE62" i="3" a="1"/>
  <c r="M62" i="3" a="1"/>
  <c r="AV62" i="3" a="1"/>
  <c r="AF62" i="3" a="1"/>
  <c r="AH62" i="3" a="1"/>
  <c r="AH62" i="3" l="1"/>
  <c r="AF62" i="3"/>
  <c r="AV62" i="3"/>
  <c r="M62" i="3"/>
  <c r="AE62" i="3"/>
  <c r="AS62" i="3"/>
  <c r="AC62" i="3"/>
  <c r="I62" i="3"/>
  <c r="N62" i="3"/>
  <c r="AJ62" i="3"/>
  <c r="AQ62" i="3"/>
  <c r="BC62" i="3"/>
  <c r="AM62" i="3"/>
  <c r="AU62" i="3"/>
  <c r="AO62" i="3"/>
  <c r="AR62" i="3"/>
  <c r="AP62" i="3"/>
  <c r="J62" i="3"/>
  <c r="AI62" i="3"/>
  <c r="AL62" i="3"/>
  <c r="AT62" i="3"/>
  <c r="AD62" i="3"/>
  <c r="AK62" i="3"/>
  <c r="AG62" i="3"/>
  <c r="AN62" i="3"/>
  <c r="H62" i="3"/>
  <c r="AW62" i="3"/>
  <c r="Q62" i="3" a="1"/>
  <c r="Q62" i="3" l="1"/>
  <c r="AA62" i="3"/>
  <c r="R62" i="3"/>
  <c r="AB62" i="3" l="1"/>
  <c r="S62" i="3"/>
  <c r="Y62" i="3" l="1"/>
  <c r="X62" i="3"/>
  <c r="Z62" i="3"/>
  <c r="T62" i="3"/>
  <c r="U62" i="3" s="1"/>
  <c r="X132" i="3"/>
  <c r="X131" i="3"/>
  <c r="X130" i="3"/>
  <c r="X122" i="3"/>
  <c r="X121" i="3"/>
  <c r="X120" i="3"/>
  <c r="X113" i="3"/>
  <c r="X112" i="3"/>
  <c r="X106" i="3"/>
  <c r="X105" i="3"/>
  <c r="X104" i="3"/>
  <c r="X100" i="3"/>
  <c r="X97" i="3"/>
  <c r="X96" i="3"/>
  <c r="X95" i="3"/>
  <c r="X86" i="3"/>
  <c r="X83" i="3"/>
  <c r="X82" i="3"/>
  <c r="X81" i="3"/>
  <c r="X80" i="3"/>
  <c r="X79" i="3"/>
  <c r="X74" i="3"/>
  <c r="X73" i="3"/>
  <c r="X66" i="3"/>
  <c r="X65" i="3"/>
  <c r="AX61" i="3"/>
  <c r="H61" i="3" a="1"/>
  <c r="E61" i="3"/>
  <c r="AN61" i="3" a="1"/>
  <c r="L61" i="3"/>
  <c r="AK61" i="3" a="1"/>
  <c r="AD61" i="3" a="1"/>
  <c r="AT61" i="3" a="1"/>
  <c r="AL61" i="3" a="1"/>
  <c r="AG61" i="3" a="1"/>
  <c r="F61" i="3"/>
  <c r="AP61" i="3" a="1"/>
  <c r="J61" i="3" a="1"/>
  <c r="AR61" i="3" a="1"/>
  <c r="AO61" i="3" a="1"/>
  <c r="AU61" i="3" a="1"/>
  <c r="AI61" i="3" a="1"/>
  <c r="BC61" i="3" a="1"/>
  <c r="AJ61" i="3" a="1"/>
  <c r="N61" i="3" a="1"/>
  <c r="AM61" i="3" a="1"/>
  <c r="K61" i="3"/>
  <c r="I61" i="3" a="1"/>
  <c r="AQ61" i="3" a="1"/>
  <c r="AE61" i="3" a="1"/>
  <c r="AS61" i="3" a="1"/>
  <c r="AC61" i="3" a="1"/>
  <c r="AF61" i="3" a="1"/>
  <c r="AV61" i="3" a="1"/>
  <c r="AH61" i="3" a="1"/>
  <c r="M61" i="3" a="1"/>
  <c r="M61" i="3" l="1"/>
  <c r="AH61" i="3"/>
  <c r="AV61" i="3"/>
  <c r="AF61" i="3"/>
  <c r="AC61" i="3"/>
  <c r="AS61" i="3"/>
  <c r="AE61" i="3"/>
  <c r="AQ61" i="3"/>
  <c r="I61" i="3"/>
  <c r="AM61" i="3"/>
  <c r="N61" i="3"/>
  <c r="AJ61" i="3"/>
  <c r="BC61" i="3"/>
  <c r="AI61" i="3"/>
  <c r="AU61" i="3"/>
  <c r="AO61" i="3"/>
  <c r="AR61" i="3"/>
  <c r="J61" i="3"/>
  <c r="AP61" i="3"/>
  <c r="AG61" i="3"/>
  <c r="AL61" i="3"/>
  <c r="AT61" i="3"/>
  <c r="AD61" i="3"/>
  <c r="AK61" i="3"/>
  <c r="AN61" i="3"/>
  <c r="H61" i="3"/>
  <c r="AW61" i="3"/>
  <c r="Q61" i="3" a="1"/>
  <c r="Q61" i="3" l="1"/>
  <c r="AA61" i="3"/>
  <c r="R61" i="3"/>
  <c r="AB61" i="3" l="1"/>
  <c r="S61" i="3"/>
  <c r="Y61" i="3" l="1"/>
  <c r="X61" i="3"/>
  <c r="Z61" i="3"/>
  <c r="T61" i="3"/>
  <c r="U61" i="3" s="1"/>
  <c r="AX60" i="3"/>
  <c r="E60" i="3"/>
  <c r="AN60" i="3" a="1"/>
  <c r="L60" i="3"/>
  <c r="H60" i="3" a="1"/>
  <c r="AK60" i="3" a="1"/>
  <c r="AT60" i="3" a="1"/>
  <c r="AL60" i="3" a="1"/>
  <c r="AD60" i="3" a="1"/>
  <c r="AG60" i="3" a="1"/>
  <c r="AO60" i="3" a="1"/>
  <c r="AP60" i="3" a="1"/>
  <c r="AR60" i="3" a="1"/>
  <c r="F60" i="3"/>
  <c r="AU60" i="3" a="1"/>
  <c r="AI60" i="3" a="1"/>
  <c r="J60" i="3" a="1"/>
  <c r="AJ60" i="3" a="1"/>
  <c r="AQ60" i="3" a="1"/>
  <c r="N60" i="3" a="1"/>
  <c r="AM60" i="3" a="1"/>
  <c r="I60" i="3" a="1"/>
  <c r="BC60" i="3" a="1"/>
  <c r="K60" i="3"/>
  <c r="AC60" i="3" a="1"/>
  <c r="AE60" i="3" a="1"/>
  <c r="AS60" i="3" a="1"/>
  <c r="AF60" i="3" a="1"/>
  <c r="M60" i="3" a="1"/>
  <c r="AV60" i="3" a="1"/>
  <c r="AH60" i="3" a="1"/>
  <c r="AH60" i="3" l="1"/>
  <c r="AV60" i="3"/>
  <c r="M60" i="3"/>
  <c r="AF60" i="3"/>
  <c r="AS60" i="3"/>
  <c r="AE60" i="3"/>
  <c r="AC60" i="3"/>
  <c r="BC60" i="3"/>
  <c r="I60" i="3"/>
  <c r="AM60" i="3"/>
  <c r="N60" i="3"/>
  <c r="AQ60" i="3"/>
  <c r="AJ60" i="3"/>
  <c r="J60" i="3"/>
  <c r="AI60" i="3"/>
  <c r="AU60" i="3"/>
  <c r="AR60" i="3"/>
  <c r="AP60" i="3"/>
  <c r="AO60" i="3"/>
  <c r="AG60" i="3"/>
  <c r="AD60" i="3"/>
  <c r="AL60" i="3"/>
  <c r="AT60" i="3"/>
  <c r="AK60" i="3"/>
  <c r="H60" i="3"/>
  <c r="AN60" i="3"/>
  <c r="AW60" i="3"/>
  <c r="Q60" i="3" a="1"/>
  <c r="Q60" i="3" l="1"/>
  <c r="AA60" i="3"/>
  <c r="R60" i="3"/>
  <c r="AB60" i="3" l="1"/>
  <c r="S60" i="3"/>
  <c r="Z60" i="3" l="1"/>
  <c r="X60" i="3"/>
  <c r="Y60" i="3"/>
  <c r="T60" i="3"/>
  <c r="U60" i="3" s="1"/>
  <c r="AX59" i="3"/>
  <c r="L59" i="3"/>
  <c r="H59" i="3" a="1"/>
  <c r="AN59" i="3" a="1"/>
  <c r="E59" i="3"/>
  <c r="AT59" i="3" a="1"/>
  <c r="AK59" i="3" a="1"/>
  <c r="AD59" i="3" a="1"/>
  <c r="AG59" i="3" a="1"/>
  <c r="AL59" i="3" a="1"/>
  <c r="AP59" i="3" a="1"/>
  <c r="F59" i="3"/>
  <c r="AI59" i="3" a="1"/>
  <c r="AO59" i="3" a="1"/>
  <c r="AU59" i="3" a="1"/>
  <c r="J59" i="3" a="1"/>
  <c r="AR59" i="3" a="1"/>
  <c r="AJ59" i="3" a="1"/>
  <c r="AQ59" i="3" a="1"/>
  <c r="AM59" i="3" a="1"/>
  <c r="N59" i="3" a="1"/>
  <c r="I59" i="3" a="1"/>
  <c r="BC59" i="3" a="1"/>
  <c r="K59" i="3"/>
  <c r="AC59" i="3" a="1"/>
  <c r="AE59" i="3" a="1"/>
  <c r="AS59" i="3" a="1"/>
  <c r="AF59" i="3" a="1"/>
  <c r="AH59" i="3" a="1"/>
  <c r="M59" i="3" a="1"/>
  <c r="AV59" i="3" a="1"/>
  <c r="AV59" i="3" l="1"/>
  <c r="M59" i="3"/>
  <c r="AH59" i="3"/>
  <c r="AF59" i="3"/>
  <c r="AS59" i="3"/>
  <c r="AE59" i="3"/>
  <c r="AC59" i="3"/>
  <c r="BC59" i="3"/>
  <c r="I59" i="3"/>
  <c r="N59" i="3"/>
  <c r="AM59" i="3"/>
  <c r="AQ59" i="3"/>
  <c r="AJ59" i="3"/>
  <c r="AR59" i="3"/>
  <c r="J59" i="3"/>
  <c r="AU59" i="3"/>
  <c r="AO59" i="3"/>
  <c r="AI59" i="3"/>
  <c r="AP59" i="3"/>
  <c r="AL59" i="3"/>
  <c r="AG59" i="3"/>
  <c r="AD59" i="3"/>
  <c r="AK59" i="3"/>
  <c r="AT59" i="3"/>
  <c r="AN59" i="3"/>
  <c r="H59" i="3"/>
  <c r="AW59" i="3"/>
  <c r="Q59" i="3" a="1"/>
  <c r="Q59" i="3" l="1"/>
  <c r="AA59" i="3"/>
  <c r="R59" i="3"/>
  <c r="AB59" i="3" l="1"/>
  <c r="S59" i="3"/>
  <c r="Z59" i="3" l="1"/>
  <c r="Y59" i="3"/>
  <c r="X59" i="3"/>
  <c r="T59" i="3"/>
  <c r="U59" i="3" s="1"/>
  <c r="AX58" i="3"/>
  <c r="L58" i="3"/>
  <c r="H58" i="3" a="1"/>
  <c r="AN58" i="3" a="1"/>
  <c r="E58" i="3"/>
  <c r="AK58" i="3" a="1"/>
  <c r="AD58" i="3" a="1"/>
  <c r="AG58" i="3" a="1"/>
  <c r="AT58" i="3" a="1"/>
  <c r="AL58" i="3" a="1"/>
  <c r="F58" i="3"/>
  <c r="AI58" i="3" a="1"/>
  <c r="J58" i="3" a="1"/>
  <c r="AR58" i="3" a="1"/>
  <c r="AP58" i="3" a="1"/>
  <c r="AO58" i="3" a="1"/>
  <c r="AU58" i="3" a="1"/>
  <c r="N58" i="3" a="1"/>
  <c r="AQ58" i="3" a="1"/>
  <c r="AM58" i="3" a="1"/>
  <c r="BC58" i="3" a="1"/>
  <c r="I58" i="3" a="1"/>
  <c r="AJ58" i="3" a="1"/>
  <c r="K58" i="3"/>
  <c r="AC58" i="3" a="1"/>
  <c r="AS58" i="3" a="1"/>
  <c r="AE58" i="3" a="1"/>
  <c r="M58" i="3" a="1"/>
  <c r="AV58" i="3" a="1"/>
  <c r="AF58" i="3" a="1"/>
  <c r="AH58" i="3" a="1"/>
  <c r="AH58" i="3" l="1"/>
  <c r="AF58" i="3"/>
  <c r="AV58" i="3"/>
  <c r="M58" i="3"/>
  <c r="AE58" i="3"/>
  <c r="AS58" i="3"/>
  <c r="AC58" i="3"/>
  <c r="AJ58" i="3"/>
  <c r="I58" i="3"/>
  <c r="BC58" i="3"/>
  <c r="AM58" i="3"/>
  <c r="AQ58" i="3"/>
  <c r="N58" i="3"/>
  <c r="AU58" i="3"/>
  <c r="AO58" i="3"/>
  <c r="AP58" i="3"/>
  <c r="AR58" i="3"/>
  <c r="J58" i="3"/>
  <c r="AI58" i="3"/>
  <c r="AL58" i="3"/>
  <c r="AT58" i="3"/>
  <c r="AG58" i="3"/>
  <c r="AD58" i="3"/>
  <c r="AK58" i="3"/>
  <c r="AN58" i="3"/>
  <c r="H58" i="3"/>
  <c r="BD58" i="3"/>
  <c r="Q58" i="3" a="1"/>
  <c r="Q58" i="3" l="1"/>
  <c r="AW58" i="3"/>
  <c r="AA58" i="3" l="1"/>
  <c r="R58" i="3"/>
  <c r="AB58" i="3" l="1"/>
  <c r="S58" i="3"/>
  <c r="Y58" i="3" l="1"/>
  <c r="X58" i="3"/>
  <c r="Z58" i="3"/>
  <c r="T58" i="3"/>
  <c r="U58" i="3" s="1"/>
  <c r="AX57" i="3"/>
  <c r="L57" i="3"/>
  <c r="AN57" i="3" a="1"/>
  <c r="H57" i="3" a="1"/>
  <c r="E57" i="3"/>
  <c r="AK57" i="3" a="1"/>
  <c r="AD57" i="3" a="1"/>
  <c r="AT57" i="3" a="1"/>
  <c r="AL57" i="3" a="1"/>
  <c r="AG57" i="3" a="1"/>
  <c r="F57" i="3"/>
  <c r="AP57" i="3" a="1"/>
  <c r="J57" i="3" a="1"/>
  <c r="AR57" i="3" a="1"/>
  <c r="AO57" i="3" a="1"/>
  <c r="AU57" i="3" a="1"/>
  <c r="AI57" i="3" a="1"/>
  <c r="BC57" i="3" a="1"/>
  <c r="I57" i="3" a="1"/>
  <c r="K57" i="3"/>
  <c r="AJ57" i="3" a="1"/>
  <c r="AM57" i="3" a="1"/>
  <c r="N57" i="3" a="1"/>
  <c r="AQ57" i="3" a="1"/>
  <c r="AE57" i="3" a="1"/>
  <c r="AS57" i="3" a="1"/>
  <c r="AC57" i="3" a="1"/>
  <c r="AV57" i="3" a="1"/>
  <c r="AF57" i="3" a="1"/>
  <c r="AH57" i="3" a="1"/>
  <c r="M57" i="3" a="1"/>
  <c r="M57" i="3" l="1"/>
  <c r="AH57" i="3"/>
  <c r="AF57" i="3"/>
  <c r="AV57" i="3"/>
  <c r="AC57" i="3"/>
  <c r="AS57" i="3"/>
  <c r="AE57" i="3"/>
  <c r="AQ57" i="3"/>
  <c r="N57" i="3"/>
  <c r="AM57" i="3"/>
  <c r="AJ57" i="3"/>
  <c r="I57" i="3"/>
  <c r="BC57" i="3"/>
  <c r="AI57" i="3"/>
  <c r="AU57" i="3"/>
  <c r="AO57" i="3"/>
  <c r="AR57" i="3"/>
  <c r="J57" i="3"/>
  <c r="AP57" i="3"/>
  <c r="AG57" i="3"/>
  <c r="AL57" i="3"/>
  <c r="AT57" i="3"/>
  <c r="AD57" i="3"/>
  <c r="AK57" i="3"/>
  <c r="H57" i="3"/>
  <c r="AN57" i="3"/>
  <c r="AW57" i="3"/>
  <c r="Q57" i="3" a="1"/>
  <c r="Q57" i="3" l="1"/>
  <c r="AA57" i="3"/>
  <c r="R57" i="3"/>
  <c r="AB57" i="3" l="1"/>
  <c r="S57" i="3"/>
  <c r="Z57" i="3" l="1"/>
  <c r="Y57" i="3"/>
  <c r="X57" i="3"/>
  <c r="T57" i="3"/>
  <c r="U57" i="3" s="1"/>
  <c r="AX56" i="3"/>
  <c r="H56" i="3" a="1"/>
  <c r="L56" i="3"/>
  <c r="AN56" i="3" a="1"/>
  <c r="E56" i="3"/>
  <c r="AT56" i="3" a="1"/>
  <c r="AL56" i="3" a="1"/>
  <c r="AK56" i="3" a="1"/>
  <c r="AG56" i="3" a="1"/>
  <c r="AD56" i="3" a="1"/>
  <c r="AO56" i="3" a="1"/>
  <c r="AP56" i="3" a="1"/>
  <c r="AR56" i="3" a="1"/>
  <c r="AU56" i="3" a="1"/>
  <c r="AI56" i="3" a="1"/>
  <c r="F56" i="3"/>
  <c r="J56" i="3" a="1"/>
  <c r="I56" i="3" a="1"/>
  <c r="AJ56" i="3" a="1"/>
  <c r="AM56" i="3" a="1"/>
  <c r="N56" i="3" a="1"/>
  <c r="AQ56" i="3" a="1"/>
  <c r="K56" i="3"/>
  <c r="AE56" i="3" a="1"/>
  <c r="AS56" i="3" a="1"/>
  <c r="AC56" i="3" a="1"/>
  <c r="M56" i="3" a="1"/>
  <c r="AF56" i="3" a="1"/>
  <c r="AV56" i="3" a="1"/>
  <c r="AH56" i="3" a="1"/>
  <c r="AH56" i="3" l="1"/>
  <c r="AV56" i="3"/>
  <c r="AF56" i="3"/>
  <c r="M56" i="3"/>
  <c r="AC56" i="3"/>
  <c r="AS56" i="3"/>
  <c r="AE56" i="3"/>
  <c r="AQ56" i="3"/>
  <c r="N56" i="3"/>
  <c r="AM56" i="3"/>
  <c r="AJ56" i="3"/>
  <c r="I56" i="3"/>
  <c r="J56" i="3"/>
  <c r="AI56" i="3"/>
  <c r="AU56" i="3"/>
  <c r="AR56" i="3"/>
  <c r="AP56" i="3"/>
  <c r="AO56" i="3"/>
  <c r="AD56" i="3"/>
  <c r="AG56" i="3"/>
  <c r="AK56" i="3"/>
  <c r="AL56" i="3"/>
  <c r="AT56" i="3"/>
  <c r="AN56" i="3"/>
  <c r="H56" i="3"/>
  <c r="BD56" i="3"/>
  <c r="Q56" i="3" a="1"/>
  <c r="Q56" i="3" l="1"/>
  <c r="AW56" i="3"/>
  <c r="AA56" i="3" l="1"/>
  <c r="R56" i="3"/>
  <c r="AB56" i="3" l="1"/>
  <c r="S56" i="3"/>
  <c r="Z56" i="3" l="1"/>
  <c r="X56" i="3"/>
  <c r="Y56" i="3"/>
  <c r="T56" i="3"/>
  <c r="U56" i="3" s="1"/>
  <c r="AX55" i="3"/>
  <c r="L55" i="3"/>
  <c r="E55" i="3"/>
  <c r="H55" i="3" a="1"/>
  <c r="AN55" i="3" a="1"/>
  <c r="AT55" i="3" a="1"/>
  <c r="AK55" i="3" a="1"/>
  <c r="AD55" i="3" a="1"/>
  <c r="AG55" i="3" a="1"/>
  <c r="AL55" i="3" a="1"/>
  <c r="AP55" i="3" a="1"/>
  <c r="AI55" i="3" a="1"/>
  <c r="AU55" i="3" a="1"/>
  <c r="AO55" i="3" a="1"/>
  <c r="J55" i="3" a="1"/>
  <c r="F55" i="3"/>
  <c r="AR55" i="3" a="1"/>
  <c r="BC55" i="3" a="1"/>
  <c r="I55" i="3" a="1"/>
  <c r="AJ55" i="3" a="1"/>
  <c r="AM55" i="3" a="1"/>
  <c r="K55" i="3"/>
  <c r="N55" i="3" a="1"/>
  <c r="AQ55" i="3" a="1"/>
  <c r="AC55" i="3" a="1"/>
  <c r="AE55" i="3" a="1"/>
  <c r="AS55" i="3" a="1"/>
  <c r="AF55" i="3" a="1"/>
  <c r="AH55" i="3" a="1"/>
  <c r="M55" i="3" a="1"/>
  <c r="AV55" i="3" a="1"/>
  <c r="AV55" i="3" l="1"/>
  <c r="M55" i="3"/>
  <c r="AH55" i="3"/>
  <c r="AF55" i="3"/>
  <c r="AS55" i="3"/>
  <c r="AE55" i="3"/>
  <c r="AC55" i="3"/>
  <c r="AQ55" i="3"/>
  <c r="N55" i="3"/>
  <c r="AM55" i="3"/>
  <c r="AJ55" i="3"/>
  <c r="I55" i="3"/>
  <c r="BC55" i="3"/>
  <c r="AR55" i="3"/>
  <c r="J55" i="3"/>
  <c r="AO55" i="3"/>
  <c r="AU55" i="3"/>
  <c r="AW55" i="3" s="1"/>
  <c r="AI55" i="3"/>
  <c r="AP55" i="3"/>
  <c r="AL55" i="3"/>
  <c r="AG55" i="3"/>
  <c r="AD55" i="3"/>
  <c r="AK55" i="3"/>
  <c r="AT55" i="3"/>
  <c r="AN55" i="3"/>
  <c r="H55" i="3"/>
  <c r="Q55" i="3" a="1"/>
  <c r="Q55" i="3" l="1"/>
  <c r="AA55" i="3"/>
  <c r="R55" i="3"/>
  <c r="AB55" i="3" l="1"/>
  <c r="S55" i="3"/>
  <c r="Z55" i="3" l="1"/>
  <c r="X55" i="3"/>
  <c r="Y55" i="3"/>
  <c r="T55" i="3"/>
  <c r="U55" i="3" s="1"/>
  <c r="AX54" i="3"/>
  <c r="E54" i="3"/>
  <c r="H54" i="3" a="1"/>
  <c r="AN54" i="3" a="1"/>
  <c r="L54" i="3"/>
  <c r="AG54" i="3" a="1"/>
  <c r="AK54" i="3" a="1"/>
  <c r="AD54" i="3" a="1"/>
  <c r="AT54" i="3" a="1"/>
  <c r="AL54" i="3" a="1"/>
  <c r="AO54" i="3" a="1"/>
  <c r="F54" i="3"/>
  <c r="AI54" i="3" a="1"/>
  <c r="J54" i="3" a="1"/>
  <c r="AP54" i="3" a="1"/>
  <c r="AR54" i="3" a="1"/>
  <c r="AU54" i="3" a="1"/>
  <c r="AJ54" i="3" a="1"/>
  <c r="AM54" i="3" a="1"/>
  <c r="N54" i="3" a="1"/>
  <c r="AQ54" i="3" a="1"/>
  <c r="BC54" i="3" a="1"/>
  <c r="I54" i="3" a="1"/>
  <c r="K54" i="3"/>
  <c r="AC54" i="3" a="1"/>
  <c r="AS54" i="3" a="1"/>
  <c r="AE54" i="3" a="1"/>
  <c r="M54" i="3" a="1"/>
  <c r="AV54" i="3" a="1"/>
  <c r="AF54" i="3" a="1"/>
  <c r="AH54" i="3" a="1"/>
  <c r="AH54" i="3" l="1"/>
  <c r="AF54" i="3"/>
  <c r="AV54" i="3"/>
  <c r="M54" i="3"/>
  <c r="AE54" i="3"/>
  <c r="AS54" i="3"/>
  <c r="AC54" i="3"/>
  <c r="I54" i="3"/>
  <c r="BC54" i="3"/>
  <c r="AQ54" i="3"/>
  <c r="N54" i="3"/>
  <c r="AM54" i="3"/>
  <c r="AJ54" i="3"/>
  <c r="AU54" i="3"/>
  <c r="AW54" i="3" s="1"/>
  <c r="AR54" i="3"/>
  <c r="AP54" i="3"/>
  <c r="J54" i="3"/>
  <c r="AI54" i="3"/>
  <c r="AO54" i="3"/>
  <c r="AL54" i="3"/>
  <c r="AT54" i="3"/>
  <c r="AD54" i="3"/>
  <c r="AK54" i="3"/>
  <c r="AG54" i="3"/>
  <c r="AN54" i="3"/>
  <c r="H54" i="3"/>
  <c r="Q54" i="3" a="1"/>
  <c r="Q54" i="3" l="1"/>
  <c r="AA54" i="3"/>
  <c r="R54" i="3"/>
  <c r="AB54" i="3" l="1"/>
  <c r="S54" i="3"/>
  <c r="Z54" i="3" l="1"/>
  <c r="Y54" i="3"/>
  <c r="X54" i="3"/>
  <c r="T54" i="3"/>
  <c r="U54" i="3" s="1"/>
  <c r="AX53" i="3"/>
  <c r="H53" i="3" a="1"/>
  <c r="E53" i="3"/>
  <c r="AN53" i="3" a="1"/>
  <c r="L53" i="3"/>
  <c r="AD53" i="3" a="1"/>
  <c r="AK53" i="3" a="1"/>
  <c r="AT53" i="3" a="1"/>
  <c r="AL53" i="3" a="1"/>
  <c r="AG53" i="3" a="1"/>
  <c r="AP53" i="3" a="1"/>
  <c r="F53" i="3"/>
  <c r="J53" i="3" a="1"/>
  <c r="AR53" i="3" a="1"/>
  <c r="AO53" i="3" a="1"/>
  <c r="AU53" i="3" a="1"/>
  <c r="AI53" i="3" a="1"/>
  <c r="AM53" i="3" a="1"/>
  <c r="N53" i="3" a="1"/>
  <c r="K53" i="3"/>
  <c r="AQ53" i="3" a="1"/>
  <c r="BC53" i="3" a="1"/>
  <c r="I53" i="3" a="1"/>
  <c r="AJ53" i="3" a="1"/>
  <c r="AE53" i="3" a="1"/>
  <c r="AS53" i="3" a="1"/>
  <c r="AC53" i="3" a="1"/>
  <c r="AV53" i="3" a="1"/>
  <c r="AF53" i="3" a="1"/>
  <c r="AH53" i="3" a="1"/>
  <c r="M53" i="3" a="1"/>
  <c r="M53" i="3" l="1"/>
  <c r="AH53" i="3"/>
  <c r="AF53" i="3"/>
  <c r="AV53" i="3"/>
  <c r="AC53" i="3"/>
  <c r="AS53" i="3"/>
  <c r="AE53" i="3"/>
  <c r="AJ53" i="3"/>
  <c r="I53" i="3"/>
  <c r="BC53" i="3"/>
  <c r="AQ53" i="3"/>
  <c r="N53" i="3"/>
  <c r="AM53" i="3"/>
  <c r="AI53" i="3"/>
  <c r="AU53" i="3"/>
  <c r="AO53" i="3"/>
  <c r="AR53" i="3"/>
  <c r="J53" i="3"/>
  <c r="AP53" i="3"/>
  <c r="AG53" i="3"/>
  <c r="AL53" i="3"/>
  <c r="AT53" i="3"/>
  <c r="AK53" i="3"/>
  <c r="AD53" i="3"/>
  <c r="AN53" i="3"/>
  <c r="H53" i="3"/>
  <c r="AW53" i="3"/>
  <c r="Q53" i="3" a="1"/>
  <c r="Q53" i="3" l="1"/>
  <c r="AA53" i="3"/>
  <c r="R53" i="3"/>
  <c r="AB53" i="3" l="1"/>
  <c r="S53" i="3"/>
  <c r="Z53" i="3" l="1"/>
  <c r="Y53" i="3"/>
  <c r="X53" i="3"/>
  <c r="T53" i="3"/>
  <c r="U53" i="3" s="1"/>
  <c r="AX52" i="3"/>
  <c r="AN52" i="3" a="1"/>
  <c r="E52" i="3"/>
  <c r="H52" i="3" a="1"/>
  <c r="L52" i="3"/>
  <c r="AL52" i="3" a="1"/>
  <c r="AK52" i="3" a="1"/>
  <c r="AT52" i="3" a="1"/>
  <c r="AD52" i="3" a="1"/>
  <c r="AG52" i="3" a="1"/>
  <c r="AP52" i="3" a="1"/>
  <c r="AO52" i="3" a="1"/>
  <c r="AR52" i="3" a="1"/>
  <c r="F52" i="3"/>
  <c r="AU52" i="3" a="1"/>
  <c r="AI52" i="3" a="1"/>
  <c r="J52" i="3" a="1"/>
  <c r="AQ52" i="3" a="1"/>
  <c r="BC52" i="3" a="1"/>
  <c r="I52" i="3" a="1"/>
  <c r="AM52" i="3" a="1"/>
  <c r="AJ52" i="3" a="1"/>
  <c r="N52" i="3" a="1"/>
  <c r="K52" i="3"/>
  <c r="AC52" i="3" a="1"/>
  <c r="AE52" i="3" a="1"/>
  <c r="AS52" i="3" a="1"/>
  <c r="M52" i="3" a="1"/>
  <c r="AF52" i="3" a="1"/>
  <c r="AV52" i="3" a="1"/>
  <c r="AH52" i="3" a="1"/>
  <c r="AH52" i="3" l="1"/>
  <c r="AV52" i="3"/>
  <c r="AF52" i="3"/>
  <c r="M52" i="3"/>
  <c r="AS52" i="3"/>
  <c r="AE52" i="3"/>
  <c r="AC52" i="3"/>
  <c r="N52" i="3"/>
  <c r="AJ52" i="3"/>
  <c r="AM52" i="3"/>
  <c r="I52" i="3"/>
  <c r="BC52" i="3"/>
  <c r="AQ52" i="3"/>
  <c r="J52" i="3"/>
  <c r="AI52" i="3"/>
  <c r="AU52" i="3"/>
  <c r="AR52" i="3"/>
  <c r="AO52" i="3"/>
  <c r="AP52" i="3"/>
  <c r="AG52" i="3"/>
  <c r="AD52" i="3"/>
  <c r="AT52" i="3"/>
  <c r="AK52" i="3"/>
  <c r="AL52" i="3"/>
  <c r="H52" i="3"/>
  <c r="AN52" i="3"/>
  <c r="AW52" i="3"/>
  <c r="Q52" i="3" a="1"/>
  <c r="Q52" i="3" l="1"/>
  <c r="AA52" i="3"/>
  <c r="R52" i="3"/>
  <c r="AB52" i="3" l="1"/>
  <c r="S52" i="3"/>
  <c r="Z52" i="3" l="1"/>
  <c r="X52" i="3"/>
  <c r="Y52" i="3"/>
  <c r="T52" i="3"/>
  <c r="U52" i="3" s="1"/>
  <c r="AX51" i="3"/>
  <c r="L51" i="3"/>
  <c r="H51" i="3" a="1"/>
  <c r="AN51" i="3" a="1"/>
  <c r="E51" i="3"/>
  <c r="AT51" i="3" a="1"/>
  <c r="AD51" i="3" a="1"/>
  <c r="AK51" i="3" a="1"/>
  <c r="AG51" i="3" a="1"/>
  <c r="AL51" i="3" a="1"/>
  <c r="AI51" i="3" a="1"/>
  <c r="AO51" i="3" a="1"/>
  <c r="F51" i="3"/>
  <c r="AP51" i="3" a="1"/>
  <c r="AU51" i="3" a="1"/>
  <c r="J51" i="3" a="1"/>
  <c r="AR51" i="3" a="1"/>
  <c r="K51" i="3"/>
  <c r="BC51" i="3" a="1"/>
  <c r="AQ51" i="3" a="1"/>
  <c r="I51" i="3" a="1"/>
  <c r="N51" i="3" a="1"/>
  <c r="AM51" i="3" a="1"/>
  <c r="AJ51" i="3" a="1"/>
  <c r="AS51" i="3" a="1"/>
  <c r="AC51" i="3" a="1"/>
  <c r="AE51" i="3" a="1"/>
  <c r="AF51" i="3" a="1"/>
  <c r="AH51" i="3" a="1"/>
  <c r="M51" i="3" a="1"/>
  <c r="AV51" i="3" a="1"/>
  <c r="AV51" i="3" l="1"/>
  <c r="M51" i="3"/>
  <c r="AH51" i="3"/>
  <c r="AF51" i="3"/>
  <c r="AE51" i="3"/>
  <c r="AC51" i="3"/>
  <c r="AS51" i="3"/>
  <c r="AJ51" i="3"/>
  <c r="AM51" i="3"/>
  <c r="N51" i="3"/>
  <c r="I51" i="3"/>
  <c r="AQ51" i="3"/>
  <c r="BC51" i="3"/>
  <c r="AR51" i="3"/>
  <c r="J51" i="3"/>
  <c r="AU51" i="3"/>
  <c r="AP51" i="3"/>
  <c r="AO51" i="3"/>
  <c r="AI51" i="3"/>
  <c r="AL51" i="3"/>
  <c r="AG51" i="3"/>
  <c r="AK51" i="3"/>
  <c r="AD51" i="3"/>
  <c r="AT51" i="3"/>
  <c r="AN51" i="3"/>
  <c r="H51" i="3"/>
  <c r="AW51" i="3"/>
  <c r="Q51" i="3" a="1"/>
  <c r="Q51" i="3" l="1"/>
  <c r="AA51" i="3"/>
  <c r="R51" i="3"/>
  <c r="AB51" i="3" l="1"/>
  <c r="S51" i="3"/>
  <c r="Z51" i="3" l="1"/>
  <c r="Y51" i="3"/>
  <c r="X51" i="3"/>
  <c r="T51" i="3"/>
  <c r="U51" i="3" s="1"/>
  <c r="AX50" i="3"/>
  <c r="M50" i="3" a="1"/>
  <c r="H50" i="3" a="1"/>
  <c r="AO50" i="3" a="1"/>
  <c r="AM50" i="3" a="1"/>
  <c r="AU50" i="3" a="1"/>
  <c r="AV50" i="3" a="1"/>
  <c r="I50" i="3" a="1"/>
  <c r="E50" i="3"/>
  <c r="J50" i="3" a="1"/>
  <c r="AG50" i="3" a="1"/>
  <c r="AK50" i="3" a="1"/>
  <c r="AS50" i="3" a="1"/>
  <c r="AD50" i="3" a="1"/>
  <c r="BC50" i="3" a="1"/>
  <c r="AI50" i="3" a="1"/>
  <c r="K50" i="3"/>
  <c r="AC50" i="3" a="1"/>
  <c r="AR50" i="3" a="1"/>
  <c r="AJ50" i="3" a="1"/>
  <c r="AE50" i="3" a="1"/>
  <c r="AT50" i="3" a="1"/>
  <c r="AN50" i="3" a="1"/>
  <c r="AL50" i="3" a="1"/>
  <c r="AP50" i="3" a="1"/>
  <c r="L50" i="3"/>
  <c r="N50" i="3" a="1"/>
  <c r="F50" i="3"/>
  <c r="AF50" i="3" a="1"/>
  <c r="AQ50" i="3" a="1"/>
  <c r="AH50" i="3" a="1"/>
  <c r="AH50" i="3" l="1"/>
  <c r="AQ50" i="3"/>
  <c r="AF50" i="3"/>
  <c r="N50" i="3"/>
  <c r="AP50" i="3"/>
  <c r="AL50" i="3"/>
  <c r="AN50" i="3"/>
  <c r="AT50" i="3"/>
  <c r="AE50" i="3"/>
  <c r="AJ50" i="3"/>
  <c r="AR50" i="3"/>
  <c r="AC50" i="3"/>
  <c r="AI50" i="3"/>
  <c r="BC50" i="3"/>
  <c r="AD50" i="3"/>
  <c r="AS50" i="3"/>
  <c r="AK50" i="3"/>
  <c r="AG50" i="3"/>
  <c r="J50" i="3"/>
  <c r="I50" i="3"/>
  <c r="AV50" i="3"/>
  <c r="AW50" i="3" s="1"/>
  <c r="AU50" i="3"/>
  <c r="AM50" i="3"/>
  <c r="AO50" i="3"/>
  <c r="H50" i="3"/>
  <c r="M50" i="3"/>
  <c r="Q50" i="3" a="1"/>
  <c r="Q50" i="3" l="1"/>
  <c r="AA50" i="3"/>
  <c r="R50" i="3"/>
  <c r="AB50" i="3" l="1"/>
  <c r="S50" i="3"/>
  <c r="Z50" i="3" l="1"/>
  <c r="Y50" i="3"/>
  <c r="X50" i="3"/>
  <c r="T50" i="3"/>
  <c r="U50" i="3" s="1"/>
  <c r="AX49" i="3"/>
  <c r="AO49" i="3" a="1"/>
  <c r="M49" i="3" a="1"/>
  <c r="AM49" i="3" a="1"/>
  <c r="H49" i="3" a="1"/>
  <c r="AU49" i="3" a="1"/>
  <c r="AV49" i="3" a="1"/>
  <c r="J49" i="3" a="1"/>
  <c r="AD49" i="3" a="1"/>
  <c r="I49" i="3" a="1"/>
  <c r="E49" i="3"/>
  <c r="AG49" i="3" a="1"/>
  <c r="AK49" i="3" a="1"/>
  <c r="AS49" i="3" a="1"/>
  <c r="BC49" i="3" a="1"/>
  <c r="AI49" i="3" a="1"/>
  <c r="AC49" i="3" a="1"/>
  <c r="AJ49" i="3" a="1"/>
  <c r="K49" i="3"/>
  <c r="AR49" i="3" a="1"/>
  <c r="AE49" i="3" a="1"/>
  <c r="L49" i="3"/>
  <c r="AT49" i="3" a="1"/>
  <c r="N49" i="3" a="1"/>
  <c r="AL49" i="3" a="1"/>
  <c r="AP49" i="3" a="1"/>
  <c r="AN49" i="3" a="1"/>
  <c r="AQ49" i="3" a="1"/>
  <c r="F49" i="3"/>
  <c r="AH49" i="3" a="1"/>
  <c r="AF49" i="3" a="1"/>
  <c r="AF49" i="3" l="1"/>
  <c r="AH49" i="3"/>
  <c r="AQ49" i="3"/>
  <c r="AN49" i="3"/>
  <c r="AP49" i="3"/>
  <c r="AL49" i="3"/>
  <c r="N49" i="3"/>
  <c r="AT49" i="3"/>
  <c r="AE49" i="3"/>
  <c r="AR49" i="3"/>
  <c r="AJ49" i="3"/>
  <c r="AC49" i="3"/>
  <c r="AI49" i="3"/>
  <c r="BC49" i="3"/>
  <c r="AS49" i="3"/>
  <c r="AK49" i="3"/>
  <c r="AG49" i="3"/>
  <c r="I49" i="3"/>
  <c r="AD49" i="3"/>
  <c r="J49" i="3"/>
  <c r="AV49" i="3"/>
  <c r="AU49" i="3"/>
  <c r="H49" i="3"/>
  <c r="AM49" i="3"/>
  <c r="M49" i="3"/>
  <c r="AO49" i="3"/>
  <c r="AW49" i="3"/>
  <c r="Q49" i="3" a="1"/>
  <c r="Q49" i="3" l="1"/>
  <c r="AA49" i="3"/>
  <c r="R49" i="3" s="1"/>
  <c r="AB49" i="3" l="1"/>
  <c r="S49" i="3"/>
  <c r="Z49" i="3" l="1"/>
  <c r="Y49" i="3"/>
  <c r="X49" i="3"/>
  <c r="T49" i="3"/>
  <c r="U49" i="3" s="1"/>
  <c r="AX48" i="3"/>
  <c r="AO48" i="3" a="1"/>
  <c r="M48" i="3" a="1"/>
  <c r="AU48" i="3" a="1"/>
  <c r="H48" i="3" a="1"/>
  <c r="AM48" i="3" a="1"/>
  <c r="AV48" i="3" a="1"/>
  <c r="AS48" i="3" a="1"/>
  <c r="E48" i="3"/>
  <c r="J48" i="3" a="1"/>
  <c r="AG48" i="3" a="1"/>
  <c r="AK48" i="3" a="1"/>
  <c r="AD48" i="3" a="1"/>
  <c r="I48" i="3" a="1"/>
  <c r="AI48" i="3" a="1"/>
  <c r="AC48" i="3" a="1"/>
  <c r="K48" i="3"/>
  <c r="BC48" i="3" a="1"/>
  <c r="AJ48" i="3" a="1"/>
  <c r="AR48" i="3" a="1"/>
  <c r="AP48" i="3" a="1"/>
  <c r="L48" i="3"/>
  <c r="N48" i="3" a="1"/>
  <c r="AL48" i="3" a="1"/>
  <c r="AE48" i="3" a="1"/>
  <c r="AN48" i="3" a="1"/>
  <c r="AT48" i="3" a="1"/>
  <c r="F48" i="3"/>
  <c r="AH48" i="3" a="1"/>
  <c r="AF48" i="3" a="1"/>
  <c r="AQ48" i="3" a="1"/>
  <c r="AQ48" i="3" l="1"/>
  <c r="AF48" i="3"/>
  <c r="AH48" i="3"/>
  <c r="AT48" i="3"/>
  <c r="AN48" i="3"/>
  <c r="AE48" i="3"/>
  <c r="AL48" i="3"/>
  <c r="N48" i="3"/>
  <c r="AP48" i="3"/>
  <c r="AR48" i="3"/>
  <c r="AJ48" i="3"/>
  <c r="BC48" i="3"/>
  <c r="AC48" i="3"/>
  <c r="AI48" i="3"/>
  <c r="I48" i="3"/>
  <c r="AD48" i="3"/>
  <c r="AK48" i="3"/>
  <c r="AG48" i="3"/>
  <c r="J48" i="3"/>
  <c r="AS48" i="3"/>
  <c r="AV48" i="3"/>
  <c r="AW48" i="3" s="1"/>
  <c r="AM48" i="3"/>
  <c r="H48" i="3"/>
  <c r="AU48" i="3"/>
  <c r="M48" i="3"/>
  <c r="AO48" i="3"/>
  <c r="Q48" i="3" a="1"/>
  <c r="Q48" i="3" l="1"/>
  <c r="AA48" i="3"/>
  <c r="R48" i="3"/>
  <c r="AB48" i="3" l="1"/>
  <c r="S48" i="3"/>
  <c r="Z48" i="3" l="1"/>
  <c r="Y48" i="3"/>
  <c r="X48" i="3"/>
  <c r="T48" i="3"/>
  <c r="U48" i="3" s="1"/>
  <c r="AX47" i="3"/>
  <c r="AO47" i="3" a="1"/>
  <c r="M47" i="3" a="1"/>
  <c r="AU47" i="3" a="1"/>
  <c r="H47" i="3" a="1"/>
  <c r="AM47" i="3" a="1"/>
  <c r="AV47" i="3" a="1"/>
  <c r="AG47" i="3" a="1"/>
  <c r="AK47" i="3" a="1"/>
  <c r="E47" i="3"/>
  <c r="AS47" i="3" a="1"/>
  <c r="AD47" i="3" a="1"/>
  <c r="I47" i="3" a="1"/>
  <c r="J47" i="3" a="1"/>
  <c r="AI47" i="3" a="1"/>
  <c r="AC47" i="3" a="1"/>
  <c r="BC47" i="3" a="1"/>
  <c r="K47" i="3"/>
  <c r="AJ47" i="3" a="1"/>
  <c r="AR47" i="3" a="1"/>
  <c r="L47" i="3"/>
  <c r="AE47" i="3" a="1"/>
  <c r="AL47" i="3" a="1"/>
  <c r="N47" i="3" a="1"/>
  <c r="AN47" i="3" a="1"/>
  <c r="AP47" i="3" a="1"/>
  <c r="AT47" i="3" a="1"/>
  <c r="F47" i="3"/>
  <c r="AF47" i="3" a="1"/>
  <c r="AQ47" i="3" a="1"/>
  <c r="AH47" i="3" a="1"/>
  <c r="AH47" i="3" l="1"/>
  <c r="AQ47" i="3"/>
  <c r="AF47" i="3"/>
  <c r="AT47" i="3"/>
  <c r="AP47" i="3"/>
  <c r="AN47" i="3"/>
  <c r="N47" i="3"/>
  <c r="AL47" i="3"/>
  <c r="AE47" i="3"/>
  <c r="AR47" i="3"/>
  <c r="AJ47" i="3"/>
  <c r="BC47" i="3"/>
  <c r="AC47" i="3"/>
  <c r="AI47" i="3"/>
  <c r="J47" i="3"/>
  <c r="I47" i="3"/>
  <c r="AD47" i="3"/>
  <c r="AS47" i="3"/>
  <c r="AK47" i="3"/>
  <c r="AG47" i="3"/>
  <c r="AV47" i="3"/>
  <c r="AW47" i="3" s="1"/>
  <c r="AM47" i="3"/>
  <c r="H47" i="3"/>
  <c r="AU47" i="3"/>
  <c r="M47" i="3"/>
  <c r="AO47" i="3"/>
  <c r="Q47" i="3" a="1"/>
  <c r="Q47" i="3" l="1"/>
  <c r="AA47" i="3"/>
  <c r="R47" i="3"/>
  <c r="AB47" i="3" l="1"/>
  <c r="S47" i="3"/>
  <c r="Y47" i="3" l="1"/>
  <c r="X47" i="3"/>
  <c r="Z47" i="3"/>
  <c r="T47" i="3"/>
  <c r="U47" i="3" s="1"/>
  <c r="AX46" i="3"/>
  <c r="M46" i="3" a="1"/>
  <c r="AO46" i="3" a="1"/>
  <c r="H46" i="3" a="1"/>
  <c r="AM46" i="3" a="1"/>
  <c r="AU46" i="3" a="1"/>
  <c r="AV46" i="3" a="1"/>
  <c r="I46" i="3" a="1"/>
  <c r="AD46" i="3" a="1"/>
  <c r="J46" i="3" a="1"/>
  <c r="AG46" i="3" a="1"/>
  <c r="AK46" i="3" a="1"/>
  <c r="E46" i="3"/>
  <c r="AS46" i="3" a="1"/>
  <c r="AC46" i="3" a="1"/>
  <c r="K46" i="3"/>
  <c r="BC46" i="3" a="1"/>
  <c r="AI46" i="3" a="1"/>
  <c r="AJ46" i="3" a="1"/>
  <c r="AR46" i="3" a="1"/>
  <c r="L46" i="3"/>
  <c r="AE46" i="3" a="1"/>
  <c r="AT46" i="3" a="1"/>
  <c r="AN46" i="3" a="1"/>
  <c r="AL46" i="3" a="1"/>
  <c r="AP46" i="3" a="1"/>
  <c r="N46" i="3" a="1"/>
  <c r="F46" i="3"/>
  <c r="AF46" i="3" a="1"/>
  <c r="AQ46" i="3" a="1"/>
  <c r="AH46" i="3" a="1"/>
  <c r="AH46" i="3" l="1"/>
  <c r="AQ46" i="3"/>
  <c r="AF46" i="3"/>
  <c r="N46" i="3"/>
  <c r="AP46" i="3"/>
  <c r="AL46" i="3"/>
  <c r="AN46" i="3"/>
  <c r="AT46" i="3"/>
  <c r="AE46" i="3"/>
  <c r="AR46" i="3"/>
  <c r="AJ46" i="3"/>
  <c r="AI46" i="3"/>
  <c r="BC46" i="3"/>
  <c r="AC46" i="3"/>
  <c r="AS46" i="3"/>
  <c r="AK46" i="3"/>
  <c r="AG46" i="3"/>
  <c r="J46" i="3"/>
  <c r="AD46" i="3"/>
  <c r="I46" i="3"/>
  <c r="AV46" i="3"/>
  <c r="AU46" i="3"/>
  <c r="AW46" i="3" s="1"/>
  <c r="AM46" i="3"/>
  <c r="H46" i="3"/>
  <c r="AO46" i="3"/>
  <c r="M46" i="3"/>
  <c r="Q46" i="3" a="1"/>
  <c r="Q46" i="3" l="1"/>
  <c r="AA46" i="3"/>
  <c r="R46" i="3"/>
  <c r="AB46" i="3" l="1"/>
  <c r="S46" i="3"/>
  <c r="Z46" i="3" l="1"/>
  <c r="Y46" i="3"/>
  <c r="X46" i="3"/>
  <c r="T46" i="3"/>
  <c r="U46" i="3" s="1"/>
  <c r="AX45" i="3"/>
  <c r="AO45" i="3" a="1"/>
  <c r="M45" i="3" a="1"/>
  <c r="H45" i="3" a="1"/>
  <c r="AM45" i="3" a="1"/>
  <c r="AU45" i="3" a="1"/>
  <c r="AV45" i="3" a="1"/>
  <c r="J45" i="3" a="1"/>
  <c r="AD45" i="3" a="1"/>
  <c r="I45" i="3" a="1"/>
  <c r="AG45" i="3" a="1"/>
  <c r="AK45" i="3" a="1"/>
  <c r="AS45" i="3" a="1"/>
  <c r="E45" i="3"/>
  <c r="BC45" i="3" a="1"/>
  <c r="AI45" i="3" a="1"/>
  <c r="AC45" i="3" a="1"/>
  <c r="K45" i="3"/>
  <c r="AJ45" i="3" a="1"/>
  <c r="AR45" i="3" a="1"/>
  <c r="AE45" i="3" a="1"/>
  <c r="AT45" i="3" a="1"/>
  <c r="L45" i="3"/>
  <c r="N45" i="3" a="1"/>
  <c r="AL45" i="3" a="1"/>
  <c r="AP45" i="3" a="1"/>
  <c r="AN45" i="3" a="1"/>
  <c r="AF45" i="3" a="1"/>
  <c r="AQ45" i="3" a="1"/>
  <c r="AH45" i="3" a="1"/>
  <c r="F45" i="3"/>
  <c r="AH45" i="3" l="1"/>
  <c r="AQ45" i="3"/>
  <c r="AF45" i="3"/>
  <c r="AN45" i="3"/>
  <c r="AP45" i="3"/>
  <c r="AL45" i="3"/>
  <c r="N45" i="3"/>
  <c r="AT45" i="3"/>
  <c r="AE45" i="3"/>
  <c r="AR45" i="3"/>
  <c r="AJ45" i="3"/>
  <c r="AC45" i="3"/>
  <c r="AI45" i="3"/>
  <c r="BC45" i="3"/>
  <c r="AS45" i="3"/>
  <c r="AK45" i="3"/>
  <c r="AG45" i="3"/>
  <c r="I45" i="3"/>
  <c r="AD45" i="3"/>
  <c r="J45" i="3"/>
  <c r="AV45" i="3"/>
  <c r="AW45" i="3" s="1"/>
  <c r="AU45" i="3"/>
  <c r="AM45" i="3"/>
  <c r="H45" i="3"/>
  <c r="M45" i="3"/>
  <c r="AO45" i="3"/>
  <c r="Q45" i="3" a="1"/>
  <c r="Q45" i="3" l="1"/>
  <c r="AA45" i="3"/>
  <c r="R45" i="3"/>
  <c r="AB45" i="3" l="1"/>
  <c r="S45" i="3"/>
  <c r="Z45" i="3" l="1"/>
  <c r="Y45" i="3"/>
  <c r="X45" i="3"/>
  <c r="T45" i="3"/>
  <c r="U45" i="3" s="1"/>
  <c r="AX44" i="3"/>
  <c r="AO44" i="3" a="1"/>
  <c r="M44" i="3" a="1"/>
  <c r="AU44" i="3" a="1"/>
  <c r="H44" i="3" a="1"/>
  <c r="AM44" i="3" a="1"/>
  <c r="AV44" i="3" a="1"/>
  <c r="AS44" i="3" a="1"/>
  <c r="J44" i="3" a="1"/>
  <c r="AG44" i="3" a="1"/>
  <c r="AK44" i="3" a="1"/>
  <c r="E44" i="3"/>
  <c r="AD44" i="3" a="1"/>
  <c r="I44" i="3" a="1"/>
  <c r="K44" i="3"/>
  <c r="BC44" i="3" a="1"/>
  <c r="AI44" i="3" a="1"/>
  <c r="AC44" i="3" a="1"/>
  <c r="AJ44" i="3" a="1"/>
  <c r="AR44" i="3" a="1"/>
  <c r="AE44" i="3" a="1"/>
  <c r="AP44" i="3" a="1"/>
  <c r="AL44" i="3" a="1"/>
  <c r="N44" i="3" a="1"/>
  <c r="L44" i="3"/>
  <c r="AN44" i="3" a="1"/>
  <c r="AT44" i="3" a="1"/>
  <c r="AF44" i="3" a="1"/>
  <c r="AH44" i="3" a="1"/>
  <c r="AQ44" i="3" a="1"/>
  <c r="F44" i="3"/>
  <c r="AQ44" i="3" l="1"/>
  <c r="AH44" i="3"/>
  <c r="AF44" i="3"/>
  <c r="AT44" i="3"/>
  <c r="AN44" i="3"/>
  <c r="N44" i="3"/>
  <c r="AL44" i="3"/>
  <c r="AP44" i="3"/>
  <c r="AE44" i="3"/>
  <c r="AR44" i="3"/>
  <c r="AJ44" i="3"/>
  <c r="AC44" i="3"/>
  <c r="AI44" i="3"/>
  <c r="BC44" i="3"/>
  <c r="I44" i="3"/>
  <c r="AD44" i="3"/>
  <c r="AK44" i="3"/>
  <c r="AG44" i="3"/>
  <c r="J44" i="3"/>
  <c r="AS44" i="3"/>
  <c r="AV44" i="3"/>
  <c r="AM44" i="3"/>
  <c r="H44" i="3"/>
  <c r="AU44" i="3"/>
  <c r="M44" i="3"/>
  <c r="AO44" i="3"/>
  <c r="BD44" i="3"/>
  <c r="Q44" i="3" a="1"/>
  <c r="Q44" i="3" l="1"/>
  <c r="AW44" i="3"/>
  <c r="AA44" i="3" l="1"/>
  <c r="R44" i="3"/>
  <c r="AB44" i="3" l="1"/>
  <c r="S44" i="3"/>
  <c r="Z44" i="3" l="1"/>
  <c r="Y44" i="3"/>
  <c r="X44" i="3"/>
  <c r="T44" i="3"/>
  <c r="U44" i="3" s="1"/>
  <c r="AX43" i="3"/>
  <c r="AO43" i="3" a="1"/>
  <c r="M43" i="3" a="1"/>
  <c r="AU43" i="3" a="1"/>
  <c r="H43" i="3" a="1"/>
  <c r="AM43" i="3" a="1"/>
  <c r="AV43" i="3" a="1"/>
  <c r="AG43" i="3" a="1"/>
  <c r="AK43" i="3" a="1"/>
  <c r="AS43" i="3" a="1"/>
  <c r="E43" i="3"/>
  <c r="AD43" i="3" a="1"/>
  <c r="I43" i="3" a="1"/>
  <c r="J43" i="3" a="1"/>
  <c r="K43" i="3"/>
  <c r="BC43" i="3" a="1"/>
  <c r="AI43" i="3" a="1"/>
  <c r="AC43" i="3" a="1"/>
  <c r="AJ43" i="3" a="1"/>
  <c r="AR43" i="3" a="1"/>
  <c r="L43" i="3"/>
  <c r="AE43" i="3" a="1"/>
  <c r="AP43" i="3" a="1"/>
  <c r="AL43" i="3" a="1"/>
  <c r="AN43" i="3" a="1"/>
  <c r="N43" i="3" a="1"/>
  <c r="AT43" i="3" a="1"/>
  <c r="AF43" i="3" a="1"/>
  <c r="AQ43" i="3" a="1"/>
  <c r="AH43" i="3" a="1"/>
  <c r="F43" i="3"/>
  <c r="AH43" i="3" l="1"/>
  <c r="AQ43" i="3"/>
  <c r="AF43" i="3"/>
  <c r="AT43" i="3"/>
  <c r="N43" i="3"/>
  <c r="AN43" i="3"/>
  <c r="AL43" i="3"/>
  <c r="AP43" i="3"/>
  <c r="AE43" i="3"/>
  <c r="AR43" i="3"/>
  <c r="AJ43" i="3"/>
  <c r="AC43" i="3"/>
  <c r="AI43" i="3"/>
  <c r="BC43" i="3"/>
  <c r="J43" i="3"/>
  <c r="I43" i="3"/>
  <c r="AD43" i="3"/>
  <c r="AS43" i="3"/>
  <c r="AK43" i="3"/>
  <c r="AG43" i="3"/>
  <c r="AV43" i="3"/>
  <c r="AM43" i="3"/>
  <c r="H43" i="3"/>
  <c r="AU43" i="3"/>
  <c r="M43" i="3"/>
  <c r="AO43" i="3"/>
  <c r="AW43" i="3"/>
  <c r="Q43" i="3" a="1"/>
  <c r="Q43" i="3" l="1"/>
  <c r="AA43" i="3"/>
  <c r="R43" i="3"/>
  <c r="AB43" i="3" l="1"/>
  <c r="S43" i="3"/>
  <c r="Y43" i="3" l="1"/>
  <c r="X43" i="3"/>
  <c r="Z43" i="3"/>
  <c r="T43" i="3"/>
  <c r="U43" i="3" s="1"/>
  <c r="AX42" i="3"/>
  <c r="M42" i="3" a="1"/>
  <c r="AO42" i="3" a="1"/>
  <c r="AM42" i="3" a="1"/>
  <c r="H42" i="3" a="1"/>
  <c r="AU42" i="3" a="1"/>
  <c r="AV42" i="3" a="1"/>
  <c r="I42" i="3" a="1"/>
  <c r="E42" i="3"/>
  <c r="AD42" i="3" a="1"/>
  <c r="J42" i="3" a="1"/>
  <c r="AG42" i="3" a="1"/>
  <c r="AK42" i="3" a="1"/>
  <c r="AS42" i="3" a="1"/>
  <c r="K42" i="3"/>
  <c r="AI42" i="3" a="1"/>
  <c r="AC42" i="3" a="1"/>
  <c r="AJ42" i="3" a="1"/>
  <c r="AR42" i="3" a="1"/>
  <c r="AE42" i="3" a="1"/>
  <c r="AT42" i="3" a="1"/>
  <c r="AN42" i="3" a="1"/>
  <c r="AL42" i="3" a="1"/>
  <c r="AP42" i="3" a="1"/>
  <c r="L42" i="3"/>
  <c r="N42" i="3" a="1"/>
  <c r="F42" i="3"/>
  <c r="AF42" i="3" a="1"/>
  <c r="AQ42" i="3" a="1"/>
  <c r="AH42" i="3" a="1"/>
  <c r="AH42" i="3" l="1"/>
  <c r="AQ42" i="3"/>
  <c r="AF42" i="3"/>
  <c r="N42" i="3"/>
  <c r="AP42" i="3"/>
  <c r="AL42" i="3"/>
  <c r="AN42" i="3"/>
  <c r="AT42" i="3"/>
  <c r="AE42" i="3"/>
  <c r="AR42" i="3"/>
  <c r="AJ42" i="3"/>
  <c r="AC42" i="3"/>
  <c r="AI42" i="3"/>
  <c r="AS42" i="3"/>
  <c r="AK42" i="3"/>
  <c r="AG42" i="3"/>
  <c r="J42" i="3"/>
  <c r="AD42" i="3"/>
  <c r="I42" i="3"/>
  <c r="AV42" i="3"/>
  <c r="AU42" i="3"/>
  <c r="H42" i="3"/>
  <c r="AM42" i="3"/>
  <c r="AO42" i="3"/>
  <c r="M42" i="3"/>
  <c r="BD42" i="3"/>
  <c r="Q42" i="3" a="1"/>
  <c r="Q42" i="3" l="1"/>
  <c r="AW42" i="3"/>
  <c r="AA42" i="3" l="1"/>
  <c r="R42" i="3"/>
  <c r="AB42" i="3" l="1"/>
  <c r="S42" i="3"/>
  <c r="Y42" i="3" l="1"/>
  <c r="X42" i="3"/>
  <c r="Z42" i="3"/>
  <c r="T42" i="3"/>
  <c r="U42" i="3" s="1"/>
  <c r="AX41" i="3"/>
  <c r="AO41" i="3" a="1"/>
  <c r="M41" i="3" a="1"/>
  <c r="H41" i="3" a="1"/>
  <c r="AM41" i="3" a="1"/>
  <c r="AU41" i="3" a="1"/>
  <c r="AV41" i="3" a="1"/>
  <c r="J41" i="3" a="1"/>
  <c r="AD41" i="3" a="1"/>
  <c r="I41" i="3" a="1"/>
  <c r="E41" i="3"/>
  <c r="AG41" i="3" a="1"/>
  <c r="AK41" i="3" a="1"/>
  <c r="AS41" i="3" a="1"/>
  <c r="AI41" i="3" a="1"/>
  <c r="AC41" i="3" a="1"/>
  <c r="BC41" i="3" a="1"/>
  <c r="AJ41" i="3" a="1"/>
  <c r="K41" i="3"/>
  <c r="AR41" i="3" a="1"/>
  <c r="AE41" i="3" a="1"/>
  <c r="L41" i="3"/>
  <c r="AT41" i="3" a="1"/>
  <c r="N41" i="3" a="1"/>
  <c r="AL41" i="3" a="1"/>
  <c r="AP41" i="3" a="1"/>
  <c r="AN41" i="3" a="1"/>
  <c r="F41" i="3"/>
  <c r="AQ41" i="3" a="1"/>
  <c r="AH41" i="3" a="1"/>
  <c r="AF41" i="3" a="1"/>
  <c r="AF41" i="3" l="1"/>
  <c r="AH41" i="3"/>
  <c r="AQ41" i="3"/>
  <c r="AN41" i="3"/>
  <c r="AP41" i="3"/>
  <c r="AL41" i="3"/>
  <c r="N41" i="3"/>
  <c r="AT41" i="3"/>
  <c r="AE41" i="3"/>
  <c r="AR41" i="3"/>
  <c r="AJ41" i="3"/>
  <c r="BC41" i="3"/>
  <c r="AC41" i="3"/>
  <c r="AI41" i="3"/>
  <c r="AS41" i="3"/>
  <c r="AK41" i="3"/>
  <c r="AG41" i="3"/>
  <c r="I41" i="3"/>
  <c r="AD41" i="3"/>
  <c r="J41" i="3"/>
  <c r="AV41" i="3"/>
  <c r="AU41" i="3"/>
  <c r="AM41" i="3"/>
  <c r="H41" i="3"/>
  <c r="M41" i="3"/>
  <c r="AO41" i="3"/>
  <c r="AW41" i="3"/>
  <c r="Q41" i="3" a="1"/>
  <c r="Q41" i="3" l="1"/>
  <c r="AA41" i="3"/>
  <c r="R41" i="3"/>
  <c r="AB41" i="3" l="1"/>
  <c r="S41" i="3"/>
  <c r="Z41" i="3" l="1"/>
  <c r="Y41" i="3"/>
  <c r="X41" i="3"/>
  <c r="T41" i="3"/>
  <c r="U41" i="3" s="1"/>
  <c r="AX40" i="3"/>
  <c r="AO40" i="3" a="1"/>
  <c r="M40" i="3" a="1"/>
  <c r="AU40" i="3" a="1"/>
  <c r="H40" i="3" a="1"/>
  <c r="AM40" i="3" a="1"/>
  <c r="AV40" i="3" a="1"/>
  <c r="AS40" i="3" a="1"/>
  <c r="E40" i="3"/>
  <c r="J40" i="3" a="1"/>
  <c r="AG40" i="3" a="1"/>
  <c r="AK40" i="3" a="1"/>
  <c r="AD40" i="3" a="1"/>
  <c r="I40" i="3" a="1"/>
  <c r="BC40" i="3" a="1"/>
  <c r="AC40" i="3" a="1"/>
  <c r="AI40" i="3" a="1"/>
  <c r="K40" i="3"/>
  <c r="AJ40" i="3" a="1"/>
  <c r="AR40" i="3" a="1"/>
  <c r="L40" i="3"/>
  <c r="AE40" i="3" a="1"/>
  <c r="N40" i="3" a="1"/>
  <c r="AP40" i="3" a="1"/>
  <c r="AL40" i="3" a="1"/>
  <c r="AN40" i="3" a="1"/>
  <c r="AT40" i="3" a="1"/>
  <c r="F40" i="3"/>
  <c r="AH40" i="3" a="1"/>
  <c r="AF40" i="3" a="1"/>
  <c r="AQ40" i="3" a="1"/>
  <c r="AQ40" i="3" l="1"/>
  <c r="AF40" i="3"/>
  <c r="AH40" i="3"/>
  <c r="AT40" i="3"/>
  <c r="AN40" i="3"/>
  <c r="AL40" i="3"/>
  <c r="AP40" i="3"/>
  <c r="N40" i="3"/>
  <c r="AE40" i="3"/>
  <c r="AR40" i="3"/>
  <c r="AJ40" i="3"/>
  <c r="AI40" i="3"/>
  <c r="AC40" i="3"/>
  <c r="BC40" i="3"/>
  <c r="I40" i="3"/>
  <c r="AD40" i="3"/>
  <c r="AK40" i="3"/>
  <c r="AG40" i="3"/>
  <c r="J40" i="3"/>
  <c r="AS40" i="3"/>
  <c r="AV40" i="3"/>
  <c r="AW40" i="3" s="1"/>
  <c r="AM40" i="3"/>
  <c r="H40" i="3"/>
  <c r="AU40" i="3"/>
  <c r="M40" i="3"/>
  <c r="AO40" i="3"/>
  <c r="Q40" i="3" a="1"/>
  <c r="Q40" i="3" l="1"/>
  <c r="AA40" i="3"/>
  <c r="R40" i="3"/>
  <c r="AB40" i="3" l="1"/>
  <c r="S40" i="3"/>
  <c r="Y40" i="3" l="1"/>
  <c r="X40" i="3"/>
  <c r="Z40" i="3"/>
  <c r="T40" i="3"/>
  <c r="U40" i="3" s="1"/>
  <c r="AX39" i="3"/>
  <c r="AO39" i="3" a="1"/>
  <c r="M39" i="3" a="1"/>
  <c r="AU39" i="3" a="1"/>
  <c r="H39" i="3" a="1"/>
  <c r="AM39" i="3" a="1"/>
  <c r="AV39" i="3" a="1"/>
  <c r="E39" i="3"/>
  <c r="AG39" i="3" a="1"/>
  <c r="AK39" i="3" a="1"/>
  <c r="AS39" i="3" a="1"/>
  <c r="AD39" i="3" a="1"/>
  <c r="I39" i="3" a="1"/>
  <c r="J39" i="3" a="1"/>
  <c r="AC39" i="3" a="1"/>
  <c r="AI39" i="3" a="1"/>
  <c r="BC39" i="3" a="1"/>
  <c r="K39" i="3"/>
  <c r="AJ39" i="3" a="1"/>
  <c r="AR39" i="3" a="1"/>
  <c r="AE39" i="3" a="1"/>
  <c r="L39" i="3"/>
  <c r="AP39" i="3" a="1"/>
  <c r="N39" i="3" a="1"/>
  <c r="AL39" i="3" a="1"/>
  <c r="AN39" i="3" a="1"/>
  <c r="AT39" i="3" a="1"/>
  <c r="F39" i="3"/>
  <c r="AF39" i="3" a="1"/>
  <c r="AQ39" i="3" a="1"/>
  <c r="AH39" i="3" a="1"/>
  <c r="AH39" i="3" l="1"/>
  <c r="AQ39" i="3"/>
  <c r="AF39" i="3"/>
  <c r="AT39" i="3"/>
  <c r="AN39" i="3"/>
  <c r="AL39" i="3"/>
  <c r="N39" i="3"/>
  <c r="AP39" i="3"/>
  <c r="AE39" i="3"/>
  <c r="AR39" i="3"/>
  <c r="AJ39" i="3"/>
  <c r="BC39" i="3"/>
  <c r="AI39" i="3"/>
  <c r="AC39" i="3"/>
  <c r="J39" i="3"/>
  <c r="I39" i="3"/>
  <c r="AD39" i="3"/>
  <c r="AS39" i="3"/>
  <c r="AK39" i="3"/>
  <c r="AG39" i="3"/>
  <c r="AV39" i="3"/>
  <c r="AW39" i="3" s="1"/>
  <c r="AM39" i="3"/>
  <c r="H39" i="3"/>
  <c r="AU39" i="3"/>
  <c r="M39" i="3"/>
  <c r="AO39" i="3"/>
  <c r="Q39" i="3" a="1"/>
  <c r="Q39" i="3" l="1"/>
  <c r="AA39" i="3"/>
  <c r="R39" i="3"/>
  <c r="AB39" i="3" l="1"/>
  <c r="S39" i="3"/>
  <c r="Z39" i="3" l="1"/>
  <c r="Y39" i="3"/>
  <c r="X39" i="3"/>
  <c r="T39" i="3"/>
  <c r="U39" i="3" s="1"/>
  <c r="AX38" i="3"/>
  <c r="M38" i="3" a="1"/>
  <c r="AO38" i="3" a="1"/>
  <c r="H38" i="3" a="1"/>
  <c r="AM38" i="3" a="1"/>
  <c r="AU38" i="3" a="1"/>
  <c r="AV38" i="3" a="1"/>
  <c r="I38" i="3" a="1"/>
  <c r="AD38" i="3" a="1"/>
  <c r="J38" i="3" a="1"/>
  <c r="AG38" i="3" a="1"/>
  <c r="AK38" i="3" a="1"/>
  <c r="E38" i="3"/>
  <c r="AS38" i="3" a="1"/>
  <c r="AI38" i="3" a="1"/>
  <c r="AC38" i="3" a="1"/>
  <c r="K38" i="3"/>
  <c r="BC38" i="3" a="1"/>
  <c r="AJ38" i="3" a="1"/>
  <c r="AR38" i="3" a="1"/>
  <c r="AE38" i="3" a="1"/>
  <c r="L38" i="3"/>
  <c r="AT38" i="3" a="1"/>
  <c r="AN38" i="3" a="1"/>
  <c r="AL38" i="3" a="1"/>
  <c r="AP38" i="3" a="1"/>
  <c r="N38" i="3" a="1"/>
  <c r="F38" i="3"/>
  <c r="AF38" i="3" a="1"/>
  <c r="AQ38" i="3" a="1"/>
  <c r="AH38" i="3" a="1"/>
  <c r="AH38" i="3" l="1"/>
  <c r="AQ38" i="3"/>
  <c r="AF38" i="3"/>
  <c r="N38" i="3"/>
  <c r="AP38" i="3"/>
  <c r="AL38" i="3"/>
  <c r="AN38" i="3"/>
  <c r="AT38" i="3"/>
  <c r="AE38" i="3"/>
  <c r="AR38" i="3"/>
  <c r="AJ38" i="3"/>
  <c r="BC38" i="3"/>
  <c r="AC38" i="3"/>
  <c r="AI38" i="3"/>
  <c r="AS38" i="3"/>
  <c r="AK38" i="3"/>
  <c r="AG38" i="3"/>
  <c r="J38" i="3"/>
  <c r="AD38" i="3"/>
  <c r="I38" i="3"/>
  <c r="AV38" i="3"/>
  <c r="AW38" i="3" s="1"/>
  <c r="AU38" i="3"/>
  <c r="AM38" i="3"/>
  <c r="H38" i="3"/>
  <c r="AO38" i="3"/>
  <c r="M38" i="3"/>
  <c r="Q38" i="3" a="1"/>
  <c r="Q38" i="3" l="1"/>
  <c r="AA38" i="3"/>
  <c r="R38" i="3"/>
  <c r="AB38" i="3" l="1"/>
  <c r="S38" i="3"/>
  <c r="Z38" i="3" l="1"/>
  <c r="Y38" i="3"/>
  <c r="X38" i="3"/>
  <c r="T38" i="3"/>
  <c r="U38" i="3" s="1"/>
  <c r="AX37" i="3"/>
  <c r="AO37" i="3" a="1"/>
  <c r="M37" i="3" a="1"/>
  <c r="H37" i="3" a="1"/>
  <c r="AU37" i="3" a="1"/>
  <c r="AM37" i="3" a="1"/>
  <c r="AV37" i="3" a="1"/>
  <c r="J37" i="3" a="1"/>
  <c r="AD37" i="3" a="1"/>
  <c r="I37" i="3" a="1"/>
  <c r="AG37" i="3" a="1"/>
  <c r="AK37" i="3" a="1"/>
  <c r="AS37" i="3" a="1"/>
  <c r="E37" i="3"/>
  <c r="AC37" i="3" a="1"/>
  <c r="AI37" i="3" a="1"/>
  <c r="BC37" i="3" a="1"/>
  <c r="K37" i="3"/>
  <c r="AJ37" i="3" a="1"/>
  <c r="AR37" i="3" a="1"/>
  <c r="L37" i="3"/>
  <c r="AE37" i="3" a="1"/>
  <c r="AT37" i="3" a="1"/>
  <c r="N37" i="3" a="1"/>
  <c r="AL37" i="3" a="1"/>
  <c r="AP37" i="3" a="1"/>
  <c r="AN37" i="3" a="1"/>
  <c r="AF37" i="3" a="1"/>
  <c r="AQ37" i="3" a="1"/>
  <c r="AH37" i="3" a="1"/>
  <c r="F37" i="3"/>
  <c r="AH37" i="3" l="1"/>
  <c r="AQ37" i="3"/>
  <c r="AF37" i="3"/>
  <c r="AN37" i="3"/>
  <c r="AP37" i="3"/>
  <c r="AL37" i="3"/>
  <c r="N37" i="3"/>
  <c r="AT37" i="3"/>
  <c r="AE37" i="3"/>
  <c r="AR37" i="3"/>
  <c r="AJ37" i="3"/>
  <c r="BC37" i="3"/>
  <c r="AI37" i="3"/>
  <c r="AC37" i="3"/>
  <c r="AS37" i="3"/>
  <c r="AK37" i="3"/>
  <c r="AG37" i="3"/>
  <c r="I37" i="3"/>
  <c r="AD37" i="3"/>
  <c r="J37" i="3"/>
  <c r="AV37" i="3"/>
  <c r="AW37" i="3" s="1"/>
  <c r="AM37" i="3"/>
  <c r="AU37" i="3"/>
  <c r="H37" i="3"/>
  <c r="M37" i="3"/>
  <c r="AO37" i="3"/>
  <c r="Q37" i="3" a="1"/>
  <c r="Q37" i="3" l="1"/>
  <c r="AA37" i="3"/>
  <c r="R37" i="3"/>
  <c r="AB37" i="3" l="1"/>
  <c r="S37" i="3"/>
  <c r="Z37" i="3" l="1"/>
  <c r="Y37" i="3"/>
  <c r="X37" i="3"/>
  <c r="T37" i="3"/>
  <c r="U37" i="3" s="1"/>
  <c r="AX36" i="3"/>
  <c r="AO36" i="3" a="1"/>
  <c r="M36" i="3" a="1"/>
  <c r="AU36" i="3" a="1"/>
  <c r="H36" i="3" a="1"/>
  <c r="AM36" i="3" a="1"/>
  <c r="AV36" i="3" a="1"/>
  <c r="AS36" i="3" a="1"/>
  <c r="J36" i="3" a="1"/>
  <c r="AG36" i="3" a="1"/>
  <c r="AK36" i="3" a="1"/>
  <c r="E36" i="3"/>
  <c r="AD36" i="3" a="1"/>
  <c r="I36" i="3" a="1"/>
  <c r="AC36" i="3" a="1"/>
  <c r="AI36" i="3" a="1"/>
  <c r="BC36" i="3" a="1"/>
  <c r="K36" i="3"/>
  <c r="AJ36" i="3" a="1"/>
  <c r="AR36" i="3" a="1"/>
  <c r="AL36" i="3" a="1"/>
  <c r="N36" i="3" a="1"/>
  <c r="AE36" i="3" a="1"/>
  <c r="AP36" i="3" a="1"/>
  <c r="L36" i="3"/>
  <c r="AN36" i="3" a="1"/>
  <c r="AT36" i="3" a="1"/>
  <c r="AF36" i="3" a="1"/>
  <c r="AH36" i="3" a="1"/>
  <c r="AQ36" i="3" a="1"/>
  <c r="F36" i="3"/>
  <c r="AQ36" i="3" l="1"/>
  <c r="AH36" i="3"/>
  <c r="AF36" i="3"/>
  <c r="AT36" i="3"/>
  <c r="AN36" i="3"/>
  <c r="AP36" i="3"/>
  <c r="AE36" i="3"/>
  <c r="N36" i="3"/>
  <c r="AL36" i="3"/>
  <c r="AR36" i="3"/>
  <c r="AJ36" i="3"/>
  <c r="BC36" i="3"/>
  <c r="AI36" i="3"/>
  <c r="AC36" i="3"/>
  <c r="I36" i="3"/>
  <c r="AD36" i="3"/>
  <c r="AK36" i="3"/>
  <c r="AG36" i="3"/>
  <c r="J36" i="3"/>
  <c r="AS36" i="3"/>
  <c r="AV36" i="3"/>
  <c r="AM36" i="3"/>
  <c r="H36" i="3"/>
  <c r="AU36" i="3"/>
  <c r="M36" i="3"/>
  <c r="AO36" i="3"/>
  <c r="AW36" i="3"/>
  <c r="Q36" i="3" a="1"/>
  <c r="Q36" i="3" l="1"/>
  <c r="AA36" i="3"/>
  <c r="R36" i="3"/>
  <c r="AB36" i="3" l="1"/>
  <c r="S36" i="3"/>
  <c r="Y36" i="3" l="1"/>
  <c r="X36" i="3"/>
  <c r="Z36" i="3"/>
  <c r="T36" i="3"/>
  <c r="U36" i="3" s="1"/>
  <c r="AX35" i="3"/>
  <c r="AO35" i="3" a="1"/>
  <c r="M35" i="3" a="1"/>
  <c r="AU35" i="3" a="1"/>
  <c r="H35" i="3" a="1"/>
  <c r="AM35" i="3" a="1"/>
  <c r="AV35" i="3" a="1"/>
  <c r="AG35" i="3" a="1"/>
  <c r="AK35" i="3" a="1"/>
  <c r="AS35" i="3" a="1"/>
  <c r="E35" i="3"/>
  <c r="AD35" i="3" a="1"/>
  <c r="I35" i="3" a="1"/>
  <c r="J35" i="3" a="1"/>
  <c r="AC35" i="3" a="1"/>
  <c r="AI35" i="3" a="1"/>
  <c r="BC35" i="3" a="1"/>
  <c r="K35" i="3"/>
  <c r="AJ35" i="3" a="1"/>
  <c r="AR35" i="3" a="1"/>
  <c r="L35" i="3"/>
  <c r="AE35" i="3" a="1"/>
  <c r="AP35" i="3" a="1"/>
  <c r="AN35" i="3" a="1"/>
  <c r="AL35" i="3" a="1"/>
  <c r="N35" i="3" a="1"/>
  <c r="AT35" i="3" a="1"/>
  <c r="AF35" i="3" a="1"/>
  <c r="AQ35" i="3" a="1"/>
  <c r="AH35" i="3" a="1"/>
  <c r="F35" i="3"/>
  <c r="AH35" i="3" l="1"/>
  <c r="AQ35" i="3"/>
  <c r="AF35" i="3"/>
  <c r="AT35" i="3"/>
  <c r="N35" i="3"/>
  <c r="AL35" i="3"/>
  <c r="AN35" i="3"/>
  <c r="AP35" i="3"/>
  <c r="AE35" i="3"/>
  <c r="AR35" i="3"/>
  <c r="AJ35" i="3"/>
  <c r="BC35" i="3"/>
  <c r="AI35" i="3"/>
  <c r="AC35" i="3"/>
  <c r="J35" i="3"/>
  <c r="I35" i="3"/>
  <c r="AD35" i="3"/>
  <c r="AS35" i="3"/>
  <c r="AK35" i="3"/>
  <c r="AG35" i="3"/>
  <c r="AV35" i="3"/>
  <c r="AM35" i="3"/>
  <c r="H35" i="3"/>
  <c r="AU35" i="3"/>
  <c r="M35" i="3"/>
  <c r="AO35" i="3"/>
  <c r="AW35" i="3"/>
  <c r="Q35" i="3" a="1"/>
  <c r="Q35" i="3" l="1"/>
  <c r="AA35" i="3"/>
  <c r="R35" i="3"/>
  <c r="AB35" i="3" l="1"/>
  <c r="S35" i="3"/>
  <c r="Z35" i="3" l="1"/>
  <c r="Y35" i="3"/>
  <c r="X35" i="3"/>
  <c r="T35" i="3"/>
  <c r="U35" i="3" s="1"/>
  <c r="AX34" i="3"/>
  <c r="AR34" i="3" a="1"/>
  <c r="AI34" i="3" a="1"/>
  <c r="AV34" i="3" a="1"/>
  <c r="AE34" i="3" a="1"/>
  <c r="AH34" i="3" a="1"/>
  <c r="BC34" i="3" a="1"/>
  <c r="F34" i="3"/>
  <c r="AS34" i="3" a="1"/>
  <c r="AC34" i="3" a="1"/>
  <c r="AL34" i="3" a="1"/>
  <c r="AT34" i="3" a="1"/>
  <c r="M34" i="3" a="1"/>
  <c r="I34" i="3" a="1"/>
  <c r="L34" i="3"/>
  <c r="AF34" i="3" a="1"/>
  <c r="E34" i="3"/>
  <c r="K34" i="3"/>
  <c r="AD34" i="3" a="1"/>
  <c r="AK34" i="3" a="1"/>
  <c r="AM34" i="3" a="1"/>
  <c r="AN34" i="3" a="1"/>
  <c r="N34" i="3" a="1"/>
  <c r="AP34" i="3" a="1"/>
  <c r="AG34" i="3" a="1"/>
  <c r="AQ34" i="3" a="1"/>
  <c r="AU34" i="3" a="1"/>
  <c r="H34" i="3" a="1"/>
  <c r="AJ34" i="3" a="1"/>
  <c r="AO34" i="3" a="1"/>
  <c r="J34" i="3" a="1"/>
  <c r="J34" i="3" l="1"/>
  <c r="AO34" i="3"/>
  <c r="AJ34" i="3"/>
  <c r="H34" i="3"/>
  <c r="AU34" i="3"/>
  <c r="AW34" i="3" s="1"/>
  <c r="AQ34" i="3"/>
  <c r="AG34" i="3"/>
  <c r="AP34" i="3"/>
  <c r="N34" i="3"/>
  <c r="AN34" i="3"/>
  <c r="AM34" i="3"/>
  <c r="AK34" i="3"/>
  <c r="AD34" i="3"/>
  <c r="AF34" i="3"/>
  <c r="I34" i="3"/>
  <c r="M34" i="3"/>
  <c r="AT34" i="3"/>
  <c r="AL34" i="3"/>
  <c r="AC34" i="3"/>
  <c r="AS34" i="3"/>
  <c r="BC34" i="3"/>
  <c r="AH34" i="3"/>
  <c r="AE34" i="3"/>
  <c r="AV34" i="3"/>
  <c r="AI34" i="3"/>
  <c r="AR34" i="3"/>
  <c r="Q34" i="3" a="1"/>
  <c r="Q34" i="3" l="1"/>
  <c r="AA34" i="3"/>
  <c r="R34" i="3"/>
  <c r="AB34" i="3" l="1"/>
  <c r="S34" i="3"/>
  <c r="Z34" i="3" l="1"/>
  <c r="Y34" i="3"/>
  <c r="X34" i="3"/>
  <c r="T34" i="3"/>
  <c r="U34" i="3" s="1"/>
  <c r="AX33" i="3"/>
  <c r="AV33" i="3" a="1"/>
  <c r="AR33" i="3" a="1"/>
  <c r="AI33" i="3" a="1"/>
  <c r="AE33" i="3" a="1"/>
  <c r="AH33" i="3" a="1"/>
  <c r="BC33" i="3" a="1"/>
  <c r="AS33" i="3" a="1"/>
  <c r="AC33" i="3" a="1"/>
  <c r="AL33" i="3" a="1"/>
  <c r="AT33" i="3" a="1"/>
  <c r="M33" i="3" a="1"/>
  <c r="F33" i="3"/>
  <c r="AD33" i="3" a="1"/>
  <c r="I33" i="3" a="1"/>
  <c r="L33" i="3"/>
  <c r="E33" i="3"/>
  <c r="K33" i="3"/>
  <c r="AF33" i="3" a="1"/>
  <c r="N33" i="3" a="1"/>
  <c r="AG33" i="3" a="1"/>
  <c r="AP33" i="3" a="1"/>
  <c r="AU33" i="3" a="1"/>
  <c r="AQ33" i="3" a="1"/>
  <c r="AK33" i="3" a="1"/>
  <c r="AM33" i="3" a="1"/>
  <c r="AN33" i="3" a="1"/>
  <c r="H33" i="3" a="1"/>
  <c r="AJ33" i="3" a="1"/>
  <c r="AO33" i="3" a="1"/>
  <c r="J33" i="3" a="1"/>
  <c r="J33" i="3" l="1"/>
  <c r="AO33" i="3"/>
  <c r="AJ33" i="3"/>
  <c r="H33" i="3"/>
  <c r="AN33" i="3"/>
  <c r="AM33" i="3"/>
  <c r="AK33" i="3"/>
  <c r="AQ33" i="3"/>
  <c r="AU33" i="3"/>
  <c r="AP33" i="3"/>
  <c r="AG33" i="3"/>
  <c r="N33" i="3"/>
  <c r="AF33" i="3"/>
  <c r="I33" i="3"/>
  <c r="AD33" i="3"/>
  <c r="M33" i="3"/>
  <c r="AT33" i="3"/>
  <c r="AL33" i="3"/>
  <c r="AC33" i="3"/>
  <c r="AS33" i="3"/>
  <c r="BC33" i="3"/>
  <c r="AH33" i="3"/>
  <c r="AE33" i="3"/>
  <c r="AI33" i="3"/>
  <c r="AR33" i="3"/>
  <c r="AV33" i="3"/>
  <c r="AW33" i="3"/>
  <c r="Q33" i="3" a="1"/>
  <c r="Q33" i="3" l="1"/>
  <c r="AA33" i="3"/>
  <c r="R33" i="3"/>
  <c r="AB33" i="3" l="1"/>
  <c r="S33" i="3"/>
  <c r="Z33" i="3" l="1"/>
  <c r="X33" i="3"/>
  <c r="Y33" i="3"/>
  <c r="T33" i="3"/>
  <c r="U33" i="3" s="1"/>
  <c r="AX32" i="3"/>
  <c r="AH32" i="3" a="1"/>
  <c r="BC32" i="3" a="1"/>
  <c r="AE32" i="3" a="1"/>
  <c r="AV32" i="3" a="1"/>
  <c r="AR32" i="3" a="1"/>
  <c r="AI32" i="3" a="1"/>
  <c r="F32" i="3"/>
  <c r="AS32" i="3" a="1"/>
  <c r="AT32" i="3" a="1"/>
  <c r="M32" i="3" a="1"/>
  <c r="AL32" i="3" a="1"/>
  <c r="AC32" i="3" a="1"/>
  <c r="K32" i="3"/>
  <c r="E32" i="3"/>
  <c r="L32" i="3"/>
  <c r="AD32" i="3" a="1"/>
  <c r="AF32" i="3" a="1"/>
  <c r="I32" i="3" a="1"/>
  <c r="AU32" i="3" a="1"/>
  <c r="AN32" i="3" a="1"/>
  <c r="AQ32" i="3" a="1"/>
  <c r="AM32" i="3" a="1"/>
  <c r="AK32" i="3" a="1"/>
  <c r="AG32" i="3" a="1"/>
  <c r="N32" i="3" a="1"/>
  <c r="AP32" i="3" a="1"/>
  <c r="H32" i="3" a="1"/>
  <c r="AJ32" i="3" a="1"/>
  <c r="J32" i="3" a="1"/>
  <c r="AO32" i="3" a="1"/>
  <c r="AO32" i="3" l="1"/>
  <c r="J32" i="3"/>
  <c r="AJ32" i="3"/>
  <c r="H32" i="3"/>
  <c r="AP32" i="3"/>
  <c r="N32" i="3"/>
  <c r="AG32" i="3"/>
  <c r="AK32" i="3"/>
  <c r="AM32" i="3"/>
  <c r="AQ32" i="3"/>
  <c r="AN32" i="3"/>
  <c r="AU32" i="3"/>
  <c r="I32" i="3"/>
  <c r="AF32" i="3"/>
  <c r="AD32" i="3"/>
  <c r="AC32" i="3"/>
  <c r="AL32" i="3"/>
  <c r="M32" i="3"/>
  <c r="AT32" i="3"/>
  <c r="AS32" i="3"/>
  <c r="AI32" i="3"/>
  <c r="AR32" i="3"/>
  <c r="AV32" i="3"/>
  <c r="AE32" i="3"/>
  <c r="BC32" i="3"/>
  <c r="AH32" i="3"/>
  <c r="AW32" i="3"/>
  <c r="Q32" i="3" a="1"/>
  <c r="Q32" i="3" l="1"/>
  <c r="AA32" i="3"/>
  <c r="R32" i="3"/>
  <c r="AB32" i="3" l="1"/>
  <c r="S32" i="3"/>
  <c r="Z32" i="3" l="1"/>
  <c r="Y32" i="3"/>
  <c r="X32" i="3"/>
  <c r="T32" i="3"/>
  <c r="U32" i="3" s="1"/>
  <c r="AX31" i="3"/>
  <c r="AH31" i="3" a="1"/>
  <c r="BC31" i="3" a="1"/>
  <c r="AE31" i="3" a="1"/>
  <c r="AR31" i="3" a="1"/>
  <c r="AI31" i="3" a="1"/>
  <c r="AV31" i="3" a="1"/>
  <c r="AT31" i="3" a="1"/>
  <c r="F31" i="3"/>
  <c r="AC31" i="3" a="1"/>
  <c r="AS31" i="3" a="1"/>
  <c r="AL31" i="3" a="1"/>
  <c r="M31" i="3" a="1"/>
  <c r="AF31" i="3" a="1"/>
  <c r="L31" i="3"/>
  <c r="E31" i="3"/>
  <c r="K31" i="3"/>
  <c r="I31" i="3" a="1"/>
  <c r="AD31" i="3" a="1"/>
  <c r="AM31" i="3" a="1"/>
  <c r="AN31" i="3" a="1"/>
  <c r="AK31" i="3" a="1"/>
  <c r="AG31" i="3" a="1"/>
  <c r="N31" i="3" a="1"/>
  <c r="H31" i="3" a="1"/>
  <c r="AQ31" i="3" a="1"/>
  <c r="AP31" i="3" a="1"/>
  <c r="AU31" i="3" a="1"/>
  <c r="AJ31" i="3" a="1"/>
  <c r="AO31" i="3" a="1"/>
  <c r="J31" i="3" a="1"/>
  <c r="J31" i="3" l="1"/>
  <c r="AO31" i="3"/>
  <c r="AJ31" i="3"/>
  <c r="AU31" i="3"/>
  <c r="AP31" i="3"/>
  <c r="AQ31" i="3"/>
  <c r="H31" i="3"/>
  <c r="N31" i="3"/>
  <c r="AG31" i="3"/>
  <c r="AK31" i="3"/>
  <c r="AN31" i="3"/>
  <c r="AM31" i="3"/>
  <c r="AD31" i="3"/>
  <c r="I31" i="3"/>
  <c r="AF31" i="3"/>
  <c r="M31" i="3"/>
  <c r="AL31" i="3"/>
  <c r="AS31" i="3"/>
  <c r="AC31" i="3"/>
  <c r="AT31" i="3"/>
  <c r="AV31" i="3"/>
  <c r="AW31" i="3" s="1"/>
  <c r="AI31" i="3"/>
  <c r="AR31" i="3"/>
  <c r="AE31" i="3"/>
  <c r="BC31" i="3"/>
  <c r="AH31" i="3"/>
  <c r="Q31" i="3" a="1"/>
  <c r="Q31" i="3" l="1"/>
  <c r="AA31" i="3"/>
  <c r="R31" i="3"/>
  <c r="AB31" i="3" l="1"/>
  <c r="S31" i="3"/>
  <c r="Z31" i="3" l="1"/>
  <c r="Y31" i="3"/>
  <c r="X31" i="3"/>
  <c r="T31" i="3"/>
  <c r="U31" i="3" s="1"/>
  <c r="AX30" i="3"/>
  <c r="AV30" i="3" a="1"/>
  <c r="AI30" i="3" a="1"/>
  <c r="AR30" i="3" a="1"/>
  <c r="AE30" i="3" a="1"/>
  <c r="AH30" i="3" a="1"/>
  <c r="BC30" i="3" a="1"/>
  <c r="F30" i="3"/>
  <c r="AS30" i="3" a="1"/>
  <c r="AC30" i="3" a="1"/>
  <c r="AL30" i="3" a="1"/>
  <c r="AT30" i="3" a="1"/>
  <c r="M30" i="3" a="1"/>
  <c r="I30" i="3" a="1"/>
  <c r="E30" i="3"/>
  <c r="K30" i="3"/>
  <c r="AF30" i="3" a="1"/>
  <c r="AD30" i="3" a="1"/>
  <c r="L30" i="3"/>
  <c r="AM30" i="3" a="1"/>
  <c r="AK30" i="3" a="1"/>
  <c r="AN30" i="3" a="1"/>
  <c r="AG30" i="3" a="1"/>
  <c r="N30" i="3" a="1"/>
  <c r="AU30" i="3" a="1"/>
  <c r="AP30" i="3" a="1"/>
  <c r="AQ30" i="3" a="1"/>
  <c r="H30" i="3" a="1"/>
  <c r="AJ30" i="3" a="1"/>
  <c r="AO30" i="3" a="1"/>
  <c r="J30" i="3" a="1"/>
  <c r="J30" i="3" l="1"/>
  <c r="AO30" i="3"/>
  <c r="AJ30" i="3"/>
  <c r="H30" i="3"/>
  <c r="AQ30" i="3"/>
  <c r="AP30" i="3"/>
  <c r="AU30" i="3"/>
  <c r="N30" i="3"/>
  <c r="AG30" i="3"/>
  <c r="AN30" i="3"/>
  <c r="AK30" i="3"/>
  <c r="AM30" i="3"/>
  <c r="AD30" i="3"/>
  <c r="AF30" i="3"/>
  <c r="I30" i="3"/>
  <c r="M30" i="3"/>
  <c r="AT30" i="3"/>
  <c r="AL30" i="3"/>
  <c r="AC30" i="3"/>
  <c r="AS30" i="3"/>
  <c r="BC30" i="3"/>
  <c r="AH30" i="3"/>
  <c r="AE30" i="3"/>
  <c r="AR30" i="3"/>
  <c r="AI30" i="3"/>
  <c r="AV30" i="3"/>
  <c r="AW30" i="3"/>
  <c r="Q30" i="3" a="1"/>
  <c r="Q30" i="3" l="1"/>
  <c r="AA30" i="3"/>
  <c r="R30" i="3"/>
  <c r="AB30" i="3" l="1"/>
  <c r="S30" i="3"/>
  <c r="Y30" i="3" l="1"/>
  <c r="X30" i="3"/>
  <c r="Z30" i="3"/>
  <c r="T30" i="3"/>
  <c r="U30" i="3" s="1"/>
  <c r="AX29" i="3"/>
  <c r="AV29" i="3" a="1"/>
  <c r="AR29" i="3" a="1"/>
  <c r="AI29" i="3" a="1"/>
  <c r="AH29" i="3" a="1"/>
  <c r="BC29" i="3" a="1"/>
  <c r="AE29" i="3" a="1"/>
  <c r="AC29" i="3" a="1"/>
  <c r="AL29" i="3" a="1"/>
  <c r="AS29" i="3" a="1"/>
  <c r="F29" i="3"/>
  <c r="AT29" i="3" a="1"/>
  <c r="M29" i="3" a="1"/>
  <c r="AD29" i="3" a="1"/>
  <c r="E29" i="3"/>
  <c r="K29" i="3"/>
  <c r="I29" i="3" a="1"/>
  <c r="L29" i="3"/>
  <c r="AF29" i="3" a="1"/>
  <c r="AN29" i="3" a="1"/>
  <c r="AG29" i="3" a="1"/>
  <c r="N29" i="3" a="1"/>
  <c r="AU29" i="3" a="1"/>
  <c r="AQ29" i="3" a="1"/>
  <c r="AP29" i="3" a="1"/>
  <c r="H29" i="3" a="1"/>
  <c r="AK29" i="3" a="1"/>
  <c r="AM29" i="3" a="1"/>
  <c r="AJ29" i="3" a="1"/>
  <c r="J29" i="3" a="1"/>
  <c r="AO29" i="3" a="1"/>
  <c r="AO29" i="3" l="1"/>
  <c r="J29" i="3"/>
  <c r="AJ29" i="3"/>
  <c r="AM29" i="3"/>
  <c r="AK29" i="3"/>
  <c r="H29" i="3"/>
  <c r="AP29" i="3"/>
  <c r="AQ29" i="3"/>
  <c r="AU29" i="3"/>
  <c r="N29" i="3"/>
  <c r="AG29" i="3"/>
  <c r="AN29" i="3"/>
  <c r="AF29" i="3"/>
  <c r="I29" i="3"/>
  <c r="AD29" i="3"/>
  <c r="M29" i="3"/>
  <c r="AT29" i="3"/>
  <c r="AS29" i="3"/>
  <c r="AL29" i="3"/>
  <c r="AC29" i="3"/>
  <c r="AE29" i="3"/>
  <c r="BC29" i="3"/>
  <c r="AH29" i="3"/>
  <c r="AI29" i="3"/>
  <c r="AR29" i="3"/>
  <c r="AV29" i="3"/>
  <c r="AW29" i="3"/>
  <c r="Q29" i="3" a="1"/>
  <c r="Q29" i="3" l="1"/>
  <c r="AA29" i="3"/>
  <c r="R29" i="3"/>
  <c r="AB29" i="3" l="1"/>
  <c r="S29" i="3"/>
  <c r="Z29" i="3" l="1"/>
  <c r="Y29" i="3"/>
  <c r="X29" i="3"/>
  <c r="T29" i="3"/>
  <c r="U29" i="3" s="1"/>
  <c r="AX28" i="3"/>
  <c r="AH28" i="3" a="1"/>
  <c r="BC28" i="3" a="1"/>
  <c r="AE28" i="3" a="1"/>
  <c r="AR28" i="3" a="1"/>
  <c r="AI28" i="3" a="1"/>
  <c r="AV28" i="3" a="1"/>
  <c r="AS28" i="3" a="1"/>
  <c r="F28" i="3"/>
  <c r="AT28" i="3" a="1"/>
  <c r="M28" i="3" a="1"/>
  <c r="AC28" i="3" a="1"/>
  <c r="AL28" i="3" a="1"/>
  <c r="AD28" i="3" a="1"/>
  <c r="L28" i="3"/>
  <c r="AF28" i="3" a="1"/>
  <c r="I28" i="3" a="1"/>
  <c r="E28" i="3"/>
  <c r="K28" i="3"/>
  <c r="AG28" i="3" a="1"/>
  <c r="N28" i="3" a="1"/>
  <c r="AU28" i="3" a="1"/>
  <c r="AQ28" i="3" a="1"/>
  <c r="AP28" i="3" a="1"/>
  <c r="AM28" i="3" a="1"/>
  <c r="AN28" i="3" a="1"/>
  <c r="AK28" i="3" a="1"/>
  <c r="H28" i="3" a="1"/>
  <c r="AJ28" i="3" a="1"/>
  <c r="J28" i="3" a="1"/>
  <c r="AO28" i="3" a="1"/>
  <c r="AO28" i="3" l="1"/>
  <c r="J28" i="3"/>
  <c r="AJ28" i="3"/>
  <c r="H28" i="3"/>
  <c r="AK28" i="3"/>
  <c r="AN28" i="3"/>
  <c r="AM28" i="3"/>
  <c r="AP28" i="3"/>
  <c r="AQ28" i="3"/>
  <c r="AU28" i="3"/>
  <c r="N28" i="3"/>
  <c r="AG28" i="3"/>
  <c r="I28" i="3"/>
  <c r="AF28" i="3"/>
  <c r="AD28" i="3"/>
  <c r="AL28" i="3"/>
  <c r="AC28" i="3"/>
  <c r="M28" i="3"/>
  <c r="AT28" i="3"/>
  <c r="AS28" i="3"/>
  <c r="AV28" i="3"/>
  <c r="AW28" i="3" s="1"/>
  <c r="AI28" i="3"/>
  <c r="AR28" i="3"/>
  <c r="AE28" i="3"/>
  <c r="BC28" i="3"/>
  <c r="AH28" i="3"/>
  <c r="Q28" i="3" a="1"/>
  <c r="Q28" i="3" l="1"/>
  <c r="AA28" i="3"/>
  <c r="R28" i="3"/>
  <c r="AB28" i="3" l="1"/>
  <c r="S28" i="3"/>
  <c r="Z28" i="3" l="1"/>
  <c r="Y28" i="3"/>
  <c r="X28" i="3"/>
  <c r="T28" i="3"/>
  <c r="U28" i="3" s="1"/>
  <c r="AX27" i="3"/>
  <c r="AH27" i="3" a="1"/>
  <c r="BC27" i="3" a="1"/>
  <c r="AV27" i="3" a="1"/>
  <c r="AR27" i="3" a="1"/>
  <c r="AI27" i="3" a="1"/>
  <c r="AE27" i="3" a="1"/>
  <c r="AT27" i="3" a="1"/>
  <c r="AS27" i="3" a="1"/>
  <c r="AC27" i="3" a="1"/>
  <c r="AL27" i="3" a="1"/>
  <c r="F27" i="3"/>
  <c r="M27" i="3" a="1"/>
  <c r="AF27" i="3" a="1"/>
  <c r="L27" i="3"/>
  <c r="I27" i="3" a="1"/>
  <c r="E27" i="3"/>
  <c r="K27" i="3"/>
  <c r="AD27" i="3" a="1"/>
  <c r="AU27" i="3" a="1"/>
  <c r="AM27" i="3" a="1"/>
  <c r="AP27" i="3" a="1"/>
  <c r="AN27" i="3" a="1"/>
  <c r="AK27" i="3" a="1"/>
  <c r="H27" i="3" a="1"/>
  <c r="AG27" i="3" a="1"/>
  <c r="AQ27" i="3" a="1"/>
  <c r="N27" i="3" a="1"/>
  <c r="AJ27" i="3" a="1"/>
  <c r="AO27" i="3" a="1"/>
  <c r="J27" i="3" a="1"/>
  <c r="J27" i="3" l="1"/>
  <c r="AO27" i="3"/>
  <c r="AJ27" i="3"/>
  <c r="N27" i="3"/>
  <c r="AQ27" i="3"/>
  <c r="AG27" i="3"/>
  <c r="H27" i="3"/>
  <c r="AK27" i="3"/>
  <c r="AN27" i="3"/>
  <c r="AP27" i="3"/>
  <c r="AM27" i="3"/>
  <c r="AU27" i="3"/>
  <c r="AD27" i="3"/>
  <c r="I27" i="3"/>
  <c r="AF27" i="3"/>
  <c r="M27" i="3"/>
  <c r="AL27" i="3"/>
  <c r="AC27" i="3"/>
  <c r="AS27" i="3"/>
  <c r="AT27" i="3"/>
  <c r="AE27" i="3"/>
  <c r="AI27" i="3"/>
  <c r="AR27" i="3"/>
  <c r="AV27" i="3"/>
  <c r="BC27" i="3"/>
  <c r="AH27" i="3"/>
  <c r="BD27" i="3"/>
  <c r="Q27" i="3" a="1"/>
  <c r="Q27" i="3" l="1"/>
  <c r="AW27" i="3"/>
  <c r="AA27" i="3" l="1"/>
  <c r="R27" i="3"/>
  <c r="AB27" i="3" l="1"/>
  <c r="S27" i="3"/>
  <c r="Z27" i="3" l="1"/>
  <c r="Y27" i="3"/>
  <c r="X27" i="3"/>
  <c r="T27" i="3"/>
  <c r="U27" i="3" s="1"/>
  <c r="AX26" i="3"/>
  <c r="AE26" i="3" a="1"/>
  <c r="AR26" i="3" a="1"/>
  <c r="AI26" i="3" a="1"/>
  <c r="AV26" i="3" a="1"/>
  <c r="BC26" i="3" a="1"/>
  <c r="AH26" i="3" a="1"/>
  <c r="F26" i="3"/>
  <c r="AS26" i="3" a="1"/>
  <c r="AC26" i="3" a="1"/>
  <c r="AL26" i="3" a="1"/>
  <c r="AT26" i="3" a="1"/>
  <c r="M26" i="3" a="1"/>
  <c r="L26" i="3"/>
  <c r="I26" i="3" a="1"/>
  <c r="AF26" i="3" a="1"/>
  <c r="E26" i="3"/>
  <c r="K26" i="3"/>
  <c r="AD26" i="3" a="1"/>
  <c r="AG26" i="3" a="1"/>
  <c r="AK26" i="3" a="1"/>
  <c r="AM26" i="3" a="1"/>
  <c r="AP26" i="3" a="1"/>
  <c r="AN26" i="3" a="1"/>
  <c r="AQ26" i="3" a="1"/>
  <c r="N26" i="3" a="1"/>
  <c r="AU26" i="3" a="1"/>
  <c r="H26" i="3" a="1"/>
  <c r="AJ26" i="3" a="1"/>
  <c r="AO26" i="3" a="1"/>
  <c r="J26" i="3" a="1"/>
  <c r="J26" i="3" l="1"/>
  <c r="AO26" i="3"/>
  <c r="AJ26" i="3"/>
  <c r="H26" i="3"/>
  <c r="AU26" i="3"/>
  <c r="N26" i="3"/>
  <c r="AQ26" i="3"/>
  <c r="AN26" i="3"/>
  <c r="AP26" i="3"/>
  <c r="AM26" i="3"/>
  <c r="AK26" i="3"/>
  <c r="AG26" i="3"/>
  <c r="AD26" i="3"/>
  <c r="AF26" i="3"/>
  <c r="I26" i="3"/>
  <c r="M26" i="3"/>
  <c r="AT26" i="3"/>
  <c r="AL26" i="3"/>
  <c r="AC26" i="3"/>
  <c r="AS26" i="3"/>
  <c r="AH26" i="3"/>
  <c r="BC26" i="3"/>
  <c r="AV26" i="3"/>
  <c r="AW26" i="3" s="1"/>
  <c r="AI26" i="3"/>
  <c r="AR26" i="3"/>
  <c r="AE26" i="3"/>
  <c r="Q26" i="3" a="1"/>
  <c r="Q26" i="3" l="1"/>
  <c r="AA26" i="3"/>
  <c r="R26" i="3"/>
  <c r="AB26" i="3" l="1"/>
  <c r="S26" i="3" s="1"/>
  <c r="AX25" i="3"/>
  <c r="AE25" i="3" a="1"/>
  <c r="AV25" i="3" a="1"/>
  <c r="AR25" i="3" a="1"/>
  <c r="AI25" i="3" a="1"/>
  <c r="AH25" i="3" a="1"/>
  <c r="AL25" i="3" a="1"/>
  <c r="AS25" i="3" a="1"/>
  <c r="AC25" i="3" a="1"/>
  <c r="AT25" i="3" a="1"/>
  <c r="M25" i="3" a="1"/>
  <c r="F25" i="3"/>
  <c r="AD25" i="3" a="1"/>
  <c r="I25" i="3" a="1"/>
  <c r="L25" i="3"/>
  <c r="E25" i="3"/>
  <c r="K25" i="3"/>
  <c r="AF25" i="3" a="1"/>
  <c r="AN25" i="3" a="1"/>
  <c r="AK25" i="3" a="1"/>
  <c r="AM25" i="3" a="1"/>
  <c r="AP25" i="3" a="1"/>
  <c r="H25" i="3" a="1"/>
  <c r="AG25" i="3" a="1"/>
  <c r="AU25" i="3" a="1"/>
  <c r="AQ25" i="3" a="1"/>
  <c r="N25" i="3" a="1"/>
  <c r="AJ25" i="3" a="1"/>
  <c r="AO25" i="3" a="1"/>
  <c r="J25" i="3" a="1"/>
  <c r="J25" i="3" l="1"/>
  <c r="AO25" i="3"/>
  <c r="AJ25" i="3"/>
  <c r="N25" i="3"/>
  <c r="AQ25" i="3"/>
  <c r="AU25" i="3"/>
  <c r="AG25" i="3"/>
  <c r="H25" i="3"/>
  <c r="AP25" i="3"/>
  <c r="AM25" i="3"/>
  <c r="AK25" i="3"/>
  <c r="AN25" i="3"/>
  <c r="AF25" i="3"/>
  <c r="I25" i="3"/>
  <c r="AD25" i="3"/>
  <c r="M25" i="3"/>
  <c r="AT25" i="3"/>
  <c r="AC25" i="3"/>
  <c r="AS25" i="3"/>
  <c r="AL25" i="3"/>
  <c r="AH25" i="3"/>
  <c r="AI25" i="3"/>
  <c r="AR25" i="3"/>
  <c r="AV25" i="3"/>
  <c r="AE25" i="3"/>
  <c r="Z26" i="3"/>
  <c r="Y26" i="3"/>
  <c r="X26" i="3"/>
  <c r="T26" i="3"/>
  <c r="U26" i="3" s="1"/>
  <c r="Q25" i="3" a="1"/>
  <c r="Q25" i="3" l="1"/>
  <c r="AW25" i="3"/>
  <c r="AA25" i="3" l="1"/>
  <c r="R25" i="3"/>
  <c r="AB25" i="3" l="1"/>
  <c r="S25" i="3"/>
  <c r="X25" i="3" l="1"/>
  <c r="Y25" i="3"/>
  <c r="Z25" i="3"/>
  <c r="T25" i="3"/>
  <c r="U25" i="3" s="1"/>
  <c r="AX24" i="3"/>
  <c r="AH24" i="3" a="1"/>
  <c r="BC24" i="3" a="1"/>
  <c r="AE24" i="3" a="1"/>
  <c r="AR24" i="3" a="1"/>
  <c r="AI24" i="3" a="1"/>
  <c r="AV24" i="3" a="1"/>
  <c r="AS24" i="3" a="1"/>
  <c r="F24" i="3"/>
  <c r="M24" i="3" a="1"/>
  <c r="AT24" i="3" a="1"/>
  <c r="AC24" i="3" a="1"/>
  <c r="AL24" i="3" a="1"/>
  <c r="E24" i="3"/>
  <c r="K24" i="3"/>
  <c r="L24" i="3"/>
  <c r="AD24" i="3" a="1"/>
  <c r="AF24" i="3" a="1"/>
  <c r="I24" i="3" a="1"/>
  <c r="AG24" i="3" a="1"/>
  <c r="AU24" i="3" a="1"/>
  <c r="AQ24" i="3" a="1"/>
  <c r="N24" i="3" a="1"/>
  <c r="AM24" i="3" a="1"/>
  <c r="AN24" i="3" a="1"/>
  <c r="AK24" i="3" a="1"/>
  <c r="AP24" i="3" a="1"/>
  <c r="H24" i="3" a="1"/>
  <c r="AJ24" i="3" a="1"/>
  <c r="J24" i="3" a="1"/>
  <c r="AO24" i="3" a="1"/>
  <c r="AO24" i="3" l="1"/>
  <c r="J24" i="3"/>
  <c r="AJ24" i="3"/>
  <c r="H24" i="3"/>
  <c r="AP24" i="3"/>
  <c r="AK24" i="3"/>
  <c r="AN24" i="3"/>
  <c r="AM24" i="3"/>
  <c r="N24" i="3"/>
  <c r="AQ24" i="3"/>
  <c r="AU24" i="3"/>
  <c r="AG24" i="3"/>
  <c r="I24" i="3"/>
  <c r="AF24" i="3"/>
  <c r="AD24" i="3"/>
  <c r="AL24" i="3"/>
  <c r="AC24" i="3"/>
  <c r="AT24" i="3"/>
  <c r="M24" i="3"/>
  <c r="AS24" i="3"/>
  <c r="AV24" i="3"/>
  <c r="AI24" i="3"/>
  <c r="AR24" i="3"/>
  <c r="AE24" i="3"/>
  <c r="BC24" i="3"/>
  <c r="AH24" i="3"/>
  <c r="AW24" i="3"/>
  <c r="Q24" i="3" a="1"/>
  <c r="Q24" i="3" l="1"/>
  <c r="AA24" i="3"/>
  <c r="R24" i="3"/>
  <c r="AB24" i="3" l="1"/>
  <c r="S24" i="3"/>
  <c r="Y24" i="3" l="1"/>
  <c r="X24" i="3"/>
  <c r="Z24" i="3"/>
  <c r="T24" i="3"/>
  <c r="U24" i="3" s="1"/>
  <c r="AX23" i="3"/>
  <c r="AH23" i="3" a="1"/>
  <c r="BC23" i="3" a="1"/>
  <c r="AV23" i="3" a="1"/>
  <c r="AR23" i="3" a="1"/>
  <c r="AI23" i="3" a="1"/>
  <c r="AE23" i="3" a="1"/>
  <c r="M23" i="3" a="1"/>
  <c r="AT23" i="3" a="1"/>
  <c r="F23" i="3"/>
  <c r="AL23" i="3" a="1"/>
  <c r="AS23" i="3" a="1"/>
  <c r="AC23" i="3" a="1"/>
  <c r="AF23" i="3" a="1"/>
  <c r="L23" i="3"/>
  <c r="E23" i="3"/>
  <c r="K23" i="3"/>
  <c r="I23" i="3" a="1"/>
  <c r="AD23" i="3" a="1"/>
  <c r="AK23" i="3" a="1"/>
  <c r="AQ23" i="3" a="1"/>
  <c r="AG23" i="3" a="1"/>
  <c r="AN23" i="3" a="1"/>
  <c r="AU23" i="3" a="1"/>
  <c r="N23" i="3" a="1"/>
  <c r="H23" i="3" a="1"/>
  <c r="AM23" i="3" a="1"/>
  <c r="AP23" i="3" a="1"/>
  <c r="AJ23" i="3" a="1"/>
  <c r="AO23" i="3" a="1"/>
  <c r="J23" i="3" a="1"/>
  <c r="J23" i="3" l="1"/>
  <c r="AO23" i="3"/>
  <c r="AJ23" i="3"/>
  <c r="AP23" i="3"/>
  <c r="AM23" i="3"/>
  <c r="H23" i="3"/>
  <c r="N23" i="3"/>
  <c r="AU23" i="3"/>
  <c r="AN23" i="3"/>
  <c r="AG23" i="3"/>
  <c r="AQ23" i="3"/>
  <c r="AK23" i="3"/>
  <c r="AD23" i="3"/>
  <c r="I23" i="3"/>
  <c r="AF23" i="3"/>
  <c r="AC23" i="3"/>
  <c r="AS23" i="3"/>
  <c r="AL23" i="3"/>
  <c r="AT23" i="3"/>
  <c r="M23" i="3"/>
  <c r="AE23" i="3"/>
  <c r="AI23" i="3"/>
  <c r="AR23" i="3"/>
  <c r="AV23" i="3"/>
  <c r="BC23" i="3"/>
  <c r="AH23" i="3"/>
  <c r="AW23" i="3"/>
  <c r="Q23" i="3" a="1"/>
  <c r="Q23" i="3" l="1"/>
  <c r="AA23" i="3"/>
  <c r="R23" i="3" s="1"/>
  <c r="AB23" i="3" l="1"/>
  <c r="S23" i="3"/>
  <c r="Z23" i="3" l="1"/>
  <c r="Y23" i="3"/>
  <c r="X23" i="3"/>
  <c r="T23" i="3"/>
  <c r="U23" i="3" s="1"/>
  <c r="AX22" i="3"/>
  <c r="BC22" i="3" a="1"/>
  <c r="AR22" i="3" a="1"/>
  <c r="AI22" i="3" a="1"/>
  <c r="AV22" i="3" a="1"/>
  <c r="AE22" i="3" a="1"/>
  <c r="AH22" i="3" a="1"/>
  <c r="AS22" i="3" a="1"/>
  <c r="AL22" i="3" a="1"/>
  <c r="F22" i="3"/>
  <c r="AC22" i="3" a="1"/>
  <c r="AT22" i="3" a="1"/>
  <c r="M22" i="3" a="1"/>
  <c r="I22" i="3" a="1"/>
  <c r="E22" i="3"/>
  <c r="K22" i="3"/>
  <c r="AF22" i="3" a="1"/>
  <c r="AD22" i="3" a="1"/>
  <c r="L22" i="3"/>
  <c r="AK22" i="3" a="1"/>
  <c r="AM22" i="3" a="1"/>
  <c r="AN22" i="3" a="1"/>
  <c r="AG22" i="3" a="1"/>
  <c r="AP22" i="3" a="1"/>
  <c r="AQ22" i="3" a="1"/>
  <c r="AU22" i="3" a="1"/>
  <c r="N22" i="3" a="1"/>
  <c r="H22" i="3" a="1"/>
  <c r="AJ22" i="3" a="1"/>
  <c r="AO22" i="3" a="1"/>
  <c r="J22" i="3" a="1"/>
  <c r="J22" i="3" l="1"/>
  <c r="AO22" i="3"/>
  <c r="AJ22" i="3"/>
  <c r="H22" i="3"/>
  <c r="N22" i="3"/>
  <c r="AU22" i="3"/>
  <c r="AQ22" i="3"/>
  <c r="AP22" i="3"/>
  <c r="AG22" i="3"/>
  <c r="AN22" i="3"/>
  <c r="AM22" i="3"/>
  <c r="AK22" i="3"/>
  <c r="AD22" i="3"/>
  <c r="AF22" i="3"/>
  <c r="I22" i="3"/>
  <c r="M22" i="3"/>
  <c r="AT22" i="3"/>
  <c r="AC22" i="3"/>
  <c r="AL22" i="3"/>
  <c r="AS22" i="3"/>
  <c r="AH22" i="3"/>
  <c r="AE22" i="3"/>
  <c r="AV22" i="3"/>
  <c r="AI22" i="3"/>
  <c r="AR22" i="3"/>
  <c r="BC22" i="3"/>
  <c r="AW22" i="3"/>
  <c r="Q22" i="3" a="1"/>
  <c r="Q22" i="3" l="1"/>
  <c r="AA22" i="3"/>
  <c r="R22" i="3" s="1"/>
  <c r="AB22" i="3" l="1"/>
  <c r="S22" i="3"/>
  <c r="Z22" i="3" l="1"/>
  <c r="Y22" i="3"/>
  <c r="X22" i="3"/>
  <c r="T22" i="3"/>
  <c r="U22" i="3" s="1"/>
  <c r="AX21" i="3"/>
  <c r="AV21" i="3" a="1"/>
  <c r="AR21" i="3" a="1"/>
  <c r="AI21" i="3" a="1"/>
  <c r="AH21" i="3" a="1"/>
  <c r="AE21" i="3" a="1"/>
  <c r="BC21" i="3" a="1"/>
  <c r="AL21" i="3" a="1"/>
  <c r="AS21" i="3" a="1"/>
  <c r="F21" i="3"/>
  <c r="AC21" i="3" a="1"/>
  <c r="AT21" i="3" a="1"/>
  <c r="M21" i="3" a="1"/>
  <c r="AD21" i="3" a="1"/>
  <c r="E21" i="3"/>
  <c r="K21" i="3"/>
  <c r="I21" i="3" a="1"/>
  <c r="L21" i="3"/>
  <c r="AF21" i="3" a="1"/>
  <c r="AK21" i="3" a="1"/>
  <c r="AM21" i="3" a="1"/>
  <c r="H21" i="3" a="1"/>
  <c r="AN21" i="3" a="1"/>
  <c r="AG21" i="3" a="1"/>
  <c r="AP21" i="3" a="1"/>
  <c r="AU21" i="3" a="1"/>
  <c r="AQ21" i="3" a="1"/>
  <c r="N21" i="3" a="1"/>
  <c r="AJ21" i="3" a="1"/>
  <c r="AO21" i="3" a="1"/>
  <c r="J21" i="3" a="1"/>
  <c r="J21" i="3" l="1"/>
  <c r="AO21" i="3"/>
  <c r="AJ21" i="3"/>
  <c r="N21" i="3"/>
  <c r="AQ21" i="3"/>
  <c r="AU21" i="3"/>
  <c r="AP21" i="3"/>
  <c r="AG21" i="3"/>
  <c r="AN21" i="3"/>
  <c r="H21" i="3"/>
  <c r="AM21" i="3"/>
  <c r="AK21" i="3"/>
  <c r="AF21" i="3"/>
  <c r="I21" i="3"/>
  <c r="AD21" i="3"/>
  <c r="M21" i="3"/>
  <c r="AT21" i="3"/>
  <c r="AC21" i="3"/>
  <c r="AS21" i="3"/>
  <c r="AL21" i="3"/>
  <c r="BC21" i="3"/>
  <c r="AE21" i="3"/>
  <c r="AH21" i="3"/>
  <c r="AI21" i="3"/>
  <c r="AR21" i="3"/>
  <c r="AV21" i="3"/>
  <c r="AW21" i="3" s="1"/>
  <c r="Q21" i="3" a="1"/>
  <c r="Q21" i="3" l="1"/>
  <c r="AA21" i="3"/>
  <c r="R21" i="3" s="1"/>
  <c r="AB21" i="3" l="1"/>
  <c r="S21" i="3"/>
  <c r="Z21" i="3" l="1"/>
  <c r="Y21" i="3"/>
  <c r="X21" i="3"/>
  <c r="T21" i="3"/>
  <c r="U21" i="3" s="1"/>
  <c r="AX20" i="3"/>
  <c r="AH20" i="3" a="1"/>
  <c r="AE20" i="3" a="1"/>
  <c r="BC20" i="3" a="1"/>
  <c r="AR20" i="3" a="1"/>
  <c r="AI20" i="3" a="1"/>
  <c r="AV20" i="3" a="1"/>
  <c r="F20" i="3"/>
  <c r="AS20" i="3" a="1"/>
  <c r="AT20" i="3" a="1"/>
  <c r="M20" i="3" a="1"/>
  <c r="AC20" i="3" a="1"/>
  <c r="AL20" i="3" a="1"/>
  <c r="AD20" i="3" a="1"/>
  <c r="L20" i="3"/>
  <c r="AF20" i="3" a="1"/>
  <c r="I20" i="3" a="1"/>
  <c r="E20" i="3"/>
  <c r="K20" i="3"/>
  <c r="AN20" i="3" a="1"/>
  <c r="AK20" i="3" a="1"/>
  <c r="AG20" i="3" a="1"/>
  <c r="AU20" i="3" a="1"/>
  <c r="AQ20" i="3" a="1"/>
  <c r="AP20" i="3" a="1"/>
  <c r="N20" i="3" a="1"/>
  <c r="AM20" i="3" a="1"/>
  <c r="H20" i="3" a="1"/>
  <c r="AJ20" i="3" a="1"/>
  <c r="J20" i="3" a="1"/>
  <c r="AO20" i="3" a="1"/>
  <c r="AO20" i="3" l="1"/>
  <c r="J20" i="3"/>
  <c r="AJ20" i="3"/>
  <c r="H20" i="3"/>
  <c r="AM20" i="3"/>
  <c r="N20" i="3"/>
  <c r="AP20" i="3"/>
  <c r="AQ20" i="3"/>
  <c r="AU20" i="3"/>
  <c r="AW20" i="3" s="1"/>
  <c r="AG20" i="3"/>
  <c r="AK20" i="3"/>
  <c r="AN20" i="3"/>
  <c r="I20" i="3"/>
  <c r="AF20" i="3"/>
  <c r="AD20" i="3"/>
  <c r="AL20" i="3"/>
  <c r="AC20" i="3"/>
  <c r="M20" i="3"/>
  <c r="AT20" i="3"/>
  <c r="AS20" i="3"/>
  <c r="AV20" i="3"/>
  <c r="AI20" i="3"/>
  <c r="AR20" i="3"/>
  <c r="BC20" i="3"/>
  <c r="AE20" i="3"/>
  <c r="AH20" i="3"/>
  <c r="Q20" i="3" a="1"/>
  <c r="Q20" i="3" l="1"/>
  <c r="AA20" i="3"/>
  <c r="R20" i="3" s="1"/>
  <c r="AB20" i="3" l="1"/>
  <c r="S20" i="3"/>
  <c r="Z20" i="3" l="1"/>
  <c r="Y20" i="3"/>
  <c r="X20" i="3"/>
  <c r="T20" i="3"/>
  <c r="U20" i="3" s="1"/>
  <c r="AX19" i="3"/>
  <c r="AH19" i="3" a="1"/>
  <c r="BC19" i="3" a="1"/>
  <c r="AR19" i="3" a="1"/>
  <c r="AI19" i="3" a="1"/>
  <c r="AE19" i="3" a="1"/>
  <c r="AV19" i="3" a="1"/>
  <c r="M19" i="3" a="1"/>
  <c r="AT19" i="3" a="1"/>
  <c r="AC19" i="3" a="1"/>
  <c r="AS19" i="3" a="1"/>
  <c r="AL19" i="3" a="1"/>
  <c r="F19" i="3"/>
  <c r="AF19" i="3" a="1"/>
  <c r="L19" i="3"/>
  <c r="I19" i="3" a="1"/>
  <c r="E19" i="3"/>
  <c r="K19" i="3"/>
  <c r="AD19" i="3" a="1"/>
  <c r="AG19" i="3" a="1"/>
  <c r="AQ19" i="3" a="1"/>
  <c r="AU19" i="3" a="1"/>
  <c r="AP19" i="3" a="1"/>
  <c r="N19" i="3" a="1"/>
  <c r="AM19" i="3" a="1"/>
  <c r="AN19" i="3" a="1"/>
  <c r="AK19" i="3" a="1"/>
  <c r="H19" i="3" a="1"/>
  <c r="AJ19" i="3" a="1"/>
  <c r="AO19" i="3" a="1"/>
  <c r="J19" i="3" a="1"/>
  <c r="J19" i="3" l="1"/>
  <c r="AO19" i="3"/>
  <c r="AJ19" i="3"/>
  <c r="H19" i="3"/>
  <c r="AK19" i="3"/>
  <c r="AN19" i="3"/>
  <c r="AM19" i="3"/>
  <c r="N19" i="3"/>
  <c r="AP19" i="3"/>
  <c r="AU19" i="3"/>
  <c r="AW19" i="3" s="1"/>
  <c r="AQ19" i="3"/>
  <c r="AG19" i="3"/>
  <c r="AD19" i="3"/>
  <c r="I19" i="3"/>
  <c r="AF19" i="3"/>
  <c r="AL19" i="3"/>
  <c r="AS19" i="3"/>
  <c r="AC19" i="3"/>
  <c r="AT19" i="3"/>
  <c r="M19" i="3"/>
  <c r="AV19" i="3"/>
  <c r="AE19" i="3"/>
  <c r="AI19" i="3"/>
  <c r="AR19" i="3"/>
  <c r="BC19" i="3"/>
  <c r="AH19" i="3"/>
  <c r="Q19" i="3" a="1"/>
  <c r="Q19" i="3" l="1"/>
  <c r="AA19" i="3"/>
  <c r="R19" i="3" s="1"/>
  <c r="AB19" i="3" l="1"/>
  <c r="S19" i="3"/>
  <c r="Z19" i="3" l="1"/>
  <c r="Y19" i="3"/>
  <c r="X19" i="3"/>
  <c r="T19" i="3"/>
  <c r="U19" i="3" s="1"/>
  <c r="AX18" i="3"/>
  <c r="BC18" i="3" a="1"/>
  <c r="AR18" i="3" a="1"/>
  <c r="AI18" i="3" a="1"/>
  <c r="AE18" i="3" a="1"/>
  <c r="AV18" i="3" a="1"/>
  <c r="AH18" i="3" a="1"/>
  <c r="F18" i="3"/>
  <c r="AL18" i="3" a="1"/>
  <c r="AS18" i="3" a="1"/>
  <c r="AC18" i="3" a="1"/>
  <c r="AT18" i="3" a="1"/>
  <c r="M18" i="3" a="1"/>
  <c r="I18" i="3" a="1"/>
  <c r="L18" i="3"/>
  <c r="AF18" i="3" a="1"/>
  <c r="E18" i="3"/>
  <c r="K18" i="3"/>
  <c r="AD18" i="3" a="1"/>
  <c r="AN18" i="3" a="1"/>
  <c r="AU18" i="3" a="1"/>
  <c r="N18" i="3" a="1"/>
  <c r="AP18" i="3" a="1"/>
  <c r="AK18" i="3" a="1"/>
  <c r="AM18" i="3" a="1"/>
  <c r="AG18" i="3" a="1"/>
  <c r="H18" i="3" a="1"/>
  <c r="AQ18" i="3" a="1"/>
  <c r="AJ18" i="3" a="1"/>
  <c r="AO18" i="3" a="1"/>
  <c r="J18" i="3" a="1"/>
  <c r="J18" i="3" l="1"/>
  <c r="AO18" i="3"/>
  <c r="AJ18" i="3"/>
  <c r="AQ18" i="3"/>
  <c r="H18" i="3"/>
  <c r="AG18" i="3"/>
  <c r="AM18" i="3"/>
  <c r="AK18" i="3"/>
  <c r="AP18" i="3"/>
  <c r="N18" i="3"/>
  <c r="AU18" i="3"/>
  <c r="AN18" i="3"/>
  <c r="AD18" i="3"/>
  <c r="AF18" i="3"/>
  <c r="I18" i="3"/>
  <c r="M18" i="3"/>
  <c r="AT18" i="3"/>
  <c r="AC18" i="3"/>
  <c r="AS18" i="3"/>
  <c r="AL18" i="3"/>
  <c r="AH18" i="3"/>
  <c r="AV18" i="3"/>
  <c r="AW18" i="3" s="1"/>
  <c r="AE18" i="3"/>
  <c r="AI18" i="3"/>
  <c r="AR18" i="3"/>
  <c r="BC18" i="3"/>
  <c r="Q18" i="3" a="1"/>
  <c r="Q18" i="3" l="1"/>
  <c r="AA18" i="3"/>
  <c r="R18" i="3" s="1"/>
  <c r="AB18" i="3" l="1"/>
  <c r="S18" i="3"/>
  <c r="Z18" i="3" l="1"/>
  <c r="Y18" i="3"/>
  <c r="X18" i="3"/>
  <c r="T18" i="3"/>
  <c r="U18" i="3" s="1"/>
  <c r="AX17" i="3"/>
  <c r="AV17" i="3" a="1"/>
  <c r="AR17" i="3" a="1"/>
  <c r="AI17" i="3" a="1"/>
  <c r="AH17" i="3" a="1"/>
  <c r="AE17" i="3" a="1"/>
  <c r="BC17" i="3" a="1"/>
  <c r="AC17" i="3" a="1"/>
  <c r="AS17" i="3" a="1"/>
  <c r="AL17" i="3" a="1"/>
  <c r="AT17" i="3" a="1"/>
  <c r="M17" i="3" a="1"/>
  <c r="F17" i="3"/>
  <c r="AD17" i="3" a="1"/>
  <c r="I17" i="3" a="1"/>
  <c r="L17" i="3"/>
  <c r="E17" i="3"/>
  <c r="K17" i="3"/>
  <c r="AF17" i="3" a="1"/>
  <c r="AG17" i="3" a="1"/>
  <c r="N17" i="3" a="1"/>
  <c r="AP17" i="3" a="1"/>
  <c r="AK17" i="3" a="1"/>
  <c r="AM17" i="3" a="1"/>
  <c r="AN17" i="3" a="1"/>
  <c r="H17" i="3" a="1"/>
  <c r="AU17" i="3" a="1"/>
  <c r="AQ17" i="3" a="1"/>
  <c r="AJ17" i="3" a="1"/>
  <c r="J17" i="3" a="1"/>
  <c r="AO17" i="3" a="1"/>
  <c r="AO17" i="3" l="1"/>
  <c r="J17" i="3"/>
  <c r="AJ17" i="3"/>
  <c r="AQ17" i="3"/>
  <c r="AU17" i="3"/>
  <c r="AW17" i="3" s="1"/>
  <c r="H17" i="3"/>
  <c r="AN17" i="3"/>
  <c r="AM17" i="3"/>
  <c r="AK17" i="3"/>
  <c r="AP17" i="3"/>
  <c r="N17" i="3"/>
  <c r="AG17" i="3"/>
  <c r="AF17" i="3"/>
  <c r="I17" i="3"/>
  <c r="AD17" i="3"/>
  <c r="M17" i="3"/>
  <c r="AT17" i="3"/>
  <c r="AL17" i="3"/>
  <c r="AS17" i="3"/>
  <c r="AC17" i="3"/>
  <c r="BC17" i="3"/>
  <c r="AE17" i="3"/>
  <c r="AH17" i="3"/>
  <c r="AI17" i="3"/>
  <c r="AR17" i="3"/>
  <c r="AV17" i="3"/>
  <c r="Q17" i="3" a="1"/>
  <c r="Q17" i="3" l="1"/>
  <c r="AA17" i="3"/>
  <c r="R17" i="3"/>
  <c r="AB17" i="3" l="1"/>
  <c r="S17" i="3"/>
  <c r="Z17" i="3" l="1"/>
  <c r="Y17" i="3"/>
  <c r="X17" i="3"/>
  <c r="T17" i="3"/>
  <c r="U17" i="3" s="1"/>
  <c r="AX16" i="3"/>
  <c r="AW16" i="3" l="1"/>
  <c r="AA16" i="3" l="1"/>
  <c r="AB16" i="3" l="1"/>
  <c r="S16" i="3"/>
  <c r="R16" i="3"/>
  <c r="Z16" i="3" l="1"/>
  <c r="Y16" i="3"/>
  <c r="X16" i="3"/>
  <c r="T16" i="3"/>
  <c r="U16" i="3" s="1"/>
  <c r="AX15" i="3"/>
  <c r="AW15" i="3" l="1"/>
  <c r="AA15" i="3" l="1"/>
  <c r="AB15" i="3" l="1"/>
  <c r="R15" i="3"/>
  <c r="S15" i="3"/>
  <c r="Z15" i="3" l="1"/>
  <c r="Y15" i="3"/>
  <c r="X15" i="3"/>
  <c r="T15" i="3"/>
  <c r="U15" i="3" s="1"/>
  <c r="AX14" i="3"/>
  <c r="AW14" i="3" l="1"/>
  <c r="AA14" i="3" l="1"/>
  <c r="AB14" i="3" l="1"/>
  <c r="S14" i="3"/>
  <c r="R14" i="3"/>
  <c r="Z14" i="3" l="1"/>
  <c r="X14" i="3"/>
  <c r="Y14" i="3"/>
  <c r="T14" i="3"/>
  <c r="U14" i="3" s="1"/>
  <c r="AX13" i="3"/>
  <c r="AW13" i="3" l="1"/>
  <c r="AA13" i="3" l="1"/>
  <c r="AB13" i="3" l="1"/>
  <c r="R13" i="3"/>
  <c r="S13" i="3"/>
  <c r="Y13" i="3" l="1"/>
  <c r="X13" i="3"/>
  <c r="Z13" i="3"/>
  <c r="T13" i="3"/>
  <c r="U13" i="3" s="1"/>
  <c r="AX12" i="3"/>
  <c r="AW12" i="3" l="1"/>
  <c r="AA12" i="3" l="1"/>
  <c r="AB12" i="3" l="1"/>
  <c r="S12" i="3"/>
  <c r="R12" i="3"/>
  <c r="Y12" i="3" l="1"/>
  <c r="X12" i="3"/>
  <c r="Z12" i="3"/>
  <c r="T12" i="3"/>
  <c r="U12" i="3" s="1"/>
  <c r="AX11" i="3"/>
  <c r="AW11" i="3" l="1"/>
  <c r="AA11" i="3" l="1"/>
  <c r="AB11" i="3" l="1"/>
  <c r="R11" i="3"/>
  <c r="S11" i="3"/>
  <c r="Z11" i="3" l="1"/>
  <c r="Y11" i="3"/>
  <c r="X11" i="3"/>
  <c r="T11" i="3"/>
  <c r="U11" i="3" s="1"/>
  <c r="AX10" i="3"/>
  <c r="AW10" i="3" l="1"/>
  <c r="AA10" i="3" l="1"/>
  <c r="AB10" i="3" l="1"/>
  <c r="R10" i="3"/>
  <c r="S10" i="3"/>
  <c r="Y10" i="3" l="1"/>
  <c r="X10" i="3"/>
  <c r="Z10" i="3"/>
  <c r="T10" i="3"/>
  <c r="U10" i="3" s="1"/>
  <c r="AX9" i="3"/>
  <c r="BD9" i="3" l="1"/>
  <c r="AW9" i="3" l="1"/>
  <c r="AA9" i="3" l="1"/>
  <c r="AB9" i="3" l="1"/>
  <c r="R9" i="3"/>
  <c r="S9" i="3"/>
  <c r="Z9" i="3" l="1"/>
  <c r="X9" i="3"/>
  <c r="Y9" i="3"/>
  <c r="T9" i="3"/>
  <c r="U9" i="3" s="1"/>
  <c r="AX8" i="3"/>
  <c r="BD8" i="3" l="1"/>
  <c r="AW8" i="3" l="1"/>
  <c r="AA8" i="3" l="1"/>
  <c r="AB8" i="3" l="1"/>
  <c r="R8" i="3"/>
  <c r="S8" i="3"/>
  <c r="Y8" i="3" l="1"/>
  <c r="X8" i="3"/>
  <c r="Z8" i="3"/>
  <c r="T8" i="3"/>
  <c r="U8" i="3" s="1"/>
  <c r="AX7" i="3"/>
  <c r="AW7" i="3" l="1"/>
  <c r="AA7" i="3" l="1"/>
  <c r="AB7" i="3" l="1"/>
  <c r="R7" i="3"/>
  <c r="S7" i="3"/>
  <c r="Y7" i="3" l="1"/>
  <c r="Z7" i="3"/>
  <c r="X7" i="3"/>
  <c r="T7" i="3"/>
  <c r="U7" i="3" s="1"/>
  <c r="AX6" i="3"/>
  <c r="AW6" i="3" l="1"/>
  <c r="AA6" i="3" l="1"/>
  <c r="AB6" i="3" l="1"/>
  <c r="S6" i="3"/>
  <c r="R6" i="3"/>
  <c r="Y6" i="3" l="1"/>
  <c r="X6" i="3"/>
  <c r="Z6" i="3"/>
  <c r="T6" i="3"/>
  <c r="U6" i="3" s="1"/>
  <c r="AX5" i="3"/>
  <c r="AW5" i="3" l="1"/>
  <c r="AA5" i="3" l="1"/>
  <c r="AB5" i="3" l="1"/>
  <c r="R5" i="3"/>
  <c r="S5" i="3"/>
  <c r="Y5" i="3" l="1"/>
  <c r="X5" i="3"/>
  <c r="Z5" i="3"/>
  <c r="T5" i="3"/>
  <c r="U5" i="3" s="1"/>
  <c r="AX4" i="3"/>
  <c r="AW4" i="3" l="1"/>
  <c r="AA4" i="3" l="1"/>
  <c r="AB4" i="3" l="1"/>
  <c r="R4" i="3"/>
  <c r="S4" i="3"/>
  <c r="Z4" i="3" l="1"/>
  <c r="Y4" i="3"/>
  <c r="X4" i="3"/>
  <c r="T4" i="3"/>
  <c r="U4" i="3" s="1"/>
  <c r="AX3" i="3"/>
  <c r="AW3" i="3" l="1"/>
  <c r="AA3" i="3" l="1"/>
  <c r="AB3" i="3" l="1"/>
  <c r="R3" i="3"/>
  <c r="S3" i="3"/>
  <c r="Y3" i="3" l="1"/>
  <c r="X3" i="3"/>
  <c r="Z3" i="3"/>
  <c r="T3" i="3"/>
  <c r="U3" i="3" s="1"/>
  <c r="AK103" i="1" l="1" a="1"/>
  <c r="L38" i="1"/>
  <c r="L111" i="1"/>
  <c r="AS152" i="1"/>
  <c r="E13" i="1"/>
  <c r="F113" i="1"/>
  <c r="AU74" i="1"/>
  <c r="AU137" i="1"/>
  <c r="AK61" i="1" a="1"/>
  <c r="AK16" i="1" a="1"/>
  <c r="AK119" i="1" a="1"/>
  <c r="Q99" i="1"/>
  <c r="Q146" i="1"/>
  <c r="F19" i="1"/>
  <c r="I152" i="1"/>
  <c r="AE19" i="1"/>
  <c r="N165" i="1"/>
  <c r="F16" i="1"/>
  <c r="AK104" i="1" a="1"/>
  <c r="I12" i="1"/>
  <c r="H16" i="1"/>
  <c r="AU12" i="1"/>
  <c r="E152" i="1"/>
  <c r="AM13" i="1"/>
  <c r="AD16" i="1"/>
  <c r="I13" i="1"/>
  <c r="AE38" i="1"/>
  <c r="AE111" i="1"/>
  <c r="K165" i="1"/>
  <c r="AU103" i="1"/>
  <c r="AM16" i="1"/>
  <c r="AE104" i="1"/>
  <c r="AD113" i="1"/>
  <c r="N104" i="1"/>
  <c r="N103" i="1"/>
  <c r="F13" i="1"/>
  <c r="L165" i="1"/>
  <c r="AS74" i="1"/>
  <c r="AS137" i="1"/>
  <c r="AM19" i="1"/>
  <c r="K13" i="1"/>
  <c r="AU38" i="1"/>
  <c r="AU111" i="1"/>
  <c r="AK38" i="1" a="1"/>
  <c r="AK152" i="1" a="1"/>
  <c r="AK111" i="1" a="1"/>
  <c r="Q61" i="1"/>
  <c r="Q119" i="1"/>
  <c r="I74" i="1"/>
  <c r="I137" i="1"/>
  <c r="AS113" i="1"/>
  <c r="N152" i="1"/>
  <c r="F99" i="1"/>
  <c r="F146" i="1"/>
  <c r="H99" i="1"/>
  <c r="H146" i="1"/>
  <c r="E74" i="1"/>
  <c r="E137" i="1"/>
  <c r="AD99" i="1"/>
  <c r="AD146" i="1"/>
  <c r="AE12" i="1"/>
  <c r="AE165" i="1"/>
  <c r="AS13" i="1"/>
  <c r="K152" i="1"/>
  <c r="AM99" i="1"/>
  <c r="AM146" i="1"/>
  <c r="L12" i="1"/>
  <c r="AK13" i="1" a="1"/>
  <c r="L19" i="1"/>
  <c r="E104" i="1"/>
  <c r="L16" i="1"/>
  <c r="AS61" i="1"/>
  <c r="AS119" i="1"/>
  <c r="AD104" i="1"/>
  <c r="N19" i="1"/>
  <c r="AU23" i="1"/>
  <c r="AM113" i="1"/>
  <c r="Q38" i="1"/>
  <c r="Q111" i="1"/>
  <c r="I61" i="1"/>
  <c r="I119" i="1"/>
  <c r="N99" i="1"/>
  <c r="N146" i="1"/>
  <c r="F74" i="1"/>
  <c r="F137" i="1"/>
  <c r="H74" i="1"/>
  <c r="H137" i="1"/>
  <c r="E61" i="1"/>
  <c r="E119" i="1"/>
  <c r="AD74" i="1"/>
  <c r="AD137" i="1"/>
  <c r="AD12" i="1"/>
  <c r="AE16" i="1"/>
  <c r="K99" i="1"/>
  <c r="K146" i="1"/>
  <c r="AM74" i="1"/>
  <c r="AM137" i="1"/>
  <c r="AS12" i="1"/>
  <c r="AS19" i="1"/>
  <c r="AM104" i="1"/>
  <c r="L152" i="1"/>
  <c r="AS38" i="1"/>
  <c r="AS111" i="1"/>
  <c r="K113" i="1"/>
  <c r="Q103" i="1"/>
  <c r="AU165" i="1"/>
  <c r="AK99" i="1" a="1"/>
  <c r="H103" i="1"/>
  <c r="L99" i="1"/>
  <c r="L146" i="1"/>
  <c r="AS23" i="1"/>
  <c r="AK12" i="1" a="1"/>
  <c r="H12" i="1"/>
  <c r="H13" i="1"/>
  <c r="AU16" i="1"/>
  <c r="AU19" i="1"/>
  <c r="Q165" i="1"/>
  <c r="E113" i="1"/>
  <c r="I23" i="1"/>
  <c r="AU113" i="1"/>
  <c r="N61" i="1"/>
  <c r="N119" i="1"/>
  <c r="F38" i="1"/>
  <c r="F111" i="1"/>
  <c r="H38" i="1"/>
  <c r="H111" i="1"/>
  <c r="E23" i="1"/>
  <c r="I19" i="1"/>
  <c r="L103" i="1"/>
  <c r="L74" i="1"/>
  <c r="L137" i="1"/>
  <c r="AS165" i="1"/>
  <c r="AD19" i="1"/>
  <c r="I113" i="1"/>
  <c r="AU152" i="1"/>
  <c r="AK74" i="1" a="1"/>
  <c r="AK165" i="1" a="1"/>
  <c r="AK137" i="1" a="1"/>
  <c r="Q104" i="1"/>
  <c r="Q16" i="1"/>
  <c r="AE113" i="1"/>
  <c r="I165" i="1"/>
  <c r="L104" i="1"/>
  <c r="N38" i="1"/>
  <c r="N111" i="1"/>
  <c r="F23" i="1"/>
  <c r="K12" i="1"/>
  <c r="N12" i="1"/>
  <c r="H23" i="1"/>
  <c r="AU104" i="1"/>
  <c r="E165" i="1"/>
  <c r="K103" i="1"/>
  <c r="AD23" i="1"/>
  <c r="AK113" i="1" a="1"/>
  <c r="AE74" i="1"/>
  <c r="AE137" i="1"/>
  <c r="K38" i="1"/>
  <c r="K111" i="1"/>
  <c r="AS103" i="1"/>
  <c r="L61" i="1"/>
  <c r="L119" i="1"/>
  <c r="AS16" i="1"/>
  <c r="H104" i="1"/>
  <c r="N13" i="1"/>
  <c r="AU99" i="1"/>
  <c r="AU146" i="1"/>
  <c r="H113" i="1"/>
  <c r="Q152" i="1"/>
  <c r="F103" i="1"/>
  <c r="I16" i="1"/>
  <c r="AS104" i="1"/>
  <c r="N23" i="1"/>
  <c r="AK19" i="1" a="1"/>
  <c r="F165" i="1"/>
  <c r="H19" i="1"/>
  <c r="I104" i="1"/>
  <c r="H165" i="1"/>
  <c r="AD13" i="1"/>
  <c r="E16" i="1"/>
  <c r="AU13" i="1"/>
  <c r="AD165" i="1"/>
  <c r="AE61" i="1"/>
  <c r="AE119" i="1"/>
  <c r="K23" i="1"/>
  <c r="AE103" i="1"/>
  <c r="AM165" i="1"/>
  <c r="AM12" i="1"/>
  <c r="F104" i="1"/>
  <c r="AU119" i="1"/>
  <c r="Q23" i="1"/>
  <c r="N74" i="1"/>
  <c r="E38" i="1"/>
  <c r="AD111" i="1"/>
  <c r="K74" i="1"/>
  <c r="AM23" i="1"/>
  <c r="Q19" i="1"/>
  <c r="Q137" i="1"/>
  <c r="N16" i="1"/>
  <c r="E146" i="1"/>
  <c r="AD103" i="1"/>
  <c r="K61" i="1"/>
  <c r="AM152" i="1"/>
  <c r="E103" i="1"/>
  <c r="L23" i="1"/>
  <c r="AK23" i="1" a="1"/>
  <c r="AE13" i="1"/>
  <c r="N137" i="1"/>
  <c r="E111" i="1"/>
  <c r="Q13" i="1"/>
  <c r="K16" i="1"/>
  <c r="AM119" i="1"/>
  <c r="I103" i="1"/>
  <c r="AS99" i="1"/>
  <c r="I99" i="1"/>
  <c r="AM103" i="1"/>
  <c r="K104" i="1"/>
  <c r="K19" i="1"/>
  <c r="AE99" i="1"/>
  <c r="K137" i="1"/>
  <c r="AM111" i="1"/>
  <c r="AS146" i="1"/>
  <c r="AK146" i="1" a="1"/>
  <c r="I38" i="1"/>
  <c r="F61" i="1"/>
  <c r="H61" i="1"/>
  <c r="AD61" i="1"/>
  <c r="AE23" i="1"/>
  <c r="K119" i="1"/>
  <c r="F12" i="1"/>
  <c r="I146" i="1"/>
  <c r="F152" i="1"/>
  <c r="H152" i="1"/>
  <c r="AD38" i="1"/>
  <c r="AE152" i="1"/>
  <c r="N113" i="1"/>
  <c r="Q12" i="1"/>
  <c r="E19" i="1"/>
  <c r="Q113" i="1"/>
  <c r="I111" i="1"/>
  <c r="F119" i="1"/>
  <c r="H119" i="1"/>
  <c r="AD152" i="1"/>
  <c r="AE146" i="1"/>
  <c r="AM61" i="1"/>
  <c r="E12" i="1"/>
  <c r="AU61" i="1"/>
  <c r="Q74" i="1"/>
  <c r="L113" i="1"/>
  <c r="E99" i="1"/>
  <c r="AD119" i="1"/>
  <c r="L13" i="1"/>
  <c r="AM38" i="1"/>
  <c r="AK146" i="1" l="1"/>
  <c r="AK23" i="1"/>
  <c r="AK19" i="1"/>
  <c r="AK113" i="1"/>
  <c r="AK137" i="1"/>
  <c r="AK165" i="1"/>
  <c r="AK74" i="1"/>
  <c r="AK12" i="1"/>
  <c r="AK99" i="1"/>
  <c r="AK13" i="1"/>
  <c r="AK111" i="1"/>
  <c r="AK152" i="1"/>
  <c r="AK38" i="1"/>
  <c r="AK104" i="1"/>
  <c r="AK119" i="1"/>
  <c r="AK16" i="1"/>
  <c r="AK61" i="1"/>
  <c r="AK103" i="1"/>
  <c r="AO165" i="1"/>
  <c r="AO99" i="1"/>
  <c r="AO12" i="1"/>
  <c r="AO119" i="1"/>
  <c r="AO113" i="1"/>
  <c r="AO152" i="1"/>
  <c r="AO61" i="1"/>
  <c r="AO104" i="1"/>
  <c r="AO19" i="1"/>
  <c r="AO74" i="1"/>
  <c r="AO146" i="1"/>
  <c r="AO13" i="1"/>
  <c r="AO137" i="1"/>
  <c r="AO103" i="1"/>
  <c r="AO16" i="1"/>
  <c r="AO23" i="1"/>
  <c r="AO111" i="1"/>
  <c r="AO38" i="1"/>
  <c r="M15" i="1" l="1"/>
  <c r="M109" i="1"/>
  <c r="AL52" i="1"/>
  <c r="M141" i="1"/>
  <c r="M131" i="1"/>
  <c r="AT98" i="1"/>
  <c r="AT79" i="1"/>
  <c r="AT5" i="1"/>
  <c r="AT155" i="1"/>
  <c r="AT118" i="1"/>
  <c r="AT90" i="1"/>
  <c r="M87" i="1"/>
  <c r="AT6" i="1"/>
  <c r="AT107" i="1"/>
  <c r="Y8" i="5" a="1"/>
  <c r="Y8" i="5"/>
  <c r="Y6" i="5" a="1"/>
  <c r="Y6" i="5"/>
  <c r="Y4" i="5" a="1"/>
  <c r="Y4" i="5"/>
  <c r="AT87" i="1"/>
  <c r="AT20" i="1"/>
  <c r="AL18" i="1"/>
  <c r="AT32" i="1"/>
  <c r="AL105" i="1"/>
  <c r="AL148" i="1"/>
  <c r="AL138" i="1"/>
  <c r="M44" i="1"/>
  <c r="AB144" i="1"/>
  <c r="AL6" i="1"/>
  <c r="M143" i="1"/>
  <c r="M127" i="1"/>
  <c r="Y7" i="5" a="1"/>
  <c r="Y7" i="5"/>
  <c r="Y5" i="5" a="1"/>
  <c r="Y5" i="5"/>
  <c r="Y3" i="5" a="1"/>
  <c r="Y3" i="5"/>
  <c r="X11" i="1" a="1"/>
  <c r="X11" i="1"/>
  <c r="X102" i="1" a="1"/>
  <c r="X102" i="1"/>
  <c r="M69" i="1"/>
  <c r="M57" i="1"/>
  <c r="AL130" i="1"/>
  <c r="AT54" i="1"/>
  <c r="K11" i="1"/>
  <c r="K102" i="1"/>
  <c r="AL150" i="1"/>
  <c r="AL122" i="1"/>
  <c r="AL139" i="1"/>
  <c r="AL129" i="1"/>
  <c r="AT139" i="1"/>
  <c r="AT129" i="1"/>
  <c r="M95" i="1"/>
  <c r="M71" i="1"/>
  <c r="M34" i="1"/>
  <c r="M156" i="1"/>
  <c r="AT85" i="1"/>
  <c r="AT72" i="1"/>
  <c r="AT33" i="1"/>
  <c r="AT158" i="1"/>
  <c r="M56" i="1"/>
  <c r="AT64" i="1"/>
  <c r="M86" i="1"/>
  <c r="M133" i="1"/>
  <c r="AL64" i="1"/>
  <c r="AL20" i="1"/>
  <c r="AT105" i="1"/>
  <c r="AT63" i="1"/>
  <c r="M20" i="1"/>
  <c r="AT141" i="1"/>
  <c r="AT131" i="1"/>
  <c r="AT51" i="1"/>
  <c r="AU11" i="1"/>
  <c r="AU102" i="1"/>
  <c r="Q11" i="1"/>
  <c r="Q102" i="1"/>
  <c r="M9" i="1"/>
  <c r="AL68" i="1"/>
  <c r="AL31" i="1"/>
  <c r="AT66" i="1"/>
  <c r="AT49" i="1"/>
  <c r="AT42" i="1"/>
  <c r="AT18" i="1"/>
  <c r="AL90" i="1"/>
  <c r="AT11" i="1"/>
  <c r="AT102" i="1"/>
  <c r="AL9" i="1"/>
  <c r="AT140" i="1"/>
  <c r="AT128" i="1"/>
  <c r="M66" i="1"/>
  <c r="M49" i="1"/>
  <c r="M42" i="1"/>
  <c r="AL73" i="1"/>
  <c r="AL168" i="1"/>
  <c r="AA11" i="1" a="1"/>
  <c r="AA11" i="1"/>
  <c r="AA102" i="1" a="1"/>
  <c r="AA102" i="1"/>
  <c r="AS11" i="1"/>
  <c r="AS102" i="1"/>
  <c r="AL56" i="1"/>
  <c r="M64" i="1"/>
  <c r="M139" i="1"/>
  <c r="M129" i="1"/>
  <c r="AL126" i="1"/>
  <c r="AT73" i="1"/>
  <c r="AT168" i="1"/>
  <c r="M67" i="1"/>
  <c r="M43" i="1"/>
  <c r="M30" i="1"/>
  <c r="M3" i="1"/>
  <c r="M21" i="1"/>
  <c r="M166" i="1"/>
  <c r="M147" i="1"/>
  <c r="M125" i="1"/>
  <c r="M114" i="1"/>
  <c r="AL143" i="1"/>
  <c r="AL127" i="1"/>
  <c r="AT130" i="1"/>
  <c r="M11" i="1"/>
  <c r="M102" i="1"/>
  <c r="AL87" i="1"/>
  <c r="L11" i="1"/>
  <c r="L102" i="1"/>
  <c r="M145" i="1"/>
  <c r="M136" i="1"/>
  <c r="M126" i="1"/>
  <c r="AT47" i="1"/>
  <c r="M85" i="1"/>
  <c r="AL54" i="1"/>
  <c r="AT148" i="1"/>
  <c r="AT138" i="1"/>
  <c r="AL15" i="1"/>
  <c r="AL109" i="1"/>
  <c r="M130" i="1"/>
  <c r="M90" i="1"/>
  <c r="M110" i="1"/>
  <c r="AT44" i="1"/>
  <c r="AL66" i="1"/>
  <c r="AL49" i="1"/>
  <c r="AL42" i="1"/>
  <c r="AT68" i="1"/>
  <c r="AT31" i="1"/>
  <c r="M74" i="1"/>
  <c r="M137" i="1"/>
  <c r="AL13" i="1"/>
  <c r="M61" i="1"/>
  <c r="M38" i="1"/>
  <c r="AT19" i="1"/>
  <c r="AL146" i="1"/>
  <c r="AT152" i="1"/>
  <c r="M16" i="1"/>
  <c r="M119" i="1"/>
  <c r="AT16" i="1"/>
  <c r="AL99" i="1"/>
  <c r="AT12" i="1"/>
  <c r="M113" i="1"/>
  <c r="AT137" i="1"/>
  <c r="AL19" i="1"/>
  <c r="AL152" i="1"/>
  <c r="M111" i="1"/>
  <c r="AL103" i="1"/>
  <c r="M23" i="1"/>
  <c r="AT74" i="1"/>
  <c r="AL74" i="1"/>
  <c r="AL137" i="1"/>
  <c r="M165" i="1"/>
  <c r="AT99" i="1"/>
  <c r="AT146" i="1"/>
  <c r="AT103" i="1"/>
  <c r="AT13" i="1"/>
  <c r="AL61" i="1"/>
  <c r="M103" i="1"/>
  <c r="AL38" i="1"/>
  <c r="AL111" i="1"/>
  <c r="M152" i="1"/>
  <c r="AT61" i="1"/>
  <c r="AT119" i="1"/>
  <c r="AT104" i="1"/>
  <c r="AL165" i="1"/>
  <c r="AT23" i="1"/>
  <c r="AL113" i="1"/>
  <c r="M104" i="1"/>
  <c r="M19" i="1"/>
  <c r="AT113" i="1"/>
  <c r="AL23" i="1"/>
  <c r="M99" i="1"/>
  <c r="M146" i="1"/>
  <c r="AT38" i="1"/>
  <c r="AT111" i="1"/>
  <c r="AL104" i="1"/>
  <c r="M12" i="1"/>
  <c r="M13" i="1"/>
  <c r="AL16" i="1"/>
  <c r="AT165" i="1"/>
  <c r="AL12" i="1"/>
  <c r="AL119" i="1"/>
  <c r="AL83" i="1" l="1"/>
  <c r="AL50" i="1"/>
  <c r="AT8" i="1"/>
  <c r="AT106" i="1"/>
  <c r="Y11" i="1" a="1"/>
  <c r="Y11" i="1"/>
  <c r="Y102" i="1" a="1"/>
  <c r="Y102" i="1"/>
  <c r="F11" i="1"/>
  <c r="F102" i="1"/>
  <c r="AL8" i="1"/>
  <c r="AL106" i="1"/>
  <c r="V11" i="1" a="1"/>
  <c r="V11" i="1"/>
  <c r="V102" i="1" a="1"/>
  <c r="V102" i="1"/>
  <c r="M93" i="1"/>
  <c r="M94" i="1"/>
  <c r="M151" i="1"/>
  <c r="M123" i="1"/>
  <c r="M101" i="1"/>
  <c r="M7" i="1"/>
  <c r="M14" i="1"/>
  <c r="M108" i="1"/>
  <c r="AL92" i="1"/>
  <c r="AT34" i="1"/>
  <c r="AT156" i="1"/>
  <c r="M18" i="1"/>
  <c r="AT56" i="1"/>
  <c r="I11" i="1"/>
  <c r="AO11" i="1" s="1"/>
  <c r="I102" i="1"/>
  <c r="AO102" i="1" s="1"/>
  <c r="AT15" i="1"/>
  <c r="AT109" i="1"/>
  <c r="M51" i="1"/>
  <c r="AL107" i="1"/>
  <c r="AL88" i="1"/>
  <c r="M68" i="1"/>
  <c r="M31" i="1"/>
  <c r="M140" i="1"/>
  <c r="M128" i="1"/>
  <c r="AK11" i="1" a="1"/>
  <c r="AK11" i="1"/>
  <c r="AK102" i="1" a="1"/>
  <c r="AK102" i="1"/>
  <c r="AL51" i="1"/>
  <c r="M52" i="1"/>
  <c r="AT9" i="1"/>
  <c r="AT143" i="1"/>
  <c r="AT127" i="1"/>
  <c r="AT110" i="1"/>
  <c r="M150" i="1"/>
  <c r="M122" i="1"/>
  <c r="AT93" i="1"/>
  <c r="AT78" i="1"/>
  <c r="AT154" i="1"/>
  <c r="AT149" i="1"/>
  <c r="AT124" i="1"/>
  <c r="AL72" i="1"/>
  <c r="AL33" i="1"/>
  <c r="AL158" i="1"/>
  <c r="M6" i="1"/>
  <c r="AL145" i="1"/>
  <c r="AL136" i="1"/>
  <c r="M88" i="1"/>
  <c r="M91" i="1"/>
  <c r="M76" i="1"/>
  <c r="M55" i="1"/>
  <c r="M48" i="1"/>
  <c r="M26" i="1"/>
  <c r="M157" i="1"/>
  <c r="M142" i="1"/>
  <c r="M132" i="1"/>
  <c r="M120" i="1"/>
  <c r="M100" i="1"/>
  <c r="AT126" i="1"/>
  <c r="AL85" i="1"/>
  <c r="AT92" i="1"/>
  <c r="M32" i="1"/>
  <c r="AT82" i="1"/>
  <c r="AT39" i="1"/>
  <c r="AT22" i="1"/>
  <c r="AT167" i="1"/>
  <c r="AL17" i="1"/>
  <c r="AL112" i="1"/>
  <c r="AT91" i="1"/>
  <c r="AT76" i="1"/>
  <c r="AT55" i="1"/>
  <c r="AT48" i="1"/>
  <c r="AT26" i="1"/>
  <c r="AT157" i="1"/>
  <c r="AT142" i="1"/>
  <c r="AT132" i="1"/>
  <c r="AT120" i="1"/>
  <c r="AT100" i="1"/>
  <c r="AL32" i="1"/>
  <c r="M83" i="1"/>
  <c r="M50" i="1"/>
  <c r="M105" i="1"/>
  <c r="AM11" i="1"/>
  <c r="AM102" i="1"/>
  <c r="M160" i="1"/>
  <c r="W11" i="1" a="1"/>
  <c r="W11" i="1"/>
  <c r="W102" i="1" a="1"/>
  <c r="W102" i="1"/>
  <c r="AE11" i="1"/>
  <c r="AE102" i="1"/>
  <c r="AL46" i="1"/>
  <c r="AL144" i="1"/>
  <c r="AL134" i="1"/>
  <c r="AL11" i="1"/>
  <c r="AL102" i="1"/>
  <c r="M82" i="1"/>
  <c r="M39" i="1"/>
  <c r="M22" i="1"/>
  <c r="M167" i="1"/>
  <c r="Z11" i="1" a="1"/>
  <c r="Z11" i="1"/>
  <c r="Z102" i="1" a="1"/>
  <c r="Z102" i="1"/>
  <c r="AT46" i="1"/>
  <c r="AT144" i="1"/>
  <c r="AT134" i="1"/>
  <c r="AL80" i="1"/>
  <c r="AL58" i="1"/>
  <c r="AL28" i="1"/>
  <c r="AL161" i="1"/>
  <c r="AL121" i="1"/>
  <c r="AL10" i="1"/>
  <c r="AT150" i="1"/>
  <c r="AT122" i="1"/>
  <c r="M35" i="1"/>
  <c r="M24" i="1"/>
  <c r="M153" i="1"/>
  <c r="AL98" i="1"/>
  <c r="AL79" i="1"/>
  <c r="AL5" i="1"/>
  <c r="AL155" i="1"/>
  <c r="AL118" i="1"/>
  <c r="AT35" i="1"/>
  <c r="AT24" i="1"/>
  <c r="AT153" i="1"/>
  <c r="M63" i="1"/>
  <c r="M92" i="1"/>
  <c r="AT7" i="1"/>
  <c r="AT14" i="1"/>
  <c r="AT108" i="1"/>
  <c r="AT94" i="1"/>
  <c r="AT151" i="1"/>
  <c r="AT123" i="1"/>
  <c r="AT101" i="1"/>
  <c r="AL63" i="1"/>
  <c r="M8" i="1"/>
  <c r="M106" i="1"/>
  <c r="H11" i="1"/>
  <c r="H102" i="1"/>
  <c r="N11" i="1"/>
  <c r="N102" i="1"/>
  <c r="AT86" i="1"/>
  <c r="AT133" i="1"/>
  <c r="M47" i="1"/>
  <c r="AT69" i="1"/>
  <c r="AT57" i="1"/>
  <c r="AL160" i="1"/>
  <c r="AL47" i="1"/>
  <c r="AL141" i="1"/>
  <c r="AL131" i="1"/>
  <c r="AT145" i="1"/>
  <c r="AT136" i="1"/>
  <c r="M107" i="1"/>
  <c r="M54" i="1"/>
  <c r="AD11" i="1"/>
  <c r="AD102" i="1"/>
  <c r="AL96" i="1"/>
  <c r="AL77" i="1"/>
  <c r="AL65" i="1"/>
  <c r="AL36" i="1"/>
  <c r="AL27" i="1"/>
  <c r="AL162" i="1"/>
  <c r="M96" i="1"/>
  <c r="M77" i="1"/>
  <c r="M65" i="1"/>
  <c r="M36" i="1"/>
  <c r="M27" i="1"/>
  <c r="M162" i="1"/>
  <c r="M46" i="1"/>
  <c r="M144" i="1"/>
  <c r="M134" i="1"/>
  <c r="AL35" i="1"/>
  <c r="AL24" i="1"/>
  <c r="AL153" i="1"/>
  <c r="AL44" i="1"/>
  <c r="AL93" i="1"/>
  <c r="AT67" i="1"/>
  <c r="AT43" i="1"/>
  <c r="AT30" i="1"/>
  <c r="AT3" i="1"/>
  <c r="AT21" i="1"/>
  <c r="AT166" i="1"/>
  <c r="AT147" i="1"/>
  <c r="AT125" i="1"/>
  <c r="AT114" i="1"/>
  <c r="AT160" i="1"/>
  <c r="AT80" i="1"/>
  <c r="AT58" i="1"/>
  <c r="AT28" i="1"/>
  <c r="AT161" i="1"/>
  <c r="AT121" i="1"/>
  <c r="AT10" i="1"/>
  <c r="AL67" i="1"/>
  <c r="AL43" i="1"/>
  <c r="AL30" i="1"/>
  <c r="AL3" i="1"/>
  <c r="AL21" i="1"/>
  <c r="AL166" i="1"/>
  <c r="AL147" i="1"/>
  <c r="AL125" i="1"/>
  <c r="AL114" i="1"/>
  <c r="AT95" i="1"/>
  <c r="AT71" i="1"/>
  <c r="AL78" i="1"/>
  <c r="AL154" i="1"/>
  <c r="AL149" i="1"/>
  <c r="AL124" i="1"/>
  <c r="AL69" i="1"/>
  <c r="AL57" i="1"/>
  <c r="M72" i="1"/>
  <c r="M33" i="1"/>
  <c r="M158" i="1"/>
  <c r="AL140" i="1"/>
  <c r="AL128" i="1"/>
  <c r="AL82" i="1"/>
  <c r="AL39" i="1"/>
  <c r="AL22" i="1"/>
  <c r="AL167" i="1"/>
  <c r="M17" i="1"/>
  <c r="M112" i="1"/>
  <c r="AL34" i="1"/>
  <c r="AL156" i="1"/>
  <c r="AL91" i="1"/>
  <c r="AL76" i="1"/>
  <c r="AL55" i="1"/>
  <c r="AL48" i="1"/>
  <c r="AL26" i="1"/>
  <c r="AL157" i="1"/>
  <c r="AL142" i="1"/>
  <c r="AL132" i="1"/>
  <c r="AL120" i="1"/>
  <c r="AL100" i="1"/>
  <c r="AH8" i="5" a="1"/>
  <c r="AH8" i="5"/>
  <c r="AH7" i="5" a="1"/>
  <c r="AH7" i="5"/>
  <c r="AH6" i="5" a="1"/>
  <c r="AH6" i="5"/>
  <c r="AH5" i="5" a="1"/>
  <c r="AH5" i="5"/>
  <c r="AH4" i="5" a="1"/>
  <c r="AH4" i="5"/>
  <c r="AH3" i="5" a="1"/>
  <c r="AH3" i="5"/>
  <c r="AT88" i="1"/>
  <c r="AT52" i="1"/>
  <c r="AT17" i="1"/>
  <c r="AT112" i="1"/>
  <c r="M73" i="1"/>
  <c r="M168" i="1"/>
  <c r="AL110" i="1"/>
  <c r="I30" i="8"/>
  <c r="G30" i="8"/>
  <c r="AL94" i="1"/>
  <c r="AL151" i="1"/>
  <c r="AL123" i="1"/>
  <c r="AL101" i="1"/>
  <c r="AT96" i="1"/>
  <c r="AT77" i="1"/>
  <c r="AT65" i="1"/>
  <c r="AT36" i="1"/>
  <c r="AT27" i="1"/>
  <c r="AT162" i="1"/>
  <c r="AT83" i="1"/>
  <c r="AT50" i="1"/>
  <c r="H5" i="9" a="1"/>
  <c r="H5" i="9"/>
  <c r="H4" i="9" a="1"/>
  <c r="H4" i="9"/>
  <c r="H3" i="9" a="1"/>
  <c r="H3" i="9"/>
  <c r="H20" i="9" a="1"/>
  <c r="H20" i="9"/>
  <c r="H16" i="9" a="1"/>
  <c r="H16" i="9"/>
  <c r="H15" i="9" a="1"/>
  <c r="H15" i="9"/>
  <c r="H13" i="9" a="1"/>
  <c r="H13" i="9"/>
  <c r="H11" i="9" a="1"/>
  <c r="H11" i="9"/>
  <c r="H10" i="9" a="1"/>
  <c r="H10" i="9"/>
  <c r="M148" i="1"/>
  <c r="M138" i="1"/>
  <c r="AL95" i="1"/>
  <c r="AL71" i="1"/>
  <c r="M80" i="1"/>
  <c r="M58" i="1"/>
  <c r="M28" i="1"/>
  <c r="M161" i="1"/>
  <c r="M121" i="1"/>
  <c r="M10" i="1"/>
  <c r="AL86" i="1"/>
  <c r="AL133" i="1"/>
  <c r="E11" i="1"/>
  <c r="E102" i="1"/>
  <c r="M115" i="1"/>
  <c r="M70" i="1"/>
  <c r="M45" i="1"/>
  <c r="M53" i="1"/>
  <c r="AT70" i="1"/>
  <c r="AL84" i="1"/>
  <c r="AL159" i="1"/>
  <c r="AT62" i="1"/>
  <c r="AL70" i="1"/>
  <c r="AL53" i="1"/>
  <c r="AT159" i="1"/>
  <c r="M62" i="1"/>
  <c r="AL62" i="1"/>
  <c r="AT45" i="1"/>
  <c r="AL45" i="1"/>
  <c r="AT84" i="1"/>
  <c r="M159" i="1"/>
  <c r="AT53" i="1"/>
  <c r="M84" i="1"/>
  <c r="M116" i="1"/>
  <c r="AL115" i="1"/>
  <c r="AL116" i="1"/>
  <c r="AT116" i="1"/>
  <c r="AT115" i="1"/>
  <c r="M78" i="1" l="1"/>
  <c r="M154" i="1"/>
  <c r="M149" i="1"/>
  <c r="M124" i="1"/>
  <c r="AL7" i="1"/>
  <c r="AL14" i="1"/>
  <c r="AL108" i="1"/>
  <c r="M98" i="1" l="1"/>
  <c r="M79" i="1"/>
  <c r="M5" i="1"/>
  <c r="M155" i="1"/>
  <c r="M118" i="1"/>
  <c r="AE34" i="1" l="1"/>
  <c r="AE156" i="1"/>
  <c r="V34" i="1" a="1"/>
  <c r="V34" i="1"/>
  <c r="V156" i="1" a="1"/>
  <c r="V156" i="1"/>
  <c r="X18" i="1" l="1" a="1"/>
  <c r="X18" i="1"/>
  <c r="L34" i="1" l="1"/>
  <c r="L156" i="1"/>
  <c r="AS34" i="1"/>
  <c r="AS156" i="1"/>
  <c r="AM34" i="1"/>
  <c r="AM156" i="1"/>
  <c r="AA34" i="1" a="1"/>
  <c r="AA34" i="1"/>
  <c r="AA156" i="1" a="1"/>
  <c r="AA156" i="1"/>
  <c r="K34" i="1"/>
  <c r="K156" i="1"/>
  <c r="AD34" i="1"/>
  <c r="AD156" i="1"/>
  <c r="AU34" i="1"/>
  <c r="AU156" i="1"/>
  <c r="AO34" i="1"/>
  <c r="AO156" i="1"/>
  <c r="E34" i="1"/>
  <c r="E156" i="1"/>
  <c r="X34" i="1" a="1"/>
  <c r="X34" i="1"/>
  <c r="X156" i="1" a="1"/>
  <c r="X156" i="1"/>
  <c r="AK34" i="1" a="1"/>
  <c r="AK34" i="1"/>
  <c r="AK156" i="1" a="1"/>
  <c r="AK156" i="1"/>
  <c r="Y34" i="1" a="1"/>
  <c r="Y34" i="1"/>
  <c r="Y156" i="1" a="1"/>
  <c r="Y156" i="1"/>
  <c r="N34" i="1"/>
  <c r="N156" i="1"/>
  <c r="F34" i="1"/>
  <c r="F156" i="1"/>
  <c r="Z34" i="1" a="1"/>
  <c r="Z34" i="1"/>
  <c r="Z156" i="1" a="1"/>
  <c r="Z156" i="1"/>
  <c r="W34" i="1" a="1"/>
  <c r="W34" i="1"/>
  <c r="W156" i="1" a="1"/>
  <c r="W156" i="1"/>
  <c r="W20" i="1" a="1"/>
  <c r="W20" i="1"/>
  <c r="H34" i="1"/>
  <c r="H156" i="1"/>
  <c r="AM35" i="1"/>
  <c r="AM24" i="1"/>
  <c r="AM153" i="1"/>
  <c r="AM64" i="1"/>
  <c r="Q20" i="1"/>
  <c r="AD160" i="1"/>
  <c r="H85" i="1"/>
  <c r="F130" i="1"/>
  <c r="F6" i="1"/>
  <c r="Q126" i="1"/>
  <c r="N148" i="1"/>
  <c r="N138" i="1"/>
  <c r="W148" i="1" a="1"/>
  <c r="W148" i="1"/>
  <c r="W138" i="1" a="1"/>
  <c r="W138" i="1"/>
  <c r="AD110" i="1"/>
  <c r="AD9" i="1"/>
  <c r="X64" i="1" a="1"/>
  <c r="X64" i="1"/>
  <c r="AM63" i="1"/>
  <c r="AE7" i="1"/>
  <c r="AE14" i="1"/>
  <c r="AE108" i="1"/>
  <c r="W130" i="1" a="1"/>
  <c r="W130" i="1"/>
  <c r="AA44" i="1" a="1"/>
  <c r="AA44" i="1"/>
  <c r="V6" i="1" a="1"/>
  <c r="V6" i="1"/>
  <c r="AA130" i="1" a="1"/>
  <c r="AA130" i="1"/>
  <c r="W110" i="1" a="1"/>
  <c r="W110" i="1"/>
  <c r="X9" i="1" a="1"/>
  <c r="X9" i="1"/>
  <c r="W6" i="1" a="1"/>
  <c r="W6" i="1"/>
  <c r="H20" i="1"/>
  <c r="AK90" i="1" a="1"/>
  <c r="AK90" i="1"/>
  <c r="V64" i="1" a="1"/>
  <c r="V64" i="1"/>
  <c r="AA63" i="1" a="1"/>
  <c r="AA63" i="1"/>
  <c r="V141" i="1" a="1"/>
  <c r="V141" i="1"/>
  <c r="V131" i="1" a="1"/>
  <c r="V131" i="1"/>
  <c r="N63" i="1"/>
  <c r="V126" i="1" a="1"/>
  <c r="V126" i="1"/>
  <c r="AE68" i="1"/>
  <c r="AE31" i="1"/>
  <c r="Y90" i="1" a="1"/>
  <c r="Y90" i="1"/>
  <c r="AS44" i="1"/>
  <c r="I32" i="1"/>
  <c r="AO32" i="1" s="1"/>
  <c r="AA141" i="1" a="1"/>
  <c r="AA141" i="1"/>
  <c r="AA131" i="1" a="1"/>
  <c r="AA131" i="1"/>
  <c r="L44" i="1"/>
  <c r="AA110" i="1" a="1"/>
  <c r="AA110" i="1"/>
  <c r="AD32" i="1"/>
  <c r="E44" i="1"/>
  <c r="V20" i="1" a="1"/>
  <c r="V20" i="1"/>
  <c r="AS18" i="1"/>
  <c r="AM15" i="1"/>
  <c r="AM109" i="1"/>
  <c r="W73" i="1" a="1"/>
  <c r="W73" i="1"/>
  <c r="W168" i="1" a="1"/>
  <c r="W168" i="1"/>
  <c r="Y20" i="1" a="1"/>
  <c r="Y20" i="1"/>
  <c r="Q7" i="1"/>
  <c r="Q14" i="1"/>
  <c r="Q108" i="1"/>
  <c r="K64" i="1"/>
  <c r="E15" i="1"/>
  <c r="E109" i="1"/>
  <c r="W9" i="1" a="1"/>
  <c r="W9" i="1"/>
  <c r="Z141" i="1" a="1"/>
  <c r="Z141" i="1"/>
  <c r="Z131" i="1" a="1"/>
  <c r="Z131" i="1"/>
  <c r="Z87" i="1" a="1"/>
  <c r="Z87" i="1"/>
  <c r="AD90" i="1"/>
  <c r="Z12" i="1" a="1"/>
  <c r="Z12" i="1"/>
  <c r="X139" i="1" a="1"/>
  <c r="X139" i="1"/>
  <c r="X129" i="1" a="1"/>
  <c r="X129" i="1"/>
  <c r="AK20" i="1" a="1"/>
  <c r="AK20" i="1"/>
  <c r="AK105" i="1" a="1"/>
  <c r="AK105" i="1"/>
  <c r="AA160" i="1" a="1"/>
  <c r="AA160" i="1"/>
  <c r="AD130" i="1"/>
  <c r="AD72" i="1"/>
  <c r="AD33" i="1"/>
  <c r="AD158" i="1"/>
  <c r="H80" i="1"/>
  <c r="H58" i="1"/>
  <c r="H28" i="1"/>
  <c r="H161" i="1"/>
  <c r="H121" i="1"/>
  <c r="H10" i="1"/>
  <c r="AM44" i="1"/>
  <c r="AD126" i="1"/>
  <c r="E139" i="1"/>
  <c r="E129" i="1"/>
  <c r="L139" i="1"/>
  <c r="L129" i="1"/>
  <c r="AS139" i="1"/>
  <c r="AS129" i="1"/>
  <c r="AA47" i="1" a="1"/>
  <c r="AA47" i="1"/>
  <c r="Q73" i="1"/>
  <c r="Q168" i="1"/>
  <c r="AM130" i="1"/>
  <c r="K90" i="1"/>
  <c r="AU64" i="1"/>
  <c r="AE20" i="1"/>
  <c r="AD63" i="1"/>
  <c r="V92" i="1" a="1"/>
  <c r="V92" i="1"/>
  <c r="Q35" i="1"/>
  <c r="Q24" i="1"/>
  <c r="Q153" i="1"/>
  <c r="Y6" i="1" a="1"/>
  <c r="Y6" i="1"/>
  <c r="AU93" i="1"/>
  <c r="I126" i="1"/>
  <c r="AO126" i="1" s="1"/>
  <c r="V63" i="1" a="1"/>
  <c r="V63" i="1"/>
  <c r="AE126" i="1"/>
  <c r="I90" i="1"/>
  <c r="AO90" i="1" s="1"/>
  <c r="N32" i="1"/>
  <c r="AK6" i="1" a="1"/>
  <c r="AK6" i="1"/>
  <c r="F72" i="1"/>
  <c r="F33" i="1"/>
  <c r="F158" i="1"/>
  <c r="V105" i="1" a="1"/>
  <c r="V105" i="1"/>
  <c r="I160" i="1"/>
  <c r="AO160" i="1" s="1"/>
  <c r="K35" i="1"/>
  <c r="K24" i="1"/>
  <c r="K153" i="1"/>
  <c r="AE130" i="1"/>
  <c r="AA35" i="1" a="1"/>
  <c r="AA35" i="1"/>
  <c r="AA24" i="1" a="1"/>
  <c r="AA24" i="1"/>
  <c r="AA153" i="1" a="1"/>
  <c r="AA153" i="1"/>
  <c r="AE6" i="1"/>
  <c r="K87" i="1"/>
  <c r="X87" i="1" a="1"/>
  <c r="X87" i="1"/>
  <c r="Z9" i="1" a="1"/>
  <c r="Z9" i="1"/>
  <c r="AK63" i="1" a="1"/>
  <c r="AK63" i="1"/>
  <c r="Z139" i="1" a="1"/>
  <c r="Z139" i="1"/>
  <c r="Z129" i="1" a="1"/>
  <c r="Z129" i="1"/>
  <c r="Q90" i="1"/>
  <c r="H90" i="1"/>
  <c r="H160" i="1"/>
  <c r="K17" i="1"/>
  <c r="K112" i="1"/>
  <c r="AD6" i="1"/>
  <c r="E64" i="1"/>
  <c r="K9" i="1"/>
  <c r="X72" i="1" a="1"/>
  <c r="X72" i="1"/>
  <c r="X33" i="1" a="1"/>
  <c r="X33" i="1"/>
  <c r="X158" i="1" a="1"/>
  <c r="X158" i="1"/>
  <c r="AU148" i="1"/>
  <c r="AU138" i="1"/>
  <c r="AU35" i="1"/>
  <c r="AU24" i="1"/>
  <c r="AU153" i="1"/>
  <c r="W126" i="1" a="1"/>
  <c r="W126" i="1"/>
  <c r="AS72" i="1"/>
  <c r="AS33" i="1"/>
  <c r="AS158" i="1"/>
  <c r="Y63" i="1" a="1"/>
  <c r="Y63" i="1"/>
  <c r="V32" i="1" a="1"/>
  <c r="V32" i="1"/>
  <c r="AM160" i="1"/>
  <c r="AE148" i="1"/>
  <c r="AE138" i="1"/>
  <c r="E130" i="1"/>
  <c r="AU126" i="1"/>
  <c r="AM93" i="1"/>
  <c r="F32" i="1"/>
  <c r="AK110" i="1" a="1"/>
  <c r="AK110" i="1"/>
  <c r="AS68" i="1"/>
  <c r="AS31" i="1"/>
  <c r="V17" i="1" a="1"/>
  <c r="V17" i="1"/>
  <c r="V112" i="1" a="1"/>
  <c r="V112" i="1"/>
  <c r="Y160" i="1" a="1"/>
  <c r="Y160" i="1"/>
  <c r="N141" i="1"/>
  <c r="N131" i="1"/>
  <c r="Q69" i="1"/>
  <c r="Q57" i="1"/>
  <c r="AK139" i="1" a="1"/>
  <c r="AK139" i="1"/>
  <c r="AK129" i="1" a="1"/>
  <c r="AK129" i="1"/>
  <c r="Q44" i="1"/>
  <c r="H64" i="1"/>
  <c r="AD87" i="1"/>
  <c r="X13" i="1" a="1"/>
  <c r="X13" i="1"/>
  <c r="Y148" i="1" a="1"/>
  <c r="Y148" i="1"/>
  <c r="Y138" i="1" a="1"/>
  <c r="Y138" i="1"/>
  <c r="W160" i="1" a="1"/>
  <c r="W160" i="1"/>
  <c r="Y9" i="1" a="1"/>
  <c r="Y9" i="1"/>
  <c r="N139" i="1"/>
  <c r="N129" i="1"/>
  <c r="AU160" i="1"/>
  <c r="AU6" i="1"/>
  <c r="H32" i="1"/>
  <c r="I44" i="1"/>
  <c r="AO44" i="1" s="1"/>
  <c r="AD20" i="1"/>
  <c r="X15" i="1" a="1"/>
  <c r="X15" i="1"/>
  <c r="X109" i="1" a="1"/>
  <c r="X109" i="1"/>
  <c r="AU9" i="1"/>
  <c r="AU15" i="1"/>
  <c r="AU109" i="1"/>
  <c r="F17" i="1"/>
  <c r="F112" i="1"/>
  <c r="X85" i="1" a="1"/>
  <c r="X85" i="1"/>
  <c r="F160" i="1"/>
  <c r="Y7" i="1" a="1"/>
  <c r="Y7" i="1"/>
  <c r="Y14" i="1" a="1"/>
  <c r="Y14" i="1"/>
  <c r="Y108" i="1" a="1"/>
  <c r="Y108" i="1"/>
  <c r="Y126" i="1" a="1"/>
  <c r="Y126" i="1"/>
  <c r="I148" i="1"/>
  <c r="AO148" i="1" s="1"/>
  <c r="I138" i="1"/>
  <c r="AO138" i="1" s="1"/>
  <c r="Y64" i="1" a="1"/>
  <c r="Y64" i="1"/>
  <c r="W35" i="1" a="1"/>
  <c r="W35" i="1"/>
  <c r="W24" i="1" a="1"/>
  <c r="W24" i="1"/>
  <c r="W153" i="1" a="1"/>
  <c r="W153" i="1"/>
  <c r="Q32" i="1"/>
  <c r="Q139" i="1"/>
  <c r="Q129" i="1"/>
  <c r="AM126" i="1"/>
  <c r="AE80" i="1"/>
  <c r="AE58" i="1"/>
  <c r="AE28" i="1"/>
  <c r="AE161" i="1"/>
  <c r="AE121" i="1"/>
  <c r="AE10" i="1"/>
  <c r="AA18" i="1" a="1"/>
  <c r="AA18" i="1"/>
  <c r="K15" i="1"/>
  <c r="K109" i="1"/>
  <c r="F141" i="1"/>
  <c r="F131" i="1"/>
  <c r="X63" i="1" a="1"/>
  <c r="X63" i="1"/>
  <c r="Q130" i="1"/>
  <c r="AU90" i="1"/>
  <c r="L90" i="1"/>
  <c r="AS90" i="1"/>
  <c r="AA20" i="1" a="1"/>
  <c r="AA20" i="1"/>
  <c r="K139" i="1"/>
  <c r="K129" i="1"/>
  <c r="AM148" i="1"/>
  <c r="AM138" i="1"/>
  <c r="F47" i="1"/>
  <c r="AE63" i="1"/>
  <c r="L72" i="1"/>
  <c r="L33" i="1"/>
  <c r="L158" i="1"/>
  <c r="Z17" i="1" a="1"/>
  <c r="Z17" i="1"/>
  <c r="Z112" i="1" a="1"/>
  <c r="Z112" i="1"/>
  <c r="AE160" i="1"/>
  <c r="Y84" i="1" a="1"/>
  <c r="Y84" i="1"/>
  <c r="Y70" i="1" a="1"/>
  <c r="Y70" i="1"/>
  <c r="Y159" i="1" a="1"/>
  <c r="Y159" i="1"/>
  <c r="Y116" i="1" a="1"/>
  <c r="Y116" i="1"/>
  <c r="I130" i="1"/>
  <c r="AO130" i="1" s="1"/>
  <c r="AA6" i="1" a="1"/>
  <c r="AA6" i="1"/>
  <c r="AE94" i="1"/>
  <c r="AE151" i="1"/>
  <c r="AE123" i="1"/>
  <c r="AE101" i="1"/>
  <c r="AA15" i="1" a="1"/>
  <c r="AA15" i="1"/>
  <c r="AA109" i="1" a="1"/>
  <c r="AA109" i="1"/>
  <c r="F63" i="1"/>
  <c r="V160" i="1" a="1"/>
  <c r="V160" i="1"/>
  <c r="AM7" i="1"/>
  <c r="AM14" i="1"/>
  <c r="AM108" i="1"/>
  <c r="AA139" i="1" a="1"/>
  <c r="AA139" i="1"/>
  <c r="AA129" i="1" a="1"/>
  <c r="AA129" i="1"/>
  <c r="X90" i="1" a="1"/>
  <c r="X90" i="1"/>
  <c r="I80" i="1"/>
  <c r="AO80" i="1" s="1"/>
  <c r="I58" i="1"/>
  <c r="AO58" i="1" s="1"/>
  <c r="I28" i="1"/>
  <c r="AO28" i="1" s="1"/>
  <c r="I161" i="1"/>
  <c r="AO161" i="1" s="1"/>
  <c r="I121" i="1"/>
  <c r="AO121" i="1" s="1"/>
  <c r="I10" i="1"/>
  <c r="AO10" i="1" s="1"/>
  <c r="H141" i="1"/>
  <c r="H131" i="1"/>
  <c r="H18" i="1"/>
  <c r="AD141" i="1"/>
  <c r="AD131" i="1"/>
  <c r="H9" i="1"/>
  <c r="F20" i="1"/>
  <c r="AK141" i="1" a="1"/>
  <c r="AK141" i="1"/>
  <c r="AK131" i="1" a="1"/>
  <c r="AK131" i="1"/>
  <c r="Z72" i="1" a="1"/>
  <c r="Z72" i="1"/>
  <c r="Z33" i="1" a="1"/>
  <c r="Z33" i="1"/>
  <c r="Z158" i="1" a="1"/>
  <c r="Z158" i="1"/>
  <c r="F90" i="1"/>
  <c r="AO64" i="1"/>
  <c r="Z160" i="1" a="1"/>
  <c r="Z160" i="1"/>
  <c r="K73" i="1"/>
  <c r="K168" i="1"/>
  <c r="AS126" i="1"/>
  <c r="Z92" i="1" a="1"/>
  <c r="Z92" i="1"/>
  <c r="L126" i="1"/>
  <c r="X44" i="1" a="1"/>
  <c r="X44" i="1"/>
  <c r="X141" i="1" a="1"/>
  <c r="X141" i="1"/>
  <c r="X131" i="1" a="1"/>
  <c r="X131" i="1"/>
  <c r="N9" i="1"/>
  <c r="K141" i="1"/>
  <c r="K131" i="1"/>
  <c r="H7" i="1"/>
  <c r="H14" i="1"/>
  <c r="H108" i="1"/>
  <c r="K110" i="1"/>
  <c r="F64" i="1"/>
  <c r="E63" i="1"/>
  <c r="Q72" i="1"/>
  <c r="Q33" i="1"/>
  <c r="Q158" i="1"/>
  <c r="W15" i="1" a="1"/>
  <c r="W15" i="1"/>
  <c r="W109" i="1" a="1"/>
  <c r="W109" i="1"/>
  <c r="X32" i="1" a="1"/>
  <c r="X32" i="1"/>
  <c r="W64" i="1" a="1"/>
  <c r="W64" i="1"/>
  <c r="AE64" i="1"/>
  <c r="AA54" i="1" a="1"/>
  <c r="AA54" i="1"/>
  <c r="AK73" i="1" a="1"/>
  <c r="AK73" i="1"/>
  <c r="AK168" i="1" a="1"/>
  <c r="AK168" i="1"/>
  <c r="I6" i="1"/>
  <c r="AO6" i="1" s="1"/>
  <c r="I9" i="1"/>
  <c r="AO9" i="1" s="1"/>
  <c r="Q148" i="1"/>
  <c r="Q138" i="1"/>
  <c r="N126" i="1"/>
  <c r="E87" i="1"/>
  <c r="AS130" i="1"/>
  <c r="AK44" i="1" a="1"/>
  <c r="AK44" i="1"/>
  <c r="H6" i="1"/>
  <c r="X66" i="1" a="1"/>
  <c r="X66" i="1"/>
  <c r="X49" i="1" a="1"/>
  <c r="X49" i="1"/>
  <c r="X42" i="1" a="1"/>
  <c r="X42" i="1"/>
  <c r="V148" i="1" a="1"/>
  <c r="V148" i="1"/>
  <c r="V138" i="1" a="1"/>
  <c r="V138" i="1"/>
  <c r="AK32" i="1" a="1"/>
  <c r="AK32" i="1"/>
  <c r="X148" i="1" a="1"/>
  <c r="X148" i="1"/>
  <c r="X138" i="1" a="1"/>
  <c r="X138" i="1"/>
  <c r="Z73" i="1" a="1"/>
  <c r="Z73" i="1"/>
  <c r="Z168" i="1" a="1"/>
  <c r="Z168" i="1"/>
  <c r="E32" i="1"/>
  <c r="AE35" i="1"/>
  <c r="AE24" i="1"/>
  <c r="AE153" i="1"/>
  <c r="Y87" i="1" a="1"/>
  <c r="Y87" i="1"/>
  <c r="AA103" i="1" a="1"/>
  <c r="AA103" i="1"/>
  <c r="V72" i="1" a="1"/>
  <c r="V72" i="1"/>
  <c r="V33" i="1" a="1"/>
  <c r="V33" i="1"/>
  <c r="V158" i="1" a="1"/>
  <c r="V158" i="1"/>
  <c r="AK87" i="1" a="1"/>
  <c r="AK87" i="1"/>
  <c r="W87" i="1" a="1"/>
  <c r="W87" i="1"/>
  <c r="H87" i="1"/>
  <c r="W63" i="1" a="1"/>
  <c r="W63" i="1"/>
  <c r="K63" i="1"/>
  <c r="AE87" i="1"/>
  <c r="AO63" i="1"/>
  <c r="W139" i="1" a="1"/>
  <c r="W139" i="1"/>
  <c r="W129" i="1" a="1"/>
  <c r="W129" i="1"/>
  <c r="AE47" i="1"/>
  <c r="F15" i="1"/>
  <c r="F109" i="1"/>
  <c r="AD44" i="1"/>
  <c r="N68" i="1"/>
  <c r="N31" i="1"/>
  <c r="AU87" i="1"/>
  <c r="H126" i="1"/>
  <c r="H63" i="1"/>
  <c r="AM92" i="1"/>
  <c r="V130" i="1" a="1"/>
  <c r="V130" i="1"/>
  <c r="Z90" i="1" a="1"/>
  <c r="Z90" i="1"/>
  <c r="Y32" i="1" a="1"/>
  <c r="Y32" i="1"/>
  <c r="AU32" i="1"/>
  <c r="N92" i="1"/>
  <c r="AE141" i="1"/>
  <c r="AE131" i="1"/>
  <c r="AK47" i="1" a="1"/>
  <c r="AK47" i="1"/>
  <c r="Y141" i="1" a="1"/>
  <c r="Y141" i="1"/>
  <c r="Y131" i="1" a="1"/>
  <c r="Y131" i="1"/>
  <c r="AD35" i="1"/>
  <c r="AD24" i="1"/>
  <c r="AD153" i="1"/>
  <c r="Z63" i="1" a="1"/>
  <c r="Z63" i="1"/>
  <c r="AS141" i="1"/>
  <c r="AS131" i="1"/>
  <c r="AK148" i="1" a="1"/>
  <c r="AK148" i="1"/>
  <c r="AK138" i="1" a="1"/>
  <c r="AK138" i="1"/>
  <c r="Y15" i="1" a="1"/>
  <c r="Y15" i="1"/>
  <c r="Y109" i="1" a="1"/>
  <c r="Y109" i="1"/>
  <c r="Q160" i="1"/>
  <c r="E90" i="1"/>
  <c r="AO139" i="1"/>
  <c r="AO129" i="1"/>
  <c r="Q6" i="1"/>
  <c r="X105" i="1" a="1"/>
  <c r="X105" i="1"/>
  <c r="X126" i="1" a="1"/>
  <c r="X126" i="1"/>
  <c r="F35" i="1"/>
  <c r="F24" i="1"/>
  <c r="F153" i="1"/>
  <c r="N20" i="1"/>
  <c r="K130" i="1"/>
  <c r="AU63" i="1"/>
  <c r="X20" i="1" a="1"/>
  <c r="X20" i="1"/>
  <c r="I17" i="1"/>
  <c r="AO17" i="1" s="1"/>
  <c r="I112" i="1"/>
  <c r="AO112" i="1" s="1"/>
  <c r="AK17" i="1" a="1"/>
  <c r="AK17" i="1"/>
  <c r="AK112" i="1" a="1"/>
  <c r="AK112" i="1"/>
  <c r="Z18" i="1" a="1"/>
  <c r="Z18" i="1"/>
  <c r="Z35" i="1" a="1"/>
  <c r="Z35" i="1"/>
  <c r="Z24" i="1" a="1"/>
  <c r="Z24" i="1"/>
  <c r="Z153" i="1" a="1"/>
  <c r="Z153" i="1"/>
  <c r="AS160" i="1"/>
  <c r="N90" i="1"/>
  <c r="AU66" i="1"/>
  <c r="AU49" i="1"/>
  <c r="AU42" i="1"/>
  <c r="K20" i="1"/>
  <c r="E160" i="1"/>
  <c r="N160" i="1"/>
  <c r="V87" i="1" a="1"/>
  <c r="V87" i="1"/>
  <c r="W17" i="1" a="1"/>
  <c r="W17" i="1"/>
  <c r="W112" i="1" a="1"/>
  <c r="W112" i="1"/>
  <c r="AE139" i="1"/>
  <c r="AE129" i="1"/>
  <c r="AA7" i="1" a="1"/>
  <c r="AA7" i="1"/>
  <c r="AA14" i="1" a="1"/>
  <c r="AA14" i="1"/>
  <c r="AA108" i="1" a="1"/>
  <c r="AA108" i="1"/>
  <c r="V103" i="1" a="1"/>
  <c r="V103" i="1"/>
  <c r="L160" i="1"/>
  <c r="K160" i="1"/>
  <c r="X92" i="1" a="1"/>
  <c r="X92" i="1"/>
  <c r="F87" i="1"/>
  <c r="Z20" i="1" a="1"/>
  <c r="Z20" i="1"/>
  <c r="AS87" i="1"/>
  <c r="Z54" i="1" a="1"/>
  <c r="Z54" i="1"/>
  <c r="AD139" i="1"/>
  <c r="AD129" i="1"/>
  <c r="H35" i="1"/>
  <c r="H24" i="1"/>
  <c r="H153" i="1"/>
  <c r="W83" i="1" a="1"/>
  <c r="W83" i="1"/>
  <c r="W50" i="1" a="1"/>
  <c r="W50" i="1"/>
  <c r="AS63" i="1"/>
  <c r="V9" i="1" a="1"/>
  <c r="V9" i="1"/>
  <c r="AU139" i="1"/>
  <c r="AU129" i="1"/>
  <c r="E110" i="1"/>
  <c r="K6" i="1"/>
  <c r="E9" i="1"/>
  <c r="X6" i="1" a="1"/>
  <c r="X6" i="1"/>
  <c r="AU47" i="1"/>
  <c r="AS32" i="1"/>
  <c r="Y80" i="1" a="1"/>
  <c r="Y80" i="1"/>
  <c r="Y58" i="1" a="1"/>
  <c r="Y58" i="1"/>
  <c r="Y28" i="1" a="1"/>
  <c r="Y28" i="1"/>
  <c r="Y161" i="1" a="1"/>
  <c r="Y161" i="1"/>
  <c r="Y121" i="1" a="1"/>
  <c r="Y121" i="1"/>
  <c r="Y10" i="1" a="1"/>
  <c r="Y10" i="1"/>
  <c r="L32" i="1"/>
  <c r="I110" i="1"/>
  <c r="AO110" i="1" s="1"/>
  <c r="AK160" i="1" a="1"/>
  <c r="AK160" i="1"/>
  <c r="Y35" i="1" a="1"/>
  <c r="Y35" i="1"/>
  <c r="Y24" i="1" a="1"/>
  <c r="Y24" i="1"/>
  <c r="Y153" i="1" a="1"/>
  <c r="Y153" i="1"/>
  <c r="K126" i="1"/>
  <c r="Q9" i="1"/>
  <c r="Z130" i="1" a="1"/>
  <c r="Z130" i="1"/>
  <c r="Q94" i="1"/>
  <c r="Q151" i="1"/>
  <c r="Q123" i="1"/>
  <c r="Q101" i="1"/>
  <c r="L141" i="1"/>
  <c r="L131" i="1"/>
  <c r="I7" i="1"/>
  <c r="AO7" i="1" s="1"/>
  <c r="I14" i="1"/>
  <c r="AO14" i="1" s="1"/>
  <c r="I108" i="1"/>
  <c r="AO108" i="1" s="1"/>
  <c r="AM20" i="1"/>
  <c r="W7" i="1" a="1"/>
  <c r="W7" i="1"/>
  <c r="W14" i="1" a="1"/>
  <c r="W14" i="1"/>
  <c r="W108" i="1" a="1"/>
  <c r="W108" i="1"/>
  <c r="AA80" i="1" a="1"/>
  <c r="AA80" i="1"/>
  <c r="AA58" i="1" a="1"/>
  <c r="AA58" i="1"/>
  <c r="AA28" i="1" a="1"/>
  <c r="AA28" i="1"/>
  <c r="AA161" i="1" a="1"/>
  <c r="AA161" i="1"/>
  <c r="AA121" i="1" a="1"/>
  <c r="AA121" i="1"/>
  <c r="AA10" i="1" a="1"/>
  <c r="AA10" i="1"/>
  <c r="Z85" i="1" a="1"/>
  <c r="Z85" i="1"/>
  <c r="L63" i="1"/>
  <c r="V35" i="1" a="1"/>
  <c r="V35" i="1"/>
  <c r="V24" i="1" a="1"/>
  <c r="V24" i="1"/>
  <c r="V153" i="1" a="1"/>
  <c r="V153" i="1"/>
  <c r="AM139" i="1"/>
  <c r="AM129" i="1"/>
  <c r="L9" i="1"/>
  <c r="AS9" i="1"/>
  <c r="AK130" i="1" a="1"/>
  <c r="AK130" i="1"/>
  <c r="E20" i="1"/>
  <c r="V44" i="1" a="1"/>
  <c r="V44" i="1"/>
  <c r="AA72" i="1" a="1"/>
  <c r="AA72" i="1"/>
  <c r="AA33" i="1" a="1"/>
  <c r="AA33" i="1"/>
  <c r="AA158" i="1" a="1"/>
  <c r="AA158" i="1"/>
  <c r="F139" i="1"/>
  <c r="F129" i="1"/>
  <c r="AM90" i="1"/>
  <c r="W80" i="1" a="1"/>
  <c r="W80" i="1"/>
  <c r="W58" i="1" a="1"/>
  <c r="W58" i="1"/>
  <c r="W28" i="1" a="1"/>
  <c r="W28" i="1"/>
  <c r="W161" i="1" a="1"/>
  <c r="W161" i="1"/>
  <c r="W121" i="1" a="1"/>
  <c r="W121" i="1"/>
  <c r="W10" i="1" a="1"/>
  <c r="W10" i="1"/>
  <c r="AS64" i="1"/>
  <c r="AA9" i="1" a="1"/>
  <c r="AA9" i="1"/>
  <c r="E35" i="1"/>
  <c r="E24" i="1"/>
  <c r="E153" i="1"/>
  <c r="AU130" i="1"/>
  <c r="Q63" i="1"/>
  <c r="Y139" i="1" a="1"/>
  <c r="Y139" i="1"/>
  <c r="Y129" i="1" a="1"/>
  <c r="Y129" i="1"/>
  <c r="F7" i="1"/>
  <c r="F14" i="1"/>
  <c r="F108" i="1"/>
  <c r="AK64" i="1" a="1"/>
  <c r="AK64" i="1"/>
  <c r="I20" i="1"/>
  <c r="AO20" i="1" s="1"/>
  <c r="E7" i="1"/>
  <c r="E14" i="1"/>
  <c r="E108" i="1"/>
  <c r="AD7" i="1"/>
  <c r="AD14" i="1"/>
  <c r="AD108" i="1"/>
  <c r="N64" i="1"/>
  <c r="AA126" i="1" a="1"/>
  <c r="AA126" i="1"/>
  <c r="Y18" i="1" a="1"/>
  <c r="Y18" i="1"/>
  <c r="AK35" i="1" a="1"/>
  <c r="AK35" i="1"/>
  <c r="AK24" i="1" a="1"/>
  <c r="AK24" i="1"/>
  <c r="AK153" i="1" a="1"/>
  <c r="AK153" i="1"/>
  <c r="K72" i="1"/>
  <c r="K33" i="1"/>
  <c r="K158" i="1"/>
  <c r="K32" i="1"/>
  <c r="AS35" i="1"/>
  <c r="AS24" i="1"/>
  <c r="AS153" i="1"/>
  <c r="Q80" i="1"/>
  <c r="Q58" i="1"/>
  <c r="Q28" i="1"/>
  <c r="Q161" i="1"/>
  <c r="Q121" i="1"/>
  <c r="Q10" i="1"/>
  <c r="AO141" i="1"/>
  <c r="AO131" i="1"/>
  <c r="X93" i="1" a="1"/>
  <c r="X93" i="1"/>
  <c r="V110" i="1" a="1"/>
  <c r="V110" i="1"/>
  <c r="N130" i="1"/>
  <c r="V139" i="1" a="1"/>
  <c r="V139" i="1"/>
  <c r="V129" i="1" a="1"/>
  <c r="V129" i="1"/>
  <c r="L64" i="1"/>
  <c r="E141" i="1"/>
  <c r="E131" i="1"/>
  <c r="AE90" i="1"/>
  <c r="X35" i="1" a="1"/>
  <c r="X35" i="1"/>
  <c r="X24" i="1" a="1"/>
  <c r="X24" i="1"/>
  <c r="X153" i="1" a="1"/>
  <c r="X153" i="1"/>
  <c r="H15" i="1"/>
  <c r="H109" i="1"/>
  <c r="AE8" i="1"/>
  <c r="AE106" i="1"/>
  <c r="E17" i="1"/>
  <c r="E112" i="1"/>
  <c r="I73" i="1"/>
  <c r="AO73" i="1" s="1"/>
  <c r="I168" i="1"/>
  <c r="AO168" i="1" s="1"/>
  <c r="Q141" i="1"/>
  <c r="Q131" i="1"/>
  <c r="N87" i="1"/>
  <c r="Z44" i="1" a="1"/>
  <c r="Z44" i="1"/>
  <c r="AM9" i="1"/>
  <c r="L17" i="1"/>
  <c r="L112" i="1"/>
  <c r="AS17" i="1"/>
  <c r="AS112" i="1"/>
  <c r="Q68" i="1"/>
  <c r="Q31" i="1"/>
  <c r="Y130" i="1" a="1"/>
  <c r="Y130" i="1"/>
  <c r="X130" i="1" a="1"/>
  <c r="X130" i="1"/>
  <c r="AM6" i="1"/>
  <c r="Y8" i="1" a="1"/>
  <c r="Y8" i="1"/>
  <c r="Y106" i="1" a="1"/>
  <c r="Y106" i="1"/>
  <c r="L35" i="1"/>
  <c r="L24" i="1"/>
  <c r="L153" i="1"/>
  <c r="AM73" i="1"/>
  <c r="AM168" i="1"/>
  <c r="F94" i="1"/>
  <c r="F151" i="1"/>
  <c r="F123" i="1"/>
  <c r="F101" i="1"/>
  <c r="W19" i="1" a="1"/>
  <c r="W19" i="1"/>
  <c r="AD51" i="1"/>
  <c r="V83" i="1" a="1"/>
  <c r="V83" i="1"/>
  <c r="V50" i="1" a="1"/>
  <c r="V50" i="1"/>
  <c r="Q66" i="1"/>
  <c r="Q49" i="1"/>
  <c r="Q42" i="1"/>
  <c r="AU20" i="1"/>
  <c r="X68" i="1" a="1"/>
  <c r="X68" i="1"/>
  <c r="X31" i="1" a="1"/>
  <c r="X31" i="1"/>
  <c r="AD18" i="1"/>
  <c r="Y44" i="1" a="1"/>
  <c r="Y44" i="1"/>
  <c r="AD64" i="1"/>
  <c r="AU17" i="1"/>
  <c r="AU112" i="1"/>
  <c r="W143" i="1" a="1"/>
  <c r="W143" i="1"/>
  <c r="W127" i="1" a="1"/>
  <c r="W127" i="1"/>
  <c r="W90" i="1" a="1"/>
  <c r="W90" i="1"/>
  <c r="E148" i="1"/>
  <c r="E138" i="1"/>
  <c r="F18" i="1"/>
  <c r="H130" i="1"/>
  <c r="V8" i="1" a="1"/>
  <c r="V8" i="1"/>
  <c r="V106" i="1" a="1"/>
  <c r="V106" i="1"/>
  <c r="I56" i="1"/>
  <c r="AO56" i="1" s="1"/>
  <c r="AD17" i="1"/>
  <c r="AD112" i="1"/>
  <c r="AS150" i="1"/>
  <c r="AS122" i="1"/>
  <c r="AM68" i="1"/>
  <c r="AM31" i="1"/>
  <c r="AD54" i="1"/>
  <c r="I69" i="1"/>
  <c r="AO69" i="1" s="1"/>
  <c r="I57" i="1"/>
  <c r="AO57" i="1" s="1"/>
  <c r="L150" i="1"/>
  <c r="L122" i="1"/>
  <c r="F44" i="1"/>
  <c r="W54" i="1" a="1"/>
  <c r="W54" i="1"/>
  <c r="Y56" i="1" a="1"/>
  <c r="Y56" i="1"/>
  <c r="I143" i="1"/>
  <c r="AO143" i="1" s="1"/>
  <c r="I127" i="1"/>
  <c r="AO127" i="1" s="1"/>
  <c r="AU52" i="1"/>
  <c r="AA92" i="1" a="1"/>
  <c r="AA92" i="1"/>
  <c r="AK85" i="1" a="1"/>
  <c r="AK85" i="1"/>
  <c r="I93" i="1"/>
  <c r="AO93" i="1" s="1"/>
  <c r="X103" i="1" a="1"/>
  <c r="X103" i="1"/>
  <c r="F105" i="1"/>
  <c r="K143" i="1"/>
  <c r="K127" i="1"/>
  <c r="AA46" i="1" a="1"/>
  <c r="AA46" i="1"/>
  <c r="AE46" i="1"/>
  <c r="AE144" i="1"/>
  <c r="AE134" i="1"/>
  <c r="K54" i="1"/>
  <c r="V143" i="1" a="1"/>
  <c r="V143" i="1"/>
  <c r="V127" i="1" a="1"/>
  <c r="V127" i="1"/>
  <c r="H105" i="1"/>
  <c r="K85" i="1"/>
  <c r="AD92" i="1"/>
  <c r="Y110" i="1" a="1"/>
  <c r="Y110" i="1"/>
  <c r="F52" i="1"/>
  <c r="AK8" i="1" a="1"/>
  <c r="AK8" i="1"/>
  <c r="AK106" i="1" a="1"/>
  <c r="AK106" i="1"/>
  <c r="I82" i="1"/>
  <c r="AO82" i="1" s="1"/>
  <c r="I39" i="1"/>
  <c r="AO39" i="1" s="1"/>
  <c r="I22" i="1"/>
  <c r="AO22" i="1" s="1"/>
  <c r="I167" i="1"/>
  <c r="AO167" i="1" s="1"/>
  <c r="I72" i="1"/>
  <c r="AO72" i="1" s="1"/>
  <c r="I33" i="1"/>
  <c r="AO33" i="1" s="1"/>
  <c r="I158" i="1"/>
  <c r="AO158" i="1" s="1"/>
  <c r="Y107" i="1" a="1"/>
  <c r="Y107" i="1"/>
  <c r="F148" i="1"/>
  <c r="F138" i="1"/>
  <c r="AA78" i="1" a="1"/>
  <c r="AA78" i="1"/>
  <c r="AA154" i="1" a="1"/>
  <c r="AA154" i="1"/>
  <c r="AA149" i="1" a="1"/>
  <c r="AA149" i="1"/>
  <c r="AA124" i="1" a="1"/>
  <c r="AA124" i="1"/>
  <c r="H86" i="1"/>
  <c r="H133" i="1"/>
  <c r="W44" i="1" a="1"/>
  <c r="W44" i="1"/>
  <c r="N98" i="1"/>
  <c r="N79" i="1"/>
  <c r="N5" i="1"/>
  <c r="N155" i="1"/>
  <c r="N118" i="1"/>
  <c r="K92" i="1"/>
  <c r="AK93" i="1" a="1"/>
  <c r="AK93" i="1"/>
  <c r="X52" i="1" a="1"/>
  <c r="X52" i="1"/>
  <c r="Z96" i="1" a="1"/>
  <c r="Z96" i="1"/>
  <c r="Z77" i="1" a="1"/>
  <c r="Z77" i="1"/>
  <c r="Z65" i="1" a="1"/>
  <c r="Z65" i="1"/>
  <c r="Z36" i="1" a="1"/>
  <c r="Z36" i="1"/>
  <c r="Z27" i="1" a="1"/>
  <c r="Z27" i="1"/>
  <c r="Z162" i="1" a="1"/>
  <c r="Z162" i="1"/>
  <c r="Z68" i="1" a="1"/>
  <c r="Z68" i="1"/>
  <c r="Z31" i="1" a="1"/>
  <c r="Z31" i="1"/>
  <c r="V90" i="1" a="1"/>
  <c r="V90" i="1"/>
  <c r="F88" i="1"/>
  <c r="W47" i="1" a="1"/>
  <c r="W47" i="1"/>
  <c r="Z8" i="1" a="1"/>
  <c r="Z8" i="1"/>
  <c r="Z106" i="1" a="1"/>
  <c r="Z106" i="1"/>
  <c r="AM72" i="1"/>
  <c r="AM33" i="1"/>
  <c r="AM158" i="1"/>
  <c r="X47" i="1" a="1"/>
  <c r="X47" i="1"/>
  <c r="Q15" i="1"/>
  <c r="Q109" i="1"/>
  <c r="AM110" i="1"/>
  <c r="E92" i="1"/>
  <c r="V94" i="1" a="1"/>
  <c r="V94" i="1"/>
  <c r="V151" i="1" a="1"/>
  <c r="V151" i="1"/>
  <c r="V123" i="1" a="1"/>
  <c r="V123" i="1"/>
  <c r="V101" i="1" a="1"/>
  <c r="V101" i="1"/>
  <c r="Z148" i="1" a="1"/>
  <c r="Z148" i="1"/>
  <c r="Z138" i="1" a="1"/>
  <c r="Z138" i="1"/>
  <c r="AK150" i="1" a="1"/>
  <c r="AK150" i="1"/>
  <c r="AK122" i="1" a="1"/>
  <c r="AK122" i="1"/>
  <c r="AU72" i="1"/>
  <c r="AU33" i="1"/>
  <c r="AU158" i="1"/>
  <c r="L20" i="1"/>
  <c r="AS20" i="1"/>
  <c r="Z6" i="1" a="1"/>
  <c r="Z6" i="1"/>
  <c r="K83" i="1"/>
  <c r="K50" i="1"/>
  <c r="Y94" i="1" a="1"/>
  <c r="Y94" i="1"/>
  <c r="Y151" i="1" a="1"/>
  <c r="Y151" i="1"/>
  <c r="Y123" i="1" a="1"/>
  <c r="Y123" i="1"/>
  <c r="Y101" i="1" a="1"/>
  <c r="Y101" i="1"/>
  <c r="AM32" i="1"/>
  <c r="AK126" i="1" a="1"/>
  <c r="AK126" i="1"/>
  <c r="K80" i="1"/>
  <c r="K58" i="1"/>
  <c r="K28" i="1"/>
  <c r="K161" i="1"/>
  <c r="K121" i="1"/>
  <c r="K10" i="1"/>
  <c r="F66" i="1"/>
  <c r="F49" i="1"/>
  <c r="F42" i="1"/>
  <c r="X84" i="1" a="1"/>
  <c r="X84" i="1"/>
  <c r="X70" i="1" a="1"/>
  <c r="X70" i="1"/>
  <c r="X159" i="1" a="1"/>
  <c r="X159" i="1"/>
  <c r="X116" i="1" a="1"/>
  <c r="X116" i="1"/>
  <c r="AU7" i="1"/>
  <c r="AU14" i="1"/>
  <c r="AU108" i="1"/>
  <c r="AS80" i="1"/>
  <c r="AS58" i="1"/>
  <c r="AS28" i="1"/>
  <c r="AS161" i="1"/>
  <c r="AS121" i="1"/>
  <c r="AS10" i="1"/>
  <c r="AD105" i="1"/>
  <c r="AD140" i="1"/>
  <c r="AD128" i="1"/>
  <c r="AE72" i="1"/>
  <c r="AE33" i="1"/>
  <c r="AE158" i="1"/>
  <c r="H148" i="1"/>
  <c r="H138" i="1"/>
  <c r="X54" i="1" a="1"/>
  <c r="X54" i="1"/>
  <c r="K7" i="1"/>
  <c r="K14" i="1"/>
  <c r="K108" i="1"/>
  <c r="N46" i="1"/>
  <c r="N144" i="1"/>
  <c r="N134" i="1"/>
  <c r="H72" i="1"/>
  <c r="H33" i="1"/>
  <c r="H158" i="1"/>
  <c r="L87" i="1"/>
  <c r="AK9" i="1" a="1"/>
  <c r="AK9" i="1"/>
  <c r="Z66" i="1" a="1"/>
  <c r="Z66" i="1"/>
  <c r="Z49" i="1" a="1"/>
  <c r="Z49" i="1"/>
  <c r="Z42" i="1" a="1"/>
  <c r="Z42" i="1"/>
  <c r="I96" i="1"/>
  <c r="AO96" i="1" s="1"/>
  <c r="I77" i="1"/>
  <c r="AO77" i="1" s="1"/>
  <c r="I65" i="1"/>
  <c r="AO65" i="1" s="1"/>
  <c r="I36" i="1"/>
  <c r="AO36" i="1" s="1"/>
  <c r="I27" i="1"/>
  <c r="AO27" i="1" s="1"/>
  <c r="I162" i="1"/>
  <c r="AO162" i="1" s="1"/>
  <c r="Z32" i="1" a="1"/>
  <c r="Z32" i="1"/>
  <c r="AK83" i="1" a="1"/>
  <c r="AK83" i="1"/>
  <c r="AK50" i="1" a="1"/>
  <c r="AK50" i="1"/>
  <c r="V80" i="1" a="1"/>
  <c r="V80" i="1"/>
  <c r="V58" i="1" a="1"/>
  <c r="V58" i="1"/>
  <c r="V28" i="1" a="1"/>
  <c r="V28" i="1"/>
  <c r="V161" i="1" a="1"/>
  <c r="V161" i="1"/>
  <c r="V121" i="1" a="1"/>
  <c r="V121" i="1"/>
  <c r="V10" i="1" a="1"/>
  <c r="V10" i="1"/>
  <c r="E95" i="1"/>
  <c r="E71" i="1"/>
  <c r="Q98" i="1"/>
  <c r="Q79" i="1"/>
  <c r="Q5" i="1"/>
  <c r="Q155" i="1"/>
  <c r="Q118" i="1"/>
  <c r="E56" i="1"/>
  <c r="W105" i="1" a="1"/>
  <c r="W105" i="1"/>
  <c r="Z80" i="1" a="1"/>
  <c r="Z80" i="1"/>
  <c r="Z58" i="1" a="1"/>
  <c r="Z58" i="1"/>
  <c r="Z28" i="1" a="1"/>
  <c r="Z28" i="1"/>
  <c r="Z161" i="1" a="1"/>
  <c r="Z161" i="1"/>
  <c r="Z121" i="1" a="1"/>
  <c r="Z121" i="1"/>
  <c r="Z10" i="1" a="1"/>
  <c r="Z10" i="1"/>
  <c r="AS148" i="1"/>
  <c r="AS138" i="1"/>
  <c r="AE15" i="1"/>
  <c r="AE109" i="1"/>
  <c r="X12" i="1" a="1"/>
  <c r="X12" i="1"/>
  <c r="AU68" i="1"/>
  <c r="AU31" i="1"/>
  <c r="I8" i="1"/>
  <c r="AO8" i="1" s="1"/>
  <c r="I106" i="1"/>
  <c r="AO106" i="1" s="1"/>
  <c r="E6" i="1"/>
  <c r="AA32" i="1" a="1"/>
  <c r="AA32" i="1"/>
  <c r="X110" i="1" a="1"/>
  <c r="X110" i="1"/>
  <c r="X73" i="1" a="1"/>
  <c r="X73" i="1"/>
  <c r="X168" i="1" a="1"/>
  <c r="X168" i="1"/>
  <c r="AD150" i="1"/>
  <c r="AD122" i="1"/>
  <c r="E94" i="1"/>
  <c r="E151" i="1"/>
  <c r="E123" i="1"/>
  <c r="E101" i="1"/>
  <c r="AK72" i="1" a="1"/>
  <c r="AK72" i="1"/>
  <c r="AK33" i="1" a="1"/>
  <c r="AK33" i="1"/>
  <c r="AK158" i="1" a="1"/>
  <c r="AK158" i="1"/>
  <c r="X96" i="1" a="1"/>
  <c r="X96" i="1"/>
  <c r="X77" i="1" a="1"/>
  <c r="X77" i="1"/>
  <c r="X65" i="1" a="1"/>
  <c r="X65" i="1"/>
  <c r="X36" i="1" a="1"/>
  <c r="X36" i="1"/>
  <c r="X27" i="1" a="1"/>
  <c r="X27" i="1"/>
  <c r="X162" i="1" a="1"/>
  <c r="X162" i="1"/>
  <c r="AM17" i="1"/>
  <c r="AM112" i="1"/>
  <c r="L6" i="1"/>
  <c r="AS6" i="1"/>
  <c r="W85" i="1" a="1"/>
  <c r="W85" i="1"/>
  <c r="X150" i="1" a="1"/>
  <c r="X150" i="1"/>
  <c r="X122" i="1" a="1"/>
  <c r="X122" i="1"/>
  <c r="H66" i="1"/>
  <c r="H49" i="1"/>
  <c r="H42" i="1"/>
  <c r="X160" i="1" a="1"/>
  <c r="X160" i="1"/>
  <c r="V18" i="1" a="1"/>
  <c r="V18" i="1"/>
  <c r="AM150" i="1"/>
  <c r="AM122" i="1"/>
  <c r="Y13" i="1" a="1"/>
  <c r="Y13" i="1"/>
  <c r="H96" i="1"/>
  <c r="H77" i="1"/>
  <c r="H65" i="1"/>
  <c r="H36" i="1"/>
  <c r="H27" i="1"/>
  <c r="H162" i="1"/>
  <c r="W8" i="1" a="1"/>
  <c r="W8" i="1"/>
  <c r="W106" i="1" a="1"/>
  <c r="W106" i="1"/>
  <c r="N51" i="1"/>
  <c r="I66" i="1"/>
  <c r="AO66" i="1" s="1"/>
  <c r="I49" i="1"/>
  <c r="AO49" i="1" s="1"/>
  <c r="I42" i="1"/>
  <c r="AO42" i="1" s="1"/>
  <c r="E18" i="1"/>
  <c r="AD66" i="1"/>
  <c r="AD49" i="1"/>
  <c r="AD42" i="1"/>
  <c r="AD69" i="1"/>
  <c r="AD57" i="1"/>
  <c r="AE9" i="1"/>
  <c r="AM88" i="1"/>
  <c r="Q150" i="1"/>
  <c r="Q122" i="1"/>
  <c r="L92" i="1"/>
  <c r="AS92" i="1"/>
  <c r="AK80" i="1" a="1"/>
  <c r="AK80" i="1"/>
  <c r="AK58" i="1" a="1"/>
  <c r="AK58" i="1"/>
  <c r="AK28" i="1" a="1"/>
  <c r="AK28" i="1"/>
  <c r="AK161" i="1" a="1"/>
  <c r="AK161" i="1"/>
  <c r="AK121" i="1" a="1"/>
  <c r="AK121" i="1"/>
  <c r="AK10" i="1" a="1"/>
  <c r="AK10" i="1"/>
  <c r="AM94" i="1"/>
  <c r="AM151" i="1"/>
  <c r="AM123" i="1"/>
  <c r="AM101" i="1"/>
  <c r="Y72" i="1" a="1"/>
  <c r="Y72" i="1"/>
  <c r="Y33" i="1" a="1"/>
  <c r="Y33" i="1"/>
  <c r="Y158" i="1" a="1"/>
  <c r="Y158" i="1"/>
  <c r="AM54" i="1"/>
  <c r="V46" i="1" a="1"/>
  <c r="V46" i="1"/>
  <c r="V144" i="1" a="1"/>
  <c r="V144" i="1"/>
  <c r="V134" i="1" a="1"/>
  <c r="V134" i="1"/>
  <c r="Y96" i="1" a="1"/>
  <c r="Y96" i="1"/>
  <c r="Y77" i="1" a="1"/>
  <c r="Y77" i="1"/>
  <c r="Y65" i="1" a="1"/>
  <c r="Y65" i="1"/>
  <c r="Y36" i="1" a="1"/>
  <c r="Y36" i="1"/>
  <c r="Y27" i="1" a="1"/>
  <c r="Y27" i="1"/>
  <c r="Y162" i="1" a="1"/>
  <c r="Y162" i="1"/>
  <c r="K18" i="1"/>
  <c r="E68" i="1"/>
  <c r="E31" i="1"/>
  <c r="W12" i="1" a="1"/>
  <c r="W12" i="1"/>
  <c r="N6" i="1"/>
  <c r="AU96" i="1"/>
  <c r="AU77" i="1"/>
  <c r="AU65" i="1"/>
  <c r="AU36" i="1"/>
  <c r="AU27" i="1"/>
  <c r="AU162" i="1"/>
  <c r="I140" i="1"/>
  <c r="AO140" i="1" s="1"/>
  <c r="I128" i="1"/>
  <c r="AO128" i="1" s="1"/>
  <c r="L130" i="1"/>
  <c r="W13" i="1" a="1"/>
  <c r="W13" i="1"/>
  <c r="E47" i="1"/>
  <c r="L148" i="1"/>
  <c r="L138" i="1"/>
  <c r="E73" i="1"/>
  <c r="E168" i="1"/>
  <c r="I150" i="1"/>
  <c r="AO150" i="1" s="1"/>
  <c r="I122" i="1"/>
  <c r="AO122" i="1" s="1"/>
  <c r="X94" i="1" a="1"/>
  <c r="X94" i="1"/>
  <c r="X151" i="1" a="1"/>
  <c r="X151" i="1"/>
  <c r="X123" i="1" a="1"/>
  <c r="X123" i="1"/>
  <c r="X101" i="1" a="1"/>
  <c r="X101" i="1"/>
  <c r="AD15" i="1"/>
  <c r="AD109" i="1"/>
  <c r="AK92" i="1" a="1"/>
  <c r="AK92" i="1"/>
  <c r="AE32" i="1"/>
  <c r="AA17" i="1" a="1"/>
  <c r="AA17" i="1"/>
  <c r="AA112" i="1" a="1"/>
  <c r="AA112" i="1"/>
  <c r="L73" i="1"/>
  <c r="L168" i="1"/>
  <c r="AS73" i="1"/>
  <c r="AS168" i="1"/>
  <c r="F93" i="1"/>
  <c r="AE18" i="1"/>
  <c r="L96" i="1"/>
  <c r="L77" i="1"/>
  <c r="L65" i="1"/>
  <c r="L36" i="1"/>
  <c r="L27" i="1"/>
  <c r="L162" i="1"/>
  <c r="AS96" i="1"/>
  <c r="AS77" i="1"/>
  <c r="AS65" i="1"/>
  <c r="AS36" i="1"/>
  <c r="AS27" i="1"/>
  <c r="AS162" i="1"/>
  <c r="Y73" i="1" a="1"/>
  <c r="Y73" i="1"/>
  <c r="Y168" i="1" a="1"/>
  <c r="Y168" i="1"/>
  <c r="K47" i="1"/>
  <c r="V47" i="1" a="1"/>
  <c r="V47" i="1"/>
  <c r="I107" i="1"/>
  <c r="AO107" i="1" s="1"/>
  <c r="E140" i="1"/>
  <c r="E128" i="1"/>
  <c r="AE85" i="1"/>
  <c r="Y47" i="1" a="1"/>
  <c r="Y47" i="1"/>
  <c r="Q93" i="1"/>
  <c r="AM107" i="1"/>
  <c r="K150" i="1"/>
  <c r="K122" i="1"/>
  <c r="W103" i="1" a="1"/>
  <c r="W103" i="1"/>
  <c r="Z105" i="1" a="1"/>
  <c r="Z105" i="1"/>
  <c r="E150" i="1"/>
  <c r="E122" i="1"/>
  <c r="AM69" i="1"/>
  <c r="AM57" i="1"/>
  <c r="I47" i="1"/>
  <c r="AO47" i="1" s="1"/>
  <c r="H82" i="1"/>
  <c r="H39" i="1"/>
  <c r="H22" i="1"/>
  <c r="H167" i="1"/>
  <c r="AS83" i="1"/>
  <c r="AS50" i="1"/>
  <c r="AU44" i="1"/>
  <c r="E83" i="1"/>
  <c r="E50" i="1"/>
  <c r="AD47" i="1"/>
  <c r="AE66" i="1"/>
  <c r="AE49" i="1"/>
  <c r="AE42" i="1"/>
  <c r="AK51" i="1" a="1"/>
  <c r="AK51" i="1"/>
  <c r="I98" i="1"/>
  <c r="AO98" i="1" s="1"/>
  <c r="I79" i="1"/>
  <c r="AO79" i="1" s="1"/>
  <c r="I5" i="1"/>
  <c r="AO5" i="1" s="1"/>
  <c r="I155" i="1"/>
  <c r="AO155" i="1" s="1"/>
  <c r="I118" i="1"/>
  <c r="AO118" i="1" s="1"/>
  <c r="N107" i="1"/>
  <c r="AM145" i="1"/>
  <c r="AM136" i="1"/>
  <c r="H93" i="1"/>
  <c r="AD52" i="1"/>
  <c r="AE69" i="1"/>
  <c r="AE57" i="1"/>
  <c r="V85" i="1" a="1"/>
  <c r="V85" i="1"/>
  <c r="AU46" i="1"/>
  <c r="AU144" i="1"/>
  <c r="AU134" i="1"/>
  <c r="N93" i="1"/>
  <c r="Z103" i="1" a="1"/>
  <c r="Z103" i="1"/>
  <c r="V19" i="1" a="1"/>
  <c r="V19" i="1"/>
  <c r="I145" i="1"/>
  <c r="AO145" i="1" s="1"/>
  <c r="I136" i="1"/>
  <c r="AO136" i="1" s="1"/>
  <c r="AD94" i="1"/>
  <c r="AD151" i="1"/>
  <c r="AD123" i="1"/>
  <c r="AD101" i="1"/>
  <c r="I88" i="1"/>
  <c r="AO88" i="1" s="1"/>
  <c r="F83" i="1"/>
  <c r="F50" i="1"/>
  <c r="AD98" i="1"/>
  <c r="AD79" i="1"/>
  <c r="AD5" i="1"/>
  <c r="AD155" i="1"/>
  <c r="AD118" i="1"/>
  <c r="Z86" i="1" a="1"/>
  <c r="Z86" i="1"/>
  <c r="Z133" i="1" a="1"/>
  <c r="Z133" i="1"/>
  <c r="AU73" i="1"/>
  <c r="AU168" i="1"/>
  <c r="AS47" i="1"/>
  <c r="E145" i="1"/>
  <c r="E136" i="1"/>
  <c r="Q56" i="1"/>
  <c r="K145" i="1"/>
  <c r="K136" i="1"/>
  <c r="I68" i="1"/>
  <c r="AO68" i="1" s="1"/>
  <c r="I31" i="1"/>
  <c r="AO31" i="1" s="1"/>
  <c r="V52" i="1" a="1"/>
  <c r="V52" i="1"/>
  <c r="Q78" i="1"/>
  <c r="Q154" i="1"/>
  <c r="Q149" i="1"/>
  <c r="Q124" i="1"/>
  <c r="N94" i="1"/>
  <c r="N151" i="1"/>
  <c r="N123" i="1"/>
  <c r="N101" i="1"/>
  <c r="E88" i="1"/>
  <c r="V107" i="1" a="1"/>
  <c r="V107" i="1"/>
  <c r="Q88" i="1"/>
  <c r="H139" i="1"/>
  <c r="H129" i="1"/>
  <c r="Q83" i="1"/>
  <c r="Q50" i="1"/>
  <c r="E80" i="1"/>
  <c r="E58" i="1"/>
  <c r="E28" i="1"/>
  <c r="E161" i="1"/>
  <c r="E121" i="1"/>
  <c r="E10" i="1"/>
  <c r="L110" i="1"/>
  <c r="AS110" i="1"/>
  <c r="L83" i="1"/>
  <c r="L50" i="1"/>
  <c r="AS51" i="1"/>
  <c r="Q47" i="1"/>
  <c r="AK95" i="1" a="1"/>
  <c r="AK95" i="1"/>
  <c r="AK71" i="1" a="1"/>
  <c r="AK71" i="1"/>
  <c r="V73" i="1" a="1"/>
  <c r="V73" i="1"/>
  <c r="V168" i="1" a="1"/>
  <c r="V168" i="1"/>
  <c r="N47" i="1"/>
  <c r="F54" i="1"/>
  <c r="AU143" i="1"/>
  <c r="AU127" i="1"/>
  <c r="N72" i="1"/>
  <c r="N33" i="1"/>
  <c r="N158" i="1"/>
  <c r="AU98" i="1"/>
  <c r="AU79" i="1"/>
  <c r="AU5" i="1"/>
  <c r="AU155" i="1"/>
  <c r="AU118" i="1"/>
  <c r="V150" i="1" a="1"/>
  <c r="V150" i="1"/>
  <c r="V122" i="1" a="1"/>
  <c r="V122" i="1"/>
  <c r="X8" i="1" a="1"/>
  <c r="X8" i="1"/>
  <c r="X106" i="1" a="1"/>
  <c r="X106" i="1"/>
  <c r="Q110" i="1"/>
  <c r="N150" i="1"/>
  <c r="N122" i="1"/>
  <c r="X19" i="1" a="1"/>
  <c r="X19" i="1"/>
  <c r="H17" i="1"/>
  <c r="H112" i="1"/>
  <c r="AM83" i="1"/>
  <c r="AM50" i="1"/>
  <c r="H68" i="1"/>
  <c r="H31" i="1"/>
  <c r="AA68" i="1" a="1"/>
  <c r="AA68" i="1"/>
  <c r="AA31" i="1" a="1"/>
  <c r="AA31" i="1"/>
  <c r="AU54" i="1"/>
  <c r="Z95" i="1" a="1"/>
  <c r="Z95" i="1"/>
  <c r="Z71" i="1" a="1"/>
  <c r="Z71" i="1"/>
  <c r="L7" i="1"/>
  <c r="L14" i="1"/>
  <c r="L108" i="1"/>
  <c r="AS7" i="1"/>
  <c r="AS14" i="1"/>
  <c r="AS108" i="1"/>
  <c r="AE51" i="1"/>
  <c r="AE54" i="1"/>
  <c r="Q105" i="1"/>
  <c r="F86" i="1"/>
  <c r="F133" i="1"/>
  <c r="L47" i="1"/>
  <c r="Y105" i="1" a="1"/>
  <c r="Y105" i="1"/>
  <c r="K96" i="1"/>
  <c r="K77" i="1"/>
  <c r="K65" i="1"/>
  <c r="K36" i="1"/>
  <c r="K27" i="1"/>
  <c r="K162" i="1"/>
  <c r="AK69" i="1" a="1"/>
  <c r="AK69" i="1"/>
  <c r="AK57" i="1" a="1"/>
  <c r="AK57" i="1"/>
  <c r="Y19" i="1" a="1"/>
  <c r="Y19" i="1"/>
  <c r="AM86" i="1"/>
  <c r="AM133" i="1"/>
  <c r="F145" i="1"/>
  <c r="F136" i="1"/>
  <c r="AM141" i="1"/>
  <c r="AM131" i="1"/>
  <c r="AK66" i="1" a="1"/>
  <c r="AK66" i="1"/>
  <c r="AK49" i="1" a="1"/>
  <c r="AK49" i="1"/>
  <c r="AK42" i="1" a="1"/>
  <c r="AK42" i="1"/>
  <c r="AA52" i="1" a="1"/>
  <c r="AA52" i="1"/>
  <c r="L93" i="1"/>
  <c r="AS93" i="1"/>
  <c r="AA64" i="1" a="1"/>
  <c r="AA64" i="1"/>
  <c r="Z143" i="1" a="1"/>
  <c r="Z143" i="1"/>
  <c r="Z127" i="1" a="1"/>
  <c r="Z127" i="1"/>
  <c r="V84" i="1" a="1"/>
  <c r="V84" i="1"/>
  <c r="V70" i="1" a="1"/>
  <c r="V70" i="1"/>
  <c r="V159" i="1" a="1"/>
  <c r="V159" i="1"/>
  <c r="V116" i="1" a="1"/>
  <c r="V116" i="1"/>
  <c r="Z7" i="1" a="1"/>
  <c r="Z7" i="1"/>
  <c r="Z14" i="1" a="1"/>
  <c r="Z14" i="1"/>
  <c r="Z108" i="1" a="1"/>
  <c r="Z108" i="1"/>
  <c r="AA19" i="1" a="1"/>
  <c r="AA19" i="1"/>
  <c r="N52" i="1"/>
  <c r="X95" i="1" a="1"/>
  <c r="X95" i="1"/>
  <c r="X71" i="1" a="1"/>
  <c r="X71" i="1"/>
  <c r="X83" i="1" a="1"/>
  <c r="X83" i="1"/>
  <c r="X50" i="1" a="1"/>
  <c r="X50" i="1"/>
  <c r="Z13" i="1" a="1"/>
  <c r="Z13" i="1"/>
  <c r="AU92" i="1"/>
  <c r="Q87" i="1"/>
  <c r="AA145" i="1" a="1"/>
  <c r="AA145" i="1"/>
  <c r="AA136" i="1" a="1"/>
  <c r="AA136" i="1"/>
  <c r="AD67" i="1"/>
  <c r="AD43" i="1"/>
  <c r="AD30" i="1"/>
  <c r="AD3" i="1"/>
  <c r="AD21" i="1"/>
  <c r="AD166" i="1"/>
  <c r="AD147" i="1"/>
  <c r="AD125" i="1"/>
  <c r="AD114" i="1"/>
  <c r="AM80" i="1"/>
  <c r="AM58" i="1"/>
  <c r="AM28" i="1"/>
  <c r="AM161" i="1"/>
  <c r="AM121" i="1"/>
  <c r="AM10" i="1"/>
  <c r="W95" i="1" a="1"/>
  <c r="W95" i="1"/>
  <c r="W71" i="1" a="1"/>
  <c r="W71" i="1"/>
  <c r="L18" i="1"/>
  <c r="AA94" i="1" a="1"/>
  <c r="AA94" i="1"/>
  <c r="AA151" i="1" a="1"/>
  <c r="AA151" i="1"/>
  <c r="AA123" i="1" a="1"/>
  <c r="AA123" i="1"/>
  <c r="AA101" i="1" a="1"/>
  <c r="AA101" i="1"/>
  <c r="X80" i="1" a="1"/>
  <c r="X80" i="1"/>
  <c r="X58" i="1" a="1"/>
  <c r="X58" i="1"/>
  <c r="X28" i="1" a="1"/>
  <c r="X28" i="1"/>
  <c r="X161" i="1" a="1"/>
  <c r="X161" i="1"/>
  <c r="X121" i="1" a="1"/>
  <c r="X121" i="1"/>
  <c r="X10" i="1" a="1"/>
  <c r="X10" i="1"/>
  <c r="AA93" i="1" a="1"/>
  <c r="AA93" i="1"/>
  <c r="Y150" i="1" a="1"/>
  <c r="Y150" i="1"/>
  <c r="Y122" i="1" a="1"/>
  <c r="Y122" i="1"/>
  <c r="F9" i="1"/>
  <c r="AU8" i="1"/>
  <c r="AU106" i="1"/>
  <c r="N73" i="1"/>
  <c r="N168" i="1"/>
  <c r="E82" i="1"/>
  <c r="E39" i="1"/>
  <c r="E22" i="1"/>
  <c r="E167" i="1"/>
  <c r="AU140" i="1"/>
  <c r="AU128" i="1"/>
  <c r="Y51" i="1" a="1"/>
  <c r="Y51" i="1"/>
  <c r="L80" i="1"/>
  <c r="L58" i="1"/>
  <c r="L28" i="1"/>
  <c r="L161" i="1"/>
  <c r="L121" i="1"/>
  <c r="L10" i="1"/>
  <c r="I105" i="1"/>
  <c r="AO105" i="1" s="1"/>
  <c r="AS85" i="1"/>
  <c r="AA87" i="1" a="1"/>
  <c r="AA87" i="1"/>
  <c r="F80" i="1"/>
  <c r="F58" i="1"/>
  <c r="F28" i="1"/>
  <c r="F161" i="1"/>
  <c r="F121" i="1"/>
  <c r="F10" i="1"/>
  <c r="AK7" i="1" a="1"/>
  <c r="AK7" i="1"/>
  <c r="AK14" i="1" a="1"/>
  <c r="AK14" i="1"/>
  <c r="AK108" i="1" a="1"/>
  <c r="AK108" i="1"/>
  <c r="AD80" i="1"/>
  <c r="AD58" i="1"/>
  <c r="AD28" i="1"/>
  <c r="AD161" i="1"/>
  <c r="AD121" i="1"/>
  <c r="AD10" i="1"/>
  <c r="N56" i="1"/>
  <c r="I15" i="1"/>
  <c r="AO15" i="1" s="1"/>
  <c r="I109" i="1"/>
  <c r="AO109" i="1" s="1"/>
  <c r="AU56" i="1"/>
  <c r="Q64" i="1"/>
  <c r="K94" i="1"/>
  <c r="K151" i="1"/>
  <c r="K123" i="1"/>
  <c r="K101" i="1"/>
  <c r="AO35" i="1"/>
  <c r="AO24" i="1"/>
  <c r="AO153" i="1"/>
  <c r="Q51" i="1"/>
  <c r="K148" i="1"/>
  <c r="K138" i="1"/>
  <c r="Z126" i="1" a="1"/>
  <c r="Z126" i="1"/>
  <c r="AU141" i="1"/>
  <c r="AU131" i="1"/>
  <c r="Y17" i="1" a="1"/>
  <c r="Y17" i="1"/>
  <c r="Y112" i="1" a="1"/>
  <c r="Y112" i="1"/>
  <c r="X7" i="1" a="1"/>
  <c r="X7" i="1"/>
  <c r="X14" i="1" a="1"/>
  <c r="X14" i="1"/>
  <c r="X108" i="1" a="1"/>
  <c r="X108" i="1"/>
  <c r="X88" i="1" a="1"/>
  <c r="X88" i="1"/>
  <c r="F110" i="1"/>
  <c r="E72" i="1"/>
  <c r="E33" i="1"/>
  <c r="E158" i="1"/>
  <c r="Z64" i="1" a="1"/>
  <c r="Z64" i="1"/>
  <c r="W141" i="1" a="1"/>
  <c r="W141" i="1"/>
  <c r="W131" i="1" a="1"/>
  <c r="W131" i="1"/>
  <c r="AA113" i="1" a="1"/>
  <c r="AA113" i="1"/>
  <c r="W72" i="1" a="1"/>
  <c r="W72" i="1"/>
  <c r="W33" i="1" a="1"/>
  <c r="W33" i="1"/>
  <c r="W158" i="1" a="1"/>
  <c r="W158" i="1"/>
  <c r="AU80" i="1"/>
  <c r="AU58" i="1"/>
  <c r="AU28" i="1"/>
  <c r="AU161" i="1"/>
  <c r="AU121" i="1"/>
  <c r="AU10" i="1"/>
  <c r="L140" i="1"/>
  <c r="L128" i="1"/>
  <c r="AS140" i="1"/>
  <c r="AS128" i="1"/>
  <c r="Y113" i="1" a="1"/>
  <c r="Y113" i="1"/>
  <c r="AD148" i="1"/>
  <c r="AD138" i="1"/>
  <c r="W94" i="1" a="1"/>
  <c r="W94" i="1"/>
  <c r="W151" i="1" a="1"/>
  <c r="W151" i="1"/>
  <c r="W123" i="1" a="1"/>
  <c r="W123" i="1"/>
  <c r="W101" i="1" a="1"/>
  <c r="W101" i="1"/>
  <c r="E96" i="1"/>
  <c r="E77" i="1"/>
  <c r="E65" i="1"/>
  <c r="E36" i="1"/>
  <c r="E27" i="1"/>
  <c r="E162" i="1"/>
  <c r="AA90" i="1" a="1"/>
  <c r="AA90" i="1"/>
  <c r="W32" i="1" a="1"/>
  <c r="W32" i="1"/>
  <c r="Z51" i="1" a="1"/>
  <c r="Z51" i="1"/>
  <c r="Z15" i="1" a="1"/>
  <c r="Z15" i="1"/>
  <c r="Z109" i="1" a="1"/>
  <c r="Z109" i="1"/>
  <c r="N96" i="1"/>
  <c r="N77" i="1"/>
  <c r="N65" i="1"/>
  <c r="N36" i="1"/>
  <c r="N27" i="1"/>
  <c r="N162" i="1"/>
  <c r="AA104" i="1" a="1"/>
  <c r="AA104" i="1"/>
  <c r="F73" i="1"/>
  <c r="F168" i="1"/>
  <c r="K44" i="1"/>
  <c r="H83" i="1"/>
  <c r="H50" i="1"/>
  <c r="V7" i="1" a="1"/>
  <c r="V7" i="1"/>
  <c r="V14" i="1" a="1"/>
  <c r="V14" i="1"/>
  <c r="V108" i="1" a="1"/>
  <c r="V108" i="1"/>
  <c r="Z67" i="1" a="1"/>
  <c r="Z67" i="1"/>
  <c r="Z43" i="1" a="1"/>
  <c r="Z43" i="1"/>
  <c r="Z30" i="1" a="1"/>
  <c r="Z30" i="1"/>
  <c r="Z3" i="1" a="1"/>
  <c r="Z3" i="1"/>
  <c r="Z21" i="1" a="1"/>
  <c r="Z21" i="1"/>
  <c r="Z166" i="1" a="1"/>
  <c r="Z166" i="1"/>
  <c r="Z147" i="1" a="1"/>
  <c r="Z147" i="1"/>
  <c r="Z125" i="1" a="1"/>
  <c r="Z125" i="1"/>
  <c r="Z114" i="1" a="1"/>
  <c r="Z114" i="1"/>
  <c r="I83" i="1"/>
  <c r="AO83" i="1" s="1"/>
  <c r="I50" i="1"/>
  <c r="AO50" i="1" s="1"/>
  <c r="N15" i="1"/>
  <c r="N109" i="1"/>
  <c r="AE17" i="1"/>
  <c r="AE112" i="1"/>
  <c r="X17" i="1" a="1"/>
  <c r="X17" i="1"/>
  <c r="X112" i="1" a="1"/>
  <c r="X112" i="1"/>
  <c r="K93" i="1"/>
  <c r="I18" i="1"/>
  <c r="AO18" i="1" s="1"/>
  <c r="AE96" i="1"/>
  <c r="AE77" i="1"/>
  <c r="AE65" i="1"/>
  <c r="AE36" i="1"/>
  <c r="AE27" i="1"/>
  <c r="AE162" i="1"/>
  <c r="K82" i="1"/>
  <c r="K39" i="1"/>
  <c r="K22" i="1"/>
  <c r="K167" i="1"/>
  <c r="AA98" i="1" a="1"/>
  <c r="AA98" i="1"/>
  <c r="AA79" i="1" a="1"/>
  <c r="AA79" i="1"/>
  <c r="AA5" i="1" a="1"/>
  <c r="AA5" i="1"/>
  <c r="AA155" i="1" a="1"/>
  <c r="AA155" i="1"/>
  <c r="AA118" i="1" a="1"/>
  <c r="AA118" i="1"/>
  <c r="E54" i="1"/>
  <c r="I86" i="1"/>
  <c r="AO86" i="1" s="1"/>
  <c r="I133" i="1"/>
  <c r="AO133" i="1" s="1"/>
  <c r="N140" i="1"/>
  <c r="N128" i="1"/>
  <c r="E52" i="1"/>
  <c r="W86" i="1" a="1"/>
  <c r="W86" i="1"/>
  <c r="W133" i="1" a="1"/>
  <c r="W133" i="1"/>
  <c r="Y85" i="1" a="1"/>
  <c r="Y85" i="1"/>
  <c r="V15" i="1" a="1"/>
  <c r="V15" i="1"/>
  <c r="V109" i="1" a="1"/>
  <c r="V109" i="1"/>
  <c r="AM95" i="1"/>
  <c r="AM71" i="1"/>
  <c r="K51" i="1"/>
  <c r="Q85" i="1"/>
  <c r="Q96" i="1"/>
  <c r="Q77" i="1"/>
  <c r="Q65" i="1"/>
  <c r="Q36" i="1"/>
  <c r="Q27" i="1"/>
  <c r="Q162" i="1"/>
  <c r="AK107" i="1" a="1"/>
  <c r="AK107" i="1"/>
  <c r="AK96" i="1" a="1"/>
  <c r="AK96" i="1"/>
  <c r="AK77" i="1" a="1"/>
  <c r="AK77" i="1"/>
  <c r="AK65" i="1" a="1"/>
  <c r="AK65" i="1"/>
  <c r="AK36" i="1" a="1"/>
  <c r="AK36" i="1"/>
  <c r="AK27" i="1" a="1"/>
  <c r="AK27" i="1"/>
  <c r="AK162" i="1" a="1"/>
  <c r="AK162" i="1"/>
  <c r="AM8" i="1"/>
  <c r="AM106" i="1"/>
  <c r="AA143" i="1" a="1"/>
  <c r="AA143" i="1"/>
  <c r="AA127" i="1" a="1"/>
  <c r="AA127" i="1"/>
  <c r="AK56" i="1" a="1"/>
  <c r="AK56" i="1"/>
  <c r="AS56" i="1"/>
  <c r="AM105" i="1"/>
  <c r="AM85" i="1"/>
  <c r="Q107" i="1"/>
  <c r="AA95" i="1" a="1"/>
  <c r="AA95" i="1"/>
  <c r="AA71" i="1" a="1"/>
  <c r="AA71" i="1"/>
  <c r="AE105" i="1"/>
  <c r="AA105" i="1" a="1"/>
  <c r="AA105" i="1"/>
  <c r="Z52" i="1" a="1"/>
  <c r="Z52" i="1"/>
  <c r="E126" i="1"/>
  <c r="AE95" i="1"/>
  <c r="AE71" i="1"/>
  <c r="AM140" i="1"/>
  <c r="AM128" i="1"/>
  <c r="X51" i="1" a="1"/>
  <c r="X51" i="1"/>
  <c r="W96" i="1" a="1"/>
  <c r="W96" i="1"/>
  <c r="W77" i="1" a="1"/>
  <c r="W77" i="1"/>
  <c r="W65" i="1" a="1"/>
  <c r="W65" i="1"/>
  <c r="W36" i="1" a="1"/>
  <c r="W36" i="1"/>
  <c r="W27" i="1" a="1"/>
  <c r="W27" i="1"/>
  <c r="W162" i="1" a="1"/>
  <c r="W162" i="1"/>
  <c r="N67" i="1"/>
  <c r="N43" i="1"/>
  <c r="N30" i="1"/>
  <c r="N3" i="1"/>
  <c r="N21" i="1"/>
  <c r="N166" i="1"/>
  <c r="N147" i="1"/>
  <c r="N125" i="1"/>
  <c r="N114" i="1"/>
  <c r="K98" i="1"/>
  <c r="K79" i="1"/>
  <c r="K5" i="1"/>
  <c r="K155" i="1"/>
  <c r="K118" i="1"/>
  <c r="AK52" i="1" a="1"/>
  <c r="AK52" i="1"/>
  <c r="AA96" i="1" a="1"/>
  <c r="AA96" i="1"/>
  <c r="AA77" i="1" a="1"/>
  <c r="AA77" i="1"/>
  <c r="AA65" i="1" a="1"/>
  <c r="AA65" i="1"/>
  <c r="AA36" i="1" a="1"/>
  <c r="AA36" i="1"/>
  <c r="AA27" i="1" a="1"/>
  <c r="AA27" i="1"/>
  <c r="AA162" i="1" a="1"/>
  <c r="AA162" i="1"/>
  <c r="AU94" i="1"/>
  <c r="AU151" i="1"/>
  <c r="AU123" i="1"/>
  <c r="AU101" i="1"/>
  <c r="W88" i="1" a="1"/>
  <c r="W88" i="1"/>
  <c r="Q17" i="1"/>
  <c r="Q112" i="1"/>
  <c r="AK54" i="1" a="1"/>
  <c r="AK54" i="1"/>
  <c r="F56" i="1"/>
  <c r="H44" i="1"/>
  <c r="N44" i="1"/>
  <c r="Z107" i="1" a="1"/>
  <c r="Z107" i="1"/>
  <c r="AU83" i="1"/>
  <c r="AU50" i="1"/>
  <c r="K68" i="1"/>
  <c r="K31" i="1"/>
  <c r="AE67" i="1"/>
  <c r="AE43" i="1"/>
  <c r="AE30" i="1"/>
  <c r="AE3" i="1"/>
  <c r="AE21" i="1"/>
  <c r="AE166" i="1"/>
  <c r="AE147" i="1"/>
  <c r="AE125" i="1"/>
  <c r="AE114" i="1"/>
  <c r="V51" i="1" a="1"/>
  <c r="V51" i="1"/>
  <c r="AD73" i="1"/>
  <c r="AD168" i="1"/>
  <c r="N7" i="1"/>
  <c r="N14" i="1"/>
  <c r="N108" i="1"/>
  <c r="Z84" i="1" a="1"/>
  <c r="Z84" i="1"/>
  <c r="Z70" i="1" a="1"/>
  <c r="Z70" i="1"/>
  <c r="Z159" i="1" a="1"/>
  <c r="Z159" i="1"/>
  <c r="Z116" i="1" a="1"/>
  <c r="Z116" i="1"/>
  <c r="Q140" i="1"/>
  <c r="Q128" i="1"/>
  <c r="I51" i="1"/>
  <c r="AO51" i="1" s="1"/>
  <c r="I87" i="1"/>
  <c r="AO87" i="1" s="1"/>
  <c r="H54" i="1"/>
  <c r="N143" i="1"/>
  <c r="N127" i="1"/>
  <c r="AK98" i="1" a="1"/>
  <c r="AK98" i="1"/>
  <c r="AK79" i="1" a="1"/>
  <c r="AK79" i="1"/>
  <c r="AK5" i="1" a="1"/>
  <c r="AK5" i="1"/>
  <c r="AK155" i="1" a="1"/>
  <c r="AK155" i="1"/>
  <c r="AK118" i="1" a="1"/>
  <c r="AK118" i="1"/>
  <c r="F140" i="1"/>
  <c r="F128" i="1"/>
  <c r="AE88" i="1"/>
  <c r="W52" i="1" a="1"/>
  <c r="W52" i="1"/>
  <c r="F96" i="1"/>
  <c r="F77" i="1"/>
  <c r="F65" i="1"/>
  <c r="F36" i="1"/>
  <c r="F27" i="1"/>
  <c r="F162" i="1"/>
  <c r="AA148" i="1" a="1"/>
  <c r="AA148" i="1"/>
  <c r="AA138" i="1" a="1"/>
  <c r="AA138" i="1"/>
  <c r="K95" i="1"/>
  <c r="K71" i="1"/>
  <c r="L143" i="1"/>
  <c r="L127" i="1"/>
  <c r="AS143" i="1"/>
  <c r="AS127" i="1"/>
  <c r="L51" i="1"/>
  <c r="AE56" i="1"/>
  <c r="Q92" i="1"/>
  <c r="AM87" i="1"/>
  <c r="E86" i="1"/>
  <c r="E133" i="1"/>
  <c r="AD56" i="1"/>
  <c r="X56" i="1" a="1"/>
  <c r="X56" i="1"/>
  <c r="W93" i="1" a="1"/>
  <c r="W93" i="1"/>
  <c r="AM47" i="1"/>
  <c r="F69" i="1"/>
  <c r="F57" i="1"/>
  <c r="AK145" i="1" a="1"/>
  <c r="AK145" i="1"/>
  <c r="AK136" i="1" a="1"/>
  <c r="AK136" i="1"/>
  <c r="N110" i="1"/>
  <c r="Y145" i="1" a="1"/>
  <c r="Y145" i="1"/>
  <c r="Y136" i="1" a="1"/>
  <c r="Y136" i="1"/>
  <c r="AK94" i="1" a="1"/>
  <c r="AK94" i="1"/>
  <c r="AK151" i="1" a="1"/>
  <c r="AK151" i="1"/>
  <c r="AK123" i="1" a="1"/>
  <c r="AK123" i="1"/>
  <c r="AK101" i="1" a="1"/>
  <c r="AK101" i="1"/>
  <c r="N18" i="1"/>
  <c r="W98" i="1" a="1"/>
  <c r="W98" i="1"/>
  <c r="W79" i="1" a="1"/>
  <c r="W79" i="1"/>
  <c r="W5" i="1" a="1"/>
  <c r="W5" i="1"/>
  <c r="W155" i="1" a="1"/>
  <c r="W155" i="1"/>
  <c r="W118" i="1" a="1"/>
  <c r="W118" i="1"/>
  <c r="AA13" i="1" a="1"/>
  <c r="AA13" i="1"/>
  <c r="AA84" i="1" a="1"/>
  <c r="AA84" i="1"/>
  <c r="AA70" i="1" a="1"/>
  <c r="AA70" i="1"/>
  <c r="AA159" i="1" a="1"/>
  <c r="AA159" i="1"/>
  <c r="AA116" i="1" a="1"/>
  <c r="AA116" i="1"/>
  <c r="W18" i="1" a="1"/>
  <c r="W18" i="1"/>
  <c r="AS69" i="1"/>
  <c r="AS57" i="1"/>
  <c r="AD143" i="1"/>
  <c r="AD127" i="1"/>
  <c r="AM143" i="1"/>
  <c r="AM127" i="1"/>
  <c r="AE44" i="1"/>
  <c r="H73" i="1"/>
  <c r="H168" i="1"/>
  <c r="AA73" i="1" a="1"/>
  <c r="AA73" i="1"/>
  <c r="AA168" i="1" a="1"/>
  <c r="AA168" i="1"/>
  <c r="Z94" i="1" a="1"/>
  <c r="Z94" i="1"/>
  <c r="Z151" i="1" a="1"/>
  <c r="Z151" i="1"/>
  <c r="Z123" i="1" a="1"/>
  <c r="Z123" i="1"/>
  <c r="Z101" i="1" a="1"/>
  <c r="Z101" i="1"/>
  <c r="V96" i="1" a="1"/>
  <c r="V96" i="1"/>
  <c r="V77" i="1" a="1"/>
  <c r="V77" i="1"/>
  <c r="V65" i="1" a="1"/>
  <c r="V65" i="1"/>
  <c r="V36" i="1" a="1"/>
  <c r="V36" i="1"/>
  <c r="V27" i="1" a="1"/>
  <c r="V27" i="1"/>
  <c r="V162" i="1" a="1"/>
  <c r="V162" i="1"/>
  <c r="I94" i="1"/>
  <c r="AO94" i="1" s="1"/>
  <c r="I151" i="1"/>
  <c r="AO151" i="1" s="1"/>
  <c r="I123" i="1"/>
  <c r="AO123" i="1" s="1"/>
  <c r="I101" i="1"/>
  <c r="AO101" i="1" s="1"/>
  <c r="AE73" i="1"/>
  <c r="AE168" i="1"/>
  <c r="AS15" i="1"/>
  <c r="AS109" i="1"/>
  <c r="W84" i="1" a="1"/>
  <c r="W84" i="1"/>
  <c r="W70" i="1" a="1"/>
  <c r="W70" i="1"/>
  <c r="W159" i="1" a="1"/>
  <c r="W159" i="1"/>
  <c r="W116" i="1" a="1"/>
  <c r="W116" i="1"/>
  <c r="Z46" i="1" a="1"/>
  <c r="Z46" i="1"/>
  <c r="Z144" i="1" a="1"/>
  <c r="Z144" i="1"/>
  <c r="Z134" i="1" a="1"/>
  <c r="Z134" i="1"/>
  <c r="H140" i="1"/>
  <c r="H128" i="1"/>
  <c r="H94" i="1"/>
  <c r="H151" i="1"/>
  <c r="H123" i="1"/>
  <c r="H101" i="1"/>
  <c r="AU86" i="1"/>
  <c r="AU133" i="1"/>
  <c r="N17" i="1"/>
  <c r="N112" i="1"/>
  <c r="AS86" i="1"/>
  <c r="AS133" i="1"/>
  <c r="AM96" i="1"/>
  <c r="AM77" i="1"/>
  <c r="AM65" i="1"/>
  <c r="AM36" i="1"/>
  <c r="AM27" i="1"/>
  <c r="AM162" i="1"/>
  <c r="K107" i="1"/>
  <c r="I54" i="1"/>
  <c r="AO54" i="1" s="1"/>
  <c r="AU18" i="1"/>
  <c r="AA83" i="1" a="1"/>
  <c r="AA83" i="1"/>
  <c r="AA50" i="1" a="1"/>
  <c r="AA50" i="1"/>
  <c r="F92" i="1"/>
  <c r="X46" i="1" a="1"/>
  <c r="X46" i="1"/>
  <c r="X144" i="1" a="1"/>
  <c r="X144" i="1"/>
  <c r="X134" i="1" a="1"/>
  <c r="X134" i="1"/>
  <c r="X107" i="1" a="1"/>
  <c r="X107" i="1"/>
  <c r="AD96" i="1"/>
  <c r="AD77" i="1"/>
  <c r="AD65" i="1"/>
  <c r="AD36" i="1"/>
  <c r="AD27" i="1"/>
  <c r="AD162" i="1"/>
  <c r="AK15" i="1" a="1"/>
  <c r="AK15" i="1"/>
  <c r="AK109" i="1" a="1"/>
  <c r="AK109" i="1"/>
  <c r="N83" i="1"/>
  <c r="N50" i="1"/>
  <c r="Y93" i="1" a="1"/>
  <c r="Y93" i="1"/>
  <c r="AM78" i="1"/>
  <c r="AM154" i="1"/>
  <c r="AM149" i="1"/>
  <c r="AM124" i="1"/>
  <c r="W51" i="1" a="1"/>
  <c r="W51" i="1"/>
  <c r="N78" i="1"/>
  <c r="N154" i="1"/>
  <c r="N149" i="1"/>
  <c r="N124" i="1"/>
  <c r="L15" i="1"/>
  <c r="L109" i="1"/>
  <c r="AA66" i="1" a="1"/>
  <c r="AA66" i="1"/>
  <c r="AA49" i="1" a="1"/>
  <c r="AA49" i="1"/>
  <c r="AA42" i="1" a="1"/>
  <c r="AA42" i="1"/>
  <c r="V56" i="1" a="1"/>
  <c r="V56" i="1"/>
  <c r="Z47" i="1" a="1"/>
  <c r="Z47" i="1"/>
  <c r="W66" i="1" a="1"/>
  <c r="W66" i="1"/>
  <c r="W49" i="1" a="1"/>
  <c r="W49" i="1"/>
  <c r="W42" i="1" a="1"/>
  <c r="W42" i="1"/>
  <c r="V145" i="1" a="1"/>
  <c r="V145" i="1"/>
  <c r="V136" i="1" a="1"/>
  <c r="V136" i="1"/>
  <c r="AD85" i="1"/>
  <c r="K67" i="1"/>
  <c r="K43" i="1"/>
  <c r="K30" i="1"/>
  <c r="K3" i="1"/>
  <c r="K21" i="1"/>
  <c r="K166" i="1"/>
  <c r="K147" i="1"/>
  <c r="K125" i="1"/>
  <c r="K114" i="1"/>
  <c r="H92" i="1"/>
  <c r="X67" i="1" a="1"/>
  <c r="X67" i="1"/>
  <c r="X43" i="1" a="1"/>
  <c r="X43" i="1"/>
  <c r="X30" i="1" a="1"/>
  <c r="X30" i="1"/>
  <c r="X3" i="1" a="1"/>
  <c r="X3" i="1"/>
  <c r="X21" i="1" a="1"/>
  <c r="X21" i="1"/>
  <c r="X166" i="1" a="1"/>
  <c r="X166" i="1"/>
  <c r="X147" i="1" a="1"/>
  <c r="X147" i="1"/>
  <c r="X125" i="1" a="1"/>
  <c r="X125" i="1"/>
  <c r="X114" i="1" a="1"/>
  <c r="X114" i="1"/>
  <c r="Y78" i="1" a="1"/>
  <c r="Y78" i="1"/>
  <c r="Y154" i="1" a="1"/>
  <c r="Y154" i="1"/>
  <c r="Y149" i="1" a="1"/>
  <c r="Y149" i="1"/>
  <c r="Y124" i="1" a="1"/>
  <c r="Y124" i="1"/>
  <c r="AS95" i="1"/>
  <c r="AS71" i="1"/>
  <c r="W113" i="1" a="1"/>
  <c r="W113" i="1"/>
  <c r="X113" i="1" a="1"/>
  <c r="X113" i="1"/>
  <c r="V68" i="1" a="1"/>
  <c r="V68" i="1"/>
  <c r="V31" i="1" a="1"/>
  <c r="V31" i="1"/>
  <c r="E67" i="1"/>
  <c r="E43" i="1"/>
  <c r="E30" i="1"/>
  <c r="E3" i="1"/>
  <c r="E21" i="1"/>
  <c r="E166" i="1"/>
  <c r="E147" i="1"/>
  <c r="E125" i="1"/>
  <c r="E114" i="1"/>
  <c r="L54" i="1"/>
  <c r="AS54" i="1"/>
  <c r="H47" i="1"/>
  <c r="Y66" i="1" a="1"/>
  <c r="Y66" i="1"/>
  <c r="Y49" i="1" a="1"/>
  <c r="Y49" i="1"/>
  <c r="Y42" i="1" a="1"/>
  <c r="Y42" i="1"/>
  <c r="E46" i="1"/>
  <c r="E144" i="1"/>
  <c r="E134" i="1"/>
  <c r="F95" i="1"/>
  <c r="F71" i="1"/>
  <c r="W145" i="1" a="1"/>
  <c r="W145" i="1"/>
  <c r="W136" i="1" a="1"/>
  <c r="W136" i="1"/>
  <c r="N8" i="1"/>
  <c r="N106" i="1"/>
  <c r="Y54" i="1" a="1"/>
  <c r="Y54" i="1"/>
  <c r="AU145" i="1"/>
  <c r="AU136" i="1"/>
  <c r="AD83" i="1"/>
  <c r="AD50" i="1"/>
  <c r="L95" i="1"/>
  <c r="L71" i="1"/>
  <c r="AK68" i="1" a="1"/>
  <c r="AK68" i="1"/>
  <c r="AK31" i="1" a="1"/>
  <c r="AK31" i="1"/>
  <c r="AD93" i="1"/>
  <c r="AA86" i="1" a="1"/>
  <c r="AA86" i="1"/>
  <c r="AA133" i="1" a="1"/>
  <c r="AA133" i="1"/>
  <c r="Q145" i="1"/>
  <c r="Q136" i="1"/>
  <c r="Y95" i="1" a="1"/>
  <c r="Y95" i="1"/>
  <c r="Y71" i="1" a="1"/>
  <c r="Y71" i="1"/>
  <c r="F150" i="1"/>
  <c r="F122" i="1"/>
  <c r="AA69" i="1" a="1"/>
  <c r="AA69" i="1"/>
  <c r="AA57" i="1" a="1"/>
  <c r="AA57" i="1"/>
  <c r="N54" i="1"/>
  <c r="V93" i="1" a="1"/>
  <c r="V93" i="1"/>
  <c r="AM46" i="1"/>
  <c r="AM144" i="1"/>
  <c r="AM134" i="1"/>
  <c r="X145" i="1" a="1"/>
  <c r="X145" i="1"/>
  <c r="X136" i="1" a="1"/>
  <c r="X136" i="1"/>
  <c r="Z110" i="1" a="1"/>
  <c r="Z110" i="1"/>
  <c r="H69" i="1"/>
  <c r="H57" i="1"/>
  <c r="AE82" i="1"/>
  <c r="AE39" i="1"/>
  <c r="AE22" i="1"/>
  <c r="AE167" i="1"/>
  <c r="I46" i="1"/>
  <c r="AO46" i="1" s="1"/>
  <c r="I144" i="1"/>
  <c r="AO144" i="1" s="1"/>
  <c r="I134" i="1"/>
  <c r="AO134" i="1" s="1"/>
  <c r="W150" i="1" a="1"/>
  <c r="W150" i="1"/>
  <c r="W122" i="1" a="1"/>
  <c r="W122" i="1"/>
  <c r="AU85" i="1"/>
  <c r="E66" i="1"/>
  <c r="E49" i="1"/>
  <c r="E42" i="1"/>
  <c r="X82" i="1" a="1"/>
  <c r="X82" i="1"/>
  <c r="X39" i="1" a="1"/>
  <c r="X39" i="1"/>
  <c r="X22" i="1" a="1"/>
  <c r="X22" i="1"/>
  <c r="X167" i="1" a="1"/>
  <c r="X167" i="1"/>
  <c r="AS98" i="1"/>
  <c r="AS79" i="1"/>
  <c r="AS5" i="1"/>
  <c r="AS155" i="1"/>
  <c r="AS118" i="1"/>
  <c r="AM98" i="1"/>
  <c r="AM79" i="1"/>
  <c r="AM5" i="1"/>
  <c r="AM155" i="1"/>
  <c r="AM118" i="1"/>
  <c r="AK46" i="1" a="1"/>
  <c r="AK46" i="1"/>
  <c r="AK144" i="1" a="1"/>
  <c r="AK144" i="1"/>
  <c r="AK134" i="1" a="1"/>
  <c r="AK134" i="1"/>
  <c r="N35" i="1"/>
  <c r="N24" i="1"/>
  <c r="N153" i="1"/>
  <c r="Y12" i="1" a="1"/>
  <c r="Y12" i="1"/>
  <c r="Z93" i="1" a="1"/>
  <c r="Z93" i="1"/>
  <c r="H88" i="1"/>
  <c r="AA85" i="1" a="1"/>
  <c r="AA85" i="1"/>
  <c r="AE145" i="1"/>
  <c r="AE136" i="1"/>
  <c r="E85" i="1"/>
  <c r="E69" i="1"/>
  <c r="E57" i="1"/>
  <c r="F46" i="1"/>
  <c r="F144" i="1"/>
  <c r="F134" i="1"/>
  <c r="AU105" i="1"/>
  <c r="Q82" i="1"/>
  <c r="Q39" i="1"/>
  <c r="Q22" i="1"/>
  <c r="Q167" i="1"/>
  <c r="Y104" i="1" a="1"/>
  <c r="Y104" i="1"/>
  <c r="AM52" i="1"/>
  <c r="AM56" i="1"/>
  <c r="I85" i="1"/>
  <c r="AO85" i="1" s="1"/>
  <c r="AE143" i="1"/>
  <c r="AE127" i="1"/>
  <c r="Z91" i="1" a="1"/>
  <c r="Z91" i="1"/>
  <c r="Z76" i="1" a="1"/>
  <c r="Z76" i="1"/>
  <c r="Z55" i="1" a="1"/>
  <c r="Z55" i="1"/>
  <c r="Z48" i="1" a="1"/>
  <c r="Z48" i="1"/>
  <c r="Z26" i="1" a="1"/>
  <c r="Z26" i="1"/>
  <c r="Z157" i="1" a="1"/>
  <c r="Z157" i="1"/>
  <c r="Z142" i="1" a="1"/>
  <c r="Z142" i="1"/>
  <c r="Z132" i="1" a="1"/>
  <c r="Z132" i="1"/>
  <c r="Z120" i="1" a="1"/>
  <c r="Z120" i="1"/>
  <c r="Z100" i="1" a="1"/>
  <c r="Z100" i="1"/>
  <c r="L94" i="1"/>
  <c r="L151" i="1"/>
  <c r="L123" i="1"/>
  <c r="L101" i="1"/>
  <c r="AS94" i="1"/>
  <c r="AS151" i="1"/>
  <c r="AS123" i="1"/>
  <c r="AS101" i="1"/>
  <c r="W140" i="1" a="1"/>
  <c r="W140" i="1"/>
  <c r="W128" i="1" a="1"/>
  <c r="W128" i="1"/>
  <c r="E51" i="1"/>
  <c r="AE86" i="1"/>
  <c r="AE133" i="1"/>
  <c r="V113" i="1" a="1"/>
  <c r="V113" i="1"/>
  <c r="AA51" i="1" a="1"/>
  <c r="AA51" i="1"/>
  <c r="Q143" i="1"/>
  <c r="Q127" i="1"/>
  <c r="V12" i="1" a="1"/>
  <c r="V12" i="1"/>
  <c r="AE93" i="1"/>
  <c r="E8" i="1"/>
  <c r="E106" i="1"/>
  <c r="AA140" i="1" a="1"/>
  <c r="AA140" i="1"/>
  <c r="AA128" i="1" a="1"/>
  <c r="AA128" i="1"/>
  <c r="V95" i="1" a="1"/>
  <c r="V95" i="1"/>
  <c r="V71" i="1" a="1"/>
  <c r="V71" i="1"/>
  <c r="H143" i="1"/>
  <c r="H127" i="1"/>
  <c r="W56" i="1" a="1"/>
  <c r="W56" i="1"/>
  <c r="N95" i="1"/>
  <c r="N71" i="1"/>
  <c r="Y103" i="1" a="1"/>
  <c r="Y103" i="1"/>
  <c r="W67" i="1" a="1"/>
  <c r="W67" i="1"/>
  <c r="W43" i="1" a="1"/>
  <c r="W43" i="1"/>
  <c r="W30" i="1" a="1"/>
  <c r="W30" i="1"/>
  <c r="W3" i="1" a="1"/>
  <c r="W3" i="1"/>
  <c r="W21" i="1" a="1"/>
  <c r="W21" i="1"/>
  <c r="W166" i="1" a="1"/>
  <c r="W166" i="1"/>
  <c r="W147" i="1" a="1"/>
  <c r="W147" i="1"/>
  <c r="W125" i="1" a="1"/>
  <c r="W125" i="1"/>
  <c r="W114" i="1" a="1"/>
  <c r="W114" i="1"/>
  <c r="F126" i="1"/>
  <c r="Z150" i="1" a="1"/>
  <c r="Z150" i="1"/>
  <c r="Z122" i="1" a="1"/>
  <c r="Z122" i="1"/>
  <c r="AE92" i="1"/>
  <c r="AE107" i="1"/>
  <c r="AA12" i="1" a="1"/>
  <c r="AA12" i="1"/>
  <c r="AK88" i="1" a="1"/>
  <c r="AK88" i="1"/>
  <c r="H145" i="1"/>
  <c r="H136" i="1"/>
  <c r="W46" i="1" a="1"/>
  <c r="W46" i="1"/>
  <c r="W144" i="1" a="1"/>
  <c r="W144" i="1"/>
  <c r="W134" i="1" a="1"/>
  <c r="W134" i="1"/>
  <c r="L85" i="1"/>
  <c r="Q18" i="1"/>
  <c r="F68" i="1"/>
  <c r="F31" i="1"/>
  <c r="W107" i="1" a="1"/>
  <c r="W107" i="1"/>
  <c r="L68" i="1"/>
  <c r="L31" i="1"/>
  <c r="AU95" i="1"/>
  <c r="AU71" i="1"/>
  <c r="K46" i="1"/>
  <c r="K144" i="1"/>
  <c r="K134" i="1"/>
  <c r="I92" i="1"/>
  <c r="AO92" i="1" s="1"/>
  <c r="F78" i="1"/>
  <c r="F154" i="1"/>
  <c r="F149" i="1"/>
  <c r="F124" i="1"/>
  <c r="W62" i="1" a="1"/>
  <c r="W62" i="1"/>
  <c r="W53" i="1" a="1"/>
  <c r="W53" i="1"/>
  <c r="W45" i="1" a="1"/>
  <c r="W45" i="1"/>
  <c r="W115" i="1" a="1"/>
  <c r="W115" i="1"/>
  <c r="Q46" i="1"/>
  <c r="Q144" i="1"/>
  <c r="Q134" i="1"/>
  <c r="Y68" i="1" a="1"/>
  <c r="Y68" i="1"/>
  <c r="Y31" i="1" a="1"/>
  <c r="Y31" i="1"/>
  <c r="AD8" i="1"/>
  <c r="AD106" i="1"/>
  <c r="AS66" i="1"/>
  <c r="AS49" i="1"/>
  <c r="AS42" i="1"/>
  <c r="Y67" i="1" a="1"/>
  <c r="Y67" i="1"/>
  <c r="Y43" i="1" a="1"/>
  <c r="Y43" i="1"/>
  <c r="Y30" i="1" a="1"/>
  <c r="Y30" i="1"/>
  <c r="Y3" i="1" a="1"/>
  <c r="Y3" i="1"/>
  <c r="Y21" i="1" a="1"/>
  <c r="Y21" i="1"/>
  <c r="Y166" i="1" a="1"/>
  <c r="Y166" i="1"/>
  <c r="Y147" i="1" a="1"/>
  <c r="Y147" i="1"/>
  <c r="Y125" i="1" a="1"/>
  <c r="Y125" i="1"/>
  <c r="Y114" i="1" a="1"/>
  <c r="Y114" i="1"/>
  <c r="AD95" i="1"/>
  <c r="AD71" i="1"/>
  <c r="AU88" i="1"/>
  <c r="K66" i="1"/>
  <c r="K49" i="1"/>
  <c r="K42" i="1"/>
  <c r="K69" i="1"/>
  <c r="K57" i="1"/>
  <c r="AM18" i="1"/>
  <c r="AU67" i="1"/>
  <c r="AU43" i="1"/>
  <c r="AU30" i="1"/>
  <c r="AU3" i="1"/>
  <c r="AU21" i="1"/>
  <c r="AU166" i="1"/>
  <c r="AU147" i="1"/>
  <c r="AU125" i="1"/>
  <c r="AU114" i="1"/>
  <c r="V104" i="1" a="1"/>
  <c r="V104" i="1"/>
  <c r="AA88" i="1" a="1"/>
  <c r="AA88" i="1"/>
  <c r="AK18" i="1" a="1"/>
  <c r="AK18" i="1"/>
  <c r="AM51" i="1"/>
  <c r="L67" i="1"/>
  <c r="L43" i="1"/>
  <c r="L30" i="1"/>
  <c r="L3" i="1"/>
  <c r="L21" i="1"/>
  <c r="L166" i="1"/>
  <c r="L147" i="1"/>
  <c r="L125" i="1"/>
  <c r="L114" i="1"/>
  <c r="AS67" i="1"/>
  <c r="AS43" i="1"/>
  <c r="AS30" i="1"/>
  <c r="AS3" i="1"/>
  <c r="AS21" i="1"/>
  <c r="AS166" i="1"/>
  <c r="AS147" i="1"/>
  <c r="AS125" i="1"/>
  <c r="AS114" i="1"/>
  <c r="AA56" i="1" a="1"/>
  <c r="AA56" i="1"/>
  <c r="V67" i="1" a="1"/>
  <c r="V67" i="1"/>
  <c r="V43" i="1" a="1"/>
  <c r="V43" i="1"/>
  <c r="V30" i="1" a="1"/>
  <c r="V30" i="1"/>
  <c r="V3" i="1" a="1"/>
  <c r="V3" i="1"/>
  <c r="V21" i="1" a="1"/>
  <c r="V21" i="1"/>
  <c r="V166" i="1" a="1"/>
  <c r="V166" i="1"/>
  <c r="V147" i="1" a="1"/>
  <c r="V147" i="1"/>
  <c r="V125" i="1" a="1"/>
  <c r="V125" i="1"/>
  <c r="V114" i="1" a="1"/>
  <c r="V114" i="1"/>
  <c r="Z83" i="1" a="1"/>
  <c r="Z83" i="1"/>
  <c r="Z50" i="1" a="1"/>
  <c r="Z50" i="1"/>
  <c r="E98" i="1"/>
  <c r="E79" i="1"/>
  <c r="E5" i="1"/>
  <c r="E155" i="1"/>
  <c r="E118" i="1"/>
  <c r="Z19" i="1" a="1"/>
  <c r="Z19" i="1"/>
  <c r="Z113" i="1" a="1"/>
  <c r="Z113" i="1"/>
  <c r="K8" i="1"/>
  <c r="K106" i="1"/>
  <c r="L66" i="1"/>
  <c r="L49" i="1"/>
  <c r="L42" i="1"/>
  <c r="Q67" i="1"/>
  <c r="Q43" i="1"/>
  <c r="Q30" i="1"/>
  <c r="Q3" i="1"/>
  <c r="Q21" i="1"/>
  <c r="Q166" i="1"/>
  <c r="Q147" i="1"/>
  <c r="Q125" i="1"/>
  <c r="Q114" i="1"/>
  <c r="N85" i="1"/>
  <c r="AD145" i="1"/>
  <c r="AD136" i="1"/>
  <c r="AA8" i="1" a="1"/>
  <c r="AA8" i="1"/>
  <c r="AA106" i="1" a="1"/>
  <c r="AA106" i="1"/>
  <c r="K88" i="1"/>
  <c r="V13" i="1" a="1"/>
  <c r="V13" i="1"/>
  <c r="Z78" i="1" a="1"/>
  <c r="Z78" i="1"/>
  <c r="Z154" i="1" a="1"/>
  <c r="Z154" i="1"/>
  <c r="Z149" i="1" a="1"/>
  <c r="Z149" i="1"/>
  <c r="Z124" i="1" a="1"/>
  <c r="Z124" i="1"/>
  <c r="AD107" i="1"/>
  <c r="AA82" i="1" a="1"/>
  <c r="AA82" i="1"/>
  <c r="AA39" i="1" a="1"/>
  <c r="AA39" i="1"/>
  <c r="AA22" i="1" a="1"/>
  <c r="AA22" i="1"/>
  <c r="AA167" i="1" a="1"/>
  <c r="AA167" i="1"/>
  <c r="H98" i="1"/>
  <c r="H79" i="1"/>
  <c r="H5" i="1"/>
  <c r="H155" i="1"/>
  <c r="H118" i="1"/>
  <c r="V69" i="1" a="1"/>
  <c r="V69" i="1"/>
  <c r="V57" i="1" a="1"/>
  <c r="V57" i="1"/>
  <c r="W69" i="1" a="1"/>
  <c r="W69" i="1"/>
  <c r="W57" i="1" a="1"/>
  <c r="W57" i="1"/>
  <c r="Y46" i="1" a="1"/>
  <c r="Y46" i="1"/>
  <c r="Y144" i="1" a="1"/>
  <c r="Y144" i="1"/>
  <c r="Y134" i="1" a="1"/>
  <c r="Y134" i="1"/>
  <c r="X78" i="1" a="1"/>
  <c r="X78" i="1"/>
  <c r="X154" i="1" a="1"/>
  <c r="X154" i="1"/>
  <c r="X149" i="1" a="1"/>
  <c r="X149" i="1"/>
  <c r="X124" i="1" a="1"/>
  <c r="X124" i="1"/>
  <c r="AE83" i="1"/>
  <c r="AE50" i="1"/>
  <c r="AS8" i="1"/>
  <c r="AS106" i="1"/>
  <c r="K140" i="1"/>
  <c r="K128" i="1"/>
  <c r="K78" i="1"/>
  <c r="K154" i="1"/>
  <c r="K149" i="1"/>
  <c r="K124" i="1"/>
  <c r="H8" i="1"/>
  <c r="H106" i="1"/>
  <c r="AU110" i="1"/>
  <c r="AU150" i="1"/>
  <c r="AU122" i="1"/>
  <c r="AD68" i="1"/>
  <c r="AD31" i="1"/>
  <c r="AK140" i="1" a="1"/>
  <c r="AK140" i="1"/>
  <c r="AK128" i="1" a="1"/>
  <c r="AK128" i="1"/>
  <c r="AD78" i="1"/>
  <c r="AD154" i="1"/>
  <c r="AD149" i="1"/>
  <c r="AD124" i="1"/>
  <c r="AU107" i="1"/>
  <c r="I67" i="1"/>
  <c r="AO67" i="1" s="1"/>
  <c r="I43" i="1"/>
  <c r="AO43" i="1" s="1"/>
  <c r="I30" i="1"/>
  <c r="AO30" i="1" s="1"/>
  <c r="I3" i="1"/>
  <c r="AO3" i="1" s="1"/>
  <c r="I21" i="1"/>
  <c r="AO21" i="1" s="1"/>
  <c r="I166" i="1"/>
  <c r="AO166" i="1" s="1"/>
  <c r="I147" i="1"/>
  <c r="AO147" i="1" s="1"/>
  <c r="I125" i="1"/>
  <c r="AO125" i="1" s="1"/>
  <c r="I114" i="1"/>
  <c r="AO114" i="1" s="1"/>
  <c r="F51" i="1"/>
  <c r="N105" i="1"/>
  <c r="V98" i="1" a="1"/>
  <c r="V98" i="1"/>
  <c r="V79" i="1" a="1"/>
  <c r="V79" i="1"/>
  <c r="V5" i="1" a="1"/>
  <c r="V5" i="1"/>
  <c r="V155" i="1" a="1"/>
  <c r="V155" i="1"/>
  <c r="V118" i="1" a="1"/>
  <c r="V118" i="1"/>
  <c r="F85" i="1"/>
  <c r="AU69" i="1"/>
  <c r="AU57" i="1"/>
  <c r="X86" i="1" a="1"/>
  <c r="X86" i="1"/>
  <c r="X133" i="1" a="1"/>
  <c r="X133" i="1"/>
  <c r="AU82" i="1"/>
  <c r="AU39" i="1"/>
  <c r="AU22" i="1"/>
  <c r="AU167" i="1"/>
  <c r="Y86" i="1" a="1"/>
  <c r="Y86" i="1"/>
  <c r="Y133" i="1" a="1"/>
  <c r="Y133" i="1"/>
  <c r="K86" i="1"/>
  <c r="K133" i="1"/>
  <c r="AE78" i="1"/>
  <c r="AE154" i="1"/>
  <c r="AE149" i="1"/>
  <c r="AE124" i="1"/>
  <c r="AM66" i="1"/>
  <c r="AM49" i="1"/>
  <c r="AM42" i="1"/>
  <c r="E93" i="1"/>
  <c r="X69" i="1" a="1"/>
  <c r="X69" i="1"/>
  <c r="X57" i="1" a="1"/>
  <c r="X57" i="1"/>
  <c r="AE98" i="1"/>
  <c r="AE79" i="1"/>
  <c r="AE5" i="1"/>
  <c r="AE155" i="1"/>
  <c r="AE118" i="1"/>
  <c r="V66" i="1" a="1"/>
  <c r="V66" i="1"/>
  <c r="V49" i="1" a="1"/>
  <c r="V49" i="1"/>
  <c r="V42" i="1" a="1"/>
  <c r="V42" i="1"/>
  <c r="L8" i="1"/>
  <c r="L106" i="1"/>
  <c r="K91" i="1"/>
  <c r="K76" i="1"/>
  <c r="K55" i="1"/>
  <c r="K48" i="1"/>
  <c r="K26" i="1"/>
  <c r="K157" i="1"/>
  <c r="K142" i="1"/>
  <c r="K132" i="1"/>
  <c r="K120" i="1"/>
  <c r="K100" i="1"/>
  <c r="Z69" i="1" a="1"/>
  <c r="Z69" i="1"/>
  <c r="Z57" i="1" a="1"/>
  <c r="Z57" i="1"/>
  <c r="AE91" i="1"/>
  <c r="AE76" i="1"/>
  <c r="AE55" i="1"/>
  <c r="AE48" i="1"/>
  <c r="AE26" i="1"/>
  <c r="AE157" i="1"/>
  <c r="AE142" i="1"/>
  <c r="AE132" i="1"/>
  <c r="AE120" i="1"/>
  <c r="AE100" i="1"/>
  <c r="F67" i="1"/>
  <c r="F43" i="1"/>
  <c r="F30" i="1"/>
  <c r="F3" i="1"/>
  <c r="F21" i="1"/>
  <c r="F166" i="1"/>
  <c r="F147" i="1"/>
  <c r="F125" i="1"/>
  <c r="F114" i="1"/>
  <c r="H150" i="1"/>
  <c r="H122" i="1"/>
  <c r="W82" i="1" a="1"/>
  <c r="W82" i="1"/>
  <c r="W39" i="1" a="1"/>
  <c r="W39" i="1"/>
  <c r="W22" i="1" a="1"/>
  <c r="W22" i="1"/>
  <c r="W167" i="1" a="1"/>
  <c r="W167" i="1"/>
  <c r="AK82" i="1" a="1"/>
  <c r="AK82" i="1"/>
  <c r="AK39" i="1" a="1"/>
  <c r="AK39" i="1"/>
  <c r="AK22" i="1" a="1"/>
  <c r="AK22" i="1"/>
  <c r="AK167" i="1" a="1"/>
  <c r="AK167" i="1"/>
  <c r="E78" i="1"/>
  <c r="E154" i="1"/>
  <c r="E149" i="1"/>
  <c r="E124" i="1"/>
  <c r="AS46" i="1"/>
  <c r="AS144" i="1"/>
  <c r="AS134" i="1"/>
  <c r="F143" i="1"/>
  <c r="F127" i="1"/>
  <c r="AE150" i="1"/>
  <c r="AE122" i="1"/>
  <c r="I78" i="1"/>
  <c r="AO78" i="1" s="1"/>
  <c r="I154" i="1"/>
  <c r="AO154" i="1" s="1"/>
  <c r="I149" i="1"/>
  <c r="AO149" i="1" s="1"/>
  <c r="I124" i="1"/>
  <c r="AO124" i="1" s="1"/>
  <c r="AD91" i="1"/>
  <c r="AD76" i="1"/>
  <c r="AD55" i="1"/>
  <c r="AD48" i="1"/>
  <c r="AD26" i="1"/>
  <c r="AD157" i="1"/>
  <c r="AD142" i="1"/>
  <c r="AD132" i="1"/>
  <c r="AD120" i="1"/>
  <c r="AD100" i="1"/>
  <c r="N91" i="1"/>
  <c r="N76" i="1"/>
  <c r="N55" i="1"/>
  <c r="N48" i="1"/>
  <c r="N26" i="1"/>
  <c r="N157" i="1"/>
  <c r="N142" i="1"/>
  <c r="N132" i="1"/>
  <c r="N120" i="1"/>
  <c r="N100" i="1"/>
  <c r="AU78" i="1"/>
  <c r="AU154" i="1"/>
  <c r="AU149" i="1"/>
  <c r="AU124" i="1"/>
  <c r="I52" i="1"/>
  <c r="AO52" i="1" s="1"/>
  <c r="AS52" i="1"/>
  <c r="H78" i="1"/>
  <c r="H154" i="1"/>
  <c r="H149" i="1"/>
  <c r="H124" i="1"/>
  <c r="Q91" i="1"/>
  <c r="Q76" i="1"/>
  <c r="Q55" i="1"/>
  <c r="Q48" i="1"/>
  <c r="Q26" i="1"/>
  <c r="Q157" i="1"/>
  <c r="Q142" i="1"/>
  <c r="Q132" i="1"/>
  <c r="Q120" i="1"/>
  <c r="Q100" i="1"/>
  <c r="L52" i="1"/>
  <c r="W91" i="1" a="1"/>
  <c r="W91" i="1"/>
  <c r="W76" i="1" a="1"/>
  <c r="W76" i="1"/>
  <c r="W55" i="1" a="1"/>
  <c r="W55" i="1"/>
  <c r="W48" i="1" a="1"/>
  <c r="W48" i="1"/>
  <c r="W26" i="1" a="1"/>
  <c r="W26" i="1"/>
  <c r="W157" i="1" a="1"/>
  <c r="W157" i="1"/>
  <c r="W142" i="1" a="1"/>
  <c r="W142" i="1"/>
  <c r="W132" i="1" a="1"/>
  <c r="W132" i="1"/>
  <c r="W120" i="1" a="1"/>
  <c r="W120" i="1"/>
  <c r="W100" i="1" a="1"/>
  <c r="W100" i="1"/>
  <c r="L46" i="1"/>
  <c r="L144" i="1"/>
  <c r="L134" i="1"/>
  <c r="N86" i="1"/>
  <c r="N133" i="1"/>
  <c r="V88" i="1" a="1"/>
  <c r="V88" i="1"/>
  <c r="E91" i="1"/>
  <c r="E76" i="1"/>
  <c r="E55" i="1"/>
  <c r="E48" i="1"/>
  <c r="E26" i="1"/>
  <c r="E157" i="1"/>
  <c r="E142" i="1"/>
  <c r="E132" i="1"/>
  <c r="E120" i="1"/>
  <c r="E100" i="1"/>
  <c r="Y143" i="1" a="1"/>
  <c r="Y143" i="1"/>
  <c r="Y127" i="1" a="1"/>
  <c r="Y127" i="1"/>
  <c r="AK67" i="1" a="1"/>
  <c r="AK67" i="1"/>
  <c r="AK43" i="1" a="1"/>
  <c r="AK43" i="1"/>
  <c r="AK30" i="1" a="1"/>
  <c r="AK30" i="1"/>
  <c r="AK3" i="1" a="1"/>
  <c r="AK3" i="1"/>
  <c r="AK21" i="1" a="1"/>
  <c r="AK21" i="1"/>
  <c r="AK166" i="1" a="1"/>
  <c r="AK166" i="1"/>
  <c r="AK147" i="1" a="1"/>
  <c r="AK147" i="1"/>
  <c r="AK125" i="1" a="1"/>
  <c r="AK125" i="1"/>
  <c r="AK114" i="1" a="1"/>
  <c r="AK114" i="1"/>
  <c r="L82" i="1"/>
  <c r="L39" i="1"/>
  <c r="L22" i="1"/>
  <c r="L167" i="1"/>
  <c r="AS82" i="1"/>
  <c r="AS39" i="1"/>
  <c r="AS22" i="1"/>
  <c r="AS167" i="1"/>
  <c r="AK86" i="1" a="1"/>
  <c r="AK86" i="1"/>
  <c r="AK133" i="1" a="1"/>
  <c r="AK133" i="1"/>
  <c r="AE140" i="1"/>
  <c r="AE128" i="1"/>
  <c r="V86" i="1" a="1"/>
  <c r="V86" i="1"/>
  <c r="V133" i="1" a="1"/>
  <c r="V133" i="1"/>
  <c r="Z98" i="1" a="1"/>
  <c r="Z98" i="1"/>
  <c r="Z79" i="1" a="1"/>
  <c r="Z79" i="1"/>
  <c r="Z5" i="1" a="1"/>
  <c r="Z5" i="1"/>
  <c r="Z155" i="1" a="1"/>
  <c r="Z155" i="1"/>
  <c r="Z118" i="1" a="1"/>
  <c r="Z118" i="1"/>
  <c r="H52" i="1"/>
  <c r="N80" i="1"/>
  <c r="N58" i="1"/>
  <c r="N28" i="1"/>
  <c r="N161" i="1"/>
  <c r="N121" i="1"/>
  <c r="N10" i="1"/>
  <c r="AD82" i="1"/>
  <c r="AD39" i="1"/>
  <c r="AD22" i="1"/>
  <c r="AD167" i="1"/>
  <c r="AS88" i="1"/>
  <c r="AS78" i="1"/>
  <c r="AS154" i="1"/>
  <c r="AS149" i="1"/>
  <c r="AS124" i="1"/>
  <c r="V78" i="1" a="1"/>
  <c r="V78" i="1"/>
  <c r="V154" i="1" a="1"/>
  <c r="V154" i="1"/>
  <c r="V149" i="1" a="1"/>
  <c r="V149" i="1"/>
  <c r="V124" i="1" a="1"/>
  <c r="V124" i="1"/>
  <c r="L86" i="1"/>
  <c r="L133" i="1"/>
  <c r="L88" i="1"/>
  <c r="Q52" i="1"/>
  <c r="L56" i="1"/>
  <c r="AA107" i="1" a="1"/>
  <c r="AA107" i="1"/>
  <c r="L98" i="1"/>
  <c r="L79" i="1"/>
  <c r="L5" i="1"/>
  <c r="L155" i="1"/>
  <c r="L118" i="1"/>
  <c r="X143" i="1" a="1"/>
  <c r="X143" i="1"/>
  <c r="X127" i="1" a="1"/>
  <c r="X127" i="1"/>
  <c r="L78" i="1"/>
  <c r="L154" i="1"/>
  <c r="L149" i="1"/>
  <c r="L124" i="1"/>
  <c r="Y140" i="1" a="1"/>
  <c r="Y140" i="1"/>
  <c r="Y128" i="1" a="1"/>
  <c r="Y128" i="1"/>
  <c r="N88" i="1"/>
  <c r="W89" i="1" a="1"/>
  <c r="W89" i="1"/>
  <c r="W81" i="1" a="1"/>
  <c r="W81" i="1"/>
  <c r="W59" i="1" a="1"/>
  <c r="W59" i="1"/>
  <c r="W41" i="1" a="1"/>
  <c r="W41" i="1"/>
  <c r="W37" i="1" a="1"/>
  <c r="W37" i="1"/>
  <c r="W29" i="1" a="1"/>
  <c r="W29" i="1"/>
  <c r="W164" i="1" a="1"/>
  <c r="W164" i="1"/>
  <c r="W135" i="1" a="1"/>
  <c r="W135" i="1"/>
  <c r="H51" i="1"/>
  <c r="AA62" i="1" a="1"/>
  <c r="AA62" i="1"/>
  <c r="AA53" i="1" a="1"/>
  <c r="AA53" i="1"/>
  <c r="AA45" i="1" a="1"/>
  <c r="AA45" i="1"/>
  <c r="AA115" i="1" a="1"/>
  <c r="AA115" i="1"/>
  <c r="AE52" i="1"/>
  <c r="W92" i="1" a="1"/>
  <c r="W92" i="1"/>
  <c r="W68" i="1" a="1"/>
  <c r="W68" i="1"/>
  <c r="W31" i="1" a="1"/>
  <c r="W31" i="1"/>
  <c r="X104" i="1" a="1"/>
  <c r="X104" i="1"/>
  <c r="H110" i="1"/>
  <c r="Z104" i="1" a="1"/>
  <c r="Z104" i="1"/>
  <c r="Y89" i="1" a="1"/>
  <c r="Y89" i="1"/>
  <c r="Y81" i="1" a="1"/>
  <c r="Y81" i="1"/>
  <c r="Y59" i="1" a="1"/>
  <c r="Y59" i="1"/>
  <c r="Y41" i="1" a="1"/>
  <c r="Y41" i="1"/>
  <c r="Y37" i="1" a="1"/>
  <c r="Y37" i="1"/>
  <c r="Y29" i="1" a="1"/>
  <c r="Y29" i="1"/>
  <c r="Y164" i="1" a="1"/>
  <c r="Y164" i="1"/>
  <c r="Y135" i="1" a="1"/>
  <c r="Y135" i="1"/>
  <c r="F98" i="1"/>
  <c r="F79" i="1"/>
  <c r="F5" i="1"/>
  <c r="F155" i="1"/>
  <c r="F118" i="1"/>
  <c r="K56" i="1"/>
  <c r="V54" i="1" a="1"/>
  <c r="V54" i="1"/>
  <c r="V140" i="1" a="1"/>
  <c r="V140" i="1"/>
  <c r="V128" i="1" a="1"/>
  <c r="V128" i="1"/>
  <c r="AU91" i="1"/>
  <c r="AU76" i="1"/>
  <c r="AU55" i="1"/>
  <c r="AU48" i="1"/>
  <c r="AU26" i="1"/>
  <c r="AU157" i="1"/>
  <c r="AU142" i="1"/>
  <c r="AU132" i="1"/>
  <c r="AU120" i="1"/>
  <c r="AU100" i="1"/>
  <c r="X91" i="1" a="1"/>
  <c r="X91" i="1"/>
  <c r="X76" i="1" a="1"/>
  <c r="X76" i="1"/>
  <c r="X55" i="1" a="1"/>
  <c r="X55" i="1"/>
  <c r="X48" i="1" a="1"/>
  <c r="X48" i="1"/>
  <c r="X26" i="1" a="1"/>
  <c r="X26" i="1"/>
  <c r="X157" i="1" a="1"/>
  <c r="X157" i="1"/>
  <c r="X142" i="1" a="1"/>
  <c r="X142" i="1"/>
  <c r="X132" i="1" a="1"/>
  <c r="X132" i="1"/>
  <c r="X120" i="1" a="1"/>
  <c r="X120" i="1"/>
  <c r="X100" i="1" a="1"/>
  <c r="X100" i="1"/>
  <c r="Y69" i="1" a="1"/>
  <c r="Y69" i="1"/>
  <c r="Y57" i="1" a="1"/>
  <c r="Y57" i="1"/>
  <c r="Z99" i="1" a="1"/>
  <c r="Z99" i="1"/>
  <c r="Z74" i="1" a="1"/>
  <c r="Z74" i="1"/>
  <c r="Z61" i="1" a="1"/>
  <c r="Z61" i="1"/>
  <c r="Z38" i="1" a="1"/>
  <c r="Z38" i="1"/>
  <c r="Z23" i="1" a="1"/>
  <c r="Z23" i="1"/>
  <c r="Z165" i="1" a="1"/>
  <c r="Z165" i="1"/>
  <c r="Z16" i="1" a="1"/>
  <c r="Z16" i="1"/>
  <c r="Z152" i="1" a="1"/>
  <c r="Z152" i="1"/>
  <c r="Z146" i="1" a="1"/>
  <c r="Z146" i="1"/>
  <c r="Z137" i="1" a="1"/>
  <c r="Z137" i="1"/>
  <c r="Z119" i="1" a="1"/>
  <c r="Z119" i="1"/>
  <c r="Z111" i="1" a="1"/>
  <c r="Z111" i="1"/>
  <c r="AE110" i="1"/>
  <c r="AA150" i="1" a="1"/>
  <c r="AA150" i="1"/>
  <c r="AA122" i="1" a="1"/>
  <c r="AA122" i="1"/>
  <c r="Y98" i="1" a="1"/>
  <c r="Y98" i="1"/>
  <c r="Y79" i="1" a="1"/>
  <c r="Y79" i="1"/>
  <c r="Y5" i="1" a="1"/>
  <c r="Y5" i="1"/>
  <c r="Y155" i="1" a="1"/>
  <c r="Y155" i="1"/>
  <c r="Y118" i="1" a="1"/>
  <c r="Y118" i="1"/>
  <c r="E107" i="1"/>
  <c r="X98" i="1" a="1"/>
  <c r="X98" i="1"/>
  <c r="X79" i="1" a="1"/>
  <c r="X79" i="1"/>
  <c r="X5" i="1" a="1"/>
  <c r="X5" i="1"/>
  <c r="X155" i="1" a="1"/>
  <c r="X155" i="1"/>
  <c r="X118" i="1" a="1"/>
  <c r="X118" i="1"/>
  <c r="AK143" i="1" a="1"/>
  <c r="AK143" i="1"/>
  <c r="AK127" i="1" a="1"/>
  <c r="AK127" i="1"/>
  <c r="Y52" i="1" a="1"/>
  <c r="Y52" i="1"/>
  <c r="N66" i="1"/>
  <c r="N49" i="1"/>
  <c r="N42" i="1"/>
  <c r="F107" i="1"/>
  <c r="F91" i="1"/>
  <c r="F76" i="1"/>
  <c r="F55" i="1"/>
  <c r="F48" i="1"/>
  <c r="F26" i="1"/>
  <c r="F157" i="1"/>
  <c r="F142" i="1"/>
  <c r="F132" i="1"/>
  <c r="F120" i="1"/>
  <c r="F100" i="1"/>
  <c r="Z62" i="1" a="1"/>
  <c r="Z62" i="1"/>
  <c r="Z53" i="1" a="1"/>
  <c r="Z53" i="1"/>
  <c r="Z45" i="1" a="1"/>
  <c r="Z45" i="1"/>
  <c r="Z115" i="1" a="1"/>
  <c r="Z115" i="1"/>
  <c r="AK91" i="1" a="1"/>
  <c r="AK91" i="1"/>
  <c r="AK76" i="1" a="1"/>
  <c r="AK76" i="1"/>
  <c r="AK55" i="1" a="1"/>
  <c r="AK55" i="1"/>
  <c r="AK48" i="1" a="1"/>
  <c r="AK48" i="1"/>
  <c r="AK26" i="1" a="1"/>
  <c r="AK26" i="1"/>
  <c r="AK157" i="1" a="1"/>
  <c r="AK157" i="1"/>
  <c r="AK142" i="1" a="1"/>
  <c r="AK142" i="1"/>
  <c r="AK132" i="1" a="1"/>
  <c r="AK132" i="1"/>
  <c r="AK120" i="1" a="1"/>
  <c r="AK120" i="1"/>
  <c r="AK100" i="1" a="1"/>
  <c r="AK100" i="1"/>
  <c r="AA99" i="1" a="1"/>
  <c r="AA99" i="1"/>
  <c r="AA74" i="1" a="1"/>
  <c r="AA74" i="1"/>
  <c r="AA61" i="1" a="1"/>
  <c r="AA61" i="1"/>
  <c r="AA38" i="1" a="1"/>
  <c r="AA38" i="1"/>
  <c r="AA23" i="1" a="1"/>
  <c r="AA23" i="1"/>
  <c r="AA165" i="1" a="1"/>
  <c r="AA165" i="1"/>
  <c r="AA16" i="1" a="1"/>
  <c r="AA16" i="1"/>
  <c r="AA152" i="1" a="1"/>
  <c r="AA152" i="1"/>
  <c r="AA146" i="1" a="1"/>
  <c r="AA146" i="1"/>
  <c r="AA137" i="1" a="1"/>
  <c r="AA137" i="1"/>
  <c r="AA119" i="1" a="1"/>
  <c r="AA119" i="1"/>
  <c r="AA111" i="1" a="1"/>
  <c r="AA111" i="1"/>
  <c r="AD46" i="1"/>
  <c r="AD144" i="1"/>
  <c r="AD134" i="1"/>
  <c r="K52" i="1"/>
  <c r="Y91" i="1" a="1"/>
  <c r="Y91" i="1"/>
  <c r="Y76" i="1" a="1"/>
  <c r="Y76" i="1"/>
  <c r="Y55" i="1" a="1"/>
  <c r="Y55" i="1"/>
  <c r="Y48" i="1" a="1"/>
  <c r="Y48" i="1"/>
  <c r="Y26" i="1" a="1"/>
  <c r="Y26" i="1"/>
  <c r="Y157" i="1" a="1"/>
  <c r="Y157" i="1"/>
  <c r="Y142" i="1" a="1"/>
  <c r="Y142" i="1"/>
  <c r="Y132" i="1" a="1"/>
  <c r="Y132" i="1"/>
  <c r="Y120" i="1" a="1"/>
  <c r="Y120" i="1"/>
  <c r="Y100" i="1" a="1"/>
  <c r="Y100" i="1"/>
  <c r="AA67" i="1" a="1"/>
  <c r="AA67" i="1"/>
  <c r="AA43" i="1" a="1"/>
  <c r="AA43" i="1"/>
  <c r="AA30" i="1" a="1"/>
  <c r="AA30" i="1"/>
  <c r="AA3" i="1" a="1"/>
  <c r="AA3" i="1"/>
  <c r="AA21" i="1" a="1"/>
  <c r="AA21" i="1"/>
  <c r="AA166" i="1" a="1"/>
  <c r="AA166" i="1"/>
  <c r="AA147" i="1" a="1"/>
  <c r="AA147" i="1"/>
  <c r="AA125" i="1" a="1"/>
  <c r="AA125" i="1"/>
  <c r="AA114" i="1" a="1"/>
  <c r="AA114" i="1"/>
  <c r="W78" i="1" a="1"/>
  <c r="W78" i="1"/>
  <c r="W154" i="1" a="1"/>
  <c r="W154" i="1"/>
  <c r="W149" i="1" a="1"/>
  <c r="W149" i="1"/>
  <c r="W124" i="1" a="1"/>
  <c r="W124" i="1"/>
  <c r="H56" i="1"/>
  <c r="L69" i="1"/>
  <c r="L57" i="1"/>
  <c r="Z145" i="1" a="1"/>
  <c r="Z145" i="1"/>
  <c r="Z136" i="1" a="1"/>
  <c r="Z136" i="1"/>
  <c r="X62" i="1" a="1"/>
  <c r="X62" i="1"/>
  <c r="X53" i="1" a="1"/>
  <c r="X53" i="1"/>
  <c r="X45" i="1" a="1"/>
  <c r="X45" i="1"/>
  <c r="X115" i="1" a="1"/>
  <c r="X115" i="1"/>
  <c r="I95" i="1"/>
  <c r="AO95" i="1" s="1"/>
  <c r="I71" i="1"/>
  <c r="AO71" i="1" s="1"/>
  <c r="AD88" i="1"/>
  <c r="Y99" i="1" a="1"/>
  <c r="Y99" i="1"/>
  <c r="Y74" i="1" a="1"/>
  <c r="Y74" i="1"/>
  <c r="Y61" i="1" a="1"/>
  <c r="Y61" i="1"/>
  <c r="Y38" i="1" a="1"/>
  <c r="Y38" i="1"/>
  <c r="Y23" i="1" a="1"/>
  <c r="Y23" i="1"/>
  <c r="Y165" i="1" a="1"/>
  <c r="Y165" i="1"/>
  <c r="Y16" i="1" a="1"/>
  <c r="Y16" i="1"/>
  <c r="Y152" i="1" a="1"/>
  <c r="Y152" i="1"/>
  <c r="Y146" i="1" a="1"/>
  <c r="Y146" i="1"/>
  <c r="Y137" i="1" a="1"/>
  <c r="Y137" i="1"/>
  <c r="Y119" i="1" a="1"/>
  <c r="Y119" i="1"/>
  <c r="Y111" i="1" a="1"/>
  <c r="Y111" i="1"/>
  <c r="Z56" i="1" a="1"/>
  <c r="Z56" i="1"/>
  <c r="K105" i="1"/>
  <c r="F82" i="1"/>
  <c r="F39" i="1"/>
  <c r="F22" i="1"/>
  <c r="F167" i="1"/>
  <c r="W104" i="1" a="1"/>
  <c r="W104" i="1"/>
  <c r="H67" i="1"/>
  <c r="H43" i="1"/>
  <c r="H30" i="1"/>
  <c r="H3" i="1"/>
  <c r="H21" i="1"/>
  <c r="H166" i="1"/>
  <c r="H147" i="1"/>
  <c r="H125" i="1"/>
  <c r="H114" i="1"/>
  <c r="Y92" i="1" a="1"/>
  <c r="Y92" i="1"/>
  <c r="F8" i="1"/>
  <c r="F106" i="1"/>
  <c r="AM82" i="1"/>
  <c r="AM39" i="1"/>
  <c r="AM22" i="1"/>
  <c r="AM167" i="1"/>
  <c r="Y83" i="1" a="1"/>
  <c r="Y83" i="1"/>
  <c r="Y50" i="1" a="1"/>
  <c r="Y50" i="1"/>
  <c r="AM67" i="1"/>
  <c r="AM43" i="1"/>
  <c r="AM30" i="1"/>
  <c r="AM3" i="1"/>
  <c r="AM21" i="1"/>
  <c r="AM166" i="1"/>
  <c r="AM147" i="1"/>
  <c r="AM125" i="1"/>
  <c r="AM114" i="1"/>
  <c r="Y82" i="1" a="1"/>
  <c r="Y82" i="1"/>
  <c r="Y39" i="1" a="1"/>
  <c r="Y39" i="1"/>
  <c r="Y22" i="1" a="1"/>
  <c r="Y22" i="1"/>
  <c r="Y167" i="1" a="1"/>
  <c r="Y167" i="1"/>
  <c r="Q95" i="1"/>
  <c r="Q71" i="1"/>
  <c r="H107" i="1"/>
  <c r="N145" i="1"/>
  <c r="N136" i="1"/>
  <c r="Q54" i="1"/>
  <c r="Y62" i="1" a="1"/>
  <c r="Y62" i="1"/>
  <c r="Y53" i="1" a="1"/>
  <c r="Y53" i="1"/>
  <c r="Y45" i="1" a="1"/>
  <c r="Y45" i="1"/>
  <c r="Y115" i="1" a="1"/>
  <c r="Y115" i="1"/>
  <c r="Q8" i="1"/>
  <c r="Q106" i="1"/>
  <c r="Y97" i="1" a="1"/>
  <c r="Y97" i="1"/>
  <c r="Y75" i="1" a="1"/>
  <c r="Y75" i="1"/>
  <c r="Y60" i="1" a="1"/>
  <c r="Y60" i="1"/>
  <c r="Y40" i="1" a="1"/>
  <c r="Y40" i="1"/>
  <c r="Y4" i="1" a="1"/>
  <c r="Y4" i="1"/>
  <c r="Y25" i="1" a="1"/>
  <c r="Y25" i="1"/>
  <c r="Y163" i="1" a="1"/>
  <c r="Y163" i="1"/>
  <c r="Y117" i="1" a="1"/>
  <c r="Y117" i="1"/>
  <c r="H46" i="1"/>
  <c r="H144" i="1"/>
  <c r="H134" i="1"/>
  <c r="AM91" i="1"/>
  <c r="AM76" i="1"/>
  <c r="AM55" i="1"/>
  <c r="AM48" i="1"/>
  <c r="AM26" i="1"/>
  <c r="AM157" i="1"/>
  <c r="AM142" i="1"/>
  <c r="AM132" i="1"/>
  <c r="AM120" i="1"/>
  <c r="AM100" i="1"/>
  <c r="Z97" i="1" a="1"/>
  <c r="Z97" i="1"/>
  <c r="Z75" i="1" a="1"/>
  <c r="Z75" i="1"/>
  <c r="Z60" i="1" a="1"/>
  <c r="Z60" i="1"/>
  <c r="Z40" i="1" a="1"/>
  <c r="Z40" i="1"/>
  <c r="Z4" i="1" a="1"/>
  <c r="Z4" i="1"/>
  <c r="Z25" i="1" a="1"/>
  <c r="Z25" i="1"/>
  <c r="Z163" i="1" a="1"/>
  <c r="Z163" i="1"/>
  <c r="Z117" i="1" a="1"/>
  <c r="Z117" i="1"/>
  <c r="AK78" i="1" a="1"/>
  <c r="AK78" i="1"/>
  <c r="AK154" i="1" a="1"/>
  <c r="AK154" i="1"/>
  <c r="AK149" i="1" a="1"/>
  <c r="AK149" i="1"/>
  <c r="AK124" i="1" a="1"/>
  <c r="AK124" i="1"/>
  <c r="W97" i="1" a="1"/>
  <c r="W97" i="1"/>
  <c r="W75" i="1" a="1"/>
  <c r="W75" i="1"/>
  <c r="W60" i="1" a="1"/>
  <c r="W60" i="1"/>
  <c r="W40" i="1" a="1"/>
  <c r="W40" i="1"/>
  <c r="W4" i="1" a="1"/>
  <c r="W4" i="1"/>
  <c r="W25" i="1" a="1"/>
  <c r="W25" i="1"/>
  <c r="W163" i="1" a="1"/>
  <c r="W163" i="1"/>
  <c r="W117" i="1" a="1"/>
  <c r="W117" i="1"/>
  <c r="V97" i="1" a="1"/>
  <c r="V97" i="1"/>
  <c r="V75" i="1" a="1"/>
  <c r="V75" i="1"/>
  <c r="V60" i="1" a="1"/>
  <c r="V60" i="1"/>
  <c r="V40" i="1" a="1"/>
  <c r="V40" i="1"/>
  <c r="V4" i="1" a="1"/>
  <c r="V4" i="1"/>
  <c r="V25" i="1" a="1"/>
  <c r="V25" i="1"/>
  <c r="V163" i="1" a="1"/>
  <c r="V163" i="1"/>
  <c r="V117" i="1" a="1"/>
  <c r="V117" i="1"/>
  <c r="AA97" i="1" a="1"/>
  <c r="AA97" i="1"/>
  <c r="AA75" i="1" a="1"/>
  <c r="AA75" i="1"/>
  <c r="AA60" i="1" a="1"/>
  <c r="AA60" i="1"/>
  <c r="AA40" i="1" a="1"/>
  <c r="AA40" i="1"/>
  <c r="AA4" i="1" a="1"/>
  <c r="AA4" i="1"/>
  <c r="AA25" i="1" a="1"/>
  <c r="AA25" i="1"/>
  <c r="AA163" i="1" a="1"/>
  <c r="AA163" i="1"/>
  <c r="AA117" i="1" a="1"/>
  <c r="AA117" i="1"/>
  <c r="E105" i="1"/>
  <c r="N69" i="1"/>
  <c r="N57" i="1"/>
  <c r="L107" i="1"/>
  <c r="AS107" i="1"/>
  <c r="Z82" i="1" a="1"/>
  <c r="Z82" i="1"/>
  <c r="Z39" i="1" a="1"/>
  <c r="Z39" i="1"/>
  <c r="Z22" i="1" a="1"/>
  <c r="Z22" i="1"/>
  <c r="Z167" i="1" a="1"/>
  <c r="Z167" i="1"/>
  <c r="N82" i="1"/>
  <c r="N39" i="1"/>
  <c r="N22" i="1"/>
  <c r="N167" i="1"/>
  <c r="X97" i="1" a="1"/>
  <c r="X97" i="1"/>
  <c r="X75" i="1" a="1"/>
  <c r="X75" i="1"/>
  <c r="X60" i="1" a="1"/>
  <c r="X60" i="1"/>
  <c r="X40" i="1" a="1"/>
  <c r="X40" i="1"/>
  <c r="X4" i="1" a="1"/>
  <c r="X4" i="1"/>
  <c r="X25" i="1" a="1"/>
  <c r="X25" i="1"/>
  <c r="X163" i="1" a="1"/>
  <c r="X163" i="1"/>
  <c r="X117" i="1" a="1"/>
  <c r="X117" i="1"/>
  <c r="E143" i="1"/>
  <c r="E127" i="1"/>
  <c r="L145" i="1"/>
  <c r="L136" i="1"/>
  <c r="AS145" i="1"/>
  <c r="AS136" i="1"/>
  <c r="X89" i="1" a="1"/>
  <c r="X89" i="1"/>
  <c r="X81" i="1" a="1"/>
  <c r="X81" i="1"/>
  <c r="X59" i="1" a="1"/>
  <c r="X59" i="1"/>
  <c r="X41" i="1" a="1"/>
  <c r="X41" i="1"/>
  <c r="X37" i="1" a="1"/>
  <c r="X37" i="1"/>
  <c r="X29" i="1" a="1"/>
  <c r="X29" i="1"/>
  <c r="X164" i="1" a="1"/>
  <c r="X164" i="1"/>
  <c r="X135" i="1" a="1"/>
  <c r="X135" i="1"/>
  <c r="AA91" i="1" a="1"/>
  <c r="AA91" i="1"/>
  <c r="AA76" i="1" a="1"/>
  <c r="AA76" i="1"/>
  <c r="AA55" i="1" a="1"/>
  <c r="AA55" i="1"/>
  <c r="AA48" i="1" a="1"/>
  <c r="AA48" i="1"/>
  <c r="AA26" i="1" a="1"/>
  <c r="AA26" i="1"/>
  <c r="AA157" i="1" a="1"/>
  <c r="AA157" i="1"/>
  <c r="AA142" i="1" a="1"/>
  <c r="AA142" i="1"/>
  <c r="AA132" i="1" a="1"/>
  <c r="AA132" i="1"/>
  <c r="AA120" i="1" a="1"/>
  <c r="AA120" i="1"/>
  <c r="AA100" i="1" a="1"/>
  <c r="AA100" i="1"/>
  <c r="V82" i="1" a="1"/>
  <c r="V82" i="1"/>
  <c r="V39" i="1" a="1"/>
  <c r="V39" i="1"/>
  <c r="V22" i="1" a="1"/>
  <c r="V22" i="1"/>
  <c r="V167" i="1" a="1"/>
  <c r="V167" i="1"/>
  <c r="V99" i="1" a="1"/>
  <c r="V99" i="1"/>
  <c r="V74" i="1" a="1"/>
  <c r="V74" i="1"/>
  <c r="V61" i="1" a="1"/>
  <c r="V61" i="1"/>
  <c r="V38" i="1" a="1"/>
  <c r="V38" i="1"/>
  <c r="V23" i="1" a="1"/>
  <c r="V23" i="1"/>
  <c r="V165" i="1" a="1"/>
  <c r="V165" i="1"/>
  <c r="V16" i="1" a="1"/>
  <c r="V16" i="1"/>
  <c r="V152" i="1" a="1"/>
  <c r="V152" i="1"/>
  <c r="V146" i="1" a="1"/>
  <c r="V146" i="1"/>
  <c r="V137" i="1" a="1"/>
  <c r="V137" i="1"/>
  <c r="V119" i="1" a="1"/>
  <c r="V119" i="1"/>
  <c r="V111" i="1" a="1"/>
  <c r="V111" i="1"/>
  <c r="H91" i="1"/>
  <c r="H76" i="1"/>
  <c r="H55" i="1"/>
  <c r="H48" i="1"/>
  <c r="H26" i="1"/>
  <c r="H157" i="1"/>
  <c r="H142" i="1"/>
  <c r="H132" i="1"/>
  <c r="H120" i="1"/>
  <c r="H100" i="1"/>
  <c r="V62" i="1" a="1"/>
  <c r="V62" i="1"/>
  <c r="V53" i="1" a="1"/>
  <c r="V53" i="1"/>
  <c r="V45" i="1" a="1"/>
  <c r="V45" i="1"/>
  <c r="V115" i="1" a="1"/>
  <c r="V115" i="1"/>
  <c r="I91" i="1"/>
  <c r="AO91" i="1" s="1"/>
  <c r="I76" i="1"/>
  <c r="AO76" i="1" s="1"/>
  <c r="I55" i="1"/>
  <c r="AO55" i="1" s="1"/>
  <c r="I48" i="1"/>
  <c r="AO48" i="1" s="1"/>
  <c r="I26" i="1"/>
  <c r="AO26" i="1" s="1"/>
  <c r="I157" i="1"/>
  <c r="AO157" i="1" s="1"/>
  <c r="I142" i="1"/>
  <c r="AO142" i="1" s="1"/>
  <c r="I132" i="1"/>
  <c r="AO132" i="1" s="1"/>
  <c r="I120" i="1"/>
  <c r="AO120" i="1" s="1"/>
  <c r="I100" i="1"/>
  <c r="AO100" i="1" s="1"/>
  <c r="L105" i="1"/>
  <c r="AS105" i="1"/>
  <c r="L91" i="1"/>
  <c r="L76" i="1"/>
  <c r="L55" i="1"/>
  <c r="L48" i="1"/>
  <c r="L26" i="1"/>
  <c r="L157" i="1"/>
  <c r="L142" i="1"/>
  <c r="L132" i="1"/>
  <c r="L120" i="1"/>
  <c r="L100" i="1"/>
  <c r="AS91" i="1"/>
  <c r="AS76" i="1"/>
  <c r="AS55" i="1"/>
  <c r="AS48" i="1"/>
  <c r="AS26" i="1"/>
  <c r="AS157" i="1"/>
  <c r="AS142" i="1"/>
  <c r="AS132" i="1"/>
  <c r="AS120" i="1"/>
  <c r="AS100" i="1"/>
  <c r="V91" i="1" a="1"/>
  <c r="V91" i="1"/>
  <c r="V76" i="1" a="1"/>
  <c r="V76" i="1"/>
  <c r="V55" i="1" a="1"/>
  <c r="V55" i="1"/>
  <c r="V48" i="1" a="1"/>
  <c r="V48" i="1"/>
  <c r="V26" i="1" a="1"/>
  <c r="V26" i="1"/>
  <c r="V157" i="1" a="1"/>
  <c r="V157" i="1"/>
  <c r="V142" i="1" a="1"/>
  <c r="V142" i="1"/>
  <c r="V132" i="1" a="1"/>
  <c r="V132" i="1"/>
  <c r="V120" i="1" a="1"/>
  <c r="V120" i="1"/>
  <c r="V100" i="1" a="1"/>
  <c r="V100" i="1"/>
  <c r="H95" i="1"/>
  <c r="H71" i="1"/>
  <c r="W99" i="1" a="1"/>
  <c r="W99" i="1"/>
  <c r="W74" i="1" a="1"/>
  <c r="W74" i="1"/>
  <c r="W61" i="1" a="1"/>
  <c r="W61" i="1"/>
  <c r="W38" i="1" a="1"/>
  <c r="W38" i="1"/>
  <c r="W23" i="1" a="1"/>
  <c r="W23" i="1"/>
  <c r="W165" i="1" a="1"/>
  <c r="W165" i="1"/>
  <c r="W16" i="1" a="1"/>
  <c r="W16" i="1"/>
  <c r="W152" i="1" a="1"/>
  <c r="W152" i="1"/>
  <c r="W146" i="1" a="1"/>
  <c r="W146" i="1"/>
  <c r="W137" i="1" a="1"/>
  <c r="W137" i="1"/>
  <c r="W119" i="1" a="1"/>
  <c r="W119" i="1"/>
  <c r="W111" i="1" a="1"/>
  <c r="W111" i="1"/>
  <c r="X140" i="1" a="1"/>
  <c r="X140" i="1"/>
  <c r="X128" i="1" a="1"/>
  <c r="X128" i="1"/>
  <c r="Z140" i="1" a="1"/>
  <c r="Z140" i="1"/>
  <c r="Z128" i="1" a="1"/>
  <c r="Z128" i="1"/>
  <c r="X99" i="1" a="1"/>
  <c r="X99" i="1"/>
  <c r="X74" i="1" a="1"/>
  <c r="X74" i="1"/>
  <c r="X61" i="1" a="1"/>
  <c r="X61" i="1"/>
  <c r="X38" i="1" a="1"/>
  <c r="X38" i="1"/>
  <c r="X23" i="1" a="1"/>
  <c r="X23" i="1"/>
  <c r="X165" i="1" a="1"/>
  <c r="X165" i="1"/>
  <c r="X16" i="1" a="1"/>
  <c r="X16" i="1"/>
  <c r="X152" i="1" a="1"/>
  <c r="X152" i="1"/>
  <c r="X146" i="1" a="1"/>
  <c r="X146" i="1"/>
  <c r="X137" i="1" a="1"/>
  <c r="X137" i="1"/>
  <c r="X119" i="1" a="1"/>
  <c r="X119" i="1"/>
  <c r="X111" i="1" a="1"/>
  <c r="X111" i="1"/>
  <c r="AA89" i="1" a="1"/>
  <c r="AA89" i="1"/>
  <c r="AA81" i="1" a="1"/>
  <c r="AA81" i="1"/>
  <c r="AA59" i="1" a="1"/>
  <c r="AA59" i="1"/>
  <c r="AA41" i="1" a="1"/>
  <c r="AA41" i="1"/>
  <c r="AA37" i="1" a="1"/>
  <c r="AA37" i="1"/>
  <c r="AA29" i="1" a="1"/>
  <c r="AA29" i="1"/>
  <c r="AA164" i="1" a="1"/>
  <c r="AA164" i="1"/>
  <c r="AA135" i="1" a="1"/>
  <c r="AA135" i="1"/>
  <c r="Z89" i="1" a="1"/>
  <c r="Z89" i="1"/>
  <c r="Z81" i="1" a="1"/>
  <c r="Z81" i="1"/>
  <c r="Z59" i="1" a="1"/>
  <c r="Z59" i="1"/>
  <c r="Z41" i="1" a="1"/>
  <c r="Z41" i="1"/>
  <c r="Z37" i="1" a="1"/>
  <c r="Z37" i="1"/>
  <c r="Z29" i="1" a="1"/>
  <c r="Z29" i="1"/>
  <c r="Z164" i="1" a="1"/>
  <c r="Z164" i="1"/>
  <c r="Z135" i="1" a="1"/>
  <c r="Z135" i="1"/>
  <c r="Z88" i="1" a="1"/>
  <c r="Z88" i="1"/>
  <c r="V89" i="1" a="1"/>
  <c r="V89" i="1"/>
  <c r="V81" i="1" a="1"/>
  <c r="V81" i="1"/>
  <c r="V59" i="1" a="1"/>
  <c r="V59" i="1"/>
  <c r="V41" i="1" a="1"/>
  <c r="V41" i="1"/>
  <c r="V37" i="1" a="1"/>
  <c r="V37" i="1"/>
  <c r="V29" i="1" a="1"/>
  <c r="V29" i="1"/>
  <c r="V164" i="1" a="1"/>
  <c r="V164" i="1"/>
  <c r="V135" i="1" a="1"/>
  <c r="V135" i="1"/>
  <c r="AD86" i="1"/>
  <c r="AD133" i="1"/>
  <c r="Y88" i="1" a="1"/>
  <c r="Y88" i="1"/>
  <c r="AU51" i="1"/>
  <c r="Q86" i="1"/>
  <c r="Q133" i="1"/>
  <c r="AJ105" i="1" a="1"/>
  <c r="AJ105" i="1"/>
  <c r="AJ126" i="1" a="1"/>
  <c r="AJ126" i="1"/>
  <c r="AJ19" i="1" a="1"/>
  <c r="AJ19" i="1"/>
  <c r="AJ51" i="1" a="1"/>
  <c r="AJ51" i="1"/>
  <c r="AJ13" i="1" a="1"/>
  <c r="AJ13" i="1"/>
  <c r="AJ12" i="1" a="1"/>
  <c r="AJ12" i="1"/>
  <c r="AJ47" i="1" a="1"/>
  <c r="AJ47" i="1"/>
  <c r="AJ87" i="1" a="1"/>
  <c r="AJ87" i="1"/>
  <c r="AJ9" i="1" a="1"/>
  <c r="AJ9" i="1"/>
  <c r="AJ90" i="1" a="1"/>
  <c r="AJ90" i="1"/>
  <c r="AJ64" i="1" a="1"/>
  <c r="AJ64" i="1"/>
  <c r="AJ6" i="1" a="1"/>
  <c r="AJ6" i="1"/>
  <c r="AJ103" i="1" a="1"/>
  <c r="AJ103" i="1"/>
  <c r="AJ44" i="1" a="1"/>
  <c r="AJ44" i="1"/>
  <c r="AJ88" i="1" a="1"/>
  <c r="AJ88" i="1"/>
  <c r="AJ72" i="1" a="1"/>
  <c r="AJ72" i="1"/>
  <c r="AJ33" i="1" a="1"/>
  <c r="AJ33" i="1"/>
  <c r="AJ158" i="1" a="1"/>
  <c r="AJ158" i="1"/>
  <c r="AJ85" i="1" a="1"/>
  <c r="AJ85" i="1"/>
  <c r="AJ35" i="1" a="1"/>
  <c r="AJ35" i="1"/>
  <c r="AJ24" i="1" a="1"/>
  <c r="AJ24" i="1"/>
  <c r="AJ153" i="1" a="1"/>
  <c r="AJ153" i="1"/>
  <c r="AJ107" i="1" a="1"/>
  <c r="AJ107" i="1"/>
  <c r="AJ113" i="1" a="1"/>
  <c r="AJ113" i="1"/>
  <c r="AJ78" i="1" a="1"/>
  <c r="AJ78" i="1"/>
  <c r="AJ154" i="1" a="1"/>
  <c r="AJ154" i="1"/>
  <c r="AJ149" i="1" a="1"/>
  <c r="AJ149" i="1"/>
  <c r="AJ93" i="1" a="1"/>
  <c r="AJ93" i="1"/>
  <c r="AJ130" i="1" a="1"/>
  <c r="AJ130" i="1"/>
  <c r="AJ139" i="1" a="1"/>
  <c r="AJ139" i="1"/>
  <c r="AJ129" i="1" a="1"/>
  <c r="AJ129" i="1"/>
  <c r="AJ148" i="1" a="1"/>
  <c r="AJ148" i="1"/>
  <c r="AJ138" i="1" a="1"/>
  <c r="AJ138" i="1"/>
  <c r="AJ56" i="1" a="1"/>
  <c r="AJ56" i="1"/>
  <c r="AJ110" i="1" a="1"/>
  <c r="AJ110" i="1"/>
  <c r="AJ54" i="1" a="1"/>
  <c r="AJ54" i="1"/>
  <c r="AJ73" i="1" a="1"/>
  <c r="AJ73" i="1"/>
  <c r="AJ168" i="1" a="1"/>
  <c r="AJ168" i="1"/>
  <c r="AJ97" i="1" a="1"/>
  <c r="AJ97" i="1"/>
  <c r="AJ60" i="1" a="1"/>
  <c r="AJ60" i="1"/>
  <c r="AJ40" i="1" a="1"/>
  <c r="AJ40" i="1"/>
  <c r="AJ4" i="1" a="1"/>
  <c r="AJ4" i="1"/>
  <c r="AJ25" i="1" a="1"/>
  <c r="AJ25" i="1"/>
  <c r="AJ163" i="1" a="1"/>
  <c r="AJ163" i="1"/>
  <c r="AJ117" i="1" a="1"/>
  <c r="AJ117" i="1"/>
  <c r="AJ66" i="1" a="1"/>
  <c r="AJ66" i="1"/>
  <c r="AJ42" i="1" a="1"/>
  <c r="AJ42" i="1"/>
  <c r="AJ11" i="1" a="1"/>
  <c r="AJ11" i="1"/>
  <c r="AJ102" i="1" a="1"/>
  <c r="AJ102" i="1"/>
  <c r="AJ141" i="1" a="1"/>
  <c r="AJ141" i="1"/>
  <c r="AJ131" i="1" a="1"/>
  <c r="AJ131" i="1"/>
  <c r="AJ80" i="1" a="1"/>
  <c r="AJ80" i="1"/>
  <c r="AJ28" i="1" a="1"/>
  <c r="AJ28" i="1"/>
  <c r="AJ161" i="1" a="1"/>
  <c r="AJ161" i="1"/>
  <c r="AJ10" i="1" a="1"/>
  <c r="AJ10" i="1"/>
  <c r="AJ8" i="1" a="1"/>
  <c r="AJ8" i="1"/>
  <c r="AJ106" i="1" a="1"/>
  <c r="AJ106" i="1"/>
  <c r="AJ83" i="1" a="1"/>
  <c r="AJ83" i="1"/>
  <c r="AJ50" i="1" a="1"/>
  <c r="AJ50" i="1"/>
  <c r="AJ69" i="1" a="1"/>
  <c r="AJ69" i="1"/>
  <c r="AJ57" i="1" a="1"/>
  <c r="AJ57" i="1"/>
  <c r="AJ140" i="1" a="1"/>
  <c r="AJ140" i="1"/>
  <c r="AJ128" i="1" a="1"/>
  <c r="AJ128" i="1"/>
  <c r="AJ160" i="1" a="1"/>
  <c r="AJ160" i="1"/>
  <c r="AJ104" i="1" a="1"/>
  <c r="AJ104" i="1"/>
  <c r="AJ92" i="1" a="1"/>
  <c r="AJ92" i="1"/>
  <c r="AJ63" i="1" a="1"/>
  <c r="AJ63" i="1"/>
  <c r="AJ20" i="1" a="1"/>
  <c r="AJ20" i="1"/>
  <c r="AJ74" i="1" a="1"/>
  <c r="AJ74" i="1"/>
  <c r="AJ38" i="1" a="1"/>
  <c r="AJ38" i="1"/>
  <c r="AJ23" i="1" a="1"/>
  <c r="AJ23" i="1"/>
  <c r="AJ165" i="1" a="1"/>
  <c r="AJ165" i="1"/>
  <c r="AJ16" i="1" a="1"/>
  <c r="AJ16" i="1"/>
  <c r="AJ152" i="1" a="1"/>
  <c r="AJ152" i="1"/>
  <c r="AJ146" i="1" a="1"/>
  <c r="AJ146" i="1"/>
  <c r="AJ137" i="1" a="1"/>
  <c r="AJ137" i="1"/>
  <c r="AJ119" i="1" a="1"/>
  <c r="AJ119" i="1"/>
  <c r="AJ111" i="1" a="1"/>
  <c r="AJ111" i="1"/>
  <c r="AJ68" i="1" a="1"/>
  <c r="AJ68" i="1"/>
  <c r="AJ31" i="1" a="1"/>
  <c r="AJ31" i="1"/>
  <c r="AJ150" i="1" a="1"/>
  <c r="AJ150" i="1"/>
  <c r="AJ39" i="1" a="1"/>
  <c r="AJ39" i="1"/>
  <c r="AJ22" i="1" a="1"/>
  <c r="AJ22" i="1"/>
  <c r="AJ167" i="1" a="1"/>
  <c r="AJ167" i="1"/>
  <c r="AJ32" i="1" a="1"/>
  <c r="AJ32" i="1"/>
  <c r="AJ46" i="1" a="1"/>
  <c r="AJ46" i="1"/>
  <c r="AJ144" i="1" a="1"/>
  <c r="AJ144" i="1"/>
  <c r="AJ134" i="1" a="1"/>
  <c r="AJ134" i="1"/>
  <c r="AJ145" i="1" a="1"/>
  <c r="AJ145" i="1"/>
  <c r="AJ136" i="1" a="1"/>
  <c r="AJ136" i="1"/>
  <c r="AJ86" i="1" a="1"/>
  <c r="AJ86" i="1"/>
  <c r="AJ133" i="1" a="1"/>
  <c r="AJ133" i="1"/>
  <c r="AJ96" i="1" a="1"/>
  <c r="AJ96" i="1"/>
  <c r="AJ77" i="1" a="1"/>
  <c r="AJ77" i="1"/>
  <c r="AJ36" i="1" a="1"/>
  <c r="AJ36" i="1"/>
  <c r="AJ27" i="1" a="1"/>
  <c r="AJ27" i="1"/>
  <c r="AJ162" i="1" a="1"/>
  <c r="AJ162" i="1"/>
  <c r="AJ95" i="1" a="1"/>
  <c r="AJ95" i="1"/>
  <c r="AJ71" i="1" a="1"/>
  <c r="AJ71" i="1"/>
  <c r="AJ62" i="1" a="1"/>
  <c r="AJ62" i="1"/>
  <c r="AJ53" i="1" a="1"/>
  <c r="AJ53" i="1"/>
  <c r="AJ45" i="1" a="1"/>
  <c r="AJ45" i="1"/>
  <c r="AJ115" i="1" a="1"/>
  <c r="AJ115" i="1"/>
  <c r="AJ17" i="1" a="1"/>
  <c r="AJ17" i="1"/>
  <c r="AJ112" i="1" a="1"/>
  <c r="AJ112" i="1"/>
  <c r="AJ34" i="1" a="1"/>
  <c r="AJ34" i="1"/>
  <c r="AJ156" i="1" a="1"/>
  <c r="AJ156" i="1"/>
  <c r="AJ5" i="1" a="1"/>
  <c r="AJ5" i="1"/>
  <c r="AJ155" i="1" a="1"/>
  <c r="AJ155" i="1"/>
  <c r="AJ118" i="1" a="1"/>
  <c r="AJ118" i="1"/>
  <c r="AJ15" i="1" a="1"/>
  <c r="AJ15" i="1"/>
  <c r="AJ109" i="1" a="1"/>
  <c r="AJ109" i="1"/>
  <c r="AJ7" i="1" a="1"/>
  <c r="AJ7" i="1"/>
  <c r="AJ14" i="1" a="1"/>
  <c r="AJ14" i="1"/>
  <c r="AJ108" i="1" a="1"/>
  <c r="AJ108" i="1"/>
  <c r="AJ52" i="1" a="1"/>
  <c r="AJ52" i="1"/>
  <c r="AJ143" i="1" a="1"/>
  <c r="AJ143" i="1"/>
  <c r="AJ127" i="1" a="1"/>
  <c r="AJ127" i="1"/>
  <c r="AJ18" i="1" a="1"/>
  <c r="AJ18" i="1"/>
  <c r="AJ91" i="1" a="1"/>
  <c r="AJ91" i="1"/>
  <c r="AJ76" i="1" a="1"/>
  <c r="AJ76" i="1"/>
  <c r="AJ55" i="1" a="1"/>
  <c r="AJ55" i="1"/>
  <c r="AJ26" i="1" a="1"/>
  <c r="AJ26" i="1"/>
  <c r="AJ157" i="1" a="1"/>
  <c r="AJ157" i="1"/>
  <c r="AJ142" i="1" a="1"/>
  <c r="AJ142" i="1"/>
  <c r="AJ132" i="1" a="1"/>
  <c r="AJ132" i="1"/>
  <c r="AJ120" i="1" a="1"/>
  <c r="AJ120" i="1"/>
  <c r="AJ100" i="1" a="1"/>
  <c r="AJ100" i="1"/>
  <c r="AJ67" i="1" a="1"/>
  <c r="AJ67" i="1"/>
  <c r="AJ3" i="1" a="1"/>
  <c r="AJ3" i="1"/>
  <c r="AJ21" i="1" a="1"/>
  <c r="AJ21" i="1"/>
  <c r="AJ166" i="1" a="1"/>
  <c r="AJ166" i="1"/>
  <c r="AJ147" i="1" a="1"/>
  <c r="AJ147" i="1"/>
  <c r="AJ125" i="1" a="1"/>
  <c r="AJ125" i="1"/>
  <c r="AJ114" i="1" a="1"/>
  <c r="AJ114" i="1"/>
  <c r="AJ89" i="1" a="1"/>
  <c r="AJ89" i="1"/>
  <c r="AJ81" i="1" a="1"/>
  <c r="AJ81" i="1"/>
  <c r="AJ59" i="1" a="1"/>
  <c r="AJ59" i="1"/>
  <c r="AJ37" i="1" a="1"/>
  <c r="AJ37" i="1"/>
  <c r="AJ29" i="1" a="1"/>
  <c r="AJ29" i="1"/>
  <c r="AJ164" i="1" a="1"/>
  <c r="AJ164" i="1"/>
  <c r="AJ135" i="1" a="1"/>
  <c r="AJ135" i="1"/>
  <c r="AJ84" i="1" a="1"/>
  <c r="AJ84" i="1"/>
  <c r="AJ159" i="1" a="1"/>
  <c r="AJ159" i="1"/>
  <c r="AJ116" i="1" a="1"/>
  <c r="AJ116" i="1"/>
  <c r="AJ94" i="1" a="1"/>
  <c r="AJ94" i="1"/>
  <c r="AJ151" i="1" a="1"/>
  <c r="AJ151" i="1"/>
  <c r="AJ101" i="1" a="1"/>
  <c r="AJ101" i="1"/>
  <c r="F84" i="1"/>
  <c r="AK53" i="1" a="1"/>
  <c r="F70" i="1"/>
  <c r="I53" i="1"/>
  <c r="E116" i="1"/>
  <c r="AD62" i="1"/>
  <c r="H45" i="1"/>
  <c r="AS53" i="1"/>
  <c r="AE159" i="1"/>
  <c r="AK115" i="1" a="1"/>
  <c r="I159" i="1"/>
  <c r="AD115" i="1"/>
  <c r="K159" i="1"/>
  <c r="Q62" i="1"/>
  <c r="AU84" i="1"/>
  <c r="AS84" i="1"/>
  <c r="AM84" i="1"/>
  <c r="H62" i="1"/>
  <c r="Q115" i="1"/>
  <c r="F159" i="1"/>
  <c r="AS62" i="1"/>
  <c r="AS116" i="1"/>
  <c r="I115" i="1"/>
  <c r="AM115" i="1"/>
  <c r="F62" i="1"/>
  <c r="AE53" i="1"/>
  <c r="AD159" i="1"/>
  <c r="AD116" i="1"/>
  <c r="E84" i="1"/>
  <c r="K70" i="1"/>
  <c r="AS115" i="1"/>
  <c r="L159" i="1"/>
  <c r="AU62" i="1"/>
  <c r="N53" i="1"/>
  <c r="H116" i="1"/>
  <c r="N115" i="1"/>
  <c r="E62" i="1"/>
  <c r="AE115" i="1"/>
  <c r="AS70" i="1"/>
  <c r="F115" i="1"/>
  <c r="H53" i="1"/>
  <c r="I45" i="1"/>
  <c r="AE70" i="1"/>
  <c r="I70" i="1"/>
  <c r="H70" i="1"/>
  <c r="F45" i="1"/>
  <c r="Q70" i="1"/>
  <c r="F116" i="1"/>
  <c r="L84" i="1"/>
  <c r="Q53" i="1"/>
  <c r="K45" i="1"/>
  <c r="AU53" i="1"/>
  <c r="L53" i="1"/>
  <c r="E53" i="1"/>
  <c r="K116" i="1"/>
  <c r="AS159" i="1"/>
  <c r="AK45" i="1" a="1"/>
  <c r="E115" i="1"/>
  <c r="Q116" i="1"/>
  <c r="AD45" i="1"/>
  <c r="AU159" i="1"/>
  <c r="AD70" i="1"/>
  <c r="N84" i="1"/>
  <c r="L45" i="1"/>
  <c r="N70" i="1"/>
  <c r="AM62" i="1"/>
  <c r="F53" i="1"/>
  <c r="AE84" i="1"/>
  <c r="I84" i="1"/>
  <c r="AM45" i="1"/>
  <c r="K84" i="1"/>
  <c r="AE62" i="1"/>
  <c r="L116" i="1"/>
  <c r="L70" i="1"/>
  <c r="K53" i="1"/>
  <c r="AE45" i="1"/>
  <c r="N159" i="1"/>
  <c r="E45" i="1"/>
  <c r="N116" i="1"/>
  <c r="H84" i="1"/>
  <c r="AD84" i="1"/>
  <c r="AS45" i="1"/>
  <c r="AK116" i="1" a="1"/>
  <c r="AE116" i="1"/>
  <c r="AK62" i="1" a="1"/>
  <c r="L62" i="1"/>
  <c r="Q159" i="1"/>
  <c r="AK70" i="1" a="1"/>
  <c r="H115" i="1"/>
  <c r="N62" i="1"/>
  <c r="K115" i="1"/>
  <c r="H159" i="1"/>
  <c r="I116" i="1"/>
  <c r="N45" i="1"/>
  <c r="E159" i="1"/>
  <c r="AD53" i="1"/>
  <c r="K62" i="1"/>
  <c r="AK159" i="1" a="1"/>
  <c r="AM70" i="1"/>
  <c r="I62" i="1"/>
  <c r="AM159" i="1"/>
  <c r="AK84" i="1" a="1"/>
  <c r="E70" i="1"/>
  <c r="Q45" i="1"/>
  <c r="Q84" i="1"/>
  <c r="AU45" i="1"/>
  <c r="AM116" i="1"/>
  <c r="AM53" i="1"/>
  <c r="AU116" i="1"/>
  <c r="L115" i="1"/>
  <c r="AU115" i="1"/>
  <c r="AU70" i="1"/>
  <c r="AK62" i="1" l="1"/>
  <c r="AK159" i="1"/>
  <c r="AK116" i="1"/>
  <c r="AK115" i="1"/>
  <c r="AK70" i="1"/>
  <c r="AK45" i="1"/>
  <c r="AK84" i="1"/>
  <c r="AK53" i="1"/>
  <c r="G20" i="9"/>
  <c r="AS59" i="1"/>
  <c r="N37" i="1"/>
  <c r="F59" i="1"/>
  <c r="AE135" i="1"/>
  <c r="K164" i="1"/>
  <c r="AM40" i="1"/>
  <c r="K117" i="1"/>
  <c r="AD60" i="1"/>
  <c r="AS60" i="1"/>
  <c r="L117" i="1"/>
  <c r="E4" i="1"/>
  <c r="AK25" i="1" a="1"/>
  <c r="AS41" i="1"/>
  <c r="N29" i="1"/>
  <c r="F41" i="1"/>
  <c r="K135" i="1"/>
  <c r="AM4" i="1"/>
  <c r="AD40" i="1"/>
  <c r="AS40" i="1"/>
  <c r="E25" i="1"/>
  <c r="I97" i="1"/>
  <c r="AS37" i="1"/>
  <c r="N164" i="1"/>
  <c r="F37" i="1"/>
  <c r="AS29" i="1"/>
  <c r="N135" i="1"/>
  <c r="F29" i="1"/>
  <c r="E89" i="1"/>
  <c r="I37" i="1"/>
  <c r="AU37" i="1"/>
  <c r="AK59" i="1" a="1"/>
  <c r="Q41" i="1"/>
  <c r="H75" i="1"/>
  <c r="N163" i="1"/>
  <c r="AE4" i="1"/>
  <c r="F97" i="1"/>
  <c r="H29" i="1"/>
  <c r="AM89" i="1"/>
  <c r="K41" i="1"/>
  <c r="K25" i="1"/>
  <c r="N75" i="1"/>
  <c r="F25" i="1"/>
  <c r="H164" i="1"/>
  <c r="AD89" i="1"/>
  <c r="AK89" i="1" a="1"/>
  <c r="AM81" i="1"/>
  <c r="K37" i="1"/>
  <c r="K163" i="1"/>
  <c r="N60" i="1"/>
  <c r="F163" i="1"/>
  <c r="H135" i="1"/>
  <c r="AD81" i="1"/>
  <c r="AM59" i="1"/>
  <c r="K29" i="1"/>
  <c r="AD59" i="1"/>
  <c r="AK81" i="1" a="1"/>
  <c r="AM41" i="1"/>
  <c r="AE89" i="1"/>
  <c r="AU135" i="1"/>
  <c r="L29" i="1"/>
  <c r="Q164" i="1"/>
  <c r="Q117" i="1"/>
  <c r="AU60" i="1"/>
  <c r="N81" i="1"/>
  <c r="E135" i="1"/>
  <c r="N40" i="1"/>
  <c r="L60" i="1"/>
  <c r="E117" i="1"/>
  <c r="I117" i="1"/>
  <c r="AU4" i="1"/>
  <c r="H89" i="1"/>
  <c r="N59" i="1"/>
  <c r="H97" i="1"/>
  <c r="K97" i="1"/>
  <c r="N4" i="1"/>
  <c r="L40" i="1"/>
  <c r="AU25" i="1"/>
  <c r="H81" i="1"/>
  <c r="N41" i="1"/>
  <c r="AM37" i="1"/>
  <c r="H59" i="1"/>
  <c r="L89" i="1"/>
  <c r="H41" i="1"/>
  <c r="L81" i="1"/>
  <c r="AM164" i="1"/>
  <c r="Q81" i="1"/>
  <c r="H4" i="1"/>
  <c r="K40" i="1"/>
  <c r="Q97" i="1"/>
  <c r="L163" i="1"/>
  <c r="AK75" i="1" a="1"/>
  <c r="I89" i="1"/>
  <c r="H37" i="1"/>
  <c r="L59" i="1"/>
  <c r="AK41" i="1" a="1"/>
  <c r="AM135" i="1"/>
  <c r="I164" i="1"/>
  <c r="AU59" i="1"/>
  <c r="AS89" i="1"/>
  <c r="AE29" i="1"/>
  <c r="AU29" i="1"/>
  <c r="AS164" i="1"/>
  <c r="AK135" i="1" a="1"/>
  <c r="AU164" i="1"/>
  <c r="AS135" i="1"/>
  <c r="AD75" i="1"/>
  <c r="AS97" i="1"/>
  <c r="AE163" i="1"/>
  <c r="AK117" i="1" a="1"/>
  <c r="F89" i="1"/>
  <c r="F164" i="1"/>
  <c r="AD135" i="1"/>
  <c r="E29" i="1"/>
  <c r="K81" i="1"/>
  <c r="N89" i="1"/>
  <c r="E164" i="1"/>
  <c r="K59" i="1"/>
  <c r="I81" i="1"/>
  <c r="AS81" i="1"/>
  <c r="N25" i="1"/>
  <c r="AS25" i="1"/>
  <c r="I59" i="1"/>
  <c r="N117" i="1"/>
  <c r="AS163" i="1"/>
  <c r="AK40" i="1" a="1"/>
  <c r="I41" i="1"/>
  <c r="AD41" i="1"/>
  <c r="I29" i="1"/>
  <c r="AD37" i="1"/>
  <c r="AM97" i="1"/>
  <c r="Q60" i="1"/>
  <c r="L75" i="1"/>
  <c r="AK4" i="1" a="1"/>
  <c r="F75" i="1"/>
  <c r="I135" i="1"/>
  <c r="AD29" i="1"/>
  <c r="AK37" i="1" a="1"/>
  <c r="Q89" i="1"/>
  <c r="AD164" i="1"/>
  <c r="Q59" i="1"/>
  <c r="AM60" i="1"/>
  <c r="Q4" i="1"/>
  <c r="L25" i="1"/>
  <c r="F40" i="1"/>
  <c r="I60" i="1"/>
  <c r="AU75" i="1"/>
  <c r="AK29" i="1" a="1"/>
  <c r="Q37" i="1"/>
  <c r="AM25" i="1"/>
  <c r="Q25" i="1"/>
  <c r="F4" i="1"/>
  <c r="I40" i="1"/>
  <c r="AU40" i="1"/>
  <c r="AK164" i="1" a="1"/>
  <c r="Q29" i="1"/>
  <c r="AM163" i="1"/>
  <c r="Q163" i="1"/>
  <c r="F117" i="1"/>
  <c r="I4" i="1"/>
  <c r="AU163" i="1"/>
  <c r="Q135" i="1"/>
  <c r="AM117" i="1"/>
  <c r="K75" i="1"/>
  <c r="I25" i="1"/>
  <c r="AU117" i="1"/>
  <c r="K89" i="1"/>
  <c r="K4" i="1"/>
  <c r="AD4" i="1"/>
  <c r="AE75" i="1"/>
  <c r="F81" i="1"/>
  <c r="AD25" i="1"/>
  <c r="AE60" i="1"/>
  <c r="AU89" i="1"/>
  <c r="F135" i="1"/>
  <c r="AE81" i="1"/>
  <c r="H60" i="1"/>
  <c r="AD163" i="1"/>
  <c r="AE40" i="1"/>
  <c r="AU81" i="1"/>
  <c r="AE59" i="1"/>
  <c r="H40" i="1"/>
  <c r="AD117" i="1"/>
  <c r="AE25" i="1"/>
  <c r="AU41" i="1"/>
  <c r="AE41" i="1"/>
  <c r="AE37" i="1"/>
  <c r="H163" i="1"/>
  <c r="AE164" i="1"/>
  <c r="H117" i="1"/>
  <c r="E81" i="1"/>
  <c r="E59" i="1"/>
  <c r="L41" i="1"/>
  <c r="E41" i="1"/>
  <c r="L37" i="1"/>
  <c r="E37" i="1"/>
  <c r="L164" i="1"/>
  <c r="AM29" i="1"/>
  <c r="AS75" i="1"/>
  <c r="E40" i="1"/>
  <c r="L135" i="1"/>
  <c r="N97" i="1"/>
  <c r="AS4" i="1"/>
  <c r="E163" i="1"/>
  <c r="AK60" i="1" a="1"/>
  <c r="AM75" i="1"/>
  <c r="H25" i="1"/>
  <c r="AK97" i="1" a="1"/>
  <c r="AU97" i="1"/>
  <c r="K60" i="1"/>
  <c r="AK163" i="1" a="1"/>
  <c r="AS117" i="1"/>
  <c r="F60" i="1"/>
  <c r="Q75" i="1"/>
  <c r="L97" i="1"/>
  <c r="Q40" i="1"/>
  <c r="L4" i="1"/>
  <c r="AD97" i="1"/>
  <c r="AE97" i="1"/>
  <c r="AE117" i="1"/>
  <c r="E97" i="1"/>
  <c r="E75" i="1"/>
  <c r="I75" i="1"/>
  <c r="E60" i="1"/>
  <c r="I163" i="1"/>
  <c r="AT117" i="1"/>
  <c r="AT135" i="1"/>
  <c r="AL59" i="1"/>
  <c r="AT41" i="1"/>
  <c r="AT25" i="1"/>
  <c r="M41" i="1"/>
  <c r="M37" i="1"/>
  <c r="AL41" i="1"/>
  <c r="AL97" i="1"/>
  <c r="AT37" i="1"/>
  <c r="AL75" i="1"/>
  <c r="M135" i="1"/>
  <c r="M89" i="1"/>
  <c r="AL60" i="1"/>
  <c r="AL163" i="1"/>
  <c r="AL81" i="1"/>
  <c r="M29" i="1"/>
  <c r="M164" i="1"/>
  <c r="M117" i="1"/>
  <c r="M81" i="1"/>
  <c r="AL40" i="1"/>
  <c r="M59" i="1"/>
  <c r="AL4" i="1"/>
  <c r="AL25" i="1"/>
  <c r="AL89" i="1"/>
  <c r="AL117" i="1"/>
  <c r="M163" i="1"/>
  <c r="AT4" i="1"/>
  <c r="AT164" i="1"/>
  <c r="AL37" i="1"/>
  <c r="AT40" i="1"/>
  <c r="AT163" i="1"/>
  <c r="AL29" i="1"/>
  <c r="M97" i="1"/>
  <c r="M25" i="1"/>
  <c r="AT59" i="1"/>
  <c r="AL164" i="1"/>
  <c r="M75" i="1"/>
  <c r="AL135" i="1"/>
  <c r="M60" i="1"/>
  <c r="AT60" i="1"/>
  <c r="AT29" i="1"/>
  <c r="AT97" i="1"/>
  <c r="M40" i="1"/>
  <c r="AT89" i="1"/>
  <c r="AT75" i="1"/>
  <c r="M4" i="1"/>
  <c r="AT81" i="1"/>
  <c r="G17" i="8"/>
  <c r="I48" i="8"/>
  <c r="I42" i="8"/>
  <c r="G5" i="8"/>
  <c r="I36" i="8"/>
  <c r="I15" i="8"/>
  <c r="G42" i="8"/>
  <c r="G25" i="8"/>
  <c r="AO45" i="1"/>
  <c r="I7" i="8"/>
  <c r="G47" i="8"/>
  <c r="G7" i="8"/>
  <c r="I47" i="8"/>
  <c r="I22" i="8"/>
  <c r="G29" i="8"/>
  <c r="G14" i="8"/>
  <c r="G19" i="8"/>
  <c r="G11" i="8"/>
  <c r="G38" i="8"/>
  <c r="I17" i="8"/>
  <c r="I29" i="8"/>
  <c r="I20" i="8"/>
  <c r="I34" i="8"/>
  <c r="G41" i="8"/>
  <c r="I41" i="8"/>
  <c r="AO116" i="1"/>
  <c r="AO84" i="1"/>
  <c r="AO62" i="1"/>
  <c r="AO53" i="1"/>
  <c r="G3" i="8"/>
  <c r="G32" i="8"/>
  <c r="I19" i="8"/>
  <c r="G9" i="8"/>
  <c r="G13" i="8"/>
  <c r="G22" i="8"/>
  <c r="I3" i="8"/>
  <c r="I10" i="8"/>
  <c r="AO70" i="1"/>
  <c r="I32" i="8"/>
  <c r="I14" i="8"/>
  <c r="I11" i="8"/>
  <c r="G34" i="8"/>
  <c r="I25" i="8"/>
  <c r="G15" i="8"/>
  <c r="G36" i="8"/>
  <c r="AO159" i="1"/>
  <c r="AO115" i="1"/>
  <c r="I26" i="8"/>
  <c r="I38" i="8"/>
  <c r="I44" i="8"/>
  <c r="G10" i="8"/>
  <c r="I9" i="8"/>
  <c r="I39" i="8"/>
  <c r="I13" i="8"/>
  <c r="G20" i="8"/>
  <c r="G26" i="8"/>
  <c r="G48" i="8"/>
  <c r="I5" i="8"/>
  <c r="G44" i="8"/>
  <c r="G39" i="8"/>
  <c r="AK163" i="1" l="1"/>
  <c r="AK97" i="1"/>
  <c r="AK60" i="1"/>
  <c r="AK164" i="1"/>
  <c r="AK29" i="1"/>
  <c r="AK37" i="1"/>
  <c r="AK4" i="1"/>
  <c r="AK40" i="1"/>
  <c r="AK117" i="1"/>
  <c r="AK135" i="1"/>
  <c r="AK41" i="1"/>
  <c r="AK75" i="1"/>
  <c r="AK81" i="1"/>
  <c r="AK89" i="1"/>
  <c r="AK59" i="1"/>
  <c r="AK25" i="1"/>
  <c r="G4" i="9"/>
  <c r="AO117" i="1"/>
  <c r="AO60" i="1"/>
  <c r="AO89" i="1"/>
  <c r="AO163" i="1"/>
  <c r="AO29" i="1"/>
  <c r="AO40" i="1"/>
  <c r="AO41" i="1"/>
  <c r="AO37" i="1"/>
  <c r="AO59" i="1"/>
  <c r="AO4" i="1"/>
  <c r="AO81" i="1"/>
  <c r="AO25" i="1"/>
  <c r="AO75" i="1"/>
  <c r="AO135" i="1"/>
  <c r="AO164" i="1"/>
  <c r="AO97" i="1"/>
  <c r="G21" i="9" l="1"/>
  <c r="F21" i="9"/>
  <c r="F46" i="8"/>
  <c r="I46" i="8" s="1"/>
  <c r="H21" i="9" a="1"/>
  <c r="H21" i="9" l="1"/>
  <c r="F19" i="9"/>
  <c r="G46" i="8"/>
  <c r="E21" i="9" s="1"/>
  <c r="I43" i="8"/>
  <c r="F43" i="8"/>
  <c r="G43" i="8" s="1"/>
  <c r="E19" i="9" s="1"/>
  <c r="G19" i="9" s="1"/>
  <c r="H19" i="9" a="1"/>
  <c r="H19" i="9" l="1"/>
  <c r="F18" i="9"/>
  <c r="F40" i="8"/>
  <c r="I40" i="8" s="1"/>
  <c r="F17" i="9" l="1"/>
  <c r="G40" i="8"/>
  <c r="E18" i="9" s="1"/>
  <c r="G18" i="9" s="1"/>
  <c r="F37" i="8"/>
  <c r="I37" i="8" s="1"/>
  <c r="H18" i="9" a="1"/>
  <c r="H18" i="9" l="1"/>
  <c r="G37" i="8"/>
  <c r="E17" i="9" s="1"/>
  <c r="G17" i="9" s="1"/>
  <c r="I35" i="8"/>
  <c r="G35" i="8"/>
  <c r="E16" i="9" s="1"/>
  <c r="G16" i="9" s="1"/>
  <c r="H17" i="9" a="1"/>
  <c r="H17" i="9" l="1"/>
  <c r="G33" i="8"/>
  <c r="E15" i="9" s="1"/>
  <c r="G15" i="9" s="1"/>
  <c r="F33" i="8"/>
  <c r="I33" i="8" s="1"/>
  <c r="F14" i="9" l="1"/>
  <c r="I31" i="8"/>
  <c r="G31" i="8"/>
  <c r="E14" i="9" s="1"/>
  <c r="G14" i="9" s="1"/>
  <c r="H14" i="9" a="1"/>
  <c r="H14" i="9" l="1"/>
  <c r="I28" i="8"/>
  <c r="G28" i="8"/>
  <c r="I27" i="8"/>
  <c r="G27" i="8"/>
  <c r="E13" i="9" s="1"/>
  <c r="G13" i="9" s="1"/>
  <c r="F12" i="9" l="1"/>
  <c r="I24" i="8"/>
  <c r="G24" i="8"/>
  <c r="E12" i="9" s="1"/>
  <c r="G12" i="9" s="1"/>
  <c r="I23" i="8"/>
  <c r="G23" i="8"/>
  <c r="E11" i="9" s="1"/>
  <c r="G11" i="9" s="1"/>
  <c r="H12" i="9" a="1"/>
  <c r="H12" i="9" l="1"/>
  <c r="I21" i="8"/>
  <c r="G21" i="8"/>
  <c r="E10" i="9" s="1"/>
  <c r="G10" i="9" s="1"/>
  <c r="F9" i="9" l="1"/>
  <c r="I18" i="8"/>
  <c r="G18" i="8"/>
  <c r="E9" i="9" s="1"/>
  <c r="G9" i="9" s="1"/>
  <c r="H9" i="9" a="1"/>
  <c r="H9" i="9" l="1"/>
  <c r="F8" i="9"/>
  <c r="I16" i="8"/>
  <c r="G16" i="8"/>
  <c r="E8" i="9" s="1"/>
  <c r="G8" i="9" s="1"/>
  <c r="H8" i="9" a="1"/>
  <c r="H8" i="9" l="1"/>
  <c r="F7" i="9"/>
  <c r="G12" i="8"/>
  <c r="E7" i="9" s="1"/>
  <c r="G7" i="9" s="1"/>
  <c r="F12" i="8"/>
  <c r="I12" i="8" s="1"/>
  <c r="H7" i="9" a="1"/>
  <c r="H7" i="9" l="1"/>
  <c r="F6" i="9"/>
  <c r="G8" i="8"/>
  <c r="E6" i="9" s="1"/>
  <c r="F8" i="8"/>
  <c r="I8" i="8" s="1"/>
  <c r="G6" i="9" l="1"/>
  <c r="I6" i="8"/>
  <c r="G6" i="8"/>
  <c r="E5" i="9" s="1"/>
  <c r="G5" i="9" s="1"/>
  <c r="H6" i="9" a="1"/>
  <c r="H6" i="9" l="1"/>
  <c r="I4" i="8"/>
  <c r="G4" i="8"/>
  <c r="E3" i="9" s="1"/>
  <c r="G3" i="9" s="1"/>
  <c r="F2" i="9" l="1"/>
  <c r="I2" i="8"/>
  <c r="G2" i="8"/>
  <c r="E2" i="9" s="1"/>
  <c r="G2" i="9" s="1"/>
  <c r="BA8" i="5"/>
  <c r="X8" i="5"/>
  <c r="W8" i="5"/>
  <c r="S8" i="5"/>
  <c r="V8" i="5" s="1"/>
  <c r="R8" i="5"/>
  <c r="O8" i="5"/>
  <c r="D8" i="5"/>
  <c r="C8" i="5"/>
  <c r="B8" i="5"/>
  <c r="BA7" i="5"/>
  <c r="X7" i="5"/>
  <c r="W7" i="5"/>
  <c r="S7" i="5"/>
  <c r="V7" i="5" s="1"/>
  <c r="R7" i="5"/>
  <c r="O7" i="5"/>
  <c r="BA6" i="5"/>
  <c r="X6" i="5"/>
  <c r="W6" i="5"/>
  <c r="S6" i="5"/>
  <c r="V6" i="5" s="1"/>
  <c r="R6" i="5"/>
  <c r="O6" i="5"/>
  <c r="D6" i="5"/>
  <c r="C6" i="5"/>
  <c r="B6" i="5"/>
  <c r="BA5" i="5"/>
  <c r="X5" i="5"/>
  <c r="W5" i="5"/>
  <c r="S5" i="5"/>
  <c r="V5" i="5" s="1"/>
  <c r="R5" i="5"/>
  <c r="O5" i="5"/>
  <c r="BA4" i="5"/>
  <c r="X4" i="5"/>
  <c r="S4" i="5" s="1"/>
  <c r="W4" i="5"/>
  <c r="R4" i="5"/>
  <c r="O4" i="5"/>
  <c r="D4" i="5"/>
  <c r="C4" i="5"/>
  <c r="B4" i="5"/>
  <c r="BA3" i="5"/>
  <c r="X3" i="5"/>
  <c r="W3" i="5"/>
  <c r="S3" i="5"/>
  <c r="T3" i="5" s="1"/>
  <c r="U3" i="5" s="1"/>
  <c r="R3" i="5"/>
  <c r="O3" i="5"/>
  <c r="H2" i="9" a="1"/>
  <c r="H2" i="9" l="1"/>
  <c r="L3" i="5"/>
  <c r="L6" i="5"/>
  <c r="L4" i="5"/>
  <c r="L5" i="5"/>
  <c r="L8" i="5"/>
  <c r="L7" i="5"/>
  <c r="V4" i="5"/>
  <c r="T4" i="5"/>
  <c r="U4" i="5" s="1"/>
  <c r="V3" i="5"/>
  <c r="T5" i="5"/>
  <c r="U5" i="5" s="1"/>
  <c r="T8" i="5"/>
  <c r="U8" i="5" s="1"/>
  <c r="T6" i="5"/>
  <c r="U6" i="5" s="1"/>
  <c r="T7" i="5"/>
  <c r="U7" i="5" s="1"/>
  <c r="BG168" i="1" l="1"/>
  <c r="AN168" i="1" l="1"/>
  <c r="AI168" i="1"/>
  <c r="AG168" i="1"/>
  <c r="J168" i="1"/>
  <c r="AH168" i="1" l="1"/>
  <c r="U168" i="1"/>
  <c r="BG167" i="1"/>
  <c r="AN167" i="1"/>
  <c r="AI167" i="1"/>
  <c r="AG167" i="1"/>
  <c r="R168" i="1"/>
  <c r="AF168" i="1"/>
  <c r="J167" i="1"/>
  <c r="AC168" i="1" l="1"/>
  <c r="AH167" i="1"/>
  <c r="U167" i="1"/>
  <c r="T168" i="1"/>
  <c r="BG166" i="1"/>
  <c r="AP168" i="1"/>
  <c r="AN166" i="1" l="1"/>
  <c r="AI166" i="1"/>
  <c r="AG166" i="1"/>
  <c r="S168" i="1"/>
  <c r="AF167" i="1"/>
  <c r="AP167" i="1"/>
  <c r="R167" i="1"/>
  <c r="J166" i="1"/>
  <c r="AR168" i="1" l="1"/>
  <c r="AQ168" i="1"/>
  <c r="T167" i="1"/>
  <c r="AC167" i="1"/>
  <c r="S167" i="1"/>
  <c r="AQ167" i="1" l="1"/>
  <c r="AR167" i="1"/>
  <c r="AH166" i="1" l="1"/>
  <c r="U166" i="1"/>
  <c r="BG165" i="1"/>
  <c r="R166" i="1"/>
  <c r="AF166" i="1"/>
  <c r="AC166" i="1" l="1"/>
  <c r="T166" i="1"/>
  <c r="AP166" i="1"/>
  <c r="AN165" i="1" l="1"/>
  <c r="AI165" i="1"/>
  <c r="AG165" i="1"/>
  <c r="S166" i="1"/>
  <c r="J165" i="1"/>
  <c r="AQ166" i="1" l="1"/>
  <c r="AR166" i="1"/>
  <c r="U165" i="1"/>
  <c r="AH165" i="1"/>
  <c r="BG164" i="1" l="1"/>
  <c r="AN164" i="1"/>
  <c r="AI164" i="1"/>
  <c r="AG164" i="1"/>
  <c r="J164" i="1"/>
  <c r="U164" i="1" l="1"/>
  <c r="AH164" i="1"/>
  <c r="BG163" i="1"/>
  <c r="AN163" i="1"/>
  <c r="AI163" i="1"/>
  <c r="AG163" i="1"/>
  <c r="AP165" i="1"/>
  <c r="AF165" i="1"/>
  <c r="R165" i="1"/>
  <c r="J163" i="1"/>
  <c r="AC165" i="1" l="1"/>
  <c r="T165" i="1"/>
  <c r="U163" i="1"/>
  <c r="AH163" i="1"/>
  <c r="BG162" i="1"/>
  <c r="R164" i="1"/>
  <c r="AP164" i="1"/>
  <c r="AF164" i="1"/>
  <c r="S165" i="1"/>
  <c r="AR165" i="1" l="1"/>
  <c r="AQ165" i="1"/>
  <c r="T164" i="1"/>
  <c r="AC164" i="1"/>
  <c r="AP163" i="1"/>
  <c r="AF163" i="1"/>
  <c r="R163" i="1"/>
  <c r="S164" i="1"/>
  <c r="AR164" i="1" l="1"/>
  <c r="AQ164" i="1"/>
  <c r="T163" i="1"/>
  <c r="AC163" i="1"/>
  <c r="AN162" i="1"/>
  <c r="AI162" i="1"/>
  <c r="AG162" i="1"/>
  <c r="S163" i="1"/>
  <c r="J162" i="1"/>
  <c r="AH162" i="1" l="1"/>
  <c r="U162" i="1"/>
  <c r="AQ163" i="1"/>
  <c r="AR163" i="1"/>
  <c r="BG161" i="1" l="1"/>
  <c r="AN161" i="1"/>
  <c r="AI161" i="1"/>
  <c r="AG161" i="1"/>
  <c r="J161" i="1"/>
  <c r="AH161" i="1" l="1"/>
  <c r="U161" i="1"/>
  <c r="BG160" i="1"/>
  <c r="AF162" i="1"/>
  <c r="AP162" i="1"/>
  <c r="R162" i="1"/>
  <c r="T162" i="1" l="1"/>
  <c r="AC162" i="1"/>
  <c r="AN160" i="1"/>
  <c r="AI160" i="1"/>
  <c r="AG160" i="1"/>
  <c r="S162" i="1"/>
  <c r="AP161" i="1"/>
  <c r="R161" i="1"/>
  <c r="AF161" i="1"/>
  <c r="J160" i="1"/>
  <c r="AC161" i="1" l="1"/>
  <c r="AR162" i="1"/>
  <c r="AQ162" i="1"/>
  <c r="T161" i="1"/>
  <c r="S161" i="1"/>
  <c r="AQ161" i="1" l="1"/>
  <c r="AR161" i="1"/>
  <c r="AH160" i="1" l="1"/>
  <c r="U160" i="1"/>
  <c r="BG159" i="1"/>
  <c r="AN159" i="1"/>
  <c r="AI159" i="1"/>
  <c r="AG159" i="1"/>
  <c r="AF160" i="1"/>
  <c r="R160" i="1"/>
  <c r="J159" i="1"/>
  <c r="AC160" i="1" l="1"/>
  <c r="U159" i="1"/>
  <c r="AH159" i="1"/>
  <c r="T160" i="1"/>
  <c r="BG158" i="1"/>
  <c r="AN158" i="1"/>
  <c r="AI158" i="1"/>
  <c r="AG158" i="1"/>
  <c r="AP160" i="1"/>
  <c r="J158" i="1"/>
  <c r="U158" i="1" l="1"/>
  <c r="AH158" i="1"/>
  <c r="BG157" i="1"/>
  <c r="S160" i="1"/>
  <c r="R159" i="1"/>
  <c r="AF159" i="1"/>
  <c r="AP159" i="1"/>
  <c r="AR160" i="1" l="1"/>
  <c r="AQ160" i="1"/>
  <c r="AC159" i="1"/>
  <c r="T159" i="1"/>
  <c r="R158" i="1"/>
  <c r="AF158" i="1"/>
  <c r="AP158" i="1"/>
  <c r="S159" i="1"/>
  <c r="AQ159" i="1" l="1"/>
  <c r="AR159" i="1"/>
  <c r="AC158" i="1"/>
  <c r="T158" i="1"/>
  <c r="AN157" i="1"/>
  <c r="AI157" i="1"/>
  <c r="AG157" i="1"/>
  <c r="S158" i="1"/>
  <c r="J157" i="1"/>
  <c r="AR158" i="1" l="1"/>
  <c r="AQ158" i="1"/>
  <c r="U157" i="1"/>
  <c r="AH157" i="1"/>
  <c r="BG156" i="1" l="1"/>
  <c r="AN156" i="1"/>
  <c r="AI156" i="1"/>
  <c r="AH156" i="1"/>
  <c r="AG156" i="1"/>
  <c r="U156" i="1"/>
  <c r="BG155" i="1"/>
  <c r="AN155" i="1"/>
  <c r="AI155" i="1"/>
  <c r="AG155" i="1"/>
  <c r="J155" i="1"/>
  <c r="U155" i="1" l="1"/>
  <c r="AH155" i="1"/>
  <c r="BG154" i="1"/>
  <c r="AN154" i="1"/>
  <c r="AI154" i="1"/>
  <c r="AG154" i="1"/>
  <c r="AP156" i="1"/>
  <c r="AF157" i="1"/>
  <c r="AP157" i="1"/>
  <c r="AF156" i="1"/>
  <c r="R157" i="1"/>
  <c r="R156" i="1"/>
  <c r="J154" i="1"/>
  <c r="T157" i="1" l="1"/>
  <c r="AH154" i="1"/>
  <c r="U154" i="1"/>
  <c r="T156" i="1"/>
  <c r="AC157" i="1"/>
  <c r="AC156" i="1"/>
  <c r="BG153" i="1"/>
  <c r="AN153" i="1"/>
  <c r="AI153" i="1"/>
  <c r="AG153" i="1"/>
  <c r="BG152" i="1"/>
  <c r="AF155" i="1"/>
  <c r="AP155" i="1"/>
  <c r="S156" i="1"/>
  <c r="R155" i="1"/>
  <c r="S157" i="1"/>
  <c r="AR157" i="1" l="1"/>
  <c r="AQ157" i="1"/>
  <c r="U153" i="1"/>
  <c r="AH153" i="1"/>
  <c r="AQ156" i="1"/>
  <c r="AR156" i="1"/>
  <c r="T155" i="1"/>
  <c r="AC155" i="1"/>
  <c r="AF153" i="1"/>
  <c r="R154" i="1"/>
  <c r="AP153" i="1"/>
  <c r="S155" i="1"/>
  <c r="AP154" i="1"/>
  <c r="R153" i="1"/>
  <c r="AF154" i="1"/>
  <c r="T154" i="1" l="1"/>
  <c r="AC154" i="1"/>
  <c r="AC153" i="1"/>
  <c r="AR155" i="1"/>
  <c r="AQ155" i="1"/>
  <c r="T153" i="1"/>
  <c r="AN152" i="1"/>
  <c r="AI152" i="1"/>
  <c r="AG152" i="1"/>
  <c r="S153" i="1"/>
  <c r="S154" i="1"/>
  <c r="J152" i="1"/>
  <c r="U152" i="1" l="1"/>
  <c r="AH152" i="1"/>
  <c r="AR154" i="1"/>
  <c r="AQ154" i="1"/>
  <c r="AR153" i="1"/>
  <c r="AQ153" i="1"/>
  <c r="BG151" i="1" l="1"/>
  <c r="AN151" i="1"/>
  <c r="AI151" i="1"/>
  <c r="AG151" i="1"/>
  <c r="J151" i="1"/>
  <c r="AH151" i="1" l="1"/>
  <c r="U151" i="1"/>
  <c r="BG150" i="1"/>
  <c r="AN150" i="1"/>
  <c r="AI150" i="1"/>
  <c r="AG150" i="1"/>
  <c r="AP152" i="1"/>
  <c r="R152" i="1"/>
  <c r="AF152" i="1"/>
  <c r="J150" i="1"/>
  <c r="AC152" i="1" l="1"/>
  <c r="T152" i="1"/>
  <c r="U150" i="1"/>
  <c r="AH150" i="1"/>
  <c r="BG149" i="1"/>
  <c r="AN149" i="1"/>
  <c r="AI149" i="1"/>
  <c r="AG149" i="1"/>
  <c r="R151" i="1"/>
  <c r="AF151" i="1"/>
  <c r="AP151" i="1"/>
  <c r="S152" i="1"/>
  <c r="J149" i="1"/>
  <c r="U149" i="1" l="1"/>
  <c r="AH149" i="1"/>
  <c r="AR152" i="1"/>
  <c r="AC151" i="1"/>
  <c r="T151" i="1"/>
  <c r="BG148" i="1"/>
  <c r="AN148" i="1"/>
  <c r="AI148" i="1"/>
  <c r="AG148" i="1"/>
  <c r="AP150" i="1"/>
  <c r="R150" i="1"/>
  <c r="AF150" i="1"/>
  <c r="S151" i="1"/>
  <c r="J148" i="1"/>
  <c r="AH148" i="1" l="1"/>
  <c r="U148" i="1"/>
  <c r="AR151" i="1"/>
  <c r="AC150" i="1"/>
  <c r="T150" i="1"/>
  <c r="BG147" i="1"/>
  <c r="AP149" i="1"/>
  <c r="S150" i="1"/>
  <c r="R149" i="1"/>
  <c r="AF149" i="1"/>
  <c r="AC149" i="1" l="1"/>
  <c r="T149" i="1"/>
  <c r="AR150" i="1"/>
  <c r="AN147" i="1"/>
  <c r="AI147" i="1"/>
  <c r="AG147" i="1"/>
  <c r="AP148" i="1"/>
  <c r="AF148" i="1"/>
  <c r="S149" i="1"/>
  <c r="R148" i="1"/>
  <c r="J147" i="1"/>
  <c r="T148" i="1" l="1"/>
  <c r="AC148" i="1"/>
  <c r="AR149" i="1"/>
  <c r="S148" i="1"/>
  <c r="AR148" i="1" l="1"/>
  <c r="AH147" i="1" l="1"/>
  <c r="U147" i="1"/>
  <c r="BG146" i="1"/>
  <c r="R147" i="1"/>
  <c r="AF147" i="1"/>
  <c r="AC147" i="1" l="1"/>
  <c r="T147" i="1"/>
  <c r="AP147" i="1"/>
  <c r="AN146" i="1" l="1"/>
  <c r="AI146" i="1"/>
  <c r="AG146" i="1"/>
  <c r="S147" i="1"/>
  <c r="J146" i="1"/>
  <c r="AR147" i="1" l="1"/>
  <c r="U146" i="1"/>
  <c r="AH146" i="1"/>
  <c r="BG145" i="1" l="1"/>
  <c r="AN145" i="1"/>
  <c r="AI145" i="1"/>
  <c r="AG145" i="1"/>
  <c r="J145" i="1"/>
  <c r="AH145" i="1" l="1"/>
  <c r="U145" i="1"/>
  <c r="AN144" i="1"/>
  <c r="AI144" i="1"/>
  <c r="AG144" i="1"/>
  <c r="R146" i="1"/>
  <c r="AF146" i="1"/>
  <c r="AP146" i="1"/>
  <c r="J144" i="1"/>
  <c r="AA144" i="1" l="1"/>
  <c r="U144" i="1"/>
  <c r="AH144" i="1"/>
  <c r="T146" i="1"/>
  <c r="AC146" i="1"/>
  <c r="BG143" i="1"/>
  <c r="AN143" i="1"/>
  <c r="AI143" i="1"/>
  <c r="AG143" i="1"/>
  <c r="AP145" i="1"/>
  <c r="R145" i="1"/>
  <c r="AF145" i="1"/>
  <c r="S146" i="1"/>
  <c r="J143" i="1"/>
  <c r="AC145" i="1" l="1"/>
  <c r="T145" i="1"/>
  <c r="BG144" i="1"/>
  <c r="U143" i="1"/>
  <c r="AH143" i="1"/>
  <c r="AR146" i="1"/>
  <c r="BG142" i="1"/>
  <c r="R144" i="1"/>
  <c r="AF144" i="1"/>
  <c r="S145" i="1"/>
  <c r="AP144" i="1"/>
  <c r="AR145" i="1" l="1"/>
  <c r="AC144" i="1"/>
  <c r="T144" i="1"/>
  <c r="S144" i="1"/>
  <c r="R143" i="1"/>
  <c r="AF143" i="1"/>
  <c r="AP143" i="1"/>
  <c r="T143" i="1" l="1"/>
  <c r="AC143" i="1"/>
  <c r="AR144" i="1"/>
  <c r="AN142" i="1"/>
  <c r="AI142" i="1"/>
  <c r="AG142" i="1"/>
  <c r="S143" i="1"/>
  <c r="J142" i="1"/>
  <c r="U142" i="1" l="1"/>
  <c r="AH142" i="1"/>
  <c r="AR143" i="1"/>
  <c r="BG141" i="1" l="1"/>
  <c r="AN141" i="1"/>
  <c r="AI141" i="1"/>
  <c r="AG141" i="1"/>
  <c r="BG140" i="1"/>
  <c r="AN140" i="1"/>
  <c r="AI140" i="1"/>
  <c r="AG140" i="1"/>
  <c r="J140" i="1"/>
  <c r="U140" i="1" l="1"/>
  <c r="AH140" i="1"/>
  <c r="U141" i="1"/>
  <c r="AH141" i="1"/>
  <c r="BG139" i="1"/>
  <c r="AN139" i="1"/>
  <c r="AI139" i="1"/>
  <c r="AG139" i="1"/>
  <c r="BG138" i="1"/>
  <c r="AN138" i="1"/>
  <c r="AI138" i="1"/>
  <c r="AG138" i="1"/>
  <c r="AP141" i="1"/>
  <c r="AF141" i="1"/>
  <c r="R142" i="1"/>
  <c r="AF142" i="1"/>
  <c r="AP142" i="1"/>
  <c r="R141" i="1"/>
  <c r="J138" i="1"/>
  <c r="T142" i="1" l="1"/>
  <c r="U139" i="1"/>
  <c r="AH139" i="1"/>
  <c r="AC142" i="1"/>
  <c r="AC141" i="1"/>
  <c r="AH138" i="1"/>
  <c r="U138" i="1"/>
  <c r="T141" i="1"/>
  <c r="BG137" i="1"/>
  <c r="AF140" i="1"/>
  <c r="AF139" i="1"/>
  <c r="AP140" i="1"/>
  <c r="R140" i="1"/>
  <c r="S141" i="1"/>
  <c r="R139" i="1"/>
  <c r="AP139" i="1"/>
  <c r="S142" i="1"/>
  <c r="AR141" i="1" l="1"/>
  <c r="AC139" i="1"/>
  <c r="AR142" i="1"/>
  <c r="AC140" i="1"/>
  <c r="T140" i="1"/>
  <c r="T139" i="1"/>
  <c r="R138" i="1"/>
  <c r="S139" i="1"/>
  <c r="AP138" i="1"/>
  <c r="S140" i="1"/>
  <c r="AF138" i="1"/>
  <c r="AR139" i="1" l="1"/>
  <c r="AC138" i="1"/>
  <c r="AR140" i="1"/>
  <c r="T138" i="1"/>
  <c r="AN137" i="1"/>
  <c r="AI137" i="1"/>
  <c r="AG137" i="1"/>
  <c r="S138" i="1"/>
  <c r="J137" i="1"/>
  <c r="AH137" i="1" l="1"/>
  <c r="U137" i="1"/>
  <c r="AR138" i="1"/>
  <c r="BG136" i="1" l="1"/>
  <c r="AN136" i="1"/>
  <c r="AI136" i="1"/>
  <c r="AG136" i="1"/>
  <c r="J136" i="1"/>
  <c r="U136" i="1" l="1"/>
  <c r="AH136" i="1"/>
  <c r="BG135" i="1"/>
  <c r="AN135" i="1"/>
  <c r="AI135" i="1"/>
  <c r="AG135" i="1"/>
  <c r="R137" i="1"/>
  <c r="AF137" i="1"/>
  <c r="AP137" i="1"/>
  <c r="J135" i="1"/>
  <c r="AC137" i="1" l="1"/>
  <c r="T137" i="1"/>
  <c r="U135" i="1"/>
  <c r="AH135" i="1"/>
  <c r="BG134" i="1"/>
  <c r="AN134" i="1"/>
  <c r="AI134" i="1"/>
  <c r="AG134" i="1"/>
  <c r="AP136" i="1"/>
  <c r="R136" i="1"/>
  <c r="AF136" i="1"/>
  <c r="S137" i="1"/>
  <c r="J134" i="1"/>
  <c r="U134" i="1" l="1"/>
  <c r="AH134" i="1"/>
  <c r="AR137" i="1"/>
  <c r="AC136" i="1"/>
  <c r="T136" i="1"/>
  <c r="BG133" i="1"/>
  <c r="AN133" i="1"/>
  <c r="AI133" i="1"/>
  <c r="AG133" i="1"/>
  <c r="S136" i="1"/>
  <c r="R135" i="1"/>
  <c r="AP135" i="1"/>
  <c r="AF135" i="1"/>
  <c r="J133" i="1"/>
  <c r="U133" i="1" l="1"/>
  <c r="AH133" i="1"/>
  <c r="AC135" i="1"/>
  <c r="AR136" i="1"/>
  <c r="T135" i="1"/>
  <c r="BG132" i="1"/>
  <c r="AF134" i="1"/>
  <c r="R134" i="1"/>
  <c r="S135" i="1"/>
  <c r="AP134" i="1"/>
  <c r="AR135" i="1" l="1"/>
  <c r="T134" i="1"/>
  <c r="AC134" i="1"/>
  <c r="S134" i="1"/>
  <c r="AP133" i="1"/>
  <c r="AF133" i="1"/>
  <c r="R133" i="1"/>
  <c r="AC133" i="1" l="1"/>
  <c r="AR134" i="1"/>
  <c r="T133" i="1"/>
  <c r="AN132" i="1"/>
  <c r="AI132" i="1"/>
  <c r="AG132" i="1"/>
  <c r="S133" i="1"/>
  <c r="J132" i="1"/>
  <c r="AH132" i="1" l="1"/>
  <c r="U132" i="1"/>
  <c r="AR133" i="1"/>
  <c r="BG131" i="1" l="1"/>
  <c r="AN131" i="1"/>
  <c r="AI131" i="1"/>
  <c r="AG131" i="1"/>
  <c r="BG130" i="1"/>
  <c r="AN130" i="1"/>
  <c r="AI130" i="1"/>
  <c r="AG130" i="1"/>
  <c r="J130" i="1"/>
  <c r="AH131" i="1" l="1"/>
  <c r="U131" i="1"/>
  <c r="AH130" i="1"/>
  <c r="U130" i="1"/>
  <c r="BG129" i="1"/>
  <c r="AN129" i="1"/>
  <c r="AI129" i="1"/>
  <c r="AG129" i="1"/>
  <c r="BG128" i="1"/>
  <c r="AN128" i="1"/>
  <c r="AI128" i="1"/>
  <c r="AG128" i="1"/>
  <c r="AP131" i="1"/>
  <c r="AF131" i="1"/>
  <c r="AP132" i="1"/>
  <c r="AF132" i="1"/>
  <c r="R131" i="1"/>
  <c r="R132" i="1"/>
  <c r="J128" i="1"/>
  <c r="AC131" i="1" l="1"/>
  <c r="T132" i="1"/>
  <c r="AC132" i="1"/>
  <c r="AH129" i="1"/>
  <c r="U129" i="1"/>
  <c r="AH128" i="1"/>
  <c r="U128" i="1"/>
  <c r="T131" i="1"/>
  <c r="BG127" i="1"/>
  <c r="AN127" i="1"/>
  <c r="AI127" i="1"/>
  <c r="AG127" i="1"/>
  <c r="AF130" i="1"/>
  <c r="R129" i="1"/>
  <c r="S131" i="1"/>
  <c r="AP129" i="1"/>
  <c r="AF129" i="1"/>
  <c r="S132" i="1"/>
  <c r="R130" i="1"/>
  <c r="AP130" i="1"/>
  <c r="J127" i="1"/>
  <c r="AR132" i="1" l="1"/>
  <c r="AH127" i="1"/>
  <c r="U127" i="1"/>
  <c r="T130" i="1"/>
  <c r="AC129" i="1"/>
  <c r="AR131" i="1"/>
  <c r="AC130" i="1"/>
  <c r="T129" i="1"/>
  <c r="BG126" i="1"/>
  <c r="AN126" i="1"/>
  <c r="AI126" i="1"/>
  <c r="AG126" i="1"/>
  <c r="AP128" i="1"/>
  <c r="R128" i="1"/>
  <c r="S130" i="1"/>
  <c r="S129" i="1"/>
  <c r="AF128" i="1"/>
  <c r="J126" i="1"/>
  <c r="AC128" i="1" l="1"/>
  <c r="AR130" i="1"/>
  <c r="T128" i="1"/>
  <c r="AH126" i="1"/>
  <c r="U126" i="1"/>
  <c r="AR129" i="1"/>
  <c r="BG125" i="1"/>
  <c r="S128" i="1"/>
  <c r="R127" i="1"/>
  <c r="AF127" i="1"/>
  <c r="AP127" i="1"/>
  <c r="AC127" i="1" l="1"/>
  <c r="T127" i="1"/>
  <c r="AR128" i="1"/>
  <c r="AN125" i="1"/>
  <c r="AI125" i="1"/>
  <c r="AG125" i="1"/>
  <c r="AF126" i="1"/>
  <c r="R126" i="1"/>
  <c r="S127" i="1"/>
  <c r="AP126" i="1"/>
  <c r="J125" i="1"/>
  <c r="AC126" i="1" l="1"/>
  <c r="T126" i="1"/>
  <c r="AR127" i="1"/>
  <c r="S126" i="1"/>
  <c r="AR126" i="1" l="1"/>
  <c r="AH125" i="1" l="1"/>
  <c r="U125" i="1"/>
  <c r="BG124" i="1"/>
  <c r="AN124" i="1"/>
  <c r="AI124" i="1"/>
  <c r="AG124" i="1"/>
  <c r="AJ124" i="1" a="1"/>
  <c r="R125" i="1"/>
  <c r="AF125" i="1"/>
  <c r="J124" i="1"/>
  <c r="AC125" i="1" l="1"/>
  <c r="U124" i="1"/>
  <c r="AH124" i="1"/>
  <c r="AJ124" i="1"/>
  <c r="T125" i="1"/>
  <c r="BG123" i="1"/>
  <c r="AN123" i="1"/>
  <c r="AI123" i="1"/>
  <c r="AG123" i="1"/>
  <c r="AJ123" i="1" a="1"/>
  <c r="AP125" i="1"/>
  <c r="J123" i="1"/>
  <c r="AJ123" i="1" l="1"/>
  <c r="U123" i="1"/>
  <c r="AH123" i="1"/>
  <c r="BG122" i="1"/>
  <c r="AN122" i="1"/>
  <c r="AI122" i="1"/>
  <c r="AG122" i="1"/>
  <c r="S125" i="1"/>
  <c r="AP124" i="1"/>
  <c r="AF124" i="1"/>
  <c r="AJ122" i="1" a="1"/>
  <c r="R124" i="1"/>
  <c r="J122" i="1"/>
  <c r="AR125" i="1" l="1"/>
  <c r="U122" i="1"/>
  <c r="AH122" i="1"/>
  <c r="AJ122" i="1"/>
  <c r="T124" i="1"/>
  <c r="AC124" i="1"/>
  <c r="BG121" i="1"/>
  <c r="AN121" i="1"/>
  <c r="AI121" i="1"/>
  <c r="AG121" i="1"/>
  <c r="R123" i="1"/>
  <c r="AF123" i="1"/>
  <c r="AJ121" i="1" a="1"/>
  <c r="S124" i="1"/>
  <c r="AP123" i="1"/>
  <c r="J121" i="1"/>
  <c r="U121" i="1" l="1"/>
  <c r="AH121" i="1"/>
  <c r="AR124" i="1"/>
  <c r="AC123" i="1"/>
  <c r="AJ121" i="1"/>
  <c r="T123" i="1"/>
  <c r="BG120" i="1"/>
  <c r="AP122" i="1"/>
  <c r="R122" i="1"/>
  <c r="AF122" i="1"/>
  <c r="S123" i="1"/>
  <c r="AR123" i="1" l="1"/>
  <c r="T122" i="1"/>
  <c r="AC122" i="1"/>
  <c r="R121" i="1"/>
  <c r="S122" i="1"/>
  <c r="AF121" i="1"/>
  <c r="AP121" i="1"/>
  <c r="AC121" i="1" l="1"/>
  <c r="T121" i="1"/>
  <c r="AR122" i="1"/>
  <c r="AN120" i="1"/>
  <c r="AI120" i="1"/>
  <c r="AG120" i="1"/>
  <c r="S121" i="1"/>
  <c r="J120" i="1"/>
  <c r="U120" i="1" l="1"/>
  <c r="AH120" i="1"/>
  <c r="AR121" i="1"/>
  <c r="BG119" i="1" l="1"/>
  <c r="R120" i="1"/>
  <c r="AF120" i="1"/>
  <c r="AP120" i="1"/>
  <c r="AC120" i="1" l="1"/>
  <c r="T120" i="1"/>
  <c r="AN119" i="1"/>
  <c r="AI119" i="1"/>
  <c r="AG119" i="1"/>
  <c r="S120" i="1"/>
  <c r="J119" i="1"/>
  <c r="U119" i="1" l="1"/>
  <c r="AH119" i="1"/>
  <c r="AR120" i="1"/>
  <c r="BG118" i="1" l="1"/>
  <c r="AN118" i="1"/>
  <c r="AI118" i="1"/>
  <c r="AG118" i="1"/>
  <c r="J118" i="1"/>
  <c r="U118" i="1" l="1"/>
  <c r="AH118" i="1"/>
  <c r="BG117" i="1"/>
  <c r="AN117" i="1"/>
  <c r="AI117" i="1"/>
  <c r="AG117" i="1"/>
  <c r="AP119" i="1"/>
  <c r="AF119" i="1"/>
  <c r="R119" i="1"/>
  <c r="J117" i="1"/>
  <c r="T119" i="1" l="1"/>
  <c r="AC119" i="1"/>
  <c r="U117" i="1"/>
  <c r="AH117" i="1"/>
  <c r="BG116" i="1"/>
  <c r="AN116" i="1"/>
  <c r="AI116" i="1"/>
  <c r="AG116" i="1"/>
  <c r="R118" i="1"/>
  <c r="AF118" i="1"/>
  <c r="AP118" i="1"/>
  <c r="S119" i="1"/>
  <c r="J116" i="1"/>
  <c r="AR119" i="1" l="1"/>
  <c r="U116" i="1"/>
  <c r="AH116" i="1"/>
  <c r="AC118" i="1"/>
  <c r="T118" i="1"/>
  <c r="BG115" i="1"/>
  <c r="AN115" i="1"/>
  <c r="AI115" i="1"/>
  <c r="AG115" i="1"/>
  <c r="AP117" i="1"/>
  <c r="S118" i="1"/>
  <c r="R117" i="1"/>
  <c r="AF117" i="1"/>
  <c r="J115" i="1"/>
  <c r="AC117" i="1" l="1"/>
  <c r="AR118" i="1"/>
  <c r="AH115" i="1"/>
  <c r="U115" i="1"/>
  <c r="T117" i="1"/>
  <c r="BG114" i="1"/>
  <c r="S117" i="1"/>
  <c r="R116" i="1"/>
  <c r="AF116" i="1"/>
  <c r="AP116" i="1"/>
  <c r="AC116" i="1" l="1"/>
  <c r="AR117" i="1"/>
  <c r="T116" i="1"/>
  <c r="AN114" i="1"/>
  <c r="AI114" i="1"/>
  <c r="AG114" i="1"/>
  <c r="S116" i="1"/>
  <c r="R115" i="1"/>
  <c r="AF115" i="1"/>
  <c r="AP115" i="1"/>
  <c r="J114" i="1"/>
  <c r="T115" i="1" l="1"/>
  <c r="AC115" i="1"/>
  <c r="AR116" i="1"/>
  <c r="S115" i="1"/>
  <c r="AQ138" i="1" l="1"/>
  <c r="AQ137" i="1"/>
  <c r="AQ136" i="1"/>
  <c r="AQ135" i="1"/>
  <c r="AQ134" i="1"/>
  <c r="AQ133" i="1"/>
  <c r="AQ131" i="1"/>
  <c r="AQ132" i="1"/>
  <c r="AQ130" i="1"/>
  <c r="AQ129" i="1"/>
  <c r="AQ128" i="1"/>
  <c r="AQ127" i="1"/>
  <c r="AQ126" i="1"/>
  <c r="AQ125" i="1"/>
  <c r="AR115" i="1"/>
  <c r="AH114" i="1" l="1"/>
  <c r="U114" i="1"/>
  <c r="BG113" i="1"/>
  <c r="R114" i="1"/>
  <c r="AF114" i="1"/>
  <c r="AC114" i="1" l="1"/>
  <c r="T114" i="1"/>
  <c r="AP114" i="1"/>
  <c r="AN113" i="1" l="1"/>
  <c r="AI113" i="1"/>
  <c r="AG113" i="1"/>
  <c r="S114" i="1"/>
  <c r="J113" i="1"/>
  <c r="AR114" i="1" l="1"/>
  <c r="U113" i="1"/>
  <c r="AH113" i="1"/>
  <c r="BG112" i="1" l="1"/>
  <c r="AN112" i="1"/>
  <c r="AI112" i="1"/>
  <c r="AG112" i="1"/>
  <c r="J112" i="1"/>
  <c r="U112" i="1" l="1"/>
  <c r="AH112" i="1"/>
  <c r="BG111" i="1"/>
  <c r="R113" i="1"/>
  <c r="AP113" i="1"/>
  <c r="AF113" i="1"/>
  <c r="AC113" i="1" l="1"/>
  <c r="T113" i="1"/>
  <c r="R112" i="1"/>
  <c r="AP112" i="1"/>
  <c r="AF112" i="1"/>
  <c r="S113" i="1"/>
  <c r="AC112" i="1" l="1"/>
  <c r="AQ124" i="1"/>
  <c r="AQ123" i="1"/>
  <c r="AQ122" i="1"/>
  <c r="AQ121" i="1"/>
  <c r="AQ120" i="1"/>
  <c r="AQ119" i="1"/>
  <c r="AQ118" i="1"/>
  <c r="AQ117" i="1"/>
  <c r="AQ116" i="1"/>
  <c r="AQ115" i="1"/>
  <c r="AQ114" i="1"/>
  <c r="AR113" i="1"/>
  <c r="AQ113" i="1"/>
  <c r="T112" i="1"/>
  <c r="AN111" i="1"/>
  <c r="AI111" i="1"/>
  <c r="AG111" i="1"/>
  <c r="S112" i="1"/>
  <c r="J111" i="1"/>
  <c r="U111" i="1" l="1"/>
  <c r="AH111" i="1"/>
  <c r="AQ148" i="1"/>
  <c r="AQ147" i="1"/>
  <c r="AQ146" i="1"/>
  <c r="AQ145" i="1"/>
  <c r="AQ144" i="1"/>
  <c r="AQ143" i="1"/>
  <c r="AQ141" i="1"/>
  <c r="AQ142" i="1"/>
  <c r="AQ140" i="1"/>
  <c r="AQ139" i="1"/>
  <c r="AR112" i="1"/>
  <c r="AQ112" i="1"/>
  <c r="BG110" i="1" l="1"/>
  <c r="AN110" i="1"/>
  <c r="AI110" i="1"/>
  <c r="AG110" i="1"/>
  <c r="J110" i="1"/>
  <c r="AH110" i="1" l="1"/>
  <c r="U110" i="1"/>
  <c r="BG109" i="1"/>
  <c r="AN109" i="1"/>
  <c r="AI109" i="1"/>
  <c r="AG109" i="1"/>
  <c r="AP111" i="1"/>
  <c r="R111" i="1"/>
  <c r="AF111" i="1"/>
  <c r="J109" i="1"/>
  <c r="T111" i="1" l="1"/>
  <c r="AH109" i="1"/>
  <c r="U109" i="1"/>
  <c r="AC111" i="1"/>
  <c r="BG108" i="1"/>
  <c r="AN108" i="1"/>
  <c r="AI108" i="1"/>
  <c r="AG108" i="1"/>
  <c r="R110" i="1"/>
  <c r="AF110" i="1"/>
  <c r="AP110" i="1"/>
  <c r="S111" i="1"/>
  <c r="J108" i="1"/>
  <c r="U108" i="1" l="1"/>
  <c r="AH108" i="1"/>
  <c r="AQ111" i="1"/>
  <c r="AR111" i="1"/>
  <c r="AC110" i="1"/>
  <c r="T110" i="1"/>
  <c r="BG107" i="1"/>
  <c r="AN107" i="1"/>
  <c r="AI107" i="1"/>
  <c r="AG107" i="1"/>
  <c r="AF109" i="1"/>
  <c r="R109" i="1"/>
  <c r="S110" i="1"/>
  <c r="AP109" i="1"/>
  <c r="J107" i="1"/>
  <c r="U107" i="1" l="1"/>
  <c r="AH107" i="1"/>
  <c r="AR110" i="1"/>
  <c r="AQ110" i="1"/>
  <c r="AC109" i="1"/>
  <c r="T109" i="1"/>
  <c r="BG106" i="1"/>
  <c r="AN106" i="1"/>
  <c r="AI106" i="1"/>
  <c r="AG106" i="1"/>
  <c r="S109" i="1"/>
  <c r="AF108" i="1"/>
  <c r="AP108" i="1"/>
  <c r="R108" i="1"/>
  <c r="J106" i="1"/>
  <c r="U106" i="1" l="1"/>
  <c r="AH106" i="1"/>
  <c r="AC108" i="1"/>
  <c r="T108" i="1"/>
  <c r="AQ109" i="1"/>
  <c r="AR109" i="1"/>
  <c r="BG105" i="1"/>
  <c r="AN105" i="1"/>
  <c r="AI105" i="1"/>
  <c r="AG105" i="1"/>
  <c r="S108" i="1"/>
  <c r="AF107" i="1"/>
  <c r="R107" i="1"/>
  <c r="AP107" i="1"/>
  <c r="J105" i="1"/>
  <c r="AC107" i="1" l="1"/>
  <c r="T107" i="1"/>
  <c r="AR108" i="1"/>
  <c r="AQ108" i="1"/>
  <c r="U105" i="1"/>
  <c r="AH105" i="1"/>
  <c r="BG104" i="1"/>
  <c r="AN104" i="1"/>
  <c r="AI104" i="1"/>
  <c r="AG104" i="1"/>
  <c r="AF106" i="1"/>
  <c r="R106" i="1"/>
  <c r="S107" i="1"/>
  <c r="AP106" i="1"/>
  <c r="J104" i="1"/>
  <c r="AC106" i="1" l="1"/>
  <c r="AH104" i="1"/>
  <c r="U104" i="1"/>
  <c r="AR107" i="1"/>
  <c r="AQ107" i="1"/>
  <c r="T106" i="1"/>
  <c r="BG103" i="1"/>
  <c r="AN103" i="1"/>
  <c r="AI103" i="1"/>
  <c r="AG103" i="1"/>
  <c r="S106" i="1"/>
  <c r="AF105" i="1"/>
  <c r="AP105" i="1"/>
  <c r="R105" i="1"/>
  <c r="J103" i="1"/>
  <c r="AC105" i="1" l="1"/>
  <c r="T105" i="1"/>
  <c r="U103" i="1"/>
  <c r="AH103" i="1"/>
  <c r="AQ152" i="1"/>
  <c r="AQ151" i="1"/>
  <c r="AQ150" i="1"/>
  <c r="AQ149" i="1"/>
  <c r="AR106" i="1"/>
  <c r="AQ106" i="1"/>
  <c r="BG102" i="1"/>
  <c r="AN102" i="1"/>
  <c r="AI102" i="1"/>
  <c r="AG102" i="1"/>
  <c r="S105" i="1"/>
  <c r="AF104" i="1"/>
  <c r="AP104" i="1"/>
  <c r="R104" i="1"/>
  <c r="J102" i="1"/>
  <c r="U102" i="1" l="1"/>
  <c r="AH102" i="1"/>
  <c r="AC104" i="1"/>
  <c r="T104" i="1"/>
  <c r="AR105" i="1"/>
  <c r="AQ105" i="1"/>
  <c r="BG101" i="1"/>
  <c r="AN101" i="1"/>
  <c r="AI101" i="1"/>
  <c r="AG101" i="1"/>
  <c r="AF103" i="1"/>
  <c r="AP103" i="1"/>
  <c r="R103" i="1"/>
  <c r="S104" i="1"/>
  <c r="J101" i="1"/>
  <c r="U101" i="1" l="1"/>
  <c r="AH101" i="1"/>
  <c r="AC103" i="1"/>
  <c r="T103" i="1"/>
  <c r="AR104" i="1"/>
  <c r="AQ104" i="1"/>
  <c r="BG100" i="1"/>
  <c r="AF102" i="1"/>
  <c r="R102" i="1"/>
  <c r="AP102" i="1"/>
  <c r="S103" i="1"/>
  <c r="T102" i="1" l="1"/>
  <c r="AC102" i="1"/>
  <c r="AR103" i="1"/>
  <c r="AQ103" i="1"/>
  <c r="AP101" i="1"/>
  <c r="S102" i="1"/>
  <c r="AF101" i="1"/>
  <c r="R101" i="1"/>
  <c r="AC101" i="1" l="1"/>
  <c r="T101" i="1"/>
  <c r="AR102" i="1"/>
  <c r="AQ102" i="1"/>
  <c r="AN100" i="1"/>
  <c r="AI100" i="1"/>
  <c r="AG100" i="1"/>
  <c r="S101" i="1"/>
  <c r="J100" i="1"/>
  <c r="U100" i="1" l="1"/>
  <c r="AH100" i="1"/>
  <c r="AR101" i="1"/>
  <c r="AQ101" i="1"/>
  <c r="BG99" i="1" l="1"/>
  <c r="AF100" i="1"/>
  <c r="AP100" i="1"/>
  <c r="R100" i="1"/>
  <c r="T100" i="1" l="1"/>
  <c r="AC100" i="1"/>
  <c r="AN99" i="1"/>
  <c r="AI99" i="1"/>
  <c r="AG99" i="1"/>
  <c r="S100" i="1"/>
  <c r="AJ99" i="1" a="1"/>
  <c r="J99" i="1"/>
  <c r="AJ99" i="1" l="1"/>
  <c r="AH99" i="1"/>
  <c r="U99" i="1"/>
  <c r="AR100" i="1"/>
  <c r="AQ100" i="1"/>
  <c r="BG98" i="1" l="1"/>
  <c r="AN98" i="1"/>
  <c r="AI98" i="1"/>
  <c r="AG98" i="1"/>
  <c r="AJ98" i="1" a="1"/>
  <c r="J98" i="1"/>
  <c r="AJ98" i="1" l="1"/>
  <c r="AH98" i="1"/>
  <c r="U98" i="1"/>
  <c r="BG97" i="1"/>
  <c r="AN97" i="1"/>
  <c r="AI97" i="1"/>
  <c r="AG97" i="1"/>
  <c r="R99" i="1"/>
  <c r="AF99" i="1"/>
  <c r="AP99" i="1"/>
  <c r="J97" i="1"/>
  <c r="T99" i="1" l="1"/>
  <c r="AC99" i="1"/>
  <c r="U97" i="1"/>
  <c r="AH97" i="1"/>
  <c r="BG96" i="1"/>
  <c r="AP98" i="1"/>
  <c r="R98" i="1"/>
  <c r="AF98" i="1"/>
  <c r="S99" i="1"/>
  <c r="AC98" i="1" l="1"/>
  <c r="AR99" i="1"/>
  <c r="AQ99" i="1"/>
  <c r="T98" i="1"/>
  <c r="AP97" i="1"/>
  <c r="AF97" i="1"/>
  <c r="R97" i="1"/>
  <c r="S98" i="1"/>
  <c r="AC97" i="1" l="1"/>
  <c r="AR98" i="1"/>
  <c r="AQ98" i="1"/>
  <c r="T97" i="1"/>
  <c r="AN96" i="1"/>
  <c r="AI96" i="1"/>
  <c r="AG96" i="1"/>
  <c r="S97" i="1"/>
  <c r="J96" i="1"/>
  <c r="AR97" i="1" l="1"/>
  <c r="AQ97" i="1"/>
  <c r="U96" i="1"/>
  <c r="AH96" i="1"/>
  <c r="BG95" i="1" l="1"/>
  <c r="AN95" i="1"/>
  <c r="AI95" i="1"/>
  <c r="AG95" i="1"/>
  <c r="J95" i="1"/>
  <c r="U95" i="1" l="1"/>
  <c r="AH95" i="1"/>
  <c r="BG94" i="1"/>
  <c r="BH94" i="1" s="1"/>
  <c r="AN94" i="1"/>
  <c r="AI94" i="1"/>
  <c r="AG94" i="1"/>
  <c r="R96" i="1"/>
  <c r="AP96" i="1"/>
  <c r="AF96" i="1"/>
  <c r="J94" i="1"/>
  <c r="AC96" i="1" l="1"/>
  <c r="T96" i="1"/>
  <c r="U94" i="1"/>
  <c r="AH94" i="1"/>
  <c r="BH93" i="1"/>
  <c r="BG93" i="1"/>
  <c r="S96" i="1"/>
  <c r="AF95" i="1"/>
  <c r="R95" i="1"/>
  <c r="AP95" i="1"/>
  <c r="AC95" i="1" l="1"/>
  <c r="AQ96" i="1"/>
  <c r="AR96" i="1"/>
  <c r="T95" i="1"/>
  <c r="AN93" i="1"/>
  <c r="AI93" i="1"/>
  <c r="AG93" i="1"/>
  <c r="AP94" i="1"/>
  <c r="AF94" i="1"/>
  <c r="S95" i="1"/>
  <c r="R94" i="1"/>
  <c r="J93" i="1"/>
  <c r="T94" i="1" l="1"/>
  <c r="AC94" i="1"/>
  <c r="AQ95" i="1"/>
  <c r="AR95" i="1"/>
  <c r="S94" i="1"/>
  <c r="AR94" i="1" l="1"/>
  <c r="AQ94" i="1"/>
  <c r="AH93" i="1" l="1"/>
  <c r="U93" i="1"/>
  <c r="BG92" i="1"/>
  <c r="BH92" i="1" s="1"/>
  <c r="R93" i="1"/>
  <c r="AF93" i="1"/>
  <c r="AC93" i="1" l="1"/>
  <c r="T93" i="1"/>
  <c r="AN92" i="1"/>
  <c r="AI92" i="1"/>
  <c r="AG92" i="1"/>
  <c r="AP93" i="1"/>
  <c r="J92" i="1"/>
  <c r="AH92" i="1" l="1"/>
  <c r="U92" i="1"/>
  <c r="BG91" i="1"/>
  <c r="BH91" i="1" s="1"/>
  <c r="S93" i="1"/>
  <c r="R92" i="1"/>
  <c r="AF92" i="1"/>
  <c r="AR93" i="1" l="1"/>
  <c r="AQ93" i="1"/>
  <c r="AC92" i="1"/>
  <c r="T92" i="1"/>
  <c r="AP92" i="1"/>
  <c r="AN91" i="1" l="1"/>
  <c r="AI91" i="1"/>
  <c r="AG91" i="1"/>
  <c r="S92" i="1"/>
  <c r="J91" i="1"/>
  <c r="AR92" i="1" l="1"/>
  <c r="AQ92" i="1"/>
  <c r="U91" i="1"/>
  <c r="AH91" i="1"/>
  <c r="BG90" i="1" l="1"/>
  <c r="BH90" i="1" s="1"/>
  <c r="AN90" i="1" l="1"/>
  <c r="AI90" i="1"/>
  <c r="AG90" i="1"/>
  <c r="AF91" i="1"/>
  <c r="AP91" i="1"/>
  <c r="R91" i="1"/>
  <c r="J90" i="1"/>
  <c r="AC91" i="1" l="1"/>
  <c r="T91" i="1"/>
  <c r="S91" i="1"/>
  <c r="AR91" i="1" l="1"/>
  <c r="AQ91" i="1"/>
  <c r="AH90" i="1" l="1"/>
  <c r="U90" i="1"/>
  <c r="BG89" i="1"/>
  <c r="BH89" i="1" s="1"/>
  <c r="AN89" i="1"/>
  <c r="AI89" i="1"/>
  <c r="AG89" i="1"/>
  <c r="AF90" i="1"/>
  <c r="R90" i="1"/>
  <c r="J89" i="1"/>
  <c r="AC90" i="1" l="1"/>
  <c r="U89" i="1"/>
  <c r="AH89" i="1"/>
  <c r="T90" i="1"/>
  <c r="BG88" i="1"/>
  <c r="BH88" i="1" s="1"/>
  <c r="AP90" i="1"/>
  <c r="AN88" i="1" l="1"/>
  <c r="AI88" i="1"/>
  <c r="AG88" i="1"/>
  <c r="S90" i="1"/>
  <c r="AP89" i="1"/>
  <c r="R89" i="1"/>
  <c r="AF89" i="1"/>
  <c r="J88" i="1"/>
  <c r="AQ90" i="1" l="1"/>
  <c r="AR90" i="1"/>
  <c r="T89" i="1"/>
  <c r="AC89" i="1"/>
  <c r="S89" i="1"/>
  <c r="AR89" i="1" l="1"/>
  <c r="AQ89" i="1"/>
  <c r="AH88" i="1" l="1"/>
  <c r="U88" i="1"/>
  <c r="BG87" i="1"/>
  <c r="BH87" i="1" s="1"/>
  <c r="R88" i="1"/>
  <c r="AF88" i="1"/>
  <c r="AC88" i="1" l="1"/>
  <c r="T88" i="1"/>
  <c r="AP88" i="1"/>
  <c r="AN87" i="1" l="1"/>
  <c r="AI87" i="1"/>
  <c r="AG87" i="1"/>
  <c r="S88" i="1"/>
  <c r="J87" i="1"/>
  <c r="AR88" i="1" l="1"/>
  <c r="AQ88" i="1"/>
  <c r="U87" i="1"/>
  <c r="AH87" i="1"/>
  <c r="BG86" i="1" l="1"/>
  <c r="BH86" i="1" s="1"/>
  <c r="AN86" i="1"/>
  <c r="AI86" i="1"/>
  <c r="AG86" i="1"/>
  <c r="J86" i="1"/>
  <c r="AH86" i="1" l="1"/>
  <c r="U86" i="1"/>
  <c r="BG85" i="1"/>
  <c r="BH85" i="1" s="1"/>
  <c r="AF87" i="1"/>
  <c r="AP87" i="1"/>
  <c r="R87" i="1"/>
  <c r="T87" i="1" l="1"/>
  <c r="AC87" i="1"/>
  <c r="AN85" i="1"/>
  <c r="AI85" i="1"/>
  <c r="AG85" i="1"/>
  <c r="AF86" i="1"/>
  <c r="S87" i="1"/>
  <c r="R86" i="1"/>
  <c r="AP86" i="1"/>
  <c r="J85" i="1"/>
  <c r="AC86" i="1" l="1"/>
  <c r="AR87" i="1"/>
  <c r="AQ87" i="1"/>
  <c r="T86" i="1"/>
  <c r="S86" i="1"/>
  <c r="AR86" i="1" l="1"/>
  <c r="AQ86" i="1"/>
  <c r="AH85" i="1" l="1"/>
  <c r="U85" i="1"/>
  <c r="BG84" i="1"/>
  <c r="BH84" i="1" s="1"/>
  <c r="AN84" i="1"/>
  <c r="AI84" i="1"/>
  <c r="AG84" i="1"/>
  <c r="AF85" i="1"/>
  <c r="R85" i="1"/>
  <c r="J84" i="1"/>
  <c r="AC85" i="1" l="1"/>
  <c r="AH84" i="1"/>
  <c r="U84" i="1"/>
  <c r="T85" i="1"/>
  <c r="BG83" i="1"/>
  <c r="BH83" i="1" s="1"/>
  <c r="AN83" i="1"/>
  <c r="AI83" i="1"/>
  <c r="AG83" i="1"/>
  <c r="AP85" i="1"/>
  <c r="J83" i="1"/>
  <c r="U83" i="1" l="1"/>
  <c r="AH83" i="1"/>
  <c r="BG82" i="1"/>
  <c r="AN82" i="1"/>
  <c r="AI82" i="1"/>
  <c r="AG82" i="1"/>
  <c r="S85" i="1"/>
  <c r="AF84" i="1"/>
  <c r="AJ82" i="1" a="1"/>
  <c r="R84" i="1"/>
  <c r="AP84" i="1"/>
  <c r="J82" i="1"/>
  <c r="AR85" i="1" l="1"/>
  <c r="AQ85" i="1"/>
  <c r="AJ82" i="1"/>
  <c r="T84" i="1"/>
  <c r="U82" i="1"/>
  <c r="AH82" i="1"/>
  <c r="AC84" i="1"/>
  <c r="AN81" i="1"/>
  <c r="AI81" i="1"/>
  <c r="AG81" i="1"/>
  <c r="R83" i="1"/>
  <c r="S84" i="1"/>
  <c r="AP83" i="1"/>
  <c r="AF83" i="1"/>
  <c r="J81" i="1"/>
  <c r="U81" i="1" l="1"/>
  <c r="AH81" i="1"/>
  <c r="AR84" i="1"/>
  <c r="AQ84" i="1"/>
  <c r="AC83" i="1"/>
  <c r="T83" i="1"/>
  <c r="BG80" i="1"/>
  <c r="AN80" i="1"/>
  <c r="AI80" i="1"/>
  <c r="AG80" i="1"/>
  <c r="R82" i="1"/>
  <c r="AF82" i="1"/>
  <c r="S83" i="1"/>
  <c r="AP82" i="1"/>
  <c r="J80" i="1"/>
  <c r="AR83" i="1" l="1"/>
  <c r="AQ83" i="1"/>
  <c r="T82" i="1"/>
  <c r="U80" i="1"/>
  <c r="AH80" i="1"/>
  <c r="AC82" i="1"/>
  <c r="BG79" i="1"/>
  <c r="AN79" i="1"/>
  <c r="AI79" i="1"/>
  <c r="AG79" i="1"/>
  <c r="AP81" i="1"/>
  <c r="S82" i="1"/>
  <c r="AJ79" i="1" a="1"/>
  <c r="R81" i="1"/>
  <c r="AF81" i="1"/>
  <c r="J79" i="1"/>
  <c r="AC81" i="1" l="1"/>
  <c r="U79" i="1"/>
  <c r="AH79" i="1"/>
  <c r="AJ79" i="1"/>
  <c r="AQ82" i="1"/>
  <c r="AR82" i="1"/>
  <c r="T81" i="1"/>
  <c r="BG78" i="1"/>
  <c r="AN78" i="1"/>
  <c r="AI78" i="1"/>
  <c r="AG78" i="1"/>
  <c r="AF80" i="1"/>
  <c r="S81" i="1"/>
  <c r="R80" i="1"/>
  <c r="AP80" i="1"/>
  <c r="J78" i="1"/>
  <c r="U78" i="1" l="1"/>
  <c r="AH78" i="1"/>
  <c r="AC80" i="1"/>
  <c r="T80" i="1"/>
  <c r="AR81" i="1"/>
  <c r="AQ81" i="1"/>
  <c r="BG77" i="1"/>
  <c r="S80" i="1"/>
  <c r="R79" i="1"/>
  <c r="AF79" i="1"/>
  <c r="AP79" i="1"/>
  <c r="AC79" i="1" l="1"/>
  <c r="T79" i="1"/>
  <c r="AR80" i="1"/>
  <c r="AQ80" i="1"/>
  <c r="AF78" i="1"/>
  <c r="S79" i="1"/>
  <c r="AP78" i="1"/>
  <c r="R78" i="1"/>
  <c r="T78" i="1" l="1"/>
  <c r="AC78" i="1"/>
  <c r="AQ79" i="1"/>
  <c r="AR79" i="1"/>
  <c r="AN77" i="1"/>
  <c r="AI77" i="1"/>
  <c r="AG77" i="1"/>
  <c r="S78" i="1"/>
  <c r="J77" i="1"/>
  <c r="U77" i="1" l="1"/>
  <c r="AH77" i="1"/>
  <c r="AR78" i="1"/>
  <c r="AQ78" i="1"/>
  <c r="BG76" i="1" l="1"/>
  <c r="AF77" i="1"/>
  <c r="R77" i="1"/>
  <c r="AP77" i="1"/>
  <c r="T77" i="1" l="1"/>
  <c r="AC77" i="1"/>
  <c r="AN76" i="1"/>
  <c r="AI76" i="1"/>
  <c r="AG76" i="1"/>
  <c r="S77" i="1"/>
  <c r="J76" i="1"/>
  <c r="AH76" i="1" l="1"/>
  <c r="U76" i="1"/>
  <c r="AR77" i="1"/>
  <c r="AQ77" i="1"/>
  <c r="BG75" i="1" l="1"/>
  <c r="AN75" i="1"/>
  <c r="AI75" i="1"/>
  <c r="AG75" i="1"/>
  <c r="AJ75" i="1" a="1"/>
  <c r="J75" i="1"/>
  <c r="AJ75" i="1" l="1"/>
  <c r="U75" i="1"/>
  <c r="AH75" i="1"/>
  <c r="BG74" i="1"/>
  <c r="AF76" i="1"/>
  <c r="AP76" i="1"/>
  <c r="R76" i="1"/>
  <c r="T76" i="1" l="1"/>
  <c r="AC76" i="1"/>
  <c r="S76" i="1"/>
  <c r="AF75" i="1"/>
  <c r="AP75" i="1"/>
  <c r="R75" i="1"/>
  <c r="T75" i="1" l="1"/>
  <c r="AQ76" i="1"/>
  <c r="AR76" i="1"/>
  <c r="AC75" i="1"/>
  <c r="AN74" i="1"/>
  <c r="AI74" i="1"/>
  <c r="AG74" i="1"/>
  <c r="S75" i="1"/>
  <c r="J74" i="1"/>
  <c r="U74" i="1" l="1"/>
  <c r="AH74" i="1"/>
  <c r="AQ75" i="1"/>
  <c r="AR75" i="1"/>
  <c r="BG73" i="1" l="1"/>
  <c r="AN73" i="1" l="1"/>
  <c r="AI73" i="1"/>
  <c r="AG73" i="1"/>
  <c r="AF74" i="1"/>
  <c r="AP74" i="1"/>
  <c r="R74" i="1"/>
  <c r="J73" i="1"/>
  <c r="T74" i="1" l="1"/>
  <c r="AC74" i="1"/>
  <c r="S74" i="1"/>
  <c r="AR74" i="1" l="1"/>
  <c r="AQ74" i="1"/>
  <c r="AH73" i="1" l="1"/>
  <c r="U73" i="1"/>
  <c r="BG72" i="1"/>
  <c r="AN72" i="1"/>
  <c r="AI72" i="1"/>
  <c r="AG72" i="1"/>
  <c r="AF73" i="1"/>
  <c r="R73" i="1"/>
  <c r="J72" i="1"/>
  <c r="AC73" i="1" l="1"/>
  <c r="AH72" i="1"/>
  <c r="U72" i="1"/>
  <c r="T73" i="1"/>
  <c r="BG71" i="1"/>
  <c r="AN71" i="1"/>
  <c r="AI71" i="1"/>
  <c r="AG71" i="1"/>
  <c r="AP73" i="1"/>
  <c r="J71" i="1"/>
  <c r="U71" i="1" l="1"/>
  <c r="AH71" i="1"/>
  <c r="BG70" i="1"/>
  <c r="AN70" i="1"/>
  <c r="AI70" i="1"/>
  <c r="AG70" i="1"/>
  <c r="S73" i="1"/>
  <c r="AF72" i="1"/>
  <c r="AJ70" i="1" a="1"/>
  <c r="R72" i="1"/>
  <c r="AP72" i="1"/>
  <c r="J70" i="1"/>
  <c r="AR73" i="1" l="1"/>
  <c r="AQ73" i="1"/>
  <c r="U70" i="1"/>
  <c r="AH70" i="1"/>
  <c r="AJ70" i="1"/>
  <c r="T72" i="1"/>
  <c r="AC72" i="1"/>
  <c r="BG69" i="1"/>
  <c r="AN69" i="1"/>
  <c r="AI69" i="1"/>
  <c r="AG69" i="1"/>
  <c r="R71" i="1"/>
  <c r="AF71" i="1"/>
  <c r="S72" i="1"/>
  <c r="AP71" i="1"/>
  <c r="J69" i="1"/>
  <c r="AC71" i="1" l="1"/>
  <c r="U69" i="1"/>
  <c r="AH69" i="1"/>
  <c r="T71" i="1"/>
  <c r="AR72" i="1"/>
  <c r="AQ72" i="1"/>
  <c r="BG68" i="1"/>
  <c r="AN68" i="1"/>
  <c r="AI68" i="1"/>
  <c r="AG68" i="1"/>
  <c r="AP70" i="1"/>
  <c r="S71" i="1"/>
  <c r="AF70" i="1"/>
  <c r="R70" i="1"/>
  <c r="J68" i="1"/>
  <c r="AC70" i="1" l="1"/>
  <c r="U68" i="1"/>
  <c r="AH68" i="1"/>
  <c r="T70" i="1"/>
  <c r="AR71" i="1"/>
  <c r="AQ71" i="1"/>
  <c r="BG67" i="1"/>
  <c r="R69" i="1"/>
  <c r="S70" i="1"/>
  <c r="AF69" i="1"/>
  <c r="AP69" i="1"/>
  <c r="AC69" i="1" l="1"/>
  <c r="AQ70" i="1"/>
  <c r="AR70" i="1"/>
  <c r="T69" i="1"/>
  <c r="AN67" i="1"/>
  <c r="AI67" i="1"/>
  <c r="AG67" i="1"/>
  <c r="AF68" i="1"/>
  <c r="R68" i="1"/>
  <c r="S69" i="1"/>
  <c r="AP68" i="1"/>
  <c r="J67" i="1"/>
  <c r="AC68" i="1" l="1"/>
  <c r="AR69" i="1"/>
  <c r="AQ69" i="1"/>
  <c r="T68" i="1"/>
  <c r="S68" i="1"/>
  <c r="AR68" i="1" l="1"/>
  <c r="AQ68" i="1"/>
  <c r="AH67" i="1" l="1"/>
  <c r="U67" i="1"/>
  <c r="BG66" i="1"/>
  <c r="BH66" i="1" s="1"/>
  <c r="R67" i="1"/>
  <c r="AF67" i="1"/>
  <c r="AC67" i="1" l="1"/>
  <c r="T67" i="1"/>
  <c r="AN66" i="1"/>
  <c r="AI66" i="1"/>
  <c r="AG66" i="1"/>
  <c r="AP67" i="1"/>
  <c r="J66" i="1"/>
  <c r="AH66" i="1" l="1"/>
  <c r="U66" i="1"/>
  <c r="BG65" i="1"/>
  <c r="BH65" i="1" s="1"/>
  <c r="S67" i="1"/>
  <c r="R66" i="1"/>
  <c r="AF66" i="1"/>
  <c r="AR67" i="1" l="1"/>
  <c r="AQ67" i="1"/>
  <c r="AC66" i="1"/>
  <c r="T66" i="1"/>
  <c r="AP66" i="1"/>
  <c r="AN65" i="1" l="1"/>
  <c r="AI65" i="1"/>
  <c r="AG65" i="1"/>
  <c r="S66" i="1"/>
  <c r="AJ65" i="1" a="1"/>
  <c r="J65" i="1"/>
  <c r="AR66" i="1" l="1"/>
  <c r="AQ66" i="1"/>
  <c r="U65" i="1"/>
  <c r="AH65" i="1"/>
  <c r="AJ65" i="1"/>
  <c r="BG64" i="1" l="1"/>
  <c r="BH64" i="1" s="1"/>
  <c r="AN64" i="1"/>
  <c r="AI64" i="1"/>
  <c r="AG64" i="1"/>
  <c r="BG63" i="1"/>
  <c r="BH63" i="1" s="1"/>
  <c r="AN63" i="1"/>
  <c r="AI63" i="1"/>
  <c r="AG63" i="1"/>
  <c r="BG62" i="1"/>
  <c r="BH62" i="1" s="1"/>
  <c r="AN62" i="1"/>
  <c r="AI62" i="1"/>
  <c r="AG62" i="1"/>
  <c r="J62" i="1"/>
  <c r="U63" i="1" l="1"/>
  <c r="AH63" i="1"/>
  <c r="U64" i="1"/>
  <c r="AH64" i="1"/>
  <c r="U62" i="1"/>
  <c r="AH62" i="1"/>
  <c r="BG61" i="1"/>
  <c r="R63" i="1"/>
  <c r="AP63" i="1"/>
  <c r="R64" i="1"/>
  <c r="AF65" i="1"/>
  <c r="R65" i="1"/>
  <c r="AP64" i="1"/>
  <c r="AF63" i="1"/>
  <c r="AF64" i="1"/>
  <c r="AP65" i="1"/>
  <c r="T65" i="1" l="1"/>
  <c r="AC65" i="1"/>
  <c r="AC64" i="1"/>
  <c r="AC63" i="1"/>
  <c r="T64" i="1"/>
  <c r="T63" i="1"/>
  <c r="AP62" i="1"/>
  <c r="AF62" i="1"/>
  <c r="R62" i="1"/>
  <c r="S64" i="1"/>
  <c r="S63" i="1"/>
  <c r="S65" i="1"/>
  <c r="AR65" i="1" l="1"/>
  <c r="AQ65" i="1"/>
  <c r="AR64" i="1"/>
  <c r="AQ64" i="1"/>
  <c r="AC62" i="1"/>
  <c r="AR63" i="1"/>
  <c r="AQ63" i="1"/>
  <c r="T62" i="1"/>
  <c r="AN61" i="1"/>
  <c r="AI61" i="1"/>
  <c r="AG61" i="1"/>
  <c r="S62" i="1"/>
  <c r="AJ61" i="1" a="1"/>
  <c r="J61" i="1"/>
  <c r="AJ61" i="1" l="1"/>
  <c r="AH61" i="1"/>
  <c r="U61" i="1"/>
  <c r="AR62" i="1"/>
  <c r="AQ62" i="1"/>
  <c r="BG60" i="1" l="1"/>
  <c r="AN60" i="1"/>
  <c r="AI60" i="1"/>
  <c r="AG60" i="1"/>
  <c r="J60" i="1"/>
  <c r="AH60" i="1" l="1"/>
  <c r="U60" i="1"/>
  <c r="BG59" i="1"/>
  <c r="AN59" i="1"/>
  <c r="AI59" i="1"/>
  <c r="AG59" i="1"/>
  <c r="R61" i="1"/>
  <c r="AF61" i="1"/>
  <c r="AP61" i="1"/>
  <c r="J59" i="1"/>
  <c r="U59" i="1" l="1"/>
  <c r="AH59" i="1"/>
  <c r="T61" i="1"/>
  <c r="AC61" i="1"/>
  <c r="BG58" i="1"/>
  <c r="AN58" i="1"/>
  <c r="AI58" i="1"/>
  <c r="AG58" i="1"/>
  <c r="AF60" i="1"/>
  <c r="R60" i="1"/>
  <c r="AJ58" i="1" a="1"/>
  <c r="AP60" i="1"/>
  <c r="S61" i="1"/>
  <c r="J58" i="1"/>
  <c r="U58" i="1" l="1"/>
  <c r="AH58" i="1"/>
  <c r="AJ58" i="1"/>
  <c r="AR61" i="1"/>
  <c r="AQ61" i="1"/>
  <c r="AC60" i="1"/>
  <c r="T60" i="1"/>
  <c r="BG57" i="1"/>
  <c r="AN57" i="1"/>
  <c r="AI57" i="1"/>
  <c r="AG57" i="1"/>
  <c r="S60" i="1"/>
  <c r="AF59" i="1"/>
  <c r="R59" i="1"/>
  <c r="AP59" i="1"/>
  <c r="J57" i="1"/>
  <c r="U57" i="1" l="1"/>
  <c r="AH57" i="1"/>
  <c r="AC59" i="1"/>
  <c r="T59" i="1"/>
  <c r="AQ60" i="1"/>
  <c r="AR60" i="1"/>
  <c r="BG56" i="1"/>
  <c r="AN56" i="1"/>
  <c r="AI56" i="1"/>
  <c r="AG56" i="1"/>
  <c r="AP58" i="1"/>
  <c r="R58" i="1"/>
  <c r="S59" i="1"/>
  <c r="AF58" i="1"/>
  <c r="J56" i="1"/>
  <c r="AC58" i="1" l="1"/>
  <c r="T58" i="1"/>
  <c r="U56" i="1"/>
  <c r="AH56" i="1"/>
  <c r="AR59" i="1"/>
  <c r="AQ59" i="1"/>
  <c r="BG55" i="1"/>
  <c r="S58" i="1"/>
  <c r="AF57" i="1"/>
  <c r="AP57" i="1"/>
  <c r="R57" i="1"/>
  <c r="T57" i="1" l="1"/>
  <c r="AC57" i="1"/>
  <c r="AR58" i="1"/>
  <c r="AQ58" i="1"/>
  <c r="AF56" i="1"/>
  <c r="R56" i="1"/>
  <c r="S57" i="1"/>
  <c r="AP56" i="1"/>
  <c r="AC56" i="1" l="1"/>
  <c r="AR57" i="1"/>
  <c r="AQ57" i="1"/>
  <c r="T56" i="1"/>
  <c r="AN55" i="1"/>
  <c r="AI55" i="1"/>
  <c r="AG55" i="1"/>
  <c r="S56" i="1"/>
  <c r="J55" i="1"/>
  <c r="U55" i="1" l="1"/>
  <c r="AH55" i="1"/>
  <c r="AQ56" i="1"/>
  <c r="AR56" i="1"/>
  <c r="BG54" i="1" l="1"/>
  <c r="AN54" i="1"/>
  <c r="AI54" i="1"/>
  <c r="AG54" i="1"/>
  <c r="J54" i="1"/>
  <c r="U54" i="1" l="1"/>
  <c r="AH54" i="1"/>
  <c r="BG53" i="1"/>
  <c r="AN53" i="1"/>
  <c r="AI53" i="1"/>
  <c r="AG53" i="1"/>
  <c r="AP55" i="1"/>
  <c r="AF55" i="1"/>
  <c r="R55" i="1"/>
  <c r="J53" i="1"/>
  <c r="T55" i="1" l="1"/>
  <c r="AC55" i="1"/>
  <c r="U53" i="1"/>
  <c r="AH53" i="1"/>
  <c r="BG52" i="1"/>
  <c r="AN52" i="1"/>
  <c r="AI52" i="1"/>
  <c r="AG52" i="1"/>
  <c r="R54" i="1"/>
  <c r="AF54" i="1"/>
  <c r="S55" i="1"/>
  <c r="AP54" i="1"/>
  <c r="J52" i="1"/>
  <c r="U52" i="1" l="1"/>
  <c r="AH52" i="1"/>
  <c r="AC54" i="1"/>
  <c r="AQ55" i="1"/>
  <c r="AR55" i="1"/>
  <c r="T54" i="1"/>
  <c r="BG51" i="1"/>
  <c r="AN51" i="1"/>
  <c r="AI51" i="1"/>
  <c r="AG51" i="1"/>
  <c r="AF53" i="1"/>
  <c r="R53" i="1"/>
  <c r="S54" i="1"/>
  <c r="AP53" i="1"/>
  <c r="J51" i="1"/>
  <c r="U51" i="1" l="1"/>
  <c r="AH51" i="1"/>
  <c r="AR54" i="1"/>
  <c r="AQ54" i="1"/>
  <c r="AC53" i="1"/>
  <c r="T53" i="1"/>
  <c r="BG50" i="1"/>
  <c r="AN50" i="1"/>
  <c r="AI50" i="1"/>
  <c r="AG50" i="1"/>
  <c r="S53" i="1"/>
  <c r="AF52" i="1"/>
  <c r="R52" i="1"/>
  <c r="AP52" i="1"/>
  <c r="J50" i="1"/>
  <c r="AC52" i="1" l="1"/>
  <c r="AH50" i="1"/>
  <c r="U50" i="1"/>
  <c r="AR53" i="1"/>
  <c r="AQ53" i="1"/>
  <c r="T52" i="1"/>
  <c r="BG49" i="1"/>
  <c r="S52" i="1"/>
  <c r="AF51" i="1"/>
  <c r="AP51" i="1"/>
  <c r="R51" i="1"/>
  <c r="T51" i="1" l="1"/>
  <c r="AC51" i="1"/>
  <c r="AR52" i="1"/>
  <c r="AQ52" i="1"/>
  <c r="AN49" i="1"/>
  <c r="AI49" i="1"/>
  <c r="AG49" i="1"/>
  <c r="AJ49" i="1" a="1"/>
  <c r="AF50" i="1"/>
  <c r="S51" i="1"/>
  <c r="AP50" i="1"/>
  <c r="R50" i="1"/>
  <c r="J49" i="1"/>
  <c r="T50" i="1" l="1"/>
  <c r="AJ49" i="1"/>
  <c r="AC50" i="1"/>
  <c r="AR51" i="1"/>
  <c r="AQ51" i="1"/>
  <c r="S50" i="1"/>
  <c r="AR50" i="1" l="1"/>
  <c r="AQ50" i="1"/>
  <c r="AH49" i="1" l="1"/>
  <c r="U49" i="1"/>
  <c r="BG48" i="1"/>
  <c r="R49" i="1"/>
  <c r="AF49" i="1"/>
  <c r="AC49" i="1" l="1"/>
  <c r="T49" i="1"/>
  <c r="AP49" i="1"/>
  <c r="AN48" i="1" l="1"/>
  <c r="AI48" i="1"/>
  <c r="AG48" i="1"/>
  <c r="S49" i="1"/>
  <c r="AJ48" i="1" a="1"/>
  <c r="J48" i="1"/>
  <c r="AR49" i="1" l="1"/>
  <c r="AQ49" i="1"/>
  <c r="AH48" i="1"/>
  <c r="U48" i="1"/>
  <c r="AJ48" i="1"/>
  <c r="BG47" i="1" l="1"/>
  <c r="AN47" i="1"/>
  <c r="AI47" i="1"/>
  <c r="AG47" i="1"/>
  <c r="J47" i="1"/>
  <c r="AH47" i="1" l="1"/>
  <c r="U47" i="1"/>
  <c r="BG46" i="1"/>
  <c r="AN46" i="1"/>
  <c r="AI46" i="1"/>
  <c r="AG46" i="1"/>
  <c r="R48" i="1"/>
  <c r="AP48" i="1"/>
  <c r="AF48" i="1"/>
  <c r="J46" i="1"/>
  <c r="AC48" i="1" l="1"/>
  <c r="AH46" i="1"/>
  <c r="U46" i="1"/>
  <c r="T48" i="1"/>
  <c r="BG45" i="1"/>
  <c r="AN45" i="1"/>
  <c r="AI45" i="1"/>
  <c r="AG45" i="1"/>
  <c r="R47" i="1"/>
  <c r="S48" i="1"/>
  <c r="AP47" i="1"/>
  <c r="AF47" i="1"/>
  <c r="J45" i="1"/>
  <c r="U45" i="1" l="1"/>
  <c r="AH45" i="1"/>
  <c r="AQ48" i="1"/>
  <c r="AR48" i="1"/>
  <c r="AC47" i="1"/>
  <c r="T47" i="1"/>
  <c r="BG44" i="1"/>
  <c r="AN44" i="1"/>
  <c r="AI44" i="1"/>
  <c r="AG44" i="1"/>
  <c r="R46" i="1"/>
  <c r="AP46" i="1"/>
  <c r="S47" i="1"/>
  <c r="AF46" i="1"/>
  <c r="J44" i="1"/>
  <c r="U44" i="1" l="1"/>
  <c r="AH44" i="1"/>
  <c r="AR47" i="1"/>
  <c r="AQ47" i="1"/>
  <c r="AC46" i="1"/>
  <c r="T46" i="1"/>
  <c r="BG43" i="1"/>
  <c r="R45" i="1"/>
  <c r="S46" i="1"/>
  <c r="AF45" i="1"/>
  <c r="AP45" i="1"/>
  <c r="T45" i="1" l="1"/>
  <c r="AR46" i="1"/>
  <c r="AQ46" i="1"/>
  <c r="AC45" i="1"/>
  <c r="AN43" i="1"/>
  <c r="AI43" i="1"/>
  <c r="AG43" i="1"/>
  <c r="AF44" i="1"/>
  <c r="AJ43" i="1" a="1"/>
  <c r="AP44" i="1"/>
  <c r="S45" i="1"/>
  <c r="R44" i="1"/>
  <c r="J43" i="1"/>
  <c r="AJ43" i="1" l="1"/>
  <c r="T44" i="1"/>
  <c r="AC44" i="1"/>
  <c r="AR45" i="1"/>
  <c r="AQ45" i="1"/>
  <c r="S44" i="1"/>
  <c r="AR44" i="1" l="1"/>
  <c r="AQ44" i="1"/>
  <c r="AH43" i="1" l="1"/>
  <c r="U43" i="1"/>
  <c r="BG42" i="1"/>
  <c r="R43" i="1"/>
  <c r="AF43" i="1"/>
  <c r="AC43" i="1" l="1"/>
  <c r="T43" i="1"/>
  <c r="AN42" i="1"/>
  <c r="AI42" i="1"/>
  <c r="AG42" i="1"/>
  <c r="AP43" i="1"/>
  <c r="J42" i="1"/>
  <c r="AH42" i="1" l="1"/>
  <c r="U42" i="1"/>
  <c r="BG41" i="1"/>
  <c r="AN41" i="1"/>
  <c r="AI41" i="1"/>
  <c r="AG41" i="1"/>
  <c r="S43" i="1"/>
  <c r="R42" i="1"/>
  <c r="AJ41" i="1" a="1"/>
  <c r="AF42" i="1"/>
  <c r="J41" i="1"/>
  <c r="AR43" i="1" l="1"/>
  <c r="AQ43" i="1"/>
  <c r="AC42" i="1"/>
  <c r="AJ41" i="1"/>
  <c r="AH41" i="1"/>
  <c r="U41" i="1"/>
  <c r="T42" i="1"/>
  <c r="BG40" i="1"/>
  <c r="AN40" i="1"/>
  <c r="AI40" i="1"/>
  <c r="AG40" i="1"/>
  <c r="AP42" i="1"/>
  <c r="J40" i="1"/>
  <c r="AH40" i="1" l="1"/>
  <c r="U40" i="1"/>
  <c r="BG39" i="1"/>
  <c r="AN39" i="1"/>
  <c r="AI39" i="1"/>
  <c r="AG39" i="1"/>
  <c r="S42" i="1"/>
  <c r="AP41" i="1"/>
  <c r="R41" i="1"/>
  <c r="AF41" i="1"/>
  <c r="J39" i="1"/>
  <c r="AQ42" i="1" l="1"/>
  <c r="AR42" i="1"/>
  <c r="U39" i="1"/>
  <c r="AH39" i="1"/>
  <c r="T41" i="1"/>
  <c r="AC41" i="1"/>
  <c r="BG38" i="1"/>
  <c r="AP40" i="1"/>
  <c r="R40" i="1"/>
  <c r="AF40" i="1"/>
  <c r="S41" i="1"/>
  <c r="AR41" i="1" l="1"/>
  <c r="AQ41" i="1"/>
  <c r="T40" i="1"/>
  <c r="AC40" i="1"/>
  <c r="S40" i="1"/>
  <c r="R39" i="1"/>
  <c r="AF39" i="1"/>
  <c r="AP39" i="1"/>
  <c r="AR40" i="1" l="1"/>
  <c r="AQ40" i="1"/>
  <c r="AC39" i="1"/>
  <c r="T39" i="1"/>
  <c r="AN38" i="1"/>
  <c r="AI38" i="1"/>
  <c r="AG38" i="1"/>
  <c r="S39" i="1"/>
  <c r="J38" i="1"/>
  <c r="U38" i="1" l="1"/>
  <c r="AH38" i="1"/>
  <c r="AR39" i="1"/>
  <c r="AQ39" i="1"/>
  <c r="BG37" i="1" l="1"/>
  <c r="AN37" i="1"/>
  <c r="AI37" i="1"/>
  <c r="AG37" i="1"/>
  <c r="J37" i="1"/>
  <c r="U37" i="1" l="1"/>
  <c r="AH37" i="1"/>
  <c r="BG36" i="1"/>
  <c r="AP38" i="1"/>
  <c r="R38" i="1"/>
  <c r="AF38" i="1"/>
  <c r="AC38" i="1" l="1"/>
  <c r="T38" i="1"/>
  <c r="AF37" i="1"/>
  <c r="R37" i="1"/>
  <c r="AP37" i="1"/>
  <c r="S38" i="1"/>
  <c r="AR38" i="1" l="1"/>
  <c r="AQ38" i="1"/>
  <c r="AC37" i="1"/>
  <c r="T37" i="1"/>
  <c r="AN36" i="1"/>
  <c r="AI36" i="1"/>
  <c r="AG36" i="1"/>
  <c r="S37" i="1"/>
  <c r="J36" i="1"/>
  <c r="U36" i="1" l="1"/>
  <c r="AH36" i="1"/>
  <c r="AR37" i="1"/>
  <c r="AQ37" i="1"/>
  <c r="AB168" i="1" l="1"/>
  <c r="AB167" i="1"/>
  <c r="AB166" i="1"/>
  <c r="AB165" i="1"/>
  <c r="AB164" i="1"/>
  <c r="AB163" i="1"/>
  <c r="AB162" i="1"/>
  <c r="AB161" i="1"/>
  <c r="AB160" i="1"/>
  <c r="AB159" i="1"/>
  <c r="AB158" i="1"/>
  <c r="AB157" i="1"/>
  <c r="AB156" i="1"/>
  <c r="AB155" i="1"/>
  <c r="AB154" i="1"/>
  <c r="AB153" i="1"/>
  <c r="AB152" i="1"/>
  <c r="AB151" i="1"/>
  <c r="AB150" i="1"/>
  <c r="AB149" i="1"/>
  <c r="AB148" i="1"/>
  <c r="AB147" i="1"/>
  <c r="AB146" i="1"/>
  <c r="AB145" i="1"/>
  <c r="AB143" i="1"/>
  <c r="AB142" i="1"/>
  <c r="AB141" i="1"/>
  <c r="AB140" i="1"/>
  <c r="AB139" i="1"/>
  <c r="AB138" i="1"/>
  <c r="AB137" i="1"/>
  <c r="AB136" i="1"/>
  <c r="AB135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3" i="1"/>
  <c r="AB65" i="1"/>
  <c r="AB64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BG35" i="1"/>
  <c r="AN35" i="1"/>
  <c r="AI35" i="1"/>
  <c r="AG35" i="1"/>
  <c r="BG34" i="1"/>
  <c r="AN34" i="1"/>
  <c r="AI34" i="1"/>
  <c r="AH34" i="1"/>
  <c r="AG34" i="1"/>
  <c r="U34" i="1"/>
  <c r="BG33" i="1"/>
  <c r="AN33" i="1"/>
  <c r="AI33" i="1"/>
  <c r="AG33" i="1"/>
  <c r="J33" i="1"/>
  <c r="U35" i="1" l="1"/>
  <c r="AH35" i="1"/>
  <c r="U33" i="1"/>
  <c r="AH33" i="1"/>
  <c r="BG32" i="1"/>
  <c r="AP36" i="1"/>
  <c r="R35" i="1"/>
  <c r="R36" i="1"/>
  <c r="AF35" i="1"/>
  <c r="AF34" i="1"/>
  <c r="AP35" i="1"/>
  <c r="AP34" i="1"/>
  <c r="AF36" i="1"/>
  <c r="R34" i="1"/>
  <c r="T34" i="1" l="1"/>
  <c r="T36" i="1"/>
  <c r="AC34" i="1"/>
  <c r="AC36" i="1"/>
  <c r="AC35" i="1"/>
  <c r="T35" i="1"/>
  <c r="AN32" i="1"/>
  <c r="AI32" i="1"/>
  <c r="AG32" i="1"/>
  <c r="AP33" i="1"/>
  <c r="S34" i="1"/>
  <c r="R33" i="1"/>
  <c r="S36" i="1"/>
  <c r="AF33" i="1"/>
  <c r="S35" i="1"/>
  <c r="J32" i="1"/>
  <c r="AB36" i="1" l="1"/>
  <c r="AQ36" i="1"/>
  <c r="AR36" i="1"/>
  <c r="AR34" i="1"/>
  <c r="AQ34" i="1"/>
  <c r="AB34" i="1"/>
  <c r="AB35" i="1"/>
  <c r="AR35" i="1"/>
  <c r="AQ35" i="1"/>
  <c r="T33" i="1"/>
  <c r="AC33" i="1"/>
  <c r="S33" i="1"/>
  <c r="AR33" i="1" l="1"/>
  <c r="AB33" i="1"/>
  <c r="AQ33" i="1"/>
  <c r="AH32" i="1" l="1"/>
  <c r="U32" i="1"/>
  <c r="BG31" i="1"/>
  <c r="AN31" i="1"/>
  <c r="AI31" i="1"/>
  <c r="AG31" i="1"/>
  <c r="AF32" i="1"/>
  <c r="R32" i="1"/>
  <c r="J31" i="1"/>
  <c r="AC32" i="1" l="1"/>
  <c r="U31" i="1"/>
  <c r="AH31" i="1"/>
  <c r="T32" i="1"/>
  <c r="BG30" i="1"/>
  <c r="AP32" i="1"/>
  <c r="AN30" i="1" l="1"/>
  <c r="AI30" i="1"/>
  <c r="AG30" i="1"/>
  <c r="S32" i="1"/>
  <c r="R31" i="1"/>
  <c r="AJ30" i="1" a="1"/>
  <c r="AF31" i="1"/>
  <c r="AP31" i="1"/>
  <c r="J30" i="1"/>
  <c r="AR32" i="1" l="1"/>
  <c r="AQ32" i="1"/>
  <c r="AB32" i="1"/>
  <c r="T31" i="1"/>
  <c r="AJ30" i="1"/>
  <c r="AC31" i="1"/>
  <c r="S31" i="1"/>
  <c r="AB31" i="1" l="1"/>
  <c r="AR31" i="1"/>
  <c r="AQ31" i="1"/>
  <c r="AH30" i="1" l="1"/>
  <c r="U30" i="1"/>
  <c r="BG29" i="1"/>
  <c r="AN29" i="1"/>
  <c r="AI29" i="1"/>
  <c r="AG29" i="1"/>
  <c r="AF30" i="1"/>
  <c r="R30" i="1"/>
  <c r="J29" i="1"/>
  <c r="AC30" i="1" l="1"/>
  <c r="U29" i="1"/>
  <c r="AH29" i="1"/>
  <c r="T30" i="1"/>
  <c r="BG28" i="1"/>
  <c r="AN28" i="1"/>
  <c r="AI28" i="1"/>
  <c r="AG28" i="1"/>
  <c r="AP30" i="1"/>
  <c r="J28" i="1"/>
  <c r="U28" i="1" l="1"/>
  <c r="AH28" i="1"/>
  <c r="BG27" i="1"/>
  <c r="S30" i="1"/>
  <c r="AF29" i="1"/>
  <c r="AP29" i="1"/>
  <c r="R29" i="1"/>
  <c r="AQ30" i="1" l="1"/>
  <c r="AR30" i="1"/>
  <c r="AB30" i="1"/>
  <c r="T29" i="1"/>
  <c r="AC29" i="1"/>
  <c r="AF28" i="1"/>
  <c r="R28" i="1"/>
  <c r="S29" i="1"/>
  <c r="AP28" i="1"/>
  <c r="AC28" i="1" l="1"/>
  <c r="AB29" i="1"/>
  <c r="AQ29" i="1"/>
  <c r="AR29" i="1"/>
  <c r="T28" i="1"/>
  <c r="AN27" i="1"/>
  <c r="AI27" i="1"/>
  <c r="AG27" i="1"/>
  <c r="S28" i="1"/>
  <c r="J27" i="1"/>
  <c r="AH27" i="1" l="1"/>
  <c r="U27" i="1"/>
  <c r="AB28" i="1"/>
  <c r="AR28" i="1"/>
  <c r="AQ28" i="1"/>
  <c r="BG26" i="1" l="1"/>
  <c r="AP27" i="1"/>
  <c r="AF27" i="1"/>
  <c r="R27" i="1"/>
  <c r="T27" i="1" l="1"/>
  <c r="AC27" i="1"/>
  <c r="AN26" i="1"/>
  <c r="AI26" i="1"/>
  <c r="AG26" i="1"/>
  <c r="S27" i="1"/>
  <c r="J26" i="1"/>
  <c r="AB27" i="1" l="1"/>
  <c r="AR27" i="1"/>
  <c r="AQ27" i="1"/>
  <c r="U26" i="1"/>
  <c r="AH26" i="1"/>
  <c r="BG25" i="1" l="1"/>
  <c r="AN25" i="1"/>
  <c r="AI25" i="1"/>
  <c r="AG25" i="1"/>
  <c r="J25" i="1"/>
  <c r="AH25" i="1" l="1"/>
  <c r="U25" i="1"/>
  <c r="BG24" i="1"/>
  <c r="AN24" i="1"/>
  <c r="AI24" i="1"/>
  <c r="AG24" i="1"/>
  <c r="BG23" i="1"/>
  <c r="AP26" i="1"/>
  <c r="AF26" i="1"/>
  <c r="R26" i="1"/>
  <c r="U24" i="1" l="1"/>
  <c r="AH24" i="1"/>
  <c r="AC26" i="1"/>
  <c r="T26" i="1"/>
  <c r="R24" i="1"/>
  <c r="R25" i="1"/>
  <c r="AP24" i="1"/>
  <c r="AP25" i="1"/>
  <c r="S26" i="1"/>
  <c r="AF25" i="1"/>
  <c r="AF24" i="1"/>
  <c r="AR26" i="1" l="1"/>
  <c r="AQ26" i="1"/>
  <c r="AB26" i="1"/>
  <c r="T25" i="1"/>
  <c r="AC24" i="1"/>
  <c r="AC25" i="1"/>
  <c r="T24" i="1"/>
  <c r="AN23" i="1"/>
  <c r="AI23" i="1"/>
  <c r="AG23" i="1"/>
  <c r="S25" i="1"/>
  <c r="S24" i="1"/>
  <c r="J23" i="1"/>
  <c r="AR24" i="1" l="1"/>
  <c r="AQ24" i="1"/>
  <c r="AB24" i="1"/>
  <c r="U23" i="1"/>
  <c r="AH23" i="1"/>
  <c r="AB25" i="1"/>
  <c r="AR25" i="1"/>
  <c r="AQ25" i="1"/>
  <c r="BG22" i="1" l="1"/>
  <c r="AN22" i="1"/>
  <c r="AI22" i="1"/>
  <c r="AG22" i="1"/>
  <c r="J22" i="1"/>
  <c r="AH22" i="1" l="1"/>
  <c r="U22" i="1"/>
  <c r="BG21" i="1"/>
  <c r="R23" i="1"/>
  <c r="AP23" i="1"/>
  <c r="AF23" i="1"/>
  <c r="AC23" i="1" l="1"/>
  <c r="T23" i="1"/>
  <c r="AN21" i="1"/>
  <c r="AI21" i="1"/>
  <c r="AG21" i="1"/>
  <c r="R22" i="1"/>
  <c r="AP22" i="1"/>
  <c r="AF22" i="1"/>
  <c r="S23" i="1"/>
  <c r="J21" i="1"/>
  <c r="AB23" i="1" l="1"/>
  <c r="AR23" i="1"/>
  <c r="AQ23" i="1"/>
  <c r="T22" i="1"/>
  <c r="AC22" i="1"/>
  <c r="S22" i="1"/>
  <c r="AB22" i="1" l="1"/>
  <c r="AR22" i="1"/>
  <c r="AQ22" i="1"/>
  <c r="AH21" i="1" l="1"/>
  <c r="U21" i="1"/>
  <c r="BG20" i="1"/>
  <c r="AN20" i="1"/>
  <c r="AI20" i="1"/>
  <c r="AG20" i="1"/>
  <c r="AF21" i="1"/>
  <c r="R21" i="1"/>
  <c r="J20" i="1"/>
  <c r="AC21" i="1" l="1"/>
  <c r="AH20" i="1"/>
  <c r="U20" i="1"/>
  <c r="T21" i="1"/>
  <c r="BG19" i="1"/>
  <c r="AP21" i="1"/>
  <c r="AN19" i="1" l="1"/>
  <c r="S21" i="1"/>
  <c r="R20" i="1"/>
  <c r="AF20" i="1"/>
  <c r="AP20" i="1"/>
  <c r="J19" i="1"/>
  <c r="AC20" i="1" l="1"/>
  <c r="T20" i="1"/>
  <c r="AQ21" i="1"/>
  <c r="AR21" i="1"/>
  <c r="AB21" i="1"/>
  <c r="AI19" i="1"/>
  <c r="AG19" i="1"/>
  <c r="S20" i="1"/>
  <c r="AB20" i="1" l="1"/>
  <c r="AQ20" i="1"/>
  <c r="AR20" i="1"/>
  <c r="AH19" i="1"/>
  <c r="U19" i="1"/>
  <c r="BG18" i="1"/>
  <c r="AN18" i="1"/>
  <c r="AI18" i="1"/>
  <c r="AG18" i="1"/>
  <c r="AP19" i="1"/>
  <c r="AF19" i="1"/>
  <c r="R19" i="1"/>
  <c r="J18" i="1"/>
  <c r="U18" i="1" l="1"/>
  <c r="AH18" i="1"/>
  <c r="AC19" i="1"/>
  <c r="T19" i="1"/>
  <c r="BG17" i="1"/>
  <c r="AN17" i="1"/>
  <c r="AI17" i="1"/>
  <c r="AG17" i="1"/>
  <c r="S19" i="1"/>
  <c r="J17" i="1"/>
  <c r="AQ19" i="1" l="1"/>
  <c r="AR19" i="1"/>
  <c r="AB19" i="1"/>
  <c r="U17" i="1"/>
  <c r="AH17" i="1"/>
  <c r="BG16" i="1"/>
  <c r="R18" i="1"/>
  <c r="AP18" i="1"/>
  <c r="AF18" i="1"/>
  <c r="AC18" i="1" l="1"/>
  <c r="T18" i="1"/>
  <c r="R17" i="1"/>
  <c r="S18" i="1"/>
  <c r="AP17" i="1"/>
  <c r="AF17" i="1"/>
  <c r="AC17" i="1" l="1"/>
  <c r="T17" i="1"/>
  <c r="AB18" i="1"/>
  <c r="AQ18" i="1"/>
  <c r="AR18" i="1"/>
  <c r="AN16" i="1"/>
  <c r="AI16" i="1"/>
  <c r="AG16" i="1"/>
  <c r="S17" i="1"/>
  <c r="J16" i="1"/>
  <c r="AH16" i="1" l="1"/>
  <c r="U16" i="1"/>
  <c r="AQ17" i="1"/>
  <c r="AB17" i="1"/>
  <c r="AR17" i="1"/>
  <c r="BG15" i="1" l="1"/>
  <c r="AN15" i="1"/>
  <c r="AI15" i="1"/>
  <c r="AG15" i="1"/>
  <c r="J15" i="1"/>
  <c r="U15" i="1" l="1"/>
  <c r="AH15" i="1"/>
  <c r="BG14" i="1"/>
  <c r="AN14" i="1"/>
  <c r="AI14" i="1"/>
  <c r="AG14" i="1"/>
  <c r="R16" i="1"/>
  <c r="AP16" i="1"/>
  <c r="AF16" i="1"/>
  <c r="J14" i="1"/>
  <c r="U14" i="1" l="1"/>
  <c r="AH14" i="1"/>
  <c r="T16" i="1"/>
  <c r="AC16" i="1"/>
  <c r="BG13" i="1"/>
  <c r="AN13" i="1"/>
  <c r="AI13" i="1"/>
  <c r="AG13" i="1"/>
  <c r="AP15" i="1"/>
  <c r="R15" i="1"/>
  <c r="AF15" i="1"/>
  <c r="S16" i="1"/>
  <c r="J13" i="1"/>
  <c r="U13" i="1" l="1"/>
  <c r="AH13" i="1"/>
  <c r="T15" i="1"/>
  <c r="AC15" i="1"/>
  <c r="AB16" i="1"/>
  <c r="AR16" i="1"/>
  <c r="AQ16" i="1"/>
  <c r="BG12" i="1"/>
  <c r="S15" i="1"/>
  <c r="AF14" i="1"/>
  <c r="AP14" i="1"/>
  <c r="R14" i="1"/>
  <c r="T14" i="1" l="1"/>
  <c r="AC14" i="1"/>
  <c r="AB15" i="1"/>
  <c r="AR15" i="1"/>
  <c r="AQ15" i="1"/>
  <c r="S14" i="1"/>
  <c r="AF13" i="1"/>
  <c r="R13" i="1"/>
  <c r="AP13" i="1"/>
  <c r="AC13" i="1" l="1"/>
  <c r="AR14" i="1"/>
  <c r="AQ14" i="1"/>
  <c r="AB14" i="1"/>
  <c r="T13" i="1"/>
  <c r="AN12" i="1"/>
  <c r="AI12" i="1"/>
  <c r="AG12" i="1"/>
  <c r="S13" i="1"/>
  <c r="J12" i="1"/>
  <c r="AH12" i="1" l="1"/>
  <c r="U12" i="1"/>
  <c r="AQ13" i="1"/>
  <c r="AR13" i="1"/>
  <c r="AB13" i="1"/>
  <c r="BG11" i="1" l="1"/>
  <c r="AN11" i="1"/>
  <c r="AI11" i="1"/>
  <c r="AG11" i="1"/>
  <c r="J11" i="1"/>
  <c r="U11" i="1" l="1"/>
  <c r="AH11" i="1"/>
  <c r="BG10" i="1"/>
  <c r="AN10" i="1"/>
  <c r="AI10" i="1"/>
  <c r="AG10" i="1"/>
  <c r="R12" i="1"/>
  <c r="AP12" i="1"/>
  <c r="AF12" i="1"/>
  <c r="J10" i="1"/>
  <c r="AH10" i="1" l="1"/>
  <c r="U10" i="1"/>
  <c r="AC12" i="1"/>
  <c r="T12" i="1"/>
  <c r="BG9" i="1"/>
  <c r="AN9" i="1"/>
  <c r="AI9" i="1"/>
  <c r="AG9" i="1"/>
  <c r="R11" i="1"/>
  <c r="AP11" i="1"/>
  <c r="AF11" i="1"/>
  <c r="S12" i="1"/>
  <c r="J9" i="1"/>
  <c r="AB12" i="1" l="1"/>
  <c r="AQ12" i="1"/>
  <c r="AR12" i="1"/>
  <c r="U9" i="1"/>
  <c r="AH9" i="1"/>
  <c r="AC11" i="1"/>
  <c r="T11" i="1"/>
  <c r="BG8" i="1"/>
  <c r="AN8" i="1"/>
  <c r="AI8" i="1"/>
  <c r="AG8" i="1"/>
  <c r="AF10" i="1"/>
  <c r="S11" i="1"/>
  <c r="AP10" i="1"/>
  <c r="R10" i="1"/>
  <c r="J8" i="1"/>
  <c r="U8" i="1" l="1"/>
  <c r="AH8" i="1"/>
  <c r="AC10" i="1"/>
  <c r="T10" i="1"/>
  <c r="AR11" i="1"/>
  <c r="AQ11" i="1"/>
  <c r="AB11" i="1"/>
  <c r="BG7" i="1"/>
  <c r="AN7" i="1"/>
  <c r="AI7" i="1"/>
  <c r="AG7" i="1"/>
  <c r="S10" i="1"/>
  <c r="AF9" i="1"/>
  <c r="R9" i="1"/>
  <c r="AP9" i="1"/>
  <c r="J7" i="1"/>
  <c r="T9" i="1" l="1"/>
  <c r="AC9" i="1"/>
  <c r="AH7" i="1"/>
  <c r="U7" i="1"/>
  <c r="AR10" i="1"/>
  <c r="AQ10" i="1"/>
  <c r="AB10" i="1"/>
  <c r="BG6" i="1"/>
  <c r="AN6" i="1"/>
  <c r="AI6" i="1"/>
  <c r="AG6" i="1"/>
  <c r="AF8" i="1"/>
  <c r="AP8" i="1"/>
  <c r="S9" i="1"/>
  <c r="R8" i="1"/>
  <c r="J6" i="1"/>
  <c r="U6" i="1" l="1"/>
  <c r="AH6" i="1"/>
  <c r="T8" i="1"/>
  <c r="AC8" i="1"/>
  <c r="AB9" i="1"/>
  <c r="AR9" i="1"/>
  <c r="AQ9" i="1"/>
  <c r="BG5" i="1"/>
  <c r="AN5" i="1"/>
  <c r="AI5" i="1"/>
  <c r="AG5" i="1"/>
  <c r="S8" i="1"/>
  <c r="AF7" i="1"/>
  <c r="AP7" i="1"/>
  <c r="R7" i="1"/>
  <c r="J5" i="1"/>
  <c r="U5" i="1" l="1"/>
  <c r="AH5" i="1"/>
  <c r="T7" i="1"/>
  <c r="AC7" i="1"/>
  <c r="AB8" i="1"/>
  <c r="AR8" i="1"/>
  <c r="AQ8" i="1"/>
  <c r="BG4" i="1"/>
  <c r="AN4" i="1"/>
  <c r="AI4" i="1"/>
  <c r="AG4" i="1"/>
  <c r="AP6" i="1"/>
  <c r="AF6" i="1"/>
  <c r="S7" i="1"/>
  <c r="R6" i="1"/>
  <c r="J4" i="1"/>
  <c r="U4" i="1" l="1"/>
  <c r="AH4" i="1"/>
  <c r="T6" i="1"/>
  <c r="AC6" i="1"/>
  <c r="AB7" i="1"/>
  <c r="AR7" i="1"/>
  <c r="AQ7" i="1"/>
  <c r="BG3" i="1"/>
  <c r="AF5" i="1"/>
  <c r="R5" i="1"/>
  <c r="S6" i="1"/>
  <c r="AP5" i="1"/>
  <c r="AB6" i="1" l="1"/>
  <c r="AR6" i="1"/>
  <c r="AQ6" i="1"/>
  <c r="T5" i="1"/>
  <c r="AC5" i="1"/>
  <c r="AN3" i="1"/>
  <c r="AI3" i="1"/>
  <c r="AG3" i="1"/>
  <c r="S5" i="1"/>
  <c r="R4" i="1"/>
  <c r="AF4" i="1"/>
  <c r="AP4" i="1"/>
  <c r="J3" i="1"/>
  <c r="T4" i="1" l="1"/>
  <c r="AB5" i="1"/>
  <c r="AR5" i="1"/>
  <c r="AQ5" i="1"/>
  <c r="AC4" i="1"/>
  <c r="S4" i="1"/>
  <c r="AQ4" i="1" l="1"/>
  <c r="AB4" i="1"/>
  <c r="AR4" i="1"/>
  <c r="AH3" i="1" l="1"/>
  <c r="U3" i="1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6" i="7"/>
  <c r="G5" i="7"/>
  <c r="E31" i="6"/>
  <c r="D31" i="6"/>
  <c r="E30" i="6"/>
  <c r="D30" i="6"/>
  <c r="E29" i="6"/>
  <c r="D29" i="6"/>
  <c r="E28" i="6"/>
  <c r="D28" i="6"/>
  <c r="E23" i="6"/>
  <c r="D23" i="6"/>
  <c r="E22" i="6"/>
  <c r="D22" i="6"/>
  <c r="E21" i="6"/>
  <c r="D21" i="6"/>
  <c r="E20" i="6"/>
  <c r="D20" i="6"/>
  <c r="E15" i="6"/>
  <c r="D15" i="6"/>
  <c r="E14" i="6"/>
  <c r="D14" i="6"/>
  <c r="E13" i="6"/>
  <c r="D13" i="6"/>
  <c r="E12" i="6"/>
  <c r="D12" i="6"/>
  <c r="E7" i="6"/>
  <c r="D7" i="6"/>
  <c r="E6" i="6"/>
  <c r="D6" i="6"/>
  <c r="E5" i="6"/>
  <c r="D5" i="6"/>
  <c r="E4" i="6"/>
  <c r="D4" i="6"/>
  <c r="AF3" i="1"/>
  <c r="R3" i="1"/>
  <c r="AC3" i="1" l="1"/>
  <c r="T3" i="1"/>
  <c r="AP3" i="1"/>
  <c r="S3" i="1" l="1"/>
  <c r="AR3" i="1" l="1"/>
  <c r="AB3" i="1"/>
  <c r="AQ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tc={DB5A054E-518F-4BEE-9D97-1C3413BF651B}</author>
  </authors>
  <commentList>
    <comment ref="AX2" authorId="0" shapeId="0" xr:uid="{DB5A054E-518F-4BEE-9D97-1C3413BF651B}">
      <text>
        <t>[Threaded comment]
Your version of Excel allows you to read this threaded comment; however, any edits to it will get removed if the file is opened in a newer version of Excel. Learn more: https://go.microsoft.com/fwlink/?linkid=870924
Comment:
    DO NOT CHANGE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<sst xmlns="http://schemas.openxmlformats.org/spreadsheetml/2006/main" count="3726" uniqueCount="367">
  <si>
    <t>RM</t>
  </si>
  <si>
    <t>Client</t>
  </si>
  <si>
    <t>Name</t>
  </si>
  <si>
    <t>Ccy</t>
  </si>
  <si>
    <t>ISIN</t>
  </si>
  <si>
    <t>Moodys / Fitch / S&amp;P</t>
  </si>
  <si>
    <t>Coupon</t>
  </si>
  <si>
    <t>Yld. to Wrst.</t>
  </si>
  <si>
    <t>Rank</t>
  </si>
  <si>
    <t>Maturity</t>
  </si>
  <si>
    <t>Duration</t>
  </si>
  <si>
    <t>Next Call Dt.</t>
  </si>
  <si>
    <t xml:space="preserve">Notional </t>
  </si>
  <si>
    <t>Pur. Price</t>
  </si>
  <si>
    <t>Ind. Bid</t>
  </si>
  <si>
    <t>Pur. Value ($)</t>
  </si>
  <si>
    <t>Mkt. Value + Accrued ($)</t>
  </si>
  <si>
    <t>P/L ($)</t>
  </si>
  <si>
    <t>% P/L</t>
  </si>
  <si>
    <t>Portfolio Wt %</t>
  </si>
  <si>
    <t>Total Return ($)</t>
  </si>
  <si>
    <t>Industry</t>
  </si>
  <si>
    <t>Ind. Ask</t>
  </si>
  <si>
    <t>Notional ($)</t>
  </si>
  <si>
    <t>Purchase Value</t>
  </si>
  <si>
    <t>Market Value</t>
  </si>
  <si>
    <t>ID_ISIN</t>
  </si>
  <si>
    <t>Country of Risk</t>
  </si>
  <si>
    <t>Asset Class</t>
  </si>
  <si>
    <t>Sub Classification</t>
  </si>
  <si>
    <t>Z Spread</t>
  </si>
  <si>
    <t>For YTW Formula</t>
  </si>
  <si>
    <t>Accrued Interest</t>
  </si>
  <si>
    <t>Accrued Interest ($)</t>
  </si>
  <si>
    <t xml:space="preserve"> Weight in bond portfolio %</t>
  </si>
  <si>
    <t>Market Value ($) ex Accrued</t>
  </si>
  <si>
    <t>Years to Maturity</t>
  </si>
  <si>
    <t>Non-Viability Check</t>
  </si>
  <si>
    <t>Coupon Type</t>
  </si>
  <si>
    <t>LTV</t>
  </si>
  <si>
    <t>PRR</t>
  </si>
  <si>
    <t>Pur. Date</t>
  </si>
  <si>
    <t>FX at the time of pur.</t>
  </si>
  <si>
    <t>USF2280BAA47</t>
  </si>
  <si>
    <t>GB00BMBL1D50</t>
  </si>
  <si>
    <t>PAL63444B5A9</t>
  </si>
  <si>
    <t>Ticker</t>
  </si>
  <si>
    <t>Industry Sector</t>
  </si>
  <si>
    <t>Mkt. Cap ($ Bn)</t>
  </si>
  <si>
    <t>Dvd. Yld. %</t>
  </si>
  <si>
    <t>P/E</t>
  </si>
  <si>
    <t>12m Fwd P/E</t>
  </si>
  <si>
    <t>P/B</t>
  </si>
  <si>
    <t>EV/EBITDA</t>
  </si>
  <si>
    <t>Units</t>
  </si>
  <si>
    <t>Last Price</t>
  </si>
  <si>
    <t>Mkt. Value ($)</t>
  </si>
  <si>
    <t>% P/L (ex. Income)</t>
  </si>
  <si>
    <t>Ind. Dvd. p.a.
(USD)</t>
  </si>
  <si>
    <t>P/CF</t>
  </si>
  <si>
    <t>DEBT/ ASSETS</t>
  </si>
  <si>
    <t>BBG BUY</t>
  </si>
  <si>
    <t>BBG HOLD</t>
  </si>
  <si>
    <t>BBG SELL</t>
  </si>
  <si>
    <t>Consensus Rating</t>
  </si>
  <si>
    <t>Bloomberg Analyst PT</t>
  </si>
  <si>
    <t>Return Potential based on PT</t>
  </si>
  <si>
    <t>1M Price Change</t>
  </si>
  <si>
    <t>3M Price Change</t>
  </si>
  <si>
    <t>6M Price Change</t>
  </si>
  <si>
    <t>YTD</t>
  </si>
  <si>
    <t>12M High</t>
  </si>
  <si>
    <t>12M Low</t>
  </si>
  <si>
    <t>Sector</t>
  </si>
  <si>
    <t>BBG IDEAL</t>
  </si>
  <si>
    <t>BBG AMANI</t>
  </si>
  <si>
    <t>ISLAMIC</t>
  </si>
  <si>
    <t>Equity</t>
  </si>
  <si>
    <t>NESN SW</t>
  </si>
  <si>
    <t>AZN LN</t>
  </si>
  <si>
    <t>BP/ LN</t>
  </si>
  <si>
    <t>GOOGL UQ</t>
  </si>
  <si>
    <t>BMRN US</t>
  </si>
  <si>
    <t>MRK US</t>
  </si>
  <si>
    <t>ZBH US</t>
  </si>
  <si>
    <t>Geo Focus</t>
  </si>
  <si>
    <t>Strategy</t>
  </si>
  <si>
    <t>Fund Assets ($ Bn)</t>
  </si>
  <si>
    <t>YTD Price Change</t>
  </si>
  <si>
    <t>TRR 1Y</t>
  </si>
  <si>
    <t>Market Value ($)</t>
  </si>
  <si>
    <t>Ind. Dvd p.a. ($)</t>
  </si>
  <si>
    <t xml:space="preserve">Asset Class </t>
  </si>
  <si>
    <t>Asset Class Focus</t>
  </si>
  <si>
    <t>Fund Type</t>
  </si>
  <si>
    <t>Rating Focus</t>
  </si>
  <si>
    <t xml:space="preserve">Inception Date </t>
  </si>
  <si>
    <t>Ann TRR 3Y</t>
  </si>
  <si>
    <t>Ann TRR 5Y</t>
  </si>
  <si>
    <t>Front Load</t>
  </si>
  <si>
    <t>Expense Ratio</t>
  </si>
  <si>
    <t>Current Mgmt Fee</t>
  </si>
  <si>
    <t>Min Investment</t>
  </si>
  <si>
    <t>Sharpe Ratio</t>
  </si>
  <si>
    <t>Sortino Ratio</t>
  </si>
  <si>
    <t>Excess Return</t>
  </si>
  <si>
    <t>Return Beta</t>
  </si>
  <si>
    <t>Return Alpha</t>
  </si>
  <si>
    <t>Share Class</t>
  </si>
  <si>
    <t>FX at the time of purchase</t>
  </si>
  <si>
    <t>GLTL LN</t>
  </si>
  <si>
    <t>VMID LN</t>
  </si>
  <si>
    <t>OIH US</t>
  </si>
  <si>
    <t>EWZ UN</t>
  </si>
  <si>
    <t>KWEB UN</t>
  </si>
  <si>
    <t>XS2258453443</t>
  </si>
  <si>
    <t>XS2568343672</t>
  </si>
  <si>
    <t>XS2384355520</t>
  </si>
  <si>
    <t>MDT US</t>
  </si>
  <si>
    <t>GSK LN</t>
  </si>
  <si>
    <t>MSFT US</t>
  </si>
  <si>
    <t>PEP US</t>
  </si>
  <si>
    <t>TGT US</t>
  </si>
  <si>
    <t>SMSN.LI</t>
  </si>
  <si>
    <t>SPRE US</t>
  </si>
  <si>
    <t>KWEB US</t>
  </si>
  <si>
    <t>VNQI US</t>
  </si>
  <si>
    <t>EWZ US</t>
  </si>
  <si>
    <t>XS2756519232</t>
  </si>
  <si>
    <t>XS2408002769</t>
  </si>
  <si>
    <t>XS2648078322</t>
  </si>
  <si>
    <t>USG5852MAA02</t>
  </si>
  <si>
    <t>XS2907977131</t>
  </si>
  <si>
    <t>XS2103157991</t>
  </si>
  <si>
    <t>XS2419405274</t>
  </si>
  <si>
    <t>XS2914525154</t>
  </si>
  <si>
    <t>XS2911679004</t>
  </si>
  <si>
    <t>GOOGL US</t>
  </si>
  <si>
    <t>AMZN  US</t>
  </si>
  <si>
    <t>AAPL US</t>
  </si>
  <si>
    <t>DD US</t>
  </si>
  <si>
    <t>INTC US</t>
  </si>
  <si>
    <t>ON US</t>
  </si>
  <si>
    <t>DIS US</t>
  </si>
  <si>
    <t>TCEHY US</t>
  </si>
  <si>
    <t>XS2010026727</t>
  </si>
  <si>
    <t>XS2333280571</t>
  </si>
  <si>
    <t>5</t>
  </si>
  <si>
    <t>US251526CT41</t>
  </si>
  <si>
    <t>XS2630917107</t>
  </si>
  <si>
    <t>XS2827680112</t>
  </si>
  <si>
    <t>XS2451768720</t>
  </si>
  <si>
    <t>NEM AT</t>
  </si>
  <si>
    <t>VOW3 GY</t>
  </si>
  <si>
    <t>AAL US</t>
  </si>
  <si>
    <t>P/L % (ex. Income)</t>
  </si>
  <si>
    <t>FX Rate</t>
  </si>
  <si>
    <t>XS2081020872</t>
  </si>
  <si>
    <t>XS2099763075</t>
  </si>
  <si>
    <t>XS2356571559</t>
  </si>
  <si>
    <t>XS2585988145</t>
  </si>
  <si>
    <t>KER FP</t>
  </si>
  <si>
    <t>DGE LN</t>
  </si>
  <si>
    <t xml:space="preserve">KWEB UN </t>
  </si>
  <si>
    <t>Issuer</t>
  </si>
  <si>
    <t>Maturity Date</t>
  </si>
  <si>
    <t>Notional</t>
  </si>
  <si>
    <t>Coupon % p.a.</t>
  </si>
  <si>
    <t>Credit Linked</t>
  </si>
  <si>
    <t>Underlying 1</t>
  </si>
  <si>
    <t>Underlying 2</t>
  </si>
  <si>
    <t>Underlying 3</t>
  </si>
  <si>
    <t>Underlying 4</t>
  </si>
  <si>
    <t>Underlying 5</t>
  </si>
  <si>
    <t>px_last</t>
  </si>
  <si>
    <t>Nomura International Funding Pte Ltd 0 % 2020-10.07.2025 Credit
Linked Note linked to iTraxx
Europe Series 33 (Version 1)
4.80%-8.80%</t>
  </si>
  <si>
    <t>USD</t>
  </si>
  <si>
    <t>XS2175846398</t>
  </si>
  <si>
    <t>Nomura</t>
  </si>
  <si>
    <t>Structured Products</t>
  </si>
  <si>
    <t>Credit Linked Notes</t>
  </si>
  <si>
    <t>US0003M Index</t>
  </si>
  <si>
    <t>Nomura International Funding Pte Ltd 6.07757 % 2020-10.07.2025
Credit Linked Note linked to CDX
North American Investment
Grade Series 34</t>
  </si>
  <si>
    <t>XS2175846638</t>
  </si>
  <si>
    <t>XS2393498204</t>
  </si>
  <si>
    <t>XS2907245208</t>
  </si>
  <si>
    <t>XS2244837592</t>
  </si>
  <si>
    <t>US06738EBP97</t>
  </si>
  <si>
    <t>XS2755904872</t>
  </si>
  <si>
    <t>XS2542166744</t>
  </si>
  <si>
    <t>USY3119PFH74</t>
  </si>
  <si>
    <t>XS2793223475</t>
  </si>
  <si>
    <t>PYPL US</t>
  </si>
  <si>
    <t>USF2R125CJ25</t>
  </si>
  <si>
    <t>BMY US</t>
  </si>
  <si>
    <t>XS2384475930</t>
  </si>
  <si>
    <t>XS2401571448</t>
  </si>
  <si>
    <t>NSRGY US</t>
  </si>
  <si>
    <t>NKE US</t>
  </si>
  <si>
    <t>LUV US</t>
  </si>
  <si>
    <t>GOLD US</t>
  </si>
  <si>
    <t>NIO US</t>
  </si>
  <si>
    <t>UKDV LN</t>
  </si>
  <si>
    <t>FXI US</t>
  </si>
  <si>
    <t>ICLN US</t>
  </si>
  <si>
    <t>XS2358483258</t>
  </si>
  <si>
    <t>USY7141BAC73</t>
  </si>
  <si>
    <t>USF1067PAG12</t>
  </si>
  <si>
    <t>Nomura International Funding Pte Ltd
0 % 2020-10.07.2025 Credit
Linked Note linked to iTraxx
Europe Series 33 (Version 1)
4.80%-8.80%</t>
  </si>
  <si>
    <t>Nomura International Funding Pte Ltd
6.07757 % 2020-10.07.2025
Credit Linked Note linked to CDX
North American Investment
Grade Series 34</t>
  </si>
  <si>
    <t>XS2131567138</t>
  </si>
  <si>
    <t>FR001400BBL2</t>
  </si>
  <si>
    <t>FR001400F2H9</t>
  </si>
  <si>
    <t>FR001400F067</t>
  </si>
  <si>
    <t>XS2586873379</t>
  </si>
  <si>
    <t>XS2775892065</t>
  </si>
  <si>
    <t>XS2821647364</t>
  </si>
  <si>
    <t>USY775M1CJ07</t>
  </si>
  <si>
    <t>XS2342243875</t>
  </si>
  <si>
    <t>XS2753907554</t>
  </si>
  <si>
    <t>XS2311313378</t>
  </si>
  <si>
    <t>XS2348422424</t>
  </si>
  <si>
    <t>XS2908722783</t>
  </si>
  <si>
    <t>META US</t>
  </si>
  <si>
    <t>XS2885225966</t>
  </si>
  <si>
    <t>BIIB US</t>
  </si>
  <si>
    <t>XS2100725949</t>
  </si>
  <si>
    <t>XS2010030919</t>
  </si>
  <si>
    <t>USU98401AB58</t>
  </si>
  <si>
    <t>USP2253TJN02</t>
  </si>
  <si>
    <t>XS2063540038</t>
  </si>
  <si>
    <t>US054989AC24</t>
  </si>
  <si>
    <t>US404280CN71</t>
  </si>
  <si>
    <t>FR0013322823</t>
  </si>
  <si>
    <t>XS2591847970</t>
  </si>
  <si>
    <t>Nomura International Funding Pte 
Ltd
0 % 2020-10.07.2025 Credit
Linked Note linked to iTraxx
Europe Series 33 (Version 1)</t>
  </si>
  <si>
    <t>Nomura International Funding Pte 
Ltd
6.07757 % 2020-10.07.2025
Credit Linked Note linked to CDX
North American Investment
Grade Series 34</t>
  </si>
  <si>
    <t>Account no.</t>
  </si>
  <si>
    <t>Abdallah Amina Ahmad and Abdallah Aisha Ahmed</t>
  </si>
  <si>
    <t>2025141.001</t>
  </si>
  <si>
    <t>LGT Geneva</t>
  </si>
  <si>
    <t>KS</t>
  </si>
  <si>
    <t>SYB</t>
  </si>
  <si>
    <t>Affan Umair Butt</t>
  </si>
  <si>
    <t>0835-3878934-0</t>
  </si>
  <si>
    <t>Credit Suisse</t>
  </si>
  <si>
    <t>Asar Mashkoor</t>
  </si>
  <si>
    <t>4380370</t>
  </si>
  <si>
    <t>Soc Gen</t>
  </si>
  <si>
    <t>Ashkara Limited</t>
  </si>
  <si>
    <t>2620510.015</t>
  </si>
  <si>
    <t>Dorabelle Limited STD</t>
  </si>
  <si>
    <t>2620512.011</t>
  </si>
  <si>
    <t>Haresh Bhatia</t>
  </si>
  <si>
    <t>2620173.01</t>
  </si>
  <si>
    <t>HEPS International</t>
  </si>
  <si>
    <t>4378920</t>
  </si>
  <si>
    <t>SS</t>
  </si>
  <si>
    <t>Jaskanwar Singh</t>
  </si>
  <si>
    <t>4392470</t>
  </si>
  <si>
    <t>Kalpesh Shah and Mira Shah</t>
  </si>
  <si>
    <t>4379151</t>
  </si>
  <si>
    <t>Konesi Limited</t>
  </si>
  <si>
    <t>2029866.007</t>
  </si>
  <si>
    <t>Kundan Choudhary</t>
  </si>
  <si>
    <t>4380430</t>
  </si>
  <si>
    <t>Laka Enterprises Limited</t>
  </si>
  <si>
    <t>2011892.087</t>
  </si>
  <si>
    <t>Napier Hall Trust</t>
  </si>
  <si>
    <t>4382430</t>
  </si>
  <si>
    <t>Neekash Investment Limited</t>
  </si>
  <si>
    <t>2620031.028</t>
  </si>
  <si>
    <t>Rakhi Bedi - RB</t>
  </si>
  <si>
    <t>Rupal Shah - RS</t>
  </si>
  <si>
    <t>S Sizon</t>
  </si>
  <si>
    <t>FAB UAE</t>
  </si>
  <si>
    <t>Samitar Limited</t>
  </si>
  <si>
    <t>2620509.02</t>
  </si>
  <si>
    <t>1D Price Change</t>
  </si>
  <si>
    <t>5D Price Change</t>
  </si>
  <si>
    <t>Criteria</t>
  </si>
  <si>
    <t>BONDS</t>
  </si>
  <si>
    <t>Y/N</t>
  </si>
  <si>
    <t># positions</t>
  </si>
  <si>
    <t>EQUITIES</t>
  </si>
  <si>
    <t>1D Price Change &lt; -5%?</t>
  </si>
  <si>
    <t>1D Price Change &gt; +5%?</t>
  </si>
  <si>
    <t>Credit Bank of Moscow bond maturing 29/01/2025</t>
  </si>
  <si>
    <t>USD 50k notional in both Samitar and Dorabelle</t>
  </si>
  <si>
    <t>Country Garden Holding bond (Chinese real estate developer)</t>
  </si>
  <si>
    <t>XS2100725949 defaulted</t>
  </si>
  <si>
    <t>USD 200k notional in Rakhi Bedi and Rupal Shah</t>
  </si>
  <si>
    <t>Notes</t>
  </si>
  <si>
    <t>1D Price Change &lt; -1.0%?</t>
  </si>
  <si>
    <t>1D Price Change &gt; +1.0%?</t>
  </si>
  <si>
    <t>Maturing on 14/01/2027</t>
  </si>
  <si>
    <t>5D Price Change &lt; -5.0%?</t>
  </si>
  <si>
    <t>5D Price Change &gt; +5.0%?</t>
  </si>
  <si>
    <t>+/- 5% higlighted</t>
  </si>
  <si>
    <t>+/- 1% highlighted</t>
  </si>
  <si>
    <t>+/- 5% highlighted</t>
  </si>
  <si>
    <t>Maturity in current month highlighted</t>
  </si>
  <si>
    <t>Call date in current month highlighted</t>
  </si>
  <si>
    <t>+/- 7% higlighted</t>
  </si>
  <si>
    <t>+/- 10% highlighted</t>
  </si>
  <si>
    <t>5D Price Change &lt; -10%?</t>
  </si>
  <si>
    <t>5D Price Change &gt; +10%?</t>
  </si>
  <si>
    <t>MF and ETFs</t>
  </si>
  <si>
    <t>Commodities</t>
  </si>
  <si>
    <t>Last Updated</t>
  </si>
  <si>
    <t>Broker Code</t>
  </si>
  <si>
    <t>NOMX</t>
  </si>
  <si>
    <t>Dorabelle Limited</t>
  </si>
  <si>
    <t>Custodian</t>
  </si>
  <si>
    <t>Cash ($)</t>
  </si>
  <si>
    <t>NVDA US</t>
  </si>
  <si>
    <t>XS2976035316</t>
  </si>
  <si>
    <t>Fiduciary Deposit ($)</t>
  </si>
  <si>
    <t>Total ($)</t>
  </si>
  <si>
    <t>3690 HK</t>
  </si>
  <si>
    <t>XS3000457666</t>
  </si>
  <si>
    <t>2020 HK</t>
  </si>
  <si>
    <t>RIO LN</t>
  </si>
  <si>
    <t>NVO US</t>
  </si>
  <si>
    <t>Health Care</t>
  </si>
  <si>
    <t>LU0963865083</t>
  </si>
  <si>
    <t>REGN US</t>
  </si>
  <si>
    <t>AKCT</t>
  </si>
  <si>
    <t>XS2908172260</t>
  </si>
  <si>
    <t>TTE FP</t>
  </si>
  <si>
    <t>ADBE US</t>
  </si>
  <si>
    <t>9888 HK</t>
  </si>
  <si>
    <t>Janez Bence</t>
  </si>
  <si>
    <t>0176010</t>
  </si>
  <si>
    <t>'0176010</t>
  </si>
  <si>
    <t>DRX LN</t>
  </si>
  <si>
    <t>US53944YBB83</t>
  </si>
  <si>
    <t>USF8586CBQ45</t>
  </si>
  <si>
    <t>DELL US</t>
  </si>
  <si>
    <t>3188 HK</t>
  </si>
  <si>
    <t>KRE US</t>
  </si>
  <si>
    <t>REGN</t>
  </si>
  <si>
    <t>All SPs maturing on 10 July 2025</t>
  </si>
  <si>
    <t>SSE LN</t>
  </si>
  <si>
    <t>TSCO LN</t>
  </si>
  <si>
    <t>IDX US</t>
  </si>
  <si>
    <t>ABF LN</t>
  </si>
  <si>
    <t>THD US</t>
  </si>
  <si>
    <t>IDX UN</t>
  </si>
  <si>
    <t>Loan ccy</t>
  </si>
  <si>
    <t>Loan Amount (base ccy)</t>
  </si>
  <si>
    <t>Loan Amount ($)</t>
  </si>
  <si>
    <t>Int Rate %</t>
  </si>
  <si>
    <t>HKD</t>
  </si>
  <si>
    <t>GBP</t>
  </si>
  <si>
    <t>CHF</t>
  </si>
  <si>
    <t>SGD</t>
  </si>
  <si>
    <t>Int Cost ($)</t>
  </si>
  <si>
    <t>USD Loan</t>
  </si>
  <si>
    <t>HKD Loan Rebased to USD</t>
  </si>
  <si>
    <t>Total</t>
  </si>
  <si>
    <t>40% converted to CHF</t>
  </si>
  <si>
    <t>2620173.010</t>
  </si>
  <si>
    <t>2620509.020</t>
  </si>
  <si>
    <t>2620058.003</t>
  </si>
  <si>
    <t>Headroom as of 09/04/2025</t>
  </si>
  <si>
    <t>Gross Portfolio Value as of 09/04/2025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</si>
</sst>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0.000%"/>
    <numFmt numFmtId="165" formatCode="#,##0_ ;\-#,##0\ "/>
    <numFmt numFmtId="166" formatCode="#,##0;\(#,##0\);\-\ ;@"/>
    <numFmt numFmtId="167" formatCode="0.0%;\(0.0%\);\-\ ;@"/>
    <numFmt numFmtId="168" formatCode="#,##0.0000_ ;\-#,##0.0000\ "/>
    <numFmt numFmtId="169" formatCode="#,##0.0"/>
    <numFmt numFmtId="170" formatCode="0.0%"/>
    <numFmt numFmtId="171" formatCode="0;\-0;&quot;-&quot;;@"/>
    <numFmt numFmtId="172" formatCode="#,##0;\-#,##0;\-;@"/>
    <numFmt numFmtId="173" formatCode="0.00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0"/>
      <color rgb="FF9C57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10"/>
      <color theme="1"/>
      <name val="Aptos Display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4" tint="-0.249977111117893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197097"/>
        <bgColor rgb="FF000000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hair">
        <color rgb="FFA5A5A5"/>
      </top>
      <bottom style="hair">
        <color rgb="FFA5A5A5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/>
      <bottom style="hair">
        <color rgb="FFA5A5A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rgb="FFA5A5A5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8" borderId="0" applyNumberFormat="0" applyBorder="0" applyAlignment="0" applyProtection="0"/>
  </cellStyleXfs>
  <cellXfs count="142">
    <xf numFmtId="0" fontId="0" fillId="0" borderId="0" xfId="0"/>
    <xf numFmtId="2" fontId="2" fillId="2" borderId="1" xfId="0" applyNumberFormat="1" applyFont="1" applyFill="1" applyBorder="1" applyAlignment="1">
      <alignment horizontal="left" vertical="top" wrapText="1"/>
    </xf>
    <xf numFmtId="2" fontId="2" fillId="2" borderId="1" xfId="2" applyNumberFormat="1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3" borderId="2" xfId="0" applyFont="1" applyFill="1" applyBorder="1" applyAlignment="1" applyProtection="1">
      <alignment horizontal="left" vertical="top"/>
      <protection locked="0"/>
    </xf>
    <xf numFmtId="0" fontId="4" fillId="4" borderId="2" xfId="0" applyFont="1" applyFill="1" applyBorder="1" applyAlignment="1" applyProtection="1">
      <alignment horizontal="left" vertical="top"/>
      <protection locked="0"/>
    </xf>
    <xf numFmtId="164" fontId="4" fillId="3" borderId="2" xfId="2" applyNumberFormat="1" applyFont="1" applyFill="1" applyBorder="1" applyAlignment="1" applyProtection="1">
      <alignment horizontal="left" vertical="top"/>
      <protection locked="0"/>
    </xf>
    <xf numFmtId="10" fontId="4" fillId="3" borderId="2" xfId="2" applyNumberFormat="1" applyFont="1" applyFill="1" applyBorder="1" applyAlignment="1" applyProtection="1">
      <alignment horizontal="left" vertical="top"/>
      <protection locked="0"/>
    </xf>
    <xf numFmtId="2" fontId="4" fillId="3" borderId="2" xfId="2" applyNumberFormat="1" applyFont="1" applyFill="1" applyBorder="1" applyAlignment="1" applyProtection="1">
      <alignment horizontal="left" vertical="top"/>
      <protection locked="0"/>
    </xf>
    <xf numFmtId="3" fontId="4" fillId="4" borderId="2" xfId="0" applyNumberFormat="1" applyFont="1" applyFill="1" applyBorder="1" applyAlignment="1" applyProtection="1">
      <alignment horizontal="left" vertical="top"/>
      <protection locked="0"/>
    </xf>
    <xf numFmtId="2" fontId="4" fillId="3" borderId="2" xfId="0" applyNumberFormat="1" applyFont="1" applyFill="1" applyBorder="1" applyAlignment="1" applyProtection="1">
      <alignment horizontal="left" vertical="top"/>
      <protection locked="0"/>
    </xf>
    <xf numFmtId="165" fontId="4" fillId="3" borderId="2" xfId="1" applyNumberFormat="1" applyFont="1" applyFill="1" applyBorder="1" applyAlignment="1" applyProtection="1">
      <alignment horizontal="left" vertical="top"/>
      <protection locked="0"/>
    </xf>
    <xf numFmtId="166" fontId="3" fillId="0" borderId="3" xfId="0" applyNumberFormat="1" applyFont="1" applyBorder="1" applyAlignment="1">
      <alignment horizontal="left" vertical="top" wrapText="1"/>
    </xf>
    <xf numFmtId="167" fontId="4" fillId="3" borderId="2" xfId="2" applyNumberFormat="1" applyFont="1" applyFill="1" applyBorder="1" applyAlignment="1" applyProtection="1">
      <alignment horizontal="left" vertical="top"/>
      <protection locked="0"/>
    </xf>
    <xf numFmtId="3" fontId="4" fillId="3" borderId="2" xfId="0" applyNumberFormat="1" applyFont="1" applyFill="1" applyBorder="1" applyAlignment="1" applyProtection="1">
      <alignment horizontal="left" vertical="top"/>
      <protection locked="0"/>
    </xf>
    <xf numFmtId="10" fontId="4" fillId="0" borderId="2" xfId="2" applyNumberFormat="1" applyFont="1" applyFill="1" applyBorder="1" applyAlignment="1" applyProtection="1">
      <alignment horizontal="left" vertical="top"/>
      <protection locked="0"/>
    </xf>
    <xf numFmtId="14" fontId="4" fillId="3" borderId="2" xfId="0" applyNumberFormat="1" applyFont="1" applyFill="1" applyBorder="1" applyAlignment="1" applyProtection="1">
      <alignment horizontal="left" vertical="top"/>
      <protection locked="0"/>
    </xf>
    <xf numFmtId="10" fontId="4" fillId="4" borderId="2" xfId="2" applyNumberFormat="1" applyFont="1" applyFill="1" applyBorder="1" applyAlignment="1" applyProtection="1">
      <alignment horizontal="left" vertical="top"/>
      <protection locked="0"/>
    </xf>
    <xf numFmtId="0" fontId="4" fillId="4" borderId="2" xfId="2" applyNumberFormat="1" applyFont="1" applyFill="1" applyBorder="1" applyAlignment="1" applyProtection="1">
      <alignment horizontal="left" vertical="top"/>
      <protection locked="0"/>
    </xf>
    <xf numFmtId="14" fontId="4" fillId="4" borderId="2" xfId="0" applyNumberFormat="1" applyFont="1" applyFill="1" applyBorder="1" applyAlignment="1" applyProtection="1">
      <alignment horizontal="left" vertical="top"/>
      <protection locked="0"/>
    </xf>
    <xf numFmtId="168" fontId="4" fillId="4" borderId="2" xfId="1" applyNumberFormat="1" applyFont="1" applyFill="1" applyBorder="1" applyAlignment="1" applyProtection="1">
      <alignment horizontal="left" vertical="top" wrapText="1"/>
      <protection locked="0"/>
    </xf>
    <xf numFmtId="0" fontId="5" fillId="0" borderId="0" xfId="0" applyFont="1" applyAlignment="1">
      <alignment horizontal="left" vertical="top" wrapText="1"/>
    </xf>
    <xf numFmtId="0" fontId="4" fillId="3" borderId="2" xfId="0" applyFont="1" applyFill="1" applyBorder="1" applyAlignment="1" applyProtection="1">
      <alignment horizontal="left" vertical="top" wrapText="1"/>
      <protection locked="0"/>
    </xf>
    <xf numFmtId="0" fontId="4" fillId="4" borderId="2" xfId="0" applyFont="1" applyFill="1" applyBorder="1" applyAlignment="1" applyProtection="1">
      <alignment horizontal="left" vertical="top" wrapText="1"/>
      <protection locked="0"/>
    </xf>
    <xf numFmtId="3" fontId="4" fillId="3" borderId="2" xfId="0" applyNumberFormat="1" applyFont="1" applyFill="1" applyBorder="1" applyAlignment="1" applyProtection="1">
      <alignment horizontal="left" vertical="top" wrapText="1"/>
      <protection locked="0"/>
    </xf>
    <xf numFmtId="10" fontId="4" fillId="3" borderId="2" xfId="2" applyNumberFormat="1" applyFont="1" applyFill="1" applyBorder="1" applyAlignment="1" applyProtection="1">
      <alignment horizontal="left" vertical="top" wrapText="1"/>
      <protection locked="0"/>
    </xf>
    <xf numFmtId="169" fontId="4" fillId="3" borderId="2" xfId="0" applyNumberFormat="1" applyFont="1" applyFill="1" applyBorder="1" applyAlignment="1" applyProtection="1">
      <alignment horizontal="left" vertical="top" wrapText="1"/>
      <protection locked="0"/>
    </xf>
    <xf numFmtId="3" fontId="4" fillId="4" borderId="2" xfId="0" applyNumberFormat="1" applyFont="1" applyFill="1" applyBorder="1" applyAlignment="1" applyProtection="1">
      <alignment horizontal="left" vertical="top" wrapText="1"/>
      <protection locked="0"/>
    </xf>
    <xf numFmtId="2" fontId="4" fillId="4" borderId="2" xfId="0" applyNumberFormat="1" applyFont="1" applyFill="1" applyBorder="1" applyAlignment="1" applyProtection="1">
      <alignment horizontal="left" vertical="top" wrapText="1"/>
      <protection locked="0"/>
    </xf>
    <xf numFmtId="165" fontId="4" fillId="3" borderId="2" xfId="1" applyNumberFormat="1" applyFont="1" applyFill="1" applyBorder="1" applyAlignment="1" applyProtection="1">
      <alignment horizontal="left" vertical="top" wrapText="1"/>
      <protection locked="0"/>
    </xf>
    <xf numFmtId="49" fontId="4" fillId="3" borderId="2" xfId="0" applyNumberFormat="1" applyFont="1" applyFill="1" applyBorder="1" applyAlignment="1" applyProtection="1">
      <alignment horizontal="left" vertical="top" wrapText="1"/>
      <protection locked="0"/>
    </xf>
    <xf numFmtId="10" fontId="4" fillId="0" borderId="2" xfId="0" applyNumberFormat="1" applyFont="1" applyBorder="1" applyAlignment="1" applyProtection="1">
      <alignment horizontal="left" vertical="top" wrapText="1"/>
      <protection locked="0"/>
    </xf>
    <xf numFmtId="170" fontId="4" fillId="3" borderId="2" xfId="2" applyNumberFormat="1" applyFont="1" applyFill="1" applyBorder="1" applyAlignment="1" applyProtection="1">
      <alignment horizontal="left" vertical="top" wrapText="1"/>
      <protection locked="0"/>
    </xf>
    <xf numFmtId="2" fontId="4" fillId="3" borderId="2" xfId="0" applyNumberFormat="1" applyFont="1" applyFill="1" applyBorder="1" applyAlignment="1" applyProtection="1">
      <alignment horizontal="left" vertical="top" wrapText="1"/>
      <protection locked="0"/>
    </xf>
    <xf numFmtId="4" fontId="4" fillId="3" borderId="2" xfId="0" applyNumberFormat="1" applyFont="1" applyFill="1" applyBorder="1" applyAlignment="1" applyProtection="1">
      <alignment horizontal="left" vertical="top" wrapText="1"/>
      <protection locked="0"/>
    </xf>
    <xf numFmtId="9" fontId="4" fillId="0" borderId="2" xfId="0" applyNumberFormat="1" applyFont="1" applyBorder="1" applyAlignment="1" applyProtection="1">
      <alignment horizontal="left" vertical="top" wrapText="1"/>
      <protection locked="0"/>
    </xf>
    <xf numFmtId="4" fontId="4" fillId="3" borderId="2" xfId="2" applyNumberFormat="1" applyFont="1" applyFill="1" applyBorder="1" applyAlignment="1" applyProtection="1">
      <alignment horizontal="left" vertical="top" wrapText="1"/>
      <protection locked="0"/>
    </xf>
    <xf numFmtId="14" fontId="4" fillId="4" borderId="2" xfId="0" applyNumberFormat="1" applyFont="1" applyFill="1" applyBorder="1" applyAlignment="1" applyProtection="1">
      <alignment horizontal="left" vertical="top" wrapText="1"/>
      <protection locked="0"/>
    </xf>
    <xf numFmtId="10" fontId="4" fillId="5" borderId="2" xfId="2" applyNumberFormat="1" applyFont="1" applyFill="1" applyBorder="1" applyAlignment="1" applyProtection="1">
      <alignment horizontal="left" vertical="top"/>
      <protection locked="0"/>
    </xf>
    <xf numFmtId="0" fontId="4" fillId="0" borderId="2" xfId="0" applyFont="1" applyBorder="1" applyAlignment="1" applyProtection="1">
      <alignment horizontal="left" vertical="top" wrapText="1"/>
      <protection locked="0"/>
    </xf>
    <xf numFmtId="0" fontId="4" fillId="5" borderId="2" xfId="0" applyFont="1" applyFill="1" applyBorder="1" applyAlignment="1" applyProtection="1">
      <alignment horizontal="left" vertical="top" wrapText="1"/>
      <protection locked="0"/>
    </xf>
    <xf numFmtId="0" fontId="3" fillId="0" borderId="0" xfId="0" applyFont="1"/>
    <xf numFmtId="10" fontId="4" fillId="4" borderId="2" xfId="2" applyNumberFormat="1" applyFont="1" applyFill="1" applyBorder="1" applyAlignment="1" applyProtection="1">
      <alignment horizontal="left" vertical="top" wrapText="1"/>
      <protection locked="0"/>
    </xf>
    <xf numFmtId="2" fontId="2" fillId="6" borderId="1" xfId="0" applyNumberFormat="1" applyFont="1" applyFill="1" applyBorder="1" applyAlignment="1">
      <alignment horizontal="left" vertical="top" wrapText="1"/>
    </xf>
    <xf numFmtId="9" fontId="4" fillId="4" borderId="2" xfId="0" applyNumberFormat="1" applyFont="1" applyFill="1" applyBorder="1" applyAlignment="1" applyProtection="1">
      <alignment horizontal="left" vertical="top" wrapText="1"/>
      <protection locked="0"/>
    </xf>
    <xf numFmtId="2" fontId="4" fillId="4" borderId="2" xfId="2" applyNumberFormat="1" applyFont="1" applyFill="1" applyBorder="1" applyAlignment="1" applyProtection="1">
      <alignment horizontal="left" vertical="top" wrapText="1"/>
      <protection locked="0"/>
    </xf>
    <xf numFmtId="3" fontId="4" fillId="0" borderId="2" xfId="0" applyNumberFormat="1" applyFont="1" applyBorder="1" applyAlignment="1" applyProtection="1">
      <alignment horizontal="left" vertical="top" wrapText="1"/>
      <protection locked="0"/>
    </xf>
    <xf numFmtId="2" fontId="6" fillId="0" borderId="1" xfId="0" applyNumberFormat="1" applyFont="1" applyBorder="1" applyAlignment="1">
      <alignment horizontal="left" vertical="top" wrapText="1"/>
    </xf>
    <xf numFmtId="10" fontId="4" fillId="0" borderId="2" xfId="2" applyNumberFormat="1" applyFont="1" applyFill="1" applyBorder="1" applyAlignment="1" applyProtection="1">
      <alignment horizontal="left" vertical="top" wrapText="1"/>
      <protection locked="0"/>
    </xf>
    <xf numFmtId="0" fontId="4" fillId="4" borderId="4" xfId="0" applyFont="1" applyFill="1" applyBorder="1" applyAlignment="1" applyProtection="1">
      <alignment horizontal="left" vertical="top"/>
      <protection locked="0"/>
    </xf>
    <xf numFmtId="2" fontId="2" fillId="2" borderId="0" xfId="0" applyNumberFormat="1" applyFont="1" applyFill="1" applyAlignment="1">
      <alignment horizontal="left" vertical="top" wrapText="1"/>
    </xf>
    <xf numFmtId="2" fontId="2" fillId="7" borderId="0" xfId="0" applyNumberFormat="1" applyFont="1" applyFill="1" applyAlignment="1">
      <alignment horizontal="left" vertical="top" wrapText="1"/>
    </xf>
    <xf numFmtId="10" fontId="3" fillId="0" borderId="0" xfId="0" applyNumberFormat="1" applyFont="1"/>
    <xf numFmtId="171" fontId="3" fillId="0" borderId="0" xfId="0" applyNumberFormat="1" applyFont="1"/>
    <xf numFmtId="2" fontId="2" fillId="2" borderId="6" xfId="2" applyNumberFormat="1" applyFont="1" applyFill="1" applyBorder="1" applyAlignment="1">
      <alignment horizontal="left" vertical="top" wrapText="1"/>
    </xf>
    <xf numFmtId="0" fontId="3" fillId="0" borderId="5" xfId="0" quotePrefix="1" applyFont="1" applyBorder="1" applyAlignment="1">
      <alignment wrapText="1"/>
    </xf>
    <xf numFmtId="167" fontId="4" fillId="3" borderId="5" xfId="2" quotePrefix="1" applyNumberFormat="1" applyFont="1" applyFill="1" applyBorder="1" applyAlignment="1" applyProtection="1">
      <alignment horizontal="left" vertical="top" wrapText="1"/>
      <protection locked="0"/>
    </xf>
    <xf numFmtId="167" fontId="4" fillId="3" borderId="5" xfId="2" quotePrefix="1" applyNumberFormat="1" applyFont="1" applyFill="1" applyBorder="1" applyAlignment="1" applyProtection="1">
      <alignment horizontal="left" wrapText="1"/>
      <protection locked="0"/>
    </xf>
    <xf numFmtId="0" fontId="8" fillId="8" borderId="0" xfId="3" applyFont="1"/>
    <xf numFmtId="0" fontId="3" fillId="0" borderId="7" xfId="0" applyFont="1" applyBorder="1"/>
    <xf numFmtId="171" fontId="3" fillId="0" borderId="7" xfId="0" applyNumberFormat="1" applyFont="1" applyBorder="1"/>
    <xf numFmtId="0" fontId="3" fillId="0" borderId="0" xfId="0" quotePrefix="1" applyFont="1" applyAlignment="1">
      <alignment wrapText="1"/>
    </xf>
    <xf numFmtId="167" fontId="4" fillId="3" borderId="8" xfId="2" applyNumberFormat="1" applyFont="1" applyFill="1" applyBorder="1" applyAlignment="1" applyProtection="1">
      <alignment horizontal="left" vertical="top"/>
      <protection locked="0"/>
    </xf>
    <xf numFmtId="167" fontId="4" fillId="3" borderId="0" xfId="2" applyNumberFormat="1" applyFont="1" applyFill="1" applyBorder="1" applyAlignment="1" applyProtection="1">
      <alignment horizontal="left" vertical="top"/>
      <protection locked="0"/>
    </xf>
    <xf numFmtId="0" fontId="3" fillId="4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/>
    </xf>
    <xf numFmtId="0" fontId="9" fillId="4" borderId="0" xfId="0" applyFont="1" applyFill="1"/>
    <xf numFmtId="14" fontId="9" fillId="4" borderId="0" xfId="0" applyNumberFormat="1" applyFont="1" applyFill="1"/>
    <xf numFmtId="0" fontId="3" fillId="4" borderId="0" xfId="0" applyFont="1" applyFill="1"/>
    <xf numFmtId="172" fontId="3" fillId="4" borderId="0" xfId="0" applyNumberFormat="1" applyFont="1" applyFill="1" applyAlignment="1">
      <alignment horizontal="left"/>
    </xf>
    <xf numFmtId="172" fontId="3" fillId="0" borderId="0" xfId="0" applyNumberFormat="1" applyFont="1" applyAlignment="1">
      <alignment horizontal="left"/>
    </xf>
    <xf numFmtId="2" fontId="4" fillId="4" borderId="2" xfId="0" applyNumberFormat="1" applyFont="1" applyFill="1" applyBorder="1" applyAlignment="1" applyProtection="1">
      <alignment horizontal="left" vertical="top"/>
      <protection locked="0"/>
    </xf>
    <xf numFmtId="0" fontId="4" fillId="4" borderId="4" xfId="0" quotePrefix="1" applyFont="1" applyFill="1" applyBorder="1" applyAlignment="1" applyProtection="1">
      <alignment horizontal="left" vertical="top"/>
      <protection locked="0"/>
    </xf>
    <xf numFmtId="0" fontId="4" fillId="4" borderId="2" xfId="0" applyFont="1" applyFill="1" applyBorder="1" applyAlignment="1" applyProtection="1">
      <alignment horizontal="left" vertical="center" wrapText="1"/>
      <protection locked="0"/>
    </xf>
    <xf numFmtId="3" fontId="4" fillId="4" borderId="2" xfId="0" applyNumberFormat="1" applyFont="1" applyFill="1" applyBorder="1" applyAlignment="1" applyProtection="1">
      <alignment horizontal="left" vertical="center" wrapText="1"/>
      <protection locked="0"/>
    </xf>
    <xf numFmtId="2" fontId="4" fillId="4" borderId="2" xfId="0" applyNumberFormat="1" applyFont="1" applyFill="1" applyBorder="1" applyAlignment="1" applyProtection="1">
      <alignment horizontal="left" vertical="center" wrapText="1"/>
      <protection locked="0"/>
    </xf>
    <xf numFmtId="173" fontId="4" fillId="4" borderId="2" xfId="0" applyNumberFormat="1" applyFont="1" applyFill="1" applyBorder="1" applyAlignment="1" applyProtection="1">
      <alignment horizontal="left" vertical="top" wrapText="1"/>
      <protection locked="0"/>
    </xf>
    <xf numFmtId="0" fontId="5" fillId="9" borderId="0" xfId="0" applyFont="1" applyFill="1" applyAlignment="1">
      <alignment horizontal="left" vertical="top" wrapText="1"/>
    </xf>
    <xf numFmtId="0" fontId="5" fillId="10" borderId="0" xfId="0" applyFont="1" applyFill="1" applyAlignment="1">
      <alignment horizontal="left" vertical="top" wrapText="1"/>
    </xf>
    <xf numFmtId="14" fontId="8" fillId="8" borderId="0" xfId="3" applyNumberFormat="1" applyFont="1" applyBorder="1" applyAlignment="1" applyProtection="1">
      <alignment horizontal="left" vertical="top" wrapText="1"/>
      <protection locked="0"/>
    </xf>
    <xf numFmtId="0" fontId="10" fillId="4" borderId="0" xfId="0" applyFont="1" applyFill="1"/>
    <xf numFmtId="0" fontId="4" fillId="5" borderId="4" xfId="0" applyFont="1" applyFill="1" applyBorder="1" applyAlignment="1" applyProtection="1">
      <alignment horizontal="left" vertical="top"/>
      <protection locked="0"/>
    </xf>
    <xf numFmtId="3" fontId="4" fillId="5" borderId="2" xfId="0" applyNumberFormat="1" applyFont="1" applyFill="1" applyBorder="1" applyAlignment="1" applyProtection="1">
      <alignment horizontal="left" vertical="top" wrapText="1"/>
      <protection locked="0"/>
    </xf>
    <xf numFmtId="10" fontId="4" fillId="5" borderId="2" xfId="2" applyNumberFormat="1" applyFont="1" applyFill="1" applyBorder="1" applyAlignment="1" applyProtection="1">
      <alignment horizontal="left" vertical="top" wrapText="1"/>
      <protection locked="0"/>
    </xf>
    <xf numFmtId="169" fontId="4" fillId="5" borderId="2" xfId="0" applyNumberFormat="1" applyFont="1" applyFill="1" applyBorder="1" applyAlignment="1" applyProtection="1">
      <alignment horizontal="left" vertical="top" wrapText="1"/>
      <protection locked="0"/>
    </xf>
    <xf numFmtId="165" fontId="4" fillId="5" borderId="2" xfId="1" applyNumberFormat="1" applyFont="1" applyFill="1" applyBorder="1" applyAlignment="1" applyProtection="1">
      <alignment horizontal="left" vertical="top" wrapText="1"/>
      <protection locked="0"/>
    </xf>
    <xf numFmtId="166" fontId="3" fillId="5" borderId="3" xfId="0" applyNumberFormat="1" applyFont="1" applyFill="1" applyBorder="1" applyAlignment="1">
      <alignment horizontal="left" vertical="top" wrapText="1"/>
    </xf>
    <xf numFmtId="167" fontId="4" fillId="5" borderId="2" xfId="2" applyNumberFormat="1" applyFont="1" applyFill="1" applyBorder="1" applyAlignment="1" applyProtection="1">
      <alignment horizontal="left" vertical="top"/>
      <protection locked="0"/>
    </xf>
    <xf numFmtId="0" fontId="4" fillId="5" borderId="2" xfId="0" applyFont="1" applyFill="1" applyBorder="1" applyAlignment="1" applyProtection="1">
      <alignment horizontal="left" vertical="top"/>
      <protection locked="0"/>
    </xf>
    <xf numFmtId="49" fontId="4" fillId="5" borderId="2" xfId="0" applyNumberFormat="1" applyFont="1" applyFill="1" applyBorder="1" applyAlignment="1" applyProtection="1">
      <alignment horizontal="left" vertical="top" wrapText="1"/>
      <protection locked="0"/>
    </xf>
    <xf numFmtId="10" fontId="4" fillId="5" borderId="2" xfId="0" applyNumberFormat="1" applyFont="1" applyFill="1" applyBorder="1" applyAlignment="1" applyProtection="1">
      <alignment horizontal="left" vertical="top" wrapText="1"/>
      <protection locked="0"/>
    </xf>
    <xf numFmtId="170" fontId="4" fillId="5" borderId="2" xfId="2" applyNumberFormat="1" applyFont="1" applyFill="1" applyBorder="1" applyAlignment="1" applyProtection="1">
      <alignment horizontal="left" vertical="top" wrapText="1"/>
      <protection locked="0"/>
    </xf>
    <xf numFmtId="2" fontId="4" fillId="5" borderId="2" xfId="0" applyNumberFormat="1" applyFont="1" applyFill="1" applyBorder="1" applyAlignment="1" applyProtection="1">
      <alignment horizontal="left" vertical="top" wrapText="1"/>
      <protection locked="0"/>
    </xf>
    <xf numFmtId="0" fontId="3" fillId="5" borderId="0" xfId="0" applyFont="1" applyFill="1" applyAlignment="1">
      <alignment horizontal="left" vertical="top" wrapText="1"/>
    </xf>
    <xf numFmtId="0" fontId="4" fillId="5" borderId="2" xfId="2" applyNumberFormat="1" applyFont="1" applyFill="1" applyBorder="1" applyAlignment="1" applyProtection="1">
      <alignment horizontal="left" vertical="top"/>
      <protection locked="0"/>
    </xf>
    <xf numFmtId="14" fontId="4" fillId="5" borderId="2" xfId="0" applyNumberFormat="1" applyFont="1" applyFill="1" applyBorder="1" applyAlignment="1" applyProtection="1">
      <alignment horizontal="left" vertical="top"/>
      <protection locked="0"/>
    </xf>
    <xf numFmtId="168" fontId="4" fillId="5" borderId="2" xfId="1" applyNumberFormat="1" applyFont="1" applyFill="1" applyBorder="1" applyAlignment="1" applyProtection="1">
      <alignment horizontal="left" vertical="top" wrapText="1"/>
      <protection locked="0"/>
    </xf>
    <xf numFmtId="2" fontId="4" fillId="5" borderId="2" xfId="2" applyNumberFormat="1" applyFont="1" applyFill="1" applyBorder="1" applyAlignment="1" applyProtection="1">
      <alignment horizontal="left" vertical="top"/>
      <protection locked="0"/>
    </xf>
    <xf numFmtId="3" fontId="4" fillId="5" borderId="2" xfId="0" applyNumberFormat="1" applyFont="1" applyFill="1" applyBorder="1" applyAlignment="1" applyProtection="1">
      <alignment horizontal="left" vertical="top"/>
      <protection locked="0"/>
    </xf>
    <xf numFmtId="2" fontId="4" fillId="5" borderId="2" xfId="0" applyNumberFormat="1" applyFont="1" applyFill="1" applyBorder="1" applyAlignment="1" applyProtection="1">
      <alignment horizontal="left" vertical="top"/>
      <protection locked="0"/>
    </xf>
    <xf numFmtId="165" fontId="4" fillId="5" borderId="2" xfId="1" applyNumberFormat="1" applyFont="1" applyFill="1" applyBorder="1" applyAlignment="1" applyProtection="1">
      <alignment horizontal="left" vertical="top"/>
      <protection locked="0"/>
    </xf>
    <xf numFmtId="0" fontId="5" fillId="5" borderId="0" xfId="0" applyFont="1" applyFill="1" applyAlignment="1">
      <alignment horizontal="left" vertical="top" wrapText="1"/>
    </xf>
    <xf numFmtId="0" fontId="4" fillId="10" borderId="4" xfId="0" applyFont="1" applyFill="1" applyBorder="1" applyAlignment="1" applyProtection="1">
      <alignment horizontal="left" vertical="top"/>
      <protection locked="0"/>
    </xf>
    <xf numFmtId="0" fontId="4" fillId="10" borderId="2" xfId="0" applyFont="1" applyFill="1" applyBorder="1" applyAlignment="1" applyProtection="1">
      <alignment horizontal="left" vertical="top"/>
      <protection locked="0"/>
    </xf>
    <xf numFmtId="10" fontId="4" fillId="10" borderId="2" xfId="2" applyNumberFormat="1" applyFont="1" applyFill="1" applyBorder="1" applyAlignment="1" applyProtection="1">
      <alignment horizontal="left" vertical="top"/>
      <protection locked="0"/>
    </xf>
    <xf numFmtId="2" fontId="4" fillId="10" borderId="2" xfId="2" applyNumberFormat="1" applyFont="1" applyFill="1" applyBorder="1" applyAlignment="1" applyProtection="1">
      <alignment horizontal="left" vertical="top"/>
      <protection locked="0"/>
    </xf>
    <xf numFmtId="3" fontId="4" fillId="10" borderId="2" xfId="0" applyNumberFormat="1" applyFont="1" applyFill="1" applyBorder="1" applyAlignment="1" applyProtection="1">
      <alignment horizontal="left" vertical="top"/>
      <protection locked="0"/>
    </xf>
    <xf numFmtId="2" fontId="4" fillId="10" borderId="2" xfId="0" applyNumberFormat="1" applyFont="1" applyFill="1" applyBorder="1" applyAlignment="1" applyProtection="1">
      <alignment horizontal="left" vertical="top"/>
      <protection locked="0"/>
    </xf>
    <xf numFmtId="165" fontId="4" fillId="10" borderId="2" xfId="1" applyNumberFormat="1" applyFont="1" applyFill="1" applyBorder="1" applyAlignment="1" applyProtection="1">
      <alignment horizontal="left" vertical="top"/>
      <protection locked="0"/>
    </xf>
    <xf numFmtId="166" fontId="3" fillId="10" borderId="3" xfId="0" applyNumberFormat="1" applyFont="1" applyFill="1" applyBorder="1" applyAlignment="1">
      <alignment horizontal="left" vertical="top" wrapText="1"/>
    </xf>
    <xf numFmtId="167" fontId="4" fillId="10" borderId="2" xfId="2" applyNumberFormat="1" applyFont="1" applyFill="1" applyBorder="1" applyAlignment="1" applyProtection="1">
      <alignment horizontal="left" vertical="top"/>
      <protection locked="0"/>
    </xf>
    <xf numFmtId="14" fontId="4" fillId="10" borderId="2" xfId="0" applyNumberFormat="1" applyFont="1" applyFill="1" applyBorder="1" applyAlignment="1" applyProtection="1">
      <alignment horizontal="left" vertical="top"/>
      <protection locked="0"/>
    </xf>
    <xf numFmtId="0" fontId="4" fillId="10" borderId="2" xfId="2" applyNumberFormat="1" applyFont="1" applyFill="1" applyBorder="1" applyAlignment="1" applyProtection="1">
      <alignment horizontal="left" vertical="top"/>
      <protection locked="0"/>
    </xf>
    <xf numFmtId="168" fontId="4" fillId="10" borderId="2" xfId="1" applyNumberFormat="1" applyFont="1" applyFill="1" applyBorder="1" applyAlignment="1" applyProtection="1">
      <alignment horizontal="left" vertical="top" wrapText="1"/>
      <protection locked="0"/>
    </xf>
    <xf numFmtId="0" fontId="4" fillId="11" borderId="4" xfId="0" applyFont="1" applyFill="1" applyBorder="1" applyAlignment="1" applyProtection="1">
      <alignment horizontal="left" vertical="top"/>
      <protection locked="0"/>
    </xf>
    <xf numFmtId="0" fontId="4" fillId="11" borderId="2" xfId="0" applyFont="1" applyFill="1" applyBorder="1" applyAlignment="1" applyProtection="1">
      <alignment horizontal="left" vertical="top"/>
      <protection locked="0"/>
    </xf>
    <xf numFmtId="10" fontId="4" fillId="11" borderId="2" xfId="2" applyNumberFormat="1" applyFont="1" applyFill="1" applyBorder="1" applyAlignment="1" applyProtection="1">
      <alignment horizontal="left" vertical="top"/>
      <protection locked="0"/>
    </xf>
    <xf numFmtId="2" fontId="4" fillId="11" borderId="2" xfId="2" applyNumberFormat="1" applyFont="1" applyFill="1" applyBorder="1" applyAlignment="1" applyProtection="1">
      <alignment horizontal="left" vertical="top"/>
      <protection locked="0"/>
    </xf>
    <xf numFmtId="3" fontId="4" fillId="11" borderId="2" xfId="0" applyNumberFormat="1" applyFont="1" applyFill="1" applyBorder="1" applyAlignment="1" applyProtection="1">
      <alignment horizontal="left" vertical="top"/>
      <protection locked="0"/>
    </xf>
    <xf numFmtId="2" fontId="4" fillId="11" borderId="2" xfId="0" applyNumberFormat="1" applyFont="1" applyFill="1" applyBorder="1" applyAlignment="1" applyProtection="1">
      <alignment horizontal="left" vertical="top"/>
      <protection locked="0"/>
    </xf>
    <xf numFmtId="165" fontId="4" fillId="11" borderId="2" xfId="1" applyNumberFormat="1" applyFont="1" applyFill="1" applyBorder="1" applyAlignment="1" applyProtection="1">
      <alignment horizontal="left" vertical="top"/>
      <protection locked="0"/>
    </xf>
    <xf numFmtId="166" fontId="3" fillId="11" borderId="3" xfId="0" applyNumberFormat="1" applyFont="1" applyFill="1" applyBorder="1" applyAlignment="1">
      <alignment horizontal="left" vertical="top" wrapText="1"/>
    </xf>
    <xf numFmtId="167" fontId="4" fillId="11" borderId="2" xfId="2" applyNumberFormat="1" applyFont="1" applyFill="1" applyBorder="1" applyAlignment="1" applyProtection="1">
      <alignment horizontal="left" vertical="top"/>
      <protection locked="0"/>
    </xf>
    <xf numFmtId="14" fontId="4" fillId="11" borderId="2" xfId="0" applyNumberFormat="1" applyFont="1" applyFill="1" applyBorder="1" applyAlignment="1" applyProtection="1">
      <alignment horizontal="left" vertical="top"/>
      <protection locked="0"/>
    </xf>
    <xf numFmtId="0" fontId="5" fillId="11" borderId="0" xfId="0" applyFont="1" applyFill="1" applyAlignment="1">
      <alignment horizontal="left" vertical="top" wrapText="1"/>
    </xf>
    <xf numFmtId="0" fontId="4" fillId="11" borderId="2" xfId="2" applyNumberFormat="1" applyFont="1" applyFill="1" applyBorder="1" applyAlignment="1" applyProtection="1">
      <alignment horizontal="left" vertical="top"/>
      <protection locked="0"/>
    </xf>
    <xf numFmtId="168" fontId="4" fillId="11" borderId="2" xfId="1" applyNumberFormat="1" applyFont="1" applyFill="1" applyBorder="1" applyAlignment="1" applyProtection="1">
      <alignment horizontal="left" vertical="top" wrapText="1"/>
      <protection locked="0"/>
    </xf>
    <xf numFmtId="2" fontId="2" fillId="2" borderId="6" xfId="0" applyNumberFormat="1" applyFont="1" applyFill="1" applyBorder="1" applyAlignment="1">
      <alignment horizontal="left" vertical="top" wrapText="1"/>
    </xf>
    <xf numFmtId="166" fontId="11" fillId="4" borderId="3" xfId="0" applyNumberFormat="1" applyFont="1" applyFill="1" applyBorder="1" applyAlignment="1">
      <alignment horizontal="left" vertical="top" wrapText="1"/>
    </xf>
    <xf numFmtId="166" fontId="11" fillId="0" borderId="3" xfId="0" applyNumberFormat="1" applyFont="1" applyBorder="1" applyAlignment="1">
      <alignment horizontal="left" vertical="top" wrapText="1"/>
    </xf>
    <xf numFmtId="10" fontId="3" fillId="4" borderId="3" xfId="2" applyNumberFormat="1" applyFont="1" applyFill="1" applyBorder="1" applyAlignment="1">
      <alignment horizontal="center"/>
    </xf>
    <xf numFmtId="10" fontId="3" fillId="4" borderId="0" xfId="2" applyNumberFormat="1" applyFont="1" applyFill="1" applyBorder="1" applyAlignment="1">
      <alignment horizontal="center"/>
    </xf>
    <xf numFmtId="0" fontId="4" fillId="3" borderId="2" xfId="0" applyFont="1" applyFill="1" applyBorder="1" applyAlignment="1" applyProtection="1">
      <alignment horizontal="left" vertical="center"/>
      <protection locked="0"/>
    </xf>
    <xf numFmtId="166" fontId="11" fillId="4" borderId="3" xfId="0" applyNumberFormat="1" applyFont="1" applyFill="1" applyBorder="1" applyAlignment="1">
      <alignment horizontal="left" vertical="center" wrapText="1"/>
    </xf>
    <xf numFmtId="166" fontId="11" fillId="0" borderId="3" xfId="0" applyNumberFormat="1" applyFont="1" applyBorder="1" applyAlignment="1">
      <alignment horizontal="left" vertical="center" wrapText="1"/>
    </xf>
    <xf numFmtId="10" fontId="3" fillId="4" borderId="3" xfId="2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horizontal="left" vertical="top" wrapText="1"/>
    </xf>
    <xf numFmtId="166" fontId="12" fillId="4" borderId="0" xfId="0" applyNumberFormat="1" applyFont="1" applyFill="1" applyAlignment="1">
      <alignment horizontal="left" vertical="top" wrapText="1"/>
    </xf>
    <xf numFmtId="166" fontId="12" fillId="0" borderId="0" xfId="0" applyNumberFormat="1" applyFont="1" applyAlignment="1">
      <alignment horizontal="left" vertical="top" wrapText="1"/>
    </xf>
    <xf numFmtId="4" fontId="0" fillId="0" borderId="0" xfId="0" applyNumberFormat="1"/>
    <xf numFmtId="170" fontId="0" fillId="0" borderId="0" xfId="0" applyNumberFormat="1"/>
    <xf numFmtId="0" fontId="6" fillId="4" borderId="2" xfId="0" applyFont="1" applyFill="1" applyBorder="1" applyAlignment="1" applyProtection="1">
      <alignment horizontal="left" vertical="top" wrapText="1"/>
      <protection locked="0"/>
    </xf>
  </cellXfs>
  <cellStyles count="4">
    <cellStyle name="Comma" xfId="1" builtinId="3"/>
    <cellStyle name="Neutral" xfId="3" builtinId="28"/>
    <cellStyle name="Normal" xfId="0" builtinId="0"/>
    <cellStyle name="Percent" xfId="2" builtinId="5"/>
  </cellStyles>
  <dxfs count="2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fgColor theme="0"/>
          <bgColor rgb="FFC6EFCE"/>
        </patternFill>
      </fill>
    </dxf>
    <dxf>
      <font>
        <color rgb="FF9C0006"/>
      </font>
      <fill>
        <patternFill patternType="solid">
          <fgColor theme="0"/>
          <bgColor rgb="FFFFC7CE"/>
        </patternFill>
      </fill>
    </dxf>
    <dxf>
      <font>
        <color rgb="FF006100"/>
      </font>
      <fill>
        <patternFill patternType="solid">
          <fgColor theme="0"/>
          <bgColor rgb="FFC6EFCE"/>
        </patternFill>
      </fill>
    </dxf>
    <dxf>
      <font>
        <color rgb="FF9C0006"/>
      </font>
      <fill>
        <patternFill patternType="solid">
          <fgColor theme="0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1A983"/>
      <color rgb="FF9C0006"/>
      <color rgb="FFFFC7CE"/>
      <color rgb="FF006100"/>
      <color rgb="FFC6EFCE"/>
      <color rgb="FF197097"/>
      <color rgb="FFA5A5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s">
        <v>HKD</v>
        <stp/>
        <stp>##V3_BDPV12</stp>
        <stp>9888 HK Equity</stp>
        <stp>CRNCY</stp>
        <stp>[DPM - Securities Master List (BBG Linked).xlsx]Equities!R17C6</stp>
        <tr r="F17" s="2"/>
      </tp>
      <tp t="s">
        <v>HKD</v>
        <stp/>
        <stp>##V3_BDPV12</stp>
        <stp>9888 HK Equity</stp>
        <stp>CRNCY</stp>
        <stp>[DPM - Securities Master List (BBG Linked).xlsx]Equities!R27C6</stp>
        <tr r="F27" s="2"/>
      </tp>
      <tp>
        <v>-20.484490000000001</v>
        <stp/>
        <stp>##V3_BDPV12</stp>
        <stp>PEP US Equity</stp>
        <stp>CHG_PCT_6M</stp>
        <stp>[DPM - Securities Master List (BBG Linked).xlsx]Equities!R235C42</stp>
        <tr r="AP235" s="2"/>
      </tp>
      <tp>
        <v>-20.484490000000001</v>
        <stp/>
        <stp>##V3_BDPV12</stp>
        <stp>PEP US Equity</stp>
        <stp>CHG_PCT_6M</stp>
        <stp>[DPM - Securities Master List (BBG Linked).xlsx]Equities!R234C42</stp>
        <tr r="AP234" s="2"/>
      </tp>
      <tp>
        <v>-20.484490000000001</v>
        <stp/>
        <stp>##V3_BDPV12</stp>
        <stp>PEP US Equity</stp>
        <stp>CHG_PCT_6M</stp>
        <stp>[DPM - Securities Master List (BBG Linked).xlsx]Equities!R236C42</stp>
        <tr r="AP236" s="2"/>
      </tp>
      <tp>
        <v>-20.484490000000001</v>
        <stp/>
        <stp>##V3_BDPV12</stp>
        <stp>PEP US Equity</stp>
        <stp>CHG_PCT_6M</stp>
        <stp>[DPM - Securities Master List (BBG Linked).xlsx]Equities!R231C42</stp>
        <tr r="AP231" s="2"/>
      </tp>
      <tp>
        <v>-20.484490000000001</v>
        <stp/>
        <stp>##V3_BDPV12</stp>
        <stp>PEP US Equity</stp>
        <stp>CHG_PCT_6M</stp>
        <stp>[DPM - Securities Master List (BBG Linked).xlsx]Equities!R230C42</stp>
        <tr r="AP230" s="2"/>
      </tp>
      <tp>
        <v>-20.484490000000001</v>
        <stp/>
        <stp>##V3_BDPV12</stp>
        <stp>PEP US Equity</stp>
        <stp>CHG_PCT_6M</stp>
        <stp>[DPM - Securities Master List (BBG Linked).xlsx]Equities!R233C42</stp>
        <tr r="AP233" s="2"/>
      </tp>
      <tp>
        <v>-20.484490000000001</v>
        <stp/>
        <stp>##V3_BDPV12</stp>
        <stp>PEP US Equity</stp>
        <stp>CHG_PCT_6M</stp>
        <stp>[DPM - Securities Master List (BBG Linked).xlsx]Equities!R232C42</stp>
        <tr r="AP232" s="2"/>
      </tp>
      <tp>
        <v>-20.484490000000001</v>
        <stp/>
        <stp>##V3_BDPV12</stp>
        <stp>PEP US Equity</stp>
        <stp>CHG_PCT_6M</stp>
        <stp>[DPM - Securities Master List (BBG Linked).xlsx]Equities!R227C42</stp>
        <tr r="AP227" s="2"/>
      </tp>
      <tp>
        <v>-20.484490000000001</v>
        <stp/>
        <stp>##V3_BDPV12</stp>
        <stp>PEP US Equity</stp>
        <stp>CHG_PCT_6M</stp>
        <stp>[DPM - Securities Master List (BBG Linked).xlsx]Equities!R229C42</stp>
        <tr r="AP229" s="2"/>
      </tp>
      <tp>
        <v>-20.484490000000001</v>
        <stp/>
        <stp>##V3_BDPV12</stp>
        <stp>PEP US Equity</stp>
        <stp>CHG_PCT_6M</stp>
        <stp>[DPM - Securities Master List (BBG Linked).xlsx]Equities!R228C42</stp>
        <tr r="AP228" s="2"/>
      </tp>
      <tp>
        <v>-28.9861</v>
        <stp/>
        <stp>##V3_BDPV12</stp>
        <stp>REGN US Equity</stp>
        <stp>CHG_PCT_6M</stp>
        <stp>[DPM - Securities Master List (BBG Linked).xlsx]Equities!R241C42</stp>
        <tr r="AP241" s="2"/>
      </tp>
      <tp>
        <v>1.2613799999999999</v>
        <stp/>
        <stp>##V3_BDPV12</stp>
        <stp>DIS US Equity</stp>
        <stp>CHG_PCT_5D</stp>
        <stp>[DPM - Securities Master List (BBG Linked).xlsx]Equities!R113C23</stp>
        <tr r="W113" s="2"/>
      </tp>
      <tp>
        <v>1.2613799999999999</v>
        <stp/>
        <stp>##V3_BDPV12</stp>
        <stp>DIS US Equity</stp>
        <stp>CHG_PCT_5D</stp>
        <stp>[DPM - Securities Master List (BBG Linked).xlsx]Equities!R112C23</stp>
        <tr r="W112" s="2"/>
      </tp>
      <tp>
        <v>1.2613799999999999</v>
        <stp/>
        <stp>##V3_BDPV12</stp>
        <stp>DIS US Equity</stp>
        <stp>CHG_PCT_5D</stp>
        <stp>[DPM - Securities Master List (BBG Linked).xlsx]Equities!R115C23</stp>
        <tr r="W115" s="2"/>
      </tp>
      <tp>
        <v>1.2613799999999999</v>
        <stp/>
        <stp>##V3_BDPV12</stp>
        <stp>DIS US Equity</stp>
        <stp>CHG_PCT_5D</stp>
        <stp>[DPM - Securities Master List (BBG Linked).xlsx]Equities!R114C23</stp>
        <tr r="W114" s="2"/>
      </tp>
      <tp>
        <v>-3.486056</v>
        <stp/>
        <stp>##V3_BDPV12</stp>
        <stp>SMSN.LI Equity</stp>
        <stp>CHG_PCT_6M</stp>
        <stp>[DPM - Securities Master List (BBG Linked).xlsx]Equities!R243C42</stp>
        <tr r="AP243" s="2"/>
      </tp>
      <tp>
        <v>11.000500000000001</v>
        <stp/>
        <stp>##V3_BDPV12</stp>
        <stp>NESN SW Equity</stp>
        <stp>CHG_PCT_6M</stp>
        <stp>[DPM - Securities Master List (BBG Linked).xlsx]Equities!R203C42</stp>
        <tr r="AP203" s="2"/>
      </tp>
      <tp>
        <v>11.000500000000001</v>
        <stp/>
        <stp>##V3_BDPV12</stp>
        <stp>NESN SW Equity</stp>
        <stp>CHG_PCT_6M</stp>
        <stp>[DPM - Securities Master List (BBG Linked).xlsx]Equities!R202C42</stp>
        <tr r="AP202" s="2"/>
      </tp>
      <tp>
        <v>11.000500000000001</v>
        <stp/>
        <stp>##V3_BDPV12</stp>
        <stp>NESN SW Equity</stp>
        <stp>CHG_PCT_6M</stp>
        <stp>[DPM - Securities Master List (BBG Linked).xlsx]Equities!R201C42</stp>
        <tr r="AP201" s="2"/>
      </tp>
      <tp>
        <v>11.000500000000001</v>
        <stp/>
        <stp>##V3_BDPV12</stp>
        <stp>NESN SW Equity</stp>
        <stp>CHG_PCT_6M</stp>
        <stp>[DPM - Securities Master List (BBG Linked).xlsx]Equities!R200C42</stp>
        <tr r="AP200" s="2"/>
      </tp>
      <tp>
        <v>11.000500000000001</v>
        <stp/>
        <stp>##V3_BDPV12</stp>
        <stp>NESN SW Equity</stp>
        <stp>CHG_PCT_6M</stp>
        <stp>[DPM - Securities Master List (BBG Linked).xlsx]Equities!R205C42</stp>
        <tr r="AP205" s="2"/>
      </tp>
      <tp>
        <v>11.000500000000001</v>
        <stp/>
        <stp>##V3_BDPV12</stp>
        <stp>NESN SW Equity</stp>
        <stp>CHG_PCT_6M</stp>
        <stp>[DPM - Securities Master List (BBG Linked).xlsx]Equities!R204C42</stp>
        <tr r="AP204" s="2"/>
      </tp>
      <tp>
        <v>11.000500000000001</v>
        <stp/>
        <stp>##V3_BDPV12</stp>
        <stp>NESN SW Equity</stp>
        <stp>CHG_PCT_6M</stp>
        <stp>[DPM - Securities Master List (BBG Linked).xlsx]Equities!R199C42</stp>
        <tr r="AP199" s="2"/>
      </tp>
      <tp>
        <v>11.000500000000001</v>
        <stp/>
        <stp>##V3_BDPV12</stp>
        <stp>NESN SW Equity</stp>
        <stp>CHG_PCT_6M</stp>
        <stp>[DPM - Securities Master List (BBG Linked).xlsx]Equities!R198C42</stp>
        <tr r="AP198" s="2"/>
      </tp>
      <tp>
        <v>11.000500000000001</v>
        <stp/>
        <stp>##V3_BDPV12</stp>
        <stp>NESN SW Equity</stp>
        <stp>CHG_PCT_6M</stp>
        <stp>[DPM - Securities Master List (BBG Linked).xlsx]Equities!R193C42</stp>
        <tr r="AP193" s="2"/>
      </tp>
      <tp>
        <v>11.000500000000001</v>
        <stp/>
        <stp>##V3_BDPV12</stp>
        <stp>NESN SW Equity</stp>
        <stp>CHG_PCT_6M</stp>
        <stp>[DPM - Securities Master List (BBG Linked).xlsx]Equities!R197C42</stp>
        <tr r="AP197" s="2"/>
      </tp>
      <tp>
        <v>11.000500000000001</v>
        <stp/>
        <stp>##V3_BDPV12</stp>
        <stp>NESN SW Equity</stp>
        <stp>CHG_PCT_6M</stp>
        <stp>[DPM - Securities Master List (BBG Linked).xlsx]Equities!R196C42</stp>
        <tr r="AP196" s="2"/>
      </tp>
      <tp>
        <v>11.000500000000001</v>
        <stp/>
        <stp>##V3_BDPV12</stp>
        <stp>NESN SW Equity</stp>
        <stp>CHG_PCT_6M</stp>
        <stp>[DPM - Securities Master List (BBG Linked).xlsx]Equities!R195C42</stp>
        <tr r="AP195" s="2"/>
      </tp>
      <tp>
        <v>11.000500000000001</v>
        <stp/>
        <stp>##V3_BDPV12</stp>
        <stp>NESN SW Equity</stp>
        <stp>CHG_PCT_6M</stp>
        <stp>[DPM - Securities Master List (BBG Linked).xlsx]Equities!R194C42</stp>
        <tr r="AP194" s="2"/>
      </tp>
      <tp t="s">
        <v>Communication Services</v>
        <stp/>
        <stp>##V3_BDPV12</stp>
        <stp>GOOGL US Equity</stp>
        <stp>DX202</stp>
        <stp>[DPM - Securities Master List (BBG Linked).xlsx]Equities!R130C8</stp>
        <tr r="H130" s="2"/>
        <tr r="H130" s="2"/>
        <tr r="H130" s="2"/>
      </tp>
      <tp t="s">
        <v>Communication Services</v>
        <stp/>
        <stp>##V3_BDPV12</stp>
        <stp>GOOGL US Equity</stp>
        <stp>DX202</stp>
        <stp>[DPM - Securities Master List (BBG Linked).xlsx]Equities!R140C8</stp>
        <tr r="H140" s="2"/>
        <tr r="H140" s="2"/>
        <tr r="H140" s="2"/>
      </tp>
      <tp>
        <v>6</v>
        <stp/>
        <stp>##V3_BDPV12</stp>
        <stp>AMZN  US Equity</stp>
        <stp>TOT_HOLD_REC</stp>
        <stp>[DPM - Securities Master List (BBG Linked).xlsx]Equities!R50C35</stp>
        <tr r="AI50" s="2"/>
      </tp>
      <tp>
        <v>62612.970502694989</v>
        <stp/>
        <stp>##V3_BDPV12</stp>
        <stp>REGN Equity</stp>
        <stp>CRNCY_ADJ_MKT_CAP</stp>
        <stp>[DPM - Securities Master List (BBG Linked).xlsx]Equities!R240C9</stp>
        <stp>EQY_FUND_CRNCY=USD</stp>
        <tr r="I240" s="2"/>
      </tp>
      <tp t="s">
        <v>#N/A Invalid Override</v>
        <stp/>
        <stp>##V3_BDPV12</stp>
        <stp>US404280CN71 isin</stp>
        <stp>YAS_BOND_YLD</stp>
        <stp>[DPM - Securities Master List (BBG Linked).xlsx]Bonds!R127C10</stp>
        <stp>YAS_YLD_FLAG=15</stp>
        <stp>user_local_trade_date</stp>
        <stp>45783</stp>
        <stp>Yas_bond_px</stp>
        <stp>#N/A Connection</stp>
        <tr r="J127" s="1"/>
      </tp>
      <tp t="s">
        <v>#N/A Invalid Override</v>
        <stp/>
        <stp>##V3_BDPV12</stp>
        <stp>US404280CN71 isin</stp>
        <stp>YAS_BOND_YLD</stp>
        <stp>[DPM - Securities Master List (BBG Linked).xlsx]Bonds!R143C10</stp>
        <stp>YAS_YLD_FLAG=15</stp>
        <stp>user_local_trade_date</stp>
        <stp>45783</stp>
        <stp>Yas_bond_px</stp>
        <stp>#N/A Connection</stp>
        <tr r="J143" s="1"/>
      </tp>
      <tp t="s">
        <v>HKD</v>
        <stp/>
        <stp>##V3_BDPV12</stp>
        <stp>9888 HK Equity</stp>
        <stp>CRNCY</stp>
        <stp>[DPM - Securities Master List (BBG Linked).xlsx]Equities!R16C6</stp>
        <tr r="F16" s="2"/>
      </tp>
      <tp t="s">
        <v>HKD</v>
        <stp/>
        <stp>##V3_BDPV12</stp>
        <stp>9888 HK Equity</stp>
        <stp>CRNCY</stp>
        <stp>[DPM - Securities Master List (BBG Linked).xlsx]Equities!R26C6</stp>
        <tr r="F26" s="2"/>
      </tp>
      <tp>
        <v>5.7934539999999997</v>
        <stp/>
        <stp>##V3_BDPV12</stp>
        <stp>TSCO LN Equity</stp>
        <stp>CHG_PCT_6M</stp>
        <stp>[DPM - Securities Master List (BBG Linked).xlsx]Equities!R272C42</stp>
        <tr r="AP272" s="2"/>
      </tp>
      <tp>
        <v>5.7934539999999997</v>
        <stp/>
        <stp>##V3_BDPV12</stp>
        <stp>TSCO LN Equity</stp>
        <stp>CHG_PCT_6M</stp>
        <stp>[DPM - Securities Master List (BBG Linked).xlsx]Equities!R273C42</stp>
        <tr r="AP273" s="2"/>
      </tp>
      <tp>
        <v>5.7934539999999997</v>
        <stp/>
        <stp>##V3_BDPV12</stp>
        <stp>TSCO LN Equity</stp>
        <stp>CHG_PCT_6M</stp>
        <stp>[DPM - Securities Master List (BBG Linked).xlsx]Equities!R270C42</stp>
        <tr r="AP270" s="2"/>
      </tp>
      <tp>
        <v>5.7934539999999997</v>
        <stp/>
        <stp>##V3_BDPV12</stp>
        <stp>TSCO LN Equity</stp>
        <stp>CHG_PCT_6M</stp>
        <stp>[DPM - Securities Master List (BBG Linked).xlsx]Equities!R271C42</stp>
        <tr r="AP271" s="2"/>
      </tp>
      <tp>
        <v>5.7934539999999997</v>
        <stp/>
        <stp>##V3_BDPV12</stp>
        <stp>TSCO LN Equity</stp>
        <stp>CHG_PCT_6M</stp>
        <stp>[DPM - Securities Master List (BBG Linked).xlsx]Equities!R274C42</stp>
        <tr r="AP274" s="2"/>
      </tp>
      <tp>
        <v>5.7934539999999997</v>
        <stp/>
        <stp>##V3_BDPV12</stp>
        <stp>TSCO LN Equity</stp>
        <stp>CHG_PCT_6M</stp>
        <stp>[DPM - Securities Master List (BBG Linked).xlsx]Equities!R275C42</stp>
        <tr r="AP275" s="2"/>
      </tp>
      <tp>
        <v>5.7934539999999997</v>
        <stp/>
        <stp>##V3_BDPV12</stp>
        <stp>TSCO LN Equity</stp>
        <stp>CHG_PCT_6M</stp>
        <stp>[DPM - Securities Master List (BBG Linked).xlsx]Equities!R262C42</stp>
        <tr r="AP262" s="2"/>
      </tp>
      <tp>
        <v>5.7934539999999997</v>
        <stp/>
        <stp>##V3_BDPV12</stp>
        <stp>TSCO LN Equity</stp>
        <stp>CHG_PCT_6M</stp>
        <stp>[DPM - Securities Master List (BBG Linked).xlsx]Equities!R263C42</stp>
        <tr r="AP263" s="2"/>
      </tp>
      <tp>
        <v>5.7934539999999997</v>
        <stp/>
        <stp>##V3_BDPV12</stp>
        <stp>TSCO LN Equity</stp>
        <stp>CHG_PCT_6M</stp>
        <stp>[DPM - Securities Master List (BBG Linked).xlsx]Equities!R266C42</stp>
        <tr r="AP266" s="2"/>
      </tp>
      <tp>
        <v>5.7934539999999997</v>
        <stp/>
        <stp>##V3_BDPV12</stp>
        <stp>TSCO LN Equity</stp>
        <stp>CHG_PCT_6M</stp>
        <stp>[DPM - Securities Master List (BBG Linked).xlsx]Equities!R267C42</stp>
        <tr r="AP267" s="2"/>
      </tp>
      <tp>
        <v>5.7934539999999997</v>
        <stp/>
        <stp>##V3_BDPV12</stp>
        <stp>TSCO LN Equity</stp>
        <stp>CHG_PCT_6M</stp>
        <stp>[DPM - Securities Master List (BBG Linked).xlsx]Equities!R264C42</stp>
        <tr r="AP264" s="2"/>
      </tp>
      <tp>
        <v>5.7934539999999997</v>
        <stp/>
        <stp>##V3_BDPV12</stp>
        <stp>TSCO LN Equity</stp>
        <stp>CHG_PCT_6M</stp>
        <stp>[DPM - Securities Master List (BBG Linked).xlsx]Equities!R265C42</stp>
        <tr r="AP265" s="2"/>
      </tp>
      <tp>
        <v>5.7934539999999997</v>
        <stp/>
        <stp>##V3_BDPV12</stp>
        <stp>TSCO LN Equity</stp>
        <stp>CHG_PCT_6M</stp>
        <stp>[DPM - Securities Master List (BBG Linked).xlsx]Equities!R268C42</stp>
        <tr r="AP268" s="2"/>
      </tp>
      <tp>
        <v>5.7934539999999997</v>
        <stp/>
        <stp>##V3_BDPV12</stp>
        <stp>TSCO LN Equity</stp>
        <stp>CHG_PCT_6M</stp>
        <stp>[DPM - Securities Master List (BBG Linked).xlsx]Equities!R269C42</stp>
        <tr r="AP269" s="2"/>
      </tp>
      <tp>
        <v>-1.8823529999999999</v>
        <stp/>
        <stp>##V3_BDPV12</stp>
        <stp>KER FP Equity</stp>
        <stp>CHG_PCT_5D</stp>
        <stp>[DPM - Securities Master List (BBG Linked).xlsx]Equities!R149C23</stp>
        <tr r="W149" s="2"/>
      </tp>
      <tp>
        <v>-1.8823529999999999</v>
        <stp/>
        <stp>##V3_BDPV12</stp>
        <stp>KER FP Equity</stp>
        <stp>CHG_PCT_5D</stp>
        <stp>[DPM - Securities Master List (BBG Linked).xlsx]Equities!R152C23</stp>
        <tr r="W152" s="2"/>
      </tp>
      <tp>
        <v>-1.8823529999999999</v>
        <stp/>
        <stp>##V3_BDPV12</stp>
        <stp>KER FP Equity</stp>
        <stp>CHG_PCT_5D</stp>
        <stp>[DPM - Securities Master List (BBG Linked).xlsx]Equities!R153C23</stp>
        <tr r="W153" s="2"/>
      </tp>
      <tp>
        <v>-1.8823529999999999</v>
        <stp/>
        <stp>##V3_BDPV12</stp>
        <stp>KER FP Equity</stp>
        <stp>CHG_PCT_5D</stp>
        <stp>[DPM - Securities Master List (BBG Linked).xlsx]Equities!R150C23</stp>
        <tr r="W150" s="2"/>
      </tp>
      <tp>
        <v>-1.8823529999999999</v>
        <stp/>
        <stp>##V3_BDPV12</stp>
        <stp>KER FP Equity</stp>
        <stp>CHG_PCT_5D</stp>
        <stp>[DPM - Securities Master List (BBG Linked).xlsx]Equities!R151C23</stp>
        <tr r="W151" s="2"/>
      </tp>
      <tp>
        <v>-0.31582450000000001</v>
        <stp/>
        <stp>##V3_BDPV12</stp>
        <stp>LUV US Equity</stp>
        <stp>CHG_PCT_1D</stp>
        <stp>[DPM - Securities Master List (BBG Linked).xlsx]Equities!R154C22</stp>
        <tr r="V154" s="2"/>
      </tp>
      <tp>
        <v>3.4378769999999998</v>
        <stp/>
        <stp>##V3_BDPV12</stp>
        <stp>PYPL US Equity</stp>
        <stp>CHG_PCT_5D</stp>
        <stp>[DPM - Securities Master List (BBG Linked).xlsx]Equities!R238C23</stp>
        <tr r="W238" s="2"/>
      </tp>
      <tp>
        <v>3.4378769999999998</v>
        <stp/>
        <stp>##V3_BDPV12</stp>
        <stp>PYPL US Equity</stp>
        <stp>CHG_PCT_5D</stp>
        <stp>[DPM - Securities Master List (BBG Linked).xlsx]Equities!R239C23</stp>
        <tr r="W239" s="2"/>
      </tp>
      <tp>
        <v>3.4378769999999998</v>
        <stp/>
        <stp>##V3_BDPV12</stp>
        <stp>PYPL US Equity</stp>
        <stp>CHG_PCT_5D</stp>
        <stp>[DPM - Securities Master List (BBG Linked).xlsx]Equities!R237C23</stp>
        <tr r="W237" s="2"/>
      </tp>
      <tp>
        <v>-0.41586689999999998</v>
        <stp/>
        <stp>##V3_BDPV12</stp>
        <stp>DELL US Equity</stp>
        <stp>CHG_PCT_5D</stp>
        <stp>[DPM - Securities Master List (BBG Linked).xlsx]Equities!R100C23</stp>
        <tr r="W100" s="2"/>
      </tp>
      <tp>
        <v>-0.41586689999999998</v>
        <stp/>
        <stp>##V3_BDPV12</stp>
        <stp>DELL US Equity</stp>
        <stp>CHG_PCT_5D</stp>
        <stp>[DPM - Securities Master List (BBG Linked).xlsx]Equities!R101C23</stp>
        <tr r="W101" s="2"/>
      </tp>
      <tp>
        <v>-0.41586689999999998</v>
        <stp/>
        <stp>##V3_BDPV12</stp>
        <stp>DELL US Equity</stp>
        <stp>CHG_PCT_5D</stp>
        <stp>[DPM - Securities Master List (BBG Linked).xlsx]Equities!R102C23</stp>
        <tr r="W102" s="2"/>
      </tp>
      <tp>
        <v>-0.41586689999999998</v>
        <stp/>
        <stp>##V3_BDPV12</stp>
        <stp>DELL US Equity</stp>
        <stp>CHG_PCT_5D</stp>
        <stp>[DPM - Securities Master List (BBG Linked).xlsx]Equities!R103C23</stp>
        <tr r="W103" s="2"/>
      </tp>
      <tp>
        <v>-0.41586689999999998</v>
        <stp/>
        <stp>##V3_BDPV12</stp>
        <stp>DELL US Equity</stp>
        <stp>CHG_PCT_5D</stp>
        <stp>[DPM - Securities Master List (BBG Linked).xlsx]Equities!R104C23</stp>
        <tr r="W104" s="2"/>
      </tp>
      <tp>
        <v>-0.41586689999999998</v>
        <stp/>
        <stp>##V3_BDPV12</stp>
        <stp>DELL US Equity</stp>
        <stp>CHG_PCT_5D</stp>
        <stp>[DPM - Securities Master List (BBG Linked).xlsx]Equities!R105C23</stp>
        <tr r="W105" s="2"/>
      </tp>
      <tp>
        <v>-0.41586689999999998</v>
        <stp/>
        <stp>##V3_BDPV12</stp>
        <stp>DELL US Equity</stp>
        <stp>CHG_PCT_5D</stp>
        <stp>[DPM - Securities Master List (BBG Linked).xlsx]Equities!R106C23</stp>
        <tr r="W106" s="2"/>
      </tp>
      <tp>
        <v>-0.41586689999999998</v>
        <stp/>
        <stp>##V3_BDPV12</stp>
        <stp>DELL US Equity</stp>
        <stp>CHG_PCT_5D</stp>
        <stp>[DPM - Securities Master List (BBG Linked).xlsx]Equities!R107C23</stp>
        <tr r="W107" s="2"/>
      </tp>
      <tp>
        <v>19.965</v>
        <stp/>
        <stp>##V3_BDPV12</stp>
        <stp>INTC US Equity</stp>
        <stp>PX_Last</stp>
        <stp>[DPM - Securities Master List (BBG Linked).xlsx]Equities!R147C17</stp>
        <tr r="Q147" s="2"/>
      </tp>
      <tp>
        <v>19.965</v>
        <stp/>
        <stp>##V3_BDPV12</stp>
        <stp>INTC US Equity</stp>
        <stp>PX_Last</stp>
        <stp>[DPM - Securities Master List (BBG Linked).xlsx]Equities!R146C17</stp>
        <tr r="Q146" s="2"/>
      </tp>
      <tp>
        <v>19.965</v>
        <stp/>
        <stp>##V3_BDPV12</stp>
        <stp>INTC US Equity</stp>
        <stp>PX_Last</stp>
        <stp>[DPM - Securities Master List (BBG Linked).xlsx]Equities!R148C17</stp>
        <tr r="Q148" s="2"/>
      </tp>
      <tp>
        <v>19.965</v>
        <stp/>
        <stp>##V3_BDPV12</stp>
        <stp>INTC US Equity</stp>
        <stp>PX_last</stp>
        <stp>[DPM - Securities Master List (BBG Linked).xlsx]Equities!R147C17</stp>
        <tr r="Q147" s="2"/>
      </tp>
      <tp>
        <v>19.965</v>
        <stp/>
        <stp>##V3_BDPV12</stp>
        <stp>INTC US Equity</stp>
        <stp>PX_last</stp>
        <stp>[DPM - Securities Master List (BBG Linked).xlsx]Equities!R146C17</stp>
        <tr r="Q146" s="2"/>
      </tp>
      <tp>
        <v>19.965</v>
        <stp/>
        <stp>##V3_BDPV12</stp>
        <stp>INTC US Equity</stp>
        <stp>PX_last</stp>
        <stp>[DPM - Securities Master List (BBG Linked).xlsx]Equities!R148C17</stp>
        <tr r="Q148" s="2"/>
      </tp>
      <tp t="s">
        <v>Communication Services</v>
        <stp/>
        <stp>##V3_BDPV12</stp>
        <stp>GOOGL US Equity</stp>
        <stp>DX202</stp>
        <stp>[DPM - Securities Master List (BBG Linked).xlsx]Equities!R131C8</stp>
        <tr r="H131" s="2"/>
        <tr r="H131" s="2"/>
        <tr r="H131" s="2"/>
      </tp>
      <tp t="s">
        <v>Communication Services</v>
        <stp/>
        <stp>##V3_BDPV12</stp>
        <stp>GOOGL US Equity</stp>
        <stp>DX202</stp>
        <stp>[DPM - Securities Master List (BBG Linked).xlsx]Equities!R141C8</stp>
        <tr r="H141" s="2"/>
        <tr r="H141" s="2"/>
        <tr r="H141" s="2"/>
      </tp>
      <tp>
        <v>16</v>
        <stp/>
        <stp>##V3_BDPV12</stp>
        <stp>BIIB US Equity</stp>
        <stp>TOT_BUY_REC</stp>
        <stp>[DPM - Securities Master List (BBG Linked).xlsx]Equities!R62C34</stp>
        <tr r="AH62" s="2"/>
      </tp>
      <tp t="s">
        <v>#N/A Invalid Override</v>
        <stp/>
        <stp>##V3_BDPV12</stp>
        <stp>USF2R125CJ25 isin</stp>
        <stp>YAS_BOND_YLD</stp>
        <stp>[DPM - Securities Master List (BBG Linked).xlsx]Bonds!R44C10</stp>
        <stp>YAS_YLD_FLAG=15</stp>
        <stp>user_local_trade_date</stp>
        <stp>45783</stp>
        <stp>Yas_bond_px</stp>
        <stp>#N/A Connection</stp>
        <tr r="J44" s="1"/>
      </tp>
      <tp t="s">
        <v>HKD</v>
        <stp/>
        <stp>##V3_BDPV12</stp>
        <stp>9888 HK Equity</stp>
        <stp>CRNCY</stp>
        <stp>[DPM - Securities Master List (BBG Linked).xlsx]Equities!R15C6</stp>
        <tr r="F15" s="2"/>
      </tp>
      <tp t="s">
        <v>HKD</v>
        <stp/>
        <stp>##V3_BDPV12</stp>
        <stp>9888 HK Equity</stp>
        <stp>CRNCY</stp>
        <stp>[DPM - Securities Master List (BBG Linked).xlsx]Equities!R25C6</stp>
        <tr r="F25" s="2"/>
      </tp>
      <tp>
        <v>-24.05031</v>
        <stp/>
        <stp>##V3_BDPV12</stp>
        <stp>KER FP Equity</stp>
        <stp>CHG_PCT_6M</stp>
        <stp>[DPM - Securities Master List (BBG Linked).xlsx]Equities!R152C42</stp>
        <tr r="AP152" s="2"/>
      </tp>
      <tp>
        <v>-24.05031</v>
        <stp/>
        <stp>##V3_BDPV12</stp>
        <stp>KER FP Equity</stp>
        <stp>CHG_PCT_6M</stp>
        <stp>[DPM - Securities Master List (BBG Linked).xlsx]Equities!R153C42</stp>
        <tr r="AP153" s="2"/>
      </tp>
      <tp>
        <v>-24.05031</v>
        <stp/>
        <stp>##V3_BDPV12</stp>
        <stp>KER FP Equity</stp>
        <stp>CHG_PCT_6M</stp>
        <stp>[DPM - Securities Master List (BBG Linked).xlsx]Equities!R150C42</stp>
        <tr r="AP150" s="2"/>
      </tp>
      <tp>
        <v>-24.05031</v>
        <stp/>
        <stp>##V3_BDPV12</stp>
        <stp>KER FP Equity</stp>
        <stp>CHG_PCT_6M</stp>
        <stp>[DPM - Securities Master List (BBG Linked).xlsx]Equities!R151C42</stp>
        <tr r="AP151" s="2"/>
      </tp>
      <tp>
        <v>-24.05031</v>
        <stp/>
        <stp>##V3_BDPV12</stp>
        <stp>KER FP Equity</stp>
        <stp>CHG_PCT_6M</stp>
        <stp>[DPM - Securities Master List (BBG Linked).xlsx]Equities!R149C42</stp>
        <tr r="AP149" s="2"/>
      </tp>
      <tp>
        <v>-15.73517</v>
        <stp/>
        <stp>##V3_BDPV12</stp>
        <stp>PYPL US Equity</stp>
        <stp>CHG_PCT_6M</stp>
        <stp>[DPM - Securities Master List (BBG Linked).xlsx]Equities!R238C42</stp>
        <tr r="AP238" s="2"/>
      </tp>
      <tp>
        <v>-15.73517</v>
        <stp/>
        <stp>##V3_BDPV12</stp>
        <stp>PYPL US Equity</stp>
        <stp>CHG_PCT_6M</stp>
        <stp>[DPM - Securities Master List (BBG Linked).xlsx]Equities!R239C42</stp>
        <tr r="AP239" s="2"/>
      </tp>
      <tp>
        <v>-15.73517</v>
        <stp/>
        <stp>##V3_BDPV12</stp>
        <stp>PYPL US Equity</stp>
        <stp>CHG_PCT_6M</stp>
        <stp>[DPM - Securities Master List (BBG Linked).xlsx]Equities!R237C42</stp>
        <tr r="AP237" s="2"/>
      </tp>
      <tp>
        <v>5.7934510000000001</v>
        <stp/>
        <stp>##V3_BDPV12</stp>
        <stp>TSCO LN Equity</stp>
        <stp>CHG_PCT_5D</stp>
        <stp>[DPM - Securities Master List (BBG Linked).xlsx]Equities!R262C23</stp>
        <tr r="W262" s="2"/>
      </tp>
      <tp>
        <v>5.7934510000000001</v>
        <stp/>
        <stp>##V3_BDPV12</stp>
        <stp>TSCO LN Equity</stp>
        <stp>CHG_PCT_5D</stp>
        <stp>[DPM - Securities Master List (BBG Linked).xlsx]Equities!R263C23</stp>
        <tr r="W263" s="2"/>
      </tp>
      <tp>
        <v>5.7934510000000001</v>
        <stp/>
        <stp>##V3_BDPV12</stp>
        <stp>TSCO LN Equity</stp>
        <stp>CHG_PCT_5D</stp>
        <stp>[DPM - Securities Master List (BBG Linked).xlsx]Equities!R266C23</stp>
        <tr r="W266" s="2"/>
      </tp>
      <tp>
        <v>5.7934510000000001</v>
        <stp/>
        <stp>##V3_BDPV12</stp>
        <stp>TSCO LN Equity</stp>
        <stp>CHG_PCT_5D</stp>
        <stp>[DPM - Securities Master List (BBG Linked).xlsx]Equities!R267C23</stp>
        <tr r="W267" s="2"/>
      </tp>
      <tp>
        <v>5.7934510000000001</v>
        <stp/>
        <stp>##V3_BDPV12</stp>
        <stp>TSCO LN Equity</stp>
        <stp>CHG_PCT_5D</stp>
        <stp>[DPM - Securities Master List (BBG Linked).xlsx]Equities!R264C23</stp>
        <tr r="W264" s="2"/>
      </tp>
      <tp>
        <v>5.7934510000000001</v>
        <stp/>
        <stp>##V3_BDPV12</stp>
        <stp>TSCO LN Equity</stp>
        <stp>CHG_PCT_5D</stp>
        <stp>[DPM - Securities Master List (BBG Linked).xlsx]Equities!R265C23</stp>
        <tr r="W265" s="2"/>
      </tp>
      <tp>
        <v>5.7934510000000001</v>
        <stp/>
        <stp>##V3_BDPV12</stp>
        <stp>TSCO LN Equity</stp>
        <stp>CHG_PCT_5D</stp>
        <stp>[DPM - Securities Master List (BBG Linked).xlsx]Equities!R268C23</stp>
        <tr r="W268" s="2"/>
      </tp>
      <tp>
        <v>5.7934510000000001</v>
        <stp/>
        <stp>##V3_BDPV12</stp>
        <stp>TSCO LN Equity</stp>
        <stp>CHG_PCT_5D</stp>
        <stp>[DPM - Securities Master List (BBG Linked).xlsx]Equities!R269C23</stp>
        <tr r="W269" s="2"/>
      </tp>
      <tp>
        <v>5.7934510000000001</v>
        <stp/>
        <stp>##V3_BDPV12</stp>
        <stp>TSCO LN Equity</stp>
        <stp>CHG_PCT_5D</stp>
        <stp>[DPM - Securities Master List (BBG Linked).xlsx]Equities!R272C23</stp>
        <tr r="W272" s="2"/>
      </tp>
      <tp>
        <v>5.7934510000000001</v>
        <stp/>
        <stp>##V3_BDPV12</stp>
        <stp>TSCO LN Equity</stp>
        <stp>CHG_PCT_5D</stp>
        <stp>[DPM - Securities Master List (BBG Linked).xlsx]Equities!R273C23</stp>
        <tr r="W273" s="2"/>
      </tp>
      <tp>
        <v>5.7934510000000001</v>
        <stp/>
        <stp>##V3_BDPV12</stp>
        <stp>TSCO LN Equity</stp>
        <stp>CHG_PCT_5D</stp>
        <stp>[DPM - Securities Master List (BBG Linked).xlsx]Equities!R270C23</stp>
        <tr r="W270" s="2"/>
      </tp>
      <tp>
        <v>5.7934510000000001</v>
        <stp/>
        <stp>##V3_BDPV12</stp>
        <stp>TSCO LN Equity</stp>
        <stp>CHG_PCT_5D</stp>
        <stp>[DPM - Securities Master List (BBG Linked).xlsx]Equities!R271C23</stp>
        <tr r="W271" s="2"/>
      </tp>
      <tp>
        <v>5.7934510000000001</v>
        <stp/>
        <stp>##V3_BDPV12</stp>
        <stp>TSCO LN Equity</stp>
        <stp>CHG_PCT_5D</stp>
        <stp>[DPM - Securities Master List (BBG Linked).xlsx]Equities!R274C23</stp>
        <tr r="W274" s="2"/>
      </tp>
      <tp>
        <v>5.7934510000000001</v>
        <stp/>
        <stp>##V3_BDPV12</stp>
        <stp>TSCO LN Equity</stp>
        <stp>CHG_PCT_5D</stp>
        <stp>[DPM - Securities Master List (BBG Linked).xlsx]Equities!R275C23</stp>
        <tr r="W275" s="2"/>
      </tp>
      <tp>
        <v>-32.49729</v>
        <stp/>
        <stp>##V3_BDPV12</stp>
        <stp>DELL US Equity</stp>
        <stp>CHG_PCT_6M</stp>
        <stp>[DPM - Securities Master List (BBG Linked).xlsx]Equities!R100C42</stp>
        <tr r="AP100" s="2"/>
      </tp>
      <tp>
        <v>-32.49729</v>
        <stp/>
        <stp>##V3_BDPV12</stp>
        <stp>DELL US Equity</stp>
        <stp>CHG_PCT_6M</stp>
        <stp>[DPM - Securities Master List (BBG Linked).xlsx]Equities!R101C42</stp>
        <tr r="AP101" s="2"/>
      </tp>
      <tp>
        <v>-32.49729</v>
        <stp/>
        <stp>##V3_BDPV12</stp>
        <stp>DELL US Equity</stp>
        <stp>CHG_PCT_6M</stp>
        <stp>[DPM - Securities Master List (BBG Linked).xlsx]Equities!R102C42</stp>
        <tr r="AP102" s="2"/>
      </tp>
      <tp>
        <v>-32.49729</v>
        <stp/>
        <stp>##V3_BDPV12</stp>
        <stp>DELL US Equity</stp>
        <stp>CHG_PCT_6M</stp>
        <stp>[DPM - Securities Master List (BBG Linked).xlsx]Equities!R103C42</stp>
        <tr r="AP103" s="2"/>
      </tp>
      <tp>
        <v>-32.49729</v>
        <stp/>
        <stp>##V3_BDPV12</stp>
        <stp>DELL US Equity</stp>
        <stp>CHG_PCT_6M</stp>
        <stp>[DPM - Securities Master List (BBG Linked).xlsx]Equities!R104C42</stp>
        <tr r="AP104" s="2"/>
      </tp>
      <tp>
        <v>-32.49729</v>
        <stp/>
        <stp>##V3_BDPV12</stp>
        <stp>DELL US Equity</stp>
        <stp>CHG_PCT_6M</stp>
        <stp>[DPM - Securities Master List (BBG Linked).xlsx]Equities!R105C42</stp>
        <tr r="AP105" s="2"/>
      </tp>
      <tp>
        <v>-32.49729</v>
        <stp/>
        <stp>##V3_BDPV12</stp>
        <stp>DELL US Equity</stp>
        <stp>CHG_PCT_6M</stp>
        <stp>[DPM - Securities Master List (BBG Linked).xlsx]Equities!R106C42</stp>
        <tr r="AP106" s="2"/>
      </tp>
      <tp>
        <v>-32.49729</v>
        <stp/>
        <stp>##V3_BDPV12</stp>
        <stp>DELL US Equity</stp>
        <stp>CHG_PCT_6M</stp>
        <stp>[DPM - Securities Master List (BBG Linked).xlsx]Equities!R107C42</stp>
        <tr r="AP107" s="2"/>
      </tp>
      <tp>
        <v>773.79998779296875</v>
        <stp/>
        <stp>##V3_BDPV12</stp>
        <stp>DRX LN Equity</stp>
        <stp>BEST_TARGET_PRICE</stp>
        <stp>[DPM - Securities Master List (BBG Linked).xlsx]Equities!R121C38</stp>
        <tr r="AL121" s="2"/>
      </tp>
      <tp>
        <v>773.79998779296875</v>
        <stp/>
        <stp>##V3_BDPV12</stp>
        <stp>DRX LN Equity</stp>
        <stp>BEST_TARGET_PRICE</stp>
        <stp>[DPM - Securities Master List (BBG Linked).xlsx]Equities!R120C38</stp>
        <tr r="AL120" s="2"/>
      </tp>
      <tp>
        <v>773.79998779296875</v>
        <stp/>
        <stp>##V3_BDPV12</stp>
        <stp>DRX LN Equity</stp>
        <stp>BEST_TARGET_PRICE</stp>
        <stp>[DPM - Securities Master List (BBG Linked).xlsx]Equities!R123C38</stp>
        <tr r="AL123" s="2"/>
      </tp>
      <tp>
        <v>773.79998779296875</v>
        <stp/>
        <stp>##V3_BDPV12</stp>
        <stp>DRX LN Equity</stp>
        <stp>BEST_TARGET_PRICE</stp>
        <stp>[DPM - Securities Master List (BBG Linked).xlsx]Equities!R122C38</stp>
        <tr r="AL122" s="2"/>
      </tp>
      <tp>
        <v>773.79998779296875</v>
        <stp/>
        <stp>##V3_BDPV12</stp>
        <stp>DRX LN Equity</stp>
        <stp>BEST_TARGET_PRICE</stp>
        <stp>[DPM - Securities Master List (BBG Linked).xlsx]Equities!R124C38</stp>
        <tr r="AL124" s="2"/>
      </tp>
      <tp>
        <v>773.79998779296875</v>
        <stp/>
        <stp>##V3_BDPV12</stp>
        <stp>DRX LN Equity</stp>
        <stp>BEST_TARGET_PRICE</stp>
        <stp>[DPM - Securities Master List (BBG Linked).xlsx]Equities!R117C38</stp>
        <tr r="AL117" s="2"/>
      </tp>
      <tp>
        <v>773.79998779296875</v>
        <stp/>
        <stp>##V3_BDPV12</stp>
        <stp>DRX LN Equity</stp>
        <stp>BEST_TARGET_PRICE</stp>
        <stp>[DPM - Securities Master List (BBG Linked).xlsx]Equities!R116C38</stp>
        <tr r="AL116" s="2"/>
      </tp>
      <tp>
        <v>773.79998779296875</v>
        <stp/>
        <stp>##V3_BDPV12</stp>
        <stp>DRX LN Equity</stp>
        <stp>BEST_TARGET_PRICE</stp>
        <stp>[DPM - Securities Master List (BBG Linked).xlsx]Equities!R119C38</stp>
        <tr r="AL119" s="2"/>
      </tp>
      <tp>
        <v>773.79998779296875</v>
        <stp/>
        <stp>##V3_BDPV12</stp>
        <stp>DRX LN Equity</stp>
        <stp>BEST_TARGET_PRICE</stp>
        <stp>[DPM - Securities Master List (BBG Linked).xlsx]Equities!R118C38</stp>
        <tr r="AL118" s="2"/>
      </tp>
      <tp t="s">
        <v>Communication Services</v>
        <stp/>
        <stp>##V3_BDPV12</stp>
        <stp>GOOGL US Equity</stp>
        <stp>DX202</stp>
        <stp>[DPM - Securities Master List (BBG Linked).xlsx]Equities!R132C8</stp>
        <tr r="H132" s="2"/>
        <tr r="H132" s="2"/>
        <tr r="H132" s="2"/>
      </tp>
      <tp t="s">
        <v>HKD</v>
        <stp/>
        <stp>##V3_BDPV12</stp>
        <stp>9888 HK Equity</stp>
        <stp>CRNCY</stp>
        <stp>[DPM - Securities Master List (BBG Linked).xlsx]Equities!R24C6</stp>
        <tr r="F24" s="2"/>
      </tp>
      <tp>
        <v>0.51867220000000003</v>
        <stp/>
        <stp>##V3_BDPV12</stp>
        <stp>SMSN.LI Equity</stp>
        <stp>CHG_PCT_5D</stp>
        <stp>[DPM - Securities Master List (BBG Linked).xlsx]Equities!R243C23</stp>
        <tr r="W243" s="2"/>
      </tp>
      <tp>
        <v>-6.643745</v>
        <stp/>
        <stp>##V3_BDPV12</stp>
        <stp>DIS US Equity</stp>
        <stp>CHG_PCT_6M</stp>
        <stp>[DPM - Securities Master List (BBG Linked).xlsx]Equities!R113C42</stp>
        <tr r="AP113" s="2"/>
      </tp>
      <tp>
        <v>-6.643745</v>
        <stp/>
        <stp>##V3_BDPV12</stp>
        <stp>DIS US Equity</stp>
        <stp>CHG_PCT_6M</stp>
        <stp>[DPM - Securities Master List (BBG Linked).xlsx]Equities!R112C42</stp>
        <tr r="AP112" s="2"/>
      </tp>
      <tp>
        <v>-6.643745</v>
        <stp/>
        <stp>##V3_BDPV12</stp>
        <stp>DIS US Equity</stp>
        <stp>CHG_PCT_6M</stp>
        <stp>[DPM - Securities Master List (BBG Linked).xlsx]Equities!R115C42</stp>
        <tr r="AP115" s="2"/>
      </tp>
      <tp>
        <v>-6.643745</v>
        <stp/>
        <stp>##V3_BDPV12</stp>
        <stp>DIS US Equity</stp>
        <stp>CHG_PCT_6M</stp>
        <stp>[DPM - Securities Master List (BBG Linked).xlsx]Equities!R114C42</stp>
        <tr r="AP114" s="2"/>
      </tp>
      <tp>
        <v>1645.6817626953125</v>
        <stp/>
        <stp>##V3_BDPV12</stp>
        <stp>GSK LN Equity</stp>
        <stp>BEST_TARGET_PRICE</stp>
        <stp>[DPM - Securities Master List (BBG Linked).xlsx]Equities!R142C38</stp>
        <tr r="AL142" s="2"/>
      </tp>
      <tp>
        <v>1645.6817626953125</v>
        <stp/>
        <stp>##V3_BDPV12</stp>
        <stp>GSK LN Equity</stp>
        <stp>BEST_TARGET_PRICE</stp>
        <stp>[DPM - Securities Master List (BBG Linked).xlsx]Equities!R143C38</stp>
        <tr r="AL143" s="2"/>
      </tp>
      <tp>
        <v>1645.6817626953125</v>
        <stp/>
        <stp>##V3_BDPV12</stp>
        <stp>GSK LN Equity</stp>
        <stp>BEST_TARGET_PRICE</stp>
        <stp>[DPM - Securities Master List (BBG Linked).xlsx]Equities!R144C38</stp>
        <tr r="AL144" s="2"/>
      </tp>
      <tp>
        <v>1645.6817626953125</v>
        <stp/>
        <stp>##V3_BDPV12</stp>
        <stp>GSK LN Equity</stp>
        <stp>BEST_TARGET_PRICE</stp>
        <stp>[DPM - Securities Master List (BBG Linked).xlsx]Equities!R145C38</stp>
        <tr r="AL145" s="2"/>
      </tp>
      <tp>
        <v>-0.79688440000000005</v>
        <stp/>
        <stp>##V3_BDPV12</stp>
        <stp>MDT US Equity</stp>
        <stp>CHG_PCT_1D</stp>
        <stp>[DPM - Securities Master List (BBG Linked).xlsx]Equities!R155C22</stp>
        <tr r="V155" s="2"/>
      </tp>
      <tp>
        <v>1.937916</v>
        <stp/>
        <stp>##V3_BDPV12</stp>
        <stp>REGN US Equity</stp>
        <stp>CHG_PCT_5D</stp>
        <stp>[DPM - Securities Master List (BBG Linked).xlsx]Equities!R241C23</stp>
        <tr r="W241" s="2"/>
      </tp>
      <tp>
        <v>2061.800048828125</v>
        <stp/>
        <stp>##V3_BDPV12</stp>
        <stp>SSE LN Equity</stp>
        <stp>BEST_TARGET_PRICE</stp>
        <stp>[DPM - Securities Master List (BBG Linked).xlsx]Equities!R256C38</stp>
        <tr r="AL256" s="2"/>
      </tp>
      <tp>
        <v>2061.800048828125</v>
        <stp/>
        <stp>##V3_BDPV12</stp>
        <stp>SSE LN Equity</stp>
        <stp>BEST_TARGET_PRICE</stp>
        <stp>[DPM - Securities Master List (BBG Linked).xlsx]Equities!R257C38</stp>
        <tr r="AL257" s="2"/>
      </tp>
      <tp>
        <v>2061.800048828125</v>
        <stp/>
        <stp>##V3_BDPV12</stp>
        <stp>SSE LN Equity</stp>
        <stp>BEST_TARGET_PRICE</stp>
        <stp>[DPM - Securities Master List (BBG Linked).xlsx]Equities!R254C38</stp>
        <tr r="AL254" s="2"/>
      </tp>
      <tp>
        <v>2061.800048828125</v>
        <stp/>
        <stp>##V3_BDPV12</stp>
        <stp>SSE LN Equity</stp>
        <stp>BEST_TARGET_PRICE</stp>
        <stp>[DPM - Securities Master List (BBG Linked).xlsx]Equities!R255C38</stp>
        <tr r="AL255" s="2"/>
      </tp>
      <tp>
        <v>2061.800048828125</v>
        <stp/>
        <stp>##V3_BDPV12</stp>
        <stp>SSE LN Equity</stp>
        <stp>BEST_TARGET_PRICE</stp>
        <stp>[DPM - Securities Master List (BBG Linked).xlsx]Equities!R252C38</stp>
        <tr r="AL252" s="2"/>
      </tp>
      <tp>
        <v>2061.800048828125</v>
        <stp/>
        <stp>##V3_BDPV12</stp>
        <stp>SSE LN Equity</stp>
        <stp>BEST_TARGET_PRICE</stp>
        <stp>[DPM - Securities Master List (BBG Linked).xlsx]Equities!R253C38</stp>
        <tr r="AL253" s="2"/>
      </tp>
      <tp>
        <v>2061.800048828125</v>
        <stp/>
        <stp>##V3_BDPV12</stp>
        <stp>SSE LN Equity</stp>
        <stp>BEST_TARGET_PRICE</stp>
        <stp>[DPM - Securities Master List (BBG Linked).xlsx]Equities!R250C38</stp>
        <tr r="AL250" s="2"/>
      </tp>
      <tp>
        <v>2061.800048828125</v>
        <stp/>
        <stp>##V3_BDPV12</stp>
        <stp>SSE LN Equity</stp>
        <stp>BEST_TARGET_PRICE</stp>
        <stp>[DPM - Securities Master List (BBG Linked).xlsx]Equities!R251C38</stp>
        <tr r="AL251" s="2"/>
      </tp>
      <tp>
        <v>2061.800048828125</v>
        <stp/>
        <stp>##V3_BDPV12</stp>
        <stp>SSE LN Equity</stp>
        <stp>BEST_TARGET_PRICE</stp>
        <stp>[DPM - Securities Master List (BBG Linked).xlsx]Equities!R258C38</stp>
        <tr r="AL258" s="2"/>
      </tp>
      <tp>
        <v>2061.800048828125</v>
        <stp/>
        <stp>##V3_BDPV12</stp>
        <stp>SSE LN Equity</stp>
        <stp>BEST_TARGET_PRICE</stp>
        <stp>[DPM - Securities Master List (BBG Linked).xlsx]Equities!R246C38</stp>
        <tr r="AL246" s="2"/>
      </tp>
      <tp>
        <v>2061.800048828125</v>
        <stp/>
        <stp>##V3_BDPV12</stp>
        <stp>SSE LN Equity</stp>
        <stp>BEST_TARGET_PRICE</stp>
        <stp>[DPM - Securities Master List (BBG Linked).xlsx]Equities!R247C38</stp>
        <tr r="AL247" s="2"/>
      </tp>
      <tp>
        <v>2061.800048828125</v>
        <stp/>
        <stp>##V3_BDPV12</stp>
        <stp>SSE LN Equity</stp>
        <stp>BEST_TARGET_PRICE</stp>
        <stp>[DPM - Securities Master List (BBG Linked).xlsx]Equities!R244C38</stp>
        <tr r="AL244" s="2"/>
      </tp>
      <tp>
        <v>2061.800048828125</v>
        <stp/>
        <stp>##V3_BDPV12</stp>
        <stp>SSE LN Equity</stp>
        <stp>BEST_TARGET_PRICE</stp>
        <stp>[DPM - Securities Master List (BBG Linked).xlsx]Equities!R245C38</stp>
        <tr r="AL245" s="2"/>
      </tp>
      <tp>
        <v>2061.800048828125</v>
        <stp/>
        <stp>##V3_BDPV12</stp>
        <stp>SSE LN Equity</stp>
        <stp>BEST_TARGET_PRICE</stp>
        <stp>[DPM - Securities Master List (BBG Linked).xlsx]Equities!R248C38</stp>
        <tr r="AL248" s="2"/>
      </tp>
      <tp>
        <v>2061.800048828125</v>
        <stp/>
        <stp>##V3_BDPV12</stp>
        <stp>SSE LN Equity</stp>
        <stp>BEST_TARGET_PRICE</stp>
        <stp>[DPM - Securities Master List (BBG Linked).xlsx]Equities!R249C38</stp>
        <tr r="AL249" s="2"/>
      </tp>
      <tp>
        <v>-2.4867840000000001</v>
        <stp/>
        <stp>##V3_BDPV12</stp>
        <stp>PEP US Equity</stp>
        <stp>CHG_PCT_5D</stp>
        <stp>[DPM - Securities Master List (BBG Linked).xlsx]Equities!R227C23</stp>
        <tr r="W227" s="2"/>
      </tp>
      <tp>
        <v>-2.4867840000000001</v>
        <stp/>
        <stp>##V3_BDPV12</stp>
        <stp>PEP US Equity</stp>
        <stp>CHG_PCT_5D</stp>
        <stp>[DPM - Securities Master List (BBG Linked).xlsx]Equities!R229C23</stp>
        <tr r="W229" s="2"/>
      </tp>
      <tp>
        <v>-2.4867840000000001</v>
        <stp/>
        <stp>##V3_BDPV12</stp>
        <stp>PEP US Equity</stp>
        <stp>CHG_PCT_5D</stp>
        <stp>[DPM - Securities Master List (BBG Linked).xlsx]Equities!R228C23</stp>
        <tr r="W228" s="2"/>
      </tp>
      <tp>
        <v>-2.4867840000000001</v>
        <stp/>
        <stp>##V3_BDPV12</stp>
        <stp>PEP US Equity</stp>
        <stp>CHG_PCT_5D</stp>
        <stp>[DPM - Securities Master List (BBG Linked).xlsx]Equities!R235C23</stp>
        <tr r="W235" s="2"/>
      </tp>
      <tp>
        <v>-2.4867840000000001</v>
        <stp/>
        <stp>##V3_BDPV12</stp>
        <stp>PEP US Equity</stp>
        <stp>CHG_PCT_5D</stp>
        <stp>[DPM - Securities Master List (BBG Linked).xlsx]Equities!R234C23</stp>
        <tr r="W234" s="2"/>
      </tp>
      <tp>
        <v>-2.4867840000000001</v>
        <stp/>
        <stp>##V3_BDPV12</stp>
        <stp>PEP US Equity</stp>
        <stp>CHG_PCT_5D</stp>
        <stp>[DPM - Securities Master List (BBG Linked).xlsx]Equities!R236C23</stp>
        <tr r="W236" s="2"/>
      </tp>
      <tp>
        <v>-2.4867840000000001</v>
        <stp/>
        <stp>##V3_BDPV12</stp>
        <stp>PEP US Equity</stp>
        <stp>CHG_PCT_5D</stp>
        <stp>[DPM - Securities Master List (BBG Linked).xlsx]Equities!R231C23</stp>
        <tr r="W231" s="2"/>
      </tp>
      <tp>
        <v>-2.4867840000000001</v>
        <stp/>
        <stp>##V3_BDPV12</stp>
        <stp>PEP US Equity</stp>
        <stp>CHG_PCT_5D</stp>
        <stp>[DPM - Securities Master List (BBG Linked).xlsx]Equities!R230C23</stp>
        <tr r="W230" s="2"/>
      </tp>
      <tp>
        <v>-2.4867840000000001</v>
        <stp/>
        <stp>##V3_BDPV12</stp>
        <stp>PEP US Equity</stp>
        <stp>CHG_PCT_5D</stp>
        <stp>[DPM - Securities Master List (BBG Linked).xlsx]Equities!R233C23</stp>
        <tr r="W233" s="2"/>
      </tp>
      <tp>
        <v>0</v>
        <stp/>
        <stp>##V3_BDPV12</stp>
        <stp>TGT US Equity</stp>
        <stp>CHG_PCT_1D</stp>
        <stp>[DPM - Securities Master List (BBG Linked).xlsx]Equities!R261C22</stp>
        <tr r="V261" s="2"/>
      </tp>
      <tp>
        <v>-2.4867840000000001</v>
        <stp/>
        <stp>##V3_BDPV12</stp>
        <stp>PEP US Equity</stp>
        <stp>CHG_PCT_5D</stp>
        <stp>[DPM - Securities Master List (BBG Linked).xlsx]Equities!R232C23</stp>
        <tr r="W232" s="2"/>
      </tp>
      <tp t="s">
        <v>Consumer Discretionary</v>
        <stp/>
        <stp>##V3_BDPV12</stp>
        <stp>3690 HK Equity</stp>
        <stp>DX202</stp>
        <stp>[DPM - Securities Master List (BBG Linked).xlsx]Equities!R14C8</stp>
        <tr r="H14" s="2"/>
        <tr r="H14" s="2"/>
        <tr r="H14" s="2"/>
      </tp>
      <tp>
        <v>1.5446690000000001</v>
        <stp/>
        <stp>##V3_BDPV12</stp>
        <stp>NESN SW Equity</stp>
        <stp>CHG_PCT_5D</stp>
        <stp>[DPM - Securities Master List (BBG Linked).xlsx]Equities!R199C23</stp>
        <tr r="W199" s="2"/>
      </tp>
      <tp>
        <v>1.5446690000000001</v>
        <stp/>
        <stp>##V3_BDPV12</stp>
        <stp>NESN SW Equity</stp>
        <stp>CHG_PCT_5D</stp>
        <stp>[DPM - Securities Master List (BBG Linked).xlsx]Equities!R198C23</stp>
        <tr r="W198" s="2"/>
      </tp>
      <tp>
        <v>1.5446690000000001</v>
        <stp/>
        <stp>##V3_BDPV12</stp>
        <stp>NESN SW Equity</stp>
        <stp>CHG_PCT_5D</stp>
        <stp>[DPM - Securities Master List (BBG Linked).xlsx]Equities!R193C23</stp>
        <tr r="W193" s="2"/>
      </tp>
      <tp>
        <v>1.5446690000000001</v>
        <stp/>
        <stp>##V3_BDPV12</stp>
        <stp>NESN SW Equity</stp>
        <stp>CHG_PCT_5D</stp>
        <stp>[DPM - Securities Master List (BBG Linked).xlsx]Equities!R197C23</stp>
        <tr r="W197" s="2"/>
      </tp>
      <tp>
        <v>1.5446690000000001</v>
        <stp/>
        <stp>##V3_BDPV12</stp>
        <stp>NESN SW Equity</stp>
        <stp>CHG_PCT_5D</stp>
        <stp>[DPM - Securities Master List (BBG Linked).xlsx]Equities!R196C23</stp>
        <tr r="W196" s="2"/>
      </tp>
      <tp>
        <v>1.5446690000000001</v>
        <stp/>
        <stp>##V3_BDPV12</stp>
        <stp>NESN SW Equity</stp>
        <stp>CHG_PCT_5D</stp>
        <stp>[DPM - Securities Master List (BBG Linked).xlsx]Equities!R195C23</stp>
        <tr r="W195" s="2"/>
      </tp>
      <tp>
        <v>1.5446690000000001</v>
        <stp/>
        <stp>##V3_BDPV12</stp>
        <stp>NESN SW Equity</stp>
        <stp>CHG_PCT_5D</stp>
        <stp>[DPM - Securities Master List (BBG Linked).xlsx]Equities!R194C23</stp>
        <tr r="W194" s="2"/>
      </tp>
      <tp>
        <v>1.5446690000000001</v>
        <stp/>
        <stp>##V3_BDPV12</stp>
        <stp>NESN SW Equity</stp>
        <stp>CHG_PCT_5D</stp>
        <stp>[DPM - Securities Master List (BBG Linked).xlsx]Equities!R203C23</stp>
        <tr r="W203" s="2"/>
      </tp>
      <tp>
        <v>1.5446690000000001</v>
        <stp/>
        <stp>##V3_BDPV12</stp>
        <stp>NESN SW Equity</stp>
        <stp>CHG_PCT_5D</stp>
        <stp>[DPM - Securities Master List (BBG Linked).xlsx]Equities!R202C23</stp>
        <tr r="W202" s="2"/>
      </tp>
      <tp>
        <v>1.5446690000000001</v>
        <stp/>
        <stp>##V3_BDPV12</stp>
        <stp>NESN SW Equity</stp>
        <stp>CHG_PCT_5D</stp>
        <stp>[DPM - Securities Master List (BBG Linked).xlsx]Equities!R201C23</stp>
        <tr r="W201" s="2"/>
      </tp>
      <tp>
        <v>1.5446690000000001</v>
        <stp/>
        <stp>##V3_BDPV12</stp>
        <stp>NESN SW Equity</stp>
        <stp>CHG_PCT_5D</stp>
        <stp>[DPM - Securities Master List (BBG Linked).xlsx]Equities!R200C23</stp>
        <tr r="W200" s="2"/>
      </tp>
      <tp>
        <v>1.5446690000000001</v>
        <stp/>
        <stp>##V3_BDPV12</stp>
        <stp>NESN SW Equity</stp>
        <stp>CHG_PCT_5D</stp>
        <stp>[DPM - Securities Master List (BBG Linked).xlsx]Equities!R205C23</stp>
        <tr r="W205" s="2"/>
      </tp>
      <tp>
        <v>1.5446690000000001</v>
        <stp/>
        <stp>##V3_BDPV12</stp>
        <stp>NESN SW Equity</stp>
        <stp>CHG_PCT_5D</stp>
        <stp>[DPM - Securities Master List (BBG Linked).xlsx]Equities!R204C23</stp>
        <tr r="W204" s="2"/>
      </tp>
      <tp t="s">
        <v>Communication Services</v>
        <stp/>
        <stp>##V3_BDPV12</stp>
        <stp>GOOGL US Equity</stp>
        <stp>DX202</stp>
        <stp>[DPM - Securities Master List (BBG Linked).xlsx]Equities!R133C8</stp>
        <tr r="H133" s="2"/>
        <tr r="H133" s="2"/>
        <tr r="H133" s="2"/>
      </tp>
      <tp t="s">
        <v>Communication Services</v>
        <stp/>
        <stp>##V3_BDPV12</stp>
        <stp>TCEHY US Equity</stp>
        <stp>DX202</stp>
        <stp>[DPM - Securities Master List (BBG Linked).xlsx]Equities!R259C8</stp>
        <tr r="H259" s="2"/>
        <tr r="H259" s="2"/>
        <tr r="H259" s="2"/>
      </tp>
      <tp t="s">
        <v>HKD</v>
        <stp/>
        <stp>##V3_BDPV12</stp>
        <stp>9888 HK Equity</stp>
        <stp>CRNCY</stp>
        <stp>[DPM - Securities Master List (BBG Linked).xlsx]Equities!R23C6</stp>
        <tr r="F23" s="2"/>
      </tp>
      <tp>
        <v>5.3516664505004883</v>
        <stp/>
        <stp>##V3_BDPV12</stp>
        <stp>NIO US Equity</stp>
        <stp>BEST_TARGET_PRICE</stp>
        <stp>[DPM - Securities Master List (BBG Linked).xlsx]Equities!R206C38</stp>
        <tr r="AL206" s="2"/>
      </tp>
      <tp>
        <v>-36.166739999999997</v>
        <stp/>
        <stp>##V3_BDPV12</stp>
        <stp>TGT US Equity</stp>
        <stp>CHG_PCT_6M</stp>
        <stp>[DPM - Securities Master List (BBG Linked).xlsx]Equities!R261C42</stp>
        <tr r="AP261" s="2"/>
      </tp>
      <tp t="s">
        <v>Communication Services</v>
        <stp/>
        <stp>##V3_BDPV12</stp>
        <stp>9888 HK Equity</stp>
        <stp>DX202</stp>
        <stp>[DPM - Securities Master List (BBG Linked).xlsx]Equities!R19C8</stp>
        <tr r="H19" s="2"/>
        <tr r="H19" s="2"/>
        <tr r="H19" s="2"/>
      </tp>
      <tp>
        <v>-8.1289540000000002</v>
        <stp/>
        <stp>##V3_BDPV12</stp>
        <stp>MDT US Equity</stp>
        <stp>CHG_PCT_6M</stp>
        <stp>[DPM - Securities Master List (BBG Linked).xlsx]Equities!R155C42</stp>
        <tr r="AP155" s="2"/>
      </tp>
      <tp>
        <v>0.2279883</v>
        <stp/>
        <stp>##V3_BDPV12</stp>
        <stp>DIS US Equity</stp>
        <stp>CHG_PCT_1D</stp>
        <stp>[DPM - Securities Master List (BBG Linked).xlsx]Equities!R113C22</stp>
        <tr r="V113" s="2"/>
      </tp>
      <tp>
        <v>0.2279883</v>
        <stp/>
        <stp>##V3_BDPV12</stp>
        <stp>DIS US Equity</stp>
        <stp>CHG_PCT_1D</stp>
        <stp>[DPM - Securities Master List (BBG Linked).xlsx]Equities!R112C22</stp>
        <tr r="V112" s="2"/>
      </tp>
      <tp>
        <v>0.2279883</v>
        <stp/>
        <stp>##V3_BDPV12</stp>
        <stp>DIS US Equity</stp>
        <stp>CHG_PCT_1D</stp>
        <stp>[DPM - Securities Master List (BBG Linked).xlsx]Equities!R115C22</stp>
        <tr r="V115" s="2"/>
      </tp>
      <tp>
        <v>0.2279883</v>
        <stp/>
        <stp>##V3_BDPV12</stp>
        <stp>DIS US Equity</stp>
        <stp>CHG_PCT_1D</stp>
        <stp>[DPM - Securities Master List (BBG Linked).xlsx]Equities!R114C22</stp>
        <tr r="V114" s="2"/>
      </tp>
      <tp t="s">
        <v>#N/A Invalid Override</v>
        <stp/>
        <stp>##V3_BDPV12</stp>
        <stp>USF2280BAA47 isin</stp>
        <stp>YAS_BOND_YLD</stp>
        <stp>[DPM - Securities Master List (BBG Linked).xlsx]Bonds!R155C10</stp>
        <stp>YAS_YLD_FLAG=15</stp>
        <stp>user_local_trade_date</stp>
        <stp>45783</stp>
        <stp>Yas_bond_px</stp>
        <stp>#N/A Connection</stp>
        <tr r="J155" s="1"/>
      </tp>
      <tp t="s">
        <v>#N/A Invalid Override</v>
        <stp/>
        <stp>##V3_BDPV12</stp>
        <stp>USF2280BAA47 isin</stp>
        <stp>YAS_BOND_YLD</stp>
        <stp>[DPM - Securities Master List (BBG Linked).xlsx]Bonds!R118C10</stp>
        <stp>YAS_YLD_FLAG=15</stp>
        <stp>user_local_trade_date</stp>
        <stp>45783</stp>
        <stp>Yas_bond_px</stp>
        <stp>#N/A Connection</stp>
        <tr r="J118" s="1"/>
      </tp>
      <tp t="s">
        <v>Consumer Discretionary</v>
        <stp/>
        <stp>##V3_BDPV12</stp>
        <stp>3690 HK Equity</stp>
        <stp>DX202</stp>
        <stp>[DPM - Securities Master List (BBG Linked).xlsx]Equities!R13C8</stp>
        <tr r="H13" s="2"/>
        <tr r="H13" s="2"/>
        <tr r="H13" s="2"/>
      </tp>
      <tp>
        <v>120.72000122070313</v>
        <stp/>
        <stp>##V3_BDPV12</stp>
        <stp>DIS US Equity</stp>
        <stp>BEST_TARGET_PRICE</stp>
        <stp>[DPM - Securities Master List (BBG Linked).xlsx]Equities!R112C38</stp>
        <tr r="AL112" s="2"/>
      </tp>
      <tp>
        <v>120.72000122070313</v>
        <stp/>
        <stp>##V3_BDPV12</stp>
        <stp>DIS US Equity</stp>
        <stp>BEST_TARGET_PRICE</stp>
        <stp>[DPM - Securities Master List (BBG Linked).xlsx]Equities!R113C38</stp>
        <tr r="AL113" s="2"/>
      </tp>
      <tp>
        <v>120.72000122070313</v>
        <stp/>
        <stp>##V3_BDPV12</stp>
        <stp>DIS US Equity</stp>
        <stp>BEST_TARGET_PRICE</stp>
        <stp>[DPM - Securities Master List (BBG Linked).xlsx]Equities!R114C38</stp>
        <tr r="AL114" s="2"/>
      </tp>
      <tp>
        <v>120.72000122070313</v>
        <stp/>
        <stp>##V3_BDPV12</stp>
        <stp>DIS US Equity</stp>
        <stp>BEST_TARGET_PRICE</stp>
        <stp>[DPM - Securities Master List (BBG Linked).xlsx]Equities!R115C38</stp>
        <tr r="AL115" s="2"/>
      </tp>
      <tp>
        <v>186.44499999999999</v>
        <stp/>
        <stp>##V3_BDPV12</stp>
        <stp>AMZN  US Equity</stp>
        <stp>PX_Last</stp>
        <stp>[DPM - Securities Master List (BBG Linked).xlsx]Equities!R50C17</stp>
        <tr r="Q50" s="2"/>
      </tp>
      <tp>
        <v>186.44499999999999</v>
        <stp/>
        <stp>##V3_BDPV12</stp>
        <stp>AMZN  US Equity</stp>
        <stp>PX_last</stp>
        <stp>[DPM - Securities Master List (BBG Linked).xlsx]Equities!R50C17</stp>
        <tr r="Q50" s="2"/>
      </tp>
      <tp>
        <v>355.7</v>
        <stp/>
        <stp>##V3_BDPV12</stp>
        <stp>BP/ LN Equity</stp>
        <stp>PX_Last</stp>
        <stp>[DPM - Securities Master List (BBG Linked).xlsx]Equities!R88C17</stp>
        <tr r="Q88" s="2"/>
      </tp>
      <tp>
        <v>355.7</v>
        <stp/>
        <stp>##V3_BDPV12</stp>
        <stp>BP/ LN Equity</stp>
        <stp>PX_Last</stp>
        <stp>[DPM - Securities Master List (BBG Linked).xlsx]Equities!R89C17</stp>
        <tr r="Q89" s="2"/>
      </tp>
      <tp>
        <v>355.7</v>
        <stp/>
        <stp>##V3_BDPV12</stp>
        <stp>BP/ LN Equity</stp>
        <stp>PX_Last</stp>
        <stp>[DPM - Securities Master List (BBG Linked).xlsx]Equities!R86C17</stp>
        <tr r="Q86" s="2"/>
      </tp>
      <tp>
        <v>355.7</v>
        <stp/>
        <stp>##V3_BDPV12</stp>
        <stp>BP/ LN Equity</stp>
        <stp>PX_Last</stp>
        <stp>[DPM - Securities Master List (BBG Linked).xlsx]Equities!R87C17</stp>
        <tr r="Q87" s="2"/>
      </tp>
      <tp>
        <v>355.7</v>
        <stp/>
        <stp>##V3_BDPV12</stp>
        <stp>BP/ LN Equity</stp>
        <stp>PX_Last</stp>
        <stp>[DPM - Securities Master List (BBG Linked).xlsx]Equities!R84C17</stp>
        <tr r="Q84" s="2"/>
      </tp>
      <tp>
        <v>355.7</v>
        <stp/>
        <stp>##V3_BDPV12</stp>
        <stp>BP/ LN Equity</stp>
        <stp>PX_Last</stp>
        <stp>[DPM - Securities Master List (BBG Linked).xlsx]Equities!R85C17</stp>
        <tr r="Q85" s="2"/>
      </tp>
      <tp>
        <v>355.7</v>
        <stp/>
        <stp>##V3_BDPV12</stp>
        <stp>BP/ LN Equity</stp>
        <stp>PX_Last</stp>
        <stp>[DPM - Securities Master List (BBG Linked).xlsx]Equities!R82C17</stp>
        <tr r="Q82" s="2"/>
      </tp>
      <tp>
        <v>355.7</v>
        <stp/>
        <stp>##V3_BDPV12</stp>
        <stp>BP/ LN Equity</stp>
        <stp>PX_Last</stp>
        <stp>[DPM - Securities Master List (BBG Linked).xlsx]Equities!R83C17</stp>
        <tr r="Q83" s="2"/>
      </tp>
      <tp>
        <v>355.7</v>
        <stp/>
        <stp>##V3_BDPV12</stp>
        <stp>BP/ LN Equity</stp>
        <stp>PX_Last</stp>
        <stp>[DPM - Securities Master List (BBG Linked).xlsx]Equities!R80C17</stp>
        <tr r="Q80" s="2"/>
      </tp>
      <tp>
        <v>355.7</v>
        <stp/>
        <stp>##V3_BDPV12</stp>
        <stp>BP/ LN Equity</stp>
        <stp>PX_Last</stp>
        <stp>[DPM - Securities Master List (BBG Linked).xlsx]Equities!R81C17</stp>
        <tr r="Q81" s="2"/>
      </tp>
      <tp>
        <v>355.7</v>
        <stp/>
        <stp>##V3_BDPV12</stp>
        <stp>BP/ LN Equity</stp>
        <stp>PX_last</stp>
        <stp>[DPM - Securities Master List (BBG Linked).xlsx]Equities!R88C17</stp>
        <tr r="Q88" s="2"/>
      </tp>
      <tp>
        <v>355.7</v>
        <stp/>
        <stp>##V3_BDPV12</stp>
        <stp>BP/ LN Equity</stp>
        <stp>PX_last</stp>
        <stp>[DPM - Securities Master List (BBG Linked).xlsx]Equities!R89C17</stp>
        <tr r="Q89" s="2"/>
      </tp>
      <tp>
        <v>355.7</v>
        <stp/>
        <stp>##V3_BDPV12</stp>
        <stp>BP/ LN Equity</stp>
        <stp>PX_last</stp>
        <stp>[DPM - Securities Master List (BBG Linked).xlsx]Equities!R86C17</stp>
        <tr r="Q86" s="2"/>
      </tp>
      <tp>
        <v>355.7</v>
        <stp/>
        <stp>##V3_BDPV12</stp>
        <stp>BP/ LN Equity</stp>
        <stp>PX_last</stp>
        <stp>[DPM - Securities Master List (BBG Linked).xlsx]Equities!R87C17</stp>
        <tr r="Q87" s="2"/>
      </tp>
      <tp>
        <v>355.7</v>
        <stp/>
        <stp>##V3_BDPV12</stp>
        <stp>BP/ LN Equity</stp>
        <stp>PX_last</stp>
        <stp>[DPM - Securities Master List (BBG Linked).xlsx]Equities!R84C17</stp>
        <tr r="Q84" s="2"/>
      </tp>
      <tp>
        <v>355.7</v>
        <stp/>
        <stp>##V3_BDPV12</stp>
        <stp>BP/ LN Equity</stp>
        <stp>PX_last</stp>
        <stp>[DPM - Securities Master List (BBG Linked).xlsx]Equities!R85C17</stp>
        <tr r="Q85" s="2"/>
      </tp>
      <tp>
        <v>355.7</v>
        <stp/>
        <stp>##V3_BDPV12</stp>
        <stp>BP/ LN Equity</stp>
        <stp>PX_last</stp>
        <stp>[DPM - Securities Master List (BBG Linked).xlsx]Equities!R82C17</stp>
        <tr r="Q82" s="2"/>
      </tp>
      <tp>
        <v>355.7</v>
        <stp/>
        <stp>##V3_BDPV12</stp>
        <stp>BP/ LN Equity</stp>
        <stp>PX_last</stp>
        <stp>[DPM - Securities Master List (BBG Linked).xlsx]Equities!R83C17</stp>
        <tr r="Q83" s="2"/>
      </tp>
      <tp>
        <v>355.7</v>
        <stp/>
        <stp>##V3_BDPV12</stp>
        <stp>BP/ LN Equity</stp>
        <stp>PX_last</stp>
        <stp>[DPM - Securities Master List (BBG Linked).xlsx]Equities!R80C17</stp>
        <tr r="Q80" s="2"/>
      </tp>
      <tp>
        <v>355.7</v>
        <stp/>
        <stp>##V3_BDPV12</stp>
        <stp>BP/ LN Equity</stp>
        <stp>PX_last</stp>
        <stp>[DPM - Securities Master List (BBG Linked).xlsx]Equities!R81C17</stp>
        <tr r="Q81" s="2"/>
      </tp>
      <tp>
        <v>355.7</v>
        <stp/>
        <stp>##V3_BDPV12</stp>
        <stp>BP/ LN Equity</stp>
        <stp>PX_Last</stp>
        <stp>[DPM - Securities Master List (BBG Linked).xlsx]Equities!R90C17</stp>
        <tr r="Q90" s="2"/>
      </tp>
      <tp>
        <v>355.7</v>
        <stp/>
        <stp>##V3_BDPV12</stp>
        <stp>BP/ LN Equity</stp>
        <stp>PX_last</stp>
        <stp>[DPM - Securities Master List (BBG Linked).xlsx]Equities!R90C17</stp>
        <tr r="Q90" s="2"/>
      </tp>
      <tp>
        <v>355.7</v>
        <stp/>
        <stp>##V3_BDPV12</stp>
        <stp>BP/ LN Equity</stp>
        <stp>PX_Last</stp>
        <stp>[DPM - Securities Master List (BBG Linked).xlsx]Equities!R78C17</stp>
        <tr r="Q78" s="2"/>
      </tp>
      <tp>
        <v>355.7</v>
        <stp/>
        <stp>##V3_BDPV12</stp>
        <stp>BP/ LN Equity</stp>
        <stp>PX_Last</stp>
        <stp>[DPM - Securities Master List (BBG Linked).xlsx]Equities!R79C17</stp>
        <tr r="Q79" s="2"/>
      </tp>
      <tp>
        <v>355.7</v>
        <stp/>
        <stp>##V3_BDPV12</stp>
        <stp>BP/ LN Equity</stp>
        <stp>PX_Last</stp>
        <stp>[DPM - Securities Master List (BBG Linked).xlsx]Equities!R77C17</stp>
        <tr r="Q77" s="2"/>
      </tp>
      <tp>
        <v>355.7</v>
        <stp/>
        <stp>##V3_BDPV12</stp>
        <stp>BP/ LN Equity</stp>
        <stp>PX_last</stp>
        <stp>[DPM - Securities Master List (BBG Linked).xlsx]Equities!R78C17</stp>
        <tr r="Q78" s="2"/>
      </tp>
      <tp>
        <v>355.7</v>
        <stp/>
        <stp>##V3_BDPV12</stp>
        <stp>BP/ LN Equity</stp>
        <stp>PX_last</stp>
        <stp>[DPM - Securities Master List (BBG Linked).xlsx]Equities!R79C17</stp>
        <tr r="Q79" s="2"/>
      </tp>
      <tp>
        <v>355.7</v>
        <stp/>
        <stp>##V3_BDPV12</stp>
        <stp>BP/ LN Equity</stp>
        <stp>PX_last</stp>
        <stp>[DPM - Securities Master List (BBG Linked).xlsx]Equities!R77C17</stp>
        <tr r="Q77" s="2"/>
      </tp>
      <tp t="s">
        <v>Communication Services</v>
        <stp/>
        <stp>##V3_BDPV12</stp>
        <stp>GOOGL US Equity</stp>
        <stp>DX202</stp>
        <stp>[DPM - Securities Master List (BBG Linked).xlsx]Equities!R134C8</stp>
        <tr r="H134" s="2"/>
        <tr r="H134" s="2"/>
        <tr r="H134" s="2"/>
      </tp>
      <tp>
        <v>138.5</v>
        <stp/>
        <stp>##V3_BDPV12</stp>
        <stp>3690 HK Equity</stp>
        <stp>PX_last</stp>
        <stp>[DPM - Securities Master List (BBG Linked).xlsx]Equities!R14C17</stp>
        <tr r="Q14" s="2"/>
      </tp>
      <tp>
        <v>138.5</v>
        <stp/>
        <stp>##V3_BDPV12</stp>
        <stp>3690 HK Equity</stp>
        <stp>PX_last</stp>
        <stp>[DPM - Securities Master List (BBG Linked).xlsx]Equities!R12C17</stp>
        <tr r="Q12" s="2"/>
      </tp>
      <tp>
        <v>138.5</v>
        <stp/>
        <stp>##V3_BDPV12</stp>
        <stp>3690 HK Equity</stp>
        <stp>PX_last</stp>
        <stp>[DPM - Securities Master List (BBG Linked).xlsx]Equities!R13C17</stp>
        <tr r="Q13" s="2"/>
      </tp>
      <tp>
        <v>138.5</v>
        <stp/>
        <stp>##V3_BDPV12</stp>
        <stp>3690 HK Equity</stp>
        <stp>PX_last</stp>
        <stp>[DPM - Securities Master List (BBG Linked).xlsx]Equities!R10C17</stp>
        <tr r="Q10" s="2"/>
      </tp>
      <tp>
        <v>138.5</v>
        <stp/>
        <stp>##V3_BDPV12</stp>
        <stp>3690 HK Equity</stp>
        <stp>PX_last</stp>
        <stp>[DPM - Securities Master List (BBG Linked).xlsx]Equities!R11C17</stp>
        <tr r="Q11" s="2"/>
      </tp>
      <tp>
        <v>138.5</v>
        <stp/>
        <stp>##V3_BDPV12</stp>
        <stp>3690 HK Equity</stp>
        <stp>PX_Last</stp>
        <stp>[DPM - Securities Master List (BBG Linked).xlsx]Equities!R14C17</stp>
        <tr r="Q14" s="2"/>
      </tp>
      <tp>
        <v>138.5</v>
        <stp/>
        <stp>##V3_BDPV12</stp>
        <stp>3690 HK Equity</stp>
        <stp>PX_Last</stp>
        <stp>[DPM - Securities Master List (BBG Linked).xlsx]Equities!R12C17</stp>
        <tr r="Q12" s="2"/>
      </tp>
      <tp>
        <v>138.5</v>
        <stp/>
        <stp>##V3_BDPV12</stp>
        <stp>3690 HK Equity</stp>
        <stp>PX_Last</stp>
        <stp>[DPM - Securities Master List (BBG Linked).xlsx]Equities!R13C17</stp>
        <tr r="Q13" s="2"/>
      </tp>
      <tp>
        <v>138.5</v>
        <stp/>
        <stp>##V3_BDPV12</stp>
        <stp>3690 HK Equity</stp>
        <stp>PX_Last</stp>
        <stp>[DPM - Securities Master List (BBG Linked).xlsx]Equities!R10C17</stp>
        <tr r="Q10" s="2"/>
      </tp>
      <tp>
        <v>138.5</v>
        <stp/>
        <stp>##V3_BDPV12</stp>
        <stp>3690 HK Equity</stp>
        <stp>PX_Last</stp>
        <stp>[DPM - Securities Master List (BBG Linked).xlsx]Equities!R11C17</stp>
        <tr r="Q11" s="2"/>
      </tp>
      <tp>
        <v>33</v>
        <stp/>
        <stp>##V3_BDPV12</stp>
        <stp>ADBE US Equity</stp>
        <stp>TOT_BUY_REC</stp>
        <stp>[DPM - Securities Master List (BBG Linked).xlsx]Equities!R49C34</stp>
        <tr r="AH49" s="2"/>
      </tp>
      <tp>
        <v>33</v>
        <stp/>
        <stp>##V3_BDPV12</stp>
        <stp>ADBE US Equity</stp>
        <stp>TOT_BUY_REC</stp>
        <stp>[DPM - Securities Master List (BBG Linked).xlsx]Equities!R48C34</stp>
        <tr r="AH48" s="2"/>
      </tp>
      <tp>
        <v>33</v>
        <stp/>
        <stp>##V3_BDPV12</stp>
        <stp>ADBE US Equity</stp>
        <stp>TOT_BUY_REC</stp>
        <stp>[DPM - Securities Master List (BBG Linked).xlsx]Equities!R45C34</stp>
        <tr r="AH45" s="2"/>
      </tp>
      <tp>
        <v>33</v>
        <stp/>
        <stp>##V3_BDPV12</stp>
        <stp>ADBE US Equity</stp>
        <stp>TOT_BUY_REC</stp>
        <stp>[DPM - Securities Master List (BBG Linked).xlsx]Equities!R44C34</stp>
        <tr r="AH44" s="2"/>
      </tp>
      <tp>
        <v>33</v>
        <stp/>
        <stp>##V3_BDPV12</stp>
        <stp>ADBE US Equity</stp>
        <stp>TOT_BUY_REC</stp>
        <stp>[DPM - Securities Master List (BBG Linked).xlsx]Equities!R47C34</stp>
        <tr r="AH47" s="2"/>
      </tp>
      <tp>
        <v>33</v>
        <stp/>
        <stp>##V3_BDPV12</stp>
        <stp>ADBE US Equity</stp>
        <stp>TOT_BUY_REC</stp>
        <stp>[DPM - Securities Master List (BBG Linked).xlsx]Equities!R46C34</stp>
        <tr r="AH46" s="2"/>
      </tp>
      <tp>
        <v>33</v>
        <stp/>
        <stp>##V3_BDPV12</stp>
        <stp>ADBE US Equity</stp>
        <stp>TOT_BUY_REC</stp>
        <stp>[DPM - Securities Master List (BBG Linked).xlsx]Equities!R41C34</stp>
        <tr r="AH41" s="2"/>
      </tp>
      <tp>
        <v>33</v>
        <stp/>
        <stp>##V3_BDPV12</stp>
        <stp>ADBE US Equity</stp>
        <stp>TOT_BUY_REC</stp>
        <stp>[DPM - Securities Master List (BBG Linked).xlsx]Equities!R40C34</stp>
        <tr r="AH40" s="2"/>
      </tp>
      <tp>
        <v>33</v>
        <stp/>
        <stp>##V3_BDPV12</stp>
        <stp>ADBE US Equity</stp>
        <stp>TOT_BUY_REC</stp>
        <stp>[DPM - Securities Master List (BBG Linked).xlsx]Equities!R43C34</stp>
        <tr r="AH43" s="2"/>
      </tp>
      <tp>
        <v>33</v>
        <stp/>
        <stp>##V3_BDPV12</stp>
        <stp>ADBE US Equity</stp>
        <stp>TOT_BUY_REC</stp>
        <stp>[DPM - Securities Master List (BBG Linked).xlsx]Equities!R42C34</stp>
        <tr r="AH42" s="2"/>
      </tp>
      <tp>
        <v>33</v>
        <stp/>
        <stp>##V3_BDPV12</stp>
        <stp>ADBE US Equity</stp>
        <stp>TOT_BUY_REC</stp>
        <stp>[DPM - Securities Master List (BBG Linked).xlsx]Equities!R39C34</stp>
        <tr r="AH39" s="2"/>
      </tp>
      <tp>
        <v>33</v>
        <stp/>
        <stp>##V3_BDPV12</stp>
        <stp>ADBE US Equity</stp>
        <stp>TOT_BUY_REC</stp>
        <stp>[DPM - Securities Master List (BBG Linked).xlsx]Equities!R38C34</stp>
        <tr r="AH38" s="2"/>
      </tp>
      <tp>
        <v>33</v>
        <stp/>
        <stp>##V3_BDPV12</stp>
        <stp>ADBE US Equity</stp>
        <stp>TOT_BUY_REC</stp>
        <stp>[DPM - Securities Master List (BBG Linked).xlsx]Equities!R37C34</stp>
        <tr r="AH37" s="2"/>
      </tp>
      <tp>
        <v>33</v>
        <stp/>
        <stp>##V3_BDPV12</stp>
        <stp>ADBE US Equity</stp>
        <stp>TOT_BUY_REC</stp>
        <stp>[DPM - Securities Master List (BBG Linked).xlsx]Equities!R36C34</stp>
        <tr r="AH36" s="2"/>
      </tp>
      <tp t="s">
        <v>HKD</v>
        <stp/>
        <stp>##V3_BDPV12</stp>
        <stp>9888 HK Equity</stp>
        <stp>CRNCY</stp>
        <stp>[DPM - Securities Master List (BBG Linked).xlsx]Equities!R22C6</stp>
        <tr r="F22" s="2"/>
      </tp>
      <tp t="s">
        <v>Communication Services</v>
        <stp/>
        <stp>##V3_BDPV12</stp>
        <stp>9888 HK Equity</stp>
        <stp>DX202</stp>
        <stp>[DPM - Securities Master List (BBG Linked).xlsx]Equities!R18C8</stp>
        <tr r="H18" s="2"/>
        <tr r="H18" s="2"/>
        <tr r="H18" s="2"/>
      </tp>
      <tp>
        <v>-0.56773019999999996</v>
        <stp/>
        <stp>##V3_BDPV12</stp>
        <stp>KER FP Equity</stp>
        <stp>CHG_PCT_1D</stp>
        <stp>[DPM - Securities Master List (BBG Linked).xlsx]Equities!R152C22</stp>
        <tr r="V152" s="2"/>
      </tp>
      <tp>
        <v>-0.56773019999999996</v>
        <stp/>
        <stp>##V3_BDPV12</stp>
        <stp>KER FP Equity</stp>
        <stp>CHG_PCT_1D</stp>
        <stp>[DPM - Securities Master List (BBG Linked).xlsx]Equities!R153C22</stp>
        <tr r="V153" s="2"/>
      </tp>
      <tp>
        <v>-0.56773019999999996</v>
        <stp/>
        <stp>##V3_BDPV12</stp>
        <stp>KER FP Equity</stp>
        <stp>CHG_PCT_1D</stp>
        <stp>[DPM - Securities Master List (BBG Linked).xlsx]Equities!R150C22</stp>
        <tr r="V150" s="2"/>
      </tp>
      <tp>
        <v>-0.56773019999999996</v>
        <stp/>
        <stp>##V3_BDPV12</stp>
        <stp>KER FP Equity</stp>
        <stp>CHG_PCT_1D</stp>
        <stp>[DPM - Securities Master List (BBG Linked).xlsx]Equities!R151C22</stp>
        <tr r="V151" s="2"/>
      </tp>
      <tp>
        <v>-0.56773019999999996</v>
        <stp/>
        <stp>##V3_BDPV12</stp>
        <stp>KER FP Equity</stp>
        <stp>CHG_PCT_1D</stp>
        <stp>[DPM - Securities Master List (BBG Linked).xlsx]Equities!R149C22</stp>
        <tr r="V149" s="2"/>
      </tp>
      <tp>
        <v>9.9963320000000007</v>
        <stp/>
        <stp>##V3_BDPV12</stp>
        <stp>LUV US Equity</stp>
        <stp>CHG_PCT_5D</stp>
        <stp>[DPM - Securities Master List (BBG Linked).xlsx]Equities!R154C23</stp>
        <tr r="W154" s="2"/>
      </tp>
      <tp>
        <v>8.7540119999999999E-2</v>
        <stp/>
        <stp>##V3_BDPV12</stp>
        <stp>PYPL US Equity</stp>
        <stp>CHG_PCT_1D</stp>
        <stp>[DPM - Securities Master List (BBG Linked).xlsx]Equities!R238C22</stp>
        <tr r="V238" s="2"/>
      </tp>
      <tp>
        <v>8.7540119999999999E-2</v>
        <stp/>
        <stp>##V3_BDPV12</stp>
        <stp>PYPL US Equity</stp>
        <stp>CHG_PCT_1D</stp>
        <stp>[DPM - Securities Master List (BBG Linked).xlsx]Equities!R239C22</stp>
        <tr r="V239" s="2"/>
      </tp>
      <tp>
        <v>8.7540119999999999E-2</v>
        <stp/>
        <stp>##V3_BDPV12</stp>
        <stp>PYPL US Equity</stp>
        <stp>CHG_PCT_1D</stp>
        <stp>[DPM - Securities Master List (BBG Linked).xlsx]Equities!R237C22</stp>
        <tr r="V237" s="2"/>
      </tp>
      <tp t="s">
        <v>Consumer Discretionary</v>
        <stp/>
        <stp>##V3_BDPV12</stp>
        <stp>3690 HK Equity</stp>
        <stp>DX202</stp>
        <stp>[DPM - Securities Master List (BBG Linked).xlsx]Equities!R12C8</stp>
        <tr r="H12" s="2"/>
        <tr r="H12" s="2"/>
        <tr r="H12" s="2"/>
      </tp>
      <tp>
        <v>-1.0279780000000001</v>
        <stp/>
        <stp>##V3_BDPV12</stp>
        <stp>DELL US Equity</stp>
        <stp>CHG_PCT_1D</stp>
        <stp>[DPM - Securities Master List (BBG Linked).xlsx]Equities!R100C22</stp>
        <tr r="V100" s="2"/>
      </tp>
      <tp>
        <v>-1.0279780000000001</v>
        <stp/>
        <stp>##V3_BDPV12</stp>
        <stp>DELL US Equity</stp>
        <stp>CHG_PCT_1D</stp>
        <stp>[DPM - Securities Master List (BBG Linked).xlsx]Equities!R101C22</stp>
        <tr r="V101" s="2"/>
      </tp>
      <tp>
        <v>-1.0279780000000001</v>
        <stp/>
        <stp>##V3_BDPV12</stp>
        <stp>DELL US Equity</stp>
        <stp>CHG_PCT_1D</stp>
        <stp>[DPM - Securities Master List (BBG Linked).xlsx]Equities!R102C22</stp>
        <tr r="V102" s="2"/>
      </tp>
      <tp>
        <v>-1.0279780000000001</v>
        <stp/>
        <stp>##V3_BDPV12</stp>
        <stp>DELL US Equity</stp>
        <stp>CHG_PCT_1D</stp>
        <stp>[DPM - Securities Master List (BBG Linked).xlsx]Equities!R103C22</stp>
        <tr r="V103" s="2"/>
      </tp>
      <tp>
        <v>-1.0279780000000001</v>
        <stp/>
        <stp>##V3_BDPV12</stp>
        <stp>DELL US Equity</stp>
        <stp>CHG_PCT_1D</stp>
        <stp>[DPM - Securities Master List (BBG Linked).xlsx]Equities!R104C22</stp>
        <tr r="V104" s="2"/>
      </tp>
      <tp>
        <v>-1.0279780000000001</v>
        <stp/>
        <stp>##V3_BDPV12</stp>
        <stp>DELL US Equity</stp>
        <stp>CHG_PCT_1D</stp>
        <stp>[DPM - Securities Master List (BBG Linked).xlsx]Equities!R105C22</stp>
        <tr r="V105" s="2"/>
      </tp>
      <tp>
        <v>-1.0279780000000001</v>
        <stp/>
        <stp>##V3_BDPV12</stp>
        <stp>DELL US Equity</stp>
        <stp>CHG_PCT_1D</stp>
        <stp>[DPM - Securities Master List (BBG Linked).xlsx]Equities!R106C22</stp>
        <tr r="V106" s="2"/>
      </tp>
      <tp>
        <v>-1.0279780000000001</v>
        <stp/>
        <stp>##V3_BDPV12</stp>
        <stp>DELL US Equity</stp>
        <stp>CHG_PCT_1D</stp>
        <stp>[DPM - Securities Master List (BBG Linked).xlsx]Equities!R107C22</stp>
        <tr r="V107" s="2"/>
      </tp>
      <tp>
        <v>591.1</v>
        <stp/>
        <stp>##V3_BDPV12</stp>
        <stp>META US Equity</stp>
        <stp>PX_Last</stp>
        <stp>[DPM - Securities Master List (BBG Linked).xlsx]Equities!R156C17</stp>
        <tr r="Q156" s="2"/>
      </tp>
      <tp>
        <v>591.1</v>
        <stp/>
        <stp>##V3_BDPV12</stp>
        <stp>META US Equity</stp>
        <stp>PX_last</stp>
        <stp>[DPM - Securities Master List (BBG Linked).xlsx]Equities!R156C17</stp>
        <tr r="Q156" s="2"/>
      </tp>
      <tp>
        <v>435.33</v>
        <stp/>
        <stp>##V3_BDPV12</stp>
        <stp>MSFT US Equity</stp>
        <stp>PX_Last</stp>
        <stp>[DPM - Securities Master List (BBG Linked).xlsx]Equities!R172C17</stp>
        <tr r="Q172" s="2"/>
      </tp>
      <tp>
        <v>435.33</v>
        <stp/>
        <stp>##V3_BDPV12</stp>
        <stp>MSFT US Equity</stp>
        <stp>PX_Last</stp>
        <stp>[DPM - Securities Master List (BBG Linked).xlsx]Equities!R173C17</stp>
        <tr r="Q173" s="2"/>
      </tp>
      <tp>
        <v>435.33</v>
        <stp/>
        <stp>##V3_BDPV12</stp>
        <stp>MSFT US Equity</stp>
        <stp>PX_Last</stp>
        <stp>[DPM - Securities Master List (BBG Linked).xlsx]Equities!R170C17</stp>
        <tr r="Q170" s="2"/>
      </tp>
      <tp>
        <v>435.33</v>
        <stp/>
        <stp>##V3_BDPV12</stp>
        <stp>MSFT US Equity</stp>
        <stp>PX_Last</stp>
        <stp>[DPM - Securities Master List (BBG Linked).xlsx]Equities!R171C17</stp>
        <tr r="Q171" s="2"/>
      </tp>
      <tp>
        <v>435.33</v>
        <stp/>
        <stp>##V3_BDPV12</stp>
        <stp>MSFT US Equity</stp>
        <stp>PX_Last</stp>
        <stp>[DPM - Securities Master List (BBG Linked).xlsx]Equities!R176C17</stp>
        <tr r="Q176" s="2"/>
      </tp>
      <tp>
        <v>435.33</v>
        <stp/>
        <stp>##V3_BDPV12</stp>
        <stp>MSFT US Equity</stp>
        <stp>PX_Last</stp>
        <stp>[DPM - Securities Master List (BBG Linked).xlsx]Equities!R177C17</stp>
        <tr r="Q177" s="2"/>
      </tp>
      <tp>
        <v>435.33</v>
        <stp/>
        <stp>##V3_BDPV12</stp>
        <stp>MSFT US Equity</stp>
        <stp>PX_Last</stp>
        <stp>[DPM - Securities Master List (BBG Linked).xlsx]Equities!R174C17</stp>
        <tr r="Q174" s="2"/>
      </tp>
      <tp>
        <v>435.33</v>
        <stp/>
        <stp>##V3_BDPV12</stp>
        <stp>MSFT US Equity</stp>
        <stp>PX_Last</stp>
        <stp>[DPM - Securities Master List (BBG Linked).xlsx]Equities!R175C17</stp>
        <tr r="Q175" s="2"/>
      </tp>
      <tp>
        <v>435.33</v>
        <stp/>
        <stp>##V3_BDPV12</stp>
        <stp>MSFT US Equity</stp>
        <stp>PX_Last</stp>
        <stp>[DPM - Securities Master List (BBG Linked).xlsx]Equities!R178C17</stp>
        <tr r="Q178" s="2"/>
      </tp>
      <tp>
        <v>435.33</v>
        <stp/>
        <stp>##V3_BDPV12</stp>
        <stp>MSFT US Equity</stp>
        <stp>PX_Last</stp>
        <stp>[DPM - Securities Master List (BBG Linked).xlsx]Equities!R179C17</stp>
        <tr r="Q179" s="2"/>
      </tp>
      <tp>
        <v>435.33</v>
        <stp/>
        <stp>##V3_BDPV12</stp>
        <stp>MSFT US Equity</stp>
        <stp>PX_Last</stp>
        <stp>[DPM - Securities Master List (BBG Linked).xlsx]Equities!R182C17</stp>
        <tr r="Q182" s="2"/>
      </tp>
      <tp>
        <v>435.33</v>
        <stp/>
        <stp>##V3_BDPV12</stp>
        <stp>MSFT US Equity</stp>
        <stp>PX_Last</stp>
        <stp>[DPM - Securities Master List (BBG Linked).xlsx]Equities!R183C17</stp>
        <tr r="Q183" s="2"/>
      </tp>
      <tp>
        <v>435.33</v>
        <stp/>
        <stp>##V3_BDPV12</stp>
        <stp>MSFT US Equity</stp>
        <stp>PX_Last</stp>
        <stp>[DPM - Securities Master List (BBG Linked).xlsx]Equities!R180C17</stp>
        <tr r="Q180" s="2"/>
      </tp>
      <tp>
        <v>435.33</v>
        <stp/>
        <stp>##V3_BDPV12</stp>
        <stp>MSFT US Equity</stp>
        <stp>PX_Last</stp>
        <stp>[DPM - Securities Master List (BBG Linked).xlsx]Equities!R181C17</stp>
        <tr r="Q181" s="2"/>
      </tp>
      <tp>
        <v>435.33</v>
        <stp/>
        <stp>##V3_BDPV12</stp>
        <stp>MSFT US Equity</stp>
        <stp>PX_Last</stp>
        <stp>[DPM - Securities Master List (BBG Linked).xlsx]Equities!R186C17</stp>
        <tr r="Q186" s="2"/>
      </tp>
      <tp>
        <v>435.33</v>
        <stp/>
        <stp>##V3_BDPV12</stp>
        <stp>MSFT US Equity</stp>
        <stp>PX_Last</stp>
        <stp>[DPM - Securities Master List (BBG Linked).xlsx]Equities!R187C17</stp>
        <tr r="Q187" s="2"/>
      </tp>
      <tp>
        <v>435.33</v>
        <stp/>
        <stp>##V3_BDPV12</stp>
        <stp>MSFT US Equity</stp>
        <stp>PX_Last</stp>
        <stp>[DPM - Securities Master List (BBG Linked).xlsx]Equities!R184C17</stp>
        <tr r="Q184" s="2"/>
      </tp>
      <tp>
        <v>435.33</v>
        <stp/>
        <stp>##V3_BDPV12</stp>
        <stp>MSFT US Equity</stp>
        <stp>PX_Last</stp>
        <stp>[DPM - Securities Master List (BBG Linked).xlsx]Equities!R185C17</stp>
        <tr r="Q185" s="2"/>
      </tp>
      <tp>
        <v>435.33</v>
        <stp/>
        <stp>##V3_BDPV12</stp>
        <stp>MSFT US Equity</stp>
        <stp>PX_Last</stp>
        <stp>[DPM - Securities Master List (BBG Linked).xlsx]Equities!R188C17</stp>
        <tr r="Q188" s="2"/>
      </tp>
      <tp>
        <v>435.33</v>
        <stp/>
        <stp>##V3_BDPV12</stp>
        <stp>MSFT US Equity</stp>
        <stp>PX_last</stp>
        <stp>[DPM - Securities Master List (BBG Linked).xlsx]Equities!R172C17</stp>
        <tr r="Q172" s="2"/>
      </tp>
      <tp>
        <v>435.33</v>
        <stp/>
        <stp>##V3_BDPV12</stp>
        <stp>MSFT US Equity</stp>
        <stp>PX_last</stp>
        <stp>[DPM - Securities Master List (BBG Linked).xlsx]Equities!R173C17</stp>
        <tr r="Q173" s="2"/>
      </tp>
      <tp>
        <v>435.33</v>
        <stp/>
        <stp>##V3_BDPV12</stp>
        <stp>MSFT US Equity</stp>
        <stp>PX_last</stp>
        <stp>[DPM - Securities Master List (BBG Linked).xlsx]Equities!R170C17</stp>
        <tr r="Q170" s="2"/>
      </tp>
      <tp>
        <v>435.33</v>
        <stp/>
        <stp>##V3_BDPV12</stp>
        <stp>MSFT US Equity</stp>
        <stp>PX_last</stp>
        <stp>[DPM - Securities Master List (BBG Linked).xlsx]Equities!R171C17</stp>
        <tr r="Q171" s="2"/>
      </tp>
      <tp>
        <v>435.33</v>
        <stp/>
        <stp>##V3_BDPV12</stp>
        <stp>MSFT US Equity</stp>
        <stp>PX_last</stp>
        <stp>[DPM - Securities Master List (BBG Linked).xlsx]Equities!R176C17</stp>
        <tr r="Q176" s="2"/>
      </tp>
      <tp>
        <v>435.33</v>
        <stp/>
        <stp>##V3_BDPV12</stp>
        <stp>MSFT US Equity</stp>
        <stp>PX_last</stp>
        <stp>[DPM - Securities Master List (BBG Linked).xlsx]Equities!R177C17</stp>
        <tr r="Q177" s="2"/>
      </tp>
      <tp>
        <v>435.33</v>
        <stp/>
        <stp>##V3_BDPV12</stp>
        <stp>MSFT US Equity</stp>
        <stp>PX_last</stp>
        <stp>[DPM - Securities Master List (BBG Linked).xlsx]Equities!R174C17</stp>
        <tr r="Q174" s="2"/>
      </tp>
      <tp>
        <v>435.33</v>
        <stp/>
        <stp>##V3_BDPV12</stp>
        <stp>MSFT US Equity</stp>
        <stp>PX_last</stp>
        <stp>[DPM - Securities Master List (BBG Linked).xlsx]Equities!R175C17</stp>
        <tr r="Q175" s="2"/>
      </tp>
      <tp>
        <v>435.33</v>
        <stp/>
        <stp>##V3_BDPV12</stp>
        <stp>MSFT US Equity</stp>
        <stp>PX_last</stp>
        <stp>[DPM - Securities Master List (BBG Linked).xlsx]Equities!R178C17</stp>
        <tr r="Q178" s="2"/>
      </tp>
      <tp>
        <v>435.33</v>
        <stp/>
        <stp>##V3_BDPV12</stp>
        <stp>MSFT US Equity</stp>
        <stp>PX_last</stp>
        <stp>[DPM - Securities Master List (BBG Linked).xlsx]Equities!R179C17</stp>
        <tr r="Q179" s="2"/>
      </tp>
      <tp>
        <v>435.33</v>
        <stp/>
        <stp>##V3_BDPV12</stp>
        <stp>MSFT US Equity</stp>
        <stp>PX_last</stp>
        <stp>[DPM - Securities Master List (BBG Linked).xlsx]Equities!R182C17</stp>
        <tr r="Q182" s="2"/>
      </tp>
      <tp>
        <v>435.33</v>
        <stp/>
        <stp>##V3_BDPV12</stp>
        <stp>MSFT US Equity</stp>
        <stp>PX_last</stp>
        <stp>[DPM - Securities Master List (BBG Linked).xlsx]Equities!R183C17</stp>
        <tr r="Q183" s="2"/>
      </tp>
      <tp>
        <v>435.33</v>
        <stp/>
        <stp>##V3_BDPV12</stp>
        <stp>MSFT US Equity</stp>
        <stp>PX_last</stp>
        <stp>[DPM - Securities Master List (BBG Linked).xlsx]Equities!R180C17</stp>
        <tr r="Q180" s="2"/>
      </tp>
      <tp>
        <v>435.33</v>
        <stp/>
        <stp>##V3_BDPV12</stp>
        <stp>MSFT US Equity</stp>
        <stp>PX_last</stp>
        <stp>[DPM - Securities Master List (BBG Linked).xlsx]Equities!R181C17</stp>
        <tr r="Q181" s="2"/>
      </tp>
      <tp>
        <v>435.33</v>
        <stp/>
        <stp>##V3_BDPV12</stp>
        <stp>MSFT US Equity</stp>
        <stp>PX_last</stp>
        <stp>[DPM - Securities Master List (BBG Linked).xlsx]Equities!R186C17</stp>
        <tr r="Q186" s="2"/>
      </tp>
      <tp>
        <v>435.33</v>
        <stp/>
        <stp>##V3_BDPV12</stp>
        <stp>MSFT US Equity</stp>
        <stp>PX_last</stp>
        <stp>[DPM - Securities Master List (BBG Linked).xlsx]Equities!R187C17</stp>
        <tr r="Q187" s="2"/>
      </tp>
      <tp>
        <v>435.33</v>
        <stp/>
        <stp>##V3_BDPV12</stp>
        <stp>MSFT US Equity</stp>
        <stp>PX_last</stp>
        <stp>[DPM - Securities Master List (BBG Linked).xlsx]Equities!R184C17</stp>
        <tr r="Q184" s="2"/>
      </tp>
      <tp>
        <v>435.33</v>
        <stp/>
        <stp>##V3_BDPV12</stp>
        <stp>MSFT US Equity</stp>
        <stp>PX_last</stp>
        <stp>[DPM - Securities Master List (BBG Linked).xlsx]Equities!R185C17</stp>
        <tr r="Q185" s="2"/>
      </tp>
      <tp>
        <v>435.33</v>
        <stp/>
        <stp>##V3_BDPV12</stp>
        <stp>MSFT US Equity</stp>
        <stp>PX_last</stp>
        <stp>[DPM - Securities Master List (BBG Linked).xlsx]Equities!R188C17</stp>
        <tr r="Q188" s="2"/>
      </tp>
      <tp t="s">
        <v>Communication Services</v>
        <stp/>
        <stp>##V3_BDPV12</stp>
        <stp>GOOGL US Equity</stp>
        <stp>DX202</stp>
        <stp>[DPM - Securities Master List (BBG Linked).xlsx]Equities!R135C8</stp>
        <tr r="H135" s="2"/>
        <tr r="H135" s="2"/>
        <tr r="H135" s="2"/>
      </tp>
      <tp t="s">
        <v>HKD</v>
        <stp/>
        <stp>##V3_BDPV12</stp>
        <stp>9888 HK Equity</stp>
        <stp>CRNCY</stp>
        <stp>[DPM - Securities Master List (BBG Linked).xlsx]Equities!R21C6</stp>
        <tr r="F21" s="2"/>
      </tp>
      <tp>
        <v>-4.4759460000000004</v>
        <stp/>
        <stp>##V3_BDPV12</stp>
        <stp>LUV US Equity</stp>
        <stp>CHG_PCT_6M</stp>
        <stp>[DPM - Securities Master List (BBG Linked).xlsx]Equities!R154C42</stp>
        <tr r="AP154" s="2"/>
      </tp>
      <tp>
        <v>74.608421325683594</v>
        <stp/>
        <stp>##V3_BDPV12</stp>
        <stp>NKE US Equity</stp>
        <stp>BEST_TARGET_PRICE</stp>
        <stp>[DPM - Securities Master List (BBG Linked).xlsx]Equities!R222C38</stp>
        <tr r="AL222" s="2"/>
      </tp>
      <tp>
        <v>74.608421325683594</v>
        <stp/>
        <stp>##V3_BDPV12</stp>
        <stp>NKE US Equity</stp>
        <stp>BEST_TARGET_PRICE</stp>
        <stp>[DPM - Securities Master List (BBG Linked).xlsx]Equities!R220C38</stp>
        <tr r="AL220" s="2"/>
      </tp>
      <tp>
        <v>74.608421325683594</v>
        <stp/>
        <stp>##V3_BDPV12</stp>
        <stp>NKE US Equity</stp>
        <stp>BEST_TARGET_PRICE</stp>
        <stp>[DPM - Securities Master List (BBG Linked).xlsx]Equities!R221C38</stp>
        <tr r="AL221" s="2"/>
      </tp>
      <tp>
        <v>74.608421325683594</v>
        <stp/>
        <stp>##V3_BDPV12</stp>
        <stp>NKE US Equity</stp>
        <stp>BEST_TARGET_PRICE</stp>
        <stp>[DPM - Securities Master List (BBG Linked).xlsx]Equities!R212C38</stp>
        <tr r="AL212" s="2"/>
      </tp>
      <tp>
        <v>74.608421325683594</v>
        <stp/>
        <stp>##V3_BDPV12</stp>
        <stp>NKE US Equity</stp>
        <stp>BEST_TARGET_PRICE</stp>
        <stp>[DPM - Securities Master List (BBG Linked).xlsx]Equities!R213C38</stp>
        <tr r="AL213" s="2"/>
      </tp>
      <tp>
        <v>74.608421325683594</v>
        <stp/>
        <stp>##V3_BDPV12</stp>
        <stp>NKE US Equity</stp>
        <stp>BEST_TARGET_PRICE</stp>
        <stp>[DPM - Securities Master List (BBG Linked).xlsx]Equities!R210C38</stp>
        <tr r="AL210" s="2"/>
      </tp>
      <tp>
        <v>74.608421325683594</v>
        <stp/>
        <stp>##V3_BDPV12</stp>
        <stp>NKE US Equity</stp>
        <stp>BEST_TARGET_PRICE</stp>
        <stp>[DPM - Securities Master List (BBG Linked).xlsx]Equities!R211C38</stp>
        <tr r="AL211" s="2"/>
      </tp>
      <tp>
        <v>74.608421325683594</v>
        <stp/>
        <stp>##V3_BDPV12</stp>
        <stp>NKE US Equity</stp>
        <stp>BEST_TARGET_PRICE</stp>
        <stp>[DPM - Securities Master List (BBG Linked).xlsx]Equities!R216C38</stp>
        <tr r="AL216" s="2"/>
      </tp>
      <tp>
        <v>74.608421325683594</v>
        <stp/>
        <stp>##V3_BDPV12</stp>
        <stp>NKE US Equity</stp>
        <stp>BEST_TARGET_PRICE</stp>
        <stp>[DPM - Securities Master List (BBG Linked).xlsx]Equities!R217C38</stp>
        <tr r="AL217" s="2"/>
      </tp>
      <tp>
        <v>74.608421325683594</v>
        <stp/>
        <stp>##V3_BDPV12</stp>
        <stp>NKE US Equity</stp>
        <stp>BEST_TARGET_PRICE</stp>
        <stp>[DPM - Securities Master List (BBG Linked).xlsx]Equities!R214C38</stp>
        <tr r="AL214" s="2"/>
      </tp>
      <tp>
        <v>74.608421325683594</v>
        <stp/>
        <stp>##V3_BDPV12</stp>
        <stp>NKE US Equity</stp>
        <stp>BEST_TARGET_PRICE</stp>
        <stp>[DPM - Securities Master List (BBG Linked).xlsx]Equities!R215C38</stp>
        <tr r="AL215" s="2"/>
      </tp>
      <tp>
        <v>74.608421325683594</v>
        <stp/>
        <stp>##V3_BDPV12</stp>
        <stp>NKE US Equity</stp>
        <stp>BEST_TARGET_PRICE</stp>
        <stp>[DPM - Securities Master List (BBG Linked).xlsx]Equities!R218C38</stp>
        <tr r="AL218" s="2"/>
      </tp>
      <tp>
        <v>74.608421325683594</v>
        <stp/>
        <stp>##V3_BDPV12</stp>
        <stp>NKE US Equity</stp>
        <stp>BEST_TARGET_PRICE</stp>
        <stp>[DPM - Securities Master List (BBG Linked).xlsx]Equities!R219C38</stp>
        <tr r="AL219" s="2"/>
      </tp>
      <tp>
        <v>74.608421325683594</v>
        <stp/>
        <stp>##V3_BDPV12</stp>
        <stp>NKE US Equity</stp>
        <stp>BEST_TARGET_PRICE</stp>
        <stp>[DPM - Securities Master List (BBG Linked).xlsx]Equities!R207C38</stp>
        <tr r="AL207" s="2"/>
      </tp>
      <tp>
        <v>74.608421325683594</v>
        <stp/>
        <stp>##V3_BDPV12</stp>
        <stp>NKE US Equity</stp>
        <stp>BEST_TARGET_PRICE</stp>
        <stp>[DPM - Securities Master List (BBG Linked).xlsx]Equities!R208C38</stp>
        <tr r="AL208" s="2"/>
      </tp>
      <tp>
        <v>74.608421325683594</v>
        <stp/>
        <stp>##V3_BDPV12</stp>
        <stp>NKE US Equity</stp>
        <stp>BEST_TARGET_PRICE</stp>
        <stp>[DPM - Securities Master List (BBG Linked).xlsx]Equities!R209C38</stp>
        <tr r="AL209" s="2"/>
      </tp>
      <tp t="s">
        <v>Consumer Discretionary</v>
        <stp/>
        <stp>##V3_BDPV12</stp>
        <stp>3690 HK Equity</stp>
        <stp>DX202</stp>
        <stp>[DPM - Securities Master List (BBG Linked).xlsx]Equities!R11C8</stp>
        <tr r="H11" s="2"/>
        <tr r="H11" s="2"/>
        <tr r="H11" s="2"/>
      </tp>
      <tp>
        <v>1.886792</v>
        <stp/>
        <stp>##V3_BDPV12</stp>
        <stp>TSCO LN Equity</stp>
        <stp>CHG_PCT_1D</stp>
        <stp>[DPM - Securities Master List (BBG Linked).xlsx]Equities!R272C22</stp>
        <tr r="V272" s="2"/>
      </tp>
      <tp>
        <v>1.886792</v>
        <stp/>
        <stp>##V3_BDPV12</stp>
        <stp>TSCO LN Equity</stp>
        <stp>CHG_PCT_1D</stp>
        <stp>[DPM - Securities Master List (BBG Linked).xlsx]Equities!R273C22</stp>
        <tr r="V273" s="2"/>
      </tp>
      <tp>
        <v>1.886792</v>
        <stp/>
        <stp>##V3_BDPV12</stp>
        <stp>TSCO LN Equity</stp>
        <stp>CHG_PCT_1D</stp>
        <stp>[DPM - Securities Master List (BBG Linked).xlsx]Equities!R270C22</stp>
        <tr r="V270" s="2"/>
      </tp>
      <tp>
        <v>1.886792</v>
        <stp/>
        <stp>##V3_BDPV12</stp>
        <stp>TSCO LN Equity</stp>
        <stp>CHG_PCT_1D</stp>
        <stp>[DPM - Securities Master List (BBG Linked).xlsx]Equities!R271C22</stp>
        <tr r="V271" s="2"/>
      </tp>
      <tp>
        <v>1.886792</v>
        <stp/>
        <stp>##V3_BDPV12</stp>
        <stp>TSCO LN Equity</stp>
        <stp>CHG_PCT_1D</stp>
        <stp>[DPM - Securities Master List (BBG Linked).xlsx]Equities!R274C22</stp>
        <tr r="V274" s="2"/>
      </tp>
      <tp>
        <v>1.886792</v>
        <stp/>
        <stp>##V3_BDPV12</stp>
        <stp>TSCO LN Equity</stp>
        <stp>CHG_PCT_1D</stp>
        <stp>[DPM - Securities Master List (BBG Linked).xlsx]Equities!R275C22</stp>
        <tr r="V275" s="2"/>
      </tp>
      <tp>
        <v>1.886792</v>
        <stp/>
        <stp>##V3_BDPV12</stp>
        <stp>TSCO LN Equity</stp>
        <stp>CHG_PCT_1D</stp>
        <stp>[DPM - Securities Master List (BBG Linked).xlsx]Equities!R262C22</stp>
        <tr r="V262" s="2"/>
      </tp>
      <tp>
        <v>1.886792</v>
        <stp/>
        <stp>##V3_BDPV12</stp>
        <stp>TSCO LN Equity</stp>
        <stp>CHG_PCT_1D</stp>
        <stp>[DPM - Securities Master List (BBG Linked).xlsx]Equities!R263C22</stp>
        <tr r="V263" s="2"/>
      </tp>
      <tp>
        <v>1.886792</v>
        <stp/>
        <stp>##V3_BDPV12</stp>
        <stp>TSCO LN Equity</stp>
        <stp>CHG_PCT_1D</stp>
        <stp>[DPM - Securities Master List (BBG Linked).xlsx]Equities!R266C22</stp>
        <tr r="V266" s="2"/>
      </tp>
      <tp>
        <v>1.886792</v>
        <stp/>
        <stp>##V3_BDPV12</stp>
        <stp>TSCO LN Equity</stp>
        <stp>CHG_PCT_1D</stp>
        <stp>[DPM - Securities Master List (BBG Linked).xlsx]Equities!R267C22</stp>
        <tr r="V267" s="2"/>
      </tp>
      <tp>
        <v>1.886792</v>
        <stp/>
        <stp>##V3_BDPV12</stp>
        <stp>TSCO LN Equity</stp>
        <stp>CHG_PCT_1D</stp>
        <stp>[DPM - Securities Master List (BBG Linked).xlsx]Equities!R264C22</stp>
        <tr r="V264" s="2"/>
      </tp>
      <tp>
        <v>1.886792</v>
        <stp/>
        <stp>##V3_BDPV12</stp>
        <stp>TSCO LN Equity</stp>
        <stp>CHG_PCT_1D</stp>
        <stp>[DPM - Securities Master List (BBG Linked).xlsx]Equities!R265C22</stp>
        <tr r="V265" s="2"/>
      </tp>
      <tp>
        <v>1.886792</v>
        <stp/>
        <stp>##V3_BDPV12</stp>
        <stp>TSCO LN Equity</stp>
        <stp>CHG_PCT_1D</stp>
        <stp>[DPM - Securities Master List (BBG Linked).xlsx]Equities!R268C22</stp>
        <tr r="V268" s="2"/>
      </tp>
      <tp>
        <v>1.886792</v>
        <stp/>
        <stp>##V3_BDPV12</stp>
        <stp>TSCO LN Equity</stp>
        <stp>CHG_PCT_1D</stp>
        <stp>[DPM - Securities Master List (BBG Linked).xlsx]Equities!R269C22</stp>
        <tr r="V269" s="2"/>
      </tp>
      <tp t="s">
        <v>#N/A Invalid Override</v>
        <stp/>
        <stp>##V3_BDPV12</stp>
        <stp>USP2253TJN02 isin</stp>
        <stp>YAS_BOND_YLD</stp>
        <stp>[DPM - Securities Master List (BBG Linked).xlsx]Bonds!R130C10</stp>
        <stp>YAS_YLD_FLAG=15</stp>
        <stp>user_local_trade_date</stp>
        <stp>45783</stp>
        <stp>Yas_bond_px</stp>
        <stp>#N/A Connection</stp>
        <tr r="J130" s="1"/>
      </tp>
      <tp>
        <v>38.265000000000001</v>
        <stp/>
        <stp>##V3_BDPV12</stp>
        <stp>ON US Equity</stp>
        <stp>PX_Last</stp>
        <stp>[DPM - Securities Master List (BBG Linked).xlsx]Equities!R226C17</stp>
        <tr r="Q226" s="2"/>
      </tp>
      <tp>
        <v>38.265000000000001</v>
        <stp/>
        <stp>##V3_BDPV12</stp>
        <stp>ON US Equity</stp>
        <stp>PX_last</stp>
        <stp>[DPM - Securities Master List (BBG Linked).xlsx]Equities!R226C17</stp>
        <tr r="Q226" s="2"/>
      </tp>
      <tp>
        <v>88.09</v>
        <stp/>
        <stp>##V3_BDPV12</stp>
        <stp>NESN SW Equity</stp>
        <stp>PX_Last</stp>
        <stp>[DPM - Securities Master List (BBG Linked).xlsx]Equities!R198C17</stp>
        <tr r="Q198" s="2"/>
      </tp>
      <tp>
        <v>88.09</v>
        <stp/>
        <stp>##V3_BDPV12</stp>
        <stp>NESN SW Equity</stp>
        <stp>PX_Last</stp>
        <stp>[DPM - Securities Master List (BBG Linked).xlsx]Equities!R199C17</stp>
        <tr r="Q199" s="2"/>
      </tp>
      <tp>
        <v>88.09</v>
        <stp/>
        <stp>##V3_BDPV12</stp>
        <stp>NESN SW Equity</stp>
        <stp>PX_Last</stp>
        <stp>[DPM - Securities Master List (BBG Linked).xlsx]Equities!R193C17</stp>
        <tr r="Q193" s="2"/>
      </tp>
      <tp>
        <v>88.09</v>
        <stp/>
        <stp>##V3_BDPV12</stp>
        <stp>NESN SW Equity</stp>
        <stp>PX_Last</stp>
        <stp>[DPM - Securities Master List (BBG Linked).xlsx]Equities!R194C17</stp>
        <tr r="Q194" s="2"/>
      </tp>
      <tp>
        <v>88.09</v>
        <stp/>
        <stp>##V3_BDPV12</stp>
        <stp>NESN SW Equity</stp>
        <stp>PX_Last</stp>
        <stp>[DPM - Securities Master List (BBG Linked).xlsx]Equities!R195C17</stp>
        <tr r="Q195" s="2"/>
      </tp>
      <tp>
        <v>88.09</v>
        <stp/>
        <stp>##V3_BDPV12</stp>
        <stp>NESN SW Equity</stp>
        <stp>PX_Last</stp>
        <stp>[DPM - Securities Master List (BBG Linked).xlsx]Equities!R196C17</stp>
        <tr r="Q196" s="2"/>
      </tp>
      <tp>
        <v>88.09</v>
        <stp/>
        <stp>##V3_BDPV12</stp>
        <stp>NESN SW Equity</stp>
        <stp>PX_Last</stp>
        <stp>[DPM - Securities Master List (BBG Linked).xlsx]Equities!R197C17</stp>
        <tr r="Q197" s="2"/>
      </tp>
      <tp>
        <v>88.09</v>
        <stp/>
        <stp>##V3_BDPV12</stp>
        <stp>NESN SW Equity</stp>
        <stp>PX_last</stp>
        <stp>[DPM - Securities Master List (BBG Linked).xlsx]Equities!R198C17</stp>
        <tr r="Q198" s="2"/>
      </tp>
      <tp>
        <v>88.09</v>
        <stp/>
        <stp>##V3_BDPV12</stp>
        <stp>NESN SW Equity</stp>
        <stp>PX_last</stp>
        <stp>[DPM - Securities Master List (BBG Linked).xlsx]Equities!R199C17</stp>
        <tr r="Q199" s="2"/>
      </tp>
      <tp>
        <v>88.09</v>
        <stp/>
        <stp>##V3_BDPV12</stp>
        <stp>NESN SW Equity</stp>
        <stp>PX_last</stp>
        <stp>[DPM - Securities Master List (BBG Linked).xlsx]Equities!R193C17</stp>
        <tr r="Q193" s="2"/>
      </tp>
      <tp>
        <v>88.09</v>
        <stp/>
        <stp>##V3_BDPV12</stp>
        <stp>NESN SW Equity</stp>
        <stp>PX_last</stp>
        <stp>[DPM - Securities Master List (BBG Linked).xlsx]Equities!R194C17</stp>
        <tr r="Q194" s="2"/>
      </tp>
      <tp>
        <v>88.09</v>
        <stp/>
        <stp>##V3_BDPV12</stp>
        <stp>NESN SW Equity</stp>
        <stp>PX_last</stp>
        <stp>[DPM - Securities Master List (BBG Linked).xlsx]Equities!R195C17</stp>
        <tr r="Q195" s="2"/>
      </tp>
      <tp>
        <v>88.09</v>
        <stp/>
        <stp>##V3_BDPV12</stp>
        <stp>NESN SW Equity</stp>
        <stp>PX_last</stp>
        <stp>[DPM - Securities Master List (BBG Linked).xlsx]Equities!R196C17</stp>
        <tr r="Q196" s="2"/>
      </tp>
      <tp>
        <v>88.09</v>
        <stp/>
        <stp>##V3_BDPV12</stp>
        <stp>NESN SW Equity</stp>
        <stp>PX_last</stp>
        <stp>[DPM - Securities Master List (BBG Linked).xlsx]Equities!R197C17</stp>
        <tr r="Q197" s="2"/>
      </tp>
      <tp>
        <v>88.09</v>
        <stp/>
        <stp>##V3_BDPV12</stp>
        <stp>NESN SW Equity</stp>
        <stp>PX_Last</stp>
        <stp>[DPM - Securities Master List (BBG Linked).xlsx]Equities!R200C17</stp>
        <tr r="Q200" s="2"/>
      </tp>
      <tp>
        <v>88.09</v>
        <stp/>
        <stp>##V3_BDPV12</stp>
        <stp>NESN SW Equity</stp>
        <stp>PX_Last</stp>
        <stp>[DPM - Securities Master List (BBG Linked).xlsx]Equities!R201C17</stp>
        <tr r="Q201" s="2"/>
      </tp>
      <tp>
        <v>88.09</v>
        <stp/>
        <stp>##V3_BDPV12</stp>
        <stp>NESN SW Equity</stp>
        <stp>PX_Last</stp>
        <stp>[DPM - Securities Master List (BBG Linked).xlsx]Equities!R202C17</stp>
        <tr r="Q202" s="2"/>
      </tp>
      <tp>
        <v>88.09</v>
        <stp/>
        <stp>##V3_BDPV12</stp>
        <stp>NESN SW Equity</stp>
        <stp>PX_Last</stp>
        <stp>[DPM - Securities Master List (BBG Linked).xlsx]Equities!R203C17</stp>
        <tr r="Q203" s="2"/>
      </tp>
      <tp>
        <v>88.09</v>
        <stp/>
        <stp>##V3_BDPV12</stp>
        <stp>NESN SW Equity</stp>
        <stp>PX_Last</stp>
        <stp>[DPM - Securities Master List (BBG Linked).xlsx]Equities!R204C17</stp>
        <tr r="Q204" s="2"/>
      </tp>
      <tp>
        <v>88.09</v>
        <stp/>
        <stp>##V3_BDPV12</stp>
        <stp>NESN SW Equity</stp>
        <stp>PX_Last</stp>
        <stp>[DPM - Securities Master List (BBG Linked).xlsx]Equities!R205C17</stp>
        <tr r="Q205" s="2"/>
      </tp>
      <tp>
        <v>88.09</v>
        <stp/>
        <stp>##V3_BDPV12</stp>
        <stp>NESN SW Equity</stp>
        <stp>PX_last</stp>
        <stp>[DPM - Securities Master List (BBG Linked).xlsx]Equities!R200C17</stp>
        <tr r="Q200" s="2"/>
      </tp>
      <tp>
        <v>88.09</v>
        <stp/>
        <stp>##V3_BDPV12</stp>
        <stp>NESN SW Equity</stp>
        <stp>PX_last</stp>
        <stp>[DPM - Securities Master List (BBG Linked).xlsx]Equities!R201C17</stp>
        <tr r="Q201" s="2"/>
      </tp>
      <tp>
        <v>88.09</v>
        <stp/>
        <stp>##V3_BDPV12</stp>
        <stp>NESN SW Equity</stp>
        <stp>PX_last</stp>
        <stp>[DPM - Securities Master List (BBG Linked).xlsx]Equities!R202C17</stp>
        <tr r="Q202" s="2"/>
      </tp>
      <tp>
        <v>88.09</v>
        <stp/>
        <stp>##V3_BDPV12</stp>
        <stp>NESN SW Equity</stp>
        <stp>PX_last</stp>
        <stp>[DPM - Securities Master List (BBG Linked).xlsx]Equities!R203C17</stp>
        <tr r="Q203" s="2"/>
      </tp>
      <tp>
        <v>88.09</v>
        <stp/>
        <stp>##V3_BDPV12</stp>
        <stp>NESN SW Equity</stp>
        <stp>PX_last</stp>
        <stp>[DPM - Securities Master List (BBG Linked).xlsx]Equities!R204C17</stp>
        <tr r="Q204" s="2"/>
      </tp>
      <tp>
        <v>88.09</v>
        <stp/>
        <stp>##V3_BDPV12</stp>
        <stp>NESN SW Equity</stp>
        <stp>PX_last</stp>
        <stp>[DPM - Securities Master List (BBG Linked).xlsx]Equities!R205C17</stp>
        <tr r="Q205" s="2"/>
      </tp>
      <tp t="s">
        <v>Communication Services</v>
        <stp/>
        <stp>##V3_BDPV12</stp>
        <stp>GOOGL UQ Equity</stp>
        <stp>DX202</stp>
        <stp>[DPM - Securities Master List (BBG Linked).xlsx]Equities!R126C8</stp>
        <tr r="H126" s="2"/>
        <tr r="H126" s="2"/>
        <tr r="H126" s="2"/>
      </tp>
      <tp>
        <v>113.0215</v>
        <stp/>
        <stp>##V3_BDPV12</stp>
        <stp>NVDA US Equity</stp>
        <stp>PX_Last</stp>
        <stp>[DPM - Securities Master List (BBG Linked).xlsx]Equities!R224C17</stp>
        <tr r="Q224" s="2"/>
      </tp>
      <tp>
        <v>113.0215</v>
        <stp/>
        <stp>##V3_BDPV12</stp>
        <stp>NVDA US Equity</stp>
        <stp>PX_last</stp>
        <stp>[DPM - Securities Master List (BBG Linked).xlsx]Equities!R224C17</stp>
        <tr r="Q224" s="2"/>
      </tp>
      <tp t="s">
        <v>Communication Services</v>
        <stp/>
        <stp>##V3_BDPV12</stp>
        <stp>GOOGL US Equity</stp>
        <stp>DX202</stp>
        <stp>[DPM - Securities Master List (BBG Linked).xlsx]Equities!R136C8</stp>
        <tr r="H136" s="2"/>
        <tr r="H136" s="2"/>
        <tr r="H136" s="2"/>
      </tp>
      <tp>
        <v>8</v>
        <stp/>
        <stp>##V3_BDPV12</stp>
        <stp>BMY US Equity</stp>
        <stp>TOT_BUY_REC</stp>
        <stp>[DPM - Securities Master List (BBG Linked).xlsx]Equities!R76C34</stp>
        <tr r="AH76" s="2"/>
      </tp>
      <tp t="s">
        <v>#N/A Invalid Override</v>
        <stp/>
        <stp>##V3_BDPV12</stp>
        <stp>US054989AC24 isin</stp>
        <stp>YAS_BOND_YLD</stp>
        <stp>[DPM - Securities Master List (BBG Linked).xlsx]Bonds!R126C10</stp>
        <stp>YAS_YLD_FLAG=15</stp>
        <stp>user_local_trade_date</stp>
        <stp>45783</stp>
        <stp>Yas_bond_px</stp>
        <stp>#N/A Connection</stp>
        <tr r="J126" s="1"/>
      </tp>
      <tp t="s">
        <v>HKD</v>
        <stp/>
        <stp>##V3_BDPV12</stp>
        <stp>9888 HK Equity</stp>
        <stp>CRNCY</stp>
        <stp>[DPM - Securities Master List (BBG Linked).xlsx]Equities!R20C6</stp>
        <tr r="F20" s="2"/>
      </tp>
      <tp>
        <v>2</v>
        <stp/>
        <stp>##V3_BDPV12</stp>
        <stp>BMY US Equity</stp>
        <stp>TOT_SELL_REC</stp>
        <stp>[DPM - Securities Master List (BBG Linked).xlsx]Equities!R76C36</stp>
        <tr r="AJ76" s="2"/>
      </tp>
      <tp>
        <v>1</v>
        <stp/>
        <stp>##V3_BDPV12</stp>
        <stp>AAL US Equity</stp>
        <stp>TOT_SELL_REC</stp>
        <stp>[DPM - Securities Master List (BBG Linked).xlsx]Equities!R33C36</stp>
        <tr r="AJ33" s="2"/>
      </tp>
      <tp>
        <v>1</v>
        <stp/>
        <stp>##V3_BDPV12</stp>
        <stp>AAL US Equity</stp>
        <stp>TOT_SELL_REC</stp>
        <stp>[DPM - Securities Master List (BBG Linked).xlsx]Equities!R32C36</stp>
        <tr r="AJ32" s="2"/>
      </tp>
      <tp>
        <v>1</v>
        <stp/>
        <stp>##V3_BDPV12</stp>
        <stp>AAL US Equity</stp>
        <stp>TOT_SELL_REC</stp>
        <stp>[DPM - Securities Master List (BBG Linked).xlsx]Equities!R31C36</stp>
        <tr r="AJ31" s="2"/>
      </tp>
      <tp>
        <v>1</v>
        <stp/>
        <stp>##V3_BDPV12</stp>
        <stp>AAL US Equity</stp>
        <stp>TOT_SELL_REC</stp>
        <stp>[DPM - Securities Master List (BBG Linked).xlsx]Equities!R30C36</stp>
        <tr r="AJ30" s="2"/>
      </tp>
      <tp>
        <v>1</v>
        <stp/>
        <stp>##V3_BDPV12</stp>
        <stp>AAL US Equity</stp>
        <stp>TOT_SELL_REC</stp>
        <stp>[DPM - Securities Master List (BBG Linked).xlsx]Equities!R29C36</stp>
        <tr r="AJ29" s="2"/>
      </tp>
      <tp>
        <v>1</v>
        <stp/>
        <stp>##V3_BDPV12</stp>
        <stp>AAL US Equity</stp>
        <stp>TOT_SELL_REC</stp>
        <stp>[DPM - Securities Master List (BBG Linked).xlsx]Equities!R28C36</stp>
        <tr r="AJ28" s="2"/>
      </tp>
      <tp>
        <v>0.46656300000000001</v>
        <stp/>
        <stp>##V3_BDPV12</stp>
        <stp>SMSN.LI Equity</stp>
        <stp>CHG_PCT_1D</stp>
        <stp>[DPM - Securities Master List (BBG Linked).xlsx]Equities!R243C22</stp>
        <tr r="V243" s="2"/>
      </tp>
      <tp>
        <v>-2.1453899999999999</v>
        <stp/>
        <stp>##V3_BDPV12</stp>
        <stp>MDT US Equity</stp>
        <stp>CHG_PCT_5D</stp>
        <stp>[DPM - Securities Master List (BBG Linked).xlsx]Equities!R155C23</stp>
        <tr r="W155" s="2"/>
      </tp>
      <tp>
        <v>-3.917459</v>
        <stp/>
        <stp>##V3_BDPV12</stp>
        <stp>REGN US Equity</stp>
        <stp>CHG_PCT_1D</stp>
        <stp>[DPM - Securities Master List (BBG Linked).xlsx]Equities!R241C22</stp>
        <tr r="V241" s="2"/>
      </tp>
      <tp>
        <v>-0.77278579999999997</v>
        <stp/>
        <stp>##V3_BDPV12</stp>
        <stp>PEP US Equity</stp>
        <stp>CHG_PCT_1D</stp>
        <stp>[DPM - Securities Master List (BBG Linked).xlsx]Equities!R235C22</stp>
        <tr r="V235" s="2"/>
      </tp>
      <tp>
        <v>-0.77278579999999997</v>
        <stp/>
        <stp>##V3_BDPV12</stp>
        <stp>PEP US Equity</stp>
        <stp>CHG_PCT_1D</stp>
        <stp>[DPM - Securities Master List (BBG Linked).xlsx]Equities!R234C22</stp>
        <tr r="V234" s="2"/>
      </tp>
      <tp>
        <v>-0.77278579999999997</v>
        <stp/>
        <stp>##V3_BDPV12</stp>
        <stp>PEP US Equity</stp>
        <stp>CHG_PCT_1D</stp>
        <stp>[DPM - Securities Master List (BBG Linked).xlsx]Equities!R236C22</stp>
        <tr r="V236" s="2"/>
      </tp>
      <tp>
        <v>-0.77278579999999997</v>
        <stp/>
        <stp>##V3_BDPV12</stp>
        <stp>PEP US Equity</stp>
        <stp>CHG_PCT_1D</stp>
        <stp>[DPM - Securities Master List (BBG Linked).xlsx]Equities!R231C22</stp>
        <tr r="V231" s="2"/>
      </tp>
      <tp>
        <v>-0.77278579999999997</v>
        <stp/>
        <stp>##V3_BDPV12</stp>
        <stp>PEP US Equity</stp>
        <stp>CHG_PCT_1D</stp>
        <stp>[DPM - Securities Master List (BBG Linked).xlsx]Equities!R230C22</stp>
        <tr r="V230" s="2"/>
      </tp>
      <tp>
        <v>-0.77278579999999997</v>
        <stp/>
        <stp>##V3_BDPV12</stp>
        <stp>PEP US Equity</stp>
        <stp>CHG_PCT_1D</stp>
        <stp>[DPM - Securities Master List (BBG Linked).xlsx]Equities!R233C22</stp>
        <tr r="V233" s="2"/>
      </tp>
      <tp>
        <v>-2.982148</v>
        <stp/>
        <stp>##V3_BDPV12</stp>
        <stp>TGT US Equity</stp>
        <stp>CHG_PCT_5D</stp>
        <stp>[DPM - Securities Master List (BBG Linked).xlsx]Equities!R261C23</stp>
        <tr r="W261" s="2"/>
      </tp>
      <tp>
        <v>-0.77278579999999997</v>
        <stp/>
        <stp>##V3_BDPV12</stp>
        <stp>PEP US Equity</stp>
        <stp>CHG_PCT_1D</stp>
        <stp>[DPM - Securities Master List (BBG Linked).xlsx]Equities!R232C22</stp>
        <tr r="V232" s="2"/>
      </tp>
      <tp>
        <v>-0.77278579999999997</v>
        <stp/>
        <stp>##V3_BDPV12</stp>
        <stp>PEP US Equity</stp>
        <stp>CHG_PCT_1D</stp>
        <stp>[DPM - Securities Master List (BBG Linked).xlsx]Equities!R227C22</stp>
        <tr r="V227" s="2"/>
      </tp>
      <tp>
        <v>-0.77278579999999997</v>
        <stp/>
        <stp>##V3_BDPV12</stp>
        <stp>PEP US Equity</stp>
        <stp>CHG_PCT_1D</stp>
        <stp>[DPM - Securities Master List (BBG Linked).xlsx]Equities!R229C22</stp>
        <tr r="V229" s="2"/>
      </tp>
      <tp>
        <v>-0.77278579999999997</v>
        <stp/>
        <stp>##V3_BDPV12</stp>
        <stp>PEP US Equity</stp>
        <stp>CHG_PCT_1D</stp>
        <stp>[DPM - Securities Master List (BBG Linked).xlsx]Equities!R228C22</stp>
        <tr r="V228" s="2"/>
      </tp>
      <tp t="s">
        <v>Consumer Discretionary</v>
        <stp/>
        <stp>##V3_BDPV12</stp>
        <stp>3690 HK Equity</stp>
        <stp>DX202</stp>
        <stp>[DPM - Securities Master List (BBG Linked).xlsx]Equities!R10C8</stp>
        <tr r="H10" s="2"/>
        <tr r="H10" s="2"/>
        <tr r="H10" s="2"/>
      </tp>
      <tp>
        <v>0.85871310000000001</v>
        <stp/>
        <stp>##V3_BDPV12</stp>
        <stp>NESN SW Equity</stp>
        <stp>CHG_PCT_1D</stp>
        <stp>[DPM - Securities Master List (BBG Linked).xlsx]Equities!R199C22</stp>
        <tr r="V199" s="2"/>
      </tp>
      <tp>
        <v>0.85871310000000001</v>
        <stp/>
        <stp>##V3_BDPV12</stp>
        <stp>NESN SW Equity</stp>
        <stp>CHG_PCT_1D</stp>
        <stp>[DPM - Securities Master List (BBG Linked).xlsx]Equities!R198C22</stp>
        <tr r="V198" s="2"/>
      </tp>
      <tp>
        <v>0.85871310000000001</v>
        <stp/>
        <stp>##V3_BDPV12</stp>
        <stp>NESN SW Equity</stp>
        <stp>CHG_PCT_1D</stp>
        <stp>[DPM - Securities Master List (BBG Linked).xlsx]Equities!R193C22</stp>
        <tr r="V193" s="2"/>
      </tp>
      <tp>
        <v>0.85871310000000001</v>
        <stp/>
        <stp>##V3_BDPV12</stp>
        <stp>NESN SW Equity</stp>
        <stp>CHG_PCT_1D</stp>
        <stp>[DPM - Securities Master List (BBG Linked).xlsx]Equities!R197C22</stp>
        <tr r="V197" s="2"/>
      </tp>
      <tp>
        <v>0.85871310000000001</v>
        <stp/>
        <stp>##V3_BDPV12</stp>
        <stp>NESN SW Equity</stp>
        <stp>CHG_PCT_1D</stp>
        <stp>[DPM - Securities Master List (BBG Linked).xlsx]Equities!R196C22</stp>
        <tr r="V196" s="2"/>
      </tp>
      <tp>
        <v>0.85871310000000001</v>
        <stp/>
        <stp>##V3_BDPV12</stp>
        <stp>NESN SW Equity</stp>
        <stp>CHG_PCT_1D</stp>
        <stp>[DPM - Securities Master List (BBG Linked).xlsx]Equities!R195C22</stp>
        <tr r="V195" s="2"/>
      </tp>
      <tp>
        <v>0.85871310000000001</v>
        <stp/>
        <stp>##V3_BDPV12</stp>
        <stp>NESN SW Equity</stp>
        <stp>CHG_PCT_1D</stp>
        <stp>[DPM - Securities Master List (BBG Linked).xlsx]Equities!R194C22</stp>
        <tr r="V194" s="2"/>
      </tp>
      <tp>
        <v>0.85871310000000001</v>
        <stp/>
        <stp>##V3_BDPV12</stp>
        <stp>NESN SW Equity</stp>
        <stp>CHG_PCT_1D</stp>
        <stp>[DPM - Securities Master List (BBG Linked).xlsx]Equities!R203C22</stp>
        <tr r="V203" s="2"/>
      </tp>
      <tp>
        <v>0.85871310000000001</v>
        <stp/>
        <stp>##V3_BDPV12</stp>
        <stp>NESN SW Equity</stp>
        <stp>CHG_PCT_1D</stp>
        <stp>[DPM - Securities Master List (BBG Linked).xlsx]Equities!R202C22</stp>
        <tr r="V202" s="2"/>
      </tp>
      <tp>
        <v>0.85871310000000001</v>
        <stp/>
        <stp>##V3_BDPV12</stp>
        <stp>NESN SW Equity</stp>
        <stp>CHG_PCT_1D</stp>
        <stp>[DPM - Securities Master List (BBG Linked).xlsx]Equities!R201C22</stp>
        <tr r="V201" s="2"/>
      </tp>
      <tp>
        <v>0.85871310000000001</v>
        <stp/>
        <stp>##V3_BDPV12</stp>
        <stp>NESN SW Equity</stp>
        <stp>CHG_PCT_1D</stp>
        <stp>[DPM - Securities Master List (BBG Linked).xlsx]Equities!R200C22</stp>
        <tr r="V200" s="2"/>
      </tp>
      <tp>
        <v>0.85871310000000001</v>
        <stp/>
        <stp>##V3_BDPV12</stp>
        <stp>NESN SW Equity</stp>
        <stp>CHG_PCT_1D</stp>
        <stp>[DPM - Securities Master List (BBG Linked).xlsx]Equities!R205C22</stp>
        <tr r="V205" s="2"/>
      </tp>
      <tp>
        <v>0.85871310000000001</v>
        <stp/>
        <stp>##V3_BDPV12</stp>
        <stp>NESN SW Equity</stp>
        <stp>CHG_PCT_1D</stp>
        <stp>[DPM - Securities Master List (BBG Linked).xlsx]Equities!R204C22</stp>
        <tr r="V204" s="2"/>
      </tp>
      <tp>
        <v>91.6</v>
        <stp/>
        <stp>##V3_BDPV12</stp>
        <stp>2020 HK Equity</stp>
        <stp>PX_LAST</stp>
        <stp>[DPM - Securities Master List (BBG Linked).xlsx]Equities!R6C17</stp>
        <tr r="Q6" s="2"/>
      </tp>
      <tp>
        <v>91.6</v>
        <stp/>
        <stp>##V3_BDPV12</stp>
        <stp>2020 HK Equity</stp>
        <stp>PX_LAST</stp>
        <stp>[DPM - Securities Master List (BBG Linked).xlsx]Equities!R5C17</stp>
        <tr r="Q5" s="2"/>
      </tp>
      <tp>
        <v>91.6</v>
        <stp/>
        <stp>##V3_BDPV12</stp>
        <stp>2020 HK Equity</stp>
        <stp>PX_LAST</stp>
        <stp>[DPM - Securities Master List (BBG Linked).xlsx]Equities!R4C17</stp>
        <tr r="Q4" s="2"/>
      </tp>
      <tp>
        <v>91.6</v>
        <stp/>
        <stp>##V3_BDPV12</stp>
        <stp>2020 HK Equity</stp>
        <stp>PX_LAST</stp>
        <stp>[DPM - Securities Master List (BBG Linked).xlsx]Equities!R3C17</stp>
        <tr r="Q3" s="2"/>
      </tp>
      <tp>
        <v>2</v>
        <stp/>
        <stp>##V3_BDPV12</stp>
        <stp>BP/ LN Equity</stp>
        <stp>TOT_SELL_REC</stp>
        <stp>[DPM - Securities Master List (BBG Linked).xlsx]Equities!R78C36</stp>
        <tr r="AJ78" s="2"/>
      </tp>
      <tp>
        <v>2</v>
        <stp/>
        <stp>##V3_BDPV12</stp>
        <stp>BP/ LN Equity</stp>
        <stp>TOT_SELL_REC</stp>
        <stp>[DPM - Securities Master List (BBG Linked).xlsx]Equities!R79C36</stp>
        <tr r="AJ79" s="2"/>
      </tp>
      <tp>
        <v>2</v>
        <stp/>
        <stp>##V3_BDPV12</stp>
        <stp>BP/ LN Equity</stp>
        <stp>TOT_SELL_REC</stp>
        <stp>[DPM - Securities Master List (BBG Linked).xlsx]Equities!R77C36</stp>
        <tr r="AJ77" s="2"/>
      </tp>
      <tp>
        <v>2</v>
        <stp/>
        <stp>##V3_BDPV12</stp>
        <stp>BP/ LN Equity</stp>
        <stp>TOT_SELL_REC</stp>
        <stp>[DPM - Securities Master List (BBG Linked).xlsx]Equities!R90C36</stp>
        <tr r="AJ90" s="2"/>
      </tp>
      <tp>
        <v>2</v>
        <stp/>
        <stp>##V3_BDPV12</stp>
        <stp>BP/ LN Equity</stp>
        <stp>TOT_SELL_REC</stp>
        <stp>[DPM - Securities Master List (BBG Linked).xlsx]Equities!R88C36</stp>
        <tr r="AJ88" s="2"/>
      </tp>
      <tp>
        <v>2</v>
        <stp/>
        <stp>##V3_BDPV12</stp>
        <stp>BP/ LN Equity</stp>
        <stp>TOT_SELL_REC</stp>
        <stp>[DPM - Securities Master List (BBG Linked).xlsx]Equities!R89C36</stp>
        <tr r="AJ89" s="2"/>
      </tp>
      <tp>
        <v>2</v>
        <stp/>
        <stp>##V3_BDPV12</stp>
        <stp>BP/ LN Equity</stp>
        <stp>TOT_SELL_REC</stp>
        <stp>[DPM - Securities Master List (BBG Linked).xlsx]Equities!R84C36</stp>
        <tr r="AJ84" s="2"/>
      </tp>
      <tp>
        <v>2</v>
        <stp/>
        <stp>##V3_BDPV12</stp>
        <stp>BP/ LN Equity</stp>
        <stp>TOT_SELL_REC</stp>
        <stp>[DPM - Securities Master List (BBG Linked).xlsx]Equities!R85C36</stp>
        <tr r="AJ85" s="2"/>
      </tp>
      <tp>
        <v>2</v>
        <stp/>
        <stp>##V3_BDPV12</stp>
        <stp>BP/ LN Equity</stp>
        <stp>TOT_SELL_REC</stp>
        <stp>[DPM - Securities Master List (BBG Linked).xlsx]Equities!R86C36</stp>
        <tr r="AJ86" s="2"/>
      </tp>
      <tp>
        <v>2</v>
        <stp/>
        <stp>##V3_BDPV12</stp>
        <stp>BP/ LN Equity</stp>
        <stp>TOT_SELL_REC</stp>
        <stp>[DPM - Securities Master List (BBG Linked).xlsx]Equities!R87C36</stp>
        <tr r="AJ87" s="2"/>
      </tp>
      <tp>
        <v>2</v>
        <stp/>
        <stp>##V3_BDPV12</stp>
        <stp>BP/ LN Equity</stp>
        <stp>TOT_SELL_REC</stp>
        <stp>[DPM - Securities Master List (BBG Linked).xlsx]Equities!R80C36</stp>
        <tr r="AJ80" s="2"/>
      </tp>
      <tp>
        <v>2</v>
        <stp/>
        <stp>##V3_BDPV12</stp>
        <stp>BP/ LN Equity</stp>
        <stp>TOT_SELL_REC</stp>
        <stp>[DPM - Securities Master List (BBG Linked).xlsx]Equities!R81C36</stp>
        <tr r="AJ81" s="2"/>
      </tp>
      <tp>
        <v>2</v>
        <stp/>
        <stp>##V3_BDPV12</stp>
        <stp>BP/ LN Equity</stp>
        <stp>TOT_SELL_REC</stp>
        <stp>[DPM - Securities Master List (BBG Linked).xlsx]Equities!R82C36</stp>
        <tr r="AJ82" s="2"/>
      </tp>
      <tp>
        <v>2</v>
        <stp/>
        <stp>##V3_BDPV12</stp>
        <stp>BP/ LN Equity</stp>
        <stp>TOT_SELL_REC</stp>
        <stp>[DPM - Securities Master List (BBG Linked).xlsx]Equities!R83C36</stp>
        <tr r="AJ83" s="2"/>
      </tp>
      <tp>
        <v>0</v>
        <stp/>
        <stp>##V3_BDPV12</stp>
        <stp>AZN LN Equity</stp>
        <stp>TOT_SELL_REC</stp>
        <stp>[DPM - Securities Master List (BBG Linked).xlsx]Equities!R61C36</stp>
        <tr r="AJ61" s="2"/>
      </tp>
      <tp>
        <v>0</v>
        <stp/>
        <stp>##V3_BDPV12</stp>
        <stp>AZN LN Equity</stp>
        <stp>TOT_SELL_REC</stp>
        <stp>[DPM - Securities Master List (BBG Linked).xlsx]Equities!R60C36</stp>
        <tr r="AJ60" s="2"/>
      </tp>
      <tp>
        <v>0</v>
        <stp/>
        <stp>##V3_BDPV12</stp>
        <stp>AZN LN Equity</stp>
        <stp>TOT_SELL_REC</stp>
        <stp>[DPM - Securities Master List (BBG Linked).xlsx]Equities!R59C36</stp>
        <tr r="AJ59" s="2"/>
      </tp>
      <tp>
        <v>0</v>
        <stp/>
        <stp>##V3_BDPV12</stp>
        <stp>AZN LN Equity</stp>
        <stp>TOT_SELL_REC</stp>
        <stp>[DPM - Securities Master List (BBG Linked).xlsx]Equities!R58C36</stp>
        <tr r="AJ58" s="2"/>
      </tp>
      <tp>
        <v>0</v>
        <stp/>
        <stp>##V3_BDPV12</stp>
        <stp>AZN LN Equity</stp>
        <stp>TOT_SELL_REC</stp>
        <stp>[DPM - Securities Master List (BBG Linked).xlsx]Equities!R55C36</stp>
        <tr r="AJ55" s="2"/>
      </tp>
      <tp>
        <v>0</v>
        <stp/>
        <stp>##V3_BDPV12</stp>
        <stp>AZN LN Equity</stp>
        <stp>TOT_SELL_REC</stp>
        <stp>[DPM - Securities Master List (BBG Linked).xlsx]Equities!R54C36</stp>
        <tr r="AJ54" s="2"/>
      </tp>
      <tp>
        <v>0</v>
        <stp/>
        <stp>##V3_BDPV12</stp>
        <stp>AZN LN Equity</stp>
        <stp>TOT_SELL_REC</stp>
        <stp>[DPM - Securities Master List (BBG Linked).xlsx]Equities!R57C36</stp>
        <tr r="AJ57" s="2"/>
      </tp>
      <tp>
        <v>0</v>
        <stp/>
        <stp>##V3_BDPV12</stp>
        <stp>AZN LN Equity</stp>
        <stp>TOT_SELL_REC</stp>
        <stp>[DPM - Securities Master List (BBG Linked).xlsx]Equities!R56C36</stp>
        <tr r="AJ56" s="2"/>
      </tp>
      <tp>
        <v>0</v>
        <stp/>
        <stp>##V3_BDPV12</stp>
        <stp>AZN LN Equity</stp>
        <stp>TOT_SELL_REC</stp>
        <stp>[DPM - Securities Master List (BBG Linked).xlsx]Equities!R51C36</stp>
        <tr r="AJ51" s="2"/>
      </tp>
      <tp>
        <v>0</v>
        <stp/>
        <stp>##V3_BDPV12</stp>
        <stp>AZN LN Equity</stp>
        <stp>TOT_SELL_REC</stp>
        <stp>[DPM - Securities Master List (BBG Linked).xlsx]Equities!R53C36</stp>
        <tr r="AJ53" s="2"/>
      </tp>
      <tp>
        <v>0</v>
        <stp/>
        <stp>##V3_BDPV12</stp>
        <stp>AZN LN Equity</stp>
        <stp>TOT_SELL_REC</stp>
        <stp>[DPM - Securities Master List (BBG Linked).xlsx]Equities!R52C36</stp>
        <tr r="AJ52" s="2"/>
      </tp>
      <tp>
        <v>3</v>
        <stp/>
        <stp>##V3_BDPV12</stp>
        <stp>ABF LN Equity</stp>
        <stp>TOT_SELL_REC</stp>
        <stp>[DPM - Securities Master List (BBG Linked).xlsx]Equities!R35C36</stp>
        <tr r="AJ35" s="2"/>
      </tp>
      <tp>
        <v>91.6</v>
        <stp/>
        <stp>##V3_BDPV12</stp>
        <stp>2020 HK Equity</stp>
        <stp>PX_Last</stp>
        <stp>[DPM - Securities Master List (BBG Linked).xlsx]Equities!R6C17</stp>
        <tr r="Q6" s="2"/>
      </tp>
      <tp>
        <v>91.6</v>
        <stp/>
        <stp>##V3_BDPV12</stp>
        <stp>2020 HK Equity</stp>
        <stp>PX_Last</stp>
        <stp>[DPM - Securities Master List (BBG Linked).xlsx]Equities!R5C17</stp>
        <tr r="Q5" s="2"/>
      </tp>
      <tp>
        <v>91.6</v>
        <stp/>
        <stp>##V3_BDPV12</stp>
        <stp>2020 HK Equity</stp>
        <stp>PX_Last</stp>
        <stp>[DPM - Securities Master List (BBG Linked).xlsx]Equities!R4C17</stp>
        <tr r="Q4" s="2"/>
      </tp>
      <tp>
        <v>91.6</v>
        <stp/>
        <stp>##V3_BDPV12</stp>
        <stp>2020 HK Equity</stp>
        <stp>PX_Last</stp>
        <stp>[DPM - Securities Master List (BBG Linked).xlsx]Equities!R3C17</stp>
        <tr r="Q3" s="2"/>
      </tp>
      <tp t="s">
        <v>Communication Services</v>
        <stp/>
        <stp>##V3_BDPV12</stp>
        <stp>GOOGL US Equity</stp>
        <stp>DX202</stp>
        <stp>[DPM - Securities Master List (BBG Linked).xlsx]Equities!R127C8</stp>
        <tr r="H127" s="2"/>
        <tr r="H127" s="2"/>
        <tr r="H127" s="2"/>
      </tp>
      <tp t="s">
        <v>Communication Services</v>
        <stp/>
        <stp>##V3_BDPV12</stp>
        <stp>GOOGL US Equity</stp>
        <stp>DX202</stp>
        <stp>[DPM - Securities Master List (BBG Linked).xlsx]Equities!R137C8</stp>
        <tr r="H137" s="2"/>
        <tr r="H137" s="2"/>
        <tr r="H137" s="2"/>
      </tp>
      <tp t="s">
        <v>Communication Services</v>
        <stp/>
        <stp>##V3_BDPV12</stp>
        <stp>9888 HK Equity</stp>
        <stp>DX202</stp>
        <stp>[DPM - Securities Master List (BBG Linked).xlsx]Equities!R15C8</stp>
        <tr r="H15" s="2"/>
        <tr r="H15" s="2"/>
        <tr r="H15" s="2"/>
      </tp>
      <tp t="s">
        <v>Communication Services</v>
        <stp/>
        <stp>##V3_BDPV12</stp>
        <stp>9888 HK Equity</stp>
        <stp>DX202</stp>
        <stp>[DPM - Securities Master List (BBG Linked).xlsx]Equities!R25C8</stp>
        <tr r="H25" s="2"/>
        <tr r="H25" s="2"/>
        <tr r="H25" s="2"/>
      </tp>
      <tp>
        <v>-1.5151520000000001</v>
        <stp/>
        <stp>##V3_BDPV12</stp>
        <stp>DRX LN Equity</stp>
        <stp>CHG_PCT_6M</stp>
        <stp>[DPM - Securities Master List (BBG Linked).xlsx]Equities!R124C42</stp>
        <tr r="AP124" s="2"/>
      </tp>
      <tp>
        <v>-1.5151520000000001</v>
        <stp/>
        <stp>##V3_BDPV12</stp>
        <stp>DRX LN Equity</stp>
        <stp>CHG_PCT_6M</stp>
        <stp>[DPM - Securities Master List (BBG Linked).xlsx]Equities!R123C42</stp>
        <tr r="AP123" s="2"/>
      </tp>
      <tp>
        <v>-1.5151520000000001</v>
        <stp/>
        <stp>##V3_BDPV12</stp>
        <stp>DRX LN Equity</stp>
        <stp>CHG_PCT_6M</stp>
        <stp>[DPM - Securities Master List (BBG Linked).xlsx]Equities!R122C42</stp>
        <tr r="AP122" s="2"/>
      </tp>
      <tp>
        <v>-1.5151520000000001</v>
        <stp/>
        <stp>##V3_BDPV12</stp>
        <stp>DRX LN Equity</stp>
        <stp>CHG_PCT_6M</stp>
        <stp>[DPM - Securities Master List (BBG Linked).xlsx]Equities!R121C42</stp>
        <tr r="AP121" s="2"/>
      </tp>
      <tp>
        <v>-1.5151520000000001</v>
        <stp/>
        <stp>##V3_BDPV12</stp>
        <stp>DRX LN Equity</stp>
        <stp>CHG_PCT_6M</stp>
        <stp>[DPM - Securities Master List (BBG Linked).xlsx]Equities!R120C42</stp>
        <tr r="AP120" s="2"/>
      </tp>
      <tp>
        <v>-1.5151520000000001</v>
        <stp/>
        <stp>##V3_BDPV12</stp>
        <stp>DRX LN Equity</stp>
        <stp>CHG_PCT_6M</stp>
        <stp>[DPM - Securities Master List (BBG Linked).xlsx]Equities!R119C42</stp>
        <tr r="AP119" s="2"/>
      </tp>
      <tp>
        <v>-1.5151520000000001</v>
        <stp/>
        <stp>##V3_BDPV12</stp>
        <stp>DRX LN Equity</stp>
        <stp>CHG_PCT_6M</stp>
        <stp>[DPM - Securities Master List (BBG Linked).xlsx]Equities!R118C42</stp>
        <tr r="AP118" s="2"/>
      </tp>
      <tp>
        <v>-1.5151520000000001</v>
        <stp/>
        <stp>##V3_BDPV12</stp>
        <stp>DRX LN Equity</stp>
        <stp>CHG_PCT_6M</stp>
        <stp>[DPM - Securities Master List (BBG Linked).xlsx]Equities!R117C42</stp>
        <tr r="AP117" s="2"/>
      </tp>
      <tp>
        <v>-1.5151520000000001</v>
        <stp/>
        <stp>##V3_BDPV12</stp>
        <stp>DRX LN Equity</stp>
        <stp>CHG_PCT_6M</stp>
        <stp>[DPM - Securities Master List (BBG Linked).xlsx]Equities!R116C42</stp>
        <tr r="AP116" s="2"/>
      </tp>
      <tp>
        <v>-1.3633249999999999</v>
        <stp/>
        <stp>##V3_BDPV12</stp>
        <stp>META US Equity</stp>
        <stp>CHG_PCT_1D</stp>
        <stp>[DPM - Securities Master List (BBG Linked).xlsx]Equities!R156C22</stp>
        <tr r="V156" s="2"/>
      </tp>
      <tp>
        <v>-0.70154629999999996</v>
        <stp/>
        <stp>##V3_BDPV12</stp>
        <stp>NVDA US Equity</stp>
        <stp>CHG_PCT_1D</stp>
        <stp>[DPM - Securities Master List (BBG Linked).xlsx]Equities!R224C22</stp>
        <tr r="V224" s="2"/>
      </tp>
      <tp>
        <v>150.08695983886719</v>
        <stp/>
        <stp>##V3_BDPV12</stp>
        <stp>PEP US Equity</stp>
        <stp>BEST_TARGET_PRICE</stp>
        <stp>[DPM - Securities Master List (BBG Linked).xlsx]Equities!R234C38</stp>
        <tr r="AL234" s="2"/>
      </tp>
      <tp>
        <v>150.08695983886719</v>
        <stp/>
        <stp>##V3_BDPV12</stp>
        <stp>PEP US Equity</stp>
        <stp>BEST_TARGET_PRICE</stp>
        <stp>[DPM - Securities Master List (BBG Linked).xlsx]Equities!R235C38</stp>
        <tr r="AL235" s="2"/>
      </tp>
      <tp>
        <v>150.08695983886719</v>
        <stp/>
        <stp>##V3_BDPV12</stp>
        <stp>PEP US Equity</stp>
        <stp>BEST_TARGET_PRICE</stp>
        <stp>[DPM - Securities Master List (BBG Linked).xlsx]Equities!R236C38</stp>
        <tr r="AL236" s="2"/>
      </tp>
      <tp>
        <v>150.08695983886719</v>
        <stp/>
        <stp>##V3_BDPV12</stp>
        <stp>PEP US Equity</stp>
        <stp>BEST_TARGET_PRICE</stp>
        <stp>[DPM - Securities Master List (BBG Linked).xlsx]Equities!R230C38</stp>
        <tr r="AL230" s="2"/>
      </tp>
      <tp>
        <v>150.08695983886719</v>
        <stp/>
        <stp>##V3_BDPV12</stp>
        <stp>PEP US Equity</stp>
        <stp>BEST_TARGET_PRICE</stp>
        <stp>[DPM - Securities Master List (BBG Linked).xlsx]Equities!R231C38</stp>
        <tr r="AL231" s="2"/>
      </tp>
      <tp>
        <v>150.08695983886719</v>
        <stp/>
        <stp>##V3_BDPV12</stp>
        <stp>PEP US Equity</stp>
        <stp>BEST_TARGET_PRICE</stp>
        <stp>[DPM - Securities Master List (BBG Linked).xlsx]Equities!R232C38</stp>
        <tr r="AL232" s="2"/>
      </tp>
      <tp>
        <v>150.08695983886719</v>
        <stp/>
        <stp>##V3_BDPV12</stp>
        <stp>PEP US Equity</stp>
        <stp>BEST_TARGET_PRICE</stp>
        <stp>[DPM - Securities Master List (BBG Linked).xlsx]Equities!R233C38</stp>
        <tr r="AL233" s="2"/>
      </tp>
      <tp>
        <v>150.08695983886719</v>
        <stp/>
        <stp>##V3_BDPV12</stp>
        <stp>PEP US Equity</stp>
        <stp>BEST_TARGET_PRICE</stp>
        <stp>[DPM - Securities Master List (BBG Linked).xlsx]Equities!R228C38</stp>
        <tr r="AL228" s="2"/>
      </tp>
      <tp>
        <v>150.08695983886719</v>
        <stp/>
        <stp>##V3_BDPV12</stp>
        <stp>PEP US Equity</stp>
        <stp>BEST_TARGET_PRICE</stp>
        <stp>[DPM - Securities Master List (BBG Linked).xlsx]Equities!R229C38</stp>
        <tr r="AL229" s="2"/>
      </tp>
      <tp>
        <v>150.08695983886719</v>
        <stp/>
        <stp>##V3_BDPV12</stp>
        <stp>PEP US Equity</stp>
        <stp>BEST_TARGET_PRICE</stp>
        <stp>[DPM - Securities Master List (BBG Linked).xlsx]Equities!R227C38</stp>
        <tr r="AL227" s="2"/>
      </tp>
      <tp t="s">
        <v>Communication Services</v>
        <stp/>
        <stp>##V3_BDPV12</stp>
        <stp>GOOGL US Equity</stp>
        <stp>DX202</stp>
        <stp>[DPM - Securities Master List (BBG Linked).xlsx]Equities!R128C8</stp>
        <tr r="H128" s="2"/>
        <tr r="H128" s="2"/>
        <tr r="H128" s="2"/>
      </tp>
      <tp t="s">
        <v>Communication Services</v>
        <stp/>
        <stp>##V3_BDPV12</stp>
        <stp>GOOGL US Equity</stp>
        <stp>DX202</stp>
        <stp>[DPM - Securities Master List (BBG Linked).xlsx]Equities!R138C8</stp>
        <tr r="H138" s="2"/>
        <tr r="H138" s="2"/>
        <tr r="H138" s="2"/>
      </tp>
      <tp>
        <v>107</v>
        <stp/>
        <stp>##V3_BDPV12</stp>
        <stp>NSRGY US Equity</stp>
        <stp>PX_Last</stp>
        <stp>[DPM - Securities Master List (BBG Linked).xlsx]Equities!R223C17</stp>
        <tr r="Q223" s="2"/>
      </tp>
      <tp>
        <v>107</v>
        <stp/>
        <stp>##V3_BDPV12</stp>
        <stp>NSRGY US Equity</stp>
        <stp>PX_last</stp>
        <stp>[DPM - Securities Master List (BBG Linked).xlsx]Equities!R223C17</stp>
        <tr r="Q223" s="2"/>
      </tp>
      <tp t="s">
        <v>HKD</v>
        <stp/>
        <stp>##V3_BDPV12</stp>
        <stp>3690 HK Equity</stp>
        <stp>CRNCY</stp>
        <stp>[DPM - Securities Master List (BBG Linked).xlsx]Equities!R14C6</stp>
        <tr r="F14" s="2"/>
      </tp>
      <tp t="s">
        <v>Communication Services</v>
        <stp/>
        <stp>##V3_BDPV12</stp>
        <stp>9888 HK Equity</stp>
        <stp>DX202</stp>
        <stp>[DPM - Securities Master List (BBG Linked).xlsx]Equities!R24C8</stp>
        <tr r="H24" s="2"/>
        <tr r="H24" s="2"/>
        <tr r="H24" s="2"/>
      </tp>
      <tp>
        <v>17.608260000000001</v>
        <stp/>
        <stp>##V3_BDPV12</stp>
        <stp>NSRGY US Equity</stp>
        <stp>CHG_PCT_6M</stp>
        <stp>[DPM - Securities Master List (BBG Linked).xlsx]Equities!R223C42</stp>
        <tr r="AP223" s="2"/>
      </tp>
      <tp>
        <v>97.03448486328125</v>
        <stp/>
        <stp>##V3_BDPV12</stp>
        <stp>MDT US Equity</stp>
        <stp>BEST_TARGET_PRICE</stp>
        <stp>[DPM - Securities Master List (BBG Linked).xlsx]Equities!R155C38</stp>
        <tr r="AL155" s="2"/>
      </tp>
      <tp>
        <v>2.6455030000000001E-2</v>
        <stp/>
        <stp>##V3_BDPV12</stp>
        <stp>GOLD US Equity</stp>
        <stp>CHG_PCT_5D</stp>
        <stp>[DPM - Securities Master List (BBG Linked).xlsx]Equities!R125C23</stp>
        <tr r="W125" s="2"/>
      </tp>
      <tp t="s">
        <v>Communication Services</v>
        <stp/>
        <stp>##V3_BDPV12</stp>
        <stp>GOOGL US Equity</stp>
        <stp>DX202</stp>
        <stp>[DPM - Securities Master List (BBG Linked).xlsx]Equities!R129C8</stp>
        <tr r="H129" s="2"/>
        <tr r="H129" s="2"/>
        <tr r="H129" s="2"/>
      </tp>
      <tp t="s">
        <v>Communication Services</v>
        <stp/>
        <stp>##V3_BDPV12</stp>
        <stp>GOOGL US Equity</stp>
        <stp>DX202</stp>
        <stp>[DPM - Securities Master List (BBG Linked).xlsx]Equities!R139C8</stp>
        <tr r="H139" s="2"/>
        <tr r="H139" s="2"/>
        <tr r="H139" s="2"/>
      </tp>
      <tp>
        <v>0.12902</v>
        <stp/>
        <stp>##V3_BDPV12</stp>
        <stp>HKDUSD CURNCY</stp>
        <stp>PX_LAST</stp>
        <stp>[DPM - Securities Master List (BBG Linked).xlsx]Equities!R8C18</stp>
        <tr r="R8" s="2"/>
      </tp>
      <tp>
        <v>0.12902</v>
        <stp/>
        <stp>##V3_BDPV12</stp>
        <stp>HKDUSD CURNCY</stp>
        <stp>PX_LAST</stp>
        <stp>[DPM - Securities Master List (BBG Linked).xlsx]Equities!R9C18</stp>
        <tr r="R9" s="2"/>
      </tp>
      <tp>
        <v>0.12902</v>
        <stp/>
        <stp>##V3_BDPV12</stp>
        <stp>HKDUSD CURNCY</stp>
        <stp>PX_LAST</stp>
        <stp>[DPM - Securities Master List (BBG Linked).xlsx]Equities!R3C18</stp>
        <tr r="R3" s="2"/>
      </tp>
      <tp>
        <v>0.12902</v>
        <stp/>
        <stp>##V3_BDPV12</stp>
        <stp>HKDUSD CURNCY</stp>
        <stp>PX_LAST</stp>
        <stp>[DPM - Securities Master List (BBG Linked).xlsx]Equities!R6C18</stp>
        <tr r="R6" s="2"/>
      </tp>
      <tp>
        <v>0.12902</v>
        <stp/>
        <stp>##V3_BDPV12</stp>
        <stp>HKDUSD CURNCY</stp>
        <stp>PX_LAST</stp>
        <stp>[DPM - Securities Master List (BBG Linked).xlsx]Equities!R7C18</stp>
        <tr r="R7" s="2"/>
      </tp>
      <tp>
        <v>0.12902</v>
        <stp/>
        <stp>##V3_BDPV12</stp>
        <stp>HKDUSD CURNCY</stp>
        <stp>PX_LAST</stp>
        <stp>[DPM - Securities Master List (BBG Linked).xlsx]Equities!R4C18</stp>
        <tr r="R4" s="2"/>
      </tp>
      <tp>
        <v>0.12902</v>
        <stp/>
        <stp>##V3_BDPV12</stp>
        <stp>HKDUSD CURNCY</stp>
        <stp>PX_LAST</stp>
        <stp>[DPM - Securities Master List (BBG Linked).xlsx]Equities!R5C18</stp>
        <tr r="R5" s="2"/>
      </tp>
      <tp>
        <v>0.12902</v>
        <stp/>
        <stp>##V3_BDPV12</stp>
        <stp>HKDUSD CURNCY</stp>
        <stp>PX_LAST</stp>
        <stp>[DPM - Securities Master List (BBG Linked).xlsx]Equities!R8C19</stp>
        <tr r="S8" s="2"/>
      </tp>
      <tp>
        <v>0.12902</v>
        <stp/>
        <stp>##V3_BDPV12</stp>
        <stp>HKDUSD CURNCY</stp>
        <stp>PX_LAST</stp>
        <stp>[DPM - Securities Master List (BBG Linked).xlsx]Equities!R9C19</stp>
        <tr r="S9" s="2"/>
      </tp>
      <tp>
        <v>0.12902</v>
        <stp/>
        <stp>##V3_BDPV12</stp>
        <stp>HKDUSD CURNCY</stp>
        <stp>PX_LAST</stp>
        <stp>[DPM - Securities Master List (BBG Linked).xlsx]Equities!R3C19</stp>
        <tr r="S3" s="2"/>
      </tp>
      <tp>
        <v>0.12902</v>
        <stp/>
        <stp>##V3_BDPV12</stp>
        <stp>HKDUSD CURNCY</stp>
        <stp>PX_LAST</stp>
        <stp>[DPM - Securities Master List (BBG Linked).xlsx]Equities!R6C19</stp>
        <tr r="S6" s="2"/>
      </tp>
      <tp>
        <v>0.12902</v>
        <stp/>
        <stp>##V3_BDPV12</stp>
        <stp>HKDUSD CURNCY</stp>
        <stp>PX_LAST</stp>
        <stp>[DPM - Securities Master List (BBG Linked).xlsx]Equities!R7C19</stp>
        <tr r="S7" s="2"/>
      </tp>
      <tp>
        <v>0.12902</v>
        <stp/>
        <stp>##V3_BDPV12</stp>
        <stp>HKDUSD CURNCY</stp>
        <stp>PX_LAST</stp>
        <stp>[DPM - Securities Master List (BBG Linked).xlsx]Equities!R4C19</stp>
        <tr r="S4" s="2"/>
      </tp>
      <tp>
        <v>0.12902</v>
        <stp/>
        <stp>##V3_BDPV12</stp>
        <stp>HKDUSD CURNCY</stp>
        <stp>PX_LAST</stp>
        <stp>[DPM - Securities Master List (BBG Linked).xlsx]Equities!R5C19</stp>
        <tr r="S5" s="2"/>
      </tp>
      <tp t="s">
        <v>Communication Services</v>
        <stp/>
        <stp>##V3_BDPV12</stp>
        <stp>9888 HK Equity</stp>
        <stp>DX202</stp>
        <stp>[DPM - Securities Master List (BBG Linked).xlsx]Equities!R17C8</stp>
        <tr r="H17" s="2"/>
        <tr r="H17" s="2"/>
        <tr r="H17" s="2"/>
      </tp>
      <tp t="s">
        <v>Communication Services</v>
        <stp/>
        <stp>##V3_BDPV12</stp>
        <stp>9888 HK Equity</stp>
        <stp>DX202</stp>
        <stp>[DPM - Securities Master List (BBG Linked).xlsx]Equities!R27C8</stp>
        <tr r="H27" s="2"/>
        <tr r="H27" s="2"/>
        <tr r="H27" s="2"/>
      </tp>
      <tp>
        <v>-1.5046870000000001</v>
        <stp/>
        <stp>##V3_BDPV12</stp>
        <stp>INTC US Equity</stp>
        <stp>CHG_PCT_1D</stp>
        <stp>[DPM - Securities Master List (BBG Linked).xlsx]Equities!R148C22</stp>
        <tr r="V148" s="2"/>
      </tp>
      <tp>
        <v>-1.5046870000000001</v>
        <stp/>
        <stp>##V3_BDPV12</stp>
        <stp>INTC US Equity</stp>
        <stp>CHG_PCT_1D</stp>
        <stp>[DPM - Securities Master List (BBG Linked).xlsx]Equities!R146C22</stp>
        <tr r="V146" s="2"/>
      </tp>
      <tp>
        <v>-1.5046870000000001</v>
        <stp/>
        <stp>##V3_BDPV12</stp>
        <stp>INTC US Equity</stp>
        <stp>CHG_PCT_1D</stp>
        <stp>[DPM - Securities Master List (BBG Linked).xlsx]Equities!R147C22</stp>
        <tr r="V147" s="2"/>
      </tp>
      <tp>
        <v>2.577318</v>
        <stp/>
        <stp>##V3_BDPV12</stp>
        <stp>GOLD US Equity</stp>
        <stp>CHG_PCT_6M</stp>
        <stp>[DPM - Securities Master List (BBG Linked).xlsx]Equities!R125C42</stp>
        <tr r="AP125" s="2"/>
      </tp>
      <tp>
        <v>1.9047620000000001</v>
        <stp/>
        <stp>##V3_BDPV12</stp>
        <stp>NSRGY US Equity</stp>
        <stp>CHG_PCT_5D</stp>
        <stp>[DPM - Securities Master List (BBG Linked).xlsx]Equities!R223C23</stp>
        <tr r="W223" s="2"/>
      </tp>
      <tp>
        <v>127.05555725097656</v>
        <stp/>
        <stp>##V3_BDPV12</stp>
        <stp>TGT US Equity</stp>
        <stp>BEST_TARGET_PRICE</stp>
        <stp>[DPM - Securities Master List (BBG Linked).xlsx]Equities!R261C38</stp>
        <tr r="AL261" s="2"/>
      </tp>
      <tp t="s">
        <v>Communication Services</v>
        <stp/>
        <stp>##V3_BDPV12</stp>
        <stp>TCEHY US Equity</stp>
        <stp>DX202</stp>
        <stp>[DPM - Securities Master List (BBG Linked).xlsx]Equities!R260C8</stp>
        <tr r="H260" s="2"/>
        <tr r="H260" s="2"/>
        <tr r="H260" s="2"/>
      </tp>
      <tp>
        <v>0</v>
        <stp/>
        <stp>##V3_BDPV12</stp>
        <stp>AMZN  US Equity</stp>
        <stp>TOT_SELL_REC</stp>
        <stp>[DPM - Securities Master List (BBG Linked).xlsx]Equities!R50C36</stp>
        <tr r="AJ50" s="2"/>
      </tp>
      <tp t="s">
        <v>#N/A Invalid Override</v>
        <stp/>
        <stp>##V3_BDPV12</stp>
        <stp>US53944YBB83 isin</stp>
        <stp>YAS_BOND_YLD</stp>
        <stp>[DPM - Securities Master List (BBG Linked).xlsx]Bonds!R134C10</stp>
        <stp>YAS_YLD_FLAG=15</stp>
        <stp>user_local_trade_date</stp>
        <stp>45783</stp>
        <stp>Yas_bond_px</stp>
        <stp>#N/A Connection</stp>
        <tr r="J134" s="1"/>
      </tp>
      <tp t="s">
        <v>#N/A Invalid Override</v>
        <stp/>
        <stp>##V3_BDPV12</stp>
        <stp>US53944YBB83 isin</stp>
        <stp>YAS_BOND_YLD</stp>
        <stp>[DPM - Securities Master List (BBG Linked).xlsx]Bonds!R144C10</stp>
        <stp>YAS_YLD_FLAG=15</stp>
        <stp>user_local_trade_date</stp>
        <stp>45783</stp>
        <stp>Yas_bond_px</stp>
        <stp>#N/A Connection</stp>
        <tr r="J144" s="1"/>
      </tp>
      <tp t="s">
        <v>Communication Services</v>
        <stp/>
        <stp>##V3_BDPV12</stp>
        <stp>9888 HK Equity</stp>
        <stp>DX202</stp>
        <stp>[DPM - Securities Master List (BBG Linked).xlsx]Equities!R16C8</stp>
        <tr r="H16" s="2"/>
        <tr r="H16" s="2"/>
        <tr r="H16" s="2"/>
      </tp>
      <tp t="s">
        <v>Communication Services</v>
        <stp/>
        <stp>##V3_BDPV12</stp>
        <stp>9888 HK Equity</stp>
        <stp>DX202</stp>
        <stp>[DPM - Securities Master List (BBG Linked).xlsx]Equities!R26C8</stp>
        <tr r="H26" s="2"/>
        <tr r="H26" s="2"/>
        <tr r="H26" s="2"/>
      </tp>
      <tp>
        <v>2.4046430000000001</v>
        <stp/>
        <stp>##V3_BDPV12</stp>
        <stp>DRX LN Equity</stp>
        <stp>CHG_PCT_5D</stp>
        <stp>[DPM - Securities Master List (BBG Linked).xlsx]Equities!R124C23</stp>
        <tr r="W124" s="2"/>
      </tp>
      <tp>
        <v>2.4046430000000001</v>
        <stp/>
        <stp>##V3_BDPV12</stp>
        <stp>DRX LN Equity</stp>
        <stp>CHG_PCT_5D</stp>
        <stp>[DPM - Securities Master List (BBG Linked).xlsx]Equities!R123C23</stp>
        <tr r="W123" s="2"/>
      </tp>
      <tp>
        <v>2.4046430000000001</v>
        <stp/>
        <stp>##V3_BDPV12</stp>
        <stp>DRX LN Equity</stp>
        <stp>CHG_PCT_5D</stp>
        <stp>[DPM - Securities Master List (BBG Linked).xlsx]Equities!R122C23</stp>
        <tr r="W122" s="2"/>
      </tp>
      <tp>
        <v>2.4046430000000001</v>
        <stp/>
        <stp>##V3_BDPV12</stp>
        <stp>DRX LN Equity</stp>
        <stp>CHG_PCT_5D</stp>
        <stp>[DPM - Securities Master List (BBG Linked).xlsx]Equities!R121C23</stp>
        <tr r="W121" s="2"/>
      </tp>
      <tp>
        <v>2.4046430000000001</v>
        <stp/>
        <stp>##V3_BDPV12</stp>
        <stp>DRX LN Equity</stp>
        <stp>CHG_PCT_5D</stp>
        <stp>[DPM - Securities Master List (BBG Linked).xlsx]Equities!R120C23</stp>
        <tr r="W120" s="2"/>
      </tp>
      <tp>
        <v>2.4046430000000001</v>
        <stp/>
        <stp>##V3_BDPV12</stp>
        <stp>DRX LN Equity</stp>
        <stp>CHG_PCT_5D</stp>
        <stp>[DPM - Securities Master List (BBG Linked).xlsx]Equities!R119C23</stp>
        <tr r="W119" s="2"/>
      </tp>
      <tp>
        <v>2.4046430000000001</v>
        <stp/>
        <stp>##V3_BDPV12</stp>
        <stp>DRX LN Equity</stp>
        <stp>CHG_PCT_5D</stp>
        <stp>[DPM - Securities Master List (BBG Linked).xlsx]Equities!R118C23</stp>
        <tr r="W118" s="2"/>
      </tp>
      <tp>
        <v>2.4046430000000001</v>
        <stp/>
        <stp>##V3_BDPV12</stp>
        <stp>DRX LN Equity</stp>
        <stp>CHG_PCT_5D</stp>
        <stp>[DPM - Securities Master List (BBG Linked).xlsx]Equities!R117C23</stp>
        <tr r="W117" s="2"/>
      </tp>
      <tp>
        <v>2.4046430000000001</v>
        <stp/>
        <stp>##V3_BDPV12</stp>
        <stp>DRX LN Equity</stp>
        <stp>CHG_PCT_5D</stp>
        <stp>[DPM - Securities Master List (BBG Linked).xlsx]Equities!R116C23</stp>
        <tr r="W116" s="2"/>
      </tp>
      <tp t="s">
        <v>#N/A Invalid Override</v>
        <stp/>
        <stp>##V3_BDPV12</stp>
        <stp>USU98401AB58 isin</stp>
        <stp>YAS_BOND_YLD</stp>
        <stp>[DPM - Securities Master List (BBG Linked).xlsx]Bonds!R138C10</stp>
        <stp>YAS_YLD_FLAG=15</stp>
        <stp>user_local_trade_date</stp>
        <stp>45783</stp>
        <stp>Yas_bond_px</stp>
        <stp>#N/A Connection</stp>
        <tr r="J138" s="1"/>
      </tp>
      <tp t="s">
        <v>#N/A Invalid Override</v>
        <stp/>
        <stp>##V3_BDPV12</stp>
        <stp>USU98401AB58 isin</stp>
        <stp>YAS_BOND_YLD</stp>
        <stp>[DPM - Securities Master List (BBG Linked).xlsx]Bonds!R148C10</stp>
        <stp>YAS_YLD_FLAG=15</stp>
        <stp>user_local_trade_date</stp>
        <stp>45783</stp>
        <stp>Yas_bond_px</stp>
        <stp>#N/A Connection</stp>
        <tr r="J148" s="1"/>
      </tp>
      <tp>
        <v>192.61538696289063</v>
        <stp/>
        <stp>##V3_BDPV12</stp>
        <stp>KER FP Equity</stp>
        <stp>BEST_TARGET_PRICE</stp>
        <stp>[DPM - Securities Master List (BBG Linked).xlsx]Equities!R150C38</stp>
        <tr r="AL150" s="2"/>
      </tp>
      <tp>
        <v>192.61538696289063</v>
        <stp/>
        <stp>##V3_BDPV12</stp>
        <stp>KER FP Equity</stp>
        <stp>BEST_TARGET_PRICE</stp>
        <stp>[DPM - Securities Master List (BBG Linked).xlsx]Equities!R151C38</stp>
        <tr r="AL151" s="2"/>
      </tp>
      <tp>
        <v>192.61538696289063</v>
        <stp/>
        <stp>##V3_BDPV12</stp>
        <stp>KER FP Equity</stp>
        <stp>BEST_TARGET_PRICE</stp>
        <stp>[DPM - Securities Master List (BBG Linked).xlsx]Equities!R152C38</stp>
        <tr r="AL152" s="2"/>
      </tp>
      <tp>
        <v>192.61538696289063</v>
        <stp/>
        <stp>##V3_BDPV12</stp>
        <stp>KER FP Equity</stp>
        <stp>BEST_TARGET_PRICE</stp>
        <stp>[DPM - Securities Master List (BBG Linked).xlsx]Equities!R153C38</stp>
        <tr r="AL153" s="2"/>
      </tp>
      <tp>
        <v>192.61538696289063</v>
        <stp/>
        <stp>##V3_BDPV12</stp>
        <stp>KER FP Equity</stp>
        <stp>BEST_TARGET_PRICE</stp>
        <stp>[DPM - Securities Master List (BBG Linked).xlsx]Equities!R149C38</stp>
        <tr r="AL149" s="2"/>
      </tp>
      <tp>
        <v>24</v>
        <stp/>
        <stp>##V3_BDPV12</stp>
        <stp>DELL US Equity</stp>
        <stp>TOT_BUY_REC</stp>
        <stp>[DPM - Securities Master List (BBG Linked).xlsx]Equities!R93C34</stp>
        <tr r="AH93" s="2"/>
      </tp>
      <tp>
        <v>24</v>
        <stp/>
        <stp>##V3_BDPV12</stp>
        <stp>DELL US Equity</stp>
        <stp>TOT_BUY_REC</stp>
        <stp>[DPM - Securities Master List (BBG Linked).xlsx]Equities!R92C34</stp>
        <tr r="AH92" s="2"/>
      </tp>
      <tp>
        <v>24</v>
        <stp/>
        <stp>##V3_BDPV12</stp>
        <stp>DELL US Equity</stp>
        <stp>TOT_BUY_REC</stp>
        <stp>[DPM - Securities Master List (BBG Linked).xlsx]Equities!R97C34</stp>
        <tr r="AH97" s="2"/>
      </tp>
      <tp>
        <v>24</v>
        <stp/>
        <stp>##V3_BDPV12</stp>
        <stp>DELL US Equity</stp>
        <stp>TOT_BUY_REC</stp>
        <stp>[DPM - Securities Master List (BBG Linked).xlsx]Equities!R96C34</stp>
        <tr r="AH96" s="2"/>
      </tp>
      <tp>
        <v>24</v>
        <stp/>
        <stp>##V3_BDPV12</stp>
        <stp>DELL US Equity</stp>
        <stp>TOT_BUY_REC</stp>
        <stp>[DPM - Securities Master List (BBG Linked).xlsx]Equities!R95C34</stp>
        <tr r="AH95" s="2"/>
      </tp>
      <tp>
        <v>24</v>
        <stp/>
        <stp>##V3_BDPV12</stp>
        <stp>DELL US Equity</stp>
        <stp>TOT_BUY_REC</stp>
        <stp>[DPM - Securities Master List (BBG Linked).xlsx]Equities!R94C34</stp>
        <tr r="AH94" s="2"/>
      </tp>
      <tp>
        <v>24</v>
        <stp/>
        <stp>##V3_BDPV12</stp>
        <stp>DELL US Equity</stp>
        <stp>TOT_BUY_REC</stp>
        <stp>[DPM - Securities Master List (BBG Linked).xlsx]Equities!R99C34</stp>
        <tr r="AH99" s="2"/>
      </tp>
      <tp>
        <v>24</v>
        <stp/>
        <stp>##V3_BDPV12</stp>
        <stp>DELL US Equity</stp>
        <stp>TOT_BUY_REC</stp>
        <stp>[DPM - Securities Master List (BBG Linked).xlsx]Equities!R98C34</stp>
        <tr r="AH98" s="2"/>
      </tp>
      <tp>
        <v>35</v>
        <stp/>
        <stp>##V3_BDPV12</stp>
        <stp>AAPL US Equity</stp>
        <stp>TOT_BUY_REC</stp>
        <stp>[DPM - Securities Master List (BBG Linked).xlsx]Equities!R34C34</stp>
        <tr r="AH34" s="2"/>
      </tp>
      <tp t="s">
        <v>HKD</v>
        <stp/>
        <stp>##V3_BDPV12</stp>
        <stp>3690 HK Equity</stp>
        <stp>CRNCY</stp>
        <stp>[DPM - Securities Master List (BBG Linked).xlsx]Equities!R11C6</stp>
        <tr r="F11" s="2"/>
      </tp>
      <tp t="s">
        <v>Communication Services</v>
        <stp/>
        <stp>##V3_BDPV12</stp>
        <stp>9888 HK Equity</stp>
        <stp>DX202</stp>
        <stp>[DPM - Securities Master List (BBG Linked).xlsx]Equities!R21C8</stp>
        <tr r="H21" s="2"/>
        <tr r="H21" s="2"/>
        <tr r="H21" s="2"/>
      </tp>
      <tp t="s">
        <v>#N/A Invalid Override</v>
        <stp/>
        <stp>##V3_BDPV12</stp>
        <stp>USF1067PAG12 isin</stp>
        <stp>YAS_BOND_YLD</stp>
        <stp>[DPM - Securities Master List (BBG Linked).xlsx]Bonds!R124C10</stp>
        <stp>YAS_YLD_FLAG=15</stp>
        <stp>user_local_trade_date</stp>
        <stp>45783</stp>
        <stp>Yas_bond_px</stp>
        <stp>#N/A Connection</stp>
        <tr r="J124" s="1"/>
      </tp>
      <tp t="s">
        <v>#N/A Invalid Override</v>
        <stp/>
        <stp>##V3_BDPV12</stp>
        <stp>USF1067PAG12 isin</stp>
        <stp>YAS_BOND_YLD</stp>
        <stp>[DPM - Securities Master List (BBG Linked).xlsx]Bonds!R154C10</stp>
        <stp>YAS_YLD_FLAG=15</stp>
        <stp>user_local_trade_date</stp>
        <stp>45783</stp>
        <stp>Yas_bond_px</stp>
        <stp>#N/A Connection</stp>
        <tr r="J154" s="1"/>
      </tp>
      <tp t="s">
        <v>#N/A Invalid Override</v>
        <stp/>
        <stp>##V3_BDPV12</stp>
        <stp>USF1067PAG12 isin</stp>
        <stp>YAS_BOND_YLD</stp>
        <stp>[DPM - Securities Master List (BBG Linked).xlsx]Bonds!R149C10</stp>
        <stp>YAS_YLD_FLAG=15</stp>
        <stp>user_local_trade_date</stp>
        <stp>45783</stp>
        <stp>Yas_bond_px</stp>
        <stp>#N/A Connection</stp>
        <tr r="J149" s="1"/>
      </tp>
      <tp>
        <v>6.6120770000000002</v>
        <stp/>
        <stp>##V3_BDPV12</stp>
        <stp>META US Equity</stp>
        <stp>CHG_PCT_5D</stp>
        <stp>[DPM - Securities Master List (BBG Linked).xlsx]Equities!R156C23</stp>
        <tr r="W156" s="2"/>
      </tp>
      <tp>
        <v>3.6704270000000001</v>
        <stp/>
        <stp>##V3_BDPV12</stp>
        <stp>NVDA US Equity</stp>
        <stp>CHG_PCT_5D</stp>
        <stp>[DPM - Securities Master List (BBG Linked).xlsx]Equities!R224C23</stp>
        <tr r="W224" s="2"/>
      </tp>
      <tp>
        <v>138.5</v>
        <stp/>
        <stp>##V3_BDPV12</stp>
        <stp>3690 HK Equity</stp>
        <stp>PX_LAST</stp>
        <stp>[DPM - Securities Master List (BBG Linked).xlsx]Equities!R9C17</stp>
        <tr r="Q9" s="2"/>
      </tp>
      <tp>
        <v>138.5</v>
        <stp/>
        <stp>##V3_BDPV12</stp>
        <stp>3690 HK Equity</stp>
        <stp>PX_LAST</stp>
        <stp>[DPM - Securities Master List (BBG Linked).xlsx]Equities!R8C17</stp>
        <tr r="Q8" s="2"/>
      </tp>
      <tp>
        <v>138.5</v>
        <stp/>
        <stp>##V3_BDPV12</stp>
        <stp>3690 HK Equity</stp>
        <stp>PX_LAST</stp>
        <stp>[DPM - Securities Master List (BBG Linked).xlsx]Equities!R7C17</stp>
        <tr r="Q7" s="2"/>
      </tp>
      <tp>
        <v>93.39</v>
        <stp/>
        <stp>##V3_BDPV12</stp>
        <stp>DELL US Equity</stp>
        <stp>PX_Last</stp>
        <stp>[DPM - Securities Master List (BBG Linked).xlsx]Equities!R102C17</stp>
        <tr r="Q102" s="2"/>
      </tp>
      <tp>
        <v>93.39</v>
        <stp/>
        <stp>##V3_BDPV12</stp>
        <stp>DELL US Equity</stp>
        <stp>PX_Last</stp>
        <stp>[DPM - Securities Master List (BBG Linked).xlsx]Equities!R103C17</stp>
        <tr r="Q103" s="2"/>
      </tp>
      <tp>
        <v>93.39</v>
        <stp/>
        <stp>##V3_BDPV12</stp>
        <stp>DELL US Equity</stp>
        <stp>PX_Last</stp>
        <stp>[DPM - Securities Master List (BBG Linked).xlsx]Equities!R100C17</stp>
        <tr r="Q100" s="2"/>
      </tp>
      <tp>
        <v>93.39</v>
        <stp/>
        <stp>##V3_BDPV12</stp>
        <stp>DELL US Equity</stp>
        <stp>PX_Last</stp>
        <stp>[DPM - Securities Master List (BBG Linked).xlsx]Equities!R101C17</stp>
        <tr r="Q101" s="2"/>
      </tp>
      <tp>
        <v>93.39</v>
        <stp/>
        <stp>##V3_BDPV12</stp>
        <stp>DELL US Equity</stp>
        <stp>PX_Last</stp>
        <stp>[DPM - Securities Master List (BBG Linked).xlsx]Equities!R106C17</stp>
        <tr r="Q106" s="2"/>
      </tp>
      <tp>
        <v>93.39</v>
        <stp/>
        <stp>##V3_BDPV12</stp>
        <stp>DELL US Equity</stp>
        <stp>PX_Last</stp>
        <stp>[DPM - Securities Master List (BBG Linked).xlsx]Equities!R107C17</stp>
        <tr r="Q107" s="2"/>
      </tp>
      <tp>
        <v>93.39</v>
        <stp/>
        <stp>##V3_BDPV12</stp>
        <stp>DELL US Equity</stp>
        <stp>PX_Last</stp>
        <stp>[DPM - Securities Master List (BBG Linked).xlsx]Equities!R104C17</stp>
        <tr r="Q104" s="2"/>
      </tp>
      <tp>
        <v>93.39</v>
        <stp/>
        <stp>##V3_BDPV12</stp>
        <stp>DELL US Equity</stp>
        <stp>PX_Last</stp>
        <stp>[DPM - Securities Master List (BBG Linked).xlsx]Equities!R105C17</stp>
        <tr r="Q105" s="2"/>
      </tp>
      <tp>
        <v>93.39</v>
        <stp/>
        <stp>##V3_BDPV12</stp>
        <stp>DELL US Equity</stp>
        <stp>PX_last</stp>
        <stp>[DPM - Securities Master List (BBG Linked).xlsx]Equities!R102C17</stp>
        <tr r="Q102" s="2"/>
      </tp>
      <tp>
        <v>93.39</v>
        <stp/>
        <stp>##V3_BDPV12</stp>
        <stp>DELL US Equity</stp>
        <stp>PX_last</stp>
        <stp>[DPM - Securities Master List (BBG Linked).xlsx]Equities!R103C17</stp>
        <tr r="Q103" s="2"/>
      </tp>
      <tp>
        <v>93.39</v>
        <stp/>
        <stp>##V3_BDPV12</stp>
        <stp>DELL US Equity</stp>
        <stp>PX_last</stp>
        <stp>[DPM - Securities Master List (BBG Linked).xlsx]Equities!R100C17</stp>
        <tr r="Q100" s="2"/>
      </tp>
      <tp>
        <v>93.39</v>
        <stp/>
        <stp>##V3_BDPV12</stp>
        <stp>DELL US Equity</stp>
        <stp>PX_last</stp>
        <stp>[DPM - Securities Master List (BBG Linked).xlsx]Equities!R101C17</stp>
        <tr r="Q101" s="2"/>
      </tp>
      <tp>
        <v>93.39</v>
        <stp/>
        <stp>##V3_BDPV12</stp>
        <stp>DELL US Equity</stp>
        <stp>PX_last</stp>
        <stp>[DPM - Securities Master List (BBG Linked).xlsx]Equities!R106C17</stp>
        <tr r="Q106" s="2"/>
      </tp>
      <tp>
        <v>93.39</v>
        <stp/>
        <stp>##V3_BDPV12</stp>
        <stp>DELL US Equity</stp>
        <stp>PX_last</stp>
        <stp>[DPM - Securities Master List (BBG Linked).xlsx]Equities!R107C17</stp>
        <tr r="Q107" s="2"/>
      </tp>
      <tp>
        <v>93.39</v>
        <stp/>
        <stp>##V3_BDPV12</stp>
        <stp>DELL US Equity</stp>
        <stp>PX_last</stp>
        <stp>[DPM - Securities Master List (BBG Linked).xlsx]Equities!R104C17</stp>
        <tr r="Q104" s="2"/>
      </tp>
      <tp>
        <v>93.39</v>
        <stp/>
        <stp>##V3_BDPV12</stp>
        <stp>DELL US Equity</stp>
        <stp>PX_last</stp>
        <stp>[DPM - Securities Master List (BBG Linked).xlsx]Equities!R105C17</stp>
        <tr r="Q105" s="2"/>
      </tp>
      <tp>
        <v>138.5</v>
        <stp/>
        <stp>##V3_BDPV12</stp>
        <stp>3690 HK Equity</stp>
        <stp>PX_Last</stp>
        <stp>[DPM - Securities Master List (BBG Linked).xlsx]Equities!R9C17</stp>
        <tr r="Q9" s="2"/>
      </tp>
      <tp>
        <v>138.5</v>
        <stp/>
        <stp>##V3_BDPV12</stp>
        <stp>3690 HK Equity</stp>
        <stp>PX_Last</stp>
        <stp>[DPM - Securities Master List (BBG Linked).xlsx]Equities!R8C17</stp>
        <tr r="Q8" s="2"/>
      </tp>
      <tp>
        <v>138.5</v>
        <stp/>
        <stp>##V3_BDPV12</stp>
        <stp>3690 HK Equity</stp>
        <stp>PX_Last</stp>
        <stp>[DPM - Securities Master List (BBG Linked).xlsx]Equities!R7C17</stp>
        <tr r="Q7" s="2"/>
      </tp>
      <tp>
        <v>87.8</v>
        <stp/>
        <stp>##V3_BDPV12</stp>
        <stp>9888 HK Equity</stp>
        <stp>PX_last</stp>
        <stp>[DPM - Securities Master List (BBG Linked).xlsx]Equities!R19C17</stp>
        <tr r="Q19" s="2"/>
      </tp>
      <tp>
        <v>87.8</v>
        <stp/>
        <stp>##V3_BDPV12</stp>
        <stp>9888 HK Equity</stp>
        <stp>PX_last</stp>
        <stp>[DPM - Securities Master List (BBG Linked).xlsx]Equities!R18C17</stp>
        <tr r="Q18" s="2"/>
      </tp>
      <tp>
        <v>87.8</v>
        <stp/>
        <stp>##V3_BDPV12</stp>
        <stp>9888 HK Equity</stp>
        <stp>PX_last</stp>
        <stp>[DPM - Securities Master List (BBG Linked).xlsx]Equities!R17C17</stp>
        <tr r="Q17" s="2"/>
      </tp>
      <tp>
        <v>87.8</v>
        <stp/>
        <stp>##V3_BDPV12</stp>
        <stp>9888 HK Equity</stp>
        <stp>PX_last</stp>
        <stp>[DPM - Securities Master List (BBG Linked).xlsx]Equities!R16C17</stp>
        <tr r="Q16" s="2"/>
      </tp>
      <tp>
        <v>87.8</v>
        <stp/>
        <stp>##V3_BDPV12</stp>
        <stp>9888 HK Equity</stp>
        <stp>PX_last</stp>
        <stp>[DPM - Securities Master List (BBG Linked).xlsx]Equities!R15C17</stp>
        <tr r="Q15" s="2"/>
      </tp>
      <tp>
        <v>87.8</v>
        <stp/>
        <stp>##V3_BDPV12</stp>
        <stp>9888 HK Equity</stp>
        <stp>PX_Last</stp>
        <stp>[DPM - Securities Master List (BBG Linked).xlsx]Equities!R19C17</stp>
        <tr r="Q19" s="2"/>
      </tp>
      <tp>
        <v>87.8</v>
        <stp/>
        <stp>##V3_BDPV12</stp>
        <stp>9888 HK Equity</stp>
        <stp>PX_Last</stp>
        <stp>[DPM - Securities Master List (BBG Linked).xlsx]Equities!R18C17</stp>
        <tr r="Q18" s="2"/>
      </tp>
      <tp>
        <v>87.8</v>
        <stp/>
        <stp>##V3_BDPV12</stp>
        <stp>9888 HK Equity</stp>
        <stp>PX_Last</stp>
        <stp>[DPM - Securities Master List (BBG Linked).xlsx]Equities!R17C17</stp>
        <tr r="Q17" s="2"/>
      </tp>
      <tp>
        <v>87.8</v>
        <stp/>
        <stp>##V3_BDPV12</stp>
        <stp>9888 HK Equity</stp>
        <stp>PX_Last</stp>
        <stp>[DPM - Securities Master List (BBG Linked).xlsx]Equities!R16C17</stp>
        <tr r="Q16" s="2"/>
      </tp>
      <tp>
        <v>87.8</v>
        <stp/>
        <stp>##V3_BDPV12</stp>
        <stp>9888 HK Equity</stp>
        <stp>PX_Last</stp>
        <stp>[DPM - Securities Master List (BBG Linked).xlsx]Equities!R15C17</stp>
        <tr r="Q15" s="2"/>
      </tp>
      <tp>
        <v>87.8</v>
        <stp/>
        <stp>##V3_BDPV12</stp>
        <stp>9888 HK Equity</stp>
        <stp>PX_last</stp>
        <stp>[DPM - Securities Master List (BBG Linked).xlsx]Equities!R27C17</stp>
        <tr r="Q27" s="2"/>
      </tp>
      <tp>
        <v>87.8</v>
        <stp/>
        <stp>##V3_BDPV12</stp>
        <stp>9888 HK Equity</stp>
        <stp>PX_last</stp>
        <stp>[DPM - Securities Master List (BBG Linked).xlsx]Equities!R26C17</stp>
        <tr r="Q26" s="2"/>
      </tp>
      <tp>
        <v>87.8</v>
        <stp/>
        <stp>##V3_BDPV12</stp>
        <stp>9888 HK Equity</stp>
        <stp>PX_last</stp>
        <stp>[DPM - Securities Master List (BBG Linked).xlsx]Equities!R25C17</stp>
        <tr r="Q25" s="2"/>
      </tp>
      <tp>
        <v>87.8</v>
        <stp/>
        <stp>##V3_BDPV12</stp>
        <stp>9888 HK Equity</stp>
        <stp>PX_last</stp>
        <stp>[DPM - Securities Master List (BBG Linked).xlsx]Equities!R24C17</stp>
        <tr r="Q24" s="2"/>
      </tp>
      <tp>
        <v>87.8</v>
        <stp/>
        <stp>##V3_BDPV12</stp>
        <stp>9888 HK Equity</stp>
        <stp>PX_last</stp>
        <stp>[DPM - Securities Master List (BBG Linked).xlsx]Equities!R23C17</stp>
        <tr r="Q23" s="2"/>
      </tp>
      <tp>
        <v>87.8</v>
        <stp/>
        <stp>##V3_BDPV12</stp>
        <stp>9888 HK Equity</stp>
        <stp>PX_last</stp>
        <stp>[DPM - Securities Master List (BBG Linked).xlsx]Equities!R22C17</stp>
        <tr r="Q22" s="2"/>
      </tp>
      <tp>
        <v>87.8</v>
        <stp/>
        <stp>##V3_BDPV12</stp>
        <stp>9888 HK Equity</stp>
        <stp>PX_last</stp>
        <stp>[DPM - Securities Master List (BBG Linked).xlsx]Equities!R21C17</stp>
        <tr r="Q21" s="2"/>
      </tp>
      <tp>
        <v>87.8</v>
        <stp/>
        <stp>##V3_BDPV12</stp>
        <stp>9888 HK Equity</stp>
        <stp>PX_last</stp>
        <stp>[DPM - Securities Master List (BBG Linked).xlsx]Equities!R20C17</stp>
        <tr r="Q20" s="2"/>
      </tp>
      <tp>
        <v>87.8</v>
        <stp/>
        <stp>##V3_BDPV12</stp>
        <stp>9888 HK Equity</stp>
        <stp>PX_Last</stp>
        <stp>[DPM - Securities Master List (BBG Linked).xlsx]Equities!R27C17</stp>
        <tr r="Q27" s="2"/>
      </tp>
      <tp>
        <v>87.8</v>
        <stp/>
        <stp>##V3_BDPV12</stp>
        <stp>9888 HK Equity</stp>
        <stp>PX_Last</stp>
        <stp>[DPM - Securities Master List (BBG Linked).xlsx]Equities!R26C17</stp>
        <tr r="Q26" s="2"/>
      </tp>
      <tp>
        <v>87.8</v>
        <stp/>
        <stp>##V3_BDPV12</stp>
        <stp>9888 HK Equity</stp>
        <stp>PX_Last</stp>
        <stp>[DPM - Securities Master List (BBG Linked).xlsx]Equities!R25C17</stp>
        <tr r="Q25" s="2"/>
      </tp>
      <tp>
        <v>87.8</v>
        <stp/>
        <stp>##V3_BDPV12</stp>
        <stp>9888 HK Equity</stp>
        <stp>PX_Last</stp>
        <stp>[DPM - Securities Master List (BBG Linked).xlsx]Equities!R24C17</stp>
        <tr r="Q24" s="2"/>
      </tp>
      <tp>
        <v>87.8</v>
        <stp/>
        <stp>##V3_BDPV12</stp>
        <stp>9888 HK Equity</stp>
        <stp>PX_Last</stp>
        <stp>[DPM - Securities Master List (BBG Linked).xlsx]Equities!R23C17</stp>
        <tr r="Q23" s="2"/>
      </tp>
      <tp>
        <v>87.8</v>
        <stp/>
        <stp>##V3_BDPV12</stp>
        <stp>9888 HK Equity</stp>
        <stp>PX_Last</stp>
        <stp>[DPM - Securities Master List (BBG Linked).xlsx]Equities!R22C17</stp>
        <tr r="Q22" s="2"/>
      </tp>
      <tp>
        <v>87.8</v>
        <stp/>
        <stp>##V3_BDPV12</stp>
        <stp>9888 HK Equity</stp>
        <stp>PX_Last</stp>
        <stp>[DPM - Securities Master List (BBG Linked).xlsx]Equities!R21C17</stp>
        <tr r="Q21" s="2"/>
      </tp>
      <tp>
        <v>87.8</v>
        <stp/>
        <stp>##V3_BDPV12</stp>
        <stp>9888 HK Equity</stp>
        <stp>PX_Last</stp>
        <stp>[DPM - Securities Master List (BBG Linked).xlsx]Equities!R20C17</stp>
        <tr r="Q20" s="2"/>
      </tp>
      <tp t="s">
        <v>HKD</v>
        <stp/>
        <stp>##V3_BDPV12</stp>
        <stp>3690 HK Equity</stp>
        <stp>CRNCY</stp>
        <stp>[DPM - Securities Master List (BBG Linked).xlsx]Equities!R10C6</stp>
        <tr r="F10" s="2"/>
      </tp>
      <tp>
        <v>20</v>
        <stp/>
        <stp>##V3_BDPV12</stp>
        <stp>BMY US Equity</stp>
        <stp>TOT_HOLD_REC</stp>
        <stp>[DPM - Securities Master List (BBG Linked).xlsx]Equities!R76C35</stp>
        <tr r="AI76" s="2"/>
      </tp>
      <tp>
        <v>11</v>
        <stp/>
        <stp>##V3_BDPV12</stp>
        <stp>AAL US Equity</stp>
        <stp>TOT_HOLD_REC</stp>
        <stp>[DPM - Securities Master List (BBG Linked).xlsx]Equities!R28C35</stp>
        <tr r="AI28" s="2"/>
      </tp>
      <tp>
        <v>11</v>
        <stp/>
        <stp>##V3_BDPV12</stp>
        <stp>AAL US Equity</stp>
        <stp>TOT_HOLD_REC</stp>
        <stp>[DPM - Securities Master List (BBG Linked).xlsx]Equities!R29C35</stp>
        <tr r="AI29" s="2"/>
      </tp>
      <tp>
        <v>11</v>
        <stp/>
        <stp>##V3_BDPV12</stp>
        <stp>AAL US Equity</stp>
        <stp>TOT_HOLD_REC</stp>
        <stp>[DPM - Securities Master List (BBG Linked).xlsx]Equities!R30C35</stp>
        <tr r="AI30" s="2"/>
      </tp>
      <tp>
        <v>11</v>
        <stp/>
        <stp>##V3_BDPV12</stp>
        <stp>AAL US Equity</stp>
        <stp>TOT_HOLD_REC</stp>
        <stp>[DPM - Securities Master List (BBG Linked).xlsx]Equities!R31C35</stp>
        <tr r="AI31" s="2"/>
      </tp>
      <tp>
        <v>11</v>
        <stp/>
        <stp>##V3_BDPV12</stp>
        <stp>AAL US Equity</stp>
        <stp>TOT_HOLD_REC</stp>
        <stp>[DPM - Securities Master List (BBG Linked).xlsx]Equities!R32C35</stp>
        <tr r="AI32" s="2"/>
      </tp>
      <tp>
        <v>11</v>
        <stp/>
        <stp>##V3_BDPV12</stp>
        <stp>AAL US Equity</stp>
        <stp>TOT_HOLD_REC</stp>
        <stp>[DPM - Securities Master List (BBG Linked).xlsx]Equities!R33C35</stp>
        <tr r="AI33" s="2"/>
      </tp>
      <tp t="s">
        <v>Communication Services</v>
        <stp/>
        <stp>##V3_BDPV12</stp>
        <stp>9888 HK Equity</stp>
        <stp>DX202</stp>
        <stp>[DPM - Securities Master List (BBG Linked).xlsx]Equities!R20C8</stp>
        <tr r="H20" s="2"/>
        <tr r="H20" s="2"/>
        <tr r="H20" s="2"/>
      </tp>
      <tp>
        <v>17</v>
        <stp/>
        <stp>##V3_BDPV12</stp>
        <stp>BP/ LN Equity</stp>
        <stp>TOT_HOLD_REC</stp>
        <stp>[DPM - Securities Master List (BBG Linked).xlsx]Equities!R87C35</stp>
        <tr r="AI87" s="2"/>
      </tp>
      <tp>
        <v>17</v>
        <stp/>
        <stp>##V3_BDPV12</stp>
        <stp>BP/ LN Equity</stp>
        <stp>TOT_HOLD_REC</stp>
        <stp>[DPM - Securities Master List (BBG Linked).xlsx]Equities!R86C35</stp>
        <tr r="AI86" s="2"/>
      </tp>
      <tp>
        <v>17</v>
        <stp/>
        <stp>##V3_BDPV12</stp>
        <stp>BP/ LN Equity</stp>
        <stp>TOT_HOLD_REC</stp>
        <stp>[DPM - Securities Master List (BBG Linked).xlsx]Equities!R85C35</stp>
        <tr r="AI85" s="2"/>
      </tp>
      <tp>
        <v>17</v>
        <stp/>
        <stp>##V3_BDPV12</stp>
        <stp>BP/ LN Equity</stp>
        <stp>TOT_HOLD_REC</stp>
        <stp>[DPM - Securities Master List (BBG Linked).xlsx]Equities!R84C35</stp>
        <tr r="AI84" s="2"/>
      </tp>
      <tp>
        <v>17</v>
        <stp/>
        <stp>##V3_BDPV12</stp>
        <stp>BP/ LN Equity</stp>
        <stp>TOT_HOLD_REC</stp>
        <stp>[DPM - Securities Master List (BBG Linked).xlsx]Equities!R83C35</stp>
        <tr r="AI83" s="2"/>
      </tp>
      <tp>
        <v>17</v>
        <stp/>
        <stp>##V3_BDPV12</stp>
        <stp>BP/ LN Equity</stp>
        <stp>TOT_HOLD_REC</stp>
        <stp>[DPM - Securities Master List (BBG Linked).xlsx]Equities!R82C35</stp>
        <tr r="AI82" s="2"/>
      </tp>
      <tp>
        <v>17</v>
        <stp/>
        <stp>##V3_BDPV12</stp>
        <stp>BP/ LN Equity</stp>
        <stp>TOT_HOLD_REC</stp>
        <stp>[DPM - Securities Master List (BBG Linked).xlsx]Equities!R81C35</stp>
        <tr r="AI81" s="2"/>
      </tp>
      <tp>
        <v>17</v>
        <stp/>
        <stp>##V3_BDPV12</stp>
        <stp>BP/ LN Equity</stp>
        <stp>TOT_HOLD_REC</stp>
        <stp>[DPM - Securities Master List (BBG Linked).xlsx]Equities!R80C35</stp>
        <tr r="AI80" s="2"/>
      </tp>
      <tp>
        <v>17</v>
        <stp/>
        <stp>##V3_BDPV12</stp>
        <stp>BP/ LN Equity</stp>
        <stp>TOT_HOLD_REC</stp>
        <stp>[DPM - Securities Master List (BBG Linked).xlsx]Equities!R89C35</stp>
        <tr r="AI89" s="2"/>
      </tp>
      <tp>
        <v>17</v>
        <stp/>
        <stp>##V3_BDPV12</stp>
        <stp>BP/ LN Equity</stp>
        <stp>TOT_HOLD_REC</stp>
        <stp>[DPM - Securities Master List (BBG Linked).xlsx]Equities!R88C35</stp>
        <tr r="AI88" s="2"/>
      </tp>
      <tp>
        <v>17</v>
        <stp/>
        <stp>##V3_BDPV12</stp>
        <stp>BP/ LN Equity</stp>
        <stp>TOT_HOLD_REC</stp>
        <stp>[DPM - Securities Master List (BBG Linked).xlsx]Equities!R90C35</stp>
        <tr r="AI90" s="2"/>
      </tp>
      <tp>
        <v>17</v>
        <stp/>
        <stp>##V3_BDPV12</stp>
        <stp>BP/ LN Equity</stp>
        <stp>TOT_HOLD_REC</stp>
        <stp>[DPM - Securities Master List (BBG Linked).xlsx]Equities!R77C35</stp>
        <tr r="AI77" s="2"/>
      </tp>
      <tp>
        <v>17</v>
        <stp/>
        <stp>##V3_BDPV12</stp>
        <stp>BP/ LN Equity</stp>
        <stp>TOT_HOLD_REC</stp>
        <stp>[DPM - Securities Master List (BBG Linked).xlsx]Equities!R79C35</stp>
        <tr r="AI79" s="2"/>
      </tp>
      <tp>
        <v>17</v>
        <stp/>
        <stp>##V3_BDPV12</stp>
        <stp>BP/ LN Equity</stp>
        <stp>TOT_HOLD_REC</stp>
        <stp>[DPM - Securities Master List (BBG Linked).xlsx]Equities!R78C35</stp>
        <tr r="AI78" s="2"/>
      </tp>
      <tp>
        <v>5</v>
        <stp/>
        <stp>##V3_BDPV12</stp>
        <stp>AZN LN Equity</stp>
        <stp>TOT_HOLD_REC</stp>
        <stp>[DPM - Securities Master List (BBG Linked).xlsx]Equities!R56C35</stp>
        <tr r="AI56" s="2"/>
      </tp>
      <tp>
        <v>5</v>
        <stp/>
        <stp>##V3_BDPV12</stp>
        <stp>AZN LN Equity</stp>
        <stp>TOT_HOLD_REC</stp>
        <stp>[DPM - Securities Master List (BBG Linked).xlsx]Equities!R57C35</stp>
        <tr r="AI57" s="2"/>
      </tp>
      <tp>
        <v>5</v>
        <stp/>
        <stp>##V3_BDPV12</stp>
        <stp>AZN LN Equity</stp>
        <stp>TOT_HOLD_REC</stp>
        <stp>[DPM - Securities Master List (BBG Linked).xlsx]Equities!R54C35</stp>
        <tr r="AI54" s="2"/>
      </tp>
      <tp>
        <v>5</v>
        <stp/>
        <stp>##V3_BDPV12</stp>
        <stp>AZN LN Equity</stp>
        <stp>TOT_HOLD_REC</stp>
        <stp>[DPM - Securities Master List (BBG Linked).xlsx]Equities!R55C35</stp>
        <tr r="AI55" s="2"/>
      </tp>
      <tp>
        <v>5</v>
        <stp/>
        <stp>##V3_BDPV12</stp>
        <stp>AZN LN Equity</stp>
        <stp>TOT_HOLD_REC</stp>
        <stp>[DPM - Securities Master List (BBG Linked).xlsx]Equities!R52C35</stp>
        <tr r="AI52" s="2"/>
      </tp>
      <tp>
        <v>5</v>
        <stp/>
        <stp>##V3_BDPV12</stp>
        <stp>AZN LN Equity</stp>
        <stp>TOT_HOLD_REC</stp>
        <stp>[DPM - Securities Master List (BBG Linked).xlsx]Equities!R53C35</stp>
        <tr r="AI53" s="2"/>
      </tp>
      <tp>
        <v>5</v>
        <stp/>
        <stp>##V3_BDPV12</stp>
        <stp>AZN LN Equity</stp>
        <stp>TOT_HOLD_REC</stp>
        <stp>[DPM - Securities Master List (BBG Linked).xlsx]Equities!R51C35</stp>
        <tr r="AI51" s="2"/>
      </tp>
      <tp>
        <v>5</v>
        <stp/>
        <stp>##V3_BDPV12</stp>
        <stp>AZN LN Equity</stp>
        <stp>TOT_HOLD_REC</stp>
        <stp>[DPM - Securities Master List (BBG Linked).xlsx]Equities!R58C35</stp>
        <tr r="AI58" s="2"/>
      </tp>
      <tp>
        <v>5</v>
        <stp/>
        <stp>##V3_BDPV12</stp>
        <stp>AZN LN Equity</stp>
        <stp>TOT_HOLD_REC</stp>
        <stp>[DPM - Securities Master List (BBG Linked).xlsx]Equities!R59C35</stp>
        <tr r="AI59" s="2"/>
      </tp>
      <tp>
        <v>5</v>
        <stp/>
        <stp>##V3_BDPV12</stp>
        <stp>AZN LN Equity</stp>
        <stp>TOT_HOLD_REC</stp>
        <stp>[DPM - Securities Master List (BBG Linked).xlsx]Equities!R60C35</stp>
        <tr r="AI60" s="2"/>
      </tp>
      <tp>
        <v>5</v>
        <stp/>
        <stp>##V3_BDPV12</stp>
        <stp>AZN LN Equity</stp>
        <stp>TOT_HOLD_REC</stp>
        <stp>[DPM - Securities Master List (BBG Linked).xlsx]Equities!R61C35</stp>
        <tr r="AI61" s="2"/>
      </tp>
      <tp>
        <v>11</v>
        <stp/>
        <stp>##V3_BDPV12</stp>
        <stp>ABF LN Equity</stp>
        <stp>TOT_HOLD_REC</stp>
        <stp>[DPM - Securities Master List (BBG Linked).xlsx]Equities!R35C35</stp>
        <tr r="AI35" s="2"/>
      </tp>
      <tp>
        <v>1.4216740000000001</v>
        <stp/>
        <stp>##V3_BDPV12</stp>
        <stp>GOLD US Equity</stp>
        <stp>CHG_PCT_1D</stp>
        <stp>[DPM - Securities Master List (BBG Linked).xlsx]Equities!R125C22</stp>
        <tr r="V125" s="2"/>
      </tp>
      <tp>
        <v>-20.299399999999999</v>
        <stp/>
        <stp>##V3_BDPV12</stp>
        <stp>INTC US Equity</stp>
        <stp>CHG_PCT_6M</stp>
        <stp>[DPM - Securities Master List (BBG Linked).xlsx]Equities!R148C42</stp>
        <tr r="AP148" s="2"/>
      </tp>
      <tp>
        <v>-20.299399999999999</v>
        <stp/>
        <stp>##V3_BDPV12</stp>
        <stp>INTC US Equity</stp>
        <stp>CHG_PCT_6M</stp>
        <stp>[DPM - Securities Master List (BBG Linked).xlsx]Equities!R146C42</stp>
        <tr r="AP146" s="2"/>
      </tp>
      <tp>
        <v>-20.299399999999999</v>
        <stp/>
        <stp>##V3_BDPV12</stp>
        <stp>INTC US Equity</stp>
        <stp>CHG_PCT_6M</stp>
        <stp>[DPM - Securities Master List (BBG Linked).xlsx]Equities!R147C42</stp>
        <tr r="AP147" s="2"/>
      </tp>
      <tp>
        <v>55.462501525878906</v>
        <stp/>
        <stp>##V3_BDPV12</stp>
        <stp>BMY US Equity</stp>
        <stp>BEST_TARGET_PRICE</stp>
        <stp>[DPM - Securities Master List (BBG Linked).xlsx]Equities!R76C38</stp>
        <tr r="AL76" s="2"/>
      </tp>
      <tp>
        <v>23</v>
        <stp/>
        <stp>##V3_BDPV12</stp>
        <stp>BMRN US Equity</stp>
        <stp>TOT_BUY_REC</stp>
        <stp>[DPM - Securities Master List (BBG Linked).xlsx]Equities!R69C34</stp>
        <tr r="AH69" s="2"/>
      </tp>
      <tp>
        <v>23</v>
        <stp/>
        <stp>##V3_BDPV12</stp>
        <stp>BMRN US Equity</stp>
        <stp>TOT_BUY_REC</stp>
        <stp>[DPM - Securities Master List (BBG Linked).xlsx]Equities!R68C34</stp>
        <tr r="AH68" s="2"/>
      </tp>
      <tp>
        <v>23</v>
        <stp/>
        <stp>##V3_BDPV12</stp>
        <stp>BMRN US Equity</stp>
        <stp>TOT_BUY_REC</stp>
        <stp>[DPM - Securities Master List (BBG Linked).xlsx]Equities!R65C34</stp>
        <tr r="AH65" s="2"/>
      </tp>
      <tp>
        <v>23</v>
        <stp/>
        <stp>##V3_BDPV12</stp>
        <stp>BMRN US Equity</stp>
        <stp>TOT_BUY_REC</stp>
        <stp>[DPM - Securities Master List (BBG Linked).xlsx]Equities!R64C34</stp>
        <tr r="AH64" s="2"/>
      </tp>
      <tp>
        <v>23</v>
        <stp/>
        <stp>##V3_BDPV12</stp>
        <stp>BMRN US Equity</stp>
        <stp>TOT_BUY_REC</stp>
        <stp>[DPM - Securities Master List (BBG Linked).xlsx]Equities!R67C34</stp>
        <tr r="AH67" s="2"/>
      </tp>
      <tp>
        <v>23</v>
        <stp/>
        <stp>##V3_BDPV12</stp>
        <stp>BMRN US Equity</stp>
        <stp>TOT_BUY_REC</stp>
        <stp>[DPM - Securities Master List (BBG Linked).xlsx]Equities!R66C34</stp>
        <tr r="AH66" s="2"/>
      </tp>
      <tp>
        <v>23</v>
        <stp/>
        <stp>##V3_BDPV12</stp>
        <stp>BMRN US Equity</stp>
        <stp>TOT_BUY_REC</stp>
        <stp>[DPM - Securities Master List (BBG Linked).xlsx]Equities!R63C34</stp>
        <tr r="AH63" s="2"/>
      </tp>
      <tp>
        <v>23</v>
        <stp/>
        <stp>##V3_BDPV12</stp>
        <stp>BMRN US Equity</stp>
        <stp>TOT_BUY_REC</stp>
        <stp>[DPM - Securities Master List (BBG Linked).xlsx]Equities!R75C34</stp>
        <tr r="AH75" s="2"/>
      </tp>
      <tp>
        <v>23</v>
        <stp/>
        <stp>##V3_BDPV12</stp>
        <stp>BMRN US Equity</stp>
        <stp>TOT_BUY_REC</stp>
        <stp>[DPM - Securities Master List (BBG Linked).xlsx]Equities!R74C34</stp>
        <tr r="AH74" s="2"/>
      </tp>
      <tp>
        <v>23</v>
        <stp/>
        <stp>##V3_BDPV12</stp>
        <stp>BMRN US Equity</stp>
        <stp>TOT_BUY_REC</stp>
        <stp>[DPM - Securities Master List (BBG Linked).xlsx]Equities!R71C34</stp>
        <tr r="AH71" s="2"/>
      </tp>
      <tp>
        <v>23</v>
        <stp/>
        <stp>##V3_BDPV12</stp>
        <stp>BMRN US Equity</stp>
        <stp>TOT_BUY_REC</stp>
        <stp>[DPM - Securities Master List (BBG Linked).xlsx]Equities!R70C34</stp>
        <tr r="AH70" s="2"/>
      </tp>
      <tp>
        <v>23</v>
        <stp/>
        <stp>##V3_BDPV12</stp>
        <stp>BMRN US Equity</stp>
        <stp>TOT_BUY_REC</stp>
        <stp>[DPM - Securities Master List (BBG Linked).xlsx]Equities!R73C34</stp>
        <tr r="AH73" s="2"/>
      </tp>
      <tp>
        <v>23</v>
        <stp/>
        <stp>##V3_BDPV12</stp>
        <stp>BMRN US Equity</stp>
        <stp>TOT_BUY_REC</stp>
        <stp>[DPM - Securities Master List (BBG Linked).xlsx]Equities!R72C34</stp>
        <tr r="AH72" s="2"/>
      </tp>
      <tp t="s">
        <v>HKD</v>
        <stp/>
        <stp>##V3_BDPV12</stp>
        <stp>3690 HK Equity</stp>
        <stp>CRNCY</stp>
        <stp>[DPM - Securities Master List (BBG Linked).xlsx]Equities!R13C6</stp>
        <tr r="F13" s="2"/>
      </tp>
      <tp t="s">
        <v>HKD</v>
        <stp/>
        <stp>##V3_BDPV12</stp>
        <stp>9888 HK Equity</stp>
        <stp>CRNCY</stp>
        <stp>[DPM - Securities Master List (BBG Linked).xlsx]Equities!R19C6</stp>
        <tr r="F19" s="2"/>
      </tp>
      <tp t="s">
        <v>Communication Services</v>
        <stp/>
        <stp>##V3_BDPV12</stp>
        <stp>9888 HK Equity</stp>
        <stp>DX202</stp>
        <stp>[DPM - Securities Master List (BBG Linked).xlsx]Equities!R23C8</stp>
        <tr r="H23" s="2"/>
        <tr r="H23" s="2"/>
        <tr r="H23" s="2"/>
      </tp>
      <tp>
        <v>-1.843658</v>
        <stp/>
        <stp>##V3_BDPV12</stp>
        <stp>INTC US Equity</stp>
        <stp>CHG_PCT_5D</stp>
        <stp>[DPM - Securities Master List (BBG Linked).xlsx]Equities!R148C23</stp>
        <tr r="W148" s="2"/>
      </tp>
      <tp>
        <v>-1.843658</v>
        <stp/>
        <stp>##V3_BDPV12</stp>
        <stp>INTC US Equity</stp>
        <stp>CHG_PCT_5D</stp>
        <stp>[DPM - Securities Master List (BBG Linked).xlsx]Equities!R146C23</stp>
        <tr r="W146" s="2"/>
      </tp>
      <tp>
        <v>-1.843658</v>
        <stp/>
        <stp>##V3_BDPV12</stp>
        <stp>INTC US Equity</stp>
        <stp>CHG_PCT_5D</stp>
        <stp>[DPM - Securities Master List (BBG Linked).xlsx]Equities!R147C23</stp>
        <tr r="W147" s="2"/>
      </tp>
      <tp>
        <v>0.79125849999999998</v>
        <stp/>
        <stp>##V3_BDPV12</stp>
        <stp>NSRGY US Equity</stp>
        <stp>CHG_PCT_1D</stp>
        <stp>[DPM - Securities Master List (BBG Linked).xlsx]Equities!R223C22</stp>
        <tr r="V223" s="2"/>
      </tp>
      <tp>
        <v>12.881250381469727</v>
        <stp/>
        <stp>##V3_BDPV12</stp>
        <stp>AAL US Equity</stp>
        <stp>BEST_TARGET_PRICE</stp>
        <stp>[DPM - Securities Master List (BBG Linked).xlsx]Equities!R28C38</stp>
        <tr r="AL28" s="2"/>
      </tp>
      <tp>
        <v>12.881250381469727</v>
        <stp/>
        <stp>##V3_BDPV12</stp>
        <stp>AAL US Equity</stp>
        <stp>BEST_TARGET_PRICE</stp>
        <stp>[DPM - Securities Master List (BBG Linked).xlsx]Equities!R29C38</stp>
        <tr r="AL29" s="2"/>
      </tp>
      <tp>
        <v>12.881250381469727</v>
        <stp/>
        <stp>##V3_BDPV12</stp>
        <stp>AAL US Equity</stp>
        <stp>BEST_TARGET_PRICE</stp>
        <stp>[DPM - Securities Master List (BBG Linked).xlsx]Equities!R30C38</stp>
        <tr r="AL30" s="2"/>
      </tp>
      <tp>
        <v>12.881250381469727</v>
        <stp/>
        <stp>##V3_BDPV12</stp>
        <stp>AAL US Equity</stp>
        <stp>BEST_TARGET_PRICE</stp>
        <stp>[DPM - Securities Master List (BBG Linked).xlsx]Equities!R31C38</stp>
        <tr r="AL31" s="2"/>
      </tp>
      <tp>
        <v>12.881250381469727</v>
        <stp/>
        <stp>##V3_BDPV12</stp>
        <stp>AAL US Equity</stp>
        <stp>BEST_TARGET_PRICE</stp>
        <stp>[DPM - Securities Master List (BBG Linked).xlsx]Equities!R32C38</stp>
        <tr r="AL32" s="2"/>
      </tp>
      <tp>
        <v>12.881250381469727</v>
        <stp/>
        <stp>##V3_BDPV12</stp>
        <stp>AAL US Equity</stp>
        <stp>BEST_TARGET_PRICE</stp>
        <stp>[DPM - Securities Master List (BBG Linked).xlsx]Equities!R33C38</stp>
        <tr r="AL33" s="2"/>
      </tp>
      <tp t="s">
        <v>HKD</v>
        <stp/>
        <stp>##V3_BDPV12</stp>
        <stp>3690 HK Equity</stp>
        <stp>CRNCY</stp>
        <stp>[DPM - Securities Master List (BBG Linked).xlsx]Equities!R12C6</stp>
        <tr r="F12" s="2"/>
      </tp>
      <tp t="s">
        <v>HKD</v>
        <stp/>
        <stp>##V3_BDPV12</stp>
        <stp>9888 HK Equity</stp>
        <stp>CRNCY</stp>
        <stp>[DPM - Securities Master List (BBG Linked).xlsx]Equities!R18C6</stp>
        <tr r="F18" s="2"/>
      </tp>
      <tp>
        <v>96.855552673339844</v>
        <stp/>
        <stp>##V3_BDPV12</stp>
        <stp>NEM AT Equity</stp>
        <stp>BEST_TARGET_PRICE</stp>
        <stp>[DPM - Securities Master List (BBG Linked).xlsx]Equities!R192C38</stp>
        <tr r="AL192" s="2"/>
      </tp>
      <tp>
        <v>96.855552673339844</v>
        <stp/>
        <stp>##V3_BDPV12</stp>
        <stp>NEM AT Equity</stp>
        <stp>BEST_TARGET_PRICE</stp>
        <stp>[DPM - Securities Master List (BBG Linked).xlsx]Equities!R190C38</stp>
        <tr r="AL190" s="2"/>
      </tp>
      <tp>
        <v>96.855552673339844</v>
        <stp/>
        <stp>##V3_BDPV12</stp>
        <stp>NEM AT Equity</stp>
        <stp>BEST_TARGET_PRICE</stp>
        <stp>[DPM - Securities Master List (BBG Linked).xlsx]Equities!R191C38</stp>
        <tr r="AL191" s="2"/>
      </tp>
      <tp>
        <v>96.855552673339844</v>
        <stp/>
        <stp>##V3_BDPV12</stp>
        <stp>NEM AT Equity</stp>
        <stp>BEST_TARGET_PRICE</stp>
        <stp>[DPM - Securities Master List (BBG Linked).xlsx]Equities!R189C38</stp>
        <tr r="AL189" s="2"/>
      </tp>
      <tp t="s">
        <v>Communication Services</v>
        <stp/>
        <stp>##V3_BDPV12</stp>
        <stp>9888 HK Equity</stp>
        <stp>DX202</stp>
        <stp>[DPM - Securities Master List (BBG Linked).xlsx]Equities!R22C8</stp>
        <tr r="H22" s="2"/>
        <tr r="H22" s="2"/>
        <tr r="H22" s="2"/>
      </tp>
      <tp>
        <v>110.07142639160156</v>
        <stp/>
        <stp>##V3_BDPV12</stp>
        <stp>ZBH US Equity</stp>
        <stp>BEST_TARGET_PRICE</stp>
        <stp>[DPM - Securities Master List (BBG Linked).xlsx]Equities!R302C38</stp>
        <tr r="AL302" s="2"/>
      </tp>
      <tp>
        <v>110.07142639160156</v>
        <stp/>
        <stp>##V3_BDPV12</stp>
        <stp>ZBH US Equity</stp>
        <stp>BEST_TARGET_PRICE</stp>
        <stp>[DPM - Securities Master List (BBG Linked).xlsx]Equities!R300C38</stp>
        <tr r="AL300" s="2"/>
      </tp>
      <tp>
        <v>110.07142639160156</v>
        <stp/>
        <stp>##V3_BDPV12</stp>
        <stp>ZBH US Equity</stp>
        <stp>BEST_TARGET_PRICE</stp>
        <stp>[DPM - Securities Master List (BBG Linked).xlsx]Equities!R301C38</stp>
        <tr r="AL301" s="2"/>
      </tp>
      <tp>
        <v>110.07142639160156</v>
        <stp/>
        <stp>##V3_BDPV12</stp>
        <stp>ZBH US Equity</stp>
        <stp>BEST_TARGET_PRICE</stp>
        <stp>[DPM - Securities Master List (BBG Linked).xlsx]Equities!R296C38</stp>
        <tr r="AL296" s="2"/>
      </tp>
      <tp>
        <v>110.07142639160156</v>
        <stp/>
        <stp>##V3_BDPV12</stp>
        <stp>ZBH US Equity</stp>
        <stp>BEST_TARGET_PRICE</stp>
        <stp>[DPM - Securities Master List (BBG Linked).xlsx]Equities!R297C38</stp>
        <tr r="AL297" s="2"/>
      </tp>
      <tp>
        <v>110.07142639160156</v>
        <stp/>
        <stp>##V3_BDPV12</stp>
        <stp>ZBH US Equity</stp>
        <stp>BEST_TARGET_PRICE</stp>
        <stp>[DPM - Securities Master List (BBG Linked).xlsx]Equities!R294C38</stp>
        <tr r="AL294" s="2"/>
      </tp>
      <tp>
        <v>110.07142639160156</v>
        <stp/>
        <stp>##V3_BDPV12</stp>
        <stp>ZBH US Equity</stp>
        <stp>BEST_TARGET_PRICE</stp>
        <stp>[DPM - Securities Master List (BBG Linked).xlsx]Equities!R295C38</stp>
        <tr r="AL295" s="2"/>
      </tp>
      <tp>
        <v>110.07142639160156</v>
        <stp/>
        <stp>##V3_BDPV12</stp>
        <stp>ZBH US Equity</stp>
        <stp>BEST_TARGET_PRICE</stp>
        <stp>[DPM - Securities Master List (BBG Linked).xlsx]Equities!R298C38</stp>
        <tr r="AL298" s="2"/>
      </tp>
      <tp>
        <v>110.07142639160156</v>
        <stp/>
        <stp>##V3_BDPV12</stp>
        <stp>ZBH US Equity</stp>
        <stp>BEST_TARGET_PRICE</stp>
        <stp>[DPM - Securities Master List (BBG Linked).xlsx]Equities!R299C38</stp>
        <tr r="AL299" s="2"/>
      </tp>
      <tp>
        <v>1.981833</v>
        <stp/>
        <stp>##V3_BDPV12</stp>
        <stp>DRX LN Equity</stp>
        <stp>CHG_PCT_1D</stp>
        <stp>[DPM - Securities Master List (BBG Linked).xlsx]Equities!R124C22</stp>
        <tr r="V124" s="2"/>
      </tp>
      <tp>
        <v>1.981833</v>
        <stp/>
        <stp>##V3_BDPV12</stp>
        <stp>DRX LN Equity</stp>
        <stp>CHG_PCT_1D</stp>
        <stp>[DPM - Securities Master List (BBG Linked).xlsx]Equities!R123C22</stp>
        <tr r="V123" s="2"/>
      </tp>
      <tp>
        <v>1.981833</v>
        <stp/>
        <stp>##V3_BDPV12</stp>
        <stp>DRX LN Equity</stp>
        <stp>CHG_PCT_1D</stp>
        <stp>[DPM - Securities Master List (BBG Linked).xlsx]Equities!R122C22</stp>
        <tr r="V122" s="2"/>
      </tp>
      <tp>
        <v>1.981833</v>
        <stp/>
        <stp>##V3_BDPV12</stp>
        <stp>DRX LN Equity</stp>
        <stp>CHG_PCT_1D</stp>
        <stp>[DPM - Securities Master List (BBG Linked).xlsx]Equities!R121C22</stp>
        <tr r="V121" s="2"/>
      </tp>
      <tp>
        <v>1.981833</v>
        <stp/>
        <stp>##V3_BDPV12</stp>
        <stp>DRX LN Equity</stp>
        <stp>CHG_PCT_1D</stp>
        <stp>[DPM - Securities Master List (BBG Linked).xlsx]Equities!R120C22</stp>
        <tr r="V120" s="2"/>
      </tp>
      <tp>
        <v>1.981833</v>
        <stp/>
        <stp>##V3_BDPV12</stp>
        <stp>DRX LN Equity</stp>
        <stp>CHG_PCT_1D</stp>
        <stp>[DPM - Securities Master List (BBG Linked).xlsx]Equities!R119C22</stp>
        <tr r="V119" s="2"/>
      </tp>
      <tp>
        <v>1.981833</v>
        <stp/>
        <stp>##V3_BDPV12</stp>
        <stp>DRX LN Equity</stp>
        <stp>CHG_PCT_1D</stp>
        <stp>[DPM - Securities Master List (BBG Linked).xlsx]Equities!R118C22</stp>
        <tr r="V118" s="2"/>
      </tp>
      <tp>
        <v>1.981833</v>
        <stp/>
        <stp>##V3_BDPV12</stp>
        <stp>DRX LN Equity</stp>
        <stp>CHG_PCT_1D</stp>
        <stp>[DPM - Securities Master List (BBG Linked).xlsx]Equities!R117C22</stp>
        <tr r="V117" s="2"/>
      </tp>
      <tp>
        <v>1.981833</v>
        <stp/>
        <stp>##V3_BDPV12</stp>
        <stp>DRX LN Equity</stp>
        <stp>CHG_PCT_1D</stp>
        <stp>[DPM - Securities Master List (BBG Linked).xlsx]Equities!R116C22</stp>
        <tr r="V116" s="2"/>
      </tp>
      <tp>
        <v>3.3301310000000002</v>
        <stp/>
        <stp>##V3_BDPV12</stp>
        <stp>META US Equity</stp>
        <stp>CHG_PCT_6M</stp>
        <stp>[DPM - Securities Master List (BBG Linked).xlsx]Equities!R156C42</stp>
        <tr r="AP156" s="2"/>
      </tp>
      <tp>
        <v>-22.380669999999999</v>
        <stp/>
        <stp>##V3_BDPV12</stp>
        <stp>NVDA US Equity</stp>
        <stp>CHG_PCT_6M</stp>
        <stp>[DPM - Securities Master List (BBG Linked).xlsx]Equities!R224C42</stp>
        <tr r="AP224" s="2"/>
      </tp>
      <tp>
        <v>18.905000000000001</v>
        <stp/>
        <stp>##V3_BDPV12</stp>
        <stp>GOLD US Equity</stp>
        <stp>PX_Last</stp>
        <stp>[DPM - Securities Master List (BBG Linked).xlsx]Equities!R125C17</stp>
        <tr r="Q125" s="2"/>
      </tp>
      <tp>
        <v>18.905000000000001</v>
        <stp/>
        <stp>##V3_BDPV12</stp>
        <stp>GOLD US Equity</stp>
        <stp>PX_last</stp>
        <stp>[DPM - Securities Master List (BBG Linked).xlsx]Equities!R125C17</stp>
        <tr r="Q125" s="2"/>
      </tp>
      <tp>
        <v>31772.160036099391</v>
        <stp/>
        <stp>##V3_BDPV12</stp>
        <stp>9888 HK Equity</stp>
        <stp>CRNCY_ADJ_MKT_CAP</stp>
        <stp>[DPM - Securities Master List (BBG Linked).xlsx]Equities!R15C9</stp>
        <stp>EQY_FUND_CRNCY=USD</stp>
        <tr r="I15" s="2"/>
      </tp>
      <tp>
        <v>31772.160036099391</v>
        <stp/>
        <stp>##V3_BDPV12</stp>
        <stp>9888 HK Equity</stp>
        <stp>CRNCY_ADJ_MKT_CAP</stp>
        <stp>[DPM - Securities Master List (BBG Linked).xlsx]Equities!R16C9</stp>
        <stp>EQY_FUND_CRNCY=USD</stp>
        <tr r="I16" s="2"/>
      </tp>
      <tp>
        <v>31772.160036099391</v>
        <stp/>
        <stp>##V3_BDPV12</stp>
        <stp>9888 HK Equity</stp>
        <stp>CRNCY_ADJ_MKT_CAP</stp>
        <stp>[DPM - Securities Master List (BBG Linked).xlsx]Equities!R17C9</stp>
        <stp>EQY_FUND_CRNCY=USD</stp>
        <tr r="I17" s="2"/>
      </tp>
      <tp>
        <v>31772.160036099391</v>
        <stp/>
        <stp>##V3_BDPV12</stp>
        <stp>9888 HK Equity</stp>
        <stp>CRNCY_ADJ_MKT_CAP</stp>
        <stp>[DPM - Securities Master List (BBG Linked).xlsx]Equities!R18C9</stp>
        <stp>EQY_FUND_CRNCY=USD</stp>
        <tr r="I18" s="2"/>
      </tp>
      <tp>
        <v>31772.160036099391</v>
        <stp/>
        <stp>##V3_BDPV12</stp>
        <stp>9888 HK Equity</stp>
        <stp>CRNCY_ADJ_MKT_CAP</stp>
        <stp>[DPM - Securities Master List (BBG Linked).xlsx]Equities!R19C9</stp>
        <stp>EQY_FUND_CRNCY=USD</stp>
        <tr r="I19" s="2"/>
      </tp>
      <tp>
        <v>47.423076629638672</v>
        <stp/>
        <stp>##V3_BDPV12</stp>
        <stp>ON US Equity</stp>
        <stp>BEST_TARGET_PRICE</stp>
        <stp>[DPM - Securities Master List (BBG Linked).xlsx]Equities!R226C38</stp>
        <tr r="AL226" s="2"/>
      </tp>
      <tp>
        <v>27</v>
        <stp/>
        <stp>##V3_BDPV12</stp>
        <stp>AZN LN Equity</stp>
        <stp>TOT_BUY_REC</stp>
        <stp>[DPM - Securities Master List (BBG Linked).xlsx]Equities!R54C34</stp>
        <tr r="AH54" s="2"/>
      </tp>
      <tp>
        <v>27</v>
        <stp/>
        <stp>##V3_BDPV12</stp>
        <stp>AZN LN Equity</stp>
        <stp>TOT_BUY_REC</stp>
        <stp>[DPM - Securities Master List (BBG Linked).xlsx]Equities!R55C34</stp>
        <tr r="AH55" s="2"/>
      </tp>
      <tp>
        <v>27</v>
        <stp/>
        <stp>##V3_BDPV12</stp>
        <stp>AZN LN Equity</stp>
        <stp>TOT_BUY_REC</stp>
        <stp>[DPM - Securities Master List (BBG Linked).xlsx]Equities!R56C34</stp>
        <tr r="AH56" s="2"/>
      </tp>
      <tp>
        <v>27</v>
        <stp/>
        <stp>##V3_BDPV12</stp>
        <stp>AZN LN Equity</stp>
        <stp>TOT_BUY_REC</stp>
        <stp>[DPM - Securities Master List (BBG Linked).xlsx]Equities!R57C34</stp>
        <tr r="AH57" s="2"/>
      </tp>
      <tp>
        <v>27</v>
        <stp/>
        <stp>##V3_BDPV12</stp>
        <stp>AZN LN Equity</stp>
        <stp>TOT_BUY_REC</stp>
        <stp>[DPM - Securities Master List (BBG Linked).xlsx]Equities!R51C34</stp>
        <tr r="AH51" s="2"/>
      </tp>
      <tp>
        <v>27</v>
        <stp/>
        <stp>##V3_BDPV12</stp>
        <stp>AZN LN Equity</stp>
        <stp>TOT_BUY_REC</stp>
        <stp>[DPM - Securities Master List (BBG Linked).xlsx]Equities!R52C34</stp>
        <tr r="AH52" s="2"/>
      </tp>
      <tp>
        <v>27</v>
        <stp/>
        <stp>##V3_BDPV12</stp>
        <stp>AZN LN Equity</stp>
        <stp>TOT_BUY_REC</stp>
        <stp>[DPM - Securities Master List (BBG Linked).xlsx]Equities!R53C34</stp>
        <tr r="AH53" s="2"/>
      </tp>
      <tp>
        <v>27</v>
        <stp/>
        <stp>##V3_BDPV12</stp>
        <stp>AZN LN Equity</stp>
        <stp>TOT_BUY_REC</stp>
        <stp>[DPM - Securities Master List (BBG Linked).xlsx]Equities!R58C34</stp>
        <tr r="AH58" s="2"/>
      </tp>
      <tp>
        <v>27</v>
        <stp/>
        <stp>##V3_BDPV12</stp>
        <stp>AZN LN Equity</stp>
        <stp>TOT_BUY_REC</stp>
        <stp>[DPM - Securities Master List (BBG Linked).xlsx]Equities!R59C34</stp>
        <tr r="AH59" s="2"/>
      </tp>
      <tp>
        <v>27</v>
        <stp/>
        <stp>##V3_BDPV12</stp>
        <stp>AZN LN Equity</stp>
        <stp>TOT_BUY_REC</stp>
        <stp>[DPM - Securities Master List (BBG Linked).xlsx]Equities!R60C34</stp>
        <tr r="AH60" s="2"/>
      </tp>
      <tp>
        <v>27</v>
        <stp/>
        <stp>##V3_BDPV12</stp>
        <stp>AZN LN Equity</stp>
        <stp>TOT_BUY_REC</stp>
        <stp>[DPM - Securities Master List (BBG Linked).xlsx]Equities!R61C34</stp>
        <tr r="AH61" s="2"/>
      </tp>
      <tp t="s">
        <v>Baidu Inc</v>
        <stp/>
        <stp>##V3_BDPV12</stp>
        <stp>9888 HK Equity</stp>
        <stp>SECURITY NAME</stp>
        <stp>[DPM - Securities Master List (BBG Linked).xlsx]Equities!R27C5</stp>
        <tr r="E27" s="2"/>
      </tp>
      <tp t="s">
        <v>Baidu Inc</v>
        <stp/>
        <stp>##V3_BDPV12</stp>
        <stp>9888 HK Equity</stp>
        <stp>SECURITY NAME</stp>
        <stp>[DPM - Securities Master List (BBG Linked).xlsx]Equities!R17C5</stp>
        <tr r="E17" s="2"/>
      </tp>
      <tp>
        <v>95.714286804199219</v>
        <stp/>
        <stp>##V3_BDPV12</stp>
        <stp>BMRN US Equity</stp>
        <stp>BEST_TARGET_PRICE</stp>
        <stp>[DPM - Securities Master List (BBG Linked).xlsx]Equities!R69C38</stp>
        <tr r="AL69" s="2"/>
      </tp>
      <tp>
        <v>95.714286804199219</v>
        <stp/>
        <stp>##V3_BDPV12</stp>
        <stp>BMRN US Equity</stp>
        <stp>BEST_TARGET_PRICE</stp>
        <stp>[DPM - Securities Master List (BBG Linked).xlsx]Equities!R68C38</stp>
        <tr r="AL68" s="2"/>
      </tp>
      <tp>
        <v>95.714286804199219</v>
        <stp/>
        <stp>##V3_BDPV12</stp>
        <stp>BMRN US Equity</stp>
        <stp>BEST_TARGET_PRICE</stp>
        <stp>[DPM - Securities Master List (BBG Linked).xlsx]Equities!R63C38</stp>
        <tr r="AL63" s="2"/>
      </tp>
      <tp>
        <v>95.714286804199219</v>
        <stp/>
        <stp>##V3_BDPV12</stp>
        <stp>BMRN US Equity</stp>
        <stp>BEST_TARGET_PRICE</stp>
        <stp>[DPM - Securities Master List (BBG Linked).xlsx]Equities!R65C38</stp>
        <tr r="AL65" s="2"/>
      </tp>
      <tp>
        <v>95.714286804199219</v>
        <stp/>
        <stp>##V3_BDPV12</stp>
        <stp>BMRN US Equity</stp>
        <stp>BEST_TARGET_PRICE</stp>
        <stp>[DPM - Securities Master List (BBG Linked).xlsx]Equities!R64C38</stp>
        <tr r="AL64" s="2"/>
      </tp>
      <tp>
        <v>95.714286804199219</v>
        <stp/>
        <stp>##V3_BDPV12</stp>
        <stp>BMRN US Equity</stp>
        <stp>BEST_TARGET_PRICE</stp>
        <stp>[DPM - Securities Master List (BBG Linked).xlsx]Equities!R67C38</stp>
        <tr r="AL67" s="2"/>
      </tp>
      <tp>
        <v>95.714286804199219</v>
        <stp/>
        <stp>##V3_BDPV12</stp>
        <stp>BMRN US Equity</stp>
        <stp>BEST_TARGET_PRICE</stp>
        <stp>[DPM - Securities Master List (BBG Linked).xlsx]Equities!R66C38</stp>
        <tr r="AL66" s="2"/>
      </tp>
      <tp>
        <v>95.714286804199219</v>
        <stp/>
        <stp>##V3_BDPV12</stp>
        <stp>BMRN US Equity</stp>
        <stp>BEST_TARGET_PRICE</stp>
        <stp>[DPM - Securities Master List (BBG Linked).xlsx]Equities!R71C38</stp>
        <tr r="AL71" s="2"/>
      </tp>
      <tp>
        <v>95.714286804199219</v>
        <stp/>
        <stp>##V3_BDPV12</stp>
        <stp>BMRN US Equity</stp>
        <stp>BEST_TARGET_PRICE</stp>
        <stp>[DPM - Securities Master List (BBG Linked).xlsx]Equities!R70C38</stp>
        <tr r="AL70" s="2"/>
      </tp>
      <tp>
        <v>95.714286804199219</v>
        <stp/>
        <stp>##V3_BDPV12</stp>
        <stp>BMRN US Equity</stp>
        <stp>BEST_TARGET_PRICE</stp>
        <stp>[DPM - Securities Master List (BBG Linked).xlsx]Equities!R73C38</stp>
        <tr r="AL73" s="2"/>
      </tp>
      <tp>
        <v>95.714286804199219</v>
        <stp/>
        <stp>##V3_BDPV12</stp>
        <stp>BMRN US Equity</stp>
        <stp>BEST_TARGET_PRICE</stp>
        <stp>[DPM - Securities Master List (BBG Linked).xlsx]Equities!R72C38</stp>
        <tr r="AL72" s="2"/>
      </tp>
      <tp>
        <v>95.714286804199219</v>
        <stp/>
        <stp>##V3_BDPV12</stp>
        <stp>BMRN US Equity</stp>
        <stp>BEST_TARGET_PRICE</stp>
        <stp>[DPM - Securities Master List (BBG Linked).xlsx]Equities!R75C38</stp>
        <tr r="AL75" s="2"/>
      </tp>
      <tp>
        <v>95.714286804199219</v>
        <stp/>
        <stp>##V3_BDPV12</stp>
        <stp>BMRN US Equity</stp>
        <stp>BEST_TARGET_PRICE</stp>
        <stp>[DPM - Securities Master List (BBG Linked).xlsx]Equities!R74C38</stp>
        <tr r="AL74" s="2"/>
      </tp>
      <tp>
        <v>6.7465529999999996</v>
        <stp/>
        <stp>##V3_BDPV12</stp>
        <stp>TCEHY US Equity</stp>
        <stp>CHG_PCT_5D</stp>
        <stp>[DPM - Securities Master List (BBG Linked).xlsx]Equities!R259C23</stp>
        <tr r="W259" s="2"/>
      </tp>
      <tp>
        <v>6.7465529999999996</v>
        <stp/>
        <stp>##V3_BDPV12</stp>
        <stp>TCEHY US Equity</stp>
        <stp>CHG_PCT_5D</stp>
        <stp>[DPM - Securities Master List (BBG Linked).xlsx]Equities!R260C23</stp>
        <tr r="W260" s="2"/>
      </tp>
      <tp>
        <v>4</v>
        <stp/>
        <stp>##V3_BDPV12</stp>
        <stp>DD US Equity</stp>
        <stp>TOT_HOLD_REC</stp>
        <stp>[DPM - Securities Master List (BBG Linked).xlsx]Equities!R91C35</stp>
        <tr r="AI91" s="2"/>
      </tp>
      <tp>
        <v>0</v>
        <stp/>
        <stp>##V3_BDPV12</stp>
        <stp>DELL US Equity</stp>
        <stp>TOT_SELL_REC</stp>
        <stp>[DPM - Securities Master List (BBG Linked).xlsx]Equities!R93C36</stp>
        <tr r="AJ93" s="2"/>
      </tp>
      <tp>
        <v>0</v>
        <stp/>
        <stp>##V3_BDPV12</stp>
        <stp>DELL US Equity</stp>
        <stp>TOT_SELL_REC</stp>
        <stp>[DPM - Securities Master List (BBG Linked).xlsx]Equities!R92C36</stp>
        <tr r="AJ92" s="2"/>
      </tp>
      <tp>
        <v>0</v>
        <stp/>
        <stp>##V3_BDPV12</stp>
        <stp>DELL US Equity</stp>
        <stp>TOT_SELL_REC</stp>
        <stp>[DPM - Securities Master List (BBG Linked).xlsx]Equities!R95C36</stp>
        <tr r="AJ95" s="2"/>
      </tp>
      <tp>
        <v>0</v>
        <stp/>
        <stp>##V3_BDPV12</stp>
        <stp>DELL US Equity</stp>
        <stp>TOT_SELL_REC</stp>
        <stp>[DPM - Securities Master List (BBG Linked).xlsx]Equities!R94C36</stp>
        <tr r="AJ94" s="2"/>
      </tp>
      <tp>
        <v>0</v>
        <stp/>
        <stp>##V3_BDPV12</stp>
        <stp>DELL US Equity</stp>
        <stp>TOT_SELL_REC</stp>
        <stp>[DPM - Securities Master List (BBG Linked).xlsx]Equities!R97C36</stp>
        <tr r="AJ97" s="2"/>
      </tp>
      <tp>
        <v>0</v>
        <stp/>
        <stp>##V3_BDPV12</stp>
        <stp>DELL US Equity</stp>
        <stp>TOT_SELL_REC</stp>
        <stp>[DPM - Securities Master List (BBG Linked).xlsx]Equities!R96C36</stp>
        <tr r="AJ96" s="2"/>
      </tp>
      <tp>
        <v>0</v>
        <stp/>
        <stp>##V3_BDPV12</stp>
        <stp>DELL US Equity</stp>
        <stp>TOT_SELL_REC</stp>
        <stp>[DPM - Securities Master List (BBG Linked).xlsx]Equities!R99C36</stp>
        <tr r="AJ99" s="2"/>
      </tp>
      <tp>
        <v>0</v>
        <stp/>
        <stp>##V3_BDPV12</stp>
        <stp>DELL US Equity</stp>
        <stp>TOT_SELL_REC</stp>
        <stp>[DPM - Securities Master List (BBG Linked).xlsx]Equities!R98C36</stp>
        <tr r="AJ98" s="2"/>
      </tp>
    </main>
    <main first="bofaddin.rtdserver">
      <tp t="e">
        <v>#N/A</v>
        <stp/>
        <stp>BDP|12094884502698028832</stp>
        <tr r="AA104" s="1"/>
      </tp>
      <tp t="e">
        <v>#N/A</v>
        <stp/>
        <stp>BDP|14991645299788842957</stp>
        <tr r="W72" s="3"/>
        <tr r="W71" s="3"/>
        <tr r="W70" s="3"/>
        <tr r="W69" s="3"/>
        <tr r="W68" s="3"/>
        <tr r="W67" s="3"/>
        <tr r="W66" s="3"/>
        <tr r="W65" s="3"/>
      </tp>
      <tp t="e">
        <v>#N/A</v>
        <stp/>
        <stp>BDP|15667866009957770071</stp>
        <tr r="AO160" s="1"/>
      </tp>
      <tp t="e">
        <v>#N/A</v>
        <stp/>
        <stp>BDP|14808466668604727881</stp>
        <tr r="W9" s="3"/>
        <tr r="W8" s="3"/>
        <tr r="W7" s="3"/>
        <tr r="W6" s="3"/>
        <tr r="W5" s="3"/>
        <tr r="W4" s="3"/>
        <tr r="W3" s="3"/>
        <tr r="W15" s="3"/>
        <tr r="W14" s="3"/>
        <tr r="W13" s="3"/>
        <tr r="W12" s="3"/>
        <tr r="W11" s="3"/>
        <tr r="W10" s="3"/>
      </tp>
      <tp t="e">
        <v>#N/A</v>
        <stp/>
        <stp>BDP|15050254380440533597</stp>
        <tr r="N66" s="1"/>
        <tr r="N49" s="1"/>
        <tr r="N42" s="1"/>
      </tp>
      <tp t="e">
        <v>#N/A</v>
        <stp/>
        <stp>BDP|10607304703468982143</stp>
        <tr r="H34" s="3"/>
        <tr r="H34" s="3"/>
        <tr r="H34" s="3"/>
        <tr r="H33" s="3"/>
        <tr r="H33" s="3"/>
        <tr r="H33" s="3"/>
        <tr r="H32" s="3"/>
        <tr r="H32" s="3"/>
        <tr r="H32" s="3"/>
        <tr r="H31" s="3"/>
        <tr r="H31" s="3"/>
        <tr r="H31" s="3"/>
        <tr r="H30" s="3"/>
        <tr r="H30" s="3"/>
        <tr r="H30" s="3"/>
        <tr r="H29" s="3"/>
        <tr r="H29" s="3"/>
        <tr r="H29" s="3"/>
        <tr r="H28" s="3"/>
        <tr r="H28" s="3"/>
        <tr r="H28" s="3"/>
        <tr r="H27" s="3"/>
        <tr r="H27" s="3"/>
        <tr r="H27" s="3"/>
        <tr r="H26" s="3"/>
        <tr r="H26" s="3"/>
        <tr r="H26" s="3"/>
        <tr r="H25" s="3"/>
        <tr r="H25" s="3"/>
        <tr r="H25" s="3"/>
        <tr r="H24" s="3"/>
        <tr r="H24" s="3"/>
        <tr r="H24" s="3"/>
        <tr r="H23" s="3"/>
        <tr r="H23" s="3"/>
        <tr r="H23" s="3"/>
        <tr r="H22" s="3"/>
        <tr r="H22" s="3"/>
        <tr r="H22" s="3"/>
        <tr r="H21" s="3"/>
        <tr r="H21" s="3"/>
        <tr r="H21" s="3"/>
        <tr r="H20" s="3"/>
        <tr r="H20" s="3"/>
        <tr r="H20" s="3"/>
        <tr r="H19" s="3"/>
        <tr r="H19" s="3"/>
        <tr r="H19" s="3"/>
        <tr r="H18" s="3"/>
        <tr r="H18" s="3"/>
        <tr r="H18" s="3"/>
        <tr r="H17" s="3"/>
        <tr r="H17" s="3"/>
        <tr r="H17" s="3"/>
      </tp>
      <tp t="e">
        <v>#N/A</v>
        <stp/>
        <stp>BDP|13159973107957066793</stp>
        <tr r="AA78" s="1"/>
        <tr r="AA154" s="1"/>
        <tr r="AA149" s="1"/>
        <tr r="AA124" s="1"/>
      </tp>
      <tp t="e">
        <v>#N/A</v>
        <stp/>
        <stp>BDP|17787974809584437061</stp>
        <tr r="Q107" s="1"/>
      </tp>
      <tp t="e">
        <v>#N/A</v>
        <stp/>
        <stp>BDP|15112087863140390924</stp>
        <tr r="AD89" s="1"/>
        <tr r="AD81" s="1"/>
        <tr r="AD59" s="1"/>
        <tr r="AD135" s="1"/>
        <tr r="AD41" s="1"/>
        <tr r="AD37" s="1"/>
        <tr r="AD29" s="1"/>
        <tr r="AD164" s="1"/>
      </tp>
      <tp t="e">
        <v>#N/A</v>
        <stp/>
        <stp>BDP|12912596337477494980</stp>
        <tr r="AK145" s="1"/>
        <tr r="AK145" s="1"/>
        <tr r="AK145" s="1"/>
        <tr r="AK136" s="1"/>
        <tr r="AK136" s="1"/>
        <tr r="AK136" s="1"/>
      </tp>
      <tp t="e">
        <v>#N/A</v>
        <stp/>
        <stp>BDP|14112504203332963908</stp>
        <tr r="AQ141" s="3"/>
        <tr r="AQ141" s="3"/>
        <tr r="AQ141" s="3"/>
        <tr r="AQ140" s="3"/>
        <tr r="AQ140" s="3"/>
        <tr r="AQ140" s="3"/>
        <tr r="AQ139" s="3"/>
        <tr r="AQ139" s="3"/>
        <tr r="AQ139" s="3"/>
        <tr r="AQ138" s="3"/>
        <tr r="AQ138" s="3"/>
        <tr r="AQ138" s="3"/>
        <tr r="AQ137" s="3"/>
        <tr r="AQ137" s="3"/>
        <tr r="AQ137" s="3"/>
        <tr r="AQ136" s="3"/>
        <tr r="AQ136" s="3"/>
        <tr r="AQ136" s="3"/>
        <tr r="AQ135" s="3"/>
        <tr r="AQ135" s="3"/>
        <tr r="AQ135" s="3"/>
        <tr r="AQ134" s="3"/>
        <tr r="AQ134" s="3"/>
        <tr r="AQ134" s="3"/>
        <tr r="AQ133" s="3"/>
        <tr r="AQ133" s="3"/>
        <tr r="AQ133" s="3"/>
        <tr r="AQ132" s="3"/>
        <tr r="AQ132" s="3"/>
        <tr r="AQ132" s="3"/>
        <tr r="AQ131" s="3"/>
        <tr r="AQ131" s="3"/>
        <tr r="AQ131" s="3"/>
        <tr r="AQ130" s="3"/>
        <tr r="AQ130" s="3"/>
        <tr r="AQ130" s="3"/>
      </tp>
      <tp t="e">
        <v>#N/A</v>
        <stp/>
        <stp>BDP|15876824762243437271</stp>
        <tr r="N126" s="1"/>
      </tp>
      <tp t="e">
        <v>#N/A</v>
        <stp/>
        <stp>BDP|15877706126798533207</stp>
        <tr r="AL126" s="1"/>
      </tp>
      <tp t="e">
        <v>#N/A</v>
        <stp/>
        <stp>BDP|16510214658782571927</stp>
        <tr r="Q98" s="1"/>
        <tr r="Q79" s="1"/>
        <tr r="Q5" s="1"/>
        <tr r="Q155" s="1"/>
        <tr r="Q118" s="1"/>
      </tp>
      <tp t="e">
        <v>#N/A</v>
        <stp/>
        <stp>BDP|15275587514578173344</stp>
        <tr r="AU126" s="1"/>
        <tr r="AU126" s="1"/>
        <tr r="AU126" s="1"/>
      </tp>
      <tp t="e">
        <v>#N/A</v>
        <stp/>
        <stp>BDP|15042877562464960574</stp>
        <tr r="AR99" s="3"/>
        <tr r="AR99" s="3"/>
        <tr r="AR99" s="3"/>
        <tr r="AR98" s="3"/>
        <tr r="AR98" s="3"/>
        <tr r="AR98" s="3"/>
        <tr r="AR97" s="3"/>
        <tr r="AR97" s="3"/>
        <tr r="AR97" s="3"/>
      </tp>
      <tp t="e">
        <v>#N/A</v>
        <stp/>
        <stp>BDP|16575754506373407895</stp>
        <tr r="AO150" s="1"/>
        <tr r="AO122" s="1"/>
      </tp>
      <tp t="e">
        <v>#N/A</v>
        <stp/>
        <stp>BDP|16441980704536336319</stp>
        <tr r="Y73" s="1"/>
        <tr r="Y168" s="1"/>
      </tp>
      <tp t="e">
        <v>#N/A</v>
        <stp/>
        <stp>BDP|12989828664546591004</stp>
        <tr r="H113" s="1"/>
      </tp>
      <tp t="e">
        <v>#N/A</v>
        <stp/>
        <stp>BDP|15180601049669465461</stp>
        <tr r="N129" s="3"/>
        <tr r="N129" s="3"/>
        <tr r="N129" s="3"/>
        <tr r="N128" s="3"/>
        <tr r="N128" s="3"/>
        <tr r="N128" s="3"/>
        <tr r="N127" s="3"/>
        <tr r="N127" s="3"/>
        <tr r="N127" s="3"/>
        <tr r="N126" s="3"/>
        <tr r="N126" s="3"/>
        <tr r="N126" s="3"/>
        <tr r="N125" s="3"/>
        <tr r="N125" s="3"/>
        <tr r="N125" s="3"/>
        <tr r="N124" s="3"/>
        <tr r="N124" s="3"/>
        <tr r="N124" s="3"/>
        <tr r="N123" s="3"/>
        <tr r="N123" s="3"/>
        <tr r="N123" s="3"/>
        <tr r="N122" s="3"/>
        <tr r="N122" s="3"/>
        <tr r="N122" s="3"/>
        <tr r="N121" s="3"/>
        <tr r="N121" s="3"/>
        <tr r="N121" s="3"/>
        <tr r="N120" s="3"/>
        <tr r="N120" s="3"/>
        <tr r="N120" s="3"/>
      </tp>
      <tp t="e">
        <v>#N/A</v>
        <stp/>
        <stp>BDP|17368900044874897454</stp>
        <tr r="M63" s="3"/>
        <tr r="M63" s="3"/>
        <tr r="M63" s="3"/>
        <tr r="M62" s="3"/>
        <tr r="M62" s="3"/>
        <tr r="M62" s="3"/>
        <tr r="M61" s="3"/>
        <tr r="M61" s="3"/>
        <tr r="M61" s="3"/>
        <tr r="M60" s="3"/>
        <tr r="M60" s="3"/>
        <tr r="M60" s="3"/>
        <tr r="M59" s="3"/>
        <tr r="M59" s="3"/>
        <tr r="M59" s="3"/>
        <tr r="M58" s="3"/>
        <tr r="M58" s="3"/>
        <tr r="M58" s="3"/>
        <tr r="M57" s="3"/>
        <tr r="M57" s="3"/>
        <tr r="M57" s="3"/>
        <tr r="M56" s="3"/>
        <tr r="M56" s="3"/>
        <tr r="M56" s="3"/>
        <tr r="M55" s="3"/>
        <tr r="M55" s="3"/>
        <tr r="M55" s="3"/>
        <tr r="M54" s="3"/>
        <tr r="M54" s="3"/>
        <tr r="M54" s="3"/>
        <tr r="M53" s="3"/>
        <tr r="M53" s="3"/>
        <tr r="M53" s="3"/>
        <tr r="M52" s="3"/>
        <tr r="M52" s="3"/>
        <tr r="M52" s="3"/>
        <tr r="M51" s="3"/>
        <tr r="M51" s="3"/>
        <tr r="M51" s="3"/>
      </tp>
      <tp t="e">
        <v>#N/A</v>
        <stp/>
        <stp>BDP|13931912264172617403</stp>
        <tr r="AL84" s="1"/>
        <tr r="AL159" s="1"/>
        <tr r="AL70" s="1"/>
        <tr r="AL116" s="1"/>
      </tp>
      <tp t="e">
        <v>#N/A</v>
        <stp/>
        <stp>BDP|10152096843667106900</stp>
        <tr r="AL51" s="1"/>
      </tp>
      <tp t="e">
        <v>#N/A</v>
        <stp/>
        <stp>BDP|12117611288381785721</stp>
        <tr r="F19" s="1"/>
      </tp>
      <tp t="e">
        <v>#N/A</v>
        <stp/>
        <stp>BDP|17006278663281945800</stp>
        <tr r="Q6" s="1"/>
      </tp>
      <tp t="e">
        <v>#N/A</v>
        <stp/>
        <stp>BDP|14732044967311859912</stp>
        <tr r="Q143" s="1"/>
        <tr r="Q127" s="1"/>
      </tp>
      <tp t="e">
        <v>#N/A</v>
        <stp/>
        <stp>BDP|14484951528357245268</stp>
        <tr r="AK150" s="1"/>
        <tr r="AK150" s="1"/>
        <tr r="AK150" s="1"/>
        <tr r="AK122" s="1"/>
        <tr r="AK122" s="1"/>
        <tr r="AK122" s="1"/>
      </tp>
      <tp t="e">
        <v>#N/A</v>
        <stp/>
        <stp>BDP|13279744873131803819</stp>
        <tr r="AL80" s="1"/>
        <tr r="AL58" s="1"/>
        <tr r="AL28" s="1"/>
        <tr r="AL161" s="1"/>
        <tr r="AL121" s="1"/>
        <tr r="AL10" s="1"/>
      </tp>
      <tp t="e">
        <v>#N/A</v>
        <stp/>
        <stp>BDP|12032620265709988126</stp>
        <tr r="N141" s="1"/>
        <tr r="N131" s="1"/>
      </tp>
      <tp t="e">
        <v>#N/A</v>
        <stp/>
        <stp>BDP|14948297382963622781</stp>
        <tr r="AN111" s="3"/>
        <tr r="AN111" s="3"/>
        <tr r="AN110" s="3"/>
        <tr r="AN110" s="3"/>
        <tr r="AN109" s="3"/>
        <tr r="AN109" s="3"/>
        <tr r="AN108" s="3"/>
        <tr r="AN108" s="3"/>
        <tr r="AN107" s="3"/>
        <tr r="AN107" s="3"/>
        <tr r="AN106" s="3"/>
        <tr r="AN106" s="3"/>
        <tr r="AN105" s="3"/>
        <tr r="AN105" s="3"/>
        <tr r="AN104" s="3"/>
        <tr r="AN104" s="3"/>
      </tp>
      <tp t="e">
        <v>#N/A</v>
        <stp/>
        <stp>BDP|17203344596655537299</stp>
        <tr r="M78" s="1"/>
        <tr r="M78" s="1"/>
        <tr r="M154" s="1"/>
        <tr r="M154" s="1"/>
        <tr r="M149" s="1"/>
        <tr r="M149" s="1"/>
        <tr r="M124" s="1"/>
        <tr r="M124" s="1"/>
      </tp>
      <tp t="e">
        <v>#N/A</v>
        <stp/>
        <stp>BDP|18203098827176488649</stp>
        <tr r="H56" s="1"/>
        <tr r="H56" s="1"/>
      </tp>
      <tp t="e">
        <v>#N/A</v>
        <stp/>
        <stp>BDP|18338136639722077256</stp>
        <tr r="H45" s="1"/>
        <tr r="H45" s="1"/>
        <tr r="H62" s="1"/>
        <tr r="H62" s="1"/>
        <tr r="H53" s="1"/>
        <tr r="H53" s="1"/>
        <tr r="H115" s="1"/>
        <tr r="H115" s="1"/>
      </tp>
      <tp t="e">
        <v>#N/A</v>
        <stp/>
        <stp>BDP|13521194398736022780</stp>
        <tr r="AU6" s="1"/>
        <tr r="AU6" s="1"/>
        <tr r="AU6" s="1"/>
      </tp>
      <tp t="e">
        <v>#N/A</v>
        <stp/>
        <stp>BDP|14663798142979195409</stp>
        <tr r="Q103" s="1"/>
      </tp>
      <tp t="e">
        <v>#N/A</v>
        <stp/>
        <stp>BDP|13225399422670221841</stp>
        <tr r="AJ51" s="1"/>
        <tr r="AJ51" s="1"/>
      </tp>
      <tp t="e">
        <v>#N/A</v>
        <stp/>
        <stp>BDP|17231963846213815350</stp>
        <tr r="N130" s="1"/>
      </tp>
      <tp t="e">
        <v>#N/A</v>
        <stp/>
        <stp>BDP|11414548395825821220</stp>
        <tr r="H6" s="1"/>
        <tr r="H6" s="1"/>
      </tp>
      <tp t="e">
        <v>#N/A</v>
        <stp/>
        <stp>BDP|16344641911588016390</stp>
        <tr r="AC99" s="3"/>
        <tr r="AC99" s="3"/>
        <tr r="AC99" s="3"/>
        <tr r="AC98" s="3"/>
        <tr r="AC98" s="3"/>
        <tr r="AC98" s="3"/>
        <tr r="AC97" s="3"/>
        <tr r="AC97" s="3"/>
        <tr r="AC97" s="3"/>
      </tp>
      <tp t="e">
        <v>#N/A</v>
        <stp/>
        <stp>BDP|13095842292879880104</stp>
        <tr r="F85" s="1"/>
      </tp>
      <tp t="e">
        <v>#N/A</v>
        <stp/>
        <stp>BDP|15908928876280309109</stp>
        <tr r="L114" s="3"/>
        <tr r="L113" s="3"/>
        <tr r="L112" s="3"/>
      </tp>
      <tp t="e">
        <v>#N/A</v>
        <stp/>
        <stp>BDP|13354246780061870212</stp>
        <tr r="Y140" s="1"/>
        <tr r="Y128" s="1"/>
      </tp>
      <tp t="e">
        <v>#N/A</v>
        <stp/>
        <stp>BDP|11370263686836449763</stp>
        <tr r="AA145" s="1"/>
        <tr r="AA136" s="1"/>
      </tp>
      <tp t="e">
        <v>#N/A</v>
        <stp/>
        <stp>BDP|16867424025929639383</stp>
        <tr r="AM94" s="3"/>
        <tr r="AM94" s="3"/>
        <tr r="AM94" s="3"/>
        <tr r="AM93" s="3"/>
        <tr r="AM93" s="3"/>
        <tr r="AM93" s="3"/>
        <tr r="AM92" s="3"/>
        <tr r="AM92" s="3"/>
        <tr r="AM92" s="3"/>
        <tr r="AM91" s="3"/>
        <tr r="AM91" s="3"/>
        <tr r="AM91" s="3"/>
        <tr r="AM90" s="3"/>
        <tr r="AM90" s="3"/>
        <tr r="AM90" s="3"/>
        <tr r="AM89" s="3"/>
        <tr r="AM89" s="3"/>
        <tr r="AM89" s="3"/>
        <tr r="AM88" s="3"/>
        <tr r="AM88" s="3"/>
        <tr r="AM88" s="3"/>
        <tr r="AM87" s="3"/>
        <tr r="AM87" s="3"/>
        <tr r="AM87" s="3"/>
        <tr r="AM86" s="3"/>
        <tr r="AM86" s="3"/>
        <tr r="AM86" s="3"/>
        <tr r="AM85" s="3"/>
        <tr r="AM85" s="3"/>
        <tr r="AM85" s="3"/>
        <tr r="AM84" s="3"/>
        <tr r="AM84" s="3"/>
        <tr r="AM84" s="3"/>
        <tr r="AM83" s="3"/>
        <tr r="AM83" s="3"/>
        <tr r="AM83" s="3"/>
        <tr r="AM82" s="3"/>
        <tr r="AM82" s="3"/>
        <tr r="AM82" s="3"/>
        <tr r="AM81" s="3"/>
        <tr r="AM81" s="3"/>
        <tr r="AM81" s="3"/>
        <tr r="AM80" s="3"/>
        <tr r="AM80" s="3"/>
        <tr r="AM80" s="3"/>
        <tr r="AM79" s="3"/>
        <tr r="AM79" s="3"/>
        <tr r="AM79" s="3"/>
      </tp>
      <tp t="e">
        <v>#N/A</v>
        <stp/>
        <stp>BDP|12624814436915971691</stp>
        <tr r="H52" s="1"/>
        <tr r="H52" s="1"/>
      </tp>
      <tp t="e">
        <v>#N/A</v>
        <stp/>
        <stp>BDP|16407814557393296219</stp>
        <tr r="W20" s="1"/>
      </tp>
      <tp t="e">
        <v>#N/A</v>
        <stp/>
        <stp>BDP|18085241551975096054</stp>
        <tr r="X20" s="1"/>
      </tp>
      <tp t="e">
        <v>#N/A</v>
        <stp/>
        <stp>BDP|14113264994333074637</stp>
        <tr r="AE130" s="1"/>
      </tp>
      <tp t="e">
        <v>#N/A</v>
        <stp/>
        <stp>BDP|17845953267563248182</stp>
        <tr r="H103" s="1"/>
      </tp>
      <tp t="e">
        <v>#N/A</v>
        <stp/>
        <stp>BDP|15745572302759158330</stp>
        <tr r="AN96" s="3"/>
        <tr r="AN96" s="3"/>
        <tr r="AN96" s="3"/>
        <tr r="AN95" s="3"/>
        <tr r="AN95" s="3"/>
        <tr r="AN95" s="3"/>
      </tp>
      <tp t="e">
        <v>#N/A</v>
        <stp/>
        <stp>BDP|11186739929949046787</stp>
        <tr r="Y7" s="5"/>
        <tr r="Y7" s="5"/>
        <tr r="Y7" s="5"/>
        <tr r="Y5" s="5"/>
        <tr r="Y5" s="5"/>
        <tr r="Y5" s="5"/>
        <tr r="Y3" s="5"/>
        <tr r="Y3" s="5"/>
        <tr r="Y3" s="5"/>
      </tp>
      <tp t="e">
        <v>#N/A</v>
        <stp/>
        <stp>BDP|16595962141472875393</stp>
        <tr r="AD111" s="3"/>
        <tr r="AD111" s="3"/>
        <tr r="AD111" s="3"/>
        <tr r="AD110" s="3"/>
        <tr r="AD110" s="3"/>
        <tr r="AD110" s="3"/>
        <tr r="AD109" s="3"/>
        <tr r="AD109" s="3"/>
        <tr r="AD109" s="3"/>
        <tr r="AD108" s="3"/>
        <tr r="AD108" s="3"/>
        <tr r="AD108" s="3"/>
        <tr r="AD107" s="3"/>
        <tr r="AD107" s="3"/>
        <tr r="AD107" s="3"/>
        <tr r="AD106" s="3"/>
        <tr r="AD106" s="3"/>
        <tr r="AD106" s="3"/>
        <tr r="AD105" s="3"/>
        <tr r="AD105" s="3"/>
        <tr r="AD105" s="3"/>
        <tr r="AD104" s="3"/>
        <tr r="AD104" s="3"/>
        <tr r="AD104" s="3"/>
      </tp>
      <tp t="e">
        <v>#N/A</v>
        <stp/>
        <stp>BDP|12748021391230016178</stp>
        <tr r="N34" s="1"/>
        <tr r="N156" s="1"/>
      </tp>
      <tp t="e">
        <v>#N/A</v>
        <stp/>
        <stp>BDP|13899463383105964073</stp>
        <tr r="Q117" s="1"/>
        <tr r="Q97" s="1"/>
        <tr r="Q60" s="1"/>
        <tr r="Q4" s="1"/>
        <tr r="Q25" s="1"/>
        <tr r="Q163" s="1"/>
        <tr r="Q75" s="1"/>
        <tr r="Q40" s="1"/>
      </tp>
      <tp t="e">
        <v>#N/A</v>
        <stp/>
        <stp>BDP|13150857957115778177</stp>
        <tr r="AU80" s="1"/>
        <tr r="AU80" s="1"/>
        <tr r="AU80" s="1"/>
        <tr r="AU58" s="1"/>
        <tr r="AU58" s="1"/>
        <tr r="AU58" s="1"/>
        <tr r="AU28" s="1"/>
        <tr r="AU28" s="1"/>
        <tr r="AU28" s="1"/>
        <tr r="AU161" s="1"/>
        <tr r="AU161" s="1"/>
        <tr r="AU161" s="1"/>
        <tr r="AU121" s="1"/>
        <tr r="AU121" s="1"/>
        <tr r="AU121" s="1"/>
        <tr r="AU10" s="1"/>
        <tr r="AU10" s="1"/>
        <tr r="AU10" s="1"/>
      </tp>
      <tp t="e">
        <v>#N/A</v>
        <stp/>
        <stp>BDP|13021036652395374908</stp>
        <tr r="BC111" s="3"/>
        <tr r="BC110" s="3"/>
        <tr r="BC109" s="3"/>
        <tr r="BC108" s="3"/>
        <tr r="BC107" s="3"/>
        <tr r="BC106" s="3"/>
        <tr r="BC105" s="3"/>
        <tr r="BC104" s="3"/>
      </tp>
      <tp t="e">
        <v>#N/A</v>
        <stp/>
        <stp>BDP|11250448746748227307</stp>
        <tr r="M80" s="1"/>
        <tr r="M80" s="1"/>
        <tr r="M58" s="1"/>
        <tr r="M58" s="1"/>
        <tr r="M28" s="1"/>
        <tr r="M28" s="1"/>
        <tr r="M161" s="1"/>
        <tr r="M161" s="1"/>
        <tr r="M121" s="1"/>
        <tr r="M121" s="1"/>
        <tr r="M10" s="1"/>
        <tr r="M10" s="1"/>
      </tp>
      <tp t="e">
        <v>#N/A</v>
        <stp/>
        <stp>BDP|14884446492167823440</stp>
        <tr r="AS54" s="1"/>
      </tp>
      <tp t="e">
        <v>#N/A</v>
        <stp/>
        <stp>BDP|13116098194372924207</stp>
        <tr r="V141" s="1"/>
        <tr r="V131" s="1"/>
      </tp>
      <tp t="e">
        <v>#N/A</v>
        <stp/>
        <stp>BDP|11884863519383761150</stp>
        <tr r="V20" s="1"/>
      </tp>
      <tp t="e">
        <v>#N/A</v>
        <stp/>
        <stp>BDP|11992103623259855171</stp>
        <tr r="AO12" s="1"/>
      </tp>
      <tp t="e">
        <v>#N/A</v>
        <stp/>
        <stp>BDP|11667294663276154989</stp>
        <tr r="Q16" s="3"/>
      </tp>
      <tp t="e">
        <v>#N/A</v>
        <stp/>
        <stp>BDP|13382109944878059436</stp>
        <tr r="M13" s="1"/>
        <tr r="M13" s="1"/>
      </tp>
      <tp t="e">
        <v>#N/A</v>
        <stp/>
        <stp>BDP|15090612914631486958</stp>
        <tr r="AU16" s="3"/>
        <tr r="AU16" s="3"/>
      </tp>
      <tp t="e">
        <v>#N/A</v>
        <stp/>
        <stp>BDP|12641029063159208710</stp>
        <tr r="I18" s="1"/>
      </tp>
      <tp t="e">
        <v>#N/A</v>
        <stp/>
        <stp>BDP|16383475754734283961</stp>
        <tr r="L20" s="1"/>
        <tr r="L20" s="1"/>
        <tr r="AS20" s="1"/>
      </tp>
      <tp t="e">
        <v>#N/A</v>
        <stp/>
        <stp>BDP|13047906605209718961</stp>
        <tr r="H88" s="1"/>
        <tr r="H88" s="1"/>
      </tp>
      <tp t="e">
        <v>#N/A</v>
        <stp/>
        <stp>BDP|14156946014456103047</stp>
        <tr r="K159" s="1"/>
        <tr r="K70" s="1"/>
        <tr r="K116" s="1"/>
        <tr r="K84" s="1"/>
      </tp>
      <tp t="e">
        <v>#N/A</v>
        <stp/>
        <stp>BDP|15793849317245605365</stp>
        <tr r="AQ78" s="3"/>
        <tr r="AQ78" s="3"/>
        <tr r="AQ78" s="3"/>
        <tr r="AQ77" s="3"/>
        <tr r="AQ77" s="3"/>
        <tr r="AQ77" s="3"/>
        <tr r="AQ76" s="3"/>
        <tr r="AQ76" s="3"/>
        <tr r="AQ76" s="3"/>
        <tr r="AQ75" s="3"/>
        <tr r="AQ75" s="3"/>
        <tr r="AQ75" s="3"/>
        <tr r="AQ74" s="3"/>
        <tr r="AQ74" s="3"/>
        <tr r="AQ74" s="3"/>
        <tr r="AQ73" s="3"/>
        <tr r="AQ73" s="3"/>
        <tr r="AQ73" s="3"/>
      </tp>
      <tp t="e">
        <v>#N/A</v>
        <stp/>
        <stp>BDP|17930829179730641231</stp>
        <tr r="H7" s="1"/>
        <tr r="H7" s="1"/>
        <tr r="H14" s="1"/>
        <tr r="H14" s="1"/>
        <tr r="H108" s="1"/>
        <tr r="H108" s="1"/>
      </tp>
      <tp t="e">
        <v>#N/A</v>
        <stp/>
        <stp>BDP|14319256691707369236</stp>
        <tr r="N53" s="1"/>
        <tr r="N115" s="1"/>
        <tr r="N62" s="1"/>
        <tr r="N45" s="1"/>
      </tp>
      <tp t="e">
        <v>#N/A</v>
        <stp/>
        <stp>BDP|10938330083740952176</stp>
        <tr r="AE139" s="1"/>
        <tr r="AE129" s="1"/>
      </tp>
      <tp t="e">
        <v>#N/A</v>
        <stp/>
        <stp>BDP|17814538729113792924</stp>
        <tr r="AS85" s="1"/>
        <tr r="L85" s="1"/>
        <tr r="L85" s="1"/>
      </tp>
      <tp t="e">
        <v>#N/A</v>
        <stp/>
        <stp>BDP|14540989158806004421</stp>
        <tr r="AP96" s="3"/>
        <tr r="AP96" s="3"/>
        <tr r="AP96" s="3"/>
        <tr r="AP95" s="3"/>
        <tr r="AP95" s="3"/>
        <tr r="AP95" s="3"/>
      </tp>
      <tp t="e">
        <v>#N/A</v>
        <stp/>
        <stp>BDP|11464902729119821923</stp>
        <tr r="AM139" s="1"/>
        <tr r="AM139" s="1"/>
        <tr r="AM129" s="1"/>
        <tr r="AM129" s="1"/>
      </tp>
      <tp t="e">
        <v>#N/A</v>
        <stp/>
        <stp>BDP|14456917580937641857</stp>
        <tr r="AD98" s="1"/>
        <tr r="AD79" s="1"/>
        <tr r="AD5" s="1"/>
        <tr r="AD155" s="1"/>
        <tr r="AD118" s="1"/>
      </tp>
      <tp t="e">
        <v>#N/A</v>
        <stp/>
        <stp>BDP|10863315477096918817</stp>
        <tr r="AE35" s="1"/>
        <tr r="AE24" s="1"/>
        <tr r="AE153" s="1"/>
      </tp>
      <tp t="e">
        <v>#N/A</v>
        <stp/>
        <stp>BDP|17771875536501427741</stp>
        <tr r="F35" s="1"/>
        <tr r="F24" s="1"/>
        <tr r="F153" s="1"/>
      </tp>
    </main>
    <main first="bloomberg.rtd">
      <tp>
        <v>75805.470996967997</v>
        <stp/>
        <stp>##V3_BDPV12</stp>
        <stp>BP/ LN Equity</stp>
        <stp>CRNCY_ADJ_MKT_CAP</stp>
        <stp>[DPM - Securities Master List (BBG Linked).xlsx]Equities!R88C9</stp>
        <stp>EQY_FUND_CRNCY=USD</stp>
        <tr r="I88" s="2"/>
      </tp>
      <tp>
        <v>75805.470996967997</v>
        <stp/>
        <stp>##V3_BDPV12</stp>
        <stp>BP/ LN Equity</stp>
        <stp>CRNCY_ADJ_MKT_CAP</stp>
        <stp>[DPM - Securities Master List (BBG Linked).xlsx]Equities!R89C9</stp>
        <stp>EQY_FUND_CRNCY=USD</stp>
        <tr r="I89" s="2"/>
      </tp>
      <tp>
        <v>75805.470996967997</v>
        <stp/>
        <stp>##V3_BDPV12</stp>
        <stp>BP/ LN Equity</stp>
        <stp>CRNCY_ADJ_MKT_CAP</stp>
        <stp>[DPM - Securities Master List (BBG Linked).xlsx]Equities!R86C9</stp>
        <stp>EQY_FUND_CRNCY=USD</stp>
        <tr r="I86" s="2"/>
      </tp>
      <tp>
        <v>75805.470996967997</v>
        <stp/>
        <stp>##V3_BDPV12</stp>
        <stp>BP/ LN Equity</stp>
        <stp>CRNCY_ADJ_MKT_CAP</stp>
        <stp>[DPM - Securities Master List (BBG Linked).xlsx]Equities!R87C9</stp>
        <stp>EQY_FUND_CRNCY=USD</stp>
        <tr r="I87" s="2"/>
      </tp>
      <tp>
        <v>75805.470996967997</v>
        <stp/>
        <stp>##V3_BDPV12</stp>
        <stp>BP/ LN Equity</stp>
        <stp>CRNCY_ADJ_MKT_CAP</stp>
        <stp>[DPM - Securities Master List (BBG Linked).xlsx]Equities!R84C9</stp>
        <stp>EQY_FUND_CRNCY=USD</stp>
        <tr r="I84" s="2"/>
      </tp>
      <tp>
        <v>75805.470996967997</v>
        <stp/>
        <stp>##V3_BDPV12</stp>
        <stp>BP/ LN Equity</stp>
        <stp>CRNCY_ADJ_MKT_CAP</stp>
        <stp>[DPM - Securities Master List (BBG Linked).xlsx]Equities!R85C9</stp>
        <stp>EQY_FUND_CRNCY=USD</stp>
        <tr r="I85" s="2"/>
      </tp>
      <tp>
        <v>75805.470996967997</v>
        <stp/>
        <stp>##V3_BDPV12</stp>
        <stp>BP/ LN Equity</stp>
        <stp>CRNCY_ADJ_MKT_CAP</stp>
        <stp>[DPM - Securities Master List (BBG Linked).xlsx]Equities!R82C9</stp>
        <stp>EQY_FUND_CRNCY=USD</stp>
        <tr r="I82" s="2"/>
      </tp>
      <tp>
        <v>75805.470996967997</v>
        <stp/>
        <stp>##V3_BDPV12</stp>
        <stp>BP/ LN Equity</stp>
        <stp>CRNCY_ADJ_MKT_CAP</stp>
        <stp>[DPM - Securities Master List (BBG Linked).xlsx]Equities!R83C9</stp>
        <stp>EQY_FUND_CRNCY=USD</stp>
        <tr r="I83" s="2"/>
      </tp>
      <tp>
        <v>75805.470996967997</v>
        <stp/>
        <stp>##V3_BDPV12</stp>
        <stp>BP/ LN Equity</stp>
        <stp>CRNCY_ADJ_MKT_CAP</stp>
        <stp>[DPM - Securities Master List (BBG Linked).xlsx]Equities!R80C9</stp>
        <stp>EQY_FUND_CRNCY=USD</stp>
        <tr r="I80" s="2"/>
      </tp>
      <tp>
        <v>75805.470996967997</v>
        <stp/>
        <stp>##V3_BDPV12</stp>
        <stp>BP/ LN Equity</stp>
        <stp>CRNCY_ADJ_MKT_CAP</stp>
        <stp>[DPM - Securities Master List (BBG Linked).xlsx]Equities!R81C9</stp>
        <stp>EQY_FUND_CRNCY=USD</stp>
        <tr r="I81" s="2"/>
      </tp>
      <tp t="s">
        <v>Baidu Inc</v>
        <stp/>
        <stp>##V3_BDPV12</stp>
        <stp>9888 HK Equity</stp>
        <stp>SECURITY NAME</stp>
        <stp>[DPM - Securities Master List (BBG Linked).xlsx]Equities!R26C5</stp>
        <tr r="E26" s="2"/>
      </tp>
      <tp t="s">
        <v>Baidu Inc</v>
        <stp/>
        <stp>##V3_BDPV12</stp>
        <stp>9888 HK Equity</stp>
        <stp>SECURITY NAME</stp>
        <stp>[DPM - Securities Master List (BBG Linked).xlsx]Equities!R16C5</stp>
        <tr r="E16" s="2"/>
      </tp>
    </main>
    <main first="bofaddin.rtdserver">
      <tp t="e">
        <v>#N/A</v>
        <stp/>
        <stp>BDP|16397441898345597539</stp>
        <tr r="Z113" s="1"/>
      </tp>
      <tp t="e">
        <v>#N/A</v>
        <stp/>
        <stp>BDP|15483935536670110497</stp>
        <tr r="M103" s="3"/>
        <tr r="M103" s="3"/>
        <tr r="M103" s="3"/>
      </tp>
      <tp t="e">
        <v>#N/A</v>
        <stp/>
        <stp>BDP|13459114192548946872</stp>
        <tr r="L50" s="3"/>
        <tr r="L49" s="3"/>
        <tr r="L48" s="3"/>
        <tr r="L47" s="3"/>
        <tr r="L46" s="3"/>
        <tr r="L45" s="3"/>
        <tr r="L44" s="3"/>
        <tr r="L43" s="3"/>
        <tr r="L42" s="3"/>
        <tr r="L41" s="3"/>
        <tr r="L40" s="3"/>
        <tr r="L39" s="3"/>
        <tr r="L38" s="3"/>
        <tr r="L37" s="3"/>
        <tr r="L36" s="3"/>
        <tr r="L35" s="3"/>
      </tp>
      <tp t="e">
        <v>#N/A</v>
        <stp/>
        <stp>BDP|13937977462097306065</stp>
        <tr r="AS87" s="1"/>
      </tp>
      <tp t="e">
        <v>#N/A</v>
        <stp/>
        <stp>BDP|15875363687811770467</stp>
        <tr r="F113" s="1"/>
      </tp>
      <tp t="e">
        <v>#N/A</v>
        <stp/>
        <stp>BDP|12247527798203016606</stp>
        <tr r="M34" s="1"/>
        <tr r="M34" s="1"/>
        <tr r="M156" s="1"/>
        <tr r="M156" s="1"/>
      </tp>
      <tp t="e">
        <v>#N/A</v>
        <stp/>
        <stp>BDP|13008054796447984611</stp>
        <tr r="I20" s="1"/>
      </tp>
      <tp t="e">
        <v>#N/A</v>
        <stp/>
        <stp>BDP|16472895850977765712</stp>
        <tr r="AD104" s="1"/>
      </tp>
      <tp t="e">
        <v>#N/A</v>
        <stp/>
        <stp>BDP|15126959873771869146</stp>
        <tr r="K130" s="1"/>
      </tp>
      <tp t="e">
        <v>#N/A</v>
        <stp/>
        <stp>BDP|10130537319908154701</stp>
        <tr r="AK44" s="1"/>
        <tr r="AK44" s="1"/>
        <tr r="AK44" s="1"/>
      </tp>
      <tp t="e">
        <v>#N/A</v>
        <stp/>
        <stp>BDP|14900148872798791129</stp>
        <tr r="M7" s="1"/>
        <tr r="M7" s="1"/>
        <tr r="M14" s="1"/>
        <tr r="M14" s="1"/>
        <tr r="M108" s="1"/>
        <tr r="M108" s="1"/>
      </tp>
      <tp t="e">
        <v>#N/A</v>
        <stp/>
        <stp>BDP|13595905227083931012</stp>
        <tr r="W87" s="1"/>
      </tp>
      <tp t="e">
        <v>#N/A</v>
        <stp/>
        <stp>BDP|12584538532629646680</stp>
        <tr r="I85" s="1"/>
      </tp>
      <tp t="e">
        <v>#N/A</v>
        <stp/>
        <stp>BDP|17758180500684540902</stp>
        <tr r="H51" s="1"/>
        <tr r="H51" s="1"/>
      </tp>
      <tp t="e">
        <v>#N/A</v>
        <stp/>
        <stp>BDP|13298988441821027462</stp>
        <tr r="AU150" s="1"/>
        <tr r="AU150" s="1"/>
        <tr r="AU150" s="1"/>
        <tr r="AU122" s="1"/>
        <tr r="AU122" s="1"/>
        <tr r="AU122" s="1"/>
      </tp>
      <tp t="e">
        <v>#N/A</v>
        <stp/>
        <stp>BDP|15116893577139063828</stp>
        <tr r="AU107" s="1"/>
        <tr r="AU107" s="1"/>
        <tr r="AU107" s="1"/>
      </tp>
      <tp t="e">
        <v>#N/A</v>
        <stp/>
        <stp>BDP|14402633649559724454</stp>
        <tr r="AT66" s="1"/>
        <tr r="AT49" s="1"/>
        <tr r="AT42" s="1"/>
      </tp>
      <tp t="e">
        <v>#N/A</v>
        <stp/>
        <stp>BDP|13905116285215233409</stp>
        <tr r="H90" s="1"/>
        <tr r="H90" s="1"/>
      </tp>
      <tp t="e">
        <v>#N/A</v>
        <stp/>
        <stp>BDP|14663728891249840828</stp>
        <tr r="K129" s="3"/>
        <tr r="K128" s="3"/>
        <tr r="K127" s="3"/>
        <tr r="K126" s="3"/>
        <tr r="K125" s="3"/>
        <tr r="K124" s="3"/>
        <tr r="K123" s="3"/>
        <tr r="K122" s="3"/>
        <tr r="K121" s="3"/>
        <tr r="K120" s="3"/>
      </tp>
      <tp t="e">
        <v>#N/A</v>
        <stp/>
        <stp>BDP|11113932368774129146</stp>
        <tr r="X11" s="1"/>
        <tr r="X102" s="1"/>
      </tp>
      <tp t="e">
        <v>#N/A</v>
        <stp/>
        <stp>BDP|12757822482060975904</stp>
        <tr r="AP94" s="3"/>
        <tr r="AP94" s="3"/>
        <tr r="AP94" s="3"/>
        <tr r="AP93" s="3"/>
        <tr r="AP93" s="3"/>
        <tr r="AP93" s="3"/>
        <tr r="AP92" s="3"/>
        <tr r="AP92" s="3"/>
        <tr r="AP92" s="3"/>
        <tr r="AP91" s="3"/>
        <tr r="AP91" s="3"/>
        <tr r="AP91" s="3"/>
        <tr r="AP90" s="3"/>
        <tr r="AP90" s="3"/>
        <tr r="AP90" s="3"/>
        <tr r="AP89" s="3"/>
        <tr r="AP89" s="3"/>
        <tr r="AP89" s="3"/>
        <tr r="AP88" s="3"/>
        <tr r="AP88" s="3"/>
        <tr r="AP88" s="3"/>
        <tr r="AP87" s="3"/>
        <tr r="AP87" s="3"/>
        <tr r="AP87" s="3"/>
        <tr r="AP86" s="3"/>
        <tr r="AP86" s="3"/>
        <tr r="AP86" s="3"/>
        <tr r="AP85" s="3"/>
        <tr r="AP85" s="3"/>
        <tr r="AP85" s="3"/>
        <tr r="AP84" s="3"/>
        <tr r="AP84" s="3"/>
        <tr r="AP84" s="3"/>
        <tr r="AP83" s="3"/>
        <tr r="AP83" s="3"/>
        <tr r="AP83" s="3"/>
        <tr r="AP82" s="3"/>
        <tr r="AP82" s="3"/>
        <tr r="AP82" s="3"/>
        <tr r="AP81" s="3"/>
        <tr r="AP81" s="3"/>
        <tr r="AP81" s="3"/>
        <tr r="AP80" s="3"/>
        <tr r="AP80" s="3"/>
        <tr r="AP80" s="3"/>
        <tr r="AP79" s="3"/>
        <tr r="AP79" s="3"/>
        <tr r="AP79" s="3"/>
      </tp>
      <tp t="e">
        <v>#N/A</v>
        <stp/>
        <stp>BDP|17783439322918078276</stp>
        <tr r="AA11" s="1"/>
        <tr r="AA102" s="1"/>
      </tp>
      <tp t="e">
        <v>#N/A</v>
        <stp/>
        <stp>BDP|11183804026361351158</stp>
        <tr r="H95" s="1"/>
        <tr r="H95" s="1"/>
        <tr r="H71" s="1"/>
        <tr r="H71" s="1"/>
      </tp>
      <tp t="e">
        <v>#N/A</v>
        <stp/>
        <stp>BDP|17318831940296310638</stp>
        <tr r="AE73" s="1"/>
        <tr r="AE168" s="1"/>
      </tp>
      <tp t="e">
        <v>#N/A</v>
        <stp/>
        <stp>BDP|13461984019144293472</stp>
        <tr r="H143" s="1"/>
        <tr r="H143" s="1"/>
        <tr r="H127" s="1"/>
        <tr r="H127" s="1"/>
      </tp>
      <tp t="e">
        <v>#N/A</v>
        <stp/>
        <stp>BDP|14767265485233359679</stp>
        <tr r="M47" s="1"/>
        <tr r="M47" s="1"/>
      </tp>
      <tp t="e">
        <v>#N/A</v>
        <stp/>
        <stp>BDP|14054641602978309159</stp>
        <tr r="AK88" s="1"/>
        <tr r="AK88" s="1"/>
        <tr r="AK88" s="1"/>
      </tp>
      <tp t="e">
        <v>#N/A</v>
        <stp/>
        <stp>BDP|11083468674479502070</stp>
        <tr r="H83" s="1"/>
        <tr r="H83" s="1"/>
        <tr r="H50" s="1"/>
        <tr r="H50" s="1"/>
      </tp>
      <tp t="e">
        <v>#N/A</v>
        <stp/>
        <stp>BDP|16504347625125607919</stp>
        <tr r="AA62" s="1"/>
        <tr r="AA53" s="1"/>
        <tr r="AA45" s="1"/>
        <tr r="AA115" s="1"/>
      </tp>
      <tp t="e">
        <v>#N/A</v>
        <stp/>
        <stp>BDP|10642510692384639308</stp>
        <tr r="V50" s="3"/>
        <tr r="V49" s="3"/>
        <tr r="V48" s="3"/>
        <tr r="V47" s="3"/>
        <tr r="V46" s="3"/>
        <tr r="V45" s="3"/>
        <tr r="V44" s="3"/>
        <tr r="V43" s="3"/>
        <tr r="V42" s="3"/>
        <tr r="V41" s="3"/>
        <tr r="V40" s="3"/>
        <tr r="V39" s="3"/>
        <tr r="V38" s="3"/>
        <tr r="V37" s="3"/>
        <tr r="V36" s="3"/>
        <tr r="V35" s="3"/>
      </tp>
      <tp t="e">
        <v>#N/A</v>
        <stp/>
        <stp>BDP|17426053091342536760</stp>
        <tr r="V160" s="1"/>
      </tp>
      <tp t="e">
        <v>#N/A</v>
        <stp/>
        <stp>BDP|12185395892384994707</stp>
        <tr r="Q139" s="1"/>
        <tr r="Q129" s="1"/>
      </tp>
      <tp t="e">
        <v>#N/A</v>
        <stp/>
        <stp>BDP|17502618602483705936</stp>
        <tr r="AM96" s="3"/>
        <tr r="AM96" s="3"/>
        <tr r="AM96" s="3"/>
        <tr r="AM95" s="3"/>
        <tr r="AM95" s="3"/>
        <tr r="AM95" s="3"/>
      </tp>
      <tp t="e">
        <v>#N/A</v>
        <stp/>
        <stp>BDP|12948403664558923369</stp>
        <tr r="AK67" s="1"/>
        <tr r="AK67" s="1"/>
        <tr r="AK67" s="1"/>
        <tr r="AK43" s="1"/>
        <tr r="AK43" s="1"/>
        <tr r="AK43" s="1"/>
        <tr r="AK30" s="1"/>
        <tr r="AK30" s="1"/>
        <tr r="AK30" s="1"/>
        <tr r="AK3" s="1"/>
        <tr r="AK3" s="1"/>
        <tr r="AK3" s="1"/>
        <tr r="AK21" s="1"/>
        <tr r="AK21" s="1"/>
        <tr r="AK21" s="1"/>
        <tr r="AK166" s="1"/>
        <tr r="AK166" s="1"/>
        <tr r="AK166" s="1"/>
        <tr r="AK147" s="1"/>
        <tr r="AK147" s="1"/>
        <tr r="AK147" s="1"/>
        <tr r="AK125" s="1"/>
        <tr r="AK125" s="1"/>
        <tr r="AK125" s="1"/>
        <tr r="AK114" s="1"/>
        <tr r="AK114" s="1"/>
        <tr r="AK114" s="1"/>
      </tp>
      <tp t="e">
        <v>#N/A</v>
        <stp/>
        <stp>BDP|11966081291401326210</stp>
        <tr r="AJ78" s="3"/>
        <tr r="AJ78" s="3"/>
        <tr r="AJ78" s="3"/>
        <tr r="AJ77" s="3"/>
        <tr r="AJ77" s="3"/>
        <tr r="AJ77" s="3"/>
        <tr r="AJ76" s="3"/>
        <tr r="AJ76" s="3"/>
        <tr r="AJ76" s="3"/>
        <tr r="AJ75" s="3"/>
        <tr r="AJ75" s="3"/>
        <tr r="AJ75" s="3"/>
        <tr r="AJ74" s="3"/>
        <tr r="AJ74" s="3"/>
        <tr r="AJ74" s="3"/>
        <tr r="AJ73" s="3"/>
        <tr r="AJ73" s="3"/>
        <tr r="AJ73" s="3"/>
      </tp>
      <tp t="e">
        <v>#N/A</v>
        <stp/>
        <stp>BDP|14576951672889997897</stp>
        <tr r="AA88" s="1"/>
      </tp>
      <tp t="e">
        <v>#N/A</v>
        <stp/>
        <stp>BDP|10320874365770039536</stp>
        <tr r="V64" s="1"/>
      </tp>
      <tp t="e">
        <v>#N/A</v>
        <stp/>
        <stp>BDP|18093721382759647533</stp>
        <tr r="AH50" s="3"/>
        <tr r="AH50" s="3"/>
        <tr r="AH50" s="3"/>
        <tr r="AH49" s="3"/>
        <tr r="AH49" s="3"/>
        <tr r="AH49" s="3"/>
        <tr r="AH48" s="3"/>
        <tr r="AH48" s="3"/>
        <tr r="AH48" s="3"/>
        <tr r="AH47" s="3"/>
        <tr r="AH47" s="3"/>
        <tr r="AH47" s="3"/>
        <tr r="AH46" s="3"/>
        <tr r="AH46" s="3"/>
        <tr r="AH46" s="3"/>
        <tr r="AH45" s="3"/>
        <tr r="AH45" s="3"/>
        <tr r="AH45" s="3"/>
        <tr r="AH44" s="3"/>
        <tr r="AH44" s="3"/>
        <tr r="AH44" s="3"/>
        <tr r="AH43" s="3"/>
        <tr r="AH43" s="3"/>
        <tr r="AH43" s="3"/>
        <tr r="AH42" s="3"/>
        <tr r="AH42" s="3"/>
        <tr r="AH42" s="3"/>
        <tr r="AH41" s="3"/>
        <tr r="AH41" s="3"/>
        <tr r="AH41" s="3"/>
        <tr r="AH40" s="3"/>
        <tr r="AH40" s="3"/>
        <tr r="AH40" s="3"/>
        <tr r="AH39" s="3"/>
        <tr r="AH39" s="3"/>
        <tr r="AH39" s="3"/>
        <tr r="AH38" s="3"/>
        <tr r="AH38" s="3"/>
        <tr r="AH38" s="3"/>
        <tr r="AH37" s="3"/>
        <tr r="AH37" s="3"/>
        <tr r="AH37" s="3"/>
        <tr r="AH36" s="3"/>
        <tr r="AH36" s="3"/>
        <tr r="AH36" s="3"/>
        <tr r="AH35" s="3"/>
        <tr r="AH35" s="3"/>
        <tr r="AH35" s="3"/>
      </tp>
      <tp t="e">
        <v>#N/A</v>
        <stp/>
        <stp>BDP|14408920532415051011</stp>
        <tr r="AM66" s="1"/>
        <tr r="AM66" s="1"/>
        <tr r="AM49" s="1"/>
        <tr r="AM49" s="1"/>
        <tr r="AM42" s="1"/>
        <tr r="AM42" s="1"/>
      </tp>
      <tp t="e">
        <v>#N/A</v>
        <stp/>
        <stp>BDP|10723683729776040924</stp>
        <tr r="AD68" s="1"/>
        <tr r="AD31" s="1"/>
      </tp>
      <tp t="e">
        <v>#N/A</v>
        <stp/>
        <stp>BDP|16683331016496223966</stp>
        <tr r="BC87" s="3"/>
      </tp>
      <tp t="e">
        <v>#N/A</v>
        <stp/>
        <stp>BDP|17189370947108222343</stp>
        <tr r="AL56" s="1"/>
      </tp>
      <tp t="e">
        <v>#N/A</v>
        <stp/>
        <stp>BDP|11344991350333419595</stp>
        <tr r="AD78" s="1"/>
        <tr r="AD154" s="1"/>
        <tr r="AD149" s="1"/>
        <tr r="AD124" s="1"/>
      </tp>
      <tp t="e">
        <v>#N/A</v>
        <stp/>
        <stp>BDP|13899360695865525791</stp>
        <tr r="AE114" s="3"/>
        <tr r="AE114" s="3"/>
        <tr r="AE114" s="3"/>
        <tr r="AE113" s="3"/>
        <tr r="AE113" s="3"/>
        <tr r="AE113" s="3"/>
        <tr r="AE112" s="3"/>
        <tr r="AE112" s="3"/>
        <tr r="AE112" s="3"/>
      </tp>
      <tp t="e">
        <v>#N/A</v>
        <stp/>
        <stp>BDP|13751113490009874993</stp>
        <tr r="H83" s="1"/>
        <tr r="H83" s="1"/>
        <tr r="H50" s="1"/>
        <tr r="H50" s="1"/>
      </tp>
      <tp t="e">
        <v>#N/A</v>
        <stp/>
        <stp>BDP|16730781584037506593</stp>
        <tr r="V62" s="1"/>
        <tr r="V53" s="1"/>
        <tr r="V45" s="1"/>
        <tr r="V115" s="1"/>
      </tp>
      <tp t="e">
        <v>#N/A</v>
        <stp/>
        <stp>BDP|16654536087153021350</stp>
        <tr r="H72" s="1"/>
        <tr r="H72" s="1"/>
        <tr r="H33" s="1"/>
        <tr r="H33" s="1"/>
        <tr r="H158" s="1"/>
        <tr r="H158" s="1"/>
      </tp>
      <tp t="e">
        <v>#N/A</v>
        <stp/>
        <stp>BDP|14719176743168404203</stp>
        <tr r="Q148" s="1"/>
        <tr r="Q138" s="1"/>
      </tp>
      <tp t="e">
        <v>#N/A</v>
        <stp/>
        <stp>BDP|13502199775737753985</stp>
        <tr r="H139" s="1"/>
        <tr r="H139" s="1"/>
        <tr r="H129" s="1"/>
        <tr r="H129" s="1"/>
      </tp>
      <tp t="e">
        <v>#N/A</v>
        <stp/>
        <stp>BDP|15670383282084212188</stp>
        <tr r="W15" s="1"/>
        <tr r="W109" s="1"/>
      </tp>
      <tp t="e">
        <v>#N/A</v>
        <stp/>
        <stp>BDP|12661801242713457665</stp>
        <tr r="AJ119" s="3"/>
        <tr r="AJ119" s="3"/>
        <tr r="AJ119" s="3"/>
        <tr r="AJ118" s="3"/>
        <tr r="AJ118" s="3"/>
        <tr r="AJ118" s="3"/>
        <tr r="AJ117" s="3"/>
        <tr r="AJ117" s="3"/>
        <tr r="AJ117" s="3"/>
        <tr r="AJ116" s="3"/>
        <tr r="AJ116" s="3"/>
        <tr r="AJ116" s="3"/>
      </tp>
      <tp t="e">
        <v>#N/A</v>
        <stp/>
        <stp>BDP|11909942800307267491</stp>
        <tr r="AE19" s="1"/>
      </tp>
      <tp t="e">
        <v>#N/A</v>
        <stp/>
        <stp>BDP|12945200157846132899</stp>
        <tr r="AK8" s="1"/>
        <tr r="AK8" s="1"/>
        <tr r="AK8" s="1"/>
        <tr r="AK106" s="1"/>
        <tr r="AK106" s="1"/>
        <tr r="AK106" s="1"/>
      </tp>
    </main>
    <main first="bloomberg.rtd">
      <tp>
        <v>75805.470996967997</v>
        <stp/>
        <stp>##V3_BDPV12</stp>
        <stp>BP/ LN Equity</stp>
        <stp>CRNCY_ADJ_MKT_CAP</stp>
        <stp>[DPM - Securities Master List (BBG Linked).xlsx]Equities!R90C9</stp>
        <stp>EQY_FUND_CRNCY=USD</stp>
        <tr r="I90" s="2"/>
      </tp>
      <tp>
        <v>15</v>
        <stp/>
        <stp>##V3_BDPV12</stp>
        <stp>AAL US Equity</stp>
        <stp>TOT_BUY_REC</stp>
        <stp>[DPM - Securities Master List (BBG Linked).xlsx]Equities!R28C34</stp>
        <tr r="AH28" s="2"/>
      </tp>
      <tp>
        <v>15</v>
        <stp/>
        <stp>##V3_BDPV12</stp>
        <stp>AAL US Equity</stp>
        <stp>TOT_BUY_REC</stp>
        <stp>[DPM - Securities Master List (BBG Linked).xlsx]Equities!R29C34</stp>
        <tr r="AH29" s="2"/>
      </tp>
      <tp>
        <v>15</v>
        <stp/>
        <stp>##V3_BDPV12</stp>
        <stp>AAL US Equity</stp>
        <stp>TOT_BUY_REC</stp>
        <stp>[DPM - Securities Master List (BBG Linked).xlsx]Equities!R32C34</stp>
        <tr r="AH32" s="2"/>
      </tp>
      <tp>
        <v>15</v>
        <stp/>
        <stp>##V3_BDPV12</stp>
        <stp>AAL US Equity</stp>
        <stp>TOT_BUY_REC</stp>
        <stp>[DPM - Securities Master List (BBG Linked).xlsx]Equities!R33C34</stp>
        <tr r="AH33" s="2"/>
      </tp>
      <tp>
        <v>15</v>
        <stp/>
        <stp>##V3_BDPV12</stp>
        <stp>AAL US Equity</stp>
        <stp>TOT_BUY_REC</stp>
        <stp>[DPM - Securities Master List (BBG Linked).xlsx]Equities!R30C34</stp>
        <tr r="AH30" s="2"/>
      </tp>
      <tp>
        <v>15</v>
        <stp/>
        <stp>##V3_BDPV12</stp>
        <stp>AAL US Equity</stp>
        <stp>TOT_BUY_REC</stp>
        <stp>[DPM - Securities Master List (BBG Linked).xlsx]Equities!R31C34</stp>
        <tr r="AH31" s="2"/>
      </tp>
      <tp t="s">
        <v>Baidu Inc</v>
        <stp/>
        <stp>##V3_BDPV12</stp>
        <stp>9888 HK Equity</stp>
        <stp>SECURITY NAME</stp>
        <stp>[DPM - Securities Master List (BBG Linked).xlsx]Equities!R25C5</stp>
        <tr r="E25" s="2"/>
      </tp>
      <tp t="s">
        <v>Baidu Inc</v>
        <stp/>
        <stp>##V3_BDPV12</stp>
        <stp>9888 HK Equity</stp>
        <stp>SECURITY NAME</stp>
        <stp>[DPM - Securities Master List (BBG Linked).xlsx]Equities!R15C5</stp>
        <tr r="E15" s="2"/>
      </tp>
      <tp>
        <v>-0.3897448</v>
        <stp/>
        <stp>##V3_BDPV12</stp>
        <stp>GOOGL US Equity</stp>
        <stp>CHG_PCT_1D</stp>
        <stp>[DPM - Securities Master List (BBG Linked).xlsx]Equities!R140C22</stp>
        <tr r="V140" s="2"/>
      </tp>
      <tp>
        <v>-0.3897448</v>
        <stp/>
        <stp>##V3_BDPV12</stp>
        <stp>GOOGL US Equity</stp>
        <stp>CHG_PCT_1D</stp>
        <stp>[DPM - Securities Master List (BBG Linked).xlsx]Equities!R141C22</stp>
        <tr r="V141" s="2"/>
      </tp>
      <tp>
        <v>-0.41410390000000002</v>
        <stp/>
        <stp>##V3_BDPV12</stp>
        <stp>GOOGL UQ Equity</stp>
        <stp>CHG_PCT_1D</stp>
        <stp>[DPM - Securities Master List (BBG Linked).xlsx]Equities!R126C22</stp>
        <tr r="V126" s="2"/>
      </tp>
      <tp>
        <v>-0.3897448</v>
        <stp/>
        <stp>##V3_BDPV12</stp>
        <stp>GOOGL US Equity</stp>
        <stp>CHG_PCT_1D</stp>
        <stp>[DPM - Securities Master List (BBG Linked).xlsx]Equities!R127C22</stp>
        <tr r="V127" s="2"/>
      </tp>
      <tp>
        <v>-0.3897448</v>
        <stp/>
        <stp>##V3_BDPV12</stp>
        <stp>GOOGL US Equity</stp>
        <stp>CHG_PCT_1D</stp>
        <stp>[DPM - Securities Master List (BBG Linked).xlsx]Equities!R128C22</stp>
        <tr r="V128" s="2"/>
      </tp>
      <tp>
        <v>-0.3897448</v>
        <stp/>
        <stp>##V3_BDPV12</stp>
        <stp>GOOGL US Equity</stp>
        <stp>CHG_PCT_1D</stp>
        <stp>[DPM - Securities Master List (BBG Linked).xlsx]Equities!R129C22</stp>
        <tr r="V129" s="2"/>
      </tp>
      <tp>
        <v>-0.3897448</v>
        <stp/>
        <stp>##V3_BDPV12</stp>
        <stp>GOOGL US Equity</stp>
        <stp>CHG_PCT_1D</stp>
        <stp>[DPM - Securities Master List (BBG Linked).xlsx]Equities!R134C22</stp>
        <tr r="V134" s="2"/>
      </tp>
      <tp>
        <v>-0.3897448</v>
        <stp/>
        <stp>##V3_BDPV12</stp>
        <stp>GOOGL US Equity</stp>
        <stp>CHG_PCT_1D</stp>
        <stp>[DPM - Securities Master List (BBG Linked).xlsx]Equities!R135C22</stp>
        <tr r="V135" s="2"/>
      </tp>
      <tp>
        <v>-0.3897448</v>
        <stp/>
        <stp>##V3_BDPV12</stp>
        <stp>GOOGL US Equity</stp>
        <stp>CHG_PCT_1D</stp>
        <stp>[DPM - Securities Master List (BBG Linked).xlsx]Equities!R136C22</stp>
        <tr r="V136" s="2"/>
      </tp>
      <tp>
        <v>-0.3897448</v>
        <stp/>
        <stp>##V3_BDPV12</stp>
        <stp>GOOGL US Equity</stp>
        <stp>CHG_PCT_1D</stp>
        <stp>[DPM - Securities Master List (BBG Linked).xlsx]Equities!R137C22</stp>
        <tr r="V137" s="2"/>
      </tp>
      <tp>
        <v>-0.3897448</v>
        <stp/>
        <stp>##V3_BDPV12</stp>
        <stp>GOOGL US Equity</stp>
        <stp>CHG_PCT_1D</stp>
        <stp>[DPM - Securities Master List (BBG Linked).xlsx]Equities!R130C22</stp>
        <tr r="V130" s="2"/>
      </tp>
      <tp>
        <v>-0.3897448</v>
        <stp/>
        <stp>##V3_BDPV12</stp>
        <stp>GOOGL US Equity</stp>
        <stp>CHG_PCT_1D</stp>
        <stp>[DPM - Securities Master List (BBG Linked).xlsx]Equities!R131C22</stp>
        <tr r="V131" s="2"/>
      </tp>
      <tp>
        <v>-0.3897448</v>
        <stp/>
        <stp>##V3_BDPV12</stp>
        <stp>GOOGL US Equity</stp>
        <stp>CHG_PCT_1D</stp>
        <stp>[DPM - Securities Master List (BBG Linked).xlsx]Equities!R132C22</stp>
        <tr r="V132" s="2"/>
      </tp>
      <tp>
        <v>-0.3897448</v>
        <stp/>
        <stp>##V3_BDPV12</stp>
        <stp>GOOGL US Equity</stp>
        <stp>CHG_PCT_1D</stp>
        <stp>[DPM - Securities Master List (BBG Linked).xlsx]Equities!R133C22</stp>
        <tr r="V133" s="2"/>
      </tp>
      <tp>
        <v>-0.3897448</v>
        <stp/>
        <stp>##V3_BDPV12</stp>
        <stp>GOOGL US Equity</stp>
        <stp>CHG_PCT_1D</stp>
        <stp>[DPM - Securities Master List (BBG Linked).xlsx]Equities!R138C22</stp>
        <tr r="V138" s="2"/>
      </tp>
      <tp>
        <v>-0.3897448</v>
        <stp/>
        <stp>##V3_BDPV12</stp>
        <stp>GOOGL US Equity</stp>
        <stp>CHG_PCT_1D</stp>
        <stp>[DPM - Securities Master List (BBG Linked).xlsx]Equities!R139C22</stp>
        <tr r="V139" s="2"/>
      </tp>
      <tp>
        <v>1.7924530000000001</v>
        <stp/>
        <stp>##V3_BDPV12</stp>
        <stp>DGE LN Equity</stp>
        <stp>CHG_PCT_1D</stp>
        <stp>[DPM - Securities Master List (BBG Linked).xlsx]Equities!R108C22</stp>
        <tr r="V108" s="2"/>
      </tp>
      <tp>
        <v>1.7924530000000001</v>
        <stp/>
        <stp>##V3_BDPV12</stp>
        <stp>DGE LN Equity</stp>
        <stp>CHG_PCT_1D</stp>
        <stp>[DPM - Securities Master List (BBG Linked).xlsx]Equities!R109C22</stp>
        <tr r="V109" s="2"/>
      </tp>
      <tp>
        <v>1.7924530000000001</v>
        <stp/>
        <stp>##V3_BDPV12</stp>
        <stp>DGE LN Equity</stp>
        <stp>CHG_PCT_1D</stp>
        <stp>[DPM - Securities Master List (BBG Linked).xlsx]Equities!R110C22</stp>
        <tr r="V110" s="2"/>
      </tp>
      <tp>
        <v>1.7924530000000001</v>
        <stp/>
        <stp>##V3_BDPV12</stp>
        <stp>DGE LN Equity</stp>
        <stp>CHG_PCT_1D</stp>
        <stp>[DPM - Securities Master List (BBG Linked).xlsx]Equities!R111C22</stp>
        <tr r="V111" s="2"/>
      </tp>
      <tp>
        <v>1.0888930000000001</v>
        <stp/>
        <stp>##V3_BDPV12</stp>
        <stp>TTE FP Equity</stp>
        <stp>CHG_PCT_1D</stp>
        <stp>[DPM - Securities Master List (BBG Linked).xlsx]Equities!R287C22</stp>
        <tr r="V287" s="2"/>
      </tp>
      <tp>
        <v>1.0888930000000001</v>
        <stp/>
        <stp>##V3_BDPV12</stp>
        <stp>TTE FP Equity</stp>
        <stp>CHG_PCT_1D</stp>
        <stp>[DPM - Securities Master List (BBG Linked).xlsx]Equities!R286C22</stp>
        <tr r="V286" s="2"/>
      </tp>
      <tp>
        <v>1.0888930000000001</v>
        <stp/>
        <stp>##V3_BDPV12</stp>
        <stp>TTE FP Equity</stp>
        <stp>CHG_PCT_1D</stp>
        <stp>[DPM - Securities Master List (BBG Linked).xlsx]Equities!R285C22</stp>
        <tr r="V285" s="2"/>
      </tp>
      <tp>
        <v>1.0888930000000001</v>
        <stp/>
        <stp>##V3_BDPV12</stp>
        <stp>TTE FP Equity</stp>
        <stp>CHG_PCT_1D</stp>
        <stp>[DPM - Securities Master List (BBG Linked).xlsx]Equities!R284C22</stp>
        <tr r="V284" s="2"/>
      </tp>
      <tp>
        <v>1.0888930000000001</v>
        <stp/>
        <stp>##V3_BDPV12</stp>
        <stp>TTE FP Equity</stp>
        <stp>CHG_PCT_1D</stp>
        <stp>[DPM - Securities Master List (BBG Linked).xlsx]Equities!R283C22</stp>
        <tr r="V283" s="2"/>
      </tp>
      <tp>
        <v>1.0888930000000001</v>
        <stp/>
        <stp>##V3_BDPV12</stp>
        <stp>TTE FP Equity</stp>
        <stp>CHG_PCT_1D</stp>
        <stp>[DPM - Securities Master List (BBG Linked).xlsx]Equities!R282C22</stp>
        <tr r="V282" s="2"/>
      </tp>
      <tp>
        <v>1.0888930000000001</v>
        <stp/>
        <stp>##V3_BDPV12</stp>
        <stp>TTE FP Equity</stp>
        <stp>CHG_PCT_1D</stp>
        <stp>[DPM - Securities Master List (BBG Linked).xlsx]Equities!R281C22</stp>
        <tr r="V281" s="2"/>
      </tp>
      <tp>
        <v>1.0888930000000001</v>
        <stp/>
        <stp>##V3_BDPV12</stp>
        <stp>TTE FP Equity</stp>
        <stp>CHG_PCT_1D</stp>
        <stp>[DPM - Securities Master List (BBG Linked).xlsx]Equities!R280C22</stp>
        <tr r="V280" s="2"/>
      </tp>
      <tp>
        <v>1.0888930000000001</v>
        <stp/>
        <stp>##V3_BDPV12</stp>
        <stp>TTE FP Equity</stp>
        <stp>CHG_PCT_1D</stp>
        <stp>[DPM - Securities Master List (BBG Linked).xlsx]Equities!R288C22</stp>
        <tr r="V288" s="2"/>
      </tp>
      <tp>
        <v>0.33129900000000001</v>
        <stp/>
        <stp>##V3_BDPV12</stp>
        <stp>NKE US Equity</stp>
        <stp>CHG_PCT_1D</stp>
        <stp>[DPM - Securities Master List (BBG Linked).xlsx]Equities!R219C22</stp>
        <tr r="V219" s="2"/>
      </tp>
      <tp>
        <v>0.33129900000000001</v>
        <stp/>
        <stp>##V3_BDPV12</stp>
        <stp>NKE US Equity</stp>
        <stp>CHG_PCT_1D</stp>
        <stp>[DPM - Securities Master List (BBG Linked).xlsx]Equities!R218C22</stp>
        <tr r="V218" s="2"/>
      </tp>
      <tp>
        <v>1.0345850000000001</v>
        <stp/>
        <stp>##V3_BDPV12</stp>
        <stp>SSE LN Equity</stp>
        <stp>CHG_PCT_1D</stp>
        <stp>[DPM - Securities Master List (BBG Linked).xlsx]Equities!R258C22</stp>
        <tr r="V258" s="2"/>
      </tp>
      <tp>
        <v>0.33129900000000001</v>
        <stp/>
        <stp>##V3_BDPV12</stp>
        <stp>NKE US Equity</stp>
        <stp>CHG_PCT_1D</stp>
        <stp>[DPM - Securities Master List (BBG Linked).xlsx]Equities!R213C22</stp>
        <tr r="V213" s="2"/>
      </tp>
      <tp>
        <v>1.0345850000000001</v>
        <stp/>
        <stp>##V3_BDPV12</stp>
        <stp>SSE LN Equity</stp>
        <stp>CHG_PCT_1D</stp>
        <stp>[DPM - Securities Master List (BBG Linked).xlsx]Equities!R256C22</stp>
        <tr r="V256" s="2"/>
      </tp>
      <tp>
        <v>0.33129900000000001</v>
        <stp/>
        <stp>##V3_BDPV12</stp>
        <stp>NKE US Equity</stp>
        <stp>CHG_PCT_1D</stp>
        <stp>[DPM - Securities Master List (BBG Linked).xlsx]Equities!R212C22</stp>
        <tr r="V212" s="2"/>
      </tp>
      <tp>
        <v>1.0345850000000001</v>
        <stp/>
        <stp>##V3_BDPV12</stp>
        <stp>SSE LN Equity</stp>
        <stp>CHG_PCT_1D</stp>
        <stp>[DPM - Securities Master List (BBG Linked).xlsx]Equities!R257C22</stp>
        <tr r="V257" s="2"/>
      </tp>
      <tp>
        <v>0.33129900000000001</v>
        <stp/>
        <stp>##V3_BDPV12</stp>
        <stp>NKE US Equity</stp>
        <stp>CHG_PCT_1D</stp>
        <stp>[DPM - Securities Master List (BBG Linked).xlsx]Equities!R211C22</stp>
        <tr r="V211" s="2"/>
      </tp>
      <tp>
        <v>1.0345850000000001</v>
        <stp/>
        <stp>##V3_BDPV12</stp>
        <stp>SSE LN Equity</stp>
        <stp>CHG_PCT_1D</stp>
        <stp>[DPM - Securities Master List (BBG Linked).xlsx]Equities!R254C22</stp>
        <tr r="V254" s="2"/>
      </tp>
      <tp>
        <v>0.33129900000000001</v>
        <stp/>
        <stp>##V3_BDPV12</stp>
        <stp>NKE US Equity</stp>
        <stp>CHG_PCT_1D</stp>
        <stp>[DPM - Securities Master List (BBG Linked).xlsx]Equities!R210C22</stp>
        <tr r="V210" s="2"/>
      </tp>
      <tp>
        <v>1.0345850000000001</v>
        <stp/>
        <stp>##V3_BDPV12</stp>
        <stp>SSE LN Equity</stp>
        <stp>CHG_PCT_1D</stp>
        <stp>[DPM - Securities Master List (BBG Linked).xlsx]Equities!R255C22</stp>
        <tr r="V255" s="2"/>
      </tp>
      <tp>
        <v>0.33129900000000001</v>
        <stp/>
        <stp>##V3_BDPV12</stp>
        <stp>NKE US Equity</stp>
        <stp>CHG_PCT_1D</stp>
        <stp>[DPM - Securities Master List (BBG Linked).xlsx]Equities!R217C22</stp>
        <tr r="V217" s="2"/>
      </tp>
      <tp>
        <v>1.0345850000000001</v>
        <stp/>
        <stp>##V3_BDPV12</stp>
        <stp>SSE LN Equity</stp>
        <stp>CHG_PCT_1D</stp>
        <stp>[DPM - Securities Master List (BBG Linked).xlsx]Equities!R252C22</stp>
        <tr r="V252" s="2"/>
      </tp>
      <tp>
        <v>0.33129900000000001</v>
        <stp/>
        <stp>##V3_BDPV12</stp>
        <stp>NKE US Equity</stp>
        <stp>CHG_PCT_1D</stp>
        <stp>[DPM - Securities Master List (BBG Linked).xlsx]Equities!R216C22</stp>
        <tr r="V216" s="2"/>
      </tp>
      <tp>
        <v>1.0345850000000001</v>
        <stp/>
        <stp>##V3_BDPV12</stp>
        <stp>SSE LN Equity</stp>
        <stp>CHG_PCT_1D</stp>
        <stp>[DPM - Securities Master List (BBG Linked).xlsx]Equities!R253C22</stp>
        <tr r="V253" s="2"/>
      </tp>
      <tp>
        <v>0.33129900000000001</v>
        <stp/>
        <stp>##V3_BDPV12</stp>
        <stp>NKE US Equity</stp>
        <stp>CHG_PCT_1D</stp>
        <stp>[DPM - Securities Master List (BBG Linked).xlsx]Equities!R215C22</stp>
        <tr r="V215" s="2"/>
      </tp>
      <tp>
        <v>1.0345850000000001</v>
        <stp/>
        <stp>##V3_BDPV12</stp>
        <stp>SSE LN Equity</stp>
        <stp>CHG_PCT_1D</stp>
        <stp>[DPM - Securities Master List (BBG Linked).xlsx]Equities!R250C22</stp>
        <tr r="V250" s="2"/>
      </tp>
      <tp>
        <v>0.33129900000000001</v>
        <stp/>
        <stp>##V3_BDPV12</stp>
        <stp>NKE US Equity</stp>
        <stp>CHG_PCT_1D</stp>
        <stp>[DPM - Securities Master List (BBG Linked).xlsx]Equities!R214C22</stp>
        <tr r="V214" s="2"/>
      </tp>
      <tp>
        <v>1.0345850000000001</v>
        <stp/>
        <stp>##V3_BDPV12</stp>
        <stp>SSE LN Equity</stp>
        <stp>CHG_PCT_1D</stp>
        <stp>[DPM - Securities Master List (BBG Linked).xlsx]Equities!R251C22</stp>
        <tr r="V251" s="2"/>
      </tp>
      <tp>
        <v>0.33129900000000001</v>
        <stp/>
        <stp>##V3_BDPV12</stp>
        <stp>NKE US Equity</stp>
        <stp>CHG_PCT_1D</stp>
        <stp>[DPM - Securities Master List (BBG Linked).xlsx]Equities!R209C22</stp>
        <tr r="V209" s="2"/>
      </tp>
      <tp>
        <v>0.33129900000000001</v>
        <stp/>
        <stp>##V3_BDPV12</stp>
        <stp>NKE US Equity</stp>
        <stp>CHG_PCT_1D</stp>
        <stp>[DPM - Securities Master List (BBG Linked).xlsx]Equities!R208C22</stp>
        <tr r="V208" s="2"/>
      </tp>
      <tp>
        <v>1.0345850000000001</v>
        <stp/>
        <stp>##V3_BDPV12</stp>
        <stp>SSE LN Equity</stp>
        <stp>CHG_PCT_1D</stp>
        <stp>[DPM - Securities Master List (BBG Linked).xlsx]Equities!R248C22</stp>
        <tr r="V248" s="2"/>
      </tp>
      <tp>
        <v>1.0345850000000001</v>
        <stp/>
        <stp>##V3_BDPV12</stp>
        <stp>SSE LN Equity</stp>
        <stp>CHG_PCT_1D</stp>
        <stp>[DPM - Securities Master List (BBG Linked).xlsx]Equities!R249C22</stp>
        <tr r="V249" s="2"/>
      </tp>
      <tp>
        <v>1.0345850000000001</v>
        <stp/>
        <stp>##V3_BDPV12</stp>
        <stp>SSE LN Equity</stp>
        <stp>CHG_PCT_1D</stp>
        <stp>[DPM - Securities Master List (BBG Linked).xlsx]Equities!R246C22</stp>
        <tr r="V246" s="2"/>
      </tp>
      <tp>
        <v>1.0345850000000001</v>
        <stp/>
        <stp>##V3_BDPV12</stp>
        <stp>SSE LN Equity</stp>
        <stp>CHG_PCT_1D</stp>
        <stp>[DPM - Securities Master List (BBG Linked).xlsx]Equities!R247C22</stp>
        <tr r="V247" s="2"/>
      </tp>
      <tp>
        <v>1.0345850000000001</v>
        <stp/>
        <stp>##V3_BDPV12</stp>
        <stp>SSE LN Equity</stp>
        <stp>CHG_PCT_1D</stp>
        <stp>[DPM - Securities Master List (BBG Linked).xlsx]Equities!R244C22</stp>
        <tr r="V244" s="2"/>
      </tp>
      <tp>
        <v>1.0345850000000001</v>
        <stp/>
        <stp>##V3_BDPV12</stp>
        <stp>SSE LN Equity</stp>
        <stp>CHG_PCT_1D</stp>
        <stp>[DPM - Securities Master List (BBG Linked).xlsx]Equities!R245C22</stp>
        <tr r="V245" s="2"/>
      </tp>
      <tp>
        <v>0.33129900000000001</v>
        <stp/>
        <stp>##V3_BDPV12</stp>
        <stp>NKE US Equity</stp>
        <stp>CHG_PCT_1D</stp>
        <stp>[DPM - Securities Master List (BBG Linked).xlsx]Equities!R207C22</stp>
        <tr r="V207" s="2"/>
      </tp>
      <tp>
        <v>0.33129900000000001</v>
        <stp/>
        <stp>##V3_BDPV12</stp>
        <stp>NKE US Equity</stp>
        <stp>CHG_PCT_1D</stp>
        <stp>[DPM - Securities Master List (BBG Linked).xlsx]Equities!R222C22</stp>
        <tr r="V222" s="2"/>
      </tp>
      <tp>
        <v>0.33129900000000001</v>
        <stp/>
        <stp>##V3_BDPV12</stp>
        <stp>NKE US Equity</stp>
        <stp>CHG_PCT_1D</stp>
        <stp>[DPM - Securities Master List (BBG Linked).xlsx]Equities!R221C22</stp>
        <tr r="V221" s="2"/>
      </tp>
      <tp>
        <v>0.33129900000000001</v>
        <stp/>
        <stp>##V3_BDPV12</stp>
        <stp>NKE US Equity</stp>
        <stp>CHG_PCT_1D</stp>
        <stp>[DPM - Securities Master List (BBG Linked).xlsx]Equities!R220C22</stp>
        <tr r="V220" s="2"/>
      </tp>
      <tp>
        <v>1.0888930000000001</v>
        <stp/>
        <stp>##V3_BDPV12</stp>
        <stp>TTE FP Equity</stp>
        <stp>CHG_PCT_1D</stp>
        <stp>[DPM - Securities Master List (BBG Linked).xlsx]Equities!R277C22</stp>
        <tr r="V277" s="2"/>
      </tp>
      <tp>
        <v>1.0888930000000001</v>
        <stp/>
        <stp>##V3_BDPV12</stp>
        <stp>TTE FP Equity</stp>
        <stp>CHG_PCT_1D</stp>
        <stp>[DPM - Securities Master List (BBG Linked).xlsx]Equities!R276C22</stp>
        <tr r="V276" s="2"/>
      </tp>
      <tp>
        <v>1.0888930000000001</v>
        <stp/>
        <stp>##V3_BDPV12</stp>
        <stp>TTE FP Equity</stp>
        <stp>CHG_PCT_1D</stp>
        <stp>[DPM - Securities Master List (BBG Linked).xlsx]Equities!R279C22</stp>
        <tr r="V279" s="2"/>
      </tp>
      <tp>
        <v>1.0888930000000001</v>
        <stp/>
        <stp>##V3_BDPV12</stp>
        <stp>TTE FP Equity</stp>
        <stp>CHG_PCT_1D</stp>
        <stp>[DPM - Securities Master List (BBG Linked).xlsx]Equities!R278C22</stp>
        <tr r="V278" s="2"/>
      </tp>
    </main>
    <main first="bofaddin.rtdserver">
      <tp t="e">
        <v>#N/A</v>
        <stp/>
        <stp>BDP|15337885205667480231</stp>
        <tr r="K96" s="1"/>
        <tr r="K77" s="1"/>
        <tr r="K65" s="1"/>
        <tr r="K36" s="1"/>
        <tr r="K27" s="1"/>
        <tr r="K162" s="1"/>
      </tp>
      <tp t="e">
        <v>#N/A</v>
        <stp/>
        <stp>BDP|10170729489737485078</stp>
        <tr r="AL18" s="1"/>
      </tp>
      <tp t="e">
        <v>#N/A</v>
        <stp/>
        <stp>BDP|17868142923688147461</stp>
        <tr r="E44" s="1"/>
      </tp>
      <tp t="e">
        <v>#N/A</v>
        <stp/>
        <stp>BDP|14954239750183496857</stp>
        <tr r="Z6" s="1"/>
      </tp>
      <tp t="e">
        <v>#N/A</v>
        <stp/>
        <stp>BDP|12199508602439920616</stp>
        <tr r="L91" s="1"/>
        <tr r="L91" s="1"/>
        <tr r="L76" s="1"/>
        <tr r="L76" s="1"/>
        <tr r="L55" s="1"/>
        <tr r="L55" s="1"/>
        <tr r="L48" s="1"/>
        <tr r="L48" s="1"/>
        <tr r="L26" s="1"/>
        <tr r="L26" s="1"/>
        <tr r="L157" s="1"/>
        <tr r="L157" s="1"/>
        <tr r="L142" s="1"/>
        <tr r="L142" s="1"/>
        <tr r="L132" s="1"/>
        <tr r="L132" s="1"/>
        <tr r="L120" s="1"/>
        <tr r="L120" s="1"/>
        <tr r="L100" s="1"/>
        <tr r="L100" s="1"/>
        <tr r="AS91" s="1"/>
        <tr r="AS76" s="1"/>
        <tr r="AS55" s="1"/>
        <tr r="AS48" s="1"/>
        <tr r="AS26" s="1"/>
        <tr r="AS157" s="1"/>
        <tr r="AS142" s="1"/>
        <tr r="AS132" s="1"/>
        <tr r="AS120" s="1"/>
        <tr r="AS100" s="1"/>
      </tp>
      <tp t="e">
        <v>#N/A</v>
        <stp/>
        <stp>BDP|15538143233239120680</stp>
        <tr r="AD72" s="1"/>
        <tr r="AD33" s="1"/>
        <tr r="AD158" s="1"/>
      </tp>
      <tp t="e">
        <v>#N/A</v>
        <stp/>
        <stp>BDP|10329019683260983031</stp>
        <tr r="AU90" s="1"/>
        <tr r="AU90" s="1"/>
        <tr r="AU90" s="1"/>
      </tp>
      <tp t="e">
        <v>#N/A</v>
        <stp/>
        <stp>BDP|15668033027436868910</stp>
        <tr r="H114" s="3"/>
        <tr r="H114" s="3"/>
        <tr r="H114" s="3"/>
        <tr r="H113" s="3"/>
        <tr r="H113" s="3"/>
        <tr r="H113" s="3"/>
        <tr r="H112" s="3"/>
        <tr r="H112" s="3"/>
        <tr r="H112" s="3"/>
      </tp>
      <tp t="e">
        <v>#N/A</v>
        <stp/>
        <stp>BDP|15881310245018208242</stp>
        <tr r="AG103" s="3"/>
        <tr r="AG103" s="3"/>
        <tr r="AG103" s="3"/>
      </tp>
      <tp t="e">
        <v>#N/A</v>
        <stp/>
        <stp>BDP|16788292494512057704</stp>
        <tr r="X96" s="1"/>
        <tr r="X77" s="1"/>
        <tr r="X65" s="1"/>
        <tr r="X36" s="1"/>
        <tr r="X27" s="1"/>
        <tr r="X162" s="1"/>
      </tp>
      <tp t="e">
        <v>#N/A</v>
        <stp/>
        <stp>BDP|15990434003028020131</stp>
        <tr r="AD66" s="1"/>
        <tr r="AD49" s="1"/>
        <tr r="AD42" s="1"/>
      </tp>
      <tp t="e">
        <v>#N/A</v>
        <stp/>
        <stp>BDP|17484162057592719983</stp>
        <tr r="L38" s="1"/>
        <tr r="L38" s="1"/>
        <tr r="L111" s="1"/>
        <tr r="L111" s="1"/>
        <tr r="AS152" s="1"/>
        <tr r="L165" s="1"/>
        <tr r="L165" s="1"/>
        <tr r="AS74" s="1"/>
        <tr r="AS137" s="1"/>
        <tr r="L16" s="1"/>
        <tr r="L16" s="1"/>
        <tr r="AS61" s="1"/>
        <tr r="AS119" s="1"/>
        <tr r="L152" s="1"/>
        <tr r="L152" s="1"/>
        <tr r="AS38" s="1"/>
        <tr r="AS111" s="1"/>
        <tr r="L99" s="1"/>
        <tr r="L99" s="1"/>
        <tr r="L146" s="1"/>
        <tr r="L146" s="1"/>
        <tr r="AS23" s="1"/>
        <tr r="L74" s="1"/>
        <tr r="L74" s="1"/>
        <tr r="L137" s="1"/>
        <tr r="L137" s="1"/>
        <tr r="AS165" s="1"/>
        <tr r="L61" s="1"/>
        <tr r="L61" s="1"/>
        <tr r="L119" s="1"/>
        <tr r="L119" s="1"/>
        <tr r="AS16" s="1"/>
        <tr r="L23" s="1"/>
        <tr r="L23" s="1"/>
        <tr r="AS99" s="1"/>
        <tr r="AS146" s="1"/>
      </tp>
      <tp t="e">
        <v>#N/A</v>
        <stp/>
        <stp>BDP|18249768079928060874</stp>
        <tr r="AM17" s="1"/>
        <tr r="AM17" s="1"/>
        <tr r="AM112" s="1"/>
        <tr r="AM112" s="1"/>
      </tp>
      <tp t="e">
        <v>#N/A</v>
        <stp/>
        <stp>BDP|15424833754269911905</stp>
        <tr r="E19" s="1"/>
      </tp>
      <tp t="e">
        <v>#N/A</v>
        <stp/>
        <stp>BDP|18128294612480911395</stp>
        <tr r="AM140" s="1"/>
        <tr r="AM140" s="1"/>
        <tr r="AM128" s="1"/>
        <tr r="AM128" s="1"/>
      </tp>
      <tp t="e">
        <v>#N/A</v>
        <stp/>
        <stp>BDP|17631808605131886669</stp>
        <tr r="I37" s="1"/>
        <tr r="I89" s="1"/>
        <tr r="I164" s="1"/>
        <tr r="I81" s="1"/>
        <tr r="I59" s="1"/>
        <tr r="I41" s="1"/>
        <tr r="I29" s="1"/>
        <tr r="I135" s="1"/>
      </tp>
      <tp t="e">
        <v>#N/A</v>
        <stp/>
        <stp>BDP|16879034368421785990</stp>
        <tr r="I96" s="3"/>
        <tr r="I96" s="3"/>
        <tr r="I96" s="3"/>
        <tr r="I95" s="3"/>
        <tr r="I95" s="3"/>
        <tr r="I95" s="3"/>
      </tp>
      <tp t="e">
        <v>#N/A</v>
        <stp/>
        <stp>BDP|10549592632346277811</stp>
        <tr r="K143" s="1"/>
        <tr r="K127" s="1"/>
      </tp>
      <tp t="e">
        <v>#N/A</v>
        <stp/>
        <stp>BDP|12618987301755257607</stp>
        <tr r="AG99" s="3"/>
        <tr r="AG99" s="3"/>
        <tr r="AG99" s="3"/>
        <tr r="AG98" s="3"/>
        <tr r="AG98" s="3"/>
        <tr r="AG98" s="3"/>
        <tr r="AG97" s="3"/>
        <tr r="AG97" s="3"/>
        <tr r="AG97" s="3"/>
      </tp>
      <tp t="e">
        <v>#N/A</v>
        <stp/>
        <stp>BDP|16096054873958264190</stp>
        <tr r="Y160" s="1"/>
      </tp>
      <tp t="e">
        <v>#N/A</v>
        <stp/>
        <stp>BDP|16044539972579492580</stp>
        <tr r="AD19" s="1"/>
      </tp>
      <tp t="e">
        <v>#N/A</v>
        <stp/>
        <stp>BDP|18274616977360828117</stp>
        <tr r="M141" s="3"/>
        <tr r="M141" s="3"/>
        <tr r="M141" s="3"/>
        <tr r="M140" s="3"/>
        <tr r="M140" s="3"/>
        <tr r="M140" s="3"/>
        <tr r="M139" s="3"/>
        <tr r="M139" s="3"/>
        <tr r="M139" s="3"/>
        <tr r="M138" s="3"/>
        <tr r="M138" s="3"/>
        <tr r="M138" s="3"/>
        <tr r="M137" s="3"/>
        <tr r="M137" s="3"/>
        <tr r="M137" s="3"/>
        <tr r="M136" s="3"/>
        <tr r="M136" s="3"/>
        <tr r="M136" s="3"/>
        <tr r="M135" s="3"/>
        <tr r="M135" s="3"/>
        <tr r="M135" s="3"/>
        <tr r="M134" s="3"/>
        <tr r="M134" s="3"/>
        <tr r="M134" s="3"/>
        <tr r="M133" s="3"/>
        <tr r="M133" s="3"/>
        <tr r="M133" s="3"/>
        <tr r="M132" s="3"/>
        <tr r="M132" s="3"/>
        <tr r="M132" s="3"/>
        <tr r="M131" s="3"/>
        <tr r="M131" s="3"/>
        <tr r="M131" s="3"/>
        <tr r="M130" s="3"/>
        <tr r="M130" s="3"/>
        <tr r="M130" s="3"/>
      </tp>
      <tp t="e">
        <v>#N/A</v>
        <stp/>
        <stp>BDP|13419863009461313251</stp>
        <tr r="Q96" s="1"/>
        <tr r="Q77" s="1"/>
        <tr r="Q65" s="1"/>
        <tr r="Q36" s="1"/>
        <tr r="Q27" s="1"/>
        <tr r="Q162" s="1"/>
      </tp>
      <tp t="b">
        <v>0</v>
        <stp/>
        <stp>BDP|16860645712139431077</stp>
        <tr r="Q9" s="3"/>
        <tr r="Q8" s="3"/>
        <tr r="Q7" s="3"/>
        <tr r="Q6" s="3"/>
        <tr r="Q5" s="3"/>
        <tr r="Q4" s="3"/>
        <tr r="Q3" s="3"/>
        <tr r="Q15" s="3"/>
        <tr r="Q14" s="3"/>
        <tr r="Q13" s="3"/>
        <tr r="Q12" s="3"/>
        <tr r="Q11" s="3"/>
        <tr r="Q10" s="3"/>
      </tp>
      <tp t="e">
        <v>#N/A</v>
        <stp/>
        <stp>BDP|13166795461372661808</stp>
        <tr r="AL96" s="1"/>
        <tr r="AL77" s="1"/>
        <tr r="AL65" s="1"/>
        <tr r="AL36" s="1"/>
        <tr r="AL27" s="1"/>
        <tr r="AL162" s="1"/>
      </tp>
      <tp t="e">
        <v>#N/A</v>
        <stp/>
        <stp>BDP|18340072569965553374</stp>
        <tr r="J34" s="3"/>
        <tr r="J34" s="3"/>
        <tr r="J33" s="3"/>
        <tr r="J33" s="3"/>
        <tr r="J32" s="3"/>
        <tr r="J32" s="3"/>
        <tr r="J31" s="3"/>
        <tr r="J31" s="3"/>
        <tr r="J30" s="3"/>
        <tr r="J30" s="3"/>
        <tr r="J29" s="3"/>
        <tr r="J29" s="3"/>
        <tr r="J28" s="3"/>
        <tr r="J28" s="3"/>
        <tr r="J27" s="3"/>
        <tr r="J27" s="3"/>
        <tr r="J26" s="3"/>
        <tr r="J26" s="3"/>
        <tr r="J25" s="3"/>
        <tr r="J25" s="3"/>
        <tr r="J24" s="3"/>
        <tr r="J24" s="3"/>
        <tr r="J23" s="3"/>
        <tr r="J23" s="3"/>
        <tr r="J22" s="3"/>
        <tr r="J22" s="3"/>
        <tr r="J21" s="3"/>
        <tr r="J21" s="3"/>
        <tr r="J20" s="3"/>
        <tr r="J20" s="3"/>
        <tr r="J19" s="3"/>
        <tr r="J19" s="3"/>
        <tr r="J18" s="3"/>
        <tr r="J18" s="3"/>
        <tr r="J17" s="3"/>
        <tr r="J17" s="3"/>
      </tp>
      <tp t="e">
        <v>#N/A</v>
        <stp/>
        <stp>BDP|18252112408569542816</stp>
        <tr r="AL90" s="1"/>
      </tp>
      <tp t="e">
        <v>#N/A</v>
        <stp/>
        <stp>BDP|11238611991912993446</stp>
        <tr r="X34" s="1"/>
        <tr r="X156" s="1"/>
      </tp>
    </main>
    <main first="bloomberg.rtd">
      <tp t="s">
        <v>#N/A Invalid Override</v>
        <stp/>
        <stp>##V3_BDPV12</stp>
        <stp>XS2756519232 isin</stp>
        <stp>YAS_BOND_YLD</stp>
        <stp>[DPM - Securities Master List (BBG Linked).xlsx]Bonds!R18C10</stp>
        <stp>YAS_YLD_FLAG=15</stp>
        <stp>user_local_trade_date</stp>
        <stp>45783</stp>
        <stp>Yas_bond_px</stp>
        <stp>#N/A Connection</stp>
        <tr r="J18" s="1"/>
      </tp>
    </main>
    <main first="bofaddin.rtdserver">
      <tp t="e">
        <v>#N/A</v>
        <stp/>
        <stp>BDP|17927959864466019667</stp>
        <tr r="AJ103" s="3"/>
        <tr r="AJ103" s="3"/>
        <tr r="AJ103" s="3"/>
      </tp>
      <tp t="e">
        <v>#N/A</v>
        <stp/>
        <stp>BDP|16821921516917127131</stp>
        <tr r="AU94" s="3"/>
        <tr r="AU94" s="3"/>
        <tr r="AU93" s="3"/>
        <tr r="AU93" s="3"/>
        <tr r="AU92" s="3"/>
        <tr r="AU92" s="3"/>
        <tr r="AU91" s="3"/>
        <tr r="AU91" s="3"/>
        <tr r="AU90" s="3"/>
        <tr r="AU90" s="3"/>
        <tr r="AU89" s="3"/>
        <tr r="AU89" s="3"/>
        <tr r="AU88" s="3"/>
        <tr r="AU88" s="3"/>
        <tr r="AU87" s="3"/>
        <tr r="AU87" s="3"/>
        <tr r="AU86" s="3"/>
        <tr r="AU86" s="3"/>
        <tr r="AU85" s="3"/>
        <tr r="AU85" s="3"/>
        <tr r="AU84" s="3"/>
        <tr r="AU84" s="3"/>
        <tr r="AU83" s="3"/>
        <tr r="AU83" s="3"/>
        <tr r="AU82" s="3"/>
        <tr r="AU82" s="3"/>
        <tr r="AU81" s="3"/>
        <tr r="AU81" s="3"/>
        <tr r="AU80" s="3"/>
        <tr r="AU80" s="3"/>
        <tr r="AU79" s="3"/>
        <tr r="AU79" s="3"/>
      </tp>
      <tp t="e">
        <v>#N/A</v>
        <stp/>
        <stp>BDP|17596225599472658665</stp>
        <tr r="V54" s="1"/>
      </tp>
      <tp t="e">
        <v>#N/A</v>
        <stp/>
        <stp>BDP|12885725584164248127</stp>
        <tr r="AE50" s="3"/>
        <tr r="AE50" s="3"/>
        <tr r="AE50" s="3"/>
        <tr r="AE49" s="3"/>
        <tr r="AE49" s="3"/>
        <tr r="AE49" s="3"/>
        <tr r="AE48" s="3"/>
        <tr r="AE48" s="3"/>
        <tr r="AE48" s="3"/>
        <tr r="AE47" s="3"/>
        <tr r="AE47" s="3"/>
        <tr r="AE47" s="3"/>
        <tr r="AE46" s="3"/>
        <tr r="AE46" s="3"/>
        <tr r="AE46" s="3"/>
        <tr r="AE45" s="3"/>
        <tr r="AE45" s="3"/>
        <tr r="AE45" s="3"/>
        <tr r="AE44" s="3"/>
        <tr r="AE44" s="3"/>
        <tr r="AE44" s="3"/>
        <tr r="AE43" s="3"/>
        <tr r="AE43" s="3"/>
        <tr r="AE43" s="3"/>
        <tr r="AE42" s="3"/>
        <tr r="AE42" s="3"/>
        <tr r="AE42" s="3"/>
        <tr r="AE41" s="3"/>
        <tr r="AE41" s="3"/>
        <tr r="AE41" s="3"/>
        <tr r="AE40" s="3"/>
        <tr r="AE40" s="3"/>
        <tr r="AE40" s="3"/>
        <tr r="AE39" s="3"/>
        <tr r="AE39" s="3"/>
        <tr r="AE39" s="3"/>
        <tr r="AE38" s="3"/>
        <tr r="AE38" s="3"/>
        <tr r="AE38" s="3"/>
        <tr r="AE37" s="3"/>
        <tr r="AE37" s="3"/>
        <tr r="AE37" s="3"/>
        <tr r="AE36" s="3"/>
        <tr r="AE36" s="3"/>
        <tr r="AE36" s="3"/>
        <tr r="AE35" s="3"/>
        <tr r="AE35" s="3"/>
        <tr r="AE35" s="3"/>
      </tp>
      <tp t="e">
        <v>#N/A</v>
        <stp/>
        <stp>BDP|17114958646886417482</stp>
        <tr r="AU37" s="1"/>
        <tr r="AU37" s="1"/>
        <tr r="AU37" s="1"/>
        <tr r="AU135" s="1"/>
        <tr r="AU135" s="1"/>
        <tr r="AU135" s="1"/>
        <tr r="AU59" s="1"/>
        <tr r="AU59" s="1"/>
        <tr r="AU59" s="1"/>
        <tr r="AU29" s="1"/>
        <tr r="AU29" s="1"/>
        <tr r="AU29" s="1"/>
        <tr r="AU164" s="1"/>
        <tr r="AU164" s="1"/>
        <tr r="AU164" s="1"/>
        <tr r="AU89" s="1"/>
        <tr r="AU89" s="1"/>
        <tr r="AU89" s="1"/>
        <tr r="AU81" s="1"/>
        <tr r="AU81" s="1"/>
        <tr r="AU81" s="1"/>
        <tr r="AU41" s="1"/>
        <tr r="AU41" s="1"/>
        <tr r="AU41" s="1"/>
      </tp>
      <tp t="e">
        <v>#N/A</v>
        <stp/>
        <stp>BDP|16256890663705172573</stp>
        <tr r="AD69" s="1"/>
        <tr r="AD57" s="1"/>
      </tp>
      <tp t="e">
        <v>#N/A</v>
        <stp/>
        <stp>BDP|10944174273476532862</stp>
        <tr r="W92" s="1"/>
      </tp>
      <tp t="e">
        <v>#N/A</v>
        <stp/>
        <stp>BDP|10372951381519149083</stp>
        <tr r="Z87" s="1"/>
      </tp>
      <tp t="e">
        <v>#N/A</v>
        <stp/>
        <stp>BDP|11421551906309799516</stp>
        <tr r="K9" s="3"/>
        <tr r="K8" s="3"/>
        <tr r="K7" s="3"/>
        <tr r="K6" s="3"/>
        <tr r="K5" s="3"/>
        <tr r="K4" s="3"/>
        <tr r="K3" s="3"/>
        <tr r="K15" s="3"/>
        <tr r="K14" s="3"/>
        <tr r="K13" s="3"/>
        <tr r="K12" s="3"/>
        <tr r="K11" s="3"/>
        <tr r="K10" s="3"/>
      </tp>
      <tp t="b">
        <v>0</v>
        <stp/>
        <stp>BDP|13475136684055387718</stp>
        <tr r="Q111" s="3"/>
        <tr r="Q110" s="3"/>
        <tr r="Q109" s="3"/>
        <tr r="Q108" s="3"/>
        <tr r="Q107" s="3"/>
        <tr r="Q106" s="3"/>
        <tr r="Q105" s="3"/>
        <tr r="Q104" s="3"/>
      </tp>
      <tp t="e">
        <v>#N/A</v>
        <stp/>
        <stp>BDP|16219083980473359583</stp>
        <tr r="X47" s="1"/>
      </tp>
      <tp t="e">
        <v>#N/A</v>
        <stp/>
        <stp>BDP|14320459186824672471</stp>
        <tr r="F67" s="1"/>
        <tr r="F43" s="1"/>
        <tr r="F30" s="1"/>
        <tr r="F3" s="1"/>
        <tr r="F21" s="1"/>
        <tr r="F166" s="1"/>
        <tr r="F147" s="1"/>
        <tr r="F125" s="1"/>
        <tr r="F114" s="1"/>
      </tp>
      <tp t="e">
        <v>#N/A</v>
        <stp/>
        <stp>BDP|14477917152903703301</stp>
        <tr r="Q115" s="3"/>
      </tp>
      <tp t="e">
        <v>#N/A</v>
        <stp/>
        <stp>BDP|10640737644402003918</stp>
        <tr r="V143" s="1"/>
        <tr r="V127" s="1"/>
      </tp>
      <tp t="e">
        <v>#N/A</v>
        <stp/>
        <stp>BDP|17385490631499826133</stp>
        <tr r="M20" s="1"/>
        <tr r="M20" s="1"/>
      </tp>
      <tp t="e">
        <v>#N/A</v>
        <stp/>
        <stp>BDP|10978957357803847730</stp>
        <tr r="AT95" s="1"/>
        <tr r="AT71" s="1"/>
      </tp>
      <tp t="e">
        <v>#N/A</v>
        <stp/>
        <stp>BDP|13183814677074035073</stp>
        <tr r="AH64" s="3"/>
        <tr r="AH64" s="3"/>
        <tr r="AH64" s="3"/>
      </tp>
      <tp t="e">
        <v>#N/A</v>
        <stp/>
        <stp>BDP|16132855901572514401</stp>
        <tr r="AO32" s="1"/>
      </tp>
      <tp t="e">
        <v>#N/A</v>
        <stp/>
        <stp>BDP|13323655115824059838</stp>
        <tr r="E64" s="3"/>
      </tp>
      <tp t="e">
        <v>#N/A</v>
        <stp/>
        <stp>BDP|13421709205929610571</stp>
        <tr r="X87" s="1"/>
      </tp>
      <tp t="e">
        <v>#N/A</v>
        <stp/>
        <stp>BDP|16728571443486136923</stp>
        <tr r="K117" s="1"/>
        <tr r="K25" s="1"/>
        <tr r="K163" s="1"/>
        <tr r="K97" s="1"/>
        <tr r="K40" s="1"/>
        <tr r="K75" s="1"/>
        <tr r="K4" s="1"/>
        <tr r="K60" s="1"/>
      </tp>
      <tp t="e">
        <v>#N/A</v>
        <stp/>
        <stp>BDP|17024357067458462262</stp>
        <tr r="AK64" s="1"/>
        <tr r="AK64" s="1"/>
        <tr r="AK64" s="1"/>
      </tp>
      <tp t="e">
        <v>#N/A</v>
        <stp/>
        <stp>BDP|11818886067725690222</stp>
        <tr r="W141" s="1"/>
        <tr r="W131" s="1"/>
      </tp>
      <tp t="e">
        <v>#N/A</v>
        <stp/>
        <stp>BDP|10083597290053333793</stp>
        <tr r="I44" s="1"/>
      </tp>
      <tp t="e">
        <v>#N/A</v>
        <stp/>
        <stp>BDP|13378377823093384975</stp>
        <tr r="F143" s="1"/>
        <tr r="F127" s="1"/>
      </tp>
      <tp t="e">
        <v>#N/A</v>
        <stp/>
        <stp>BDP|12307918215217591511</stp>
        <tr r="N47" s="1"/>
      </tp>
      <tp t="e">
        <v>#N/A</v>
        <stp/>
        <stp>BDP|10833884672243459454</stp>
        <tr r="AJ17" s="1"/>
        <tr r="AJ17" s="1"/>
        <tr r="AJ112" s="1"/>
        <tr r="AJ112" s="1"/>
      </tp>
      <tp t="e">
        <v>#N/A</v>
        <stp/>
        <stp>BDP|11530037021432468917</stp>
        <tr r="E7" s="1"/>
        <tr r="E14" s="1"/>
        <tr r="E108" s="1"/>
      </tp>
      <tp t="e">
        <v>#N/A</v>
        <stp/>
        <stp>BDP|17398969517830851788</stp>
        <tr r="AU64" s="1"/>
        <tr r="AU64" s="1"/>
        <tr r="AU64" s="1"/>
      </tp>
      <tp t="e">
        <v>#N/A</v>
        <stp/>
        <stp>BDP|13875866244607852007</stp>
        <tr r="Q34" s="3"/>
        <tr r="Q33" s="3"/>
        <tr r="Q32" s="3"/>
        <tr r="Q31" s="3"/>
        <tr r="Q30" s="3"/>
        <tr r="Q29" s="3"/>
        <tr r="Q28" s="3"/>
        <tr r="Q27" s="3"/>
        <tr r="Q26" s="3"/>
        <tr r="Q25" s="3"/>
        <tr r="Q24" s="3"/>
        <tr r="Q23" s="3"/>
        <tr r="Q22" s="3"/>
        <tr r="Q21" s="3"/>
        <tr r="Q20" s="3"/>
        <tr r="Q19" s="3"/>
        <tr r="Q18" s="3"/>
        <tr r="Q17" s="3"/>
      </tp>
      <tp t="e">
        <v>#N/A</v>
        <stp/>
        <stp>BDP|15067669148178908723</stp>
        <tr r="AM91" s="1"/>
        <tr r="AM91" s="1"/>
        <tr r="AM76" s="1"/>
        <tr r="AM76" s="1"/>
        <tr r="AM55" s="1"/>
        <tr r="AM55" s="1"/>
        <tr r="AM48" s="1"/>
        <tr r="AM48" s="1"/>
        <tr r="AM26" s="1"/>
        <tr r="AM26" s="1"/>
        <tr r="AM157" s="1"/>
        <tr r="AM157" s="1"/>
        <tr r="AM142" s="1"/>
        <tr r="AM142" s="1"/>
        <tr r="AM132" s="1"/>
        <tr r="AM132" s="1"/>
        <tr r="AM120" s="1"/>
        <tr r="AM120" s="1"/>
        <tr r="AM100" s="1"/>
        <tr r="AM100" s="1"/>
      </tp>
      <tp t="e">
        <v>#N/A</v>
        <stp/>
        <stp>BDP|10075708181742622528</stp>
        <tr r="AU68" s="1"/>
        <tr r="AU68" s="1"/>
        <tr r="AU68" s="1"/>
        <tr r="AU31" s="1"/>
        <tr r="AU31" s="1"/>
        <tr r="AU31" s="1"/>
      </tp>
      <tp t="e">
        <v>#N/A</v>
        <stp/>
        <stp>BDP|17392270639368938618</stp>
        <tr r="N94" s="3"/>
        <tr r="N94" s="3"/>
        <tr r="N94" s="3"/>
        <tr r="N93" s="3"/>
        <tr r="N93" s="3"/>
        <tr r="N93" s="3"/>
        <tr r="N92" s="3"/>
        <tr r="N92" s="3"/>
        <tr r="N92" s="3"/>
        <tr r="N91" s="3"/>
        <tr r="N91" s="3"/>
        <tr r="N91" s="3"/>
        <tr r="N90" s="3"/>
        <tr r="N90" s="3"/>
        <tr r="N90" s="3"/>
        <tr r="N89" s="3"/>
        <tr r="N89" s="3"/>
        <tr r="N89" s="3"/>
        <tr r="N88" s="3"/>
        <tr r="N88" s="3"/>
        <tr r="N88" s="3"/>
        <tr r="N87" s="3"/>
        <tr r="N87" s="3"/>
        <tr r="N87" s="3"/>
        <tr r="N86" s="3"/>
        <tr r="N86" s="3"/>
        <tr r="N86" s="3"/>
        <tr r="N85" s="3"/>
        <tr r="N85" s="3"/>
        <tr r="N85" s="3"/>
        <tr r="N84" s="3"/>
        <tr r="N84" s="3"/>
        <tr r="N84" s="3"/>
        <tr r="N83" s="3"/>
        <tr r="N83" s="3"/>
        <tr r="N83" s="3"/>
        <tr r="N82" s="3"/>
        <tr r="N82" s="3"/>
        <tr r="N82" s="3"/>
        <tr r="N81" s="3"/>
        <tr r="N81" s="3"/>
        <tr r="N81" s="3"/>
        <tr r="N80" s="3"/>
        <tr r="N80" s="3"/>
        <tr r="N80" s="3"/>
        <tr r="N79" s="3"/>
        <tr r="N79" s="3"/>
        <tr r="N79" s="3"/>
      </tp>
      <tp t="e">
        <v>#N/A</v>
        <stp/>
        <stp>BDP|17305529255777070819</stp>
        <tr r="AS141" s="3"/>
        <tr r="AS141" s="3"/>
        <tr r="AS141" s="3"/>
        <tr r="AS140" s="3"/>
        <tr r="AS140" s="3"/>
        <tr r="AS140" s="3"/>
        <tr r="AS139" s="3"/>
        <tr r="AS139" s="3"/>
        <tr r="AS139" s="3"/>
        <tr r="AS138" s="3"/>
        <tr r="AS138" s="3"/>
        <tr r="AS138" s="3"/>
        <tr r="AS137" s="3"/>
        <tr r="AS137" s="3"/>
        <tr r="AS137" s="3"/>
        <tr r="AS136" s="3"/>
        <tr r="AS136" s="3"/>
        <tr r="AS136" s="3"/>
        <tr r="AS135" s="3"/>
        <tr r="AS135" s="3"/>
        <tr r="AS135" s="3"/>
        <tr r="AS134" s="3"/>
        <tr r="AS134" s="3"/>
        <tr r="AS134" s="3"/>
        <tr r="AS133" s="3"/>
        <tr r="AS133" s="3"/>
        <tr r="AS133" s="3"/>
        <tr r="AS132" s="3"/>
        <tr r="AS132" s="3"/>
        <tr r="AS132" s="3"/>
        <tr r="AS131" s="3"/>
        <tr r="AS131" s="3"/>
        <tr r="AS131" s="3"/>
        <tr r="AS130" s="3"/>
        <tr r="AS130" s="3"/>
        <tr r="AS130" s="3"/>
      </tp>
      <tp t="e">
        <v>#N/A</v>
        <stp/>
        <stp>BDP|12950773930269869734</stp>
        <tr r="AA86" s="1"/>
        <tr r="AA133" s="1"/>
      </tp>
      <tp t="e">
        <v>#N/A</v>
        <stp/>
        <stp>BDP|11159415663432504931</stp>
        <tr r="AC78" s="3"/>
        <tr r="AC78" s="3"/>
        <tr r="AC78" s="3"/>
        <tr r="AC77" s="3"/>
        <tr r="AC77" s="3"/>
        <tr r="AC77" s="3"/>
        <tr r="AC76" s="3"/>
        <tr r="AC76" s="3"/>
        <tr r="AC76" s="3"/>
        <tr r="AC75" s="3"/>
        <tr r="AC75" s="3"/>
        <tr r="AC75" s="3"/>
        <tr r="AC74" s="3"/>
        <tr r="AC74" s="3"/>
        <tr r="AC74" s="3"/>
        <tr r="AC73" s="3"/>
        <tr r="AC73" s="3"/>
        <tr r="AC73" s="3"/>
      </tp>
      <tp t="e">
        <v>#N/A</v>
        <stp/>
        <stp>BDP|16684573770679213575</stp>
        <tr r="X95" s="1"/>
        <tr r="X71" s="1"/>
      </tp>
      <tp t="e">
        <v>#N/A</v>
        <stp/>
        <stp>BDP|16210911246155087614</stp>
        <tr r="V94" s="3"/>
        <tr r="V93" s="3"/>
        <tr r="V92" s="3"/>
        <tr r="V91" s="3"/>
        <tr r="V90" s="3"/>
        <tr r="V89" s="3"/>
        <tr r="V88" s="3"/>
        <tr r="V87" s="3"/>
        <tr r="V86" s="3"/>
        <tr r="V85" s="3"/>
        <tr r="V84" s="3"/>
        <tr r="V83" s="3"/>
        <tr r="V82" s="3"/>
        <tr r="V81" s="3"/>
        <tr r="V80" s="3"/>
        <tr r="V79" s="3"/>
      </tp>
      <tp t="e">
        <v>#N/A</v>
        <stp/>
        <stp>BDP|11621856229217904477</stp>
        <tr r="AT92" s="1"/>
      </tp>
      <tp t="e">
        <v>#N/A</v>
        <stp/>
        <stp>BDP|11190169390257014634</stp>
        <tr r="M18" s="1"/>
        <tr r="M18" s="1"/>
      </tp>
      <tp t="e">
        <v>#N/A</v>
        <stp/>
        <stp>BDP|12337560131308675461</stp>
        <tr r="AD140" s="1"/>
        <tr r="AD128" s="1"/>
      </tp>
      <tp t="e">
        <v>#N/A</v>
        <stp/>
        <stp>BDP|12548961763924083141</stp>
        <tr r="E16" s="3"/>
      </tp>
      <tp t="e">
        <v>#N/A</v>
        <stp/>
        <stp>BDP|14059523330672166873</stp>
        <tr r="AM113" s="1"/>
        <tr r="AM113" s="1"/>
      </tp>
      <tp t="e">
        <v>#N/A</v>
        <stp/>
        <stp>BDP|10242780836995831935</stp>
        <tr r="AE52" s="1"/>
      </tp>
      <tp t="e">
        <v>#N/A</v>
        <stp/>
        <stp>BDP|15256543032668042335</stp>
        <tr r="K88" s="1"/>
      </tp>
      <tp t="e">
        <v>#N/A</v>
        <stp/>
        <stp>BDP|17973927471462517382</stp>
        <tr r="AP114" s="3"/>
        <tr r="AP114" s="3"/>
        <tr r="AP114" s="3"/>
        <tr r="AP113" s="3"/>
        <tr r="AP113" s="3"/>
        <tr r="AP113" s="3"/>
        <tr r="AP112" s="3"/>
        <tr r="AP112" s="3"/>
        <tr r="AP112" s="3"/>
      </tp>
      <tp t="e">
        <v>#N/A</v>
        <stp/>
        <stp>BDP|13185617137976137811</stp>
        <tr r="AO11" s="1"/>
        <tr r="AO102" s="1"/>
      </tp>
      <tp t="e">
        <v>#N/A</v>
        <stp/>
        <stp>BDP|17404274542290659918</stp>
        <tr r="K90" s="1"/>
      </tp>
      <tp t="e">
        <v>#N/A</v>
        <stp/>
        <stp>BDP|12511119982865892684</stp>
        <tr r="AE98" s="1"/>
        <tr r="AE79" s="1"/>
        <tr r="AE5" s="1"/>
        <tr r="AE155" s="1"/>
        <tr r="AE118" s="1"/>
      </tp>
    </main>
    <main first="bloomberg.rtd">
      <tp>
        <v>31772.160036099391</v>
        <stp/>
        <stp>##V3_BDPV12</stp>
        <stp>9888 HK Equity</stp>
        <stp>CRNCY_ADJ_MKT_CAP</stp>
        <stp>[DPM - Securities Master List (BBG Linked).xlsx]Equities!R24C9</stp>
        <stp>EQY_FUND_CRNCY=USD</stp>
        <tr r="I24" s="2"/>
      </tp>
      <tp>
        <v>31772.160036099391</v>
        <stp/>
        <stp>##V3_BDPV12</stp>
        <stp>9888 HK Equity</stp>
        <stp>CRNCY_ADJ_MKT_CAP</stp>
        <stp>[DPM - Securities Master List (BBG Linked).xlsx]Equities!R25C9</stp>
        <stp>EQY_FUND_CRNCY=USD</stp>
        <tr r="I25" s="2"/>
      </tp>
      <tp>
        <v>31772.160036099391</v>
        <stp/>
        <stp>##V3_BDPV12</stp>
        <stp>9888 HK Equity</stp>
        <stp>CRNCY_ADJ_MKT_CAP</stp>
        <stp>[DPM - Securities Master List (BBG Linked).xlsx]Equities!R27C9</stp>
        <stp>EQY_FUND_CRNCY=USD</stp>
        <tr r="I27" s="2"/>
      </tp>
      <tp>
        <v>31772.160036099391</v>
        <stp/>
        <stp>##V3_BDPV12</stp>
        <stp>9888 HK Equity</stp>
        <stp>CRNCY_ADJ_MKT_CAP</stp>
        <stp>[DPM - Securities Master List (BBG Linked).xlsx]Equities!R20C9</stp>
        <stp>EQY_FUND_CRNCY=USD</stp>
        <tr r="I20" s="2"/>
      </tp>
      <tp>
        <v>31772.160036099391</v>
        <stp/>
        <stp>##V3_BDPV12</stp>
        <stp>9888 HK Equity</stp>
        <stp>CRNCY_ADJ_MKT_CAP</stp>
        <stp>[DPM - Securities Master List (BBG Linked).xlsx]Equities!R21C9</stp>
        <stp>EQY_FUND_CRNCY=USD</stp>
        <tr r="I21" s="2"/>
      </tp>
      <tp>
        <v>31772.160036099391</v>
        <stp/>
        <stp>##V3_BDPV12</stp>
        <stp>9888 HK Equity</stp>
        <stp>CRNCY_ADJ_MKT_CAP</stp>
        <stp>[DPM - Securities Master List (BBG Linked).xlsx]Equities!R22C9</stp>
        <stp>EQY_FUND_CRNCY=USD</stp>
        <tr r="I22" s="2"/>
      </tp>
      <tp>
        <v>31772.160036099391</v>
        <stp/>
        <stp>##V3_BDPV12</stp>
        <stp>9888 HK Equity</stp>
        <stp>CRNCY_ADJ_MKT_CAP</stp>
        <stp>[DPM - Securities Master List (BBG Linked).xlsx]Equities!R23C9</stp>
        <stp>EQY_FUND_CRNCY=USD</stp>
        <tr r="I23" s="2"/>
      </tp>
      <tp t="s">
        <v>Baidu Inc</v>
        <stp/>
        <stp>##V3_BDPV12</stp>
        <stp>9888 HK Equity</stp>
        <stp>SECURITY NAME</stp>
        <stp>[DPM - Securities Master List (BBG Linked).xlsx]Equities!R24C5</stp>
        <tr r="E24" s="2"/>
      </tp>
      <tp>
        <v>21.12125</v>
        <stp/>
        <stp>##V3_BDPV12</stp>
        <stp>TCEHY US Equity</stp>
        <stp>CHG_PCT_6M</stp>
        <stp>[DPM - Securities Master List (BBG Linked).xlsx]Equities!R259C42</stp>
        <tr r="AP259" s="2"/>
      </tp>
      <tp>
        <v>21.12125</v>
        <stp/>
        <stp>##V3_BDPV12</stp>
        <stp>TCEHY US Equity</stp>
        <stp>CHG_PCT_6M</stp>
        <stp>[DPM - Securities Master List (BBG Linked).xlsx]Equities!R260C42</stp>
        <tr r="AP260" s="2"/>
      </tp>
      <tp>
        <v>65.28</v>
        <stp/>
        <stp>##V3_BDPV12</stp>
        <stp>DD US Equity</stp>
        <stp>PX_LAST</stp>
        <stp>[DPM - Securities Master List (BBG Linked).xlsx]Equities!R91C17</stp>
        <tr r="Q91" s="2"/>
      </tp>
    </main>
    <main first="bofaddin.rtdserver">
      <tp t="e">
        <v>#N/A</v>
        <stp/>
        <stp>BDP|13592855048280651679</stp>
        <tr r="AS126" s="1"/>
        <tr r="L126" s="1"/>
        <tr r="L126" s="1"/>
      </tp>
      <tp t="e">
        <v>#N/A</v>
        <stp/>
        <stp>BDP|15296648989723090174</stp>
        <tr r="K64" s="3"/>
      </tp>
      <tp t="e">
        <v>#N/A</v>
        <stp/>
        <stp>BDP|14307889907432476701</stp>
        <tr r="E140" s="1"/>
        <tr r="E128" s="1"/>
      </tp>
      <tp t="e">
        <v>#N/A</v>
        <stp/>
        <stp>BDP|13074888163513070736</stp>
        <tr r="AE92" s="1"/>
      </tp>
      <tp t="e">
        <v>#N/A</v>
        <stp/>
        <stp>BDP|13484444384293529593</stp>
        <tr r="AF63" s="3"/>
        <tr r="AF63" s="3"/>
        <tr r="AF63" s="3"/>
        <tr r="AF62" s="3"/>
        <tr r="AF62" s="3"/>
        <tr r="AF62" s="3"/>
        <tr r="AF61" s="3"/>
        <tr r="AF61" s="3"/>
        <tr r="AF61" s="3"/>
        <tr r="AF60" s="3"/>
        <tr r="AF60" s="3"/>
        <tr r="AF60" s="3"/>
        <tr r="AF59" s="3"/>
        <tr r="AF59" s="3"/>
        <tr r="AF59" s="3"/>
        <tr r="AF58" s="3"/>
        <tr r="AF58" s="3"/>
        <tr r="AF58" s="3"/>
        <tr r="AF57" s="3"/>
        <tr r="AF57" s="3"/>
        <tr r="AF57" s="3"/>
        <tr r="AF56" s="3"/>
        <tr r="AF56" s="3"/>
        <tr r="AF56" s="3"/>
        <tr r="AF55" s="3"/>
        <tr r="AF55" s="3"/>
        <tr r="AF55" s="3"/>
        <tr r="AF54" s="3"/>
        <tr r="AF54" s="3"/>
        <tr r="AF54" s="3"/>
        <tr r="AF53" s="3"/>
        <tr r="AF53" s="3"/>
        <tr r="AF53" s="3"/>
        <tr r="AF52" s="3"/>
        <tr r="AF52" s="3"/>
        <tr r="AF52" s="3"/>
        <tr r="AF51" s="3"/>
        <tr r="AF51" s="3"/>
        <tr r="AF51" s="3"/>
      </tp>
      <tp t="e">
        <v>#N/A</v>
        <stp/>
        <stp>BDP|16291258716984819821</stp>
        <tr r="Q32" s="1"/>
      </tp>
      <tp t="e">
        <v>#N/A</v>
        <stp/>
        <stp>BDP|10542987723517596500</stp>
        <tr r="AL141" s="3"/>
        <tr r="AL141" s="3"/>
        <tr r="AL141" s="3"/>
        <tr r="AL140" s="3"/>
        <tr r="AL140" s="3"/>
        <tr r="AL140" s="3"/>
        <tr r="AL139" s="3"/>
        <tr r="AL139" s="3"/>
        <tr r="AL139" s="3"/>
        <tr r="AL138" s="3"/>
        <tr r="AL138" s="3"/>
        <tr r="AL138" s="3"/>
        <tr r="AL137" s="3"/>
        <tr r="AL137" s="3"/>
        <tr r="AL137" s="3"/>
        <tr r="AL136" s="3"/>
        <tr r="AL136" s="3"/>
        <tr r="AL136" s="3"/>
        <tr r="AL135" s="3"/>
        <tr r="AL135" s="3"/>
        <tr r="AL135" s="3"/>
        <tr r="AL134" s="3"/>
        <tr r="AL134" s="3"/>
        <tr r="AL134" s="3"/>
        <tr r="AL133" s="3"/>
        <tr r="AL133" s="3"/>
        <tr r="AL133" s="3"/>
        <tr r="AL132" s="3"/>
        <tr r="AL132" s="3"/>
        <tr r="AL132" s="3"/>
        <tr r="AL131" s="3"/>
        <tr r="AL131" s="3"/>
        <tr r="AL131" s="3"/>
        <tr r="AL130" s="3"/>
        <tr r="AL130" s="3"/>
        <tr r="AL130" s="3"/>
      </tp>
      <tp t="e">
        <v>#N/A</v>
        <stp/>
        <stp>BDP|15931991436344458296</stp>
        <tr r="AL32" s="1"/>
      </tp>
      <tp t="e">
        <v>#N/A</v>
        <stp/>
        <stp>BDP|16181455365974938929</stp>
        <tr r="N111" s="3"/>
        <tr r="N111" s="3"/>
        <tr r="N111" s="3"/>
        <tr r="N110" s="3"/>
        <tr r="N110" s="3"/>
        <tr r="N110" s="3"/>
        <tr r="N109" s="3"/>
        <tr r="N109" s="3"/>
        <tr r="N109" s="3"/>
        <tr r="N108" s="3"/>
        <tr r="N108" s="3"/>
        <tr r="N108" s="3"/>
        <tr r="N107" s="3"/>
        <tr r="N107" s="3"/>
        <tr r="N107" s="3"/>
        <tr r="N106" s="3"/>
        <tr r="N106" s="3"/>
        <tr r="N106" s="3"/>
        <tr r="N105" s="3"/>
        <tr r="N105" s="3"/>
        <tr r="N105" s="3"/>
        <tr r="N104" s="3"/>
        <tr r="N104" s="3"/>
        <tr r="N104" s="3"/>
      </tp>
      <tp t="e">
        <v>#N/A</v>
        <stp/>
        <stp>BDP|11358325562429090493</stp>
        <tr r="N160" s="1"/>
      </tp>
      <tp t="e">
        <v>#N/A</v>
        <stp/>
        <stp>BDP|17702472181392876036</stp>
        <tr r="H64" s="1"/>
        <tr r="H64" s="1"/>
      </tp>
      <tp t="e">
        <v>#N/A</v>
        <stp/>
        <stp>BDP|18133603179339006926</stp>
        <tr r="M160" s="1"/>
        <tr r="M160" s="1"/>
      </tp>
    </main>
    <main first="bloomberg.rtd">
      <tp t="s">
        <v>#N/A Invalid Override</v>
        <stp/>
        <stp>##V3_BDPV12</stp>
        <stp>XS2384355520 isin</stp>
        <stp>YAS_BOND_YLD</stp>
        <stp>[DPM - Securities Master List (BBG Linked).xlsx]Bonds!R14C10</stp>
        <stp>YAS_YLD_FLAG=15</stp>
        <stp>user_local_trade_date</stp>
        <stp>45783</stp>
        <stp>Yas_bond_px</stp>
        <stp>#N/A Connection</stp>
        <tr r="J14" s="1"/>
      </tp>
    </main>
    <main first="bofaddin.rtdserver">
      <tp t="e">
        <v>#N/A</v>
        <stp/>
        <stp>BDP|18391065049601881498</stp>
        <tr r="I87" s="1"/>
      </tp>
      <tp t="e">
        <v>#N/A</v>
        <stp/>
        <stp>BDP|12750016808433738845</stp>
        <tr r="H107" s="1"/>
        <tr r="H107" s="1"/>
      </tp>
    </main>
    <main first="bloomberg.rtd">
      <tp t="s">
        <v>#N/A Invalid Override</v>
        <stp/>
        <stp>##V3_BDPV12</stp>
        <stp>XS2451768720 isin</stp>
        <stp>YAS_BOND_YLD</stp>
        <stp>[DPM - Securities Master List (BBG Linked).xlsx]Bonds!R37C10</stp>
        <stp>YAS_YLD_FLAG=15</stp>
        <stp>user_local_trade_date</stp>
        <stp>45783</stp>
        <stp>Yas_bond_px</stp>
        <stp>#N/A Connection</stp>
        <tr r="J37" s="1"/>
      </tp>
      <tp t="s">
        <v>#N/A Invalid Override</v>
        <stp/>
        <stp>##V3_BDPV12</stp>
        <stp>XS2451768720 isin</stp>
        <stp>YAS_BOND_YLD</stp>
        <stp>[DPM - Securities Master List (BBG Linked).xlsx]Bonds!R29C10</stp>
        <stp>YAS_YLD_FLAG=15</stp>
        <stp>user_local_trade_date</stp>
        <stp>45783</stp>
        <stp>Yas_bond_px</stp>
        <stp>#N/A Connection</stp>
        <tr r="J29" s="1"/>
      </tp>
      <tp t="s">
        <v>#N/A Invalid Override</v>
        <stp/>
        <stp>##V3_BDPV12</stp>
        <stp>XS2451768720 isin</stp>
        <stp>YAS_BOND_YLD</stp>
        <stp>[DPM - Securities Master List (BBG Linked).xlsx]Bonds!R59C10</stp>
        <stp>YAS_YLD_FLAG=15</stp>
        <stp>user_local_trade_date</stp>
        <stp>45783</stp>
        <stp>Yas_bond_px</stp>
        <stp>#N/A Connection</stp>
        <tr r="J59" s="1"/>
      </tp>
      <tp t="s">
        <v>#N/A Invalid Override</v>
        <stp/>
        <stp>##V3_BDPV12</stp>
        <stp>XS2451768720 isin</stp>
        <stp>YAS_BOND_YLD</stp>
        <stp>[DPM - Securities Master List (BBG Linked).xlsx]Bonds!R41C10</stp>
        <stp>YAS_YLD_FLAG=15</stp>
        <stp>user_local_trade_date</stp>
        <stp>45783</stp>
        <stp>Yas_bond_px</stp>
        <stp>#N/A Connection</stp>
        <tr r="J41" s="1"/>
      </tp>
      <tp t="s">
        <v>#N/A Invalid Override</v>
        <stp/>
        <stp>##V3_BDPV12</stp>
        <stp>XS2451768720 isin</stp>
        <stp>YAS_BOND_YLD</stp>
        <stp>[DPM - Securities Master List (BBG Linked).xlsx]Bonds!R81C10</stp>
        <stp>YAS_YLD_FLAG=15</stp>
        <stp>user_local_trade_date</stp>
        <stp>45783</stp>
        <stp>Yas_bond_px</stp>
        <stp>#N/A Connection</stp>
        <tr r="J81" s="1"/>
      </tp>
      <tp t="s">
        <v>#N/A Invalid Override</v>
        <stp/>
        <stp>##V3_BDPV12</stp>
        <stp>XS2451768720 isin</stp>
        <stp>YAS_BOND_YLD</stp>
        <stp>[DPM - Securities Master List (BBG Linked).xlsx]Bonds!R89C10</stp>
        <stp>YAS_YLD_FLAG=15</stp>
        <stp>user_local_trade_date</stp>
        <stp>45783</stp>
        <stp>Yas_bond_px</stp>
        <stp>#N/A Connection</stp>
        <tr r="J89" s="1"/>
      </tp>
    </main>
    <main first="bofaddin.rtdserver">
      <tp t="e">
        <v>#N/A</v>
        <stp/>
        <stp>BDP|10885342117158495339</stp>
        <tr r="F119" s="3"/>
        <tr r="F118" s="3"/>
        <tr r="F117" s="3"/>
        <tr r="F116" s="3"/>
      </tp>
      <tp t="e">
        <v>#N/A</v>
        <stp/>
        <stp>BDP|17655903460680998137</stp>
        <tr r="H46" s="1"/>
        <tr r="H46" s="1"/>
        <tr r="H144" s="1"/>
        <tr r="H144" s="1"/>
        <tr r="H134" s="1"/>
        <tr r="H134" s="1"/>
      </tp>
      <tp t="e">
        <v>#N/A</v>
        <stp/>
        <stp>BDP|13010165298945192739</stp>
        <tr r="BC116" s="3"/>
      </tp>
      <tp t="e">
        <v>#N/A</v>
        <stp/>
        <stp>BDP|18141155959920781563</stp>
        <tr r="V78" s="1"/>
        <tr r="V154" s="1"/>
        <tr r="V149" s="1"/>
        <tr r="V124" s="1"/>
      </tp>
      <tp t="e">
        <v>#N/A</v>
        <stp/>
        <stp>BDP|16817753413181229803</stp>
        <tr r="AJ34" s="3"/>
        <tr r="AJ34" s="3"/>
        <tr r="AJ34" s="3"/>
        <tr r="AJ33" s="3"/>
        <tr r="AJ33" s="3"/>
        <tr r="AJ33" s="3"/>
        <tr r="AJ32" s="3"/>
        <tr r="AJ32" s="3"/>
        <tr r="AJ32" s="3"/>
        <tr r="AJ31" s="3"/>
        <tr r="AJ31" s="3"/>
        <tr r="AJ31" s="3"/>
        <tr r="AJ30" s="3"/>
        <tr r="AJ30" s="3"/>
        <tr r="AJ30" s="3"/>
        <tr r="AJ29" s="3"/>
        <tr r="AJ29" s="3"/>
        <tr r="AJ29" s="3"/>
        <tr r="AJ28" s="3"/>
        <tr r="AJ28" s="3"/>
        <tr r="AJ28" s="3"/>
        <tr r="AJ27" s="3"/>
        <tr r="AJ27" s="3"/>
        <tr r="AJ27" s="3"/>
        <tr r="AJ26" s="3"/>
        <tr r="AJ26" s="3"/>
        <tr r="AJ26" s="3"/>
        <tr r="AJ25" s="3"/>
        <tr r="AJ25" s="3"/>
        <tr r="AJ25" s="3"/>
        <tr r="AJ24" s="3"/>
        <tr r="AJ24" s="3"/>
        <tr r="AJ24" s="3"/>
        <tr r="AJ23" s="3"/>
        <tr r="AJ23" s="3"/>
        <tr r="AJ23" s="3"/>
        <tr r="AJ22" s="3"/>
        <tr r="AJ22" s="3"/>
        <tr r="AJ22" s="3"/>
        <tr r="AJ21" s="3"/>
        <tr r="AJ21" s="3"/>
        <tr r="AJ21" s="3"/>
        <tr r="AJ20" s="3"/>
        <tr r="AJ20" s="3"/>
        <tr r="AJ20" s="3"/>
        <tr r="AJ19" s="3"/>
        <tr r="AJ19" s="3"/>
        <tr r="AJ19" s="3"/>
        <tr r="AJ18" s="3"/>
        <tr r="AJ18" s="3"/>
        <tr r="AJ18" s="3"/>
        <tr r="AJ17" s="3"/>
        <tr r="AJ17" s="3"/>
        <tr r="AJ17" s="3"/>
      </tp>
      <tp t="e">
        <v>#N/A</v>
        <stp/>
        <stp>BDP|14175236129604252953</stp>
        <tr r="AT85" s="1"/>
      </tp>
      <tp t="e">
        <v>#N/A</v>
        <stp/>
        <stp>BDP|13803254396797260655</stp>
        <tr r="AL50" s="3"/>
        <tr r="AL50" s="3"/>
        <tr r="AL50" s="3"/>
        <tr r="AL49" s="3"/>
        <tr r="AL49" s="3"/>
        <tr r="AL49" s="3"/>
        <tr r="AL48" s="3"/>
        <tr r="AL48" s="3"/>
        <tr r="AL48" s="3"/>
        <tr r="AL47" s="3"/>
        <tr r="AL47" s="3"/>
        <tr r="AL47" s="3"/>
        <tr r="AL46" s="3"/>
        <tr r="AL46" s="3"/>
        <tr r="AL46" s="3"/>
        <tr r="AL45" s="3"/>
        <tr r="AL45" s="3"/>
        <tr r="AL45" s="3"/>
        <tr r="AL44" s="3"/>
        <tr r="AL44" s="3"/>
        <tr r="AL44" s="3"/>
        <tr r="AL43" s="3"/>
        <tr r="AL43" s="3"/>
        <tr r="AL43" s="3"/>
        <tr r="AL42" s="3"/>
        <tr r="AL42" s="3"/>
        <tr r="AL42" s="3"/>
        <tr r="AL41" s="3"/>
        <tr r="AL41" s="3"/>
        <tr r="AL41" s="3"/>
        <tr r="AL40" s="3"/>
        <tr r="AL40" s="3"/>
        <tr r="AL40" s="3"/>
        <tr r="AL39" s="3"/>
        <tr r="AL39" s="3"/>
        <tr r="AL39" s="3"/>
        <tr r="AL38" s="3"/>
        <tr r="AL38" s="3"/>
        <tr r="AL38" s="3"/>
        <tr r="AL37" s="3"/>
        <tr r="AL37" s="3"/>
        <tr r="AL37" s="3"/>
        <tr r="AL36" s="3"/>
        <tr r="AL36" s="3"/>
        <tr r="AL36" s="3"/>
        <tr r="AL35" s="3"/>
        <tr r="AL35" s="3"/>
        <tr r="AL35" s="3"/>
      </tp>
      <tp t="e">
        <v>#N/A</v>
        <stp/>
        <stp>BDP|16996168560010200814</stp>
        <tr r="H29" s="1"/>
        <tr r="H29" s="1"/>
        <tr r="H164" s="1"/>
        <tr r="H164" s="1"/>
        <tr r="H135" s="1"/>
        <tr r="H135" s="1"/>
        <tr r="H89" s="1"/>
        <tr r="H89" s="1"/>
        <tr r="H81" s="1"/>
        <tr r="H81" s="1"/>
        <tr r="H59" s="1"/>
        <tr r="H59" s="1"/>
        <tr r="H41" s="1"/>
        <tr r="H41" s="1"/>
        <tr r="H37" s="1"/>
        <tr r="H37" s="1"/>
      </tp>
      <tp t="e">
        <v>#N/A</v>
        <stp/>
        <stp>BDP|12419622069839675262</stp>
        <tr r="Q67" s="1"/>
        <tr r="Q43" s="1"/>
        <tr r="Q30" s="1"/>
        <tr r="Q3" s="1"/>
        <tr r="Q21" s="1"/>
        <tr r="Q166" s="1"/>
        <tr r="Q147" s="1"/>
        <tr r="Q125" s="1"/>
        <tr r="Q114" s="1"/>
      </tp>
      <tp t="e">
        <v>#N/A</v>
        <stp/>
        <stp>BDP|15865494545948874432</stp>
        <tr r="AM52" s="1"/>
        <tr r="AM52" s="1"/>
      </tp>
      <tp t="e">
        <v>#N/A</v>
        <stp/>
        <stp>BDP|18236919157899288485</stp>
        <tr r="AL73" s="1"/>
        <tr r="AL168" s="1"/>
      </tp>
      <tp t="e">
        <v>#N/A</v>
        <stp/>
        <stp>BDP|17139771589107755668</stp>
        <tr r="H78" s="3"/>
        <tr r="H78" s="3"/>
        <tr r="H78" s="3"/>
        <tr r="H77" s="3"/>
        <tr r="H77" s="3"/>
        <tr r="H77" s="3"/>
        <tr r="H76" s="3"/>
        <tr r="H76" s="3"/>
        <tr r="H76" s="3"/>
        <tr r="H75" s="3"/>
        <tr r="H75" s="3"/>
        <tr r="H75" s="3"/>
        <tr r="H74" s="3"/>
        <tr r="H74" s="3"/>
        <tr r="H74" s="3"/>
        <tr r="H73" s="3"/>
        <tr r="H73" s="3"/>
        <tr r="H73" s="3"/>
      </tp>
      <tp t="e">
        <v>#N/A</v>
        <stp/>
        <stp>BDP|13811170071424488843</stp>
        <tr r="AJ113" s="1"/>
        <tr r="AJ113" s="1"/>
      </tp>
      <tp t="e">
        <v>#N/A</v>
        <stp/>
        <stp>BDP|15709855629824090257</stp>
        <tr r="AJ160" s="1"/>
        <tr r="AJ160" s="1"/>
      </tp>
      <tp t="e">
        <v>#N/A</v>
        <stp/>
        <stp>BDP|15880932575872664067</stp>
        <tr r="AJ91" s="1"/>
        <tr r="AJ91" s="1"/>
        <tr r="AJ76" s="1"/>
        <tr r="AJ76" s="1"/>
        <tr r="AJ55" s="1"/>
        <tr r="AJ55" s="1"/>
        <tr r="AJ26" s="1"/>
        <tr r="AJ26" s="1"/>
        <tr r="AJ157" s="1"/>
        <tr r="AJ157" s="1"/>
        <tr r="AJ142" s="1"/>
        <tr r="AJ142" s="1"/>
        <tr r="AJ132" s="1"/>
        <tr r="AJ132" s="1"/>
        <tr r="AJ120" s="1"/>
        <tr r="AJ120" s="1"/>
        <tr r="AJ100" s="1"/>
        <tr r="AJ100" s="1"/>
        <tr r="AJ48" s="1"/>
        <tr r="AJ48" s="1"/>
      </tp>
      <tp t="e">
        <v>#N/A</v>
        <stp/>
        <stp>BDP|13600630395624639184</stp>
        <tr r="V9" s="1"/>
      </tp>
      <tp t="e">
        <v>#N/A</v>
        <stp/>
        <stp>BDP|12507265455795821906</stp>
        <tr r="AK16" s="3"/>
        <tr r="AK16" s="3"/>
        <tr r="AK16" s="3"/>
      </tp>
      <tp t="e">
        <v>#N/A</v>
        <stp/>
        <stp>BDP|12596190590407196432</stp>
        <tr r="H20" s="1"/>
        <tr r="H20" s="1"/>
      </tp>
      <tp t="e">
        <v>#N/A</v>
        <stp/>
        <stp>BDP|17358661280308212893</stp>
        <tr r="H29" s="1"/>
        <tr r="H29" s="1"/>
        <tr r="H164" s="1"/>
        <tr r="H164" s="1"/>
        <tr r="H135" s="1"/>
        <tr r="H135" s="1"/>
        <tr r="H89" s="1"/>
        <tr r="H89" s="1"/>
        <tr r="H81" s="1"/>
        <tr r="H81" s="1"/>
        <tr r="H59" s="1"/>
        <tr r="H59" s="1"/>
        <tr r="H41" s="1"/>
        <tr r="H41" s="1"/>
        <tr r="H37" s="1"/>
        <tr r="H37" s="1"/>
      </tp>
      <tp t="e">
        <v>#N/A</v>
        <stp/>
        <stp>BDP|17144098898490136701</stp>
        <tr r="N94" s="1"/>
        <tr r="N151" s="1"/>
        <tr r="N123" s="1"/>
        <tr r="N101" s="1"/>
      </tp>
      <tp t="e">
        <v>#N/A</v>
        <stp/>
        <stp>BDP|16911291477899547332</stp>
        <tr r="M11" s="1"/>
        <tr r="M11" s="1"/>
        <tr r="M102" s="1"/>
        <tr r="M102" s="1"/>
      </tp>
      <tp t="e">
        <v>#N/A</v>
        <stp/>
        <stp>BDP|17534945215935185344</stp>
        <tr r="AL148" s="1"/>
        <tr r="AL138" s="1"/>
      </tp>
      <tp t="e">
        <v>#N/A</v>
        <stp/>
        <stp>BDP|13511249080787283726</stp>
        <tr r="X54" s="1"/>
      </tp>
      <tp t="e">
        <v>#N/A</v>
        <stp/>
        <stp>BDP|11563845923600548260</stp>
        <tr r="H5" s="9"/>
        <tr r="H4" s="9"/>
        <tr r="H3" s="9"/>
        <tr r="H20" s="9"/>
        <tr r="H16" s="9"/>
        <tr r="H15" s="9"/>
        <tr r="H13" s="9"/>
        <tr r="H11" s="9"/>
        <tr r="H10" s="9"/>
        <tr r="H21" s="9"/>
        <tr r="H19" s="9"/>
        <tr r="H18" s="9"/>
        <tr r="H17" s="9"/>
        <tr r="H14" s="9"/>
        <tr r="H12" s="9"/>
        <tr r="H9" s="9"/>
        <tr r="H8" s="9"/>
        <tr r="H7" s="9"/>
        <tr r="H6" s="9"/>
        <tr r="H2" s="9"/>
      </tp>
      <tp t="e">
        <v>#N/A</v>
        <stp/>
        <stp>BDP|11361947496341227920</stp>
        <tr r="H126" s="1"/>
        <tr r="H126" s="1"/>
      </tp>
      <tp t="e">
        <v>#N/A</v>
        <stp/>
        <stp>BDP|14639846347653715237</stp>
        <tr r="BC76" s="3"/>
      </tp>
      <tp t="e">
        <v>#N/A</v>
        <stp/>
        <stp>BDP|13701941038618916833</stp>
        <tr r="AL47" s="1"/>
      </tp>
      <tp t="e">
        <v>#N/A</v>
        <stp/>
        <stp>BDP|13215029491965178612</stp>
        <tr r="AU19" s="1"/>
        <tr r="AU19" s="1"/>
        <tr r="AU19" s="1"/>
      </tp>
      <tp t="e">
        <v>#N/A</v>
        <stp/>
        <stp>BDP|17528835625622373612</stp>
        <tr r="AL52" s="1"/>
      </tp>
      <tp t="e">
        <v>#N/A</v>
        <stp/>
        <stp>BDP|14084966730654459320</stp>
        <tr r="Z126" s="1"/>
      </tp>
      <tp t="e">
        <v>#N/A</v>
        <stp/>
        <stp>BDP|15559897615806019397</stp>
        <tr r="V85" s="1"/>
      </tp>
      <tp t="e">
        <v>#N/A</v>
        <stp/>
        <stp>BDP|17978959003962692598</stp>
        <tr r="AJ34" s="1"/>
        <tr r="AJ34" s="1"/>
        <tr r="AJ156" s="1"/>
        <tr r="AJ156" s="1"/>
      </tp>
      <tp t="e">
        <v>#N/A</v>
        <stp/>
        <stp>BDP|11033119961196668957</stp>
        <tr r="AE63" s="3"/>
        <tr r="AE63" s="3"/>
        <tr r="AE63" s="3"/>
        <tr r="AE62" s="3"/>
        <tr r="AE62" s="3"/>
        <tr r="AE62" s="3"/>
        <tr r="AE61" s="3"/>
        <tr r="AE61" s="3"/>
        <tr r="AE61" s="3"/>
        <tr r="AE60" s="3"/>
        <tr r="AE60" s="3"/>
        <tr r="AE60" s="3"/>
        <tr r="AE59" s="3"/>
        <tr r="AE59" s="3"/>
        <tr r="AE59" s="3"/>
        <tr r="AE58" s="3"/>
        <tr r="AE58" s="3"/>
        <tr r="AE58" s="3"/>
        <tr r="AE57" s="3"/>
        <tr r="AE57" s="3"/>
        <tr r="AE57" s="3"/>
        <tr r="AE56" s="3"/>
        <tr r="AE56" s="3"/>
        <tr r="AE56" s="3"/>
        <tr r="AE55" s="3"/>
        <tr r="AE55" s="3"/>
        <tr r="AE55" s="3"/>
        <tr r="AE54" s="3"/>
        <tr r="AE54" s="3"/>
        <tr r="AE54" s="3"/>
        <tr r="AE53" s="3"/>
        <tr r="AE53" s="3"/>
        <tr r="AE53" s="3"/>
        <tr r="AE52" s="3"/>
        <tr r="AE52" s="3"/>
        <tr r="AE52" s="3"/>
        <tr r="AE51" s="3"/>
        <tr r="AE51" s="3"/>
        <tr r="AE51" s="3"/>
      </tp>
      <tp t="e">
        <v>#N/A</v>
        <stp/>
        <stp>BDP|10393493875278469284</stp>
        <tr r="AS85" s="1"/>
      </tp>
      <tp t="e">
        <v>#N/A</v>
        <stp/>
        <stp>BDP|13798102481324742720</stp>
        <tr r="I72" s="1"/>
        <tr r="I33" s="1"/>
        <tr r="I158" s="1"/>
      </tp>
      <tp t="e">
        <v>#N/A</v>
        <stp/>
        <stp>BDP|12701862859476235096</stp>
        <tr r="AH141" s="3"/>
        <tr r="AH141" s="3"/>
        <tr r="AH141" s="3"/>
        <tr r="AH140" s="3"/>
        <tr r="AH140" s="3"/>
        <tr r="AH140" s="3"/>
        <tr r="AH139" s="3"/>
        <tr r="AH139" s="3"/>
        <tr r="AH139" s="3"/>
        <tr r="AH138" s="3"/>
        <tr r="AH138" s="3"/>
        <tr r="AH138" s="3"/>
        <tr r="AH137" s="3"/>
        <tr r="AH137" s="3"/>
        <tr r="AH137" s="3"/>
        <tr r="AH136" s="3"/>
        <tr r="AH136" s="3"/>
        <tr r="AH136" s="3"/>
        <tr r="AH135" s="3"/>
        <tr r="AH135" s="3"/>
        <tr r="AH135" s="3"/>
        <tr r="AH134" s="3"/>
        <tr r="AH134" s="3"/>
        <tr r="AH134" s="3"/>
        <tr r="AH133" s="3"/>
        <tr r="AH133" s="3"/>
        <tr r="AH133" s="3"/>
        <tr r="AH132" s="3"/>
        <tr r="AH132" s="3"/>
        <tr r="AH132" s="3"/>
        <tr r="AH131" s="3"/>
        <tr r="AH131" s="3"/>
        <tr r="AH131" s="3"/>
        <tr r="AH130" s="3"/>
        <tr r="AH130" s="3"/>
        <tr r="AH130" s="3"/>
      </tp>
      <tp t="e">
        <v>#N/A</v>
        <stp/>
        <stp>BDP|14822847524227286099</stp>
        <tr r="H102" s="3"/>
        <tr r="H102" s="3"/>
        <tr r="H102" s="3"/>
        <tr r="H101" s="3"/>
        <tr r="H101" s="3"/>
        <tr r="H101" s="3"/>
        <tr r="H100" s="3"/>
        <tr r="H100" s="3"/>
        <tr r="H100" s="3"/>
      </tp>
      <tp t="e">
        <v>#N/A</v>
        <stp/>
        <stp>BDP|17915373138088332664</stp>
        <tr r="H80" s="1"/>
        <tr r="H80" s="1"/>
        <tr r="H58" s="1"/>
        <tr r="H58" s="1"/>
        <tr r="H28" s="1"/>
        <tr r="H28" s="1"/>
        <tr r="H161" s="1"/>
        <tr r="H161" s="1"/>
        <tr r="H121" s="1"/>
        <tr r="H121" s="1"/>
        <tr r="H10" s="1"/>
        <tr r="H10" s="1"/>
      </tp>
      <tp t="e">
        <v>#N/A</v>
        <stp/>
        <stp>BDP|15333109958018951007</stp>
        <tr r="Z141" s="1"/>
        <tr r="Z131" s="1"/>
      </tp>
      <tp t="e">
        <v>#N/A</v>
        <stp/>
        <stp>BDP|13721867359563310499</stp>
        <tr r="AJ9" s="3"/>
        <tr r="AJ9" s="3"/>
        <tr r="AJ9" s="3"/>
        <tr r="AJ8" s="3"/>
        <tr r="AJ8" s="3"/>
        <tr r="AJ8" s="3"/>
        <tr r="AJ7" s="3"/>
        <tr r="AJ7" s="3"/>
        <tr r="AJ7" s="3"/>
        <tr r="AJ6" s="3"/>
        <tr r="AJ6" s="3"/>
        <tr r="AJ6" s="3"/>
        <tr r="AJ5" s="3"/>
        <tr r="AJ5" s="3"/>
        <tr r="AJ5" s="3"/>
        <tr r="AJ4" s="3"/>
        <tr r="AJ4" s="3"/>
        <tr r="AJ4" s="3"/>
        <tr r="AJ3" s="3"/>
        <tr r="AJ3" s="3"/>
        <tr r="AJ3" s="3"/>
        <tr r="AJ15" s="3"/>
        <tr r="AJ15" s="3"/>
        <tr r="AJ15" s="3"/>
        <tr r="AJ14" s="3"/>
        <tr r="AJ14" s="3"/>
        <tr r="AJ14" s="3"/>
        <tr r="AJ13" s="3"/>
        <tr r="AJ13" s="3"/>
        <tr r="AJ13" s="3"/>
        <tr r="AJ12" s="3"/>
        <tr r="AJ12" s="3"/>
        <tr r="AJ12" s="3"/>
        <tr r="AJ11" s="3"/>
        <tr r="AJ11" s="3"/>
        <tr r="AJ11" s="3"/>
        <tr r="AJ10" s="3"/>
        <tr r="AJ10" s="3"/>
        <tr r="AJ10" s="3"/>
      </tp>
      <tp t="e">
        <v>#N/A</v>
        <stp/>
        <stp>BDP|15127781590194951629</stp>
        <tr r="I52" s="1"/>
      </tp>
      <tp t="e">
        <v>#N/A</v>
        <stp/>
        <stp>BDP|12998424492367337180</stp>
        <tr r="Y62" s="1"/>
        <tr r="Y53" s="1"/>
        <tr r="Y45" s="1"/>
        <tr r="Y115" s="1"/>
      </tp>
      <tp t="e">
        <v>#N/A</v>
        <stp/>
        <stp>BDP|15435325371029558100</stp>
        <tr r="AK116" s="1"/>
        <tr r="AK116" s="1"/>
        <tr r="AK116" s="1"/>
        <tr r="AK70" s="1"/>
        <tr r="AK70" s="1"/>
        <tr r="AK70" s="1"/>
        <tr r="AK159" s="1"/>
        <tr r="AK159" s="1"/>
        <tr r="AK159" s="1"/>
        <tr r="AK84" s="1"/>
        <tr r="AK84" s="1"/>
        <tr r="AK84" s="1"/>
      </tp>
      <tp t="e">
        <v>#N/A</v>
        <stp/>
        <stp>BDP|15743473917770660931</stp>
        <tr r="AU96" s="3"/>
        <tr r="AU96" s="3"/>
        <tr r="AU95" s="3"/>
        <tr r="AU95" s="3"/>
      </tp>
      <tp t="e">
        <v>#N/A</v>
        <stp/>
        <stp>BDP|16513341323526479845</stp>
        <tr r="AM19" s="1"/>
        <tr r="AM19" s="1"/>
      </tp>
      <tp t="e">
        <v>#N/A</v>
        <stp/>
        <stp>BDP|10842321508809133318</stp>
        <tr r="AJ50" s="3"/>
        <tr r="AJ50" s="3"/>
        <tr r="AJ50" s="3"/>
        <tr r="AJ49" s="3"/>
        <tr r="AJ49" s="3"/>
        <tr r="AJ49" s="3"/>
        <tr r="AJ48" s="3"/>
        <tr r="AJ48" s="3"/>
        <tr r="AJ48" s="3"/>
        <tr r="AJ47" s="3"/>
        <tr r="AJ47" s="3"/>
        <tr r="AJ47" s="3"/>
        <tr r="AJ46" s="3"/>
        <tr r="AJ46" s="3"/>
        <tr r="AJ46" s="3"/>
        <tr r="AJ45" s="3"/>
        <tr r="AJ45" s="3"/>
        <tr r="AJ45" s="3"/>
        <tr r="AJ44" s="3"/>
        <tr r="AJ44" s="3"/>
        <tr r="AJ44" s="3"/>
        <tr r="AJ43" s="3"/>
        <tr r="AJ43" s="3"/>
        <tr r="AJ43" s="3"/>
        <tr r="AJ42" s="3"/>
        <tr r="AJ42" s="3"/>
        <tr r="AJ42" s="3"/>
        <tr r="AJ41" s="3"/>
        <tr r="AJ41" s="3"/>
        <tr r="AJ41" s="3"/>
        <tr r="AJ40" s="3"/>
        <tr r="AJ40" s="3"/>
        <tr r="AJ40" s="3"/>
        <tr r="AJ39" s="3"/>
        <tr r="AJ39" s="3"/>
        <tr r="AJ39" s="3"/>
        <tr r="AJ38" s="3"/>
        <tr r="AJ38" s="3"/>
        <tr r="AJ38" s="3"/>
        <tr r="AJ37" s="3"/>
        <tr r="AJ37" s="3"/>
        <tr r="AJ37" s="3"/>
        <tr r="AJ36" s="3"/>
        <tr r="AJ36" s="3"/>
        <tr r="AJ36" s="3"/>
        <tr r="AJ35" s="3"/>
        <tr r="AJ35" s="3"/>
        <tr r="AJ35" s="3"/>
      </tp>
      <tp t="e">
        <v>#N/A</v>
        <stp/>
        <stp>BDP|18023233945843171427</stp>
        <tr r="L94" s="1"/>
        <tr r="L94" s="1"/>
        <tr r="L151" s="1"/>
        <tr r="L151" s="1"/>
        <tr r="L123" s="1"/>
        <tr r="L123" s="1"/>
        <tr r="L101" s="1"/>
        <tr r="L101" s="1"/>
        <tr r="AS94" s="1"/>
        <tr r="AS151" s="1"/>
        <tr r="AS123" s="1"/>
        <tr r="AS101" s="1"/>
      </tp>
      <tp t="e">
        <v>#N/A</v>
        <stp/>
        <stp>BDP|15957438990653656293</stp>
        <tr r="Z34" s="1"/>
        <tr r="Z156" s="1"/>
      </tp>
      <tp t="e">
        <v>#N/A</v>
        <stp/>
        <stp>BDP|13315174881036293528</stp>
        <tr r="N44" s="1"/>
      </tp>
      <tp t="e">
        <v>#N/A</v>
        <stp/>
        <stp>BDP|15281581898910685002</stp>
        <tr r="H47" s="1"/>
        <tr r="H47" s="1"/>
      </tp>
      <tp t="e">
        <v>#N/A</v>
        <stp/>
        <stp>BDP|13523329795833225348</stp>
        <tr r="AM72" s="1"/>
        <tr r="AM72" s="1"/>
        <tr r="AM33" s="1"/>
        <tr r="AM33" s="1"/>
        <tr r="AM158" s="1"/>
        <tr r="AM158" s="1"/>
      </tp>
      <tp t="e">
        <v>#N/A</v>
        <stp/>
        <stp>BDP|12314966061741489549</stp>
        <tr r="Y150" s="1"/>
        <tr r="Y122" s="1"/>
      </tp>
      <tp t="e">
        <v>#N/A</v>
        <stp/>
        <stp>BDP|10582239457659268777</stp>
        <tr r="H32" s="1"/>
        <tr r="H32" s="1"/>
      </tp>
      <tp t="e">
        <v>#N/A</v>
        <stp/>
        <stp>BDP|15768408131488194309</stp>
        <tr r="X113" s="1"/>
      </tp>
      <tp t="e">
        <v>#N/A</v>
        <stp/>
        <stp>BDP|13718260774217021838</stp>
        <tr r="AD60" s="1"/>
        <tr r="AD40" s="1"/>
        <tr r="AD75" s="1"/>
        <tr r="AD4" s="1"/>
        <tr r="AD25" s="1"/>
        <tr r="AD163" s="1"/>
        <tr r="AD117" s="1"/>
        <tr r="AD97" s="1"/>
      </tp>
      <tp t="e">
        <v>#N/A</v>
        <stp/>
        <stp>BDP|14292161643519022111</stp>
        <tr r="AU64" s="3"/>
        <tr r="AU64" s="3"/>
      </tp>
      <tp t="e">
        <v>#N/A</v>
        <stp/>
        <stp>BDP|13088979162317083238</stp>
        <tr r="H13" s="1"/>
        <tr r="H13" s="1"/>
      </tp>
      <tp t="e">
        <v>#N/A</v>
        <stp/>
        <stp>BDP|14201242435554455812</stp>
        <tr r="AJ105" s="1"/>
        <tr r="AJ105" s="1"/>
      </tp>
      <tp t="e">
        <v>#N/A</v>
        <stp/>
        <stp>BDP|13252933521173677200</stp>
        <tr r="W99" s="3"/>
        <tr r="W98" s="3"/>
        <tr r="W97" s="3"/>
      </tp>
      <tp t="e">
        <v>#N/A</v>
        <stp/>
        <stp>BDP|17600751821749031242</stp>
        <tr r="AD15" s="1"/>
        <tr r="AD109" s="1"/>
      </tp>
      <tp t="e">
        <v>#N/A</v>
        <stp/>
        <stp>BDP|18212071115011016164</stp>
        <tr r="AM160" s="1"/>
        <tr r="AM160" s="1"/>
      </tp>
    </main>
    <main first="bloomberg.rtd">
      <tp t="s">
        <v>Baidu Inc</v>
        <stp/>
        <stp>##V3_BDPV12</stp>
        <stp>9888 HK Equity</stp>
        <stp>SECURITY NAME</stp>
        <stp>[DPM - Securities Master List (BBG Linked).xlsx]Equities!R23C5</stp>
        <tr r="E23" s="2"/>
      </tp>
      <tp>
        <v>170.30000305175781</v>
        <stp/>
        <stp>##V3_BDPV12</stp>
        <stp>BIIB US Equity</stp>
        <stp>BEST_TARGET_PRICE</stp>
        <stp>[DPM - Securities Master List (BBG Linked).xlsx]Equities!R62C38</stp>
        <tr r="AL62" s="2"/>
      </tp>
      <tp>
        <v>2.184161</v>
        <stp/>
        <stp>##V3_BDPV12</stp>
        <stp>TCEHY US Equity</stp>
        <stp>CHG_PCT_1D</stp>
        <stp>[DPM - Securities Master List (BBG Linked).xlsx]Equities!R259C22</stp>
        <tr r="V259" s="2"/>
      </tp>
      <tp>
        <v>2.184161</v>
        <stp/>
        <stp>##V3_BDPV12</stp>
        <stp>TCEHY US Equity</stp>
        <stp>CHG_PCT_1D</stp>
        <stp>[DPM - Securities Master List (BBG Linked).xlsx]Equities!R260C22</stp>
        <tr r="V260" s="2"/>
      </tp>
    </main>
    <main first="bofaddin.rtdserver">
      <tp t="e">
        <v>#N/A</v>
        <stp/>
        <stp>BDP|16605395305359159228</stp>
        <tr r="AA96" s="1"/>
        <tr r="AA77" s="1"/>
        <tr r="AA65" s="1"/>
        <tr r="AA36" s="1"/>
        <tr r="AA27" s="1"/>
        <tr r="AA162" s="1"/>
      </tp>
      <tp t="e">
        <v>#N/A</v>
        <stp/>
        <stp>BDP|14699564628285349825</stp>
        <tr r="F20" s="1"/>
      </tp>
      <tp t="e">
        <v>#N/A</v>
        <stp/>
        <stp>BDP|14631347237598578296</stp>
        <tr r="AF129" s="3"/>
        <tr r="AF129" s="3"/>
        <tr r="AF128" s="3"/>
        <tr r="AF128" s="3"/>
        <tr r="AF127" s="3"/>
        <tr r="AF127" s="3"/>
        <tr r="AF126" s="3"/>
        <tr r="AF126" s="3"/>
        <tr r="AF125" s="3"/>
        <tr r="AF125" s="3"/>
        <tr r="AF124" s="3"/>
        <tr r="AF124" s="3"/>
        <tr r="AF123" s="3"/>
        <tr r="AF123" s="3"/>
        <tr r="AF122" s="3"/>
        <tr r="AF122" s="3"/>
        <tr r="AF121" s="3"/>
        <tr r="AF121" s="3"/>
        <tr r="AF120" s="3"/>
        <tr r="AF120" s="3"/>
      </tp>
      <tp t="e">
        <v>#N/A</v>
        <stp/>
        <stp>BDP|14674666973912992936</stp>
        <tr r="AE96" s="1"/>
        <tr r="AE77" s="1"/>
        <tr r="AE65" s="1"/>
        <tr r="AE36" s="1"/>
        <tr r="AE27" s="1"/>
        <tr r="AE162" s="1"/>
      </tp>
      <tp t="e">
        <v>#N/A</v>
        <stp/>
        <stp>BDP|17867956974735557257</stp>
        <tr r="AI141" s="3"/>
        <tr r="AI141" s="3"/>
        <tr r="AI141" s="3"/>
        <tr r="AI140" s="3"/>
        <tr r="AI140" s="3"/>
        <tr r="AI140" s="3"/>
        <tr r="AI139" s="3"/>
        <tr r="AI139" s="3"/>
        <tr r="AI139" s="3"/>
        <tr r="AI138" s="3"/>
        <tr r="AI138" s="3"/>
        <tr r="AI138" s="3"/>
        <tr r="AI137" s="3"/>
        <tr r="AI137" s="3"/>
        <tr r="AI137" s="3"/>
        <tr r="AI136" s="3"/>
        <tr r="AI136" s="3"/>
        <tr r="AI136" s="3"/>
        <tr r="AI135" s="3"/>
        <tr r="AI135" s="3"/>
        <tr r="AI135" s="3"/>
        <tr r="AI134" s="3"/>
        <tr r="AI134" s="3"/>
        <tr r="AI134" s="3"/>
        <tr r="AI133" s="3"/>
        <tr r="AI133" s="3"/>
        <tr r="AI133" s="3"/>
        <tr r="AI132" s="3"/>
        <tr r="AI132" s="3"/>
        <tr r="AI132" s="3"/>
        <tr r="AI131" s="3"/>
        <tr r="AI131" s="3"/>
        <tr r="AI131" s="3"/>
        <tr r="AI130" s="3"/>
        <tr r="AI130" s="3"/>
        <tr r="AI130" s="3"/>
      </tp>
      <tp t="e">
        <v>#N/A</v>
        <stp/>
        <stp>BDP|10951385144218441183</stp>
        <tr r="H19" s="1"/>
      </tp>
      <tp t="e">
        <v>#N/A</v>
        <stp/>
        <stp>BDP|10266804734130601596</stp>
        <tr r="AJ99" s="3"/>
        <tr r="AJ99" s="3"/>
        <tr r="AJ99" s="3"/>
        <tr r="AJ98" s="3"/>
        <tr r="AJ98" s="3"/>
        <tr r="AJ98" s="3"/>
        <tr r="AJ97" s="3"/>
        <tr r="AJ97" s="3"/>
        <tr r="AJ97" s="3"/>
      </tp>
      <tp t="e">
        <v>#N/A</v>
        <stp/>
        <stp>BDP|13087943226041226780</stp>
        <tr r="AD87" s="1"/>
      </tp>
      <tp t="e">
        <v>#N/A</v>
        <stp/>
        <stp>BDP|18089595867780311565</stp>
        <tr r="N83" s="1"/>
        <tr r="N50" s="1"/>
      </tp>
      <tp t="e">
        <v>#N/A</v>
        <stp/>
        <stp>BDP|12925728473138188420</stp>
        <tr r="AA19" s="1"/>
      </tp>
      <tp t="e">
        <v>#N/A</v>
        <stp/>
        <stp>BDP|11956153230574630911</stp>
        <tr r="AS8" s="1"/>
        <tr r="AS106" s="1"/>
        <tr r="L8" s="1"/>
        <tr r="L8" s="1"/>
        <tr r="L106" s="1"/>
        <tr r="L106" s="1"/>
      </tp>
      <tp t="e">
        <v>#N/A</v>
        <stp/>
        <stp>BDP|14081852174957955229</stp>
        <tr r="AJ54" s="1"/>
        <tr r="AJ54" s="1"/>
      </tp>
      <tp t="e">
        <v>#N/A</v>
        <stp/>
        <stp>BDP|18398267956880054190</stp>
        <tr r="X18" s="1"/>
      </tp>
      <tp t="e">
        <v>#N/A</v>
        <stp/>
        <stp>BDP|10721531653109843754</stp>
        <tr r="AK104" s="1"/>
        <tr r="AK104" s="1"/>
        <tr r="AK104" s="1"/>
      </tp>
      <tp t="e">
        <v>#N/A</v>
        <stp/>
        <stp>BDP|13141730662188850425</stp>
        <tr r="AD95" s="1"/>
        <tr r="AD71" s="1"/>
      </tp>
      <tp t="e">
        <v>#N/A</v>
        <stp/>
        <stp>BDP|17645812199579547169</stp>
        <tr r="AS16" s="3"/>
        <tr r="AS16" s="3"/>
        <tr r="AS16" s="3"/>
      </tp>
      <tp t="e">
        <v>#N/A</v>
        <stp/>
        <stp>BDP|10607856688007778912</stp>
        <tr r="AK32" s="1"/>
        <tr r="AK32" s="1"/>
        <tr r="AK32" s="1"/>
      </tp>
      <tp t="e">
        <v>#N/A</v>
        <stp/>
        <stp>BDP|17297568140649832116</stp>
        <tr r="H104" s="1"/>
      </tp>
      <tp t="e">
        <v>#N/A</v>
        <stp/>
        <stp>BDP|13820553787335789513</stp>
        <tr r="H126" s="1"/>
        <tr r="H126" s="1"/>
      </tp>
      <tp t="e">
        <v>#N/A</v>
        <stp/>
        <stp>BDP|17117288476435755947</stp>
        <tr r="H75" s="1"/>
        <tr r="H75" s="1"/>
        <tr r="H97" s="1"/>
        <tr r="H97" s="1"/>
        <tr r="H4" s="1"/>
        <tr r="H4" s="1"/>
        <tr r="H60" s="1"/>
        <tr r="H60" s="1"/>
        <tr r="H40" s="1"/>
        <tr r="H40" s="1"/>
        <tr r="H163" s="1"/>
        <tr r="H163" s="1"/>
        <tr r="H117" s="1"/>
        <tr r="H117" s="1"/>
        <tr r="H25" s="1"/>
        <tr r="H25" s="1"/>
      </tp>
      <tp t="e">
        <v>#N/A</v>
        <stp/>
        <stp>BDP|16604982591949152121</stp>
        <tr r="AS20" s="1"/>
      </tp>
      <tp t="e">
        <v>#N/A</v>
        <stp/>
        <stp>BDP|13800204250999236362</stp>
        <tr r="AK61" s="1"/>
        <tr r="AK61" s="1"/>
        <tr r="AK61" s="1"/>
        <tr r="AK16" s="1"/>
        <tr r="AK16" s="1"/>
        <tr r="AK16" s="1"/>
        <tr r="AK119" s="1"/>
        <tr r="AK119" s="1"/>
        <tr r="AK119" s="1"/>
        <tr r="AK38" s="1"/>
        <tr r="AK38" s="1"/>
        <tr r="AK38" s="1"/>
        <tr r="AK152" s="1"/>
        <tr r="AK152" s="1"/>
        <tr r="AK152" s="1"/>
        <tr r="AK111" s="1"/>
        <tr r="AK111" s="1"/>
        <tr r="AK111" s="1"/>
        <tr r="AK99" s="1"/>
        <tr r="AK99" s="1"/>
        <tr r="AK99" s="1"/>
        <tr r="AK74" s="1"/>
        <tr r="AK74" s="1"/>
        <tr r="AK74" s="1"/>
        <tr r="AK165" s="1"/>
        <tr r="AK165" s="1"/>
        <tr r="AK165" s="1"/>
        <tr r="AK137" s="1"/>
        <tr r="AK137" s="1"/>
        <tr r="AK137" s="1"/>
        <tr r="AK23" s="1"/>
        <tr r="AK23" s="1"/>
        <tr r="AK23" s="1"/>
        <tr r="AK146" s="1"/>
        <tr r="AK146" s="1"/>
        <tr r="AK146" s="1"/>
      </tp>
    </main>
    <main first="bloomberg.rtd">
      <tp t="s">
        <v>#N/A Invalid Override</v>
        <stp/>
        <stp>##V3_BDPV12</stp>
        <stp>XS2793223475 isin</stp>
        <stp>YAS_BOND_YLD</stp>
        <stp>[DPM - Securities Master List (BBG Linked).xlsx]Bonds!R56C10</stp>
        <stp>YAS_YLD_FLAG=15</stp>
        <stp>user_local_trade_date</stp>
        <stp>45783</stp>
        <stp>Yas_bond_px</stp>
        <stp>#N/A Connection</stp>
        <tr r="J56" s="1"/>
      </tp>
    </main>
    <main first="bofaddin.rtdserver">
      <tp t="e">
        <v>#N/A</v>
        <stp/>
        <stp>BDP|13798509402580382895</stp>
        <tr r="AT12" s="1"/>
      </tp>
      <tp t="e">
        <v>#N/A</v>
        <stp/>
        <stp>BDP|17679724718147305802</stp>
        <tr r="F148" s="1"/>
        <tr r="F138" s="1"/>
      </tp>
      <tp t="e">
        <v>#N/A</v>
        <stp/>
        <stp>BDP|15042966783243230983</stp>
        <tr r="F139" s="1"/>
        <tr r="F129" s="1"/>
      </tp>
      <tp t="e">
        <v>#N/A</v>
        <stp/>
        <stp>BDP|10991972385608740722</stp>
        <tr r="V111" s="3"/>
        <tr r="V110" s="3"/>
        <tr r="V109" s="3"/>
        <tr r="V108" s="3"/>
        <tr r="V107" s="3"/>
        <tr r="V106" s="3"/>
        <tr r="V105" s="3"/>
        <tr r="V104" s="3"/>
      </tp>
      <tp t="e">
        <v>#N/A</v>
        <stp/>
        <stp>BDP|10926611388361672189</stp>
        <tr r="E78" s="1"/>
        <tr r="E154" s="1"/>
        <tr r="E149" s="1"/>
        <tr r="E124" s="1"/>
      </tp>
      <tp t="e">
        <v>#N/A</v>
        <stp/>
        <stp>BDP|14914415985001244715</stp>
        <tr r="AE115" s="3"/>
        <tr r="AE115" s="3"/>
        <tr r="AE115" s="3"/>
      </tp>
      <tp t="e">
        <v>#N/A</v>
        <stp/>
        <stp>BDP|10004021629098834428</stp>
        <tr r="AQ114" s="3"/>
        <tr r="AQ114" s="3"/>
        <tr r="AQ114" s="3"/>
        <tr r="AQ113" s="3"/>
        <tr r="AQ113" s="3"/>
        <tr r="AQ113" s="3"/>
        <tr r="AQ112" s="3"/>
        <tr r="AQ112" s="3"/>
        <tr r="AQ112" s="3"/>
      </tp>
      <tp t="e">
        <v>#N/A</v>
        <stp/>
        <stp>BDP|17882577689532574625</stp>
        <tr r="E104" s="1"/>
      </tp>
      <tp t="e">
        <v>#N/A</v>
        <stp/>
        <stp>BDP|10022625733388185313</stp>
        <tr r="AS17" s="1"/>
        <tr r="AS112" s="1"/>
      </tp>
      <tp t="e">
        <v>#N/A</v>
        <stp/>
        <stp>BDP|11055851063483468234</stp>
        <tr r="H73" s="1"/>
        <tr r="H73" s="1"/>
        <tr r="H168" s="1"/>
        <tr r="H168" s="1"/>
      </tp>
      <tp t="e">
        <v>#N/A</v>
        <stp/>
        <stp>BDP|14488828702177223565</stp>
        <tr r="Y104" s="1"/>
      </tp>
      <tp t="e">
        <v>#N/A</v>
        <stp/>
        <stp>BDP|10109388651871023986</stp>
        <tr r="H15" s="1"/>
        <tr r="H15" s="1"/>
        <tr r="H109" s="1"/>
        <tr r="H109" s="1"/>
      </tp>
      <tp t="e">
        <v>#N/A</v>
        <stp/>
        <stp>BDP|17416391291015776689</stp>
        <tr r="W78" s="1"/>
        <tr r="W154" s="1"/>
        <tr r="W149" s="1"/>
        <tr r="W124" s="1"/>
      </tp>
      <tp t="e">
        <v>#N/A</v>
        <stp/>
        <stp>BDP|10293596363428979535</stp>
        <tr r="AE80" s="1"/>
        <tr r="AE58" s="1"/>
        <tr r="AE28" s="1"/>
        <tr r="AE161" s="1"/>
        <tr r="AE121" s="1"/>
        <tr r="AE10" s="1"/>
      </tp>
      <tp t="e">
        <v>#N/A</v>
        <stp/>
        <stp>BDP|14144530635884562805</stp>
        <tr r="AM92" s="1"/>
        <tr r="AM92" s="1"/>
      </tp>
      <tp t="e">
        <v>#N/A</v>
        <stp/>
        <stp>BDP|11092781918441103832</stp>
        <tr r="M111" s="3"/>
        <tr r="M111" s="3"/>
        <tr r="M111" s="3"/>
        <tr r="M110" s="3"/>
        <tr r="M110" s="3"/>
        <tr r="M110" s="3"/>
        <tr r="M109" s="3"/>
        <tr r="M109" s="3"/>
        <tr r="M109" s="3"/>
        <tr r="M108" s="3"/>
        <tr r="M108" s="3"/>
        <tr r="M108" s="3"/>
        <tr r="M107" s="3"/>
        <tr r="M107" s="3"/>
        <tr r="M107" s="3"/>
        <tr r="M106" s="3"/>
        <tr r="M106" s="3"/>
        <tr r="M106" s="3"/>
        <tr r="M105" s="3"/>
        <tr r="M105" s="3"/>
        <tr r="M105" s="3"/>
        <tr r="M104" s="3"/>
        <tr r="M104" s="3"/>
        <tr r="M104" s="3"/>
      </tp>
      <tp t="e">
        <v>#N/A</v>
        <stp/>
        <stp>BDP|12614350308399990670</stp>
        <tr r="E51" s="1"/>
      </tp>
      <tp t="e">
        <v>#N/A</v>
        <stp/>
        <stp>BDP|14792857966455839193</stp>
        <tr r="AI115" s="3"/>
        <tr r="AI115" s="3"/>
        <tr r="AI115" s="3"/>
      </tp>
      <tp t="e">
        <v>#N/A</v>
        <stp/>
        <stp>BDP|16255875882220088820</stp>
        <tr r="AM11" s="1"/>
        <tr r="AM11" s="1"/>
        <tr r="AM102" s="1"/>
        <tr r="AM102" s="1"/>
      </tp>
      <tp t="e">
        <v>#N/A</v>
        <stp/>
        <stp>BDP|15442695916519940579</stp>
        <tr r="AT50" s="3"/>
        <tr r="AT50" s="3"/>
        <tr r="AT50" s="3"/>
        <tr r="AT49" s="3"/>
        <tr r="AT49" s="3"/>
        <tr r="AT49" s="3"/>
        <tr r="AT48" s="3"/>
        <tr r="AT48" s="3"/>
        <tr r="AT48" s="3"/>
        <tr r="AT47" s="3"/>
        <tr r="AT47" s="3"/>
        <tr r="AT47" s="3"/>
        <tr r="AT46" s="3"/>
        <tr r="AT46" s="3"/>
        <tr r="AT46" s="3"/>
        <tr r="AT45" s="3"/>
        <tr r="AT45" s="3"/>
        <tr r="AT45" s="3"/>
        <tr r="AT44" s="3"/>
        <tr r="AT44" s="3"/>
        <tr r="AT44" s="3"/>
        <tr r="AT43" s="3"/>
        <tr r="AT43" s="3"/>
        <tr r="AT43" s="3"/>
        <tr r="AT42" s="3"/>
        <tr r="AT42" s="3"/>
        <tr r="AT42" s="3"/>
        <tr r="AT41" s="3"/>
        <tr r="AT41" s="3"/>
        <tr r="AT41" s="3"/>
        <tr r="AT40" s="3"/>
        <tr r="AT40" s="3"/>
        <tr r="AT40" s="3"/>
        <tr r="AT39" s="3"/>
        <tr r="AT39" s="3"/>
        <tr r="AT39" s="3"/>
        <tr r="AT38" s="3"/>
        <tr r="AT38" s="3"/>
        <tr r="AT38" s="3"/>
        <tr r="AT37" s="3"/>
        <tr r="AT37" s="3"/>
        <tr r="AT37" s="3"/>
        <tr r="AT36" s="3"/>
        <tr r="AT36" s="3"/>
        <tr r="AT36" s="3"/>
        <tr r="AT35" s="3"/>
        <tr r="AT35" s="3"/>
        <tr r="AT35" s="3"/>
      </tp>
      <tp t="e">
        <v>#N/A</v>
        <stp/>
        <stp>BDP|16412092047384610899</stp>
        <tr r="AS56" s="1"/>
        <tr r="L56" s="1"/>
        <tr r="L56" s="1"/>
      </tp>
      <tp t="e">
        <v>#N/A</v>
        <stp/>
        <stp>BDP|18295470110063662060</stp>
        <tr r="AP99" s="3"/>
        <tr r="AP99" s="3"/>
        <tr r="AP99" s="3"/>
        <tr r="AP98" s="3"/>
        <tr r="AP98" s="3"/>
        <tr r="AP98" s="3"/>
        <tr r="AP97" s="3"/>
        <tr r="AP97" s="3"/>
        <tr r="AP97" s="3"/>
      </tp>
      <tp t="e">
        <v>#N/A</v>
        <stp/>
        <stp>BDP|12113884051756803751</stp>
        <tr r="W73" s="1"/>
        <tr r="W168" s="1"/>
      </tp>
      <tp t="e">
        <v>#N/A</v>
        <stp/>
        <stp>BDP|10793385945859649090</stp>
        <tr r="F44" s="1"/>
      </tp>
      <tp t="e">
        <v>#N/A</v>
        <stp/>
        <stp>BDP|11943754970209905619</stp>
        <tr r="AK46" s="1"/>
        <tr r="AK46" s="1"/>
        <tr r="AK46" s="1"/>
        <tr r="AK144" s="1"/>
        <tr r="AK144" s="1"/>
        <tr r="AK144" s="1"/>
        <tr r="AK134" s="1"/>
        <tr r="AK134" s="1"/>
        <tr r="AK134" s="1"/>
      </tp>
      <tp t="e">
        <v>#N/A</v>
        <stp/>
        <stp>BDP|13269914462281157349</stp>
        <tr r="Q63" s="3"/>
        <tr r="Q62" s="3"/>
        <tr r="Q61" s="3"/>
        <tr r="Q60" s="3"/>
        <tr r="Q59" s="3"/>
        <tr r="Q58" s="3"/>
        <tr r="Q57" s="3"/>
        <tr r="Q56" s="3"/>
        <tr r="Q55" s="3"/>
        <tr r="Q54" s="3"/>
        <tr r="Q53" s="3"/>
        <tr r="Q52" s="3"/>
        <tr r="Q51" s="3"/>
      </tp>
      <tp t="e">
        <v>#N/A</v>
        <stp/>
        <stp>BDP|18118374647583156247</stp>
        <tr r="H92" s="1"/>
        <tr r="H92" s="1"/>
      </tp>
      <tp t="e">
        <v>#N/A</v>
        <stp/>
        <stp>BDP|16269612514348079737</stp>
        <tr r="H110" s="1"/>
        <tr r="H110" s="1"/>
      </tp>
      <tp t="e">
        <v>#N/A</v>
        <stp/>
        <stp>BDP|14934646691142836700</stp>
        <tr r="I54" s="1"/>
      </tp>
      <tp t="e">
        <v>#N/A</v>
        <stp/>
        <stp>BDP|10554301803209300412</stp>
        <tr r="I64" s="3"/>
        <tr r="I64" s="3"/>
        <tr r="I64" s="3"/>
      </tp>
      <tp t="e">
        <v>#N/A</v>
        <stp/>
        <stp>BDP|17113827544667271213</stp>
        <tr r="AK47" s="1"/>
        <tr r="AK47" s="1"/>
        <tr r="AK47" s="1"/>
      </tp>
      <tp t="e">
        <v>#N/A</v>
        <stp/>
        <stp>BDP|16540458984341213516</stp>
        <tr r="Q86" s="1"/>
        <tr r="Q133" s="1"/>
      </tp>
      <tp t="e">
        <v>#N/A</v>
        <stp/>
        <stp>BDP|14822305858558679417</stp>
        <tr r="AS98" s="1"/>
        <tr r="AS79" s="1"/>
        <tr r="AS5" s="1"/>
        <tr r="AS155" s="1"/>
        <tr r="AS118" s="1"/>
        <tr r="L98" s="1"/>
        <tr r="L98" s="1"/>
        <tr r="L79" s="1"/>
        <tr r="L79" s="1"/>
        <tr r="L5" s="1"/>
        <tr r="L5" s="1"/>
        <tr r="L155" s="1"/>
        <tr r="L155" s="1"/>
        <tr r="L118" s="1"/>
        <tr r="L118" s="1"/>
      </tp>
      <tp t="e">
        <v>#N/A</v>
        <stp/>
        <stp>BDP|17865690757632805896</stp>
        <tr r="H35" s="1"/>
        <tr r="H35" s="1"/>
        <tr r="H24" s="1"/>
        <tr r="H24" s="1"/>
        <tr r="H153" s="1"/>
        <tr r="H153" s="1"/>
      </tp>
      <tp t="e">
        <v>#N/A</v>
        <stp/>
        <stp>BDP|11593437987812352156</stp>
        <tr r="V92" s="1"/>
      </tp>
      <tp t="e">
        <v>#N/A</v>
        <stp/>
        <stp>BDP|17252226127109992082</stp>
        <tr r="K8" s="1"/>
        <tr r="K106" s="1"/>
      </tp>
      <tp t="e">
        <v>#N/A</v>
        <stp/>
        <stp>BDP|16617264175689450473</stp>
        <tr r="H86" s="1"/>
        <tr r="H86" s="1"/>
        <tr r="H133" s="1"/>
        <tr r="H133" s="1"/>
      </tp>
    </main>
    <main first="bloomberg.rtd">
      <tp>
        <v>432.41665649414063</v>
        <stp/>
        <stp>##V3_BDPV12</stp>
        <stp>BP/ LN Equity</stp>
        <stp>BEST_TARGET_PRICE</stp>
        <stp>[DPM - Securities Master List (BBG Linked).xlsx]Equities!R90C38</stp>
        <tr r="AL90" s="2"/>
      </tp>
      <tp>
        <v>432.41665649414063</v>
        <stp/>
        <stp>##V3_BDPV12</stp>
        <stp>BP/ LN Equity</stp>
        <stp>BEST_TARGET_PRICE</stp>
        <stp>[DPM - Securities Master List (BBG Linked).xlsx]Equities!R88C38</stp>
        <tr r="AL88" s="2"/>
      </tp>
      <tp>
        <v>432.41665649414063</v>
        <stp/>
        <stp>##V3_BDPV12</stp>
        <stp>BP/ LN Equity</stp>
        <stp>BEST_TARGET_PRICE</stp>
        <stp>[DPM - Securities Master List (BBG Linked).xlsx]Equities!R89C38</stp>
        <tr r="AL89" s="2"/>
      </tp>
      <tp>
        <v>432.41665649414063</v>
        <stp/>
        <stp>##V3_BDPV12</stp>
        <stp>BP/ LN Equity</stp>
        <stp>BEST_TARGET_PRICE</stp>
        <stp>[DPM - Securities Master List (BBG Linked).xlsx]Equities!R80C38</stp>
        <tr r="AL80" s="2"/>
      </tp>
      <tp>
        <v>432.41665649414063</v>
        <stp/>
        <stp>##V3_BDPV12</stp>
        <stp>BP/ LN Equity</stp>
        <stp>BEST_TARGET_PRICE</stp>
        <stp>[DPM - Securities Master List (BBG Linked).xlsx]Equities!R81C38</stp>
        <tr r="AL81" s="2"/>
      </tp>
      <tp>
        <v>432.41665649414063</v>
        <stp/>
        <stp>##V3_BDPV12</stp>
        <stp>BP/ LN Equity</stp>
        <stp>BEST_TARGET_PRICE</stp>
        <stp>[DPM - Securities Master List (BBG Linked).xlsx]Equities!R82C38</stp>
        <tr r="AL82" s="2"/>
      </tp>
      <tp>
        <v>432.41665649414063</v>
        <stp/>
        <stp>##V3_BDPV12</stp>
        <stp>BP/ LN Equity</stp>
        <stp>BEST_TARGET_PRICE</stp>
        <stp>[DPM - Securities Master List (BBG Linked).xlsx]Equities!R83C38</stp>
        <tr r="AL83" s="2"/>
      </tp>
      <tp>
        <v>432.41665649414063</v>
        <stp/>
        <stp>##V3_BDPV12</stp>
        <stp>BP/ LN Equity</stp>
        <stp>BEST_TARGET_PRICE</stp>
        <stp>[DPM - Securities Master List (BBG Linked).xlsx]Equities!R84C38</stp>
        <tr r="AL84" s="2"/>
      </tp>
      <tp>
        <v>432.41665649414063</v>
        <stp/>
        <stp>##V3_BDPV12</stp>
        <stp>BP/ LN Equity</stp>
        <stp>BEST_TARGET_PRICE</stp>
        <stp>[DPM - Securities Master List (BBG Linked).xlsx]Equities!R85C38</stp>
        <tr r="AL85" s="2"/>
      </tp>
      <tp>
        <v>432.41665649414063</v>
        <stp/>
        <stp>##V3_BDPV12</stp>
        <stp>BP/ LN Equity</stp>
        <stp>BEST_TARGET_PRICE</stp>
        <stp>[DPM - Securities Master List (BBG Linked).xlsx]Equities!R86C38</stp>
        <tr r="AL86" s="2"/>
      </tp>
      <tp>
        <v>432.41665649414063</v>
        <stp/>
        <stp>##V3_BDPV12</stp>
        <stp>BP/ LN Equity</stp>
        <stp>BEST_TARGET_PRICE</stp>
        <stp>[DPM - Securities Master List (BBG Linked).xlsx]Equities!R87C38</stp>
        <tr r="AL87" s="2"/>
      </tp>
      <tp>
        <v>432.41665649414063</v>
        <stp/>
        <stp>##V3_BDPV12</stp>
        <stp>BP/ LN Equity</stp>
        <stp>BEST_TARGET_PRICE</stp>
        <stp>[DPM - Securities Master List (BBG Linked).xlsx]Equities!R78C38</stp>
        <tr r="AL78" s="2"/>
      </tp>
      <tp>
        <v>432.41665649414063</v>
        <stp/>
        <stp>##V3_BDPV12</stp>
        <stp>BP/ LN Equity</stp>
        <stp>BEST_TARGET_PRICE</stp>
        <stp>[DPM - Securities Master List (BBG Linked).xlsx]Equities!R79C38</stp>
        <tr r="AL79" s="2"/>
      </tp>
      <tp>
        <v>432.41665649414063</v>
        <stp/>
        <stp>##V3_BDPV12</stp>
        <stp>BP/ LN Equity</stp>
        <stp>BEST_TARGET_PRICE</stp>
        <stp>[DPM - Securities Master List (BBG Linked).xlsx]Equities!R77C38</stp>
        <tr r="AL77" s="2"/>
      </tp>
      <tp t="s">
        <v>Baidu Inc</v>
        <stp/>
        <stp>##V3_BDPV12</stp>
        <stp>9888 HK Equity</stp>
        <stp>SECURITY NAME</stp>
        <stp>[DPM - Securities Master List (BBG Linked).xlsx]Equities!R22C5</stp>
        <tr r="E22" s="2"/>
      </tp>
      <tp>
        <v>163.57</v>
        <stp/>
        <stp>##V3_BDPV12</stp>
        <stp>GOOGL US Equity</stp>
        <stp>PX_Last</stp>
        <stp>[DPM - Securities Master List (BBG Linked).xlsx]Equities!R141C17</stp>
        <tr r="Q141" s="2"/>
      </tp>
      <tp>
        <v>163.57</v>
        <stp/>
        <stp>##V3_BDPV12</stp>
        <stp>GOOGL US Equity</stp>
        <stp>PX_Last</stp>
        <stp>[DPM - Securities Master List (BBG Linked).xlsx]Equities!R140C17</stp>
        <tr r="Q140" s="2"/>
      </tp>
      <tp>
        <v>163.57</v>
        <stp/>
        <stp>##V3_BDPV12</stp>
        <stp>GOOGL US Equity</stp>
        <stp>PX_Last</stp>
        <stp>[DPM - Securities Master List (BBG Linked).xlsx]Equities!R139C17</stp>
        <tr r="Q139" s="2"/>
      </tp>
      <tp>
        <v>163.57</v>
        <stp/>
        <stp>##V3_BDPV12</stp>
        <stp>GOOGL US Equity</stp>
        <stp>PX_Last</stp>
        <stp>[DPM - Securities Master List (BBG Linked).xlsx]Equities!R138C17</stp>
        <tr r="Q138" s="2"/>
      </tp>
      <tp>
        <v>163.57</v>
        <stp/>
        <stp>##V3_BDPV12</stp>
        <stp>GOOGL US Equity</stp>
        <stp>PX_Last</stp>
        <stp>[DPM - Securities Master List (BBG Linked).xlsx]Equities!R135C17</stp>
        <tr r="Q135" s="2"/>
      </tp>
      <tp>
        <v>163.57</v>
        <stp/>
        <stp>##V3_BDPV12</stp>
        <stp>GOOGL US Equity</stp>
        <stp>PX_Last</stp>
        <stp>[DPM - Securities Master List (BBG Linked).xlsx]Equities!R134C17</stp>
        <tr r="Q134" s="2"/>
      </tp>
      <tp>
        <v>163.57</v>
        <stp/>
        <stp>##V3_BDPV12</stp>
        <stp>GOOGL US Equity</stp>
        <stp>PX_Last</stp>
        <stp>[DPM - Securities Master List (BBG Linked).xlsx]Equities!R137C17</stp>
        <tr r="Q137" s="2"/>
      </tp>
      <tp>
        <v>163.57</v>
        <stp/>
        <stp>##V3_BDPV12</stp>
        <stp>GOOGL US Equity</stp>
        <stp>PX_Last</stp>
        <stp>[DPM - Securities Master List (BBG Linked).xlsx]Equities!R136C17</stp>
        <tr r="Q136" s="2"/>
      </tp>
      <tp>
        <v>163.57</v>
        <stp/>
        <stp>##V3_BDPV12</stp>
        <stp>GOOGL US Equity</stp>
        <stp>PX_Last</stp>
        <stp>[DPM - Securities Master List (BBG Linked).xlsx]Equities!R131C17</stp>
        <tr r="Q131" s="2"/>
      </tp>
      <tp>
        <v>163.57</v>
        <stp/>
        <stp>##V3_BDPV12</stp>
        <stp>GOOGL US Equity</stp>
        <stp>PX_Last</stp>
        <stp>[DPM - Securities Master List (BBG Linked).xlsx]Equities!R130C17</stp>
        <tr r="Q130" s="2"/>
      </tp>
      <tp>
        <v>163.57</v>
        <stp/>
        <stp>##V3_BDPV12</stp>
        <stp>GOOGL US Equity</stp>
        <stp>PX_Last</stp>
        <stp>[DPM - Securities Master List (BBG Linked).xlsx]Equities!R133C17</stp>
        <tr r="Q133" s="2"/>
      </tp>
      <tp>
        <v>163.57</v>
        <stp/>
        <stp>##V3_BDPV12</stp>
        <stp>GOOGL US Equity</stp>
        <stp>PX_Last</stp>
        <stp>[DPM - Securities Master List (BBG Linked).xlsx]Equities!R132C17</stp>
        <tr r="Q132" s="2"/>
      </tp>
      <tp>
        <v>163.57</v>
        <stp/>
        <stp>##V3_BDPV12</stp>
        <stp>GOOGL US Equity</stp>
        <stp>PX_Last</stp>
        <stp>[DPM - Securities Master List (BBG Linked).xlsx]Equities!R129C17</stp>
        <tr r="Q129" s="2"/>
      </tp>
      <tp>
        <v>163.57</v>
        <stp/>
        <stp>##V3_BDPV12</stp>
        <stp>GOOGL US Equity</stp>
        <stp>PX_Last</stp>
        <stp>[DPM - Securities Master List (BBG Linked).xlsx]Equities!R128C17</stp>
        <tr r="Q128" s="2"/>
      </tp>
      <tp>
        <v>163.57</v>
        <stp/>
        <stp>##V3_BDPV12</stp>
        <stp>GOOGL US Equity</stp>
        <stp>PX_Last</stp>
        <stp>[DPM - Securities Master List (BBG Linked).xlsx]Equities!R127C17</stp>
        <tr r="Q127" s="2"/>
      </tp>
      <tp>
        <v>163.53</v>
        <stp/>
        <stp>##V3_BDPV12</stp>
        <stp>GOOGL UQ Equity</stp>
        <stp>PX_Last</stp>
        <stp>[DPM - Securities Master List (BBG Linked).xlsx]Equities!R126C17</stp>
        <tr r="Q126" s="2"/>
      </tp>
      <tp>
        <v>163.57</v>
        <stp/>
        <stp>##V3_BDPV12</stp>
        <stp>GOOGL US Equity</stp>
        <stp>PX_last</stp>
        <stp>[DPM - Securities Master List (BBG Linked).xlsx]Equities!R141C17</stp>
        <tr r="Q141" s="2"/>
      </tp>
      <tp>
        <v>163.57</v>
        <stp/>
        <stp>##V3_BDPV12</stp>
        <stp>GOOGL US Equity</stp>
        <stp>PX_last</stp>
        <stp>[DPM - Securities Master List (BBG Linked).xlsx]Equities!R140C17</stp>
        <tr r="Q140" s="2"/>
      </tp>
      <tp>
        <v>163.57</v>
        <stp/>
        <stp>##V3_BDPV12</stp>
        <stp>GOOGL US Equity</stp>
        <stp>PX_last</stp>
        <stp>[DPM - Securities Master List (BBG Linked).xlsx]Equities!R139C17</stp>
        <tr r="Q139" s="2"/>
      </tp>
      <tp>
        <v>163.57</v>
        <stp/>
        <stp>##V3_BDPV12</stp>
        <stp>GOOGL US Equity</stp>
        <stp>PX_last</stp>
        <stp>[DPM - Securities Master List (BBG Linked).xlsx]Equities!R138C17</stp>
        <tr r="Q138" s="2"/>
      </tp>
      <tp>
        <v>163.57</v>
        <stp/>
        <stp>##V3_BDPV12</stp>
        <stp>GOOGL US Equity</stp>
        <stp>PX_last</stp>
        <stp>[DPM - Securities Master List (BBG Linked).xlsx]Equities!R135C17</stp>
        <tr r="Q135" s="2"/>
      </tp>
      <tp>
        <v>163.57</v>
        <stp/>
        <stp>##V3_BDPV12</stp>
        <stp>GOOGL US Equity</stp>
        <stp>PX_last</stp>
        <stp>[DPM - Securities Master List (BBG Linked).xlsx]Equities!R134C17</stp>
        <tr r="Q134" s="2"/>
      </tp>
      <tp>
        <v>163.57</v>
        <stp/>
        <stp>##V3_BDPV12</stp>
        <stp>GOOGL US Equity</stp>
        <stp>PX_last</stp>
        <stp>[DPM - Securities Master List (BBG Linked).xlsx]Equities!R137C17</stp>
        <tr r="Q137" s="2"/>
      </tp>
      <tp>
        <v>163.57</v>
        <stp/>
        <stp>##V3_BDPV12</stp>
        <stp>GOOGL US Equity</stp>
        <stp>PX_last</stp>
        <stp>[DPM - Securities Master List (BBG Linked).xlsx]Equities!R136C17</stp>
        <tr r="Q136" s="2"/>
      </tp>
      <tp>
        <v>163.57</v>
        <stp/>
        <stp>##V3_BDPV12</stp>
        <stp>GOOGL US Equity</stp>
        <stp>PX_last</stp>
        <stp>[DPM - Securities Master List (BBG Linked).xlsx]Equities!R131C17</stp>
        <tr r="Q131" s="2"/>
      </tp>
      <tp>
        <v>163.57</v>
        <stp/>
        <stp>##V3_BDPV12</stp>
        <stp>GOOGL US Equity</stp>
        <stp>PX_last</stp>
        <stp>[DPM - Securities Master List (BBG Linked).xlsx]Equities!R130C17</stp>
        <tr r="Q130" s="2"/>
      </tp>
      <tp>
        <v>163.57</v>
        <stp/>
        <stp>##V3_BDPV12</stp>
        <stp>GOOGL US Equity</stp>
        <stp>PX_last</stp>
        <stp>[DPM - Securities Master List (BBG Linked).xlsx]Equities!R133C17</stp>
        <tr r="Q133" s="2"/>
      </tp>
      <tp>
        <v>163.57</v>
        <stp/>
        <stp>##V3_BDPV12</stp>
        <stp>GOOGL US Equity</stp>
        <stp>PX_last</stp>
        <stp>[DPM - Securities Master List (BBG Linked).xlsx]Equities!R132C17</stp>
        <tr r="Q132" s="2"/>
      </tp>
      <tp>
        <v>163.57</v>
        <stp/>
        <stp>##V3_BDPV12</stp>
        <stp>GOOGL US Equity</stp>
        <stp>PX_last</stp>
        <stp>[DPM - Securities Master List (BBG Linked).xlsx]Equities!R129C17</stp>
        <tr r="Q129" s="2"/>
      </tp>
      <tp>
        <v>163.57</v>
        <stp/>
        <stp>##V3_BDPV12</stp>
        <stp>GOOGL US Equity</stp>
        <stp>PX_last</stp>
        <stp>[DPM - Securities Master List (BBG Linked).xlsx]Equities!R128C17</stp>
        <tr r="Q128" s="2"/>
      </tp>
      <tp>
        <v>163.57</v>
        <stp/>
        <stp>##V3_BDPV12</stp>
        <stp>GOOGL US Equity</stp>
        <stp>PX_last</stp>
        <stp>[DPM - Securities Master List (BBG Linked).xlsx]Equities!R127C17</stp>
        <tr r="Q127" s="2"/>
      </tp>
      <tp>
        <v>163.53</v>
        <stp/>
        <stp>##V3_BDPV12</stp>
        <stp>GOOGL UQ Equity</stp>
        <stp>PX_last</stp>
        <stp>[DPM - Securities Master List (BBG Linked).xlsx]Equities!R126C17</stp>
        <tr r="Q126" s="2"/>
      </tp>
      <tp>
        <v>-11.307969999999999</v>
        <stp/>
        <stp>##V3_BDPV12</stp>
        <stp>TTE FP Equity</stp>
        <stp>CHG_PCT_6M</stp>
        <stp>[DPM - Securities Master List (BBG Linked).xlsx]Equities!R287C42</stp>
        <tr r="AP287" s="2"/>
      </tp>
      <tp>
        <v>-11.307969999999999</v>
        <stp/>
        <stp>##V3_BDPV12</stp>
        <stp>TTE FP Equity</stp>
        <stp>CHG_PCT_6M</stp>
        <stp>[DPM - Securities Master List (BBG Linked).xlsx]Equities!R286C42</stp>
        <tr r="AP286" s="2"/>
      </tp>
      <tp>
        <v>-11.307969999999999</v>
        <stp/>
        <stp>##V3_BDPV12</stp>
        <stp>TTE FP Equity</stp>
        <stp>CHG_PCT_6M</stp>
        <stp>[DPM - Securities Master List (BBG Linked).xlsx]Equities!R285C42</stp>
        <tr r="AP285" s="2"/>
      </tp>
      <tp>
        <v>-11.307969999999999</v>
        <stp/>
        <stp>##V3_BDPV12</stp>
        <stp>TTE FP Equity</stp>
        <stp>CHG_PCT_6M</stp>
        <stp>[DPM - Securities Master List (BBG Linked).xlsx]Equities!R284C42</stp>
        <tr r="AP284" s="2"/>
      </tp>
      <tp>
        <v>-11.307969999999999</v>
        <stp/>
        <stp>##V3_BDPV12</stp>
        <stp>TTE FP Equity</stp>
        <stp>CHG_PCT_6M</stp>
        <stp>[DPM - Securities Master List (BBG Linked).xlsx]Equities!R283C42</stp>
        <tr r="AP283" s="2"/>
      </tp>
      <tp>
        <v>-11.307969999999999</v>
        <stp/>
        <stp>##V3_BDPV12</stp>
        <stp>TTE FP Equity</stp>
        <stp>CHG_PCT_6M</stp>
        <stp>[DPM - Securities Master List (BBG Linked).xlsx]Equities!R282C42</stp>
        <tr r="AP282" s="2"/>
      </tp>
      <tp>
        <v>-11.307969999999999</v>
        <stp/>
        <stp>##V3_BDPV12</stp>
        <stp>TTE FP Equity</stp>
        <stp>CHG_PCT_6M</stp>
        <stp>[DPM - Securities Master List (BBG Linked).xlsx]Equities!R281C42</stp>
        <tr r="AP281" s="2"/>
      </tp>
      <tp>
        <v>-11.307969999999999</v>
        <stp/>
        <stp>##V3_BDPV12</stp>
        <stp>TTE FP Equity</stp>
        <stp>CHG_PCT_6M</stp>
        <stp>[DPM - Securities Master List (BBG Linked).xlsx]Equities!R280C42</stp>
        <tr r="AP280" s="2"/>
      </tp>
      <tp>
        <v>-11.307969999999999</v>
        <stp/>
        <stp>##V3_BDPV12</stp>
        <stp>TTE FP Equity</stp>
        <stp>CHG_PCT_6M</stp>
        <stp>[DPM - Securities Master List (BBG Linked).xlsx]Equities!R288C42</stp>
        <tr r="AP288" s="2"/>
      </tp>
      <tp>
        <v>-23.60595</v>
        <stp/>
        <stp>##V3_BDPV12</stp>
        <stp>NKE US Equity</stp>
        <stp>CHG_PCT_6M</stp>
        <stp>[DPM - Securities Master List (BBG Linked).xlsx]Equities!R219C42</stp>
        <tr r="AP219" s="2"/>
      </tp>
      <tp>
        <v>-23.60595</v>
        <stp/>
        <stp>##V3_BDPV12</stp>
        <stp>NKE US Equity</stp>
        <stp>CHG_PCT_6M</stp>
        <stp>[DPM - Securities Master List (BBG Linked).xlsx]Equities!R218C42</stp>
        <tr r="AP218" s="2"/>
      </tp>
      <tp>
        <v>-0.63953490000000002</v>
        <stp/>
        <stp>##V3_BDPV12</stp>
        <stp>SSE LN Equity</stp>
        <stp>CHG_PCT_6M</stp>
        <stp>[DPM - Securities Master List (BBG Linked).xlsx]Equities!R258C42</stp>
        <tr r="AP258" s="2"/>
      </tp>
      <tp>
        <v>-23.60595</v>
        <stp/>
        <stp>##V3_BDPV12</stp>
        <stp>NKE US Equity</stp>
        <stp>CHG_PCT_6M</stp>
        <stp>[DPM - Securities Master List (BBG Linked).xlsx]Equities!R213C42</stp>
        <tr r="AP213" s="2"/>
      </tp>
      <tp>
        <v>-0.63953490000000002</v>
        <stp/>
        <stp>##V3_BDPV12</stp>
        <stp>SSE LN Equity</stp>
        <stp>CHG_PCT_6M</stp>
        <stp>[DPM - Securities Master List (BBG Linked).xlsx]Equities!R256C42</stp>
        <tr r="AP256" s="2"/>
      </tp>
      <tp>
        <v>-23.60595</v>
        <stp/>
        <stp>##V3_BDPV12</stp>
        <stp>NKE US Equity</stp>
        <stp>CHG_PCT_6M</stp>
        <stp>[DPM - Securities Master List (BBG Linked).xlsx]Equities!R212C42</stp>
        <tr r="AP212" s="2"/>
      </tp>
      <tp>
        <v>-0.63953490000000002</v>
        <stp/>
        <stp>##V3_BDPV12</stp>
        <stp>SSE LN Equity</stp>
        <stp>CHG_PCT_6M</stp>
        <stp>[DPM - Securities Master List (BBG Linked).xlsx]Equities!R257C42</stp>
        <tr r="AP257" s="2"/>
      </tp>
      <tp>
        <v>-23.60595</v>
        <stp/>
        <stp>##V3_BDPV12</stp>
        <stp>NKE US Equity</stp>
        <stp>CHG_PCT_6M</stp>
        <stp>[DPM - Securities Master List (BBG Linked).xlsx]Equities!R211C42</stp>
        <tr r="AP211" s="2"/>
      </tp>
      <tp>
        <v>-0.63953490000000002</v>
        <stp/>
        <stp>##V3_BDPV12</stp>
        <stp>SSE LN Equity</stp>
        <stp>CHG_PCT_6M</stp>
        <stp>[DPM - Securities Master List (BBG Linked).xlsx]Equities!R254C42</stp>
        <tr r="AP254" s="2"/>
      </tp>
      <tp>
        <v>-23.60595</v>
        <stp/>
        <stp>##V3_BDPV12</stp>
        <stp>NKE US Equity</stp>
        <stp>CHG_PCT_6M</stp>
        <stp>[DPM - Securities Master List (BBG Linked).xlsx]Equities!R210C42</stp>
        <tr r="AP210" s="2"/>
      </tp>
      <tp>
        <v>-0.63953490000000002</v>
        <stp/>
        <stp>##V3_BDPV12</stp>
        <stp>SSE LN Equity</stp>
        <stp>CHG_PCT_6M</stp>
        <stp>[DPM - Securities Master List (BBG Linked).xlsx]Equities!R255C42</stp>
        <tr r="AP255" s="2"/>
      </tp>
      <tp>
        <v>-23.60595</v>
        <stp/>
        <stp>##V3_BDPV12</stp>
        <stp>NKE US Equity</stp>
        <stp>CHG_PCT_6M</stp>
        <stp>[DPM - Securities Master List (BBG Linked).xlsx]Equities!R217C42</stp>
        <tr r="AP217" s="2"/>
      </tp>
      <tp>
        <v>-0.63953490000000002</v>
        <stp/>
        <stp>##V3_BDPV12</stp>
        <stp>SSE LN Equity</stp>
        <stp>CHG_PCT_6M</stp>
        <stp>[DPM - Securities Master List (BBG Linked).xlsx]Equities!R252C42</stp>
        <tr r="AP252" s="2"/>
      </tp>
      <tp>
        <v>-23.60595</v>
        <stp/>
        <stp>##V3_BDPV12</stp>
        <stp>NKE US Equity</stp>
        <stp>CHG_PCT_6M</stp>
        <stp>[DPM - Securities Master List (BBG Linked).xlsx]Equities!R216C42</stp>
        <tr r="AP216" s="2"/>
      </tp>
      <tp>
        <v>-0.63953490000000002</v>
        <stp/>
        <stp>##V3_BDPV12</stp>
        <stp>SSE LN Equity</stp>
        <stp>CHG_PCT_6M</stp>
        <stp>[DPM - Securities Master List (BBG Linked).xlsx]Equities!R253C42</stp>
        <tr r="AP253" s="2"/>
      </tp>
      <tp>
        <v>-23.60595</v>
        <stp/>
        <stp>##V3_BDPV12</stp>
        <stp>NKE US Equity</stp>
        <stp>CHG_PCT_6M</stp>
        <stp>[DPM - Securities Master List (BBG Linked).xlsx]Equities!R215C42</stp>
        <tr r="AP215" s="2"/>
      </tp>
      <tp>
        <v>-0.63953490000000002</v>
        <stp/>
        <stp>##V3_BDPV12</stp>
        <stp>SSE LN Equity</stp>
        <stp>CHG_PCT_6M</stp>
        <stp>[DPM - Securities Master List (BBG Linked).xlsx]Equities!R250C42</stp>
        <tr r="AP250" s="2"/>
      </tp>
      <tp>
        <v>-23.60595</v>
        <stp/>
        <stp>##V3_BDPV12</stp>
        <stp>NKE US Equity</stp>
        <stp>CHG_PCT_6M</stp>
        <stp>[DPM - Securities Master List (BBG Linked).xlsx]Equities!R214C42</stp>
        <tr r="AP214" s="2"/>
      </tp>
      <tp>
        <v>-0.63953490000000002</v>
        <stp/>
        <stp>##V3_BDPV12</stp>
        <stp>SSE LN Equity</stp>
        <stp>CHG_PCT_6M</stp>
        <stp>[DPM - Securities Master List (BBG Linked).xlsx]Equities!R251C42</stp>
        <tr r="AP251" s="2"/>
      </tp>
      <tp>
        <v>-23.60595</v>
        <stp/>
        <stp>##V3_BDPV12</stp>
        <stp>NKE US Equity</stp>
        <stp>CHG_PCT_6M</stp>
        <stp>[DPM - Securities Master List (BBG Linked).xlsx]Equities!R209C42</stp>
        <tr r="AP209" s="2"/>
      </tp>
      <tp>
        <v>-23.60595</v>
        <stp/>
        <stp>##V3_BDPV12</stp>
        <stp>NKE US Equity</stp>
        <stp>CHG_PCT_6M</stp>
        <stp>[DPM - Securities Master List (BBG Linked).xlsx]Equities!R208C42</stp>
        <tr r="AP208" s="2"/>
      </tp>
      <tp>
        <v>-0.63953490000000002</v>
        <stp/>
        <stp>##V3_BDPV12</stp>
        <stp>SSE LN Equity</stp>
        <stp>CHG_PCT_6M</stp>
        <stp>[DPM - Securities Master List (BBG Linked).xlsx]Equities!R248C42</stp>
        <tr r="AP248" s="2"/>
      </tp>
      <tp>
        <v>-0.63953490000000002</v>
        <stp/>
        <stp>##V3_BDPV12</stp>
        <stp>SSE LN Equity</stp>
        <stp>CHG_PCT_6M</stp>
        <stp>[DPM - Securities Master List (BBG Linked).xlsx]Equities!R249C42</stp>
        <tr r="AP249" s="2"/>
      </tp>
      <tp>
        <v>-0.63953490000000002</v>
        <stp/>
        <stp>##V3_BDPV12</stp>
        <stp>SSE LN Equity</stp>
        <stp>CHG_PCT_6M</stp>
        <stp>[DPM - Securities Master List (BBG Linked).xlsx]Equities!R246C42</stp>
        <tr r="AP246" s="2"/>
      </tp>
      <tp>
        <v>-0.63953490000000002</v>
        <stp/>
        <stp>##V3_BDPV12</stp>
        <stp>SSE LN Equity</stp>
        <stp>CHG_PCT_6M</stp>
        <stp>[DPM - Securities Master List (BBG Linked).xlsx]Equities!R247C42</stp>
        <tr r="AP247" s="2"/>
      </tp>
      <tp>
        <v>-0.63953490000000002</v>
        <stp/>
        <stp>##V3_BDPV12</stp>
        <stp>SSE LN Equity</stp>
        <stp>CHG_PCT_6M</stp>
        <stp>[DPM - Securities Master List (BBG Linked).xlsx]Equities!R244C42</stp>
        <tr r="AP244" s="2"/>
      </tp>
      <tp>
        <v>-0.63953490000000002</v>
        <stp/>
        <stp>##V3_BDPV12</stp>
        <stp>SSE LN Equity</stp>
        <stp>CHG_PCT_6M</stp>
        <stp>[DPM - Securities Master List (BBG Linked).xlsx]Equities!R245C42</stp>
        <tr r="AP245" s="2"/>
      </tp>
      <tp>
        <v>-23.60595</v>
        <stp/>
        <stp>##V3_BDPV12</stp>
        <stp>NKE US Equity</stp>
        <stp>CHG_PCT_6M</stp>
        <stp>[DPM - Securities Master List (BBG Linked).xlsx]Equities!R207C42</stp>
        <tr r="AP207" s="2"/>
      </tp>
      <tp>
        <v>-23.60595</v>
        <stp/>
        <stp>##V3_BDPV12</stp>
        <stp>NKE US Equity</stp>
        <stp>CHG_PCT_6M</stp>
        <stp>[DPM - Securities Master List (BBG Linked).xlsx]Equities!R222C42</stp>
        <tr r="AP222" s="2"/>
      </tp>
      <tp>
        <v>-23.60595</v>
        <stp/>
        <stp>##V3_BDPV12</stp>
        <stp>NKE US Equity</stp>
        <stp>CHG_PCT_6M</stp>
        <stp>[DPM - Securities Master List (BBG Linked).xlsx]Equities!R221C42</stp>
        <tr r="AP221" s="2"/>
      </tp>
      <tp>
        <v>-23.60595</v>
        <stp/>
        <stp>##V3_BDPV12</stp>
        <stp>NKE US Equity</stp>
        <stp>CHG_PCT_6M</stp>
        <stp>[DPM - Securities Master List (BBG Linked).xlsx]Equities!R220C42</stp>
        <tr r="AP220" s="2"/>
      </tp>
      <tp>
        <v>-11.307969999999999</v>
        <stp/>
        <stp>##V3_BDPV12</stp>
        <stp>TTE FP Equity</stp>
        <stp>CHG_PCT_6M</stp>
        <stp>[DPM - Securities Master List (BBG Linked).xlsx]Equities!R277C42</stp>
        <tr r="AP277" s="2"/>
      </tp>
      <tp>
        <v>-11.307969999999999</v>
        <stp/>
        <stp>##V3_BDPV12</stp>
        <stp>TTE FP Equity</stp>
        <stp>CHG_PCT_6M</stp>
        <stp>[DPM - Securities Master List (BBG Linked).xlsx]Equities!R276C42</stp>
        <tr r="AP276" s="2"/>
      </tp>
      <tp>
        <v>-11.307969999999999</v>
        <stp/>
        <stp>##V3_BDPV12</stp>
        <stp>TTE FP Equity</stp>
        <stp>CHG_PCT_6M</stp>
        <stp>[DPM - Securities Master List (BBG Linked).xlsx]Equities!R279C42</stp>
        <tr r="AP279" s="2"/>
      </tp>
      <tp>
        <v>-11.307969999999999</v>
        <stp/>
        <stp>##V3_BDPV12</stp>
        <stp>TTE FP Equity</stp>
        <stp>CHG_PCT_6M</stp>
        <stp>[DPM - Securities Master List (BBG Linked).xlsx]Equities!R278C42</stp>
        <tr r="AP278" s="2"/>
      </tp>
      <tp>
        <v>-6.4180400000000004</v>
        <stp/>
        <stp>##V3_BDPV12</stp>
        <stp>DGE LN Equity</stp>
        <stp>CHG_PCT_6M</stp>
        <stp>[DPM - Securities Master List (BBG Linked).xlsx]Equities!R108C42</stp>
        <tr r="AP108" s="2"/>
      </tp>
      <tp>
        <v>-6.4180400000000004</v>
        <stp/>
        <stp>##V3_BDPV12</stp>
        <stp>DGE LN Equity</stp>
        <stp>CHG_PCT_6M</stp>
        <stp>[DPM - Securities Master List (BBG Linked).xlsx]Equities!R109C42</stp>
        <tr r="AP109" s="2"/>
      </tp>
      <tp>
        <v>-6.4180400000000004</v>
        <stp/>
        <stp>##V3_BDPV12</stp>
        <stp>DGE LN Equity</stp>
        <stp>CHG_PCT_6M</stp>
        <stp>[DPM - Securities Master List (BBG Linked).xlsx]Equities!R110C42</stp>
        <tr r="AP110" s="2"/>
      </tp>
      <tp>
        <v>-6.4180400000000004</v>
        <stp/>
        <stp>##V3_BDPV12</stp>
        <stp>DGE LN Equity</stp>
        <stp>CHG_PCT_6M</stp>
        <stp>[DPM - Securities Master List (BBG Linked).xlsx]Equities!R111C42</stp>
        <tr r="AP111" s="2"/>
      </tp>
      <tp>
        <v>-7.3310269999999997</v>
        <stp/>
        <stp>##V3_BDPV12</stp>
        <stp>GOOGL US Equity</stp>
        <stp>CHG_PCT_6M</stp>
        <stp>[DPM - Securities Master List (BBG Linked).xlsx]Equities!R140C42</stp>
        <tr r="AP140" s="2"/>
      </tp>
      <tp>
        <v>-7.3310269999999997</v>
        <stp/>
        <stp>##V3_BDPV12</stp>
        <stp>GOOGL US Equity</stp>
        <stp>CHG_PCT_6M</stp>
        <stp>[DPM - Securities Master List (BBG Linked).xlsx]Equities!R141C42</stp>
        <tr r="AP141" s="2"/>
      </tp>
      <tp>
        <v>-7.353688</v>
        <stp/>
        <stp>##V3_BDPV12</stp>
        <stp>GOOGL UQ Equity</stp>
        <stp>CHG_PCT_6M</stp>
        <stp>[DPM - Securities Master List (BBG Linked).xlsx]Equities!R126C42</stp>
        <tr r="AP126" s="2"/>
      </tp>
      <tp>
        <v>-7.3310269999999997</v>
        <stp/>
        <stp>##V3_BDPV12</stp>
        <stp>GOOGL US Equity</stp>
        <stp>CHG_PCT_6M</stp>
        <stp>[DPM - Securities Master List (BBG Linked).xlsx]Equities!R127C42</stp>
        <tr r="AP127" s="2"/>
      </tp>
      <tp>
        <v>-7.3310269999999997</v>
        <stp/>
        <stp>##V3_BDPV12</stp>
        <stp>GOOGL US Equity</stp>
        <stp>CHG_PCT_6M</stp>
        <stp>[DPM - Securities Master List (BBG Linked).xlsx]Equities!R128C42</stp>
        <tr r="AP128" s="2"/>
      </tp>
      <tp>
        <v>-7.3310269999999997</v>
        <stp/>
        <stp>##V3_BDPV12</stp>
        <stp>GOOGL US Equity</stp>
        <stp>CHG_PCT_6M</stp>
        <stp>[DPM - Securities Master List (BBG Linked).xlsx]Equities!R129C42</stp>
        <tr r="AP129" s="2"/>
      </tp>
      <tp>
        <v>-7.3310269999999997</v>
        <stp/>
        <stp>##V3_BDPV12</stp>
        <stp>GOOGL US Equity</stp>
        <stp>CHG_PCT_6M</stp>
        <stp>[DPM - Securities Master List (BBG Linked).xlsx]Equities!R134C42</stp>
        <tr r="AP134" s="2"/>
      </tp>
      <tp>
        <v>-7.3310269999999997</v>
        <stp/>
        <stp>##V3_BDPV12</stp>
        <stp>GOOGL US Equity</stp>
        <stp>CHG_PCT_6M</stp>
        <stp>[DPM - Securities Master List (BBG Linked).xlsx]Equities!R135C42</stp>
        <tr r="AP135" s="2"/>
      </tp>
      <tp>
        <v>-7.3310269999999997</v>
        <stp/>
        <stp>##V3_BDPV12</stp>
        <stp>GOOGL US Equity</stp>
        <stp>CHG_PCT_6M</stp>
        <stp>[DPM - Securities Master List (BBG Linked).xlsx]Equities!R136C42</stp>
        <tr r="AP136" s="2"/>
      </tp>
      <tp>
        <v>-7.3310269999999997</v>
        <stp/>
        <stp>##V3_BDPV12</stp>
        <stp>GOOGL US Equity</stp>
        <stp>CHG_PCT_6M</stp>
        <stp>[DPM - Securities Master List (BBG Linked).xlsx]Equities!R137C42</stp>
        <tr r="AP137" s="2"/>
      </tp>
      <tp>
        <v>-7.3310269999999997</v>
        <stp/>
        <stp>##V3_BDPV12</stp>
        <stp>GOOGL US Equity</stp>
        <stp>CHG_PCT_6M</stp>
        <stp>[DPM - Securities Master List (BBG Linked).xlsx]Equities!R130C42</stp>
        <tr r="AP130" s="2"/>
      </tp>
      <tp>
        <v>-7.3310269999999997</v>
        <stp/>
        <stp>##V3_BDPV12</stp>
        <stp>GOOGL US Equity</stp>
        <stp>CHG_PCT_6M</stp>
        <stp>[DPM - Securities Master List (BBG Linked).xlsx]Equities!R131C42</stp>
        <tr r="AP131" s="2"/>
      </tp>
      <tp>
        <v>-7.3310269999999997</v>
        <stp/>
        <stp>##V3_BDPV12</stp>
        <stp>GOOGL US Equity</stp>
        <stp>CHG_PCT_6M</stp>
        <stp>[DPM - Securities Master List (BBG Linked).xlsx]Equities!R132C42</stp>
        <tr r="AP132" s="2"/>
      </tp>
      <tp>
        <v>-7.3310269999999997</v>
        <stp/>
        <stp>##V3_BDPV12</stp>
        <stp>GOOGL US Equity</stp>
        <stp>CHG_PCT_6M</stp>
        <stp>[DPM - Securities Master List (BBG Linked).xlsx]Equities!R133C42</stp>
        <tr r="AP133" s="2"/>
      </tp>
      <tp>
        <v>-7.3310269999999997</v>
        <stp/>
        <stp>##V3_BDPV12</stp>
        <stp>GOOGL US Equity</stp>
        <stp>CHG_PCT_6M</stp>
        <stp>[DPM - Securities Master List (BBG Linked).xlsx]Equities!R138C42</stp>
        <tr r="AP138" s="2"/>
      </tp>
      <tp>
        <v>-7.3310269999999997</v>
        <stp/>
        <stp>##V3_BDPV12</stp>
        <stp>GOOGL US Equity</stp>
        <stp>CHG_PCT_6M</stp>
        <stp>[DPM - Securities Master List (BBG Linked).xlsx]Equities!R139C42</stp>
        <tr r="AP139" s="2"/>
      </tp>
      <tp>
        <v>4</v>
        <stp/>
        <stp>##V3_BDPV12</stp>
        <stp>AAPL US Equity</stp>
        <stp>TOT_SELL_REC</stp>
        <stp>[DPM - Securities Master List (BBG Linked).xlsx]Equities!R34C36</stp>
        <tr r="AJ34" s="2"/>
      </tp>
      <tp>
        <v>1</v>
        <stp/>
        <stp>##V3_BDPV12</stp>
        <stp>ADBE US Equity</stp>
        <stp>TOT_SELL_REC</stp>
        <stp>[DPM - Securities Master List (BBG Linked).xlsx]Equities!R48C36</stp>
        <tr r="AJ48" s="2"/>
      </tp>
      <tp>
        <v>1</v>
        <stp/>
        <stp>##V3_BDPV12</stp>
        <stp>ADBE US Equity</stp>
        <stp>TOT_SELL_REC</stp>
        <stp>[DPM - Securities Master List (BBG Linked).xlsx]Equities!R49C36</stp>
        <tr r="AJ49" s="2"/>
      </tp>
      <tp>
        <v>1</v>
        <stp/>
        <stp>##V3_BDPV12</stp>
        <stp>ADBE US Equity</stp>
        <stp>TOT_SELL_REC</stp>
        <stp>[DPM - Securities Master List (BBG Linked).xlsx]Equities!R40C36</stp>
        <tr r="AJ40" s="2"/>
      </tp>
      <tp>
        <v>1</v>
        <stp/>
        <stp>##V3_BDPV12</stp>
        <stp>ADBE US Equity</stp>
        <stp>TOT_SELL_REC</stp>
        <stp>[DPM - Securities Master List (BBG Linked).xlsx]Equities!R41C36</stp>
        <tr r="AJ41" s="2"/>
      </tp>
      <tp>
        <v>1</v>
        <stp/>
        <stp>##V3_BDPV12</stp>
        <stp>ADBE US Equity</stp>
        <stp>TOT_SELL_REC</stp>
        <stp>[DPM - Securities Master List (BBG Linked).xlsx]Equities!R42C36</stp>
        <tr r="AJ42" s="2"/>
      </tp>
      <tp>
        <v>1</v>
        <stp/>
        <stp>##V3_BDPV12</stp>
        <stp>ADBE US Equity</stp>
        <stp>TOT_SELL_REC</stp>
        <stp>[DPM - Securities Master List (BBG Linked).xlsx]Equities!R43C36</stp>
        <tr r="AJ43" s="2"/>
      </tp>
      <tp>
        <v>1</v>
        <stp/>
        <stp>##V3_BDPV12</stp>
        <stp>ADBE US Equity</stp>
        <stp>TOT_SELL_REC</stp>
        <stp>[DPM - Securities Master List (BBG Linked).xlsx]Equities!R44C36</stp>
        <tr r="AJ44" s="2"/>
      </tp>
      <tp>
        <v>1</v>
        <stp/>
        <stp>##V3_BDPV12</stp>
        <stp>ADBE US Equity</stp>
        <stp>TOT_SELL_REC</stp>
        <stp>[DPM - Securities Master List (BBG Linked).xlsx]Equities!R45C36</stp>
        <tr r="AJ45" s="2"/>
      </tp>
      <tp>
        <v>1</v>
        <stp/>
        <stp>##V3_BDPV12</stp>
        <stp>ADBE US Equity</stp>
        <stp>TOT_SELL_REC</stp>
        <stp>[DPM - Securities Master List (BBG Linked).xlsx]Equities!R46C36</stp>
        <tr r="AJ46" s="2"/>
      </tp>
      <tp>
        <v>1</v>
        <stp/>
        <stp>##V3_BDPV12</stp>
        <stp>ADBE US Equity</stp>
        <stp>TOT_SELL_REC</stp>
        <stp>[DPM - Securities Master List (BBG Linked).xlsx]Equities!R47C36</stp>
        <tr r="AJ47" s="2"/>
      </tp>
      <tp>
        <v>1</v>
        <stp/>
        <stp>##V3_BDPV12</stp>
        <stp>ADBE US Equity</stp>
        <stp>TOT_SELL_REC</stp>
        <stp>[DPM - Securities Master List (BBG Linked).xlsx]Equities!R38C36</stp>
        <tr r="AJ38" s="2"/>
      </tp>
      <tp>
        <v>1</v>
        <stp/>
        <stp>##V3_BDPV12</stp>
        <stp>ADBE US Equity</stp>
        <stp>TOT_SELL_REC</stp>
        <stp>[DPM - Securities Master List (BBG Linked).xlsx]Equities!R39C36</stp>
        <tr r="AJ39" s="2"/>
      </tp>
      <tp>
        <v>1</v>
        <stp/>
        <stp>##V3_BDPV12</stp>
        <stp>ADBE US Equity</stp>
        <stp>TOT_SELL_REC</stp>
        <stp>[DPM - Securities Master List (BBG Linked).xlsx]Equities!R36C36</stp>
        <tr r="AJ36" s="2"/>
      </tp>
      <tp>
        <v>1</v>
        <stp/>
        <stp>##V3_BDPV12</stp>
        <stp>ADBE US Equity</stp>
        <stp>TOT_SELL_REC</stp>
        <stp>[DPM - Securities Master List (BBG Linked).xlsx]Equities!R37C36</stp>
        <tr r="AJ37" s="2"/>
      </tp>
    </main>
    <main first="bofaddin.rtdserver">
      <tp t="e">
        <v>#N/A</v>
        <stp/>
        <stp>BDP|15929646223368586625</stp>
        <tr r="AL78" s="3"/>
        <tr r="AL78" s="3"/>
        <tr r="AL78" s="3"/>
        <tr r="AL77" s="3"/>
        <tr r="AL77" s="3"/>
        <tr r="AL77" s="3"/>
        <tr r="AL76" s="3"/>
        <tr r="AL76" s="3"/>
        <tr r="AL76" s="3"/>
        <tr r="AL75" s="3"/>
        <tr r="AL75" s="3"/>
        <tr r="AL75" s="3"/>
        <tr r="AL74" s="3"/>
        <tr r="AL74" s="3"/>
        <tr r="AL74" s="3"/>
        <tr r="AL73" s="3"/>
        <tr r="AL73" s="3"/>
        <tr r="AL73" s="3"/>
      </tp>
      <tp t="e">
        <v>#N/A</v>
        <stp/>
        <stp>BDP|14541454889196392132</stp>
        <tr r="AD78" s="3"/>
        <tr r="AD78" s="3"/>
        <tr r="AD78" s="3"/>
        <tr r="AD77" s="3"/>
        <tr r="AD77" s="3"/>
        <tr r="AD77" s="3"/>
        <tr r="AD76" s="3"/>
        <tr r="AD76" s="3"/>
        <tr r="AD76" s="3"/>
        <tr r="AD75" s="3"/>
        <tr r="AD75" s="3"/>
        <tr r="AD75" s="3"/>
        <tr r="AD74" s="3"/>
        <tr r="AD74" s="3"/>
        <tr r="AD74" s="3"/>
        <tr r="AD73" s="3"/>
        <tr r="AD73" s="3"/>
        <tr r="AD73" s="3"/>
      </tp>
      <tp t="e">
        <v>#N/A</v>
        <stp/>
        <stp>BDP|14139443519268638633</stp>
        <tr r="AL107" s="1"/>
      </tp>
      <tp t="e">
        <v>#N/A</v>
        <stp/>
        <stp>BDP|12630801444194909524</stp>
        <tr r="AE113" s="1"/>
      </tp>
      <tp t="e">
        <v>#N/A</v>
        <stp/>
        <stp>BDP|11722234934257130881</stp>
        <tr r="AO7" s="1"/>
        <tr r="AO14" s="1"/>
        <tr r="AO108" s="1"/>
      </tp>
      <tp t="e">
        <v>#N/A</v>
        <stp/>
        <stp>BDP|11408298996390167525</stp>
        <tr r="Y107" s="1"/>
      </tp>
      <tp t="e">
        <v>#N/A</v>
        <stp/>
        <stp>BDP|10988957660167560714</stp>
        <tr r="AJ35" s="1"/>
        <tr r="AJ35" s="1"/>
        <tr r="AJ24" s="1"/>
        <tr r="AJ24" s="1"/>
        <tr r="AJ153" s="1"/>
        <tr r="AJ153" s="1"/>
      </tp>
      <tp t="e">
        <v>#N/A</v>
        <stp/>
        <stp>BDP|14356755984223898728</stp>
        <tr r="AG78" s="3"/>
        <tr r="AG78" s="3"/>
        <tr r="AG78" s="3"/>
        <tr r="AG77" s="3"/>
        <tr r="AG77" s="3"/>
        <tr r="AG77" s="3"/>
        <tr r="AG76" s="3"/>
        <tr r="AG76" s="3"/>
        <tr r="AG76" s="3"/>
        <tr r="AG75" s="3"/>
        <tr r="AG75" s="3"/>
        <tr r="AG75" s="3"/>
        <tr r="AG74" s="3"/>
        <tr r="AG74" s="3"/>
        <tr r="AG74" s="3"/>
        <tr r="AG73" s="3"/>
        <tr r="AG73" s="3"/>
        <tr r="AG73" s="3"/>
      </tp>
      <tp t="e">
        <v>#N/A</v>
        <stp/>
        <stp>BDP|10363893918446236083</stp>
        <tr r="N56" s="1"/>
      </tp>
      <tp t="e">
        <v>#N/A</v>
        <stp/>
        <stp>BDP|17342107043515910811</stp>
        <tr r="AU85" s="1"/>
        <tr r="AU85" s="1"/>
        <tr r="AU85" s="1"/>
      </tp>
      <tp t="e">
        <v>#N/A</v>
        <stp/>
        <stp>BDP|16354886560887117013</stp>
        <tr r="Q96" s="3"/>
        <tr r="Q95" s="3"/>
      </tp>
      <tp t="e">
        <v>#N/A</v>
        <stp/>
        <stp>BDP|13227695653326480975</stp>
        <tr r="Q113" s="1"/>
      </tp>
      <tp t="e">
        <v>#N/A</v>
        <stp/>
        <stp>BDP|10450040489171581675</stp>
        <tr r="K35" s="1"/>
        <tr r="K24" s="1"/>
        <tr r="K153" s="1"/>
      </tp>
      <tp t="e">
        <v>#N/A</v>
        <stp/>
        <stp>BDP|15043972288999172254</stp>
        <tr r="AJ15" s="1"/>
        <tr r="AJ15" s="1"/>
        <tr r="AJ109" s="1"/>
        <tr r="AJ109" s="1"/>
      </tp>
      <tp t="e">
        <v>#N/A</v>
        <stp/>
        <stp>BDP|14447821521533485289</stp>
        <tr r="AM126" s="1"/>
        <tr r="AM126" s="1"/>
      </tp>
      <tp t="e">
        <v>#N/A</v>
        <stp/>
        <stp>BDP|15114534596127650196</stp>
        <tr r="AK66" s="1"/>
        <tr r="AK66" s="1"/>
        <tr r="AK66" s="1"/>
        <tr r="AK49" s="1"/>
        <tr r="AK49" s="1"/>
        <tr r="AK49" s="1"/>
        <tr r="AK42" s="1"/>
        <tr r="AK42" s="1"/>
        <tr r="AK42" s="1"/>
      </tp>
      <tp t="e">
        <v>#N/A</v>
        <stp/>
        <stp>BDP|17781081323118484223</stp>
        <tr r="AM83" s="1"/>
        <tr r="AM83" s="1"/>
        <tr r="AM50" s="1"/>
        <tr r="AM50" s="1"/>
      </tp>
      <tp t="e">
        <v>#N/A</v>
        <stp/>
        <stp>BDP|15168990238375838524</stp>
        <tr r="AS96" s="3"/>
        <tr r="AS96" s="3"/>
        <tr r="AS96" s="3"/>
        <tr r="AS95" s="3"/>
        <tr r="AS95" s="3"/>
        <tr r="AS95" s="3"/>
      </tp>
      <tp t="e">
        <v>#N/A</v>
        <stp/>
        <stp>BDP|15746844689992680866</stp>
        <tr r="AH99" s="3"/>
        <tr r="AH99" s="3"/>
        <tr r="AH99" s="3"/>
        <tr r="AH98" s="3"/>
        <tr r="AH98" s="3"/>
        <tr r="AH98" s="3"/>
        <tr r="AH97" s="3"/>
        <tr r="AH97" s="3"/>
        <tr r="AH97" s="3"/>
      </tp>
      <tp t="e">
        <v>#N/A</v>
        <stp/>
        <stp>BDP|15411412526699878515</stp>
        <tr r="AO96" s="3"/>
        <tr r="AO96" s="3"/>
        <tr r="AO96" s="3"/>
        <tr r="AO95" s="3"/>
        <tr r="AO95" s="3"/>
        <tr r="AO95" s="3"/>
      </tp>
      <tp t="e">
        <v>#N/A</v>
        <stp/>
        <stp>BDP|10528861759032115016</stp>
        <tr r="AU82" s="1"/>
        <tr r="AU82" s="1"/>
        <tr r="AU82" s="1"/>
        <tr r="AU39" s="1"/>
        <tr r="AU39" s="1"/>
        <tr r="AU39" s="1"/>
        <tr r="AU22" s="1"/>
        <tr r="AU22" s="1"/>
        <tr r="AU22" s="1"/>
        <tr r="AU167" s="1"/>
        <tr r="AU167" s="1"/>
        <tr r="AU167" s="1"/>
      </tp>
      <tp t="e">
        <v>#N/A</v>
        <stp/>
        <stp>BDP|10330806321241848478</stp>
        <tr r="AM103" s="3"/>
        <tr r="AM103" s="3"/>
        <tr r="AM103" s="3"/>
      </tp>
      <tp t="e">
        <v>#N/A</v>
        <stp/>
        <stp>BDP|18100452299623354938</stp>
        <tr r="AO129" s="3"/>
        <tr r="AO129" s="3"/>
        <tr r="AO129" s="3"/>
        <tr r="AO128" s="3"/>
        <tr r="AO128" s="3"/>
        <tr r="AO128" s="3"/>
        <tr r="AO127" s="3"/>
        <tr r="AO127" s="3"/>
        <tr r="AO127" s="3"/>
        <tr r="AO126" s="3"/>
        <tr r="AO126" s="3"/>
        <tr r="AO126" s="3"/>
        <tr r="AO125" s="3"/>
        <tr r="AO125" s="3"/>
        <tr r="AO125" s="3"/>
        <tr r="AO124" s="3"/>
        <tr r="AO124" s="3"/>
        <tr r="AO124" s="3"/>
        <tr r="AO123" s="3"/>
        <tr r="AO123" s="3"/>
        <tr r="AO123" s="3"/>
        <tr r="AO122" s="3"/>
        <tr r="AO122" s="3"/>
        <tr r="AO122" s="3"/>
        <tr r="AO121" s="3"/>
        <tr r="AO121" s="3"/>
        <tr r="AO121" s="3"/>
        <tr r="AO120" s="3"/>
        <tr r="AO120" s="3"/>
        <tr r="AO120" s="3"/>
      </tp>
      <tp t="e">
        <v>#N/A</v>
        <stp/>
        <stp>BDP|11146815275835837409</stp>
        <tr r="AS150" s="1"/>
        <tr r="AS122" s="1"/>
        <tr r="L150" s="1"/>
        <tr r="L150" s="1"/>
        <tr r="L122" s="1"/>
        <tr r="L122" s="1"/>
      </tp>
      <tp t="e">
        <v>#N/A</v>
        <stp/>
        <stp>BDP|10846857970228061800</stp>
        <tr r="H46" s="1"/>
        <tr r="H46" s="1"/>
        <tr r="H144" s="1"/>
        <tr r="H144" s="1"/>
        <tr r="H134" s="1"/>
        <tr r="H134" s="1"/>
      </tp>
      <tp t="e">
        <v>#N/A</v>
        <stp/>
        <stp>BDP|17132261594441998261</stp>
        <tr r="F46" s="1"/>
        <tr r="F144" s="1"/>
        <tr r="F134" s="1"/>
      </tp>
      <tp t="e">
        <v>#N/A</v>
        <stp/>
        <stp>BDP|15020150561789016486</stp>
        <tr r="Z73" s="1"/>
        <tr r="Z168" s="1"/>
      </tp>
      <tp t="e">
        <v>#N/A</v>
        <stp/>
        <stp>BDP|13449565070148642683</stp>
        <tr r="AS110" s="1"/>
      </tp>
      <tp t="e">
        <v>#N/A</v>
        <stp/>
        <stp>BDP|16396154928302402868</stp>
        <tr r="Z32" s="1"/>
      </tp>
      <tp t="e">
        <v>#N/A</v>
        <stp/>
        <stp>BDP|12448447078438168657</stp>
        <tr r="AT18" s="1"/>
      </tp>
      <tp t="e">
        <v>#N/A</v>
        <stp/>
        <stp>BDP|12805106454450411946</stp>
        <tr r="W104" s="1"/>
      </tp>
      <tp t="e">
        <v>#N/A</v>
        <stp/>
        <stp>BDP|17959561666092452929</stp>
        <tr r="L103" s="1"/>
        <tr r="AS103" s="1"/>
      </tp>
      <tp t="e">
        <v>#N/A</v>
        <stp/>
        <stp>BDP|10287965734280973566</stp>
        <tr r="Y18" s="1"/>
      </tp>
      <tp t="e">
        <v>#N/A</v>
        <stp/>
        <stp>BDP|18212796055875132002</stp>
        <tr r="L19" s="1"/>
        <tr r="L19" s="1"/>
        <tr r="AS19" s="1"/>
      </tp>
      <tp t="e">
        <v>#N/A</v>
        <stp/>
        <stp>BDP|16982419262372088958</stp>
        <tr r="AO45" s="1"/>
        <tr r="AO62" s="1"/>
        <tr r="AO53" s="1"/>
        <tr r="AO115" s="1"/>
      </tp>
      <tp t="e">
        <v>#N/A</v>
        <stp/>
        <stp>BDP|12956102965799307319</stp>
        <tr r="I11" s="1"/>
        <tr r="I102" s="1"/>
      </tp>
      <tp t="e">
        <v>#N/A</v>
        <stp/>
        <stp>BDP|14875748290075717050</stp>
        <tr r="AE51" s="1"/>
      </tp>
      <tp t="e">
        <v>#N/A</v>
        <stp/>
        <stp>BDP|13395845275990901354</stp>
        <tr r="N114" s="3"/>
        <tr r="N114" s="3"/>
        <tr r="N114" s="3"/>
        <tr r="N113" s="3"/>
        <tr r="N113" s="3"/>
        <tr r="N113" s="3"/>
        <tr r="N112" s="3"/>
        <tr r="N112" s="3"/>
        <tr r="N112" s="3"/>
      </tp>
      <tp t="e">
        <v>#N/A</v>
        <stp/>
        <stp>BDP|15910409981405183373</stp>
        <tr r="M74" s="1"/>
        <tr r="M74" s="1"/>
        <tr r="M137" s="1"/>
        <tr r="M137" s="1"/>
        <tr r="M61" s="1"/>
        <tr r="M61" s="1"/>
        <tr r="M38" s="1"/>
        <tr r="M38" s="1"/>
        <tr r="M16" s="1"/>
        <tr r="M16" s="1"/>
        <tr r="M119" s="1"/>
        <tr r="M119" s="1"/>
        <tr r="M111" s="1"/>
        <tr r="M111" s="1"/>
        <tr r="M23" s="1"/>
        <tr r="M23" s="1"/>
        <tr r="M165" s="1"/>
        <tr r="M165" s="1"/>
        <tr r="M152" s="1"/>
        <tr r="M152" s="1"/>
        <tr r="M99" s="1"/>
        <tr r="M99" s="1"/>
        <tr r="M146" s="1"/>
        <tr r="M146" s="1"/>
      </tp>
    </main>
    <main first="bloomberg.rtd">
      <tp t="s">
        <v>#N/A Invalid Override</v>
        <stp/>
        <stp>##V3_BDPV12</stp>
        <stp>XS2586873379 isin</stp>
        <stp>YAS_BOND_YLD</stp>
        <stp>[DPM - Securities Master List (BBG Linked).xlsx]Bonds!R88C10</stp>
        <stp>YAS_YLD_FLAG=15</stp>
        <stp>user_local_trade_date</stp>
        <stp>45783</stp>
        <stp>Yas_bond_px</stp>
        <stp>#N/A Connection</stp>
        <tr r="J88" s="1"/>
      </tp>
    </main>
    <main first="bofaddin.rtdserver">
      <tp t="e">
        <v>#N/A</v>
        <stp/>
        <stp>BDP|17469562907915331875</stp>
        <tr r="AM40" s="1"/>
        <tr r="AM40" s="1"/>
        <tr r="AM4" s="1"/>
        <tr r="AM4" s="1"/>
        <tr r="AM97" s="1"/>
        <tr r="AM97" s="1"/>
        <tr r="AM60" s="1"/>
        <tr r="AM60" s="1"/>
        <tr r="AM25" s="1"/>
        <tr r="AM25" s="1"/>
        <tr r="AM163" s="1"/>
        <tr r="AM163" s="1"/>
        <tr r="AM117" s="1"/>
        <tr r="AM117" s="1"/>
        <tr r="AM75" s="1"/>
        <tr r="AM75" s="1"/>
      </tp>
      <tp t="e">
        <v>#N/A</v>
        <stp/>
        <stp>BDP|16384666799523956544</stp>
        <tr r="F87" s="1"/>
      </tp>
      <tp t="e">
        <v>#N/A</v>
        <stp/>
        <stp>BDP|12917006928596183914</stp>
        <tr r="H115" s="3"/>
        <tr r="H115" s="3"/>
        <tr r="H115" s="3"/>
      </tp>
      <tp t="e">
        <v>#N/A</v>
        <stp/>
        <stp>BDP|17333364748378515797</stp>
        <tr r="H88" s="1"/>
        <tr r="H88" s="1"/>
      </tp>
      <tp t="e">
        <v>#N/A</v>
        <stp/>
        <stp>BDP|13401847278446269599</stp>
        <tr r="AU115" s="3"/>
        <tr r="AU115" s="3"/>
      </tp>
      <tp t="e">
        <v>#N/A</v>
        <stp/>
        <stp>BDP|13644063529339935735</stp>
        <tr r="AE96" s="3"/>
        <tr r="AE96" s="3"/>
        <tr r="AE96" s="3"/>
        <tr r="AE95" s="3"/>
        <tr r="AE95" s="3"/>
        <tr r="AE95" s="3"/>
      </tp>
      <tp t="e">
        <v>#N/A</v>
        <stp/>
        <stp>BDP|14439724784727355322</stp>
        <tr r="AK34" s="1"/>
        <tr r="AK34" s="1"/>
        <tr r="AK34" s="1"/>
        <tr r="AK156" s="1"/>
        <tr r="AK156" s="1"/>
        <tr r="AK156" s="1"/>
      </tp>
      <tp t="e">
        <v>#N/A</v>
        <stp/>
        <stp>BDP|13066706895484241646</stp>
        <tr r="V16" s="3"/>
      </tp>
      <tp t="e">
        <v>#N/A</v>
        <stp/>
        <stp>BDP|10490976461068409843</stp>
        <tr r="H105" s="1"/>
        <tr r="H105" s="1"/>
      </tp>
      <tp t="e">
        <v>#N/A</v>
        <stp/>
        <stp>BDP|16742107587246611642</stp>
        <tr r="X51" s="1"/>
      </tp>
      <tp t="e">
        <v>#N/A</v>
        <stp/>
        <stp>BDP|17704674717996342968</stp>
        <tr r="H148" s="1"/>
        <tr r="H148" s="1"/>
        <tr r="H138" s="1"/>
        <tr r="H138" s="1"/>
      </tp>
      <tp t="e">
        <v>#N/A</v>
        <stp/>
        <stp>BDP|18015770255754114117</stp>
        <tr r="AA72" s="1"/>
        <tr r="AA33" s="1"/>
        <tr r="AA158" s="1"/>
      </tp>
      <tp t="e">
        <v>#N/A</v>
        <stp/>
        <stp>BDP|13390997499354183805</stp>
        <tr r="AO15" s="1"/>
        <tr r="AO109" s="1"/>
      </tp>
      <tp t="e">
        <v>#N/A</v>
        <stp/>
        <stp>BDP|14558408874530375808</stp>
        <tr r="AO86" s="1"/>
        <tr r="AO133" s="1"/>
      </tp>
      <tp t="e">
        <v>#N/A</v>
        <stp/>
        <stp>BDP|13623303451802246801</stp>
        <tr r="N72" s="1"/>
        <tr r="N33" s="1"/>
        <tr r="N158" s="1"/>
      </tp>
      <tp t="e">
        <v>#N/A</v>
        <stp/>
        <stp>BDP|17938047926022613884</stp>
        <tr r="Q16" s="3"/>
      </tp>
      <tp t="e">
        <v>#N/A</v>
        <stp/>
        <stp>BDP|14751565847123587969</stp>
        <tr r="V86" s="1"/>
        <tr r="V133" s="1"/>
      </tp>
      <tp t="e">
        <v>#N/A</v>
        <stp/>
        <stp>BDP|12023241883104583361</stp>
        <tr r="AS152" s="1"/>
        <tr r="AS74" s="1"/>
        <tr r="AS137" s="1"/>
        <tr r="AS61" s="1"/>
        <tr r="AS119" s="1"/>
        <tr r="AS38" s="1"/>
        <tr r="AS111" s="1"/>
        <tr r="AS23" s="1"/>
        <tr r="AS165" s="1"/>
        <tr r="AS16" s="1"/>
        <tr r="AS99" s="1"/>
        <tr r="AS146" s="1"/>
      </tp>
      <tp t="e">
        <v>#N/A</v>
        <stp/>
        <stp>BDP|15688437706527485939</stp>
        <tr r="Z150" s="1"/>
        <tr r="Z122" s="1"/>
      </tp>
      <tp t="e">
        <v>#N/A</v>
        <stp/>
        <stp>BDP|13451745111839726328</stp>
        <tr r="Y64" s="1"/>
      </tp>
      <tp t="e">
        <v>#N/A</v>
        <stp/>
        <stp>BDP|17526415174188157353</stp>
        <tr r="AH9" s="3"/>
        <tr r="AH9" s="3"/>
        <tr r="AH9" s="3"/>
        <tr r="AH8" s="3"/>
        <tr r="AH8" s="3"/>
        <tr r="AH8" s="3"/>
        <tr r="AH7" s="3"/>
        <tr r="AH7" s="3"/>
        <tr r="AH7" s="3"/>
        <tr r="AH6" s="3"/>
        <tr r="AH6" s="3"/>
        <tr r="AH6" s="3"/>
        <tr r="AH5" s="3"/>
        <tr r="AH5" s="3"/>
        <tr r="AH5" s="3"/>
        <tr r="AH4" s="3"/>
        <tr r="AH4" s="3"/>
        <tr r="AH4" s="3"/>
        <tr r="AH3" s="3"/>
        <tr r="AH3" s="3"/>
        <tr r="AH3" s="3"/>
        <tr r="AH15" s="3"/>
        <tr r="AH15" s="3"/>
        <tr r="AH15" s="3"/>
        <tr r="AH14" s="3"/>
        <tr r="AH14" s="3"/>
        <tr r="AH14" s="3"/>
        <tr r="AH13" s="3"/>
        <tr r="AH13" s="3"/>
        <tr r="AH13" s="3"/>
        <tr r="AH12" s="3"/>
        <tr r="AH12" s="3"/>
        <tr r="AH12" s="3"/>
        <tr r="AH11" s="3"/>
        <tr r="AH11" s="3"/>
        <tr r="AH11" s="3"/>
        <tr r="AH10" s="3"/>
        <tr r="AH10" s="3"/>
        <tr r="AH10" s="3"/>
      </tp>
      <tp t="e">
        <v>#N/A</v>
        <stp/>
        <stp>BDP|12962749526938719080</stp>
        <tr r="AS95" s="1"/>
        <tr r="AS71" s="1"/>
      </tp>
      <tp t="e">
        <v>#N/A</v>
        <stp/>
        <stp>BDP|13519282885166403085</stp>
        <tr r="Y13" s="1"/>
      </tp>
      <tp t="e">
        <v>#N/A</v>
        <stp/>
        <stp>BDP|16047730930345330842</stp>
        <tr r="N64" s="3"/>
        <tr r="N64" s="3"/>
        <tr r="N64" s="3"/>
      </tp>
      <tp t="e">
        <v>#N/A</v>
        <stp/>
        <stp>BDP|11851706861007854853</stp>
        <tr r="AE93" s="1"/>
      </tp>
      <tp t="e">
        <v>#N/A</v>
        <stp/>
        <stp>BDP|12408955973871463210</stp>
        <tr r="F54" s="1"/>
      </tp>
      <tp t="e">
        <v>#N/A</v>
        <stp/>
        <stp>BDP|15288256993297747646</stp>
        <tr r="F56" s="1"/>
      </tp>
      <tp t="e">
        <v>#N/A</v>
        <stp/>
        <stp>BDP|10151968931077885297</stp>
        <tr r="AD44" s="1"/>
      </tp>
      <tp t="e">
        <v>#N/A</v>
        <stp/>
        <stp>BDP|10913522705049927300</stp>
        <tr r="AD8" s="1"/>
        <tr r="AD106" s="1"/>
      </tp>
      <tp t="e">
        <v>#N/A</v>
        <stp/>
        <stp>BDP|15224909716067381503</stp>
        <tr r="M110" s="1"/>
        <tr r="M110" s="1"/>
      </tp>
      <tp t="e">
        <v>#N/A</v>
        <stp/>
        <stp>BDP|14230625014445051932</stp>
        <tr r="AA143" s="1"/>
        <tr r="AA127" s="1"/>
      </tp>
      <tp t="e">
        <v>#N/A</v>
        <stp/>
        <stp>BDP|10536993933865841014</stp>
        <tr r="V96" s="3"/>
        <tr r="V95" s="3"/>
      </tp>
      <tp t="e">
        <v>#N/A</v>
        <stp/>
        <stp>BDP|11197574496762736016</stp>
        <tr r="M99" s="3"/>
        <tr r="M99" s="3"/>
        <tr r="M99" s="3"/>
        <tr r="M98" s="3"/>
        <tr r="M98" s="3"/>
        <tr r="M98" s="3"/>
        <tr r="M97" s="3"/>
        <tr r="M97" s="3"/>
        <tr r="M97" s="3"/>
      </tp>
      <tp t="e">
        <v>#N/A</v>
        <stp/>
        <stp>BDP|14873931065627882305</stp>
        <tr r="N90" s="1"/>
      </tp>
      <tp t="e">
        <v>#N/A</v>
        <stp/>
        <stp>BDP|11416709781955406477</stp>
        <tr r="AS63" s="3"/>
        <tr r="AS63" s="3"/>
        <tr r="AS63" s="3"/>
        <tr r="AS62" s="3"/>
        <tr r="AS62" s="3"/>
        <tr r="AS62" s="3"/>
        <tr r="AS61" s="3"/>
        <tr r="AS61" s="3"/>
        <tr r="AS61" s="3"/>
        <tr r="AS60" s="3"/>
        <tr r="AS60" s="3"/>
        <tr r="AS60" s="3"/>
        <tr r="AS59" s="3"/>
        <tr r="AS59" s="3"/>
        <tr r="AS59" s="3"/>
        <tr r="AS58" s="3"/>
        <tr r="AS58" s="3"/>
        <tr r="AS58" s="3"/>
        <tr r="AS57" s="3"/>
        <tr r="AS57" s="3"/>
        <tr r="AS57" s="3"/>
        <tr r="AS56" s="3"/>
        <tr r="AS56" s="3"/>
        <tr r="AS56" s="3"/>
        <tr r="AS55" s="3"/>
        <tr r="AS55" s="3"/>
        <tr r="AS55" s="3"/>
        <tr r="AS54" s="3"/>
        <tr r="AS54" s="3"/>
        <tr r="AS54" s="3"/>
        <tr r="AS53" s="3"/>
        <tr r="AS53" s="3"/>
        <tr r="AS53" s="3"/>
        <tr r="AS52" s="3"/>
        <tr r="AS52" s="3"/>
        <tr r="AS52" s="3"/>
        <tr r="AS51" s="3"/>
        <tr r="AS51" s="3"/>
        <tr r="AS51" s="3"/>
      </tp>
      <tp t="e">
        <v>#N/A</v>
        <stp/>
        <stp>BDP|16466480511539946523</stp>
        <tr r="AD126" s="1"/>
      </tp>
    </main>
    <main first="bloomberg.rtd">
      <tp>
        <v>969</v>
        <stp/>
        <stp>##V3_BDPV12</stp>
        <stp>SMSN.LI Equity</stp>
        <stp>PX_Last</stp>
        <stp>[DPM - Securities Master List (BBG Linked).xlsx]Equities!R243C17</stp>
        <tr r="Q243" s="2"/>
      </tp>
      <tp>
        <v>969</v>
        <stp/>
        <stp>##V3_BDPV12</stp>
        <stp>SMSN.LI Equity</stp>
        <stp>PX_last</stp>
        <stp>[DPM - Securities Master List (BBG Linked).xlsx]Equities!R243C17</stp>
        <tr r="Q243" s="2"/>
      </tp>
      <tp t="s">
        <v>Baidu Inc</v>
        <stp/>
        <stp>##V3_BDPV12</stp>
        <stp>9888 HK Equity</stp>
        <stp>SECURITY NAME</stp>
        <stp>[DPM - Securities Master List (BBG Linked).xlsx]Equities!R21C5</stp>
        <tr r="E21" s="2"/>
      </tp>
      <tp>
        <v>2.129121</v>
        <stp/>
        <stp>##V3_BDPV12</stp>
        <stp>GOOGL US Equity</stp>
        <stp>CHG_PCT_5D</stp>
        <stp>[DPM - Securities Master List (BBG Linked).xlsx]Equities!R140C23</stp>
        <tr r="W140" s="2"/>
      </tp>
      <tp>
        <v>2.129121</v>
        <stp/>
        <stp>##V3_BDPV12</stp>
        <stp>GOOGL US Equity</stp>
        <stp>CHG_PCT_5D</stp>
        <stp>[DPM - Securities Master List (BBG Linked).xlsx]Equities!R141C23</stp>
        <tr r="W141" s="2"/>
      </tp>
      <tp>
        <v>2.129121</v>
        <stp/>
        <stp>##V3_BDPV12</stp>
        <stp>GOOGL US Equity</stp>
        <stp>CHG_PCT_5D</stp>
        <stp>[DPM - Securities Master List (BBG Linked).xlsx]Equities!R134C23</stp>
        <tr r="W134" s="2"/>
      </tp>
      <tp>
        <v>2.129121</v>
        <stp/>
        <stp>##V3_BDPV12</stp>
        <stp>GOOGL US Equity</stp>
        <stp>CHG_PCT_5D</stp>
        <stp>[DPM - Securities Master List (BBG Linked).xlsx]Equities!R135C23</stp>
        <tr r="W135" s="2"/>
      </tp>
      <tp>
        <v>2.129121</v>
        <stp/>
        <stp>##V3_BDPV12</stp>
        <stp>GOOGL US Equity</stp>
        <stp>CHG_PCT_5D</stp>
        <stp>[DPM - Securities Master List (BBG Linked).xlsx]Equities!R136C23</stp>
        <tr r="W136" s="2"/>
      </tp>
      <tp>
        <v>2.129121</v>
        <stp/>
        <stp>##V3_BDPV12</stp>
        <stp>GOOGL US Equity</stp>
        <stp>CHG_PCT_5D</stp>
        <stp>[DPM - Securities Master List (BBG Linked).xlsx]Equities!R137C23</stp>
        <tr r="W137" s="2"/>
      </tp>
      <tp>
        <v>2.129121</v>
        <stp/>
        <stp>##V3_BDPV12</stp>
        <stp>GOOGL US Equity</stp>
        <stp>CHG_PCT_5D</stp>
        <stp>[DPM - Securities Master List (BBG Linked).xlsx]Equities!R130C23</stp>
        <tr r="W130" s="2"/>
      </tp>
      <tp>
        <v>2.129121</v>
        <stp/>
        <stp>##V3_BDPV12</stp>
        <stp>GOOGL US Equity</stp>
        <stp>CHG_PCT_5D</stp>
        <stp>[DPM - Securities Master List (BBG Linked).xlsx]Equities!R131C23</stp>
        <tr r="W131" s="2"/>
      </tp>
      <tp>
        <v>2.129121</v>
        <stp/>
        <stp>##V3_BDPV12</stp>
        <stp>GOOGL US Equity</stp>
        <stp>CHG_PCT_5D</stp>
        <stp>[DPM - Securities Master List (BBG Linked).xlsx]Equities!R132C23</stp>
        <tr r="W132" s="2"/>
      </tp>
      <tp>
        <v>2.129121</v>
        <stp/>
        <stp>##V3_BDPV12</stp>
        <stp>GOOGL US Equity</stp>
        <stp>CHG_PCT_5D</stp>
        <stp>[DPM - Securities Master List (BBG Linked).xlsx]Equities!R133C23</stp>
        <tr r="W133" s="2"/>
      </tp>
      <tp>
        <v>2.129121</v>
        <stp/>
        <stp>##V3_BDPV12</stp>
        <stp>GOOGL US Equity</stp>
        <stp>CHG_PCT_5D</stp>
        <stp>[DPM - Securities Master List (BBG Linked).xlsx]Equities!R138C23</stp>
        <tr r="W138" s="2"/>
      </tp>
      <tp>
        <v>2.129121</v>
        <stp/>
        <stp>##V3_BDPV12</stp>
        <stp>GOOGL US Equity</stp>
        <stp>CHG_PCT_5D</stp>
        <stp>[DPM - Securities Master List (BBG Linked).xlsx]Equities!R139C23</stp>
        <tr r="W139" s="2"/>
      </tp>
      <tp>
        <v>2.1041460000000001</v>
        <stp/>
        <stp>##V3_BDPV12</stp>
        <stp>GOOGL UQ Equity</stp>
        <stp>CHG_PCT_5D</stp>
        <stp>[DPM - Securities Master List (BBG Linked).xlsx]Equities!R126C23</stp>
        <tr r="W126" s="2"/>
      </tp>
      <tp>
        <v>2.129121</v>
        <stp/>
        <stp>##V3_BDPV12</stp>
        <stp>GOOGL US Equity</stp>
        <stp>CHG_PCT_5D</stp>
        <stp>[DPM - Securities Master List (BBG Linked).xlsx]Equities!R127C23</stp>
        <tr r="W127" s="2"/>
      </tp>
      <tp>
        <v>2.129121</v>
        <stp/>
        <stp>##V3_BDPV12</stp>
        <stp>GOOGL US Equity</stp>
        <stp>CHG_PCT_5D</stp>
        <stp>[DPM - Securities Master List (BBG Linked).xlsx]Equities!R128C23</stp>
        <tr r="W128" s="2"/>
      </tp>
      <tp>
        <v>2.129121</v>
        <stp/>
        <stp>##V3_BDPV12</stp>
        <stp>GOOGL US Equity</stp>
        <stp>CHG_PCT_5D</stp>
        <stp>[DPM - Securities Master List (BBG Linked).xlsx]Equities!R129C23</stp>
        <tr r="W129" s="2"/>
      </tp>
      <tp>
        <v>4.2512080000000001</v>
        <stp/>
        <stp>##V3_BDPV12</stp>
        <stp>DGE LN Equity</stp>
        <stp>CHG_PCT_5D</stp>
        <stp>[DPM - Securities Master List (BBG Linked).xlsx]Equities!R110C23</stp>
        <tr r="W110" s="2"/>
      </tp>
      <tp>
        <v>4.2512080000000001</v>
        <stp/>
        <stp>##V3_BDPV12</stp>
        <stp>DGE LN Equity</stp>
        <stp>CHG_PCT_5D</stp>
        <stp>[DPM - Securities Master List (BBG Linked).xlsx]Equities!R111C23</stp>
        <tr r="W111" s="2"/>
      </tp>
      <tp>
        <v>4.2512080000000001</v>
        <stp/>
        <stp>##V3_BDPV12</stp>
        <stp>DGE LN Equity</stp>
        <stp>CHG_PCT_5D</stp>
        <stp>[DPM - Securities Master List (BBG Linked).xlsx]Equities!R108C23</stp>
        <tr r="W108" s="2"/>
      </tp>
      <tp>
        <v>4.2512080000000001</v>
        <stp/>
        <stp>##V3_BDPV12</stp>
        <stp>DGE LN Equity</stp>
        <stp>CHG_PCT_5D</stp>
        <stp>[DPM - Securities Master List (BBG Linked).xlsx]Equities!R109C23</stp>
        <tr r="W109" s="2"/>
      </tp>
      <tp>
        <v>0</v>
        <stp/>
        <stp>##V3_BDPV12</stp>
        <stp>NKE US Equity</stp>
        <stp>CHG_PCT_5D</stp>
        <stp>[DPM - Securities Master List (BBG Linked).xlsx]Equities!R209C23</stp>
        <tr r="W209" s="2"/>
      </tp>
      <tp>
        <v>0</v>
        <stp/>
        <stp>##V3_BDPV12</stp>
        <stp>NKE US Equity</stp>
        <stp>CHG_PCT_5D</stp>
        <stp>[DPM - Securities Master List (BBG Linked).xlsx]Equities!R208C23</stp>
        <tr r="W208" s="2"/>
      </tp>
      <tp>
        <v>5.3962380000000003</v>
        <stp/>
        <stp>##V3_BDPV12</stp>
        <stp>SSE LN Equity</stp>
        <stp>CHG_PCT_5D</stp>
        <stp>[DPM - Securities Master List (BBG Linked).xlsx]Equities!R248C23</stp>
        <tr r="W248" s="2"/>
      </tp>
      <tp>
        <v>5.3962380000000003</v>
        <stp/>
        <stp>##V3_BDPV12</stp>
        <stp>SSE LN Equity</stp>
        <stp>CHG_PCT_5D</stp>
        <stp>[DPM - Securities Master List (BBG Linked).xlsx]Equities!R249C23</stp>
        <tr r="W249" s="2"/>
      </tp>
      <tp>
        <v>5.3962380000000003</v>
        <stp/>
        <stp>##V3_BDPV12</stp>
        <stp>SSE LN Equity</stp>
        <stp>CHG_PCT_5D</stp>
        <stp>[DPM - Securities Master List (BBG Linked).xlsx]Equities!R246C23</stp>
        <tr r="W246" s="2"/>
      </tp>
      <tp>
        <v>5.3962380000000003</v>
        <stp/>
        <stp>##V3_BDPV12</stp>
        <stp>SSE LN Equity</stp>
        <stp>CHG_PCT_5D</stp>
        <stp>[DPM - Securities Master List (BBG Linked).xlsx]Equities!R247C23</stp>
        <tr r="W247" s="2"/>
      </tp>
      <tp>
        <v>5.3962380000000003</v>
        <stp/>
        <stp>##V3_BDPV12</stp>
        <stp>SSE LN Equity</stp>
        <stp>CHG_PCT_5D</stp>
        <stp>[DPM - Securities Master List (BBG Linked).xlsx]Equities!R244C23</stp>
        <tr r="W244" s="2"/>
      </tp>
      <tp>
        <v>5.3962380000000003</v>
        <stp/>
        <stp>##V3_BDPV12</stp>
        <stp>SSE LN Equity</stp>
        <stp>CHG_PCT_5D</stp>
        <stp>[DPM - Securities Master List (BBG Linked).xlsx]Equities!R245C23</stp>
        <tr r="W245" s="2"/>
      </tp>
      <tp>
        <v>0</v>
        <stp/>
        <stp>##V3_BDPV12</stp>
        <stp>NKE US Equity</stp>
        <stp>CHG_PCT_5D</stp>
        <stp>[DPM - Securities Master List (BBG Linked).xlsx]Equities!R207C23</stp>
        <tr r="W207" s="2"/>
      </tp>
      <tp>
        <v>-3.5147390000000001</v>
        <stp/>
        <stp>##V3_BDPV12</stp>
        <stp>TTE FP Equity</stp>
        <stp>CHG_PCT_5D</stp>
        <stp>[DPM - Securities Master List (BBG Linked).xlsx]Equities!R287C23</stp>
        <tr r="W287" s="2"/>
      </tp>
      <tp>
        <v>-3.5147390000000001</v>
        <stp/>
        <stp>##V3_BDPV12</stp>
        <stp>TTE FP Equity</stp>
        <stp>CHG_PCT_5D</stp>
        <stp>[DPM - Securities Master List (BBG Linked).xlsx]Equities!R286C23</stp>
        <tr r="W286" s="2"/>
      </tp>
      <tp>
        <v>-3.5147390000000001</v>
        <stp/>
        <stp>##V3_BDPV12</stp>
        <stp>TTE FP Equity</stp>
        <stp>CHG_PCT_5D</stp>
        <stp>[DPM - Securities Master List (BBG Linked).xlsx]Equities!R285C23</stp>
        <tr r="W285" s="2"/>
      </tp>
      <tp>
        <v>-3.5147390000000001</v>
        <stp/>
        <stp>##V3_BDPV12</stp>
        <stp>TTE FP Equity</stp>
        <stp>CHG_PCT_5D</stp>
        <stp>[DPM - Securities Master List (BBG Linked).xlsx]Equities!R284C23</stp>
        <tr r="W284" s="2"/>
      </tp>
      <tp>
        <v>-3.5147390000000001</v>
        <stp/>
        <stp>##V3_BDPV12</stp>
        <stp>TTE FP Equity</stp>
        <stp>CHG_PCT_5D</stp>
        <stp>[DPM - Securities Master List (BBG Linked).xlsx]Equities!R283C23</stp>
        <tr r="W283" s="2"/>
      </tp>
      <tp>
        <v>-3.5147390000000001</v>
        <stp/>
        <stp>##V3_BDPV12</stp>
        <stp>TTE FP Equity</stp>
        <stp>CHG_PCT_5D</stp>
        <stp>[DPM - Securities Master List (BBG Linked).xlsx]Equities!R282C23</stp>
        <tr r="W282" s="2"/>
      </tp>
      <tp>
        <v>-3.5147390000000001</v>
        <stp/>
        <stp>##V3_BDPV12</stp>
        <stp>TTE FP Equity</stp>
        <stp>CHG_PCT_5D</stp>
        <stp>[DPM - Securities Master List (BBG Linked).xlsx]Equities!R281C23</stp>
        <tr r="W281" s="2"/>
      </tp>
      <tp>
        <v>-3.5147390000000001</v>
        <stp/>
        <stp>##V3_BDPV12</stp>
        <stp>TTE FP Equity</stp>
        <stp>CHG_PCT_5D</stp>
        <stp>[DPM - Securities Master List (BBG Linked).xlsx]Equities!R280C23</stp>
        <tr r="W280" s="2"/>
      </tp>
      <tp>
        <v>-3.5147390000000001</v>
        <stp/>
        <stp>##V3_BDPV12</stp>
        <stp>TTE FP Equity</stp>
        <stp>CHG_PCT_5D</stp>
        <stp>[DPM - Securities Master List (BBG Linked).xlsx]Equities!R288C23</stp>
        <tr r="W288" s="2"/>
      </tp>
      <tp>
        <v>0</v>
        <stp/>
        <stp>##V3_BDPV12</stp>
        <stp>NKE US Equity</stp>
        <stp>CHG_PCT_5D</stp>
        <stp>[DPM - Securities Master List (BBG Linked).xlsx]Equities!R219C23</stp>
        <tr r="W219" s="2"/>
      </tp>
      <tp>
        <v>0</v>
        <stp/>
        <stp>##V3_BDPV12</stp>
        <stp>NKE US Equity</stp>
        <stp>CHG_PCT_5D</stp>
        <stp>[DPM - Securities Master List (BBG Linked).xlsx]Equities!R218C23</stp>
        <tr r="W218" s="2"/>
      </tp>
      <tp>
        <v>5.3962380000000003</v>
        <stp/>
        <stp>##V3_BDPV12</stp>
        <stp>SSE LN Equity</stp>
        <stp>CHG_PCT_5D</stp>
        <stp>[DPM - Securities Master List (BBG Linked).xlsx]Equities!R258C23</stp>
        <tr r="W258" s="2"/>
      </tp>
      <tp>
        <v>0</v>
        <stp/>
        <stp>##V3_BDPV12</stp>
        <stp>NKE US Equity</stp>
        <stp>CHG_PCT_5D</stp>
        <stp>[DPM - Securities Master List (BBG Linked).xlsx]Equities!R213C23</stp>
        <tr r="W213" s="2"/>
      </tp>
      <tp>
        <v>5.3962380000000003</v>
        <stp/>
        <stp>##V3_BDPV12</stp>
        <stp>SSE LN Equity</stp>
        <stp>CHG_PCT_5D</stp>
        <stp>[DPM - Securities Master List (BBG Linked).xlsx]Equities!R256C23</stp>
        <tr r="W256" s="2"/>
      </tp>
      <tp>
        <v>0</v>
        <stp/>
        <stp>##V3_BDPV12</stp>
        <stp>NKE US Equity</stp>
        <stp>CHG_PCT_5D</stp>
        <stp>[DPM - Securities Master List (BBG Linked).xlsx]Equities!R212C23</stp>
        <tr r="W212" s="2"/>
      </tp>
      <tp>
        <v>5.3962380000000003</v>
        <stp/>
        <stp>##V3_BDPV12</stp>
        <stp>SSE LN Equity</stp>
        <stp>CHG_PCT_5D</stp>
        <stp>[DPM - Securities Master List (BBG Linked).xlsx]Equities!R257C23</stp>
        <tr r="W257" s="2"/>
      </tp>
      <tp>
        <v>0</v>
        <stp/>
        <stp>##V3_BDPV12</stp>
        <stp>NKE US Equity</stp>
        <stp>CHG_PCT_5D</stp>
        <stp>[DPM - Securities Master List (BBG Linked).xlsx]Equities!R211C23</stp>
        <tr r="W211" s="2"/>
      </tp>
      <tp>
        <v>5.3962380000000003</v>
        <stp/>
        <stp>##V3_BDPV12</stp>
        <stp>SSE LN Equity</stp>
        <stp>CHG_PCT_5D</stp>
        <stp>[DPM - Securities Master List (BBG Linked).xlsx]Equities!R254C23</stp>
        <tr r="W254" s="2"/>
      </tp>
      <tp>
        <v>0</v>
        <stp/>
        <stp>##V3_BDPV12</stp>
        <stp>NKE US Equity</stp>
        <stp>CHG_PCT_5D</stp>
        <stp>[DPM - Securities Master List (BBG Linked).xlsx]Equities!R210C23</stp>
        <tr r="W210" s="2"/>
      </tp>
      <tp>
        <v>5.3962380000000003</v>
        <stp/>
        <stp>##V3_BDPV12</stp>
        <stp>SSE LN Equity</stp>
        <stp>CHG_PCT_5D</stp>
        <stp>[DPM - Securities Master List (BBG Linked).xlsx]Equities!R255C23</stp>
        <tr r="W255" s="2"/>
      </tp>
      <tp>
        <v>0</v>
        <stp/>
        <stp>##V3_BDPV12</stp>
        <stp>NKE US Equity</stp>
        <stp>CHG_PCT_5D</stp>
        <stp>[DPM - Securities Master List (BBG Linked).xlsx]Equities!R217C23</stp>
        <tr r="W217" s="2"/>
      </tp>
      <tp>
        <v>5.3962380000000003</v>
        <stp/>
        <stp>##V3_BDPV12</stp>
        <stp>SSE LN Equity</stp>
        <stp>CHG_PCT_5D</stp>
        <stp>[DPM - Securities Master List (BBG Linked).xlsx]Equities!R252C23</stp>
        <tr r="W252" s="2"/>
      </tp>
      <tp>
        <v>0</v>
        <stp/>
        <stp>##V3_BDPV12</stp>
        <stp>NKE US Equity</stp>
        <stp>CHG_PCT_5D</stp>
        <stp>[DPM - Securities Master List (BBG Linked).xlsx]Equities!R216C23</stp>
        <tr r="W216" s="2"/>
      </tp>
      <tp>
        <v>5.3962380000000003</v>
        <stp/>
        <stp>##V3_BDPV12</stp>
        <stp>SSE LN Equity</stp>
        <stp>CHG_PCT_5D</stp>
        <stp>[DPM - Securities Master List (BBG Linked).xlsx]Equities!R253C23</stp>
        <tr r="W253" s="2"/>
      </tp>
      <tp>
        <v>0</v>
        <stp/>
        <stp>##V3_BDPV12</stp>
        <stp>NKE US Equity</stp>
        <stp>CHG_PCT_5D</stp>
        <stp>[DPM - Securities Master List (BBG Linked).xlsx]Equities!R215C23</stp>
        <tr r="W215" s="2"/>
      </tp>
      <tp>
        <v>5.3962380000000003</v>
        <stp/>
        <stp>##V3_BDPV12</stp>
        <stp>SSE LN Equity</stp>
        <stp>CHG_PCT_5D</stp>
        <stp>[DPM - Securities Master List (BBG Linked).xlsx]Equities!R250C23</stp>
        <tr r="W250" s="2"/>
      </tp>
      <tp>
        <v>0</v>
        <stp/>
        <stp>##V3_BDPV12</stp>
        <stp>NKE US Equity</stp>
        <stp>CHG_PCT_5D</stp>
        <stp>[DPM - Securities Master List (BBG Linked).xlsx]Equities!R214C23</stp>
        <tr r="W214" s="2"/>
      </tp>
      <tp>
        <v>5.3962380000000003</v>
        <stp/>
        <stp>##V3_BDPV12</stp>
        <stp>SSE LN Equity</stp>
        <stp>CHG_PCT_5D</stp>
        <stp>[DPM - Securities Master List (BBG Linked).xlsx]Equities!R251C23</stp>
        <tr r="W251" s="2"/>
      </tp>
      <tp>
        <v>0</v>
        <stp/>
        <stp>##V3_BDPV12</stp>
        <stp>NKE US Equity</stp>
        <stp>CHG_PCT_5D</stp>
        <stp>[DPM - Securities Master List (BBG Linked).xlsx]Equities!R222C23</stp>
        <tr r="W222" s="2"/>
      </tp>
      <tp>
        <v>0</v>
        <stp/>
        <stp>##V3_BDPV12</stp>
        <stp>NKE US Equity</stp>
        <stp>CHG_PCT_5D</stp>
        <stp>[DPM - Securities Master List (BBG Linked).xlsx]Equities!R221C23</stp>
        <tr r="W221" s="2"/>
      </tp>
      <tp>
        <v>0</v>
        <stp/>
        <stp>##V3_BDPV12</stp>
        <stp>NKE US Equity</stp>
        <stp>CHG_PCT_5D</stp>
        <stp>[DPM - Securities Master List (BBG Linked).xlsx]Equities!R220C23</stp>
        <tr r="W220" s="2"/>
      </tp>
      <tp>
        <v>-3.5147390000000001</v>
        <stp/>
        <stp>##V3_BDPV12</stp>
        <stp>TTE FP Equity</stp>
        <stp>CHG_PCT_5D</stp>
        <stp>[DPM - Securities Master List (BBG Linked).xlsx]Equities!R277C23</stp>
        <tr r="W277" s="2"/>
      </tp>
      <tp>
        <v>-3.5147390000000001</v>
        <stp/>
        <stp>##V3_BDPV12</stp>
        <stp>TTE FP Equity</stp>
        <stp>CHG_PCT_5D</stp>
        <stp>[DPM - Securities Master List (BBG Linked).xlsx]Equities!R276C23</stp>
        <tr r="W276" s="2"/>
      </tp>
      <tp>
        <v>-3.5147390000000001</v>
        <stp/>
        <stp>##V3_BDPV12</stp>
        <stp>TTE FP Equity</stp>
        <stp>CHG_PCT_5D</stp>
        <stp>[DPM - Securities Master List (BBG Linked).xlsx]Equities!R279C23</stp>
        <tr r="W279" s="2"/>
      </tp>
      <tp>
        <v>-3.5147390000000001</v>
        <stp/>
        <stp>##V3_BDPV12</stp>
        <stp>TTE FP Equity</stp>
        <stp>CHG_PCT_5D</stp>
        <stp>[DPM - Securities Master List (BBG Linked).xlsx]Equities!R278C23</stp>
        <tr r="W278" s="2"/>
      </tp>
      <tp>
        <v>0</v>
        <stp/>
        <stp>##V3_BDPV12</stp>
        <stp>BIIB US Equity</stp>
        <stp>TOT_SELL_REC</stp>
        <stp>[DPM - Securities Master List (BBG Linked).xlsx]Equities!R62C36</stp>
        <tr r="AJ62" s="2"/>
      </tp>
      <tp>
        <v>0</v>
        <stp/>
        <stp>##V3_BDPV12</stp>
        <stp>BMRN US Equity</stp>
        <stp>TOT_SELL_REC</stp>
        <stp>[DPM - Securities Master List (BBG Linked).xlsx]Equities!R63C36</stp>
        <tr r="AJ63" s="2"/>
      </tp>
      <tp>
        <v>0</v>
        <stp/>
        <stp>##V3_BDPV12</stp>
        <stp>BMRN US Equity</stp>
        <stp>TOT_SELL_REC</stp>
        <stp>[DPM - Securities Master List (BBG Linked).xlsx]Equities!R67C36</stp>
        <tr r="AJ67" s="2"/>
      </tp>
      <tp>
        <v>0</v>
        <stp/>
        <stp>##V3_BDPV12</stp>
        <stp>BMRN US Equity</stp>
        <stp>TOT_SELL_REC</stp>
        <stp>[DPM - Securities Master List (BBG Linked).xlsx]Equities!R66C36</stp>
        <tr r="AJ66" s="2"/>
      </tp>
      <tp>
        <v>0</v>
        <stp/>
        <stp>##V3_BDPV12</stp>
        <stp>BMRN US Equity</stp>
        <stp>TOT_SELL_REC</stp>
        <stp>[DPM - Securities Master List (BBG Linked).xlsx]Equities!R65C36</stp>
        <tr r="AJ65" s="2"/>
      </tp>
      <tp>
        <v>0</v>
        <stp/>
        <stp>##V3_BDPV12</stp>
        <stp>BMRN US Equity</stp>
        <stp>TOT_SELL_REC</stp>
        <stp>[DPM - Securities Master List (BBG Linked).xlsx]Equities!R64C36</stp>
        <tr r="AJ64" s="2"/>
      </tp>
      <tp>
        <v>0</v>
        <stp/>
        <stp>##V3_BDPV12</stp>
        <stp>BMRN US Equity</stp>
        <stp>TOT_SELL_REC</stp>
        <stp>[DPM - Securities Master List (BBG Linked).xlsx]Equities!R69C36</stp>
        <tr r="AJ69" s="2"/>
      </tp>
      <tp>
        <v>0</v>
        <stp/>
        <stp>##V3_BDPV12</stp>
        <stp>BMRN US Equity</stp>
        <stp>TOT_SELL_REC</stp>
        <stp>[DPM - Securities Master List (BBG Linked).xlsx]Equities!R68C36</stp>
        <tr r="AJ68" s="2"/>
      </tp>
      <tp>
        <v>0</v>
        <stp/>
        <stp>##V3_BDPV12</stp>
        <stp>BMRN US Equity</stp>
        <stp>TOT_SELL_REC</stp>
        <stp>[DPM - Securities Master List (BBG Linked).xlsx]Equities!R73C36</stp>
        <tr r="AJ73" s="2"/>
      </tp>
      <tp>
        <v>0</v>
        <stp/>
        <stp>##V3_BDPV12</stp>
        <stp>BMRN US Equity</stp>
        <stp>TOT_SELL_REC</stp>
        <stp>[DPM - Securities Master List (BBG Linked).xlsx]Equities!R72C36</stp>
        <tr r="AJ72" s="2"/>
      </tp>
      <tp>
        <v>0</v>
        <stp/>
        <stp>##V3_BDPV12</stp>
        <stp>BMRN US Equity</stp>
        <stp>TOT_SELL_REC</stp>
        <stp>[DPM - Securities Master List (BBG Linked).xlsx]Equities!R71C36</stp>
        <tr r="AJ71" s="2"/>
      </tp>
      <tp>
        <v>0</v>
        <stp/>
        <stp>##V3_BDPV12</stp>
        <stp>BMRN US Equity</stp>
        <stp>TOT_SELL_REC</stp>
        <stp>[DPM - Securities Master List (BBG Linked).xlsx]Equities!R70C36</stp>
        <tr r="AJ70" s="2"/>
      </tp>
      <tp>
        <v>0</v>
        <stp/>
        <stp>##V3_BDPV12</stp>
        <stp>BMRN US Equity</stp>
        <stp>TOT_SELL_REC</stp>
        <stp>[DPM - Securities Master List (BBG Linked).xlsx]Equities!R75C36</stp>
        <tr r="AJ75" s="2"/>
      </tp>
      <tp>
        <v>0</v>
        <stp/>
        <stp>##V3_BDPV12</stp>
        <stp>BMRN US Equity</stp>
        <stp>TOT_SELL_REC</stp>
        <stp>[DPM - Securities Master List (BBG Linked).xlsx]Equities!R74C36</stp>
        <tr r="AJ74" s="2"/>
      </tp>
    </main>
    <main first="bofaddin.rtdserver">
      <tp t="e">
        <v>#N/A</v>
        <stp/>
        <stp>BDP|18086427508185549561</stp>
        <tr r="M66" s="1"/>
        <tr r="M66" s="1"/>
        <tr r="M49" s="1"/>
        <tr r="M49" s="1"/>
        <tr r="M42" s="1"/>
        <tr r="M42" s="1"/>
      </tp>
      <tp t="e">
        <v>#N/A</v>
        <stp/>
        <stp>BDP|17891129147926468800</stp>
        <tr r="F13" s="1"/>
      </tp>
      <tp t="e">
        <v>#N/A</v>
        <stp/>
        <stp>BDP|12870925860331662054</stp>
        <tr r="AQ103" s="3"/>
        <tr r="AQ103" s="3"/>
      </tp>
      <tp t="e">
        <v>#N/A</v>
        <stp/>
        <stp>BDP|16059062025069275181</stp>
        <tr r="Y11" s="1"/>
        <tr r="Y102" s="1"/>
      </tp>
      <tp t="e">
        <v>#N/A</v>
        <stp/>
        <stp>BDP|15675130079777079850</stp>
        <tr r="AN50" s="3"/>
        <tr r="AN50" s="3"/>
        <tr r="AN50" s="3"/>
        <tr r="AN49" s="3"/>
        <tr r="AN49" s="3"/>
        <tr r="AN49" s="3"/>
        <tr r="AN48" s="3"/>
        <tr r="AN48" s="3"/>
        <tr r="AN48" s="3"/>
        <tr r="AN47" s="3"/>
        <tr r="AN47" s="3"/>
        <tr r="AN47" s="3"/>
        <tr r="AN46" s="3"/>
        <tr r="AN46" s="3"/>
        <tr r="AN46" s="3"/>
        <tr r="AN45" s="3"/>
        <tr r="AN45" s="3"/>
        <tr r="AN45" s="3"/>
        <tr r="AN44" s="3"/>
        <tr r="AN44" s="3"/>
        <tr r="AN44" s="3"/>
        <tr r="AN43" s="3"/>
        <tr r="AN43" s="3"/>
        <tr r="AN43" s="3"/>
        <tr r="AN42" s="3"/>
        <tr r="AN42" s="3"/>
        <tr r="AN42" s="3"/>
        <tr r="AN41" s="3"/>
        <tr r="AN41" s="3"/>
        <tr r="AN41" s="3"/>
        <tr r="AN40" s="3"/>
        <tr r="AN40" s="3"/>
        <tr r="AN40" s="3"/>
        <tr r="AN39" s="3"/>
        <tr r="AN39" s="3"/>
        <tr r="AN39" s="3"/>
        <tr r="AN38" s="3"/>
        <tr r="AN38" s="3"/>
        <tr r="AN38" s="3"/>
        <tr r="AN37" s="3"/>
        <tr r="AN37" s="3"/>
        <tr r="AN37" s="3"/>
        <tr r="AN36" s="3"/>
        <tr r="AN36" s="3"/>
        <tr r="AN36" s="3"/>
        <tr r="AN35" s="3"/>
        <tr r="AN35" s="3"/>
        <tr r="AN35" s="3"/>
      </tp>
      <tp t="e">
        <v>#N/A</v>
        <stp/>
        <stp>BDP|17920211516100471832</stp>
        <tr r="V83" s="1"/>
        <tr r="V50" s="1"/>
      </tp>
      <tp t="e">
        <v>#N/A</v>
        <stp/>
        <stp>BDP|16730994613970606237</stp>
        <tr r="X148" s="1"/>
        <tr r="X138" s="1"/>
      </tp>
      <tp t="e">
        <v>#N/A</v>
        <stp/>
        <stp>BDP|15441257302249223292</stp>
        <tr r="AT110" s="1"/>
      </tp>
      <tp t="e">
        <v>#N/A</v>
        <stp/>
        <stp>BDP|17065870950093897578</stp>
        <tr r="H6" s="1"/>
        <tr r="H6" s="1"/>
      </tp>
      <tp t="e">
        <v>#N/A</v>
        <stp/>
        <stp>BDP|10311501340064934926</stp>
        <tr r="W96" s="1"/>
        <tr r="W77" s="1"/>
        <tr r="W65" s="1"/>
        <tr r="W36" s="1"/>
        <tr r="W27" s="1"/>
        <tr r="W162" s="1"/>
      </tp>
      <tp t="e">
        <v>#N/A</v>
        <stp/>
        <stp>BDP|12379193599456193092</stp>
        <tr r="Z160" s="1"/>
      </tp>
      <tp t="e">
        <v>#N/A</v>
        <stp/>
        <stp>BDP|12614992800750714738</stp>
        <tr r="M145" s="1"/>
        <tr r="M145" s="1"/>
        <tr r="M136" s="1"/>
        <tr r="M136" s="1"/>
      </tp>
      <tp t="e">
        <v>#N/A</v>
        <stp/>
        <stp>BDP|17665656089883829697</stp>
        <tr r="W35" s="1"/>
        <tr r="W24" s="1"/>
        <tr r="W153" s="1"/>
      </tp>
      <tp t="e">
        <v>#N/A</v>
        <stp/>
        <stp>BDP|17801064093007720515</stp>
        <tr r="AA148" s="1"/>
        <tr r="AA138" s="1"/>
      </tp>
      <tp t="e">
        <v>#N/A</v>
        <stp/>
        <stp>BDP|10320693136840716911</stp>
        <tr r="AO19" s="1"/>
      </tp>
      <tp t="e">
        <v>#N/A</v>
        <stp/>
        <stp>BDP|14835867419915910443</stp>
        <tr r="AS56" s="1"/>
      </tp>
      <tp t="e">
        <v>#N/A</v>
        <stp/>
        <stp>BDP|16153633680581901517</stp>
        <tr r="H111" s="3"/>
        <tr r="H111" s="3"/>
        <tr r="H111" s="3"/>
        <tr r="H110" s="3"/>
        <tr r="H110" s="3"/>
        <tr r="H110" s="3"/>
        <tr r="H109" s="3"/>
        <tr r="H109" s="3"/>
        <tr r="H109" s="3"/>
        <tr r="H108" s="3"/>
        <tr r="H108" s="3"/>
        <tr r="H108" s="3"/>
        <tr r="H107" s="3"/>
        <tr r="H107" s="3"/>
        <tr r="H107" s="3"/>
        <tr r="H106" s="3"/>
        <tr r="H106" s="3"/>
        <tr r="H106" s="3"/>
        <tr r="H105" s="3"/>
        <tr r="H105" s="3"/>
        <tr r="H105" s="3"/>
        <tr r="H104" s="3"/>
        <tr r="H104" s="3"/>
        <tr r="H104" s="3"/>
      </tp>
      <tp t="e">
        <v>#N/A</v>
        <stp/>
        <stp>BDP|13160389920059123757</stp>
        <tr r="AS102" s="3"/>
        <tr r="AS102" s="3"/>
        <tr r="AS102" s="3"/>
        <tr r="AS101" s="3"/>
        <tr r="AS101" s="3"/>
        <tr r="AS101" s="3"/>
        <tr r="AS100" s="3"/>
        <tr r="AS100" s="3"/>
        <tr r="AS100" s="3"/>
      </tp>
      <tp t="e">
        <v>#N/A</v>
        <stp/>
        <stp>BDP|13790277086060332584</stp>
        <tr r="J103" s="3"/>
        <tr r="J103" s="3"/>
      </tp>
      <tp t="e">
        <v>#N/A</v>
        <stp/>
        <stp>BDP|11905455388869949807</stp>
        <tr r="V91" s="1"/>
        <tr r="V76" s="1"/>
        <tr r="V55" s="1"/>
        <tr r="V48" s="1"/>
        <tr r="V26" s="1"/>
        <tr r="V157" s="1"/>
        <tr r="V142" s="1"/>
        <tr r="V132" s="1"/>
        <tr r="V120" s="1"/>
        <tr r="V100" s="1"/>
      </tp>
      <tp t="e">
        <v>#N/A</v>
        <stp/>
        <stp>BDP|12426341649578039149</stp>
        <tr r="Q34" s="3"/>
        <tr r="Q33" s="3"/>
        <tr r="Q32" s="3"/>
        <tr r="Q31" s="3"/>
        <tr r="Q30" s="3"/>
        <tr r="Q29" s="3"/>
        <tr r="Q28" s="3"/>
        <tr r="Q27" s="3"/>
        <tr r="Q26" s="3"/>
        <tr r="Q25" s="3"/>
        <tr r="Q24" s="3"/>
        <tr r="Q23" s="3"/>
        <tr r="Q22" s="3"/>
        <tr r="Q21" s="3"/>
        <tr r="Q20" s="3"/>
        <tr r="Q19" s="3"/>
        <tr r="Q18" s="3"/>
        <tr r="Q17" s="3"/>
      </tp>
      <tp t="e">
        <v>#N/A</v>
        <stp/>
        <stp>BDP|16533889800785795773</stp>
        <tr r="F12" s="1"/>
      </tp>
      <tp t="e">
        <v>#N/A</v>
        <stp/>
        <stp>BDP|16688681144019300153</stp>
        <tr r="H56" s="1"/>
        <tr r="H56" s="1"/>
      </tp>
      <tp t="e">
        <v>#N/A</v>
        <stp/>
        <stp>BDP|14883704594565909390</stp>
        <tr r="AK91" s="1"/>
        <tr r="AK91" s="1"/>
        <tr r="AK91" s="1"/>
        <tr r="AK76" s="1"/>
        <tr r="AK76" s="1"/>
        <tr r="AK76" s="1"/>
        <tr r="AK55" s="1"/>
        <tr r="AK55" s="1"/>
        <tr r="AK55" s="1"/>
        <tr r="AK48" s="1"/>
        <tr r="AK48" s="1"/>
        <tr r="AK48" s="1"/>
        <tr r="AK26" s="1"/>
        <tr r="AK26" s="1"/>
        <tr r="AK26" s="1"/>
        <tr r="AK157" s="1"/>
        <tr r="AK157" s="1"/>
        <tr r="AK157" s="1"/>
        <tr r="AK142" s="1"/>
        <tr r="AK142" s="1"/>
        <tr r="AK142" s="1"/>
        <tr r="AK132" s="1"/>
        <tr r="AK132" s="1"/>
        <tr r="AK132" s="1"/>
        <tr r="AK120" s="1"/>
        <tr r="AK120" s="1"/>
        <tr r="AK120" s="1"/>
        <tr r="AK100" s="1"/>
        <tr r="AK100" s="1"/>
        <tr r="AK100" s="1"/>
      </tp>
      <tp t="e">
        <v>#N/A</v>
        <stp/>
        <stp>BDP|13997907825267134312</stp>
        <tr r="Q119" s="3"/>
        <tr r="Q118" s="3"/>
        <tr r="Q117" s="3"/>
        <tr r="Q116" s="3"/>
      </tp>
      <tp t="e">
        <v>#N/A</v>
        <stp/>
        <stp>BDP|14642891339466189583</stp>
        <tr r="M102" s="3"/>
        <tr r="M102" s="3"/>
        <tr r="M102" s="3"/>
        <tr r="M101" s="3"/>
        <tr r="M101" s="3"/>
        <tr r="M101" s="3"/>
        <tr r="M100" s="3"/>
        <tr r="M100" s="3"/>
        <tr r="M100" s="3"/>
      </tp>
      <tp t="e">
        <v>#N/A</v>
        <stp/>
        <stp>BDP|16719653843758808060</stp>
        <tr r="F88" s="1"/>
      </tp>
      <tp t="e">
        <v>#N/A</v>
        <stp/>
        <stp>BDP|16512055096577083482</stp>
        <tr r="AO69" s="1"/>
        <tr r="AO57" s="1"/>
      </tp>
      <tp t="e">
        <v>#N/A</v>
        <stp/>
        <stp>BDP|15894462319798861415</stp>
        <tr r="H141" s="1"/>
        <tr r="H141" s="1"/>
        <tr r="H131" s="1"/>
        <tr r="H131" s="1"/>
      </tp>
      <tp t="e">
        <v>#N/A</v>
        <stp/>
        <stp>BDP|10174761889260906399</stp>
        <tr r="AE94" s="3"/>
        <tr r="AE94" s="3"/>
        <tr r="AE94" s="3"/>
        <tr r="AE93" s="3"/>
        <tr r="AE93" s="3"/>
        <tr r="AE93" s="3"/>
        <tr r="AE92" s="3"/>
        <tr r="AE92" s="3"/>
        <tr r="AE92" s="3"/>
        <tr r="AE91" s="3"/>
        <tr r="AE91" s="3"/>
        <tr r="AE91" s="3"/>
        <tr r="AE90" s="3"/>
        <tr r="AE90" s="3"/>
        <tr r="AE90" s="3"/>
        <tr r="AE89" s="3"/>
        <tr r="AE89" s="3"/>
        <tr r="AE89" s="3"/>
        <tr r="AE88" s="3"/>
        <tr r="AE88" s="3"/>
        <tr r="AE88" s="3"/>
        <tr r="AE87" s="3"/>
        <tr r="AE87" s="3"/>
        <tr r="AE87" s="3"/>
        <tr r="AE86" s="3"/>
        <tr r="AE86" s="3"/>
        <tr r="AE86" s="3"/>
        <tr r="AE85" s="3"/>
        <tr r="AE85" s="3"/>
        <tr r="AE85" s="3"/>
        <tr r="AE84" s="3"/>
        <tr r="AE84" s="3"/>
        <tr r="AE84" s="3"/>
        <tr r="AE83" s="3"/>
        <tr r="AE83" s="3"/>
        <tr r="AE83" s="3"/>
        <tr r="AE82" s="3"/>
        <tr r="AE82" s="3"/>
        <tr r="AE82" s="3"/>
        <tr r="AE81" s="3"/>
        <tr r="AE81" s="3"/>
        <tr r="AE81" s="3"/>
        <tr r="AE80" s="3"/>
        <tr r="AE80" s="3"/>
        <tr r="AE80" s="3"/>
        <tr r="AE79" s="3"/>
        <tr r="AE79" s="3"/>
        <tr r="AE79" s="3"/>
      </tp>
      <tp t="e">
        <v>#N/A</v>
        <stp/>
        <stp>BDP|11077904200854803069</stp>
        <tr r="L16" s="3"/>
      </tp>
      <tp t="e">
        <v>#N/A</v>
        <stp/>
        <stp>BDP|11034755839289241001</stp>
        <tr r="AR50" s="3"/>
        <tr r="AR50" s="3"/>
        <tr r="AR50" s="3"/>
        <tr r="AR49" s="3"/>
        <tr r="AR49" s="3"/>
        <tr r="AR49" s="3"/>
        <tr r="AR48" s="3"/>
        <tr r="AR48" s="3"/>
        <tr r="AR48" s="3"/>
        <tr r="AR47" s="3"/>
        <tr r="AR47" s="3"/>
        <tr r="AR47" s="3"/>
        <tr r="AR46" s="3"/>
        <tr r="AR46" s="3"/>
        <tr r="AR46" s="3"/>
        <tr r="AR45" s="3"/>
        <tr r="AR45" s="3"/>
        <tr r="AR45" s="3"/>
        <tr r="AR44" s="3"/>
        <tr r="AR44" s="3"/>
        <tr r="AR44" s="3"/>
        <tr r="AR43" s="3"/>
        <tr r="AR43" s="3"/>
        <tr r="AR43" s="3"/>
        <tr r="AR42" s="3"/>
        <tr r="AR42" s="3"/>
        <tr r="AR42" s="3"/>
        <tr r="AR41" s="3"/>
        <tr r="AR41" s="3"/>
        <tr r="AR41" s="3"/>
        <tr r="AR40" s="3"/>
        <tr r="AR40" s="3"/>
        <tr r="AR40" s="3"/>
        <tr r="AR39" s="3"/>
        <tr r="AR39" s="3"/>
        <tr r="AR39" s="3"/>
        <tr r="AR38" s="3"/>
        <tr r="AR38" s="3"/>
        <tr r="AR38" s="3"/>
        <tr r="AR37" s="3"/>
        <tr r="AR37" s="3"/>
        <tr r="AR37" s="3"/>
        <tr r="AR36" s="3"/>
        <tr r="AR36" s="3"/>
        <tr r="AR36" s="3"/>
        <tr r="AR35" s="3"/>
        <tr r="AR35" s="3"/>
        <tr r="AR35" s="3"/>
      </tp>
      <tp t="e">
        <v>#N/A</v>
        <stp/>
        <stp>BDP|15608341873645759885</stp>
        <tr r="AK52" s="1"/>
        <tr r="AK52" s="1"/>
        <tr r="AK52" s="1"/>
      </tp>
      <tp t="e">
        <v>#N/A</v>
        <stp/>
        <stp>BDP|17691544997243358460</stp>
        <tr r="Q110" s="1"/>
      </tp>
      <tp t="e">
        <v>#N/A</v>
        <stp/>
        <stp>BDP|10584899074776186593</stp>
        <tr r="Y87" s="1"/>
      </tp>
      <tp t="e">
        <v>#N/A</v>
        <stp/>
        <stp>BDP|16027888010187027488</stp>
        <tr r="M90" s="1"/>
        <tr r="M90" s="1"/>
      </tp>
      <tp t="e">
        <v>#N/A</v>
        <stp/>
        <stp>BDP|13024920003565016328</stp>
        <tr r="AS64" s="1"/>
        <tr r="L64" s="1"/>
        <tr r="L64" s="1"/>
      </tp>
      <tp t="e">
        <v>#N/A</v>
        <stp/>
        <stp>BDP|12081321580457373224</stp>
        <tr r="M104" s="1"/>
        <tr r="M104" s="1"/>
      </tp>
      <tp t="e">
        <v>#N/A</v>
        <stp/>
        <stp>BDP|10618655294117124456</stp>
        <tr r="H94" s="1"/>
        <tr r="H94" s="1"/>
        <tr r="H151" s="1"/>
        <tr r="H151" s="1"/>
        <tr r="H123" s="1"/>
        <tr r="H123" s="1"/>
        <tr r="H101" s="1"/>
        <tr r="H101" s="1"/>
      </tp>
      <tp t="e">
        <v>#N/A</v>
        <stp/>
        <stp>BDP|14300006905440173845</stp>
        <tr r="AJ93" s="1"/>
        <tr r="AJ93" s="1"/>
      </tp>
      <tp t="e">
        <v>#N/A</v>
        <stp/>
        <stp>BDP|17377529479390292992</stp>
        <tr r="M78" s="3"/>
        <tr r="M78" s="3"/>
        <tr r="M78" s="3"/>
        <tr r="M77" s="3"/>
        <tr r="M77" s="3"/>
        <tr r="M77" s="3"/>
        <tr r="M76" s="3"/>
        <tr r="M76" s="3"/>
        <tr r="M76" s="3"/>
        <tr r="M75" s="3"/>
        <tr r="M75" s="3"/>
        <tr r="M75" s="3"/>
        <tr r="M74" s="3"/>
        <tr r="M74" s="3"/>
        <tr r="M74" s="3"/>
        <tr r="M73" s="3"/>
        <tr r="M73" s="3"/>
        <tr r="M73" s="3"/>
      </tp>
      <tp t="e">
        <v>#N/A</v>
        <stp/>
        <stp>BDP|12484954346530071354</stp>
        <tr r="Z64" s="1"/>
      </tp>
    </main>
    <main first="bloomberg.rtd">
      <tp t="s">
        <v>#N/A Invalid Override</v>
        <stp/>
        <stp>##V3_BDPV12</stp>
        <stp>XS2081020872 isin</stp>
        <stp>YAS_BOND_YLD</stp>
        <stp>[DPM - Securities Master List (BBG Linked).xlsx]Bonds!R32C10</stp>
        <stp>YAS_YLD_FLAG=15</stp>
        <stp>user_local_trade_date</stp>
        <stp>45783</stp>
        <stp>Yas_bond_px</stp>
        <stp>#N/A Connection</stp>
        <tr r="J32" s="1"/>
      </tp>
    </main>
    <main first="bofaddin.rtdserver">
      <tp t="e">
        <v>#N/A</v>
        <stp/>
        <stp>BDP|18107463026557580510</stp>
        <tr r="Q51" s="1"/>
      </tp>
      <tp t="e">
        <v>#N/A</v>
        <stp/>
        <stp>BDP|14667495110785379893</stp>
        <tr r="N19" s="1"/>
      </tp>
      <tp t="e">
        <v>#N/A</v>
        <stp/>
        <stp>BDP|17336190876364915906</stp>
        <tr r="N73" s="1"/>
        <tr r="N168" s="1"/>
      </tp>
      <tp t="e">
        <v>#N/A</v>
        <stp/>
        <stp>BDP|17719340781139033975</stp>
        <tr r="AM78" s="1"/>
        <tr r="AM78" s="1"/>
        <tr r="AM154" s="1"/>
        <tr r="AM154" s="1"/>
        <tr r="AM149" s="1"/>
        <tr r="AM149" s="1"/>
        <tr r="AM124" s="1"/>
        <tr r="AM124" s="1"/>
      </tp>
      <tp t="e">
        <v>#N/A</v>
        <stp/>
        <stp>BDP|14599808685918783024</stp>
        <tr r="H13" s="1"/>
      </tp>
      <tp t="e">
        <v>#N/A</v>
        <stp/>
        <stp>BDP|16014651262723686954</stp>
        <tr r="M130" s="1"/>
        <tr r="M130" s="1"/>
      </tp>
      <tp t="e">
        <v>#N/A</v>
        <stp/>
        <stp>BDP|15977944468940024611</stp>
        <tr r="X97" s="1"/>
        <tr r="X75" s="1"/>
        <tr r="X60" s="1"/>
        <tr r="X40" s="1"/>
        <tr r="X4" s="1"/>
        <tr r="X25" s="1"/>
        <tr r="X163" s="1"/>
        <tr r="X117" s="1"/>
      </tp>
      <tp t="e">
        <v>#N/A</v>
        <stp/>
        <stp>BDP|11222921670515787636</stp>
        <tr r="H91" s="1"/>
        <tr r="H91" s="1"/>
        <tr r="H76" s="1"/>
        <tr r="H76" s="1"/>
        <tr r="H55" s="1"/>
        <tr r="H55" s="1"/>
        <tr r="H48" s="1"/>
        <tr r="H48" s="1"/>
        <tr r="H26" s="1"/>
        <tr r="H26" s="1"/>
        <tr r="H157" s="1"/>
        <tr r="H157" s="1"/>
        <tr r="H142" s="1"/>
        <tr r="H142" s="1"/>
        <tr r="H132" s="1"/>
        <tr r="H132" s="1"/>
        <tr r="H120" s="1"/>
        <tr r="H120" s="1"/>
        <tr r="H100" s="1"/>
        <tr r="H100" s="1"/>
      </tp>
      <tp t="e">
        <v>#N/A</v>
        <stp/>
        <stp>BDP|14657047883086258678</stp>
        <tr r="H17" s="1"/>
        <tr r="H17" s="1"/>
        <tr r="H112" s="1"/>
        <tr r="H112" s="1"/>
      </tp>
      <tp t="e">
        <v>#N/A</v>
        <stp/>
        <stp>BDP|12140868313312678553</stp>
        <tr r="AA68" s="1"/>
        <tr r="AA31" s="1"/>
      </tp>
      <tp t="e">
        <v>#N/A</v>
        <stp/>
        <stp>BDP|17819472169949933086</stp>
        <tr r="H63" s="1"/>
        <tr r="H63" s="1"/>
      </tp>
      <tp t="e">
        <v>#N/A</v>
        <stp/>
        <stp>BDP|16067341286826082758</stp>
        <tr r="H12" s="1"/>
        <tr r="H12" s="1"/>
      </tp>
      <tp t="e">
        <v>#N/A</v>
        <stp/>
        <stp>BDP|12148258423119517750</stp>
        <tr r="N46" s="1"/>
        <tr r="N144" s="1"/>
        <tr r="N134" s="1"/>
      </tp>
      <tp t="e">
        <v>#N/A</v>
        <stp/>
        <stp>BDP|14183971272390156628</stp>
        <tr r="W64" s="1"/>
      </tp>
      <tp t="e">
        <v>#N/A</v>
        <stp/>
        <stp>BDP|14765090199380900193</stp>
        <tr r="H9" s="1"/>
        <tr r="H9" s="1"/>
      </tp>
      <tp t="e">
        <v>#N/A</v>
        <stp/>
        <stp>BDP|11080882328113488437</stp>
        <tr r="K94" s="3"/>
        <tr r="K93" s="3"/>
        <tr r="K92" s="3"/>
        <tr r="K91" s="3"/>
        <tr r="K90" s="3"/>
        <tr r="K89" s="3"/>
        <tr r="K88" s="3"/>
        <tr r="K87" s="3"/>
        <tr r="K86" s="3"/>
        <tr r="K85" s="3"/>
        <tr r="K84" s="3"/>
        <tr r="K83" s="3"/>
        <tr r="K82" s="3"/>
        <tr r="K81" s="3"/>
        <tr r="K80" s="3"/>
        <tr r="K79" s="3"/>
      </tp>
      <tp t="e">
        <v>#N/A</v>
        <stp/>
        <stp>BDP|16422453493952358574</stp>
        <tr r="X7" s="1"/>
        <tr r="X14" s="1"/>
        <tr r="X108" s="1"/>
      </tp>
      <tp t="e">
        <v>#N/A</v>
        <stp/>
        <stp>BDP|14118343550807079930</stp>
        <tr r="K86" s="1"/>
        <tr r="K133" s="1"/>
      </tp>
    </main>
    <main first="bloomberg.rtd">
      <tp>
        <v>788.5</v>
        <stp/>
        <stp>##V3_BDPV12</stp>
        <stp>REGN Equity</stp>
        <stp>BEST_TARGET_PRICE</stp>
        <stp>[DPM - Securities Master List (BBG Linked).xlsx]Equities!R240C38</stp>
        <tr r="AL240" s="2"/>
      </tp>
      <tp t="s">
        <v>Baidu Inc</v>
        <stp/>
        <stp>##V3_BDPV12</stp>
        <stp>9888 HK Equity</stp>
        <stp>SECURITY NAME</stp>
        <stp>[DPM - Securities Master List (BBG Linked).xlsx]Equities!R20C5</stp>
        <tr r="E20" s="2"/>
      </tp>
      <tp>
        <v>2474.181884765625</v>
        <stp/>
        <stp>##V3_BDPV12</stp>
        <stp>DGE LN Equity</stp>
        <stp>BEST_TARGET_PRICE</stp>
        <stp>[DPM - Securities Master List (BBG Linked).xlsx]Equities!R111C38</stp>
        <tr r="AL111" s="2"/>
      </tp>
      <tp>
        <v>2474.181884765625</v>
        <stp/>
        <stp>##V3_BDPV12</stp>
        <stp>DGE LN Equity</stp>
        <stp>BEST_TARGET_PRICE</stp>
        <stp>[DPM - Securities Master List (BBG Linked).xlsx]Equities!R110C38</stp>
        <tr r="AL110" s="2"/>
      </tp>
      <tp>
        <v>2474.181884765625</v>
        <stp/>
        <stp>##V3_BDPV12</stp>
        <stp>DGE LN Equity</stp>
        <stp>BEST_TARGET_PRICE</stp>
        <stp>[DPM - Securities Master List (BBG Linked).xlsx]Equities!R109C38</stp>
        <tr r="AL109" s="2"/>
      </tp>
      <tp>
        <v>2474.181884765625</v>
        <stp/>
        <stp>##V3_BDPV12</stp>
        <stp>DGE LN Equity</stp>
        <stp>BEST_TARGET_PRICE</stp>
        <stp>[DPM - Securities Master List (BBG Linked).xlsx]Equities!R108C38</stp>
        <tr r="AL108" s="2"/>
      </tp>
    </main>
    <main first="bofaddin.rtdserver">
      <tp t="e">
        <v>#N/A</v>
        <stp/>
        <stp>BDP|12702247970922835822</stp>
        <tr r="AT105" s="1"/>
      </tp>
      <tp t="e">
        <v>#N/A</v>
        <stp/>
        <stp>BDP|16288795544208723010</stp>
        <tr r="AO67" s="1"/>
        <tr r="AO43" s="1"/>
        <tr r="AO30" s="1"/>
        <tr r="AO3" s="1"/>
        <tr r="AO21" s="1"/>
        <tr r="AO166" s="1"/>
        <tr r="AO147" s="1"/>
        <tr r="AO125" s="1"/>
        <tr r="AO114" s="1"/>
      </tp>
      <tp t="e">
        <v>#N/A</v>
        <stp/>
        <stp>BDP|12073502432799837031</stp>
        <tr r="I152" s="1"/>
        <tr r="I74" s="1"/>
        <tr r="I137" s="1"/>
        <tr r="I61" s="1"/>
        <tr r="I119" s="1"/>
        <tr r="I23" s="1"/>
        <tr r="I165" s="1"/>
        <tr r="I16" s="1"/>
        <tr r="I99" s="1"/>
        <tr r="I38" s="1"/>
        <tr r="I146" s="1"/>
        <tr r="I111" s="1"/>
      </tp>
      <tp t="e">
        <v>#N/A</v>
        <stp/>
        <stp>BDP|10429904201355414183</stp>
        <tr r="AS83" s="1"/>
        <tr r="AS50" s="1"/>
      </tp>
      <tp t="e">
        <v>#N/A</v>
        <stp/>
        <stp>BDP|18214773675725935001</stp>
        <tr r="E8" s="1"/>
        <tr r="E106" s="1"/>
      </tp>
      <tp t="e">
        <v>#N/A</v>
        <stp/>
        <stp>BDP|12997636701018069136</stp>
        <tr r="K114" s="3"/>
        <tr r="K113" s="3"/>
        <tr r="K112" s="3"/>
      </tp>
      <tp t="e">
        <v>#N/A</v>
        <stp/>
        <stp>BDP|13504698736773222802</stp>
        <tr r="AT114" s="3"/>
        <tr r="AT114" s="3"/>
        <tr r="AT114" s="3"/>
        <tr r="AT113" s="3"/>
        <tr r="AT113" s="3"/>
        <tr r="AT113" s="3"/>
        <tr r="AT112" s="3"/>
        <tr r="AT112" s="3"/>
        <tr r="AT112" s="3"/>
      </tp>
      <tp t="e">
        <v>#N/A</v>
        <stp/>
        <stp>BDP|14172962453991546495</stp>
        <tr r="AE34" s="1"/>
        <tr r="AE156" s="1"/>
      </tp>
      <tp t="e">
        <v>#N/A</v>
        <stp/>
        <stp>BDP|17479070748439247717</stp>
        <tr r="Q72" s="1"/>
        <tr r="Q33" s="1"/>
        <tr r="Q158" s="1"/>
      </tp>
    </main>
    <main first="bloomberg.rtd">
      <tp>
        <v>2225.27783203125</v>
        <stp/>
        <stp>##V3_BDPV12</stp>
        <stp>ABF LN Equity</stp>
        <stp>BEST_TARGET_PRICE</stp>
        <stp>[DPM - Securities Master List (BBG Linked).xlsx]Equities!R35C38</stp>
        <tr r="AL35" s="2"/>
      </tp>
    </main>
    <main first="bofaddin.rtdserver">
      <tp t="e">
        <v>#N/A</v>
        <stp/>
        <stp>BDP|12974279147781630845</stp>
        <tr r="Q99" s="1"/>
        <tr r="Q146" s="1"/>
        <tr r="Q61" s="1"/>
        <tr r="Q119" s="1"/>
        <tr r="Q38" s="1"/>
        <tr r="Q111" s="1"/>
        <tr r="Q165" s="1"/>
        <tr r="Q16" s="1"/>
        <tr r="Q152" s="1"/>
        <tr r="Q23" s="1"/>
        <tr r="Q137" s="1"/>
        <tr r="Q74" s="1"/>
      </tp>
      <tp t="e">
        <v>#N/A</v>
        <stp/>
        <stp>BDP|10389945717977817236</stp>
        <tr r="AS47" s="1"/>
      </tp>
      <tp t="e">
        <v>#N/A</v>
        <stp/>
        <stp>BDP|18026546302883831359</stp>
        <tr r="AJ145" s="1"/>
        <tr r="AJ145" s="1"/>
        <tr r="AJ136" s="1"/>
        <tr r="AJ136" s="1"/>
      </tp>
      <tp t="e">
        <v>#N/A</v>
        <stp/>
        <stp>BDP|11502546199298730841</stp>
        <tr r="AL87" s="1"/>
      </tp>
      <tp t="e">
        <v>#N/A</v>
        <stp/>
        <stp>BDP|16554819628991171067</stp>
        <tr r="I30" s="8"/>
        <tr r="G30" s="8"/>
      </tp>
      <tp t="e">
        <v>#N/A</v>
        <stp/>
        <stp>BDP|15439930658911048524</stp>
        <tr r="AS96" s="1"/>
        <tr r="AS77" s="1"/>
        <tr r="AS65" s="1"/>
        <tr r="AS36" s="1"/>
        <tr r="AS27" s="1"/>
        <tr r="AS162" s="1"/>
      </tp>
      <tp t="e">
        <v>#N/A</v>
        <stp/>
        <stp>BDP|15415435440930270889</stp>
        <tr r="K110" s="1"/>
      </tp>
      <tp t="e">
        <v>#N/A</v>
        <stp/>
        <stp>BDP|13928533692834781623</stp>
        <tr r="N163" s="1"/>
        <tr r="N75" s="1"/>
        <tr r="N60" s="1"/>
        <tr r="N40" s="1"/>
        <tr r="N4" s="1"/>
        <tr r="N25" s="1"/>
        <tr r="N117" s="1"/>
        <tr r="N97" s="1"/>
      </tp>
      <tp t="e">
        <v>#N/A</v>
        <stp/>
        <stp>BDP|16801742796624169163</stp>
        <tr r="AH114" s="3"/>
        <tr r="AH114" s="3"/>
        <tr r="AH114" s="3"/>
        <tr r="AH113" s="3"/>
        <tr r="AH113" s="3"/>
        <tr r="AH113" s="3"/>
        <tr r="AH112" s="3"/>
        <tr r="AH112" s="3"/>
        <tr r="AH112" s="3"/>
      </tp>
      <tp t="e">
        <v>#N/A</v>
        <stp/>
        <stp>BDP|15332120861188833757</stp>
        <tr r="I67" s="1"/>
        <tr r="I43" s="1"/>
        <tr r="I30" s="1"/>
        <tr r="I3" s="1"/>
        <tr r="I21" s="1"/>
        <tr r="I166" s="1"/>
        <tr r="I147" s="1"/>
        <tr r="I125" s="1"/>
        <tr r="I114" s="1"/>
      </tp>
      <tp t="e">
        <v>#N/A</v>
        <stp/>
        <stp>BDP|17779256787619107993</stp>
        <tr r="AT72" s="1"/>
        <tr r="AT33" s="1"/>
        <tr r="AT158" s="1"/>
      </tp>
      <tp t="e">
        <v>#N/A</v>
        <stp/>
        <stp>BDP|16831384415850156987</stp>
        <tr r="Z52" s="1"/>
      </tp>
      <tp t="e">
        <v>#N/A</v>
        <stp/>
        <stp>BDP|13219979452113840131</stp>
        <tr r="AL94" s="1"/>
        <tr r="AL151" s="1"/>
        <tr r="AL123" s="1"/>
        <tr r="AL101" s="1"/>
      </tp>
      <tp t="e">
        <v>#N/A</v>
        <stp/>
        <stp>BDP|17636877324449889918</stp>
        <tr r="Q80" s="1"/>
        <tr r="Q58" s="1"/>
        <tr r="Q28" s="1"/>
        <tr r="Q161" s="1"/>
        <tr r="Q121" s="1"/>
        <tr r="Q10" s="1"/>
      </tp>
      <tp t="e">
        <v>#N/A</v>
        <stp/>
        <stp>BDP|18046275949867471469</stp>
        <tr r="AV111" s="3"/>
        <tr r="AV111" s="3"/>
        <tr r="AV110" s="3"/>
        <tr r="AV110" s="3"/>
        <tr r="AV109" s="3"/>
        <tr r="AV109" s="3"/>
        <tr r="AV108" s="3"/>
        <tr r="AV108" s="3"/>
        <tr r="AV107" s="3"/>
        <tr r="AV107" s="3"/>
        <tr r="AV106" s="3"/>
        <tr r="AV106" s="3"/>
        <tr r="AV105" s="3"/>
        <tr r="AV105" s="3"/>
        <tr r="AV104" s="3"/>
        <tr r="AV104" s="3"/>
      </tp>
      <tp t="e">
        <v>#N/A</v>
        <stp/>
        <stp>BDP|17961672078182991938</stp>
        <tr r="AO103" s="1"/>
      </tp>
      <tp t="e">
        <v>#N/A</v>
        <stp/>
        <stp>BDP|12641891361444257526</stp>
        <tr r="AJ74" s="1"/>
        <tr r="AJ74" s="1"/>
        <tr r="AJ38" s="1"/>
        <tr r="AJ38" s="1"/>
        <tr r="AJ23" s="1"/>
        <tr r="AJ23" s="1"/>
        <tr r="AJ165" s="1"/>
        <tr r="AJ165" s="1"/>
        <tr r="AJ16" s="1"/>
        <tr r="AJ16" s="1"/>
        <tr r="AJ152" s="1"/>
        <tr r="AJ152" s="1"/>
        <tr r="AJ146" s="1"/>
        <tr r="AJ146" s="1"/>
        <tr r="AJ137" s="1"/>
        <tr r="AJ137" s="1"/>
        <tr r="AJ119" s="1"/>
        <tr r="AJ119" s="1"/>
        <tr r="AJ111" s="1"/>
        <tr r="AJ111" s="1"/>
        <tr r="AJ99" s="1"/>
        <tr r="AJ99" s="1"/>
        <tr r="AJ61" s="1"/>
        <tr r="AJ61" s="1"/>
      </tp>
      <tp t="e">
        <v>#N/A</v>
        <stp/>
        <stp>BDP|18036781812523470005</stp>
        <tr r="H35" s="1"/>
        <tr r="H35" s="1"/>
        <tr r="H24" s="1"/>
        <tr r="H24" s="1"/>
        <tr r="H153" s="1"/>
        <tr r="H153" s="1"/>
      </tp>
      <tp t="e">
        <v>#N/A</v>
        <stp/>
        <stp>BDP|14590536415355302813</stp>
        <tr r="W93" s="1"/>
      </tp>
      <tp t="e">
        <v>#N/A</v>
        <stp/>
        <stp>BDP|14073988036107996463</stp>
        <tr r="M67" s="1"/>
        <tr r="M67" s="1"/>
        <tr r="M43" s="1"/>
        <tr r="M43" s="1"/>
        <tr r="M30" s="1"/>
        <tr r="M30" s="1"/>
        <tr r="M3" s="1"/>
        <tr r="M3" s="1"/>
        <tr r="M21" s="1"/>
        <tr r="M21" s="1"/>
        <tr r="M166" s="1"/>
        <tr r="M166" s="1"/>
        <tr r="M147" s="1"/>
        <tr r="M147" s="1"/>
        <tr r="M125" s="1"/>
        <tr r="M125" s="1"/>
        <tr r="M114" s="1"/>
        <tr r="M114" s="1"/>
      </tp>
    </main>
    <main first="bofaddin.rtdserver">
      <tp t="e">
        <v>#N/A</v>
        <stp/>
        <stp>BDP|18238826179429888312</stp>
        <tr r="AE20" s="1"/>
      </tp>
      <tp t="e">
        <v>#N/A</v>
        <stp/>
        <stp>BDP|16772510340672509833</stp>
        <tr r="W139" s="1"/>
        <tr r="W129" s="1"/>
      </tp>
      <tp t="e">
        <v>#N/A</v>
        <stp/>
        <stp>BDP|18161215321630773560</stp>
        <tr r="F82" s="1"/>
        <tr r="F39" s="1"/>
        <tr r="F22" s="1"/>
        <tr r="F167" s="1"/>
      </tp>
      <tp t="e">
        <v>#N/A</v>
        <stp/>
        <stp>BDP|10962339069079796165</stp>
        <tr r="W17" s="1"/>
        <tr r="W112" s="1"/>
      </tp>
      <tp t="e">
        <v>#N/A</v>
        <stp/>
        <stp>BDP|16906626062269806235</stp>
        <tr r="X8" s="1"/>
        <tr r="X106" s="1"/>
      </tp>
      <tp t="e">
        <v>#N/A</v>
        <stp/>
        <stp>BDP|12221562620900011868</stp>
        <tr r="V67" s="1"/>
        <tr r="V43" s="1"/>
        <tr r="V30" s="1"/>
        <tr r="V3" s="1"/>
        <tr r="V21" s="1"/>
        <tr r="V166" s="1"/>
        <tr r="V147" s="1"/>
        <tr r="V125" s="1"/>
        <tr r="V114" s="1"/>
      </tp>
      <tp t="e">
        <v>#N/A</v>
        <stp/>
        <stp>BDP|11455511357194702872</stp>
        <tr r="AA69" s="1"/>
        <tr r="AA57" s="1"/>
      </tp>
      <tp t="e">
        <v>#N/A</v>
        <stp/>
        <stp>BDP|15020617180461639754</stp>
        <tr r="N37" s="1"/>
        <tr r="N29" s="1"/>
        <tr r="N164" s="1"/>
        <tr r="N135" s="1"/>
        <tr r="N81" s="1"/>
        <tr r="N59" s="1"/>
        <tr r="N41" s="1"/>
        <tr r="N89" s="1"/>
      </tp>
      <tp t="e">
        <v>#N/A</v>
        <stp/>
        <stp>BDP|17607652497742501733</stp>
        <tr r="AK72" s="3"/>
        <tr r="AK72" s="3"/>
        <tr r="AK72" s="3"/>
        <tr r="AK71" s="3"/>
        <tr r="AK71" s="3"/>
        <tr r="AK71" s="3"/>
        <tr r="AK70" s="3"/>
        <tr r="AK70" s="3"/>
        <tr r="AK70" s="3"/>
        <tr r="AK69" s="3"/>
        <tr r="AK69" s="3"/>
        <tr r="AK69" s="3"/>
        <tr r="AK68" s="3"/>
        <tr r="AK68" s="3"/>
        <tr r="AK68" s="3"/>
        <tr r="AK67" s="3"/>
        <tr r="AK67" s="3"/>
        <tr r="AK67" s="3"/>
        <tr r="AK66" s="3"/>
        <tr r="AK66" s="3"/>
        <tr r="AK66" s="3"/>
        <tr r="AK65" s="3"/>
        <tr r="AK65" s="3"/>
        <tr r="AK65" s="3"/>
      </tp>
      <tp t="e">
        <v>#N/A</v>
        <stp/>
        <stp>BDP|15649548927407717873</stp>
        <tr r="Q145" s="1"/>
        <tr r="Q136" s="1"/>
      </tp>
      <tp t="e">
        <v>#N/A</v>
        <stp/>
        <stp>BDP|13464728680630411177</stp>
        <tr r="E73" s="1"/>
        <tr r="E168" s="1"/>
      </tp>
      <tp t="e">
        <v>#N/A</v>
        <stp/>
        <stp>BDP|11015894104266139298</stp>
        <tr r="AS11" s="1"/>
        <tr r="AS102" s="1"/>
        <tr r="L11" s="1"/>
        <tr r="L11" s="1"/>
        <tr r="L102" s="1"/>
        <tr r="L102" s="1"/>
      </tp>
      <tp t="e">
        <v>#N/A</v>
        <stp/>
        <stp>BDP|12231558868145349998</stp>
        <tr r="Y86" s="1"/>
        <tr r="Y133" s="1"/>
      </tp>
      <tp t="e">
        <v>#N/A</v>
        <stp/>
        <stp>BDP|18188637005392466173</stp>
        <tr r="AU11" s="1"/>
        <tr r="AU11" s="1"/>
        <tr r="AU11" s="1"/>
        <tr r="AU102" s="1"/>
        <tr r="AU102" s="1"/>
        <tr r="AU102" s="1"/>
      </tp>
      <tp t="e">
        <v>#N/A</v>
        <stp/>
        <stp>BDP|15191263477325044845</stp>
        <tr r="F96" s="1"/>
        <tr r="F77" s="1"/>
        <tr r="F65" s="1"/>
        <tr r="F36" s="1"/>
        <tr r="F27" s="1"/>
        <tr r="F162" s="1"/>
      </tp>
      <tp t="e">
        <v>#N/A</v>
        <stp/>
        <stp>BDP|18045678260330098539</stp>
        <tr r="Y97" s="1"/>
        <tr r="Y75" s="1"/>
        <tr r="Y60" s="1"/>
        <tr r="Y40" s="1"/>
        <tr r="Y4" s="1"/>
        <tr r="Y25" s="1"/>
        <tr r="Y163" s="1"/>
        <tr r="Y117" s="1"/>
      </tp>
      <tp t="e">
        <v>#N/A</v>
        <stp/>
        <stp>BDP|18424475534793450179</stp>
        <tr r="Z9" s="1"/>
      </tp>
      <tp t="e">
        <v>#N/A</v>
        <stp/>
        <stp>BDP|14485747370109041046</stp>
        <tr r="V73" s="1"/>
        <tr r="V168" s="1"/>
      </tp>
      <tp t="e">
        <v>#N/A</v>
        <stp/>
        <stp>BDP|16486880159215589346</stp>
        <tr r="Q90" s="1"/>
      </tp>
      <tp t="e">
        <v>#N/A</v>
        <stp/>
        <stp>BDP|12344220730898016662</stp>
        <tr r="Y83" s="1"/>
        <tr r="Y50" s="1"/>
      </tp>
      <tp t="e">
        <v>#N/A</v>
        <stp/>
        <stp>BDP|13585408281473324105</stp>
        <tr r="AK148" s="1"/>
        <tr r="AK148" s="1"/>
        <tr r="AK148" s="1"/>
        <tr r="AK138" s="1"/>
        <tr r="AK138" s="1"/>
        <tr r="AK138" s="1"/>
      </tp>
      <tp t="e">
        <v>#N/A</v>
        <stp/>
        <stp>BDP|18083859533407028915</stp>
        <tr r="AO34" s="3"/>
        <tr r="AO34" s="3"/>
        <tr r="AO34" s="3"/>
        <tr r="AO33" s="3"/>
        <tr r="AO33" s="3"/>
        <tr r="AO33" s="3"/>
        <tr r="AO32" s="3"/>
        <tr r="AO32" s="3"/>
        <tr r="AO32" s="3"/>
        <tr r="AO31" s="3"/>
        <tr r="AO31" s="3"/>
        <tr r="AO31" s="3"/>
        <tr r="AO30" s="3"/>
        <tr r="AO30" s="3"/>
        <tr r="AO30" s="3"/>
        <tr r="AO29" s="3"/>
        <tr r="AO29" s="3"/>
        <tr r="AO29" s="3"/>
        <tr r="AO28" s="3"/>
        <tr r="AO28" s="3"/>
        <tr r="AO28" s="3"/>
        <tr r="AO27" s="3"/>
        <tr r="AO27" s="3"/>
        <tr r="AO27" s="3"/>
        <tr r="AO26" s="3"/>
        <tr r="AO26" s="3"/>
        <tr r="AO26" s="3"/>
        <tr r="AO25" s="3"/>
        <tr r="AO25" s="3"/>
        <tr r="AO25" s="3"/>
        <tr r="AO24" s="3"/>
        <tr r="AO24" s="3"/>
        <tr r="AO24" s="3"/>
        <tr r="AO23" s="3"/>
        <tr r="AO23" s="3"/>
        <tr r="AO23" s="3"/>
        <tr r="AO22" s="3"/>
        <tr r="AO22" s="3"/>
        <tr r="AO22" s="3"/>
        <tr r="AO21" s="3"/>
        <tr r="AO21" s="3"/>
        <tr r="AO21" s="3"/>
        <tr r="AO20" s="3"/>
        <tr r="AO20" s="3"/>
        <tr r="AO20" s="3"/>
        <tr r="AO19" s="3"/>
        <tr r="AO19" s="3"/>
        <tr r="AO19" s="3"/>
        <tr r="AO18" s="3"/>
        <tr r="AO18" s="3"/>
        <tr r="AO18" s="3"/>
        <tr r="AO17" s="3"/>
        <tr r="AO17" s="3"/>
        <tr r="AO17" s="3"/>
      </tp>
      <tp t="e">
        <v>#N/A</v>
        <stp/>
        <stp>BDP|11625225937464447902</stp>
        <tr r="V99" s="1"/>
        <tr r="V74" s="1"/>
        <tr r="V61" s="1"/>
        <tr r="V38" s="1"/>
        <tr r="V23" s="1"/>
        <tr r="V165" s="1"/>
        <tr r="V16" s="1"/>
        <tr r="V152" s="1"/>
        <tr r="V146" s="1"/>
        <tr r="V137" s="1"/>
        <tr r="V119" s="1"/>
        <tr r="V111" s="1"/>
      </tp>
      <tp t="e">
        <v>#N/A</v>
        <stp/>
        <stp>BDP|17557202440775215913</stp>
        <tr r="AQ129" s="3"/>
        <tr r="AQ129" s="3"/>
        <tr r="AQ129" s="3"/>
        <tr r="AQ128" s="3"/>
        <tr r="AQ128" s="3"/>
        <tr r="AQ128" s="3"/>
        <tr r="AQ127" s="3"/>
        <tr r="AQ127" s="3"/>
        <tr r="AQ127" s="3"/>
        <tr r="AQ126" s="3"/>
        <tr r="AQ126" s="3"/>
        <tr r="AQ126" s="3"/>
        <tr r="AQ125" s="3"/>
        <tr r="AQ125" s="3"/>
        <tr r="AQ125" s="3"/>
        <tr r="AQ124" s="3"/>
        <tr r="AQ124" s="3"/>
        <tr r="AQ124" s="3"/>
        <tr r="AQ123" s="3"/>
        <tr r="AQ123" s="3"/>
        <tr r="AQ123" s="3"/>
        <tr r="AQ122" s="3"/>
        <tr r="AQ122" s="3"/>
        <tr r="AQ122" s="3"/>
        <tr r="AQ121" s="3"/>
        <tr r="AQ121" s="3"/>
        <tr r="AQ121" s="3"/>
        <tr r="AQ120" s="3"/>
        <tr r="AQ120" s="3"/>
        <tr r="AQ120" s="3"/>
      </tp>
      <tp t="e">
        <v>#N/A</v>
        <stp/>
        <stp>BDP|11819815446378117887</stp>
        <tr r="AJ141" s="3"/>
        <tr r="AJ141" s="3"/>
        <tr r="AJ141" s="3"/>
        <tr r="AJ140" s="3"/>
        <tr r="AJ140" s="3"/>
        <tr r="AJ140" s="3"/>
        <tr r="AJ139" s="3"/>
        <tr r="AJ139" s="3"/>
        <tr r="AJ139" s="3"/>
        <tr r="AJ138" s="3"/>
        <tr r="AJ138" s="3"/>
        <tr r="AJ138" s="3"/>
        <tr r="AJ137" s="3"/>
        <tr r="AJ137" s="3"/>
        <tr r="AJ137" s="3"/>
        <tr r="AJ136" s="3"/>
        <tr r="AJ136" s="3"/>
        <tr r="AJ136" s="3"/>
        <tr r="AJ135" s="3"/>
        <tr r="AJ135" s="3"/>
        <tr r="AJ135" s="3"/>
        <tr r="AJ134" s="3"/>
        <tr r="AJ134" s="3"/>
        <tr r="AJ134" s="3"/>
        <tr r="AJ133" s="3"/>
        <tr r="AJ133" s="3"/>
        <tr r="AJ133" s="3"/>
        <tr r="AJ132" s="3"/>
        <tr r="AJ132" s="3"/>
        <tr r="AJ132" s="3"/>
        <tr r="AJ131" s="3"/>
        <tr r="AJ131" s="3"/>
        <tr r="AJ131" s="3"/>
        <tr r="AJ130" s="3"/>
        <tr r="AJ130" s="3"/>
        <tr r="AJ130" s="3"/>
      </tp>
      <tp t="e">
        <v>#N/A</v>
        <stp/>
        <stp>BDP|15234685018747275866</stp>
        <tr r="AU44" s="1"/>
        <tr r="AU44" s="1"/>
        <tr r="AU44" s="1"/>
      </tp>
    </main>
    <main first="bloomberg.rtd">
      <tp>
        <v>13771.337890625</v>
        <stp/>
        <stp>##V3_BDPV12</stp>
        <stp>AZN LN Equity</stp>
        <stp>BEST_TARGET_PRICE</stp>
        <stp>[DPM - Securities Master List (BBG Linked).xlsx]Equities!R58C38</stp>
        <tr r="AL58" s="2"/>
      </tp>
      <tp>
        <v>13771.337890625</v>
        <stp/>
        <stp>##V3_BDPV12</stp>
        <stp>AZN LN Equity</stp>
        <stp>BEST_TARGET_PRICE</stp>
        <stp>[DPM - Securities Master List (BBG Linked).xlsx]Equities!R59C38</stp>
        <tr r="AL59" s="2"/>
      </tp>
      <tp>
        <v>13771.337890625</v>
        <stp/>
        <stp>##V3_BDPV12</stp>
        <stp>AZN LN Equity</stp>
        <stp>BEST_TARGET_PRICE</stp>
        <stp>[DPM - Securities Master List (BBG Linked).xlsx]Equities!R51C38</stp>
        <tr r="AL51" s="2"/>
      </tp>
      <tp>
        <v>13771.337890625</v>
        <stp/>
        <stp>##V3_BDPV12</stp>
        <stp>AZN LN Equity</stp>
        <stp>BEST_TARGET_PRICE</stp>
        <stp>[DPM - Securities Master List (BBG Linked).xlsx]Equities!R52C38</stp>
        <tr r="AL52" s="2"/>
      </tp>
      <tp>
        <v>13771.337890625</v>
        <stp/>
        <stp>##V3_BDPV12</stp>
        <stp>AZN LN Equity</stp>
        <stp>BEST_TARGET_PRICE</stp>
        <stp>[DPM - Securities Master List (BBG Linked).xlsx]Equities!R53C38</stp>
        <tr r="AL53" s="2"/>
      </tp>
      <tp>
        <v>13771.337890625</v>
        <stp/>
        <stp>##V3_BDPV12</stp>
        <stp>AZN LN Equity</stp>
        <stp>BEST_TARGET_PRICE</stp>
        <stp>[DPM - Securities Master List (BBG Linked).xlsx]Equities!R54C38</stp>
        <tr r="AL54" s="2"/>
      </tp>
      <tp>
        <v>13771.337890625</v>
        <stp/>
        <stp>##V3_BDPV12</stp>
        <stp>AZN LN Equity</stp>
        <stp>BEST_TARGET_PRICE</stp>
        <stp>[DPM - Securities Master List (BBG Linked).xlsx]Equities!R55C38</stp>
        <tr r="AL55" s="2"/>
      </tp>
      <tp>
        <v>13771.337890625</v>
        <stp/>
        <stp>##V3_BDPV12</stp>
        <stp>AZN LN Equity</stp>
        <stp>BEST_TARGET_PRICE</stp>
        <stp>[DPM - Securities Master List (BBG Linked).xlsx]Equities!R56C38</stp>
        <tr r="AL56" s="2"/>
      </tp>
      <tp>
        <v>13771.337890625</v>
        <stp/>
        <stp>##V3_BDPV12</stp>
        <stp>AZN LN Equity</stp>
        <stp>BEST_TARGET_PRICE</stp>
        <stp>[DPM - Securities Master List (BBG Linked).xlsx]Equities!R57C38</stp>
        <tr r="AL57" s="2"/>
      </tp>
      <tp>
        <v>13771.337890625</v>
        <stp/>
        <stp>##V3_BDPV12</stp>
        <stp>AZN LN Equity</stp>
        <stp>BEST_TARGET_PRICE</stp>
        <stp>[DPM - Securities Master List (BBG Linked).xlsx]Equities!R60C38</stp>
        <tr r="AL60" s="2"/>
      </tp>
      <tp>
        <v>13771.337890625</v>
        <stp/>
        <stp>##V3_BDPV12</stp>
        <stp>AZN LN Equity</stp>
        <stp>BEST_TARGET_PRICE</stp>
        <stp>[DPM - Securities Master List (BBG Linked).xlsx]Equities!R61C38</stp>
        <tr r="AL61" s="2"/>
      </tp>
      <tp>
        <v>109174.82138964783</v>
        <stp/>
        <stp>##V3_BDPV12</stp>
        <stp>3690 HK Equity</stp>
        <stp>CRNCY_ADJ_MKT_CAP</stp>
        <stp>[DPM - Securities Master List (BBG Linked).xlsx]Equities!R14C9</stp>
        <stp>EQY_FUND_CRNCY=USD</stp>
        <tr r="I14" s="2"/>
      </tp>
      <tp>
        <v>109174.82138964783</v>
        <stp/>
        <stp>##V3_BDPV12</stp>
        <stp>3690 HK Equity</stp>
        <stp>CRNCY_ADJ_MKT_CAP</stp>
        <stp>[DPM - Securities Master List (BBG Linked).xlsx]Equities!R12C9</stp>
        <stp>EQY_FUND_CRNCY=USD</stp>
        <tr r="I12" s="2"/>
      </tp>
      <tp>
        <v>109174.82138964783</v>
        <stp/>
        <stp>##V3_BDPV12</stp>
        <stp>3690 HK Equity</stp>
        <stp>CRNCY_ADJ_MKT_CAP</stp>
        <stp>[DPM - Securities Master List (BBG Linked).xlsx]Equities!R13C9</stp>
        <stp>EQY_FUND_CRNCY=USD</stp>
        <tr r="I13" s="2"/>
      </tp>
      <tp>
        <v>109174.82138964783</v>
        <stp/>
        <stp>##V3_BDPV12</stp>
        <stp>3690 HK Equity</stp>
        <stp>CRNCY_ADJ_MKT_CAP</stp>
        <stp>[DPM - Securities Master List (BBG Linked).xlsx]Equities!R10C9</stp>
        <stp>EQY_FUND_CRNCY=USD</stp>
        <tr r="I10" s="2"/>
      </tp>
      <tp>
        <v>5</v>
        <stp/>
        <stp>##V3_BDPV12</stp>
        <stp>ABF LN Equity</stp>
        <stp>TOT_BUY_REC</stp>
        <stp>[DPM - Securities Master List (BBG Linked).xlsx]Equities!R35C34</stp>
        <tr r="AH35" s="2"/>
      </tp>
      <tp>
        <v>109174.82138964783</v>
        <stp/>
        <stp>##V3_BDPV12</stp>
        <stp>3690 HK Equity</stp>
        <stp>CRNCY_ADJ_MKT_CAP</stp>
        <stp>[DPM - Securities Master List (BBG Linked).xlsx]Equities!R11C9</stp>
        <stp>EQY_FUND_CRNCY=USD</stp>
        <tr r="I11" s="2"/>
      </tp>
      <tp>
        <v>126.90000152587891</v>
        <stp/>
        <stp>##V3_BDPV12</stp>
        <stp>DELL US Equity</stp>
        <stp>BEST_TARGET_PRICE</stp>
        <stp>[DPM - Securities Master List (BBG Linked).xlsx]Equities!R99C38</stp>
        <tr r="AL99" s="2"/>
      </tp>
      <tp>
        <v>126.90000152587891</v>
        <stp/>
        <stp>##V3_BDPV12</stp>
        <stp>DELL US Equity</stp>
        <stp>BEST_TARGET_PRICE</stp>
        <stp>[DPM - Securities Master List (BBG Linked).xlsx]Equities!R98C38</stp>
        <tr r="AL98" s="2"/>
      </tp>
      <tp>
        <v>126.90000152587891</v>
        <stp/>
        <stp>##V3_BDPV12</stp>
        <stp>DELL US Equity</stp>
        <stp>BEST_TARGET_PRICE</stp>
        <stp>[DPM - Securities Master List (BBG Linked).xlsx]Equities!R97C38</stp>
        <tr r="AL97" s="2"/>
      </tp>
      <tp>
        <v>126.90000152587891</v>
        <stp/>
        <stp>##V3_BDPV12</stp>
        <stp>DELL US Equity</stp>
        <stp>BEST_TARGET_PRICE</stp>
        <stp>[DPM - Securities Master List (BBG Linked).xlsx]Equities!R96C38</stp>
        <tr r="AL96" s="2"/>
      </tp>
      <tp>
        <v>126.90000152587891</v>
        <stp/>
        <stp>##V3_BDPV12</stp>
        <stp>DELL US Equity</stp>
        <stp>BEST_TARGET_PRICE</stp>
        <stp>[DPM - Securities Master List (BBG Linked).xlsx]Equities!R95C38</stp>
        <tr r="AL95" s="2"/>
      </tp>
      <tp>
        <v>126.90000152587891</v>
        <stp/>
        <stp>##V3_BDPV12</stp>
        <stp>DELL US Equity</stp>
        <stp>BEST_TARGET_PRICE</stp>
        <stp>[DPM - Securities Master List (BBG Linked).xlsx]Equities!R94C38</stp>
        <tr r="AL94" s="2"/>
      </tp>
      <tp>
        <v>126.90000152587891</v>
        <stp/>
        <stp>##V3_BDPV12</stp>
        <stp>DELL US Equity</stp>
        <stp>BEST_TARGET_PRICE</stp>
        <stp>[DPM - Securities Master List (BBG Linked).xlsx]Equities!R93C38</stp>
        <tr r="AL93" s="2"/>
      </tp>
      <tp>
        <v>126.90000152587891</v>
        <stp/>
        <stp>##V3_BDPV12</stp>
        <stp>DELL US Equity</stp>
        <stp>BEST_TARGET_PRICE</stp>
        <stp>[DPM - Securities Master List (BBG Linked).xlsx]Equities!R92C38</stp>
        <tr r="AL92" s="2"/>
      </tp>
      <tp>
        <v>-17.677219999999998</v>
        <stp/>
        <stp>##V3_BDPV12</stp>
        <stp>ZBH US Equity</stp>
        <stp>CHG_PCT_6M</stp>
        <stp>[DPM - Securities Master List (BBG Linked).xlsx]Equities!R296C42</stp>
        <tr r="AP296" s="2"/>
      </tp>
      <tp>
        <v>-17.677219999999998</v>
        <stp/>
        <stp>##V3_BDPV12</stp>
        <stp>ZBH US Equity</stp>
        <stp>CHG_PCT_6M</stp>
        <stp>[DPM - Securities Master List (BBG Linked).xlsx]Equities!R297C42</stp>
        <tr r="AP297" s="2"/>
      </tp>
      <tp>
        <v>-17.677219999999998</v>
        <stp/>
        <stp>##V3_BDPV12</stp>
        <stp>ZBH US Equity</stp>
        <stp>CHG_PCT_6M</stp>
        <stp>[DPM - Securities Master List (BBG Linked).xlsx]Equities!R294C42</stp>
        <tr r="AP294" s="2"/>
      </tp>
      <tp>
        <v>-17.677219999999998</v>
        <stp/>
        <stp>##V3_BDPV12</stp>
        <stp>ZBH US Equity</stp>
        <stp>CHG_PCT_6M</stp>
        <stp>[DPM - Securities Master List (BBG Linked).xlsx]Equities!R295C42</stp>
        <tr r="AP295" s="2"/>
      </tp>
      <tp>
        <v>-17.677219999999998</v>
        <stp/>
        <stp>##V3_BDPV12</stp>
        <stp>ZBH US Equity</stp>
        <stp>CHG_PCT_6M</stp>
        <stp>[DPM - Securities Master List (BBG Linked).xlsx]Equities!R298C42</stp>
        <tr r="AP298" s="2"/>
      </tp>
      <tp>
        <v>-17.677219999999998</v>
        <stp/>
        <stp>##V3_BDPV12</stp>
        <stp>ZBH US Equity</stp>
        <stp>CHG_PCT_6M</stp>
        <stp>[DPM - Securities Master List (BBG Linked).xlsx]Equities!R299C42</stp>
        <tr r="AP299" s="2"/>
      </tp>
      <tp>
        <v>-17.677219999999998</v>
        <stp/>
        <stp>##V3_BDPV12</stp>
        <stp>ZBH US Equity</stp>
        <stp>CHG_PCT_6M</stp>
        <stp>[DPM - Securities Master List (BBG Linked).xlsx]Equities!R302C42</stp>
        <tr r="AP302" s="2"/>
      </tp>
      <tp>
        <v>-17.677219999999998</v>
        <stp/>
        <stp>##V3_BDPV12</stp>
        <stp>ZBH US Equity</stp>
        <stp>CHG_PCT_6M</stp>
        <stp>[DPM - Securities Master List (BBG Linked).xlsx]Equities!R300C42</stp>
        <tr r="AP300" s="2"/>
      </tp>
      <tp>
        <v>-17.677219999999998</v>
        <stp/>
        <stp>##V3_BDPV12</stp>
        <stp>ZBH US Equity</stp>
        <stp>CHG_PCT_6M</stp>
        <stp>[DPM - Securities Master List (BBG Linked).xlsx]Equities!R301C42</stp>
        <tr r="AP301" s="2"/>
      </tp>
      <tp>
        <v>2.6614620000000002</v>
        <stp/>
        <stp>##V3_BDPV12</stp>
        <stp>GSK LN Equity</stp>
        <stp>CHG_PCT_5D</stp>
        <stp>[DPM - Securities Master List (BBG Linked).xlsx]Equities!R144C23</stp>
        <tr r="W144" s="2"/>
      </tp>
      <tp>
        <v>2.6614620000000002</v>
        <stp/>
        <stp>##V3_BDPV12</stp>
        <stp>GSK LN Equity</stp>
        <stp>CHG_PCT_5D</stp>
        <stp>[DPM - Securities Master List (BBG Linked).xlsx]Equities!R145C23</stp>
        <tr r="W145" s="2"/>
      </tp>
      <tp>
        <v>2.6614620000000002</v>
        <stp/>
        <stp>##V3_BDPV12</stp>
        <stp>GSK LN Equity</stp>
        <stp>CHG_PCT_5D</stp>
        <stp>[DPM - Securities Master List (BBG Linked).xlsx]Equities!R142C23</stp>
        <tr r="W142" s="2"/>
      </tp>
      <tp>
        <v>2.6614620000000002</v>
        <stp/>
        <stp>##V3_BDPV12</stp>
        <stp>GSK LN Equity</stp>
        <stp>CHG_PCT_5D</stp>
        <stp>[DPM - Securities Master List (BBG Linked).xlsx]Equities!R143C23</stp>
        <tr r="W143" s="2"/>
      </tp>
      <tp>
        <v>-4.7574079999999999</v>
        <stp/>
        <stp>##V3_BDPV12</stp>
        <stp>MRK US Equity</stp>
        <stp>CHG_PCT_5D</stp>
        <stp>[DPM - Securities Master List (BBG Linked).xlsx]Equities!R162C23</stp>
        <tr r="W162" s="2"/>
      </tp>
      <tp>
        <v>-4.7574079999999999</v>
        <stp/>
        <stp>##V3_BDPV12</stp>
        <stp>MRK US Equity</stp>
        <stp>CHG_PCT_5D</stp>
        <stp>[DPM - Securities Master List (BBG Linked).xlsx]Equities!R163C23</stp>
        <tr r="W163" s="2"/>
      </tp>
      <tp>
        <v>-4.7574079999999999</v>
        <stp/>
        <stp>##V3_BDPV12</stp>
        <stp>MRK US Equity</stp>
        <stp>CHG_PCT_5D</stp>
        <stp>[DPM - Securities Master List (BBG Linked).xlsx]Equities!R160C23</stp>
        <tr r="W160" s="2"/>
      </tp>
      <tp>
        <v>-4.7574079999999999</v>
        <stp/>
        <stp>##V3_BDPV12</stp>
        <stp>MRK US Equity</stp>
        <stp>CHG_PCT_5D</stp>
        <stp>[DPM - Securities Master List (BBG Linked).xlsx]Equities!R161C23</stp>
        <tr r="W161" s="2"/>
      </tp>
      <tp>
        <v>-4.7574079999999999</v>
        <stp/>
        <stp>##V3_BDPV12</stp>
        <stp>MRK US Equity</stp>
        <stp>CHG_PCT_5D</stp>
        <stp>[DPM - Securities Master List (BBG Linked).xlsx]Equities!R166C23</stp>
        <tr r="W166" s="2"/>
      </tp>
      <tp>
        <v>-4.7574079999999999</v>
        <stp/>
        <stp>##V3_BDPV12</stp>
        <stp>MRK US Equity</stp>
        <stp>CHG_PCT_5D</stp>
        <stp>[DPM - Securities Master List (BBG Linked).xlsx]Equities!R167C23</stp>
        <tr r="W167" s="2"/>
      </tp>
      <tp>
        <v>-4.7574079999999999</v>
        <stp/>
        <stp>##V3_BDPV12</stp>
        <stp>MRK US Equity</stp>
        <stp>CHG_PCT_5D</stp>
        <stp>[DPM - Securities Master List (BBG Linked).xlsx]Equities!R164C23</stp>
        <tr r="W164" s="2"/>
      </tp>
      <tp>
        <v>-4.7574079999999999</v>
        <stp/>
        <stp>##V3_BDPV12</stp>
        <stp>MRK US Equity</stp>
        <stp>CHG_PCT_5D</stp>
        <stp>[DPM - Securities Master List (BBG Linked).xlsx]Equities!R165C23</stp>
        <tr r="W165" s="2"/>
      </tp>
      <tp>
        <v>-4.7574079999999999</v>
        <stp/>
        <stp>##V3_BDPV12</stp>
        <stp>MRK US Equity</stp>
        <stp>CHG_PCT_5D</stp>
        <stp>[DPM - Securities Master List (BBG Linked).xlsx]Equities!R168C23</stp>
        <tr r="W168" s="2"/>
      </tp>
      <tp>
        <v>-4.7574079999999999</v>
        <stp/>
        <stp>##V3_BDPV12</stp>
        <stp>MRK US Equity</stp>
        <stp>CHG_PCT_5D</stp>
        <stp>[DPM - Securities Master List (BBG Linked).xlsx]Equities!R169C23</stp>
        <tr r="W169" s="2"/>
      </tp>
      <tp>
        <v>-4.7574079999999999</v>
        <stp/>
        <stp>##V3_BDPV12</stp>
        <stp>MRK US Equity</stp>
        <stp>CHG_PCT_5D</stp>
        <stp>[DPM - Securities Master List (BBG Linked).xlsx]Equities!R157C23</stp>
        <tr r="W157" s="2"/>
      </tp>
      <tp>
        <v>-4.7574079999999999</v>
        <stp/>
        <stp>##V3_BDPV12</stp>
        <stp>MRK US Equity</stp>
        <stp>CHG_PCT_5D</stp>
        <stp>[DPM - Securities Master List (BBG Linked).xlsx]Equities!R158C23</stp>
        <tr r="W158" s="2"/>
      </tp>
      <tp>
        <v>-4.7574079999999999</v>
        <stp/>
        <stp>##V3_BDPV12</stp>
        <stp>MRK US Equity</stp>
        <stp>CHG_PCT_5D</stp>
        <stp>[DPM - Securities Master List (BBG Linked).xlsx]Equities!R159C23</stp>
        <tr r="W159" s="2"/>
      </tp>
      <tp>
        <v>-0.73300759999999998</v>
        <stp/>
        <stp>##V3_BDPV12</stp>
        <stp>RIO LN Equity</stp>
        <stp>CHG_PCT_1D</stp>
        <stp>[DPM - Securities Master List (BBG Linked).xlsx]Equities!R242C22</stp>
        <tr r="V242" s="2"/>
      </tp>
      <tp>
        <v>-2.7160799999999998</v>
        <stp/>
        <stp>##V3_BDPV12</stp>
        <stp>NIO US Equity</stp>
        <stp>CHG_PCT_1D</stp>
        <stp>[DPM - Securities Master List (BBG Linked).xlsx]Equities!R206C22</stp>
        <tr r="V206" s="2"/>
      </tp>
      <tp>
        <v>-3.0960649999999998</v>
        <stp/>
        <stp>##V3_BDPV12</stp>
        <stp>NVO US Equity</stp>
        <stp>CHG_PCT_1D</stp>
        <stp>[DPM - Securities Master List (BBG Linked).xlsx]Equities!R225C22</stp>
        <tr r="V225" s="2"/>
      </tp>
      <tp>
        <v>28.473913192749023</v>
        <stp/>
        <stp>##V3_BDPV12</stp>
        <stp>LUV US Equity</stp>
        <stp>BEST_TARGET_PRICE</stp>
        <stp>[DPM - Securities Master List (BBG Linked).xlsx]Equities!R154C38</stp>
        <tr r="AL154" s="2"/>
      </tp>
    </main>
    <main first="bofaddin.rtdserver">
      <tp t="e">
        <v>#N/A</v>
        <stp/>
        <stp>BDP|17560000839622068455</stp>
        <tr r="I99" s="3"/>
        <tr r="I99" s="3"/>
        <tr r="I99" s="3"/>
        <tr r="I98" s="3"/>
        <tr r="I98" s="3"/>
        <tr r="I98" s="3"/>
        <tr r="I97" s="3"/>
        <tr r="I97" s="3"/>
        <tr r="I97" s="3"/>
      </tp>
      <tp t="e">
        <v>#N/A</v>
        <stp/>
        <stp>BDP|12014136914594973474</stp>
        <tr r="AO80" s="1"/>
        <tr r="AO58" s="1"/>
        <tr r="AO28" s="1"/>
        <tr r="AO161" s="1"/>
        <tr r="AO121" s="1"/>
        <tr r="AO10" s="1"/>
      </tp>
      <tp t="e">
        <v>#N/A</v>
        <stp/>
        <stp>BDP|13758156362585886318</stp>
        <tr r="AO93" s="1"/>
      </tp>
      <tp t="e">
        <v>#N/A</v>
        <stp/>
        <stp>BDP|12298127238692874084</stp>
        <tr r="K141" s="1"/>
        <tr r="K131" s="1"/>
      </tp>
      <tp t="e">
        <v>#N/A</v>
        <stp/>
        <stp>BDP|12835296137060890163</stp>
        <tr r="E115" s="3"/>
      </tp>
      <tp t="e">
        <v>#N/A</v>
        <stp/>
        <stp>BDP|11838511158065951637</stp>
        <tr r="AT16" s="3"/>
        <tr r="AT16" s="3"/>
        <tr r="AT16" s="3"/>
      </tp>
      <tp t="e">
        <v>#N/A</v>
        <stp/>
        <stp>BDP|11921142574996720341</stp>
        <tr r="AA52" s="1"/>
      </tp>
      <tp t="e">
        <v>#N/A</v>
        <stp/>
        <stp>BDP|14238791633163273108</stp>
        <tr r="Q129" s="3"/>
        <tr r="Q128" s="3"/>
        <tr r="Q127" s="3"/>
        <tr r="Q126" s="3"/>
        <tr r="Q125" s="3"/>
        <tr r="Q124" s="3"/>
        <tr r="Q123" s="3"/>
        <tr r="Q122" s="3"/>
        <tr r="Q121" s="3"/>
        <tr r="Q120" s="3"/>
      </tp>
      <tp t="e">
        <v>#N/A</v>
        <stp/>
        <stp>BDP|14552797002402730334</stp>
        <tr r="AS141" s="1"/>
        <tr r="AS131" s="1"/>
        <tr r="L141" s="1"/>
        <tr r="L141" s="1"/>
        <tr r="L131" s="1"/>
        <tr r="L131" s="1"/>
      </tp>
      <tp t="e">
        <v>#N/A</v>
        <stp/>
        <stp>BDP|14697916195543837509</stp>
        <tr r="M9" s="1"/>
        <tr r="M9" s="1"/>
      </tp>
      <tp t="e">
        <v>#N/A</v>
        <stp/>
        <stp>BDP|15192740200681941110</stp>
        <tr r="E6" s="1"/>
      </tp>
      <tp t="e">
        <v>#N/A</v>
        <stp/>
        <stp>BDP|16513001059159896893</stp>
        <tr r="AS91" s="1"/>
        <tr r="AS76" s="1"/>
        <tr r="AS55" s="1"/>
        <tr r="AS48" s="1"/>
        <tr r="AS26" s="1"/>
        <tr r="AS157" s="1"/>
        <tr r="AS142" s="1"/>
        <tr r="AS132" s="1"/>
        <tr r="AS120" s="1"/>
        <tr r="AS100" s="1"/>
      </tp>
      <tp t="e">
        <v>#N/A</v>
        <stp/>
        <stp>BDP|11827142154695564208</stp>
        <tr r="AE143" s="1"/>
        <tr r="AE127" s="1"/>
      </tp>
      <tp t="e">
        <v>#N/A</v>
        <stp/>
        <stp>BDP|11047554529564875093</stp>
        <tr r="AL110" s="1"/>
      </tp>
      <tp t="e">
        <v>#N/A</v>
        <stp/>
        <stp>BDP|13225245506203903045</stp>
        <tr r="AP102" s="3"/>
        <tr r="AP102" s="3"/>
        <tr r="AP102" s="3"/>
        <tr r="AP101" s="3"/>
        <tr r="AP101" s="3"/>
        <tr r="AP101" s="3"/>
        <tr r="AP100" s="3"/>
        <tr r="AP100" s="3"/>
        <tr r="AP100" s="3"/>
      </tp>
      <tp t="e">
        <v>#N/A</v>
        <stp/>
        <stp>BDP|17902526709200628093</stp>
        <tr r="AS15" s="1"/>
        <tr r="AS109" s="1"/>
      </tp>
      <tp t="e">
        <v>#N/A</v>
        <stp/>
        <stp>BDP|16336276214205850249</stp>
        <tr r="H54" s="1"/>
        <tr r="H54" s="1"/>
      </tp>
      <tp t="e">
        <v>#N/A</v>
        <stp/>
        <stp>BDP|13737698044322628100</stp>
        <tr r="AD92" s="1"/>
      </tp>
      <tp t="e">
        <v>#N/A</v>
        <stp/>
        <stp>BDP|13891190595338830103</stp>
        <tr r="AJ96" s="1"/>
        <tr r="AJ96" s="1"/>
        <tr r="AJ77" s="1"/>
        <tr r="AJ77" s="1"/>
        <tr r="AJ36" s="1"/>
        <tr r="AJ36" s="1"/>
        <tr r="AJ27" s="1"/>
        <tr r="AJ27" s="1"/>
        <tr r="AJ162" s="1"/>
        <tr r="AJ162" s="1"/>
        <tr r="AJ65" s="1"/>
        <tr r="AJ65" s="1"/>
      </tp>
      <tp t="e">
        <v>#N/A</v>
        <stp/>
        <stp>BDP|18245841106684502690</stp>
        <tr r="W103" s="1"/>
      </tp>
      <tp t="e">
        <v>#N/A</v>
        <stp/>
        <stp>BDP|10484797444567688635</stp>
        <tr r="N139" s="1"/>
        <tr r="N129" s="1"/>
      </tp>
      <tp t="e">
        <v>#N/A</v>
        <stp/>
        <stp>BDP|10966578162214367501</stp>
        <tr r="W111" s="3"/>
        <tr r="W110" s="3"/>
        <tr r="W109" s="3"/>
        <tr r="W108" s="3"/>
        <tr r="W107" s="3"/>
        <tr r="W106" s="3"/>
        <tr r="W105" s="3"/>
        <tr r="W104" s="3"/>
      </tp>
      <tp t="e">
        <v>#N/A</v>
        <stp/>
        <stp>BDP|10745762238101268749</stp>
        <tr r="AS34" s="1"/>
        <tr r="AS156" s="1"/>
      </tp>
      <tp t="e">
        <v>#N/A</v>
        <stp/>
        <stp>BDP|11735931402752941802</stp>
        <tr r="X56" s="1"/>
      </tp>
      <tp t="e">
        <v>#N/A</v>
        <stp/>
        <stp>BDP|10800155964016757311</stp>
        <tr r="H19" s="1"/>
      </tp>
      <tp t="e">
        <v>#N/A</v>
        <stp/>
        <stp>BDP|10887118136248760875</stp>
        <tr r="AJ140" s="1"/>
        <tr r="AJ140" s="1"/>
        <tr r="AJ128" s="1"/>
        <tr r="AJ128" s="1"/>
      </tp>
      <tp t="e">
        <v>#N/A</v>
        <stp/>
        <stp>BDP|17003856168649432263</stp>
        <tr r="N103" s="1"/>
      </tp>
      <tp t="e">
        <v>#N/A</v>
        <stp/>
        <stp>BDP|17933020086284377911</stp>
        <tr r="W51" s="1"/>
      </tp>
      <tp t="e">
        <v>#N/A</v>
        <stp/>
        <stp>BDP|14007977265178874149</stp>
        <tr r="AF114" s="3"/>
        <tr r="AF114" s="3"/>
        <tr r="AF113" s="3"/>
        <tr r="AF113" s="3"/>
        <tr r="AF112" s="3"/>
        <tr r="AF112" s="3"/>
      </tp>
      <tp t="e">
        <v>#N/A</v>
        <stp/>
        <stp>BDP|14320779239924707640</stp>
        <tr r="AA46" s="1"/>
      </tp>
      <tp t="e">
        <v>#N/A</v>
        <stp/>
        <stp>BDP|10920474900357645167</stp>
        <tr r="AJ62" s="1"/>
        <tr r="AJ62" s="1"/>
        <tr r="AJ53" s="1"/>
        <tr r="AJ53" s="1"/>
        <tr r="AJ45" s="1"/>
        <tr r="AJ45" s="1"/>
        <tr r="AJ115" s="1"/>
        <tr r="AJ115" s="1"/>
      </tp>
      <tp t="e">
        <v>#N/A</v>
        <stp/>
        <stp>BDP|16039697272960782520</stp>
        <tr r="K82" s="1"/>
        <tr r="K39" s="1"/>
        <tr r="K22" s="1"/>
        <tr r="K167" s="1"/>
      </tp>
      <tp t="e">
        <v>#N/A</v>
        <stp/>
        <stp>BDP|14012330170232656047</stp>
        <tr r="F141" s="1"/>
        <tr r="F131" s="1"/>
      </tp>
      <tp t="e">
        <v>#N/A</v>
        <stp/>
        <stp>BDP|10322781844393739293</stp>
        <tr r="AU99" s="3"/>
        <tr r="AU99" s="3"/>
        <tr r="AU98" s="3"/>
        <tr r="AU98" s="3"/>
        <tr r="AU97" s="3"/>
        <tr r="AU97" s="3"/>
      </tp>
    </main>
    <main first="bloomberg.rtd">
      <tp t="s">
        <v>#N/A Invalid Override</v>
        <stp/>
        <stp>##V3_BDPV12</stp>
        <stp>XS2358483258 isin</stp>
        <stp>YAS_BOND_YLD</stp>
        <stp>[DPM - Securities Master List (BBG Linked).xlsx]Bonds!R73C10</stp>
        <stp>YAS_YLD_FLAG=15</stp>
        <stp>user_local_trade_date</stp>
        <stp>45783</stp>
        <stp>Yas_bond_px</stp>
        <stp>#N/A Connection</stp>
        <tr r="J73" s="1"/>
      </tp>
    </main>
    <main first="bofaddin.rtdserver">
      <tp t="e">
        <v>#N/A</v>
        <stp/>
        <stp>BDP|17893547948614702031</stp>
        <tr r="H78" s="1"/>
        <tr r="H78" s="1"/>
        <tr r="H154" s="1"/>
        <tr r="H154" s="1"/>
        <tr r="H149" s="1"/>
        <tr r="H149" s="1"/>
        <tr r="H124" s="1"/>
        <tr r="H124" s="1"/>
      </tp>
      <tp t="e">
        <v>#N/A</v>
        <stp/>
        <stp>BDP|13272605804937311052</stp>
        <tr r="H54" s="1"/>
        <tr r="H54" s="1"/>
      </tp>
      <tp t="e">
        <v>#N/A</v>
        <stp/>
        <stp>BDP|10451958349008919711</stp>
        <tr r="AT130" s="1"/>
      </tp>
      <tp t="e">
        <v>#N/A</v>
        <stp/>
        <stp>BDP|13814490193988170433</stp>
        <tr r="AU34" s="1"/>
        <tr r="AU34" s="1"/>
        <tr r="AU34" s="1"/>
        <tr r="AU156" s="1"/>
        <tr r="AU156" s="1"/>
        <tr r="AU156" s="1"/>
      </tp>
      <tp t="e">
        <v>#N/A</v>
        <stp/>
        <stp>BDP|10214640238557768092</stp>
        <tr r="X17" s="1"/>
        <tr r="X112" s="1"/>
      </tp>
      <tp t="e">
        <v>#N/A</v>
        <stp/>
        <stp>BDP|17258713524780763001</stp>
        <tr r="W6" s="1"/>
      </tp>
      <tp t="e">
        <v>#N/A</v>
        <stp/>
        <stp>BDP|15768426179044955050</stp>
        <tr r="Y143" s="1"/>
        <tr r="Y127" s="1"/>
      </tp>
      <tp t="e">
        <v>#N/A</v>
        <stp/>
        <stp>BDP|17080669377335061111</stp>
        <tr r="K18" s="1"/>
      </tp>
      <tp t="e">
        <v>#N/A</v>
        <stp/>
        <stp>BDP|17013066830681520709</stp>
        <tr r="AE18" s="1"/>
      </tp>
      <tp t="e">
        <v>#N/A</v>
        <stp/>
        <stp>BDP|17096573864693052506</stp>
        <tr r="I17" s="1"/>
        <tr r="I112" s="1"/>
      </tp>
      <tp t="e">
        <v>#N/A</v>
        <stp/>
        <stp>BDP|16541103824125521278</stp>
        <tr r="AK129" s="3"/>
        <tr r="AK129" s="3"/>
        <tr r="AK129" s="3"/>
        <tr r="AK128" s="3"/>
        <tr r="AK128" s="3"/>
        <tr r="AK128" s="3"/>
        <tr r="AK127" s="3"/>
        <tr r="AK127" s="3"/>
        <tr r="AK127" s="3"/>
        <tr r="AK126" s="3"/>
        <tr r="AK126" s="3"/>
        <tr r="AK126" s="3"/>
        <tr r="AK125" s="3"/>
        <tr r="AK125" s="3"/>
        <tr r="AK125" s="3"/>
        <tr r="AK124" s="3"/>
        <tr r="AK124" s="3"/>
        <tr r="AK124" s="3"/>
        <tr r="AK123" s="3"/>
        <tr r="AK123" s="3"/>
        <tr r="AK123" s="3"/>
        <tr r="AK122" s="3"/>
        <tr r="AK122" s="3"/>
        <tr r="AK122" s="3"/>
        <tr r="AK121" s="3"/>
        <tr r="AK121" s="3"/>
        <tr r="AK121" s="3"/>
        <tr r="AK120" s="3"/>
        <tr r="AK120" s="3"/>
        <tr r="AK120" s="3"/>
      </tp>
      <tp t="e">
        <v>#N/A</v>
        <stp/>
        <stp>BDP|15576342667167495511</stp>
        <tr r="AS103" s="3"/>
        <tr r="AS103" s="3"/>
      </tp>
      <tp t="e">
        <v>#N/A</v>
        <stp/>
        <stp>BDP|11067295265577927066</stp>
        <tr r="W102" s="3"/>
        <tr r="W101" s="3"/>
        <tr r="W100" s="3"/>
      </tp>
      <tp t="e">
        <v>#N/A</v>
        <stp/>
        <stp>BDP|11520423803660677711</stp>
        <tr r="N6" s="1"/>
      </tp>
      <tp t="e">
        <v>#N/A</v>
        <stp/>
        <stp>BDP|13734265081833507874</stp>
        <tr r="AM107" s="1"/>
        <tr r="AM107" s="1"/>
      </tp>
      <tp t="e">
        <v>#N/A</v>
        <stp/>
        <stp>BDP|10328459647617021530</stp>
        <tr r="AL103" s="1"/>
      </tp>
      <tp t="e">
        <v>#N/A</v>
        <stp/>
        <stp>BDP|17392376114217763056</stp>
        <tr r="AM64" s="1"/>
        <tr r="AM64" s="1"/>
      </tp>
      <tp t="e">
        <v>#N/A</v>
        <stp/>
        <stp>BDP|16175608232987590643</stp>
        <tr r="H72" s="3"/>
        <tr r="H72" s="3"/>
        <tr r="H72" s="3"/>
        <tr r="H71" s="3"/>
        <tr r="H71" s="3"/>
        <tr r="H71" s="3"/>
        <tr r="H70" s="3"/>
        <tr r="H70" s="3"/>
        <tr r="H70" s="3"/>
        <tr r="H69" s="3"/>
        <tr r="H69" s="3"/>
        <tr r="H69" s="3"/>
        <tr r="H68" s="3"/>
        <tr r="H68" s="3"/>
        <tr r="H68" s="3"/>
        <tr r="H67" s="3"/>
        <tr r="H67" s="3"/>
        <tr r="H67" s="3"/>
        <tr r="H66" s="3"/>
        <tr r="H66" s="3"/>
        <tr r="H66" s="3"/>
        <tr r="H65" s="3"/>
        <tr r="H65" s="3"/>
        <tr r="H65" s="3"/>
      </tp>
      <tp t="e">
        <v>#N/A</v>
        <stp/>
        <stp>BDP|13268143055331528445</stp>
        <tr r="AS32" s="1"/>
        <tr r="L32" s="1"/>
        <tr r="L32" s="1"/>
      </tp>
      <tp t="e">
        <v>#N/A</v>
        <stp/>
        <stp>BDP|16111392118724479263</stp>
        <tr r="AE111" s="3"/>
        <tr r="AE111" s="3"/>
        <tr r="AE111" s="3"/>
        <tr r="AE110" s="3"/>
        <tr r="AE110" s="3"/>
        <tr r="AE110" s="3"/>
        <tr r="AE109" s="3"/>
        <tr r="AE109" s="3"/>
        <tr r="AE109" s="3"/>
        <tr r="AE108" s="3"/>
        <tr r="AE108" s="3"/>
        <tr r="AE108" s="3"/>
        <tr r="AE107" s="3"/>
        <tr r="AE107" s="3"/>
        <tr r="AE107" s="3"/>
        <tr r="AE106" s="3"/>
        <tr r="AE106" s="3"/>
        <tr r="AE106" s="3"/>
        <tr r="AE105" s="3"/>
        <tr r="AE105" s="3"/>
        <tr r="AE105" s="3"/>
        <tr r="AE104" s="3"/>
        <tr r="AE104" s="3"/>
        <tr r="AE104" s="3"/>
      </tp>
      <tp t="e">
        <v>#N/A</v>
        <stp/>
        <stp>BDP|12269723822516705370</stp>
        <tr r="Y12" s="1"/>
      </tp>
      <tp t="e">
        <v>#N/A</v>
        <stp/>
        <stp>BDP|14252581067020914560</stp>
        <tr r="AL82" s="1"/>
        <tr r="AL39" s="1"/>
        <tr r="AL22" s="1"/>
        <tr r="AL167" s="1"/>
      </tp>
      <tp t="e">
        <v>#N/A</v>
        <stp/>
        <stp>BDP|13347351605746739465</stp>
        <tr r="AD115" s="3"/>
        <tr r="AD115" s="3"/>
        <tr r="AD115" s="3"/>
      </tp>
      <tp t="e">
        <v>#N/A</v>
        <stp/>
        <stp>BDP|16465813440201534954</stp>
        <tr r="E110" s="1"/>
      </tp>
      <tp t="e">
        <v>#N/A</v>
        <stp/>
        <stp>BDP|10917863125300745880</stp>
        <tr r="W66" s="1"/>
        <tr r="W49" s="1"/>
        <tr r="W42" s="1"/>
      </tp>
      <tp t="e">
        <v>#N/A</v>
        <stp/>
        <stp>BDP|16725446758584819164</stp>
        <tr r="AL68" s="1"/>
        <tr r="AL31" s="1"/>
      </tp>
      <tp t="e">
        <v>#N/A</v>
        <stp/>
        <stp>BDP|14653377612166398243</stp>
        <tr r="X78" s="1"/>
        <tr r="X154" s="1"/>
        <tr r="X149" s="1"/>
        <tr r="X124" s="1"/>
      </tp>
      <tp t="e">
        <v>#N/A</v>
        <stp/>
        <stp>BDP|15127035299637764988</stp>
        <tr r="M148" s="1"/>
        <tr r="M148" s="1"/>
        <tr r="M138" s="1"/>
        <tr r="M138" s="1"/>
      </tp>
      <tp t="e">
        <v>#N/A</v>
        <stp/>
        <stp>BDP|13718534678052157192</stp>
        <tr r="AK130" s="1"/>
        <tr r="AK130" s="1"/>
        <tr r="AK130" s="1"/>
      </tp>
      <tp t="e">
        <v>#N/A</v>
        <stp/>
        <stp>BDP|11997582824524097016</stp>
        <tr r="H29" s="1"/>
        <tr r="H29" s="1"/>
        <tr r="H164" s="1"/>
        <tr r="H164" s="1"/>
        <tr r="H135" s="1"/>
        <tr r="H135" s="1"/>
        <tr r="H89" s="1"/>
        <tr r="H89" s="1"/>
        <tr r="H81" s="1"/>
        <tr r="H81" s="1"/>
        <tr r="H59" s="1"/>
        <tr r="H59" s="1"/>
        <tr r="H41" s="1"/>
        <tr r="H41" s="1"/>
        <tr r="H37" s="1"/>
        <tr r="H37" s="1"/>
      </tp>
      <tp t="e">
        <v>#N/A</v>
        <stp/>
        <stp>BDP|11793448140600796309</stp>
        <tr r="AS119" s="3"/>
        <tr r="AS119" s="3"/>
        <tr r="AS119" s="3"/>
        <tr r="AS118" s="3"/>
        <tr r="AS118" s="3"/>
        <tr r="AS118" s="3"/>
        <tr r="AS117" s="3"/>
        <tr r="AS117" s="3"/>
        <tr r="AS117" s="3"/>
        <tr r="AS116" s="3"/>
        <tr r="AS116" s="3"/>
        <tr r="AS116" s="3"/>
      </tp>
      <tp t="e">
        <v>#N/A</v>
        <stp/>
        <stp>BDP|15334625205033064204</stp>
        <tr r="E20" s="1"/>
      </tp>
      <tp t="e">
        <v>#N/A</v>
        <stp/>
        <stp>BDP|14187773386809093070</stp>
        <tr r="AT67" s="1"/>
        <tr r="AT43" s="1"/>
        <tr r="AT30" s="1"/>
        <tr r="AT3" s="1"/>
        <tr r="AT21" s="1"/>
        <tr r="AT166" s="1"/>
        <tr r="AT147" s="1"/>
        <tr r="AT125" s="1"/>
        <tr r="AT114" s="1"/>
      </tp>
      <tp t="e">
        <v>#N/A</v>
        <stp/>
        <stp>BDP|11388193400445408795</stp>
        <tr r="AE68" s="1"/>
        <tr r="AE31" s="1"/>
      </tp>
      <tp t="e">
        <v>#N/A</v>
        <stp/>
        <stp>BDP|18194451662969840196</stp>
        <tr r="X80" s="1"/>
        <tr r="X58" s="1"/>
        <tr r="X28" s="1"/>
        <tr r="X161" s="1"/>
        <tr r="X121" s="1"/>
        <tr r="X10" s="1"/>
      </tp>
      <tp t="e">
        <v>#N/A</v>
        <stp/>
        <stp>BDP|16583560102372187372</stp>
        <tr r="W63" s="3"/>
        <tr r="W62" s="3"/>
        <tr r="W61" s="3"/>
        <tr r="W60" s="3"/>
        <tr r="W59" s="3"/>
        <tr r="W58" s="3"/>
        <tr r="W57" s="3"/>
        <tr r="W56" s="3"/>
        <tr r="W55" s="3"/>
        <tr r="W54" s="3"/>
        <tr r="W53" s="3"/>
        <tr r="W52" s="3"/>
        <tr r="W51" s="3"/>
      </tp>
      <tp t="e">
        <v>#N/A</v>
        <stp/>
        <stp>BDP|13251958304079220169</stp>
        <tr r="N143" s="1"/>
        <tr r="N127" s="1"/>
      </tp>
      <tp t="e">
        <v>#N/A</v>
        <stp/>
        <stp>BDP|12014960586063221255</stp>
        <tr r="AA35" s="1"/>
        <tr r="AA24" s="1"/>
        <tr r="AA153" s="1"/>
      </tp>
      <tp t="e">
        <v>#N/A</v>
        <stp/>
        <stp>BDP|18210446952538170320</stp>
        <tr r="AE78" s="3"/>
        <tr r="AE78" s="3"/>
        <tr r="AE78" s="3"/>
        <tr r="AE77" s="3"/>
        <tr r="AE77" s="3"/>
        <tr r="AE77" s="3"/>
        <tr r="AE76" s="3"/>
        <tr r="AE76" s="3"/>
        <tr r="AE76" s="3"/>
        <tr r="AE75" s="3"/>
        <tr r="AE75" s="3"/>
        <tr r="AE75" s="3"/>
        <tr r="AE74" s="3"/>
        <tr r="AE74" s="3"/>
        <tr r="AE74" s="3"/>
        <tr r="AE73" s="3"/>
        <tr r="AE73" s="3"/>
        <tr r="AE73" s="3"/>
      </tp>
      <tp t="e">
        <v>#N/A</v>
        <stp/>
        <stp>BDP|10361028441136183063</stp>
        <tr r="AS141" s="1"/>
        <tr r="AS131" s="1"/>
      </tp>
    </main>
    <main first="bloomberg.rtd">
      <tp>
        <v>68.599999999999994</v>
        <stp/>
        <stp>##V3_BDPV12</stp>
        <stp>PYPL US Equity</stp>
        <stp>PX_Last</stp>
        <stp>[DPM - Securities Master List (BBG Linked).xlsx]Equities!R238C17</stp>
        <tr r="Q238" s="2"/>
      </tp>
      <tp>
        <v>68.599999999999994</v>
        <stp/>
        <stp>##V3_BDPV12</stp>
        <stp>PYPL US Equity</stp>
        <stp>PX_Last</stp>
        <stp>[DPM - Securities Master List (BBG Linked).xlsx]Equities!R239C17</stp>
        <tr r="Q239" s="2"/>
      </tp>
      <tp>
        <v>68.599999999999994</v>
        <stp/>
        <stp>##V3_BDPV12</stp>
        <stp>PYPL US Equity</stp>
        <stp>PX_Last</stp>
        <stp>[DPM - Securities Master List (BBG Linked).xlsx]Equities!R237C17</stp>
        <tr r="Q237" s="2"/>
      </tp>
      <tp>
        <v>68.599999999999994</v>
        <stp/>
        <stp>##V3_BDPV12</stp>
        <stp>PYPL US Equity</stp>
        <stp>PX_last</stp>
        <stp>[DPM - Securities Master List (BBG Linked).xlsx]Equities!R238C17</stp>
        <tr r="Q238" s="2"/>
      </tp>
      <tp>
        <v>68.599999999999994</v>
        <stp/>
        <stp>##V3_BDPV12</stp>
        <stp>PYPL US Equity</stp>
        <stp>PX_last</stp>
        <stp>[DPM - Securities Master List (BBG Linked).xlsx]Equities!R239C17</stp>
        <tr r="Q239" s="2"/>
      </tp>
      <tp>
        <v>68.599999999999994</v>
        <stp/>
        <stp>##V3_BDPV12</stp>
        <stp>PYPL US Equity</stp>
        <stp>PX_last</stp>
        <stp>[DPM - Securities Master List (BBG Linked).xlsx]Equities!R237C17</stp>
        <tr r="Q237" s="2"/>
      </tp>
      <tp>
        <v>504.35513305664063</v>
        <stp/>
        <stp>##V3_BDPV12</stp>
        <stp>ADBE US Equity</stp>
        <stp>BEST_TARGET_PRICE</stp>
        <stp>[DPM - Securities Master List (BBG Linked).xlsx]Equities!R48C38</stp>
        <tr r="AL48" s="2"/>
      </tp>
      <tp>
        <v>504.35513305664063</v>
        <stp/>
        <stp>##V3_BDPV12</stp>
        <stp>ADBE US Equity</stp>
        <stp>BEST_TARGET_PRICE</stp>
        <stp>[DPM - Securities Master List (BBG Linked).xlsx]Equities!R49C38</stp>
        <tr r="AL49" s="2"/>
      </tp>
      <tp>
        <v>504.35513305664063</v>
        <stp/>
        <stp>##V3_BDPV12</stp>
        <stp>ADBE US Equity</stp>
        <stp>BEST_TARGET_PRICE</stp>
        <stp>[DPM - Securities Master List (BBG Linked).xlsx]Equities!R42C38</stp>
        <tr r="AL42" s="2"/>
      </tp>
      <tp>
        <v>504.35513305664063</v>
        <stp/>
        <stp>##V3_BDPV12</stp>
        <stp>ADBE US Equity</stp>
        <stp>BEST_TARGET_PRICE</stp>
        <stp>[DPM - Securities Master List (BBG Linked).xlsx]Equities!R43C38</stp>
        <tr r="AL43" s="2"/>
      </tp>
      <tp>
        <v>504.35513305664063</v>
        <stp/>
        <stp>##V3_BDPV12</stp>
        <stp>ADBE US Equity</stp>
        <stp>BEST_TARGET_PRICE</stp>
        <stp>[DPM - Securities Master List (BBG Linked).xlsx]Equities!R40C38</stp>
        <tr r="AL40" s="2"/>
      </tp>
      <tp>
        <v>504.35513305664063</v>
        <stp/>
        <stp>##V3_BDPV12</stp>
        <stp>ADBE US Equity</stp>
        <stp>BEST_TARGET_PRICE</stp>
        <stp>[DPM - Securities Master List (BBG Linked).xlsx]Equities!R41C38</stp>
        <tr r="AL41" s="2"/>
      </tp>
      <tp>
        <v>504.35513305664063</v>
        <stp/>
        <stp>##V3_BDPV12</stp>
        <stp>ADBE US Equity</stp>
        <stp>BEST_TARGET_PRICE</stp>
        <stp>[DPM - Securities Master List (BBG Linked).xlsx]Equities!R46C38</stp>
        <tr r="AL46" s="2"/>
      </tp>
      <tp>
        <v>504.35513305664063</v>
        <stp/>
        <stp>##V3_BDPV12</stp>
        <stp>ADBE US Equity</stp>
        <stp>BEST_TARGET_PRICE</stp>
        <stp>[DPM - Securities Master List (BBG Linked).xlsx]Equities!R47C38</stp>
        <tr r="AL47" s="2"/>
      </tp>
      <tp>
        <v>504.35513305664063</v>
        <stp/>
        <stp>##V3_BDPV12</stp>
        <stp>ADBE US Equity</stp>
        <stp>BEST_TARGET_PRICE</stp>
        <stp>[DPM - Securities Master List (BBG Linked).xlsx]Equities!R44C38</stp>
        <tr r="AL44" s="2"/>
      </tp>
      <tp>
        <v>504.35513305664063</v>
        <stp/>
        <stp>##V3_BDPV12</stp>
        <stp>ADBE US Equity</stp>
        <stp>BEST_TARGET_PRICE</stp>
        <stp>[DPM - Securities Master List (BBG Linked).xlsx]Equities!R45C38</stp>
        <tr r="AL45" s="2"/>
      </tp>
      <tp>
        <v>504.35513305664063</v>
        <stp/>
        <stp>##V3_BDPV12</stp>
        <stp>ADBE US Equity</stp>
        <stp>BEST_TARGET_PRICE</stp>
        <stp>[DPM - Securities Master List (BBG Linked).xlsx]Equities!R38C38</stp>
        <tr r="AL38" s="2"/>
      </tp>
      <tp>
        <v>504.35513305664063</v>
        <stp/>
        <stp>##V3_BDPV12</stp>
        <stp>ADBE US Equity</stp>
        <stp>BEST_TARGET_PRICE</stp>
        <stp>[DPM - Securities Master List (BBG Linked).xlsx]Equities!R39C38</stp>
        <tr r="AL39" s="2"/>
      </tp>
      <tp>
        <v>504.35513305664063</v>
        <stp/>
        <stp>##V3_BDPV12</stp>
        <stp>ADBE US Equity</stp>
        <stp>BEST_TARGET_PRICE</stp>
        <stp>[DPM - Securities Master List (BBG Linked).xlsx]Equities!R36C38</stp>
        <tr r="AL36" s="2"/>
      </tp>
      <tp>
        <v>504.35513305664063</v>
        <stp/>
        <stp>##V3_BDPV12</stp>
        <stp>ADBE US Equity</stp>
        <stp>BEST_TARGET_PRICE</stp>
        <stp>[DPM - Securities Master List (BBG Linked).xlsx]Equities!R37C38</stp>
        <tr r="AL37" s="2"/>
      </tp>
      <tp t="s">
        <v>Meituan</v>
        <stp/>
        <stp>##V3_BDPV12</stp>
        <stp>3690 HK Equity</stp>
        <stp>SECURITY NAME</stp>
        <stp>[DPM - Securities Master List (BBG Linked).xlsx]Equities!R14C5</stp>
        <tr r="E14" s="2"/>
      </tp>
      <tp>
        <v>65.03</v>
        <stp/>
        <stp>##V3_BDPV12</stp>
        <stp>TCEHY US Equity</stp>
        <stp>PX_Last</stp>
        <stp>[DPM - Securities Master List (BBG Linked).xlsx]Equities!R259C17</stp>
        <tr r="Q259" s="2"/>
      </tp>
      <tp>
        <v>65.03</v>
        <stp/>
        <stp>##V3_BDPV12</stp>
        <stp>TCEHY US Equity</stp>
        <stp>PX_Last</stp>
        <stp>[DPM - Securities Master List (BBG Linked).xlsx]Equities!R260C17</stp>
        <tr r="Q260" s="2"/>
      </tp>
      <tp>
        <v>65.03</v>
        <stp/>
        <stp>##V3_BDPV12</stp>
        <stp>TCEHY US Equity</stp>
        <stp>PX_last</stp>
        <stp>[DPM - Securities Master List (BBG Linked).xlsx]Equities!R259C17</stp>
        <tr r="Q259" s="2"/>
      </tp>
      <tp>
        <v>65.03</v>
        <stp/>
        <stp>##V3_BDPV12</stp>
        <stp>TCEHY US Equity</stp>
        <stp>PX_last</stp>
        <stp>[DPM - Securities Master List (BBG Linked).xlsx]Equities!R260C17</stp>
        <tr r="Q260" s="2"/>
      </tp>
      <tp>
        <v>5672.91650390625</v>
        <stp/>
        <stp>##V3_BDPV12</stp>
        <stp>RIO LN Equity</stp>
        <stp>BEST_TARGET_PRICE</stp>
        <stp>[DPM - Securities Master List (BBG Linked).xlsx]Equities!R242C38</stp>
        <tr r="AL242" s="2"/>
      </tp>
      <tp>
        <v>10.478630000000001</v>
        <stp/>
        <stp>##V3_BDPV12</stp>
        <stp>MSFT US Equity</stp>
        <stp>CHG_PCT_5D</stp>
        <stp>[DPM - Securities Master List (BBG Linked).xlsx]Equities!R188C23</stp>
        <tr r="W188" s="2"/>
      </tp>
      <tp>
        <v>10.478630000000001</v>
        <stp/>
        <stp>##V3_BDPV12</stp>
        <stp>MSFT US Equity</stp>
        <stp>CHG_PCT_5D</stp>
        <stp>[DPM - Securities Master List (BBG Linked).xlsx]Equities!R182C23</stp>
        <tr r="W182" s="2"/>
      </tp>
      <tp>
        <v>10.478630000000001</v>
        <stp/>
        <stp>##V3_BDPV12</stp>
        <stp>MSFT US Equity</stp>
        <stp>CHG_PCT_5D</stp>
        <stp>[DPM - Securities Master List (BBG Linked).xlsx]Equities!R183C23</stp>
        <tr r="W183" s="2"/>
      </tp>
      <tp>
        <v>10.478630000000001</v>
        <stp/>
        <stp>##V3_BDPV12</stp>
        <stp>MSFT US Equity</stp>
        <stp>CHG_PCT_5D</stp>
        <stp>[DPM - Securities Master List (BBG Linked).xlsx]Equities!R180C23</stp>
        <tr r="W180" s="2"/>
      </tp>
      <tp>
        <v>10.478630000000001</v>
        <stp/>
        <stp>##V3_BDPV12</stp>
        <stp>MSFT US Equity</stp>
        <stp>CHG_PCT_5D</stp>
        <stp>[DPM - Securities Master List (BBG Linked).xlsx]Equities!R181C23</stp>
        <tr r="W181" s="2"/>
      </tp>
      <tp>
        <v>10.478630000000001</v>
        <stp/>
        <stp>##V3_BDPV12</stp>
        <stp>MSFT US Equity</stp>
        <stp>CHG_PCT_5D</stp>
        <stp>[DPM - Securities Master List (BBG Linked).xlsx]Equities!R186C23</stp>
        <tr r="W186" s="2"/>
      </tp>
      <tp>
        <v>10.478630000000001</v>
        <stp/>
        <stp>##V3_BDPV12</stp>
        <stp>MSFT US Equity</stp>
        <stp>CHG_PCT_5D</stp>
        <stp>[DPM - Securities Master List (BBG Linked).xlsx]Equities!R187C23</stp>
        <tr r="W187" s="2"/>
      </tp>
      <tp>
        <v>10.478630000000001</v>
        <stp/>
        <stp>##V3_BDPV12</stp>
        <stp>MSFT US Equity</stp>
        <stp>CHG_PCT_5D</stp>
        <stp>[DPM - Securities Master List (BBG Linked).xlsx]Equities!R184C23</stp>
        <tr r="W184" s="2"/>
      </tp>
      <tp>
        <v>10.478630000000001</v>
        <stp/>
        <stp>##V3_BDPV12</stp>
        <stp>MSFT US Equity</stp>
        <stp>CHG_PCT_5D</stp>
        <stp>[DPM - Securities Master List (BBG Linked).xlsx]Equities!R185C23</stp>
        <tr r="W185" s="2"/>
      </tp>
      <tp>
        <v>10.478630000000001</v>
        <stp/>
        <stp>##V3_BDPV12</stp>
        <stp>MSFT US Equity</stp>
        <stp>CHG_PCT_5D</stp>
        <stp>[DPM - Securities Master List (BBG Linked).xlsx]Equities!R178C23</stp>
        <tr r="W178" s="2"/>
      </tp>
      <tp>
        <v>10.478630000000001</v>
        <stp/>
        <stp>##V3_BDPV12</stp>
        <stp>MSFT US Equity</stp>
        <stp>CHG_PCT_5D</stp>
        <stp>[DPM - Securities Master List (BBG Linked).xlsx]Equities!R179C23</stp>
        <tr r="W179" s="2"/>
      </tp>
      <tp>
        <v>10.478630000000001</v>
        <stp/>
        <stp>##V3_BDPV12</stp>
        <stp>MSFT US Equity</stp>
        <stp>CHG_PCT_5D</stp>
        <stp>[DPM - Securities Master List (BBG Linked).xlsx]Equities!R172C23</stp>
        <tr r="W172" s="2"/>
      </tp>
      <tp>
        <v>10.478630000000001</v>
        <stp/>
        <stp>##V3_BDPV12</stp>
        <stp>MSFT US Equity</stp>
        <stp>CHG_PCT_5D</stp>
        <stp>[DPM - Securities Master List (BBG Linked).xlsx]Equities!R173C23</stp>
        <tr r="W173" s="2"/>
      </tp>
      <tp>
        <v>10.478630000000001</v>
        <stp/>
        <stp>##V3_BDPV12</stp>
        <stp>MSFT US Equity</stp>
        <stp>CHG_PCT_5D</stp>
        <stp>[DPM - Securities Master List (BBG Linked).xlsx]Equities!R170C23</stp>
        <tr r="W170" s="2"/>
      </tp>
      <tp>
        <v>10.478630000000001</v>
        <stp/>
        <stp>##V3_BDPV12</stp>
        <stp>MSFT US Equity</stp>
        <stp>CHG_PCT_5D</stp>
        <stp>[DPM - Securities Master List (BBG Linked).xlsx]Equities!R171C23</stp>
        <tr r="W171" s="2"/>
      </tp>
      <tp>
        <v>10.478630000000001</v>
        <stp/>
        <stp>##V3_BDPV12</stp>
        <stp>MSFT US Equity</stp>
        <stp>CHG_PCT_5D</stp>
        <stp>[DPM - Securities Master List (BBG Linked).xlsx]Equities!R176C23</stp>
        <tr r="W176" s="2"/>
      </tp>
      <tp>
        <v>10.478630000000001</v>
        <stp/>
        <stp>##V3_BDPV12</stp>
        <stp>MSFT US Equity</stp>
        <stp>CHG_PCT_5D</stp>
        <stp>[DPM - Securities Master List (BBG Linked).xlsx]Equities!R177C23</stp>
        <tr r="W177" s="2"/>
      </tp>
      <tp>
        <v>10.478630000000001</v>
        <stp/>
        <stp>##V3_BDPV12</stp>
        <stp>MSFT US Equity</stp>
        <stp>CHG_PCT_5D</stp>
        <stp>[DPM - Securities Master List (BBG Linked).xlsx]Equities!R174C23</stp>
        <tr r="W174" s="2"/>
      </tp>
      <tp>
        <v>10.478630000000001</v>
        <stp/>
        <stp>##V3_BDPV12</stp>
        <stp>MSFT US Equity</stp>
        <stp>CHG_PCT_5D</stp>
        <stp>[DPM - Securities Master List (BBG Linked).xlsx]Equities!R175C23</stp>
        <tr r="W175" s="2"/>
      </tp>
    </main>
    <main first="bofaddin.rtdserver">
      <tp t="e">
        <v>#N/A</v>
        <stp/>
        <stp>BDP|11944354797938439067</stp>
        <tr r="AT44" s="1"/>
      </tp>
      <tp t="e">
        <v>#N/A</v>
        <stp/>
        <stp>BDP|14737314297184197981</stp>
        <tr r="H94" s="3"/>
        <tr r="H94" s="3"/>
        <tr r="H94" s="3"/>
        <tr r="H93" s="3"/>
        <tr r="H93" s="3"/>
        <tr r="H93" s="3"/>
        <tr r="H92" s="3"/>
        <tr r="H92" s="3"/>
        <tr r="H92" s="3"/>
        <tr r="H91" s="3"/>
        <tr r="H91" s="3"/>
        <tr r="H91" s="3"/>
        <tr r="H90" s="3"/>
        <tr r="H90" s="3"/>
        <tr r="H90" s="3"/>
        <tr r="H89" s="3"/>
        <tr r="H89" s="3"/>
        <tr r="H89" s="3"/>
        <tr r="H88" s="3"/>
        <tr r="H88" s="3"/>
        <tr r="H88" s="3"/>
        <tr r="H87" s="3"/>
        <tr r="H87" s="3"/>
        <tr r="H87" s="3"/>
        <tr r="H86" s="3"/>
        <tr r="H86" s="3"/>
        <tr r="H86" s="3"/>
        <tr r="H85" s="3"/>
        <tr r="H85" s="3"/>
        <tr r="H85" s="3"/>
        <tr r="H84" s="3"/>
        <tr r="H84" s="3"/>
        <tr r="H84" s="3"/>
        <tr r="H83" s="3"/>
        <tr r="H83" s="3"/>
        <tr r="H83" s="3"/>
        <tr r="H82" s="3"/>
        <tr r="H82" s="3"/>
        <tr r="H82" s="3"/>
        <tr r="H81" s="3"/>
        <tr r="H81" s="3"/>
        <tr r="H81" s="3"/>
        <tr r="H80" s="3"/>
        <tr r="H80" s="3"/>
        <tr r="H80" s="3"/>
        <tr r="H79" s="3"/>
        <tr r="H79" s="3"/>
        <tr r="H79" s="3"/>
      </tp>
      <tp t="e">
        <v>#N/A</v>
        <stp/>
        <stp>BDP|10831346774004166313</stp>
        <tr r="AE107" s="1"/>
      </tp>
      <tp t="e">
        <v>#N/A</v>
        <stp/>
        <stp>BDP|11647452048784056633</stp>
        <tr r="AK19" s="1"/>
        <tr r="AK19" s="1"/>
        <tr r="AK19" s="1"/>
      </tp>
      <tp t="e">
        <v>#N/A</v>
        <stp/>
        <stp>BDP|10650335125532800001</stp>
        <tr r="H51" s="1"/>
        <tr r="H51" s="1"/>
      </tp>
      <tp t="e">
        <v>#N/A</v>
        <stp/>
        <stp>BDP|15586170380598139785</stp>
        <tr r="L78" s="3"/>
        <tr r="L77" s="3"/>
        <tr r="L76" s="3"/>
        <tr r="L75" s="3"/>
        <tr r="L74" s="3"/>
        <tr r="L73" s="3"/>
      </tp>
      <tp t="e">
        <v>#N/A</v>
        <stp/>
        <stp>BDP|17263259118025552216</stp>
        <tr r="AJ66" s="1"/>
        <tr r="AJ66" s="1"/>
        <tr r="AJ42" s="1"/>
        <tr r="AJ42" s="1"/>
        <tr r="AJ49" s="1"/>
        <tr r="AJ49" s="1"/>
      </tp>
      <tp t="e">
        <v>#N/A</v>
        <stp/>
        <stp>BDP|17319225747431837353</stp>
        <tr r="AO99" s="3"/>
        <tr r="AO99" s="3"/>
        <tr r="AO99" s="3"/>
        <tr r="AO98" s="3"/>
        <tr r="AO98" s="3"/>
        <tr r="AO98" s="3"/>
        <tr r="AO97" s="3"/>
        <tr r="AO97" s="3"/>
        <tr r="AO97" s="3"/>
      </tp>
      <tp t="e">
        <v>#N/A</v>
        <stp/>
        <stp>BDP|11792407258571687226</stp>
        <tr r="N165" s="1"/>
        <tr r="N152" s="1"/>
        <tr r="N99" s="1"/>
        <tr r="N146" s="1"/>
        <tr r="N61" s="1"/>
        <tr r="N119" s="1"/>
        <tr r="N38" s="1"/>
        <tr r="N111" s="1"/>
        <tr r="N23" s="1"/>
        <tr r="N74" s="1"/>
        <tr r="N16" s="1"/>
        <tr r="N137" s="1"/>
      </tp>
      <tp t="e">
        <v>#N/A</v>
        <stp/>
        <stp>BDP|11753546099668566647</stp>
        <tr r="AM82" s="1"/>
        <tr r="AM82" s="1"/>
        <tr r="AM39" s="1"/>
        <tr r="AM39" s="1"/>
        <tr r="AM22" s="1"/>
        <tr r="AM22" s="1"/>
        <tr r="AM167" s="1"/>
        <tr r="AM167" s="1"/>
      </tp>
      <tp t="e">
        <v>#N/A</v>
        <stp/>
        <stp>BDP|15414325272854705697</stp>
        <tr r="X130" s="1"/>
      </tp>
      <tp t="e">
        <v>#N/A</v>
        <stp/>
        <stp>BDP|11392559009963640434</stp>
        <tr r="AT6" s="1"/>
      </tp>
      <tp t="e">
        <v>#N/A</v>
        <stp/>
        <stp>BDP|17533748111791883329</stp>
        <tr r="AF50" s="3"/>
        <tr r="AF50" s="3"/>
        <tr r="AF49" s="3"/>
        <tr r="AF49" s="3"/>
        <tr r="AF48" s="3"/>
        <tr r="AF48" s="3"/>
        <tr r="AF47" s="3"/>
        <tr r="AF47" s="3"/>
        <tr r="AF46" s="3"/>
        <tr r="AF46" s="3"/>
        <tr r="AF45" s="3"/>
        <tr r="AF45" s="3"/>
        <tr r="AF44" s="3"/>
        <tr r="AF44" s="3"/>
        <tr r="AF43" s="3"/>
        <tr r="AF43" s="3"/>
        <tr r="AF42" s="3"/>
        <tr r="AF42" s="3"/>
        <tr r="AF41" s="3"/>
        <tr r="AF41" s="3"/>
        <tr r="AF40" s="3"/>
        <tr r="AF40" s="3"/>
        <tr r="AF39" s="3"/>
        <tr r="AF39" s="3"/>
        <tr r="AF38" s="3"/>
        <tr r="AF38" s="3"/>
        <tr r="AF37" s="3"/>
        <tr r="AF37" s="3"/>
        <tr r="AF36" s="3"/>
        <tr r="AF36" s="3"/>
        <tr r="AF35" s="3"/>
        <tr r="AF35" s="3"/>
      </tp>
      <tp t="e">
        <v>#N/A</v>
        <stp/>
        <stp>BDP|11585575613520220696</stp>
        <tr r="AK83" s="1"/>
        <tr r="AK83" s="1"/>
        <tr r="AK83" s="1"/>
        <tr r="AK50" s="1"/>
        <tr r="AK50" s="1"/>
        <tr r="AK50" s="1"/>
      </tp>
      <tp t="e">
        <v>#N/A</v>
        <stp/>
        <stp>BDP|13418492504167097343</stp>
        <tr r="X63" s="1"/>
      </tp>
      <tp t="e">
        <v>#N/A</v>
        <stp/>
        <stp>BDP|12306972693649395893</stp>
        <tr r="Z18" s="1"/>
      </tp>
      <tp t="e">
        <v>#N/A</v>
        <stp/>
        <stp>BDP|10538692835993279562</stp>
        <tr r="I86" s="1"/>
        <tr r="I133" s="1"/>
      </tp>
      <tp t="e">
        <v>#N/A</v>
        <stp/>
        <stp>BDP|17414187527587115073</stp>
        <tr r="AA95" s="1"/>
        <tr r="AA71" s="1"/>
      </tp>
      <tp t="e">
        <v>#N/A</v>
        <stp/>
        <stp>BDP|15645633420441878303</stp>
        <tr r="AT83" s="1"/>
        <tr r="AT50" s="1"/>
      </tp>
      <tp t="e">
        <v>#N/A</v>
        <stp/>
        <stp>BDP|11895315550113011749</stp>
        <tr r="AL69" s="1"/>
        <tr r="AL57" s="1"/>
      </tp>
      <tp t="e">
        <v>#N/A</v>
        <stp/>
        <stp>BDP|11312135021114502591</stp>
        <tr r="AO105" s="1"/>
      </tp>
    </main>
    <main first="bloomberg.rtd">
      <tp t="s">
        <v>#N/A Invalid Override</v>
        <stp/>
        <stp>##V3_BDPV12</stp>
        <stp>XS3000457666 isin</stp>
        <stp>YAS_BOND_YLD</stp>
        <stp>[DPM - Securities Master List (BBG Linked).xlsx]Bonds!R57C10</stp>
        <stp>YAS_YLD_FLAG=15</stp>
        <stp>user_local_trade_date</stp>
        <stp>45783</stp>
        <stp>Yas_bond_px</stp>
        <stp>#N/A Connection</stp>
        <tr r="J57" s="1"/>
      </tp>
      <tp t="s">
        <v>#N/A Invalid Override</v>
        <stp/>
        <stp>##V3_BDPV12</stp>
        <stp>XS3000457666 isin</stp>
        <stp>YAS_BOND_YLD</stp>
        <stp>[DPM - Securities Master List (BBG Linked).xlsx]Bonds!R69C10</stp>
        <stp>YAS_YLD_FLAG=15</stp>
        <stp>user_local_trade_date</stp>
        <stp>45783</stp>
        <stp>Yas_bond_px</stp>
        <stp>#N/A Connection</stp>
        <tr r="J69" s="1"/>
      </tp>
    </main>
    <main first="bofaddin.rtdserver">
      <tp t="e">
        <v>#N/A</v>
        <stp/>
        <stp>BDP|17839135504992174723</stp>
        <tr r="N85" s="1"/>
      </tp>
      <tp t="e">
        <v>#N/A</v>
        <stp/>
        <stp>BDP|11207387354313050720</stp>
        <tr r="AJ46" s="1"/>
        <tr r="AJ46" s="1"/>
        <tr r="AJ144" s="1"/>
        <tr r="AJ144" s="1"/>
        <tr r="AJ134" s="1"/>
        <tr r="AJ134" s="1"/>
      </tp>
      <tp t="e">
        <v>#N/A</v>
        <stp/>
        <stp>BDP|11895044692612026929</stp>
        <tr r="L104" s="1"/>
        <tr r="AS104" s="1"/>
      </tp>
      <tp t="e">
        <v>#N/A</v>
        <stp/>
        <stp>BDP|16992479809003311286</stp>
        <tr r="K51" s="1"/>
      </tp>
    </main>
    <main first="bloomberg.rtd">
      <tp t="s">
        <v>#N/A Invalid Override</v>
        <stp/>
        <stp>##V3_BDPV12</stp>
        <stp>XS2010026727 isin</stp>
        <stp>YAS_BOND_YLD</stp>
        <stp>[DPM - Securities Master List (BBG Linked).xlsx]Bonds!R22C10</stp>
        <stp>YAS_YLD_FLAG=15</stp>
        <stp>user_local_trade_date</stp>
        <stp>45783</stp>
        <stp>Yas_bond_px</stp>
        <stp>#N/A Connection</stp>
        <tr r="J22" s="1"/>
      </tp>
      <tp t="s">
        <v>#N/A Invalid Override</v>
        <stp/>
        <stp>##V3_BDPV12</stp>
        <stp>XS2010026727 isin</stp>
        <stp>YAS_BOND_YLD</stp>
        <stp>[DPM - Securities Master List (BBG Linked).xlsx]Bonds!R39C10</stp>
        <stp>YAS_YLD_FLAG=15</stp>
        <stp>user_local_trade_date</stp>
        <stp>45783</stp>
        <stp>Yas_bond_px</stp>
        <stp>#N/A Connection</stp>
        <tr r="J39" s="1"/>
      </tp>
      <tp t="s">
        <v>#N/A Invalid Override</v>
        <stp/>
        <stp>##V3_BDPV12</stp>
        <stp>XS2010026727 isin</stp>
        <stp>YAS_BOND_YLD</stp>
        <stp>[DPM - Securities Master List (BBG Linked).xlsx]Bonds!R82C10</stp>
        <stp>YAS_YLD_FLAG=15</stp>
        <stp>user_local_trade_date</stp>
        <stp>45783</stp>
        <stp>Yas_bond_px</stp>
        <stp>#N/A Connection</stp>
        <tr r="J82" s="1"/>
      </tp>
    </main>
    <main first="bofaddin.rtdserver">
      <tp t="e">
        <v>#N/A</v>
        <stp/>
        <stp>BDP|18115943654664605387</stp>
        <tr r="Q63" s="3"/>
        <tr r="Q62" s="3"/>
        <tr r="Q61" s="3"/>
        <tr r="Q60" s="3"/>
        <tr r="Q59" s="3"/>
        <tr r="Q58" s="3"/>
        <tr r="Q57" s="3"/>
        <tr r="Q56" s="3"/>
        <tr r="Q55" s="3"/>
        <tr r="Q54" s="3"/>
        <tr r="Q53" s="3"/>
        <tr r="Q52" s="3"/>
        <tr r="Q51" s="3"/>
      </tp>
      <tp t="e">
        <v>#N/A</v>
        <stp/>
        <stp>BDP|14165755298269660050</stp>
        <tr r="H44" s="1"/>
        <tr r="H44" s="1"/>
      </tp>
      <tp t="e">
        <v>#N/A</v>
        <stp/>
        <stp>BDP|11803013486758420257</stp>
        <tr r="M150" s="1"/>
        <tr r="M150" s="1"/>
        <tr r="M122" s="1"/>
        <tr r="M122" s="1"/>
      </tp>
      <tp t="e">
        <v>#N/A</v>
        <stp/>
        <stp>BDP|14356500822007712783</stp>
        <tr r="Y110" s="1"/>
      </tp>
      <tp t="e">
        <v>#N/A</v>
        <stp/>
        <stp>BDP|11583065669290696420</stp>
        <tr r="AM103" s="1"/>
        <tr r="AM103" s="1"/>
      </tp>
      <tp t="e">
        <v>#N/A</v>
        <stp/>
        <stp>BDP|17562248671947715690</stp>
        <tr r="AU20" s="1"/>
        <tr r="AU20" s="1"/>
        <tr r="AU20" s="1"/>
      </tp>
      <tp t="e">
        <v>#N/A</v>
        <stp/>
        <stp>BDP|14394334305047104353</stp>
        <tr r="AM98" s="1"/>
        <tr r="AM98" s="1"/>
        <tr r="AM79" s="1"/>
        <tr r="AM79" s="1"/>
        <tr r="AM5" s="1"/>
        <tr r="AM5" s="1"/>
        <tr r="AM155" s="1"/>
        <tr r="AM155" s="1"/>
        <tr r="AM118" s="1"/>
        <tr r="AM118" s="1"/>
      </tp>
      <tp t="e">
        <v>#N/A</v>
        <stp/>
        <stp>BDP|15912699517299127878</stp>
        <tr r="AT47" s="1"/>
      </tp>
      <tp t="e">
        <v>#N/A</v>
        <stp/>
        <stp>BDP|10407523525517578371</stp>
        <tr r="H12" s="1"/>
        <tr r="H12" s="1"/>
      </tp>
      <tp t="e">
        <v>#N/A</v>
        <stp/>
        <stp>BDP|17820550377376932025</stp>
        <tr r="AM104" s="1"/>
        <tr r="AM104" s="1"/>
      </tp>
      <tp t="e">
        <v>#N/A</v>
        <stp/>
        <stp>BDP|17181556413127511738</stp>
        <tr r="E141" s="3"/>
        <tr r="E140" s="3"/>
        <tr r="E139" s="3"/>
        <tr r="E138" s="3"/>
        <tr r="E137" s="3"/>
        <tr r="E136" s="3"/>
        <tr r="E135" s="3"/>
        <tr r="E134" s="3"/>
        <tr r="E133" s="3"/>
        <tr r="E132" s="3"/>
        <tr r="E131" s="3"/>
        <tr r="E130" s="3"/>
      </tp>
      <tp t="e">
        <v>#N/A</v>
        <stp/>
        <stp>BDP|13865402268105025711</stp>
        <tr r="AK99" s="3"/>
        <tr r="AK99" s="3"/>
        <tr r="AK99" s="3"/>
        <tr r="AK98" s="3"/>
        <tr r="AK98" s="3"/>
        <tr r="AK98" s="3"/>
        <tr r="AK97" s="3"/>
        <tr r="AK97" s="3"/>
        <tr r="AK97" s="3"/>
      </tp>
    </main>
    <main first="bloomberg.rtd">
      <tp t="s">
        <v>#N/A Invalid Override</v>
        <stp/>
        <stp>##V3_BDPV12</stp>
        <stp>XS2103157991 isin</stp>
        <stp>YAS_BOND_YLD</stp>
        <stp>[DPM - Securities Master List (BBG Linked).xlsx]Bonds!R20C10</stp>
        <stp>YAS_YLD_FLAG=15</stp>
        <stp>user_local_trade_date</stp>
        <stp>45783</stp>
        <stp>Yas_bond_px</stp>
        <stp>#N/A Connection</stp>
        <tr r="J20" s="1"/>
      </tp>
    </main>
    <main first="bofaddin.rtdserver">
      <tp t="e">
        <v>#N/A</v>
        <stp/>
        <stp>BDP|16273037969276133598</stp>
        <tr r="AA7" s="1"/>
        <tr r="AA14" s="1"/>
        <tr r="AA108" s="1"/>
      </tp>
      <tp t="e">
        <v>#N/A</v>
        <stp/>
        <stp>BDP|13115284000903172182</stp>
        <tr r="N64" s="1"/>
      </tp>
      <tp t="e">
        <v>#N/A</v>
        <stp/>
        <stp>BDP|11598306913022042262</stp>
        <tr r="AS78" s="1"/>
        <tr r="AS154" s="1"/>
        <tr r="AS149" s="1"/>
        <tr r="AS124" s="1"/>
      </tp>
      <tp t="e">
        <v>#N/A</v>
        <stp/>
        <stp>BDP|10593570374085410420</stp>
        <tr r="H87" s="1"/>
        <tr r="H87" s="1"/>
      </tp>
      <tp t="e">
        <v>#N/A</v>
        <stp/>
        <stp>BDP|13592907863516035967</stp>
        <tr r="AT94" s="1"/>
        <tr r="AT151" s="1"/>
        <tr r="AT123" s="1"/>
        <tr r="AT101" s="1"/>
      </tp>
      <tp t="e">
        <v>#N/A</v>
        <stp/>
        <stp>BDP|10390209069977921035</stp>
        <tr r="H141" s="1"/>
        <tr r="H141" s="1"/>
        <tr r="H131" s="1"/>
        <tr r="H131" s="1"/>
      </tp>
      <tp t="e">
        <v>#N/A</v>
        <stp/>
        <stp>BDP|16334786546801847757</stp>
        <tr r="AD94" s="3"/>
        <tr r="AD94" s="3"/>
        <tr r="AD94" s="3"/>
        <tr r="AD93" s="3"/>
        <tr r="AD93" s="3"/>
        <tr r="AD93" s="3"/>
        <tr r="AD92" s="3"/>
        <tr r="AD92" s="3"/>
        <tr r="AD92" s="3"/>
        <tr r="AD91" s="3"/>
        <tr r="AD91" s="3"/>
        <tr r="AD91" s="3"/>
        <tr r="AD90" s="3"/>
        <tr r="AD90" s="3"/>
        <tr r="AD90" s="3"/>
        <tr r="AD89" s="3"/>
        <tr r="AD89" s="3"/>
        <tr r="AD89" s="3"/>
        <tr r="AD88" s="3"/>
        <tr r="AD88" s="3"/>
        <tr r="AD88" s="3"/>
        <tr r="AD87" s="3"/>
        <tr r="AD87" s="3"/>
        <tr r="AD87" s="3"/>
        <tr r="AD86" s="3"/>
        <tr r="AD86" s="3"/>
        <tr r="AD86" s="3"/>
        <tr r="AD85" s="3"/>
        <tr r="AD85" s="3"/>
        <tr r="AD85" s="3"/>
        <tr r="AD84" s="3"/>
        <tr r="AD84" s="3"/>
        <tr r="AD84" s="3"/>
        <tr r="AD83" s="3"/>
        <tr r="AD83" s="3"/>
        <tr r="AD83" s="3"/>
        <tr r="AD82" s="3"/>
        <tr r="AD82" s="3"/>
        <tr r="AD82" s="3"/>
        <tr r="AD81" s="3"/>
        <tr r="AD81" s="3"/>
        <tr r="AD81" s="3"/>
        <tr r="AD80" s="3"/>
        <tr r="AD80" s="3"/>
        <tr r="AD80" s="3"/>
        <tr r="AD79" s="3"/>
        <tr r="AD79" s="3"/>
        <tr r="AD79" s="3"/>
      </tp>
      <tp t="e">
        <v>#N/A</v>
        <stp/>
        <stp>BDP|14781080149036312559</stp>
        <tr r="H95" s="1"/>
        <tr r="H95" s="1"/>
        <tr r="H71" s="1"/>
        <tr r="H71" s="1"/>
      </tp>
      <tp t="e">
        <v>#N/A</v>
        <stp/>
        <stp>BDP|14952994994497559014</stp>
        <tr r="AU145" s="1"/>
        <tr r="AU145" s="1"/>
        <tr r="AU145" s="1"/>
        <tr r="AU136" s="1"/>
        <tr r="AU136" s="1"/>
        <tr r="AU136" s="1"/>
      </tp>
      <tp t="e">
        <v>#N/A</v>
        <stp/>
        <stp>BDP|13352723031564637053</stp>
        <tr r="E111" s="3"/>
        <tr r="E110" s="3"/>
        <tr r="E109" s="3"/>
        <tr r="E108" s="3"/>
        <tr r="E107" s="3"/>
        <tr r="E106" s="3"/>
        <tr r="E105" s="3"/>
        <tr r="E104" s="3"/>
      </tp>
      <tp t="e">
        <v>#N/A</v>
        <stp/>
        <stp>BDP|12767156323537147530</stp>
        <tr r="N78" s="3"/>
        <tr r="N78" s="3"/>
        <tr r="N78" s="3"/>
        <tr r="N77" s="3"/>
        <tr r="N77" s="3"/>
        <tr r="N77" s="3"/>
        <tr r="N76" s="3"/>
        <tr r="N76" s="3"/>
        <tr r="N76" s="3"/>
        <tr r="N75" s="3"/>
        <tr r="N75" s="3"/>
        <tr r="N75" s="3"/>
        <tr r="N74" s="3"/>
        <tr r="N74" s="3"/>
        <tr r="N74" s="3"/>
        <tr r="N73" s="3"/>
        <tr r="N73" s="3"/>
        <tr r="N73" s="3"/>
      </tp>
      <tp t="e">
        <v>#N/A</v>
        <stp/>
        <stp>BDP|16512641427262400313</stp>
        <tr r="AE148" s="1"/>
        <tr r="AE138" s="1"/>
      </tp>
      <tp t="e">
        <v>#N/A</v>
        <stp/>
        <stp>BDP|12509259322263275227</stp>
        <tr r="E17" s="1"/>
        <tr r="E112" s="1"/>
      </tp>
      <tp t="b">
        <v>0</v>
        <stp/>
        <stp>BDP|17499820899063421690</stp>
        <tr r="F50" s="3"/>
        <tr r="F49" s="3"/>
        <tr r="F48" s="3"/>
        <tr r="F47" s="3"/>
        <tr r="F46" s="3"/>
        <tr r="F45" s="3"/>
        <tr r="F44" s="3"/>
        <tr r="F43" s="3"/>
        <tr r="F42" s="3"/>
        <tr r="F41" s="3"/>
        <tr r="F40" s="3"/>
        <tr r="F39" s="3"/>
        <tr r="F38" s="3"/>
        <tr r="F37" s="3"/>
        <tr r="F36" s="3"/>
        <tr r="F35" s="3"/>
      </tp>
      <tp t="e">
        <v>#N/A</v>
        <stp/>
        <stp>BDP|10098174524699809994</stp>
        <tr r="K160" s="1"/>
      </tp>
      <tp t="e">
        <v>#N/A</v>
        <stp/>
        <stp>BDP|16003120121752985480</stp>
        <tr r="I16" s="3"/>
        <tr r="I16" s="3"/>
        <tr r="I16" s="3"/>
      </tp>
      <tp t="e">
        <v>#N/A</v>
        <stp/>
        <stp>BDP|15405611707271600161</stp>
        <tr r="AU56" s="1"/>
        <tr r="AU56" s="1"/>
        <tr r="AU56" s="1"/>
      </tp>
      <tp t="e">
        <v>#N/A</v>
        <stp/>
        <stp>BDP|15234989249809295239</stp>
        <tr r="AS66" s="1"/>
        <tr r="AS49" s="1"/>
        <tr r="AS42" s="1"/>
      </tp>
      <tp t="e">
        <v>#N/A</v>
        <stp/>
        <stp>BDP|17331362421280033565</stp>
        <tr r="AS35" s="1"/>
        <tr r="AS24" s="1"/>
        <tr r="AS153" s="1"/>
      </tp>
      <tp t="e">
        <v>#N/A</v>
        <stp/>
        <stp>BDP|16376906609124889870</stp>
        <tr r="AH8" s="5"/>
        <tr r="AH7" s="5"/>
        <tr r="AH6" s="5"/>
        <tr r="AH5" s="5"/>
        <tr r="AH4" s="5"/>
        <tr r="AH3" s="5"/>
      </tp>
      <tp t="e">
        <v>#N/A</v>
        <stp/>
        <stp>BDP|18111175324858033071</stp>
        <tr r="Q9" s="3"/>
        <tr r="Q8" s="3"/>
        <tr r="Q7" s="3"/>
        <tr r="Q6" s="3"/>
        <tr r="Q5" s="3"/>
        <tr r="Q4" s="3"/>
        <tr r="Q3" s="3"/>
        <tr r="Q15" s="3"/>
        <tr r="Q14" s="3"/>
        <tr r="Q13" s="3"/>
        <tr r="Q12" s="3"/>
        <tr r="Q11" s="3"/>
        <tr r="Q10" s="3"/>
      </tp>
      <tp t="e">
        <v>#N/A</v>
        <stp/>
        <stp>BDP|10401635141503513262</stp>
        <tr r="H116" s="1"/>
        <tr r="H116" s="1"/>
        <tr r="H70" s="1"/>
        <tr r="H70" s="1"/>
        <tr r="H84" s="1"/>
        <tr r="H84" s="1"/>
        <tr r="H159" s="1"/>
        <tr r="H159" s="1"/>
      </tp>
      <tp t="e">
        <v>#N/A</v>
        <stp/>
        <stp>BDP|18126385807270868833</stp>
        <tr r="X84" s="1"/>
        <tr r="X70" s="1"/>
        <tr r="X159" s="1"/>
        <tr r="X116" s="1"/>
      </tp>
      <tp t="e">
        <v>#N/A</v>
        <stp/>
        <stp>BDP|11481364930357415527</stp>
        <tr r="H78" s="1"/>
        <tr r="H78" s="1"/>
        <tr r="H154" s="1"/>
        <tr r="H154" s="1"/>
        <tr r="H149" s="1"/>
        <tr r="H149" s="1"/>
        <tr r="H124" s="1"/>
        <tr r="H124" s="1"/>
      </tp>
      <tp t="e">
        <v>#N/A</v>
        <stp/>
        <stp>BDP|13888616842760717280</stp>
        <tr r="AG16" s="3"/>
        <tr r="AG16" s="3"/>
        <tr r="AG16" s="3"/>
      </tp>
      <tp t="e">
        <v>#N/A</v>
        <stp/>
        <stp>BDP|14743520292892594968</stp>
        <tr r="Z51" s="1"/>
      </tp>
      <tp t="e">
        <v>#N/A</v>
        <stp/>
        <stp>BDP|10555239643576583342</stp>
        <tr r="N141" s="3"/>
        <tr r="N141" s="3"/>
        <tr r="N141" s="3"/>
        <tr r="N140" s="3"/>
        <tr r="N140" s="3"/>
        <tr r="N140" s="3"/>
        <tr r="N139" s="3"/>
        <tr r="N139" s="3"/>
        <tr r="N139" s="3"/>
        <tr r="N138" s="3"/>
        <tr r="N138" s="3"/>
        <tr r="N138" s="3"/>
        <tr r="N137" s="3"/>
        <tr r="N137" s="3"/>
        <tr r="N137" s="3"/>
        <tr r="N136" s="3"/>
        <tr r="N136" s="3"/>
        <tr r="N136" s="3"/>
        <tr r="N135" s="3"/>
        <tr r="N135" s="3"/>
        <tr r="N135" s="3"/>
        <tr r="N134" s="3"/>
        <tr r="N134" s="3"/>
        <tr r="N134" s="3"/>
        <tr r="N133" s="3"/>
        <tr r="N133" s="3"/>
        <tr r="N133" s="3"/>
        <tr r="N132" s="3"/>
        <tr r="N132" s="3"/>
        <tr r="N132" s="3"/>
        <tr r="N131" s="3"/>
        <tr r="N131" s="3"/>
        <tr r="N131" s="3"/>
        <tr r="N130" s="3"/>
        <tr r="N130" s="3"/>
        <tr r="N130" s="3"/>
      </tp>
      <tp t="e">
        <v>#N/A</v>
        <stp/>
        <stp>BDP|12497476430184296255</stp>
        <tr r="AE72" s="1"/>
        <tr r="AE33" s="1"/>
        <tr r="AE158" s="1"/>
      </tp>
      <tp t="e">
        <v>#N/A</v>
        <stp/>
        <stp>BDP|17666225631362439755</stp>
        <tr r="H130" s="1"/>
        <tr r="H130" s="1"/>
      </tp>
      <tp t="e">
        <v>#N/A</v>
        <stp/>
        <stp>BDP|12250637676595726540</stp>
        <tr r="F103" s="1"/>
      </tp>
      <tp t="e">
        <v>#N/A</v>
        <stp/>
        <stp>BDP|12133038125761015208</stp>
        <tr r="V15" s="1"/>
        <tr r="V109" s="1"/>
      </tp>
      <tp t="e">
        <v>#N/A</v>
        <stp/>
        <stp>BDP|13092906596440329032</stp>
        <tr r="M114" s="3"/>
        <tr r="M114" s="3"/>
        <tr r="M114" s="3"/>
        <tr r="M113" s="3"/>
        <tr r="M113" s="3"/>
        <tr r="M113" s="3"/>
        <tr r="M112" s="3"/>
        <tr r="M112" s="3"/>
        <tr r="M112" s="3"/>
      </tp>
      <tp t="e">
        <v>#N/A</v>
        <stp/>
        <stp>BDP|13615646965825738564</stp>
        <tr r="AU73" s="1"/>
        <tr r="AU73" s="1"/>
        <tr r="AU73" s="1"/>
        <tr r="AU168" s="1"/>
        <tr r="AU168" s="1"/>
        <tr r="AU168" s="1"/>
      </tp>
      <tp t="e">
        <v>#N/A</v>
        <stp/>
        <stp>BDP|16252654453876250000</stp>
        <tr r="AK80" s="1"/>
        <tr r="AK80" s="1"/>
        <tr r="AK80" s="1"/>
        <tr r="AK58" s="1"/>
        <tr r="AK58" s="1"/>
        <tr r="AK58" s="1"/>
        <tr r="AK28" s="1"/>
        <tr r="AK28" s="1"/>
        <tr r="AK28" s="1"/>
        <tr r="AK161" s="1"/>
        <tr r="AK161" s="1"/>
        <tr r="AK161" s="1"/>
        <tr r="AK121" s="1"/>
        <tr r="AK121" s="1"/>
        <tr r="AK121" s="1"/>
        <tr r="AK10" s="1"/>
        <tr r="AK10" s="1"/>
        <tr r="AK10" s="1"/>
      </tp>
      <tp t="e">
        <v>#N/A</v>
        <stp/>
        <stp>BDP|10252506315546913184</stp>
        <tr r="AU130" s="1"/>
        <tr r="AU130" s="1"/>
        <tr r="AU130" s="1"/>
      </tp>
      <tp t="e">
        <v>#N/A</v>
        <stp/>
        <stp>BDP|15668181166895983474</stp>
        <tr r="L139" s="1"/>
        <tr r="L139" s="1"/>
        <tr r="L129" s="1"/>
        <tr r="L129" s="1"/>
        <tr r="AS139" s="1"/>
        <tr r="AS129" s="1"/>
      </tp>
    </main>
    <main first="bloomberg.rtd">
      <tp>
        <v>2.2503690000000001</v>
        <stp/>
        <stp>##V3_BDPV12</stp>
        <stp>NEM AT Equity</stp>
        <stp>CHG_PCT_1D</stp>
        <stp>[DPM - Securities Master List (BBG Linked).xlsx]Equities!R192C22</stp>
        <tr r="V192" s="2"/>
      </tp>
      <tp>
        <v>2.2503690000000001</v>
        <stp/>
        <stp>##V3_BDPV12</stp>
        <stp>NEM AT Equity</stp>
        <stp>CHG_PCT_1D</stp>
        <stp>[DPM - Securities Master List (BBG Linked).xlsx]Equities!R190C22</stp>
        <tr r="V190" s="2"/>
      </tp>
      <tp>
        <v>2.2503690000000001</v>
        <stp/>
        <stp>##V3_BDPV12</stp>
        <stp>NEM AT Equity</stp>
        <stp>CHG_PCT_1D</stp>
        <stp>[DPM - Securities Master List (BBG Linked).xlsx]Equities!R191C22</stp>
        <tr r="V191" s="2"/>
      </tp>
      <tp>
        <v>2.2503690000000001</v>
        <stp/>
        <stp>##V3_BDPV12</stp>
        <stp>NEM AT Equity</stp>
        <stp>CHG_PCT_1D</stp>
        <stp>[DPM - Securities Master List (BBG Linked).xlsx]Equities!R189C22</stp>
        <tr r="V189" s="2"/>
      </tp>
      <tp>
        <v>63.761539459228516</v>
        <stp/>
        <stp>##V3_BDPV12</stp>
        <stp>TTE FP Equity</stp>
        <stp>BEST_TARGET_PRICE</stp>
        <stp>[DPM - Securities Master List (BBG Linked).xlsx]Equities!R288C38</stp>
        <tr r="AL288" s="2"/>
      </tp>
      <tp>
        <v>63.761539459228516</v>
        <stp/>
        <stp>##V3_BDPV12</stp>
        <stp>TTE FP Equity</stp>
        <stp>BEST_TARGET_PRICE</stp>
        <stp>[DPM - Securities Master List (BBG Linked).xlsx]Equities!R283C38</stp>
        <tr r="AL283" s="2"/>
      </tp>
      <tp>
        <v>63.761539459228516</v>
        <stp/>
        <stp>##V3_BDPV12</stp>
        <stp>TTE FP Equity</stp>
        <stp>BEST_TARGET_PRICE</stp>
        <stp>[DPM - Securities Master List (BBG Linked).xlsx]Equities!R282C38</stp>
        <tr r="AL282" s="2"/>
      </tp>
      <tp>
        <v>63.761539459228516</v>
        <stp/>
        <stp>##V3_BDPV12</stp>
        <stp>TTE FP Equity</stp>
        <stp>BEST_TARGET_PRICE</stp>
        <stp>[DPM - Securities Master List (BBG Linked).xlsx]Equities!R281C38</stp>
        <tr r="AL281" s="2"/>
      </tp>
      <tp>
        <v>63.761539459228516</v>
        <stp/>
        <stp>##V3_BDPV12</stp>
        <stp>TTE FP Equity</stp>
        <stp>BEST_TARGET_PRICE</stp>
        <stp>[DPM - Securities Master List (BBG Linked).xlsx]Equities!R280C38</stp>
        <tr r="AL280" s="2"/>
      </tp>
      <tp>
        <v>63.761539459228516</v>
        <stp/>
        <stp>##V3_BDPV12</stp>
        <stp>TTE FP Equity</stp>
        <stp>BEST_TARGET_PRICE</stp>
        <stp>[DPM - Securities Master List (BBG Linked).xlsx]Equities!R287C38</stp>
        <tr r="AL287" s="2"/>
      </tp>
      <tp>
        <v>63.761539459228516</v>
        <stp/>
        <stp>##V3_BDPV12</stp>
        <stp>TTE FP Equity</stp>
        <stp>BEST_TARGET_PRICE</stp>
        <stp>[DPM - Securities Master List (BBG Linked).xlsx]Equities!R286C38</stp>
        <tr r="AL286" s="2"/>
      </tp>
      <tp>
        <v>63.761539459228516</v>
        <stp/>
        <stp>##V3_BDPV12</stp>
        <stp>TTE FP Equity</stp>
        <stp>BEST_TARGET_PRICE</stp>
        <stp>[DPM - Securities Master List (BBG Linked).xlsx]Equities!R285C38</stp>
        <tr r="AL285" s="2"/>
      </tp>
      <tp>
        <v>63.761539459228516</v>
        <stp/>
        <stp>##V3_BDPV12</stp>
        <stp>TTE FP Equity</stp>
        <stp>BEST_TARGET_PRICE</stp>
        <stp>[DPM - Securities Master List (BBG Linked).xlsx]Equities!R284C38</stp>
        <tr r="AL284" s="2"/>
      </tp>
      <tp>
        <v>63.761539459228516</v>
        <stp/>
        <stp>##V3_BDPV12</stp>
        <stp>TTE FP Equity</stp>
        <stp>BEST_TARGET_PRICE</stp>
        <stp>[DPM - Securities Master List (BBG Linked).xlsx]Equities!R279C38</stp>
        <tr r="AL279" s="2"/>
      </tp>
      <tp>
        <v>63.761539459228516</v>
        <stp/>
        <stp>##V3_BDPV12</stp>
        <stp>TTE FP Equity</stp>
        <stp>BEST_TARGET_PRICE</stp>
        <stp>[DPM - Securities Master List (BBG Linked).xlsx]Equities!R278C38</stp>
        <tr r="AL278" s="2"/>
      </tp>
      <tp>
        <v>63.761539459228516</v>
        <stp/>
        <stp>##V3_BDPV12</stp>
        <stp>TTE FP Equity</stp>
        <stp>BEST_TARGET_PRICE</stp>
        <stp>[DPM - Securities Master List (BBG Linked).xlsx]Equities!R277C38</stp>
        <tr r="AL277" s="2"/>
      </tp>
      <tp>
        <v>63.761539459228516</v>
        <stp/>
        <stp>##V3_BDPV12</stp>
        <stp>TTE FP Equity</stp>
        <stp>BEST_TARGET_PRICE</stp>
        <stp>[DPM - Securities Master List (BBG Linked).xlsx]Equities!R276C38</stp>
        <tr r="AL276" s="2"/>
      </tp>
      <tp>
        <v>0</v>
        <stp/>
        <stp>##V3_BDPV12</stp>
        <stp>DD US Equity</stp>
        <stp>TOT_SELL_REC</stp>
        <stp>[DPM - Securities Master List (BBG Linked).xlsx]Equities!R91C36</stp>
        <tr r="AJ91" s="2"/>
      </tp>
      <tp>
        <v>4</v>
        <stp/>
        <stp>##V3_BDPV12</stp>
        <stp>DELL US Equity</stp>
        <stp>TOT_HOLD_REC</stp>
        <stp>[DPM - Securities Master List (BBG Linked).xlsx]Equities!R98C35</stp>
        <tr r="AI98" s="2"/>
      </tp>
      <tp>
        <v>4</v>
        <stp/>
        <stp>##V3_BDPV12</stp>
        <stp>DELL US Equity</stp>
        <stp>TOT_HOLD_REC</stp>
        <stp>[DPM - Securities Master List (BBG Linked).xlsx]Equities!R99C35</stp>
        <tr r="AI99" s="2"/>
      </tp>
      <tp>
        <v>4</v>
        <stp/>
        <stp>##V3_BDPV12</stp>
        <stp>DELL US Equity</stp>
        <stp>TOT_HOLD_REC</stp>
        <stp>[DPM - Securities Master List (BBG Linked).xlsx]Equities!R92C35</stp>
        <tr r="AI92" s="2"/>
      </tp>
      <tp>
        <v>4</v>
        <stp/>
        <stp>##V3_BDPV12</stp>
        <stp>DELL US Equity</stp>
        <stp>TOT_HOLD_REC</stp>
        <stp>[DPM - Securities Master List (BBG Linked).xlsx]Equities!R93C35</stp>
        <tr r="AI93" s="2"/>
      </tp>
      <tp>
        <v>4</v>
        <stp/>
        <stp>##V3_BDPV12</stp>
        <stp>DELL US Equity</stp>
        <stp>TOT_HOLD_REC</stp>
        <stp>[DPM - Securities Master List (BBG Linked).xlsx]Equities!R96C35</stp>
        <tr r="AI96" s="2"/>
      </tp>
      <tp>
        <v>4</v>
        <stp/>
        <stp>##V3_BDPV12</stp>
        <stp>DELL US Equity</stp>
        <stp>TOT_HOLD_REC</stp>
        <stp>[DPM - Securities Master List (BBG Linked).xlsx]Equities!R97C35</stp>
        <tr r="AI97" s="2"/>
      </tp>
      <tp>
        <v>4</v>
        <stp/>
        <stp>##V3_BDPV12</stp>
        <stp>DELL US Equity</stp>
        <stp>TOT_HOLD_REC</stp>
        <stp>[DPM - Securities Master List (BBG Linked).xlsx]Equities!R94C35</stp>
        <tr r="AI94" s="2"/>
      </tp>
      <tp>
        <v>4</v>
        <stp/>
        <stp>##V3_BDPV12</stp>
        <stp>DELL US Equity</stp>
        <stp>TOT_HOLD_REC</stp>
        <stp>[DPM - Securities Master List (BBG Linked).xlsx]Equities!R95C35</stp>
        <tr r="AI95" s="2"/>
      </tp>
      <tp>
        <v>3.6055990000000002</v>
        <stp/>
        <stp>##V3_BDPV12</stp>
        <stp>MSFT US Equity</stp>
        <stp>CHG_PCT_6M</stp>
        <stp>[DPM - Securities Master List (BBG Linked).xlsx]Equities!R188C42</stp>
        <tr r="AP188" s="2"/>
      </tp>
      <tp>
        <v>3.6055990000000002</v>
        <stp/>
        <stp>##V3_BDPV12</stp>
        <stp>MSFT US Equity</stp>
        <stp>CHG_PCT_6M</stp>
        <stp>[DPM - Securities Master List (BBG Linked).xlsx]Equities!R182C42</stp>
        <tr r="AP182" s="2"/>
      </tp>
      <tp>
        <v>3.6055990000000002</v>
        <stp/>
        <stp>##V3_BDPV12</stp>
        <stp>MSFT US Equity</stp>
        <stp>CHG_PCT_6M</stp>
        <stp>[DPM - Securities Master List (BBG Linked).xlsx]Equities!R183C42</stp>
        <tr r="AP183" s="2"/>
      </tp>
      <tp>
        <v>3.6055990000000002</v>
        <stp/>
        <stp>##V3_BDPV12</stp>
        <stp>MSFT US Equity</stp>
        <stp>CHG_PCT_6M</stp>
        <stp>[DPM - Securities Master List (BBG Linked).xlsx]Equities!R180C42</stp>
        <tr r="AP180" s="2"/>
      </tp>
      <tp>
        <v>3.6055990000000002</v>
        <stp/>
        <stp>##V3_BDPV12</stp>
        <stp>MSFT US Equity</stp>
        <stp>CHG_PCT_6M</stp>
        <stp>[DPM - Securities Master List (BBG Linked).xlsx]Equities!R181C42</stp>
        <tr r="AP181" s="2"/>
      </tp>
      <tp>
        <v>3.6055990000000002</v>
        <stp/>
        <stp>##V3_BDPV12</stp>
        <stp>MSFT US Equity</stp>
        <stp>CHG_PCT_6M</stp>
        <stp>[DPM - Securities Master List (BBG Linked).xlsx]Equities!R186C42</stp>
        <tr r="AP186" s="2"/>
      </tp>
      <tp>
        <v>3.6055990000000002</v>
        <stp/>
        <stp>##V3_BDPV12</stp>
        <stp>MSFT US Equity</stp>
        <stp>CHG_PCT_6M</stp>
        <stp>[DPM - Securities Master List (BBG Linked).xlsx]Equities!R187C42</stp>
        <tr r="AP187" s="2"/>
      </tp>
      <tp>
        <v>3.6055990000000002</v>
        <stp/>
        <stp>##V3_BDPV12</stp>
        <stp>MSFT US Equity</stp>
        <stp>CHG_PCT_6M</stp>
        <stp>[DPM - Securities Master List (BBG Linked).xlsx]Equities!R184C42</stp>
        <tr r="AP184" s="2"/>
      </tp>
      <tp>
        <v>3.6055990000000002</v>
        <stp/>
        <stp>##V3_BDPV12</stp>
        <stp>MSFT US Equity</stp>
        <stp>CHG_PCT_6M</stp>
        <stp>[DPM - Securities Master List (BBG Linked).xlsx]Equities!R185C42</stp>
        <tr r="AP185" s="2"/>
      </tp>
      <tp>
        <v>3.6055990000000002</v>
        <stp/>
        <stp>##V3_BDPV12</stp>
        <stp>MSFT US Equity</stp>
        <stp>CHG_PCT_6M</stp>
        <stp>[DPM - Securities Master List (BBG Linked).xlsx]Equities!R178C42</stp>
        <tr r="AP178" s="2"/>
      </tp>
      <tp>
        <v>3.6055990000000002</v>
        <stp/>
        <stp>##V3_BDPV12</stp>
        <stp>MSFT US Equity</stp>
        <stp>CHG_PCT_6M</stp>
        <stp>[DPM - Securities Master List (BBG Linked).xlsx]Equities!R179C42</stp>
        <tr r="AP179" s="2"/>
      </tp>
      <tp>
        <v>3.6055990000000002</v>
        <stp/>
        <stp>##V3_BDPV12</stp>
        <stp>MSFT US Equity</stp>
        <stp>CHG_PCT_6M</stp>
        <stp>[DPM - Securities Master List (BBG Linked).xlsx]Equities!R172C42</stp>
        <tr r="AP172" s="2"/>
      </tp>
      <tp>
        <v>3.6055990000000002</v>
        <stp/>
        <stp>##V3_BDPV12</stp>
        <stp>MSFT US Equity</stp>
        <stp>CHG_PCT_6M</stp>
        <stp>[DPM - Securities Master List (BBG Linked).xlsx]Equities!R173C42</stp>
        <tr r="AP173" s="2"/>
      </tp>
      <tp>
        <v>3.6055990000000002</v>
        <stp/>
        <stp>##V3_BDPV12</stp>
        <stp>MSFT US Equity</stp>
        <stp>CHG_PCT_6M</stp>
        <stp>[DPM - Securities Master List (BBG Linked).xlsx]Equities!R170C42</stp>
        <tr r="AP170" s="2"/>
      </tp>
      <tp>
        <v>3.6055990000000002</v>
        <stp/>
        <stp>##V3_BDPV12</stp>
        <stp>MSFT US Equity</stp>
        <stp>CHG_PCT_6M</stp>
        <stp>[DPM - Securities Master List (BBG Linked).xlsx]Equities!R171C42</stp>
        <tr r="AP171" s="2"/>
      </tp>
      <tp>
        <v>3.6055990000000002</v>
        <stp/>
        <stp>##V3_BDPV12</stp>
        <stp>MSFT US Equity</stp>
        <stp>CHG_PCT_6M</stp>
        <stp>[DPM - Securities Master List (BBG Linked).xlsx]Equities!R176C42</stp>
        <tr r="AP176" s="2"/>
      </tp>
      <tp>
        <v>3.6055990000000002</v>
        <stp/>
        <stp>##V3_BDPV12</stp>
        <stp>MSFT US Equity</stp>
        <stp>CHG_PCT_6M</stp>
        <stp>[DPM - Securities Master List (BBG Linked).xlsx]Equities!R177C42</stp>
        <tr r="AP177" s="2"/>
      </tp>
      <tp>
        <v>3.6055990000000002</v>
        <stp/>
        <stp>##V3_BDPV12</stp>
        <stp>MSFT US Equity</stp>
        <stp>CHG_PCT_6M</stp>
        <stp>[DPM - Securities Master List (BBG Linked).xlsx]Equities!R174C42</stp>
        <tr r="AP174" s="2"/>
      </tp>
      <tp>
        <v>3.6055990000000002</v>
        <stp/>
        <stp>##V3_BDPV12</stp>
        <stp>MSFT US Equity</stp>
        <stp>CHG_PCT_6M</stp>
        <stp>[DPM - Securities Master List (BBG Linked).xlsx]Equities!R175C42</stp>
        <tr r="AP175" s="2"/>
      </tp>
    </main>
    <main first="bofaddin.rtdserver">
      <tp t="e">
        <v>#N/A</v>
        <stp/>
        <stp>BDP|15712197028393791585</stp>
        <tr r="AS59" s="1"/>
        <tr r="AS41" s="1"/>
        <tr r="AS37" s="1"/>
        <tr r="AS29" s="1"/>
        <tr r="L29" s="1"/>
        <tr r="L29" s="1"/>
        <tr r="L89" s="1"/>
        <tr r="L89" s="1"/>
        <tr r="L81" s="1"/>
        <tr r="L81" s="1"/>
        <tr r="L59" s="1"/>
        <tr r="L59" s="1"/>
        <tr r="AS89" s="1"/>
        <tr r="AS164" s="1"/>
        <tr r="AS135" s="1"/>
        <tr r="AS81" s="1"/>
        <tr r="L41" s="1"/>
        <tr r="L41" s="1"/>
        <tr r="L37" s="1"/>
        <tr r="L37" s="1"/>
        <tr r="L164" s="1"/>
        <tr r="L164" s="1"/>
        <tr r="L135" s="1"/>
        <tr r="L135" s="1"/>
      </tp>
      <tp t="e">
        <v>#N/A</v>
        <stp/>
        <stp>BDP|16598185592946057863</stp>
        <tr r="BC72" s="3"/>
        <tr r="BC71" s="3"/>
        <tr r="BC70" s="3"/>
        <tr r="BC69" s="3"/>
        <tr r="BC68" s="3"/>
        <tr r="BC67" s="3"/>
        <tr r="BC66" s="3"/>
        <tr r="BC65" s="3"/>
      </tp>
      <tp t="e">
        <v>#N/A</v>
        <stp/>
        <stp>BDP|12760604551664947560</stp>
        <tr r="X141" s="1"/>
        <tr r="X131" s="1"/>
      </tp>
      <tp t="e">
        <v>#N/A</v>
        <stp/>
        <stp>BDP|10049770121955895073</stp>
        <tr r="AA9" s="1"/>
      </tp>
      <tp t="e">
        <v>#N/A</v>
        <stp/>
        <stp>BDP|12209202268190330607</stp>
        <tr r="F63" s="1"/>
      </tp>
      <tp t="e">
        <v>#N/A</v>
        <stp/>
        <stp>BDP|11745797854184755742</stp>
        <tr r="N102" s="3"/>
        <tr r="N102" s="3"/>
        <tr r="N102" s="3"/>
        <tr r="N101" s="3"/>
        <tr r="N101" s="3"/>
        <tr r="N101" s="3"/>
        <tr r="N100" s="3"/>
        <tr r="N100" s="3"/>
        <tr r="N100" s="3"/>
      </tp>
      <tp t="e">
        <v>#N/A</v>
        <stp/>
        <stp>BDP|18033651577811916831</stp>
        <tr r="H103" s="1"/>
      </tp>
      <tp t="e">
        <v>#N/A</v>
        <stp/>
        <stp>BDP|10212925692474224481</stp>
        <tr r="K145" s="1"/>
        <tr r="K136" s="1"/>
      </tp>
      <tp t="e">
        <v>#N/A</v>
        <stp/>
        <stp>BDP|11539595393734240954</stp>
        <tr r="N51" s="1"/>
      </tp>
      <tp t="e">
        <v>#N/A</v>
        <stp/>
        <stp>BDP|16171610878390366732</stp>
        <tr r="AD102" s="3"/>
        <tr r="AD102" s="3"/>
        <tr r="AD102" s="3"/>
        <tr r="AD101" s="3"/>
        <tr r="AD101" s="3"/>
        <tr r="AD101" s="3"/>
        <tr r="AD100" s="3"/>
        <tr r="AD100" s="3"/>
        <tr r="AD100" s="3"/>
      </tp>
    </main>
    <main first="bloomberg.rtd">
      <tp t="s">
        <v>#N/A Invalid Override</v>
        <stp/>
        <stp>##V3_BDPV12</stp>
        <stp>XS2356571559 isin</stp>
        <stp>YAS_BOND_YLD</stp>
        <stp>[DPM - Securities Master List (BBG Linked).xlsx]Bonds!R72C10</stp>
        <stp>YAS_YLD_FLAG=15</stp>
        <stp>user_local_trade_date</stp>
        <stp>45783</stp>
        <stp>Yas_bond_px</stp>
        <stp>#N/A Connection</stp>
        <tr r="J72" s="1"/>
      </tp>
      <tp t="s">
        <v>#N/A Invalid Override</v>
        <stp/>
        <stp>##V3_BDPV12</stp>
        <stp>XS2356571559 isin</stp>
        <stp>YAS_BOND_YLD</stp>
        <stp>[DPM - Securities Master List (BBG Linked).xlsx]Bonds!R33C10</stp>
        <stp>YAS_YLD_FLAG=15</stp>
        <stp>user_local_trade_date</stp>
        <stp>45783</stp>
        <stp>Yas_bond_px</stp>
        <stp>#N/A Connection</stp>
        <tr r="J33" s="1"/>
      </tp>
    </main>
    <main first="bofaddin.rtdserver">
      <tp t="e">
        <v>#N/A</v>
        <stp/>
        <stp>BDP|12960038921770192018</stp>
        <tr r="AA140" s="1"/>
        <tr r="AA128" s="1"/>
      </tp>
      <tp t="e">
        <v>#N/A</v>
        <stp/>
        <stp>BDP|14530995963729336277</stp>
        <tr r="AH96" s="3"/>
        <tr r="AH96" s="3"/>
        <tr r="AH96" s="3"/>
        <tr r="AH95" s="3"/>
        <tr r="AH95" s="3"/>
        <tr r="AH95" s="3"/>
      </tp>
      <tp t="e">
        <v>#N/A</v>
        <stp/>
        <stp>BDP|14956795822009141880</stp>
        <tr r="W140" s="1"/>
        <tr r="W128" s="1"/>
      </tp>
    </main>
    <main first="bloomberg.rtd">
      <tp t="s">
        <v>#N/A Invalid Override</v>
        <stp/>
        <stp>##V3_BDPV12</stp>
        <stp>XS2131567138 isin</stp>
        <stp>YAS_BOND_YLD</stp>
        <stp>[DPM - Securities Master List (BBG Linked).xlsx]Bonds!R85C10</stp>
        <stp>YAS_YLD_FLAG=15</stp>
        <stp>user_local_trade_date</stp>
        <stp>45783</stp>
        <stp>Yas_bond_px</stp>
        <stp>#N/A Connection</stp>
        <tr r="J85" s="1"/>
      </tp>
    </main>
    <main first="bofaddin.rtdserver">
      <tp t="e">
        <v>#N/A</v>
        <stp/>
        <stp>BDP|17632459422646347782</stp>
        <tr r="AK111" s="3"/>
        <tr r="AK111" s="3"/>
        <tr r="AK111" s="3"/>
        <tr r="AK110" s="3"/>
        <tr r="AK110" s="3"/>
        <tr r="AK110" s="3"/>
        <tr r="AK109" s="3"/>
        <tr r="AK109" s="3"/>
        <tr r="AK109" s="3"/>
        <tr r="AK108" s="3"/>
        <tr r="AK108" s="3"/>
        <tr r="AK108" s="3"/>
        <tr r="AK107" s="3"/>
        <tr r="AK107" s="3"/>
        <tr r="AK107" s="3"/>
        <tr r="AK106" s="3"/>
        <tr r="AK106" s="3"/>
        <tr r="AK106" s="3"/>
        <tr r="AK105" s="3"/>
        <tr r="AK105" s="3"/>
        <tr r="AK105" s="3"/>
        <tr r="AK104" s="3"/>
        <tr r="AK104" s="3"/>
        <tr r="AK104" s="3"/>
      </tp>
      <tp t="e">
        <v>#N/A</v>
        <stp/>
        <stp>BDP|17153483912066397426</stp>
        <tr r="Y103" s="1"/>
      </tp>
      <tp t="e">
        <v>#N/A</v>
        <stp/>
        <stp>BDP|15057736033434394597</stp>
        <tr r="AD62" s="1"/>
        <tr r="AD115" s="1"/>
        <tr r="AD45" s="1"/>
        <tr r="AD53" s="1"/>
      </tp>
      <tp t="e">
        <v>#N/A</v>
        <stp/>
        <stp>BDP|17837657310963043371</stp>
        <tr r="Q50" s="3"/>
        <tr r="Q49" s="3"/>
        <tr r="Q48" s="3"/>
        <tr r="Q47" s="3"/>
        <tr r="Q46" s="3"/>
        <tr r="Q45" s="3"/>
        <tr r="Q44" s="3"/>
        <tr r="Q43" s="3"/>
        <tr r="Q42" s="3"/>
        <tr r="Q41" s="3"/>
        <tr r="Q40" s="3"/>
        <tr r="Q39" s="3"/>
        <tr r="Q38" s="3"/>
        <tr r="Q37" s="3"/>
        <tr r="Q36" s="3"/>
        <tr r="Q35" s="3"/>
      </tp>
      <tp t="e">
        <v>#N/A</v>
        <stp/>
        <stp>BDP|12407240475232716580</stp>
        <tr r="K63" s="1"/>
      </tp>
      <tp t="e">
        <v>#N/A</v>
        <stp/>
        <stp>BDP|14823339993276614849</stp>
        <tr r="H63" s="1"/>
        <tr r="H63" s="1"/>
      </tp>
      <tp t="e">
        <v>#N/A</v>
        <stp/>
        <stp>BDP|16496053116863837450</stp>
        <tr r="AR119" s="3"/>
        <tr r="AR119" s="3"/>
        <tr r="AR119" s="3"/>
        <tr r="AR118" s="3"/>
        <tr r="AR118" s="3"/>
        <tr r="AR118" s="3"/>
        <tr r="AR117" s="3"/>
        <tr r="AR117" s="3"/>
        <tr r="AR117" s="3"/>
        <tr r="AR116" s="3"/>
        <tr r="AR116" s="3"/>
        <tr r="AR116" s="3"/>
      </tp>
      <tp t="e">
        <v>#N/A</v>
        <stp/>
        <stp>BDP|14321777229896795703</stp>
        <tr r="AL141" s="1"/>
        <tr r="AL131" s="1"/>
      </tp>
    </main>
    <main first="bloomberg.rtd">
      <tp t="s">
        <v>#N/A Invalid Override</v>
        <stp/>
        <stp>##V3_BDPV12</stp>
        <stp>XS2630917107 isin</stp>
        <stp>YAS_BOND_YLD</stp>
        <stp>[DPM - Securities Master List (BBG Linked).xlsx]Bonds!R96C10</stp>
        <stp>YAS_YLD_FLAG=15</stp>
        <stp>user_local_trade_date</stp>
        <stp>45783</stp>
        <stp>Yas_bond_px</stp>
        <stp>#N/A Connection</stp>
        <tr r="J96" s="1"/>
      </tp>
      <tp t="s">
        <v>#N/A Invalid Override</v>
        <stp/>
        <stp>##V3_BDPV12</stp>
        <stp>XS2630917107 isin</stp>
        <stp>YAS_BOND_YLD</stp>
        <stp>[DPM - Securities Master List (BBG Linked).xlsx]Bonds!R77C10</stp>
        <stp>YAS_YLD_FLAG=15</stp>
        <stp>user_local_trade_date</stp>
        <stp>45783</stp>
        <stp>Yas_bond_px</stp>
        <stp>#N/A Connection</stp>
        <tr r="J77" s="1"/>
      </tp>
      <tp t="s">
        <v>#N/A Invalid Override</v>
        <stp/>
        <stp>##V3_BDPV12</stp>
        <stp>XS2630917107 isin</stp>
        <stp>YAS_BOND_YLD</stp>
        <stp>[DPM - Securities Master List (BBG Linked).xlsx]Bonds!R65C10</stp>
        <stp>YAS_YLD_FLAG=15</stp>
        <stp>user_local_trade_date</stp>
        <stp>45783</stp>
        <stp>Yas_bond_px</stp>
        <stp>#N/A Connection</stp>
        <tr r="J65" s="1"/>
      </tp>
      <tp t="s">
        <v>#N/A Invalid Override</v>
        <stp/>
        <stp>##V3_BDPV12</stp>
        <stp>XS2630917107 isin</stp>
        <stp>YAS_BOND_YLD</stp>
        <stp>[DPM - Securities Master List (BBG Linked).xlsx]Bonds!R36C10</stp>
        <stp>YAS_YLD_FLAG=15</stp>
        <stp>user_local_trade_date</stp>
        <stp>45783</stp>
        <stp>Yas_bond_px</stp>
        <stp>#N/A Connection</stp>
        <tr r="J36" s="1"/>
      </tp>
      <tp t="s">
        <v>#N/A Invalid Override</v>
        <stp/>
        <stp>##V3_BDPV12</stp>
        <stp>XS2630917107 isin</stp>
        <stp>YAS_BOND_YLD</stp>
        <stp>[DPM - Securities Master List (BBG Linked).xlsx]Bonds!R27C10</stp>
        <stp>YAS_YLD_FLAG=15</stp>
        <stp>user_local_trade_date</stp>
        <stp>45783</stp>
        <stp>Yas_bond_px</stp>
        <stp>#N/A Connection</stp>
        <tr r="J27" s="1"/>
      </tp>
    </main>
    <main first="bofaddin.rtdserver">
      <tp t="e">
        <v>#N/A</v>
        <stp/>
        <stp>BDP|15032719961960914449</stp>
        <tr r="AU78" s="1"/>
        <tr r="AU78" s="1"/>
        <tr r="AU78" s="1"/>
        <tr r="AU154" s="1"/>
        <tr r="AU154" s="1"/>
        <tr r="AU154" s="1"/>
        <tr r="AU149" s="1"/>
        <tr r="AU149" s="1"/>
        <tr r="AU149" s="1"/>
        <tr r="AU124" s="1"/>
        <tr r="AU124" s="1"/>
        <tr r="AU124" s="1"/>
      </tp>
      <tp t="e">
        <v>#N/A</v>
        <stp/>
        <stp>BDP|14801845293985071020</stp>
        <tr r="W72" s="1"/>
        <tr r="W33" s="1"/>
        <tr r="W158" s="1"/>
      </tp>
      <tp t="e">
        <v>#N/A</v>
        <stp/>
        <stp>BDP|16344970299940702675</stp>
        <tr r="N18" s="1"/>
      </tp>
    </main>
    <main first="bloomberg.rtd">
      <tp>
        <v>579.93499999999995</v>
        <stp/>
        <stp>##V3_BDPV12</stp>
        <stp>REGN US Equity</stp>
        <stp>PX_Last</stp>
        <stp>[DPM - Securities Master List (BBG Linked).xlsx]Equities!R241C17</stp>
        <tr r="Q241" s="2"/>
      </tp>
    </main>
    <main first="bofaddin.rtdserver">
      <tp t="e">
        <v>#N/A</v>
        <stp/>
        <stp>BDP|14405557315660900004</stp>
        <tr r="AL64" s="3"/>
        <tr r="AL64" s="3"/>
        <tr r="AL64" s="3"/>
      </tp>
    </main>
    <main first="bloomberg.rtd">
      <tp>
        <v>579.93499999999995</v>
        <stp/>
        <stp>##V3_BDPV12</stp>
        <stp>REGN US Equity</stp>
        <stp>PX_last</stp>
        <stp>[DPM - Securities Master List (BBG Linked).xlsx]Equities!R241C17</stp>
        <tr r="Q241" s="2"/>
      </tp>
    </main>
    <main first="bofaddin.rtdserver">
      <tp t="e">
        <v>#N/A</v>
        <stp/>
        <stp>BDP|11605835902188291192</stp>
        <tr r="AF96" s="3"/>
        <tr r="AF96" s="3"/>
        <tr r="AF95" s="3"/>
        <tr r="AF95" s="3"/>
      </tp>
    </main>
    <main first="bofaddin.rtdserver">
      <tp t="e">
        <v>#N/A</v>
        <stp/>
        <stp>BDP|17814992678898493128</stp>
        <tr r="H139" s="1"/>
        <tr r="H139" s="1"/>
        <tr r="H129" s="1"/>
        <tr r="H129" s="1"/>
      </tp>
      <tp t="e">
        <v>#N/A</v>
        <stp/>
        <stp>BDP|12323804205969189389</stp>
        <tr r="AJ111" s="3"/>
        <tr r="AJ111" s="3"/>
        <tr r="AJ111" s="3"/>
        <tr r="AJ110" s="3"/>
        <tr r="AJ110" s="3"/>
        <tr r="AJ110" s="3"/>
        <tr r="AJ109" s="3"/>
        <tr r="AJ109" s="3"/>
        <tr r="AJ109" s="3"/>
        <tr r="AJ108" s="3"/>
        <tr r="AJ108" s="3"/>
        <tr r="AJ108" s="3"/>
        <tr r="AJ107" s="3"/>
        <tr r="AJ107" s="3"/>
        <tr r="AJ107" s="3"/>
        <tr r="AJ106" s="3"/>
        <tr r="AJ106" s="3"/>
        <tr r="AJ106" s="3"/>
        <tr r="AJ105" s="3"/>
        <tr r="AJ105" s="3"/>
        <tr r="AJ105" s="3"/>
        <tr r="AJ104" s="3"/>
        <tr r="AJ104" s="3"/>
        <tr r="AJ104" s="3"/>
      </tp>
      <tp t="e">
        <v>#N/A</v>
        <stp/>
        <stp>BDP|10864318080613572832</stp>
        <tr r="AS18" s="1"/>
        <tr r="L18" s="1"/>
        <tr r="L18" s="1"/>
      </tp>
      <tp t="e">
        <v>#N/A</v>
        <stp/>
        <stp>BDP|13654674662551547293</stp>
        <tr r="M6" s="1"/>
        <tr r="M6" s="1"/>
      </tp>
      <tp t="e">
        <v>#N/A</v>
        <stp/>
        <stp>BDP|16603477621298758882</stp>
        <tr r="H64" s="3"/>
        <tr r="H64" s="3"/>
        <tr r="H64" s="3"/>
      </tp>
      <tp t="e">
        <v>#N/A</v>
        <stp/>
        <stp>BDP|13961470050192659072</stp>
        <tr r="AI119" s="3"/>
        <tr r="AI119" s="3"/>
        <tr r="AI119" s="3"/>
        <tr r="AI118" s="3"/>
        <tr r="AI118" s="3"/>
        <tr r="AI118" s="3"/>
        <tr r="AI117" s="3"/>
        <tr r="AI117" s="3"/>
        <tr r="AI117" s="3"/>
        <tr r="AI116" s="3"/>
        <tr r="AI116" s="3"/>
        <tr r="AI116" s="3"/>
      </tp>
      <tp t="e">
        <v>#N/A</v>
        <stp/>
        <stp>BDP|12360038001687692586</stp>
        <tr r="M52" s="1"/>
        <tr r="M52" s="1"/>
      </tp>
      <tp t="e">
        <v>#N/A</v>
        <stp/>
        <stp>BDP|10800945971267256906</stp>
        <tr r="H145" s="1"/>
        <tr r="H145" s="1"/>
        <tr r="H136" s="1"/>
        <tr r="H136" s="1"/>
      </tp>
      <tp t="e">
        <v>#N/A</v>
        <stp/>
        <stp>BDP|10826437404216002203</stp>
        <tr r="AS90" s="1"/>
      </tp>
      <tp t="e">
        <v>#N/A</v>
        <stp/>
        <stp>BDP|18319216649316691831</stp>
        <tr r="W103" s="3"/>
      </tp>
      <tp t="e">
        <v>#N/A</v>
        <stp/>
        <stp>BDP|14708788310094446650</stp>
        <tr r="AM115" s="3"/>
        <tr r="AM115" s="3"/>
        <tr r="AM115" s="3"/>
      </tp>
      <tp t="e">
        <v>#N/A</v>
        <stp/>
        <stp>BDP|17558042302373958440</stp>
        <tr r="AQ50" s="3"/>
        <tr r="AQ50" s="3"/>
        <tr r="AQ50" s="3"/>
        <tr r="AQ49" s="3"/>
        <tr r="AQ49" s="3"/>
        <tr r="AQ49" s="3"/>
        <tr r="AQ48" s="3"/>
        <tr r="AQ48" s="3"/>
        <tr r="AQ48" s="3"/>
        <tr r="AQ47" s="3"/>
        <tr r="AQ47" s="3"/>
        <tr r="AQ47" s="3"/>
        <tr r="AQ46" s="3"/>
        <tr r="AQ46" s="3"/>
        <tr r="AQ46" s="3"/>
        <tr r="AQ45" s="3"/>
        <tr r="AQ45" s="3"/>
        <tr r="AQ45" s="3"/>
        <tr r="AQ44" s="3"/>
        <tr r="AQ44" s="3"/>
        <tr r="AQ44" s="3"/>
        <tr r="AQ43" s="3"/>
        <tr r="AQ43" s="3"/>
        <tr r="AQ43" s="3"/>
        <tr r="AQ42" s="3"/>
        <tr r="AQ42" s="3"/>
        <tr r="AQ42" s="3"/>
        <tr r="AQ41" s="3"/>
        <tr r="AQ41" s="3"/>
        <tr r="AQ41" s="3"/>
        <tr r="AQ40" s="3"/>
        <tr r="AQ40" s="3"/>
        <tr r="AQ40" s="3"/>
        <tr r="AQ39" s="3"/>
        <tr r="AQ39" s="3"/>
        <tr r="AQ39" s="3"/>
        <tr r="AQ38" s="3"/>
        <tr r="AQ38" s="3"/>
        <tr r="AQ38" s="3"/>
        <tr r="AQ37" s="3"/>
        <tr r="AQ37" s="3"/>
        <tr r="AQ37" s="3"/>
        <tr r="AQ36" s="3"/>
        <tr r="AQ36" s="3"/>
        <tr r="AQ36" s="3"/>
        <tr r="AQ35" s="3"/>
        <tr r="AQ35" s="3"/>
        <tr r="AQ35" s="3"/>
      </tp>
      <tp t="e">
        <v>#N/A</v>
        <stp/>
        <stp>BDP|14669026675930658365</stp>
        <tr r="AO51" s="1"/>
      </tp>
      <tp t="e">
        <v>#N/A</v>
        <stp/>
        <stp>BDP|15280644613760513213</stp>
        <tr r="AO113" s="1"/>
      </tp>
      <tp t="e">
        <v>#N/A</v>
        <stp/>
        <stp>BDP|15736472623190252302</stp>
        <tr r="AE9" s="3"/>
        <tr r="AE9" s="3"/>
        <tr r="AE9" s="3"/>
        <tr r="AE8" s="3"/>
        <tr r="AE8" s="3"/>
        <tr r="AE8" s="3"/>
        <tr r="AE7" s="3"/>
        <tr r="AE7" s="3"/>
        <tr r="AE7" s="3"/>
        <tr r="AE6" s="3"/>
        <tr r="AE6" s="3"/>
        <tr r="AE6" s="3"/>
        <tr r="AE5" s="3"/>
        <tr r="AE5" s="3"/>
        <tr r="AE5" s="3"/>
        <tr r="AE4" s="3"/>
        <tr r="AE4" s="3"/>
        <tr r="AE4" s="3"/>
        <tr r="AE3" s="3"/>
        <tr r="AE3" s="3"/>
        <tr r="AE3" s="3"/>
        <tr r="AE15" s="3"/>
        <tr r="AE15" s="3"/>
        <tr r="AE15" s="3"/>
        <tr r="AE14" s="3"/>
        <tr r="AE14" s="3"/>
        <tr r="AE14" s="3"/>
        <tr r="AE13" s="3"/>
        <tr r="AE13" s="3"/>
        <tr r="AE13" s="3"/>
        <tr r="AE12" s="3"/>
        <tr r="AE12" s="3"/>
        <tr r="AE12" s="3"/>
        <tr r="AE11" s="3"/>
        <tr r="AE11" s="3"/>
        <tr r="AE11" s="3"/>
        <tr r="AE10" s="3"/>
        <tr r="AE10" s="3"/>
        <tr r="AE10" s="3"/>
      </tp>
      <tp t="e">
        <v>#N/A</v>
        <stp/>
        <stp>BDP|13269736555771351064</stp>
        <tr r="H54" s="1"/>
        <tr r="H54" s="1"/>
      </tp>
      <tp t="e">
        <v>#N/A</v>
        <stp/>
        <stp>BDP|12492634075593068038</stp>
        <tr r="AU62" s="1"/>
        <tr r="AU62" s="1"/>
        <tr r="AU62" s="1"/>
        <tr r="AU53" s="1"/>
        <tr r="AU53" s="1"/>
        <tr r="AU53" s="1"/>
        <tr r="AU45" s="1"/>
        <tr r="AU45" s="1"/>
        <tr r="AU45" s="1"/>
        <tr r="AU115" s="1"/>
        <tr r="AU115" s="1"/>
        <tr r="AU115" s="1"/>
      </tp>
      <tp t="e">
        <v>#N/A</v>
        <stp/>
        <stp>BDP|17445620388428905164</stp>
        <tr r="Z140" s="1"/>
        <tr r="Z128" s="1"/>
      </tp>
      <tp t="e">
        <v>#N/A</v>
        <stp/>
        <stp>BDP|17499610991181671925</stp>
        <tr r="AD91" s="1"/>
        <tr r="AD76" s="1"/>
        <tr r="AD55" s="1"/>
        <tr r="AD48" s="1"/>
        <tr r="AD26" s="1"/>
        <tr r="AD157" s="1"/>
        <tr r="AD142" s="1"/>
        <tr r="AD132" s="1"/>
        <tr r="AD120" s="1"/>
        <tr r="AD100" s="1"/>
      </tp>
      <tp t="e">
        <v>#N/A</v>
        <stp/>
        <stp>BDP|16384652183198548005</stp>
        <tr r="AJ85" s="1"/>
        <tr r="AJ85" s="1"/>
      </tp>
      <tp t="e">
        <v>#N/A</v>
        <stp/>
        <stp>BDP|11928629457392934055</stp>
        <tr r="Y51" s="1"/>
      </tp>
      <tp t="e">
        <v>#N/A</v>
        <stp/>
        <stp>BDP|11256368124400907097</stp>
        <tr r="AF99" s="3"/>
        <tr r="AF99" s="3"/>
        <tr r="AF98" s="3"/>
        <tr r="AF98" s="3"/>
        <tr r="AF97" s="3"/>
        <tr r="AF97" s="3"/>
      </tp>
      <tp t="e">
        <v>#N/A</v>
        <stp/>
        <stp>BDP|12518302563245372251</stp>
        <tr r="AM88" s="1"/>
        <tr r="AM88" s="1"/>
      </tp>
    </main>
    <main first="bloomberg.rtd">
      <tp t="s">
        <v>#N/A Invalid Override</v>
        <stp/>
        <stp>##V3_BDPV12</stp>
        <stp>XS2419405274 isin</stp>
        <stp>YAS_BOND_YLD</stp>
        <stp>[DPM - Securities Master List (BBG Linked).xlsx]Bonds!R17C10</stp>
        <stp>YAS_YLD_FLAG=15</stp>
        <stp>user_local_trade_date</stp>
        <stp>45783</stp>
        <stp>Yas_bond_px</stp>
        <stp>#N/A Connection</stp>
        <tr r="J17" s="1"/>
      </tp>
    </main>
    <main first="bofaddin.rtdserver">
      <tp t="e">
        <v>#N/A</v>
        <stp/>
        <stp>BDP|17708062153736348420</stp>
        <tr r="AE32" s="1"/>
      </tp>
      <tp t="e">
        <v>#N/A</v>
        <stp/>
        <stp>BDP|12580240917953378261</stp>
        <tr r="AC16" s="3"/>
        <tr r="AC16" s="3"/>
        <tr r="AC16" s="3"/>
      </tp>
      <tp t="e">
        <v>#N/A</v>
        <stp/>
        <stp>BDP|11432518353521214064</stp>
        <tr r="M141" s="1"/>
        <tr r="M141" s="1"/>
        <tr r="M131" s="1"/>
        <tr r="M131" s="1"/>
      </tp>
      <tp t="e">
        <v>#N/A</v>
        <stp/>
        <stp>BDP|14500653110584684747</stp>
        <tr r="AA110" s="1"/>
      </tp>
      <tp t="e">
        <v>#N/A</v>
        <stp/>
        <stp>BDP|17134068460272057355</stp>
        <tr r="AD80" s="1"/>
        <tr r="AD58" s="1"/>
        <tr r="AD28" s="1"/>
        <tr r="AD161" s="1"/>
        <tr r="AD121" s="1"/>
        <tr r="AD10" s="1"/>
      </tp>
      <tp t="e">
        <v>#N/A</v>
        <stp/>
        <stp>BDP|10272351441371009648</stp>
        <tr r="AK72" s="1"/>
        <tr r="AK72" s="1"/>
        <tr r="AK72" s="1"/>
        <tr r="AK33" s="1"/>
        <tr r="AK33" s="1"/>
        <tr r="AK33" s="1"/>
        <tr r="AK158" s="1"/>
        <tr r="AK158" s="1"/>
        <tr r="AK158" s="1"/>
      </tp>
      <tp t="e">
        <v>#N/A</v>
        <stp/>
        <stp>BDP|15170846035988485661</stp>
        <tr r="M35" s="1"/>
        <tr r="M35" s="1"/>
        <tr r="M24" s="1"/>
        <tr r="M24" s="1"/>
        <tr r="M153" s="1"/>
        <tr r="M153" s="1"/>
      </tp>
      <tp t="e">
        <v>#N/A</v>
        <stp/>
        <stp>BDP|11350612701076962181</stp>
        <tr r="AL105" s="1"/>
      </tp>
      <tp t="e">
        <v>#N/A</v>
        <stp/>
        <stp>BDP|13325512824461771534</stp>
        <tr r="I68" s="1"/>
        <tr r="I31" s="1"/>
      </tp>
      <tp t="e">
        <v>#N/A</v>
        <stp/>
        <stp>BDP|12889098803540164214</stp>
        <tr r="AS160" s="1"/>
        <tr r="L160" s="1"/>
        <tr r="L160" s="1"/>
      </tp>
      <tp t="e">
        <v>#N/A</v>
        <stp/>
        <stp>BDP|10839786425856834383</stp>
        <tr r="K95" s="1"/>
        <tr r="K71" s="1"/>
      </tp>
      <tp t="e">
        <v>#N/A</v>
        <stp/>
        <stp>BDP|14970869592237192299</stp>
        <tr r="AL6" s="1"/>
      </tp>
      <tp t="e">
        <v>#N/A</v>
        <stp/>
        <stp>BDP|16428427535628537931</stp>
        <tr r="Z19" s="1"/>
      </tp>
      <tp t="e">
        <v>#N/A</v>
        <stp/>
        <stp>BDP|15762283805265961264</stp>
        <tr r="AO46" s="1"/>
        <tr r="AO144" s="1"/>
        <tr r="AO134" s="1"/>
      </tp>
      <tp t="e">
        <v>#N/A</v>
        <stp/>
        <stp>BDP|10675232636987362645</stp>
        <tr r="H78" s="1"/>
        <tr r="H78" s="1"/>
        <tr r="H154" s="1"/>
        <tr r="H154" s="1"/>
        <tr r="H149" s="1"/>
        <tr r="H149" s="1"/>
        <tr r="H124" s="1"/>
        <tr r="H124" s="1"/>
      </tp>
      <tp t="e">
        <v>#N/A</v>
        <stp/>
        <stp>BDP|13606635684359298473</stp>
        <tr r="W96" s="3"/>
        <tr r="W95" s="3"/>
      </tp>
      <tp t="e">
        <v>#N/A</v>
        <stp/>
        <stp>BDP|13181986364049926500</stp>
        <tr r="Q64" s="3"/>
      </tp>
      <tp t="e">
        <v>#N/A</v>
        <stp/>
        <stp>BDP|17377545818022366182</stp>
        <tr r="AO95" s="1"/>
        <tr r="AO71" s="1"/>
      </tp>
      <tp t="e">
        <v>#N/A</v>
        <stp/>
        <stp>BDP|15567071922891210655</stp>
        <tr r="AE119" s="3"/>
        <tr r="AE119" s="3"/>
        <tr r="AE119" s="3"/>
        <tr r="AE118" s="3"/>
        <tr r="AE118" s="3"/>
        <tr r="AE118" s="3"/>
        <tr r="AE117" s="3"/>
        <tr r="AE117" s="3"/>
        <tr r="AE117" s="3"/>
        <tr r="AE116" s="3"/>
        <tr r="AE116" s="3"/>
        <tr r="AE116" s="3"/>
      </tp>
      <tp t="e">
        <v>#N/A</v>
        <stp/>
        <stp>BDP|14427552258072820669</stp>
        <tr r="I113" s="1"/>
      </tp>
      <tp t="e">
        <v>#N/A</v>
        <stp/>
        <stp>BDP|14797977069048945375</stp>
        <tr r="W68" s="1"/>
        <tr r="W31" s="1"/>
      </tp>
      <tp t="e">
        <v>#N/A</v>
        <stp/>
        <stp>BDP|15926892370752405834</stp>
        <tr r="AO78" s="3"/>
        <tr r="AO78" s="3"/>
        <tr r="AO78" s="3"/>
        <tr r="AO77" s="3"/>
        <tr r="AO77" s="3"/>
        <tr r="AO77" s="3"/>
        <tr r="AO76" s="3"/>
        <tr r="AO76" s="3"/>
        <tr r="AO76" s="3"/>
        <tr r="AO75" s="3"/>
        <tr r="AO75" s="3"/>
        <tr r="AO75" s="3"/>
        <tr r="AO74" s="3"/>
        <tr r="AO74" s="3"/>
        <tr r="AO74" s="3"/>
        <tr r="AO73" s="3"/>
        <tr r="AO73" s="3"/>
        <tr r="AO73" s="3"/>
      </tp>
      <tp t="e">
        <v>#N/A</v>
        <stp/>
        <stp>BDP|17863814089880149769</stp>
        <tr r="Y8" s="5"/>
        <tr r="Y8" s="5"/>
        <tr r="Y8" s="5"/>
        <tr r="Y6" s="5"/>
        <tr r="Y6" s="5"/>
        <tr r="Y6" s="5"/>
        <tr r="Y4" s="5"/>
        <tr r="Y4" s="5"/>
        <tr r="Y4" s="5"/>
      </tp>
      <tp t="e">
        <v>#N/A</v>
        <stp/>
        <stp>BDP|16658480203822365080</stp>
        <tr r="E46" s="1"/>
        <tr r="E144" s="1"/>
        <tr r="E134" s="1"/>
      </tp>
      <tp t="e">
        <v>#N/A</v>
        <stp/>
        <stp>BDP|12149736657377315709</stp>
        <tr r="AV94" s="3"/>
        <tr r="AV94" s="3"/>
        <tr r="AV93" s="3"/>
        <tr r="AV93" s="3"/>
        <tr r="AV92" s="3"/>
        <tr r="AV92" s="3"/>
        <tr r="AV91" s="3"/>
        <tr r="AV91" s="3"/>
        <tr r="AV90" s="3"/>
        <tr r="AV90" s="3"/>
        <tr r="AV89" s="3"/>
        <tr r="AV89" s="3"/>
        <tr r="AV88" s="3"/>
        <tr r="AV88" s="3"/>
        <tr r="AV87" s="3"/>
        <tr r="AV87" s="3"/>
        <tr r="AV86" s="3"/>
        <tr r="AV86" s="3"/>
        <tr r="AV85" s="3"/>
        <tr r="AV85" s="3"/>
        <tr r="AV84" s="3"/>
        <tr r="AV84" s="3"/>
        <tr r="AV83" s="3"/>
        <tr r="AV83" s="3"/>
        <tr r="AV82" s="3"/>
        <tr r="AV82" s="3"/>
        <tr r="AV81" s="3"/>
        <tr r="AV81" s="3"/>
        <tr r="AV80" s="3"/>
        <tr r="AV80" s="3"/>
        <tr r="AV79" s="3"/>
        <tr r="AV79" s="3"/>
      </tp>
      <tp t="e">
        <v>#N/A</v>
        <stp/>
        <stp>BDP|11204648405122461511</stp>
        <tr r="K20" s="1"/>
      </tp>
      <tp t="e">
        <v>#N/A</v>
        <stp/>
        <stp>BDP|13122406178620953066</stp>
        <tr r="E9" s="1"/>
      </tp>
    </main>
    <main first="bloomberg.rtd">
      <tp>
        <v>90.283332824707031</v>
        <stp/>
        <stp>##V3_BDPV12</stp>
        <stp>NVO US Equity</stp>
        <stp>BEST_TARGET_PRICE</stp>
        <stp>[DPM - Securities Master List (BBG Linked).xlsx]Equities!R225C38</stp>
        <tr r="AL225" s="2"/>
      </tp>
      <tp>
        <v>5.5454210000000002</v>
        <stp/>
        <stp>##V3_BDPV12</stp>
        <stp>GSK LN Equity</stp>
        <stp>CHG_PCT_6M</stp>
        <stp>[DPM - Securities Master List (BBG Linked).xlsx]Equities!R144C42</stp>
        <tr r="AP144" s="2"/>
      </tp>
      <tp>
        <v>5.5454210000000002</v>
        <stp/>
        <stp>##V3_BDPV12</stp>
        <stp>GSK LN Equity</stp>
        <stp>CHG_PCT_6M</stp>
        <stp>[DPM - Securities Master List (BBG Linked).xlsx]Equities!R145C42</stp>
        <tr r="AP145" s="2"/>
      </tp>
      <tp>
        <v>5.5454210000000002</v>
        <stp/>
        <stp>##V3_BDPV12</stp>
        <stp>GSK LN Equity</stp>
        <stp>CHG_PCT_6M</stp>
        <stp>[DPM - Securities Master List (BBG Linked).xlsx]Equities!R142C42</stp>
        <tr r="AP142" s="2"/>
      </tp>
      <tp>
        <v>5.5454210000000002</v>
        <stp/>
        <stp>##V3_BDPV12</stp>
        <stp>GSK LN Equity</stp>
        <stp>CHG_PCT_6M</stp>
        <stp>[DPM - Securities Master List (BBG Linked).xlsx]Equities!R143C42</stp>
        <tr r="AP143" s="2"/>
      </tp>
      <tp>
        <v>-19.904699999999998</v>
        <stp/>
        <stp>##V3_BDPV12</stp>
        <stp>MRK US Equity</stp>
        <stp>CHG_PCT_6M</stp>
        <stp>[DPM - Securities Master List (BBG Linked).xlsx]Equities!R162C42</stp>
        <tr r="AP162" s="2"/>
      </tp>
      <tp>
        <v>-19.904699999999998</v>
        <stp/>
        <stp>##V3_BDPV12</stp>
        <stp>MRK US Equity</stp>
        <stp>CHG_PCT_6M</stp>
        <stp>[DPM - Securities Master List (BBG Linked).xlsx]Equities!R163C42</stp>
        <tr r="AP163" s="2"/>
      </tp>
      <tp>
        <v>-19.904699999999998</v>
        <stp/>
        <stp>##V3_BDPV12</stp>
        <stp>MRK US Equity</stp>
        <stp>CHG_PCT_6M</stp>
        <stp>[DPM - Securities Master List (BBG Linked).xlsx]Equities!R160C42</stp>
        <tr r="AP160" s="2"/>
      </tp>
      <tp>
        <v>-19.904699999999998</v>
        <stp/>
        <stp>##V3_BDPV12</stp>
        <stp>MRK US Equity</stp>
        <stp>CHG_PCT_6M</stp>
        <stp>[DPM - Securities Master List (BBG Linked).xlsx]Equities!R161C42</stp>
        <tr r="AP161" s="2"/>
      </tp>
      <tp>
        <v>-19.904699999999998</v>
        <stp/>
        <stp>##V3_BDPV12</stp>
        <stp>MRK US Equity</stp>
        <stp>CHG_PCT_6M</stp>
        <stp>[DPM - Securities Master List (BBG Linked).xlsx]Equities!R166C42</stp>
        <tr r="AP166" s="2"/>
      </tp>
      <tp>
        <v>-19.904699999999998</v>
        <stp/>
        <stp>##V3_BDPV12</stp>
        <stp>MRK US Equity</stp>
        <stp>CHG_PCT_6M</stp>
        <stp>[DPM - Securities Master List (BBG Linked).xlsx]Equities!R167C42</stp>
        <tr r="AP167" s="2"/>
      </tp>
      <tp>
        <v>-19.904699999999998</v>
        <stp/>
        <stp>##V3_BDPV12</stp>
        <stp>MRK US Equity</stp>
        <stp>CHG_PCT_6M</stp>
        <stp>[DPM - Securities Master List (BBG Linked).xlsx]Equities!R164C42</stp>
        <tr r="AP164" s="2"/>
      </tp>
      <tp>
        <v>-19.904699999999998</v>
        <stp/>
        <stp>##V3_BDPV12</stp>
        <stp>MRK US Equity</stp>
        <stp>CHG_PCT_6M</stp>
        <stp>[DPM - Securities Master List (BBG Linked).xlsx]Equities!R165C42</stp>
        <tr r="AP165" s="2"/>
      </tp>
      <tp>
        <v>-19.904699999999998</v>
        <stp/>
        <stp>##V3_BDPV12</stp>
        <stp>MRK US Equity</stp>
        <stp>CHG_PCT_6M</stp>
        <stp>[DPM - Securities Master List (BBG Linked).xlsx]Equities!R168C42</stp>
        <tr r="AP168" s="2"/>
      </tp>
      <tp>
        <v>-19.904699999999998</v>
        <stp/>
        <stp>##V3_BDPV12</stp>
        <stp>MRK US Equity</stp>
        <stp>CHG_PCT_6M</stp>
        <stp>[DPM - Securities Master List (BBG Linked).xlsx]Equities!R169C42</stp>
        <tr r="AP169" s="2"/>
      </tp>
      <tp>
        <v>-19.904699999999998</v>
        <stp/>
        <stp>##V3_BDPV12</stp>
        <stp>MRK US Equity</stp>
        <stp>CHG_PCT_6M</stp>
        <stp>[DPM - Securities Master List (BBG Linked).xlsx]Equities!R157C42</stp>
        <tr r="AP157" s="2"/>
      </tp>
      <tp>
        <v>-19.904699999999998</v>
        <stp/>
        <stp>##V3_BDPV12</stp>
        <stp>MRK US Equity</stp>
        <stp>CHG_PCT_6M</stp>
        <stp>[DPM - Securities Master List (BBG Linked).xlsx]Equities!R158C42</stp>
        <tr r="AP158" s="2"/>
      </tp>
      <tp>
        <v>-19.904699999999998</v>
        <stp/>
        <stp>##V3_BDPV12</stp>
        <stp>MRK US Equity</stp>
        <stp>CHG_PCT_6M</stp>
        <stp>[DPM - Securities Master List (BBG Linked).xlsx]Equities!R159C42</stp>
        <tr r="AP159" s="2"/>
      </tp>
      <tp>
        <v>-11.76671</v>
        <stp/>
        <stp>##V3_BDPV12</stp>
        <stp>ZBH US Equity</stp>
        <stp>CHG_PCT_5D</stp>
        <stp>[DPM - Securities Master List (BBG Linked).xlsx]Equities!R302C23</stp>
        <tr r="W302" s="2"/>
      </tp>
      <tp>
        <v>-11.76671</v>
        <stp/>
        <stp>##V3_BDPV12</stp>
        <stp>ZBH US Equity</stp>
        <stp>CHG_PCT_5D</stp>
        <stp>[DPM - Securities Master List (BBG Linked).xlsx]Equities!R300C23</stp>
        <tr r="W300" s="2"/>
      </tp>
      <tp>
        <v>-11.76671</v>
        <stp/>
        <stp>##V3_BDPV12</stp>
        <stp>ZBH US Equity</stp>
        <stp>CHG_PCT_5D</stp>
        <stp>[DPM - Securities Master List (BBG Linked).xlsx]Equities!R301C23</stp>
        <tr r="W301" s="2"/>
      </tp>
      <tp>
        <v>-11.76671</v>
        <stp/>
        <stp>##V3_BDPV12</stp>
        <stp>ZBH US Equity</stp>
        <stp>CHG_PCT_5D</stp>
        <stp>[DPM - Securities Master List (BBG Linked).xlsx]Equities!R296C23</stp>
        <tr r="W296" s="2"/>
      </tp>
      <tp>
        <v>-11.76671</v>
        <stp/>
        <stp>##V3_BDPV12</stp>
        <stp>ZBH US Equity</stp>
        <stp>CHG_PCT_5D</stp>
        <stp>[DPM - Securities Master List (BBG Linked).xlsx]Equities!R297C23</stp>
        <tr r="W297" s="2"/>
      </tp>
      <tp>
        <v>-11.76671</v>
        <stp/>
        <stp>##V3_BDPV12</stp>
        <stp>ZBH US Equity</stp>
        <stp>CHG_PCT_5D</stp>
        <stp>[DPM - Securities Master List (BBG Linked).xlsx]Equities!R294C23</stp>
        <tr r="W294" s="2"/>
      </tp>
      <tp>
        <v>-11.76671</v>
        <stp/>
        <stp>##V3_BDPV12</stp>
        <stp>ZBH US Equity</stp>
        <stp>CHG_PCT_5D</stp>
        <stp>[DPM - Securities Master List (BBG Linked).xlsx]Equities!R295C23</stp>
        <tr r="W295" s="2"/>
      </tp>
      <tp>
        <v>-11.76671</v>
        <stp/>
        <stp>##V3_BDPV12</stp>
        <stp>ZBH US Equity</stp>
        <stp>CHG_PCT_5D</stp>
        <stp>[DPM - Securities Master List (BBG Linked).xlsx]Equities!R298C23</stp>
        <tr r="W298" s="2"/>
      </tp>
      <tp>
        <v>-11.76671</v>
        <stp/>
        <stp>##V3_BDPV12</stp>
        <stp>ZBH US Equity</stp>
        <stp>CHG_PCT_5D</stp>
        <stp>[DPM - Securities Master List (BBG Linked).xlsx]Equities!R299C23</stp>
        <tr r="W299" s="2"/>
      </tp>
    </main>
    <main first="bofaddin.rtdserver">
      <tp t="e">
        <v>#N/A</v>
        <stp/>
        <stp>BDP|11317667274912990316</stp>
        <tr r="H8" s="1"/>
        <tr r="H8" s="1"/>
        <tr r="H106" s="1"/>
        <tr r="H106" s="1"/>
      </tp>
      <tp t="e">
        <v>#N/A</v>
        <stp/>
        <stp>BDP|13803797370452872003</stp>
        <tr r="AJ5" s="1"/>
        <tr r="AJ5" s="1"/>
        <tr r="AJ155" s="1"/>
        <tr r="AJ155" s="1"/>
        <tr r="AJ118" s="1"/>
        <tr r="AJ118" s="1"/>
        <tr r="AJ98" s="1"/>
        <tr r="AJ98" s="1"/>
        <tr r="AJ79" s="1"/>
        <tr r="AJ79" s="1"/>
      </tp>
    </main>
    <main first="bloomberg.rtd">
      <tp t="s">
        <v>#N/A Invalid Override</v>
        <stp/>
        <stp>##V3_BDPV12</stp>
        <stp>XS2821647364 isin</stp>
        <stp>YAS_BOND_YLD</stp>
        <stp>[DPM - Securities Master List (BBG Linked).xlsx]Bonds!R94C10</stp>
        <stp>YAS_YLD_FLAG=15</stp>
        <stp>user_local_trade_date</stp>
        <stp>45783</stp>
        <stp>Yas_bond_px</stp>
        <stp>#N/A Connection</stp>
        <tr r="J94" s="1"/>
      </tp>
    </main>
    <main first="bofaddin.rtdserver">
      <tp t="e">
        <v>#N/A</v>
        <stp/>
        <stp>BDP|10248238938257454753</stp>
        <tr r="AK78" s="3"/>
        <tr r="AK78" s="3"/>
        <tr r="AK78" s="3"/>
        <tr r="AK77" s="3"/>
        <tr r="AK77" s="3"/>
        <tr r="AK77" s="3"/>
        <tr r="AK76" s="3"/>
        <tr r="AK76" s="3"/>
        <tr r="AK76" s="3"/>
        <tr r="AK75" s="3"/>
        <tr r="AK75" s="3"/>
        <tr r="AK75" s="3"/>
        <tr r="AK74" s="3"/>
        <tr r="AK74" s="3"/>
        <tr r="AK74" s="3"/>
        <tr r="AK73" s="3"/>
        <tr r="AK73" s="3"/>
        <tr r="AK73" s="3"/>
      </tp>
      <tp t="e">
        <v>#N/A</v>
        <stp/>
        <stp>BDP|11968085778780202737</stp>
        <tr r="Z110" s="1"/>
      </tp>
      <tp t="e">
        <v>#N/A</v>
        <stp/>
        <stp>BDP|15266384312845013308</stp>
        <tr r="E72" s="3"/>
        <tr r="E71" s="3"/>
        <tr r="E70" s="3"/>
        <tr r="E69" s="3"/>
        <tr r="E68" s="3"/>
        <tr r="E67" s="3"/>
        <tr r="E66" s="3"/>
        <tr r="E65" s="3"/>
      </tp>
      <tp t="e">
        <v>#N/A</v>
        <stp/>
        <stp>BDP|12731689113507759302</stp>
        <tr r="AN115" s="3"/>
        <tr r="AN115" s="3"/>
        <tr r="AN115" s="3"/>
      </tp>
      <tp t="e">
        <v>#N/A</v>
        <stp/>
        <stp>BDP|12147595903046780074</stp>
        <tr r="AO89" s="1"/>
        <tr r="AO29" s="1"/>
        <tr r="AO41" s="1"/>
        <tr r="AO37" s="1"/>
        <tr r="AO59" s="1"/>
        <tr r="AO81" s="1"/>
        <tr r="AO135" s="1"/>
        <tr r="AO164" s="1"/>
      </tp>
      <tp t="e">
        <v>#N/A</v>
        <stp/>
        <stp>BDP|10411044839662043024</stp>
        <tr r="AI9" s="3"/>
        <tr r="AI9" s="3"/>
        <tr r="AI9" s="3"/>
        <tr r="AI8" s="3"/>
        <tr r="AI8" s="3"/>
        <tr r="AI8" s="3"/>
        <tr r="AI7" s="3"/>
        <tr r="AI7" s="3"/>
        <tr r="AI7" s="3"/>
        <tr r="AI6" s="3"/>
        <tr r="AI6" s="3"/>
        <tr r="AI6" s="3"/>
        <tr r="AI5" s="3"/>
        <tr r="AI5" s="3"/>
        <tr r="AI5" s="3"/>
        <tr r="AI4" s="3"/>
        <tr r="AI4" s="3"/>
        <tr r="AI4" s="3"/>
        <tr r="AI3" s="3"/>
        <tr r="AI3" s="3"/>
        <tr r="AI3" s="3"/>
        <tr r="AI15" s="3"/>
        <tr r="AI15" s="3"/>
        <tr r="AI15" s="3"/>
        <tr r="AI14" s="3"/>
        <tr r="AI14" s="3"/>
        <tr r="AI14" s="3"/>
        <tr r="AI13" s="3"/>
        <tr r="AI13" s="3"/>
        <tr r="AI13" s="3"/>
        <tr r="AI12" s="3"/>
        <tr r="AI12" s="3"/>
        <tr r="AI12" s="3"/>
        <tr r="AI11" s="3"/>
        <tr r="AI11" s="3"/>
        <tr r="AI11" s="3"/>
        <tr r="AI10" s="3"/>
        <tr r="AI10" s="3"/>
        <tr r="AI10" s="3"/>
      </tp>
      <tp t="e">
        <v>#N/A</v>
        <stp/>
        <stp>BDP|11431580606255476057</stp>
        <tr r="AA150" s="1"/>
        <tr r="AA122" s="1"/>
      </tp>
      <tp t="e">
        <v>#N/A</v>
        <stp/>
        <stp>BDP|10283163809524395450</stp>
        <tr r="H16" s="3"/>
        <tr r="H16" s="3"/>
        <tr r="H16" s="3"/>
      </tp>
      <tp t="e">
        <v>#N/A</v>
        <stp/>
        <stp>BDP|16546716149422109672</stp>
        <tr r="E52" s="1"/>
      </tp>
    </main>
    <main first="bloomberg.rtd">
      <tp>
        <v>130.97</v>
        <stp/>
        <stp>##V3_BDPV12</stp>
        <stp>PEP US Equity</stp>
        <stp>PX_Last</stp>
        <stp>[DPM - Securities Master List (BBG Linked).xlsx]Equities!R228C17</stp>
        <tr r="Q228" s="2"/>
      </tp>
      <tp>
        <v>130.97</v>
        <stp/>
        <stp>##V3_BDPV12</stp>
        <stp>PEP US Equity</stp>
        <stp>PX_Last</stp>
        <stp>[DPM - Securities Master List (BBG Linked).xlsx]Equities!R229C17</stp>
        <tr r="Q229" s="2"/>
      </tp>
      <tp>
        <v>130.97</v>
        <stp/>
        <stp>##V3_BDPV12</stp>
        <stp>PEP US Equity</stp>
        <stp>PX_Last</stp>
        <stp>[DPM - Securities Master List (BBG Linked).xlsx]Equities!R227C17</stp>
        <tr r="Q227" s="2"/>
      </tp>
      <tp>
        <v>130.97</v>
        <stp/>
        <stp>##V3_BDPV12</stp>
        <stp>PEP US Equity</stp>
        <stp>PX_Last</stp>
        <stp>[DPM - Securities Master List (BBG Linked).xlsx]Equities!R230C17</stp>
        <tr r="Q230" s="2"/>
      </tp>
      <tp>
        <v>130.97</v>
        <stp/>
        <stp>##V3_BDPV12</stp>
        <stp>PEP US Equity</stp>
        <stp>PX_Last</stp>
        <stp>[DPM - Securities Master List (BBG Linked).xlsx]Equities!R231C17</stp>
        <tr r="Q231" s="2"/>
      </tp>
      <tp>
        <v>130.97</v>
        <stp/>
        <stp>##V3_BDPV12</stp>
        <stp>PEP US Equity</stp>
        <stp>PX_Last</stp>
        <stp>[DPM - Securities Master List (BBG Linked).xlsx]Equities!R232C17</stp>
        <tr r="Q232" s="2"/>
      </tp>
      <tp>
        <v>130.97</v>
        <stp/>
        <stp>##V3_BDPV12</stp>
        <stp>PEP US Equity</stp>
        <stp>PX_Last</stp>
        <stp>[DPM - Securities Master List (BBG Linked).xlsx]Equities!R233C17</stp>
        <tr r="Q233" s="2"/>
      </tp>
      <tp>
        <v>130.97</v>
        <stp/>
        <stp>##V3_BDPV12</stp>
        <stp>PEP US Equity</stp>
        <stp>PX_Last</stp>
        <stp>[DPM - Securities Master List (BBG Linked).xlsx]Equities!R234C17</stp>
        <tr r="Q234" s="2"/>
      </tp>
      <tp>
        <v>130.97</v>
        <stp/>
        <stp>##V3_BDPV12</stp>
        <stp>PEP US Equity</stp>
        <stp>PX_Last</stp>
        <stp>[DPM - Securities Master List (BBG Linked).xlsx]Equities!R235C17</stp>
        <tr r="Q235" s="2"/>
      </tp>
      <tp>
        <v>130.97</v>
        <stp/>
        <stp>##V3_BDPV12</stp>
        <stp>PEP US Equity</stp>
        <stp>PX_Last</stp>
        <stp>[DPM - Securities Master List (BBG Linked).xlsx]Equities!R236C17</stp>
        <tr r="Q236" s="2"/>
      </tp>
      <tp>
        <v>130.97</v>
        <stp/>
        <stp>##V3_BDPV12</stp>
        <stp>PEP US Equity</stp>
        <stp>PX_last</stp>
        <stp>[DPM - Securities Master List (BBG Linked).xlsx]Equities!R228C17</stp>
        <tr r="Q228" s="2"/>
      </tp>
      <tp>
        <v>130.97</v>
        <stp/>
        <stp>##V3_BDPV12</stp>
        <stp>PEP US Equity</stp>
        <stp>PX_last</stp>
        <stp>[DPM - Securities Master List (BBG Linked).xlsx]Equities!R229C17</stp>
        <tr r="Q229" s="2"/>
      </tp>
      <tp>
        <v>130.97</v>
        <stp/>
        <stp>##V3_BDPV12</stp>
        <stp>PEP US Equity</stp>
        <stp>PX_last</stp>
        <stp>[DPM - Securities Master List (BBG Linked).xlsx]Equities!R227C17</stp>
        <tr r="Q227" s="2"/>
      </tp>
      <tp>
        <v>130.97</v>
        <stp/>
        <stp>##V3_BDPV12</stp>
        <stp>PEP US Equity</stp>
        <stp>PX_last</stp>
        <stp>[DPM - Securities Master List (BBG Linked).xlsx]Equities!R230C17</stp>
        <tr r="Q230" s="2"/>
      </tp>
      <tp>
        <v>130.97</v>
        <stp/>
        <stp>##V3_BDPV12</stp>
        <stp>PEP US Equity</stp>
        <stp>PX_last</stp>
        <stp>[DPM - Securities Master List (BBG Linked).xlsx]Equities!R231C17</stp>
        <tr r="Q231" s="2"/>
      </tp>
      <tp>
        <v>130.97</v>
        <stp/>
        <stp>##V3_BDPV12</stp>
        <stp>PEP US Equity</stp>
        <stp>PX_last</stp>
        <stp>[DPM - Securities Master List (BBG Linked).xlsx]Equities!R232C17</stp>
        <tr r="Q232" s="2"/>
      </tp>
      <tp>
        <v>130.97</v>
        <stp/>
        <stp>##V3_BDPV12</stp>
        <stp>PEP US Equity</stp>
        <stp>PX_last</stp>
        <stp>[DPM - Securities Master List (BBG Linked).xlsx]Equities!R233C17</stp>
        <tr r="Q233" s="2"/>
      </tp>
      <tp>
        <v>130.97</v>
        <stp/>
        <stp>##V3_BDPV12</stp>
        <stp>PEP US Equity</stp>
        <stp>PX_last</stp>
        <stp>[DPM - Securities Master List (BBG Linked).xlsx]Equities!R234C17</stp>
        <tr r="Q234" s="2"/>
      </tp>
      <tp>
        <v>130.97</v>
        <stp/>
        <stp>##V3_BDPV12</stp>
        <stp>PEP US Equity</stp>
        <stp>PX_last</stp>
        <stp>[DPM - Securities Master List (BBG Linked).xlsx]Equities!R235C17</stp>
        <tr r="Q235" s="2"/>
      </tp>
      <tp>
        <v>130.97</v>
        <stp/>
        <stp>##V3_BDPV12</stp>
        <stp>PEP US Equity</stp>
        <stp>PX_last</stp>
        <stp>[DPM - Securities Master List (BBG Linked).xlsx]Equities!R236C17</stp>
        <tr r="Q236" s="2"/>
      </tp>
    </main>
    <main first="bofaddin.rtdserver">
      <tp t="e">
        <v>#N/A</v>
        <stp/>
        <stp>BDP|16912784326271893354</stp>
        <tr r="AS63" s="1"/>
      </tp>
      <tp t="e">
        <v>#N/A</v>
        <stp/>
        <stp>BDP|12265179056434841315</stp>
        <tr r="AA160" s="1"/>
      </tp>
      <tp t="e">
        <v>#N/A</v>
        <stp/>
        <stp>BDP|14859676365721369433</stp>
        <tr r="I88" s="1"/>
      </tp>
      <tp t="e">
        <v>#N/A</v>
        <stp/>
        <stp>BDP|14821424577635512321</stp>
        <tr r="L96" s="3"/>
        <tr r="L95" s="3"/>
      </tp>
      <tp t="e">
        <v>#N/A</v>
        <stp/>
        <stp>BDP|16798985585942867486</stp>
        <tr r="AK114" s="3"/>
        <tr r="AK114" s="3"/>
        <tr r="AK114" s="3"/>
        <tr r="AK113" s="3"/>
        <tr r="AK113" s="3"/>
        <tr r="AK113" s="3"/>
        <tr r="AK112" s="3"/>
        <tr r="AK112" s="3"/>
        <tr r="AK112" s="3"/>
      </tp>
      <tp t="e">
        <v>#N/A</v>
        <stp/>
        <stp>BDP|10692252998033695976</stp>
        <tr r="V129" s="3"/>
        <tr r="V128" s="3"/>
        <tr r="V127" s="3"/>
        <tr r="V126" s="3"/>
        <tr r="V125" s="3"/>
        <tr r="V124" s="3"/>
        <tr r="V123" s="3"/>
        <tr r="V122" s="3"/>
        <tr r="V121" s="3"/>
        <tr r="V120" s="3"/>
      </tp>
      <tp t="e">
        <v>#N/A</v>
        <stp/>
        <stp>BDP|16977748512025073421</stp>
        <tr r="AO114" s="3"/>
        <tr r="AO114" s="3"/>
        <tr r="AO114" s="3"/>
        <tr r="AO113" s="3"/>
        <tr r="AO113" s="3"/>
        <tr r="AO113" s="3"/>
        <tr r="AO112" s="3"/>
        <tr r="AO112" s="3"/>
        <tr r="AO112" s="3"/>
      </tp>
      <tp t="e">
        <v>#N/A</v>
        <stp/>
        <stp>BDP|14161472003802012383</stp>
        <tr r="AP50" s="3"/>
        <tr r="AP50" s="3"/>
        <tr r="AP50" s="3"/>
        <tr r="AP49" s="3"/>
        <tr r="AP49" s="3"/>
        <tr r="AP49" s="3"/>
        <tr r="AP48" s="3"/>
        <tr r="AP48" s="3"/>
        <tr r="AP48" s="3"/>
        <tr r="AP47" s="3"/>
        <tr r="AP47" s="3"/>
        <tr r="AP47" s="3"/>
        <tr r="AP46" s="3"/>
        <tr r="AP46" s="3"/>
        <tr r="AP46" s="3"/>
        <tr r="AP45" s="3"/>
        <tr r="AP45" s="3"/>
        <tr r="AP45" s="3"/>
        <tr r="AP44" s="3"/>
        <tr r="AP44" s="3"/>
        <tr r="AP44" s="3"/>
        <tr r="AP43" s="3"/>
        <tr r="AP43" s="3"/>
        <tr r="AP43" s="3"/>
        <tr r="AP42" s="3"/>
        <tr r="AP42" s="3"/>
        <tr r="AP42" s="3"/>
        <tr r="AP41" s="3"/>
        <tr r="AP41" s="3"/>
        <tr r="AP41" s="3"/>
        <tr r="AP40" s="3"/>
        <tr r="AP40" s="3"/>
        <tr r="AP40" s="3"/>
        <tr r="AP39" s="3"/>
        <tr r="AP39" s="3"/>
        <tr r="AP39" s="3"/>
        <tr r="AP38" s="3"/>
        <tr r="AP38" s="3"/>
        <tr r="AP38" s="3"/>
        <tr r="AP37" s="3"/>
        <tr r="AP37" s="3"/>
        <tr r="AP37" s="3"/>
        <tr r="AP36" s="3"/>
        <tr r="AP36" s="3"/>
        <tr r="AP36" s="3"/>
        <tr r="AP35" s="3"/>
        <tr r="AP35" s="3"/>
        <tr r="AP35" s="3"/>
      </tp>
      <tp t="e">
        <v>#N/A</v>
        <stp/>
        <stp>BDP|15406367918280383641</stp>
        <tr r="AJ7" s="1"/>
        <tr r="AJ7" s="1"/>
        <tr r="AJ14" s="1"/>
        <tr r="AJ14" s="1"/>
        <tr r="AJ108" s="1"/>
        <tr r="AJ108" s="1"/>
      </tp>
      <tp t="e">
        <v>#N/A</v>
        <stp/>
        <stp>BDP|15664372610515550397</stp>
        <tr r="H67" s="1"/>
        <tr r="H67" s="1"/>
        <tr r="H43" s="1"/>
        <tr r="H43" s="1"/>
        <tr r="H30" s="1"/>
        <tr r="H30" s="1"/>
        <tr r="H3" s="1"/>
        <tr r="H3" s="1"/>
        <tr r="H21" s="1"/>
        <tr r="H21" s="1"/>
        <tr r="H166" s="1"/>
        <tr r="H166" s="1"/>
        <tr r="H147" s="1"/>
        <tr r="H147" s="1"/>
        <tr r="H125" s="1"/>
        <tr r="H125" s="1"/>
        <tr r="H114" s="1"/>
        <tr r="H114" s="1"/>
      </tp>
      <tp t="e">
        <v>#N/A</v>
        <stp/>
        <stp>BDP|11597205745043878559</stp>
        <tr r="E94" s="3"/>
        <tr r="E93" s="3"/>
        <tr r="E92" s="3"/>
        <tr r="E91" s="3"/>
        <tr r="E90" s="3"/>
        <tr r="E89" s="3"/>
        <tr r="E88" s="3"/>
        <tr r="E87" s="3"/>
        <tr r="E86" s="3"/>
        <tr r="E85" s="3"/>
        <tr r="E84" s="3"/>
        <tr r="E83" s="3"/>
        <tr r="E82" s="3"/>
        <tr r="E81" s="3"/>
        <tr r="E80" s="3"/>
        <tr r="E79" s="3"/>
      </tp>
      <tp t="e">
        <v>#N/A</v>
        <stp/>
        <stp>BDP|13732786002135600063</stp>
        <tr r="AF72" s="3"/>
        <tr r="AF72" s="3"/>
        <tr r="AF71" s="3"/>
        <tr r="AF71" s="3"/>
        <tr r="AF70" s="3"/>
        <tr r="AF70" s="3"/>
        <tr r="AF69" s="3"/>
        <tr r="AF69" s="3"/>
        <tr r="AF68" s="3"/>
        <tr r="AF68" s="3"/>
        <tr r="AF67" s="3"/>
        <tr r="AF67" s="3"/>
        <tr r="AF66" s="3"/>
        <tr r="AF66" s="3"/>
        <tr r="AF65" s="3"/>
        <tr r="AF65" s="3"/>
      </tp>
      <tp t="e">
        <v>#N/A</v>
        <stp/>
        <stp>BDP|10521055462231734680</stp>
        <tr r="AS114" s="3"/>
        <tr r="AS114" s="3"/>
        <tr r="AS114" s="3"/>
        <tr r="AS113" s="3"/>
        <tr r="AS113" s="3"/>
        <tr r="AS113" s="3"/>
        <tr r="AS112" s="3"/>
        <tr r="AS112" s="3"/>
        <tr r="AS112" s="3"/>
      </tp>
      <tp t="e">
        <v>#N/A</v>
        <stp/>
        <stp>BDP|15661768541912937551</stp>
        <tr r="I47" s="1"/>
      </tp>
      <tp t="e">
        <v>#N/A</v>
        <stp/>
        <stp>BDP|13758488986479263774</stp>
        <tr r="Z62" s="1"/>
        <tr r="Z53" s="1"/>
        <tr r="Z45" s="1"/>
        <tr r="Z115" s="1"/>
      </tp>
      <tp t="e">
        <v>#N/A</v>
        <stp/>
        <stp>BDP|14158408319605273563</stp>
        <tr r="W95" s="1"/>
        <tr r="W71" s="1"/>
      </tp>
      <tp t="e">
        <v>#N/A</v>
        <stp/>
        <stp>BDP|13640960249007330864</stp>
        <tr r="X90" s="1"/>
      </tp>
      <tp t="e">
        <v>#N/A</v>
        <stp/>
        <stp>BDP|13059548818304579263</stp>
        <tr r="N103" s="1"/>
      </tp>
      <tp t="e">
        <v>#N/A</v>
        <stp/>
        <stp>BDP|13210299942744272040</stp>
        <tr r="AC119" s="3"/>
        <tr r="AC119" s="3"/>
        <tr r="AC119" s="3"/>
        <tr r="AC118" s="3"/>
        <tr r="AC118" s="3"/>
        <tr r="AC118" s="3"/>
        <tr r="AC117" s="3"/>
        <tr r="AC117" s="3"/>
        <tr r="AC117" s="3"/>
        <tr r="AC116" s="3"/>
        <tr r="AC116" s="3"/>
        <tr r="AC116" s="3"/>
      </tp>
      <tp t="e">
        <v>#N/A</v>
        <stp/>
        <stp>BDP|10834431026872003526</stp>
        <tr r="H90" s="1"/>
        <tr r="H90" s="1"/>
      </tp>
      <tp t="e">
        <v>#N/A</v>
        <stp/>
        <stp>BDP|14722672157013058584</stp>
        <tr r="V72" s="3"/>
        <tr r="V71" s="3"/>
        <tr r="V70" s="3"/>
        <tr r="V69" s="3"/>
        <tr r="V68" s="3"/>
        <tr r="V67" s="3"/>
        <tr r="V66" s="3"/>
        <tr r="V65" s="3"/>
      </tp>
      <tp t="e">
        <v>#N/A</v>
        <stp/>
        <stp>BDP|12720564249794277653</stp>
        <tr r="E113" s="1"/>
      </tp>
    </main>
    <main first="bloomberg.rtd">
      <tp>
        <v>94.02</v>
        <stp/>
        <stp>##V3_BDPV12</stp>
        <stp>TGT US Equity</stp>
        <stp>PX_Last</stp>
        <stp>[DPM - Securities Master List (BBG Linked).xlsx]Equities!R261C17</stp>
        <tr r="Q261" s="2"/>
      </tp>
      <tp>
        <v>94.02</v>
        <stp/>
        <stp>##V3_BDPV12</stp>
        <stp>TGT US Equity</stp>
        <stp>PX_last</stp>
        <stp>[DPM - Securities Master List (BBG Linked).xlsx]Equities!R261C17</stp>
        <tr r="Q261" s="2"/>
      </tp>
    </main>
    <main first="bofaddin.rtdserver">
      <tp t="e">
        <v>#N/A</v>
        <stp/>
        <stp>BDP|12573482045084171770</stp>
        <tr r="H85" s="1"/>
        <tr r="H85" s="1"/>
      </tp>
      <tp t="e">
        <v>#N/A</v>
        <stp/>
        <stp>BDP|12938838874805647961</stp>
        <tr r="AS86" s="1"/>
        <tr r="AS133" s="1"/>
      </tp>
      <tp t="e">
        <v>#N/A</v>
        <stp/>
        <stp>BDP|16416290842425372427</stp>
        <tr r="Y66" s="1"/>
        <tr r="Y49" s="1"/>
        <tr r="Y42" s="1"/>
      </tp>
    </main>
    <main first="bloomberg.rtd">
      <tp t="s">
        <v>#N/A Invalid Override</v>
        <stp/>
        <stp>##V3_BDPV12</stp>
        <stp>XS2775892065 isin</stp>
        <stp>YAS_BOND_YLD</stp>
        <stp>[DPM - Securities Master List (BBG Linked).xlsx]Bonds!R86C10</stp>
        <stp>YAS_YLD_FLAG=15</stp>
        <stp>user_local_trade_date</stp>
        <stp>45783</stp>
        <stp>Yas_bond_px</stp>
        <stp>#N/A Connection</stp>
        <tr r="J86" s="1"/>
      </tp>
      <tp t="s">
        <v>#N/A Invalid Override</v>
        <stp/>
        <stp>##V3_BDPV12</stp>
        <stp>XS2907245208 isin</stp>
        <stp>YAS_BOND_YLD</stp>
        <stp>[DPM - Securities Master List (BBG Linked).xlsx]Bonds!R50C10</stp>
        <stp>YAS_YLD_FLAG=15</stp>
        <stp>user_local_trade_date</stp>
        <stp>45783</stp>
        <stp>Yas_bond_px</stp>
        <stp>#N/A Connection</stp>
        <tr r="J50" s="1"/>
      </tp>
      <tp t="s">
        <v>#N/A Invalid Override</v>
        <stp/>
        <stp>##V3_BDPV12</stp>
        <stp>XS2907245208 isin</stp>
        <stp>YAS_BOND_YLD</stp>
        <stp>[DPM - Securities Master List (BBG Linked).xlsx]Bonds!R83C10</stp>
        <stp>YAS_YLD_FLAG=15</stp>
        <stp>user_local_trade_date</stp>
        <stp>45783</stp>
        <stp>Yas_bond_px</stp>
        <stp>#N/A Connection</stp>
        <tr r="J83" s="1"/>
      </tp>
      <tp>
        <v>175.14</v>
        <stp/>
        <stp>##V3_BDPV12</stp>
        <stp>KER FP Equity</stp>
        <stp>PX_Last</stp>
        <stp>[DPM - Securities Master List (BBG Linked).xlsx]Equities!R152C17</stp>
        <tr r="Q152" s="2"/>
      </tp>
      <tp>
        <v>175.14</v>
        <stp/>
        <stp>##V3_BDPV12</stp>
        <stp>KER FP Equity</stp>
        <stp>PX_Last</stp>
        <stp>[DPM - Securities Master List (BBG Linked).xlsx]Equities!R153C17</stp>
        <tr r="Q153" s="2"/>
      </tp>
      <tp>
        <v>175.14</v>
        <stp/>
        <stp>##V3_BDPV12</stp>
        <stp>KER FP Equity</stp>
        <stp>PX_Last</stp>
        <stp>[DPM - Securities Master List (BBG Linked).xlsx]Equities!R150C17</stp>
        <tr r="Q150" s="2"/>
      </tp>
      <tp>
        <v>175.14</v>
        <stp/>
        <stp>##V3_BDPV12</stp>
        <stp>KER FP Equity</stp>
        <stp>PX_Last</stp>
        <stp>[DPM - Securities Master List (BBG Linked).xlsx]Equities!R151C17</stp>
        <tr r="Q151" s="2"/>
      </tp>
      <tp>
        <v>175.14</v>
        <stp/>
        <stp>##V3_BDPV12</stp>
        <stp>KER FP Equity</stp>
        <stp>PX_Last</stp>
        <stp>[DPM - Securities Master List (BBG Linked).xlsx]Equities!R149C17</stp>
        <tr r="Q149" s="2"/>
      </tp>
      <tp>
        <v>90.694999999999993</v>
        <stp/>
        <stp>##V3_BDPV12</stp>
        <stp>ZBH US Equity</stp>
        <stp>PX_Last</stp>
        <stp>[DPM - Securities Master List (BBG Linked).xlsx]Equities!R300C17</stp>
        <tr r="Q300" s="2"/>
      </tp>
      <tp>
        <v>90.694999999999993</v>
        <stp/>
        <stp>##V3_BDPV12</stp>
        <stp>ZBH US Equity</stp>
        <stp>PX_Last</stp>
        <stp>[DPM - Securities Master List (BBG Linked).xlsx]Equities!R301C17</stp>
        <tr r="Q301" s="2"/>
      </tp>
      <tp>
        <v>90.694999999999993</v>
        <stp/>
        <stp>##V3_BDPV12</stp>
        <stp>ZBH US Equity</stp>
        <stp>PX_Last</stp>
        <stp>[DPM - Securities Master List (BBG Linked).xlsx]Equities!R302C17</stp>
        <tr r="Q302" s="2"/>
      </tp>
      <tp>
        <v>175.14</v>
        <stp/>
        <stp>##V3_BDPV12</stp>
        <stp>KER FP Equity</stp>
        <stp>PX_last</stp>
        <stp>[DPM - Securities Master List (BBG Linked).xlsx]Equities!R152C17</stp>
        <tr r="Q152" s="2"/>
      </tp>
      <tp>
        <v>175.14</v>
        <stp/>
        <stp>##V3_BDPV12</stp>
        <stp>KER FP Equity</stp>
        <stp>PX_last</stp>
        <stp>[DPM - Securities Master List (BBG Linked).xlsx]Equities!R153C17</stp>
        <tr r="Q153" s="2"/>
      </tp>
      <tp>
        <v>175.14</v>
        <stp/>
        <stp>##V3_BDPV12</stp>
        <stp>KER FP Equity</stp>
        <stp>PX_last</stp>
        <stp>[DPM - Securities Master List (BBG Linked).xlsx]Equities!R150C17</stp>
        <tr r="Q150" s="2"/>
      </tp>
      <tp>
        <v>175.14</v>
        <stp/>
        <stp>##V3_BDPV12</stp>
        <stp>KER FP Equity</stp>
        <stp>PX_last</stp>
        <stp>[DPM - Securities Master List (BBG Linked).xlsx]Equities!R151C17</stp>
        <tr r="Q151" s="2"/>
      </tp>
      <tp>
        <v>175.14</v>
        <stp/>
        <stp>##V3_BDPV12</stp>
        <stp>KER FP Equity</stp>
        <stp>PX_last</stp>
        <stp>[DPM - Securities Master List (BBG Linked).xlsx]Equities!R149C17</stp>
        <tr r="Q149" s="2"/>
      </tp>
      <tp>
        <v>90.694999999999993</v>
        <stp/>
        <stp>##V3_BDPV12</stp>
        <stp>ZBH US Equity</stp>
        <stp>PX_last</stp>
        <stp>[DPM - Securities Master List (BBG Linked).xlsx]Equities!R300C17</stp>
        <tr r="Q300" s="2"/>
      </tp>
      <tp>
        <v>90.694999999999993</v>
        <stp/>
        <stp>##V3_BDPV12</stp>
        <stp>ZBH US Equity</stp>
        <stp>PX_last</stp>
        <stp>[DPM - Securities Master List (BBG Linked).xlsx]Equities!R301C17</stp>
        <tr r="Q301" s="2"/>
      </tp>
      <tp>
        <v>90.694999999999993</v>
        <stp/>
        <stp>##V3_BDPV12</stp>
        <stp>ZBH US Equity</stp>
        <stp>PX_last</stp>
        <stp>[DPM - Securities Master List (BBG Linked).xlsx]Equities!R302C17</stp>
        <tr r="Q302" s="2"/>
      </tp>
    </main>
    <main first="bofaddin.rtdserver">
      <tp t="e">
        <v>#N/A</v>
        <stp/>
        <stp>BDP|13776533021920081549</stp>
        <tr r="AA82" s="1"/>
        <tr r="AA39" s="1"/>
        <tr r="AA22" s="1"/>
        <tr r="AA167" s="1"/>
      </tp>
      <tp t="e">
        <v>#N/A</v>
        <stp/>
        <stp>BDP|12146836613922705877</stp>
        <tr r="AO68" s="1"/>
        <tr r="AO31" s="1"/>
      </tp>
      <tp t="e">
        <v>#N/A</v>
        <stp/>
        <stp>BDP|11646064777356358156</stp>
        <tr r="E83" s="1"/>
        <tr r="E50" s="1"/>
      </tp>
      <tp t="e">
        <v>#N/A</v>
        <stp/>
        <stp>BDP|13487568434443033777</stp>
        <tr r="AT152" s="1"/>
        <tr r="AT16" s="1"/>
        <tr r="AT137" s="1"/>
        <tr r="AT74" s="1"/>
        <tr r="AT99" s="1"/>
        <tr r="AT146" s="1"/>
        <tr r="AT61" s="1"/>
        <tr r="AT119" s="1"/>
        <tr r="AT23" s="1"/>
        <tr r="AT38" s="1"/>
        <tr r="AT111" s="1"/>
        <tr r="AT165" s="1"/>
      </tp>
      <tp t="e">
        <v>#N/A</v>
        <stp/>
        <stp>BDP|12158214509605167497</stp>
        <tr r="AD130" s="1"/>
      </tp>
      <tp t="e">
        <v>#N/A</v>
        <stp/>
        <stp>BDP|16436452733207611757</stp>
        <tr r="Y69" s="1"/>
        <tr r="Y57" s="1"/>
      </tp>
      <tp t="e">
        <v>#N/A</v>
        <stp/>
        <stp>BDP|14091458882800597934</stp>
        <tr r="AD64" s="3"/>
        <tr r="AD64" s="3"/>
        <tr r="AD64" s="3"/>
      </tp>
    </main>
    <main first="bloomberg.rtd">
      <tp>
        <v>90.694999999999993</v>
        <stp/>
        <stp>##V3_BDPV12</stp>
        <stp>ZBH US Equity</stp>
        <stp>PX_Last</stp>
        <stp>[DPM - Securities Master List (BBG Linked).xlsx]Equities!R294C17</stp>
        <tr r="Q294" s="2"/>
      </tp>
      <tp>
        <v>90.694999999999993</v>
        <stp/>
        <stp>##V3_BDPV12</stp>
        <stp>ZBH US Equity</stp>
        <stp>PX_Last</stp>
        <stp>[DPM - Securities Master List (BBG Linked).xlsx]Equities!R295C17</stp>
        <tr r="Q295" s="2"/>
      </tp>
      <tp>
        <v>90.694999999999993</v>
        <stp/>
        <stp>##V3_BDPV12</stp>
        <stp>ZBH US Equity</stp>
        <stp>PX_Last</stp>
        <stp>[DPM - Securities Master List (BBG Linked).xlsx]Equities!R296C17</stp>
        <tr r="Q296" s="2"/>
      </tp>
      <tp>
        <v>90.694999999999993</v>
        <stp/>
        <stp>##V3_BDPV12</stp>
        <stp>ZBH US Equity</stp>
        <stp>PX_Last</stp>
        <stp>[DPM - Securities Master List (BBG Linked).xlsx]Equities!R297C17</stp>
        <tr r="Q297" s="2"/>
      </tp>
      <tp>
        <v>90.694999999999993</v>
        <stp/>
        <stp>##V3_BDPV12</stp>
        <stp>ZBH US Equity</stp>
        <stp>PX_Last</stp>
        <stp>[DPM - Securities Master List (BBG Linked).xlsx]Equities!R298C17</stp>
        <tr r="Q298" s="2"/>
      </tp>
      <tp>
        <v>90.694999999999993</v>
        <stp/>
        <stp>##V3_BDPV12</stp>
        <stp>ZBH US Equity</stp>
        <stp>PX_Last</stp>
        <stp>[DPM - Securities Master List (BBG Linked).xlsx]Equities!R299C17</stp>
        <tr r="Q299" s="2"/>
      </tp>
      <tp>
        <v>90.694999999999993</v>
        <stp/>
        <stp>##V3_BDPV12</stp>
        <stp>ZBH US Equity</stp>
        <stp>PX_last</stp>
        <stp>[DPM - Securities Master List (BBG Linked).xlsx]Equities!R294C17</stp>
        <tr r="Q294" s="2"/>
      </tp>
      <tp>
        <v>90.694999999999993</v>
        <stp/>
        <stp>##V3_BDPV12</stp>
        <stp>ZBH US Equity</stp>
        <stp>PX_last</stp>
        <stp>[DPM - Securities Master List (BBG Linked).xlsx]Equities!R295C17</stp>
        <tr r="Q295" s="2"/>
      </tp>
      <tp>
        <v>90.694999999999993</v>
        <stp/>
        <stp>##V3_BDPV12</stp>
        <stp>ZBH US Equity</stp>
        <stp>PX_last</stp>
        <stp>[DPM - Securities Master List (BBG Linked).xlsx]Equities!R296C17</stp>
        <tr r="Q296" s="2"/>
      </tp>
      <tp>
        <v>90.694999999999993</v>
        <stp/>
        <stp>##V3_BDPV12</stp>
        <stp>ZBH US Equity</stp>
        <stp>PX_last</stp>
        <stp>[DPM - Securities Master List (BBG Linked).xlsx]Equities!R297C17</stp>
        <tr r="Q297" s="2"/>
      </tp>
      <tp>
        <v>90.694999999999993</v>
        <stp/>
        <stp>##V3_BDPV12</stp>
        <stp>ZBH US Equity</stp>
        <stp>PX_last</stp>
        <stp>[DPM - Securities Master List (BBG Linked).xlsx]Equities!R298C17</stp>
        <tr r="Q298" s="2"/>
      </tp>
      <tp>
        <v>90.694999999999993</v>
        <stp/>
        <stp>##V3_BDPV12</stp>
        <stp>ZBH US Equity</stp>
        <stp>PX_last</stp>
        <stp>[DPM - Securities Master List (BBG Linked).xlsx]Equities!R299C17</stp>
        <tr r="Q299" s="2"/>
      </tp>
    </main>
    <main first="bofaddin.rtdserver">
      <tp t="e">
        <v>#N/A</v>
        <stp/>
        <stp>BDP|10713801297856997698</stp>
        <tr r="K34" s="1"/>
        <tr r="K156" s="1"/>
      </tp>
      <tp t="e">
        <v>#N/A</v>
        <stp/>
        <stp>BDP|17140408734364651539</stp>
        <tr r="I141" s="3"/>
        <tr r="I141" s="3"/>
        <tr r="I141" s="3"/>
        <tr r="I140" s="3"/>
        <tr r="I140" s="3"/>
        <tr r="I140" s="3"/>
        <tr r="I139" s="3"/>
        <tr r="I139" s="3"/>
        <tr r="I139" s="3"/>
        <tr r="I138" s="3"/>
        <tr r="I138" s="3"/>
        <tr r="I138" s="3"/>
        <tr r="I137" s="3"/>
        <tr r="I137" s="3"/>
        <tr r="I137" s="3"/>
        <tr r="I136" s="3"/>
        <tr r="I136" s="3"/>
        <tr r="I136" s="3"/>
        <tr r="I135" s="3"/>
        <tr r="I135" s="3"/>
        <tr r="I135" s="3"/>
        <tr r="I134" s="3"/>
        <tr r="I134" s="3"/>
        <tr r="I134" s="3"/>
        <tr r="I133" s="3"/>
        <tr r="I133" s="3"/>
        <tr r="I133" s="3"/>
        <tr r="I132" s="3"/>
        <tr r="I132" s="3"/>
        <tr r="I132" s="3"/>
        <tr r="I131" s="3"/>
        <tr r="I131" s="3"/>
        <tr r="I131" s="3"/>
        <tr r="I130" s="3"/>
        <tr r="I130" s="3"/>
        <tr r="I130" s="3"/>
      </tp>
      <tp t="e">
        <v>#N/A</v>
        <stp/>
        <stp>BDP|13635625234520085709</stp>
        <tr r="Y52" s="1"/>
      </tp>
      <tp t="e">
        <v>#N/A</v>
        <stp/>
        <stp>BDP|16047548076093755658</stp>
        <tr r="AU32" s="1"/>
        <tr r="AU32" s="1"/>
        <tr r="AU32" s="1"/>
      </tp>
      <tp t="e">
        <v>#N/A</v>
        <stp/>
        <stp>BDP|17733129154066995482</stp>
        <tr r="E150" s="1"/>
        <tr r="E122" s="1"/>
      </tp>
      <tp t="e">
        <v>#N/A</v>
        <stp/>
        <stp>BDP|11687138722706361541</stp>
        <tr r="AD96" s="1"/>
        <tr r="AD77" s="1"/>
        <tr r="AD65" s="1"/>
        <tr r="AD36" s="1"/>
        <tr r="AD27" s="1"/>
        <tr r="AD162" s="1"/>
      </tp>
      <tp t="e">
        <v>#N/A</v>
        <stp/>
        <stp>BDP|16528230157325578540</stp>
        <tr r="AH63" s="3"/>
        <tr r="AH63" s="3"/>
        <tr r="AH63" s="3"/>
        <tr r="AH62" s="3"/>
        <tr r="AH62" s="3"/>
        <tr r="AH62" s="3"/>
        <tr r="AH61" s="3"/>
        <tr r="AH61" s="3"/>
        <tr r="AH61" s="3"/>
        <tr r="AH60" s="3"/>
        <tr r="AH60" s="3"/>
        <tr r="AH60" s="3"/>
        <tr r="AH59" s="3"/>
        <tr r="AH59" s="3"/>
        <tr r="AH59" s="3"/>
        <tr r="AH58" s="3"/>
        <tr r="AH58" s="3"/>
        <tr r="AH58" s="3"/>
        <tr r="AH57" s="3"/>
        <tr r="AH57" s="3"/>
        <tr r="AH57" s="3"/>
        <tr r="AH56" s="3"/>
        <tr r="AH56" s="3"/>
        <tr r="AH56" s="3"/>
        <tr r="AH55" s="3"/>
        <tr r="AH55" s="3"/>
        <tr r="AH55" s="3"/>
        <tr r="AH54" s="3"/>
        <tr r="AH54" s="3"/>
        <tr r="AH54" s="3"/>
        <tr r="AH53" s="3"/>
        <tr r="AH53" s="3"/>
        <tr r="AH53" s="3"/>
        <tr r="AH52" s="3"/>
        <tr r="AH52" s="3"/>
        <tr r="AH52" s="3"/>
        <tr r="AH51" s="3"/>
        <tr r="AH51" s="3"/>
        <tr r="AH51" s="3"/>
      </tp>
      <tp t="e">
        <v>#N/A</v>
        <stp/>
        <stp>BDP|10830495675374655625</stp>
        <tr r="H44" s="1"/>
        <tr r="H44" s="1"/>
      </tp>
    </main>
    <main first="bloomberg.rtd">
      <tp>
        <v>83.15</v>
        <stp/>
        <stp>##V3_BDPV12</stp>
        <stp>NEM AT Equity</stp>
        <stp>PX_Last</stp>
        <stp>[DPM - Securities Master List (BBG Linked).xlsx]Equities!R191C17</stp>
        <tr r="Q191" s="2"/>
      </tp>
      <tp>
        <v>83.15</v>
        <stp/>
        <stp>##V3_BDPV12</stp>
        <stp>NEM AT Equity</stp>
        <stp>PX_Last</stp>
        <stp>[DPM - Securities Master List (BBG Linked).xlsx]Equities!R190C17</stp>
        <tr r="Q190" s="2"/>
      </tp>
      <tp>
        <v>83.15</v>
        <stp/>
        <stp>##V3_BDPV12</stp>
        <stp>NEM AT Equity</stp>
        <stp>PX_Last</stp>
        <stp>[DPM - Securities Master List (BBG Linked).xlsx]Equities!R192C17</stp>
        <tr r="Q192" s="2"/>
      </tp>
      <tp>
        <v>83.15</v>
        <stp/>
        <stp>##V3_BDPV12</stp>
        <stp>NEM AT Equity</stp>
        <stp>PX_Last</stp>
        <stp>[DPM - Securities Master List (BBG Linked).xlsx]Equities!R189C17</stp>
        <tr r="Q189" s="2"/>
      </tp>
      <tp>
        <v>83.15</v>
        <stp/>
        <stp>##V3_BDPV12</stp>
        <stp>NEM AT Equity</stp>
        <stp>PX_last</stp>
        <stp>[DPM - Securities Master List (BBG Linked).xlsx]Equities!R191C17</stp>
        <tr r="Q191" s="2"/>
      </tp>
      <tp>
        <v>83.15</v>
        <stp/>
        <stp>##V3_BDPV12</stp>
        <stp>NEM AT Equity</stp>
        <stp>PX_last</stp>
        <stp>[DPM - Securities Master List (BBG Linked).xlsx]Equities!R190C17</stp>
        <tr r="Q190" s="2"/>
      </tp>
      <tp>
        <v>83.15</v>
        <stp/>
        <stp>##V3_BDPV12</stp>
        <stp>NEM AT Equity</stp>
        <stp>PX_last</stp>
        <stp>[DPM - Securities Master List (BBG Linked).xlsx]Equities!R192C17</stp>
        <tr r="Q192" s="2"/>
      </tp>
      <tp>
        <v>83.15</v>
        <stp/>
        <stp>##V3_BDPV12</stp>
        <stp>NEM AT Equity</stp>
        <stp>PX_last</stp>
        <stp>[DPM - Securities Master List (BBG Linked).xlsx]Equities!R189C17</stp>
        <tr r="Q189" s="2"/>
      </tp>
    </main>
    <main first="bofaddin.rtdserver">
      <tp t="e">
        <v>#N/A</v>
        <stp/>
        <stp>BDP|13497995086830932318</stp>
        <tr r="AO90" s="1"/>
      </tp>
      <tp t="e">
        <v>#N/A</v>
        <stp/>
        <stp>BDP|16124871284943153402</stp>
        <tr r="Y98" s="1"/>
        <tr r="Y79" s="1"/>
        <tr r="Y5" s="1"/>
        <tr r="Y155" s="1"/>
        <tr r="Y118" s="1"/>
      </tp>
      <tp t="e">
        <v>#N/A</v>
        <stp/>
        <stp>BDP|16056488242894778389</stp>
        <tr r="F34" s="1"/>
        <tr r="F156" s="1"/>
      </tp>
      <tp t="e">
        <v>#N/A</v>
        <stp/>
        <stp>BDP|17273380724273322489</stp>
        <tr r="AK51" s="1"/>
        <tr r="AK51" s="1"/>
        <tr r="AK51" s="1"/>
      </tp>
      <tp t="e">
        <v>#N/A</v>
        <stp/>
        <stp>BDP|12135556776694353547</stp>
        <tr r="W86" s="1"/>
        <tr r="W133" s="1"/>
      </tp>
    </main>
    <main first="bloomberg.rtd">
      <tp>
        <v>617.5</v>
        <stp/>
        <stp>##V3_BDPV12</stp>
        <stp>DRX LN Equity</stp>
        <stp>PX_Last</stp>
        <stp>[DPM - Securities Master List (BBG Linked).xlsx]Equities!R116C17</stp>
        <tr r="Q116" s="2"/>
      </tp>
      <tp>
        <v>617.5</v>
        <stp/>
        <stp>##V3_BDPV12</stp>
        <stp>DRX LN Equity</stp>
        <stp>PX_Last</stp>
        <stp>[DPM - Securities Master List (BBG Linked).xlsx]Equities!R117C17</stp>
        <tr r="Q117" s="2"/>
      </tp>
      <tp>
        <v>617.5</v>
        <stp/>
        <stp>##V3_BDPV12</stp>
        <stp>DRX LN Equity</stp>
        <stp>PX_Last</stp>
        <stp>[DPM - Securities Master List (BBG Linked).xlsx]Equities!R118C17</stp>
        <tr r="Q118" s="2"/>
      </tp>
      <tp>
        <v>617.5</v>
        <stp/>
        <stp>##V3_BDPV12</stp>
        <stp>DRX LN Equity</stp>
        <stp>PX_Last</stp>
        <stp>[DPM - Securities Master List (BBG Linked).xlsx]Equities!R119C17</stp>
        <tr r="Q119" s="2"/>
      </tp>
      <tp>
        <v>617.5</v>
        <stp/>
        <stp>##V3_BDPV12</stp>
        <stp>DRX LN Equity</stp>
        <stp>PX_Last</stp>
        <stp>[DPM - Securities Master List (BBG Linked).xlsx]Equities!R120C17</stp>
        <tr r="Q120" s="2"/>
      </tp>
      <tp>
        <v>617.5</v>
        <stp/>
        <stp>##V3_BDPV12</stp>
        <stp>DRX LN Equity</stp>
        <stp>PX_Last</stp>
        <stp>[DPM - Securities Master List (BBG Linked).xlsx]Equities!R121C17</stp>
        <tr r="Q121" s="2"/>
      </tp>
      <tp>
        <v>617.5</v>
        <stp/>
        <stp>##V3_BDPV12</stp>
        <stp>DRX LN Equity</stp>
        <stp>PX_Last</stp>
        <stp>[DPM - Securities Master List (BBG Linked).xlsx]Equities!R122C17</stp>
        <tr r="Q122" s="2"/>
      </tp>
      <tp>
        <v>617.5</v>
        <stp/>
        <stp>##V3_BDPV12</stp>
        <stp>DRX LN Equity</stp>
        <stp>PX_Last</stp>
        <stp>[DPM - Securities Master List (BBG Linked).xlsx]Equities!R123C17</stp>
        <tr r="Q123" s="2"/>
      </tp>
      <tp>
        <v>617.5</v>
        <stp/>
        <stp>##V3_BDPV12</stp>
        <stp>DRX LN Equity</stp>
        <stp>PX_Last</stp>
        <stp>[DPM - Securities Master List (BBG Linked).xlsx]Equities!R124C17</stp>
        <tr r="Q124" s="2"/>
      </tp>
      <tp>
        <v>2158</v>
        <stp/>
        <stp>##V3_BDPV12</stp>
        <stp>DGE LN Equity</stp>
        <stp>PX_Last</stp>
        <stp>[DPM - Securities Master List (BBG Linked).xlsx]Equities!R111C17</stp>
        <tr r="Q111" s="2"/>
      </tp>
      <tp>
        <v>2158</v>
        <stp/>
        <stp>##V3_BDPV12</stp>
        <stp>DGE LN Equity</stp>
        <stp>PX_Last</stp>
        <stp>[DPM - Securities Master List (BBG Linked).xlsx]Equities!R110C17</stp>
        <tr r="Q110" s="2"/>
      </tp>
      <tp>
        <v>2158</v>
        <stp/>
        <stp>##V3_BDPV12</stp>
        <stp>DGE LN Equity</stp>
        <stp>PX_Last</stp>
        <stp>[DPM - Securities Master List (BBG Linked).xlsx]Equities!R109C17</stp>
        <tr r="Q109" s="2"/>
      </tp>
      <tp>
        <v>2158</v>
        <stp/>
        <stp>##V3_BDPV12</stp>
        <stp>DGE LN Equity</stp>
        <stp>PX_Last</stp>
        <stp>[DPM - Securities Master List (BBG Linked).xlsx]Equities!R108C17</stp>
        <tr r="Q108" s="2"/>
      </tp>
      <tp>
        <v>617.5</v>
        <stp/>
        <stp>##V3_BDPV12</stp>
        <stp>DRX LN Equity</stp>
        <stp>PX_last</stp>
        <stp>[DPM - Securities Master List (BBG Linked).xlsx]Equities!R116C17</stp>
        <tr r="Q116" s="2"/>
      </tp>
      <tp>
        <v>617.5</v>
        <stp/>
        <stp>##V3_BDPV12</stp>
        <stp>DRX LN Equity</stp>
        <stp>PX_last</stp>
        <stp>[DPM - Securities Master List (BBG Linked).xlsx]Equities!R117C17</stp>
        <tr r="Q117" s="2"/>
      </tp>
      <tp>
        <v>617.5</v>
        <stp/>
        <stp>##V3_BDPV12</stp>
        <stp>DRX LN Equity</stp>
        <stp>PX_last</stp>
        <stp>[DPM - Securities Master List (BBG Linked).xlsx]Equities!R118C17</stp>
        <tr r="Q118" s="2"/>
      </tp>
      <tp>
        <v>617.5</v>
        <stp/>
        <stp>##V3_BDPV12</stp>
        <stp>DRX LN Equity</stp>
        <stp>PX_last</stp>
        <stp>[DPM - Securities Master List (BBG Linked).xlsx]Equities!R119C17</stp>
        <tr r="Q119" s="2"/>
      </tp>
      <tp>
        <v>617.5</v>
        <stp/>
        <stp>##V3_BDPV12</stp>
        <stp>DRX LN Equity</stp>
        <stp>PX_last</stp>
        <stp>[DPM - Securities Master List (BBG Linked).xlsx]Equities!R120C17</stp>
        <tr r="Q120" s="2"/>
      </tp>
      <tp>
        <v>617.5</v>
        <stp/>
        <stp>##V3_BDPV12</stp>
        <stp>DRX LN Equity</stp>
        <stp>PX_last</stp>
        <stp>[DPM - Securities Master List (BBG Linked).xlsx]Equities!R121C17</stp>
        <tr r="Q121" s="2"/>
      </tp>
      <tp>
        <v>617.5</v>
        <stp/>
        <stp>##V3_BDPV12</stp>
        <stp>DRX LN Equity</stp>
        <stp>PX_last</stp>
        <stp>[DPM - Securities Master List (BBG Linked).xlsx]Equities!R122C17</stp>
        <tr r="Q122" s="2"/>
      </tp>
      <tp>
        <v>617.5</v>
        <stp/>
        <stp>##V3_BDPV12</stp>
        <stp>DRX LN Equity</stp>
        <stp>PX_last</stp>
        <stp>[DPM - Securities Master List (BBG Linked).xlsx]Equities!R123C17</stp>
        <tr r="Q123" s="2"/>
      </tp>
      <tp>
        <v>617.5</v>
        <stp/>
        <stp>##V3_BDPV12</stp>
        <stp>DRX LN Equity</stp>
        <stp>PX_last</stp>
        <stp>[DPM - Securities Master List (BBG Linked).xlsx]Equities!R124C17</stp>
        <tr r="Q124" s="2"/>
      </tp>
      <tp>
        <v>2158</v>
        <stp/>
        <stp>##V3_BDPV12</stp>
        <stp>DGE LN Equity</stp>
        <stp>PX_last</stp>
        <stp>[DPM - Securities Master List (BBG Linked).xlsx]Equities!R111C17</stp>
        <tr r="Q111" s="2"/>
      </tp>
      <tp>
        <v>2158</v>
        <stp/>
        <stp>##V3_BDPV12</stp>
        <stp>DGE LN Equity</stp>
        <stp>PX_last</stp>
        <stp>[DPM - Securities Master List (BBG Linked).xlsx]Equities!R110C17</stp>
        <tr r="Q110" s="2"/>
      </tp>
      <tp>
        <v>2158</v>
        <stp/>
        <stp>##V3_BDPV12</stp>
        <stp>DGE LN Equity</stp>
        <stp>PX_last</stp>
        <stp>[DPM - Securities Master List (BBG Linked).xlsx]Equities!R109C17</stp>
        <tr r="Q109" s="2"/>
      </tp>
      <tp>
        <v>2158</v>
        <stp/>
        <stp>##V3_BDPV12</stp>
        <stp>DGE LN Equity</stp>
        <stp>PX_last</stp>
        <stp>[DPM - Securities Master List (BBG Linked).xlsx]Equities!R108C17</stp>
        <tr r="Q108" s="2"/>
      </tp>
    </main>
    <main first="bofaddin.rtdserver">
      <tp t="e">
        <v>#N/A</v>
        <stp/>
        <stp>BDP|14185463103769456842</stp>
        <tr r="X98" s="1"/>
        <tr r="X79" s="1"/>
        <tr r="X5" s="1"/>
        <tr r="X155" s="1"/>
        <tr r="X118" s="1"/>
      </tp>
      <tp t="e">
        <v>#N/A</v>
        <stp/>
        <stp>BDP|15873598665521610662</stp>
        <tr r="AP16" s="3"/>
        <tr r="AP16" s="3"/>
        <tr r="AP16" s="3"/>
      </tp>
      <tp t="e">
        <v>#N/A</v>
        <stp/>
        <stp>BDP|16520537142981374737</stp>
        <tr r="E18" s="1"/>
      </tp>
      <tp t="e">
        <v>#N/A</v>
        <stp/>
        <stp>BDP|10350958494871111077</stp>
        <tr r="Y88" s="1"/>
      </tp>
      <tp t="e">
        <v>#N/A</v>
        <stp/>
        <stp>BDP|11591357913367376548</stp>
        <tr r="AE69" s="1"/>
        <tr r="AE57" s="1"/>
      </tp>
      <tp t="e">
        <v>#N/A</v>
        <stp/>
        <stp>BDP|11034142333102292019</stp>
        <tr r="J64" s="3"/>
        <tr r="J64" s="3"/>
        <tr r="J64" s="3"/>
      </tp>
      <tp t="e">
        <v>#N/A</v>
        <stp/>
        <stp>BDP|13376877591433316025</stp>
        <tr r="AH111" s="3"/>
        <tr r="AH111" s="3"/>
        <tr r="AH111" s="3"/>
        <tr r="AH110" s="3"/>
        <tr r="AH110" s="3"/>
        <tr r="AH110" s="3"/>
        <tr r="AH109" s="3"/>
        <tr r="AH109" s="3"/>
        <tr r="AH109" s="3"/>
        <tr r="AH108" s="3"/>
        <tr r="AH108" s="3"/>
        <tr r="AH108" s="3"/>
        <tr r="AH107" s="3"/>
        <tr r="AH107" s="3"/>
        <tr r="AH107" s="3"/>
        <tr r="AH106" s="3"/>
        <tr r="AH106" s="3"/>
        <tr r="AH106" s="3"/>
        <tr r="AH105" s="3"/>
        <tr r="AH105" s="3"/>
        <tr r="AH105" s="3"/>
        <tr r="AH104" s="3"/>
        <tr r="AH104" s="3"/>
        <tr r="AH104" s="3"/>
      </tp>
      <tp t="e">
        <v>#N/A</v>
        <stp/>
        <stp>BDP|15647391711941822728</stp>
        <tr r="AU143" s="1"/>
        <tr r="AU143" s="1"/>
        <tr r="AU143" s="1"/>
        <tr r="AU127" s="1"/>
        <tr r="AU127" s="1"/>
        <tr r="AU127" s="1"/>
      </tp>
      <tp t="e">
        <v>#N/A</v>
        <stp/>
        <stp>BDP|14243780066045960117</stp>
        <tr r="AU74" s="1"/>
        <tr r="AU74" s="1"/>
        <tr r="AU74" s="1"/>
        <tr r="AU137" s="1"/>
        <tr r="AU137" s="1"/>
        <tr r="AU137" s="1"/>
        <tr r="AU38" s="1"/>
        <tr r="AU38" s="1"/>
        <tr r="AU38" s="1"/>
        <tr r="AU111" s="1"/>
        <tr r="AU111" s="1"/>
        <tr r="AU111" s="1"/>
        <tr r="AU23" s="1"/>
        <tr r="AU23" s="1"/>
        <tr r="AU23" s="1"/>
        <tr r="AU165" s="1"/>
        <tr r="AU165" s="1"/>
        <tr r="AU165" s="1"/>
        <tr r="AU16" s="1"/>
        <tr r="AU16" s="1"/>
        <tr r="AU16" s="1"/>
        <tr r="AU152" s="1"/>
        <tr r="AU152" s="1"/>
        <tr r="AU152" s="1"/>
        <tr r="AU99" s="1"/>
        <tr r="AU99" s="1"/>
        <tr r="AU99" s="1"/>
        <tr r="AU146" s="1"/>
        <tr r="AU146" s="1"/>
        <tr r="AU146" s="1"/>
        <tr r="AU119" s="1"/>
        <tr r="AU119" s="1"/>
        <tr r="AU119" s="1"/>
        <tr r="AU61" s="1"/>
        <tr r="AU61" s="1"/>
        <tr r="AU61" s="1"/>
      </tp>
    </main>
    <main first="bloomberg.rtd">
      <tp>
        <v>1446.5</v>
        <stp/>
        <stp>##V3_BDPV12</stp>
        <stp>GSK LN Equity</stp>
        <stp>PX_Last</stp>
        <stp>[DPM - Securities Master List (BBG Linked).xlsx]Equities!R143C17</stp>
        <tr r="Q143" s="2"/>
      </tp>
      <tp>
        <v>1446.5</v>
        <stp/>
        <stp>##V3_BDPV12</stp>
        <stp>GSK LN Equity</stp>
        <stp>PX_Last</stp>
        <stp>[DPM - Securities Master List (BBG Linked).xlsx]Equities!R142C17</stp>
        <tr r="Q142" s="2"/>
      </tp>
      <tp>
        <v>1446.5</v>
        <stp/>
        <stp>##V3_BDPV12</stp>
        <stp>GSK LN Equity</stp>
        <stp>PX_Last</stp>
        <stp>[DPM - Securities Master List (BBG Linked).xlsx]Equities!R145C17</stp>
        <tr r="Q145" s="2"/>
      </tp>
      <tp>
        <v>1446.5</v>
        <stp/>
        <stp>##V3_BDPV12</stp>
        <stp>GSK LN Equity</stp>
        <stp>PX_Last</stp>
        <stp>[DPM - Securities Master List (BBG Linked).xlsx]Equities!R144C17</stp>
        <tr r="Q144" s="2"/>
      </tp>
      <tp>
        <v>1446.5</v>
        <stp/>
        <stp>##V3_BDPV12</stp>
        <stp>GSK LN Equity</stp>
        <stp>PX_last</stp>
        <stp>[DPM - Securities Master List (BBG Linked).xlsx]Equities!R143C17</stp>
        <tr r="Q143" s="2"/>
      </tp>
      <tp>
        <v>1446.5</v>
        <stp/>
        <stp>##V3_BDPV12</stp>
        <stp>GSK LN Equity</stp>
        <stp>PX_last</stp>
        <stp>[DPM - Securities Master List (BBG Linked).xlsx]Equities!R142C17</stp>
        <tr r="Q142" s="2"/>
      </tp>
      <tp>
        <v>1446.5</v>
        <stp/>
        <stp>##V3_BDPV12</stp>
        <stp>GSK LN Equity</stp>
        <stp>PX_last</stp>
        <stp>[DPM - Securities Master List (BBG Linked).xlsx]Equities!R145C17</stp>
        <tr r="Q145" s="2"/>
      </tp>
      <tp>
        <v>1446.5</v>
        <stp/>
        <stp>##V3_BDPV12</stp>
        <stp>GSK LN Equity</stp>
        <stp>PX_last</stp>
        <stp>[DPM - Securities Master List (BBG Linked).xlsx]Equities!R144C17</stp>
        <tr r="Q144" s="2"/>
      </tp>
    </main>
    <main first="bofaddin.rtdserver">
      <tp t="e">
        <v>#N/A</v>
        <stp/>
        <stp>BDP|17567795529032526178</stp>
        <tr r="AN129" s="3"/>
        <tr r="AN129" s="3"/>
        <tr r="AN128" s="3"/>
        <tr r="AN128" s="3"/>
        <tr r="AN127" s="3"/>
        <tr r="AN127" s="3"/>
        <tr r="AN126" s="3"/>
        <tr r="AN126" s="3"/>
        <tr r="AN125" s="3"/>
        <tr r="AN125" s="3"/>
        <tr r="AN124" s="3"/>
        <tr r="AN124" s="3"/>
        <tr r="AN123" s="3"/>
        <tr r="AN123" s="3"/>
        <tr r="AN122" s="3"/>
        <tr r="AN122" s="3"/>
        <tr r="AN121" s="3"/>
        <tr r="AN121" s="3"/>
        <tr r="AN120" s="3"/>
        <tr r="AN120" s="3"/>
      </tp>
      <tp t="e">
        <v>#N/A</v>
        <stp/>
        <stp>BDP|17549103645472279149</stp>
        <tr r="AD148" s="1"/>
        <tr r="AD138" s="1"/>
      </tp>
      <tp t="e">
        <v>#N/A</v>
        <stp/>
        <stp>BDP|17374276681704421876</stp>
        <tr r="E129" s="3"/>
        <tr r="E128" s="3"/>
        <tr r="E127" s="3"/>
        <tr r="E126" s="3"/>
        <tr r="E125" s="3"/>
        <tr r="E124" s="3"/>
        <tr r="E123" s="3"/>
        <tr r="E122" s="3"/>
        <tr r="E121" s="3"/>
        <tr r="E120" s="3"/>
      </tp>
      <tp t="e">
        <v>#N/A</v>
        <stp/>
        <stp>BDP|10363666065263448220</stp>
        <tr r="H63" s="1"/>
        <tr r="H63" s="1"/>
      </tp>
    </main>
    <main first="bloomberg.rtd">
      <tp>
        <v>92.32</v>
        <stp/>
        <stp>##V3_BDPV12</stp>
        <stp>DIS US Equity</stp>
        <stp>PX_Last</stp>
        <stp>[DPM - Securities Master List (BBG Linked).xlsx]Equities!R113C17</stp>
        <tr r="Q113" s="2"/>
      </tp>
      <tp>
        <v>92.32</v>
        <stp/>
        <stp>##V3_BDPV12</stp>
        <stp>DIS US Equity</stp>
        <stp>PX_Last</stp>
        <stp>[DPM - Securities Master List (BBG Linked).xlsx]Equities!R112C17</stp>
        <tr r="Q112" s="2"/>
      </tp>
      <tp>
        <v>92.32</v>
        <stp/>
        <stp>##V3_BDPV12</stp>
        <stp>DIS US Equity</stp>
        <stp>PX_Last</stp>
        <stp>[DPM - Securities Master List (BBG Linked).xlsx]Equities!R115C17</stp>
        <tr r="Q115" s="2"/>
      </tp>
      <tp>
        <v>92.32</v>
        <stp/>
        <stp>##V3_BDPV12</stp>
        <stp>DIS US Equity</stp>
        <stp>PX_Last</stp>
        <stp>[DPM - Securities Master List (BBG Linked).xlsx]Equities!R114C17</stp>
        <tr r="Q114" s="2"/>
      </tp>
      <tp>
        <v>51.06</v>
        <stp/>
        <stp>##V3_BDPV12</stp>
        <stp>TTE FP Equity</stp>
        <stp>PX_Last</stp>
        <stp>[DPM - Securities Master List (BBG Linked).xlsx]Equities!R288C17</stp>
        <tr r="Q288" s="2"/>
      </tp>
      <tp>
        <v>51.06</v>
        <stp/>
        <stp>##V3_BDPV12</stp>
        <stp>TTE FP Equity</stp>
        <stp>PX_Last</stp>
        <stp>[DPM - Securities Master List (BBG Linked).xlsx]Equities!R285C17</stp>
        <tr r="Q285" s="2"/>
      </tp>
      <tp>
        <v>51.06</v>
        <stp/>
        <stp>##V3_BDPV12</stp>
        <stp>TTE FP Equity</stp>
        <stp>PX_Last</stp>
        <stp>[DPM - Securities Master List (BBG Linked).xlsx]Equities!R284C17</stp>
        <tr r="Q284" s="2"/>
      </tp>
      <tp>
        <v>51.06</v>
        <stp/>
        <stp>##V3_BDPV12</stp>
        <stp>TTE FP Equity</stp>
        <stp>PX_Last</stp>
        <stp>[DPM - Securities Master List (BBG Linked).xlsx]Equities!R287C17</stp>
        <tr r="Q287" s="2"/>
      </tp>
      <tp>
        <v>51.06</v>
        <stp/>
        <stp>##V3_BDPV12</stp>
        <stp>TTE FP Equity</stp>
        <stp>PX_Last</stp>
        <stp>[DPM - Securities Master List (BBG Linked).xlsx]Equities!R286C17</stp>
        <tr r="Q286" s="2"/>
      </tp>
      <tp>
        <v>51.06</v>
        <stp/>
        <stp>##V3_BDPV12</stp>
        <stp>TTE FP Equity</stp>
        <stp>PX_Last</stp>
        <stp>[DPM - Securities Master List (BBG Linked).xlsx]Equities!R281C17</stp>
        <tr r="Q281" s="2"/>
      </tp>
      <tp>
        <v>51.06</v>
        <stp/>
        <stp>##V3_BDPV12</stp>
        <stp>TTE FP Equity</stp>
        <stp>PX_Last</stp>
        <stp>[DPM - Securities Master List (BBG Linked).xlsx]Equities!R280C17</stp>
        <tr r="Q280" s="2"/>
      </tp>
      <tp>
        <v>51.06</v>
        <stp/>
        <stp>##V3_BDPV12</stp>
        <stp>TTE FP Equity</stp>
        <stp>PX_Last</stp>
        <stp>[DPM - Securities Master List (BBG Linked).xlsx]Equities!R283C17</stp>
        <tr r="Q283" s="2"/>
      </tp>
      <tp>
        <v>51.06</v>
        <stp/>
        <stp>##V3_BDPV12</stp>
        <stp>TTE FP Equity</stp>
        <stp>PX_Last</stp>
        <stp>[DPM - Securities Master List (BBG Linked).xlsx]Equities!R282C17</stp>
        <tr r="Q282" s="2"/>
      </tp>
      <tp>
        <v>51.06</v>
        <stp/>
        <stp>##V3_BDPV12</stp>
        <stp>TTE FP Equity</stp>
        <stp>PX_Last</stp>
        <stp>[DPM - Securities Master List (BBG Linked).xlsx]Equities!R279C17</stp>
        <tr r="Q279" s="2"/>
      </tp>
      <tp>
        <v>51.06</v>
        <stp/>
        <stp>##V3_BDPV12</stp>
        <stp>TTE FP Equity</stp>
        <stp>PX_Last</stp>
        <stp>[DPM - Securities Master List (BBG Linked).xlsx]Equities!R278C17</stp>
        <tr r="Q278" s="2"/>
      </tp>
      <tp>
        <v>51.06</v>
        <stp/>
        <stp>##V3_BDPV12</stp>
        <stp>TTE FP Equity</stp>
        <stp>PX_Last</stp>
        <stp>[DPM - Securities Master List (BBG Linked).xlsx]Equities!R277C17</stp>
        <tr r="Q277" s="2"/>
      </tp>
      <tp>
        <v>51.06</v>
        <stp/>
        <stp>##V3_BDPV12</stp>
        <stp>TTE FP Equity</stp>
        <stp>PX_Last</stp>
        <stp>[DPM - Securities Master List (BBG Linked).xlsx]Equities!R276C17</stp>
        <tr r="Q276" s="2"/>
      </tp>
      <tp>
        <v>92.32</v>
        <stp/>
        <stp>##V3_BDPV12</stp>
        <stp>DIS US Equity</stp>
        <stp>PX_last</stp>
        <stp>[DPM - Securities Master List (BBG Linked).xlsx]Equities!R113C17</stp>
        <tr r="Q113" s="2"/>
      </tp>
      <tp>
        <v>92.32</v>
        <stp/>
        <stp>##V3_BDPV12</stp>
        <stp>DIS US Equity</stp>
        <stp>PX_last</stp>
        <stp>[DPM - Securities Master List (BBG Linked).xlsx]Equities!R112C17</stp>
        <tr r="Q112" s="2"/>
      </tp>
      <tp>
        <v>92.32</v>
        <stp/>
        <stp>##V3_BDPV12</stp>
        <stp>DIS US Equity</stp>
        <stp>PX_last</stp>
        <stp>[DPM - Securities Master List (BBG Linked).xlsx]Equities!R115C17</stp>
        <tr r="Q115" s="2"/>
      </tp>
      <tp>
        <v>92.32</v>
        <stp/>
        <stp>##V3_BDPV12</stp>
        <stp>DIS US Equity</stp>
        <stp>PX_last</stp>
        <stp>[DPM - Securities Master List (BBG Linked).xlsx]Equities!R114C17</stp>
        <tr r="Q114" s="2"/>
      </tp>
      <tp>
        <v>51.06</v>
        <stp/>
        <stp>##V3_BDPV12</stp>
        <stp>TTE FP Equity</stp>
        <stp>PX_last</stp>
        <stp>[DPM - Securities Master List (BBG Linked).xlsx]Equities!R288C17</stp>
        <tr r="Q288" s="2"/>
      </tp>
      <tp>
        <v>51.06</v>
        <stp/>
        <stp>##V3_BDPV12</stp>
        <stp>TTE FP Equity</stp>
        <stp>PX_last</stp>
        <stp>[DPM - Securities Master List (BBG Linked).xlsx]Equities!R285C17</stp>
        <tr r="Q285" s="2"/>
      </tp>
      <tp>
        <v>51.06</v>
        <stp/>
        <stp>##V3_BDPV12</stp>
        <stp>TTE FP Equity</stp>
        <stp>PX_last</stp>
        <stp>[DPM - Securities Master List (BBG Linked).xlsx]Equities!R284C17</stp>
        <tr r="Q284" s="2"/>
      </tp>
      <tp>
        <v>51.06</v>
        <stp/>
        <stp>##V3_BDPV12</stp>
        <stp>TTE FP Equity</stp>
        <stp>PX_last</stp>
        <stp>[DPM - Securities Master List (BBG Linked).xlsx]Equities!R287C17</stp>
        <tr r="Q287" s="2"/>
      </tp>
      <tp>
        <v>51.06</v>
        <stp/>
        <stp>##V3_BDPV12</stp>
        <stp>TTE FP Equity</stp>
        <stp>PX_last</stp>
        <stp>[DPM - Securities Master List (BBG Linked).xlsx]Equities!R286C17</stp>
        <tr r="Q286" s="2"/>
      </tp>
      <tp>
        <v>51.06</v>
        <stp/>
        <stp>##V3_BDPV12</stp>
        <stp>TTE FP Equity</stp>
        <stp>PX_last</stp>
        <stp>[DPM - Securities Master List (BBG Linked).xlsx]Equities!R281C17</stp>
        <tr r="Q281" s="2"/>
      </tp>
      <tp>
        <v>51.06</v>
        <stp/>
        <stp>##V3_BDPV12</stp>
        <stp>TTE FP Equity</stp>
        <stp>PX_last</stp>
        <stp>[DPM - Securities Master List (BBG Linked).xlsx]Equities!R280C17</stp>
        <tr r="Q280" s="2"/>
      </tp>
      <tp>
        <v>51.06</v>
        <stp/>
        <stp>##V3_BDPV12</stp>
        <stp>TTE FP Equity</stp>
        <stp>PX_last</stp>
        <stp>[DPM - Securities Master List (BBG Linked).xlsx]Equities!R283C17</stp>
        <tr r="Q283" s="2"/>
      </tp>
      <tp>
        <v>51.06</v>
        <stp/>
        <stp>##V3_BDPV12</stp>
        <stp>TTE FP Equity</stp>
        <stp>PX_last</stp>
        <stp>[DPM - Securities Master List (BBG Linked).xlsx]Equities!R282C17</stp>
        <tr r="Q282" s="2"/>
      </tp>
      <tp>
        <v>51.06</v>
        <stp/>
        <stp>##V3_BDPV12</stp>
        <stp>TTE FP Equity</stp>
        <stp>PX_last</stp>
        <stp>[DPM - Securities Master List (BBG Linked).xlsx]Equities!R279C17</stp>
        <tr r="Q279" s="2"/>
      </tp>
      <tp>
        <v>51.06</v>
        <stp/>
        <stp>##V3_BDPV12</stp>
        <stp>TTE FP Equity</stp>
        <stp>PX_last</stp>
        <stp>[DPM - Securities Master List (BBG Linked).xlsx]Equities!R278C17</stp>
        <tr r="Q278" s="2"/>
      </tp>
      <tp>
        <v>51.06</v>
        <stp/>
        <stp>##V3_BDPV12</stp>
        <stp>TTE FP Equity</stp>
        <stp>PX_last</stp>
        <stp>[DPM - Securities Master List (BBG Linked).xlsx]Equities!R277C17</stp>
        <tr r="Q277" s="2"/>
      </tp>
      <tp>
        <v>51.06</v>
        <stp/>
        <stp>##V3_BDPV12</stp>
        <stp>TTE FP Equity</stp>
        <stp>PX_last</stp>
        <stp>[DPM - Securities Master List (BBG Linked).xlsx]Equities!R276C17</stp>
        <tr r="Q276" s="2"/>
      </tp>
      <tp>
        <v>4469</v>
        <stp/>
        <stp>##V3_BDPV12</stp>
        <stp>RIO LN Equity</stp>
        <stp>PX_Last</stp>
        <stp>[DPM - Securities Master List (BBG Linked).xlsx]Equities!R242C17</stp>
        <tr r="Q242" s="2"/>
      </tp>
      <tp>
        <v>4469</v>
        <stp/>
        <stp>##V3_BDPV12</stp>
        <stp>RIO LN Equity</stp>
        <stp>PX_last</stp>
        <stp>[DPM - Securities Master List (BBG Linked).xlsx]Equities!R242C17</stp>
        <tr r="Q242" s="2"/>
      </tp>
      <tp>
        <v>1709</v>
        <stp/>
        <stp>##V3_BDPV12</stp>
        <stp>SSE LN Equity</stp>
        <stp>PX_Last</stp>
        <stp>[DPM - Securities Master List (BBG Linked).xlsx]Equities!R258C17</stp>
        <tr r="Q258" s="2"/>
      </tp>
      <tp>
        <v>1709</v>
        <stp/>
        <stp>##V3_BDPV12</stp>
        <stp>SSE LN Equity</stp>
        <stp>PX_Last</stp>
        <stp>[DPM - Securities Master List (BBG Linked).xlsx]Equities!R255C17</stp>
        <tr r="Q255" s="2"/>
      </tp>
      <tp>
        <v>1709</v>
        <stp/>
        <stp>##V3_BDPV12</stp>
        <stp>SSE LN Equity</stp>
        <stp>PX_Last</stp>
        <stp>[DPM - Securities Master List (BBG Linked).xlsx]Equities!R254C17</stp>
        <tr r="Q254" s="2"/>
      </tp>
      <tp>
        <v>1709</v>
        <stp/>
        <stp>##V3_BDPV12</stp>
        <stp>SSE LN Equity</stp>
        <stp>PX_Last</stp>
        <stp>[DPM - Securities Master List (BBG Linked).xlsx]Equities!R257C17</stp>
        <tr r="Q257" s="2"/>
      </tp>
      <tp>
        <v>1709</v>
        <stp/>
        <stp>##V3_BDPV12</stp>
        <stp>SSE LN Equity</stp>
        <stp>PX_Last</stp>
        <stp>[DPM - Securities Master List (BBG Linked).xlsx]Equities!R256C17</stp>
        <tr r="Q256" s="2"/>
      </tp>
      <tp>
        <v>1709</v>
        <stp/>
        <stp>##V3_BDPV12</stp>
        <stp>SSE LN Equity</stp>
        <stp>PX_Last</stp>
        <stp>[DPM - Securities Master List (BBG Linked).xlsx]Equities!R251C17</stp>
        <tr r="Q251" s="2"/>
      </tp>
      <tp>
        <v>1709</v>
        <stp/>
        <stp>##V3_BDPV12</stp>
        <stp>SSE LN Equity</stp>
        <stp>PX_Last</stp>
        <stp>[DPM - Securities Master List (BBG Linked).xlsx]Equities!R250C17</stp>
        <tr r="Q250" s="2"/>
      </tp>
      <tp>
        <v>1709</v>
        <stp/>
        <stp>##V3_BDPV12</stp>
        <stp>SSE LN Equity</stp>
        <stp>PX_Last</stp>
        <stp>[DPM - Securities Master List (BBG Linked).xlsx]Equities!R253C17</stp>
        <tr r="Q253" s="2"/>
      </tp>
      <tp>
        <v>1709</v>
        <stp/>
        <stp>##V3_BDPV12</stp>
        <stp>SSE LN Equity</stp>
        <stp>PX_Last</stp>
        <stp>[DPM - Securities Master List (BBG Linked).xlsx]Equities!R252C17</stp>
        <tr r="Q252" s="2"/>
      </tp>
      <tp>
        <v>1709</v>
        <stp/>
        <stp>##V3_BDPV12</stp>
        <stp>SSE LN Equity</stp>
        <stp>PX_Last</stp>
        <stp>[DPM - Securities Master List (BBG Linked).xlsx]Equities!R249C17</stp>
        <tr r="Q249" s="2"/>
      </tp>
      <tp>
        <v>1709</v>
        <stp/>
        <stp>##V3_BDPV12</stp>
        <stp>SSE LN Equity</stp>
        <stp>PX_Last</stp>
        <stp>[DPM - Securities Master List (BBG Linked).xlsx]Equities!R248C17</stp>
        <tr r="Q248" s="2"/>
      </tp>
      <tp>
        <v>1709</v>
        <stp/>
        <stp>##V3_BDPV12</stp>
        <stp>SSE LN Equity</stp>
        <stp>PX_Last</stp>
        <stp>[DPM - Securities Master List (BBG Linked).xlsx]Equities!R245C17</stp>
        <tr r="Q245" s="2"/>
      </tp>
      <tp>
        <v>1709</v>
        <stp/>
        <stp>##V3_BDPV12</stp>
        <stp>SSE LN Equity</stp>
        <stp>PX_Last</stp>
        <stp>[DPM - Securities Master List (BBG Linked).xlsx]Equities!R244C17</stp>
        <tr r="Q244" s="2"/>
      </tp>
      <tp>
        <v>1709</v>
        <stp/>
        <stp>##V3_BDPV12</stp>
        <stp>SSE LN Equity</stp>
        <stp>PX_Last</stp>
        <stp>[DPM - Securities Master List (BBG Linked).xlsx]Equities!R247C17</stp>
        <tr r="Q247" s="2"/>
      </tp>
      <tp>
        <v>1709</v>
        <stp/>
        <stp>##V3_BDPV12</stp>
        <stp>SSE LN Equity</stp>
        <stp>PX_Last</stp>
        <stp>[DPM - Securities Master List (BBG Linked).xlsx]Equities!R246C17</stp>
        <tr r="Q246" s="2"/>
      </tp>
      <tp>
        <v>1709</v>
        <stp/>
        <stp>##V3_BDPV12</stp>
        <stp>SSE LN Equity</stp>
        <stp>PX_last</stp>
        <stp>[DPM - Securities Master List (BBG Linked).xlsx]Equities!R258C17</stp>
        <tr r="Q258" s="2"/>
      </tp>
      <tp>
        <v>1709</v>
        <stp/>
        <stp>##V3_BDPV12</stp>
        <stp>SSE LN Equity</stp>
        <stp>PX_last</stp>
        <stp>[DPM - Securities Master List (BBG Linked).xlsx]Equities!R255C17</stp>
        <tr r="Q255" s="2"/>
      </tp>
      <tp>
        <v>1709</v>
        <stp/>
        <stp>##V3_BDPV12</stp>
        <stp>SSE LN Equity</stp>
        <stp>PX_last</stp>
        <stp>[DPM - Securities Master List (BBG Linked).xlsx]Equities!R254C17</stp>
        <tr r="Q254" s="2"/>
      </tp>
      <tp>
        <v>1709</v>
        <stp/>
        <stp>##V3_BDPV12</stp>
        <stp>SSE LN Equity</stp>
        <stp>PX_last</stp>
        <stp>[DPM - Securities Master List (BBG Linked).xlsx]Equities!R257C17</stp>
        <tr r="Q257" s="2"/>
      </tp>
      <tp>
        <v>1709</v>
        <stp/>
        <stp>##V3_BDPV12</stp>
        <stp>SSE LN Equity</stp>
        <stp>PX_last</stp>
        <stp>[DPM - Securities Master List (BBG Linked).xlsx]Equities!R256C17</stp>
        <tr r="Q256" s="2"/>
      </tp>
      <tp>
        <v>1709</v>
        <stp/>
        <stp>##V3_BDPV12</stp>
        <stp>SSE LN Equity</stp>
        <stp>PX_last</stp>
        <stp>[DPM - Securities Master List (BBG Linked).xlsx]Equities!R251C17</stp>
        <tr r="Q251" s="2"/>
      </tp>
      <tp>
        <v>1709</v>
        <stp/>
        <stp>##V3_BDPV12</stp>
        <stp>SSE LN Equity</stp>
        <stp>PX_last</stp>
        <stp>[DPM - Securities Master List (BBG Linked).xlsx]Equities!R250C17</stp>
        <tr r="Q250" s="2"/>
      </tp>
      <tp>
        <v>1709</v>
        <stp/>
        <stp>##V3_BDPV12</stp>
        <stp>SSE LN Equity</stp>
        <stp>PX_last</stp>
        <stp>[DPM - Securities Master List (BBG Linked).xlsx]Equities!R253C17</stp>
        <tr r="Q253" s="2"/>
      </tp>
      <tp>
        <v>1709</v>
        <stp/>
        <stp>##V3_BDPV12</stp>
        <stp>SSE LN Equity</stp>
        <stp>PX_last</stp>
        <stp>[DPM - Securities Master List (BBG Linked).xlsx]Equities!R252C17</stp>
        <tr r="Q252" s="2"/>
      </tp>
      <tp>
        <v>1709</v>
        <stp/>
        <stp>##V3_BDPV12</stp>
        <stp>SSE LN Equity</stp>
        <stp>PX_last</stp>
        <stp>[DPM - Securities Master List (BBG Linked).xlsx]Equities!R249C17</stp>
        <tr r="Q249" s="2"/>
      </tp>
      <tp>
        <v>1709</v>
        <stp/>
        <stp>##V3_BDPV12</stp>
        <stp>SSE LN Equity</stp>
        <stp>PX_last</stp>
        <stp>[DPM - Securities Master List (BBG Linked).xlsx]Equities!R248C17</stp>
        <tr r="Q248" s="2"/>
      </tp>
      <tp>
        <v>1709</v>
        <stp/>
        <stp>##V3_BDPV12</stp>
        <stp>SSE LN Equity</stp>
        <stp>PX_last</stp>
        <stp>[DPM - Securities Master List (BBG Linked).xlsx]Equities!R245C17</stp>
        <tr r="Q245" s="2"/>
      </tp>
      <tp>
        <v>1709</v>
        <stp/>
        <stp>##V3_BDPV12</stp>
        <stp>SSE LN Equity</stp>
        <stp>PX_last</stp>
        <stp>[DPM - Securities Master List (BBG Linked).xlsx]Equities!R244C17</stp>
        <tr r="Q244" s="2"/>
      </tp>
      <tp>
        <v>1709</v>
        <stp/>
        <stp>##V3_BDPV12</stp>
        <stp>SSE LN Equity</stp>
        <stp>PX_last</stp>
        <stp>[DPM - Securities Master List (BBG Linked).xlsx]Equities!R247C17</stp>
        <tr r="Q247" s="2"/>
      </tp>
      <tp>
        <v>1709</v>
        <stp/>
        <stp>##V3_BDPV12</stp>
        <stp>SSE LN Equity</stp>
        <stp>PX_last</stp>
        <stp>[DPM - Securities Master List (BBG Linked).xlsx]Equities!R246C17</stp>
        <tr r="Q246" s="2"/>
      </tp>
      <tp>
        <v>29.984999999999999</v>
        <stp/>
        <stp>##V3_BDPV12</stp>
        <stp>LUV US Equity</stp>
        <stp>PX_Last</stp>
        <stp>[DPM - Securities Master List (BBG Linked).xlsx]Equities!R154C17</stp>
        <tr r="Q154" s="2"/>
      </tp>
      <tp>
        <v>29.984999999999999</v>
        <stp/>
        <stp>##V3_BDPV12</stp>
        <stp>LUV US Equity</stp>
        <stp>PX_last</stp>
        <stp>[DPM - Securities Master List (BBG Linked).xlsx]Equities!R154C17</stp>
        <tr r="Q154" s="2"/>
      </tp>
      <tp>
        <v>57.54</v>
        <stp/>
        <stp>##V3_BDPV12</stp>
        <stp>NKE US Equity</stp>
        <stp>PX_Last</stp>
        <stp>[DPM - Securities Master List (BBG Linked).xlsx]Equities!R209C17</stp>
        <tr r="Q209" s="2"/>
      </tp>
      <tp>
        <v>57.54</v>
        <stp/>
        <stp>##V3_BDPV12</stp>
        <stp>NKE US Equity</stp>
        <stp>PX_Last</stp>
        <stp>[DPM - Securities Master List (BBG Linked).xlsx]Equities!R208C17</stp>
        <tr r="Q208" s="2"/>
      </tp>
      <tp>
        <v>57.54</v>
        <stp/>
        <stp>##V3_BDPV12</stp>
        <stp>NKE US Equity</stp>
        <stp>PX_Last</stp>
        <stp>[DPM - Securities Master List (BBG Linked).xlsx]Equities!R207C17</stp>
        <tr r="Q207" s="2"/>
      </tp>
      <tp>
        <v>57.54</v>
        <stp/>
        <stp>##V3_BDPV12</stp>
        <stp>NKE US Equity</stp>
        <stp>PX_Last</stp>
        <stp>[DPM - Securities Master List (BBG Linked).xlsx]Equities!R219C17</stp>
        <tr r="Q219" s="2"/>
      </tp>
      <tp>
        <v>57.54</v>
        <stp/>
        <stp>##V3_BDPV12</stp>
        <stp>NKE US Equity</stp>
        <stp>PX_Last</stp>
        <stp>[DPM - Securities Master List (BBG Linked).xlsx]Equities!R218C17</stp>
        <tr r="Q218" s="2"/>
      </tp>
      <tp>
        <v>57.54</v>
        <stp/>
        <stp>##V3_BDPV12</stp>
        <stp>NKE US Equity</stp>
        <stp>PX_Last</stp>
        <stp>[DPM - Securities Master List (BBG Linked).xlsx]Equities!R215C17</stp>
        <tr r="Q215" s="2"/>
      </tp>
      <tp>
        <v>57.54</v>
        <stp/>
        <stp>##V3_BDPV12</stp>
        <stp>NKE US Equity</stp>
        <stp>PX_Last</stp>
        <stp>[DPM - Securities Master List (BBG Linked).xlsx]Equities!R214C17</stp>
        <tr r="Q214" s="2"/>
      </tp>
      <tp>
        <v>57.54</v>
        <stp/>
        <stp>##V3_BDPV12</stp>
        <stp>NKE US Equity</stp>
        <stp>PX_Last</stp>
        <stp>[DPM - Securities Master List (BBG Linked).xlsx]Equities!R217C17</stp>
        <tr r="Q217" s="2"/>
      </tp>
      <tp>
        <v>57.54</v>
        <stp/>
        <stp>##V3_BDPV12</stp>
        <stp>NKE US Equity</stp>
        <stp>PX_Last</stp>
        <stp>[DPM - Securities Master List (BBG Linked).xlsx]Equities!R216C17</stp>
        <tr r="Q216" s="2"/>
      </tp>
      <tp>
        <v>57.54</v>
        <stp/>
        <stp>##V3_BDPV12</stp>
        <stp>NKE US Equity</stp>
        <stp>PX_Last</stp>
        <stp>[DPM - Securities Master List (BBG Linked).xlsx]Equities!R211C17</stp>
        <tr r="Q211" s="2"/>
      </tp>
      <tp>
        <v>57.54</v>
        <stp/>
        <stp>##V3_BDPV12</stp>
        <stp>NKE US Equity</stp>
        <stp>PX_Last</stp>
        <stp>[DPM - Securities Master List (BBG Linked).xlsx]Equities!R210C17</stp>
        <tr r="Q210" s="2"/>
      </tp>
      <tp>
        <v>57.54</v>
        <stp/>
        <stp>##V3_BDPV12</stp>
        <stp>NKE US Equity</stp>
        <stp>PX_Last</stp>
        <stp>[DPM - Securities Master List (BBG Linked).xlsx]Equities!R213C17</stp>
        <tr r="Q213" s="2"/>
      </tp>
      <tp>
        <v>57.54</v>
        <stp/>
        <stp>##V3_BDPV12</stp>
        <stp>NKE US Equity</stp>
        <stp>PX_Last</stp>
        <stp>[DPM - Securities Master List (BBG Linked).xlsx]Equities!R212C17</stp>
        <tr r="Q212" s="2"/>
      </tp>
      <tp>
        <v>3.8719000000000001</v>
        <stp/>
        <stp>##V3_BDPV12</stp>
        <stp>NIO US Equity</stp>
        <stp>PX_Last</stp>
        <stp>[DPM - Securities Master List (BBG Linked).xlsx]Equities!R206C17</stp>
        <tr r="Q206" s="2"/>
      </tp>
      <tp>
        <v>57.54</v>
        <stp/>
        <stp>##V3_BDPV12</stp>
        <stp>NKE US Equity</stp>
        <stp>PX_Last</stp>
        <stp>[DPM - Securities Master List (BBG Linked).xlsx]Equities!R221C17</stp>
        <tr r="Q221" s="2"/>
      </tp>
      <tp>
        <v>57.54</v>
        <stp/>
        <stp>##V3_BDPV12</stp>
        <stp>NKE US Equity</stp>
        <stp>PX_Last</stp>
        <stp>[DPM - Securities Master List (BBG Linked).xlsx]Equities!R220C17</stp>
        <tr r="Q220" s="2"/>
      </tp>
      <tp>
        <v>57.54</v>
        <stp/>
        <stp>##V3_BDPV12</stp>
        <stp>NKE US Equity</stp>
        <stp>PX_Last</stp>
        <stp>[DPM - Securities Master List (BBG Linked).xlsx]Equities!R222C17</stp>
        <tr r="Q222" s="2"/>
      </tp>
      <tp>
        <v>82.784999999999997</v>
        <stp/>
        <stp>##V3_BDPV12</stp>
        <stp>MDT US Equity</stp>
        <stp>PX_Last</stp>
        <stp>[DPM - Securities Master List (BBG Linked).xlsx]Equities!R155C17</stp>
        <tr r="Q155" s="2"/>
      </tp>
      <tp>
        <v>80.680000000000007</v>
        <stp/>
        <stp>##V3_BDPV12</stp>
        <stp>MRK US Equity</stp>
        <stp>PX_Last</stp>
        <stp>[DPM - Securities Master List (BBG Linked).xlsx]Equities!R157C17</stp>
        <tr r="Q157" s="2"/>
      </tp>
      <tp>
        <v>80.680000000000007</v>
        <stp/>
        <stp>##V3_BDPV12</stp>
        <stp>MRK US Equity</stp>
        <stp>PX_Last</stp>
        <stp>[DPM - Securities Master List (BBG Linked).xlsx]Equities!R159C17</stp>
        <tr r="Q159" s="2"/>
      </tp>
      <tp>
        <v>80.680000000000007</v>
        <stp/>
        <stp>##V3_BDPV12</stp>
        <stp>MRK US Equity</stp>
        <stp>PX_Last</stp>
        <stp>[DPM - Securities Master List (BBG Linked).xlsx]Equities!R158C17</stp>
        <tr r="Q158" s="2"/>
      </tp>
      <tp>
        <v>80.680000000000007</v>
        <stp/>
        <stp>##V3_BDPV12</stp>
        <stp>MRK US Equity</stp>
        <stp>PX_Last</stp>
        <stp>[DPM - Securities Master List (BBG Linked).xlsx]Equities!R163C17</stp>
        <tr r="Q163" s="2"/>
      </tp>
      <tp>
        <v>80.680000000000007</v>
        <stp/>
        <stp>##V3_BDPV12</stp>
        <stp>MRK US Equity</stp>
        <stp>PX_Last</stp>
        <stp>[DPM - Securities Master List (BBG Linked).xlsx]Equities!R162C17</stp>
        <tr r="Q162" s="2"/>
      </tp>
      <tp>
        <v>80.680000000000007</v>
        <stp/>
        <stp>##V3_BDPV12</stp>
        <stp>MRK US Equity</stp>
        <stp>PX_Last</stp>
        <stp>[DPM - Securities Master List (BBG Linked).xlsx]Equities!R161C17</stp>
        <tr r="Q161" s="2"/>
      </tp>
      <tp>
        <v>66.98</v>
        <stp/>
        <stp>##V3_BDPV12</stp>
        <stp>NVO US Equity</stp>
        <stp>PX_Last</stp>
        <stp>[DPM - Securities Master List (BBG Linked).xlsx]Equities!R225C17</stp>
        <tr r="Q225" s="2"/>
      </tp>
      <tp>
        <v>80.680000000000007</v>
        <stp/>
        <stp>##V3_BDPV12</stp>
        <stp>MRK US Equity</stp>
        <stp>PX_Last</stp>
        <stp>[DPM - Securities Master List (BBG Linked).xlsx]Equities!R160C17</stp>
        <tr r="Q160" s="2"/>
      </tp>
      <tp>
        <v>80.680000000000007</v>
        <stp/>
        <stp>##V3_BDPV12</stp>
        <stp>MRK US Equity</stp>
        <stp>PX_Last</stp>
        <stp>[DPM - Securities Master List (BBG Linked).xlsx]Equities!R167C17</stp>
        <tr r="Q167" s="2"/>
      </tp>
      <tp>
        <v>80.680000000000007</v>
        <stp/>
        <stp>##V3_BDPV12</stp>
        <stp>MRK US Equity</stp>
        <stp>PX_Last</stp>
        <stp>[DPM - Securities Master List (BBG Linked).xlsx]Equities!R166C17</stp>
        <tr r="Q166" s="2"/>
      </tp>
      <tp>
        <v>80.680000000000007</v>
        <stp/>
        <stp>##V3_BDPV12</stp>
        <stp>MRK US Equity</stp>
        <stp>PX_Last</stp>
        <stp>[DPM - Securities Master List (BBG Linked).xlsx]Equities!R165C17</stp>
        <tr r="Q165" s="2"/>
      </tp>
      <tp>
        <v>80.680000000000007</v>
        <stp/>
        <stp>##V3_BDPV12</stp>
        <stp>MRK US Equity</stp>
        <stp>PX_Last</stp>
        <stp>[DPM - Securities Master List (BBG Linked).xlsx]Equities!R164C17</stp>
        <tr r="Q164" s="2"/>
      </tp>
      <tp>
        <v>80.680000000000007</v>
        <stp/>
        <stp>##V3_BDPV12</stp>
        <stp>MRK US Equity</stp>
        <stp>PX_Last</stp>
        <stp>[DPM - Securities Master List (BBG Linked).xlsx]Equities!R169C17</stp>
        <tr r="Q169" s="2"/>
      </tp>
      <tp>
        <v>80.680000000000007</v>
        <stp/>
        <stp>##V3_BDPV12</stp>
        <stp>MRK US Equity</stp>
        <stp>PX_Last</stp>
        <stp>[DPM - Securities Master List (BBG Linked).xlsx]Equities!R168C17</stp>
        <tr r="Q168" s="2"/>
      </tp>
      <tp>
        <v>57.54</v>
        <stp/>
        <stp>##V3_BDPV12</stp>
        <stp>NKE US Equity</stp>
        <stp>PX_last</stp>
        <stp>[DPM - Securities Master List (BBG Linked).xlsx]Equities!R209C17</stp>
        <tr r="Q209" s="2"/>
      </tp>
      <tp>
        <v>57.54</v>
        <stp/>
        <stp>##V3_BDPV12</stp>
        <stp>NKE US Equity</stp>
        <stp>PX_last</stp>
        <stp>[DPM - Securities Master List (BBG Linked).xlsx]Equities!R208C17</stp>
        <tr r="Q208" s="2"/>
      </tp>
      <tp>
        <v>57.54</v>
        <stp/>
        <stp>##V3_BDPV12</stp>
        <stp>NKE US Equity</stp>
        <stp>PX_last</stp>
        <stp>[DPM - Securities Master List (BBG Linked).xlsx]Equities!R207C17</stp>
        <tr r="Q207" s="2"/>
      </tp>
      <tp>
        <v>57.54</v>
        <stp/>
        <stp>##V3_BDPV12</stp>
        <stp>NKE US Equity</stp>
        <stp>PX_last</stp>
        <stp>[DPM - Securities Master List (BBG Linked).xlsx]Equities!R219C17</stp>
        <tr r="Q219" s="2"/>
      </tp>
      <tp>
        <v>57.54</v>
        <stp/>
        <stp>##V3_BDPV12</stp>
        <stp>NKE US Equity</stp>
        <stp>PX_last</stp>
        <stp>[DPM - Securities Master List (BBG Linked).xlsx]Equities!R218C17</stp>
        <tr r="Q218" s="2"/>
      </tp>
      <tp>
        <v>57.54</v>
        <stp/>
        <stp>##V3_BDPV12</stp>
        <stp>NKE US Equity</stp>
        <stp>PX_last</stp>
        <stp>[DPM - Securities Master List (BBG Linked).xlsx]Equities!R215C17</stp>
        <tr r="Q215" s="2"/>
      </tp>
      <tp>
        <v>57.54</v>
        <stp/>
        <stp>##V3_BDPV12</stp>
        <stp>NKE US Equity</stp>
        <stp>PX_last</stp>
        <stp>[DPM - Securities Master List (BBG Linked).xlsx]Equities!R214C17</stp>
        <tr r="Q214" s="2"/>
      </tp>
      <tp>
        <v>57.54</v>
        <stp/>
        <stp>##V3_BDPV12</stp>
        <stp>NKE US Equity</stp>
        <stp>PX_last</stp>
        <stp>[DPM - Securities Master List (BBG Linked).xlsx]Equities!R217C17</stp>
        <tr r="Q217" s="2"/>
      </tp>
      <tp>
        <v>57.54</v>
        <stp/>
        <stp>##V3_BDPV12</stp>
        <stp>NKE US Equity</stp>
        <stp>PX_last</stp>
        <stp>[DPM - Securities Master List (BBG Linked).xlsx]Equities!R216C17</stp>
        <tr r="Q216" s="2"/>
      </tp>
      <tp>
        <v>57.54</v>
        <stp/>
        <stp>##V3_BDPV12</stp>
        <stp>NKE US Equity</stp>
        <stp>PX_last</stp>
        <stp>[DPM - Securities Master List (BBG Linked).xlsx]Equities!R211C17</stp>
        <tr r="Q211" s="2"/>
      </tp>
      <tp>
        <v>57.54</v>
        <stp/>
        <stp>##V3_BDPV12</stp>
        <stp>NKE US Equity</stp>
        <stp>PX_last</stp>
        <stp>[DPM - Securities Master List (BBG Linked).xlsx]Equities!R210C17</stp>
        <tr r="Q210" s="2"/>
      </tp>
      <tp>
        <v>57.54</v>
        <stp/>
        <stp>##V3_BDPV12</stp>
        <stp>NKE US Equity</stp>
        <stp>PX_last</stp>
        <stp>[DPM - Securities Master List (BBG Linked).xlsx]Equities!R213C17</stp>
        <tr r="Q213" s="2"/>
      </tp>
      <tp>
        <v>57.54</v>
        <stp/>
        <stp>##V3_BDPV12</stp>
        <stp>NKE US Equity</stp>
        <stp>PX_last</stp>
        <stp>[DPM - Securities Master List (BBG Linked).xlsx]Equities!R212C17</stp>
        <tr r="Q212" s="2"/>
      </tp>
      <tp>
        <v>3.8719000000000001</v>
        <stp/>
        <stp>##V3_BDPV12</stp>
        <stp>NIO US Equity</stp>
        <stp>PX_last</stp>
        <stp>[DPM - Securities Master List (BBG Linked).xlsx]Equities!R206C17</stp>
        <tr r="Q206" s="2"/>
      </tp>
      <tp>
        <v>57.54</v>
        <stp/>
        <stp>##V3_BDPV12</stp>
        <stp>NKE US Equity</stp>
        <stp>PX_last</stp>
        <stp>[DPM - Securities Master List (BBG Linked).xlsx]Equities!R221C17</stp>
        <tr r="Q221" s="2"/>
      </tp>
      <tp>
        <v>57.54</v>
        <stp/>
        <stp>##V3_BDPV12</stp>
        <stp>NKE US Equity</stp>
        <stp>PX_last</stp>
        <stp>[DPM - Securities Master List (BBG Linked).xlsx]Equities!R220C17</stp>
        <tr r="Q220" s="2"/>
      </tp>
      <tp>
        <v>57.54</v>
        <stp/>
        <stp>##V3_BDPV12</stp>
        <stp>NKE US Equity</stp>
        <stp>PX_last</stp>
        <stp>[DPM - Securities Master List (BBG Linked).xlsx]Equities!R222C17</stp>
        <tr r="Q222" s="2"/>
      </tp>
      <tp>
        <v>82.784999999999997</v>
        <stp/>
        <stp>##V3_BDPV12</stp>
        <stp>MDT US Equity</stp>
        <stp>PX_last</stp>
        <stp>[DPM - Securities Master List (BBG Linked).xlsx]Equities!R155C17</stp>
        <tr r="Q155" s="2"/>
      </tp>
      <tp>
        <v>80.680000000000007</v>
        <stp/>
        <stp>##V3_BDPV12</stp>
        <stp>MRK US Equity</stp>
        <stp>PX_last</stp>
        <stp>[DPM - Securities Master List (BBG Linked).xlsx]Equities!R157C17</stp>
        <tr r="Q157" s="2"/>
      </tp>
      <tp>
        <v>80.680000000000007</v>
        <stp/>
        <stp>##V3_BDPV12</stp>
        <stp>MRK US Equity</stp>
        <stp>PX_last</stp>
        <stp>[DPM - Securities Master List (BBG Linked).xlsx]Equities!R159C17</stp>
        <tr r="Q159" s="2"/>
      </tp>
      <tp>
        <v>80.680000000000007</v>
        <stp/>
        <stp>##V3_BDPV12</stp>
        <stp>MRK US Equity</stp>
        <stp>PX_last</stp>
        <stp>[DPM - Securities Master List (BBG Linked).xlsx]Equities!R158C17</stp>
        <tr r="Q158" s="2"/>
      </tp>
      <tp>
        <v>80.680000000000007</v>
        <stp/>
        <stp>##V3_BDPV12</stp>
        <stp>MRK US Equity</stp>
        <stp>PX_last</stp>
        <stp>[DPM - Securities Master List (BBG Linked).xlsx]Equities!R163C17</stp>
        <tr r="Q163" s="2"/>
      </tp>
      <tp>
        <v>80.680000000000007</v>
        <stp/>
        <stp>##V3_BDPV12</stp>
        <stp>MRK US Equity</stp>
        <stp>PX_last</stp>
        <stp>[DPM - Securities Master List (BBG Linked).xlsx]Equities!R162C17</stp>
        <tr r="Q162" s="2"/>
      </tp>
      <tp>
        <v>80.680000000000007</v>
        <stp/>
        <stp>##V3_BDPV12</stp>
        <stp>MRK US Equity</stp>
        <stp>PX_last</stp>
        <stp>[DPM - Securities Master List (BBG Linked).xlsx]Equities!R161C17</stp>
        <tr r="Q161" s="2"/>
      </tp>
      <tp>
        <v>66.98</v>
        <stp/>
        <stp>##V3_BDPV12</stp>
        <stp>NVO US Equity</stp>
        <stp>PX_last</stp>
        <stp>[DPM - Securities Master List (BBG Linked).xlsx]Equities!R225C17</stp>
        <tr r="Q225" s="2"/>
      </tp>
      <tp>
        <v>80.680000000000007</v>
        <stp/>
        <stp>##V3_BDPV12</stp>
        <stp>MRK US Equity</stp>
        <stp>PX_last</stp>
        <stp>[DPM - Securities Master List (BBG Linked).xlsx]Equities!R160C17</stp>
        <tr r="Q160" s="2"/>
      </tp>
      <tp>
        <v>80.680000000000007</v>
        <stp/>
        <stp>##V3_BDPV12</stp>
        <stp>MRK US Equity</stp>
        <stp>PX_last</stp>
        <stp>[DPM - Securities Master List (BBG Linked).xlsx]Equities!R167C17</stp>
        <tr r="Q167" s="2"/>
      </tp>
      <tp>
        <v>80.680000000000007</v>
        <stp/>
        <stp>##V3_BDPV12</stp>
        <stp>MRK US Equity</stp>
        <stp>PX_last</stp>
        <stp>[DPM - Securities Master List (BBG Linked).xlsx]Equities!R166C17</stp>
        <tr r="Q166" s="2"/>
      </tp>
      <tp>
        <v>80.680000000000007</v>
        <stp/>
        <stp>##V3_BDPV12</stp>
        <stp>MRK US Equity</stp>
        <stp>PX_last</stp>
        <stp>[DPM - Securities Master List (BBG Linked).xlsx]Equities!R165C17</stp>
        <tr r="Q165" s="2"/>
      </tp>
      <tp>
        <v>80.680000000000007</v>
        <stp/>
        <stp>##V3_BDPV12</stp>
        <stp>MRK US Equity</stp>
        <stp>PX_last</stp>
        <stp>[DPM - Securities Master List (BBG Linked).xlsx]Equities!R164C17</stp>
        <tr r="Q164" s="2"/>
      </tp>
      <tp>
        <v>80.680000000000007</v>
        <stp/>
        <stp>##V3_BDPV12</stp>
        <stp>MRK US Equity</stp>
        <stp>PX_last</stp>
        <stp>[DPM - Securities Master List (BBG Linked).xlsx]Equities!R169C17</stp>
        <tr r="Q169" s="2"/>
      </tp>
      <tp>
        <v>80.680000000000007</v>
        <stp/>
        <stp>##V3_BDPV12</stp>
        <stp>MRK US Equity</stp>
        <stp>PX_last</stp>
        <stp>[DPM - Securities Master List (BBG Linked).xlsx]Equities!R168C17</stp>
        <tr r="Q168" s="2"/>
      </tp>
      <tp t="s">
        <v>Meituan</v>
        <stp/>
        <stp>##V3_BDPV12</stp>
        <stp>3690 HK Equity</stp>
        <stp>SECURITY NAME</stp>
        <stp>[DPM - Securities Master List (BBG Linked).xlsx]Equities!R11C5</stp>
        <tr r="E11" s="2"/>
      </tp>
      <tp>
        <v>227.79154968261719</v>
        <stp/>
        <stp>##V3_BDPV12</stp>
        <stp>AAPL US Equity</stp>
        <stp>BEST_TARGET_PRICE</stp>
        <stp>[DPM - Securities Master List (BBG Linked).xlsx]Equities!R34C38</stp>
        <tr r="AL34" s="2"/>
      </tp>
      <tp t="s">
        <v>#N/A Invalid Override</v>
        <stp/>
        <stp>##V3_BDPV12</stp>
        <stp>US251526CT41 isin</stp>
        <stp>YAS_BOND_YLD</stp>
        <stp>[DPM - Securities Master List (BBG Linked).xlsx]Bonds!R100C10</stp>
        <stp>YAS_YLD_FLAG=15</stp>
        <stp>user_local_trade_date</stp>
        <stp>45783</stp>
        <stp>Yas_bond_px</stp>
        <stp>#N/A Connection</stp>
        <tr r="J100" s="1"/>
      </tp>
      <tp t="s">
        <v>#N/A Invalid Override</v>
        <stp/>
        <stp>##V3_BDPV12</stp>
        <stp>US251526CT41 isin</stp>
        <stp>YAS_BOND_YLD</stp>
        <stp>[DPM - Securities Master List (BBG Linked).xlsx]Bonds!R120C10</stp>
        <stp>YAS_YLD_FLAG=15</stp>
        <stp>user_local_trade_date</stp>
        <stp>45783</stp>
        <stp>Yas_bond_px</stp>
        <stp>#N/A Connection</stp>
        <tr r="J120" s="1"/>
      </tp>
      <tp t="s">
        <v>#N/A Invalid Override</v>
        <stp/>
        <stp>##V3_BDPV12</stp>
        <stp>US251526CT41 isin</stp>
        <stp>YAS_BOND_YLD</stp>
        <stp>[DPM - Securities Master List (BBG Linked).xlsx]Bonds!R132C10</stp>
        <stp>YAS_YLD_FLAG=15</stp>
        <stp>user_local_trade_date</stp>
        <stp>45783</stp>
        <stp>Yas_bond_px</stp>
        <stp>#N/A Connection</stp>
        <tr r="J132" s="1"/>
      </tp>
      <tp t="s">
        <v>#N/A Invalid Override</v>
        <stp/>
        <stp>##V3_BDPV12</stp>
        <stp>US251526CT41 isin</stp>
        <stp>YAS_BOND_YLD</stp>
        <stp>[DPM - Securities Master List (BBG Linked).xlsx]Bonds!R142C10</stp>
        <stp>YAS_YLD_FLAG=15</stp>
        <stp>user_local_trade_date</stp>
        <stp>45783</stp>
        <stp>Yas_bond_px</stp>
        <stp>#N/A Connection</stp>
        <tr r="J142" s="1"/>
      </tp>
      <tp t="s">
        <v>#N/A Invalid Override</v>
        <stp/>
        <stp>##V3_BDPV12</stp>
        <stp>US251526CT41 isin</stp>
        <stp>YAS_BOND_YLD</stp>
        <stp>[DPM - Securities Master List (BBG Linked).xlsx]Bonds!R157C10</stp>
        <stp>YAS_YLD_FLAG=15</stp>
        <stp>user_local_trade_date</stp>
        <stp>45783</stp>
        <stp>Yas_bond_px</stp>
        <stp>#N/A Connection</stp>
        <tr r="J157" s="1"/>
      </tp>
      <tp>
        <v>-0.1380739</v>
        <stp/>
        <stp>##V3_BDPV12</stp>
        <stp>GSK LN Equity</stp>
        <stp>CHG_PCT_1D</stp>
        <stp>[DPM - Securities Master List (BBG Linked).xlsx]Equities!R144C22</stp>
        <tr r="V144" s="2"/>
      </tp>
      <tp>
        <v>-0.1380739</v>
        <stp/>
        <stp>##V3_BDPV12</stp>
        <stp>GSK LN Equity</stp>
        <stp>CHG_PCT_1D</stp>
        <stp>[DPM - Securities Master List (BBG Linked).xlsx]Equities!R145C22</stp>
        <tr r="V145" s="2"/>
      </tp>
      <tp>
        <v>-0.1380739</v>
        <stp/>
        <stp>##V3_BDPV12</stp>
        <stp>GSK LN Equity</stp>
        <stp>CHG_PCT_1D</stp>
        <stp>[DPM - Securities Master List (BBG Linked).xlsx]Equities!R142C22</stp>
        <tr r="V142" s="2"/>
      </tp>
      <tp>
        <v>-0.1380739</v>
        <stp/>
        <stp>##V3_BDPV12</stp>
        <stp>GSK LN Equity</stp>
        <stp>CHG_PCT_1D</stp>
        <stp>[DPM - Securities Master List (BBG Linked).xlsx]Equities!R143C22</stp>
        <tr r="V143" s="2"/>
      </tp>
      <tp>
        <v>-2.6074359999999999</v>
        <stp/>
        <stp>##V3_BDPV12</stp>
        <stp>MRK US Equity</stp>
        <stp>CHG_PCT_1D</stp>
        <stp>[DPM - Securities Master List (BBG Linked).xlsx]Equities!R162C22</stp>
        <tr r="V162" s="2"/>
      </tp>
      <tp>
        <v>-2.6074359999999999</v>
        <stp/>
        <stp>##V3_BDPV12</stp>
        <stp>MRK US Equity</stp>
        <stp>CHG_PCT_1D</stp>
        <stp>[DPM - Securities Master List (BBG Linked).xlsx]Equities!R163C22</stp>
        <tr r="V163" s="2"/>
      </tp>
      <tp>
        <v>-2.6074359999999999</v>
        <stp/>
        <stp>##V3_BDPV12</stp>
        <stp>MRK US Equity</stp>
        <stp>CHG_PCT_1D</stp>
        <stp>[DPM - Securities Master List (BBG Linked).xlsx]Equities!R160C22</stp>
        <tr r="V160" s="2"/>
      </tp>
      <tp>
        <v>-2.6074359999999999</v>
        <stp/>
        <stp>##V3_BDPV12</stp>
        <stp>MRK US Equity</stp>
        <stp>CHG_PCT_1D</stp>
        <stp>[DPM - Securities Master List (BBG Linked).xlsx]Equities!R161C22</stp>
        <tr r="V161" s="2"/>
      </tp>
      <tp>
        <v>-2.6074359999999999</v>
        <stp/>
        <stp>##V3_BDPV12</stp>
        <stp>MRK US Equity</stp>
        <stp>CHG_PCT_1D</stp>
        <stp>[DPM - Securities Master List (BBG Linked).xlsx]Equities!R166C22</stp>
        <tr r="V166" s="2"/>
      </tp>
      <tp>
        <v>-2.6074359999999999</v>
        <stp/>
        <stp>##V3_BDPV12</stp>
        <stp>MRK US Equity</stp>
        <stp>CHG_PCT_1D</stp>
        <stp>[DPM - Securities Master List (BBG Linked).xlsx]Equities!R167C22</stp>
        <tr r="V167" s="2"/>
      </tp>
      <tp>
        <v>-2.6074359999999999</v>
        <stp/>
        <stp>##V3_BDPV12</stp>
        <stp>MRK US Equity</stp>
        <stp>CHG_PCT_1D</stp>
        <stp>[DPM - Securities Master List (BBG Linked).xlsx]Equities!R164C22</stp>
        <tr r="V164" s="2"/>
      </tp>
      <tp>
        <v>-2.6074359999999999</v>
        <stp/>
        <stp>##V3_BDPV12</stp>
        <stp>MRK US Equity</stp>
        <stp>CHG_PCT_1D</stp>
        <stp>[DPM - Securities Master List (BBG Linked).xlsx]Equities!R165C22</stp>
        <tr r="V165" s="2"/>
      </tp>
      <tp>
        <v>-2.6074359999999999</v>
        <stp/>
        <stp>##V3_BDPV12</stp>
        <stp>MRK US Equity</stp>
        <stp>CHG_PCT_1D</stp>
        <stp>[DPM - Securities Master List (BBG Linked).xlsx]Equities!R168C22</stp>
        <tr r="V168" s="2"/>
      </tp>
      <tp>
        <v>-2.6074359999999999</v>
        <stp/>
        <stp>##V3_BDPV12</stp>
        <stp>MRK US Equity</stp>
        <stp>CHG_PCT_1D</stp>
        <stp>[DPM - Securities Master List (BBG Linked).xlsx]Equities!R169C22</stp>
        <tr r="V169" s="2"/>
      </tp>
      <tp>
        <v>-2.6074359999999999</v>
        <stp/>
        <stp>##V3_BDPV12</stp>
        <stp>MRK US Equity</stp>
        <stp>CHG_PCT_1D</stp>
        <stp>[DPM - Securities Master List (BBG Linked).xlsx]Equities!R157C22</stp>
        <tr r="V157" s="2"/>
      </tp>
      <tp>
        <v>-2.6074359999999999</v>
        <stp/>
        <stp>##V3_BDPV12</stp>
        <stp>MRK US Equity</stp>
        <stp>CHG_PCT_1D</stp>
        <stp>[DPM - Securities Master List (BBG Linked).xlsx]Equities!R158C22</stp>
        <tr r="V158" s="2"/>
      </tp>
      <tp>
        <v>-2.6074359999999999</v>
        <stp/>
        <stp>##V3_BDPV12</stp>
        <stp>MRK US Equity</stp>
        <stp>CHG_PCT_1D</stp>
        <stp>[DPM - Securities Master List (BBG Linked).xlsx]Equities!R159C22</stp>
        <tr r="V159" s="2"/>
      </tp>
      <tp>
        <v>-8.6816040000000001</v>
        <stp/>
        <stp>##V3_BDPV12</stp>
        <stp>NIO US Equity</stp>
        <stp>CHG_PCT_5D</stp>
        <stp>[DPM - Securities Master List (BBG Linked).xlsx]Equities!R206C23</stp>
        <tr r="W206" s="2"/>
      </tp>
      <tp>
        <v>-1.2375689999999999</v>
        <stp/>
        <stp>##V3_BDPV12</stp>
        <stp>RIO LN Equity</stp>
        <stp>CHG_PCT_5D</stp>
        <stp>[DPM - Securities Master List (BBG Linked).xlsx]Equities!R242C23</stp>
        <tr r="W242" s="2"/>
      </tp>
      <tp>
        <v>2.7931249999999999</v>
        <stp/>
        <stp>##V3_BDPV12</stp>
        <stp>NVO US Equity</stp>
        <stp>CHG_PCT_5D</stp>
        <stp>[DPM - Securities Master List (BBG Linked).xlsx]Equities!R225C23</stp>
        <tr r="W225" s="2"/>
      </tp>
      <tp>
        <v>20</v>
        <stp/>
        <stp>##V3_BDPV12</stp>
        <stp>BIIB US Equity</stp>
        <stp>TOT_HOLD_REC</stp>
        <stp>[DPM - Securities Master List (BBG Linked).xlsx]Equities!R62C35</stp>
        <tr r="AI62" s="2"/>
      </tp>
      <tp>
        <v>6</v>
        <stp/>
        <stp>##V3_BDPV12</stp>
        <stp>BMRN US Equity</stp>
        <stp>TOT_HOLD_REC</stp>
        <stp>[DPM - Securities Master List (BBG Linked).xlsx]Equities!R70C35</stp>
        <tr r="AI70" s="2"/>
      </tp>
      <tp>
        <v>6</v>
        <stp/>
        <stp>##V3_BDPV12</stp>
        <stp>BMRN US Equity</stp>
        <stp>TOT_HOLD_REC</stp>
        <stp>[DPM - Securities Master List (BBG Linked).xlsx]Equities!R71C35</stp>
        <tr r="AI71" s="2"/>
      </tp>
      <tp>
        <v>6</v>
        <stp/>
        <stp>##V3_BDPV12</stp>
        <stp>BMRN US Equity</stp>
        <stp>TOT_HOLD_REC</stp>
        <stp>[DPM - Securities Master List (BBG Linked).xlsx]Equities!R72C35</stp>
        <tr r="AI72" s="2"/>
      </tp>
      <tp>
        <v>6</v>
        <stp/>
        <stp>##V3_BDPV12</stp>
        <stp>BMRN US Equity</stp>
        <stp>TOT_HOLD_REC</stp>
        <stp>[DPM - Securities Master List (BBG Linked).xlsx]Equities!R73C35</stp>
        <tr r="AI73" s="2"/>
      </tp>
      <tp>
        <v>6</v>
        <stp/>
        <stp>##V3_BDPV12</stp>
        <stp>BMRN US Equity</stp>
        <stp>TOT_HOLD_REC</stp>
        <stp>[DPM - Securities Master List (BBG Linked).xlsx]Equities!R74C35</stp>
        <tr r="AI74" s="2"/>
      </tp>
      <tp>
        <v>6</v>
        <stp/>
        <stp>##V3_BDPV12</stp>
        <stp>BMRN US Equity</stp>
        <stp>TOT_HOLD_REC</stp>
        <stp>[DPM - Securities Master List (BBG Linked).xlsx]Equities!R75C35</stp>
        <tr r="AI75" s="2"/>
      </tp>
      <tp>
        <v>6</v>
        <stp/>
        <stp>##V3_BDPV12</stp>
        <stp>BMRN US Equity</stp>
        <stp>TOT_HOLD_REC</stp>
        <stp>[DPM - Securities Master List (BBG Linked).xlsx]Equities!R68C35</stp>
        <tr r="AI68" s="2"/>
      </tp>
      <tp>
        <v>6</v>
        <stp/>
        <stp>##V3_BDPV12</stp>
        <stp>BMRN US Equity</stp>
        <stp>TOT_HOLD_REC</stp>
        <stp>[DPM - Securities Master List (BBG Linked).xlsx]Equities!R69C35</stp>
        <tr r="AI69" s="2"/>
      </tp>
      <tp>
        <v>6</v>
        <stp/>
        <stp>##V3_BDPV12</stp>
        <stp>BMRN US Equity</stp>
        <stp>TOT_HOLD_REC</stp>
        <stp>[DPM - Securities Master List (BBG Linked).xlsx]Equities!R63C35</stp>
        <tr r="AI63" s="2"/>
      </tp>
      <tp>
        <v>6</v>
        <stp/>
        <stp>##V3_BDPV12</stp>
        <stp>BMRN US Equity</stp>
        <stp>TOT_HOLD_REC</stp>
        <stp>[DPM - Securities Master List (BBG Linked).xlsx]Equities!R64C35</stp>
        <tr r="AI64" s="2"/>
      </tp>
      <tp>
        <v>6</v>
        <stp/>
        <stp>##V3_BDPV12</stp>
        <stp>BMRN US Equity</stp>
        <stp>TOT_HOLD_REC</stp>
        <stp>[DPM - Securities Master List (BBG Linked).xlsx]Equities!R65C35</stp>
        <tr r="AI65" s="2"/>
      </tp>
      <tp>
        <v>6</v>
        <stp/>
        <stp>##V3_BDPV12</stp>
        <stp>BMRN US Equity</stp>
        <stp>TOT_HOLD_REC</stp>
        <stp>[DPM - Securities Master List (BBG Linked).xlsx]Equities!R66C35</stp>
        <tr r="AI66" s="2"/>
      </tp>
      <tp>
        <v>6</v>
        <stp/>
        <stp>##V3_BDPV12</stp>
        <stp>BMRN US Equity</stp>
        <stp>TOT_HOLD_REC</stp>
        <stp>[DPM - Securities Master List (BBG Linked).xlsx]Equities!R67C35</stp>
        <tr r="AI67" s="2"/>
      </tp>
    </main>
    <main first="bofaddin.rtdserver">
      <tp t="e">
        <v>#N/A</v>
        <stp/>
        <stp>BDP|13459957326567685984</stp>
        <tr r="E66" s="1"/>
        <tr r="E49" s="1"/>
        <tr r="E42" s="1"/>
      </tp>
      <tp t="e">
        <v>#N/A</v>
        <stp/>
        <stp>BDP|18000874774119896823</stp>
        <tr r="AK9" s="1"/>
        <tr r="AK9" s="1"/>
        <tr r="AK9" s="1"/>
      </tp>
      <tp t="e">
        <v>#N/A</v>
        <stp/>
        <stp>BDP|15467719950673953250</stp>
        <tr r="AJ52" s="1"/>
        <tr r="AJ52" s="1"/>
      </tp>
      <tp t="e">
        <v>#N/A</v>
        <stp/>
        <stp>BDP|12021704879930385434</stp>
        <tr r="AU113" s="1"/>
        <tr r="AU113" s="1"/>
        <tr r="AU113" s="1"/>
      </tp>
      <tp t="e">
        <v>#N/A</v>
        <stp/>
        <stp>BDP|18103348815918031490</stp>
        <tr r="AF9" s="3"/>
        <tr r="AF9" s="3"/>
        <tr r="AF8" s="3"/>
        <tr r="AF8" s="3"/>
        <tr r="AF7" s="3"/>
        <tr r="AF7" s="3"/>
        <tr r="AF6" s="3"/>
        <tr r="AF6" s="3"/>
        <tr r="AF5" s="3"/>
        <tr r="AF5" s="3"/>
        <tr r="AF4" s="3"/>
        <tr r="AF4" s="3"/>
        <tr r="AF3" s="3"/>
        <tr r="AF3" s="3"/>
        <tr r="AF15" s="3"/>
        <tr r="AF15" s="3"/>
        <tr r="AF14" s="3"/>
        <tr r="AF14" s="3"/>
        <tr r="AF13" s="3"/>
        <tr r="AF13" s="3"/>
        <tr r="AF12" s="3"/>
        <tr r="AF12" s="3"/>
        <tr r="AF11" s="3"/>
        <tr r="AF11" s="3"/>
        <tr r="AF10" s="3"/>
        <tr r="AF10" s="3"/>
      </tp>
      <tp t="e">
        <v>#N/A</v>
        <stp/>
        <stp>BDP|10277782305675559436</stp>
        <tr r="AU66" s="1"/>
        <tr r="AU66" s="1"/>
        <tr r="AU66" s="1"/>
        <tr r="AU49" s="1"/>
        <tr r="AU49" s="1"/>
        <tr r="AU49" s="1"/>
        <tr r="AU42" s="1"/>
        <tr r="AU42" s="1"/>
        <tr r="AU42" s="1"/>
      </tp>
      <tp t="e">
        <v>#N/A</v>
        <stp/>
        <stp>BDP|15002361538333789014</stp>
        <tr r="H139" s="1"/>
        <tr r="H139" s="1"/>
        <tr r="H129" s="1"/>
        <tr r="H129" s="1"/>
      </tp>
      <tp t="e">
        <v>#N/A</v>
        <stp/>
        <stp>BDP|13311389642732853094</stp>
        <tr r="AK59" s="1"/>
        <tr r="AK59" s="1"/>
        <tr r="AK59" s="1"/>
        <tr r="AK89" s="1"/>
        <tr r="AK89" s="1"/>
        <tr r="AK89" s="1"/>
        <tr r="AK81" s="1"/>
        <tr r="AK81" s="1"/>
        <tr r="AK81" s="1"/>
        <tr r="AK41" s="1"/>
        <tr r="AK41" s="1"/>
        <tr r="AK41" s="1"/>
        <tr r="AK135" s="1"/>
        <tr r="AK135" s="1"/>
        <tr r="AK135" s="1"/>
        <tr r="AK37" s="1"/>
        <tr r="AK37" s="1"/>
        <tr r="AK37" s="1"/>
        <tr r="AK29" s="1"/>
        <tr r="AK29" s="1"/>
        <tr r="AK29" s="1"/>
        <tr r="AK164" s="1"/>
        <tr r="AK164" s="1"/>
        <tr r="AK164" s="1"/>
      </tp>
      <tp t="e">
        <v>#N/A</v>
        <stp/>
        <stp>BDP|16295169534847912518</stp>
        <tr r="N80" s="1"/>
        <tr r="N58" s="1"/>
        <tr r="N28" s="1"/>
        <tr r="N161" s="1"/>
        <tr r="N121" s="1"/>
        <tr r="N10" s="1"/>
      </tp>
      <tp t="e">
        <v>#N/A</v>
        <stp/>
        <stp>BDP|10003428979277790272</stp>
        <tr r="Q9" s="3"/>
        <tr r="Q8" s="3"/>
        <tr r="Q7" s="3"/>
        <tr r="Q6" s="3"/>
        <tr r="Q5" s="3"/>
        <tr r="Q4" s="3"/>
        <tr r="Q3" s="3"/>
        <tr r="Q15" s="3"/>
        <tr r="Q14" s="3"/>
        <tr r="Q13" s="3"/>
        <tr r="Q12" s="3"/>
        <tr r="Q11" s="3"/>
        <tr r="Q10" s="3"/>
      </tp>
      <tp t="e">
        <v>#N/A</v>
        <stp/>
        <stp>BDP|15271158149410585602</stp>
        <tr r="AJ141" s="1"/>
        <tr r="AJ141" s="1"/>
        <tr r="AJ131" s="1"/>
        <tr r="AJ131" s="1"/>
      </tp>
      <tp t="e">
        <v>#N/A</v>
        <stp/>
        <stp>BDP|17001275667415967022</stp>
        <tr r="AA93" s="1"/>
      </tp>
      <tp t="b">
        <v>0</v>
        <stp/>
        <stp>BDP|12015058119730368552</stp>
        <tr r="F94" s="3"/>
        <tr r="F93" s="3"/>
        <tr r="F92" s="3"/>
        <tr r="F91" s="3"/>
        <tr r="F90" s="3"/>
        <tr r="F89" s="3"/>
        <tr r="F88" s="3"/>
        <tr r="F87" s="3"/>
        <tr r="F86" s="3"/>
        <tr r="F85" s="3"/>
        <tr r="F84" s="3"/>
        <tr r="F83" s="3"/>
        <tr r="F82" s="3"/>
        <tr r="F81" s="3"/>
        <tr r="F80" s="3"/>
        <tr r="F79" s="3"/>
      </tp>
      <tp t="e">
        <v>#N/A</v>
        <stp/>
        <stp>BDP|17118211578733483760</stp>
        <tr r="AC114" s="3"/>
        <tr r="AC114" s="3"/>
        <tr r="AC114" s="3"/>
        <tr r="AC113" s="3"/>
        <tr r="AC113" s="3"/>
        <tr r="AC113" s="3"/>
        <tr r="AC112" s="3"/>
        <tr r="AC112" s="3"/>
        <tr r="AC112" s="3"/>
      </tp>
      <tp t="e">
        <v>#N/A</v>
        <stp/>
        <stp>BDP|13995723566431538523</stp>
        <tr r="AE9" s="1"/>
      </tp>
      <tp t="e">
        <v>#N/A</v>
        <stp/>
        <stp>BDP|12678435158644019173</stp>
        <tr r="AJ67" s="1"/>
        <tr r="AJ67" s="1"/>
        <tr r="AJ3" s="1"/>
        <tr r="AJ3" s="1"/>
        <tr r="AJ21" s="1"/>
        <tr r="AJ21" s="1"/>
        <tr r="AJ166" s="1"/>
        <tr r="AJ166" s="1"/>
        <tr r="AJ147" s="1"/>
        <tr r="AJ147" s="1"/>
        <tr r="AJ125" s="1"/>
        <tr r="AJ125" s="1"/>
        <tr r="AJ114" s="1"/>
        <tr r="AJ114" s="1"/>
        <tr r="AJ43" s="1"/>
        <tr r="AJ43" s="1"/>
        <tr r="AJ30" s="1"/>
        <tr r="AJ30" s="1"/>
      </tp>
      <tp t="e">
        <v>#N/A</v>
        <stp/>
        <stp>BDP|10497081684538514603</stp>
        <tr r="Q47" s="1"/>
      </tp>
      <tp t="e">
        <v>#N/A</v>
        <stp/>
        <stp>BDP|16685272379641044456</stp>
        <tr r="I130" s="1"/>
      </tp>
      <tp t="e">
        <v>#N/A</v>
        <stp/>
        <stp>BDP|11840634247853067610</stp>
        <tr r="AS113" s="1"/>
        <tr r="L113" s="1"/>
        <tr r="L113" s="1"/>
      </tp>
      <tp t="e">
        <v>#N/A</v>
        <stp/>
        <stp>BDP|14709637279041763273</stp>
        <tr r="F62" s="1"/>
        <tr r="F115" s="1"/>
        <tr r="F45" s="1"/>
        <tr r="F53" s="1"/>
      </tp>
      <tp t="e">
        <v>#N/A</v>
        <stp/>
        <stp>BDP|15724702110504920137</stp>
        <tr r="AT90" s="1"/>
      </tp>
      <tp t="e">
        <v>#N/A</v>
        <stp/>
        <stp>BDP|17182845569547082817</stp>
        <tr r="Y92" s="1"/>
      </tp>
    </main>
    <main first="bloomberg.rtd">
      <tp t="s">
        <v>#N/A Invalid Override</v>
        <stp/>
        <stp>##V3_BDPV12</stp>
        <stp>XS2827680112 isin</stp>
        <stp>YAS_BOND_YLD</stp>
        <stp>[DPM - Securities Master List (BBG Linked).xlsx]Bonds!R10C10</stp>
        <stp>YAS_YLD_FLAG=15</stp>
        <stp>user_local_trade_date</stp>
        <stp>45783</stp>
        <stp>Yas_bond_px</stp>
        <stp>#N/A Connection</stp>
        <tr r="J10" s="1"/>
      </tp>
      <tp t="s">
        <v>#N/A Invalid Override</v>
        <stp/>
        <stp>##V3_BDPV12</stp>
        <stp>XS2827680112 isin</stp>
        <stp>YAS_BOND_YLD</stp>
        <stp>[DPM - Securities Master List (BBG Linked).xlsx]Bonds!R28C10</stp>
        <stp>YAS_YLD_FLAG=15</stp>
        <stp>user_local_trade_date</stp>
        <stp>45783</stp>
        <stp>Yas_bond_px</stp>
        <stp>#N/A Connection</stp>
        <tr r="J28" s="1"/>
      </tp>
      <tp t="s">
        <v>#N/A Invalid Override</v>
        <stp/>
        <stp>##V3_BDPV12</stp>
        <stp>XS2827680112 isin</stp>
        <stp>YAS_BOND_YLD</stp>
        <stp>[DPM - Securities Master List (BBG Linked).xlsx]Bonds!R58C10</stp>
        <stp>YAS_YLD_FLAG=15</stp>
        <stp>user_local_trade_date</stp>
        <stp>45783</stp>
        <stp>Yas_bond_px</stp>
        <stp>#N/A Connection</stp>
        <tr r="J58" s="1"/>
      </tp>
      <tp t="s">
        <v>#N/A Invalid Override</v>
        <stp/>
        <stp>##V3_BDPV12</stp>
        <stp>XS2827680112 isin</stp>
        <stp>YAS_BOND_YLD</stp>
        <stp>[DPM - Securities Master List (BBG Linked).xlsx]Bonds!R80C10</stp>
        <stp>YAS_YLD_FLAG=15</stp>
        <stp>user_local_trade_date</stp>
        <stp>45783</stp>
        <stp>Yas_bond_px</stp>
        <stp>#N/A Connection</stp>
        <tr r="J80" s="1"/>
      </tp>
    </main>
    <main first="bofaddin.rtdserver">
      <tp t="e">
        <v>#N/A</v>
        <stp/>
        <stp>BDP|13748147629177329159</stp>
        <tr r="X9" s="1"/>
      </tp>
      <tp t="e">
        <v>#N/A</v>
        <stp/>
        <stp>BDP|14118042638587241633</stp>
        <tr r="F64" s="1"/>
      </tp>
      <tp t="e">
        <v>#N/A</v>
        <stp/>
        <stp>BDP|12246812996922032798</stp>
        <tr r="AK82" s="1"/>
        <tr r="AK82" s="1"/>
        <tr r="AK82" s="1"/>
        <tr r="AK39" s="1"/>
        <tr r="AK39" s="1"/>
        <tr r="AK39" s="1"/>
        <tr r="AK22" s="1"/>
        <tr r="AK22" s="1"/>
        <tr r="AK22" s="1"/>
        <tr r="AK167" s="1"/>
        <tr r="AK167" s="1"/>
        <tr r="AK167" s="1"/>
      </tp>
      <tp t="e">
        <v>#N/A</v>
        <stp/>
        <stp>BDP|10611904473679395190</stp>
        <tr r="AL93" s="1"/>
      </tp>
      <tp t="e">
        <v>#N/A</v>
        <stp/>
        <stp>BDP|17326514824860032694</stp>
        <tr r="W12" s="1"/>
      </tp>
      <tp t="e">
        <v>#N/A</v>
        <stp/>
        <stp>BDP|11610848894333025595</stp>
        <tr r="AL119" s="3"/>
        <tr r="AL119" s="3"/>
        <tr r="AL119" s="3"/>
        <tr r="AL118" s="3"/>
        <tr r="AL118" s="3"/>
        <tr r="AL118" s="3"/>
        <tr r="AL117" s="3"/>
        <tr r="AL117" s="3"/>
        <tr r="AL117" s="3"/>
        <tr r="AL116" s="3"/>
        <tr r="AL116" s="3"/>
        <tr r="AL116" s="3"/>
      </tp>
      <tp t="e">
        <v>#N/A</v>
        <stp/>
        <stp>BDP|16478929444498495590</stp>
        <tr r="AU9" s="1"/>
        <tr r="AU9" s="1"/>
        <tr r="AU9" s="1"/>
      </tp>
      <tp t="e">
        <v>#N/A</v>
        <stp/>
        <stp>BDP|15062440871789258984</stp>
        <tr r="AD47" s="1"/>
      </tp>
      <tp t="e">
        <v>#N/A</v>
        <stp/>
        <stp>BDP|10590203895399995466</stp>
        <tr r="H99" s="3"/>
        <tr r="H99" s="3"/>
        <tr r="H99" s="3"/>
        <tr r="H98" s="3"/>
        <tr r="H98" s="3"/>
        <tr r="H98" s="3"/>
        <tr r="H97" s="3"/>
        <tr r="H97" s="3"/>
        <tr r="H97" s="3"/>
      </tp>
      <tp t="e">
        <v>#N/A</v>
        <stp/>
        <stp>BDP|15284421295057973938</stp>
        <tr r="I9" s="3"/>
        <tr r="I9" s="3"/>
        <tr r="I9" s="3"/>
        <tr r="I8" s="3"/>
        <tr r="I8" s="3"/>
        <tr r="I8" s="3"/>
        <tr r="I7" s="3"/>
        <tr r="I7" s="3"/>
        <tr r="I7" s="3"/>
        <tr r="I6" s="3"/>
        <tr r="I6" s="3"/>
        <tr r="I6" s="3"/>
        <tr r="I5" s="3"/>
        <tr r="I5" s="3"/>
        <tr r="I5" s="3"/>
        <tr r="I4" s="3"/>
        <tr r="I4" s="3"/>
        <tr r="I4" s="3"/>
        <tr r="I3" s="3"/>
        <tr r="I3" s="3"/>
        <tr r="I3" s="3"/>
        <tr r="I15" s="3"/>
        <tr r="I15" s="3"/>
        <tr r="I15" s="3"/>
        <tr r="I14" s="3"/>
        <tr r="I14" s="3"/>
        <tr r="I14" s="3"/>
        <tr r="I13" s="3"/>
        <tr r="I13" s="3"/>
        <tr r="I13" s="3"/>
        <tr r="I12" s="3"/>
        <tr r="I12" s="3"/>
        <tr r="I12" s="3"/>
        <tr r="I11" s="3"/>
        <tr r="I11" s="3"/>
        <tr r="I11" s="3"/>
        <tr r="I10" s="3"/>
        <tr r="I10" s="3"/>
        <tr r="I10" s="3"/>
      </tp>
      <tp t="e">
        <v>#N/A</v>
        <stp/>
        <stp>BDP|14058794265944141729</stp>
        <tr r="K85" s="1"/>
      </tp>
      <tp t="b">
        <v>0</v>
        <stp/>
        <stp>BDP|10996665510824222523</stp>
        <tr r="F111" s="3"/>
        <tr r="F110" s="3"/>
        <tr r="F109" s="3"/>
        <tr r="F108" s="3"/>
        <tr r="F107" s="3"/>
        <tr r="F106" s="3"/>
        <tr r="F105" s="3"/>
        <tr r="F104" s="3"/>
      </tp>
      <tp t="e">
        <v>#N/A</v>
        <stp/>
        <stp>BDP|17508198172933707473</stp>
        <tr r="H47" s="1"/>
        <tr r="H47" s="1"/>
      </tp>
      <tp t="e">
        <v>#N/A</v>
        <stp/>
        <stp>BDP|15509678842472988374</stp>
        <tr r="AD7" s="1"/>
        <tr r="AD14" s="1"/>
        <tr r="AD108" s="1"/>
      </tp>
      <tp t="e">
        <v>#N/A</v>
        <stp/>
        <stp>BDP|18177066418718636773</stp>
        <tr r="AK54" s="1"/>
        <tr r="AK54" s="1"/>
        <tr r="AK54" s="1"/>
      </tp>
      <tp t="e">
        <v>#N/A</v>
        <stp/>
        <stp>BDP|17417216668631319405</stp>
        <tr r="AK96" s="1"/>
        <tr r="AK96" s="1"/>
        <tr r="AK96" s="1"/>
        <tr r="AK77" s="1"/>
        <tr r="AK77" s="1"/>
        <tr r="AK77" s="1"/>
        <tr r="AK65" s="1"/>
        <tr r="AK65" s="1"/>
        <tr r="AK65" s="1"/>
        <tr r="AK36" s="1"/>
        <tr r="AK36" s="1"/>
        <tr r="AK36" s="1"/>
        <tr r="AK27" s="1"/>
        <tr r="AK27" s="1"/>
        <tr r="AK27" s="1"/>
        <tr r="AK162" s="1"/>
        <tr r="AK162" s="1"/>
        <tr r="AK162" s="1"/>
      </tp>
    </main>
    <main first="bloomberg.rtd">
      <tp t="s">
        <v>#N/A Invalid Override</v>
        <stp/>
        <stp>##V3_BDPV12</stp>
        <stp>XS2976035316 isin</stp>
        <stp>YAS_BOND_YLD</stp>
        <stp>[DPM - Securities Master List (BBG Linked).xlsx]Bonds!R15C10</stp>
        <stp>YAS_YLD_FLAG=15</stp>
        <stp>user_local_trade_date</stp>
        <stp>45783</stp>
        <stp>Yas_bond_px</stp>
        <stp>#N/A Connection</stp>
        <tr r="J15" s="1"/>
      </tp>
    </main>
    <main first="bofaddin.rtdserver">
      <tp t="e">
        <v>#N/A</v>
        <stp/>
        <stp>BDP|10170828040743716950</stp>
        <tr r="N99" s="3"/>
        <tr r="N99" s="3"/>
        <tr r="N99" s="3"/>
        <tr r="N98" s="3"/>
        <tr r="N98" s="3"/>
        <tr r="N98" s="3"/>
        <tr r="N97" s="3"/>
        <tr r="N97" s="3"/>
        <tr r="N97" s="3"/>
      </tp>
      <tp t="e">
        <v>#N/A</v>
        <stp/>
        <stp>BDP|11463340750429241838</stp>
        <tr r="AC63" s="3"/>
        <tr r="AC63" s="3"/>
        <tr r="AC63" s="3"/>
        <tr r="AC62" s="3"/>
        <tr r="AC62" s="3"/>
        <tr r="AC62" s="3"/>
        <tr r="AC61" s="3"/>
        <tr r="AC61" s="3"/>
        <tr r="AC61" s="3"/>
        <tr r="AC60" s="3"/>
        <tr r="AC60" s="3"/>
        <tr r="AC60" s="3"/>
        <tr r="AC59" s="3"/>
        <tr r="AC59" s="3"/>
        <tr r="AC59" s="3"/>
        <tr r="AC58" s="3"/>
        <tr r="AC58" s="3"/>
        <tr r="AC58" s="3"/>
        <tr r="AC57" s="3"/>
        <tr r="AC57" s="3"/>
        <tr r="AC57" s="3"/>
        <tr r="AC56" s="3"/>
        <tr r="AC56" s="3"/>
        <tr r="AC56" s="3"/>
        <tr r="AC55" s="3"/>
        <tr r="AC55" s="3"/>
        <tr r="AC55" s="3"/>
        <tr r="AC54" s="3"/>
        <tr r="AC54" s="3"/>
        <tr r="AC54" s="3"/>
        <tr r="AC53" s="3"/>
        <tr r="AC53" s="3"/>
        <tr r="AC53" s="3"/>
        <tr r="AC52" s="3"/>
        <tr r="AC52" s="3"/>
        <tr r="AC52" s="3"/>
        <tr r="AC51" s="3"/>
        <tr r="AC51" s="3"/>
        <tr r="AC51" s="3"/>
      </tp>
      <tp t="e">
        <v>#N/A</v>
        <stp/>
        <stp>BDP|10632386147831980016</stp>
        <tr r="AG96" s="3"/>
        <tr r="AG96" s="3"/>
        <tr r="AG96" s="3"/>
        <tr r="AG95" s="3"/>
        <tr r="AG95" s="3"/>
        <tr r="AG95" s="3"/>
      </tp>
      <tp t="e">
        <v>#N/A</v>
        <stp/>
        <stp>BDP|10444394033607648190</stp>
        <tr r="AT63" s="1"/>
      </tp>
      <tp t="e">
        <v>#N/A</v>
        <stp/>
        <stp>BDP|16896861148778288452</stp>
        <tr r="AL19" s="1"/>
      </tp>
      <tp t="e">
        <v>#N/A</v>
        <stp/>
        <stp>BDP|13475430865205268209</stp>
        <tr r="AD6" s="1"/>
      </tp>
      <tp t="e">
        <v>#N/A</v>
        <stp/>
        <stp>BDP|17508359827255014572</stp>
        <tr r="AD143" s="1"/>
        <tr r="AD127" s="1"/>
      </tp>
      <tp t="e">
        <v>#N/A</v>
        <stp/>
        <stp>BDP|13466766900933533175</stp>
        <tr r="AD114" s="3"/>
        <tr r="AD114" s="3"/>
        <tr r="AD114" s="3"/>
        <tr r="AD113" s="3"/>
        <tr r="AD113" s="3"/>
        <tr r="AD113" s="3"/>
        <tr r="AD112" s="3"/>
        <tr r="AD112" s="3"/>
        <tr r="AD112" s="3"/>
      </tp>
      <tp t="e">
        <v>#N/A</v>
        <stp/>
        <stp>BDP|13195017530656400044</stp>
        <tr r="Z139" s="1"/>
        <tr r="Z129" s="1"/>
      </tp>
      <tp t="e">
        <v>#N/A</v>
        <stp/>
        <stp>BDP|13755077916176349257</stp>
        <tr r="H9" s="1"/>
        <tr r="H9" s="1"/>
      </tp>
      <tp t="e">
        <v>#N/A</v>
        <stp/>
        <stp>BDP|15101267102623579202</stp>
        <tr r="Q141" s="3"/>
        <tr r="Q140" s="3"/>
        <tr r="Q139" s="3"/>
        <tr r="Q138" s="3"/>
        <tr r="Q137" s="3"/>
        <tr r="Q136" s="3"/>
        <tr r="Q135" s="3"/>
        <tr r="Q134" s="3"/>
        <tr r="Q133" s="3"/>
        <tr r="Q132" s="3"/>
        <tr r="Q131" s="3"/>
        <tr r="Q130" s="3"/>
      </tp>
      <tp t="e">
        <v>#N/A</v>
        <stp/>
        <stp>BDP|18303817601682427448</stp>
        <tr r="Y89" s="1"/>
        <tr r="Y81" s="1"/>
        <tr r="Y59" s="1"/>
        <tr r="Y41" s="1"/>
        <tr r="Y37" s="1"/>
        <tr r="Y29" s="1"/>
        <tr r="Y164" s="1"/>
        <tr r="Y135" s="1"/>
      </tp>
      <tp t="e">
        <v>#N/A</v>
        <stp/>
        <stp>BDP|16521027848250886440</stp>
        <tr r="BC119" s="3"/>
        <tr r="BC118" s="3"/>
        <tr r="BC117" s="3"/>
      </tp>
      <tp t="e">
        <v>#N/A</v>
        <stp/>
        <stp>BDP|12708230378227928660</stp>
        <tr r="I6" s="1"/>
      </tp>
      <tp t="e">
        <v>#N/A</v>
        <stp/>
        <stp>BDP|10171770824423365023</stp>
        <tr r="AK94" s="1"/>
        <tr r="AK94" s="1"/>
        <tr r="AK94" s="1"/>
        <tr r="AK151" s="1"/>
        <tr r="AK151" s="1"/>
        <tr r="AK151" s="1"/>
        <tr r="AK123" s="1"/>
        <tr r="AK123" s="1"/>
        <tr r="AK123" s="1"/>
        <tr r="AK101" s="1"/>
        <tr r="AK101" s="1"/>
        <tr r="AK101" s="1"/>
      </tp>
      <tp t="e">
        <v>#N/A</v>
        <stp/>
        <stp>BDP|17310858032669789302</stp>
        <tr r="AL113" s="1"/>
      </tp>
    </main>
    <main first="bloomberg.rtd">
      <tp>
        <v>378</v>
        <stp/>
        <stp>##V3_BDPV12</stp>
        <stp>TSCO LN Equity</stp>
        <stp>PX_Last</stp>
        <stp>[DPM - Securities Master List (BBG Linked).xlsx]Equities!R271C17</stp>
        <tr r="Q271" s="2"/>
      </tp>
      <tp>
        <v>378</v>
        <stp/>
        <stp>##V3_BDPV12</stp>
        <stp>TSCO LN Equity</stp>
        <stp>PX_Last</stp>
        <stp>[DPM - Securities Master List (BBG Linked).xlsx]Equities!R270C17</stp>
        <tr r="Q270" s="2"/>
      </tp>
      <tp>
        <v>378</v>
        <stp/>
        <stp>##V3_BDPV12</stp>
        <stp>TSCO LN Equity</stp>
        <stp>PX_Last</stp>
        <stp>[DPM - Securities Master List (BBG Linked).xlsx]Equities!R273C17</stp>
        <tr r="Q273" s="2"/>
      </tp>
      <tp>
        <v>378</v>
        <stp/>
        <stp>##V3_BDPV12</stp>
        <stp>TSCO LN Equity</stp>
        <stp>PX_Last</stp>
        <stp>[DPM - Securities Master List (BBG Linked).xlsx]Equities!R272C17</stp>
        <tr r="Q272" s="2"/>
      </tp>
      <tp>
        <v>378</v>
        <stp/>
        <stp>##V3_BDPV12</stp>
        <stp>TSCO LN Equity</stp>
        <stp>PX_Last</stp>
        <stp>[DPM - Securities Master List (BBG Linked).xlsx]Equities!R275C17</stp>
        <tr r="Q275" s="2"/>
      </tp>
      <tp>
        <v>378</v>
        <stp/>
        <stp>##V3_BDPV12</stp>
        <stp>TSCO LN Equity</stp>
        <stp>PX_Last</stp>
        <stp>[DPM - Securities Master List (BBG Linked).xlsx]Equities!R274C17</stp>
        <tr r="Q274" s="2"/>
      </tp>
      <tp>
        <v>378</v>
        <stp/>
        <stp>##V3_BDPV12</stp>
        <stp>TSCO LN Equity</stp>
        <stp>PX_Last</stp>
        <stp>[DPM - Securities Master List (BBG Linked).xlsx]Equities!R269C17</stp>
        <tr r="Q269" s="2"/>
      </tp>
      <tp>
        <v>378</v>
        <stp/>
        <stp>##V3_BDPV12</stp>
        <stp>TSCO LN Equity</stp>
        <stp>PX_Last</stp>
        <stp>[DPM - Securities Master List (BBG Linked).xlsx]Equities!R268C17</stp>
        <tr r="Q268" s="2"/>
      </tp>
      <tp>
        <v>378</v>
        <stp/>
        <stp>##V3_BDPV12</stp>
        <stp>TSCO LN Equity</stp>
        <stp>PX_Last</stp>
        <stp>[DPM - Securities Master List (BBG Linked).xlsx]Equities!R263C17</stp>
        <tr r="Q263" s="2"/>
      </tp>
      <tp>
        <v>378</v>
        <stp/>
        <stp>##V3_BDPV12</stp>
        <stp>TSCO LN Equity</stp>
        <stp>PX_Last</stp>
        <stp>[DPM - Securities Master List (BBG Linked).xlsx]Equities!R262C17</stp>
        <tr r="Q262" s="2"/>
      </tp>
      <tp>
        <v>378</v>
        <stp/>
        <stp>##V3_BDPV12</stp>
        <stp>TSCO LN Equity</stp>
        <stp>PX_Last</stp>
        <stp>[DPM - Securities Master List (BBG Linked).xlsx]Equities!R265C17</stp>
        <tr r="Q265" s="2"/>
      </tp>
      <tp>
        <v>378</v>
        <stp/>
        <stp>##V3_BDPV12</stp>
        <stp>TSCO LN Equity</stp>
        <stp>PX_Last</stp>
        <stp>[DPM - Securities Master List (BBG Linked).xlsx]Equities!R264C17</stp>
        <tr r="Q264" s="2"/>
      </tp>
      <tp>
        <v>378</v>
        <stp/>
        <stp>##V3_BDPV12</stp>
        <stp>TSCO LN Equity</stp>
        <stp>PX_Last</stp>
        <stp>[DPM - Securities Master List (BBG Linked).xlsx]Equities!R267C17</stp>
        <tr r="Q267" s="2"/>
      </tp>
      <tp>
        <v>378</v>
        <stp/>
        <stp>##V3_BDPV12</stp>
        <stp>TSCO LN Equity</stp>
        <stp>PX_Last</stp>
        <stp>[DPM - Securities Master List (BBG Linked).xlsx]Equities!R266C17</stp>
        <tr r="Q266" s="2"/>
      </tp>
    </main>
    <main first="bofaddin.rtdserver">
      <tp t="e">
        <v>#N/A</v>
        <stp/>
        <stp>BDP|12346262216307599044</stp>
        <tr r="BC78" s="3"/>
        <tr r="BC77" s="3"/>
        <tr r="BC75" s="3"/>
        <tr r="BC74" s="3"/>
        <tr r="BC73" s="3"/>
      </tp>
      <tp t="e">
        <v>#N/A</v>
        <stp/>
        <stp>BDP|16046709971047109723</stp>
        <tr r="AM47" s="1"/>
        <tr r="AM47" s="1"/>
      </tp>
      <tp t="e">
        <v>#N/A</v>
        <stp/>
        <stp>BDP|16037333005031436200</stp>
        <tr r="M69" s="1"/>
        <tr r="M69" s="1"/>
        <tr r="M57" s="1"/>
        <tr r="M57" s="1"/>
      </tp>
      <tp t="e">
        <v>#N/A</v>
        <stp/>
        <stp>BDP|17243485949237566644</stp>
        <tr r="G5" s="8"/>
        <tr r="G25" s="8"/>
        <tr r="G29" s="8"/>
        <tr r="G19" s="8"/>
        <tr r="G38" s="8"/>
        <tr r="I29" s="8"/>
        <tr r="I34" s="8"/>
        <tr r="G41" s="8"/>
        <tr r="I41" s="8"/>
        <tr r="I19" s="8"/>
        <tr r="G9" s="8"/>
        <tr r="G13" s="8"/>
        <tr r="G34" s="8"/>
        <tr r="I25" s="8"/>
        <tr r="I38" s="8"/>
        <tr r="I9" s="8"/>
        <tr r="I13" s="8"/>
        <tr r="I5" s="8"/>
        <tr r="R129" s="3"/>
        <tr r="S129" s="3"/>
        <tr r="R128" s="3"/>
        <tr r="S128" s="3"/>
        <tr r="R127" s="3"/>
        <tr r="S127" s="3"/>
        <tr r="R126" s="3"/>
        <tr r="S126" s="3"/>
        <tr r="R125" s="3"/>
        <tr r="S125" s="3"/>
        <tr r="R124" s="3"/>
        <tr r="S124" s="3"/>
        <tr r="R123" s="3"/>
        <tr r="S123" s="3"/>
        <tr r="R122" s="3"/>
        <tr r="S122" s="3"/>
        <tr r="R121" s="3"/>
        <tr r="S121" s="3"/>
        <tr r="R120" s="3"/>
        <tr r="S120" s="3"/>
        <tr r="R119" s="3"/>
        <tr r="S119" s="3"/>
        <tr r="R118" s="3"/>
        <tr r="S118" s="3"/>
        <tr r="R117" s="3"/>
        <tr r="S117" s="3"/>
        <tr r="R116" s="3"/>
        <tr r="S116" s="3"/>
        <tr r="R63" s="3"/>
        <tr r="S63" s="3"/>
        <tr r="R62" s="3"/>
        <tr r="S62" s="3"/>
        <tr r="R61" s="3"/>
        <tr r="S61" s="3"/>
        <tr r="R60" s="3"/>
        <tr r="S60" s="3"/>
        <tr r="R59" s="3"/>
        <tr r="S59" s="3"/>
        <tr r="R58" s="3"/>
        <tr r="S58" s="3"/>
        <tr r="R57" s="3"/>
        <tr r="S57" s="3"/>
        <tr r="R56" s="3"/>
        <tr r="S56" s="3"/>
        <tr r="R55" s="3"/>
        <tr r="S55" s="3"/>
        <tr r="R54" s="3"/>
        <tr r="S54" s="3"/>
        <tr r="R53" s="3"/>
        <tr r="S53" s="3"/>
        <tr r="R52" s="3"/>
        <tr r="S52" s="3"/>
        <tr r="R51" s="3"/>
        <tr r="S51" s="3"/>
      </tp>
      <tp t="e">
        <v>#N/A</v>
        <stp/>
        <stp>BDP|14738961720261779846</stp>
        <tr r="K13" s="1"/>
      </tp>
      <tp t="e">
        <v>#N/A</v>
        <stp/>
        <stp>BDP|14038556158802752088</stp>
        <tr r="G17" s="8"/>
        <tr r="I42" s="8"/>
        <tr r="G42" s="8"/>
        <tr r="G47" s="8"/>
        <tr r="I47" s="8"/>
        <tr r="G14" s="8"/>
        <tr r="G11" s="8"/>
        <tr r="I17" s="8"/>
        <tr r="I20" s="8"/>
        <tr r="G3" s="8"/>
        <tr r="G32" s="8"/>
        <tr r="I3" s="8"/>
        <tr r="I32" s="8"/>
        <tr r="I14" s="8"/>
        <tr r="I11" s="8"/>
        <tr r="I26" s="8"/>
        <tr r="I44" s="8"/>
        <tr r="I39" s="8"/>
        <tr r="G20" s="8"/>
        <tr r="G26" s="8"/>
        <tr r="G44" s="8"/>
        <tr r="G39" s="8"/>
        <tr r="R15" s="3"/>
        <tr r="S15" s="3"/>
        <tr r="S14" s="3"/>
        <tr r="R14" s="3"/>
        <tr r="R13" s="3"/>
        <tr r="S13" s="3"/>
        <tr r="S12" s="3"/>
        <tr r="R12" s="3"/>
        <tr r="R11" s="3"/>
        <tr r="S11" s="3"/>
        <tr r="R10" s="3"/>
        <tr r="S10" s="3"/>
        <tr r="R9" s="3"/>
        <tr r="S9" s="3"/>
        <tr r="R8" s="3"/>
        <tr r="S8" s="3"/>
        <tr r="R7" s="3"/>
        <tr r="S7" s="3"/>
        <tr r="S6" s="3"/>
        <tr r="R6" s="3"/>
        <tr r="R5" s="3"/>
        <tr r="S5" s="3"/>
        <tr r="R4" s="3"/>
        <tr r="S4" s="3"/>
        <tr r="R3" s="3"/>
        <tr r="S3" s="3"/>
      </tp>
    </main>
    <main first="bloomberg.rtd">
      <tp>
        <v>378</v>
        <stp/>
        <stp>##V3_BDPV12</stp>
        <stp>TSCO LN Equity</stp>
        <stp>PX_last</stp>
        <stp>[DPM - Securities Master List (BBG Linked).xlsx]Equities!R271C17</stp>
        <tr r="Q271" s="2"/>
      </tp>
      <tp>
        <v>378</v>
        <stp/>
        <stp>##V3_BDPV12</stp>
        <stp>TSCO LN Equity</stp>
        <stp>PX_last</stp>
        <stp>[DPM - Securities Master List (BBG Linked).xlsx]Equities!R270C17</stp>
        <tr r="Q270" s="2"/>
      </tp>
      <tp>
        <v>378</v>
        <stp/>
        <stp>##V3_BDPV12</stp>
        <stp>TSCO LN Equity</stp>
        <stp>PX_last</stp>
        <stp>[DPM - Securities Master List (BBG Linked).xlsx]Equities!R273C17</stp>
        <tr r="Q273" s="2"/>
      </tp>
      <tp>
        <v>378</v>
        <stp/>
        <stp>##V3_BDPV12</stp>
        <stp>TSCO LN Equity</stp>
        <stp>PX_last</stp>
        <stp>[DPM - Securities Master List (BBG Linked).xlsx]Equities!R272C17</stp>
        <tr r="Q272" s="2"/>
      </tp>
      <tp>
        <v>378</v>
        <stp/>
        <stp>##V3_BDPV12</stp>
        <stp>TSCO LN Equity</stp>
        <stp>PX_last</stp>
        <stp>[DPM - Securities Master List (BBG Linked).xlsx]Equities!R275C17</stp>
        <tr r="Q275" s="2"/>
      </tp>
      <tp>
        <v>378</v>
        <stp/>
        <stp>##V3_BDPV12</stp>
        <stp>TSCO LN Equity</stp>
        <stp>PX_last</stp>
        <stp>[DPM - Securities Master List (BBG Linked).xlsx]Equities!R274C17</stp>
        <tr r="Q274" s="2"/>
      </tp>
      <tp>
        <v>378</v>
        <stp/>
        <stp>##V3_BDPV12</stp>
        <stp>TSCO LN Equity</stp>
        <stp>PX_last</stp>
        <stp>[DPM - Securities Master List (BBG Linked).xlsx]Equities!R269C17</stp>
        <tr r="Q269" s="2"/>
      </tp>
      <tp>
        <v>378</v>
        <stp/>
        <stp>##V3_BDPV12</stp>
        <stp>TSCO LN Equity</stp>
        <stp>PX_last</stp>
        <stp>[DPM - Securities Master List (BBG Linked).xlsx]Equities!R268C17</stp>
        <tr r="Q268" s="2"/>
      </tp>
      <tp>
        <v>378</v>
        <stp/>
        <stp>##V3_BDPV12</stp>
        <stp>TSCO LN Equity</stp>
        <stp>PX_last</stp>
        <stp>[DPM - Securities Master List (BBG Linked).xlsx]Equities!R263C17</stp>
        <tr r="Q263" s="2"/>
      </tp>
      <tp>
        <v>378</v>
        <stp/>
        <stp>##V3_BDPV12</stp>
        <stp>TSCO LN Equity</stp>
        <stp>PX_last</stp>
        <stp>[DPM - Securities Master List (BBG Linked).xlsx]Equities!R262C17</stp>
        <tr r="Q262" s="2"/>
      </tp>
      <tp>
        <v>378</v>
        <stp/>
        <stp>##V3_BDPV12</stp>
        <stp>TSCO LN Equity</stp>
        <stp>PX_last</stp>
        <stp>[DPM - Securities Master List (BBG Linked).xlsx]Equities!R265C17</stp>
        <tr r="Q265" s="2"/>
      </tp>
      <tp>
        <v>378</v>
        <stp/>
        <stp>##V3_BDPV12</stp>
        <stp>TSCO LN Equity</stp>
        <stp>PX_last</stp>
        <stp>[DPM - Securities Master List (BBG Linked).xlsx]Equities!R264C17</stp>
        <tr r="Q264" s="2"/>
      </tp>
      <tp>
        <v>378</v>
        <stp/>
        <stp>##V3_BDPV12</stp>
        <stp>TSCO LN Equity</stp>
        <stp>PX_last</stp>
        <stp>[DPM - Securities Master List (BBG Linked).xlsx]Equities!R267C17</stp>
        <tr r="Q267" s="2"/>
      </tp>
      <tp>
        <v>378</v>
        <stp/>
        <stp>##V3_BDPV12</stp>
        <stp>TSCO LN Equity</stp>
        <stp>PX_last</stp>
        <stp>[DPM - Securities Master List (BBG Linked).xlsx]Equities!R266C17</stp>
        <tr r="Q266" s="2"/>
      </tp>
    </main>
    <main first="bofaddin.rtdserver">
      <tp t="e">
        <v>#N/A</v>
        <stp/>
        <stp>BDP|11670062466037488677</stp>
        <tr r="Z91" s="1"/>
        <tr r="Z76" s="1"/>
        <tr r="Z55" s="1"/>
        <tr r="Z48" s="1"/>
        <tr r="Z26" s="1"/>
        <tr r="Z157" s="1"/>
        <tr r="Z142" s="1"/>
        <tr r="Z132" s="1"/>
        <tr r="Z120" s="1"/>
        <tr r="Z100" s="1"/>
      </tp>
      <tp t="e">
        <v>#N/A</v>
        <stp/>
        <stp>BDP|15444075929801745084</stp>
        <tr r="I48" s="8"/>
        <tr r="I36" s="8"/>
        <tr r="I15" s="8"/>
        <tr r="I7" s="8"/>
        <tr r="G7" s="8"/>
        <tr r="I22" s="8"/>
        <tr r="G22" s="8"/>
        <tr r="I10" s="8"/>
        <tr r="G15" s="8"/>
        <tr r="G36" s="8"/>
        <tr r="G10" s="8"/>
        <tr r="G48" s="8"/>
      </tp>
      <tp t="e">
        <v>#N/A</v>
        <stp/>
        <stp>BDP|17029565976980337363</stp>
        <tr r="Y8" s="1"/>
        <tr r="Y106" s="1"/>
      </tp>
      <tp t="e">
        <v>#N/A</v>
        <stp/>
        <stp>BDP|16776746780797465823</stp>
        <tr r="BC96" s="3"/>
        <tr r="BC95" s="3"/>
      </tp>
      <tp t="e">
        <v>#N/A</v>
        <stp/>
        <stp>BDP|12161944854538254062</stp>
        <tr r="M95" s="1"/>
        <tr r="M95" s="1"/>
        <tr r="M71" s="1"/>
        <tr r="M71" s="1"/>
      </tp>
      <tp t="e">
        <v>#N/A</v>
        <stp/>
        <stp>BDP|17240464773290529275</stp>
        <tr r="M92" s="1"/>
        <tr r="M92" s="1"/>
      </tp>
      <tp t="e">
        <v>#N/A</v>
        <stp/>
        <stp>BDP|17209300404360109227</stp>
        <tr r="K115" s="3"/>
      </tp>
      <tp t="e">
        <v>#N/A</v>
        <stp/>
        <stp>BDP|11504036600772313518</stp>
        <tr r="K32" s="1"/>
      </tp>
      <tp t="e">
        <v>#N/A</v>
        <stp/>
        <stp>BDP|11406021281499785640</stp>
        <tr r="AJ20" s="1"/>
        <tr r="AJ20" s="1"/>
      </tp>
      <tp t="e">
        <v>#N/A</v>
        <stp/>
        <stp>BDP|16321097246803867709</stp>
        <tr r="N115" s="3"/>
        <tr r="N115" s="3"/>
        <tr r="N115" s="3"/>
      </tp>
      <tp t="e">
        <v>#N/A</v>
        <stp/>
        <stp>BDP|17882758978017128602</stp>
        <tr r="H92" s="1"/>
        <tr r="H92" s="1"/>
      </tp>
      <tp t="e">
        <v>#N/A</v>
        <stp/>
        <stp>BDP|14194338555571249517</stp>
        <tr r="F107" s="1"/>
      </tp>
      <tp t="e">
        <v>#N/A</v>
        <stp/>
        <stp>BDP|14742044616733150005</stp>
        <tr r="V103" s="3"/>
      </tp>
      <tp t="b">
        <v>0</v>
        <stp/>
        <stp>BDP|12535634863757541342</stp>
        <tr r="F9" s="3"/>
        <tr r="F8" s="3"/>
        <tr r="F7" s="3"/>
        <tr r="F6" s="3"/>
        <tr r="F5" s="3"/>
        <tr r="F4" s="3"/>
        <tr r="F3" s="3"/>
        <tr r="F15" s="3"/>
        <tr r="F14" s="3"/>
        <tr r="F13" s="3"/>
        <tr r="F12" s="3"/>
        <tr r="F11" s="3"/>
        <tr r="F10" s="3"/>
      </tp>
    </main>
    <main first="bloomberg.rtd">
      <tp t="s">
        <v>#N/A Invalid Override</v>
        <stp/>
        <stp>##V3_BDPV12</stp>
        <stp>XS2408002769 isin</stp>
        <stp>YAS_BOND_YLD</stp>
        <stp>[DPM - Securities Master List (BBG Linked).xlsx]Bonds!R11C10</stp>
        <stp>YAS_YLD_FLAG=15</stp>
        <stp>user_local_trade_date</stp>
        <stp>45783</stp>
        <stp>Yas_bond_px</stp>
        <stp>#N/A Connection</stp>
        <tr r="J11" s="1"/>
      </tp>
    </main>
    <main first="bofaddin.rtdserver">
      <tp t="e">
        <v>#N/A</v>
        <stp/>
        <stp>BDP|16336116112906121661</stp>
        <tr r="F126" s="1"/>
      </tp>
      <tp t="e">
        <v>#N/A</v>
        <stp/>
        <stp>BDP|10100833685113367539</stp>
        <tr r="V94" s="1"/>
        <tr r="V151" s="1"/>
        <tr r="V123" s="1"/>
        <tr r="V101" s="1"/>
      </tp>
      <tp t="e">
        <v>#N/A</v>
        <stp/>
        <stp>BDP|11330213854253739366</stp>
        <tr r="AT64" s="3"/>
        <tr r="AT64" s="3"/>
        <tr r="AT64" s="3"/>
      </tp>
      <tp t="e">
        <v>#N/A</v>
        <stp/>
        <stp>BDP|16464667071349620825</stp>
        <tr r="AK141" s="3"/>
        <tr r="AK141" s="3"/>
        <tr r="AK141" s="3"/>
        <tr r="AK140" s="3"/>
        <tr r="AK140" s="3"/>
        <tr r="AK140" s="3"/>
        <tr r="AK139" s="3"/>
        <tr r="AK139" s="3"/>
        <tr r="AK139" s="3"/>
        <tr r="AK138" s="3"/>
        <tr r="AK138" s="3"/>
        <tr r="AK138" s="3"/>
        <tr r="AK137" s="3"/>
        <tr r="AK137" s="3"/>
        <tr r="AK137" s="3"/>
        <tr r="AK136" s="3"/>
        <tr r="AK136" s="3"/>
        <tr r="AK136" s="3"/>
        <tr r="AK135" s="3"/>
        <tr r="AK135" s="3"/>
        <tr r="AK135" s="3"/>
        <tr r="AK134" s="3"/>
        <tr r="AK134" s="3"/>
        <tr r="AK134" s="3"/>
        <tr r="AK133" s="3"/>
        <tr r="AK133" s="3"/>
        <tr r="AK133" s="3"/>
        <tr r="AK132" s="3"/>
        <tr r="AK132" s="3"/>
        <tr r="AK132" s="3"/>
        <tr r="AK131" s="3"/>
        <tr r="AK131" s="3"/>
        <tr r="AK131" s="3"/>
        <tr r="AK130" s="3"/>
        <tr r="AK130" s="3"/>
        <tr r="AK130" s="3"/>
      </tp>
      <tp t="e">
        <v>#N/A</v>
        <stp/>
        <stp>BDP|12469410444691158571</stp>
        <tr r="I148" s="1"/>
        <tr r="I138" s="1"/>
      </tp>
      <tp t="e">
        <v>#N/A</v>
        <stp/>
        <stp>BDP|11994285034773083532</stp>
        <tr r="H82" s="1"/>
        <tr r="H82" s="1"/>
        <tr r="H39" s="1"/>
        <tr r="H39" s="1"/>
        <tr r="H22" s="1"/>
        <tr r="H22" s="1"/>
        <tr r="H167" s="1"/>
        <tr r="H167" s="1"/>
      </tp>
      <tp t="e">
        <v>#N/A</v>
        <stp/>
        <stp>BDP|16196030650925152055</stp>
        <tr r="AM56" s="1"/>
        <tr r="AM56" s="1"/>
      </tp>
    </main>
    <main first="bloomberg.rtd">
      <tp t="s">
        <v>Meituan</v>
        <stp/>
        <stp>##V3_BDPV12</stp>
        <stp>3690 HK Equity</stp>
        <stp>SECURITY NAME</stp>
        <stp>[DPM - Securities Master List (BBG Linked).xlsx]Equities!R10C5</stp>
        <tr r="E10" s="2"/>
      </tp>
      <tp>
        <v>19.881779999999999</v>
        <stp/>
        <stp>##V3_BDPV12</stp>
        <stp>NEM AT Equity</stp>
        <stp>CHG_PCT_6M</stp>
        <stp>[DPM - Securities Master List (BBG Linked).xlsx]Equities!R192C42</stp>
        <tr r="AP192" s="2"/>
      </tp>
      <tp>
        <v>19.881779999999999</v>
        <stp/>
        <stp>##V3_BDPV12</stp>
        <stp>NEM AT Equity</stp>
        <stp>CHG_PCT_6M</stp>
        <stp>[DPM - Securities Master List (BBG Linked).xlsx]Equities!R190C42</stp>
        <tr r="AP190" s="2"/>
      </tp>
      <tp>
        <v>19.881779999999999</v>
        <stp/>
        <stp>##V3_BDPV12</stp>
        <stp>NEM AT Equity</stp>
        <stp>CHG_PCT_6M</stp>
        <stp>[DPM - Securities Master List (BBG Linked).xlsx]Equities!R191C42</stp>
        <tr r="AP191" s="2"/>
      </tp>
      <tp>
        <v>19.881779999999999</v>
        <stp/>
        <stp>##V3_BDPV12</stp>
        <stp>NEM AT Equity</stp>
        <stp>CHG_PCT_6M</stp>
        <stp>[DPM - Securities Master List (BBG Linked).xlsx]Equities!R189C42</stp>
        <tr r="AP189" s="2"/>
      </tp>
      <tp>
        <v>-0.19258549999999999</v>
        <stp/>
        <stp>##V3_BDPV12</stp>
        <stp>MSFT US Equity</stp>
        <stp>CHG_PCT_1D</stp>
        <stp>[DPM - Securities Master List (BBG Linked).xlsx]Equities!R188C22</stp>
        <tr r="V188" s="2"/>
      </tp>
      <tp>
        <v>-0.19258549999999999</v>
        <stp/>
        <stp>##V3_BDPV12</stp>
        <stp>MSFT US Equity</stp>
        <stp>CHG_PCT_1D</stp>
        <stp>[DPM - Securities Master List (BBG Linked).xlsx]Equities!R182C22</stp>
        <tr r="V182" s="2"/>
      </tp>
      <tp>
        <v>-0.19258549999999999</v>
        <stp/>
        <stp>##V3_BDPV12</stp>
        <stp>MSFT US Equity</stp>
        <stp>CHG_PCT_1D</stp>
        <stp>[DPM - Securities Master List (BBG Linked).xlsx]Equities!R183C22</stp>
        <tr r="V183" s="2"/>
      </tp>
      <tp>
        <v>-0.19258549999999999</v>
        <stp/>
        <stp>##V3_BDPV12</stp>
        <stp>MSFT US Equity</stp>
        <stp>CHG_PCT_1D</stp>
        <stp>[DPM - Securities Master List (BBG Linked).xlsx]Equities!R180C22</stp>
        <tr r="V180" s="2"/>
      </tp>
      <tp>
        <v>-0.19258549999999999</v>
        <stp/>
        <stp>##V3_BDPV12</stp>
        <stp>MSFT US Equity</stp>
        <stp>CHG_PCT_1D</stp>
        <stp>[DPM - Securities Master List (BBG Linked).xlsx]Equities!R181C22</stp>
        <tr r="V181" s="2"/>
      </tp>
      <tp>
        <v>-0.19258549999999999</v>
        <stp/>
        <stp>##V3_BDPV12</stp>
        <stp>MSFT US Equity</stp>
        <stp>CHG_PCT_1D</stp>
        <stp>[DPM - Securities Master List (BBG Linked).xlsx]Equities!R186C22</stp>
        <tr r="V186" s="2"/>
      </tp>
      <tp>
        <v>-0.19258549999999999</v>
        <stp/>
        <stp>##V3_BDPV12</stp>
        <stp>MSFT US Equity</stp>
        <stp>CHG_PCT_1D</stp>
        <stp>[DPM - Securities Master List (BBG Linked).xlsx]Equities!R187C22</stp>
        <tr r="V187" s="2"/>
      </tp>
      <tp>
        <v>-0.19258549999999999</v>
        <stp/>
        <stp>##V3_BDPV12</stp>
        <stp>MSFT US Equity</stp>
        <stp>CHG_PCT_1D</stp>
        <stp>[DPM - Securities Master List (BBG Linked).xlsx]Equities!R184C22</stp>
        <tr r="V184" s="2"/>
      </tp>
      <tp>
        <v>-0.19258549999999999</v>
        <stp/>
        <stp>##V3_BDPV12</stp>
        <stp>MSFT US Equity</stp>
        <stp>CHG_PCT_1D</stp>
        <stp>[DPM - Securities Master List (BBG Linked).xlsx]Equities!R185C22</stp>
        <tr r="V185" s="2"/>
      </tp>
      <tp>
        <v>-0.19258549999999999</v>
        <stp/>
        <stp>##V3_BDPV12</stp>
        <stp>MSFT US Equity</stp>
        <stp>CHG_PCT_1D</stp>
        <stp>[DPM - Securities Master List (BBG Linked).xlsx]Equities!R178C22</stp>
        <tr r="V178" s="2"/>
      </tp>
      <tp>
        <v>-0.19258549999999999</v>
        <stp/>
        <stp>##V3_BDPV12</stp>
        <stp>MSFT US Equity</stp>
        <stp>CHG_PCT_1D</stp>
        <stp>[DPM - Securities Master List (BBG Linked).xlsx]Equities!R179C22</stp>
        <tr r="V179" s="2"/>
      </tp>
      <tp>
        <v>-0.19258549999999999</v>
        <stp/>
        <stp>##V3_BDPV12</stp>
        <stp>MSFT US Equity</stp>
        <stp>CHG_PCT_1D</stp>
        <stp>[DPM - Securities Master List (BBG Linked).xlsx]Equities!R172C22</stp>
        <tr r="V172" s="2"/>
      </tp>
      <tp>
        <v>-0.19258549999999999</v>
        <stp/>
        <stp>##V3_BDPV12</stp>
        <stp>MSFT US Equity</stp>
        <stp>CHG_PCT_1D</stp>
        <stp>[DPM - Securities Master List (BBG Linked).xlsx]Equities!R173C22</stp>
        <tr r="V173" s="2"/>
      </tp>
      <tp>
        <v>-0.19258549999999999</v>
        <stp/>
        <stp>##V3_BDPV12</stp>
        <stp>MSFT US Equity</stp>
        <stp>CHG_PCT_1D</stp>
        <stp>[DPM - Securities Master List (BBG Linked).xlsx]Equities!R170C22</stp>
        <tr r="V170" s="2"/>
      </tp>
      <tp>
        <v>-0.19258549999999999</v>
        <stp/>
        <stp>##V3_BDPV12</stp>
        <stp>MSFT US Equity</stp>
        <stp>CHG_PCT_1D</stp>
        <stp>[DPM - Securities Master List (BBG Linked).xlsx]Equities!R171C22</stp>
        <tr r="V171" s="2"/>
      </tp>
      <tp>
        <v>-0.19258549999999999</v>
        <stp/>
        <stp>##V3_BDPV12</stp>
        <stp>MSFT US Equity</stp>
        <stp>CHG_PCT_1D</stp>
        <stp>[DPM - Securities Master List (BBG Linked).xlsx]Equities!R176C22</stp>
        <tr r="V176" s="2"/>
      </tp>
      <tp>
        <v>-0.19258549999999999</v>
        <stp/>
        <stp>##V3_BDPV12</stp>
        <stp>MSFT US Equity</stp>
        <stp>CHG_PCT_1D</stp>
        <stp>[DPM - Securities Master List (BBG Linked).xlsx]Equities!R177C22</stp>
        <tr r="V177" s="2"/>
      </tp>
      <tp>
        <v>-0.19258549999999999</v>
        <stp/>
        <stp>##V3_BDPV12</stp>
        <stp>MSFT US Equity</stp>
        <stp>CHG_PCT_1D</stp>
        <stp>[DPM - Securities Master List (BBG Linked).xlsx]Equities!R174C22</stp>
        <tr r="V174" s="2"/>
      </tp>
      <tp>
        <v>-0.19258549999999999</v>
        <stp/>
        <stp>##V3_BDPV12</stp>
        <stp>MSFT US Equity</stp>
        <stp>CHG_PCT_1D</stp>
        <stp>[DPM - Securities Master List (BBG Linked).xlsx]Equities!R175C22</stp>
        <tr r="V175" s="2"/>
      </tp>
    </main>
    <main first="bofaddin.rtdserver">
      <tp t="e">
        <v>#N/A</v>
        <stp/>
        <stp>BDP|14688777497169910465</stp>
        <tr r="AI99" s="3"/>
        <tr r="AI99" s="3"/>
        <tr r="AI99" s="3"/>
        <tr r="AI98" s="3"/>
        <tr r="AI98" s="3"/>
        <tr r="AI98" s="3"/>
        <tr r="AI97" s="3"/>
        <tr r="AI97" s="3"/>
        <tr r="AI97" s="3"/>
      </tp>
      <tp t="e">
        <v>#N/A</v>
        <stp/>
        <stp>BDP|10240691854671659509</stp>
        <tr r="AS46" s="1"/>
        <tr r="AS144" s="1"/>
        <tr r="AS134" s="1"/>
        <tr r="L46" s="1"/>
        <tr r="L46" s="1"/>
        <tr r="L144" s="1"/>
        <tr r="L144" s="1"/>
        <tr r="L134" s="1"/>
        <tr r="L134" s="1"/>
      </tp>
      <tp t="e">
        <v>#N/A</v>
        <stp/>
        <stp>BDP|10298750941602647697</stp>
        <tr r="Q7" s="1"/>
        <tr r="Q14" s="1"/>
        <tr r="Q108" s="1"/>
      </tp>
      <tp t="e">
        <v>#N/A</v>
        <stp/>
        <stp>BDP|16821667836783186709</stp>
        <tr r="K141" s="3"/>
        <tr r="K140" s="3"/>
        <tr r="K139" s="3"/>
        <tr r="K138" s="3"/>
        <tr r="K137" s="3"/>
        <tr r="K136" s="3"/>
        <tr r="K135" s="3"/>
        <tr r="K134" s="3"/>
        <tr r="K133" s="3"/>
        <tr r="K132" s="3"/>
        <tr r="K131" s="3"/>
        <tr r="K130" s="3"/>
      </tp>
      <tp t="e">
        <v>#N/A</v>
        <stp/>
        <stp>BDP|14708769672162297183</stp>
        <tr r="W145" s="1"/>
        <tr r="W136" s="1"/>
      </tp>
      <tp t="e">
        <v>#N/A</v>
        <stp/>
        <stp>BDP|17736860191081870016</stp>
        <tr r="H85" s="1"/>
        <tr r="H85" s="1"/>
      </tp>
      <tp t="e">
        <v>#N/A</v>
        <stp/>
        <stp>BDP|14025396310173464241</stp>
        <tr r="AT15" s="1"/>
        <tr r="AT109" s="1"/>
      </tp>
      <tp t="e">
        <v>#N/A</v>
        <stp/>
        <stp>BDP|13223480953471826485</stp>
        <tr r="E80" s="1"/>
        <tr r="E58" s="1"/>
        <tr r="E28" s="1"/>
        <tr r="E161" s="1"/>
        <tr r="E121" s="1"/>
        <tr r="E10" s="1"/>
      </tp>
      <tp t="e">
        <v>#N/A</v>
        <stp/>
        <stp>BDP|11541904580044554391</stp>
        <tr r="AM64" s="3"/>
        <tr r="AM64" s="3"/>
        <tr r="AM64" s="3"/>
      </tp>
      <tp t="e">
        <v>#N/A</v>
        <stp/>
        <stp>BDP|11863874826055081911</stp>
        <tr r="AK95" s="1"/>
        <tr r="AK95" s="1"/>
        <tr r="AK95" s="1"/>
        <tr r="AK71" s="1"/>
        <tr r="AK71" s="1"/>
        <tr r="AK71" s="1"/>
      </tp>
      <tp t="e">
        <v>#N/A</v>
        <stp/>
        <stp>BDP|17299400989644470873</stp>
        <tr r="L82" s="1"/>
        <tr r="L82" s="1"/>
        <tr r="L39" s="1"/>
        <tr r="L39" s="1"/>
        <tr r="L22" s="1"/>
        <tr r="L22" s="1"/>
        <tr r="L167" s="1"/>
        <tr r="L167" s="1"/>
        <tr r="AS82" s="1"/>
        <tr r="AS39" s="1"/>
        <tr r="AS22" s="1"/>
        <tr r="AS167" s="1"/>
      </tp>
      <tp t="e">
        <v>#N/A</v>
        <stp/>
        <stp>BDP|13843610031064667569</stp>
        <tr r="BC9" s="3"/>
        <tr r="BC7" s="3"/>
        <tr r="BC6" s="3"/>
        <tr r="BC5" s="3"/>
        <tr r="BC4" s="3"/>
        <tr r="BC3" s="3"/>
        <tr r="BC15" s="3"/>
        <tr r="BC14" s="3"/>
        <tr r="BC13" s="3"/>
        <tr r="BC12" s="3"/>
        <tr r="BC11" s="3"/>
        <tr r="BC10" s="3"/>
      </tp>
      <tp t="e">
        <v>#N/A</v>
        <stp/>
        <stp>BDP|13273535718345243539</stp>
        <tr r="Z84" s="1"/>
        <tr r="Z70" s="1"/>
        <tr r="Z159" s="1"/>
        <tr r="Z116" s="1"/>
      </tp>
      <tp t="e">
        <v>#N/A</v>
        <stp/>
        <stp>BDP|17819007753787347232</stp>
        <tr r="AD88" s="1"/>
      </tp>
      <tp t="e">
        <v>#N/A</v>
        <stp/>
        <stp>BDP|11618149858935160701</stp>
        <tr r="AS145" s="1"/>
        <tr r="AS136" s="1"/>
      </tp>
      <tp t="e">
        <v>#N/A</v>
        <stp/>
        <stp>BDP|10881481839090360006</stp>
        <tr r="E89" s="1"/>
        <tr r="E135" s="1"/>
        <tr r="E29" s="1"/>
        <tr r="E164" s="1"/>
        <tr r="E81" s="1"/>
        <tr r="E59" s="1"/>
        <tr r="E41" s="1"/>
        <tr r="E37" s="1"/>
      </tp>
      <tp t="e">
        <v>#N/A</v>
        <stp/>
        <stp>BDP|15876356498760883871</stp>
        <tr r="AH72" s="3"/>
        <tr r="AH72" s="3"/>
        <tr r="AH72" s="3"/>
        <tr r="AH71" s="3"/>
        <tr r="AH71" s="3"/>
        <tr r="AH71" s="3"/>
        <tr r="AH70" s="3"/>
        <tr r="AH70" s="3"/>
        <tr r="AH70" s="3"/>
        <tr r="AH69" s="3"/>
        <tr r="AH69" s="3"/>
        <tr r="AH69" s="3"/>
        <tr r="AH68" s="3"/>
        <tr r="AH68" s="3"/>
        <tr r="AH68" s="3"/>
        <tr r="AH67" s="3"/>
        <tr r="AH67" s="3"/>
        <tr r="AH67" s="3"/>
        <tr r="AH66" s="3"/>
        <tr r="AH66" s="3"/>
        <tr r="AH66" s="3"/>
        <tr r="AH65" s="3"/>
        <tr r="AH65" s="3"/>
        <tr r="AH65" s="3"/>
      </tp>
      <tp t="e">
        <v>#N/A</v>
        <stp/>
        <stp>BDP|13543392547460243338</stp>
        <tr r="AS148" s="1"/>
        <tr r="AS138" s="1"/>
        <tr r="L148" s="1"/>
        <tr r="L148" s="1"/>
        <tr r="L138" s="1"/>
        <tr r="L138" s="1"/>
      </tp>
    </main>
    <main first="bloomberg.rtd">
      <tp t="s">
        <v>#N/A Invalid Override</v>
        <stp/>
        <stp>##V3_BDPV12</stp>
        <stp>XS2244837592 isin</stp>
        <stp>YAS_BOND_YLD</stp>
        <stp>[DPM - Securities Master List (BBG Linked).xlsx]Bonds!R51C10</stp>
        <stp>YAS_YLD_FLAG=15</stp>
        <stp>user_local_trade_date</stp>
        <stp>45783</stp>
        <stp>Yas_bond_px</stp>
        <stp>#N/A Connection</stp>
        <tr r="J51" s="1"/>
      </tp>
    </main>
    <main first="bofaddin.rtdserver">
      <tp t="e">
        <v>#N/A</v>
        <stp/>
        <stp>BDP|17922838825378553277</stp>
        <tr r="Z7" s="1"/>
        <tr r="Z14" s="1"/>
        <tr r="Z108" s="1"/>
      </tp>
      <tp t="e">
        <v>#N/A</v>
        <stp/>
        <stp>BDP|12386126809510350461</stp>
        <tr r="I115" s="3"/>
        <tr r="I115" s="3"/>
        <tr r="I115" s="3"/>
      </tp>
      <tp t="e">
        <v>#N/A</v>
        <stp/>
        <stp>BDP|13859545322014477779</stp>
        <tr r="AO56" s="1"/>
      </tp>
      <tp t="e">
        <v>#N/A</v>
        <stp/>
        <stp>BDP|16463354968064607020</stp>
        <tr r="M16" s="3"/>
        <tr r="M16" s="3"/>
        <tr r="M16" s="3"/>
      </tp>
      <tp t="e">
        <v>#N/A</v>
        <stp/>
        <stp>BDP|17723155994380381889</stp>
        <tr r="AL34" s="1"/>
        <tr r="AL156" s="1"/>
      </tp>
      <tp t="e">
        <v>#N/A</v>
        <stp/>
        <stp>BDP|13130473751254963126</stp>
        <tr r="AL72" s="1"/>
        <tr r="AL33" s="1"/>
        <tr r="AL158" s="1"/>
      </tp>
      <tp t="e">
        <v>#N/A</v>
        <stp/>
        <stp>BDP|12634966412055975870</stp>
        <tr r="AS130" s="1"/>
        <tr r="L130" s="1"/>
        <tr r="L130" s="1"/>
      </tp>
      <tp t="e">
        <v>#N/A</v>
        <stp/>
        <stp>BDP|12557111915253913646</stp>
        <tr r="AI96" s="3"/>
        <tr r="AI96" s="3"/>
        <tr r="AI96" s="3"/>
        <tr r="AI95" s="3"/>
        <tr r="AI95" s="3"/>
        <tr r="AI95" s="3"/>
      </tp>
      <tp t="e">
        <v>#N/A</v>
        <stp/>
        <stp>BDP|12448284973740709043</stp>
        <tr r="M139" s="1"/>
        <tr r="M139" s="1"/>
        <tr r="M129" s="1"/>
        <tr r="M129" s="1"/>
      </tp>
      <tp t="e">
        <v>#N/A</v>
        <stp/>
        <stp>BDP|14826741965796778427</stp>
        <tr r="H80" s="1"/>
        <tr r="H80" s="1"/>
        <tr r="H58" s="1"/>
        <tr r="H58" s="1"/>
        <tr r="H28" s="1"/>
        <tr r="H28" s="1"/>
        <tr r="H161" s="1"/>
        <tr r="H161" s="1"/>
        <tr r="H121" s="1"/>
        <tr r="H121" s="1"/>
        <tr r="H10" s="1"/>
        <tr r="H10" s="1"/>
      </tp>
      <tp t="e">
        <v>#N/A</v>
        <stp/>
        <stp>BDP|14444188369353821719</stp>
        <tr r="AO8" s="1"/>
        <tr r="AO106" s="1"/>
      </tp>
      <tp t="e">
        <v>#N/A</v>
        <stp/>
        <stp>BDP|16767113810862075391</stp>
        <tr r="AD17" s="1"/>
        <tr r="AD112" s="1"/>
      </tp>
      <tp t="e">
        <v>#N/A</v>
        <stp/>
        <stp>BDP|16850083645867871222</stp>
        <tr r="V130" s="1"/>
      </tp>
      <tp t="e">
        <v>#N/A</v>
        <stp/>
        <stp>BDP|16038236225994021595</stp>
        <tr r="AP103" s="3"/>
        <tr r="AP103" s="3"/>
        <tr r="AP103" s="3"/>
      </tp>
      <tp t="e">
        <v>#N/A</v>
        <stp/>
        <stp>BDP|12609541405628911819</stp>
        <tr r="AT91" s="1"/>
        <tr r="AT76" s="1"/>
        <tr r="AT55" s="1"/>
        <tr r="AT48" s="1"/>
        <tr r="AT26" s="1"/>
        <tr r="AT157" s="1"/>
        <tr r="AT142" s="1"/>
        <tr r="AT132" s="1"/>
        <tr r="AT120" s="1"/>
        <tr r="AT100" s="1"/>
      </tp>
      <tp t="e">
        <v>#N/A</v>
        <stp/>
        <stp>BDP|11899172821856759368</stp>
        <tr r="AJ16" s="3"/>
        <tr r="AJ16" s="3"/>
        <tr r="AJ16" s="3"/>
      </tp>
      <tp t="e">
        <v>#N/A</v>
        <stp/>
        <stp>BDP|16140195770037762005</stp>
        <tr r="AO64" s="1"/>
      </tp>
      <tp t="e">
        <v>#N/A</v>
        <stp/>
        <stp>BDP|17228032775650834733</stp>
        <tr r="AK12" s="1"/>
        <tr r="AK12" s="1"/>
        <tr r="AK12" s="1"/>
      </tp>
      <tp t="e">
        <v>#N/A</v>
        <stp/>
        <stp>BDP|16736650747135920629</stp>
        <tr r="L143" s="1"/>
        <tr r="L143" s="1"/>
        <tr r="L127" s="1"/>
        <tr r="L127" s="1"/>
        <tr r="AS143" s="1"/>
        <tr r="AS127" s="1"/>
      </tp>
      <tp t="e">
        <v>#N/A</v>
        <stp/>
        <stp>BDP|16010135137162394194</stp>
        <tr r="W62" s="1"/>
        <tr r="W53" s="1"/>
        <tr r="W45" s="1"/>
        <tr r="W115" s="1"/>
      </tp>
      <tp t="e">
        <v>#N/A</v>
        <stp/>
        <stp>BDP|10758778814950216189</stp>
        <tr r="AM35" s="1"/>
        <tr r="AM35" s="1"/>
        <tr r="AM24" s="1"/>
        <tr r="AM24" s="1"/>
        <tr r="AM153" s="1"/>
        <tr r="AM153" s="1"/>
      </tp>
      <tp t="e">
        <v>#N/A</v>
        <stp/>
        <stp>BDP|16202930149258116471</stp>
        <tr r="V87" s="1"/>
      </tp>
      <tp t="e">
        <v>#N/A</v>
        <stp/>
        <stp>BDP|15027204156586131396</stp>
        <tr r="N50" s="3"/>
        <tr r="N50" s="3"/>
        <tr r="N50" s="3"/>
        <tr r="N49" s="3"/>
        <tr r="N49" s="3"/>
        <tr r="N49" s="3"/>
        <tr r="N48" s="3"/>
        <tr r="N48" s="3"/>
        <tr r="N48" s="3"/>
        <tr r="N47" s="3"/>
        <tr r="N47" s="3"/>
        <tr r="N47" s="3"/>
        <tr r="N46" s="3"/>
        <tr r="N46" s="3"/>
        <tr r="N46" s="3"/>
        <tr r="N45" s="3"/>
        <tr r="N45" s="3"/>
        <tr r="N45" s="3"/>
        <tr r="N44" s="3"/>
        <tr r="N44" s="3"/>
        <tr r="N44" s="3"/>
        <tr r="N43" s="3"/>
        <tr r="N43" s="3"/>
        <tr r="N43" s="3"/>
        <tr r="N42" s="3"/>
        <tr r="N42" s="3"/>
        <tr r="N42" s="3"/>
        <tr r="N41" s="3"/>
        <tr r="N41" s="3"/>
        <tr r="N41" s="3"/>
        <tr r="N40" s="3"/>
        <tr r="N40" s="3"/>
        <tr r="N40" s="3"/>
        <tr r="N39" s="3"/>
        <tr r="N39" s="3"/>
        <tr r="N39" s="3"/>
        <tr r="N38" s="3"/>
        <tr r="N38" s="3"/>
        <tr r="N38" s="3"/>
        <tr r="N37" s="3"/>
        <tr r="N37" s="3"/>
        <tr r="N37" s="3"/>
        <tr r="N36" s="3"/>
        <tr r="N36" s="3"/>
        <tr r="N36" s="3"/>
        <tr r="N35" s="3"/>
        <tr r="N35" s="3"/>
        <tr r="N35" s="3"/>
      </tp>
      <tp t="e">
        <v>#N/A</v>
        <stp/>
        <stp>BDP|14425242356195927116</stp>
        <tr r="AD32" s="1"/>
      </tp>
      <tp t="e">
        <v>#N/A</v>
        <stp/>
        <stp>BDP|17788760086589991601</stp>
        <tr r="AJ6" s="1"/>
        <tr r="AJ6" s="1"/>
      </tp>
      <tp t="e">
        <v>#N/A</v>
        <stp/>
        <stp>BDP|17897939595263236325</stp>
        <tr r="AD94" s="1"/>
        <tr r="AD151" s="1"/>
        <tr r="AD123" s="1"/>
        <tr r="AD101" s="1"/>
      </tp>
      <tp t="e">
        <v>#N/A</v>
        <stp/>
        <stp>BDP|14763712671922532135</stp>
        <tr r="E88" s="1"/>
      </tp>
      <tp t="e">
        <v>#N/A</v>
        <stp/>
        <stp>BDP|10152897408396056918</stp>
        <tr r="AE145" s="1"/>
        <tr r="AE136" s="1"/>
      </tp>
      <tp t="e">
        <v>#N/A</v>
        <stp/>
        <stp>BDP|18184234430806777840</stp>
        <tr r="H129" s="3"/>
        <tr r="H129" s="3"/>
        <tr r="H129" s="3"/>
        <tr r="H128" s="3"/>
        <tr r="H128" s="3"/>
        <tr r="H128" s="3"/>
        <tr r="H127" s="3"/>
        <tr r="H127" s="3"/>
        <tr r="H127" s="3"/>
        <tr r="H126" s="3"/>
        <tr r="H126" s="3"/>
        <tr r="H126" s="3"/>
        <tr r="H125" s="3"/>
        <tr r="H125" s="3"/>
        <tr r="H125" s="3"/>
        <tr r="H124" s="3"/>
        <tr r="H124" s="3"/>
        <tr r="H124" s="3"/>
        <tr r="H123" s="3"/>
        <tr r="H123" s="3"/>
        <tr r="H123" s="3"/>
        <tr r="H122" s="3"/>
        <tr r="H122" s="3"/>
        <tr r="H122" s="3"/>
        <tr r="H121" s="3"/>
        <tr r="H121" s="3"/>
        <tr r="H121" s="3"/>
        <tr r="H120" s="3"/>
        <tr r="H120" s="3"/>
        <tr r="H120" s="3"/>
      </tp>
      <tp t="e">
        <v>#N/A</v>
        <stp/>
        <stp>BDP|15607556966701715031</stp>
        <tr r="H20" s="1"/>
        <tr r="H20" s="1"/>
      </tp>
      <tp t="e">
        <v>#N/A</v>
        <stp/>
        <stp>BDP|13718394667576928713</stp>
        <tr r="V66" s="1"/>
        <tr r="V49" s="1"/>
        <tr r="V42" s="1"/>
      </tp>
      <tp t="e">
        <v>#N/A</v>
        <stp/>
        <stp>BDP|17320593147437474686</stp>
        <tr r="I46" s="1"/>
        <tr r="I144" s="1"/>
        <tr r="I134" s="1"/>
      </tp>
      <tp t="e">
        <v>#N/A</v>
        <stp/>
        <stp>BDP|16400656536173542737</stp>
        <tr r="BC129" s="3"/>
        <tr r="BC128" s="3"/>
        <tr r="BC127" s="3"/>
        <tr r="BC126" s="3"/>
        <tr r="BC125" s="3"/>
        <tr r="BC123" s="3"/>
        <tr r="BC122" s="3"/>
        <tr r="BC121" s="3"/>
        <tr r="BC120" s="3"/>
      </tp>
      <tp t="e">
        <v>#N/A</v>
        <stp/>
        <stp>BDP|15117228770466773147</stp>
        <tr r="AD64" s="1"/>
      </tp>
      <tp t="e">
        <v>#N/A</v>
        <stp/>
        <stp>BDP|13000535050684479075</stp>
        <tr r="K107" s="1"/>
      </tp>
      <tp t="e">
        <v>#N/A</v>
        <stp/>
        <stp>BDP|17378996428849261237</stp>
        <tr r="AU7" s="1"/>
        <tr r="AU7" s="1"/>
        <tr r="AU7" s="1"/>
        <tr r="AU14" s="1"/>
        <tr r="AU14" s="1"/>
        <tr r="AU14" s="1"/>
        <tr r="AU108" s="1"/>
        <tr r="AU108" s="1"/>
        <tr r="AU108" s="1"/>
      </tp>
      <tp t="e">
        <v>#N/A</v>
        <stp/>
        <stp>BDP|17529542116743189751</stp>
        <tr r="F90" s="1"/>
      </tp>
      <tp t="e">
        <v>#N/A</v>
        <stp/>
        <stp>BDP|15568260225055164741</stp>
        <tr r="AL150" s="1"/>
        <tr r="AL122" s="1"/>
      </tp>
      <tp t="e">
        <v>#N/A</v>
        <stp/>
        <stp>BDP|16219893570936192892</stp>
        <tr r="F9" s="1"/>
      </tp>
    </main>
    <main first="bloomberg.rtd">
      <tp>
        <v>85.150001525878906</v>
        <stp/>
        <stp>##V3_BDPV12</stp>
        <stp>DD US Equity</stp>
        <stp>BEST_TARGET_PRICE</stp>
        <stp>[DPM - Securities Master List (BBG Linked).xlsx]Equities!R91C38</stp>
        <tr r="AL91" s="2"/>
      </tp>
    </main>
    <main first="bofaddin.rtdserver">
      <tp t="e">
        <v>#N/A</v>
        <stp/>
        <stp>BDP|12273402681918173100</stp>
        <tr r="M85" s="1"/>
        <tr r="M85" s="1"/>
      </tp>
      <tp t="e">
        <v>#N/A</v>
        <stp/>
        <stp>BDP|12816028627323759483</stp>
        <tr r="F11" s="1"/>
        <tr r="F102" s="1"/>
      </tp>
      <tp t="e">
        <v>#N/A</v>
        <stp/>
        <stp>BDP|13157645284058548265</stp>
        <tr r="AM67" s="1"/>
        <tr r="AM67" s="1"/>
        <tr r="AM43" s="1"/>
        <tr r="AM43" s="1"/>
        <tr r="AM30" s="1"/>
        <tr r="AM30" s="1"/>
        <tr r="AM3" s="1"/>
        <tr r="AM3" s="1"/>
        <tr r="AM21" s="1"/>
        <tr r="AM21" s="1"/>
        <tr r="AM166" s="1"/>
        <tr r="AM166" s="1"/>
        <tr r="AM147" s="1"/>
        <tr r="AM147" s="1"/>
        <tr r="AM125" s="1"/>
        <tr r="AM125" s="1"/>
        <tr r="AM114" s="1"/>
        <tr r="AM114" s="1"/>
      </tp>
      <tp t="e">
        <v>#N/A</v>
        <stp/>
        <stp>BDP|13854849121336786887</stp>
        <tr r="Z98" s="1"/>
        <tr r="Z79" s="1"/>
        <tr r="Z5" s="1"/>
        <tr r="Z155" s="1"/>
        <tr r="Z118" s="1"/>
      </tp>
      <tp t="e">
        <v>#N/A</v>
        <stp/>
        <stp>BDP|14421074308654100786</stp>
        <tr r="N11" s="1"/>
        <tr r="N102" s="1"/>
      </tp>
      <tp t="e">
        <v>#N/A</v>
        <stp/>
        <stp>BDP|12462035904103442653</stp>
        <tr r="AS115" s="3"/>
        <tr r="AS115" s="3"/>
        <tr r="AS115" s="3"/>
      </tp>
      <tp t="e">
        <v>#N/A</v>
        <stp/>
        <stp>BDP|12728834102779780445</stp>
        <tr r="AS73" s="1"/>
        <tr r="AS168" s="1"/>
      </tp>
      <tp t="e">
        <v>#N/A</v>
        <stp/>
        <stp>BDP|14829540754571827254</stp>
        <tr r="AH103" s="3"/>
        <tr r="AH103" s="3"/>
        <tr r="AH103" s="3"/>
      </tp>
      <tp t="e">
        <v>#N/A</v>
        <stp/>
        <stp>BDP|17800828266716981800</stp>
        <tr r="L111" s="3"/>
        <tr r="L110" s="3"/>
        <tr r="L109" s="3"/>
        <tr r="L108" s="3"/>
        <tr r="L107" s="3"/>
        <tr r="L106" s="3"/>
        <tr r="L105" s="3"/>
        <tr r="L104" s="3"/>
      </tp>
      <tp t="e">
        <v>#N/A</v>
        <stp/>
        <stp>BDP|13334429608893907354</stp>
        <tr r="AT9" s="3"/>
        <tr r="AT9" s="3"/>
        <tr r="AT8" s="3"/>
        <tr r="AT8" s="3"/>
        <tr r="AT7" s="3"/>
        <tr r="AT7" s="3"/>
        <tr r="AT6" s="3"/>
        <tr r="AT6" s="3"/>
        <tr r="AT5" s="3"/>
        <tr r="AT5" s="3"/>
        <tr r="AT4" s="3"/>
        <tr r="AT4" s="3"/>
        <tr r="AT3" s="3"/>
        <tr r="AT3" s="3"/>
        <tr r="AT15" s="3"/>
        <tr r="AT15" s="3"/>
        <tr r="AT14" s="3"/>
        <tr r="AT14" s="3"/>
        <tr r="AT13" s="3"/>
        <tr r="AT13" s="3"/>
        <tr r="AT12" s="3"/>
        <tr r="AT12" s="3"/>
        <tr r="AT11" s="3"/>
        <tr r="AT11" s="3"/>
        <tr r="AT10" s="3"/>
        <tr r="AT10" s="3"/>
      </tp>
      <tp t="e">
        <v>#N/A</v>
        <stp/>
        <stp>BDP|10616013431557127320</stp>
        <tr r="W32" s="1"/>
      </tp>
      <tp t="e">
        <v>#N/A</v>
        <stp/>
        <stp>BDP|16774815261018464760</stp>
        <tr r="AJ19" s="1"/>
        <tr r="AJ19" s="1"/>
      </tp>
      <tp t="e">
        <v>#N/A</v>
        <stp/>
        <stp>BDP|17190265555162566534</stp>
        <tr r="AE64" s="3"/>
        <tr r="AE64" s="3"/>
        <tr r="AE64" s="3"/>
      </tp>
      <tp t="e">
        <v>#N/A</v>
        <stp/>
        <stp>BDP|14645156206780505248</stp>
        <tr r="AM141" s="1"/>
        <tr r="AM141" s="1"/>
        <tr r="AM131" s="1"/>
        <tr r="AM131" s="1"/>
      </tp>
      <tp t="e">
        <v>#N/A</v>
        <stp/>
        <stp>BDP|13267436374642467552</stp>
        <tr r="I78" s="3"/>
        <tr r="I78" s="3"/>
        <tr r="I78" s="3"/>
        <tr r="I77" s="3"/>
        <tr r="I77" s="3"/>
        <tr r="I77" s="3"/>
        <tr r="I76" s="3"/>
        <tr r="I76" s="3"/>
        <tr r="I76" s="3"/>
        <tr r="I75" s="3"/>
        <tr r="I75" s="3"/>
        <tr r="I75" s="3"/>
        <tr r="I74" s="3"/>
        <tr r="I74" s="3"/>
        <tr r="I74" s="3"/>
        <tr r="I73" s="3"/>
        <tr r="I73" s="3"/>
        <tr r="I73" s="3"/>
      </tp>
      <tp t="e">
        <v>#N/A</v>
        <stp/>
        <stp>BDP|17458317625099122850</stp>
        <tr r="Y7" s="1"/>
        <tr r="Y14" s="1"/>
        <tr r="Y108" s="1"/>
      </tp>
      <tp t="e">
        <v>#N/A</v>
        <stp/>
        <stp>BDP|16405504052978190933</stp>
        <tr r="W105" s="1"/>
      </tp>
      <tp t="e">
        <v>#N/A</v>
        <stp/>
        <stp>BDP|12474698542822875536</stp>
        <tr r="F8" s="1"/>
        <tr r="F106" s="1"/>
      </tp>
      <tp t="e">
        <v>#N/A</v>
        <stp/>
        <stp>BDP|18431628285662108354</stp>
        <tr r="Y72" s="1"/>
        <tr r="Y33" s="1"/>
        <tr r="Y158" s="1"/>
      </tp>
      <tp t="e">
        <v>#N/A</v>
        <stp/>
        <stp>BDP|15793223251242620752</stp>
        <tr r="Q52" s="1"/>
      </tp>
      <tp t="e">
        <v>#N/A</v>
        <stp/>
        <stp>BDP|13937202264698207885</stp>
        <tr r="AU54" s="1"/>
        <tr r="AU54" s="1"/>
        <tr r="AU54" s="1"/>
      </tp>
      <tp t="e">
        <v>#N/A</v>
        <stp/>
        <stp>BDP|10522137393377644845</stp>
        <tr r="M96" s="3"/>
        <tr r="M96" s="3"/>
        <tr r="M96" s="3"/>
        <tr r="M95" s="3"/>
        <tr r="M95" s="3"/>
        <tr r="M95" s="3"/>
      </tp>
      <tp t="e">
        <v>#N/A</v>
        <stp/>
        <stp>BDP|13860332020435809044</stp>
        <tr r="L73" s="1"/>
        <tr r="L73" s="1"/>
        <tr r="L168" s="1"/>
        <tr r="L168" s="1"/>
        <tr r="AS73" s="1"/>
        <tr r="AS168" s="1"/>
      </tp>
      <tp t="e">
        <v>#N/A</v>
        <stp/>
        <stp>BDP|12884469954387400396</stp>
        <tr r="Q160" s="1"/>
      </tp>
      <tp t="e">
        <v>#N/A</v>
        <stp/>
        <stp>BDP|11411521572155072128</stp>
        <tr r="K7" s="1"/>
        <tr r="K14" s="1"/>
        <tr r="K108" s="1"/>
      </tp>
      <tp t="e">
        <v>#N/A</v>
        <stp/>
        <stp>BDP|16908675640145055682</stp>
        <tr r="H105" s="1"/>
        <tr r="H105" s="1"/>
      </tp>
      <tp t="e">
        <v>#N/A</v>
        <stp/>
        <stp>BDP|18049975209266158095</stp>
        <tr r="Q72" s="3"/>
        <tr r="Q71" s="3"/>
        <tr r="Q70" s="3"/>
        <tr r="Q69" s="3"/>
        <tr r="Q68" s="3"/>
        <tr r="Q67" s="3"/>
        <tr r="Q66" s="3"/>
        <tr r="Q65" s="3"/>
      </tp>
      <tp t="e">
        <v>#N/A</v>
        <stp/>
        <stp>BDP|15779317507755326442</stp>
        <tr r="J96" s="3"/>
        <tr r="J96" s="3"/>
        <tr r="J96" s="3"/>
        <tr r="J95" s="3"/>
        <tr r="J95" s="3"/>
        <tr r="J95" s="3"/>
      </tp>
      <tp t="e">
        <v>#N/A</v>
        <stp/>
        <stp>BDP|13584050201525481133</stp>
        <tr r="AU46" s="1"/>
        <tr r="AU46" s="1"/>
        <tr r="AU46" s="1"/>
        <tr r="AU144" s="1"/>
        <tr r="AU144" s="1"/>
        <tr r="AU144" s="1"/>
        <tr r="AU134" s="1"/>
        <tr r="AU134" s="1"/>
        <tr r="AU134" s="1"/>
      </tp>
    </main>
    <main first="bloomberg.rtd">
      <tp>
        <v>1979418.90628515</v>
        <stp/>
        <stp>##V3_BDPV12</stp>
        <stp>AMZN  US Equity</stp>
        <stp>CRNCY_ADJ_MKT_CAP</stp>
        <stp>[DPM - Securities Master List (BBG Linked).xlsx]Equities!R50C9</stp>
        <stp>EQY_FUND_CRNCY=USD</stp>
        <tr r="I50" s="2"/>
      </tp>
      <tp t="s">
        <v>Baidu Inc</v>
        <stp/>
        <stp>##V3_BDPV12</stp>
        <stp>9888 HK Equity</stp>
        <stp>SECURITY NAME</stp>
        <stp>[DPM - Securities Master List (BBG Linked).xlsx]Equities!R19C5</stp>
        <tr r="E19" s="2"/>
      </tp>
      <tp t="s">
        <v>Meituan</v>
        <stp/>
        <stp>##V3_BDPV12</stp>
        <stp>3690 HK Equity</stp>
        <stp>SECURITY NAME</stp>
        <stp>[DPM - Securities Master List (BBG Linked).xlsx]Equities!R13C5</stp>
        <tr r="E13" s="2"/>
      </tp>
      <tp>
        <v>-0.4430077</v>
        <stp/>
        <stp>##V3_BDPV12</stp>
        <stp>NEM AT Equity</stp>
        <stp>CHG_PCT_5D</stp>
        <stp>[DPM - Securities Master List (BBG Linked).xlsx]Equities!R189C23</stp>
        <tr r="W189" s="2"/>
      </tp>
      <tp>
        <v>-0.4430077</v>
        <stp/>
        <stp>##V3_BDPV12</stp>
        <stp>NEM AT Equity</stp>
        <stp>CHG_PCT_5D</stp>
        <stp>[DPM - Securities Master List (BBG Linked).xlsx]Equities!R192C23</stp>
        <tr r="W192" s="2"/>
      </tp>
      <tp>
        <v>-0.4430077</v>
        <stp/>
        <stp>##V3_BDPV12</stp>
        <stp>NEM AT Equity</stp>
        <stp>CHG_PCT_5D</stp>
        <stp>[DPM - Securities Master List (BBG Linked).xlsx]Equities!R190C23</stp>
        <tr r="W190" s="2"/>
      </tp>
      <tp>
        <v>-0.4430077</v>
        <stp/>
        <stp>##V3_BDPV12</stp>
        <stp>NEM AT Equity</stp>
        <stp>CHG_PCT_5D</stp>
        <stp>[DPM - Securities Master List (BBG Linked).xlsx]Equities!R191C23</stp>
        <tr r="W191" s="2"/>
      </tp>
    </main>
    <main first="bofaddin.rtdserver">
      <tp t="e">
        <v>#N/A</v>
        <stp/>
        <stp>BDP|12426396945622881397</stp>
        <tr r="AL91" s="1"/>
        <tr r="AL76" s="1"/>
        <tr r="AL55" s="1"/>
        <tr r="AL48" s="1"/>
        <tr r="AL26" s="1"/>
        <tr r="AL157" s="1"/>
        <tr r="AL142" s="1"/>
        <tr r="AL132" s="1"/>
        <tr r="AL120" s="1"/>
        <tr r="AL100" s="1"/>
      </tp>
      <tp t="e">
        <v>#N/A</v>
        <stp/>
        <stp>BDP|17497369349371545571</stp>
        <tr r="AD110" s="1"/>
      </tp>
      <tp t="e">
        <v>#N/A</v>
        <stp/>
        <stp>BDP|13215501466351523599</stp>
        <tr r="AM94" s="1"/>
        <tr r="AM94" s="1"/>
        <tr r="AM151" s="1"/>
        <tr r="AM151" s="1"/>
        <tr r="AM123" s="1"/>
        <tr r="AM123" s="1"/>
        <tr r="AM101" s="1"/>
        <tr r="AM101" s="1"/>
      </tp>
      <tp t="e">
        <v>#N/A</v>
        <stp/>
        <stp>BDP|14725373865460547586</stp>
        <tr r="AE83" s="1"/>
        <tr r="AE50" s="1"/>
      </tp>
      <tp t="e">
        <v>#N/A</v>
        <stp/>
        <stp>BDP|16321463348705543704</stp>
        <tr r="AL146" s="1"/>
        <tr r="AL99" s="1"/>
        <tr r="AL152" s="1"/>
        <tr r="AL74" s="1"/>
        <tr r="AL137" s="1"/>
        <tr r="AL61" s="1"/>
        <tr r="AL38" s="1"/>
        <tr r="AL111" s="1"/>
        <tr r="AL165" s="1"/>
        <tr r="AL23" s="1"/>
        <tr r="AL16" s="1"/>
        <tr r="AL119" s="1"/>
      </tp>
      <tp t="e">
        <v>#N/A</v>
        <stp/>
        <stp>BDP|17814537143673017105</stp>
        <tr r="Y141" s="1"/>
        <tr r="Y131" s="1"/>
      </tp>
      <tp t="e">
        <v>#N/A</v>
        <stp/>
        <stp>BDP|15817632741930863395</stp>
        <tr r="F47" s="1"/>
      </tp>
      <tp t="e">
        <v>#N/A</v>
        <stp/>
        <stp>BDP|17516090200142160169</stp>
        <tr r="AL64" s="1"/>
      </tp>
      <tp t="e">
        <v>#N/A</v>
        <stp/>
        <stp>BDP|14235839485139840963</stp>
        <tr r="L96" s="1"/>
        <tr r="L96" s="1"/>
        <tr r="L77" s="1"/>
        <tr r="L77" s="1"/>
        <tr r="L65" s="1"/>
        <tr r="L65" s="1"/>
        <tr r="L36" s="1"/>
        <tr r="L36" s="1"/>
        <tr r="L27" s="1"/>
        <tr r="L27" s="1"/>
        <tr r="L162" s="1"/>
        <tr r="L162" s="1"/>
        <tr r="AS96" s="1"/>
        <tr r="AS77" s="1"/>
        <tr r="AS65" s="1"/>
        <tr r="AS36" s="1"/>
        <tr r="AS27" s="1"/>
        <tr r="AS162" s="1"/>
      </tp>
      <tp t="e">
        <v>#N/A</v>
        <stp/>
        <stp>BDP|15433224299208226275</stp>
        <tr r="H148" s="1"/>
        <tr r="H148" s="1"/>
        <tr r="H138" s="1"/>
        <tr r="H138" s="1"/>
      </tp>
      <tp t="e">
        <v>#N/A</v>
        <stp/>
        <stp>BDP|10541033259594547501</stp>
        <tr r="AJ92" s="1"/>
        <tr r="AJ92" s="1"/>
      </tp>
      <tp t="e">
        <v>#N/A</v>
        <stp/>
        <stp>BDP|16922864797726383565</stp>
        <tr r="AT78" s="1"/>
        <tr r="AT154" s="1"/>
        <tr r="AT149" s="1"/>
        <tr r="AT124" s="1"/>
      </tp>
      <tp t="e">
        <v>#N/A</v>
        <stp/>
        <stp>BDP|15191199307557031725</stp>
        <tr r="AO141" s="3"/>
        <tr r="AO141" s="3"/>
        <tr r="AO141" s="3"/>
        <tr r="AO140" s="3"/>
        <tr r="AO140" s="3"/>
        <tr r="AO140" s="3"/>
        <tr r="AO139" s="3"/>
        <tr r="AO139" s="3"/>
        <tr r="AO139" s="3"/>
        <tr r="AO138" s="3"/>
        <tr r="AO138" s="3"/>
        <tr r="AO138" s="3"/>
        <tr r="AO137" s="3"/>
        <tr r="AO137" s="3"/>
        <tr r="AO137" s="3"/>
        <tr r="AO136" s="3"/>
        <tr r="AO136" s="3"/>
        <tr r="AO136" s="3"/>
        <tr r="AO135" s="3"/>
        <tr r="AO135" s="3"/>
        <tr r="AO135" s="3"/>
        <tr r="AO134" s="3"/>
        <tr r="AO134" s="3"/>
        <tr r="AO134" s="3"/>
        <tr r="AO133" s="3"/>
        <tr r="AO133" s="3"/>
        <tr r="AO133" s="3"/>
        <tr r="AO132" s="3"/>
        <tr r="AO132" s="3"/>
        <tr r="AO132" s="3"/>
        <tr r="AO131" s="3"/>
        <tr r="AO131" s="3"/>
        <tr r="AO131" s="3"/>
        <tr r="AO130" s="3"/>
        <tr r="AO130" s="3"/>
        <tr r="AO130" s="3"/>
      </tp>
      <tp t="e">
        <v>#N/A</v>
        <stp/>
        <stp>BDP|16211399594720398813</stp>
        <tr r="K113" s="1"/>
      </tp>
      <tp t="e">
        <v>#N/A</v>
        <stp/>
        <stp>BDP|18260362859173144914</stp>
        <tr r="H96" s="1"/>
        <tr r="H96" s="1"/>
        <tr r="H77" s="1"/>
        <tr r="H77" s="1"/>
        <tr r="H65" s="1"/>
        <tr r="H65" s="1"/>
        <tr r="H36" s="1"/>
        <tr r="H36" s="1"/>
        <tr r="H27" s="1"/>
        <tr r="H27" s="1"/>
        <tr r="H162" s="1"/>
        <tr r="H162" s="1"/>
      </tp>
      <tp t="e">
        <v>#N/A</v>
        <stp/>
        <stp>BDP|16805853782576242419</stp>
        <tr r="AO119" s="3"/>
        <tr r="AO119" s="3"/>
        <tr r="AO119" s="3"/>
        <tr r="AO118" s="3"/>
        <tr r="AO118" s="3"/>
        <tr r="AO118" s="3"/>
        <tr r="AO117" s="3"/>
        <tr r="AO117" s="3"/>
        <tr r="AO117" s="3"/>
        <tr r="AO116" s="3"/>
        <tr r="AO116" s="3"/>
        <tr r="AO116" s="3"/>
      </tp>
      <tp t="e">
        <v>#N/A</v>
        <stp/>
        <stp>BDP|14600983891937378703</stp>
        <tr r="K45" s="1"/>
        <tr r="K53" s="1"/>
        <tr r="K115" s="1"/>
        <tr r="K62" s="1"/>
      </tp>
      <tp t="e">
        <v>#N/A</v>
        <stp/>
        <stp>BDP|10772007309386250205</stp>
        <tr r="AT148" s="1"/>
        <tr r="AT138" s="1"/>
      </tp>
      <tp t="e">
        <v>#N/A</v>
        <stp/>
        <stp>BDP|12625718073952013480</stp>
        <tr r="AE72" s="3"/>
        <tr r="AE72" s="3"/>
        <tr r="AE72" s="3"/>
        <tr r="AE71" s="3"/>
        <tr r="AE71" s="3"/>
        <tr r="AE71" s="3"/>
        <tr r="AE70" s="3"/>
        <tr r="AE70" s="3"/>
        <tr r="AE70" s="3"/>
        <tr r="AE69" s="3"/>
        <tr r="AE69" s="3"/>
        <tr r="AE69" s="3"/>
        <tr r="AE68" s="3"/>
        <tr r="AE68" s="3"/>
        <tr r="AE68" s="3"/>
        <tr r="AE67" s="3"/>
        <tr r="AE67" s="3"/>
        <tr r="AE67" s="3"/>
        <tr r="AE66" s="3"/>
        <tr r="AE66" s="3"/>
        <tr r="AE66" s="3"/>
        <tr r="AE65" s="3"/>
        <tr r="AE65" s="3"/>
        <tr r="AE65" s="3"/>
      </tp>
      <tp t="e">
        <v>#N/A</v>
        <stp/>
        <stp>BDP|17334322414197820617</stp>
        <tr r="H75" s="1"/>
        <tr r="H75" s="1"/>
        <tr r="H97" s="1"/>
        <tr r="H97" s="1"/>
        <tr r="H4" s="1"/>
        <tr r="H4" s="1"/>
        <tr r="H60" s="1"/>
        <tr r="H60" s="1"/>
        <tr r="H40" s="1"/>
        <tr r="H40" s="1"/>
        <tr r="H163" s="1"/>
        <tr r="H163" s="1"/>
        <tr r="H117" s="1"/>
        <tr r="H117" s="1"/>
        <tr r="H25" s="1"/>
        <tr r="H25" s="1"/>
      </tp>
      <tp t="e">
        <v>#N/A</v>
        <stp/>
        <stp>BDP|10659023631392107581</stp>
        <tr r="AM89" s="1"/>
        <tr r="AM89" s="1"/>
        <tr r="AM81" s="1"/>
        <tr r="AM81" s="1"/>
        <tr r="AM59" s="1"/>
        <tr r="AM59" s="1"/>
        <tr r="AM41" s="1"/>
        <tr r="AM41" s="1"/>
        <tr r="AM37" s="1"/>
        <tr r="AM37" s="1"/>
        <tr r="AM164" s="1"/>
        <tr r="AM164" s="1"/>
        <tr r="AM135" s="1"/>
        <tr r="AM135" s="1"/>
        <tr r="AM29" s="1"/>
        <tr r="AM29" s="1"/>
      </tp>
      <tp t="e">
        <v>#N/A</v>
        <stp/>
        <stp>BDP|11738464781479681092</stp>
        <tr r="E102" s="3"/>
        <tr r="E101" s="3"/>
        <tr r="E100" s="3"/>
      </tp>
      <tp t="e">
        <v>#N/A</v>
        <stp/>
        <stp>BDP|13082392151771428037</stp>
        <tr r="AR96" s="3"/>
        <tr r="AR96" s="3"/>
        <tr r="AR96" s="3"/>
        <tr r="AR95" s="3"/>
        <tr r="AR95" s="3"/>
        <tr r="AR95" s="3"/>
      </tp>
      <tp t="e">
        <v>#N/A</v>
        <stp/>
        <stp>BDP|17637798268357901510</stp>
        <tr r="V114" s="3"/>
        <tr r="V113" s="3"/>
        <tr r="V112" s="3"/>
      </tp>
      <tp t="e">
        <v>#N/A</v>
        <stp/>
        <stp>BDP|15650107749396097205</stp>
        <tr r="AE17" s="1"/>
        <tr r="AE112" s="1"/>
      </tp>
      <tp t="e">
        <v>#N/A</v>
        <stp/>
        <stp>BDP|13123901731694639994</stp>
        <tr r="AL11" s="1"/>
        <tr r="AL102" s="1"/>
      </tp>
      <tp t="e">
        <v>#N/A</v>
        <stp/>
        <stp>BDP|14009215477484812111</stp>
        <tr r="L107" s="1"/>
        <tr r="L107" s="1"/>
        <tr r="AS107" s="1"/>
      </tp>
      <tp t="e">
        <v>#N/A</v>
        <stp/>
        <stp>BDP|15756729108327396111</stp>
        <tr r="AJ72" s="1"/>
        <tr r="AJ72" s="1"/>
        <tr r="AJ33" s="1"/>
        <tr r="AJ33" s="1"/>
        <tr r="AJ158" s="1"/>
        <tr r="AJ158" s="1"/>
      </tp>
    </main>
    <main first="bloomberg.rtd">
      <tp t="s">
        <v>#N/A Invalid Override</v>
        <stp/>
        <stp>##V3_BDPV12</stp>
        <stp>XS2585988145 isin</stp>
        <stp>YAS_BOND_YLD</stp>
        <stp>[DPM - Securities Master List (BBG Linked).xlsx]Bonds!R31C10</stp>
        <stp>YAS_YLD_FLAG=15</stp>
        <stp>user_local_trade_date</stp>
        <stp>45783</stp>
        <stp>Yas_bond_px</stp>
        <stp>#N/A Connection</stp>
        <tr r="J31" s="1"/>
      </tp>
      <tp t="s">
        <v>#N/A Invalid Override</v>
        <stp/>
        <stp>##V3_BDPV12</stp>
        <stp>XS2585988145 isin</stp>
        <stp>YAS_BOND_YLD</stp>
        <stp>[DPM - Securities Master List (BBG Linked).xlsx]Bonds!R68C10</stp>
        <stp>YAS_YLD_FLAG=15</stp>
        <stp>user_local_trade_date</stp>
        <stp>45783</stp>
        <stp>Yas_bond_px</stp>
        <stp>#N/A Connection</stp>
        <tr r="J68" s="1"/>
      </tp>
    </main>
    <main first="bofaddin.rtdserver">
      <tp t="e">
        <v>#N/A</v>
        <stp/>
        <stp>BDP|10017582890810628803</stp>
        <tr r="W52" s="1"/>
      </tp>
      <tp t="e">
        <v>#N/A</v>
        <stp/>
        <stp>BDP|11393089117061525578</stp>
        <tr r="E160" s="1"/>
      </tp>
      <tp t="e">
        <v>#N/A</v>
        <stp/>
        <stp>BDP|16591670162366878461</stp>
        <tr r="V69" s="1"/>
        <tr r="V57" s="1"/>
      </tp>
      <tp t="e">
        <v>#N/A</v>
        <stp/>
        <stp>BDP|16584261033652644188</stp>
        <tr r="H90" s="1"/>
        <tr r="H90" s="1"/>
      </tp>
      <tp t="e">
        <v>#N/A</v>
        <stp/>
        <stp>BDP|11177700069675773117</stp>
        <tr r="L7" s="1"/>
        <tr r="L7" s="1"/>
        <tr r="L14" s="1"/>
        <tr r="L14" s="1"/>
        <tr r="L108" s="1"/>
        <tr r="L108" s="1"/>
        <tr r="AS7" s="1"/>
        <tr r="AS14" s="1"/>
        <tr r="AS108" s="1"/>
      </tp>
      <tp t="e">
        <v>#N/A</v>
        <stp/>
        <stp>BDP|13215179240056207498</stp>
        <tr r="Q103" s="3"/>
      </tp>
      <tp t="e">
        <v>#N/A</v>
        <stp/>
        <stp>BDP|11590252057850142281</stp>
        <tr r="N107" s="1"/>
      </tp>
      <tp t="e">
        <v>#N/A</v>
        <stp/>
        <stp>BDP|14239244169140059416</stp>
        <tr r="AD46" s="1"/>
        <tr r="AD144" s="1"/>
        <tr r="AD134" s="1"/>
      </tp>
      <tp t="e">
        <v>#N/A</v>
        <stp/>
        <stp>BDP|12078315878456112462</stp>
        <tr r="AU119" s="3"/>
        <tr r="AU119" s="3"/>
        <tr r="AU118" s="3"/>
        <tr r="AU118" s="3"/>
        <tr r="AU117" s="3"/>
        <tr r="AU117" s="3"/>
        <tr r="AU116" s="3"/>
        <tr r="AU116" s="3"/>
      </tp>
      <tp t="e">
        <v>#N/A</v>
        <stp/>
        <stp>BDP|12029051234305875081</stp>
        <tr r="F6" s="1"/>
      </tp>
      <tp t="e">
        <v>#N/A</v>
        <stp/>
        <stp>BDP|10480456962050005628</stp>
        <tr r="AR16" s="3"/>
        <tr r="AR16" s="3"/>
        <tr r="AR16" s="3"/>
      </tp>
      <tp t="e">
        <v>#N/A</v>
        <stp/>
        <stp>BDP|14426719794018561659</stp>
        <tr r="F59" s="1"/>
        <tr r="F41" s="1"/>
        <tr r="F37" s="1"/>
        <tr r="F29" s="1"/>
        <tr r="F89" s="1"/>
        <tr r="F164" s="1"/>
        <tr r="F81" s="1"/>
        <tr r="F135" s="1"/>
      </tp>
      <tp t="e">
        <v>#N/A</v>
        <stp/>
        <stp>BDP|16179559337295279112</stp>
        <tr r="AV63" s="3"/>
        <tr r="AV63" s="3"/>
        <tr r="AV62" s="3"/>
        <tr r="AV62" s="3"/>
        <tr r="AV61" s="3"/>
        <tr r="AV61" s="3"/>
        <tr r="AV60" s="3"/>
        <tr r="AV60" s="3"/>
        <tr r="AV59" s="3"/>
        <tr r="AV59" s="3"/>
        <tr r="AV58" s="3"/>
        <tr r="AV58" s="3"/>
        <tr r="AV57" s="3"/>
        <tr r="AV57" s="3"/>
        <tr r="AV56" s="3"/>
        <tr r="AV56" s="3"/>
        <tr r="AV55" s="3"/>
        <tr r="AV55" s="3"/>
        <tr r="AV54" s="3"/>
        <tr r="AV54" s="3"/>
        <tr r="AV53" s="3"/>
        <tr r="AV53" s="3"/>
        <tr r="AV52" s="3"/>
        <tr r="AV52" s="3"/>
        <tr r="AV51" s="3"/>
        <tr r="AV51" s="3"/>
      </tp>
      <tp t="e">
        <v>#N/A</v>
        <stp/>
        <stp>BDP|12380530338180886039</stp>
        <tr r="V17" s="1"/>
        <tr r="V112" s="1"/>
      </tp>
      <tp t="e">
        <v>#N/A</v>
        <stp/>
        <stp>BDP|16258491244957916552</stp>
        <tr r="AQ111" s="3"/>
        <tr r="AQ111" s="3"/>
        <tr r="AQ111" s="3"/>
        <tr r="AQ110" s="3"/>
        <tr r="AQ110" s="3"/>
        <tr r="AQ110" s="3"/>
        <tr r="AQ109" s="3"/>
        <tr r="AQ109" s="3"/>
        <tr r="AQ109" s="3"/>
        <tr r="AQ108" s="3"/>
        <tr r="AQ108" s="3"/>
        <tr r="AQ108" s="3"/>
        <tr r="AQ107" s="3"/>
        <tr r="AQ107" s="3"/>
        <tr r="AQ107" s="3"/>
        <tr r="AQ106" s="3"/>
        <tr r="AQ106" s="3"/>
        <tr r="AQ106" s="3"/>
        <tr r="AQ105" s="3"/>
        <tr r="AQ105" s="3"/>
        <tr r="AQ105" s="3"/>
        <tr r="AQ104" s="3"/>
        <tr r="AQ104" s="3"/>
        <tr r="AQ104" s="3"/>
      </tp>
      <tp t="e">
        <v>#N/A</v>
        <stp/>
        <stp>BDP|14809540255269960936</stp>
        <tr r="I145" s="1"/>
        <tr r="I136" s="1"/>
      </tp>
      <tp t="e">
        <v>#N/A</v>
        <stp/>
        <stp>BDP|10358657071531631426</stp>
        <tr r="H34" s="1"/>
        <tr r="H34" s="1"/>
        <tr r="H156" s="1"/>
        <tr r="H156" s="1"/>
      </tp>
      <tp t="e">
        <v>#N/A</v>
        <stp/>
        <stp>BDP|18446173387067681205</stp>
        <tr r="AU51" s="1"/>
        <tr r="AU51" s="1"/>
        <tr r="AU51" s="1"/>
      </tp>
      <tp t="e">
        <v>#N/A</v>
        <stp/>
        <stp>BDP|14536676201173834598</stp>
        <tr r="AM148" s="1"/>
        <tr r="AM148" s="1"/>
        <tr r="AM138" s="1"/>
        <tr r="AM138" s="1"/>
      </tp>
      <tp t="e">
        <v>#N/A</v>
        <stp/>
        <stp>BDP|17105506977326082743</stp>
        <tr r="H107" s="1"/>
        <tr r="H107" s="1"/>
      </tp>
      <tp t="e">
        <v>#N/A</v>
        <stp/>
        <stp>BDP|14058670625156338234</stp>
        <tr r="F72" s="1"/>
        <tr r="F33" s="1"/>
        <tr r="F158" s="1"/>
      </tp>
      <tp t="e">
        <v>#N/A</v>
        <stp/>
        <stp>BDP|14141741571659565933</stp>
        <tr r="AL96" s="3"/>
        <tr r="AL96" s="3"/>
        <tr r="AL96" s="3"/>
        <tr r="AL95" s="3"/>
        <tr r="AL95" s="3"/>
        <tr r="AL95" s="3"/>
      </tp>
      <tp t="e">
        <v>#N/A</v>
        <stp/>
        <stp>BDP|12765443242590019649</stp>
        <tr r="AD129" s="3"/>
        <tr r="AD129" s="3"/>
        <tr r="AD129" s="3"/>
        <tr r="AD128" s="3"/>
        <tr r="AD128" s="3"/>
        <tr r="AD128" s="3"/>
        <tr r="AD127" s="3"/>
        <tr r="AD127" s="3"/>
        <tr r="AD127" s="3"/>
        <tr r="AD126" s="3"/>
        <tr r="AD126" s="3"/>
        <tr r="AD126" s="3"/>
        <tr r="AD125" s="3"/>
        <tr r="AD125" s="3"/>
        <tr r="AD125" s="3"/>
        <tr r="AD124" s="3"/>
        <tr r="AD124" s="3"/>
        <tr r="AD124" s="3"/>
        <tr r="AD123" s="3"/>
        <tr r="AD123" s="3"/>
        <tr r="AD123" s="3"/>
        <tr r="AD122" s="3"/>
        <tr r="AD122" s="3"/>
        <tr r="AD122" s="3"/>
        <tr r="AD121" s="3"/>
        <tr r="AD121" s="3"/>
        <tr r="AD121" s="3"/>
        <tr r="AD120" s="3"/>
        <tr r="AD120" s="3"/>
        <tr r="AD120" s="3"/>
      </tp>
      <tp t="e">
        <v>#N/A</v>
        <stp/>
        <stp>BDP|14096725762460334167</stp>
        <tr r="AM93" s="1"/>
        <tr r="AM93" s="1"/>
      </tp>
      <tp t="e">
        <v>#N/A</v>
        <stp/>
        <stp>BDP|16312164397513258956</stp>
        <tr r="H126" s="1"/>
        <tr r="H126" s="1"/>
      </tp>
      <tp t="e">
        <v>#N/A</v>
        <stp/>
        <stp>BDP|17182495505491190697</stp>
        <tr r="AJ80" s="1"/>
        <tr r="AJ80" s="1"/>
        <tr r="AJ28" s="1"/>
        <tr r="AJ28" s="1"/>
        <tr r="AJ161" s="1"/>
        <tr r="AJ161" s="1"/>
        <tr r="AJ10" s="1"/>
        <tr r="AJ10" s="1"/>
        <tr r="AJ121" s="1"/>
        <tr r="AJ121" s="1"/>
        <tr r="AJ58" s="1"/>
        <tr r="AJ58" s="1"/>
      </tp>
      <tp t="e">
        <v>#N/A</v>
        <stp/>
        <stp>BDP|17001951793193432060</stp>
        <tr r="K93" s="1"/>
      </tp>
      <tp t="e">
        <v>#N/A</v>
        <stp/>
        <stp>BDP|17231520617534233317</stp>
        <tr r="AL99" s="3"/>
        <tr r="AL99" s="3"/>
        <tr r="AL99" s="3"/>
        <tr r="AL98" s="3"/>
        <tr r="AL98" s="3"/>
        <tr r="AL98" s="3"/>
        <tr r="AL97" s="3"/>
        <tr r="AL97" s="3"/>
        <tr r="AL97" s="3"/>
      </tp>
      <tp t="e">
        <v>#N/A</v>
        <stp/>
        <stp>BDP|14257660818407186099</stp>
        <tr r="L105" s="1"/>
        <tr r="L105" s="1"/>
        <tr r="AS105" s="1"/>
      </tp>
      <tp t="e">
        <v>#N/A</v>
        <stp/>
        <stp>BDP|11473979516245801898</stp>
        <tr r="E82" s="1"/>
        <tr r="E39" s="1"/>
        <tr r="E22" s="1"/>
        <tr r="E167" s="1"/>
      </tp>
      <tp t="e">
        <v>#N/A</v>
        <stp/>
        <stp>BDP|12360776905942651307</stp>
        <tr r="AK7" s="1"/>
        <tr r="AK7" s="1"/>
        <tr r="AK7" s="1"/>
        <tr r="AK14" s="1"/>
        <tr r="AK14" s="1"/>
        <tr r="AK14" s="1"/>
        <tr r="AK108" s="1"/>
        <tr r="AK108" s="1"/>
        <tr r="AK108" s="1"/>
      </tp>
      <tp t="e">
        <v>#N/A</v>
        <stp/>
        <stp>BDP|14798688235811574480</stp>
        <tr r="V98" s="1"/>
        <tr r="V79" s="1"/>
        <tr r="V5" s="1"/>
        <tr r="V155" s="1"/>
        <tr r="V118" s="1"/>
      </tp>
      <tp t="e">
        <v>#N/A</v>
        <stp/>
        <stp>BDP|10208321932263444719</stp>
        <tr r="AS86" s="1"/>
        <tr r="AS133" s="1"/>
        <tr r="L86" s="1"/>
        <tr r="L86" s="1"/>
        <tr r="L133" s="1"/>
        <tr r="L133" s="1"/>
      </tp>
      <tp t="e">
        <v>#N/A</v>
        <stp/>
        <stp>BDP|11505110143537289720</stp>
        <tr r="W47" s="1"/>
      </tp>
      <tp t="e">
        <v>#N/A</v>
        <stp/>
        <stp>BDP|17893365956207951266</stp>
        <tr r="AK85" s="1"/>
        <tr r="AK85" s="1"/>
        <tr r="AK85" s="1"/>
      </tp>
      <tp t="e">
        <v>#N/A</v>
        <stp/>
        <stp>BDP|18403254320209380553</stp>
        <tr r="AO16" s="3"/>
        <tr r="AO16" s="3"/>
        <tr r="AO16" s="3"/>
      </tp>
      <tp t="e">
        <v>#N/A</v>
        <stp/>
        <stp>BDP|16672905031618167010</stp>
        <tr r="AT143" s="1"/>
        <tr r="AT127" s="1"/>
      </tp>
      <tp t="e">
        <v>#N/A</v>
        <stp/>
        <stp>BDP|11550019852920957081</stp>
        <tr r="I92" s="1"/>
      </tp>
      <tp t="e">
        <v>#N/A</v>
        <stp/>
        <stp>BDP|17354603394988601468</stp>
        <tr r="F93" s="1"/>
      </tp>
      <tp t="e">
        <v>#N/A</v>
        <stp/>
        <stp>BDP|14356242598389958217</stp>
        <tr r="AS107" s="1"/>
      </tp>
      <tp t="e">
        <v>#N/A</v>
        <stp/>
        <stp>BDP|10187756341313019437</stp>
        <tr r="AL46" s="1"/>
        <tr r="AL144" s="1"/>
        <tr r="AL134" s="1"/>
      </tp>
      <tp t="e">
        <v>#N/A</v>
        <stp/>
        <stp>BDP|15652252944955028212</stp>
        <tr r="I53" s="1"/>
        <tr r="I115" s="1"/>
        <tr r="I45" s="1"/>
        <tr r="I62" s="1"/>
      </tp>
      <tp t="e">
        <v>#N/A</v>
        <stp/>
        <stp>BDP|16297270442847284334</stp>
        <tr r="AQ99" s="3"/>
        <tr r="AQ99" s="3"/>
        <tr r="AQ99" s="3"/>
        <tr r="AQ98" s="3"/>
        <tr r="AQ98" s="3"/>
        <tr r="AQ98" s="3"/>
        <tr r="AQ97" s="3"/>
        <tr r="AQ97" s="3"/>
        <tr r="AQ97" s="3"/>
      </tp>
      <tp t="e">
        <v>#N/A</v>
        <stp/>
        <stp>BDP|16987876613303217890</stp>
        <tr r="M126" s="1"/>
        <tr r="M126" s="1"/>
      </tp>
      <tp t="e">
        <v>#N/A</v>
        <stp/>
        <stp>BDP|11301336141271670315</stp>
        <tr r="H145" s="1"/>
        <tr r="H145" s="1"/>
        <tr r="H136" s="1"/>
        <tr r="H136" s="1"/>
      </tp>
      <tp t="e">
        <v>#N/A</v>
        <stp/>
        <stp>BDP|13425333527727663105</stp>
        <tr r="AO83" s="1"/>
        <tr r="AO50" s="1"/>
      </tp>
    </main>
    <main first="bloomberg.rtd">
      <tp t="s">
        <v>Consumer Staples</v>
        <stp/>
        <stp>##V3_BDPV12</stp>
        <stp>NSRGY US Equity</stp>
        <stp>DX202</stp>
        <stp>[DPM - Securities Master List (BBG Linked).xlsx]Equities!R223C8</stp>
        <tr r="H223" s="2"/>
        <tr r="H223" s="2"/>
        <tr r="H223" s="2"/>
      </tp>
      <tp>
        <v>96.12</v>
        <stp/>
        <stp>##V3_BDPV12</stp>
        <stp>VOW3 GY Equity</stp>
        <stp>PX_Last</stp>
        <stp>[DPM - Securities Master List (BBG Linked).xlsx]Equities!R289C17</stp>
        <tr r="Q289" s="2"/>
      </tp>
      <tp>
        <v>96.12</v>
        <stp/>
        <stp>##V3_BDPV12</stp>
        <stp>VOW3 GY Equity</stp>
        <stp>PX_Last</stp>
        <stp>[DPM - Securities Master List (BBG Linked).xlsx]Equities!R291C17</stp>
        <tr r="Q291" s="2"/>
      </tp>
      <tp>
        <v>96.12</v>
        <stp/>
        <stp>##V3_BDPV12</stp>
        <stp>VOW3 GY Equity</stp>
        <stp>PX_Last</stp>
        <stp>[DPM - Securities Master List (BBG Linked).xlsx]Equities!R290C17</stp>
        <tr r="Q290" s="2"/>
      </tp>
      <tp>
        <v>96.12</v>
        <stp/>
        <stp>##V3_BDPV12</stp>
        <stp>VOW3 GY Equity</stp>
        <stp>PX_Last</stp>
        <stp>[DPM - Securities Master List (BBG Linked).xlsx]Equities!R293C17</stp>
        <tr r="Q293" s="2"/>
      </tp>
      <tp>
        <v>96.12</v>
        <stp/>
        <stp>##V3_BDPV12</stp>
        <stp>VOW3 GY Equity</stp>
        <stp>PX_Last</stp>
        <stp>[DPM - Securities Master List (BBG Linked).xlsx]Equities!R292C17</stp>
        <tr r="Q292" s="2"/>
      </tp>
      <tp>
        <v>96.12</v>
        <stp/>
        <stp>##V3_BDPV12</stp>
        <stp>VOW3 GY Equity</stp>
        <stp>PX_last</stp>
        <stp>[DPM - Securities Master List (BBG Linked).xlsx]Equities!R289C17</stp>
        <tr r="Q289" s="2"/>
      </tp>
      <tp>
        <v>96.12</v>
        <stp/>
        <stp>##V3_BDPV12</stp>
        <stp>VOW3 GY Equity</stp>
        <stp>PX_last</stp>
        <stp>[DPM - Securities Master List (BBG Linked).xlsx]Equities!R291C17</stp>
        <tr r="Q291" s="2"/>
      </tp>
      <tp>
        <v>96.12</v>
        <stp/>
        <stp>##V3_BDPV12</stp>
        <stp>VOW3 GY Equity</stp>
        <stp>PX_last</stp>
        <stp>[DPM - Securities Master List (BBG Linked).xlsx]Equities!R290C17</stp>
        <tr r="Q290" s="2"/>
      </tp>
      <tp>
        <v>96.12</v>
        <stp/>
        <stp>##V3_BDPV12</stp>
        <stp>VOW3 GY Equity</stp>
        <stp>PX_last</stp>
        <stp>[DPM - Securities Master List (BBG Linked).xlsx]Equities!R293C17</stp>
        <tr r="Q293" s="2"/>
      </tp>
      <tp>
        <v>96.12</v>
        <stp/>
        <stp>##V3_BDPV12</stp>
        <stp>VOW3 GY Equity</stp>
        <stp>PX_last</stp>
        <stp>[DPM - Securities Master List (BBG Linked).xlsx]Equities!R292C17</stp>
        <tr r="Q292" s="2"/>
      </tp>
      <tp t="s">
        <v>Baidu Inc</v>
        <stp/>
        <stp>##V3_BDPV12</stp>
        <stp>9888 HK Equity</stp>
        <stp>SECURITY NAME</stp>
        <stp>[DPM - Securities Master List (BBG Linked).xlsx]Equities!R18C5</stp>
        <tr r="E18" s="2"/>
      </tp>
      <tp t="s">
        <v>Meituan</v>
        <stp/>
        <stp>##V3_BDPV12</stp>
        <stp>3690 HK Equity</stp>
        <stp>SECURITY NAME</stp>
        <stp>[DPM - Securities Master List (BBG Linked).xlsx]Equities!R12C5</stp>
        <tr r="E12" s="2"/>
      </tp>
      <tp>
        <v>-11.382110000000001</v>
        <stp/>
        <stp>##V3_BDPV12</stp>
        <stp>RIO LN Equity</stp>
        <stp>CHG_PCT_6M</stp>
        <stp>[DPM - Securities Master List (BBG Linked).xlsx]Equities!R242C42</stp>
        <tr r="AP242" s="2"/>
      </tp>
      <tp>
        <v>-22.562000000000001</v>
        <stp/>
        <stp>##V3_BDPV12</stp>
        <stp>NIO US Equity</stp>
        <stp>CHG_PCT_6M</stp>
        <stp>[DPM - Securities Master List (BBG Linked).xlsx]Equities!R206C42</stp>
        <tr r="AP206" s="2"/>
      </tp>
      <tp>
        <v>-36.427489999999999</v>
        <stp/>
        <stp>##V3_BDPV12</stp>
        <stp>NVO US Equity</stp>
        <stp>CHG_PCT_6M</stp>
        <stp>[DPM - Securities Master List (BBG Linked).xlsx]Equities!R225C42</stp>
        <tr r="AP225" s="2"/>
      </tp>
      <tp>
        <v>105.53845977783203</v>
        <stp/>
        <stp>##V3_BDPV12</stp>
        <stp>MRK US Equity</stp>
        <stp>BEST_TARGET_PRICE</stp>
        <stp>[DPM - Securities Master List (BBG Linked).xlsx]Equities!R161C38</stp>
        <tr r="AL161" s="2"/>
      </tp>
      <tp>
        <v>105.53845977783203</v>
        <stp/>
        <stp>##V3_BDPV12</stp>
        <stp>MRK US Equity</stp>
        <stp>BEST_TARGET_PRICE</stp>
        <stp>[DPM - Securities Master List (BBG Linked).xlsx]Equities!R160C38</stp>
        <tr r="AL160" s="2"/>
      </tp>
      <tp>
        <v>105.53845977783203</v>
        <stp/>
        <stp>##V3_BDPV12</stp>
        <stp>MRK US Equity</stp>
        <stp>BEST_TARGET_PRICE</stp>
        <stp>[DPM - Securities Master List (BBG Linked).xlsx]Equities!R163C38</stp>
        <tr r="AL163" s="2"/>
      </tp>
      <tp>
        <v>105.53845977783203</v>
        <stp/>
        <stp>##V3_BDPV12</stp>
        <stp>MRK US Equity</stp>
        <stp>BEST_TARGET_PRICE</stp>
        <stp>[DPM - Securities Master List (BBG Linked).xlsx]Equities!R162C38</stp>
        <tr r="AL162" s="2"/>
      </tp>
      <tp>
        <v>105.53845977783203</v>
        <stp/>
        <stp>##V3_BDPV12</stp>
        <stp>MRK US Equity</stp>
        <stp>BEST_TARGET_PRICE</stp>
        <stp>[DPM - Securities Master List (BBG Linked).xlsx]Equities!R165C38</stp>
        <tr r="AL165" s="2"/>
      </tp>
      <tp>
        <v>105.53845977783203</v>
        <stp/>
        <stp>##V3_BDPV12</stp>
        <stp>MRK US Equity</stp>
        <stp>BEST_TARGET_PRICE</stp>
        <stp>[DPM - Securities Master List (BBG Linked).xlsx]Equities!R164C38</stp>
        <tr r="AL164" s="2"/>
      </tp>
      <tp>
        <v>105.53845977783203</v>
        <stp/>
        <stp>##V3_BDPV12</stp>
        <stp>MRK US Equity</stp>
        <stp>BEST_TARGET_PRICE</stp>
        <stp>[DPM - Securities Master List (BBG Linked).xlsx]Equities!R167C38</stp>
        <tr r="AL167" s="2"/>
      </tp>
      <tp>
        <v>105.53845977783203</v>
        <stp/>
        <stp>##V3_BDPV12</stp>
        <stp>MRK US Equity</stp>
        <stp>BEST_TARGET_PRICE</stp>
        <stp>[DPM - Securities Master List (BBG Linked).xlsx]Equities!R166C38</stp>
        <tr r="AL166" s="2"/>
      </tp>
      <tp>
        <v>105.53845977783203</v>
        <stp/>
        <stp>##V3_BDPV12</stp>
        <stp>MRK US Equity</stp>
        <stp>BEST_TARGET_PRICE</stp>
        <stp>[DPM - Securities Master List (BBG Linked).xlsx]Equities!R169C38</stp>
        <tr r="AL169" s="2"/>
      </tp>
      <tp>
        <v>105.53845977783203</v>
        <stp/>
        <stp>##V3_BDPV12</stp>
        <stp>MRK US Equity</stp>
        <stp>BEST_TARGET_PRICE</stp>
        <stp>[DPM - Securities Master List (BBG Linked).xlsx]Equities!R168C38</stp>
        <tr r="AL168" s="2"/>
      </tp>
      <tp>
        <v>105.53845977783203</v>
        <stp/>
        <stp>##V3_BDPV12</stp>
        <stp>MRK US Equity</stp>
        <stp>BEST_TARGET_PRICE</stp>
        <stp>[DPM - Securities Master List (BBG Linked).xlsx]Equities!R157C38</stp>
        <tr r="AL157" s="2"/>
      </tp>
      <tp>
        <v>105.53845977783203</v>
        <stp/>
        <stp>##V3_BDPV12</stp>
        <stp>MRK US Equity</stp>
        <stp>BEST_TARGET_PRICE</stp>
        <stp>[DPM - Securities Master List (BBG Linked).xlsx]Equities!R159C38</stp>
        <tr r="AL159" s="2"/>
      </tp>
      <tp>
        <v>105.53845977783203</v>
        <stp/>
        <stp>##V3_BDPV12</stp>
        <stp>MRK US Equity</stp>
        <stp>BEST_TARGET_PRICE</stp>
        <stp>[DPM - Securities Master List (BBG Linked).xlsx]Equities!R158C38</stp>
        <tr r="AL158" s="2"/>
      </tp>
      <tp>
        <v>0.23762159999999999</v>
        <stp/>
        <stp>##V3_BDPV12</stp>
        <stp>ZBH US Equity</stp>
        <stp>CHG_PCT_1D</stp>
        <stp>[DPM - Securities Master List (BBG Linked).xlsx]Equities!R302C22</stp>
        <tr r="V302" s="2"/>
      </tp>
      <tp>
        <v>0.23762159999999999</v>
        <stp/>
        <stp>##V3_BDPV12</stp>
        <stp>ZBH US Equity</stp>
        <stp>CHG_PCT_1D</stp>
        <stp>[DPM - Securities Master List (BBG Linked).xlsx]Equities!R300C22</stp>
        <tr r="V300" s="2"/>
      </tp>
      <tp>
        <v>0.23762159999999999</v>
        <stp/>
        <stp>##V3_BDPV12</stp>
        <stp>ZBH US Equity</stp>
        <stp>CHG_PCT_1D</stp>
        <stp>[DPM - Securities Master List (BBG Linked).xlsx]Equities!R301C22</stp>
        <tr r="V301" s="2"/>
      </tp>
      <tp>
        <v>0.23762159999999999</v>
        <stp/>
        <stp>##V3_BDPV12</stp>
        <stp>ZBH US Equity</stp>
        <stp>CHG_PCT_1D</stp>
        <stp>[DPM - Securities Master List (BBG Linked).xlsx]Equities!R296C22</stp>
        <tr r="V296" s="2"/>
      </tp>
      <tp>
        <v>0.23762159999999999</v>
        <stp/>
        <stp>##V3_BDPV12</stp>
        <stp>ZBH US Equity</stp>
        <stp>CHG_PCT_1D</stp>
        <stp>[DPM - Securities Master List (BBG Linked).xlsx]Equities!R297C22</stp>
        <tr r="V297" s="2"/>
      </tp>
      <tp>
        <v>0.23762159999999999</v>
        <stp/>
        <stp>##V3_BDPV12</stp>
        <stp>ZBH US Equity</stp>
        <stp>CHG_PCT_1D</stp>
        <stp>[DPM - Securities Master List (BBG Linked).xlsx]Equities!R294C22</stp>
        <tr r="V294" s="2"/>
      </tp>
      <tp>
        <v>0.23762159999999999</v>
        <stp/>
        <stp>##V3_BDPV12</stp>
        <stp>ZBH US Equity</stp>
        <stp>CHG_PCT_1D</stp>
        <stp>[DPM - Securities Master List (BBG Linked).xlsx]Equities!R295C22</stp>
        <tr r="V295" s="2"/>
      </tp>
      <tp>
        <v>0.23762159999999999</v>
        <stp/>
        <stp>##V3_BDPV12</stp>
        <stp>ZBH US Equity</stp>
        <stp>CHG_PCT_1D</stp>
        <stp>[DPM - Securities Master List (BBG Linked).xlsx]Equities!R298C22</stp>
        <tr r="V298" s="2"/>
      </tp>
      <tp>
        <v>0.23762159999999999</v>
        <stp/>
        <stp>##V3_BDPV12</stp>
        <stp>ZBH US Equity</stp>
        <stp>CHG_PCT_1D</stp>
        <stp>[DPM - Securities Master List (BBG Linked).xlsx]Equities!R299C22</stp>
        <tr r="V299" s="2"/>
      </tp>
      <tp>
        <v>579.93499999999995</v>
        <stp/>
        <stp>##V3_BDPV12</stp>
        <stp>REGN Equity</stp>
        <stp>PX_LAST</stp>
        <stp>[DPM - Securities Master List (BBG Linked).xlsx]Equities!R240C17</stp>
        <tr r="Q240" s="2"/>
      </tp>
      <tp>
        <v>21</v>
        <stp/>
        <stp>##V3_BDPV12</stp>
        <stp>AAPL US Equity</stp>
        <stp>TOT_HOLD_REC</stp>
        <stp>[DPM - Securities Master List (BBG Linked).xlsx]Equities!R34C35</stp>
        <tr r="AI34" s="2"/>
      </tp>
      <tp>
        <v>15</v>
        <stp/>
        <stp>##V3_BDPV12</stp>
        <stp>ADBE US Equity</stp>
        <stp>TOT_HOLD_REC</stp>
        <stp>[DPM - Securities Master List (BBG Linked).xlsx]Equities!R43C35</stp>
        <tr r="AI43" s="2"/>
      </tp>
      <tp>
        <v>15</v>
        <stp/>
        <stp>##V3_BDPV12</stp>
        <stp>ADBE US Equity</stp>
        <stp>TOT_HOLD_REC</stp>
        <stp>[DPM - Securities Master List (BBG Linked).xlsx]Equities!R42C35</stp>
        <tr r="AI42" s="2"/>
      </tp>
      <tp>
        <v>15</v>
        <stp/>
        <stp>##V3_BDPV12</stp>
        <stp>ADBE US Equity</stp>
        <stp>TOT_HOLD_REC</stp>
        <stp>[DPM - Securities Master List (BBG Linked).xlsx]Equities!R41C35</stp>
        <tr r="AI41" s="2"/>
      </tp>
      <tp>
        <v>15</v>
        <stp/>
        <stp>##V3_BDPV12</stp>
        <stp>ADBE US Equity</stp>
        <stp>TOT_HOLD_REC</stp>
        <stp>[DPM - Securities Master List (BBG Linked).xlsx]Equities!R40C35</stp>
        <tr r="AI40" s="2"/>
      </tp>
      <tp>
        <v>15</v>
        <stp/>
        <stp>##V3_BDPV12</stp>
        <stp>ADBE US Equity</stp>
        <stp>TOT_HOLD_REC</stp>
        <stp>[DPM - Securities Master List (BBG Linked).xlsx]Equities!R47C35</stp>
        <tr r="AI47" s="2"/>
      </tp>
      <tp>
        <v>15</v>
        <stp/>
        <stp>##V3_BDPV12</stp>
        <stp>ADBE US Equity</stp>
        <stp>TOT_HOLD_REC</stp>
        <stp>[DPM - Securities Master List (BBG Linked).xlsx]Equities!R46C35</stp>
        <tr r="AI46" s="2"/>
      </tp>
      <tp>
        <v>15</v>
        <stp/>
        <stp>##V3_BDPV12</stp>
        <stp>ADBE US Equity</stp>
        <stp>TOT_HOLD_REC</stp>
        <stp>[DPM - Securities Master List (BBG Linked).xlsx]Equities!R45C35</stp>
        <tr r="AI45" s="2"/>
      </tp>
      <tp>
        <v>15</v>
        <stp/>
        <stp>##V3_BDPV12</stp>
        <stp>ADBE US Equity</stp>
        <stp>TOT_HOLD_REC</stp>
        <stp>[DPM - Securities Master List (BBG Linked).xlsx]Equities!R44C35</stp>
        <tr r="AI44" s="2"/>
      </tp>
      <tp>
        <v>15</v>
        <stp/>
        <stp>##V3_BDPV12</stp>
        <stp>ADBE US Equity</stp>
        <stp>TOT_HOLD_REC</stp>
        <stp>[DPM - Securities Master List (BBG Linked).xlsx]Equities!R49C35</stp>
        <tr r="AI49" s="2"/>
      </tp>
      <tp>
        <v>15</v>
        <stp/>
        <stp>##V3_BDPV12</stp>
        <stp>ADBE US Equity</stp>
        <stp>TOT_HOLD_REC</stp>
        <stp>[DPM - Securities Master List (BBG Linked).xlsx]Equities!R48C35</stp>
        <tr r="AI48" s="2"/>
      </tp>
      <tp>
        <v>15</v>
        <stp/>
        <stp>##V3_BDPV12</stp>
        <stp>ADBE US Equity</stp>
        <stp>TOT_HOLD_REC</stp>
        <stp>[DPM - Securities Master List (BBG Linked).xlsx]Equities!R37C35</stp>
        <tr r="AI37" s="2"/>
      </tp>
      <tp>
        <v>15</v>
        <stp/>
        <stp>##V3_BDPV12</stp>
        <stp>ADBE US Equity</stp>
        <stp>TOT_HOLD_REC</stp>
        <stp>[DPM - Securities Master List (BBG Linked).xlsx]Equities!R36C35</stp>
        <tr r="AI36" s="2"/>
      </tp>
      <tp>
        <v>15</v>
        <stp/>
        <stp>##V3_BDPV12</stp>
        <stp>ADBE US Equity</stp>
        <stp>TOT_HOLD_REC</stp>
        <stp>[DPM - Securities Master List (BBG Linked).xlsx]Equities!R39C35</stp>
        <tr r="AI39" s="2"/>
      </tp>
      <tp>
        <v>15</v>
        <stp/>
        <stp>##V3_BDPV12</stp>
        <stp>ADBE US Equity</stp>
        <stp>TOT_HOLD_REC</stp>
        <stp>[DPM - Securities Master List (BBG Linked).xlsx]Equities!R38C35</stp>
        <tr r="AI38" s="2"/>
      </tp>
    </main>
    <main first="bofaddin.rtdserver">
      <tp t="e">
        <v>#N/A</v>
        <stp/>
        <stp>BDP|11636253266509839941</stp>
        <tr r="AQ64" s="3"/>
        <tr r="AQ64" s="3"/>
        <tr r="AQ64" s="3"/>
      </tp>
      <tp t="e">
        <v>#N/A</v>
        <stp/>
        <stp>BDP|16302580229397318387</stp>
        <tr r="AN114" s="3"/>
        <tr r="AN114" s="3"/>
        <tr r="AN113" s="3"/>
        <tr r="AN113" s="3"/>
        <tr r="AN112" s="3"/>
        <tr r="AN112" s="3"/>
      </tp>
      <tp t="e">
        <v>#N/A</v>
        <stp/>
        <stp>BDP|11435651975004998152</stp>
        <tr r="J102" s="3"/>
        <tr r="J102" s="3"/>
        <tr r="J102" s="3"/>
        <tr r="J101" s="3"/>
        <tr r="J101" s="3"/>
        <tr r="J101" s="3"/>
        <tr r="J100" s="3"/>
        <tr r="J100" s="3"/>
        <tr r="J100" s="3"/>
      </tp>
      <tp t="e">
        <v>#N/A</v>
        <stp/>
        <stp>BDP|18426571029538613245</stp>
        <tr r="AJ148" s="1"/>
        <tr r="AJ148" s="1"/>
        <tr r="AJ138" s="1"/>
        <tr r="AJ138" s="1"/>
      </tp>
      <tp t="e">
        <v>#N/A</v>
        <stp/>
        <stp>BDP|15172200452626939122</stp>
        <tr r="H82" s="1"/>
        <tr r="H82" s="1"/>
        <tr r="H39" s="1"/>
        <tr r="H39" s="1"/>
        <tr r="H22" s="1"/>
        <tr r="H22" s="1"/>
        <tr r="H167" s="1"/>
        <tr r="H167" s="1"/>
      </tp>
      <tp t="e">
        <v>#N/A</v>
        <stp/>
        <stp>BDP|11970867682647285379</stp>
        <tr r="AL9" s="1"/>
      </tp>
      <tp t="e">
        <v>#N/A</v>
        <stp/>
        <stp>BDP|17380218309167666753</stp>
        <tr r="Q63" s="3"/>
        <tr r="Q62" s="3"/>
        <tr r="Q61" s="3"/>
        <tr r="Q60" s="3"/>
        <tr r="Q59" s="3"/>
        <tr r="Q58" s="3"/>
        <tr r="Q57" s="3"/>
        <tr r="Q56" s="3"/>
        <tr r="Q55" s="3"/>
        <tr r="Q54" s="3"/>
        <tr r="Q53" s="3"/>
        <tr r="Q52" s="3"/>
        <tr r="Q51" s="3"/>
      </tp>
      <tp t="e">
        <v>#N/A</v>
        <stp/>
        <stp>BDP|12640034523340895558</stp>
        <tr r="AJ89" s="1"/>
        <tr r="AJ89" s="1"/>
        <tr r="AJ81" s="1"/>
        <tr r="AJ81" s="1"/>
        <tr r="AJ59" s="1"/>
        <tr r="AJ59" s="1"/>
        <tr r="AJ37" s="1"/>
        <tr r="AJ37" s="1"/>
        <tr r="AJ29" s="1"/>
        <tr r="AJ29" s="1"/>
        <tr r="AJ164" s="1"/>
        <tr r="AJ164" s="1"/>
        <tr r="AJ135" s="1"/>
        <tr r="AJ135" s="1"/>
        <tr r="AJ41" s="1"/>
        <tr r="AJ41" s="1"/>
      </tp>
      <tp t="e">
        <v>#N/A</v>
        <stp/>
        <stp>BDP|16299148930814590582</stp>
        <tr r="E114" s="3"/>
        <tr r="E113" s="3"/>
        <tr r="E112" s="3"/>
      </tp>
      <tp t="e">
        <v>#N/A</v>
        <stp/>
        <stp>BDP|11150178171772835048</stp>
        <tr r="AJ73" s="1"/>
        <tr r="AJ73" s="1"/>
        <tr r="AJ168" s="1"/>
        <tr r="AJ168" s="1"/>
      </tp>
      <tp t="e">
        <v>#N/A</v>
        <stp/>
        <stp>BDP|10978468393858101067</stp>
        <tr r="Y34" s="1"/>
        <tr r="Y156" s="1"/>
      </tp>
      <tp t="e">
        <v>#N/A</v>
        <stp/>
        <stp>BDP|16838163509655425782</stp>
        <tr r="Q94" s="3"/>
        <tr r="Q93" s="3"/>
        <tr r="Q92" s="3"/>
        <tr r="Q91" s="3"/>
        <tr r="Q90" s="3"/>
        <tr r="Q89" s="3"/>
        <tr r="Q88" s="3"/>
        <tr r="Q87" s="3"/>
        <tr r="Q86" s="3"/>
        <tr r="Q85" s="3"/>
        <tr r="Q84" s="3"/>
        <tr r="Q83" s="3"/>
        <tr r="Q82" s="3"/>
        <tr r="Q81" s="3"/>
        <tr r="Q80" s="3"/>
        <tr r="Q79" s="3"/>
      </tp>
      <tp t="e">
        <v>#N/A</v>
        <stp/>
        <stp>BDP|18355878699335614914</stp>
        <tr r="AF64" s="3"/>
        <tr r="AF64" s="3"/>
      </tp>
      <tp t="e">
        <v>#N/A</v>
        <stp/>
        <stp>BDP|16029122634053985252</stp>
        <tr r="AJ143" s="1"/>
        <tr r="AJ143" s="1"/>
        <tr r="AJ127" s="1"/>
        <tr r="AJ127" s="1"/>
      </tp>
      <tp t="e">
        <v>#N/A</v>
        <stp/>
        <stp>BDP|17466777034800518681</stp>
        <tr r="AJ84" s="1"/>
        <tr r="AJ84" s="1"/>
        <tr r="AJ159" s="1"/>
        <tr r="AJ159" s="1"/>
        <tr r="AJ116" s="1"/>
        <tr r="AJ116" s="1"/>
        <tr r="AJ70" s="1"/>
        <tr r="AJ70" s="1"/>
      </tp>
      <tp t="e">
        <v>#N/A</v>
        <stp/>
        <stp>BDP|15941008559561342491</stp>
        <tr r="N13" s="1"/>
      </tp>
      <tp t="e">
        <v>#N/A</v>
        <stp/>
        <stp>BDP|15111897499631994025</stp>
        <tr r="W44" s="1"/>
      </tp>
      <tp t="e">
        <v>#N/A</v>
        <stp/>
        <stp>BDP|12881455087939828286</stp>
        <tr r="AJ90" s="1"/>
        <tr r="AJ90" s="1"/>
      </tp>
      <tp t="e">
        <v>#N/A</v>
        <stp/>
        <stp>BDP|16284813410712115888</stp>
        <tr r="Y19" s="1"/>
      </tp>
    </main>
    <main first="bloomberg.rtd">
      <tp t="s">
        <v>#N/A Invalid Override</v>
        <stp/>
        <stp>##V3_BDPV12</stp>
        <stp>XS2393498204 isin</stp>
        <stp>YAS_BOND_YLD</stp>
        <stp>[DPM - Securities Master List (BBG Linked).xlsx]Bonds!R66C10</stp>
        <stp>YAS_YLD_FLAG=15</stp>
        <stp>user_local_trade_date</stp>
        <stp>45783</stp>
        <stp>Yas_bond_px</stp>
        <stp>#N/A Connection</stp>
        <tr r="J66" s="1"/>
      </tp>
      <tp t="s">
        <v>#N/A Invalid Override</v>
        <stp/>
        <stp>##V3_BDPV12</stp>
        <stp>XS2393498204 isin</stp>
        <stp>YAS_BOND_YLD</stp>
        <stp>[DPM - Securities Master List (BBG Linked).xlsx]Bonds!R49C10</stp>
        <stp>YAS_YLD_FLAG=15</stp>
        <stp>user_local_trade_date</stp>
        <stp>45783</stp>
        <stp>Yas_bond_px</stp>
        <stp>#N/A Connection</stp>
        <tr r="J49" s="1"/>
      </tp>
      <tp t="s">
        <v>#N/A Invalid Override</v>
        <stp/>
        <stp>##V3_BDPV12</stp>
        <stp>XS2393498204 isin</stp>
        <stp>YAS_BOND_YLD</stp>
        <stp>[DPM - Securities Master List (BBG Linked).xlsx]Bonds!R42C10</stp>
        <stp>YAS_YLD_FLAG=15</stp>
        <stp>user_local_trade_date</stp>
        <stp>45783</stp>
        <stp>Yas_bond_px</stp>
        <stp>#N/A Connection</stp>
        <tr r="J42" s="1"/>
      </tp>
    </main>
    <main first="bofaddin.rtdserver">
      <tp t="e">
        <v>#N/A</v>
        <stp/>
        <stp>BDP|14224671619050968688</stp>
        <tr r="AK126" s="1"/>
        <tr r="AK126" s="1"/>
        <tr r="AK126" s="1"/>
      </tp>
      <tp t="e">
        <v>#N/A</v>
        <stp/>
        <stp>BDP|16069257169385079218</stp>
        <tr r="Q35" s="1"/>
        <tr r="Q24" s="1"/>
        <tr r="Q153" s="1"/>
      </tp>
      <tp t="e">
        <v>#N/A</v>
        <stp/>
        <stp>BDP|17186217749323036749</stp>
        <tr r="AS9" s="1"/>
      </tp>
      <tp t="e">
        <v>#N/A</v>
        <stp/>
        <stp>BDP|15513696335064175156</stp>
        <tr r="AE110" s="1"/>
      </tp>
      <tp t="e">
        <v>#N/A</v>
        <stp/>
        <stp>BDP|17518517156722804068</stp>
        <tr r="M12" s="1"/>
        <tr r="M12" s="1"/>
      </tp>
      <tp t="e">
        <v>#N/A</v>
        <stp/>
        <stp>BDP|16333418994686358891</stp>
        <tr r="N92" s="1"/>
      </tp>
      <tp t="e">
        <v>#N/A</v>
        <stp/>
        <stp>BDP|15784342954831252799</stp>
        <tr r="AU160" s="1"/>
        <tr r="AU160" s="1"/>
        <tr r="AU160" s="1"/>
      </tp>
      <tp t="e">
        <v>#N/A</v>
        <stp/>
        <stp>BDP|13039828488982052465</stp>
        <tr r="Q104" s="1"/>
      </tp>
      <tp t="e">
        <v>#N/A</v>
        <stp/>
        <stp>BDP|13648390686599437413</stp>
        <tr r="AV115" s="3"/>
        <tr r="AV115" s="3"/>
      </tp>
      <tp t="e">
        <v>#N/A</v>
        <stp/>
        <stp>BDP|16870250653460504448</stp>
        <tr r="Y32" s="1"/>
      </tp>
      <tp t="e">
        <v>#N/A</v>
        <stp/>
        <stp>BDP|14433694270127282706</stp>
        <tr r="AT17" s="1"/>
        <tr r="AT112" s="1"/>
      </tp>
      <tp t="e">
        <v>#N/A</v>
        <stp/>
        <stp>BDP|15663769037554955017</stp>
        <tr r="AO18" s="1"/>
      </tp>
      <tp t="e">
        <v>#N/A</v>
        <stp/>
        <stp>BDP|10948193479171503234</stp>
        <tr r="F69" s="1"/>
        <tr r="F57" s="1"/>
      </tp>
      <tp t="e">
        <v>#N/A</v>
        <stp/>
        <stp>BDP|17713504936040922470</stp>
        <tr r="AK86" s="1"/>
        <tr r="AK86" s="1"/>
        <tr r="AK86" s="1"/>
        <tr r="AK133" s="1"/>
        <tr r="AK133" s="1"/>
        <tr r="AK133" s="1"/>
      </tp>
      <tp t="e">
        <v>#N/A</v>
        <stp/>
        <stp>BDP|13815139662578783912</stp>
        <tr r="AA12" s="1"/>
      </tp>
      <tp t="e">
        <v>#N/A</v>
        <stp/>
        <stp>BDP|13765514719126553451</stp>
        <tr r="AO111" s="3"/>
        <tr r="AO111" s="3"/>
        <tr r="AO111" s="3"/>
        <tr r="AO110" s="3"/>
        <tr r="AO110" s="3"/>
        <tr r="AO110" s="3"/>
        <tr r="AO109" s="3"/>
        <tr r="AO109" s="3"/>
        <tr r="AO109" s="3"/>
        <tr r="AO108" s="3"/>
        <tr r="AO108" s="3"/>
        <tr r="AO108" s="3"/>
        <tr r="AO107" s="3"/>
        <tr r="AO107" s="3"/>
        <tr r="AO107" s="3"/>
        <tr r="AO106" s="3"/>
        <tr r="AO106" s="3"/>
        <tr r="AO106" s="3"/>
        <tr r="AO105" s="3"/>
        <tr r="AO105" s="3"/>
        <tr r="AO105" s="3"/>
        <tr r="AO104" s="3"/>
        <tr r="AO104" s="3"/>
        <tr r="AO104" s="3"/>
      </tp>
      <tp t="e">
        <v>#N/A</v>
        <stp/>
        <stp>BDP|14521456448957530628</stp>
        <tr r="AM44" s="1"/>
        <tr r="AM44" s="1"/>
      </tp>
      <tp t="e">
        <v>#N/A</v>
        <stp/>
        <stp>BDP|15552003209814089429</stp>
        <tr r="H11" s="1"/>
        <tr r="H11" s="1"/>
        <tr r="H102" s="1"/>
        <tr r="H102" s="1"/>
      </tp>
      <tp t="e">
        <v>#N/A</v>
        <stp/>
        <stp>BDP|15836658790516463974</stp>
        <tr r="AT94" s="3"/>
        <tr r="AT94" s="3"/>
        <tr r="AT94" s="3"/>
        <tr r="AT93" s="3"/>
        <tr r="AT93" s="3"/>
        <tr r="AT93" s="3"/>
        <tr r="AT92" s="3"/>
        <tr r="AT92" s="3"/>
        <tr r="AT92" s="3"/>
        <tr r="AT91" s="3"/>
        <tr r="AT91" s="3"/>
        <tr r="AT91" s="3"/>
        <tr r="AT90" s="3"/>
        <tr r="AT90" s="3"/>
        <tr r="AT90" s="3"/>
        <tr r="AT89" s="3"/>
        <tr r="AT89" s="3"/>
        <tr r="AT89" s="3"/>
        <tr r="AT88" s="3"/>
        <tr r="AT88" s="3"/>
        <tr r="AT88" s="3"/>
        <tr r="AT87" s="3"/>
        <tr r="AT87" s="3"/>
        <tr r="AT87" s="3"/>
        <tr r="AT86" s="3"/>
        <tr r="AT86" s="3"/>
        <tr r="AT86" s="3"/>
        <tr r="AT85" s="3"/>
        <tr r="AT85" s="3"/>
        <tr r="AT85" s="3"/>
        <tr r="AT84" s="3"/>
        <tr r="AT84" s="3"/>
        <tr r="AT84" s="3"/>
        <tr r="AT83" s="3"/>
        <tr r="AT83" s="3"/>
        <tr r="AT83" s="3"/>
        <tr r="AT82" s="3"/>
        <tr r="AT82" s="3"/>
        <tr r="AT82" s="3"/>
        <tr r="AT81" s="3"/>
        <tr r="AT81" s="3"/>
        <tr r="AT81" s="3"/>
        <tr r="AT80" s="3"/>
        <tr r="AT80" s="3"/>
        <tr r="AT80" s="3"/>
        <tr r="AT79" s="3"/>
        <tr r="AT79" s="3"/>
        <tr r="AT79" s="3"/>
      </tp>
      <tp t="e">
        <v>#N/A</v>
        <stp/>
        <stp>BDP|18165556718371218801</stp>
        <tr r="K11" s="1"/>
        <tr r="K102" s="1"/>
      </tp>
    </main>
    <main first="bofaddin.rtdserver">
      <tp t="e">
        <v>#N/A</v>
        <stp/>
        <stp>BDP|11207641230187004679</stp>
        <tr r="Z105" s="1"/>
      </tp>
      <tp t="e">
        <v>#N/A</v>
        <stp/>
        <stp>BDP|10352301371852619355</stp>
        <tr r="AL83" s="1"/>
        <tr r="AL50" s="1"/>
      </tp>
      <tp t="e">
        <v>#N/A</v>
        <stp/>
        <stp>BDP|14736175331991236223</stp>
        <tr r="H80" s="1"/>
        <tr r="H80" s="1"/>
        <tr r="H58" s="1"/>
        <tr r="H58" s="1"/>
        <tr r="H28" s="1"/>
        <tr r="H28" s="1"/>
        <tr r="H161" s="1"/>
        <tr r="H161" s="1"/>
        <tr r="H121" s="1"/>
        <tr r="H121" s="1"/>
        <tr r="H10" s="1"/>
        <tr r="H10" s="1"/>
      </tp>
      <tp t="e">
        <v>#N/A</v>
        <stp/>
        <stp>BDP|13089061532287006256</stp>
        <tr r="AA84" s="1"/>
        <tr r="AA70" s="1"/>
        <tr r="AA159" s="1"/>
        <tr r="AA116" s="1"/>
      </tp>
      <tp t="e">
        <v>#N/A</v>
        <stp/>
        <stp>BDP|17829512480437128894</stp>
        <tr r="H98" s="1"/>
        <tr r="H98" s="1"/>
        <tr r="H79" s="1"/>
        <tr r="H79" s="1"/>
        <tr r="H5" s="1"/>
        <tr r="H5" s="1"/>
        <tr r="H155" s="1"/>
        <tr r="H155" s="1"/>
        <tr r="H118" s="1"/>
        <tr r="H118" s="1"/>
      </tp>
      <tp t="e">
        <v>#N/A</v>
        <stp/>
        <stp>BDP|17434539265873304202</stp>
        <tr r="H11" s="1"/>
        <tr r="H11" s="1"/>
        <tr r="H102" s="1"/>
        <tr r="H102" s="1"/>
      </tp>
      <tp t="e">
        <v>#N/A</v>
        <stp/>
        <stp>BDP|17933048094923920810</stp>
        <tr r="AK103" s="1"/>
        <tr r="AK103" s="1"/>
        <tr r="AK103" s="1"/>
      </tp>
      <tp t="e">
        <v>#N/A</v>
        <stp/>
        <stp>BDP|10400293132996979278</stp>
        <tr r="AD82" s="1"/>
        <tr r="AD39" s="1"/>
        <tr r="AD22" s="1"/>
        <tr r="AD167" s="1"/>
      </tp>
      <tp t="e">
        <v>#N/A</v>
        <stp/>
        <stp>BDP|11420602144657345126</stp>
        <tr r="F16" s="1"/>
        <tr r="F99" s="1"/>
        <tr r="F146" s="1"/>
        <tr r="F74" s="1"/>
        <tr r="F137" s="1"/>
        <tr r="F38" s="1"/>
        <tr r="F111" s="1"/>
        <tr r="F23" s="1"/>
        <tr r="F165" s="1"/>
        <tr r="F61" s="1"/>
        <tr r="F152" s="1"/>
        <tr r="F119" s="1"/>
      </tp>
      <tp t="e">
        <v>#N/A</v>
        <stp/>
        <stp>BDP|16104025516930048257</stp>
        <tr r="H73" s="1"/>
        <tr r="H73" s="1"/>
        <tr r="H168" s="1"/>
        <tr r="H168" s="1"/>
      </tp>
      <tp t="e">
        <v>#N/A</v>
        <stp/>
        <stp>BDP|13300379925182203536</stp>
        <tr r="AS98" s="1"/>
        <tr r="AS79" s="1"/>
        <tr r="AS5" s="1"/>
        <tr r="AS155" s="1"/>
        <tr r="AS118" s="1"/>
      </tp>
      <tp t="e">
        <v>#N/A</v>
        <stp/>
        <stp>BDP|14010385941625184387</stp>
        <tr r="V68" s="1"/>
        <tr r="V31" s="1"/>
      </tp>
      <tp t="e">
        <v>#N/A</v>
        <stp/>
        <stp>BDP|12979192013922545564</stp>
        <tr r="AE13" s="1"/>
      </tp>
      <tp t="e">
        <v>#N/A</v>
        <stp/>
        <stp>BDP|14002417165632039143</stp>
        <tr r="AJ107" s="1"/>
        <tr r="AJ107" s="1"/>
      </tp>
      <tp t="e">
        <v>#N/A</v>
        <stp/>
        <stp>BDP|17068805690381873280</stp>
        <tr r="E13" s="1"/>
      </tp>
      <tp t="e">
        <v>#N/A</v>
        <stp/>
        <stp>BDP|18415854713250469465</stp>
        <tr r="AJ97" s="1"/>
        <tr r="AJ97" s="1"/>
        <tr r="AJ60" s="1"/>
        <tr r="AJ60" s="1"/>
        <tr r="AJ40" s="1"/>
        <tr r="AJ40" s="1"/>
        <tr r="AJ4" s="1"/>
        <tr r="AJ4" s="1"/>
        <tr r="AJ25" s="1"/>
        <tr r="AJ25" s="1"/>
        <tr r="AJ163" s="1"/>
        <tr r="AJ163" s="1"/>
        <tr r="AJ117" s="1"/>
        <tr r="AJ117" s="1"/>
        <tr r="AJ75" s="1"/>
        <tr r="AJ75" s="1"/>
      </tp>
      <tp t="e">
        <v>#N/A</v>
        <stp/>
        <stp>BDP|17656130231919006976</stp>
        <tr r="V145" s="1"/>
        <tr r="V136" s="1"/>
      </tp>
      <tp t="e">
        <v>#N/A</v>
        <stp/>
        <stp>BDP|14406219445957595063</stp>
        <tr r="H160" s="1"/>
        <tr r="H160" s="1"/>
      </tp>
      <tp t="e">
        <v>#N/A</v>
        <stp/>
        <stp>BDP|12326912947673019964</stp>
        <tr r="Z13" s="1"/>
      </tp>
      <tp t="e">
        <v>#N/A</v>
        <stp/>
        <stp>BDP|15165597306514504186</stp>
        <tr r="H88" s="1"/>
        <tr r="H88" s="1"/>
      </tp>
      <tp t="e">
        <v>#N/A</v>
        <stp/>
        <stp>BDP|14353749657863776043</stp>
        <tr r="AR103" s="3"/>
        <tr r="AR103" s="3"/>
      </tp>
      <tp t="e">
        <v>#N/A</v>
        <stp/>
        <stp>BDP|14498359462142535656</stp>
        <tr r="AM150" s="1"/>
        <tr r="AM150" s="1"/>
        <tr r="AM122" s="1"/>
        <tr r="AM122" s="1"/>
      </tp>
      <tp t="e">
        <v>#N/A</v>
        <stp/>
        <stp>BDP|15989186577001437705</stp>
        <tr r="K105" s="1"/>
      </tp>
      <tp t="e">
        <v>#N/A</v>
        <stp/>
        <stp>BDP|10727504526592579069</stp>
        <tr r="AD73" s="1"/>
        <tr r="AD168" s="1"/>
      </tp>
      <tp t="e">
        <v>#N/A</v>
        <stp/>
        <stp>BDP|16473960991575084618</stp>
        <tr r="AJ68" s="1"/>
        <tr r="AJ68" s="1"/>
        <tr r="AJ31" s="1"/>
        <tr r="AJ31" s="1"/>
      </tp>
      <tp t="e">
        <v>#N/A</v>
        <stp/>
        <stp>BDP|14169403654543092378</stp>
        <tr r="AJ9" s="1"/>
        <tr r="AJ9" s="1"/>
      </tp>
      <tp t="e">
        <v>#N/A</v>
        <stp/>
        <stp>BDP|11016806583176080218</stp>
        <tr r="AK103" s="3"/>
        <tr r="AK103" s="3"/>
        <tr r="AK103" s="3"/>
      </tp>
      <tp t="e">
        <v>#N/A</v>
        <stp/>
        <stp>BDP|18306655151136337862</stp>
        <tr r="AE150" s="1"/>
        <tr r="AE122" s="1"/>
      </tp>
      <tp t="e">
        <v>#N/A</v>
        <stp/>
        <stp>BDP|11651155532160007635</stp>
        <tr r="AO141" s="1"/>
        <tr r="AO131" s="1"/>
      </tp>
      <tp t="e">
        <v>#N/A</v>
        <stp/>
        <stp>BDP|14861594153199979890</stp>
        <tr r="E62" s="1"/>
        <tr r="E53" s="1"/>
        <tr r="E115" s="1"/>
        <tr r="E45" s="1"/>
      </tp>
      <tp t="e">
        <v>#N/A</v>
        <stp/>
        <stp>BDP|13583407374441012443</stp>
        <tr r="AU93" s="1"/>
        <tr r="AU93" s="1"/>
        <tr r="AU93" s="1"/>
      </tp>
      <tp t="e">
        <v>#N/A</v>
        <stp/>
        <stp>BDP|13431544134756875696</stp>
        <tr r="H94" s="1"/>
        <tr r="H94" s="1"/>
        <tr r="H151" s="1"/>
        <tr r="H151" s="1"/>
        <tr r="H123" s="1"/>
        <tr r="H123" s="1"/>
        <tr r="H101" s="1"/>
        <tr r="H101" s="1"/>
      </tp>
      <tp t="e">
        <v>#N/A</v>
        <stp/>
        <stp>BDP|16621022421003635263</stp>
        <tr r="N54" s="1"/>
      </tp>
      <tp t="e">
        <v>#N/A</v>
        <stp/>
        <stp>BDP|14856261938120051035</stp>
        <tr r="AA32" s="1"/>
      </tp>
      <tp t="e">
        <v>#N/A</v>
        <stp/>
        <stp>BDP|16392903182726015449</stp>
        <tr r="K126" s="1"/>
      </tp>
      <tp t="e">
        <v>#N/A</v>
        <stp/>
        <stp>BDP|15859623810647797093</stp>
        <tr r="AJ69" s="1"/>
        <tr r="AJ69" s="1"/>
        <tr r="AJ57" s="1"/>
        <tr r="AJ57" s="1"/>
      </tp>
      <tp t="e">
        <v>#N/A</v>
        <stp/>
        <stp>BDP|11577791568721912499</stp>
        <tr r="AS87" s="1"/>
        <tr r="L87" s="1"/>
        <tr r="L87" s="1"/>
      </tp>
      <tp t="e">
        <v>#N/A</v>
        <stp/>
        <stp>BDP|14719674066989673843</stp>
        <tr r="AT96" s="1"/>
        <tr r="AT77" s="1"/>
        <tr r="AT65" s="1"/>
        <tr r="AT36" s="1"/>
        <tr r="AT27" s="1"/>
        <tr r="AT162" s="1"/>
      </tp>
      <tp t="e">
        <v>#N/A</v>
        <stp/>
        <stp>BDP|12687294704467758283</stp>
        <tr r="AM85" s="1"/>
        <tr r="AM85" s="1"/>
      </tp>
      <tp t="e">
        <v>#N/A</v>
        <stp/>
        <stp>BDP|16660115986639799321</stp>
        <tr r="AO35" s="1"/>
        <tr r="AO24" s="1"/>
        <tr r="AO153" s="1"/>
      </tp>
      <tp t="e">
        <v>#N/A</v>
        <stp/>
        <stp>BDP|17161808181592685020</stp>
        <tr r="H143" s="1"/>
        <tr r="H143" s="1"/>
        <tr r="H127" s="1"/>
        <tr r="H127" s="1"/>
      </tp>
      <tp t="e">
        <v>#N/A</v>
        <stp/>
        <stp>BDP|13201910840489083278</stp>
        <tr r="Q103" s="3"/>
      </tp>
      <tp t="e">
        <v>#N/A</v>
        <stp/>
        <stp>BDP|13211411421424052458</stp>
        <tr r="M88" s="1"/>
        <tr r="M88" s="1"/>
      </tp>
      <tp t="e">
        <v>#N/A</v>
        <stp/>
        <stp>BDP|10454674699882499899</stp>
        <tr r="N145" s="1"/>
        <tr r="N136" s="1"/>
      </tp>
      <tp t="e">
        <v>#N/A</v>
        <stp/>
        <stp>BDP|17577777836954437276</stp>
        <tr r="Q83" s="1"/>
        <tr r="Q50" s="1"/>
      </tp>
      <tp t="e">
        <v>#N/A</v>
        <stp/>
        <stp>BDP|13860141028466358304</stp>
        <tr r="Y6" s="1"/>
      </tp>
      <tp t="e">
        <v>#N/A</v>
        <stp/>
        <stp>BDP|16068314611469630813</stp>
        <tr r="AE159" s="1"/>
        <tr r="AE70" s="1"/>
        <tr r="AE84" s="1"/>
        <tr r="AE116" s="1"/>
      </tp>
      <tp t="e">
        <v>#N/A</v>
        <stp/>
        <stp>BDP|17708588428836608365</stp>
        <tr r="BC114" s="3"/>
        <tr r="BC113" s="3"/>
        <tr r="BC112" s="3"/>
      </tp>
      <tp t="e">
        <v>#N/A</v>
        <stp/>
        <stp>BDP|14037542707391182540</stp>
        <tr r="BC99" s="3"/>
        <tr r="BC98" s="3"/>
        <tr r="BC97" s="3"/>
      </tp>
      <tp t="e">
        <v>#N/A</v>
        <stp/>
        <stp>BDP|11251774863154499147</stp>
        <tr r="K12" s="1"/>
      </tp>
      <tp t="e">
        <v>#N/A</v>
        <stp/>
        <stp>BDP|13038573147485037264</stp>
        <tr r="Z8" s="1"/>
        <tr r="Z106" s="1"/>
      </tp>
      <tp t="e">
        <v>#N/A</v>
        <stp/>
        <stp>BDP|14137201611811554338</stp>
        <tr r="H15" s="1"/>
        <tr r="H15" s="1"/>
        <tr r="H109" s="1"/>
        <tr r="H109" s="1"/>
      </tp>
    </main>
    <main first="bloomberg.rtd">
      <tp>
        <v>75805.470996967997</v>
        <stp/>
        <stp>##V3_BDPV12</stp>
        <stp>BP/ LN Equity</stp>
        <stp>CRNCY_ADJ_MKT_CAP</stp>
        <stp>[DPM - Securities Master List (BBG Linked).xlsx]Equities!R78C9</stp>
        <stp>EQY_FUND_CRNCY=USD</stp>
        <tr r="I78" s="2"/>
      </tp>
      <tp>
        <v>75805.470996967997</v>
        <stp/>
        <stp>##V3_BDPV12</stp>
        <stp>BP/ LN Equity</stp>
        <stp>CRNCY_ADJ_MKT_CAP</stp>
        <stp>[DPM - Securities Master List (BBG Linked).xlsx]Equities!R79C9</stp>
        <stp>EQY_FUND_CRNCY=USD</stp>
        <tr r="I79" s="2"/>
      </tp>
      <tp>
        <v>75805.470996967997</v>
        <stp/>
        <stp>##V3_BDPV12</stp>
        <stp>BP/ LN Equity</stp>
        <stp>CRNCY_ADJ_MKT_CAP</stp>
        <stp>[DPM - Securities Master List (BBG Linked).xlsx]Equities!R77C9</stp>
        <stp>EQY_FUND_CRNCY=USD</stp>
        <tr r="I77" s="2"/>
      </tp>
      <tp t="s">
        <v>GBp</v>
        <stp/>
        <stp>##V3_BDPV12</stp>
        <stp>TSCO LN Equity</stp>
        <stp>CRNCY</stp>
        <stp>[DPM - Securities Master List (BBG Linked).xlsx]Equities!R275C6</stp>
        <tr r="F275" s="2"/>
      </tp>
      <tp t="s">
        <v>GBp</v>
        <stp/>
        <stp>##V3_BDPV12</stp>
        <stp>TSCO LN Equity</stp>
        <stp>CRNCY</stp>
        <stp>[DPM - Securities Master List (BBG Linked).xlsx]Equities!R265C6</stp>
        <tr r="F265" s="2"/>
      </tp>
      <tp t="s">
        <v>Microsoft Corp</v>
        <stp/>
        <stp>##V3_BDPV12</stp>
        <stp>MSFT US Equity</stp>
        <stp>SECURITY NAME</stp>
        <stp>[DPM - Securities Master List (BBG Linked).xlsx]Equities!R174C5</stp>
        <tr r="E174" s="2"/>
      </tp>
      <tp t="s">
        <v>Microsoft Corp</v>
        <stp/>
        <stp>##V3_BDPV12</stp>
        <stp>MSFT US Equity</stp>
        <stp>SECURITY NAME</stp>
        <stp>[DPM - Securities Master List (BBG Linked).xlsx]Equities!R184C5</stp>
        <tr r="E184" s="2"/>
      </tp>
    </main>
    <main first="bloomberg.rtd">
      <tp t="s">
        <v>#N/A N/A</v>
        <stp/>
        <stp>##V3_BDPV12</stp>
        <stp>DELL US Equity</stp>
        <stp>DY784</stp>
        <stp>[DPM - Securities Master List (BBG Linked).xlsx]Equities!R92C48</stp>
        <tr r="AV92" s="2"/>
        <tr r="AV92" s="2"/>
      </tp>
      <tp t="s">
        <v>#N/A N/A</v>
        <stp/>
        <stp>##V3_BDPV12</stp>
        <stp>DELL US Equity</stp>
        <stp>DY784</stp>
        <stp>[DPM - Securities Master List (BBG Linked).xlsx]Equities!R93C48</stp>
        <tr r="AV93" s="2"/>
        <tr r="AV93" s="2"/>
      </tp>
      <tp t="s">
        <v>#N/A N/A</v>
        <stp/>
        <stp>##V3_BDPV12</stp>
        <stp>DELL US Equity</stp>
        <stp>DY784</stp>
        <stp>[DPM - Securities Master List (BBG Linked).xlsx]Equities!R94C48</stp>
        <tr r="AV94" s="2"/>
        <tr r="AV94" s="2"/>
      </tp>
      <tp t="s">
        <v>#N/A N/A</v>
        <stp/>
        <stp>##V3_BDPV12</stp>
        <stp>DELL US Equity</stp>
        <stp>DY784</stp>
        <stp>[DPM - Securities Master List (BBG Linked).xlsx]Equities!R95C48</stp>
        <tr r="AV95" s="2"/>
        <tr r="AV95" s="2"/>
      </tp>
      <tp t="s">
        <v>#N/A N/A</v>
        <stp/>
        <stp>##V3_BDPV12</stp>
        <stp>DELL US Equity</stp>
        <stp>DY784</stp>
        <stp>[DPM - Securities Master List (BBG Linked).xlsx]Equities!R96C48</stp>
        <tr r="AV96" s="2"/>
        <tr r="AV96" s="2"/>
      </tp>
      <tp t="s">
        <v>#N/A N/A</v>
        <stp/>
        <stp>##V3_BDPV12</stp>
        <stp>DELL US Equity</stp>
        <stp>DY784</stp>
        <stp>[DPM - Securities Master List (BBG Linked).xlsx]Equities!R97C48</stp>
        <tr r="AV97" s="2"/>
        <tr r="AV97" s="2"/>
      </tp>
      <tp t="s">
        <v>#N/A N/A</v>
        <stp/>
        <stp>##V3_BDPV12</stp>
        <stp>DELL US Equity</stp>
        <stp>DY784</stp>
        <stp>[DPM - Securities Master List (BBG Linked).xlsx]Equities!R98C48</stp>
        <tr r="AV98" s="2"/>
        <tr r="AV98" s="2"/>
      </tp>
      <tp t="s">
        <v>#N/A N/A</v>
        <stp/>
        <stp>##V3_BDPV12</stp>
        <stp>DELL US Equity</stp>
        <stp>DY784</stp>
        <stp>[DPM - Securities Master List (BBG Linked).xlsx]Equities!R99C48</stp>
        <tr r="AV99" s="2"/>
        <tr r="AV99" s="2"/>
      </tp>
      <tp t="s">
        <v>Samsung Electronics Co Ltd</v>
        <stp/>
        <stp>##V3_BDPV12</stp>
        <stp>SMSN.LI Equity</stp>
        <stp>SECURITY NAME</stp>
        <stp>[DPM - Securities Master List (BBG Linked).xlsx]Equities!R243C5</stp>
        <tr r="E243" s="2"/>
      </tp>
      <tp>
        <v>33883.245863671684</v>
        <stp/>
        <stp>##V3_BDPV12</stp>
        <stp>TSCO LN Equity</stp>
        <stp>CRNCY_ADJ_MKT_CAP</stp>
        <stp>[DPM - Securities Master List (BBG Linked).xlsx]Equities!R266C9</stp>
        <stp>EQY_FUND_CRNCY=USD</stp>
        <tr r="I266" s="2"/>
      </tp>
      <tp>
        <v>33883.245863671684</v>
        <stp/>
        <stp>##V3_BDPV12</stp>
        <stp>TSCO LN Equity</stp>
        <stp>CRNCY_ADJ_MKT_CAP</stp>
        <stp>[DPM - Securities Master List (BBG Linked).xlsx]Equities!R267C9</stp>
        <stp>EQY_FUND_CRNCY=USD</stp>
        <tr r="I267" s="2"/>
      </tp>
      <tp>
        <v>33883.245863671684</v>
        <stp/>
        <stp>##V3_BDPV12</stp>
        <stp>TSCO LN Equity</stp>
        <stp>CRNCY_ADJ_MKT_CAP</stp>
        <stp>[DPM - Securities Master List (BBG Linked).xlsx]Equities!R264C9</stp>
        <stp>EQY_FUND_CRNCY=USD</stp>
        <tr r="I264" s="2"/>
      </tp>
      <tp>
        <v>64190.43373585798</v>
        <stp/>
        <stp>##V3_BDPV12</stp>
        <stp>DGE LN Equity</stp>
        <stp>CRNCY_ADJ_MKT_CAP</stp>
        <stp>[DPM - Securities Master List (BBG Linked).xlsx]Equities!R111C9</stp>
        <stp>EQY_FUND_CRNCY=USD</stp>
        <tr r="I111" s="2"/>
      </tp>
      <tp>
        <v>33883.245863671684</v>
        <stp/>
        <stp>##V3_BDPV12</stp>
        <stp>TSCO LN Equity</stp>
        <stp>CRNCY_ADJ_MKT_CAP</stp>
        <stp>[DPM - Securities Master List (BBG Linked).xlsx]Equities!R265C9</stp>
        <stp>EQY_FUND_CRNCY=USD</stp>
        <tr r="I265" s="2"/>
      </tp>
      <tp>
        <v>64190.43373585798</v>
        <stp/>
        <stp>##V3_BDPV12</stp>
        <stp>DGE LN Equity</stp>
        <stp>CRNCY_ADJ_MKT_CAP</stp>
        <stp>[DPM - Securities Master List (BBG Linked).xlsx]Equities!R110C9</stp>
        <stp>EQY_FUND_CRNCY=USD</stp>
        <tr r="I110" s="2"/>
      </tp>
      <tp>
        <v>33883.245863671684</v>
        <stp/>
        <stp>##V3_BDPV12</stp>
        <stp>TSCO LN Equity</stp>
        <stp>CRNCY_ADJ_MKT_CAP</stp>
        <stp>[DPM - Securities Master List (BBG Linked).xlsx]Equities!R262C9</stp>
        <stp>EQY_FUND_CRNCY=USD</stp>
        <tr r="I262" s="2"/>
      </tp>
      <tp>
        <v>2939.3196205402137</v>
        <stp/>
        <stp>##V3_BDPV12</stp>
        <stp>DRX LN Equity</stp>
        <stp>CRNCY_ADJ_MKT_CAP</stp>
        <stp>[DPM - Securities Master List (BBG Linked).xlsx]Equities!R117C9</stp>
        <stp>EQY_FUND_CRNCY=USD</stp>
        <tr r="I117" s="2"/>
      </tp>
      <tp>
        <v>33883.245863671684</v>
        <stp/>
        <stp>##V3_BDPV12</stp>
        <stp>TSCO LN Equity</stp>
        <stp>CRNCY_ADJ_MKT_CAP</stp>
        <stp>[DPM - Securities Master List (BBG Linked).xlsx]Equities!R263C9</stp>
        <stp>EQY_FUND_CRNCY=USD</stp>
        <tr r="I263" s="2"/>
      </tp>
      <tp>
        <v>2939.3196205402137</v>
        <stp/>
        <stp>##V3_BDPV12</stp>
        <stp>DRX LN Equity</stp>
        <stp>CRNCY_ADJ_MKT_CAP</stp>
        <stp>[DPM - Securities Master List (BBG Linked).xlsx]Equities!R116C9</stp>
        <stp>EQY_FUND_CRNCY=USD</stp>
        <tr r="I116" s="2"/>
      </tp>
      <tp t="s">
        <v>Y</v>
        <stp/>
        <stp>##V3_BDPV12</stp>
        <stp>REGN Equity</stp>
        <stp>DY997</stp>
        <stp>[DPM - Securities Master List (BBG Linked).xlsx]Equities!R240C47</stp>
        <tr r="AU240" s="2"/>
        <tr r="AU240" s="2"/>
        <tr r="AU240" s="2"/>
      </tp>
      <tp>
        <v>2939.3196205402137</v>
        <stp/>
        <stp>##V3_BDPV12</stp>
        <stp>DRX LN Equity</stp>
        <stp>CRNCY_ADJ_MKT_CAP</stp>
        <stp>[DPM - Securities Master List (BBG Linked).xlsx]Equities!R119C9</stp>
        <stp>EQY_FUND_CRNCY=USD</stp>
        <tr r="I119" s="2"/>
      </tp>
      <tp>
        <v>2939.3196205402137</v>
        <stp/>
        <stp>##V3_BDPV12</stp>
        <stp>DRX LN Equity</stp>
        <stp>CRNCY_ADJ_MKT_CAP</stp>
        <stp>[DPM - Securities Master List (BBG Linked).xlsx]Equities!R118C9</stp>
        <stp>EQY_FUND_CRNCY=USD</stp>
        <tr r="I118" s="2"/>
      </tp>
      <tp>
        <v>33883.245863671684</v>
        <stp/>
        <stp>##V3_BDPV12</stp>
        <stp>TSCO LN Equity</stp>
        <stp>CRNCY_ADJ_MKT_CAP</stp>
        <stp>[DPM - Securities Master List (BBG Linked).xlsx]Equities!R268C9</stp>
        <stp>EQY_FUND_CRNCY=USD</stp>
        <tr r="I268" s="2"/>
      </tp>
      <tp>
        <v>33883.245863671684</v>
        <stp/>
        <stp>##V3_BDPV12</stp>
        <stp>TSCO LN Equity</stp>
        <stp>CRNCY_ADJ_MKT_CAP</stp>
        <stp>[DPM - Securities Master List (BBG Linked).xlsx]Equities!R269C9</stp>
        <stp>EQY_FUND_CRNCY=USD</stp>
        <tr r="I269" s="2"/>
      </tp>
      <tp>
        <v>84928.492621979996</v>
        <stp/>
        <stp>##V3_BDPV12</stp>
        <stp>NKE US Equity</stp>
        <stp>CRNCY_ADJ_MKT_CAP</stp>
        <stp>[DPM - Securities Master List (BBG Linked).xlsx]Equities!R210C9</stp>
        <stp>EQY_FUND_CRNCY=USD</stp>
        <tr r="I210" s="2"/>
      </tp>
      <tp>
        <v>84928.492621979996</v>
        <stp/>
        <stp>##V3_BDPV12</stp>
        <stp>NKE US Equity</stp>
        <stp>CRNCY_ADJ_MKT_CAP</stp>
        <stp>[DPM - Securities Master List (BBG Linked).xlsx]Equities!R211C9</stp>
        <stp>EQY_FUND_CRNCY=USD</stp>
        <tr r="I211" s="2"/>
      </tp>
      <tp>
        <v>84928.492621979996</v>
        <stp/>
        <stp>##V3_BDPV12</stp>
        <stp>NKE US Equity</stp>
        <stp>CRNCY_ADJ_MKT_CAP</stp>
        <stp>[DPM - Securities Master List (BBG Linked).xlsx]Equities!R212C9</stp>
        <stp>EQY_FUND_CRNCY=USD</stp>
        <tr r="I212" s="2"/>
      </tp>
      <tp>
        <v>84928.492621979996</v>
        <stp/>
        <stp>##V3_BDPV12</stp>
        <stp>NKE US Equity</stp>
        <stp>CRNCY_ADJ_MKT_CAP</stp>
        <stp>[DPM - Securities Master List (BBG Linked).xlsx]Equities!R213C9</stp>
        <stp>EQY_FUND_CRNCY=USD</stp>
        <tr r="I213" s="2"/>
      </tp>
      <tp>
        <v>84928.492621979996</v>
        <stp/>
        <stp>##V3_BDPV12</stp>
        <stp>NKE US Equity</stp>
        <stp>CRNCY_ADJ_MKT_CAP</stp>
        <stp>[DPM - Securities Master List (BBG Linked).xlsx]Equities!R214C9</stp>
        <stp>EQY_FUND_CRNCY=USD</stp>
        <tr r="I214" s="2"/>
      </tp>
      <tp>
        <v>84928.492621979996</v>
        <stp/>
        <stp>##V3_BDPV12</stp>
        <stp>NKE US Equity</stp>
        <stp>CRNCY_ADJ_MKT_CAP</stp>
        <stp>[DPM - Securities Master List (BBG Linked).xlsx]Equities!R215C9</stp>
        <stp>EQY_FUND_CRNCY=USD</stp>
        <tr r="I215" s="2"/>
      </tp>
      <tp>
        <v>84928.492621979996</v>
        <stp/>
        <stp>##V3_BDPV12</stp>
        <stp>NKE US Equity</stp>
        <stp>CRNCY_ADJ_MKT_CAP</stp>
        <stp>[DPM - Securities Master List (BBG Linked).xlsx]Equities!R216C9</stp>
        <stp>EQY_FUND_CRNCY=USD</stp>
        <tr r="I216" s="2"/>
      </tp>
      <tp>
        <v>84928.492621979996</v>
        <stp/>
        <stp>##V3_BDPV12</stp>
        <stp>NKE US Equity</stp>
        <stp>CRNCY_ADJ_MKT_CAP</stp>
        <stp>[DPM - Securities Master List (BBG Linked).xlsx]Equities!R217C9</stp>
        <stp>EQY_FUND_CRNCY=USD</stp>
        <tr r="I217" s="2"/>
      </tp>
      <tp>
        <v>166822.75646219999</v>
        <stp/>
        <stp>##V3_BDPV12</stp>
        <stp>DIS US Equity</stp>
        <stp>CRNCY_ADJ_MKT_CAP</stp>
        <stp>[DPM - Securities Master List (BBG Linked).xlsx]Equities!R112C9</stp>
        <stp>EQY_FUND_CRNCY=USD</stp>
        <tr r="I112" s="2"/>
      </tp>
      <tp>
        <v>84928.492621979996</v>
        <stp/>
        <stp>##V3_BDPV12</stp>
        <stp>NKE US Equity</stp>
        <stp>CRNCY_ADJ_MKT_CAP</stp>
        <stp>[DPM - Securities Master List (BBG Linked).xlsx]Equities!R218C9</stp>
        <stp>EQY_FUND_CRNCY=USD</stp>
        <tr r="I218" s="2"/>
      </tp>
      <tp>
        <v>166822.75646219999</v>
        <stp/>
        <stp>##V3_BDPV12</stp>
        <stp>DIS US Equity</stp>
        <stp>CRNCY_ADJ_MKT_CAP</stp>
        <stp>[DPM - Securities Master List (BBG Linked).xlsx]Equities!R113C9</stp>
        <stp>EQY_FUND_CRNCY=USD</stp>
        <tr r="I113" s="2"/>
      </tp>
      <tp>
        <v>84928.492621979996</v>
        <stp/>
        <stp>##V3_BDPV12</stp>
        <stp>NKE US Equity</stp>
        <stp>CRNCY_ADJ_MKT_CAP</stp>
        <stp>[DPM - Securities Master List (BBG Linked).xlsx]Equities!R219C9</stp>
        <stp>EQY_FUND_CRNCY=USD</stp>
        <tr r="I219" s="2"/>
      </tp>
      <tp>
        <v>166822.75646219999</v>
        <stp/>
        <stp>##V3_BDPV12</stp>
        <stp>DIS US Equity</stp>
        <stp>CRNCY_ADJ_MKT_CAP</stp>
        <stp>[DPM - Securities Master List (BBG Linked).xlsx]Equities!R114C9</stp>
        <stp>EQY_FUND_CRNCY=USD</stp>
        <tr r="I114" s="2"/>
      </tp>
      <tp>
        <v>166822.75646219999</v>
        <stp/>
        <stp>##V3_BDPV12</stp>
        <stp>DIS US Equity</stp>
        <stp>CRNCY_ADJ_MKT_CAP</stp>
        <stp>[DPM - Securities Master List (BBG Linked).xlsx]Equities!R115C9</stp>
        <stp>EQY_FUND_CRNCY=USD</stp>
        <tr r="I115" s="2"/>
      </tp>
      <tp t="s">
        <v>USD</v>
        <stp/>
        <stp>##V3_BDPV12</stp>
        <stp>ZBH US Equity</stp>
        <stp>CRNCY</stp>
        <stp>[DPM - Securities Master List (BBG Linked).xlsx]Equities!R297C6</stp>
        <tr r="F297" s="2"/>
      </tp>
      <tp t="s">
        <v>GBp</v>
        <stp/>
        <stp>##V3_BDPV12</stp>
        <stp>GSK LN Equity</stp>
        <stp>CRNCY</stp>
        <stp>[DPM - Securities Master List (BBG Linked).xlsx]Equities!R143C6</stp>
        <tr r="F143" s="2"/>
      </tp>
      <tp t="s">
        <v>GBp</v>
        <stp/>
        <stp>##V3_BDPV12</stp>
        <stp>DRX LN Equity</stp>
        <stp>CRNCY</stp>
        <stp>[DPM - Securities Master List (BBG Linked).xlsx]Equities!R120C6</stp>
        <tr r="F120" s="2"/>
      </tp>
      <tp t="s">
        <v>Materials</v>
        <stp/>
        <stp>##V3_BDPV12</stp>
        <stp>DD US Equity</stp>
        <stp>DX202</stp>
        <stp>[DPM - Securities Master List (BBG Linked).xlsx]Equities!R91C46</stp>
        <tr r="AT91" s="2"/>
        <tr r="AT91" s="2"/>
        <tr r="AT91" s="2"/>
      </tp>
      <tp>
        <v>4.5999999046325684</v>
        <stp/>
        <stp>##V3_BDPV12</stp>
        <stp>DD US Equity</stp>
        <stp>EE201</stp>
        <stp>[DPM - Securities Master List (BBG Linked).xlsx]Equities!R91C37</stp>
        <tr r="AK91" s="2"/>
        <tr r="AK91" s="2"/>
        <tr r="AK91" s="2"/>
      </tp>
      <tp t="s">
        <v>Merck &amp; Co Inc</v>
        <stp/>
        <stp>##V3_BDPV12</stp>
        <stp>MRK US Equity</stp>
        <stp>SECURITY NAME</stp>
        <stp>[DPM - Securities Master List (BBG Linked).xlsx]Equities!R158C5</stp>
        <tr r="E158" s="2"/>
      </tp>
      <tp t="s">
        <v>Merck &amp; Co Inc</v>
        <stp/>
        <stp>##V3_BDPV12</stp>
        <stp>MRK US Equity</stp>
        <stp>SECURITY NAME</stp>
        <stp>[DPM - Securities Master List (BBG Linked).xlsx]Equities!R168C5</stp>
        <tr r="E168" s="2"/>
      </tp>
      <tp t="s">
        <v>GBp</v>
        <stp/>
        <stp>##V3_BDPV12</stp>
        <stp>DGE LN Equity</stp>
        <stp>CRNCY</stp>
        <stp>[DPM - Securities Master List (BBG Linked).xlsx]Equities!R110C6</stp>
        <tr r="F110" s="2"/>
      </tp>
      <tp t="s">
        <v>TotalEnergies SE</v>
        <stp/>
        <stp>##V3_BDPV12</stp>
        <stp>TTE FP Equity</stp>
        <stp>SECURITY NAME</stp>
        <stp>[DPM - Securities Master List (BBG Linked).xlsx]Equities!R282C5</stp>
        <tr r="E282" s="2"/>
      </tp>
      <tp>
        <v>-5.3779380000000003</v>
        <stp/>
        <stp>##V3_BDPV12</stp>
        <stp>RIO LN Equity</stp>
        <stp>PR079</stp>
        <stp>[DPM - Securities Master List (BBG Linked).xlsx]Equities!R242C43</stp>
        <tr r="AQ242" s="2"/>
      </tp>
      <tp>
        <v>17.949678969620333</v>
        <stp/>
        <stp>##V3_BDPV12</stp>
        <stp>TTE FP Equity</stp>
        <stp>RR041</stp>
        <stp>[DPM - Securities Master List (BBG Linked).xlsx]Equities!R276C33</stp>
        <tr r="AG276" s="2"/>
        <tr r="AG276" s="2"/>
        <tr r="AG276" s="2"/>
      </tp>
      <tp>
        <v>17.949678969620333</v>
        <stp/>
        <stp>##V3_BDPV12</stp>
        <stp>TTE FP Equity</stp>
        <stp>RR041</stp>
        <stp>[DPM - Securities Master List (BBG Linked).xlsx]Equities!R277C33</stp>
        <tr r="AG277" s="2"/>
        <tr r="AG277" s="2"/>
        <tr r="AG277" s="2"/>
      </tp>
      <tp>
        <v>17.949678969620333</v>
        <stp/>
        <stp>##V3_BDPV12</stp>
        <stp>TTE FP Equity</stp>
        <stp>RR041</stp>
        <stp>[DPM - Securities Master List (BBG Linked).xlsx]Equities!R278C33</stp>
        <tr r="AG278" s="2"/>
        <tr r="AG278" s="2"/>
        <tr r="AG278" s="2"/>
      </tp>
      <tp>
        <v>17.949678969620333</v>
        <stp/>
        <stp>##V3_BDPV12</stp>
        <stp>TTE FP Equity</stp>
        <stp>RR041</stp>
        <stp>[DPM - Securities Master List (BBG Linked).xlsx]Equities!R279C33</stp>
        <tr r="AG279" s="2"/>
        <tr r="AG279" s="2"/>
        <tr r="AG279" s="2"/>
      </tp>
      <tp>
        <v>17.949678969620333</v>
        <stp/>
        <stp>##V3_BDPV12</stp>
        <stp>TTE FP Equity</stp>
        <stp>RR041</stp>
        <stp>[DPM - Securities Master List (BBG Linked).xlsx]Equities!R284C33</stp>
        <tr r="AG284" s="2"/>
        <tr r="AG284" s="2"/>
        <tr r="AG284" s="2"/>
      </tp>
      <tp>
        <v>17.949678969620333</v>
        <stp/>
        <stp>##V3_BDPV12</stp>
        <stp>TTE FP Equity</stp>
        <stp>RR041</stp>
        <stp>[DPM - Securities Master List (BBG Linked).xlsx]Equities!R285C33</stp>
        <tr r="AG285" s="2"/>
        <tr r="AG285" s="2"/>
        <tr r="AG285" s="2"/>
      </tp>
      <tp>
        <v>17.949678969620333</v>
        <stp/>
        <stp>##V3_BDPV12</stp>
        <stp>TTE FP Equity</stp>
        <stp>RR041</stp>
        <stp>[DPM - Securities Master List (BBG Linked).xlsx]Equities!R286C33</stp>
        <tr r="AG286" s="2"/>
        <tr r="AG286" s="2"/>
        <tr r="AG286" s="2"/>
      </tp>
      <tp>
        <v>17.949678969620333</v>
        <stp/>
        <stp>##V3_BDPV12</stp>
        <stp>TTE FP Equity</stp>
        <stp>RR041</stp>
        <stp>[DPM - Securities Master List (BBG Linked).xlsx]Equities!R287C33</stp>
        <tr r="AG287" s="2"/>
        <tr r="AG287" s="2"/>
        <tr r="AG287" s="2"/>
      </tp>
      <tp>
        <v>17.949678969620333</v>
        <stp/>
        <stp>##V3_BDPV12</stp>
        <stp>TTE FP Equity</stp>
        <stp>RR041</stp>
        <stp>[DPM - Securities Master List (BBG Linked).xlsx]Equities!R280C33</stp>
        <tr r="AG280" s="2"/>
        <tr r="AG280" s="2"/>
        <tr r="AG280" s="2"/>
      </tp>
      <tp>
        <v>17.949678969620333</v>
        <stp/>
        <stp>##V3_BDPV12</stp>
        <stp>TTE FP Equity</stp>
        <stp>RR041</stp>
        <stp>[DPM - Securities Master List (BBG Linked).xlsx]Equities!R281C33</stp>
        <tr r="AG281" s="2"/>
        <tr r="AG281" s="2"/>
        <tr r="AG281" s="2"/>
      </tp>
      <tp>
        <v>17.949678969620333</v>
        <stp/>
        <stp>##V3_BDPV12</stp>
        <stp>TTE FP Equity</stp>
        <stp>RR041</stp>
        <stp>[DPM - Securities Master List (BBG Linked).xlsx]Equities!R282C33</stp>
        <tr r="AG282" s="2"/>
        <tr r="AG282" s="2"/>
        <tr r="AG282" s="2"/>
      </tp>
      <tp>
        <v>17.949678969620333</v>
        <stp/>
        <stp>##V3_BDPV12</stp>
        <stp>TTE FP Equity</stp>
        <stp>RR041</stp>
        <stp>[DPM - Securities Master List (BBG Linked).xlsx]Equities!R283C33</stp>
        <tr r="AG283" s="2"/>
        <tr r="AG283" s="2"/>
        <tr r="AG283" s="2"/>
      </tp>
      <tp>
        <v>17.949678969620333</v>
        <stp/>
        <stp>##V3_BDPV12</stp>
        <stp>TTE FP Equity</stp>
        <stp>RR041</stp>
        <stp>[DPM - Securities Master List (BBG Linked).xlsx]Equities!R288C33</stp>
        <tr r="AG288" s="2"/>
        <tr r="AG288" s="2"/>
        <tr r="AG288" s="2"/>
      </tp>
      <tp t="s">
        <v>#N/A Field Not Applicable</v>
        <stp/>
        <stp>##V3_BDPV12</stp>
        <stp>NVO US Equity</stp>
        <stp>RR957</stp>
        <stp>[DPM - Securities Master List (BBG Linked).xlsx]Equities!R225C14</stp>
        <tr r="N225" s="2"/>
        <tr r="N225" s="2"/>
      </tp>
      <tp t="s">
        <v>N</v>
        <stp/>
        <stp>##V3_BDPV12</stp>
        <stp>DGE LN Equity</stp>
        <stp>DY997</stp>
        <stp>[DPM - Securities Master List (BBG Linked).xlsx]Equities!R111C47</stp>
        <tr r="AU111" s="2"/>
        <tr r="AU111" s="2"/>
        <tr r="AU111" s="2"/>
      </tp>
      <tp t="s">
        <v>N</v>
        <stp/>
        <stp>##V3_BDPV12</stp>
        <stp>DGE LN Equity</stp>
        <stp>DY997</stp>
        <stp>[DPM - Securities Master List (BBG Linked).xlsx]Equities!R110C47</stp>
        <tr r="AU110" s="2"/>
        <tr r="AU110" s="2"/>
        <tr r="AU110" s="2"/>
      </tp>
      <tp t="s">
        <v>N</v>
        <stp/>
        <stp>##V3_BDPV12</stp>
        <stp>DGE LN Equity</stp>
        <stp>DY997</stp>
        <stp>[DPM - Securities Master List (BBG Linked).xlsx]Equities!R109C47</stp>
        <tr r="AU109" s="2"/>
        <tr r="AU109" s="2"/>
        <tr r="AU109" s="2"/>
      </tp>
      <tp t="s">
        <v>N</v>
        <stp/>
        <stp>##V3_BDPV12</stp>
        <stp>DGE LN Equity</stp>
        <stp>DY997</stp>
        <stp>[DPM - Securities Master List (BBG Linked).xlsx]Equities!R108C47</stp>
        <tr r="AU108" s="2"/>
        <tr r="AU108" s="2"/>
        <tr r="AU108" s="2"/>
      </tp>
      <tp>
        <v>1</v>
        <stp/>
        <stp>##V3_BDPV12</stp>
        <stp>ON US Equity</stp>
        <stp>TOT_SELL_REC</stp>
        <stp>[DPM - Securities Master List (BBG Linked).xlsx]Equities!R226C36</stp>
        <tr r="AJ226" s="2"/>
      </tp>
      <tp>
        <v>15.90645</v>
        <stp/>
        <stp>##V3_BDPV12</stp>
        <stp>LUV US Equity</stp>
        <stp>PR061</stp>
        <stp>[DPM - Securities Master List (BBG Linked).xlsx]Equities!R154C40</stp>
        <tr r="AN154" s="2"/>
      </tp>
      <tp>
        <v>-3.554198</v>
        <stp/>
        <stp>##V3_BDPV12</stp>
        <stp>LUV US Equity</stp>
        <stp>PR064</stp>
        <stp>[DPM - Securities Master List (BBG Linked).xlsx]Equities!R154C41</stp>
        <tr r="AO154" s="2"/>
      </tp>
      <tp t="s">
        <v>Consumer Discretionary</v>
        <stp/>
        <stp>##V3_BDPV12</stp>
        <stp>3690 HK Equity</stp>
        <stp>DX202</stp>
        <stp>[DPM - Securities Master List (BBG Linked).xlsx]Equities!R9C8</stp>
        <tr r="H9" s="2"/>
        <tr r="H9" s="2"/>
        <tr r="H9" s="2"/>
      </tp>
      <tp>
        <v>14</v>
        <stp/>
        <stp>##V3_BDPV12</stp>
        <stp>ON US Equity</stp>
        <stp>TOT_HOLD_REC</stp>
        <stp>[DPM - Securities Master List (BBG Linked).xlsx]Equities!R226C35</stp>
        <tr r="AI226" s="2"/>
      </tp>
      <tp>
        <v>4.015865158077272</v>
        <stp/>
        <stp>##V3_BDPV12</stp>
        <stp>MRK US Equity</stp>
        <stp>DV013</stp>
        <stp>[DPM - Securities Master List (BBG Linked).xlsx]Equities!R168C10</stp>
        <tr r="J168" s="2"/>
      </tp>
      <tp>
        <v>4.015865158077272</v>
        <stp/>
        <stp>##V3_BDPV12</stp>
        <stp>MRK US Equity</stp>
        <stp>DV013</stp>
        <stp>[DPM - Securities Master List (BBG Linked).xlsx]Equities!R169C10</stp>
        <tr r="J169" s="2"/>
      </tp>
      <tp>
        <v>4.015865158077272</v>
        <stp/>
        <stp>##V3_BDPV12</stp>
        <stp>MRK US Equity</stp>
        <stp>DV013</stp>
        <stp>[DPM - Securities Master List (BBG Linked).xlsx]Equities!R166C10</stp>
        <tr r="J166" s="2"/>
      </tp>
      <tp>
        <v>4.015865158077272</v>
        <stp/>
        <stp>##V3_BDPV12</stp>
        <stp>MRK US Equity</stp>
        <stp>DV013</stp>
        <stp>[DPM - Securities Master List (BBG Linked).xlsx]Equities!R167C10</stp>
        <tr r="J167" s="2"/>
      </tp>
      <tp>
        <v>4.015865158077272</v>
        <stp/>
        <stp>##V3_BDPV12</stp>
        <stp>MRK US Equity</stp>
        <stp>DV013</stp>
        <stp>[DPM - Securities Master List (BBG Linked).xlsx]Equities!R164C10</stp>
        <tr r="J164" s="2"/>
      </tp>
      <tp>
        <v>4.015865158077272</v>
        <stp/>
        <stp>##V3_BDPV12</stp>
        <stp>MRK US Equity</stp>
        <stp>DV013</stp>
        <stp>[DPM - Securities Master List (BBG Linked).xlsx]Equities!R165C10</stp>
        <tr r="J165" s="2"/>
      </tp>
      <tp>
        <v>4.015865158077272</v>
        <stp/>
        <stp>##V3_BDPV12</stp>
        <stp>MRK US Equity</stp>
        <stp>DV013</stp>
        <stp>[DPM - Securities Master List (BBG Linked).xlsx]Equities!R162C10</stp>
        <tr r="J162" s="2"/>
      </tp>
      <tp>
        <v>4.015865158077272</v>
        <stp/>
        <stp>##V3_BDPV12</stp>
        <stp>MRK US Equity</stp>
        <stp>DV013</stp>
        <stp>[DPM - Securities Master List (BBG Linked).xlsx]Equities!R163C10</stp>
        <tr r="J163" s="2"/>
      </tp>
      <tp>
        <v>4.015865158077272</v>
        <stp/>
        <stp>##V3_BDPV12</stp>
        <stp>MRK US Equity</stp>
        <stp>DV013</stp>
        <stp>[DPM - Securities Master List (BBG Linked).xlsx]Equities!R160C10</stp>
        <tr r="J160" s="2"/>
      </tp>
      <tp>
        <v>4.015865158077272</v>
        <stp/>
        <stp>##V3_BDPV12</stp>
        <stp>MRK US Equity</stp>
        <stp>DV013</stp>
        <stp>[DPM - Securities Master List (BBG Linked).xlsx]Equities!R161C10</stp>
        <tr r="J161" s="2"/>
      </tp>
      <tp>
        <v>4.015865158077272</v>
        <stp/>
        <stp>##V3_BDPV12</stp>
        <stp>MRK US Equity</stp>
        <stp>DV013</stp>
        <stp>[DPM - Securities Master List (BBG Linked).xlsx]Equities!R158C10</stp>
        <tr r="J158" s="2"/>
      </tp>
      <tp>
        <v>4.015865158077272</v>
        <stp/>
        <stp>##V3_BDPV12</stp>
        <stp>MRK US Equity</stp>
        <stp>DV013</stp>
        <stp>[DPM - Securities Master List (BBG Linked).xlsx]Equities!R159C10</stp>
        <tr r="J159" s="2"/>
      </tp>
      <tp>
        <v>4.015865158077272</v>
        <stp/>
        <stp>##V3_BDPV12</stp>
        <stp>MRK US Equity</stp>
        <stp>DV013</stp>
        <stp>[DPM - Securities Master List (BBG Linked).xlsx]Equities!R157C10</stp>
        <tr r="J157" s="2"/>
      </tp>
      <tp>
        <v>8.2646998565867662</v>
        <stp/>
        <stp>##V3_BDPV12</stp>
        <stp>MRK US Equity</stp>
        <stp>EE010</stp>
        <stp>[DPM - Securities Master List (BBG Linked).xlsx]Equities!R168C12</stp>
        <tr r="L168" s="2"/>
        <tr r="L168" s="2"/>
        <tr r="L168" s="2"/>
      </tp>
      <tp>
        <v>8.2646998565867662</v>
        <stp/>
        <stp>##V3_BDPV12</stp>
        <stp>MRK US Equity</stp>
        <stp>EE010</stp>
        <stp>[DPM - Securities Master List (BBG Linked).xlsx]Equities!R169C12</stp>
        <tr r="L169" s="2"/>
        <tr r="L169" s="2"/>
        <tr r="L169" s="2"/>
      </tp>
      <tp>
        <v>8.2646998565867662</v>
        <stp/>
        <stp>##V3_BDPV12</stp>
        <stp>MRK US Equity</stp>
        <stp>EE010</stp>
        <stp>[DPM - Securities Master List (BBG Linked).xlsx]Equities!R166C12</stp>
        <tr r="L166" s="2"/>
        <tr r="L166" s="2"/>
        <tr r="L166" s="2"/>
      </tp>
      <tp>
        <v>8.2646998565867662</v>
        <stp/>
        <stp>##V3_BDPV12</stp>
        <stp>MRK US Equity</stp>
        <stp>EE010</stp>
        <stp>[DPM - Securities Master List (BBG Linked).xlsx]Equities!R167C12</stp>
        <tr r="L167" s="2"/>
        <tr r="L167" s="2"/>
        <tr r="L167" s="2"/>
      </tp>
      <tp>
        <v>8.2646998565867662</v>
        <stp/>
        <stp>##V3_BDPV12</stp>
        <stp>MRK US Equity</stp>
        <stp>EE010</stp>
        <stp>[DPM - Securities Master List (BBG Linked).xlsx]Equities!R164C12</stp>
        <tr r="L164" s="2"/>
        <tr r="L164" s="2"/>
        <tr r="L164" s="2"/>
      </tp>
      <tp>
        <v>8.2646998565867662</v>
        <stp/>
        <stp>##V3_BDPV12</stp>
        <stp>MRK US Equity</stp>
        <stp>EE010</stp>
        <stp>[DPM - Securities Master List (BBG Linked).xlsx]Equities!R165C12</stp>
        <tr r="L165" s="2"/>
        <tr r="L165" s="2"/>
        <tr r="L165" s="2"/>
      </tp>
      <tp>
        <v>8.2646998565867662</v>
        <stp/>
        <stp>##V3_BDPV12</stp>
        <stp>MRK US Equity</stp>
        <stp>EE010</stp>
        <stp>[DPM - Securities Master List (BBG Linked).xlsx]Equities!R162C12</stp>
        <tr r="L162" s="2"/>
        <tr r="L162" s="2"/>
        <tr r="L162" s="2"/>
      </tp>
      <tp>
        <v>8.2646998565867662</v>
        <stp/>
        <stp>##V3_BDPV12</stp>
        <stp>MRK US Equity</stp>
        <stp>EE010</stp>
        <stp>[DPM - Securities Master List (BBG Linked).xlsx]Equities!R163C12</stp>
        <tr r="L163" s="2"/>
        <tr r="L163" s="2"/>
        <tr r="L163" s="2"/>
      </tp>
      <tp>
        <v>8.2646998565867662</v>
        <stp/>
        <stp>##V3_BDPV12</stp>
        <stp>MRK US Equity</stp>
        <stp>EE010</stp>
        <stp>[DPM - Securities Master List (BBG Linked).xlsx]Equities!R160C12</stp>
        <tr r="L160" s="2"/>
        <tr r="L160" s="2"/>
        <tr r="L160" s="2"/>
      </tp>
      <tp>
        <v>8.2646998565867662</v>
        <stp/>
        <stp>##V3_BDPV12</stp>
        <stp>MRK US Equity</stp>
        <stp>EE010</stp>
        <stp>[DPM - Securities Master List (BBG Linked).xlsx]Equities!R161C12</stp>
        <tr r="L161" s="2"/>
        <tr r="L161" s="2"/>
        <tr r="L161" s="2"/>
      </tp>
      <tp>
        <v>8.2646998565867662</v>
        <stp/>
        <stp>##V3_BDPV12</stp>
        <stp>MRK US Equity</stp>
        <stp>EE010</stp>
        <stp>[DPM - Securities Master List (BBG Linked).xlsx]Equities!R158C12</stp>
        <tr r="L158" s="2"/>
        <tr r="L158" s="2"/>
        <tr r="L158" s="2"/>
      </tp>
      <tp>
        <v>8.2646998565867662</v>
        <stp/>
        <stp>##V3_BDPV12</stp>
        <stp>MRK US Equity</stp>
        <stp>EE010</stp>
        <stp>[DPM - Securities Master List (BBG Linked).xlsx]Equities!R159C12</stp>
        <tr r="L159" s="2"/>
        <tr r="L159" s="2"/>
        <tr r="L159" s="2"/>
      </tp>
      <tp>
        <v>8.2646998565867662</v>
        <stp/>
        <stp>##V3_BDPV12</stp>
        <stp>MRK US Equity</stp>
        <stp>EE010</stp>
        <stp>[DPM - Securities Master List (BBG Linked).xlsx]Equities!R157C12</stp>
        <tr r="L157" s="2"/>
        <tr r="L157" s="2"/>
        <tr r="L157" s="2"/>
      </tp>
      <tp t="s">
        <v>GBp</v>
        <stp/>
        <stp>##V3_BDPV12</stp>
        <stp>TSCO LN Equity</stp>
        <stp>CRNCY</stp>
        <stp>[DPM - Securities Master List (BBG Linked).xlsx]Equities!R274C6</stp>
        <tr r="F274" s="2"/>
      </tp>
      <tp t="s">
        <v>GBp</v>
        <stp/>
        <stp>##V3_BDPV12</stp>
        <stp>TSCO LN Equity</stp>
        <stp>CRNCY</stp>
        <stp>[DPM - Securities Master List (BBG Linked).xlsx]Equities!R264C6</stp>
        <tr r="F264" s="2"/>
      </tp>
      <tp t="s">
        <v>Information Technology</v>
        <stp/>
        <stp>##V3_BDPV12</stp>
        <stp>AAPL US Equity</stp>
        <stp>DX202</stp>
        <stp>[DPM - Securities Master List (BBG Linked).xlsx]Equities!R34C46</stp>
        <tr r="AT34" s="2"/>
        <tr r="AT34" s="2"/>
        <tr r="AT34" s="2"/>
      </tp>
      <tp>
        <v>3.9833333492279053</v>
        <stp/>
        <stp>##V3_BDPV12</stp>
        <stp>AAPL US Equity</stp>
        <stp>EE201</stp>
        <stp>[DPM - Securities Master List (BBG Linked).xlsx]Equities!R34C37</stp>
        <tr r="AK34" s="2"/>
        <tr r="AK34" s="2"/>
        <tr r="AK34" s="2"/>
      </tp>
      <tp t="s">
        <v>Microsoft Corp</v>
        <stp/>
        <stp>##V3_BDPV12</stp>
        <stp>MSFT US Equity</stp>
        <stp>SECURITY NAME</stp>
        <stp>[DPM - Securities Master List (BBG Linked).xlsx]Equities!R175C5</stp>
        <tr r="E175" s="2"/>
      </tp>
      <tp t="s">
        <v>Microsoft Corp</v>
        <stp/>
        <stp>##V3_BDPV12</stp>
        <stp>MSFT US Equity</stp>
        <stp>SECURITY NAME</stp>
        <stp>[DPM - Securities Master List (BBG Linked).xlsx]Equities!R185C5</stp>
        <tr r="E185" s="2"/>
      </tp>
      <tp t="s">
        <v>Y</v>
        <stp/>
        <stp>##V3_BDPV12</stp>
        <stp>ADBE US Equity</stp>
        <stp>DY784</stp>
        <stp>[DPM - Securities Master List (BBG Linked).xlsx]Equities!R37C48</stp>
        <tr r="AV37" s="2"/>
        <tr r="AV37" s="2"/>
        <tr r="AV37" s="2"/>
      </tp>
      <tp t="s">
        <v>Y</v>
        <stp/>
        <stp>##V3_BDPV12</stp>
        <stp>ADBE US Equity</stp>
        <stp>DY784</stp>
        <stp>[DPM - Securities Master List (BBG Linked).xlsx]Equities!R36C48</stp>
        <tr r="AV36" s="2"/>
        <tr r="AV36" s="2"/>
        <tr r="AV36" s="2"/>
      </tp>
      <tp t="s">
        <v>Y</v>
        <stp/>
        <stp>##V3_BDPV12</stp>
        <stp>ADBE US Equity</stp>
        <stp>DY784</stp>
        <stp>[DPM - Securities Master List (BBG Linked).xlsx]Equities!R39C48</stp>
        <tr r="AV39" s="2"/>
        <tr r="AV39" s="2"/>
        <tr r="AV39" s="2"/>
      </tp>
      <tp t="s">
        <v>Y</v>
        <stp/>
        <stp>##V3_BDPV12</stp>
        <stp>ADBE US Equity</stp>
        <stp>DY784</stp>
        <stp>[DPM - Securities Master List (BBG Linked).xlsx]Equities!R38C48</stp>
        <tr r="AV38" s="2"/>
        <tr r="AV38" s="2"/>
        <tr r="AV38" s="2"/>
      </tp>
      <tp t="s">
        <v>Y</v>
        <stp/>
        <stp>##V3_BDPV12</stp>
        <stp>ADBE US Equity</stp>
        <stp>DY784</stp>
        <stp>[DPM - Securities Master List (BBG Linked).xlsx]Equities!R45C48</stp>
        <tr r="AV45" s="2"/>
        <tr r="AV45" s="2"/>
        <tr r="AV45" s="2"/>
      </tp>
      <tp t="s">
        <v>Y</v>
        <stp/>
        <stp>##V3_BDPV12</stp>
        <stp>ADBE US Equity</stp>
        <stp>DY784</stp>
        <stp>[DPM - Securities Master List (BBG Linked).xlsx]Equities!R44C48</stp>
        <tr r="AV44" s="2"/>
        <tr r="AV44" s="2"/>
        <tr r="AV44" s="2"/>
      </tp>
      <tp t="s">
        <v>Y</v>
        <stp/>
        <stp>##V3_BDPV12</stp>
        <stp>ADBE US Equity</stp>
        <stp>DY784</stp>
        <stp>[DPM - Securities Master List (BBG Linked).xlsx]Equities!R47C48</stp>
        <tr r="AV47" s="2"/>
        <tr r="AV47" s="2"/>
        <tr r="AV47" s="2"/>
      </tp>
      <tp t="s">
        <v>Y</v>
        <stp/>
        <stp>##V3_BDPV12</stp>
        <stp>ADBE US Equity</stp>
        <stp>DY784</stp>
        <stp>[DPM - Securities Master List (BBG Linked).xlsx]Equities!R46C48</stp>
        <tr r="AV46" s="2"/>
        <tr r="AV46" s="2"/>
        <tr r="AV46" s="2"/>
      </tp>
      <tp t="s">
        <v>Y</v>
        <stp/>
        <stp>##V3_BDPV12</stp>
        <stp>ADBE US Equity</stp>
        <stp>DY784</stp>
        <stp>[DPM - Securities Master List (BBG Linked).xlsx]Equities!R41C48</stp>
        <tr r="AV41" s="2"/>
        <tr r="AV41" s="2"/>
        <tr r="AV41" s="2"/>
      </tp>
      <tp t="s">
        <v>Y</v>
        <stp/>
        <stp>##V3_BDPV12</stp>
        <stp>ADBE US Equity</stp>
        <stp>DY784</stp>
        <stp>[DPM - Securities Master List (BBG Linked).xlsx]Equities!R40C48</stp>
        <tr r="AV40" s="2"/>
        <tr r="AV40" s="2"/>
        <tr r="AV40" s="2"/>
      </tp>
      <tp t="s">
        <v>Y</v>
        <stp/>
        <stp>##V3_BDPV12</stp>
        <stp>ADBE US Equity</stp>
        <stp>DY784</stp>
        <stp>[DPM - Securities Master List (BBG Linked).xlsx]Equities!R43C48</stp>
        <tr r="AV43" s="2"/>
        <tr r="AV43" s="2"/>
        <tr r="AV43" s="2"/>
      </tp>
      <tp t="s">
        <v>Y</v>
        <stp/>
        <stp>##V3_BDPV12</stp>
        <stp>ADBE US Equity</stp>
        <stp>DY784</stp>
        <stp>[DPM - Securities Master List (BBG Linked).xlsx]Equities!R42C48</stp>
        <tr r="AV42" s="2"/>
        <tr r="AV42" s="2"/>
        <tr r="AV42" s="2"/>
      </tp>
      <tp t="s">
        <v>Y</v>
        <stp/>
        <stp>##V3_BDPV12</stp>
        <stp>ADBE US Equity</stp>
        <stp>DY784</stp>
        <stp>[DPM - Securities Master List (BBG Linked).xlsx]Equities!R49C48</stp>
        <tr r="AV49" s="2"/>
        <tr r="AV49" s="2"/>
        <tr r="AV49" s="2"/>
      </tp>
      <tp t="s">
        <v>Y</v>
        <stp/>
        <stp>##V3_BDPV12</stp>
        <stp>ADBE US Equity</stp>
        <stp>DY784</stp>
        <stp>[DPM - Securities Master List (BBG Linked).xlsx]Equities!R48C48</stp>
        <tr r="AV48" s="2"/>
        <tr r="AV48" s="2"/>
        <tr r="AV48" s="2"/>
      </tp>
      <tp>
        <v>33883.245863671684</v>
        <stp/>
        <stp>##V3_BDPV12</stp>
        <stp>TSCO LN Equity</stp>
        <stp>CRNCY_ADJ_MKT_CAP</stp>
        <stp>[DPM - Securities Master List (BBG Linked).xlsx]Equities!R275C9</stp>
        <stp>EQY_FUND_CRNCY=USD</stp>
        <tr r="I275" s="2"/>
      </tp>
      <tp>
        <v>33883.245863671684</v>
        <stp/>
        <stp>##V3_BDPV12</stp>
        <stp>TSCO LN Equity</stp>
        <stp>CRNCY_ADJ_MKT_CAP</stp>
        <stp>[DPM - Securities Master List (BBG Linked).xlsx]Equities!R272C9</stp>
        <stp>EQY_FUND_CRNCY=USD</stp>
        <tr r="I272" s="2"/>
      </tp>
      <tp>
        <v>17943.814746329997</v>
        <stp/>
        <stp>##V3_BDPV12</stp>
        <stp>ZBH US Equity</stp>
        <stp>CRNCY_ADJ_MKT_CAP</stp>
        <stp>[DPM - Securities Master List (BBG Linked).xlsx]Equities!R300C9</stp>
        <stp>EQY_FUND_CRNCY=USD</stp>
        <tr r="I300" s="2"/>
      </tp>
      <tp>
        <v>33883.245863671684</v>
        <stp/>
        <stp>##V3_BDPV12</stp>
        <stp>TSCO LN Equity</stp>
        <stp>CRNCY_ADJ_MKT_CAP</stp>
        <stp>[DPM - Securities Master List (BBG Linked).xlsx]Equities!R273C9</stp>
        <stp>EQY_FUND_CRNCY=USD</stp>
        <tr r="I273" s="2"/>
      </tp>
      <tp>
        <v>17943.814746329997</v>
        <stp/>
        <stp>##V3_BDPV12</stp>
        <stp>ZBH US Equity</stp>
        <stp>CRNCY_ADJ_MKT_CAP</stp>
        <stp>[DPM - Securities Master List (BBG Linked).xlsx]Equities!R301C9</stp>
        <stp>EQY_FUND_CRNCY=USD</stp>
        <tr r="I301" s="2"/>
      </tp>
      <tp>
        <v>33883.245863671684</v>
        <stp/>
        <stp>##V3_BDPV12</stp>
        <stp>TSCO LN Equity</stp>
        <stp>CRNCY_ADJ_MKT_CAP</stp>
        <stp>[DPM - Securities Master List (BBG Linked).xlsx]Equities!R270C9</stp>
        <stp>EQY_FUND_CRNCY=USD</stp>
        <tr r="I270" s="2"/>
      </tp>
      <tp>
        <v>17943.814746329997</v>
        <stp/>
        <stp>##V3_BDPV12</stp>
        <stp>ZBH US Equity</stp>
        <stp>CRNCY_ADJ_MKT_CAP</stp>
        <stp>[DPM - Securities Master List (BBG Linked).xlsx]Equities!R302C9</stp>
        <stp>EQY_FUND_CRNCY=USD</stp>
        <tr r="I302" s="2"/>
      </tp>
      <tp>
        <v>33883.245863671684</v>
        <stp/>
        <stp>##V3_BDPV12</stp>
        <stp>TSCO LN Equity</stp>
        <stp>CRNCY_ADJ_MKT_CAP</stp>
        <stp>[DPM - Securities Master List (BBG Linked).xlsx]Equities!R271C9</stp>
        <stp>EQY_FUND_CRNCY=USD</stp>
        <tr r="I271" s="2"/>
      </tp>
      <tp>
        <v>64190.43373585798</v>
        <stp/>
        <stp>##V3_BDPV12</stp>
        <stp>DGE LN Equity</stp>
        <stp>CRNCY_ADJ_MKT_CAP</stp>
        <stp>[DPM - Securities Master List (BBG Linked).xlsx]Equities!R109C9</stp>
        <stp>EQY_FUND_CRNCY=USD</stp>
        <tr r="I109" s="2"/>
      </tp>
      <tp t="s">
        <v>#N/A N/A</v>
        <stp/>
        <stp>##V3_BDPV12</stp>
        <stp>REGN Equity</stp>
        <stp>DY784</stp>
        <stp>[DPM - Securities Master List (BBG Linked).xlsx]Equities!R240C48</stp>
        <tr r="AV240" s="2"/>
        <tr r="AV240" s="2"/>
      </tp>
      <tp>
        <v>64190.43373585798</v>
        <stp/>
        <stp>##V3_BDPV12</stp>
        <stp>DGE LN Equity</stp>
        <stp>CRNCY_ADJ_MKT_CAP</stp>
        <stp>[DPM - Securities Master List (BBG Linked).xlsx]Equities!R108C9</stp>
        <stp>EQY_FUND_CRNCY=USD</stp>
        <tr r="I108" s="2"/>
      </tp>
      <tp>
        <v>66715.752069399998</v>
        <stp/>
        <stp>##V3_BDPV12</stp>
        <stp>PYPL US Equity</stp>
        <stp>CRNCY_ADJ_MKT_CAP</stp>
        <stp>[DPM - Securities Master List (BBG Linked).xlsx]Equities!R237C9</stp>
        <stp>EQY_FUND_CRNCY=USD</stp>
        <tr r="I237" s="2"/>
      </tp>
      <tp>
        <v>8696.2509963962002</v>
        <stp/>
        <stp>##V3_BDPV12</stp>
        <stp>NIO US Equity</stp>
        <stp>CRNCY_ADJ_MKT_CAP</stp>
        <stp>[DPM - Securities Master List (BBG Linked).xlsx]Equities!R206C9</stp>
        <stp>EQY_FUND_CRNCY=USD</stp>
        <tr r="I206" s="2"/>
      </tp>
      <tp>
        <v>84928.492621979996</v>
        <stp/>
        <stp>##V3_BDPV12</stp>
        <stp>NKE US Equity</stp>
        <stp>CRNCY_ADJ_MKT_CAP</stp>
        <stp>[DPM - Securities Master List (BBG Linked).xlsx]Equities!R207C9</stp>
        <stp>EQY_FUND_CRNCY=USD</stp>
        <tr r="I207" s="2"/>
      </tp>
      <tp>
        <v>84928.492621979996</v>
        <stp/>
        <stp>##V3_BDPV12</stp>
        <stp>NKE US Equity</stp>
        <stp>CRNCY_ADJ_MKT_CAP</stp>
        <stp>[DPM - Securities Master List (BBG Linked).xlsx]Equities!R208C9</stp>
        <stp>EQY_FUND_CRNCY=USD</stp>
        <tr r="I208" s="2"/>
      </tp>
      <tp>
        <v>84928.492621979996</v>
        <stp/>
        <stp>##V3_BDPV12</stp>
        <stp>NKE US Equity</stp>
        <stp>CRNCY_ADJ_MKT_CAP</stp>
        <stp>[DPM - Securities Master List (BBG Linked).xlsx]Equities!R209C9</stp>
        <stp>EQY_FUND_CRNCY=USD</stp>
        <tr r="I209" s="2"/>
      </tp>
      <tp>
        <v>66715.752069399998</v>
        <stp/>
        <stp>##V3_BDPV12</stp>
        <stp>PYPL US Equity</stp>
        <stp>CRNCY_ADJ_MKT_CAP</stp>
        <stp>[DPM - Securities Master List (BBG Linked).xlsx]Equities!R239C9</stp>
        <stp>EQY_FUND_CRNCY=USD</stp>
        <tr r="I239" s="2"/>
      </tp>
      <tp>
        <v>66715.752069399998</v>
        <stp/>
        <stp>##V3_BDPV12</stp>
        <stp>PYPL US Equity</stp>
        <stp>CRNCY_ADJ_MKT_CAP</stp>
        <stp>[DPM - Securities Master List (BBG Linked).xlsx]Equities!R238C9</stp>
        <stp>EQY_FUND_CRNCY=USD</stp>
        <tr r="I238" s="2"/>
      </tp>
      <tp t="s">
        <v>USD</v>
        <stp/>
        <stp>##V3_BDPV12</stp>
        <stp>ZBH US Equity</stp>
        <stp>CRNCY</stp>
        <stp>[DPM - Securities Master List (BBG Linked).xlsx]Equities!R296C6</stp>
        <tr r="F296" s="2"/>
      </tp>
      <tp>
        <v>14.369571727754028</v>
        <stp/>
        <stp>##V3_BDPV12</stp>
        <stp>AZN LN Equity</stp>
        <stp>RR957</stp>
        <stp>[DPM - Securities Master List (BBG Linked).xlsx]Equities!R60C14</stp>
        <tr r="N60" s="2"/>
        <tr r="N60" s="2"/>
        <tr r="N60" s="2"/>
      </tp>
      <tp>
        <v>14.369571727754028</v>
        <stp/>
        <stp>##V3_BDPV12</stp>
        <stp>AZN LN Equity</stp>
        <stp>RR957</stp>
        <stp>[DPM - Securities Master List (BBG Linked).xlsx]Equities!R61C14</stp>
        <tr r="N61" s="2"/>
        <tr r="N61" s="2"/>
        <tr r="N61" s="2"/>
      </tp>
      <tp>
        <v>14.369571727754028</v>
        <stp/>
        <stp>##V3_BDPV12</stp>
        <stp>AZN LN Equity</stp>
        <stp>RR957</stp>
        <stp>[DPM - Securities Master List (BBG Linked).xlsx]Equities!R58C14</stp>
        <tr r="N58" s="2"/>
        <tr r="N58" s="2"/>
        <tr r="N58" s="2"/>
      </tp>
      <tp>
        <v>14.369571727754028</v>
        <stp/>
        <stp>##V3_BDPV12</stp>
        <stp>AZN LN Equity</stp>
        <stp>RR957</stp>
        <stp>[DPM - Securities Master List (BBG Linked).xlsx]Equities!R59C14</stp>
        <tr r="N59" s="2"/>
        <tr r="N59" s="2"/>
        <tr r="N59" s="2"/>
      </tp>
      <tp>
        <v>14.369571727754028</v>
        <stp/>
        <stp>##V3_BDPV12</stp>
        <stp>AZN LN Equity</stp>
        <stp>RR957</stp>
        <stp>[DPM - Securities Master List (BBG Linked).xlsx]Equities!R54C14</stp>
        <tr r="N54" s="2"/>
        <tr r="N54" s="2"/>
        <tr r="N54" s="2"/>
      </tp>
      <tp>
        <v>14.369571727754028</v>
        <stp/>
        <stp>##V3_BDPV12</stp>
        <stp>AZN LN Equity</stp>
        <stp>RR957</stp>
        <stp>[DPM - Securities Master List (BBG Linked).xlsx]Equities!R55C14</stp>
        <tr r="N55" s="2"/>
        <tr r="N55" s="2"/>
        <tr r="N55" s="2"/>
      </tp>
      <tp>
        <v>14.369571727754028</v>
        <stp/>
        <stp>##V3_BDPV12</stp>
        <stp>AZN LN Equity</stp>
        <stp>RR957</stp>
        <stp>[DPM - Securities Master List (BBG Linked).xlsx]Equities!R56C14</stp>
        <tr r="N56" s="2"/>
        <tr r="N56" s="2"/>
        <tr r="N56" s="2"/>
      </tp>
      <tp>
        <v>14.369571727754028</v>
        <stp/>
        <stp>##V3_BDPV12</stp>
        <stp>AZN LN Equity</stp>
        <stp>RR957</stp>
        <stp>[DPM - Securities Master List (BBG Linked).xlsx]Equities!R57C14</stp>
        <tr r="N57" s="2"/>
        <tr r="N57" s="2"/>
        <tr r="N57" s="2"/>
      </tp>
      <tp>
        <v>14.369571727754028</v>
        <stp/>
        <stp>##V3_BDPV12</stp>
        <stp>AZN LN Equity</stp>
        <stp>RR957</stp>
        <stp>[DPM - Securities Master List (BBG Linked).xlsx]Equities!R51C14</stp>
        <tr r="N51" s="2"/>
        <tr r="N51" s="2"/>
        <tr r="N51" s="2"/>
      </tp>
      <tp>
        <v>14.369571727754028</v>
        <stp/>
        <stp>##V3_BDPV12</stp>
        <stp>AZN LN Equity</stp>
        <stp>RR957</stp>
        <stp>[DPM - Securities Master List (BBG Linked).xlsx]Equities!R52C14</stp>
        <tr r="N52" s="2"/>
        <tr r="N52" s="2"/>
        <tr r="N52" s="2"/>
      </tp>
      <tp>
        <v>14.369571727754028</v>
        <stp/>
        <stp>##V3_BDPV12</stp>
        <stp>AZN LN Equity</stp>
        <stp>RR957</stp>
        <stp>[DPM - Securities Master List (BBG Linked).xlsx]Equities!R53C14</stp>
        <tr r="N53" s="2"/>
        <tr r="N53" s="2"/>
        <tr r="N53" s="2"/>
      </tp>
      <tp>
        <v>16.550350302126077</v>
        <stp/>
        <stp>##V3_BDPV12</stp>
        <stp>AZN LN Equity</stp>
        <stp>RR908</stp>
        <stp>[DPM - Securities Master List (BBG Linked).xlsx]Equities!R60C32</stp>
        <tr r="AF60" s="2"/>
        <tr r="AF60" s="2"/>
        <tr r="AF60" s="2"/>
      </tp>
      <tp>
        <v>16.550350302126077</v>
        <stp/>
        <stp>##V3_BDPV12</stp>
        <stp>AZN LN Equity</stp>
        <stp>RR908</stp>
        <stp>[DPM - Securities Master List (BBG Linked).xlsx]Equities!R61C32</stp>
        <tr r="AF61" s="2"/>
        <tr r="AF61" s="2"/>
        <tr r="AF61" s="2"/>
      </tp>
      <tp>
        <v>16.550350302126077</v>
        <stp/>
        <stp>##V3_BDPV12</stp>
        <stp>AZN LN Equity</stp>
        <stp>RR908</stp>
        <stp>[DPM - Securities Master List (BBG Linked).xlsx]Equities!R58C32</stp>
        <tr r="AF58" s="2"/>
        <tr r="AF58" s="2"/>
        <tr r="AF58" s="2"/>
      </tp>
      <tp>
        <v>16.550350302126077</v>
        <stp/>
        <stp>##V3_BDPV12</stp>
        <stp>AZN LN Equity</stp>
        <stp>RR908</stp>
        <stp>[DPM - Securities Master List (BBG Linked).xlsx]Equities!R59C32</stp>
        <tr r="AF59" s="2"/>
        <tr r="AF59" s="2"/>
        <tr r="AF59" s="2"/>
      </tp>
      <tp>
        <v>16.550350302126077</v>
        <stp/>
        <stp>##V3_BDPV12</stp>
        <stp>AZN LN Equity</stp>
        <stp>RR908</stp>
        <stp>[DPM - Securities Master List (BBG Linked).xlsx]Equities!R54C32</stp>
        <tr r="AF54" s="2"/>
        <tr r="AF54" s="2"/>
        <tr r="AF54" s="2"/>
      </tp>
      <tp>
        <v>16.550350302126077</v>
        <stp/>
        <stp>##V3_BDPV12</stp>
        <stp>AZN LN Equity</stp>
        <stp>RR908</stp>
        <stp>[DPM - Securities Master List (BBG Linked).xlsx]Equities!R55C32</stp>
        <tr r="AF55" s="2"/>
        <tr r="AF55" s="2"/>
        <tr r="AF55" s="2"/>
      </tp>
      <tp>
        <v>16.550350302126077</v>
        <stp/>
        <stp>##V3_BDPV12</stp>
        <stp>AZN LN Equity</stp>
        <stp>RR908</stp>
        <stp>[DPM - Securities Master List (BBG Linked).xlsx]Equities!R56C32</stp>
        <tr r="AF56" s="2"/>
        <tr r="AF56" s="2"/>
        <tr r="AF56" s="2"/>
      </tp>
      <tp>
        <v>16.550350302126077</v>
        <stp/>
        <stp>##V3_BDPV12</stp>
        <stp>AZN LN Equity</stp>
        <stp>RR908</stp>
        <stp>[DPM - Securities Master List (BBG Linked).xlsx]Equities!R57C32</stp>
        <tr r="AF57" s="2"/>
        <tr r="AF57" s="2"/>
        <tr r="AF57" s="2"/>
      </tp>
      <tp>
        <v>16.550350302126077</v>
        <stp/>
        <stp>##V3_BDPV12</stp>
        <stp>AZN LN Equity</stp>
        <stp>RR908</stp>
        <stp>[DPM - Securities Master List (BBG Linked).xlsx]Equities!R51C32</stp>
        <tr r="AF51" s="2"/>
        <tr r="AF51" s="2"/>
        <tr r="AF51" s="2"/>
      </tp>
      <tp>
        <v>16.550350302126077</v>
        <stp/>
        <stp>##V3_BDPV12</stp>
        <stp>AZN LN Equity</stp>
        <stp>RR908</stp>
        <stp>[DPM - Securities Master List (BBG Linked).xlsx]Equities!R52C32</stp>
        <tr r="AF52" s="2"/>
        <tr r="AF52" s="2"/>
        <tr r="AF52" s="2"/>
      </tp>
      <tp>
        <v>16.550350302126077</v>
        <stp/>
        <stp>##V3_BDPV12</stp>
        <stp>AZN LN Equity</stp>
        <stp>RR908</stp>
        <stp>[DPM - Securities Master List (BBG Linked).xlsx]Equities!R53C32</stp>
        <tr r="AF53" s="2"/>
        <tr r="AF53" s="2"/>
        <tr r="AF53" s="2"/>
      </tp>
      <tp>
        <v>5.4082352627258246</v>
        <stp/>
        <stp>##V3_BDPV12</stp>
        <stp>AZN LN Equity</stp>
        <stp>RR903</stp>
        <stp>[DPM - Securities Master List (BBG Linked).xlsx]Equities!R58C13</stp>
        <tr r="M58" s="2"/>
        <tr r="M58" s="2"/>
        <tr r="M58" s="2"/>
      </tp>
      <tp>
        <v>5.4082352627258246</v>
        <stp/>
        <stp>##V3_BDPV12</stp>
        <stp>AZN LN Equity</stp>
        <stp>RR903</stp>
        <stp>[DPM - Securities Master List (BBG Linked).xlsx]Equities!R59C13</stp>
        <tr r="M59" s="2"/>
        <tr r="M59" s="2"/>
        <tr r="M59" s="2"/>
      </tp>
      <tp>
        <v>5.4082352627258246</v>
        <stp/>
        <stp>##V3_BDPV12</stp>
        <stp>AZN LN Equity</stp>
        <stp>RR903</stp>
        <stp>[DPM - Securities Master List (BBG Linked).xlsx]Equities!R54C13</stp>
        <tr r="M54" s="2"/>
        <tr r="M54" s="2"/>
        <tr r="M54" s="2"/>
      </tp>
      <tp>
        <v>5.4082352627258246</v>
        <stp/>
        <stp>##V3_BDPV12</stp>
        <stp>AZN LN Equity</stp>
        <stp>RR903</stp>
        <stp>[DPM - Securities Master List (BBG Linked).xlsx]Equities!R55C13</stp>
        <tr r="M55" s="2"/>
        <tr r="M55" s="2"/>
        <tr r="M55" s="2"/>
      </tp>
      <tp>
        <v>5.4082352627258246</v>
        <stp/>
        <stp>##V3_BDPV12</stp>
        <stp>AZN LN Equity</stp>
        <stp>RR903</stp>
        <stp>[DPM - Securities Master List (BBG Linked).xlsx]Equities!R56C13</stp>
        <tr r="M56" s="2"/>
        <tr r="M56" s="2"/>
        <tr r="M56" s="2"/>
      </tp>
      <tp>
        <v>5.4082352627258246</v>
        <stp/>
        <stp>##V3_BDPV12</stp>
        <stp>AZN LN Equity</stp>
        <stp>RR903</stp>
        <stp>[DPM - Securities Master List (BBG Linked).xlsx]Equities!R57C13</stp>
        <tr r="M57" s="2"/>
        <tr r="M57" s="2"/>
        <tr r="M57" s="2"/>
      </tp>
      <tp>
        <v>5.4082352627258246</v>
        <stp/>
        <stp>##V3_BDPV12</stp>
        <stp>AZN LN Equity</stp>
        <stp>RR903</stp>
        <stp>[DPM - Securities Master List (BBG Linked).xlsx]Equities!R51C13</stp>
        <tr r="M51" s="2"/>
        <tr r="M51" s="2"/>
        <tr r="M51" s="2"/>
      </tp>
      <tp>
        <v>5.4082352627258246</v>
        <stp/>
        <stp>##V3_BDPV12</stp>
        <stp>AZN LN Equity</stp>
        <stp>RR903</stp>
        <stp>[DPM - Securities Master List (BBG Linked).xlsx]Equities!R52C13</stp>
        <tr r="M52" s="2"/>
        <tr r="M52" s="2"/>
        <tr r="M52" s="2"/>
      </tp>
      <tp>
        <v>5.4082352627258246</v>
        <stp/>
        <stp>##V3_BDPV12</stp>
        <stp>AZN LN Equity</stp>
        <stp>RR903</stp>
        <stp>[DPM - Securities Master List (BBG Linked).xlsx]Equities!R53C13</stp>
        <tr r="M53" s="2"/>
        <tr r="M53" s="2"/>
        <tr r="M53" s="2"/>
      </tp>
      <tp>
        <v>28.56962794411178</v>
        <stp/>
        <stp>##V3_BDPV12</stp>
        <stp>AZN LN Equity</stp>
        <stp>RR900</stp>
        <stp>[DPM - Securities Master List (BBG Linked).xlsx]Equities!R58C11</stp>
        <tr r="K58" s="2"/>
        <tr r="K58" s="2"/>
        <tr r="K58" s="2"/>
      </tp>
      <tp>
        <v>28.56962794411178</v>
        <stp/>
        <stp>##V3_BDPV12</stp>
        <stp>AZN LN Equity</stp>
        <stp>RR900</stp>
        <stp>[DPM - Securities Master List (BBG Linked).xlsx]Equities!R59C11</stp>
        <tr r="K59" s="2"/>
        <tr r="K59" s="2"/>
        <tr r="K59" s="2"/>
      </tp>
      <tp>
        <v>28.56962794411178</v>
        <stp/>
        <stp>##V3_BDPV12</stp>
        <stp>AZN LN Equity</stp>
        <stp>RR900</stp>
        <stp>[DPM - Securities Master List (BBG Linked).xlsx]Equities!R54C11</stp>
        <tr r="K54" s="2"/>
        <tr r="K54" s="2"/>
        <tr r="K54" s="2"/>
      </tp>
      <tp>
        <v>28.56962794411178</v>
        <stp/>
        <stp>##V3_BDPV12</stp>
        <stp>AZN LN Equity</stp>
        <stp>RR900</stp>
        <stp>[DPM - Securities Master List (BBG Linked).xlsx]Equities!R55C11</stp>
        <tr r="K55" s="2"/>
        <tr r="K55" s="2"/>
        <tr r="K55" s="2"/>
      </tp>
      <tp>
        <v>28.56962794411178</v>
        <stp/>
        <stp>##V3_BDPV12</stp>
        <stp>AZN LN Equity</stp>
        <stp>RR900</stp>
        <stp>[DPM - Securities Master List (BBG Linked).xlsx]Equities!R56C11</stp>
        <tr r="K56" s="2"/>
        <tr r="K56" s="2"/>
        <tr r="K56" s="2"/>
      </tp>
      <tp>
        <v>28.56962794411178</v>
        <stp/>
        <stp>##V3_BDPV12</stp>
        <stp>AZN LN Equity</stp>
        <stp>RR900</stp>
        <stp>[DPM - Securities Master List (BBG Linked).xlsx]Equities!R57C11</stp>
        <tr r="K57" s="2"/>
        <tr r="K57" s="2"/>
        <tr r="K57" s="2"/>
      </tp>
      <tp>
        <v>28.56962794411178</v>
        <stp/>
        <stp>##V3_BDPV12</stp>
        <stp>AZN LN Equity</stp>
        <stp>RR900</stp>
        <stp>[DPM - Securities Master List (BBG Linked).xlsx]Equities!R51C11</stp>
        <tr r="K51" s="2"/>
        <tr r="K51" s="2"/>
        <tr r="K51" s="2"/>
      </tp>
      <tp>
        <v>28.56962794411178</v>
        <stp/>
        <stp>##V3_BDPV12</stp>
        <stp>AZN LN Equity</stp>
        <stp>RR900</stp>
        <stp>[DPM - Securities Master List (BBG Linked).xlsx]Equities!R52C11</stp>
        <tr r="K52" s="2"/>
        <tr r="K52" s="2"/>
        <tr r="K52" s="2"/>
      </tp>
      <tp>
        <v>28.56962794411178</v>
        <stp/>
        <stp>##V3_BDPV12</stp>
        <stp>AZN LN Equity</stp>
        <stp>RR900</stp>
        <stp>[DPM - Securities Master List (BBG Linked).xlsx]Equities!R53C11</stp>
        <tr r="K53" s="2"/>
        <tr r="K53" s="2"/>
        <tr r="K53" s="2"/>
      </tp>
      <tp>
        <v>28.56962794411178</v>
        <stp/>
        <stp>##V3_BDPV12</stp>
        <stp>AZN LN Equity</stp>
        <stp>RR900</stp>
        <stp>[DPM - Securities Master List (BBG Linked).xlsx]Equities!R60C11</stp>
        <tr r="K60" s="2"/>
        <tr r="K60" s="2"/>
        <tr r="K60" s="2"/>
      </tp>
      <tp>
        <v>28.56962794411178</v>
        <stp/>
        <stp>##V3_BDPV12</stp>
        <stp>AZN LN Equity</stp>
        <stp>RR900</stp>
        <stp>[DPM - Securities Master List (BBG Linked).xlsx]Equities!R61C11</stp>
        <tr r="K61" s="2"/>
        <tr r="K61" s="2"/>
        <tr r="K61" s="2"/>
      </tp>
      <tp>
        <v>5.4082352627258246</v>
        <stp/>
        <stp>##V3_BDPV12</stp>
        <stp>AZN LN Equity</stp>
        <stp>RR903</stp>
        <stp>[DPM - Securities Master List (BBG Linked).xlsx]Equities!R60C13</stp>
        <tr r="M60" s="2"/>
        <tr r="M60" s="2"/>
        <tr r="M60" s="2"/>
      </tp>
      <tp>
        <v>5.4082352627258246</v>
        <stp/>
        <stp>##V3_BDPV12</stp>
        <stp>AZN LN Equity</stp>
        <stp>RR903</stp>
        <stp>[DPM - Securities Master List (BBG Linked).xlsx]Equities!R61C13</stp>
        <tr r="M61" s="2"/>
        <tr r="M61" s="2"/>
        <tr r="M61" s="2"/>
      </tp>
      <tp t="s">
        <v>Y</v>
        <stp/>
        <stp>##V3_BDPV12</stp>
        <stp>AZN LN Equity</stp>
        <stp>DY997</stp>
        <stp>[DPM - Securities Master List (BBG Linked).xlsx]Equities!R61C47</stp>
        <tr r="AU61" s="2"/>
        <tr r="AU61" s="2"/>
        <tr r="AU61" s="2"/>
      </tp>
      <tp t="s">
        <v>Y</v>
        <stp/>
        <stp>##V3_BDPV12</stp>
        <stp>AZN LN Equity</stp>
        <stp>DY997</stp>
        <stp>[DPM - Securities Master List (BBG Linked).xlsx]Equities!R60C47</stp>
        <tr r="AU60" s="2"/>
        <tr r="AU60" s="2"/>
        <tr r="AU60" s="2"/>
      </tp>
      <tp t="s">
        <v>Y</v>
        <stp/>
        <stp>##V3_BDPV12</stp>
        <stp>AZN LN Equity</stp>
        <stp>DY997</stp>
        <stp>[DPM - Securities Master List (BBG Linked).xlsx]Equities!R57C47</stp>
        <tr r="AU57" s="2"/>
        <tr r="AU57" s="2"/>
        <tr r="AU57" s="2"/>
      </tp>
      <tp t="s">
        <v>Y</v>
        <stp/>
        <stp>##V3_BDPV12</stp>
        <stp>AZN LN Equity</stp>
        <stp>DY997</stp>
        <stp>[DPM - Securities Master List (BBG Linked).xlsx]Equities!R56C47</stp>
        <tr r="AU56" s="2"/>
        <tr r="AU56" s="2"/>
        <tr r="AU56" s="2"/>
      </tp>
      <tp t="s">
        <v>Y</v>
        <stp/>
        <stp>##V3_BDPV12</stp>
        <stp>AZN LN Equity</stp>
        <stp>DY997</stp>
        <stp>[DPM - Securities Master List (BBG Linked).xlsx]Equities!R55C47</stp>
        <tr r="AU55" s="2"/>
        <tr r="AU55" s="2"/>
        <tr r="AU55" s="2"/>
      </tp>
      <tp t="s">
        <v>Y</v>
        <stp/>
        <stp>##V3_BDPV12</stp>
        <stp>AZN LN Equity</stp>
        <stp>DY997</stp>
        <stp>[DPM - Securities Master List (BBG Linked).xlsx]Equities!R54C47</stp>
        <tr r="AU54" s="2"/>
        <tr r="AU54" s="2"/>
        <tr r="AU54" s="2"/>
      </tp>
      <tp t="s">
        <v>Y</v>
        <stp/>
        <stp>##V3_BDPV12</stp>
        <stp>AZN LN Equity</stp>
        <stp>DY997</stp>
        <stp>[DPM - Securities Master List (BBG Linked).xlsx]Equities!R53C47</stp>
        <tr r="AU53" s="2"/>
        <tr r="AU53" s="2"/>
        <tr r="AU53" s="2"/>
      </tp>
      <tp t="s">
        <v>Y</v>
        <stp/>
        <stp>##V3_BDPV12</stp>
        <stp>AZN LN Equity</stp>
        <stp>DY997</stp>
        <stp>[DPM - Securities Master List (BBG Linked).xlsx]Equities!R52C47</stp>
        <tr r="AU52" s="2"/>
        <tr r="AU52" s="2"/>
        <tr r="AU52" s="2"/>
      </tp>
      <tp t="s">
        <v>Y</v>
        <stp/>
        <stp>##V3_BDPV12</stp>
        <stp>AZN LN Equity</stp>
        <stp>DY997</stp>
        <stp>[DPM - Securities Master List (BBG Linked).xlsx]Equities!R51C47</stp>
        <tr r="AU51" s="2"/>
        <tr r="AU51" s="2"/>
        <tr r="AU51" s="2"/>
      </tp>
      <tp t="s">
        <v>Y</v>
        <stp/>
        <stp>##V3_BDPV12</stp>
        <stp>AZN LN Equity</stp>
        <stp>DY997</stp>
        <stp>[DPM - Securities Master List (BBG Linked).xlsx]Equities!R59C47</stp>
        <tr r="AU59" s="2"/>
        <tr r="AU59" s="2"/>
        <tr r="AU59" s="2"/>
      </tp>
      <tp t="s">
        <v>Y</v>
        <stp/>
        <stp>##V3_BDPV12</stp>
        <stp>AZN LN Equity</stp>
        <stp>DY997</stp>
        <stp>[DPM - Securities Master List (BBG Linked).xlsx]Equities!R58C47</stp>
        <tr r="AU58" s="2"/>
        <tr r="AU58" s="2"/>
        <tr r="AU58" s="2"/>
      </tp>
      <tp>
        <v>19.965</v>
        <stp/>
        <stp>##V3_BDPV12</stp>
        <stp>INTC US Equity</stp>
        <stp>PX_LAST</stp>
        <stp>[DPM - Securities Master List (BBG Linked).xlsx]Equities!R147C17</stp>
        <tr r="Q147" s="2"/>
      </tp>
      <tp>
        <v>19.965</v>
        <stp/>
        <stp>##V3_BDPV12</stp>
        <stp>INTC US Equity</stp>
        <stp>PX_LAST</stp>
        <stp>[DPM - Securities Master List (BBG Linked).xlsx]Equities!R146C17</stp>
        <tr r="Q146" s="2"/>
      </tp>
      <tp>
        <v>19.965</v>
        <stp/>
        <stp>##V3_BDPV12</stp>
        <stp>INTC US Equity</stp>
        <stp>PX_LAST</stp>
        <stp>[DPM - Securities Master List (BBG Linked).xlsx]Equities!R148C17</stp>
        <tr r="Q148" s="2"/>
      </tp>
      <tp t="s">
        <v>GBp</v>
        <stp/>
        <stp>##V3_BDPV12</stp>
        <stp>GSK LN Equity</stp>
        <stp>CRNCY</stp>
        <stp>[DPM - Securities Master List (BBG Linked).xlsx]Equities!R142C6</stp>
        <tr r="F142" s="2"/>
      </tp>
      <tp t="s">
        <v>GBp</v>
        <stp/>
        <stp>##V3_BDPV12</stp>
        <stp>DRX LN Equity</stp>
        <stp>CRNCY</stp>
        <stp>[DPM - Securities Master List (BBG Linked).xlsx]Equities!R121C6</stp>
        <tr r="F121" s="2"/>
      </tp>
      <tp t="s">
        <v>Y</v>
        <stp/>
        <stp>##V3_BDPV12</stp>
        <stp>ABF LN Equity</stp>
        <stp>DY997</stp>
        <stp>[DPM - Securities Master List (BBG Linked).xlsx]Equities!R35C47</stp>
        <tr r="AU35" s="2"/>
        <tr r="AU35" s="2"/>
        <tr r="AU35" s="2"/>
      </tp>
      <tp>
        <v>75.930000000000007</v>
        <stp/>
        <stp>##V3_BDPV12</stp>
        <stp>MRK US Equity</stp>
        <stp>hs002</stp>
        <stp>[DPM - Securities Master List (BBG Linked).xlsx]Equities!R168C45</stp>
        <tr r="AS168" s="2"/>
      </tp>
      <tp>
        <v>75.930000000000007</v>
        <stp/>
        <stp>##V3_BDPV12</stp>
        <stp>MRK US Equity</stp>
        <stp>hs002</stp>
        <stp>[DPM - Securities Master List (BBG Linked).xlsx]Equities!R169C45</stp>
        <tr r="AS169" s="2"/>
      </tp>
      <tp>
        <v>75.930000000000007</v>
        <stp/>
        <stp>##V3_BDPV12</stp>
        <stp>MRK US Equity</stp>
        <stp>hs002</stp>
        <stp>[DPM - Securities Master List (BBG Linked).xlsx]Equities!R166C45</stp>
        <tr r="AS166" s="2"/>
      </tp>
      <tp>
        <v>75.930000000000007</v>
        <stp/>
        <stp>##V3_BDPV12</stp>
        <stp>MRK US Equity</stp>
        <stp>hs002</stp>
        <stp>[DPM - Securities Master List (BBG Linked).xlsx]Equities!R167C45</stp>
        <tr r="AS167" s="2"/>
      </tp>
      <tp>
        <v>75.930000000000007</v>
        <stp/>
        <stp>##V3_BDPV12</stp>
        <stp>MRK US Equity</stp>
        <stp>hs002</stp>
        <stp>[DPM - Securities Master List (BBG Linked).xlsx]Equities!R164C45</stp>
        <tr r="AS164" s="2"/>
      </tp>
      <tp>
        <v>75.930000000000007</v>
        <stp/>
        <stp>##V3_BDPV12</stp>
        <stp>MRK US Equity</stp>
        <stp>hs002</stp>
        <stp>[DPM - Securities Master List (BBG Linked).xlsx]Equities!R165C45</stp>
        <tr r="AS165" s="2"/>
      </tp>
      <tp>
        <v>75.930000000000007</v>
        <stp/>
        <stp>##V3_BDPV12</stp>
        <stp>MRK US Equity</stp>
        <stp>hs002</stp>
        <stp>[DPM - Securities Master List (BBG Linked).xlsx]Equities!R162C45</stp>
        <tr r="AS162" s="2"/>
      </tp>
      <tp>
        <v>75.930000000000007</v>
        <stp/>
        <stp>##V3_BDPV12</stp>
        <stp>MRK US Equity</stp>
        <stp>hs002</stp>
        <stp>[DPM - Securities Master List (BBG Linked).xlsx]Equities!R163C45</stp>
        <tr r="AS163" s="2"/>
      </tp>
      <tp>
        <v>75.930000000000007</v>
        <stp/>
        <stp>##V3_BDPV12</stp>
        <stp>MRK US Equity</stp>
        <stp>hs002</stp>
        <stp>[DPM - Securities Master List (BBG Linked).xlsx]Equities!R160C45</stp>
        <tr r="AS160" s="2"/>
      </tp>
      <tp>
        <v>75.930000000000007</v>
        <stp/>
        <stp>##V3_BDPV12</stp>
        <stp>MRK US Equity</stp>
        <stp>hs002</stp>
        <stp>[DPM - Securities Master List (BBG Linked).xlsx]Equities!R161C45</stp>
        <tr r="AS161" s="2"/>
      </tp>
      <tp>
        <v>75.930000000000007</v>
        <stp/>
        <stp>##V3_BDPV12</stp>
        <stp>MRK US Equity</stp>
        <stp>hs002</stp>
        <stp>[DPM - Securities Master List (BBG Linked).xlsx]Equities!R158C45</stp>
        <tr r="AS158" s="2"/>
      </tp>
      <tp>
        <v>75.930000000000007</v>
        <stp/>
        <stp>##V3_BDPV12</stp>
        <stp>MRK US Equity</stp>
        <stp>hs002</stp>
        <stp>[DPM - Securities Master List (BBG Linked).xlsx]Equities!R159C45</stp>
        <tr r="AS159" s="2"/>
      </tp>
      <tp>
        <v>75.930000000000007</v>
        <stp/>
        <stp>##V3_BDPV12</stp>
        <stp>MRK US Equity</stp>
        <stp>hs002</stp>
        <stp>[DPM - Securities Master List (BBG Linked).xlsx]Equities!R157C45</stp>
        <tr r="AS157" s="2"/>
      </tp>
      <tp>
        <v>134.63</v>
        <stp/>
        <stp>##V3_BDPV12</stp>
        <stp>MRK US Equity</stp>
        <stp>hs001</stp>
        <stp>[DPM - Securities Master List (BBG Linked).xlsx]Equities!R168C44</stp>
        <tr r="AR168" s="2"/>
      </tp>
      <tp>
        <v>134.63</v>
        <stp/>
        <stp>##V3_BDPV12</stp>
        <stp>MRK US Equity</stp>
        <stp>hs001</stp>
        <stp>[DPM - Securities Master List (BBG Linked).xlsx]Equities!R169C44</stp>
        <tr r="AR169" s="2"/>
      </tp>
      <tp>
        <v>134.63</v>
        <stp/>
        <stp>##V3_BDPV12</stp>
        <stp>MRK US Equity</stp>
        <stp>hs001</stp>
        <stp>[DPM - Securities Master List (BBG Linked).xlsx]Equities!R166C44</stp>
        <tr r="AR166" s="2"/>
      </tp>
      <tp>
        <v>134.63</v>
        <stp/>
        <stp>##V3_BDPV12</stp>
        <stp>MRK US Equity</stp>
        <stp>hs001</stp>
        <stp>[DPM - Securities Master List (BBG Linked).xlsx]Equities!R167C44</stp>
        <tr r="AR167" s="2"/>
      </tp>
      <tp>
        <v>134.63</v>
        <stp/>
        <stp>##V3_BDPV12</stp>
        <stp>MRK US Equity</stp>
        <stp>hs001</stp>
        <stp>[DPM - Securities Master List (BBG Linked).xlsx]Equities!R164C44</stp>
        <tr r="AR164" s="2"/>
      </tp>
      <tp>
        <v>134.63</v>
        <stp/>
        <stp>##V3_BDPV12</stp>
        <stp>MRK US Equity</stp>
        <stp>hs001</stp>
        <stp>[DPM - Securities Master List (BBG Linked).xlsx]Equities!R165C44</stp>
        <tr r="AR165" s="2"/>
      </tp>
      <tp>
        <v>134.63</v>
        <stp/>
        <stp>##V3_BDPV12</stp>
        <stp>MRK US Equity</stp>
        <stp>hs001</stp>
        <stp>[DPM - Securities Master List (BBG Linked).xlsx]Equities!R162C44</stp>
        <tr r="AR162" s="2"/>
      </tp>
      <tp>
        <v>134.63</v>
        <stp/>
        <stp>##V3_BDPV12</stp>
        <stp>MRK US Equity</stp>
        <stp>hs001</stp>
        <stp>[DPM - Securities Master List (BBG Linked).xlsx]Equities!R163C44</stp>
        <tr r="AR163" s="2"/>
      </tp>
      <tp>
        <v>134.63</v>
        <stp/>
        <stp>##V3_BDPV12</stp>
        <stp>MRK US Equity</stp>
        <stp>hs001</stp>
        <stp>[DPM - Securities Master List (BBG Linked).xlsx]Equities!R160C44</stp>
        <tr r="AR160" s="2"/>
      </tp>
      <tp>
        <v>134.63</v>
        <stp/>
        <stp>##V3_BDPV12</stp>
        <stp>MRK US Equity</stp>
        <stp>hs001</stp>
        <stp>[DPM - Securities Master List (BBG Linked).xlsx]Equities!R161C44</stp>
        <tr r="AR161" s="2"/>
      </tp>
      <tp>
        <v>134.63</v>
        <stp/>
        <stp>##V3_BDPV12</stp>
        <stp>MRK US Equity</stp>
        <stp>hs001</stp>
        <stp>[DPM - Securities Master List (BBG Linked).xlsx]Equities!R158C44</stp>
        <tr r="AR158" s="2"/>
      </tp>
      <tp>
        <v>134.63</v>
        <stp/>
        <stp>##V3_BDPV12</stp>
        <stp>MRK US Equity</stp>
        <stp>hs001</stp>
        <stp>[DPM - Securities Master List (BBG Linked).xlsx]Equities!R159C44</stp>
        <tr r="AR159" s="2"/>
      </tp>
      <tp>
        <v>134.63</v>
        <stp/>
        <stp>##V3_BDPV12</stp>
        <stp>MRK US Equity</stp>
        <stp>hs001</stp>
        <stp>[DPM - Securities Master List (BBG Linked).xlsx]Equities!R157C44</stp>
        <tr r="AR157" s="2"/>
      </tp>
      <tp t="s">
        <v>Merck &amp; Co Inc</v>
        <stp/>
        <stp>##V3_BDPV12</stp>
        <stp>MRK US Equity</stp>
        <stp>SECURITY NAME</stp>
        <stp>[DPM - Securities Master List (BBG Linked).xlsx]Equities!R159C5</stp>
        <tr r="E159" s="2"/>
      </tp>
      <tp t="s">
        <v>Merck &amp; Co Inc</v>
        <stp/>
        <stp>##V3_BDPV12</stp>
        <stp>MRK US Equity</stp>
        <stp>SECURITY NAME</stp>
        <stp>[DPM - Securities Master List (BBG Linked).xlsx]Equities!R169C5</stp>
        <tr r="E169" s="2"/>
      </tp>
      <tp t="s">
        <v>GBp</v>
        <stp/>
        <stp>##V3_BDPV12</stp>
        <stp>DGE LN Equity</stp>
        <stp>CRNCY</stp>
        <stp>[DPM - Securities Master List (BBG Linked).xlsx]Equities!R111C6</stp>
        <tr r="F111" s="2"/>
      </tp>
      <tp t="s">
        <v>USD</v>
        <stp/>
        <stp>##V3_BDPV12</stp>
        <stp>REGN Equity</stp>
        <stp>CRNCY</stp>
        <stp>[DPM - Securities Master List (BBG Linked).xlsx]Equities!R240C6</stp>
        <tr r="F240" s="2"/>
      </tp>
      <tp>
        <v>6.8102353523124748</v>
        <stp/>
        <stp>##V3_BDPV12</stp>
        <stp>ABF LN Equity</stp>
        <stp>RR957</stp>
        <stp>[DPM - Securities Master List (BBG Linked).xlsx]Equities!R35C14</stp>
        <tr r="N35" s="2"/>
        <tr r="N35" s="2"/>
        <tr r="N35" s="2"/>
      </tp>
      <tp>
        <v>6.0178635258572672</v>
        <stp/>
        <stp>##V3_BDPV12</stp>
        <stp>ABF LN Equity</stp>
        <stp>RR908</stp>
        <stp>[DPM - Securities Master List (BBG Linked).xlsx]Equities!R35C32</stp>
        <tr r="AF35" s="2"/>
        <tr r="AF35" s="2"/>
        <tr r="AF35" s="2"/>
      </tp>
      <tp t="s">
        <v>TotalEnergies SE</v>
        <stp/>
        <stp>##V3_BDPV12</stp>
        <stp>TTE FP Equity</stp>
        <stp>SECURITY NAME</stp>
        <stp>[DPM - Securities Master List (BBG Linked).xlsx]Equities!R283C5</stp>
        <tr r="E283" s="2"/>
      </tp>
      <tp>
        <v>1.3334751491132333</v>
        <stp/>
        <stp>##V3_BDPV12</stp>
        <stp>ABF LN Equity</stp>
        <stp>RR903</stp>
        <stp>[DPM - Securities Master List (BBG Linked).xlsx]Equities!R35C13</stp>
        <tr r="M35" s="2"/>
        <tr r="M35" s="2"/>
        <tr r="M35" s="2"/>
      </tp>
      <tp>
        <v>11.406214443590779</v>
        <stp/>
        <stp>##V3_BDPV12</stp>
        <stp>ABF LN Equity</stp>
        <stp>RR900</stp>
        <stp>[DPM - Securities Master List (BBG Linked).xlsx]Equities!R35C11</stp>
        <tr r="K35" s="2"/>
        <tr r="K35" s="2"/>
        <tr r="K35" s="2"/>
      </tp>
      <tp>
        <v>3.8610349326174167</v>
        <stp/>
        <stp>##V3_BDPV12</stp>
        <stp>TTE FP Equity</stp>
        <stp>RR957</stp>
        <stp>[DPM - Securities Master List (BBG Linked).xlsx]Equities!R279C14</stp>
        <tr r="N279" s="2"/>
        <tr r="N279" s="2"/>
        <tr r="N279" s="2"/>
      </tp>
      <tp>
        <v>3.8610349326174167</v>
        <stp/>
        <stp>##V3_BDPV12</stp>
        <stp>TTE FP Equity</stp>
        <stp>RR957</stp>
        <stp>[DPM - Securities Master List (BBG Linked).xlsx]Equities!R278C14</stp>
        <tr r="N278" s="2"/>
        <tr r="N278" s="2"/>
        <tr r="N278" s="2"/>
      </tp>
      <tp>
        <v>3.8610349326174167</v>
        <stp/>
        <stp>##V3_BDPV12</stp>
        <stp>TTE FP Equity</stp>
        <stp>RR957</stp>
        <stp>[DPM - Securities Master List (BBG Linked).xlsx]Equities!R277C14</stp>
        <tr r="N277" s="2"/>
        <tr r="N277" s="2"/>
        <tr r="N277" s="2"/>
      </tp>
      <tp>
        <v>3.8610349326174167</v>
        <stp/>
        <stp>##V3_BDPV12</stp>
        <stp>TTE FP Equity</stp>
        <stp>RR957</stp>
        <stp>[DPM - Securities Master List (BBG Linked).xlsx]Equities!R276C14</stp>
        <tr r="N276" s="2"/>
        <tr r="N276" s="2"/>
        <tr r="N276" s="2"/>
      </tp>
      <tp>
        <v>9.7877229397665761</v>
        <stp/>
        <stp>##V3_BDPV12</stp>
        <stp>MRK US Equity</stp>
        <stp>RR908</stp>
        <stp>[DPM - Securities Master List (BBG Linked).xlsx]Equities!R157C32</stp>
        <tr r="AF157" s="2"/>
        <tr r="AF157" s="2"/>
        <tr r="AF157" s="2"/>
      </tp>
      <tp>
        <v>9.7877229397665761</v>
        <stp/>
        <stp>##V3_BDPV12</stp>
        <stp>MRK US Equity</stp>
        <stp>RR908</stp>
        <stp>[DPM - Securities Master List (BBG Linked).xlsx]Equities!R159C32</stp>
        <tr r="AF159" s="2"/>
        <tr r="AF159" s="2"/>
        <tr r="AF159" s="2"/>
      </tp>
      <tp>
        <v>9.7877229397665761</v>
        <stp/>
        <stp>##V3_BDPV12</stp>
        <stp>MRK US Equity</stp>
        <stp>RR908</stp>
        <stp>[DPM - Securities Master List (BBG Linked).xlsx]Equities!R158C32</stp>
        <tr r="AF158" s="2"/>
        <tr r="AF158" s="2"/>
        <tr r="AF158" s="2"/>
      </tp>
      <tp>
        <v>9.7877229397665761</v>
        <stp/>
        <stp>##V3_BDPV12</stp>
        <stp>MRK US Equity</stp>
        <stp>RR908</stp>
        <stp>[DPM - Securities Master List (BBG Linked).xlsx]Equities!R167C32</stp>
        <tr r="AF167" s="2"/>
        <tr r="AF167" s="2"/>
        <tr r="AF167" s="2"/>
      </tp>
      <tp>
        <v>9.7877229397665761</v>
        <stp/>
        <stp>##V3_BDPV12</stp>
        <stp>MRK US Equity</stp>
        <stp>RR908</stp>
        <stp>[DPM - Securities Master List (BBG Linked).xlsx]Equities!R166C32</stp>
        <tr r="AF166" s="2"/>
        <tr r="AF166" s="2"/>
        <tr r="AF166" s="2"/>
      </tp>
      <tp>
        <v>9.7877229397665761</v>
        <stp/>
        <stp>##V3_BDPV12</stp>
        <stp>MRK US Equity</stp>
        <stp>RR908</stp>
        <stp>[DPM - Securities Master List (BBG Linked).xlsx]Equities!R165C32</stp>
        <tr r="AF165" s="2"/>
        <tr r="AF165" s="2"/>
        <tr r="AF165" s="2"/>
      </tp>
      <tp>
        <v>9.7877229397665761</v>
        <stp/>
        <stp>##V3_BDPV12</stp>
        <stp>MRK US Equity</stp>
        <stp>RR908</stp>
        <stp>[DPM - Securities Master List (BBG Linked).xlsx]Equities!R164C32</stp>
        <tr r="AF164" s="2"/>
        <tr r="AF164" s="2"/>
        <tr r="AF164" s="2"/>
      </tp>
      <tp>
        <v>9.7877229397665761</v>
        <stp/>
        <stp>##V3_BDPV12</stp>
        <stp>MRK US Equity</stp>
        <stp>RR908</stp>
        <stp>[DPM - Securities Master List (BBG Linked).xlsx]Equities!R163C32</stp>
        <tr r="AF163" s="2"/>
        <tr r="AF163" s="2"/>
        <tr r="AF163" s="2"/>
      </tp>
      <tp>
        <v>9.7877229397665761</v>
        <stp/>
        <stp>##V3_BDPV12</stp>
        <stp>MRK US Equity</stp>
        <stp>RR908</stp>
        <stp>[DPM - Securities Master List (BBG Linked).xlsx]Equities!R162C32</stp>
        <tr r="AF162" s="2"/>
        <tr r="AF162" s="2"/>
        <tr r="AF162" s="2"/>
      </tp>
      <tp>
        <v>9.7877229397665761</v>
        <stp/>
        <stp>##V3_BDPV12</stp>
        <stp>MRK US Equity</stp>
        <stp>RR908</stp>
        <stp>[DPM - Securities Master List (BBG Linked).xlsx]Equities!R161C32</stp>
        <tr r="AF161" s="2"/>
        <tr r="AF161" s="2"/>
        <tr r="AF161" s="2"/>
      </tp>
      <tp>
        <v>9.7877229397665761</v>
        <stp/>
        <stp>##V3_BDPV12</stp>
        <stp>MRK US Equity</stp>
        <stp>RR908</stp>
        <stp>[DPM - Securities Master List (BBG Linked).xlsx]Equities!R160C32</stp>
        <tr r="AF160" s="2"/>
        <tr r="AF160" s="2"/>
        <tr r="AF160" s="2"/>
      </tp>
      <tp>
        <v>9.7877229397665761</v>
        <stp/>
        <stp>##V3_BDPV12</stp>
        <stp>MRK US Equity</stp>
        <stp>RR908</stp>
        <stp>[DPM - Securities Master List (BBG Linked).xlsx]Equities!R169C32</stp>
        <tr r="AF169" s="2"/>
        <tr r="AF169" s="2"/>
        <tr r="AF169" s="2"/>
      </tp>
      <tp>
        <v>9.7877229397665761</v>
        <stp/>
        <stp>##V3_BDPV12</stp>
        <stp>MRK US Equity</stp>
        <stp>RR908</stp>
        <stp>[DPM - Securities Master List (BBG Linked).xlsx]Equities!R168C32</stp>
        <tr r="AF168" s="2"/>
        <tr r="AF168" s="2"/>
        <tr r="AF168" s="2"/>
      </tp>
      <tp>
        <v>3.8610349326174167</v>
        <stp/>
        <stp>##V3_BDPV12</stp>
        <stp>TTE FP Equity</stp>
        <stp>RR957</stp>
        <stp>[DPM - Securities Master List (BBG Linked).xlsx]Equities!R288C14</stp>
        <tr r="N288" s="2"/>
        <tr r="N288" s="2"/>
        <tr r="N288" s="2"/>
      </tp>
      <tp>
        <v>3.8610349326174167</v>
        <stp/>
        <stp>##V3_BDPV12</stp>
        <stp>TTE FP Equity</stp>
        <stp>RR957</stp>
        <stp>[DPM - Securities Master List (BBG Linked).xlsx]Equities!R285C14</stp>
        <tr r="N285" s="2"/>
        <tr r="N285" s="2"/>
        <tr r="N285" s="2"/>
      </tp>
      <tp>
        <v>3.8610349326174167</v>
        <stp/>
        <stp>##V3_BDPV12</stp>
        <stp>TTE FP Equity</stp>
        <stp>RR957</stp>
        <stp>[DPM - Securities Master List (BBG Linked).xlsx]Equities!R284C14</stp>
        <tr r="N284" s="2"/>
        <tr r="N284" s="2"/>
        <tr r="N284" s="2"/>
      </tp>
      <tp>
        <v>3.8610349326174167</v>
        <stp/>
        <stp>##V3_BDPV12</stp>
        <stp>TTE FP Equity</stp>
        <stp>RR957</stp>
        <stp>[DPM - Securities Master List (BBG Linked).xlsx]Equities!R287C14</stp>
        <tr r="N287" s="2"/>
        <tr r="N287" s="2"/>
        <tr r="N287" s="2"/>
      </tp>
      <tp>
        <v>3.8610349326174167</v>
        <stp/>
        <stp>##V3_BDPV12</stp>
        <stp>TTE FP Equity</stp>
        <stp>RR957</stp>
        <stp>[DPM - Securities Master List (BBG Linked).xlsx]Equities!R286C14</stp>
        <tr r="N286" s="2"/>
        <tr r="N286" s="2"/>
        <tr r="N286" s="2"/>
      </tp>
      <tp>
        <v>3.8610349326174167</v>
        <stp/>
        <stp>##V3_BDPV12</stp>
        <stp>TTE FP Equity</stp>
        <stp>RR957</stp>
        <stp>[DPM - Securities Master List (BBG Linked).xlsx]Equities!R281C14</stp>
        <tr r="N281" s="2"/>
        <tr r="N281" s="2"/>
        <tr r="N281" s="2"/>
      </tp>
      <tp>
        <v>3.8610349326174167</v>
        <stp/>
        <stp>##V3_BDPV12</stp>
        <stp>TTE FP Equity</stp>
        <stp>RR957</stp>
        <stp>[DPM - Securities Master List (BBG Linked).xlsx]Equities!R280C14</stp>
        <tr r="N280" s="2"/>
        <tr r="N280" s="2"/>
        <tr r="N280" s="2"/>
      </tp>
      <tp>
        <v>3.8610349326174167</v>
        <stp/>
        <stp>##V3_BDPV12</stp>
        <stp>TTE FP Equity</stp>
        <stp>RR957</stp>
        <stp>[DPM - Securities Master List (BBG Linked).xlsx]Equities!R283C14</stp>
        <tr r="N283" s="2"/>
        <tr r="N283" s="2"/>
        <tr r="N283" s="2"/>
      </tp>
      <tp>
        <v>3.8610349326174167</v>
        <stp/>
        <stp>##V3_BDPV12</stp>
        <stp>TTE FP Equity</stp>
        <stp>RR957</stp>
        <stp>[DPM - Securities Master List (BBG Linked).xlsx]Equities!R282C14</stp>
        <tr r="N282" s="2"/>
        <tr r="N282" s="2"/>
        <tr r="N282" s="2"/>
      </tp>
      <tp>
        <v>11.164887495239672</v>
        <stp/>
        <stp>##V3_BDPV12</stp>
        <stp>MRK US Equity</stp>
        <stp>RR900</stp>
        <stp>[DPM - Securities Master List (BBG Linked).xlsx]Equities!R167C11</stp>
        <tr r="K167" s="2"/>
        <tr r="K167" s="2"/>
        <tr r="K167" s="2"/>
      </tp>
      <tp>
        <v>11.164887495239672</v>
        <stp/>
        <stp>##V3_BDPV12</stp>
        <stp>MRK US Equity</stp>
        <stp>RR900</stp>
        <stp>[DPM - Securities Master List (BBG Linked).xlsx]Equities!R166C11</stp>
        <tr r="K166" s="2"/>
        <tr r="K166" s="2"/>
        <tr r="K166" s="2"/>
      </tp>
      <tp>
        <v>11.164887495239672</v>
        <stp/>
        <stp>##V3_BDPV12</stp>
        <stp>MRK US Equity</stp>
        <stp>RR900</stp>
        <stp>[DPM - Securities Master List (BBG Linked).xlsx]Equities!R165C11</stp>
        <tr r="K165" s="2"/>
        <tr r="K165" s="2"/>
        <tr r="K165" s="2"/>
      </tp>
      <tp>
        <v>11.164887495239672</v>
        <stp/>
        <stp>##V3_BDPV12</stp>
        <stp>MRK US Equity</stp>
        <stp>RR900</stp>
        <stp>[DPM - Securities Master List (BBG Linked).xlsx]Equities!R164C11</stp>
        <tr r="K164" s="2"/>
        <tr r="K164" s="2"/>
        <tr r="K164" s="2"/>
      </tp>
      <tp>
        <v>11.164887495239672</v>
        <stp/>
        <stp>##V3_BDPV12</stp>
        <stp>MRK US Equity</stp>
        <stp>RR900</stp>
        <stp>[DPM - Securities Master List (BBG Linked).xlsx]Equities!R163C11</stp>
        <tr r="K163" s="2"/>
        <tr r="K163" s="2"/>
        <tr r="K163" s="2"/>
      </tp>
      <tp>
        <v>11.164887495239672</v>
        <stp/>
        <stp>##V3_BDPV12</stp>
        <stp>MRK US Equity</stp>
        <stp>RR900</stp>
        <stp>[DPM - Securities Master List (BBG Linked).xlsx]Equities!R162C11</stp>
        <tr r="K162" s="2"/>
        <tr r="K162" s="2"/>
        <tr r="K162" s="2"/>
      </tp>
      <tp>
        <v>11.164887495239672</v>
        <stp/>
        <stp>##V3_BDPV12</stp>
        <stp>MRK US Equity</stp>
        <stp>RR900</stp>
        <stp>[DPM - Securities Master List (BBG Linked).xlsx]Equities!R161C11</stp>
        <tr r="K161" s="2"/>
        <tr r="K161" s="2"/>
        <tr r="K161" s="2"/>
      </tp>
      <tp>
        <v>11.164887495239672</v>
        <stp/>
        <stp>##V3_BDPV12</stp>
        <stp>MRK US Equity</stp>
        <stp>RR900</stp>
        <stp>[DPM - Securities Master List (BBG Linked).xlsx]Equities!R160C11</stp>
        <tr r="K160" s="2"/>
        <tr r="K160" s="2"/>
        <tr r="K160" s="2"/>
      </tp>
      <tp>
        <v>11.164887495239672</v>
        <stp/>
        <stp>##V3_BDPV12</stp>
        <stp>MRK US Equity</stp>
        <stp>RR900</stp>
        <stp>[DPM - Securities Master List (BBG Linked).xlsx]Equities!R169C11</stp>
        <tr r="K169" s="2"/>
        <tr r="K169" s="2"/>
        <tr r="K169" s="2"/>
      </tp>
      <tp>
        <v>11.164887495239672</v>
        <stp/>
        <stp>##V3_BDPV12</stp>
        <stp>MRK US Equity</stp>
        <stp>RR900</stp>
        <stp>[DPM - Securities Master List (BBG Linked).xlsx]Equities!R168C11</stp>
        <tr r="K168" s="2"/>
        <tr r="K168" s="2"/>
        <tr r="K168" s="2"/>
      </tp>
      <tp>
        <v>11.164887495239672</v>
        <stp/>
        <stp>##V3_BDPV12</stp>
        <stp>MRK US Equity</stp>
        <stp>RR900</stp>
        <stp>[DPM - Securities Master List (BBG Linked).xlsx]Equities!R157C11</stp>
        <tr r="K157" s="2"/>
        <tr r="K157" s="2"/>
        <tr r="K157" s="2"/>
      </tp>
      <tp>
        <v>11.164887495239672</v>
        <stp/>
        <stp>##V3_BDPV12</stp>
        <stp>MRK US Equity</stp>
        <stp>RR900</stp>
        <stp>[DPM - Securities Master List (BBG Linked).xlsx]Equities!R159C11</stp>
        <tr r="K159" s="2"/>
        <tr r="K159" s="2"/>
        <tr r="K159" s="2"/>
      </tp>
      <tp>
        <v>11.164887495239672</v>
        <stp/>
        <stp>##V3_BDPV12</stp>
        <stp>MRK US Equity</stp>
        <stp>RR900</stp>
        <stp>[DPM - Securities Master List (BBG Linked).xlsx]Equities!R158C11</stp>
        <tr r="K158" s="2"/>
        <tr r="K158" s="2"/>
        <tr r="K158" s="2"/>
      </tp>
      <tp>
        <v>5.425808</v>
        <stp/>
        <stp>##V3_BDPV12</stp>
        <stp>RIO LN Equity</stp>
        <stp>PR061</stp>
        <stp>[DPM - Securities Master List (BBG Linked).xlsx]Equities!R242C40</stp>
        <tr r="AN242" s="2"/>
      </tp>
      <tp>
        <v>4.1998027622817249</v>
        <stp/>
        <stp>##V3_BDPV12</stp>
        <stp>MRK US Equity</stp>
        <stp>RR903</stp>
        <stp>[DPM - Securities Master List (BBG Linked).xlsx]Equities!R157C13</stp>
        <tr r="M157" s="2"/>
        <tr r="M157" s="2"/>
        <tr r="M157" s="2"/>
      </tp>
      <tp>
        <v>4.1998027622817249</v>
        <stp/>
        <stp>##V3_BDPV12</stp>
        <stp>MRK US Equity</stp>
        <stp>RR903</stp>
        <stp>[DPM - Securities Master List (BBG Linked).xlsx]Equities!R159C13</stp>
        <tr r="M159" s="2"/>
        <tr r="M159" s="2"/>
        <tr r="M159" s="2"/>
      </tp>
      <tp>
        <v>4.1998027622817249</v>
        <stp/>
        <stp>##V3_BDPV12</stp>
        <stp>MRK US Equity</stp>
        <stp>RR903</stp>
        <stp>[DPM - Securities Master List (BBG Linked).xlsx]Equities!R158C13</stp>
        <tr r="M158" s="2"/>
        <tr r="M158" s="2"/>
        <tr r="M158" s="2"/>
      </tp>
      <tp>
        <v>4.1998027622817249</v>
        <stp/>
        <stp>##V3_BDPV12</stp>
        <stp>MRK US Equity</stp>
        <stp>RR903</stp>
        <stp>[DPM - Securities Master List (BBG Linked).xlsx]Equities!R167C13</stp>
        <tr r="M167" s="2"/>
        <tr r="M167" s="2"/>
        <tr r="M167" s="2"/>
      </tp>
      <tp>
        <v>4.1998027622817249</v>
        <stp/>
        <stp>##V3_BDPV12</stp>
        <stp>MRK US Equity</stp>
        <stp>RR903</stp>
        <stp>[DPM - Securities Master List (BBG Linked).xlsx]Equities!R166C13</stp>
        <tr r="M166" s="2"/>
        <tr r="M166" s="2"/>
        <tr r="M166" s="2"/>
      </tp>
      <tp>
        <v>4.1998027622817249</v>
        <stp/>
        <stp>##V3_BDPV12</stp>
        <stp>MRK US Equity</stp>
        <stp>RR903</stp>
        <stp>[DPM - Securities Master List (BBG Linked).xlsx]Equities!R165C13</stp>
        <tr r="M165" s="2"/>
        <tr r="M165" s="2"/>
        <tr r="M165" s="2"/>
      </tp>
      <tp>
        <v>4.1998027622817249</v>
        <stp/>
        <stp>##V3_BDPV12</stp>
        <stp>MRK US Equity</stp>
        <stp>RR903</stp>
        <stp>[DPM - Securities Master List (BBG Linked).xlsx]Equities!R164C13</stp>
        <tr r="M164" s="2"/>
        <tr r="M164" s="2"/>
        <tr r="M164" s="2"/>
      </tp>
      <tp>
        <v>4.1998027622817249</v>
        <stp/>
        <stp>##V3_BDPV12</stp>
        <stp>MRK US Equity</stp>
        <stp>RR903</stp>
        <stp>[DPM - Securities Master List (BBG Linked).xlsx]Equities!R163C13</stp>
        <tr r="M163" s="2"/>
        <tr r="M163" s="2"/>
        <tr r="M163" s="2"/>
      </tp>
      <tp>
        <v>4.1998027622817249</v>
        <stp/>
        <stp>##V3_BDPV12</stp>
        <stp>MRK US Equity</stp>
        <stp>RR903</stp>
        <stp>[DPM - Securities Master List (BBG Linked).xlsx]Equities!R162C13</stp>
        <tr r="M162" s="2"/>
        <tr r="M162" s="2"/>
        <tr r="M162" s="2"/>
      </tp>
      <tp>
        <v>4.1998027622817249</v>
        <stp/>
        <stp>##V3_BDPV12</stp>
        <stp>MRK US Equity</stp>
        <stp>RR903</stp>
        <stp>[DPM - Securities Master List (BBG Linked).xlsx]Equities!R161C13</stp>
        <tr r="M161" s="2"/>
        <tr r="M161" s="2"/>
        <tr r="M161" s="2"/>
      </tp>
      <tp>
        <v>4.1998027622817249</v>
        <stp/>
        <stp>##V3_BDPV12</stp>
        <stp>MRK US Equity</stp>
        <stp>RR903</stp>
        <stp>[DPM - Securities Master List (BBG Linked).xlsx]Equities!R160C13</stp>
        <tr r="M160" s="2"/>
        <tr r="M160" s="2"/>
        <tr r="M160" s="2"/>
      </tp>
      <tp>
        <v>4.1998027622817249</v>
        <stp/>
        <stp>##V3_BDPV12</stp>
        <stp>MRK US Equity</stp>
        <stp>RR903</stp>
        <stp>[DPM - Securities Master List (BBG Linked).xlsx]Equities!R169C13</stp>
        <tr r="M169" s="2"/>
        <tr r="M169" s="2"/>
        <tr r="M169" s="2"/>
      </tp>
      <tp>
        <v>4.1998027622817249</v>
        <stp/>
        <stp>##V3_BDPV12</stp>
        <stp>MRK US Equity</stp>
        <stp>RR903</stp>
        <stp>[DPM - Securities Master List (BBG Linked).xlsx]Equities!R168C13</stp>
        <tr r="M168" s="2"/>
        <tr r="M168" s="2"/>
        <tr r="M168" s="2"/>
      </tp>
      <tp>
        <v>22.067003724814565</v>
        <stp/>
        <stp>##V3_BDPV12</stp>
        <stp>NVO US Equity</stp>
        <stp>RR041</stp>
        <stp>[DPM - Securities Master List (BBG Linked).xlsx]Equities!R225C33</stp>
        <tr r="AG225" s="2"/>
        <tr r="AG225" s="2"/>
        <tr r="AG225" s="2"/>
      </tp>
      <tp>
        <v>-11.082369999999999</v>
        <stp/>
        <stp>##V3_BDPV12</stp>
        <stp>RIO LN Equity</stp>
        <stp>PR064</stp>
        <stp>[DPM - Securities Master List (BBG Linked).xlsx]Equities!R242C41</stp>
        <tr r="AO242" s="2"/>
      </tp>
      <tp t="s">
        <v>N</v>
        <stp/>
        <stp>##V3_BDPV12</stp>
        <stp>DGE LN Equity</stp>
        <stp>DY784</stp>
        <stp>[DPM - Securities Master List (BBG Linked).xlsx]Equities!R109C48</stp>
        <tr r="AV109" s="2"/>
        <tr r="AV109" s="2"/>
        <tr r="AV109" s="2"/>
      </tp>
      <tp t="s">
        <v>N</v>
        <stp/>
        <stp>##V3_BDPV12</stp>
        <stp>DGE LN Equity</stp>
        <stp>DY784</stp>
        <stp>[DPM - Securities Master List (BBG Linked).xlsx]Equities!R108C48</stp>
        <tr r="AV108" s="2"/>
        <tr r="AV108" s="2"/>
        <tr r="AV108" s="2"/>
      </tp>
      <tp t="s">
        <v>N</v>
        <stp/>
        <stp>##V3_BDPV12</stp>
        <stp>DGE LN Equity</stp>
        <stp>DY784</stp>
        <stp>[DPM - Securities Master List (BBG Linked).xlsx]Equities!R111C48</stp>
        <tr r="AV111" s="2"/>
        <tr r="AV111" s="2"/>
        <tr r="AV111" s="2"/>
      </tp>
      <tp t="s">
        <v>N</v>
        <stp/>
        <stp>##V3_BDPV12</stp>
        <stp>DGE LN Equity</stp>
        <stp>DY784</stp>
        <stp>[DPM - Securities Master List (BBG Linked).xlsx]Equities!R110C48</stp>
        <tr r="AV110" s="2"/>
        <tr r="AV110" s="2"/>
        <tr r="AV110" s="2"/>
      </tp>
      <tp t="s">
        <v>Consumer Discretionary</v>
        <stp/>
        <stp>##V3_BDPV12</stp>
        <stp>3690 HK Equity</stp>
        <stp>DX202</stp>
        <stp>[DPM - Securities Master List (BBG Linked).xlsx]Equities!R8C8</stp>
        <tr r="H8" s="2"/>
        <tr r="H8" s="2"/>
        <tr r="H8" s="2"/>
      </tp>
      <tp t="s">
        <v>Health Care</v>
        <stp/>
        <stp>##V3_BDPV12</stp>
        <stp>MRK US Equity</stp>
        <stp>DX202</stp>
        <stp>[DPM - Securities Master List (BBG Linked).xlsx]Equities!R168C46</stp>
        <tr r="AT168" s="2"/>
        <tr r="AT168" s="2"/>
        <tr r="AT168" s="2"/>
      </tp>
      <tp t="s">
        <v>Health Care</v>
        <stp/>
        <stp>##V3_BDPV12</stp>
        <stp>MRK US Equity</stp>
        <stp>DX202</stp>
        <stp>[DPM - Securities Master List (BBG Linked).xlsx]Equities!R169C46</stp>
        <tr r="AT169" s="2"/>
        <tr r="AT169" s="2"/>
        <tr r="AT169" s="2"/>
      </tp>
      <tp t="s">
        <v>Health Care</v>
        <stp/>
        <stp>##V3_BDPV12</stp>
        <stp>MRK US Equity</stp>
        <stp>DX202</stp>
        <stp>[DPM - Securities Master List (BBG Linked).xlsx]Equities!R164C46</stp>
        <tr r="AT164" s="2"/>
        <tr r="AT164" s="2"/>
        <tr r="AT164" s="2"/>
      </tp>
      <tp t="s">
        <v>Health Care</v>
        <stp/>
        <stp>##V3_BDPV12</stp>
        <stp>MRK US Equity</stp>
        <stp>DX202</stp>
        <stp>[DPM - Securities Master List (BBG Linked).xlsx]Equities!R165C46</stp>
        <tr r="AT165" s="2"/>
        <tr r="AT165" s="2"/>
        <tr r="AT165" s="2"/>
      </tp>
      <tp t="s">
        <v>Health Care</v>
        <stp/>
        <stp>##V3_BDPV12</stp>
        <stp>MRK US Equity</stp>
        <stp>DX202</stp>
        <stp>[DPM - Securities Master List (BBG Linked).xlsx]Equities!R166C46</stp>
        <tr r="AT166" s="2"/>
        <tr r="AT166" s="2"/>
        <tr r="AT166" s="2"/>
      </tp>
      <tp t="s">
        <v>Health Care</v>
        <stp/>
        <stp>##V3_BDPV12</stp>
        <stp>MRK US Equity</stp>
        <stp>DX202</stp>
        <stp>[DPM - Securities Master List (BBG Linked).xlsx]Equities!R167C46</stp>
        <tr r="AT167" s="2"/>
        <tr r="AT167" s="2"/>
        <tr r="AT167" s="2"/>
      </tp>
      <tp t="s">
        <v>Health Care</v>
        <stp/>
        <stp>##V3_BDPV12</stp>
        <stp>MRK US Equity</stp>
        <stp>DX202</stp>
        <stp>[DPM - Securities Master List (BBG Linked).xlsx]Equities!R160C46</stp>
        <tr r="AT160" s="2"/>
        <tr r="AT160" s="2"/>
        <tr r="AT160" s="2"/>
      </tp>
      <tp t="s">
        <v>Health Care</v>
        <stp/>
        <stp>##V3_BDPV12</stp>
        <stp>MRK US Equity</stp>
        <stp>DX202</stp>
        <stp>[DPM - Securities Master List (BBG Linked).xlsx]Equities!R161C46</stp>
        <tr r="AT161" s="2"/>
        <tr r="AT161" s="2"/>
        <tr r="AT161" s="2"/>
      </tp>
      <tp t="s">
        <v>Health Care</v>
        <stp/>
        <stp>##V3_BDPV12</stp>
        <stp>MRK US Equity</stp>
        <stp>DX202</stp>
        <stp>[DPM - Securities Master List (BBG Linked).xlsx]Equities!R162C46</stp>
        <tr r="AT162" s="2"/>
        <tr r="AT162" s="2"/>
        <tr r="AT162" s="2"/>
      </tp>
      <tp t="s">
        <v>Health Care</v>
        <stp/>
        <stp>##V3_BDPV12</stp>
        <stp>MRK US Equity</stp>
        <stp>DX202</stp>
        <stp>[DPM - Securities Master List (BBG Linked).xlsx]Equities!R163C46</stp>
        <tr r="AT163" s="2"/>
        <tr r="AT163" s="2"/>
        <tr r="AT163" s="2"/>
      </tp>
      <tp t="s">
        <v>Health Care</v>
        <stp/>
        <stp>##V3_BDPV12</stp>
        <stp>MRK US Equity</stp>
        <stp>DX202</stp>
        <stp>[DPM - Securities Master List (BBG Linked).xlsx]Equities!R158C46</stp>
        <tr r="AT158" s="2"/>
        <tr r="AT158" s="2"/>
        <tr r="AT158" s="2"/>
      </tp>
      <tp t="s">
        <v>Health Care</v>
        <stp/>
        <stp>##V3_BDPV12</stp>
        <stp>MRK US Equity</stp>
        <stp>DX202</stp>
        <stp>[DPM - Securities Master List (BBG Linked).xlsx]Equities!R159C46</stp>
        <tr r="AT159" s="2"/>
        <tr r="AT159" s="2"/>
        <tr r="AT159" s="2"/>
      </tp>
      <tp t="s">
        <v>Health Care</v>
        <stp/>
        <stp>##V3_BDPV12</stp>
        <stp>MRK US Equity</stp>
        <stp>DX202</stp>
        <stp>[DPM - Securities Master List (BBG Linked).xlsx]Equities!R157C46</stp>
        <tr r="AT157" s="2"/>
        <tr r="AT157" s="2"/>
        <tr r="AT157" s="2"/>
      </tp>
      <tp>
        <v>-10.812010000000001</v>
        <stp/>
        <stp>##V3_BDPV12</stp>
        <stp>LUV US Equity</stp>
        <stp>PR079</stp>
        <stp>[DPM - Securities Master List (BBG Linked).xlsx]Equities!R154C43</stp>
        <tr r="AQ154" s="2"/>
      </tp>
      <tp>
        <v>4.4242424964904785</v>
        <stp/>
        <stp>##V3_BDPV12</stp>
        <stp>MRK US Equity</stp>
        <stp>EE201</stp>
        <stp>[DPM - Securities Master List (BBG Linked).xlsx]Equities!R168C37</stp>
        <tr r="AK168" s="2"/>
        <tr r="AK168" s="2"/>
        <tr r="AK168" s="2"/>
      </tp>
      <tp>
        <v>4.4242424964904785</v>
        <stp/>
        <stp>##V3_BDPV12</stp>
        <stp>MRK US Equity</stp>
        <stp>EE201</stp>
        <stp>[DPM - Securities Master List (BBG Linked).xlsx]Equities!R169C37</stp>
        <tr r="AK169" s="2"/>
        <tr r="AK169" s="2"/>
        <tr r="AK169" s="2"/>
      </tp>
      <tp>
        <v>4.4242424964904785</v>
        <stp/>
        <stp>##V3_BDPV12</stp>
        <stp>MRK US Equity</stp>
        <stp>EE201</stp>
        <stp>[DPM - Securities Master List (BBG Linked).xlsx]Equities!R164C37</stp>
        <tr r="AK164" s="2"/>
        <tr r="AK164" s="2"/>
        <tr r="AK164" s="2"/>
      </tp>
      <tp>
        <v>4.4242424964904785</v>
        <stp/>
        <stp>##V3_BDPV12</stp>
        <stp>MRK US Equity</stp>
        <stp>EE201</stp>
        <stp>[DPM - Securities Master List (BBG Linked).xlsx]Equities!R165C37</stp>
        <tr r="AK165" s="2"/>
        <tr r="AK165" s="2"/>
        <tr r="AK165" s="2"/>
      </tp>
      <tp>
        <v>4.4242424964904785</v>
        <stp/>
        <stp>##V3_BDPV12</stp>
        <stp>MRK US Equity</stp>
        <stp>EE201</stp>
        <stp>[DPM - Securities Master List (BBG Linked).xlsx]Equities!R166C37</stp>
        <tr r="AK166" s="2"/>
        <tr r="AK166" s="2"/>
        <tr r="AK166" s="2"/>
      </tp>
      <tp>
        <v>4.4242424964904785</v>
        <stp/>
        <stp>##V3_BDPV12</stp>
        <stp>MRK US Equity</stp>
        <stp>EE201</stp>
        <stp>[DPM - Securities Master List (BBG Linked).xlsx]Equities!R167C37</stp>
        <tr r="AK167" s="2"/>
        <tr r="AK167" s="2"/>
        <tr r="AK167" s="2"/>
      </tp>
      <tp>
        <v>4.4242424964904785</v>
        <stp/>
        <stp>##V3_BDPV12</stp>
        <stp>MRK US Equity</stp>
        <stp>EE201</stp>
        <stp>[DPM - Securities Master List (BBG Linked).xlsx]Equities!R160C37</stp>
        <tr r="AK160" s="2"/>
        <tr r="AK160" s="2"/>
        <tr r="AK160" s="2"/>
      </tp>
      <tp>
        <v>4.4242424964904785</v>
        <stp/>
        <stp>##V3_BDPV12</stp>
        <stp>MRK US Equity</stp>
        <stp>EE201</stp>
        <stp>[DPM - Securities Master List (BBG Linked).xlsx]Equities!R161C37</stp>
        <tr r="AK161" s="2"/>
        <tr r="AK161" s="2"/>
        <tr r="AK161" s="2"/>
      </tp>
      <tp>
        <v>4.4242424964904785</v>
        <stp/>
        <stp>##V3_BDPV12</stp>
        <stp>MRK US Equity</stp>
        <stp>EE201</stp>
        <stp>[DPM - Securities Master List (BBG Linked).xlsx]Equities!R162C37</stp>
        <tr r="AK162" s="2"/>
        <tr r="AK162" s="2"/>
        <tr r="AK162" s="2"/>
      </tp>
      <tp>
        <v>4.4242424964904785</v>
        <stp/>
        <stp>##V3_BDPV12</stp>
        <stp>MRK US Equity</stp>
        <stp>EE201</stp>
        <stp>[DPM - Securities Master List (BBG Linked).xlsx]Equities!R163C37</stp>
        <tr r="AK163" s="2"/>
        <tr r="AK163" s="2"/>
        <tr r="AK163" s="2"/>
      </tp>
      <tp>
        <v>4.4242424964904785</v>
        <stp/>
        <stp>##V3_BDPV12</stp>
        <stp>MRK US Equity</stp>
        <stp>EE201</stp>
        <stp>[DPM - Securities Master List (BBG Linked).xlsx]Equities!R158C37</stp>
        <tr r="AK158" s="2"/>
        <tr r="AK158" s="2"/>
        <tr r="AK158" s="2"/>
      </tp>
      <tp>
        <v>4.4242424964904785</v>
        <stp/>
        <stp>##V3_BDPV12</stp>
        <stp>MRK US Equity</stp>
        <stp>EE201</stp>
        <stp>[DPM - Securities Master List (BBG Linked).xlsx]Equities!R159C37</stp>
        <tr r="AK159" s="2"/>
        <tr r="AK159" s="2"/>
        <tr r="AK159" s="2"/>
      </tp>
      <tp>
        <v>4.4242424964904785</v>
        <stp/>
        <stp>##V3_BDPV12</stp>
        <stp>MRK US Equity</stp>
        <stp>EE201</stp>
        <stp>[DPM - Securities Master List (BBG Linked).xlsx]Equities!R157C37</stp>
        <tr r="AK157" s="2"/>
        <tr r="AK157" s="2"/>
        <tr r="AK157" s="2"/>
      </tp>
      <tp t="s">
        <v>GBp</v>
        <stp/>
        <stp>##V3_BDPV12</stp>
        <stp>TSCO LN Equity</stp>
        <stp>CRNCY</stp>
        <stp>[DPM - Securities Master List (BBG Linked).xlsx]Equities!R267C6</stp>
        <tr r="F267" s="2"/>
      </tp>
      <tp t="s">
        <v>Microsoft Corp</v>
        <stp/>
        <stp>##V3_BDPV12</stp>
        <stp>MSFT US Equity</stp>
        <stp>SECURITY NAME</stp>
        <stp>[DPM - Securities Master List (BBG Linked).xlsx]Equities!R176C5</stp>
        <tr r="E176" s="2"/>
      </tp>
      <tp t="s">
        <v>Microsoft Corp</v>
        <stp/>
        <stp>##V3_BDPV12</stp>
        <stp>MSFT US Equity</stp>
        <stp>SECURITY NAME</stp>
        <stp>[DPM - Securities Master List (BBG Linked).xlsx]Equities!R186C5</stp>
        <tr r="E186" s="2"/>
      </tp>
      <tp>
        <v>7.7591775667434177</v>
        <stp/>
        <stp>##V3_BDPV12</stp>
        <stp>BIIB US Equity</stp>
        <stp>RR957</stp>
        <stp>[DPM - Securities Master List (BBG Linked).xlsx]Equities!R62C14</stp>
        <tr r="N62" s="2"/>
        <tr r="N62" s="2"/>
        <tr r="N62" s="2"/>
      </tp>
      <tp>
        <v>10.326938851632638</v>
        <stp/>
        <stp>##V3_BDPV12</stp>
        <stp>BIIB US Equity</stp>
        <stp>RR900</stp>
        <stp>[DPM - Securities Master List (BBG Linked).xlsx]Equities!R62C11</stp>
        <tr r="K62" s="2"/>
        <tr r="K62" s="2"/>
        <tr r="K62" s="2"/>
      </tp>
      <tp>
        <v>1.0331284249922847</v>
        <stp/>
        <stp>##V3_BDPV12</stp>
        <stp>BIIB US Equity</stp>
        <stp>RR903</stp>
        <stp>[DPM - Securities Master List (BBG Linked).xlsx]Equities!R62C13</stp>
        <tr r="M62" s="2"/>
        <tr r="M62" s="2"/>
        <tr r="M62" s="2"/>
      </tp>
      <tp>
        <v>6.75832147109438</v>
        <stp/>
        <stp>##V3_BDPV12</stp>
        <stp>BIIB US Equity</stp>
        <stp>RR908</stp>
        <stp>[DPM - Securities Master List (BBG Linked).xlsx]Equities!R62C32</stp>
        <tr r="AF62" s="2"/>
        <tr r="AF62" s="2"/>
        <tr r="AF62" s="2"/>
      </tp>
      <tp t="s">
        <v>Y</v>
        <stp/>
        <stp>##V3_BDPV12</stp>
        <stp>BIIB US Equity</stp>
        <stp>DY997</stp>
        <stp>[DPM - Securities Master List (BBG Linked).xlsx]Equities!R62C47</stp>
        <tr r="AU62" s="2"/>
        <tr r="AU62" s="2"/>
        <tr r="AU62" s="2"/>
      </tp>
      <tp>
        <v>179570.28735380003</v>
        <stp/>
        <stp>##V3_BDPV12</stp>
        <stp>PEP US Equity</stp>
        <stp>CRNCY_ADJ_MKT_CAP</stp>
        <stp>[DPM - Securities Master List (BBG Linked).xlsx]Equities!R234C9</stp>
        <stp>EQY_FUND_CRNCY=USD</stp>
        <tr r="I234" s="2"/>
      </tp>
      <tp>
        <v>179570.28735380003</v>
        <stp/>
        <stp>##V3_BDPV12</stp>
        <stp>PEP US Equity</stp>
        <stp>CRNCY_ADJ_MKT_CAP</stp>
        <stp>[DPM - Securities Master List (BBG Linked).xlsx]Equities!R235C9</stp>
        <stp>EQY_FUND_CRNCY=USD</stp>
        <tr r="I235" s="2"/>
      </tp>
      <tp>
        <v>179570.28735380003</v>
        <stp/>
        <stp>##V3_BDPV12</stp>
        <stp>PEP US Equity</stp>
        <stp>CRNCY_ADJ_MKT_CAP</stp>
        <stp>[DPM - Securities Master List (BBG Linked).xlsx]Equities!R232C9</stp>
        <stp>EQY_FUND_CRNCY=USD</stp>
        <tr r="I232" s="2"/>
      </tp>
      <tp>
        <v>179570.28735380003</v>
        <stp/>
        <stp>##V3_BDPV12</stp>
        <stp>PEP US Equity</stp>
        <stp>CRNCY_ADJ_MKT_CAP</stp>
        <stp>[DPM - Securities Master List (BBG Linked).xlsx]Equities!R233C9</stp>
        <stp>EQY_FUND_CRNCY=USD</stp>
        <tr r="I233" s="2"/>
      </tp>
      <tp>
        <v>179570.28735380003</v>
        <stp/>
        <stp>##V3_BDPV12</stp>
        <stp>PEP US Equity</stp>
        <stp>CRNCY_ADJ_MKT_CAP</stp>
        <stp>[DPM - Securities Master List (BBG Linked).xlsx]Equities!R230C9</stp>
        <stp>EQY_FUND_CRNCY=USD</stp>
        <tr r="I230" s="2"/>
      </tp>
      <tp>
        <v>179570.28735380003</v>
        <stp/>
        <stp>##V3_BDPV12</stp>
        <stp>PEP US Equity</stp>
        <stp>CRNCY_ADJ_MKT_CAP</stp>
        <stp>[DPM - Securities Master List (BBG Linked).xlsx]Equities!R231C9</stp>
        <stp>EQY_FUND_CRNCY=USD</stp>
        <tr r="I231" s="2"/>
      </tp>
      <tp t="s">
        <v>Y</v>
        <stp/>
        <stp>##V3_BDPV12</stp>
        <stp>BP/ LN Equity</stp>
        <stp>DY997</stp>
        <stp>[DPM - Securities Master List (BBG Linked).xlsx]Equities!R87C47</stp>
        <tr r="AU87" s="2"/>
        <tr r="AU87" s="2"/>
        <tr r="AU87" s="2"/>
      </tp>
      <tp t="s">
        <v>Y</v>
        <stp/>
        <stp>##V3_BDPV12</stp>
        <stp>BP/ LN Equity</stp>
        <stp>DY997</stp>
        <stp>[DPM - Securities Master List (BBG Linked).xlsx]Equities!R86C47</stp>
        <tr r="AU86" s="2"/>
        <tr r="AU86" s="2"/>
        <tr r="AU86" s="2"/>
      </tp>
      <tp t="s">
        <v>Y</v>
        <stp/>
        <stp>##V3_BDPV12</stp>
        <stp>BP/ LN Equity</stp>
        <stp>DY997</stp>
        <stp>[DPM - Securities Master List (BBG Linked).xlsx]Equities!R85C47</stp>
        <tr r="AU85" s="2"/>
        <tr r="AU85" s="2"/>
        <tr r="AU85" s="2"/>
      </tp>
      <tp t="s">
        <v>Y</v>
        <stp/>
        <stp>##V3_BDPV12</stp>
        <stp>BP/ LN Equity</stp>
        <stp>DY997</stp>
        <stp>[DPM - Securities Master List (BBG Linked).xlsx]Equities!R84C47</stp>
        <tr r="AU84" s="2"/>
        <tr r="AU84" s="2"/>
        <tr r="AU84" s="2"/>
      </tp>
      <tp t="s">
        <v>Y</v>
        <stp/>
        <stp>##V3_BDPV12</stp>
        <stp>BP/ LN Equity</stp>
        <stp>DY997</stp>
        <stp>[DPM - Securities Master List (BBG Linked).xlsx]Equities!R83C47</stp>
        <tr r="AU83" s="2"/>
        <tr r="AU83" s="2"/>
        <tr r="AU83" s="2"/>
      </tp>
      <tp t="s">
        <v>Y</v>
        <stp/>
        <stp>##V3_BDPV12</stp>
        <stp>BP/ LN Equity</stp>
        <stp>DY997</stp>
        <stp>[DPM - Securities Master List (BBG Linked).xlsx]Equities!R82C47</stp>
        <tr r="AU82" s="2"/>
        <tr r="AU82" s="2"/>
        <tr r="AU82" s="2"/>
      </tp>
      <tp t="s">
        <v>Y</v>
        <stp/>
        <stp>##V3_BDPV12</stp>
        <stp>BP/ LN Equity</stp>
        <stp>DY997</stp>
        <stp>[DPM - Securities Master List (BBG Linked).xlsx]Equities!R81C47</stp>
        <tr r="AU81" s="2"/>
        <tr r="AU81" s="2"/>
        <tr r="AU81" s="2"/>
      </tp>
      <tp t="s">
        <v>Y</v>
        <stp/>
        <stp>##V3_BDPV12</stp>
        <stp>BP/ LN Equity</stp>
        <stp>DY997</stp>
        <stp>[DPM - Securities Master List (BBG Linked).xlsx]Equities!R80C47</stp>
        <tr r="AU80" s="2"/>
        <tr r="AU80" s="2"/>
        <tr r="AU80" s="2"/>
      </tp>
      <tp t="s">
        <v>Y</v>
        <stp/>
        <stp>##V3_BDPV12</stp>
        <stp>BP/ LN Equity</stp>
        <stp>DY997</stp>
        <stp>[DPM - Securities Master List (BBG Linked).xlsx]Equities!R89C47</stp>
        <tr r="AU89" s="2"/>
        <tr r="AU89" s="2"/>
        <tr r="AU89" s="2"/>
      </tp>
      <tp t="s">
        <v>Y</v>
        <stp/>
        <stp>##V3_BDPV12</stp>
        <stp>BP/ LN Equity</stp>
        <stp>DY997</stp>
        <stp>[DPM - Securities Master List (BBG Linked).xlsx]Equities!R88C47</stp>
        <tr r="AU88" s="2"/>
        <tr r="AU88" s="2"/>
        <tr r="AU88" s="2"/>
      </tp>
      <tp t="s">
        <v>Y</v>
        <stp/>
        <stp>##V3_BDPV12</stp>
        <stp>BP/ LN Equity</stp>
        <stp>DY997</stp>
        <stp>[DPM - Securities Master List (BBG Linked).xlsx]Equities!R90C47</stp>
        <tr r="AU90" s="2"/>
        <tr r="AU90" s="2"/>
        <tr r="AU90" s="2"/>
      </tp>
      <tp t="s">
        <v>Y</v>
        <stp/>
        <stp>##V3_BDPV12</stp>
        <stp>BP/ LN Equity</stp>
        <stp>DY997</stp>
        <stp>[DPM - Securities Master List (BBG Linked).xlsx]Equities!R77C47</stp>
        <tr r="AU77" s="2"/>
        <tr r="AU77" s="2"/>
        <tr r="AU77" s="2"/>
      </tp>
      <tp t="s">
        <v>Y</v>
        <stp/>
        <stp>##V3_BDPV12</stp>
        <stp>BP/ LN Equity</stp>
        <stp>DY997</stp>
        <stp>[DPM - Securities Master List (BBG Linked).xlsx]Equities!R79C47</stp>
        <tr r="AU79" s="2"/>
        <tr r="AU79" s="2"/>
        <tr r="AU79" s="2"/>
      </tp>
      <tp t="s">
        <v>Y</v>
        <stp/>
        <stp>##V3_BDPV12</stp>
        <stp>BP/ LN Equity</stp>
        <stp>DY997</stp>
        <stp>[DPM - Securities Master List (BBG Linked).xlsx]Equities!R78C47</stp>
        <tr r="AU78" s="2"/>
        <tr r="AU78" s="2"/>
        <tr r="AU78" s="2"/>
      </tp>
      <tp t="s">
        <v>NIKE Inc</v>
        <stp/>
        <stp>##V3_BDPV12</stp>
        <stp>NKE US Equity</stp>
        <stp>SECURITY NAME</stp>
        <stp>[DPM - Securities Master List (BBG Linked).xlsx]Equities!R209C5</stp>
        <tr r="E209" s="2"/>
      </tp>
      <tp t="s">
        <v>NIKE Inc</v>
        <stp/>
        <stp>##V3_BDPV12</stp>
        <stp>NKE US Equity</stp>
        <stp>SECURITY NAME</stp>
        <stp>[DPM - Securities Master List (BBG Linked).xlsx]Equities!R219C5</stp>
        <tr r="E219" s="2"/>
      </tp>
      <tp t="s">
        <v>USD</v>
        <stp/>
        <stp>##V3_BDPV12</stp>
        <stp>ZBH US Equity</stp>
        <stp>CRNCY</stp>
        <stp>[DPM - Securities Master List (BBG Linked).xlsx]Equities!R295C6</stp>
        <tr r="F295" s="2"/>
      </tp>
      <tp t="s">
        <v>Walt Disney Co/The</v>
        <stp/>
        <stp>##V3_BDPV12</stp>
        <stp>DIS US Equity</stp>
        <stp>SECURITY NAME</stp>
        <stp>[DPM - Securities Master List (BBG Linked).xlsx]Equities!R113C5</stp>
        <tr r="E113" s="2"/>
      </tp>
      <tp>
        <v>5.9034009281036388</v>
        <stp/>
        <stp>##V3_BDPV12</stp>
        <stp>BP/ LN Equity</stp>
        <stp>RR957</stp>
        <stp>[DPM - Securities Master List (BBG Linked).xlsx]Equities!R90C14</stp>
        <tr r="N90" s="2"/>
        <tr r="N90" s="2"/>
        <tr r="N90" s="2"/>
      </tp>
      <tp>
        <v>5.9034009281036388</v>
        <stp/>
        <stp>##V3_BDPV12</stp>
        <stp>BP/ LN Equity</stp>
        <stp>RR957</stp>
        <stp>[DPM - Securities Master List (BBG Linked).xlsx]Equities!R88C14</stp>
        <tr r="N88" s="2"/>
        <tr r="N88" s="2"/>
        <tr r="N88" s="2"/>
      </tp>
      <tp>
        <v>5.9034009281036388</v>
        <stp/>
        <stp>##V3_BDPV12</stp>
        <stp>BP/ LN Equity</stp>
        <stp>RR957</stp>
        <stp>[DPM - Securities Master List (BBG Linked).xlsx]Equities!R89C14</stp>
        <tr r="N89" s="2"/>
        <tr r="N89" s="2"/>
        <tr r="N89" s="2"/>
      </tp>
      <tp>
        <v>5.9034009281036388</v>
        <stp/>
        <stp>##V3_BDPV12</stp>
        <stp>BP/ LN Equity</stp>
        <stp>RR957</stp>
        <stp>[DPM - Securities Master List (BBG Linked).xlsx]Equities!R84C14</stp>
        <tr r="N84" s="2"/>
        <tr r="N84" s="2"/>
        <tr r="N84" s="2"/>
      </tp>
      <tp>
        <v>5.9034009281036388</v>
        <stp/>
        <stp>##V3_BDPV12</stp>
        <stp>BP/ LN Equity</stp>
        <stp>RR957</stp>
        <stp>[DPM - Securities Master List (BBG Linked).xlsx]Equities!R85C14</stp>
        <tr r="N85" s="2"/>
        <tr r="N85" s="2"/>
        <tr r="N85" s="2"/>
      </tp>
      <tp>
        <v>5.9034009281036388</v>
        <stp/>
        <stp>##V3_BDPV12</stp>
        <stp>BP/ LN Equity</stp>
        <stp>RR957</stp>
        <stp>[DPM - Securities Master List (BBG Linked).xlsx]Equities!R86C14</stp>
        <tr r="N86" s="2"/>
        <tr r="N86" s="2"/>
        <tr r="N86" s="2"/>
      </tp>
      <tp>
        <v>5.9034009281036388</v>
        <stp/>
        <stp>##V3_BDPV12</stp>
        <stp>BP/ LN Equity</stp>
        <stp>RR957</stp>
        <stp>[DPM - Securities Master List (BBG Linked).xlsx]Equities!R87C14</stp>
        <tr r="N87" s="2"/>
        <tr r="N87" s="2"/>
        <tr r="N87" s="2"/>
      </tp>
      <tp>
        <v>5.9034009281036388</v>
        <stp/>
        <stp>##V3_BDPV12</stp>
        <stp>BP/ LN Equity</stp>
        <stp>RR957</stp>
        <stp>[DPM - Securities Master List (BBG Linked).xlsx]Equities!R80C14</stp>
        <tr r="N80" s="2"/>
        <tr r="N80" s="2"/>
        <tr r="N80" s="2"/>
      </tp>
      <tp>
        <v>5.9034009281036388</v>
        <stp/>
        <stp>##V3_BDPV12</stp>
        <stp>BP/ LN Equity</stp>
        <stp>RR957</stp>
        <stp>[DPM - Securities Master List (BBG Linked).xlsx]Equities!R81C14</stp>
        <tr r="N81" s="2"/>
        <tr r="N81" s="2"/>
        <tr r="N81" s="2"/>
      </tp>
      <tp>
        <v>5.9034009281036388</v>
        <stp/>
        <stp>##V3_BDPV12</stp>
        <stp>BP/ LN Equity</stp>
        <stp>RR957</stp>
        <stp>[DPM - Securities Master List (BBG Linked).xlsx]Equities!R82C14</stp>
        <tr r="N82" s="2"/>
        <tr r="N82" s="2"/>
        <tr r="N82" s="2"/>
      </tp>
      <tp>
        <v>5.9034009281036388</v>
        <stp/>
        <stp>##V3_BDPV12</stp>
        <stp>BP/ LN Equity</stp>
        <stp>RR957</stp>
        <stp>[DPM - Securities Master List (BBG Linked).xlsx]Equities!R83C14</stp>
        <tr r="N83" s="2"/>
        <tr r="N83" s="2"/>
        <tr r="N83" s="2"/>
      </tp>
      <tp>
        <v>5.9034009281036388</v>
        <stp/>
        <stp>##V3_BDPV12</stp>
        <stp>BP/ LN Equity</stp>
        <stp>RR957</stp>
        <stp>[DPM - Securities Master List (BBG Linked).xlsx]Equities!R78C14</stp>
        <tr r="N78" s="2"/>
        <tr r="N78" s="2"/>
        <tr r="N78" s="2"/>
      </tp>
      <tp>
        <v>5.9034009281036388</v>
        <stp/>
        <stp>##V3_BDPV12</stp>
        <stp>BP/ LN Equity</stp>
        <stp>RR957</stp>
        <stp>[DPM - Securities Master List (BBG Linked).xlsx]Equities!R79C14</stp>
        <tr r="N79" s="2"/>
        <tr r="N79" s="2"/>
        <tr r="N79" s="2"/>
      </tp>
      <tp>
        <v>5.9034009281036388</v>
        <stp/>
        <stp>##V3_BDPV12</stp>
        <stp>BP/ LN Equity</stp>
        <stp>RR957</stp>
        <stp>[DPM - Securities Master List (BBG Linked).xlsx]Equities!R77C14</stp>
        <tr r="N77" s="2"/>
        <tr r="N77" s="2"/>
        <tr r="N77" s="2"/>
      </tp>
      <tp>
        <v>1.2893008069955465</v>
        <stp/>
        <stp>##V3_BDPV12</stp>
        <stp>BP/ LN Equity</stp>
        <stp>RR903</stp>
        <stp>[DPM - Securities Master List (BBG Linked).xlsx]Equities!R88C13</stp>
        <tr r="M88" s="2"/>
        <tr r="M88" s="2"/>
        <tr r="M88" s="2"/>
      </tp>
      <tp>
        <v>1.2893008069955465</v>
        <stp/>
        <stp>##V3_BDPV12</stp>
        <stp>BP/ LN Equity</stp>
        <stp>RR903</stp>
        <stp>[DPM - Securities Master List (BBG Linked).xlsx]Equities!R89C13</stp>
        <tr r="M89" s="2"/>
        <tr r="M89" s="2"/>
        <tr r="M89" s="2"/>
      </tp>
      <tp>
        <v>1.2893008069955465</v>
        <stp/>
        <stp>##V3_BDPV12</stp>
        <stp>BP/ LN Equity</stp>
        <stp>RR903</stp>
        <stp>[DPM - Securities Master List (BBG Linked).xlsx]Equities!R84C13</stp>
        <tr r="M84" s="2"/>
        <tr r="M84" s="2"/>
        <tr r="M84" s="2"/>
      </tp>
      <tp>
        <v>1.2893008069955465</v>
        <stp/>
        <stp>##V3_BDPV12</stp>
        <stp>BP/ LN Equity</stp>
        <stp>RR903</stp>
        <stp>[DPM - Securities Master List (BBG Linked).xlsx]Equities!R85C13</stp>
        <tr r="M85" s="2"/>
        <tr r="M85" s="2"/>
        <tr r="M85" s="2"/>
      </tp>
      <tp>
        <v>1.2893008069955465</v>
        <stp/>
        <stp>##V3_BDPV12</stp>
        <stp>BP/ LN Equity</stp>
        <stp>RR903</stp>
        <stp>[DPM - Securities Master List (BBG Linked).xlsx]Equities!R86C13</stp>
        <tr r="M86" s="2"/>
        <tr r="M86" s="2"/>
        <tr r="M86" s="2"/>
      </tp>
      <tp>
        <v>1.2893008069955465</v>
        <stp/>
        <stp>##V3_BDPV12</stp>
        <stp>BP/ LN Equity</stp>
        <stp>RR903</stp>
        <stp>[DPM - Securities Master List (BBG Linked).xlsx]Equities!R87C13</stp>
        <tr r="M87" s="2"/>
        <tr r="M87" s="2"/>
        <tr r="M87" s="2"/>
      </tp>
      <tp t="s">
        <v>#N/A N/A</v>
        <stp/>
        <stp>##V3_BDPV12</stp>
        <stp>BP/ LN Equity</stp>
        <stp>RR900</stp>
        <stp>[DPM - Securities Master List (BBG Linked).xlsx]Equities!R90C11</stp>
        <tr r="K90" s="2"/>
        <tr r="K90" s="2"/>
      </tp>
      <tp>
        <v>1.2893008069955465</v>
        <stp/>
        <stp>##V3_BDPV12</stp>
        <stp>BP/ LN Equity</stp>
        <stp>RR903</stp>
        <stp>[DPM - Securities Master List (BBG Linked).xlsx]Equities!R80C13</stp>
        <tr r="M80" s="2"/>
        <tr r="M80" s="2"/>
        <tr r="M80" s="2"/>
      </tp>
      <tp>
        <v>1.2893008069955465</v>
        <stp/>
        <stp>##V3_BDPV12</stp>
        <stp>BP/ LN Equity</stp>
        <stp>RR903</stp>
        <stp>[DPM - Securities Master List (BBG Linked).xlsx]Equities!R81C13</stp>
        <tr r="M81" s="2"/>
        <tr r="M81" s="2"/>
        <tr r="M81" s="2"/>
      </tp>
      <tp>
        <v>1.2893008069955465</v>
        <stp/>
        <stp>##V3_BDPV12</stp>
        <stp>BP/ LN Equity</stp>
        <stp>RR903</stp>
        <stp>[DPM - Securities Master List (BBG Linked).xlsx]Equities!R82C13</stp>
        <tr r="M82" s="2"/>
        <tr r="M82" s="2"/>
        <tr r="M82" s="2"/>
      </tp>
      <tp>
        <v>1.2893008069955465</v>
        <stp/>
        <stp>##V3_BDPV12</stp>
        <stp>BP/ LN Equity</stp>
        <stp>RR903</stp>
        <stp>[DPM - Securities Master List (BBG Linked).xlsx]Equities!R83C13</stp>
        <tr r="M83" s="2"/>
        <tr r="M83" s="2"/>
        <tr r="M83" s="2"/>
      </tp>
      <tp t="s">
        <v>#N/A N/A</v>
        <stp/>
        <stp>##V3_BDPV12</stp>
        <stp>BP/ LN Equity</stp>
        <stp>RR900</stp>
        <stp>[DPM - Securities Master List (BBG Linked).xlsx]Equities!R88C11</stp>
        <tr r="K88" s="2"/>
        <tr r="K88" s="2"/>
      </tp>
      <tp t="s">
        <v>#N/A N/A</v>
        <stp/>
        <stp>##V3_BDPV12</stp>
        <stp>BP/ LN Equity</stp>
        <stp>RR900</stp>
        <stp>[DPM - Securities Master List (BBG Linked).xlsx]Equities!R89C11</stp>
        <tr r="K89" s="2"/>
        <tr r="K89" s="2"/>
      </tp>
      <tp t="s">
        <v>#N/A N/A</v>
        <stp/>
        <stp>##V3_BDPV12</stp>
        <stp>BP/ LN Equity</stp>
        <stp>RR900</stp>
        <stp>[DPM - Securities Master List (BBG Linked).xlsx]Equities!R84C11</stp>
        <tr r="K84" s="2"/>
        <tr r="K84" s="2"/>
      </tp>
      <tp t="s">
        <v>#N/A N/A</v>
        <stp/>
        <stp>##V3_BDPV12</stp>
        <stp>BP/ LN Equity</stp>
        <stp>RR900</stp>
        <stp>[DPM - Securities Master List (BBG Linked).xlsx]Equities!R85C11</stp>
        <tr r="K85" s="2"/>
        <tr r="K85" s="2"/>
      </tp>
      <tp t="s">
        <v>#N/A N/A</v>
        <stp/>
        <stp>##V3_BDPV12</stp>
        <stp>BP/ LN Equity</stp>
        <stp>RR900</stp>
        <stp>[DPM - Securities Master List (BBG Linked).xlsx]Equities!R86C11</stp>
        <tr r="K86" s="2"/>
        <tr r="K86" s="2"/>
      </tp>
      <tp t="s">
        <v>#N/A N/A</v>
        <stp/>
        <stp>##V3_BDPV12</stp>
        <stp>BP/ LN Equity</stp>
        <stp>RR900</stp>
        <stp>[DPM - Securities Master List (BBG Linked).xlsx]Equities!R87C11</stp>
        <tr r="K87" s="2"/>
        <tr r="K87" s="2"/>
      </tp>
      <tp t="s">
        <v>#N/A N/A</v>
        <stp/>
        <stp>##V3_BDPV12</stp>
        <stp>BP/ LN Equity</stp>
        <stp>RR900</stp>
        <stp>[DPM - Securities Master List (BBG Linked).xlsx]Equities!R80C11</stp>
        <tr r="K80" s="2"/>
        <tr r="K80" s="2"/>
      </tp>
      <tp>
        <v>1.2893008069955465</v>
        <stp/>
        <stp>##V3_BDPV12</stp>
        <stp>BP/ LN Equity</stp>
        <stp>RR903</stp>
        <stp>[DPM - Securities Master List (BBG Linked).xlsx]Equities!R90C13</stp>
        <tr r="M90" s="2"/>
        <tr r="M90" s="2"/>
        <tr r="M90" s="2"/>
      </tp>
      <tp t="s">
        <v>#N/A N/A</v>
        <stp/>
        <stp>##V3_BDPV12</stp>
        <stp>BP/ LN Equity</stp>
        <stp>RR900</stp>
        <stp>[DPM - Securities Master List (BBG Linked).xlsx]Equities!R81C11</stp>
        <tr r="K81" s="2"/>
        <tr r="K81" s="2"/>
      </tp>
      <tp t="s">
        <v>#N/A N/A</v>
        <stp/>
        <stp>##V3_BDPV12</stp>
        <stp>BP/ LN Equity</stp>
        <stp>RR900</stp>
        <stp>[DPM - Securities Master List (BBG Linked).xlsx]Equities!R82C11</stp>
        <tr r="K82" s="2"/>
        <tr r="K82" s="2"/>
      </tp>
      <tp t="s">
        <v>#N/A N/A</v>
        <stp/>
        <stp>##V3_BDPV12</stp>
        <stp>BP/ LN Equity</stp>
        <stp>RR900</stp>
        <stp>[DPM - Securities Master List (BBG Linked).xlsx]Equities!R83C11</stp>
        <tr r="K83" s="2"/>
        <tr r="K83" s="2"/>
      </tp>
      <tp t="s">
        <v>#N/A N/A</v>
        <stp/>
        <stp>##V3_BDPV12</stp>
        <stp>BP/ LN Equity</stp>
        <stp>RR900</stp>
        <stp>[DPM - Securities Master List (BBG Linked).xlsx]Equities!R78C11</stp>
        <tr r="K78" s="2"/>
        <tr r="K78" s="2"/>
      </tp>
      <tp t="s">
        <v>#N/A N/A</v>
        <stp/>
        <stp>##V3_BDPV12</stp>
        <stp>BP/ LN Equity</stp>
        <stp>RR900</stp>
        <stp>[DPM - Securities Master List (BBG Linked).xlsx]Equities!R79C11</stp>
        <tr r="K79" s="2"/>
        <tr r="K79" s="2"/>
      </tp>
      <tp t="s">
        <v>#N/A N/A</v>
        <stp/>
        <stp>##V3_BDPV12</stp>
        <stp>BP/ LN Equity</stp>
        <stp>RR900</stp>
        <stp>[DPM - Securities Master List (BBG Linked).xlsx]Equities!R77C11</stp>
        <tr r="K77" s="2"/>
        <tr r="K77" s="2"/>
      </tp>
      <tp>
        <v>1.2893008069955465</v>
        <stp/>
        <stp>##V3_BDPV12</stp>
        <stp>BP/ LN Equity</stp>
        <stp>RR903</stp>
        <stp>[DPM - Securities Master List (BBG Linked).xlsx]Equities!R78C13</stp>
        <tr r="M78" s="2"/>
        <tr r="M78" s="2"/>
        <tr r="M78" s="2"/>
      </tp>
      <tp>
        <v>1.2893008069955465</v>
        <stp/>
        <stp>##V3_BDPV12</stp>
        <stp>BP/ LN Equity</stp>
        <stp>RR903</stp>
        <stp>[DPM - Securities Master List (BBG Linked).xlsx]Equities!R79C13</stp>
        <tr r="M79" s="2"/>
        <tr r="M79" s="2"/>
        <tr r="M79" s="2"/>
      </tp>
      <tp>
        <v>1.2893008069955465</v>
        <stp/>
        <stp>##V3_BDPV12</stp>
        <stp>BP/ LN Equity</stp>
        <stp>RR903</stp>
        <stp>[DPM - Securities Master List (BBG Linked).xlsx]Equities!R77C13</stp>
        <tr r="M77" s="2"/>
        <tr r="M77" s="2"/>
        <tr r="M77" s="2"/>
      </tp>
      <tp>
        <v>3.0682236991315448</v>
        <stp/>
        <stp>##V3_BDPV12</stp>
        <stp>BP/ LN Equity</stp>
        <stp>RR908</stp>
        <stp>[DPM - Securities Master List (BBG Linked).xlsx]Equities!R78C32</stp>
        <tr r="AF78" s="2"/>
        <tr r="AF78" s="2"/>
        <tr r="AF78" s="2"/>
      </tp>
      <tp>
        <v>3.0682236991315448</v>
        <stp/>
        <stp>##V3_BDPV12</stp>
        <stp>BP/ LN Equity</stp>
        <stp>RR908</stp>
        <stp>[DPM - Securities Master List (BBG Linked).xlsx]Equities!R79C32</stp>
        <tr r="AF79" s="2"/>
        <tr r="AF79" s="2"/>
        <tr r="AF79" s="2"/>
      </tp>
      <tp>
        <v>3.0682236991315448</v>
        <stp/>
        <stp>##V3_BDPV12</stp>
        <stp>BP/ LN Equity</stp>
        <stp>RR908</stp>
        <stp>[DPM - Securities Master List (BBG Linked).xlsx]Equities!R77C32</stp>
        <tr r="AF77" s="2"/>
        <tr r="AF77" s="2"/>
        <tr r="AF77" s="2"/>
      </tp>
      <tp>
        <v>3.0682236991315448</v>
        <stp/>
        <stp>##V3_BDPV12</stp>
        <stp>BP/ LN Equity</stp>
        <stp>RR908</stp>
        <stp>[DPM - Securities Master List (BBG Linked).xlsx]Equities!R88C32</stp>
        <tr r="AF88" s="2"/>
        <tr r="AF88" s="2"/>
        <tr r="AF88" s="2"/>
      </tp>
      <tp>
        <v>3.0682236991315448</v>
        <stp/>
        <stp>##V3_BDPV12</stp>
        <stp>BP/ LN Equity</stp>
        <stp>RR908</stp>
        <stp>[DPM - Securities Master List (BBG Linked).xlsx]Equities!R89C32</stp>
        <tr r="AF89" s="2"/>
        <tr r="AF89" s="2"/>
        <tr r="AF89" s="2"/>
      </tp>
      <tp>
        <v>3.0682236991315448</v>
        <stp/>
        <stp>##V3_BDPV12</stp>
        <stp>BP/ LN Equity</stp>
        <stp>RR908</stp>
        <stp>[DPM - Securities Master List (BBG Linked).xlsx]Equities!R84C32</stp>
        <tr r="AF84" s="2"/>
        <tr r="AF84" s="2"/>
        <tr r="AF84" s="2"/>
      </tp>
      <tp>
        <v>3.0682236991315448</v>
        <stp/>
        <stp>##V3_BDPV12</stp>
        <stp>BP/ LN Equity</stp>
        <stp>RR908</stp>
        <stp>[DPM - Securities Master List (BBG Linked).xlsx]Equities!R85C32</stp>
        <tr r="AF85" s="2"/>
        <tr r="AF85" s="2"/>
        <tr r="AF85" s="2"/>
      </tp>
      <tp>
        <v>3.0682236991315448</v>
        <stp/>
        <stp>##V3_BDPV12</stp>
        <stp>BP/ LN Equity</stp>
        <stp>RR908</stp>
        <stp>[DPM - Securities Master List (BBG Linked).xlsx]Equities!R86C32</stp>
        <tr r="AF86" s="2"/>
        <tr r="AF86" s="2"/>
        <tr r="AF86" s="2"/>
      </tp>
      <tp>
        <v>3.0682236991315448</v>
        <stp/>
        <stp>##V3_BDPV12</stp>
        <stp>BP/ LN Equity</stp>
        <stp>RR908</stp>
        <stp>[DPM - Securities Master List (BBG Linked).xlsx]Equities!R87C32</stp>
        <tr r="AF87" s="2"/>
        <tr r="AF87" s="2"/>
        <tr r="AF87" s="2"/>
      </tp>
      <tp>
        <v>3.0682236991315448</v>
        <stp/>
        <stp>##V3_BDPV12</stp>
        <stp>BP/ LN Equity</stp>
        <stp>RR908</stp>
        <stp>[DPM - Securities Master List (BBG Linked).xlsx]Equities!R80C32</stp>
        <tr r="AF80" s="2"/>
        <tr r="AF80" s="2"/>
        <tr r="AF80" s="2"/>
      </tp>
      <tp>
        <v>3.0682236991315448</v>
        <stp/>
        <stp>##V3_BDPV12</stp>
        <stp>BP/ LN Equity</stp>
        <stp>RR908</stp>
        <stp>[DPM - Securities Master List (BBG Linked).xlsx]Equities!R81C32</stp>
        <tr r="AF81" s="2"/>
        <tr r="AF81" s="2"/>
        <tr r="AF81" s="2"/>
      </tp>
      <tp>
        <v>3.0682236991315448</v>
        <stp/>
        <stp>##V3_BDPV12</stp>
        <stp>BP/ LN Equity</stp>
        <stp>RR908</stp>
        <stp>[DPM - Securities Master List (BBG Linked).xlsx]Equities!R82C32</stp>
        <tr r="AF82" s="2"/>
        <tr r="AF82" s="2"/>
        <tr r="AF82" s="2"/>
      </tp>
      <tp>
        <v>3.0682236991315448</v>
        <stp/>
        <stp>##V3_BDPV12</stp>
        <stp>BP/ LN Equity</stp>
        <stp>RR908</stp>
        <stp>[DPM - Securities Master List (BBG Linked).xlsx]Equities!R83C32</stp>
        <tr r="AF83" s="2"/>
        <tr r="AF83" s="2"/>
        <tr r="AF83" s="2"/>
      </tp>
      <tp>
        <v>3.0682236991315448</v>
        <stp/>
        <stp>##V3_BDPV12</stp>
        <stp>BP/ LN Equity</stp>
        <stp>RR908</stp>
        <stp>[DPM - Securities Master List (BBG Linked).xlsx]Equities!R90C32</stp>
        <tr r="AF90" s="2"/>
        <tr r="AF90" s="2"/>
        <tr r="AF90" s="2"/>
      </tp>
      <tp t="s">
        <v>GBp</v>
        <stp/>
        <stp>##V3_BDPV12</stp>
        <stp>DRX LN Equity</stp>
        <stp>CRNCY</stp>
        <stp>[DPM - Securities Master List (BBG Linked).xlsx]Equities!R122C6</stp>
        <tr r="F122" s="2"/>
      </tp>
      <tp>
        <v>20.68184299596026</v>
        <stp/>
        <stp>##V3_BDPV12</stp>
        <stp>DD US Equity</stp>
        <stp>RR041</stp>
        <stp>[DPM - Securities Master List (BBG Linked).xlsx]Equities!R91C33</stp>
        <tr r="AG91" s="2"/>
        <tr r="AG91" s="2"/>
        <tr r="AG91" s="2"/>
      </tp>
      <tp>
        <v>90.06</v>
        <stp/>
        <stp>##V3_BDPV12</stp>
        <stp>DD US Equity</stp>
        <stp>hs001</stp>
        <stp>[DPM - Securities Master List (BBG Linked).xlsx]Equities!R91C44</stp>
        <tr r="AR91" s="2"/>
      </tp>
      <tp>
        <v>53.77</v>
        <stp/>
        <stp>##V3_BDPV12</stp>
        <stp>DD US Equity</stp>
        <stp>hs002</stp>
        <stp>[DPM - Securities Master List (BBG Linked).xlsx]Equities!R91C45</stp>
        <tr r="AS91" s="2"/>
      </tp>
      <tp t="s">
        <v>US26614N1028</v>
        <stp/>
        <stp>##V3_BDPV12</stp>
        <stp>DD US Equity</stp>
        <stp>ID005</stp>
        <stp>[DPM - Securities Master List (BBG Linked).xlsx]Equities!R91C55</stp>
        <tr r="BC91" s="2"/>
      </tp>
      <tp>
        <v>10.382149999999999</v>
        <stp/>
        <stp>##V3_BDPV12</stp>
        <stp>DD US Equity</stp>
        <stp>PR061</stp>
        <stp>[DPM - Securities Master List (BBG Linked).xlsx]Equities!R91C40</stp>
        <tr r="AN91" s="2"/>
      </tp>
      <tp>
        <v>-15.746</v>
        <stp/>
        <stp>##V3_BDPV12</stp>
        <stp>DD US Equity</stp>
        <stp>PR064</stp>
        <stp>[DPM - Securities Master List (BBG Linked).xlsx]Equities!R91C41</stp>
        <tr r="AO91" s="2"/>
      </tp>
      <tp>
        <v>-14.386889999999999</v>
        <stp/>
        <stp>##V3_BDPV12</stp>
        <stp>DD US Equity</stp>
        <stp>PR079</stp>
        <stp>[DPM - Securities Master List (BBG Linked).xlsx]Equities!R91C43</stp>
        <tr r="AQ91" s="2"/>
      </tp>
      <tp>
        <v>13.904153354632587</v>
        <stp/>
        <stp>##V3_BDPV12</stp>
        <stp>DD US Equity</stp>
        <stp>EE010</stp>
        <stp>[DPM - Securities Master List (BBG Linked).xlsx]Equities!R91C12</stp>
        <tr r="L91" s="2"/>
        <tr r="L91" s="2"/>
        <tr r="L91" s="2"/>
      </tp>
      <tp>
        <v>2.5122548800473119</v>
        <stp/>
        <stp>##V3_BDPV12</stp>
        <stp>DD US Equity</stp>
        <stp>DV013</stp>
        <stp>[DPM - Securities Master List (BBG Linked).xlsx]Equities!R91C10</stp>
        <tr r="J91" s="2"/>
      </tp>
      <tp t="s">
        <v>Equity</v>
        <stp/>
        <stp>##V3_BDPV12</stp>
        <stp>DD US Equity</stp>
        <stp>EX028</stp>
        <stp>[DPM - Securities Master List (BBG Linked).xlsx]Equities!R91C30</stp>
        <tr r="AD91" s="2"/>
        <tr r="AD91" s="2"/>
        <tr r="AD91" s="2"/>
      </tp>
      <tp>
        <v>6.2911529999999996</v>
        <stp/>
        <stp>##V3_BDPV12</stp>
        <stp>XS2542166744 isin</stp>
        <stp>YAS_BOND_YLD</stp>
        <stp>[DPM - Securities Master List (BBG Linked).xlsx]Bonds!R84C10</stp>
        <stp>YAS_YLD_FLAG=15</stp>
        <stp>user_local_trade_date</stp>
        <stp>45783</stp>
        <stp>Yas_bond_px</stp>
        <stp>102.236999999999995</stp>
        <tr r="J84" s="1"/>
      </tp>
      <tp>
        <v>6.2911529999999996</v>
        <stp/>
        <stp>##V3_BDPV12</stp>
        <stp>XS2542166744 isin</stp>
        <stp>YAS_BOND_YLD</stp>
        <stp>[DPM - Securities Master List (BBG Linked).xlsx]Bonds!R70C10</stp>
        <stp>YAS_YLD_FLAG=15</stp>
        <stp>user_local_trade_date</stp>
        <stp>45783</stp>
        <stp>Yas_bond_px</stp>
        <stp>102.236999999999995</stp>
        <tr r="J70" s="1"/>
      </tp>
      <tp t="s">
        <v>TotalEnergies SE</v>
        <stp/>
        <stp>##V3_BDPV12</stp>
        <stp>TTE FP Equity</stp>
        <stp>SECURITY NAME</stp>
        <stp>[DPM - Securities Master List (BBG Linked).xlsx]Equities!R280C5</stp>
        <tr r="E280" s="2"/>
      </tp>
      <tp>
        <v>-22.13438</v>
        <stp/>
        <stp>##V3_BDPV12</stp>
        <stp>NVO US Equity</stp>
        <stp>PR079</stp>
        <stp>[DPM - Securities Master List (BBG Linked).xlsx]Equities!R225C43</stp>
        <tr r="AQ225" s="2"/>
      </tp>
      <tp>
        <v>17</v>
        <stp/>
        <stp>##V3_BDPV12</stp>
        <stp>PEP US Equity</stp>
        <stp>TOT_HOLD_REC</stp>
        <stp>[DPM - Securities Master List (BBG Linked).xlsx]Equities!R228C35</stp>
        <tr r="AI228" s="2"/>
      </tp>
      <tp>
        <v>17</v>
        <stp/>
        <stp>##V3_BDPV12</stp>
        <stp>PEP US Equity</stp>
        <stp>TOT_HOLD_REC</stp>
        <stp>[DPM - Securities Master List (BBG Linked).xlsx]Equities!R229C35</stp>
        <tr r="AI229" s="2"/>
      </tp>
      <tp>
        <v>17</v>
        <stp/>
        <stp>##V3_BDPV12</stp>
        <stp>PEP US Equity</stp>
        <stp>TOT_HOLD_REC</stp>
        <stp>[DPM - Securities Master List (BBG Linked).xlsx]Equities!R227C35</stp>
        <tr r="AI227" s="2"/>
      </tp>
      <tp>
        <v>17</v>
        <stp/>
        <stp>##V3_BDPV12</stp>
        <stp>PEP US Equity</stp>
        <stp>TOT_HOLD_REC</stp>
        <stp>[DPM - Securities Master List (BBG Linked).xlsx]Equities!R236C35</stp>
        <tr r="AI236" s="2"/>
      </tp>
      <tp>
        <v>17</v>
        <stp/>
        <stp>##V3_BDPV12</stp>
        <stp>PEP US Equity</stp>
        <stp>TOT_HOLD_REC</stp>
        <stp>[DPM - Securities Master List (BBG Linked).xlsx]Equities!R234C35</stp>
        <tr r="AI234" s="2"/>
      </tp>
      <tp>
        <v>17</v>
        <stp/>
        <stp>##V3_BDPV12</stp>
        <stp>PEP US Equity</stp>
        <stp>TOT_HOLD_REC</stp>
        <stp>[DPM - Securities Master List (BBG Linked).xlsx]Equities!R235C35</stp>
        <tr r="AI235" s="2"/>
      </tp>
      <tp>
        <v>17</v>
        <stp/>
        <stp>##V3_BDPV12</stp>
        <stp>PEP US Equity</stp>
        <stp>TOT_HOLD_REC</stp>
        <stp>[DPM - Securities Master List (BBG Linked).xlsx]Equities!R232C35</stp>
        <tr r="AI232" s="2"/>
      </tp>
      <tp>
        <v>17</v>
        <stp/>
        <stp>##V3_BDPV12</stp>
        <stp>PEP US Equity</stp>
        <stp>TOT_HOLD_REC</stp>
        <stp>[DPM - Securities Master List (BBG Linked).xlsx]Equities!R233C35</stp>
        <tr r="AI233" s="2"/>
      </tp>
      <tp>
        <v>17</v>
        <stp/>
        <stp>##V3_BDPV12</stp>
        <stp>PEP US Equity</stp>
        <stp>TOT_HOLD_REC</stp>
        <stp>[DPM - Securities Master List (BBG Linked).xlsx]Equities!R230C35</stp>
        <tr r="AI230" s="2"/>
      </tp>
      <tp>
        <v>17</v>
        <stp/>
        <stp>##V3_BDPV12</stp>
        <stp>PEP US Equity</stp>
        <stp>TOT_HOLD_REC</stp>
        <stp>[DPM - Securities Master List (BBG Linked).xlsx]Equities!R231C35</stp>
        <tr r="AI231" s="2"/>
      </tp>
      <tp>
        <v>-3.7874500000000002</v>
        <stp/>
        <stp>##V3_BDPV12</stp>
        <stp>TTE FP Equity</stp>
        <stp>PR061</stp>
        <stp>[DPM - Securities Master List (BBG Linked).xlsx]Equities!R276C40</stp>
        <tr r="AN276" s="2"/>
      </tp>
      <tp>
        <v>-3.7874500000000002</v>
        <stp/>
        <stp>##V3_BDPV12</stp>
        <stp>TTE FP Equity</stp>
        <stp>PR061</stp>
        <stp>[DPM - Securities Master List (BBG Linked).xlsx]Equities!R277C40</stp>
        <tr r="AN277" s="2"/>
      </tp>
      <tp>
        <v>-3.7874500000000002</v>
        <stp/>
        <stp>##V3_BDPV12</stp>
        <stp>TTE FP Equity</stp>
        <stp>PR061</stp>
        <stp>[DPM - Securities Master List (BBG Linked).xlsx]Equities!R278C40</stp>
        <tr r="AN278" s="2"/>
      </tp>
      <tp>
        <v>-3.7874500000000002</v>
        <stp/>
        <stp>##V3_BDPV12</stp>
        <stp>TTE FP Equity</stp>
        <stp>PR061</stp>
        <stp>[DPM - Securities Master List (BBG Linked).xlsx]Equities!R279C40</stp>
        <tr r="AN279" s="2"/>
      </tp>
      <tp>
        <v>-3.7874500000000002</v>
        <stp/>
        <stp>##V3_BDPV12</stp>
        <stp>TTE FP Equity</stp>
        <stp>PR061</stp>
        <stp>[DPM - Securities Master List (BBG Linked).xlsx]Equities!R284C40</stp>
        <tr r="AN284" s="2"/>
      </tp>
      <tp>
        <v>-3.7874500000000002</v>
        <stp/>
        <stp>##V3_BDPV12</stp>
        <stp>TTE FP Equity</stp>
        <stp>PR061</stp>
        <stp>[DPM - Securities Master List (BBG Linked).xlsx]Equities!R285C40</stp>
        <tr r="AN285" s="2"/>
      </tp>
      <tp>
        <v>-3.7874500000000002</v>
        <stp/>
        <stp>##V3_BDPV12</stp>
        <stp>TTE FP Equity</stp>
        <stp>PR061</stp>
        <stp>[DPM - Securities Master List (BBG Linked).xlsx]Equities!R286C40</stp>
        <tr r="AN286" s="2"/>
      </tp>
      <tp>
        <v>-3.7874500000000002</v>
        <stp/>
        <stp>##V3_BDPV12</stp>
        <stp>TTE FP Equity</stp>
        <stp>PR061</stp>
        <stp>[DPM - Securities Master List (BBG Linked).xlsx]Equities!R287C40</stp>
        <tr r="AN287" s="2"/>
      </tp>
      <tp>
        <v>-3.7874500000000002</v>
        <stp/>
        <stp>##V3_BDPV12</stp>
        <stp>TTE FP Equity</stp>
        <stp>PR061</stp>
        <stp>[DPM - Securities Master List (BBG Linked).xlsx]Equities!R280C40</stp>
        <tr r="AN280" s="2"/>
      </tp>
      <tp>
        <v>-3.7874500000000002</v>
        <stp/>
        <stp>##V3_BDPV12</stp>
        <stp>TTE FP Equity</stp>
        <stp>PR061</stp>
        <stp>[DPM - Securities Master List (BBG Linked).xlsx]Equities!R281C40</stp>
        <tr r="AN281" s="2"/>
      </tp>
      <tp>
        <v>-3.7874500000000002</v>
        <stp/>
        <stp>##V3_BDPV12</stp>
        <stp>TTE FP Equity</stp>
        <stp>PR061</stp>
        <stp>[DPM - Securities Master List (BBG Linked).xlsx]Equities!R282C40</stp>
        <tr r="AN282" s="2"/>
      </tp>
      <tp>
        <v>-3.7874500000000002</v>
        <stp/>
        <stp>##V3_BDPV12</stp>
        <stp>TTE FP Equity</stp>
        <stp>PR061</stp>
        <stp>[DPM - Securities Master List (BBG Linked).xlsx]Equities!R283C40</stp>
        <tr r="AN283" s="2"/>
      </tp>
      <tp>
        <v>-3.7874500000000002</v>
        <stp/>
        <stp>##V3_BDPV12</stp>
        <stp>TTE FP Equity</stp>
        <stp>PR061</stp>
        <stp>[DPM - Securities Master List (BBG Linked).xlsx]Equities!R288C40</stp>
        <tr r="AN288" s="2"/>
      </tp>
      <tp>
        <v>-12.88176</v>
        <stp/>
        <stp>##V3_BDPV12</stp>
        <stp>TTE FP Equity</stp>
        <stp>PR064</stp>
        <stp>[DPM - Securities Master List (BBG Linked).xlsx]Equities!R276C41</stp>
        <tr r="AO276" s="2"/>
      </tp>
      <tp>
        <v>-12.88176</v>
        <stp/>
        <stp>##V3_BDPV12</stp>
        <stp>TTE FP Equity</stp>
        <stp>PR064</stp>
        <stp>[DPM - Securities Master List (BBG Linked).xlsx]Equities!R277C41</stp>
        <tr r="AO277" s="2"/>
      </tp>
      <tp>
        <v>-12.88176</v>
        <stp/>
        <stp>##V3_BDPV12</stp>
        <stp>TTE FP Equity</stp>
        <stp>PR064</stp>
        <stp>[DPM - Securities Master List (BBG Linked).xlsx]Equities!R278C41</stp>
        <tr r="AO278" s="2"/>
      </tp>
      <tp>
        <v>-12.88176</v>
        <stp/>
        <stp>##V3_BDPV12</stp>
        <stp>TTE FP Equity</stp>
        <stp>PR064</stp>
        <stp>[DPM - Securities Master List (BBG Linked).xlsx]Equities!R279C41</stp>
        <tr r="AO279" s="2"/>
      </tp>
      <tp>
        <v>-12.88176</v>
        <stp/>
        <stp>##V3_BDPV12</stp>
        <stp>TTE FP Equity</stp>
        <stp>PR064</stp>
        <stp>[DPM - Securities Master List (BBG Linked).xlsx]Equities!R284C41</stp>
        <tr r="AO284" s="2"/>
      </tp>
      <tp>
        <v>-12.88176</v>
        <stp/>
        <stp>##V3_BDPV12</stp>
        <stp>TTE FP Equity</stp>
        <stp>PR064</stp>
        <stp>[DPM - Securities Master List (BBG Linked).xlsx]Equities!R285C41</stp>
        <tr r="AO285" s="2"/>
      </tp>
      <tp>
        <v>-12.88176</v>
        <stp/>
        <stp>##V3_BDPV12</stp>
        <stp>TTE FP Equity</stp>
        <stp>PR064</stp>
        <stp>[DPM - Securities Master List (BBG Linked).xlsx]Equities!R286C41</stp>
        <tr r="AO286" s="2"/>
      </tp>
      <tp>
        <v>-12.88176</v>
        <stp/>
        <stp>##V3_BDPV12</stp>
        <stp>TTE FP Equity</stp>
        <stp>PR064</stp>
        <stp>[DPM - Securities Master List (BBG Linked).xlsx]Equities!R287C41</stp>
        <tr r="AO287" s="2"/>
      </tp>
      <tp>
        <v>-12.88176</v>
        <stp/>
        <stp>##V3_BDPV12</stp>
        <stp>TTE FP Equity</stp>
        <stp>PR064</stp>
        <stp>[DPM - Securities Master List (BBG Linked).xlsx]Equities!R280C41</stp>
        <tr r="AO280" s="2"/>
      </tp>
      <tp>
        <v>-12.88176</v>
        <stp/>
        <stp>##V3_BDPV12</stp>
        <stp>TTE FP Equity</stp>
        <stp>PR064</stp>
        <stp>[DPM - Securities Master List (BBG Linked).xlsx]Equities!R281C41</stp>
        <tr r="AO281" s="2"/>
      </tp>
      <tp>
        <v>-12.88176</v>
        <stp/>
        <stp>##V3_BDPV12</stp>
        <stp>TTE FP Equity</stp>
        <stp>PR064</stp>
        <stp>[DPM - Securities Master List (BBG Linked).xlsx]Equities!R282C41</stp>
        <tr r="AO282" s="2"/>
      </tp>
      <tp>
        <v>-12.88176</v>
        <stp/>
        <stp>##V3_BDPV12</stp>
        <stp>TTE FP Equity</stp>
        <stp>PR064</stp>
        <stp>[DPM - Securities Master List (BBG Linked).xlsx]Equities!R283C41</stp>
        <tr r="AO283" s="2"/>
      </tp>
      <tp>
        <v>-12.88176</v>
        <stp/>
        <stp>##V3_BDPV12</stp>
        <stp>TTE FP Equity</stp>
        <stp>PR064</stp>
        <stp>[DPM - Securities Master List (BBG Linked).xlsx]Equities!R288C41</stp>
        <tr r="AO288" s="2"/>
      </tp>
      <tp>
        <v>5.1153704108252853</v>
        <stp/>
        <stp>##V3_BDPV12</stp>
        <stp>RIO LN Equity</stp>
        <stp>RR957</stp>
        <stp>[DPM - Securities Master List (BBG Linked).xlsx]Equities!R242C14</stp>
        <tr r="N242" s="2"/>
        <tr r="N242" s="2"/>
        <tr r="N242" s="2"/>
      </tp>
      <tp>
        <v>1</v>
        <stp/>
        <stp>##V3_BDPV12</stp>
        <stp>PEP US Equity</stp>
        <stp>TOT_SELL_REC</stp>
        <stp>[DPM - Securities Master List (BBG Linked).xlsx]Equities!R227C36</stp>
        <tr r="AJ227" s="2"/>
      </tp>
      <tp>
        <v>1</v>
        <stp/>
        <stp>##V3_BDPV12</stp>
        <stp>PEP US Equity</stp>
        <stp>TOT_SELL_REC</stp>
        <stp>[DPM - Securities Master List (BBG Linked).xlsx]Equities!R228C36</stp>
        <tr r="AJ228" s="2"/>
      </tp>
      <tp>
        <v>1</v>
        <stp/>
        <stp>##V3_BDPV12</stp>
        <stp>PEP US Equity</stp>
        <stp>TOT_SELL_REC</stp>
        <stp>[DPM - Securities Master List (BBG Linked).xlsx]Equities!R229C36</stp>
        <tr r="AJ229" s="2"/>
      </tp>
      <tp>
        <v>1</v>
        <stp/>
        <stp>##V3_BDPV12</stp>
        <stp>PEP US Equity</stp>
        <stp>TOT_SELL_REC</stp>
        <stp>[DPM - Securities Master List (BBG Linked).xlsx]Equities!R234C36</stp>
        <tr r="AJ234" s="2"/>
      </tp>
      <tp>
        <v>1</v>
        <stp/>
        <stp>##V3_BDPV12</stp>
        <stp>PEP US Equity</stp>
        <stp>TOT_SELL_REC</stp>
        <stp>[DPM - Securities Master List (BBG Linked).xlsx]Equities!R235C36</stp>
        <tr r="AJ235" s="2"/>
      </tp>
      <tp>
        <v>1</v>
        <stp/>
        <stp>##V3_BDPV12</stp>
        <stp>PEP US Equity</stp>
        <stp>TOT_SELL_REC</stp>
        <stp>[DPM - Securities Master List (BBG Linked).xlsx]Equities!R236C36</stp>
        <tr r="AJ236" s="2"/>
      </tp>
      <tp>
        <v>1</v>
        <stp/>
        <stp>##V3_BDPV12</stp>
        <stp>PEP US Equity</stp>
        <stp>TOT_SELL_REC</stp>
        <stp>[DPM - Securities Master List (BBG Linked).xlsx]Equities!R230C36</stp>
        <tr r="AJ230" s="2"/>
      </tp>
      <tp>
        <v>1</v>
        <stp/>
        <stp>##V3_BDPV12</stp>
        <stp>PEP US Equity</stp>
        <stp>TOT_SELL_REC</stp>
        <stp>[DPM - Securities Master List (BBG Linked).xlsx]Equities!R231C36</stp>
        <tr r="AJ231" s="2"/>
      </tp>
      <tp>
        <v>1</v>
        <stp/>
        <stp>##V3_BDPV12</stp>
        <stp>PEP US Equity</stp>
        <stp>TOT_SELL_REC</stp>
        <stp>[DPM - Securities Master List (BBG Linked).xlsx]Equities!R232C36</stp>
        <tr r="AJ232" s="2"/>
      </tp>
      <tp>
        <v>1</v>
        <stp/>
        <stp>##V3_BDPV12</stp>
        <stp>PEP US Equity</stp>
        <stp>TOT_SELL_REC</stp>
        <stp>[DPM - Securities Master List (BBG Linked).xlsx]Equities!R233C36</stp>
        <tr r="AJ233" s="2"/>
      </tp>
      <tp>
        <v>23.94074074074074</v>
        <stp/>
        <stp>##V3_BDPV12</stp>
        <stp>LUV US Equity</stp>
        <stp>RR041</stp>
        <stp>[DPM - Securities Master List (BBG Linked).xlsx]Equities!R154C33</stp>
        <tr r="AG154" s="2"/>
        <tr r="AG154" s="2"/>
        <tr r="AG154" s="2"/>
      </tp>
      <tp t="s">
        <v>GBp</v>
        <stp/>
        <stp>##V3_BDPV12</stp>
        <stp>TSCO LN Equity</stp>
        <stp>CRNCY</stp>
        <stp>[DPM - Securities Master List (BBG Linked).xlsx]Equities!R266C6</stp>
        <tr r="F266" s="2"/>
      </tp>
      <tp>
        <v>260.10000000000002</v>
        <stp/>
        <stp>##V3_BDPV12</stp>
        <stp>AAPL US Equity</stp>
        <stp>hs001</stp>
        <stp>[DPM - Securities Master List (BBG Linked).xlsx]Equities!R34C44</stp>
        <tr r="AR34" s="2"/>
      </tp>
      <tp>
        <v>169.21</v>
        <stp/>
        <stp>##V3_BDPV12</stp>
        <stp>AAPL US Equity</stp>
        <stp>hs002</stp>
        <stp>[DPM - Securities Master List (BBG Linked).xlsx]Equities!R34C45</stp>
        <tr r="AS34" s="2"/>
      </tp>
      <tp t="s">
        <v>US0378331005</v>
        <stp/>
        <stp>##V3_BDPV12</stp>
        <stp>AAPL US Equity</stp>
        <stp>ID005</stp>
        <stp>[DPM - Securities Master List (BBG Linked).xlsx]Equities!R34C55</stp>
        <tr r="BC34" s="2"/>
      </tp>
      <tp t="s">
        <v>Volkswagen AG</v>
        <stp/>
        <stp>##V3_BDPV12</stp>
        <stp>VOW3 GY Equity</stp>
        <stp>SECURITY NAME</stp>
        <stp>[DPM - Securities Master List (BBG Linked).xlsx]Equities!R289C5</stp>
        <tr r="E289" s="2"/>
      </tp>
      <tp>
        <v>32.620691544742172</v>
        <stp/>
        <stp>##V3_BDPV12</stp>
        <stp>AAPL US Equity</stp>
        <stp>RR041</stp>
        <stp>[DPM - Securities Master List (BBG Linked).xlsx]Equities!R34C33</stp>
        <tr r="AG34" s="2"/>
        <tr r="AG34" s="2"/>
        <tr r="AG34" s="2"/>
      </tp>
      <tp>
        <v>25.226809378185525</v>
        <stp/>
        <stp>##V3_BDPV12</stp>
        <stp>AAPL US Equity</stp>
        <stp>EE010</stp>
        <stp>[DPM - Securities Master List (BBG Linked).xlsx]Equities!R34C12</stp>
        <tr r="L34" s="2"/>
        <tr r="L34" s="2"/>
        <tr r="L34" s="2"/>
      </tp>
      <tp>
        <v>0.52530556715477694</v>
        <stp/>
        <stp>##V3_BDPV12</stp>
        <stp>AAPL US Equity</stp>
        <stp>DV013</stp>
        <stp>[DPM - Securities Master List (BBG Linked).xlsx]Equities!R34C10</stp>
        <tr r="J34" s="2"/>
      </tp>
      <tp t="s">
        <v>Equity</v>
        <stp/>
        <stp>##V3_BDPV12</stp>
        <stp>AAPL US Equity</stp>
        <stp>EX028</stp>
        <stp>[DPM - Securities Master List (BBG Linked).xlsx]Equities!R34C30</stp>
        <tr r="AD34" s="2"/>
        <tr r="AD34" s="2"/>
        <tr r="AD34" s="2"/>
      </tp>
      <tp>
        <v>5.0960799999999997</v>
        <stp/>
        <stp>##V3_BDPV12</stp>
        <stp>AAPL US Equity</stp>
        <stp>PR061</stp>
        <stp>[DPM - Securities Master List (BBG Linked).xlsx]Equities!R34C40</stp>
        <tr r="AN34" s="2"/>
      </tp>
      <tp>
        <v>-15.110200000000001</v>
        <stp/>
        <stp>##V3_BDPV12</stp>
        <stp>AAPL US Equity</stp>
        <stp>PR064</stp>
        <stp>[DPM - Securities Master List (BBG Linked).xlsx]Equities!R34C41</stp>
        <tr r="AO34" s="2"/>
      </tp>
      <tp>
        <v>-20.940819999999999</v>
        <stp/>
        <stp>##V3_BDPV12</stp>
        <stp>AAPL US Equity</stp>
        <stp>PR079</stp>
        <stp>[DPM - Securities Master List (BBG Linked).xlsx]Equities!R34C43</stp>
        <tr r="AQ34" s="2"/>
      </tp>
      <tp t="s">
        <v>Microsoft Corp</v>
        <stp/>
        <stp>##V3_BDPV12</stp>
        <stp>MSFT US Equity</stp>
        <stp>SECURITY NAME</stp>
        <stp>[DPM - Securities Master List (BBG Linked).xlsx]Equities!R177C5</stp>
        <tr r="E177" s="2"/>
      </tp>
      <tp t="s">
        <v>Microsoft Corp</v>
        <stp/>
        <stp>##V3_BDPV12</stp>
        <stp>MSFT US Equity</stp>
        <stp>SECURITY NAME</stp>
        <stp>[DPM - Securities Master List (BBG Linked).xlsx]Equities!R187C5</stp>
        <tr r="E187" s="2"/>
      </tp>
      <tp>
        <v>2939.3196205402137</v>
        <stp/>
        <stp>##V3_BDPV12</stp>
        <stp>DRX LN Equity</stp>
        <stp>CRNCY_ADJ_MKT_CAP</stp>
        <stp>[DPM - Securities Master List (BBG Linked).xlsx]Equities!R123C9</stp>
        <stp>EQY_FUND_CRNCY=USD</stp>
        <tr r="I123" s="2"/>
      </tp>
      <tp>
        <v>2939.3196205402137</v>
        <stp/>
        <stp>##V3_BDPV12</stp>
        <stp>DRX LN Equity</stp>
        <stp>CRNCY_ADJ_MKT_CAP</stp>
        <stp>[DPM - Securities Master List (BBG Linked).xlsx]Equities!R122C9</stp>
        <stp>EQY_FUND_CRNCY=USD</stp>
        <tr r="I122" s="2"/>
      </tp>
      <tp>
        <v>2939.3196205402137</v>
        <stp/>
        <stp>##V3_BDPV12</stp>
        <stp>DRX LN Equity</stp>
        <stp>CRNCY_ADJ_MKT_CAP</stp>
        <stp>[DPM - Securities Master List (BBG Linked).xlsx]Equities!R121C9</stp>
        <stp>EQY_FUND_CRNCY=USD</stp>
        <tr r="I121" s="2"/>
      </tp>
      <tp>
        <v>2939.3196205402137</v>
        <stp/>
        <stp>##V3_BDPV12</stp>
        <stp>DRX LN Equity</stp>
        <stp>CRNCY_ADJ_MKT_CAP</stp>
        <stp>[DPM - Securities Master List (BBG Linked).xlsx]Equities!R120C9</stp>
        <stp>EQY_FUND_CRNCY=USD</stp>
        <tr r="I120" s="2"/>
      </tp>
      <tp>
        <v>2</v>
        <stp/>
        <stp>##V3_BDPV12</stp>
        <stp>NESN SW Equity</stp>
        <stp>TOT_SELL_REC</stp>
        <stp>[DPM - Securities Master List (BBG Linked).xlsx]Equities!R201C36</stp>
        <tr r="AJ201" s="2"/>
      </tp>
      <tp>
        <v>2</v>
        <stp/>
        <stp>##V3_BDPV12</stp>
        <stp>NESN SW Equity</stp>
        <stp>TOT_SELL_REC</stp>
        <stp>[DPM - Securities Master List (BBG Linked).xlsx]Equities!R200C36</stp>
        <tr r="AJ200" s="2"/>
      </tp>
      <tp>
        <v>2</v>
        <stp/>
        <stp>##V3_BDPV12</stp>
        <stp>NESN SW Equity</stp>
        <stp>TOT_SELL_REC</stp>
        <stp>[DPM - Securities Master List (BBG Linked).xlsx]Equities!R203C36</stp>
        <tr r="AJ203" s="2"/>
      </tp>
      <tp>
        <v>2</v>
        <stp/>
        <stp>##V3_BDPV12</stp>
        <stp>NESN SW Equity</stp>
        <stp>TOT_SELL_REC</stp>
        <stp>[DPM - Securities Master List (BBG Linked).xlsx]Equities!R202C36</stp>
        <tr r="AJ202" s="2"/>
      </tp>
      <tp>
        <v>2</v>
        <stp/>
        <stp>##V3_BDPV12</stp>
        <stp>NESN SW Equity</stp>
        <stp>TOT_SELL_REC</stp>
        <stp>[DPM - Securities Master List (BBG Linked).xlsx]Equities!R205C36</stp>
        <tr r="AJ205" s="2"/>
      </tp>
      <tp>
        <v>2</v>
        <stp/>
        <stp>##V3_BDPV12</stp>
        <stp>NESN SW Equity</stp>
        <stp>TOT_SELL_REC</stp>
        <stp>[DPM - Securities Master List (BBG Linked).xlsx]Equities!R204C36</stp>
        <tr r="AJ204" s="2"/>
      </tp>
      <tp>
        <v>179570.28735380003</v>
        <stp/>
        <stp>##V3_BDPV12</stp>
        <stp>PEP US Equity</stp>
        <stp>CRNCY_ADJ_MKT_CAP</stp>
        <stp>[DPM - Securities Master List (BBG Linked).xlsx]Equities!R228C9</stp>
        <stp>EQY_FUND_CRNCY=USD</stp>
        <tr r="I228" s="2"/>
      </tp>
      <tp>
        <v>2</v>
        <stp/>
        <stp>##V3_BDPV12</stp>
        <stp>NESN SW Equity</stp>
        <stp>TOT_SELL_REC</stp>
        <stp>[DPM - Securities Master List (BBG Linked).xlsx]Equities!R199C36</stp>
        <tr r="AJ199" s="2"/>
      </tp>
      <tp>
        <v>2</v>
        <stp/>
        <stp>##V3_BDPV12</stp>
        <stp>NESN SW Equity</stp>
        <stp>TOT_SELL_REC</stp>
        <stp>[DPM - Securities Master List (BBG Linked).xlsx]Equities!R198C36</stp>
        <tr r="AJ198" s="2"/>
      </tp>
      <tp>
        <v>2</v>
        <stp/>
        <stp>##V3_BDPV12</stp>
        <stp>NESN SW Equity</stp>
        <stp>TOT_SELL_REC</stp>
        <stp>[DPM - Securities Master List (BBG Linked).xlsx]Equities!R193C36</stp>
        <tr r="AJ193" s="2"/>
      </tp>
      <tp>
        <v>2</v>
        <stp/>
        <stp>##V3_BDPV12</stp>
        <stp>NESN SW Equity</stp>
        <stp>TOT_SELL_REC</stp>
        <stp>[DPM - Securities Master List (BBG Linked).xlsx]Equities!R195C36</stp>
        <tr r="AJ195" s="2"/>
      </tp>
      <tp>
        <v>2</v>
        <stp/>
        <stp>##V3_BDPV12</stp>
        <stp>NESN SW Equity</stp>
        <stp>TOT_SELL_REC</stp>
        <stp>[DPM - Securities Master List (BBG Linked).xlsx]Equities!R194C36</stp>
        <tr r="AJ194" s="2"/>
      </tp>
      <tp>
        <v>2</v>
        <stp/>
        <stp>##V3_BDPV12</stp>
        <stp>NESN SW Equity</stp>
        <stp>TOT_SELL_REC</stp>
        <stp>[DPM - Securities Master List (BBG Linked).xlsx]Equities!R197C36</stp>
        <tr r="AJ197" s="2"/>
      </tp>
      <tp>
        <v>2</v>
        <stp/>
        <stp>##V3_BDPV12</stp>
        <stp>NESN SW Equity</stp>
        <stp>TOT_SELL_REC</stp>
        <stp>[DPM - Securities Master List (BBG Linked).xlsx]Equities!R196C36</stp>
        <tr r="AJ196" s="2"/>
      </tp>
      <tp>
        <v>179570.28735380003</v>
        <stp/>
        <stp>##V3_BDPV12</stp>
        <stp>PEP US Equity</stp>
        <stp>CRNCY_ADJ_MKT_CAP</stp>
        <stp>[DPM - Securities Master List (BBG Linked).xlsx]Equities!R229C9</stp>
        <stp>EQY_FUND_CRNCY=USD</stp>
        <tr r="I229" s="2"/>
      </tp>
      <tp>
        <v>2939.3196205402137</v>
        <stp/>
        <stp>##V3_BDPV12</stp>
        <stp>DRX LN Equity</stp>
        <stp>CRNCY_ADJ_MKT_CAP</stp>
        <stp>[DPM - Securities Master List (BBG Linked).xlsx]Equities!R124C9</stp>
        <stp>EQY_FUND_CRNCY=USD</stp>
        <tr r="I124" s="2"/>
      </tp>
      <tp>
        <v>179570.28735380003</v>
        <stp/>
        <stp>##V3_BDPV12</stp>
        <stp>PEP US Equity</stp>
        <stp>CRNCY_ADJ_MKT_CAP</stp>
        <stp>[DPM - Securities Master List (BBG Linked).xlsx]Equities!R227C9</stp>
        <stp>EQY_FUND_CRNCY=USD</stp>
        <tr r="I227" s="2"/>
      </tp>
      <tp>
        <v>12</v>
        <stp/>
        <stp>##V3_BDPV12</stp>
        <stp>NESN SW Equity</stp>
        <stp>TOT_HOLD_REC</stp>
        <stp>[DPM - Securities Master List (BBG Linked).xlsx]Equities!R203C35</stp>
        <tr r="AI203" s="2"/>
      </tp>
      <tp>
        <v>12</v>
        <stp/>
        <stp>##V3_BDPV12</stp>
        <stp>NESN SW Equity</stp>
        <stp>TOT_HOLD_REC</stp>
        <stp>[DPM - Securities Master List (BBG Linked).xlsx]Equities!R202C35</stp>
        <tr r="AI202" s="2"/>
      </tp>
      <tp>
        <v>12</v>
        <stp/>
        <stp>##V3_BDPV12</stp>
        <stp>NESN SW Equity</stp>
        <stp>TOT_HOLD_REC</stp>
        <stp>[DPM - Securities Master List (BBG Linked).xlsx]Equities!R201C35</stp>
        <tr r="AI201" s="2"/>
      </tp>
      <tp>
        <v>12</v>
        <stp/>
        <stp>##V3_BDPV12</stp>
        <stp>NESN SW Equity</stp>
        <stp>TOT_HOLD_REC</stp>
        <stp>[DPM - Securities Master List (BBG Linked).xlsx]Equities!R200C35</stp>
        <tr r="AI200" s="2"/>
      </tp>
      <tp>
        <v>12</v>
        <stp/>
        <stp>##V3_BDPV12</stp>
        <stp>NESN SW Equity</stp>
        <stp>TOT_HOLD_REC</stp>
        <stp>[DPM - Securities Master List (BBG Linked).xlsx]Equities!R205C35</stp>
        <tr r="AI205" s="2"/>
      </tp>
      <tp>
        <v>12</v>
        <stp/>
        <stp>##V3_BDPV12</stp>
        <stp>NESN SW Equity</stp>
        <stp>TOT_HOLD_REC</stp>
        <stp>[DPM - Securities Master List (BBG Linked).xlsx]Equities!R204C35</stp>
        <tr r="AI204" s="2"/>
      </tp>
      <tp>
        <v>12</v>
        <stp/>
        <stp>##V3_BDPV12</stp>
        <stp>NESN SW Equity</stp>
        <stp>TOT_HOLD_REC</stp>
        <stp>[DPM - Securities Master List (BBG Linked).xlsx]Equities!R193C35</stp>
        <tr r="AI193" s="2"/>
      </tp>
      <tp>
        <v>12</v>
        <stp/>
        <stp>##V3_BDPV12</stp>
        <stp>NESN SW Equity</stp>
        <stp>TOT_HOLD_REC</stp>
        <stp>[DPM - Securities Master List (BBG Linked).xlsx]Equities!R197C35</stp>
        <tr r="AI197" s="2"/>
      </tp>
      <tp>
        <v>12</v>
        <stp/>
        <stp>##V3_BDPV12</stp>
        <stp>NESN SW Equity</stp>
        <stp>TOT_HOLD_REC</stp>
        <stp>[DPM - Securities Master List (BBG Linked).xlsx]Equities!R196C35</stp>
        <tr r="AI196" s="2"/>
      </tp>
      <tp>
        <v>12</v>
        <stp/>
        <stp>##V3_BDPV12</stp>
        <stp>NESN SW Equity</stp>
        <stp>TOT_HOLD_REC</stp>
        <stp>[DPM - Securities Master List (BBG Linked).xlsx]Equities!R195C35</stp>
        <tr r="AI195" s="2"/>
      </tp>
      <tp>
        <v>12</v>
        <stp/>
        <stp>##V3_BDPV12</stp>
        <stp>NESN SW Equity</stp>
        <stp>TOT_HOLD_REC</stp>
        <stp>[DPM - Securities Master List (BBG Linked).xlsx]Equities!R194C35</stp>
        <tr r="AI194" s="2"/>
      </tp>
      <tp>
        <v>12</v>
        <stp/>
        <stp>##V3_BDPV12</stp>
        <stp>NESN SW Equity</stp>
        <stp>TOT_HOLD_REC</stp>
        <stp>[DPM - Securities Master List (BBG Linked).xlsx]Equities!R199C35</stp>
        <tr r="AI199" s="2"/>
      </tp>
      <tp>
        <v>12</v>
        <stp/>
        <stp>##V3_BDPV12</stp>
        <stp>NESN SW Equity</stp>
        <stp>TOT_HOLD_REC</stp>
        <stp>[DPM - Securities Master List (BBG Linked).xlsx]Equities!R198C35</stp>
        <tr r="AI198" s="2"/>
      </tp>
      <tp>
        <v>84928.492621979996</v>
        <stp/>
        <stp>##V3_BDPV12</stp>
        <stp>NKE US Equity</stp>
        <stp>CRNCY_ADJ_MKT_CAP</stp>
        <stp>[DPM - Securities Master List (BBG Linked).xlsx]Equities!R221C9</stp>
        <stp>EQY_FUND_CRNCY=USD</stp>
        <tr r="I221" s="2"/>
      </tp>
      <tp>
        <v>84928.492621979996</v>
        <stp/>
        <stp>##V3_BDPV12</stp>
        <stp>NKE US Equity</stp>
        <stp>CRNCY_ADJ_MKT_CAP</stp>
        <stp>[DPM - Securities Master List (BBG Linked).xlsx]Equities!R222C9</stp>
        <stp>EQY_FUND_CRNCY=USD</stp>
        <tr r="I222" s="2"/>
      </tp>
      <tp>
        <v>299155</v>
        <stp/>
        <stp>##V3_BDPV12</stp>
        <stp>NVO US Equity</stp>
        <stp>CRNCY_ADJ_MKT_CAP</stp>
        <stp>[DPM - Securities Master List (BBG Linked).xlsx]Equities!R225C9</stp>
        <stp>EQY_FUND_CRNCY=USD</stp>
        <tr r="I225" s="2"/>
      </tp>
      <tp t="s">
        <v>NIKE Inc</v>
        <stp/>
        <stp>##V3_BDPV12</stp>
        <stp>NKE US Equity</stp>
        <stp>SECURITY NAME</stp>
        <stp>[DPM - Securities Master List (BBG Linked).xlsx]Equities!R208C5</stp>
        <tr r="E208" s="2"/>
      </tp>
      <tp t="s">
        <v>NIKE Inc</v>
        <stp/>
        <stp>##V3_BDPV12</stp>
        <stp>NKE US Equity</stp>
        <stp>SECURITY NAME</stp>
        <stp>[DPM - Securities Master List (BBG Linked).xlsx]Equities!R218C5</stp>
        <tr r="E218" s="2"/>
      </tp>
      <tp t="s">
        <v>USD</v>
        <stp/>
        <stp>##V3_BDPV12</stp>
        <stp>ZBH US Equity</stp>
        <stp>CRNCY</stp>
        <stp>[DPM - Securities Master List (BBG Linked).xlsx]Equities!R294C6</stp>
        <tr r="F294" s="2"/>
      </tp>
      <tp t="s">
        <v>Walt Disney Co/The</v>
        <stp/>
        <stp>##V3_BDPV12</stp>
        <stp>DIS US Equity</stp>
        <stp>SECURITY NAME</stp>
        <stp>[DPM - Securities Master List (BBG Linked).xlsx]Equities!R112C5</stp>
        <tr r="E112" s="2"/>
      </tp>
      <tp t="s">
        <v>GBp</v>
        <stp/>
        <stp>##V3_BDPV12</stp>
        <stp>DRX LN Equity</stp>
        <stp>CRNCY</stp>
        <stp>[DPM - Securities Master List (BBG Linked).xlsx]Equities!R123C6</stp>
        <tr r="F123" s="2"/>
      </tp>
      <tp t="s">
        <v>US5949181045</v>
        <stp/>
        <stp>##V3_BDPV12</stp>
        <stp>MSFT US Equity</stp>
        <stp>ID_ISIN</stp>
        <stp>[DPM - Securities Master List (BBG Linked).xlsx]Equities!R171C55</stp>
        <tr r="BC171" s="2"/>
      </tp>
      <tp t="s">
        <v>US5949181045</v>
        <stp/>
        <stp>##V3_BDPV12</stp>
        <stp>MSFT US Equity</stp>
        <stp>ID_ISIN</stp>
        <stp>[DPM - Securities Master List (BBG Linked).xlsx]Equities!R170C55</stp>
        <tr r="BC170" s="2"/>
      </tp>
      <tp t="s">
        <v>US5949181045</v>
        <stp/>
        <stp>##V3_BDPV12</stp>
        <stp>MSFT US Equity</stp>
        <stp>ID_ISIN</stp>
        <stp>[DPM - Securities Master List (BBG Linked).xlsx]Equities!R172C55</stp>
        <tr r="BC172" s="2"/>
      </tp>
      <tp t="s">
        <v>US30303M1027</v>
        <stp/>
        <stp>##V3_BDPV12</stp>
        <stp>META US Equity</stp>
        <stp>ID_ISIN</stp>
        <stp>[DPM - Securities Master List (BBG Linked).xlsx]Equities!R156C55</stp>
        <tr r="BC156" s="2"/>
      </tp>
      <tp t="s">
        <v>TotalEnergies SE</v>
        <stp/>
        <stp>##V3_BDPV12</stp>
        <stp>TTE FP Equity</stp>
        <stp>SECURITY NAME</stp>
        <stp>[DPM - Securities Master List (BBG Linked).xlsx]Equities!R281C5</stp>
        <tr r="E281" s="2"/>
      </tp>
      <tp>
        <v>7.0823349999999996</v>
        <stp/>
        <stp>##V3_BDPV12</stp>
        <stp>NVO US Equity</stp>
        <stp>PR061</stp>
        <stp>[DPM - Securities Master List (BBG Linked).xlsx]Equities!R225C40</stp>
        <tr r="AN225" s="2"/>
      </tp>
      <tp>
        <v>-4.3282720000000001</v>
        <stp/>
        <stp>##V3_BDPV12</stp>
        <stp>TTE FP Equity</stp>
        <stp>PR079</stp>
        <stp>[DPM - Securities Master List (BBG Linked).xlsx]Equities!R276C43</stp>
        <tr r="AQ276" s="2"/>
      </tp>
      <tp>
        <v>-4.3282720000000001</v>
        <stp/>
        <stp>##V3_BDPV12</stp>
        <stp>TTE FP Equity</stp>
        <stp>PR079</stp>
        <stp>[DPM - Securities Master List (BBG Linked).xlsx]Equities!R277C43</stp>
        <tr r="AQ277" s="2"/>
      </tp>
      <tp>
        <v>-4.3282720000000001</v>
        <stp/>
        <stp>##V3_BDPV12</stp>
        <stp>TTE FP Equity</stp>
        <stp>PR079</stp>
        <stp>[DPM - Securities Master List (BBG Linked).xlsx]Equities!R278C43</stp>
        <tr r="AQ278" s="2"/>
      </tp>
      <tp>
        <v>-4.3282720000000001</v>
        <stp/>
        <stp>##V3_BDPV12</stp>
        <stp>TTE FP Equity</stp>
        <stp>PR079</stp>
        <stp>[DPM - Securities Master List (BBG Linked).xlsx]Equities!R279C43</stp>
        <tr r="AQ279" s="2"/>
      </tp>
      <tp>
        <v>-4.3282720000000001</v>
        <stp/>
        <stp>##V3_BDPV12</stp>
        <stp>TTE FP Equity</stp>
        <stp>PR079</stp>
        <stp>[DPM - Securities Master List (BBG Linked).xlsx]Equities!R284C43</stp>
        <tr r="AQ284" s="2"/>
      </tp>
      <tp>
        <v>-4.3282720000000001</v>
        <stp/>
        <stp>##V3_BDPV12</stp>
        <stp>TTE FP Equity</stp>
        <stp>PR079</stp>
        <stp>[DPM - Securities Master List (BBG Linked).xlsx]Equities!R285C43</stp>
        <tr r="AQ285" s="2"/>
      </tp>
      <tp>
        <v>-4.3282720000000001</v>
        <stp/>
        <stp>##V3_BDPV12</stp>
        <stp>TTE FP Equity</stp>
        <stp>PR079</stp>
        <stp>[DPM - Securities Master List (BBG Linked).xlsx]Equities!R286C43</stp>
        <tr r="AQ286" s="2"/>
      </tp>
      <tp>
        <v>-4.3282720000000001</v>
        <stp/>
        <stp>##V3_BDPV12</stp>
        <stp>TTE FP Equity</stp>
        <stp>PR079</stp>
        <stp>[DPM - Securities Master List (BBG Linked).xlsx]Equities!R287C43</stp>
        <tr r="AQ287" s="2"/>
      </tp>
      <tp>
        <v>-4.3282720000000001</v>
        <stp/>
        <stp>##V3_BDPV12</stp>
        <stp>TTE FP Equity</stp>
        <stp>PR079</stp>
        <stp>[DPM - Securities Master List (BBG Linked).xlsx]Equities!R280C43</stp>
        <tr r="AQ280" s="2"/>
      </tp>
      <tp>
        <v>-4.3282720000000001</v>
        <stp/>
        <stp>##V3_BDPV12</stp>
        <stp>TTE FP Equity</stp>
        <stp>PR079</stp>
        <stp>[DPM - Securities Master List (BBG Linked).xlsx]Equities!R281C43</stp>
        <tr r="AQ281" s="2"/>
      </tp>
      <tp>
        <v>-4.3282720000000001</v>
        <stp/>
        <stp>##V3_BDPV12</stp>
        <stp>TTE FP Equity</stp>
        <stp>PR079</stp>
        <stp>[DPM - Securities Master List (BBG Linked).xlsx]Equities!R282C43</stp>
        <tr r="AQ282" s="2"/>
      </tp>
      <tp>
        <v>-4.3282720000000001</v>
        <stp/>
        <stp>##V3_BDPV12</stp>
        <stp>TTE FP Equity</stp>
        <stp>PR079</stp>
        <stp>[DPM - Securities Master List (BBG Linked).xlsx]Equities!R283C43</stp>
        <tr r="AQ283" s="2"/>
      </tp>
      <tp>
        <v>-4.3282720000000001</v>
        <stp/>
        <stp>##V3_BDPV12</stp>
        <stp>TTE FP Equity</stp>
        <stp>PR079</stp>
        <stp>[DPM - Securities Master List (BBG Linked).xlsx]Equities!R288C43</stp>
        <tr r="AQ288" s="2"/>
      </tp>
      <tp>
        <v>-23.161639999999998</v>
        <stp/>
        <stp>##V3_BDPV12</stp>
        <stp>NVO US Equity</stp>
        <stp>PR064</stp>
        <stp>[DPM - Securities Master List (BBG Linked).xlsx]Equities!R225C41</stp>
        <tr r="AO225" s="2"/>
      </tp>
      <tp>
        <v>13.479462183565854</v>
        <stp/>
        <stp>##V3_BDPV12</stp>
        <stp>RIO LN Equity</stp>
        <stp>RR041</stp>
        <stp>[DPM - Securities Master List (BBG Linked).xlsx]Equities!R242C33</stp>
        <tr r="AG242" s="2"/>
        <tr r="AG242" s="2"/>
        <tr r="AG242" s="2"/>
      </tp>
      <tp>
        <v>7.8794129133965338</v>
        <stp/>
        <stp>##V3_BDPV12</stp>
        <stp>LUV US Equity</stp>
        <stp>RR957</stp>
        <stp>[DPM - Securities Master List (BBG Linked).xlsx]Equities!R154C14</stp>
        <tr r="N154" s="2"/>
        <tr r="N154" s="2"/>
        <tr r="N154" s="2"/>
      </tp>
      <tp t="s">
        <v>Equity</v>
        <stp/>
        <stp>##V3_BDPV12</stp>
        <stp>MRK US Equity</stp>
        <stp>EX028</stp>
        <stp>[DPM - Securities Master List (BBG Linked).xlsx]Equities!R158C30</stp>
        <tr r="AD158" s="2"/>
        <tr r="AD158" s="2"/>
        <tr r="AD158" s="2"/>
      </tp>
      <tp t="s">
        <v>Equity</v>
        <stp/>
        <stp>##V3_BDPV12</stp>
        <stp>MRK US Equity</stp>
        <stp>EX028</stp>
        <stp>[DPM - Securities Master List (BBG Linked).xlsx]Equities!R159C30</stp>
        <tr r="AD159" s="2"/>
        <tr r="AD159" s="2"/>
        <tr r="AD159" s="2"/>
      </tp>
      <tp t="s">
        <v>Equity</v>
        <stp/>
        <stp>##V3_BDPV12</stp>
        <stp>MRK US Equity</stp>
        <stp>EX028</stp>
        <stp>[DPM - Securities Master List (BBG Linked).xlsx]Equities!R157C30</stp>
        <tr r="AD157" s="2"/>
        <tr r="AD157" s="2"/>
        <tr r="AD157" s="2"/>
      </tp>
      <tp t="s">
        <v>Equity</v>
        <stp/>
        <stp>##V3_BDPV12</stp>
        <stp>MRK US Equity</stp>
        <stp>EX028</stp>
        <stp>[DPM - Securities Master List (BBG Linked).xlsx]Equities!R168C30</stp>
        <tr r="AD168" s="2"/>
        <tr r="AD168" s="2"/>
        <tr r="AD168" s="2"/>
      </tp>
      <tp t="s">
        <v>Equity</v>
        <stp/>
        <stp>##V3_BDPV12</stp>
        <stp>MRK US Equity</stp>
        <stp>EX028</stp>
        <stp>[DPM - Securities Master List (BBG Linked).xlsx]Equities!R169C30</stp>
        <tr r="AD169" s="2"/>
        <tr r="AD169" s="2"/>
        <tr r="AD169" s="2"/>
      </tp>
      <tp t="s">
        <v>Equity</v>
        <stp/>
        <stp>##V3_BDPV12</stp>
        <stp>MRK US Equity</stp>
        <stp>EX028</stp>
        <stp>[DPM - Securities Master List (BBG Linked).xlsx]Equities!R166C30</stp>
        <tr r="AD166" s="2"/>
        <tr r="AD166" s="2"/>
        <tr r="AD166" s="2"/>
      </tp>
      <tp t="s">
        <v>Equity</v>
        <stp/>
        <stp>##V3_BDPV12</stp>
        <stp>MRK US Equity</stp>
        <stp>EX028</stp>
        <stp>[DPM - Securities Master List (BBG Linked).xlsx]Equities!R167C30</stp>
        <tr r="AD167" s="2"/>
        <tr r="AD167" s="2"/>
        <tr r="AD167" s="2"/>
      </tp>
      <tp t="s">
        <v>Equity</v>
        <stp/>
        <stp>##V3_BDPV12</stp>
        <stp>MRK US Equity</stp>
        <stp>EX028</stp>
        <stp>[DPM - Securities Master List (BBG Linked).xlsx]Equities!R164C30</stp>
        <tr r="AD164" s="2"/>
        <tr r="AD164" s="2"/>
        <tr r="AD164" s="2"/>
      </tp>
      <tp t="s">
        <v>Equity</v>
        <stp/>
        <stp>##V3_BDPV12</stp>
        <stp>MRK US Equity</stp>
        <stp>EX028</stp>
        <stp>[DPM - Securities Master List (BBG Linked).xlsx]Equities!R165C30</stp>
        <tr r="AD165" s="2"/>
        <tr r="AD165" s="2"/>
        <tr r="AD165" s="2"/>
      </tp>
      <tp t="s">
        <v>Equity</v>
        <stp/>
        <stp>##V3_BDPV12</stp>
        <stp>MRK US Equity</stp>
        <stp>EX028</stp>
        <stp>[DPM - Securities Master List (BBG Linked).xlsx]Equities!R162C30</stp>
        <tr r="AD162" s="2"/>
        <tr r="AD162" s="2"/>
        <tr r="AD162" s="2"/>
      </tp>
      <tp t="s">
        <v>Equity</v>
        <stp/>
        <stp>##V3_BDPV12</stp>
        <stp>MRK US Equity</stp>
        <stp>EX028</stp>
        <stp>[DPM - Securities Master List (BBG Linked).xlsx]Equities!R163C30</stp>
        <tr r="AD163" s="2"/>
        <tr r="AD163" s="2"/>
        <tr r="AD163" s="2"/>
      </tp>
      <tp t="s">
        <v>Equity</v>
        <stp/>
        <stp>##V3_BDPV12</stp>
        <stp>MRK US Equity</stp>
        <stp>EX028</stp>
        <stp>[DPM - Securities Master List (BBG Linked).xlsx]Equities!R160C30</stp>
        <tr r="AD160" s="2"/>
        <tr r="AD160" s="2"/>
        <tr r="AD160" s="2"/>
      </tp>
      <tp t="s">
        <v>Equity</v>
        <stp/>
        <stp>##V3_BDPV12</stp>
        <stp>MRK US Equity</stp>
        <stp>EX028</stp>
        <stp>[DPM - Securities Master List (BBG Linked).xlsx]Equities!R161C30</stp>
        <tr r="AD161" s="2"/>
        <tr r="AD161" s="2"/>
        <tr r="AD161" s="2"/>
      </tp>
      <tp t="s">
        <v>N</v>
        <stp/>
        <stp>##V3_BDPV12</stp>
        <stp>AAPL US Equity</stp>
        <stp>DY784</stp>
        <stp>[DPM - Securities Master List (BBG Linked).xlsx]Equities!R34C48</stp>
        <tr r="AV34" s="2"/>
        <tr r="AV34" s="2"/>
        <tr r="AV34" s="2"/>
      </tp>
      <tp t="s">
        <v>GBp</v>
        <stp/>
        <stp>##V3_BDPV12</stp>
        <stp>TSCO LN Equity</stp>
        <stp>CRNCY</stp>
        <stp>[DPM - Securities Master List (BBG Linked).xlsx]Equities!R271C6</stp>
        <tr r="F271" s="2"/>
      </tp>
      <tp t="s">
        <v>CHF</v>
        <stp/>
        <stp>##V3_BDPV12</stp>
        <stp>NESN SW Equity</stp>
        <stp>CRNCY</stp>
        <stp>[DPM - Securities Master List (BBG Linked).xlsx]Equities!R198C6</stp>
        <tr r="F198" s="2"/>
      </tp>
      <tp t="s">
        <v>Microsoft Corp</v>
        <stp/>
        <stp>##V3_BDPV12</stp>
        <stp>MSFT US Equity</stp>
        <stp>SECURITY NAME</stp>
        <stp>[DPM - Securities Master List (BBG Linked).xlsx]Equities!R170C5</stp>
        <tr r="E170" s="2"/>
      </tp>
      <tp t="s">
        <v>Microsoft Corp</v>
        <stp/>
        <stp>##V3_BDPV12</stp>
        <stp>MSFT US Equity</stp>
        <stp>SECURITY NAME</stp>
        <stp>[DPM - Securities Master List (BBG Linked).xlsx]Equities!R180C5</stp>
        <tr r="E180" s="2"/>
      </tp>
      <tp t="s">
        <v>Information Technology</v>
        <stp/>
        <stp>##V3_BDPV12</stp>
        <stp>ADBE US Equity</stp>
        <stp>DX202</stp>
        <stp>[DPM - Securities Master List (BBG Linked).xlsx]Equities!R36C46</stp>
        <tr r="AT36" s="2"/>
        <tr r="AT36" s="2"/>
        <tr r="AT36" s="2"/>
      </tp>
      <tp t="s">
        <v>Information Technology</v>
        <stp/>
        <stp>##V3_BDPV12</stp>
        <stp>ADBE US Equity</stp>
        <stp>DX202</stp>
        <stp>[DPM - Securities Master List (BBG Linked).xlsx]Equities!R37C46</stp>
        <tr r="AT37" s="2"/>
        <tr r="AT37" s="2"/>
        <tr r="AT37" s="2"/>
      </tp>
      <tp t="s">
        <v>Information Technology</v>
        <stp/>
        <stp>##V3_BDPV12</stp>
        <stp>ADBE US Equity</stp>
        <stp>DX202</stp>
        <stp>[DPM - Securities Master List (BBG Linked).xlsx]Equities!R38C46</stp>
        <tr r="AT38" s="2"/>
        <tr r="AT38" s="2"/>
        <tr r="AT38" s="2"/>
      </tp>
      <tp t="s">
        <v>Information Technology</v>
        <stp/>
        <stp>##V3_BDPV12</stp>
        <stp>ADBE US Equity</stp>
        <stp>DX202</stp>
        <stp>[DPM - Securities Master List (BBG Linked).xlsx]Equities!R39C46</stp>
        <tr r="AT39" s="2"/>
        <tr r="AT39" s="2"/>
        <tr r="AT39" s="2"/>
      </tp>
      <tp t="s">
        <v>Information Technology</v>
        <stp/>
        <stp>##V3_BDPV12</stp>
        <stp>ADBE US Equity</stp>
        <stp>DX202</stp>
        <stp>[DPM - Securities Master List (BBG Linked).xlsx]Equities!R44C46</stp>
        <tr r="AT44" s="2"/>
        <tr r="AT44" s="2"/>
        <tr r="AT44" s="2"/>
      </tp>
      <tp t="s">
        <v>Information Technology</v>
        <stp/>
        <stp>##V3_BDPV12</stp>
        <stp>ADBE US Equity</stp>
        <stp>DX202</stp>
        <stp>[DPM - Securities Master List (BBG Linked).xlsx]Equities!R45C46</stp>
        <tr r="AT45" s="2"/>
        <tr r="AT45" s="2"/>
        <tr r="AT45" s="2"/>
      </tp>
      <tp t="s">
        <v>Information Technology</v>
        <stp/>
        <stp>##V3_BDPV12</stp>
        <stp>ADBE US Equity</stp>
        <stp>DX202</stp>
        <stp>[DPM - Securities Master List (BBG Linked).xlsx]Equities!R46C46</stp>
        <tr r="AT46" s="2"/>
        <tr r="AT46" s="2"/>
        <tr r="AT46" s="2"/>
      </tp>
      <tp t="s">
        <v>Information Technology</v>
        <stp/>
        <stp>##V3_BDPV12</stp>
        <stp>ADBE US Equity</stp>
        <stp>DX202</stp>
        <stp>[DPM - Securities Master List (BBG Linked).xlsx]Equities!R47C46</stp>
        <tr r="AT47" s="2"/>
        <tr r="AT47" s="2"/>
        <tr r="AT47" s="2"/>
      </tp>
      <tp t="s">
        <v>Information Technology</v>
        <stp/>
        <stp>##V3_BDPV12</stp>
        <stp>ADBE US Equity</stp>
        <stp>DX202</stp>
        <stp>[DPM - Securities Master List (BBG Linked).xlsx]Equities!R40C46</stp>
        <tr r="AT40" s="2"/>
        <tr r="AT40" s="2"/>
        <tr r="AT40" s="2"/>
      </tp>
      <tp t="s">
        <v>Information Technology</v>
        <stp/>
        <stp>##V3_BDPV12</stp>
        <stp>ADBE US Equity</stp>
        <stp>DX202</stp>
        <stp>[DPM - Securities Master List (BBG Linked).xlsx]Equities!R41C46</stp>
        <tr r="AT41" s="2"/>
        <tr r="AT41" s="2"/>
        <tr r="AT41" s="2"/>
      </tp>
      <tp t="s">
        <v>Information Technology</v>
        <stp/>
        <stp>##V3_BDPV12</stp>
        <stp>ADBE US Equity</stp>
        <stp>DX202</stp>
        <stp>[DPM - Securities Master List (BBG Linked).xlsx]Equities!R42C46</stp>
        <tr r="AT42" s="2"/>
        <tr r="AT42" s="2"/>
        <tr r="AT42" s="2"/>
      </tp>
      <tp t="s">
        <v>Information Technology</v>
        <stp/>
        <stp>##V3_BDPV12</stp>
        <stp>ADBE US Equity</stp>
        <stp>DX202</stp>
        <stp>[DPM - Securities Master List (BBG Linked).xlsx]Equities!R43C46</stp>
        <tr r="AT43" s="2"/>
        <tr r="AT43" s="2"/>
        <tr r="AT43" s="2"/>
      </tp>
      <tp t="s">
        <v>Information Technology</v>
        <stp/>
        <stp>##V3_BDPV12</stp>
        <stp>ADBE US Equity</stp>
        <stp>DX202</stp>
        <stp>[DPM - Securities Master List (BBG Linked).xlsx]Equities!R48C46</stp>
        <tr r="AT48" s="2"/>
        <tr r="AT48" s="2"/>
        <tr r="AT48" s="2"/>
      </tp>
      <tp t="s">
        <v>Information Technology</v>
        <stp/>
        <stp>##V3_BDPV12</stp>
        <stp>ADBE US Equity</stp>
        <stp>DX202</stp>
        <stp>[DPM - Securities Master List (BBG Linked).xlsx]Equities!R49C46</stp>
        <tr r="AT49" s="2"/>
        <tr r="AT49" s="2"/>
        <tr r="AT49" s="2"/>
      </tp>
      <tp>
        <v>4.3265304565429688</v>
        <stp/>
        <stp>##V3_BDPV12</stp>
        <stp>ADBE US Equity</stp>
        <stp>EE201</stp>
        <stp>[DPM - Securities Master List (BBG Linked).xlsx]Equities!R39C37</stp>
        <tr r="AK39" s="2"/>
        <tr r="AK39" s="2"/>
        <tr r="AK39" s="2"/>
      </tp>
      <tp>
        <v>4.3265304565429688</v>
        <stp/>
        <stp>##V3_BDPV12</stp>
        <stp>ADBE US Equity</stp>
        <stp>EE201</stp>
        <stp>[DPM - Securities Master List (BBG Linked).xlsx]Equities!R38C37</stp>
        <tr r="AK38" s="2"/>
        <tr r="AK38" s="2"/>
        <tr r="AK38" s="2"/>
      </tp>
      <tp>
        <v>4.3265304565429688</v>
        <stp/>
        <stp>##V3_BDPV12</stp>
        <stp>ADBE US Equity</stp>
        <stp>EE201</stp>
        <stp>[DPM - Securities Master List (BBG Linked).xlsx]Equities!R37C37</stp>
        <tr r="AK37" s="2"/>
        <tr r="AK37" s="2"/>
        <tr r="AK37" s="2"/>
      </tp>
      <tp>
        <v>4.3265304565429688</v>
        <stp/>
        <stp>##V3_BDPV12</stp>
        <stp>ADBE US Equity</stp>
        <stp>EE201</stp>
        <stp>[DPM - Securities Master List (BBG Linked).xlsx]Equities!R36C37</stp>
        <tr r="AK36" s="2"/>
        <tr r="AK36" s="2"/>
        <tr r="AK36" s="2"/>
      </tp>
      <tp>
        <v>4.3265304565429688</v>
        <stp/>
        <stp>##V3_BDPV12</stp>
        <stp>ADBE US Equity</stp>
        <stp>EE201</stp>
        <stp>[DPM - Securities Master List (BBG Linked).xlsx]Equities!R49C37</stp>
        <tr r="AK49" s="2"/>
        <tr r="AK49" s="2"/>
        <tr r="AK49" s="2"/>
      </tp>
      <tp>
        <v>4.3265304565429688</v>
        <stp/>
        <stp>##V3_BDPV12</stp>
        <stp>ADBE US Equity</stp>
        <stp>EE201</stp>
        <stp>[DPM - Securities Master List (BBG Linked).xlsx]Equities!R48C37</stp>
        <tr r="AK48" s="2"/>
        <tr r="AK48" s="2"/>
        <tr r="AK48" s="2"/>
      </tp>
      <tp>
        <v>4.3265304565429688</v>
        <stp/>
        <stp>##V3_BDPV12</stp>
        <stp>ADBE US Equity</stp>
        <stp>EE201</stp>
        <stp>[DPM - Securities Master List (BBG Linked).xlsx]Equities!R41C37</stp>
        <tr r="AK41" s="2"/>
        <tr r="AK41" s="2"/>
        <tr r="AK41" s="2"/>
      </tp>
      <tp>
        <v>4.3265304565429688</v>
        <stp/>
        <stp>##V3_BDPV12</stp>
        <stp>ADBE US Equity</stp>
        <stp>EE201</stp>
        <stp>[DPM - Securities Master List (BBG Linked).xlsx]Equities!R40C37</stp>
        <tr r="AK40" s="2"/>
        <tr r="AK40" s="2"/>
        <tr r="AK40" s="2"/>
      </tp>
      <tp>
        <v>4.3265304565429688</v>
        <stp/>
        <stp>##V3_BDPV12</stp>
        <stp>ADBE US Equity</stp>
        <stp>EE201</stp>
        <stp>[DPM - Securities Master List (BBG Linked).xlsx]Equities!R43C37</stp>
        <tr r="AK43" s="2"/>
        <tr r="AK43" s="2"/>
        <tr r="AK43" s="2"/>
      </tp>
      <tp>
        <v>4.3265304565429688</v>
        <stp/>
        <stp>##V3_BDPV12</stp>
        <stp>ADBE US Equity</stp>
        <stp>EE201</stp>
        <stp>[DPM - Securities Master List (BBG Linked).xlsx]Equities!R42C37</stp>
        <tr r="AK42" s="2"/>
        <tr r="AK42" s="2"/>
        <tr r="AK42" s="2"/>
      </tp>
      <tp>
        <v>4.3265304565429688</v>
        <stp/>
        <stp>##V3_BDPV12</stp>
        <stp>ADBE US Equity</stp>
        <stp>EE201</stp>
        <stp>[DPM - Securities Master List (BBG Linked).xlsx]Equities!R45C37</stp>
        <tr r="AK45" s="2"/>
        <tr r="AK45" s="2"/>
        <tr r="AK45" s="2"/>
      </tp>
      <tp>
        <v>4.3265304565429688</v>
        <stp/>
        <stp>##V3_BDPV12</stp>
        <stp>ADBE US Equity</stp>
        <stp>EE201</stp>
        <stp>[DPM - Securities Master List (BBG Linked).xlsx]Equities!R44C37</stp>
        <tr r="AK44" s="2"/>
        <tr r="AK44" s="2"/>
        <tr r="AK44" s="2"/>
      </tp>
      <tp>
        <v>4.3265304565429688</v>
        <stp/>
        <stp>##V3_BDPV12</stp>
        <stp>ADBE US Equity</stp>
        <stp>EE201</stp>
        <stp>[DPM - Securities Master List (BBG Linked).xlsx]Equities!R47C37</stp>
        <tr r="AK47" s="2"/>
        <tr r="AK47" s="2"/>
        <tr r="AK47" s="2"/>
      </tp>
      <tp>
        <v>4.3265304565429688</v>
        <stp/>
        <stp>##V3_BDPV12</stp>
        <stp>ADBE US Equity</stp>
        <stp>EE201</stp>
        <stp>[DPM - Securities Master List (BBG Linked).xlsx]Equities!R46C37</stp>
        <tr r="AK46" s="2"/>
        <tr r="AK46" s="2"/>
        <tr r="AK46" s="2"/>
      </tp>
      <tp>
        <v>24514.608555409239</v>
        <stp/>
        <stp>##V3_BDPV12</stp>
        <stp>KER FP Equity</stp>
        <stp>CRNCY_ADJ_MKT_CAP</stp>
        <stp>[DPM - Securities Master List (BBG Linked).xlsx]Equities!R152C9</stp>
        <stp>EQY_FUND_CRNCY=USD</stp>
        <tr r="I152" s="2"/>
      </tp>
      <tp>
        <v>24514.608555409239</v>
        <stp/>
        <stp>##V3_BDPV12</stp>
        <stp>KER FP Equity</stp>
        <stp>CRNCY_ADJ_MKT_CAP</stp>
        <stp>[DPM - Securities Master List (BBG Linked).xlsx]Equities!R153C9</stp>
        <stp>EQY_FUND_CRNCY=USD</stp>
        <tr r="I153" s="2"/>
      </tp>
      <tp>
        <v>24514.608555409239</v>
        <stp/>
        <stp>##V3_BDPV12</stp>
        <stp>KER FP Equity</stp>
        <stp>CRNCY_ADJ_MKT_CAP</stp>
        <stp>[DPM - Securities Master List (BBG Linked).xlsx]Equities!R150C9</stp>
        <stp>EQY_FUND_CRNCY=USD</stp>
        <tr r="I150" s="2"/>
      </tp>
      <tp>
        <v>24514.608555409239</v>
        <stp/>
        <stp>##V3_BDPV12</stp>
        <stp>KER FP Equity</stp>
        <stp>CRNCY_ADJ_MKT_CAP</stp>
        <stp>[DPM - Securities Master List (BBG Linked).xlsx]Equities!R151C9</stp>
        <stp>EQY_FUND_CRNCY=USD</stp>
        <tr r="I151" s="2"/>
      </tp>
      <tp>
        <v>62612.970502694989</v>
        <stp/>
        <stp>##V3_BDPV12</stp>
        <stp>REGN US Equity</stp>
        <stp>CRNCY_ADJ_MKT_CAP</stp>
        <stp>[DPM - Securities Master List (BBG Linked).xlsx]Equities!R241C9</stp>
        <stp>EQY_FUND_CRNCY=USD</stp>
        <tr r="I241" s="2"/>
      </tp>
      <tp>
        <v>25273.117881329112</v>
        <stp/>
        <stp>##V3_BDPV12</stp>
        <stp>SSE LN Equity</stp>
        <stp>CRNCY_ADJ_MKT_CAP</stp>
        <stp>[DPM - Securities Master List (BBG Linked).xlsx]Equities!R254C9</stp>
        <stp>EQY_FUND_CRNCY=USD</stp>
        <tr r="I254" s="2"/>
      </tp>
      <tp>
        <v>25273.117881329112</v>
        <stp/>
        <stp>##V3_BDPV12</stp>
        <stp>SSE LN Equity</stp>
        <stp>CRNCY_ADJ_MKT_CAP</stp>
        <stp>[DPM - Securities Master List (BBG Linked).xlsx]Equities!R255C9</stp>
        <stp>EQY_FUND_CRNCY=USD</stp>
        <tr r="I255" s="2"/>
      </tp>
      <tp>
        <v>25273.117881329112</v>
        <stp/>
        <stp>##V3_BDPV12</stp>
        <stp>SSE LN Equity</stp>
        <stp>CRNCY_ADJ_MKT_CAP</stp>
        <stp>[DPM - Securities Master List (BBG Linked).xlsx]Equities!R256C9</stp>
        <stp>EQY_FUND_CRNCY=USD</stp>
        <tr r="I256" s="2"/>
      </tp>
      <tp>
        <v>25273.117881329112</v>
        <stp/>
        <stp>##V3_BDPV12</stp>
        <stp>SSE LN Equity</stp>
        <stp>CRNCY_ADJ_MKT_CAP</stp>
        <stp>[DPM - Securities Master List (BBG Linked).xlsx]Equities!R250C9</stp>
        <stp>EQY_FUND_CRNCY=USD</stp>
        <tr r="I250" s="2"/>
      </tp>
      <tp>
        <v>202615.11180457001</v>
        <stp/>
        <stp>##V3_BDPV12</stp>
        <stp>MRK US Equity</stp>
        <stp>CRNCY_ADJ_MKT_CAP</stp>
        <stp>[DPM - Securities Master List (BBG Linked).xlsx]Equities!R157C9</stp>
        <stp>EQY_FUND_CRNCY=USD</stp>
        <tr r="I157" s="2"/>
      </tp>
      <tp>
        <v>25273.117881329112</v>
        <stp/>
        <stp>##V3_BDPV12</stp>
        <stp>SSE LN Equity</stp>
        <stp>CRNCY_ADJ_MKT_CAP</stp>
        <stp>[DPM - Securities Master List (BBG Linked).xlsx]Equities!R251C9</stp>
        <stp>EQY_FUND_CRNCY=USD</stp>
        <tr r="I251" s="2"/>
      </tp>
      <tp>
        <v>106175.36406142499</v>
        <stp/>
        <stp>##V3_BDPV12</stp>
        <stp>MDT US Equity</stp>
        <stp>CRNCY_ADJ_MKT_CAP</stp>
        <stp>[DPM - Securities Master List (BBG Linked).xlsx]Equities!R155C9</stp>
        <stp>EQY_FUND_CRNCY=USD</stp>
        <tr r="I155" s="2"/>
      </tp>
      <tp>
        <v>25273.117881329112</v>
        <stp/>
        <stp>##V3_BDPV12</stp>
        <stp>SSE LN Equity</stp>
        <stp>CRNCY_ADJ_MKT_CAP</stp>
        <stp>[DPM - Securities Master List (BBG Linked).xlsx]Equities!R252C9</stp>
        <stp>EQY_FUND_CRNCY=USD</stp>
        <tr r="I252" s="2"/>
      </tp>
      <tp>
        <v>17087.425983014997</v>
        <stp/>
        <stp>##V3_BDPV12</stp>
        <stp>LUV US Equity</stp>
        <stp>CRNCY_ADJ_MKT_CAP</stp>
        <stp>[DPM - Securities Master List (BBG Linked).xlsx]Equities!R154C9</stp>
        <stp>EQY_FUND_CRNCY=USD</stp>
        <tr r="I154" s="2"/>
      </tp>
      <tp>
        <v>25273.117881329112</v>
        <stp/>
        <stp>##V3_BDPV12</stp>
        <stp>SSE LN Equity</stp>
        <stp>CRNCY_ADJ_MKT_CAP</stp>
        <stp>[DPM - Securities Master List (BBG Linked).xlsx]Equities!R253C9</stp>
        <stp>EQY_FUND_CRNCY=USD</stp>
        <tr r="I253" s="2"/>
      </tp>
      <tp>
        <v>202615.11180457001</v>
        <stp/>
        <stp>##V3_BDPV12</stp>
        <stp>MRK US Equity</stp>
        <stp>CRNCY_ADJ_MKT_CAP</stp>
        <stp>[DPM - Securities Master List (BBG Linked).xlsx]Equities!R159C9</stp>
        <stp>EQY_FUND_CRNCY=USD</stp>
        <tr r="I159" s="2"/>
      </tp>
      <tp>
        <v>202615.11180457001</v>
        <stp/>
        <stp>##V3_BDPV12</stp>
        <stp>MRK US Equity</stp>
        <stp>CRNCY_ADJ_MKT_CAP</stp>
        <stp>[DPM - Securities Master List (BBG Linked).xlsx]Equities!R158C9</stp>
        <stp>EQY_FUND_CRNCY=USD</stp>
        <tr r="I158" s="2"/>
      </tp>
      <tp>
        <v>25273.117881329112</v>
        <stp/>
        <stp>##V3_BDPV12</stp>
        <stp>SSE LN Equity</stp>
        <stp>CRNCY_ADJ_MKT_CAP</stp>
        <stp>[DPM - Securities Master List (BBG Linked).xlsx]Equities!R258C9</stp>
        <stp>EQY_FUND_CRNCY=USD</stp>
        <tr r="I258" s="2"/>
      </tp>
      <tp t="s">
        <v>Walt Disney Co/The</v>
        <stp/>
        <stp>##V3_BDPV12</stp>
        <stp>DIS US Equity</stp>
        <stp>SECURITY NAME</stp>
        <stp>[DPM - Securities Master List (BBG Linked).xlsx]Equities!R115C5</stp>
        <tr r="E115" s="2"/>
      </tp>
      <tp>
        <v>186.44499999999999</v>
        <stp/>
        <stp>##V3_BDPV12</stp>
        <stp>AMZN  US Equity</stp>
        <stp>PX_LAST</stp>
        <stp>[DPM - Securities Master List (BBG Linked).xlsx]Equities!R50C17</stp>
        <tr r="Q50" s="2"/>
      </tp>
      <tp t="s">
        <v>USD</v>
        <stp/>
        <stp>##V3_BDPV12</stp>
        <stp>PEP US Equity</stp>
        <stp>CRNCY</stp>
        <stp>[DPM - Securities Master List (BBG Linked).xlsx]Equities!R229C6</stp>
        <tr r="F229" s="2"/>
      </tp>
      <tp t="s">
        <v>EUR</v>
        <stp/>
        <stp>##V3_BDPV12</stp>
        <stp>KER FP Equity</stp>
        <stp>CRNCY</stp>
        <stp>[DPM - Securities Master List (BBG Linked).xlsx]Equities!R151C6</stp>
        <tr r="F151" s="2"/>
      </tp>
      <tp>
        <v>355.7</v>
        <stp/>
        <stp>##V3_BDPV12</stp>
        <stp>BP/ LN Equity</stp>
        <stp>PX_LAST</stp>
        <stp>[DPM - Securities Master List (BBG Linked).xlsx]Equities!R88C17</stp>
        <tr r="Q88" s="2"/>
      </tp>
      <tp>
        <v>355.7</v>
        <stp/>
        <stp>##V3_BDPV12</stp>
        <stp>BP/ LN Equity</stp>
        <stp>PX_LAST</stp>
        <stp>[DPM - Securities Master List (BBG Linked).xlsx]Equities!R89C17</stp>
        <tr r="Q89" s="2"/>
      </tp>
      <tp>
        <v>355.7</v>
        <stp/>
        <stp>##V3_BDPV12</stp>
        <stp>BP/ LN Equity</stp>
        <stp>PX_LAST</stp>
        <stp>[DPM - Securities Master List (BBG Linked).xlsx]Equities!R86C17</stp>
        <tr r="Q86" s="2"/>
      </tp>
      <tp>
        <v>355.7</v>
        <stp/>
        <stp>##V3_BDPV12</stp>
        <stp>BP/ LN Equity</stp>
        <stp>PX_LAST</stp>
        <stp>[DPM - Securities Master List (BBG Linked).xlsx]Equities!R87C17</stp>
        <tr r="Q87" s="2"/>
      </tp>
      <tp>
        <v>355.7</v>
        <stp/>
        <stp>##V3_BDPV12</stp>
        <stp>BP/ LN Equity</stp>
        <stp>PX_LAST</stp>
        <stp>[DPM - Securities Master List (BBG Linked).xlsx]Equities!R84C17</stp>
        <tr r="Q84" s="2"/>
      </tp>
      <tp>
        <v>355.7</v>
        <stp/>
        <stp>##V3_BDPV12</stp>
        <stp>BP/ LN Equity</stp>
        <stp>PX_LAST</stp>
        <stp>[DPM - Securities Master List (BBG Linked).xlsx]Equities!R85C17</stp>
        <tr r="Q85" s="2"/>
      </tp>
      <tp>
        <v>355.7</v>
        <stp/>
        <stp>##V3_BDPV12</stp>
        <stp>BP/ LN Equity</stp>
        <stp>PX_LAST</stp>
        <stp>[DPM - Securities Master List (BBG Linked).xlsx]Equities!R82C17</stp>
        <tr r="Q82" s="2"/>
      </tp>
      <tp>
        <v>355.7</v>
        <stp/>
        <stp>##V3_BDPV12</stp>
        <stp>BP/ LN Equity</stp>
        <stp>PX_LAST</stp>
        <stp>[DPM - Securities Master List (BBG Linked).xlsx]Equities!R83C17</stp>
        <tr r="Q83" s="2"/>
      </tp>
      <tp>
        <v>355.7</v>
        <stp/>
        <stp>##V3_BDPV12</stp>
        <stp>BP/ LN Equity</stp>
        <stp>PX_LAST</stp>
        <stp>[DPM - Securities Master List (BBG Linked).xlsx]Equities!R80C17</stp>
        <tr r="Q80" s="2"/>
      </tp>
      <tp>
        <v>355.7</v>
        <stp/>
        <stp>##V3_BDPV12</stp>
        <stp>BP/ LN Equity</stp>
        <stp>PX_LAST</stp>
        <stp>[DPM - Securities Master List (BBG Linked).xlsx]Equities!R81C17</stp>
        <tr r="Q81" s="2"/>
      </tp>
      <tp>
        <v>355.7</v>
        <stp/>
        <stp>##V3_BDPV12</stp>
        <stp>BP/ LN Equity</stp>
        <stp>PX_LAST</stp>
        <stp>[DPM - Securities Master List (BBG Linked).xlsx]Equities!R90C17</stp>
        <tr r="Q90" s="2"/>
      </tp>
      <tp>
        <v>355.7</v>
        <stp/>
        <stp>##V3_BDPV12</stp>
        <stp>BP/ LN Equity</stp>
        <stp>PX_LAST</stp>
        <stp>[DPM - Securities Master List (BBG Linked).xlsx]Equities!R78C17</stp>
        <tr r="Q78" s="2"/>
      </tp>
      <tp>
        <v>355.7</v>
        <stp/>
        <stp>##V3_BDPV12</stp>
        <stp>BP/ LN Equity</stp>
        <stp>PX_LAST</stp>
        <stp>[DPM - Securities Master List (BBG Linked).xlsx]Equities!R79C17</stp>
        <tr r="Q79" s="2"/>
      </tp>
      <tp>
        <v>355.7</v>
        <stp/>
        <stp>##V3_BDPV12</stp>
        <stp>BP/ LN Equity</stp>
        <stp>PX_LAST</stp>
        <stp>[DPM - Securities Master List (BBG Linked).xlsx]Equities!R77C17</stp>
        <tr r="Q77" s="2"/>
      </tp>
      <tp t="s">
        <v>GBp</v>
        <stp/>
        <stp>##V3_BDPV12</stp>
        <stp>DRX LN Equity</stp>
        <stp>CRNCY</stp>
        <stp>[DPM - Securities Master List (BBG Linked).xlsx]Equities!R124C6</stp>
        <tr r="F124" s="2"/>
      </tp>
      <tp>
        <v>47.645000000000003</v>
        <stp/>
        <stp>##V3_BDPV12</stp>
        <stp>TTE FP Equity</stp>
        <stp>hs002</stp>
        <stp>[DPM - Securities Master List (BBG Linked).xlsx]Equities!R276C45</stp>
        <tr r="AS276" s="2"/>
      </tp>
      <tp>
        <v>47.645000000000003</v>
        <stp/>
        <stp>##V3_BDPV12</stp>
        <stp>TTE FP Equity</stp>
        <stp>hs002</stp>
        <stp>[DPM - Securities Master List (BBG Linked).xlsx]Equities!R277C45</stp>
        <tr r="AS277" s="2"/>
      </tp>
      <tp>
        <v>47.645000000000003</v>
        <stp/>
        <stp>##V3_BDPV12</stp>
        <stp>TTE FP Equity</stp>
        <stp>hs002</stp>
        <stp>[DPM - Securities Master List (BBG Linked).xlsx]Equities!R278C45</stp>
        <tr r="AS278" s="2"/>
      </tp>
      <tp>
        <v>47.645000000000003</v>
        <stp/>
        <stp>##V3_BDPV12</stp>
        <stp>TTE FP Equity</stp>
        <stp>hs002</stp>
        <stp>[DPM - Securities Master List (BBG Linked).xlsx]Equities!R279C45</stp>
        <tr r="AS279" s="2"/>
      </tp>
      <tp>
        <v>47.645000000000003</v>
        <stp/>
        <stp>##V3_BDPV12</stp>
        <stp>TTE FP Equity</stp>
        <stp>hs002</stp>
        <stp>[DPM - Securities Master List (BBG Linked).xlsx]Equities!R284C45</stp>
        <tr r="AS284" s="2"/>
      </tp>
      <tp>
        <v>47.645000000000003</v>
        <stp/>
        <stp>##V3_BDPV12</stp>
        <stp>TTE FP Equity</stp>
        <stp>hs002</stp>
        <stp>[DPM - Securities Master List (BBG Linked).xlsx]Equities!R285C45</stp>
        <tr r="AS285" s="2"/>
      </tp>
      <tp>
        <v>47.645000000000003</v>
        <stp/>
        <stp>##V3_BDPV12</stp>
        <stp>TTE FP Equity</stp>
        <stp>hs002</stp>
        <stp>[DPM - Securities Master List (BBG Linked).xlsx]Equities!R286C45</stp>
        <tr r="AS286" s="2"/>
      </tp>
      <tp>
        <v>47.645000000000003</v>
        <stp/>
        <stp>##V3_BDPV12</stp>
        <stp>TTE FP Equity</stp>
        <stp>hs002</stp>
        <stp>[DPM - Securities Master List (BBG Linked).xlsx]Equities!R287C45</stp>
        <tr r="AS287" s="2"/>
      </tp>
      <tp>
        <v>47.645000000000003</v>
        <stp/>
        <stp>##V3_BDPV12</stp>
        <stp>TTE FP Equity</stp>
        <stp>hs002</stp>
        <stp>[DPM - Securities Master List (BBG Linked).xlsx]Equities!R280C45</stp>
        <tr r="AS280" s="2"/>
      </tp>
      <tp>
        <v>47.645000000000003</v>
        <stp/>
        <stp>##V3_BDPV12</stp>
        <stp>TTE FP Equity</stp>
        <stp>hs002</stp>
        <stp>[DPM - Securities Master List (BBG Linked).xlsx]Equities!R281C45</stp>
        <tr r="AS281" s="2"/>
      </tp>
      <tp>
        <v>47.645000000000003</v>
        <stp/>
        <stp>##V3_BDPV12</stp>
        <stp>TTE FP Equity</stp>
        <stp>hs002</stp>
        <stp>[DPM - Securities Master List (BBG Linked).xlsx]Equities!R282C45</stp>
        <tr r="AS282" s="2"/>
      </tp>
      <tp>
        <v>47.645000000000003</v>
        <stp/>
        <stp>##V3_BDPV12</stp>
        <stp>TTE FP Equity</stp>
        <stp>hs002</stp>
        <stp>[DPM - Securities Master List (BBG Linked).xlsx]Equities!R283C45</stp>
        <tr r="AS283" s="2"/>
      </tp>
      <tp>
        <v>47.645000000000003</v>
        <stp/>
        <stp>##V3_BDPV12</stp>
        <stp>TTE FP Equity</stp>
        <stp>hs002</stp>
        <stp>[DPM - Securities Master List (BBG Linked).xlsx]Equities!R288C45</stp>
        <tr r="AS288" s="2"/>
      </tp>
      <tp>
        <v>69.2</v>
        <stp/>
        <stp>##V3_BDPV12</stp>
        <stp>TTE FP Equity</stp>
        <stp>hs001</stp>
        <stp>[DPM - Securities Master List (BBG Linked).xlsx]Equities!R276C44</stp>
        <tr r="AR276" s="2"/>
      </tp>
      <tp>
        <v>69.2</v>
        <stp/>
        <stp>##V3_BDPV12</stp>
        <stp>TTE FP Equity</stp>
        <stp>hs001</stp>
        <stp>[DPM - Securities Master List (BBG Linked).xlsx]Equities!R277C44</stp>
        <tr r="AR277" s="2"/>
      </tp>
      <tp>
        <v>69.2</v>
        <stp/>
        <stp>##V3_BDPV12</stp>
        <stp>TTE FP Equity</stp>
        <stp>hs001</stp>
        <stp>[DPM - Securities Master List (BBG Linked).xlsx]Equities!R278C44</stp>
        <tr r="AR278" s="2"/>
      </tp>
      <tp>
        <v>69.2</v>
        <stp/>
        <stp>##V3_BDPV12</stp>
        <stp>TTE FP Equity</stp>
        <stp>hs001</stp>
        <stp>[DPM - Securities Master List (BBG Linked).xlsx]Equities!R279C44</stp>
        <tr r="AR279" s="2"/>
      </tp>
      <tp>
        <v>69.2</v>
        <stp/>
        <stp>##V3_BDPV12</stp>
        <stp>TTE FP Equity</stp>
        <stp>hs001</stp>
        <stp>[DPM - Securities Master List (BBG Linked).xlsx]Equities!R284C44</stp>
        <tr r="AR284" s="2"/>
      </tp>
      <tp>
        <v>69.2</v>
        <stp/>
        <stp>##V3_BDPV12</stp>
        <stp>TTE FP Equity</stp>
        <stp>hs001</stp>
        <stp>[DPM - Securities Master List (BBG Linked).xlsx]Equities!R285C44</stp>
        <tr r="AR285" s="2"/>
      </tp>
      <tp>
        <v>69.2</v>
        <stp/>
        <stp>##V3_BDPV12</stp>
        <stp>TTE FP Equity</stp>
        <stp>hs001</stp>
        <stp>[DPM - Securities Master List (BBG Linked).xlsx]Equities!R286C44</stp>
        <tr r="AR286" s="2"/>
      </tp>
      <tp>
        <v>69.2</v>
        <stp/>
        <stp>##V3_BDPV12</stp>
        <stp>TTE FP Equity</stp>
        <stp>hs001</stp>
        <stp>[DPM - Securities Master List (BBG Linked).xlsx]Equities!R287C44</stp>
        <tr r="AR287" s="2"/>
      </tp>
      <tp>
        <v>69.2</v>
        <stp/>
        <stp>##V3_BDPV12</stp>
        <stp>TTE FP Equity</stp>
        <stp>hs001</stp>
        <stp>[DPM - Securities Master List (BBG Linked).xlsx]Equities!R280C44</stp>
        <tr r="AR280" s="2"/>
      </tp>
      <tp>
        <v>69.2</v>
        <stp/>
        <stp>##V3_BDPV12</stp>
        <stp>TTE FP Equity</stp>
        <stp>hs001</stp>
        <stp>[DPM - Securities Master List (BBG Linked).xlsx]Equities!R281C44</stp>
        <tr r="AR281" s="2"/>
      </tp>
      <tp>
        <v>69.2</v>
        <stp/>
        <stp>##V3_BDPV12</stp>
        <stp>TTE FP Equity</stp>
        <stp>hs001</stp>
        <stp>[DPM - Securities Master List (BBG Linked).xlsx]Equities!R282C44</stp>
        <tr r="AR282" s="2"/>
      </tp>
      <tp>
        <v>69.2</v>
        <stp/>
        <stp>##V3_BDPV12</stp>
        <stp>TTE FP Equity</stp>
        <stp>hs001</stp>
        <stp>[DPM - Securities Master List (BBG Linked).xlsx]Equities!R283C44</stp>
        <tr r="AR283" s="2"/>
      </tp>
      <tp>
        <v>69.2</v>
        <stp/>
        <stp>##V3_BDPV12</stp>
        <stp>TTE FP Equity</stp>
        <stp>hs001</stp>
        <stp>[DPM - Securities Master List (BBG Linked).xlsx]Equities!R288C44</stp>
        <tr r="AR288" s="2"/>
      </tp>
      <tp t="s">
        <v>TotalEnergies SE</v>
        <stp/>
        <stp>##V3_BDPV12</stp>
        <stp>TTE FP Equity</stp>
        <stp>SECURITY NAME</stp>
        <stp>[DPM - Securities Master List (BBG Linked).xlsx]Equities!R286C5</stp>
        <tr r="E286" s="2"/>
      </tp>
      <tp t="s">
        <v>TotalEnergies SE</v>
        <stp/>
        <stp>##V3_BDPV12</stp>
        <stp>TTE FP Equity</stp>
        <stp>SECURITY NAME</stp>
        <stp>[DPM - Securities Master List (BBG Linked).xlsx]Equities!R276C5</stp>
        <tr r="E276" s="2"/>
      </tp>
      <tp>
        <v>9.7356558104022497</v>
        <stp/>
        <stp>##V3_BDPV12</stp>
        <stp>TTE FP Equity</stp>
        <stp>RR900</stp>
        <stp>[DPM - Securities Master List (BBG Linked).xlsx]Equities!R279C11</stp>
        <tr r="K279" s="2"/>
        <tr r="K279" s="2"/>
        <tr r="K279" s="2"/>
      </tp>
      <tp>
        <v>9.7356558104022497</v>
        <stp/>
        <stp>##V3_BDPV12</stp>
        <stp>TTE FP Equity</stp>
        <stp>RR900</stp>
        <stp>[DPM - Securities Master List (BBG Linked).xlsx]Equities!R278C11</stp>
        <tr r="K278" s="2"/>
        <tr r="K278" s="2"/>
        <tr r="K278" s="2"/>
      </tp>
      <tp>
        <v>9.7356558104022497</v>
        <stp/>
        <stp>##V3_BDPV12</stp>
        <stp>TTE FP Equity</stp>
        <stp>RR900</stp>
        <stp>[DPM - Securities Master List (BBG Linked).xlsx]Equities!R277C11</stp>
        <tr r="K277" s="2"/>
        <tr r="K277" s="2"/>
        <tr r="K277" s="2"/>
      </tp>
      <tp>
        <v>9.7356558104022497</v>
        <stp/>
        <stp>##V3_BDPV12</stp>
        <stp>TTE FP Equity</stp>
        <stp>RR900</stp>
        <stp>[DPM - Securities Master List (BBG Linked).xlsx]Equities!R276C11</stp>
        <tr r="K276" s="2"/>
        <tr r="K276" s="2"/>
        <tr r="K276" s="2"/>
      </tp>
      <tp>
        <v>9.7356558104022497</v>
        <stp/>
        <stp>##V3_BDPV12</stp>
        <stp>TTE FP Equity</stp>
        <stp>RR900</stp>
        <stp>[DPM - Securities Master List (BBG Linked).xlsx]Equities!R288C11</stp>
        <tr r="K288" s="2"/>
        <tr r="K288" s="2"/>
        <tr r="K288" s="2"/>
      </tp>
      <tp>
        <v>9.7356558104022497</v>
        <stp/>
        <stp>##V3_BDPV12</stp>
        <stp>TTE FP Equity</stp>
        <stp>RR900</stp>
        <stp>[DPM - Securities Master List (BBG Linked).xlsx]Equities!R285C11</stp>
        <tr r="K285" s="2"/>
        <tr r="K285" s="2"/>
        <tr r="K285" s="2"/>
      </tp>
      <tp>
        <v>9.7356558104022497</v>
        <stp/>
        <stp>##V3_BDPV12</stp>
        <stp>TTE FP Equity</stp>
        <stp>RR900</stp>
        <stp>[DPM - Securities Master List (BBG Linked).xlsx]Equities!R284C11</stp>
        <tr r="K284" s="2"/>
        <tr r="K284" s="2"/>
        <tr r="K284" s="2"/>
      </tp>
      <tp>
        <v>9.7356558104022497</v>
        <stp/>
        <stp>##V3_BDPV12</stp>
        <stp>TTE FP Equity</stp>
        <stp>RR900</stp>
        <stp>[DPM - Securities Master List (BBG Linked).xlsx]Equities!R287C11</stp>
        <tr r="K287" s="2"/>
        <tr r="K287" s="2"/>
        <tr r="K287" s="2"/>
      </tp>
      <tp>
        <v>9.7356558104022497</v>
        <stp/>
        <stp>##V3_BDPV12</stp>
        <stp>TTE FP Equity</stp>
        <stp>RR900</stp>
        <stp>[DPM - Securities Master List (BBG Linked).xlsx]Equities!R286C11</stp>
        <tr r="K286" s="2"/>
        <tr r="K286" s="2"/>
        <tr r="K286" s="2"/>
      </tp>
      <tp>
        <v>9.7356558104022497</v>
        <stp/>
        <stp>##V3_BDPV12</stp>
        <stp>TTE FP Equity</stp>
        <stp>RR900</stp>
        <stp>[DPM - Securities Master List (BBG Linked).xlsx]Equities!R281C11</stp>
        <tr r="K281" s="2"/>
        <tr r="K281" s="2"/>
        <tr r="K281" s="2"/>
      </tp>
      <tp>
        <v>9.7356558104022497</v>
        <stp/>
        <stp>##V3_BDPV12</stp>
        <stp>TTE FP Equity</stp>
        <stp>RR900</stp>
        <stp>[DPM - Securities Master List (BBG Linked).xlsx]Equities!R280C11</stp>
        <tr r="K280" s="2"/>
        <tr r="K280" s="2"/>
        <tr r="K280" s="2"/>
      </tp>
      <tp>
        <v>9.7356558104022497</v>
        <stp/>
        <stp>##V3_BDPV12</stp>
        <stp>TTE FP Equity</stp>
        <stp>RR900</stp>
        <stp>[DPM - Securities Master List (BBG Linked).xlsx]Equities!R283C11</stp>
        <tr r="K283" s="2"/>
        <tr r="K283" s="2"/>
        <tr r="K283" s="2"/>
      </tp>
      <tp>
        <v>9.7356558104022497</v>
        <stp/>
        <stp>##V3_BDPV12</stp>
        <stp>TTE FP Equity</stp>
        <stp>RR900</stp>
        <stp>[DPM - Securities Master List (BBG Linked).xlsx]Equities!R282C11</stp>
        <tr r="K282" s="2"/>
        <tr r="K282" s="2"/>
        <tr r="K282" s="2"/>
      </tp>
      <tp>
        <v>1.1045343138620547</v>
        <stp/>
        <stp>##V3_BDPV12</stp>
        <stp>TTE FP Equity</stp>
        <stp>RR903</stp>
        <stp>[DPM - Securities Master List (BBG Linked).xlsx]Equities!R279C13</stp>
        <tr r="M279" s="2"/>
        <tr r="M279" s="2"/>
        <tr r="M279" s="2"/>
      </tp>
      <tp>
        <v>1.1045343138620547</v>
        <stp/>
        <stp>##V3_BDPV12</stp>
        <stp>TTE FP Equity</stp>
        <stp>RR903</stp>
        <stp>[DPM - Securities Master List (BBG Linked).xlsx]Equities!R278C13</stp>
        <tr r="M278" s="2"/>
        <tr r="M278" s="2"/>
        <tr r="M278" s="2"/>
      </tp>
      <tp>
        <v>1.1045343138620547</v>
        <stp/>
        <stp>##V3_BDPV12</stp>
        <stp>TTE FP Equity</stp>
        <stp>RR903</stp>
        <stp>[DPM - Securities Master List (BBG Linked).xlsx]Equities!R277C13</stp>
        <tr r="M277" s="2"/>
        <tr r="M277" s="2"/>
        <tr r="M277" s="2"/>
      </tp>
      <tp>
        <v>1.1045343138620547</v>
        <stp/>
        <stp>##V3_BDPV12</stp>
        <stp>TTE FP Equity</stp>
        <stp>RR903</stp>
        <stp>[DPM - Securities Master List (BBG Linked).xlsx]Equities!R276C13</stp>
        <tr r="M276" s="2"/>
        <tr r="M276" s="2"/>
        <tr r="M276" s="2"/>
      </tp>
      <tp>
        <v>1.1045343138620547</v>
        <stp/>
        <stp>##V3_BDPV12</stp>
        <stp>TTE FP Equity</stp>
        <stp>RR903</stp>
        <stp>[DPM - Securities Master List (BBG Linked).xlsx]Equities!R288C13</stp>
        <tr r="M288" s="2"/>
        <tr r="M288" s="2"/>
        <tr r="M288" s="2"/>
      </tp>
      <tp>
        <v>1.1045343138620547</v>
        <stp/>
        <stp>##V3_BDPV12</stp>
        <stp>TTE FP Equity</stp>
        <stp>RR903</stp>
        <stp>[DPM - Securities Master List (BBG Linked).xlsx]Equities!R285C13</stp>
        <tr r="M285" s="2"/>
        <tr r="M285" s="2"/>
        <tr r="M285" s="2"/>
      </tp>
      <tp>
        <v>1.1045343138620547</v>
        <stp/>
        <stp>##V3_BDPV12</stp>
        <stp>TTE FP Equity</stp>
        <stp>RR903</stp>
        <stp>[DPM - Securities Master List (BBG Linked).xlsx]Equities!R284C13</stp>
        <tr r="M284" s="2"/>
        <tr r="M284" s="2"/>
        <tr r="M284" s="2"/>
      </tp>
      <tp>
        <v>1.1045343138620547</v>
        <stp/>
        <stp>##V3_BDPV12</stp>
        <stp>TTE FP Equity</stp>
        <stp>RR903</stp>
        <stp>[DPM - Securities Master List (BBG Linked).xlsx]Equities!R287C13</stp>
        <tr r="M287" s="2"/>
        <tr r="M287" s="2"/>
        <tr r="M287" s="2"/>
      </tp>
      <tp>
        <v>1.1045343138620547</v>
        <stp/>
        <stp>##V3_BDPV12</stp>
        <stp>TTE FP Equity</stp>
        <stp>RR903</stp>
        <stp>[DPM - Securities Master List (BBG Linked).xlsx]Equities!R286C13</stp>
        <tr r="M286" s="2"/>
        <tr r="M286" s="2"/>
        <tr r="M286" s="2"/>
      </tp>
      <tp>
        <v>1.1045343138620547</v>
        <stp/>
        <stp>##V3_BDPV12</stp>
        <stp>TTE FP Equity</stp>
        <stp>RR903</stp>
        <stp>[DPM - Securities Master List (BBG Linked).xlsx]Equities!R281C13</stp>
        <tr r="M281" s="2"/>
        <tr r="M281" s="2"/>
        <tr r="M281" s="2"/>
      </tp>
      <tp>
        <v>1.1045343138620547</v>
        <stp/>
        <stp>##V3_BDPV12</stp>
        <stp>TTE FP Equity</stp>
        <stp>RR903</stp>
        <stp>[DPM - Securities Master List (BBG Linked).xlsx]Equities!R280C13</stp>
        <tr r="M280" s="2"/>
        <tr r="M280" s="2"/>
        <tr r="M280" s="2"/>
      </tp>
      <tp>
        <v>1.1045343138620547</v>
        <stp/>
        <stp>##V3_BDPV12</stp>
        <stp>TTE FP Equity</stp>
        <stp>RR903</stp>
        <stp>[DPM - Securities Master List (BBG Linked).xlsx]Equities!R283C13</stp>
        <tr r="M283" s="2"/>
        <tr r="M283" s="2"/>
        <tr r="M283" s="2"/>
      </tp>
      <tp>
        <v>1.1045343138620547</v>
        <stp/>
        <stp>##V3_BDPV12</stp>
        <stp>TTE FP Equity</stp>
        <stp>RR903</stp>
        <stp>[DPM - Securities Master List (BBG Linked).xlsx]Equities!R282C13</stp>
        <tr r="M282" s="2"/>
        <tr r="M282" s="2"/>
        <tr r="M282" s="2"/>
      </tp>
      <tp t="s">
        <v>Equity</v>
        <stp/>
        <stp>##V3_BDPV12</stp>
        <stp>LUV US Equity</stp>
        <stp>EX028</stp>
        <stp>[DPM - Securities Master List (BBG Linked).xlsx]Equities!R154C30</stp>
        <tr r="AD154" s="2"/>
        <tr r="AD154" s="2"/>
        <tr r="AD154" s="2"/>
      </tp>
      <tp>
        <v>9.2215804109251049</v>
        <stp/>
        <stp>##V3_BDPV12</stp>
        <stp>MRK US Equity</stp>
        <stp>RR957</stp>
        <stp>[DPM - Securities Master List (BBG Linked).xlsx]Equities!R167C14</stp>
        <tr r="N167" s="2"/>
        <tr r="N167" s="2"/>
        <tr r="N167" s="2"/>
      </tp>
      <tp>
        <v>9.2215804109251049</v>
        <stp/>
        <stp>##V3_BDPV12</stp>
        <stp>MRK US Equity</stp>
        <stp>RR957</stp>
        <stp>[DPM - Securities Master List (BBG Linked).xlsx]Equities!R166C14</stp>
        <tr r="N166" s="2"/>
        <tr r="N166" s="2"/>
        <tr r="N166" s="2"/>
      </tp>
      <tp>
        <v>9.2215804109251049</v>
        <stp/>
        <stp>##V3_BDPV12</stp>
        <stp>MRK US Equity</stp>
        <stp>RR957</stp>
        <stp>[DPM - Securities Master List (BBG Linked).xlsx]Equities!R165C14</stp>
        <tr r="N165" s="2"/>
        <tr r="N165" s="2"/>
        <tr r="N165" s="2"/>
      </tp>
      <tp>
        <v>9.2215804109251049</v>
        <stp/>
        <stp>##V3_BDPV12</stp>
        <stp>MRK US Equity</stp>
        <stp>RR957</stp>
        <stp>[DPM - Securities Master List (BBG Linked).xlsx]Equities!R164C14</stp>
        <tr r="N164" s="2"/>
        <tr r="N164" s="2"/>
        <tr r="N164" s="2"/>
      </tp>
      <tp>
        <v>9.2215804109251049</v>
        <stp/>
        <stp>##V3_BDPV12</stp>
        <stp>MRK US Equity</stp>
        <stp>RR957</stp>
        <stp>[DPM - Securities Master List (BBG Linked).xlsx]Equities!R163C14</stp>
        <tr r="N163" s="2"/>
        <tr r="N163" s="2"/>
        <tr r="N163" s="2"/>
      </tp>
      <tp>
        <v>9.2215804109251049</v>
        <stp/>
        <stp>##V3_BDPV12</stp>
        <stp>MRK US Equity</stp>
        <stp>RR957</stp>
        <stp>[DPM - Securities Master List (BBG Linked).xlsx]Equities!R162C14</stp>
        <tr r="N162" s="2"/>
        <tr r="N162" s="2"/>
        <tr r="N162" s="2"/>
      </tp>
      <tp>
        <v>9.2215804109251049</v>
        <stp/>
        <stp>##V3_BDPV12</stp>
        <stp>MRK US Equity</stp>
        <stp>RR957</stp>
        <stp>[DPM - Securities Master List (BBG Linked).xlsx]Equities!R161C14</stp>
        <tr r="N161" s="2"/>
        <tr r="N161" s="2"/>
        <tr r="N161" s="2"/>
      </tp>
      <tp>
        <v>9.2215804109251049</v>
        <stp/>
        <stp>##V3_BDPV12</stp>
        <stp>MRK US Equity</stp>
        <stp>RR957</stp>
        <stp>[DPM - Securities Master List (BBG Linked).xlsx]Equities!R160C14</stp>
        <tr r="N160" s="2"/>
        <tr r="N160" s="2"/>
        <tr r="N160" s="2"/>
      </tp>
      <tp>
        <v>9.2215804109251049</v>
        <stp/>
        <stp>##V3_BDPV12</stp>
        <stp>MRK US Equity</stp>
        <stp>RR957</stp>
        <stp>[DPM - Securities Master List (BBG Linked).xlsx]Equities!R169C14</stp>
        <tr r="N169" s="2"/>
        <tr r="N169" s="2"/>
        <tr r="N169" s="2"/>
      </tp>
      <tp>
        <v>9.2215804109251049</v>
        <stp/>
        <stp>##V3_BDPV12</stp>
        <stp>MRK US Equity</stp>
        <stp>RR957</stp>
        <stp>[DPM - Securities Master List (BBG Linked).xlsx]Equities!R168C14</stp>
        <tr r="N168" s="2"/>
        <tr r="N168" s="2"/>
        <tr r="N168" s="2"/>
      </tp>
      <tp>
        <v>9.2215804109251049</v>
        <stp/>
        <stp>##V3_BDPV12</stp>
        <stp>MRK US Equity</stp>
        <stp>RR957</stp>
        <stp>[DPM - Securities Master List (BBG Linked).xlsx]Equities!R157C14</stp>
        <tr r="N157" s="2"/>
        <tr r="N157" s="2"/>
        <tr r="N157" s="2"/>
      </tp>
      <tp>
        <v>9.2215804109251049</v>
        <stp/>
        <stp>##V3_BDPV12</stp>
        <stp>MRK US Equity</stp>
        <stp>RR957</stp>
        <stp>[DPM - Securities Master List (BBG Linked).xlsx]Equities!R159C14</stp>
        <tr r="N159" s="2"/>
        <tr r="N159" s="2"/>
        <tr r="N159" s="2"/>
      </tp>
      <tp>
        <v>9.2215804109251049</v>
        <stp/>
        <stp>##V3_BDPV12</stp>
        <stp>MRK US Equity</stp>
        <stp>RR957</stp>
        <stp>[DPM - Securities Master List (BBG Linked).xlsx]Equities!R158C14</stp>
        <tr r="N158" s="2"/>
        <tr r="N158" s="2"/>
        <tr r="N158" s="2"/>
      </tp>
      <tp>
        <v>4.4161332134096982</v>
        <stp/>
        <stp>##V3_BDPV12</stp>
        <stp>TTE FP Equity</stp>
        <stp>RR908</stp>
        <stp>[DPM - Securities Master List (BBG Linked).xlsx]Equities!R279C32</stp>
        <tr r="AF279" s="2"/>
        <tr r="AF279" s="2"/>
        <tr r="AF279" s="2"/>
      </tp>
      <tp>
        <v>4.4161332134096982</v>
        <stp/>
        <stp>##V3_BDPV12</stp>
        <stp>TTE FP Equity</stp>
        <stp>RR908</stp>
        <stp>[DPM - Securities Master List (BBG Linked).xlsx]Equities!R278C32</stp>
        <tr r="AF278" s="2"/>
        <tr r="AF278" s="2"/>
        <tr r="AF278" s="2"/>
      </tp>
      <tp>
        <v>4.4161332134096982</v>
        <stp/>
        <stp>##V3_BDPV12</stp>
        <stp>TTE FP Equity</stp>
        <stp>RR908</stp>
        <stp>[DPM - Securities Master List (BBG Linked).xlsx]Equities!R277C32</stp>
        <tr r="AF277" s="2"/>
        <tr r="AF277" s="2"/>
        <tr r="AF277" s="2"/>
      </tp>
      <tp>
        <v>4.4161332134096982</v>
        <stp/>
        <stp>##V3_BDPV12</stp>
        <stp>TTE FP Equity</stp>
        <stp>RR908</stp>
        <stp>[DPM - Securities Master List (BBG Linked).xlsx]Equities!R276C32</stp>
        <tr r="AF276" s="2"/>
        <tr r="AF276" s="2"/>
        <tr r="AF276" s="2"/>
      </tp>
      <tp>
        <v>4.4161332134096982</v>
        <stp/>
        <stp>##V3_BDPV12</stp>
        <stp>TTE FP Equity</stp>
        <stp>RR908</stp>
        <stp>[DPM - Securities Master List (BBG Linked).xlsx]Equities!R288C32</stp>
        <tr r="AF288" s="2"/>
        <tr r="AF288" s="2"/>
        <tr r="AF288" s="2"/>
      </tp>
      <tp>
        <v>4.4161332134096982</v>
        <stp/>
        <stp>##V3_BDPV12</stp>
        <stp>TTE FP Equity</stp>
        <stp>RR908</stp>
        <stp>[DPM - Securities Master List (BBG Linked).xlsx]Equities!R285C32</stp>
        <tr r="AF285" s="2"/>
        <tr r="AF285" s="2"/>
        <tr r="AF285" s="2"/>
      </tp>
      <tp>
        <v>4.4161332134096982</v>
        <stp/>
        <stp>##V3_BDPV12</stp>
        <stp>TTE FP Equity</stp>
        <stp>RR908</stp>
        <stp>[DPM - Securities Master List (BBG Linked).xlsx]Equities!R284C32</stp>
        <tr r="AF284" s="2"/>
        <tr r="AF284" s="2"/>
        <tr r="AF284" s="2"/>
      </tp>
      <tp>
        <v>4.4161332134096982</v>
        <stp/>
        <stp>##V3_BDPV12</stp>
        <stp>TTE FP Equity</stp>
        <stp>RR908</stp>
        <stp>[DPM - Securities Master List (BBG Linked).xlsx]Equities!R287C32</stp>
        <tr r="AF287" s="2"/>
        <tr r="AF287" s="2"/>
        <tr r="AF287" s="2"/>
      </tp>
      <tp>
        <v>4.4161332134096982</v>
        <stp/>
        <stp>##V3_BDPV12</stp>
        <stp>TTE FP Equity</stp>
        <stp>RR908</stp>
        <stp>[DPM - Securities Master List (BBG Linked).xlsx]Equities!R286C32</stp>
        <tr r="AF286" s="2"/>
        <tr r="AF286" s="2"/>
        <tr r="AF286" s="2"/>
      </tp>
      <tp>
        <v>4.4161332134096982</v>
        <stp/>
        <stp>##V3_BDPV12</stp>
        <stp>TTE FP Equity</stp>
        <stp>RR908</stp>
        <stp>[DPM - Securities Master List (BBG Linked).xlsx]Equities!R281C32</stp>
        <tr r="AF281" s="2"/>
        <tr r="AF281" s="2"/>
        <tr r="AF281" s="2"/>
      </tp>
      <tp>
        <v>4.4161332134096982</v>
        <stp/>
        <stp>##V3_BDPV12</stp>
        <stp>TTE FP Equity</stp>
        <stp>RR908</stp>
        <stp>[DPM - Securities Master List (BBG Linked).xlsx]Equities!R280C32</stp>
        <tr r="AF280" s="2"/>
        <tr r="AF280" s="2"/>
        <tr r="AF280" s="2"/>
      </tp>
      <tp>
        <v>4.4161332134096982</v>
        <stp/>
        <stp>##V3_BDPV12</stp>
        <stp>TTE FP Equity</stp>
        <stp>RR908</stp>
        <stp>[DPM - Securities Master List (BBG Linked).xlsx]Equities!R283C32</stp>
        <tr r="AF283" s="2"/>
        <tr r="AF283" s="2"/>
        <tr r="AF283" s="2"/>
      </tp>
      <tp>
        <v>4.4161332134096982</v>
        <stp/>
        <stp>##V3_BDPV12</stp>
        <stp>TTE FP Equity</stp>
        <stp>RR908</stp>
        <stp>[DPM - Securities Master List (BBG Linked).xlsx]Equities!R282C32</stp>
        <tr r="AF282" s="2"/>
        <tr r="AF282" s="2"/>
        <tr r="AF282" s="2"/>
      </tp>
      <tp>
        <v>4.1071429252624512</v>
        <stp/>
        <stp>##V3_BDPV12</stp>
        <stp>TTE FP Equity</stp>
        <stp>EE201</stp>
        <stp>[DPM - Securities Master List (BBG Linked).xlsx]Equities!R276C37</stp>
        <tr r="AK276" s="2"/>
        <tr r="AK276" s="2"/>
        <tr r="AK276" s="2"/>
      </tp>
      <tp>
        <v>4.1071429252624512</v>
        <stp/>
        <stp>##V3_BDPV12</stp>
        <stp>TTE FP Equity</stp>
        <stp>EE201</stp>
        <stp>[DPM - Securities Master List (BBG Linked).xlsx]Equities!R277C37</stp>
        <tr r="AK277" s="2"/>
        <tr r="AK277" s="2"/>
        <tr r="AK277" s="2"/>
      </tp>
      <tp>
        <v>4.1071429252624512</v>
        <stp/>
        <stp>##V3_BDPV12</stp>
        <stp>TTE FP Equity</stp>
        <stp>EE201</stp>
        <stp>[DPM - Securities Master List (BBG Linked).xlsx]Equities!R278C37</stp>
        <tr r="AK278" s="2"/>
        <tr r="AK278" s="2"/>
        <tr r="AK278" s="2"/>
      </tp>
      <tp>
        <v>4.1071429252624512</v>
        <stp/>
        <stp>##V3_BDPV12</stp>
        <stp>TTE FP Equity</stp>
        <stp>EE201</stp>
        <stp>[DPM - Securities Master List (BBG Linked).xlsx]Equities!R279C37</stp>
        <tr r="AK279" s="2"/>
        <tr r="AK279" s="2"/>
        <tr r="AK279" s="2"/>
      </tp>
      <tp>
        <v>4.1071429252624512</v>
        <stp/>
        <stp>##V3_BDPV12</stp>
        <stp>TTE FP Equity</stp>
        <stp>EE201</stp>
        <stp>[DPM - Securities Master List (BBG Linked).xlsx]Equities!R286C37</stp>
        <tr r="AK286" s="2"/>
        <tr r="AK286" s="2"/>
        <tr r="AK286" s="2"/>
      </tp>
      <tp>
        <v>4.1071429252624512</v>
        <stp/>
        <stp>##V3_BDPV12</stp>
        <stp>TTE FP Equity</stp>
        <stp>EE201</stp>
        <stp>[DPM - Securities Master List (BBG Linked).xlsx]Equities!R287C37</stp>
        <tr r="AK287" s="2"/>
        <tr r="AK287" s="2"/>
        <tr r="AK287" s="2"/>
      </tp>
      <tp>
        <v>4.1071429252624512</v>
        <stp/>
        <stp>##V3_BDPV12</stp>
        <stp>TTE FP Equity</stp>
        <stp>EE201</stp>
        <stp>[DPM - Securities Master List (BBG Linked).xlsx]Equities!R284C37</stp>
        <tr r="AK284" s="2"/>
        <tr r="AK284" s="2"/>
        <tr r="AK284" s="2"/>
      </tp>
      <tp>
        <v>4.1071429252624512</v>
        <stp/>
        <stp>##V3_BDPV12</stp>
        <stp>TTE FP Equity</stp>
        <stp>EE201</stp>
        <stp>[DPM - Securities Master List (BBG Linked).xlsx]Equities!R285C37</stp>
        <tr r="AK285" s="2"/>
        <tr r="AK285" s="2"/>
        <tr r="AK285" s="2"/>
      </tp>
      <tp>
        <v>4.1071429252624512</v>
        <stp/>
        <stp>##V3_BDPV12</stp>
        <stp>TTE FP Equity</stp>
        <stp>EE201</stp>
        <stp>[DPM - Securities Master List (BBG Linked).xlsx]Equities!R282C37</stp>
        <tr r="AK282" s="2"/>
        <tr r="AK282" s="2"/>
        <tr r="AK282" s="2"/>
      </tp>
      <tp>
        <v>4.1071429252624512</v>
        <stp/>
        <stp>##V3_BDPV12</stp>
        <stp>TTE FP Equity</stp>
        <stp>EE201</stp>
        <stp>[DPM - Securities Master List (BBG Linked).xlsx]Equities!R283C37</stp>
        <tr r="AK283" s="2"/>
        <tr r="AK283" s="2"/>
        <tr r="AK283" s="2"/>
      </tp>
      <tp>
        <v>4.1071429252624512</v>
        <stp/>
        <stp>##V3_BDPV12</stp>
        <stp>TTE FP Equity</stp>
        <stp>EE201</stp>
        <stp>[DPM - Securities Master List (BBG Linked).xlsx]Equities!R280C37</stp>
        <tr r="AK280" s="2"/>
        <tr r="AK280" s="2"/>
        <tr r="AK280" s="2"/>
      </tp>
      <tp>
        <v>4.1071429252624512</v>
        <stp/>
        <stp>##V3_BDPV12</stp>
        <stp>TTE FP Equity</stp>
        <stp>EE201</stp>
        <stp>[DPM - Securities Master List (BBG Linked).xlsx]Equities!R281C37</stp>
        <tr r="AK281" s="2"/>
        <tr r="AK281" s="2"/>
        <tr r="AK281" s="2"/>
      </tp>
      <tp>
        <v>4.1071429252624512</v>
        <stp/>
        <stp>##V3_BDPV12</stp>
        <stp>TTE FP Equity</stp>
        <stp>EE201</stp>
        <stp>[DPM - Securities Master List (BBG Linked).xlsx]Equities!R288C37</stp>
        <tr r="AK288" s="2"/>
        <tr r="AK288" s="2"/>
        <tr r="AK288" s="2"/>
      </tp>
      <tp t="s">
        <v>Energy</v>
        <stp/>
        <stp>##V3_BDPV12</stp>
        <stp>TTE FP Equity</stp>
        <stp>DX202</stp>
        <stp>[DPM - Securities Master List (BBG Linked).xlsx]Equities!R286C46</stp>
        <tr r="AT286" s="2"/>
        <tr r="AT286" s="2"/>
        <tr r="AT286" s="2"/>
      </tp>
      <tp t="s">
        <v>Energy</v>
        <stp/>
        <stp>##V3_BDPV12</stp>
        <stp>TTE FP Equity</stp>
        <stp>DX202</stp>
        <stp>[DPM - Securities Master List (BBG Linked).xlsx]Equities!R287C46</stp>
        <tr r="AT287" s="2"/>
        <tr r="AT287" s="2"/>
        <tr r="AT287" s="2"/>
      </tp>
      <tp t="s">
        <v>Energy</v>
        <stp/>
        <stp>##V3_BDPV12</stp>
        <stp>TTE FP Equity</stp>
        <stp>DX202</stp>
        <stp>[DPM - Securities Master List (BBG Linked).xlsx]Equities!R284C46</stp>
        <tr r="AT284" s="2"/>
        <tr r="AT284" s="2"/>
        <tr r="AT284" s="2"/>
      </tp>
      <tp t="s">
        <v>Energy</v>
        <stp/>
        <stp>##V3_BDPV12</stp>
        <stp>TTE FP Equity</stp>
        <stp>DX202</stp>
        <stp>[DPM - Securities Master List (BBG Linked).xlsx]Equities!R285C46</stp>
        <tr r="AT285" s="2"/>
        <tr r="AT285" s="2"/>
        <tr r="AT285" s="2"/>
      </tp>
      <tp t="s">
        <v>Energy</v>
        <stp/>
        <stp>##V3_BDPV12</stp>
        <stp>TTE FP Equity</stp>
        <stp>DX202</stp>
        <stp>[DPM - Securities Master List (BBG Linked).xlsx]Equities!R282C46</stp>
        <tr r="AT282" s="2"/>
        <tr r="AT282" s="2"/>
        <tr r="AT282" s="2"/>
      </tp>
      <tp t="s">
        <v>Energy</v>
        <stp/>
        <stp>##V3_BDPV12</stp>
        <stp>TTE FP Equity</stp>
        <stp>DX202</stp>
        <stp>[DPM - Securities Master List (BBG Linked).xlsx]Equities!R283C46</stp>
        <tr r="AT283" s="2"/>
        <tr r="AT283" s="2"/>
        <tr r="AT283" s="2"/>
      </tp>
      <tp t="s">
        <v>Energy</v>
        <stp/>
        <stp>##V3_BDPV12</stp>
        <stp>TTE FP Equity</stp>
        <stp>DX202</stp>
        <stp>[DPM - Securities Master List (BBG Linked).xlsx]Equities!R280C46</stp>
        <tr r="AT280" s="2"/>
        <tr r="AT280" s="2"/>
        <tr r="AT280" s="2"/>
      </tp>
      <tp t="s">
        <v>Energy</v>
        <stp/>
        <stp>##V3_BDPV12</stp>
        <stp>TTE FP Equity</stp>
        <stp>DX202</stp>
        <stp>[DPM - Securities Master List (BBG Linked).xlsx]Equities!R281C46</stp>
        <tr r="AT281" s="2"/>
        <tr r="AT281" s="2"/>
        <tr r="AT281" s="2"/>
      </tp>
      <tp t="s">
        <v>Energy</v>
        <stp/>
        <stp>##V3_BDPV12</stp>
        <stp>TTE FP Equity</stp>
        <stp>DX202</stp>
        <stp>[DPM - Securities Master List (BBG Linked).xlsx]Equities!R288C46</stp>
        <tr r="AT288" s="2"/>
        <tr r="AT288" s="2"/>
        <tr r="AT288" s="2"/>
      </tp>
      <tp t="s">
        <v>Energy</v>
        <stp/>
        <stp>##V3_BDPV12</stp>
        <stp>TTE FP Equity</stp>
        <stp>DX202</stp>
        <stp>[DPM - Securities Master List (BBG Linked).xlsx]Equities!R276C46</stp>
        <tr r="AT276" s="2"/>
        <tr r="AT276" s="2"/>
        <tr r="AT276" s="2"/>
      </tp>
      <tp t="s">
        <v>Energy</v>
        <stp/>
        <stp>##V3_BDPV12</stp>
        <stp>TTE FP Equity</stp>
        <stp>DX202</stp>
        <stp>[DPM - Securities Master List (BBG Linked).xlsx]Equities!R277C46</stp>
        <tr r="AT277" s="2"/>
        <tr r="AT277" s="2"/>
        <tr r="AT277" s="2"/>
      </tp>
      <tp t="s">
        <v>Energy</v>
        <stp/>
        <stp>##V3_BDPV12</stp>
        <stp>TTE FP Equity</stp>
        <stp>DX202</stp>
        <stp>[DPM - Securities Master List (BBG Linked).xlsx]Equities!R278C46</stp>
        <tr r="AT278" s="2"/>
        <tr r="AT278" s="2"/>
        <tr r="AT278" s="2"/>
      </tp>
      <tp t="s">
        <v>Energy</v>
        <stp/>
        <stp>##V3_BDPV12</stp>
        <stp>TTE FP Equity</stp>
        <stp>DX202</stp>
        <stp>[DPM - Securities Master List (BBG Linked).xlsx]Equities!R279C46</stp>
        <tr r="AT279" s="2"/>
        <tr r="AT279" s="2"/>
        <tr r="AT279" s="2"/>
      </tp>
      <tp>
        <v>13.671923847815593</v>
        <stp/>
        <stp>##V3_BDPV12</stp>
        <stp>NVO US Equity</stp>
        <stp>EE010</stp>
        <stp>[DPM - Securities Master List (BBG Linked).xlsx]Equities!R225C12</stp>
        <tr r="L225" s="2"/>
        <tr r="L225" s="2"/>
        <tr r="L225" s="2"/>
      </tp>
      <tp t="s">
        <v>#N/A Invalid Field</v>
        <stp/>
        <stp>##V3_BDPV12</stp>
        <stp>TCEHY US Equity</stp>
        <stp/>
        <stp>[DPM - Securities Master List (BBG Linked).xlsx]Equities!R260C29</stp>
        <tr r="AC260" s="2"/>
        <tr r="AC260" s="2"/>
      </tp>
      <tp t="s">
        <v>#N/A Invalid Field</v>
        <stp/>
        <stp>##V3_BDPV12</stp>
        <stp>TCEHY US Equity</stp>
        <stp/>
        <stp>[DPM - Securities Master List (BBG Linked).xlsx]Equities!R259C29</stp>
        <tr r="AC259" s="2"/>
        <tr r="AC259" s="2"/>
      </tp>
      <tp>
        <v>3.4111388531491413</v>
        <stp/>
        <stp>##V3_BDPV12</stp>
        <stp>NVO US Equity</stp>
        <stp>DV013</stp>
        <stp>[DPM - Securities Master List (BBG Linked).xlsx]Equities!R225C10</stp>
        <tr r="J225" s="2"/>
      </tp>
      <tp t="s">
        <v>FR0000120271</v>
        <stp/>
        <stp>##V3_BDPV12</stp>
        <stp>TTE FP Equity</stp>
        <stp>ID005</stp>
        <stp>[DPM - Securities Master List (BBG Linked).xlsx]Equities!R276C55</stp>
        <tr r="BC276" s="2"/>
      </tp>
      <tp t="s">
        <v>FR0000120271</v>
        <stp/>
        <stp>##V3_BDPV12</stp>
        <stp>TTE FP Equity</stp>
        <stp>ID005</stp>
        <stp>[DPM - Securities Master List (BBG Linked).xlsx]Equities!R277C55</stp>
        <tr r="BC277" s="2"/>
      </tp>
      <tp t="s">
        <v>FR0000120271</v>
        <stp/>
        <stp>##V3_BDPV12</stp>
        <stp>TTE FP Equity</stp>
        <stp>ID005</stp>
        <stp>[DPM - Securities Master List (BBG Linked).xlsx]Equities!R278C55</stp>
        <tr r="BC278" s="2"/>
      </tp>
      <tp t="s">
        <v>FR0000120271</v>
        <stp/>
        <stp>##V3_BDPV12</stp>
        <stp>TTE FP Equity</stp>
        <stp>ID005</stp>
        <stp>[DPM - Securities Master List (BBG Linked).xlsx]Equities!R279C55</stp>
        <tr r="BC279" s="2"/>
      </tp>
      <tp t="s">
        <v>FR0000120271</v>
        <stp/>
        <stp>##V3_BDPV12</stp>
        <stp>TTE FP Equity</stp>
        <stp>ID005</stp>
        <stp>[DPM - Securities Master List (BBG Linked).xlsx]Equities!R284C55</stp>
        <tr r="BC284" s="2"/>
      </tp>
      <tp t="s">
        <v>FR0000120271</v>
        <stp/>
        <stp>##V3_BDPV12</stp>
        <stp>TTE FP Equity</stp>
        <stp>ID005</stp>
        <stp>[DPM - Securities Master List (BBG Linked).xlsx]Equities!R285C55</stp>
        <tr r="BC285" s="2"/>
      </tp>
      <tp t="s">
        <v>FR0000120271</v>
        <stp/>
        <stp>##V3_BDPV12</stp>
        <stp>TTE FP Equity</stp>
        <stp>ID005</stp>
        <stp>[DPM - Securities Master List (BBG Linked).xlsx]Equities!R286C55</stp>
        <tr r="BC286" s="2"/>
      </tp>
      <tp t="s">
        <v>FR0000120271</v>
        <stp/>
        <stp>##V3_BDPV12</stp>
        <stp>TTE FP Equity</stp>
        <stp>ID005</stp>
        <stp>[DPM - Securities Master List (BBG Linked).xlsx]Equities!R280C55</stp>
        <tr r="BC280" s="2"/>
      </tp>
      <tp t="s">
        <v>FR0000120271</v>
        <stp/>
        <stp>##V3_BDPV12</stp>
        <stp>TTE FP Equity</stp>
        <stp>ID005</stp>
        <stp>[DPM - Securities Master List (BBG Linked).xlsx]Equities!R281C55</stp>
        <tr r="BC281" s="2"/>
      </tp>
      <tp t="s">
        <v>FR0000120271</v>
        <stp/>
        <stp>##V3_BDPV12</stp>
        <stp>TTE FP Equity</stp>
        <stp>ID005</stp>
        <stp>[DPM - Securities Master List (BBG Linked).xlsx]Equities!R282C55</stp>
        <tr r="BC282" s="2"/>
      </tp>
      <tp t="s">
        <v>FR0000120271</v>
        <stp/>
        <stp>##V3_BDPV12</stp>
        <stp>TTE FP Equity</stp>
        <stp>ID005</stp>
        <stp>[DPM - Securities Master List (BBG Linked).xlsx]Equities!R283C55</stp>
        <tr r="BC283" s="2"/>
      </tp>
      <tp t="s">
        <v>GBp</v>
        <stp/>
        <stp>##V3_BDPV12</stp>
        <stp>TSCO LN Equity</stp>
        <stp>CRNCY</stp>
        <stp>[DPM - Securities Master List (BBG Linked).xlsx]Equities!R270C6</stp>
        <tr r="F270" s="2"/>
      </tp>
      <tp t="s">
        <v>CHF</v>
        <stp/>
        <stp>##V3_BDPV12</stp>
        <stp>NESN SW Equity</stp>
        <stp>CRNCY</stp>
        <stp>[DPM - Securities Master List (BBG Linked).xlsx]Equities!R199C6</stp>
        <tr r="F199" s="2"/>
      </tp>
      <tp t="s">
        <v>USD</v>
        <stp/>
        <stp>##V3_BDPV12</stp>
        <stp>GOLD US Equity</stp>
        <stp>CRNCY</stp>
        <stp>[DPM - Securities Master List (BBG Linked).xlsx]Equities!R125C6</stp>
        <tr r="F125" s="2"/>
      </tp>
      <tp t="s">
        <v>Microsoft Corp</v>
        <stp/>
        <stp>##V3_BDPV12</stp>
        <stp>MSFT US Equity</stp>
        <stp>SECURITY NAME</stp>
        <stp>[DPM - Securities Master List (BBG Linked).xlsx]Equities!R171C5</stp>
        <tr r="E171" s="2"/>
      </tp>
      <tp t="s">
        <v>Microsoft Corp</v>
        <stp/>
        <stp>##V3_BDPV12</stp>
        <stp>MSFT US Equity</stp>
        <stp>SECURITY NAME</stp>
        <stp>[DPM - Securities Master List (BBG Linked).xlsx]Equities!R181C5</stp>
        <tr r="E181" s="2"/>
      </tp>
      <tp t="s">
        <v>NVIDIA Corp</v>
        <stp/>
        <stp>##V3_BDPV12</stp>
        <stp>NVDA US Equity</stp>
        <stp>SECURITY NAME</stp>
        <stp>[DPM - Securities Master List (BBG Linked).xlsx]Equities!R224C5</stp>
        <tr r="E224" s="2"/>
      </tp>
      <tp>
        <v>4.6428570747375488</v>
        <stp/>
        <stp>##V3_BDPV12</stp>
        <stp>DELL US Equity</stp>
        <stp>EE201</stp>
        <stp>[DPM - Securities Master List (BBG Linked).xlsx]Equities!R98C37</stp>
        <tr r="AK98" s="2"/>
        <tr r="AK98" s="2"/>
        <tr r="AK98" s="2"/>
      </tp>
      <tp>
        <v>4.6428570747375488</v>
        <stp/>
        <stp>##V3_BDPV12</stp>
        <stp>DELL US Equity</stp>
        <stp>EE201</stp>
        <stp>[DPM - Securities Master List (BBG Linked).xlsx]Equities!R99C37</stp>
        <tr r="AK99" s="2"/>
        <tr r="AK99" s="2"/>
        <tr r="AK99" s="2"/>
      </tp>
      <tp>
        <v>4.6428570747375488</v>
        <stp/>
        <stp>##V3_BDPV12</stp>
        <stp>DELL US Equity</stp>
        <stp>EE201</stp>
        <stp>[DPM - Securities Master List (BBG Linked).xlsx]Equities!R94C37</stp>
        <tr r="AK94" s="2"/>
        <tr r="AK94" s="2"/>
        <tr r="AK94" s="2"/>
      </tp>
      <tp>
        <v>4.6428570747375488</v>
        <stp/>
        <stp>##V3_BDPV12</stp>
        <stp>DELL US Equity</stp>
        <stp>EE201</stp>
        <stp>[DPM - Securities Master List (BBG Linked).xlsx]Equities!R95C37</stp>
        <tr r="AK95" s="2"/>
        <tr r="AK95" s="2"/>
        <tr r="AK95" s="2"/>
      </tp>
      <tp>
        <v>4.6428570747375488</v>
        <stp/>
        <stp>##V3_BDPV12</stp>
        <stp>DELL US Equity</stp>
        <stp>EE201</stp>
        <stp>[DPM - Securities Master List (BBG Linked).xlsx]Equities!R96C37</stp>
        <tr r="AK96" s="2"/>
        <tr r="AK96" s="2"/>
        <tr r="AK96" s="2"/>
      </tp>
      <tp>
        <v>4.6428570747375488</v>
        <stp/>
        <stp>##V3_BDPV12</stp>
        <stp>DELL US Equity</stp>
        <stp>EE201</stp>
        <stp>[DPM - Securities Master List (BBG Linked).xlsx]Equities!R97C37</stp>
        <tr r="AK97" s="2"/>
        <tr r="AK97" s="2"/>
        <tr r="AK97" s="2"/>
      </tp>
      <tp>
        <v>4.6428570747375488</v>
        <stp/>
        <stp>##V3_BDPV12</stp>
        <stp>DELL US Equity</stp>
        <stp>EE201</stp>
        <stp>[DPM - Securities Master List (BBG Linked).xlsx]Equities!R92C37</stp>
        <tr r="AK92" s="2"/>
        <tr r="AK92" s="2"/>
        <tr r="AK92" s="2"/>
      </tp>
      <tp>
        <v>4.6428570747375488</v>
        <stp/>
        <stp>##V3_BDPV12</stp>
        <stp>DELL US Equity</stp>
        <stp>EE201</stp>
        <stp>[DPM - Securities Master List (BBG Linked).xlsx]Equities!R93C37</stp>
        <tr r="AK93" s="2"/>
        <tr r="AK93" s="2"/>
        <tr r="AK93" s="2"/>
      </tp>
      <tp t="s">
        <v>Information Technology</v>
        <stp/>
        <stp>##V3_BDPV12</stp>
        <stp>DELL US Equity</stp>
        <stp>DX202</stp>
        <stp>[DPM - Securities Master List (BBG Linked).xlsx]Equities!R93C46</stp>
        <tr r="AT93" s="2"/>
        <tr r="AT93" s="2"/>
        <tr r="AT93" s="2"/>
      </tp>
      <tp t="s">
        <v>Information Technology</v>
        <stp/>
        <stp>##V3_BDPV12</stp>
        <stp>DELL US Equity</stp>
        <stp>DX202</stp>
        <stp>[DPM - Securities Master List (BBG Linked).xlsx]Equities!R92C46</stp>
        <tr r="AT92" s="2"/>
        <tr r="AT92" s="2"/>
        <tr r="AT92" s="2"/>
      </tp>
      <tp t="s">
        <v>Information Technology</v>
        <stp/>
        <stp>##V3_BDPV12</stp>
        <stp>DELL US Equity</stp>
        <stp>DX202</stp>
        <stp>[DPM - Securities Master List (BBG Linked).xlsx]Equities!R95C46</stp>
        <tr r="AT95" s="2"/>
        <tr r="AT95" s="2"/>
        <tr r="AT95" s="2"/>
      </tp>
      <tp t="s">
        <v>Information Technology</v>
        <stp/>
        <stp>##V3_BDPV12</stp>
        <stp>DELL US Equity</stp>
        <stp>DX202</stp>
        <stp>[DPM - Securities Master List (BBG Linked).xlsx]Equities!R94C46</stp>
        <tr r="AT94" s="2"/>
        <tr r="AT94" s="2"/>
        <tr r="AT94" s="2"/>
      </tp>
      <tp t="s">
        <v>Information Technology</v>
        <stp/>
        <stp>##V3_BDPV12</stp>
        <stp>DELL US Equity</stp>
        <stp>DX202</stp>
        <stp>[DPM - Securities Master List (BBG Linked).xlsx]Equities!R97C46</stp>
        <tr r="AT97" s="2"/>
        <tr r="AT97" s="2"/>
        <tr r="AT97" s="2"/>
      </tp>
      <tp t="s">
        <v>Information Technology</v>
        <stp/>
        <stp>##V3_BDPV12</stp>
        <stp>DELL US Equity</stp>
        <stp>DX202</stp>
        <stp>[DPM - Securities Master List (BBG Linked).xlsx]Equities!R96C46</stp>
        <tr r="AT96" s="2"/>
        <tr r="AT96" s="2"/>
        <tr r="AT96" s="2"/>
      </tp>
      <tp t="s">
        <v>Information Technology</v>
        <stp/>
        <stp>##V3_BDPV12</stp>
        <stp>DELL US Equity</stp>
        <stp>DX202</stp>
        <stp>[DPM - Securities Master List (BBG Linked).xlsx]Equities!R99C46</stp>
        <tr r="AT99" s="2"/>
        <tr r="AT99" s="2"/>
        <tr r="AT99" s="2"/>
      </tp>
      <tp t="s">
        <v>Information Technology</v>
        <stp/>
        <stp>##V3_BDPV12</stp>
        <stp>DELL US Equity</stp>
        <stp>DX202</stp>
        <stp>[DPM - Securities Master List (BBG Linked).xlsx]Equities!R98C46</stp>
        <tr r="AT98" s="2"/>
        <tr r="AT98" s="2"/>
        <tr r="AT98" s="2"/>
      </tp>
      <tp>
        <v>79449.728825082435</v>
        <stp/>
        <stp>##V3_BDPV12</stp>
        <stp>GSK LN Equity</stp>
        <stp>CRNCY_ADJ_MKT_CAP</stp>
        <stp>[DPM - Securities Master List (BBG Linked).xlsx]Equities!R142C9</stp>
        <stp>EQY_FUND_CRNCY=USD</stp>
        <tr r="I142" s="2"/>
      </tp>
      <tp>
        <v>79449.728825082435</v>
        <stp/>
        <stp>##V3_BDPV12</stp>
        <stp>GSK LN Equity</stp>
        <stp>CRNCY_ADJ_MKT_CAP</stp>
        <stp>[DPM - Securities Master List (BBG Linked).xlsx]Equities!R143C9</stp>
        <stp>EQY_FUND_CRNCY=USD</stp>
        <tr r="I143" s="2"/>
      </tp>
      <tp>
        <v>3</v>
        <stp/>
        <stp>##V3_BDPV12</stp>
        <stp>META US Equity</stp>
        <stp>TOT_SELL_REC</stp>
        <stp>[DPM - Securities Master List (BBG Linked).xlsx]Equities!R156C36</stp>
        <tr r="AJ156" s="2"/>
      </tp>
      <tp>
        <v>79449.728825082435</v>
        <stp/>
        <stp>##V3_BDPV12</stp>
        <stp>GSK LN Equity</stp>
        <stp>CRNCY_ADJ_MKT_CAP</stp>
        <stp>[DPM - Securities Master List (BBG Linked).xlsx]Equities!R144C9</stp>
        <stp>EQY_FUND_CRNCY=USD</stp>
        <tr r="I144" s="2"/>
      </tp>
      <tp>
        <v>138.5</v>
        <stp/>
        <stp>##V3_BDPV12</stp>
        <stp>3690 HK Equity</stp>
        <stp>PX_LAST</stp>
        <stp>[DPM - Securities Master List (BBG Linked).xlsx]Equities!R14C17</stp>
        <tr r="Q14" s="2"/>
      </tp>
      <tp>
        <v>138.5</v>
        <stp/>
        <stp>##V3_BDPV12</stp>
        <stp>3690 HK Equity</stp>
        <stp>PX_LAST</stp>
        <stp>[DPM - Securities Master List (BBG Linked).xlsx]Equities!R12C17</stp>
        <tr r="Q12" s="2"/>
      </tp>
      <tp>
        <v>138.5</v>
        <stp/>
        <stp>##V3_BDPV12</stp>
        <stp>3690 HK Equity</stp>
        <stp>PX_LAST</stp>
        <stp>[DPM - Securities Master List (BBG Linked).xlsx]Equities!R13C17</stp>
        <tr r="Q13" s="2"/>
      </tp>
      <tp>
        <v>138.5</v>
        <stp/>
        <stp>##V3_BDPV12</stp>
        <stp>3690 HK Equity</stp>
        <stp>PX_LAST</stp>
        <stp>[DPM - Securities Master List (BBG Linked).xlsx]Equities!R10C17</stp>
        <tr r="Q10" s="2"/>
      </tp>
      <tp>
        <v>138.5</v>
        <stp/>
        <stp>##V3_BDPV12</stp>
        <stp>3690 HK Equity</stp>
        <stp>PX_LAST</stp>
        <stp>[DPM - Securities Master List (BBG Linked).xlsx]Equities!R11C17</stp>
        <tr r="Q11" s="2"/>
      </tp>
      <tp>
        <v>5</v>
        <stp/>
        <stp>##V3_BDPV12</stp>
        <stp>META US Equity</stp>
        <stp>TOT_HOLD_REC</stp>
        <stp>[DPM - Securities Master List (BBG Linked).xlsx]Equities!R156C35</stp>
        <tr r="AI156" s="2"/>
      </tp>
      <tp>
        <v>24514.608555409239</v>
        <stp/>
        <stp>##V3_BDPV12</stp>
        <stp>KER FP Equity</stp>
        <stp>CRNCY_ADJ_MKT_CAP</stp>
        <stp>[DPM - Securities Master List (BBG Linked).xlsx]Equities!R149C9</stp>
        <stp>EQY_FUND_CRNCY=USD</stp>
        <tr r="I149" s="2"/>
      </tp>
      <tp>
        <v>25273.117881329112</v>
        <stp/>
        <stp>##V3_BDPV12</stp>
        <stp>SSE LN Equity</stp>
        <stp>CRNCY_ADJ_MKT_CAP</stp>
        <stp>[DPM - Securities Master List (BBG Linked).xlsx]Equities!R244C9</stp>
        <stp>EQY_FUND_CRNCY=USD</stp>
        <tr r="I244" s="2"/>
      </tp>
      <tp>
        <v>25273.117881329112</v>
        <stp/>
        <stp>##V3_BDPV12</stp>
        <stp>SSE LN Equity</stp>
        <stp>CRNCY_ADJ_MKT_CAP</stp>
        <stp>[DPM - Securities Master List (BBG Linked).xlsx]Equities!R246C9</stp>
        <stp>EQY_FUND_CRNCY=USD</stp>
        <tr r="I246" s="2"/>
      </tp>
      <tp>
        <v>25273.117881329112</v>
        <stp/>
        <stp>##V3_BDPV12</stp>
        <stp>SSE LN Equity</stp>
        <stp>CRNCY_ADJ_MKT_CAP</stp>
        <stp>[DPM - Securities Master List (BBG Linked).xlsx]Equities!R247C9</stp>
        <stp>EQY_FUND_CRNCY=USD</stp>
        <tr r="I247" s="2"/>
      </tp>
      <tp>
        <v>4</v>
        <stp/>
        <stp>##V3_BDPV12</stp>
        <stp>DELL US Equity</stp>
        <stp>TOT_HOLD_REC</stp>
        <stp>[DPM - Securities Master List (BBG Linked).xlsx]Equities!R101C35</stp>
        <tr r="AI101" s="2"/>
      </tp>
      <tp>
        <v>4</v>
        <stp/>
        <stp>##V3_BDPV12</stp>
        <stp>DELL US Equity</stp>
        <stp>TOT_HOLD_REC</stp>
        <stp>[DPM - Securities Master List (BBG Linked).xlsx]Equities!R100C35</stp>
        <tr r="AI100" s="2"/>
      </tp>
      <tp>
        <v>4</v>
        <stp/>
        <stp>##V3_BDPV12</stp>
        <stp>DELL US Equity</stp>
        <stp>TOT_HOLD_REC</stp>
        <stp>[DPM - Securities Master List (BBG Linked).xlsx]Equities!R103C35</stp>
        <tr r="AI103" s="2"/>
      </tp>
      <tp>
        <v>4</v>
        <stp/>
        <stp>##V3_BDPV12</stp>
        <stp>DELL US Equity</stp>
        <stp>TOT_HOLD_REC</stp>
        <stp>[DPM - Securities Master List (BBG Linked).xlsx]Equities!R102C35</stp>
        <tr r="AI102" s="2"/>
      </tp>
      <tp>
        <v>4</v>
        <stp/>
        <stp>##V3_BDPV12</stp>
        <stp>DELL US Equity</stp>
        <stp>TOT_HOLD_REC</stp>
        <stp>[DPM - Securities Master List (BBG Linked).xlsx]Equities!R105C35</stp>
        <tr r="AI105" s="2"/>
      </tp>
      <tp>
        <v>4</v>
        <stp/>
        <stp>##V3_BDPV12</stp>
        <stp>DELL US Equity</stp>
        <stp>TOT_HOLD_REC</stp>
        <stp>[DPM - Securities Master List (BBG Linked).xlsx]Equities!R104C35</stp>
        <tr r="AI104" s="2"/>
      </tp>
      <tp>
        <v>4</v>
        <stp/>
        <stp>##V3_BDPV12</stp>
        <stp>DELL US Equity</stp>
        <stp>TOT_HOLD_REC</stp>
        <stp>[DPM - Securities Master List (BBG Linked).xlsx]Equities!R107C35</stp>
        <tr r="AI107" s="2"/>
      </tp>
      <tp>
        <v>4</v>
        <stp/>
        <stp>##V3_BDPV12</stp>
        <stp>DELL US Equity</stp>
        <stp>TOT_HOLD_REC</stp>
        <stp>[DPM - Securities Master List (BBG Linked).xlsx]Equities!R106C35</stp>
        <tr r="AI106" s="2"/>
      </tp>
      <tp>
        <v>2</v>
        <stp/>
        <stp>##V3_BDPV12</stp>
        <stp>REGN US Equity</stp>
        <stp>TOT_SELL_REC</stp>
        <stp>[DPM - Securities Master List (BBG Linked).xlsx]Equities!R241C36</stp>
        <tr r="AJ241" s="2"/>
      </tp>
      <tp>
        <v>102634.43442131633</v>
        <stp/>
        <stp>##V3_BDPV12</stp>
        <stp>RIO LN Equity</stp>
        <stp>CRNCY_ADJ_MKT_CAP</stp>
        <stp>[DPM - Securities Master List (BBG Linked).xlsx]Equities!R242C9</stp>
        <stp>EQY_FUND_CRNCY=USD</stp>
        <tr r="I242" s="2"/>
      </tp>
      <tp>
        <v>4</v>
        <stp/>
        <stp>##V3_BDPV12</stp>
        <stp>REGN US Equity</stp>
        <stp>TOT_HOLD_REC</stp>
        <stp>[DPM - Securities Master List (BBG Linked).xlsx]Equities!R241C35</stp>
        <tr r="AI241" s="2"/>
      </tp>
      <tp>
        <v>0</v>
        <stp/>
        <stp>##V3_BDPV12</stp>
        <stp>DELL US Equity</stp>
        <stp>TOT_SELL_REC</stp>
        <stp>[DPM - Securities Master List (BBG Linked).xlsx]Equities!R103C36</stp>
        <tr r="AJ103" s="2"/>
      </tp>
      <tp>
        <v>0</v>
        <stp/>
        <stp>##V3_BDPV12</stp>
        <stp>DELL US Equity</stp>
        <stp>TOT_SELL_REC</stp>
        <stp>[DPM - Securities Master List (BBG Linked).xlsx]Equities!R102C36</stp>
        <tr r="AJ102" s="2"/>
      </tp>
      <tp>
        <v>0</v>
        <stp/>
        <stp>##V3_BDPV12</stp>
        <stp>DELL US Equity</stp>
        <stp>TOT_SELL_REC</stp>
        <stp>[DPM - Securities Master List (BBG Linked).xlsx]Equities!R101C36</stp>
        <tr r="AJ101" s="2"/>
      </tp>
      <tp>
        <v>0</v>
        <stp/>
        <stp>##V3_BDPV12</stp>
        <stp>DELL US Equity</stp>
        <stp>TOT_SELL_REC</stp>
        <stp>[DPM - Securities Master List (BBG Linked).xlsx]Equities!R100C36</stp>
        <tr r="AJ100" s="2"/>
      </tp>
      <tp>
        <v>0</v>
        <stp/>
        <stp>##V3_BDPV12</stp>
        <stp>DELL US Equity</stp>
        <stp>TOT_SELL_REC</stp>
        <stp>[DPM - Securities Master List (BBG Linked).xlsx]Equities!R107C36</stp>
        <tr r="AJ107" s="2"/>
      </tp>
      <tp>
        <v>0</v>
        <stp/>
        <stp>##V3_BDPV12</stp>
        <stp>DELL US Equity</stp>
        <stp>TOT_SELL_REC</stp>
        <stp>[DPM - Securities Master List (BBG Linked).xlsx]Equities!R106C36</stp>
        <tr r="AJ106" s="2"/>
      </tp>
      <tp>
        <v>0</v>
        <stp/>
        <stp>##V3_BDPV12</stp>
        <stp>DELL US Equity</stp>
        <stp>TOT_SELL_REC</stp>
        <stp>[DPM - Securities Master List (BBG Linked).xlsx]Equities!R105C36</stp>
        <tr r="AJ105" s="2"/>
      </tp>
      <tp>
        <v>0</v>
        <stp/>
        <stp>##V3_BDPV12</stp>
        <stp>DELL US Equity</stp>
        <stp>TOT_SELL_REC</stp>
        <stp>[DPM - Securities Master List (BBG Linked).xlsx]Equities!R104C36</stp>
        <tr r="AJ104" s="2"/>
      </tp>
      <tp>
        <v>25273.117881329112</v>
        <stp/>
        <stp>##V3_BDPV12</stp>
        <stp>SSE LN Equity</stp>
        <stp>CRNCY_ADJ_MKT_CAP</stp>
        <stp>[DPM - Securities Master List (BBG Linked).xlsx]Equities!R248C9</stp>
        <stp>EQY_FUND_CRNCY=USD</stp>
        <tr r="I248" s="2"/>
      </tp>
      <tp>
        <v>25273.117881329112</v>
        <stp/>
        <stp>##V3_BDPV12</stp>
        <stp>SSE LN Equity</stp>
        <stp>CRNCY_ADJ_MKT_CAP</stp>
        <stp>[DPM - Securities Master List (BBG Linked).xlsx]Equities!R249C9</stp>
        <stp>EQY_FUND_CRNCY=USD</stp>
        <tr r="I249" s="2"/>
      </tp>
      <tp t="s">
        <v>AUD</v>
        <stp/>
        <stp>##V3_BDPV12</stp>
        <stp>NEM AT Equity</stp>
        <stp>CRNCY</stp>
        <stp>[DPM - Securities Master List (BBG Linked).xlsx]Equities!R192C6</stp>
        <tr r="F192" s="2"/>
      </tp>
      <tp t="s">
        <v>USD</v>
        <stp/>
        <stp>##V3_BDPV12</stp>
        <stp>ZBH US Equity</stp>
        <stp>CRNCY</stp>
        <stp>[DPM - Securities Master List (BBG Linked).xlsx]Equities!R302C6</stp>
        <tr r="F302" s="2"/>
      </tp>
      <tp t="s">
        <v>Walt Disney Co/The</v>
        <stp/>
        <stp>##V3_BDPV12</stp>
        <stp>DIS US Equity</stp>
        <stp>SECURITY NAME</stp>
        <stp>[DPM - Securities Master List (BBG Linked).xlsx]Equities!R114C5</stp>
        <tr r="E114" s="2"/>
      </tp>
      <tp t="s">
        <v>USD</v>
        <stp/>
        <stp>##V3_BDPV12</stp>
        <stp>PEP US Equity</stp>
        <stp>CRNCY</stp>
        <stp>[DPM - Securities Master List (BBG Linked).xlsx]Equities!R228C6</stp>
        <tr r="F228" s="2"/>
      </tp>
      <tp t="s">
        <v>EUR</v>
        <stp/>
        <stp>##V3_BDPV12</stp>
        <stp>KER FP Equity</stp>
        <stp>CRNCY</stp>
        <stp>[DPM - Securities Master List (BBG Linked).xlsx]Equities!R150C6</stp>
        <tr r="F150" s="2"/>
      </tp>
      <tp>
        <v>591.1</v>
        <stp/>
        <stp>##V3_BDPV12</stp>
        <stp>META US Equity</stp>
        <stp>PX_LAST</stp>
        <stp>[DPM - Securities Master List (BBG Linked).xlsx]Equities!R156C17</stp>
        <tr r="Q156" s="2"/>
      </tp>
      <tp>
        <v>148.15</v>
        <stp/>
        <stp>##V3_BDPV12</stp>
        <stp>NVO US Equity</stp>
        <stp>hs001</stp>
        <stp>[DPM - Securities Master List (BBG Linked).xlsx]Equities!R225C44</stp>
        <tr r="AR225" s="2"/>
      </tp>
      <tp>
        <v>435.33</v>
        <stp/>
        <stp>##V3_BDPV12</stp>
        <stp>MSFT US Equity</stp>
        <stp>PX_LAST</stp>
        <stp>[DPM - Securities Master List (BBG Linked).xlsx]Equities!R172C17</stp>
        <tr r="Q172" s="2"/>
      </tp>
      <tp>
        <v>435.33</v>
        <stp/>
        <stp>##V3_BDPV12</stp>
        <stp>MSFT US Equity</stp>
        <stp>PX_LAST</stp>
        <stp>[DPM - Securities Master List (BBG Linked).xlsx]Equities!R173C17</stp>
        <tr r="Q173" s="2"/>
      </tp>
      <tp>
        <v>435.33</v>
        <stp/>
        <stp>##V3_BDPV12</stp>
        <stp>MSFT US Equity</stp>
        <stp>PX_LAST</stp>
        <stp>[DPM - Securities Master List (BBG Linked).xlsx]Equities!R170C17</stp>
        <tr r="Q170" s="2"/>
      </tp>
      <tp>
        <v>435.33</v>
        <stp/>
        <stp>##V3_BDPV12</stp>
        <stp>MSFT US Equity</stp>
        <stp>PX_LAST</stp>
        <stp>[DPM - Securities Master List (BBG Linked).xlsx]Equities!R171C17</stp>
        <tr r="Q171" s="2"/>
      </tp>
      <tp>
        <v>435.33</v>
        <stp/>
        <stp>##V3_BDPV12</stp>
        <stp>MSFT US Equity</stp>
        <stp>PX_LAST</stp>
        <stp>[DPM - Securities Master List (BBG Linked).xlsx]Equities!R176C17</stp>
        <tr r="Q176" s="2"/>
      </tp>
      <tp>
        <v>435.33</v>
        <stp/>
        <stp>##V3_BDPV12</stp>
        <stp>MSFT US Equity</stp>
        <stp>PX_LAST</stp>
        <stp>[DPM - Securities Master List (BBG Linked).xlsx]Equities!R177C17</stp>
        <tr r="Q177" s="2"/>
      </tp>
      <tp>
        <v>435.33</v>
        <stp/>
        <stp>##V3_BDPV12</stp>
        <stp>MSFT US Equity</stp>
        <stp>PX_LAST</stp>
        <stp>[DPM - Securities Master List (BBG Linked).xlsx]Equities!R174C17</stp>
        <tr r="Q174" s="2"/>
      </tp>
      <tp>
        <v>435.33</v>
        <stp/>
        <stp>##V3_BDPV12</stp>
        <stp>MSFT US Equity</stp>
        <stp>PX_LAST</stp>
        <stp>[DPM - Securities Master List (BBG Linked).xlsx]Equities!R175C17</stp>
        <tr r="Q175" s="2"/>
      </tp>
      <tp>
        <v>435.33</v>
        <stp/>
        <stp>##V3_BDPV12</stp>
        <stp>MSFT US Equity</stp>
        <stp>PX_LAST</stp>
        <stp>[DPM - Securities Master List (BBG Linked).xlsx]Equities!R178C17</stp>
        <tr r="Q178" s="2"/>
      </tp>
      <tp>
        <v>435.33</v>
        <stp/>
        <stp>##V3_BDPV12</stp>
        <stp>MSFT US Equity</stp>
        <stp>PX_LAST</stp>
        <stp>[DPM - Securities Master List (BBG Linked).xlsx]Equities!R179C17</stp>
        <tr r="Q179" s="2"/>
      </tp>
      <tp>
        <v>435.33</v>
        <stp/>
        <stp>##V3_BDPV12</stp>
        <stp>MSFT US Equity</stp>
        <stp>PX_LAST</stp>
        <stp>[DPM - Securities Master List (BBG Linked).xlsx]Equities!R182C17</stp>
        <tr r="Q182" s="2"/>
      </tp>
      <tp>
        <v>435.33</v>
        <stp/>
        <stp>##V3_BDPV12</stp>
        <stp>MSFT US Equity</stp>
        <stp>PX_LAST</stp>
        <stp>[DPM - Securities Master List (BBG Linked).xlsx]Equities!R183C17</stp>
        <tr r="Q183" s="2"/>
      </tp>
      <tp>
        <v>435.33</v>
        <stp/>
        <stp>##V3_BDPV12</stp>
        <stp>MSFT US Equity</stp>
        <stp>PX_LAST</stp>
        <stp>[DPM - Securities Master List (BBG Linked).xlsx]Equities!R180C17</stp>
        <tr r="Q180" s="2"/>
      </tp>
      <tp>
        <v>435.33</v>
        <stp/>
        <stp>##V3_BDPV12</stp>
        <stp>MSFT US Equity</stp>
        <stp>PX_LAST</stp>
        <stp>[DPM - Securities Master List (BBG Linked).xlsx]Equities!R181C17</stp>
        <tr r="Q181" s="2"/>
      </tp>
      <tp>
        <v>435.33</v>
        <stp/>
        <stp>##V3_BDPV12</stp>
        <stp>MSFT US Equity</stp>
        <stp>PX_LAST</stp>
        <stp>[DPM - Securities Master List (BBG Linked).xlsx]Equities!R186C17</stp>
        <tr r="Q186" s="2"/>
      </tp>
      <tp>
        <v>435.33</v>
        <stp/>
        <stp>##V3_BDPV12</stp>
        <stp>MSFT US Equity</stp>
        <stp>PX_LAST</stp>
        <stp>[DPM - Securities Master List (BBG Linked).xlsx]Equities!R187C17</stp>
        <tr r="Q187" s="2"/>
      </tp>
      <tp>
        <v>435.33</v>
        <stp/>
        <stp>##V3_BDPV12</stp>
        <stp>MSFT US Equity</stp>
        <stp>PX_LAST</stp>
        <stp>[DPM - Securities Master List (BBG Linked).xlsx]Equities!R184C17</stp>
        <tr r="Q184" s="2"/>
      </tp>
      <tp>
        <v>435.33</v>
        <stp/>
        <stp>##V3_BDPV12</stp>
        <stp>MSFT US Equity</stp>
        <stp>PX_LAST</stp>
        <stp>[DPM - Securities Master List (BBG Linked).xlsx]Equities!R185C17</stp>
        <tr r="Q185" s="2"/>
      </tp>
      <tp>
        <v>435.33</v>
        <stp/>
        <stp>##V3_BDPV12</stp>
        <stp>MSFT US Equity</stp>
        <stp>PX_LAST</stp>
        <stp>[DPM - Securities Master List (BBG Linked).xlsx]Equities!R188C17</stp>
        <tr r="Q188" s="2"/>
      </tp>
      <tp>
        <v>57</v>
        <stp/>
        <stp>##V3_BDPV12</stp>
        <stp>NVO US Equity</stp>
        <stp>hs002</stp>
        <stp>[DPM - Securities Master List (BBG Linked).xlsx]Equities!R225C45</stp>
        <tr r="AS225" s="2"/>
      </tp>
      <tp t="s">
        <v>#N/A N/A</v>
        <stp/>
        <stp>##V3_BDPV12</stp>
        <stp>DD US Equity</stp>
        <stp>DY784</stp>
        <stp>[DPM - Securities Master List (BBG Linked).xlsx]Equities!R91C48</stp>
        <tr r="AV91" s="2"/>
        <tr r="AV91" s="2"/>
      </tp>
      <tp t="s">
        <v>TotalEnergies SE</v>
        <stp/>
        <stp>##V3_BDPV12</stp>
        <stp>TTE FP Equity</stp>
        <stp>SECURITY NAME</stp>
        <stp>[DPM - Securities Master List (BBG Linked).xlsx]Equities!R287C5</stp>
        <tr r="E287" s="2"/>
      </tp>
      <tp t="s">
        <v>TotalEnergies SE</v>
        <stp/>
        <stp>##V3_BDPV12</stp>
        <stp>TTE FP Equity</stp>
        <stp>SECURITY NAME</stp>
        <stp>[DPM - Securities Master List (BBG Linked).xlsx]Equities!R277C5</stp>
        <tr r="E277" s="2"/>
      </tp>
      <tp t="s">
        <v>#N/A Field Not Applicable</v>
        <stp/>
        <stp>##V3_BDPV12</stp>
        <stp>NVO US Equity</stp>
        <stp>RR908</stp>
        <stp>[DPM - Securities Master List (BBG Linked).xlsx]Equities!R225C32</stp>
        <tr r="AF225" s="2"/>
        <tr r="AF225" s="2"/>
      </tp>
      <tp>
        <v>32.679794374327528</v>
        <stp/>
        <stp>##V3_BDPV12</stp>
        <stp>MRK US Equity</stp>
        <stp>RR041</stp>
        <stp>[DPM - Securities Master List (BBG Linked).xlsx]Equities!R158C33</stp>
        <tr r="AG158" s="2"/>
        <tr r="AG158" s="2"/>
        <tr r="AG158" s="2"/>
      </tp>
      <tp>
        <v>32.679794374327528</v>
        <stp/>
        <stp>##V3_BDPV12</stp>
        <stp>MRK US Equity</stp>
        <stp>RR041</stp>
        <stp>[DPM - Securities Master List (BBG Linked).xlsx]Equities!R159C33</stp>
        <tr r="AG159" s="2"/>
        <tr r="AG159" s="2"/>
        <tr r="AG159" s="2"/>
      </tp>
      <tp>
        <v>32.679794374327528</v>
        <stp/>
        <stp>##V3_BDPV12</stp>
        <stp>MRK US Equity</stp>
        <stp>RR041</stp>
        <stp>[DPM - Securities Master List (BBG Linked).xlsx]Equities!R157C33</stp>
        <tr r="AG157" s="2"/>
        <tr r="AG157" s="2"/>
        <tr r="AG157" s="2"/>
      </tp>
      <tp>
        <v>32.679794374327528</v>
        <stp/>
        <stp>##V3_BDPV12</stp>
        <stp>MRK US Equity</stp>
        <stp>RR041</stp>
        <stp>[DPM - Securities Master List (BBG Linked).xlsx]Equities!R168C33</stp>
        <tr r="AG168" s="2"/>
        <tr r="AG168" s="2"/>
        <tr r="AG168" s="2"/>
      </tp>
      <tp>
        <v>32.679794374327528</v>
        <stp/>
        <stp>##V3_BDPV12</stp>
        <stp>MRK US Equity</stp>
        <stp>RR041</stp>
        <stp>[DPM - Securities Master List (BBG Linked).xlsx]Equities!R169C33</stp>
        <tr r="AG169" s="2"/>
        <tr r="AG169" s="2"/>
        <tr r="AG169" s="2"/>
      </tp>
      <tp>
        <v>32.679794374327528</v>
        <stp/>
        <stp>##V3_BDPV12</stp>
        <stp>MRK US Equity</stp>
        <stp>RR041</stp>
        <stp>[DPM - Securities Master List (BBG Linked).xlsx]Equities!R166C33</stp>
        <tr r="AG166" s="2"/>
        <tr r="AG166" s="2"/>
        <tr r="AG166" s="2"/>
      </tp>
      <tp>
        <v>32.679794374327528</v>
        <stp/>
        <stp>##V3_BDPV12</stp>
        <stp>MRK US Equity</stp>
        <stp>RR041</stp>
        <stp>[DPM - Securities Master List (BBG Linked).xlsx]Equities!R167C33</stp>
        <tr r="AG167" s="2"/>
        <tr r="AG167" s="2"/>
        <tr r="AG167" s="2"/>
      </tp>
      <tp>
        <v>32.679794374327528</v>
        <stp/>
        <stp>##V3_BDPV12</stp>
        <stp>MRK US Equity</stp>
        <stp>RR041</stp>
        <stp>[DPM - Securities Master List (BBG Linked).xlsx]Equities!R164C33</stp>
        <tr r="AG164" s="2"/>
        <tr r="AG164" s="2"/>
        <tr r="AG164" s="2"/>
      </tp>
      <tp>
        <v>32.679794374327528</v>
        <stp/>
        <stp>##V3_BDPV12</stp>
        <stp>MRK US Equity</stp>
        <stp>RR041</stp>
        <stp>[DPM - Securities Master List (BBG Linked).xlsx]Equities!R165C33</stp>
        <tr r="AG165" s="2"/>
        <tr r="AG165" s="2"/>
        <tr r="AG165" s="2"/>
      </tp>
      <tp>
        <v>32.679794374327528</v>
        <stp/>
        <stp>##V3_BDPV12</stp>
        <stp>MRK US Equity</stp>
        <stp>RR041</stp>
        <stp>[DPM - Securities Master List (BBG Linked).xlsx]Equities!R162C33</stp>
        <tr r="AG162" s="2"/>
        <tr r="AG162" s="2"/>
        <tr r="AG162" s="2"/>
      </tp>
      <tp>
        <v>32.679794374327528</v>
        <stp/>
        <stp>##V3_BDPV12</stp>
        <stp>MRK US Equity</stp>
        <stp>RR041</stp>
        <stp>[DPM - Securities Master List (BBG Linked).xlsx]Equities!R163C33</stp>
        <tr r="AG163" s="2"/>
        <tr r="AG163" s="2"/>
        <tr r="AG163" s="2"/>
      </tp>
      <tp>
        <v>32.679794374327528</v>
        <stp/>
        <stp>##V3_BDPV12</stp>
        <stp>MRK US Equity</stp>
        <stp>RR041</stp>
        <stp>[DPM - Securities Master List (BBG Linked).xlsx]Equities!R160C33</stp>
        <tr r="AG160" s="2"/>
        <tr r="AG160" s="2"/>
        <tr r="AG160" s="2"/>
      </tp>
      <tp>
        <v>32.679794374327528</v>
        <stp/>
        <stp>##V3_BDPV12</stp>
        <stp>MRK US Equity</stp>
        <stp>RR041</stp>
        <stp>[DPM - Securities Master List (BBG Linked).xlsx]Equities!R161C33</stp>
        <tr r="AG161" s="2"/>
        <tr r="AG161" s="2"/>
        <tr r="AG161" s="2"/>
      </tp>
      <tp t="s">
        <v>#N/A Field Not Applicable</v>
        <stp/>
        <stp>##V3_BDPV12</stp>
        <stp>NVO US Equity</stp>
        <stp>RR903</stp>
        <stp>[DPM - Securities Master List (BBG Linked).xlsx]Equities!R225C13</stp>
        <tr r="M225" s="2"/>
        <tr r="M225" s="2"/>
      </tp>
      <tp t="s">
        <v>#N/A Field Not Applicable</v>
        <stp/>
        <stp>##V3_BDPV12</stp>
        <stp>NVO US Equity</stp>
        <stp>RR900</stp>
        <stp>[DPM - Securities Master List (BBG Linked).xlsx]Equities!R225C11</stp>
        <tr r="K225" s="2"/>
        <tr r="K225" s="2"/>
      </tp>
      <tp>
        <v>6.4238150634347253</v>
        <stp/>
        <stp>##V3_BDPV12</stp>
        <stp>TTE FP Equity</stp>
        <stp>DV013</stp>
        <stp>[DPM - Securities Master List (BBG Linked).xlsx]Equities!R276C10</stp>
        <tr r="J276" s="2"/>
      </tp>
      <tp>
        <v>6.4238150634347253</v>
        <stp/>
        <stp>##V3_BDPV12</stp>
        <stp>TTE FP Equity</stp>
        <stp>DV013</stp>
        <stp>[DPM - Securities Master List (BBG Linked).xlsx]Equities!R277C10</stp>
        <tr r="J277" s="2"/>
      </tp>
      <tp>
        <v>6.4238150634347253</v>
        <stp/>
        <stp>##V3_BDPV12</stp>
        <stp>TTE FP Equity</stp>
        <stp>DV013</stp>
        <stp>[DPM - Securities Master List (BBG Linked).xlsx]Equities!R278C10</stp>
        <tr r="J278" s="2"/>
      </tp>
      <tp>
        <v>6.4238150634347253</v>
        <stp/>
        <stp>##V3_BDPV12</stp>
        <stp>TTE FP Equity</stp>
        <stp>DV013</stp>
        <stp>[DPM - Securities Master List (BBG Linked).xlsx]Equities!R279C10</stp>
        <tr r="J279" s="2"/>
      </tp>
      <tp>
        <v>6.4238150634347253</v>
        <stp/>
        <stp>##V3_BDPV12</stp>
        <stp>TTE FP Equity</stp>
        <stp>DV013</stp>
        <stp>[DPM - Securities Master List (BBG Linked).xlsx]Equities!R284C10</stp>
        <tr r="J284" s="2"/>
      </tp>
      <tp>
        <v>6.4238150634347253</v>
        <stp/>
        <stp>##V3_BDPV12</stp>
        <stp>TTE FP Equity</stp>
        <stp>DV013</stp>
        <stp>[DPM - Securities Master List (BBG Linked).xlsx]Equities!R285C10</stp>
        <tr r="J285" s="2"/>
      </tp>
      <tp>
        <v>6.4238150634347253</v>
        <stp/>
        <stp>##V3_BDPV12</stp>
        <stp>TTE FP Equity</stp>
        <stp>DV013</stp>
        <stp>[DPM - Securities Master List (BBG Linked).xlsx]Equities!R286C10</stp>
        <tr r="J286" s="2"/>
      </tp>
      <tp>
        <v>6.4238150634347253</v>
        <stp/>
        <stp>##V3_BDPV12</stp>
        <stp>TTE FP Equity</stp>
        <stp>DV013</stp>
        <stp>[DPM - Securities Master List (BBG Linked).xlsx]Equities!R287C10</stp>
        <tr r="J287" s="2"/>
      </tp>
      <tp>
        <v>6.4238150634347253</v>
        <stp/>
        <stp>##V3_BDPV12</stp>
        <stp>TTE FP Equity</stp>
        <stp>DV013</stp>
        <stp>[DPM - Securities Master List (BBG Linked).xlsx]Equities!R280C10</stp>
        <tr r="J280" s="2"/>
      </tp>
      <tp>
        <v>6.4238150634347253</v>
        <stp/>
        <stp>##V3_BDPV12</stp>
        <stp>TTE FP Equity</stp>
        <stp>DV013</stp>
        <stp>[DPM - Securities Master List (BBG Linked).xlsx]Equities!R281C10</stp>
        <tr r="J281" s="2"/>
      </tp>
      <tp>
        <v>6.4238150634347253</v>
        <stp/>
        <stp>##V3_BDPV12</stp>
        <stp>TTE FP Equity</stp>
        <stp>DV013</stp>
        <stp>[DPM - Securities Master List (BBG Linked).xlsx]Equities!R282C10</stp>
        <tr r="J282" s="2"/>
      </tp>
      <tp>
        <v>6.4238150634347253</v>
        <stp/>
        <stp>##V3_BDPV12</stp>
        <stp>TTE FP Equity</stp>
        <stp>DV013</stp>
        <stp>[DPM - Securities Master List (BBG Linked).xlsx]Equities!R283C10</stp>
        <tr r="J283" s="2"/>
      </tp>
      <tp>
        <v>6.4238150634347253</v>
        <stp/>
        <stp>##V3_BDPV12</stp>
        <stp>TTE FP Equity</stp>
        <stp>DV013</stp>
        <stp>[DPM - Securities Master List (BBG Linked).xlsx]Equities!R288C10</stp>
        <tr r="J288" s="2"/>
      </tp>
      <tp t="s">
        <v>Equity</v>
        <stp/>
        <stp>##V3_BDPV12</stp>
        <stp>RIO LN Equity</stp>
        <stp>EX028</stp>
        <stp>[DPM - Securities Master List (BBG Linked).xlsx]Equities!R242C30</stp>
        <tr r="AD242" s="2"/>
        <tr r="AD242" s="2"/>
        <tr r="AD242" s="2"/>
      </tp>
      <tp>
        <v>7.5121377078122711</v>
        <stp/>
        <stp>##V3_BDPV12</stp>
        <stp>TTE FP Equity</stp>
        <stp>EE010</stp>
        <stp>[DPM - Securities Master List (BBG Linked).xlsx]Equities!R276C12</stp>
        <tr r="L276" s="2"/>
        <tr r="L276" s="2"/>
        <tr r="L276" s="2"/>
      </tp>
      <tp>
        <v>7.5121377078122711</v>
        <stp/>
        <stp>##V3_BDPV12</stp>
        <stp>TTE FP Equity</stp>
        <stp>EE010</stp>
        <stp>[DPM - Securities Master List (BBG Linked).xlsx]Equities!R277C12</stp>
        <tr r="L277" s="2"/>
        <tr r="L277" s="2"/>
        <tr r="L277" s="2"/>
      </tp>
      <tp>
        <v>7.5121377078122711</v>
        <stp/>
        <stp>##V3_BDPV12</stp>
        <stp>TTE FP Equity</stp>
        <stp>EE010</stp>
        <stp>[DPM - Securities Master List (BBG Linked).xlsx]Equities!R278C12</stp>
        <tr r="L278" s="2"/>
        <tr r="L278" s="2"/>
        <tr r="L278" s="2"/>
      </tp>
      <tp>
        <v>7.5121377078122711</v>
        <stp/>
        <stp>##V3_BDPV12</stp>
        <stp>TTE FP Equity</stp>
        <stp>EE010</stp>
        <stp>[DPM - Securities Master List (BBG Linked).xlsx]Equities!R279C12</stp>
        <tr r="L279" s="2"/>
        <tr r="L279" s="2"/>
        <tr r="L279" s="2"/>
      </tp>
      <tp>
        <v>7.5121377078122711</v>
        <stp/>
        <stp>##V3_BDPV12</stp>
        <stp>TTE FP Equity</stp>
        <stp>EE010</stp>
        <stp>[DPM - Securities Master List (BBG Linked).xlsx]Equities!R284C12</stp>
        <tr r="L284" s="2"/>
        <tr r="L284" s="2"/>
        <tr r="L284" s="2"/>
      </tp>
      <tp>
        <v>7.5121377078122711</v>
        <stp/>
        <stp>##V3_BDPV12</stp>
        <stp>TTE FP Equity</stp>
        <stp>EE010</stp>
        <stp>[DPM - Securities Master List (BBG Linked).xlsx]Equities!R285C12</stp>
        <tr r="L285" s="2"/>
        <tr r="L285" s="2"/>
        <tr r="L285" s="2"/>
      </tp>
      <tp>
        <v>7.5121377078122711</v>
        <stp/>
        <stp>##V3_BDPV12</stp>
        <stp>TTE FP Equity</stp>
        <stp>EE010</stp>
        <stp>[DPM - Securities Master List (BBG Linked).xlsx]Equities!R286C12</stp>
        <tr r="L286" s="2"/>
        <tr r="L286" s="2"/>
        <tr r="L286" s="2"/>
      </tp>
      <tp>
        <v>7.5121377078122711</v>
        <stp/>
        <stp>##V3_BDPV12</stp>
        <stp>TTE FP Equity</stp>
        <stp>EE010</stp>
        <stp>[DPM - Securities Master List (BBG Linked).xlsx]Equities!R287C12</stp>
        <tr r="L287" s="2"/>
        <tr r="L287" s="2"/>
        <tr r="L287" s="2"/>
      </tp>
      <tp>
        <v>7.5121377078122711</v>
        <stp/>
        <stp>##V3_BDPV12</stp>
        <stp>TTE FP Equity</stp>
        <stp>EE010</stp>
        <stp>[DPM - Securities Master List (BBG Linked).xlsx]Equities!R280C12</stp>
        <tr r="L280" s="2"/>
        <tr r="L280" s="2"/>
        <tr r="L280" s="2"/>
      </tp>
      <tp>
        <v>7.5121377078122711</v>
        <stp/>
        <stp>##V3_BDPV12</stp>
        <stp>TTE FP Equity</stp>
        <stp>EE010</stp>
        <stp>[DPM - Securities Master List (BBG Linked).xlsx]Equities!R281C12</stp>
        <tr r="L281" s="2"/>
        <tr r="L281" s="2"/>
        <tr r="L281" s="2"/>
      </tp>
      <tp>
        <v>7.5121377078122711</v>
        <stp/>
        <stp>##V3_BDPV12</stp>
        <stp>TTE FP Equity</stp>
        <stp>EE010</stp>
        <stp>[DPM - Securities Master List (BBG Linked).xlsx]Equities!R282C12</stp>
        <tr r="L282" s="2"/>
        <tr r="L282" s="2"/>
        <tr r="L282" s="2"/>
      </tp>
      <tp>
        <v>7.5121377078122711</v>
        <stp/>
        <stp>##V3_BDPV12</stp>
        <stp>TTE FP Equity</stp>
        <stp>EE010</stp>
        <stp>[DPM - Securities Master List (BBG Linked).xlsx]Equities!R283C12</stp>
        <tr r="L283" s="2"/>
        <tr r="L283" s="2"/>
        <tr r="L283" s="2"/>
      </tp>
      <tp>
        <v>7.5121377078122711</v>
        <stp/>
        <stp>##V3_BDPV12</stp>
        <stp>TTE FP Equity</stp>
        <stp>EE010</stp>
        <stp>[DPM - Securities Master List (BBG Linked).xlsx]Equities!R288C12</stp>
        <tr r="L288" s="2"/>
        <tr r="L288" s="2"/>
        <tr r="L288" s="2"/>
      </tp>
      <tp>
        <v>598495.32446997997</v>
        <stp/>
        <stp>##V3_BDPV12</stp>
        <stp>TCEHY US Equity</stp>
        <stp>CRNCY_ADJ_MKT_CAP</stp>
        <stp>[DPM - Securities Master List (BBG Linked).xlsx]Equities!R260C9</stp>
        <stp>EQY_FUND_CRNCY=USD</stp>
        <tr r="I260" s="2"/>
      </tp>
      <tp t="s">
        <v>US6701002056</v>
        <stp/>
        <stp>##V3_BDPV12</stp>
        <stp>NVO US Equity</stp>
        <stp>ID005</stp>
        <stp>[DPM - Securities Master List (BBG Linked).xlsx]Equities!R225C55</stp>
        <tr r="BC225" s="2"/>
      </tp>
      <tp>
        <v>3.769230842590332</v>
        <stp/>
        <stp>##V3_BDPV12</stp>
        <stp>NVO US Equity</stp>
        <stp>EE201</stp>
        <stp>[DPM - Securities Master List (BBG Linked).xlsx]Equities!R225C37</stp>
        <tr r="AK225" s="2"/>
        <tr r="AK225" s="2"/>
        <tr r="AK225" s="2"/>
      </tp>
      <tp t="s">
        <v>Health Care</v>
        <stp/>
        <stp>##V3_BDPV12</stp>
        <stp>NVO US Equity</stp>
        <stp>DX202</stp>
        <stp>[DPM - Securities Master List (BBG Linked).xlsx]Equities!R225C46</stp>
        <tr r="AT225" s="2"/>
        <tr r="AT225" s="2"/>
        <tr r="AT225" s="2"/>
      </tp>
      <tp t="s">
        <v>#N/A Invalid Override</v>
        <stp/>
        <stp>##V3_BDPV12</stp>
        <stp>USF2280BAA47 isin</stp>
        <stp>YAS_BOND_YLD</stp>
        <stp>[DPM - Securities Master List (BBG Linked).xlsx]Bonds!R5C10</stp>
        <stp>YAS_YLD_FLAG=15</stp>
        <stp>user_local_trade_date</stp>
        <stp>45783</stp>
        <stp>Yas_bond_px</stp>
        <stp>#N/A Connection</stp>
        <tr r="J5" s="1"/>
      </tp>
      <tp t="s">
        <v>GBp</v>
        <stp/>
        <stp>##V3_BDPV12</stp>
        <stp>TSCO LN Equity</stp>
        <stp>CRNCY</stp>
        <stp>[DPM - Securities Master List (BBG Linked).xlsx]Equities!R273C6</stp>
        <tr r="F273" s="2"/>
      </tp>
      <tp t="s">
        <v>GBp</v>
        <stp/>
        <stp>##V3_BDPV12</stp>
        <stp>TSCO LN Equity</stp>
        <stp>CRNCY</stp>
        <stp>[DPM - Securities Master List (BBG Linked).xlsx]Equities!R263C6</stp>
        <tr r="F263" s="2"/>
      </tp>
      <tp t="s">
        <v>Y</v>
        <stp/>
        <stp>##V3_BDPV12</stp>
        <stp>BMRN US Equity</stp>
        <stp>DY997</stp>
        <stp>[DPM - Securities Master List (BBG Linked).xlsx]Equities!R74C47</stp>
        <tr r="AU74" s="2"/>
        <tr r="AU74" s="2"/>
        <tr r="AU74" s="2"/>
      </tp>
      <tp t="s">
        <v>Y</v>
        <stp/>
        <stp>##V3_BDPV12</stp>
        <stp>BMRN US Equity</stp>
        <stp>DY997</stp>
        <stp>[DPM - Securities Master List (BBG Linked).xlsx]Equities!R75C47</stp>
        <tr r="AU75" s="2"/>
        <tr r="AU75" s="2"/>
        <tr r="AU75" s="2"/>
      </tp>
      <tp t="s">
        <v>Y</v>
        <stp/>
        <stp>##V3_BDPV12</stp>
        <stp>BMRN US Equity</stp>
        <stp>DY997</stp>
        <stp>[DPM - Securities Master List (BBG Linked).xlsx]Equities!R72C47</stp>
        <tr r="AU72" s="2"/>
        <tr r="AU72" s="2"/>
        <tr r="AU72" s="2"/>
      </tp>
      <tp t="s">
        <v>Y</v>
        <stp/>
        <stp>##V3_BDPV12</stp>
        <stp>BMRN US Equity</stp>
        <stp>DY997</stp>
        <stp>[DPM - Securities Master List (BBG Linked).xlsx]Equities!R73C47</stp>
        <tr r="AU73" s="2"/>
        <tr r="AU73" s="2"/>
        <tr r="AU73" s="2"/>
      </tp>
      <tp t="s">
        <v>Y</v>
        <stp/>
        <stp>##V3_BDPV12</stp>
        <stp>BMRN US Equity</stp>
        <stp>DY997</stp>
        <stp>[DPM - Securities Master List (BBG Linked).xlsx]Equities!R70C47</stp>
        <tr r="AU70" s="2"/>
        <tr r="AU70" s="2"/>
        <tr r="AU70" s="2"/>
      </tp>
      <tp t="s">
        <v>Y</v>
        <stp/>
        <stp>##V3_BDPV12</stp>
        <stp>BMRN US Equity</stp>
        <stp>DY997</stp>
        <stp>[DPM - Securities Master List (BBG Linked).xlsx]Equities!R71C47</stp>
        <tr r="AU71" s="2"/>
        <tr r="AU71" s="2"/>
        <tr r="AU71" s="2"/>
      </tp>
      <tp t="s">
        <v>Y</v>
        <stp/>
        <stp>##V3_BDPV12</stp>
        <stp>BMRN US Equity</stp>
        <stp>DY997</stp>
        <stp>[DPM - Securities Master List (BBG Linked).xlsx]Equities!R66C47</stp>
        <tr r="AU66" s="2"/>
        <tr r="AU66" s="2"/>
        <tr r="AU66" s="2"/>
      </tp>
      <tp t="s">
        <v>Y</v>
        <stp/>
        <stp>##V3_BDPV12</stp>
        <stp>BMRN US Equity</stp>
        <stp>DY997</stp>
        <stp>[DPM - Securities Master List (BBG Linked).xlsx]Equities!R67C47</stp>
        <tr r="AU67" s="2"/>
        <tr r="AU67" s="2"/>
        <tr r="AU67" s="2"/>
      </tp>
      <tp t="s">
        <v>Y</v>
        <stp/>
        <stp>##V3_BDPV12</stp>
        <stp>BMRN US Equity</stp>
        <stp>DY997</stp>
        <stp>[DPM - Securities Master List (BBG Linked).xlsx]Equities!R64C47</stp>
        <tr r="AU64" s="2"/>
        <tr r="AU64" s="2"/>
        <tr r="AU64" s="2"/>
      </tp>
      <tp t="s">
        <v>Y</v>
        <stp/>
        <stp>##V3_BDPV12</stp>
        <stp>BMRN US Equity</stp>
        <stp>DY997</stp>
        <stp>[DPM - Securities Master List (BBG Linked).xlsx]Equities!R65C47</stp>
        <tr r="AU65" s="2"/>
        <tr r="AU65" s="2"/>
        <tr r="AU65" s="2"/>
      </tp>
      <tp t="s">
        <v>Y</v>
        <stp/>
        <stp>##V3_BDPV12</stp>
        <stp>BMRN US Equity</stp>
        <stp>DY997</stp>
        <stp>[DPM - Securities Master List (BBG Linked).xlsx]Equities!R63C47</stp>
        <tr r="AU63" s="2"/>
        <tr r="AU63" s="2"/>
        <tr r="AU63" s="2"/>
      </tp>
      <tp t="s">
        <v>Y</v>
        <stp/>
        <stp>##V3_BDPV12</stp>
        <stp>BMRN US Equity</stp>
        <stp>DY997</stp>
        <stp>[DPM - Securities Master List (BBG Linked).xlsx]Equities!R68C47</stp>
        <tr r="AU68" s="2"/>
        <tr r="AU68" s="2"/>
        <tr r="AU68" s="2"/>
      </tp>
      <tp t="s">
        <v>Y</v>
        <stp/>
        <stp>##V3_BDPV12</stp>
        <stp>BMRN US Equity</stp>
        <stp>DY997</stp>
        <stp>[DPM - Securities Master List (BBG Linked).xlsx]Equities!R69C47</stp>
        <tr r="AU69" s="2"/>
        <tr r="AU69" s="2"/>
        <tr r="AU69" s="2"/>
      </tp>
      <tp t="s">
        <v>PayPal Holdings Inc</v>
        <stp/>
        <stp>##V3_BDPV12</stp>
        <stp>PYPL US Equity</stp>
        <stp>SECURITY NAME</stp>
        <stp>[DPM - Securities Master List (BBG Linked).xlsx]Equities!R238C5</stp>
        <tr r="E238" s="2"/>
      </tp>
      <tp t="s">
        <v>USD</v>
        <stp/>
        <stp>##V3_BDPV12</stp>
        <stp>INTC US Equity</stp>
        <stp>CRNCY</stp>
        <stp>[DPM - Securities Master List (BBG Linked).xlsx]Equities!R147C6</stp>
        <tr r="F147" s="2"/>
      </tp>
      <tp>
        <v>15.427358958166264</v>
        <stp/>
        <stp>##V3_BDPV12</stp>
        <stp>BMRN US Equity</stp>
        <stp>RR957</stp>
        <stp>[DPM - Securities Master List (BBG Linked).xlsx]Equities!R69C14</stp>
        <tr r="N69" s="2"/>
        <tr r="N69" s="2"/>
        <tr r="N69" s="2"/>
      </tp>
      <tp>
        <v>15.427358958166264</v>
        <stp/>
        <stp>##V3_BDPV12</stp>
        <stp>BMRN US Equity</stp>
        <stp>RR957</stp>
        <stp>[DPM - Securities Master List (BBG Linked).xlsx]Equities!R68C14</stp>
        <tr r="N68" s="2"/>
        <tr r="N68" s="2"/>
        <tr r="N68" s="2"/>
      </tp>
      <tp>
        <v>15.427358958166264</v>
        <stp/>
        <stp>##V3_BDPV12</stp>
        <stp>BMRN US Equity</stp>
        <stp>RR957</stp>
        <stp>[DPM - Securities Master List (BBG Linked).xlsx]Equities!R65C14</stp>
        <tr r="N65" s="2"/>
        <tr r="N65" s="2"/>
        <tr r="N65" s="2"/>
      </tp>
      <tp>
        <v>15.427358958166264</v>
        <stp/>
        <stp>##V3_BDPV12</stp>
        <stp>BMRN US Equity</stp>
        <stp>RR957</stp>
        <stp>[DPM - Securities Master List (BBG Linked).xlsx]Equities!R64C14</stp>
        <tr r="N64" s="2"/>
        <tr r="N64" s="2"/>
        <tr r="N64" s="2"/>
      </tp>
      <tp>
        <v>15.427358958166264</v>
        <stp/>
        <stp>##V3_BDPV12</stp>
        <stp>BMRN US Equity</stp>
        <stp>RR957</stp>
        <stp>[DPM - Securities Master List (BBG Linked).xlsx]Equities!R67C14</stp>
        <tr r="N67" s="2"/>
        <tr r="N67" s="2"/>
        <tr r="N67" s="2"/>
      </tp>
      <tp>
        <v>15.427358958166264</v>
        <stp/>
        <stp>##V3_BDPV12</stp>
        <stp>BMRN US Equity</stp>
        <stp>RR957</stp>
        <stp>[DPM - Securities Master List (BBG Linked).xlsx]Equities!R66C14</stp>
        <tr r="N66" s="2"/>
        <tr r="N66" s="2"/>
        <tr r="N66" s="2"/>
      </tp>
      <tp>
        <v>15.427358958166264</v>
        <stp/>
        <stp>##V3_BDPV12</stp>
        <stp>BMRN US Equity</stp>
        <stp>RR957</stp>
        <stp>[DPM - Securities Master List (BBG Linked).xlsx]Equities!R63C14</stp>
        <tr r="N63" s="2"/>
        <tr r="N63" s="2"/>
        <tr r="N63" s="2"/>
      </tp>
      <tp>
        <v>15.427358958166264</v>
        <stp/>
        <stp>##V3_BDPV12</stp>
        <stp>BMRN US Equity</stp>
        <stp>RR957</stp>
        <stp>[DPM - Securities Master List (BBG Linked).xlsx]Equities!R75C14</stp>
        <tr r="N75" s="2"/>
        <tr r="N75" s="2"/>
        <tr r="N75" s="2"/>
      </tp>
      <tp>
        <v>15.427358958166264</v>
        <stp/>
        <stp>##V3_BDPV12</stp>
        <stp>BMRN US Equity</stp>
        <stp>RR957</stp>
        <stp>[DPM - Securities Master List (BBG Linked).xlsx]Equities!R74C14</stp>
        <tr r="N74" s="2"/>
        <tr r="N74" s="2"/>
        <tr r="N74" s="2"/>
      </tp>
      <tp>
        <v>15.427358958166264</v>
        <stp/>
        <stp>##V3_BDPV12</stp>
        <stp>BMRN US Equity</stp>
        <stp>RR957</stp>
        <stp>[DPM - Securities Master List (BBG Linked).xlsx]Equities!R71C14</stp>
        <tr r="N71" s="2"/>
        <tr r="N71" s="2"/>
        <tr r="N71" s="2"/>
      </tp>
      <tp>
        <v>15.427358958166264</v>
        <stp/>
        <stp>##V3_BDPV12</stp>
        <stp>BMRN US Equity</stp>
        <stp>RR957</stp>
        <stp>[DPM - Securities Master List (BBG Linked).xlsx]Equities!R70C14</stp>
        <tr r="N70" s="2"/>
        <tr r="N70" s="2"/>
        <tr r="N70" s="2"/>
      </tp>
      <tp>
        <v>15.427358958166264</v>
        <stp/>
        <stp>##V3_BDPV12</stp>
        <stp>BMRN US Equity</stp>
        <stp>RR957</stp>
        <stp>[DPM - Securities Master List (BBG Linked).xlsx]Equities!R73C14</stp>
        <tr r="N73" s="2"/>
        <tr r="N73" s="2"/>
        <tr r="N73" s="2"/>
      </tp>
      <tp>
        <v>15.427358958166264</v>
        <stp/>
        <stp>##V3_BDPV12</stp>
        <stp>BMRN US Equity</stp>
        <stp>RR957</stp>
        <stp>[DPM - Securities Master List (BBG Linked).xlsx]Equities!R72C14</stp>
        <tr r="N72" s="2"/>
        <tr r="N72" s="2"/>
        <tr r="N72" s="2"/>
      </tp>
      <tp>
        <v>16.51278130830697</v>
        <stp/>
        <stp>##V3_BDPV12</stp>
        <stp>BMRN US Equity</stp>
        <stp>RR908</stp>
        <stp>[DPM - Securities Master List (BBG Linked).xlsx]Equities!R75C32</stp>
        <tr r="AF75" s="2"/>
        <tr r="AF75" s="2"/>
        <tr r="AF75" s="2"/>
      </tp>
      <tp>
        <v>16.51278130830697</v>
        <stp/>
        <stp>##V3_BDPV12</stp>
        <stp>BMRN US Equity</stp>
        <stp>RR908</stp>
        <stp>[DPM - Securities Master List (BBG Linked).xlsx]Equities!R74C32</stp>
        <tr r="AF74" s="2"/>
        <tr r="AF74" s="2"/>
        <tr r="AF74" s="2"/>
      </tp>
      <tp>
        <v>16.51278130830697</v>
        <stp/>
        <stp>##V3_BDPV12</stp>
        <stp>BMRN US Equity</stp>
        <stp>RR908</stp>
        <stp>[DPM - Securities Master List (BBG Linked).xlsx]Equities!R71C32</stp>
        <tr r="AF71" s="2"/>
        <tr r="AF71" s="2"/>
        <tr r="AF71" s="2"/>
      </tp>
      <tp>
        <v>16.51278130830697</v>
        <stp/>
        <stp>##V3_BDPV12</stp>
        <stp>BMRN US Equity</stp>
        <stp>RR908</stp>
        <stp>[DPM - Securities Master List (BBG Linked).xlsx]Equities!R70C32</stp>
        <tr r="AF70" s="2"/>
        <tr r="AF70" s="2"/>
        <tr r="AF70" s="2"/>
      </tp>
      <tp>
        <v>16.51278130830697</v>
        <stp/>
        <stp>##V3_BDPV12</stp>
        <stp>BMRN US Equity</stp>
        <stp>RR908</stp>
        <stp>[DPM - Securities Master List (BBG Linked).xlsx]Equities!R73C32</stp>
        <tr r="AF73" s="2"/>
        <tr r="AF73" s="2"/>
        <tr r="AF73" s="2"/>
      </tp>
      <tp>
        <v>16.51278130830697</v>
        <stp/>
        <stp>##V3_BDPV12</stp>
        <stp>BMRN US Equity</stp>
        <stp>RR908</stp>
        <stp>[DPM - Securities Master List (BBG Linked).xlsx]Equities!R72C32</stp>
        <tr r="AF72" s="2"/>
        <tr r="AF72" s="2"/>
        <tr r="AF72" s="2"/>
      </tp>
      <tp>
        <v>16.51278130830697</v>
        <stp/>
        <stp>##V3_BDPV12</stp>
        <stp>BMRN US Equity</stp>
        <stp>RR908</stp>
        <stp>[DPM - Securities Master List (BBG Linked).xlsx]Equities!R69C32</stp>
        <tr r="AF69" s="2"/>
        <tr r="AF69" s="2"/>
        <tr r="AF69" s="2"/>
      </tp>
      <tp>
        <v>16.51278130830697</v>
        <stp/>
        <stp>##V3_BDPV12</stp>
        <stp>BMRN US Equity</stp>
        <stp>RR908</stp>
        <stp>[DPM - Securities Master List (BBG Linked).xlsx]Equities!R68C32</stp>
        <tr r="AF68" s="2"/>
        <tr r="AF68" s="2"/>
        <tr r="AF68" s="2"/>
      </tp>
      <tp>
        <v>16.51278130830697</v>
        <stp/>
        <stp>##V3_BDPV12</stp>
        <stp>BMRN US Equity</stp>
        <stp>RR908</stp>
        <stp>[DPM - Securities Master List (BBG Linked).xlsx]Equities!R65C32</stp>
        <tr r="AF65" s="2"/>
        <tr r="AF65" s="2"/>
        <tr r="AF65" s="2"/>
      </tp>
      <tp>
        <v>16.51278130830697</v>
        <stp/>
        <stp>##V3_BDPV12</stp>
        <stp>BMRN US Equity</stp>
        <stp>RR908</stp>
        <stp>[DPM - Securities Master List (BBG Linked).xlsx]Equities!R64C32</stp>
        <tr r="AF64" s="2"/>
        <tr r="AF64" s="2"/>
        <tr r="AF64" s="2"/>
      </tp>
      <tp>
        <v>16.51278130830697</v>
        <stp/>
        <stp>##V3_BDPV12</stp>
        <stp>BMRN US Equity</stp>
        <stp>RR908</stp>
        <stp>[DPM - Securities Master List (BBG Linked).xlsx]Equities!R67C32</stp>
        <tr r="AF67" s="2"/>
        <tr r="AF67" s="2"/>
        <tr r="AF67" s="2"/>
      </tp>
      <tp>
        <v>16.51278130830697</v>
        <stp/>
        <stp>##V3_BDPV12</stp>
        <stp>BMRN US Equity</stp>
        <stp>RR908</stp>
        <stp>[DPM - Securities Master List (BBG Linked).xlsx]Equities!R66C32</stp>
        <tr r="AF66" s="2"/>
        <tr r="AF66" s="2"/>
        <tr r="AF66" s="2"/>
      </tp>
      <tp>
        <v>16.51278130830697</v>
        <stp/>
        <stp>##V3_BDPV12</stp>
        <stp>BMRN US Equity</stp>
        <stp>RR908</stp>
        <stp>[DPM - Securities Master List (BBG Linked).xlsx]Equities!R63C32</stp>
        <tr r="AF63" s="2"/>
        <tr r="AF63" s="2"/>
        <tr r="AF63" s="2"/>
      </tp>
      <tp>
        <v>19.674979145352147</v>
        <stp/>
        <stp>##V3_BDPV12</stp>
        <stp>BMRN US Equity</stp>
        <stp>RR900</stp>
        <stp>[DPM - Securities Master List (BBG Linked).xlsx]Equities!R69C11</stp>
        <tr r="K69" s="2"/>
        <tr r="K69" s="2"/>
        <tr r="K69" s="2"/>
      </tp>
      <tp>
        <v>19.674979145352147</v>
        <stp/>
        <stp>##V3_BDPV12</stp>
        <stp>BMRN US Equity</stp>
        <stp>RR900</stp>
        <stp>[DPM - Securities Master List (BBG Linked).xlsx]Equities!R68C11</stp>
        <tr r="K68" s="2"/>
        <tr r="K68" s="2"/>
        <tr r="K68" s="2"/>
      </tp>
      <tp>
        <v>19.674979145352147</v>
        <stp/>
        <stp>##V3_BDPV12</stp>
        <stp>BMRN US Equity</stp>
        <stp>RR900</stp>
        <stp>[DPM - Securities Master List (BBG Linked).xlsx]Equities!R65C11</stp>
        <tr r="K65" s="2"/>
        <tr r="K65" s="2"/>
        <tr r="K65" s="2"/>
      </tp>
      <tp>
        <v>1.9978470038427201</v>
        <stp/>
        <stp>##V3_BDPV12</stp>
        <stp>BMRN US Equity</stp>
        <stp>RR903</stp>
        <stp>[DPM - Securities Master List (BBG Linked).xlsx]Equities!R75C13</stp>
        <tr r="M75" s="2"/>
        <tr r="M75" s="2"/>
        <tr r="M75" s="2"/>
      </tp>
      <tp>
        <v>19.674979145352147</v>
        <stp/>
        <stp>##V3_BDPV12</stp>
        <stp>BMRN US Equity</stp>
        <stp>RR900</stp>
        <stp>[DPM - Securities Master List (BBG Linked).xlsx]Equities!R64C11</stp>
        <tr r="K64" s="2"/>
        <tr r="K64" s="2"/>
        <tr r="K64" s="2"/>
      </tp>
      <tp>
        <v>1.9978470038427201</v>
        <stp/>
        <stp>##V3_BDPV12</stp>
        <stp>BMRN US Equity</stp>
        <stp>RR903</stp>
        <stp>[DPM - Securities Master List (BBG Linked).xlsx]Equities!R74C13</stp>
        <tr r="M74" s="2"/>
        <tr r="M74" s="2"/>
        <tr r="M74" s="2"/>
      </tp>
      <tp>
        <v>19.674979145352147</v>
        <stp/>
        <stp>##V3_BDPV12</stp>
        <stp>BMRN US Equity</stp>
        <stp>RR900</stp>
        <stp>[DPM - Securities Master List (BBG Linked).xlsx]Equities!R67C11</stp>
        <tr r="K67" s="2"/>
        <tr r="K67" s="2"/>
        <tr r="K67" s="2"/>
      </tp>
      <tp>
        <v>19.674979145352147</v>
        <stp/>
        <stp>##V3_BDPV12</stp>
        <stp>BMRN US Equity</stp>
        <stp>RR900</stp>
        <stp>[DPM - Securities Master List (BBG Linked).xlsx]Equities!R66C11</stp>
        <tr r="K66" s="2"/>
        <tr r="K66" s="2"/>
        <tr r="K66" s="2"/>
      </tp>
      <tp>
        <v>1.9978470038427201</v>
        <stp/>
        <stp>##V3_BDPV12</stp>
        <stp>BMRN US Equity</stp>
        <stp>RR903</stp>
        <stp>[DPM - Securities Master List (BBG Linked).xlsx]Equities!R71C13</stp>
        <tr r="M71" s="2"/>
        <tr r="M71" s="2"/>
        <tr r="M71" s="2"/>
      </tp>
      <tp>
        <v>1.9978470038427201</v>
        <stp/>
        <stp>##V3_BDPV12</stp>
        <stp>BMRN US Equity</stp>
        <stp>RR903</stp>
        <stp>[DPM - Securities Master List (BBG Linked).xlsx]Equities!R70C13</stp>
        <tr r="M70" s="2"/>
        <tr r="M70" s="2"/>
        <tr r="M70" s="2"/>
      </tp>
      <tp>
        <v>19.674979145352147</v>
        <stp/>
        <stp>##V3_BDPV12</stp>
        <stp>BMRN US Equity</stp>
        <stp>RR900</stp>
        <stp>[DPM - Securities Master List (BBG Linked).xlsx]Equities!R63C11</stp>
        <tr r="K63" s="2"/>
        <tr r="K63" s="2"/>
        <tr r="K63" s="2"/>
      </tp>
      <tp>
        <v>1.9978470038427201</v>
        <stp/>
        <stp>##V3_BDPV12</stp>
        <stp>BMRN US Equity</stp>
        <stp>RR903</stp>
        <stp>[DPM - Securities Master List (BBG Linked).xlsx]Equities!R73C13</stp>
        <tr r="M73" s="2"/>
        <tr r="M73" s="2"/>
        <tr r="M73" s="2"/>
      </tp>
      <tp>
        <v>1.9978470038427201</v>
        <stp/>
        <stp>##V3_BDPV12</stp>
        <stp>BMRN US Equity</stp>
        <stp>RR903</stp>
        <stp>[DPM - Securities Master List (BBG Linked).xlsx]Equities!R72C13</stp>
        <tr r="M72" s="2"/>
        <tr r="M72" s="2"/>
        <tr r="M72" s="2"/>
      </tp>
      <tp>
        <v>1.9978470038427201</v>
        <stp/>
        <stp>##V3_BDPV12</stp>
        <stp>BMRN US Equity</stp>
        <stp>RR903</stp>
        <stp>[DPM - Securities Master List (BBG Linked).xlsx]Equities!R69C13</stp>
        <tr r="M69" s="2"/>
        <tr r="M69" s="2"/>
        <tr r="M69" s="2"/>
      </tp>
      <tp>
        <v>1.9978470038427201</v>
        <stp/>
        <stp>##V3_BDPV12</stp>
        <stp>BMRN US Equity</stp>
        <stp>RR903</stp>
        <stp>[DPM - Securities Master List (BBG Linked).xlsx]Equities!R68C13</stp>
        <tr r="M68" s="2"/>
        <tr r="M68" s="2"/>
        <tr r="M68" s="2"/>
      </tp>
      <tp>
        <v>19.674979145352147</v>
        <stp/>
        <stp>##V3_BDPV12</stp>
        <stp>BMRN US Equity</stp>
        <stp>RR900</stp>
        <stp>[DPM - Securities Master List (BBG Linked).xlsx]Equities!R75C11</stp>
        <tr r="K75" s="2"/>
        <tr r="K75" s="2"/>
        <tr r="K75" s="2"/>
      </tp>
      <tp>
        <v>1.9978470038427201</v>
        <stp/>
        <stp>##V3_BDPV12</stp>
        <stp>BMRN US Equity</stp>
        <stp>RR903</stp>
        <stp>[DPM - Securities Master List (BBG Linked).xlsx]Equities!R65C13</stp>
        <tr r="M65" s="2"/>
        <tr r="M65" s="2"/>
        <tr r="M65" s="2"/>
      </tp>
      <tp>
        <v>19.674979145352147</v>
        <stp/>
        <stp>##V3_BDPV12</stp>
        <stp>BMRN US Equity</stp>
        <stp>RR900</stp>
        <stp>[DPM - Securities Master List (BBG Linked).xlsx]Equities!R74C11</stp>
        <tr r="K74" s="2"/>
        <tr r="K74" s="2"/>
        <tr r="K74" s="2"/>
      </tp>
      <tp>
        <v>1.9978470038427201</v>
        <stp/>
        <stp>##V3_BDPV12</stp>
        <stp>BMRN US Equity</stp>
        <stp>RR903</stp>
        <stp>[DPM - Securities Master List (BBG Linked).xlsx]Equities!R64C13</stp>
        <tr r="M64" s="2"/>
        <tr r="M64" s="2"/>
        <tr r="M64" s="2"/>
      </tp>
      <tp>
        <v>1.9978470038427201</v>
        <stp/>
        <stp>##V3_BDPV12</stp>
        <stp>BMRN US Equity</stp>
        <stp>RR903</stp>
        <stp>[DPM - Securities Master List (BBG Linked).xlsx]Equities!R67C13</stp>
        <tr r="M67" s="2"/>
        <tr r="M67" s="2"/>
        <tr r="M67" s="2"/>
      </tp>
      <tp>
        <v>1.9978470038427201</v>
        <stp/>
        <stp>##V3_BDPV12</stp>
        <stp>BMRN US Equity</stp>
        <stp>RR903</stp>
        <stp>[DPM - Securities Master List (BBG Linked).xlsx]Equities!R66C13</stp>
        <tr r="M66" s="2"/>
        <tr r="M66" s="2"/>
        <tr r="M66" s="2"/>
      </tp>
      <tp>
        <v>19.674979145352147</v>
        <stp/>
        <stp>##V3_BDPV12</stp>
        <stp>BMRN US Equity</stp>
        <stp>RR900</stp>
        <stp>[DPM - Securities Master List (BBG Linked).xlsx]Equities!R71C11</stp>
        <tr r="K71" s="2"/>
        <tr r="K71" s="2"/>
        <tr r="K71" s="2"/>
      </tp>
      <tp>
        <v>19.674979145352147</v>
        <stp/>
        <stp>##V3_BDPV12</stp>
        <stp>BMRN US Equity</stp>
        <stp>RR900</stp>
        <stp>[DPM - Securities Master List (BBG Linked).xlsx]Equities!R70C11</stp>
        <tr r="K70" s="2"/>
        <tr r="K70" s="2"/>
        <tr r="K70" s="2"/>
      </tp>
      <tp>
        <v>19.674979145352147</v>
        <stp/>
        <stp>##V3_BDPV12</stp>
        <stp>BMRN US Equity</stp>
        <stp>RR900</stp>
        <stp>[DPM - Securities Master List (BBG Linked).xlsx]Equities!R73C11</stp>
        <tr r="K73" s="2"/>
        <tr r="K73" s="2"/>
        <tr r="K73" s="2"/>
      </tp>
      <tp>
        <v>1.9978470038427201</v>
        <stp/>
        <stp>##V3_BDPV12</stp>
        <stp>BMRN US Equity</stp>
        <stp>RR903</stp>
        <stp>[DPM - Securities Master List (BBG Linked).xlsx]Equities!R63C13</stp>
        <tr r="M63" s="2"/>
        <tr r="M63" s="2"/>
        <tr r="M63" s="2"/>
      </tp>
      <tp>
        <v>19.674979145352147</v>
        <stp/>
        <stp>##V3_BDPV12</stp>
        <stp>BMRN US Equity</stp>
        <stp>RR900</stp>
        <stp>[DPM - Securities Master List (BBG Linked).xlsx]Equities!R72C11</stp>
        <tr r="K72" s="2"/>
        <tr r="K72" s="2"/>
        <tr r="K72" s="2"/>
      </tp>
      <tp t="s">
        <v>Microsoft Corp</v>
        <stp/>
        <stp>##V3_BDPV12</stp>
        <stp>MSFT US Equity</stp>
        <stp>SECURITY NAME</stp>
        <stp>[DPM - Securities Master List (BBG Linked).xlsx]Equities!R172C5</stp>
        <tr r="E172" s="2"/>
      </tp>
      <tp t="s">
        <v>Microsoft Corp</v>
        <stp/>
        <stp>##V3_BDPV12</stp>
        <stp>MSFT US Equity</stp>
        <stp>SECURITY NAME</stp>
        <stp>[DPM - Securities Master List (BBG Linked).xlsx]Equities!R182C5</stp>
        <tr r="E182" s="2"/>
      </tp>
      <tp>
        <v>20.033079722130335</v>
        <stp/>
        <stp>##V3_BDPV12</stp>
        <stp>ADBE US Equity</stp>
        <stp>RR041</stp>
        <stp>[DPM - Securities Master List (BBG Linked).xlsx]Equities!R38C33</stp>
        <tr r="AG38" s="2"/>
        <tr r="AG38" s="2"/>
        <tr r="AG38" s="2"/>
      </tp>
      <tp>
        <v>20.033079722130335</v>
        <stp/>
        <stp>##V3_BDPV12</stp>
        <stp>ADBE US Equity</stp>
        <stp>RR041</stp>
        <stp>[DPM - Securities Master List (BBG Linked).xlsx]Equities!R39C33</stp>
        <tr r="AG39" s="2"/>
        <tr r="AG39" s="2"/>
        <tr r="AG39" s="2"/>
      </tp>
      <tp>
        <v>20.033079722130335</v>
        <stp/>
        <stp>##V3_BDPV12</stp>
        <stp>ADBE US Equity</stp>
        <stp>RR041</stp>
        <stp>[DPM - Securities Master List (BBG Linked).xlsx]Equities!R36C33</stp>
        <tr r="AG36" s="2"/>
        <tr r="AG36" s="2"/>
        <tr r="AG36" s="2"/>
      </tp>
      <tp>
        <v>20.033079722130335</v>
        <stp/>
        <stp>##V3_BDPV12</stp>
        <stp>ADBE US Equity</stp>
        <stp>RR041</stp>
        <stp>[DPM - Securities Master List (BBG Linked).xlsx]Equities!R37C33</stp>
        <tr r="AG37" s="2"/>
        <tr r="AG37" s="2"/>
        <tr r="AG37" s="2"/>
      </tp>
      <tp>
        <v>20.033079722130335</v>
        <stp/>
        <stp>##V3_BDPV12</stp>
        <stp>ADBE US Equity</stp>
        <stp>RR041</stp>
        <stp>[DPM - Securities Master List (BBG Linked).xlsx]Equities!R48C33</stp>
        <tr r="AG48" s="2"/>
        <tr r="AG48" s="2"/>
        <tr r="AG48" s="2"/>
      </tp>
      <tp>
        <v>20.033079722130335</v>
        <stp/>
        <stp>##V3_BDPV12</stp>
        <stp>ADBE US Equity</stp>
        <stp>RR041</stp>
        <stp>[DPM - Securities Master List (BBG Linked).xlsx]Equities!R49C33</stp>
        <tr r="AG49" s="2"/>
        <tr r="AG49" s="2"/>
        <tr r="AG49" s="2"/>
      </tp>
      <tp>
        <v>20.033079722130335</v>
        <stp/>
        <stp>##V3_BDPV12</stp>
        <stp>ADBE US Equity</stp>
        <stp>RR041</stp>
        <stp>[DPM - Securities Master List (BBG Linked).xlsx]Equities!R46C33</stp>
        <tr r="AG46" s="2"/>
        <tr r="AG46" s="2"/>
        <tr r="AG46" s="2"/>
      </tp>
      <tp>
        <v>20.033079722130335</v>
        <stp/>
        <stp>##V3_BDPV12</stp>
        <stp>ADBE US Equity</stp>
        <stp>RR041</stp>
        <stp>[DPM - Securities Master List (BBG Linked).xlsx]Equities!R47C33</stp>
        <tr r="AG47" s="2"/>
        <tr r="AG47" s="2"/>
        <tr r="AG47" s="2"/>
      </tp>
      <tp>
        <v>20.033079722130335</v>
        <stp/>
        <stp>##V3_BDPV12</stp>
        <stp>ADBE US Equity</stp>
        <stp>RR041</stp>
        <stp>[DPM - Securities Master List (BBG Linked).xlsx]Equities!R44C33</stp>
        <tr r="AG44" s="2"/>
        <tr r="AG44" s="2"/>
        <tr r="AG44" s="2"/>
      </tp>
      <tp>
        <v>20.033079722130335</v>
        <stp/>
        <stp>##V3_BDPV12</stp>
        <stp>ADBE US Equity</stp>
        <stp>RR041</stp>
        <stp>[DPM - Securities Master List (BBG Linked).xlsx]Equities!R45C33</stp>
        <tr r="AG45" s="2"/>
        <tr r="AG45" s="2"/>
        <tr r="AG45" s="2"/>
      </tp>
      <tp>
        <v>20.033079722130335</v>
        <stp/>
        <stp>##V3_BDPV12</stp>
        <stp>ADBE US Equity</stp>
        <stp>RR041</stp>
        <stp>[DPM - Securities Master List (BBG Linked).xlsx]Equities!R42C33</stp>
        <tr r="AG42" s="2"/>
        <tr r="AG42" s="2"/>
        <tr r="AG42" s="2"/>
      </tp>
      <tp>
        <v>20.033079722130335</v>
        <stp/>
        <stp>##V3_BDPV12</stp>
        <stp>ADBE US Equity</stp>
        <stp>RR041</stp>
        <stp>[DPM - Securities Master List (BBG Linked).xlsx]Equities!R43C33</stp>
        <tr r="AG43" s="2"/>
        <tr r="AG43" s="2"/>
        <tr r="AG43" s="2"/>
      </tp>
      <tp>
        <v>20.033079722130335</v>
        <stp/>
        <stp>##V3_BDPV12</stp>
        <stp>ADBE US Equity</stp>
        <stp>RR041</stp>
        <stp>[DPM - Securities Master List (BBG Linked).xlsx]Equities!R40C33</stp>
        <tr r="AG40" s="2"/>
        <tr r="AG40" s="2"/>
        <tr r="AG40" s="2"/>
      </tp>
      <tp>
        <v>20.033079722130335</v>
        <stp/>
        <stp>##V3_BDPV12</stp>
        <stp>ADBE US Equity</stp>
        <stp>RR041</stp>
        <stp>[DPM - Securities Master List (BBG Linked).xlsx]Equities!R41C33</stp>
        <tr r="AG41" s="2"/>
        <tr r="AG41" s="2"/>
        <tr r="AG41" s="2"/>
      </tp>
      <tp>
        <v>332.01</v>
        <stp/>
        <stp>##V3_BDPV12</stp>
        <stp>ADBE US Equity</stp>
        <stp>hs002</stp>
        <stp>[DPM - Securities Master List (BBG Linked).xlsx]Equities!R49C45</stp>
        <tr r="AS49" s="2"/>
      </tp>
      <tp>
        <v>332.01</v>
        <stp/>
        <stp>##V3_BDPV12</stp>
        <stp>ADBE US Equity</stp>
        <stp>hs002</stp>
        <stp>[DPM - Securities Master List (BBG Linked).xlsx]Equities!R48C45</stp>
        <tr r="AS48" s="2"/>
      </tp>
      <tp>
        <v>332.01</v>
        <stp/>
        <stp>##V3_BDPV12</stp>
        <stp>ADBE US Equity</stp>
        <stp>hs002</stp>
        <stp>[DPM - Securities Master List (BBG Linked).xlsx]Equities!R47C45</stp>
        <tr r="AS47" s="2"/>
      </tp>
      <tp>
        <v>332.01</v>
        <stp/>
        <stp>##V3_BDPV12</stp>
        <stp>ADBE US Equity</stp>
        <stp>hs002</stp>
        <stp>[DPM - Securities Master List (BBG Linked).xlsx]Equities!R46C45</stp>
        <tr r="AS46" s="2"/>
      </tp>
      <tp>
        <v>332.01</v>
        <stp/>
        <stp>##V3_BDPV12</stp>
        <stp>ADBE US Equity</stp>
        <stp>hs002</stp>
        <stp>[DPM - Securities Master List (BBG Linked).xlsx]Equities!R45C45</stp>
        <tr r="AS45" s="2"/>
      </tp>
      <tp>
        <v>332.01</v>
        <stp/>
        <stp>##V3_BDPV12</stp>
        <stp>ADBE US Equity</stp>
        <stp>hs002</stp>
        <stp>[DPM - Securities Master List (BBG Linked).xlsx]Equities!R44C45</stp>
        <tr r="AS44" s="2"/>
      </tp>
      <tp>
        <v>332.01</v>
        <stp/>
        <stp>##V3_BDPV12</stp>
        <stp>ADBE US Equity</stp>
        <stp>hs002</stp>
        <stp>[DPM - Securities Master List (BBG Linked).xlsx]Equities!R43C45</stp>
        <tr r="AS43" s="2"/>
      </tp>
      <tp>
        <v>332.01</v>
        <stp/>
        <stp>##V3_BDPV12</stp>
        <stp>ADBE US Equity</stp>
        <stp>hs002</stp>
        <stp>[DPM - Securities Master List (BBG Linked).xlsx]Equities!R42C45</stp>
        <tr r="AS42" s="2"/>
      </tp>
      <tp>
        <v>332.01</v>
        <stp/>
        <stp>##V3_BDPV12</stp>
        <stp>ADBE US Equity</stp>
        <stp>hs002</stp>
        <stp>[DPM - Securities Master List (BBG Linked).xlsx]Equities!R41C45</stp>
        <tr r="AS41" s="2"/>
      </tp>
      <tp>
        <v>332.01</v>
        <stp/>
        <stp>##V3_BDPV12</stp>
        <stp>ADBE US Equity</stp>
        <stp>hs002</stp>
        <stp>[DPM - Securities Master List (BBG Linked).xlsx]Equities!R40C45</stp>
        <tr r="AS40" s="2"/>
      </tp>
      <tp>
        <v>587.75</v>
        <stp/>
        <stp>##V3_BDPV12</stp>
        <stp>ADBE US Equity</stp>
        <stp>hs001</stp>
        <stp>[DPM - Securities Master List (BBG Linked).xlsx]Equities!R49C44</stp>
        <tr r="AR49" s="2"/>
      </tp>
      <tp>
        <v>587.75</v>
        <stp/>
        <stp>##V3_BDPV12</stp>
        <stp>ADBE US Equity</stp>
        <stp>hs001</stp>
        <stp>[DPM - Securities Master List (BBG Linked).xlsx]Equities!R48C44</stp>
        <tr r="AR48" s="2"/>
      </tp>
      <tp>
        <v>587.75</v>
        <stp/>
        <stp>##V3_BDPV12</stp>
        <stp>ADBE US Equity</stp>
        <stp>hs001</stp>
        <stp>[DPM - Securities Master List (BBG Linked).xlsx]Equities!R47C44</stp>
        <tr r="AR47" s="2"/>
      </tp>
      <tp>
        <v>587.75</v>
        <stp/>
        <stp>##V3_BDPV12</stp>
        <stp>ADBE US Equity</stp>
        <stp>hs001</stp>
        <stp>[DPM - Securities Master List (BBG Linked).xlsx]Equities!R46C44</stp>
        <tr r="AR46" s="2"/>
      </tp>
      <tp>
        <v>587.75</v>
        <stp/>
        <stp>##V3_BDPV12</stp>
        <stp>ADBE US Equity</stp>
        <stp>hs001</stp>
        <stp>[DPM - Securities Master List (BBG Linked).xlsx]Equities!R45C44</stp>
        <tr r="AR45" s="2"/>
      </tp>
      <tp>
        <v>587.75</v>
        <stp/>
        <stp>##V3_BDPV12</stp>
        <stp>ADBE US Equity</stp>
        <stp>hs001</stp>
        <stp>[DPM - Securities Master List (BBG Linked).xlsx]Equities!R44C44</stp>
        <tr r="AR44" s="2"/>
      </tp>
      <tp>
        <v>587.75</v>
        <stp/>
        <stp>##V3_BDPV12</stp>
        <stp>ADBE US Equity</stp>
        <stp>hs001</stp>
        <stp>[DPM - Securities Master List (BBG Linked).xlsx]Equities!R43C44</stp>
        <tr r="AR43" s="2"/>
      </tp>
      <tp>
        <v>587.75</v>
        <stp/>
        <stp>##V3_BDPV12</stp>
        <stp>ADBE US Equity</stp>
        <stp>hs001</stp>
        <stp>[DPM - Securities Master List (BBG Linked).xlsx]Equities!R42C44</stp>
        <tr r="AR42" s="2"/>
      </tp>
      <tp>
        <v>587.75</v>
        <stp/>
        <stp>##V3_BDPV12</stp>
        <stp>ADBE US Equity</stp>
        <stp>hs001</stp>
        <stp>[DPM - Securities Master List (BBG Linked).xlsx]Equities!R41C44</stp>
        <tr r="AR41" s="2"/>
      </tp>
      <tp>
        <v>587.75</v>
        <stp/>
        <stp>##V3_BDPV12</stp>
        <stp>ADBE US Equity</stp>
        <stp>hs001</stp>
        <stp>[DPM - Securities Master List (BBG Linked).xlsx]Equities!R40C44</stp>
        <tr r="AR40" s="2"/>
      </tp>
      <tp>
        <v>587.75</v>
        <stp/>
        <stp>##V3_BDPV12</stp>
        <stp>ADBE US Equity</stp>
        <stp>hs001</stp>
        <stp>[DPM - Securities Master List (BBG Linked).xlsx]Equities!R39C44</stp>
        <tr r="AR39" s="2"/>
      </tp>
      <tp>
        <v>587.75</v>
        <stp/>
        <stp>##V3_BDPV12</stp>
        <stp>ADBE US Equity</stp>
        <stp>hs001</stp>
        <stp>[DPM - Securities Master List (BBG Linked).xlsx]Equities!R38C44</stp>
        <tr r="AR38" s="2"/>
      </tp>
      <tp>
        <v>587.75</v>
        <stp/>
        <stp>##V3_BDPV12</stp>
        <stp>ADBE US Equity</stp>
        <stp>hs001</stp>
        <stp>[DPM - Securities Master List (BBG Linked).xlsx]Equities!R37C44</stp>
        <tr r="AR37" s="2"/>
      </tp>
      <tp>
        <v>587.75</v>
        <stp/>
        <stp>##V3_BDPV12</stp>
        <stp>ADBE US Equity</stp>
        <stp>hs001</stp>
        <stp>[DPM - Securities Master List (BBG Linked).xlsx]Equities!R36C44</stp>
        <tr r="AR36" s="2"/>
      </tp>
      <tp>
        <v>332.01</v>
        <stp/>
        <stp>##V3_BDPV12</stp>
        <stp>ADBE US Equity</stp>
        <stp>hs002</stp>
        <stp>[DPM - Securities Master List (BBG Linked).xlsx]Equities!R39C45</stp>
        <tr r="AS39" s="2"/>
      </tp>
      <tp>
        <v>332.01</v>
        <stp/>
        <stp>##V3_BDPV12</stp>
        <stp>ADBE US Equity</stp>
        <stp>hs002</stp>
        <stp>[DPM - Securities Master List (BBG Linked).xlsx]Equities!R38C45</stp>
        <tr r="AS38" s="2"/>
      </tp>
      <tp>
        <v>332.01</v>
        <stp/>
        <stp>##V3_BDPV12</stp>
        <stp>ADBE US Equity</stp>
        <stp>hs002</stp>
        <stp>[DPM - Securities Master List (BBG Linked).xlsx]Equities!R37C45</stp>
        <tr r="AS37" s="2"/>
      </tp>
      <tp>
        <v>332.01</v>
        <stp/>
        <stp>##V3_BDPV12</stp>
        <stp>ADBE US Equity</stp>
        <stp>hs002</stp>
        <stp>[DPM - Securities Master List (BBG Linked).xlsx]Equities!R36C45</stp>
        <tr r="AS36" s="2"/>
      </tp>
      <tp t="s">
        <v>US00724F1012</v>
        <stp/>
        <stp>##V3_BDPV12</stp>
        <stp>ADBE US Equity</stp>
        <stp>ID005</stp>
        <stp>[DPM - Securities Master List (BBG Linked).xlsx]Equities!R43C55</stp>
        <tr r="BC43" s="2"/>
      </tp>
      <tp>
        <v>10.30739</v>
        <stp/>
        <stp>##V3_BDPV12</stp>
        <stp>ADBE US Equity</stp>
        <stp>PR061</stp>
        <stp>[DPM - Securities Master List (BBG Linked).xlsx]Equities!R38C40</stp>
        <tr r="AN38" s="2"/>
      </tp>
      <tp>
        <v>10.30739</v>
        <stp/>
        <stp>##V3_BDPV12</stp>
        <stp>ADBE US Equity</stp>
        <stp>PR061</stp>
        <stp>[DPM - Securities Master List (BBG Linked).xlsx]Equities!R39C40</stp>
        <tr r="AN39" s="2"/>
      </tp>
      <tp>
        <v>10.30739</v>
        <stp/>
        <stp>##V3_BDPV12</stp>
        <stp>ADBE US Equity</stp>
        <stp>PR061</stp>
        <stp>[DPM - Securities Master List (BBG Linked).xlsx]Equities!R36C40</stp>
        <tr r="AN36" s="2"/>
      </tp>
      <tp>
        <v>10.30739</v>
        <stp/>
        <stp>##V3_BDPV12</stp>
        <stp>ADBE US Equity</stp>
        <stp>PR061</stp>
        <stp>[DPM - Securities Master List (BBG Linked).xlsx]Equities!R37C40</stp>
        <tr r="AN37" s="2"/>
      </tp>
      <tp>
        <v>-11.564080000000001</v>
        <stp/>
        <stp>##V3_BDPV12</stp>
        <stp>ADBE US Equity</stp>
        <stp>PR064</stp>
        <stp>[DPM - Securities Master List (BBG Linked).xlsx]Equities!R48C41</stp>
        <tr r="AO48" s="2"/>
      </tp>
      <tp>
        <v>-11.564080000000001</v>
        <stp/>
        <stp>##V3_BDPV12</stp>
        <stp>ADBE US Equity</stp>
        <stp>PR064</stp>
        <stp>[DPM - Securities Master List (BBG Linked).xlsx]Equities!R49C41</stp>
        <tr r="AO49" s="2"/>
      </tp>
      <tp>
        <v>-11.564080000000001</v>
        <stp/>
        <stp>##V3_BDPV12</stp>
        <stp>ADBE US Equity</stp>
        <stp>PR064</stp>
        <stp>[DPM - Securities Master List (BBG Linked).xlsx]Equities!R46C41</stp>
        <tr r="AO46" s="2"/>
      </tp>
      <tp>
        <v>-11.564080000000001</v>
        <stp/>
        <stp>##V3_BDPV12</stp>
        <stp>ADBE US Equity</stp>
        <stp>PR064</stp>
        <stp>[DPM - Securities Master List (BBG Linked).xlsx]Equities!R47C41</stp>
        <tr r="AO47" s="2"/>
      </tp>
      <tp>
        <v>-11.564080000000001</v>
        <stp/>
        <stp>##V3_BDPV12</stp>
        <stp>ADBE US Equity</stp>
        <stp>PR064</stp>
        <stp>[DPM - Securities Master List (BBG Linked).xlsx]Equities!R44C41</stp>
        <tr r="AO44" s="2"/>
      </tp>
      <tp>
        <v>-11.564080000000001</v>
        <stp/>
        <stp>##V3_BDPV12</stp>
        <stp>ADBE US Equity</stp>
        <stp>PR064</stp>
        <stp>[DPM - Securities Master List (BBG Linked).xlsx]Equities!R45C41</stp>
        <tr r="AO45" s="2"/>
      </tp>
      <tp>
        <v>-11.564080000000001</v>
        <stp/>
        <stp>##V3_BDPV12</stp>
        <stp>ADBE US Equity</stp>
        <stp>PR064</stp>
        <stp>[DPM - Securities Master List (BBG Linked).xlsx]Equities!R42C41</stp>
        <tr r="AO42" s="2"/>
      </tp>
      <tp>
        <v>-11.564080000000001</v>
        <stp/>
        <stp>##V3_BDPV12</stp>
        <stp>ADBE US Equity</stp>
        <stp>PR064</stp>
        <stp>[DPM - Securities Master List (BBG Linked).xlsx]Equities!R43C41</stp>
        <tr r="AO43" s="2"/>
      </tp>
      <tp>
        <v>-11.564080000000001</v>
        <stp/>
        <stp>##V3_BDPV12</stp>
        <stp>ADBE US Equity</stp>
        <stp>PR064</stp>
        <stp>[DPM - Securities Master List (BBG Linked).xlsx]Equities!R40C41</stp>
        <tr r="AO40" s="2"/>
      </tp>
      <tp>
        <v>-11.564080000000001</v>
        <stp/>
        <stp>##V3_BDPV12</stp>
        <stp>ADBE US Equity</stp>
        <stp>PR064</stp>
        <stp>[DPM - Securities Master List (BBG Linked).xlsx]Equities!R41C41</stp>
        <tr r="AO41" s="2"/>
      </tp>
      <tp>
        <v>-11.564080000000001</v>
        <stp/>
        <stp>##V3_BDPV12</stp>
        <stp>ADBE US Equity</stp>
        <stp>PR064</stp>
        <stp>[DPM - Securities Master List (BBG Linked).xlsx]Equities!R38C41</stp>
        <tr r="AO38" s="2"/>
      </tp>
      <tp>
        <v>-11.564080000000001</v>
        <stp/>
        <stp>##V3_BDPV12</stp>
        <stp>ADBE US Equity</stp>
        <stp>PR064</stp>
        <stp>[DPM - Securities Master List (BBG Linked).xlsx]Equities!R39C41</stp>
        <tr r="AO39" s="2"/>
      </tp>
      <tp>
        <v>-11.564080000000001</v>
        <stp/>
        <stp>##V3_BDPV12</stp>
        <stp>ADBE US Equity</stp>
        <stp>PR064</stp>
        <stp>[DPM - Securities Master List (BBG Linked).xlsx]Equities!R36C41</stp>
        <tr r="AO36" s="2"/>
      </tp>
      <tp>
        <v>-11.564080000000001</v>
        <stp/>
        <stp>##V3_BDPV12</stp>
        <stp>ADBE US Equity</stp>
        <stp>PR064</stp>
        <stp>[DPM - Securities Master List (BBG Linked).xlsx]Equities!R37C41</stp>
        <tr r="AO37" s="2"/>
      </tp>
      <tp>
        <v>10.30739</v>
        <stp/>
        <stp>##V3_BDPV12</stp>
        <stp>ADBE US Equity</stp>
        <stp>PR061</stp>
        <stp>[DPM - Securities Master List (BBG Linked).xlsx]Equities!R48C40</stp>
        <tr r="AN48" s="2"/>
      </tp>
      <tp>
        <v>10.30739</v>
        <stp/>
        <stp>##V3_BDPV12</stp>
        <stp>ADBE US Equity</stp>
        <stp>PR061</stp>
        <stp>[DPM - Securities Master List (BBG Linked).xlsx]Equities!R49C40</stp>
        <tr r="AN49" s="2"/>
      </tp>
      <tp>
        <v>10.30739</v>
        <stp/>
        <stp>##V3_BDPV12</stp>
        <stp>ADBE US Equity</stp>
        <stp>PR061</stp>
        <stp>[DPM - Securities Master List (BBG Linked).xlsx]Equities!R46C40</stp>
        <tr r="AN46" s="2"/>
      </tp>
      <tp>
        <v>10.30739</v>
        <stp/>
        <stp>##V3_BDPV12</stp>
        <stp>ADBE US Equity</stp>
        <stp>PR061</stp>
        <stp>[DPM - Securities Master List (BBG Linked).xlsx]Equities!R47C40</stp>
        <tr r="AN47" s="2"/>
      </tp>
      <tp>
        <v>10.30739</v>
        <stp/>
        <stp>##V3_BDPV12</stp>
        <stp>ADBE US Equity</stp>
        <stp>PR061</stp>
        <stp>[DPM - Securities Master List (BBG Linked).xlsx]Equities!R44C40</stp>
        <tr r="AN44" s="2"/>
      </tp>
      <tp>
        <v>10.30739</v>
        <stp/>
        <stp>##V3_BDPV12</stp>
        <stp>ADBE US Equity</stp>
        <stp>PR061</stp>
        <stp>[DPM - Securities Master List (BBG Linked).xlsx]Equities!R45C40</stp>
        <tr r="AN45" s="2"/>
      </tp>
      <tp>
        <v>10.30739</v>
        <stp/>
        <stp>##V3_BDPV12</stp>
        <stp>ADBE US Equity</stp>
        <stp>PR061</stp>
        <stp>[DPM - Securities Master List (BBG Linked).xlsx]Equities!R42C40</stp>
        <tr r="AN42" s="2"/>
      </tp>
      <tp>
        <v>10.30739</v>
        <stp/>
        <stp>##V3_BDPV12</stp>
        <stp>ADBE US Equity</stp>
        <stp>PR061</stp>
        <stp>[DPM - Securities Master List (BBG Linked).xlsx]Equities!R43C40</stp>
        <tr r="AN43" s="2"/>
      </tp>
      <tp>
        <v>10.30739</v>
        <stp/>
        <stp>##V3_BDPV12</stp>
        <stp>ADBE US Equity</stp>
        <stp>PR061</stp>
        <stp>[DPM - Securities Master List (BBG Linked).xlsx]Equities!R40C40</stp>
        <tr r="AN40" s="2"/>
      </tp>
      <tp>
        <v>10.30739</v>
        <stp/>
        <stp>##V3_BDPV12</stp>
        <stp>ADBE US Equity</stp>
        <stp>PR061</stp>
        <stp>[DPM - Securities Master List (BBG Linked).xlsx]Equities!R41C40</stp>
        <tr r="AN41" s="2"/>
      </tp>
      <tp>
        <v>-13.40964</v>
        <stp/>
        <stp>##V3_BDPV12</stp>
        <stp>ADBE US Equity</stp>
        <stp>PR079</stp>
        <stp>[DPM - Securities Master List (BBG Linked).xlsx]Equities!R38C43</stp>
        <tr r="AQ38" s="2"/>
      </tp>
      <tp>
        <v>-13.40964</v>
        <stp/>
        <stp>##V3_BDPV12</stp>
        <stp>ADBE US Equity</stp>
        <stp>PR079</stp>
        <stp>[DPM - Securities Master List (BBG Linked).xlsx]Equities!R39C43</stp>
        <tr r="AQ39" s="2"/>
      </tp>
      <tp>
        <v>-13.40964</v>
        <stp/>
        <stp>##V3_BDPV12</stp>
        <stp>ADBE US Equity</stp>
        <stp>PR079</stp>
        <stp>[DPM - Securities Master List (BBG Linked).xlsx]Equities!R36C43</stp>
        <tr r="AQ36" s="2"/>
      </tp>
      <tp>
        <v>-13.40964</v>
        <stp/>
        <stp>##V3_BDPV12</stp>
        <stp>ADBE US Equity</stp>
        <stp>PR079</stp>
        <stp>[DPM - Securities Master List (BBG Linked).xlsx]Equities!R37C43</stp>
        <tr r="AQ37" s="2"/>
      </tp>
      <tp>
        <v>-13.40964</v>
        <stp/>
        <stp>##V3_BDPV12</stp>
        <stp>ADBE US Equity</stp>
        <stp>PR079</stp>
        <stp>[DPM - Securities Master List (BBG Linked).xlsx]Equities!R48C43</stp>
        <tr r="AQ48" s="2"/>
      </tp>
      <tp>
        <v>-13.40964</v>
        <stp/>
        <stp>##V3_BDPV12</stp>
        <stp>ADBE US Equity</stp>
        <stp>PR079</stp>
        <stp>[DPM - Securities Master List (BBG Linked).xlsx]Equities!R49C43</stp>
        <tr r="AQ49" s="2"/>
      </tp>
      <tp>
        <v>-13.40964</v>
        <stp/>
        <stp>##V3_BDPV12</stp>
        <stp>ADBE US Equity</stp>
        <stp>PR079</stp>
        <stp>[DPM - Securities Master List (BBG Linked).xlsx]Equities!R46C43</stp>
        <tr r="AQ46" s="2"/>
      </tp>
      <tp>
        <v>-13.40964</v>
        <stp/>
        <stp>##V3_BDPV12</stp>
        <stp>ADBE US Equity</stp>
        <stp>PR079</stp>
        <stp>[DPM - Securities Master List (BBG Linked).xlsx]Equities!R47C43</stp>
        <tr r="AQ47" s="2"/>
      </tp>
      <tp>
        <v>-13.40964</v>
        <stp/>
        <stp>##V3_BDPV12</stp>
        <stp>ADBE US Equity</stp>
        <stp>PR079</stp>
        <stp>[DPM - Securities Master List (BBG Linked).xlsx]Equities!R44C43</stp>
        <tr r="AQ44" s="2"/>
      </tp>
      <tp>
        <v>-13.40964</v>
        <stp/>
        <stp>##V3_BDPV12</stp>
        <stp>ADBE US Equity</stp>
        <stp>PR079</stp>
        <stp>[DPM - Securities Master List (BBG Linked).xlsx]Equities!R45C43</stp>
        <tr r="AQ45" s="2"/>
      </tp>
      <tp>
        <v>-13.40964</v>
        <stp/>
        <stp>##V3_BDPV12</stp>
        <stp>ADBE US Equity</stp>
        <stp>PR079</stp>
        <stp>[DPM - Securities Master List (BBG Linked).xlsx]Equities!R42C43</stp>
        <tr r="AQ42" s="2"/>
      </tp>
      <tp>
        <v>-13.40964</v>
        <stp/>
        <stp>##V3_BDPV12</stp>
        <stp>ADBE US Equity</stp>
        <stp>PR079</stp>
        <stp>[DPM - Securities Master List (BBG Linked).xlsx]Equities!R43C43</stp>
        <tr r="AQ43" s="2"/>
      </tp>
      <tp>
        <v>-13.40964</v>
        <stp/>
        <stp>##V3_BDPV12</stp>
        <stp>ADBE US Equity</stp>
        <stp>PR079</stp>
        <stp>[DPM - Securities Master List (BBG Linked).xlsx]Equities!R40C43</stp>
        <tr r="AQ40" s="2"/>
      </tp>
      <tp>
        <v>-13.40964</v>
        <stp/>
        <stp>##V3_BDPV12</stp>
        <stp>ADBE US Equity</stp>
        <stp>PR079</stp>
        <stp>[DPM - Securities Master List (BBG Linked).xlsx]Equities!R41C43</stp>
        <tr r="AQ41" s="2"/>
      </tp>
      <tp>
        <v>16.836466987319632</v>
        <stp/>
        <stp>##V3_BDPV12</stp>
        <stp>ADBE US Equity</stp>
        <stp>EE010</stp>
        <stp>[DPM - Securities Master List (BBG Linked).xlsx]Equities!R49C12</stp>
        <tr r="L49" s="2"/>
        <tr r="L49" s="2"/>
        <tr r="L49" s="2"/>
      </tp>
      <tp>
        <v>16.836466987319632</v>
        <stp/>
        <stp>##V3_BDPV12</stp>
        <stp>ADBE US Equity</stp>
        <stp>EE010</stp>
        <stp>[DPM - Securities Master List (BBG Linked).xlsx]Equities!R48C12</stp>
        <tr r="L48" s="2"/>
        <tr r="L48" s="2"/>
        <tr r="L48" s="2"/>
      </tp>
      <tp>
        <v>16.836466987319632</v>
        <stp/>
        <stp>##V3_BDPV12</stp>
        <stp>ADBE US Equity</stp>
        <stp>EE010</stp>
        <stp>[DPM - Securities Master List (BBG Linked).xlsx]Equities!R41C12</stp>
        <tr r="L41" s="2"/>
        <tr r="L41" s="2"/>
        <tr r="L41" s="2"/>
      </tp>
      <tp>
        <v>16.836466987319632</v>
        <stp/>
        <stp>##V3_BDPV12</stp>
        <stp>ADBE US Equity</stp>
        <stp>EE010</stp>
        <stp>[DPM - Securities Master List (BBG Linked).xlsx]Equities!R40C12</stp>
        <tr r="L40" s="2"/>
        <tr r="L40" s="2"/>
        <tr r="L40" s="2"/>
      </tp>
      <tp>
        <v>16.836466987319632</v>
        <stp/>
        <stp>##V3_BDPV12</stp>
        <stp>ADBE US Equity</stp>
        <stp>EE010</stp>
        <stp>[DPM - Securities Master List (BBG Linked).xlsx]Equities!R43C12</stp>
        <tr r="L43" s="2"/>
        <tr r="L43" s="2"/>
        <tr r="L43" s="2"/>
      </tp>
      <tp>
        <v>16.836466987319632</v>
        <stp/>
        <stp>##V3_BDPV12</stp>
        <stp>ADBE US Equity</stp>
        <stp>EE010</stp>
        <stp>[DPM - Securities Master List (BBG Linked).xlsx]Equities!R42C12</stp>
        <tr r="L42" s="2"/>
        <tr r="L42" s="2"/>
        <tr r="L42" s="2"/>
      </tp>
      <tp>
        <v>16.836466987319632</v>
        <stp/>
        <stp>##V3_BDPV12</stp>
        <stp>ADBE US Equity</stp>
        <stp>EE010</stp>
        <stp>[DPM - Securities Master List (BBG Linked).xlsx]Equities!R45C12</stp>
        <tr r="L45" s="2"/>
        <tr r="L45" s="2"/>
        <tr r="L45" s="2"/>
      </tp>
      <tp>
        <v>16.836466987319632</v>
        <stp/>
        <stp>##V3_BDPV12</stp>
        <stp>ADBE US Equity</stp>
        <stp>EE010</stp>
        <stp>[DPM - Securities Master List (BBG Linked).xlsx]Equities!R44C12</stp>
        <tr r="L44" s="2"/>
        <tr r="L44" s="2"/>
        <tr r="L44" s="2"/>
      </tp>
      <tp>
        <v>16.836466987319632</v>
        <stp/>
        <stp>##V3_BDPV12</stp>
        <stp>ADBE US Equity</stp>
        <stp>EE010</stp>
        <stp>[DPM - Securities Master List (BBG Linked).xlsx]Equities!R47C12</stp>
        <tr r="L47" s="2"/>
        <tr r="L47" s="2"/>
        <tr r="L47" s="2"/>
      </tp>
      <tp>
        <v>16.836466987319632</v>
        <stp/>
        <stp>##V3_BDPV12</stp>
        <stp>ADBE US Equity</stp>
        <stp>EE010</stp>
        <stp>[DPM - Securities Master List (BBG Linked).xlsx]Equities!R46C12</stp>
        <tr r="L46" s="2"/>
        <tr r="L46" s="2"/>
        <tr r="L46" s="2"/>
      </tp>
      <tp t="s">
        <v>#N/A N/A</v>
        <stp/>
        <stp>##V3_BDPV12</stp>
        <stp>ADBE US Equity</stp>
        <stp>DV013</stp>
        <stp>[DPM - Securities Master List (BBG Linked).xlsx]Equities!R48C10</stp>
        <tr r="J48" s="2"/>
      </tp>
      <tp t="s">
        <v>#N/A N/A</v>
        <stp/>
        <stp>##V3_BDPV12</stp>
        <stp>ADBE US Equity</stp>
        <stp>DV013</stp>
        <stp>[DPM - Securities Master List (BBG Linked).xlsx]Equities!R49C10</stp>
        <tr r="J49" s="2"/>
      </tp>
      <tp t="s">
        <v>#N/A N/A</v>
        <stp/>
        <stp>##V3_BDPV12</stp>
        <stp>ADBE US Equity</stp>
        <stp>DV013</stp>
        <stp>[DPM - Securities Master List (BBG Linked).xlsx]Equities!R42C10</stp>
        <tr r="J42" s="2"/>
      </tp>
      <tp t="s">
        <v>#N/A N/A</v>
        <stp/>
        <stp>##V3_BDPV12</stp>
        <stp>ADBE US Equity</stp>
        <stp>DV013</stp>
        <stp>[DPM - Securities Master List (BBG Linked).xlsx]Equities!R43C10</stp>
        <tr r="J43" s="2"/>
      </tp>
      <tp t="s">
        <v>#N/A N/A</v>
        <stp/>
        <stp>##V3_BDPV12</stp>
        <stp>ADBE US Equity</stp>
        <stp>DV013</stp>
        <stp>[DPM - Securities Master List (BBG Linked).xlsx]Equities!R40C10</stp>
        <tr r="J40" s="2"/>
      </tp>
      <tp t="s">
        <v>#N/A N/A</v>
        <stp/>
        <stp>##V3_BDPV12</stp>
        <stp>ADBE US Equity</stp>
        <stp>DV013</stp>
        <stp>[DPM - Securities Master List (BBG Linked).xlsx]Equities!R41C10</stp>
        <tr r="J41" s="2"/>
      </tp>
      <tp t="s">
        <v>#N/A N/A</v>
        <stp/>
        <stp>##V3_BDPV12</stp>
        <stp>ADBE US Equity</stp>
        <stp>DV013</stp>
        <stp>[DPM - Securities Master List (BBG Linked).xlsx]Equities!R46C10</stp>
        <tr r="J46" s="2"/>
      </tp>
      <tp t="s">
        <v>#N/A N/A</v>
        <stp/>
        <stp>##V3_BDPV12</stp>
        <stp>ADBE US Equity</stp>
        <stp>DV013</stp>
        <stp>[DPM - Securities Master List (BBG Linked).xlsx]Equities!R47C10</stp>
        <tr r="J47" s="2"/>
      </tp>
      <tp t="s">
        <v>#N/A N/A</v>
        <stp/>
        <stp>##V3_BDPV12</stp>
        <stp>ADBE US Equity</stp>
        <stp>DV013</stp>
        <stp>[DPM - Securities Master List (BBG Linked).xlsx]Equities!R44C10</stp>
        <tr r="J44" s="2"/>
      </tp>
      <tp t="s">
        <v>#N/A N/A</v>
        <stp/>
        <stp>##V3_BDPV12</stp>
        <stp>ADBE US Equity</stp>
        <stp>DV013</stp>
        <stp>[DPM - Securities Master List (BBG Linked).xlsx]Equities!R45C10</stp>
        <tr r="J45" s="2"/>
      </tp>
      <tp>
        <v>16.836466987319632</v>
        <stp/>
        <stp>##V3_BDPV12</stp>
        <stp>ADBE US Equity</stp>
        <stp>EE010</stp>
        <stp>[DPM - Securities Master List (BBG Linked).xlsx]Equities!R39C12</stp>
        <tr r="L39" s="2"/>
        <tr r="L39" s="2"/>
        <tr r="L39" s="2"/>
      </tp>
      <tp>
        <v>16.836466987319632</v>
        <stp/>
        <stp>##V3_BDPV12</stp>
        <stp>ADBE US Equity</stp>
        <stp>EE010</stp>
        <stp>[DPM - Securities Master List (BBG Linked).xlsx]Equities!R38C12</stp>
        <tr r="L38" s="2"/>
        <tr r="L38" s="2"/>
        <tr r="L38" s="2"/>
      </tp>
      <tp>
        <v>16.836466987319632</v>
        <stp/>
        <stp>##V3_BDPV12</stp>
        <stp>ADBE US Equity</stp>
        <stp>EE010</stp>
        <stp>[DPM - Securities Master List (BBG Linked).xlsx]Equities!R37C12</stp>
        <tr r="L37" s="2"/>
        <tr r="L37" s="2"/>
        <tr r="L37" s="2"/>
      </tp>
      <tp>
        <v>16.836466987319632</v>
        <stp/>
        <stp>##V3_BDPV12</stp>
        <stp>ADBE US Equity</stp>
        <stp>EE010</stp>
        <stp>[DPM - Securities Master List (BBG Linked).xlsx]Equities!R36C12</stp>
        <tr r="L36" s="2"/>
        <tr r="L36" s="2"/>
        <tr r="L36" s="2"/>
      </tp>
      <tp t="s">
        <v>#N/A N/A</v>
        <stp/>
        <stp>##V3_BDPV12</stp>
        <stp>ADBE US Equity</stp>
        <stp>DV013</stp>
        <stp>[DPM - Securities Master List (BBG Linked).xlsx]Equities!R38C10</stp>
        <tr r="J38" s="2"/>
      </tp>
      <tp t="s">
        <v>#N/A N/A</v>
        <stp/>
        <stp>##V3_BDPV12</stp>
        <stp>ADBE US Equity</stp>
        <stp>DV013</stp>
        <stp>[DPM - Securities Master List (BBG Linked).xlsx]Equities!R39C10</stp>
        <tr r="J39" s="2"/>
      </tp>
      <tp t="s">
        <v>#N/A N/A</v>
        <stp/>
        <stp>##V3_BDPV12</stp>
        <stp>ADBE US Equity</stp>
        <stp>DV013</stp>
        <stp>[DPM - Securities Master List (BBG Linked).xlsx]Equities!R36C10</stp>
        <tr r="J36" s="2"/>
      </tp>
      <tp t="s">
        <v>#N/A N/A</v>
        <stp/>
        <stp>##V3_BDPV12</stp>
        <stp>ADBE US Equity</stp>
        <stp>DV013</stp>
        <stp>[DPM - Securities Master List (BBG Linked).xlsx]Equities!R37C10</stp>
        <tr r="J37" s="2"/>
      </tp>
      <tp t="s">
        <v>Equity</v>
        <stp/>
        <stp>##V3_BDPV12</stp>
        <stp>ADBE US Equity</stp>
        <stp>EX028</stp>
        <stp>[DPM - Securities Master List (BBG Linked).xlsx]Equities!R44C30</stp>
        <tr r="AD44" s="2"/>
        <tr r="AD44" s="2"/>
        <tr r="AD44" s="2"/>
      </tp>
      <tp t="s">
        <v>Equity</v>
        <stp/>
        <stp>##V3_BDPV12</stp>
        <stp>ADBE US Equity</stp>
        <stp>EX028</stp>
        <stp>[DPM - Securities Master List (BBG Linked).xlsx]Equities!R45C30</stp>
        <tr r="AD45" s="2"/>
        <tr r="AD45" s="2"/>
        <tr r="AD45" s="2"/>
      </tp>
      <tp t="s">
        <v>Equity</v>
        <stp/>
        <stp>##V3_BDPV12</stp>
        <stp>ADBE US Equity</stp>
        <stp>EX028</stp>
        <stp>[DPM - Securities Master List (BBG Linked).xlsx]Equities!R46C30</stp>
        <tr r="AD46" s="2"/>
        <tr r="AD46" s="2"/>
        <tr r="AD46" s="2"/>
      </tp>
      <tp t="s">
        <v>Equity</v>
        <stp/>
        <stp>##V3_BDPV12</stp>
        <stp>ADBE US Equity</stp>
        <stp>EX028</stp>
        <stp>[DPM - Securities Master List (BBG Linked).xlsx]Equities!R47C30</stp>
        <tr r="AD47" s="2"/>
        <tr r="AD47" s="2"/>
        <tr r="AD47" s="2"/>
      </tp>
      <tp t="s">
        <v>Equity</v>
        <stp/>
        <stp>##V3_BDPV12</stp>
        <stp>ADBE US Equity</stp>
        <stp>EX028</stp>
        <stp>[DPM - Securities Master List (BBG Linked).xlsx]Equities!R40C30</stp>
        <tr r="AD40" s="2"/>
        <tr r="AD40" s="2"/>
        <tr r="AD40" s="2"/>
      </tp>
      <tp t="s">
        <v>Equity</v>
        <stp/>
        <stp>##V3_BDPV12</stp>
        <stp>ADBE US Equity</stp>
        <stp>EX028</stp>
        <stp>[DPM - Securities Master List (BBG Linked).xlsx]Equities!R41C30</stp>
        <tr r="AD41" s="2"/>
        <tr r="AD41" s="2"/>
        <tr r="AD41" s="2"/>
      </tp>
      <tp t="s">
        <v>Equity</v>
        <stp/>
        <stp>##V3_BDPV12</stp>
        <stp>ADBE US Equity</stp>
        <stp>EX028</stp>
        <stp>[DPM - Securities Master List (BBG Linked).xlsx]Equities!R42C30</stp>
        <tr r="AD42" s="2"/>
        <tr r="AD42" s="2"/>
        <tr r="AD42" s="2"/>
      </tp>
      <tp t="s">
        <v>Equity</v>
        <stp/>
        <stp>##V3_BDPV12</stp>
        <stp>ADBE US Equity</stp>
        <stp>EX028</stp>
        <stp>[DPM - Securities Master List (BBG Linked).xlsx]Equities!R43C30</stp>
        <tr r="AD43" s="2"/>
        <tr r="AD43" s="2"/>
        <tr r="AD43" s="2"/>
      </tp>
      <tp t="s">
        <v>Equity</v>
        <stp/>
        <stp>##V3_BDPV12</stp>
        <stp>ADBE US Equity</stp>
        <stp>EX028</stp>
        <stp>[DPM - Securities Master List (BBG Linked).xlsx]Equities!R48C30</stp>
        <tr r="AD48" s="2"/>
        <tr r="AD48" s="2"/>
        <tr r="AD48" s="2"/>
      </tp>
      <tp t="s">
        <v>Equity</v>
        <stp/>
        <stp>##V3_BDPV12</stp>
        <stp>ADBE US Equity</stp>
        <stp>EX028</stp>
        <stp>[DPM - Securities Master List (BBG Linked).xlsx]Equities!R49C30</stp>
        <tr r="AD49" s="2"/>
        <tr r="AD49" s="2"/>
        <tr r="AD49" s="2"/>
      </tp>
      <tp t="s">
        <v>Equity</v>
        <stp/>
        <stp>##V3_BDPV12</stp>
        <stp>ADBE US Equity</stp>
        <stp>EX028</stp>
        <stp>[DPM - Securities Master List (BBG Linked).xlsx]Equities!R36C30</stp>
        <tr r="AD36" s="2"/>
        <tr r="AD36" s="2"/>
        <tr r="AD36" s="2"/>
      </tp>
      <tp t="s">
        <v>Equity</v>
        <stp/>
        <stp>##V3_BDPV12</stp>
        <stp>ADBE US Equity</stp>
        <stp>EX028</stp>
        <stp>[DPM - Securities Master List (BBG Linked).xlsx]Equities!R37C30</stp>
        <tr r="AD37" s="2"/>
        <tr r="AD37" s="2"/>
        <tr r="AD37" s="2"/>
      </tp>
      <tp t="s">
        <v>Equity</v>
        <stp/>
        <stp>##V3_BDPV12</stp>
        <stp>ADBE US Equity</stp>
        <stp>EX028</stp>
        <stp>[DPM - Securities Master List (BBG Linked).xlsx]Equities!R38C30</stp>
        <tr r="AD38" s="2"/>
        <tr r="AD38" s="2"/>
        <tr r="AD38" s="2"/>
      </tp>
      <tp t="s">
        <v>Equity</v>
        <stp/>
        <stp>##V3_BDPV12</stp>
        <stp>ADBE US Equity</stp>
        <stp>EX028</stp>
        <stp>[DPM - Securities Master List (BBG Linked).xlsx]Equities!R39C30</stp>
        <tr r="AD39" s="2"/>
        <tr r="AD39" s="2"/>
        <tr r="AD39" s="2"/>
      </tp>
      <tp t="s">
        <v>Y</v>
        <stp/>
        <stp>##V3_BDPV12</stp>
        <stp>ON US Equity</stp>
        <stp>DY784</stp>
        <stp>[DPM - Securities Master List (BBG Linked).xlsx]Equities!R226C48</stp>
        <tr r="AV226" s="2"/>
        <tr r="AV226" s="2"/>
        <tr r="AV226" s="2"/>
      </tp>
      <tp>
        <v>131452.52994387338</v>
        <stp/>
        <stp>##V3_BDPV12</stp>
        <stp>TTE FP Equity</stp>
        <stp>CRNCY_ADJ_MKT_CAP</stp>
        <stp>[DPM - Securities Master List (BBG Linked).xlsx]Equities!R279C9</stp>
        <stp>EQY_FUND_CRNCY=USD</stp>
        <tr r="I279" s="2"/>
      </tp>
      <tp>
        <v>131452.52994387338</v>
        <stp/>
        <stp>##V3_BDPV12</stp>
        <stp>TTE FP Equity</stp>
        <stp>CRNCY_ADJ_MKT_CAP</stp>
        <stp>[DPM - Securities Master List (BBG Linked).xlsx]Equities!R278C9</stp>
        <stp>EQY_FUND_CRNCY=USD</stp>
        <tr r="I278" s="2"/>
      </tp>
      <tp>
        <v>131452.52994387338</v>
        <stp/>
        <stp>##V3_BDPV12</stp>
        <stp>TTE FP Equity</stp>
        <stp>CRNCY_ADJ_MKT_CAP</stp>
        <stp>[DPM - Securities Master List (BBG Linked).xlsx]Equities!R277C9</stp>
        <stp>EQY_FUND_CRNCY=USD</stp>
        <tr r="I277" s="2"/>
      </tp>
      <tp>
        <v>131452.52994387338</v>
        <stp/>
        <stp>##V3_BDPV12</stp>
        <stp>TTE FP Equity</stp>
        <stp>CRNCY_ADJ_MKT_CAP</stp>
        <stp>[DPM - Securities Master List (BBG Linked).xlsx]Equities!R276C9</stp>
        <stp>EQY_FUND_CRNCY=USD</stp>
        <tr r="I276" s="2"/>
      </tp>
      <tp>
        <v>38.265000000000001</v>
        <stp/>
        <stp>##V3_BDPV12</stp>
        <stp>ON US Equity</stp>
        <stp>PX_LAST</stp>
        <stp>[DPM - Securities Master List (BBG Linked).xlsx]Equities!R226C17</stp>
        <tr r="Q226" s="2"/>
      </tp>
      <tp>
        <v>88.09</v>
        <stp/>
        <stp>##V3_BDPV12</stp>
        <stp>NESN SW Equity</stp>
        <stp>PX_LAST</stp>
        <stp>[DPM - Securities Master List (BBG Linked).xlsx]Equities!R198C17</stp>
        <tr r="Q198" s="2"/>
      </tp>
      <tp>
        <v>88.09</v>
        <stp/>
        <stp>##V3_BDPV12</stp>
        <stp>NESN SW Equity</stp>
        <stp>PX_LAST</stp>
        <stp>[DPM - Securities Master List (BBG Linked).xlsx]Equities!R199C17</stp>
        <tr r="Q199" s="2"/>
      </tp>
      <tp>
        <v>88.09</v>
        <stp/>
        <stp>##V3_BDPV12</stp>
        <stp>NESN SW Equity</stp>
        <stp>PX_LAST</stp>
        <stp>[DPM - Securities Master List (BBG Linked).xlsx]Equities!R193C17</stp>
        <tr r="Q193" s="2"/>
      </tp>
      <tp>
        <v>88.09</v>
        <stp/>
        <stp>##V3_BDPV12</stp>
        <stp>NESN SW Equity</stp>
        <stp>PX_LAST</stp>
        <stp>[DPM - Securities Master List (BBG Linked).xlsx]Equities!R194C17</stp>
        <tr r="Q194" s="2"/>
      </tp>
      <tp>
        <v>88.09</v>
        <stp/>
        <stp>##V3_BDPV12</stp>
        <stp>NESN SW Equity</stp>
        <stp>PX_LAST</stp>
        <stp>[DPM - Securities Master List (BBG Linked).xlsx]Equities!R195C17</stp>
        <tr r="Q195" s="2"/>
      </tp>
      <tp>
        <v>88.09</v>
        <stp/>
        <stp>##V3_BDPV12</stp>
        <stp>NESN SW Equity</stp>
        <stp>PX_LAST</stp>
        <stp>[DPM - Securities Master List (BBG Linked).xlsx]Equities!R196C17</stp>
        <tr r="Q196" s="2"/>
      </tp>
      <tp>
        <v>88.09</v>
        <stp/>
        <stp>##V3_BDPV12</stp>
        <stp>NESN SW Equity</stp>
        <stp>PX_LAST</stp>
        <stp>[DPM - Securities Master List (BBG Linked).xlsx]Equities!R197C17</stp>
        <tr r="Q197" s="2"/>
      </tp>
      <tp t="s">
        <v>AUD</v>
        <stp/>
        <stp>##V3_BDPV12</stp>
        <stp>NEM AT Equity</stp>
        <stp>CRNCY</stp>
        <stp>[DPM - Securities Master List (BBG Linked).xlsx]Equities!R191C6</stp>
        <tr r="F191" s="2"/>
      </tp>
      <tp t="s">
        <v>USD</v>
        <stp/>
        <stp>##V3_BDPV12</stp>
        <stp>ZBH US Equity</stp>
        <stp>CRNCY</stp>
        <stp>[DPM - Securities Master List (BBG Linked).xlsx]Equities!R301C6</stp>
        <tr r="F301" s="2"/>
      </tp>
      <tp>
        <v>88.09</v>
        <stp/>
        <stp>##V3_BDPV12</stp>
        <stp>NESN SW Equity</stp>
        <stp>PX_LAST</stp>
        <stp>[DPM - Securities Master List (BBG Linked).xlsx]Equities!R200C17</stp>
        <tr r="Q200" s="2"/>
      </tp>
      <tp>
        <v>88.09</v>
        <stp/>
        <stp>##V3_BDPV12</stp>
        <stp>NESN SW Equity</stp>
        <stp>PX_LAST</stp>
        <stp>[DPM - Securities Master List (BBG Linked).xlsx]Equities!R201C17</stp>
        <tr r="Q201" s="2"/>
      </tp>
      <tp>
        <v>88.09</v>
        <stp/>
        <stp>##V3_BDPV12</stp>
        <stp>NESN SW Equity</stp>
        <stp>PX_LAST</stp>
        <stp>[DPM - Securities Master List (BBG Linked).xlsx]Equities!R202C17</stp>
        <tr r="Q202" s="2"/>
      </tp>
      <tp>
        <v>88.09</v>
        <stp/>
        <stp>##V3_BDPV12</stp>
        <stp>NESN SW Equity</stp>
        <stp>PX_LAST</stp>
        <stp>[DPM - Securities Master List (BBG Linked).xlsx]Equities!R203C17</stp>
        <tr r="Q203" s="2"/>
      </tp>
      <tp>
        <v>88.09</v>
        <stp/>
        <stp>##V3_BDPV12</stp>
        <stp>NESN SW Equity</stp>
        <stp>PX_LAST</stp>
        <stp>[DPM - Securities Master List (BBG Linked).xlsx]Equities!R204C17</stp>
        <tr r="Q204" s="2"/>
      </tp>
      <tp>
        <v>88.09</v>
        <stp/>
        <stp>##V3_BDPV12</stp>
        <stp>NESN SW Equity</stp>
        <stp>PX_LAST</stp>
        <stp>[DPM - Securities Master List (BBG Linked).xlsx]Equities!R205C17</stp>
        <tr r="Q205" s="2"/>
      </tp>
      <tp t="s">
        <v>SSE PLC</v>
        <stp/>
        <stp>##V3_BDPV12</stp>
        <stp>SSE LN Equity</stp>
        <stp>SECURITY NAME</stp>
        <stp>[DPM - Securities Master List (BBG Linked).xlsx]Equities!R249C5</stp>
        <tr r="E249" s="2"/>
      </tp>
      <tp t="s">
        <v>EUR</v>
        <stp/>
        <stp>##V3_BDPV12</stp>
        <stp>KER FP Equity</stp>
        <stp>CRNCY</stp>
        <stp>[DPM - Securities Master List (BBG Linked).xlsx]Equities!R153C6</stp>
        <tr r="F153" s="2"/>
      </tp>
      <tp>
        <v>23.58</v>
        <stp/>
        <stp>##V3_BDPV12</stp>
        <stp>LUV US Equity</stp>
        <stp>hs002</stp>
        <stp>[DPM - Securities Master List (BBG Linked).xlsx]Equities!R154C45</stp>
        <tr r="AS154" s="2"/>
      </tp>
      <tp>
        <v>36.119999999999997</v>
        <stp/>
        <stp>##V3_BDPV12</stp>
        <stp>LUV US Equity</stp>
        <stp>hs001</stp>
        <stp>[DPM - Securities Master List (BBG Linked).xlsx]Equities!R154C44</stp>
        <tr r="AR154" s="2"/>
      </tp>
      <tp t="s">
        <v>GBp</v>
        <stp/>
        <stp>##V3_BDPV12</stp>
        <stp>GSK LN Equity</stp>
        <stp>CRNCY</stp>
        <stp>[DPM - Securities Master List (BBG Linked).xlsx]Equities!R145C6</stp>
        <tr r="F145" s="2"/>
      </tp>
      <tp t="s">
        <v>GBp</v>
        <stp/>
        <stp>##V3_BDPV12</stp>
        <stp>DRX LN Equity</stp>
        <stp>CRNCY</stp>
        <stp>[DPM - Securities Master List (BBG Linked).xlsx]Equities!R116C6</stp>
        <tr r="F116" s="2"/>
      </tp>
      <tp>
        <v>113.0215</v>
        <stp/>
        <stp>##V3_BDPV12</stp>
        <stp>NVDA US Equity</stp>
        <stp>PX_LAST</stp>
        <stp>[DPM - Securities Master List (BBG Linked).xlsx]Equities!R224C17</stp>
        <tr r="Q224" s="2"/>
      </tp>
      <tp t="s">
        <v>TotalEnergies SE</v>
        <stp/>
        <stp>##V3_BDPV12</stp>
        <stp>TTE FP Equity</stp>
        <stp>SECURITY NAME</stp>
        <stp>[DPM - Securities Master List (BBG Linked).xlsx]Equities!R284C5</stp>
        <tr r="E284" s="2"/>
      </tp>
      <tp>
        <v>25</v>
        <stp/>
        <stp>##V3_BDPV12</stp>
        <stp>TGT US Equity</stp>
        <stp>TOT_HOLD_REC</stp>
        <stp>[DPM - Securities Master List (BBG Linked).xlsx]Equities!R261C35</stp>
        <tr r="AI261" s="2"/>
      </tp>
      <tp>
        <v>3</v>
        <stp/>
        <stp>##V3_BDPV12</stp>
        <stp>LUV US Equity</stp>
        <stp>EE201</stp>
        <stp>[DPM - Securities Master List (BBG Linked).xlsx]Equities!R154C37</stp>
        <tr r="AK154" s="2"/>
        <tr r="AK154" s="2"/>
        <tr r="AK154" s="2"/>
      </tp>
      <tp>
        <v>27319.595462399997</v>
        <stp/>
        <stp>##V3_BDPV12</stp>
        <stp>DD US Equity</stp>
        <stp>CRNCY_ADJ_MKT_CAP</stp>
        <stp>[DPM - Securities Master List (BBG Linked).xlsx]Equities!R91C9</stp>
        <stp>EQY_FUND_CRNCY=USD</stp>
        <tr r="I91" s="2"/>
      </tp>
      <tp t="s">
        <v>Industrials</v>
        <stp/>
        <stp>##V3_BDPV12</stp>
        <stp>LUV US Equity</stp>
        <stp>DX202</stp>
        <stp>[DPM - Securities Master List (BBG Linked).xlsx]Equities!R154C46</stp>
        <tr r="AT154" s="2"/>
        <tr r="AT154" s="2"/>
        <tr r="AT154" s="2"/>
      </tp>
      <tp>
        <v>-18.89827</v>
        <stp/>
        <stp>##V3_BDPV12</stp>
        <stp>MRK US Equity</stp>
        <stp>PR079</stp>
        <stp>[DPM - Securities Master List (BBG Linked).xlsx]Equities!R158C43</stp>
        <tr r="AQ158" s="2"/>
      </tp>
      <tp>
        <v>-18.89827</v>
        <stp/>
        <stp>##V3_BDPV12</stp>
        <stp>MRK US Equity</stp>
        <stp>PR079</stp>
        <stp>[DPM - Securities Master List (BBG Linked).xlsx]Equities!R159C43</stp>
        <tr r="AQ159" s="2"/>
      </tp>
      <tp>
        <v>-18.89827</v>
        <stp/>
        <stp>##V3_BDPV12</stp>
        <stp>MRK US Equity</stp>
        <stp>PR079</stp>
        <stp>[DPM - Securities Master List (BBG Linked).xlsx]Equities!R157C43</stp>
        <tr r="AQ157" s="2"/>
      </tp>
      <tp>
        <v>-18.89827</v>
        <stp/>
        <stp>##V3_BDPV12</stp>
        <stp>MRK US Equity</stp>
        <stp>PR079</stp>
        <stp>[DPM - Securities Master List (BBG Linked).xlsx]Equities!R168C43</stp>
        <tr r="AQ168" s="2"/>
      </tp>
      <tp>
        <v>-18.89827</v>
        <stp/>
        <stp>##V3_BDPV12</stp>
        <stp>MRK US Equity</stp>
        <stp>PR079</stp>
        <stp>[DPM - Securities Master List (BBG Linked).xlsx]Equities!R169C43</stp>
        <tr r="AQ169" s="2"/>
      </tp>
      <tp>
        <v>-18.89827</v>
        <stp/>
        <stp>##V3_BDPV12</stp>
        <stp>MRK US Equity</stp>
        <stp>PR079</stp>
        <stp>[DPM - Securities Master List (BBG Linked).xlsx]Equities!R166C43</stp>
        <tr r="AQ166" s="2"/>
      </tp>
      <tp>
        <v>-18.89827</v>
        <stp/>
        <stp>##V3_BDPV12</stp>
        <stp>MRK US Equity</stp>
        <stp>PR079</stp>
        <stp>[DPM - Securities Master List (BBG Linked).xlsx]Equities!R167C43</stp>
        <tr r="AQ167" s="2"/>
      </tp>
      <tp>
        <v>-18.89827</v>
        <stp/>
        <stp>##V3_BDPV12</stp>
        <stp>MRK US Equity</stp>
        <stp>PR079</stp>
        <stp>[DPM - Securities Master List (BBG Linked).xlsx]Equities!R164C43</stp>
        <tr r="AQ164" s="2"/>
      </tp>
      <tp>
        <v>-18.89827</v>
        <stp/>
        <stp>##V3_BDPV12</stp>
        <stp>MRK US Equity</stp>
        <stp>PR079</stp>
        <stp>[DPM - Securities Master List (BBG Linked).xlsx]Equities!R165C43</stp>
        <tr r="AQ165" s="2"/>
      </tp>
      <tp>
        <v>-18.89827</v>
        <stp/>
        <stp>##V3_BDPV12</stp>
        <stp>MRK US Equity</stp>
        <stp>PR079</stp>
        <stp>[DPM - Securities Master List (BBG Linked).xlsx]Equities!R162C43</stp>
        <tr r="AQ162" s="2"/>
      </tp>
      <tp>
        <v>-18.89827</v>
        <stp/>
        <stp>##V3_BDPV12</stp>
        <stp>MRK US Equity</stp>
        <stp>PR079</stp>
        <stp>[DPM - Securities Master List (BBG Linked).xlsx]Equities!R163C43</stp>
        <tr r="AQ163" s="2"/>
      </tp>
      <tp>
        <v>-18.89827</v>
        <stp/>
        <stp>##V3_BDPV12</stp>
        <stp>MRK US Equity</stp>
        <stp>PR079</stp>
        <stp>[DPM - Securities Master List (BBG Linked).xlsx]Equities!R160C43</stp>
        <tr r="AQ160" s="2"/>
      </tp>
      <tp>
        <v>-18.89827</v>
        <stp/>
        <stp>##V3_BDPV12</stp>
        <stp>MRK US Equity</stp>
        <stp>PR079</stp>
        <stp>[DPM - Securities Master List (BBG Linked).xlsx]Equities!R161C43</stp>
        <tr r="AQ161" s="2"/>
      </tp>
      <tp>
        <v>1</v>
        <stp/>
        <stp>##V3_BDPV12</stp>
        <stp>TGT US Equity</stp>
        <stp>TOT_SELL_REC</stp>
        <stp>[DPM - Securities Master List (BBG Linked).xlsx]Equities!R261C36</stp>
        <tr r="AJ261" s="2"/>
      </tp>
      <tp>
        <v>25.555122368296786</v>
        <stp/>
        <stp>##V3_BDPV12</stp>
        <stp>LUV US Equity</stp>
        <stp>RR900</stp>
        <stp>[DPM - Securities Master List (BBG Linked).xlsx]Equities!R154C11</stp>
        <tr r="K154" s="2"/>
        <tr r="K154" s="2"/>
        <tr r="K154" s="2"/>
      </tp>
      <tp>
        <v>1.8246050540131855</v>
        <stp/>
        <stp>##V3_BDPV12</stp>
        <stp>LUV US Equity</stp>
        <stp>RR903</stp>
        <stp>[DPM - Securities Master List (BBG Linked).xlsx]Equities!R154C13</stp>
        <tr r="M154" s="2"/>
        <tr r="M154" s="2"/>
        <tr r="M154" s="2"/>
      </tp>
      <tp t="s">
        <v>Equity</v>
        <stp/>
        <stp>##V3_BDPV12</stp>
        <stp>TTE FP Equity</stp>
        <stp>EX028</stp>
        <stp>[DPM - Securities Master List (BBG Linked).xlsx]Equities!R284C30</stp>
        <tr r="AD284" s="2"/>
        <tr r="AD284" s="2"/>
        <tr r="AD284" s="2"/>
      </tp>
      <tp t="s">
        <v>Equity</v>
        <stp/>
        <stp>##V3_BDPV12</stp>
        <stp>TTE FP Equity</stp>
        <stp>EX028</stp>
        <stp>[DPM - Securities Master List (BBG Linked).xlsx]Equities!R285C30</stp>
        <tr r="AD285" s="2"/>
        <tr r="AD285" s="2"/>
        <tr r="AD285" s="2"/>
      </tp>
      <tp t="s">
        <v>Equity</v>
        <stp/>
        <stp>##V3_BDPV12</stp>
        <stp>TTE FP Equity</stp>
        <stp>EX028</stp>
        <stp>[DPM - Securities Master List (BBG Linked).xlsx]Equities!R286C30</stp>
        <tr r="AD286" s="2"/>
        <tr r="AD286" s="2"/>
        <tr r="AD286" s="2"/>
      </tp>
      <tp t="s">
        <v>Equity</v>
        <stp/>
        <stp>##V3_BDPV12</stp>
        <stp>TTE FP Equity</stp>
        <stp>EX028</stp>
        <stp>[DPM - Securities Master List (BBG Linked).xlsx]Equities!R287C30</stp>
        <tr r="AD287" s="2"/>
        <tr r="AD287" s="2"/>
        <tr r="AD287" s="2"/>
      </tp>
      <tp t="s">
        <v>Equity</v>
        <stp/>
        <stp>##V3_BDPV12</stp>
        <stp>TTE FP Equity</stp>
        <stp>EX028</stp>
        <stp>[DPM - Securities Master List (BBG Linked).xlsx]Equities!R280C30</stp>
        <tr r="AD280" s="2"/>
        <tr r="AD280" s="2"/>
        <tr r="AD280" s="2"/>
      </tp>
      <tp t="s">
        <v>Equity</v>
        <stp/>
        <stp>##V3_BDPV12</stp>
        <stp>TTE FP Equity</stp>
        <stp>EX028</stp>
        <stp>[DPM - Securities Master List (BBG Linked).xlsx]Equities!R281C30</stp>
        <tr r="AD281" s="2"/>
        <tr r="AD281" s="2"/>
        <tr r="AD281" s="2"/>
      </tp>
      <tp t="s">
        <v>Equity</v>
        <stp/>
        <stp>##V3_BDPV12</stp>
        <stp>TTE FP Equity</stp>
        <stp>EX028</stp>
        <stp>[DPM - Securities Master List (BBG Linked).xlsx]Equities!R282C30</stp>
        <tr r="AD282" s="2"/>
        <tr r="AD282" s="2"/>
        <tr r="AD282" s="2"/>
      </tp>
      <tp t="s">
        <v>Equity</v>
        <stp/>
        <stp>##V3_BDPV12</stp>
        <stp>TTE FP Equity</stp>
        <stp>EX028</stp>
        <stp>[DPM - Securities Master List (BBG Linked).xlsx]Equities!R283C30</stp>
        <tr r="AD283" s="2"/>
        <tr r="AD283" s="2"/>
        <tr r="AD283" s="2"/>
      </tp>
      <tp t="s">
        <v>Equity</v>
        <stp/>
        <stp>##V3_BDPV12</stp>
        <stp>TTE FP Equity</stp>
        <stp>EX028</stp>
        <stp>[DPM - Securities Master List (BBG Linked).xlsx]Equities!R288C30</stp>
        <tr r="AD288" s="2"/>
        <tr r="AD288" s="2"/>
        <tr r="AD288" s="2"/>
      </tp>
      <tp t="s">
        <v>Equity</v>
        <stp/>
        <stp>##V3_BDPV12</stp>
        <stp>TTE FP Equity</stp>
        <stp>EX028</stp>
        <stp>[DPM - Securities Master List (BBG Linked).xlsx]Equities!R276C30</stp>
        <tr r="AD276" s="2"/>
        <tr r="AD276" s="2"/>
        <tr r="AD276" s="2"/>
      </tp>
      <tp t="s">
        <v>Equity</v>
        <stp/>
        <stp>##V3_BDPV12</stp>
        <stp>TTE FP Equity</stp>
        <stp>EX028</stp>
        <stp>[DPM - Securities Master List (BBG Linked).xlsx]Equities!R277C30</stp>
        <tr r="AD277" s="2"/>
        <tr r="AD277" s="2"/>
        <tr r="AD277" s="2"/>
      </tp>
      <tp t="s">
        <v>Equity</v>
        <stp/>
        <stp>##V3_BDPV12</stp>
        <stp>TTE FP Equity</stp>
        <stp>EX028</stp>
        <stp>[DPM - Securities Master List (BBG Linked).xlsx]Equities!R278C30</stp>
        <tr r="AD278" s="2"/>
        <tr r="AD278" s="2"/>
        <tr r="AD278" s="2"/>
      </tp>
      <tp t="s">
        <v>Equity</v>
        <stp/>
        <stp>##V3_BDPV12</stp>
        <stp>TTE FP Equity</stp>
        <stp>EX028</stp>
        <stp>[DPM - Securities Master List (BBG Linked).xlsx]Equities!R279C30</stp>
        <tr r="AD279" s="2"/>
        <tr r="AD279" s="2"/>
        <tr r="AD279" s="2"/>
      </tp>
      <tp>
        <v>9.714932354078833</v>
        <stp/>
        <stp>##V3_BDPV12</stp>
        <stp>RIO LN Equity</stp>
        <stp>EE010</stp>
        <stp>[DPM - Securities Master List (BBG Linked).xlsx]Equities!R242C12</stp>
        <tr r="L242" s="2"/>
        <tr r="L242" s="2"/>
        <tr r="L242" s="2"/>
      </tp>
      <tp>
        <v>6.9415007322579854</v>
        <stp/>
        <stp>##V3_BDPV12</stp>
        <stp>RIO LN Equity</stp>
        <stp>DV013</stp>
        <stp>[DPM - Securities Master List (BBG Linked).xlsx]Equities!R242C10</stp>
        <tr r="J242" s="2"/>
      </tp>
      <tp>
        <v>598495.32446997997</v>
        <stp/>
        <stp>##V3_BDPV12</stp>
        <stp>TCEHY US Equity</stp>
        <stp>CRNCY_ADJ_MKT_CAP</stp>
        <stp>[DPM - Securities Master List (BBG Linked).xlsx]Equities!R259C9</stp>
        <stp>EQY_FUND_CRNCY=USD</stp>
        <tr r="I259" s="2"/>
      </tp>
      <tp>
        <v>12.37590504510249</v>
        <stp/>
        <stp>##V3_BDPV12</stp>
        <stp>LUV US Equity</stp>
        <stp>RR908</stp>
        <stp>[DPM - Securities Master List (BBG Linked).xlsx]Equities!R154C32</stp>
        <tr r="AF154" s="2"/>
        <tr r="AF154" s="2"/>
        <tr r="AF154" s="2"/>
      </tp>
      <tp t="s">
        <v>GBp</v>
        <stp/>
        <stp>##V3_BDPV12</stp>
        <stp>TSCO LN Equity</stp>
        <stp>CRNCY</stp>
        <stp>[DPM - Securities Master List (BBG Linked).xlsx]Equities!R272C6</stp>
        <tr r="F272" s="2"/>
      </tp>
      <tp t="s">
        <v>GBp</v>
        <stp/>
        <stp>##V3_BDPV12</stp>
        <stp>TSCO LN Equity</stp>
        <stp>CRNCY</stp>
        <stp>[DPM - Securities Master List (BBG Linked).xlsx]Equities!R262C6</stp>
        <tr r="F262" s="2"/>
      </tp>
      <tp t="s">
        <v>PayPal Holdings Inc</v>
        <stp/>
        <stp>##V3_BDPV12</stp>
        <stp>PYPL US Equity</stp>
        <stp>SECURITY NAME</stp>
        <stp>[DPM - Securities Master List (BBG Linked).xlsx]Equities!R239C5</stp>
        <tr r="E239" s="2"/>
      </tp>
      <tp t="s">
        <v>USD</v>
        <stp/>
        <stp>##V3_BDPV12</stp>
        <stp>INTC US Equity</stp>
        <stp>CRNCY</stp>
        <stp>[DPM - Securities Master List (BBG Linked).xlsx]Equities!R146C6</stp>
        <tr r="F146" s="2"/>
      </tp>
      <tp t="s">
        <v>Microsoft Corp</v>
        <stp/>
        <stp>##V3_BDPV12</stp>
        <stp>MSFT US Equity</stp>
        <stp>SECURITY NAME</stp>
        <stp>[DPM - Securities Master List (BBG Linked).xlsx]Equities!R173C5</stp>
        <tr r="E173" s="2"/>
      </tp>
      <tp t="s">
        <v>Microsoft Corp</v>
        <stp/>
        <stp>##V3_BDPV12</stp>
        <stp>MSFT US Equity</stp>
        <stp>SECURITY NAME</stp>
        <stp>[DPM - Securities Master List (BBG Linked).xlsx]Equities!R183C5</stp>
        <tr r="E183" s="2"/>
      </tp>
      <tp>
        <v>9.0292951754810016</v>
        <stp/>
        <stp>##V3_BDPV12</stp>
        <stp>DELL US Equity</stp>
        <stp>EE010</stp>
        <stp>[DPM - Securities Master List (BBG Linked).xlsx]Equities!R98C12</stp>
        <tr r="L98" s="2"/>
        <tr r="L98" s="2"/>
        <tr r="L98" s="2"/>
      </tp>
      <tp>
        <v>9.0292951754810016</v>
        <stp/>
        <stp>##V3_BDPV12</stp>
        <stp>DELL US Equity</stp>
        <stp>EE010</stp>
        <stp>[DPM - Securities Master List (BBG Linked).xlsx]Equities!R99C12</stp>
        <tr r="L99" s="2"/>
        <tr r="L99" s="2"/>
        <tr r="L99" s="2"/>
      </tp>
      <tp>
        <v>9.0292951754810016</v>
        <stp/>
        <stp>##V3_BDPV12</stp>
        <stp>DELL US Equity</stp>
        <stp>EE010</stp>
        <stp>[DPM - Securities Master List (BBG Linked).xlsx]Equities!R94C12</stp>
        <tr r="L94" s="2"/>
        <tr r="L94" s="2"/>
        <tr r="L94" s="2"/>
      </tp>
      <tp>
        <v>9.0292951754810016</v>
        <stp/>
        <stp>##V3_BDPV12</stp>
        <stp>DELL US Equity</stp>
        <stp>EE010</stp>
        <stp>[DPM - Securities Master List (BBG Linked).xlsx]Equities!R95C12</stp>
        <tr r="L95" s="2"/>
        <tr r="L95" s="2"/>
        <tr r="L95" s="2"/>
      </tp>
      <tp>
        <v>9.0292951754810016</v>
        <stp/>
        <stp>##V3_BDPV12</stp>
        <stp>DELL US Equity</stp>
        <stp>EE010</stp>
        <stp>[DPM - Securities Master List (BBG Linked).xlsx]Equities!R96C12</stp>
        <tr r="L96" s="2"/>
        <tr r="L96" s="2"/>
        <tr r="L96" s="2"/>
      </tp>
      <tp>
        <v>9.0292951754810016</v>
        <stp/>
        <stp>##V3_BDPV12</stp>
        <stp>DELL US Equity</stp>
        <stp>EE010</stp>
        <stp>[DPM - Securities Master List (BBG Linked).xlsx]Equities!R97C12</stp>
        <tr r="L97" s="2"/>
        <tr r="L97" s="2"/>
        <tr r="L97" s="2"/>
      </tp>
      <tp>
        <v>9.0292951754810016</v>
        <stp/>
        <stp>##V3_BDPV12</stp>
        <stp>DELL US Equity</stp>
        <stp>EE010</stp>
        <stp>[DPM - Securities Master List (BBG Linked).xlsx]Equities!R92C12</stp>
        <tr r="L92" s="2"/>
        <tr r="L92" s="2"/>
        <tr r="L92" s="2"/>
      </tp>
      <tp>
        <v>9.0292951754810016</v>
        <stp/>
        <stp>##V3_BDPV12</stp>
        <stp>DELL US Equity</stp>
        <stp>EE010</stp>
        <stp>[DPM - Securities Master List (BBG Linked).xlsx]Equities!R93C12</stp>
        <tr r="L93" s="2"/>
        <tr r="L93" s="2"/>
        <tr r="L93" s="2"/>
      </tp>
      <tp>
        <v>2.2486346553512884</v>
        <stp/>
        <stp>##V3_BDPV12</stp>
        <stp>DELL US Equity</stp>
        <stp>DV013</stp>
        <stp>[DPM - Securities Master List (BBG Linked).xlsx]Equities!R99C10</stp>
        <tr r="J99" s="2"/>
      </tp>
      <tp>
        <v>2.2486346553512884</v>
        <stp/>
        <stp>##V3_BDPV12</stp>
        <stp>DELL US Equity</stp>
        <stp>DV013</stp>
        <stp>[DPM - Securities Master List (BBG Linked).xlsx]Equities!R98C10</stp>
        <tr r="J98" s="2"/>
      </tp>
      <tp>
        <v>2.2486346553512884</v>
        <stp/>
        <stp>##V3_BDPV12</stp>
        <stp>DELL US Equity</stp>
        <stp>DV013</stp>
        <stp>[DPM - Securities Master List (BBG Linked).xlsx]Equities!R97C10</stp>
        <tr r="J97" s="2"/>
      </tp>
      <tp>
        <v>2.2486346553512884</v>
        <stp/>
        <stp>##V3_BDPV12</stp>
        <stp>DELL US Equity</stp>
        <stp>DV013</stp>
        <stp>[DPM - Securities Master List (BBG Linked).xlsx]Equities!R96C10</stp>
        <tr r="J96" s="2"/>
      </tp>
      <tp>
        <v>2.2486346553512884</v>
        <stp/>
        <stp>##V3_BDPV12</stp>
        <stp>DELL US Equity</stp>
        <stp>DV013</stp>
        <stp>[DPM - Securities Master List (BBG Linked).xlsx]Equities!R95C10</stp>
        <tr r="J95" s="2"/>
      </tp>
      <tp>
        <v>2.2486346553512884</v>
        <stp/>
        <stp>##V3_BDPV12</stp>
        <stp>DELL US Equity</stp>
        <stp>DV013</stp>
        <stp>[DPM - Securities Master List (BBG Linked).xlsx]Equities!R94C10</stp>
        <tr r="J94" s="2"/>
      </tp>
      <tp>
        <v>2.2486346553512884</v>
        <stp/>
        <stp>##V3_BDPV12</stp>
        <stp>DELL US Equity</stp>
        <stp>DV013</stp>
        <stp>[DPM - Securities Master List (BBG Linked).xlsx]Equities!R93C10</stp>
        <tr r="J93" s="2"/>
      </tp>
      <tp>
        <v>2.2486346553512884</v>
        <stp/>
        <stp>##V3_BDPV12</stp>
        <stp>DELL US Equity</stp>
        <stp>DV013</stp>
        <stp>[DPM - Securities Master List (BBG Linked).xlsx]Equities!R92C10</stp>
        <tr r="J92" s="2"/>
      </tp>
      <tp t="s">
        <v>Equity</v>
        <stp/>
        <stp>##V3_BDPV12</stp>
        <stp>DELL US Equity</stp>
        <stp>EX028</stp>
        <stp>[DPM - Securities Master List (BBG Linked).xlsx]Equities!R93C30</stp>
        <tr r="AD93" s="2"/>
        <tr r="AD93" s="2"/>
        <tr r="AD93" s="2"/>
      </tp>
      <tp t="s">
        <v>Equity</v>
        <stp/>
        <stp>##V3_BDPV12</stp>
        <stp>DELL US Equity</stp>
        <stp>EX028</stp>
        <stp>[DPM - Securities Master List (BBG Linked).xlsx]Equities!R92C30</stp>
        <tr r="AD92" s="2"/>
        <tr r="AD92" s="2"/>
        <tr r="AD92" s="2"/>
      </tp>
      <tp t="s">
        <v>Equity</v>
        <stp/>
        <stp>##V3_BDPV12</stp>
        <stp>DELL US Equity</stp>
        <stp>EX028</stp>
        <stp>[DPM - Securities Master List (BBG Linked).xlsx]Equities!R95C30</stp>
        <tr r="AD95" s="2"/>
        <tr r="AD95" s="2"/>
        <tr r="AD95" s="2"/>
      </tp>
      <tp t="s">
        <v>Equity</v>
        <stp/>
        <stp>##V3_BDPV12</stp>
        <stp>DELL US Equity</stp>
        <stp>EX028</stp>
        <stp>[DPM - Securities Master List (BBG Linked).xlsx]Equities!R94C30</stp>
        <tr r="AD94" s="2"/>
        <tr r="AD94" s="2"/>
        <tr r="AD94" s="2"/>
      </tp>
      <tp t="s">
        <v>Equity</v>
        <stp/>
        <stp>##V3_BDPV12</stp>
        <stp>DELL US Equity</stp>
        <stp>EX028</stp>
        <stp>[DPM - Securities Master List (BBG Linked).xlsx]Equities!R97C30</stp>
        <tr r="AD97" s="2"/>
        <tr r="AD97" s="2"/>
        <tr r="AD97" s="2"/>
      </tp>
      <tp t="s">
        <v>Equity</v>
        <stp/>
        <stp>##V3_BDPV12</stp>
        <stp>DELL US Equity</stp>
        <stp>EX028</stp>
        <stp>[DPM - Securities Master List (BBG Linked).xlsx]Equities!R96C30</stp>
        <tr r="AD96" s="2"/>
        <tr r="AD96" s="2"/>
        <tr r="AD96" s="2"/>
      </tp>
      <tp t="s">
        <v>Equity</v>
        <stp/>
        <stp>##V3_BDPV12</stp>
        <stp>DELL US Equity</stp>
        <stp>EX028</stp>
        <stp>[DPM - Securities Master List (BBG Linked).xlsx]Equities!R99C30</stp>
        <tr r="AD99" s="2"/>
        <tr r="AD99" s="2"/>
        <tr r="AD99" s="2"/>
      </tp>
      <tp t="s">
        <v>Equity</v>
        <stp/>
        <stp>##V3_BDPV12</stp>
        <stp>DELL US Equity</stp>
        <stp>EX028</stp>
        <stp>[DPM - Securities Master List (BBG Linked).xlsx]Equities!R98C30</stp>
        <tr r="AD98" s="2"/>
        <tr r="AD98" s="2"/>
        <tr r="AD98" s="2"/>
      </tp>
      <tp>
        <v>30.378340000000001</v>
        <stp/>
        <stp>##V3_BDPV12</stp>
        <stp>DELL US Equity</stp>
        <stp>PR061</stp>
        <stp>[DPM - Securities Master List (BBG Linked).xlsx]Equities!R99C40</stp>
        <tr r="AN99" s="2"/>
      </tp>
      <tp>
        <v>30.378340000000001</v>
        <stp/>
        <stp>##V3_BDPV12</stp>
        <stp>DELL US Equity</stp>
        <stp>PR061</stp>
        <stp>[DPM - Securities Master List (BBG Linked).xlsx]Equities!R98C40</stp>
        <tr r="AN98" s="2"/>
      </tp>
      <tp>
        <v>30.378340000000001</v>
        <stp/>
        <stp>##V3_BDPV12</stp>
        <stp>DELL US Equity</stp>
        <stp>PR061</stp>
        <stp>[DPM - Securities Master List (BBG Linked).xlsx]Equities!R93C40</stp>
        <tr r="AN93" s="2"/>
      </tp>
      <tp>
        <v>30.378340000000001</v>
        <stp/>
        <stp>##V3_BDPV12</stp>
        <stp>DELL US Equity</stp>
        <stp>PR061</stp>
        <stp>[DPM - Securities Master List (BBG Linked).xlsx]Equities!R92C40</stp>
        <tr r="AN92" s="2"/>
      </tp>
      <tp>
        <v>30.378340000000001</v>
        <stp/>
        <stp>##V3_BDPV12</stp>
        <stp>DELL US Equity</stp>
        <stp>PR061</stp>
        <stp>[DPM - Securities Master List (BBG Linked).xlsx]Equities!R97C40</stp>
        <tr r="AN97" s="2"/>
      </tp>
      <tp>
        <v>30.378340000000001</v>
        <stp/>
        <stp>##V3_BDPV12</stp>
        <stp>DELL US Equity</stp>
        <stp>PR061</stp>
        <stp>[DPM - Securities Master List (BBG Linked).xlsx]Equities!R96C40</stp>
        <tr r="AN96" s="2"/>
      </tp>
      <tp>
        <v>30.378340000000001</v>
        <stp/>
        <stp>##V3_BDPV12</stp>
        <stp>DELL US Equity</stp>
        <stp>PR061</stp>
        <stp>[DPM - Securities Master List (BBG Linked).xlsx]Equities!R95C40</stp>
        <tr r="AN95" s="2"/>
      </tp>
      <tp>
        <v>30.378340000000001</v>
        <stp/>
        <stp>##V3_BDPV12</stp>
        <stp>DELL US Equity</stp>
        <stp>PR061</stp>
        <stp>[DPM - Securities Master List (BBG Linked).xlsx]Equities!R94C40</stp>
        <tr r="AN94" s="2"/>
      </tp>
      <tp>
        <v>-11.82968</v>
        <stp/>
        <stp>##V3_BDPV12</stp>
        <stp>DELL US Equity</stp>
        <stp>PR064</stp>
        <stp>[DPM - Securities Master List (BBG Linked).xlsx]Equities!R99C41</stp>
        <tr r="AO99" s="2"/>
      </tp>
      <tp>
        <v>-11.82968</v>
        <stp/>
        <stp>##V3_BDPV12</stp>
        <stp>DELL US Equity</stp>
        <stp>PR064</stp>
        <stp>[DPM - Securities Master List (BBG Linked).xlsx]Equities!R98C41</stp>
        <tr r="AO98" s="2"/>
      </tp>
      <tp>
        <v>-11.82968</v>
        <stp/>
        <stp>##V3_BDPV12</stp>
        <stp>DELL US Equity</stp>
        <stp>PR064</stp>
        <stp>[DPM - Securities Master List (BBG Linked).xlsx]Equities!R93C41</stp>
        <tr r="AO93" s="2"/>
      </tp>
      <tp>
        <v>-11.82968</v>
        <stp/>
        <stp>##V3_BDPV12</stp>
        <stp>DELL US Equity</stp>
        <stp>PR064</stp>
        <stp>[DPM - Securities Master List (BBG Linked).xlsx]Equities!R92C41</stp>
        <tr r="AO92" s="2"/>
      </tp>
      <tp>
        <v>-11.82968</v>
        <stp/>
        <stp>##V3_BDPV12</stp>
        <stp>DELL US Equity</stp>
        <stp>PR064</stp>
        <stp>[DPM - Securities Master List (BBG Linked).xlsx]Equities!R97C41</stp>
        <tr r="AO97" s="2"/>
      </tp>
      <tp>
        <v>-11.82968</v>
        <stp/>
        <stp>##V3_BDPV12</stp>
        <stp>DELL US Equity</stp>
        <stp>PR064</stp>
        <stp>[DPM - Securities Master List (BBG Linked).xlsx]Equities!R96C41</stp>
        <tr r="AO96" s="2"/>
      </tp>
      <tp>
        <v>-11.82968</v>
        <stp/>
        <stp>##V3_BDPV12</stp>
        <stp>DELL US Equity</stp>
        <stp>PR064</stp>
        <stp>[DPM - Securities Master List (BBG Linked).xlsx]Equities!R95C41</stp>
        <tr r="AO95" s="2"/>
      </tp>
      <tp>
        <v>-11.82968</v>
        <stp/>
        <stp>##V3_BDPV12</stp>
        <stp>DELL US Equity</stp>
        <stp>PR064</stp>
        <stp>[DPM - Securities Master List (BBG Linked).xlsx]Equities!R94C41</stp>
        <tr r="AO94" s="2"/>
      </tp>
      <tp>
        <v>-18.960429999999999</v>
        <stp/>
        <stp>##V3_BDPV12</stp>
        <stp>DELL US Equity</stp>
        <stp>PR079</stp>
        <stp>[DPM - Securities Master List (BBG Linked).xlsx]Equities!R99C43</stp>
        <tr r="AQ99" s="2"/>
      </tp>
      <tp>
        <v>-18.960429999999999</v>
        <stp/>
        <stp>##V3_BDPV12</stp>
        <stp>DELL US Equity</stp>
        <stp>PR079</stp>
        <stp>[DPM - Securities Master List (BBG Linked).xlsx]Equities!R98C43</stp>
        <tr r="AQ98" s="2"/>
      </tp>
      <tp>
        <v>-18.960429999999999</v>
        <stp/>
        <stp>##V3_BDPV12</stp>
        <stp>DELL US Equity</stp>
        <stp>PR079</stp>
        <stp>[DPM - Securities Master List (BBG Linked).xlsx]Equities!R93C43</stp>
        <tr r="AQ93" s="2"/>
      </tp>
      <tp>
        <v>-18.960429999999999</v>
        <stp/>
        <stp>##V3_BDPV12</stp>
        <stp>DELL US Equity</stp>
        <stp>PR079</stp>
        <stp>[DPM - Securities Master List (BBG Linked).xlsx]Equities!R92C43</stp>
        <tr r="AQ92" s="2"/>
      </tp>
      <tp>
        <v>-18.960429999999999</v>
        <stp/>
        <stp>##V3_BDPV12</stp>
        <stp>DELL US Equity</stp>
        <stp>PR079</stp>
        <stp>[DPM - Securities Master List (BBG Linked).xlsx]Equities!R97C43</stp>
        <tr r="AQ97" s="2"/>
      </tp>
      <tp>
        <v>-18.960429999999999</v>
        <stp/>
        <stp>##V3_BDPV12</stp>
        <stp>DELL US Equity</stp>
        <stp>PR079</stp>
        <stp>[DPM - Securities Master List (BBG Linked).xlsx]Equities!R96C43</stp>
        <tr r="AQ96" s="2"/>
      </tp>
      <tp>
        <v>-18.960429999999999</v>
        <stp/>
        <stp>##V3_BDPV12</stp>
        <stp>DELL US Equity</stp>
        <stp>PR079</stp>
        <stp>[DPM - Securities Master List (BBG Linked).xlsx]Equities!R95C43</stp>
        <tr r="AQ95" s="2"/>
      </tp>
      <tp>
        <v>-18.960429999999999</v>
        <stp/>
        <stp>##V3_BDPV12</stp>
        <stp>DELL US Equity</stp>
        <stp>PR079</stp>
        <stp>[DPM - Securities Master List (BBG Linked).xlsx]Equities!R94C43</stp>
        <tr r="AQ94" s="2"/>
      </tp>
      <tp>
        <v>66.245000000000005</v>
        <stp/>
        <stp>##V3_BDPV12</stp>
        <stp>DELL US Equity</stp>
        <stp>hs002</stp>
        <stp>[DPM - Securities Master List (BBG Linked).xlsx]Equities!R98C45</stp>
        <tr r="AS98" s="2"/>
      </tp>
      <tp>
        <v>66.245000000000005</v>
        <stp/>
        <stp>##V3_BDPV12</stp>
        <stp>DELL US Equity</stp>
        <stp>hs002</stp>
        <stp>[DPM - Securities Master List (BBG Linked).xlsx]Equities!R99C45</stp>
        <tr r="AS99" s="2"/>
      </tp>
      <tp>
        <v>66.245000000000005</v>
        <stp/>
        <stp>##V3_BDPV12</stp>
        <stp>DELL US Equity</stp>
        <stp>hs002</stp>
        <stp>[DPM - Securities Master List (BBG Linked).xlsx]Equities!R92C45</stp>
        <tr r="AS92" s="2"/>
      </tp>
      <tp>
        <v>66.245000000000005</v>
        <stp/>
        <stp>##V3_BDPV12</stp>
        <stp>DELL US Equity</stp>
        <stp>hs002</stp>
        <stp>[DPM - Securities Master List (BBG Linked).xlsx]Equities!R93C45</stp>
        <tr r="AS93" s="2"/>
      </tp>
      <tp>
        <v>66.245000000000005</v>
        <stp/>
        <stp>##V3_BDPV12</stp>
        <stp>DELL US Equity</stp>
        <stp>hs002</stp>
        <stp>[DPM - Securities Master List (BBG Linked).xlsx]Equities!R96C45</stp>
        <tr r="AS96" s="2"/>
      </tp>
      <tp>
        <v>66.245000000000005</v>
        <stp/>
        <stp>##V3_BDPV12</stp>
        <stp>DELL US Equity</stp>
        <stp>hs002</stp>
        <stp>[DPM - Securities Master List (BBG Linked).xlsx]Equities!R97C45</stp>
        <tr r="AS97" s="2"/>
      </tp>
      <tp>
        <v>66.245000000000005</v>
        <stp/>
        <stp>##V3_BDPV12</stp>
        <stp>DELL US Equity</stp>
        <stp>hs002</stp>
        <stp>[DPM - Securities Master List (BBG Linked).xlsx]Equities!R94C45</stp>
        <tr r="AS94" s="2"/>
      </tp>
      <tp>
        <v>66.245000000000005</v>
        <stp/>
        <stp>##V3_BDPV12</stp>
        <stp>DELL US Equity</stp>
        <stp>hs002</stp>
        <stp>[DPM - Securities Master List (BBG Linked).xlsx]Equities!R95C45</stp>
        <tr r="AS95" s="2"/>
      </tp>
      <tp>
        <v>179.7</v>
        <stp/>
        <stp>##V3_BDPV12</stp>
        <stp>DELL US Equity</stp>
        <stp>hs001</stp>
        <stp>[DPM - Securities Master List (BBG Linked).xlsx]Equities!R98C44</stp>
        <tr r="AR98" s="2"/>
      </tp>
      <tp>
        <v>179.7</v>
        <stp/>
        <stp>##V3_BDPV12</stp>
        <stp>DELL US Equity</stp>
        <stp>hs001</stp>
        <stp>[DPM - Securities Master List (BBG Linked).xlsx]Equities!R99C44</stp>
        <tr r="AR99" s="2"/>
      </tp>
      <tp>
        <v>179.7</v>
        <stp/>
        <stp>##V3_BDPV12</stp>
        <stp>DELL US Equity</stp>
        <stp>hs001</stp>
        <stp>[DPM - Securities Master List (BBG Linked).xlsx]Equities!R92C44</stp>
        <tr r="AR92" s="2"/>
      </tp>
      <tp>
        <v>179.7</v>
        <stp/>
        <stp>##V3_BDPV12</stp>
        <stp>DELL US Equity</stp>
        <stp>hs001</stp>
        <stp>[DPM - Securities Master List (BBG Linked).xlsx]Equities!R93C44</stp>
        <tr r="AR93" s="2"/>
      </tp>
      <tp>
        <v>179.7</v>
        <stp/>
        <stp>##V3_BDPV12</stp>
        <stp>DELL US Equity</stp>
        <stp>hs001</stp>
        <stp>[DPM - Securities Master List (BBG Linked).xlsx]Equities!R96C44</stp>
        <tr r="AR96" s="2"/>
      </tp>
      <tp>
        <v>179.7</v>
        <stp/>
        <stp>##V3_BDPV12</stp>
        <stp>DELL US Equity</stp>
        <stp>hs001</stp>
        <stp>[DPM - Securities Master List (BBG Linked).xlsx]Equities!R97C44</stp>
        <tr r="AR97" s="2"/>
      </tp>
      <tp>
        <v>179.7</v>
        <stp/>
        <stp>##V3_BDPV12</stp>
        <stp>DELL US Equity</stp>
        <stp>hs001</stp>
        <stp>[DPM - Securities Master List (BBG Linked).xlsx]Equities!R94C44</stp>
        <tr r="AR94" s="2"/>
      </tp>
      <tp>
        <v>179.7</v>
        <stp/>
        <stp>##V3_BDPV12</stp>
        <stp>DELL US Equity</stp>
        <stp>hs001</stp>
        <stp>[DPM - Securities Master List (BBG Linked).xlsx]Equities!R95C44</stp>
        <tr r="AR95" s="2"/>
      </tp>
      <tp t="s">
        <v>US24703L2025</v>
        <stp/>
        <stp>##V3_BDPV12</stp>
        <stp>DELL US Equity</stp>
        <stp>ID005</stp>
        <stp>[DPM - Securities Master List (BBG Linked).xlsx]Equities!R99C55</stp>
        <tr r="BC99" s="2"/>
      </tp>
      <tp t="s">
        <v>US24703L2025</v>
        <stp/>
        <stp>##V3_BDPV12</stp>
        <stp>DELL US Equity</stp>
        <stp>ID005</stp>
        <stp>[DPM - Securities Master List (BBG Linked).xlsx]Equities!R98C55</stp>
        <tr r="BC98" s="2"/>
      </tp>
      <tp t="s">
        <v>US24703L2025</v>
        <stp/>
        <stp>##V3_BDPV12</stp>
        <stp>DELL US Equity</stp>
        <stp>ID005</stp>
        <stp>[DPM - Securities Master List (BBG Linked).xlsx]Equities!R95C55</stp>
        <tr r="BC95" s="2"/>
      </tp>
      <tp t="s">
        <v>US24703L2025</v>
        <stp/>
        <stp>##V3_BDPV12</stp>
        <stp>DELL US Equity</stp>
        <stp>ID005</stp>
        <stp>[DPM - Securities Master List (BBG Linked).xlsx]Equities!R94C55</stp>
        <tr r="BC94" s="2"/>
      </tp>
      <tp t="s">
        <v>US24703L2025</v>
        <stp/>
        <stp>##V3_BDPV12</stp>
        <stp>DELL US Equity</stp>
        <stp>ID005</stp>
        <stp>[DPM - Securities Master List (BBG Linked).xlsx]Equities!R97C55</stp>
        <tr r="BC97" s="2"/>
      </tp>
      <tp t="s">
        <v>US24703L2025</v>
        <stp/>
        <stp>##V3_BDPV12</stp>
        <stp>DELL US Equity</stp>
        <stp>ID005</stp>
        <stp>[DPM - Securities Master List (BBG Linked).xlsx]Equities!R96C55</stp>
        <tr r="BC96" s="2"/>
      </tp>
      <tp t="s">
        <v>US24703L2025</v>
        <stp/>
        <stp>##V3_BDPV12</stp>
        <stp>DELL US Equity</stp>
        <stp>ID005</stp>
        <stp>[DPM - Securities Master List (BBG Linked).xlsx]Equities!R93C55</stp>
        <tr r="BC93" s="2"/>
      </tp>
      <tp t="s">
        <v>US24703L2025</v>
        <stp/>
        <stp>##V3_BDPV12</stp>
        <stp>DELL US Equity</stp>
        <stp>ID005</stp>
        <stp>[DPM - Securities Master List (BBG Linked).xlsx]Equities!R92C55</stp>
        <tr r="BC92" s="2"/>
      </tp>
      <tp>
        <v>31.757078724951722</v>
        <stp/>
        <stp>##V3_BDPV12</stp>
        <stp>DELL US Equity</stp>
        <stp>RR041</stp>
        <stp>[DPM - Securities Master List (BBG Linked).xlsx]Equities!R99C33</stp>
        <tr r="AG99" s="2"/>
        <tr r="AG99" s="2"/>
        <tr r="AG99" s="2"/>
      </tp>
      <tp>
        <v>31.757078724951722</v>
        <stp/>
        <stp>##V3_BDPV12</stp>
        <stp>DELL US Equity</stp>
        <stp>RR041</stp>
        <stp>[DPM - Securities Master List (BBG Linked).xlsx]Equities!R98C33</stp>
        <tr r="AG98" s="2"/>
        <tr r="AG98" s="2"/>
        <tr r="AG98" s="2"/>
      </tp>
      <tp>
        <v>31.757078724951722</v>
        <stp/>
        <stp>##V3_BDPV12</stp>
        <stp>DELL US Equity</stp>
        <stp>RR041</stp>
        <stp>[DPM - Securities Master List (BBG Linked).xlsx]Equities!R93C33</stp>
        <tr r="AG93" s="2"/>
        <tr r="AG93" s="2"/>
        <tr r="AG93" s="2"/>
      </tp>
      <tp>
        <v>31.757078724951722</v>
        <stp/>
        <stp>##V3_BDPV12</stp>
        <stp>DELL US Equity</stp>
        <stp>RR041</stp>
        <stp>[DPM - Securities Master List (BBG Linked).xlsx]Equities!R92C33</stp>
        <tr r="AG92" s="2"/>
        <tr r="AG92" s="2"/>
        <tr r="AG92" s="2"/>
      </tp>
      <tp>
        <v>31.757078724951722</v>
        <stp/>
        <stp>##V3_BDPV12</stp>
        <stp>DELL US Equity</stp>
        <stp>RR041</stp>
        <stp>[DPM - Securities Master List (BBG Linked).xlsx]Equities!R97C33</stp>
        <tr r="AG97" s="2"/>
        <tr r="AG97" s="2"/>
        <tr r="AG97" s="2"/>
      </tp>
      <tp>
        <v>31.757078724951722</v>
        <stp/>
        <stp>##V3_BDPV12</stp>
        <stp>DELL US Equity</stp>
        <stp>RR041</stp>
        <stp>[DPM - Securities Master List (BBG Linked).xlsx]Equities!R96C33</stp>
        <tr r="AG96" s="2"/>
        <tr r="AG96" s="2"/>
        <tr r="AG96" s="2"/>
      </tp>
      <tp>
        <v>31.757078724951722</v>
        <stp/>
        <stp>##V3_BDPV12</stp>
        <stp>DELL US Equity</stp>
        <stp>RR041</stp>
        <stp>[DPM - Securities Master List (BBG Linked).xlsx]Equities!R95C33</stp>
        <tr r="AG95" s="2"/>
        <tr r="AG95" s="2"/>
        <tr r="AG95" s="2"/>
      </tp>
      <tp>
        <v>31.757078724951722</v>
        <stp/>
        <stp>##V3_BDPV12</stp>
        <stp>DELL US Equity</stp>
        <stp>RR041</stp>
        <stp>[DPM - Securities Master List (BBG Linked).xlsx]Equities!R94C33</stp>
        <tr r="AG94" s="2"/>
        <tr r="AG94" s="2"/>
        <tr r="AG94" s="2"/>
      </tp>
      <tp t="s">
        <v>Y</v>
        <stp/>
        <stp>##V3_BDPV12</stp>
        <stp>ON US Equity</stp>
        <stp>DY997</stp>
        <stp>[DPM - Securities Master List (BBG Linked).xlsx]Equities!R226C47</stp>
        <tr r="AU226" s="2"/>
        <tr r="AU226" s="2"/>
        <tr r="AU226" s="2"/>
      </tp>
      <tp>
        <v>42718.897019579992</v>
        <stp/>
        <stp>##V3_BDPV12</stp>
        <stp>TGT US Equity</stp>
        <stp>CRNCY_ADJ_MKT_CAP</stp>
        <stp>[DPM - Securities Master List (BBG Linked).xlsx]Equities!R261C9</stp>
        <stp>EQY_FUND_CRNCY=USD</stp>
        <tr r="I261" s="2"/>
      </tp>
      <tp>
        <v>202615.11180457001</v>
        <stp/>
        <stp>##V3_BDPV12</stp>
        <stp>MRK US Equity</stp>
        <stp>CRNCY_ADJ_MKT_CAP</stp>
        <stp>[DPM - Securities Master List (BBG Linked).xlsx]Equities!R163C9</stp>
        <stp>EQY_FUND_CRNCY=USD</stp>
        <tr r="I163" s="2"/>
      </tp>
      <tp>
        <v>202615.11180457001</v>
        <stp/>
        <stp>##V3_BDPV12</stp>
        <stp>MRK US Equity</stp>
        <stp>CRNCY_ADJ_MKT_CAP</stp>
        <stp>[DPM - Securities Master List (BBG Linked).xlsx]Equities!R162C9</stp>
        <stp>EQY_FUND_CRNCY=USD</stp>
        <tr r="I162" s="2"/>
      </tp>
      <tp>
        <v>202615.11180457001</v>
        <stp/>
        <stp>##V3_BDPV12</stp>
        <stp>MRK US Equity</stp>
        <stp>CRNCY_ADJ_MKT_CAP</stp>
        <stp>[DPM - Securities Master List (BBG Linked).xlsx]Equities!R161C9</stp>
        <stp>EQY_FUND_CRNCY=USD</stp>
        <tr r="I161" s="2"/>
      </tp>
      <tp>
        <v>202615.11180457001</v>
        <stp/>
        <stp>##V3_BDPV12</stp>
        <stp>MRK US Equity</stp>
        <stp>CRNCY_ADJ_MKT_CAP</stp>
        <stp>[DPM - Securities Master List (BBG Linked).xlsx]Equities!R160C9</stp>
        <stp>EQY_FUND_CRNCY=USD</stp>
        <tr r="I160" s="2"/>
      </tp>
      <tp>
        <v>202615.11180457001</v>
        <stp/>
        <stp>##V3_BDPV12</stp>
        <stp>MRK US Equity</stp>
        <stp>CRNCY_ADJ_MKT_CAP</stp>
        <stp>[DPM - Securities Master List (BBG Linked).xlsx]Equities!R167C9</stp>
        <stp>EQY_FUND_CRNCY=USD</stp>
        <tr r="I167" s="2"/>
      </tp>
      <tp>
        <v>202615.11180457001</v>
        <stp/>
        <stp>##V3_BDPV12</stp>
        <stp>MRK US Equity</stp>
        <stp>CRNCY_ADJ_MKT_CAP</stp>
        <stp>[DPM - Securities Master List (BBG Linked).xlsx]Equities!R166C9</stp>
        <stp>EQY_FUND_CRNCY=USD</stp>
        <tr r="I166" s="2"/>
      </tp>
      <tp>
        <v>202615.11180457001</v>
        <stp/>
        <stp>##V3_BDPV12</stp>
        <stp>MRK US Equity</stp>
        <stp>CRNCY_ADJ_MKT_CAP</stp>
        <stp>[DPM - Securities Master List (BBG Linked).xlsx]Equities!R165C9</stp>
        <stp>EQY_FUND_CRNCY=USD</stp>
        <tr r="I165" s="2"/>
      </tp>
      <tp>
        <v>202615.11180457001</v>
        <stp/>
        <stp>##V3_BDPV12</stp>
        <stp>MRK US Equity</stp>
        <stp>CRNCY_ADJ_MKT_CAP</stp>
        <stp>[DPM - Securities Master List (BBG Linked).xlsx]Equities!R164C9</stp>
        <stp>EQY_FUND_CRNCY=USD</stp>
        <tr r="I164" s="2"/>
      </tp>
      <tp>
        <v>202615.11180457001</v>
        <stp/>
        <stp>##V3_BDPV12</stp>
        <stp>MRK US Equity</stp>
        <stp>CRNCY_ADJ_MKT_CAP</stp>
        <stp>[DPM - Securities Master List (BBG Linked).xlsx]Equities!R169C9</stp>
        <stp>EQY_FUND_CRNCY=USD</stp>
        <tr r="I169" s="2"/>
      </tp>
      <tp>
        <v>202615.11180457001</v>
        <stp/>
        <stp>##V3_BDPV12</stp>
        <stp>MRK US Equity</stp>
        <stp>CRNCY_ADJ_MKT_CAP</stp>
        <stp>[DPM - Securities Master List (BBG Linked).xlsx]Equities!R168C9</stp>
        <stp>EQY_FUND_CRNCY=USD</stp>
        <tr r="I168" s="2"/>
      </tp>
      <tp t="s">
        <v>AUD</v>
        <stp/>
        <stp>##V3_BDPV12</stp>
        <stp>NEM AT Equity</stp>
        <stp>CRNCY</stp>
        <stp>[DPM - Securities Master List (BBG Linked).xlsx]Equities!R190C6</stp>
        <tr r="F190" s="2"/>
      </tp>
      <tp t="s">
        <v>USD</v>
        <stp/>
        <stp>##V3_BDPV12</stp>
        <stp>ZBH US Equity</stp>
        <stp>CRNCY</stp>
        <stp>[DPM - Securities Master List (BBG Linked).xlsx]Equities!R300C6</stp>
        <tr r="F300" s="2"/>
      </tp>
      <tp t="s">
        <v>SSE PLC</v>
        <stp/>
        <stp>##V3_BDPV12</stp>
        <stp>SSE LN Equity</stp>
        <stp>SECURITY NAME</stp>
        <stp>[DPM - Securities Master List (BBG Linked).xlsx]Equities!R248C5</stp>
        <tr r="E248" s="2"/>
      </tp>
      <tp t="s">
        <v>SSE PLC</v>
        <stp/>
        <stp>##V3_BDPV12</stp>
        <stp>SSE LN Equity</stp>
        <stp>SECURITY NAME</stp>
        <stp>[DPM - Securities Master List (BBG Linked).xlsx]Equities!R258C5</stp>
        <tr r="E258" s="2"/>
      </tp>
      <tp t="s">
        <v>EUR</v>
        <stp/>
        <stp>##V3_BDPV12</stp>
        <stp>KER FP Equity</stp>
        <stp>CRNCY</stp>
        <stp>[DPM - Securities Master List (BBG Linked).xlsx]Equities!R152C6</stp>
        <tr r="F152" s="2"/>
      </tp>
      <tp t="s">
        <v>GBp</v>
        <stp/>
        <stp>##V3_BDPV12</stp>
        <stp>GSK LN Equity</stp>
        <stp>CRNCY</stp>
        <stp>[DPM - Securities Master List (BBG Linked).xlsx]Equities!R144C6</stp>
        <tr r="F144" s="2"/>
      </tp>
      <tp t="s">
        <v>#N/A Invalid Field</v>
        <stp/>
        <stp>##V3_BDPV12</stp>
        <stp>3690 HK Equity</stp>
        <stp/>
        <stp>[DPM - Securities Master List (BBG Linked).xlsx]Equities!R9C29</stp>
        <tr r="AC9" s="2"/>
        <tr r="AC9" s="2"/>
      </tp>
      <tp t="s">
        <v>#N/A Invalid Field</v>
        <stp/>
        <stp>##V3_BDPV12</stp>
        <stp>3690 HK Equity</stp>
        <stp/>
        <stp>[DPM - Securities Master List (BBG Linked).xlsx]Equities!R8C29</stp>
        <tr r="AC8" s="2"/>
        <tr r="AC8" s="2"/>
      </tp>
      <tp t="s">
        <v>#N/A Invalid Field</v>
        <stp/>
        <stp>##V3_BDPV12</stp>
        <stp>3690 HK Equity</stp>
        <stp/>
        <stp>[DPM - Securities Master List (BBG Linked).xlsx]Equities!R7C29</stp>
        <tr r="AC7" s="2"/>
        <tr r="AC7" s="2"/>
      </tp>
      <tp t="s">
        <v>GBp</v>
        <stp/>
        <stp>##V3_BDPV12</stp>
        <stp>DRX LN Equity</stp>
        <stp>CRNCY</stp>
        <stp>[DPM - Securities Master List (BBG Linked).xlsx]Equities!R117C6</stp>
        <tr r="F117" s="2"/>
      </tp>
      <tp t="s">
        <v>#N/A Invalid Field</v>
        <stp/>
        <stp>##V3_BDPV12</stp>
        <stp>2020 HK Equity</stp>
        <stp/>
        <stp>[DPM - Securities Master List (BBG Linked).xlsx]Equities!R4C29</stp>
        <tr r="AC4" s="2"/>
        <tr r="AC4" s="2"/>
      </tp>
      <tp t="s">
        <v>#N/A Invalid Field</v>
        <stp/>
        <stp>##V3_BDPV12</stp>
        <stp>2020 HK Equity</stp>
        <stp/>
        <stp>[DPM - Securities Master List (BBG Linked).xlsx]Equities!R5C29</stp>
        <tr r="AC5" s="2"/>
        <tr r="AC5" s="2"/>
      </tp>
      <tp t="s">
        <v>#N/A Invalid Field</v>
        <stp/>
        <stp>##V3_BDPV12</stp>
        <stp>2020 HK Equity</stp>
        <stp/>
        <stp>[DPM - Securities Master List (BBG Linked).xlsx]Equities!R6C29</stp>
        <tr r="AC6" s="2"/>
        <tr r="AC6" s="2"/>
      </tp>
      <tp t="s">
        <v>#N/A Invalid Field</v>
        <stp/>
        <stp>##V3_BDPV12</stp>
        <stp>2020 HK Equity</stp>
        <stp/>
        <stp>[DPM - Securities Master List (BBG Linked).xlsx]Equities!R3C29</stp>
        <tr r="AC3" s="2"/>
        <tr r="AC3" s="2"/>
      </tp>
      <tp>
        <v>5854</v>
        <stp/>
        <stp>##V3_BDPV12</stp>
        <stp>RIO LN Equity</stp>
        <stp>hs001</stp>
        <stp>[DPM - Securities Master List (BBG Linked).xlsx]Equities!R242C44</stp>
        <tr r="AR242" s="2"/>
      </tp>
      <tp>
        <v>4025</v>
        <stp/>
        <stp>##V3_BDPV12</stp>
        <stp>RIO LN Equity</stp>
        <stp>hs002</stp>
        <stp>[DPM - Securities Master List (BBG Linked).xlsx]Equities!R242C45</stp>
        <tr r="AS242" s="2"/>
      </tp>
      <tp t="s">
        <v>TotalEnergies SE</v>
        <stp/>
        <stp>##V3_BDPV12</stp>
        <stp>TTE FP Equity</stp>
        <stp>SECURITY NAME</stp>
        <stp>[DPM - Securities Master List (BBG Linked).xlsx]Equities!R285C5</stp>
        <tr r="E285" s="2"/>
      </tp>
      <tp>
        <v>2.4012006957152896</v>
        <stp/>
        <stp>##V3_BDPV12</stp>
        <stp>LUV US Equity</stp>
        <stp>DV013</stp>
        <stp>[DPM - Securities Master List (BBG Linked).xlsx]Equities!R154C10</stp>
        <tr r="J154" s="2"/>
      </tp>
      <tp>
        <v>11.345062429057888</v>
        <stp/>
        <stp>##V3_BDPV12</stp>
        <stp>LUV US Equity</stp>
        <stp>EE010</stp>
        <stp>[DPM - Securities Master List (BBG Linked).xlsx]Equities!R154C12</stp>
        <tr r="L154" s="2"/>
        <tr r="L154" s="2"/>
        <tr r="L154" s="2"/>
      </tp>
      <tp>
        <v>6.2158853978635484</v>
        <stp/>
        <stp>##V3_BDPV12</stp>
        <stp>RIO LN Equity</stp>
        <stp>RR908</stp>
        <stp>[DPM - Securities Master List (BBG Linked).xlsx]Equities!R242C32</stp>
        <tr r="AF242" s="2"/>
        <tr r="AF242" s="2"/>
        <tr r="AF242" s="2"/>
      </tp>
      <tp>
        <v>-8.3702470000000009</v>
        <stp/>
        <stp>##V3_BDPV12</stp>
        <stp>MRK US Equity</stp>
        <stp>PR064</stp>
        <stp>[DPM - Securities Master List (BBG Linked).xlsx]Equities!R168C41</stp>
        <tr r="AO168" s="2"/>
      </tp>
      <tp>
        <v>-8.3702470000000009</v>
        <stp/>
        <stp>##V3_BDPV12</stp>
        <stp>MRK US Equity</stp>
        <stp>PR064</stp>
        <stp>[DPM - Securities Master List (BBG Linked).xlsx]Equities!R169C41</stp>
        <tr r="AO169" s="2"/>
      </tp>
      <tp>
        <v>-8.3702470000000009</v>
        <stp/>
        <stp>##V3_BDPV12</stp>
        <stp>MRK US Equity</stp>
        <stp>PR064</stp>
        <stp>[DPM - Securities Master List (BBG Linked).xlsx]Equities!R166C41</stp>
        <tr r="AO166" s="2"/>
      </tp>
      <tp>
        <v>-8.3702470000000009</v>
        <stp/>
        <stp>##V3_BDPV12</stp>
        <stp>MRK US Equity</stp>
        <stp>PR064</stp>
        <stp>[DPM - Securities Master List (BBG Linked).xlsx]Equities!R167C41</stp>
        <tr r="AO167" s="2"/>
      </tp>
      <tp>
        <v>-8.3702470000000009</v>
        <stp/>
        <stp>##V3_BDPV12</stp>
        <stp>MRK US Equity</stp>
        <stp>PR064</stp>
        <stp>[DPM - Securities Master List (BBG Linked).xlsx]Equities!R164C41</stp>
        <tr r="AO164" s="2"/>
      </tp>
      <tp>
        <v>-8.3702470000000009</v>
        <stp/>
        <stp>##V3_BDPV12</stp>
        <stp>MRK US Equity</stp>
        <stp>PR064</stp>
        <stp>[DPM - Securities Master List (BBG Linked).xlsx]Equities!R165C41</stp>
        <tr r="AO165" s="2"/>
      </tp>
      <tp>
        <v>-8.3702470000000009</v>
        <stp/>
        <stp>##V3_BDPV12</stp>
        <stp>MRK US Equity</stp>
        <stp>PR064</stp>
        <stp>[DPM - Securities Master List (BBG Linked).xlsx]Equities!R162C41</stp>
        <tr r="AO162" s="2"/>
      </tp>
      <tp>
        <v>-8.3702470000000009</v>
        <stp/>
        <stp>##V3_BDPV12</stp>
        <stp>MRK US Equity</stp>
        <stp>PR064</stp>
        <stp>[DPM - Securities Master List (BBG Linked).xlsx]Equities!R163C41</stp>
        <tr r="AO163" s="2"/>
      </tp>
      <tp>
        <v>-8.3702470000000009</v>
        <stp/>
        <stp>##V3_BDPV12</stp>
        <stp>MRK US Equity</stp>
        <stp>PR064</stp>
        <stp>[DPM - Securities Master List (BBG Linked).xlsx]Equities!R160C41</stp>
        <tr r="AO160" s="2"/>
      </tp>
      <tp>
        <v>-8.3702470000000009</v>
        <stp/>
        <stp>##V3_BDPV12</stp>
        <stp>MRK US Equity</stp>
        <stp>PR064</stp>
        <stp>[DPM - Securities Master List (BBG Linked).xlsx]Equities!R161C41</stp>
        <tr r="AO161" s="2"/>
      </tp>
      <tp>
        <v>-8.3702470000000009</v>
        <stp/>
        <stp>##V3_BDPV12</stp>
        <stp>MRK US Equity</stp>
        <stp>PR064</stp>
        <stp>[DPM - Securities Master List (BBG Linked).xlsx]Equities!R158C41</stp>
        <tr r="AO158" s="2"/>
      </tp>
      <tp>
        <v>-8.3702470000000009</v>
        <stp/>
        <stp>##V3_BDPV12</stp>
        <stp>MRK US Equity</stp>
        <stp>PR064</stp>
        <stp>[DPM - Securities Master List (BBG Linked).xlsx]Equities!R159C41</stp>
        <tr r="AO159" s="2"/>
      </tp>
      <tp>
        <v>-8.3702470000000009</v>
        <stp/>
        <stp>##V3_BDPV12</stp>
        <stp>MRK US Equity</stp>
        <stp>PR064</stp>
        <stp>[DPM - Securities Master List (BBG Linked).xlsx]Equities!R157C41</stp>
        <tr r="AO157" s="2"/>
      </tp>
      <tp>
        <v>1.7561628543647687</v>
        <stp/>
        <stp>##V3_BDPV12</stp>
        <stp>RIO LN Equity</stp>
        <stp>RR903</stp>
        <stp>[DPM - Securities Master List (BBG Linked).xlsx]Equities!R242C13</stp>
        <tr r="M242" s="2"/>
        <tr r="M242" s="2"/>
        <tr r="M242" s="2"/>
      </tp>
      <tp>
        <v>-0.96968359999999998</v>
        <stp/>
        <stp>##V3_BDPV12</stp>
        <stp>MRK US Equity</stp>
        <stp>PR061</stp>
        <stp>[DPM - Securities Master List (BBG Linked).xlsx]Equities!R168C40</stp>
        <tr r="AN168" s="2"/>
      </tp>
      <tp>
        <v>-0.96968359999999998</v>
        <stp/>
        <stp>##V3_BDPV12</stp>
        <stp>MRK US Equity</stp>
        <stp>PR061</stp>
        <stp>[DPM - Securities Master List (BBG Linked).xlsx]Equities!R169C40</stp>
        <tr r="AN169" s="2"/>
      </tp>
      <tp>
        <v>-0.96968359999999998</v>
        <stp/>
        <stp>##V3_BDPV12</stp>
        <stp>MRK US Equity</stp>
        <stp>PR061</stp>
        <stp>[DPM - Securities Master List (BBG Linked).xlsx]Equities!R166C40</stp>
        <tr r="AN166" s="2"/>
      </tp>
      <tp>
        <v>-0.96968359999999998</v>
        <stp/>
        <stp>##V3_BDPV12</stp>
        <stp>MRK US Equity</stp>
        <stp>PR061</stp>
        <stp>[DPM - Securities Master List (BBG Linked).xlsx]Equities!R167C40</stp>
        <tr r="AN167" s="2"/>
      </tp>
      <tp>
        <v>-0.96968359999999998</v>
        <stp/>
        <stp>##V3_BDPV12</stp>
        <stp>MRK US Equity</stp>
        <stp>PR061</stp>
        <stp>[DPM - Securities Master List (BBG Linked).xlsx]Equities!R164C40</stp>
        <tr r="AN164" s="2"/>
      </tp>
      <tp>
        <v>-0.96968359999999998</v>
        <stp/>
        <stp>##V3_BDPV12</stp>
        <stp>MRK US Equity</stp>
        <stp>PR061</stp>
        <stp>[DPM - Securities Master List (BBG Linked).xlsx]Equities!R165C40</stp>
        <tr r="AN165" s="2"/>
      </tp>
      <tp>
        <v>-0.96968359999999998</v>
        <stp/>
        <stp>##V3_BDPV12</stp>
        <stp>MRK US Equity</stp>
        <stp>PR061</stp>
        <stp>[DPM - Securities Master List (BBG Linked).xlsx]Equities!R162C40</stp>
        <tr r="AN162" s="2"/>
      </tp>
      <tp>
        <v>-0.96968359999999998</v>
        <stp/>
        <stp>##V3_BDPV12</stp>
        <stp>MRK US Equity</stp>
        <stp>PR061</stp>
        <stp>[DPM - Securities Master List (BBG Linked).xlsx]Equities!R163C40</stp>
        <tr r="AN163" s="2"/>
      </tp>
      <tp>
        <v>-0.96968359999999998</v>
        <stp/>
        <stp>##V3_BDPV12</stp>
        <stp>MRK US Equity</stp>
        <stp>PR061</stp>
        <stp>[DPM - Securities Master List (BBG Linked).xlsx]Equities!R160C40</stp>
        <tr r="AN160" s="2"/>
      </tp>
      <tp>
        <v>-0.96968359999999998</v>
        <stp/>
        <stp>##V3_BDPV12</stp>
        <stp>MRK US Equity</stp>
        <stp>PR061</stp>
        <stp>[DPM - Securities Master List (BBG Linked).xlsx]Equities!R161C40</stp>
        <tr r="AN161" s="2"/>
      </tp>
      <tp>
        <v>-0.96968359999999998</v>
        <stp/>
        <stp>##V3_BDPV12</stp>
        <stp>MRK US Equity</stp>
        <stp>PR061</stp>
        <stp>[DPM - Securities Master List (BBG Linked).xlsx]Equities!R158C40</stp>
        <tr r="AN158" s="2"/>
      </tp>
      <tp>
        <v>-0.96968359999999998</v>
        <stp/>
        <stp>##V3_BDPV12</stp>
        <stp>MRK US Equity</stp>
        <stp>PR061</stp>
        <stp>[DPM - Securities Master List (BBG Linked).xlsx]Equities!R159C40</stp>
        <tr r="AN159" s="2"/>
      </tp>
      <tp>
        <v>-0.96968359999999998</v>
        <stp/>
        <stp>##V3_BDPV12</stp>
        <stp>MRK US Equity</stp>
        <stp>PR061</stp>
        <stp>[DPM - Securities Master List (BBG Linked).xlsx]Equities!R157C40</stp>
        <tr r="AN157" s="2"/>
      </tp>
      <tp>
        <v>8.3935407090171683</v>
        <stp/>
        <stp>##V3_BDPV12</stp>
        <stp>RIO LN Equity</stp>
        <stp>RR900</stp>
        <stp>[DPM - Securities Master List (BBG Linked).xlsx]Equities!R242C11</stp>
        <tr r="K242" s="2"/>
        <tr r="K242" s="2"/>
        <tr r="K242" s="2"/>
      </tp>
      <tp t="s">
        <v>Equity</v>
        <stp/>
        <stp>##V3_BDPV12</stp>
        <stp>NVO US Equity</stp>
        <stp>EX028</stp>
        <stp>[DPM - Securities Master List (BBG Linked).xlsx]Equities!R225C30</stp>
        <tr r="AD225" s="2"/>
        <tr r="AD225" s="2"/>
        <tr r="AD225" s="2"/>
      </tp>
      <tp>
        <v>91.6</v>
        <stp/>
        <stp>##V3_BDPV12</stp>
        <stp>2020 HK Equity</stp>
        <stp>PX_last</stp>
        <stp>[DPM - Securities Master List (BBG Linked).xlsx]Equities!R6C17</stp>
        <tr r="Q6" s="2"/>
      </tp>
      <tp>
        <v>91.6</v>
        <stp/>
        <stp>##V3_BDPV12</stp>
        <stp>2020 HK Equity</stp>
        <stp>PX_last</stp>
        <stp>[DPM - Securities Master List (BBG Linked).xlsx]Equities!R5C17</stp>
        <tr r="Q5" s="2"/>
      </tp>
      <tp>
        <v>91.6</v>
        <stp/>
        <stp>##V3_BDPV12</stp>
        <stp>2020 HK Equity</stp>
        <stp>PX_last</stp>
        <stp>[DPM - Securities Master List (BBG Linked).xlsx]Equities!R4C17</stp>
        <tr r="Q4" s="2"/>
      </tp>
      <tp>
        <v>91.6</v>
        <stp/>
        <stp>##V3_BDPV12</stp>
        <stp>2020 HK Equity</stp>
        <stp>PX_last</stp>
        <stp>[DPM - Securities Master List (BBG Linked).xlsx]Equities!R3C17</stp>
        <tr r="Q3" s="2"/>
      </tp>
      <tp>
        <v>4.4230771064758301</v>
        <stp/>
        <stp>##V3_BDPV12</stp>
        <stp>RIO LN Equity</stp>
        <stp>EE201</stp>
        <stp>[DPM - Securities Master List (BBG Linked).xlsx]Equities!R242C37</stp>
        <tr r="AK242" s="2"/>
        <tr r="AK242" s="2"/>
        <tr r="AK242" s="2"/>
      </tp>
      <tp t="s">
        <v>Materials</v>
        <stp/>
        <stp>##V3_BDPV12</stp>
        <stp>RIO LN Equity</stp>
        <stp>DX202</stp>
        <stp>[DPM - Securities Master List (BBG Linked).xlsx]Equities!R242C46</stp>
        <tr r="AT242" s="2"/>
        <tr r="AT242" s="2"/>
        <tr r="AT242" s="2"/>
      </tp>
      <tp t="s">
        <v>Y</v>
        <stp/>
        <stp>##V3_BDPV12</stp>
        <stp>BMRN US Equity</stp>
        <stp>DY784</stp>
        <stp>[DPM - Securities Master List (BBG Linked).xlsx]Equities!R74C48</stp>
        <tr r="AV74" s="2"/>
        <tr r="AV74" s="2"/>
        <tr r="AV74" s="2"/>
      </tp>
      <tp t="s">
        <v>Y</v>
        <stp/>
        <stp>##V3_BDPV12</stp>
        <stp>BMRN US Equity</stp>
        <stp>DY784</stp>
        <stp>[DPM - Securities Master List (BBG Linked).xlsx]Equities!R75C48</stp>
        <tr r="AV75" s="2"/>
        <tr r="AV75" s="2"/>
        <tr r="AV75" s="2"/>
      </tp>
      <tp t="s">
        <v>Y</v>
        <stp/>
        <stp>##V3_BDPV12</stp>
        <stp>BMRN US Equity</stp>
        <stp>DY784</stp>
        <stp>[DPM - Securities Master List (BBG Linked).xlsx]Equities!R72C48</stp>
        <tr r="AV72" s="2"/>
        <tr r="AV72" s="2"/>
        <tr r="AV72" s="2"/>
      </tp>
      <tp t="s">
        <v>Y</v>
        <stp/>
        <stp>##V3_BDPV12</stp>
        <stp>BMRN US Equity</stp>
        <stp>DY784</stp>
        <stp>[DPM - Securities Master List (BBG Linked).xlsx]Equities!R73C48</stp>
        <tr r="AV73" s="2"/>
        <tr r="AV73" s="2"/>
        <tr r="AV73" s="2"/>
      </tp>
      <tp t="s">
        <v>Y</v>
        <stp/>
        <stp>##V3_BDPV12</stp>
        <stp>BMRN US Equity</stp>
        <stp>DY784</stp>
        <stp>[DPM - Securities Master List (BBG Linked).xlsx]Equities!R70C48</stp>
        <tr r="AV70" s="2"/>
        <tr r="AV70" s="2"/>
        <tr r="AV70" s="2"/>
      </tp>
      <tp t="s">
        <v>Y</v>
        <stp/>
        <stp>##V3_BDPV12</stp>
        <stp>BMRN US Equity</stp>
        <stp>DY784</stp>
        <stp>[DPM - Securities Master List (BBG Linked).xlsx]Equities!R71C48</stp>
        <tr r="AV71" s="2"/>
        <tr r="AV71" s="2"/>
        <tr r="AV71" s="2"/>
      </tp>
      <tp t="s">
        <v>Y</v>
        <stp/>
        <stp>##V3_BDPV12</stp>
        <stp>BMRN US Equity</stp>
        <stp>DY784</stp>
        <stp>[DPM - Securities Master List (BBG Linked).xlsx]Equities!R66C48</stp>
        <tr r="AV66" s="2"/>
        <tr r="AV66" s="2"/>
        <tr r="AV66" s="2"/>
      </tp>
      <tp t="s">
        <v>Y</v>
        <stp/>
        <stp>##V3_BDPV12</stp>
        <stp>BMRN US Equity</stp>
        <stp>DY784</stp>
        <stp>[DPM - Securities Master List (BBG Linked).xlsx]Equities!R67C48</stp>
        <tr r="AV67" s="2"/>
        <tr r="AV67" s="2"/>
        <tr r="AV67" s="2"/>
      </tp>
      <tp t="s">
        <v>Y</v>
        <stp/>
        <stp>##V3_BDPV12</stp>
        <stp>BMRN US Equity</stp>
        <stp>DY784</stp>
        <stp>[DPM - Securities Master List (BBG Linked).xlsx]Equities!R64C48</stp>
        <tr r="AV64" s="2"/>
        <tr r="AV64" s="2"/>
        <tr r="AV64" s="2"/>
      </tp>
      <tp t="s">
        <v>Y</v>
        <stp/>
        <stp>##V3_BDPV12</stp>
        <stp>BMRN US Equity</stp>
        <stp>DY784</stp>
        <stp>[DPM - Securities Master List (BBG Linked).xlsx]Equities!R65C48</stp>
        <tr r="AV65" s="2"/>
        <tr r="AV65" s="2"/>
        <tr r="AV65" s="2"/>
      </tp>
      <tp t="s">
        <v>Y</v>
        <stp/>
        <stp>##V3_BDPV12</stp>
        <stp>BMRN US Equity</stp>
        <stp>DY784</stp>
        <stp>[DPM - Securities Master List (BBG Linked).xlsx]Equities!R63C48</stp>
        <tr r="AV63" s="2"/>
        <tr r="AV63" s="2"/>
        <tr r="AV63" s="2"/>
      </tp>
      <tp t="s">
        <v>Y</v>
        <stp/>
        <stp>##V3_BDPV12</stp>
        <stp>BMRN US Equity</stp>
        <stp>DY784</stp>
        <stp>[DPM - Securities Master List (BBG Linked).xlsx]Equities!R68C48</stp>
        <tr r="AV68" s="2"/>
        <tr r="AV68" s="2"/>
        <tr r="AV68" s="2"/>
      </tp>
      <tp t="s">
        <v>Y</v>
        <stp/>
        <stp>##V3_BDPV12</stp>
        <stp>BMRN US Equity</stp>
        <stp>DY784</stp>
        <stp>[DPM - Securities Master List (BBG Linked).xlsx]Equities!R69C48</stp>
        <tr r="AV69" s="2"/>
        <tr r="AV69" s="2"/>
        <tr r="AV69" s="2"/>
      </tp>
      <tp t="s">
        <v>CHF</v>
        <stp/>
        <stp>##V3_BDPV12</stp>
        <stp>NESN SW Equity</stp>
        <stp>CRNCY</stp>
        <stp>[DPM - Securities Master List (BBG Linked).xlsx]Equities!R194C6</stp>
        <tr r="F194" s="2"/>
      </tp>
      <tp t="s">
        <v>Volkswagen AG</v>
        <stp/>
        <stp>##V3_BDPV12</stp>
        <stp>VOW3 GY Equity</stp>
        <stp>SECURITY NAME</stp>
        <stp>[DPM - Securities Master List (BBG Linked).xlsx]Equities!R292C5</stp>
        <tr r="E292" s="2"/>
      </tp>
      <tp t="s">
        <v>CHF</v>
        <stp/>
        <stp>##V3_BDPV12</stp>
        <stp>NESN SW Equity</stp>
        <stp>CRNCY</stp>
        <stp>[DPM - Securities Master List (BBG Linked).xlsx]Equities!R204C6</stp>
        <tr r="F204" s="2"/>
      </tp>
      <tp t="s">
        <v>USD</v>
        <stp/>
        <stp>##V3_BDPV12</stp>
        <stp>DELL US Equity</stp>
        <stp>CRNCY</stp>
        <stp>[DPM - Securities Master List (BBG Linked).xlsx]Equities!R102C6</stp>
        <tr r="F102" s="2"/>
      </tp>
      <tp>
        <v>17943.814746329997</v>
        <stp/>
        <stp>##V3_BDPV12</stp>
        <stp>ZBH US Equity</stp>
        <stp>CRNCY_ADJ_MKT_CAP</stp>
        <stp>[DPM - Securities Master List (BBG Linked).xlsx]Equities!R294C9</stp>
        <stp>EQY_FUND_CRNCY=USD</stp>
        <tr r="I294" s="2"/>
      </tp>
      <tp>
        <v>17943.814746329997</v>
        <stp/>
        <stp>##V3_BDPV12</stp>
        <stp>ZBH US Equity</stp>
        <stp>CRNCY_ADJ_MKT_CAP</stp>
        <stp>[DPM - Securities Master List (BBG Linked).xlsx]Equities!R295C9</stp>
        <stp>EQY_FUND_CRNCY=USD</stp>
        <tr r="I295" s="2"/>
      </tp>
      <tp>
        <v>17943.814746329997</v>
        <stp/>
        <stp>##V3_BDPV12</stp>
        <stp>ZBH US Equity</stp>
        <stp>CRNCY_ADJ_MKT_CAP</stp>
        <stp>[DPM - Securities Master List (BBG Linked).xlsx]Equities!R296C9</stp>
        <stp>EQY_FUND_CRNCY=USD</stp>
        <tr r="I296" s="2"/>
      </tp>
      <tp>
        <v>17943.814746329997</v>
        <stp/>
        <stp>##V3_BDPV12</stp>
        <stp>ZBH US Equity</stp>
        <stp>CRNCY_ADJ_MKT_CAP</stp>
        <stp>[DPM - Securities Master List (BBG Linked).xlsx]Equities!R297C9</stp>
        <stp>EQY_FUND_CRNCY=USD</stp>
        <tr r="I297" s="2"/>
      </tp>
      <tp>
        <v>59960.354759274684</v>
        <stp/>
        <stp>##V3_BDPV12</stp>
        <stp>NEM AT Equity</stp>
        <stp>CRNCY_ADJ_MKT_CAP</stp>
        <stp>[DPM - Securities Master List (BBG Linked).xlsx]Equities!R190C9</stp>
        <stp>EQY_FUND_CRNCY=USD</stp>
        <tr r="I190" s="2"/>
      </tp>
      <tp>
        <v>59960.354759274684</v>
        <stp/>
        <stp>##V3_BDPV12</stp>
        <stp>NEM AT Equity</stp>
        <stp>CRNCY_ADJ_MKT_CAP</stp>
        <stp>[DPM - Securities Master List (BBG Linked).xlsx]Equities!R191C9</stp>
        <stp>EQY_FUND_CRNCY=USD</stp>
        <tr r="I191" s="2"/>
      </tp>
      <tp>
        <v>59960.354759274684</v>
        <stp/>
        <stp>##V3_BDPV12</stp>
        <stp>NEM AT Equity</stp>
        <stp>CRNCY_ADJ_MKT_CAP</stp>
        <stp>[DPM - Securities Master List (BBG Linked).xlsx]Equities!R192C9</stp>
        <stp>EQY_FUND_CRNCY=USD</stp>
        <tr r="I192" s="2"/>
      </tp>
      <tp>
        <v>0.60696457032710804</v>
        <stp/>
        <stp>##V3_BDPV12</stp>
        <stp>REGN Equity</stp>
        <stp>DV013</stp>
        <stp>[DPM - Securities Master List (BBG Linked).xlsx]Equities!R240C10</stp>
        <tr r="J240" s="2"/>
      </tp>
      <tp>
        <v>14.669272019021601</v>
        <stp/>
        <stp>##V3_BDPV12</stp>
        <stp>REGN Equity</stp>
        <stp>EE010</stp>
        <stp>[DPM - Securities Master List (BBG Linked).xlsx]Equities!R240C12</stp>
        <tr r="L240" s="2"/>
        <tr r="L240" s="2"/>
        <tr r="L240" s="2"/>
      </tp>
      <tp>
        <v>17943.814746329997</v>
        <stp/>
        <stp>##V3_BDPV12</stp>
        <stp>ZBH US Equity</stp>
        <stp>CRNCY_ADJ_MKT_CAP</stp>
        <stp>[DPM - Securities Master List (BBG Linked).xlsx]Equities!R298C9</stp>
        <stp>EQY_FUND_CRNCY=USD</stp>
        <tr r="I298" s="2"/>
      </tp>
      <tp>
        <v>17943.814746329997</v>
        <stp/>
        <stp>##V3_BDPV12</stp>
        <stp>ZBH US Equity</stp>
        <stp>CRNCY_ADJ_MKT_CAP</stp>
        <stp>[DPM - Securities Master List (BBG Linked).xlsx]Equities!R299C9</stp>
        <stp>EQY_FUND_CRNCY=USD</stp>
        <tr r="I299" s="2"/>
      </tp>
      <tp>
        <v>-27.030889999999999</v>
        <stp/>
        <stp>##V3_BDPV12</stp>
        <stp>ON US Equity</stp>
        <stp>PR064</stp>
        <stp>[DPM - Securities Master List (BBG Linked).xlsx]Equities!R226C41</stp>
        <tr r="AO226" s="2"/>
      </tp>
      <tp>
        <v>13.54599</v>
        <stp/>
        <stp>##V3_BDPV12</stp>
        <stp>ON US Equity</stp>
        <stp>PR061</stp>
        <stp>[DPM - Securities Master List (BBG Linked).xlsx]Equities!R226C40</stp>
        <tr r="AN226" s="2"/>
      </tp>
      <tp>
        <v>29.120007689719806</v>
        <stp/>
        <stp>##V3_BDPV12</stp>
        <stp>AZN LN Equity</stp>
        <stp>RR041</stp>
        <stp>[DPM - Securities Master List (BBG Linked).xlsx]Equities!R60C33</stp>
        <tr r="AG60" s="2"/>
        <tr r="AG60" s="2"/>
        <tr r="AG60" s="2"/>
      </tp>
      <tp>
        <v>29.120007689719806</v>
        <stp/>
        <stp>##V3_BDPV12</stp>
        <stp>AZN LN Equity</stp>
        <stp>RR041</stp>
        <stp>[DPM - Securities Master List (BBG Linked).xlsx]Equities!R61C33</stp>
        <tr r="AG61" s="2"/>
        <tr r="AG61" s="2"/>
        <tr r="AG61" s="2"/>
      </tp>
      <tp>
        <v>29.120007689719806</v>
        <stp/>
        <stp>##V3_BDPV12</stp>
        <stp>AZN LN Equity</stp>
        <stp>RR041</stp>
        <stp>[DPM - Securities Master List (BBG Linked).xlsx]Equities!R58C33</stp>
        <tr r="AG58" s="2"/>
        <tr r="AG58" s="2"/>
        <tr r="AG58" s="2"/>
      </tp>
      <tp>
        <v>29.120007689719806</v>
        <stp/>
        <stp>##V3_BDPV12</stp>
        <stp>AZN LN Equity</stp>
        <stp>RR041</stp>
        <stp>[DPM - Securities Master List (BBG Linked).xlsx]Equities!R59C33</stp>
        <tr r="AG59" s="2"/>
        <tr r="AG59" s="2"/>
        <tr r="AG59" s="2"/>
      </tp>
      <tp>
        <v>29.120007689719806</v>
        <stp/>
        <stp>##V3_BDPV12</stp>
        <stp>AZN LN Equity</stp>
        <stp>RR041</stp>
        <stp>[DPM - Securities Master List (BBG Linked).xlsx]Equities!R54C33</stp>
        <tr r="AG54" s="2"/>
        <tr r="AG54" s="2"/>
        <tr r="AG54" s="2"/>
      </tp>
      <tp>
        <v>29.120007689719806</v>
        <stp/>
        <stp>##V3_BDPV12</stp>
        <stp>AZN LN Equity</stp>
        <stp>RR041</stp>
        <stp>[DPM - Securities Master List (BBG Linked).xlsx]Equities!R55C33</stp>
        <tr r="AG55" s="2"/>
        <tr r="AG55" s="2"/>
        <tr r="AG55" s="2"/>
      </tp>
      <tp>
        <v>29.120007689719806</v>
        <stp/>
        <stp>##V3_BDPV12</stp>
        <stp>AZN LN Equity</stp>
        <stp>RR041</stp>
        <stp>[DPM - Securities Master List (BBG Linked).xlsx]Equities!R56C33</stp>
        <tr r="AG56" s="2"/>
        <tr r="AG56" s="2"/>
        <tr r="AG56" s="2"/>
      </tp>
      <tp>
        <v>29.120007689719806</v>
        <stp/>
        <stp>##V3_BDPV12</stp>
        <stp>AZN LN Equity</stp>
        <stp>RR041</stp>
        <stp>[DPM - Securities Master List (BBG Linked).xlsx]Equities!R57C33</stp>
        <tr r="AG57" s="2"/>
        <tr r="AG57" s="2"/>
        <tr r="AG57" s="2"/>
      </tp>
      <tp>
        <v>29.120007689719806</v>
        <stp/>
        <stp>##V3_BDPV12</stp>
        <stp>AZN LN Equity</stp>
        <stp>RR041</stp>
        <stp>[DPM - Securities Master List (BBG Linked).xlsx]Equities!R51C33</stp>
        <tr r="AG51" s="2"/>
        <tr r="AG51" s="2"/>
        <tr r="AG51" s="2"/>
      </tp>
      <tp>
        <v>29.120007689719806</v>
        <stp/>
        <stp>##V3_BDPV12</stp>
        <stp>AZN LN Equity</stp>
        <stp>RR041</stp>
        <stp>[DPM - Securities Master List (BBG Linked).xlsx]Equities!R52C33</stp>
        <tr r="AG52" s="2"/>
        <tr r="AG52" s="2"/>
        <tr r="AG52" s="2"/>
      </tp>
      <tp>
        <v>29.120007689719806</v>
        <stp/>
        <stp>##V3_BDPV12</stp>
        <stp>AZN LN Equity</stp>
        <stp>RR041</stp>
        <stp>[DPM - Securities Master List (BBG Linked).xlsx]Equities!R53C33</stp>
        <tr r="AG53" s="2"/>
        <tr r="AG53" s="2"/>
        <tr r="AG53" s="2"/>
      </tp>
      <tp t="s">
        <v>NIKE Inc</v>
        <stp/>
        <stp>##V3_BDPV12</stp>
        <stp>NKE US Equity</stp>
        <stp>SECURITY NAME</stp>
        <stp>[DPM - Securities Master List (BBG Linked).xlsx]Equities!R213C5</stp>
        <tr r="E213" s="2"/>
      </tp>
      <tp t="s">
        <v>GB0009895292</v>
        <stp/>
        <stp>##V3_BDPV12</stp>
        <stp>AZN LN Equity</stp>
        <stp>ID005</stp>
        <stp>[DPM - Securities Master List (BBG Linked).xlsx]Equities!R60C55</stp>
        <tr r="BC60" s="2"/>
      </tp>
      <tp t="s">
        <v>GB0009895292</v>
        <stp/>
        <stp>##V3_BDPV12</stp>
        <stp>AZN LN Equity</stp>
        <stp>ID005</stp>
        <stp>[DPM - Securities Master List (BBG Linked).xlsx]Equities!R61C55</stp>
        <tr r="BC61" s="2"/>
      </tp>
      <tp t="s">
        <v>GB0009895292</v>
        <stp/>
        <stp>##V3_BDPV12</stp>
        <stp>AZN LN Equity</stp>
        <stp>ID005</stp>
        <stp>[DPM - Securities Master List (BBG Linked).xlsx]Equities!R58C55</stp>
        <tr r="BC58" s="2"/>
      </tp>
      <tp t="s">
        <v>GB0009895292</v>
        <stp/>
        <stp>##V3_BDPV12</stp>
        <stp>AZN LN Equity</stp>
        <stp>ID005</stp>
        <stp>[DPM - Securities Master List (BBG Linked).xlsx]Equities!R59C55</stp>
        <tr r="BC59" s="2"/>
      </tp>
      <tp t="s">
        <v>GB0009895292</v>
        <stp/>
        <stp>##V3_BDPV12</stp>
        <stp>AZN LN Equity</stp>
        <stp>ID005</stp>
        <stp>[DPM - Securities Master List (BBG Linked).xlsx]Equities!R52C55</stp>
        <tr r="BC52" s="2"/>
      </tp>
      <tp t="s">
        <v>GB0009895292</v>
        <stp/>
        <stp>##V3_BDPV12</stp>
        <stp>AZN LN Equity</stp>
        <stp>ID005</stp>
        <stp>[DPM - Securities Master List (BBG Linked).xlsx]Equities!R53C55</stp>
        <tr r="BC53" s="2"/>
      </tp>
      <tp t="s">
        <v>GB0009895292</v>
        <stp/>
        <stp>##V3_BDPV12</stp>
        <stp>AZN LN Equity</stp>
        <stp>ID005</stp>
        <stp>[DPM - Securities Master List (BBG Linked).xlsx]Equities!R56C55</stp>
        <tr r="BC56" s="2"/>
      </tp>
      <tp t="s">
        <v>GB0009895292</v>
        <stp/>
        <stp>##V3_BDPV12</stp>
        <stp>AZN LN Equity</stp>
        <stp>ID005</stp>
        <stp>[DPM - Securities Master List (BBG Linked).xlsx]Equities!R57C55</stp>
        <tr r="BC57" s="2"/>
      </tp>
      <tp t="s">
        <v>GB0009895292</v>
        <stp/>
        <stp>##V3_BDPV12</stp>
        <stp>AZN LN Equity</stp>
        <stp>ID005</stp>
        <stp>[DPM - Securities Master List (BBG Linked).xlsx]Equities!R54C55</stp>
        <tr r="BC54" s="2"/>
      </tp>
      <tp t="s">
        <v>GB0009895292</v>
        <stp/>
        <stp>##V3_BDPV12</stp>
        <stp>AZN LN Equity</stp>
        <stp>ID005</stp>
        <stp>[DPM - Securities Master List (BBG Linked).xlsx]Equities!R55C55</stp>
        <tr r="BC55" s="2"/>
      </tp>
      <tp>
        <v>13338</v>
        <stp/>
        <stp>##V3_BDPV12</stp>
        <stp>AZN LN Equity</stp>
        <stp>hs001</stp>
        <stp>[DPM - Securities Master List (BBG Linked).xlsx]Equities!R61C44</stp>
        <tr r="AR61" s="2"/>
      </tp>
      <tp>
        <v>13338</v>
        <stp/>
        <stp>##V3_BDPV12</stp>
        <stp>AZN LN Equity</stp>
        <stp>hs001</stp>
        <stp>[DPM - Securities Master List (BBG Linked).xlsx]Equities!R60C44</stp>
        <tr r="AR60" s="2"/>
      </tp>
      <tp>
        <v>9574</v>
        <stp/>
        <stp>##V3_BDPV12</stp>
        <stp>AZN LN Equity</stp>
        <stp>hs002</stp>
        <stp>[DPM - Securities Master List (BBG Linked).xlsx]Equities!R59C45</stp>
        <tr r="AS59" s="2"/>
      </tp>
      <tp>
        <v>9574</v>
        <stp/>
        <stp>##V3_BDPV12</stp>
        <stp>AZN LN Equity</stp>
        <stp>hs002</stp>
        <stp>[DPM - Securities Master List (BBG Linked).xlsx]Equities!R58C45</stp>
        <tr r="AS58" s="2"/>
      </tp>
      <tp>
        <v>9574</v>
        <stp/>
        <stp>##V3_BDPV12</stp>
        <stp>AZN LN Equity</stp>
        <stp>hs002</stp>
        <stp>[DPM - Securities Master List (BBG Linked).xlsx]Equities!R55C45</stp>
        <tr r="AS55" s="2"/>
      </tp>
      <tp>
        <v>9574</v>
        <stp/>
        <stp>##V3_BDPV12</stp>
        <stp>AZN LN Equity</stp>
        <stp>hs002</stp>
        <stp>[DPM - Securities Master List (BBG Linked).xlsx]Equities!R54C45</stp>
        <tr r="AS54" s="2"/>
      </tp>
      <tp>
        <v>9574</v>
        <stp/>
        <stp>##V3_BDPV12</stp>
        <stp>AZN LN Equity</stp>
        <stp>hs002</stp>
        <stp>[DPM - Securities Master List (BBG Linked).xlsx]Equities!R57C45</stp>
        <tr r="AS57" s="2"/>
      </tp>
      <tp>
        <v>9574</v>
        <stp/>
        <stp>##V3_BDPV12</stp>
        <stp>AZN LN Equity</stp>
        <stp>hs002</stp>
        <stp>[DPM - Securities Master List (BBG Linked).xlsx]Equities!R56C45</stp>
        <tr r="AS56" s="2"/>
      </tp>
      <tp>
        <v>9574</v>
        <stp/>
        <stp>##V3_BDPV12</stp>
        <stp>AZN LN Equity</stp>
        <stp>hs002</stp>
        <stp>[DPM - Securities Master List (BBG Linked).xlsx]Equities!R51C45</stp>
        <tr r="AS51" s="2"/>
      </tp>
      <tp>
        <v>9574</v>
        <stp/>
        <stp>##V3_BDPV12</stp>
        <stp>AZN LN Equity</stp>
        <stp>hs002</stp>
        <stp>[DPM - Securities Master List (BBG Linked).xlsx]Equities!R53C45</stp>
        <tr r="AS53" s="2"/>
      </tp>
      <tp>
        <v>9574</v>
        <stp/>
        <stp>##V3_BDPV12</stp>
        <stp>AZN LN Equity</stp>
        <stp>hs002</stp>
        <stp>[DPM - Securities Master List (BBG Linked).xlsx]Equities!R52C45</stp>
        <tr r="AS52" s="2"/>
      </tp>
      <tp>
        <v>9574</v>
        <stp/>
        <stp>##V3_BDPV12</stp>
        <stp>AZN LN Equity</stp>
        <stp>hs002</stp>
        <stp>[DPM - Securities Master List (BBG Linked).xlsx]Equities!R61C45</stp>
        <tr r="AS61" s="2"/>
      </tp>
      <tp>
        <v>9574</v>
        <stp/>
        <stp>##V3_BDPV12</stp>
        <stp>AZN LN Equity</stp>
        <stp>hs002</stp>
        <stp>[DPM - Securities Master List (BBG Linked).xlsx]Equities!R60C45</stp>
        <tr r="AS60" s="2"/>
      </tp>
      <tp>
        <v>13338</v>
        <stp/>
        <stp>##V3_BDPV12</stp>
        <stp>AZN LN Equity</stp>
        <stp>hs001</stp>
        <stp>[DPM - Securities Master List (BBG Linked).xlsx]Equities!R59C44</stp>
        <tr r="AR59" s="2"/>
      </tp>
      <tp>
        <v>13338</v>
        <stp/>
        <stp>##V3_BDPV12</stp>
        <stp>AZN LN Equity</stp>
        <stp>hs001</stp>
        <stp>[DPM - Securities Master List (BBG Linked).xlsx]Equities!R58C44</stp>
        <tr r="AR58" s="2"/>
      </tp>
      <tp>
        <v>13338</v>
        <stp/>
        <stp>##V3_BDPV12</stp>
        <stp>AZN LN Equity</stp>
        <stp>hs001</stp>
        <stp>[DPM - Securities Master List (BBG Linked).xlsx]Equities!R55C44</stp>
        <tr r="AR55" s="2"/>
      </tp>
      <tp>
        <v>13338</v>
        <stp/>
        <stp>##V3_BDPV12</stp>
        <stp>AZN LN Equity</stp>
        <stp>hs001</stp>
        <stp>[DPM - Securities Master List (BBG Linked).xlsx]Equities!R54C44</stp>
        <tr r="AR54" s="2"/>
      </tp>
      <tp>
        <v>13338</v>
        <stp/>
        <stp>##V3_BDPV12</stp>
        <stp>AZN LN Equity</stp>
        <stp>hs001</stp>
        <stp>[DPM - Securities Master List (BBG Linked).xlsx]Equities!R57C44</stp>
        <tr r="AR57" s="2"/>
      </tp>
      <tp>
        <v>13338</v>
        <stp/>
        <stp>##V3_BDPV12</stp>
        <stp>AZN LN Equity</stp>
        <stp>hs001</stp>
        <stp>[DPM - Securities Master List (BBG Linked).xlsx]Equities!R56C44</stp>
        <tr r="AR56" s="2"/>
      </tp>
      <tp>
        <v>13338</v>
        <stp/>
        <stp>##V3_BDPV12</stp>
        <stp>AZN LN Equity</stp>
        <stp>hs001</stp>
        <stp>[DPM - Securities Master List (BBG Linked).xlsx]Equities!R51C44</stp>
        <tr r="AR51" s="2"/>
      </tp>
      <tp>
        <v>13338</v>
        <stp/>
        <stp>##V3_BDPV12</stp>
        <stp>AZN LN Equity</stp>
        <stp>hs001</stp>
        <stp>[DPM - Securities Master List (BBG Linked).xlsx]Equities!R53C44</stp>
        <tr r="AR53" s="2"/>
      </tp>
      <tp>
        <v>13338</v>
        <stp/>
        <stp>##V3_BDPV12</stp>
        <stp>AZN LN Equity</stp>
        <stp>hs001</stp>
        <stp>[DPM - Securities Master List (BBG Linked).xlsx]Equities!R52C44</stp>
        <tr r="AR52" s="2"/>
      </tp>
      <tp>
        <v>2.2927019999999998</v>
        <stp/>
        <stp>##V3_BDPV12</stp>
        <stp>AZN LN Equity</stp>
        <stp>PR079</stp>
        <stp>[DPM - Securities Master List (BBG Linked).xlsx]Equities!R58C43</stp>
        <tr r="AQ58" s="2"/>
      </tp>
      <tp>
        <v>2.2927019999999998</v>
        <stp/>
        <stp>##V3_BDPV12</stp>
        <stp>AZN LN Equity</stp>
        <stp>PR079</stp>
        <stp>[DPM - Securities Master List (BBG Linked).xlsx]Equities!R59C43</stp>
        <tr r="AQ59" s="2"/>
      </tp>
      <tp>
        <v>2.2927019999999998</v>
        <stp/>
        <stp>##V3_BDPV12</stp>
        <stp>AZN LN Equity</stp>
        <stp>PR079</stp>
        <stp>[DPM - Securities Master List (BBG Linked).xlsx]Equities!R54C43</stp>
        <tr r="AQ54" s="2"/>
      </tp>
      <tp>
        <v>2.2927019999999998</v>
        <stp/>
        <stp>##V3_BDPV12</stp>
        <stp>AZN LN Equity</stp>
        <stp>PR079</stp>
        <stp>[DPM - Securities Master List (BBG Linked).xlsx]Equities!R55C43</stp>
        <tr r="AQ55" s="2"/>
      </tp>
      <tp>
        <v>2.2927019999999998</v>
        <stp/>
        <stp>##V3_BDPV12</stp>
        <stp>AZN LN Equity</stp>
        <stp>PR079</stp>
        <stp>[DPM - Securities Master List (BBG Linked).xlsx]Equities!R56C43</stp>
        <tr r="AQ56" s="2"/>
      </tp>
      <tp>
        <v>2.2927019999999998</v>
        <stp/>
        <stp>##V3_BDPV12</stp>
        <stp>AZN LN Equity</stp>
        <stp>PR079</stp>
        <stp>[DPM - Securities Master List (BBG Linked).xlsx]Equities!R57C43</stp>
        <tr r="AQ57" s="2"/>
      </tp>
      <tp>
        <v>2.2927019999999998</v>
        <stp/>
        <stp>##V3_BDPV12</stp>
        <stp>AZN LN Equity</stp>
        <stp>PR079</stp>
        <stp>[DPM - Securities Master List (BBG Linked).xlsx]Equities!R51C43</stp>
        <tr r="AQ51" s="2"/>
      </tp>
      <tp>
        <v>2.2927019999999998</v>
        <stp/>
        <stp>##V3_BDPV12</stp>
        <stp>AZN LN Equity</stp>
        <stp>PR079</stp>
        <stp>[DPM - Securities Master List (BBG Linked).xlsx]Equities!R52C43</stp>
        <tr r="AQ52" s="2"/>
      </tp>
      <tp>
        <v>2.2927019999999998</v>
        <stp/>
        <stp>##V3_BDPV12</stp>
        <stp>AZN LN Equity</stp>
        <stp>PR079</stp>
        <stp>[DPM - Securities Master List (BBG Linked).xlsx]Equities!R53C43</stp>
        <tr r="AQ53" s="2"/>
      </tp>
      <tp>
        <v>2.2927019999999998</v>
        <stp/>
        <stp>##V3_BDPV12</stp>
        <stp>AZN LN Equity</stp>
        <stp>PR079</stp>
        <stp>[DPM - Securities Master List (BBG Linked).xlsx]Equities!R60C43</stp>
        <tr r="AQ60" s="2"/>
      </tp>
      <tp>
        <v>2.2927019999999998</v>
        <stp/>
        <stp>##V3_BDPV12</stp>
        <stp>AZN LN Equity</stp>
        <stp>PR079</stp>
        <stp>[DPM - Securities Master List (BBG Linked).xlsx]Equities!R61C43</stp>
        <tr r="AQ61" s="2"/>
      </tp>
      <tp t="s">
        <v>SSE PLC</v>
        <stp/>
        <stp>##V3_BDPV12</stp>
        <stp>SSE LN Equity</stp>
        <stp>SECURITY NAME</stp>
        <stp>[DPM - Securities Master List (BBG Linked).xlsx]Equities!R247C5</stp>
        <tr r="E247" s="2"/>
      </tp>
      <tp t="s">
        <v>SSE PLC</v>
        <stp/>
        <stp>##V3_BDPV12</stp>
        <stp>SSE LN Equity</stp>
        <stp>SECURITY NAME</stp>
        <stp>[DPM - Securities Master List (BBG Linked).xlsx]Equities!R257C5</stp>
        <tr r="E257" s="2"/>
      </tp>
      <tp t="s">
        <v>USD</v>
        <stp/>
        <stp>##V3_BDPV12</stp>
        <stp>PEP US Equity</stp>
        <stp>CRNCY</stp>
        <stp>[DPM - Securities Master List (BBG Linked).xlsx]Equities!R235C6</stp>
        <tr r="F235" s="2"/>
      </tp>
      <tp>
        <v>-0.92524059999999997</v>
        <stp/>
        <stp>##V3_BDPV12</stp>
        <stp>AZN LN Equity</stp>
        <stp>PR061</stp>
        <stp>[DPM - Securities Master List (BBG Linked).xlsx]Equities!R60C40</stp>
        <tr r="AN60" s="2"/>
      </tp>
      <tp>
        <v>-0.92524059999999997</v>
        <stp/>
        <stp>##V3_BDPV12</stp>
        <stp>AZN LN Equity</stp>
        <stp>PR061</stp>
        <stp>[DPM - Securities Master List (BBG Linked).xlsx]Equities!R61C40</stp>
        <tr r="AN61" s="2"/>
      </tp>
      <tp>
        <v>-0.92524059999999997</v>
        <stp/>
        <stp>##V3_BDPV12</stp>
        <stp>AZN LN Equity</stp>
        <stp>PR061</stp>
        <stp>[DPM - Securities Master List (BBG Linked).xlsx]Equities!R58C40</stp>
        <tr r="AN58" s="2"/>
      </tp>
      <tp>
        <v>-0.92524059999999997</v>
        <stp/>
        <stp>##V3_BDPV12</stp>
        <stp>AZN LN Equity</stp>
        <stp>PR061</stp>
        <stp>[DPM - Securities Master List (BBG Linked).xlsx]Equities!R59C40</stp>
        <tr r="AN59" s="2"/>
      </tp>
      <tp>
        <v>-0.92524059999999997</v>
        <stp/>
        <stp>##V3_BDPV12</stp>
        <stp>AZN LN Equity</stp>
        <stp>PR061</stp>
        <stp>[DPM - Securities Master List (BBG Linked).xlsx]Equities!R54C40</stp>
        <tr r="AN54" s="2"/>
      </tp>
      <tp>
        <v>-0.92524059999999997</v>
        <stp/>
        <stp>##V3_BDPV12</stp>
        <stp>AZN LN Equity</stp>
        <stp>PR061</stp>
        <stp>[DPM - Securities Master List (BBG Linked).xlsx]Equities!R55C40</stp>
        <tr r="AN55" s="2"/>
      </tp>
      <tp>
        <v>-0.92524059999999997</v>
        <stp/>
        <stp>##V3_BDPV12</stp>
        <stp>AZN LN Equity</stp>
        <stp>PR061</stp>
        <stp>[DPM - Securities Master List (BBG Linked).xlsx]Equities!R56C40</stp>
        <tr r="AN56" s="2"/>
      </tp>
      <tp>
        <v>-0.92524059999999997</v>
        <stp/>
        <stp>##V3_BDPV12</stp>
        <stp>AZN LN Equity</stp>
        <stp>PR061</stp>
        <stp>[DPM - Securities Master List (BBG Linked).xlsx]Equities!R57C40</stp>
        <tr r="AN57" s="2"/>
      </tp>
      <tp>
        <v>-0.92524059999999997</v>
        <stp/>
        <stp>##V3_BDPV12</stp>
        <stp>AZN LN Equity</stp>
        <stp>PR061</stp>
        <stp>[DPM - Securities Master List (BBG Linked).xlsx]Equities!R51C40</stp>
        <tr r="AN51" s="2"/>
      </tp>
      <tp>
        <v>-0.92524059999999997</v>
        <stp/>
        <stp>##V3_BDPV12</stp>
        <stp>AZN LN Equity</stp>
        <stp>PR061</stp>
        <stp>[DPM - Securities Master List (BBG Linked).xlsx]Equities!R52C40</stp>
        <tr r="AN52" s="2"/>
      </tp>
      <tp>
        <v>-0.92524059999999997</v>
        <stp/>
        <stp>##V3_BDPV12</stp>
        <stp>AZN LN Equity</stp>
        <stp>PR061</stp>
        <stp>[DPM - Securities Master List (BBG Linked).xlsx]Equities!R53C40</stp>
        <tr r="AN53" s="2"/>
      </tp>
      <tp>
        <v>-9.1464449999999999</v>
        <stp/>
        <stp>##V3_BDPV12</stp>
        <stp>AZN LN Equity</stp>
        <stp>PR064</stp>
        <stp>[DPM - Securities Master List (BBG Linked).xlsx]Equities!R60C41</stp>
        <tr r="AO60" s="2"/>
      </tp>
      <tp>
        <v>-9.1464449999999999</v>
        <stp/>
        <stp>##V3_BDPV12</stp>
        <stp>AZN LN Equity</stp>
        <stp>PR064</stp>
        <stp>[DPM - Securities Master List (BBG Linked).xlsx]Equities!R61C41</stp>
        <tr r="AO61" s="2"/>
      </tp>
      <tp>
        <v>-9.1464449999999999</v>
        <stp/>
        <stp>##V3_BDPV12</stp>
        <stp>AZN LN Equity</stp>
        <stp>PR064</stp>
        <stp>[DPM - Securities Master List (BBG Linked).xlsx]Equities!R58C41</stp>
        <tr r="AO58" s="2"/>
      </tp>
      <tp>
        <v>-9.1464449999999999</v>
        <stp/>
        <stp>##V3_BDPV12</stp>
        <stp>AZN LN Equity</stp>
        <stp>PR064</stp>
        <stp>[DPM - Securities Master List (BBG Linked).xlsx]Equities!R59C41</stp>
        <tr r="AO59" s="2"/>
      </tp>
      <tp>
        <v>-9.1464449999999999</v>
        <stp/>
        <stp>##V3_BDPV12</stp>
        <stp>AZN LN Equity</stp>
        <stp>PR064</stp>
        <stp>[DPM - Securities Master List (BBG Linked).xlsx]Equities!R54C41</stp>
        <tr r="AO54" s="2"/>
      </tp>
      <tp>
        <v>-9.1464449999999999</v>
        <stp/>
        <stp>##V3_BDPV12</stp>
        <stp>AZN LN Equity</stp>
        <stp>PR064</stp>
        <stp>[DPM - Securities Master List (BBG Linked).xlsx]Equities!R55C41</stp>
        <tr r="AO55" s="2"/>
      </tp>
      <tp>
        <v>-9.1464449999999999</v>
        <stp/>
        <stp>##V3_BDPV12</stp>
        <stp>AZN LN Equity</stp>
        <stp>PR064</stp>
        <stp>[DPM - Securities Master List (BBG Linked).xlsx]Equities!R56C41</stp>
        <tr r="AO56" s="2"/>
      </tp>
      <tp>
        <v>-9.1464449999999999</v>
        <stp/>
        <stp>##V3_BDPV12</stp>
        <stp>AZN LN Equity</stp>
        <stp>PR064</stp>
        <stp>[DPM - Securities Master List (BBG Linked).xlsx]Equities!R57C41</stp>
        <tr r="AO57" s="2"/>
      </tp>
      <tp>
        <v>-9.1464449999999999</v>
        <stp/>
        <stp>##V3_BDPV12</stp>
        <stp>AZN LN Equity</stp>
        <stp>PR064</stp>
        <stp>[DPM - Securities Master List (BBG Linked).xlsx]Equities!R51C41</stp>
        <tr r="AO51" s="2"/>
      </tp>
      <tp>
        <v>-9.1464449999999999</v>
        <stp/>
        <stp>##V3_BDPV12</stp>
        <stp>AZN LN Equity</stp>
        <stp>PR064</stp>
        <stp>[DPM - Securities Master List (BBG Linked).xlsx]Equities!R52C41</stp>
        <tr r="AO52" s="2"/>
      </tp>
      <tp>
        <v>-9.1464449999999999</v>
        <stp/>
        <stp>##V3_BDPV12</stp>
        <stp>AZN LN Equity</stp>
        <stp>PR064</stp>
        <stp>[DPM - Securities Master List (BBG Linked).xlsx]Equities!R53C41</stp>
        <tr r="AO53" s="2"/>
      </tp>
      <tp t="s">
        <v>Equity</v>
        <stp/>
        <stp>##V3_BDPV12</stp>
        <stp>AZN LN Equity</stp>
        <stp>EX028</stp>
        <stp>[DPM - Securities Master List (BBG Linked).xlsx]Equities!R60C30</stp>
        <tr r="AD60" s="2"/>
        <tr r="AD60" s="2"/>
        <tr r="AD60" s="2"/>
      </tp>
      <tp t="s">
        <v>Equity</v>
        <stp/>
        <stp>##V3_BDPV12</stp>
        <stp>AZN LN Equity</stp>
        <stp>EX028</stp>
        <stp>[DPM - Securities Master List (BBG Linked).xlsx]Equities!R61C30</stp>
        <tr r="AD61" s="2"/>
        <tr r="AD61" s="2"/>
        <tr r="AD61" s="2"/>
      </tp>
      <tp t="s">
        <v>Equity</v>
        <stp/>
        <stp>##V3_BDPV12</stp>
        <stp>AZN LN Equity</stp>
        <stp>EX028</stp>
        <stp>[DPM - Securities Master List (BBG Linked).xlsx]Equities!R56C30</stp>
        <tr r="AD56" s="2"/>
        <tr r="AD56" s="2"/>
        <tr r="AD56" s="2"/>
      </tp>
      <tp t="s">
        <v>Equity</v>
        <stp/>
        <stp>##V3_BDPV12</stp>
        <stp>AZN LN Equity</stp>
        <stp>EX028</stp>
        <stp>[DPM - Securities Master List (BBG Linked).xlsx]Equities!R57C30</stp>
        <tr r="AD57" s="2"/>
        <tr r="AD57" s="2"/>
        <tr r="AD57" s="2"/>
      </tp>
      <tp t="s">
        <v>Equity</v>
        <stp/>
        <stp>##V3_BDPV12</stp>
        <stp>AZN LN Equity</stp>
        <stp>EX028</stp>
        <stp>[DPM - Securities Master List (BBG Linked).xlsx]Equities!R54C30</stp>
        <tr r="AD54" s="2"/>
        <tr r="AD54" s="2"/>
        <tr r="AD54" s="2"/>
      </tp>
      <tp t="s">
        <v>Equity</v>
        <stp/>
        <stp>##V3_BDPV12</stp>
        <stp>AZN LN Equity</stp>
        <stp>EX028</stp>
        <stp>[DPM - Securities Master List (BBG Linked).xlsx]Equities!R55C30</stp>
        <tr r="AD55" s="2"/>
        <tr r="AD55" s="2"/>
        <tr r="AD55" s="2"/>
      </tp>
      <tp t="s">
        <v>Equity</v>
        <stp/>
        <stp>##V3_BDPV12</stp>
        <stp>AZN LN Equity</stp>
        <stp>EX028</stp>
        <stp>[DPM - Securities Master List (BBG Linked).xlsx]Equities!R52C30</stp>
        <tr r="AD52" s="2"/>
        <tr r="AD52" s="2"/>
        <tr r="AD52" s="2"/>
      </tp>
      <tp t="s">
        <v>Equity</v>
        <stp/>
        <stp>##V3_BDPV12</stp>
        <stp>AZN LN Equity</stp>
        <stp>EX028</stp>
        <stp>[DPM - Securities Master List (BBG Linked).xlsx]Equities!R53C30</stp>
        <tr r="AD53" s="2"/>
        <tr r="AD53" s="2"/>
        <tr r="AD53" s="2"/>
      </tp>
      <tp t="s">
        <v>Equity</v>
        <stp/>
        <stp>##V3_BDPV12</stp>
        <stp>AZN LN Equity</stp>
        <stp>EX028</stp>
        <stp>[DPM - Securities Master List (BBG Linked).xlsx]Equities!R51C30</stp>
        <tr r="AD51" s="2"/>
        <tr r="AD51" s="2"/>
        <tr r="AD51" s="2"/>
      </tp>
      <tp t="s">
        <v>Equity</v>
        <stp/>
        <stp>##V3_BDPV12</stp>
        <stp>AZN LN Equity</stp>
        <stp>EX028</stp>
        <stp>[DPM - Securities Master List (BBG Linked).xlsx]Equities!R58C30</stp>
        <tr r="AD58" s="2"/>
        <tr r="AD58" s="2"/>
        <tr r="AD58" s="2"/>
      </tp>
      <tp t="s">
        <v>Equity</v>
        <stp/>
        <stp>##V3_BDPV12</stp>
        <stp>AZN LN Equity</stp>
        <stp>EX028</stp>
        <stp>[DPM - Securities Master List (BBG Linked).xlsx]Equities!R59C30</stp>
        <tr r="AD59" s="2"/>
        <tr r="AD59" s="2"/>
        <tr r="AD59" s="2"/>
      </tp>
      <tp t="s">
        <v>USD</v>
        <stp/>
        <stp>##V3_BDPV12</stp>
        <stp>TGT US Equity</stp>
        <stp>CRNCY</stp>
        <stp>[DPM - Securities Master List (BBG Linked).xlsx]Equities!R261C6</stp>
        <tr r="F261" s="2"/>
      </tp>
      <tp>
        <v>2.2828071830786563</v>
        <stp/>
        <stp>##V3_BDPV12</stp>
        <stp>AZN LN Equity</stp>
        <stp>DV013</stp>
        <stp>[DPM - Securities Master List (BBG Linked).xlsx]Equities!R58C10</stp>
        <tr r="J58" s="2"/>
      </tp>
      <tp>
        <v>2.2828071830786563</v>
        <stp/>
        <stp>##V3_BDPV12</stp>
        <stp>AZN LN Equity</stp>
        <stp>DV013</stp>
        <stp>[DPM - Securities Master List (BBG Linked).xlsx]Equities!R59C10</stp>
        <tr r="J59" s="2"/>
      </tp>
      <tp>
        <v>2.2828071830786563</v>
        <stp/>
        <stp>##V3_BDPV12</stp>
        <stp>AZN LN Equity</stp>
        <stp>DV013</stp>
        <stp>[DPM - Securities Master List (BBG Linked).xlsx]Equities!R51C10</stp>
        <tr r="J51" s="2"/>
      </tp>
      <tp>
        <v>2.2828071830786563</v>
        <stp/>
        <stp>##V3_BDPV12</stp>
        <stp>AZN LN Equity</stp>
        <stp>DV013</stp>
        <stp>[DPM - Securities Master List (BBG Linked).xlsx]Equities!R52C10</stp>
        <tr r="J52" s="2"/>
      </tp>
      <tp>
        <v>2.2828071830786563</v>
        <stp/>
        <stp>##V3_BDPV12</stp>
        <stp>AZN LN Equity</stp>
        <stp>DV013</stp>
        <stp>[DPM - Securities Master List (BBG Linked).xlsx]Equities!R53C10</stp>
        <tr r="J53" s="2"/>
      </tp>
      <tp>
        <v>2.2828071830786563</v>
        <stp/>
        <stp>##V3_BDPV12</stp>
        <stp>AZN LN Equity</stp>
        <stp>DV013</stp>
        <stp>[DPM - Securities Master List (BBG Linked).xlsx]Equities!R54C10</stp>
        <tr r="J54" s="2"/>
      </tp>
      <tp>
        <v>2.2828071830786563</v>
        <stp/>
        <stp>##V3_BDPV12</stp>
        <stp>AZN LN Equity</stp>
        <stp>DV013</stp>
        <stp>[DPM - Securities Master List (BBG Linked).xlsx]Equities!R55C10</stp>
        <tr r="J55" s="2"/>
      </tp>
      <tp>
        <v>2.2828071830786563</v>
        <stp/>
        <stp>##V3_BDPV12</stp>
        <stp>AZN LN Equity</stp>
        <stp>DV013</stp>
        <stp>[DPM - Securities Master List (BBG Linked).xlsx]Equities!R56C10</stp>
        <tr r="J56" s="2"/>
      </tp>
      <tp>
        <v>2.2828071830786563</v>
        <stp/>
        <stp>##V3_BDPV12</stp>
        <stp>AZN LN Equity</stp>
        <stp>DV013</stp>
        <stp>[DPM - Securities Master List (BBG Linked).xlsx]Equities!R57C10</stp>
        <tr r="J57" s="2"/>
      </tp>
      <tp>
        <v>13.982009038207346</v>
        <stp/>
        <stp>##V3_BDPV12</stp>
        <stp>AZN LN Equity</stp>
        <stp>EE010</stp>
        <stp>[DPM - Securities Master List (BBG Linked).xlsx]Equities!R59C12</stp>
        <tr r="L59" s="2"/>
        <tr r="L59" s="2"/>
        <tr r="L59" s="2"/>
      </tp>
      <tp>
        <v>13.982009038207346</v>
        <stp/>
        <stp>##V3_BDPV12</stp>
        <stp>AZN LN Equity</stp>
        <stp>EE010</stp>
        <stp>[DPM - Securities Master List (BBG Linked).xlsx]Equities!R58C12</stp>
        <tr r="L58" s="2"/>
        <tr r="L58" s="2"/>
        <tr r="L58" s="2"/>
      </tp>
      <tp>
        <v>13.982009038207346</v>
        <stp/>
        <stp>##V3_BDPV12</stp>
        <stp>AZN LN Equity</stp>
        <stp>EE010</stp>
        <stp>[DPM - Securities Master List (BBG Linked).xlsx]Equities!R53C12</stp>
        <tr r="L53" s="2"/>
        <tr r="L53" s="2"/>
        <tr r="L53" s="2"/>
      </tp>
      <tp>
        <v>13.982009038207346</v>
        <stp/>
        <stp>##V3_BDPV12</stp>
        <stp>AZN LN Equity</stp>
        <stp>EE010</stp>
        <stp>[DPM - Securities Master List (BBG Linked).xlsx]Equities!R52C12</stp>
        <tr r="L52" s="2"/>
        <tr r="L52" s="2"/>
        <tr r="L52" s="2"/>
      </tp>
      <tp>
        <v>13.982009038207346</v>
        <stp/>
        <stp>##V3_BDPV12</stp>
        <stp>AZN LN Equity</stp>
        <stp>EE010</stp>
        <stp>[DPM - Securities Master List (BBG Linked).xlsx]Equities!R51C12</stp>
        <tr r="L51" s="2"/>
        <tr r="L51" s="2"/>
        <tr r="L51" s="2"/>
      </tp>
      <tp>
        <v>13.982009038207346</v>
        <stp/>
        <stp>##V3_BDPV12</stp>
        <stp>AZN LN Equity</stp>
        <stp>EE010</stp>
        <stp>[DPM - Securities Master List (BBG Linked).xlsx]Equities!R57C12</stp>
        <tr r="L57" s="2"/>
        <tr r="L57" s="2"/>
        <tr r="L57" s="2"/>
      </tp>
      <tp>
        <v>13.982009038207346</v>
        <stp/>
        <stp>##V3_BDPV12</stp>
        <stp>AZN LN Equity</stp>
        <stp>EE010</stp>
        <stp>[DPM - Securities Master List (BBG Linked).xlsx]Equities!R56C12</stp>
        <tr r="L56" s="2"/>
        <tr r="L56" s="2"/>
        <tr r="L56" s="2"/>
      </tp>
      <tp>
        <v>13.982009038207346</v>
        <stp/>
        <stp>##V3_BDPV12</stp>
        <stp>AZN LN Equity</stp>
        <stp>EE010</stp>
        <stp>[DPM - Securities Master List (BBG Linked).xlsx]Equities!R55C12</stp>
        <tr r="L55" s="2"/>
        <tr r="L55" s="2"/>
        <tr r="L55" s="2"/>
      </tp>
      <tp>
        <v>13.982009038207346</v>
        <stp/>
        <stp>##V3_BDPV12</stp>
        <stp>AZN LN Equity</stp>
        <stp>EE010</stp>
        <stp>[DPM - Securities Master List (BBG Linked).xlsx]Equities!R54C12</stp>
        <tr r="L54" s="2"/>
        <tr r="L54" s="2"/>
        <tr r="L54" s="2"/>
      </tp>
      <tp>
        <v>2.2828071830786563</v>
        <stp/>
        <stp>##V3_BDPV12</stp>
        <stp>AZN LN Equity</stp>
        <stp>DV013</stp>
        <stp>[DPM - Securities Master List (BBG Linked).xlsx]Equities!R60C10</stp>
        <tr r="J60" s="2"/>
      </tp>
      <tp>
        <v>2.2828071830786563</v>
        <stp/>
        <stp>##V3_BDPV12</stp>
        <stp>AZN LN Equity</stp>
        <stp>DV013</stp>
        <stp>[DPM - Securities Master List (BBG Linked).xlsx]Equities!R61C10</stp>
        <tr r="J61" s="2"/>
      </tp>
      <tp>
        <v>13.982009038207346</v>
        <stp/>
        <stp>##V3_BDPV12</stp>
        <stp>AZN LN Equity</stp>
        <stp>EE010</stp>
        <stp>[DPM - Securities Master List (BBG Linked).xlsx]Equities!R61C12</stp>
        <tr r="L61" s="2"/>
        <tr r="L61" s="2"/>
        <tr r="L61" s="2"/>
      </tp>
      <tp>
        <v>13.982009038207346</v>
        <stp/>
        <stp>##V3_BDPV12</stp>
        <stp>AZN LN Equity</stp>
        <stp>EE010</stp>
        <stp>[DPM - Securities Master List (BBG Linked).xlsx]Equities!R60C12</stp>
        <tr r="L60" s="2"/>
        <tr r="L60" s="2"/>
        <tr r="L60" s="2"/>
      </tp>
      <tp t="s">
        <v>GBp</v>
        <stp/>
        <stp>##V3_BDPV12</stp>
        <stp>DRX LN Equity</stp>
        <stp>CRNCY</stp>
        <stp>[DPM - Securities Master List (BBG Linked).xlsx]Equities!R118C6</stp>
        <tr r="F118" s="2"/>
      </tp>
      <tp>
        <v>19.343641527295677</v>
        <stp/>
        <stp>##V3_BDPV12</stp>
        <stp>ABF LN Equity</stp>
        <stp>RR041</stp>
        <stp>[DPM - Securities Master List (BBG Linked).xlsx]Equities!R35C33</stp>
        <tr r="AG35" s="2"/>
        <tr r="AG35" s="2"/>
        <tr r="AG35" s="2"/>
      </tp>
      <tp t="s">
        <v>Merck &amp; Co Inc</v>
        <stp/>
        <stp>##V3_BDPV12</stp>
        <stp>MRK US Equity</stp>
        <stp>SECURITY NAME</stp>
        <stp>[DPM - Securities Master List (BBG Linked).xlsx]Equities!R160C5</stp>
        <tr r="E160" s="2"/>
      </tp>
      <tp t="s">
        <v>GBp</v>
        <stp/>
        <stp>##V3_BDPV12</stp>
        <stp>DGE LN Equity</stp>
        <stp>CRNCY</stp>
        <stp>[DPM - Securities Master List (BBG Linked).xlsx]Equities!R108C6</stp>
        <tr r="F108" s="2"/>
      </tp>
      <tp>
        <v>2716.4639999999999</v>
        <stp/>
        <stp>##V3_BDPV12</stp>
        <stp>ABF LN Equity</stp>
        <stp>hs001</stp>
        <stp>[DPM - Securities Master List (BBG Linked).xlsx]Equities!R35C44</stp>
        <tr r="AR35" s="2"/>
      </tp>
      <tp>
        <v>1819</v>
        <stp/>
        <stp>##V3_BDPV12</stp>
        <stp>ABF LN Equity</stp>
        <stp>hs002</stp>
        <stp>[DPM - Securities Master List (BBG Linked).xlsx]Equities!R35C45</stp>
        <tr r="AS35" s="2"/>
      </tp>
      <tp>
        <v>-0.88105730000000004</v>
        <stp/>
        <stp>##V3_BDPV12</stp>
        <stp>ABF LN Equity</stp>
        <stp>PR079</stp>
        <stp>[DPM - Securities Master List (BBG Linked).xlsx]Equities!R35C43</stp>
        <tr r="AQ35" s="2"/>
      </tp>
      <tp>
        <v>8.3467090000000006</v>
        <stp/>
        <stp>##V3_BDPV12</stp>
        <stp>ABF LN Equity</stp>
        <stp>PR064</stp>
        <stp>[DPM - Securities Master List (BBG Linked).xlsx]Equities!R35C41</stp>
        <tr r="AO35" s="2"/>
      </tp>
      <tp>
        <v>4.3545480000000003</v>
        <stp/>
        <stp>##V3_BDPV12</stp>
        <stp>ABF LN Equity</stp>
        <stp>PR061</stp>
        <stp>[DPM - Securities Master List (BBG Linked).xlsx]Equities!R35C40</stp>
        <tr r="AN35" s="2"/>
      </tp>
      <tp t="s">
        <v>Equity</v>
        <stp/>
        <stp>##V3_BDPV12</stp>
        <stp>ABF LN Equity</stp>
        <stp>EX028</stp>
        <stp>[DPM - Securities Master List (BBG Linked).xlsx]Equities!R35C30</stp>
        <tr r="AD35" s="2"/>
        <tr r="AD35" s="2"/>
        <tr r="AD35" s="2"/>
      </tp>
      <tp>
        <v>3.1111111111111112</v>
        <stp/>
        <stp>##V3_BDPV12</stp>
        <stp>ABF LN Equity</stp>
        <stp>DV013</stp>
        <stp>[DPM - Securities Master List (BBG Linked).xlsx]Equities!R35C10</stp>
        <tr r="J35" s="2"/>
      </tp>
      <tp>
        <v>9.9704579025110771</v>
        <stp/>
        <stp>##V3_BDPV12</stp>
        <stp>ABF LN Equity</stp>
        <stp>EE010</stp>
        <stp>[DPM - Securities Master List (BBG Linked).xlsx]Equities!R35C12</stp>
        <tr r="L35" s="2"/>
        <tr r="L35" s="2"/>
        <tr r="L35" s="2"/>
      </tp>
      <tp>
        <v>17</v>
        <stp/>
        <stp>##V3_BDPV12</stp>
        <stp>ZBH US Equity</stp>
        <stp>TOT_HOLD_REC</stp>
        <stp>[DPM - Securities Master List (BBG Linked).xlsx]Equities!R302C35</stp>
        <tr r="AI302" s="2"/>
      </tp>
      <tp>
        <v>17</v>
        <stp/>
        <stp>##V3_BDPV12</stp>
        <stp>ZBH US Equity</stp>
        <stp>TOT_HOLD_REC</stp>
        <stp>[DPM - Securities Master List (BBG Linked).xlsx]Equities!R300C35</stp>
        <tr r="AI300" s="2"/>
      </tp>
      <tp>
        <v>17</v>
        <stp/>
        <stp>##V3_BDPV12</stp>
        <stp>ZBH US Equity</stp>
        <stp>TOT_HOLD_REC</stp>
        <stp>[DPM - Securities Master List (BBG Linked).xlsx]Equities!R301C35</stp>
        <tr r="AI301" s="2"/>
      </tp>
      <tp>
        <v>17</v>
        <stp/>
        <stp>##V3_BDPV12</stp>
        <stp>ZBH US Equity</stp>
        <stp>TOT_HOLD_REC</stp>
        <stp>[DPM - Securities Master List (BBG Linked).xlsx]Equities!R298C35</stp>
        <tr r="AI298" s="2"/>
      </tp>
      <tp>
        <v>17</v>
        <stp/>
        <stp>##V3_BDPV12</stp>
        <stp>ZBH US Equity</stp>
        <stp>TOT_HOLD_REC</stp>
        <stp>[DPM - Securities Master List (BBG Linked).xlsx]Equities!R299C35</stp>
        <tr r="AI299" s="2"/>
      </tp>
      <tp>
        <v>17</v>
        <stp/>
        <stp>##V3_BDPV12</stp>
        <stp>ZBH US Equity</stp>
        <stp>TOT_HOLD_REC</stp>
        <stp>[DPM - Securities Master List (BBG Linked).xlsx]Equities!R296C35</stp>
        <tr r="AI296" s="2"/>
      </tp>
      <tp>
        <v>17</v>
        <stp/>
        <stp>##V3_BDPV12</stp>
        <stp>ZBH US Equity</stp>
        <stp>TOT_HOLD_REC</stp>
        <stp>[DPM - Securities Master List (BBG Linked).xlsx]Equities!R297C35</stp>
        <tr r="AI297" s="2"/>
      </tp>
      <tp>
        <v>17</v>
        <stp/>
        <stp>##V3_BDPV12</stp>
        <stp>ZBH US Equity</stp>
        <stp>TOT_HOLD_REC</stp>
        <stp>[DPM - Securities Master List (BBG Linked).xlsx]Equities!R294C35</stp>
        <tr r="AI294" s="2"/>
      </tp>
      <tp>
        <v>17</v>
        <stp/>
        <stp>##V3_BDPV12</stp>
        <stp>ZBH US Equity</stp>
        <stp>TOT_HOLD_REC</stp>
        <stp>[DPM - Securities Master List (BBG Linked).xlsx]Equities!R295C35</stp>
        <tr r="AI295" s="2"/>
      </tp>
      <tp>
        <v>1</v>
        <stp/>
        <stp>##V3_BDPV12</stp>
        <stp>NEM AT Equity</stp>
        <stp>TOT_HOLD_REC</stp>
        <stp>[DPM - Securities Master List (BBG Linked).xlsx]Equities!R192C35</stp>
        <tr r="AI192" s="2"/>
      </tp>
      <tp>
        <v>1</v>
        <stp/>
        <stp>##V3_BDPV12</stp>
        <stp>NEM AT Equity</stp>
        <stp>TOT_HOLD_REC</stp>
        <stp>[DPM - Securities Master List (BBG Linked).xlsx]Equities!R190C35</stp>
        <tr r="AI190" s="2"/>
      </tp>
      <tp>
        <v>1</v>
        <stp/>
        <stp>##V3_BDPV12</stp>
        <stp>NEM AT Equity</stp>
        <stp>TOT_HOLD_REC</stp>
        <stp>[DPM - Securities Master List (BBG Linked).xlsx]Equities!R191C35</stp>
        <tr r="AI191" s="2"/>
      </tp>
      <tp>
        <v>1</v>
        <stp/>
        <stp>##V3_BDPV12</stp>
        <stp>NEM AT Equity</stp>
        <stp>TOT_HOLD_REC</stp>
        <stp>[DPM - Securities Master List (BBG Linked).xlsx]Equities!R189C35</stp>
        <tr r="AI189" s="2"/>
      </tp>
      <tp>
        <v>2</v>
        <stp/>
        <stp>##V3_BDPV12</stp>
        <stp>ZBH US Equity</stp>
        <stp>TOT_SELL_REC</stp>
        <stp>[DPM - Securities Master List (BBG Linked).xlsx]Equities!R300C36</stp>
        <tr r="AJ300" s="2"/>
      </tp>
      <tp>
        <v>2</v>
        <stp/>
        <stp>##V3_BDPV12</stp>
        <stp>ZBH US Equity</stp>
        <stp>TOT_SELL_REC</stp>
        <stp>[DPM - Securities Master List (BBG Linked).xlsx]Equities!R301C36</stp>
        <tr r="AJ301" s="2"/>
      </tp>
      <tp>
        <v>2</v>
        <stp/>
        <stp>##V3_BDPV12</stp>
        <stp>ZBH US Equity</stp>
        <stp>TOT_SELL_REC</stp>
        <stp>[DPM - Securities Master List (BBG Linked).xlsx]Equities!R302C36</stp>
        <tr r="AJ302" s="2"/>
      </tp>
      <tp>
        <v>2</v>
        <stp/>
        <stp>##V3_BDPV12</stp>
        <stp>ZBH US Equity</stp>
        <stp>TOT_SELL_REC</stp>
        <stp>[DPM - Securities Master List (BBG Linked).xlsx]Equities!R294C36</stp>
        <tr r="AJ294" s="2"/>
      </tp>
      <tp>
        <v>2</v>
        <stp/>
        <stp>##V3_BDPV12</stp>
        <stp>ZBH US Equity</stp>
        <stp>TOT_SELL_REC</stp>
        <stp>[DPM - Securities Master List (BBG Linked).xlsx]Equities!R295C36</stp>
        <tr r="AJ295" s="2"/>
      </tp>
      <tp>
        <v>2</v>
        <stp/>
        <stp>##V3_BDPV12</stp>
        <stp>ZBH US Equity</stp>
        <stp>TOT_SELL_REC</stp>
        <stp>[DPM - Securities Master List (BBG Linked).xlsx]Equities!R296C36</stp>
        <tr r="AJ296" s="2"/>
      </tp>
      <tp>
        <v>2</v>
        <stp/>
        <stp>##V3_BDPV12</stp>
        <stp>ZBH US Equity</stp>
        <stp>TOT_SELL_REC</stp>
        <stp>[DPM - Securities Master List (BBG Linked).xlsx]Equities!R297C36</stp>
        <tr r="AJ297" s="2"/>
      </tp>
      <tp>
        <v>2</v>
        <stp/>
        <stp>##V3_BDPV12</stp>
        <stp>ZBH US Equity</stp>
        <stp>TOT_SELL_REC</stp>
        <stp>[DPM - Securities Master List (BBG Linked).xlsx]Equities!R298C36</stp>
        <tr r="AJ298" s="2"/>
      </tp>
      <tp>
        <v>2</v>
        <stp/>
        <stp>##V3_BDPV12</stp>
        <stp>ZBH US Equity</stp>
        <stp>TOT_SELL_REC</stp>
        <stp>[DPM - Securities Master List (BBG Linked).xlsx]Equities!R299C36</stp>
        <tr r="AJ299" s="2"/>
      </tp>
      <tp>
        <v>0</v>
        <stp/>
        <stp>##V3_BDPV12</stp>
        <stp>NEM AT Equity</stp>
        <stp>TOT_SELL_REC</stp>
        <stp>[DPM - Securities Master List (BBG Linked).xlsx]Equities!R190C36</stp>
        <tr r="AJ190" s="2"/>
      </tp>
      <tp>
        <v>0</v>
        <stp/>
        <stp>##V3_BDPV12</stp>
        <stp>NEM AT Equity</stp>
        <stp>TOT_SELL_REC</stp>
        <stp>[DPM - Securities Master List (BBG Linked).xlsx]Equities!R191C36</stp>
        <tr r="AJ191" s="2"/>
      </tp>
      <tp>
        <v>0</v>
        <stp/>
        <stp>##V3_BDPV12</stp>
        <stp>NEM AT Equity</stp>
        <stp>TOT_SELL_REC</stp>
        <stp>[DPM - Securities Master List (BBG Linked).xlsx]Equities!R192C36</stp>
        <tr r="AJ192" s="2"/>
      </tp>
      <tp>
        <v>0</v>
        <stp/>
        <stp>##V3_BDPV12</stp>
        <stp>NEM AT Equity</stp>
        <stp>TOT_SELL_REC</stp>
        <stp>[DPM - Securities Master List (BBG Linked).xlsx]Equities!R189C36</stp>
        <tr r="AJ189" s="2"/>
      </tp>
      <tp>
        <v>16.898643286650735</v>
        <stp/>
        <stp>##V3_BDPV12</stp>
        <stp>DGE LN Equity</stp>
        <stp>EE010</stp>
        <stp>[DPM - Securities Master List (BBG Linked).xlsx]Equities!R108C12</stp>
        <tr r="L108" s="2"/>
        <tr r="L108" s="2"/>
        <tr r="L108" s="2"/>
      </tp>
      <tp>
        <v>16.898643286650735</v>
        <stp/>
        <stp>##V3_BDPV12</stp>
        <stp>DGE LN Equity</stp>
        <stp>EE010</stp>
        <stp>[DPM - Securities Master List (BBG Linked).xlsx]Equities!R109C12</stp>
        <tr r="L109" s="2"/>
        <tr r="L109" s="2"/>
        <tr r="L109" s="2"/>
      </tp>
      <tp>
        <v>16.898643286650735</v>
        <stp/>
        <stp>##V3_BDPV12</stp>
        <stp>DGE LN Equity</stp>
        <stp>EE010</stp>
        <stp>[DPM - Securities Master List (BBG Linked).xlsx]Equities!R110C12</stp>
        <tr r="L110" s="2"/>
        <tr r="L110" s="2"/>
        <tr r="L110" s="2"/>
      </tp>
      <tp>
        <v>16.898643286650735</v>
        <stp/>
        <stp>##V3_BDPV12</stp>
        <stp>DGE LN Equity</stp>
        <stp>EE010</stp>
        <stp>[DPM - Securities Master List (BBG Linked).xlsx]Equities!R111C12</stp>
        <tr r="L111" s="2"/>
        <tr r="L111" s="2"/>
        <tr r="L111" s="2"/>
      </tp>
      <tp>
        <v>3.701808388527065</v>
        <stp/>
        <stp>##V3_BDPV12</stp>
        <stp>DGE LN Equity</stp>
        <stp>DV013</stp>
        <stp>[DPM - Securities Master List (BBG Linked).xlsx]Equities!R110C10</stp>
        <tr r="J110" s="2"/>
      </tp>
      <tp>
        <v>3.701808388527065</v>
        <stp/>
        <stp>##V3_BDPV12</stp>
        <stp>DGE LN Equity</stp>
        <stp>DV013</stp>
        <stp>[DPM - Securities Master List (BBG Linked).xlsx]Equities!R111C10</stp>
        <tr r="J111" s="2"/>
      </tp>
      <tp>
        <v>3.701808388527065</v>
        <stp/>
        <stp>##V3_BDPV12</stp>
        <stp>DGE LN Equity</stp>
        <stp>DV013</stp>
        <stp>[DPM - Securities Master List (BBG Linked).xlsx]Equities!R108C10</stp>
        <tr r="J108" s="2"/>
      </tp>
      <tp>
        <v>3.701808388527065</v>
        <stp/>
        <stp>##V3_BDPV12</stp>
        <stp>DGE LN Equity</stp>
        <stp>DV013</stp>
        <stp>[DPM - Securities Master List (BBG Linked).xlsx]Equities!R109C10</stp>
        <tr r="J109" s="2"/>
      </tp>
      <tp t="s">
        <v>Y</v>
        <stp/>
        <stp>##V3_BDPV12</stp>
        <stp>MRK US Equity</stp>
        <stp>DY997</stp>
        <stp>[DPM - Securities Master List (BBG Linked).xlsx]Equities!R167C47</stp>
        <tr r="AU167" s="2"/>
        <tr r="AU167" s="2"/>
        <tr r="AU167" s="2"/>
      </tp>
      <tp t="s">
        <v>Y</v>
        <stp/>
        <stp>##V3_BDPV12</stp>
        <stp>MRK US Equity</stp>
        <stp>DY997</stp>
        <stp>[DPM - Securities Master List (BBG Linked).xlsx]Equities!R166C47</stp>
        <tr r="AU166" s="2"/>
        <tr r="AU166" s="2"/>
        <tr r="AU166" s="2"/>
      </tp>
      <tp t="s">
        <v>Y</v>
        <stp/>
        <stp>##V3_BDPV12</stp>
        <stp>MRK US Equity</stp>
        <stp>DY997</stp>
        <stp>[DPM - Securities Master List (BBG Linked).xlsx]Equities!R165C47</stp>
        <tr r="AU165" s="2"/>
        <tr r="AU165" s="2"/>
        <tr r="AU165" s="2"/>
      </tp>
      <tp t="s">
        <v>Y</v>
        <stp/>
        <stp>##V3_BDPV12</stp>
        <stp>MRK US Equity</stp>
        <stp>DY997</stp>
        <stp>[DPM - Securities Master List (BBG Linked).xlsx]Equities!R164C47</stp>
        <tr r="AU164" s="2"/>
        <tr r="AU164" s="2"/>
        <tr r="AU164" s="2"/>
      </tp>
      <tp t="s">
        <v>Y</v>
        <stp/>
        <stp>##V3_BDPV12</stp>
        <stp>MRK US Equity</stp>
        <stp>DY997</stp>
        <stp>[DPM - Securities Master List (BBG Linked).xlsx]Equities!R163C47</stp>
        <tr r="AU163" s="2"/>
        <tr r="AU163" s="2"/>
        <tr r="AU163" s="2"/>
      </tp>
      <tp t="s">
        <v>Y</v>
        <stp/>
        <stp>##V3_BDPV12</stp>
        <stp>MRK US Equity</stp>
        <stp>DY997</stp>
        <stp>[DPM - Securities Master List (BBG Linked).xlsx]Equities!R162C47</stp>
        <tr r="AU162" s="2"/>
        <tr r="AU162" s="2"/>
        <tr r="AU162" s="2"/>
      </tp>
      <tp t="s">
        <v>Y</v>
        <stp/>
        <stp>##V3_BDPV12</stp>
        <stp>MRK US Equity</stp>
        <stp>DY997</stp>
        <stp>[DPM - Securities Master List (BBG Linked).xlsx]Equities!R161C47</stp>
        <tr r="AU161" s="2"/>
        <tr r="AU161" s="2"/>
        <tr r="AU161" s="2"/>
      </tp>
      <tp t="s">
        <v>Y</v>
        <stp/>
        <stp>##V3_BDPV12</stp>
        <stp>MRK US Equity</stp>
        <stp>DY997</stp>
        <stp>[DPM - Securities Master List (BBG Linked).xlsx]Equities!R160C47</stp>
        <tr r="AU160" s="2"/>
        <tr r="AU160" s="2"/>
        <tr r="AU160" s="2"/>
      </tp>
      <tp t="s">
        <v>Y</v>
        <stp/>
        <stp>##V3_BDPV12</stp>
        <stp>MRK US Equity</stp>
        <stp>DY997</stp>
        <stp>[DPM - Securities Master List (BBG Linked).xlsx]Equities!R169C47</stp>
        <tr r="AU169" s="2"/>
        <tr r="AU169" s="2"/>
        <tr r="AU169" s="2"/>
      </tp>
      <tp t="s">
        <v>Y</v>
        <stp/>
        <stp>##V3_BDPV12</stp>
        <stp>MRK US Equity</stp>
        <stp>DY997</stp>
        <stp>[DPM - Securities Master List (BBG Linked).xlsx]Equities!R168C47</stp>
        <tr r="AU168" s="2"/>
        <tr r="AU168" s="2"/>
        <tr r="AU168" s="2"/>
      </tp>
      <tp t="s">
        <v>Y</v>
        <stp/>
        <stp>##V3_BDPV12</stp>
        <stp>MRK US Equity</stp>
        <stp>DY997</stp>
        <stp>[DPM - Securities Master List (BBG Linked).xlsx]Equities!R157C47</stp>
        <tr r="AU157" s="2"/>
        <tr r="AU157" s="2"/>
        <tr r="AU157" s="2"/>
      </tp>
      <tp t="s">
        <v>Y</v>
        <stp/>
        <stp>##V3_BDPV12</stp>
        <stp>MRK US Equity</stp>
        <stp>DY997</stp>
        <stp>[DPM - Securities Master List (BBG Linked).xlsx]Equities!R159C47</stp>
        <tr r="AU159" s="2"/>
        <tr r="AU159" s="2"/>
        <tr r="AU159" s="2"/>
      </tp>
      <tp t="s">
        <v>Y</v>
        <stp/>
        <stp>##V3_BDPV12</stp>
        <stp>MRK US Equity</stp>
        <stp>DY997</stp>
        <stp>[DPM - Securities Master List (BBG Linked).xlsx]Equities!R158C47</stp>
        <tr r="AU158" s="2"/>
        <tr r="AU158" s="2"/>
        <tr r="AU158" s="2"/>
      </tp>
      <tp>
        <v>525.99</v>
        <stp/>
        <stp>##V3_BDPV12</stp>
        <stp>REGN Equity</stp>
        <stp>hs002</stp>
        <stp>[DPM - Securities Master List (BBG Linked).xlsx]Equities!R240C45</stp>
        <tr r="AS240" s="2"/>
      </tp>
      <tp>
        <v>1211.2</v>
        <stp/>
        <stp>##V3_BDPV12</stp>
        <stp>REGN Equity</stp>
        <stp>hs001</stp>
        <stp>[DPM - Securities Master List (BBG Linked).xlsx]Equities!R240C44</stp>
        <tr r="AR240" s="2"/>
      </tp>
      <tp t="s">
        <v>PayPal Holdings Inc</v>
        <stp/>
        <stp>##V3_BDPV12</stp>
        <stp>PYPL US Equity</stp>
        <stp>SECURITY NAME</stp>
        <stp>[DPM - Securities Master List (BBG Linked).xlsx]Equities!R237C5</stp>
        <tr r="E237" s="2"/>
      </tp>
      <tp t="s">
        <v>USD</v>
        <stp/>
        <stp>##V3_BDPV12</stp>
        <stp>INTC US Equity</stp>
        <stp>CRNCY</stp>
        <stp>[DPM - Securities Master List (BBG Linked).xlsx]Equities!R148C6</stp>
        <tr r="F148" s="2"/>
      </tp>
      <tp t="s">
        <v>CHF</v>
        <stp/>
        <stp>##V3_BDPV12</stp>
        <stp>NESN SW Equity</stp>
        <stp>CRNCY</stp>
        <stp>[DPM - Securities Master List (BBG Linked).xlsx]Equities!R195C6</stp>
        <tr r="F195" s="2"/>
      </tp>
      <tp t="s">
        <v>Volkswagen AG</v>
        <stp/>
        <stp>##V3_BDPV12</stp>
        <stp>VOW3 GY Equity</stp>
        <stp>SECURITY NAME</stp>
        <stp>[DPM - Securities Master List (BBG Linked).xlsx]Equities!R293C5</stp>
        <tr r="E293" s="2"/>
      </tp>
      <tp t="s">
        <v>CHF</v>
        <stp/>
        <stp>##V3_BDPV12</stp>
        <stp>NESN SW Equity</stp>
        <stp>CRNCY</stp>
        <stp>[DPM - Securities Master List (BBG Linked).xlsx]Equities!R205C6</stp>
        <tr r="F205" s="2"/>
      </tp>
      <tp>
        <v>107</v>
        <stp/>
        <stp>##V3_BDPV12</stp>
        <stp>NSRGY US Equity</stp>
        <stp>PX_LAST</stp>
        <stp>[DPM - Securities Master List (BBG Linked).xlsx]Equities!R223C17</stp>
        <tr r="Q223" s="2"/>
      </tp>
      <tp t="s">
        <v>USD</v>
        <stp/>
        <stp>##V3_BDPV12</stp>
        <stp>DELL US Equity</stp>
        <stp>CRNCY</stp>
        <stp>[DPM - Securities Master List (BBG Linked).xlsx]Equities!R103C6</stp>
        <tr r="F103" s="2"/>
      </tp>
      <tp t="s">
        <v>Health Care</v>
        <stp/>
        <stp>##V3_BDPV12</stp>
        <stp>BIIB US Equity</stp>
        <stp>DX202</stp>
        <stp>[DPM - Securities Master List (BBG Linked).xlsx]Equities!R62C46</stp>
        <tr r="AT62" s="2"/>
        <tr r="AT62" s="2"/>
        <tr r="AT62" s="2"/>
      </tp>
      <tp>
        <v>3.8888888359069824</v>
        <stp/>
        <stp>##V3_BDPV12</stp>
        <stp>BIIB US Equity</stp>
        <stp>EE201</stp>
        <stp>[DPM - Securities Master List (BBG Linked).xlsx]Equities!R62C37</stp>
        <tr r="AK62" s="2"/>
        <tr r="AK62" s="2"/>
        <tr r="AK62" s="2"/>
      </tp>
      <tp t="s">
        <v>US75886F1075</v>
        <stp/>
        <stp>##V3_BDPV12</stp>
        <stp>REGN Equity</stp>
        <stp>ID005</stp>
        <stp>[DPM - Securities Master List (BBG Linked).xlsx]Equities!R240C55</stp>
        <tr r="BC240" s="2"/>
      </tp>
      <tp>
        <v>4.4285712242126465</v>
        <stp/>
        <stp>##V3_BDPV12</stp>
        <stp>REGN Equity</stp>
        <stp>EE201</stp>
        <stp>[DPM - Securities Master List (BBG Linked).xlsx]Equities!R240C37</stp>
        <tr r="AK240" s="2"/>
        <tr r="AK240" s="2"/>
        <tr r="AK240" s="2"/>
      </tp>
      <tp t="s">
        <v>Health Care</v>
        <stp/>
        <stp>##V3_BDPV12</stp>
        <stp>REGN Equity</stp>
        <stp>DX202</stp>
        <stp>[DPM - Securities Master List (BBG Linked).xlsx]Equities!R240C46</stp>
        <tr r="AT240" s="2"/>
        <tr r="AT240" s="2"/>
        <tr r="AT240" s="2"/>
      </tp>
      <tp>
        <v>59960.354759274684</v>
        <stp/>
        <stp>##V3_BDPV12</stp>
        <stp>NEM AT Equity</stp>
        <stp>CRNCY_ADJ_MKT_CAP</stp>
        <stp>[DPM - Securities Master List (BBG Linked).xlsx]Equities!R189C9</stp>
        <stp>EQY_FUND_CRNCY=USD</stp>
        <tr r="I189" s="2"/>
      </tp>
      <tp>
        <v>131452.52994387338</v>
        <stp/>
        <stp>##V3_BDPV12</stp>
        <stp>TTE FP Equity</stp>
        <stp>CRNCY_ADJ_MKT_CAP</stp>
        <stp>[DPM - Securities Master List (BBG Linked).xlsx]Equities!R288C9</stp>
        <stp>EQY_FUND_CRNCY=USD</stp>
        <tr r="I288" s="2"/>
      </tp>
      <tp>
        <v>15.780521580696458</v>
        <stp/>
        <stp>##V3_BDPV12</stp>
        <stp>REGN Equity</stp>
        <stp>RR908</stp>
        <stp>[DPM - Securities Master List (BBG Linked).xlsx]Equities!R240C32</stp>
        <tr r="AF240" s="2"/>
        <tr r="AF240" s="2"/>
        <tr r="AF240" s="2"/>
      </tp>
      <tp>
        <v>131452.52994387338</v>
        <stp/>
        <stp>##V3_BDPV12</stp>
        <stp>TTE FP Equity</stp>
        <stp>CRNCY_ADJ_MKT_CAP</stp>
        <stp>[DPM - Securities Master List (BBG Linked).xlsx]Equities!R281C9</stp>
        <stp>EQY_FUND_CRNCY=USD</stp>
        <tr r="I281" s="2"/>
      </tp>
      <tp>
        <v>131452.52994387338</v>
        <stp/>
        <stp>##V3_BDPV12</stp>
        <stp>TTE FP Equity</stp>
        <stp>CRNCY_ADJ_MKT_CAP</stp>
        <stp>[DPM - Securities Master List (BBG Linked).xlsx]Equities!R280C9</stp>
        <stp>EQY_FUND_CRNCY=USD</stp>
        <tr r="I280" s="2"/>
      </tp>
      <tp>
        <v>131452.52994387338</v>
        <stp/>
        <stp>##V3_BDPV12</stp>
        <stp>TTE FP Equity</stp>
        <stp>CRNCY_ADJ_MKT_CAP</stp>
        <stp>[DPM - Securities Master List (BBG Linked).xlsx]Equities!R283C9</stp>
        <stp>EQY_FUND_CRNCY=USD</stp>
        <tr r="I283" s="2"/>
      </tp>
      <tp>
        <v>131452.52994387338</v>
        <stp/>
        <stp>##V3_BDPV12</stp>
        <stp>TTE FP Equity</stp>
        <stp>CRNCY_ADJ_MKT_CAP</stp>
        <stp>[DPM - Securities Master List (BBG Linked).xlsx]Equities!R282C9</stp>
        <stp>EQY_FUND_CRNCY=USD</stp>
        <tr r="I282" s="2"/>
      </tp>
      <tp>
        <v>15.278277130552674</v>
        <stp/>
        <stp>##V3_BDPV12</stp>
        <stp>REGN Equity</stp>
        <stp>RR900</stp>
        <stp>[DPM - Securities Master List (BBG Linked).xlsx]Equities!R240C11</stp>
        <tr r="K240" s="2"/>
        <tr r="K240" s="2"/>
        <tr r="K240" s="2"/>
      </tp>
      <tp>
        <v>-39.310070000000003</v>
        <stp/>
        <stp>##V3_BDPV12</stp>
        <stp>ON US Equity</stp>
        <stp>PR079</stp>
        <stp>[DPM - Securities Master List (BBG Linked).xlsx]Equities!R226C43</stp>
        <tr r="AQ226" s="2"/>
      </tp>
      <tp>
        <v>131452.52994387338</v>
        <stp/>
        <stp>##V3_BDPV12</stp>
        <stp>TTE FP Equity</stp>
        <stp>CRNCY_ADJ_MKT_CAP</stp>
        <stp>[DPM - Securities Master List (BBG Linked).xlsx]Equities!R285C9</stp>
        <stp>EQY_FUND_CRNCY=USD</stp>
        <tr r="I285" s="2"/>
      </tp>
      <tp>
        <v>131452.52994387338</v>
        <stp/>
        <stp>##V3_BDPV12</stp>
        <stp>TTE FP Equity</stp>
        <stp>CRNCY_ADJ_MKT_CAP</stp>
        <stp>[DPM - Securities Master List (BBG Linked).xlsx]Equities!R284C9</stp>
        <stp>EQY_FUND_CRNCY=USD</stp>
        <tr r="I284" s="2"/>
      </tp>
      <tp>
        <v>2.1352191650845884</v>
        <stp/>
        <stp>##V3_BDPV12</stp>
        <stp>REGN Equity</stp>
        <stp>RR903</stp>
        <stp>[DPM - Securities Master List (BBG Linked).xlsx]Equities!R240C13</stp>
        <tr r="M240" s="2"/>
        <tr r="M240" s="2"/>
        <tr r="M240" s="2"/>
      </tp>
      <tp>
        <v>131452.52994387338</v>
        <stp/>
        <stp>##V3_BDPV12</stp>
        <stp>TTE FP Equity</stp>
        <stp>CRNCY_ADJ_MKT_CAP</stp>
        <stp>[DPM - Securities Master List (BBG Linked).xlsx]Equities!R286C9</stp>
        <stp>EQY_FUND_CRNCY=USD</stp>
        <tr r="I286" s="2"/>
      </tp>
      <tp t="s">
        <v>NIKE Inc</v>
        <stp/>
        <stp>##V3_BDPV12</stp>
        <stp>NKE US Equity</stp>
        <stp>SECURITY NAME</stp>
        <stp>[DPM - Securities Master List (BBG Linked).xlsx]Equities!R212C5</stp>
        <tr r="E212" s="2"/>
      </tp>
      <tp t="s">
        <v>NIKE Inc</v>
        <stp/>
        <stp>##V3_BDPV12</stp>
        <stp>NKE US Equity</stp>
        <stp>SECURITY NAME</stp>
        <stp>[DPM - Securities Master List (BBG Linked).xlsx]Equities!R222C5</stp>
        <tr r="E222" s="2"/>
      </tp>
      <tp t="s">
        <v>SSE PLC</v>
        <stp/>
        <stp>##V3_BDPV12</stp>
        <stp>SSE LN Equity</stp>
        <stp>SECURITY NAME</stp>
        <stp>[DPM - Securities Master List (BBG Linked).xlsx]Equities!R246C5</stp>
        <tr r="E246" s="2"/>
      </tp>
      <tp t="s">
        <v>SSE PLC</v>
        <stp/>
        <stp>##V3_BDPV12</stp>
        <stp>SSE LN Equity</stp>
        <stp>SECURITY NAME</stp>
        <stp>[DPM - Securities Master List (BBG Linked).xlsx]Equities!R256C5</stp>
        <tr r="E256" s="2"/>
      </tp>
      <tp t="s">
        <v>USD</v>
        <stp/>
        <stp>##V3_BDPV12</stp>
        <stp>PEP US Equity</stp>
        <stp>CRNCY</stp>
        <stp>[DPM - Securities Master List (BBG Linked).xlsx]Equities!R234C6</stp>
        <tr r="F234" s="2"/>
      </tp>
      <tp t="s">
        <v>Energy</v>
        <stp/>
        <stp>##V3_BDPV12</stp>
        <stp>BP/ LN Equity</stp>
        <stp>DX202</stp>
        <stp>[DPM - Securities Master List (BBG Linked).xlsx]Equities!R86C46</stp>
        <tr r="AT86" s="2"/>
        <tr r="AT86" s="2"/>
        <tr r="AT86" s="2"/>
      </tp>
      <tp t="s">
        <v>Energy</v>
        <stp/>
        <stp>##V3_BDPV12</stp>
        <stp>BP/ LN Equity</stp>
        <stp>DX202</stp>
        <stp>[DPM - Securities Master List (BBG Linked).xlsx]Equities!R87C46</stp>
        <tr r="AT87" s="2"/>
        <tr r="AT87" s="2"/>
        <tr r="AT87" s="2"/>
      </tp>
      <tp t="s">
        <v>Energy</v>
        <stp/>
        <stp>##V3_BDPV12</stp>
        <stp>BP/ LN Equity</stp>
        <stp>DX202</stp>
        <stp>[DPM - Securities Master List (BBG Linked).xlsx]Equities!R84C46</stp>
        <tr r="AT84" s="2"/>
        <tr r="AT84" s="2"/>
        <tr r="AT84" s="2"/>
      </tp>
      <tp t="s">
        <v>Energy</v>
        <stp/>
        <stp>##V3_BDPV12</stp>
        <stp>BP/ LN Equity</stp>
        <stp>DX202</stp>
        <stp>[DPM - Securities Master List (BBG Linked).xlsx]Equities!R85C46</stp>
        <tr r="AT85" s="2"/>
        <tr r="AT85" s="2"/>
        <tr r="AT85" s="2"/>
      </tp>
      <tp t="s">
        <v>Energy</v>
        <stp/>
        <stp>##V3_BDPV12</stp>
        <stp>BP/ LN Equity</stp>
        <stp>DX202</stp>
        <stp>[DPM - Securities Master List (BBG Linked).xlsx]Equities!R82C46</stp>
        <tr r="AT82" s="2"/>
        <tr r="AT82" s="2"/>
        <tr r="AT82" s="2"/>
      </tp>
      <tp t="s">
        <v>Energy</v>
        <stp/>
        <stp>##V3_BDPV12</stp>
        <stp>BP/ LN Equity</stp>
        <stp>DX202</stp>
        <stp>[DPM - Securities Master List (BBG Linked).xlsx]Equities!R83C46</stp>
        <tr r="AT83" s="2"/>
        <tr r="AT83" s="2"/>
        <tr r="AT83" s="2"/>
      </tp>
      <tp t="s">
        <v>Energy</v>
        <stp/>
        <stp>##V3_BDPV12</stp>
        <stp>BP/ LN Equity</stp>
        <stp>DX202</stp>
        <stp>[DPM - Securities Master List (BBG Linked).xlsx]Equities!R80C46</stp>
        <tr r="AT80" s="2"/>
        <tr r="AT80" s="2"/>
        <tr r="AT80" s="2"/>
      </tp>
      <tp t="s">
        <v>Energy</v>
        <stp/>
        <stp>##V3_BDPV12</stp>
        <stp>BP/ LN Equity</stp>
        <stp>DX202</stp>
        <stp>[DPM - Securities Master List (BBG Linked).xlsx]Equities!R81C46</stp>
        <tr r="AT81" s="2"/>
        <tr r="AT81" s="2"/>
        <tr r="AT81" s="2"/>
      </tp>
      <tp t="s">
        <v>Energy</v>
        <stp/>
        <stp>##V3_BDPV12</stp>
        <stp>BP/ LN Equity</stp>
        <stp>DX202</stp>
        <stp>[DPM - Securities Master List (BBG Linked).xlsx]Equities!R88C46</stp>
        <tr r="AT88" s="2"/>
        <tr r="AT88" s="2"/>
        <tr r="AT88" s="2"/>
      </tp>
      <tp t="s">
        <v>Energy</v>
        <stp/>
        <stp>##V3_BDPV12</stp>
        <stp>BP/ LN Equity</stp>
        <stp>DX202</stp>
        <stp>[DPM - Securities Master List (BBG Linked).xlsx]Equities!R89C46</stp>
        <tr r="AT89" s="2"/>
        <tr r="AT89" s="2"/>
        <tr r="AT89" s="2"/>
      </tp>
      <tp t="s">
        <v>Energy</v>
        <stp/>
        <stp>##V3_BDPV12</stp>
        <stp>BP/ LN Equity</stp>
        <stp>DX202</stp>
        <stp>[DPM - Securities Master List (BBG Linked).xlsx]Equities!R90C46</stp>
        <tr r="AT90" s="2"/>
        <tr r="AT90" s="2"/>
        <tr r="AT90" s="2"/>
      </tp>
      <tp t="s">
        <v>Energy</v>
        <stp/>
        <stp>##V3_BDPV12</stp>
        <stp>BP/ LN Equity</stp>
        <stp>DX202</stp>
        <stp>[DPM - Securities Master List (BBG Linked).xlsx]Equities!R77C46</stp>
        <tr r="AT77" s="2"/>
        <tr r="AT77" s="2"/>
        <tr r="AT77" s="2"/>
      </tp>
      <tp t="s">
        <v>Energy</v>
        <stp/>
        <stp>##V3_BDPV12</stp>
        <stp>BP/ LN Equity</stp>
        <stp>DX202</stp>
        <stp>[DPM - Securities Master List (BBG Linked).xlsx]Equities!R78C46</stp>
        <tr r="AT78" s="2"/>
        <tr r="AT78" s="2"/>
        <tr r="AT78" s="2"/>
      </tp>
      <tp t="s">
        <v>Energy</v>
        <stp/>
        <stp>##V3_BDPV12</stp>
        <stp>BP/ LN Equity</stp>
        <stp>DX202</stp>
        <stp>[DPM - Securities Master List (BBG Linked).xlsx]Equities!R79C46</stp>
        <tr r="AT79" s="2"/>
        <tr r="AT79" s="2"/>
        <tr r="AT79" s="2"/>
      </tp>
      <tp>
        <v>3.346153736114502</v>
        <stp/>
        <stp>##V3_BDPV12</stp>
        <stp>BP/ LN Equity</stp>
        <stp>EE201</stp>
        <stp>[DPM - Securities Master List (BBG Linked).xlsx]Equities!R90C37</stp>
        <tr r="AK90" s="2"/>
        <tr r="AK90" s="2"/>
        <tr r="AK90" s="2"/>
      </tp>
      <tp>
        <v>3.346153736114502</v>
        <stp/>
        <stp>##V3_BDPV12</stp>
        <stp>BP/ LN Equity</stp>
        <stp>EE201</stp>
        <stp>[DPM - Securities Master List (BBG Linked).xlsx]Equities!R89C37</stp>
        <tr r="AK89" s="2"/>
        <tr r="AK89" s="2"/>
        <tr r="AK89" s="2"/>
      </tp>
      <tp>
        <v>3.346153736114502</v>
        <stp/>
        <stp>##V3_BDPV12</stp>
        <stp>BP/ LN Equity</stp>
        <stp>EE201</stp>
        <stp>[DPM - Securities Master List (BBG Linked).xlsx]Equities!R88C37</stp>
        <tr r="AK88" s="2"/>
        <tr r="AK88" s="2"/>
        <tr r="AK88" s="2"/>
      </tp>
      <tp>
        <v>3.346153736114502</v>
        <stp/>
        <stp>##V3_BDPV12</stp>
        <stp>BP/ LN Equity</stp>
        <stp>EE201</stp>
        <stp>[DPM - Securities Master List (BBG Linked).xlsx]Equities!R83C37</stp>
        <tr r="AK83" s="2"/>
        <tr r="AK83" s="2"/>
        <tr r="AK83" s="2"/>
      </tp>
      <tp>
        <v>3.346153736114502</v>
        <stp/>
        <stp>##V3_BDPV12</stp>
        <stp>BP/ LN Equity</stp>
        <stp>EE201</stp>
        <stp>[DPM - Securities Master List (BBG Linked).xlsx]Equities!R82C37</stp>
        <tr r="AK82" s="2"/>
        <tr r="AK82" s="2"/>
        <tr r="AK82" s="2"/>
      </tp>
      <tp>
        <v>3.346153736114502</v>
        <stp/>
        <stp>##V3_BDPV12</stp>
        <stp>BP/ LN Equity</stp>
        <stp>EE201</stp>
        <stp>[DPM - Securities Master List (BBG Linked).xlsx]Equities!R81C37</stp>
        <tr r="AK81" s="2"/>
        <tr r="AK81" s="2"/>
        <tr r="AK81" s="2"/>
      </tp>
      <tp>
        <v>3.346153736114502</v>
        <stp/>
        <stp>##V3_BDPV12</stp>
        <stp>BP/ LN Equity</stp>
        <stp>EE201</stp>
        <stp>[DPM - Securities Master List (BBG Linked).xlsx]Equities!R80C37</stp>
        <tr r="AK80" s="2"/>
        <tr r="AK80" s="2"/>
        <tr r="AK80" s="2"/>
      </tp>
      <tp>
        <v>3.346153736114502</v>
        <stp/>
        <stp>##V3_BDPV12</stp>
        <stp>BP/ LN Equity</stp>
        <stp>EE201</stp>
        <stp>[DPM - Securities Master List (BBG Linked).xlsx]Equities!R87C37</stp>
        <tr r="AK87" s="2"/>
        <tr r="AK87" s="2"/>
        <tr r="AK87" s="2"/>
      </tp>
      <tp>
        <v>3.346153736114502</v>
        <stp/>
        <stp>##V3_BDPV12</stp>
        <stp>BP/ LN Equity</stp>
        <stp>EE201</stp>
        <stp>[DPM - Securities Master List (BBG Linked).xlsx]Equities!R86C37</stp>
        <tr r="AK86" s="2"/>
        <tr r="AK86" s="2"/>
        <tr r="AK86" s="2"/>
      </tp>
      <tp>
        <v>3.346153736114502</v>
        <stp/>
        <stp>##V3_BDPV12</stp>
        <stp>BP/ LN Equity</stp>
        <stp>EE201</stp>
        <stp>[DPM - Securities Master List (BBG Linked).xlsx]Equities!R85C37</stp>
        <tr r="AK85" s="2"/>
        <tr r="AK85" s="2"/>
        <tr r="AK85" s="2"/>
      </tp>
      <tp>
        <v>3.346153736114502</v>
        <stp/>
        <stp>##V3_BDPV12</stp>
        <stp>BP/ LN Equity</stp>
        <stp>EE201</stp>
        <stp>[DPM - Securities Master List (BBG Linked).xlsx]Equities!R84C37</stp>
        <tr r="AK84" s="2"/>
        <tr r="AK84" s="2"/>
        <tr r="AK84" s="2"/>
      </tp>
      <tp>
        <v>3.346153736114502</v>
        <stp/>
        <stp>##V3_BDPV12</stp>
        <stp>BP/ LN Equity</stp>
        <stp>EE201</stp>
        <stp>[DPM - Securities Master List (BBG Linked).xlsx]Equities!R79C37</stp>
        <tr r="AK79" s="2"/>
        <tr r="AK79" s="2"/>
        <tr r="AK79" s="2"/>
      </tp>
      <tp>
        <v>3.346153736114502</v>
        <stp/>
        <stp>##V3_BDPV12</stp>
        <stp>BP/ LN Equity</stp>
        <stp>EE201</stp>
        <stp>[DPM - Securities Master List (BBG Linked).xlsx]Equities!R78C37</stp>
        <tr r="AK78" s="2"/>
        <tr r="AK78" s="2"/>
        <tr r="AK78" s="2"/>
      </tp>
      <tp>
        <v>3.346153736114502</v>
        <stp/>
        <stp>##V3_BDPV12</stp>
        <stp>BP/ LN Equity</stp>
        <stp>EE201</stp>
        <stp>[DPM - Securities Master List (BBG Linked).xlsx]Equities!R77C37</stp>
        <tr r="AK77" s="2"/>
        <tr r="AK77" s="2"/>
        <tr r="AK77" s="2"/>
      </tp>
      <tp t="s">
        <v>GBp</v>
        <stp/>
        <stp>##V3_BDPV12</stp>
        <stp>DRX LN Equity</stp>
        <stp>CRNCY</stp>
        <stp>[DPM - Securities Master List (BBG Linked).xlsx]Equities!R119C6</stp>
        <tr r="F119" s="2"/>
      </tp>
      <tp>
        <v>2863.5</v>
        <stp/>
        <stp>##V3_BDPV12</stp>
        <stp>DGE LN Equity</stp>
        <stp>hs001</stp>
        <stp>[DPM - Securities Master List (BBG Linked).xlsx]Equities!R108C44</stp>
        <tr r="AR108" s="2"/>
      </tp>
      <tp>
        <v>2863.5</v>
        <stp/>
        <stp>##V3_BDPV12</stp>
        <stp>DGE LN Equity</stp>
        <stp>hs001</stp>
        <stp>[DPM - Securities Master List (BBG Linked).xlsx]Equities!R109C44</stp>
        <tr r="AR109" s="2"/>
      </tp>
      <tp>
        <v>2863.5</v>
        <stp/>
        <stp>##V3_BDPV12</stp>
        <stp>DGE LN Equity</stp>
        <stp>hs001</stp>
        <stp>[DPM - Securities Master List (BBG Linked).xlsx]Equities!R110C44</stp>
        <tr r="AR110" s="2"/>
      </tp>
      <tp>
        <v>2863.5</v>
        <stp/>
        <stp>##V3_BDPV12</stp>
        <stp>DGE LN Equity</stp>
        <stp>hs001</stp>
        <stp>[DPM - Securities Master List (BBG Linked).xlsx]Equities!R111C44</stp>
        <tr r="AR111" s="2"/>
      </tp>
      <tp t="s">
        <v>Merck &amp; Co Inc</v>
        <stp/>
        <stp>##V3_BDPV12</stp>
        <stp>MRK US Equity</stp>
        <stp>SECURITY NAME</stp>
        <stp>[DPM - Securities Master List (BBG Linked).xlsx]Equities!R161C5</stp>
        <tr r="E161" s="2"/>
      </tp>
      <tp t="s">
        <v>GBp</v>
        <stp/>
        <stp>##V3_BDPV12</stp>
        <stp>DGE LN Equity</stp>
        <stp>CRNCY</stp>
        <stp>[DPM - Securities Master List (BBG Linked).xlsx]Equities!R109C6</stp>
        <tr r="F109" s="2"/>
      </tp>
      <tp>
        <v>1908</v>
        <stp/>
        <stp>##V3_BDPV12</stp>
        <stp>DGE LN Equity</stp>
        <stp>hs002</stp>
        <stp>[DPM - Securities Master List (BBG Linked).xlsx]Equities!R110C45</stp>
        <tr r="AS110" s="2"/>
      </tp>
      <tp>
        <v>1908</v>
        <stp/>
        <stp>##V3_BDPV12</stp>
        <stp>DGE LN Equity</stp>
        <stp>hs002</stp>
        <stp>[DPM - Securities Master List (BBG Linked).xlsx]Equities!R111C45</stp>
        <tr r="AS111" s="2"/>
      </tp>
      <tp>
        <v>1908</v>
        <stp/>
        <stp>##V3_BDPV12</stp>
        <stp>DGE LN Equity</stp>
        <stp>hs002</stp>
        <stp>[DPM - Securities Master List (BBG Linked).xlsx]Equities!R108C45</stp>
        <tr r="AS108" s="2"/>
      </tp>
      <tp>
        <v>1908</v>
        <stp/>
        <stp>##V3_BDPV12</stp>
        <stp>DGE LN Equity</stp>
        <stp>hs002</stp>
        <stp>[DPM - Securities Master List (BBG Linked).xlsx]Equities!R109C45</stp>
        <tr r="AS109" s="2"/>
      </tp>
      <tp t="s">
        <v>USD</v>
        <stp/>
        <stp>##V3_BDPV12</stp>
        <stp>ON US Equity</stp>
        <stp>CRNCY</stp>
        <stp>[DPM - Securities Master List (BBG Linked).xlsx]Equities!R226C6</stp>
        <tr r="F226" s="2"/>
      </tp>
    </main>
    <main first="bofaddin.rtdserver">
      <tp t="e">
        <v>#N/A</v>
        <stp/>
        <stp>BDP|9617378604691697</stp>
        <tr r="AL129" s="3"/>
        <tr r="AL129" s="3"/>
        <tr r="AL129" s="3"/>
        <tr r="AL128" s="3"/>
        <tr r="AL128" s="3"/>
        <tr r="AL128" s="3"/>
        <tr r="AL127" s="3"/>
        <tr r="AL127" s="3"/>
        <tr r="AL127" s="3"/>
        <tr r="AL126" s="3"/>
        <tr r="AL126" s="3"/>
        <tr r="AL126" s="3"/>
        <tr r="AL125" s="3"/>
        <tr r="AL125" s="3"/>
        <tr r="AL125" s="3"/>
        <tr r="AL124" s="3"/>
        <tr r="AL124" s="3"/>
        <tr r="AL124" s="3"/>
        <tr r="AL123" s="3"/>
        <tr r="AL123" s="3"/>
        <tr r="AL123" s="3"/>
        <tr r="AL122" s="3"/>
        <tr r="AL122" s="3"/>
        <tr r="AL122" s="3"/>
        <tr r="AL121" s="3"/>
        <tr r="AL121" s="3"/>
        <tr r="AL121" s="3"/>
        <tr r="AL120" s="3"/>
        <tr r="AL120" s="3"/>
        <tr r="AL120" s="3"/>
      </tp>
    </main>
    <main first="bloomberg.rtd">
      <tp>
        <v>6.2414754551182581</v>
        <stp/>
        <stp>##V3_BDPV12</stp>
        <stp>DGE LN Equity</stp>
        <stp>RR903</stp>
        <stp>[DPM - Securities Master List (BBG Linked).xlsx]Equities!R109C13</stp>
        <tr r="M109" s="2"/>
        <tr r="M109" s="2"/>
        <tr r="M109" s="2"/>
      </tp>
      <tp>
        <v>6.2414754551182581</v>
        <stp/>
        <stp>##V3_BDPV12</stp>
        <stp>DGE LN Equity</stp>
        <stp>RR903</stp>
        <stp>[DPM - Securities Master List (BBG Linked).xlsx]Equities!R108C13</stp>
        <tr r="M108" s="2"/>
        <tr r="M108" s="2"/>
        <tr r="M108" s="2"/>
      </tp>
      <tp>
        <v>6.2414754551182581</v>
        <stp/>
        <stp>##V3_BDPV12</stp>
        <stp>DGE LN Equity</stp>
        <stp>RR903</stp>
        <stp>[DPM - Securities Master List (BBG Linked).xlsx]Equities!R111C13</stp>
        <tr r="M111" s="2"/>
        <tr r="M111" s="2"/>
        <tr r="M111" s="2"/>
      </tp>
      <tp>
        <v>6.2414754551182581</v>
        <stp/>
        <stp>##V3_BDPV12</stp>
        <stp>DGE LN Equity</stp>
        <stp>RR903</stp>
        <stp>[DPM - Securities Master List (BBG Linked).xlsx]Equities!R110C13</stp>
        <tr r="M110" s="2"/>
        <tr r="M110" s="2"/>
        <tr r="M110" s="2"/>
      </tp>
      <tp>
        <v>17.842156894278087</v>
        <stp/>
        <stp>##V3_BDPV12</stp>
        <stp>DGE LN Equity</stp>
        <stp>RR900</stp>
        <stp>[DPM - Securities Master List (BBG Linked).xlsx]Equities!R109C11</stp>
        <tr r="K109" s="2"/>
        <tr r="K109" s="2"/>
        <tr r="K109" s="2"/>
      </tp>
      <tp>
        <v>17.842156894278087</v>
        <stp/>
        <stp>##V3_BDPV12</stp>
        <stp>DGE LN Equity</stp>
        <stp>RR900</stp>
        <stp>[DPM - Securities Master List (BBG Linked).xlsx]Equities!R108C11</stp>
        <tr r="K108" s="2"/>
        <tr r="K108" s="2"/>
        <tr r="K108" s="2"/>
      </tp>
      <tp>
        <v>17.842156894278087</v>
        <stp/>
        <stp>##V3_BDPV12</stp>
        <stp>DGE LN Equity</stp>
        <stp>RR900</stp>
        <stp>[DPM - Securities Master List (BBG Linked).xlsx]Equities!R111C11</stp>
        <tr r="K111" s="2"/>
        <tr r="K111" s="2"/>
        <tr r="K111" s="2"/>
      </tp>
      <tp>
        <v>17.842156894278087</v>
        <stp/>
        <stp>##V3_BDPV12</stp>
        <stp>DGE LN Equity</stp>
        <stp>RR900</stp>
        <stp>[DPM - Securities Master List (BBG Linked).xlsx]Equities!R110C11</stp>
        <tr r="K110" s="2"/>
        <tr r="K110" s="2"/>
        <tr r="K110" s="2"/>
      </tp>
      <tp>
        <v>14.97031006195065</v>
        <stp/>
        <stp>##V3_BDPV12</stp>
        <stp>DGE LN Equity</stp>
        <stp>RR908</stp>
        <stp>[DPM - Securities Master List (BBG Linked).xlsx]Equities!R111C32</stp>
        <tr r="AF111" s="2"/>
        <tr r="AF111" s="2"/>
        <tr r="AF111" s="2"/>
      </tp>
      <tp>
        <v>14.97031006195065</v>
        <stp/>
        <stp>##V3_BDPV12</stp>
        <stp>DGE LN Equity</stp>
        <stp>RR908</stp>
        <stp>[DPM - Securities Master List (BBG Linked).xlsx]Equities!R110C32</stp>
        <tr r="AF110" s="2"/>
        <tr r="AF110" s="2"/>
        <tr r="AF110" s="2"/>
      </tp>
      <tp>
        <v>14.97031006195065</v>
        <stp/>
        <stp>##V3_BDPV12</stp>
        <stp>DGE LN Equity</stp>
        <stp>RR908</stp>
        <stp>[DPM - Securities Master List (BBG Linked).xlsx]Equities!R109C32</stp>
        <tr r="AF109" s="2"/>
        <tr r="AF109" s="2"/>
        <tr r="AF109" s="2"/>
      </tp>
      <tp>
        <v>14.97031006195065</v>
        <stp/>
        <stp>##V3_BDPV12</stp>
        <stp>DGE LN Equity</stp>
        <stp>RR908</stp>
        <stp>[DPM - Securities Master List (BBG Linked).xlsx]Equities!R108C32</stp>
        <tr r="AF108" s="2"/>
        <tr r="AF108" s="2"/>
        <tr r="AF108" s="2"/>
      </tp>
      <tp>
        <v>3.8148148059844971</v>
        <stp/>
        <stp>##V3_BDPV12</stp>
        <stp>DGE LN Equity</stp>
        <stp>EE201</stp>
        <stp>[DPM - Securities Master List (BBG Linked).xlsx]Equities!R110C37</stp>
        <tr r="AK110" s="2"/>
        <tr r="AK110" s="2"/>
        <tr r="AK110" s="2"/>
      </tp>
      <tp>
        <v>3.8148148059844971</v>
        <stp/>
        <stp>##V3_BDPV12</stp>
        <stp>DGE LN Equity</stp>
        <stp>EE201</stp>
        <stp>[DPM - Securities Master List (BBG Linked).xlsx]Equities!R111C37</stp>
        <tr r="AK111" s="2"/>
        <tr r="AK111" s="2"/>
        <tr r="AK111" s="2"/>
      </tp>
      <tp>
        <v>3.8148148059844971</v>
        <stp/>
        <stp>##V3_BDPV12</stp>
        <stp>DGE LN Equity</stp>
        <stp>EE201</stp>
        <stp>[DPM - Securities Master List (BBG Linked).xlsx]Equities!R108C37</stp>
        <tr r="AK108" s="2"/>
        <tr r="AK108" s="2"/>
        <tr r="AK108" s="2"/>
      </tp>
      <tp>
        <v>3.8148148059844971</v>
        <stp/>
        <stp>##V3_BDPV12</stp>
        <stp>DGE LN Equity</stp>
        <stp>EE201</stp>
        <stp>[DPM - Securities Master List (BBG Linked).xlsx]Equities!R109C37</stp>
        <tr r="AK109" s="2"/>
        <tr r="AK109" s="2"/>
        <tr r="AK109" s="2"/>
      </tp>
      <tp t="s">
        <v>Consumer Staples</v>
        <stp/>
        <stp>##V3_BDPV12</stp>
        <stp>DGE LN Equity</stp>
        <stp>DX202</stp>
        <stp>[DPM - Securities Master List (BBG Linked).xlsx]Equities!R110C46</stp>
        <tr r="AT110" s="2"/>
        <tr r="AT110" s="2"/>
        <tr r="AT110" s="2"/>
      </tp>
      <tp t="s">
        <v>Consumer Staples</v>
        <stp/>
        <stp>##V3_BDPV12</stp>
        <stp>DGE LN Equity</stp>
        <stp>DX202</stp>
        <stp>[DPM - Securities Master List (BBG Linked).xlsx]Equities!R111C46</stp>
        <tr r="AT111" s="2"/>
        <tr r="AT111" s="2"/>
        <tr r="AT111" s="2"/>
      </tp>
      <tp t="s">
        <v>Consumer Staples</v>
        <stp/>
        <stp>##V3_BDPV12</stp>
        <stp>DGE LN Equity</stp>
        <stp>DX202</stp>
        <stp>[DPM - Securities Master List (BBG Linked).xlsx]Equities!R108C46</stp>
        <tr r="AT108" s="2"/>
        <tr r="AT108" s="2"/>
        <tr r="AT108" s="2"/>
      </tp>
      <tp t="s">
        <v>Consumer Staples</v>
        <stp/>
        <stp>##V3_BDPV12</stp>
        <stp>DGE LN Equity</stp>
        <stp>DX202</stp>
        <stp>[DPM - Securities Master List (BBG Linked).xlsx]Equities!R109C46</stp>
        <tr r="AT109" s="2"/>
        <tr r="AT109" s="2"/>
        <tr r="AT109" s="2"/>
      </tp>
      <tp t="s">
        <v>GB0002374006</v>
        <stp/>
        <stp>##V3_BDPV12</stp>
        <stp>DGE LN Equity</stp>
        <stp>ID005</stp>
        <stp>[DPM - Securities Master List (BBG Linked).xlsx]Equities!R108C55</stp>
        <tr r="BC108" s="2"/>
      </tp>
      <tp t="s">
        <v>GB0002374006</v>
        <stp/>
        <stp>##V3_BDPV12</stp>
        <stp>DGE LN Equity</stp>
        <stp>ID005</stp>
        <stp>[DPM - Securities Master List (BBG Linked).xlsx]Equities!R109C55</stp>
        <tr r="BC109" s="2"/>
      </tp>
      <tp t="s">
        <v>GB0002374006</v>
        <stp/>
        <stp>##V3_BDPV12</stp>
        <stp>DGE LN Equity</stp>
        <stp>ID005</stp>
        <stp>[DPM - Securities Master List (BBG Linked).xlsx]Equities!R110C55</stp>
        <tr r="BC110" s="2"/>
      </tp>
      <tp t="s">
        <v>GB0002374006</v>
        <stp/>
        <stp>##V3_BDPV12</stp>
        <stp>DGE LN Equity</stp>
        <stp>ID005</stp>
        <stp>[DPM - Securities Master List (BBG Linked).xlsx]Equities!R111C55</stp>
        <tr r="BC111" s="2"/>
      </tp>
      <tp t="s">
        <v>Y</v>
        <stp/>
        <stp>##V3_BDPV12</stp>
        <stp>MRK US Equity</stp>
        <stp>DY784</stp>
        <stp>[DPM - Securities Master List (BBG Linked).xlsx]Equities!R159C48</stp>
        <tr r="AV159" s="2"/>
        <tr r="AV159" s="2"/>
        <tr r="AV159" s="2"/>
      </tp>
      <tp t="s">
        <v>Y</v>
        <stp/>
        <stp>##V3_BDPV12</stp>
        <stp>MRK US Equity</stp>
        <stp>DY784</stp>
        <stp>[DPM - Securities Master List (BBG Linked).xlsx]Equities!R158C48</stp>
        <tr r="AV158" s="2"/>
        <tr r="AV158" s="2"/>
        <tr r="AV158" s="2"/>
      </tp>
      <tp t="s">
        <v>Y</v>
        <stp/>
        <stp>##V3_BDPV12</stp>
        <stp>MRK US Equity</stp>
        <stp>DY784</stp>
        <stp>[DPM - Securities Master List (BBG Linked).xlsx]Equities!R157C48</stp>
        <tr r="AV157" s="2"/>
        <tr r="AV157" s="2"/>
        <tr r="AV157" s="2"/>
      </tp>
      <tp t="s">
        <v>Y</v>
        <stp/>
        <stp>##V3_BDPV12</stp>
        <stp>MRK US Equity</stp>
        <stp>DY784</stp>
        <stp>[DPM - Securities Master List (BBG Linked).xlsx]Equities!R169C48</stp>
        <tr r="AV169" s="2"/>
        <tr r="AV169" s="2"/>
        <tr r="AV169" s="2"/>
      </tp>
      <tp t="s">
        <v>Y</v>
        <stp/>
        <stp>##V3_BDPV12</stp>
        <stp>MRK US Equity</stp>
        <stp>DY784</stp>
        <stp>[DPM - Securities Master List (BBG Linked).xlsx]Equities!R168C48</stp>
        <tr r="AV168" s="2"/>
        <tr r="AV168" s="2"/>
        <tr r="AV168" s="2"/>
      </tp>
      <tp t="s">
        <v>Y</v>
        <stp/>
        <stp>##V3_BDPV12</stp>
        <stp>MRK US Equity</stp>
        <stp>DY784</stp>
        <stp>[DPM - Securities Master List (BBG Linked).xlsx]Equities!R161C48</stp>
        <tr r="AV161" s="2"/>
        <tr r="AV161" s="2"/>
        <tr r="AV161" s="2"/>
      </tp>
      <tp t="s">
        <v>Y</v>
        <stp/>
        <stp>##V3_BDPV12</stp>
        <stp>MRK US Equity</stp>
        <stp>DY784</stp>
        <stp>[DPM - Securities Master List (BBG Linked).xlsx]Equities!R160C48</stp>
        <tr r="AV160" s="2"/>
        <tr r="AV160" s="2"/>
        <tr r="AV160" s="2"/>
      </tp>
      <tp t="s">
        <v>Y</v>
        <stp/>
        <stp>##V3_BDPV12</stp>
        <stp>MRK US Equity</stp>
        <stp>DY784</stp>
        <stp>[DPM - Securities Master List (BBG Linked).xlsx]Equities!R163C48</stp>
        <tr r="AV163" s="2"/>
        <tr r="AV163" s="2"/>
        <tr r="AV163" s="2"/>
      </tp>
      <tp t="s">
        <v>Y</v>
        <stp/>
        <stp>##V3_BDPV12</stp>
        <stp>MRK US Equity</stp>
        <stp>DY784</stp>
        <stp>[DPM - Securities Master List (BBG Linked).xlsx]Equities!R162C48</stp>
        <tr r="AV162" s="2"/>
        <tr r="AV162" s="2"/>
        <tr r="AV162" s="2"/>
      </tp>
      <tp t="s">
        <v>Y</v>
        <stp/>
        <stp>##V3_BDPV12</stp>
        <stp>MRK US Equity</stp>
        <stp>DY784</stp>
        <stp>[DPM - Securities Master List (BBG Linked).xlsx]Equities!R165C48</stp>
        <tr r="AV165" s="2"/>
        <tr r="AV165" s="2"/>
        <tr r="AV165" s="2"/>
      </tp>
      <tp t="s">
        <v>Y</v>
        <stp/>
        <stp>##V3_BDPV12</stp>
        <stp>MRK US Equity</stp>
        <stp>DY784</stp>
        <stp>[DPM - Securities Master List (BBG Linked).xlsx]Equities!R164C48</stp>
        <tr r="AV164" s="2"/>
        <tr r="AV164" s="2"/>
        <tr r="AV164" s="2"/>
      </tp>
      <tp t="s">
        <v>Y</v>
        <stp/>
        <stp>##V3_BDPV12</stp>
        <stp>MRK US Equity</stp>
        <stp>DY784</stp>
        <stp>[DPM - Securities Master List (BBG Linked).xlsx]Equities!R167C48</stp>
        <tr r="AV167" s="2"/>
        <tr r="AV167" s="2"/>
        <tr r="AV167" s="2"/>
      </tp>
      <tp t="s">
        <v>Y</v>
        <stp/>
        <stp>##V3_BDPV12</stp>
        <stp>MRK US Equity</stp>
        <stp>DY784</stp>
        <stp>[DPM - Securities Master List (BBG Linked).xlsx]Equities!R166C48</stp>
        <tr r="AV166" s="2"/>
        <tr r="AV166" s="2"/>
        <tr r="AV166" s="2"/>
      </tp>
      <tp t="s">
        <v>Y</v>
        <stp/>
        <stp>##V3_BDPV12</stp>
        <stp>AAPL US Equity</stp>
        <stp>DY997</stp>
        <stp>[DPM - Securities Master List (BBG Linked).xlsx]Equities!R34C47</stp>
        <tr r="AU34" s="2"/>
        <tr r="AU34" s="2"/>
        <tr r="AU34" s="2"/>
      </tp>
      <tp>
        <v>198.96818542480469</v>
        <stp/>
        <stp>##V3_BDPV12</stp>
        <stp>3690 HK Equity</stp>
        <stp>BEST_TARGET_PRICE</stp>
        <stp>[DPM - Securities Master List (BBG Linked).xlsx]Equities!R7C38</stp>
        <tr r="AL7" s="2"/>
      </tp>
      <tp>
        <v>198.96818542480469</v>
        <stp/>
        <stp>##V3_BDPV12</stp>
        <stp>3690 HK Equity</stp>
        <stp>BEST_TARGET_PRICE</stp>
        <stp>[DPM - Securities Master List (BBG Linked).xlsx]Equities!R8C38</stp>
        <tr r="AL8" s="2"/>
      </tp>
      <tp>
        <v>198.96818542480469</v>
        <stp/>
        <stp>##V3_BDPV12</stp>
        <stp>3690 HK Equity</stp>
        <stp>BEST_TARGET_PRICE</stp>
        <stp>[DPM - Securities Master List (BBG Linked).xlsx]Equities!R9C38</stp>
        <tr r="AL9" s="2"/>
      </tp>
      <tp>
        <v>21.043731593622631</v>
        <stp/>
        <stp>##V3_BDPV12</stp>
        <stp>AAPL US Equity</stp>
        <stp>RR957</stp>
        <stp>[DPM - Securities Master List (BBG Linked).xlsx]Equities!R34C14</stp>
        <tr r="N34" s="2"/>
        <tr r="N34" s="2"/>
        <tr r="N34" s="2"/>
      </tp>
      <tp t="s">
        <v>CHF</v>
        <stp/>
        <stp>##V3_BDPV12</stp>
        <stp>NESN SW Equity</stp>
        <stp>CRNCY</stp>
        <stp>[DPM - Securities Master List (BBG Linked).xlsx]Equities!R196C6</stp>
        <tr r="F196" s="2"/>
      </tp>
      <tp t="s">
        <v>Volkswagen AG</v>
        <stp/>
        <stp>##V3_BDPV12</stp>
        <stp>VOW3 GY Equity</stp>
        <stp>SECURITY NAME</stp>
        <stp>[DPM - Securities Master List (BBG Linked).xlsx]Equities!R290C5</stp>
        <tr r="E290" s="2"/>
      </tp>
      <tp>
        <v>44.279380799334696</v>
        <stp/>
        <stp>##V3_BDPV12</stp>
        <stp>AAPL US Equity</stp>
        <stp>RR903</stp>
        <stp>[DPM - Securities Master List (BBG Linked).xlsx]Equities!R34C13</stp>
        <tr r="M34" s="2"/>
        <tr r="M34" s="2"/>
        <tr r="M34" s="2"/>
      </tp>
      <tp>
        <v>27.915236791309852</v>
        <stp/>
        <stp>##V3_BDPV12</stp>
        <stp>AAPL US Equity</stp>
        <stp>RR900</stp>
        <stp>[DPM - Securities Master List (BBG Linked).xlsx]Equities!R34C11</stp>
        <tr r="K34" s="2"/>
        <tr r="K34" s="2"/>
        <tr r="K34" s="2"/>
      </tp>
      <tp>
        <v>27.356244565123738</v>
        <stp/>
        <stp>##V3_BDPV12</stp>
        <stp>AAPL US Equity</stp>
        <stp>RR908</stp>
        <stp>[DPM - Securities Master List (BBG Linked).xlsx]Equities!R34C32</stp>
        <tr r="AF34" s="2"/>
        <tr r="AF34" s="2"/>
        <tr r="AF34" s="2"/>
      </tp>
      <tp t="s">
        <v>USD</v>
        <stp/>
        <stp>##V3_BDPV12</stp>
        <stp>DELL US Equity</stp>
        <stp>CRNCY</stp>
        <stp>[DPM - Securities Master List (BBG Linked).xlsx]Equities!R100C6</stp>
        <tr r="F100" s="2"/>
      </tp>
      <tp>
        <v>3</v>
        <stp/>
        <stp>##V3_BDPV12</stp>
        <stp>TSCO LN Equity</stp>
        <stp>TOT_HOLD_REC</stp>
        <stp>[DPM - Securities Master List (BBG Linked).xlsx]Equities!R271C35</stp>
        <tr r="AI271" s="2"/>
      </tp>
      <tp>
        <v>3</v>
        <stp/>
        <stp>##V3_BDPV12</stp>
        <stp>TSCO LN Equity</stp>
        <stp>TOT_HOLD_REC</stp>
        <stp>[DPM - Securities Master List (BBG Linked).xlsx]Equities!R270C35</stp>
        <tr r="AI270" s="2"/>
      </tp>
      <tp>
        <v>3</v>
        <stp/>
        <stp>##V3_BDPV12</stp>
        <stp>TSCO LN Equity</stp>
        <stp>TOT_HOLD_REC</stp>
        <stp>[DPM - Securities Master List (BBG Linked).xlsx]Equities!R273C35</stp>
        <tr r="AI273" s="2"/>
      </tp>
      <tp>
        <v>3</v>
        <stp/>
        <stp>##V3_BDPV12</stp>
        <stp>TSCO LN Equity</stp>
        <stp>TOT_HOLD_REC</stp>
        <stp>[DPM - Securities Master List (BBG Linked).xlsx]Equities!R272C35</stp>
        <tr r="AI272" s="2"/>
      </tp>
      <tp>
        <v>3</v>
        <stp/>
        <stp>##V3_BDPV12</stp>
        <stp>TSCO LN Equity</stp>
        <stp>TOT_HOLD_REC</stp>
        <stp>[DPM - Securities Master List (BBG Linked).xlsx]Equities!R275C35</stp>
        <tr r="AI275" s="2"/>
      </tp>
      <tp>
        <v>3</v>
        <stp/>
        <stp>##V3_BDPV12</stp>
        <stp>TSCO LN Equity</stp>
        <stp>TOT_HOLD_REC</stp>
        <stp>[DPM - Securities Master List (BBG Linked).xlsx]Equities!R274C35</stp>
        <tr r="AI274" s="2"/>
      </tp>
      <tp>
        <v>3</v>
        <stp/>
        <stp>##V3_BDPV12</stp>
        <stp>TSCO LN Equity</stp>
        <stp>TOT_HOLD_REC</stp>
        <stp>[DPM - Securities Master List (BBG Linked).xlsx]Equities!R269C35</stp>
        <tr r="AI269" s="2"/>
      </tp>
      <tp>
        <v>3</v>
        <stp/>
        <stp>##V3_BDPV12</stp>
        <stp>TSCO LN Equity</stp>
        <stp>TOT_HOLD_REC</stp>
        <stp>[DPM - Securities Master List (BBG Linked).xlsx]Equities!R268C35</stp>
        <tr r="AI268" s="2"/>
      </tp>
      <tp>
        <v>3</v>
        <stp/>
        <stp>##V3_BDPV12</stp>
        <stp>TSCO LN Equity</stp>
        <stp>TOT_HOLD_REC</stp>
        <stp>[DPM - Securities Master List (BBG Linked).xlsx]Equities!R263C35</stp>
        <tr r="AI263" s="2"/>
      </tp>
      <tp>
        <v>3</v>
        <stp/>
        <stp>##V3_BDPV12</stp>
        <stp>TSCO LN Equity</stp>
        <stp>TOT_HOLD_REC</stp>
        <stp>[DPM - Securities Master List (BBG Linked).xlsx]Equities!R262C35</stp>
        <tr r="AI262" s="2"/>
      </tp>
      <tp>
        <v>3</v>
        <stp/>
        <stp>##V3_BDPV12</stp>
        <stp>TSCO LN Equity</stp>
        <stp>TOT_HOLD_REC</stp>
        <stp>[DPM - Securities Master List (BBG Linked).xlsx]Equities!R265C35</stp>
        <tr r="AI265" s="2"/>
      </tp>
      <tp>
        <v>3</v>
        <stp/>
        <stp>##V3_BDPV12</stp>
        <stp>TSCO LN Equity</stp>
        <stp>TOT_HOLD_REC</stp>
        <stp>[DPM - Securities Master List (BBG Linked).xlsx]Equities!R264C35</stp>
        <tr r="AI264" s="2"/>
      </tp>
      <tp>
        <v>3</v>
        <stp/>
        <stp>##V3_BDPV12</stp>
        <stp>TSCO LN Equity</stp>
        <stp>TOT_HOLD_REC</stp>
        <stp>[DPM - Securities Master List (BBG Linked).xlsx]Equities!R267C35</stp>
        <tr r="AI267" s="2"/>
      </tp>
      <tp>
        <v>3</v>
        <stp/>
        <stp>##V3_BDPV12</stp>
        <stp>TSCO LN Equity</stp>
        <stp>TOT_HOLD_REC</stp>
        <stp>[DPM - Securities Master List (BBG Linked).xlsx]Equities!R266C35</stp>
        <tr r="AI266" s="2"/>
      </tp>
      <tp>
        <v>1</v>
        <stp/>
        <stp>##V3_BDPV12</stp>
        <stp>TSCO LN Equity</stp>
        <stp>TOT_SELL_REC</stp>
        <stp>[DPM - Securities Master List (BBG Linked).xlsx]Equities!R273C36</stp>
        <tr r="AJ273" s="2"/>
      </tp>
      <tp>
        <v>1</v>
        <stp/>
        <stp>##V3_BDPV12</stp>
        <stp>TSCO LN Equity</stp>
        <stp>TOT_SELL_REC</stp>
        <stp>[DPM - Securities Master List (BBG Linked).xlsx]Equities!R272C36</stp>
        <tr r="AJ272" s="2"/>
      </tp>
      <tp>
        <v>1</v>
        <stp/>
        <stp>##V3_BDPV12</stp>
        <stp>TSCO LN Equity</stp>
        <stp>TOT_SELL_REC</stp>
        <stp>[DPM - Securities Master List (BBG Linked).xlsx]Equities!R271C36</stp>
        <tr r="AJ271" s="2"/>
      </tp>
      <tp>
        <v>1</v>
        <stp/>
        <stp>##V3_BDPV12</stp>
        <stp>TSCO LN Equity</stp>
        <stp>TOT_SELL_REC</stp>
        <stp>[DPM - Securities Master List (BBG Linked).xlsx]Equities!R270C36</stp>
        <tr r="AJ270" s="2"/>
      </tp>
      <tp>
        <v>1</v>
        <stp/>
        <stp>##V3_BDPV12</stp>
        <stp>TSCO LN Equity</stp>
        <stp>TOT_SELL_REC</stp>
        <stp>[DPM - Securities Master List (BBG Linked).xlsx]Equities!R275C36</stp>
        <tr r="AJ275" s="2"/>
      </tp>
      <tp>
        <v>1</v>
        <stp/>
        <stp>##V3_BDPV12</stp>
        <stp>TSCO LN Equity</stp>
        <stp>TOT_SELL_REC</stp>
        <stp>[DPM - Securities Master List (BBG Linked).xlsx]Equities!R274C36</stp>
        <tr r="AJ274" s="2"/>
      </tp>
      <tp>
        <v>1</v>
        <stp/>
        <stp>##V3_BDPV12</stp>
        <stp>TSCO LN Equity</stp>
        <stp>TOT_SELL_REC</stp>
        <stp>[DPM - Securities Master List (BBG Linked).xlsx]Equities!R263C36</stp>
        <tr r="AJ263" s="2"/>
      </tp>
      <tp>
        <v>1</v>
        <stp/>
        <stp>##V3_BDPV12</stp>
        <stp>TSCO LN Equity</stp>
        <stp>TOT_SELL_REC</stp>
        <stp>[DPM - Securities Master List (BBG Linked).xlsx]Equities!R262C36</stp>
        <tr r="AJ262" s="2"/>
      </tp>
      <tp>
        <v>1</v>
        <stp/>
        <stp>##V3_BDPV12</stp>
        <stp>TSCO LN Equity</stp>
        <stp>TOT_SELL_REC</stp>
        <stp>[DPM - Securities Master List (BBG Linked).xlsx]Equities!R267C36</stp>
        <tr r="AJ267" s="2"/>
      </tp>
      <tp>
        <v>1</v>
        <stp/>
        <stp>##V3_BDPV12</stp>
        <stp>TSCO LN Equity</stp>
        <stp>TOT_SELL_REC</stp>
        <stp>[DPM - Securities Master List (BBG Linked).xlsx]Equities!R266C36</stp>
        <tr r="AJ266" s="2"/>
      </tp>
      <tp>
        <v>1</v>
        <stp/>
        <stp>##V3_BDPV12</stp>
        <stp>TSCO LN Equity</stp>
        <stp>TOT_SELL_REC</stp>
        <stp>[DPM - Securities Master List (BBG Linked).xlsx]Equities!R265C36</stp>
        <tr r="AJ265" s="2"/>
      </tp>
      <tp>
        <v>1</v>
        <stp/>
        <stp>##V3_BDPV12</stp>
        <stp>TSCO LN Equity</stp>
        <stp>TOT_SELL_REC</stp>
        <stp>[DPM - Securities Master List (BBG Linked).xlsx]Equities!R264C36</stp>
        <tr r="AJ264" s="2"/>
      </tp>
      <tp>
        <v>1</v>
        <stp/>
        <stp>##V3_BDPV12</stp>
        <stp>TSCO LN Equity</stp>
        <stp>TOT_SELL_REC</stp>
        <stp>[DPM - Securities Master List (BBG Linked).xlsx]Equities!R269C36</stp>
        <tr r="AJ269" s="2"/>
      </tp>
      <tp>
        <v>1</v>
        <stp/>
        <stp>##V3_BDPV12</stp>
        <stp>TSCO LN Equity</stp>
        <stp>TOT_SELL_REC</stp>
        <stp>[DPM - Securities Master List (BBG Linked).xlsx]Equities!R268C36</stp>
        <tr r="AJ268" s="2"/>
      </tp>
      <tp>
        <v>25.858422404860253</v>
        <stp/>
        <stp>##V3_BDPV12</stp>
        <stp>ON US Equity</stp>
        <stp>RR041</stp>
        <stp>[DPM - Securities Master List (BBG Linked).xlsx]Equities!R226C33</stp>
        <tr r="AG226" s="2"/>
        <tr r="AG226" s="2"/>
        <tr r="AG226" s="2"/>
      </tp>
      <tp t="s">
        <v>NIKE Inc</v>
        <stp/>
        <stp>##V3_BDPV12</stp>
        <stp>NKE US Equity</stp>
        <stp>SECURITY NAME</stp>
        <stp>[DPM - Securities Master List (BBG Linked).xlsx]Equities!R211C5</stp>
        <tr r="E211" s="2"/>
      </tp>
      <tp t="s">
        <v>NIKE Inc</v>
        <stp/>
        <stp>##V3_BDPV12</stp>
        <stp>NKE US Equity</stp>
        <stp>SECURITY NAME</stp>
        <stp>[DPM - Securities Master List (BBG Linked).xlsx]Equities!R221C5</stp>
        <tr r="E221" s="2"/>
      </tp>
      <tp t="s">
        <v>Health Care</v>
        <stp/>
        <stp>##V3_BDPV12</stp>
        <stp>AZN LN Equity</stp>
        <stp>DX202</stp>
        <stp>[DPM - Securities Master List (BBG Linked).xlsx]Equities!R60C46</stp>
        <tr r="AT60" s="2"/>
        <tr r="AT60" s="2"/>
        <tr r="AT60" s="2"/>
      </tp>
      <tp t="s">
        <v>Health Care</v>
        <stp/>
        <stp>##V3_BDPV12</stp>
        <stp>AZN LN Equity</stp>
        <stp>DX202</stp>
        <stp>[DPM - Securities Master List (BBG Linked).xlsx]Equities!R61C46</stp>
        <tr r="AT61" s="2"/>
        <tr r="AT61" s="2"/>
        <tr r="AT61" s="2"/>
      </tp>
      <tp t="s">
        <v>Health Care</v>
        <stp/>
        <stp>##V3_BDPV12</stp>
        <stp>AZN LN Equity</stp>
        <stp>DX202</stp>
        <stp>[DPM - Securities Master List (BBG Linked).xlsx]Equities!R56C46</stp>
        <tr r="AT56" s="2"/>
        <tr r="AT56" s="2"/>
        <tr r="AT56" s="2"/>
      </tp>
      <tp t="s">
        <v>Health Care</v>
        <stp/>
        <stp>##V3_BDPV12</stp>
        <stp>AZN LN Equity</stp>
        <stp>DX202</stp>
        <stp>[DPM - Securities Master List (BBG Linked).xlsx]Equities!R57C46</stp>
        <tr r="AT57" s="2"/>
        <tr r="AT57" s="2"/>
        <tr r="AT57" s="2"/>
      </tp>
      <tp t="s">
        <v>Health Care</v>
        <stp/>
        <stp>##V3_BDPV12</stp>
        <stp>AZN LN Equity</stp>
        <stp>DX202</stp>
        <stp>[DPM - Securities Master List (BBG Linked).xlsx]Equities!R54C46</stp>
        <tr r="AT54" s="2"/>
        <tr r="AT54" s="2"/>
        <tr r="AT54" s="2"/>
      </tp>
      <tp t="s">
        <v>Health Care</v>
        <stp/>
        <stp>##V3_BDPV12</stp>
        <stp>AZN LN Equity</stp>
        <stp>DX202</stp>
        <stp>[DPM - Securities Master List (BBG Linked).xlsx]Equities!R55C46</stp>
        <tr r="AT55" s="2"/>
        <tr r="AT55" s="2"/>
        <tr r="AT55" s="2"/>
      </tp>
      <tp t="s">
        <v>Health Care</v>
        <stp/>
        <stp>##V3_BDPV12</stp>
        <stp>AZN LN Equity</stp>
        <stp>DX202</stp>
        <stp>[DPM - Securities Master List (BBG Linked).xlsx]Equities!R52C46</stp>
        <tr r="AT52" s="2"/>
        <tr r="AT52" s="2"/>
        <tr r="AT52" s="2"/>
      </tp>
      <tp t="s">
        <v>Health Care</v>
        <stp/>
        <stp>##V3_BDPV12</stp>
        <stp>AZN LN Equity</stp>
        <stp>DX202</stp>
        <stp>[DPM - Securities Master List (BBG Linked).xlsx]Equities!R53C46</stp>
        <tr r="AT53" s="2"/>
        <tr r="AT53" s="2"/>
        <tr r="AT53" s="2"/>
      </tp>
      <tp t="s">
        <v>Health Care</v>
        <stp/>
        <stp>##V3_BDPV12</stp>
        <stp>AZN LN Equity</stp>
        <stp>DX202</stp>
        <stp>[DPM - Securities Master List (BBG Linked).xlsx]Equities!R51C46</stp>
        <tr r="AT51" s="2"/>
        <tr r="AT51" s="2"/>
        <tr r="AT51" s="2"/>
      </tp>
      <tp t="s">
        <v>Health Care</v>
        <stp/>
        <stp>##V3_BDPV12</stp>
        <stp>AZN LN Equity</stp>
        <stp>DX202</stp>
        <stp>[DPM - Securities Master List (BBG Linked).xlsx]Equities!R58C46</stp>
        <tr r="AT58" s="2"/>
        <tr r="AT58" s="2"/>
        <tr r="AT58" s="2"/>
      </tp>
      <tp t="s">
        <v>Health Care</v>
        <stp/>
        <stp>##V3_BDPV12</stp>
        <stp>AZN LN Equity</stp>
        <stp>DX202</stp>
        <stp>[DPM - Securities Master List (BBG Linked).xlsx]Equities!R59C46</stp>
        <tr r="AT59" s="2"/>
        <tr r="AT59" s="2"/>
        <tr r="AT59" s="2"/>
      </tp>
      <tp t="s">
        <v>SSE PLC</v>
        <stp/>
        <stp>##V3_BDPV12</stp>
        <stp>SSE LN Equity</stp>
        <stp>SECURITY NAME</stp>
        <stp>[DPM - Securities Master List (BBG Linked).xlsx]Equities!R245C5</stp>
        <tr r="E245" s="2"/>
      </tp>
      <tp t="s">
        <v>SSE PLC</v>
        <stp/>
        <stp>##V3_BDPV12</stp>
        <stp>SSE LN Equity</stp>
        <stp>SECURITY NAME</stp>
        <stp>[DPM - Securities Master List (BBG Linked).xlsx]Equities!R255C5</stp>
        <tr r="E255" s="2"/>
      </tp>
      <tp>
        <v>4.65625</v>
        <stp/>
        <stp>##V3_BDPV12</stp>
        <stp>AZN LN Equity</stp>
        <stp>EE201</stp>
        <stp>[DPM - Securities Master List (BBG Linked).xlsx]Equities!R59C37</stp>
        <tr r="AK59" s="2"/>
        <tr r="AK59" s="2"/>
        <tr r="AK59" s="2"/>
      </tp>
      <tp>
        <v>4.65625</v>
        <stp/>
        <stp>##V3_BDPV12</stp>
        <stp>AZN LN Equity</stp>
        <stp>EE201</stp>
        <stp>[DPM - Securities Master List (BBG Linked).xlsx]Equities!R58C37</stp>
        <tr r="AK58" s="2"/>
        <tr r="AK58" s="2"/>
        <tr r="AK58" s="2"/>
      </tp>
      <tp>
        <v>4.65625</v>
        <stp/>
        <stp>##V3_BDPV12</stp>
        <stp>AZN LN Equity</stp>
        <stp>EE201</stp>
        <stp>[DPM - Securities Master List (BBG Linked).xlsx]Equities!R53C37</stp>
        <tr r="AK53" s="2"/>
        <tr r="AK53" s="2"/>
        <tr r="AK53" s="2"/>
      </tp>
      <tp>
        <v>4.65625</v>
        <stp/>
        <stp>##V3_BDPV12</stp>
        <stp>AZN LN Equity</stp>
        <stp>EE201</stp>
        <stp>[DPM - Securities Master List (BBG Linked).xlsx]Equities!R52C37</stp>
        <tr r="AK52" s="2"/>
        <tr r="AK52" s="2"/>
        <tr r="AK52" s="2"/>
      </tp>
      <tp>
        <v>4.65625</v>
        <stp/>
        <stp>##V3_BDPV12</stp>
        <stp>AZN LN Equity</stp>
        <stp>EE201</stp>
        <stp>[DPM - Securities Master List (BBG Linked).xlsx]Equities!R51C37</stp>
        <tr r="AK51" s="2"/>
        <tr r="AK51" s="2"/>
        <tr r="AK51" s="2"/>
      </tp>
      <tp>
        <v>4.65625</v>
        <stp/>
        <stp>##V3_BDPV12</stp>
        <stp>AZN LN Equity</stp>
        <stp>EE201</stp>
        <stp>[DPM - Securities Master List (BBG Linked).xlsx]Equities!R57C37</stp>
        <tr r="AK57" s="2"/>
        <tr r="AK57" s="2"/>
        <tr r="AK57" s="2"/>
      </tp>
      <tp>
        <v>4.65625</v>
        <stp/>
        <stp>##V3_BDPV12</stp>
        <stp>AZN LN Equity</stp>
        <stp>EE201</stp>
        <stp>[DPM - Securities Master List (BBG Linked).xlsx]Equities!R56C37</stp>
        <tr r="AK56" s="2"/>
        <tr r="AK56" s="2"/>
        <tr r="AK56" s="2"/>
      </tp>
      <tp>
        <v>4.65625</v>
        <stp/>
        <stp>##V3_BDPV12</stp>
        <stp>AZN LN Equity</stp>
        <stp>EE201</stp>
        <stp>[DPM - Securities Master List (BBG Linked).xlsx]Equities!R55C37</stp>
        <tr r="AK55" s="2"/>
        <tr r="AK55" s="2"/>
        <tr r="AK55" s="2"/>
      </tp>
      <tp>
        <v>4.65625</v>
        <stp/>
        <stp>##V3_BDPV12</stp>
        <stp>AZN LN Equity</stp>
        <stp>EE201</stp>
        <stp>[DPM - Securities Master List (BBG Linked).xlsx]Equities!R54C37</stp>
        <tr r="AK54" s="2"/>
        <tr r="AK54" s="2"/>
        <tr r="AK54" s="2"/>
      </tp>
      <tp>
        <v>4.65625</v>
        <stp/>
        <stp>##V3_BDPV12</stp>
        <stp>AZN LN Equity</stp>
        <stp>EE201</stp>
        <stp>[DPM - Securities Master List (BBG Linked).xlsx]Equities!R61C37</stp>
        <tr r="AK61" s="2"/>
        <tr r="AK61" s="2"/>
        <tr r="AK61" s="2"/>
      </tp>
      <tp>
        <v>4.65625</v>
        <stp/>
        <stp>##V3_BDPV12</stp>
        <stp>AZN LN Equity</stp>
        <stp>EE201</stp>
        <stp>[DPM - Securities Master List (BBG Linked).xlsx]Equities!R60C37</stp>
        <tr r="AK60" s="2"/>
        <tr r="AK60" s="2"/>
        <tr r="AK60" s="2"/>
      </tp>
      <tp t="s">
        <v>USD</v>
        <stp/>
        <stp>##V3_BDPV12</stp>
        <stp>PEP US Equity</stp>
        <stp>CRNCY</stp>
        <stp>[DPM - Securities Master List (BBG Linked).xlsx]Equities!R227C6</stp>
        <tr r="F227" s="2"/>
      </tp>
      <tp t="s">
        <v>Merck &amp; Co Inc</v>
        <stp/>
        <stp>##V3_BDPV12</stp>
        <stp>MRK US Equity</stp>
        <stp>SECURITY NAME</stp>
        <stp>[DPM - Securities Master List (BBG Linked).xlsx]Equities!R162C5</stp>
        <tr r="E162" s="2"/>
      </tp>
      <tp t="s">
        <v>Consumer Staples</v>
        <stp/>
        <stp>##V3_BDPV12</stp>
        <stp>ABF LN Equity</stp>
        <stp>DX202</stp>
        <stp>[DPM - Securities Master List (BBG Linked).xlsx]Equities!R35C46</stp>
        <tr r="AT35" s="2"/>
        <tr r="AT35" s="2"/>
        <tr r="AT35" s="2"/>
      </tp>
      <tp>
        <v>3.2105262279510498</v>
        <stp/>
        <stp>##V3_BDPV12</stp>
        <stp>ABF LN Equity</stp>
        <stp>EE201</stp>
        <stp>[DPM - Securities Master List (BBG Linked).xlsx]Equities!R35C37</stp>
        <tr r="AK35" s="2"/>
        <tr r="AK35" s="2"/>
        <tr r="AK35" s="2"/>
      </tp>
      <tp t="s">
        <v>TotalEnergies SE</v>
        <stp/>
        <stp>##V3_BDPV12</stp>
        <stp>TTE FP Equity</stp>
        <stp>SECURITY NAME</stp>
        <stp>[DPM - Securities Master List (BBG Linked).xlsx]Equities!R288C5</stp>
        <tr r="E288" s="2"/>
      </tp>
      <tp t="s">
        <v>TotalEnergies SE</v>
        <stp/>
        <stp>##V3_BDPV12</stp>
        <stp>TTE FP Equity</stp>
        <stp>SECURITY NAME</stp>
        <stp>[DPM - Securities Master List (BBG Linked).xlsx]Equities!R278C5</stp>
        <tr r="E278" s="2"/>
      </tp>
      <tp>
        <v>21</v>
        <stp/>
        <stp>##V3_BDPV12</stp>
        <stp>KER FP Equity</stp>
        <stp>TOT_HOLD_REC</stp>
        <stp>[DPM - Securities Master List (BBG Linked).xlsx]Equities!R149C35</stp>
        <tr r="AI149" s="2"/>
      </tp>
      <tp>
        <v>21</v>
        <stp/>
        <stp>##V3_BDPV12</stp>
        <stp>KER FP Equity</stp>
        <stp>TOT_HOLD_REC</stp>
        <stp>[DPM - Securities Master List (BBG Linked).xlsx]Equities!R152C35</stp>
        <tr r="AI152" s="2"/>
      </tp>
      <tp>
        <v>21</v>
        <stp/>
        <stp>##V3_BDPV12</stp>
        <stp>KER FP Equity</stp>
        <stp>TOT_HOLD_REC</stp>
        <stp>[DPM - Securities Master List (BBG Linked).xlsx]Equities!R153C35</stp>
        <tr r="AI153" s="2"/>
      </tp>
      <tp>
        <v>21</v>
        <stp/>
        <stp>##V3_BDPV12</stp>
        <stp>KER FP Equity</stp>
        <stp>TOT_HOLD_REC</stp>
        <stp>[DPM - Securities Master List (BBG Linked).xlsx]Equities!R150C35</stp>
        <tr r="AI150" s="2"/>
      </tp>
      <tp>
        <v>21</v>
        <stp/>
        <stp>##V3_BDPV12</stp>
        <stp>KER FP Equity</stp>
        <stp>TOT_HOLD_REC</stp>
        <stp>[DPM - Securities Master List (BBG Linked).xlsx]Equities!R151C35</stp>
        <tr r="AI151" s="2"/>
      </tp>
      <tp>
        <v>8</v>
        <stp/>
        <stp>##V3_BDPV12</stp>
        <stp>KER FP Equity</stp>
        <stp>TOT_SELL_REC</stp>
        <stp>[DPM - Securities Master List (BBG Linked).xlsx]Equities!R149C36</stp>
        <tr r="AJ149" s="2"/>
      </tp>
      <tp>
        <v>8</v>
        <stp/>
        <stp>##V3_BDPV12</stp>
        <stp>KER FP Equity</stp>
        <stp>TOT_SELL_REC</stp>
        <stp>[DPM - Securities Master List (BBG Linked).xlsx]Equities!R150C36</stp>
        <tr r="AJ150" s="2"/>
      </tp>
      <tp>
        <v>8</v>
        <stp/>
        <stp>##V3_BDPV12</stp>
        <stp>KER FP Equity</stp>
        <stp>TOT_SELL_REC</stp>
        <stp>[DPM - Securities Master List (BBG Linked).xlsx]Equities!R151C36</stp>
        <tr r="AJ151" s="2"/>
      </tp>
      <tp>
        <v>8</v>
        <stp/>
        <stp>##V3_BDPV12</stp>
        <stp>KER FP Equity</stp>
        <stp>TOT_SELL_REC</stp>
        <stp>[DPM - Securities Master List (BBG Linked).xlsx]Equities!R152C36</stp>
        <tr r="AJ152" s="2"/>
      </tp>
      <tp>
        <v>8</v>
        <stp/>
        <stp>##V3_BDPV12</stp>
        <stp>KER FP Equity</stp>
        <stp>TOT_SELL_REC</stp>
        <stp>[DPM - Securities Master List (BBG Linked).xlsx]Equities!R153C36</stp>
        <tr r="AJ153" s="2"/>
      </tp>
      <tp t="s">
        <v>Consumer Discretionary</v>
        <stp/>
        <stp>##V3_BDPV12</stp>
        <stp>2020 HK Equity</stp>
        <stp>DX202</stp>
        <stp>[DPM - Securities Master List (BBG Linked).xlsx]Equities!R3C8</stp>
        <tr r="H3" s="2"/>
        <tr r="H3" s="2"/>
        <tr r="H3" s="2"/>
      </tp>
      <tp>
        <v>114.20471954345703</v>
        <stp/>
        <stp>##V3_BDPV12</stp>
        <stp>2020 HK Equity</stp>
        <stp>BEST_TARGET_PRICE</stp>
        <stp>[DPM - Securities Master List (BBG Linked).xlsx]Equities!R3C38</stp>
        <tr r="AL3" s="2"/>
      </tp>
      <tp>
        <v>114.20471954345703</v>
        <stp/>
        <stp>##V3_BDPV12</stp>
        <stp>2020 HK Equity</stp>
        <stp>BEST_TARGET_PRICE</stp>
        <stp>[DPM - Securities Master List (BBG Linked).xlsx]Equities!R4C38</stp>
        <tr r="AL4" s="2"/>
      </tp>
      <tp>
        <v>114.20471954345703</v>
        <stp/>
        <stp>##V3_BDPV12</stp>
        <stp>2020 HK Equity</stp>
        <stp>BEST_TARGET_PRICE</stp>
        <stp>[DPM - Securities Master List (BBG Linked).xlsx]Equities!R5C38</stp>
        <tr r="AL5" s="2"/>
      </tp>
      <tp>
        <v>114.20471954345703</v>
        <stp/>
        <stp>##V3_BDPV12</stp>
        <stp>2020 HK Equity</stp>
        <stp>BEST_TARGET_PRICE</stp>
        <stp>[DPM - Securities Master List (BBG Linked).xlsx]Equities!R6C38</stp>
        <tr r="AL6" s="2"/>
      </tp>
      <tp t="s">
        <v>CHF</v>
        <stp/>
        <stp>##V3_BDPV12</stp>
        <stp>NESN SW Equity</stp>
        <stp>CRNCY</stp>
        <stp>[DPM - Securities Master List (BBG Linked).xlsx]Equities!R197C6</stp>
        <tr r="F197" s="2"/>
      </tp>
      <tp t="s">
        <v>Volkswagen AG</v>
        <stp/>
        <stp>##V3_BDPV12</stp>
        <stp>VOW3 GY Equity</stp>
        <stp>SECURITY NAME</stp>
        <stp>[DPM - Securities Master List (BBG Linked).xlsx]Equities!R291C5</stp>
        <tr r="E291" s="2"/>
      </tp>
      <tp t="s">
        <v>USD</v>
        <stp/>
        <stp>##V3_BDPV12</stp>
        <stp>DELL US Equity</stp>
        <stp>CRNCY</stp>
        <stp>[DPM - Securities Master List (BBG Linked).xlsx]Equities!R101C6</stp>
        <tr r="F101" s="2"/>
      </tp>
      <tp t="s">
        <v>US09062X1037</v>
        <stp/>
        <stp>##V3_BDPV12</stp>
        <stp>BIIB US Equity</stp>
        <stp>ID005</stp>
        <stp>[DPM - Securities Master List (BBG Linked).xlsx]Equities!R62C55</stp>
        <tr r="BC62" s="2"/>
      </tp>
      <tp>
        <v>110.035</v>
        <stp/>
        <stp>##V3_BDPV12</stp>
        <stp>BIIB US Equity</stp>
        <stp>hs002</stp>
        <stp>[DPM - Securities Master List (BBG Linked).xlsx]Equities!R62C45</stp>
        <tr r="AS62" s="2"/>
      </tp>
      <tp>
        <v>238</v>
        <stp/>
        <stp>##V3_BDPV12</stp>
        <stp>BIIB US Equity</stp>
        <stp>hs001</stp>
        <stp>[DPM - Securities Master List (BBG Linked).xlsx]Equities!R62C44</stp>
        <tr r="AR62" s="2"/>
      </tp>
      <tp>
        <v>23.946052129643164</v>
        <stp/>
        <stp>##V3_BDPV12</stp>
        <stp>BIIB US Equity</stp>
        <stp>RR041</stp>
        <stp>[DPM - Securities Master List (BBG Linked).xlsx]Equities!R62C33</stp>
        <tr r="AG62" s="2"/>
        <tr r="AG62" s="2"/>
        <tr r="AG62" s="2"/>
      </tp>
      <tp t="s">
        <v>Equity</v>
        <stp/>
        <stp>##V3_BDPV12</stp>
        <stp>BIIB US Equity</stp>
        <stp>EX028</stp>
        <stp>[DPM - Securities Master List (BBG Linked).xlsx]Equities!R62C30</stp>
        <tr r="AD62" s="2"/>
        <tr r="AD62" s="2"/>
        <tr r="AD62" s="2"/>
      </tp>
      <tp>
        <v>7.8447880495315472</v>
        <stp/>
        <stp>##V3_BDPV12</stp>
        <stp>BIIB US Equity</stp>
        <stp>EE010</stp>
        <stp>[DPM - Securities Master List (BBG Linked).xlsx]Equities!R62C12</stp>
        <tr r="L62" s="2"/>
        <tr r="L62" s="2"/>
        <tr r="L62" s="2"/>
      </tp>
      <tp t="s">
        <v>#N/A N/A</v>
        <stp/>
        <stp>##V3_BDPV12</stp>
        <stp>BIIB US Equity</stp>
        <stp>DV013</stp>
        <stp>[DPM - Securities Master List (BBG Linked).xlsx]Equities!R62C10</stp>
        <tr r="J62" s="2"/>
      </tp>
      <tp>
        <v>-21.700890000000001</v>
        <stp/>
        <stp>##V3_BDPV12</stp>
        <stp>BIIB US Equity</stp>
        <stp>PR079</stp>
        <stp>[DPM - Securities Master List (BBG Linked).xlsx]Equities!R62C43</stp>
        <tr r="AQ62" s="2"/>
      </tp>
      <tp>
        <v>-2.6386430000000001</v>
        <stp/>
        <stp>##V3_BDPV12</stp>
        <stp>BIIB US Equity</stp>
        <stp>PR061</stp>
        <stp>[DPM - Securities Master List (BBG Linked).xlsx]Equities!R62C40</stp>
        <tr r="AN62" s="2"/>
      </tp>
      <tp>
        <v>-15.898709999999999</v>
        <stp/>
        <stp>##V3_BDPV12</stp>
        <stp>BIIB US Equity</stp>
        <stp>PR064</stp>
        <stp>[DPM - Securities Master List (BBG Linked).xlsx]Equities!R62C41</stp>
        <tr r="AO62" s="2"/>
      </tp>
      <tp t="s">
        <v>USD</v>
        <stp/>
        <stp>##V3_BDPV12</stp>
        <stp>REGN US Equity</stp>
        <stp>CRNCY</stp>
        <stp>[DPM - Securities Master List (BBG Linked).xlsx]Equities!R241C6</stp>
        <tr r="F241" s="2"/>
      </tp>
      <tp t="s">
        <v>Equity</v>
        <stp/>
        <stp>##V3_BDPV12</stp>
        <stp>REGN Equity</stp>
        <stp>EX028</stp>
        <stp>[DPM - Securities Master List (BBG Linked).xlsx]Equities!R240C30</stp>
        <tr r="AD240" s="2"/>
        <tr r="AD240" s="2"/>
        <tr r="AD240" s="2"/>
      </tp>
      <tp>
        <v>12.060828159364824</v>
        <stp/>
        <stp>##V3_BDPV12</stp>
        <stp>ON US Equity</stp>
        <stp>RR957</stp>
        <stp>[DPM - Securities Master List (BBG Linked).xlsx]Equities!R226C14</stp>
        <tr r="N226" s="2"/>
        <tr r="N226" s="2"/>
        <tr r="N226" s="2"/>
      </tp>
      <tp>
        <v>229563.5587315</v>
        <stp/>
        <stp>##V3_BDPV12</stp>
        <stp>SMSN.LI Equity</stp>
        <stp>CRNCY_ADJ_MKT_CAP</stp>
        <stp>[DPM - Securities Master List (BBG Linked).xlsx]Equities!R243C9</stp>
        <stp>EQY_FUND_CRNCY=USD</stp>
        <tr r="I243" s="2"/>
      </tp>
      <tp t="s">
        <v>NIKE Inc</v>
        <stp/>
        <stp>##V3_BDPV12</stp>
        <stp>NKE US Equity</stp>
        <stp>SECURITY NAME</stp>
        <stp>[DPM - Securities Master List (BBG Linked).xlsx]Equities!R210C5</stp>
        <tr r="E210" s="2"/>
      </tp>
      <tp t="s">
        <v>NIKE Inc</v>
        <stp/>
        <stp>##V3_BDPV12</stp>
        <stp>NKE US Equity</stp>
        <stp>SECURITY NAME</stp>
        <stp>[DPM - Securities Master List (BBG Linked).xlsx]Equities!R220C5</stp>
        <tr r="E220" s="2"/>
      </tp>
      <tp t="s">
        <v>SSE PLC</v>
        <stp/>
        <stp>##V3_BDPV12</stp>
        <stp>SSE LN Equity</stp>
        <stp>SECURITY NAME</stp>
        <stp>[DPM - Securities Master List (BBG Linked).xlsx]Equities!R244C5</stp>
        <tr r="E244" s="2"/>
      </tp>
      <tp t="s">
        <v>SSE PLC</v>
        <stp/>
        <stp>##V3_BDPV12</stp>
        <stp>SSE LN Equity</stp>
        <stp>SECURITY NAME</stp>
        <stp>[DPM - Securities Master List (BBG Linked).xlsx]Equities!R254C5</stp>
        <tr r="E254" s="2"/>
      </tp>
      <tp t="s">
        <v>USD</v>
        <stp/>
        <stp>##V3_BDPV12</stp>
        <stp>PEP US Equity</stp>
        <stp>CRNCY</stp>
        <stp>[DPM - Securities Master List (BBG Linked).xlsx]Equities!R236C6</stp>
        <tr r="F236" s="2"/>
      </tp>
      <tp t="s">
        <v>GB0007980591</v>
        <stp/>
        <stp>##V3_BDPV12</stp>
        <stp>BP/ LN Equity</stp>
        <stp>ID005</stp>
        <stp>[DPM - Securities Master List (BBG Linked).xlsx]Equities!R78C55</stp>
        <tr r="BC78" s="2"/>
      </tp>
      <tp t="s">
        <v>GB0007980591</v>
        <stp/>
        <stp>##V3_BDPV12</stp>
        <stp>BP/ LN Equity</stp>
        <stp>ID005</stp>
        <stp>[DPM - Securities Master List (BBG Linked).xlsx]Equities!R79C55</stp>
        <tr r="BC79" s="2"/>
      </tp>
      <tp t="s">
        <v>GB0007980591</v>
        <stp/>
        <stp>##V3_BDPV12</stp>
        <stp>BP/ LN Equity</stp>
        <stp>ID005</stp>
        <stp>[DPM - Securities Master List (BBG Linked).xlsx]Equities!R77C55</stp>
        <tr r="BC77" s="2"/>
      </tp>
      <tp t="s">
        <v>GB0007980591</v>
        <stp/>
        <stp>##V3_BDPV12</stp>
        <stp>BP/ LN Equity</stp>
        <stp>ID005</stp>
        <stp>[DPM - Securities Master List (BBG Linked).xlsx]Equities!R90C55</stp>
        <tr r="BC90" s="2"/>
      </tp>
      <tp t="s">
        <v>GB0007980591</v>
        <stp/>
        <stp>##V3_BDPV12</stp>
        <stp>BP/ LN Equity</stp>
        <stp>ID005</stp>
        <stp>[DPM - Securities Master List (BBG Linked).xlsx]Equities!R88C55</stp>
        <tr r="BC88" s="2"/>
      </tp>
      <tp t="s">
        <v>GB0007980591</v>
        <stp/>
        <stp>##V3_BDPV12</stp>
        <stp>BP/ LN Equity</stp>
        <stp>ID005</stp>
        <stp>[DPM - Securities Master List (BBG Linked).xlsx]Equities!R89C55</stp>
        <tr r="BC89" s="2"/>
      </tp>
      <tp t="s">
        <v>GB0007980591</v>
        <stp/>
        <stp>##V3_BDPV12</stp>
        <stp>BP/ LN Equity</stp>
        <stp>ID005</stp>
        <stp>[DPM - Securities Master List (BBG Linked).xlsx]Equities!R82C55</stp>
        <tr r="BC82" s="2"/>
      </tp>
      <tp t="s">
        <v>GB0007980591</v>
        <stp/>
        <stp>##V3_BDPV12</stp>
        <stp>BP/ LN Equity</stp>
        <stp>ID005</stp>
        <stp>[DPM - Securities Master List (BBG Linked).xlsx]Equities!R83C55</stp>
        <tr r="BC83" s="2"/>
      </tp>
      <tp t="s">
        <v>GB0007980591</v>
        <stp/>
        <stp>##V3_BDPV12</stp>
        <stp>BP/ LN Equity</stp>
        <stp>ID005</stp>
        <stp>[DPM - Securities Master List (BBG Linked).xlsx]Equities!R80C55</stp>
        <tr r="BC80" s="2"/>
      </tp>
      <tp t="s">
        <v>GB0007980591</v>
        <stp/>
        <stp>##V3_BDPV12</stp>
        <stp>BP/ LN Equity</stp>
        <stp>ID005</stp>
        <stp>[DPM - Securities Master List (BBG Linked).xlsx]Equities!R81C55</stp>
        <tr r="BC81" s="2"/>
      </tp>
      <tp t="s">
        <v>GB0007980591</v>
        <stp/>
        <stp>##V3_BDPV12</stp>
        <stp>BP/ LN Equity</stp>
        <stp>ID005</stp>
        <stp>[DPM - Securities Master List (BBG Linked).xlsx]Equities!R86C55</stp>
        <tr r="BC86" s="2"/>
      </tp>
      <tp t="s">
        <v>GB0007980591</v>
        <stp/>
        <stp>##V3_BDPV12</stp>
        <stp>BP/ LN Equity</stp>
        <stp>ID005</stp>
        <stp>[DPM - Securities Master List (BBG Linked).xlsx]Equities!R87C55</stp>
        <tr r="BC87" s="2"/>
      </tp>
      <tp t="s">
        <v>GB0007980591</v>
        <stp/>
        <stp>##V3_BDPV12</stp>
        <stp>BP/ LN Equity</stp>
        <stp>ID005</stp>
        <stp>[DPM - Securities Master List (BBG Linked).xlsx]Equities!R84C55</stp>
        <tr r="BC84" s="2"/>
      </tp>
      <tp t="s">
        <v>GB0007980591</v>
        <stp/>
        <stp>##V3_BDPV12</stp>
        <stp>BP/ LN Equity</stp>
        <stp>ID005</stp>
        <stp>[DPM - Securities Master List (BBG Linked).xlsx]Equities!R85C55</stp>
        <tr r="BC85" s="2"/>
      </tp>
      <tp>
        <v>515.29999999999995</v>
        <stp/>
        <stp>##V3_BDPV12</stp>
        <stp>BP/ LN Equity</stp>
        <stp>hs001</stp>
        <stp>[DPM - Securities Master List (BBG Linked).xlsx]Equities!R79C44</stp>
        <tr r="AR79" s="2"/>
      </tp>
      <tp>
        <v>515.29999999999995</v>
        <stp/>
        <stp>##V3_BDPV12</stp>
        <stp>BP/ LN Equity</stp>
        <stp>hs001</stp>
        <stp>[DPM - Securities Master List (BBG Linked).xlsx]Equities!R78C44</stp>
        <tr r="AR78" s="2"/>
      </tp>
      <tp>
        <v>515.29999999999995</v>
        <stp/>
        <stp>##V3_BDPV12</stp>
        <stp>BP/ LN Equity</stp>
        <stp>hs001</stp>
        <stp>[DPM - Securities Master List (BBG Linked).xlsx]Equities!R77C44</stp>
        <tr r="AR77" s="2"/>
      </tp>
      <tp>
        <v>329.25</v>
        <stp/>
        <stp>##V3_BDPV12</stp>
        <stp>BP/ LN Equity</stp>
        <stp>hs002</stp>
        <stp>[DPM - Securities Master List (BBG Linked).xlsx]Equities!R79C45</stp>
        <tr r="AS79" s="2"/>
      </tp>
      <tp>
        <v>329.25</v>
        <stp/>
        <stp>##V3_BDPV12</stp>
        <stp>BP/ LN Equity</stp>
        <stp>hs002</stp>
        <stp>[DPM - Securities Master List (BBG Linked).xlsx]Equities!R78C45</stp>
        <tr r="AS78" s="2"/>
      </tp>
      <tp>
        <v>329.25</v>
        <stp/>
        <stp>##V3_BDPV12</stp>
        <stp>BP/ LN Equity</stp>
        <stp>hs002</stp>
        <stp>[DPM - Securities Master List (BBG Linked).xlsx]Equities!R77C45</stp>
        <tr r="AS77" s="2"/>
      </tp>
      <tp>
        <v>329.25</v>
        <stp/>
        <stp>##V3_BDPV12</stp>
        <stp>BP/ LN Equity</stp>
        <stp>hs002</stp>
        <stp>[DPM - Securities Master List (BBG Linked).xlsx]Equities!R90C45</stp>
        <tr r="AS90" s="2"/>
      </tp>
      <tp>
        <v>329.25</v>
        <stp/>
        <stp>##V3_BDPV12</stp>
        <stp>BP/ LN Equity</stp>
        <stp>hs002</stp>
        <stp>[DPM - Securities Master List (BBG Linked).xlsx]Equities!R89C45</stp>
        <tr r="AS89" s="2"/>
      </tp>
      <tp>
        <v>329.25</v>
        <stp/>
        <stp>##V3_BDPV12</stp>
        <stp>BP/ LN Equity</stp>
        <stp>hs002</stp>
        <stp>[DPM - Securities Master List (BBG Linked).xlsx]Equities!R88C45</stp>
        <tr r="AS88" s="2"/>
      </tp>
      <tp>
        <v>329.25</v>
        <stp/>
        <stp>##V3_BDPV12</stp>
        <stp>BP/ LN Equity</stp>
        <stp>hs002</stp>
        <stp>[DPM - Securities Master List (BBG Linked).xlsx]Equities!R85C45</stp>
        <tr r="AS85" s="2"/>
      </tp>
      <tp>
        <v>329.25</v>
        <stp/>
        <stp>##V3_BDPV12</stp>
        <stp>BP/ LN Equity</stp>
        <stp>hs002</stp>
        <stp>[DPM - Securities Master List (BBG Linked).xlsx]Equities!R84C45</stp>
        <tr r="AS84" s="2"/>
      </tp>
      <tp>
        <v>329.25</v>
        <stp/>
        <stp>##V3_BDPV12</stp>
        <stp>BP/ LN Equity</stp>
        <stp>hs002</stp>
        <stp>[DPM - Securities Master List (BBG Linked).xlsx]Equities!R87C45</stp>
        <tr r="AS87" s="2"/>
      </tp>
      <tp>
        <v>329.25</v>
        <stp/>
        <stp>##V3_BDPV12</stp>
        <stp>BP/ LN Equity</stp>
        <stp>hs002</stp>
        <stp>[DPM - Securities Master List (BBG Linked).xlsx]Equities!R86C45</stp>
        <tr r="AS86" s="2"/>
      </tp>
      <tp>
        <v>329.25</v>
        <stp/>
        <stp>##V3_BDPV12</stp>
        <stp>BP/ LN Equity</stp>
        <stp>hs002</stp>
        <stp>[DPM - Securities Master List (BBG Linked).xlsx]Equities!R81C45</stp>
        <tr r="AS81" s="2"/>
      </tp>
      <tp>
        <v>329.25</v>
        <stp/>
        <stp>##V3_BDPV12</stp>
        <stp>BP/ LN Equity</stp>
        <stp>hs002</stp>
        <stp>[DPM - Securities Master List (BBG Linked).xlsx]Equities!R80C45</stp>
        <tr r="AS80" s="2"/>
      </tp>
      <tp>
        <v>329.25</v>
        <stp/>
        <stp>##V3_BDPV12</stp>
        <stp>BP/ LN Equity</stp>
        <stp>hs002</stp>
        <stp>[DPM - Securities Master List (BBG Linked).xlsx]Equities!R83C45</stp>
        <tr r="AS83" s="2"/>
      </tp>
      <tp>
        <v>329.25</v>
        <stp/>
        <stp>##V3_BDPV12</stp>
        <stp>BP/ LN Equity</stp>
        <stp>hs002</stp>
        <stp>[DPM - Securities Master List (BBG Linked).xlsx]Equities!R82C45</stp>
        <tr r="AS82" s="2"/>
      </tp>
      <tp>
        <v>515.29999999999995</v>
        <stp/>
        <stp>##V3_BDPV12</stp>
        <stp>BP/ LN Equity</stp>
        <stp>hs001</stp>
        <stp>[DPM - Securities Master List (BBG Linked).xlsx]Equities!R90C44</stp>
        <tr r="AR90" s="2"/>
      </tp>
      <tp>
        <v>515.29999999999995</v>
        <stp/>
        <stp>##V3_BDPV12</stp>
        <stp>BP/ LN Equity</stp>
        <stp>hs001</stp>
        <stp>[DPM - Securities Master List (BBG Linked).xlsx]Equities!R89C44</stp>
        <tr r="AR89" s="2"/>
      </tp>
      <tp>
        <v>515.29999999999995</v>
        <stp/>
        <stp>##V3_BDPV12</stp>
        <stp>BP/ LN Equity</stp>
        <stp>hs001</stp>
        <stp>[DPM - Securities Master List (BBG Linked).xlsx]Equities!R88C44</stp>
        <tr r="AR88" s="2"/>
      </tp>
      <tp>
        <v>515.29999999999995</v>
        <stp/>
        <stp>##V3_BDPV12</stp>
        <stp>BP/ LN Equity</stp>
        <stp>hs001</stp>
        <stp>[DPM - Securities Master List (BBG Linked).xlsx]Equities!R85C44</stp>
        <tr r="AR85" s="2"/>
      </tp>
      <tp>
        <v>515.29999999999995</v>
        <stp/>
        <stp>##V3_BDPV12</stp>
        <stp>BP/ LN Equity</stp>
        <stp>hs001</stp>
        <stp>[DPM - Securities Master List (BBG Linked).xlsx]Equities!R84C44</stp>
        <tr r="AR84" s="2"/>
      </tp>
      <tp>
        <v>515.29999999999995</v>
        <stp/>
        <stp>##V3_BDPV12</stp>
        <stp>BP/ LN Equity</stp>
        <stp>hs001</stp>
        <stp>[DPM - Securities Master List (BBG Linked).xlsx]Equities!R87C44</stp>
        <tr r="AR87" s="2"/>
      </tp>
      <tp>
        <v>515.29999999999995</v>
        <stp/>
        <stp>##V3_BDPV12</stp>
        <stp>BP/ LN Equity</stp>
        <stp>hs001</stp>
        <stp>[DPM - Securities Master List (BBG Linked).xlsx]Equities!R86C44</stp>
        <tr r="AR86" s="2"/>
      </tp>
      <tp>
        <v>515.29999999999995</v>
        <stp/>
        <stp>##V3_BDPV12</stp>
        <stp>BP/ LN Equity</stp>
        <stp>hs001</stp>
        <stp>[DPM - Securities Master List (BBG Linked).xlsx]Equities!R81C44</stp>
        <tr r="AR81" s="2"/>
      </tp>
      <tp>
        <v>515.29999999999995</v>
        <stp/>
        <stp>##V3_BDPV12</stp>
        <stp>BP/ LN Equity</stp>
        <stp>hs001</stp>
        <stp>[DPM - Securities Master List (BBG Linked).xlsx]Equities!R80C44</stp>
        <tr r="AR80" s="2"/>
      </tp>
      <tp>
        <v>515.29999999999995</v>
        <stp/>
        <stp>##V3_BDPV12</stp>
        <stp>BP/ LN Equity</stp>
        <stp>hs001</stp>
        <stp>[DPM - Securities Master List (BBG Linked).xlsx]Equities!R83C44</stp>
        <tr r="AR83" s="2"/>
      </tp>
      <tp>
        <v>515.29999999999995</v>
        <stp/>
        <stp>##V3_BDPV12</stp>
        <stp>BP/ LN Equity</stp>
        <stp>hs001</stp>
        <stp>[DPM - Securities Master List (BBG Linked).xlsx]Equities!R82C44</stp>
        <tr r="AR82" s="2"/>
      </tp>
      <tp>
        <v>25.350780220247458</v>
        <stp/>
        <stp>##V3_BDPV12</stp>
        <stp>BP/ LN Equity</stp>
        <stp>RR041</stp>
        <stp>[DPM - Securities Master List (BBG Linked).xlsx]Equities!R88C33</stp>
        <tr r="AG88" s="2"/>
        <tr r="AG88" s="2"/>
        <tr r="AG88" s="2"/>
      </tp>
      <tp>
        <v>25.350780220247458</v>
        <stp/>
        <stp>##V3_BDPV12</stp>
        <stp>BP/ LN Equity</stp>
        <stp>RR041</stp>
        <stp>[DPM - Securities Master List (BBG Linked).xlsx]Equities!R89C33</stp>
        <tr r="AG89" s="2"/>
        <tr r="AG89" s="2"/>
        <tr r="AG89" s="2"/>
      </tp>
      <tp>
        <v>25.350780220247458</v>
        <stp/>
        <stp>##V3_BDPV12</stp>
        <stp>BP/ LN Equity</stp>
        <stp>RR041</stp>
        <stp>[DPM - Securities Master List (BBG Linked).xlsx]Equities!R84C33</stp>
        <tr r="AG84" s="2"/>
        <tr r="AG84" s="2"/>
        <tr r="AG84" s="2"/>
      </tp>
      <tp>
        <v>25.350780220247458</v>
        <stp/>
        <stp>##V3_BDPV12</stp>
        <stp>BP/ LN Equity</stp>
        <stp>RR041</stp>
        <stp>[DPM - Securities Master List (BBG Linked).xlsx]Equities!R85C33</stp>
        <tr r="AG85" s="2"/>
        <tr r="AG85" s="2"/>
        <tr r="AG85" s="2"/>
      </tp>
      <tp>
        <v>25.350780220247458</v>
        <stp/>
        <stp>##V3_BDPV12</stp>
        <stp>BP/ LN Equity</stp>
        <stp>RR041</stp>
        <stp>[DPM - Securities Master List (BBG Linked).xlsx]Equities!R86C33</stp>
        <tr r="AG86" s="2"/>
        <tr r="AG86" s="2"/>
        <tr r="AG86" s="2"/>
      </tp>
      <tp>
        <v>25.350780220247458</v>
        <stp/>
        <stp>##V3_BDPV12</stp>
        <stp>BP/ LN Equity</stp>
        <stp>RR041</stp>
        <stp>[DPM - Securities Master List (BBG Linked).xlsx]Equities!R87C33</stp>
        <tr r="AG87" s="2"/>
        <tr r="AG87" s="2"/>
        <tr r="AG87" s="2"/>
      </tp>
      <tp>
        <v>25.350780220247458</v>
        <stp/>
        <stp>##V3_BDPV12</stp>
        <stp>BP/ LN Equity</stp>
        <stp>RR041</stp>
        <stp>[DPM - Securities Master List (BBG Linked).xlsx]Equities!R80C33</stp>
        <tr r="AG80" s="2"/>
        <tr r="AG80" s="2"/>
        <tr r="AG80" s="2"/>
      </tp>
      <tp>
        <v>25.350780220247458</v>
        <stp/>
        <stp>##V3_BDPV12</stp>
        <stp>BP/ LN Equity</stp>
        <stp>RR041</stp>
        <stp>[DPM - Securities Master List (BBG Linked).xlsx]Equities!R81C33</stp>
        <tr r="AG81" s="2"/>
        <tr r="AG81" s="2"/>
        <tr r="AG81" s="2"/>
      </tp>
      <tp>
        <v>25.350780220247458</v>
        <stp/>
        <stp>##V3_BDPV12</stp>
        <stp>BP/ LN Equity</stp>
        <stp>RR041</stp>
        <stp>[DPM - Securities Master List (BBG Linked).xlsx]Equities!R82C33</stp>
        <tr r="AG82" s="2"/>
        <tr r="AG82" s="2"/>
        <tr r="AG82" s="2"/>
      </tp>
      <tp>
        <v>25.350780220247458</v>
        <stp/>
        <stp>##V3_BDPV12</stp>
        <stp>BP/ LN Equity</stp>
        <stp>RR041</stp>
        <stp>[DPM - Securities Master List (BBG Linked).xlsx]Equities!R83C33</stp>
        <tr r="AG83" s="2"/>
        <tr r="AG83" s="2"/>
        <tr r="AG83" s="2"/>
      </tp>
      <tp>
        <v>25.350780220247458</v>
        <stp/>
        <stp>##V3_BDPV12</stp>
        <stp>BP/ LN Equity</stp>
        <stp>RR041</stp>
        <stp>[DPM - Securities Master List (BBG Linked).xlsx]Equities!R90C33</stp>
        <tr r="AG90" s="2"/>
        <tr r="AG90" s="2"/>
        <tr r="AG90" s="2"/>
      </tp>
      <tp>
        <v>25.350780220247458</v>
        <stp/>
        <stp>##V3_BDPV12</stp>
        <stp>BP/ LN Equity</stp>
        <stp>RR041</stp>
        <stp>[DPM - Securities Master List (BBG Linked).xlsx]Equities!R78C33</stp>
        <tr r="AG78" s="2"/>
        <tr r="AG78" s="2"/>
        <tr r="AG78" s="2"/>
      </tp>
      <tp>
        <v>25.350780220247458</v>
        <stp/>
        <stp>##V3_BDPV12</stp>
        <stp>BP/ LN Equity</stp>
        <stp>RR041</stp>
        <stp>[DPM - Securities Master List (BBG Linked).xlsx]Equities!R79C33</stp>
        <tr r="AG79" s="2"/>
        <tr r="AG79" s="2"/>
        <tr r="AG79" s="2"/>
      </tp>
      <tp>
        <v>25.350780220247458</v>
        <stp/>
        <stp>##V3_BDPV12</stp>
        <stp>BP/ LN Equity</stp>
        <stp>RR041</stp>
        <stp>[DPM - Securities Master List (BBG Linked).xlsx]Equities!R77C33</stp>
        <tr r="AG77" s="2"/>
        <tr r="AG77" s="2"/>
        <tr r="AG77" s="2"/>
      </tp>
      <tp t="s">
        <v>Equity</v>
        <stp/>
        <stp>##V3_BDPV12</stp>
        <stp>BP/ LN Equity</stp>
        <stp>EX028</stp>
        <stp>[DPM - Securities Master List (BBG Linked).xlsx]Equities!R77C30</stp>
        <tr r="AD77" s="2"/>
        <tr r="AD77" s="2"/>
        <tr r="AD77" s="2"/>
      </tp>
      <tp t="s">
        <v>Equity</v>
        <stp/>
        <stp>##V3_BDPV12</stp>
        <stp>BP/ LN Equity</stp>
        <stp>EX028</stp>
        <stp>[DPM - Securities Master List (BBG Linked).xlsx]Equities!R78C30</stp>
        <tr r="AD78" s="2"/>
        <tr r="AD78" s="2"/>
        <tr r="AD78" s="2"/>
      </tp>
      <tp t="s">
        <v>Equity</v>
        <stp/>
        <stp>##V3_BDPV12</stp>
        <stp>BP/ LN Equity</stp>
        <stp>EX028</stp>
        <stp>[DPM - Securities Master List (BBG Linked).xlsx]Equities!R79C30</stp>
        <tr r="AD79" s="2"/>
        <tr r="AD79" s="2"/>
        <tr r="AD79" s="2"/>
      </tp>
      <tp t="s">
        <v>Equity</v>
        <stp/>
        <stp>##V3_BDPV12</stp>
        <stp>BP/ LN Equity</stp>
        <stp>EX028</stp>
        <stp>[DPM - Securities Master List (BBG Linked).xlsx]Equities!R90C30</stp>
        <tr r="AD90" s="2"/>
        <tr r="AD90" s="2"/>
        <tr r="AD90" s="2"/>
      </tp>
      <tp t="s">
        <v>Equity</v>
        <stp/>
        <stp>##V3_BDPV12</stp>
        <stp>BP/ LN Equity</stp>
        <stp>EX028</stp>
        <stp>[DPM - Securities Master List (BBG Linked).xlsx]Equities!R86C30</stp>
        <tr r="AD86" s="2"/>
        <tr r="AD86" s="2"/>
        <tr r="AD86" s="2"/>
      </tp>
      <tp t="s">
        <v>Equity</v>
        <stp/>
        <stp>##V3_BDPV12</stp>
        <stp>BP/ LN Equity</stp>
        <stp>EX028</stp>
        <stp>[DPM - Securities Master List (BBG Linked).xlsx]Equities!R87C30</stp>
        <tr r="AD87" s="2"/>
        <tr r="AD87" s="2"/>
        <tr r="AD87" s="2"/>
      </tp>
      <tp t="s">
        <v>Equity</v>
        <stp/>
        <stp>##V3_BDPV12</stp>
        <stp>BP/ LN Equity</stp>
        <stp>EX028</stp>
        <stp>[DPM - Securities Master List (BBG Linked).xlsx]Equities!R84C30</stp>
        <tr r="AD84" s="2"/>
        <tr r="AD84" s="2"/>
        <tr r="AD84" s="2"/>
      </tp>
      <tp t="s">
        <v>Equity</v>
        <stp/>
        <stp>##V3_BDPV12</stp>
        <stp>BP/ LN Equity</stp>
        <stp>EX028</stp>
        <stp>[DPM - Securities Master List (BBG Linked).xlsx]Equities!R85C30</stp>
        <tr r="AD85" s="2"/>
        <tr r="AD85" s="2"/>
        <tr r="AD85" s="2"/>
      </tp>
      <tp t="s">
        <v>Equity</v>
        <stp/>
        <stp>##V3_BDPV12</stp>
        <stp>BP/ LN Equity</stp>
        <stp>EX028</stp>
        <stp>[DPM - Securities Master List (BBG Linked).xlsx]Equities!R82C30</stp>
        <tr r="AD82" s="2"/>
        <tr r="AD82" s="2"/>
        <tr r="AD82" s="2"/>
      </tp>
      <tp t="s">
        <v>Equity</v>
        <stp/>
        <stp>##V3_BDPV12</stp>
        <stp>BP/ LN Equity</stp>
        <stp>EX028</stp>
        <stp>[DPM - Securities Master List (BBG Linked).xlsx]Equities!R83C30</stp>
        <tr r="AD83" s="2"/>
        <tr r="AD83" s="2"/>
        <tr r="AD83" s="2"/>
      </tp>
      <tp t="s">
        <v>Equity</v>
        <stp/>
        <stp>##V3_BDPV12</stp>
        <stp>BP/ LN Equity</stp>
        <stp>EX028</stp>
        <stp>[DPM - Securities Master List (BBG Linked).xlsx]Equities!R80C30</stp>
        <tr r="AD80" s="2"/>
        <tr r="AD80" s="2"/>
        <tr r="AD80" s="2"/>
      </tp>
      <tp t="s">
        <v>Equity</v>
        <stp/>
        <stp>##V3_BDPV12</stp>
        <stp>BP/ LN Equity</stp>
        <stp>EX028</stp>
        <stp>[DPM - Securities Master List (BBG Linked).xlsx]Equities!R81C30</stp>
        <tr r="AD81" s="2"/>
        <tr r="AD81" s="2"/>
        <tr r="AD81" s="2"/>
      </tp>
      <tp t="s">
        <v>Equity</v>
        <stp/>
        <stp>##V3_BDPV12</stp>
        <stp>BP/ LN Equity</stp>
        <stp>EX028</stp>
        <stp>[DPM - Securities Master List (BBG Linked).xlsx]Equities!R88C30</stp>
        <tr r="AD88" s="2"/>
        <tr r="AD88" s="2"/>
        <tr r="AD88" s="2"/>
      </tp>
      <tp t="s">
        <v>Equity</v>
        <stp/>
        <stp>##V3_BDPV12</stp>
        <stp>BP/ LN Equity</stp>
        <stp>EX028</stp>
        <stp>[DPM - Securities Master List (BBG Linked).xlsx]Equities!R89C30</stp>
        <tr r="AD89" s="2"/>
        <tr r="AD89" s="2"/>
        <tr r="AD89" s="2"/>
      </tp>
      <tp>
        <v>6.7644032114051189</v>
        <stp/>
        <stp>##V3_BDPV12</stp>
        <stp>BP/ LN Equity</stp>
        <stp>DV013</stp>
        <stp>[DPM - Securities Master List (BBG Linked).xlsx]Equities!R90C10</stp>
        <tr r="J90" s="2"/>
      </tp>
      <tp>
        <v>9.0737434832615236</v>
        <stp/>
        <stp>##V3_BDPV12</stp>
        <stp>BP/ LN Equity</stp>
        <stp>EE010</stp>
        <stp>[DPM - Securities Master List (BBG Linked).xlsx]Equities!R90C12</stp>
        <tr r="L90" s="2"/>
        <tr r="L90" s="2"/>
        <tr r="L90" s="2"/>
      </tp>
      <tp>
        <v>6.7644032114051189</v>
        <stp/>
        <stp>##V3_BDPV12</stp>
        <stp>BP/ LN Equity</stp>
        <stp>DV013</stp>
        <stp>[DPM - Securities Master List (BBG Linked).xlsx]Equities!R88C10</stp>
        <tr r="J88" s="2"/>
      </tp>
      <tp>
        <v>6.7644032114051189</v>
        <stp/>
        <stp>##V3_BDPV12</stp>
        <stp>BP/ LN Equity</stp>
        <stp>DV013</stp>
        <stp>[DPM - Securities Master List (BBG Linked).xlsx]Equities!R89C10</stp>
        <tr r="J89" s="2"/>
      </tp>
      <tp>
        <v>6.7644032114051189</v>
        <stp/>
        <stp>##V3_BDPV12</stp>
        <stp>BP/ LN Equity</stp>
        <stp>DV013</stp>
        <stp>[DPM - Securities Master List (BBG Linked).xlsx]Equities!R80C10</stp>
        <tr r="J80" s="2"/>
      </tp>
      <tp>
        <v>6.7644032114051189</v>
        <stp/>
        <stp>##V3_BDPV12</stp>
        <stp>BP/ LN Equity</stp>
        <stp>DV013</stp>
        <stp>[DPM - Securities Master List (BBG Linked).xlsx]Equities!R81C10</stp>
        <tr r="J81" s="2"/>
      </tp>
      <tp>
        <v>6.7644032114051189</v>
        <stp/>
        <stp>##V3_BDPV12</stp>
        <stp>BP/ LN Equity</stp>
        <stp>DV013</stp>
        <stp>[DPM - Securities Master List (BBG Linked).xlsx]Equities!R82C10</stp>
        <tr r="J82" s="2"/>
      </tp>
      <tp>
        <v>6.7644032114051189</v>
        <stp/>
        <stp>##V3_BDPV12</stp>
        <stp>BP/ LN Equity</stp>
        <stp>DV013</stp>
        <stp>[DPM - Securities Master List (BBG Linked).xlsx]Equities!R83C10</stp>
        <tr r="J83" s="2"/>
      </tp>
      <tp>
        <v>6.7644032114051189</v>
        <stp/>
        <stp>##V3_BDPV12</stp>
        <stp>BP/ LN Equity</stp>
        <stp>DV013</stp>
        <stp>[DPM - Securities Master List (BBG Linked).xlsx]Equities!R84C10</stp>
        <tr r="J84" s="2"/>
      </tp>
      <tp>
        <v>6.7644032114051189</v>
        <stp/>
        <stp>##V3_BDPV12</stp>
        <stp>BP/ LN Equity</stp>
        <stp>DV013</stp>
        <stp>[DPM - Securities Master List (BBG Linked).xlsx]Equities!R85C10</stp>
        <tr r="J85" s="2"/>
      </tp>
      <tp>
        <v>6.7644032114051189</v>
        <stp/>
        <stp>##V3_BDPV12</stp>
        <stp>BP/ LN Equity</stp>
        <stp>DV013</stp>
        <stp>[DPM - Securities Master List (BBG Linked).xlsx]Equities!R86C10</stp>
        <tr r="J86" s="2"/>
      </tp>
      <tp>
        <v>6.7644032114051189</v>
        <stp/>
        <stp>##V3_BDPV12</stp>
        <stp>BP/ LN Equity</stp>
        <stp>DV013</stp>
        <stp>[DPM - Securities Master List (BBG Linked).xlsx]Equities!R87C10</stp>
        <tr r="J87" s="2"/>
      </tp>
      <tp>
        <v>9.0737434832615236</v>
        <stp/>
        <stp>##V3_BDPV12</stp>
        <stp>BP/ LN Equity</stp>
        <stp>EE010</stp>
        <stp>[DPM - Securities Master List (BBG Linked).xlsx]Equities!R89C12</stp>
        <tr r="L89" s="2"/>
        <tr r="L89" s="2"/>
        <tr r="L89" s="2"/>
      </tp>
      <tp>
        <v>9.0737434832615236</v>
        <stp/>
        <stp>##V3_BDPV12</stp>
        <stp>BP/ LN Equity</stp>
        <stp>EE010</stp>
        <stp>[DPM - Securities Master List (BBG Linked).xlsx]Equities!R88C12</stp>
        <tr r="L88" s="2"/>
        <tr r="L88" s="2"/>
        <tr r="L88" s="2"/>
      </tp>
      <tp>
        <v>9.0737434832615236</v>
        <stp/>
        <stp>##V3_BDPV12</stp>
        <stp>BP/ LN Equity</stp>
        <stp>EE010</stp>
        <stp>[DPM - Securities Master List (BBG Linked).xlsx]Equities!R83C12</stp>
        <tr r="L83" s="2"/>
        <tr r="L83" s="2"/>
        <tr r="L83" s="2"/>
      </tp>
      <tp>
        <v>9.0737434832615236</v>
        <stp/>
        <stp>##V3_BDPV12</stp>
        <stp>BP/ LN Equity</stp>
        <stp>EE010</stp>
        <stp>[DPM - Securities Master List (BBG Linked).xlsx]Equities!R82C12</stp>
        <tr r="L82" s="2"/>
        <tr r="L82" s="2"/>
        <tr r="L82" s="2"/>
      </tp>
      <tp>
        <v>9.0737434832615236</v>
        <stp/>
        <stp>##V3_BDPV12</stp>
        <stp>BP/ LN Equity</stp>
        <stp>EE010</stp>
        <stp>[DPM - Securities Master List (BBG Linked).xlsx]Equities!R81C12</stp>
        <tr r="L81" s="2"/>
        <tr r="L81" s="2"/>
        <tr r="L81" s="2"/>
      </tp>
      <tp>
        <v>9.0737434832615236</v>
        <stp/>
        <stp>##V3_BDPV12</stp>
        <stp>BP/ LN Equity</stp>
        <stp>EE010</stp>
        <stp>[DPM - Securities Master List (BBG Linked).xlsx]Equities!R80C12</stp>
        <tr r="L80" s="2"/>
        <tr r="L80" s="2"/>
        <tr r="L80" s="2"/>
      </tp>
      <tp>
        <v>9.0737434832615236</v>
        <stp/>
        <stp>##V3_BDPV12</stp>
        <stp>BP/ LN Equity</stp>
        <stp>EE010</stp>
        <stp>[DPM - Securities Master List (BBG Linked).xlsx]Equities!R87C12</stp>
        <tr r="L87" s="2"/>
        <tr r="L87" s="2"/>
        <tr r="L87" s="2"/>
      </tp>
      <tp>
        <v>9.0737434832615236</v>
        <stp/>
        <stp>##V3_BDPV12</stp>
        <stp>BP/ LN Equity</stp>
        <stp>EE010</stp>
        <stp>[DPM - Securities Master List (BBG Linked).xlsx]Equities!R86C12</stp>
        <tr r="L86" s="2"/>
        <tr r="L86" s="2"/>
        <tr r="L86" s="2"/>
      </tp>
      <tp>
        <v>9.0737434832615236</v>
        <stp/>
        <stp>##V3_BDPV12</stp>
        <stp>BP/ LN Equity</stp>
        <stp>EE010</stp>
        <stp>[DPM - Securities Master List (BBG Linked).xlsx]Equities!R85C12</stp>
        <tr r="L85" s="2"/>
        <tr r="L85" s="2"/>
        <tr r="L85" s="2"/>
      </tp>
      <tp>
        <v>9.0737434832615236</v>
        <stp/>
        <stp>##V3_BDPV12</stp>
        <stp>BP/ LN Equity</stp>
        <stp>EE010</stp>
        <stp>[DPM - Securities Master List (BBG Linked).xlsx]Equities!R84C12</stp>
        <tr r="L84" s="2"/>
        <tr r="L84" s="2"/>
        <tr r="L84" s="2"/>
      </tp>
      <tp>
        <v>6.7644032114051189</v>
        <stp/>
        <stp>##V3_BDPV12</stp>
        <stp>BP/ LN Equity</stp>
        <stp>DV013</stp>
        <stp>[DPM - Securities Master List (BBG Linked).xlsx]Equities!R78C10</stp>
        <tr r="J78" s="2"/>
      </tp>
      <tp>
        <v>6.7644032114051189</v>
        <stp/>
        <stp>##V3_BDPV12</stp>
        <stp>BP/ LN Equity</stp>
        <stp>DV013</stp>
        <stp>[DPM - Securities Master List (BBG Linked).xlsx]Equities!R79C10</stp>
        <tr r="J79" s="2"/>
      </tp>
      <tp>
        <v>6.7644032114051189</v>
        <stp/>
        <stp>##V3_BDPV12</stp>
        <stp>BP/ LN Equity</stp>
        <stp>DV013</stp>
        <stp>[DPM - Securities Master List (BBG Linked).xlsx]Equities!R77C10</stp>
        <tr r="J77" s="2"/>
      </tp>
      <tp>
        <v>9.0737434832615236</v>
        <stp/>
        <stp>##V3_BDPV12</stp>
        <stp>BP/ LN Equity</stp>
        <stp>EE010</stp>
        <stp>[DPM - Securities Master List (BBG Linked).xlsx]Equities!R79C12</stp>
        <tr r="L79" s="2"/>
        <tr r="L79" s="2"/>
        <tr r="L79" s="2"/>
      </tp>
      <tp>
        <v>9.0737434832615236</v>
        <stp/>
        <stp>##V3_BDPV12</stp>
        <stp>BP/ LN Equity</stp>
        <stp>EE010</stp>
        <stp>[DPM - Securities Master List (BBG Linked).xlsx]Equities!R78C12</stp>
        <tr r="L78" s="2"/>
        <tr r="L78" s="2"/>
        <tr r="L78" s="2"/>
      </tp>
      <tp>
        <v>9.0737434832615236</v>
        <stp/>
        <stp>##V3_BDPV12</stp>
        <stp>BP/ LN Equity</stp>
        <stp>EE010</stp>
        <stp>[DPM - Securities Master List (BBG Linked).xlsx]Equities!R77C12</stp>
        <tr r="L77" s="2"/>
        <tr r="L77" s="2"/>
        <tr r="L77" s="2"/>
      </tp>
      <tp>
        <v>-9.4910940000000004</v>
        <stp/>
        <stp>##V3_BDPV12</stp>
        <stp>BP/ LN Equity</stp>
        <stp>PR079</stp>
        <stp>[DPM - Securities Master List (BBG Linked).xlsx]Equities!R78C43</stp>
        <tr r="AQ78" s="2"/>
      </tp>
      <tp>
        <v>-9.4910940000000004</v>
        <stp/>
        <stp>##V3_BDPV12</stp>
        <stp>BP/ LN Equity</stp>
        <stp>PR079</stp>
        <stp>[DPM - Securities Master List (BBG Linked).xlsx]Equities!R79C43</stp>
        <tr r="AQ79" s="2"/>
      </tp>
      <tp>
        <v>-9.4910940000000004</v>
        <stp/>
        <stp>##V3_BDPV12</stp>
        <stp>BP/ LN Equity</stp>
        <stp>PR079</stp>
        <stp>[DPM - Securities Master List (BBG Linked).xlsx]Equities!R77C43</stp>
        <tr r="AQ77" s="2"/>
      </tp>
      <tp>
        <v>-9.4910940000000004</v>
        <stp/>
        <stp>##V3_BDPV12</stp>
        <stp>BP/ LN Equity</stp>
        <stp>PR079</stp>
        <stp>[DPM - Securities Master List (BBG Linked).xlsx]Equities!R88C43</stp>
        <tr r="AQ88" s="2"/>
      </tp>
      <tp>
        <v>-9.4910940000000004</v>
        <stp/>
        <stp>##V3_BDPV12</stp>
        <stp>BP/ LN Equity</stp>
        <stp>PR079</stp>
        <stp>[DPM - Securities Master List (BBG Linked).xlsx]Equities!R89C43</stp>
        <tr r="AQ89" s="2"/>
      </tp>
      <tp>
        <v>-9.4910940000000004</v>
        <stp/>
        <stp>##V3_BDPV12</stp>
        <stp>BP/ LN Equity</stp>
        <stp>PR079</stp>
        <stp>[DPM - Securities Master List (BBG Linked).xlsx]Equities!R84C43</stp>
        <tr r="AQ84" s="2"/>
      </tp>
      <tp>
        <v>-9.4910940000000004</v>
        <stp/>
        <stp>##V3_BDPV12</stp>
        <stp>BP/ LN Equity</stp>
        <stp>PR079</stp>
        <stp>[DPM - Securities Master List (BBG Linked).xlsx]Equities!R85C43</stp>
        <tr r="AQ85" s="2"/>
      </tp>
      <tp>
        <v>-9.4910940000000004</v>
        <stp/>
        <stp>##V3_BDPV12</stp>
        <stp>BP/ LN Equity</stp>
        <stp>PR079</stp>
        <stp>[DPM - Securities Master List (BBG Linked).xlsx]Equities!R86C43</stp>
        <tr r="AQ86" s="2"/>
      </tp>
      <tp>
        <v>-9.4910940000000004</v>
        <stp/>
        <stp>##V3_BDPV12</stp>
        <stp>BP/ LN Equity</stp>
        <stp>PR079</stp>
        <stp>[DPM - Securities Master List (BBG Linked).xlsx]Equities!R87C43</stp>
        <tr r="AQ87" s="2"/>
      </tp>
      <tp>
        <v>-9.4910940000000004</v>
        <stp/>
        <stp>##V3_BDPV12</stp>
        <stp>BP/ LN Equity</stp>
        <stp>PR079</stp>
        <stp>[DPM - Securities Master List (BBG Linked).xlsx]Equities!R80C43</stp>
        <tr r="AQ80" s="2"/>
      </tp>
      <tp>
        <v>-9.4910940000000004</v>
        <stp/>
        <stp>##V3_BDPV12</stp>
        <stp>BP/ LN Equity</stp>
        <stp>PR079</stp>
        <stp>[DPM - Securities Master List (BBG Linked).xlsx]Equities!R81C43</stp>
        <tr r="AQ81" s="2"/>
      </tp>
      <tp>
        <v>-9.4910940000000004</v>
        <stp/>
        <stp>##V3_BDPV12</stp>
        <stp>BP/ LN Equity</stp>
        <stp>PR079</stp>
        <stp>[DPM - Securities Master List (BBG Linked).xlsx]Equities!R82C43</stp>
        <tr r="AQ82" s="2"/>
      </tp>
      <tp>
        <v>-9.4910940000000004</v>
        <stp/>
        <stp>##V3_BDPV12</stp>
        <stp>BP/ LN Equity</stp>
        <stp>PR079</stp>
        <stp>[DPM - Securities Master List (BBG Linked).xlsx]Equities!R83C43</stp>
        <tr r="AQ83" s="2"/>
      </tp>
      <tp>
        <v>-9.4910940000000004</v>
        <stp/>
        <stp>##V3_BDPV12</stp>
        <stp>BP/ LN Equity</stp>
        <stp>PR079</stp>
        <stp>[DPM - Securities Master List (BBG Linked).xlsx]Equities!R90C43</stp>
        <tr r="AQ90" s="2"/>
      </tp>
      <tp>
        <v>-17.08625</v>
        <stp/>
        <stp>##V3_BDPV12</stp>
        <stp>BP/ LN Equity</stp>
        <stp>PR064</stp>
        <stp>[DPM - Securities Master List (BBG Linked).xlsx]Equities!R90C41</stp>
        <tr r="AO90" s="2"/>
      </tp>
      <tp>
        <v>-17.08625</v>
        <stp/>
        <stp>##V3_BDPV12</stp>
        <stp>BP/ LN Equity</stp>
        <stp>PR064</stp>
        <stp>[DPM - Securities Master List (BBG Linked).xlsx]Equities!R88C41</stp>
        <tr r="AO88" s="2"/>
      </tp>
      <tp>
        <v>-17.08625</v>
        <stp/>
        <stp>##V3_BDPV12</stp>
        <stp>BP/ LN Equity</stp>
        <stp>PR064</stp>
        <stp>[DPM - Securities Master List (BBG Linked).xlsx]Equities!R89C41</stp>
        <tr r="AO89" s="2"/>
      </tp>
      <tp>
        <v>-17.08625</v>
        <stp/>
        <stp>##V3_BDPV12</stp>
        <stp>BP/ LN Equity</stp>
        <stp>PR064</stp>
        <stp>[DPM - Securities Master List (BBG Linked).xlsx]Equities!R84C41</stp>
        <tr r="AO84" s="2"/>
      </tp>
      <tp>
        <v>-17.08625</v>
        <stp/>
        <stp>##V3_BDPV12</stp>
        <stp>BP/ LN Equity</stp>
        <stp>PR064</stp>
        <stp>[DPM - Securities Master List (BBG Linked).xlsx]Equities!R85C41</stp>
        <tr r="AO85" s="2"/>
      </tp>
      <tp>
        <v>-17.08625</v>
        <stp/>
        <stp>##V3_BDPV12</stp>
        <stp>BP/ LN Equity</stp>
        <stp>PR064</stp>
        <stp>[DPM - Securities Master List (BBG Linked).xlsx]Equities!R86C41</stp>
        <tr r="AO86" s="2"/>
      </tp>
      <tp>
        <v>-17.08625</v>
        <stp/>
        <stp>##V3_BDPV12</stp>
        <stp>BP/ LN Equity</stp>
        <stp>PR064</stp>
        <stp>[DPM - Securities Master List (BBG Linked).xlsx]Equities!R87C41</stp>
        <tr r="AO87" s="2"/>
      </tp>
      <tp>
        <v>-17.08625</v>
        <stp/>
        <stp>##V3_BDPV12</stp>
        <stp>BP/ LN Equity</stp>
        <stp>PR064</stp>
        <stp>[DPM - Securities Master List (BBG Linked).xlsx]Equities!R80C41</stp>
        <tr r="AO80" s="2"/>
      </tp>
      <tp>
        <v>-17.08625</v>
        <stp/>
        <stp>##V3_BDPV12</stp>
        <stp>BP/ LN Equity</stp>
        <stp>PR064</stp>
        <stp>[DPM - Securities Master List (BBG Linked).xlsx]Equities!R81C41</stp>
        <tr r="AO81" s="2"/>
      </tp>
      <tp>
        <v>-17.08625</v>
        <stp/>
        <stp>##V3_BDPV12</stp>
        <stp>BP/ LN Equity</stp>
        <stp>PR064</stp>
        <stp>[DPM - Securities Master List (BBG Linked).xlsx]Equities!R82C41</stp>
        <tr r="AO82" s="2"/>
      </tp>
      <tp>
        <v>-17.08625</v>
        <stp/>
        <stp>##V3_BDPV12</stp>
        <stp>BP/ LN Equity</stp>
        <stp>PR064</stp>
        <stp>[DPM - Securities Master List (BBG Linked).xlsx]Equities!R83C41</stp>
        <tr r="AO83" s="2"/>
      </tp>
      <tp>
        <v>-4.0464019999999996</v>
        <stp/>
        <stp>##V3_BDPV12</stp>
        <stp>BP/ LN Equity</stp>
        <stp>PR061</stp>
        <stp>[DPM - Securities Master List (BBG Linked).xlsx]Equities!R90C40</stp>
        <tr r="AN90" s="2"/>
      </tp>
      <tp>
        <v>-4.0464019999999996</v>
        <stp/>
        <stp>##V3_BDPV12</stp>
        <stp>BP/ LN Equity</stp>
        <stp>PR061</stp>
        <stp>[DPM - Securities Master List (BBG Linked).xlsx]Equities!R88C40</stp>
        <tr r="AN88" s="2"/>
      </tp>
      <tp>
        <v>-4.0464019999999996</v>
        <stp/>
        <stp>##V3_BDPV12</stp>
        <stp>BP/ LN Equity</stp>
        <stp>PR061</stp>
        <stp>[DPM - Securities Master List (BBG Linked).xlsx]Equities!R89C40</stp>
        <tr r="AN89" s="2"/>
      </tp>
      <tp>
        <v>-4.0464019999999996</v>
        <stp/>
        <stp>##V3_BDPV12</stp>
        <stp>BP/ LN Equity</stp>
        <stp>PR061</stp>
        <stp>[DPM - Securities Master List (BBG Linked).xlsx]Equities!R84C40</stp>
        <tr r="AN84" s="2"/>
      </tp>
      <tp>
        <v>-4.0464019999999996</v>
        <stp/>
        <stp>##V3_BDPV12</stp>
        <stp>BP/ LN Equity</stp>
        <stp>PR061</stp>
        <stp>[DPM - Securities Master List (BBG Linked).xlsx]Equities!R85C40</stp>
        <tr r="AN85" s="2"/>
      </tp>
      <tp>
        <v>-4.0464019999999996</v>
        <stp/>
        <stp>##V3_BDPV12</stp>
        <stp>BP/ LN Equity</stp>
        <stp>PR061</stp>
        <stp>[DPM - Securities Master List (BBG Linked).xlsx]Equities!R86C40</stp>
        <tr r="AN86" s="2"/>
      </tp>
      <tp>
        <v>-4.0464019999999996</v>
        <stp/>
        <stp>##V3_BDPV12</stp>
        <stp>BP/ LN Equity</stp>
        <stp>PR061</stp>
        <stp>[DPM - Securities Master List (BBG Linked).xlsx]Equities!R87C40</stp>
        <tr r="AN87" s="2"/>
      </tp>
      <tp>
        <v>-4.0464019999999996</v>
        <stp/>
        <stp>##V3_BDPV12</stp>
        <stp>BP/ LN Equity</stp>
        <stp>PR061</stp>
        <stp>[DPM - Securities Master List (BBG Linked).xlsx]Equities!R80C40</stp>
        <tr r="AN80" s="2"/>
      </tp>
      <tp>
        <v>-4.0464019999999996</v>
        <stp/>
        <stp>##V3_BDPV12</stp>
        <stp>BP/ LN Equity</stp>
        <stp>PR061</stp>
        <stp>[DPM - Securities Master List (BBG Linked).xlsx]Equities!R81C40</stp>
        <tr r="AN81" s="2"/>
      </tp>
      <tp>
        <v>-4.0464019999999996</v>
        <stp/>
        <stp>##V3_BDPV12</stp>
        <stp>BP/ LN Equity</stp>
        <stp>PR061</stp>
        <stp>[DPM - Securities Master List (BBG Linked).xlsx]Equities!R82C40</stp>
        <tr r="AN82" s="2"/>
      </tp>
      <tp>
        <v>-4.0464019999999996</v>
        <stp/>
        <stp>##V3_BDPV12</stp>
        <stp>BP/ LN Equity</stp>
        <stp>PR061</stp>
        <stp>[DPM - Securities Master List (BBG Linked).xlsx]Equities!R83C40</stp>
        <tr r="AN83" s="2"/>
      </tp>
      <tp>
        <v>-4.0464019999999996</v>
        <stp/>
        <stp>##V3_BDPV12</stp>
        <stp>BP/ LN Equity</stp>
        <stp>PR061</stp>
        <stp>[DPM - Securities Master List (BBG Linked).xlsx]Equities!R78C40</stp>
        <tr r="AN78" s="2"/>
      </tp>
      <tp>
        <v>-4.0464019999999996</v>
        <stp/>
        <stp>##V3_BDPV12</stp>
        <stp>BP/ LN Equity</stp>
        <stp>PR061</stp>
        <stp>[DPM - Securities Master List (BBG Linked).xlsx]Equities!R79C40</stp>
        <tr r="AN79" s="2"/>
      </tp>
      <tp>
        <v>-4.0464019999999996</v>
        <stp/>
        <stp>##V3_BDPV12</stp>
        <stp>BP/ LN Equity</stp>
        <stp>PR061</stp>
        <stp>[DPM - Securities Master List (BBG Linked).xlsx]Equities!R77C40</stp>
        <tr r="AN77" s="2"/>
      </tp>
      <tp>
        <v>-17.08625</v>
        <stp/>
        <stp>##V3_BDPV12</stp>
        <stp>BP/ LN Equity</stp>
        <stp>PR064</stp>
        <stp>[DPM - Securities Master List (BBG Linked).xlsx]Equities!R78C41</stp>
        <tr r="AO78" s="2"/>
      </tp>
      <tp>
        <v>-17.08625</v>
        <stp/>
        <stp>##V3_BDPV12</stp>
        <stp>BP/ LN Equity</stp>
        <stp>PR064</stp>
        <stp>[DPM - Securities Master List (BBG Linked).xlsx]Equities!R79C41</stp>
        <tr r="AO79" s="2"/>
      </tp>
      <tp>
        <v>-17.08625</v>
        <stp/>
        <stp>##V3_BDPV12</stp>
        <stp>BP/ LN Equity</stp>
        <stp>PR064</stp>
        <stp>[DPM - Securities Master List (BBG Linked).xlsx]Equities!R77C41</stp>
        <tr r="AO77" s="2"/>
      </tp>
      <tp>
        <v>15.739144614345992</v>
        <stp/>
        <stp>##V3_BDPV12</stp>
        <stp>DD US Equity</stp>
        <stp>RR957</stp>
        <stp>[DPM - Securities Master List (BBG Linked).xlsx]Equities!R91C14</stp>
        <tr r="N91" s="2"/>
        <tr r="N91" s="2"/>
        <tr r="N91" s="2"/>
      </tp>
      <tp>
        <v>15.723721919113153</v>
        <stp/>
        <stp>##V3_BDPV12</stp>
        <stp>DD US Equity</stp>
        <stp>RR908</stp>
        <stp>[DPM - Securities Master List (BBG Linked).xlsx]Equities!R91C32</stp>
        <tr r="AF91" s="2"/>
        <tr r="AF91" s="2"/>
        <tr r="AF91" s="2"/>
      </tp>
      <tp>
        <v>1.1964430865629139</v>
        <stp/>
        <stp>##V3_BDPV12</stp>
        <stp>DD US Equity</stp>
        <stp>RR903</stp>
        <stp>[DPM - Securities Master List (BBG Linked).xlsx]Equities!R91C13</stp>
        <tr r="M91" s="2"/>
        <tr r="M91" s="2"/>
        <tr r="M91" s="2"/>
      </tp>
      <tp>
        <v>21.969959169562742</v>
        <stp/>
        <stp>##V3_BDPV12</stp>
        <stp>DD US Equity</stp>
        <stp>RR900</stp>
        <stp>[DPM - Securities Master List (BBG Linked).xlsx]Equities!R91C11</stp>
        <tr r="K91" s="2"/>
        <tr r="K91" s="2"/>
        <tr r="K91" s="2"/>
      </tp>
      <tp t="s">
        <v>Merck &amp; Co Inc</v>
        <stp/>
        <stp>##V3_BDPV12</stp>
        <stp>MRK US Equity</stp>
        <stp>SECURITY NAME</stp>
        <stp>[DPM - Securities Master List (BBG Linked).xlsx]Equities!R163C5</stp>
        <tr r="E163" s="2"/>
      </tp>
      <tp t="s">
        <v>Y</v>
        <stp/>
        <stp>##V3_BDPV12</stp>
        <stp>DD US Equity</stp>
        <stp>DY997</stp>
        <stp>[DPM - Securities Master List (BBG Linked).xlsx]Equities!R91C47</stp>
        <tr r="AU91" s="2"/>
        <tr r="AU91" s="2"/>
        <tr r="AU91" s="2"/>
      </tp>
      <tp t="s">
        <v>TotalEnergies SE</v>
        <stp/>
        <stp>##V3_BDPV12</stp>
        <stp>TTE FP Equity</stp>
        <stp>SECURITY NAME</stp>
        <stp>[DPM - Securities Master List (BBG Linked).xlsx]Equities!R279C5</stp>
        <tr r="E279" s="2"/>
      </tp>
    </main>
    <main first="bofaddin.rtdserver">
      <tp t="e">
        <v>#N/A</v>
        <stp/>
        <stp>BDP|7563348439822904</stp>
        <tr r="H47" s="1"/>
        <tr r="H47" s="1"/>
      </tp>
    </main>
    <main first="bloomberg.rtd">
      <tp t="s">
        <v>Equity</v>
        <stp/>
        <stp>##V3_BDPV12</stp>
        <stp>DGE LN Equity</stp>
        <stp>EX028</stp>
        <stp>[DPM - Securities Master List (BBG Linked).xlsx]Equities!R110C30</stp>
        <tr r="AD110" s="2"/>
        <tr r="AD110" s="2"/>
        <tr r="AD110" s="2"/>
      </tp>
      <tp t="s">
        <v>Equity</v>
        <stp/>
        <stp>##V3_BDPV12</stp>
        <stp>DGE LN Equity</stp>
        <stp>EX028</stp>
        <stp>[DPM - Securities Master List (BBG Linked).xlsx]Equities!R111C30</stp>
        <tr r="AD111" s="2"/>
        <tr r="AD111" s="2"/>
        <tr r="AD111" s="2"/>
      </tp>
      <tp t="s">
        <v>Equity</v>
        <stp/>
        <stp>##V3_BDPV12</stp>
        <stp>DGE LN Equity</stp>
        <stp>EX028</stp>
        <stp>[DPM - Securities Master List (BBG Linked).xlsx]Equities!R108C30</stp>
        <tr r="AD108" s="2"/>
        <tr r="AD108" s="2"/>
        <tr r="AD108" s="2"/>
      </tp>
      <tp t="s">
        <v>Equity</v>
        <stp/>
        <stp>##V3_BDPV12</stp>
        <stp>DGE LN Equity</stp>
        <stp>EX028</stp>
        <stp>[DPM - Securities Master List (BBG Linked).xlsx]Equities!R109C30</stp>
        <tr r="AD109" s="2"/>
        <tr r="AD109" s="2"/>
        <tr r="AD109" s="2"/>
      </tp>
      <tp>
        <v>1995680.72</v>
        <stp/>
        <stp>##V3_BDPV12</stp>
        <stp>GOOGL US Equity</stp>
        <stp>CRNCY_ADJ_MKT_CAP</stp>
        <stp>[DPM - Securities Master List (BBG Linked).xlsx]Equities!R141C9</stp>
        <stp>EQY_FUND_CRNCY=USD</stp>
        <tr r="I141" s="2"/>
      </tp>
      <tp t="s">
        <v>GBp</v>
        <stp/>
        <stp>##V3_BDPV12</stp>
        <stp>TSCO LN Equity</stp>
        <stp>CRNCY</stp>
        <stp>[DPM - Securities Master List (BBG Linked).xlsx]Equities!R269C6</stp>
        <tr r="F269" s="2"/>
      </tp>
      <tp t="s">
        <v>USD</v>
        <stp/>
        <stp>##V3_BDPV12</stp>
        <stp>META US Equity</stp>
        <stp>CRNCY</stp>
        <stp>[DPM - Securities Master List (BBG Linked).xlsx]Equities!R156C6</stp>
        <tr r="F156" s="2"/>
      </tp>
      <tp t="s">
        <v>CHF</v>
        <stp/>
        <stp>##V3_BDPV12</stp>
        <stp>NESN SW Equity</stp>
        <stp>CRNCY</stp>
        <stp>[DPM - Securities Master List (BBG Linked).xlsx]Equities!R200C6</stp>
        <tr r="F200" s="2"/>
      </tp>
      <tp t="s">
        <v>USD</v>
        <stp/>
        <stp>##V3_BDPV12</stp>
        <stp>DELL US Equity</stp>
        <stp>CRNCY</stp>
        <stp>[DPM - Securities Master List (BBG Linked).xlsx]Equities!R106C6</stp>
        <tr r="F106" s="2"/>
      </tp>
      <tp t="s">
        <v>Microsoft Corp</v>
        <stp/>
        <stp>##V3_BDPV12</stp>
        <stp>MSFT US Equity</stp>
        <stp>SECURITY NAME</stp>
        <stp>[DPM - Securities Master List (BBG Linked).xlsx]Equities!R178C5</stp>
        <tr r="E178" s="2"/>
      </tp>
      <tp t="s">
        <v>Microsoft Corp</v>
        <stp/>
        <stp>##V3_BDPV12</stp>
        <stp>MSFT US Equity</stp>
        <stp>SECURITY NAME</stp>
        <stp>[DPM - Securities Master List (BBG Linked).xlsx]Equities!R188C5</stp>
        <tr r="E188" s="2"/>
      </tp>
      <tp t="s">
        <v>Y</v>
        <stp/>
        <stp>##V3_BDPV12</stp>
        <stp>BIIB US Equity</stp>
        <stp>DY784</stp>
        <stp>[DPM - Securities Master List (BBG Linked).xlsx]Equities!R62C48</stp>
        <tr r="AV62" s="2"/>
        <tr r="AV62" s="2"/>
        <tr r="AV62" s="2"/>
      </tp>
      <tp t="s">
        <v>Equity</v>
        <stp/>
        <stp>##V3_BDPV12</stp>
        <stp>ON US Equity</stp>
        <stp>EX028</stp>
        <stp>[DPM - Securities Master List (BBG Linked).xlsx]Equities!R226C30</stp>
        <tr r="AD226" s="2"/>
        <tr r="AD226" s="2"/>
        <tr r="AD226" s="2"/>
      </tp>
      <tp>
        <v>55308.670110187406</v>
        <stp/>
        <stp>##V3_BDPV12</stp>
        <stp>VOW3 GY Equity</stp>
        <stp>CRNCY_ADJ_MKT_CAP</stp>
        <stp>[DPM - Securities Master List (BBG Linked).xlsx]Equities!R289C9</stp>
        <stp>EQY_FUND_CRNCY=USD</stp>
        <tr r="I289" s="2"/>
      </tp>
      <tp>
        <v>11.022735688329439</v>
        <stp/>
        <stp>##V3_BDPV12</stp>
        <stp>REGN Equity</stp>
        <stp>RR957</stp>
        <stp>[DPM - Securities Master List (BBG Linked).xlsx]Equities!R240C14</stp>
        <tr r="N240" s="2"/>
        <tr r="N240" s="2"/>
        <tr r="N240" s="2"/>
      </tp>
      <tp t="s">
        <v>N</v>
        <stp/>
        <stp>##V3_BDPV12</stp>
        <stp>BP/ LN Equity</stp>
        <stp>DY784</stp>
        <stp>[DPM - Securities Master List (BBG Linked).xlsx]Equities!R77C48</stp>
        <tr r="AV77" s="2"/>
        <tr r="AV77" s="2"/>
        <tr r="AV77" s="2"/>
      </tp>
      <tp t="s">
        <v>N</v>
        <stp/>
        <stp>##V3_BDPV12</stp>
        <stp>BP/ LN Equity</stp>
        <stp>DY784</stp>
        <stp>[DPM - Securities Master List (BBG Linked).xlsx]Equities!R79C48</stp>
        <tr r="AV79" s="2"/>
        <tr r="AV79" s="2"/>
        <tr r="AV79" s="2"/>
      </tp>
      <tp t="s">
        <v>N</v>
        <stp/>
        <stp>##V3_BDPV12</stp>
        <stp>BP/ LN Equity</stp>
        <stp>DY784</stp>
        <stp>[DPM - Securities Master List (BBG Linked).xlsx]Equities!R78C48</stp>
        <tr r="AV78" s="2"/>
        <tr r="AV78" s="2"/>
        <tr r="AV78" s="2"/>
      </tp>
      <tp t="s">
        <v>N</v>
        <stp/>
        <stp>##V3_BDPV12</stp>
        <stp>BP/ LN Equity</stp>
        <stp>DY784</stp>
        <stp>[DPM - Securities Master List (BBG Linked).xlsx]Equities!R87C48</stp>
        <tr r="AV87" s="2"/>
        <tr r="AV87" s="2"/>
        <tr r="AV87" s="2"/>
      </tp>
      <tp t="s">
        <v>N</v>
        <stp/>
        <stp>##V3_BDPV12</stp>
        <stp>BP/ LN Equity</stp>
        <stp>DY784</stp>
        <stp>[DPM - Securities Master List (BBG Linked).xlsx]Equities!R86C48</stp>
        <tr r="AV86" s="2"/>
        <tr r="AV86" s="2"/>
        <tr r="AV86" s="2"/>
      </tp>
      <tp t="s">
        <v>N</v>
        <stp/>
        <stp>##V3_BDPV12</stp>
        <stp>BP/ LN Equity</stp>
        <stp>DY784</stp>
        <stp>[DPM - Securities Master List (BBG Linked).xlsx]Equities!R85C48</stp>
        <tr r="AV85" s="2"/>
        <tr r="AV85" s="2"/>
        <tr r="AV85" s="2"/>
      </tp>
      <tp t="s">
        <v>N</v>
        <stp/>
        <stp>##V3_BDPV12</stp>
        <stp>BP/ LN Equity</stp>
        <stp>DY784</stp>
        <stp>[DPM - Securities Master List (BBG Linked).xlsx]Equities!R84C48</stp>
        <tr r="AV84" s="2"/>
        <tr r="AV84" s="2"/>
        <tr r="AV84" s="2"/>
      </tp>
      <tp t="s">
        <v>N</v>
        <stp/>
        <stp>##V3_BDPV12</stp>
        <stp>BP/ LN Equity</stp>
        <stp>DY784</stp>
        <stp>[DPM - Securities Master List (BBG Linked).xlsx]Equities!R83C48</stp>
        <tr r="AV83" s="2"/>
        <tr r="AV83" s="2"/>
        <tr r="AV83" s="2"/>
      </tp>
      <tp t="s">
        <v>N</v>
        <stp/>
        <stp>##V3_BDPV12</stp>
        <stp>BP/ LN Equity</stp>
        <stp>DY784</stp>
        <stp>[DPM - Securities Master List (BBG Linked).xlsx]Equities!R82C48</stp>
        <tr r="AV82" s="2"/>
        <tr r="AV82" s="2"/>
        <tr r="AV82" s="2"/>
      </tp>
      <tp t="s">
        <v>N</v>
        <stp/>
        <stp>##V3_BDPV12</stp>
        <stp>BP/ LN Equity</stp>
        <stp>DY784</stp>
        <stp>[DPM - Securities Master List (BBG Linked).xlsx]Equities!R81C48</stp>
        <tr r="AV81" s="2"/>
        <tr r="AV81" s="2"/>
        <tr r="AV81" s="2"/>
      </tp>
      <tp t="s">
        <v>N</v>
        <stp/>
        <stp>##V3_BDPV12</stp>
        <stp>BP/ LN Equity</stp>
        <stp>DY784</stp>
        <stp>[DPM - Securities Master List (BBG Linked).xlsx]Equities!R80C48</stp>
        <tr r="AV80" s="2"/>
        <tr r="AV80" s="2"/>
        <tr r="AV80" s="2"/>
      </tp>
      <tp t="s">
        <v>N</v>
        <stp/>
        <stp>##V3_BDPV12</stp>
        <stp>BP/ LN Equity</stp>
        <stp>DY784</stp>
        <stp>[DPM - Securities Master List (BBG Linked).xlsx]Equities!R89C48</stp>
        <tr r="AV89" s="2"/>
        <tr r="AV89" s="2"/>
        <tr r="AV89" s="2"/>
      </tp>
      <tp t="s">
        <v>N</v>
        <stp/>
        <stp>##V3_BDPV12</stp>
        <stp>BP/ LN Equity</stp>
        <stp>DY784</stp>
        <stp>[DPM - Securities Master List (BBG Linked).xlsx]Equities!R88C48</stp>
        <tr r="AV88" s="2"/>
        <tr r="AV88" s="2"/>
        <tr r="AV88" s="2"/>
      </tp>
      <tp t="s">
        <v>N</v>
        <stp/>
        <stp>##V3_BDPV12</stp>
        <stp>BP/ LN Equity</stp>
        <stp>DY784</stp>
        <stp>[DPM - Securities Master List (BBG Linked).xlsx]Equities!R90C48</stp>
        <tr r="AV90" s="2"/>
        <tr r="AV90" s="2"/>
        <tr r="AV90" s="2"/>
      </tp>
      <tp t="s">
        <v>NIKE Inc</v>
        <stp/>
        <stp>##V3_BDPV12</stp>
        <stp>NKE US Equity</stp>
        <stp>SECURITY NAME</stp>
        <stp>[DPM - Securities Master List (BBG Linked).xlsx]Equities!R207C5</stp>
        <tr r="E207" s="2"/>
      </tp>
      <tp t="s">
        <v>NIKE Inc</v>
        <stp/>
        <stp>##V3_BDPV12</stp>
        <stp>NKE US Equity</stp>
        <stp>SECURITY NAME</stp>
        <stp>[DPM - Securities Master List (BBG Linked).xlsx]Equities!R217C5</stp>
        <tr r="E217" s="2"/>
      </tp>
      <tp t="s">
        <v>SSE PLC</v>
        <stp/>
        <stp>##V3_BDPV12</stp>
        <stp>SSE LN Equity</stp>
        <stp>SECURITY NAME</stp>
        <stp>[DPM - Securities Master List (BBG Linked).xlsx]Equities!R253C5</stp>
        <tr r="E253" s="2"/>
      </tp>
      <tp t="s">
        <v>USD</v>
        <stp/>
        <stp>##V3_BDPV12</stp>
        <stp>PEP US Equity</stp>
        <stp>CRNCY</stp>
        <stp>[DPM - Securities Master List (BBG Linked).xlsx]Equities!R231C6</stp>
        <tr r="F231" s="2"/>
      </tp>
      <tp t="s">
        <v>EUR</v>
        <stp/>
        <stp>##V3_BDPV12</stp>
        <stp>KER FP Equity</stp>
        <stp>CRNCY</stp>
        <stp>[DPM - Securities Master List (BBG Linked).xlsx]Equities!R149C6</stp>
        <tr r="F149" s="2"/>
      </tp>
      <tp>
        <v>93.39</v>
        <stp/>
        <stp>##V3_BDPV12</stp>
        <stp>DELL US Equity</stp>
        <stp>PX_LAST</stp>
        <stp>[DPM - Securities Master List (BBG Linked).xlsx]Equities!R102C17</stp>
        <tr r="Q102" s="2"/>
      </tp>
      <tp>
        <v>93.39</v>
        <stp/>
        <stp>##V3_BDPV12</stp>
        <stp>DELL US Equity</stp>
        <stp>PX_LAST</stp>
        <stp>[DPM - Securities Master List (BBG Linked).xlsx]Equities!R103C17</stp>
        <tr r="Q103" s="2"/>
      </tp>
      <tp>
        <v>93.39</v>
        <stp/>
        <stp>##V3_BDPV12</stp>
        <stp>DELL US Equity</stp>
        <stp>PX_LAST</stp>
        <stp>[DPM - Securities Master List (BBG Linked).xlsx]Equities!R100C17</stp>
        <tr r="Q100" s="2"/>
      </tp>
      <tp>
        <v>93.39</v>
        <stp/>
        <stp>##V3_BDPV12</stp>
        <stp>DELL US Equity</stp>
        <stp>PX_LAST</stp>
        <stp>[DPM - Securities Master List (BBG Linked).xlsx]Equities!R101C17</stp>
        <tr r="Q101" s="2"/>
      </tp>
      <tp>
        <v>93.39</v>
        <stp/>
        <stp>##V3_BDPV12</stp>
        <stp>DELL US Equity</stp>
        <stp>PX_LAST</stp>
        <stp>[DPM - Securities Master List (BBG Linked).xlsx]Equities!R106C17</stp>
        <tr r="Q106" s="2"/>
      </tp>
      <tp>
        <v>93.39</v>
        <stp/>
        <stp>##V3_BDPV12</stp>
        <stp>DELL US Equity</stp>
        <stp>PX_LAST</stp>
        <stp>[DPM - Securities Master List (BBG Linked).xlsx]Equities!R107C17</stp>
        <tr r="Q107" s="2"/>
      </tp>
      <tp>
        <v>93.39</v>
        <stp/>
        <stp>##V3_BDPV12</stp>
        <stp>DELL US Equity</stp>
        <stp>PX_LAST</stp>
        <stp>[DPM - Securities Master List (BBG Linked).xlsx]Equities!R104C17</stp>
        <tr r="Q104" s="2"/>
      </tp>
      <tp>
        <v>93.39</v>
        <stp/>
        <stp>##V3_BDPV12</stp>
        <stp>DELL US Equity</stp>
        <stp>PX_LAST</stp>
        <stp>[DPM - Securities Master List (BBG Linked).xlsx]Equities!R105C17</stp>
        <tr r="Q105" s="2"/>
      </tp>
      <tp t="s">
        <v>Merck &amp; Co Inc</v>
        <stp/>
        <stp>##V3_BDPV12</stp>
        <stp>MRK US Equity</stp>
        <stp>SECURITY NAME</stp>
        <stp>[DPM - Securities Master List (BBG Linked).xlsx]Equities!R164C5</stp>
        <tr r="E164" s="2"/>
      </tp>
      <tp t="s">
        <v>Rio Tinto PLC</v>
        <stp/>
        <stp>##V3_BDPV12</stp>
        <stp>RIO LN Equity</stp>
        <stp>SECURITY NAME</stp>
        <stp>[DPM - Securities Master List (BBG Linked).xlsx]Equities!R242C5</stp>
        <tr r="E242" s="2"/>
      </tp>
      <tp>
        <v>13.617511551986308</v>
        <stp/>
        <stp>##V3_BDPV12</stp>
        <stp>DGE LN Equity</stp>
        <stp>RR957</stp>
        <stp>[DPM - Securities Master List (BBG Linked).xlsx]Equities!R111C14</stp>
        <tr r="N111" s="2"/>
        <tr r="N111" s="2"/>
        <tr r="N111" s="2"/>
      </tp>
      <tp>
        <v>13.617511551986308</v>
        <stp/>
        <stp>##V3_BDPV12</stp>
        <stp>DGE LN Equity</stp>
        <stp>RR957</stp>
        <stp>[DPM - Securities Master List (BBG Linked).xlsx]Equities!R110C14</stp>
        <tr r="N110" s="2"/>
        <tr r="N110" s="2"/>
        <tr r="N110" s="2"/>
      </tp>
      <tp>
        <v>13.617511551986308</v>
        <stp/>
        <stp>##V3_BDPV12</stp>
        <stp>DGE LN Equity</stp>
        <stp>RR957</stp>
        <stp>[DPM - Securities Master List (BBG Linked).xlsx]Equities!R109C14</stp>
        <tr r="N109" s="2"/>
        <tr r="N109" s="2"/>
        <tr r="N109" s="2"/>
      </tp>
      <tp>
        <v>13.617511551986308</v>
        <stp/>
        <stp>##V3_BDPV12</stp>
        <stp>DGE LN Equity</stp>
        <stp>RR957</stp>
        <stp>[DPM - Securities Master List (BBG Linked).xlsx]Equities!R108C14</stp>
        <tr r="N108" s="2"/>
        <tr r="N108" s="2"/>
        <tr r="N108" s="2"/>
      </tp>
      <tp>
        <v>5</v>
        <stp/>
        <stp>##V3_BDPV12</stp>
        <stp>GSK LN Equity</stp>
        <stp>TOT_SELL_REC</stp>
        <stp>[DPM - Securities Master List (BBG Linked).xlsx]Equities!R144C36</stp>
        <tr r="AJ144" s="2"/>
      </tp>
      <tp>
        <v>5</v>
        <stp/>
        <stp>##V3_BDPV12</stp>
        <stp>GSK LN Equity</stp>
        <stp>TOT_SELL_REC</stp>
        <stp>[DPM - Securities Master List (BBG Linked).xlsx]Equities!R145C36</stp>
        <tr r="AJ145" s="2"/>
      </tp>
      <tp>
        <v>5</v>
        <stp/>
        <stp>##V3_BDPV12</stp>
        <stp>GSK LN Equity</stp>
        <stp>TOT_SELL_REC</stp>
        <stp>[DPM - Securities Master List (BBG Linked).xlsx]Equities!R142C36</stp>
        <tr r="AJ142" s="2"/>
      </tp>
      <tp>
        <v>5</v>
        <stp/>
        <stp>##V3_BDPV12</stp>
        <stp>GSK LN Equity</stp>
        <stp>TOT_SELL_REC</stp>
        <stp>[DPM - Securities Master List (BBG Linked).xlsx]Equities!R143C36</stp>
        <tr r="AJ143" s="2"/>
      </tp>
      <tp>
        <v>14</v>
        <stp/>
        <stp>##V3_BDPV12</stp>
        <stp>GSK LN Equity</stp>
        <stp>TOT_HOLD_REC</stp>
        <stp>[DPM - Securities Master List (BBG Linked).xlsx]Equities!R144C35</stp>
        <tr r="AI144" s="2"/>
      </tp>
      <tp>
        <v>14</v>
        <stp/>
        <stp>##V3_BDPV12</stp>
        <stp>GSK LN Equity</stp>
        <stp>TOT_HOLD_REC</stp>
        <stp>[DPM - Securities Master List (BBG Linked).xlsx]Equities!R145C35</stp>
        <tr r="AI145" s="2"/>
      </tp>
      <tp>
        <v>14</v>
        <stp/>
        <stp>##V3_BDPV12</stp>
        <stp>GSK LN Equity</stp>
        <stp>TOT_HOLD_REC</stp>
        <stp>[DPM - Securities Master List (BBG Linked).xlsx]Equities!R142C35</stp>
        <tr r="AI142" s="2"/>
      </tp>
      <tp>
        <v>14</v>
        <stp/>
        <stp>##V3_BDPV12</stp>
        <stp>GSK LN Equity</stp>
        <stp>TOT_HOLD_REC</stp>
        <stp>[DPM - Securities Master List (BBG Linked).xlsx]Equities!R143C35</stp>
        <tr r="AI143" s="2"/>
      </tp>
      <tp t="s">
        <v>N</v>
        <stp/>
        <stp>##V3_BDPV12</stp>
        <stp>TTE FP Equity</stp>
        <stp>DY784</stp>
        <stp>[DPM - Securities Master List (BBG Linked).xlsx]Equities!R277C48</stp>
        <tr r="AV277" s="2"/>
        <tr r="AV277" s="2"/>
        <tr r="AV277" s="2"/>
      </tp>
      <tp t="s">
        <v>N</v>
        <stp/>
        <stp>##V3_BDPV12</stp>
        <stp>TTE FP Equity</stp>
        <stp>DY784</stp>
        <stp>[DPM - Securities Master List (BBG Linked).xlsx]Equities!R276C48</stp>
        <tr r="AV276" s="2"/>
        <tr r="AV276" s="2"/>
        <tr r="AV276" s="2"/>
      </tp>
      <tp t="s">
        <v>N</v>
        <stp/>
        <stp>##V3_BDPV12</stp>
        <stp>TTE FP Equity</stp>
        <stp>DY784</stp>
        <stp>[DPM - Securities Master List (BBG Linked).xlsx]Equities!R279C48</stp>
        <tr r="AV279" s="2"/>
        <tr r="AV279" s="2"/>
        <tr r="AV279" s="2"/>
      </tp>
      <tp t="s">
        <v>N</v>
        <stp/>
        <stp>##V3_BDPV12</stp>
        <stp>TTE FP Equity</stp>
        <stp>DY784</stp>
        <stp>[DPM - Securities Master List (BBG Linked).xlsx]Equities!R278C48</stp>
        <tr r="AV278" s="2"/>
        <tr r="AV278" s="2"/>
        <tr r="AV278" s="2"/>
      </tp>
      <tp t="s">
        <v>N</v>
        <stp/>
        <stp>##V3_BDPV12</stp>
        <stp>TTE FP Equity</stp>
        <stp>DY784</stp>
        <stp>[DPM - Securities Master List (BBG Linked).xlsx]Equities!R283C48</stp>
        <tr r="AV283" s="2"/>
        <tr r="AV283" s="2"/>
        <tr r="AV283" s="2"/>
      </tp>
      <tp t="s">
        <v>N</v>
        <stp/>
        <stp>##V3_BDPV12</stp>
        <stp>TTE FP Equity</stp>
        <stp>DY784</stp>
        <stp>[DPM - Securities Master List (BBG Linked).xlsx]Equities!R282C48</stp>
        <tr r="AV282" s="2"/>
        <tr r="AV282" s="2"/>
        <tr r="AV282" s="2"/>
      </tp>
      <tp t="s">
        <v>N</v>
        <stp/>
        <stp>##V3_BDPV12</stp>
        <stp>TTE FP Equity</stp>
        <stp>DY784</stp>
        <stp>[DPM - Securities Master List (BBG Linked).xlsx]Equities!R281C48</stp>
        <tr r="AV281" s="2"/>
        <tr r="AV281" s="2"/>
        <tr r="AV281" s="2"/>
      </tp>
      <tp t="s">
        <v>N</v>
        <stp/>
        <stp>##V3_BDPV12</stp>
        <stp>TTE FP Equity</stp>
        <stp>DY784</stp>
        <stp>[DPM - Securities Master List (BBG Linked).xlsx]Equities!R280C48</stp>
        <tr r="AV280" s="2"/>
        <tr r="AV280" s="2"/>
        <tr r="AV280" s="2"/>
      </tp>
      <tp t="s">
        <v>N</v>
        <stp/>
        <stp>##V3_BDPV12</stp>
        <stp>TTE FP Equity</stp>
        <stp>DY784</stp>
        <stp>[DPM - Securities Master List (BBG Linked).xlsx]Equities!R287C48</stp>
        <tr r="AV287" s="2"/>
        <tr r="AV287" s="2"/>
        <tr r="AV287" s="2"/>
      </tp>
      <tp t="s">
        <v>N</v>
        <stp/>
        <stp>##V3_BDPV12</stp>
        <stp>TTE FP Equity</stp>
        <stp>DY784</stp>
        <stp>[DPM - Securities Master List (BBG Linked).xlsx]Equities!R286C48</stp>
        <tr r="AV286" s="2"/>
        <tr r="AV286" s="2"/>
        <tr r="AV286" s="2"/>
      </tp>
      <tp t="s">
        <v>N</v>
        <stp/>
        <stp>##V3_BDPV12</stp>
        <stp>TTE FP Equity</stp>
        <stp>DY784</stp>
        <stp>[DPM - Securities Master List (BBG Linked).xlsx]Equities!R285C48</stp>
        <tr r="AV285" s="2"/>
        <tr r="AV285" s="2"/>
        <tr r="AV285" s="2"/>
      </tp>
      <tp t="s">
        <v>N</v>
        <stp/>
        <stp>##V3_BDPV12</stp>
        <stp>TTE FP Equity</stp>
        <stp>DY784</stp>
        <stp>[DPM - Securities Master List (BBG Linked).xlsx]Equities!R284C48</stp>
        <tr r="AV284" s="2"/>
        <tr r="AV284" s="2"/>
        <tr r="AV284" s="2"/>
      </tp>
      <tp t="s">
        <v>N</v>
        <stp/>
        <stp>##V3_BDPV12</stp>
        <stp>TTE FP Equity</stp>
        <stp>DY784</stp>
        <stp>[DPM - Securities Master List (BBG Linked).xlsx]Equities!R288C48</stp>
        <tr r="AV288" s="2"/>
        <tr r="AV288" s="2"/>
        <tr r="AV288" s="2"/>
      </tp>
      <tp>
        <v>1995680.72</v>
        <stp/>
        <stp>##V3_BDPV12</stp>
        <stp>GOOGL US Equity</stp>
        <stp>CRNCY_ADJ_MKT_CAP</stp>
        <stp>[DPM - Securities Master List (BBG Linked).xlsx]Equities!R139C9</stp>
        <stp>EQY_FUND_CRNCY=USD</stp>
        <tr r="I139" s="2"/>
      </tp>
      <tp t="s">
        <v>Consumer Discretionary</v>
        <stp/>
        <stp>##V3_BDPV12</stp>
        <stp>2020 HK Equity</stp>
        <stp>DX202</stp>
        <stp>[DPM - Securities Master List (BBG Linked).xlsx]Equities!R5C8</stp>
        <tr r="H5" s="2"/>
        <tr r="H5" s="2"/>
        <tr r="H5" s="2"/>
      </tp>
      <tp>
        <v>1995680.72</v>
        <stp/>
        <stp>##V3_BDPV12</stp>
        <stp>GOOGL US Equity</stp>
        <stp>CRNCY_ADJ_MKT_CAP</stp>
        <stp>[DPM - Securities Master List (BBG Linked).xlsx]Equities!R138C9</stp>
        <stp>EQY_FUND_CRNCY=USD</stp>
        <tr r="I138" s="2"/>
      </tp>
      <tp>
        <v>138.5</v>
        <stp/>
        <stp>##V3_BDPV12</stp>
        <stp>3690 HK Equity</stp>
        <stp>PX_last</stp>
        <stp>[DPM - Securities Master List (BBG Linked).xlsx]Equities!R9C17</stp>
        <tr r="Q9" s="2"/>
      </tp>
      <tp>
        <v>138.5</v>
        <stp/>
        <stp>##V3_BDPV12</stp>
        <stp>3690 HK Equity</stp>
        <stp>PX_last</stp>
        <stp>[DPM - Securities Master List (BBG Linked).xlsx]Equities!R8C17</stp>
        <tr r="Q8" s="2"/>
      </tp>
      <tp>
        <v>138.5</v>
        <stp/>
        <stp>##V3_BDPV12</stp>
        <stp>3690 HK Equity</stp>
        <stp>PX_last</stp>
        <stp>[DPM - Securities Master List (BBG Linked).xlsx]Equities!R7C17</stp>
        <tr r="Q7" s="2"/>
      </tp>
      <tp>
        <v>1995680.72</v>
        <stp/>
        <stp>##V3_BDPV12</stp>
        <stp>GOOGL US Equity</stp>
        <stp>CRNCY_ADJ_MKT_CAP</stp>
        <stp>[DPM - Securities Master List (BBG Linked).xlsx]Equities!R137C9</stp>
        <stp>EQY_FUND_CRNCY=USD</stp>
        <tr r="I137" s="2"/>
      </tp>
      <tp>
        <v>1995680.72</v>
        <stp/>
        <stp>##V3_BDPV12</stp>
        <stp>GOOGL US Equity</stp>
        <stp>CRNCY_ADJ_MKT_CAP</stp>
        <stp>[DPM - Securities Master List (BBG Linked).xlsx]Equities!R136C9</stp>
        <stp>EQY_FUND_CRNCY=USD</stp>
        <tr r="I136" s="2"/>
      </tp>
      <tp>
        <v>1995680.72</v>
        <stp/>
        <stp>##V3_BDPV12</stp>
        <stp>GOOGL US Equity</stp>
        <stp>CRNCY_ADJ_MKT_CAP</stp>
        <stp>[DPM - Securities Master List (BBG Linked).xlsx]Equities!R135C9</stp>
        <stp>EQY_FUND_CRNCY=USD</stp>
        <tr r="I135" s="2"/>
      </tp>
      <tp>
        <v>1995680.72</v>
        <stp/>
        <stp>##V3_BDPV12</stp>
        <stp>GOOGL US Equity</stp>
        <stp>CRNCY_ADJ_MKT_CAP</stp>
        <stp>[DPM - Securities Master List (BBG Linked).xlsx]Equities!R134C9</stp>
        <stp>EQY_FUND_CRNCY=USD</stp>
        <tr r="I134" s="2"/>
      </tp>
      <tp t="s">
        <v>Y</v>
        <stp/>
        <stp>##V3_BDPV12</stp>
        <stp>NVO US Equity</stp>
        <stp>DY997</stp>
        <stp>[DPM - Securities Master List (BBG Linked).xlsx]Equities!R225C47</stp>
        <tr r="AU225" s="2"/>
        <tr r="AU225" s="2"/>
        <tr r="AU225" s="2"/>
      </tp>
      <tp>
        <v>1995680.72</v>
        <stp/>
        <stp>##V3_BDPV12</stp>
        <stp>GOOGL US Equity</stp>
        <stp>CRNCY_ADJ_MKT_CAP</stp>
        <stp>[DPM - Securities Master List (BBG Linked).xlsx]Equities!R133C9</stp>
        <stp>EQY_FUND_CRNCY=USD</stp>
        <tr r="I133" s="2"/>
      </tp>
      <tp>
        <v>1995680.72</v>
        <stp/>
        <stp>##V3_BDPV12</stp>
        <stp>GOOGL US Equity</stp>
        <stp>CRNCY_ADJ_MKT_CAP</stp>
        <stp>[DPM - Securities Master List (BBG Linked).xlsx]Equities!R132C9</stp>
        <stp>EQY_FUND_CRNCY=USD</stp>
        <tr r="I132" s="2"/>
      </tp>
      <tp>
        <v>1995680.72</v>
        <stp/>
        <stp>##V3_BDPV12</stp>
        <stp>GOOGL US Equity</stp>
        <stp>CRNCY_ADJ_MKT_CAP</stp>
        <stp>[DPM - Securities Master List (BBG Linked).xlsx]Equities!R131C9</stp>
        <stp>EQY_FUND_CRNCY=USD</stp>
        <tr r="I131" s="2"/>
      </tp>
      <tp>
        <v>1995680.72</v>
        <stp/>
        <stp>##V3_BDPV12</stp>
        <stp>GOOGL US Equity</stp>
        <stp>CRNCY_ADJ_MKT_CAP</stp>
        <stp>[DPM - Securities Master List (BBG Linked).xlsx]Equities!R130C9</stp>
        <stp>EQY_FUND_CRNCY=USD</stp>
        <tr r="I130" s="2"/>
      </tp>
      <tp t="s">
        <v>GBp</v>
        <stp/>
        <stp>##V3_BDPV12</stp>
        <stp>TSCO LN Equity</stp>
        <stp>CRNCY</stp>
        <stp>[DPM - Securities Master List (BBG Linked).xlsx]Equities!R268C6</stp>
        <tr r="F268" s="2"/>
      </tp>
      <tp t="s">
        <v>Health Care</v>
        <stp/>
        <stp>##V3_BDPV12</stp>
        <stp>BMRN US Equity</stp>
        <stp>DX202</stp>
        <stp>[DPM - Securities Master List (BBG Linked).xlsx]Equities!R75C46</stp>
        <tr r="AT75" s="2"/>
        <tr r="AT75" s="2"/>
        <tr r="AT75" s="2"/>
      </tp>
      <tp t="s">
        <v>Health Care</v>
        <stp/>
        <stp>##V3_BDPV12</stp>
        <stp>BMRN US Equity</stp>
        <stp>DX202</stp>
        <stp>[DPM - Securities Master List (BBG Linked).xlsx]Equities!R74C46</stp>
        <tr r="AT74" s="2"/>
        <tr r="AT74" s="2"/>
        <tr r="AT74" s="2"/>
      </tp>
      <tp t="s">
        <v>Health Care</v>
        <stp/>
        <stp>##V3_BDPV12</stp>
        <stp>BMRN US Equity</stp>
        <stp>DX202</stp>
        <stp>[DPM - Securities Master List (BBG Linked).xlsx]Equities!R73C46</stp>
        <tr r="AT73" s="2"/>
        <tr r="AT73" s="2"/>
        <tr r="AT73" s="2"/>
      </tp>
      <tp t="s">
        <v>Health Care</v>
        <stp/>
        <stp>##V3_BDPV12</stp>
        <stp>BMRN US Equity</stp>
        <stp>DX202</stp>
        <stp>[DPM - Securities Master List (BBG Linked).xlsx]Equities!R72C46</stp>
        <tr r="AT72" s="2"/>
        <tr r="AT72" s="2"/>
        <tr r="AT72" s="2"/>
      </tp>
      <tp t="s">
        <v>Health Care</v>
        <stp/>
        <stp>##V3_BDPV12</stp>
        <stp>BMRN US Equity</stp>
        <stp>DX202</stp>
        <stp>[DPM - Securities Master List (BBG Linked).xlsx]Equities!R71C46</stp>
        <tr r="AT71" s="2"/>
        <tr r="AT71" s="2"/>
        <tr r="AT71" s="2"/>
      </tp>
      <tp t="s">
        <v>Health Care</v>
        <stp/>
        <stp>##V3_BDPV12</stp>
        <stp>BMRN US Equity</stp>
        <stp>DX202</stp>
        <stp>[DPM - Securities Master List (BBG Linked).xlsx]Equities!R70C46</stp>
        <tr r="AT70" s="2"/>
        <tr r="AT70" s="2"/>
        <tr r="AT70" s="2"/>
      </tp>
      <tp t="s">
        <v>Health Care</v>
        <stp/>
        <stp>##V3_BDPV12</stp>
        <stp>BMRN US Equity</stp>
        <stp>DX202</stp>
        <stp>[DPM - Securities Master List (BBG Linked).xlsx]Equities!R67C46</stp>
        <tr r="AT67" s="2"/>
        <tr r="AT67" s="2"/>
        <tr r="AT67" s="2"/>
      </tp>
      <tp t="s">
        <v>Health Care</v>
        <stp/>
        <stp>##V3_BDPV12</stp>
        <stp>BMRN US Equity</stp>
        <stp>DX202</stp>
        <stp>[DPM - Securities Master List (BBG Linked).xlsx]Equities!R66C46</stp>
        <tr r="AT66" s="2"/>
        <tr r="AT66" s="2"/>
        <tr r="AT66" s="2"/>
      </tp>
      <tp t="s">
        <v>Health Care</v>
        <stp/>
        <stp>##V3_BDPV12</stp>
        <stp>BMRN US Equity</stp>
        <stp>DX202</stp>
        <stp>[DPM - Securities Master List (BBG Linked).xlsx]Equities!R65C46</stp>
        <tr r="AT65" s="2"/>
        <tr r="AT65" s="2"/>
        <tr r="AT65" s="2"/>
      </tp>
      <tp t="s">
        <v>Health Care</v>
        <stp/>
        <stp>##V3_BDPV12</stp>
        <stp>BMRN US Equity</stp>
        <stp>DX202</stp>
        <stp>[DPM - Securities Master List (BBG Linked).xlsx]Equities!R64C46</stp>
        <tr r="AT64" s="2"/>
        <tr r="AT64" s="2"/>
        <tr r="AT64" s="2"/>
      </tp>
      <tp t="s">
        <v>Health Care</v>
        <stp/>
        <stp>##V3_BDPV12</stp>
        <stp>BMRN US Equity</stp>
        <stp>DX202</stp>
        <stp>[DPM - Securities Master List (BBG Linked).xlsx]Equities!R63C46</stp>
        <tr r="AT63" s="2"/>
        <tr r="AT63" s="2"/>
        <tr r="AT63" s="2"/>
      </tp>
      <tp t="s">
        <v>Health Care</v>
        <stp/>
        <stp>##V3_BDPV12</stp>
        <stp>BMRN US Equity</stp>
        <stp>DX202</stp>
        <stp>[DPM - Securities Master List (BBG Linked).xlsx]Equities!R69C46</stp>
        <tr r="AT69" s="2"/>
        <tr r="AT69" s="2"/>
        <tr r="AT69" s="2"/>
      </tp>
      <tp t="s">
        <v>Health Care</v>
        <stp/>
        <stp>##V3_BDPV12</stp>
        <stp>BMRN US Equity</stp>
        <stp>DX202</stp>
        <stp>[DPM - Securities Master List (BBG Linked).xlsx]Equities!R68C46</stp>
        <tr r="AT68" s="2"/>
        <tr r="AT68" s="2"/>
        <tr r="AT68" s="2"/>
      </tp>
      <tp t="s">
        <v>CHF</v>
        <stp/>
        <stp>##V3_BDPV12</stp>
        <stp>NESN SW Equity</stp>
        <stp>CRNCY</stp>
        <stp>[DPM - Securities Master List (BBG Linked).xlsx]Equities!R201C6</stp>
        <tr r="F201" s="2"/>
      </tp>
      <tp>
        <v>4.5862069129943848</v>
        <stp/>
        <stp>##V3_BDPV12</stp>
        <stp>BMRN US Equity</stp>
        <stp>EE201</stp>
        <stp>[DPM - Securities Master List (BBG Linked).xlsx]Equities!R68C37</stp>
        <tr r="AK68" s="2"/>
        <tr r="AK68" s="2"/>
        <tr r="AK68" s="2"/>
      </tp>
      <tp>
        <v>4.5862069129943848</v>
        <stp/>
        <stp>##V3_BDPV12</stp>
        <stp>BMRN US Equity</stp>
        <stp>EE201</stp>
        <stp>[DPM - Securities Master List (BBG Linked).xlsx]Equities!R69C37</stp>
        <tr r="AK69" s="2"/>
        <tr r="AK69" s="2"/>
        <tr r="AK69" s="2"/>
      </tp>
      <tp>
        <v>4.5862069129943848</v>
        <stp/>
        <stp>##V3_BDPV12</stp>
        <stp>BMRN US Equity</stp>
        <stp>EE201</stp>
        <stp>[DPM - Securities Master List (BBG Linked).xlsx]Equities!R63C37</stp>
        <tr r="AK63" s="2"/>
        <tr r="AK63" s="2"/>
        <tr r="AK63" s="2"/>
      </tp>
      <tp>
        <v>4.5862069129943848</v>
        <stp/>
        <stp>##V3_BDPV12</stp>
        <stp>BMRN US Equity</stp>
        <stp>EE201</stp>
        <stp>[DPM - Securities Master List (BBG Linked).xlsx]Equities!R66C37</stp>
        <tr r="AK66" s="2"/>
        <tr r="AK66" s="2"/>
        <tr r="AK66" s="2"/>
      </tp>
      <tp>
        <v>4.5862069129943848</v>
        <stp/>
        <stp>##V3_BDPV12</stp>
        <stp>BMRN US Equity</stp>
        <stp>EE201</stp>
        <stp>[DPM - Securities Master List (BBG Linked).xlsx]Equities!R67C37</stp>
        <tr r="AK67" s="2"/>
        <tr r="AK67" s="2"/>
        <tr r="AK67" s="2"/>
      </tp>
      <tp>
        <v>4.5862069129943848</v>
        <stp/>
        <stp>##V3_BDPV12</stp>
        <stp>BMRN US Equity</stp>
        <stp>EE201</stp>
        <stp>[DPM - Securities Master List (BBG Linked).xlsx]Equities!R64C37</stp>
        <tr r="AK64" s="2"/>
        <tr r="AK64" s="2"/>
        <tr r="AK64" s="2"/>
      </tp>
      <tp>
        <v>4.5862069129943848</v>
        <stp/>
        <stp>##V3_BDPV12</stp>
        <stp>BMRN US Equity</stp>
        <stp>EE201</stp>
        <stp>[DPM - Securities Master List (BBG Linked).xlsx]Equities!R65C37</stp>
        <tr r="AK65" s="2"/>
        <tr r="AK65" s="2"/>
        <tr r="AK65" s="2"/>
      </tp>
      <tp>
        <v>4.5862069129943848</v>
        <stp/>
        <stp>##V3_BDPV12</stp>
        <stp>BMRN US Equity</stp>
        <stp>EE201</stp>
        <stp>[DPM - Securities Master List (BBG Linked).xlsx]Equities!R72C37</stp>
        <tr r="AK72" s="2"/>
        <tr r="AK72" s="2"/>
        <tr r="AK72" s="2"/>
      </tp>
      <tp>
        <v>4.5862069129943848</v>
        <stp/>
        <stp>##V3_BDPV12</stp>
        <stp>BMRN US Equity</stp>
        <stp>EE201</stp>
        <stp>[DPM - Securities Master List (BBG Linked).xlsx]Equities!R73C37</stp>
        <tr r="AK73" s="2"/>
        <tr r="AK73" s="2"/>
        <tr r="AK73" s="2"/>
      </tp>
      <tp>
        <v>4.5862069129943848</v>
        <stp/>
        <stp>##V3_BDPV12</stp>
        <stp>BMRN US Equity</stp>
        <stp>EE201</stp>
        <stp>[DPM - Securities Master List (BBG Linked).xlsx]Equities!R70C37</stp>
        <tr r="AK70" s="2"/>
        <tr r="AK70" s="2"/>
        <tr r="AK70" s="2"/>
      </tp>
      <tp>
        <v>4.5862069129943848</v>
        <stp/>
        <stp>##V3_BDPV12</stp>
        <stp>BMRN US Equity</stp>
        <stp>EE201</stp>
        <stp>[DPM - Securities Master List (BBG Linked).xlsx]Equities!R71C37</stp>
        <tr r="AK71" s="2"/>
        <tr r="AK71" s="2"/>
        <tr r="AK71" s="2"/>
      </tp>
      <tp>
        <v>4.5862069129943848</v>
        <stp/>
        <stp>##V3_BDPV12</stp>
        <stp>BMRN US Equity</stp>
        <stp>EE201</stp>
        <stp>[DPM - Securities Master List (BBG Linked).xlsx]Equities!R74C37</stp>
        <tr r="AK74" s="2"/>
        <tr r="AK74" s="2"/>
        <tr r="AK74" s="2"/>
      </tp>
      <tp>
        <v>4.5862069129943848</v>
        <stp/>
        <stp>##V3_BDPV12</stp>
        <stp>BMRN US Equity</stp>
        <stp>EE201</stp>
        <stp>[DPM - Securities Master List (BBG Linked).xlsx]Equities!R75C37</stp>
        <tr r="AK75" s="2"/>
        <tr r="AK75" s="2"/>
        <tr r="AK75" s="2"/>
      </tp>
      <tp t="s">
        <v>USD</v>
        <stp/>
        <stp>##V3_BDPV12</stp>
        <stp>DELL US Equity</stp>
        <stp>CRNCY</stp>
        <stp>[DPM - Securities Master List (BBG Linked).xlsx]Equities!R107C6</stp>
        <tr r="F107" s="2"/>
      </tp>
      <tp t="s">
        <v>Microsoft Corp</v>
        <stp/>
        <stp>##V3_BDPV12</stp>
        <stp>MSFT US Equity</stp>
        <stp>SECURITY NAME</stp>
        <stp>[DPM - Securities Master List (BBG Linked).xlsx]Equities!R179C5</stp>
        <tr r="E179" s="2"/>
      </tp>
      <tp>
        <v>87.8</v>
        <stp/>
        <stp>##V3_BDPV12</stp>
        <stp>9888 HK Equity</stp>
        <stp>PX_LAST</stp>
        <stp>[DPM - Securities Master List (BBG Linked).xlsx]Equities!R19C17</stp>
        <tr r="Q19" s="2"/>
      </tp>
      <tp>
        <v>87.8</v>
        <stp/>
        <stp>##V3_BDPV12</stp>
        <stp>9888 HK Equity</stp>
        <stp>PX_LAST</stp>
        <stp>[DPM - Securities Master List (BBG Linked).xlsx]Equities!R18C17</stp>
        <tr r="Q18" s="2"/>
      </tp>
      <tp>
        <v>87.8</v>
        <stp/>
        <stp>##V3_BDPV12</stp>
        <stp>9888 HK Equity</stp>
        <stp>PX_LAST</stp>
        <stp>[DPM - Securities Master List (BBG Linked).xlsx]Equities!R17C17</stp>
        <tr r="Q17" s="2"/>
      </tp>
      <tp>
        <v>87.8</v>
        <stp/>
        <stp>##V3_BDPV12</stp>
        <stp>9888 HK Equity</stp>
        <stp>PX_LAST</stp>
        <stp>[DPM - Securities Master List (BBG Linked).xlsx]Equities!R16C17</stp>
        <tr r="Q16" s="2"/>
      </tp>
      <tp>
        <v>87.8</v>
        <stp/>
        <stp>##V3_BDPV12</stp>
        <stp>9888 HK Equity</stp>
        <stp>PX_LAST</stp>
        <stp>[DPM - Securities Master List (BBG Linked).xlsx]Equities!R15C17</stp>
        <tr r="Q15" s="2"/>
      </tp>
      <tp>
        <v>87.8</v>
        <stp/>
        <stp>##V3_BDPV12</stp>
        <stp>9888 HK Equity</stp>
        <stp>PX_LAST</stp>
        <stp>[DPM - Securities Master List (BBG Linked).xlsx]Equities!R27C17</stp>
        <tr r="Q27" s="2"/>
      </tp>
      <tp>
        <v>87.8</v>
        <stp/>
        <stp>##V3_BDPV12</stp>
        <stp>9888 HK Equity</stp>
        <stp>PX_LAST</stp>
        <stp>[DPM - Securities Master List (BBG Linked).xlsx]Equities!R26C17</stp>
        <tr r="Q26" s="2"/>
      </tp>
      <tp>
        <v>87.8</v>
        <stp/>
        <stp>##V3_BDPV12</stp>
        <stp>9888 HK Equity</stp>
        <stp>PX_LAST</stp>
        <stp>[DPM - Securities Master List (BBG Linked).xlsx]Equities!R25C17</stp>
        <tr r="Q25" s="2"/>
      </tp>
      <tp>
        <v>87.8</v>
        <stp/>
        <stp>##V3_BDPV12</stp>
        <stp>9888 HK Equity</stp>
        <stp>PX_LAST</stp>
        <stp>[DPM - Securities Master List (BBG Linked).xlsx]Equities!R24C17</stp>
        <tr r="Q24" s="2"/>
      </tp>
      <tp>
        <v>87.8</v>
        <stp/>
        <stp>##V3_BDPV12</stp>
        <stp>9888 HK Equity</stp>
        <stp>PX_LAST</stp>
        <stp>[DPM - Securities Master List (BBG Linked).xlsx]Equities!R23C17</stp>
        <tr r="Q23" s="2"/>
      </tp>
      <tp>
        <v>87.8</v>
        <stp/>
        <stp>##V3_BDPV12</stp>
        <stp>9888 HK Equity</stp>
        <stp>PX_LAST</stp>
        <stp>[DPM - Securities Master List (BBG Linked).xlsx]Equities!R22C17</stp>
        <tr r="Q22" s="2"/>
      </tp>
      <tp>
        <v>87.8</v>
        <stp/>
        <stp>##V3_BDPV12</stp>
        <stp>9888 HK Equity</stp>
        <stp>PX_LAST</stp>
        <stp>[DPM - Securities Master List (BBG Linked).xlsx]Equities!R21C17</stp>
        <tr r="Q21" s="2"/>
      </tp>
      <tp>
        <v>87.8</v>
        <stp/>
        <stp>##V3_BDPV12</stp>
        <stp>9888 HK Equity</stp>
        <stp>PX_LAST</stp>
        <stp>[DPM - Securities Master List (BBG Linked).xlsx]Equities!R20C17</stp>
        <tr r="Q20" s="2"/>
      </tp>
      <tp>
        <v>55308.670110187406</v>
        <stp/>
        <stp>##V3_BDPV12</stp>
        <stp>VOW3 GY Equity</stp>
        <stp>CRNCY_ADJ_MKT_CAP</stp>
        <stp>[DPM - Securities Master List (BBG Linked).xlsx]Equities!R291C9</stp>
        <stp>EQY_FUND_CRNCY=USD</stp>
        <tr r="I291" s="2"/>
      </tp>
      <tp>
        <v>55308.670110187406</v>
        <stp/>
        <stp>##V3_BDPV12</stp>
        <stp>VOW3 GY Equity</stp>
        <stp>CRNCY_ADJ_MKT_CAP</stp>
        <stp>[DPM - Securities Master List (BBG Linked).xlsx]Equities!R290C9</stp>
        <stp>EQY_FUND_CRNCY=USD</stp>
        <tr r="I290" s="2"/>
      </tp>
      <tp>
        <v>55308.670110187406</v>
        <stp/>
        <stp>##V3_BDPV12</stp>
        <stp>VOW3 GY Equity</stp>
        <stp>CRNCY_ADJ_MKT_CAP</stp>
        <stp>[DPM - Securities Master List (BBG Linked).xlsx]Equities!R293C9</stp>
        <stp>EQY_FUND_CRNCY=USD</stp>
        <tr r="I293" s="2"/>
      </tp>
      <tp>
        <v>55308.670110187406</v>
        <stp/>
        <stp>##V3_BDPV12</stp>
        <stp>VOW3 GY Equity</stp>
        <stp>CRNCY_ADJ_MKT_CAP</stp>
        <stp>[DPM - Securities Master List (BBG Linked).xlsx]Equities!R292C9</stp>
        <stp>EQY_FUND_CRNCY=USD</stp>
        <tr r="I292" s="2"/>
      </tp>
      <tp>
        <v>7.7829626530082576</v>
        <stp/>
        <stp>##V3_BDPV12</stp>
        <stp>REGN Equity</stp>
        <stp>RR041</stp>
        <stp>[DPM - Securities Master List (BBG Linked).xlsx]Equities!R240C33</stp>
        <tr r="AG240" s="2"/>
        <tr r="AG240" s="2"/>
        <tr r="AG240" s="2"/>
      </tp>
      <tp t="s">
        <v>NIKE Inc</v>
        <stp/>
        <stp>##V3_BDPV12</stp>
        <stp>NKE US Equity</stp>
        <stp>SECURITY NAME</stp>
        <stp>[DPM - Securities Master List (BBG Linked).xlsx]Equities!R216C5</stp>
        <tr r="E216" s="2"/>
      </tp>
      <tp t="s">
        <v>NIO Inc</v>
        <stp/>
        <stp>##V3_BDPV12</stp>
        <stp>NIO US Equity</stp>
        <stp>SECURITY NAME</stp>
        <stp>[DPM - Securities Master List (BBG Linked).xlsx]Equities!R206C5</stp>
        <tr r="E206" s="2"/>
      </tp>
      <tp t="s">
        <v>SSE PLC</v>
        <stp/>
        <stp>##V3_BDPV12</stp>
        <stp>SSE LN Equity</stp>
        <stp>SECURITY NAME</stp>
        <stp>[DPM - Securities Master List (BBG Linked).xlsx]Equities!R252C5</stp>
        <tr r="E252" s="2"/>
      </tp>
      <tp t="s">
        <v>USD</v>
        <stp/>
        <stp>##V3_BDPV12</stp>
        <stp>PEP US Equity</stp>
        <stp>CRNCY</stp>
        <stp>[DPM - Securities Master List (BBG Linked).xlsx]Equities!R230C6</stp>
        <tr r="F230" s="2"/>
      </tp>
      <tp t="s">
        <v>Medtronic PLC</v>
        <stp/>
        <stp>##V3_BDPV12</stp>
        <stp>MDT US Equity</stp>
        <stp>SECURITY NAME</stp>
        <stp>[DPM - Securities Master List (BBG Linked).xlsx]Equities!R155C5</stp>
        <tr r="E155" s="2"/>
      </tp>
      <tp t="s">
        <v>Merck &amp; Co Inc</v>
        <stp/>
        <stp>##V3_BDPV12</stp>
        <stp>MRK US Equity</stp>
        <stp>SECURITY NAME</stp>
        <stp>[DPM - Securities Master List (BBG Linked).xlsx]Equities!R165C5</stp>
        <tr r="E165" s="2"/>
      </tp>
      <tp t="s">
        <v>Southwest Airlines Co</v>
        <stp/>
        <stp>##V3_BDPV12</stp>
        <stp>LUV US Equity</stp>
        <stp>SECURITY NAME</stp>
        <stp>[DPM - Securities Master List (BBG Linked).xlsx]Equities!R154C5</stp>
        <tr r="E154" s="2"/>
      </tp>
      <tp>
        <v>47.281963319699166</v>
        <stp/>
        <stp>##V3_BDPV12</stp>
        <stp>DGE LN Equity</stp>
        <stp>RR041</stp>
        <stp>[DPM - Securities Master List (BBG Linked).xlsx]Equities!R108C33</stp>
        <tr r="AG108" s="2"/>
        <tr r="AG108" s="2"/>
        <tr r="AG108" s="2"/>
      </tp>
      <tp>
        <v>47.281963319699166</v>
        <stp/>
        <stp>##V3_BDPV12</stp>
        <stp>DGE LN Equity</stp>
        <stp>RR041</stp>
        <stp>[DPM - Securities Master List (BBG Linked).xlsx]Equities!R109C33</stp>
        <tr r="AG109" s="2"/>
        <tr r="AG109" s="2"/>
        <tr r="AG109" s="2"/>
      </tp>
      <tp>
        <v>47.281963319699166</v>
        <stp/>
        <stp>##V3_BDPV12</stp>
        <stp>DGE LN Equity</stp>
        <stp>RR041</stp>
        <stp>[DPM - Securities Master List (BBG Linked).xlsx]Equities!R110C33</stp>
        <tr r="AG110" s="2"/>
        <tr r="AG110" s="2"/>
        <tr r="AG110" s="2"/>
      </tp>
      <tp>
        <v>47.281963319699166</v>
        <stp/>
        <stp>##V3_BDPV12</stp>
        <stp>DGE LN Equity</stp>
        <stp>RR041</stp>
        <stp>[DPM - Securities Master List (BBG Linked).xlsx]Equities!R111C33</stp>
        <tr r="AG111" s="2"/>
        <tr r="AG111" s="2"/>
        <tr r="AG111" s="2"/>
      </tp>
      <tp t="s">
        <v>Y</v>
        <stp/>
        <stp>##V3_BDPV12</stp>
        <stp>TTE FP Equity</stp>
        <stp>DY997</stp>
        <stp>[DPM - Securities Master List (BBG Linked).xlsx]Equities!R288C47</stp>
        <tr r="AU288" s="2"/>
        <tr r="AU288" s="2"/>
        <tr r="AU288" s="2"/>
      </tp>
      <tp t="s">
        <v>Y</v>
        <stp/>
        <stp>##V3_BDPV12</stp>
        <stp>TTE FP Equity</stp>
        <stp>DY997</stp>
        <stp>[DPM - Securities Master List (BBG Linked).xlsx]Equities!R285C47</stp>
        <tr r="AU285" s="2"/>
        <tr r="AU285" s="2"/>
        <tr r="AU285" s="2"/>
      </tp>
      <tp t="s">
        <v>Y</v>
        <stp/>
        <stp>##V3_BDPV12</stp>
        <stp>TTE FP Equity</stp>
        <stp>DY997</stp>
        <stp>[DPM - Securities Master List (BBG Linked).xlsx]Equities!R284C47</stp>
        <tr r="AU284" s="2"/>
        <tr r="AU284" s="2"/>
        <tr r="AU284" s="2"/>
      </tp>
      <tp t="s">
        <v>Y</v>
        <stp/>
        <stp>##V3_BDPV12</stp>
        <stp>TTE FP Equity</stp>
        <stp>DY997</stp>
        <stp>[DPM - Securities Master List (BBG Linked).xlsx]Equities!R287C47</stp>
        <tr r="AU287" s="2"/>
        <tr r="AU287" s="2"/>
        <tr r="AU287" s="2"/>
      </tp>
      <tp t="s">
        <v>Y</v>
        <stp/>
        <stp>##V3_BDPV12</stp>
        <stp>TTE FP Equity</stp>
        <stp>DY997</stp>
        <stp>[DPM - Securities Master List (BBG Linked).xlsx]Equities!R286C47</stp>
        <tr r="AU286" s="2"/>
        <tr r="AU286" s="2"/>
        <tr r="AU286" s="2"/>
      </tp>
      <tp t="s">
        <v>Y</v>
        <stp/>
        <stp>##V3_BDPV12</stp>
        <stp>TTE FP Equity</stp>
        <stp>DY997</stp>
        <stp>[DPM - Securities Master List (BBG Linked).xlsx]Equities!R281C47</stp>
        <tr r="AU281" s="2"/>
        <tr r="AU281" s="2"/>
        <tr r="AU281" s="2"/>
      </tp>
      <tp t="s">
        <v>Y</v>
        <stp/>
        <stp>##V3_BDPV12</stp>
        <stp>TTE FP Equity</stp>
        <stp>DY997</stp>
        <stp>[DPM - Securities Master List (BBG Linked).xlsx]Equities!R280C47</stp>
        <tr r="AU280" s="2"/>
        <tr r="AU280" s="2"/>
        <tr r="AU280" s="2"/>
      </tp>
      <tp t="s">
        <v>Y</v>
        <stp/>
        <stp>##V3_BDPV12</stp>
        <stp>TTE FP Equity</stp>
        <stp>DY997</stp>
        <stp>[DPM - Securities Master List (BBG Linked).xlsx]Equities!R283C47</stp>
        <tr r="AU283" s="2"/>
        <tr r="AU283" s="2"/>
        <tr r="AU283" s="2"/>
      </tp>
      <tp t="s">
        <v>Y</v>
        <stp/>
        <stp>##V3_BDPV12</stp>
        <stp>TTE FP Equity</stp>
        <stp>DY997</stp>
        <stp>[DPM - Securities Master List (BBG Linked).xlsx]Equities!R282C47</stp>
        <tr r="AU282" s="2"/>
        <tr r="AU282" s="2"/>
        <tr r="AU282" s="2"/>
      </tp>
      <tp t="s">
        <v>Y</v>
        <stp/>
        <stp>##V3_BDPV12</stp>
        <stp>TTE FP Equity</stp>
        <stp>DY997</stp>
        <stp>[DPM - Securities Master List (BBG Linked).xlsx]Equities!R279C47</stp>
        <tr r="AU279" s="2"/>
        <tr r="AU279" s="2"/>
        <tr r="AU279" s="2"/>
      </tp>
      <tp t="s">
        <v>Y</v>
        <stp/>
        <stp>##V3_BDPV12</stp>
        <stp>TTE FP Equity</stp>
        <stp>DY997</stp>
        <stp>[DPM - Securities Master List (BBG Linked).xlsx]Equities!R278C47</stp>
        <tr r="AU278" s="2"/>
        <tr r="AU278" s="2"/>
        <tr r="AU278" s="2"/>
      </tp>
      <tp t="s">
        <v>Y</v>
        <stp/>
        <stp>##V3_BDPV12</stp>
        <stp>TTE FP Equity</stp>
        <stp>DY997</stp>
        <stp>[DPM - Securities Master List (BBG Linked).xlsx]Equities!R277C47</stp>
        <tr r="AU277" s="2"/>
        <tr r="AU277" s="2"/>
        <tr r="AU277" s="2"/>
      </tp>
      <tp t="s">
        <v>Y</v>
        <stp/>
        <stp>##V3_BDPV12</stp>
        <stp>TTE FP Equity</stp>
        <stp>DY997</stp>
        <stp>[DPM - Securities Master List (BBG Linked).xlsx]Equities!R276C47</stp>
        <tr r="AU276" s="2"/>
        <tr r="AU276" s="2"/>
        <tr r="AU276" s="2"/>
      </tp>
      <tp>
        <v>-4.116625</v>
        <stp/>
        <stp>##V3_BDPV12</stp>
        <stp>BMRN US Equity</stp>
        <stp>CHG_PCT_5D</stp>
        <stp>[DPM - Securities Master List (BBG Linked).xlsx]Equities!R75C23</stp>
        <tr r="W75" s="2"/>
      </tp>
      <tp>
        <v>-4.116625</v>
        <stp/>
        <stp>##V3_BDPV12</stp>
        <stp>BMRN US Equity</stp>
        <stp>CHG_PCT_5D</stp>
        <stp>[DPM - Securities Master List (BBG Linked).xlsx]Equities!R74C23</stp>
        <tr r="W74" s="2"/>
      </tp>
      <tp>
        <v>-4.116625</v>
        <stp/>
        <stp>##V3_BDPV12</stp>
        <stp>BMRN US Equity</stp>
        <stp>CHG_PCT_5D</stp>
        <stp>[DPM - Securities Master List (BBG Linked).xlsx]Equities!R71C23</stp>
        <tr r="W71" s="2"/>
      </tp>
      <tp>
        <v>-4.116625</v>
        <stp/>
        <stp>##V3_BDPV12</stp>
        <stp>BMRN US Equity</stp>
        <stp>CHG_PCT_5D</stp>
        <stp>[DPM - Securities Master List (BBG Linked).xlsx]Equities!R70C23</stp>
        <tr r="W70" s="2"/>
      </tp>
      <tp>
        <v>-4.116625</v>
        <stp/>
        <stp>##V3_BDPV12</stp>
        <stp>BMRN US Equity</stp>
        <stp>CHG_PCT_5D</stp>
        <stp>[DPM - Securities Master List (BBG Linked).xlsx]Equities!R73C23</stp>
        <tr r="W73" s="2"/>
      </tp>
      <tp>
        <v>-4.116625</v>
        <stp/>
        <stp>##V3_BDPV12</stp>
        <stp>BMRN US Equity</stp>
        <stp>CHG_PCT_5D</stp>
        <stp>[DPM - Securities Master List (BBG Linked).xlsx]Equities!R72C23</stp>
        <tr r="W72" s="2"/>
      </tp>
      <tp>
        <v>-4.116625</v>
        <stp/>
        <stp>##V3_BDPV12</stp>
        <stp>BMRN US Equity</stp>
        <stp>CHG_PCT_5D</stp>
        <stp>[DPM - Securities Master List (BBG Linked).xlsx]Equities!R69C23</stp>
        <tr r="W69" s="2"/>
      </tp>
      <tp>
        <v>-4.116625</v>
        <stp/>
        <stp>##V3_BDPV12</stp>
        <stp>BMRN US Equity</stp>
        <stp>CHG_PCT_5D</stp>
        <stp>[DPM - Securities Master List (BBG Linked).xlsx]Equities!R68C23</stp>
        <tr r="W68" s="2"/>
      </tp>
      <tp>
        <v>-4.116625</v>
        <stp/>
        <stp>##V3_BDPV12</stp>
        <stp>BMRN US Equity</stp>
        <stp>CHG_PCT_5D</stp>
        <stp>[DPM - Securities Master List (BBG Linked).xlsx]Equities!R65C23</stp>
        <tr r="W65" s="2"/>
      </tp>
      <tp>
        <v>-4.116625</v>
        <stp/>
        <stp>##V3_BDPV12</stp>
        <stp>BMRN US Equity</stp>
        <stp>CHG_PCT_5D</stp>
        <stp>[DPM - Securities Master List (BBG Linked).xlsx]Equities!R64C23</stp>
        <tr r="W64" s="2"/>
      </tp>
      <tp>
        <v>-4.116625</v>
        <stp/>
        <stp>##V3_BDPV12</stp>
        <stp>BMRN US Equity</stp>
        <stp>CHG_PCT_5D</stp>
        <stp>[DPM - Securities Master List (BBG Linked).xlsx]Equities!R67C23</stp>
        <tr r="W67" s="2"/>
      </tp>
      <tp>
        <v>-4.116625</v>
        <stp/>
        <stp>##V3_BDPV12</stp>
        <stp>BMRN US Equity</stp>
        <stp>CHG_PCT_5D</stp>
        <stp>[DPM - Securities Master List (BBG Linked).xlsx]Equities!R66C23</stp>
        <tr r="W66" s="2"/>
      </tp>
      <tp>
        <v>-4.116625</v>
        <stp/>
        <stp>##V3_BDPV12</stp>
        <stp>BMRN US Equity</stp>
        <stp>CHG_PCT_5D</stp>
        <stp>[DPM - Securities Master List (BBG Linked).xlsx]Equities!R63C23</stp>
        <tr r="W63" s="2"/>
      </tp>
      <tp>
        <v>1995680.72</v>
        <stp/>
        <stp>##V3_BDPV12</stp>
        <stp>GOOGL US Equity</stp>
        <stp>CRNCY_ADJ_MKT_CAP</stp>
        <stp>[DPM - Securities Master List (BBG Linked).xlsx]Equities!R129C9</stp>
        <stp>EQY_FUND_CRNCY=USD</stp>
        <tr r="I129" s="2"/>
      </tp>
      <tp t="s">
        <v>Consumer Discretionary</v>
        <stp/>
        <stp>##V3_BDPV12</stp>
        <stp>2020 HK Equity</stp>
        <stp>DX202</stp>
        <stp>[DPM - Securities Master List (BBG Linked).xlsx]Equities!R4C8</stp>
        <tr r="H4" s="2"/>
        <tr r="H4" s="2"/>
        <tr r="H4" s="2"/>
      </tp>
      <tp>
        <v>-2.2317109999999998</v>
        <stp/>
        <stp>##V3_BDPV12</stp>
        <stp>BMRN US Equity</stp>
        <stp>CHG_PCT_1D</stp>
        <stp>[DPM - Securities Master List (BBG Linked).xlsx]Equities!R69C22</stp>
        <tr r="V69" s="2"/>
      </tp>
      <tp>
        <v>-2.2317109999999998</v>
        <stp/>
        <stp>##V3_BDPV12</stp>
        <stp>BMRN US Equity</stp>
        <stp>CHG_PCT_1D</stp>
        <stp>[DPM - Securities Master List (BBG Linked).xlsx]Equities!R68C22</stp>
        <tr r="V68" s="2"/>
      </tp>
      <tp>
        <v>-2.2317109999999998</v>
        <stp/>
        <stp>##V3_BDPV12</stp>
        <stp>BMRN US Equity</stp>
        <stp>CHG_PCT_1D</stp>
        <stp>[DPM - Securities Master List (BBG Linked).xlsx]Equities!R65C22</stp>
        <tr r="V65" s="2"/>
      </tp>
      <tp>
        <v>-2.2317109999999998</v>
        <stp/>
        <stp>##V3_BDPV12</stp>
        <stp>BMRN US Equity</stp>
        <stp>CHG_PCT_1D</stp>
        <stp>[DPM - Securities Master List (BBG Linked).xlsx]Equities!R64C22</stp>
        <tr r="V64" s="2"/>
      </tp>
      <tp>
        <v>-2.2317109999999998</v>
        <stp/>
        <stp>##V3_BDPV12</stp>
        <stp>BMRN US Equity</stp>
        <stp>CHG_PCT_1D</stp>
        <stp>[DPM - Securities Master List (BBG Linked).xlsx]Equities!R67C22</stp>
        <tr r="V67" s="2"/>
      </tp>
      <tp>
        <v>-2.2317109999999998</v>
        <stp/>
        <stp>##V3_BDPV12</stp>
        <stp>BMRN US Equity</stp>
        <stp>CHG_PCT_1D</stp>
        <stp>[DPM - Securities Master List (BBG Linked).xlsx]Equities!R66C22</stp>
        <tr r="V66" s="2"/>
      </tp>
      <tp>
        <v>-2.2317109999999998</v>
        <stp/>
        <stp>##V3_BDPV12</stp>
        <stp>BMRN US Equity</stp>
        <stp>CHG_PCT_1D</stp>
        <stp>[DPM - Securities Master List (BBG Linked).xlsx]Equities!R63C22</stp>
        <tr r="V63" s="2"/>
      </tp>
      <tp>
        <v>-2.2317109999999998</v>
        <stp/>
        <stp>##V3_BDPV12</stp>
        <stp>BMRN US Equity</stp>
        <stp>CHG_PCT_1D</stp>
        <stp>[DPM - Securities Master List (BBG Linked).xlsx]Equities!R75C22</stp>
        <tr r="V75" s="2"/>
      </tp>
      <tp>
        <v>-2.2317109999999998</v>
        <stp/>
        <stp>##V3_BDPV12</stp>
        <stp>BMRN US Equity</stp>
        <stp>CHG_PCT_1D</stp>
        <stp>[DPM - Securities Master List (BBG Linked).xlsx]Equities!R74C22</stp>
        <tr r="V74" s="2"/>
      </tp>
      <tp>
        <v>-2.2317109999999998</v>
        <stp/>
        <stp>##V3_BDPV12</stp>
        <stp>BMRN US Equity</stp>
        <stp>CHG_PCT_1D</stp>
        <stp>[DPM - Securities Master List (BBG Linked).xlsx]Equities!R71C22</stp>
        <tr r="V71" s="2"/>
      </tp>
      <tp>
        <v>-2.2317109999999998</v>
        <stp/>
        <stp>##V3_BDPV12</stp>
        <stp>BMRN US Equity</stp>
        <stp>CHG_PCT_1D</stp>
        <stp>[DPM - Securities Master List (BBG Linked).xlsx]Equities!R70C22</stp>
        <tr r="V70" s="2"/>
      </tp>
      <tp>
        <v>-2.2317109999999998</v>
        <stp/>
        <stp>##V3_BDPV12</stp>
        <stp>BMRN US Equity</stp>
        <stp>CHG_PCT_1D</stp>
        <stp>[DPM - Securities Master List (BBG Linked).xlsx]Equities!R73C22</stp>
        <tr r="V73" s="2"/>
      </tp>
      <tp>
        <v>-2.2317109999999998</v>
        <stp/>
        <stp>##V3_BDPV12</stp>
        <stp>BMRN US Equity</stp>
        <stp>CHG_PCT_1D</stp>
        <stp>[DPM - Securities Master List (BBG Linked).xlsx]Equities!R72C22</stp>
        <tr r="V72" s="2"/>
      </tp>
      <tp>
        <v>1995680.72</v>
        <stp/>
        <stp>##V3_BDPV12</stp>
        <stp>GOOGL US Equity</stp>
        <stp>CRNCY_ADJ_MKT_CAP</stp>
        <stp>[DPM - Securities Master List (BBG Linked).xlsx]Equities!R128C9</stp>
        <stp>EQY_FUND_CRNCY=USD</stp>
        <tr r="I128" s="2"/>
      </tp>
      <tp>
        <v>-8.2766459999999995</v>
        <stp/>
        <stp>##V3_BDPV12</stp>
        <stp>BMRN US Equity</stp>
        <stp>CHG_PCT_6M</stp>
        <stp>[DPM - Securities Master List (BBG Linked).xlsx]Equities!R75C42</stp>
        <tr r="AP75" s="2"/>
      </tp>
      <tp>
        <v>-8.2766459999999995</v>
        <stp/>
        <stp>##V3_BDPV12</stp>
        <stp>BMRN US Equity</stp>
        <stp>CHG_PCT_6M</stp>
        <stp>[DPM - Securities Master List (BBG Linked).xlsx]Equities!R74C42</stp>
        <tr r="AP74" s="2"/>
      </tp>
      <tp>
        <v>-8.2766459999999995</v>
        <stp/>
        <stp>##V3_BDPV12</stp>
        <stp>BMRN US Equity</stp>
        <stp>CHG_PCT_6M</stp>
        <stp>[DPM - Securities Master List (BBG Linked).xlsx]Equities!R71C42</stp>
        <tr r="AP71" s="2"/>
      </tp>
      <tp>
        <v>-8.2766459999999995</v>
        <stp/>
        <stp>##V3_BDPV12</stp>
        <stp>BMRN US Equity</stp>
        <stp>CHG_PCT_6M</stp>
        <stp>[DPM - Securities Master List (BBG Linked).xlsx]Equities!R70C42</stp>
        <tr r="AP70" s="2"/>
      </tp>
      <tp>
        <v>-8.2766459999999995</v>
        <stp/>
        <stp>##V3_BDPV12</stp>
        <stp>BMRN US Equity</stp>
        <stp>CHG_PCT_6M</stp>
        <stp>[DPM - Securities Master List (BBG Linked).xlsx]Equities!R73C42</stp>
        <tr r="AP73" s="2"/>
      </tp>
      <tp>
        <v>-8.2766459999999995</v>
        <stp/>
        <stp>##V3_BDPV12</stp>
        <stp>BMRN US Equity</stp>
        <stp>CHG_PCT_6M</stp>
        <stp>[DPM - Securities Master List (BBG Linked).xlsx]Equities!R72C42</stp>
        <tr r="AP72" s="2"/>
      </tp>
      <tp>
        <v>-8.2766459999999995</v>
        <stp/>
        <stp>##V3_BDPV12</stp>
        <stp>BMRN US Equity</stp>
        <stp>CHG_PCT_6M</stp>
        <stp>[DPM - Securities Master List (BBG Linked).xlsx]Equities!R69C42</stp>
        <tr r="AP69" s="2"/>
      </tp>
      <tp>
        <v>-8.2766459999999995</v>
        <stp/>
        <stp>##V3_BDPV12</stp>
        <stp>BMRN US Equity</stp>
        <stp>CHG_PCT_6M</stp>
        <stp>[DPM - Securities Master List (BBG Linked).xlsx]Equities!R68C42</stp>
        <tr r="AP68" s="2"/>
      </tp>
      <tp>
        <v>-8.2766459999999995</v>
        <stp/>
        <stp>##V3_BDPV12</stp>
        <stp>BMRN US Equity</stp>
        <stp>CHG_PCT_6M</stp>
        <stp>[DPM - Securities Master List (BBG Linked).xlsx]Equities!R65C42</stp>
        <tr r="AP65" s="2"/>
      </tp>
      <tp>
        <v>-8.2766459999999995</v>
        <stp/>
        <stp>##V3_BDPV12</stp>
        <stp>BMRN US Equity</stp>
        <stp>CHG_PCT_6M</stp>
        <stp>[DPM - Securities Master List (BBG Linked).xlsx]Equities!R64C42</stp>
        <tr r="AP64" s="2"/>
      </tp>
      <tp>
        <v>-8.2766459999999995</v>
        <stp/>
        <stp>##V3_BDPV12</stp>
        <stp>BMRN US Equity</stp>
        <stp>CHG_PCT_6M</stp>
        <stp>[DPM - Securities Master List (BBG Linked).xlsx]Equities!R67C42</stp>
        <tr r="AP67" s="2"/>
      </tp>
      <tp>
        <v>-8.2766459999999995</v>
        <stp/>
        <stp>##V3_BDPV12</stp>
        <stp>BMRN US Equity</stp>
        <stp>CHG_PCT_6M</stp>
        <stp>[DPM - Securities Master List (BBG Linked).xlsx]Equities!R66C42</stp>
        <tr r="AP66" s="2"/>
      </tp>
      <tp>
        <v>-8.2766459999999995</v>
        <stp/>
        <stp>##V3_BDPV12</stp>
        <stp>BMRN US Equity</stp>
        <stp>CHG_PCT_6M</stp>
        <stp>[DPM - Securities Master List (BBG Linked).xlsx]Equities!R63C42</stp>
        <tr r="AP63" s="2"/>
      </tp>
      <tp>
        <v>1995680.72</v>
        <stp/>
        <stp>##V3_BDPV12</stp>
        <stp>GOOGL US Equity</stp>
        <stp>CRNCY_ADJ_MKT_CAP</stp>
        <stp>[DPM - Securities Master List (BBG Linked).xlsx]Equities!R127C9</stp>
        <stp>EQY_FUND_CRNCY=USD</stp>
        <tr r="I127" s="2"/>
      </tp>
      <tp t="s">
        <v>#N/A N/A</v>
        <stp/>
        <stp>##V3_BDPV12</stp>
        <stp>NVO US Equity</stp>
        <stp>DY784</stp>
        <stp>[DPM - Securities Master List (BBG Linked).xlsx]Equities!R225C48</stp>
        <tr r="AV225" s="2"/>
        <tr r="AV225" s="2"/>
      </tp>
      <tp>
        <v>1995621.85</v>
        <stp/>
        <stp>##V3_BDPV12</stp>
        <stp>GOOGL UQ Equity</stp>
        <stp>CRNCY_ADJ_MKT_CAP</stp>
        <stp>[DPM - Securities Master List (BBG Linked).xlsx]Equities!R126C9</stp>
        <stp>EQY_FUND_CRNCY=USD</stp>
        <tr r="I126" s="2"/>
      </tp>
      <tp>
        <v>-9.9690940000000001</v>
        <stp/>
        <stp>##V3_BDPV12</stp>
        <stp>AMZN  US Equity</stp>
        <stp>CHG_PCT_6M</stp>
        <stp>[DPM - Securities Master List (BBG Linked).xlsx]Equities!R50C42</stp>
        <tr r="AP50" s="2"/>
      </tp>
      <tp>
        <v>5.0979339999999998E-2</v>
        <stp/>
        <stp>##V3_BDPV12</stp>
        <stp>AMZN  US Equity</stp>
        <stp>CHG_PCT_1D</stp>
        <stp>[DPM - Securities Master List (BBG Linked).xlsx]Equities!R50C22</stp>
        <tr r="V50" s="2"/>
      </tp>
      <tp t="s">
        <v>CHF</v>
        <stp/>
        <stp>##V3_BDPV12</stp>
        <stp>NESN SW Equity</stp>
        <stp>CRNCY</stp>
        <stp>[DPM - Securities Master List (BBG Linked).xlsx]Equities!R202C6</stp>
        <tr r="F202" s="2"/>
      </tp>
      <tp>
        <v>80.08</v>
        <stp/>
        <stp>##V3_BDPV12</stp>
        <stp>ON US Equity</stp>
        <stp>hs001</stp>
        <stp>[DPM - Securities Master List (BBG Linked).xlsx]Equities!R226C44</stp>
        <tr r="AR226" s="2"/>
      </tp>
      <tp>
        <v>-0.50429590000000002</v>
        <stp/>
        <stp>##V3_BDPV12</stp>
        <stp>AMZN  US Equity</stp>
        <stp>CHG_PCT_5D</stp>
        <stp>[DPM - Securities Master List (BBG Linked).xlsx]Equities!R50C23</stp>
        <tr r="W50" s="2"/>
      </tp>
      <tp>
        <v>31.04</v>
        <stp/>
        <stp>##V3_BDPV12</stp>
        <stp>ON US Equity</stp>
        <stp>hs002</stp>
        <stp>[DPM - Securities Master List (BBG Linked).xlsx]Equities!R226C45</stp>
        <tr r="AS226" s="2"/>
      </tp>
      <tp t="s">
        <v>USD</v>
        <stp/>
        <stp>##V3_BDPV12</stp>
        <stp>DELL US Equity</stp>
        <stp>CRNCY</stp>
        <stp>[DPM - Securities Master List (BBG Linked).xlsx]Equities!R104C6</stp>
        <tr r="F104" s="2"/>
      </tp>
      <tp t="s">
        <v>#N/A N/A</v>
        <stp/>
        <stp>##V3_BDPV12</stp>
        <stp>DELL US Equity</stp>
        <stp>RR903</stp>
        <stp>[DPM - Securities Master List (BBG Linked).xlsx]Equities!R99C13</stp>
        <tr r="M99" s="2"/>
        <tr r="M99" s="2"/>
      </tp>
      <tp t="s">
        <v>#N/A N/A</v>
        <stp/>
        <stp>##V3_BDPV12</stp>
        <stp>DELL US Equity</stp>
        <stp>RR903</stp>
        <stp>[DPM - Securities Master List (BBG Linked).xlsx]Equities!R98C13</stp>
        <tr r="M98" s="2"/>
        <tr r="M98" s="2"/>
      </tp>
      <tp t="s">
        <v>#N/A N/A</v>
        <stp/>
        <stp>##V3_BDPV12</stp>
        <stp>DELL US Equity</stp>
        <stp>RR903</stp>
        <stp>[DPM - Securities Master List (BBG Linked).xlsx]Equities!R93C13</stp>
        <tr r="M93" s="2"/>
        <tr r="M93" s="2"/>
      </tp>
      <tp t="s">
        <v>#N/A N/A</v>
        <stp/>
        <stp>##V3_BDPV12</stp>
        <stp>DELL US Equity</stp>
        <stp>RR903</stp>
        <stp>[DPM - Securities Master List (BBG Linked).xlsx]Equities!R92C13</stp>
        <tr r="M92" s="2"/>
        <tr r="M92" s="2"/>
      </tp>
      <tp t="s">
        <v>#N/A N/A</v>
        <stp/>
        <stp>##V3_BDPV12</stp>
        <stp>DELL US Equity</stp>
        <stp>RR903</stp>
        <stp>[DPM - Securities Master List (BBG Linked).xlsx]Equities!R97C13</stp>
        <tr r="M97" s="2"/>
        <tr r="M97" s="2"/>
      </tp>
      <tp t="s">
        <v>#N/A N/A</v>
        <stp/>
        <stp>##V3_BDPV12</stp>
        <stp>DELL US Equity</stp>
        <stp>RR903</stp>
        <stp>[DPM - Securities Master List (BBG Linked).xlsx]Equities!R96C13</stp>
        <tr r="M96" s="2"/>
        <tr r="M96" s="2"/>
      </tp>
      <tp t="s">
        <v>#N/A N/A</v>
        <stp/>
        <stp>##V3_BDPV12</stp>
        <stp>DELL US Equity</stp>
        <stp>RR903</stp>
        <stp>[DPM - Securities Master List (BBG Linked).xlsx]Equities!R95C13</stp>
        <tr r="M95" s="2"/>
        <tr r="M95" s="2"/>
      </tp>
      <tp t="s">
        <v>#N/A N/A</v>
        <stp/>
        <stp>##V3_BDPV12</stp>
        <stp>DELL US Equity</stp>
        <stp>RR903</stp>
        <stp>[DPM - Securities Master List (BBG Linked).xlsx]Equities!R94C13</stp>
        <tr r="M94" s="2"/>
        <tr r="M94" s="2"/>
      </tp>
      <tp>
        <v>13.337480589980856</v>
        <stp/>
        <stp>##V3_BDPV12</stp>
        <stp>DELL US Equity</stp>
        <stp>RR900</stp>
        <stp>[DPM - Securities Master List (BBG Linked).xlsx]Equities!R99C11</stp>
        <tr r="K99" s="2"/>
        <tr r="K99" s="2"/>
        <tr r="K99" s="2"/>
      </tp>
      <tp>
        <v>13.337480589980856</v>
        <stp/>
        <stp>##V3_BDPV12</stp>
        <stp>DELL US Equity</stp>
        <stp>RR900</stp>
        <stp>[DPM - Securities Master List (BBG Linked).xlsx]Equities!R98C11</stp>
        <tr r="K98" s="2"/>
        <tr r="K98" s="2"/>
        <tr r="K98" s="2"/>
      </tp>
      <tp>
        <v>13.337480589980856</v>
        <stp/>
        <stp>##V3_BDPV12</stp>
        <stp>DELL US Equity</stp>
        <stp>RR900</stp>
        <stp>[DPM - Securities Master List (BBG Linked).xlsx]Equities!R93C11</stp>
        <tr r="K93" s="2"/>
        <tr r="K93" s="2"/>
        <tr r="K93" s="2"/>
      </tp>
      <tp>
        <v>13.337480589980856</v>
        <stp/>
        <stp>##V3_BDPV12</stp>
        <stp>DELL US Equity</stp>
        <stp>RR900</stp>
        <stp>[DPM - Securities Master List (BBG Linked).xlsx]Equities!R92C11</stp>
        <tr r="K92" s="2"/>
        <tr r="K92" s="2"/>
        <tr r="K92" s="2"/>
      </tp>
      <tp>
        <v>13.337480589980856</v>
        <stp/>
        <stp>##V3_BDPV12</stp>
        <stp>DELL US Equity</stp>
        <stp>RR900</stp>
        <stp>[DPM - Securities Master List (BBG Linked).xlsx]Equities!R97C11</stp>
        <tr r="K97" s="2"/>
        <tr r="K97" s="2"/>
        <tr r="K97" s="2"/>
      </tp>
      <tp>
        <v>13.337480589980856</v>
        <stp/>
        <stp>##V3_BDPV12</stp>
        <stp>DELL US Equity</stp>
        <stp>RR900</stp>
        <stp>[DPM - Securities Master List (BBG Linked).xlsx]Equities!R96C11</stp>
        <tr r="K96" s="2"/>
        <tr r="K96" s="2"/>
        <tr r="K96" s="2"/>
      </tp>
      <tp>
        <v>13.337480589980856</v>
        <stp/>
        <stp>##V3_BDPV12</stp>
        <stp>DELL US Equity</stp>
        <stp>RR900</stp>
        <stp>[DPM - Securities Master List (BBG Linked).xlsx]Equities!R95C11</stp>
        <tr r="K95" s="2"/>
        <tr r="K95" s="2"/>
        <tr r="K95" s="2"/>
      </tp>
      <tp>
        <v>13.337480589980856</v>
        <stp/>
        <stp>##V3_BDPV12</stp>
        <stp>DELL US Equity</stp>
        <stp>RR900</stp>
        <stp>[DPM - Securities Master List (BBG Linked).xlsx]Equities!R94C11</stp>
        <tr r="K94" s="2"/>
        <tr r="K94" s="2"/>
        <tr r="K94" s="2"/>
      </tp>
      <tp>
        <v>14.565257788339915</v>
        <stp/>
        <stp>##V3_BDPV12</stp>
        <stp>DELL US Equity</stp>
        <stp>RR908</stp>
        <stp>[DPM - Securities Master List (BBG Linked).xlsx]Equities!R99C32</stp>
        <tr r="AF99" s="2"/>
        <tr r="AF99" s="2"/>
        <tr r="AF99" s="2"/>
      </tp>
      <tp>
        <v>14.565257788339915</v>
        <stp/>
        <stp>##V3_BDPV12</stp>
        <stp>DELL US Equity</stp>
        <stp>RR908</stp>
        <stp>[DPM - Securities Master List (BBG Linked).xlsx]Equities!R98C32</stp>
        <tr r="AF98" s="2"/>
        <tr r="AF98" s="2"/>
        <tr r="AF98" s="2"/>
      </tp>
      <tp>
        <v>14.565257788339915</v>
        <stp/>
        <stp>##V3_BDPV12</stp>
        <stp>DELL US Equity</stp>
        <stp>RR908</stp>
        <stp>[DPM - Securities Master List (BBG Linked).xlsx]Equities!R93C32</stp>
        <tr r="AF93" s="2"/>
        <tr r="AF93" s="2"/>
        <tr r="AF93" s="2"/>
      </tp>
      <tp>
        <v>14.565257788339915</v>
        <stp/>
        <stp>##V3_BDPV12</stp>
        <stp>DELL US Equity</stp>
        <stp>RR908</stp>
        <stp>[DPM - Securities Master List (BBG Linked).xlsx]Equities!R92C32</stp>
        <tr r="AF92" s="2"/>
        <tr r="AF92" s="2"/>
        <tr r="AF92" s="2"/>
      </tp>
      <tp>
        <v>14.565257788339915</v>
        <stp/>
        <stp>##V3_BDPV12</stp>
        <stp>DELL US Equity</stp>
        <stp>RR908</stp>
        <stp>[DPM - Securities Master List (BBG Linked).xlsx]Equities!R97C32</stp>
        <tr r="AF97" s="2"/>
        <tr r="AF97" s="2"/>
        <tr r="AF97" s="2"/>
      </tp>
      <tp>
        <v>14.565257788339915</v>
        <stp/>
        <stp>##V3_BDPV12</stp>
        <stp>DELL US Equity</stp>
        <stp>RR908</stp>
        <stp>[DPM - Securities Master List (BBG Linked).xlsx]Equities!R96C32</stp>
        <tr r="AF96" s="2"/>
        <tr r="AF96" s="2"/>
        <tr r="AF96" s="2"/>
      </tp>
      <tp>
        <v>14.565257788339915</v>
        <stp/>
        <stp>##V3_BDPV12</stp>
        <stp>DELL US Equity</stp>
        <stp>RR908</stp>
        <stp>[DPM - Securities Master List (BBG Linked).xlsx]Equities!R95C32</stp>
        <tr r="AF95" s="2"/>
        <tr r="AF95" s="2"/>
        <tr r="AF95" s="2"/>
      </tp>
      <tp>
        <v>14.565257788339915</v>
        <stp/>
        <stp>##V3_BDPV12</stp>
        <stp>DELL US Equity</stp>
        <stp>RR908</stp>
        <stp>[DPM - Securities Master List (BBG Linked).xlsx]Equities!R94C32</stp>
        <tr r="AF94" s="2"/>
        <tr r="AF94" s="2"/>
        <tr r="AF94" s="2"/>
      </tp>
      <tp>
        <v>9.0084278745664559</v>
        <stp/>
        <stp>##V3_BDPV12</stp>
        <stp>DELL US Equity</stp>
        <stp>RR957</stp>
        <stp>[DPM - Securities Master List (BBG Linked).xlsx]Equities!R99C14</stp>
        <tr r="N99" s="2"/>
        <tr r="N99" s="2"/>
        <tr r="N99" s="2"/>
      </tp>
      <tp>
        <v>9.0084278745664559</v>
        <stp/>
        <stp>##V3_BDPV12</stp>
        <stp>DELL US Equity</stp>
        <stp>RR957</stp>
        <stp>[DPM - Securities Master List (BBG Linked).xlsx]Equities!R98C14</stp>
        <tr r="N98" s="2"/>
        <tr r="N98" s="2"/>
        <tr r="N98" s="2"/>
      </tp>
      <tp>
        <v>9.0084278745664559</v>
        <stp/>
        <stp>##V3_BDPV12</stp>
        <stp>DELL US Equity</stp>
        <stp>RR957</stp>
        <stp>[DPM - Securities Master List (BBG Linked).xlsx]Equities!R93C14</stp>
        <tr r="N93" s="2"/>
        <tr r="N93" s="2"/>
        <tr r="N93" s="2"/>
      </tp>
      <tp>
        <v>9.0084278745664559</v>
        <stp/>
        <stp>##V3_BDPV12</stp>
        <stp>DELL US Equity</stp>
        <stp>RR957</stp>
        <stp>[DPM - Securities Master List (BBG Linked).xlsx]Equities!R92C14</stp>
        <tr r="N92" s="2"/>
        <tr r="N92" s="2"/>
        <tr r="N92" s="2"/>
      </tp>
      <tp>
        <v>9.0084278745664559</v>
        <stp/>
        <stp>##V3_BDPV12</stp>
        <stp>DELL US Equity</stp>
        <stp>RR957</stp>
        <stp>[DPM - Securities Master List (BBG Linked).xlsx]Equities!R97C14</stp>
        <tr r="N97" s="2"/>
        <tr r="N97" s="2"/>
        <tr r="N97" s="2"/>
      </tp>
      <tp>
        <v>9.0084278745664559</v>
        <stp/>
        <stp>##V3_BDPV12</stp>
        <stp>DELL US Equity</stp>
        <stp>RR957</stp>
        <stp>[DPM - Securities Master List (BBG Linked).xlsx]Equities!R96C14</stp>
        <tr r="N96" s="2"/>
        <tr r="N96" s="2"/>
        <tr r="N96" s="2"/>
      </tp>
      <tp>
        <v>9.0084278745664559</v>
        <stp/>
        <stp>##V3_BDPV12</stp>
        <stp>DELL US Equity</stp>
        <stp>RR957</stp>
        <stp>[DPM - Securities Master List (BBG Linked).xlsx]Equities!R95C14</stp>
        <tr r="N95" s="2"/>
        <tr r="N95" s="2"/>
        <tr r="N95" s="2"/>
      </tp>
      <tp>
        <v>9.0084278745664559</v>
        <stp/>
        <stp>##V3_BDPV12</stp>
        <stp>DELL US Equity</stp>
        <stp>RR957</stp>
        <stp>[DPM - Securities Master List (BBG Linked).xlsx]Equities!R94C14</stp>
        <tr r="N94" s="2"/>
        <tr r="N94" s="2"/>
        <tr r="N94" s="2"/>
      </tp>
      <tp t="s">
        <v>Y</v>
        <stp/>
        <stp>##V3_BDPV12</stp>
        <stp>DELL US Equity</stp>
        <stp>DY997</stp>
        <stp>[DPM - Securities Master List (BBG Linked).xlsx]Equities!R92C47</stp>
        <tr r="AU92" s="2"/>
        <tr r="AU92" s="2"/>
        <tr r="AU92" s="2"/>
      </tp>
      <tp t="s">
        <v>Y</v>
        <stp/>
        <stp>##V3_BDPV12</stp>
        <stp>DELL US Equity</stp>
        <stp>DY997</stp>
        <stp>[DPM - Securities Master List (BBG Linked).xlsx]Equities!R93C47</stp>
        <tr r="AU93" s="2"/>
        <tr r="AU93" s="2"/>
        <tr r="AU93" s="2"/>
      </tp>
      <tp t="s">
        <v>Y</v>
        <stp/>
        <stp>##V3_BDPV12</stp>
        <stp>DELL US Equity</stp>
        <stp>DY997</stp>
        <stp>[DPM - Securities Master List (BBG Linked).xlsx]Equities!R94C47</stp>
        <tr r="AU94" s="2"/>
        <tr r="AU94" s="2"/>
        <tr r="AU94" s="2"/>
      </tp>
      <tp t="s">
        <v>Y</v>
        <stp/>
        <stp>##V3_BDPV12</stp>
        <stp>DELL US Equity</stp>
        <stp>DY997</stp>
        <stp>[DPM - Securities Master List (BBG Linked).xlsx]Equities!R95C47</stp>
        <tr r="AU95" s="2"/>
        <tr r="AU95" s="2"/>
        <tr r="AU95" s="2"/>
      </tp>
      <tp t="s">
        <v>Y</v>
        <stp/>
        <stp>##V3_BDPV12</stp>
        <stp>DELL US Equity</stp>
        <stp>DY997</stp>
        <stp>[DPM - Securities Master List (BBG Linked).xlsx]Equities!R96C47</stp>
        <tr r="AU96" s="2"/>
        <tr r="AU96" s="2"/>
        <tr r="AU96" s="2"/>
      </tp>
      <tp t="s">
        <v>Y</v>
        <stp/>
        <stp>##V3_BDPV12</stp>
        <stp>DELL US Equity</stp>
        <stp>DY997</stp>
        <stp>[DPM - Securities Master List (BBG Linked).xlsx]Equities!R97C47</stp>
        <tr r="AU97" s="2"/>
        <tr r="AU97" s="2"/>
        <tr r="AU97" s="2"/>
      </tp>
      <tp t="s">
        <v>Y</v>
        <stp/>
        <stp>##V3_BDPV12</stp>
        <stp>DELL US Equity</stp>
        <stp>DY997</stp>
        <stp>[DPM - Securities Master List (BBG Linked).xlsx]Equities!R98C47</stp>
        <tr r="AU98" s="2"/>
        <tr r="AU98" s="2"/>
        <tr r="AU98" s="2"/>
      </tp>
      <tp t="s">
        <v>Y</v>
        <stp/>
        <stp>##V3_BDPV12</stp>
        <stp>DELL US Equity</stp>
        <stp>DY997</stp>
        <stp>[DPM - Securities Master List (BBG Linked).xlsx]Equities!R99C47</stp>
        <tr r="AU99" s="2"/>
        <tr r="AU99" s="2"/>
        <tr r="AU99" s="2"/>
      </tp>
      <tp t="s">
        <v>Information Technology</v>
        <stp/>
        <stp>##V3_BDPV12</stp>
        <stp>ON US Equity</stp>
        <stp>DX202</stp>
        <stp>[DPM - Securities Master List (BBG Linked).xlsx]Equities!R226C46</stp>
        <tr r="AT226" s="2"/>
        <tr r="AT226" s="2"/>
        <tr r="AT226" s="2"/>
      </tp>
      <tp>
        <v>6</v>
        <stp/>
        <stp>##V3_BDPV12</stp>
        <stp>INTC US Equity</stp>
        <stp>TOT_SELL_REC</stp>
        <stp>[DPM - Securities Master List (BBG Linked).xlsx]Equities!R148C36</stp>
        <tr r="AJ148" s="2"/>
      </tp>
      <tp>
        <v>6</v>
        <stp/>
        <stp>##V3_BDPV12</stp>
        <stp>INTC US Equity</stp>
        <stp>TOT_SELL_REC</stp>
        <stp>[DPM - Securities Master List (BBG Linked).xlsx]Equities!R146C36</stp>
        <tr r="AJ146" s="2"/>
      </tp>
      <tp>
        <v>6</v>
        <stp/>
        <stp>##V3_BDPV12</stp>
        <stp>INTC US Equity</stp>
        <stp>TOT_SELL_REC</stp>
        <stp>[DPM - Securities Master List (BBG Linked).xlsx]Equities!R147C36</stp>
        <tr r="AJ147" s="2"/>
      </tp>
      <tp>
        <v>3.9032258987426758</v>
        <stp/>
        <stp>##V3_BDPV12</stp>
        <stp>ON US Equity</stp>
        <stp>EE201</stp>
        <stp>[DPM - Securities Master List (BBG Linked).xlsx]Equities!R226C37</stp>
        <tr r="AK226" s="2"/>
        <tr r="AK226" s="2"/>
        <tr r="AK226" s="2"/>
      </tp>
      <tp t="s">
        <v>US6821891057</v>
        <stp/>
        <stp>##V3_BDPV12</stp>
        <stp>ON US Equity</stp>
        <stp>ID005</stp>
        <stp>[DPM - Securities Master List (BBG Linked).xlsx]Equities!R226C55</stp>
        <tr r="BC226" s="2"/>
      </tp>
      <tp>
        <v>40</v>
        <stp/>
        <stp>##V3_BDPV12</stp>
        <stp>INTC US Equity</stp>
        <stp>TOT_HOLD_REC</stp>
        <stp>[DPM - Securities Master List (BBG Linked).xlsx]Equities!R146C35</stp>
        <tr r="AI146" s="2"/>
      </tp>
      <tp>
        <v>40</v>
        <stp/>
        <stp>##V3_BDPV12</stp>
        <stp>INTC US Equity</stp>
        <stp>TOT_HOLD_REC</stp>
        <stp>[DPM - Securities Master List (BBG Linked).xlsx]Equities!R147C35</stp>
        <tr r="AI147" s="2"/>
      </tp>
      <tp>
        <v>40</v>
        <stp/>
        <stp>##V3_BDPV12</stp>
        <stp>INTC US Equity</stp>
        <stp>TOT_HOLD_REC</stp>
        <stp>[DPM - Securities Master List (BBG Linked).xlsx]Equities!R148C35</stp>
        <tr r="AI148" s="2"/>
      </tp>
      <tp>
        <v>1.9912659553623886</v>
        <stp/>
        <stp>##V3_BDPV12</stp>
        <stp>ON US Equity</stp>
        <stp>RR903</stp>
        <stp>[DPM - Securities Master List (BBG Linked).xlsx]Equities!R226C13</stp>
        <tr r="M226" s="2"/>
        <tr r="M226" s="2"/>
        <tr r="M226" s="2"/>
      </tp>
      <tp>
        <v>-18.586189999999998</v>
        <stp/>
        <stp>##V3_BDPV12</stp>
        <stp>REGN Equity</stp>
        <stp>PR079</stp>
        <stp>[DPM - Securities Master List (BBG Linked).xlsx]Equities!R240C43</stp>
        <tr r="AQ240" s="2"/>
      </tp>
      <tp>
        <v>11.150118622708547</v>
        <stp/>
        <stp>##V3_BDPV12</stp>
        <stp>ON US Equity</stp>
        <stp>RR900</stp>
        <stp>[DPM - Securities Master List (BBG Linked).xlsx]Equities!R226C11</stp>
        <tr r="K226" s="2"/>
        <tr r="K226" s="2"/>
        <tr r="K226" s="2"/>
      </tp>
      <tp>
        <v>8.0944743961301437</v>
        <stp/>
        <stp>##V3_BDPV12</stp>
        <stp>ON US Equity</stp>
        <stp>RR908</stp>
        <stp>[DPM - Securities Master List (BBG Linked).xlsx]Equities!R226C32</stp>
        <tr r="AF226" s="2"/>
        <tr r="AF226" s="2"/>
        <tr r="AF226" s="2"/>
      </tp>
      <tp t="s">
        <v>NIKE Inc</v>
        <stp/>
        <stp>##V3_BDPV12</stp>
        <stp>NKE US Equity</stp>
        <stp>SECURITY NAME</stp>
        <stp>[DPM - Securities Master List (BBG Linked).xlsx]Equities!R215C5</stp>
        <tr r="E215" s="2"/>
      </tp>
      <tp t="s">
        <v>AUD</v>
        <stp/>
        <stp>##V3_BDPV12</stp>
        <stp>NEM AT Equity</stp>
        <stp>CRNCY</stp>
        <stp>[DPM - Securities Master List (BBG Linked).xlsx]Equities!R189C6</stp>
        <tr r="F189" s="2"/>
      </tp>
      <tp t="s">
        <v>USD</v>
        <stp/>
        <stp>##V3_BDPV12</stp>
        <stp>ZBH US Equity</stp>
        <stp>CRNCY</stp>
        <stp>[DPM - Securities Master List (BBG Linked).xlsx]Equities!R299C6</stp>
        <tr r="F299" s="2"/>
      </tp>
      <tp t="s">
        <v>SSE PLC</v>
        <stp/>
        <stp>##V3_BDPV12</stp>
        <stp>SSE LN Equity</stp>
        <stp>SECURITY NAME</stp>
        <stp>[DPM - Securities Master List (BBG Linked).xlsx]Equities!R251C5</stp>
        <tr r="E251" s="2"/>
      </tp>
      <tp t="s">
        <v>USD</v>
        <stp/>
        <stp>##V3_BDPV12</stp>
        <stp>PEP US Equity</stp>
        <stp>CRNCY</stp>
        <stp>[DPM - Securities Master List (BBG Linked).xlsx]Equities!R233C6</stp>
        <tr r="F233" s="2"/>
      </tp>
      <tp t="s">
        <v>Merck &amp; Co Inc</v>
        <stp/>
        <stp>##V3_BDPV12</stp>
        <stp>MRK US Equity</stp>
        <stp>SECURITY NAME</stp>
        <stp>[DPM - Securities Master List (BBG Linked).xlsx]Equities!R166C5</stp>
        <tr r="E166" s="2"/>
      </tp>
      <tp t="s">
        <v>Novo Nordisk A/S</v>
        <stp/>
        <stp>##V3_BDPV12</stp>
        <stp>NVO US Equity</stp>
        <stp>SECURITY NAME</stp>
        <stp>[DPM - Securities Master List (BBG Linked).xlsx]Equities!R225C5</stp>
        <tr r="E225" s="2"/>
      </tp>
      <tp t="s">
        <v>Y</v>
        <stp/>
        <stp>##V3_BDPV12</stp>
        <stp>LUV US Equity</stp>
        <stp>DY784</stp>
        <stp>[DPM - Securities Master List (BBG Linked).xlsx]Equities!R154C48</stp>
        <tr r="AV154" s="2"/>
        <tr r="AV154" s="2"/>
        <tr r="AV154" s="2"/>
      </tp>
      <tp>
        <v>-14.95567</v>
        <stp/>
        <stp>##V3_BDPV12</stp>
        <stp>DGE LN Equity</stp>
        <stp>PR079</stp>
        <stp>[DPM - Securities Master List (BBG Linked).xlsx]Equities!R108C43</stp>
        <tr r="AQ108" s="2"/>
      </tp>
      <tp>
        <v>-14.95567</v>
        <stp/>
        <stp>##V3_BDPV12</stp>
        <stp>DGE LN Equity</stp>
        <stp>PR079</stp>
        <stp>[DPM - Securities Master List (BBG Linked).xlsx]Equities!R109C43</stp>
        <tr r="AQ109" s="2"/>
      </tp>
      <tp>
        <v>-14.95567</v>
        <stp/>
        <stp>##V3_BDPV12</stp>
        <stp>DGE LN Equity</stp>
        <stp>PR079</stp>
        <stp>[DPM - Securities Master List (BBG Linked).xlsx]Equities!R110C43</stp>
        <tr r="AQ110" s="2"/>
      </tp>
      <tp>
        <v>-14.95567</v>
        <stp/>
        <stp>##V3_BDPV12</stp>
        <stp>DGE LN Equity</stp>
        <stp>PR079</stp>
        <stp>[DPM - Securities Master List (BBG Linked).xlsx]Equities!R111C43</stp>
        <tr r="AQ111" s="2"/>
      </tp>
      <tp t="s">
        <v>#N/A Invalid Override</v>
        <stp/>
        <stp>##V3_BDPV12</stp>
        <stp>GB00BMBL1D50 isin</stp>
        <stp>YAS_BOND_YLD</stp>
        <stp>[DPM - Securities Master List (BBG Linked).xlsx]Bonds!R3C10</stp>
        <stp>YAS_YLD_FLAG=15</stp>
        <stp>user_local_trade_date</stp>
        <stp>45783</stp>
        <stp>Yas_bond_px</stp>
        <stp>#N/A Connection</stp>
        <tr r="J3" s="1"/>
      </tp>
      <tp>
        <v>2</v>
        <stp/>
        <stp>##V3_BDPV12</stp>
        <stp>REGN Equity</stp>
        <stp>TOT_SELL_REC</stp>
        <stp>[DPM - Securities Master List (BBG Linked).xlsx]Equities!R240C36</stp>
        <tr r="AJ240" s="2"/>
      </tp>
      <tp t="s">
        <v>#N/A Invalid Field</v>
        <stp/>
        <stp>##V3_BDPV12</stp>
        <stp>GOOGL US Equity</stp>
        <stp/>
        <stp>[DPM - Securities Master List (BBG Linked).xlsx]Equities!R127C29</stp>
        <tr r="AC127" s="2"/>
        <tr r="AC127" s="2"/>
      </tp>
      <tp t="s">
        <v>#N/A Invalid Field</v>
        <stp/>
        <stp>##V3_BDPV12</stp>
        <stp>GOOGL US Equity</stp>
        <stp/>
        <stp>[DPM - Securities Master List (BBG Linked).xlsx]Equities!R128C29</stp>
        <tr r="AC128" s="2"/>
        <tr r="AC128" s="2"/>
      </tp>
      <tp t="s">
        <v>#N/A Invalid Field</v>
        <stp/>
        <stp>##V3_BDPV12</stp>
        <stp>GOOGL US Equity</stp>
        <stp/>
        <stp>[DPM - Securities Master List (BBG Linked).xlsx]Equities!R129C29</stp>
        <tr r="AC129" s="2"/>
        <tr r="AC129" s="2"/>
      </tp>
      <tp t="s">
        <v>#N/A Invalid Field</v>
        <stp/>
        <stp>##V3_BDPV12</stp>
        <stp>GOOGL US Equity</stp>
        <stp/>
        <stp>[DPM - Securities Master List (BBG Linked).xlsx]Equities!R132C29</stp>
        <tr r="AC132" s="2"/>
        <tr r="AC132" s="2"/>
      </tp>
      <tp t="s">
        <v>#N/A Invalid Field</v>
        <stp/>
        <stp>##V3_BDPV12</stp>
        <stp>GOOGL US Equity</stp>
        <stp/>
        <stp>[DPM - Securities Master List (BBG Linked).xlsx]Equities!R133C29</stp>
        <tr r="AC133" s="2"/>
        <tr r="AC133" s="2"/>
      </tp>
      <tp t="s">
        <v>#N/A Invalid Field</v>
        <stp/>
        <stp>##V3_BDPV12</stp>
        <stp>GOOGL US Equity</stp>
        <stp/>
        <stp>[DPM - Securities Master List (BBG Linked).xlsx]Equities!R130C29</stp>
        <tr r="AC130" s="2"/>
        <tr r="AC130" s="2"/>
      </tp>
      <tp t="s">
        <v>#N/A Invalid Field</v>
        <stp/>
        <stp>##V3_BDPV12</stp>
        <stp>GOOGL US Equity</stp>
        <stp/>
        <stp>[DPM - Securities Master List (BBG Linked).xlsx]Equities!R131C29</stp>
        <tr r="AC131" s="2"/>
        <tr r="AC131" s="2"/>
      </tp>
      <tp t="s">
        <v>#N/A Invalid Field</v>
        <stp/>
        <stp>##V3_BDPV12</stp>
        <stp>GOOGL US Equity</stp>
        <stp/>
        <stp>[DPM - Securities Master List (BBG Linked).xlsx]Equities!R136C29</stp>
        <tr r="AC136" s="2"/>
        <tr r="AC136" s="2"/>
      </tp>
      <tp t="s">
        <v>#N/A Invalid Field</v>
        <stp/>
        <stp>##V3_BDPV12</stp>
        <stp>GOOGL US Equity</stp>
        <stp/>
        <stp>[DPM - Securities Master List (BBG Linked).xlsx]Equities!R137C29</stp>
        <tr r="AC137" s="2"/>
        <tr r="AC137" s="2"/>
      </tp>
      <tp t="s">
        <v>#N/A Invalid Field</v>
        <stp/>
        <stp>##V3_BDPV12</stp>
        <stp>GOOGL US Equity</stp>
        <stp/>
        <stp>[DPM - Securities Master List (BBG Linked).xlsx]Equities!R134C29</stp>
        <tr r="AC134" s="2"/>
        <tr r="AC134" s="2"/>
      </tp>
      <tp t="s">
        <v>#N/A Invalid Field</v>
        <stp/>
        <stp>##V3_BDPV12</stp>
        <stp>GOOGL US Equity</stp>
        <stp/>
        <stp>[DPM - Securities Master List (BBG Linked).xlsx]Equities!R135C29</stp>
        <tr r="AC135" s="2"/>
        <tr r="AC135" s="2"/>
      </tp>
      <tp t="s">
        <v>#N/A Invalid Field</v>
        <stp/>
        <stp>##V3_BDPV12</stp>
        <stp>GOOGL US Equity</stp>
        <stp/>
        <stp>[DPM - Securities Master List (BBG Linked).xlsx]Equities!R138C29</stp>
        <tr r="AC138" s="2"/>
        <tr r="AC138" s="2"/>
      </tp>
      <tp t="s">
        <v>#N/A Invalid Field</v>
        <stp/>
        <stp>##V3_BDPV12</stp>
        <stp>GOOGL US Equity</stp>
        <stp/>
        <stp>[DPM - Securities Master List (BBG Linked).xlsx]Equities!R139C29</stp>
        <tr r="AC139" s="2"/>
        <tr r="AC139" s="2"/>
      </tp>
      <tp t="s">
        <v>#N/A Invalid Field</v>
        <stp/>
        <stp>##V3_BDPV12</stp>
        <stp>GOOGL US Equity</stp>
        <stp/>
        <stp>[DPM - Securities Master List (BBG Linked).xlsx]Equities!R140C29</stp>
        <tr r="AC140" s="2"/>
        <tr r="AC140" s="2"/>
      </tp>
      <tp t="s">
        <v>#N/A Invalid Field</v>
        <stp/>
        <stp>##V3_BDPV12</stp>
        <stp>GOOGL US Equity</stp>
        <stp/>
        <stp>[DPM - Securities Master List (BBG Linked).xlsx]Equities!R141C29</stp>
        <tr r="AC141" s="2"/>
        <tr r="AC141" s="2"/>
      </tp>
      <tp t="s">
        <v>Consumer Discretionary</v>
        <stp/>
        <stp>##V3_BDPV12</stp>
        <stp>3690 HK Equity</stp>
        <stp>DX202</stp>
        <stp>[DPM - Securities Master List (BBG Linked).xlsx]Equities!R7C8</stp>
        <tr r="H7" s="2"/>
        <tr r="H7" s="2"/>
        <tr r="H7" s="2"/>
      </tp>
      <tp t="s">
        <v>#N/A Invalid Field</v>
        <stp/>
        <stp>##V3_BDPV12</stp>
        <stp>GOOGL UQ Equity</stp>
        <stp/>
        <stp>[DPM - Securities Master List (BBG Linked).xlsx]Equities!R126C29</stp>
        <tr r="AC126" s="2"/>
        <tr r="AC126" s="2"/>
      </tp>
      <tp t="s">
        <v>Y</v>
        <stp/>
        <stp>##V3_BDPV12</stp>
        <stp>RIO LN Equity</stp>
        <stp>DY997</stp>
        <stp>[DPM - Securities Master List (BBG Linked).xlsx]Equities!R242C47</stp>
        <tr r="AU242" s="2"/>
        <tr r="AU242" s="2"/>
        <tr r="AU242" s="2"/>
      </tp>
      <tp>
        <v>4</v>
        <stp/>
        <stp>##V3_BDPV12</stp>
        <stp>REGN Equity</stp>
        <stp>TOT_HOLD_REC</stp>
        <stp>[DPM - Securities Master List (BBG Linked).xlsx]Equities!R240C35</stp>
        <tr r="AI240" s="2"/>
      </tp>
      <tp>
        <v>9.0661530933160108</v>
        <stp/>
        <stp>##V3_BDPV12</stp>
        <stp>BMRN US Equity</stp>
        <stp>RR041</stp>
        <stp>[DPM - Securities Master List (BBG Linked).xlsx]Equities!R75C33</stp>
        <tr r="AG75" s="2"/>
        <tr r="AG75" s="2"/>
        <tr r="AG75" s="2"/>
      </tp>
      <tp>
        <v>9.0661530933160108</v>
        <stp/>
        <stp>##V3_BDPV12</stp>
        <stp>BMRN US Equity</stp>
        <stp>RR041</stp>
        <stp>[DPM - Securities Master List (BBG Linked).xlsx]Equities!R74C33</stp>
        <tr r="AG74" s="2"/>
        <tr r="AG74" s="2"/>
        <tr r="AG74" s="2"/>
      </tp>
      <tp>
        <v>9.0661530933160108</v>
        <stp/>
        <stp>##V3_BDPV12</stp>
        <stp>BMRN US Equity</stp>
        <stp>RR041</stp>
        <stp>[DPM - Securities Master List (BBG Linked).xlsx]Equities!R71C33</stp>
        <tr r="AG71" s="2"/>
        <tr r="AG71" s="2"/>
        <tr r="AG71" s="2"/>
      </tp>
      <tp>
        <v>9.0661530933160108</v>
        <stp/>
        <stp>##V3_BDPV12</stp>
        <stp>BMRN US Equity</stp>
        <stp>RR041</stp>
        <stp>[DPM - Securities Master List (BBG Linked).xlsx]Equities!R70C33</stp>
        <tr r="AG70" s="2"/>
        <tr r="AG70" s="2"/>
        <tr r="AG70" s="2"/>
      </tp>
      <tp>
        <v>9.0661530933160108</v>
        <stp/>
        <stp>##V3_BDPV12</stp>
        <stp>BMRN US Equity</stp>
        <stp>RR041</stp>
        <stp>[DPM - Securities Master List (BBG Linked).xlsx]Equities!R73C33</stp>
        <tr r="AG73" s="2"/>
        <tr r="AG73" s="2"/>
        <tr r="AG73" s="2"/>
      </tp>
      <tp>
        <v>9.0661530933160108</v>
        <stp/>
        <stp>##V3_BDPV12</stp>
        <stp>BMRN US Equity</stp>
        <stp>RR041</stp>
        <stp>[DPM - Securities Master List (BBG Linked).xlsx]Equities!R72C33</stp>
        <tr r="AG72" s="2"/>
        <tr r="AG72" s="2"/>
        <tr r="AG72" s="2"/>
      </tp>
      <tp>
        <v>9.0661530933160108</v>
        <stp/>
        <stp>##V3_BDPV12</stp>
        <stp>BMRN US Equity</stp>
        <stp>RR041</stp>
        <stp>[DPM - Securities Master List (BBG Linked).xlsx]Equities!R69C33</stp>
        <tr r="AG69" s="2"/>
        <tr r="AG69" s="2"/>
        <tr r="AG69" s="2"/>
      </tp>
      <tp>
        <v>9.0661530933160108</v>
        <stp/>
        <stp>##V3_BDPV12</stp>
        <stp>BMRN US Equity</stp>
        <stp>RR041</stp>
        <stp>[DPM - Securities Master List (BBG Linked).xlsx]Equities!R68C33</stp>
        <tr r="AG68" s="2"/>
        <tr r="AG68" s="2"/>
        <tr r="AG68" s="2"/>
      </tp>
      <tp>
        <v>9.0661530933160108</v>
        <stp/>
        <stp>##V3_BDPV12</stp>
        <stp>BMRN US Equity</stp>
        <stp>RR041</stp>
        <stp>[DPM - Securities Master List (BBG Linked).xlsx]Equities!R65C33</stp>
        <tr r="AG65" s="2"/>
        <tr r="AG65" s="2"/>
        <tr r="AG65" s="2"/>
      </tp>
      <tp>
        <v>9.0661530933160108</v>
        <stp/>
        <stp>##V3_BDPV12</stp>
        <stp>BMRN US Equity</stp>
        <stp>RR041</stp>
        <stp>[DPM - Securities Master List (BBG Linked).xlsx]Equities!R64C33</stp>
        <tr r="AG64" s="2"/>
        <tr r="AG64" s="2"/>
        <tr r="AG64" s="2"/>
      </tp>
      <tp>
        <v>9.0661530933160108</v>
        <stp/>
        <stp>##V3_BDPV12</stp>
        <stp>BMRN US Equity</stp>
        <stp>RR041</stp>
        <stp>[DPM - Securities Master List (BBG Linked).xlsx]Equities!R67C33</stp>
        <tr r="AG67" s="2"/>
        <tr r="AG67" s="2"/>
        <tr r="AG67" s="2"/>
      </tp>
      <tp>
        <v>9.0661530933160108</v>
        <stp/>
        <stp>##V3_BDPV12</stp>
        <stp>BMRN US Equity</stp>
        <stp>RR041</stp>
        <stp>[DPM - Securities Master List (BBG Linked).xlsx]Equities!R66C33</stp>
        <tr r="AG66" s="2"/>
        <tr r="AG66" s="2"/>
        <tr r="AG66" s="2"/>
      </tp>
      <tp>
        <v>9.0661530933160108</v>
        <stp/>
        <stp>##V3_BDPV12</stp>
        <stp>BMRN US Equity</stp>
        <stp>RR041</stp>
        <stp>[DPM - Securities Master List (BBG Linked).xlsx]Equities!R63C33</stp>
        <tr r="AG63" s="2"/>
        <tr r="AG63" s="2"/>
        <tr r="AG63" s="2"/>
      </tp>
      <tp>
        <v>52.93</v>
        <stp/>
        <stp>##V3_BDPV12</stp>
        <stp>BMRN US Equity</stp>
        <stp>hs002</stp>
        <stp>[DPM - Securities Master List (BBG Linked).xlsx]Equities!R68C45</stp>
        <tr r="AS68" s="2"/>
      </tp>
      <tp>
        <v>52.93</v>
        <stp/>
        <stp>##V3_BDPV12</stp>
        <stp>BMRN US Equity</stp>
        <stp>hs002</stp>
        <stp>[DPM - Securities Master List (BBG Linked).xlsx]Equities!R69C45</stp>
        <tr r="AS69" s="2"/>
      </tp>
      <tp>
        <v>52.93</v>
        <stp/>
        <stp>##V3_BDPV12</stp>
        <stp>BMRN US Equity</stp>
        <stp>hs002</stp>
        <stp>[DPM - Securities Master List (BBG Linked).xlsx]Equities!R64C45</stp>
        <tr r="AS64" s="2"/>
      </tp>
      <tp>
        <v>52.93</v>
        <stp/>
        <stp>##V3_BDPV12</stp>
        <stp>BMRN US Equity</stp>
        <stp>hs002</stp>
        <stp>[DPM - Securities Master List (BBG Linked).xlsx]Equities!R65C45</stp>
        <tr r="AS65" s="2"/>
      </tp>
      <tp>
        <v>52.93</v>
        <stp/>
        <stp>##V3_BDPV12</stp>
        <stp>BMRN US Equity</stp>
        <stp>hs002</stp>
        <stp>[DPM - Securities Master List (BBG Linked).xlsx]Equities!R66C45</stp>
        <tr r="AS66" s="2"/>
      </tp>
      <tp>
        <v>52.93</v>
        <stp/>
        <stp>##V3_BDPV12</stp>
        <stp>BMRN US Equity</stp>
        <stp>hs002</stp>
        <stp>[DPM - Securities Master List (BBG Linked).xlsx]Equities!R67C45</stp>
        <tr r="AS67" s="2"/>
      </tp>
      <tp>
        <v>52.93</v>
        <stp/>
        <stp>##V3_BDPV12</stp>
        <stp>BMRN US Equity</stp>
        <stp>hs002</stp>
        <stp>[DPM - Securities Master List (BBG Linked).xlsx]Equities!R63C45</stp>
        <tr r="AS63" s="2"/>
      </tp>
      <tp>
        <v>52.93</v>
        <stp/>
        <stp>##V3_BDPV12</stp>
        <stp>BMRN US Equity</stp>
        <stp>hs002</stp>
        <stp>[DPM - Securities Master List (BBG Linked).xlsx]Equities!R74C45</stp>
        <tr r="AS74" s="2"/>
      </tp>
      <tp>
        <v>52.93</v>
        <stp/>
        <stp>##V3_BDPV12</stp>
        <stp>BMRN US Equity</stp>
        <stp>hs002</stp>
        <stp>[DPM - Securities Master List (BBG Linked).xlsx]Equities!R75C45</stp>
        <tr r="AS75" s="2"/>
      </tp>
      <tp>
        <v>52.93</v>
        <stp/>
        <stp>##V3_BDPV12</stp>
        <stp>BMRN US Equity</stp>
        <stp>hs002</stp>
        <stp>[DPM - Securities Master List (BBG Linked).xlsx]Equities!R70C45</stp>
        <tr r="AS70" s="2"/>
      </tp>
      <tp>
        <v>52.93</v>
        <stp/>
        <stp>##V3_BDPV12</stp>
        <stp>BMRN US Equity</stp>
        <stp>hs002</stp>
        <stp>[DPM - Securities Master List (BBG Linked).xlsx]Equities!R71C45</stp>
        <tr r="AS71" s="2"/>
      </tp>
      <tp>
        <v>52.93</v>
        <stp/>
        <stp>##V3_BDPV12</stp>
        <stp>BMRN US Equity</stp>
        <stp>hs002</stp>
        <stp>[DPM - Securities Master List (BBG Linked).xlsx]Equities!R72C45</stp>
        <tr r="AS72" s="2"/>
      </tp>
      <tp>
        <v>52.93</v>
        <stp/>
        <stp>##V3_BDPV12</stp>
        <stp>BMRN US Equity</stp>
        <stp>hs002</stp>
        <stp>[DPM - Securities Master List (BBG Linked).xlsx]Equities!R73C45</stp>
        <tr r="AS73" s="2"/>
      </tp>
      <tp>
        <v>94.85</v>
        <stp/>
        <stp>##V3_BDPV12</stp>
        <stp>BMRN US Equity</stp>
        <stp>hs001</stp>
        <stp>[DPM - Securities Master List (BBG Linked).xlsx]Equities!R68C44</stp>
        <tr r="AR68" s="2"/>
      </tp>
      <tp>
        <v>94.85</v>
        <stp/>
        <stp>##V3_BDPV12</stp>
        <stp>BMRN US Equity</stp>
        <stp>hs001</stp>
        <stp>[DPM - Securities Master List (BBG Linked).xlsx]Equities!R69C44</stp>
        <tr r="AR69" s="2"/>
      </tp>
      <tp>
        <v>94.85</v>
        <stp/>
        <stp>##V3_BDPV12</stp>
        <stp>BMRN US Equity</stp>
        <stp>hs001</stp>
        <stp>[DPM - Securities Master List (BBG Linked).xlsx]Equities!R64C44</stp>
        <tr r="AR64" s="2"/>
      </tp>
      <tp>
        <v>94.85</v>
        <stp/>
        <stp>##V3_BDPV12</stp>
        <stp>BMRN US Equity</stp>
        <stp>hs001</stp>
        <stp>[DPM - Securities Master List (BBG Linked).xlsx]Equities!R65C44</stp>
        <tr r="AR65" s="2"/>
      </tp>
      <tp>
        <v>94.85</v>
        <stp/>
        <stp>##V3_BDPV12</stp>
        <stp>BMRN US Equity</stp>
        <stp>hs001</stp>
        <stp>[DPM - Securities Master List (BBG Linked).xlsx]Equities!R66C44</stp>
        <tr r="AR66" s="2"/>
      </tp>
      <tp>
        <v>94.85</v>
        <stp/>
        <stp>##V3_BDPV12</stp>
        <stp>BMRN US Equity</stp>
        <stp>hs001</stp>
        <stp>[DPM - Securities Master List (BBG Linked).xlsx]Equities!R67C44</stp>
        <tr r="AR67" s="2"/>
      </tp>
      <tp>
        <v>94.85</v>
        <stp/>
        <stp>##V3_BDPV12</stp>
        <stp>BMRN US Equity</stp>
        <stp>hs001</stp>
        <stp>[DPM - Securities Master List (BBG Linked).xlsx]Equities!R63C44</stp>
        <tr r="AR63" s="2"/>
      </tp>
      <tp>
        <v>94.85</v>
        <stp/>
        <stp>##V3_BDPV12</stp>
        <stp>BMRN US Equity</stp>
        <stp>hs001</stp>
        <stp>[DPM - Securities Master List (BBG Linked).xlsx]Equities!R74C44</stp>
        <tr r="AR74" s="2"/>
      </tp>
      <tp>
        <v>94.85</v>
        <stp/>
        <stp>##V3_BDPV12</stp>
        <stp>BMRN US Equity</stp>
        <stp>hs001</stp>
        <stp>[DPM - Securities Master List (BBG Linked).xlsx]Equities!R75C44</stp>
        <tr r="AR75" s="2"/>
      </tp>
      <tp>
        <v>94.85</v>
        <stp/>
        <stp>##V3_BDPV12</stp>
        <stp>BMRN US Equity</stp>
        <stp>hs001</stp>
        <stp>[DPM - Securities Master List (BBG Linked).xlsx]Equities!R70C44</stp>
        <tr r="AR70" s="2"/>
      </tp>
      <tp>
        <v>94.85</v>
        <stp/>
        <stp>##V3_BDPV12</stp>
        <stp>BMRN US Equity</stp>
        <stp>hs001</stp>
        <stp>[DPM - Securities Master List (BBG Linked).xlsx]Equities!R71C44</stp>
        <tr r="AR71" s="2"/>
      </tp>
      <tp>
        <v>94.85</v>
        <stp/>
        <stp>##V3_BDPV12</stp>
        <stp>BMRN US Equity</stp>
        <stp>hs001</stp>
        <stp>[DPM - Securities Master List (BBG Linked).xlsx]Equities!R72C44</stp>
        <tr r="AR72" s="2"/>
      </tp>
      <tp>
        <v>94.85</v>
        <stp/>
        <stp>##V3_BDPV12</stp>
        <stp>BMRN US Equity</stp>
        <stp>hs001</stp>
        <stp>[DPM - Securities Master List (BBG Linked).xlsx]Equities!R73C44</stp>
        <tr r="AR73" s="2"/>
      </tp>
      <tp t="s">
        <v>CHF</v>
        <stp/>
        <stp>##V3_BDPV12</stp>
        <stp>NESN SW Equity</stp>
        <stp>CRNCY</stp>
        <stp>[DPM - Securities Master List (BBG Linked).xlsx]Equities!R193C6</stp>
        <tr r="F193" s="2"/>
      </tp>
      <tp t="s">
        <v>CHF</v>
        <stp/>
        <stp>##V3_BDPV12</stp>
        <stp>NESN SW Equity</stp>
        <stp>CRNCY</stp>
        <stp>[DPM - Securities Master List (BBG Linked).xlsx]Equities!R203C6</stp>
        <tr r="F203" s="2"/>
      </tp>
      <tp t="s">
        <v>US09061G1013</v>
        <stp/>
        <stp>##V3_BDPV12</stp>
        <stp>BMRN US Equity</stp>
        <stp>ID005</stp>
        <stp>[DPM - Securities Master List (BBG Linked).xlsx]Equities!R69C55</stp>
        <tr r="BC69" s="2"/>
      </tp>
      <tp t="s">
        <v>US09061G1013</v>
        <stp/>
        <stp>##V3_BDPV12</stp>
        <stp>BMRN US Equity</stp>
        <stp>ID005</stp>
        <stp>[DPM - Securities Master List (BBG Linked).xlsx]Equities!R63C55</stp>
        <tr r="BC63" s="2"/>
      </tp>
      <tp t="s">
        <v>US09061G1013</v>
        <stp/>
        <stp>##V3_BDPV12</stp>
        <stp>BMRN US Equity</stp>
        <stp>ID005</stp>
        <stp>[DPM - Securities Master List (BBG Linked).xlsx]Equities!R66C55</stp>
        <tr r="BC66" s="2"/>
      </tp>
      <tp t="s">
        <v>US09061G1013</v>
        <stp/>
        <stp>##V3_BDPV12</stp>
        <stp>BMRN US Equity</stp>
        <stp>ID005</stp>
        <stp>[DPM - Securities Master List (BBG Linked).xlsx]Equities!R65C55</stp>
        <tr r="BC65" s="2"/>
      </tp>
      <tp t="s">
        <v>US09061G1013</v>
        <stp/>
        <stp>##V3_BDPV12</stp>
        <stp>BMRN US Equity</stp>
        <stp>ID005</stp>
        <stp>[DPM - Securities Master List (BBG Linked).xlsx]Equities!R64C55</stp>
        <tr r="BC64" s="2"/>
      </tp>
      <tp t="s">
        <v>US09061G1013</v>
        <stp/>
        <stp>##V3_BDPV12</stp>
        <stp>BMRN US Equity</stp>
        <stp>ID005</stp>
        <stp>[DPM - Securities Master List (BBG Linked).xlsx]Equities!R73C55</stp>
        <tr r="BC73" s="2"/>
      </tp>
      <tp t="s">
        <v>US09061G1013</v>
        <stp/>
        <stp>##V3_BDPV12</stp>
        <stp>BMRN US Equity</stp>
        <stp>ID005</stp>
        <stp>[DPM - Securities Master List (BBG Linked).xlsx]Equities!R72C55</stp>
        <tr r="BC72" s="2"/>
      </tp>
      <tp t="s">
        <v>US09061G1013</v>
        <stp/>
        <stp>##V3_BDPV12</stp>
        <stp>BMRN US Equity</stp>
        <stp>ID005</stp>
        <stp>[DPM - Securities Master List (BBG Linked).xlsx]Equities!R71C55</stp>
        <tr r="BC71" s="2"/>
      </tp>
      <tp t="s">
        <v>US09061G1013</v>
        <stp/>
        <stp>##V3_BDPV12</stp>
        <stp>BMRN US Equity</stp>
        <stp>ID005</stp>
        <stp>[DPM - Securities Master List (BBG Linked).xlsx]Equities!R70C55</stp>
        <tr r="BC70" s="2"/>
      </tp>
      <tp t="s">
        <v>US09061G1013</v>
        <stp/>
        <stp>##V3_BDPV12</stp>
        <stp>BMRN US Equity</stp>
        <stp>ID005</stp>
        <stp>[DPM - Securities Master List (BBG Linked).xlsx]Equities!R75C55</stp>
        <tr r="BC75" s="2"/>
      </tp>
      <tp t="s">
        <v>US09061G1013</v>
        <stp/>
        <stp>##V3_BDPV12</stp>
        <stp>BMRN US Equity</stp>
        <stp>ID005</stp>
        <stp>[DPM - Securities Master List (BBG Linked).xlsx]Equities!R74C55</stp>
        <tr r="BC74" s="2"/>
      </tp>
      <tp>
        <v>-5.6962960000000002</v>
        <stp/>
        <stp>##V3_BDPV12</stp>
        <stp>BMRN US Equity</stp>
        <stp>PR064</stp>
        <stp>[DPM - Securities Master List (BBG Linked).xlsx]Equities!R69C41</stp>
        <tr r="AO69" s="2"/>
      </tp>
      <tp>
        <v>-5.6962960000000002</v>
        <stp/>
        <stp>##V3_BDPV12</stp>
        <stp>BMRN US Equity</stp>
        <stp>PR064</stp>
        <stp>[DPM - Securities Master List (BBG Linked).xlsx]Equities!R68C41</stp>
        <tr r="AO68" s="2"/>
      </tp>
      <tp>
        <v>-5.6962960000000002</v>
        <stp/>
        <stp>##V3_BDPV12</stp>
        <stp>BMRN US Equity</stp>
        <stp>PR064</stp>
        <stp>[DPM - Securities Master List (BBG Linked).xlsx]Equities!R65C41</stp>
        <tr r="AO65" s="2"/>
      </tp>
      <tp>
        <v>-5.6962960000000002</v>
        <stp/>
        <stp>##V3_BDPV12</stp>
        <stp>BMRN US Equity</stp>
        <stp>PR064</stp>
        <stp>[DPM - Securities Master List (BBG Linked).xlsx]Equities!R64C41</stp>
        <tr r="AO64" s="2"/>
      </tp>
      <tp>
        <v>-5.6962960000000002</v>
        <stp/>
        <stp>##V3_BDPV12</stp>
        <stp>BMRN US Equity</stp>
        <stp>PR064</stp>
        <stp>[DPM - Securities Master List (BBG Linked).xlsx]Equities!R67C41</stp>
        <tr r="AO67" s="2"/>
      </tp>
      <tp>
        <v>-5.6962960000000002</v>
        <stp/>
        <stp>##V3_BDPV12</stp>
        <stp>BMRN US Equity</stp>
        <stp>PR064</stp>
        <stp>[DPM - Securities Master List (BBG Linked).xlsx]Equities!R66C41</stp>
        <tr r="AO66" s="2"/>
      </tp>
      <tp>
        <v>-5.6962960000000002</v>
        <stp/>
        <stp>##V3_BDPV12</stp>
        <stp>BMRN US Equity</stp>
        <stp>PR064</stp>
        <stp>[DPM - Securities Master List (BBG Linked).xlsx]Equities!R63C41</stp>
        <tr r="AO63" s="2"/>
      </tp>
      <tp>
        <v>-5.6962960000000002</v>
        <stp/>
        <stp>##V3_BDPV12</stp>
        <stp>BMRN US Equity</stp>
        <stp>PR064</stp>
        <stp>[DPM - Securities Master List (BBG Linked).xlsx]Equities!R75C41</stp>
        <tr r="AO75" s="2"/>
      </tp>
      <tp>
        <v>-5.6962960000000002</v>
        <stp/>
        <stp>##V3_BDPV12</stp>
        <stp>BMRN US Equity</stp>
        <stp>PR064</stp>
        <stp>[DPM - Securities Master List (BBG Linked).xlsx]Equities!R74C41</stp>
        <tr r="AO74" s="2"/>
      </tp>
      <tp>
        <v>-5.6962960000000002</v>
        <stp/>
        <stp>##V3_BDPV12</stp>
        <stp>BMRN US Equity</stp>
        <stp>PR064</stp>
        <stp>[DPM - Securities Master List (BBG Linked).xlsx]Equities!R71C41</stp>
        <tr r="AO71" s="2"/>
      </tp>
      <tp>
        <v>-5.6962960000000002</v>
        <stp/>
        <stp>##V3_BDPV12</stp>
        <stp>BMRN US Equity</stp>
        <stp>PR064</stp>
        <stp>[DPM - Securities Master List (BBG Linked).xlsx]Equities!R70C41</stp>
        <tr r="AO70" s="2"/>
      </tp>
      <tp>
        <v>-5.6962960000000002</v>
        <stp/>
        <stp>##V3_BDPV12</stp>
        <stp>BMRN US Equity</stp>
        <stp>PR064</stp>
        <stp>[DPM - Securities Master List (BBG Linked).xlsx]Equities!R73C41</stp>
        <tr r="AO73" s="2"/>
      </tp>
      <tp>
        <v>-5.6962960000000002</v>
        <stp/>
        <stp>##V3_BDPV12</stp>
        <stp>BMRN US Equity</stp>
        <stp>PR064</stp>
        <stp>[DPM - Securities Master List (BBG Linked).xlsx]Equities!R72C41</stp>
        <tr r="AO72" s="2"/>
      </tp>
      <tp>
        <v>0.6886852</v>
        <stp/>
        <stp>##V3_BDPV12</stp>
        <stp>BMRN US Equity</stp>
        <stp>PR061</stp>
        <stp>[DPM - Securities Master List (BBG Linked).xlsx]Equities!R69C40</stp>
        <tr r="AN69" s="2"/>
      </tp>
      <tp>
        <v>0.6886852</v>
        <stp/>
        <stp>##V3_BDPV12</stp>
        <stp>BMRN US Equity</stp>
        <stp>PR061</stp>
        <stp>[DPM - Securities Master List (BBG Linked).xlsx]Equities!R68C40</stp>
        <tr r="AN68" s="2"/>
      </tp>
      <tp>
        <v>0.6886852</v>
        <stp/>
        <stp>##V3_BDPV12</stp>
        <stp>BMRN US Equity</stp>
        <stp>PR061</stp>
        <stp>[DPM - Securities Master List (BBG Linked).xlsx]Equities!R65C40</stp>
        <tr r="AN65" s="2"/>
      </tp>
      <tp>
        <v>0.6886852</v>
        <stp/>
        <stp>##V3_BDPV12</stp>
        <stp>BMRN US Equity</stp>
        <stp>PR061</stp>
        <stp>[DPM - Securities Master List (BBG Linked).xlsx]Equities!R64C40</stp>
        <tr r="AN64" s="2"/>
      </tp>
      <tp>
        <v>0.6886852</v>
        <stp/>
        <stp>##V3_BDPV12</stp>
        <stp>BMRN US Equity</stp>
        <stp>PR061</stp>
        <stp>[DPM - Securities Master List (BBG Linked).xlsx]Equities!R67C40</stp>
        <tr r="AN67" s="2"/>
      </tp>
      <tp>
        <v>0.6886852</v>
        <stp/>
        <stp>##V3_BDPV12</stp>
        <stp>BMRN US Equity</stp>
        <stp>PR061</stp>
        <stp>[DPM - Securities Master List (BBG Linked).xlsx]Equities!R66C40</stp>
        <tr r="AN66" s="2"/>
      </tp>
      <tp>
        <v>0.6886852</v>
        <stp/>
        <stp>##V3_BDPV12</stp>
        <stp>BMRN US Equity</stp>
        <stp>PR061</stp>
        <stp>[DPM - Securities Master List (BBG Linked).xlsx]Equities!R63C40</stp>
        <tr r="AN63" s="2"/>
      </tp>
      <tp>
        <v>0.6886852</v>
        <stp/>
        <stp>##V3_BDPV12</stp>
        <stp>BMRN US Equity</stp>
        <stp>PR061</stp>
        <stp>[DPM - Securities Master List (BBG Linked).xlsx]Equities!R75C40</stp>
        <tr r="AN75" s="2"/>
      </tp>
      <tp>
        <v>0.6886852</v>
        <stp/>
        <stp>##V3_BDPV12</stp>
        <stp>BMRN US Equity</stp>
        <stp>PR061</stp>
        <stp>[DPM - Securities Master List (BBG Linked).xlsx]Equities!R74C40</stp>
        <tr r="AN74" s="2"/>
      </tp>
      <tp>
        <v>0.6886852</v>
        <stp/>
        <stp>##V3_BDPV12</stp>
        <stp>BMRN US Equity</stp>
        <stp>PR061</stp>
        <stp>[DPM - Securities Master List (BBG Linked).xlsx]Equities!R71C40</stp>
        <tr r="AN71" s="2"/>
      </tp>
      <tp>
        <v>0.6886852</v>
        <stp/>
        <stp>##V3_BDPV12</stp>
        <stp>BMRN US Equity</stp>
        <stp>PR061</stp>
        <stp>[DPM - Securities Master List (BBG Linked).xlsx]Equities!R70C40</stp>
        <tr r="AN70" s="2"/>
      </tp>
      <tp>
        <v>0.6886852</v>
        <stp/>
        <stp>##V3_BDPV12</stp>
        <stp>BMRN US Equity</stp>
        <stp>PR061</stp>
        <stp>[DPM - Securities Master List (BBG Linked).xlsx]Equities!R73C40</stp>
        <tr r="AN73" s="2"/>
      </tp>
      <tp>
        <v>0.6886852</v>
        <stp/>
        <stp>##V3_BDPV12</stp>
        <stp>BMRN US Equity</stp>
        <stp>PR061</stp>
        <stp>[DPM - Securities Master List (BBG Linked).xlsx]Equities!R72C40</stp>
        <tr r="AN72" s="2"/>
      </tp>
      <tp>
        <v>-7.6905570000000001</v>
        <stp/>
        <stp>##V3_BDPV12</stp>
        <stp>BMRN US Equity</stp>
        <stp>PR079</stp>
        <stp>[DPM - Securities Master List (BBG Linked).xlsx]Equities!R75C43</stp>
        <tr r="AQ75" s="2"/>
      </tp>
      <tp>
        <v>-7.6905570000000001</v>
        <stp/>
        <stp>##V3_BDPV12</stp>
        <stp>BMRN US Equity</stp>
        <stp>PR079</stp>
        <stp>[DPM - Securities Master List (BBG Linked).xlsx]Equities!R74C43</stp>
        <tr r="AQ74" s="2"/>
      </tp>
      <tp>
        <v>-7.6905570000000001</v>
        <stp/>
        <stp>##V3_BDPV12</stp>
        <stp>BMRN US Equity</stp>
        <stp>PR079</stp>
        <stp>[DPM - Securities Master List (BBG Linked).xlsx]Equities!R71C43</stp>
        <tr r="AQ71" s="2"/>
      </tp>
      <tp>
        <v>-7.6905570000000001</v>
        <stp/>
        <stp>##V3_BDPV12</stp>
        <stp>BMRN US Equity</stp>
        <stp>PR079</stp>
        <stp>[DPM - Securities Master List (BBG Linked).xlsx]Equities!R70C43</stp>
        <tr r="AQ70" s="2"/>
      </tp>
      <tp>
        <v>-7.6905570000000001</v>
        <stp/>
        <stp>##V3_BDPV12</stp>
        <stp>BMRN US Equity</stp>
        <stp>PR079</stp>
        <stp>[DPM - Securities Master List (BBG Linked).xlsx]Equities!R73C43</stp>
        <tr r="AQ73" s="2"/>
      </tp>
      <tp>
        <v>-7.6905570000000001</v>
        <stp/>
        <stp>##V3_BDPV12</stp>
        <stp>BMRN US Equity</stp>
        <stp>PR079</stp>
        <stp>[DPM - Securities Master List (BBG Linked).xlsx]Equities!R72C43</stp>
        <tr r="AQ72" s="2"/>
      </tp>
      <tp>
        <v>-7.6905570000000001</v>
        <stp/>
        <stp>##V3_BDPV12</stp>
        <stp>BMRN US Equity</stp>
        <stp>PR079</stp>
        <stp>[DPM - Securities Master List (BBG Linked).xlsx]Equities!R69C43</stp>
        <tr r="AQ69" s="2"/>
      </tp>
      <tp>
        <v>-7.6905570000000001</v>
        <stp/>
        <stp>##V3_BDPV12</stp>
        <stp>BMRN US Equity</stp>
        <stp>PR079</stp>
        <stp>[DPM - Securities Master List (BBG Linked).xlsx]Equities!R68C43</stp>
        <tr r="AQ68" s="2"/>
      </tp>
      <tp>
        <v>-7.6905570000000001</v>
        <stp/>
        <stp>##V3_BDPV12</stp>
        <stp>BMRN US Equity</stp>
        <stp>PR079</stp>
        <stp>[DPM - Securities Master List (BBG Linked).xlsx]Equities!R65C43</stp>
        <tr r="AQ65" s="2"/>
      </tp>
      <tp>
        <v>-7.6905570000000001</v>
        <stp/>
        <stp>##V3_BDPV12</stp>
        <stp>BMRN US Equity</stp>
        <stp>PR079</stp>
        <stp>[DPM - Securities Master List (BBG Linked).xlsx]Equities!R64C43</stp>
        <tr r="AQ64" s="2"/>
      </tp>
      <tp>
        <v>-7.6905570000000001</v>
        <stp/>
        <stp>##V3_BDPV12</stp>
        <stp>BMRN US Equity</stp>
        <stp>PR079</stp>
        <stp>[DPM - Securities Master List (BBG Linked).xlsx]Equities!R67C43</stp>
        <tr r="AQ67" s="2"/>
      </tp>
      <tp>
        <v>-7.6905570000000001</v>
        <stp/>
        <stp>##V3_BDPV12</stp>
        <stp>BMRN US Equity</stp>
        <stp>PR079</stp>
        <stp>[DPM - Securities Master List (BBG Linked).xlsx]Equities!R66C43</stp>
        <tr r="AQ66" s="2"/>
      </tp>
      <tp>
        <v>-7.6905570000000001</v>
        <stp/>
        <stp>##V3_BDPV12</stp>
        <stp>BMRN US Equity</stp>
        <stp>PR079</stp>
        <stp>[DPM - Securities Master List (BBG Linked).xlsx]Equities!R63C43</stp>
        <tr r="AQ63" s="2"/>
      </tp>
      <tp>
        <v>11.319962686567163</v>
        <stp/>
        <stp>##V3_BDPV12</stp>
        <stp>BMRN US Equity</stp>
        <stp>EE010</stp>
        <stp>[DPM - Securities Master List (BBG Linked).xlsx]Equities!R68C12</stp>
        <tr r="L68" s="2"/>
        <tr r="L68" s="2"/>
        <tr r="L68" s="2"/>
      </tp>
      <tp>
        <v>11.319962686567163</v>
        <stp/>
        <stp>##V3_BDPV12</stp>
        <stp>BMRN US Equity</stp>
        <stp>EE010</stp>
        <stp>[DPM - Securities Master List (BBG Linked).xlsx]Equities!R69C12</stp>
        <tr r="L69" s="2"/>
        <tr r="L69" s="2"/>
        <tr r="L69" s="2"/>
      </tp>
      <tp>
        <v>11.319962686567163</v>
        <stp/>
        <stp>##V3_BDPV12</stp>
        <stp>BMRN US Equity</stp>
        <stp>EE010</stp>
        <stp>[DPM - Securities Master List (BBG Linked).xlsx]Equities!R63C12</stp>
        <tr r="L63" s="2"/>
        <tr r="L63" s="2"/>
        <tr r="L63" s="2"/>
      </tp>
      <tp>
        <v>11.319962686567163</v>
        <stp/>
        <stp>##V3_BDPV12</stp>
        <stp>BMRN US Equity</stp>
        <stp>EE010</stp>
        <stp>[DPM - Securities Master List (BBG Linked).xlsx]Equities!R66C12</stp>
        <tr r="L66" s="2"/>
        <tr r="L66" s="2"/>
        <tr r="L66" s="2"/>
      </tp>
      <tp>
        <v>11.319962686567163</v>
        <stp/>
        <stp>##V3_BDPV12</stp>
        <stp>BMRN US Equity</stp>
        <stp>EE010</stp>
        <stp>[DPM - Securities Master List (BBG Linked).xlsx]Equities!R67C12</stp>
        <tr r="L67" s="2"/>
        <tr r="L67" s="2"/>
        <tr r="L67" s="2"/>
      </tp>
      <tp>
        <v>11.319962686567163</v>
        <stp/>
        <stp>##V3_BDPV12</stp>
        <stp>BMRN US Equity</stp>
        <stp>EE010</stp>
        <stp>[DPM - Securities Master List (BBG Linked).xlsx]Equities!R64C12</stp>
        <tr r="L64" s="2"/>
        <tr r="L64" s="2"/>
        <tr r="L64" s="2"/>
      </tp>
      <tp>
        <v>11.319962686567163</v>
        <stp/>
        <stp>##V3_BDPV12</stp>
        <stp>BMRN US Equity</stp>
        <stp>EE010</stp>
        <stp>[DPM - Securities Master List (BBG Linked).xlsx]Equities!R65C12</stp>
        <tr r="L65" s="2"/>
        <tr r="L65" s="2"/>
        <tr r="L65" s="2"/>
      </tp>
      <tp t="s">
        <v>#N/A N/A</v>
        <stp/>
        <stp>##V3_BDPV12</stp>
        <stp>BMRN US Equity</stp>
        <stp>DV013</stp>
        <stp>[DPM - Securities Master List (BBG Linked).xlsx]Equities!R69C10</stp>
        <tr r="J69" s="2"/>
      </tp>
      <tp t="s">
        <v>#N/A N/A</v>
        <stp/>
        <stp>##V3_BDPV12</stp>
        <stp>BMRN US Equity</stp>
        <stp>DV013</stp>
        <stp>[DPM - Securities Master List (BBG Linked).xlsx]Equities!R68C10</stp>
        <tr r="J68" s="2"/>
      </tp>
      <tp t="s">
        <v>#N/A N/A</v>
        <stp/>
        <stp>##V3_BDPV12</stp>
        <stp>BMRN US Equity</stp>
        <stp>DV013</stp>
        <stp>[DPM - Securities Master List (BBG Linked).xlsx]Equities!R63C10</stp>
        <tr r="J63" s="2"/>
      </tp>
      <tp t="s">
        <v>#N/A N/A</v>
        <stp/>
        <stp>##V3_BDPV12</stp>
        <stp>BMRN US Equity</stp>
        <stp>DV013</stp>
        <stp>[DPM - Securities Master List (BBG Linked).xlsx]Equities!R65C10</stp>
        <tr r="J65" s="2"/>
      </tp>
      <tp t="s">
        <v>#N/A N/A</v>
        <stp/>
        <stp>##V3_BDPV12</stp>
        <stp>BMRN US Equity</stp>
        <stp>DV013</stp>
        <stp>[DPM - Securities Master List (BBG Linked).xlsx]Equities!R64C10</stp>
        <tr r="J64" s="2"/>
      </tp>
      <tp t="s">
        <v>#N/A N/A</v>
        <stp/>
        <stp>##V3_BDPV12</stp>
        <stp>BMRN US Equity</stp>
        <stp>DV013</stp>
        <stp>[DPM - Securities Master List (BBG Linked).xlsx]Equities!R67C10</stp>
        <tr r="J67" s="2"/>
      </tp>
      <tp t="s">
        <v>#N/A N/A</v>
        <stp/>
        <stp>##V3_BDPV12</stp>
        <stp>BMRN US Equity</stp>
        <stp>DV013</stp>
        <stp>[DPM - Securities Master List (BBG Linked).xlsx]Equities!R66C10</stp>
        <tr r="J66" s="2"/>
      </tp>
      <tp>
        <v>11.319962686567163</v>
        <stp/>
        <stp>##V3_BDPV12</stp>
        <stp>BMRN US Equity</stp>
        <stp>EE010</stp>
        <stp>[DPM - Securities Master List (BBG Linked).xlsx]Equities!R72C12</stp>
        <tr r="L72" s="2"/>
        <tr r="L72" s="2"/>
        <tr r="L72" s="2"/>
      </tp>
      <tp>
        <v>11.319962686567163</v>
        <stp/>
        <stp>##V3_BDPV12</stp>
        <stp>BMRN US Equity</stp>
        <stp>EE010</stp>
        <stp>[DPM - Securities Master List (BBG Linked).xlsx]Equities!R73C12</stp>
        <tr r="L73" s="2"/>
        <tr r="L73" s="2"/>
        <tr r="L73" s="2"/>
      </tp>
      <tp>
        <v>11.319962686567163</v>
        <stp/>
        <stp>##V3_BDPV12</stp>
        <stp>BMRN US Equity</stp>
        <stp>EE010</stp>
        <stp>[DPM - Securities Master List (BBG Linked).xlsx]Equities!R70C12</stp>
        <tr r="L70" s="2"/>
        <tr r="L70" s="2"/>
        <tr r="L70" s="2"/>
      </tp>
      <tp>
        <v>11.319962686567163</v>
        <stp/>
        <stp>##V3_BDPV12</stp>
        <stp>BMRN US Equity</stp>
        <stp>EE010</stp>
        <stp>[DPM - Securities Master List (BBG Linked).xlsx]Equities!R71C12</stp>
        <tr r="L71" s="2"/>
        <tr r="L71" s="2"/>
        <tr r="L71" s="2"/>
      </tp>
      <tp>
        <v>11.319962686567163</v>
        <stp/>
        <stp>##V3_BDPV12</stp>
        <stp>BMRN US Equity</stp>
        <stp>EE010</stp>
        <stp>[DPM - Securities Master List (BBG Linked).xlsx]Equities!R74C12</stp>
        <tr r="L74" s="2"/>
        <tr r="L74" s="2"/>
        <tr r="L74" s="2"/>
      </tp>
      <tp>
        <v>11.319962686567163</v>
        <stp/>
        <stp>##V3_BDPV12</stp>
        <stp>BMRN US Equity</stp>
        <stp>EE010</stp>
        <stp>[DPM - Securities Master List (BBG Linked).xlsx]Equities!R75C12</stp>
        <tr r="L75" s="2"/>
        <tr r="L75" s="2"/>
        <tr r="L75" s="2"/>
      </tp>
      <tp t="s">
        <v>#N/A N/A</v>
        <stp/>
        <stp>##V3_BDPV12</stp>
        <stp>BMRN US Equity</stp>
        <stp>DV013</stp>
        <stp>[DPM - Securities Master List (BBG Linked).xlsx]Equities!R71C10</stp>
        <tr r="J71" s="2"/>
      </tp>
      <tp t="s">
        <v>#N/A N/A</v>
        <stp/>
        <stp>##V3_BDPV12</stp>
        <stp>BMRN US Equity</stp>
        <stp>DV013</stp>
        <stp>[DPM - Securities Master List (BBG Linked).xlsx]Equities!R70C10</stp>
        <tr r="J70" s="2"/>
      </tp>
      <tp t="s">
        <v>#N/A N/A</v>
        <stp/>
        <stp>##V3_BDPV12</stp>
        <stp>BMRN US Equity</stp>
        <stp>DV013</stp>
        <stp>[DPM - Securities Master List (BBG Linked).xlsx]Equities!R73C10</stp>
        <tr r="J73" s="2"/>
      </tp>
      <tp t="s">
        <v>#N/A N/A</v>
        <stp/>
        <stp>##V3_BDPV12</stp>
        <stp>BMRN US Equity</stp>
        <stp>DV013</stp>
        <stp>[DPM - Securities Master List (BBG Linked).xlsx]Equities!R72C10</stp>
        <tr r="J72" s="2"/>
      </tp>
      <tp t="s">
        <v>#N/A N/A</v>
        <stp/>
        <stp>##V3_BDPV12</stp>
        <stp>BMRN US Equity</stp>
        <stp>DV013</stp>
        <stp>[DPM - Securities Master List (BBG Linked).xlsx]Equities!R75C10</stp>
        <tr r="J75" s="2"/>
      </tp>
      <tp t="s">
        <v>#N/A N/A</v>
        <stp/>
        <stp>##V3_BDPV12</stp>
        <stp>BMRN US Equity</stp>
        <stp>DV013</stp>
        <stp>[DPM - Securities Master List (BBG Linked).xlsx]Equities!R74C10</stp>
        <tr r="J74" s="2"/>
      </tp>
      <tp t="s">
        <v>Equity</v>
        <stp/>
        <stp>##V3_BDPV12</stp>
        <stp>BMRN US Equity</stp>
        <stp>EX028</stp>
        <stp>[DPM - Securities Master List (BBG Linked).xlsx]Equities!R67C30</stp>
        <tr r="AD67" s="2"/>
        <tr r="AD67" s="2"/>
        <tr r="AD67" s="2"/>
      </tp>
      <tp t="s">
        <v>Equity</v>
        <stp/>
        <stp>##V3_BDPV12</stp>
        <stp>BMRN US Equity</stp>
        <stp>EX028</stp>
        <stp>[DPM - Securities Master List (BBG Linked).xlsx]Equities!R66C30</stp>
        <tr r="AD66" s="2"/>
        <tr r="AD66" s="2"/>
        <tr r="AD66" s="2"/>
      </tp>
      <tp t="s">
        <v>Equity</v>
        <stp/>
        <stp>##V3_BDPV12</stp>
        <stp>BMRN US Equity</stp>
        <stp>EX028</stp>
        <stp>[DPM - Securities Master List (BBG Linked).xlsx]Equities!R65C30</stp>
        <tr r="AD65" s="2"/>
        <tr r="AD65" s="2"/>
        <tr r="AD65" s="2"/>
      </tp>
      <tp t="s">
        <v>Equity</v>
        <stp/>
        <stp>##V3_BDPV12</stp>
        <stp>BMRN US Equity</stp>
        <stp>EX028</stp>
        <stp>[DPM - Securities Master List (BBG Linked).xlsx]Equities!R64C30</stp>
        <tr r="AD64" s="2"/>
        <tr r="AD64" s="2"/>
        <tr r="AD64" s="2"/>
      </tp>
      <tp t="s">
        <v>Equity</v>
        <stp/>
        <stp>##V3_BDPV12</stp>
        <stp>BMRN US Equity</stp>
        <stp>EX028</stp>
        <stp>[DPM - Securities Master List (BBG Linked).xlsx]Equities!R63C30</stp>
        <tr r="AD63" s="2"/>
        <tr r="AD63" s="2"/>
        <tr r="AD63" s="2"/>
      </tp>
      <tp t="s">
        <v>Equity</v>
        <stp/>
        <stp>##V3_BDPV12</stp>
        <stp>BMRN US Equity</stp>
        <stp>EX028</stp>
        <stp>[DPM - Securities Master List (BBG Linked).xlsx]Equities!R69C30</stp>
        <tr r="AD69" s="2"/>
        <tr r="AD69" s="2"/>
        <tr r="AD69" s="2"/>
      </tp>
      <tp t="s">
        <v>Equity</v>
        <stp/>
        <stp>##V3_BDPV12</stp>
        <stp>BMRN US Equity</stp>
        <stp>EX028</stp>
        <stp>[DPM - Securities Master List (BBG Linked).xlsx]Equities!R68C30</stp>
        <tr r="AD68" s="2"/>
        <tr r="AD68" s="2"/>
        <tr r="AD68" s="2"/>
      </tp>
      <tp t="s">
        <v>Equity</v>
        <stp/>
        <stp>##V3_BDPV12</stp>
        <stp>BMRN US Equity</stp>
        <stp>EX028</stp>
        <stp>[DPM - Securities Master List (BBG Linked).xlsx]Equities!R75C30</stp>
        <tr r="AD75" s="2"/>
        <tr r="AD75" s="2"/>
        <tr r="AD75" s="2"/>
      </tp>
      <tp t="s">
        <v>Equity</v>
        <stp/>
        <stp>##V3_BDPV12</stp>
        <stp>BMRN US Equity</stp>
        <stp>EX028</stp>
        <stp>[DPM - Securities Master List (BBG Linked).xlsx]Equities!R74C30</stp>
        <tr r="AD74" s="2"/>
        <tr r="AD74" s="2"/>
        <tr r="AD74" s="2"/>
      </tp>
      <tp t="s">
        <v>Equity</v>
        <stp/>
        <stp>##V3_BDPV12</stp>
        <stp>BMRN US Equity</stp>
        <stp>EX028</stp>
        <stp>[DPM - Securities Master List (BBG Linked).xlsx]Equities!R73C30</stp>
        <tr r="AD73" s="2"/>
        <tr r="AD73" s="2"/>
        <tr r="AD73" s="2"/>
      </tp>
      <tp t="s">
        <v>Equity</v>
        <stp/>
        <stp>##V3_BDPV12</stp>
        <stp>BMRN US Equity</stp>
        <stp>EX028</stp>
        <stp>[DPM - Securities Master List (BBG Linked).xlsx]Equities!R72C30</stp>
        <tr r="AD72" s="2"/>
        <tr r="AD72" s="2"/>
        <tr r="AD72" s="2"/>
      </tp>
      <tp t="s">
        <v>Equity</v>
        <stp/>
        <stp>##V3_BDPV12</stp>
        <stp>BMRN US Equity</stp>
        <stp>EX028</stp>
        <stp>[DPM - Securities Master List (BBG Linked).xlsx]Equities!R71C30</stp>
        <tr r="AD71" s="2"/>
        <tr r="AD71" s="2"/>
        <tr r="AD71" s="2"/>
      </tp>
      <tp t="s">
        <v>Equity</v>
        <stp/>
        <stp>##V3_BDPV12</stp>
        <stp>BMRN US Equity</stp>
        <stp>EX028</stp>
        <stp>[DPM - Securities Master List (BBG Linked).xlsx]Equities!R70C30</stp>
        <tr r="AD70" s="2"/>
        <tr r="AD70" s="2"/>
        <tr r="AD70" s="2"/>
      </tp>
      <tp t="s">
        <v>USD</v>
        <stp/>
        <stp>##V3_BDPV12</stp>
        <stp>DELL US Equity</stp>
        <stp>CRNCY</stp>
        <stp>[DPM - Securities Master List (BBG Linked).xlsx]Equities!R105C6</stp>
        <tr r="F105" s="2"/>
      </tp>
      <tp t="s">
        <v>Y</v>
        <stp/>
        <stp>##V3_BDPV12</stp>
        <stp>ADBE US Equity</stp>
        <stp>DY997</stp>
        <stp>[DPM - Securities Master List (BBG Linked).xlsx]Equities!R45C47</stp>
        <tr r="AU45" s="2"/>
        <tr r="AU45" s="2"/>
        <tr r="AU45" s="2"/>
      </tp>
      <tp t="s">
        <v>Y</v>
        <stp/>
        <stp>##V3_BDPV12</stp>
        <stp>ADBE US Equity</stp>
        <stp>DY997</stp>
        <stp>[DPM - Securities Master List (BBG Linked).xlsx]Equities!R44C47</stp>
        <tr r="AU44" s="2"/>
        <tr r="AU44" s="2"/>
        <tr r="AU44" s="2"/>
      </tp>
      <tp t="s">
        <v>Y</v>
        <stp/>
        <stp>##V3_BDPV12</stp>
        <stp>ADBE US Equity</stp>
        <stp>DY997</stp>
        <stp>[DPM - Securities Master List (BBG Linked).xlsx]Equities!R47C47</stp>
        <tr r="AU47" s="2"/>
        <tr r="AU47" s="2"/>
        <tr r="AU47" s="2"/>
      </tp>
      <tp t="s">
        <v>Y</v>
        <stp/>
        <stp>##V3_BDPV12</stp>
        <stp>ADBE US Equity</stp>
        <stp>DY997</stp>
        <stp>[DPM - Securities Master List (BBG Linked).xlsx]Equities!R46C47</stp>
        <tr r="AU46" s="2"/>
        <tr r="AU46" s="2"/>
        <tr r="AU46" s="2"/>
      </tp>
      <tp t="s">
        <v>Y</v>
        <stp/>
        <stp>##V3_BDPV12</stp>
        <stp>ADBE US Equity</stp>
        <stp>DY997</stp>
        <stp>[DPM - Securities Master List (BBG Linked).xlsx]Equities!R41C47</stp>
        <tr r="AU41" s="2"/>
        <tr r="AU41" s="2"/>
        <tr r="AU41" s="2"/>
      </tp>
      <tp t="s">
        <v>Y</v>
        <stp/>
        <stp>##V3_BDPV12</stp>
        <stp>ADBE US Equity</stp>
        <stp>DY997</stp>
        <stp>[DPM - Securities Master List (BBG Linked).xlsx]Equities!R40C47</stp>
        <tr r="AU40" s="2"/>
        <tr r="AU40" s="2"/>
        <tr r="AU40" s="2"/>
      </tp>
      <tp t="s">
        <v>Y</v>
        <stp/>
        <stp>##V3_BDPV12</stp>
        <stp>ADBE US Equity</stp>
        <stp>DY997</stp>
        <stp>[DPM - Securities Master List (BBG Linked).xlsx]Equities!R43C47</stp>
        <tr r="AU43" s="2"/>
        <tr r="AU43" s="2"/>
        <tr r="AU43" s="2"/>
      </tp>
      <tp t="s">
        <v>Y</v>
        <stp/>
        <stp>##V3_BDPV12</stp>
        <stp>ADBE US Equity</stp>
        <stp>DY997</stp>
        <stp>[DPM - Securities Master List (BBG Linked).xlsx]Equities!R42C47</stp>
        <tr r="AU42" s="2"/>
        <tr r="AU42" s="2"/>
        <tr r="AU42" s="2"/>
      </tp>
      <tp t="s">
        <v>Y</v>
        <stp/>
        <stp>##V3_BDPV12</stp>
        <stp>ADBE US Equity</stp>
        <stp>DY997</stp>
        <stp>[DPM - Securities Master List (BBG Linked).xlsx]Equities!R49C47</stp>
        <tr r="AU49" s="2"/>
        <tr r="AU49" s="2"/>
        <tr r="AU49" s="2"/>
      </tp>
      <tp t="s">
        <v>Y</v>
        <stp/>
        <stp>##V3_BDPV12</stp>
        <stp>ADBE US Equity</stp>
        <stp>DY997</stp>
        <stp>[DPM - Securities Master List (BBG Linked).xlsx]Equities!R48C47</stp>
        <tr r="AU48" s="2"/>
        <tr r="AU48" s="2"/>
        <tr r="AU48" s="2"/>
      </tp>
      <tp t="s">
        <v>Y</v>
        <stp/>
        <stp>##V3_BDPV12</stp>
        <stp>ADBE US Equity</stp>
        <stp>DY997</stp>
        <stp>[DPM - Securities Master List (BBG Linked).xlsx]Equities!R37C47</stp>
        <tr r="AU37" s="2"/>
        <tr r="AU37" s="2"/>
        <tr r="AU37" s="2"/>
      </tp>
      <tp t="s">
        <v>Y</v>
        <stp/>
        <stp>##V3_BDPV12</stp>
        <stp>ADBE US Equity</stp>
        <stp>DY997</stp>
        <stp>[DPM - Securities Master List (BBG Linked).xlsx]Equities!R36C47</stp>
        <tr r="AU36" s="2"/>
        <tr r="AU36" s="2"/>
        <tr r="AU36" s="2"/>
      </tp>
      <tp t="s">
        <v>Y</v>
        <stp/>
        <stp>##V3_BDPV12</stp>
        <stp>ADBE US Equity</stp>
        <stp>DY997</stp>
        <stp>[DPM - Securities Master List (BBG Linked).xlsx]Equities!R39C47</stp>
        <tr r="AU39" s="2"/>
        <tr r="AU39" s="2"/>
        <tr r="AU39" s="2"/>
      </tp>
      <tp t="s">
        <v>Y</v>
        <stp/>
        <stp>##V3_BDPV12</stp>
        <stp>ADBE US Equity</stp>
        <stp>DY997</stp>
        <stp>[DPM - Securities Master List (BBG Linked).xlsx]Equities!R38C47</stp>
        <tr r="AU38" s="2"/>
        <tr r="AU38" s="2"/>
        <tr r="AU38" s="2"/>
      </tp>
      <tp>
        <v>18.2550111831805</v>
        <stp/>
        <stp>##V3_BDPV12</stp>
        <stp>ADBE US Equity</stp>
        <stp>RR957</stp>
        <stp>[DPM - Securities Master List (BBG Linked).xlsx]Equities!R38C14</stp>
        <tr r="N38" s="2"/>
        <tr r="N38" s="2"/>
        <tr r="N38" s="2"/>
      </tp>
      <tp>
        <v>18.2550111831805</v>
        <stp/>
        <stp>##V3_BDPV12</stp>
        <stp>ADBE US Equity</stp>
        <stp>RR957</stp>
        <stp>[DPM - Securities Master List (BBG Linked).xlsx]Equities!R39C14</stp>
        <tr r="N39" s="2"/>
        <tr r="N39" s="2"/>
        <tr r="N39" s="2"/>
      </tp>
      <tp>
        <v>18.2550111831805</v>
        <stp/>
        <stp>##V3_BDPV12</stp>
        <stp>ADBE US Equity</stp>
        <stp>RR957</stp>
        <stp>[DPM - Securities Master List (BBG Linked).xlsx]Equities!R36C14</stp>
        <tr r="N36" s="2"/>
        <tr r="N36" s="2"/>
        <tr r="N36" s="2"/>
      </tp>
      <tp>
        <v>18.2550111831805</v>
        <stp/>
        <stp>##V3_BDPV12</stp>
        <stp>ADBE US Equity</stp>
        <stp>RR957</stp>
        <stp>[DPM - Securities Master List (BBG Linked).xlsx]Equities!R37C14</stp>
        <tr r="N37" s="2"/>
        <tr r="N37" s="2"/>
        <tr r="N37" s="2"/>
      </tp>
      <tp>
        <v>18.2550111831805</v>
        <stp/>
        <stp>##V3_BDPV12</stp>
        <stp>ADBE US Equity</stp>
        <stp>RR957</stp>
        <stp>[DPM - Securities Master List (BBG Linked).xlsx]Equities!R48C14</stp>
        <tr r="N48" s="2"/>
        <tr r="N48" s="2"/>
        <tr r="N48" s="2"/>
      </tp>
      <tp>
        <v>18.2550111831805</v>
        <stp/>
        <stp>##V3_BDPV12</stp>
        <stp>ADBE US Equity</stp>
        <stp>RR957</stp>
        <stp>[DPM - Securities Master List (BBG Linked).xlsx]Equities!R49C14</stp>
        <tr r="N49" s="2"/>
        <tr r="N49" s="2"/>
        <tr r="N49" s="2"/>
      </tp>
      <tp>
        <v>18.2550111831805</v>
        <stp/>
        <stp>##V3_BDPV12</stp>
        <stp>ADBE US Equity</stp>
        <stp>RR957</stp>
        <stp>[DPM - Securities Master List (BBG Linked).xlsx]Equities!R46C14</stp>
        <tr r="N46" s="2"/>
        <tr r="N46" s="2"/>
        <tr r="N46" s="2"/>
      </tp>
      <tp>
        <v>18.2550111831805</v>
        <stp/>
        <stp>##V3_BDPV12</stp>
        <stp>ADBE US Equity</stp>
        <stp>RR957</stp>
        <stp>[DPM - Securities Master List (BBG Linked).xlsx]Equities!R47C14</stp>
        <tr r="N47" s="2"/>
        <tr r="N47" s="2"/>
        <tr r="N47" s="2"/>
      </tp>
      <tp>
        <v>18.2550111831805</v>
        <stp/>
        <stp>##V3_BDPV12</stp>
        <stp>ADBE US Equity</stp>
        <stp>RR957</stp>
        <stp>[DPM - Securities Master List (BBG Linked).xlsx]Equities!R44C14</stp>
        <tr r="N44" s="2"/>
        <tr r="N44" s="2"/>
        <tr r="N44" s="2"/>
      </tp>
      <tp>
        <v>18.2550111831805</v>
        <stp/>
        <stp>##V3_BDPV12</stp>
        <stp>ADBE US Equity</stp>
        <stp>RR957</stp>
        <stp>[DPM - Securities Master List (BBG Linked).xlsx]Equities!R45C14</stp>
        <tr r="N45" s="2"/>
        <tr r="N45" s="2"/>
        <tr r="N45" s="2"/>
      </tp>
      <tp>
        <v>18.2550111831805</v>
        <stp/>
        <stp>##V3_BDPV12</stp>
        <stp>ADBE US Equity</stp>
        <stp>RR957</stp>
        <stp>[DPM - Securities Master List (BBG Linked).xlsx]Equities!R42C14</stp>
        <tr r="N42" s="2"/>
        <tr r="N42" s="2"/>
        <tr r="N42" s="2"/>
      </tp>
      <tp>
        <v>18.2550111831805</v>
        <stp/>
        <stp>##V3_BDPV12</stp>
        <stp>ADBE US Equity</stp>
        <stp>RR957</stp>
        <stp>[DPM - Securities Master List (BBG Linked).xlsx]Equities!R43C14</stp>
        <tr r="N43" s="2"/>
        <tr r="N43" s="2"/>
        <tr r="N43" s="2"/>
      </tp>
      <tp>
        <v>18.2550111831805</v>
        <stp/>
        <stp>##V3_BDPV12</stp>
        <stp>ADBE US Equity</stp>
        <stp>RR957</stp>
        <stp>[DPM - Securities Master List (BBG Linked).xlsx]Equities!R40C14</stp>
        <tr r="N40" s="2"/>
        <tr r="N40" s="2"/>
        <tr r="N40" s="2"/>
      </tp>
      <tp>
        <v>18.2550111831805</v>
        <stp/>
        <stp>##V3_BDPV12</stp>
        <stp>ADBE US Equity</stp>
        <stp>RR957</stp>
        <stp>[DPM - Securities Master List (BBG Linked).xlsx]Equities!R41C14</stp>
        <tr r="N41" s="2"/>
        <tr r="N41" s="2"/>
        <tr r="N41" s="2"/>
      </tp>
      <tp>
        <v>18.181148793007175</v>
        <stp/>
        <stp>##V3_BDPV12</stp>
        <stp>ADBE US Equity</stp>
        <stp>RR908</stp>
        <stp>[DPM - Securities Master List (BBG Linked).xlsx]Equities!R38C32</stp>
        <tr r="AF38" s="2"/>
        <tr r="AF38" s="2"/>
        <tr r="AF38" s="2"/>
      </tp>
      <tp>
        <v>18.181148793007175</v>
        <stp/>
        <stp>##V3_BDPV12</stp>
        <stp>ADBE US Equity</stp>
        <stp>RR908</stp>
        <stp>[DPM - Securities Master List (BBG Linked).xlsx]Equities!R39C32</stp>
        <tr r="AF39" s="2"/>
        <tr r="AF39" s="2"/>
        <tr r="AF39" s="2"/>
      </tp>
      <tp>
        <v>18.181148793007175</v>
        <stp/>
        <stp>##V3_BDPV12</stp>
        <stp>ADBE US Equity</stp>
        <stp>RR908</stp>
        <stp>[DPM - Securities Master List (BBG Linked).xlsx]Equities!R36C32</stp>
        <tr r="AF36" s="2"/>
        <tr r="AF36" s="2"/>
        <tr r="AF36" s="2"/>
      </tp>
      <tp>
        <v>18.181148793007175</v>
        <stp/>
        <stp>##V3_BDPV12</stp>
        <stp>ADBE US Equity</stp>
        <stp>RR908</stp>
        <stp>[DPM - Securities Master List (BBG Linked).xlsx]Equities!R37C32</stp>
        <tr r="AF37" s="2"/>
        <tr r="AF37" s="2"/>
        <tr r="AF37" s="2"/>
      </tp>
      <tp>
        <v>18.181148793007175</v>
        <stp/>
        <stp>##V3_BDPV12</stp>
        <stp>ADBE US Equity</stp>
        <stp>RR908</stp>
        <stp>[DPM - Securities Master List (BBG Linked).xlsx]Equities!R48C32</stp>
        <tr r="AF48" s="2"/>
        <tr r="AF48" s="2"/>
        <tr r="AF48" s="2"/>
      </tp>
      <tp>
        <v>18.181148793007175</v>
        <stp/>
        <stp>##V3_BDPV12</stp>
        <stp>ADBE US Equity</stp>
        <stp>RR908</stp>
        <stp>[DPM - Securities Master List (BBG Linked).xlsx]Equities!R49C32</stp>
        <tr r="AF49" s="2"/>
        <tr r="AF49" s="2"/>
        <tr r="AF49" s="2"/>
      </tp>
      <tp>
        <v>18.181148793007175</v>
        <stp/>
        <stp>##V3_BDPV12</stp>
        <stp>ADBE US Equity</stp>
        <stp>RR908</stp>
        <stp>[DPM - Securities Master List (BBG Linked).xlsx]Equities!R46C32</stp>
        <tr r="AF46" s="2"/>
        <tr r="AF46" s="2"/>
        <tr r="AF46" s="2"/>
      </tp>
      <tp>
        <v>18.181148793007175</v>
        <stp/>
        <stp>##V3_BDPV12</stp>
        <stp>ADBE US Equity</stp>
        <stp>RR908</stp>
        <stp>[DPM - Securities Master List (BBG Linked).xlsx]Equities!R47C32</stp>
        <tr r="AF47" s="2"/>
        <tr r="AF47" s="2"/>
        <tr r="AF47" s="2"/>
      </tp>
      <tp>
        <v>18.181148793007175</v>
        <stp/>
        <stp>##V3_BDPV12</stp>
        <stp>ADBE US Equity</stp>
        <stp>RR908</stp>
        <stp>[DPM - Securities Master List (BBG Linked).xlsx]Equities!R44C32</stp>
        <tr r="AF44" s="2"/>
        <tr r="AF44" s="2"/>
        <tr r="AF44" s="2"/>
      </tp>
      <tp>
        <v>18.181148793007175</v>
        <stp/>
        <stp>##V3_BDPV12</stp>
        <stp>ADBE US Equity</stp>
        <stp>RR908</stp>
        <stp>[DPM - Securities Master List (BBG Linked).xlsx]Equities!R45C32</stp>
        <tr r="AF45" s="2"/>
        <tr r="AF45" s="2"/>
        <tr r="AF45" s="2"/>
      </tp>
      <tp>
        <v>18.181148793007175</v>
        <stp/>
        <stp>##V3_BDPV12</stp>
        <stp>ADBE US Equity</stp>
        <stp>RR908</stp>
        <stp>[DPM - Securities Master List (BBG Linked).xlsx]Equities!R42C32</stp>
        <tr r="AF42" s="2"/>
        <tr r="AF42" s="2"/>
        <tr r="AF42" s="2"/>
      </tp>
      <tp>
        <v>18.181148793007175</v>
        <stp/>
        <stp>##V3_BDPV12</stp>
        <stp>ADBE US Equity</stp>
        <stp>RR908</stp>
        <stp>[DPM - Securities Master List (BBG Linked).xlsx]Equities!R43C32</stp>
        <tr r="AF43" s="2"/>
        <tr r="AF43" s="2"/>
        <tr r="AF43" s="2"/>
      </tp>
      <tp>
        <v>18.181148793007175</v>
        <stp/>
        <stp>##V3_BDPV12</stp>
        <stp>ADBE US Equity</stp>
        <stp>RR908</stp>
        <stp>[DPM - Securities Master List (BBG Linked).xlsx]Equities!R40C32</stp>
        <tr r="AF40" s="2"/>
        <tr r="AF40" s="2"/>
        <tr r="AF40" s="2"/>
      </tp>
      <tp>
        <v>18.181148793007175</v>
        <stp/>
        <stp>##V3_BDPV12</stp>
        <stp>ADBE US Equity</stp>
        <stp>RR908</stp>
        <stp>[DPM - Securities Master List (BBG Linked).xlsx]Equities!R41C32</stp>
        <tr r="AF41" s="2"/>
        <tr r="AF41" s="2"/>
        <tr r="AF41" s="2"/>
      </tp>
      <tp>
        <v>25.391923765072026</v>
        <stp/>
        <stp>##V3_BDPV12</stp>
        <stp>ADBE US Equity</stp>
        <stp>RR900</stp>
        <stp>[DPM - Securities Master List (BBG Linked).xlsx]Equities!R38C11</stp>
        <tr r="K38" s="2"/>
        <tr r="K38" s="2"/>
        <tr r="K38" s="2"/>
      </tp>
      <tp>
        <v>25.391923765072026</v>
        <stp/>
        <stp>##V3_BDPV12</stp>
        <stp>ADBE US Equity</stp>
        <stp>RR900</stp>
        <stp>[DPM - Securities Master List (BBG Linked).xlsx]Equities!R39C11</stp>
        <tr r="K39" s="2"/>
        <tr r="K39" s="2"/>
        <tr r="K39" s="2"/>
      </tp>
      <tp>
        <v>25.391923765072026</v>
        <stp/>
        <stp>##V3_BDPV12</stp>
        <stp>ADBE US Equity</stp>
        <stp>RR900</stp>
        <stp>[DPM - Securities Master List (BBG Linked).xlsx]Equities!R36C11</stp>
        <tr r="K36" s="2"/>
        <tr r="K36" s="2"/>
        <tr r="K36" s="2"/>
      </tp>
      <tp>
        <v>25.391923765072026</v>
        <stp/>
        <stp>##V3_BDPV12</stp>
        <stp>ADBE US Equity</stp>
        <stp>RR900</stp>
        <stp>[DPM - Securities Master List (BBG Linked).xlsx]Equities!R37C11</stp>
        <tr r="K37" s="2"/>
        <tr r="K37" s="2"/>
        <tr r="K37" s="2"/>
      </tp>
      <tp>
        <v>12.790893065287623</v>
        <stp/>
        <stp>##V3_BDPV12</stp>
        <stp>ADBE US Equity</stp>
        <stp>RR903</stp>
        <stp>[DPM - Securities Master List (BBG Linked).xlsx]Equities!R38C13</stp>
        <tr r="M38" s="2"/>
        <tr r="M38" s="2"/>
        <tr r="M38" s="2"/>
      </tp>
      <tp>
        <v>12.790893065287623</v>
        <stp/>
        <stp>##V3_BDPV12</stp>
        <stp>ADBE US Equity</stp>
        <stp>RR903</stp>
        <stp>[DPM - Securities Master List (BBG Linked).xlsx]Equities!R39C13</stp>
        <tr r="M39" s="2"/>
        <tr r="M39" s="2"/>
        <tr r="M39" s="2"/>
      </tp>
      <tp>
        <v>12.790893065287623</v>
        <stp/>
        <stp>##V3_BDPV12</stp>
        <stp>ADBE US Equity</stp>
        <stp>RR903</stp>
        <stp>[DPM - Securities Master List (BBG Linked).xlsx]Equities!R36C13</stp>
        <tr r="M36" s="2"/>
        <tr r="M36" s="2"/>
        <tr r="M36" s="2"/>
      </tp>
      <tp>
        <v>12.790893065287623</v>
        <stp/>
        <stp>##V3_BDPV12</stp>
        <stp>ADBE US Equity</stp>
        <stp>RR903</stp>
        <stp>[DPM - Securities Master List (BBG Linked).xlsx]Equities!R37C13</stp>
        <tr r="M37" s="2"/>
        <tr r="M37" s="2"/>
        <tr r="M37" s="2"/>
      </tp>
      <tp>
        <v>12.790893065287623</v>
        <stp/>
        <stp>##V3_BDPV12</stp>
        <stp>ADBE US Equity</stp>
        <stp>RR903</stp>
        <stp>[DPM - Securities Master List (BBG Linked).xlsx]Equities!R48C13</stp>
        <tr r="M48" s="2"/>
        <tr r="M48" s="2"/>
        <tr r="M48" s="2"/>
      </tp>
      <tp>
        <v>12.790893065287623</v>
        <stp/>
        <stp>##V3_BDPV12</stp>
        <stp>ADBE US Equity</stp>
        <stp>RR903</stp>
        <stp>[DPM - Securities Master List (BBG Linked).xlsx]Equities!R49C13</stp>
        <tr r="M49" s="2"/>
        <tr r="M49" s="2"/>
        <tr r="M49" s="2"/>
      </tp>
      <tp>
        <v>12.790893065287623</v>
        <stp/>
        <stp>##V3_BDPV12</stp>
        <stp>ADBE US Equity</stp>
        <stp>RR903</stp>
        <stp>[DPM - Securities Master List (BBG Linked).xlsx]Equities!R46C13</stp>
        <tr r="M46" s="2"/>
        <tr r="M46" s="2"/>
        <tr r="M46" s="2"/>
      </tp>
      <tp>
        <v>12.790893065287623</v>
        <stp/>
        <stp>##V3_BDPV12</stp>
        <stp>ADBE US Equity</stp>
        <stp>RR903</stp>
        <stp>[DPM - Securities Master List (BBG Linked).xlsx]Equities!R47C13</stp>
        <tr r="M47" s="2"/>
        <tr r="M47" s="2"/>
        <tr r="M47" s="2"/>
      </tp>
      <tp>
        <v>12.790893065287623</v>
        <stp/>
        <stp>##V3_BDPV12</stp>
        <stp>ADBE US Equity</stp>
        <stp>RR903</stp>
        <stp>[DPM - Securities Master List (BBG Linked).xlsx]Equities!R44C13</stp>
        <tr r="M44" s="2"/>
        <tr r="M44" s="2"/>
        <tr r="M44" s="2"/>
      </tp>
      <tp>
        <v>12.790893065287623</v>
        <stp/>
        <stp>##V3_BDPV12</stp>
        <stp>ADBE US Equity</stp>
        <stp>RR903</stp>
        <stp>[DPM - Securities Master List (BBG Linked).xlsx]Equities!R45C13</stp>
        <tr r="M45" s="2"/>
        <tr r="M45" s="2"/>
        <tr r="M45" s="2"/>
      </tp>
      <tp>
        <v>12.790893065287623</v>
        <stp/>
        <stp>##V3_BDPV12</stp>
        <stp>ADBE US Equity</stp>
        <stp>RR903</stp>
        <stp>[DPM - Securities Master List (BBG Linked).xlsx]Equities!R42C13</stp>
        <tr r="M42" s="2"/>
        <tr r="M42" s="2"/>
        <tr r="M42" s="2"/>
      </tp>
      <tp>
        <v>12.790893065287623</v>
        <stp/>
        <stp>##V3_BDPV12</stp>
        <stp>ADBE US Equity</stp>
        <stp>RR903</stp>
        <stp>[DPM - Securities Master List (BBG Linked).xlsx]Equities!R43C13</stp>
        <tr r="M43" s="2"/>
        <tr r="M43" s="2"/>
        <tr r="M43" s="2"/>
      </tp>
      <tp>
        <v>12.790893065287623</v>
        <stp/>
        <stp>##V3_BDPV12</stp>
        <stp>ADBE US Equity</stp>
        <stp>RR903</stp>
        <stp>[DPM - Securities Master List (BBG Linked).xlsx]Equities!R40C13</stp>
        <tr r="M40" s="2"/>
        <tr r="M40" s="2"/>
        <tr r="M40" s="2"/>
      </tp>
      <tp>
        <v>12.790893065287623</v>
        <stp/>
        <stp>##V3_BDPV12</stp>
        <stp>ADBE US Equity</stp>
        <stp>RR903</stp>
        <stp>[DPM - Securities Master List (BBG Linked).xlsx]Equities!R41C13</stp>
        <tr r="M41" s="2"/>
        <tr r="M41" s="2"/>
        <tr r="M41" s="2"/>
      </tp>
      <tp>
        <v>25.391923765072026</v>
        <stp/>
        <stp>##V3_BDPV12</stp>
        <stp>ADBE US Equity</stp>
        <stp>RR900</stp>
        <stp>[DPM - Securities Master List (BBG Linked).xlsx]Equities!R48C11</stp>
        <tr r="K48" s="2"/>
        <tr r="K48" s="2"/>
        <tr r="K48" s="2"/>
      </tp>
      <tp>
        <v>25.391923765072026</v>
        <stp/>
        <stp>##V3_BDPV12</stp>
        <stp>ADBE US Equity</stp>
        <stp>RR900</stp>
        <stp>[DPM - Securities Master List (BBG Linked).xlsx]Equities!R49C11</stp>
        <tr r="K49" s="2"/>
        <tr r="K49" s="2"/>
        <tr r="K49" s="2"/>
      </tp>
      <tp>
        <v>25.391923765072026</v>
        <stp/>
        <stp>##V3_BDPV12</stp>
        <stp>ADBE US Equity</stp>
        <stp>RR900</stp>
        <stp>[DPM - Securities Master List (BBG Linked).xlsx]Equities!R46C11</stp>
        <tr r="K46" s="2"/>
        <tr r="K46" s="2"/>
        <tr r="K46" s="2"/>
      </tp>
      <tp>
        <v>25.391923765072026</v>
        <stp/>
        <stp>##V3_BDPV12</stp>
        <stp>ADBE US Equity</stp>
        <stp>RR900</stp>
        <stp>[DPM - Securities Master List (BBG Linked).xlsx]Equities!R47C11</stp>
        <tr r="K47" s="2"/>
        <tr r="K47" s="2"/>
        <tr r="K47" s="2"/>
      </tp>
      <tp>
        <v>25.391923765072026</v>
        <stp/>
        <stp>##V3_BDPV12</stp>
        <stp>ADBE US Equity</stp>
        <stp>RR900</stp>
        <stp>[DPM - Securities Master List (BBG Linked).xlsx]Equities!R44C11</stp>
        <tr r="K44" s="2"/>
        <tr r="K44" s="2"/>
        <tr r="K44" s="2"/>
      </tp>
      <tp>
        <v>25.391923765072026</v>
        <stp/>
        <stp>##V3_BDPV12</stp>
        <stp>ADBE US Equity</stp>
        <stp>RR900</stp>
        <stp>[DPM - Securities Master List (BBG Linked).xlsx]Equities!R45C11</stp>
        <tr r="K45" s="2"/>
        <tr r="K45" s="2"/>
        <tr r="K45" s="2"/>
      </tp>
      <tp>
        <v>25.391923765072026</v>
        <stp/>
        <stp>##V3_BDPV12</stp>
        <stp>ADBE US Equity</stp>
        <stp>RR900</stp>
        <stp>[DPM - Securities Master List (BBG Linked).xlsx]Equities!R42C11</stp>
        <tr r="K42" s="2"/>
        <tr r="K42" s="2"/>
        <tr r="K42" s="2"/>
      </tp>
      <tp>
        <v>25.391923765072026</v>
        <stp/>
        <stp>##V3_BDPV12</stp>
        <stp>ADBE US Equity</stp>
        <stp>RR900</stp>
        <stp>[DPM - Securities Master List (BBG Linked).xlsx]Equities!R43C11</stp>
        <tr r="K43" s="2"/>
        <tr r="K43" s="2"/>
        <tr r="K43" s="2"/>
      </tp>
      <tp>
        <v>25.391923765072026</v>
        <stp/>
        <stp>##V3_BDPV12</stp>
        <stp>ADBE US Equity</stp>
        <stp>RR900</stp>
        <stp>[DPM - Securities Master List (BBG Linked).xlsx]Equities!R40C11</stp>
        <tr r="K40" s="2"/>
        <tr r="K40" s="2"/>
        <tr r="K40" s="2"/>
      </tp>
      <tp>
        <v>25.391923765072026</v>
        <stp/>
        <stp>##V3_BDPV12</stp>
        <stp>ADBE US Equity</stp>
        <stp>RR900</stp>
        <stp>[DPM - Securities Master List (BBG Linked).xlsx]Equities!R41C11</stp>
        <tr r="K41" s="2"/>
        <tr r="K41" s="2"/>
        <tr r="K41" s="2"/>
      </tp>
      <tp>
        <v>12.082412377644458</v>
        <stp/>
        <stp>##V3_BDPV12</stp>
        <stp>ON US Equity</stp>
        <stp>EE010</stp>
        <stp>[DPM - Securities Master List (BBG Linked).xlsx]Equities!R226C12</stp>
        <tr r="L226" s="2"/>
        <tr r="L226" s="2"/>
        <tr r="L226" s="2"/>
      </tp>
      <tp t="s">
        <v>#N/A N/A</v>
        <stp/>
        <stp>##V3_BDPV12</stp>
        <stp>ON US Equity</stp>
        <stp>DV013</stp>
        <stp>[DPM - Securities Master List (BBG Linked).xlsx]Equities!R226C10</stp>
        <tr r="J226" s="2"/>
      </tp>
      <tp>
        <v>8</v>
        <stp/>
        <stp>##V3_BDPV12</stp>
        <stp>GOLD US Equity</stp>
        <stp>TOT_HOLD_REC</stp>
        <stp>[DPM - Securities Master List (BBG Linked).xlsx]Equities!R125C35</stp>
        <tr r="AI125" s="2"/>
      </tp>
      <tp>
        <v>1.1308720000000001</v>
        <stp/>
        <stp>##V3_BDPV12</stp>
        <stp>REGN Equity</stp>
        <stp>PR061</stp>
        <stp>[DPM - Securities Master List (BBG Linked).xlsx]Equities!R240C40</stp>
        <tr r="AN240" s="2"/>
      </tp>
      <tp>
        <v>0</v>
        <stp/>
        <stp>##V3_BDPV12</stp>
        <stp>GOLD US Equity</stp>
        <stp>TOT_SELL_REC</stp>
        <stp>[DPM - Securities Master List (BBG Linked).xlsx]Equities!R125C36</stp>
        <tr r="AJ125" s="2"/>
      </tp>
      <tp>
        <v>-19.684380000000001</v>
        <stp/>
        <stp>##V3_BDPV12</stp>
        <stp>REGN Equity</stp>
        <stp>PR064</stp>
        <stp>[DPM - Securities Master List (BBG Linked).xlsx]Equities!R240C41</stp>
        <tr r="AO240" s="2"/>
      </tp>
      <tp t="s">
        <v>NIKE Inc</v>
        <stp/>
        <stp>##V3_BDPV12</stp>
        <stp>NKE US Equity</stp>
        <stp>SECURITY NAME</stp>
        <stp>[DPM - Securities Master List (BBG Linked).xlsx]Equities!R214C5</stp>
        <tr r="E214" s="2"/>
      </tp>
      <tp t="s">
        <v>USD</v>
        <stp/>
        <stp>##V3_BDPV12</stp>
        <stp>ZBH US Equity</stp>
        <stp>CRNCY</stp>
        <stp>[DPM - Securities Master List (BBG Linked).xlsx]Equities!R298C6</stp>
        <tr r="F298" s="2"/>
      </tp>
      <tp t="s">
        <v>SSE PLC</v>
        <stp/>
        <stp>##V3_BDPV12</stp>
        <stp>SSE LN Equity</stp>
        <stp>SECURITY NAME</stp>
        <stp>[DPM - Securities Master List (BBG Linked).xlsx]Equities!R250C5</stp>
        <tr r="E250" s="2"/>
      </tp>
      <tp t="s">
        <v>USD</v>
        <stp/>
        <stp>##V3_BDPV12</stp>
        <stp>PEP US Equity</stp>
        <stp>CRNCY</stp>
        <stp>[DPM - Securities Master List (BBG Linked).xlsx]Equities!R232C6</stp>
        <tr r="F232" s="2"/>
      </tp>
      <tp t="s">
        <v>Y</v>
        <stp/>
        <stp>##V3_BDPV12</stp>
        <stp>AZN LN Equity</stp>
        <stp>DY784</stp>
        <stp>[DPM - Securities Master List (BBG Linked).xlsx]Equities!R61C48</stp>
        <tr r="AV61" s="2"/>
        <tr r="AV61" s="2"/>
        <tr r="AV61" s="2"/>
      </tp>
      <tp t="s">
        <v>Y</v>
        <stp/>
        <stp>##V3_BDPV12</stp>
        <stp>AZN LN Equity</stp>
        <stp>DY784</stp>
        <stp>[DPM - Securities Master List (BBG Linked).xlsx]Equities!R60C48</stp>
        <tr r="AV60" s="2"/>
        <tr r="AV60" s="2"/>
        <tr r="AV60" s="2"/>
      </tp>
      <tp t="s">
        <v>Y</v>
        <stp/>
        <stp>##V3_BDPV12</stp>
        <stp>AZN LN Equity</stp>
        <stp>DY784</stp>
        <stp>[DPM - Securities Master List (BBG Linked).xlsx]Equities!R57C48</stp>
        <tr r="AV57" s="2"/>
        <tr r="AV57" s="2"/>
        <tr r="AV57" s="2"/>
      </tp>
      <tp t="s">
        <v>Y</v>
        <stp/>
        <stp>##V3_BDPV12</stp>
        <stp>AZN LN Equity</stp>
        <stp>DY784</stp>
        <stp>[DPM - Securities Master List (BBG Linked).xlsx]Equities!R56C48</stp>
        <tr r="AV56" s="2"/>
        <tr r="AV56" s="2"/>
        <tr r="AV56" s="2"/>
      </tp>
      <tp t="s">
        <v>Y</v>
        <stp/>
        <stp>##V3_BDPV12</stp>
        <stp>AZN LN Equity</stp>
        <stp>DY784</stp>
        <stp>[DPM - Securities Master List (BBG Linked).xlsx]Equities!R55C48</stp>
        <tr r="AV55" s="2"/>
        <tr r="AV55" s="2"/>
        <tr r="AV55" s="2"/>
      </tp>
      <tp t="s">
        <v>Y</v>
        <stp/>
        <stp>##V3_BDPV12</stp>
        <stp>AZN LN Equity</stp>
        <stp>DY784</stp>
        <stp>[DPM - Securities Master List (BBG Linked).xlsx]Equities!R54C48</stp>
        <tr r="AV54" s="2"/>
        <tr r="AV54" s="2"/>
        <tr r="AV54" s="2"/>
      </tp>
      <tp t="s">
        <v>Y</v>
        <stp/>
        <stp>##V3_BDPV12</stp>
        <stp>AZN LN Equity</stp>
        <stp>DY784</stp>
        <stp>[DPM - Securities Master List (BBG Linked).xlsx]Equities!R53C48</stp>
        <tr r="AV53" s="2"/>
        <tr r="AV53" s="2"/>
        <tr r="AV53" s="2"/>
      </tp>
      <tp t="s">
        <v>Y</v>
        <stp/>
        <stp>##V3_BDPV12</stp>
        <stp>AZN LN Equity</stp>
        <stp>DY784</stp>
        <stp>[DPM - Securities Master List (BBG Linked).xlsx]Equities!R52C48</stp>
        <tr r="AV52" s="2"/>
        <tr r="AV52" s="2"/>
        <tr r="AV52" s="2"/>
      </tp>
      <tp t="s">
        <v>Y</v>
        <stp/>
        <stp>##V3_BDPV12</stp>
        <stp>AZN LN Equity</stp>
        <stp>DY784</stp>
        <stp>[DPM - Securities Master List (BBG Linked).xlsx]Equities!R51C48</stp>
        <tr r="AV51" s="2"/>
        <tr r="AV51" s="2"/>
        <tr r="AV51" s="2"/>
      </tp>
      <tp t="s">
        <v>Y</v>
        <stp/>
        <stp>##V3_BDPV12</stp>
        <stp>AZN LN Equity</stp>
        <stp>DY784</stp>
        <stp>[DPM - Securities Master List (BBG Linked).xlsx]Equities!R59C48</stp>
        <tr r="AV59" s="2"/>
        <tr r="AV59" s="2"/>
        <tr r="AV59" s="2"/>
      </tp>
      <tp t="s">
        <v>Y</v>
        <stp/>
        <stp>##V3_BDPV12</stp>
        <stp>AZN LN Equity</stp>
        <stp>DY784</stp>
        <stp>[DPM - Securities Master List (BBG Linked).xlsx]Equities!R58C48</stp>
        <tr r="AV58" s="2"/>
        <tr r="AV58" s="2"/>
        <tr r="AV58" s="2"/>
      </tp>
      <tp>
        <v>18.905000000000001</v>
        <stp/>
        <stp>##V3_BDPV12</stp>
        <stp>GOLD US Equity</stp>
        <stp>PX_LAST</stp>
        <stp>[DPM - Securities Master List (BBG Linked).xlsx]Equities!R125C17</stp>
        <tr r="Q125" s="2"/>
      </tp>
      <tp t="s">
        <v>Y</v>
        <stp/>
        <stp>##V3_BDPV12</stp>
        <stp>ABF LN Equity</stp>
        <stp>DY784</stp>
        <stp>[DPM - Securities Master List (BBG Linked).xlsx]Equities!R35C48</stp>
        <tr r="AV35" s="2"/>
        <tr r="AV35" s="2"/>
        <tr r="AV35" s="2"/>
      </tp>
      <tp t="s">
        <v>Merck &amp; Co Inc</v>
        <stp/>
        <stp>##V3_BDPV12</stp>
        <stp>MRK US Equity</stp>
        <stp>SECURITY NAME</stp>
        <stp>[DPM - Securities Master List (BBG Linked).xlsx]Equities!R157C5</stp>
        <tr r="E157" s="2"/>
      </tp>
      <tp t="s">
        <v>Merck &amp; Co Inc</v>
        <stp/>
        <stp>##V3_BDPV12</stp>
        <stp>MRK US Equity</stp>
        <stp>SECURITY NAME</stp>
        <stp>[DPM - Securities Master List (BBG Linked).xlsx]Equities!R167C5</stp>
        <tr r="E167" s="2"/>
      </tp>
      <tp>
        <v>7.2564609999999998</v>
        <stp/>
        <stp>##V3_BDPV12</stp>
        <stp>DGE LN Equity</stp>
        <stp>PR061</stp>
        <stp>[DPM - Securities Master List (BBG Linked).xlsx]Equities!R110C40</stp>
        <tr r="AN110" s="2"/>
      </tp>
      <tp>
        <v>7.2564609999999998</v>
        <stp/>
        <stp>##V3_BDPV12</stp>
        <stp>DGE LN Equity</stp>
        <stp>PR061</stp>
        <stp>[DPM - Securities Master List (BBG Linked).xlsx]Equities!R111C40</stp>
        <tr r="AN111" s="2"/>
      </tp>
      <tp>
        <v>7.2564609999999998</v>
        <stp/>
        <stp>##V3_BDPV12</stp>
        <stp>DGE LN Equity</stp>
        <stp>PR061</stp>
        <stp>[DPM - Securities Master List (BBG Linked).xlsx]Equities!R108C40</stp>
        <tr r="AN108" s="2"/>
      </tp>
      <tp>
        <v>7.2564609999999998</v>
        <stp/>
        <stp>##V3_BDPV12</stp>
        <stp>DGE LN Equity</stp>
        <stp>PR061</stp>
        <stp>[DPM - Securities Master List (BBG Linked).xlsx]Equities!R109C40</stp>
        <tr r="AN109" s="2"/>
      </tp>
      <tp t="s">
        <v>Y</v>
        <stp/>
        <stp>##V3_BDPV12</stp>
        <stp>LUV US Equity</stp>
        <stp>DY997</stp>
        <stp>[DPM - Securities Master List (BBG Linked).xlsx]Equities!R154C47</stp>
        <tr r="AU154" s="2"/>
        <tr r="AU154" s="2"/>
        <tr r="AU154" s="2"/>
      </tp>
      <tp>
        <v>1</v>
        <stp/>
        <stp>##V3_BDPV12</stp>
        <stp>DRX LN Equity</stp>
        <stp>TOT_SELL_REC</stp>
        <stp>[DPM - Securities Master List (BBG Linked).xlsx]Equities!R124C36</stp>
        <tr r="AJ124" s="2"/>
      </tp>
      <tp>
        <v>1</v>
        <stp/>
        <stp>##V3_BDPV12</stp>
        <stp>DRX LN Equity</stp>
        <stp>TOT_SELL_REC</stp>
        <stp>[DPM - Securities Master List (BBG Linked).xlsx]Equities!R120C36</stp>
        <tr r="AJ120" s="2"/>
      </tp>
      <tp>
        <v>1</v>
        <stp/>
        <stp>##V3_BDPV12</stp>
        <stp>DRX LN Equity</stp>
        <stp>TOT_SELL_REC</stp>
        <stp>[DPM - Securities Master List (BBG Linked).xlsx]Equities!R121C36</stp>
        <tr r="AJ121" s="2"/>
      </tp>
      <tp>
        <v>1</v>
        <stp/>
        <stp>##V3_BDPV12</stp>
        <stp>DRX LN Equity</stp>
        <stp>TOT_SELL_REC</stp>
        <stp>[DPM - Securities Master List (BBG Linked).xlsx]Equities!R122C36</stp>
        <tr r="AJ122" s="2"/>
      </tp>
      <tp>
        <v>1</v>
        <stp/>
        <stp>##V3_BDPV12</stp>
        <stp>DRX LN Equity</stp>
        <stp>TOT_SELL_REC</stp>
        <stp>[DPM - Securities Master List (BBG Linked).xlsx]Equities!R123C36</stp>
        <tr r="AJ123" s="2"/>
      </tp>
      <tp>
        <v>1</v>
        <stp/>
        <stp>##V3_BDPV12</stp>
        <stp>DRX LN Equity</stp>
        <stp>TOT_SELL_REC</stp>
        <stp>[DPM - Securities Master List (BBG Linked).xlsx]Equities!R116C36</stp>
        <tr r="AJ116" s="2"/>
      </tp>
      <tp>
        <v>1</v>
        <stp/>
        <stp>##V3_BDPV12</stp>
        <stp>DRX LN Equity</stp>
        <stp>TOT_SELL_REC</stp>
        <stp>[DPM - Securities Master List (BBG Linked).xlsx]Equities!R117C36</stp>
        <tr r="AJ117" s="2"/>
      </tp>
      <tp>
        <v>1</v>
        <stp/>
        <stp>##V3_BDPV12</stp>
        <stp>DRX LN Equity</stp>
        <stp>TOT_SELL_REC</stp>
        <stp>[DPM - Securities Master List (BBG Linked).xlsx]Equities!R118C36</stp>
        <tr r="AJ118" s="2"/>
      </tp>
      <tp>
        <v>1</v>
        <stp/>
        <stp>##V3_BDPV12</stp>
        <stp>DRX LN Equity</stp>
        <stp>TOT_SELL_REC</stp>
        <stp>[DPM - Securities Master List (BBG Linked).xlsx]Equities!R119C36</stp>
        <tr r="AJ119" s="2"/>
      </tp>
      <tp>
        <v>-4.1953389999999997</v>
        <stp/>
        <stp>##V3_BDPV12</stp>
        <stp>DGE LN Equity</stp>
        <stp>PR064</stp>
        <stp>[DPM - Securities Master List (BBG Linked).xlsx]Equities!R108C41</stp>
        <tr r="AO108" s="2"/>
      </tp>
      <tp>
        <v>-4.1953389999999997</v>
        <stp/>
        <stp>##V3_BDPV12</stp>
        <stp>DGE LN Equity</stp>
        <stp>PR064</stp>
        <stp>[DPM - Securities Master List (BBG Linked).xlsx]Equities!R109C41</stp>
        <tr r="AO109" s="2"/>
      </tp>
      <tp>
        <v>-4.1953389999999997</v>
        <stp/>
        <stp>##V3_BDPV12</stp>
        <stp>DGE LN Equity</stp>
        <stp>PR064</stp>
        <stp>[DPM - Securities Master List (BBG Linked).xlsx]Equities!R110C41</stp>
        <tr r="AO110" s="2"/>
      </tp>
      <tp>
        <v>-4.1953389999999997</v>
        <stp/>
        <stp>##V3_BDPV12</stp>
        <stp>DGE LN Equity</stp>
        <stp>PR064</stp>
        <stp>[DPM - Securities Master List (BBG Linked).xlsx]Equities!R111C41</stp>
        <tr r="AO111" s="2"/>
      </tp>
      <tp>
        <v>2</v>
        <stp/>
        <stp>##V3_BDPV12</stp>
        <stp>DRX LN Equity</stp>
        <stp>TOT_HOLD_REC</stp>
        <stp>[DPM - Securities Master List (BBG Linked).xlsx]Equities!R124C35</stp>
        <tr r="AI124" s="2"/>
      </tp>
      <tp>
        <v>2</v>
        <stp/>
        <stp>##V3_BDPV12</stp>
        <stp>DRX LN Equity</stp>
        <stp>TOT_HOLD_REC</stp>
        <stp>[DPM - Securities Master List (BBG Linked).xlsx]Equities!R122C35</stp>
        <tr r="AI122" s="2"/>
      </tp>
      <tp>
        <v>2</v>
        <stp/>
        <stp>##V3_BDPV12</stp>
        <stp>DRX LN Equity</stp>
        <stp>TOT_HOLD_REC</stp>
        <stp>[DPM - Securities Master List (BBG Linked).xlsx]Equities!R123C35</stp>
        <tr r="AI123" s="2"/>
      </tp>
      <tp>
        <v>2</v>
        <stp/>
        <stp>##V3_BDPV12</stp>
        <stp>DRX LN Equity</stp>
        <stp>TOT_HOLD_REC</stp>
        <stp>[DPM - Securities Master List (BBG Linked).xlsx]Equities!R120C35</stp>
        <tr r="AI120" s="2"/>
      </tp>
      <tp>
        <v>2</v>
        <stp/>
        <stp>##V3_BDPV12</stp>
        <stp>DRX LN Equity</stp>
        <stp>TOT_HOLD_REC</stp>
        <stp>[DPM - Securities Master List (BBG Linked).xlsx]Equities!R121C35</stp>
        <tr r="AI121" s="2"/>
      </tp>
      <tp>
        <v>2</v>
        <stp/>
        <stp>##V3_BDPV12</stp>
        <stp>DRX LN Equity</stp>
        <stp>TOT_HOLD_REC</stp>
        <stp>[DPM - Securities Master List (BBG Linked).xlsx]Equities!R118C35</stp>
        <tr r="AI118" s="2"/>
      </tp>
      <tp>
        <v>2</v>
        <stp/>
        <stp>##V3_BDPV12</stp>
        <stp>DRX LN Equity</stp>
        <stp>TOT_HOLD_REC</stp>
        <stp>[DPM - Securities Master List (BBG Linked).xlsx]Equities!R119C35</stp>
        <tr r="AI119" s="2"/>
      </tp>
      <tp>
        <v>2</v>
        <stp/>
        <stp>##V3_BDPV12</stp>
        <stp>DRX LN Equity</stp>
        <stp>TOT_HOLD_REC</stp>
        <stp>[DPM - Securities Master List (BBG Linked).xlsx]Equities!R116C35</stp>
        <tr r="AI116" s="2"/>
      </tp>
      <tp>
        <v>2</v>
        <stp/>
        <stp>##V3_BDPV12</stp>
        <stp>DRX LN Equity</stp>
        <stp>TOT_HOLD_REC</stp>
        <stp>[DPM - Securities Master List (BBG Linked).xlsx]Equities!R117C35</stp>
        <tr r="AI117" s="2"/>
      </tp>
      <tp>
        <v>-6.2639079999999998</v>
        <stp/>
        <stp>##V3_BDPV12</stp>
        <stp>AAPL US Equity</stp>
        <stp>CHG_PCT_5D</stp>
        <stp>[DPM - Securities Master List (BBG Linked).xlsx]Equities!R34C23</stp>
        <tr r="W34" s="2"/>
      </tp>
      <tp>
        <v>-0.45753929999999998</v>
        <stp/>
        <stp>##V3_BDPV12</stp>
        <stp>AAPL US Equity</stp>
        <stp>CHG_PCT_1D</stp>
        <stp>[DPM - Securities Master List (BBG Linked).xlsx]Equities!R34C22</stp>
        <tr r="V34" s="2"/>
      </tp>
      <tp>
        <v>-11.10812</v>
        <stp/>
        <stp>##V3_BDPV12</stp>
        <stp>AAPL US Equity</stp>
        <stp>CHG_PCT_6M</stp>
        <stp>[DPM - Securities Master List (BBG Linked).xlsx]Equities!R34C42</stp>
        <tr r="AP34" s="2"/>
      </tp>
      <tp>
        <v>4</v>
        <stp/>
        <stp>##V3_BDPV12</stp>
        <stp>DGE LN Equity</stp>
        <stp>TOT_SELL_REC</stp>
        <stp>[DPM - Securities Master List (BBG Linked).xlsx]Equities!R110C36</stp>
        <tr r="AJ110" s="2"/>
      </tp>
      <tp>
        <v>4</v>
        <stp/>
        <stp>##V3_BDPV12</stp>
        <stp>DGE LN Equity</stp>
        <stp>TOT_SELL_REC</stp>
        <stp>[DPM - Securities Master List (BBG Linked).xlsx]Equities!R111C36</stp>
        <tr r="AJ111" s="2"/>
      </tp>
      <tp>
        <v>4</v>
        <stp/>
        <stp>##V3_BDPV12</stp>
        <stp>DGE LN Equity</stp>
        <stp>TOT_SELL_REC</stp>
        <stp>[DPM - Securities Master List (BBG Linked).xlsx]Equities!R108C36</stp>
        <tr r="AJ108" s="2"/>
      </tp>
      <tp>
        <v>4</v>
        <stp/>
        <stp>##V3_BDPV12</stp>
        <stp>DGE LN Equity</stp>
        <stp>TOT_SELL_REC</stp>
        <stp>[DPM - Securities Master List (BBG Linked).xlsx]Equities!R109C36</stp>
        <tr r="AJ109" s="2"/>
      </tp>
      <tp t="s">
        <v>Consumer Discretionary</v>
        <stp/>
        <stp>##V3_BDPV12</stp>
        <stp>2020 HK Equity</stp>
        <stp>DX202</stp>
        <stp>[DPM - Securities Master List (BBG Linked).xlsx]Equities!R6C8</stp>
        <tr r="H6" s="2"/>
        <tr r="H6" s="2"/>
        <tr r="H6" s="2"/>
      </tp>
      <tp t="s">
        <v>N</v>
        <stp/>
        <stp>##V3_BDPV12</stp>
        <stp>RIO LN Equity</stp>
        <stp>DY784</stp>
        <stp>[DPM - Securities Master List (BBG Linked).xlsx]Equities!R242C48</stp>
        <tr r="AV242" s="2"/>
        <tr r="AV242" s="2"/>
        <tr r="AV242" s="2"/>
      </tp>
      <tp>
        <v>8</v>
        <stp/>
        <stp>##V3_BDPV12</stp>
        <stp>DGE LN Equity</stp>
        <stp>TOT_HOLD_REC</stp>
        <stp>[DPM - Securities Master List (BBG Linked).xlsx]Equities!R110C35</stp>
        <tr r="AI110" s="2"/>
      </tp>
      <tp>
        <v>8</v>
        <stp/>
        <stp>##V3_BDPV12</stp>
        <stp>DGE LN Equity</stp>
        <stp>TOT_HOLD_REC</stp>
        <stp>[DPM - Securities Master List (BBG Linked).xlsx]Equities!R111C35</stp>
        <tr r="AI111" s="2"/>
      </tp>
      <tp>
        <v>8</v>
        <stp/>
        <stp>##V3_BDPV12</stp>
        <stp>DGE LN Equity</stp>
        <stp>TOT_HOLD_REC</stp>
        <stp>[DPM - Securities Master List (BBG Linked).xlsx]Equities!R108C35</stp>
        <tr r="AI108" s="2"/>
      </tp>
      <tp>
        <v>8</v>
        <stp/>
        <stp>##V3_BDPV12</stp>
        <stp>DGE LN Equity</stp>
        <stp>TOT_HOLD_REC</stp>
        <stp>[DPM - Securities Master List (BBG Linked).xlsx]Equities!R109C35</stp>
        <tr r="AI109" s="2"/>
      </tp>
      <tp t="s">
        <v>Nestle SA</v>
        <stp/>
        <stp>##V3_BDPV12</stp>
        <stp>NESN SW Equity</stp>
        <stp>SECURITY NAME</stp>
        <stp>[DPM - Securities Master List (BBG Linked).xlsx]Equities!R194C5</stp>
        <tr r="E194" s="2"/>
      </tp>
      <tp t="s">
        <v>EUR</v>
        <stp/>
        <stp>##V3_BDPV12</stp>
        <stp>VOW3 GY Equity</stp>
        <stp>CRNCY</stp>
        <stp>[DPM - Securities Master List (BBG Linked).xlsx]Equities!R292C6</stp>
        <tr r="F292" s="2"/>
      </tp>
      <tp t="s">
        <v>Nestle SA</v>
        <stp/>
        <stp>##V3_BDPV12</stp>
        <stp>NESN SW Equity</stp>
        <stp>SECURITY NAME</stp>
        <stp>[DPM - Securities Master List (BBG Linked).xlsx]Equities!R204C5</stp>
        <tr r="E204" s="2"/>
      </tp>
      <tp t="s">
        <v>Dell Technologies Inc</v>
        <stp/>
        <stp>##V3_BDPV12</stp>
        <stp>DELL US Equity</stp>
        <stp>SECURITY NAME</stp>
        <stp>[DPM - Securities Master List (BBG Linked).xlsx]Equities!R102C5</stp>
        <tr r="E102" s="2"/>
      </tp>
      <tp>
        <v>5.6222120000000002</v>
        <stp/>
        <stp>##V3_BDPV12</stp>
        <stp>XS2914525154 isin</stp>
        <stp>YAS_BOND_YLD</stp>
        <stp>[DPM - Securities Master List (BBG Linked).xlsx]Bonds!R13C10</stp>
        <stp>YAS_YLD_FLAG=15</stp>
        <stp>user_local_trade_date</stp>
        <stp>45783</stp>
        <stp>Yas_bond_px</stp>
        <stp>98.569999999999993</stp>
        <tr r="J13" s="1"/>
      </tp>
      <tp t="s">
        <v>Drax Group PLC</v>
        <stp/>
        <stp>##V3_BDPV12</stp>
        <stp>DRX LN Equity</stp>
        <stp>SECURITY NAME</stp>
        <stp>[DPM - Securities Master List (BBG Linked).xlsx]Equities!R118C5</stp>
        <tr r="E118" s="2"/>
      </tp>
      <tp t="s">
        <v>Health Care</v>
        <stp/>
        <stp>##V3_BDPV12</stp>
        <stp>BMY US Equity</stp>
        <stp>DX202</stp>
        <stp>[DPM - Securities Master List (BBG Linked).xlsx]Equities!R76C46</stp>
        <tr r="AT76" s="2"/>
        <tr r="AT76" s="2"/>
        <tr r="AT76" s="2"/>
      </tp>
      <tp t="s">
        <v>USD</v>
        <stp/>
        <stp>##V3_BDPV12</stp>
        <stp>NKE US Equity</stp>
        <stp>CRNCY</stp>
        <stp>[DPM - Securities Master List (BBG Linked).xlsx]Equities!R213C6</stp>
        <tr r="F213" s="2"/>
      </tp>
      <tp t="s">
        <v>Target Corp</v>
        <stp/>
        <stp>##V3_BDPV12</stp>
        <stp>TGT US Equity</stp>
        <stp>SECURITY NAME</stp>
        <stp>[DPM - Securities Master List (BBG Linked).xlsx]Equities!R261C5</stp>
        <tr r="E261" s="2"/>
      </tp>
      <tp t="s">
        <v>GBp</v>
        <stp/>
        <stp>##V3_BDPV12</stp>
        <stp>SSE LN Equity</stp>
        <stp>CRNCY</stp>
        <stp>[DPM - Securities Master List (BBG Linked).xlsx]Equities!R247C6</stp>
        <tr r="F247" s="2"/>
      </tp>
      <tp t="s">
        <v>GBp</v>
        <stp/>
        <stp>##V3_BDPV12</stp>
        <stp>SSE LN Equity</stp>
        <stp>CRNCY</stp>
        <stp>[DPM - Securities Master List (BBG Linked).xlsx]Equities!R257C6</stp>
        <tr r="F257" s="2"/>
      </tp>
      <tp>
        <v>3.4000000953674316</v>
        <stp/>
        <stp>##V3_BDPV12</stp>
        <stp>BMY US Equity</stp>
        <stp>EE201</stp>
        <stp>[DPM - Securities Master List (BBG Linked).xlsx]Equities!R76C37</stp>
        <tr r="AK76" s="2"/>
        <tr r="AK76" s="2"/>
        <tr r="AK76" s="2"/>
      </tp>
      <tp t="s">
        <v>PepsiCo Inc</v>
        <stp/>
        <stp>##V3_BDPV12</stp>
        <stp>PEP US Equity</stp>
        <stp>SECURITY NAME</stp>
        <stp>[DPM - Securities Master List (BBG Linked).xlsx]Equities!R235C5</stp>
        <tr r="E235" s="2"/>
      </tp>
      <tp t="s">
        <v>Diageo PLC</v>
        <stp/>
        <stp>##V3_BDPV12</stp>
        <stp>DGE LN Equity</stp>
        <stp>SECURITY NAME</stp>
        <stp>[DPM - Securities Master List (BBG Linked).xlsx]Equities!R108C5</stp>
        <tr r="E108" s="2"/>
      </tp>
      <tp t="s">
        <v>USD</v>
        <stp/>
        <stp>##V3_BDPV12</stp>
        <stp>MRK US Equity</stp>
        <stp>CRNCY</stp>
        <stp>[DPM - Securities Master List (BBG Linked).xlsx]Equities!R160C6</stp>
        <tr r="F160" s="2"/>
      </tp>
      <tp t="s">
        <v>#N/A N/A</v>
        <stp/>
        <stp>##V3_BDPV12</stp>
        <stp>NKE US Equity</stp>
        <stp>DY784</stp>
        <stp>[DPM - Securities Master List (BBG Linked).xlsx]Equities!R208C48</stp>
        <tr r="AV208" s="2"/>
        <tr r="AV208" s="2"/>
      </tp>
      <tp t="s">
        <v>#N/A N/A</v>
        <stp/>
        <stp>##V3_BDPV12</stp>
        <stp>NKE US Equity</stp>
        <stp>DY784</stp>
        <stp>[DPM - Securities Master List (BBG Linked).xlsx]Equities!R209C48</stp>
        <tr r="AV209" s="2"/>
        <tr r="AV209" s="2"/>
      </tp>
      <tp t="s">
        <v>#N/A N/A</v>
        <stp/>
        <stp>##V3_BDPV12</stp>
        <stp>NKE US Equity</stp>
        <stp>DY784</stp>
        <stp>[DPM - Securities Master List (BBG Linked).xlsx]Equities!R207C48</stp>
        <tr r="AV207" s="2"/>
        <tr r="AV207" s="2"/>
      </tp>
      <tp t="s">
        <v>#N/A N/A</v>
        <stp/>
        <stp>##V3_BDPV12</stp>
        <stp>NKE US Equity</stp>
        <stp>DY784</stp>
        <stp>[DPM - Securities Master List (BBG Linked).xlsx]Equities!R218C48</stp>
        <tr r="AV218" s="2"/>
        <tr r="AV218" s="2"/>
      </tp>
      <tp t="s">
        <v>#N/A N/A</v>
        <stp/>
        <stp>##V3_BDPV12</stp>
        <stp>NKE US Equity</stp>
        <stp>DY784</stp>
        <stp>[DPM - Securities Master List (BBG Linked).xlsx]Equities!R219C48</stp>
        <tr r="AV219" s="2"/>
        <tr r="AV219" s="2"/>
      </tp>
      <tp t="s">
        <v>#N/A N/A</v>
        <stp/>
        <stp>##V3_BDPV12</stp>
        <stp>NKE US Equity</stp>
        <stp>DY784</stp>
        <stp>[DPM - Securities Master List (BBG Linked).xlsx]Equities!R212C48</stp>
        <tr r="AV212" s="2"/>
        <tr r="AV212" s="2"/>
      </tp>
      <tp t="s">
        <v>#N/A N/A</v>
        <stp/>
        <stp>##V3_BDPV12</stp>
        <stp>NKE US Equity</stp>
        <stp>DY784</stp>
        <stp>[DPM - Securities Master List (BBG Linked).xlsx]Equities!R213C48</stp>
        <tr r="AV213" s="2"/>
        <tr r="AV213" s="2"/>
      </tp>
      <tp t="s">
        <v>#N/A N/A</v>
        <stp/>
        <stp>##V3_BDPV12</stp>
        <stp>NKE US Equity</stp>
        <stp>DY784</stp>
        <stp>[DPM - Securities Master List (BBG Linked).xlsx]Equities!R210C48</stp>
        <tr r="AV210" s="2"/>
        <tr r="AV210" s="2"/>
      </tp>
      <tp t="s">
        <v>#N/A N/A</v>
        <stp/>
        <stp>##V3_BDPV12</stp>
        <stp>NKE US Equity</stp>
        <stp>DY784</stp>
        <stp>[DPM - Securities Master List (BBG Linked).xlsx]Equities!R211C48</stp>
        <tr r="AV211" s="2"/>
        <tr r="AV211" s="2"/>
      </tp>
      <tp t="s">
        <v>#N/A N/A</v>
        <stp/>
        <stp>##V3_BDPV12</stp>
        <stp>NKE US Equity</stp>
        <stp>DY784</stp>
        <stp>[DPM - Securities Master List (BBG Linked).xlsx]Equities!R216C48</stp>
        <tr r="AV216" s="2"/>
        <tr r="AV216" s="2"/>
      </tp>
      <tp t="s">
        <v>#N/A N/A</v>
        <stp/>
        <stp>##V3_BDPV12</stp>
        <stp>NKE US Equity</stp>
        <stp>DY784</stp>
        <stp>[DPM - Securities Master List (BBG Linked).xlsx]Equities!R217C48</stp>
        <tr r="AV217" s="2"/>
        <tr r="AV217" s="2"/>
      </tp>
      <tp t="s">
        <v>#N/A N/A</v>
        <stp/>
        <stp>##V3_BDPV12</stp>
        <stp>NKE US Equity</stp>
        <stp>DY784</stp>
        <stp>[DPM - Securities Master List (BBG Linked).xlsx]Equities!R214C48</stp>
        <tr r="AV214" s="2"/>
        <tr r="AV214" s="2"/>
      </tp>
      <tp t="s">
        <v>#N/A N/A</v>
        <stp/>
        <stp>##V3_BDPV12</stp>
        <stp>NKE US Equity</stp>
        <stp>DY784</stp>
        <stp>[DPM - Securities Master List (BBG Linked).xlsx]Equities!R215C48</stp>
        <tr r="AV215" s="2"/>
        <tr r="AV215" s="2"/>
      </tp>
      <tp t="s">
        <v>#N/A N/A</v>
        <stp/>
        <stp>##V3_BDPV12</stp>
        <stp>NKE US Equity</stp>
        <stp>DY784</stp>
        <stp>[DPM - Securities Master List (BBG Linked).xlsx]Equities!R222C48</stp>
        <tr r="AV222" s="2"/>
        <tr r="AV222" s="2"/>
      </tp>
      <tp t="s">
        <v>#N/A N/A</v>
        <stp/>
        <stp>##V3_BDPV12</stp>
        <stp>NKE US Equity</stp>
        <stp>DY784</stp>
        <stp>[DPM - Securities Master List (BBG Linked).xlsx]Equities!R220C48</stp>
        <tr r="AV220" s="2"/>
        <tr r="AV220" s="2"/>
      </tp>
      <tp t="s">
        <v>#N/A N/A</v>
        <stp/>
        <stp>##V3_BDPV12</stp>
        <stp>NKE US Equity</stp>
        <stp>DY784</stp>
        <stp>[DPM - Securities Master List (BBG Linked).xlsx]Equities!R221C48</stp>
        <tr r="AV221" s="2"/>
        <tr r="AV221" s="2"/>
      </tp>
      <tp>
        <v>-9.8933649999999993</v>
        <stp/>
        <stp>##V3_BDPV12</stp>
        <stp>PEP US Equity</stp>
        <stp>PR064</stp>
        <stp>[DPM - Securities Master List (BBG Linked).xlsx]Equities!R227C41</stp>
        <tr r="AO227" s="2"/>
      </tp>
      <tp>
        <v>-9.8933649999999993</v>
        <stp/>
        <stp>##V3_BDPV12</stp>
        <stp>PEP US Equity</stp>
        <stp>PR064</stp>
        <stp>[DPM - Securities Master List (BBG Linked).xlsx]Equities!R229C41</stp>
        <tr r="AO229" s="2"/>
      </tp>
      <tp>
        <v>-9.8933649999999993</v>
        <stp/>
        <stp>##V3_BDPV12</stp>
        <stp>PEP US Equity</stp>
        <stp>PR064</stp>
        <stp>[DPM - Securities Master List (BBG Linked).xlsx]Equities!R228C41</stp>
        <tr r="AO228" s="2"/>
      </tp>
      <tp>
        <v>-9.8933649999999993</v>
        <stp/>
        <stp>##V3_BDPV12</stp>
        <stp>PEP US Equity</stp>
        <stp>PR064</stp>
        <stp>[DPM - Securities Master List (BBG Linked).xlsx]Equities!R233C41</stp>
        <tr r="AO233" s="2"/>
      </tp>
      <tp>
        <v>-9.8933649999999993</v>
        <stp/>
        <stp>##V3_BDPV12</stp>
        <stp>PEP US Equity</stp>
        <stp>PR064</stp>
        <stp>[DPM - Securities Master List (BBG Linked).xlsx]Equities!R232C41</stp>
        <tr r="AO232" s="2"/>
      </tp>
      <tp>
        <v>-9.8933649999999993</v>
        <stp/>
        <stp>##V3_BDPV12</stp>
        <stp>PEP US Equity</stp>
        <stp>PR064</stp>
        <stp>[DPM - Securities Master List (BBG Linked).xlsx]Equities!R231C41</stp>
        <tr r="AO231" s="2"/>
      </tp>
      <tp>
        <v>-9.8933649999999993</v>
        <stp/>
        <stp>##V3_BDPV12</stp>
        <stp>PEP US Equity</stp>
        <stp>PR064</stp>
        <stp>[DPM - Securities Master List (BBG Linked).xlsx]Equities!R230C41</stp>
        <tr r="AO230" s="2"/>
      </tp>
      <tp>
        <v>-9.8933649999999993</v>
        <stp/>
        <stp>##V3_BDPV12</stp>
        <stp>PEP US Equity</stp>
        <stp>PR064</stp>
        <stp>[DPM - Securities Master List (BBG Linked).xlsx]Equities!R236C41</stp>
        <tr r="AO236" s="2"/>
      </tp>
      <tp>
        <v>-9.8933649999999993</v>
        <stp/>
        <stp>##V3_BDPV12</stp>
        <stp>PEP US Equity</stp>
        <stp>PR064</stp>
        <stp>[DPM - Securities Master List (BBG Linked).xlsx]Equities!R235C41</stp>
        <tr r="AO235" s="2"/>
      </tp>
      <tp>
        <v>-9.8933649999999993</v>
        <stp/>
        <stp>##V3_BDPV12</stp>
        <stp>PEP US Equity</stp>
        <stp>PR064</stp>
        <stp>[DPM - Securities Master List (BBG Linked).xlsx]Equities!R234C41</stp>
        <tr r="AO234" s="2"/>
      </tp>
      <tp>
        <v>-10.667759999999999</v>
        <stp/>
        <stp>##V3_BDPV12</stp>
        <stp>PEP US Equity</stp>
        <stp>PR061</stp>
        <stp>[DPM - Securities Master List (BBG Linked).xlsx]Equities!R233C40</stp>
        <tr r="AN233" s="2"/>
      </tp>
      <tp>
        <v>-10.667759999999999</v>
        <stp/>
        <stp>##V3_BDPV12</stp>
        <stp>PEP US Equity</stp>
        <stp>PR061</stp>
        <stp>[DPM - Securities Master List (BBG Linked).xlsx]Equities!R232C40</stp>
        <tr r="AN232" s="2"/>
      </tp>
      <tp>
        <v>-10.667759999999999</v>
        <stp/>
        <stp>##V3_BDPV12</stp>
        <stp>PEP US Equity</stp>
        <stp>PR061</stp>
        <stp>[DPM - Securities Master List (BBG Linked).xlsx]Equities!R231C40</stp>
        <tr r="AN231" s="2"/>
      </tp>
      <tp>
        <v>-10.667759999999999</v>
        <stp/>
        <stp>##V3_BDPV12</stp>
        <stp>PEP US Equity</stp>
        <stp>PR061</stp>
        <stp>[DPM - Securities Master List (BBG Linked).xlsx]Equities!R230C40</stp>
        <tr r="AN230" s="2"/>
      </tp>
      <tp>
        <v>-10.667759999999999</v>
        <stp/>
        <stp>##V3_BDPV12</stp>
        <stp>PEP US Equity</stp>
        <stp>PR061</stp>
        <stp>[DPM - Securities Master List (BBG Linked).xlsx]Equities!R236C40</stp>
        <tr r="AN236" s="2"/>
      </tp>
      <tp>
        <v>-10.667759999999999</v>
        <stp/>
        <stp>##V3_BDPV12</stp>
        <stp>PEP US Equity</stp>
        <stp>PR061</stp>
        <stp>[DPM - Securities Master List (BBG Linked).xlsx]Equities!R235C40</stp>
        <tr r="AN235" s="2"/>
      </tp>
      <tp>
        <v>-10.667759999999999</v>
        <stp/>
        <stp>##V3_BDPV12</stp>
        <stp>PEP US Equity</stp>
        <stp>PR061</stp>
        <stp>[DPM - Securities Master List (BBG Linked).xlsx]Equities!R234C40</stp>
        <tr r="AN234" s="2"/>
      </tp>
      <tp>
        <v>-10.667759999999999</v>
        <stp/>
        <stp>##V3_BDPV12</stp>
        <stp>PEP US Equity</stp>
        <stp>PR061</stp>
        <stp>[DPM - Securities Master List (BBG Linked).xlsx]Equities!R227C40</stp>
        <tr r="AN227" s="2"/>
      </tp>
      <tp>
        <v>-10.667759999999999</v>
        <stp/>
        <stp>##V3_BDPV12</stp>
        <stp>PEP US Equity</stp>
        <stp>PR061</stp>
        <stp>[DPM - Securities Master List (BBG Linked).xlsx]Equities!R229C40</stp>
        <tr r="AN229" s="2"/>
      </tp>
      <tp>
        <v>-10.667759999999999</v>
        <stp/>
        <stp>##V3_BDPV12</stp>
        <stp>PEP US Equity</stp>
        <stp>PR061</stp>
        <stp>[DPM - Securities Master List (BBG Linked).xlsx]Equities!R228C40</stp>
        <tr r="AN228" s="2"/>
      </tp>
      <tp>
        <v>8.8598764586080261</v>
        <stp/>
        <stp>##V3_BDPV12</stp>
        <stp>KER FP Equity</stp>
        <stp>RR957</stp>
        <stp>[DPM - Securities Master List (BBG Linked).xlsx]Equities!R152C14</stp>
        <tr r="N152" s="2"/>
        <tr r="N152" s="2"/>
        <tr r="N152" s="2"/>
      </tp>
      <tp>
        <v>8.8598764586080261</v>
        <stp/>
        <stp>##V3_BDPV12</stp>
        <stp>KER FP Equity</stp>
        <stp>RR957</stp>
        <stp>[DPM - Securities Master List (BBG Linked).xlsx]Equities!R153C14</stp>
        <tr r="N153" s="2"/>
        <tr r="N153" s="2"/>
        <tr r="N153" s="2"/>
      </tp>
      <tp>
        <v>8.8598764586080261</v>
        <stp/>
        <stp>##V3_BDPV12</stp>
        <stp>KER FP Equity</stp>
        <stp>RR957</stp>
        <stp>[DPM - Securities Master List (BBG Linked).xlsx]Equities!R150C14</stp>
        <tr r="N150" s="2"/>
        <tr r="N150" s="2"/>
        <tr r="N150" s="2"/>
      </tp>
      <tp>
        <v>8.8598764586080261</v>
        <stp/>
        <stp>##V3_BDPV12</stp>
        <stp>KER FP Equity</stp>
        <stp>RR957</stp>
        <stp>[DPM - Securities Master List (BBG Linked).xlsx]Equities!R151C14</stp>
        <tr r="N151" s="2"/>
        <tr r="N151" s="2"/>
        <tr r="N151" s="2"/>
      </tp>
      <tp>
        <v>8.8598764586080261</v>
        <stp/>
        <stp>##V3_BDPV12</stp>
        <stp>KER FP Equity</stp>
        <stp>RR957</stp>
        <stp>[DPM - Securities Master List (BBG Linked).xlsx]Equities!R149C14</stp>
        <tr r="N149" s="2"/>
        <tr r="N149" s="2"/>
        <tr r="N149" s="2"/>
      </tp>
      <tp>
        <v>34.404265263376551</v>
        <stp/>
        <stp>##V3_BDPV12</stp>
        <stp>TGT US Equity</stp>
        <stp>RR041</stp>
        <stp>[DPM - Securities Master List (BBG Linked).xlsx]Equities!R261C33</stp>
        <tr r="AG261" s="2"/>
        <tr r="AG261" s="2"/>
        <tr r="AG261" s="2"/>
      </tp>
      <tp>
        <v>3.6367090000000002</v>
        <stp/>
        <stp>##V3_BDPV12</stp>
        <stp>MDT US Equity</stp>
        <stp>PR079</stp>
        <stp>[DPM - Securities Master List (BBG Linked).xlsx]Equities!R155C43</stp>
        <tr r="AQ155" s="2"/>
      </tp>
      <tp>
        <v>11.19087744855006</v>
        <stp/>
        <stp>##V3_BDPV12</stp>
        <stp>NEM AT Equity</stp>
        <stp>EE010</stp>
        <stp>[DPM - Securities Master List (BBG Linked).xlsx]Equities!R189C12</stp>
        <tr r="L189" s="2"/>
        <tr r="L189" s="2"/>
        <tr r="L189" s="2"/>
      </tp>
      <tp>
        <v>11.19087744855006</v>
        <stp/>
        <stp>##V3_BDPV12</stp>
        <stp>NEM AT Equity</stp>
        <stp>EE010</stp>
        <stp>[DPM - Securities Master List (BBG Linked).xlsx]Equities!R191C12</stp>
        <tr r="L191" s="2"/>
        <tr r="L191" s="2"/>
        <tr r="L191" s="2"/>
      </tp>
      <tp>
        <v>11.19087744855006</v>
        <stp/>
        <stp>##V3_BDPV12</stp>
        <stp>NEM AT Equity</stp>
        <stp>EE010</stp>
        <stp>[DPM - Securities Master List (BBG Linked).xlsx]Equities!R190C12</stp>
        <tr r="L190" s="2"/>
        <tr r="L190" s="2"/>
        <tr r="L190" s="2"/>
      </tp>
      <tp>
        <v>11.19087744855006</v>
        <stp/>
        <stp>##V3_BDPV12</stp>
        <stp>NEM AT Equity</stp>
        <stp>EE010</stp>
        <stp>[DPM - Securities Master List (BBG Linked).xlsx]Equities!R192C12</stp>
        <tr r="L192" s="2"/>
        <tr r="L192" s="2"/>
        <tr r="L192" s="2"/>
      </tp>
      <tp>
        <v>1.8633794010366505</v>
        <stp/>
        <stp>##V3_BDPV12</stp>
        <stp>NEM AT Equity</stp>
        <stp>DV013</stp>
        <stp>[DPM - Securities Master List (BBG Linked).xlsx]Equities!R191C10</stp>
        <tr r="J191" s="2"/>
      </tp>
      <tp>
        <v>1.8633794010366505</v>
        <stp/>
        <stp>##V3_BDPV12</stp>
        <stp>NEM AT Equity</stp>
        <stp>DV013</stp>
        <stp>[DPM - Securities Master List (BBG Linked).xlsx]Equities!R190C10</stp>
        <tr r="J190" s="2"/>
      </tp>
      <tp>
        <v>1.8633794010366505</v>
        <stp/>
        <stp>##V3_BDPV12</stp>
        <stp>NEM AT Equity</stp>
        <stp>DV013</stp>
        <stp>[DPM - Securities Master List (BBG Linked).xlsx]Equities!R192C10</stp>
        <tr r="J192" s="2"/>
      </tp>
      <tp>
        <v>1.8633794010366505</v>
        <stp/>
        <stp>##V3_BDPV12</stp>
        <stp>NEM AT Equity</stp>
        <stp>DV013</stp>
        <stp>[DPM - Securities Master List (BBG Linked).xlsx]Equities!R189C10</stp>
        <tr r="J189" s="2"/>
      </tp>
      <tp>
        <v>1.0584927267680997</v>
        <stp/>
        <stp>##V3_BDPV12</stp>
        <stp>ZBH US Equity</stp>
        <stp>DV013</stp>
        <stp>[DPM - Securities Master List (BBG Linked).xlsx]Equities!R301C10</stp>
        <tr r="J301" s="2"/>
      </tp>
      <tp>
        <v>1.0584927267680997</v>
        <stp/>
        <stp>##V3_BDPV12</stp>
        <stp>ZBH US Equity</stp>
        <stp>DV013</stp>
        <stp>[DPM - Securities Master List (BBG Linked).xlsx]Equities!R300C10</stp>
        <tr r="J300" s="2"/>
      </tp>
      <tp>
        <v>1.0584927267680997</v>
        <stp/>
        <stp>##V3_BDPV12</stp>
        <stp>ZBH US Equity</stp>
        <stp>DV013</stp>
        <stp>[DPM - Securities Master List (BBG Linked).xlsx]Equities!R302C10</stp>
        <tr r="J302" s="2"/>
      </tp>
      <tp>
        <v>1.0584927267680997</v>
        <stp/>
        <stp>##V3_BDPV12</stp>
        <stp>ZBH US Equity</stp>
        <stp>DV013</stp>
        <stp>[DPM - Securities Master List (BBG Linked).xlsx]Equities!R299C10</stp>
        <tr r="J299" s="2"/>
      </tp>
      <tp>
        <v>1.0584927267680997</v>
        <stp/>
        <stp>##V3_BDPV12</stp>
        <stp>ZBH US Equity</stp>
        <stp>DV013</stp>
        <stp>[DPM - Securities Master List (BBG Linked).xlsx]Equities!R298C10</stp>
        <tr r="J298" s="2"/>
      </tp>
      <tp>
        <v>1.0584927267680997</v>
        <stp/>
        <stp>##V3_BDPV12</stp>
        <stp>ZBH US Equity</stp>
        <stp>DV013</stp>
        <stp>[DPM - Securities Master List (BBG Linked).xlsx]Equities!R295C10</stp>
        <tr r="J295" s="2"/>
      </tp>
      <tp>
        <v>1.0584927267680997</v>
        <stp/>
        <stp>##V3_BDPV12</stp>
        <stp>ZBH US Equity</stp>
        <stp>DV013</stp>
        <stp>[DPM - Securities Master List (BBG Linked).xlsx]Equities!R294C10</stp>
        <tr r="J294" s="2"/>
      </tp>
      <tp>
        <v>1.0584927267680997</v>
        <stp/>
        <stp>##V3_BDPV12</stp>
        <stp>ZBH US Equity</stp>
        <stp>DV013</stp>
        <stp>[DPM - Securities Master List (BBG Linked).xlsx]Equities!R297C10</stp>
        <tr r="J297" s="2"/>
      </tp>
      <tp>
        <v>1.0584927267680997</v>
        <stp/>
        <stp>##V3_BDPV12</stp>
        <stp>ZBH US Equity</stp>
        <stp>DV013</stp>
        <stp>[DPM - Securities Master List (BBG Linked).xlsx]Equities!R296C10</stp>
        <tr r="J296" s="2"/>
      </tp>
      <tp>
        <v>10.793169106271568</v>
        <stp/>
        <stp>##V3_BDPV12</stp>
        <stp>ZBH US Equity</stp>
        <stp>EE010</stp>
        <stp>[DPM - Securities Master List (BBG Linked).xlsx]Equities!R301C12</stp>
        <tr r="L301" s="2"/>
        <tr r="L301" s="2"/>
        <tr r="L301" s="2"/>
      </tp>
      <tp>
        <v>10.793169106271568</v>
        <stp/>
        <stp>##V3_BDPV12</stp>
        <stp>ZBH US Equity</stp>
        <stp>EE010</stp>
        <stp>[DPM - Securities Master List (BBG Linked).xlsx]Equities!R300C12</stp>
        <tr r="L300" s="2"/>
        <tr r="L300" s="2"/>
        <tr r="L300" s="2"/>
      </tp>
      <tp>
        <v>10.793169106271568</v>
        <stp/>
        <stp>##V3_BDPV12</stp>
        <stp>ZBH US Equity</stp>
        <stp>EE010</stp>
        <stp>[DPM - Securities Master List (BBG Linked).xlsx]Equities!R302C12</stp>
        <tr r="L302" s="2"/>
        <tr r="L302" s="2"/>
        <tr r="L302" s="2"/>
      </tp>
      <tp>
        <v>10.793169106271568</v>
        <stp/>
        <stp>##V3_BDPV12</stp>
        <stp>ZBH US Equity</stp>
        <stp>EE010</stp>
        <stp>[DPM - Securities Master List (BBG Linked).xlsx]Equities!R299C12</stp>
        <tr r="L299" s="2"/>
        <tr r="L299" s="2"/>
        <tr r="L299" s="2"/>
      </tp>
      <tp>
        <v>10.793169106271568</v>
        <stp/>
        <stp>##V3_BDPV12</stp>
        <stp>ZBH US Equity</stp>
        <stp>EE010</stp>
        <stp>[DPM - Securities Master List (BBG Linked).xlsx]Equities!R298C12</stp>
        <tr r="L298" s="2"/>
        <tr r="L298" s="2"/>
        <tr r="L298" s="2"/>
      </tp>
      <tp>
        <v>10.793169106271568</v>
        <stp/>
        <stp>##V3_BDPV12</stp>
        <stp>ZBH US Equity</stp>
        <stp>EE010</stp>
        <stp>[DPM - Securities Master List (BBG Linked).xlsx]Equities!R295C12</stp>
        <tr r="L295" s="2"/>
        <tr r="L295" s="2"/>
        <tr r="L295" s="2"/>
      </tp>
      <tp>
        <v>10.793169106271568</v>
        <stp/>
        <stp>##V3_BDPV12</stp>
        <stp>ZBH US Equity</stp>
        <stp>EE010</stp>
        <stp>[DPM - Securities Master List (BBG Linked).xlsx]Equities!R294C12</stp>
        <tr r="L294" s="2"/>
        <tr r="L294" s="2"/>
        <tr r="L294" s="2"/>
      </tp>
      <tp>
        <v>10.793169106271568</v>
        <stp/>
        <stp>##V3_BDPV12</stp>
        <stp>ZBH US Equity</stp>
        <stp>EE010</stp>
        <stp>[DPM - Securities Master List (BBG Linked).xlsx]Equities!R297C12</stp>
        <tr r="L297" s="2"/>
        <tr r="L297" s="2"/>
        <tr r="L297" s="2"/>
      </tp>
      <tp>
        <v>10.793169106271568</v>
        <stp/>
        <stp>##V3_BDPV12</stp>
        <stp>ZBH US Equity</stp>
        <stp>EE010</stp>
        <stp>[DPM - Securities Master List (BBG Linked).xlsx]Equities!R296C12</stp>
        <tr r="L296" s="2"/>
        <tr r="L296" s="2"/>
        <tr r="L296" s="2"/>
      </tp>
      <tp t="s">
        <v>Nestle SA</v>
        <stp/>
        <stp>##V3_BDPV12</stp>
        <stp>NESN SW Equity</stp>
        <stp>SECURITY NAME</stp>
        <stp>[DPM - Securities Master List (BBG Linked).xlsx]Equities!R195C5</stp>
        <tr r="E195" s="2"/>
      </tp>
      <tp t="s">
        <v>EUR</v>
        <stp/>
        <stp>##V3_BDPV12</stp>
        <stp>VOW3 GY Equity</stp>
        <stp>CRNCY</stp>
        <stp>[DPM - Securities Master List (BBG Linked).xlsx]Equities!R293C6</stp>
        <tr r="F293" s="2"/>
      </tp>
      <tp t="s">
        <v>Nestle SA</v>
        <stp/>
        <stp>##V3_BDPV12</stp>
        <stp>NESN SW Equity</stp>
        <stp>SECURITY NAME</stp>
        <stp>[DPM - Securities Master List (BBG Linked).xlsx]Equities!R205C5</stp>
        <tr r="E205" s="2"/>
      </tp>
      <tp t="s">
        <v>Intel Corp</v>
        <stp/>
        <stp>##V3_BDPV12</stp>
        <stp>INTC US Equity</stp>
        <stp>SECURITY NAME</stp>
        <stp>[DPM - Securities Master List (BBG Linked).xlsx]Equities!R148C5</stp>
        <tr r="E148" s="2"/>
      </tp>
      <tp t="s">
        <v>USD</v>
        <stp/>
        <stp>##V3_BDPV12</stp>
        <stp>PYPL US Equity</stp>
        <stp>CRNCY</stp>
        <stp>[DPM - Securities Master List (BBG Linked).xlsx]Equities!R237C6</stp>
        <tr r="F237" s="2"/>
      </tp>
      <tp t="s">
        <v>Dell Technologies Inc</v>
        <stp/>
        <stp>##V3_BDPV12</stp>
        <stp>DELL US Equity</stp>
        <stp>SECURITY NAME</stp>
        <stp>[DPM - Securities Master List (BBG Linked).xlsx]Equities!R103C5</stp>
        <tr r="E103" s="2"/>
      </tp>
      <tp>
        <v>7.1722910000000004</v>
        <stp/>
        <stp>##V3_BDPV12</stp>
        <stp>XS2911679004 isin</stp>
        <stp>YAS_BOND_YLD</stp>
        <stp>[DPM - Securities Master List (BBG Linked).xlsx]Bonds!R23C10</stp>
        <stp>YAS_YLD_FLAG=15</stp>
        <stp>user_local_trade_date</stp>
        <stp>45783</stp>
        <stp>Yas_bond_px</stp>
        <stp>99.109999999999999</stp>
        <tr r="J23" s="1"/>
      </tp>
      <tp>
        <v>6.2666370000000002</v>
        <stp/>
        <stp>##V3_BDPV12</stp>
        <stp>XS2755904872 isin</stp>
        <stp>YAS_BOND_YLD</stp>
        <stp>[DPM - Securities Master List (BBG Linked).xlsx]Bonds!R45C10</stp>
        <stp>YAS_YLD_FLAG=15</stp>
        <stp>user_local_trade_date</stp>
        <stp>45783</stp>
        <stp>Yas_bond_px</stp>
        <stp>88.179000000000002</stp>
        <tr r="J45" s="1"/>
      </tp>
      <tp t="s">
        <v>Equity</v>
        <stp/>
        <stp>##V3_BDPV12</stp>
        <stp>AAL US Equity</stp>
        <stp>EX028</stp>
        <stp>[DPM - Securities Master List (BBG Linked).xlsx]Equities!R28C30</stp>
        <tr r="AD28" s="2"/>
        <tr r="AD28" s="2"/>
        <tr r="AD28" s="2"/>
      </tp>
      <tp t="s">
        <v>Equity</v>
        <stp/>
        <stp>##V3_BDPV12</stp>
        <stp>AAL US Equity</stp>
        <stp>EX028</stp>
        <stp>[DPM - Securities Master List (BBG Linked).xlsx]Equities!R29C30</stp>
        <tr r="AD29" s="2"/>
        <tr r="AD29" s="2"/>
        <tr r="AD29" s="2"/>
      </tp>
      <tp t="s">
        <v>Equity</v>
        <stp/>
        <stp>##V3_BDPV12</stp>
        <stp>AAL US Equity</stp>
        <stp>EX028</stp>
        <stp>[DPM - Securities Master List (BBG Linked).xlsx]Equities!R32C30</stp>
        <tr r="AD32" s="2"/>
        <tr r="AD32" s="2"/>
        <tr r="AD32" s="2"/>
      </tp>
      <tp t="s">
        <v>Equity</v>
        <stp/>
        <stp>##V3_BDPV12</stp>
        <stp>AAL US Equity</stp>
        <stp>EX028</stp>
        <stp>[DPM - Securities Master List (BBG Linked).xlsx]Equities!R33C30</stp>
        <tr r="AD33" s="2"/>
        <tr r="AD33" s="2"/>
        <tr r="AD33" s="2"/>
      </tp>
      <tp t="s">
        <v>Equity</v>
        <stp/>
        <stp>##V3_BDPV12</stp>
        <stp>AAL US Equity</stp>
        <stp>EX028</stp>
        <stp>[DPM - Securities Master List (BBG Linked).xlsx]Equities!R30C30</stp>
        <tr r="AD30" s="2"/>
        <tr r="AD30" s="2"/>
        <tr r="AD30" s="2"/>
      </tp>
      <tp t="s">
        <v>Equity</v>
        <stp/>
        <stp>##V3_BDPV12</stp>
        <stp>AAL US Equity</stp>
        <stp>EX028</stp>
        <stp>[DPM - Securities Master List (BBG Linked).xlsx]Equities!R31C30</stp>
        <tr r="AD31" s="2"/>
        <tr r="AD31" s="2"/>
        <tr r="AD31" s="2"/>
      </tp>
      <tp t="s">
        <v>#N/A N/A</v>
        <stp/>
        <stp>##V3_BDPV12</stp>
        <stp>AAL US Equity</stp>
        <stp>DV013</stp>
        <stp>[DPM - Securities Master List (BBG Linked).xlsx]Equities!R28C10</stp>
        <tr r="J28" s="2"/>
      </tp>
      <tp t="s">
        <v>#N/A N/A</v>
        <stp/>
        <stp>##V3_BDPV12</stp>
        <stp>AAL US Equity</stp>
        <stp>DV013</stp>
        <stp>[DPM - Securities Master List (BBG Linked).xlsx]Equities!R29C10</stp>
        <tr r="J29" s="2"/>
      </tp>
      <tp>
        <v>5.1492172211350296</v>
        <stp/>
        <stp>##V3_BDPV12</stp>
        <stp>AAL US Equity</stp>
        <stp>EE010</stp>
        <stp>[DPM - Securities Master List (BBG Linked).xlsx]Equities!R29C12</stp>
        <tr r="L29" s="2"/>
        <tr r="L29" s="2"/>
        <tr r="L29" s="2"/>
      </tp>
      <tp>
        <v>5.1492172211350296</v>
        <stp/>
        <stp>##V3_BDPV12</stp>
        <stp>AAL US Equity</stp>
        <stp>EE010</stp>
        <stp>[DPM - Securities Master List (BBG Linked).xlsx]Equities!R28C12</stp>
        <tr r="L28" s="2"/>
        <tr r="L28" s="2"/>
        <tr r="L28" s="2"/>
      </tp>
      <tp t="s">
        <v>#N/A N/A</v>
        <stp/>
        <stp>##V3_BDPV12</stp>
        <stp>AAL US Equity</stp>
        <stp>DV013</stp>
        <stp>[DPM - Securities Master List (BBG Linked).xlsx]Equities!R30C10</stp>
        <tr r="J30" s="2"/>
      </tp>
      <tp t="s">
        <v>#N/A N/A</v>
        <stp/>
        <stp>##V3_BDPV12</stp>
        <stp>AAL US Equity</stp>
        <stp>DV013</stp>
        <stp>[DPM - Securities Master List (BBG Linked).xlsx]Equities!R31C10</stp>
        <tr r="J31" s="2"/>
      </tp>
      <tp t="s">
        <v>#N/A N/A</v>
        <stp/>
        <stp>##V3_BDPV12</stp>
        <stp>AAL US Equity</stp>
        <stp>DV013</stp>
        <stp>[DPM - Securities Master List (BBG Linked).xlsx]Equities!R32C10</stp>
        <tr r="J32" s="2"/>
      </tp>
      <tp t="s">
        <v>#N/A N/A</v>
        <stp/>
        <stp>##V3_BDPV12</stp>
        <stp>AAL US Equity</stp>
        <stp>DV013</stp>
        <stp>[DPM - Securities Master List (BBG Linked).xlsx]Equities!R33C10</stp>
        <tr r="J33" s="2"/>
      </tp>
      <tp>
        <v>5.1492172211350296</v>
        <stp/>
        <stp>##V3_BDPV12</stp>
        <stp>AAL US Equity</stp>
        <stp>EE010</stp>
        <stp>[DPM - Securities Master List (BBG Linked).xlsx]Equities!R33C12</stp>
        <tr r="L33" s="2"/>
        <tr r="L33" s="2"/>
        <tr r="L33" s="2"/>
      </tp>
      <tp>
        <v>5.1492172211350296</v>
        <stp/>
        <stp>##V3_BDPV12</stp>
        <stp>AAL US Equity</stp>
        <stp>EE010</stp>
        <stp>[DPM - Securities Master List (BBG Linked).xlsx]Equities!R32C12</stp>
        <tr r="L32" s="2"/>
        <tr r="L32" s="2"/>
        <tr r="L32" s="2"/>
      </tp>
      <tp>
        <v>5.1492172211350296</v>
        <stp/>
        <stp>##V3_BDPV12</stp>
        <stp>AAL US Equity</stp>
        <stp>EE010</stp>
        <stp>[DPM - Securities Master List (BBG Linked).xlsx]Equities!R31C12</stp>
        <tr r="L31" s="2"/>
        <tr r="L31" s="2"/>
        <tr r="L31" s="2"/>
      </tp>
      <tp>
        <v>5.1492172211350296</v>
        <stp/>
        <stp>##V3_BDPV12</stp>
        <stp>AAL US Equity</stp>
        <stp>EE010</stp>
        <stp>[DPM - Securities Master List (BBG Linked).xlsx]Equities!R30C12</stp>
        <tr r="L30" s="2"/>
        <tr r="L30" s="2"/>
        <tr r="L30" s="2"/>
      </tp>
      <tp>
        <v>-39.615609999999997</v>
        <stp/>
        <stp>##V3_BDPV12</stp>
        <stp>AAL US Equity</stp>
        <stp>PR079</stp>
        <stp>[DPM - Securities Master List (BBG Linked).xlsx]Equities!R30C43</stp>
        <tr r="AQ30" s="2"/>
      </tp>
      <tp>
        <v>-39.615609999999997</v>
        <stp/>
        <stp>##V3_BDPV12</stp>
        <stp>AAL US Equity</stp>
        <stp>PR079</stp>
        <stp>[DPM - Securities Master List (BBG Linked).xlsx]Equities!R31C43</stp>
        <tr r="AQ31" s="2"/>
      </tp>
      <tp>
        <v>-39.615609999999997</v>
        <stp/>
        <stp>##V3_BDPV12</stp>
        <stp>AAL US Equity</stp>
        <stp>PR079</stp>
        <stp>[DPM - Securities Master List (BBG Linked).xlsx]Equities!R32C43</stp>
        <tr r="AQ32" s="2"/>
      </tp>
      <tp>
        <v>-39.615609999999997</v>
        <stp/>
        <stp>##V3_BDPV12</stp>
        <stp>AAL US Equity</stp>
        <stp>PR079</stp>
        <stp>[DPM - Securities Master List (BBG Linked).xlsx]Equities!R33C43</stp>
        <tr r="AQ33" s="2"/>
      </tp>
      <tp>
        <v>-39.615609999999997</v>
        <stp/>
        <stp>##V3_BDPV12</stp>
        <stp>AAL US Equity</stp>
        <stp>PR079</stp>
        <stp>[DPM - Securities Master List (BBG Linked).xlsx]Equities!R28C43</stp>
        <tr r="AQ28" s="2"/>
      </tp>
      <tp>
        <v>-39.615609999999997</v>
        <stp/>
        <stp>##V3_BDPV12</stp>
        <stp>AAL US Equity</stp>
        <stp>PR079</stp>
        <stp>[DPM - Securities Master List (BBG Linked).xlsx]Equities!R29C43</stp>
        <tr r="AQ29" s="2"/>
      </tp>
      <tp>
        <v>-38.305979999999998</v>
        <stp/>
        <stp>##V3_BDPV12</stp>
        <stp>AAL US Equity</stp>
        <stp>PR064</stp>
        <stp>[DPM - Securities Master List (BBG Linked).xlsx]Equities!R28C41</stp>
        <tr r="AO28" s="2"/>
      </tp>
      <tp>
        <v>-38.305979999999998</v>
        <stp/>
        <stp>##V3_BDPV12</stp>
        <stp>AAL US Equity</stp>
        <stp>PR064</stp>
        <stp>[DPM - Securities Master List (BBG Linked).xlsx]Equities!R29C41</stp>
        <tr r="AO29" s="2"/>
      </tp>
      <tp>
        <v>-38.305979999999998</v>
        <stp/>
        <stp>##V3_BDPV12</stp>
        <stp>AAL US Equity</stp>
        <stp>PR064</stp>
        <stp>[DPM - Securities Master List (BBG Linked).xlsx]Equities!R30C41</stp>
        <tr r="AO30" s="2"/>
      </tp>
      <tp>
        <v>-38.305979999999998</v>
        <stp/>
        <stp>##V3_BDPV12</stp>
        <stp>AAL US Equity</stp>
        <stp>PR064</stp>
        <stp>[DPM - Securities Master List (BBG Linked).xlsx]Equities!R31C41</stp>
        <tr r="AO31" s="2"/>
      </tp>
      <tp>
        <v>-38.305979999999998</v>
        <stp/>
        <stp>##V3_BDPV12</stp>
        <stp>AAL US Equity</stp>
        <stp>PR064</stp>
        <stp>[DPM - Securities Master List (BBG Linked).xlsx]Equities!R32C41</stp>
        <tr r="AO32" s="2"/>
      </tp>
      <tp>
        <v>-38.305979999999998</v>
        <stp/>
        <stp>##V3_BDPV12</stp>
        <stp>AAL US Equity</stp>
        <stp>PR064</stp>
        <stp>[DPM - Securities Master List (BBG Linked).xlsx]Equities!R33C41</stp>
        <tr r="AO33" s="2"/>
      </tp>
      <tp>
        <v>11.25793</v>
        <stp/>
        <stp>##V3_BDPV12</stp>
        <stp>AAL US Equity</stp>
        <stp>PR061</stp>
        <stp>[DPM - Securities Master List (BBG Linked).xlsx]Equities!R28C40</stp>
        <tr r="AN28" s="2"/>
      </tp>
      <tp>
        <v>11.25793</v>
        <stp/>
        <stp>##V3_BDPV12</stp>
        <stp>AAL US Equity</stp>
        <stp>PR061</stp>
        <stp>[DPM - Securities Master List (BBG Linked).xlsx]Equities!R29C40</stp>
        <tr r="AN29" s="2"/>
      </tp>
      <tp>
        <v>11.25793</v>
        <stp/>
        <stp>##V3_BDPV12</stp>
        <stp>AAL US Equity</stp>
        <stp>PR061</stp>
        <stp>[DPM - Securities Master List (BBG Linked).xlsx]Equities!R30C40</stp>
        <tr r="AN30" s="2"/>
      </tp>
      <tp>
        <v>11.25793</v>
        <stp/>
        <stp>##V3_BDPV12</stp>
        <stp>AAL US Equity</stp>
        <stp>PR061</stp>
        <stp>[DPM - Securities Master List (BBG Linked).xlsx]Equities!R31C40</stp>
        <tr r="AN31" s="2"/>
      </tp>
      <tp>
        <v>11.25793</v>
        <stp/>
        <stp>##V3_BDPV12</stp>
        <stp>AAL US Equity</stp>
        <stp>PR061</stp>
        <stp>[DPM - Securities Master List (BBG Linked).xlsx]Equities!R32C40</stp>
        <tr r="AN32" s="2"/>
      </tp>
      <tp>
        <v>11.25793</v>
        <stp/>
        <stp>##V3_BDPV12</stp>
        <stp>AAL US Equity</stp>
        <stp>PR061</stp>
        <stp>[DPM - Securities Master List (BBG Linked).xlsx]Equities!R33C40</stp>
        <tr r="AN33" s="2"/>
      </tp>
      <tp t="s">
        <v>US02376R1023</v>
        <stp/>
        <stp>##V3_BDPV12</stp>
        <stp>AAL US Equity</stp>
        <stp>ID005</stp>
        <stp>[DPM - Securities Master List (BBG Linked).xlsx]Equities!R28C55</stp>
        <tr r="BC28" s="2"/>
      </tp>
      <tp t="s">
        <v>US02376R1023</v>
        <stp/>
        <stp>##V3_BDPV12</stp>
        <stp>AAL US Equity</stp>
        <stp>ID005</stp>
        <stp>[DPM - Securities Master List (BBG Linked).xlsx]Equities!R32C55</stp>
        <tr r="BC32" s="2"/>
      </tp>
      <tp t="s">
        <v>US02376R1023</v>
        <stp/>
        <stp>##V3_BDPV12</stp>
        <stp>AAL US Equity</stp>
        <stp>ID005</stp>
        <stp>[DPM - Securities Master List (BBG Linked).xlsx]Equities!R30C55</stp>
        <tr r="BC30" s="2"/>
      </tp>
      <tp t="s">
        <v>US02376R1023</v>
        <stp/>
        <stp>##V3_BDPV12</stp>
        <stp>AAL US Equity</stp>
        <stp>ID005</stp>
        <stp>[DPM - Securities Master List (BBG Linked).xlsx]Equities!R31C55</stp>
        <tr r="BC31" s="2"/>
      </tp>
      <tp>
        <v>8.5</v>
        <stp/>
        <stp>##V3_BDPV12</stp>
        <stp>AAL US Equity</stp>
        <stp>hs002</stp>
        <stp>[DPM - Securities Master List (BBG Linked).xlsx]Equities!R29C45</stp>
        <tr r="AS29" s="2"/>
      </tp>
      <tp>
        <v>8.5</v>
        <stp/>
        <stp>##V3_BDPV12</stp>
        <stp>AAL US Equity</stp>
        <stp>hs002</stp>
        <stp>[DPM - Securities Master List (BBG Linked).xlsx]Equities!R28C45</stp>
        <tr r="AS28" s="2"/>
      </tp>
      <tp>
        <v>8.5</v>
        <stp/>
        <stp>##V3_BDPV12</stp>
        <stp>AAL US Equity</stp>
        <stp>hs002</stp>
        <stp>[DPM - Securities Master List (BBG Linked).xlsx]Equities!R31C45</stp>
        <tr r="AS31" s="2"/>
      </tp>
      <tp>
        <v>8.5</v>
        <stp/>
        <stp>##V3_BDPV12</stp>
        <stp>AAL US Equity</stp>
        <stp>hs002</stp>
        <stp>[DPM - Securities Master List (BBG Linked).xlsx]Equities!R30C45</stp>
        <tr r="AS30" s="2"/>
      </tp>
      <tp>
        <v>8.5</v>
        <stp/>
        <stp>##V3_BDPV12</stp>
        <stp>AAL US Equity</stp>
        <stp>hs002</stp>
        <stp>[DPM - Securities Master List (BBG Linked).xlsx]Equities!R33C45</stp>
        <tr r="AS33" s="2"/>
      </tp>
      <tp>
        <v>8.5</v>
        <stp/>
        <stp>##V3_BDPV12</stp>
        <stp>AAL US Equity</stp>
        <stp>hs002</stp>
        <stp>[DPM - Securities Master List (BBG Linked).xlsx]Equities!R32C45</stp>
        <tr r="AS32" s="2"/>
      </tp>
      <tp>
        <v>19.100000000000001</v>
        <stp/>
        <stp>##V3_BDPV12</stp>
        <stp>AAL US Equity</stp>
        <stp>hs001</stp>
        <stp>[DPM - Securities Master List (BBG Linked).xlsx]Equities!R29C44</stp>
        <tr r="AR29" s="2"/>
      </tp>
      <tp>
        <v>19.100000000000001</v>
        <stp/>
        <stp>##V3_BDPV12</stp>
        <stp>AAL US Equity</stp>
        <stp>hs001</stp>
        <stp>[DPM - Securities Master List (BBG Linked).xlsx]Equities!R28C44</stp>
        <tr r="AR28" s="2"/>
      </tp>
      <tp>
        <v>19.100000000000001</v>
        <stp/>
        <stp>##V3_BDPV12</stp>
        <stp>AAL US Equity</stp>
        <stp>hs001</stp>
        <stp>[DPM - Securities Master List (BBG Linked).xlsx]Equities!R31C44</stp>
        <tr r="AR31" s="2"/>
      </tp>
      <tp>
        <v>19.100000000000001</v>
        <stp/>
        <stp>##V3_BDPV12</stp>
        <stp>AAL US Equity</stp>
        <stp>hs001</stp>
        <stp>[DPM - Securities Master List (BBG Linked).xlsx]Equities!R30C44</stp>
        <tr r="AR30" s="2"/>
      </tp>
      <tp>
        <v>19.100000000000001</v>
        <stp/>
        <stp>##V3_BDPV12</stp>
        <stp>AAL US Equity</stp>
        <stp>hs001</stp>
        <stp>[DPM - Securities Master List (BBG Linked).xlsx]Equities!R33C44</stp>
        <tr r="AR33" s="2"/>
      </tp>
      <tp>
        <v>19.100000000000001</v>
        <stp/>
        <stp>##V3_BDPV12</stp>
        <stp>AAL US Equity</stp>
        <stp>hs001</stp>
        <stp>[DPM - Securities Master List (BBG Linked).xlsx]Equities!R32C44</stp>
        <tr r="AR32" s="2"/>
      </tp>
      <tp t="s">
        <v>Drax Group PLC</v>
        <stp/>
        <stp>##V3_BDPV12</stp>
        <stp>DRX LN Equity</stp>
        <stp>SECURITY NAME</stp>
        <stp>[DPM - Securities Master List (BBG Linked).xlsx]Equities!R119C5</stp>
        <tr r="E119" s="2"/>
      </tp>
      <tp>
        <v>60.777236456630469</v>
        <stp/>
        <stp>##V3_BDPV12</stp>
        <stp>AAL US Equity</stp>
        <stp>RR041</stp>
        <stp>[DPM - Securities Master List (BBG Linked).xlsx]Equities!R30C33</stp>
        <tr r="AG30" s="2"/>
        <tr r="AG30" s="2"/>
        <tr r="AG30" s="2"/>
      </tp>
      <tp>
        <v>60.777236456630469</v>
        <stp/>
        <stp>##V3_BDPV12</stp>
        <stp>AAL US Equity</stp>
        <stp>RR041</stp>
        <stp>[DPM - Securities Master List (BBG Linked).xlsx]Equities!R31C33</stp>
        <tr r="AG31" s="2"/>
        <tr r="AG31" s="2"/>
        <tr r="AG31" s="2"/>
      </tp>
      <tp>
        <v>60.777236456630469</v>
        <stp/>
        <stp>##V3_BDPV12</stp>
        <stp>AAL US Equity</stp>
        <stp>RR041</stp>
        <stp>[DPM - Securities Master List (BBG Linked).xlsx]Equities!R32C33</stp>
        <tr r="AG32" s="2"/>
        <tr r="AG32" s="2"/>
        <tr r="AG32" s="2"/>
      </tp>
      <tp>
        <v>60.777236456630469</v>
        <stp/>
        <stp>##V3_BDPV12</stp>
        <stp>AAL US Equity</stp>
        <stp>RR041</stp>
        <stp>[DPM - Securities Master List (BBG Linked).xlsx]Equities!R33C33</stp>
        <tr r="AG33" s="2"/>
        <tr r="AG33" s="2"/>
        <tr r="AG33" s="2"/>
      </tp>
      <tp>
        <v>60.777236456630469</v>
        <stp/>
        <stp>##V3_BDPV12</stp>
        <stp>AAL US Equity</stp>
        <stp>RR041</stp>
        <stp>[DPM - Securities Master List (BBG Linked).xlsx]Equities!R28C33</stp>
        <tr r="AG28" s="2"/>
        <tr r="AG28" s="2"/>
        <tr r="AG28" s="2"/>
      </tp>
      <tp>
        <v>60.777236456630469</v>
        <stp/>
        <stp>##V3_BDPV12</stp>
        <stp>AAL US Equity</stp>
        <stp>RR041</stp>
        <stp>[DPM - Securities Master List (BBG Linked).xlsx]Equities!R29C33</stp>
        <tr r="AG29" s="2"/>
        <tr r="AG29" s="2"/>
        <tr r="AG29" s="2"/>
      </tp>
      <tp t="s">
        <v>USD</v>
        <stp/>
        <stp>##V3_BDPV12</stp>
        <stp>NKE US Equity</stp>
        <stp>CRNCY</stp>
        <stp>[DPM - Securities Master List (BBG Linked).xlsx]Equities!R212C6</stp>
        <tr r="F212" s="2"/>
      </tp>
      <tp t="s">
        <v>USD</v>
        <stp/>
        <stp>##V3_BDPV12</stp>
        <stp>NKE US Equity</stp>
        <stp>CRNCY</stp>
        <stp>[DPM - Securities Master List (BBG Linked).xlsx]Equities!R222C6</stp>
        <tr r="F222" s="2"/>
      </tp>
      <tp t="s">
        <v>GBp</v>
        <stp/>
        <stp>##V3_BDPV12</stp>
        <stp>SSE LN Equity</stp>
        <stp>CRNCY</stp>
        <stp>[DPM - Securities Master List (BBG Linked).xlsx]Equities!R246C6</stp>
        <tr r="F246" s="2"/>
      </tp>
      <tp t="s">
        <v>GBp</v>
        <stp/>
        <stp>##V3_BDPV12</stp>
        <stp>SSE LN Equity</stp>
        <stp>CRNCY</stp>
        <stp>[DPM - Securities Master List (BBG Linked).xlsx]Equities!R256C6</stp>
        <tr r="F256" s="2"/>
      </tp>
      <tp t="s">
        <v>PepsiCo Inc</v>
        <stp/>
        <stp>##V3_BDPV12</stp>
        <stp>PEP US Equity</stp>
        <stp>SECURITY NAME</stp>
        <stp>[DPM - Securities Master List (BBG Linked).xlsx]Equities!R234C5</stp>
        <tr r="E234" s="2"/>
      </tp>
      <tp>
        <v>88.93</v>
        <stp/>
        <stp>##V3_BDPV12</stp>
        <stp>NEM AT Equity</stp>
        <stp>hs001</stp>
        <stp>[DPM - Securities Master List (BBG Linked).xlsx]Equities!R189C44</stp>
        <tr r="AR189" s="2"/>
      </tp>
      <tp>
        <v>88.93</v>
        <stp/>
        <stp>##V3_BDPV12</stp>
        <stp>NEM AT Equity</stp>
        <stp>hs001</stp>
        <stp>[DPM - Securities Master List (BBG Linked).xlsx]Equities!R191C44</stp>
        <tr r="AR191" s="2"/>
      </tp>
      <tp>
        <v>88.93</v>
        <stp/>
        <stp>##V3_BDPV12</stp>
        <stp>NEM AT Equity</stp>
        <stp>hs001</stp>
        <stp>[DPM - Securities Master List (BBG Linked).xlsx]Equities!R190C44</stp>
        <tr r="AR190" s="2"/>
      </tp>
      <tp>
        <v>88.93</v>
        <stp/>
        <stp>##V3_BDPV12</stp>
        <stp>NEM AT Equity</stp>
        <stp>hs001</stp>
        <stp>[DPM - Securities Master List (BBG Linked).xlsx]Equities!R192C44</stp>
        <tr r="AR192" s="2"/>
      </tp>
      <tp t="s">
        <v>Diageo PLC</v>
        <stp/>
        <stp>##V3_BDPV12</stp>
        <stp>DGE LN Equity</stp>
        <stp>SECURITY NAME</stp>
        <stp>[DPM - Securities Master List (BBG Linked).xlsx]Equities!R109C5</stp>
        <tr r="E109" s="2"/>
      </tp>
      <tp t="s">
        <v>USD</v>
        <stp/>
        <stp>##V3_BDPV12</stp>
        <stp>MRK US Equity</stp>
        <stp>CRNCY</stp>
        <stp>[DPM - Securities Master List (BBG Linked).xlsx]Equities!R161C6</stp>
        <tr r="F161" s="2"/>
      </tp>
      <tp>
        <v>58.92</v>
        <stp/>
        <stp>##V3_BDPV12</stp>
        <stp>NEM AT Equity</stp>
        <stp>hs002</stp>
        <stp>[DPM - Securities Master List (BBG Linked).xlsx]Equities!R191C45</stp>
        <tr r="AS191" s="2"/>
      </tp>
      <tp>
        <v>58.92</v>
        <stp/>
        <stp>##V3_BDPV12</stp>
        <stp>NEM AT Equity</stp>
        <stp>hs002</stp>
        <stp>[DPM - Securities Master List (BBG Linked).xlsx]Equities!R190C45</stp>
        <tr r="AS190" s="2"/>
      </tp>
      <tp>
        <v>58.92</v>
        <stp/>
        <stp>##V3_BDPV12</stp>
        <stp>NEM AT Equity</stp>
        <stp>hs002</stp>
        <stp>[DPM - Securities Master List (BBG Linked).xlsx]Equities!R192C45</stp>
        <tr r="AS192" s="2"/>
      </tp>
      <tp>
        <v>58.92</v>
        <stp/>
        <stp>##V3_BDPV12</stp>
        <stp>NEM AT Equity</stp>
        <stp>hs002</stp>
        <stp>[DPM - Securities Master List (BBG Linked).xlsx]Equities!R189C45</stp>
        <tr r="AS189" s="2"/>
      </tp>
      <tp>
        <v>89.92</v>
        <stp/>
        <stp>##V3_BDPV12</stp>
        <stp>ZBH US Equity</stp>
        <stp>hs002</stp>
        <stp>[DPM - Securities Master List (BBG Linked).xlsx]Equities!R301C45</stp>
        <tr r="AS301" s="2"/>
      </tp>
      <tp>
        <v>89.92</v>
        <stp/>
        <stp>##V3_BDPV12</stp>
        <stp>ZBH US Equity</stp>
        <stp>hs002</stp>
        <stp>[DPM - Securities Master List (BBG Linked).xlsx]Equities!R300C45</stp>
        <tr r="AS300" s="2"/>
      </tp>
      <tp>
        <v>89.92</v>
        <stp/>
        <stp>##V3_BDPV12</stp>
        <stp>ZBH US Equity</stp>
        <stp>hs002</stp>
        <stp>[DPM - Securities Master List (BBG Linked).xlsx]Equities!R302C45</stp>
        <tr r="AS302" s="2"/>
      </tp>
      <tp>
        <v>89.92</v>
        <stp/>
        <stp>##V3_BDPV12</stp>
        <stp>ZBH US Equity</stp>
        <stp>hs002</stp>
        <stp>[DPM - Securities Master List (BBG Linked).xlsx]Equities!R299C45</stp>
        <tr r="AS299" s="2"/>
      </tp>
      <tp>
        <v>89.92</v>
        <stp/>
        <stp>##V3_BDPV12</stp>
        <stp>ZBH US Equity</stp>
        <stp>hs002</stp>
        <stp>[DPM - Securities Master List (BBG Linked).xlsx]Equities!R298C45</stp>
        <tr r="AS298" s="2"/>
      </tp>
      <tp>
        <v>89.92</v>
        <stp/>
        <stp>##V3_BDPV12</stp>
        <stp>ZBH US Equity</stp>
        <stp>hs002</stp>
        <stp>[DPM - Securities Master List (BBG Linked).xlsx]Equities!R295C45</stp>
        <tr r="AS295" s="2"/>
      </tp>
      <tp>
        <v>89.92</v>
        <stp/>
        <stp>##V3_BDPV12</stp>
        <stp>ZBH US Equity</stp>
        <stp>hs002</stp>
        <stp>[DPM - Securities Master List (BBG Linked).xlsx]Equities!R294C45</stp>
        <tr r="AS294" s="2"/>
      </tp>
      <tp>
        <v>89.92</v>
        <stp/>
        <stp>##V3_BDPV12</stp>
        <stp>ZBH US Equity</stp>
        <stp>hs002</stp>
        <stp>[DPM - Securities Master List (BBG Linked).xlsx]Equities!R297C45</stp>
        <tr r="AS297" s="2"/>
      </tp>
      <tp>
        <v>89.92</v>
        <stp/>
        <stp>##V3_BDPV12</stp>
        <stp>ZBH US Equity</stp>
        <stp>hs002</stp>
        <stp>[DPM - Securities Master List (BBG Linked).xlsx]Equities!R296C45</stp>
        <tr r="AS296" s="2"/>
      </tp>
      <tp>
        <v>122.25</v>
        <stp/>
        <stp>##V3_BDPV12</stp>
        <stp>ZBH US Equity</stp>
        <stp>hs001</stp>
        <stp>[DPM - Securities Master List (BBG Linked).xlsx]Equities!R299C44</stp>
        <tr r="AR299" s="2"/>
      </tp>
      <tp>
        <v>122.25</v>
        <stp/>
        <stp>##V3_BDPV12</stp>
        <stp>ZBH US Equity</stp>
        <stp>hs001</stp>
        <stp>[DPM - Securities Master List (BBG Linked).xlsx]Equities!R298C44</stp>
        <tr r="AR298" s="2"/>
      </tp>
      <tp>
        <v>122.25</v>
        <stp/>
        <stp>##V3_BDPV12</stp>
        <stp>ZBH US Equity</stp>
        <stp>hs001</stp>
        <stp>[DPM - Securities Master List (BBG Linked).xlsx]Equities!R295C44</stp>
        <tr r="AR295" s="2"/>
      </tp>
      <tp>
        <v>122.25</v>
        <stp/>
        <stp>##V3_BDPV12</stp>
        <stp>ZBH US Equity</stp>
        <stp>hs001</stp>
        <stp>[DPM - Securities Master List (BBG Linked).xlsx]Equities!R294C44</stp>
        <tr r="AR294" s="2"/>
      </tp>
      <tp>
        <v>122.25</v>
        <stp/>
        <stp>##V3_BDPV12</stp>
        <stp>ZBH US Equity</stp>
        <stp>hs001</stp>
        <stp>[DPM - Securities Master List (BBG Linked).xlsx]Equities!R297C44</stp>
        <tr r="AR297" s="2"/>
      </tp>
      <tp>
        <v>122.25</v>
        <stp/>
        <stp>##V3_BDPV12</stp>
        <stp>ZBH US Equity</stp>
        <stp>hs001</stp>
        <stp>[DPM - Securities Master List (BBG Linked).xlsx]Equities!R296C44</stp>
        <tr r="AR296" s="2"/>
      </tp>
      <tp>
        <v>122.25</v>
        <stp/>
        <stp>##V3_BDPV12</stp>
        <stp>ZBH US Equity</stp>
        <stp>hs001</stp>
        <stp>[DPM - Securities Master List (BBG Linked).xlsx]Equities!R301C44</stp>
        <tr r="AR301" s="2"/>
      </tp>
      <tp>
        <v>122.25</v>
        <stp/>
        <stp>##V3_BDPV12</stp>
        <stp>ZBH US Equity</stp>
        <stp>hs001</stp>
        <stp>[DPM - Securities Master List (BBG Linked).xlsx]Equities!R300C44</stp>
        <tr r="AR300" s="2"/>
      </tp>
      <tp>
        <v>122.25</v>
        <stp/>
        <stp>##V3_BDPV12</stp>
        <stp>ZBH US Equity</stp>
        <stp>hs001</stp>
        <stp>[DPM - Securities Master List (BBG Linked).xlsx]Equities!R302C44</stp>
        <tr r="AR302" s="2"/>
      </tp>
      <tp t="s">
        <v>ON Semiconductor Corp</v>
        <stp/>
        <stp>##V3_BDPV12</stp>
        <stp>ON US Equity</stp>
        <stp>SECURITY NAME</stp>
        <stp>[DPM - Securities Master List (BBG Linked).xlsx]Equities!R226C5</stp>
        <tr r="E226" s="2"/>
      </tp>
      <tp>
        <v>275687.64</v>
        <stp/>
        <stp>##V3_BDPV12</stp>
        <stp>NSRGY US Equity</stp>
        <stp>CRNCY_ADJ_MKT_CAP</stp>
        <stp>[DPM - Securities Master List (BBG Linked).xlsx]Equities!R223C9</stp>
        <stp>EQY_FUND_CRNCY=USD</stp>
        <tr r="I223" s="2"/>
      </tp>
      <tp>
        <v>11.034997723954795</v>
        <stp/>
        <stp>##V3_BDPV12</stp>
        <stp>ZBH US Equity</stp>
        <stp>RR908</stp>
        <stp>[DPM - Securities Master List (BBG Linked).xlsx]Equities!R294C32</stp>
        <tr r="AF294" s="2"/>
        <tr r="AF294" s="2"/>
        <tr r="AF294" s="2"/>
      </tp>
      <tp>
        <v>11.034997723954795</v>
        <stp/>
        <stp>##V3_BDPV12</stp>
        <stp>ZBH US Equity</stp>
        <stp>RR908</stp>
        <stp>[DPM - Securities Master List (BBG Linked).xlsx]Equities!R295C32</stp>
        <tr r="AF295" s="2"/>
        <tr r="AF295" s="2"/>
        <tr r="AF295" s="2"/>
      </tp>
      <tp>
        <v>11.034997723954795</v>
        <stp/>
        <stp>##V3_BDPV12</stp>
        <stp>ZBH US Equity</stp>
        <stp>RR908</stp>
        <stp>[DPM - Securities Master List (BBG Linked).xlsx]Equities!R296C32</stp>
        <tr r="AF296" s="2"/>
        <tr r="AF296" s="2"/>
        <tr r="AF296" s="2"/>
      </tp>
      <tp>
        <v>11.034997723954795</v>
        <stp/>
        <stp>##V3_BDPV12</stp>
        <stp>ZBH US Equity</stp>
        <stp>RR908</stp>
        <stp>[DPM - Securities Master List (BBG Linked).xlsx]Equities!R297C32</stp>
        <tr r="AF297" s="2"/>
        <tr r="AF297" s="2"/>
        <tr r="AF297" s="2"/>
      </tp>
      <tp>
        <v>11.034997723954795</v>
        <stp/>
        <stp>##V3_BDPV12</stp>
        <stp>ZBH US Equity</stp>
        <stp>RR908</stp>
        <stp>[DPM - Securities Master List (BBG Linked).xlsx]Equities!R298C32</stp>
        <tr r="AF298" s="2"/>
        <tr r="AF298" s="2"/>
        <tr r="AF298" s="2"/>
      </tp>
      <tp>
        <v>11.034997723954795</v>
        <stp/>
        <stp>##V3_BDPV12</stp>
        <stp>ZBH US Equity</stp>
        <stp>RR908</stp>
        <stp>[DPM - Securities Master List (BBG Linked).xlsx]Equities!R299C32</stp>
        <tr r="AF299" s="2"/>
        <tr r="AF299" s="2"/>
        <tr r="AF299" s="2"/>
      </tp>
      <tp>
        <v>11.034997723954795</v>
        <stp/>
        <stp>##V3_BDPV12</stp>
        <stp>ZBH US Equity</stp>
        <stp>RR908</stp>
        <stp>[DPM - Securities Master List (BBG Linked).xlsx]Equities!R300C32</stp>
        <tr r="AF300" s="2"/>
        <tr r="AF300" s="2"/>
        <tr r="AF300" s="2"/>
      </tp>
      <tp>
        <v>11.034997723954795</v>
        <stp/>
        <stp>##V3_BDPV12</stp>
        <stp>ZBH US Equity</stp>
        <stp>RR908</stp>
        <stp>[DPM - Securities Master List (BBG Linked).xlsx]Equities!R301C32</stp>
        <tr r="AF301" s="2"/>
        <tr r="AF301" s="2"/>
        <tr r="AF301" s="2"/>
      </tp>
      <tp>
        <v>11.034997723954795</v>
        <stp/>
        <stp>##V3_BDPV12</stp>
        <stp>ZBH US Equity</stp>
        <stp>RR908</stp>
        <stp>[DPM - Securities Master List (BBG Linked).xlsx]Equities!R302C32</stp>
        <tr r="AF302" s="2"/>
        <tr r="AF302" s="2"/>
        <tr r="AF302" s="2"/>
      </tp>
      <tp t="s">
        <v>#N/A Field Not Applicable</v>
        <stp/>
        <stp>##V3_BDPV12</stp>
        <stp>NEM AT Equity</stp>
        <stp>RR908</stp>
        <stp>[DPM - Securities Master List (BBG Linked).xlsx]Equities!R190C32</stp>
        <tr r="AF190" s="2"/>
        <tr r="AF190" s="2"/>
      </tp>
      <tp t="s">
        <v>#N/A Field Not Applicable</v>
        <stp/>
        <stp>##V3_BDPV12</stp>
        <stp>NEM AT Equity</stp>
        <stp>RR908</stp>
        <stp>[DPM - Securities Master List (BBG Linked).xlsx]Equities!R191C32</stp>
        <tr r="AF191" s="2"/>
        <tr r="AF191" s="2"/>
      </tp>
      <tp t="s">
        <v>#N/A Field Not Applicable</v>
        <stp/>
        <stp>##V3_BDPV12</stp>
        <stp>NEM AT Equity</stp>
        <stp>RR908</stp>
        <stp>[DPM - Securities Master List (BBG Linked).xlsx]Equities!R192C32</stp>
        <tr r="AF192" s="2"/>
        <tr r="AF192" s="2"/>
      </tp>
      <tp t="s">
        <v>#N/A Field Not Applicable</v>
        <stp/>
        <stp>##V3_BDPV12</stp>
        <stp>NEM AT Equity</stp>
        <stp>RR908</stp>
        <stp>[DPM - Securities Master List (BBG Linked).xlsx]Equities!R189C32</stp>
        <tr r="AF189" s="2"/>
        <tr r="AF189" s="2"/>
      </tp>
      <tp>
        <v>17.708962575369597</v>
        <stp/>
        <stp>##V3_BDPV12</stp>
        <stp>ZBH US Equity</stp>
        <stp>RR900</stp>
        <stp>[DPM - Securities Master List (BBG Linked).xlsx]Equities!R294C11</stp>
        <tr r="K294" s="2"/>
        <tr r="K294" s="2"/>
        <tr r="K294" s="2"/>
      </tp>
      <tp>
        <v>17.708962575369597</v>
        <stp/>
        <stp>##V3_BDPV12</stp>
        <stp>ZBH US Equity</stp>
        <stp>RR900</stp>
        <stp>[DPM - Securities Master List (BBG Linked).xlsx]Equities!R295C11</stp>
        <tr r="K295" s="2"/>
        <tr r="K295" s="2"/>
        <tr r="K295" s="2"/>
      </tp>
      <tp>
        <v>17.708962575369597</v>
        <stp/>
        <stp>##V3_BDPV12</stp>
        <stp>ZBH US Equity</stp>
        <stp>RR900</stp>
        <stp>[DPM - Securities Master List (BBG Linked).xlsx]Equities!R296C11</stp>
        <tr r="K296" s="2"/>
        <tr r="K296" s="2"/>
        <tr r="K296" s="2"/>
      </tp>
      <tp>
        <v>17.708962575369597</v>
        <stp/>
        <stp>##V3_BDPV12</stp>
        <stp>ZBH US Equity</stp>
        <stp>RR900</stp>
        <stp>[DPM - Securities Master List (BBG Linked).xlsx]Equities!R297C11</stp>
        <tr r="K297" s="2"/>
        <tr r="K297" s="2"/>
        <tr r="K297" s="2"/>
      </tp>
      <tp>
        <v>17.708962575369597</v>
        <stp/>
        <stp>##V3_BDPV12</stp>
        <stp>ZBH US Equity</stp>
        <stp>RR900</stp>
        <stp>[DPM - Securities Master List (BBG Linked).xlsx]Equities!R298C11</stp>
        <tr r="K298" s="2"/>
        <tr r="K298" s="2"/>
        <tr r="K298" s="2"/>
      </tp>
      <tp>
        <v>17.708962575369597</v>
        <stp/>
        <stp>##V3_BDPV12</stp>
        <stp>ZBH US Equity</stp>
        <stp>RR900</stp>
        <stp>[DPM - Securities Master List (BBG Linked).xlsx]Equities!R299C11</stp>
        <tr r="K299" s="2"/>
        <tr r="K299" s="2"/>
        <tr r="K299" s="2"/>
      </tp>
      <tp>
        <v>17.708962575369597</v>
        <stp/>
        <stp>##V3_BDPV12</stp>
        <stp>ZBH US Equity</stp>
        <stp>RR900</stp>
        <stp>[DPM - Securities Master List (BBG Linked).xlsx]Equities!R300C11</stp>
        <tr r="K300" s="2"/>
        <tr r="K300" s="2"/>
        <tr r="K300" s="2"/>
      </tp>
      <tp>
        <v>17.708962575369597</v>
        <stp/>
        <stp>##V3_BDPV12</stp>
        <stp>ZBH US Equity</stp>
        <stp>RR900</stp>
        <stp>[DPM - Securities Master List (BBG Linked).xlsx]Equities!R301C11</stp>
        <tr r="K301" s="2"/>
        <tr r="K301" s="2"/>
        <tr r="K301" s="2"/>
      </tp>
      <tp>
        <v>17.708962575369597</v>
        <stp/>
        <stp>##V3_BDPV12</stp>
        <stp>ZBH US Equity</stp>
        <stp>RR900</stp>
        <stp>[DPM - Securities Master List (BBG Linked).xlsx]Equities!R302C11</stp>
        <tr r="K302" s="2"/>
        <tr r="K302" s="2"/>
        <tr r="K302" s="2"/>
      </tp>
      <tp>
        <v>1.4465905023685177</v>
        <stp/>
        <stp>##V3_BDPV12</stp>
        <stp>ZBH US Equity</stp>
        <stp>RR903</stp>
        <stp>[DPM - Securities Master List (BBG Linked).xlsx]Equities!R300C13</stp>
        <tr r="M300" s="2"/>
        <tr r="M300" s="2"/>
        <tr r="M300" s="2"/>
      </tp>
      <tp>
        <v>1.4465905023685177</v>
        <stp/>
        <stp>##V3_BDPV12</stp>
        <stp>ZBH US Equity</stp>
        <stp>RR903</stp>
        <stp>[DPM - Securities Master List (BBG Linked).xlsx]Equities!R301C13</stp>
        <tr r="M301" s="2"/>
        <tr r="M301" s="2"/>
        <tr r="M301" s="2"/>
      </tp>
      <tp>
        <v>1.4465905023685177</v>
        <stp/>
        <stp>##V3_BDPV12</stp>
        <stp>ZBH US Equity</stp>
        <stp>RR903</stp>
        <stp>[DPM - Securities Master List (BBG Linked).xlsx]Equities!R302C13</stp>
        <tr r="M302" s="2"/>
        <tr r="M302" s="2"/>
        <tr r="M302" s="2"/>
      </tp>
      <tp>
        <v>1.4465905023685177</v>
        <stp/>
        <stp>##V3_BDPV12</stp>
        <stp>ZBH US Equity</stp>
        <stp>RR903</stp>
        <stp>[DPM - Securities Master List (BBG Linked).xlsx]Equities!R294C13</stp>
        <tr r="M294" s="2"/>
        <tr r="M294" s="2"/>
        <tr r="M294" s="2"/>
      </tp>
      <tp>
        <v>1.4465905023685177</v>
        <stp/>
        <stp>##V3_BDPV12</stp>
        <stp>ZBH US Equity</stp>
        <stp>RR903</stp>
        <stp>[DPM - Securities Master List (BBG Linked).xlsx]Equities!R295C13</stp>
        <tr r="M295" s="2"/>
        <tr r="M295" s="2"/>
        <tr r="M295" s="2"/>
      </tp>
      <tp>
        <v>1.4465905023685177</v>
        <stp/>
        <stp>##V3_BDPV12</stp>
        <stp>ZBH US Equity</stp>
        <stp>RR903</stp>
        <stp>[DPM - Securities Master List (BBG Linked).xlsx]Equities!R296C13</stp>
        <tr r="M296" s="2"/>
        <tr r="M296" s="2"/>
        <tr r="M296" s="2"/>
      </tp>
      <tp>
        <v>1.4465905023685177</v>
        <stp/>
        <stp>##V3_BDPV12</stp>
        <stp>ZBH US Equity</stp>
        <stp>RR903</stp>
        <stp>[DPM - Securities Master List (BBG Linked).xlsx]Equities!R297C13</stp>
        <tr r="M297" s="2"/>
        <tr r="M297" s="2"/>
        <tr r="M297" s="2"/>
      </tp>
      <tp>
        <v>1.4465905023685177</v>
        <stp/>
        <stp>##V3_BDPV12</stp>
        <stp>ZBH US Equity</stp>
        <stp>RR903</stp>
        <stp>[DPM - Securities Master List (BBG Linked).xlsx]Equities!R298C13</stp>
        <tr r="M298" s="2"/>
        <tr r="M298" s="2"/>
        <tr r="M298" s="2"/>
      </tp>
      <tp>
        <v>1.4465905023685177</v>
        <stp/>
        <stp>##V3_BDPV12</stp>
        <stp>ZBH US Equity</stp>
        <stp>RR903</stp>
        <stp>[DPM - Securities Master List (BBG Linked).xlsx]Equities!R299C13</stp>
        <tr r="M299" s="2"/>
        <tr r="M299" s="2"/>
        <tr r="M299" s="2"/>
      </tp>
      <tp t="s">
        <v>#N/A Field Not Applicable</v>
        <stp/>
        <stp>##V3_BDPV12</stp>
        <stp>NEM AT Equity</stp>
        <stp>RR903</stp>
        <stp>[DPM - Securities Master List (BBG Linked).xlsx]Equities!R189C13</stp>
        <tr r="M189" s="2"/>
        <tr r="M189" s="2"/>
      </tp>
      <tp t="s">
        <v>#N/A Field Not Applicable</v>
        <stp/>
        <stp>##V3_BDPV12</stp>
        <stp>NEM AT Equity</stp>
        <stp>RR903</stp>
        <stp>[DPM - Securities Master List (BBG Linked).xlsx]Equities!R190C13</stp>
        <tr r="M190" s="2"/>
        <tr r="M190" s="2"/>
      </tp>
      <tp t="s">
        <v>#N/A Field Not Applicable</v>
        <stp/>
        <stp>##V3_BDPV12</stp>
        <stp>NEM AT Equity</stp>
        <stp>RR903</stp>
        <stp>[DPM - Securities Master List (BBG Linked).xlsx]Equities!R191C13</stp>
        <tr r="M191" s="2"/>
        <tr r="M191" s="2"/>
      </tp>
      <tp t="s">
        <v>#N/A Field Not Applicable</v>
        <stp/>
        <stp>##V3_BDPV12</stp>
        <stp>NEM AT Equity</stp>
        <stp>RR903</stp>
        <stp>[DPM - Securities Master List (BBG Linked).xlsx]Equities!R192C13</stp>
        <tr r="M192" s="2"/>
        <tr r="M192" s="2"/>
      </tp>
      <tp t="s">
        <v>#N/A Field Not Applicable</v>
        <stp/>
        <stp>##V3_BDPV12</stp>
        <stp>NEM AT Equity</stp>
        <stp>RR900</stp>
        <stp>[DPM - Securities Master List (BBG Linked).xlsx]Equities!R189C11</stp>
        <tr r="K189" s="2"/>
        <tr r="K189" s="2"/>
      </tp>
      <tp t="s">
        <v>#N/A Field Not Applicable</v>
        <stp/>
        <stp>##V3_BDPV12</stp>
        <stp>NEM AT Equity</stp>
        <stp>RR900</stp>
        <stp>[DPM - Securities Master List (BBG Linked).xlsx]Equities!R190C11</stp>
        <tr r="K190" s="2"/>
        <tr r="K190" s="2"/>
      </tp>
      <tp t="s">
        <v>#N/A Field Not Applicable</v>
        <stp/>
        <stp>##V3_BDPV12</stp>
        <stp>NEM AT Equity</stp>
        <stp>RR900</stp>
        <stp>[DPM - Securities Master List (BBG Linked).xlsx]Equities!R191C11</stp>
        <tr r="K191" s="2"/>
        <tr r="K191" s="2"/>
      </tp>
      <tp t="s">
        <v>#N/A Field Not Applicable</v>
        <stp/>
        <stp>##V3_BDPV12</stp>
        <stp>NEM AT Equity</stp>
        <stp>RR900</stp>
        <stp>[DPM - Securities Master List (BBG Linked).xlsx]Equities!R192C11</stp>
        <tr r="K192" s="2"/>
        <tr r="K192" s="2"/>
      </tp>
      <tp>
        <v>-0.11462020000000001</v>
        <stp/>
        <stp>##V3_BDPV12</stp>
        <stp>MDT US Equity</stp>
        <stp>PR061</stp>
        <stp>[DPM - Securities Master List (BBG Linked).xlsx]Equities!R155C40</stp>
        <tr r="AN155" s="2"/>
      </tp>
      <tp t="s">
        <v>Y</v>
        <stp/>
        <stp>##V3_BDPV12</stp>
        <stp>NKE US Equity</stp>
        <stp>DY997</stp>
        <stp>[DPM - Securities Master List (BBG Linked).xlsx]Equities!R220C47</stp>
        <tr r="AU220" s="2"/>
        <tr r="AU220" s="2"/>
        <tr r="AU220" s="2"/>
      </tp>
      <tp t="s">
        <v>Y</v>
        <stp/>
        <stp>##V3_BDPV12</stp>
        <stp>NKE US Equity</stp>
        <stp>DY997</stp>
        <stp>[DPM - Securities Master List (BBG Linked).xlsx]Equities!R221C47</stp>
        <tr r="AU221" s="2"/>
        <tr r="AU221" s="2"/>
        <tr r="AU221" s="2"/>
      </tp>
      <tp t="s">
        <v>Y</v>
        <stp/>
        <stp>##V3_BDPV12</stp>
        <stp>NKE US Equity</stp>
        <stp>DY997</stp>
        <stp>[DPM - Securities Master List (BBG Linked).xlsx]Equities!R222C47</stp>
        <tr r="AU222" s="2"/>
        <tr r="AU222" s="2"/>
        <tr r="AU222" s="2"/>
      </tp>
      <tp t="s">
        <v>Y</v>
        <stp/>
        <stp>##V3_BDPV12</stp>
        <stp>NKE US Equity</stp>
        <stp>DY997</stp>
        <stp>[DPM - Securities Master List (BBG Linked).xlsx]Equities!R214C47</stp>
        <tr r="AU214" s="2"/>
        <tr r="AU214" s="2"/>
        <tr r="AU214" s="2"/>
      </tp>
      <tp t="s">
        <v>Y</v>
        <stp/>
        <stp>##V3_BDPV12</stp>
        <stp>NKE US Equity</stp>
        <stp>DY997</stp>
        <stp>[DPM - Securities Master List (BBG Linked).xlsx]Equities!R215C47</stp>
        <tr r="AU215" s="2"/>
        <tr r="AU215" s="2"/>
        <tr r="AU215" s="2"/>
      </tp>
      <tp t="s">
        <v>Y</v>
        <stp/>
        <stp>##V3_BDPV12</stp>
        <stp>NKE US Equity</stp>
        <stp>DY997</stp>
        <stp>[DPM - Securities Master List (BBG Linked).xlsx]Equities!R216C47</stp>
        <tr r="AU216" s="2"/>
        <tr r="AU216" s="2"/>
        <tr r="AU216" s="2"/>
      </tp>
      <tp t="s">
        <v>Y</v>
        <stp/>
        <stp>##V3_BDPV12</stp>
        <stp>NKE US Equity</stp>
        <stp>DY997</stp>
        <stp>[DPM - Securities Master List (BBG Linked).xlsx]Equities!R217C47</stp>
        <tr r="AU217" s="2"/>
        <tr r="AU217" s="2"/>
        <tr r="AU217" s="2"/>
      </tp>
      <tp t="s">
        <v>Y</v>
        <stp/>
        <stp>##V3_BDPV12</stp>
        <stp>NKE US Equity</stp>
        <stp>DY997</stp>
        <stp>[DPM - Securities Master List (BBG Linked).xlsx]Equities!R210C47</stp>
        <tr r="AU210" s="2"/>
        <tr r="AU210" s="2"/>
        <tr r="AU210" s="2"/>
      </tp>
      <tp t="s">
        <v>Y</v>
        <stp/>
        <stp>##V3_BDPV12</stp>
        <stp>NKE US Equity</stp>
        <stp>DY997</stp>
        <stp>[DPM - Securities Master List (BBG Linked).xlsx]Equities!R211C47</stp>
        <tr r="AU211" s="2"/>
        <tr r="AU211" s="2"/>
        <tr r="AU211" s="2"/>
      </tp>
      <tp t="s">
        <v>Y</v>
        <stp/>
        <stp>##V3_BDPV12</stp>
        <stp>NKE US Equity</stp>
        <stp>DY997</stp>
        <stp>[DPM - Securities Master List (BBG Linked).xlsx]Equities!R212C47</stp>
        <tr r="AU212" s="2"/>
        <tr r="AU212" s="2"/>
        <tr r="AU212" s="2"/>
      </tp>
      <tp t="s">
        <v>Y</v>
        <stp/>
        <stp>##V3_BDPV12</stp>
        <stp>NKE US Equity</stp>
        <stp>DY997</stp>
        <stp>[DPM - Securities Master List (BBG Linked).xlsx]Equities!R213C47</stp>
        <tr r="AU213" s="2"/>
        <tr r="AU213" s="2"/>
        <tr r="AU213" s="2"/>
      </tp>
      <tp t="s">
        <v>Y</v>
        <stp/>
        <stp>##V3_BDPV12</stp>
        <stp>NKE US Equity</stp>
        <stp>DY997</stp>
        <stp>[DPM - Securities Master List (BBG Linked).xlsx]Equities!R218C47</stp>
        <tr r="AU218" s="2"/>
        <tr r="AU218" s="2"/>
        <tr r="AU218" s="2"/>
      </tp>
      <tp t="s">
        <v>Y</v>
        <stp/>
        <stp>##V3_BDPV12</stp>
        <stp>NKE US Equity</stp>
        <stp>DY997</stp>
        <stp>[DPM - Securities Master List (BBG Linked).xlsx]Equities!R219C47</stp>
        <tr r="AU219" s="2"/>
        <tr r="AU219" s="2"/>
        <tr r="AU219" s="2"/>
      </tp>
      <tp t="s">
        <v>Y</v>
        <stp/>
        <stp>##V3_BDPV12</stp>
        <stp>NKE US Equity</stp>
        <stp>DY997</stp>
        <stp>[DPM - Securities Master List (BBG Linked).xlsx]Equities!R207C47</stp>
        <tr r="AU207" s="2"/>
        <tr r="AU207" s="2"/>
        <tr r="AU207" s="2"/>
      </tp>
      <tp t="s">
        <v>Y</v>
        <stp/>
        <stp>##V3_BDPV12</stp>
        <stp>NKE US Equity</stp>
        <stp>DY997</stp>
        <stp>[DPM - Securities Master List (BBG Linked).xlsx]Equities!R208C47</stp>
        <tr r="AU208" s="2"/>
        <tr r="AU208" s="2"/>
        <tr r="AU208" s="2"/>
      </tp>
      <tp t="s">
        <v>Y</v>
        <stp/>
        <stp>##V3_BDPV12</stp>
        <stp>NKE US Equity</stp>
        <stp>DY997</stp>
        <stp>[DPM - Securities Master List (BBG Linked).xlsx]Equities!R209C47</stp>
        <tr r="AU209" s="2"/>
        <tr r="AU209" s="2"/>
        <tr r="AU209" s="2"/>
      </tp>
      <tp>
        <v>46.518709915563143</v>
        <stp/>
        <stp>##V3_BDPV12</stp>
        <stp>KER FP Equity</stp>
        <stp>RR041</stp>
        <stp>[DPM - Securities Master List (BBG Linked).xlsx]Equities!R149C33</stp>
        <tr r="AG149" s="2"/>
        <tr r="AG149" s="2"/>
        <tr r="AG149" s="2"/>
      </tp>
      <tp>
        <v>46.518709915563143</v>
        <stp/>
        <stp>##V3_BDPV12</stp>
        <stp>KER FP Equity</stp>
        <stp>RR041</stp>
        <stp>[DPM - Securities Master List (BBG Linked).xlsx]Equities!R153C33</stp>
        <tr r="AG153" s="2"/>
        <tr r="AG153" s="2"/>
        <tr r="AG153" s="2"/>
      </tp>
      <tp>
        <v>46.518709915563143</v>
        <stp/>
        <stp>##V3_BDPV12</stp>
        <stp>KER FP Equity</stp>
        <stp>RR041</stp>
        <stp>[DPM - Securities Master List (BBG Linked).xlsx]Equities!R152C33</stp>
        <tr r="AG152" s="2"/>
        <tr r="AG152" s="2"/>
        <tr r="AG152" s="2"/>
      </tp>
      <tp>
        <v>46.518709915563143</v>
        <stp/>
        <stp>##V3_BDPV12</stp>
        <stp>KER FP Equity</stp>
        <stp>RR041</stp>
        <stp>[DPM - Securities Master List (BBG Linked).xlsx]Equities!R151C33</stp>
        <tr r="AG151" s="2"/>
        <tr r="AG151" s="2"/>
        <tr r="AG151" s="2"/>
      </tp>
      <tp>
        <v>46.518709915563143</v>
        <stp/>
        <stp>##V3_BDPV12</stp>
        <stp>KER FP Equity</stp>
        <stp>RR041</stp>
        <stp>[DPM - Securities Master List (BBG Linked).xlsx]Equities!R150C33</stp>
        <tr r="AG150" s="2"/>
        <tr r="AG150" s="2"/>
        <tr r="AG150" s="2"/>
      </tp>
      <tp t="s">
        <v>US98956P1021</v>
        <stp/>
        <stp>##V3_BDPV12</stp>
        <stp>ZBH US Equity</stp>
        <stp>ID005</stp>
        <stp>[DPM - Securities Master List (BBG Linked).xlsx]Equities!R299C55</stp>
        <tr r="BC299" s="2"/>
      </tp>
      <tp t="s">
        <v>US98956P1021</v>
        <stp/>
        <stp>##V3_BDPV12</stp>
        <stp>ZBH US Equity</stp>
        <stp>ID005</stp>
        <stp>[DPM - Securities Master List (BBG Linked).xlsx]Equities!R298C55</stp>
        <tr r="BC298" s="2"/>
      </tp>
      <tp t="s">
        <v>US98956P1021</v>
        <stp/>
        <stp>##V3_BDPV12</stp>
        <stp>ZBH US Equity</stp>
        <stp>ID005</stp>
        <stp>[DPM - Securities Master List (BBG Linked).xlsx]Equities!R295C55</stp>
        <tr r="BC295" s="2"/>
      </tp>
      <tp t="s">
        <v>US98956P1021</v>
        <stp/>
        <stp>##V3_BDPV12</stp>
        <stp>ZBH US Equity</stp>
        <stp>ID005</stp>
        <stp>[DPM - Securities Master List (BBG Linked).xlsx]Equities!R294C55</stp>
        <tr r="BC294" s="2"/>
      </tp>
      <tp t="s">
        <v>US98956P1021</v>
        <stp/>
        <stp>##V3_BDPV12</stp>
        <stp>ZBH US Equity</stp>
        <stp>ID005</stp>
        <stp>[DPM - Securities Master List (BBG Linked).xlsx]Equities!R297C55</stp>
        <tr r="BC297" s="2"/>
      </tp>
      <tp t="s">
        <v>US98956P1021</v>
        <stp/>
        <stp>##V3_BDPV12</stp>
        <stp>ZBH US Equity</stp>
        <stp>ID005</stp>
        <stp>[DPM - Securities Master List (BBG Linked).xlsx]Equities!R296C55</stp>
        <tr r="BC296" s="2"/>
      </tp>
      <tp>
        <v>6.3045783298353859</v>
        <stp/>
        <stp>##V3_BDPV12</stp>
        <stp>TGT US Equity</stp>
        <stp>RR957</stp>
        <stp>[DPM - Securities Master List (BBG Linked).xlsx]Equities!R261C14</stp>
        <tr r="N261" s="2"/>
        <tr r="N261" s="2"/>
        <tr r="N261" s="2"/>
      </tp>
      <tp t="s">
        <v>US98956P1021</v>
        <stp/>
        <stp>##V3_BDPV12</stp>
        <stp>ZBH US Equity</stp>
        <stp>ID005</stp>
        <stp>[DPM - Securities Master List (BBG Linked).xlsx]Equities!R301C55</stp>
        <tr r="BC301" s="2"/>
      </tp>
      <tp t="s">
        <v>US98956P1021</v>
        <stp/>
        <stp>##V3_BDPV12</stp>
        <stp>ZBH US Equity</stp>
        <stp>ID005</stp>
        <stp>[DPM - Securities Master List (BBG Linked).xlsx]Equities!R300C55</stp>
        <tr r="BC300" s="2"/>
      </tp>
      <tp t="s">
        <v>US98956P1021</v>
        <stp/>
        <stp>##V3_BDPV12</stp>
        <stp>ZBH US Equity</stp>
        <stp>ID005</stp>
        <stp>[DPM - Securities Master List (BBG Linked).xlsx]Equities!R302C55</stp>
        <tr r="BC302" s="2"/>
      </tp>
      <tp>
        <v>-8.8471700000000002</v>
        <stp/>
        <stp>##V3_BDPV12</stp>
        <stp>MDT US Equity</stp>
        <stp>PR064</stp>
        <stp>[DPM - Securities Master List (BBG Linked).xlsx]Equities!R155C41</stp>
        <tr r="AO155" s="2"/>
      </tp>
      <tp t="s">
        <v>AU0000297962</v>
        <stp/>
        <stp>##V3_BDPV12</stp>
        <stp>NEM AT Equity</stp>
        <stp>ID005</stp>
        <stp>[DPM - Securities Master List (BBG Linked).xlsx]Equities!R189C55</stp>
        <tr r="BC189" s="2"/>
      </tp>
      <tp t="s">
        <v>AU0000297962</v>
        <stp/>
        <stp>##V3_BDPV12</stp>
        <stp>NEM AT Equity</stp>
        <stp>ID005</stp>
        <stp>[DPM - Securities Master List (BBG Linked).xlsx]Equities!R191C55</stp>
        <tr r="BC191" s="2"/>
      </tp>
      <tp t="s">
        <v>AU0000297962</v>
        <stp/>
        <stp>##V3_BDPV12</stp>
        <stp>NEM AT Equity</stp>
        <stp>ID005</stp>
        <stp>[DPM - Securities Master List (BBG Linked).xlsx]Equities!R190C55</stp>
        <tr r="BC190" s="2"/>
      </tp>
      <tp t="s">
        <v>AU0000297962</v>
        <stp/>
        <stp>##V3_BDPV12</stp>
        <stp>NEM AT Equity</stp>
        <stp>ID005</stp>
        <stp>[DPM - Securities Master List (BBG Linked).xlsx]Equities!R192C55</stp>
        <tr r="BC192" s="2"/>
      </tp>
      <tp t="s">
        <v>Health Care</v>
        <stp/>
        <stp>##V3_BDPV12</stp>
        <stp>ZBH US Equity</stp>
        <stp>DX202</stp>
        <stp>[DPM - Securities Master List (BBG Linked).xlsx]Equities!R302C46</stp>
        <tr r="AT302" s="2"/>
        <tr r="AT302" s="2"/>
        <tr r="AT302" s="2"/>
      </tp>
      <tp t="s">
        <v>Health Care</v>
        <stp/>
        <stp>##V3_BDPV12</stp>
        <stp>ZBH US Equity</stp>
        <stp>DX202</stp>
        <stp>[DPM - Securities Master List (BBG Linked).xlsx]Equities!R301C46</stp>
        <tr r="AT301" s="2"/>
        <tr r="AT301" s="2"/>
        <tr r="AT301" s="2"/>
      </tp>
      <tp t="s">
        <v>Health Care</v>
        <stp/>
        <stp>##V3_BDPV12</stp>
        <stp>ZBH US Equity</stp>
        <stp>DX202</stp>
        <stp>[DPM - Securities Master List (BBG Linked).xlsx]Equities!R300C46</stp>
        <tr r="AT300" s="2"/>
        <tr r="AT300" s="2"/>
        <tr r="AT300" s="2"/>
      </tp>
      <tp t="s">
        <v>Health Care</v>
        <stp/>
        <stp>##V3_BDPV12</stp>
        <stp>ZBH US Equity</stp>
        <stp>DX202</stp>
        <stp>[DPM - Securities Master List (BBG Linked).xlsx]Equities!R299C46</stp>
        <tr r="AT299" s="2"/>
        <tr r="AT299" s="2"/>
        <tr r="AT299" s="2"/>
      </tp>
      <tp t="s">
        <v>Health Care</v>
        <stp/>
        <stp>##V3_BDPV12</stp>
        <stp>ZBH US Equity</stp>
        <stp>DX202</stp>
        <stp>[DPM - Securities Master List (BBG Linked).xlsx]Equities!R298C46</stp>
        <tr r="AT298" s="2"/>
        <tr r="AT298" s="2"/>
        <tr r="AT298" s="2"/>
      </tp>
      <tp t="s">
        <v>Health Care</v>
        <stp/>
        <stp>##V3_BDPV12</stp>
        <stp>ZBH US Equity</stp>
        <stp>DX202</stp>
        <stp>[DPM - Securities Master List (BBG Linked).xlsx]Equities!R297C46</stp>
        <tr r="AT297" s="2"/>
        <tr r="AT297" s="2"/>
        <tr r="AT297" s="2"/>
      </tp>
      <tp t="s">
        <v>Health Care</v>
        <stp/>
        <stp>##V3_BDPV12</stp>
        <stp>ZBH US Equity</stp>
        <stp>DX202</stp>
        <stp>[DPM - Securities Master List (BBG Linked).xlsx]Equities!R296C46</stp>
        <tr r="AT296" s="2"/>
        <tr r="AT296" s="2"/>
        <tr r="AT296" s="2"/>
      </tp>
      <tp t="s">
        <v>Health Care</v>
        <stp/>
        <stp>##V3_BDPV12</stp>
        <stp>ZBH US Equity</stp>
        <stp>DX202</stp>
        <stp>[DPM - Securities Master List (BBG Linked).xlsx]Equities!R295C46</stp>
        <tr r="AT295" s="2"/>
        <tr r="AT295" s="2"/>
        <tr r="AT295" s="2"/>
      </tp>
      <tp t="s">
        <v>Health Care</v>
        <stp/>
        <stp>##V3_BDPV12</stp>
        <stp>ZBH US Equity</stp>
        <stp>DX202</stp>
        <stp>[DPM - Securities Master List (BBG Linked).xlsx]Equities!R294C46</stp>
        <tr r="AT294" s="2"/>
        <tr r="AT294" s="2"/>
        <tr r="AT294" s="2"/>
      </tp>
      <tp>
        <v>4.6666665077209473</v>
        <stp/>
        <stp>##V3_BDPV12</stp>
        <stp>NEM AT Equity</stp>
        <stp>EE201</stp>
        <stp>[DPM - Securities Master List (BBG Linked).xlsx]Equities!R192C37</stp>
        <tr r="AK192" s="2"/>
        <tr r="AK192" s="2"/>
        <tr r="AK192" s="2"/>
      </tp>
      <tp>
        <v>4.6666665077209473</v>
        <stp/>
        <stp>##V3_BDPV12</stp>
        <stp>NEM AT Equity</stp>
        <stp>EE201</stp>
        <stp>[DPM - Securities Master List (BBG Linked).xlsx]Equities!R191C37</stp>
        <tr r="AK191" s="2"/>
        <tr r="AK191" s="2"/>
        <tr r="AK191" s="2"/>
      </tp>
      <tp>
        <v>4.6666665077209473</v>
        <stp/>
        <stp>##V3_BDPV12</stp>
        <stp>NEM AT Equity</stp>
        <stp>EE201</stp>
        <stp>[DPM - Securities Master List (BBG Linked).xlsx]Equities!R190C37</stp>
        <tr r="AK190" s="2"/>
        <tr r="AK190" s="2"/>
        <tr r="AK190" s="2"/>
      </tp>
      <tp>
        <v>4.6666665077209473</v>
        <stp/>
        <stp>##V3_BDPV12</stp>
        <stp>NEM AT Equity</stp>
        <stp>EE201</stp>
        <stp>[DPM - Securities Master List (BBG Linked).xlsx]Equities!R189C37</stp>
        <tr r="AK189" s="2"/>
        <tr r="AK189" s="2"/>
        <tr r="AK189" s="2"/>
      </tp>
      <tp>
        <v>3.6129031181335449</v>
        <stp/>
        <stp>##V3_BDPV12</stp>
        <stp>ZBH US Equity</stp>
        <stp>EE201</stp>
        <stp>[DPM - Securities Master List (BBG Linked).xlsx]Equities!R299C37</stp>
        <tr r="AK299" s="2"/>
        <tr r="AK299" s="2"/>
        <tr r="AK299" s="2"/>
      </tp>
      <tp>
        <v>3.6129031181335449</v>
        <stp/>
        <stp>##V3_BDPV12</stp>
        <stp>ZBH US Equity</stp>
        <stp>EE201</stp>
        <stp>[DPM - Securities Master List (BBG Linked).xlsx]Equities!R298C37</stp>
        <tr r="AK298" s="2"/>
        <tr r="AK298" s="2"/>
        <tr r="AK298" s="2"/>
      </tp>
      <tp>
        <v>3.6129031181335449</v>
        <stp/>
        <stp>##V3_BDPV12</stp>
        <stp>ZBH US Equity</stp>
        <stp>EE201</stp>
        <stp>[DPM - Securities Master List (BBG Linked).xlsx]Equities!R297C37</stp>
        <tr r="AK297" s="2"/>
        <tr r="AK297" s="2"/>
        <tr r="AK297" s="2"/>
      </tp>
      <tp>
        <v>3.6129031181335449</v>
        <stp/>
        <stp>##V3_BDPV12</stp>
        <stp>ZBH US Equity</stp>
        <stp>EE201</stp>
        <stp>[DPM - Securities Master List (BBG Linked).xlsx]Equities!R296C37</stp>
        <tr r="AK296" s="2"/>
        <tr r="AK296" s="2"/>
        <tr r="AK296" s="2"/>
      </tp>
      <tp>
        <v>3.6129031181335449</v>
        <stp/>
        <stp>##V3_BDPV12</stp>
        <stp>ZBH US Equity</stp>
        <stp>EE201</stp>
        <stp>[DPM - Securities Master List (BBG Linked).xlsx]Equities!R295C37</stp>
        <tr r="AK295" s="2"/>
        <tr r="AK295" s="2"/>
        <tr r="AK295" s="2"/>
      </tp>
      <tp>
        <v>3.6129031181335449</v>
        <stp/>
        <stp>##V3_BDPV12</stp>
        <stp>ZBH US Equity</stp>
        <stp>EE201</stp>
        <stp>[DPM - Securities Master List (BBG Linked).xlsx]Equities!R294C37</stp>
        <tr r="AK294" s="2"/>
        <tr r="AK294" s="2"/>
        <tr r="AK294" s="2"/>
      </tp>
      <tp>
        <v>3.6129031181335449</v>
        <stp/>
        <stp>##V3_BDPV12</stp>
        <stp>ZBH US Equity</stp>
        <stp>EE201</stp>
        <stp>[DPM - Securities Master List (BBG Linked).xlsx]Equities!R302C37</stp>
        <tr r="AK302" s="2"/>
        <tr r="AK302" s="2"/>
        <tr r="AK302" s="2"/>
      </tp>
      <tp>
        <v>3.6129031181335449</v>
        <stp/>
        <stp>##V3_BDPV12</stp>
        <stp>ZBH US Equity</stp>
        <stp>EE201</stp>
        <stp>[DPM - Securities Master List (BBG Linked).xlsx]Equities!R301C37</stp>
        <tr r="AK301" s="2"/>
        <tr r="AK301" s="2"/>
        <tr r="AK301" s="2"/>
      </tp>
      <tp>
        <v>3.6129031181335449</v>
        <stp/>
        <stp>##V3_BDPV12</stp>
        <stp>ZBH US Equity</stp>
        <stp>EE201</stp>
        <stp>[DPM - Securities Master List (BBG Linked).xlsx]Equities!R300C37</stp>
        <tr r="AK300" s="2"/>
        <tr r="AK300" s="2"/>
        <tr r="AK300" s="2"/>
      </tp>
      <tp>
        <v>-13.86952</v>
        <stp/>
        <stp>##V3_BDPV12</stp>
        <stp>PEP US Equity</stp>
        <stp>PR079</stp>
        <stp>[DPM - Securities Master List (BBG Linked).xlsx]Equities!R227C43</stp>
        <tr r="AQ227" s="2"/>
      </tp>
      <tp>
        <v>-13.86952</v>
        <stp/>
        <stp>##V3_BDPV12</stp>
        <stp>PEP US Equity</stp>
        <stp>PR079</stp>
        <stp>[DPM - Securities Master List (BBG Linked).xlsx]Equities!R229C43</stp>
        <tr r="AQ229" s="2"/>
      </tp>
      <tp>
        <v>-13.86952</v>
        <stp/>
        <stp>##V3_BDPV12</stp>
        <stp>PEP US Equity</stp>
        <stp>PR079</stp>
        <stp>[DPM - Securities Master List (BBG Linked).xlsx]Equities!R228C43</stp>
        <tr r="AQ228" s="2"/>
      </tp>
      <tp>
        <v>-13.86952</v>
        <stp/>
        <stp>##V3_BDPV12</stp>
        <stp>PEP US Equity</stp>
        <stp>PR079</stp>
        <stp>[DPM - Securities Master List (BBG Linked).xlsx]Equities!R233C43</stp>
        <tr r="AQ233" s="2"/>
      </tp>
      <tp>
        <v>-13.86952</v>
        <stp/>
        <stp>##V3_BDPV12</stp>
        <stp>PEP US Equity</stp>
        <stp>PR079</stp>
        <stp>[DPM - Securities Master List (BBG Linked).xlsx]Equities!R232C43</stp>
        <tr r="AQ232" s="2"/>
      </tp>
      <tp>
        <v>-13.86952</v>
        <stp/>
        <stp>##V3_BDPV12</stp>
        <stp>PEP US Equity</stp>
        <stp>PR079</stp>
        <stp>[DPM - Securities Master List (BBG Linked).xlsx]Equities!R231C43</stp>
        <tr r="AQ231" s="2"/>
      </tp>
      <tp>
        <v>-13.86952</v>
        <stp/>
        <stp>##V3_BDPV12</stp>
        <stp>PEP US Equity</stp>
        <stp>PR079</stp>
        <stp>[DPM - Securities Master List (BBG Linked).xlsx]Equities!R230C43</stp>
        <tr r="AQ230" s="2"/>
      </tp>
      <tp>
        <v>-13.86952</v>
        <stp/>
        <stp>##V3_BDPV12</stp>
        <stp>PEP US Equity</stp>
        <stp>PR079</stp>
        <stp>[DPM - Securities Master List (BBG Linked).xlsx]Equities!R236C43</stp>
        <tr r="AQ236" s="2"/>
      </tp>
      <tp>
        <v>-13.86952</v>
        <stp/>
        <stp>##V3_BDPV12</stp>
        <stp>PEP US Equity</stp>
        <stp>PR079</stp>
        <stp>[DPM - Securities Master List (BBG Linked).xlsx]Equities!R235C43</stp>
        <tr r="AQ235" s="2"/>
      </tp>
      <tp>
        <v>-13.86952</v>
        <stp/>
        <stp>##V3_BDPV12</stp>
        <stp>PEP US Equity</stp>
        <stp>PR079</stp>
        <stp>[DPM - Securities Master List (BBG Linked).xlsx]Equities!R234C43</stp>
        <tr r="AQ234" s="2"/>
      </tp>
      <tp t="s">
        <v>Materials</v>
        <stp/>
        <stp>##V3_BDPV12</stp>
        <stp>NEM AT Equity</stp>
        <stp>DX202</stp>
        <stp>[DPM - Securities Master List (BBG Linked).xlsx]Equities!R192C46</stp>
        <tr r="AT192" s="2"/>
        <tr r="AT192" s="2"/>
        <tr r="AT192" s="2"/>
      </tp>
      <tp t="s">
        <v>Materials</v>
        <stp/>
        <stp>##V3_BDPV12</stp>
        <stp>NEM AT Equity</stp>
        <stp>DX202</stp>
        <stp>[DPM - Securities Master List (BBG Linked).xlsx]Equities!R191C46</stp>
        <tr r="AT191" s="2"/>
        <tr r="AT191" s="2"/>
        <tr r="AT191" s="2"/>
      </tp>
      <tp t="s">
        <v>Materials</v>
        <stp/>
        <stp>##V3_BDPV12</stp>
        <stp>NEM AT Equity</stp>
        <stp>DX202</stp>
        <stp>[DPM - Securities Master List (BBG Linked).xlsx]Equities!R190C46</stp>
        <tr r="AT190" s="2"/>
        <tr r="AT190" s="2"/>
        <tr r="AT190" s="2"/>
      </tp>
      <tp t="s">
        <v>Materials</v>
        <stp/>
        <stp>##V3_BDPV12</stp>
        <stp>NEM AT Equity</stp>
        <stp>DX202</stp>
        <stp>[DPM - Securities Master List (BBG Linked).xlsx]Equities!R189C46</stp>
        <tr r="AT189" s="2"/>
        <tr r="AT189" s="2"/>
        <tr r="AT189" s="2"/>
      </tp>
      <tp t="s">
        <v>Nestle SA</v>
        <stp/>
        <stp>##V3_BDPV12</stp>
        <stp>NESN SW Equity</stp>
        <stp>SECURITY NAME</stp>
        <stp>[DPM - Securities Master List (BBG Linked).xlsx]Equities!R196C5</stp>
        <tr r="E196" s="2"/>
      </tp>
      <tp t="s">
        <v>EUR</v>
        <stp/>
        <stp>##V3_BDPV12</stp>
        <stp>VOW3 GY Equity</stp>
        <stp>CRNCY</stp>
        <stp>[DPM - Securities Master List (BBG Linked).xlsx]Equities!R290C6</stp>
        <tr r="F290" s="2"/>
      </tp>
      <tp t="s">
        <v>Dell Technologies Inc</v>
        <stp/>
        <stp>##V3_BDPV12</stp>
        <stp>DELL US Equity</stp>
        <stp>SECURITY NAME</stp>
        <stp>[DPM - Securities Master List (BBG Linked).xlsx]Equities!R100C5</stp>
        <tr r="E100" s="2"/>
      </tp>
      <tp t="s">
        <v>US1101221083</v>
        <stp/>
        <stp>##V3_BDPV12</stp>
        <stp>BMY US Equity</stp>
        <stp>ID005</stp>
        <stp>[DPM - Securities Master List (BBG Linked).xlsx]Equities!R76C55</stp>
        <tr r="BC76" s="2"/>
      </tp>
      <tp>
        <v>39.35</v>
        <stp/>
        <stp>##V3_BDPV12</stp>
        <stp>BMY US Equity</stp>
        <stp>hs002</stp>
        <stp>[DPM - Securities Master List (BBG Linked).xlsx]Equities!R76C45</stp>
        <tr r="AS76" s="2"/>
      </tp>
      <tp>
        <v>63.33</v>
        <stp/>
        <stp>##V3_BDPV12</stp>
        <stp>BMY US Equity</stp>
        <stp>hs001</stp>
        <stp>[DPM - Securities Master List (BBG Linked).xlsx]Equities!R76C44</stp>
        <tr r="AR76" s="2"/>
      </tp>
      <tp>
        <v>55.289785428117874</v>
        <stp/>
        <stp>##V3_BDPV12</stp>
        <stp>BMY US Equity</stp>
        <stp>RR041</stp>
        <stp>[DPM - Securities Master List (BBG Linked).xlsx]Equities!R76C33</stp>
        <tr r="AG76" s="2"/>
        <tr r="AG76" s="2"/>
        <tr r="AG76" s="2"/>
      </tp>
      <tp t="s">
        <v>USD</v>
        <stp/>
        <stp>##V3_BDPV12</stp>
        <stp>NKE US Equity</stp>
        <stp>CRNCY</stp>
        <stp>[DPM - Securities Master List (BBG Linked).xlsx]Equities!R211C6</stp>
        <tr r="F211" s="2"/>
      </tp>
      <tp t="s">
        <v>USD</v>
        <stp/>
        <stp>##V3_BDPV12</stp>
        <stp>NKE US Equity</stp>
        <stp>CRNCY</stp>
        <stp>[DPM - Securities Master List (BBG Linked).xlsx]Equities!R221C6</stp>
        <tr r="F221" s="2"/>
      </tp>
      <tp t="s">
        <v>Equity</v>
        <stp/>
        <stp>##V3_BDPV12</stp>
        <stp>BMY US Equity</stp>
        <stp>EX028</stp>
        <stp>[DPM - Securities Master List (BBG Linked).xlsx]Equities!R76C30</stp>
        <tr r="AD76" s="2"/>
        <tr r="AD76" s="2"/>
        <tr r="AD76" s="2"/>
      </tp>
      <tp>
        <v>5.0996383350369552</v>
        <stp/>
        <stp>##V3_BDPV12</stp>
        <stp>BMY US Equity</stp>
        <stp>DV013</stp>
        <stp>[DPM - Securities Master List (BBG Linked).xlsx]Equities!R76C10</stp>
        <tr r="J76" s="2"/>
      </tp>
      <tp>
        <v>7.9840584468888514</v>
        <stp/>
        <stp>##V3_BDPV12</stp>
        <stp>BMY US Equity</stp>
        <stp>EE010</stp>
        <stp>[DPM - Securities Master List (BBG Linked).xlsx]Equities!R76C12</stp>
        <tr r="L76" s="2"/>
        <tr r="L76" s="2"/>
        <tr r="L76" s="2"/>
      </tp>
      <tp t="s">
        <v>GBp</v>
        <stp/>
        <stp>##V3_BDPV12</stp>
        <stp>SSE LN Equity</stp>
        <stp>CRNCY</stp>
        <stp>[DPM - Securities Master List (BBG Linked).xlsx]Equities!R245C6</stp>
        <tr r="F245" s="2"/>
      </tp>
      <tp t="s">
        <v>GBp</v>
        <stp/>
        <stp>##V3_BDPV12</stp>
        <stp>SSE LN Equity</stp>
        <stp>CRNCY</stp>
        <stp>[DPM - Securities Master List (BBG Linked).xlsx]Equities!R255C6</stp>
        <tr r="F255" s="2"/>
      </tp>
      <tp>
        <v>-14.01892</v>
        <stp/>
        <stp>##V3_BDPV12</stp>
        <stp>BMY US Equity</stp>
        <stp>PR079</stp>
        <stp>[DPM - Securities Master List (BBG Linked).xlsx]Equities!R76C43</stp>
        <tr r="AQ76" s="2"/>
      </tp>
      <tp t="s">
        <v>PepsiCo Inc</v>
        <stp/>
        <stp>##V3_BDPV12</stp>
        <stp>PEP US Equity</stp>
        <stp>SECURITY NAME</stp>
        <stp>[DPM - Securities Master List (BBG Linked).xlsx]Equities!R227C5</stp>
        <tr r="E227" s="2"/>
      </tp>
      <tp>
        <v>-15.30668</v>
        <stp/>
        <stp>##V3_BDPV12</stp>
        <stp>BMY US Equity</stp>
        <stp>PR064</stp>
        <stp>[DPM - Securities Master List (BBG Linked).xlsx]Equities!R76C41</stp>
        <tr r="AO76" s="2"/>
      </tp>
      <tp>
        <v>-12.059850000000001</v>
        <stp/>
        <stp>##V3_BDPV12</stp>
        <stp>BMY US Equity</stp>
        <stp>PR061</stp>
        <stp>[DPM - Securities Master List (BBG Linked).xlsx]Equities!R76C40</stp>
        <tr r="AN76" s="2"/>
      </tp>
      <tp t="s">
        <v>USD</v>
        <stp/>
        <stp>##V3_BDPV12</stp>
        <stp>MRK US Equity</stp>
        <stp>CRNCY</stp>
        <stp>[DPM - Securities Master List (BBG Linked).xlsx]Equities!R162C6</stp>
        <tr r="F162" s="2"/>
      </tp>
      <tp t="s">
        <v>EUR</v>
        <stp/>
        <stp>##V3_BDPV12</stp>
        <stp>TTE FP Equity</stp>
        <stp>CRNCY</stp>
        <stp>[DPM - Securities Master List (BBG Linked).xlsx]Equities!R288C6</stp>
        <tr r="F288" s="2"/>
      </tp>
      <tp t="s">
        <v>EUR</v>
        <stp/>
        <stp>##V3_BDPV12</stp>
        <stp>TTE FP Equity</stp>
        <stp>CRNCY</stp>
        <stp>[DPM - Securities Master List (BBG Linked).xlsx]Equities!R278C6</stp>
        <tr r="F278" s="2"/>
      </tp>
      <tp t="s">
        <v>N</v>
        <stp/>
        <stp>##V3_BDPV12</stp>
        <stp>DIS US Equity</stp>
        <stp>DY784</stp>
        <stp>[DPM - Securities Master List (BBG Linked).xlsx]Equities!R112C48</stp>
        <tr r="AV112" s="2"/>
        <tr r="AV112" s="2"/>
        <tr r="AV112" s="2"/>
      </tp>
      <tp t="s">
        <v>N</v>
        <stp/>
        <stp>##V3_BDPV12</stp>
        <stp>DIS US Equity</stp>
        <stp>DY784</stp>
        <stp>[DPM - Securities Master List (BBG Linked).xlsx]Equities!R113C48</stp>
        <tr r="AV113" s="2"/>
        <tr r="AV113" s="2"/>
        <tr r="AV113" s="2"/>
      </tp>
      <tp t="s">
        <v>N</v>
        <stp/>
        <stp>##V3_BDPV12</stp>
        <stp>DIS US Equity</stp>
        <stp>DY784</stp>
        <stp>[DPM - Securities Master List (BBG Linked).xlsx]Equities!R114C48</stp>
        <tr r="AV114" s="2"/>
        <tr r="AV114" s="2"/>
        <tr r="AV114" s="2"/>
      </tp>
      <tp t="s">
        <v>N</v>
        <stp/>
        <stp>##V3_BDPV12</stp>
        <stp>DIS US Equity</stp>
        <stp>DY784</stp>
        <stp>[DPM - Securities Master List (BBG Linked).xlsx]Equities!R115C48</stp>
        <tr r="AV115" s="2"/>
        <tr r="AV115" s="2"/>
        <tr r="AV115" s="2"/>
      </tp>
      <tp t="s">
        <v>Meituan</v>
        <stp/>
        <stp>##V3_BDPV12</stp>
        <stp>3690 HK Equity</stp>
        <stp>SECURITY NAME</stp>
        <stp>[DPM - Securities Master List (BBG Linked).xlsx]Equities!R9C5</stp>
        <tr r="E9" s="2"/>
      </tp>
      <tp>
        <v>15.167741489199102</v>
        <stp/>
        <stp>##V3_BDPV12</stp>
        <stp>MDT US Equity</stp>
        <stp>RR957</stp>
        <stp>[DPM - Securities Master List (BBG Linked).xlsx]Equities!R155C14</stp>
        <tr r="N155" s="2"/>
        <tr r="N155" s="2"/>
        <tr r="N155" s="2"/>
      </tp>
      <tp>
        <v>-1.7760149999999999</v>
        <stp/>
        <stp>##V3_BDPV12</stp>
        <stp>TGT US Equity</stp>
        <stp>PR061</stp>
        <stp>[DPM - Securities Master List (BBG Linked).xlsx]Equities!R261C40</stp>
        <tr r="AN261" s="2"/>
      </tp>
      <tp>
        <v>48.006876652558134</v>
        <stp/>
        <stp>##V3_BDPV12</stp>
        <stp>PEP US Equity</stp>
        <stp>RR041</stp>
        <stp>[DPM - Securities Master List (BBG Linked).xlsx]Equities!R227C33</stp>
        <tr r="AG227" s="2"/>
        <tr r="AG227" s="2"/>
        <tr r="AG227" s="2"/>
      </tp>
      <tp>
        <v>48.006876652558134</v>
        <stp/>
        <stp>##V3_BDPV12</stp>
        <stp>PEP US Equity</stp>
        <stp>RR041</stp>
        <stp>[DPM - Securities Master List (BBG Linked).xlsx]Equities!R229C33</stp>
        <tr r="AG229" s="2"/>
        <tr r="AG229" s="2"/>
        <tr r="AG229" s="2"/>
      </tp>
      <tp>
        <v>48.006876652558134</v>
        <stp/>
        <stp>##V3_BDPV12</stp>
        <stp>PEP US Equity</stp>
        <stp>RR041</stp>
        <stp>[DPM - Securities Master List (BBG Linked).xlsx]Equities!R228C33</stp>
        <tr r="AG228" s="2"/>
        <tr r="AG228" s="2"/>
        <tr r="AG228" s="2"/>
      </tp>
      <tp>
        <v>48.006876652558134</v>
        <stp/>
        <stp>##V3_BDPV12</stp>
        <stp>PEP US Equity</stp>
        <stp>RR041</stp>
        <stp>[DPM - Securities Master List (BBG Linked).xlsx]Equities!R233C33</stp>
        <tr r="AG233" s="2"/>
        <tr r="AG233" s="2"/>
        <tr r="AG233" s="2"/>
      </tp>
      <tp>
        <v>48.006876652558134</v>
        <stp/>
        <stp>##V3_BDPV12</stp>
        <stp>PEP US Equity</stp>
        <stp>RR041</stp>
        <stp>[DPM - Securities Master List (BBG Linked).xlsx]Equities!R232C33</stp>
        <tr r="AG232" s="2"/>
        <tr r="AG232" s="2"/>
        <tr r="AG232" s="2"/>
      </tp>
      <tp>
        <v>48.006876652558134</v>
        <stp/>
        <stp>##V3_BDPV12</stp>
        <stp>PEP US Equity</stp>
        <stp>RR041</stp>
        <stp>[DPM - Securities Master List (BBG Linked).xlsx]Equities!R231C33</stp>
        <tr r="AG231" s="2"/>
        <tr r="AG231" s="2"/>
        <tr r="AG231" s="2"/>
      </tp>
      <tp>
        <v>48.006876652558134</v>
        <stp/>
        <stp>##V3_BDPV12</stp>
        <stp>PEP US Equity</stp>
        <stp>RR041</stp>
        <stp>[DPM - Securities Master List (BBG Linked).xlsx]Equities!R230C33</stp>
        <tr r="AG230" s="2"/>
        <tr r="AG230" s="2"/>
        <tr r="AG230" s="2"/>
      </tp>
      <tp>
        <v>48.006876652558134</v>
        <stp/>
        <stp>##V3_BDPV12</stp>
        <stp>PEP US Equity</stp>
        <stp>RR041</stp>
        <stp>[DPM - Securities Master List (BBG Linked).xlsx]Equities!R236C33</stp>
        <tr r="AG236" s="2"/>
        <tr r="AG236" s="2"/>
        <tr r="AG236" s="2"/>
      </tp>
      <tp>
        <v>48.006876652558134</v>
        <stp/>
        <stp>##V3_BDPV12</stp>
        <stp>PEP US Equity</stp>
        <stp>RR041</stp>
        <stp>[DPM - Securities Master List (BBG Linked).xlsx]Equities!R235C33</stp>
        <tr r="AG235" s="2"/>
        <tr r="AG235" s="2"/>
        <tr r="AG235" s="2"/>
      </tp>
      <tp>
        <v>48.006876652558134</v>
        <stp/>
        <stp>##V3_BDPV12</stp>
        <stp>PEP US Equity</stp>
        <stp>RR041</stp>
        <stp>[DPM - Securities Master List (BBG Linked).xlsx]Equities!R234C33</stp>
        <tr r="AG234" s="2"/>
        <tr r="AG234" s="2"/>
        <tr r="AG234" s="2"/>
      </tp>
      <tp>
        <v>-30.190079999999998</v>
        <stp/>
        <stp>##V3_BDPV12</stp>
        <stp>TGT US Equity</stp>
        <stp>PR064</stp>
        <stp>[DPM - Securities Master List (BBG Linked).xlsx]Equities!R261C41</stp>
        <tr r="AO261" s="2"/>
      </tp>
      <tp t="s">
        <v>#N/A N/A</v>
        <stp/>
        <stp>##V3_BDPV12</stp>
        <stp>NIO US Equity</stp>
        <stp>DY784</stp>
        <stp>[DPM - Securities Master List (BBG Linked).xlsx]Equities!R206C48</stp>
        <tr r="AV206" s="2"/>
        <tr r="AV206" s="2"/>
      </tp>
      <tp>
        <v>-26.488980000000002</v>
        <stp/>
        <stp>##V3_BDPV12</stp>
        <stp>KER FP Equity</stp>
        <stp>PR079</stp>
        <stp>[DPM - Securities Master List (BBG Linked).xlsx]Equities!R149C43</stp>
        <tr r="AQ149" s="2"/>
      </tp>
      <tp>
        <v>-26.488980000000002</v>
        <stp/>
        <stp>##V3_BDPV12</stp>
        <stp>KER FP Equity</stp>
        <stp>PR079</stp>
        <stp>[DPM - Securities Master List (BBG Linked).xlsx]Equities!R153C43</stp>
        <tr r="AQ153" s="2"/>
      </tp>
      <tp>
        <v>-26.488980000000002</v>
        <stp/>
        <stp>##V3_BDPV12</stp>
        <stp>KER FP Equity</stp>
        <stp>PR079</stp>
        <stp>[DPM - Securities Master List (BBG Linked).xlsx]Equities!R152C43</stp>
        <tr r="AQ152" s="2"/>
      </tp>
      <tp>
        <v>-26.488980000000002</v>
        <stp/>
        <stp>##V3_BDPV12</stp>
        <stp>KER FP Equity</stp>
        <stp>PR079</stp>
        <stp>[DPM - Securities Master List (BBG Linked).xlsx]Equities!R151C43</stp>
        <tr r="AQ151" s="2"/>
      </tp>
      <tp>
        <v>-26.488980000000002</v>
        <stp/>
        <stp>##V3_BDPV12</stp>
        <stp>KER FP Equity</stp>
        <stp>PR079</stp>
        <stp>[DPM - Securities Master List (BBG Linked).xlsx]Equities!R150C43</stp>
        <tr r="AQ150" s="2"/>
      </tp>
      <tp t="s">
        <v>Nestle SA</v>
        <stp/>
        <stp>##V3_BDPV12</stp>
        <stp>NESN SW Equity</stp>
        <stp>SECURITY NAME</stp>
        <stp>[DPM - Securities Master List (BBG Linked).xlsx]Equities!R197C5</stp>
        <tr r="E197" s="2"/>
      </tp>
      <tp t="s">
        <v>EUR</v>
        <stp/>
        <stp>##V3_BDPV12</stp>
        <stp>VOW3 GY Equity</stp>
        <stp>CRNCY</stp>
        <stp>[DPM - Securities Master List (BBG Linked).xlsx]Equities!R291C6</stp>
        <tr r="F291" s="2"/>
      </tp>
      <tp t="s">
        <v>Regeneron Pharmaceuticals Inc</v>
        <stp/>
        <stp>##V3_BDPV12</stp>
        <stp>REGN US Equity</stp>
        <stp>SECURITY NAME</stp>
        <stp>[DPM - Securities Master List (BBG Linked).xlsx]Equities!R241C5</stp>
        <tr r="E241" s="2"/>
      </tp>
      <tp t="s">
        <v>Dell Technologies Inc</v>
        <stp/>
        <stp>##V3_BDPV12</stp>
        <stp>DELL US Equity</stp>
        <stp>SECURITY NAME</stp>
        <stp>[DPM - Securities Master List (BBG Linked).xlsx]Equities!R101C5</stp>
        <tr r="E101" s="2"/>
      </tp>
      <tp>
        <v>7.1722910000000004</v>
        <stp/>
        <stp>##V3_BDPV12</stp>
        <stp>XS2911679004 isin</stp>
        <stp>YAS_BOND_YLD</stp>
        <stp>[DPM - Securities Master List (BBG Linked).xlsx]Bonds!R61C10</stp>
        <stp>YAS_YLD_FLAG=15</stp>
        <stp>user_local_trade_date</stp>
        <stp>45783</stp>
        <stp>Yas_bond_px</stp>
        <stp>99.109999999999999</stp>
        <tr r="J61" s="1"/>
      </tp>
      <tp>
        <v>0</v>
        <stp/>
        <stp>##V3_BDPV12</stp>
        <stp>MSFT US Equity</stp>
        <stp>TOT_SELL_REC</stp>
        <stp>[DPM - Securities Master List (BBG Linked).xlsx]Equities!R178C36</stp>
        <tr r="AJ178" s="2"/>
      </tp>
      <tp>
        <v>0</v>
        <stp/>
        <stp>##V3_BDPV12</stp>
        <stp>MSFT US Equity</stp>
        <stp>TOT_SELL_REC</stp>
        <stp>[DPM - Securities Master List (BBG Linked).xlsx]Equities!R179C36</stp>
        <tr r="AJ179" s="2"/>
      </tp>
      <tp>
        <v>0</v>
        <stp/>
        <stp>##V3_BDPV12</stp>
        <stp>MSFT US Equity</stp>
        <stp>TOT_SELL_REC</stp>
        <stp>[DPM - Securities Master List (BBG Linked).xlsx]Equities!R172C36</stp>
        <tr r="AJ172" s="2"/>
      </tp>
      <tp>
        <v>0</v>
        <stp/>
        <stp>##V3_BDPV12</stp>
        <stp>MSFT US Equity</stp>
        <stp>TOT_SELL_REC</stp>
        <stp>[DPM - Securities Master List (BBG Linked).xlsx]Equities!R173C36</stp>
        <tr r="AJ173" s="2"/>
      </tp>
      <tp>
        <v>0</v>
        <stp/>
        <stp>##V3_BDPV12</stp>
        <stp>MSFT US Equity</stp>
        <stp>TOT_SELL_REC</stp>
        <stp>[DPM - Securities Master List (BBG Linked).xlsx]Equities!R170C36</stp>
        <tr r="AJ170" s="2"/>
      </tp>
      <tp>
        <v>0</v>
        <stp/>
        <stp>##V3_BDPV12</stp>
        <stp>MSFT US Equity</stp>
        <stp>TOT_SELL_REC</stp>
        <stp>[DPM - Securities Master List (BBG Linked).xlsx]Equities!R171C36</stp>
        <tr r="AJ171" s="2"/>
      </tp>
      <tp>
        <v>0</v>
        <stp/>
        <stp>##V3_BDPV12</stp>
        <stp>MSFT US Equity</stp>
        <stp>TOT_SELL_REC</stp>
        <stp>[DPM - Securities Master List (BBG Linked).xlsx]Equities!R176C36</stp>
        <tr r="AJ176" s="2"/>
      </tp>
      <tp>
        <v>0</v>
        <stp/>
        <stp>##V3_BDPV12</stp>
        <stp>MSFT US Equity</stp>
        <stp>TOT_SELL_REC</stp>
        <stp>[DPM - Securities Master List (BBG Linked).xlsx]Equities!R177C36</stp>
        <tr r="AJ177" s="2"/>
      </tp>
      <tp>
        <v>0</v>
        <stp/>
        <stp>##V3_BDPV12</stp>
        <stp>MSFT US Equity</stp>
        <stp>TOT_SELL_REC</stp>
        <stp>[DPM - Securities Master List (BBG Linked).xlsx]Equities!R174C36</stp>
        <tr r="AJ174" s="2"/>
      </tp>
      <tp>
        <v>0</v>
        <stp/>
        <stp>##V3_BDPV12</stp>
        <stp>MSFT US Equity</stp>
        <stp>TOT_SELL_REC</stp>
        <stp>[DPM - Securities Master List (BBG Linked).xlsx]Equities!R175C36</stp>
        <tr r="AJ175" s="2"/>
      </tp>
      <tp>
        <v>0</v>
        <stp/>
        <stp>##V3_BDPV12</stp>
        <stp>MSFT US Equity</stp>
        <stp>TOT_SELL_REC</stp>
        <stp>[DPM - Securities Master List (BBG Linked).xlsx]Equities!R188C36</stp>
        <tr r="AJ188" s="2"/>
      </tp>
      <tp>
        <v>0</v>
        <stp/>
        <stp>##V3_BDPV12</stp>
        <stp>MSFT US Equity</stp>
        <stp>TOT_SELL_REC</stp>
        <stp>[DPM - Securities Master List (BBG Linked).xlsx]Equities!R182C36</stp>
        <tr r="AJ182" s="2"/>
      </tp>
      <tp>
        <v>0</v>
        <stp/>
        <stp>##V3_BDPV12</stp>
        <stp>MSFT US Equity</stp>
        <stp>TOT_SELL_REC</stp>
        <stp>[DPM - Securities Master List (BBG Linked).xlsx]Equities!R183C36</stp>
        <tr r="AJ183" s="2"/>
      </tp>
      <tp>
        <v>0</v>
        <stp/>
        <stp>##V3_BDPV12</stp>
        <stp>MSFT US Equity</stp>
        <stp>TOT_SELL_REC</stp>
        <stp>[DPM - Securities Master List (BBG Linked).xlsx]Equities!R180C36</stp>
        <tr r="AJ180" s="2"/>
      </tp>
      <tp>
        <v>0</v>
        <stp/>
        <stp>##V3_BDPV12</stp>
        <stp>MSFT US Equity</stp>
        <stp>TOT_SELL_REC</stp>
        <stp>[DPM - Securities Master List (BBG Linked).xlsx]Equities!R181C36</stp>
        <tr r="AJ181" s="2"/>
      </tp>
      <tp>
        <v>0</v>
        <stp/>
        <stp>##V3_BDPV12</stp>
        <stp>MSFT US Equity</stp>
        <stp>TOT_SELL_REC</stp>
        <stp>[DPM - Securities Master List (BBG Linked).xlsx]Equities!R186C36</stp>
        <tr r="AJ186" s="2"/>
      </tp>
      <tp>
        <v>0</v>
        <stp/>
        <stp>##V3_BDPV12</stp>
        <stp>MSFT US Equity</stp>
        <stp>TOT_SELL_REC</stp>
        <stp>[DPM - Securities Master List (BBG Linked).xlsx]Equities!R187C36</stp>
        <tr r="AJ187" s="2"/>
      </tp>
      <tp>
        <v>0</v>
        <stp/>
        <stp>##V3_BDPV12</stp>
        <stp>MSFT US Equity</stp>
        <stp>TOT_SELL_REC</stp>
        <stp>[DPM - Securities Master List (BBG Linked).xlsx]Equities!R184C36</stp>
        <tr r="AJ184" s="2"/>
      </tp>
      <tp>
        <v>0</v>
        <stp/>
        <stp>##V3_BDPV12</stp>
        <stp>MSFT US Equity</stp>
        <stp>TOT_SELL_REC</stp>
        <stp>[DPM - Securities Master List (BBG Linked).xlsx]Equities!R185C36</stp>
        <tr r="AJ185" s="2"/>
      </tp>
      <tp>
        <v>5</v>
        <stp/>
        <stp>##V3_BDPV12</stp>
        <stp>MSFT US Equity</stp>
        <stp>TOT_HOLD_REC</stp>
        <stp>[DPM - Securities Master List (BBG Linked).xlsx]Equities!R180C35</stp>
        <tr r="AI180" s="2"/>
      </tp>
      <tp>
        <v>5</v>
        <stp/>
        <stp>##V3_BDPV12</stp>
        <stp>MSFT US Equity</stp>
        <stp>TOT_HOLD_REC</stp>
        <stp>[DPM - Securities Master List (BBG Linked).xlsx]Equities!R181C35</stp>
        <tr r="AI181" s="2"/>
      </tp>
      <tp>
        <v>5</v>
        <stp/>
        <stp>##V3_BDPV12</stp>
        <stp>MSFT US Equity</stp>
        <stp>TOT_HOLD_REC</stp>
        <stp>[DPM - Securities Master List (BBG Linked).xlsx]Equities!R182C35</stp>
        <tr r="AI182" s="2"/>
      </tp>
      <tp>
        <v>5</v>
        <stp/>
        <stp>##V3_BDPV12</stp>
        <stp>MSFT US Equity</stp>
        <stp>TOT_HOLD_REC</stp>
        <stp>[DPM - Securities Master List (BBG Linked).xlsx]Equities!R183C35</stp>
        <tr r="AI183" s="2"/>
      </tp>
      <tp>
        <v>5</v>
        <stp/>
        <stp>##V3_BDPV12</stp>
        <stp>MSFT US Equity</stp>
        <stp>TOT_HOLD_REC</stp>
        <stp>[DPM - Securities Master List (BBG Linked).xlsx]Equities!R184C35</stp>
        <tr r="AI184" s="2"/>
      </tp>
      <tp>
        <v>5</v>
        <stp/>
        <stp>##V3_BDPV12</stp>
        <stp>MSFT US Equity</stp>
        <stp>TOT_HOLD_REC</stp>
        <stp>[DPM - Securities Master List (BBG Linked).xlsx]Equities!R185C35</stp>
        <tr r="AI185" s="2"/>
      </tp>
      <tp>
        <v>5</v>
        <stp/>
        <stp>##V3_BDPV12</stp>
        <stp>MSFT US Equity</stp>
        <stp>TOT_HOLD_REC</stp>
        <stp>[DPM - Securities Master List (BBG Linked).xlsx]Equities!R186C35</stp>
        <tr r="AI186" s="2"/>
      </tp>
      <tp>
        <v>5</v>
        <stp/>
        <stp>##V3_BDPV12</stp>
        <stp>MSFT US Equity</stp>
        <stp>TOT_HOLD_REC</stp>
        <stp>[DPM - Securities Master List (BBG Linked).xlsx]Equities!R187C35</stp>
        <tr r="AI187" s="2"/>
      </tp>
      <tp>
        <v>5</v>
        <stp/>
        <stp>##V3_BDPV12</stp>
        <stp>MSFT US Equity</stp>
        <stp>TOT_HOLD_REC</stp>
        <stp>[DPM - Securities Master List (BBG Linked).xlsx]Equities!R188C35</stp>
        <tr r="AI188" s="2"/>
      </tp>
      <tp>
        <v>5</v>
        <stp/>
        <stp>##V3_BDPV12</stp>
        <stp>MSFT US Equity</stp>
        <stp>TOT_HOLD_REC</stp>
        <stp>[DPM - Securities Master List (BBG Linked).xlsx]Equities!R170C35</stp>
        <tr r="AI170" s="2"/>
      </tp>
      <tp>
        <v>5</v>
        <stp/>
        <stp>##V3_BDPV12</stp>
        <stp>MSFT US Equity</stp>
        <stp>TOT_HOLD_REC</stp>
        <stp>[DPM - Securities Master List (BBG Linked).xlsx]Equities!R171C35</stp>
        <tr r="AI171" s="2"/>
      </tp>
      <tp>
        <v>5</v>
        <stp/>
        <stp>##V3_BDPV12</stp>
        <stp>MSFT US Equity</stp>
        <stp>TOT_HOLD_REC</stp>
        <stp>[DPM - Securities Master List (BBG Linked).xlsx]Equities!R172C35</stp>
        <tr r="AI172" s="2"/>
      </tp>
      <tp>
        <v>5</v>
        <stp/>
        <stp>##V3_BDPV12</stp>
        <stp>MSFT US Equity</stp>
        <stp>TOT_HOLD_REC</stp>
        <stp>[DPM - Securities Master List (BBG Linked).xlsx]Equities!R173C35</stp>
        <tr r="AI173" s="2"/>
      </tp>
      <tp>
        <v>5</v>
        <stp/>
        <stp>##V3_BDPV12</stp>
        <stp>MSFT US Equity</stp>
        <stp>TOT_HOLD_REC</stp>
        <stp>[DPM - Securities Master List (BBG Linked).xlsx]Equities!R174C35</stp>
        <tr r="AI174" s="2"/>
      </tp>
      <tp>
        <v>5</v>
        <stp/>
        <stp>##V3_BDPV12</stp>
        <stp>MSFT US Equity</stp>
        <stp>TOT_HOLD_REC</stp>
        <stp>[DPM - Securities Master List (BBG Linked).xlsx]Equities!R175C35</stp>
        <tr r="AI175" s="2"/>
      </tp>
      <tp>
        <v>5</v>
        <stp/>
        <stp>##V3_BDPV12</stp>
        <stp>MSFT US Equity</stp>
        <stp>TOT_HOLD_REC</stp>
        <stp>[DPM - Securities Master List (BBG Linked).xlsx]Equities!R176C35</stp>
        <tr r="AI176" s="2"/>
      </tp>
      <tp>
        <v>5</v>
        <stp/>
        <stp>##V3_BDPV12</stp>
        <stp>MSFT US Equity</stp>
        <stp>TOT_HOLD_REC</stp>
        <stp>[DPM - Securities Master List (BBG Linked).xlsx]Equities!R177C35</stp>
        <tr r="AI177" s="2"/>
      </tp>
      <tp>
        <v>5</v>
        <stp/>
        <stp>##V3_BDPV12</stp>
        <stp>MSFT US Equity</stp>
        <stp>TOT_HOLD_REC</stp>
        <stp>[DPM - Securities Master List (BBG Linked).xlsx]Equities!R178C35</stp>
        <tr r="AI178" s="2"/>
      </tp>
      <tp>
        <v>5</v>
        <stp/>
        <stp>##V3_BDPV12</stp>
        <stp>MSFT US Equity</stp>
        <stp>TOT_HOLD_REC</stp>
        <stp>[DPM - Securities Master List (BBG Linked).xlsx]Equities!R179C35</stp>
        <tr r="AI179" s="2"/>
      </tp>
      <tp>
        <v>4.0370368957519531</v>
        <stp/>
        <stp>##V3_BDPV12</stp>
        <stp>AAL US Equity</stp>
        <stp>EE201</stp>
        <stp>[DPM - Securities Master List (BBG Linked).xlsx]Equities!R29C37</stp>
        <tr r="AK29" s="2"/>
        <tr r="AK29" s="2"/>
        <tr r="AK29" s="2"/>
      </tp>
      <tp>
        <v>4.0370368957519531</v>
        <stp/>
        <stp>##V3_BDPV12</stp>
        <stp>AAL US Equity</stp>
        <stp>EE201</stp>
        <stp>[DPM - Securities Master List (BBG Linked).xlsx]Equities!R28C37</stp>
        <tr r="AK28" s="2"/>
        <tr r="AK28" s="2"/>
        <tr r="AK28" s="2"/>
      </tp>
      <tp>
        <v>4.0370368957519531</v>
        <stp/>
        <stp>##V3_BDPV12</stp>
        <stp>AAL US Equity</stp>
        <stp>EE201</stp>
        <stp>[DPM - Securities Master List (BBG Linked).xlsx]Equities!R33C37</stp>
        <tr r="AK33" s="2"/>
        <tr r="AK33" s="2"/>
        <tr r="AK33" s="2"/>
      </tp>
      <tp>
        <v>4.0370368957519531</v>
        <stp/>
        <stp>##V3_BDPV12</stp>
        <stp>AAL US Equity</stp>
        <stp>EE201</stp>
        <stp>[DPM - Securities Master List (BBG Linked).xlsx]Equities!R32C37</stp>
        <tr r="AK32" s="2"/>
        <tr r="AK32" s="2"/>
        <tr r="AK32" s="2"/>
      </tp>
      <tp>
        <v>4.0370368957519531</v>
        <stp/>
        <stp>##V3_BDPV12</stp>
        <stp>AAL US Equity</stp>
        <stp>EE201</stp>
        <stp>[DPM - Securities Master List (BBG Linked).xlsx]Equities!R31C37</stp>
        <tr r="AK31" s="2"/>
        <tr r="AK31" s="2"/>
        <tr r="AK31" s="2"/>
      </tp>
      <tp>
        <v>4.0370368957519531</v>
        <stp/>
        <stp>##V3_BDPV12</stp>
        <stp>AAL US Equity</stp>
        <stp>EE201</stp>
        <stp>[DPM - Securities Master List (BBG Linked).xlsx]Equities!R30C37</stp>
        <tr r="AK30" s="2"/>
        <tr r="AK30" s="2"/>
        <tr r="AK30" s="2"/>
      </tp>
      <tp t="s">
        <v>Industrials</v>
        <stp/>
        <stp>##V3_BDPV12</stp>
        <stp>AAL US Equity</stp>
        <stp>DX202</stp>
        <stp>[DPM - Securities Master List (BBG Linked).xlsx]Equities!R32C46</stp>
        <tr r="AT32" s="2"/>
        <tr r="AT32" s="2"/>
        <tr r="AT32" s="2"/>
      </tp>
      <tp t="s">
        <v>Industrials</v>
        <stp/>
        <stp>##V3_BDPV12</stp>
        <stp>AAL US Equity</stp>
        <stp>DX202</stp>
        <stp>[DPM - Securities Master List (BBG Linked).xlsx]Equities!R33C46</stp>
        <tr r="AT33" s="2"/>
        <tr r="AT33" s="2"/>
        <tr r="AT33" s="2"/>
      </tp>
      <tp t="s">
        <v>Industrials</v>
        <stp/>
        <stp>##V3_BDPV12</stp>
        <stp>AAL US Equity</stp>
        <stp>DX202</stp>
        <stp>[DPM - Securities Master List (BBG Linked).xlsx]Equities!R30C46</stp>
        <tr r="AT30" s="2"/>
        <tr r="AT30" s="2"/>
        <tr r="AT30" s="2"/>
      </tp>
      <tp t="s">
        <v>Industrials</v>
        <stp/>
        <stp>##V3_BDPV12</stp>
        <stp>AAL US Equity</stp>
        <stp>DX202</stp>
        <stp>[DPM - Securities Master List (BBG Linked).xlsx]Equities!R31C46</stp>
        <tr r="AT31" s="2"/>
        <tr r="AT31" s="2"/>
        <tr r="AT31" s="2"/>
      </tp>
      <tp t="s">
        <v>Industrials</v>
        <stp/>
        <stp>##V3_BDPV12</stp>
        <stp>AAL US Equity</stp>
        <stp>DX202</stp>
        <stp>[DPM - Securities Master List (BBG Linked).xlsx]Equities!R28C46</stp>
        <tr r="AT28" s="2"/>
        <tr r="AT28" s="2"/>
        <tr r="AT28" s="2"/>
      </tp>
      <tp t="s">
        <v>Industrials</v>
        <stp/>
        <stp>##V3_BDPV12</stp>
        <stp>AAL US Equity</stp>
        <stp>DX202</stp>
        <stp>[DPM - Securities Master List (BBG Linked).xlsx]Equities!R29C46</stp>
        <tr r="AT29" s="2"/>
        <tr r="AT29" s="2"/>
        <tr r="AT29" s="2"/>
      </tp>
      <tp t="s">
        <v>USD</v>
        <stp/>
        <stp>##V3_BDPV12</stp>
        <stp>NKE US Equity</stp>
        <stp>CRNCY</stp>
        <stp>[DPM - Securities Master List (BBG Linked).xlsx]Equities!R210C6</stp>
        <tr r="F210" s="2"/>
      </tp>
      <tp t="s">
        <v>USD</v>
        <stp/>
        <stp>##V3_BDPV12</stp>
        <stp>NKE US Equity</stp>
        <stp>CRNCY</stp>
        <stp>[DPM - Securities Master List (BBG Linked).xlsx]Equities!R220C6</stp>
        <tr r="F220" s="2"/>
      </tp>
      <tp t="s">
        <v>GBp</v>
        <stp/>
        <stp>##V3_BDPV12</stp>
        <stp>SSE LN Equity</stp>
        <stp>CRNCY</stp>
        <stp>[DPM - Securities Master List (BBG Linked).xlsx]Equities!R244C6</stp>
        <tr r="F244" s="2"/>
      </tp>
      <tp t="s">
        <v>GBp</v>
        <stp/>
        <stp>##V3_BDPV12</stp>
        <stp>SSE LN Equity</stp>
        <stp>CRNCY</stp>
        <stp>[DPM - Securities Master List (BBG Linked).xlsx]Equities!R254C6</stp>
        <tr r="F254" s="2"/>
      </tp>
      <tp t="s">
        <v>PepsiCo Inc</v>
        <stp/>
        <stp>##V3_BDPV12</stp>
        <stp>PEP US Equity</stp>
        <stp>SECURITY NAME</stp>
        <stp>[DPM - Securities Master List (BBG Linked).xlsx]Equities!R236C5</stp>
        <tr r="E236" s="2"/>
      </tp>
      <tp t="s">
        <v>USD</v>
        <stp/>
        <stp>##V3_BDPV12</stp>
        <stp>MRK US Equity</stp>
        <stp>CRNCY</stp>
        <stp>[DPM - Securities Master List (BBG Linked).xlsx]Equities!R163C6</stp>
        <tr r="F163" s="2"/>
      </tp>
      <tp t="s">
        <v>EUR</v>
        <stp/>
        <stp>##V3_BDPV12</stp>
        <stp>TTE FP Equity</stp>
        <stp>CRNCY</stp>
        <stp>[DPM - Securities Master List (BBG Linked).xlsx]Equities!R279C6</stp>
        <tr r="F279" s="2"/>
      </tp>
      <tp t="s">
        <v>N</v>
        <stp/>
        <stp>##V3_BDPV12</stp>
        <stp>DIS US Equity</stp>
        <stp>DY997</stp>
        <stp>[DPM - Securities Master List (BBG Linked).xlsx]Equities!R114C47</stp>
        <tr r="AU114" s="2"/>
        <tr r="AU114" s="2"/>
        <tr r="AU114" s="2"/>
      </tp>
      <tp t="s">
        <v>N</v>
        <stp/>
        <stp>##V3_BDPV12</stp>
        <stp>DIS US Equity</stp>
        <stp>DY997</stp>
        <stp>[DPM - Securities Master List (BBG Linked).xlsx]Equities!R115C47</stp>
        <tr r="AU115" s="2"/>
        <tr r="AU115" s="2"/>
        <tr r="AU115" s="2"/>
      </tp>
      <tp t="s">
        <v>N</v>
        <stp/>
        <stp>##V3_BDPV12</stp>
        <stp>DIS US Equity</stp>
        <stp>DY997</stp>
        <stp>[DPM - Securities Master List (BBG Linked).xlsx]Equities!R112C47</stp>
        <tr r="AU112" s="2"/>
        <tr r="AU112" s="2"/>
        <tr r="AU112" s="2"/>
      </tp>
      <tp t="s">
        <v>N</v>
        <stp/>
        <stp>##V3_BDPV12</stp>
        <stp>DIS US Equity</stp>
        <stp>DY997</stp>
        <stp>[DPM - Securities Master List (BBG Linked).xlsx]Equities!R113C47</stp>
        <tr r="AU113" s="2"/>
        <tr r="AU113" s="2"/>
        <tr r="AU113" s="2"/>
      </tp>
      <tp t="s">
        <v>Meituan</v>
        <stp/>
        <stp>##V3_BDPV12</stp>
        <stp>3690 HK Equity</stp>
        <stp>SECURITY NAME</stp>
        <stp>[DPM - Securities Master List (BBG Linked).xlsx]Equities!R8C5</stp>
        <tr r="E8" s="2"/>
      </tp>
      <tp>
        <v>-0.41586689999999998</v>
        <stp/>
        <stp>##V3_BDPV12</stp>
        <stp>DELL US Equity</stp>
        <stp>CHG_PCT_5D</stp>
        <stp>[DPM - Securities Master List (BBG Linked).xlsx]Equities!R95C23</stp>
        <tr r="W95" s="2"/>
      </tp>
      <tp>
        <v>-0.41586689999999998</v>
        <stp/>
        <stp>##V3_BDPV12</stp>
        <stp>DELL US Equity</stp>
        <stp>CHG_PCT_5D</stp>
        <stp>[DPM - Securities Master List (BBG Linked).xlsx]Equities!R94C23</stp>
        <tr r="W94" s="2"/>
      </tp>
      <tp>
        <v>-0.41586689999999998</v>
        <stp/>
        <stp>##V3_BDPV12</stp>
        <stp>DELL US Equity</stp>
        <stp>CHG_PCT_5D</stp>
        <stp>[DPM - Securities Master List (BBG Linked).xlsx]Equities!R97C23</stp>
        <tr r="W97" s="2"/>
      </tp>
      <tp>
        <v>-0.41586689999999998</v>
        <stp/>
        <stp>##V3_BDPV12</stp>
        <stp>DELL US Equity</stp>
        <stp>CHG_PCT_5D</stp>
        <stp>[DPM - Securities Master List (BBG Linked).xlsx]Equities!R96C23</stp>
        <tr r="W96" s="2"/>
      </tp>
      <tp>
        <v>-0.41586689999999998</v>
        <stp/>
        <stp>##V3_BDPV12</stp>
        <stp>DELL US Equity</stp>
        <stp>CHG_PCT_5D</stp>
        <stp>[DPM - Securities Master List (BBG Linked).xlsx]Equities!R93C23</stp>
        <tr r="W93" s="2"/>
      </tp>
      <tp>
        <v>-0.41586689999999998</v>
        <stp/>
        <stp>##V3_BDPV12</stp>
        <stp>DELL US Equity</stp>
        <stp>CHG_PCT_5D</stp>
        <stp>[DPM - Securities Master List (BBG Linked).xlsx]Equities!R92C23</stp>
        <tr r="W92" s="2"/>
      </tp>
      <tp>
        <v>-0.41586689999999998</v>
        <stp/>
        <stp>##V3_BDPV12</stp>
        <stp>DELL US Equity</stp>
        <stp>CHG_PCT_5D</stp>
        <stp>[DPM - Securities Master List (BBG Linked).xlsx]Equities!R99C23</stp>
        <tr r="W99" s="2"/>
      </tp>
      <tp>
        <v>-0.41586689999999998</v>
        <stp/>
        <stp>##V3_BDPV12</stp>
        <stp>DELL US Equity</stp>
        <stp>CHG_PCT_5D</stp>
        <stp>[DPM - Securities Master List (BBG Linked).xlsx]Equities!R98C23</stp>
        <tr r="W98" s="2"/>
      </tp>
      <tp>
        <v>-30.47241</v>
        <stp/>
        <stp>##V3_BDPV12</stp>
        <stp>KER FP Equity</stp>
        <stp>PR064</stp>
        <stp>[DPM - Securities Master List (BBG Linked).xlsx]Equities!R149C41</stp>
        <tr r="AO149" s="2"/>
      </tp>
      <tp>
        <v>-30.47241</v>
        <stp/>
        <stp>##V3_BDPV12</stp>
        <stp>KER FP Equity</stp>
        <stp>PR064</stp>
        <stp>[DPM - Securities Master List (BBG Linked).xlsx]Equities!R153C41</stp>
        <tr r="AO153" s="2"/>
      </tp>
      <tp>
        <v>-30.47241</v>
        <stp/>
        <stp>##V3_BDPV12</stp>
        <stp>KER FP Equity</stp>
        <stp>PR064</stp>
        <stp>[DPM - Securities Master List (BBG Linked).xlsx]Equities!R152C41</stp>
        <tr r="AO152" s="2"/>
      </tp>
      <tp>
        <v>-30.47241</v>
        <stp/>
        <stp>##V3_BDPV12</stp>
        <stp>KER FP Equity</stp>
        <stp>PR064</stp>
        <stp>[DPM - Securities Master List (BBG Linked).xlsx]Equities!R151C41</stp>
        <tr r="AO151" s="2"/>
      </tp>
      <tp>
        <v>-30.47241</v>
        <stp/>
        <stp>##V3_BDPV12</stp>
        <stp>KER FP Equity</stp>
        <stp>PR064</stp>
        <stp>[DPM - Securities Master List (BBG Linked).xlsx]Equities!R150C41</stp>
        <tr r="AO150" s="2"/>
      </tp>
      <tp t="s">
        <v>Equity</v>
        <stp/>
        <stp>##V3_BDPV12</stp>
        <stp>NEM AT Equity</stp>
        <stp>EX028</stp>
        <stp>[DPM - Securities Master List (BBG Linked).xlsx]Equities!R191C30</stp>
        <tr r="AD191" s="2"/>
        <tr r="AD191" s="2"/>
        <tr r="AD191" s="2"/>
      </tp>
      <tp t="s">
        <v>Equity</v>
        <stp/>
        <stp>##V3_BDPV12</stp>
        <stp>NEM AT Equity</stp>
        <stp>EX028</stp>
        <stp>[DPM - Securities Master List (BBG Linked).xlsx]Equities!R190C30</stp>
        <tr r="AD190" s="2"/>
        <tr r="AD190" s="2"/>
        <tr r="AD190" s="2"/>
      </tp>
      <tp t="s">
        <v>Equity</v>
        <stp/>
        <stp>##V3_BDPV12</stp>
        <stp>NEM AT Equity</stp>
        <stp>EX028</stp>
        <stp>[DPM - Securities Master List (BBG Linked).xlsx]Equities!R192C30</stp>
        <tr r="AD192" s="2"/>
        <tr r="AD192" s="2"/>
        <tr r="AD192" s="2"/>
      </tp>
      <tp t="s">
        <v>Equity</v>
        <stp/>
        <stp>##V3_BDPV12</stp>
        <stp>NEM AT Equity</stp>
        <stp>EX028</stp>
        <stp>[DPM - Securities Master List (BBG Linked).xlsx]Equities!R189C30</stp>
        <tr r="AD189" s="2"/>
        <tr r="AD189" s="2"/>
        <tr r="AD189" s="2"/>
      </tp>
      <tp>
        <v>28.947222191351507</v>
        <stp/>
        <stp>##V3_BDPV12</stp>
        <stp>MDT US Equity</stp>
        <stp>RR041</stp>
        <stp>[DPM - Securities Master List (BBG Linked).xlsx]Equities!R155C33</stp>
        <tr r="AG155" s="2"/>
        <tr r="AG155" s="2"/>
        <tr r="AG155" s="2"/>
      </tp>
      <tp t="s">
        <v>Equity</v>
        <stp/>
        <stp>##V3_BDPV12</stp>
        <stp>ZBH US Equity</stp>
        <stp>EX028</stp>
        <stp>[DPM - Securities Master List (BBG Linked).xlsx]Equities!R301C30</stp>
        <tr r="AD301" s="2"/>
        <tr r="AD301" s="2"/>
        <tr r="AD301" s="2"/>
      </tp>
      <tp t="s">
        <v>Equity</v>
        <stp/>
        <stp>##V3_BDPV12</stp>
        <stp>ZBH US Equity</stp>
        <stp>EX028</stp>
        <stp>[DPM - Securities Master List (BBG Linked).xlsx]Equities!R300C30</stp>
        <tr r="AD300" s="2"/>
        <tr r="AD300" s="2"/>
        <tr r="AD300" s="2"/>
      </tp>
      <tp t="s">
        <v>Equity</v>
        <stp/>
        <stp>##V3_BDPV12</stp>
        <stp>ZBH US Equity</stp>
        <stp>EX028</stp>
        <stp>[DPM - Securities Master List (BBG Linked).xlsx]Equities!R302C30</stp>
        <tr r="AD302" s="2"/>
        <tr r="AD302" s="2"/>
        <tr r="AD302" s="2"/>
      </tp>
      <tp>
        <v>-1.0279780000000001</v>
        <stp/>
        <stp>##V3_BDPV12</stp>
        <stp>DELL US Equity</stp>
        <stp>CHG_PCT_1D</stp>
        <stp>[DPM - Securities Master List (BBG Linked).xlsx]Equities!R95C22</stp>
        <tr r="V95" s="2"/>
      </tp>
      <tp>
        <v>-1.0279780000000001</v>
        <stp/>
        <stp>##V3_BDPV12</stp>
        <stp>DELL US Equity</stp>
        <stp>CHG_PCT_1D</stp>
        <stp>[DPM - Securities Master List (BBG Linked).xlsx]Equities!R94C22</stp>
        <tr r="V94" s="2"/>
      </tp>
      <tp>
        <v>-1.0279780000000001</v>
        <stp/>
        <stp>##V3_BDPV12</stp>
        <stp>DELL US Equity</stp>
        <stp>CHG_PCT_1D</stp>
        <stp>[DPM - Securities Master List (BBG Linked).xlsx]Equities!R97C22</stp>
        <tr r="V97" s="2"/>
      </tp>
      <tp>
        <v>-1.0279780000000001</v>
        <stp/>
        <stp>##V3_BDPV12</stp>
        <stp>DELL US Equity</stp>
        <stp>CHG_PCT_1D</stp>
        <stp>[DPM - Securities Master List (BBG Linked).xlsx]Equities!R96C22</stp>
        <tr r="V96" s="2"/>
      </tp>
      <tp>
        <v>-1.0279780000000001</v>
        <stp/>
        <stp>##V3_BDPV12</stp>
        <stp>DELL US Equity</stp>
        <stp>CHG_PCT_1D</stp>
        <stp>[DPM - Securities Master List (BBG Linked).xlsx]Equities!R93C22</stp>
        <tr r="V93" s="2"/>
      </tp>
      <tp>
        <v>-1.0279780000000001</v>
        <stp/>
        <stp>##V3_BDPV12</stp>
        <stp>DELL US Equity</stp>
        <stp>CHG_PCT_1D</stp>
        <stp>[DPM - Securities Master List (BBG Linked).xlsx]Equities!R92C22</stp>
        <tr r="V92" s="2"/>
      </tp>
      <tp>
        <v>-1.0279780000000001</v>
        <stp/>
        <stp>##V3_BDPV12</stp>
        <stp>DELL US Equity</stp>
        <stp>CHG_PCT_1D</stp>
        <stp>[DPM - Securities Master List (BBG Linked).xlsx]Equities!R99C22</stp>
        <tr r="V99" s="2"/>
      </tp>
      <tp>
        <v>-1.0279780000000001</v>
        <stp/>
        <stp>##V3_BDPV12</stp>
        <stp>DELL US Equity</stp>
        <stp>CHG_PCT_1D</stp>
        <stp>[DPM - Securities Master List (BBG Linked).xlsx]Equities!R98C22</stp>
        <tr r="V98" s="2"/>
      </tp>
      <tp>
        <v>65.28</v>
        <stp/>
        <stp>##V3_BDPV12</stp>
        <stp>DD US Equity</stp>
        <stp>PX_Last</stp>
        <stp>[DPM - Securities Master List (BBG Linked).xlsx]Equities!R91C17</stp>
        <tr r="Q91" s="2"/>
      </tp>
      <tp>
        <v>65.28</v>
        <stp/>
        <stp>##V3_BDPV12</stp>
        <stp>DD US Equity</stp>
        <stp>PX_last</stp>
        <stp>[DPM - Securities Master List (BBG Linked).xlsx]Equities!R91C17</stp>
        <tr r="Q91" s="2"/>
      </tp>
      <tp t="s">
        <v>Equity</v>
        <stp/>
        <stp>##V3_BDPV12</stp>
        <stp>ZBH US Equity</stp>
        <stp>EX028</stp>
        <stp>[DPM - Securities Master List (BBG Linked).xlsx]Equities!R299C30</stp>
        <tr r="AD299" s="2"/>
        <tr r="AD299" s="2"/>
        <tr r="AD299" s="2"/>
      </tp>
      <tp t="s">
        <v>Equity</v>
        <stp/>
        <stp>##V3_BDPV12</stp>
        <stp>ZBH US Equity</stp>
        <stp>EX028</stp>
        <stp>[DPM - Securities Master List (BBG Linked).xlsx]Equities!R298C30</stp>
        <tr r="AD298" s="2"/>
        <tr r="AD298" s="2"/>
        <tr r="AD298" s="2"/>
      </tp>
      <tp t="s">
        <v>Equity</v>
        <stp/>
        <stp>##V3_BDPV12</stp>
        <stp>ZBH US Equity</stp>
        <stp>EX028</stp>
        <stp>[DPM - Securities Master List (BBG Linked).xlsx]Equities!R295C30</stp>
        <tr r="AD295" s="2"/>
        <tr r="AD295" s="2"/>
        <tr r="AD295" s="2"/>
      </tp>
      <tp t="s">
        <v>Equity</v>
        <stp/>
        <stp>##V3_BDPV12</stp>
        <stp>ZBH US Equity</stp>
        <stp>EX028</stp>
        <stp>[DPM - Securities Master List (BBG Linked).xlsx]Equities!R294C30</stp>
        <tr r="AD294" s="2"/>
        <tr r="AD294" s="2"/>
        <tr r="AD294" s="2"/>
      </tp>
      <tp t="s">
        <v>Equity</v>
        <stp/>
        <stp>##V3_BDPV12</stp>
        <stp>ZBH US Equity</stp>
        <stp>EX028</stp>
        <stp>[DPM - Securities Master List (BBG Linked).xlsx]Equities!R297C30</stp>
        <tr r="AD297" s="2"/>
        <tr r="AD297" s="2"/>
        <tr r="AD297" s="2"/>
      </tp>
      <tp t="s">
        <v>Equity</v>
        <stp/>
        <stp>##V3_BDPV12</stp>
        <stp>ZBH US Equity</stp>
        <stp>EX028</stp>
        <stp>[DPM - Securities Master List (BBG Linked).xlsx]Equities!R296C30</stp>
        <tr r="AD296" s="2"/>
        <tr r="AD296" s="2"/>
        <tr r="AD296" s="2"/>
      </tp>
      <tp>
        <v>-32.49729</v>
        <stp/>
        <stp>##V3_BDPV12</stp>
        <stp>DELL US Equity</stp>
        <stp>CHG_PCT_6M</stp>
        <stp>[DPM - Securities Master List (BBG Linked).xlsx]Equities!R95C42</stp>
        <tr r="AP95" s="2"/>
      </tp>
      <tp>
        <v>-32.49729</v>
        <stp/>
        <stp>##V3_BDPV12</stp>
        <stp>DELL US Equity</stp>
        <stp>CHG_PCT_6M</stp>
        <stp>[DPM - Securities Master List (BBG Linked).xlsx]Equities!R94C42</stp>
        <tr r="AP94" s="2"/>
      </tp>
      <tp>
        <v>-32.49729</v>
        <stp/>
        <stp>##V3_BDPV12</stp>
        <stp>DELL US Equity</stp>
        <stp>CHG_PCT_6M</stp>
        <stp>[DPM - Securities Master List (BBG Linked).xlsx]Equities!R97C42</stp>
        <tr r="AP97" s="2"/>
      </tp>
      <tp>
        <v>-32.49729</v>
        <stp/>
        <stp>##V3_BDPV12</stp>
        <stp>DELL US Equity</stp>
        <stp>CHG_PCT_6M</stp>
        <stp>[DPM - Securities Master List (BBG Linked).xlsx]Equities!R96C42</stp>
        <tr r="AP96" s="2"/>
      </tp>
      <tp>
        <v>-32.49729</v>
        <stp/>
        <stp>##V3_BDPV12</stp>
        <stp>DELL US Equity</stp>
        <stp>CHG_PCT_6M</stp>
        <stp>[DPM - Securities Master List (BBG Linked).xlsx]Equities!R93C42</stp>
        <tr r="AP93" s="2"/>
      </tp>
      <tp>
        <v>-32.49729</v>
        <stp/>
        <stp>##V3_BDPV12</stp>
        <stp>DELL US Equity</stp>
        <stp>CHG_PCT_6M</stp>
        <stp>[DPM - Securities Master List (BBG Linked).xlsx]Equities!R92C42</stp>
        <tr r="AP92" s="2"/>
      </tp>
      <tp>
        <v>-32.49729</v>
        <stp/>
        <stp>##V3_BDPV12</stp>
        <stp>DELL US Equity</stp>
        <stp>CHG_PCT_6M</stp>
        <stp>[DPM - Securities Master List (BBG Linked).xlsx]Equities!R99C42</stp>
        <tr r="AP99" s="2"/>
      </tp>
      <tp>
        <v>-32.49729</v>
        <stp/>
        <stp>##V3_BDPV12</stp>
        <stp>DELL US Equity</stp>
        <stp>CHG_PCT_6M</stp>
        <stp>[DPM - Securities Master List (BBG Linked).xlsx]Equities!R98C42</stp>
        <tr r="AP98" s="2"/>
      </tp>
      <tp t="s">
        <v>#N/A Invalid Field</v>
        <stp/>
        <stp>##V3_BDPV12</stp>
        <stp>NSRGY US Equity</stp>
        <stp/>
        <stp>[DPM - Securities Master List (BBG Linked).xlsx]Equities!R223C29</stp>
        <tr r="AC223" s="2"/>
        <tr r="AC223" s="2"/>
      </tp>
      <tp>
        <v>13.7657487687265</v>
        <stp/>
        <stp>##V3_BDPV12</stp>
        <stp>PEP US Equity</stp>
        <stp>RR957</stp>
        <stp>[DPM - Securities Master List (BBG Linked).xlsx]Equities!R232C14</stp>
        <tr r="N232" s="2"/>
        <tr r="N232" s="2"/>
        <tr r="N232" s="2"/>
      </tp>
      <tp>
        <v>13.7657487687265</v>
        <stp/>
        <stp>##V3_BDPV12</stp>
        <stp>PEP US Equity</stp>
        <stp>RR957</stp>
        <stp>[DPM - Securities Master List (BBG Linked).xlsx]Equities!R233C14</stp>
        <tr r="N233" s="2"/>
        <tr r="N233" s="2"/>
        <tr r="N233" s="2"/>
      </tp>
      <tp>
        <v>13.7657487687265</v>
        <stp/>
        <stp>##V3_BDPV12</stp>
        <stp>PEP US Equity</stp>
        <stp>RR957</stp>
        <stp>[DPM - Securities Master List (BBG Linked).xlsx]Equities!R230C14</stp>
        <tr r="N230" s="2"/>
        <tr r="N230" s="2"/>
        <tr r="N230" s="2"/>
      </tp>
      <tp>
        <v>13.7657487687265</v>
        <stp/>
        <stp>##V3_BDPV12</stp>
        <stp>PEP US Equity</stp>
        <stp>RR957</stp>
        <stp>[DPM - Securities Master List (BBG Linked).xlsx]Equities!R231C14</stp>
        <tr r="N231" s="2"/>
        <tr r="N231" s="2"/>
        <tr r="N231" s="2"/>
      </tp>
      <tp>
        <v>13.7657487687265</v>
        <stp/>
        <stp>##V3_BDPV12</stp>
        <stp>PEP US Equity</stp>
        <stp>RR957</stp>
        <stp>[DPM - Securities Master List (BBG Linked).xlsx]Equities!R236C14</stp>
        <tr r="N236" s="2"/>
        <tr r="N236" s="2"/>
        <tr r="N236" s="2"/>
      </tp>
      <tp>
        <v>13.7657487687265</v>
        <stp/>
        <stp>##V3_BDPV12</stp>
        <stp>PEP US Equity</stp>
        <stp>RR957</stp>
        <stp>[DPM - Securities Master List (BBG Linked).xlsx]Equities!R234C14</stp>
        <tr r="N234" s="2"/>
        <tr r="N234" s="2"/>
        <tr r="N234" s="2"/>
      </tp>
      <tp>
        <v>13.7657487687265</v>
        <stp/>
        <stp>##V3_BDPV12</stp>
        <stp>PEP US Equity</stp>
        <stp>RR957</stp>
        <stp>[DPM - Securities Master List (BBG Linked).xlsx]Equities!R235C14</stp>
        <tr r="N235" s="2"/>
        <tr r="N235" s="2"/>
        <tr r="N235" s="2"/>
      </tp>
      <tp>
        <v>13.7657487687265</v>
        <stp/>
        <stp>##V3_BDPV12</stp>
        <stp>PEP US Equity</stp>
        <stp>RR957</stp>
        <stp>[DPM - Securities Master List (BBG Linked).xlsx]Equities!R228C14</stp>
        <tr r="N228" s="2"/>
        <tr r="N228" s="2"/>
        <tr r="N228" s="2"/>
      </tp>
      <tp>
        <v>13.7657487687265</v>
        <stp/>
        <stp>##V3_BDPV12</stp>
        <stp>PEP US Equity</stp>
        <stp>RR957</stp>
        <stp>[DPM - Securities Master List (BBG Linked).xlsx]Equities!R229C14</stp>
        <tr r="N229" s="2"/>
        <tr r="N229" s="2"/>
        <tr r="N229" s="2"/>
      </tp>
      <tp>
        <v>13.7657487687265</v>
        <stp/>
        <stp>##V3_BDPV12</stp>
        <stp>PEP US Equity</stp>
        <stp>RR957</stp>
        <stp>[DPM - Securities Master List (BBG Linked).xlsx]Equities!R227C14</stp>
        <tr r="N227" s="2"/>
        <tr r="N227" s="2"/>
        <tr r="N227" s="2"/>
      </tp>
      <tp>
        <v>2.5049739999999998</v>
        <stp/>
        <stp>##V3_BDPV12</stp>
        <stp>KER FP Equity</stp>
        <stp>PR061</stp>
        <stp>[DPM - Securities Master List (BBG Linked).xlsx]Equities!R153C40</stp>
        <tr r="AN153" s="2"/>
      </tp>
      <tp>
        <v>2.5049739999999998</v>
        <stp/>
        <stp>##V3_BDPV12</stp>
        <stp>KER FP Equity</stp>
        <stp>PR061</stp>
        <stp>[DPM - Securities Master List (BBG Linked).xlsx]Equities!R152C40</stp>
        <tr r="AN152" s="2"/>
      </tp>
      <tp>
        <v>2.5049739999999998</v>
        <stp/>
        <stp>##V3_BDPV12</stp>
        <stp>KER FP Equity</stp>
        <stp>PR061</stp>
        <stp>[DPM - Securities Master List (BBG Linked).xlsx]Equities!R151C40</stp>
        <tr r="AN151" s="2"/>
      </tp>
      <tp>
        <v>2.5049739999999998</v>
        <stp/>
        <stp>##V3_BDPV12</stp>
        <stp>KER FP Equity</stp>
        <stp>PR061</stp>
        <stp>[DPM - Securities Master List (BBG Linked).xlsx]Equities!R150C40</stp>
        <tr r="AN150" s="2"/>
      </tp>
      <tp>
        <v>2.5049739999999998</v>
        <stp/>
        <stp>##V3_BDPV12</stp>
        <stp>KER FP Equity</stp>
        <stp>PR061</stp>
        <stp>[DPM - Securities Master List (BBG Linked).xlsx]Equities!R149C40</stp>
        <tr r="AN149" s="2"/>
      </tp>
      <tp>
        <v>-30.44829</v>
        <stp/>
        <stp>##V3_BDPV12</stp>
        <stp>TGT US Equity</stp>
        <stp>PR079</stp>
        <stp>[DPM - Securities Master List (BBG Linked).xlsx]Equities!R261C43</stp>
        <tr r="AQ261" s="2"/>
      </tp>
      <tp t="s">
        <v>Y</v>
        <stp/>
        <stp>##V3_BDPV12</stp>
        <stp>NIO US Equity</stp>
        <stp>DY997</stp>
        <stp>[DPM - Securities Master List (BBG Linked).xlsx]Equities!R206C47</stp>
        <tr r="AU206" s="2"/>
        <tr r="AU206" s="2"/>
        <tr r="AU206" s="2"/>
      </tp>
      <tp t="s">
        <v>Nestle SA</v>
        <stp/>
        <stp>##V3_BDPV12</stp>
        <stp>NESN SW Equity</stp>
        <stp>SECURITY NAME</stp>
        <stp>[DPM - Securities Master List (BBG Linked).xlsx]Equities!R200C5</stp>
        <tr r="E200" s="2"/>
      </tp>
      <tp t="s">
        <v>Meta Platforms Inc</v>
        <stp/>
        <stp>##V3_BDPV12</stp>
        <stp>META US Equity</stp>
        <stp>SECURITY NAME</stp>
        <stp>[DPM - Securities Master List (BBG Linked).xlsx]Equities!R156C5</stp>
        <tr r="E156" s="2"/>
      </tp>
      <tp t="s">
        <v>Tesco PLC</v>
        <stp/>
        <stp>##V3_BDPV12</stp>
        <stp>TSCO LN Equity</stp>
        <stp>SECURITY NAME</stp>
        <stp>[DPM - Securities Master List (BBG Linked).xlsx]Equities!R269C5</stp>
        <tr r="E269" s="2"/>
      </tp>
      <tp t="s">
        <v>USD</v>
        <stp/>
        <stp>##V3_BDPV12</stp>
        <stp>MSFT US Equity</stp>
        <stp>CRNCY</stp>
        <stp>[DPM - Securities Master List (BBG Linked).xlsx]Equities!R178C6</stp>
        <tr r="F178" s="2"/>
      </tp>
      <tp t="s">
        <v>USD</v>
        <stp/>
        <stp>##V3_BDPV12</stp>
        <stp>MSFT US Equity</stp>
        <stp>CRNCY</stp>
        <stp>[DPM - Securities Master List (BBG Linked).xlsx]Equities!R188C6</stp>
        <tr r="F188" s="2"/>
      </tp>
      <tp t="s">
        <v>Dell Technologies Inc</v>
        <stp/>
        <stp>##V3_BDPV12</stp>
        <stp>DELL US Equity</stp>
        <stp>SECURITY NAME</stp>
        <stp>[DPM - Securities Master List (BBG Linked).xlsx]Equities!R106C5</stp>
        <tr r="E106" s="2"/>
      </tp>
      <tp>
        <v>7.1722910000000004</v>
        <stp/>
        <stp>##V3_BDPV12</stp>
        <stp>XS2911679004 isin</stp>
        <stp>YAS_BOND_YLD</stp>
        <stp>[DPM - Securities Master List (BBG Linked).xlsx]Bonds!R16C10</stp>
        <stp>YAS_YLD_FLAG=15</stp>
        <stp>user_local_trade_date</stp>
        <stp>45783</stp>
        <stp>Yas_bond_px</stp>
        <stp>99.109999999999999</stp>
        <tr r="J16" s="1"/>
      </tp>
      <tp>
        <v>0</v>
        <stp/>
        <stp>##V3_BDPV12</stp>
        <stp>SMSN.LI Equity</stp>
        <stp>TOT_HOLD_REC</stp>
        <stp>[DPM - Securities Master List (BBG Linked).xlsx]Equities!R243C35</stp>
        <tr r="AI243" s="2"/>
      </tp>
      <tp>
        <v>0</v>
        <stp/>
        <stp>##V3_BDPV12</stp>
        <stp>SMSN.LI Equity</stp>
        <stp>TOT_SELL_REC</stp>
        <stp>[DPM - Securities Master List (BBG Linked).xlsx]Equities!R243C36</stp>
        <tr r="AJ243" s="2"/>
      </tp>
      <tp>
        <v>87.35</v>
        <stp/>
        <stp>##V3_BDPV12</stp>
        <stp>TGT US Equity</stp>
        <stp>hs002</stp>
        <stp>[DPM - Securities Master List (BBG Linked).xlsx]Equities!R261C45</stp>
        <tr r="AS261" s="2"/>
      </tp>
      <tp>
        <v>167.4</v>
        <stp/>
        <stp>##V3_BDPV12</stp>
        <stp>TGT US Equity</stp>
        <stp>hs001</stp>
        <stp>[DPM - Securities Master List (BBG Linked).xlsx]Equities!R261C44</stp>
        <tr r="AR261" s="2"/>
      </tp>
      <tp t="s">
        <v>USD</v>
        <stp/>
        <stp>##V3_BDPV12</stp>
        <stp>NKE US Equity</stp>
        <stp>CRNCY</stp>
        <stp>[DPM - Securities Master List (BBG Linked).xlsx]Equities!R207C6</stp>
        <tr r="F207" s="2"/>
      </tp>
      <tp t="s">
        <v>USD</v>
        <stp/>
        <stp>##V3_BDPV12</stp>
        <stp>NKE US Equity</stp>
        <stp>CRNCY</stp>
        <stp>[DPM - Securities Master List (BBG Linked).xlsx]Equities!R217C6</stp>
        <tr r="F217" s="2"/>
      </tp>
      <tp t="s">
        <v>Kering SA</v>
        <stp/>
        <stp>##V3_BDPV12</stp>
        <stp>KER FP Equity</stp>
        <stp>SECURITY NAME</stp>
        <stp>[DPM - Securities Master List (BBG Linked).xlsx]Equities!R149C5</stp>
        <tr r="E149" s="2"/>
      </tp>
      <tp t="s">
        <v>GBp</v>
        <stp/>
        <stp>##V3_BDPV12</stp>
        <stp>SSE LN Equity</stp>
        <stp>CRNCY</stp>
        <stp>[DPM - Securities Master List (BBG Linked).xlsx]Equities!R253C6</stp>
        <tr r="F253" s="2"/>
      </tp>
      <tp t="s">
        <v>PepsiCo Inc</v>
        <stp/>
        <stp>##V3_BDPV12</stp>
        <stp>PEP US Equity</stp>
        <stp>SECURITY NAME</stp>
        <stp>[DPM - Securities Master List (BBG Linked).xlsx]Equities!R231C5</stp>
        <tr r="E231" s="2"/>
      </tp>
      <tp t="s">
        <v>USD</v>
        <stp/>
        <stp>##V3_BDPV12</stp>
        <stp>MRK US Equity</stp>
        <stp>CRNCY</stp>
        <stp>[DPM - Securities Master List (BBG Linked).xlsx]Equities!R164C6</stp>
        <tr r="F164" s="2"/>
      </tp>
      <tp t="s">
        <v>GBp</v>
        <stp/>
        <stp>##V3_BDPV12</stp>
        <stp>RIO LN Equity</stp>
        <stp>CRNCY</stp>
        <stp>[DPM - Securities Master List (BBG Linked).xlsx]Equities!R242C6</stp>
        <tr r="F242" s="2"/>
      </tp>
      <tp>
        <v>3.6500000953674316</v>
        <stp/>
        <stp>##V3_BDPV12</stp>
        <stp>TGT US Equity</stp>
        <stp>EE201</stp>
        <stp>[DPM - Securities Master List (BBG Linked).xlsx]Equities!R261C37</stp>
        <tr r="AK261" s="2"/>
        <tr r="AK261" s="2"/>
        <tr r="AK261" s="2"/>
      </tp>
      <tp>
        <v>3.4258307639602608</v>
        <stp/>
        <stp>##V3_BDPV12</stp>
        <stp>KER FP Equity</stp>
        <stp>DV013</stp>
        <stp>[DPM - Securities Master List (BBG Linked).xlsx]Equities!R153C10</stp>
        <tr r="J153" s="2"/>
      </tp>
      <tp>
        <v>3.4258307639602608</v>
        <stp/>
        <stp>##V3_BDPV12</stp>
        <stp>KER FP Equity</stp>
        <stp>DV013</stp>
        <stp>[DPM - Securities Master List (BBG Linked).xlsx]Equities!R152C10</stp>
        <tr r="J152" s="2"/>
      </tp>
      <tp>
        <v>3.4258307639602608</v>
        <stp/>
        <stp>##V3_BDPV12</stp>
        <stp>KER FP Equity</stp>
        <stp>DV013</stp>
        <stp>[DPM - Securities Master List (BBG Linked).xlsx]Equities!R151C10</stp>
        <tr r="J151" s="2"/>
      </tp>
      <tp>
        <v>3.4258307639602608</v>
        <stp/>
        <stp>##V3_BDPV12</stp>
        <stp>KER FP Equity</stp>
        <stp>DV013</stp>
        <stp>[DPM - Securities Master List (BBG Linked).xlsx]Equities!R150C10</stp>
        <tr r="J150" s="2"/>
      </tp>
      <tp>
        <v>3.4258307639602608</v>
        <stp/>
        <stp>##V3_BDPV12</stp>
        <stp>KER FP Equity</stp>
        <stp>DV013</stp>
        <stp>[DPM - Securities Master List (BBG Linked).xlsx]Equities!R149C10</stp>
        <tr r="J149" s="2"/>
      </tp>
      <tp t="s">
        <v>Consumer Staples</v>
        <stp/>
        <stp>##V3_BDPV12</stp>
        <stp>TGT US Equity</stp>
        <stp>DX202</stp>
        <stp>[DPM - Securities Master List (BBG Linked).xlsx]Equities!R261C46</stp>
        <tr r="AT261" s="2"/>
        <tr r="AT261" s="2"/>
        <tr r="AT261" s="2"/>
      </tp>
      <tp>
        <v>17.865959400183613</v>
        <stp/>
        <stp>##V3_BDPV12</stp>
        <stp>KER FP Equity</stp>
        <stp>EE010</stp>
        <stp>[DPM - Securities Master List (BBG Linked).xlsx]Equities!R149C12</stp>
        <tr r="L149" s="2"/>
        <tr r="L149" s="2"/>
        <tr r="L149" s="2"/>
      </tp>
      <tp>
        <v>17.865959400183613</v>
        <stp/>
        <stp>##V3_BDPV12</stp>
        <stp>KER FP Equity</stp>
        <stp>EE010</stp>
        <stp>[DPM - Securities Master List (BBG Linked).xlsx]Equities!R153C12</stp>
        <tr r="L153" s="2"/>
        <tr r="L153" s="2"/>
        <tr r="L153" s="2"/>
      </tp>
      <tp>
        <v>17.865959400183613</v>
        <stp/>
        <stp>##V3_BDPV12</stp>
        <stp>KER FP Equity</stp>
        <stp>EE010</stp>
        <stp>[DPM - Securities Master List (BBG Linked).xlsx]Equities!R152C12</stp>
        <tr r="L152" s="2"/>
        <tr r="L152" s="2"/>
        <tr r="L152" s="2"/>
      </tp>
      <tp>
        <v>17.865959400183613</v>
        <stp/>
        <stp>##V3_BDPV12</stp>
        <stp>KER FP Equity</stp>
        <stp>EE010</stp>
        <stp>[DPM - Securities Master List (BBG Linked).xlsx]Equities!R151C12</stp>
        <tr r="L151" s="2"/>
        <tr r="L151" s="2"/>
        <tr r="L151" s="2"/>
      </tp>
      <tp>
        <v>17.865959400183613</v>
        <stp/>
        <stp>##V3_BDPV12</stp>
        <stp>KER FP Equity</stp>
        <stp>EE010</stp>
        <stp>[DPM - Securities Master List (BBG Linked).xlsx]Equities!R150C12</stp>
        <tr r="L150" s="2"/>
        <tr r="L150" s="2"/>
        <tr r="L150" s="2"/>
      </tp>
      <tp t="s">
        <v>#N/A Field Not Applicable</v>
        <stp/>
        <stp>##V3_BDPV12</stp>
        <stp>NEM AT Equity</stp>
        <stp>RR957</stp>
        <stp>[DPM - Securities Master List (BBG Linked).xlsx]Equities!R190C14</stp>
        <tr r="N190" s="2"/>
        <tr r="N190" s="2"/>
      </tp>
      <tp t="s">
        <v>#N/A Field Not Applicable</v>
        <stp/>
        <stp>##V3_BDPV12</stp>
        <stp>NEM AT Equity</stp>
        <stp>RR957</stp>
        <stp>[DPM - Securities Master List (BBG Linked).xlsx]Equities!R191C14</stp>
        <tr r="N191" s="2"/>
        <tr r="N191" s="2"/>
      </tp>
      <tp t="s">
        <v>#N/A Field Not Applicable</v>
        <stp/>
        <stp>##V3_BDPV12</stp>
        <stp>NEM AT Equity</stp>
        <stp>RR957</stp>
        <stp>[DPM - Securities Master List (BBG Linked).xlsx]Equities!R192C14</stp>
        <tr r="N192" s="2"/>
        <tr r="N192" s="2"/>
      </tp>
      <tp t="s">
        <v>#N/A Field Not Applicable</v>
        <stp/>
        <stp>##V3_BDPV12</stp>
        <stp>NEM AT Equity</stp>
        <stp>RR957</stp>
        <stp>[DPM - Securities Master List (BBG Linked).xlsx]Equities!R189C14</stp>
        <tr r="N189" s="2"/>
        <tr r="N189" s="2"/>
      </tp>
      <tp t="s">
        <v>Y</v>
        <stp/>
        <stp>##V3_BDPV12</stp>
        <stp>DRX LN Equity</stp>
        <stp>DY784</stp>
        <stp>[DPM - Securities Master List (BBG Linked).xlsx]Equities!R119C48</stp>
        <tr r="AV119" s="2"/>
        <tr r="AV119" s="2"/>
        <tr r="AV119" s="2"/>
      </tp>
      <tp t="s">
        <v>Y</v>
        <stp/>
        <stp>##V3_BDPV12</stp>
        <stp>DRX LN Equity</stp>
        <stp>DY784</stp>
        <stp>[DPM - Securities Master List (BBG Linked).xlsx]Equities!R118C48</stp>
        <tr r="AV118" s="2"/>
        <tr r="AV118" s="2"/>
        <tr r="AV118" s="2"/>
      </tp>
      <tp t="s">
        <v>Y</v>
        <stp/>
        <stp>##V3_BDPV12</stp>
        <stp>DRX LN Equity</stp>
        <stp>DY784</stp>
        <stp>[DPM - Securities Master List (BBG Linked).xlsx]Equities!R117C48</stp>
        <tr r="AV117" s="2"/>
        <tr r="AV117" s="2"/>
        <tr r="AV117" s="2"/>
      </tp>
      <tp t="s">
        <v>Y</v>
        <stp/>
        <stp>##V3_BDPV12</stp>
        <stp>DRX LN Equity</stp>
        <stp>DY784</stp>
        <stp>[DPM - Securities Master List (BBG Linked).xlsx]Equities!R116C48</stp>
        <tr r="AV116" s="2"/>
        <tr r="AV116" s="2"/>
        <tr r="AV116" s="2"/>
      </tp>
      <tp t="s">
        <v>Y</v>
        <stp/>
        <stp>##V3_BDPV12</stp>
        <stp>DRX LN Equity</stp>
        <stp>DY784</stp>
        <stp>[DPM - Securities Master List (BBG Linked).xlsx]Equities!R121C48</stp>
        <tr r="AV121" s="2"/>
        <tr r="AV121" s="2"/>
        <tr r="AV121" s="2"/>
      </tp>
      <tp t="s">
        <v>Y</v>
        <stp/>
        <stp>##V3_BDPV12</stp>
        <stp>DRX LN Equity</stp>
        <stp>DY784</stp>
        <stp>[DPM - Securities Master List (BBG Linked).xlsx]Equities!R120C48</stp>
        <tr r="AV120" s="2"/>
        <tr r="AV120" s="2"/>
        <tr r="AV120" s="2"/>
      </tp>
      <tp t="s">
        <v>Y</v>
        <stp/>
        <stp>##V3_BDPV12</stp>
        <stp>DRX LN Equity</stp>
        <stp>DY784</stp>
        <stp>[DPM - Securities Master List (BBG Linked).xlsx]Equities!R123C48</stp>
        <tr r="AV123" s="2"/>
        <tr r="AV123" s="2"/>
        <tr r="AV123" s="2"/>
      </tp>
      <tp t="s">
        <v>Y</v>
        <stp/>
        <stp>##V3_BDPV12</stp>
        <stp>DRX LN Equity</stp>
        <stp>DY784</stp>
        <stp>[DPM - Securities Master List (BBG Linked).xlsx]Equities!R122C48</stp>
        <tr r="AV122" s="2"/>
        <tr r="AV122" s="2"/>
        <tr r="AV122" s="2"/>
      </tp>
      <tp t="s">
        <v>Y</v>
        <stp/>
        <stp>##V3_BDPV12</stp>
        <stp>DRX LN Equity</stp>
        <stp>DY784</stp>
        <stp>[DPM - Securities Master List (BBG Linked).xlsx]Equities!R124C48</stp>
        <tr r="AV124" s="2"/>
        <tr r="AV124" s="2"/>
        <tr r="AV124" s="2"/>
      </tp>
      <tp t="s">
        <v>Equity</v>
        <stp/>
        <stp>##V3_BDPV12</stp>
        <stp>PEP US Equity</stp>
        <stp>EX028</stp>
        <stp>[DPM - Securities Master List (BBG Linked).xlsx]Equities!R233C30</stp>
        <tr r="AD233" s="2"/>
        <tr r="AD233" s="2"/>
        <tr r="AD233" s="2"/>
      </tp>
      <tp t="s">
        <v>Equity</v>
        <stp/>
        <stp>##V3_BDPV12</stp>
        <stp>PEP US Equity</stp>
        <stp>EX028</stp>
        <stp>[DPM - Securities Master List (BBG Linked).xlsx]Equities!R232C30</stp>
        <tr r="AD232" s="2"/>
        <tr r="AD232" s="2"/>
        <tr r="AD232" s="2"/>
      </tp>
      <tp t="s">
        <v>Equity</v>
        <stp/>
        <stp>##V3_BDPV12</stp>
        <stp>PEP US Equity</stp>
        <stp>EX028</stp>
        <stp>[DPM - Securities Master List (BBG Linked).xlsx]Equities!R231C30</stp>
        <tr r="AD231" s="2"/>
        <tr r="AD231" s="2"/>
        <tr r="AD231" s="2"/>
      </tp>
      <tp t="s">
        <v>Equity</v>
        <stp/>
        <stp>##V3_BDPV12</stp>
        <stp>PEP US Equity</stp>
        <stp>EX028</stp>
        <stp>[DPM - Securities Master List (BBG Linked).xlsx]Equities!R230C30</stp>
        <tr r="AD230" s="2"/>
        <tr r="AD230" s="2"/>
        <tr r="AD230" s="2"/>
      </tp>
      <tp t="s">
        <v>Equity</v>
        <stp/>
        <stp>##V3_BDPV12</stp>
        <stp>PEP US Equity</stp>
        <stp>EX028</stp>
        <stp>[DPM - Securities Master List (BBG Linked).xlsx]Equities!R236C30</stp>
        <tr r="AD236" s="2"/>
        <tr r="AD236" s="2"/>
        <tr r="AD236" s="2"/>
      </tp>
      <tp t="s">
        <v>Equity</v>
        <stp/>
        <stp>##V3_BDPV12</stp>
        <stp>PEP US Equity</stp>
        <stp>EX028</stp>
        <stp>[DPM - Securities Master List (BBG Linked).xlsx]Equities!R235C30</stp>
        <tr r="AD235" s="2"/>
        <tr r="AD235" s="2"/>
        <tr r="AD235" s="2"/>
      </tp>
      <tp t="s">
        <v>Equity</v>
        <stp/>
        <stp>##V3_BDPV12</stp>
        <stp>PEP US Equity</stp>
        <stp>EX028</stp>
        <stp>[DPM - Securities Master List (BBG Linked).xlsx]Equities!R234C30</stp>
        <tr r="AD234" s="2"/>
        <tr r="AD234" s="2"/>
        <tr r="AD234" s="2"/>
      </tp>
      <tp t="s">
        <v>Equity</v>
        <stp/>
        <stp>##V3_BDPV12</stp>
        <stp>PEP US Equity</stp>
        <stp>EX028</stp>
        <stp>[DPM - Securities Master List (BBG Linked).xlsx]Equities!R227C30</stp>
        <tr r="AD227" s="2"/>
        <tr r="AD227" s="2"/>
        <tr r="AD227" s="2"/>
      </tp>
      <tp t="s">
        <v>Equity</v>
        <stp/>
        <stp>##V3_BDPV12</stp>
        <stp>PEP US Equity</stp>
        <stp>EX028</stp>
        <stp>[DPM - Securities Master List (BBG Linked).xlsx]Equities!R229C30</stp>
        <tr r="AD229" s="2"/>
        <tr r="AD229" s="2"/>
        <tr r="AD229" s="2"/>
      </tp>
      <tp t="s">
        <v>Equity</v>
        <stp/>
        <stp>##V3_BDPV12</stp>
        <stp>PEP US Equity</stp>
        <stp>EX028</stp>
        <stp>[DPM - Securities Master List (BBG Linked).xlsx]Equities!R228C30</stp>
        <tr r="AD228" s="2"/>
        <tr r="AD228" s="2"/>
        <tr r="AD228" s="2"/>
      </tp>
      <tp>
        <v>10.212380494935889</v>
        <stp/>
        <stp>##V3_BDPV12</stp>
        <stp>ZBH US Equity</stp>
        <stp>RR957</stp>
        <stp>[DPM - Securities Master List (BBG Linked).xlsx]Equities!R300C14</stp>
        <tr r="N300" s="2"/>
        <tr r="N300" s="2"/>
        <tr r="N300" s="2"/>
      </tp>
      <tp>
        <v>10.212380494935889</v>
        <stp/>
        <stp>##V3_BDPV12</stp>
        <stp>ZBH US Equity</stp>
        <stp>RR957</stp>
        <stp>[DPM - Securities Master List (BBG Linked).xlsx]Equities!R301C14</stp>
        <tr r="N301" s="2"/>
        <tr r="N301" s="2"/>
        <tr r="N301" s="2"/>
      </tp>
      <tp>
        <v>10.212380494935889</v>
        <stp/>
        <stp>##V3_BDPV12</stp>
        <stp>ZBH US Equity</stp>
        <stp>RR957</stp>
        <stp>[DPM - Securities Master List (BBG Linked).xlsx]Equities!R302C14</stp>
        <tr r="N302" s="2"/>
        <tr r="N302" s="2"/>
        <tr r="N302" s="2"/>
      </tp>
      <tp t="s">
        <v>US87612E1064</v>
        <stp/>
        <stp>##V3_BDPV12</stp>
        <stp>TGT US Equity</stp>
        <stp>ID005</stp>
        <stp>[DPM - Securities Master List (BBG Linked).xlsx]Equities!R261C55</stp>
        <tr r="BC261" s="2"/>
      </tp>
      <tp>
        <v>10.212380494935889</v>
        <stp/>
        <stp>##V3_BDPV12</stp>
        <stp>ZBH US Equity</stp>
        <stp>RR957</stp>
        <stp>[DPM - Securities Master List (BBG Linked).xlsx]Equities!R294C14</stp>
        <tr r="N294" s="2"/>
        <tr r="N294" s="2"/>
        <tr r="N294" s="2"/>
      </tp>
      <tp>
        <v>10.212380494935889</v>
        <stp/>
        <stp>##V3_BDPV12</stp>
        <stp>ZBH US Equity</stp>
        <stp>RR957</stp>
        <stp>[DPM - Securities Master List (BBG Linked).xlsx]Equities!R295C14</stp>
        <tr r="N295" s="2"/>
        <tr r="N295" s="2"/>
        <tr r="N295" s="2"/>
      </tp>
      <tp>
        <v>10.212380494935889</v>
        <stp/>
        <stp>##V3_BDPV12</stp>
        <stp>ZBH US Equity</stp>
        <stp>RR957</stp>
        <stp>[DPM - Securities Master List (BBG Linked).xlsx]Equities!R296C14</stp>
        <tr r="N296" s="2"/>
        <tr r="N296" s="2"/>
        <tr r="N296" s="2"/>
      </tp>
      <tp>
        <v>10.212380494935889</v>
        <stp/>
        <stp>##V3_BDPV12</stp>
        <stp>ZBH US Equity</stp>
        <stp>RR957</stp>
        <stp>[DPM - Securities Master List (BBG Linked).xlsx]Equities!R297C14</stp>
        <tr r="N297" s="2"/>
        <tr r="N297" s="2"/>
        <tr r="N297" s="2"/>
      </tp>
      <tp>
        <v>10.212380494935889</v>
        <stp/>
        <stp>##V3_BDPV12</stp>
        <stp>ZBH US Equity</stp>
        <stp>RR957</stp>
        <stp>[DPM - Securities Master List (BBG Linked).xlsx]Equities!R298C14</stp>
        <tr r="N298" s="2"/>
        <tr r="N298" s="2"/>
        <tr r="N298" s="2"/>
      </tp>
      <tp>
        <v>10.212380494935889</v>
        <stp/>
        <stp>##V3_BDPV12</stp>
        <stp>ZBH US Equity</stp>
        <stp>RR957</stp>
        <stp>[DPM - Securities Master List (BBG Linked).xlsx]Equities!R299C14</stp>
        <tr r="N299" s="2"/>
        <tr r="N299" s="2"/>
        <tr r="N299" s="2"/>
      </tp>
      <tp t="s">
        <v>N</v>
        <stp/>
        <stp>##V3_BDPV12</stp>
        <stp>SSE LN Equity</stp>
        <stp>DY997</stp>
        <stp>[DPM - Securities Master List (BBG Linked).xlsx]Equities!R250C47</stp>
        <tr r="AU250" s="2"/>
        <tr r="AU250" s="2"/>
        <tr r="AU250" s="2"/>
      </tp>
      <tp t="s">
        <v>N</v>
        <stp/>
        <stp>##V3_BDPV12</stp>
        <stp>SSE LN Equity</stp>
        <stp>DY997</stp>
        <stp>[DPM - Securities Master List (BBG Linked).xlsx]Equities!R251C47</stp>
        <tr r="AU251" s="2"/>
        <tr r="AU251" s="2"/>
        <tr r="AU251" s="2"/>
      </tp>
      <tp t="s">
        <v>N</v>
        <stp/>
        <stp>##V3_BDPV12</stp>
        <stp>SSE LN Equity</stp>
        <stp>DY997</stp>
        <stp>[DPM - Securities Master List (BBG Linked).xlsx]Equities!R252C47</stp>
        <tr r="AU252" s="2"/>
        <tr r="AU252" s="2"/>
        <tr r="AU252" s="2"/>
      </tp>
      <tp t="s">
        <v>N</v>
        <stp/>
        <stp>##V3_BDPV12</stp>
        <stp>SSE LN Equity</stp>
        <stp>DY997</stp>
        <stp>[DPM - Securities Master List (BBG Linked).xlsx]Equities!R253C47</stp>
        <tr r="AU253" s="2"/>
        <tr r="AU253" s="2"/>
        <tr r="AU253" s="2"/>
      </tp>
      <tp t="s">
        <v>N</v>
        <stp/>
        <stp>##V3_BDPV12</stp>
        <stp>SSE LN Equity</stp>
        <stp>DY997</stp>
        <stp>[DPM - Securities Master List (BBG Linked).xlsx]Equities!R254C47</stp>
        <tr r="AU254" s="2"/>
        <tr r="AU254" s="2"/>
        <tr r="AU254" s="2"/>
      </tp>
      <tp t="s">
        <v>N</v>
        <stp/>
        <stp>##V3_BDPV12</stp>
        <stp>SSE LN Equity</stp>
        <stp>DY997</stp>
        <stp>[DPM - Securities Master List (BBG Linked).xlsx]Equities!R255C47</stp>
        <tr r="AU255" s="2"/>
        <tr r="AU255" s="2"/>
        <tr r="AU255" s="2"/>
      </tp>
      <tp t="s">
        <v>N</v>
        <stp/>
        <stp>##V3_BDPV12</stp>
        <stp>SSE LN Equity</stp>
        <stp>DY997</stp>
        <stp>[DPM - Securities Master List (BBG Linked).xlsx]Equities!R256C47</stp>
        <tr r="AU256" s="2"/>
        <tr r="AU256" s="2"/>
        <tr r="AU256" s="2"/>
      </tp>
      <tp t="s">
        <v>N</v>
        <stp/>
        <stp>##V3_BDPV12</stp>
        <stp>SSE LN Equity</stp>
        <stp>DY997</stp>
        <stp>[DPM - Securities Master List (BBG Linked).xlsx]Equities!R257C47</stp>
        <tr r="AU257" s="2"/>
        <tr r="AU257" s="2"/>
        <tr r="AU257" s="2"/>
      </tp>
      <tp t="s">
        <v>N</v>
        <stp/>
        <stp>##V3_BDPV12</stp>
        <stp>SSE LN Equity</stp>
        <stp>DY997</stp>
        <stp>[DPM - Securities Master List (BBG Linked).xlsx]Equities!R258C47</stp>
        <tr r="AU258" s="2"/>
        <tr r="AU258" s="2"/>
        <tr r="AU258" s="2"/>
      </tp>
      <tp t="s">
        <v>N</v>
        <stp/>
        <stp>##V3_BDPV12</stp>
        <stp>SSE LN Equity</stp>
        <stp>DY997</stp>
        <stp>[DPM - Securities Master List (BBG Linked).xlsx]Equities!R244C47</stp>
        <tr r="AU244" s="2"/>
        <tr r="AU244" s="2"/>
        <tr r="AU244" s="2"/>
      </tp>
      <tp t="s">
        <v>N</v>
        <stp/>
        <stp>##V3_BDPV12</stp>
        <stp>SSE LN Equity</stp>
        <stp>DY997</stp>
        <stp>[DPM - Securities Master List (BBG Linked).xlsx]Equities!R245C47</stp>
        <tr r="AU245" s="2"/>
        <tr r="AU245" s="2"/>
        <tr r="AU245" s="2"/>
      </tp>
      <tp t="s">
        <v>N</v>
        <stp/>
        <stp>##V3_BDPV12</stp>
        <stp>SSE LN Equity</stp>
        <stp>DY997</stp>
        <stp>[DPM - Securities Master List (BBG Linked).xlsx]Equities!R246C47</stp>
        <tr r="AU246" s="2"/>
        <tr r="AU246" s="2"/>
        <tr r="AU246" s="2"/>
      </tp>
      <tp t="s">
        <v>N</v>
        <stp/>
        <stp>##V3_BDPV12</stp>
        <stp>SSE LN Equity</stp>
        <stp>DY997</stp>
        <stp>[DPM - Securities Master List (BBG Linked).xlsx]Equities!R247C47</stp>
        <tr r="AU247" s="2"/>
        <tr r="AU247" s="2"/>
        <tr r="AU247" s="2"/>
      </tp>
      <tp t="s">
        <v>N</v>
        <stp/>
        <stp>##V3_BDPV12</stp>
        <stp>SSE LN Equity</stp>
        <stp>DY997</stp>
        <stp>[DPM - Securities Master List (BBG Linked).xlsx]Equities!R248C47</stp>
        <tr r="AU248" s="2"/>
        <tr r="AU248" s="2"/>
        <tr r="AU248" s="2"/>
      </tp>
      <tp t="s">
        <v>N</v>
        <stp/>
        <stp>##V3_BDPV12</stp>
        <stp>SSE LN Equity</stp>
        <stp>DY997</stp>
        <stp>[DPM - Securities Master List (BBG Linked).xlsx]Equities!R249C47</stp>
        <tr r="AU249" s="2"/>
        <tr r="AU249" s="2"/>
        <tr r="AU249" s="2"/>
      </tp>
      <tp>
        <v>10.526953025073384</v>
        <stp/>
        <stp>##V3_BDPV12</stp>
        <stp>TGT US Equity</stp>
        <stp>RR900</stp>
        <stp>[DPM - Securities Master List (BBG Linked).xlsx]Equities!R261C11</stp>
        <tr r="K261" s="2"/>
        <tr r="K261" s="2"/>
        <tr r="K261" s="2"/>
      </tp>
      <tp>
        <v>2.9205241606840207</v>
        <stp/>
        <stp>##V3_BDPV12</stp>
        <stp>TGT US Equity</stp>
        <stp>RR903</stp>
        <stp>[DPM - Securities Master List (BBG Linked).xlsx]Equities!R261C13</stp>
        <tr r="M261" s="2"/>
        <tr r="M261" s="2"/>
        <tr r="M261" s="2"/>
      </tp>
      <tp t="s">
        <v>Y</v>
        <stp/>
        <stp>##V3_BDPV12</stp>
        <stp>GSK LN Equity</stp>
        <stp>DY997</stp>
        <stp>[DPM - Securities Master List (BBG Linked).xlsx]Equities!R144C47</stp>
        <tr r="AU144" s="2"/>
        <tr r="AU144" s="2"/>
        <tr r="AU144" s="2"/>
      </tp>
      <tp t="s">
        <v>Y</v>
        <stp/>
        <stp>##V3_BDPV12</stp>
        <stp>GSK LN Equity</stp>
        <stp>DY997</stp>
        <stp>[DPM - Securities Master List (BBG Linked).xlsx]Equities!R145C47</stp>
        <tr r="AU145" s="2"/>
        <tr r="AU145" s="2"/>
        <tr r="AU145" s="2"/>
      </tp>
      <tp t="s">
        <v>Y</v>
        <stp/>
        <stp>##V3_BDPV12</stp>
        <stp>GSK LN Equity</stp>
        <stp>DY997</stp>
        <stp>[DPM - Securities Master List (BBG Linked).xlsx]Equities!R142C47</stp>
        <tr r="AU142" s="2"/>
        <tr r="AU142" s="2"/>
        <tr r="AU142" s="2"/>
      </tp>
      <tp t="s">
        <v>Y</v>
        <stp/>
        <stp>##V3_BDPV12</stp>
        <stp>GSK LN Equity</stp>
        <stp>DY997</stp>
        <stp>[DPM - Securities Master List (BBG Linked).xlsx]Equities!R143C47</stp>
        <tr r="AU143" s="2"/>
        <tr r="AU143" s="2"/>
        <tr r="AU143" s="2"/>
      </tp>
      <tp>
        <v>5.8662534256178924</v>
        <stp/>
        <stp>##V3_BDPV12</stp>
        <stp>TGT US Equity</stp>
        <stp>RR908</stp>
        <stp>[DPM - Securities Master List (BBG Linked).xlsx]Equities!R261C32</stp>
        <tr r="AF261" s="2"/>
        <tr r="AF261" s="2"/>
        <tr r="AF261" s="2"/>
      </tp>
      <tp t="s">
        <v>Nestle SA</v>
        <stp/>
        <stp>##V3_BDPV12</stp>
        <stp>NESN SW Equity</stp>
        <stp>SECURITY NAME</stp>
        <stp>[DPM - Securities Master List (BBG Linked).xlsx]Equities!R201C5</stp>
        <tr r="E201" s="2"/>
      </tp>
      <tp t="s">
        <v>Tesco PLC</v>
        <stp/>
        <stp>##V3_BDPV12</stp>
        <stp>TSCO LN Equity</stp>
        <stp>SECURITY NAME</stp>
        <stp>[DPM - Securities Master List (BBG Linked).xlsx]Equities!R268C5</stp>
        <tr r="E268" s="2"/>
      </tp>
      <tp>
        <v>163.57</v>
        <stp/>
        <stp>##V3_BDPV12</stp>
        <stp>GOOGL US Equity</stp>
        <stp>PX_LAST</stp>
        <stp>[DPM - Securities Master List (BBG Linked).xlsx]Equities!R141C17</stp>
        <tr r="Q141" s="2"/>
      </tp>
      <tp>
        <v>163.57</v>
        <stp/>
        <stp>##V3_BDPV12</stp>
        <stp>GOOGL US Equity</stp>
        <stp>PX_LAST</stp>
        <stp>[DPM - Securities Master List (BBG Linked).xlsx]Equities!R140C17</stp>
        <tr r="Q140" s="2"/>
      </tp>
      <tp>
        <v>163.57</v>
        <stp/>
        <stp>##V3_BDPV12</stp>
        <stp>GOOGL US Equity</stp>
        <stp>PX_LAST</stp>
        <stp>[DPM - Securities Master List (BBG Linked).xlsx]Equities!R139C17</stp>
        <tr r="Q139" s="2"/>
      </tp>
      <tp>
        <v>163.57</v>
        <stp/>
        <stp>##V3_BDPV12</stp>
        <stp>GOOGL US Equity</stp>
        <stp>PX_LAST</stp>
        <stp>[DPM - Securities Master List (BBG Linked).xlsx]Equities!R138C17</stp>
        <tr r="Q138" s="2"/>
      </tp>
      <tp>
        <v>163.57</v>
        <stp/>
        <stp>##V3_BDPV12</stp>
        <stp>GOOGL US Equity</stp>
        <stp>PX_LAST</stp>
        <stp>[DPM - Securities Master List (BBG Linked).xlsx]Equities!R135C17</stp>
        <tr r="Q135" s="2"/>
      </tp>
      <tp>
        <v>163.57</v>
        <stp/>
        <stp>##V3_BDPV12</stp>
        <stp>GOOGL US Equity</stp>
        <stp>PX_LAST</stp>
        <stp>[DPM - Securities Master List (BBG Linked).xlsx]Equities!R134C17</stp>
        <tr r="Q134" s="2"/>
      </tp>
      <tp>
        <v>163.57</v>
        <stp/>
        <stp>##V3_BDPV12</stp>
        <stp>GOOGL US Equity</stp>
        <stp>PX_LAST</stp>
        <stp>[DPM - Securities Master List (BBG Linked).xlsx]Equities!R137C17</stp>
        <tr r="Q137" s="2"/>
      </tp>
      <tp>
        <v>163.57</v>
        <stp/>
        <stp>##V3_BDPV12</stp>
        <stp>GOOGL US Equity</stp>
        <stp>PX_LAST</stp>
        <stp>[DPM - Securities Master List (BBG Linked).xlsx]Equities!R136C17</stp>
        <tr r="Q136" s="2"/>
      </tp>
      <tp>
        <v>163.57</v>
        <stp/>
        <stp>##V3_BDPV12</stp>
        <stp>GOOGL US Equity</stp>
        <stp>PX_LAST</stp>
        <stp>[DPM - Securities Master List (BBG Linked).xlsx]Equities!R131C17</stp>
        <tr r="Q131" s="2"/>
      </tp>
      <tp>
        <v>163.57</v>
        <stp/>
        <stp>##V3_BDPV12</stp>
        <stp>GOOGL US Equity</stp>
        <stp>PX_LAST</stp>
        <stp>[DPM - Securities Master List (BBG Linked).xlsx]Equities!R130C17</stp>
        <tr r="Q130" s="2"/>
      </tp>
      <tp>
        <v>163.57</v>
        <stp/>
        <stp>##V3_BDPV12</stp>
        <stp>GOOGL US Equity</stp>
        <stp>PX_LAST</stp>
        <stp>[DPM - Securities Master List (BBG Linked).xlsx]Equities!R133C17</stp>
        <tr r="Q133" s="2"/>
      </tp>
      <tp>
        <v>163.57</v>
        <stp/>
        <stp>##V3_BDPV12</stp>
        <stp>GOOGL US Equity</stp>
        <stp>PX_LAST</stp>
        <stp>[DPM - Securities Master List (BBG Linked).xlsx]Equities!R132C17</stp>
        <tr r="Q132" s="2"/>
      </tp>
      <tp>
        <v>163.57</v>
        <stp/>
        <stp>##V3_BDPV12</stp>
        <stp>GOOGL US Equity</stp>
        <stp>PX_LAST</stp>
        <stp>[DPM - Securities Master List (BBG Linked).xlsx]Equities!R129C17</stp>
        <tr r="Q129" s="2"/>
      </tp>
      <tp>
        <v>163.57</v>
        <stp/>
        <stp>##V3_BDPV12</stp>
        <stp>GOOGL US Equity</stp>
        <stp>PX_LAST</stp>
        <stp>[DPM - Securities Master List (BBG Linked).xlsx]Equities!R128C17</stp>
        <tr r="Q128" s="2"/>
      </tp>
      <tp>
        <v>163.57</v>
        <stp/>
        <stp>##V3_BDPV12</stp>
        <stp>GOOGL US Equity</stp>
        <stp>PX_LAST</stp>
        <stp>[DPM - Securities Master List (BBG Linked).xlsx]Equities!R127C17</stp>
        <tr r="Q127" s="2"/>
      </tp>
      <tp>
        <v>163.53</v>
        <stp/>
        <stp>##V3_BDPV12</stp>
        <stp>GOOGL UQ Equity</stp>
        <stp>PX_LAST</stp>
        <stp>[DPM - Securities Master List (BBG Linked).xlsx]Equities!R126C17</stp>
        <tr r="Q126" s="2"/>
      </tp>
      <tp t="s">
        <v>USD</v>
        <stp/>
        <stp>##V3_BDPV12</stp>
        <stp>MSFT US Equity</stp>
        <stp>CRNCY</stp>
        <stp>[DPM - Securities Master List (BBG Linked).xlsx]Equities!R179C6</stp>
        <tr r="F179" s="2"/>
      </tp>
      <tp t="s">
        <v>Dell Technologies Inc</v>
        <stp/>
        <stp>##V3_BDPV12</stp>
        <stp>DELL US Equity</stp>
        <stp>SECURITY NAME</stp>
        <stp>[DPM - Securities Master List (BBG Linked).xlsx]Equities!R107C5</stp>
        <tr r="E107" s="2"/>
      </tp>
      <tp>
        <v>275443.74579771404</v>
        <stp/>
        <stp>##V3_BDPV12</stp>
        <stp>NESN SW Equity</stp>
        <stp>CRNCY_ADJ_MKT_CAP</stp>
        <stp>[DPM - Securities Master List (BBG Linked).xlsx]Equities!R199C9</stp>
        <stp>EQY_FUND_CRNCY=USD</stp>
        <tr r="I199" s="2"/>
      </tp>
      <tp>
        <v>275443.74579771404</v>
        <stp/>
        <stp>##V3_BDPV12</stp>
        <stp>NESN SW Equity</stp>
        <stp>CRNCY_ADJ_MKT_CAP</stp>
        <stp>[DPM - Securities Master List (BBG Linked).xlsx]Equities!R198C9</stp>
        <stp>EQY_FUND_CRNCY=USD</stp>
        <tr r="I198" s="2"/>
      </tp>
      <tp>
        <v>275443.74579771404</v>
        <stp/>
        <stp>##V3_BDPV12</stp>
        <stp>NESN SW Equity</stp>
        <stp>CRNCY_ADJ_MKT_CAP</stp>
        <stp>[DPM - Securities Master List (BBG Linked).xlsx]Equities!R197C9</stp>
        <stp>EQY_FUND_CRNCY=USD</stp>
        <tr r="I197" s="2"/>
      </tp>
      <tp>
        <v>275443.74579771404</v>
        <stp/>
        <stp>##V3_BDPV12</stp>
        <stp>NESN SW Equity</stp>
        <stp>CRNCY_ADJ_MKT_CAP</stp>
        <stp>[DPM - Securities Master List (BBG Linked).xlsx]Equities!R196C9</stp>
        <stp>EQY_FUND_CRNCY=USD</stp>
        <tr r="I196" s="2"/>
      </tp>
      <tp>
        <v>275443.74579771404</v>
        <stp/>
        <stp>##V3_BDPV12</stp>
        <stp>NESN SW Equity</stp>
        <stp>CRNCY_ADJ_MKT_CAP</stp>
        <stp>[DPM - Securities Master List (BBG Linked).xlsx]Equities!R195C9</stp>
        <stp>EQY_FUND_CRNCY=USD</stp>
        <tr r="I195" s="2"/>
      </tp>
      <tp>
        <v>275443.74579771404</v>
        <stp/>
        <stp>##V3_BDPV12</stp>
        <stp>NESN SW Equity</stp>
        <stp>CRNCY_ADJ_MKT_CAP</stp>
        <stp>[DPM - Securities Master List (BBG Linked).xlsx]Equities!R194C9</stp>
        <stp>EQY_FUND_CRNCY=USD</stp>
        <tr r="I194" s="2"/>
      </tp>
      <tp>
        <v>275443.74579771404</v>
        <stp/>
        <stp>##V3_BDPV12</stp>
        <stp>NESN SW Equity</stp>
        <stp>CRNCY_ADJ_MKT_CAP</stp>
        <stp>[DPM - Securities Master List (BBG Linked).xlsx]Equities!R193C9</stp>
        <stp>EQY_FUND_CRNCY=USD</stp>
        <tr r="I193" s="2"/>
      </tp>
      <tp t="s">
        <v>Y</v>
        <stp/>
        <stp>##V3_BDPV12</stp>
        <stp>BMY US Equity</stp>
        <stp>DY784</stp>
        <stp>[DPM - Securities Master List (BBG Linked).xlsx]Equities!R76C48</stp>
        <tr r="AV76" s="2"/>
        <tr r="AV76" s="2"/>
        <tr r="AV76" s="2"/>
      </tp>
      <tp t="s">
        <v>USD</v>
        <stp/>
        <stp>##V3_BDPV12</stp>
        <stp>MDT US Equity</stp>
        <stp>CRNCY</stp>
        <stp>[DPM - Securities Master List (BBG Linked).xlsx]Equities!R155C6</stp>
        <tr r="F155" s="2"/>
      </tp>
      <tp t="s">
        <v>USD</v>
        <stp/>
        <stp>##V3_BDPV12</stp>
        <stp>NIO US Equity</stp>
        <stp>CRNCY</stp>
        <stp>[DPM - Securities Master List (BBG Linked).xlsx]Equities!R206C6</stp>
        <tr r="F206" s="2"/>
      </tp>
      <tp t="s">
        <v>USD</v>
        <stp/>
        <stp>##V3_BDPV12</stp>
        <stp>NKE US Equity</stp>
        <stp>CRNCY</stp>
        <stp>[DPM - Securities Master List (BBG Linked).xlsx]Equities!R216C6</stp>
        <tr r="F216" s="2"/>
      </tp>
      <tp>
        <v>149.78</v>
        <stp/>
        <stp>##V3_BDPV12</stp>
        <stp>KER FP Equity</stp>
        <stp>hs002</stp>
        <stp>[DPM - Securities Master List (BBG Linked).xlsx]Equities!R153C45</stp>
        <tr r="AS153" s="2"/>
      </tp>
      <tp>
        <v>149.78</v>
        <stp/>
        <stp>##V3_BDPV12</stp>
        <stp>KER FP Equity</stp>
        <stp>hs002</stp>
        <stp>[DPM - Securities Master List (BBG Linked).xlsx]Equities!R152C45</stp>
        <tr r="AS152" s="2"/>
      </tp>
      <tp>
        <v>149.78</v>
        <stp/>
        <stp>##V3_BDPV12</stp>
        <stp>KER FP Equity</stp>
        <stp>hs002</stp>
        <stp>[DPM - Securities Master List (BBG Linked).xlsx]Equities!R151C45</stp>
        <tr r="AS151" s="2"/>
      </tp>
      <tp>
        <v>149.78</v>
        <stp/>
        <stp>##V3_BDPV12</stp>
        <stp>KER FP Equity</stp>
        <stp>hs002</stp>
        <stp>[DPM - Securities Master List (BBG Linked).xlsx]Equities!R150C45</stp>
        <tr r="AS150" s="2"/>
      </tp>
      <tp>
        <v>149.78</v>
        <stp/>
        <stp>##V3_BDPV12</stp>
        <stp>KER FP Equity</stp>
        <stp>hs002</stp>
        <stp>[DPM - Securities Master List (BBG Linked).xlsx]Equities!R149C45</stp>
        <tr r="AS149" s="2"/>
      </tp>
      <tp t="s">
        <v>GBp</v>
        <stp/>
        <stp>##V3_BDPV12</stp>
        <stp>SSE LN Equity</stp>
        <stp>CRNCY</stp>
        <stp>[DPM - Securities Master List (BBG Linked).xlsx]Equities!R252C6</stp>
        <tr r="F252" s="2"/>
      </tp>
      <tp>
        <v>346.9</v>
        <stp/>
        <stp>##V3_BDPV12</stp>
        <stp>KER FP Equity</stp>
        <stp>hs001</stp>
        <stp>[DPM - Securities Master List (BBG Linked).xlsx]Equities!R149C44</stp>
        <tr r="AR149" s="2"/>
      </tp>
      <tp>
        <v>346.9</v>
        <stp/>
        <stp>##V3_BDPV12</stp>
        <stp>KER FP Equity</stp>
        <stp>hs001</stp>
        <stp>[DPM - Securities Master List (BBG Linked).xlsx]Equities!R153C44</stp>
        <tr r="AR153" s="2"/>
      </tp>
      <tp>
        <v>346.9</v>
        <stp/>
        <stp>##V3_BDPV12</stp>
        <stp>KER FP Equity</stp>
        <stp>hs001</stp>
        <stp>[DPM - Securities Master List (BBG Linked).xlsx]Equities!R152C44</stp>
        <tr r="AR152" s="2"/>
      </tp>
      <tp>
        <v>346.9</v>
        <stp/>
        <stp>##V3_BDPV12</stp>
        <stp>KER FP Equity</stp>
        <stp>hs001</stp>
        <stp>[DPM - Securities Master List (BBG Linked).xlsx]Equities!R151C44</stp>
        <tr r="AR151" s="2"/>
      </tp>
      <tp>
        <v>346.9</v>
        <stp/>
        <stp>##V3_BDPV12</stp>
        <stp>KER FP Equity</stp>
        <stp>hs001</stp>
        <stp>[DPM - Securities Master List (BBG Linked).xlsx]Equities!R150C44</stp>
        <tr r="AR150" s="2"/>
      </tp>
      <tp t="s">
        <v>PepsiCo Inc</v>
        <stp/>
        <stp>##V3_BDPV12</stp>
        <stp>PEP US Equity</stp>
        <stp>SECURITY NAME</stp>
        <stp>[DPM - Securities Master List (BBG Linked).xlsx]Equities!R230C5</stp>
        <tr r="E230" s="2"/>
      </tp>
      <tp t="s">
        <v>USD</v>
        <stp/>
        <stp>##V3_BDPV12</stp>
        <stp>MRK US Equity</stp>
        <stp>CRNCY</stp>
        <stp>[DPM - Securities Master List (BBG Linked).xlsx]Equities!R165C6</stp>
        <tr r="F165" s="2"/>
      </tp>
      <tp t="s">
        <v>USD</v>
        <stp/>
        <stp>##V3_BDPV12</stp>
        <stp>LUV US Equity</stp>
        <stp>CRNCY</stp>
        <stp>[DPM - Securities Master List (BBG Linked).xlsx]Equities!R154C6</stp>
        <tr r="F154" s="2"/>
      </tp>
      <tp>
        <v>969</v>
        <stp/>
        <stp>##V3_BDPV12</stp>
        <stp>SMSN.LI Equity</stp>
        <stp>PX_LAST</stp>
        <stp>[DPM - Securities Master List (BBG Linked).xlsx]Equities!R243C17</stp>
        <tr r="Q243" s="2"/>
      </tp>
      <tp t="s">
        <v>Consumer Discretionary</v>
        <stp/>
        <stp>##V3_BDPV12</stp>
        <stp>KER FP Equity</stp>
        <stp>DX202</stp>
        <stp>[DPM - Securities Master List (BBG Linked).xlsx]Equities!R151C46</stp>
        <tr r="AT151" s="2"/>
        <tr r="AT151" s="2"/>
        <tr r="AT151" s="2"/>
      </tp>
      <tp t="s">
        <v>Consumer Discretionary</v>
        <stp/>
        <stp>##V3_BDPV12</stp>
        <stp>KER FP Equity</stp>
        <stp>DX202</stp>
        <stp>[DPM - Securities Master List (BBG Linked).xlsx]Equities!R150C46</stp>
        <tr r="AT150" s="2"/>
        <tr r="AT150" s="2"/>
        <tr r="AT150" s="2"/>
      </tp>
      <tp t="s">
        <v>Consumer Discretionary</v>
        <stp/>
        <stp>##V3_BDPV12</stp>
        <stp>KER FP Equity</stp>
        <stp>DX202</stp>
        <stp>[DPM - Securities Master List (BBG Linked).xlsx]Equities!R153C46</stp>
        <tr r="AT153" s="2"/>
        <tr r="AT153" s="2"/>
        <tr r="AT153" s="2"/>
      </tp>
      <tp t="s">
        <v>Consumer Discretionary</v>
        <stp/>
        <stp>##V3_BDPV12</stp>
        <stp>KER FP Equity</stp>
        <stp>DX202</stp>
        <stp>[DPM - Securities Master List (BBG Linked).xlsx]Equities!R152C46</stp>
        <tr r="AT152" s="2"/>
        <tr r="AT152" s="2"/>
        <tr r="AT152" s="2"/>
      </tp>
      <tp t="s">
        <v>Consumer Discretionary</v>
        <stp/>
        <stp>##V3_BDPV12</stp>
        <stp>KER FP Equity</stp>
        <stp>DX202</stp>
        <stp>[DPM - Securities Master List (BBG Linked).xlsx]Equities!R149C46</stp>
        <tr r="AT149" s="2"/>
        <tr r="AT149" s="2"/>
        <tr r="AT149" s="2"/>
      </tp>
      <tp>
        <v>4.7649436493017294</v>
        <stp/>
        <stp>##V3_BDPV12</stp>
        <stp>TGT US Equity</stp>
        <stp>DV013</stp>
        <stp>[DPM - Securities Master List (BBG Linked).xlsx]Equities!R261C10</stp>
        <tr r="J261" s="2"/>
      </tp>
      <tp>
        <v>10.119470455279302</v>
        <stp/>
        <stp>##V3_BDPV12</stp>
        <stp>TGT US Equity</stp>
        <stp>EE010</stp>
        <stp>[DPM - Securities Master List (BBG Linked).xlsx]Equities!R261C12</stp>
        <tr r="L261" s="2"/>
        <tr r="L261" s="2"/>
        <tr r="L261" s="2"/>
      </tp>
      <tp>
        <v>2.8235294818878174</v>
        <stp/>
        <stp>##V3_BDPV12</stp>
        <stp>KER FP Equity</stp>
        <stp>EE201</stp>
        <stp>[DPM - Securities Master List (BBG Linked).xlsx]Equities!R151C37</stp>
        <tr r="AK151" s="2"/>
        <tr r="AK151" s="2"/>
        <tr r="AK151" s="2"/>
      </tp>
      <tp>
        <v>2.8235294818878174</v>
        <stp/>
        <stp>##V3_BDPV12</stp>
        <stp>KER FP Equity</stp>
        <stp>EE201</stp>
        <stp>[DPM - Securities Master List (BBG Linked).xlsx]Equities!R150C37</stp>
        <tr r="AK150" s="2"/>
        <tr r="AK150" s="2"/>
        <tr r="AK150" s="2"/>
      </tp>
      <tp>
        <v>2.8235294818878174</v>
        <stp/>
        <stp>##V3_BDPV12</stp>
        <stp>KER FP Equity</stp>
        <stp>EE201</stp>
        <stp>[DPM - Securities Master List (BBG Linked).xlsx]Equities!R153C37</stp>
        <tr r="AK153" s="2"/>
        <tr r="AK153" s="2"/>
        <tr r="AK153" s="2"/>
      </tp>
      <tp>
        <v>2.8235294818878174</v>
        <stp/>
        <stp>##V3_BDPV12</stp>
        <stp>KER FP Equity</stp>
        <stp>EE201</stp>
        <stp>[DPM - Securities Master List (BBG Linked).xlsx]Equities!R152C37</stp>
        <tr r="AK152" s="2"/>
        <tr r="AK152" s="2"/>
        <tr r="AK152" s="2"/>
      </tp>
      <tp>
        <v>2.8235294818878174</v>
        <stp/>
        <stp>##V3_BDPV12</stp>
        <stp>KER FP Equity</stp>
        <stp>EE201</stp>
        <stp>[DPM - Securities Master List (BBG Linked).xlsx]Equities!R149C37</stp>
        <tr r="AK149" s="2"/>
        <tr r="AK149" s="2"/>
        <tr r="AK149" s="2"/>
      </tp>
      <tp t="s">
        <v>#N/A Invalid Field</v>
        <stp/>
        <stp>##V3_BDPV12</stp>
        <stp>9888 HK Equity</stp>
        <stp/>
        <stp>[DPM - Securities Master List (BBG Linked).xlsx]Equities!R25C29</stp>
        <tr r="AC25" s="2"/>
        <tr r="AC25" s="2"/>
      </tp>
      <tp t="s">
        <v>#N/A Invalid Field</v>
        <stp/>
        <stp>##V3_BDPV12</stp>
        <stp>9888 HK Equity</stp>
        <stp/>
        <stp>[DPM - Securities Master List (BBG Linked).xlsx]Equities!R24C29</stp>
        <tr r="AC24" s="2"/>
        <tr r="AC24" s="2"/>
      </tp>
      <tp t="s">
        <v>#N/A Invalid Field</v>
        <stp/>
        <stp>##V3_BDPV12</stp>
        <stp>9888 HK Equity</stp>
        <stp/>
        <stp>[DPM - Securities Master List (BBG Linked).xlsx]Equities!R27C29</stp>
        <tr r="AC27" s="2"/>
        <tr r="AC27" s="2"/>
      </tp>
      <tp t="s">
        <v>#N/A Invalid Field</v>
        <stp/>
        <stp>##V3_BDPV12</stp>
        <stp>9888 HK Equity</stp>
        <stp/>
        <stp>[DPM - Securities Master List (BBG Linked).xlsx]Equities!R26C29</stp>
        <tr r="AC26" s="2"/>
        <tr r="AC26" s="2"/>
      </tp>
      <tp t="s">
        <v>#N/A Invalid Field</v>
        <stp/>
        <stp>##V3_BDPV12</stp>
        <stp>9888 HK Equity</stp>
        <stp/>
        <stp>[DPM - Securities Master List (BBG Linked).xlsx]Equities!R21C29</stp>
        <tr r="AC21" s="2"/>
        <tr r="AC21" s="2"/>
      </tp>
      <tp t="s">
        <v>#N/A Invalid Field</v>
        <stp/>
        <stp>##V3_BDPV12</stp>
        <stp>9888 HK Equity</stp>
        <stp/>
        <stp>[DPM - Securities Master List (BBG Linked).xlsx]Equities!R20C29</stp>
        <tr r="AC20" s="2"/>
        <tr r="AC20" s="2"/>
      </tp>
      <tp t="s">
        <v>#N/A Invalid Field</v>
        <stp/>
        <stp>##V3_BDPV12</stp>
        <stp>9888 HK Equity</stp>
        <stp/>
        <stp>[DPM - Securities Master List (BBG Linked).xlsx]Equities!R23C29</stp>
        <tr r="AC23" s="2"/>
        <tr r="AC23" s="2"/>
      </tp>
      <tp t="s">
        <v>#N/A Invalid Field</v>
        <stp/>
        <stp>##V3_BDPV12</stp>
        <stp>9888 HK Equity</stp>
        <stp/>
        <stp>[DPM - Securities Master List (BBG Linked).xlsx]Equities!R22C29</stp>
        <tr r="AC22" s="2"/>
        <tr r="AC22" s="2"/>
      </tp>
      <tp t="s">
        <v>#N/A Invalid Field</v>
        <stp/>
        <stp>##V3_BDPV12</stp>
        <stp>9888 HK Equity</stp>
        <stp/>
        <stp>[DPM - Securities Master List (BBG Linked).xlsx]Equities!R19C29</stp>
        <tr r="AC19" s="2"/>
        <tr r="AC19" s="2"/>
      </tp>
      <tp t="s">
        <v>#N/A Invalid Field</v>
        <stp/>
        <stp>##V3_BDPV12</stp>
        <stp>9888 HK Equity</stp>
        <stp/>
        <stp>[DPM - Securities Master List (BBG Linked).xlsx]Equities!R18C29</stp>
        <tr r="AC18" s="2"/>
        <tr r="AC18" s="2"/>
      </tp>
      <tp t="s">
        <v>#N/A Invalid Field</v>
        <stp/>
        <stp>##V3_BDPV12</stp>
        <stp>9888 HK Equity</stp>
        <stp/>
        <stp>[DPM - Securities Master List (BBG Linked).xlsx]Equities!R15C29</stp>
        <tr r="AC15" s="2"/>
        <tr r="AC15" s="2"/>
      </tp>
      <tp t="s">
        <v>#N/A Invalid Field</v>
        <stp/>
        <stp>##V3_BDPV12</stp>
        <stp>9888 HK Equity</stp>
        <stp/>
        <stp>[DPM - Securities Master List (BBG Linked).xlsx]Equities!R17C29</stp>
        <tr r="AC17" s="2"/>
        <tr r="AC17" s="2"/>
      </tp>
      <tp t="s">
        <v>#N/A Invalid Field</v>
        <stp/>
        <stp>##V3_BDPV12</stp>
        <stp>9888 HK Equity</stp>
        <stp/>
        <stp>[DPM - Securities Master List (BBG Linked).xlsx]Equities!R16C29</stp>
        <tr r="AC16" s="2"/>
        <tr r="AC16" s="2"/>
      </tp>
      <tp>
        <v>30.17963623428534</v>
        <stp/>
        <stp>##V3_BDPV12</stp>
        <stp>ZBH US Equity</stp>
        <stp>RR041</stp>
        <stp>[DPM - Securities Master List (BBG Linked).xlsx]Equities!R301C33</stp>
        <tr r="AG301" s="2"/>
        <tr r="AG301" s="2"/>
        <tr r="AG301" s="2"/>
      </tp>
      <tp>
        <v>30.17963623428534</v>
        <stp/>
        <stp>##V3_BDPV12</stp>
        <stp>ZBH US Equity</stp>
        <stp>RR041</stp>
        <stp>[DPM - Securities Master List (BBG Linked).xlsx]Equities!R300C33</stp>
        <tr r="AG300" s="2"/>
        <tr r="AG300" s="2"/>
        <tr r="AG300" s="2"/>
      </tp>
      <tp>
        <v>30.17963623428534</v>
        <stp/>
        <stp>##V3_BDPV12</stp>
        <stp>ZBH US Equity</stp>
        <stp>RR041</stp>
        <stp>[DPM - Securities Master List (BBG Linked).xlsx]Equities!R302C33</stp>
        <tr r="AG302" s="2"/>
        <tr r="AG302" s="2"/>
        <tr r="AG302" s="2"/>
      </tp>
      <tp t="s">
        <v>Equity</v>
        <stp/>
        <stp>##V3_BDPV12</stp>
        <stp>MDT US Equity</stp>
        <stp>EX028</stp>
        <stp>[DPM - Securities Master List (BBG Linked).xlsx]Equities!R155C30</stp>
        <tr r="AD155" s="2"/>
        <tr r="AD155" s="2"/>
        <tr r="AD155" s="2"/>
      </tp>
      <tp>
        <v>30.17963623428534</v>
        <stp/>
        <stp>##V3_BDPV12</stp>
        <stp>ZBH US Equity</stp>
        <stp>RR041</stp>
        <stp>[DPM - Securities Master List (BBG Linked).xlsx]Equities!R299C33</stp>
        <tr r="AG299" s="2"/>
        <tr r="AG299" s="2"/>
        <tr r="AG299" s="2"/>
      </tp>
      <tp>
        <v>30.17963623428534</v>
        <stp/>
        <stp>##V3_BDPV12</stp>
        <stp>ZBH US Equity</stp>
        <stp>RR041</stp>
        <stp>[DPM - Securities Master List (BBG Linked).xlsx]Equities!R298C33</stp>
        <tr r="AG298" s="2"/>
        <tr r="AG298" s="2"/>
        <tr r="AG298" s="2"/>
      </tp>
      <tp>
        <v>30.17963623428534</v>
        <stp/>
        <stp>##V3_BDPV12</stp>
        <stp>ZBH US Equity</stp>
        <stp>RR041</stp>
        <stp>[DPM - Securities Master List (BBG Linked).xlsx]Equities!R295C33</stp>
        <tr r="AG295" s="2"/>
        <tr r="AG295" s="2"/>
        <tr r="AG295" s="2"/>
      </tp>
      <tp>
        <v>30.17963623428534</v>
        <stp/>
        <stp>##V3_BDPV12</stp>
        <stp>ZBH US Equity</stp>
        <stp>RR041</stp>
        <stp>[DPM - Securities Master List (BBG Linked).xlsx]Equities!R294C33</stp>
        <tr r="AG294" s="2"/>
        <tr r="AG294" s="2"/>
        <tr r="AG294" s="2"/>
      </tp>
      <tp>
        <v>30.17963623428534</v>
        <stp/>
        <stp>##V3_BDPV12</stp>
        <stp>ZBH US Equity</stp>
        <stp>RR041</stp>
        <stp>[DPM - Securities Master List (BBG Linked).xlsx]Equities!R297C33</stp>
        <tr r="AG297" s="2"/>
        <tr r="AG297" s="2"/>
        <tr r="AG297" s="2"/>
      </tp>
      <tp>
        <v>30.17963623428534</v>
        <stp/>
        <stp>##V3_BDPV12</stp>
        <stp>ZBH US Equity</stp>
        <stp>RR041</stp>
        <stp>[DPM - Securities Master List (BBG Linked).xlsx]Equities!R296C33</stp>
        <tr r="AG296" s="2"/>
        <tr r="AG296" s="2"/>
        <tr r="AG296" s="2"/>
      </tp>
      <tp t="s">
        <v>FR0000121485</v>
        <stp/>
        <stp>##V3_BDPV12</stp>
        <stp>KER FP Equity</stp>
        <stp>ID005</stp>
        <stp>[DPM - Securities Master List (BBG Linked).xlsx]Equities!R149C55</stp>
        <tr r="BC149" s="2"/>
      </tp>
      <tp t="s">
        <v>FR0000121485</v>
        <stp/>
        <stp>##V3_BDPV12</stp>
        <stp>KER FP Equity</stp>
        <stp>ID005</stp>
        <stp>[DPM - Securities Master List (BBG Linked).xlsx]Equities!R152C55</stp>
        <tr r="BC152" s="2"/>
      </tp>
      <tp t="s">
        <v>FR0000121485</v>
        <stp/>
        <stp>##V3_BDPV12</stp>
        <stp>KER FP Equity</stp>
        <stp>ID005</stp>
        <stp>[DPM - Securities Master List (BBG Linked).xlsx]Equities!R151C55</stp>
        <tr r="BC151" s="2"/>
      </tp>
      <tp t="s">
        <v>FR0000121485</v>
        <stp/>
        <stp>##V3_BDPV12</stp>
        <stp>KER FP Equity</stp>
        <stp>ID005</stp>
        <stp>[DPM - Securities Master List (BBG Linked).xlsx]Equities!R150C55</stp>
        <tr r="BC150" s="2"/>
      </tp>
      <tp>
        <v>16.076594083302275</v>
        <stp/>
        <stp>##V3_BDPV12</stp>
        <stp>NEM AT Equity</stp>
        <stp>RR041</stp>
        <stp>[DPM - Securities Master List (BBG Linked).xlsx]Equities!R189C33</stp>
        <tr r="AG189" s="2"/>
        <tr r="AG189" s="2"/>
        <tr r="AG189" s="2"/>
      </tp>
      <tp>
        <v>16.076594083302275</v>
        <stp/>
        <stp>##V3_BDPV12</stp>
        <stp>NEM AT Equity</stp>
        <stp>RR041</stp>
        <stp>[DPM - Securities Master List (BBG Linked).xlsx]Equities!R191C33</stp>
        <tr r="AG191" s="2"/>
        <tr r="AG191" s="2"/>
        <tr r="AG191" s="2"/>
      </tp>
      <tp>
        <v>16.076594083302275</v>
        <stp/>
        <stp>##V3_BDPV12</stp>
        <stp>NEM AT Equity</stp>
        <stp>RR041</stp>
        <stp>[DPM - Securities Master List (BBG Linked).xlsx]Equities!R190C33</stp>
        <tr r="AG190" s="2"/>
        <tr r="AG190" s="2"/>
        <tr r="AG190" s="2"/>
      </tp>
      <tp>
        <v>16.076594083302275</v>
        <stp/>
        <stp>##V3_BDPV12</stp>
        <stp>NEM AT Equity</stp>
        <stp>RR041</stp>
        <stp>[DPM - Securities Master List (BBG Linked).xlsx]Equities!R192C33</stp>
        <tr r="AG192" s="2"/>
        <tr r="AG192" s="2"/>
        <tr r="AG192" s="2"/>
      </tp>
      <tp t="s">
        <v>Y</v>
        <stp/>
        <stp>##V3_BDPV12</stp>
        <stp>DRX LN Equity</stp>
        <stp>DY997</stp>
        <stp>[DPM - Securities Master List (BBG Linked).xlsx]Equities!R124C47</stp>
        <tr r="AU124" s="2"/>
        <tr r="AU124" s="2"/>
        <tr r="AU124" s="2"/>
      </tp>
      <tp t="s">
        <v>Y</v>
        <stp/>
        <stp>##V3_BDPV12</stp>
        <stp>DRX LN Equity</stp>
        <stp>DY997</stp>
        <stp>[DPM - Securities Master List (BBG Linked).xlsx]Equities!R123C47</stp>
        <tr r="AU123" s="2"/>
        <tr r="AU123" s="2"/>
        <tr r="AU123" s="2"/>
      </tp>
      <tp t="s">
        <v>Y</v>
        <stp/>
        <stp>##V3_BDPV12</stp>
        <stp>DRX LN Equity</stp>
        <stp>DY997</stp>
        <stp>[DPM - Securities Master List (BBG Linked).xlsx]Equities!R122C47</stp>
        <tr r="AU122" s="2"/>
        <tr r="AU122" s="2"/>
        <tr r="AU122" s="2"/>
      </tp>
      <tp t="s">
        <v>Y</v>
        <stp/>
        <stp>##V3_BDPV12</stp>
        <stp>DRX LN Equity</stp>
        <stp>DY997</stp>
        <stp>[DPM - Securities Master List (BBG Linked).xlsx]Equities!R121C47</stp>
        <tr r="AU121" s="2"/>
        <tr r="AU121" s="2"/>
        <tr r="AU121" s="2"/>
      </tp>
      <tp t="s">
        <v>Y</v>
        <stp/>
        <stp>##V3_BDPV12</stp>
        <stp>DRX LN Equity</stp>
        <stp>DY997</stp>
        <stp>[DPM - Securities Master List (BBG Linked).xlsx]Equities!R120C47</stp>
        <tr r="AU120" s="2"/>
        <tr r="AU120" s="2"/>
        <tr r="AU120" s="2"/>
      </tp>
      <tp t="s">
        <v>Y</v>
        <stp/>
        <stp>##V3_BDPV12</stp>
        <stp>DRX LN Equity</stp>
        <stp>DY997</stp>
        <stp>[DPM - Securities Master List (BBG Linked).xlsx]Equities!R117C47</stp>
        <tr r="AU117" s="2"/>
        <tr r="AU117" s="2"/>
        <tr r="AU117" s="2"/>
      </tp>
      <tp t="s">
        <v>Y</v>
        <stp/>
        <stp>##V3_BDPV12</stp>
        <stp>DRX LN Equity</stp>
        <stp>DY997</stp>
        <stp>[DPM - Securities Master List (BBG Linked).xlsx]Equities!R116C47</stp>
        <tr r="AU116" s="2"/>
        <tr r="AU116" s="2"/>
        <tr r="AU116" s="2"/>
      </tp>
      <tp t="s">
        <v>Y</v>
        <stp/>
        <stp>##V3_BDPV12</stp>
        <stp>DRX LN Equity</stp>
        <stp>DY997</stp>
        <stp>[DPM - Securities Master List (BBG Linked).xlsx]Equities!R119C47</stp>
        <tr r="AU119" s="2"/>
        <tr r="AU119" s="2"/>
        <tr r="AU119" s="2"/>
      </tp>
      <tp t="s">
        <v>Y</v>
        <stp/>
        <stp>##V3_BDPV12</stp>
        <stp>DRX LN Equity</stp>
        <stp>DY997</stp>
        <stp>[DPM - Securities Master List (BBG Linked).xlsx]Equities!R118C47</stp>
        <tr r="AU118" s="2"/>
        <tr r="AU118" s="2"/>
        <tr r="AU118" s="2"/>
      </tp>
      <tp>
        <v>8</v>
        <stp/>
        <stp>##V3_BDPV12</stp>
        <stp>TTE FP Equity</stp>
        <stp>TOT_HOLD_REC</stp>
        <stp>[DPM - Securities Master List (BBG Linked).xlsx]Equities!R278C35</stp>
        <tr r="AI278" s="2"/>
      </tp>
      <tp>
        <v>8</v>
        <stp/>
        <stp>##V3_BDPV12</stp>
        <stp>TTE FP Equity</stp>
        <stp>TOT_HOLD_REC</stp>
        <stp>[DPM - Securities Master List (BBG Linked).xlsx]Equities!R279C35</stp>
        <tr r="AI279" s="2"/>
      </tp>
      <tp>
        <v>8</v>
        <stp/>
        <stp>##V3_BDPV12</stp>
        <stp>TTE FP Equity</stp>
        <stp>TOT_HOLD_REC</stp>
        <stp>[DPM - Securities Master List (BBG Linked).xlsx]Equities!R276C35</stp>
        <tr r="AI276" s="2"/>
      </tp>
      <tp>
        <v>8</v>
        <stp/>
        <stp>##V3_BDPV12</stp>
        <stp>TTE FP Equity</stp>
        <stp>TOT_HOLD_REC</stp>
        <stp>[DPM - Securities Master List (BBG Linked).xlsx]Equities!R277C35</stp>
        <tr r="AI277" s="2"/>
      </tp>
      <tp>
        <v>8</v>
        <stp/>
        <stp>##V3_BDPV12</stp>
        <stp>TTE FP Equity</stp>
        <stp>TOT_HOLD_REC</stp>
        <stp>[DPM - Securities Master List (BBG Linked).xlsx]Equities!R288C35</stp>
        <tr r="AI288" s="2"/>
      </tp>
      <tp>
        <v>8</v>
        <stp/>
        <stp>##V3_BDPV12</stp>
        <stp>TTE FP Equity</stp>
        <stp>TOT_HOLD_REC</stp>
        <stp>[DPM - Securities Master List (BBG Linked).xlsx]Equities!R286C35</stp>
        <tr r="AI286" s="2"/>
      </tp>
      <tp>
        <v>8</v>
        <stp/>
        <stp>##V3_BDPV12</stp>
        <stp>TTE FP Equity</stp>
        <stp>TOT_HOLD_REC</stp>
        <stp>[DPM - Securities Master List (BBG Linked).xlsx]Equities!R287C35</stp>
        <tr r="AI287" s="2"/>
      </tp>
      <tp>
        <v>8</v>
        <stp/>
        <stp>##V3_BDPV12</stp>
        <stp>TTE FP Equity</stp>
        <stp>TOT_HOLD_REC</stp>
        <stp>[DPM - Securities Master List (BBG Linked).xlsx]Equities!R284C35</stp>
        <tr r="AI284" s="2"/>
      </tp>
      <tp>
        <v>8</v>
        <stp/>
        <stp>##V3_BDPV12</stp>
        <stp>TTE FP Equity</stp>
        <stp>TOT_HOLD_REC</stp>
        <stp>[DPM - Securities Master List (BBG Linked).xlsx]Equities!R285C35</stp>
        <tr r="AI285" s="2"/>
      </tp>
      <tp>
        <v>8</v>
        <stp/>
        <stp>##V3_BDPV12</stp>
        <stp>TTE FP Equity</stp>
        <stp>TOT_HOLD_REC</stp>
        <stp>[DPM - Securities Master List (BBG Linked).xlsx]Equities!R282C35</stp>
        <tr r="AI282" s="2"/>
      </tp>
      <tp>
        <v>8</v>
        <stp/>
        <stp>##V3_BDPV12</stp>
        <stp>TTE FP Equity</stp>
        <stp>TOT_HOLD_REC</stp>
        <stp>[DPM - Securities Master List (BBG Linked).xlsx]Equities!R283C35</stp>
        <tr r="AI283" s="2"/>
      </tp>
      <tp>
        <v>8</v>
        <stp/>
        <stp>##V3_BDPV12</stp>
        <stp>TTE FP Equity</stp>
        <stp>TOT_HOLD_REC</stp>
        <stp>[DPM - Securities Master List (BBG Linked).xlsx]Equities!R280C35</stp>
        <tr r="AI280" s="2"/>
      </tp>
      <tp>
        <v>8</v>
        <stp/>
        <stp>##V3_BDPV12</stp>
        <stp>TTE FP Equity</stp>
        <stp>TOT_HOLD_REC</stp>
        <stp>[DPM - Securities Master List (BBG Linked).xlsx]Equities!R281C35</stp>
        <tr r="AI281" s="2"/>
      </tp>
      <tp>
        <v>18.956445136130355</v>
        <stp/>
        <stp>##V3_BDPV12</stp>
        <stp>KER FP Equity</stp>
        <stp>RR900</stp>
        <stp>[DPM - Securities Master List (BBG Linked).xlsx]Equities!R149C11</stp>
        <tr r="K149" s="2"/>
        <tr r="K149" s="2"/>
        <tr r="K149" s="2"/>
      </tp>
      <tp>
        <v>18.956445136130355</v>
        <stp/>
        <stp>##V3_BDPV12</stp>
        <stp>KER FP Equity</stp>
        <stp>RR900</stp>
        <stp>[DPM - Securities Master List (BBG Linked).xlsx]Equities!R152C11</stp>
        <tr r="K152" s="2"/>
        <tr r="K152" s="2"/>
        <tr r="K152" s="2"/>
      </tp>
      <tp>
        <v>18.956445136130355</v>
        <stp/>
        <stp>##V3_BDPV12</stp>
        <stp>KER FP Equity</stp>
        <stp>RR900</stp>
        <stp>[DPM - Securities Master List (BBG Linked).xlsx]Equities!R153C11</stp>
        <tr r="K153" s="2"/>
        <tr r="K153" s="2"/>
        <tr r="K153" s="2"/>
      </tp>
      <tp>
        <v>18.956445136130355</v>
        <stp/>
        <stp>##V3_BDPV12</stp>
        <stp>KER FP Equity</stp>
        <stp>RR900</stp>
        <stp>[DPM - Securities Master List (BBG Linked).xlsx]Equities!R150C11</stp>
        <tr r="K150" s="2"/>
        <tr r="K150" s="2"/>
        <tr r="K150" s="2"/>
      </tp>
      <tp>
        <v>18.956445136130355</v>
        <stp/>
        <stp>##V3_BDPV12</stp>
        <stp>KER FP Equity</stp>
        <stp>RR900</stp>
        <stp>[DPM - Securities Master List (BBG Linked).xlsx]Equities!R151C11</stp>
        <tr r="K151" s="2"/>
        <tr r="K151" s="2"/>
        <tr r="K151" s="2"/>
      </tp>
      <tp t="s">
        <v>N</v>
        <stp/>
        <stp>##V3_BDPV12</stp>
        <stp>SSE LN Equity</stp>
        <stp>DY784</stp>
        <stp>[DPM - Securities Master List (BBG Linked).xlsx]Equities!R248C48</stp>
        <tr r="AV248" s="2"/>
        <tr r="AV248" s="2"/>
        <tr r="AV248" s="2"/>
      </tp>
      <tp t="s">
        <v>N</v>
        <stp/>
        <stp>##V3_BDPV12</stp>
        <stp>SSE LN Equity</stp>
        <stp>DY784</stp>
        <stp>[DPM - Securities Master List (BBG Linked).xlsx]Equities!R249C48</stp>
        <tr r="AV249" s="2"/>
        <tr r="AV249" s="2"/>
        <tr r="AV249" s="2"/>
      </tp>
      <tp t="s">
        <v>N</v>
        <stp/>
        <stp>##V3_BDPV12</stp>
        <stp>SSE LN Equity</stp>
        <stp>DY784</stp>
        <stp>[DPM - Securities Master List (BBG Linked).xlsx]Equities!R246C48</stp>
        <tr r="AV246" s="2"/>
        <tr r="AV246" s="2"/>
        <tr r="AV246" s="2"/>
      </tp>
      <tp t="s">
        <v>N</v>
        <stp/>
        <stp>##V3_BDPV12</stp>
        <stp>SSE LN Equity</stp>
        <stp>DY784</stp>
        <stp>[DPM - Securities Master List (BBG Linked).xlsx]Equities!R247C48</stp>
        <tr r="AV247" s="2"/>
        <tr r="AV247" s="2"/>
        <tr r="AV247" s="2"/>
      </tp>
      <tp t="s">
        <v>N</v>
        <stp/>
        <stp>##V3_BDPV12</stp>
        <stp>SSE LN Equity</stp>
        <stp>DY784</stp>
        <stp>[DPM - Securities Master List (BBG Linked).xlsx]Equities!R244C48</stp>
        <tr r="AV244" s="2"/>
        <tr r="AV244" s="2"/>
        <tr r="AV244" s="2"/>
      </tp>
      <tp t="s">
        <v>N</v>
        <stp/>
        <stp>##V3_BDPV12</stp>
        <stp>SSE LN Equity</stp>
        <stp>DY784</stp>
        <stp>[DPM - Securities Master List (BBG Linked).xlsx]Equities!R245C48</stp>
        <tr r="AV245" s="2"/>
        <tr r="AV245" s="2"/>
        <tr r="AV245" s="2"/>
      </tp>
      <tp>
        <v>1.4407179574067273</v>
        <stp/>
        <stp>##V3_BDPV12</stp>
        <stp>KER FP Equity</stp>
        <stp>RR903</stp>
        <stp>[DPM - Securities Master List (BBG Linked).xlsx]Equities!R149C13</stp>
        <tr r="M149" s="2"/>
        <tr r="M149" s="2"/>
        <tr r="M149" s="2"/>
      </tp>
      <tp t="s">
        <v>N</v>
        <stp/>
        <stp>##V3_BDPV12</stp>
        <stp>SSE LN Equity</stp>
        <stp>DY784</stp>
        <stp>[DPM - Securities Master List (BBG Linked).xlsx]Equities!R258C48</stp>
        <tr r="AV258" s="2"/>
        <tr r="AV258" s="2"/>
        <tr r="AV258" s="2"/>
      </tp>
      <tp t="s">
        <v>N</v>
        <stp/>
        <stp>##V3_BDPV12</stp>
        <stp>SSE LN Equity</stp>
        <stp>DY784</stp>
        <stp>[DPM - Securities Master List (BBG Linked).xlsx]Equities!R256C48</stp>
        <tr r="AV256" s="2"/>
        <tr r="AV256" s="2"/>
        <tr r="AV256" s="2"/>
      </tp>
      <tp t="s">
        <v>N</v>
        <stp/>
        <stp>##V3_BDPV12</stp>
        <stp>SSE LN Equity</stp>
        <stp>DY784</stp>
        <stp>[DPM - Securities Master List (BBG Linked).xlsx]Equities!R257C48</stp>
        <tr r="AV257" s="2"/>
        <tr r="AV257" s="2"/>
        <tr r="AV257" s="2"/>
      </tp>
      <tp t="s">
        <v>N</v>
        <stp/>
        <stp>##V3_BDPV12</stp>
        <stp>SSE LN Equity</stp>
        <stp>DY784</stp>
        <stp>[DPM - Securities Master List (BBG Linked).xlsx]Equities!R254C48</stp>
        <tr r="AV254" s="2"/>
        <tr r="AV254" s="2"/>
        <tr r="AV254" s="2"/>
      </tp>
      <tp t="s">
        <v>N</v>
        <stp/>
        <stp>##V3_BDPV12</stp>
        <stp>SSE LN Equity</stp>
        <stp>DY784</stp>
        <stp>[DPM - Securities Master List (BBG Linked).xlsx]Equities!R255C48</stp>
        <tr r="AV255" s="2"/>
        <tr r="AV255" s="2"/>
        <tr r="AV255" s="2"/>
      </tp>
      <tp t="s">
        <v>N</v>
        <stp/>
        <stp>##V3_BDPV12</stp>
        <stp>SSE LN Equity</stp>
        <stp>DY784</stp>
        <stp>[DPM - Securities Master List (BBG Linked).xlsx]Equities!R252C48</stp>
        <tr r="AV252" s="2"/>
        <tr r="AV252" s="2"/>
        <tr r="AV252" s="2"/>
      </tp>
      <tp t="s">
        <v>N</v>
        <stp/>
        <stp>##V3_BDPV12</stp>
        <stp>SSE LN Equity</stp>
        <stp>DY784</stp>
        <stp>[DPM - Securities Master List (BBG Linked).xlsx]Equities!R253C48</stp>
        <tr r="AV253" s="2"/>
        <tr r="AV253" s="2"/>
        <tr r="AV253" s="2"/>
      </tp>
      <tp t="s">
        <v>N</v>
        <stp/>
        <stp>##V3_BDPV12</stp>
        <stp>SSE LN Equity</stp>
        <stp>DY784</stp>
        <stp>[DPM - Securities Master List (BBG Linked).xlsx]Equities!R250C48</stp>
        <tr r="AV250" s="2"/>
        <tr r="AV250" s="2"/>
        <tr r="AV250" s="2"/>
      </tp>
      <tp t="s">
        <v>N</v>
        <stp/>
        <stp>##V3_BDPV12</stp>
        <stp>SSE LN Equity</stp>
        <stp>DY784</stp>
        <stp>[DPM - Securities Master List (BBG Linked).xlsx]Equities!R251C48</stp>
        <tr r="AV251" s="2"/>
        <tr r="AV251" s="2"/>
        <tr r="AV251" s="2"/>
      </tp>
      <tp>
        <v>1.4407179574067273</v>
        <stp/>
        <stp>##V3_BDPV12</stp>
        <stp>KER FP Equity</stp>
        <stp>RR903</stp>
        <stp>[DPM - Securities Master List (BBG Linked).xlsx]Equities!R152C13</stp>
        <tr r="M152" s="2"/>
        <tr r="M152" s="2"/>
        <tr r="M152" s="2"/>
      </tp>
      <tp>
        <v>1.4407179574067273</v>
        <stp/>
        <stp>##V3_BDPV12</stp>
        <stp>KER FP Equity</stp>
        <stp>RR903</stp>
        <stp>[DPM - Securities Master List (BBG Linked).xlsx]Equities!R153C13</stp>
        <tr r="M153" s="2"/>
        <tr r="M153" s="2"/>
        <tr r="M153" s="2"/>
      </tp>
      <tp>
        <v>1.4407179574067273</v>
        <stp/>
        <stp>##V3_BDPV12</stp>
        <stp>KER FP Equity</stp>
        <stp>RR903</stp>
        <stp>[DPM - Securities Master List (BBG Linked).xlsx]Equities!R150C13</stp>
        <tr r="M150" s="2"/>
        <tr r="M150" s="2"/>
        <tr r="M150" s="2"/>
      </tp>
      <tp>
        <v>1.4407179574067273</v>
        <stp/>
        <stp>##V3_BDPV12</stp>
        <stp>KER FP Equity</stp>
        <stp>RR903</stp>
        <stp>[DPM - Securities Master List (BBG Linked).xlsx]Equities!R151C13</stp>
        <tr r="M151" s="2"/>
        <tr r="M151" s="2"/>
        <tr r="M151" s="2"/>
      </tp>
      <tp>
        <v>2</v>
        <stp/>
        <stp>##V3_BDPV12</stp>
        <stp>TTE FP Equity</stp>
        <stp>TOT_SELL_REC</stp>
        <stp>[DPM - Securities Master List (BBG Linked).xlsx]Equities!R284C36</stp>
        <tr r="AJ284" s="2"/>
      </tp>
      <tp>
        <v>2</v>
        <stp/>
        <stp>##V3_BDPV12</stp>
        <stp>TTE FP Equity</stp>
        <stp>TOT_SELL_REC</stp>
        <stp>[DPM - Securities Master List (BBG Linked).xlsx]Equities!R285C36</stp>
        <tr r="AJ285" s="2"/>
      </tp>
      <tp>
        <v>2</v>
        <stp/>
        <stp>##V3_BDPV12</stp>
        <stp>TTE FP Equity</stp>
        <stp>TOT_SELL_REC</stp>
        <stp>[DPM - Securities Master List (BBG Linked).xlsx]Equities!R286C36</stp>
        <tr r="AJ286" s="2"/>
      </tp>
      <tp>
        <v>2</v>
        <stp/>
        <stp>##V3_BDPV12</stp>
        <stp>TTE FP Equity</stp>
        <stp>TOT_SELL_REC</stp>
        <stp>[DPM - Securities Master List (BBG Linked).xlsx]Equities!R287C36</stp>
        <tr r="AJ287" s="2"/>
      </tp>
      <tp>
        <v>2</v>
        <stp/>
        <stp>##V3_BDPV12</stp>
        <stp>TTE FP Equity</stp>
        <stp>TOT_SELL_REC</stp>
        <stp>[DPM - Securities Master List (BBG Linked).xlsx]Equities!R280C36</stp>
        <tr r="AJ280" s="2"/>
      </tp>
      <tp>
        <v>2</v>
        <stp/>
        <stp>##V3_BDPV12</stp>
        <stp>TTE FP Equity</stp>
        <stp>TOT_SELL_REC</stp>
        <stp>[DPM - Securities Master List (BBG Linked).xlsx]Equities!R281C36</stp>
        <tr r="AJ281" s="2"/>
      </tp>
      <tp>
        <v>2</v>
        <stp/>
        <stp>##V3_BDPV12</stp>
        <stp>TTE FP Equity</stp>
        <stp>TOT_SELL_REC</stp>
        <stp>[DPM - Securities Master List (BBG Linked).xlsx]Equities!R282C36</stp>
        <tr r="AJ282" s="2"/>
      </tp>
      <tp>
        <v>2</v>
        <stp/>
        <stp>##V3_BDPV12</stp>
        <stp>TTE FP Equity</stp>
        <stp>TOT_SELL_REC</stp>
        <stp>[DPM - Securities Master List (BBG Linked).xlsx]Equities!R283C36</stp>
        <tr r="AJ283" s="2"/>
      </tp>
      <tp>
        <v>2</v>
        <stp/>
        <stp>##V3_BDPV12</stp>
        <stp>TTE FP Equity</stp>
        <stp>TOT_SELL_REC</stp>
        <stp>[DPM - Securities Master List (BBG Linked).xlsx]Equities!R288C36</stp>
        <tr r="AJ288" s="2"/>
      </tp>
      <tp>
        <v>2</v>
        <stp/>
        <stp>##V3_BDPV12</stp>
        <stp>TTE FP Equity</stp>
        <stp>TOT_SELL_REC</stp>
        <stp>[DPM - Securities Master List (BBG Linked).xlsx]Equities!R276C36</stp>
        <tr r="AJ276" s="2"/>
      </tp>
      <tp>
        <v>2</v>
        <stp/>
        <stp>##V3_BDPV12</stp>
        <stp>TTE FP Equity</stp>
        <stp>TOT_SELL_REC</stp>
        <stp>[DPM - Securities Master List (BBG Linked).xlsx]Equities!R277C36</stp>
        <tr r="AJ277" s="2"/>
      </tp>
      <tp>
        <v>2</v>
        <stp/>
        <stp>##V3_BDPV12</stp>
        <stp>TTE FP Equity</stp>
        <stp>TOT_SELL_REC</stp>
        <stp>[DPM - Securities Master List (BBG Linked).xlsx]Equities!R278C36</stp>
        <tr r="AJ278" s="2"/>
      </tp>
      <tp>
        <v>2</v>
        <stp/>
        <stp>##V3_BDPV12</stp>
        <stp>TTE FP Equity</stp>
        <stp>TOT_SELL_REC</stp>
        <stp>[DPM - Securities Master List (BBG Linked).xlsx]Equities!R279C36</stp>
        <tr r="AJ279" s="2"/>
      </tp>
      <tp>
        <v>5.149846501041794</v>
        <stp/>
        <stp>##V3_BDPV12</stp>
        <stp>KER FP Equity</stp>
        <stp>RR908</stp>
        <stp>[DPM - Securities Master List (BBG Linked).xlsx]Equities!R152C32</stp>
        <tr r="AF152" s="2"/>
        <tr r="AF152" s="2"/>
        <tr r="AF152" s="2"/>
      </tp>
      <tp>
        <v>5.149846501041794</v>
        <stp/>
        <stp>##V3_BDPV12</stp>
        <stp>KER FP Equity</stp>
        <stp>RR908</stp>
        <stp>[DPM - Securities Master List (BBG Linked).xlsx]Equities!R153C32</stp>
        <tr r="AF153" s="2"/>
        <tr r="AF153" s="2"/>
        <tr r="AF153" s="2"/>
      </tp>
      <tp>
        <v>5.149846501041794</v>
        <stp/>
        <stp>##V3_BDPV12</stp>
        <stp>KER FP Equity</stp>
        <stp>RR908</stp>
        <stp>[DPM - Securities Master List (BBG Linked).xlsx]Equities!R150C32</stp>
        <tr r="AF150" s="2"/>
        <tr r="AF150" s="2"/>
        <tr r="AF150" s="2"/>
      </tp>
      <tp>
        <v>5.149846501041794</v>
        <stp/>
        <stp>##V3_BDPV12</stp>
        <stp>KER FP Equity</stp>
        <stp>RR908</stp>
        <stp>[DPM - Securities Master List (BBG Linked).xlsx]Equities!R151C32</stp>
        <tr r="AF151" s="2"/>
        <tr r="AF151" s="2"/>
        <tr r="AF151" s="2"/>
      </tp>
      <tp>
        <v>5.149846501041794</v>
        <stp/>
        <stp>##V3_BDPV12</stp>
        <stp>KER FP Equity</stp>
        <stp>RR908</stp>
        <stp>[DPM - Securities Master List (BBG Linked).xlsx]Equities!R149C32</stp>
        <tr r="AF149" s="2"/>
        <tr r="AF149" s="2"/>
        <tr r="AF149" s="2"/>
      </tp>
      <tp t="s">
        <v>Y</v>
        <stp/>
        <stp>##V3_BDPV12</stp>
        <stp>GSK LN Equity</stp>
        <stp>DY784</stp>
        <stp>[DPM - Securities Master List (BBG Linked).xlsx]Equities!R142C48</stp>
        <tr r="AV142" s="2"/>
        <tr r="AV142" s="2"/>
        <tr r="AV142" s="2"/>
      </tp>
      <tp t="s">
        <v>Y</v>
        <stp/>
        <stp>##V3_BDPV12</stp>
        <stp>GSK LN Equity</stp>
        <stp>DY784</stp>
        <stp>[DPM - Securities Master List (BBG Linked).xlsx]Equities!R143C48</stp>
        <tr r="AV143" s="2"/>
        <tr r="AV143" s="2"/>
        <tr r="AV143" s="2"/>
      </tp>
      <tp t="s">
        <v>Y</v>
        <stp/>
        <stp>##V3_BDPV12</stp>
        <stp>GSK LN Equity</stp>
        <stp>DY784</stp>
        <stp>[DPM - Securities Master List (BBG Linked).xlsx]Equities!R144C48</stp>
        <tr r="AV144" s="2"/>
        <tr r="AV144" s="2"/>
        <tr r="AV144" s="2"/>
      </tp>
      <tp t="s">
        <v>Y</v>
        <stp/>
        <stp>##V3_BDPV12</stp>
        <stp>GSK LN Equity</stp>
        <stp>DY784</stp>
        <stp>[DPM - Securities Master List (BBG Linked).xlsx]Equities!R145C48</stp>
        <tr r="AV145" s="2"/>
        <tr r="AV145" s="2"/>
        <tr r="AV145" s="2"/>
      </tp>
      <tp t="s">
        <v>Nestle SA</v>
        <stp/>
        <stp>##V3_BDPV12</stp>
        <stp>NESN SW Equity</stp>
        <stp>SECURITY NAME</stp>
        <stp>[DPM - Securities Master List (BBG Linked).xlsx]Equities!R202C5</stp>
        <tr r="E202" s="2"/>
      </tp>
      <tp t="s">
        <v>Dell Technologies Inc</v>
        <stp/>
        <stp>##V3_BDPV12</stp>
        <stp>DELL US Equity</stp>
        <stp>SECURITY NAME</stp>
        <stp>[DPM - Securities Master List (BBG Linked).xlsx]Equities!R104C5</stp>
        <tr r="E104" s="2"/>
      </tp>
      <tp>
        <v>7.1722910000000004</v>
        <stp/>
        <stp>##V3_BDPV12</stp>
        <stp>XS2911679004 isin</stp>
        <stp>YAS_BOND_YLD</stp>
        <stp>[DPM - Securities Master List (BBG Linked).xlsx]Bonds!R74C10</stp>
        <stp>YAS_YLD_FLAG=15</stp>
        <stp>user_local_trade_date</stp>
        <stp>45783</stp>
        <stp>Yas_bond_px</stp>
        <stp>99.109999999999999</stp>
        <tr r="J74" s="1"/>
      </tp>
      <tp>
        <v>6.2666370000000002</v>
        <stp/>
        <stp>##V3_BDPV12</stp>
        <stp>XS2755904872 isin</stp>
        <stp>YAS_BOND_YLD</stp>
        <stp>[DPM - Securities Master List (BBG Linked).xlsx]Bonds!R62C10</stp>
        <stp>YAS_YLD_FLAG=15</stp>
        <stp>user_local_trade_date</stp>
        <stp>45783</stp>
        <stp>Yas_bond_px</stp>
        <stp>88.179000000000002</stp>
        <tr r="J62" s="1"/>
      </tp>
      <tp>
        <v>65171.354273190002</v>
        <stp/>
        <stp>##V3_BDPV12</stp>
        <stp>DELL US Equity</stp>
        <stp>CRNCY_ADJ_MKT_CAP</stp>
        <stp>[DPM - Securities Master List (BBG Linked).xlsx]Equities!R101C9</stp>
        <stp>EQY_FUND_CRNCY=USD</stp>
        <tr r="I101" s="2"/>
      </tp>
      <tp>
        <v>65171.354273190002</v>
        <stp/>
        <stp>##V3_BDPV12</stp>
        <stp>DELL US Equity</stp>
        <stp>CRNCY_ADJ_MKT_CAP</stp>
        <stp>[DPM - Securities Master List (BBG Linked).xlsx]Equities!R100C9</stp>
        <stp>EQY_FUND_CRNCY=USD</stp>
        <tr r="I100" s="2"/>
      </tp>
      <tp>
        <v>65171.354273190002</v>
        <stp/>
        <stp>##V3_BDPV12</stp>
        <stp>DELL US Equity</stp>
        <stp>CRNCY_ADJ_MKT_CAP</stp>
        <stp>[DPM - Securities Master List (BBG Linked).xlsx]Equities!R103C9</stp>
        <stp>EQY_FUND_CRNCY=USD</stp>
        <tr r="I103" s="2"/>
      </tp>
      <tp>
        <v>65171.354273190002</v>
        <stp/>
        <stp>##V3_BDPV12</stp>
        <stp>DELL US Equity</stp>
        <stp>CRNCY_ADJ_MKT_CAP</stp>
        <stp>[DPM - Securities Master List (BBG Linked).xlsx]Equities!R102C9</stp>
        <stp>EQY_FUND_CRNCY=USD</stp>
        <tr r="I102" s="2"/>
      </tp>
      <tp>
        <v>65171.354273190002</v>
        <stp/>
        <stp>##V3_BDPV12</stp>
        <stp>DELL US Equity</stp>
        <stp>CRNCY_ADJ_MKT_CAP</stp>
        <stp>[DPM - Securities Master List (BBG Linked).xlsx]Equities!R105C9</stp>
        <stp>EQY_FUND_CRNCY=USD</stp>
        <tr r="I105" s="2"/>
      </tp>
      <tp>
        <v>65171.354273190002</v>
        <stp/>
        <stp>##V3_BDPV12</stp>
        <stp>DELL US Equity</stp>
        <stp>CRNCY_ADJ_MKT_CAP</stp>
        <stp>[DPM - Securities Master List (BBG Linked).xlsx]Equities!R104C9</stp>
        <stp>EQY_FUND_CRNCY=USD</stp>
        <tr r="I104" s="2"/>
      </tp>
      <tp>
        <v>65171.354273190002</v>
        <stp/>
        <stp>##V3_BDPV12</stp>
        <stp>DELL US Equity</stp>
        <stp>CRNCY_ADJ_MKT_CAP</stp>
        <stp>[DPM - Securities Master List (BBG Linked).xlsx]Equities!R107C9</stp>
        <stp>EQY_FUND_CRNCY=USD</stp>
        <tr r="I107" s="2"/>
      </tp>
      <tp>
        <v>1</v>
        <stp/>
        <stp>##V3_BDPV12</stp>
        <stp>NVDA US Equity</stp>
        <stp>TOT_SELL_REC</stp>
        <stp>[DPM - Securities Master List (BBG Linked).xlsx]Equities!R224C36</stp>
        <tr r="AJ224" s="2"/>
      </tp>
      <tp>
        <v>9</v>
        <stp/>
        <stp>##V3_BDPV12</stp>
        <stp>NVDA US Equity</stp>
        <stp>TOT_HOLD_REC</stp>
        <stp>[DPM - Securities Master List (BBG Linked).xlsx]Equities!R224C35</stp>
        <tr r="AI224" s="2"/>
      </tp>
      <tp t="s">
        <v>Zimmer Biomet Holdings Inc</v>
        <stp/>
        <stp>##V3_BDPV12</stp>
        <stp>ZBH US Equity</stp>
        <stp>SECURITY NAME</stp>
        <stp>[DPM - Securities Master List (BBG Linked).xlsx]Equities!R299C5</stp>
        <tr r="E299" s="2"/>
      </tp>
      <tp t="s">
        <v>Newmont Corp</v>
        <stp/>
        <stp>##V3_BDPV12</stp>
        <stp>NEM AT Equity</stp>
        <stp>SECURITY NAME</stp>
        <stp>[DPM - Securities Master List (BBG Linked).xlsx]Equities!R189C5</stp>
        <tr r="E189" s="2"/>
      </tp>
      <tp t="s">
        <v>USD</v>
        <stp/>
        <stp>##V3_BDPV12</stp>
        <stp>NKE US Equity</stp>
        <stp>CRNCY</stp>
        <stp>[DPM - Securities Master List (BBG Linked).xlsx]Equities!R215C6</stp>
        <tr r="F215" s="2"/>
      </tp>
      <tp>
        <v>130.38</v>
        <stp/>
        <stp>##V3_BDPV12</stp>
        <stp>PEP US Equity</stp>
        <stp>hs002</stp>
        <stp>[DPM - Securities Master List (BBG Linked).xlsx]Equities!R233C45</stp>
        <tr r="AS233" s="2"/>
      </tp>
      <tp>
        <v>130.38</v>
        <stp/>
        <stp>##V3_BDPV12</stp>
        <stp>PEP US Equity</stp>
        <stp>hs002</stp>
        <stp>[DPM - Securities Master List (BBG Linked).xlsx]Equities!R232C45</stp>
        <tr r="AS232" s="2"/>
      </tp>
      <tp>
        <v>130.38</v>
        <stp/>
        <stp>##V3_BDPV12</stp>
        <stp>PEP US Equity</stp>
        <stp>hs002</stp>
        <stp>[DPM - Securities Master List (BBG Linked).xlsx]Equities!R231C45</stp>
        <tr r="AS231" s="2"/>
      </tp>
      <tp>
        <v>130.38</v>
        <stp/>
        <stp>##V3_BDPV12</stp>
        <stp>PEP US Equity</stp>
        <stp>hs002</stp>
        <stp>[DPM - Securities Master List (BBG Linked).xlsx]Equities!R230C45</stp>
        <tr r="AS230" s="2"/>
      </tp>
      <tp>
        <v>130.38</v>
        <stp/>
        <stp>##V3_BDPV12</stp>
        <stp>PEP US Equity</stp>
        <stp>hs002</stp>
        <stp>[DPM - Securities Master List (BBG Linked).xlsx]Equities!R236C45</stp>
        <tr r="AS236" s="2"/>
      </tp>
      <tp>
        <v>130.38</v>
        <stp/>
        <stp>##V3_BDPV12</stp>
        <stp>PEP US Equity</stp>
        <stp>hs002</stp>
        <stp>[DPM - Securities Master List (BBG Linked).xlsx]Equities!R235C45</stp>
        <tr r="AS235" s="2"/>
      </tp>
      <tp>
        <v>130.38</v>
        <stp/>
        <stp>##V3_BDPV12</stp>
        <stp>PEP US Equity</stp>
        <stp>hs002</stp>
        <stp>[DPM - Securities Master List (BBG Linked).xlsx]Equities!R234C45</stp>
        <tr r="AS234" s="2"/>
      </tp>
      <tp>
        <v>130.38</v>
        <stp/>
        <stp>##V3_BDPV12</stp>
        <stp>PEP US Equity</stp>
        <stp>hs002</stp>
        <stp>[DPM - Securities Master List (BBG Linked).xlsx]Equities!R227C45</stp>
        <tr r="AS227" s="2"/>
      </tp>
      <tp>
        <v>130.38</v>
        <stp/>
        <stp>##V3_BDPV12</stp>
        <stp>PEP US Equity</stp>
        <stp>hs002</stp>
        <stp>[DPM - Securities Master List (BBG Linked).xlsx]Equities!R229C45</stp>
        <tr r="AS229" s="2"/>
      </tp>
      <tp>
        <v>130.38</v>
        <stp/>
        <stp>##V3_BDPV12</stp>
        <stp>PEP US Equity</stp>
        <stp>hs002</stp>
        <stp>[DPM - Securities Master List (BBG Linked).xlsx]Equities!R228C45</stp>
        <tr r="AS228" s="2"/>
      </tp>
      <tp t="s">
        <v>N</v>
        <stp/>
        <stp>##V3_BDPV12</stp>
        <stp>AAL US Equity</stp>
        <stp>DY784</stp>
        <stp>[DPM - Securities Master List (BBG Linked).xlsx]Equities!R33C48</stp>
        <tr r="AV33" s="2"/>
        <tr r="AV33" s="2"/>
        <tr r="AV33" s="2"/>
      </tp>
      <tp t="s">
        <v>N</v>
        <stp/>
        <stp>##V3_BDPV12</stp>
        <stp>AAL US Equity</stp>
        <stp>DY784</stp>
        <stp>[DPM - Securities Master List (BBG Linked).xlsx]Equities!R32C48</stp>
        <tr r="AV32" s="2"/>
        <tr r="AV32" s="2"/>
        <tr r="AV32" s="2"/>
      </tp>
      <tp t="s">
        <v>N</v>
        <stp/>
        <stp>##V3_BDPV12</stp>
        <stp>AAL US Equity</stp>
        <stp>DY784</stp>
        <stp>[DPM - Securities Master List (BBG Linked).xlsx]Equities!R31C48</stp>
        <tr r="AV31" s="2"/>
        <tr r="AV31" s="2"/>
        <tr r="AV31" s="2"/>
      </tp>
      <tp t="s">
        <v>N</v>
        <stp/>
        <stp>##V3_BDPV12</stp>
        <stp>AAL US Equity</stp>
        <stp>DY784</stp>
        <stp>[DPM - Securities Master List (BBG Linked).xlsx]Equities!R30C48</stp>
        <tr r="AV30" s="2"/>
        <tr r="AV30" s="2"/>
        <tr r="AV30" s="2"/>
      </tp>
      <tp t="s">
        <v>N</v>
        <stp/>
        <stp>##V3_BDPV12</stp>
        <stp>AAL US Equity</stp>
        <stp>DY784</stp>
        <stp>[DPM - Securities Master List (BBG Linked).xlsx]Equities!R29C48</stp>
        <tr r="AV29" s="2"/>
        <tr r="AV29" s="2"/>
        <tr r="AV29" s="2"/>
      </tp>
      <tp t="s">
        <v>N</v>
        <stp/>
        <stp>##V3_BDPV12</stp>
        <stp>AAL US Equity</stp>
        <stp>DY784</stp>
        <stp>[DPM - Securities Master List (BBG Linked).xlsx]Equities!R28C48</stp>
        <tr r="AV28" s="2"/>
        <tr r="AV28" s="2"/>
        <tr r="AV28" s="2"/>
      </tp>
      <tp>
        <v>183.41</v>
        <stp/>
        <stp>##V3_BDPV12</stp>
        <stp>PEP US Equity</stp>
        <stp>hs001</stp>
        <stp>[DPM - Securities Master List (BBG Linked).xlsx]Equities!R227C44</stp>
        <tr r="AR227" s="2"/>
      </tp>
      <tp>
        <v>183.41</v>
        <stp/>
        <stp>##V3_BDPV12</stp>
        <stp>PEP US Equity</stp>
        <stp>hs001</stp>
        <stp>[DPM - Securities Master List (BBG Linked).xlsx]Equities!R229C44</stp>
        <tr r="AR229" s="2"/>
      </tp>
      <tp>
        <v>183.41</v>
        <stp/>
        <stp>##V3_BDPV12</stp>
        <stp>PEP US Equity</stp>
        <stp>hs001</stp>
        <stp>[DPM - Securities Master List (BBG Linked).xlsx]Equities!R228C44</stp>
        <tr r="AR228" s="2"/>
      </tp>
      <tp>
        <v>183.41</v>
        <stp/>
        <stp>##V3_BDPV12</stp>
        <stp>PEP US Equity</stp>
        <stp>hs001</stp>
        <stp>[DPM - Securities Master List (BBG Linked).xlsx]Equities!R233C44</stp>
        <tr r="AR233" s="2"/>
      </tp>
      <tp>
        <v>183.41</v>
        <stp/>
        <stp>##V3_BDPV12</stp>
        <stp>PEP US Equity</stp>
        <stp>hs001</stp>
        <stp>[DPM - Securities Master List (BBG Linked).xlsx]Equities!R232C44</stp>
        <tr r="AR232" s="2"/>
      </tp>
      <tp>
        <v>183.41</v>
        <stp/>
        <stp>##V3_BDPV12</stp>
        <stp>PEP US Equity</stp>
        <stp>hs001</stp>
        <stp>[DPM - Securities Master List (BBG Linked).xlsx]Equities!R231C44</stp>
        <tr r="AR231" s="2"/>
      </tp>
      <tp>
        <v>183.41</v>
        <stp/>
        <stp>##V3_BDPV12</stp>
        <stp>PEP US Equity</stp>
        <stp>hs001</stp>
        <stp>[DPM - Securities Master List (BBG Linked).xlsx]Equities!R230C44</stp>
        <tr r="AR230" s="2"/>
      </tp>
      <tp>
        <v>183.41</v>
        <stp/>
        <stp>##V3_BDPV12</stp>
        <stp>PEP US Equity</stp>
        <stp>hs001</stp>
        <stp>[DPM - Securities Master List (BBG Linked).xlsx]Equities!R236C44</stp>
        <tr r="AR236" s="2"/>
      </tp>
      <tp>
        <v>183.41</v>
        <stp/>
        <stp>##V3_BDPV12</stp>
        <stp>PEP US Equity</stp>
        <stp>hs001</stp>
        <stp>[DPM - Securities Master List (BBG Linked).xlsx]Equities!R235C44</stp>
        <tr r="AR235" s="2"/>
      </tp>
      <tp>
        <v>183.41</v>
        <stp/>
        <stp>##V3_BDPV12</stp>
        <stp>PEP US Equity</stp>
        <stp>hs001</stp>
        <stp>[DPM - Securities Master List (BBG Linked).xlsx]Equities!R234C44</stp>
        <tr r="AR234" s="2"/>
      </tp>
      <tp t="s">
        <v>GBp</v>
        <stp/>
        <stp>##V3_BDPV12</stp>
        <stp>SSE LN Equity</stp>
        <stp>CRNCY</stp>
        <stp>[DPM - Securities Master List (BBG Linked).xlsx]Equities!R251C6</stp>
        <tr r="F251" s="2"/>
      </tp>
      <tp t="s">
        <v>PepsiCo Inc</v>
        <stp/>
        <stp>##V3_BDPV12</stp>
        <stp>PEP US Equity</stp>
        <stp>SECURITY NAME</stp>
        <stp>[DPM - Securities Master List (BBG Linked).xlsx]Equities!R233C5</stp>
        <tr r="E233" s="2"/>
      </tp>
      <tp t="s">
        <v>USD</v>
        <stp/>
        <stp>##V3_BDPV12</stp>
        <stp>MRK US Equity</stp>
        <stp>CRNCY</stp>
        <stp>[DPM - Securities Master List (BBG Linked).xlsx]Equities!R166C6</stp>
        <tr r="F166" s="2"/>
      </tp>
      <tp t="s">
        <v>USD</v>
        <stp/>
        <stp>##V3_BDPV12</stp>
        <stp>NVO US Equity</stp>
        <stp>CRNCY</stp>
        <stp>[DPM - Securities Master List (BBG Linked).xlsx]Equities!R225C6</stp>
        <tr r="F225" s="2"/>
      </tp>
      <tp>
        <v>39.65401</v>
        <stp/>
        <stp>##V3_BDPV12</stp>
        <stp>NEM AT Equity</stp>
        <stp>PR079</stp>
        <stp>[DPM - Securities Master List (BBG Linked).xlsx]Equities!R189C43</stp>
        <tr r="AQ189" s="2"/>
      </tp>
      <tp>
        <v>39.65401</v>
        <stp/>
        <stp>##V3_BDPV12</stp>
        <stp>NEM AT Equity</stp>
        <stp>PR079</stp>
        <stp>[DPM - Securities Master List (BBG Linked).xlsx]Equities!R191C43</stp>
        <tr r="AQ191" s="2"/>
      </tp>
      <tp>
        <v>39.65401</v>
        <stp/>
        <stp>##V3_BDPV12</stp>
        <stp>NEM AT Equity</stp>
        <stp>PR079</stp>
        <stp>[DPM - Securities Master List (BBG Linked).xlsx]Equities!R190C43</stp>
        <tr r="AQ190" s="2"/>
      </tp>
      <tp>
        <v>39.65401</v>
        <stp/>
        <stp>##V3_BDPV12</stp>
        <stp>NEM AT Equity</stp>
        <stp>PR079</stp>
        <stp>[DPM - Securities Master List (BBG Linked).xlsx]Equities!R192C43</stp>
        <tr r="AQ192" s="2"/>
      </tp>
      <tp>
        <v>14.182799383244818</v>
        <stp/>
        <stp>##V3_BDPV12</stp>
        <stp>MDT US Equity</stp>
        <stp>EE010</stp>
        <stp>[DPM - Securities Master List (BBG Linked).xlsx]Equities!R155C12</stp>
        <tr r="L155" s="2"/>
        <tr r="L155" s="2"/>
        <tr r="L155" s="2"/>
      </tp>
      <tp t="s">
        <v>Consumer Staples</v>
        <stp/>
        <stp>##V3_BDPV12</stp>
        <stp>PEP US Equity</stp>
        <stp>DX202</stp>
        <stp>[DPM - Securities Master List (BBG Linked).xlsx]Equities!R231C46</stp>
        <tr r="AT231" s="2"/>
        <tr r="AT231" s="2"/>
        <tr r="AT231" s="2"/>
      </tp>
      <tp t="s">
        <v>Consumer Staples</v>
        <stp/>
        <stp>##V3_BDPV12</stp>
        <stp>PEP US Equity</stp>
        <stp>DX202</stp>
        <stp>[DPM - Securities Master List (BBG Linked).xlsx]Equities!R230C46</stp>
        <tr r="AT230" s="2"/>
        <tr r="AT230" s="2"/>
        <tr r="AT230" s="2"/>
      </tp>
      <tp t="s">
        <v>Consumer Staples</v>
        <stp/>
        <stp>##V3_BDPV12</stp>
        <stp>PEP US Equity</stp>
        <stp>DX202</stp>
        <stp>[DPM - Securities Master List (BBG Linked).xlsx]Equities!R233C46</stp>
        <tr r="AT233" s="2"/>
        <tr r="AT233" s="2"/>
        <tr r="AT233" s="2"/>
      </tp>
      <tp t="s">
        <v>Consumer Staples</v>
        <stp/>
        <stp>##V3_BDPV12</stp>
        <stp>PEP US Equity</stp>
        <stp>DX202</stp>
        <stp>[DPM - Securities Master List (BBG Linked).xlsx]Equities!R232C46</stp>
        <tr r="AT232" s="2"/>
        <tr r="AT232" s="2"/>
        <tr r="AT232" s="2"/>
      </tp>
      <tp t="s">
        <v>Consumer Staples</v>
        <stp/>
        <stp>##V3_BDPV12</stp>
        <stp>PEP US Equity</stp>
        <stp>DX202</stp>
        <stp>[DPM - Securities Master List (BBG Linked).xlsx]Equities!R235C46</stp>
        <tr r="AT235" s="2"/>
        <tr r="AT235" s="2"/>
        <tr r="AT235" s="2"/>
      </tp>
      <tp t="s">
        <v>Consumer Staples</v>
        <stp/>
        <stp>##V3_BDPV12</stp>
        <stp>PEP US Equity</stp>
        <stp>DX202</stp>
        <stp>[DPM - Securities Master List (BBG Linked).xlsx]Equities!R234C46</stp>
        <tr r="AT234" s="2"/>
        <tr r="AT234" s="2"/>
        <tr r="AT234" s="2"/>
      </tp>
      <tp t="s">
        <v>Consumer Staples</v>
        <stp/>
        <stp>##V3_BDPV12</stp>
        <stp>PEP US Equity</stp>
        <stp>DX202</stp>
        <stp>[DPM - Securities Master List (BBG Linked).xlsx]Equities!R236C46</stp>
        <tr r="AT236" s="2"/>
        <tr r="AT236" s="2"/>
        <tr r="AT236" s="2"/>
      </tp>
      <tp t="s">
        <v>Consumer Staples</v>
        <stp/>
        <stp>##V3_BDPV12</stp>
        <stp>PEP US Equity</stp>
        <stp>DX202</stp>
        <stp>[DPM - Securities Master List (BBG Linked).xlsx]Equities!R227C46</stp>
        <tr r="AT227" s="2"/>
        <tr r="AT227" s="2"/>
        <tr r="AT227" s="2"/>
      </tp>
      <tp t="s">
        <v>Consumer Staples</v>
        <stp/>
        <stp>##V3_BDPV12</stp>
        <stp>PEP US Equity</stp>
        <stp>DX202</stp>
        <stp>[DPM - Securities Master List (BBG Linked).xlsx]Equities!R229C46</stp>
        <tr r="AT229" s="2"/>
        <tr r="AT229" s="2"/>
        <tr r="AT229" s="2"/>
      </tp>
      <tp t="s">
        <v>Consumer Staples</v>
        <stp/>
        <stp>##V3_BDPV12</stp>
        <stp>PEP US Equity</stp>
        <stp>DX202</stp>
        <stp>[DPM - Securities Master List (BBG Linked).xlsx]Equities!R228C46</stp>
        <tr r="AT228" s="2"/>
        <tr r="AT228" s="2"/>
        <tr r="AT228" s="2"/>
      </tp>
      <tp>
        <v>3.3822551818762872</v>
        <stp/>
        <stp>##V3_BDPV12</stp>
        <stp>MDT US Equity</stp>
        <stp>DV013</stp>
        <stp>[DPM - Securities Master List (BBG Linked).xlsx]Equities!R155C10</stp>
        <tr r="J155" s="2"/>
      </tp>
      <tp>
        <v>3.538461446762085</v>
        <stp/>
        <stp>##V3_BDPV12</stp>
        <stp>PEP US Equity</stp>
        <stp>EE201</stp>
        <stp>[DPM - Securities Master List (BBG Linked).xlsx]Equities!R231C37</stp>
        <tr r="AK231" s="2"/>
        <tr r="AK231" s="2"/>
        <tr r="AK231" s="2"/>
      </tp>
      <tp>
        <v>3.538461446762085</v>
        <stp/>
        <stp>##V3_BDPV12</stp>
        <stp>PEP US Equity</stp>
        <stp>EE201</stp>
        <stp>[DPM - Securities Master List (BBG Linked).xlsx]Equities!R230C37</stp>
        <tr r="AK230" s="2"/>
        <tr r="AK230" s="2"/>
        <tr r="AK230" s="2"/>
      </tp>
      <tp>
        <v>3.538461446762085</v>
        <stp/>
        <stp>##V3_BDPV12</stp>
        <stp>PEP US Equity</stp>
        <stp>EE201</stp>
        <stp>[DPM - Securities Master List (BBG Linked).xlsx]Equities!R233C37</stp>
        <tr r="AK233" s="2"/>
        <tr r="AK233" s="2"/>
        <tr r="AK233" s="2"/>
      </tp>
      <tp>
        <v>3.538461446762085</v>
        <stp/>
        <stp>##V3_BDPV12</stp>
        <stp>PEP US Equity</stp>
        <stp>EE201</stp>
        <stp>[DPM - Securities Master List (BBG Linked).xlsx]Equities!R232C37</stp>
        <tr r="AK232" s="2"/>
        <tr r="AK232" s="2"/>
        <tr r="AK232" s="2"/>
      </tp>
      <tp>
        <v>3.538461446762085</v>
        <stp/>
        <stp>##V3_BDPV12</stp>
        <stp>PEP US Equity</stp>
        <stp>EE201</stp>
        <stp>[DPM - Securities Master List (BBG Linked).xlsx]Equities!R235C37</stp>
        <tr r="AK235" s="2"/>
        <tr r="AK235" s="2"/>
        <tr r="AK235" s="2"/>
      </tp>
      <tp>
        <v>3.538461446762085</v>
        <stp/>
        <stp>##V3_BDPV12</stp>
        <stp>PEP US Equity</stp>
        <stp>EE201</stp>
        <stp>[DPM - Securities Master List (BBG Linked).xlsx]Equities!R234C37</stp>
        <tr r="AK234" s="2"/>
        <tr r="AK234" s="2"/>
        <tr r="AK234" s="2"/>
      </tp>
      <tp>
        <v>3.538461446762085</v>
        <stp/>
        <stp>##V3_BDPV12</stp>
        <stp>PEP US Equity</stp>
        <stp>EE201</stp>
        <stp>[DPM - Securities Master List (BBG Linked).xlsx]Equities!R236C37</stp>
        <tr r="AK236" s="2"/>
        <tr r="AK236" s="2"/>
        <tr r="AK236" s="2"/>
      </tp>
      <tp>
        <v>3.538461446762085</v>
        <stp/>
        <stp>##V3_BDPV12</stp>
        <stp>PEP US Equity</stp>
        <stp>EE201</stp>
        <stp>[DPM - Securities Master List (BBG Linked).xlsx]Equities!R227C37</stp>
        <tr r="AK227" s="2"/>
        <tr r="AK227" s="2"/>
        <tr r="AK227" s="2"/>
      </tp>
      <tp>
        <v>3.538461446762085</v>
        <stp/>
        <stp>##V3_BDPV12</stp>
        <stp>PEP US Equity</stp>
        <stp>EE201</stp>
        <stp>[DPM - Securities Master List (BBG Linked).xlsx]Equities!R229C37</stp>
        <tr r="AK229" s="2"/>
        <tr r="AK229" s="2"/>
        <tr r="AK229" s="2"/>
      </tp>
      <tp>
        <v>3.538461446762085</v>
        <stp/>
        <stp>##V3_BDPV12</stp>
        <stp>PEP US Equity</stp>
        <stp>EE201</stp>
        <stp>[DPM - Securities Master List (BBG Linked).xlsx]Equities!R228C37</stp>
        <tr r="AK228" s="2"/>
        <tr r="AK228" s="2"/>
        <tr r="AK228" s="2"/>
      </tp>
      <tp>
        <v>1</v>
        <stp/>
        <stp>##V3_BDPV12</stp>
        <stp>DIS US Equity</stp>
        <stp>TOT_SELL_REC</stp>
        <stp>[DPM - Securities Master List (BBG Linked).xlsx]Equities!R114C36</stp>
        <tr r="AJ114" s="2"/>
      </tp>
      <tp>
        <v>1</v>
        <stp/>
        <stp>##V3_BDPV12</stp>
        <stp>DIS US Equity</stp>
        <stp>TOT_SELL_REC</stp>
        <stp>[DPM - Securities Master List (BBG Linked).xlsx]Equities!R115C36</stp>
        <tr r="AJ115" s="2"/>
      </tp>
      <tp>
        <v>1</v>
        <stp/>
        <stp>##V3_BDPV12</stp>
        <stp>DIS US Equity</stp>
        <stp>TOT_SELL_REC</stp>
        <stp>[DPM - Securities Master List (BBG Linked).xlsx]Equities!R112C36</stp>
        <tr r="AJ112" s="2"/>
      </tp>
      <tp>
        <v>1</v>
        <stp/>
        <stp>##V3_BDPV12</stp>
        <stp>DIS US Equity</stp>
        <stp>TOT_SELL_REC</stp>
        <stp>[DPM - Securities Master List (BBG Linked).xlsx]Equities!R113C36</stp>
        <tr r="AJ113" s="2"/>
      </tp>
      <tp>
        <v>-14.13897</v>
        <stp/>
        <stp>##V3_BDPV12</stp>
        <stp>ZBH US Equity</stp>
        <stp>PR079</stp>
        <stp>[DPM - Securities Master List (BBG Linked).xlsx]Equities!R299C43</stp>
        <tr r="AQ299" s="2"/>
      </tp>
      <tp>
        <v>-14.13897</v>
        <stp/>
        <stp>##V3_BDPV12</stp>
        <stp>ZBH US Equity</stp>
        <stp>PR079</stp>
        <stp>[DPM - Securities Master List (BBG Linked).xlsx]Equities!R298C43</stp>
        <tr r="AQ298" s="2"/>
      </tp>
      <tp>
        <v>-14.13897</v>
        <stp/>
        <stp>##V3_BDPV12</stp>
        <stp>ZBH US Equity</stp>
        <stp>PR079</stp>
        <stp>[DPM - Securities Master List (BBG Linked).xlsx]Equities!R295C43</stp>
        <tr r="AQ295" s="2"/>
      </tp>
      <tp>
        <v>-14.13897</v>
        <stp/>
        <stp>##V3_BDPV12</stp>
        <stp>ZBH US Equity</stp>
        <stp>PR079</stp>
        <stp>[DPM - Securities Master List (BBG Linked).xlsx]Equities!R294C43</stp>
        <tr r="AQ294" s="2"/>
      </tp>
      <tp>
        <v>-14.13897</v>
        <stp/>
        <stp>##V3_BDPV12</stp>
        <stp>ZBH US Equity</stp>
        <stp>PR079</stp>
        <stp>[DPM - Securities Master List (BBG Linked).xlsx]Equities!R297C43</stp>
        <tr r="AQ297" s="2"/>
      </tp>
      <tp>
        <v>-14.13897</v>
        <stp/>
        <stp>##V3_BDPV12</stp>
        <stp>ZBH US Equity</stp>
        <stp>PR079</stp>
        <stp>[DPM - Securities Master List (BBG Linked).xlsx]Equities!R296C43</stp>
        <tr r="AQ296" s="2"/>
      </tp>
      <tp>
        <v>-14.13897</v>
        <stp/>
        <stp>##V3_BDPV12</stp>
        <stp>ZBH US Equity</stp>
        <stp>PR079</stp>
        <stp>[DPM - Securities Master List (BBG Linked).xlsx]Equities!R301C43</stp>
        <tr r="AQ301" s="2"/>
      </tp>
      <tp>
        <v>-14.13897</v>
        <stp/>
        <stp>##V3_BDPV12</stp>
        <stp>ZBH US Equity</stp>
        <stp>PR079</stp>
        <stp>[DPM - Securities Master List (BBG Linked).xlsx]Equities!R300C43</stp>
        <tr r="AQ300" s="2"/>
      </tp>
      <tp>
        <v>-14.13897</v>
        <stp/>
        <stp>##V3_BDPV12</stp>
        <stp>ZBH US Equity</stp>
        <stp>PR079</stp>
        <stp>[DPM - Securities Master List (BBG Linked).xlsx]Equities!R302C43</stp>
        <tr r="AQ302" s="2"/>
      </tp>
      <tp t="s">
        <v>Equity</v>
        <stp/>
        <stp>##V3_BDPV12</stp>
        <stp>TGT US Equity</stp>
        <stp>EX028</stp>
        <stp>[DPM - Securities Master List (BBG Linked).xlsx]Equities!R261C30</stp>
        <tr r="AD261" s="2"/>
        <tr r="AD261" s="2"/>
        <tr r="AD261" s="2"/>
      </tp>
      <tp t="s">
        <v>US7134481081</v>
        <stp/>
        <stp>##V3_BDPV12</stp>
        <stp>PEP US Equity</stp>
        <stp>ID005</stp>
        <stp>[DPM - Securities Master List (BBG Linked).xlsx]Equities!R227C55</stp>
        <tr r="BC227" s="2"/>
      </tp>
      <tp t="s">
        <v>US7134481081</v>
        <stp/>
        <stp>##V3_BDPV12</stp>
        <stp>PEP US Equity</stp>
        <stp>ID005</stp>
        <stp>[DPM - Securities Master List (BBG Linked).xlsx]Equities!R229C55</stp>
        <tr r="BC229" s="2"/>
      </tp>
      <tp t="s">
        <v>US7134481081</v>
        <stp/>
        <stp>##V3_BDPV12</stp>
        <stp>PEP US Equity</stp>
        <stp>ID005</stp>
        <stp>[DPM - Securities Master List (BBG Linked).xlsx]Equities!R228C55</stp>
        <tr r="BC228" s="2"/>
      </tp>
      <tp t="s">
        <v>US7134481081</v>
        <stp/>
        <stp>##V3_BDPV12</stp>
        <stp>PEP US Equity</stp>
        <stp>ID005</stp>
        <stp>[DPM - Securities Master List (BBG Linked).xlsx]Equities!R233C55</stp>
        <tr r="BC233" s="2"/>
      </tp>
      <tp t="s">
        <v>US7134481081</v>
        <stp/>
        <stp>##V3_BDPV12</stp>
        <stp>PEP US Equity</stp>
        <stp>ID005</stp>
        <stp>[DPM - Securities Master List (BBG Linked).xlsx]Equities!R232C55</stp>
        <tr r="BC232" s="2"/>
      </tp>
      <tp t="s">
        <v>US7134481081</v>
        <stp/>
        <stp>##V3_BDPV12</stp>
        <stp>PEP US Equity</stp>
        <stp>ID005</stp>
        <stp>[DPM - Securities Master List (BBG Linked).xlsx]Equities!R231C55</stp>
        <tr r="BC231" s="2"/>
      </tp>
      <tp t="s">
        <v>US7134481081</v>
        <stp/>
        <stp>##V3_BDPV12</stp>
        <stp>PEP US Equity</stp>
        <stp>ID005</stp>
        <stp>[DPM - Securities Master List (BBG Linked).xlsx]Equities!R230C55</stp>
        <tr r="BC230" s="2"/>
      </tp>
      <tp t="s">
        <v>US7134481081</v>
        <stp/>
        <stp>##V3_BDPV12</stp>
        <stp>PEP US Equity</stp>
        <stp>ID005</stp>
        <stp>[DPM - Securities Master List (BBG Linked).xlsx]Equities!R236C55</stp>
        <tr r="BC236" s="2"/>
      </tp>
      <tp t="s">
        <v>US7134481081</v>
        <stp/>
        <stp>##V3_BDPV12</stp>
        <stp>PEP US Equity</stp>
        <stp>ID005</stp>
        <stp>[DPM - Securities Master List (BBG Linked).xlsx]Equities!R235C55</stp>
        <tr r="BC235" s="2"/>
      </tp>
      <tp t="s">
        <v>US7134481081</v>
        <stp/>
        <stp>##V3_BDPV12</stp>
        <stp>PEP US Equity</stp>
        <stp>ID005</stp>
        <stp>[DPM - Securities Master List (BBG Linked).xlsx]Equities!R234C55</stp>
        <tr r="BC234" s="2"/>
      </tp>
      <tp>
        <v>8</v>
        <stp/>
        <stp>##V3_BDPV12</stp>
        <stp>DIS US Equity</stp>
        <stp>TOT_HOLD_REC</stp>
        <stp>[DPM - Securities Master List (BBG Linked).xlsx]Equities!R114C35</stp>
        <tr r="AI114" s="2"/>
      </tp>
      <tp>
        <v>8</v>
        <stp/>
        <stp>##V3_BDPV12</stp>
        <stp>DIS US Equity</stp>
        <stp>TOT_HOLD_REC</stp>
        <stp>[DPM - Securities Master List (BBG Linked).xlsx]Equities!R115C35</stp>
        <tr r="AI115" s="2"/>
      </tp>
      <tp>
        <v>8</v>
        <stp/>
        <stp>##V3_BDPV12</stp>
        <stp>DIS US Equity</stp>
        <stp>TOT_HOLD_REC</stp>
        <stp>[DPM - Securities Master List (BBG Linked).xlsx]Equities!R112C35</stp>
        <tr r="AI112" s="2"/>
      </tp>
      <tp>
        <v>8</v>
        <stp/>
        <stp>##V3_BDPV12</stp>
        <stp>DIS US Equity</stp>
        <stp>TOT_HOLD_REC</stp>
        <stp>[DPM - Securities Master List (BBG Linked).xlsx]Equities!R113C35</stp>
        <tr r="AI113" s="2"/>
      </tp>
      <tp>
        <v>16.341308789558219</v>
        <stp/>
        <stp>##V3_BDPV12</stp>
        <stp>PEP US Equity</stp>
        <stp>RR900</stp>
        <stp>[DPM - Securities Master List (BBG Linked).xlsx]Equities!R228C11</stp>
        <tr r="K228" s="2"/>
        <tr r="K228" s="2"/>
        <tr r="K228" s="2"/>
      </tp>
      <tp>
        <v>16.341308789558219</v>
        <stp/>
        <stp>##V3_BDPV12</stp>
        <stp>PEP US Equity</stp>
        <stp>RR900</stp>
        <stp>[DPM - Securities Master List (BBG Linked).xlsx]Equities!R229C11</stp>
        <tr r="K229" s="2"/>
        <tr r="K229" s="2"/>
        <tr r="K229" s="2"/>
      </tp>
      <tp>
        <v>16.341308789558219</v>
        <stp/>
        <stp>##V3_BDPV12</stp>
        <stp>PEP US Equity</stp>
        <stp>RR900</stp>
        <stp>[DPM - Securities Master List (BBG Linked).xlsx]Equities!R227C11</stp>
        <tr r="K227" s="2"/>
        <tr r="K227" s="2"/>
        <tr r="K227" s="2"/>
      </tp>
      <tp>
        <v>16.341308789558219</v>
        <stp/>
        <stp>##V3_BDPV12</stp>
        <stp>PEP US Equity</stp>
        <stp>RR900</stp>
        <stp>[DPM - Securities Master List (BBG Linked).xlsx]Equities!R232C11</stp>
        <tr r="K232" s="2"/>
        <tr r="K232" s="2"/>
        <tr r="K232" s="2"/>
      </tp>
      <tp>
        <v>16.341308789558219</v>
        <stp/>
        <stp>##V3_BDPV12</stp>
        <stp>PEP US Equity</stp>
        <stp>RR900</stp>
        <stp>[DPM - Securities Master List (BBG Linked).xlsx]Equities!R233C11</stp>
        <tr r="K233" s="2"/>
        <tr r="K233" s="2"/>
        <tr r="K233" s="2"/>
      </tp>
      <tp>
        <v>16.341308789558219</v>
        <stp/>
        <stp>##V3_BDPV12</stp>
        <stp>PEP US Equity</stp>
        <stp>RR900</stp>
        <stp>[DPM - Securities Master List (BBG Linked).xlsx]Equities!R230C11</stp>
        <tr r="K230" s="2"/>
        <tr r="K230" s="2"/>
        <tr r="K230" s="2"/>
      </tp>
      <tp>
        <v>16.341308789558219</v>
        <stp/>
        <stp>##V3_BDPV12</stp>
        <stp>PEP US Equity</stp>
        <stp>RR900</stp>
        <stp>[DPM - Securities Master List (BBG Linked).xlsx]Equities!R231C11</stp>
        <tr r="K231" s="2"/>
        <tr r="K231" s="2"/>
        <tr r="K231" s="2"/>
      </tp>
      <tp>
        <v>16.341308789558219</v>
        <stp/>
        <stp>##V3_BDPV12</stp>
        <stp>PEP US Equity</stp>
        <stp>RR900</stp>
        <stp>[DPM - Securities Master List (BBG Linked).xlsx]Equities!R236C11</stp>
        <tr r="K236" s="2"/>
        <tr r="K236" s="2"/>
        <tr r="K236" s="2"/>
      </tp>
      <tp>
        <v>16.341308789558219</v>
        <stp/>
        <stp>##V3_BDPV12</stp>
        <stp>PEP US Equity</stp>
        <stp>RR900</stp>
        <stp>[DPM - Securities Master List (BBG Linked).xlsx]Equities!R234C11</stp>
        <tr r="K234" s="2"/>
        <tr r="K234" s="2"/>
        <tr r="K234" s="2"/>
      </tp>
      <tp>
        <v>16.341308789558219</v>
        <stp/>
        <stp>##V3_BDPV12</stp>
        <stp>PEP US Equity</stp>
        <stp>RR900</stp>
        <stp>[DPM - Securities Master List (BBG Linked).xlsx]Equities!R235C11</stp>
        <tr r="K235" s="2"/>
        <tr r="K235" s="2"/>
        <tr r="K235" s="2"/>
      </tp>
      <tp>
        <v>9.7787705517442696</v>
        <stp/>
        <stp>##V3_BDPV12</stp>
        <stp>PEP US Equity</stp>
        <stp>RR903</stp>
        <stp>[DPM - Securities Master List (BBG Linked).xlsx]Equities!R228C13</stp>
        <tr r="M228" s="2"/>
        <tr r="M228" s="2"/>
        <tr r="M228" s="2"/>
      </tp>
      <tp>
        <v>9.7787705517442696</v>
        <stp/>
        <stp>##V3_BDPV12</stp>
        <stp>PEP US Equity</stp>
        <stp>RR903</stp>
        <stp>[DPM - Securities Master List (BBG Linked).xlsx]Equities!R229C13</stp>
        <tr r="M229" s="2"/>
        <tr r="M229" s="2"/>
        <tr r="M229" s="2"/>
      </tp>
      <tp>
        <v>9.7787705517442696</v>
        <stp/>
        <stp>##V3_BDPV12</stp>
        <stp>PEP US Equity</stp>
        <stp>RR903</stp>
        <stp>[DPM - Securities Master List (BBG Linked).xlsx]Equities!R227C13</stp>
        <tr r="M227" s="2"/>
        <tr r="M227" s="2"/>
        <tr r="M227" s="2"/>
      </tp>
      <tp>
        <v>9.7787705517442696</v>
        <stp/>
        <stp>##V3_BDPV12</stp>
        <stp>PEP US Equity</stp>
        <stp>RR903</stp>
        <stp>[DPM - Securities Master List (BBG Linked).xlsx]Equities!R232C13</stp>
        <tr r="M232" s="2"/>
        <tr r="M232" s="2"/>
        <tr r="M232" s="2"/>
      </tp>
      <tp>
        <v>9.7787705517442696</v>
        <stp/>
        <stp>##V3_BDPV12</stp>
        <stp>PEP US Equity</stp>
        <stp>RR903</stp>
        <stp>[DPM - Securities Master List (BBG Linked).xlsx]Equities!R233C13</stp>
        <tr r="M233" s="2"/>
        <tr r="M233" s="2"/>
        <tr r="M233" s="2"/>
      </tp>
      <tp>
        <v>9.7787705517442696</v>
        <stp/>
        <stp>##V3_BDPV12</stp>
        <stp>PEP US Equity</stp>
        <stp>RR903</stp>
        <stp>[DPM - Securities Master List (BBG Linked).xlsx]Equities!R230C13</stp>
        <tr r="M230" s="2"/>
        <tr r="M230" s="2"/>
        <tr r="M230" s="2"/>
      </tp>
      <tp>
        <v>9.7787705517442696</v>
        <stp/>
        <stp>##V3_BDPV12</stp>
        <stp>PEP US Equity</stp>
        <stp>RR903</stp>
        <stp>[DPM - Securities Master List (BBG Linked).xlsx]Equities!R231C13</stp>
        <tr r="M231" s="2"/>
        <tr r="M231" s="2"/>
        <tr r="M231" s="2"/>
      </tp>
      <tp>
        <v>9.7787705517442696</v>
        <stp/>
        <stp>##V3_BDPV12</stp>
        <stp>PEP US Equity</stp>
        <stp>RR903</stp>
        <stp>[DPM - Securities Master List (BBG Linked).xlsx]Equities!R236C13</stp>
        <tr r="M236" s="2"/>
        <tr r="M236" s="2"/>
        <tr r="M236" s="2"/>
      </tp>
      <tp>
        <v>9.7787705517442696</v>
        <stp/>
        <stp>##V3_BDPV12</stp>
        <stp>PEP US Equity</stp>
        <stp>RR903</stp>
        <stp>[DPM - Securities Master List (BBG Linked).xlsx]Equities!R234C13</stp>
        <tr r="M234" s="2"/>
        <tr r="M234" s="2"/>
        <tr r="M234" s="2"/>
      </tp>
      <tp>
        <v>9.7787705517442696</v>
        <stp/>
        <stp>##V3_BDPV12</stp>
        <stp>PEP US Equity</stp>
        <stp>RR903</stp>
        <stp>[DPM - Securities Master List (BBG Linked).xlsx]Equities!R235C13</stp>
        <tr r="M235" s="2"/>
        <tr r="M235" s="2"/>
        <tr r="M235" s="2"/>
      </tp>
      <tp>
        <v>14.325462223646456</v>
        <stp/>
        <stp>##V3_BDPV12</stp>
        <stp>PEP US Equity</stp>
        <stp>RR908</stp>
        <stp>[DPM - Securities Master List (BBG Linked).xlsx]Equities!R232C32</stp>
        <tr r="AF232" s="2"/>
        <tr r="AF232" s="2"/>
        <tr r="AF232" s="2"/>
      </tp>
      <tp>
        <v>14.325462223646456</v>
        <stp/>
        <stp>##V3_BDPV12</stp>
        <stp>PEP US Equity</stp>
        <stp>RR908</stp>
        <stp>[DPM - Securities Master List (BBG Linked).xlsx]Equities!R233C32</stp>
        <tr r="AF233" s="2"/>
        <tr r="AF233" s="2"/>
        <tr r="AF233" s="2"/>
      </tp>
      <tp>
        <v>14.325462223646456</v>
        <stp/>
        <stp>##V3_BDPV12</stp>
        <stp>PEP US Equity</stp>
        <stp>RR908</stp>
        <stp>[DPM - Securities Master List (BBG Linked).xlsx]Equities!R230C32</stp>
        <tr r="AF230" s="2"/>
        <tr r="AF230" s="2"/>
        <tr r="AF230" s="2"/>
      </tp>
      <tp>
        <v>14.325462223646456</v>
        <stp/>
        <stp>##V3_BDPV12</stp>
        <stp>PEP US Equity</stp>
        <stp>RR908</stp>
        <stp>[DPM - Securities Master List (BBG Linked).xlsx]Equities!R231C32</stp>
        <tr r="AF231" s="2"/>
        <tr r="AF231" s="2"/>
        <tr r="AF231" s="2"/>
      </tp>
      <tp>
        <v>14.325462223646456</v>
        <stp/>
        <stp>##V3_BDPV12</stp>
        <stp>PEP US Equity</stp>
        <stp>RR908</stp>
        <stp>[DPM - Securities Master List (BBG Linked).xlsx]Equities!R236C32</stp>
        <tr r="AF236" s="2"/>
        <tr r="AF236" s="2"/>
        <tr r="AF236" s="2"/>
      </tp>
      <tp>
        <v>14.325462223646456</v>
        <stp/>
        <stp>##V3_BDPV12</stp>
        <stp>PEP US Equity</stp>
        <stp>RR908</stp>
        <stp>[DPM - Securities Master List (BBG Linked).xlsx]Equities!R234C32</stp>
        <tr r="AF234" s="2"/>
        <tr r="AF234" s="2"/>
        <tr r="AF234" s="2"/>
      </tp>
      <tp>
        <v>14.325462223646456</v>
        <stp/>
        <stp>##V3_BDPV12</stp>
        <stp>PEP US Equity</stp>
        <stp>RR908</stp>
        <stp>[DPM - Securities Master List (BBG Linked).xlsx]Equities!R235C32</stp>
        <tr r="AF235" s="2"/>
        <tr r="AF235" s="2"/>
        <tr r="AF235" s="2"/>
      </tp>
      <tp>
        <v>14.325462223646456</v>
        <stp/>
        <stp>##V3_BDPV12</stp>
        <stp>PEP US Equity</stp>
        <stp>RR908</stp>
        <stp>[DPM - Securities Master List (BBG Linked).xlsx]Equities!R228C32</stp>
        <tr r="AF228" s="2"/>
        <tr r="AF228" s="2"/>
        <tr r="AF228" s="2"/>
      </tp>
      <tp>
        <v>14.325462223646456</v>
        <stp/>
        <stp>##V3_BDPV12</stp>
        <stp>PEP US Equity</stp>
        <stp>RR908</stp>
        <stp>[DPM - Securities Master List (BBG Linked).xlsx]Equities!R229C32</stp>
        <tr r="AF229" s="2"/>
        <tr r="AF229" s="2"/>
        <tr r="AF229" s="2"/>
      </tp>
      <tp>
        <v>14.325462223646456</v>
        <stp/>
        <stp>##V3_BDPV12</stp>
        <stp>PEP US Equity</stp>
        <stp>RR908</stp>
        <stp>[DPM - Securities Master List (BBG Linked).xlsx]Equities!R227C32</stp>
        <tr r="AF227" s="2"/>
        <tr r="AF227" s="2"/>
        <tr r="AF227" s="2"/>
      </tp>
      <tp>
        <v>-1.6954020000000001</v>
        <stp/>
        <stp>##V3_BDPV12</stp>
        <stp>BIIB US Equity</stp>
        <stp>CHG_PCT_1D</stp>
        <stp>[DPM - Securities Master List (BBG Linked).xlsx]Equities!R62C22</stp>
        <tr r="V62" s="2"/>
      </tp>
      <tp>
        <v>-31.344609999999999</v>
        <stp/>
        <stp>##V3_BDPV12</stp>
        <stp>BIIB US Equity</stp>
        <stp>CHG_PCT_6M</stp>
        <stp>[DPM - Securities Master List (BBG Linked).xlsx]Equities!R62C42</stp>
        <tr r="AP62" s="2"/>
      </tp>
      <tp>
        <v>-0.36198720000000001</v>
        <stp/>
        <stp>##V3_BDPV12</stp>
        <stp>BIIB US Equity</stp>
        <stp>CHG_PCT_5D</stp>
        <stp>[DPM - Securities Master List (BBG Linked).xlsx]Equities!R62C23</stp>
        <tr r="W62" s="2"/>
      </tp>
      <tp t="s">
        <v>Nestle SA</v>
        <stp/>
        <stp>##V3_BDPV12</stp>
        <stp>NESN SW Equity</stp>
        <stp>SECURITY NAME</stp>
        <stp>[DPM - Securities Master List (BBG Linked).xlsx]Equities!R193C5</stp>
        <tr r="E193" s="2"/>
      </tp>
      <tp t="s">
        <v>Nestle SA</v>
        <stp/>
        <stp>##V3_BDPV12</stp>
        <stp>NESN SW Equity</stp>
        <stp>SECURITY NAME</stp>
        <stp>[DPM - Securities Master List (BBG Linked).xlsx]Equities!R203C5</stp>
        <tr r="E203" s="2"/>
      </tp>
      <tp t="s">
        <v>Dell Technologies Inc</v>
        <stp/>
        <stp>##V3_BDPV12</stp>
        <stp>DELL US Equity</stp>
        <stp>SECURITY NAME</stp>
        <stp>[DPM - Securities Master List (BBG Linked).xlsx]Equities!R105C5</stp>
        <tr r="E105" s="2"/>
      </tp>
      <tp>
        <v>6.2666370000000002</v>
        <stp/>
        <stp>##V3_BDPV12</stp>
        <stp>XS2755904872 isin</stp>
        <stp>YAS_BOND_YLD</stp>
        <stp>[DPM - Securities Master List (BBG Linked).xlsx]Bonds!R53C10</stp>
        <stp>YAS_YLD_FLAG=15</stp>
        <stp>user_local_trade_date</stp>
        <stp>45783</stp>
        <stp>Yas_bond_px</stp>
        <stp>88.179000000000002</stp>
        <tr r="J53" s="1"/>
      </tp>
      <tp>
        <v>32506.354624300006</v>
        <stp/>
        <stp>##V3_BDPV12</stp>
        <stp>GOLD US Equity</stp>
        <stp>CRNCY_ADJ_MKT_CAP</stp>
        <stp>[DPM - Securities Master List (BBG Linked).xlsx]Equities!R125C9</stp>
        <stp>EQY_FUND_CRNCY=USD</stp>
        <tr r="I125" s="2"/>
      </tp>
      <tp>
        <v>3235609.3207504498</v>
        <stp/>
        <stp>##V3_BDPV12</stp>
        <stp>MSFT US Equity</stp>
        <stp>CRNCY_ADJ_MKT_CAP</stp>
        <stp>[DPM - Securities Master List (BBG Linked).xlsx]Equities!R188C9</stp>
        <stp>EQY_FUND_CRNCY=USD</stp>
        <tr r="I188" s="2"/>
      </tp>
      <tp>
        <v>3235609.3207504498</v>
        <stp/>
        <stp>##V3_BDPV12</stp>
        <stp>MSFT US Equity</stp>
        <stp>CRNCY_ADJ_MKT_CAP</stp>
        <stp>[DPM - Securities Master List (BBG Linked).xlsx]Equities!R187C9</stp>
        <stp>EQY_FUND_CRNCY=USD</stp>
        <tr r="I187" s="2"/>
      </tp>
      <tp>
        <v>3235609.3207504498</v>
        <stp/>
        <stp>##V3_BDPV12</stp>
        <stp>MSFT US Equity</stp>
        <stp>CRNCY_ADJ_MKT_CAP</stp>
        <stp>[DPM - Securities Master List (BBG Linked).xlsx]Equities!R185C9</stp>
        <stp>EQY_FUND_CRNCY=USD</stp>
        <tr r="I185" s="2"/>
      </tp>
      <tp>
        <v>3235609.3207504498</v>
        <stp/>
        <stp>##V3_BDPV12</stp>
        <stp>MSFT US Equity</stp>
        <stp>CRNCY_ADJ_MKT_CAP</stp>
        <stp>[DPM - Securities Master List (BBG Linked).xlsx]Equities!R184C9</stp>
        <stp>EQY_FUND_CRNCY=USD</stp>
        <tr r="I184" s="2"/>
      </tp>
      <tp>
        <v>3235609.3207504498</v>
        <stp/>
        <stp>##V3_BDPV12</stp>
        <stp>MSFT US Equity</stp>
        <stp>CRNCY_ADJ_MKT_CAP</stp>
        <stp>[DPM - Securities Master List (BBG Linked).xlsx]Equities!R183C9</stp>
        <stp>EQY_FUND_CRNCY=USD</stp>
        <tr r="I183" s="2"/>
      </tp>
      <tp>
        <v>3235609.3207504498</v>
        <stp/>
        <stp>##V3_BDPV12</stp>
        <stp>MSFT US Equity</stp>
        <stp>CRNCY_ADJ_MKT_CAP</stp>
        <stp>[DPM - Securities Master List (BBG Linked).xlsx]Equities!R182C9</stp>
        <stp>EQY_FUND_CRNCY=USD</stp>
        <tr r="I182" s="2"/>
      </tp>
      <tp>
        <v>3235609.3207504498</v>
        <stp/>
        <stp>##V3_BDPV12</stp>
        <stp>MSFT US Equity</stp>
        <stp>CRNCY_ADJ_MKT_CAP</stp>
        <stp>[DPM - Securities Master List (BBG Linked).xlsx]Equities!R181C9</stp>
        <stp>EQY_FUND_CRNCY=USD</stp>
        <tr r="I181" s="2"/>
      </tp>
      <tp>
        <v>3235609.3207504498</v>
        <stp/>
        <stp>##V3_BDPV12</stp>
        <stp>MSFT US Equity</stp>
        <stp>CRNCY_ADJ_MKT_CAP</stp>
        <stp>[DPM - Securities Master List (BBG Linked).xlsx]Equities!R180C9</stp>
        <stp>EQY_FUND_CRNCY=USD</stp>
        <tr r="I180" s="2"/>
      </tp>
      <tp t="s">
        <v>Zimmer Biomet Holdings Inc</v>
        <stp/>
        <stp>##V3_BDPV12</stp>
        <stp>ZBH US Equity</stp>
        <stp>SECURITY NAME</stp>
        <stp>[DPM - Securities Master List (BBG Linked).xlsx]Equities!R298C5</stp>
        <tr r="E298" s="2"/>
      </tp>
      <tp>
        <v>96.25</v>
        <stp/>
        <stp>##V3_BDPV12</stp>
        <stp>MDT US Equity</stp>
        <stp>hs001</stp>
        <stp>[DPM - Securities Master List (BBG Linked).xlsx]Equities!R155C44</stp>
        <tr r="AR155" s="2"/>
      </tp>
      <tp>
        <v>75.959999999999994</v>
        <stp/>
        <stp>##V3_BDPV12</stp>
        <stp>MDT US Equity</stp>
        <stp>hs002</stp>
        <stp>[DPM - Securities Master List (BBG Linked).xlsx]Equities!R155C45</stp>
        <tr r="AS155" s="2"/>
      </tp>
      <tp t="s">
        <v>USD</v>
        <stp/>
        <stp>##V3_BDPV12</stp>
        <stp>NKE US Equity</stp>
        <stp>CRNCY</stp>
        <stp>[DPM - Securities Master List (BBG Linked).xlsx]Equities!R214C6</stp>
        <tr r="F214" s="2"/>
      </tp>
      <tp t="s">
        <v>GBp</v>
        <stp/>
        <stp>##V3_BDPV12</stp>
        <stp>SSE LN Equity</stp>
        <stp>CRNCY</stp>
        <stp>[DPM - Securities Master List (BBG Linked).xlsx]Equities!R250C6</stp>
        <tr r="F250" s="2"/>
      </tp>
      <tp t="s">
        <v>PepsiCo Inc</v>
        <stp/>
        <stp>##V3_BDPV12</stp>
        <stp>PEP US Equity</stp>
        <stp>SECURITY NAME</stp>
        <stp>[DPM - Securities Master List (BBG Linked).xlsx]Equities!R232C5</stp>
        <tr r="E232" s="2"/>
      </tp>
      <tp t="s">
        <v>USD</v>
        <stp/>
        <stp>##V3_BDPV12</stp>
        <stp>MRK US Equity</stp>
        <stp>CRNCY</stp>
        <stp>[DPM - Securities Master List (BBG Linked).xlsx]Equities!R157C6</stp>
        <tr r="F157" s="2"/>
      </tp>
      <tp t="s">
        <v>USD</v>
        <stp/>
        <stp>##V3_BDPV12</stp>
        <stp>MRK US Equity</stp>
        <stp>CRNCY</stp>
        <stp>[DPM - Securities Master List (BBG Linked).xlsx]Equities!R167C6</stp>
        <tr r="F167" s="2"/>
      </tp>
      <tp>
        <v>3.8484847545623779</v>
        <stp/>
        <stp>##V3_BDPV12</stp>
        <stp>MDT US Equity</stp>
        <stp>EE201</stp>
        <stp>[DPM - Securities Master List (BBG Linked).xlsx]Equities!R155C37</stp>
        <tr r="AK155" s="2"/>
        <tr r="AK155" s="2"/>
        <tr r="AK155" s="2"/>
      </tp>
      <tp>
        <v>4.1383523526715624</v>
        <stp/>
        <stp>##V3_BDPV12</stp>
        <stp>PEP US Equity</stp>
        <stp>DV013</stp>
        <stp>[DPM - Securities Master List (BBG Linked).xlsx]Equities!R233C10</stp>
        <tr r="J233" s="2"/>
      </tp>
      <tp>
        <v>4.1383523526715624</v>
        <stp/>
        <stp>##V3_BDPV12</stp>
        <stp>PEP US Equity</stp>
        <stp>DV013</stp>
        <stp>[DPM - Securities Master List (BBG Linked).xlsx]Equities!R232C10</stp>
        <tr r="J232" s="2"/>
      </tp>
      <tp>
        <v>4.1383523526715624</v>
        <stp/>
        <stp>##V3_BDPV12</stp>
        <stp>PEP US Equity</stp>
        <stp>DV013</stp>
        <stp>[DPM - Securities Master List (BBG Linked).xlsx]Equities!R231C10</stp>
        <tr r="J231" s="2"/>
      </tp>
      <tp>
        <v>4.1383523526715624</v>
        <stp/>
        <stp>##V3_BDPV12</stp>
        <stp>PEP US Equity</stp>
        <stp>DV013</stp>
        <stp>[DPM - Securities Master List (BBG Linked).xlsx]Equities!R230C10</stp>
        <tr r="J230" s="2"/>
      </tp>
      <tp>
        <v>4.1383523526715624</v>
        <stp/>
        <stp>##V3_BDPV12</stp>
        <stp>PEP US Equity</stp>
        <stp>DV013</stp>
        <stp>[DPM - Securities Master List (BBG Linked).xlsx]Equities!R236C10</stp>
        <tr r="J236" s="2"/>
      </tp>
      <tp>
        <v>4.1383523526715624</v>
        <stp/>
        <stp>##V3_BDPV12</stp>
        <stp>PEP US Equity</stp>
        <stp>DV013</stp>
        <stp>[DPM - Securities Master List (BBG Linked).xlsx]Equities!R235C10</stp>
        <tr r="J235" s="2"/>
      </tp>
      <tp>
        <v>4.1383523526715624</v>
        <stp/>
        <stp>##V3_BDPV12</stp>
        <stp>PEP US Equity</stp>
        <stp>DV013</stp>
        <stp>[DPM - Securities Master List (BBG Linked).xlsx]Equities!R234C10</stp>
        <tr r="J234" s="2"/>
      </tp>
      <tp>
        <v>4.1383523526715624</v>
        <stp/>
        <stp>##V3_BDPV12</stp>
        <stp>PEP US Equity</stp>
        <stp>DV013</stp>
        <stp>[DPM - Securities Master List (BBG Linked).xlsx]Equities!R227C10</stp>
        <tr r="J227" s="2"/>
      </tp>
      <tp>
        <v>4.1383523526715624</v>
        <stp/>
        <stp>##V3_BDPV12</stp>
        <stp>PEP US Equity</stp>
        <stp>DV013</stp>
        <stp>[DPM - Securities Master List (BBG Linked).xlsx]Equities!R229C10</stp>
        <tr r="J229" s="2"/>
      </tp>
      <tp>
        <v>4.1383523526715624</v>
        <stp/>
        <stp>##V3_BDPV12</stp>
        <stp>PEP US Equity</stp>
        <stp>DV013</stp>
        <stp>[DPM - Securities Master List (BBG Linked).xlsx]Equities!R228C10</stp>
        <tr r="J228" s="2"/>
      </tp>
      <tp t="s">
        <v>Health Care</v>
        <stp/>
        <stp>##V3_BDPV12</stp>
        <stp>MDT US Equity</stp>
        <stp>DX202</stp>
        <stp>[DPM - Securities Master List (BBG Linked).xlsx]Equities!R155C46</stp>
        <tr r="AT155" s="2"/>
        <tr r="AT155" s="2"/>
        <tr r="AT155" s="2"/>
      </tp>
      <tp>
        <v>15.569424631478839</v>
        <stp/>
        <stp>##V3_BDPV12</stp>
        <stp>PEP US Equity</stp>
        <stp>EE010</stp>
        <stp>[DPM - Securities Master List (BBG Linked).xlsx]Equities!R227C12</stp>
        <tr r="L227" s="2"/>
        <tr r="L227" s="2"/>
        <tr r="L227" s="2"/>
      </tp>
      <tp>
        <v>15.569424631478839</v>
        <stp/>
        <stp>##V3_BDPV12</stp>
        <stp>PEP US Equity</stp>
        <stp>EE010</stp>
        <stp>[DPM - Securities Master List (BBG Linked).xlsx]Equities!R229C12</stp>
        <tr r="L229" s="2"/>
        <tr r="L229" s="2"/>
        <tr r="L229" s="2"/>
      </tp>
      <tp>
        <v>15.569424631478839</v>
        <stp/>
        <stp>##V3_BDPV12</stp>
        <stp>PEP US Equity</stp>
        <stp>EE010</stp>
        <stp>[DPM - Securities Master List (BBG Linked).xlsx]Equities!R228C12</stp>
        <tr r="L228" s="2"/>
        <tr r="L228" s="2"/>
        <tr r="L228" s="2"/>
      </tp>
      <tp>
        <v>15.569424631478839</v>
        <stp/>
        <stp>##V3_BDPV12</stp>
        <stp>PEP US Equity</stp>
        <stp>EE010</stp>
        <stp>[DPM - Securities Master List (BBG Linked).xlsx]Equities!R233C12</stp>
        <tr r="L233" s="2"/>
        <tr r="L233" s="2"/>
        <tr r="L233" s="2"/>
      </tp>
      <tp>
        <v>15.569424631478839</v>
        <stp/>
        <stp>##V3_BDPV12</stp>
        <stp>PEP US Equity</stp>
        <stp>EE010</stp>
        <stp>[DPM - Securities Master List (BBG Linked).xlsx]Equities!R232C12</stp>
        <tr r="L232" s="2"/>
        <tr r="L232" s="2"/>
        <tr r="L232" s="2"/>
      </tp>
      <tp>
        <v>15.569424631478839</v>
        <stp/>
        <stp>##V3_BDPV12</stp>
        <stp>PEP US Equity</stp>
        <stp>EE010</stp>
        <stp>[DPM - Securities Master List (BBG Linked).xlsx]Equities!R231C12</stp>
        <tr r="L231" s="2"/>
        <tr r="L231" s="2"/>
        <tr r="L231" s="2"/>
      </tp>
      <tp>
        <v>15.569424631478839</v>
        <stp/>
        <stp>##V3_BDPV12</stp>
        <stp>PEP US Equity</stp>
        <stp>EE010</stp>
        <stp>[DPM - Securities Master List (BBG Linked).xlsx]Equities!R230C12</stp>
        <tr r="L230" s="2"/>
        <tr r="L230" s="2"/>
        <tr r="L230" s="2"/>
      </tp>
      <tp>
        <v>15.569424631478839</v>
        <stp/>
        <stp>##V3_BDPV12</stp>
        <stp>PEP US Equity</stp>
        <stp>EE010</stp>
        <stp>[DPM - Securities Master List (BBG Linked).xlsx]Equities!R236C12</stp>
        <tr r="L236" s="2"/>
        <tr r="L236" s="2"/>
        <tr r="L236" s="2"/>
      </tp>
      <tp>
        <v>15.569424631478839</v>
        <stp/>
        <stp>##V3_BDPV12</stp>
        <stp>PEP US Equity</stp>
        <stp>EE010</stp>
        <stp>[DPM - Securities Master List (BBG Linked).xlsx]Equities!R235C12</stp>
        <tr r="L235" s="2"/>
        <tr r="L235" s="2"/>
        <tr r="L235" s="2"/>
      </tp>
      <tp>
        <v>15.569424631478839</v>
        <stp/>
        <stp>##V3_BDPV12</stp>
        <stp>PEP US Equity</stp>
        <stp>EE010</stp>
        <stp>[DPM - Securities Master List (BBG Linked).xlsx]Equities!R234C12</stp>
        <tr r="L234" s="2"/>
        <tr r="L234" s="2"/>
        <tr r="L234" s="2"/>
      </tp>
      <tp>
        <v>9.1923809999999992</v>
        <stp/>
        <stp>##V3_BDPV12</stp>
        <stp>NEM AT Equity</stp>
        <stp>PR061</stp>
        <stp>[DPM - Securities Master List (BBG Linked).xlsx]Equities!R191C40</stp>
        <tr r="AN191" s="2"/>
      </tp>
      <tp>
        <v>9.1923809999999992</v>
        <stp/>
        <stp>##V3_BDPV12</stp>
        <stp>NEM AT Equity</stp>
        <stp>PR061</stp>
        <stp>[DPM - Securities Master List (BBG Linked).xlsx]Equities!R190C40</stp>
        <tr r="AN190" s="2"/>
      </tp>
      <tp>
        <v>9.1923809999999992</v>
        <stp/>
        <stp>##V3_BDPV12</stp>
        <stp>NEM AT Equity</stp>
        <stp>PR061</stp>
        <stp>[DPM - Securities Master List (BBG Linked).xlsx]Equities!R192C40</stp>
        <tr r="AN192" s="2"/>
      </tp>
      <tp>
        <v>9.1923809999999992</v>
        <stp/>
        <stp>##V3_BDPV12</stp>
        <stp>NEM AT Equity</stp>
        <stp>PR061</stp>
        <stp>[DPM - Securities Master List (BBG Linked).xlsx]Equities!R189C40</stp>
        <tr r="AN189" s="2"/>
      </tp>
      <tp>
        <v>-11.68079</v>
        <stp/>
        <stp>##V3_BDPV12</stp>
        <stp>ZBH US Equity</stp>
        <stp>PR064</stp>
        <stp>[DPM - Securities Master List (BBG Linked).xlsx]Equities!R301C41</stp>
        <tr r="AO301" s="2"/>
      </tp>
      <tp>
        <v>-11.68079</v>
        <stp/>
        <stp>##V3_BDPV12</stp>
        <stp>ZBH US Equity</stp>
        <stp>PR064</stp>
        <stp>[DPM - Securities Master List (BBG Linked).xlsx]Equities!R300C41</stp>
        <tr r="AO300" s="2"/>
      </tp>
      <tp>
        <v>-11.68079</v>
        <stp/>
        <stp>##V3_BDPV12</stp>
        <stp>ZBH US Equity</stp>
        <stp>PR064</stp>
        <stp>[DPM - Securities Master List (BBG Linked).xlsx]Equities!R302C41</stp>
        <tr r="AO302" s="2"/>
      </tp>
      <tp>
        <v>-11.68079</v>
        <stp/>
        <stp>##V3_BDPV12</stp>
        <stp>ZBH US Equity</stp>
        <stp>PR064</stp>
        <stp>[DPM - Securities Master List (BBG Linked).xlsx]Equities!R299C41</stp>
        <tr r="AO299" s="2"/>
      </tp>
      <tp>
        <v>-11.68079</v>
        <stp/>
        <stp>##V3_BDPV12</stp>
        <stp>ZBH US Equity</stp>
        <stp>PR064</stp>
        <stp>[DPM - Securities Master List (BBG Linked).xlsx]Equities!R298C41</stp>
        <tr r="AO298" s="2"/>
      </tp>
      <tp>
        <v>-11.68079</v>
        <stp/>
        <stp>##V3_BDPV12</stp>
        <stp>ZBH US Equity</stp>
        <stp>PR064</stp>
        <stp>[DPM - Securities Master List (BBG Linked).xlsx]Equities!R295C41</stp>
        <tr r="AO295" s="2"/>
      </tp>
      <tp>
        <v>-11.68079</v>
        <stp/>
        <stp>##V3_BDPV12</stp>
        <stp>ZBH US Equity</stp>
        <stp>PR064</stp>
        <stp>[DPM - Securities Master List (BBG Linked).xlsx]Equities!R294C41</stp>
        <tr r="AO294" s="2"/>
      </tp>
      <tp>
        <v>-11.68079</v>
        <stp/>
        <stp>##V3_BDPV12</stp>
        <stp>ZBH US Equity</stp>
        <stp>PR064</stp>
        <stp>[DPM - Securities Master List (BBG Linked).xlsx]Equities!R297C41</stp>
        <tr r="AO297" s="2"/>
      </tp>
      <tp>
        <v>-11.68079</v>
        <stp/>
        <stp>##V3_BDPV12</stp>
        <stp>ZBH US Equity</stp>
        <stp>PR064</stp>
        <stp>[DPM - Securities Master List (BBG Linked).xlsx]Equities!R296C41</stp>
        <tr r="AO296" s="2"/>
      </tp>
      <tp t="s">
        <v>Equity</v>
        <stp/>
        <stp>##V3_BDPV12</stp>
        <stp>KER FP Equity</stp>
        <stp>EX028</stp>
        <stp>[DPM - Securities Master List (BBG Linked).xlsx]Equities!R153C30</stp>
        <tr r="AD153" s="2"/>
        <tr r="AD153" s="2"/>
        <tr r="AD153" s="2"/>
      </tp>
      <tp t="s">
        <v>Equity</v>
        <stp/>
        <stp>##V3_BDPV12</stp>
        <stp>KER FP Equity</stp>
        <stp>EX028</stp>
        <stp>[DPM - Securities Master List (BBG Linked).xlsx]Equities!R152C30</stp>
        <tr r="AD152" s="2"/>
        <tr r="AD152" s="2"/>
        <tr r="AD152" s="2"/>
      </tp>
      <tp t="s">
        <v>Equity</v>
        <stp/>
        <stp>##V3_BDPV12</stp>
        <stp>KER FP Equity</stp>
        <stp>EX028</stp>
        <stp>[DPM - Securities Master List (BBG Linked).xlsx]Equities!R151C30</stp>
        <tr r="AD151" s="2"/>
        <tr r="AD151" s="2"/>
        <tr r="AD151" s="2"/>
      </tp>
      <tp t="s">
        <v>Equity</v>
        <stp/>
        <stp>##V3_BDPV12</stp>
        <stp>KER FP Equity</stp>
        <stp>EX028</stp>
        <stp>[DPM - Securities Master List (BBG Linked).xlsx]Equities!R150C30</stp>
        <tr r="AD150" s="2"/>
        <tr r="AD150" s="2"/>
        <tr r="AD150" s="2"/>
      </tp>
      <tp t="s">
        <v>Equity</v>
        <stp/>
        <stp>##V3_BDPV12</stp>
        <stp>KER FP Equity</stp>
        <stp>EX028</stp>
        <stp>[DPM - Securities Master List (BBG Linked).xlsx]Equities!R149C30</stp>
        <tr r="AD149" s="2"/>
        <tr r="AD149" s="2"/>
        <tr r="AD149" s="2"/>
      </tp>
      <tp>
        <v>16.293710000000001</v>
        <stp/>
        <stp>##V3_BDPV12</stp>
        <stp>NEM AT Equity</stp>
        <stp>PR064</stp>
        <stp>[DPM - Securities Master List (BBG Linked).xlsx]Equities!R189C41</stp>
        <tr r="AO189" s="2"/>
      </tp>
      <tp>
        <v>16.293710000000001</v>
        <stp/>
        <stp>##V3_BDPV12</stp>
        <stp>NEM AT Equity</stp>
        <stp>PR064</stp>
        <stp>[DPM - Securities Master List (BBG Linked).xlsx]Equities!R191C41</stp>
        <tr r="AO191" s="2"/>
      </tp>
      <tp>
        <v>16.293710000000001</v>
        <stp/>
        <stp>##V3_BDPV12</stp>
        <stp>NEM AT Equity</stp>
        <stp>PR064</stp>
        <stp>[DPM - Securities Master List (BBG Linked).xlsx]Equities!R190C41</stp>
        <tr r="AO190" s="2"/>
      </tp>
      <tp>
        <v>16.293710000000001</v>
        <stp/>
        <stp>##V3_BDPV12</stp>
        <stp>NEM AT Equity</stp>
        <stp>PR064</stp>
        <stp>[DPM - Securities Master List (BBG Linked).xlsx]Equities!R192C41</stp>
        <tr r="AO192" s="2"/>
      </tp>
      <tp>
        <v>-15.5068</v>
        <stp/>
        <stp>##V3_BDPV12</stp>
        <stp>ZBH US Equity</stp>
        <stp>PR061</stp>
        <stp>[DPM - Securities Master List (BBG Linked).xlsx]Equities!R299C40</stp>
        <tr r="AN299" s="2"/>
      </tp>
      <tp>
        <v>-15.5068</v>
        <stp/>
        <stp>##V3_BDPV12</stp>
        <stp>ZBH US Equity</stp>
        <stp>PR061</stp>
        <stp>[DPM - Securities Master List (BBG Linked).xlsx]Equities!R298C40</stp>
        <tr r="AN298" s="2"/>
      </tp>
      <tp>
        <v>-15.5068</v>
        <stp/>
        <stp>##V3_BDPV12</stp>
        <stp>ZBH US Equity</stp>
        <stp>PR061</stp>
        <stp>[DPM - Securities Master List (BBG Linked).xlsx]Equities!R295C40</stp>
        <tr r="AN295" s="2"/>
      </tp>
      <tp>
        <v>-15.5068</v>
        <stp/>
        <stp>##V3_BDPV12</stp>
        <stp>ZBH US Equity</stp>
        <stp>PR061</stp>
        <stp>[DPM - Securities Master List (BBG Linked).xlsx]Equities!R294C40</stp>
        <tr r="AN294" s="2"/>
      </tp>
      <tp>
        <v>-15.5068</v>
        <stp/>
        <stp>##V3_BDPV12</stp>
        <stp>ZBH US Equity</stp>
        <stp>PR061</stp>
        <stp>[DPM - Securities Master List (BBG Linked).xlsx]Equities!R297C40</stp>
        <tr r="AN297" s="2"/>
      </tp>
      <tp>
        <v>-15.5068</v>
        <stp/>
        <stp>##V3_BDPV12</stp>
        <stp>ZBH US Equity</stp>
        <stp>PR061</stp>
        <stp>[DPM - Securities Master List (BBG Linked).xlsx]Equities!R296C40</stp>
        <tr r="AN296" s="2"/>
      </tp>
      <tp>
        <v>-15.5068</v>
        <stp/>
        <stp>##V3_BDPV12</stp>
        <stp>ZBH US Equity</stp>
        <stp>PR061</stp>
        <stp>[DPM - Securities Master List (BBG Linked).xlsx]Equities!R301C40</stp>
        <tr r="AN301" s="2"/>
      </tp>
      <tp>
        <v>-15.5068</v>
        <stp/>
        <stp>##V3_BDPV12</stp>
        <stp>ZBH US Equity</stp>
        <stp>PR061</stp>
        <stp>[DPM - Securities Master List (BBG Linked).xlsx]Equities!R300C40</stp>
        <tr r="AN300" s="2"/>
      </tp>
      <tp>
        <v>-15.5068</v>
        <stp/>
        <stp>##V3_BDPV12</stp>
        <stp>ZBH US Equity</stp>
        <stp>PR061</stp>
        <stp>[DPM - Securities Master List (BBG Linked).xlsx]Equities!R302C40</stp>
        <tr r="AN302" s="2"/>
      </tp>
      <tp>
        <v>2.1510760576336079</v>
        <stp/>
        <stp>##V3_BDPV12</stp>
        <stp>MDT US Equity</stp>
        <stp>RR903</stp>
        <stp>[DPM - Securities Master List (BBG Linked).xlsx]Equities!R155C13</stp>
        <tr r="M155" s="2"/>
        <tr r="M155" s="2"/>
        <tr r="M155" s="2"/>
      </tp>
      <tp>
        <v>19.37023712063769</v>
        <stp/>
        <stp>##V3_BDPV12</stp>
        <stp>MDT US Equity</stp>
        <stp>RR900</stp>
        <stp>[DPM - Securities Master List (BBG Linked).xlsx]Equities!R155C11</stp>
        <tr r="K155" s="2"/>
        <tr r="K155" s="2"/>
        <tr r="K155" s="2"/>
      </tp>
      <tp>
        <v>14.743096724256054</v>
        <stp/>
        <stp>##V3_BDPV12</stp>
        <stp>MDT US Equity</stp>
        <stp>RR908</stp>
        <stp>[DPM - Securities Master List (BBG Linked).xlsx]Equities!R155C32</stp>
        <tr r="AF155" s="2"/>
        <tr r="AF155" s="2"/>
        <tr r="AF155" s="2"/>
      </tp>
      <tp t="s">
        <v>Tesco PLC</v>
        <stp/>
        <stp>##V3_BDPV12</stp>
        <stp>TSCO LN Equity</stp>
        <stp>SECURITY NAME</stp>
        <stp>[DPM - Securities Master List (BBG Linked).xlsx]Equities!R275C5</stp>
        <tr r="E275" s="2"/>
      </tp>
      <tp t="s">
        <v>Tesco PLC</v>
        <stp/>
        <stp>##V3_BDPV12</stp>
        <stp>TSCO LN Equity</stp>
        <stp>SECURITY NAME</stp>
        <stp>[DPM - Securities Master List (BBG Linked).xlsx]Equities!R265C5</stp>
        <tr r="E265" s="2"/>
      </tp>
      <tp t="s">
        <v>USD</v>
        <stp/>
        <stp>##V3_BDPV12</stp>
        <stp>SMSN.LI Equity</stp>
        <stp>CRNCY</stp>
        <stp>[DPM - Securities Master List (BBG Linked).xlsx]Equities!R243C6</stp>
        <tr r="F243" s="2"/>
      </tp>
      <tp t="s">
        <v>USD</v>
        <stp/>
        <stp>##V3_BDPV12</stp>
        <stp>MSFT US Equity</stp>
        <stp>CRNCY</stp>
        <stp>[DPM - Securities Master List (BBG Linked).xlsx]Equities!R174C6</stp>
        <tr r="F174" s="2"/>
      </tp>
      <tp t="s">
        <v>USD</v>
        <stp/>
        <stp>##V3_BDPV12</stp>
        <stp>MSFT US Equity</stp>
        <stp>CRNCY</stp>
        <stp>[DPM - Securities Master List (BBG Linked).xlsx]Equities!R184C6</stp>
        <tr r="F184" s="2"/>
      </tp>
      <tp>
        <v>3235609.3207504498</v>
        <stp/>
        <stp>##V3_BDPV12</stp>
        <stp>MSFT US Equity</stp>
        <stp>CRNCY_ADJ_MKT_CAP</stp>
        <stp>[DPM - Securities Master List (BBG Linked).xlsx]Equities!R179C9</stp>
        <stp>EQY_FUND_CRNCY=USD</stp>
        <tr r="I179" s="2"/>
      </tp>
      <tp>
        <v>3235609.3207504498</v>
        <stp/>
        <stp>##V3_BDPV12</stp>
        <stp>MSFT US Equity</stp>
        <stp>CRNCY_ADJ_MKT_CAP</stp>
        <stp>[DPM - Securities Master List (BBG Linked).xlsx]Equities!R178C9</stp>
        <stp>EQY_FUND_CRNCY=USD</stp>
        <tr r="I178" s="2"/>
      </tp>
      <tp>
        <v>3235609.3207504498</v>
        <stp/>
        <stp>##V3_BDPV12</stp>
        <stp>MSFT US Equity</stp>
        <stp>CRNCY_ADJ_MKT_CAP</stp>
        <stp>[DPM - Securities Master List (BBG Linked).xlsx]Equities!R177C9</stp>
        <stp>EQY_FUND_CRNCY=USD</stp>
        <tr r="I177" s="2"/>
      </tp>
      <tp>
        <v>3235609.3207504498</v>
        <stp/>
        <stp>##V3_BDPV12</stp>
        <stp>MSFT US Equity</stp>
        <stp>CRNCY_ADJ_MKT_CAP</stp>
        <stp>[DPM - Securities Master List (BBG Linked).xlsx]Equities!R176C9</stp>
        <stp>EQY_FUND_CRNCY=USD</stp>
        <tr r="I176" s="2"/>
      </tp>
      <tp>
        <v>3235609.3207504498</v>
        <stp/>
        <stp>##V3_BDPV12</stp>
        <stp>MSFT US Equity</stp>
        <stp>CRNCY_ADJ_MKT_CAP</stp>
        <stp>[DPM - Securities Master List (BBG Linked).xlsx]Equities!R175C9</stp>
        <stp>EQY_FUND_CRNCY=USD</stp>
        <tr r="I175" s="2"/>
      </tp>
      <tp>
        <v>3235609.3207504498</v>
        <stp/>
        <stp>##V3_BDPV12</stp>
        <stp>MSFT US Equity</stp>
        <stp>CRNCY_ADJ_MKT_CAP</stp>
        <stp>[DPM - Securities Master List (BBG Linked).xlsx]Equities!R174C9</stp>
        <stp>EQY_FUND_CRNCY=USD</stp>
        <tr r="I174" s="2"/>
      </tp>
      <tp>
        <v>3235609.3207504498</v>
        <stp/>
        <stp>##V3_BDPV12</stp>
        <stp>MSFT US Equity</stp>
        <stp>CRNCY_ADJ_MKT_CAP</stp>
        <stp>[DPM - Securities Master List (BBG Linked).xlsx]Equities!R173C9</stp>
        <stp>EQY_FUND_CRNCY=USD</stp>
        <tr r="I173" s="2"/>
      </tp>
      <tp>
        <v>3235609.3207504498</v>
        <stp/>
        <stp>##V3_BDPV12</stp>
        <stp>MSFT US Equity</stp>
        <stp>CRNCY_ADJ_MKT_CAP</stp>
        <stp>[DPM - Securities Master List (BBG Linked).xlsx]Equities!R172C9</stp>
        <stp>EQY_FUND_CRNCY=USD</stp>
        <tr r="I172" s="2"/>
      </tp>
      <tp>
        <v>3235609.3207504498</v>
        <stp/>
        <stp>##V3_BDPV12</stp>
        <stp>MSFT US Equity</stp>
        <stp>CRNCY_ADJ_MKT_CAP</stp>
        <stp>[DPM - Securities Master List (BBG Linked).xlsx]Equities!R171C9</stp>
        <stp>EQY_FUND_CRNCY=USD</stp>
        <tr r="I171" s="2"/>
      </tp>
      <tp>
        <v>3235609.3207504498</v>
        <stp/>
        <stp>##V3_BDPV12</stp>
        <stp>MSFT US Equity</stp>
        <stp>CRNCY_ADJ_MKT_CAP</stp>
        <stp>[DPM - Securities Master List (BBG Linked).xlsx]Equities!R170C9</stp>
        <stp>EQY_FUND_CRNCY=USD</stp>
        <tr r="I170" s="2"/>
      </tp>
      <tp>
        <v>6.3163211455018029</v>
        <stp/>
        <stp>##V3_BDPV12</stp>
        <stp>AAL US Equity</stp>
        <stp>RR900</stp>
        <stp>[DPM - Securities Master List (BBG Linked).xlsx]Equities!R28C11</stp>
        <tr r="K28" s="2"/>
        <tr r="K28" s="2"/>
        <tr r="K28" s="2"/>
      </tp>
      <tp>
        <v>6.3163211455018029</v>
        <stp/>
        <stp>##V3_BDPV12</stp>
        <stp>AAL US Equity</stp>
        <stp>RR900</stp>
        <stp>[DPM - Securities Master List (BBG Linked).xlsx]Equities!R29C11</stp>
        <tr r="K29" s="2"/>
        <tr r="K29" s="2"/>
        <tr r="K29" s="2"/>
      </tp>
      <tp t="s">
        <v>#N/A N/A</v>
        <stp/>
        <stp>##V3_BDPV12</stp>
        <stp>AAL US Equity</stp>
        <stp>RR903</stp>
        <stp>[DPM - Securities Master List (BBG Linked).xlsx]Equities!R30C13</stp>
        <tr r="M30" s="2"/>
        <tr r="M30" s="2"/>
      </tp>
      <tp t="s">
        <v>#N/A N/A</v>
        <stp/>
        <stp>##V3_BDPV12</stp>
        <stp>AAL US Equity</stp>
        <stp>RR903</stp>
        <stp>[DPM - Securities Master List (BBG Linked).xlsx]Equities!R31C13</stp>
        <tr r="M31" s="2"/>
        <tr r="M31" s="2"/>
      </tp>
      <tp t="s">
        <v>#N/A N/A</v>
        <stp/>
        <stp>##V3_BDPV12</stp>
        <stp>AAL US Equity</stp>
        <stp>RR903</stp>
        <stp>[DPM - Securities Master List (BBG Linked).xlsx]Equities!R32C13</stp>
        <tr r="M32" s="2"/>
        <tr r="M32" s="2"/>
      </tp>
      <tp t="s">
        <v>#N/A N/A</v>
        <stp/>
        <stp>##V3_BDPV12</stp>
        <stp>AAL US Equity</stp>
        <stp>RR903</stp>
        <stp>[DPM - Securities Master List (BBG Linked).xlsx]Equities!R33C13</stp>
        <tr r="M33" s="2"/>
        <tr r="M33" s="2"/>
      </tp>
      <tp t="s">
        <v>#N/A N/A</v>
        <stp/>
        <stp>##V3_BDPV12</stp>
        <stp>AAL US Equity</stp>
        <stp>RR903</stp>
        <stp>[DPM - Securities Master List (BBG Linked).xlsx]Equities!R28C13</stp>
        <tr r="M28" s="2"/>
        <tr r="M28" s="2"/>
      </tp>
      <tp t="s">
        <v>#N/A N/A</v>
        <stp/>
        <stp>##V3_BDPV12</stp>
        <stp>AAL US Equity</stp>
        <stp>RR903</stp>
        <stp>[DPM - Securities Master List (BBG Linked).xlsx]Equities!R29C13</stp>
        <tr r="M29" s="2"/>
        <tr r="M29" s="2"/>
      </tp>
      <tp>
        <v>6.3163211455018029</v>
        <stp/>
        <stp>##V3_BDPV12</stp>
        <stp>AAL US Equity</stp>
        <stp>RR900</stp>
        <stp>[DPM - Securities Master List (BBG Linked).xlsx]Equities!R30C11</stp>
        <tr r="K30" s="2"/>
        <tr r="K30" s="2"/>
        <tr r="K30" s="2"/>
      </tp>
      <tp>
        <v>6.3163211455018029</v>
        <stp/>
        <stp>##V3_BDPV12</stp>
        <stp>AAL US Equity</stp>
        <stp>RR900</stp>
        <stp>[DPM - Securities Master List (BBG Linked).xlsx]Equities!R31C11</stp>
        <tr r="K31" s="2"/>
        <tr r="K31" s="2"/>
        <tr r="K31" s="2"/>
      </tp>
      <tp>
        <v>6.3163211455018029</v>
        <stp/>
        <stp>##V3_BDPV12</stp>
        <stp>AAL US Equity</stp>
        <stp>RR900</stp>
        <stp>[DPM - Securities Master List (BBG Linked).xlsx]Equities!R32C11</stp>
        <tr r="K32" s="2"/>
        <tr r="K32" s="2"/>
        <tr r="K32" s="2"/>
      </tp>
      <tp>
        <v>6.3163211455018029</v>
        <stp/>
        <stp>##V3_BDPV12</stp>
        <stp>AAL US Equity</stp>
        <stp>RR900</stp>
        <stp>[DPM - Securities Master List (BBG Linked).xlsx]Equities!R33C11</stp>
        <tr r="K33" s="2"/>
        <tr r="K33" s="2"/>
        <tr r="K33" s="2"/>
      </tp>
      <tp>
        <v>1.6264968064157774</v>
        <stp/>
        <stp>##V3_BDPV12</stp>
        <stp>AAL US Equity</stp>
        <stp>RR908</stp>
        <stp>[DPM - Securities Master List (BBG Linked).xlsx]Equities!R30C32</stp>
        <tr r="AF30" s="2"/>
        <tr r="AF30" s="2"/>
        <tr r="AF30" s="2"/>
      </tp>
      <tp>
        <v>1.6264968064157774</v>
        <stp/>
        <stp>##V3_BDPV12</stp>
        <stp>AAL US Equity</stp>
        <stp>RR908</stp>
        <stp>[DPM - Securities Master List (BBG Linked).xlsx]Equities!R31C32</stp>
        <tr r="AF31" s="2"/>
        <tr r="AF31" s="2"/>
        <tr r="AF31" s="2"/>
      </tp>
      <tp>
        <v>1.6264968064157774</v>
        <stp/>
        <stp>##V3_BDPV12</stp>
        <stp>AAL US Equity</stp>
        <stp>RR908</stp>
        <stp>[DPM - Securities Master List (BBG Linked).xlsx]Equities!R32C32</stp>
        <tr r="AF32" s="2"/>
        <tr r="AF32" s="2"/>
        <tr r="AF32" s="2"/>
      </tp>
      <tp>
        <v>1.6264968064157774</v>
        <stp/>
        <stp>##V3_BDPV12</stp>
        <stp>AAL US Equity</stp>
        <stp>RR908</stp>
        <stp>[DPM - Securities Master List (BBG Linked).xlsx]Equities!R33C32</stp>
        <tr r="AF33" s="2"/>
        <tr r="AF33" s="2"/>
        <tr r="AF33" s="2"/>
      </tp>
      <tp>
        <v>1.6264968064157774</v>
        <stp/>
        <stp>##V3_BDPV12</stp>
        <stp>AAL US Equity</stp>
        <stp>RR908</stp>
        <stp>[DPM - Securities Master List (BBG Linked).xlsx]Equities!R28C32</stp>
        <tr r="AF28" s="2"/>
        <tr r="AF28" s="2"/>
        <tr r="AF28" s="2"/>
      </tp>
      <tp>
        <v>1.6264968064157774</v>
        <stp/>
        <stp>##V3_BDPV12</stp>
        <stp>AAL US Equity</stp>
        <stp>RR908</stp>
        <stp>[DPM - Securities Master List (BBG Linked).xlsx]Equities!R29C32</stp>
        <tr r="AF29" s="2"/>
        <tr r="AF29" s="2"/>
        <tr r="AF29" s="2"/>
      </tp>
      <tp t="s">
        <v>GSK PLC</v>
        <stp/>
        <stp>##V3_BDPV12</stp>
        <stp>GSK LN Equity</stp>
        <stp>SECURITY NAME</stp>
        <stp>[DPM - Securities Master List (BBG Linked).xlsx]Equities!R143C5</stp>
        <tr r="E143" s="2"/>
      </tp>
      <tp>
        <v>7.8749983385778215</v>
        <stp/>
        <stp>##V3_BDPV12</stp>
        <stp>AAL US Equity</stp>
        <stp>RR957</stp>
        <stp>[DPM - Securities Master List (BBG Linked).xlsx]Equities!R28C14</stp>
        <tr r="N28" s="2"/>
        <tr r="N28" s="2"/>
        <tr r="N28" s="2"/>
      </tp>
      <tp>
        <v>7.8749983385778215</v>
        <stp/>
        <stp>##V3_BDPV12</stp>
        <stp>AAL US Equity</stp>
        <stp>RR957</stp>
        <stp>[DPM - Securities Master List (BBG Linked).xlsx]Equities!R29C14</stp>
        <tr r="N29" s="2"/>
        <tr r="N29" s="2"/>
        <tr r="N29" s="2"/>
      </tp>
      <tp>
        <v>7.8749983385778215</v>
        <stp/>
        <stp>##V3_BDPV12</stp>
        <stp>AAL US Equity</stp>
        <stp>RR957</stp>
        <stp>[DPM - Securities Master List (BBG Linked).xlsx]Equities!R30C14</stp>
        <tr r="N30" s="2"/>
        <tr r="N30" s="2"/>
        <tr r="N30" s="2"/>
      </tp>
      <tp>
        <v>7.8749983385778215</v>
        <stp/>
        <stp>##V3_BDPV12</stp>
        <stp>AAL US Equity</stp>
        <stp>RR957</stp>
        <stp>[DPM - Securities Master List (BBG Linked).xlsx]Equities!R31C14</stp>
        <tr r="N31" s="2"/>
        <tr r="N31" s="2"/>
        <tr r="N31" s="2"/>
      </tp>
      <tp>
        <v>7.8749983385778215</v>
        <stp/>
        <stp>##V3_BDPV12</stp>
        <stp>AAL US Equity</stp>
        <stp>RR957</stp>
        <stp>[DPM - Securities Master List (BBG Linked).xlsx]Equities!R32C14</stp>
        <tr r="N32" s="2"/>
        <tr r="N32" s="2"/>
        <tr r="N32" s="2"/>
      </tp>
      <tp>
        <v>7.8749983385778215</v>
        <stp/>
        <stp>##V3_BDPV12</stp>
        <stp>AAL US Equity</stp>
        <stp>RR957</stp>
        <stp>[DPM - Securities Master List (BBG Linked).xlsx]Equities!R33C14</stp>
        <tr r="N33" s="2"/>
        <tr r="N33" s="2"/>
        <tr r="N33" s="2"/>
      </tp>
      <tp t="s">
        <v>Drax Group PLC</v>
        <stp/>
        <stp>##V3_BDPV12</stp>
        <stp>DRX LN Equity</stp>
        <stp>SECURITY NAME</stp>
        <stp>[DPM - Securities Master List (BBG Linked).xlsx]Equities!R120C5</stp>
        <tr r="E120" s="2"/>
      </tp>
      <tp t="s">
        <v>Zimmer Biomet Holdings Inc</v>
        <stp/>
        <stp>##V3_BDPV12</stp>
        <stp>ZBH US Equity</stp>
        <stp>SECURITY NAME</stp>
        <stp>[DPM - Securities Master List (BBG Linked).xlsx]Equities!R297C5</stp>
        <tr r="E297" s="2"/>
      </tp>
      <tp t="s">
        <v>N</v>
        <stp/>
        <stp>##V3_BDPV12</stp>
        <stp>AAL US Equity</stp>
        <stp>DY997</stp>
        <stp>[DPM - Securities Master List (BBG Linked).xlsx]Equities!R33C47</stp>
        <tr r="AU33" s="2"/>
        <tr r="AU33" s="2"/>
        <tr r="AU33" s="2"/>
      </tp>
      <tp t="s">
        <v>N</v>
        <stp/>
        <stp>##V3_BDPV12</stp>
        <stp>AAL US Equity</stp>
        <stp>DY997</stp>
        <stp>[DPM - Securities Master List (BBG Linked).xlsx]Equities!R32C47</stp>
        <tr r="AU32" s="2"/>
        <tr r="AU32" s="2"/>
        <tr r="AU32" s="2"/>
      </tp>
      <tp t="s">
        <v>N</v>
        <stp/>
        <stp>##V3_BDPV12</stp>
        <stp>AAL US Equity</stp>
        <stp>DY997</stp>
        <stp>[DPM - Securities Master List (BBG Linked).xlsx]Equities!R31C47</stp>
        <tr r="AU31" s="2"/>
        <tr r="AU31" s="2"/>
        <tr r="AU31" s="2"/>
      </tp>
      <tp t="s">
        <v>N</v>
        <stp/>
        <stp>##V3_BDPV12</stp>
        <stp>AAL US Equity</stp>
        <stp>DY997</stp>
        <stp>[DPM - Securities Master List (BBG Linked).xlsx]Equities!R30C47</stp>
        <tr r="AU30" s="2"/>
        <tr r="AU30" s="2"/>
        <tr r="AU30" s="2"/>
      </tp>
      <tp t="s">
        <v>N</v>
        <stp/>
        <stp>##V3_BDPV12</stp>
        <stp>AAL US Equity</stp>
        <stp>DY997</stp>
        <stp>[DPM - Securities Master List (BBG Linked).xlsx]Equities!R29C47</stp>
        <tr r="AU29" s="2"/>
        <tr r="AU29" s="2"/>
        <tr r="AU29" s="2"/>
      </tp>
      <tp t="s">
        <v>N</v>
        <stp/>
        <stp>##V3_BDPV12</stp>
        <stp>AAL US Equity</stp>
        <stp>DY997</stp>
        <stp>[DPM - Securities Master List (BBG Linked).xlsx]Equities!R28C47</stp>
        <tr r="AU28" s="2"/>
        <tr r="AU28" s="2"/>
        <tr r="AU28" s="2"/>
      </tp>
      <tp t="s">
        <v>Diageo PLC</v>
        <stp/>
        <stp>##V3_BDPV12</stp>
        <stp>DGE LN Equity</stp>
        <stp>SECURITY NAME</stp>
        <stp>[DPM - Securities Master List (BBG Linked).xlsx]Equities!R110C5</stp>
        <tr r="E110" s="2"/>
      </tp>
      <tp t="s">
        <v>USD</v>
        <stp/>
        <stp>##V3_BDPV12</stp>
        <stp>MRK US Equity</stp>
        <stp>CRNCY</stp>
        <stp>[DPM - Securities Master List (BBG Linked).xlsx]Equities!R158C6</stp>
        <tr r="F158" s="2"/>
      </tp>
      <tp t="s">
        <v>USD</v>
        <stp/>
        <stp>##V3_BDPV12</stp>
        <stp>MRK US Equity</stp>
        <stp>CRNCY</stp>
        <stp>[DPM - Securities Master List (BBG Linked).xlsx]Equities!R168C6</stp>
        <tr r="F168" s="2"/>
      </tp>
      <tp t="s">
        <v>EUR</v>
        <stp/>
        <stp>##V3_BDPV12</stp>
        <stp>TTE FP Equity</stp>
        <stp>CRNCY</stp>
        <stp>[DPM - Securities Master List (BBG Linked).xlsx]Equities!R282C6</stp>
        <tr r="F282" s="2"/>
      </tp>
      <tp>
        <v>52.28</v>
        <stp/>
        <stp>##V3_BDPV12</stp>
        <stp>NKE US Equity</stp>
        <stp>hs002</stp>
        <stp>[DPM - Securities Master List (BBG Linked).xlsx]Equities!R221C45</stp>
        <tr r="AS221" s="2"/>
      </tp>
      <tp>
        <v>52.28</v>
        <stp/>
        <stp>##V3_BDPV12</stp>
        <stp>NKE US Equity</stp>
        <stp>hs002</stp>
        <stp>[DPM - Securities Master List (BBG Linked).xlsx]Equities!R220C45</stp>
        <tr r="AS220" s="2"/>
      </tp>
      <tp>
        <v>52.28</v>
        <stp/>
        <stp>##V3_BDPV12</stp>
        <stp>NKE US Equity</stp>
        <stp>hs002</stp>
        <stp>[DPM - Securities Master List (BBG Linked).xlsx]Equities!R222C45</stp>
        <tr r="AS222" s="2"/>
      </tp>
      <tp>
        <v>52.28</v>
        <stp/>
        <stp>##V3_BDPV12</stp>
        <stp>NKE US Equity</stp>
        <stp>hs002</stp>
        <stp>[DPM - Securities Master List (BBG Linked).xlsx]Equities!R219C45</stp>
        <tr r="AS219" s="2"/>
      </tp>
      <tp>
        <v>52.28</v>
        <stp/>
        <stp>##V3_BDPV12</stp>
        <stp>NKE US Equity</stp>
        <stp>hs002</stp>
        <stp>[DPM - Securities Master List (BBG Linked).xlsx]Equities!R218C45</stp>
        <tr r="AS218" s="2"/>
      </tp>
      <tp>
        <v>52.28</v>
        <stp/>
        <stp>##V3_BDPV12</stp>
        <stp>NKE US Equity</stp>
        <stp>hs002</stp>
        <stp>[DPM - Securities Master List (BBG Linked).xlsx]Equities!R215C45</stp>
        <tr r="AS215" s="2"/>
      </tp>
      <tp>
        <v>52.28</v>
        <stp/>
        <stp>##V3_BDPV12</stp>
        <stp>NKE US Equity</stp>
        <stp>hs002</stp>
        <stp>[DPM - Securities Master List (BBG Linked).xlsx]Equities!R214C45</stp>
        <tr r="AS214" s="2"/>
      </tp>
      <tp>
        <v>52.28</v>
        <stp/>
        <stp>##V3_BDPV12</stp>
        <stp>NKE US Equity</stp>
        <stp>hs002</stp>
        <stp>[DPM - Securities Master List (BBG Linked).xlsx]Equities!R217C45</stp>
        <tr r="AS217" s="2"/>
      </tp>
      <tp>
        <v>52.28</v>
        <stp/>
        <stp>##V3_BDPV12</stp>
        <stp>NKE US Equity</stp>
        <stp>hs002</stp>
        <stp>[DPM - Securities Master List (BBG Linked).xlsx]Equities!R216C45</stp>
        <tr r="AS216" s="2"/>
      </tp>
      <tp>
        <v>52.28</v>
        <stp/>
        <stp>##V3_BDPV12</stp>
        <stp>NKE US Equity</stp>
        <stp>hs002</stp>
        <stp>[DPM - Securities Master List (BBG Linked).xlsx]Equities!R211C45</stp>
        <tr r="AS211" s="2"/>
      </tp>
      <tp>
        <v>52.28</v>
        <stp/>
        <stp>##V3_BDPV12</stp>
        <stp>NKE US Equity</stp>
        <stp>hs002</stp>
        <stp>[DPM - Securities Master List (BBG Linked).xlsx]Equities!R210C45</stp>
        <tr r="AS210" s="2"/>
      </tp>
      <tp>
        <v>52.28</v>
        <stp/>
        <stp>##V3_BDPV12</stp>
        <stp>NKE US Equity</stp>
        <stp>hs002</stp>
        <stp>[DPM - Securities Master List (BBG Linked).xlsx]Equities!R213C45</stp>
        <tr r="AS213" s="2"/>
      </tp>
      <tp>
        <v>52.28</v>
        <stp/>
        <stp>##V3_BDPV12</stp>
        <stp>NKE US Equity</stp>
        <stp>hs002</stp>
        <stp>[DPM - Securities Master List (BBG Linked).xlsx]Equities!R212C45</stp>
        <tr r="AS212" s="2"/>
      </tp>
      <tp>
        <v>52.28</v>
        <stp/>
        <stp>##V3_BDPV12</stp>
        <stp>NKE US Equity</stp>
        <stp>hs002</stp>
        <stp>[DPM - Securities Master List (BBG Linked).xlsx]Equities!R209C45</stp>
        <tr r="AS209" s="2"/>
      </tp>
      <tp>
        <v>52.28</v>
        <stp/>
        <stp>##V3_BDPV12</stp>
        <stp>NKE US Equity</stp>
        <stp>hs002</stp>
        <stp>[DPM - Securities Master List (BBG Linked).xlsx]Equities!R208C45</stp>
        <tr r="AS208" s="2"/>
      </tp>
      <tp>
        <v>52.28</v>
        <stp/>
        <stp>##V3_BDPV12</stp>
        <stp>NKE US Equity</stp>
        <stp>hs002</stp>
        <stp>[DPM - Securities Master List (BBG Linked).xlsx]Equities!R207C45</stp>
        <tr r="AS207" s="2"/>
      </tp>
      <tp>
        <v>68.599999999999994</v>
        <stp/>
        <stp>##V3_BDPV12</stp>
        <stp>PYPL US Equity</stp>
        <stp>PX_LAST</stp>
        <stp>[DPM - Securities Master List (BBG Linked).xlsx]Equities!R238C17</stp>
        <tr r="Q238" s="2"/>
      </tp>
      <tp>
        <v>68.599999999999994</v>
        <stp/>
        <stp>##V3_BDPV12</stp>
        <stp>PYPL US Equity</stp>
        <stp>PX_LAST</stp>
        <stp>[DPM - Securities Master List (BBG Linked).xlsx]Equities!R239C17</stp>
        <tr r="Q239" s="2"/>
      </tp>
      <tp>
        <v>68.599999999999994</v>
        <stp/>
        <stp>##V3_BDPV12</stp>
        <stp>PYPL US Equity</stp>
        <stp>PX_LAST</stp>
        <stp>[DPM - Securities Master List (BBG Linked).xlsx]Equities!R237C17</stp>
        <tr r="Q237" s="2"/>
      </tp>
      <tp>
        <v>98.04</v>
        <stp/>
        <stp>##V3_BDPV12</stp>
        <stp>NKE US Equity</stp>
        <stp>hs001</stp>
        <stp>[DPM - Securities Master List (BBG Linked).xlsx]Equities!R221C44</stp>
        <tr r="AR221" s="2"/>
      </tp>
      <tp>
        <v>98.04</v>
        <stp/>
        <stp>##V3_BDPV12</stp>
        <stp>NKE US Equity</stp>
        <stp>hs001</stp>
        <stp>[DPM - Securities Master List (BBG Linked).xlsx]Equities!R220C44</stp>
        <tr r="AR220" s="2"/>
      </tp>
      <tp>
        <v>98.04</v>
        <stp/>
        <stp>##V3_BDPV12</stp>
        <stp>NKE US Equity</stp>
        <stp>hs001</stp>
        <stp>[DPM - Securities Master List (BBG Linked).xlsx]Equities!R222C44</stp>
        <tr r="AR222" s="2"/>
      </tp>
      <tp>
        <v>98.04</v>
        <stp/>
        <stp>##V3_BDPV12</stp>
        <stp>NKE US Equity</stp>
        <stp>hs001</stp>
        <stp>[DPM - Securities Master List (BBG Linked).xlsx]Equities!R209C44</stp>
        <tr r="AR209" s="2"/>
      </tp>
      <tp>
        <v>98.04</v>
        <stp/>
        <stp>##V3_BDPV12</stp>
        <stp>NKE US Equity</stp>
        <stp>hs001</stp>
        <stp>[DPM - Securities Master List (BBG Linked).xlsx]Equities!R208C44</stp>
        <tr r="AR208" s="2"/>
      </tp>
      <tp>
        <v>98.04</v>
        <stp/>
        <stp>##V3_BDPV12</stp>
        <stp>NKE US Equity</stp>
        <stp>hs001</stp>
        <stp>[DPM - Securities Master List (BBG Linked).xlsx]Equities!R207C44</stp>
        <tr r="AR207" s="2"/>
      </tp>
      <tp>
        <v>98.04</v>
        <stp/>
        <stp>##V3_BDPV12</stp>
        <stp>NKE US Equity</stp>
        <stp>hs001</stp>
        <stp>[DPM - Securities Master List (BBG Linked).xlsx]Equities!R219C44</stp>
        <tr r="AR219" s="2"/>
      </tp>
      <tp>
        <v>98.04</v>
        <stp/>
        <stp>##V3_BDPV12</stp>
        <stp>NKE US Equity</stp>
        <stp>hs001</stp>
        <stp>[DPM - Securities Master List (BBG Linked).xlsx]Equities!R218C44</stp>
        <tr r="AR218" s="2"/>
      </tp>
      <tp>
        <v>98.04</v>
        <stp/>
        <stp>##V3_BDPV12</stp>
        <stp>NKE US Equity</stp>
        <stp>hs001</stp>
        <stp>[DPM - Securities Master List (BBG Linked).xlsx]Equities!R215C44</stp>
        <tr r="AR215" s="2"/>
      </tp>
      <tp>
        <v>98.04</v>
        <stp/>
        <stp>##V3_BDPV12</stp>
        <stp>NKE US Equity</stp>
        <stp>hs001</stp>
        <stp>[DPM - Securities Master List (BBG Linked).xlsx]Equities!R214C44</stp>
        <tr r="AR214" s="2"/>
      </tp>
      <tp>
        <v>98.04</v>
        <stp/>
        <stp>##V3_BDPV12</stp>
        <stp>NKE US Equity</stp>
        <stp>hs001</stp>
        <stp>[DPM - Securities Master List (BBG Linked).xlsx]Equities!R217C44</stp>
        <tr r="AR217" s="2"/>
      </tp>
      <tp>
        <v>98.04</v>
        <stp/>
        <stp>##V3_BDPV12</stp>
        <stp>NKE US Equity</stp>
        <stp>hs001</stp>
        <stp>[DPM - Securities Master List (BBG Linked).xlsx]Equities!R216C44</stp>
        <tr r="AR216" s="2"/>
      </tp>
      <tp>
        <v>98.04</v>
        <stp/>
        <stp>##V3_BDPV12</stp>
        <stp>NKE US Equity</stp>
        <stp>hs001</stp>
        <stp>[DPM - Securities Master List (BBG Linked).xlsx]Equities!R211C44</stp>
        <tr r="AR211" s="2"/>
      </tp>
      <tp>
        <v>98.04</v>
        <stp/>
        <stp>##V3_BDPV12</stp>
        <stp>NKE US Equity</stp>
        <stp>hs001</stp>
        <stp>[DPM - Securities Master List (BBG Linked).xlsx]Equities!R210C44</stp>
        <tr r="AR210" s="2"/>
      </tp>
      <tp>
        <v>98.04</v>
        <stp/>
        <stp>##V3_BDPV12</stp>
        <stp>NKE US Equity</stp>
        <stp>hs001</stp>
        <stp>[DPM - Securities Master List (BBG Linked).xlsx]Equities!R213C44</stp>
        <tr r="AR213" s="2"/>
      </tp>
      <tp>
        <v>98.04</v>
        <stp/>
        <stp>##V3_BDPV12</stp>
        <stp>NKE US Equity</stp>
        <stp>hs001</stp>
        <stp>[DPM - Securities Master List (BBG Linked).xlsx]Equities!R212C44</stp>
        <tr r="AR212" s="2"/>
      </tp>
      <tp>
        <v>0</v>
        <stp/>
        <stp>##V3_BDPV12</stp>
        <stp>SSE LN Equity</stp>
        <stp>TOT_SELL_REC</stp>
        <stp>[DPM - Securities Master List (BBG Linked).xlsx]Equities!R254C36</stp>
        <tr r="AJ254" s="2"/>
      </tp>
      <tp>
        <v>0</v>
        <stp/>
        <stp>##V3_BDPV12</stp>
        <stp>SSE LN Equity</stp>
        <stp>TOT_SELL_REC</stp>
        <stp>[DPM - Securities Master List (BBG Linked).xlsx]Equities!R255C36</stp>
        <tr r="AJ255" s="2"/>
      </tp>
      <tp>
        <v>0</v>
        <stp/>
        <stp>##V3_BDPV12</stp>
        <stp>SSE LN Equity</stp>
        <stp>TOT_SELL_REC</stp>
        <stp>[DPM - Securities Master List (BBG Linked).xlsx]Equities!R256C36</stp>
        <tr r="AJ256" s="2"/>
      </tp>
      <tp>
        <v>0</v>
        <stp/>
        <stp>##V3_BDPV12</stp>
        <stp>SSE LN Equity</stp>
        <stp>TOT_SELL_REC</stp>
        <stp>[DPM - Securities Master List (BBG Linked).xlsx]Equities!R257C36</stp>
        <tr r="AJ257" s="2"/>
      </tp>
      <tp>
        <v>0</v>
        <stp/>
        <stp>##V3_BDPV12</stp>
        <stp>SSE LN Equity</stp>
        <stp>TOT_SELL_REC</stp>
        <stp>[DPM - Securities Master List (BBG Linked).xlsx]Equities!R250C36</stp>
        <tr r="AJ250" s="2"/>
      </tp>
      <tp>
        <v>0</v>
        <stp/>
        <stp>##V3_BDPV12</stp>
        <stp>SSE LN Equity</stp>
        <stp>TOT_SELL_REC</stp>
        <stp>[DPM - Securities Master List (BBG Linked).xlsx]Equities!R251C36</stp>
        <tr r="AJ251" s="2"/>
      </tp>
      <tp>
        <v>0</v>
        <stp/>
        <stp>##V3_BDPV12</stp>
        <stp>SSE LN Equity</stp>
        <stp>TOT_SELL_REC</stp>
        <stp>[DPM - Securities Master List (BBG Linked).xlsx]Equities!R252C36</stp>
        <tr r="AJ252" s="2"/>
      </tp>
      <tp>
        <v>0</v>
        <stp/>
        <stp>##V3_BDPV12</stp>
        <stp>SSE LN Equity</stp>
        <stp>TOT_SELL_REC</stp>
        <stp>[DPM - Securities Master List (BBG Linked).xlsx]Equities!R253C36</stp>
        <tr r="AJ253" s="2"/>
      </tp>
      <tp>
        <v>0</v>
        <stp/>
        <stp>##V3_BDPV12</stp>
        <stp>SSE LN Equity</stp>
        <stp>TOT_SELL_REC</stp>
        <stp>[DPM - Securities Master List (BBG Linked).xlsx]Equities!R258C36</stp>
        <tr r="AJ258" s="2"/>
      </tp>
      <tp>
        <v>0</v>
        <stp/>
        <stp>##V3_BDPV12</stp>
        <stp>SSE LN Equity</stp>
        <stp>TOT_SELL_REC</stp>
        <stp>[DPM - Securities Master List (BBG Linked).xlsx]Equities!R244C36</stp>
        <tr r="AJ244" s="2"/>
      </tp>
      <tp>
        <v>0</v>
        <stp/>
        <stp>##V3_BDPV12</stp>
        <stp>SSE LN Equity</stp>
        <stp>TOT_SELL_REC</stp>
        <stp>[DPM - Securities Master List (BBG Linked).xlsx]Equities!R245C36</stp>
        <tr r="AJ245" s="2"/>
      </tp>
      <tp>
        <v>0</v>
        <stp/>
        <stp>##V3_BDPV12</stp>
        <stp>SSE LN Equity</stp>
        <stp>TOT_SELL_REC</stp>
        <stp>[DPM - Securities Master List (BBG Linked).xlsx]Equities!R246C36</stp>
        <tr r="AJ246" s="2"/>
      </tp>
      <tp>
        <v>0</v>
        <stp/>
        <stp>##V3_BDPV12</stp>
        <stp>SSE LN Equity</stp>
        <stp>TOT_SELL_REC</stp>
        <stp>[DPM - Securities Master List (BBG Linked).xlsx]Equities!R247C36</stp>
        <tr r="AJ247" s="2"/>
      </tp>
      <tp>
        <v>0</v>
        <stp/>
        <stp>##V3_BDPV12</stp>
        <stp>SSE LN Equity</stp>
        <stp>TOT_SELL_REC</stp>
        <stp>[DPM - Securities Master List (BBG Linked).xlsx]Equities!R248C36</stp>
        <tr r="AJ248" s="2"/>
      </tp>
      <tp>
        <v>0</v>
        <stp/>
        <stp>##V3_BDPV12</stp>
        <stp>SSE LN Equity</stp>
        <stp>TOT_SELL_REC</stp>
        <stp>[DPM - Securities Master List (BBG Linked).xlsx]Equities!R249C36</stp>
        <tr r="AJ249" s="2"/>
      </tp>
      <tp>
        <v>8.1131456257286114</v>
        <stp/>
        <stp>##V3_BDPV12</stp>
        <stp>SSE LN Equity</stp>
        <stp>RR957</stp>
        <stp>[DPM - Securities Master List (BBG Linked).xlsx]Equities!R250C14</stp>
        <tr r="N250" s="2"/>
        <tr r="N250" s="2"/>
        <tr r="N250" s="2"/>
      </tp>
      <tp>
        <v>8.1131456257286114</v>
        <stp/>
        <stp>##V3_BDPV12</stp>
        <stp>SSE LN Equity</stp>
        <stp>RR957</stp>
        <stp>[DPM - Securities Master List (BBG Linked).xlsx]Equities!R251C14</stp>
        <tr r="N251" s="2"/>
        <tr r="N251" s="2"/>
        <tr r="N251" s="2"/>
      </tp>
      <tp>
        <v>8.1131456257286114</v>
        <stp/>
        <stp>##V3_BDPV12</stp>
        <stp>SSE LN Equity</stp>
        <stp>RR957</stp>
        <stp>[DPM - Securities Master List (BBG Linked).xlsx]Equities!R252C14</stp>
        <tr r="N252" s="2"/>
        <tr r="N252" s="2"/>
        <tr r="N252" s="2"/>
      </tp>
      <tp>
        <v>8.1131456257286114</v>
        <stp/>
        <stp>##V3_BDPV12</stp>
        <stp>SSE LN Equity</stp>
        <stp>RR957</stp>
        <stp>[DPM - Securities Master List (BBG Linked).xlsx]Equities!R253C14</stp>
        <tr r="N253" s="2"/>
        <tr r="N253" s="2"/>
        <tr r="N253" s="2"/>
      </tp>
      <tp>
        <v>8.1131456257286114</v>
        <stp/>
        <stp>##V3_BDPV12</stp>
        <stp>SSE LN Equity</stp>
        <stp>RR957</stp>
        <stp>[DPM - Securities Master List (BBG Linked).xlsx]Equities!R254C14</stp>
        <tr r="N254" s="2"/>
        <tr r="N254" s="2"/>
        <tr r="N254" s="2"/>
      </tp>
      <tp>
        <v>8.1131456257286114</v>
        <stp/>
        <stp>##V3_BDPV12</stp>
        <stp>SSE LN Equity</stp>
        <stp>RR957</stp>
        <stp>[DPM - Securities Master List (BBG Linked).xlsx]Equities!R255C14</stp>
        <tr r="N255" s="2"/>
        <tr r="N255" s="2"/>
        <tr r="N255" s="2"/>
      </tp>
      <tp>
        <v>8.1131456257286114</v>
        <stp/>
        <stp>##V3_BDPV12</stp>
        <stp>SSE LN Equity</stp>
        <stp>RR957</stp>
        <stp>[DPM - Securities Master List (BBG Linked).xlsx]Equities!R256C14</stp>
        <tr r="N256" s="2"/>
        <tr r="N256" s="2"/>
        <tr r="N256" s="2"/>
      </tp>
      <tp>
        <v>8.1131456257286114</v>
        <stp/>
        <stp>##V3_BDPV12</stp>
        <stp>SSE LN Equity</stp>
        <stp>RR957</stp>
        <stp>[DPM - Securities Master List (BBG Linked).xlsx]Equities!R257C14</stp>
        <tr r="N257" s="2"/>
        <tr r="N257" s="2"/>
        <tr r="N257" s="2"/>
      </tp>
      <tp>
        <v>8.1131456257286114</v>
        <stp/>
        <stp>##V3_BDPV12</stp>
        <stp>SSE LN Equity</stp>
        <stp>RR957</stp>
        <stp>[DPM - Securities Master List (BBG Linked).xlsx]Equities!R258C14</stp>
        <tr r="N258" s="2"/>
        <tr r="N258" s="2"/>
        <tr r="N258" s="2"/>
      </tp>
      <tp>
        <v>8.1131456257286114</v>
        <stp/>
        <stp>##V3_BDPV12</stp>
        <stp>SSE LN Equity</stp>
        <stp>RR957</stp>
        <stp>[DPM - Securities Master List (BBG Linked).xlsx]Equities!R244C14</stp>
        <tr r="N244" s="2"/>
        <tr r="N244" s="2"/>
        <tr r="N244" s="2"/>
      </tp>
      <tp>
        <v>8.1131456257286114</v>
        <stp/>
        <stp>##V3_BDPV12</stp>
        <stp>SSE LN Equity</stp>
        <stp>RR957</stp>
        <stp>[DPM - Securities Master List (BBG Linked).xlsx]Equities!R246C14</stp>
        <tr r="N246" s="2"/>
        <tr r="N246" s="2"/>
        <tr r="N246" s="2"/>
      </tp>
      <tp>
        <v>8.1131456257286114</v>
        <stp/>
        <stp>##V3_BDPV12</stp>
        <stp>SSE LN Equity</stp>
        <stp>RR957</stp>
        <stp>[DPM - Securities Master List (BBG Linked).xlsx]Equities!R247C14</stp>
        <tr r="N247" s="2"/>
        <tr r="N247" s="2"/>
        <tr r="N247" s="2"/>
      </tp>
      <tp>
        <v>8.1131456257286114</v>
        <stp/>
        <stp>##V3_BDPV12</stp>
        <stp>SSE LN Equity</stp>
        <stp>RR957</stp>
        <stp>[DPM - Securities Master List (BBG Linked).xlsx]Equities!R248C14</stp>
        <tr r="N248" s="2"/>
        <tr r="N248" s="2"/>
        <tr r="N248" s="2"/>
      </tp>
      <tp>
        <v>8.1131456257286114</v>
        <stp/>
        <stp>##V3_BDPV12</stp>
        <stp>SSE LN Equity</stp>
        <stp>RR957</stp>
        <stp>[DPM - Securities Master List (BBG Linked).xlsx]Equities!R249C14</stp>
        <tr r="N249" s="2"/>
        <tr r="N249" s="2"/>
        <tr r="N249" s="2"/>
      </tp>
      <tp>
        <v>18.990099312055229</v>
        <stp/>
        <stp>##V3_BDPV12</stp>
        <stp>NKE US Equity</stp>
        <stp>RR900</stp>
        <stp>[DPM - Securities Master List (BBG Linked).xlsx]Equities!R220C11</stp>
        <tr r="K220" s="2"/>
        <tr r="K220" s="2"/>
        <tr r="K220" s="2"/>
      </tp>
      <tp>
        <v>18.990099312055229</v>
        <stp/>
        <stp>##V3_BDPV12</stp>
        <stp>NKE US Equity</stp>
        <stp>RR900</stp>
        <stp>[DPM - Securities Master List (BBG Linked).xlsx]Equities!R221C11</stp>
        <tr r="K221" s="2"/>
        <tr r="K221" s="2"/>
        <tr r="K221" s="2"/>
      </tp>
      <tp>
        <v>18.990099312055229</v>
        <stp/>
        <stp>##V3_BDPV12</stp>
        <stp>NKE US Equity</stp>
        <stp>RR900</stp>
        <stp>[DPM - Securities Master List (BBG Linked).xlsx]Equities!R222C11</stp>
        <tr r="K222" s="2"/>
        <tr r="K222" s="2"/>
        <tr r="K222" s="2"/>
      </tp>
      <tp>
        <v>18.990099312055229</v>
        <stp/>
        <stp>##V3_BDPV12</stp>
        <stp>NKE US Equity</stp>
        <stp>RR900</stp>
        <stp>[DPM - Securities Master List (BBG Linked).xlsx]Equities!R207C11</stp>
        <tr r="K207" s="2"/>
        <tr r="K207" s="2"/>
        <tr r="K207" s="2"/>
      </tp>
      <tp>
        <v>18.990099312055229</v>
        <stp/>
        <stp>##V3_BDPV12</stp>
        <stp>NKE US Equity</stp>
        <stp>RR900</stp>
        <stp>[DPM - Securities Master List (BBG Linked).xlsx]Equities!R208C11</stp>
        <tr r="K208" s="2"/>
        <tr r="K208" s="2"/>
        <tr r="K208" s="2"/>
      </tp>
      <tp>
        <v>18.990099312055229</v>
        <stp/>
        <stp>##V3_BDPV12</stp>
        <stp>NKE US Equity</stp>
        <stp>RR900</stp>
        <stp>[DPM - Securities Master List (BBG Linked).xlsx]Equities!R209C11</stp>
        <tr r="K209" s="2"/>
        <tr r="K209" s="2"/>
        <tr r="K209" s="2"/>
      </tp>
      <tp>
        <v>18.990099312055229</v>
        <stp/>
        <stp>##V3_BDPV12</stp>
        <stp>NKE US Equity</stp>
        <stp>RR900</stp>
        <stp>[DPM - Securities Master List (BBG Linked).xlsx]Equities!R214C11</stp>
        <tr r="K214" s="2"/>
        <tr r="K214" s="2"/>
        <tr r="K214" s="2"/>
      </tp>
      <tp>
        <v>18.990099312055229</v>
        <stp/>
        <stp>##V3_BDPV12</stp>
        <stp>NKE US Equity</stp>
        <stp>RR900</stp>
        <stp>[DPM - Securities Master List (BBG Linked).xlsx]Equities!R215C11</stp>
        <tr r="K215" s="2"/>
        <tr r="K215" s="2"/>
        <tr r="K215" s="2"/>
      </tp>
      <tp>
        <v>18.990099312055229</v>
        <stp/>
        <stp>##V3_BDPV12</stp>
        <stp>NKE US Equity</stp>
        <stp>RR900</stp>
        <stp>[DPM - Securities Master List (BBG Linked).xlsx]Equities!R216C11</stp>
        <tr r="K216" s="2"/>
        <tr r="K216" s="2"/>
        <tr r="K216" s="2"/>
      </tp>
      <tp>
        <v>18.990099312055229</v>
        <stp/>
        <stp>##V3_BDPV12</stp>
        <stp>NKE US Equity</stp>
        <stp>RR900</stp>
        <stp>[DPM - Securities Master List (BBG Linked).xlsx]Equities!R217C11</stp>
        <tr r="K217" s="2"/>
        <tr r="K217" s="2"/>
        <tr r="K217" s="2"/>
      </tp>
      <tp>
        <v>18.990099312055229</v>
        <stp/>
        <stp>##V3_BDPV12</stp>
        <stp>NKE US Equity</stp>
        <stp>RR900</stp>
        <stp>[DPM - Securities Master List (BBG Linked).xlsx]Equities!R210C11</stp>
        <tr r="K210" s="2"/>
        <tr r="K210" s="2"/>
        <tr r="K210" s="2"/>
      </tp>
      <tp>
        <v>18.990099312055229</v>
        <stp/>
        <stp>##V3_BDPV12</stp>
        <stp>NKE US Equity</stp>
        <stp>RR900</stp>
        <stp>[DPM - Securities Master List (BBG Linked).xlsx]Equities!R211C11</stp>
        <tr r="K211" s="2"/>
        <tr r="K211" s="2"/>
        <tr r="K211" s="2"/>
      </tp>
      <tp>
        <v>18.990099312055229</v>
        <stp/>
        <stp>##V3_BDPV12</stp>
        <stp>NKE US Equity</stp>
        <stp>RR900</stp>
        <stp>[DPM - Securities Master List (BBG Linked).xlsx]Equities!R212C11</stp>
        <tr r="K212" s="2"/>
        <tr r="K212" s="2"/>
        <tr r="K212" s="2"/>
      </tp>
      <tp>
        <v>18.990099312055229</v>
        <stp/>
        <stp>##V3_BDPV12</stp>
        <stp>NKE US Equity</stp>
        <stp>RR900</stp>
        <stp>[DPM - Securities Master List (BBG Linked).xlsx]Equities!R213C11</stp>
        <tr r="K213" s="2"/>
        <tr r="K213" s="2"/>
        <tr r="K213" s="2"/>
      </tp>
      <tp>
        <v>18.990099312055229</v>
        <stp/>
        <stp>##V3_BDPV12</stp>
        <stp>NKE US Equity</stp>
        <stp>RR900</stp>
        <stp>[DPM - Securities Master List (BBG Linked).xlsx]Equities!R218C11</stp>
        <tr r="K218" s="2"/>
        <tr r="K218" s="2"/>
        <tr r="K218" s="2"/>
      </tp>
      <tp>
        <v>18.990099312055229</v>
        <stp/>
        <stp>##V3_BDPV12</stp>
        <stp>NKE US Equity</stp>
        <stp>RR900</stp>
        <stp>[DPM - Securities Master List (BBG Linked).xlsx]Equities!R219C11</stp>
        <tr r="K219" s="2"/>
        <tr r="K219" s="2"/>
        <tr r="K219" s="2"/>
      </tp>
      <tp>
        <v>6.0674363783989351</v>
        <stp/>
        <stp>##V3_BDPV12</stp>
        <stp>NKE US Equity</stp>
        <stp>RR903</stp>
        <stp>[DPM - Securities Master List (BBG Linked).xlsx]Equities!R207C13</stp>
        <tr r="M207" s="2"/>
        <tr r="M207" s="2"/>
        <tr r="M207" s="2"/>
      </tp>
      <tp>
        <v>6.0674363783989351</v>
        <stp/>
        <stp>##V3_BDPV12</stp>
        <stp>NKE US Equity</stp>
        <stp>RR903</stp>
        <stp>[DPM - Securities Master List (BBG Linked).xlsx]Equities!R208C13</stp>
        <tr r="M208" s="2"/>
        <tr r="M208" s="2"/>
        <tr r="M208" s="2"/>
      </tp>
      <tp>
        <v>6.0674363783989351</v>
        <stp/>
        <stp>##V3_BDPV12</stp>
        <stp>NKE US Equity</stp>
        <stp>RR903</stp>
        <stp>[DPM - Securities Master List (BBG Linked).xlsx]Equities!R209C13</stp>
        <tr r="M209" s="2"/>
        <tr r="M209" s="2"/>
        <tr r="M209" s="2"/>
      </tp>
      <tp>
        <v>6.0674363783989351</v>
        <stp/>
        <stp>##V3_BDPV12</stp>
        <stp>NKE US Equity</stp>
        <stp>RR903</stp>
        <stp>[DPM - Securities Master List (BBG Linked).xlsx]Equities!R214C13</stp>
        <tr r="M214" s="2"/>
        <tr r="M214" s="2"/>
        <tr r="M214" s="2"/>
      </tp>
      <tp>
        <v>6.0674363783989351</v>
        <stp/>
        <stp>##V3_BDPV12</stp>
        <stp>NKE US Equity</stp>
        <stp>RR903</stp>
        <stp>[DPM - Securities Master List (BBG Linked).xlsx]Equities!R215C13</stp>
        <tr r="M215" s="2"/>
        <tr r="M215" s="2"/>
        <tr r="M215" s="2"/>
      </tp>
      <tp>
        <v>6.0674363783989351</v>
        <stp/>
        <stp>##V3_BDPV12</stp>
        <stp>NKE US Equity</stp>
        <stp>RR903</stp>
        <stp>[DPM - Securities Master List (BBG Linked).xlsx]Equities!R216C13</stp>
        <tr r="M216" s="2"/>
        <tr r="M216" s="2"/>
        <tr r="M216" s="2"/>
      </tp>
      <tp>
        <v>6.0674363783989351</v>
        <stp/>
        <stp>##V3_BDPV12</stp>
        <stp>NKE US Equity</stp>
        <stp>RR903</stp>
        <stp>[DPM - Securities Master List (BBG Linked).xlsx]Equities!R217C13</stp>
        <tr r="M217" s="2"/>
        <tr r="M217" s="2"/>
        <tr r="M217" s="2"/>
      </tp>
      <tp>
        <v>6.0674363783989351</v>
        <stp/>
        <stp>##V3_BDPV12</stp>
        <stp>NKE US Equity</stp>
        <stp>RR903</stp>
        <stp>[DPM - Securities Master List (BBG Linked).xlsx]Equities!R210C13</stp>
        <tr r="M210" s="2"/>
        <tr r="M210" s="2"/>
        <tr r="M210" s="2"/>
      </tp>
      <tp>
        <v>6.0674363783989351</v>
        <stp/>
        <stp>##V3_BDPV12</stp>
        <stp>NKE US Equity</stp>
        <stp>RR903</stp>
        <stp>[DPM - Securities Master List (BBG Linked).xlsx]Equities!R211C13</stp>
        <tr r="M211" s="2"/>
        <tr r="M211" s="2"/>
        <tr r="M211" s="2"/>
      </tp>
      <tp>
        <v>6.0674363783989351</v>
        <stp/>
        <stp>##V3_BDPV12</stp>
        <stp>NKE US Equity</stp>
        <stp>RR903</stp>
        <stp>[DPM - Securities Master List (BBG Linked).xlsx]Equities!R212C13</stp>
        <tr r="M212" s="2"/>
        <tr r="M212" s="2"/>
        <tr r="M212" s="2"/>
      </tp>
      <tp>
        <v>6.0674363783989351</v>
        <stp/>
        <stp>##V3_BDPV12</stp>
        <stp>NKE US Equity</stp>
        <stp>RR903</stp>
        <stp>[DPM - Securities Master List (BBG Linked).xlsx]Equities!R213C13</stp>
        <tr r="M213" s="2"/>
        <tr r="M213" s="2"/>
        <tr r="M213" s="2"/>
      </tp>
      <tp>
        <v>6.0674363783989351</v>
        <stp/>
        <stp>##V3_BDPV12</stp>
        <stp>NKE US Equity</stp>
        <stp>RR903</stp>
        <stp>[DPM - Securities Master List (BBG Linked).xlsx]Equities!R218C13</stp>
        <tr r="M218" s="2"/>
        <tr r="M218" s="2"/>
        <tr r="M218" s="2"/>
      </tp>
      <tp>
        <v>6.0674363783989351</v>
        <stp/>
        <stp>##V3_BDPV12</stp>
        <stp>NKE US Equity</stp>
        <stp>RR903</stp>
        <stp>[DPM - Securities Master List (BBG Linked).xlsx]Equities!R219C13</stp>
        <tr r="M219" s="2"/>
        <tr r="M219" s="2"/>
        <tr r="M219" s="2"/>
      </tp>
      <tp>
        <v>6.0674363783989351</v>
        <stp/>
        <stp>##V3_BDPV12</stp>
        <stp>NKE US Equity</stp>
        <stp>RR903</stp>
        <stp>[DPM - Securities Master List (BBG Linked).xlsx]Equities!R220C13</stp>
        <tr r="M220" s="2"/>
        <tr r="M220" s="2"/>
        <tr r="M220" s="2"/>
      </tp>
      <tp>
        <v>6.0674363783989351</v>
        <stp/>
        <stp>##V3_BDPV12</stp>
        <stp>NKE US Equity</stp>
        <stp>RR903</stp>
        <stp>[DPM - Securities Master List (BBG Linked).xlsx]Equities!R221C13</stp>
        <tr r="M221" s="2"/>
        <tr r="M221" s="2"/>
        <tr r="M221" s="2"/>
      </tp>
      <tp>
        <v>6.0674363783989351</v>
        <stp/>
        <stp>##V3_BDPV12</stp>
        <stp>NKE US Equity</stp>
        <stp>RR903</stp>
        <stp>[DPM - Securities Master List (BBG Linked).xlsx]Equities!R222C13</stp>
        <tr r="M222" s="2"/>
        <tr r="M222" s="2"/>
        <tr r="M222" s="2"/>
      </tp>
      <tp>
        <v>1</v>
        <stp/>
        <stp>##V3_BDPV12</stp>
        <stp>SSE LN Equity</stp>
        <stp>TOT_HOLD_REC</stp>
        <stp>[DPM - Securities Master List (BBG Linked).xlsx]Equities!R258C35</stp>
        <tr r="AI258" s="2"/>
      </tp>
      <tp>
        <v>1</v>
        <stp/>
        <stp>##V3_BDPV12</stp>
        <stp>SSE LN Equity</stp>
        <stp>TOT_HOLD_REC</stp>
        <stp>[DPM - Securities Master List (BBG Linked).xlsx]Equities!R256C35</stp>
        <tr r="AI256" s="2"/>
      </tp>
      <tp>
        <v>1</v>
        <stp/>
        <stp>##V3_BDPV12</stp>
        <stp>SSE LN Equity</stp>
        <stp>TOT_HOLD_REC</stp>
        <stp>[DPM - Securities Master List (BBG Linked).xlsx]Equities!R257C35</stp>
        <tr r="AI257" s="2"/>
      </tp>
      <tp>
        <v>1</v>
        <stp/>
        <stp>##V3_BDPV12</stp>
        <stp>SSE LN Equity</stp>
        <stp>TOT_HOLD_REC</stp>
        <stp>[DPM - Securities Master List (BBG Linked).xlsx]Equities!R254C35</stp>
        <tr r="AI254" s="2"/>
      </tp>
      <tp>
        <v>1</v>
        <stp/>
        <stp>##V3_BDPV12</stp>
        <stp>SSE LN Equity</stp>
        <stp>TOT_HOLD_REC</stp>
        <stp>[DPM - Securities Master List (BBG Linked).xlsx]Equities!R255C35</stp>
        <tr r="AI255" s="2"/>
      </tp>
      <tp>
        <v>1</v>
        <stp/>
        <stp>##V3_BDPV12</stp>
        <stp>SSE LN Equity</stp>
        <stp>TOT_HOLD_REC</stp>
        <stp>[DPM - Securities Master List (BBG Linked).xlsx]Equities!R252C35</stp>
        <tr r="AI252" s="2"/>
      </tp>
      <tp>
        <v>1</v>
        <stp/>
        <stp>##V3_BDPV12</stp>
        <stp>SSE LN Equity</stp>
        <stp>TOT_HOLD_REC</stp>
        <stp>[DPM - Securities Master List (BBG Linked).xlsx]Equities!R253C35</stp>
        <tr r="AI253" s="2"/>
      </tp>
      <tp>
        <v>1</v>
        <stp/>
        <stp>##V3_BDPV12</stp>
        <stp>SSE LN Equity</stp>
        <stp>TOT_HOLD_REC</stp>
        <stp>[DPM - Securities Master List (BBG Linked).xlsx]Equities!R250C35</stp>
        <tr r="AI250" s="2"/>
      </tp>
      <tp>
        <v>1</v>
        <stp/>
        <stp>##V3_BDPV12</stp>
        <stp>SSE LN Equity</stp>
        <stp>TOT_HOLD_REC</stp>
        <stp>[DPM - Securities Master List (BBG Linked).xlsx]Equities!R251C35</stp>
        <tr r="AI251" s="2"/>
      </tp>
      <tp>
        <v>1</v>
        <stp/>
        <stp>##V3_BDPV12</stp>
        <stp>SSE LN Equity</stp>
        <stp>TOT_HOLD_REC</stp>
        <stp>[DPM - Securities Master List (BBG Linked).xlsx]Equities!R248C35</stp>
        <tr r="AI248" s="2"/>
      </tp>
      <tp>
        <v>1</v>
        <stp/>
        <stp>##V3_BDPV12</stp>
        <stp>SSE LN Equity</stp>
        <stp>TOT_HOLD_REC</stp>
        <stp>[DPM - Securities Master List (BBG Linked).xlsx]Equities!R249C35</stp>
        <tr r="AI249" s="2"/>
      </tp>
      <tp>
        <v>1</v>
        <stp/>
        <stp>##V3_BDPV12</stp>
        <stp>SSE LN Equity</stp>
        <stp>TOT_HOLD_REC</stp>
        <stp>[DPM - Securities Master List (BBG Linked).xlsx]Equities!R246C35</stp>
        <tr r="AI246" s="2"/>
      </tp>
      <tp>
        <v>1</v>
        <stp/>
        <stp>##V3_BDPV12</stp>
        <stp>SSE LN Equity</stp>
        <stp>TOT_HOLD_REC</stp>
        <stp>[DPM - Securities Master List (BBG Linked).xlsx]Equities!R247C35</stp>
        <tr r="AI247" s="2"/>
      </tp>
      <tp>
        <v>1</v>
        <stp/>
        <stp>##V3_BDPV12</stp>
        <stp>SSE LN Equity</stp>
        <stp>TOT_HOLD_REC</stp>
        <stp>[DPM - Securities Master List (BBG Linked).xlsx]Equities!R244C35</stp>
        <tr r="AI244" s="2"/>
      </tp>
      <tp>
        <v>1</v>
        <stp/>
        <stp>##V3_BDPV12</stp>
        <stp>SSE LN Equity</stp>
        <stp>TOT_HOLD_REC</stp>
        <stp>[DPM - Securities Master List (BBG Linked).xlsx]Equities!R245C35</stp>
        <tr r="AI245" s="2"/>
      </tp>
      <tp t="s">
        <v>ANTA Sports Products Ltd</v>
        <stp/>
        <stp>##V3_BDPV12</stp>
        <stp>2020 HK Equity</stp>
        <stp>SECURITY NAME</stp>
        <stp>[DPM - Securities Master List (BBG Linked).xlsx]Equities!R3C5</stp>
        <tr r="E3" s="2"/>
      </tp>
      <tp t="s">
        <v>Equity</v>
        <stp/>
        <stp>##V3_BDPV12</stp>
        <stp>DIS US Equity</stp>
        <stp>EX028</stp>
        <stp>[DPM - Securities Master List (BBG Linked).xlsx]Equities!R115C30</stp>
        <tr r="AD115" s="2"/>
        <tr r="AD115" s="2"/>
        <tr r="AD115" s="2"/>
      </tp>
      <tp t="s">
        <v>Equity</v>
        <stp/>
        <stp>##V3_BDPV12</stp>
        <stp>DIS US Equity</stp>
        <stp>EX028</stp>
        <stp>[DPM - Securities Master List (BBG Linked).xlsx]Equities!R114C30</stp>
        <tr r="AD114" s="2"/>
        <tr r="AD114" s="2"/>
        <tr r="AD114" s="2"/>
      </tp>
      <tp t="s">
        <v>Equity</v>
        <stp/>
        <stp>##V3_BDPV12</stp>
        <stp>DIS US Equity</stp>
        <stp>EX028</stp>
        <stp>[DPM - Securities Master List (BBG Linked).xlsx]Equities!R113C30</stp>
        <tr r="AD113" s="2"/>
        <tr r="AD113" s="2"/>
        <tr r="AD113" s="2"/>
      </tp>
      <tp t="s">
        <v>Equity</v>
        <stp/>
        <stp>##V3_BDPV12</stp>
        <stp>DIS US Equity</stp>
        <stp>EX028</stp>
        <stp>[DPM - Securities Master List (BBG Linked).xlsx]Equities!R112C30</stp>
        <tr r="AD112" s="2"/>
        <tr r="AD112" s="2"/>
        <tr r="AD112" s="2"/>
      </tp>
      <tp>
        <v>14.687126263847768</v>
        <stp/>
        <stp>##V3_BDPV12</stp>
        <stp>NKE US Equity</stp>
        <stp>RR908</stp>
        <stp>[DPM - Securities Master List (BBG Linked).xlsx]Equities!R214C32</stp>
        <tr r="AF214" s="2"/>
        <tr r="AF214" s="2"/>
        <tr r="AF214" s="2"/>
      </tp>
      <tp>
        <v>14.687126263847768</v>
        <stp/>
        <stp>##V3_BDPV12</stp>
        <stp>NKE US Equity</stp>
        <stp>RR908</stp>
        <stp>[DPM - Securities Master List (BBG Linked).xlsx]Equities!R215C32</stp>
        <tr r="AF215" s="2"/>
        <tr r="AF215" s="2"/>
        <tr r="AF215" s="2"/>
      </tp>
      <tp>
        <v>14.687126263847768</v>
        <stp/>
        <stp>##V3_BDPV12</stp>
        <stp>NKE US Equity</stp>
        <stp>RR908</stp>
        <stp>[DPM - Securities Master List (BBG Linked).xlsx]Equities!R216C32</stp>
        <tr r="AF216" s="2"/>
        <tr r="AF216" s="2"/>
        <tr r="AF216" s="2"/>
      </tp>
      <tp>
        <v>14.687126263847768</v>
        <stp/>
        <stp>##V3_BDPV12</stp>
        <stp>NKE US Equity</stp>
        <stp>RR908</stp>
        <stp>[DPM - Securities Master List (BBG Linked).xlsx]Equities!R217C32</stp>
        <tr r="AF217" s="2"/>
        <tr r="AF217" s="2"/>
        <tr r="AF217" s="2"/>
      </tp>
      <tp>
        <v>14.687126263847768</v>
        <stp/>
        <stp>##V3_BDPV12</stp>
        <stp>NKE US Equity</stp>
        <stp>RR908</stp>
        <stp>[DPM - Securities Master List (BBG Linked).xlsx]Equities!R210C32</stp>
        <tr r="AF210" s="2"/>
        <tr r="AF210" s="2"/>
        <tr r="AF210" s="2"/>
      </tp>
      <tp>
        <v>14.687126263847768</v>
        <stp/>
        <stp>##V3_BDPV12</stp>
        <stp>NKE US Equity</stp>
        <stp>RR908</stp>
        <stp>[DPM - Securities Master List (BBG Linked).xlsx]Equities!R211C32</stp>
        <tr r="AF211" s="2"/>
        <tr r="AF211" s="2"/>
        <tr r="AF211" s="2"/>
      </tp>
      <tp>
        <v>14.687126263847768</v>
        <stp/>
        <stp>##V3_BDPV12</stp>
        <stp>NKE US Equity</stp>
        <stp>RR908</stp>
        <stp>[DPM - Securities Master List (BBG Linked).xlsx]Equities!R212C32</stp>
        <tr r="AF212" s="2"/>
        <tr r="AF212" s="2"/>
        <tr r="AF212" s="2"/>
      </tp>
      <tp>
        <v>14.687126263847768</v>
        <stp/>
        <stp>##V3_BDPV12</stp>
        <stp>NKE US Equity</stp>
        <stp>RR908</stp>
        <stp>[DPM - Securities Master List (BBG Linked).xlsx]Equities!R213C32</stp>
        <tr r="AF213" s="2"/>
        <tr r="AF213" s="2"/>
        <tr r="AF213" s="2"/>
      </tp>
      <tp>
        <v>14.687126263847768</v>
        <stp/>
        <stp>##V3_BDPV12</stp>
        <stp>NKE US Equity</stp>
        <stp>RR908</stp>
        <stp>[DPM - Securities Master List (BBG Linked).xlsx]Equities!R218C32</stp>
        <tr r="AF218" s="2"/>
        <tr r="AF218" s="2"/>
        <tr r="AF218" s="2"/>
      </tp>
      <tp>
        <v>14.687126263847768</v>
        <stp/>
        <stp>##V3_BDPV12</stp>
        <stp>NKE US Equity</stp>
        <stp>RR908</stp>
        <stp>[DPM - Securities Master List (BBG Linked).xlsx]Equities!R219C32</stp>
        <tr r="AF219" s="2"/>
        <tr r="AF219" s="2"/>
        <tr r="AF219" s="2"/>
      </tp>
      <tp>
        <v>14.687126263847768</v>
        <stp/>
        <stp>##V3_BDPV12</stp>
        <stp>NKE US Equity</stp>
        <stp>RR908</stp>
        <stp>[DPM - Securities Master List (BBG Linked).xlsx]Equities!R207C32</stp>
        <tr r="AF207" s="2"/>
        <tr r="AF207" s="2"/>
        <tr r="AF207" s="2"/>
      </tp>
      <tp>
        <v>14.687126263847768</v>
        <stp/>
        <stp>##V3_BDPV12</stp>
        <stp>NKE US Equity</stp>
        <stp>RR908</stp>
        <stp>[DPM - Securities Master List (BBG Linked).xlsx]Equities!R208C32</stp>
        <tr r="AF208" s="2"/>
        <tr r="AF208" s="2"/>
        <tr r="AF208" s="2"/>
      </tp>
      <tp>
        <v>14.687126263847768</v>
        <stp/>
        <stp>##V3_BDPV12</stp>
        <stp>NKE US Equity</stp>
        <stp>RR908</stp>
        <stp>[DPM - Securities Master List (BBG Linked).xlsx]Equities!R209C32</stp>
        <tr r="AF209" s="2"/>
        <tr r="AF209" s="2"/>
        <tr r="AF209" s="2"/>
      </tp>
      <tp>
        <v>14.687126263847768</v>
        <stp/>
        <stp>##V3_BDPV12</stp>
        <stp>NKE US Equity</stp>
        <stp>RR908</stp>
        <stp>[DPM - Securities Master List (BBG Linked).xlsx]Equities!R220C32</stp>
        <tr r="AF220" s="2"/>
        <tr r="AF220" s="2"/>
        <tr r="AF220" s="2"/>
      </tp>
      <tp>
        <v>14.687126263847768</v>
        <stp/>
        <stp>##V3_BDPV12</stp>
        <stp>NKE US Equity</stp>
        <stp>RR908</stp>
        <stp>[DPM - Securities Master List (BBG Linked).xlsx]Equities!R221C32</stp>
        <tr r="AF221" s="2"/>
        <tr r="AF221" s="2"/>
        <tr r="AF221" s="2"/>
      </tp>
      <tp>
        <v>14.687126263847768</v>
        <stp/>
        <stp>##V3_BDPV12</stp>
        <stp>NKE US Equity</stp>
        <stp>RR908</stp>
        <stp>[DPM - Securities Master List (BBG Linked).xlsx]Equities!R222C32</stp>
        <tr r="AF222" s="2"/>
        <tr r="AF222" s="2"/>
        <tr r="AF222" s="2"/>
      </tp>
      <tp>
        <v>9.6250952957177756</v>
        <stp/>
        <stp>##V3_BDPV12</stp>
        <stp>GSK LN Equity</stp>
        <stp>RR957</stp>
        <stp>[DPM - Securities Master List (BBG Linked).xlsx]Equities!R144C14</stp>
        <tr r="N144" s="2"/>
        <tr r="N144" s="2"/>
        <tr r="N144" s="2"/>
      </tp>
      <tp>
        <v>9.6250952957177756</v>
        <stp/>
        <stp>##V3_BDPV12</stp>
        <stp>GSK LN Equity</stp>
        <stp>RR957</stp>
        <stp>[DPM - Securities Master List (BBG Linked).xlsx]Equities!R145C14</stp>
        <tr r="N145" s="2"/>
        <tr r="N145" s="2"/>
        <tr r="N145" s="2"/>
      </tp>
      <tp>
        <v>9.6250952957177756</v>
        <stp/>
        <stp>##V3_BDPV12</stp>
        <stp>GSK LN Equity</stp>
        <stp>RR957</stp>
        <stp>[DPM - Securities Master List (BBG Linked).xlsx]Equities!R142C14</stp>
        <tr r="N142" s="2"/>
        <tr r="N142" s="2"/>
        <tr r="N142" s="2"/>
      </tp>
      <tp>
        <v>9.6250952957177756</v>
        <stp/>
        <stp>##V3_BDPV12</stp>
        <stp>GSK LN Equity</stp>
        <stp>RR957</stp>
        <stp>[DPM - Securities Master List (BBG Linked).xlsx]Equities!R143C14</stp>
        <tr r="N143" s="2"/>
        <tr r="N143" s="2"/>
        <tr r="N143" s="2"/>
      </tp>
      <tp>
        <v>3.9333333969116211</v>
        <stp/>
        <stp>##V3_BDPV12</stp>
        <stp>NKE US Equity</stp>
        <stp>EE201</stp>
        <stp>[DPM - Securities Master List (BBG Linked).xlsx]Equities!R222C37</stp>
        <tr r="AK222" s="2"/>
        <tr r="AK222" s="2"/>
        <tr r="AK222" s="2"/>
      </tp>
      <tp>
        <v>3.9333333969116211</v>
        <stp/>
        <stp>##V3_BDPV12</stp>
        <stp>NKE US Equity</stp>
        <stp>EE201</stp>
        <stp>[DPM - Securities Master List (BBG Linked).xlsx]Equities!R221C37</stp>
        <tr r="AK221" s="2"/>
        <tr r="AK221" s="2"/>
        <tr r="AK221" s="2"/>
      </tp>
      <tp>
        <v>3.9333333969116211</v>
        <stp/>
        <stp>##V3_BDPV12</stp>
        <stp>NKE US Equity</stp>
        <stp>EE201</stp>
        <stp>[DPM - Securities Master List (BBG Linked).xlsx]Equities!R220C37</stp>
        <tr r="AK220" s="2"/>
        <tr r="AK220" s="2"/>
        <tr r="AK220" s="2"/>
      </tp>
      <tp>
        <v>3.9333333969116211</v>
        <stp/>
        <stp>##V3_BDPV12</stp>
        <stp>NKE US Equity</stp>
        <stp>EE201</stp>
        <stp>[DPM - Securities Master List (BBG Linked).xlsx]Equities!R219C37</stp>
        <tr r="AK219" s="2"/>
        <tr r="AK219" s="2"/>
        <tr r="AK219" s="2"/>
      </tp>
      <tp>
        <v>3.9333333969116211</v>
        <stp/>
        <stp>##V3_BDPV12</stp>
        <stp>NKE US Equity</stp>
        <stp>EE201</stp>
        <stp>[DPM - Securities Master List (BBG Linked).xlsx]Equities!R218C37</stp>
        <tr r="AK218" s="2"/>
        <tr r="AK218" s="2"/>
        <tr r="AK218" s="2"/>
      </tp>
      <tp>
        <v>3.9333333969116211</v>
        <stp/>
        <stp>##V3_BDPV12</stp>
        <stp>NKE US Equity</stp>
        <stp>EE201</stp>
        <stp>[DPM - Securities Master List (BBG Linked).xlsx]Equities!R217C37</stp>
        <tr r="AK217" s="2"/>
        <tr r="AK217" s="2"/>
        <tr r="AK217" s="2"/>
      </tp>
      <tp>
        <v>3.9333333969116211</v>
        <stp/>
        <stp>##V3_BDPV12</stp>
        <stp>NKE US Equity</stp>
        <stp>EE201</stp>
        <stp>[DPM - Securities Master List (BBG Linked).xlsx]Equities!R216C37</stp>
        <tr r="AK216" s="2"/>
        <tr r="AK216" s="2"/>
        <tr r="AK216" s="2"/>
      </tp>
      <tp>
        <v>3.9333333969116211</v>
        <stp/>
        <stp>##V3_BDPV12</stp>
        <stp>NKE US Equity</stp>
        <stp>EE201</stp>
        <stp>[DPM - Securities Master List (BBG Linked).xlsx]Equities!R215C37</stp>
        <tr r="AK215" s="2"/>
        <tr r="AK215" s="2"/>
        <tr r="AK215" s="2"/>
      </tp>
      <tp>
        <v>3.9333333969116211</v>
        <stp/>
        <stp>##V3_BDPV12</stp>
        <stp>NKE US Equity</stp>
        <stp>EE201</stp>
        <stp>[DPM - Securities Master List (BBG Linked).xlsx]Equities!R214C37</stp>
        <tr r="AK214" s="2"/>
        <tr r="AK214" s="2"/>
        <tr r="AK214" s="2"/>
      </tp>
      <tp>
        <v>3.9333333969116211</v>
        <stp/>
        <stp>##V3_BDPV12</stp>
        <stp>NKE US Equity</stp>
        <stp>EE201</stp>
        <stp>[DPM - Securities Master List (BBG Linked).xlsx]Equities!R213C37</stp>
        <tr r="AK213" s="2"/>
        <tr r="AK213" s="2"/>
        <tr r="AK213" s="2"/>
      </tp>
      <tp>
        <v>3.9333333969116211</v>
        <stp/>
        <stp>##V3_BDPV12</stp>
        <stp>NKE US Equity</stp>
        <stp>EE201</stp>
        <stp>[DPM - Securities Master List (BBG Linked).xlsx]Equities!R212C37</stp>
        <tr r="AK212" s="2"/>
        <tr r="AK212" s="2"/>
        <tr r="AK212" s="2"/>
      </tp>
      <tp>
        <v>3.9333333969116211</v>
        <stp/>
        <stp>##V3_BDPV12</stp>
        <stp>NKE US Equity</stp>
        <stp>EE201</stp>
        <stp>[DPM - Securities Master List (BBG Linked).xlsx]Equities!R211C37</stp>
        <tr r="AK211" s="2"/>
        <tr r="AK211" s="2"/>
        <tr r="AK211" s="2"/>
      </tp>
      <tp>
        <v>3.9333333969116211</v>
        <stp/>
        <stp>##V3_BDPV12</stp>
        <stp>NKE US Equity</stp>
        <stp>EE201</stp>
        <stp>[DPM - Securities Master List (BBG Linked).xlsx]Equities!R210C37</stp>
        <tr r="AK210" s="2"/>
        <tr r="AK210" s="2"/>
        <tr r="AK210" s="2"/>
      </tp>
      <tp>
        <v>3.9333333969116211</v>
        <stp/>
        <stp>##V3_BDPV12</stp>
        <stp>NKE US Equity</stp>
        <stp>EE201</stp>
        <stp>[DPM - Securities Master List (BBG Linked).xlsx]Equities!R209C37</stp>
        <tr r="AK209" s="2"/>
        <tr r="AK209" s="2"/>
        <tr r="AK209" s="2"/>
      </tp>
      <tp>
        <v>3.9333333969116211</v>
        <stp/>
        <stp>##V3_BDPV12</stp>
        <stp>NKE US Equity</stp>
        <stp>EE201</stp>
        <stp>[DPM - Securities Master List (BBG Linked).xlsx]Equities!R208C37</stp>
        <tr r="AK208" s="2"/>
        <tr r="AK208" s="2"/>
        <tr r="AK208" s="2"/>
      </tp>
      <tp>
        <v>3.9333333969116211</v>
        <stp/>
        <stp>##V3_BDPV12</stp>
        <stp>NKE US Equity</stp>
        <stp>EE201</stp>
        <stp>[DPM - Securities Master List (BBG Linked).xlsx]Equities!R207C37</stp>
        <tr r="AK207" s="2"/>
        <tr r="AK207" s="2"/>
        <tr r="AK207" s="2"/>
      </tp>
      <tp t="s">
        <v>Equity</v>
        <stp/>
        <stp>##V3_BDPV12</stp>
        <stp>NIO US Equity</stp>
        <stp>EX028</stp>
        <stp>[DPM - Securities Master List (BBG Linked).xlsx]Equities!R206C30</stp>
        <tr r="AD206" s="2"/>
        <tr r="AD206" s="2"/>
        <tr r="AD206" s="2"/>
      </tp>
      <tp t="s">
        <v>Consumer Discretionary</v>
        <stp/>
        <stp>##V3_BDPV12</stp>
        <stp>NKE US Equity</stp>
        <stp>DX202</stp>
        <stp>[DPM - Securities Master List (BBG Linked).xlsx]Equities!R222C46</stp>
        <tr r="AT222" s="2"/>
        <tr r="AT222" s="2"/>
        <tr r="AT222" s="2"/>
      </tp>
      <tp t="s">
        <v>Consumer Discretionary</v>
        <stp/>
        <stp>##V3_BDPV12</stp>
        <stp>NKE US Equity</stp>
        <stp>DX202</stp>
        <stp>[DPM - Securities Master List (BBG Linked).xlsx]Equities!R221C46</stp>
        <tr r="AT221" s="2"/>
        <tr r="AT221" s="2"/>
        <tr r="AT221" s="2"/>
      </tp>
      <tp t="s">
        <v>Consumer Discretionary</v>
        <stp/>
        <stp>##V3_BDPV12</stp>
        <stp>NKE US Equity</stp>
        <stp>DX202</stp>
        <stp>[DPM - Securities Master List (BBG Linked).xlsx]Equities!R220C46</stp>
        <tr r="AT220" s="2"/>
        <tr r="AT220" s="2"/>
        <tr r="AT220" s="2"/>
      </tp>
      <tp t="s">
        <v>Consumer Discretionary</v>
        <stp/>
        <stp>##V3_BDPV12</stp>
        <stp>NKE US Equity</stp>
        <stp>DX202</stp>
        <stp>[DPM - Securities Master List (BBG Linked).xlsx]Equities!R219C46</stp>
        <tr r="AT219" s="2"/>
        <tr r="AT219" s="2"/>
        <tr r="AT219" s="2"/>
      </tp>
      <tp t="s">
        <v>Consumer Discretionary</v>
        <stp/>
        <stp>##V3_BDPV12</stp>
        <stp>NKE US Equity</stp>
        <stp>DX202</stp>
        <stp>[DPM - Securities Master List (BBG Linked).xlsx]Equities!R218C46</stp>
        <tr r="AT218" s="2"/>
        <tr r="AT218" s="2"/>
        <tr r="AT218" s="2"/>
      </tp>
      <tp t="s">
        <v>Consumer Discretionary</v>
        <stp/>
        <stp>##V3_BDPV12</stp>
        <stp>NKE US Equity</stp>
        <stp>DX202</stp>
        <stp>[DPM - Securities Master List (BBG Linked).xlsx]Equities!R217C46</stp>
        <tr r="AT217" s="2"/>
        <tr r="AT217" s="2"/>
        <tr r="AT217" s="2"/>
      </tp>
      <tp t="s">
        <v>Consumer Discretionary</v>
        <stp/>
        <stp>##V3_BDPV12</stp>
        <stp>NKE US Equity</stp>
        <stp>DX202</stp>
        <stp>[DPM - Securities Master List (BBG Linked).xlsx]Equities!R216C46</stp>
        <tr r="AT216" s="2"/>
        <tr r="AT216" s="2"/>
        <tr r="AT216" s="2"/>
      </tp>
      <tp t="s">
        <v>Consumer Discretionary</v>
        <stp/>
        <stp>##V3_BDPV12</stp>
        <stp>NKE US Equity</stp>
        <stp>DX202</stp>
        <stp>[DPM - Securities Master List (BBG Linked).xlsx]Equities!R215C46</stp>
        <tr r="AT215" s="2"/>
        <tr r="AT215" s="2"/>
        <tr r="AT215" s="2"/>
      </tp>
      <tp t="s">
        <v>Consumer Discretionary</v>
        <stp/>
        <stp>##V3_BDPV12</stp>
        <stp>NKE US Equity</stp>
        <stp>DX202</stp>
        <stp>[DPM - Securities Master List (BBG Linked).xlsx]Equities!R214C46</stp>
        <tr r="AT214" s="2"/>
        <tr r="AT214" s="2"/>
        <tr r="AT214" s="2"/>
      </tp>
      <tp t="s">
        <v>Consumer Discretionary</v>
        <stp/>
        <stp>##V3_BDPV12</stp>
        <stp>NKE US Equity</stp>
        <stp>DX202</stp>
        <stp>[DPM - Securities Master List (BBG Linked).xlsx]Equities!R213C46</stp>
        <tr r="AT213" s="2"/>
        <tr r="AT213" s="2"/>
        <tr r="AT213" s="2"/>
      </tp>
      <tp t="s">
        <v>Consumer Discretionary</v>
        <stp/>
        <stp>##V3_BDPV12</stp>
        <stp>NKE US Equity</stp>
        <stp>DX202</stp>
        <stp>[DPM - Securities Master List (BBG Linked).xlsx]Equities!R212C46</stp>
        <tr r="AT212" s="2"/>
        <tr r="AT212" s="2"/>
        <tr r="AT212" s="2"/>
      </tp>
      <tp t="s">
        <v>Consumer Discretionary</v>
        <stp/>
        <stp>##V3_BDPV12</stp>
        <stp>NKE US Equity</stp>
        <stp>DX202</stp>
        <stp>[DPM - Securities Master List (BBG Linked).xlsx]Equities!R211C46</stp>
        <tr r="AT211" s="2"/>
        <tr r="AT211" s="2"/>
        <tr r="AT211" s="2"/>
      </tp>
      <tp t="s">
        <v>Consumer Discretionary</v>
        <stp/>
        <stp>##V3_BDPV12</stp>
        <stp>NKE US Equity</stp>
        <stp>DX202</stp>
        <stp>[DPM - Securities Master List (BBG Linked).xlsx]Equities!R210C46</stp>
        <tr r="AT210" s="2"/>
        <tr r="AT210" s="2"/>
        <tr r="AT210" s="2"/>
      </tp>
      <tp t="s">
        <v>Consumer Discretionary</v>
        <stp/>
        <stp>##V3_BDPV12</stp>
        <stp>NKE US Equity</stp>
        <stp>DX202</stp>
        <stp>[DPM - Securities Master List (BBG Linked).xlsx]Equities!R209C46</stp>
        <tr r="AT209" s="2"/>
        <tr r="AT209" s="2"/>
        <tr r="AT209" s="2"/>
      </tp>
      <tp t="s">
        <v>Consumer Discretionary</v>
        <stp/>
        <stp>##V3_BDPV12</stp>
        <stp>NKE US Equity</stp>
        <stp>DX202</stp>
        <stp>[DPM - Securities Master List (BBG Linked).xlsx]Equities!R208C46</stp>
        <tr r="AT208" s="2"/>
        <tr r="AT208" s="2"/>
        <tr r="AT208" s="2"/>
      </tp>
      <tp t="s">
        <v>Consumer Discretionary</v>
        <stp/>
        <stp>##V3_BDPV12</stp>
        <stp>NKE US Equity</stp>
        <stp>DX202</stp>
        <stp>[DPM - Securities Master List (BBG Linked).xlsx]Equities!R207C46</stp>
        <tr r="AT207" s="2"/>
        <tr r="AT207" s="2"/>
        <tr r="AT207" s="2"/>
      </tp>
      <tp>
        <v>23.998812307463904</v>
        <stp/>
        <stp>##V3_BDPV12</stp>
        <stp>DRX LN Equity</stp>
        <stp>RR041</stp>
        <stp>[DPM - Securities Master List (BBG Linked).xlsx]Equities!R118C33</stp>
        <tr r="AG118" s="2"/>
        <tr r="AG118" s="2"/>
        <tr r="AG118" s="2"/>
      </tp>
      <tp>
        <v>23.998812307463904</v>
        <stp/>
        <stp>##V3_BDPV12</stp>
        <stp>DRX LN Equity</stp>
        <stp>RR041</stp>
        <stp>[DPM - Securities Master List (BBG Linked).xlsx]Equities!R119C33</stp>
        <tr r="AG119" s="2"/>
        <tr r="AG119" s="2"/>
        <tr r="AG119" s="2"/>
      </tp>
      <tp>
        <v>23.998812307463904</v>
        <stp/>
        <stp>##V3_BDPV12</stp>
        <stp>DRX LN Equity</stp>
        <stp>RR041</stp>
        <stp>[DPM - Securities Master List (BBG Linked).xlsx]Equities!R116C33</stp>
        <tr r="AG116" s="2"/>
        <tr r="AG116" s="2"/>
        <tr r="AG116" s="2"/>
      </tp>
      <tp>
        <v>23.998812307463904</v>
        <stp/>
        <stp>##V3_BDPV12</stp>
        <stp>DRX LN Equity</stp>
        <stp>RR041</stp>
        <stp>[DPM - Securities Master List (BBG Linked).xlsx]Equities!R117C33</stp>
        <tr r="AG117" s="2"/>
        <tr r="AG117" s="2"/>
        <tr r="AG117" s="2"/>
      </tp>
      <tp>
        <v>23.998812307463904</v>
        <stp/>
        <stp>##V3_BDPV12</stp>
        <stp>DRX LN Equity</stp>
        <stp>RR041</stp>
        <stp>[DPM - Securities Master List (BBG Linked).xlsx]Equities!R124C33</stp>
        <tr r="AG124" s="2"/>
        <tr r="AG124" s="2"/>
        <tr r="AG124" s="2"/>
      </tp>
      <tp>
        <v>23.998812307463904</v>
        <stp/>
        <stp>##V3_BDPV12</stp>
        <stp>DRX LN Equity</stp>
        <stp>RR041</stp>
        <stp>[DPM - Securities Master List (BBG Linked).xlsx]Equities!R122C33</stp>
        <tr r="AG122" s="2"/>
        <tr r="AG122" s="2"/>
        <tr r="AG122" s="2"/>
      </tp>
      <tp>
        <v>23.998812307463904</v>
        <stp/>
        <stp>##V3_BDPV12</stp>
        <stp>DRX LN Equity</stp>
        <stp>RR041</stp>
        <stp>[DPM - Securities Master List (BBG Linked).xlsx]Equities!R123C33</stp>
        <tr r="AG123" s="2"/>
        <tr r="AG123" s="2"/>
        <tr r="AG123" s="2"/>
      </tp>
      <tp>
        <v>23.998812307463904</v>
        <stp/>
        <stp>##V3_BDPV12</stp>
        <stp>DRX LN Equity</stp>
        <stp>RR041</stp>
        <stp>[DPM - Securities Master List (BBG Linked).xlsx]Equities!R120C33</stp>
        <tr r="AG120" s="2"/>
        <tr r="AG120" s="2"/>
        <tr r="AG120" s="2"/>
      </tp>
      <tp>
        <v>23.998812307463904</v>
        <stp/>
        <stp>##V3_BDPV12</stp>
        <stp>DRX LN Equity</stp>
        <stp>RR041</stp>
        <stp>[DPM - Securities Master List (BBG Linked).xlsx]Equities!R121C33</stp>
        <tr r="AG121" s="2"/>
        <tr r="AG121" s="2"/>
        <tr r="AG121" s="2"/>
      </tp>
      <tp t="s">
        <v>#N/A N/A</v>
        <stp/>
        <stp>##V3_BDPV12</stp>
        <stp>NEM AT Equity</stp>
        <stp>DY997</stp>
        <stp>[DPM - Securities Master List (BBG Linked).xlsx]Equities!R190C47</stp>
        <tr r="AU190" s="2"/>
        <tr r="AU190" s="2"/>
      </tp>
      <tp t="s">
        <v>#N/A N/A</v>
        <stp/>
        <stp>##V3_BDPV12</stp>
        <stp>NEM AT Equity</stp>
        <stp>DY997</stp>
        <stp>[DPM - Securities Master List (BBG Linked).xlsx]Equities!R191C47</stp>
        <tr r="AU191" s="2"/>
        <tr r="AU191" s="2"/>
      </tp>
      <tp t="s">
        <v>#N/A N/A</v>
        <stp/>
        <stp>##V3_BDPV12</stp>
        <stp>NEM AT Equity</stp>
        <stp>DY997</stp>
        <stp>[DPM - Securities Master List (BBG Linked).xlsx]Equities!R192C47</stp>
        <tr r="AU192" s="2"/>
        <tr r="AU192" s="2"/>
      </tp>
      <tp t="s">
        <v>#N/A N/A</v>
        <stp/>
        <stp>##V3_BDPV12</stp>
        <stp>NEM AT Equity</stp>
        <stp>DY997</stp>
        <stp>[DPM - Securities Master List (BBG Linked).xlsx]Equities!R189C47</stp>
        <tr r="AU189" s="2"/>
        <tr r="AU189" s="2"/>
      </tp>
      <tp t="s">
        <v>Y</v>
        <stp/>
        <stp>##V3_BDPV12</stp>
        <stp>ZBH US Equity</stp>
        <stp>DY997</stp>
        <stp>[DPM - Securities Master List (BBG Linked).xlsx]Equities!R294C47</stp>
        <tr r="AU294" s="2"/>
        <tr r="AU294" s="2"/>
        <tr r="AU294" s="2"/>
      </tp>
      <tp t="s">
        <v>Y</v>
        <stp/>
        <stp>##V3_BDPV12</stp>
        <stp>ZBH US Equity</stp>
        <stp>DY997</stp>
        <stp>[DPM - Securities Master List (BBG Linked).xlsx]Equities!R295C47</stp>
        <tr r="AU295" s="2"/>
        <tr r="AU295" s="2"/>
        <tr r="AU295" s="2"/>
      </tp>
      <tp t="s">
        <v>Y</v>
        <stp/>
        <stp>##V3_BDPV12</stp>
        <stp>ZBH US Equity</stp>
        <stp>DY997</stp>
        <stp>[DPM - Securities Master List (BBG Linked).xlsx]Equities!R296C47</stp>
        <tr r="AU296" s="2"/>
        <tr r="AU296" s="2"/>
        <tr r="AU296" s="2"/>
      </tp>
      <tp t="s">
        <v>Y</v>
        <stp/>
        <stp>##V3_BDPV12</stp>
        <stp>ZBH US Equity</stp>
        <stp>DY997</stp>
        <stp>[DPM - Securities Master List (BBG Linked).xlsx]Equities!R297C47</stp>
        <tr r="AU297" s="2"/>
        <tr r="AU297" s="2"/>
        <tr r="AU297" s="2"/>
      </tp>
      <tp t="s">
        <v>Y</v>
        <stp/>
        <stp>##V3_BDPV12</stp>
        <stp>ZBH US Equity</stp>
        <stp>DY997</stp>
        <stp>[DPM - Securities Master List (BBG Linked).xlsx]Equities!R298C47</stp>
        <tr r="AU298" s="2"/>
        <tr r="AU298" s="2"/>
        <tr r="AU298" s="2"/>
      </tp>
      <tp t="s">
        <v>Y</v>
        <stp/>
        <stp>##V3_BDPV12</stp>
        <stp>ZBH US Equity</stp>
        <stp>DY997</stp>
        <stp>[DPM - Securities Master List (BBG Linked).xlsx]Equities!R299C47</stp>
        <tr r="AU299" s="2"/>
        <tr r="AU299" s="2"/>
        <tr r="AU299" s="2"/>
      </tp>
      <tp t="s">
        <v>Y</v>
        <stp/>
        <stp>##V3_BDPV12</stp>
        <stp>ZBH US Equity</stp>
        <stp>DY997</stp>
        <stp>[DPM - Securities Master List (BBG Linked).xlsx]Equities!R300C47</stp>
        <tr r="AU300" s="2"/>
        <tr r="AU300" s="2"/>
        <tr r="AU300" s="2"/>
      </tp>
      <tp t="s">
        <v>Y</v>
        <stp/>
        <stp>##V3_BDPV12</stp>
        <stp>ZBH US Equity</stp>
        <stp>DY997</stp>
        <stp>[DPM - Securities Master List (BBG Linked).xlsx]Equities!R301C47</stp>
        <tr r="AU301" s="2"/>
        <tr r="AU301" s="2"/>
        <tr r="AU301" s="2"/>
      </tp>
      <tp t="s">
        <v>Y</v>
        <stp/>
        <stp>##V3_BDPV12</stp>
        <stp>ZBH US Equity</stp>
        <stp>DY997</stp>
        <stp>[DPM - Securities Master List (BBG Linked).xlsx]Equities!R302C47</stp>
        <tr r="AU302" s="2"/>
        <tr r="AU302" s="2"/>
        <tr r="AU302" s="2"/>
      </tp>
      <tp t="s">
        <v>US6541061031</v>
        <stp/>
        <stp>##V3_BDPV12</stp>
        <stp>NKE US Equity</stp>
        <stp>ID005</stp>
        <stp>[DPM - Securities Master List (BBG Linked).xlsx]Equities!R209C55</stp>
        <tr r="BC209" s="2"/>
      </tp>
      <tp t="s">
        <v>US6541061031</v>
        <stp/>
        <stp>##V3_BDPV12</stp>
        <stp>NKE US Equity</stp>
        <stp>ID005</stp>
        <stp>[DPM - Securities Master List (BBG Linked).xlsx]Equities!R208C55</stp>
        <tr r="BC208" s="2"/>
      </tp>
      <tp t="s">
        <v>US6541061031</v>
        <stp/>
        <stp>##V3_BDPV12</stp>
        <stp>NKE US Equity</stp>
        <stp>ID005</stp>
        <stp>[DPM - Securities Master List (BBG Linked).xlsx]Equities!R207C55</stp>
        <tr r="BC207" s="2"/>
      </tp>
      <tp t="s">
        <v>US6541061031</v>
        <stp/>
        <stp>##V3_BDPV12</stp>
        <stp>NKE US Equity</stp>
        <stp>ID005</stp>
        <stp>[DPM - Securities Master List (BBG Linked).xlsx]Equities!R219C55</stp>
        <tr r="BC219" s="2"/>
      </tp>
      <tp t="s">
        <v>US6541061031</v>
        <stp/>
        <stp>##V3_BDPV12</stp>
        <stp>NKE US Equity</stp>
        <stp>ID005</stp>
        <stp>[DPM - Securities Master List (BBG Linked).xlsx]Equities!R218C55</stp>
        <tr r="BC218" s="2"/>
      </tp>
      <tp t="s">
        <v>US6541061031</v>
        <stp/>
        <stp>##V3_BDPV12</stp>
        <stp>NKE US Equity</stp>
        <stp>ID005</stp>
        <stp>[DPM - Securities Master List (BBG Linked).xlsx]Equities!R215C55</stp>
        <tr r="BC215" s="2"/>
      </tp>
      <tp t="s">
        <v>US6541061031</v>
        <stp/>
        <stp>##V3_BDPV12</stp>
        <stp>NKE US Equity</stp>
        <stp>ID005</stp>
        <stp>[DPM - Securities Master List (BBG Linked).xlsx]Equities!R214C55</stp>
        <tr r="BC214" s="2"/>
      </tp>
      <tp t="s">
        <v>US6541061031</v>
        <stp/>
        <stp>##V3_BDPV12</stp>
        <stp>NKE US Equity</stp>
        <stp>ID005</stp>
        <stp>[DPM - Securities Master List (BBG Linked).xlsx]Equities!R217C55</stp>
        <tr r="BC217" s="2"/>
      </tp>
      <tp t="s">
        <v>US6541061031</v>
        <stp/>
        <stp>##V3_BDPV12</stp>
        <stp>NKE US Equity</stp>
        <stp>ID005</stp>
        <stp>[DPM - Securities Master List (BBG Linked).xlsx]Equities!R216C55</stp>
        <tr r="BC216" s="2"/>
      </tp>
      <tp t="s">
        <v>US6541061031</v>
        <stp/>
        <stp>##V3_BDPV12</stp>
        <stp>NKE US Equity</stp>
        <stp>ID005</stp>
        <stp>[DPM - Securities Master List (BBG Linked).xlsx]Equities!R211C55</stp>
        <tr r="BC211" s="2"/>
      </tp>
      <tp t="s">
        <v>US6541061031</v>
        <stp/>
        <stp>##V3_BDPV12</stp>
        <stp>NKE US Equity</stp>
        <stp>ID005</stp>
        <stp>[DPM - Securities Master List (BBG Linked).xlsx]Equities!R210C55</stp>
        <tr r="BC210" s="2"/>
      </tp>
      <tp t="s">
        <v>US6541061031</v>
        <stp/>
        <stp>##V3_BDPV12</stp>
        <stp>NKE US Equity</stp>
        <stp>ID005</stp>
        <stp>[DPM - Securities Master List (BBG Linked).xlsx]Equities!R213C55</stp>
        <tr r="BC213" s="2"/>
      </tp>
      <tp t="s">
        <v>US6541061031</v>
        <stp/>
        <stp>##V3_BDPV12</stp>
        <stp>NKE US Equity</stp>
        <stp>ID005</stp>
        <stp>[DPM - Securities Master List (BBG Linked).xlsx]Equities!R212C55</stp>
        <tr r="BC212" s="2"/>
      </tp>
      <tp t="s">
        <v>US6541061031</v>
        <stp/>
        <stp>##V3_BDPV12</stp>
        <stp>NKE US Equity</stp>
        <stp>ID005</stp>
        <stp>[DPM - Securities Master List (BBG Linked).xlsx]Equities!R221C55</stp>
        <tr r="BC221" s="2"/>
      </tp>
      <tp t="s">
        <v>US6541061031</v>
        <stp/>
        <stp>##V3_BDPV12</stp>
        <stp>NKE US Equity</stp>
        <stp>ID005</stp>
        <stp>[DPM - Securities Master List (BBG Linked).xlsx]Equities!R220C55</stp>
        <tr r="BC220" s="2"/>
      </tp>
      <tp t="s">
        <v>US6541061031</v>
        <stp/>
        <stp>##V3_BDPV12</stp>
        <stp>NKE US Equity</stp>
        <stp>ID005</stp>
        <stp>[DPM - Securities Master List (BBG Linked).xlsx]Equities!R222C55</stp>
        <tr r="BC222" s="2"/>
      </tp>
      <tp t="s">
        <v>Tesco PLC</v>
        <stp/>
        <stp>##V3_BDPV12</stp>
        <stp>TSCO LN Equity</stp>
        <stp>SECURITY NAME</stp>
        <stp>[DPM - Securities Master List (BBG Linked).xlsx]Equities!R274C5</stp>
        <tr r="E274" s="2"/>
      </tp>
      <tp t="s">
        <v>Tesco PLC</v>
        <stp/>
        <stp>##V3_BDPV12</stp>
        <stp>TSCO LN Equity</stp>
        <stp>SECURITY NAME</stp>
        <stp>[DPM - Securities Master List (BBG Linked).xlsx]Equities!R264C5</stp>
        <tr r="E264" s="2"/>
      </tp>
      <tp>
        <v>65.03</v>
        <stp/>
        <stp>##V3_BDPV12</stp>
        <stp>TCEHY US Equity</stp>
        <stp>PX_LAST</stp>
        <stp>[DPM - Securities Master List (BBG Linked).xlsx]Equities!R259C17</stp>
        <tr r="Q259" s="2"/>
      </tp>
      <tp>
        <v>65.03</v>
        <stp/>
        <stp>##V3_BDPV12</stp>
        <stp>TCEHY US Equity</stp>
        <stp>PX_LAST</stp>
        <stp>[DPM - Securities Master List (BBG Linked).xlsx]Equities!R260C17</stp>
        <tr r="Q260" s="2"/>
      </tp>
      <tp t="s">
        <v>USD</v>
        <stp/>
        <stp>##V3_BDPV12</stp>
        <stp>MSFT US Equity</stp>
        <stp>CRNCY</stp>
        <stp>[DPM - Securities Master List (BBG Linked).xlsx]Equities!R175C6</stp>
        <tr r="F175" s="2"/>
      </tp>
      <tp t="s">
        <v>USD</v>
        <stp/>
        <stp>##V3_BDPV12</stp>
        <stp>MSFT US Equity</stp>
        <stp>CRNCY</stp>
        <stp>[DPM - Securities Master List (BBG Linked).xlsx]Equities!R185C6</stp>
        <tr r="F185" s="2"/>
      </tp>
      <tp>
        <v>4</v>
        <stp/>
        <stp>##V3_BDPV12</stp>
        <stp>PYPL US Equity</stp>
        <stp>TOT_SELL_REC</stp>
        <stp>[DPM - Securities Master List (BBG Linked).xlsx]Equities!R237C36</stp>
        <tr r="AJ237" s="2"/>
      </tp>
      <tp>
        <v>4</v>
        <stp/>
        <stp>##V3_BDPV12</stp>
        <stp>PYPL US Equity</stp>
        <stp>TOT_SELL_REC</stp>
        <stp>[DPM - Securities Master List (BBG Linked).xlsx]Equities!R239C36</stp>
        <tr r="AJ239" s="2"/>
      </tp>
      <tp>
        <v>4</v>
        <stp/>
        <stp>##V3_BDPV12</stp>
        <stp>PYPL US Equity</stp>
        <stp>TOT_SELL_REC</stp>
        <stp>[DPM - Securities Master List (BBG Linked).xlsx]Equities!R238C36</stp>
        <tr r="AJ238" s="2"/>
      </tp>
      <tp>
        <v>22</v>
        <stp/>
        <stp>##V3_BDPV12</stp>
        <stp>PYPL US Equity</stp>
        <stp>TOT_HOLD_REC</stp>
        <stp>[DPM - Securities Master List (BBG Linked).xlsx]Equities!R239C35</stp>
        <tr r="AI239" s="2"/>
      </tp>
      <tp>
        <v>22</v>
        <stp/>
        <stp>##V3_BDPV12</stp>
        <stp>PYPL US Equity</stp>
        <stp>TOT_HOLD_REC</stp>
        <stp>[DPM - Securities Master List (BBG Linked).xlsx]Equities!R238C35</stp>
        <tr r="AI238" s="2"/>
      </tp>
      <tp>
        <v>22</v>
        <stp/>
        <stp>##V3_BDPV12</stp>
        <stp>PYPL US Equity</stp>
        <stp>TOT_HOLD_REC</stp>
        <stp>[DPM - Securities Master List (BBG Linked).xlsx]Equities!R237C35</stp>
        <tr r="AI237" s="2"/>
      </tp>
      <tp t="s">
        <v>GSK PLC</v>
        <stp/>
        <stp>##V3_BDPV12</stp>
        <stp>GSK LN Equity</stp>
        <stp>SECURITY NAME</stp>
        <stp>[DPM - Securities Master List (BBG Linked).xlsx]Equities!R142C5</stp>
        <tr r="E142" s="2"/>
      </tp>
      <tp t="s">
        <v>Drax Group PLC</v>
        <stp/>
        <stp>##V3_BDPV12</stp>
        <stp>DRX LN Equity</stp>
        <stp>SECURITY NAME</stp>
        <stp>[DPM - Securities Master List (BBG Linked).xlsx]Equities!R121C5</stp>
        <tr r="E121" s="2"/>
      </tp>
      <tp t="s">
        <v>Zimmer Biomet Holdings Inc</v>
        <stp/>
        <stp>##V3_BDPV12</stp>
        <stp>ZBH US Equity</stp>
        <stp>SECURITY NAME</stp>
        <stp>[DPM - Securities Master List (BBG Linked).xlsx]Equities!R296C5</stp>
        <tr r="E296" s="2"/>
      </tp>
      <tp t="s">
        <v>Regeneron Pharmaceuticals Inc</v>
        <stp/>
        <stp>##V3_BDPV12</stp>
        <stp>REGN Equity</stp>
        <stp>SECURITY NAME</stp>
        <stp>[DPM - Securities Master List (BBG Linked).xlsx]Equities!R240C5</stp>
        <tr r="E240" s="2"/>
      </tp>
      <tp t="s">
        <v>Diageo PLC</v>
        <stp/>
        <stp>##V3_BDPV12</stp>
        <stp>DGE LN Equity</stp>
        <stp>SECURITY NAME</stp>
        <stp>[DPM - Securities Master List (BBG Linked).xlsx]Equities!R111C5</stp>
        <tr r="E111" s="2"/>
      </tp>
      <tp t="s">
        <v>USD</v>
        <stp/>
        <stp>##V3_BDPV12</stp>
        <stp>MRK US Equity</stp>
        <stp>CRNCY</stp>
        <stp>[DPM - Securities Master List (BBG Linked).xlsx]Equities!R159C6</stp>
        <tr r="F159" s="2"/>
      </tp>
      <tp t="s">
        <v>USD</v>
        <stp/>
        <stp>##V3_BDPV12</stp>
        <stp>MRK US Equity</stp>
        <stp>CRNCY</stp>
        <stp>[DPM - Securities Master List (BBG Linked).xlsx]Equities!R169C6</stp>
        <tr r="F169" s="2"/>
      </tp>
      <tp t="s">
        <v>EUR</v>
        <stp/>
        <stp>##V3_BDPV12</stp>
        <stp>TTE FP Equity</stp>
        <stp>CRNCY</stp>
        <stp>[DPM - Securities Master List (BBG Linked).xlsx]Equities!R283C6</stp>
        <tr r="F283" s="2"/>
      </tp>
      <tp>
        <v>32.308579352109291</v>
        <stp/>
        <stp>##V3_BDPV12</stp>
        <stp>SSE LN Equity</stp>
        <stp>RR041</stp>
        <stp>[DPM - Securities Master List (BBG Linked).xlsx]Equities!R249C33</stp>
        <tr r="AG249" s="2"/>
        <tr r="AG249" s="2"/>
        <tr r="AG249" s="2"/>
      </tp>
      <tp>
        <v>32.308579352109291</v>
        <stp/>
        <stp>##V3_BDPV12</stp>
        <stp>SSE LN Equity</stp>
        <stp>RR041</stp>
        <stp>[DPM - Securities Master List (BBG Linked).xlsx]Equities!R248C33</stp>
        <tr r="AG248" s="2"/>
        <tr r="AG248" s="2"/>
        <tr r="AG248" s="2"/>
      </tp>
      <tp>
        <v>32.308579352109291</v>
        <stp/>
        <stp>##V3_BDPV12</stp>
        <stp>SSE LN Equity</stp>
        <stp>RR041</stp>
        <stp>[DPM - Securities Master List (BBG Linked).xlsx]Equities!R245C33</stp>
        <tr r="AG245" s="2"/>
        <tr r="AG245" s="2"/>
        <tr r="AG245" s="2"/>
      </tp>
      <tp>
        <v>32.308579352109291</v>
        <stp/>
        <stp>##V3_BDPV12</stp>
        <stp>SSE LN Equity</stp>
        <stp>RR041</stp>
        <stp>[DPM - Securities Master List (BBG Linked).xlsx]Equities!R244C33</stp>
        <tr r="AG244" s="2"/>
        <tr r="AG244" s="2"/>
        <tr r="AG244" s="2"/>
      </tp>
      <tp>
        <v>32.308579352109291</v>
        <stp/>
        <stp>##V3_BDPV12</stp>
        <stp>SSE LN Equity</stp>
        <stp>RR041</stp>
        <stp>[DPM - Securities Master List (BBG Linked).xlsx]Equities!R247C33</stp>
        <tr r="AG247" s="2"/>
        <tr r="AG247" s="2"/>
        <tr r="AG247" s="2"/>
      </tp>
      <tp>
        <v>32.308579352109291</v>
        <stp/>
        <stp>##V3_BDPV12</stp>
        <stp>SSE LN Equity</stp>
        <stp>RR041</stp>
        <stp>[DPM - Securities Master List (BBG Linked).xlsx]Equities!R246C33</stp>
        <tr r="AG246" s="2"/>
        <tr r="AG246" s="2"/>
        <tr r="AG246" s="2"/>
      </tp>
      <tp>
        <v>32.308579352109291</v>
        <stp/>
        <stp>##V3_BDPV12</stp>
        <stp>SSE LN Equity</stp>
        <stp>RR041</stp>
        <stp>[DPM - Securities Master List (BBG Linked).xlsx]Equities!R258C33</stp>
        <tr r="AG258" s="2"/>
        <tr r="AG258" s="2"/>
        <tr r="AG258" s="2"/>
      </tp>
      <tp>
        <v>32.308579352109291</v>
        <stp/>
        <stp>##V3_BDPV12</stp>
        <stp>SSE LN Equity</stp>
        <stp>RR041</stp>
        <stp>[DPM - Securities Master List (BBG Linked).xlsx]Equities!R251C33</stp>
        <tr r="AG251" s="2"/>
        <tr r="AG251" s="2"/>
        <tr r="AG251" s="2"/>
      </tp>
      <tp>
        <v>32.308579352109291</v>
        <stp/>
        <stp>##V3_BDPV12</stp>
        <stp>SSE LN Equity</stp>
        <stp>RR041</stp>
        <stp>[DPM - Securities Master List (BBG Linked).xlsx]Equities!R250C33</stp>
        <tr r="AG250" s="2"/>
        <tr r="AG250" s="2"/>
        <tr r="AG250" s="2"/>
      </tp>
      <tp>
        <v>32.308579352109291</v>
        <stp/>
        <stp>##V3_BDPV12</stp>
        <stp>SSE LN Equity</stp>
        <stp>RR041</stp>
        <stp>[DPM - Securities Master List (BBG Linked).xlsx]Equities!R253C33</stp>
        <tr r="AG253" s="2"/>
        <tr r="AG253" s="2"/>
        <tr r="AG253" s="2"/>
      </tp>
      <tp>
        <v>32.308579352109291</v>
        <stp/>
        <stp>##V3_BDPV12</stp>
        <stp>SSE LN Equity</stp>
        <stp>RR041</stp>
        <stp>[DPM - Securities Master List (BBG Linked).xlsx]Equities!R252C33</stp>
        <tr r="AG252" s="2"/>
        <tr r="AG252" s="2"/>
        <tr r="AG252" s="2"/>
      </tp>
      <tp>
        <v>32.308579352109291</v>
        <stp/>
        <stp>##V3_BDPV12</stp>
        <stp>SSE LN Equity</stp>
        <stp>RR041</stp>
        <stp>[DPM - Securities Master List (BBG Linked).xlsx]Equities!R255C33</stp>
        <tr r="AG255" s="2"/>
        <tr r="AG255" s="2"/>
        <tr r="AG255" s="2"/>
      </tp>
      <tp>
        <v>32.308579352109291</v>
        <stp/>
        <stp>##V3_BDPV12</stp>
        <stp>SSE LN Equity</stp>
        <stp>RR041</stp>
        <stp>[DPM - Securities Master List (BBG Linked).xlsx]Equities!R254C33</stp>
        <tr r="AG254" s="2"/>
        <tr r="AG254" s="2"/>
        <tr r="AG254" s="2"/>
      </tp>
      <tp>
        <v>32.308579352109291</v>
        <stp/>
        <stp>##V3_BDPV12</stp>
        <stp>SSE LN Equity</stp>
        <stp>RR041</stp>
        <stp>[DPM - Securities Master List (BBG Linked).xlsx]Equities!R257C33</stp>
        <tr r="AG257" s="2"/>
        <tr r="AG257" s="2"/>
        <tr r="AG257" s="2"/>
      </tp>
      <tp>
        <v>32.308579352109291</v>
        <stp/>
        <stp>##V3_BDPV12</stp>
        <stp>SSE LN Equity</stp>
        <stp>RR041</stp>
        <stp>[DPM - Securities Master List (BBG Linked).xlsx]Equities!R256C33</stp>
        <tr r="AG256" s="2"/>
        <tr r="AG256" s="2"/>
        <tr r="AG256" s="2"/>
      </tp>
      <tp>
        <v>28.565662680994901</v>
        <stp/>
        <stp>##V3_BDPV12</stp>
        <stp>GSK LN Equity</stp>
        <stp>RR041</stp>
        <stp>[DPM - Securities Master List (BBG Linked).xlsx]Equities!R145C33</stp>
        <tr r="AG145" s="2"/>
        <tr r="AG145" s="2"/>
        <tr r="AG145" s="2"/>
      </tp>
      <tp>
        <v>28.565662680994901</v>
        <stp/>
        <stp>##V3_BDPV12</stp>
        <stp>GSK LN Equity</stp>
        <stp>RR041</stp>
        <stp>[DPM - Securities Master List (BBG Linked).xlsx]Equities!R144C33</stp>
        <tr r="AG144" s="2"/>
        <tr r="AG144" s="2"/>
        <tr r="AG144" s="2"/>
      </tp>
      <tp>
        <v>28.565662680994901</v>
        <stp/>
        <stp>##V3_BDPV12</stp>
        <stp>GSK LN Equity</stp>
        <stp>RR041</stp>
        <stp>[DPM - Securities Master List (BBG Linked).xlsx]Equities!R143C33</stp>
        <tr r="AG143" s="2"/>
        <tr r="AG143" s="2"/>
        <tr r="AG143" s="2"/>
      </tp>
      <tp>
        <v>28.565662680994901</v>
        <stp/>
        <stp>##V3_BDPV12</stp>
        <stp>GSK LN Equity</stp>
        <stp>RR041</stp>
        <stp>[DPM - Securities Master List (BBG Linked).xlsx]Equities!R142C33</stp>
        <tr r="AG142" s="2"/>
        <tr r="AG142" s="2"/>
        <tr r="AG142" s="2"/>
      </tp>
      <tp>
        <v>2.7806743549563051</v>
        <stp/>
        <stp>##V3_BDPV12</stp>
        <stp>NKE US Equity</stp>
        <stp>DV013</stp>
        <stp>[DPM - Securities Master List (BBG Linked).xlsx]Equities!R221C10</stp>
        <tr r="J221" s="2"/>
      </tp>
      <tp>
        <v>2.7806743549563051</v>
        <stp/>
        <stp>##V3_BDPV12</stp>
        <stp>NKE US Equity</stp>
        <stp>DV013</stp>
        <stp>[DPM - Securities Master List (BBG Linked).xlsx]Equities!R220C10</stp>
        <tr r="J220" s="2"/>
      </tp>
      <tp>
        <v>2.7806743549563051</v>
        <stp/>
        <stp>##V3_BDPV12</stp>
        <stp>NKE US Equity</stp>
        <stp>DV013</stp>
        <stp>[DPM - Securities Master List (BBG Linked).xlsx]Equities!R222C10</stp>
        <tr r="J222" s="2"/>
      </tp>
      <tp>
        <v>2.7806743549563051</v>
        <stp/>
        <stp>##V3_BDPV12</stp>
        <stp>NKE US Equity</stp>
        <stp>DV013</stp>
        <stp>[DPM - Securities Master List (BBG Linked).xlsx]Equities!R219C10</stp>
        <tr r="J219" s="2"/>
      </tp>
      <tp>
        <v>2.7806743549563051</v>
        <stp/>
        <stp>##V3_BDPV12</stp>
        <stp>NKE US Equity</stp>
        <stp>DV013</stp>
        <stp>[DPM - Securities Master List (BBG Linked).xlsx]Equities!R218C10</stp>
        <tr r="J218" s="2"/>
      </tp>
      <tp>
        <v>2.7806743549563051</v>
        <stp/>
        <stp>##V3_BDPV12</stp>
        <stp>NKE US Equity</stp>
        <stp>DV013</stp>
        <stp>[DPM - Securities Master List (BBG Linked).xlsx]Equities!R215C10</stp>
        <tr r="J215" s="2"/>
      </tp>
      <tp>
        <v>2.7806743549563051</v>
        <stp/>
        <stp>##V3_BDPV12</stp>
        <stp>NKE US Equity</stp>
        <stp>DV013</stp>
        <stp>[DPM - Securities Master List (BBG Linked).xlsx]Equities!R214C10</stp>
        <tr r="J214" s="2"/>
      </tp>
      <tp>
        <v>2.7806743549563051</v>
        <stp/>
        <stp>##V3_BDPV12</stp>
        <stp>NKE US Equity</stp>
        <stp>DV013</stp>
        <stp>[DPM - Securities Master List (BBG Linked).xlsx]Equities!R217C10</stp>
        <tr r="J217" s="2"/>
      </tp>
      <tp>
        <v>2.7806743549563051</v>
        <stp/>
        <stp>##V3_BDPV12</stp>
        <stp>NKE US Equity</stp>
        <stp>DV013</stp>
        <stp>[DPM - Securities Master List (BBG Linked).xlsx]Equities!R216C10</stp>
        <tr r="J216" s="2"/>
      </tp>
      <tp>
        <v>2.7806743549563051</v>
        <stp/>
        <stp>##V3_BDPV12</stp>
        <stp>NKE US Equity</stp>
        <stp>DV013</stp>
        <stp>[DPM - Securities Master List (BBG Linked).xlsx]Equities!R211C10</stp>
        <tr r="J211" s="2"/>
      </tp>
      <tp>
        <v>2.7806743549563051</v>
        <stp/>
        <stp>##V3_BDPV12</stp>
        <stp>NKE US Equity</stp>
        <stp>DV013</stp>
        <stp>[DPM - Securities Master List (BBG Linked).xlsx]Equities!R210C10</stp>
        <tr r="J210" s="2"/>
      </tp>
      <tp>
        <v>2.7806743549563051</v>
        <stp/>
        <stp>##V3_BDPV12</stp>
        <stp>NKE US Equity</stp>
        <stp>DV013</stp>
        <stp>[DPM - Securities Master List (BBG Linked).xlsx]Equities!R213C10</stp>
        <tr r="J213" s="2"/>
      </tp>
      <tp>
        <v>2.7806743549563051</v>
        <stp/>
        <stp>##V3_BDPV12</stp>
        <stp>NKE US Equity</stp>
        <stp>DV013</stp>
        <stp>[DPM - Securities Master List (BBG Linked).xlsx]Equities!R212C10</stp>
        <tr r="J212" s="2"/>
      </tp>
      <tp>
        <v>2.7806743549563051</v>
        <stp/>
        <stp>##V3_BDPV12</stp>
        <stp>NKE US Equity</stp>
        <stp>DV013</stp>
        <stp>[DPM - Securities Master List (BBG Linked).xlsx]Equities!R209C10</stp>
        <tr r="J209" s="2"/>
      </tp>
      <tp>
        <v>2.7806743549563051</v>
        <stp/>
        <stp>##V3_BDPV12</stp>
        <stp>NKE US Equity</stp>
        <stp>DV013</stp>
        <stp>[DPM - Securities Master List (BBG Linked).xlsx]Equities!R208C10</stp>
        <tr r="J208" s="2"/>
      </tp>
      <tp>
        <v>2.7806743549563051</v>
        <stp/>
        <stp>##V3_BDPV12</stp>
        <stp>NKE US Equity</stp>
        <stp>DV013</stp>
        <stp>[DPM - Securities Master List (BBG Linked).xlsx]Equities!R207C10</stp>
        <tr r="J207" s="2"/>
      </tp>
      <tp>
        <v>28.827655310621243</v>
        <stp/>
        <stp>##V3_BDPV12</stp>
        <stp>NKE US Equity</stp>
        <stp>EE010</stp>
        <stp>[DPM - Securities Master List (BBG Linked).xlsx]Equities!R221C12</stp>
        <tr r="L221" s="2"/>
        <tr r="L221" s="2"/>
        <tr r="L221" s="2"/>
      </tp>
      <tp>
        <v>28.827655310621243</v>
        <stp/>
        <stp>##V3_BDPV12</stp>
        <stp>NKE US Equity</stp>
        <stp>EE010</stp>
        <stp>[DPM - Securities Master List (BBG Linked).xlsx]Equities!R220C12</stp>
        <tr r="L220" s="2"/>
        <tr r="L220" s="2"/>
        <tr r="L220" s="2"/>
      </tp>
      <tp>
        <v>28.827655310621243</v>
        <stp/>
        <stp>##V3_BDPV12</stp>
        <stp>NKE US Equity</stp>
        <stp>EE010</stp>
        <stp>[DPM - Securities Master List (BBG Linked).xlsx]Equities!R222C12</stp>
        <tr r="L222" s="2"/>
        <tr r="L222" s="2"/>
        <tr r="L222" s="2"/>
      </tp>
      <tp>
        <v>28.827655310621243</v>
        <stp/>
        <stp>##V3_BDPV12</stp>
        <stp>NKE US Equity</stp>
        <stp>EE010</stp>
        <stp>[DPM - Securities Master List (BBG Linked).xlsx]Equities!R209C12</stp>
        <tr r="L209" s="2"/>
        <tr r="L209" s="2"/>
        <tr r="L209" s="2"/>
      </tp>
      <tp>
        <v>28.827655310621243</v>
        <stp/>
        <stp>##V3_BDPV12</stp>
        <stp>NKE US Equity</stp>
        <stp>EE010</stp>
        <stp>[DPM - Securities Master List (BBG Linked).xlsx]Equities!R208C12</stp>
        <tr r="L208" s="2"/>
        <tr r="L208" s="2"/>
        <tr r="L208" s="2"/>
      </tp>
      <tp>
        <v>28.827655310621243</v>
        <stp/>
        <stp>##V3_BDPV12</stp>
        <stp>NKE US Equity</stp>
        <stp>EE010</stp>
        <stp>[DPM - Securities Master List (BBG Linked).xlsx]Equities!R207C12</stp>
        <tr r="L207" s="2"/>
        <tr r="L207" s="2"/>
        <tr r="L207" s="2"/>
      </tp>
      <tp>
        <v>28.827655310621243</v>
        <stp/>
        <stp>##V3_BDPV12</stp>
        <stp>NKE US Equity</stp>
        <stp>EE010</stp>
        <stp>[DPM - Securities Master List (BBG Linked).xlsx]Equities!R219C12</stp>
        <tr r="L219" s="2"/>
        <tr r="L219" s="2"/>
        <tr r="L219" s="2"/>
      </tp>
      <tp>
        <v>28.827655310621243</v>
        <stp/>
        <stp>##V3_BDPV12</stp>
        <stp>NKE US Equity</stp>
        <stp>EE010</stp>
        <stp>[DPM - Securities Master List (BBG Linked).xlsx]Equities!R218C12</stp>
        <tr r="L218" s="2"/>
        <tr r="L218" s="2"/>
        <tr r="L218" s="2"/>
      </tp>
      <tp>
        <v>28.827655310621243</v>
        <stp/>
        <stp>##V3_BDPV12</stp>
        <stp>NKE US Equity</stp>
        <stp>EE010</stp>
        <stp>[DPM - Securities Master List (BBG Linked).xlsx]Equities!R215C12</stp>
        <tr r="L215" s="2"/>
        <tr r="L215" s="2"/>
        <tr r="L215" s="2"/>
      </tp>
      <tp>
        <v>28.827655310621243</v>
        <stp/>
        <stp>##V3_BDPV12</stp>
        <stp>NKE US Equity</stp>
        <stp>EE010</stp>
        <stp>[DPM - Securities Master List (BBG Linked).xlsx]Equities!R214C12</stp>
        <tr r="L214" s="2"/>
        <tr r="L214" s="2"/>
        <tr r="L214" s="2"/>
      </tp>
      <tp>
        <v>28.827655310621243</v>
        <stp/>
        <stp>##V3_BDPV12</stp>
        <stp>NKE US Equity</stp>
        <stp>EE010</stp>
        <stp>[DPM - Securities Master List (BBG Linked).xlsx]Equities!R217C12</stp>
        <tr r="L217" s="2"/>
        <tr r="L217" s="2"/>
        <tr r="L217" s="2"/>
      </tp>
      <tp>
        <v>28.827655310621243</v>
        <stp/>
        <stp>##V3_BDPV12</stp>
        <stp>NKE US Equity</stp>
        <stp>EE010</stp>
        <stp>[DPM - Securities Master List (BBG Linked).xlsx]Equities!R216C12</stp>
        <tr r="L216" s="2"/>
        <tr r="L216" s="2"/>
        <tr r="L216" s="2"/>
      </tp>
      <tp>
        <v>28.827655310621243</v>
        <stp/>
        <stp>##V3_BDPV12</stp>
        <stp>NKE US Equity</stp>
        <stp>EE010</stp>
        <stp>[DPM - Securities Master List (BBG Linked).xlsx]Equities!R211C12</stp>
        <tr r="L211" s="2"/>
        <tr r="L211" s="2"/>
        <tr r="L211" s="2"/>
      </tp>
      <tp>
        <v>28.827655310621243</v>
        <stp/>
        <stp>##V3_BDPV12</stp>
        <stp>NKE US Equity</stp>
        <stp>EE010</stp>
        <stp>[DPM - Securities Master List (BBG Linked).xlsx]Equities!R210C12</stp>
        <tr r="L210" s="2"/>
        <tr r="L210" s="2"/>
        <tr r="L210" s="2"/>
      </tp>
      <tp>
        <v>28.827655310621243</v>
        <stp/>
        <stp>##V3_BDPV12</stp>
        <stp>NKE US Equity</stp>
        <stp>EE010</stp>
        <stp>[DPM - Securities Master List (BBG Linked).xlsx]Equities!R213C12</stp>
        <tr r="L213" s="2"/>
        <tr r="L213" s="2"/>
        <tr r="L213" s="2"/>
      </tp>
      <tp>
        <v>28.827655310621243</v>
        <stp/>
        <stp>##V3_BDPV12</stp>
        <stp>NKE US Equity</stp>
        <stp>EE010</stp>
        <stp>[DPM - Securities Master List (BBG Linked).xlsx]Equities!R212C12</stp>
        <tr r="L212" s="2"/>
        <tr r="L212" s="2"/>
        <tr r="L212" s="2"/>
      </tp>
      <tp>
        <v>7</v>
        <stp/>
        <stp>##V3_BDPV12</stp>
        <stp>RIO LN Equity</stp>
        <stp>TOT_HOLD_REC</stp>
        <stp>[DPM - Securities Master List (BBG Linked).xlsx]Equities!R242C35</stp>
        <tr r="AI242" s="2"/>
      </tp>
      <tp t="s">
        <v>#N/A N/A</v>
        <stp/>
        <stp>##V3_BDPV12</stp>
        <stp>NEM AT Equity</stp>
        <stp>DY784</stp>
        <stp>[DPM - Securities Master List (BBG Linked).xlsx]Equities!R189C48</stp>
        <tr r="AV189" s="2"/>
        <tr r="AV189" s="2"/>
      </tp>
      <tp t="s">
        <v>#N/A N/A</v>
        <stp/>
        <stp>##V3_BDPV12</stp>
        <stp>NEM AT Equity</stp>
        <stp>DY784</stp>
        <stp>[DPM - Securities Master List (BBG Linked).xlsx]Equities!R192C48</stp>
        <tr r="AV192" s="2"/>
        <tr r="AV192" s="2"/>
      </tp>
      <tp t="s">
        <v>#N/A N/A</v>
        <stp/>
        <stp>##V3_BDPV12</stp>
        <stp>NEM AT Equity</stp>
        <stp>DY784</stp>
        <stp>[DPM - Securities Master List (BBG Linked).xlsx]Equities!R190C48</stp>
        <tr r="AV190" s="2"/>
        <tr r="AV190" s="2"/>
      </tp>
      <tp t="s">
        <v>#N/A N/A</v>
        <stp/>
        <stp>##V3_BDPV12</stp>
        <stp>NEM AT Equity</stp>
        <stp>DY784</stp>
        <stp>[DPM - Securities Master List (BBG Linked).xlsx]Equities!R191C48</stp>
        <tr r="AV191" s="2"/>
        <tr r="AV191" s="2"/>
      </tp>
      <tp>
        <v>0</v>
        <stp/>
        <stp>##V3_BDPV12</stp>
        <stp>RIO LN Equity</stp>
        <stp>TOT_SELL_REC</stp>
        <stp>[DPM - Securities Master List (BBG Linked).xlsx]Equities!R242C36</stp>
        <tr r="AJ242" s="2"/>
      </tp>
      <tp>
        <v>2.8808951868589743</v>
        <stp/>
        <stp>##V3_BDPV12</stp>
        <stp>DRX LN Equity</stp>
        <stp>RR957</stp>
        <stp>[DPM - Securities Master List (BBG Linked).xlsx]Equities!R124C14</stp>
        <tr r="N124" s="2"/>
        <tr r="N124" s="2"/>
        <tr r="N124" s="2"/>
      </tp>
      <tp>
        <v>2.8808951868589743</v>
        <stp/>
        <stp>##V3_BDPV12</stp>
        <stp>DRX LN Equity</stp>
        <stp>RR957</stp>
        <stp>[DPM - Securities Master List (BBG Linked).xlsx]Equities!R123C14</stp>
        <tr r="N123" s="2"/>
        <tr r="N123" s="2"/>
        <tr r="N123" s="2"/>
      </tp>
      <tp>
        <v>2.8808951868589743</v>
        <stp/>
        <stp>##V3_BDPV12</stp>
        <stp>DRX LN Equity</stp>
        <stp>RR957</stp>
        <stp>[DPM - Securities Master List (BBG Linked).xlsx]Equities!R122C14</stp>
        <tr r="N122" s="2"/>
        <tr r="N122" s="2"/>
        <tr r="N122" s="2"/>
      </tp>
      <tp>
        <v>2.8808951868589743</v>
        <stp/>
        <stp>##V3_BDPV12</stp>
        <stp>DRX LN Equity</stp>
        <stp>RR957</stp>
        <stp>[DPM - Securities Master List (BBG Linked).xlsx]Equities!R121C14</stp>
        <tr r="N121" s="2"/>
        <tr r="N121" s="2"/>
        <tr r="N121" s="2"/>
      </tp>
      <tp>
        <v>2.8808951868589743</v>
        <stp/>
        <stp>##V3_BDPV12</stp>
        <stp>DRX LN Equity</stp>
        <stp>RR957</stp>
        <stp>[DPM - Securities Master List (BBG Linked).xlsx]Equities!R120C14</stp>
        <tr r="N120" s="2"/>
        <tr r="N120" s="2"/>
        <tr r="N120" s="2"/>
      </tp>
      <tp>
        <v>2.8808951868589743</v>
        <stp/>
        <stp>##V3_BDPV12</stp>
        <stp>DRX LN Equity</stp>
        <stp>RR957</stp>
        <stp>[DPM - Securities Master List (BBG Linked).xlsx]Equities!R117C14</stp>
        <tr r="N117" s="2"/>
        <tr r="N117" s="2"/>
        <tr r="N117" s="2"/>
      </tp>
      <tp>
        <v>2.8808951868589743</v>
        <stp/>
        <stp>##V3_BDPV12</stp>
        <stp>DRX LN Equity</stp>
        <stp>RR957</stp>
        <stp>[DPM - Securities Master List (BBG Linked).xlsx]Equities!R116C14</stp>
        <tr r="N116" s="2"/>
        <tr r="N116" s="2"/>
        <tr r="N116" s="2"/>
      </tp>
      <tp>
        <v>2.8808951868589743</v>
        <stp/>
        <stp>##V3_BDPV12</stp>
        <stp>DRX LN Equity</stp>
        <stp>RR957</stp>
        <stp>[DPM - Securities Master List (BBG Linked).xlsx]Equities!R119C14</stp>
        <tr r="N119" s="2"/>
        <tr r="N119" s="2"/>
        <tr r="N119" s="2"/>
      </tp>
      <tp>
        <v>2.8808951868589743</v>
        <stp/>
        <stp>##V3_BDPV12</stp>
        <stp>DRX LN Equity</stp>
        <stp>RR957</stp>
        <stp>[DPM - Securities Master List (BBG Linked).xlsx]Equities!R118C14</stp>
        <tr r="N118" s="2"/>
        <tr r="N118" s="2"/>
        <tr r="N118" s="2"/>
      </tp>
      <tp t="s">
        <v>Y</v>
        <stp/>
        <stp>##V3_BDPV12</stp>
        <stp>ZBH US Equity</stp>
        <stp>DY784</stp>
        <stp>[DPM - Securities Master List (BBG Linked).xlsx]Equities!R302C48</stp>
        <tr r="AV302" s="2"/>
        <tr r="AV302" s="2"/>
        <tr r="AV302" s="2"/>
      </tp>
      <tp t="s">
        <v>Y</v>
        <stp/>
        <stp>##V3_BDPV12</stp>
        <stp>ZBH US Equity</stp>
        <stp>DY784</stp>
        <stp>[DPM - Securities Master List (BBG Linked).xlsx]Equities!R300C48</stp>
        <tr r="AV300" s="2"/>
        <tr r="AV300" s="2"/>
        <tr r="AV300" s="2"/>
      </tp>
      <tp t="s">
        <v>Y</v>
        <stp/>
        <stp>##V3_BDPV12</stp>
        <stp>ZBH US Equity</stp>
        <stp>DY784</stp>
        <stp>[DPM - Securities Master List (BBG Linked).xlsx]Equities!R301C48</stp>
        <tr r="AV301" s="2"/>
        <tr r="AV301" s="2"/>
        <tr r="AV301" s="2"/>
      </tp>
      <tp t="s">
        <v>Y</v>
        <stp/>
        <stp>##V3_BDPV12</stp>
        <stp>ZBH US Equity</stp>
        <stp>DY784</stp>
        <stp>[DPM - Securities Master List (BBG Linked).xlsx]Equities!R298C48</stp>
        <tr r="AV298" s="2"/>
        <tr r="AV298" s="2"/>
        <tr r="AV298" s="2"/>
      </tp>
      <tp t="s">
        <v>Y</v>
        <stp/>
        <stp>##V3_BDPV12</stp>
        <stp>ZBH US Equity</stp>
        <stp>DY784</stp>
        <stp>[DPM - Securities Master List (BBG Linked).xlsx]Equities!R299C48</stp>
        <tr r="AV299" s="2"/>
        <tr r="AV299" s="2"/>
        <tr r="AV299" s="2"/>
      </tp>
      <tp t="s">
        <v>Y</v>
        <stp/>
        <stp>##V3_BDPV12</stp>
        <stp>ZBH US Equity</stp>
        <stp>DY784</stp>
        <stp>[DPM - Securities Master List (BBG Linked).xlsx]Equities!R296C48</stp>
        <tr r="AV296" s="2"/>
        <tr r="AV296" s="2"/>
        <tr r="AV296" s="2"/>
      </tp>
      <tp t="s">
        <v>Y</v>
        <stp/>
        <stp>##V3_BDPV12</stp>
        <stp>ZBH US Equity</stp>
        <stp>DY784</stp>
        <stp>[DPM - Securities Master List (BBG Linked).xlsx]Equities!R297C48</stp>
        <tr r="AV297" s="2"/>
        <tr r="AV297" s="2"/>
        <tr r="AV297" s="2"/>
      </tp>
      <tp t="s">
        <v>Y</v>
        <stp/>
        <stp>##V3_BDPV12</stp>
        <stp>ZBH US Equity</stp>
        <stp>DY784</stp>
        <stp>[DPM - Securities Master List (BBG Linked).xlsx]Equities!R294C48</stp>
        <tr r="AV294" s="2"/>
        <tr r="AV294" s="2"/>
        <tr r="AV294" s="2"/>
      </tp>
      <tp t="s">
        <v>Y</v>
        <stp/>
        <stp>##V3_BDPV12</stp>
        <stp>ZBH US Equity</stp>
        <stp>DY784</stp>
        <stp>[DPM - Securities Master List (BBG Linked).xlsx]Equities!R295C48</stp>
        <tr r="AV295" s="2"/>
        <tr r="AV295" s="2"/>
        <tr r="AV295" s="2"/>
      </tp>
      <tp t="s">
        <v>Tesco PLC</v>
        <stp/>
        <stp>##V3_BDPV12</stp>
        <stp>TSCO LN Equity</stp>
        <stp>SECURITY NAME</stp>
        <stp>[DPM - Securities Master List (BBG Linked).xlsx]Equities!R267C5</stp>
        <tr r="E267" s="2"/>
      </tp>
      <tp t="s">
        <v>USD</v>
        <stp/>
        <stp>##V3_BDPV12</stp>
        <stp>MSFT US Equity</stp>
        <stp>CRNCY</stp>
        <stp>[DPM - Securities Master List (BBG Linked).xlsx]Equities!R176C6</stp>
        <tr r="F176" s="2"/>
      </tp>
      <tp t="s">
        <v>USD</v>
        <stp/>
        <stp>##V3_BDPV12</stp>
        <stp>MSFT US Equity</stp>
        <stp>CRNCY</stp>
        <stp>[DPM - Securities Master List (BBG Linked).xlsx]Equities!R186C6</stp>
        <tr r="F186" s="2"/>
      </tp>
      <tp>
        <v>7.1722910000000004</v>
        <stp/>
        <stp>##V3_BDPV12</stp>
        <stp>XS2911679004 isin</stp>
        <stp>YAS_BOND_YLD</stp>
        <stp>[DPM - Securities Master List (BBG Linked).xlsx]Bonds!R38C10</stp>
        <stp>YAS_YLD_FLAG=15</stp>
        <stp>user_local_trade_date</stp>
        <stp>45783</stp>
        <stp>Yas_bond_px</stp>
        <stp>99.109999999999999</stp>
        <tr r="J38" s="1"/>
      </tp>
      <tp>
        <v>1485558.8259810375</v>
        <stp/>
        <stp>##V3_BDPV12</stp>
        <stp>META US Equity</stp>
        <stp>CRNCY_ADJ_MKT_CAP</stp>
        <stp>[DPM - Securities Master List (BBG Linked).xlsx]Equities!R156C9</stp>
        <stp>EQY_FUND_CRNCY=USD</stp>
        <tr r="I156" s="2"/>
      </tp>
      <tp>
        <v>579.93499999999995</v>
        <stp/>
        <stp>##V3_BDPV12</stp>
        <stp>REGN US Equity</stp>
        <stp>PX_LAST</stp>
        <stp>[DPM - Securities Master List (BBG Linked).xlsx]Equities!R241C17</stp>
        <tr r="Q241" s="2"/>
      </tp>
      <tp t="s">
        <v>Drax Group PLC</v>
        <stp/>
        <stp>##V3_BDPV12</stp>
        <stp>DRX LN Equity</stp>
        <stp>SECURITY NAME</stp>
        <stp>[DPM - Securities Master List (BBG Linked).xlsx]Equities!R122C5</stp>
        <tr r="E122" s="2"/>
      </tp>
      <tp t="s">
        <v>Zimmer Biomet Holdings Inc</v>
        <stp/>
        <stp>##V3_BDPV12</stp>
        <stp>ZBH US Equity</stp>
        <stp>SECURITY NAME</stp>
        <stp>[DPM - Securities Master List (BBG Linked).xlsx]Equities!R295C5</stp>
        <tr r="E295" s="2"/>
      </tp>
      <tp t="s">
        <v>USD</v>
        <stp/>
        <stp>##V3_BDPV12</stp>
        <stp>DIS US Equity</stp>
        <stp>CRNCY</stp>
        <stp>[DPM - Securities Master List (BBG Linked).xlsx]Equities!R113C6</stp>
        <tr r="F113" s="2"/>
      </tp>
      <tp t="s">
        <v>USD</v>
        <stp/>
        <stp>##V3_BDPV12</stp>
        <stp>NKE US Equity</stp>
        <stp>CRNCY</stp>
        <stp>[DPM - Securities Master List (BBG Linked).xlsx]Equities!R209C6</stp>
        <tr r="F209" s="2"/>
      </tp>
      <tp t="s">
        <v>USD</v>
        <stp/>
        <stp>##V3_BDPV12</stp>
        <stp>NKE US Equity</stp>
        <stp>CRNCY</stp>
        <stp>[DPM - Securities Master List (BBG Linked).xlsx]Equities!R219C6</stp>
        <tr r="F219" s="2"/>
      </tp>
      <tp>
        <v>80.099999999999994</v>
        <stp/>
        <stp>##V3_BDPV12</stp>
        <stp>DIS US Equity</stp>
        <stp>hs002</stp>
        <stp>[DPM - Securities Master List (BBG Linked).xlsx]Equities!R115C45</stp>
        <tr r="AS115" s="2"/>
      </tp>
      <tp>
        <v>80.099999999999994</v>
        <stp/>
        <stp>##V3_BDPV12</stp>
        <stp>DIS US Equity</stp>
        <stp>hs002</stp>
        <stp>[DPM - Securities Master List (BBG Linked).xlsx]Equities!R114C45</stp>
        <tr r="AS114" s="2"/>
      </tp>
      <tp>
        <v>80.099999999999994</v>
        <stp/>
        <stp>##V3_BDPV12</stp>
        <stp>DIS US Equity</stp>
        <stp>hs002</stp>
        <stp>[DPM - Securities Master List (BBG Linked).xlsx]Equities!R113C45</stp>
        <tr r="AS113" s="2"/>
      </tp>
      <tp>
        <v>80.099999999999994</v>
        <stp/>
        <stp>##V3_BDPV12</stp>
        <stp>DIS US Equity</stp>
        <stp>hs002</stp>
        <stp>[DPM - Securities Master List (BBG Linked).xlsx]Equities!R112C45</stp>
        <tr r="AS112" s="2"/>
      </tp>
      <tp>
        <v>118.63</v>
        <stp/>
        <stp>##V3_BDPV12</stp>
        <stp>DIS US Equity</stp>
        <stp>hs001</stp>
        <stp>[DPM - Securities Master List (BBG Linked).xlsx]Equities!R115C44</stp>
        <tr r="AR115" s="2"/>
      </tp>
      <tp>
        <v>118.63</v>
        <stp/>
        <stp>##V3_BDPV12</stp>
        <stp>DIS US Equity</stp>
        <stp>hs001</stp>
        <stp>[DPM - Securities Master List (BBG Linked).xlsx]Equities!R114C44</stp>
        <tr r="AR114" s="2"/>
      </tp>
      <tp>
        <v>118.63</v>
        <stp/>
        <stp>##V3_BDPV12</stp>
        <stp>DIS US Equity</stp>
        <stp>hs001</stp>
        <stp>[DPM - Securities Master List (BBG Linked).xlsx]Equities!R113C44</stp>
        <tr r="AR113" s="2"/>
      </tp>
      <tp>
        <v>118.63</v>
        <stp/>
        <stp>##V3_BDPV12</stp>
        <stp>DIS US Equity</stp>
        <stp>hs001</stp>
        <stp>[DPM - Securities Master List (BBG Linked).xlsx]Equities!R112C44</stp>
        <tr r="AR112" s="2"/>
      </tp>
      <tp>
        <v>7.71</v>
        <stp/>
        <stp>##V3_BDPV12</stp>
        <stp>NIO US Equity</stp>
        <stp>hs001</stp>
        <stp>[DPM - Securities Master List (BBG Linked).xlsx]Equities!R206C44</stp>
        <tr r="AR206" s="2"/>
      </tp>
      <tp>
        <v>3.02</v>
        <stp/>
        <stp>##V3_BDPV12</stp>
        <stp>NIO US Equity</stp>
        <stp>hs002</stp>
        <stp>[DPM - Securities Master List (BBG Linked).xlsx]Equities!R206C45</stp>
        <tr r="AS206" s="2"/>
      </tp>
      <tp t="s">
        <v>EUR</v>
        <stp/>
        <stp>##V3_BDPV12</stp>
        <stp>TTE FP Equity</stp>
        <stp>CRNCY</stp>
        <stp>[DPM - Securities Master List (BBG Linked).xlsx]Equities!R280C6</stp>
        <tr r="F280" s="2"/>
      </tp>
      <tp t="s">
        <v>Communication Services</v>
        <stp/>
        <stp>##V3_BDPV12</stp>
        <stp>DIS US Equity</stp>
        <stp>DX202</stp>
        <stp>[DPM - Securities Master List (BBG Linked).xlsx]Equities!R115C46</stp>
        <tr r="AT115" s="2"/>
        <tr r="AT115" s="2"/>
        <tr r="AT115" s="2"/>
      </tp>
      <tp t="s">
        <v>Communication Services</v>
        <stp/>
        <stp>##V3_BDPV12</stp>
        <stp>DIS US Equity</stp>
        <stp>DX202</stp>
        <stp>[DPM - Securities Master List (BBG Linked).xlsx]Equities!R114C46</stp>
        <tr r="AT114" s="2"/>
        <tr r="AT114" s="2"/>
        <tr r="AT114" s="2"/>
      </tp>
      <tp t="s">
        <v>Communication Services</v>
        <stp/>
        <stp>##V3_BDPV12</stp>
        <stp>DIS US Equity</stp>
        <stp>DX202</stp>
        <stp>[DPM - Securities Master List (BBG Linked).xlsx]Equities!R113C46</stp>
        <tr r="AT113" s="2"/>
        <tr r="AT113" s="2"/>
        <tr r="AT113" s="2"/>
      </tp>
      <tp t="s">
        <v>Communication Services</v>
        <stp/>
        <stp>##V3_BDPV12</stp>
        <stp>DIS US Equity</stp>
        <stp>DX202</stp>
        <stp>[DPM - Securities Master List (BBG Linked).xlsx]Equities!R112C46</stp>
        <tr r="AT112" s="2"/>
        <tr r="AT112" s="2"/>
        <tr r="AT112" s="2"/>
      </tp>
      <tp>
        <v>4.4871792793273926</v>
        <stp/>
        <stp>##V3_BDPV12</stp>
        <stp>DIS US Equity</stp>
        <stp>EE201</stp>
        <stp>[DPM - Securities Master List (BBG Linked).xlsx]Equities!R115C37</stp>
        <tr r="AK115" s="2"/>
        <tr r="AK115" s="2"/>
        <tr r="AK115" s="2"/>
      </tp>
      <tp>
        <v>4.4871792793273926</v>
        <stp/>
        <stp>##V3_BDPV12</stp>
        <stp>DIS US Equity</stp>
        <stp>EE201</stp>
        <stp>[DPM - Securities Master List (BBG Linked).xlsx]Equities!R114C37</stp>
        <tr r="AK114" s="2"/>
        <tr r="AK114" s="2"/>
        <tr r="AK114" s="2"/>
      </tp>
      <tp>
        <v>4.4871792793273926</v>
        <stp/>
        <stp>##V3_BDPV12</stp>
        <stp>DIS US Equity</stp>
        <stp>EE201</stp>
        <stp>[DPM - Securities Master List (BBG Linked).xlsx]Equities!R113C37</stp>
        <tr r="AK113" s="2"/>
        <tr r="AK113" s="2"/>
        <tr r="AK113" s="2"/>
      </tp>
      <tp>
        <v>4.4871792793273926</v>
        <stp/>
        <stp>##V3_BDPV12</stp>
        <stp>DIS US Equity</stp>
        <stp>EE201</stp>
        <stp>[DPM - Securities Master List (BBG Linked).xlsx]Equities!R112C37</stp>
        <tr r="AK112" s="2"/>
        <tr r="AK112" s="2"/>
        <tr r="AK112" s="2"/>
      </tp>
      <tp t="s">
        <v>#N/A N/A</v>
        <stp/>
        <stp>##V3_BDPV12</stp>
        <stp>NIO US Equity</stp>
        <stp>RR908</stp>
        <stp>[DPM - Securities Master List (BBG Linked).xlsx]Equities!R206C32</stp>
        <tr r="AF206" s="2"/>
        <tr r="AF206" s="2"/>
      </tp>
      <tp>
        <v>7.4266620000000003</v>
        <stp/>
        <stp>##V3_BDPV12</stp>
        <stp>GSK LN Equity</stp>
        <stp>PR079</stp>
        <stp>[DPM - Securities Master List (BBG Linked).xlsx]Equities!R145C43</stp>
        <tr r="AQ145" s="2"/>
      </tp>
      <tp>
        <v>7.4266620000000003</v>
        <stp/>
        <stp>##V3_BDPV12</stp>
        <stp>GSK LN Equity</stp>
        <stp>PR079</stp>
        <stp>[DPM - Securities Master List (BBG Linked).xlsx]Equities!R144C43</stp>
        <tr r="AQ144" s="2"/>
      </tp>
      <tp>
        <v>7.4266620000000003</v>
        <stp/>
        <stp>##V3_BDPV12</stp>
        <stp>GSK LN Equity</stp>
        <stp>PR079</stp>
        <stp>[DPM - Securities Master List (BBG Linked).xlsx]Equities!R143C43</stp>
        <tr r="AQ143" s="2"/>
      </tp>
      <tp>
        <v>7.4266620000000003</v>
        <stp/>
        <stp>##V3_BDPV12</stp>
        <stp>GSK LN Equity</stp>
        <stp>PR079</stp>
        <stp>[DPM - Securities Master List (BBG Linked).xlsx]Equities!R142C43</stp>
        <tr r="AQ142" s="2"/>
      </tp>
      <tp t="s">
        <v>US2546871060</v>
        <stp/>
        <stp>##V3_BDPV12</stp>
        <stp>DIS US Equity</stp>
        <stp>ID005</stp>
        <stp>[DPM - Securities Master List (BBG Linked).xlsx]Equities!R115C55</stp>
        <tr r="BC115" s="2"/>
      </tp>
      <tp t="s">
        <v>US2546871060</v>
        <stp/>
        <stp>##V3_BDPV12</stp>
        <stp>DIS US Equity</stp>
        <stp>ID005</stp>
        <stp>[DPM - Securities Master List (BBG Linked).xlsx]Equities!R114C55</stp>
        <tr r="BC114" s="2"/>
      </tp>
      <tp t="s">
        <v>US2546871060</v>
        <stp/>
        <stp>##V3_BDPV12</stp>
        <stp>DIS US Equity</stp>
        <stp>ID005</stp>
        <stp>[DPM - Securities Master List (BBG Linked).xlsx]Equities!R113C55</stp>
        <tr r="BC113" s="2"/>
      </tp>
      <tp t="s">
        <v>US2546871060</v>
        <stp/>
        <stp>##V3_BDPV12</stp>
        <stp>DIS US Equity</stp>
        <stp>ID005</stp>
        <stp>[DPM - Securities Master List (BBG Linked).xlsx]Equities!R112C55</stp>
        <tr r="BC112" s="2"/>
      </tp>
      <tp>
        <v>6.5461349999999996</v>
        <stp/>
        <stp>##V3_BDPV12</stp>
        <stp>SSE LN Equity</stp>
        <stp>PR079</stp>
        <stp>[DPM - Securities Master List (BBG Linked).xlsx]Equities!R249C43</stp>
        <tr r="AQ249" s="2"/>
      </tp>
      <tp>
        <v>6.5461349999999996</v>
        <stp/>
        <stp>##V3_BDPV12</stp>
        <stp>SSE LN Equity</stp>
        <stp>PR079</stp>
        <stp>[DPM - Securities Master List (BBG Linked).xlsx]Equities!R248C43</stp>
        <tr r="AQ248" s="2"/>
      </tp>
      <tp>
        <v>6.5461349999999996</v>
        <stp/>
        <stp>##V3_BDPV12</stp>
        <stp>SSE LN Equity</stp>
        <stp>PR079</stp>
        <stp>[DPM - Securities Master List (BBG Linked).xlsx]Equities!R245C43</stp>
        <tr r="AQ245" s="2"/>
      </tp>
      <tp>
        <v>6.5461349999999996</v>
        <stp/>
        <stp>##V3_BDPV12</stp>
        <stp>SSE LN Equity</stp>
        <stp>PR079</stp>
        <stp>[DPM - Securities Master List (BBG Linked).xlsx]Equities!R244C43</stp>
        <tr r="AQ244" s="2"/>
      </tp>
      <tp>
        <v>6.5461349999999996</v>
        <stp/>
        <stp>##V3_BDPV12</stp>
        <stp>SSE LN Equity</stp>
        <stp>PR079</stp>
        <stp>[DPM - Securities Master List (BBG Linked).xlsx]Equities!R247C43</stp>
        <tr r="AQ247" s="2"/>
      </tp>
      <tp>
        <v>6.5461349999999996</v>
        <stp/>
        <stp>##V3_BDPV12</stp>
        <stp>SSE LN Equity</stp>
        <stp>PR079</stp>
        <stp>[DPM - Securities Master List (BBG Linked).xlsx]Equities!R246C43</stp>
        <tr r="AQ246" s="2"/>
      </tp>
      <tp>
        <v>6.5461349999999996</v>
        <stp/>
        <stp>##V3_BDPV12</stp>
        <stp>SSE LN Equity</stp>
        <stp>PR079</stp>
        <stp>[DPM - Securities Master List (BBG Linked).xlsx]Equities!R258C43</stp>
        <tr r="AQ258" s="2"/>
      </tp>
      <tp>
        <v>6.5461349999999996</v>
        <stp/>
        <stp>##V3_BDPV12</stp>
        <stp>SSE LN Equity</stp>
        <stp>PR079</stp>
        <stp>[DPM - Securities Master List (BBG Linked).xlsx]Equities!R251C43</stp>
        <tr r="AQ251" s="2"/>
      </tp>
      <tp>
        <v>6.5461349999999996</v>
        <stp/>
        <stp>##V3_BDPV12</stp>
        <stp>SSE LN Equity</stp>
        <stp>PR079</stp>
        <stp>[DPM - Securities Master List (BBG Linked).xlsx]Equities!R250C43</stp>
        <tr r="AQ250" s="2"/>
      </tp>
      <tp>
        <v>6.5461349999999996</v>
        <stp/>
        <stp>##V3_BDPV12</stp>
        <stp>SSE LN Equity</stp>
        <stp>PR079</stp>
        <stp>[DPM - Securities Master List (BBG Linked).xlsx]Equities!R253C43</stp>
        <tr r="AQ253" s="2"/>
      </tp>
      <tp>
        <v>6.5461349999999996</v>
        <stp/>
        <stp>##V3_BDPV12</stp>
        <stp>SSE LN Equity</stp>
        <stp>PR079</stp>
        <stp>[DPM - Securities Master List (BBG Linked).xlsx]Equities!R252C43</stp>
        <tr r="AQ252" s="2"/>
      </tp>
      <tp>
        <v>6.5461349999999996</v>
        <stp/>
        <stp>##V3_BDPV12</stp>
        <stp>SSE LN Equity</stp>
        <stp>PR079</stp>
        <stp>[DPM - Securities Master List (BBG Linked).xlsx]Equities!R255C43</stp>
        <tr r="AQ255" s="2"/>
      </tp>
      <tp>
        <v>6.5461349999999996</v>
        <stp/>
        <stp>##V3_BDPV12</stp>
        <stp>SSE LN Equity</stp>
        <stp>PR079</stp>
        <stp>[DPM - Securities Master List (BBG Linked).xlsx]Equities!R254C43</stp>
        <tr r="AQ254" s="2"/>
      </tp>
      <tp>
        <v>6.5461349999999996</v>
        <stp/>
        <stp>##V3_BDPV12</stp>
        <stp>SSE LN Equity</stp>
        <stp>PR079</stp>
        <stp>[DPM - Securities Master List (BBG Linked).xlsx]Equities!R257C43</stp>
        <tr r="AQ257" s="2"/>
      </tp>
      <tp>
        <v>6.5461349999999996</v>
        <stp/>
        <stp>##V3_BDPV12</stp>
        <stp>SSE LN Equity</stp>
        <stp>PR079</stp>
        <stp>[DPM - Securities Master List (BBG Linked).xlsx]Equities!R256C43</stp>
        <tr r="AQ256" s="2"/>
      </tp>
      <tp>
        <v>9.7945668928563343</v>
        <stp/>
        <stp>##V3_BDPV12</stp>
        <stp>NIO US Equity</stp>
        <stp>RR903</stp>
        <stp>[DPM - Securities Master List (BBG Linked).xlsx]Equities!R206C13</stp>
        <tr r="M206" s="2"/>
        <tr r="M206" s="2"/>
        <tr r="M206" s="2"/>
      </tp>
      <tp t="s">
        <v>#N/A N/A</v>
        <stp/>
        <stp>##V3_BDPV12</stp>
        <stp>NIO US Equity</stp>
        <stp>RR900</stp>
        <stp>[DPM - Securities Master List (BBG Linked).xlsx]Equities!R206C11</stp>
        <tr r="K206" s="2"/>
        <tr r="K206" s="2"/>
      </tp>
      <tp>
        <v>18.938713955223694</v>
        <stp/>
        <stp>##V3_BDPV12</stp>
        <stp>DIS US Equity</stp>
        <stp>RR900</stp>
        <stp>[DPM - Securities Master List (BBG Linked).xlsx]Equities!R114C11</stp>
        <tr r="K114" s="2"/>
        <tr r="K114" s="2"/>
        <tr r="K114" s="2"/>
      </tp>
      <tp>
        <v>18.938713955223694</v>
        <stp/>
        <stp>##V3_BDPV12</stp>
        <stp>DIS US Equity</stp>
        <stp>RR900</stp>
        <stp>[DPM - Securities Master List (BBG Linked).xlsx]Equities!R115C11</stp>
        <tr r="K115" s="2"/>
        <tr r="K115" s="2"/>
        <tr r="K115" s="2"/>
      </tp>
      <tp>
        <v>18.938713955223694</v>
        <stp/>
        <stp>##V3_BDPV12</stp>
        <stp>DIS US Equity</stp>
        <stp>RR900</stp>
        <stp>[DPM - Securities Master List (BBG Linked).xlsx]Equities!R112C11</stp>
        <tr r="K112" s="2"/>
        <tr r="K112" s="2"/>
        <tr r="K112" s="2"/>
      </tp>
      <tp>
        <v>18.938713955223694</v>
        <stp/>
        <stp>##V3_BDPV12</stp>
        <stp>DIS US Equity</stp>
        <stp>RR900</stp>
        <stp>[DPM - Securities Master List (BBG Linked).xlsx]Equities!R113C11</stp>
        <tr r="K113" s="2"/>
        <tr r="K113" s="2"/>
        <tr r="K113" s="2"/>
      </tp>
      <tp>
        <v>1.6719091897289937</v>
        <stp/>
        <stp>##V3_BDPV12</stp>
        <stp>DIS US Equity</stp>
        <stp>RR903</stp>
        <stp>[DPM - Securities Master List (BBG Linked).xlsx]Equities!R114C13</stp>
        <tr r="M114" s="2"/>
        <tr r="M114" s="2"/>
        <tr r="M114" s="2"/>
      </tp>
      <tp>
        <v>1.6719091897289937</v>
        <stp/>
        <stp>##V3_BDPV12</stp>
        <stp>DIS US Equity</stp>
        <stp>RR903</stp>
        <stp>[DPM - Securities Master List (BBG Linked).xlsx]Equities!R115C13</stp>
        <tr r="M115" s="2"/>
        <tr r="M115" s="2"/>
        <tr r="M115" s="2"/>
      </tp>
      <tp>
        <v>1.6719091897289937</v>
        <stp/>
        <stp>##V3_BDPV12</stp>
        <stp>DIS US Equity</stp>
        <stp>RR903</stp>
        <stp>[DPM - Securities Master List (BBG Linked).xlsx]Equities!R112C13</stp>
        <tr r="M112" s="2"/>
        <tr r="M112" s="2"/>
        <tr r="M112" s="2"/>
      </tp>
      <tp>
        <v>1.6719091897289937</v>
        <stp/>
        <stp>##V3_BDPV12</stp>
        <stp>DIS US Equity</stp>
        <stp>RR903</stp>
        <stp>[DPM - Securities Master List (BBG Linked).xlsx]Equities!R113C13</stp>
        <tr r="M113" s="2"/>
        <tr r="M113" s="2"/>
        <tr r="M113" s="2"/>
      </tp>
      <tp t="s">
        <v>US62914V1061</v>
        <stp/>
        <stp>##V3_BDPV12</stp>
        <stp>NIO US Equity</stp>
        <stp>ID005</stp>
        <stp>[DPM - Securities Master List (BBG Linked).xlsx]Equities!R206C55</stp>
        <tr r="BC206" s="2"/>
      </tp>
      <tp>
        <v>-0.56360710000000003</v>
        <stp/>
        <stp>##V3_BDPV12</stp>
        <stp>DRX LN Equity</stp>
        <stp>PR064</stp>
        <stp>[DPM - Securities Master List (BBG Linked).xlsx]Equities!R124C41</stp>
        <tr r="AO124" s="2"/>
      </tp>
      <tp>
        <v>-0.56360710000000003</v>
        <stp/>
        <stp>##V3_BDPV12</stp>
        <stp>DRX LN Equity</stp>
        <stp>PR064</stp>
        <stp>[DPM - Securities Master List (BBG Linked).xlsx]Equities!R122C41</stp>
        <tr r="AO122" s="2"/>
      </tp>
      <tp>
        <v>-0.56360710000000003</v>
        <stp/>
        <stp>##V3_BDPV12</stp>
        <stp>DRX LN Equity</stp>
        <stp>PR064</stp>
        <stp>[DPM - Securities Master List (BBG Linked).xlsx]Equities!R123C41</stp>
        <tr r="AO123" s="2"/>
      </tp>
      <tp>
        <v>-0.56360710000000003</v>
        <stp/>
        <stp>##V3_BDPV12</stp>
        <stp>DRX LN Equity</stp>
        <stp>PR064</stp>
        <stp>[DPM - Securities Master List (BBG Linked).xlsx]Equities!R120C41</stp>
        <tr r="AO120" s="2"/>
      </tp>
      <tp>
        <v>-0.56360710000000003</v>
        <stp/>
        <stp>##V3_BDPV12</stp>
        <stp>DRX LN Equity</stp>
        <stp>PR064</stp>
        <stp>[DPM - Securities Master List (BBG Linked).xlsx]Equities!R121C41</stp>
        <tr r="AO121" s="2"/>
      </tp>
      <tp>
        <v>-0.56360710000000003</v>
        <stp/>
        <stp>##V3_BDPV12</stp>
        <stp>DRX LN Equity</stp>
        <stp>PR064</stp>
        <stp>[DPM - Securities Master List (BBG Linked).xlsx]Equities!R118C41</stp>
        <tr r="AO118" s="2"/>
      </tp>
      <tp>
        <v>-0.56360710000000003</v>
        <stp/>
        <stp>##V3_BDPV12</stp>
        <stp>DRX LN Equity</stp>
        <stp>PR064</stp>
        <stp>[DPM - Securities Master List (BBG Linked).xlsx]Equities!R119C41</stp>
        <tr r="AO119" s="2"/>
      </tp>
      <tp>
        <v>-0.56360710000000003</v>
        <stp/>
        <stp>##V3_BDPV12</stp>
        <stp>DRX LN Equity</stp>
        <stp>PR064</stp>
        <stp>[DPM - Securities Master List (BBG Linked).xlsx]Equities!R116C41</stp>
        <tr r="AO116" s="2"/>
      </tp>
      <tp>
        <v>-0.56360710000000003</v>
        <stp/>
        <stp>##V3_BDPV12</stp>
        <stp>DRX LN Equity</stp>
        <stp>PR064</stp>
        <stp>[DPM - Securities Master List (BBG Linked).xlsx]Equities!R117C41</stp>
        <tr r="AO117" s="2"/>
      </tp>
      <tp t="s">
        <v>Equity</v>
        <stp/>
        <stp>##V3_BDPV12</stp>
        <stp>NKE US Equity</stp>
        <stp>EX028</stp>
        <stp>[DPM - Securities Master List (BBG Linked).xlsx]Equities!R219C30</stp>
        <tr r="AD219" s="2"/>
        <tr r="AD219" s="2"/>
        <tr r="AD219" s="2"/>
      </tp>
      <tp t="s">
        <v>Equity</v>
        <stp/>
        <stp>##V3_BDPV12</stp>
        <stp>NKE US Equity</stp>
        <stp>EX028</stp>
        <stp>[DPM - Securities Master List (BBG Linked).xlsx]Equities!R218C30</stp>
        <tr r="AD218" s="2"/>
        <tr r="AD218" s="2"/>
        <tr r="AD218" s="2"/>
      </tp>
      <tp t="s">
        <v>Equity</v>
        <stp/>
        <stp>##V3_BDPV12</stp>
        <stp>NKE US Equity</stp>
        <stp>EX028</stp>
        <stp>[DPM - Securities Master List (BBG Linked).xlsx]Equities!R215C30</stp>
        <tr r="AD215" s="2"/>
        <tr r="AD215" s="2"/>
        <tr r="AD215" s="2"/>
      </tp>
      <tp t="s">
        <v>Equity</v>
        <stp/>
        <stp>##V3_BDPV12</stp>
        <stp>NKE US Equity</stp>
        <stp>EX028</stp>
        <stp>[DPM - Securities Master List (BBG Linked).xlsx]Equities!R214C30</stp>
        <tr r="AD214" s="2"/>
        <tr r="AD214" s="2"/>
        <tr r="AD214" s="2"/>
      </tp>
      <tp t="s">
        <v>Equity</v>
        <stp/>
        <stp>##V3_BDPV12</stp>
        <stp>NKE US Equity</stp>
        <stp>EX028</stp>
        <stp>[DPM - Securities Master List (BBG Linked).xlsx]Equities!R217C30</stp>
        <tr r="AD217" s="2"/>
        <tr r="AD217" s="2"/>
        <tr r="AD217" s="2"/>
      </tp>
      <tp t="s">
        <v>Equity</v>
        <stp/>
        <stp>##V3_BDPV12</stp>
        <stp>NKE US Equity</stp>
        <stp>EX028</stp>
        <stp>[DPM - Securities Master List (BBG Linked).xlsx]Equities!R216C30</stp>
        <tr r="AD216" s="2"/>
        <tr r="AD216" s="2"/>
        <tr r="AD216" s="2"/>
      </tp>
      <tp t="s">
        <v>Equity</v>
        <stp/>
        <stp>##V3_BDPV12</stp>
        <stp>NKE US Equity</stp>
        <stp>EX028</stp>
        <stp>[DPM - Securities Master List (BBG Linked).xlsx]Equities!R211C30</stp>
        <tr r="AD211" s="2"/>
        <tr r="AD211" s="2"/>
        <tr r="AD211" s="2"/>
      </tp>
      <tp t="s">
        <v>Equity</v>
        <stp/>
        <stp>##V3_BDPV12</stp>
        <stp>NKE US Equity</stp>
        <stp>EX028</stp>
        <stp>[DPM - Securities Master List (BBG Linked).xlsx]Equities!R210C30</stp>
        <tr r="AD210" s="2"/>
        <tr r="AD210" s="2"/>
        <tr r="AD210" s="2"/>
      </tp>
      <tp t="s">
        <v>Equity</v>
        <stp/>
        <stp>##V3_BDPV12</stp>
        <stp>NKE US Equity</stp>
        <stp>EX028</stp>
        <stp>[DPM - Securities Master List (BBG Linked).xlsx]Equities!R213C30</stp>
        <tr r="AD213" s="2"/>
        <tr r="AD213" s="2"/>
        <tr r="AD213" s="2"/>
      </tp>
      <tp t="s">
        <v>Equity</v>
        <stp/>
        <stp>##V3_BDPV12</stp>
        <stp>NKE US Equity</stp>
        <stp>EX028</stp>
        <stp>[DPM - Securities Master List (BBG Linked).xlsx]Equities!R212C30</stp>
        <tr r="AD212" s="2"/>
        <tr r="AD212" s="2"/>
        <tr r="AD212" s="2"/>
      </tp>
      <tp t="s">
        <v>Equity</v>
        <stp/>
        <stp>##V3_BDPV12</stp>
        <stp>NKE US Equity</stp>
        <stp>EX028</stp>
        <stp>[DPM - Securities Master List (BBG Linked).xlsx]Equities!R209C30</stp>
        <tr r="AD209" s="2"/>
        <tr r="AD209" s="2"/>
        <tr r="AD209" s="2"/>
      </tp>
      <tp t="s">
        <v>Equity</v>
        <stp/>
        <stp>##V3_BDPV12</stp>
        <stp>NKE US Equity</stp>
        <stp>EX028</stp>
        <stp>[DPM - Securities Master List (BBG Linked).xlsx]Equities!R208C30</stp>
        <tr r="AD208" s="2"/>
        <tr r="AD208" s="2"/>
        <tr r="AD208" s="2"/>
      </tp>
      <tp t="s">
        <v>Equity</v>
        <stp/>
        <stp>##V3_BDPV12</stp>
        <stp>NKE US Equity</stp>
        <stp>EX028</stp>
        <stp>[DPM - Securities Master List (BBG Linked).xlsx]Equities!R207C30</stp>
        <tr r="AD207" s="2"/>
        <tr r="AD207" s="2"/>
        <tr r="AD207" s="2"/>
      </tp>
      <tp t="s">
        <v>Equity</v>
        <stp/>
        <stp>##V3_BDPV12</stp>
        <stp>NKE US Equity</stp>
        <stp>EX028</stp>
        <stp>[DPM - Securities Master List (BBG Linked).xlsx]Equities!R221C30</stp>
        <tr r="AD221" s="2"/>
        <tr r="AD221" s="2"/>
        <tr r="AD221" s="2"/>
      </tp>
      <tp t="s">
        <v>Equity</v>
        <stp/>
        <stp>##V3_BDPV12</stp>
        <stp>NKE US Equity</stp>
        <stp>EX028</stp>
        <stp>[DPM - Securities Master List (BBG Linked).xlsx]Equities!R220C30</stp>
        <tr r="AD220" s="2"/>
        <tr r="AD220" s="2"/>
        <tr r="AD220" s="2"/>
      </tp>
      <tp t="s">
        <v>Equity</v>
        <stp/>
        <stp>##V3_BDPV12</stp>
        <stp>NKE US Equity</stp>
        <stp>EX028</stp>
        <stp>[DPM - Securities Master List (BBG Linked).xlsx]Equities!R222C30</stp>
        <tr r="AD222" s="2"/>
        <tr r="AD222" s="2"/>
        <tr r="AD222" s="2"/>
      </tp>
      <tp>
        <v>11.205984751744261</v>
        <stp/>
        <stp>##V3_BDPV12</stp>
        <stp>DIS US Equity</stp>
        <stp>RR908</stp>
        <stp>[DPM - Securities Master List (BBG Linked).xlsx]Equities!R114C32</stp>
        <tr r="AF114" s="2"/>
        <tr r="AF114" s="2"/>
        <tr r="AF114" s="2"/>
      </tp>
      <tp>
        <v>11.205984751744261</v>
        <stp/>
        <stp>##V3_BDPV12</stp>
        <stp>DIS US Equity</stp>
        <stp>RR908</stp>
        <stp>[DPM - Securities Master List (BBG Linked).xlsx]Equities!R115C32</stp>
        <tr r="AF115" s="2"/>
        <tr r="AF115" s="2"/>
        <tr r="AF115" s="2"/>
      </tp>
      <tp>
        <v>11.205984751744261</v>
        <stp/>
        <stp>##V3_BDPV12</stp>
        <stp>DIS US Equity</stp>
        <stp>RR908</stp>
        <stp>[DPM - Securities Master List (BBG Linked).xlsx]Equities!R112C32</stp>
        <tr r="AF112" s="2"/>
        <tr r="AF112" s="2"/>
        <tr r="AF112" s="2"/>
      </tp>
      <tp>
        <v>11.205984751744261</v>
        <stp/>
        <stp>##V3_BDPV12</stp>
        <stp>DIS US Equity</stp>
        <stp>RR908</stp>
        <stp>[DPM - Securities Master List (BBG Linked).xlsx]Equities!R113C32</stp>
        <tr r="AF113" s="2"/>
        <tr r="AF113" s="2"/>
        <tr r="AF113" s="2"/>
      </tp>
      <tp>
        <v>3.78125</v>
        <stp/>
        <stp>##V3_BDPV12</stp>
        <stp>NIO US Equity</stp>
        <stp>EE201</stp>
        <stp>[DPM - Securities Master List (BBG Linked).xlsx]Equities!R206C37</stp>
        <tr r="AK206" s="2"/>
        <tr r="AK206" s="2"/>
        <tr r="AK206" s="2"/>
      </tp>
      <tp>
        <v>7.3913039999999999</v>
        <stp/>
        <stp>##V3_BDPV12</stp>
        <stp>DRX LN Equity</stp>
        <stp>PR061</stp>
        <stp>[DPM - Securities Master List (BBG Linked).xlsx]Equities!R124C40</stp>
        <tr r="AN124" s="2"/>
      </tp>
      <tp>
        <v>7.3913039999999999</v>
        <stp/>
        <stp>##V3_BDPV12</stp>
        <stp>DRX LN Equity</stp>
        <stp>PR061</stp>
        <stp>[DPM - Securities Master List (BBG Linked).xlsx]Equities!R122C40</stp>
        <tr r="AN122" s="2"/>
      </tp>
      <tp>
        <v>7.3913039999999999</v>
        <stp/>
        <stp>##V3_BDPV12</stp>
        <stp>DRX LN Equity</stp>
        <stp>PR061</stp>
        <stp>[DPM - Securities Master List (BBG Linked).xlsx]Equities!R123C40</stp>
        <tr r="AN123" s="2"/>
      </tp>
      <tp>
        <v>7.3913039999999999</v>
        <stp/>
        <stp>##V3_BDPV12</stp>
        <stp>DRX LN Equity</stp>
        <stp>PR061</stp>
        <stp>[DPM - Securities Master List (BBG Linked).xlsx]Equities!R120C40</stp>
        <tr r="AN120" s="2"/>
      </tp>
      <tp>
        <v>7.3913039999999999</v>
        <stp/>
        <stp>##V3_BDPV12</stp>
        <stp>DRX LN Equity</stp>
        <stp>PR061</stp>
        <stp>[DPM - Securities Master List (BBG Linked).xlsx]Equities!R121C40</stp>
        <tr r="AN121" s="2"/>
      </tp>
      <tp>
        <v>7.3913039999999999</v>
        <stp/>
        <stp>##V3_BDPV12</stp>
        <stp>DRX LN Equity</stp>
        <stp>PR061</stp>
        <stp>[DPM - Securities Master List (BBG Linked).xlsx]Equities!R118C40</stp>
        <tr r="AN118" s="2"/>
      </tp>
      <tp>
        <v>7.3913039999999999</v>
        <stp/>
        <stp>##V3_BDPV12</stp>
        <stp>DRX LN Equity</stp>
        <stp>PR061</stp>
        <stp>[DPM - Securities Master List (BBG Linked).xlsx]Equities!R119C40</stp>
        <tr r="AN119" s="2"/>
      </tp>
      <tp>
        <v>7.3913039999999999</v>
        <stp/>
        <stp>##V3_BDPV12</stp>
        <stp>DRX LN Equity</stp>
        <stp>PR061</stp>
        <stp>[DPM - Securities Master List (BBG Linked).xlsx]Equities!R116C40</stp>
        <tr r="AN116" s="2"/>
      </tp>
      <tp>
        <v>7.3913039999999999</v>
        <stp/>
        <stp>##V3_BDPV12</stp>
        <stp>DRX LN Equity</stp>
        <stp>PR061</stp>
        <stp>[DPM - Securities Master List (BBG Linked).xlsx]Equities!R117C40</stp>
        <tr r="AN117" s="2"/>
      </tp>
      <tp t="s">
        <v>Consumer Discretionary</v>
        <stp/>
        <stp>##V3_BDPV12</stp>
        <stp>NIO US Equity</stp>
        <stp>DX202</stp>
        <stp>[DPM - Securities Master List (BBG Linked).xlsx]Equities!R206C46</stp>
        <tr r="AT206" s="2"/>
        <tr r="AT206" s="2"/>
        <tr r="AT206" s="2"/>
      </tp>
      <tp t="s">
        <v>EUR</v>
        <stp/>
        <stp>##V3_BDPV12</stp>
        <stp>VOW3 GY Equity</stp>
        <stp>CRNCY</stp>
        <stp>[DPM - Securities Master List (BBG Linked).xlsx]Equities!R289C6</stp>
        <tr r="F289" s="2"/>
      </tp>
      <tp t="s">
        <v>Tesco PLC</v>
        <stp/>
        <stp>##V3_BDPV12</stp>
        <stp>TSCO LN Equity</stp>
        <stp>SECURITY NAME</stp>
        <stp>[DPM - Securities Master List (BBG Linked).xlsx]Equities!R266C5</stp>
        <tr r="E266" s="2"/>
      </tp>
      <tp t="s">
        <v>USD</v>
        <stp/>
        <stp>##V3_BDPV12</stp>
        <stp>MSFT US Equity</stp>
        <stp>CRNCY</stp>
        <stp>[DPM - Securities Master List (BBG Linked).xlsx]Equities!R177C6</stp>
        <tr r="F177" s="2"/>
      </tp>
      <tp t="s">
        <v>USD</v>
        <stp/>
        <stp>##V3_BDPV12</stp>
        <stp>MSFT US Equity</stp>
        <stp>CRNCY</stp>
        <stp>[DPM - Securities Master List (BBG Linked).xlsx]Equities!R187C6</stp>
        <tr r="F187" s="2"/>
      </tp>
      <tp>
        <v>7.1722910000000004</v>
        <stp/>
        <stp>##V3_BDPV12</stp>
        <stp>XS2911679004 isin</stp>
        <stp>YAS_BOND_YLD</stp>
        <stp>[DPM - Securities Master List (BBG Linked).xlsx]Bonds!R99C10</stp>
        <stp>YAS_YLD_FLAG=15</stp>
        <stp>user_local_trade_date</stp>
        <stp>45783</stp>
        <stp>Yas_bond_px</stp>
        <stp>99.109999999999999</stp>
        <tr r="J99" s="1"/>
      </tp>
    </main>
    <main first="bloomberg.rtd">
      <tp t="s">
        <v>N</v>
        <stp/>
        <stp>##V3_BDPV12</stp>
        <stp>BMY US Equity</stp>
        <stp>DY997</stp>
        <stp>[DPM - Securities Master List (BBG Linked).xlsx]Equities!R76C47</stp>
        <tr r="AU76" s="2"/>
        <tr r="AU76" s="2"/>
        <tr r="AU76" s="2"/>
      </tp>
      <tp>
        <v>130.97</v>
        <stp/>
        <stp>##V3_BDPV12</stp>
        <stp>PEP US Equity</stp>
        <stp>PX_LAST</stp>
        <stp>[DPM - Securities Master List (BBG Linked).xlsx]Equities!R228C17</stp>
        <tr r="Q228" s="2"/>
      </tp>
      <tp>
        <v>130.97</v>
        <stp/>
        <stp>##V3_BDPV12</stp>
        <stp>PEP US Equity</stp>
        <stp>PX_LAST</stp>
        <stp>[DPM - Securities Master List (BBG Linked).xlsx]Equities!R229C17</stp>
        <tr r="Q229" s="2"/>
      </tp>
      <tp>
        <v>130.97</v>
        <stp/>
        <stp>##V3_BDPV12</stp>
        <stp>PEP US Equity</stp>
        <stp>PX_LAST</stp>
        <stp>[DPM - Securities Master List (BBG Linked).xlsx]Equities!R227C17</stp>
        <tr r="Q227" s="2"/>
      </tp>
      <tp>
        <v>130.97</v>
        <stp/>
        <stp>##V3_BDPV12</stp>
        <stp>PEP US Equity</stp>
        <stp>PX_LAST</stp>
        <stp>[DPM - Securities Master List (BBG Linked).xlsx]Equities!R230C17</stp>
        <tr r="Q230" s="2"/>
      </tp>
      <tp>
        <v>130.97</v>
        <stp/>
        <stp>##V3_BDPV12</stp>
        <stp>PEP US Equity</stp>
        <stp>PX_LAST</stp>
        <stp>[DPM - Securities Master List (BBG Linked).xlsx]Equities!R231C17</stp>
        <tr r="Q231" s="2"/>
      </tp>
      <tp>
        <v>130.97</v>
        <stp/>
        <stp>##V3_BDPV12</stp>
        <stp>PEP US Equity</stp>
        <stp>PX_LAST</stp>
        <stp>[DPM - Securities Master List (BBG Linked).xlsx]Equities!R232C17</stp>
        <tr r="Q232" s="2"/>
      </tp>
      <tp>
        <v>130.97</v>
        <stp/>
        <stp>##V3_BDPV12</stp>
        <stp>PEP US Equity</stp>
        <stp>PX_LAST</stp>
        <stp>[DPM - Securities Master List (BBG Linked).xlsx]Equities!R233C17</stp>
        <tr r="Q233" s="2"/>
      </tp>
      <tp>
        <v>130.97</v>
        <stp/>
        <stp>##V3_BDPV12</stp>
        <stp>PEP US Equity</stp>
        <stp>PX_LAST</stp>
        <stp>[DPM - Securities Master List (BBG Linked).xlsx]Equities!R234C17</stp>
        <tr r="Q234" s="2"/>
      </tp>
      <tp>
        <v>130.97</v>
        <stp/>
        <stp>##V3_BDPV12</stp>
        <stp>PEP US Equity</stp>
        <stp>PX_LAST</stp>
        <stp>[DPM - Securities Master List (BBG Linked).xlsx]Equities!R235C17</stp>
        <tr r="Q235" s="2"/>
      </tp>
      <tp>
        <v>130.97</v>
        <stp/>
        <stp>##V3_BDPV12</stp>
        <stp>PEP US Equity</stp>
        <stp>PX_LAST</stp>
        <stp>[DPM - Securities Master List (BBG Linked).xlsx]Equities!R236C17</stp>
        <tr r="Q236" s="2"/>
      </tp>
      <tp t="s">
        <v>Drax Group PLC</v>
        <stp/>
        <stp>##V3_BDPV12</stp>
        <stp>DRX LN Equity</stp>
        <stp>SECURITY NAME</stp>
        <stp>[DPM - Securities Master List (BBG Linked).xlsx]Equities!R123C5</stp>
        <tr r="E123" s="2"/>
      </tp>
      <tp>
        <v>94.02</v>
        <stp/>
        <stp>##V3_BDPV12</stp>
        <stp>TGT US Equity</stp>
        <stp>PX_LAST</stp>
        <stp>[DPM - Securities Master List (BBG Linked).xlsx]Equities!R261C17</stp>
        <tr r="Q261" s="2"/>
      </tp>
      <tp>
        <v>175.14</v>
        <stp/>
        <stp>##V3_BDPV12</stp>
        <stp>KER FP Equity</stp>
        <stp>PX_LAST</stp>
        <stp>[DPM - Securities Master List (BBG Linked).xlsx]Equities!R152C17</stp>
        <tr r="Q152" s="2"/>
      </tp>
      <tp>
        <v>175.14</v>
        <stp/>
        <stp>##V3_BDPV12</stp>
        <stp>KER FP Equity</stp>
        <stp>PX_LAST</stp>
        <stp>[DPM - Securities Master List (BBG Linked).xlsx]Equities!R153C17</stp>
        <tr r="Q153" s="2"/>
      </tp>
      <tp>
        <v>175.14</v>
        <stp/>
        <stp>##V3_BDPV12</stp>
        <stp>KER FP Equity</stp>
        <stp>PX_LAST</stp>
        <stp>[DPM - Securities Master List (BBG Linked).xlsx]Equities!R150C17</stp>
        <tr r="Q150" s="2"/>
      </tp>
      <tp>
        <v>175.14</v>
        <stp/>
        <stp>##V3_BDPV12</stp>
        <stp>KER FP Equity</stp>
        <stp>PX_LAST</stp>
        <stp>[DPM - Securities Master List (BBG Linked).xlsx]Equities!R151C17</stp>
        <tr r="Q151" s="2"/>
      </tp>
      <tp>
        <v>175.14</v>
        <stp/>
        <stp>##V3_BDPV12</stp>
        <stp>KER FP Equity</stp>
        <stp>PX_LAST</stp>
        <stp>[DPM - Securities Master List (BBG Linked).xlsx]Equities!R149C17</stp>
        <tr r="Q149" s="2"/>
      </tp>
      <tp>
        <v>90.694999999999993</v>
        <stp/>
        <stp>##V3_BDPV12</stp>
        <stp>ZBH US Equity</stp>
        <stp>PX_LAST</stp>
        <stp>[DPM - Securities Master List (BBG Linked).xlsx]Equities!R300C17</stp>
        <tr r="Q300" s="2"/>
      </tp>
      <tp>
        <v>90.694999999999993</v>
        <stp/>
        <stp>##V3_BDPV12</stp>
        <stp>ZBH US Equity</stp>
        <stp>PX_LAST</stp>
        <stp>[DPM - Securities Master List (BBG Linked).xlsx]Equities!R301C17</stp>
        <tr r="Q301" s="2"/>
      </tp>
      <tp>
        <v>90.694999999999993</v>
        <stp/>
        <stp>##V3_BDPV12</stp>
        <stp>ZBH US Equity</stp>
        <stp>PX_LAST</stp>
        <stp>[DPM - Securities Master List (BBG Linked).xlsx]Equities!R302C17</stp>
        <tr r="Q302" s="2"/>
      </tp>
      <tp t="s">
        <v>Zimmer Biomet Holdings Inc</v>
        <stp/>
        <stp>##V3_BDPV12</stp>
        <stp>ZBH US Equity</stp>
        <stp>SECURITY NAME</stp>
        <stp>[DPM - Securities Master List (BBG Linked).xlsx]Equities!R294C5</stp>
        <tr r="E294" s="2"/>
      </tp>
      <tp>
        <v>90.694999999999993</v>
        <stp/>
        <stp>##V3_BDPV12</stp>
        <stp>ZBH US Equity</stp>
        <stp>PX_LAST</stp>
        <stp>[DPM - Securities Master List (BBG Linked).xlsx]Equities!R294C17</stp>
        <tr r="Q294" s="2"/>
      </tp>
      <tp>
        <v>90.694999999999993</v>
        <stp/>
        <stp>##V3_BDPV12</stp>
        <stp>ZBH US Equity</stp>
        <stp>PX_LAST</stp>
        <stp>[DPM - Securities Master List (BBG Linked).xlsx]Equities!R295C17</stp>
        <tr r="Q295" s="2"/>
      </tp>
      <tp>
        <v>90.694999999999993</v>
        <stp/>
        <stp>##V3_BDPV12</stp>
        <stp>ZBH US Equity</stp>
        <stp>PX_LAST</stp>
        <stp>[DPM - Securities Master List (BBG Linked).xlsx]Equities!R296C17</stp>
        <tr r="Q296" s="2"/>
      </tp>
      <tp>
        <v>90.694999999999993</v>
        <stp/>
        <stp>##V3_BDPV12</stp>
        <stp>ZBH US Equity</stp>
        <stp>PX_LAST</stp>
        <stp>[DPM - Securities Master List (BBG Linked).xlsx]Equities!R297C17</stp>
        <tr r="Q297" s="2"/>
      </tp>
      <tp>
        <v>90.694999999999993</v>
        <stp/>
        <stp>##V3_BDPV12</stp>
        <stp>ZBH US Equity</stp>
        <stp>PX_LAST</stp>
        <stp>[DPM - Securities Master List (BBG Linked).xlsx]Equities!R298C17</stp>
        <tr r="Q298" s="2"/>
      </tp>
      <tp>
        <v>90.694999999999993</v>
        <stp/>
        <stp>##V3_BDPV12</stp>
        <stp>ZBH US Equity</stp>
        <stp>PX_LAST</stp>
        <stp>[DPM - Securities Master List (BBG Linked).xlsx]Equities!R299C17</stp>
        <tr r="Q299" s="2"/>
      </tp>
      <tp t="s">
        <v>USD</v>
        <stp/>
        <stp>##V3_BDPV12</stp>
        <stp>DIS US Equity</stp>
        <stp>CRNCY</stp>
        <stp>[DPM - Securities Master List (BBG Linked).xlsx]Equities!R112C6</stp>
        <tr r="F112" s="2"/>
      </tp>
      <tp>
        <v>9.0063770610919942</v>
        <stp/>
        <stp>##V3_BDPV12</stp>
        <stp>BMY US Equity</stp>
        <stp>RR957</stp>
        <stp>[DPM - Securities Master List (BBG Linked).xlsx]Equities!R76C14</stp>
        <tr r="N76" s="2"/>
        <tr r="N76" s="2"/>
        <tr r="N76" s="2"/>
      </tp>
      <tp>
        <v>83.15</v>
        <stp/>
        <stp>##V3_BDPV12</stp>
        <stp>NEM AT Equity</stp>
        <stp>PX_LAST</stp>
        <stp>[DPM - Securities Master List (BBG Linked).xlsx]Equities!R191C17</stp>
        <tr r="Q191" s="2"/>
      </tp>
      <tp>
        <v>83.15</v>
        <stp/>
        <stp>##V3_BDPV12</stp>
        <stp>NEM AT Equity</stp>
        <stp>PX_LAST</stp>
        <stp>[DPM - Securities Master List (BBG Linked).xlsx]Equities!R190C17</stp>
        <tr r="Q190" s="2"/>
      </tp>
      <tp>
        <v>83.15</v>
        <stp/>
        <stp>##V3_BDPV12</stp>
        <stp>NEM AT Equity</stp>
        <stp>PX_LAST</stp>
        <stp>[DPM - Securities Master List (BBG Linked).xlsx]Equities!R192C17</stp>
        <tr r="Q192" s="2"/>
      </tp>
      <tp>
        <v>83.15</v>
        <stp/>
        <stp>##V3_BDPV12</stp>
        <stp>NEM AT Equity</stp>
        <stp>PX_LAST</stp>
        <stp>[DPM - Securities Master List (BBG Linked).xlsx]Equities!R189C17</stp>
        <tr r="Q189" s="2"/>
      </tp>
      <tp t="s">
        <v>USD</v>
        <stp/>
        <stp>##V3_BDPV12</stp>
        <stp>NKE US Equity</stp>
        <stp>CRNCY</stp>
        <stp>[DPM - Securities Master List (BBG Linked).xlsx]Equities!R208C6</stp>
        <tr r="F208" s="2"/>
      </tp>
      <tp t="s">
        <v>USD</v>
        <stp/>
        <stp>##V3_BDPV12</stp>
        <stp>NKE US Equity</stp>
        <stp>CRNCY</stp>
        <stp>[DPM - Securities Master List (BBG Linked).xlsx]Equities!R218C6</stp>
        <tr r="F218" s="2"/>
      </tp>
      <tp>
        <v>9.5295102351019487</v>
        <stp/>
        <stp>##V3_BDPV12</stp>
        <stp>BMY US Equity</stp>
        <stp>RR900</stp>
        <stp>[DPM - Securities Master List (BBG Linked).xlsx]Equities!R76C11</stp>
        <tr r="K76" s="2"/>
        <tr r="K76" s="2"/>
        <tr r="K76" s="2"/>
      </tp>
      <tp>
        <v>5.6911774236657253</v>
        <stp/>
        <stp>##V3_BDPV12</stp>
        <stp>BMY US Equity</stp>
        <stp>RR903</stp>
        <stp>[DPM - Securities Master List (BBG Linked).xlsx]Equities!R76C13</stp>
        <tr r="M76" s="2"/>
        <tr r="M76" s="2"/>
        <tr r="M76" s="2"/>
      </tp>
      <tp>
        <v>617.5</v>
        <stp/>
        <stp>##V3_BDPV12</stp>
        <stp>DRX LN Equity</stp>
        <stp>PX_LAST</stp>
        <stp>[DPM - Securities Master List (BBG Linked).xlsx]Equities!R116C17</stp>
        <tr r="Q116" s="2"/>
      </tp>
      <tp>
        <v>617.5</v>
        <stp/>
        <stp>##V3_BDPV12</stp>
        <stp>DRX LN Equity</stp>
        <stp>PX_LAST</stp>
        <stp>[DPM - Securities Master List (BBG Linked).xlsx]Equities!R117C17</stp>
        <tr r="Q117" s="2"/>
      </tp>
      <tp>
        <v>617.5</v>
        <stp/>
        <stp>##V3_BDPV12</stp>
        <stp>DRX LN Equity</stp>
        <stp>PX_LAST</stp>
        <stp>[DPM - Securities Master List (BBG Linked).xlsx]Equities!R118C17</stp>
        <tr r="Q118" s="2"/>
      </tp>
      <tp>
        <v>617.5</v>
        <stp/>
        <stp>##V3_BDPV12</stp>
        <stp>DRX LN Equity</stp>
        <stp>PX_LAST</stp>
        <stp>[DPM - Securities Master List (BBG Linked).xlsx]Equities!R119C17</stp>
        <tr r="Q119" s="2"/>
      </tp>
      <tp>
        <v>617.5</v>
        <stp/>
        <stp>##V3_BDPV12</stp>
        <stp>DRX LN Equity</stp>
        <stp>PX_LAST</stp>
        <stp>[DPM - Securities Master List (BBG Linked).xlsx]Equities!R120C17</stp>
        <tr r="Q120" s="2"/>
      </tp>
      <tp>
        <v>617.5</v>
        <stp/>
        <stp>##V3_BDPV12</stp>
        <stp>DRX LN Equity</stp>
        <stp>PX_LAST</stp>
        <stp>[DPM - Securities Master List (BBG Linked).xlsx]Equities!R121C17</stp>
        <tr r="Q121" s="2"/>
      </tp>
      <tp>
        <v>617.5</v>
        <stp/>
        <stp>##V3_BDPV12</stp>
        <stp>DRX LN Equity</stp>
        <stp>PX_LAST</stp>
        <stp>[DPM - Securities Master List (BBG Linked).xlsx]Equities!R122C17</stp>
        <tr r="Q122" s="2"/>
      </tp>
      <tp>
        <v>617.5</v>
        <stp/>
        <stp>##V3_BDPV12</stp>
        <stp>DRX LN Equity</stp>
        <stp>PX_LAST</stp>
        <stp>[DPM - Securities Master List (BBG Linked).xlsx]Equities!R123C17</stp>
        <tr r="Q123" s="2"/>
      </tp>
      <tp>
        <v>617.5</v>
        <stp/>
        <stp>##V3_BDPV12</stp>
        <stp>DRX LN Equity</stp>
        <stp>PX_LAST</stp>
        <stp>[DPM - Securities Master List (BBG Linked).xlsx]Equities!R124C17</stp>
        <tr r="Q124" s="2"/>
      </tp>
      <tp>
        <v>2158</v>
        <stp/>
        <stp>##V3_BDPV12</stp>
        <stp>DGE LN Equity</stp>
        <stp>PX_LAST</stp>
        <stp>[DPM - Securities Master List (BBG Linked).xlsx]Equities!R111C17</stp>
        <tr r="Q111" s="2"/>
      </tp>
      <tp>
        <v>2158</v>
        <stp/>
        <stp>##V3_BDPV12</stp>
        <stp>DGE LN Equity</stp>
        <stp>PX_LAST</stp>
        <stp>[DPM - Securities Master List (BBG Linked).xlsx]Equities!R110C17</stp>
        <tr r="Q110" s="2"/>
      </tp>
      <tp>
        <v>2158</v>
        <stp/>
        <stp>##V3_BDPV12</stp>
        <stp>DGE LN Equity</stp>
        <stp>PX_LAST</stp>
        <stp>[DPM - Securities Master List (BBG Linked).xlsx]Equities!R109C17</stp>
        <tr r="Q109" s="2"/>
      </tp>
      <tp>
        <v>2158</v>
        <stp/>
        <stp>##V3_BDPV12</stp>
        <stp>DGE LN Equity</stp>
        <stp>PX_LAST</stp>
        <stp>[DPM - Securities Master List (BBG Linked).xlsx]Equities!R108C17</stp>
        <tr r="Q108" s="2"/>
      </tp>
      <tp>
        <v>1446.5</v>
        <stp/>
        <stp>##V3_BDPV12</stp>
        <stp>GSK LN Equity</stp>
        <stp>PX_LAST</stp>
        <stp>[DPM - Securities Master List (BBG Linked).xlsx]Equities!R143C17</stp>
        <tr r="Q143" s="2"/>
      </tp>
      <tp>
        <v>1446.5</v>
        <stp/>
        <stp>##V3_BDPV12</stp>
        <stp>GSK LN Equity</stp>
        <stp>PX_LAST</stp>
        <stp>[DPM - Securities Master List (BBG Linked).xlsx]Equities!R142C17</stp>
        <tr r="Q142" s="2"/>
      </tp>
      <tp>
        <v>1446.5</v>
        <stp/>
        <stp>##V3_BDPV12</stp>
        <stp>GSK LN Equity</stp>
        <stp>PX_LAST</stp>
        <stp>[DPM - Securities Master List (BBG Linked).xlsx]Equities!R145C17</stp>
        <tr r="Q145" s="2"/>
      </tp>
      <tp>
        <v>1446.5</v>
        <stp/>
        <stp>##V3_BDPV12</stp>
        <stp>GSK LN Equity</stp>
        <stp>PX_LAST</stp>
        <stp>[DPM - Securities Master List (BBG Linked).xlsx]Equities!R144C17</stp>
        <tr r="Q144" s="2"/>
      </tp>
      <tp>
        <v>6.8938180785992236</v>
        <stp/>
        <stp>##V3_BDPV12</stp>
        <stp>BMY US Equity</stp>
        <stp>RR908</stp>
        <stp>[DPM - Securities Master List (BBG Linked).xlsx]Equities!R76C32</stp>
        <tr r="AF76" s="2"/>
        <tr r="AF76" s="2"/>
        <tr r="AF76" s="2"/>
      </tp>
      <tp>
        <v>92.32</v>
        <stp/>
        <stp>##V3_BDPV12</stp>
        <stp>DIS US Equity</stp>
        <stp>PX_LAST</stp>
        <stp>[DPM - Securities Master List (BBG Linked).xlsx]Equities!R113C17</stp>
        <tr r="Q113" s="2"/>
      </tp>
      <tp>
        <v>92.32</v>
        <stp/>
        <stp>##V3_BDPV12</stp>
        <stp>DIS US Equity</stp>
        <stp>PX_LAST</stp>
        <stp>[DPM - Securities Master List (BBG Linked).xlsx]Equities!R112C17</stp>
        <tr r="Q112" s="2"/>
      </tp>
      <tp>
        <v>92.32</v>
        <stp/>
        <stp>##V3_BDPV12</stp>
        <stp>DIS US Equity</stp>
        <stp>PX_LAST</stp>
        <stp>[DPM - Securities Master List (BBG Linked).xlsx]Equities!R115C17</stp>
        <tr r="Q115" s="2"/>
      </tp>
      <tp>
        <v>92.32</v>
        <stp/>
        <stp>##V3_BDPV12</stp>
        <stp>DIS US Equity</stp>
        <stp>PX_LAST</stp>
        <stp>[DPM - Securities Master List (BBG Linked).xlsx]Equities!R114C17</stp>
        <tr r="Q114" s="2"/>
      </tp>
      <tp>
        <v>51.06</v>
        <stp/>
        <stp>##V3_BDPV12</stp>
        <stp>TTE FP Equity</stp>
        <stp>PX_LAST</stp>
        <stp>[DPM - Securities Master List (BBG Linked).xlsx]Equities!R288C17</stp>
        <tr r="Q288" s="2"/>
      </tp>
      <tp>
        <v>51.06</v>
        <stp/>
        <stp>##V3_BDPV12</stp>
        <stp>TTE FP Equity</stp>
        <stp>PX_LAST</stp>
        <stp>[DPM - Securities Master List (BBG Linked).xlsx]Equities!R285C17</stp>
        <tr r="Q285" s="2"/>
      </tp>
      <tp>
        <v>51.06</v>
        <stp/>
        <stp>##V3_BDPV12</stp>
        <stp>TTE FP Equity</stp>
        <stp>PX_LAST</stp>
        <stp>[DPM - Securities Master List (BBG Linked).xlsx]Equities!R284C17</stp>
        <tr r="Q284" s="2"/>
      </tp>
      <tp>
        <v>51.06</v>
        <stp/>
        <stp>##V3_BDPV12</stp>
        <stp>TTE FP Equity</stp>
        <stp>PX_LAST</stp>
        <stp>[DPM - Securities Master List (BBG Linked).xlsx]Equities!R287C17</stp>
        <tr r="Q287" s="2"/>
      </tp>
      <tp>
        <v>51.06</v>
        <stp/>
        <stp>##V3_BDPV12</stp>
        <stp>TTE FP Equity</stp>
        <stp>PX_LAST</stp>
        <stp>[DPM - Securities Master List (BBG Linked).xlsx]Equities!R286C17</stp>
        <tr r="Q286" s="2"/>
      </tp>
      <tp>
        <v>51.06</v>
        <stp/>
        <stp>##V3_BDPV12</stp>
        <stp>TTE FP Equity</stp>
        <stp>PX_LAST</stp>
        <stp>[DPM - Securities Master List (BBG Linked).xlsx]Equities!R281C17</stp>
        <tr r="Q281" s="2"/>
      </tp>
      <tp>
        <v>51.06</v>
        <stp/>
        <stp>##V3_BDPV12</stp>
        <stp>TTE FP Equity</stp>
        <stp>PX_LAST</stp>
        <stp>[DPM - Securities Master List (BBG Linked).xlsx]Equities!R280C17</stp>
        <tr r="Q280" s="2"/>
      </tp>
      <tp>
        <v>51.06</v>
        <stp/>
        <stp>##V3_BDPV12</stp>
        <stp>TTE FP Equity</stp>
        <stp>PX_LAST</stp>
        <stp>[DPM - Securities Master List (BBG Linked).xlsx]Equities!R283C17</stp>
        <tr r="Q283" s="2"/>
      </tp>
      <tp>
        <v>51.06</v>
        <stp/>
        <stp>##V3_BDPV12</stp>
        <stp>TTE FP Equity</stp>
        <stp>PX_LAST</stp>
        <stp>[DPM - Securities Master List (BBG Linked).xlsx]Equities!R282C17</stp>
        <tr r="Q282" s="2"/>
      </tp>
      <tp>
        <v>51.06</v>
        <stp/>
        <stp>##V3_BDPV12</stp>
        <stp>TTE FP Equity</stp>
        <stp>PX_LAST</stp>
        <stp>[DPM - Securities Master List (BBG Linked).xlsx]Equities!R279C17</stp>
        <tr r="Q279" s="2"/>
      </tp>
      <tp>
        <v>51.06</v>
        <stp/>
        <stp>##V3_BDPV12</stp>
        <stp>TTE FP Equity</stp>
        <stp>PX_LAST</stp>
        <stp>[DPM - Securities Master List (BBG Linked).xlsx]Equities!R278C17</stp>
        <tr r="Q278" s="2"/>
      </tp>
      <tp>
        <v>51.06</v>
        <stp/>
        <stp>##V3_BDPV12</stp>
        <stp>TTE FP Equity</stp>
        <stp>PX_LAST</stp>
        <stp>[DPM - Securities Master List (BBG Linked).xlsx]Equities!R277C17</stp>
        <tr r="Q277" s="2"/>
      </tp>
      <tp>
        <v>51.06</v>
        <stp/>
        <stp>##V3_BDPV12</stp>
        <stp>TTE FP Equity</stp>
        <stp>PX_LAST</stp>
        <stp>[DPM - Securities Master List (BBG Linked).xlsx]Equities!R276C17</stp>
        <tr r="Q276" s="2"/>
      </tp>
      <tp t="s">
        <v>EUR</v>
        <stp/>
        <stp>##V3_BDPV12</stp>
        <stp>TTE FP Equity</stp>
        <stp>CRNCY</stp>
        <stp>[DPM - Securities Master List (BBG Linked).xlsx]Equities!R281C6</stp>
        <tr r="F281" s="2"/>
      </tp>
      <tp>
        <v>4469</v>
        <stp/>
        <stp>##V3_BDPV12</stp>
        <stp>RIO LN Equity</stp>
        <stp>PX_LAST</stp>
        <stp>[DPM - Securities Master List (BBG Linked).xlsx]Equities!R242C17</stp>
        <tr r="Q242" s="2"/>
      </tp>
      <tp>
        <v>1709</v>
        <stp/>
        <stp>##V3_BDPV12</stp>
        <stp>SSE LN Equity</stp>
        <stp>PX_LAST</stp>
        <stp>[DPM - Securities Master List (BBG Linked).xlsx]Equities!R258C17</stp>
        <tr r="Q258" s="2"/>
      </tp>
      <tp>
        <v>1709</v>
        <stp/>
        <stp>##V3_BDPV12</stp>
        <stp>SSE LN Equity</stp>
        <stp>PX_LAST</stp>
        <stp>[DPM - Securities Master List (BBG Linked).xlsx]Equities!R255C17</stp>
        <tr r="Q255" s="2"/>
      </tp>
      <tp>
        <v>1709</v>
        <stp/>
        <stp>##V3_BDPV12</stp>
        <stp>SSE LN Equity</stp>
        <stp>PX_LAST</stp>
        <stp>[DPM - Securities Master List (BBG Linked).xlsx]Equities!R254C17</stp>
        <tr r="Q254" s="2"/>
      </tp>
      <tp>
        <v>1709</v>
        <stp/>
        <stp>##V3_BDPV12</stp>
        <stp>SSE LN Equity</stp>
        <stp>PX_LAST</stp>
        <stp>[DPM - Securities Master List (BBG Linked).xlsx]Equities!R257C17</stp>
        <tr r="Q257" s="2"/>
      </tp>
      <tp>
        <v>1709</v>
        <stp/>
        <stp>##V3_BDPV12</stp>
        <stp>SSE LN Equity</stp>
        <stp>PX_LAST</stp>
        <stp>[DPM - Securities Master List (BBG Linked).xlsx]Equities!R256C17</stp>
        <tr r="Q256" s="2"/>
      </tp>
      <tp>
        <v>1709</v>
        <stp/>
        <stp>##V3_BDPV12</stp>
        <stp>SSE LN Equity</stp>
        <stp>PX_LAST</stp>
        <stp>[DPM - Securities Master List (BBG Linked).xlsx]Equities!R251C17</stp>
        <tr r="Q251" s="2"/>
      </tp>
      <tp>
        <v>1709</v>
        <stp/>
        <stp>##V3_BDPV12</stp>
        <stp>SSE LN Equity</stp>
        <stp>PX_LAST</stp>
        <stp>[DPM - Securities Master List (BBG Linked).xlsx]Equities!R250C17</stp>
        <tr r="Q250" s="2"/>
      </tp>
      <tp>
        <v>1709</v>
        <stp/>
        <stp>##V3_BDPV12</stp>
        <stp>SSE LN Equity</stp>
        <stp>PX_LAST</stp>
        <stp>[DPM - Securities Master List (BBG Linked).xlsx]Equities!R253C17</stp>
        <tr r="Q253" s="2"/>
      </tp>
      <tp>
        <v>1709</v>
        <stp/>
        <stp>##V3_BDPV12</stp>
        <stp>SSE LN Equity</stp>
        <stp>PX_LAST</stp>
        <stp>[DPM - Securities Master List (BBG Linked).xlsx]Equities!R252C17</stp>
        <tr r="Q252" s="2"/>
      </tp>
      <tp>
        <v>1709</v>
        <stp/>
        <stp>##V3_BDPV12</stp>
        <stp>SSE LN Equity</stp>
        <stp>PX_LAST</stp>
        <stp>[DPM - Securities Master List (BBG Linked).xlsx]Equities!R249C17</stp>
        <tr r="Q249" s="2"/>
      </tp>
      <tp>
        <v>1709</v>
        <stp/>
        <stp>##V3_BDPV12</stp>
        <stp>SSE LN Equity</stp>
        <stp>PX_LAST</stp>
        <stp>[DPM - Securities Master List (BBG Linked).xlsx]Equities!R248C17</stp>
        <tr r="Q248" s="2"/>
      </tp>
      <tp>
        <v>1709</v>
        <stp/>
        <stp>##V3_BDPV12</stp>
        <stp>SSE LN Equity</stp>
        <stp>PX_LAST</stp>
        <stp>[DPM - Securities Master List (BBG Linked).xlsx]Equities!R245C17</stp>
        <tr r="Q245" s="2"/>
      </tp>
      <tp>
        <v>1709</v>
        <stp/>
        <stp>##V3_BDPV12</stp>
        <stp>SSE LN Equity</stp>
        <stp>PX_LAST</stp>
        <stp>[DPM - Securities Master List (BBG Linked).xlsx]Equities!R244C17</stp>
        <tr r="Q244" s="2"/>
      </tp>
      <tp>
        <v>1709</v>
        <stp/>
        <stp>##V3_BDPV12</stp>
        <stp>SSE LN Equity</stp>
        <stp>PX_LAST</stp>
        <stp>[DPM - Securities Master List (BBG Linked).xlsx]Equities!R247C17</stp>
        <tr r="Q247" s="2"/>
      </tp>
      <tp>
        <v>1709</v>
        <stp/>
        <stp>##V3_BDPV12</stp>
        <stp>SSE LN Equity</stp>
        <stp>PX_LAST</stp>
        <stp>[DPM - Securities Master List (BBG Linked).xlsx]Equities!R246C17</stp>
        <tr r="Q246" s="2"/>
      </tp>
      <tp>
        <v>29.984999999999999</v>
        <stp/>
        <stp>##V3_BDPV12</stp>
        <stp>LUV US Equity</stp>
        <stp>PX_LAST</stp>
        <stp>[DPM - Securities Master List (BBG Linked).xlsx]Equities!R154C17</stp>
        <tr r="Q154" s="2"/>
      </tp>
      <tp>
        <v>57.54</v>
        <stp/>
        <stp>##V3_BDPV12</stp>
        <stp>NKE US Equity</stp>
        <stp>PX_LAST</stp>
        <stp>[DPM - Securities Master List (BBG Linked).xlsx]Equities!R209C17</stp>
        <tr r="Q209" s="2"/>
      </tp>
      <tp>
        <v>57.54</v>
        <stp/>
        <stp>##V3_BDPV12</stp>
        <stp>NKE US Equity</stp>
        <stp>PX_LAST</stp>
        <stp>[DPM - Securities Master List (BBG Linked).xlsx]Equities!R208C17</stp>
        <tr r="Q208" s="2"/>
      </tp>
      <tp>
        <v>57.54</v>
        <stp/>
        <stp>##V3_BDPV12</stp>
        <stp>NKE US Equity</stp>
        <stp>PX_LAST</stp>
        <stp>[DPM - Securities Master List (BBG Linked).xlsx]Equities!R207C17</stp>
        <tr r="Q207" s="2"/>
      </tp>
      <tp>
        <v>57.54</v>
        <stp/>
        <stp>##V3_BDPV12</stp>
        <stp>NKE US Equity</stp>
        <stp>PX_LAST</stp>
        <stp>[DPM - Securities Master List (BBG Linked).xlsx]Equities!R219C17</stp>
        <tr r="Q219" s="2"/>
      </tp>
      <tp>
        <v>57.54</v>
        <stp/>
        <stp>##V3_BDPV12</stp>
        <stp>NKE US Equity</stp>
        <stp>PX_LAST</stp>
        <stp>[DPM - Securities Master List (BBG Linked).xlsx]Equities!R218C17</stp>
        <tr r="Q218" s="2"/>
      </tp>
      <tp>
        <v>57.54</v>
        <stp/>
        <stp>##V3_BDPV12</stp>
        <stp>NKE US Equity</stp>
        <stp>PX_LAST</stp>
        <stp>[DPM - Securities Master List (BBG Linked).xlsx]Equities!R215C17</stp>
        <tr r="Q215" s="2"/>
      </tp>
      <tp>
        <v>57.54</v>
        <stp/>
        <stp>##V3_BDPV12</stp>
        <stp>NKE US Equity</stp>
        <stp>PX_LAST</stp>
        <stp>[DPM - Securities Master List (BBG Linked).xlsx]Equities!R214C17</stp>
        <tr r="Q214" s="2"/>
      </tp>
      <tp>
        <v>57.54</v>
        <stp/>
        <stp>##V3_BDPV12</stp>
        <stp>NKE US Equity</stp>
        <stp>PX_LAST</stp>
        <stp>[DPM - Securities Master List (BBG Linked).xlsx]Equities!R217C17</stp>
        <tr r="Q217" s="2"/>
      </tp>
      <tp>
        <v>57.54</v>
        <stp/>
        <stp>##V3_BDPV12</stp>
        <stp>NKE US Equity</stp>
        <stp>PX_LAST</stp>
        <stp>[DPM - Securities Master List (BBG Linked).xlsx]Equities!R216C17</stp>
        <tr r="Q216" s="2"/>
      </tp>
      <tp>
        <v>57.54</v>
        <stp/>
        <stp>##V3_BDPV12</stp>
        <stp>NKE US Equity</stp>
        <stp>PX_LAST</stp>
        <stp>[DPM - Securities Master List (BBG Linked).xlsx]Equities!R211C17</stp>
        <tr r="Q211" s="2"/>
      </tp>
      <tp>
        <v>57.54</v>
        <stp/>
        <stp>##V3_BDPV12</stp>
        <stp>NKE US Equity</stp>
        <stp>PX_LAST</stp>
        <stp>[DPM - Securities Master List (BBG Linked).xlsx]Equities!R210C17</stp>
        <tr r="Q210" s="2"/>
      </tp>
      <tp>
        <v>57.54</v>
        <stp/>
        <stp>##V3_BDPV12</stp>
        <stp>NKE US Equity</stp>
        <stp>PX_LAST</stp>
        <stp>[DPM - Securities Master List (BBG Linked).xlsx]Equities!R213C17</stp>
        <tr r="Q213" s="2"/>
      </tp>
      <tp>
        <v>57.54</v>
        <stp/>
        <stp>##V3_BDPV12</stp>
        <stp>NKE US Equity</stp>
        <stp>PX_LAST</stp>
        <stp>[DPM - Securities Master List (BBG Linked).xlsx]Equities!R212C17</stp>
        <tr r="Q212" s="2"/>
      </tp>
      <tp>
        <v>3.8719000000000001</v>
        <stp/>
        <stp>##V3_BDPV12</stp>
        <stp>NIO US Equity</stp>
        <stp>PX_LAST</stp>
        <stp>[DPM - Securities Master List (BBG Linked).xlsx]Equities!R206C17</stp>
        <tr r="Q206" s="2"/>
      </tp>
      <tp>
        <v>57.54</v>
        <stp/>
        <stp>##V3_BDPV12</stp>
        <stp>NKE US Equity</stp>
        <stp>PX_LAST</stp>
        <stp>[DPM - Securities Master List (BBG Linked).xlsx]Equities!R221C17</stp>
        <tr r="Q221" s="2"/>
      </tp>
      <tp>
        <v>57.54</v>
        <stp/>
        <stp>##V3_BDPV12</stp>
        <stp>NKE US Equity</stp>
        <stp>PX_LAST</stp>
        <stp>[DPM - Securities Master List (BBG Linked).xlsx]Equities!R220C17</stp>
        <tr r="Q220" s="2"/>
      </tp>
      <tp>
        <v>57.54</v>
        <stp/>
        <stp>##V3_BDPV12</stp>
        <stp>NKE US Equity</stp>
        <stp>PX_LAST</stp>
        <stp>[DPM - Securities Master List (BBG Linked).xlsx]Equities!R222C17</stp>
        <tr r="Q222" s="2"/>
      </tp>
      <tp>
        <v>82.784999999999997</v>
        <stp/>
        <stp>##V3_BDPV12</stp>
        <stp>MDT US Equity</stp>
        <stp>PX_LAST</stp>
        <stp>[DPM - Securities Master List (BBG Linked).xlsx]Equities!R155C17</stp>
        <tr r="Q155" s="2"/>
      </tp>
      <tp>
        <v>80.680000000000007</v>
        <stp/>
        <stp>##V3_BDPV12</stp>
        <stp>MRK US Equity</stp>
        <stp>PX_LAST</stp>
        <stp>[DPM - Securities Master List (BBG Linked).xlsx]Equities!R157C17</stp>
        <tr r="Q157" s="2"/>
      </tp>
      <tp>
        <v>80.680000000000007</v>
        <stp/>
        <stp>##V3_BDPV12</stp>
        <stp>MRK US Equity</stp>
        <stp>PX_LAST</stp>
        <stp>[DPM - Securities Master List (BBG Linked).xlsx]Equities!R159C17</stp>
        <tr r="Q159" s="2"/>
      </tp>
      <tp>
        <v>80.680000000000007</v>
        <stp/>
        <stp>##V3_BDPV12</stp>
        <stp>MRK US Equity</stp>
        <stp>PX_LAST</stp>
        <stp>[DPM - Securities Master List (BBG Linked).xlsx]Equities!R158C17</stp>
        <tr r="Q158" s="2"/>
      </tp>
      <tp>
        <v>80.680000000000007</v>
        <stp/>
        <stp>##V3_BDPV12</stp>
        <stp>MRK US Equity</stp>
        <stp>PX_LAST</stp>
        <stp>[DPM - Securities Master List (BBG Linked).xlsx]Equities!R163C17</stp>
        <tr r="Q163" s="2"/>
      </tp>
      <tp>
        <v>80.680000000000007</v>
        <stp/>
        <stp>##V3_BDPV12</stp>
        <stp>MRK US Equity</stp>
        <stp>PX_LAST</stp>
        <stp>[DPM - Securities Master List (BBG Linked).xlsx]Equities!R162C17</stp>
        <tr r="Q162" s="2"/>
      </tp>
      <tp>
        <v>80.680000000000007</v>
        <stp/>
        <stp>##V3_BDPV12</stp>
        <stp>MRK US Equity</stp>
        <stp>PX_LAST</stp>
        <stp>[DPM - Securities Master List (BBG Linked).xlsx]Equities!R161C17</stp>
        <tr r="Q161" s="2"/>
      </tp>
      <tp>
        <v>66.98</v>
        <stp/>
        <stp>##V3_BDPV12</stp>
        <stp>NVO US Equity</stp>
        <stp>PX_LAST</stp>
        <stp>[DPM - Securities Master List (BBG Linked).xlsx]Equities!R225C17</stp>
        <tr r="Q225" s="2"/>
      </tp>
      <tp>
        <v>80.680000000000007</v>
        <stp/>
        <stp>##V3_BDPV12</stp>
        <stp>MRK US Equity</stp>
        <stp>PX_LAST</stp>
        <stp>[DPM - Securities Master List (BBG Linked).xlsx]Equities!R160C17</stp>
        <tr r="Q160" s="2"/>
      </tp>
      <tp>
        <v>80.680000000000007</v>
        <stp/>
        <stp>##V3_BDPV12</stp>
        <stp>MRK US Equity</stp>
        <stp>PX_LAST</stp>
        <stp>[DPM - Securities Master List (BBG Linked).xlsx]Equities!R167C17</stp>
        <tr r="Q167" s="2"/>
      </tp>
      <tp>
        <v>80.680000000000007</v>
        <stp/>
        <stp>##V3_BDPV12</stp>
        <stp>MRK US Equity</stp>
        <stp>PX_LAST</stp>
        <stp>[DPM - Securities Master List (BBG Linked).xlsx]Equities!R166C17</stp>
        <tr r="Q166" s="2"/>
      </tp>
      <tp>
        <v>80.680000000000007</v>
        <stp/>
        <stp>##V3_BDPV12</stp>
        <stp>MRK US Equity</stp>
        <stp>PX_LAST</stp>
        <stp>[DPM - Securities Master List (BBG Linked).xlsx]Equities!R165C17</stp>
        <tr r="Q165" s="2"/>
      </tp>
      <tp>
        <v>80.680000000000007</v>
        <stp/>
        <stp>##V3_BDPV12</stp>
        <stp>MRK US Equity</stp>
        <stp>PX_LAST</stp>
        <stp>[DPM - Securities Master List (BBG Linked).xlsx]Equities!R164C17</stp>
        <tr r="Q164" s="2"/>
      </tp>
      <tp>
        <v>80.680000000000007</v>
        <stp/>
        <stp>##V3_BDPV12</stp>
        <stp>MRK US Equity</stp>
        <stp>PX_LAST</stp>
        <stp>[DPM - Securities Master List (BBG Linked).xlsx]Equities!R169C17</stp>
        <tr r="Q169" s="2"/>
      </tp>
      <tp>
        <v>80.680000000000007</v>
        <stp/>
        <stp>##V3_BDPV12</stp>
        <stp>MRK US Equity</stp>
        <stp>PX_LAST</stp>
        <stp>[DPM - Securities Master List (BBG Linked).xlsx]Equities!R168C17</stp>
        <tr r="Q168" s="2"/>
      </tp>
      <tp>
        <v>6.7457839999999996</v>
        <stp/>
        <stp>##V3_BDPV12</stp>
        <stp>SSE LN Equity</stp>
        <stp>PR061</stp>
        <stp>[DPM - Securities Master List (BBG Linked).xlsx]Equities!R258C40</stp>
        <tr r="AN258" s="2"/>
      </tp>
      <tp>
        <v>6.7457839999999996</v>
        <stp/>
        <stp>##V3_BDPV12</stp>
        <stp>SSE LN Equity</stp>
        <stp>PR061</stp>
        <stp>[DPM - Securities Master List (BBG Linked).xlsx]Equities!R251C40</stp>
        <tr r="AN251" s="2"/>
      </tp>
      <tp>
        <v>6.7457839999999996</v>
        <stp/>
        <stp>##V3_BDPV12</stp>
        <stp>SSE LN Equity</stp>
        <stp>PR061</stp>
        <stp>[DPM - Securities Master List (BBG Linked).xlsx]Equities!R250C40</stp>
        <tr r="AN250" s="2"/>
      </tp>
      <tp>
        <v>6.7457839999999996</v>
        <stp/>
        <stp>##V3_BDPV12</stp>
        <stp>SSE LN Equity</stp>
        <stp>PR061</stp>
        <stp>[DPM - Securities Master List (BBG Linked).xlsx]Equities!R253C40</stp>
        <tr r="AN253" s="2"/>
      </tp>
      <tp>
        <v>6.7457839999999996</v>
        <stp/>
        <stp>##V3_BDPV12</stp>
        <stp>SSE LN Equity</stp>
        <stp>PR061</stp>
        <stp>[DPM - Securities Master List (BBG Linked).xlsx]Equities!R252C40</stp>
        <tr r="AN252" s="2"/>
      </tp>
      <tp>
        <v>6.7457839999999996</v>
        <stp/>
        <stp>##V3_BDPV12</stp>
        <stp>SSE LN Equity</stp>
        <stp>PR061</stp>
        <stp>[DPM - Securities Master List (BBG Linked).xlsx]Equities!R255C40</stp>
        <tr r="AN255" s="2"/>
      </tp>
      <tp>
        <v>6.7457839999999996</v>
        <stp/>
        <stp>##V3_BDPV12</stp>
        <stp>SSE LN Equity</stp>
        <stp>PR061</stp>
        <stp>[DPM - Securities Master List (BBG Linked).xlsx]Equities!R254C40</stp>
        <tr r="AN254" s="2"/>
      </tp>
      <tp>
        <v>6.7457839999999996</v>
        <stp/>
        <stp>##V3_BDPV12</stp>
        <stp>SSE LN Equity</stp>
        <stp>PR061</stp>
        <stp>[DPM - Securities Master List (BBG Linked).xlsx]Equities!R257C40</stp>
        <tr r="AN257" s="2"/>
      </tp>
      <tp>
        <v>6.7457839999999996</v>
        <stp/>
        <stp>##V3_BDPV12</stp>
        <stp>SSE LN Equity</stp>
        <stp>PR061</stp>
        <stp>[DPM - Securities Master List (BBG Linked).xlsx]Equities!R256C40</stp>
        <tr r="AN256" s="2"/>
      </tp>
      <tp>
        <v>6.7457839999999996</v>
        <stp/>
        <stp>##V3_BDPV12</stp>
        <stp>SSE LN Equity</stp>
        <stp>PR061</stp>
        <stp>[DPM - Securities Master List (BBG Linked).xlsx]Equities!R249C40</stp>
        <tr r="AN249" s="2"/>
      </tp>
      <tp>
        <v>6.7457839999999996</v>
        <stp/>
        <stp>##V3_BDPV12</stp>
        <stp>SSE LN Equity</stp>
        <stp>PR061</stp>
        <stp>[DPM - Securities Master List (BBG Linked).xlsx]Equities!R248C40</stp>
        <tr r="AN248" s="2"/>
      </tp>
      <tp>
        <v>6.7457839999999996</v>
        <stp/>
        <stp>##V3_BDPV12</stp>
        <stp>SSE LN Equity</stp>
        <stp>PR061</stp>
        <stp>[DPM - Securities Master List (BBG Linked).xlsx]Equities!R245C40</stp>
        <tr r="AN245" s="2"/>
      </tp>
      <tp>
        <v>6.7457839999999996</v>
        <stp/>
        <stp>##V3_BDPV12</stp>
        <stp>SSE LN Equity</stp>
        <stp>PR061</stp>
        <stp>[DPM - Securities Master List (BBG Linked).xlsx]Equities!R244C40</stp>
        <tr r="AN244" s="2"/>
      </tp>
      <tp>
        <v>6.7457839999999996</v>
        <stp/>
        <stp>##V3_BDPV12</stp>
        <stp>SSE LN Equity</stp>
        <stp>PR061</stp>
        <stp>[DPM - Securities Master List (BBG Linked).xlsx]Equities!R247C40</stp>
        <tr r="AN247" s="2"/>
      </tp>
      <tp>
        <v>6.7457839999999996</v>
        <stp/>
        <stp>##V3_BDPV12</stp>
        <stp>SSE LN Equity</stp>
        <stp>PR061</stp>
        <stp>[DPM - Securities Master List (BBG Linked).xlsx]Equities!R246C40</stp>
        <tr r="AN246" s="2"/>
      </tp>
      <tp>
        <v>1.0831889081455806</v>
        <stp/>
        <stp>##V3_BDPV12</stp>
        <stp>DIS US Equity</stp>
        <stp>DV013</stp>
        <stp>[DPM - Securities Master List (BBG Linked).xlsx]Equities!R115C10</stp>
        <tr r="J115" s="2"/>
      </tp>
      <tp>
        <v>1.0831889081455806</v>
        <stp/>
        <stp>##V3_BDPV12</stp>
        <stp>DIS US Equity</stp>
        <stp>DV013</stp>
        <stp>[DPM - Securities Master List (BBG Linked).xlsx]Equities!R114C10</stp>
        <tr r="J114" s="2"/>
      </tp>
      <tp>
        <v>1.0831889081455806</v>
        <stp/>
        <stp>##V3_BDPV12</stp>
        <stp>DIS US Equity</stp>
        <stp>DV013</stp>
        <stp>[DPM - Securities Master List (BBG Linked).xlsx]Equities!R113C10</stp>
        <tr r="J113" s="2"/>
      </tp>
      <tp>
        <v>1.0831889081455806</v>
        <stp/>
        <stp>##V3_BDPV12</stp>
        <stp>DIS US Equity</stp>
        <stp>DV013</stp>
        <stp>[DPM - Securities Master List (BBG Linked).xlsx]Equities!R112C10</stp>
        <tr r="J112" s="2"/>
      </tp>
      <tp>
        <v>8.9576030000000006</v>
        <stp/>
        <stp>##V3_BDPV12</stp>
        <stp>SSE LN Equity</stp>
        <stp>PR064</stp>
        <stp>[DPM - Securities Master List (BBG Linked).xlsx]Equities!R249C41</stp>
        <tr r="AO249" s="2"/>
      </tp>
      <tp>
        <v>8.9576030000000006</v>
        <stp/>
        <stp>##V3_BDPV12</stp>
        <stp>SSE LN Equity</stp>
        <stp>PR064</stp>
        <stp>[DPM - Securities Master List (BBG Linked).xlsx]Equities!R248C41</stp>
        <tr r="AO248" s="2"/>
      </tp>
      <tp>
        <v>8.9576030000000006</v>
        <stp/>
        <stp>##V3_BDPV12</stp>
        <stp>SSE LN Equity</stp>
        <stp>PR064</stp>
        <stp>[DPM - Securities Master List (BBG Linked).xlsx]Equities!R245C41</stp>
        <tr r="AO245" s="2"/>
      </tp>
      <tp>
        <v>8.9576030000000006</v>
        <stp/>
        <stp>##V3_BDPV12</stp>
        <stp>SSE LN Equity</stp>
        <stp>PR064</stp>
        <stp>[DPM - Securities Master List (BBG Linked).xlsx]Equities!R244C41</stp>
        <tr r="AO244" s="2"/>
      </tp>
      <tp>
        <v>8.9576030000000006</v>
        <stp/>
        <stp>##V3_BDPV12</stp>
        <stp>SSE LN Equity</stp>
        <stp>PR064</stp>
        <stp>[DPM - Securities Master List (BBG Linked).xlsx]Equities!R247C41</stp>
        <tr r="AO247" s="2"/>
      </tp>
      <tp>
        <v>8.9576030000000006</v>
        <stp/>
        <stp>##V3_BDPV12</stp>
        <stp>SSE LN Equity</stp>
        <stp>PR064</stp>
        <stp>[DPM - Securities Master List (BBG Linked).xlsx]Equities!R246C41</stp>
        <tr r="AO246" s="2"/>
      </tp>
      <tp>
        <v>8.9576030000000006</v>
        <stp/>
        <stp>##V3_BDPV12</stp>
        <stp>SSE LN Equity</stp>
        <stp>PR064</stp>
        <stp>[DPM - Securities Master List (BBG Linked).xlsx]Equities!R258C41</stp>
        <tr r="AO258" s="2"/>
      </tp>
      <tp>
        <v>8.9576030000000006</v>
        <stp/>
        <stp>##V3_BDPV12</stp>
        <stp>SSE LN Equity</stp>
        <stp>PR064</stp>
        <stp>[DPM - Securities Master List (BBG Linked).xlsx]Equities!R251C41</stp>
        <tr r="AO251" s="2"/>
      </tp>
      <tp>
        <v>8.9576030000000006</v>
        <stp/>
        <stp>##V3_BDPV12</stp>
        <stp>SSE LN Equity</stp>
        <stp>PR064</stp>
        <stp>[DPM - Securities Master List (BBG Linked).xlsx]Equities!R250C41</stp>
        <tr r="AO250" s="2"/>
      </tp>
      <tp>
        <v>8.9576030000000006</v>
        <stp/>
        <stp>##V3_BDPV12</stp>
        <stp>SSE LN Equity</stp>
        <stp>PR064</stp>
        <stp>[DPM - Securities Master List (BBG Linked).xlsx]Equities!R253C41</stp>
        <tr r="AO253" s="2"/>
      </tp>
      <tp>
        <v>8.9576030000000006</v>
        <stp/>
        <stp>##V3_BDPV12</stp>
        <stp>SSE LN Equity</stp>
        <stp>PR064</stp>
        <stp>[DPM - Securities Master List (BBG Linked).xlsx]Equities!R252C41</stp>
        <tr r="AO252" s="2"/>
      </tp>
      <tp>
        <v>8.9576030000000006</v>
        <stp/>
        <stp>##V3_BDPV12</stp>
        <stp>SSE LN Equity</stp>
        <stp>PR064</stp>
        <stp>[DPM - Securities Master List (BBG Linked).xlsx]Equities!R255C41</stp>
        <tr r="AO255" s="2"/>
      </tp>
      <tp>
        <v>8.9576030000000006</v>
        <stp/>
        <stp>##V3_BDPV12</stp>
        <stp>SSE LN Equity</stp>
        <stp>PR064</stp>
        <stp>[DPM - Securities Master List (BBG Linked).xlsx]Equities!R254C41</stp>
        <tr r="AO254" s="2"/>
      </tp>
      <tp>
        <v>8.9576030000000006</v>
        <stp/>
        <stp>##V3_BDPV12</stp>
        <stp>SSE LN Equity</stp>
        <stp>PR064</stp>
        <stp>[DPM - Securities Master List (BBG Linked).xlsx]Equities!R257C41</stp>
        <tr r="AO257" s="2"/>
      </tp>
      <tp>
        <v>8.9576030000000006</v>
        <stp/>
        <stp>##V3_BDPV12</stp>
        <stp>SSE LN Equity</stp>
        <stp>PR064</stp>
        <stp>[DPM - Securities Master List (BBG Linked).xlsx]Equities!R256C41</stp>
        <tr r="AO256" s="2"/>
      </tp>
      <tp>
        <v>15.615696887686061</v>
        <stp/>
        <stp>##V3_BDPV12</stp>
        <stp>DIS US Equity</stp>
        <stp>EE010</stp>
        <stp>[DPM - Securities Master List (BBG Linked).xlsx]Equities!R115C12</stp>
        <tr r="L115" s="2"/>
        <tr r="L115" s="2"/>
        <tr r="L115" s="2"/>
      </tp>
      <tp>
        <v>15.615696887686061</v>
        <stp/>
        <stp>##V3_BDPV12</stp>
        <stp>DIS US Equity</stp>
        <stp>EE010</stp>
        <stp>[DPM - Securities Master List (BBG Linked).xlsx]Equities!R114C12</stp>
        <tr r="L114" s="2"/>
        <tr r="L114" s="2"/>
        <tr r="L114" s="2"/>
      </tp>
      <tp>
        <v>15.615696887686061</v>
        <stp/>
        <stp>##V3_BDPV12</stp>
        <stp>DIS US Equity</stp>
        <stp>EE010</stp>
        <stp>[DPM - Securities Master List (BBG Linked).xlsx]Equities!R113C12</stp>
        <tr r="L113" s="2"/>
        <tr r="L113" s="2"/>
        <tr r="L113" s="2"/>
      </tp>
      <tp>
        <v>15.615696887686061</v>
        <stp/>
        <stp>##V3_BDPV12</stp>
        <stp>DIS US Equity</stp>
        <stp>EE010</stp>
        <stp>[DPM - Securities Master List (BBG Linked).xlsx]Equities!R112C12</stp>
        <tr r="L112" s="2"/>
        <tr r="L112" s="2"/>
        <tr r="L112" s="2"/>
      </tp>
      <tp>
        <v>-2.230483</v>
        <stp/>
        <stp>##V3_BDPV12</stp>
        <stp>GSK LN Equity</stp>
        <stp>PR064</stp>
        <stp>[DPM - Securities Master List (BBG Linked).xlsx]Equities!R145C41</stp>
        <tr r="AO145" s="2"/>
      </tp>
      <tp>
        <v>-2.230483</v>
        <stp/>
        <stp>##V3_BDPV12</stp>
        <stp>GSK LN Equity</stp>
        <stp>PR064</stp>
        <stp>[DPM - Securities Master List (BBG Linked).xlsx]Equities!R144C41</stp>
        <tr r="AO144" s="2"/>
      </tp>
      <tp>
        <v>-2.230483</v>
        <stp/>
        <stp>##V3_BDPV12</stp>
        <stp>GSK LN Equity</stp>
        <stp>PR064</stp>
        <stp>[DPM - Securities Master List (BBG Linked).xlsx]Equities!R143C41</stp>
        <tr r="AO143" s="2"/>
      </tp>
      <tp>
        <v>-2.230483</v>
        <stp/>
        <stp>##V3_BDPV12</stp>
        <stp>GSK LN Equity</stp>
        <stp>PR064</stp>
        <stp>[DPM - Securities Master List (BBG Linked).xlsx]Equities!R142C41</stp>
        <tr r="AO142" s="2"/>
      </tp>
      <tp>
        <v>2.045855</v>
        <stp/>
        <stp>##V3_BDPV12</stp>
        <stp>GSK LN Equity</stp>
        <stp>PR061</stp>
        <stp>[DPM - Securities Master List (BBG Linked).xlsx]Equities!R145C40</stp>
        <tr r="AN145" s="2"/>
      </tp>
      <tp>
        <v>2.045855</v>
        <stp/>
        <stp>##V3_BDPV12</stp>
        <stp>GSK LN Equity</stp>
        <stp>PR061</stp>
        <stp>[DPM - Securities Master List (BBG Linked).xlsx]Equities!R144C40</stp>
        <tr r="AN144" s="2"/>
      </tp>
      <tp>
        <v>2.045855</v>
        <stp/>
        <stp>##V3_BDPV12</stp>
        <stp>GSK LN Equity</stp>
        <stp>PR061</stp>
        <stp>[DPM - Securities Master List (BBG Linked).xlsx]Equities!R143C40</stp>
        <tr r="AN143" s="2"/>
      </tp>
      <tp>
        <v>2.045855</v>
        <stp/>
        <stp>##V3_BDPV12</stp>
        <stp>GSK LN Equity</stp>
        <stp>PR061</stp>
        <stp>[DPM - Securities Master List (BBG Linked).xlsx]Equities!R142C40</stp>
        <tr r="AN142" s="2"/>
      </tp>
      <tp>
        <v>-4.7067899999999998</v>
        <stp/>
        <stp>##V3_BDPV12</stp>
        <stp>DRX LN Equity</stp>
        <stp>PR079</stp>
        <stp>[DPM - Securities Master List (BBG Linked).xlsx]Equities!R118C43</stp>
        <tr r="AQ118" s="2"/>
      </tp>
      <tp>
        <v>-4.7067899999999998</v>
        <stp/>
        <stp>##V3_BDPV12</stp>
        <stp>DRX LN Equity</stp>
        <stp>PR079</stp>
        <stp>[DPM - Securities Master List (BBG Linked).xlsx]Equities!R119C43</stp>
        <tr r="AQ119" s="2"/>
      </tp>
      <tp>
        <v>-4.7067899999999998</v>
        <stp/>
        <stp>##V3_BDPV12</stp>
        <stp>DRX LN Equity</stp>
        <stp>PR079</stp>
        <stp>[DPM - Securities Master List (BBG Linked).xlsx]Equities!R116C43</stp>
        <tr r="AQ116" s="2"/>
      </tp>
      <tp>
        <v>-4.7067899999999998</v>
        <stp/>
        <stp>##V3_BDPV12</stp>
        <stp>DRX LN Equity</stp>
        <stp>PR079</stp>
        <stp>[DPM - Securities Master List (BBG Linked).xlsx]Equities!R117C43</stp>
        <tr r="AQ117" s="2"/>
      </tp>
      <tp>
        <v>-4.7067899999999998</v>
        <stp/>
        <stp>##V3_BDPV12</stp>
        <stp>DRX LN Equity</stp>
        <stp>PR079</stp>
        <stp>[DPM - Securities Master List (BBG Linked).xlsx]Equities!R124C43</stp>
        <tr r="AQ124" s="2"/>
      </tp>
      <tp>
        <v>-4.7067899999999998</v>
        <stp/>
        <stp>##V3_BDPV12</stp>
        <stp>DRX LN Equity</stp>
        <stp>PR079</stp>
        <stp>[DPM - Securities Master List (BBG Linked).xlsx]Equities!R122C43</stp>
        <tr r="AQ122" s="2"/>
      </tp>
      <tp>
        <v>-4.7067899999999998</v>
        <stp/>
        <stp>##V3_BDPV12</stp>
        <stp>DRX LN Equity</stp>
        <stp>PR079</stp>
        <stp>[DPM - Securities Master List (BBG Linked).xlsx]Equities!R123C43</stp>
        <tr r="AQ123" s="2"/>
      </tp>
      <tp>
        <v>-4.7067899999999998</v>
        <stp/>
        <stp>##V3_BDPV12</stp>
        <stp>DRX LN Equity</stp>
        <stp>PR079</stp>
        <stp>[DPM - Securities Master List (BBG Linked).xlsx]Equities!R120C43</stp>
        <tr r="AQ120" s="2"/>
      </tp>
      <tp>
        <v>-4.7067899999999998</v>
        <stp/>
        <stp>##V3_BDPV12</stp>
        <stp>DRX LN Equity</stp>
        <stp>PR079</stp>
        <stp>[DPM - Securities Master List (BBG Linked).xlsx]Equities!R121C43</stp>
        <tr r="AQ121" s="2"/>
      </tp>
      <tp t="s">
        <v>#N/A N/A</v>
        <stp/>
        <stp>##V3_BDPV12</stp>
        <stp>NIO US Equity</stp>
        <stp>EE010</stp>
        <stp>[DPM - Securities Master List (BBG Linked).xlsx]Equities!R206C12</stp>
        <tr r="L206" s="2"/>
        <tr r="L206" s="2"/>
      </tp>
      <tp t="s">
        <v>#N/A N/A</v>
        <stp/>
        <stp>##V3_BDPV12</stp>
        <stp>NIO US Equity</stp>
        <stp>DV013</stp>
        <stp>[DPM - Securities Master List (BBG Linked).xlsx]Equities!R206C10</stp>
        <tr r="J206" s="2"/>
      </tp>
      <tp t="s">
        <v>Nestle SA</v>
        <stp/>
        <stp>##V3_BDPV12</stp>
        <stp>NESN SW Equity</stp>
        <stp>SECURITY NAME</stp>
        <stp>[DPM - Securities Master List (BBG Linked).xlsx]Equities!R198C5</stp>
        <tr r="E198" s="2"/>
      </tp>
      <tp t="s">
        <v>Tesco PLC</v>
        <stp/>
        <stp>##V3_BDPV12</stp>
        <stp>TSCO LN Equity</stp>
        <stp>SECURITY NAME</stp>
        <stp>[DPM - Securities Master List (BBG Linked).xlsx]Equities!R271C5</stp>
        <tr r="E271" s="2"/>
      </tp>
      <tp t="s">
        <v>USD</v>
        <stp/>
        <stp>##V3_BDPV12</stp>
        <stp>MSFT US Equity</stp>
        <stp>CRNCY</stp>
        <stp>[DPM - Securities Master List (BBG Linked).xlsx]Equities!R170C6</stp>
        <tr r="F170" s="2"/>
      </tp>
      <tp t="s">
        <v>USD</v>
        <stp/>
        <stp>##V3_BDPV12</stp>
        <stp>MSFT US Equity</stp>
        <stp>CRNCY</stp>
        <stp>[DPM - Securities Master List (BBG Linked).xlsx]Equities!R180C6</stp>
        <tr r="F180" s="2"/>
      </tp>
      <tp>
        <v>275443.74579771404</v>
        <stp/>
        <stp>##V3_BDPV12</stp>
        <stp>NESN SW Equity</stp>
        <stp>CRNCY_ADJ_MKT_CAP</stp>
        <stp>[DPM - Securities Master List (BBG Linked).xlsx]Equities!R205C9</stp>
        <stp>EQY_FUND_CRNCY=USD</stp>
        <tr r="I205" s="2"/>
      </tp>
      <tp>
        <v>275443.74579771404</v>
        <stp/>
        <stp>##V3_BDPV12</stp>
        <stp>NESN SW Equity</stp>
        <stp>CRNCY_ADJ_MKT_CAP</stp>
        <stp>[DPM - Securities Master List (BBG Linked).xlsx]Equities!R204C9</stp>
        <stp>EQY_FUND_CRNCY=USD</stp>
        <tr r="I204" s="2"/>
      </tp>
      <tp>
        <v>275443.74579771404</v>
        <stp/>
        <stp>##V3_BDPV12</stp>
        <stp>NESN SW Equity</stp>
        <stp>CRNCY_ADJ_MKT_CAP</stp>
        <stp>[DPM - Securities Master List (BBG Linked).xlsx]Equities!R203C9</stp>
        <stp>EQY_FUND_CRNCY=USD</stp>
        <tr r="I203" s="2"/>
      </tp>
      <tp>
        <v>275443.74579771404</v>
        <stp/>
        <stp>##V3_BDPV12</stp>
        <stp>NESN SW Equity</stp>
        <stp>CRNCY_ADJ_MKT_CAP</stp>
        <stp>[DPM - Securities Master List (BBG Linked).xlsx]Equities!R202C9</stp>
        <stp>EQY_FUND_CRNCY=USD</stp>
        <tr r="I202" s="2"/>
      </tp>
      <tp>
        <v>275443.74579771404</v>
        <stp/>
        <stp>##V3_BDPV12</stp>
        <stp>NESN SW Equity</stp>
        <stp>CRNCY_ADJ_MKT_CAP</stp>
        <stp>[DPM - Securities Master List (BBG Linked).xlsx]Equities!R201C9</stp>
        <stp>EQY_FUND_CRNCY=USD</stp>
        <tr r="I201" s="2"/>
      </tp>
      <tp>
        <v>275443.74579771404</v>
        <stp/>
        <stp>##V3_BDPV12</stp>
        <stp>NESN SW Equity</stp>
        <stp>CRNCY_ADJ_MKT_CAP</stp>
        <stp>[DPM - Securities Master List (BBG Linked).xlsx]Equities!R200C9</stp>
        <stp>EQY_FUND_CRNCY=USD</stp>
        <tr r="I200" s="2"/>
      </tp>
      <tp>
        <v>692</v>
        <stp/>
        <stp>##V3_BDPV12</stp>
        <stp>DRX LN Equity</stp>
        <stp>hs001</stp>
        <stp>[DPM - Securities Master List (BBG Linked).xlsx]Equities!R124C44</stp>
        <tr r="AR124" s="2"/>
      </tp>
      <tp>
        <v>692</v>
        <stp/>
        <stp>##V3_BDPV12</stp>
        <stp>DRX LN Equity</stp>
        <stp>hs001</stp>
        <stp>[DPM - Securities Master List (BBG Linked).xlsx]Equities!R122C44</stp>
        <tr r="AR122" s="2"/>
      </tp>
      <tp>
        <v>692</v>
        <stp/>
        <stp>##V3_BDPV12</stp>
        <stp>DRX LN Equity</stp>
        <stp>hs001</stp>
        <stp>[DPM - Securities Master List (BBG Linked).xlsx]Equities!R123C44</stp>
        <tr r="AR123" s="2"/>
      </tp>
      <tp>
        <v>692</v>
        <stp/>
        <stp>##V3_BDPV12</stp>
        <stp>DRX LN Equity</stp>
        <stp>hs001</stp>
        <stp>[DPM - Securities Master List (BBG Linked).xlsx]Equities!R120C44</stp>
        <tr r="AR120" s="2"/>
      </tp>
      <tp>
        <v>692</v>
        <stp/>
        <stp>##V3_BDPV12</stp>
        <stp>DRX LN Equity</stp>
        <stp>hs001</stp>
        <stp>[DPM - Securities Master List (BBG Linked).xlsx]Equities!R121C44</stp>
        <tr r="AR121" s="2"/>
      </tp>
      <tp>
        <v>692</v>
        <stp/>
        <stp>##V3_BDPV12</stp>
        <stp>DRX LN Equity</stp>
        <stp>hs001</stp>
        <stp>[DPM - Securities Master List (BBG Linked).xlsx]Equities!R118C44</stp>
        <tr r="AR118" s="2"/>
      </tp>
      <tp>
        <v>692</v>
        <stp/>
        <stp>##V3_BDPV12</stp>
        <stp>DRX LN Equity</stp>
        <stp>hs001</stp>
        <stp>[DPM - Securities Master List (BBG Linked).xlsx]Equities!R119C44</stp>
        <tr r="AR119" s="2"/>
      </tp>
      <tp>
        <v>692</v>
        <stp/>
        <stp>##V3_BDPV12</stp>
        <stp>DRX LN Equity</stp>
        <stp>hs001</stp>
        <stp>[DPM - Securities Master List (BBG Linked).xlsx]Equities!R116C44</stp>
        <tr r="AR116" s="2"/>
      </tp>
      <tp>
        <v>692</v>
        <stp/>
        <stp>##V3_BDPV12</stp>
        <stp>DRX LN Equity</stp>
        <stp>hs001</stp>
        <stp>[DPM - Securities Master List (BBG Linked).xlsx]Equities!R117C44</stp>
        <tr r="AR117" s="2"/>
      </tp>
      <tp t="s">
        <v>Drax Group PLC</v>
        <stp/>
        <stp>##V3_BDPV12</stp>
        <stp>DRX LN Equity</stp>
        <stp>SECURITY NAME</stp>
        <stp>[DPM - Securities Master List (BBG Linked).xlsx]Equities!R124C5</stp>
        <tr r="E124" s="2"/>
      </tp>
      <tp>
        <v>481.4</v>
        <stp/>
        <stp>##V3_BDPV12</stp>
        <stp>DRX LN Equity</stp>
        <stp>hs002</stp>
        <stp>[DPM - Securities Master List (BBG Linked).xlsx]Equities!R124C45</stp>
        <tr r="AS124" s="2"/>
      </tp>
      <tp>
        <v>481.4</v>
        <stp/>
        <stp>##V3_BDPV12</stp>
        <stp>DRX LN Equity</stp>
        <stp>hs002</stp>
        <stp>[DPM - Securities Master List (BBG Linked).xlsx]Equities!R122C45</stp>
        <tr r="AS122" s="2"/>
      </tp>
      <tp>
        <v>481.4</v>
        <stp/>
        <stp>##V3_BDPV12</stp>
        <stp>DRX LN Equity</stp>
        <stp>hs002</stp>
        <stp>[DPM - Securities Master List (BBG Linked).xlsx]Equities!R123C45</stp>
        <tr r="AS123" s="2"/>
      </tp>
      <tp>
        <v>481.4</v>
        <stp/>
        <stp>##V3_BDPV12</stp>
        <stp>DRX LN Equity</stp>
        <stp>hs002</stp>
        <stp>[DPM - Securities Master List (BBG Linked).xlsx]Equities!R120C45</stp>
        <tr r="AS120" s="2"/>
      </tp>
      <tp>
        <v>481.4</v>
        <stp/>
        <stp>##V3_BDPV12</stp>
        <stp>DRX LN Equity</stp>
        <stp>hs002</stp>
        <stp>[DPM - Securities Master List (BBG Linked).xlsx]Equities!R121C45</stp>
        <tr r="AS121" s="2"/>
      </tp>
      <tp>
        <v>481.4</v>
        <stp/>
        <stp>##V3_BDPV12</stp>
        <stp>DRX LN Equity</stp>
        <stp>hs002</stp>
        <stp>[DPM - Securities Master List (BBG Linked).xlsx]Equities!R118C45</stp>
        <tr r="AS118" s="2"/>
      </tp>
      <tp>
        <v>481.4</v>
        <stp/>
        <stp>##V3_BDPV12</stp>
        <stp>DRX LN Equity</stp>
        <stp>hs002</stp>
        <stp>[DPM - Securities Master List (BBG Linked).xlsx]Equities!R119C45</stp>
        <tr r="AS119" s="2"/>
      </tp>
      <tp>
        <v>481.4</v>
        <stp/>
        <stp>##V3_BDPV12</stp>
        <stp>DRX LN Equity</stp>
        <stp>hs002</stp>
        <stp>[DPM - Securities Master List (BBG Linked).xlsx]Equities!R116C45</stp>
        <tr r="AS116" s="2"/>
      </tp>
      <tp>
        <v>481.4</v>
        <stp/>
        <stp>##V3_BDPV12</stp>
        <stp>DRX LN Equity</stp>
        <stp>hs002</stp>
        <stp>[DPM - Securities Master List (BBG Linked).xlsx]Equities!R117C45</stp>
        <tr r="AS117" s="2"/>
      </tp>
      <tp t="s">
        <v>USD</v>
        <stp/>
        <stp>##V3_BDPV12</stp>
        <stp>DIS US Equity</stp>
        <stp>CRNCY</stp>
        <stp>[DPM - Securities Master List (BBG Linked).xlsx]Equities!R115C6</stp>
        <tr r="F115" s="2"/>
      </tp>
      <tp>
        <v>378</v>
        <stp/>
        <stp>##V3_BDPV12</stp>
        <stp>TSCO LN Equity</stp>
        <stp>PX_LAST</stp>
        <stp>[DPM - Securities Master List (BBG Linked).xlsx]Equities!R271C17</stp>
        <tr r="Q271" s="2"/>
      </tp>
      <tp>
        <v>378</v>
        <stp/>
        <stp>##V3_BDPV12</stp>
        <stp>TSCO LN Equity</stp>
        <stp>PX_LAST</stp>
        <stp>[DPM - Securities Master List (BBG Linked).xlsx]Equities!R270C17</stp>
        <tr r="Q270" s="2"/>
      </tp>
      <tp>
        <v>378</v>
        <stp/>
        <stp>##V3_BDPV12</stp>
        <stp>TSCO LN Equity</stp>
        <stp>PX_LAST</stp>
        <stp>[DPM - Securities Master List (BBG Linked).xlsx]Equities!R273C17</stp>
        <tr r="Q273" s="2"/>
      </tp>
      <tp>
        <v>378</v>
        <stp/>
        <stp>##V3_BDPV12</stp>
        <stp>TSCO LN Equity</stp>
        <stp>PX_LAST</stp>
        <stp>[DPM - Securities Master List (BBG Linked).xlsx]Equities!R272C17</stp>
        <tr r="Q272" s="2"/>
      </tp>
      <tp>
        <v>378</v>
        <stp/>
        <stp>##V3_BDPV12</stp>
        <stp>TSCO LN Equity</stp>
        <stp>PX_LAST</stp>
        <stp>[DPM - Securities Master List (BBG Linked).xlsx]Equities!R275C17</stp>
        <tr r="Q275" s="2"/>
      </tp>
      <tp>
        <v>378</v>
        <stp/>
        <stp>##V3_BDPV12</stp>
        <stp>TSCO LN Equity</stp>
        <stp>PX_LAST</stp>
        <stp>[DPM - Securities Master List (BBG Linked).xlsx]Equities!R274C17</stp>
        <tr r="Q274" s="2"/>
      </tp>
      <tp>
        <v>378</v>
        <stp/>
        <stp>##V3_BDPV12</stp>
        <stp>TSCO LN Equity</stp>
        <stp>PX_LAST</stp>
        <stp>[DPM - Securities Master List (BBG Linked).xlsx]Equities!R269C17</stp>
        <tr r="Q269" s="2"/>
      </tp>
      <tp>
        <v>378</v>
        <stp/>
        <stp>##V3_BDPV12</stp>
        <stp>TSCO LN Equity</stp>
        <stp>PX_LAST</stp>
        <stp>[DPM - Securities Master List (BBG Linked).xlsx]Equities!R268C17</stp>
        <tr r="Q268" s="2"/>
      </tp>
      <tp>
        <v>378</v>
        <stp/>
        <stp>##V3_BDPV12</stp>
        <stp>TSCO LN Equity</stp>
        <stp>PX_LAST</stp>
        <stp>[DPM - Securities Master List (BBG Linked).xlsx]Equities!R263C17</stp>
        <tr r="Q263" s="2"/>
      </tp>
      <tp>
        <v>378</v>
        <stp/>
        <stp>##V3_BDPV12</stp>
        <stp>TSCO LN Equity</stp>
        <stp>PX_LAST</stp>
        <stp>[DPM - Securities Master List (BBG Linked).xlsx]Equities!R262C17</stp>
        <tr r="Q262" s="2"/>
      </tp>
      <tp>
        <v>378</v>
        <stp/>
        <stp>##V3_BDPV12</stp>
        <stp>TSCO LN Equity</stp>
        <stp>PX_LAST</stp>
        <stp>[DPM - Securities Master List (BBG Linked).xlsx]Equities!R265C17</stp>
        <tr r="Q265" s="2"/>
      </tp>
      <tp>
        <v>378</v>
        <stp/>
        <stp>##V3_BDPV12</stp>
        <stp>TSCO LN Equity</stp>
        <stp>PX_LAST</stp>
        <stp>[DPM - Securities Master List (BBG Linked).xlsx]Equities!R264C17</stp>
        <tr r="Q264" s="2"/>
      </tp>
      <tp>
        <v>378</v>
        <stp/>
        <stp>##V3_BDPV12</stp>
        <stp>TSCO LN Equity</stp>
        <stp>PX_LAST</stp>
        <stp>[DPM - Securities Master List (BBG Linked).xlsx]Equities!R267C17</stp>
        <tr r="Q267" s="2"/>
      </tp>
      <tp>
        <v>378</v>
        <stp/>
        <stp>##V3_BDPV12</stp>
        <stp>TSCO LN Equity</stp>
        <stp>PX_LAST</stp>
        <stp>[DPM - Securities Master List (BBG Linked).xlsx]Equities!R266C17</stp>
        <tr r="Q266" s="2"/>
      </tp>
      <tp t="s">
        <v>Kering SA</v>
        <stp/>
        <stp>##V3_BDPV12</stp>
        <stp>KER FP Equity</stp>
        <stp>SECURITY NAME</stp>
        <stp>[DPM - Securities Master List (BBG Linked).xlsx]Equities!R151C5</stp>
        <tr r="E151" s="2"/>
      </tp>
      <tp t="s">
        <v>PepsiCo Inc</v>
        <stp/>
        <stp>##V3_BDPV12</stp>
        <stp>PEP US Equity</stp>
        <stp>SECURITY NAME</stp>
        <stp>[DPM - Securities Master List (BBG Linked).xlsx]Equities!R229C5</stp>
        <tr r="E229" s="2"/>
      </tp>
      <tp t="s">
        <v>EUR</v>
        <stp/>
        <stp>##V3_BDPV12</stp>
        <stp>TTE FP Equity</stp>
        <stp>CRNCY</stp>
        <stp>[DPM - Securities Master List (BBG Linked).xlsx]Equities!R286C6</stp>
        <tr r="F286" s="2"/>
      </tp>
      <tp t="s">
        <v>EUR</v>
        <stp/>
        <stp>##V3_BDPV12</stp>
        <stp>TTE FP Equity</stp>
        <stp>CRNCY</stp>
        <stp>[DPM - Securities Master List (BBG Linked).xlsx]Equities!R276C6</stp>
        <tr r="F276" s="2"/>
      </tp>
      <tp t="s">
        <v>GB00B1VNSX38</v>
        <stp/>
        <stp>##V3_BDPV12</stp>
        <stp>DRX LN Equity</stp>
        <stp>ID005</stp>
        <stp>[DPM - Securities Master List (BBG Linked).xlsx]Equities!R118C55</stp>
        <tr r="BC118" s="2"/>
      </tp>
      <tp t="s">
        <v>GB00B1VNSX38</v>
        <stp/>
        <stp>##V3_BDPV12</stp>
        <stp>DRX LN Equity</stp>
        <stp>ID005</stp>
        <stp>[DPM - Securities Master List (BBG Linked).xlsx]Equities!R119C55</stp>
        <tr r="BC119" s="2"/>
      </tp>
      <tp t="s">
        <v>GB00B1VNSX38</v>
        <stp/>
        <stp>##V3_BDPV12</stp>
        <stp>DRX LN Equity</stp>
        <stp>ID005</stp>
        <stp>[DPM - Securities Master List (BBG Linked).xlsx]Equities!R116C55</stp>
        <tr r="BC116" s="2"/>
      </tp>
      <tp t="s">
        <v>GB00B1VNSX38</v>
        <stp/>
        <stp>##V3_BDPV12</stp>
        <stp>DRX LN Equity</stp>
        <stp>ID005</stp>
        <stp>[DPM - Securities Master List (BBG Linked).xlsx]Equities!R117C55</stp>
        <tr r="BC117" s="2"/>
      </tp>
      <tp t="s">
        <v>GB00B1VNSX38</v>
        <stp/>
        <stp>##V3_BDPV12</stp>
        <stp>DRX LN Equity</stp>
        <stp>ID005</stp>
        <stp>[DPM - Securities Master List (BBG Linked).xlsx]Equities!R124C55</stp>
        <tr r="BC124" s="2"/>
      </tp>
      <tp t="s">
        <v>GB00B1VNSX38</v>
        <stp/>
        <stp>##V3_BDPV12</stp>
        <stp>DRX LN Equity</stp>
        <stp>ID005</stp>
        <stp>[DPM - Securities Master List (BBG Linked).xlsx]Equities!R122C55</stp>
        <tr r="BC122" s="2"/>
      </tp>
      <tp t="s">
        <v>GB00B1VNSX38</v>
        <stp/>
        <stp>##V3_BDPV12</stp>
        <stp>DRX LN Equity</stp>
        <stp>ID005</stp>
        <stp>[DPM - Securities Master List (BBG Linked).xlsx]Equities!R123C55</stp>
        <tr r="BC123" s="2"/>
      </tp>
      <tp t="s">
        <v>GB00B1VNSX38</v>
        <stp/>
        <stp>##V3_BDPV12</stp>
        <stp>DRX LN Equity</stp>
        <stp>ID005</stp>
        <stp>[DPM - Securities Master List (BBG Linked).xlsx]Equities!R120C55</stp>
        <tr r="BC120" s="2"/>
      </tp>
      <tp t="s">
        <v>GB00B1VNSX38</v>
        <stp/>
        <stp>##V3_BDPV12</stp>
        <stp>DRX LN Equity</stp>
        <stp>ID005</stp>
        <stp>[DPM - Securities Master List (BBG Linked).xlsx]Equities!R121C55</stp>
        <tr r="BC121" s="2"/>
      </tp>
      <tp t="s">
        <v>N</v>
        <stp/>
        <stp>##V3_BDPV12</stp>
        <stp>TGT US Equity</stp>
        <stp>DY784</stp>
        <stp>[DPM - Securities Master List (BBG Linked).xlsx]Equities!R261C48</stp>
        <tr r="AV261" s="2"/>
        <tr r="AV261" s="2"/>
        <tr r="AV261" s="2"/>
      </tp>
      <tp>
        <v>2</v>
        <stp/>
        <stp>##V3_BDPV12</stp>
        <stp>NKE US Equity</stp>
        <stp>TOT_SELL_REC</stp>
        <stp>[DPM - Securities Master List (BBG Linked).xlsx]Equities!R220C36</stp>
        <tr r="AJ220" s="2"/>
      </tp>
      <tp>
        <v>2</v>
        <stp/>
        <stp>##V3_BDPV12</stp>
        <stp>NKE US Equity</stp>
        <stp>TOT_SELL_REC</stp>
        <stp>[DPM - Securities Master List (BBG Linked).xlsx]Equities!R221C36</stp>
        <tr r="AJ221" s="2"/>
      </tp>
      <tp>
        <v>2</v>
        <stp/>
        <stp>##V3_BDPV12</stp>
        <stp>NKE US Equity</stp>
        <stp>TOT_SELL_REC</stp>
        <stp>[DPM - Securities Master List (BBG Linked).xlsx]Equities!R222C36</stp>
        <tr r="AJ222" s="2"/>
      </tp>
      <tp>
        <v>2</v>
        <stp/>
        <stp>##V3_BDPV12</stp>
        <stp>NKE US Equity</stp>
        <stp>TOT_SELL_REC</stp>
        <stp>[DPM - Securities Master List (BBG Linked).xlsx]Equities!R214C36</stp>
        <tr r="AJ214" s="2"/>
      </tp>
      <tp>
        <v>2</v>
        <stp/>
        <stp>##V3_BDPV12</stp>
        <stp>NKE US Equity</stp>
        <stp>TOT_SELL_REC</stp>
        <stp>[DPM - Securities Master List (BBG Linked).xlsx]Equities!R215C36</stp>
        <tr r="AJ215" s="2"/>
      </tp>
      <tp>
        <v>2</v>
        <stp/>
        <stp>##V3_BDPV12</stp>
        <stp>NKE US Equity</stp>
        <stp>TOT_SELL_REC</stp>
        <stp>[DPM - Securities Master List (BBG Linked).xlsx]Equities!R216C36</stp>
        <tr r="AJ216" s="2"/>
      </tp>
      <tp>
        <v>2</v>
        <stp/>
        <stp>##V3_BDPV12</stp>
        <stp>NKE US Equity</stp>
        <stp>TOT_SELL_REC</stp>
        <stp>[DPM - Securities Master List (BBG Linked).xlsx]Equities!R217C36</stp>
        <tr r="AJ217" s="2"/>
      </tp>
      <tp>
        <v>2</v>
        <stp/>
        <stp>##V3_BDPV12</stp>
        <stp>NKE US Equity</stp>
        <stp>TOT_SELL_REC</stp>
        <stp>[DPM - Securities Master List (BBG Linked).xlsx]Equities!R210C36</stp>
        <tr r="AJ210" s="2"/>
      </tp>
      <tp>
        <v>2</v>
        <stp/>
        <stp>##V3_BDPV12</stp>
        <stp>NKE US Equity</stp>
        <stp>TOT_SELL_REC</stp>
        <stp>[DPM - Securities Master List (BBG Linked).xlsx]Equities!R211C36</stp>
        <tr r="AJ211" s="2"/>
      </tp>
      <tp>
        <v>2</v>
        <stp/>
        <stp>##V3_BDPV12</stp>
        <stp>NKE US Equity</stp>
        <stp>TOT_SELL_REC</stp>
        <stp>[DPM - Securities Master List (BBG Linked).xlsx]Equities!R212C36</stp>
        <tr r="AJ212" s="2"/>
      </tp>
      <tp>
        <v>2</v>
        <stp/>
        <stp>##V3_BDPV12</stp>
        <stp>NKE US Equity</stp>
        <stp>TOT_SELL_REC</stp>
        <stp>[DPM - Securities Master List (BBG Linked).xlsx]Equities!R213C36</stp>
        <tr r="AJ213" s="2"/>
      </tp>
      <tp>
        <v>2</v>
        <stp/>
        <stp>##V3_BDPV12</stp>
        <stp>NKE US Equity</stp>
        <stp>TOT_SELL_REC</stp>
        <stp>[DPM - Securities Master List (BBG Linked).xlsx]Equities!R218C36</stp>
        <tr r="AJ218" s="2"/>
      </tp>
      <tp>
        <v>2</v>
        <stp/>
        <stp>##V3_BDPV12</stp>
        <stp>NKE US Equity</stp>
        <stp>TOT_SELL_REC</stp>
        <stp>[DPM - Securities Master List (BBG Linked).xlsx]Equities!R219C36</stp>
        <tr r="AJ219" s="2"/>
      </tp>
      <tp>
        <v>2</v>
        <stp/>
        <stp>##V3_BDPV12</stp>
        <stp>NKE US Equity</stp>
        <stp>TOT_SELL_REC</stp>
        <stp>[DPM - Securities Master List (BBG Linked).xlsx]Equities!R207C36</stp>
        <tr r="AJ207" s="2"/>
      </tp>
      <tp>
        <v>2</v>
        <stp/>
        <stp>##V3_BDPV12</stp>
        <stp>NKE US Equity</stp>
        <stp>TOT_SELL_REC</stp>
        <stp>[DPM - Securities Master List (BBG Linked).xlsx]Equities!R208C36</stp>
        <tr r="AJ208" s="2"/>
      </tp>
      <tp>
        <v>2</v>
        <stp/>
        <stp>##V3_BDPV12</stp>
        <stp>NKE US Equity</stp>
        <stp>TOT_SELL_REC</stp>
        <stp>[DPM - Securities Master List (BBG Linked).xlsx]Equities!R209C36</stp>
        <tr r="AJ209" s="2"/>
      </tp>
      <tp t="s">
        <v>Y</v>
        <stp/>
        <stp>##V3_BDPV12</stp>
        <stp>KER FP Equity</stp>
        <stp>DY997</stp>
        <stp>[DPM - Securities Master List (BBG Linked).xlsx]Equities!R152C47</stp>
        <tr r="AU152" s="2"/>
        <tr r="AU152" s="2"/>
        <tr r="AU152" s="2"/>
      </tp>
      <tp t="s">
        <v>Y</v>
        <stp/>
        <stp>##V3_BDPV12</stp>
        <stp>KER FP Equity</stp>
        <stp>DY997</stp>
        <stp>[DPM - Securities Master List (BBG Linked).xlsx]Equities!R153C47</stp>
        <tr r="AU153" s="2"/>
        <tr r="AU153" s="2"/>
        <tr r="AU153" s="2"/>
      </tp>
      <tp t="s">
        <v>Y</v>
        <stp/>
        <stp>##V3_BDPV12</stp>
        <stp>KER FP Equity</stp>
        <stp>DY997</stp>
        <stp>[DPM - Securities Master List (BBG Linked).xlsx]Equities!R150C47</stp>
        <tr r="AU150" s="2"/>
        <tr r="AU150" s="2"/>
        <tr r="AU150" s="2"/>
      </tp>
      <tp t="s">
        <v>Y</v>
        <stp/>
        <stp>##V3_BDPV12</stp>
        <stp>KER FP Equity</stp>
        <stp>DY997</stp>
        <stp>[DPM - Securities Master List (BBG Linked).xlsx]Equities!R151C47</stp>
        <tr r="AU151" s="2"/>
        <tr r="AU151" s="2"/>
        <tr r="AU151" s="2"/>
      </tp>
      <tp t="s">
        <v>Y</v>
        <stp/>
        <stp>##V3_BDPV12</stp>
        <stp>KER FP Equity</stp>
        <stp>DY997</stp>
        <stp>[DPM - Securities Master List (BBG Linked).xlsx]Equities!R149C47</stp>
        <tr r="AU149" s="2"/>
        <tr r="AU149" s="2"/>
        <tr r="AU149" s="2"/>
      </tp>
      <tp>
        <v>31.361847284177379</v>
        <stp/>
        <stp>##V3_BDPV12</stp>
        <stp>NKE US Equity</stp>
        <stp>RR041</stp>
        <stp>[DPM - Securities Master List (BBG Linked).xlsx]Equities!R209C33</stp>
        <tr r="AG209" s="2"/>
        <tr r="AG209" s="2"/>
        <tr r="AG209" s="2"/>
      </tp>
      <tp>
        <v>31.361847284177379</v>
        <stp/>
        <stp>##V3_BDPV12</stp>
        <stp>NKE US Equity</stp>
        <stp>RR041</stp>
        <stp>[DPM - Securities Master List (BBG Linked).xlsx]Equities!R208C33</stp>
        <tr r="AG208" s="2"/>
        <tr r="AG208" s="2"/>
        <tr r="AG208" s="2"/>
      </tp>
      <tp>
        <v>31.361847284177379</v>
        <stp/>
        <stp>##V3_BDPV12</stp>
        <stp>NKE US Equity</stp>
        <stp>RR041</stp>
        <stp>[DPM - Securities Master List (BBG Linked).xlsx]Equities!R207C33</stp>
        <tr r="AG207" s="2"/>
        <tr r="AG207" s="2"/>
        <tr r="AG207" s="2"/>
      </tp>
      <tp>
        <v>31.361847284177379</v>
        <stp/>
        <stp>##V3_BDPV12</stp>
        <stp>NKE US Equity</stp>
        <stp>RR041</stp>
        <stp>[DPM - Securities Master List (BBG Linked).xlsx]Equities!R219C33</stp>
        <tr r="AG219" s="2"/>
        <tr r="AG219" s="2"/>
        <tr r="AG219" s="2"/>
      </tp>
      <tp>
        <v>31.361847284177379</v>
        <stp/>
        <stp>##V3_BDPV12</stp>
        <stp>NKE US Equity</stp>
        <stp>RR041</stp>
        <stp>[DPM - Securities Master List (BBG Linked).xlsx]Equities!R218C33</stp>
        <tr r="AG218" s="2"/>
        <tr r="AG218" s="2"/>
        <tr r="AG218" s="2"/>
      </tp>
      <tp>
        <v>31.361847284177379</v>
        <stp/>
        <stp>##V3_BDPV12</stp>
        <stp>NKE US Equity</stp>
        <stp>RR041</stp>
        <stp>[DPM - Securities Master List (BBG Linked).xlsx]Equities!R215C33</stp>
        <tr r="AG215" s="2"/>
        <tr r="AG215" s="2"/>
        <tr r="AG215" s="2"/>
      </tp>
      <tp>
        <v>31.361847284177379</v>
        <stp/>
        <stp>##V3_BDPV12</stp>
        <stp>NKE US Equity</stp>
        <stp>RR041</stp>
        <stp>[DPM - Securities Master List (BBG Linked).xlsx]Equities!R214C33</stp>
        <tr r="AG214" s="2"/>
        <tr r="AG214" s="2"/>
        <tr r="AG214" s="2"/>
      </tp>
      <tp>
        <v>31.361847284177379</v>
        <stp/>
        <stp>##V3_BDPV12</stp>
        <stp>NKE US Equity</stp>
        <stp>RR041</stp>
        <stp>[DPM - Securities Master List (BBG Linked).xlsx]Equities!R217C33</stp>
        <tr r="AG217" s="2"/>
        <tr r="AG217" s="2"/>
        <tr r="AG217" s="2"/>
      </tp>
      <tp>
        <v>31.361847284177379</v>
        <stp/>
        <stp>##V3_BDPV12</stp>
        <stp>NKE US Equity</stp>
        <stp>RR041</stp>
        <stp>[DPM - Securities Master List (BBG Linked).xlsx]Equities!R216C33</stp>
        <tr r="AG216" s="2"/>
        <tr r="AG216" s="2"/>
        <tr r="AG216" s="2"/>
      </tp>
      <tp>
        <v>31.361847284177379</v>
        <stp/>
        <stp>##V3_BDPV12</stp>
        <stp>NKE US Equity</stp>
        <stp>RR041</stp>
        <stp>[DPM - Securities Master List (BBG Linked).xlsx]Equities!R211C33</stp>
        <tr r="AG211" s="2"/>
        <tr r="AG211" s="2"/>
        <tr r="AG211" s="2"/>
      </tp>
      <tp>
        <v>31.361847284177379</v>
        <stp/>
        <stp>##V3_BDPV12</stp>
        <stp>NKE US Equity</stp>
        <stp>RR041</stp>
        <stp>[DPM - Securities Master List (BBG Linked).xlsx]Equities!R210C33</stp>
        <tr r="AG210" s="2"/>
        <tr r="AG210" s="2"/>
        <tr r="AG210" s="2"/>
      </tp>
      <tp>
        <v>31.361847284177379</v>
        <stp/>
        <stp>##V3_BDPV12</stp>
        <stp>NKE US Equity</stp>
        <stp>RR041</stp>
        <stp>[DPM - Securities Master List (BBG Linked).xlsx]Equities!R213C33</stp>
        <tr r="AG213" s="2"/>
        <tr r="AG213" s="2"/>
        <tr r="AG213" s="2"/>
      </tp>
      <tp>
        <v>31.361847284177379</v>
        <stp/>
        <stp>##V3_BDPV12</stp>
        <stp>NKE US Equity</stp>
        <stp>RR041</stp>
        <stp>[DPM - Securities Master List (BBG Linked).xlsx]Equities!R212C33</stp>
        <tr r="AG212" s="2"/>
        <tr r="AG212" s="2"/>
        <tr r="AG212" s="2"/>
      </tp>
      <tp>
        <v>31.361847284177379</v>
        <stp/>
        <stp>##V3_BDPV12</stp>
        <stp>NKE US Equity</stp>
        <stp>RR041</stp>
        <stp>[DPM - Securities Master List (BBG Linked).xlsx]Equities!R221C33</stp>
        <tr r="AG221" s="2"/>
        <tr r="AG221" s="2"/>
        <tr r="AG221" s="2"/>
      </tp>
      <tp>
        <v>31.361847284177379</v>
        <stp/>
        <stp>##V3_BDPV12</stp>
        <stp>NKE US Equity</stp>
        <stp>RR041</stp>
        <stp>[DPM - Securities Master List (BBG Linked).xlsx]Equities!R220C33</stp>
        <tr r="AG220" s="2"/>
        <tr r="AG220" s="2"/>
        <tr r="AG220" s="2"/>
      </tp>
      <tp>
        <v>31.361847284177379</v>
        <stp/>
        <stp>##V3_BDPV12</stp>
        <stp>NKE US Equity</stp>
        <stp>RR041</stp>
        <stp>[DPM - Securities Master List (BBG Linked).xlsx]Equities!R222C33</stp>
        <tr r="AG222" s="2"/>
        <tr r="AG222" s="2"/>
        <tr r="AG222" s="2"/>
      </tp>
      <tp>
        <v>2</v>
        <stp/>
        <stp>##V3_BDPV12</stp>
        <stp>NIO US Equity</stp>
        <stp>TOT_SELL_REC</stp>
        <stp>[DPM - Securities Master List (BBG Linked).xlsx]Equities!R206C36</stp>
        <tr r="AJ206" s="2"/>
      </tp>
      <tp>
        <v>11.90462</v>
        <stp/>
        <stp>##V3_BDPV12</stp>
        <stp>NIO US Equity</stp>
        <stp>PR061</stp>
        <stp>[DPM - Securities Master List (BBG Linked).xlsx]Equities!R206C40</stp>
        <tr r="AN206" s="2"/>
      </tp>
      <tp t="s">
        <v>Utilities</v>
        <stp/>
        <stp>##V3_BDPV12</stp>
        <stp>DRX LN Equity</stp>
        <stp>DX202</stp>
        <stp>[DPM - Securities Master List (BBG Linked).xlsx]Equities!R124C46</stp>
        <tr r="AT124" s="2"/>
        <tr r="AT124" s="2"/>
        <tr r="AT124" s="2"/>
      </tp>
      <tp t="s">
        <v>Utilities</v>
        <stp/>
        <stp>##V3_BDPV12</stp>
        <stp>DRX LN Equity</stp>
        <stp>DX202</stp>
        <stp>[DPM - Securities Master List (BBG Linked).xlsx]Equities!R120C46</stp>
        <tr r="AT120" s="2"/>
        <tr r="AT120" s="2"/>
        <tr r="AT120" s="2"/>
      </tp>
      <tp t="s">
        <v>Utilities</v>
        <stp/>
        <stp>##V3_BDPV12</stp>
        <stp>DRX LN Equity</stp>
        <stp>DX202</stp>
        <stp>[DPM - Securities Master List (BBG Linked).xlsx]Equities!R121C46</stp>
        <tr r="AT121" s="2"/>
        <tr r="AT121" s="2"/>
        <tr r="AT121" s="2"/>
      </tp>
      <tp t="s">
        <v>Utilities</v>
        <stp/>
        <stp>##V3_BDPV12</stp>
        <stp>DRX LN Equity</stp>
        <stp>DX202</stp>
        <stp>[DPM - Securities Master List (BBG Linked).xlsx]Equities!R122C46</stp>
        <tr r="AT122" s="2"/>
        <tr r="AT122" s="2"/>
        <tr r="AT122" s="2"/>
      </tp>
      <tp t="s">
        <v>Utilities</v>
        <stp/>
        <stp>##V3_BDPV12</stp>
        <stp>DRX LN Equity</stp>
        <stp>DX202</stp>
        <stp>[DPM - Securities Master List (BBG Linked).xlsx]Equities!R123C46</stp>
        <tr r="AT123" s="2"/>
        <tr r="AT123" s="2"/>
        <tr r="AT123" s="2"/>
      </tp>
      <tp t="s">
        <v>Utilities</v>
        <stp/>
        <stp>##V3_BDPV12</stp>
        <stp>DRX LN Equity</stp>
        <stp>DX202</stp>
        <stp>[DPM - Securities Master List (BBG Linked).xlsx]Equities!R118C46</stp>
        <tr r="AT118" s="2"/>
        <tr r="AT118" s="2"/>
        <tr r="AT118" s="2"/>
      </tp>
      <tp t="s">
        <v>Utilities</v>
        <stp/>
        <stp>##V3_BDPV12</stp>
        <stp>DRX LN Equity</stp>
        <stp>DX202</stp>
        <stp>[DPM - Securities Master List (BBG Linked).xlsx]Equities!R119C46</stp>
        <tr r="AT119" s="2"/>
        <tr r="AT119" s="2"/>
        <tr r="AT119" s="2"/>
      </tp>
      <tp t="s">
        <v>Utilities</v>
        <stp/>
        <stp>##V3_BDPV12</stp>
        <stp>DRX LN Equity</stp>
        <stp>DX202</stp>
        <stp>[DPM - Securities Master List (BBG Linked).xlsx]Equities!R116C46</stp>
        <tr r="AT116" s="2"/>
        <tr r="AT116" s="2"/>
        <tr r="AT116" s="2"/>
      </tp>
      <tp t="s">
        <v>Utilities</v>
        <stp/>
        <stp>##V3_BDPV12</stp>
        <stp>DRX LN Equity</stp>
        <stp>DX202</stp>
        <stp>[DPM - Securities Master List (BBG Linked).xlsx]Equities!R117C46</stp>
        <tr r="AT117" s="2"/>
        <tr r="AT117" s="2"/>
        <tr r="AT117" s="2"/>
      </tp>
      <tp>
        <v>-7.8119009999999998</v>
        <stp/>
        <stp>##V3_BDPV12</stp>
        <stp>NIO US Equity</stp>
        <stp>PR064</stp>
        <stp>[DPM - Securities Master List (BBG Linked).xlsx]Equities!R206C41</stp>
        <tr r="AO206" s="2"/>
      </tp>
      <tp>
        <v>20</v>
        <stp/>
        <stp>##V3_BDPV12</stp>
        <stp>NKE US Equity</stp>
        <stp>TOT_HOLD_REC</stp>
        <stp>[DPM - Securities Master List (BBG Linked).xlsx]Equities!R222C35</stp>
        <tr r="AI222" s="2"/>
      </tp>
      <tp>
        <v>20</v>
        <stp/>
        <stp>##V3_BDPV12</stp>
        <stp>NKE US Equity</stp>
        <stp>TOT_HOLD_REC</stp>
        <stp>[DPM - Securities Master List (BBG Linked).xlsx]Equities!R220C35</stp>
        <tr r="AI220" s="2"/>
      </tp>
      <tp>
        <v>20</v>
        <stp/>
        <stp>##V3_BDPV12</stp>
        <stp>NKE US Equity</stp>
        <stp>TOT_HOLD_REC</stp>
        <stp>[DPM - Securities Master List (BBG Linked).xlsx]Equities!R221C35</stp>
        <tr r="AI221" s="2"/>
      </tp>
      <tp>
        <v>20</v>
        <stp/>
        <stp>##V3_BDPV12</stp>
        <stp>NKE US Equity</stp>
        <stp>TOT_HOLD_REC</stp>
        <stp>[DPM - Securities Master List (BBG Linked).xlsx]Equities!R218C35</stp>
        <tr r="AI218" s="2"/>
      </tp>
      <tp>
        <v>20</v>
        <stp/>
        <stp>##V3_BDPV12</stp>
        <stp>NKE US Equity</stp>
        <stp>TOT_HOLD_REC</stp>
        <stp>[DPM - Securities Master List (BBG Linked).xlsx]Equities!R219C35</stp>
        <tr r="AI219" s="2"/>
      </tp>
      <tp>
        <v>20</v>
        <stp/>
        <stp>##V3_BDPV12</stp>
        <stp>NKE US Equity</stp>
        <stp>TOT_HOLD_REC</stp>
        <stp>[DPM - Securities Master List (BBG Linked).xlsx]Equities!R216C35</stp>
        <tr r="AI216" s="2"/>
      </tp>
      <tp>
        <v>20</v>
        <stp/>
        <stp>##V3_BDPV12</stp>
        <stp>NKE US Equity</stp>
        <stp>TOT_HOLD_REC</stp>
        <stp>[DPM - Securities Master List (BBG Linked).xlsx]Equities!R217C35</stp>
        <tr r="AI217" s="2"/>
      </tp>
      <tp>
        <v>20</v>
        <stp/>
        <stp>##V3_BDPV12</stp>
        <stp>NKE US Equity</stp>
        <stp>TOT_HOLD_REC</stp>
        <stp>[DPM - Securities Master List (BBG Linked).xlsx]Equities!R214C35</stp>
        <tr r="AI214" s="2"/>
      </tp>
      <tp>
        <v>20</v>
        <stp/>
        <stp>##V3_BDPV12</stp>
        <stp>NKE US Equity</stp>
        <stp>TOT_HOLD_REC</stp>
        <stp>[DPM - Securities Master List (BBG Linked).xlsx]Equities!R215C35</stp>
        <tr r="AI215" s="2"/>
      </tp>
      <tp>
        <v>20</v>
        <stp/>
        <stp>##V3_BDPV12</stp>
        <stp>NKE US Equity</stp>
        <stp>TOT_HOLD_REC</stp>
        <stp>[DPM - Securities Master List (BBG Linked).xlsx]Equities!R212C35</stp>
        <tr r="AI212" s="2"/>
      </tp>
      <tp>
        <v>20</v>
        <stp/>
        <stp>##V3_BDPV12</stp>
        <stp>NKE US Equity</stp>
        <stp>TOT_HOLD_REC</stp>
        <stp>[DPM - Securities Master List (BBG Linked).xlsx]Equities!R213C35</stp>
        <tr r="AI213" s="2"/>
      </tp>
      <tp>
        <v>20</v>
        <stp/>
        <stp>##V3_BDPV12</stp>
        <stp>NKE US Equity</stp>
        <stp>TOT_HOLD_REC</stp>
        <stp>[DPM - Securities Master List (BBG Linked).xlsx]Equities!R210C35</stp>
        <tr r="AI210" s="2"/>
      </tp>
      <tp>
        <v>20</v>
        <stp/>
        <stp>##V3_BDPV12</stp>
        <stp>NKE US Equity</stp>
        <stp>TOT_HOLD_REC</stp>
        <stp>[DPM - Securities Master List (BBG Linked).xlsx]Equities!R211C35</stp>
        <tr r="AI211" s="2"/>
      </tp>
      <tp>
        <v>20</v>
        <stp/>
        <stp>##V3_BDPV12</stp>
        <stp>NKE US Equity</stp>
        <stp>TOT_HOLD_REC</stp>
        <stp>[DPM - Securities Master List (BBG Linked).xlsx]Equities!R208C35</stp>
        <tr r="AI208" s="2"/>
      </tp>
      <tp>
        <v>20</v>
        <stp/>
        <stp>##V3_BDPV12</stp>
        <stp>NKE US Equity</stp>
        <stp>TOT_HOLD_REC</stp>
        <stp>[DPM - Securities Master List (BBG Linked).xlsx]Equities!R209C35</stp>
        <tr r="AI209" s="2"/>
      </tp>
      <tp>
        <v>20</v>
        <stp/>
        <stp>##V3_BDPV12</stp>
        <stp>NKE US Equity</stp>
        <stp>TOT_HOLD_REC</stp>
        <stp>[DPM - Securities Master List (BBG Linked).xlsx]Equities!R207C35</stp>
        <tr r="AI207" s="2"/>
      </tp>
      <tp t="s">
        <v>Meituan</v>
        <stp/>
        <stp>##V3_BDPV12</stp>
        <stp>3690 HK Equity</stp>
        <stp>SECURITY NAME</stp>
        <stp>[DPM - Securities Master List (BBG Linked).xlsx]Equities!R7C5</stp>
        <tr r="E7" s="2"/>
      </tp>
      <tp>
        <v>14</v>
        <stp/>
        <stp>##V3_BDPV12</stp>
        <stp>NIO US Equity</stp>
        <stp>TOT_HOLD_REC</stp>
        <stp>[DPM - Securities Master List (BBG Linked).xlsx]Equities!R206C35</stp>
        <tr r="AI206" s="2"/>
      </tp>
      <tp>
        <v>3.4000000953674316</v>
        <stp/>
        <stp>##V3_BDPV12</stp>
        <stp>DRX LN Equity</stp>
        <stp>EE201</stp>
        <stp>[DPM - Securities Master List (BBG Linked).xlsx]Equities!R124C37</stp>
        <tr r="AK124" s="2"/>
        <tr r="AK124" s="2"/>
        <tr r="AK124" s="2"/>
      </tp>
      <tp>
        <v>3.4000000953674316</v>
        <stp/>
        <stp>##V3_BDPV12</stp>
        <stp>DRX LN Equity</stp>
        <stp>EE201</stp>
        <stp>[DPM - Securities Master List (BBG Linked).xlsx]Equities!R120C37</stp>
        <tr r="AK120" s="2"/>
        <tr r="AK120" s="2"/>
        <tr r="AK120" s="2"/>
      </tp>
      <tp>
        <v>3.4000000953674316</v>
        <stp/>
        <stp>##V3_BDPV12</stp>
        <stp>DRX LN Equity</stp>
        <stp>EE201</stp>
        <stp>[DPM - Securities Master List (BBG Linked).xlsx]Equities!R121C37</stp>
        <tr r="AK121" s="2"/>
        <tr r="AK121" s="2"/>
        <tr r="AK121" s="2"/>
      </tp>
      <tp>
        <v>3.4000000953674316</v>
        <stp/>
        <stp>##V3_BDPV12</stp>
        <stp>DRX LN Equity</stp>
        <stp>EE201</stp>
        <stp>[DPM - Securities Master List (BBG Linked).xlsx]Equities!R122C37</stp>
        <tr r="AK122" s="2"/>
        <tr r="AK122" s="2"/>
        <tr r="AK122" s="2"/>
      </tp>
      <tp>
        <v>3.4000000953674316</v>
        <stp/>
        <stp>##V3_BDPV12</stp>
        <stp>DRX LN Equity</stp>
        <stp>EE201</stp>
        <stp>[DPM - Securities Master List (BBG Linked).xlsx]Equities!R123C37</stp>
        <tr r="AK123" s="2"/>
        <tr r="AK123" s="2"/>
        <tr r="AK123" s="2"/>
      </tp>
      <tp>
        <v>3.4000000953674316</v>
        <stp/>
        <stp>##V3_BDPV12</stp>
        <stp>DRX LN Equity</stp>
        <stp>EE201</stp>
        <stp>[DPM - Securities Master List (BBG Linked).xlsx]Equities!R118C37</stp>
        <tr r="AK118" s="2"/>
        <tr r="AK118" s="2"/>
        <tr r="AK118" s="2"/>
      </tp>
      <tp>
        <v>3.4000000953674316</v>
        <stp/>
        <stp>##V3_BDPV12</stp>
        <stp>DRX LN Equity</stp>
        <stp>EE201</stp>
        <stp>[DPM - Securities Master List (BBG Linked).xlsx]Equities!R119C37</stp>
        <tr r="AK119" s="2"/>
        <tr r="AK119" s="2"/>
        <tr r="AK119" s="2"/>
      </tp>
      <tp>
        <v>3.4000000953674316</v>
        <stp/>
        <stp>##V3_BDPV12</stp>
        <stp>DRX LN Equity</stp>
        <stp>EE201</stp>
        <stp>[DPM - Securities Master List (BBG Linked).xlsx]Equities!R116C37</stp>
        <tr r="AK116" s="2"/>
        <tr r="AK116" s="2"/>
        <tr r="AK116" s="2"/>
      </tp>
      <tp>
        <v>3.4000000953674316</v>
        <stp/>
        <stp>##V3_BDPV12</stp>
        <stp>DRX LN Equity</stp>
        <stp>EE201</stp>
        <stp>[DPM - Securities Master List (BBG Linked).xlsx]Equities!R117C37</stp>
        <tr r="AK117" s="2"/>
        <tr r="AK117" s="2"/>
        <tr r="AK117" s="2"/>
      </tp>
      <tp>
        <v>3.5810415894054684</v>
        <stp/>
        <stp>##V3_BDPV12</stp>
        <stp>SSE LN Equity</stp>
        <stp>DV013</stp>
        <stp>[DPM - Securities Master List (BBG Linked).xlsx]Equities!R258C10</stp>
        <tr r="J258" s="2"/>
      </tp>
      <tp>
        <v>3.5810415894054684</v>
        <stp/>
        <stp>##V3_BDPV12</stp>
        <stp>SSE LN Equity</stp>
        <stp>DV013</stp>
        <stp>[DPM - Securities Master List (BBG Linked).xlsx]Equities!R251C10</stp>
        <tr r="J251" s="2"/>
      </tp>
      <tp>
        <v>3.5810415894054684</v>
        <stp/>
        <stp>##V3_BDPV12</stp>
        <stp>SSE LN Equity</stp>
        <stp>DV013</stp>
        <stp>[DPM - Securities Master List (BBG Linked).xlsx]Equities!R250C10</stp>
        <tr r="J250" s="2"/>
      </tp>
      <tp>
        <v>3.5810415894054684</v>
        <stp/>
        <stp>##V3_BDPV12</stp>
        <stp>SSE LN Equity</stp>
        <stp>DV013</stp>
        <stp>[DPM - Securities Master List (BBG Linked).xlsx]Equities!R253C10</stp>
        <tr r="J253" s="2"/>
      </tp>
      <tp>
        <v>3.5810415894054684</v>
        <stp/>
        <stp>##V3_BDPV12</stp>
        <stp>SSE LN Equity</stp>
        <stp>DV013</stp>
        <stp>[DPM - Securities Master List (BBG Linked).xlsx]Equities!R252C10</stp>
        <tr r="J252" s="2"/>
      </tp>
      <tp>
        <v>3.5810415894054684</v>
        <stp/>
        <stp>##V3_BDPV12</stp>
        <stp>SSE LN Equity</stp>
        <stp>DV013</stp>
        <stp>[DPM - Securities Master List (BBG Linked).xlsx]Equities!R255C10</stp>
        <tr r="J255" s="2"/>
      </tp>
      <tp>
        <v>3.5810415894054684</v>
        <stp/>
        <stp>##V3_BDPV12</stp>
        <stp>SSE LN Equity</stp>
        <stp>DV013</stp>
        <stp>[DPM - Securities Master List (BBG Linked).xlsx]Equities!R254C10</stp>
        <tr r="J254" s="2"/>
      </tp>
      <tp>
        <v>3.5810415894054684</v>
        <stp/>
        <stp>##V3_BDPV12</stp>
        <stp>SSE LN Equity</stp>
        <stp>DV013</stp>
        <stp>[DPM - Securities Master List (BBG Linked).xlsx]Equities!R257C10</stp>
        <tr r="J257" s="2"/>
      </tp>
      <tp>
        <v>3.5810415894054684</v>
        <stp/>
        <stp>##V3_BDPV12</stp>
        <stp>SSE LN Equity</stp>
        <stp>DV013</stp>
        <stp>[DPM - Securities Master List (BBG Linked).xlsx]Equities!R256C10</stp>
        <tr r="J256" s="2"/>
      </tp>
      <tp>
        <v>3.5810415894054684</v>
        <stp/>
        <stp>##V3_BDPV12</stp>
        <stp>SSE LN Equity</stp>
        <stp>DV013</stp>
        <stp>[DPM - Securities Master List (BBG Linked).xlsx]Equities!R249C10</stp>
        <tr r="J249" s="2"/>
      </tp>
      <tp>
        <v>3.5810415894054684</v>
        <stp/>
        <stp>##V3_BDPV12</stp>
        <stp>SSE LN Equity</stp>
        <stp>DV013</stp>
        <stp>[DPM - Securities Master List (BBG Linked).xlsx]Equities!R248C10</stp>
        <tr r="J248" s="2"/>
      </tp>
      <tp>
        <v>3.5810415894054684</v>
        <stp/>
        <stp>##V3_BDPV12</stp>
        <stp>SSE LN Equity</stp>
        <stp>DV013</stp>
        <stp>[DPM - Securities Master List (BBG Linked).xlsx]Equities!R244C10</stp>
        <tr r="J244" s="2"/>
      </tp>
      <tp>
        <v>3.5810415894054684</v>
        <stp/>
        <stp>##V3_BDPV12</stp>
        <stp>SSE LN Equity</stp>
        <stp>DV013</stp>
        <stp>[DPM - Securities Master List (BBG Linked).xlsx]Equities!R247C10</stp>
        <tr r="J247" s="2"/>
      </tp>
      <tp>
        <v>3.5810415894054684</v>
        <stp/>
        <stp>##V3_BDPV12</stp>
        <stp>SSE LN Equity</stp>
        <stp>DV013</stp>
        <stp>[DPM - Securities Master List (BBG Linked).xlsx]Equities!R246C10</stp>
        <tr r="J246" s="2"/>
      </tp>
      <tp>
        <v>2.746709803658788</v>
        <stp/>
        <stp>##V3_BDPV12</stp>
        <stp>DRX LN Equity</stp>
        <stp>RR908</stp>
        <stp>[DPM - Securities Master List (BBG Linked).xlsx]Equities!R117C32</stp>
        <tr r="AF117" s="2"/>
        <tr r="AF117" s="2"/>
        <tr r="AF117" s="2"/>
      </tp>
      <tp>
        <v>2.746709803658788</v>
        <stp/>
        <stp>##V3_BDPV12</stp>
        <stp>DRX LN Equity</stp>
        <stp>RR908</stp>
        <stp>[DPM - Securities Master List (BBG Linked).xlsx]Equities!R116C32</stp>
        <tr r="AF116" s="2"/>
        <tr r="AF116" s="2"/>
        <tr r="AF116" s="2"/>
      </tp>
      <tp>
        <v>2.746709803658788</v>
        <stp/>
        <stp>##V3_BDPV12</stp>
        <stp>DRX LN Equity</stp>
        <stp>RR908</stp>
        <stp>[DPM - Securities Master List (BBG Linked).xlsx]Equities!R119C32</stp>
        <tr r="AF119" s="2"/>
        <tr r="AF119" s="2"/>
        <tr r="AF119" s="2"/>
      </tp>
      <tp>
        <v>2.746709803658788</v>
        <stp/>
        <stp>##V3_BDPV12</stp>
        <stp>DRX LN Equity</stp>
        <stp>RR908</stp>
        <stp>[DPM - Securities Master List (BBG Linked).xlsx]Equities!R118C32</stp>
        <tr r="AF118" s="2"/>
        <tr r="AF118" s="2"/>
        <tr r="AF118" s="2"/>
      </tp>
      <tp>
        <v>2.746709803658788</v>
        <stp/>
        <stp>##V3_BDPV12</stp>
        <stp>DRX LN Equity</stp>
        <stp>RR908</stp>
        <stp>[DPM - Securities Master List (BBG Linked).xlsx]Equities!R124C32</stp>
        <tr r="AF124" s="2"/>
        <tr r="AF124" s="2"/>
        <tr r="AF124" s="2"/>
      </tp>
      <tp>
        <v>2.746709803658788</v>
        <stp/>
        <stp>##V3_BDPV12</stp>
        <stp>DRX LN Equity</stp>
        <stp>RR908</stp>
        <stp>[DPM - Securities Master List (BBG Linked).xlsx]Equities!R123C32</stp>
        <tr r="AF123" s="2"/>
        <tr r="AF123" s="2"/>
        <tr r="AF123" s="2"/>
      </tp>
      <tp>
        <v>2.746709803658788</v>
        <stp/>
        <stp>##V3_BDPV12</stp>
        <stp>DRX LN Equity</stp>
        <stp>RR908</stp>
        <stp>[DPM - Securities Master List (BBG Linked).xlsx]Equities!R122C32</stp>
        <tr r="AF122" s="2"/>
        <tr r="AF122" s="2"/>
        <tr r="AF122" s="2"/>
      </tp>
      <tp>
        <v>2.746709803658788</v>
        <stp/>
        <stp>##V3_BDPV12</stp>
        <stp>DRX LN Equity</stp>
        <stp>RR908</stp>
        <stp>[DPM - Securities Master List (BBG Linked).xlsx]Equities!R121C32</stp>
        <tr r="AF121" s="2"/>
        <tr r="AF121" s="2"/>
        <tr r="AF121" s="2"/>
      </tp>
      <tp>
        <v>2.746709803658788</v>
        <stp/>
        <stp>##V3_BDPV12</stp>
        <stp>DRX LN Equity</stp>
        <stp>RR908</stp>
        <stp>[DPM - Securities Master List (BBG Linked).xlsx]Equities!R120C32</stp>
        <tr r="AF120" s="2"/>
        <tr r="AF120" s="2"/>
        <tr r="AF120" s="2"/>
      </tp>
      <tp>
        <v>4</v>
        <stp/>
        <stp>##V3_BDPV12</stp>
        <stp>NVO US Equity</stp>
        <stp>TOT_HOLD_REC</stp>
        <stp>[DPM - Securities Master List (BBG Linked).xlsx]Equities!R225C35</stp>
        <tr r="AI225" s="2"/>
      </tp>
      <tp>
        <v>10.714733542319749</v>
        <stp/>
        <stp>##V3_BDPV12</stp>
        <stp>SSE LN Equity</stp>
        <stp>EE010</stp>
        <stp>[DPM - Securities Master List (BBG Linked).xlsx]Equities!R249C12</stp>
        <tr r="L249" s="2"/>
        <tr r="L249" s="2"/>
        <tr r="L249" s="2"/>
      </tp>
      <tp>
        <v>10.714733542319749</v>
        <stp/>
        <stp>##V3_BDPV12</stp>
        <stp>SSE LN Equity</stp>
        <stp>EE010</stp>
        <stp>[DPM - Securities Master List (BBG Linked).xlsx]Equities!R248C12</stp>
        <tr r="L248" s="2"/>
        <tr r="L248" s="2"/>
        <tr r="L248" s="2"/>
      </tp>
      <tp>
        <v>10.714733542319749</v>
        <stp/>
        <stp>##V3_BDPV12</stp>
        <stp>SSE LN Equity</stp>
        <stp>EE010</stp>
        <stp>[DPM - Securities Master List (BBG Linked).xlsx]Equities!R244C12</stp>
        <tr r="L244" s="2"/>
        <tr r="L244" s="2"/>
        <tr r="L244" s="2"/>
      </tp>
      <tp>
        <v>10.714733542319749</v>
        <stp/>
        <stp>##V3_BDPV12</stp>
        <stp>SSE LN Equity</stp>
        <stp>EE010</stp>
        <stp>[DPM - Securities Master List (BBG Linked).xlsx]Equities!R247C12</stp>
        <tr r="L247" s="2"/>
        <tr r="L247" s="2"/>
        <tr r="L247" s="2"/>
      </tp>
      <tp>
        <v>10.714733542319749</v>
        <stp/>
        <stp>##V3_BDPV12</stp>
        <stp>SSE LN Equity</stp>
        <stp>EE010</stp>
        <stp>[DPM - Securities Master List (BBG Linked).xlsx]Equities!R246C12</stp>
        <tr r="L246" s="2"/>
        <tr r="L246" s="2"/>
        <tr r="L246" s="2"/>
      </tp>
      <tp>
        <v>10.714733542319749</v>
        <stp/>
        <stp>##V3_BDPV12</stp>
        <stp>SSE LN Equity</stp>
        <stp>EE010</stp>
        <stp>[DPM - Securities Master List (BBG Linked).xlsx]Equities!R258C12</stp>
        <tr r="L258" s="2"/>
        <tr r="L258" s="2"/>
        <tr r="L258" s="2"/>
      </tp>
      <tp>
        <v>10.714733542319749</v>
        <stp/>
        <stp>##V3_BDPV12</stp>
        <stp>SSE LN Equity</stp>
        <stp>EE010</stp>
        <stp>[DPM - Securities Master List (BBG Linked).xlsx]Equities!R251C12</stp>
        <tr r="L251" s="2"/>
        <tr r="L251" s="2"/>
        <tr r="L251" s="2"/>
      </tp>
      <tp>
        <v>10.714733542319749</v>
        <stp/>
        <stp>##V3_BDPV12</stp>
        <stp>SSE LN Equity</stp>
        <stp>EE010</stp>
        <stp>[DPM - Securities Master List (BBG Linked).xlsx]Equities!R250C12</stp>
        <tr r="L250" s="2"/>
        <tr r="L250" s="2"/>
        <tr r="L250" s="2"/>
      </tp>
      <tp>
        <v>10.714733542319749</v>
        <stp/>
        <stp>##V3_BDPV12</stp>
        <stp>SSE LN Equity</stp>
        <stp>EE010</stp>
        <stp>[DPM - Securities Master List (BBG Linked).xlsx]Equities!R253C12</stp>
        <tr r="L253" s="2"/>
        <tr r="L253" s="2"/>
        <tr r="L253" s="2"/>
      </tp>
      <tp>
        <v>10.714733542319749</v>
        <stp/>
        <stp>##V3_BDPV12</stp>
        <stp>SSE LN Equity</stp>
        <stp>EE010</stp>
        <stp>[DPM - Securities Master List (BBG Linked).xlsx]Equities!R252C12</stp>
        <tr r="L252" s="2"/>
        <tr r="L252" s="2"/>
        <tr r="L252" s="2"/>
      </tp>
      <tp>
        <v>10.714733542319749</v>
        <stp/>
        <stp>##V3_BDPV12</stp>
        <stp>SSE LN Equity</stp>
        <stp>EE010</stp>
        <stp>[DPM - Securities Master List (BBG Linked).xlsx]Equities!R255C12</stp>
        <tr r="L255" s="2"/>
        <tr r="L255" s="2"/>
        <tr r="L255" s="2"/>
      </tp>
      <tp>
        <v>10.714733542319749</v>
        <stp/>
        <stp>##V3_BDPV12</stp>
        <stp>SSE LN Equity</stp>
        <stp>EE010</stp>
        <stp>[DPM - Securities Master List (BBG Linked).xlsx]Equities!R254C12</stp>
        <tr r="L254" s="2"/>
        <tr r="L254" s="2"/>
        <tr r="L254" s="2"/>
      </tp>
      <tp>
        <v>10.714733542319749</v>
        <stp/>
        <stp>##V3_BDPV12</stp>
        <stp>SSE LN Equity</stp>
        <stp>EE010</stp>
        <stp>[DPM - Securities Master List (BBG Linked).xlsx]Equities!R257C12</stp>
        <tr r="L257" s="2"/>
        <tr r="L257" s="2"/>
        <tr r="L257" s="2"/>
      </tp>
      <tp>
        <v>10.714733542319749</v>
        <stp/>
        <stp>##V3_BDPV12</stp>
        <stp>SSE LN Equity</stp>
        <stp>EE010</stp>
        <stp>[DPM - Securities Master List (BBG Linked).xlsx]Equities!R256C12</stp>
        <tr r="L256" s="2"/>
        <tr r="L256" s="2"/>
        <tr r="L256" s="2"/>
      </tp>
      <tp>
        <v>-17.637609999999999</v>
        <stp/>
        <stp>##V3_BDPV12</stp>
        <stp>DIS US Equity</stp>
        <stp>PR064</stp>
        <stp>[DPM - Securities Master List (BBG Linked).xlsx]Equities!R115C41</stp>
        <tr r="AO115" s="2"/>
      </tp>
      <tp>
        <v>-17.637609999999999</v>
        <stp/>
        <stp>##V3_BDPV12</stp>
        <stp>DIS US Equity</stp>
        <stp>PR064</stp>
        <stp>[DPM - Securities Master List (BBG Linked).xlsx]Equities!R114C41</stp>
        <tr r="AO114" s="2"/>
      </tp>
      <tp>
        <v>-17.637609999999999</v>
        <stp/>
        <stp>##V3_BDPV12</stp>
        <stp>DIS US Equity</stp>
        <stp>PR064</stp>
        <stp>[DPM - Securities Master List (BBG Linked).xlsx]Equities!R113C41</stp>
        <tr r="AO113" s="2"/>
      </tp>
      <tp>
        <v>-17.637609999999999</v>
        <stp/>
        <stp>##V3_BDPV12</stp>
        <stp>DIS US Equity</stp>
        <stp>PR064</stp>
        <stp>[DPM - Securities Master List (BBG Linked).xlsx]Equities!R112C41</stp>
        <tr r="AO112" s="2"/>
      </tp>
      <tp>
        <v>10.52317</v>
        <stp/>
        <stp>##V3_BDPV12</stp>
        <stp>DIS US Equity</stp>
        <stp>PR061</stp>
        <stp>[DPM - Securities Master List (BBG Linked).xlsx]Equities!R115C40</stp>
        <tr r="AN115" s="2"/>
      </tp>
      <tp>
        <v>10.52317</v>
        <stp/>
        <stp>##V3_BDPV12</stp>
        <stp>DIS US Equity</stp>
        <stp>PR061</stp>
        <stp>[DPM - Securities Master List (BBG Linked).xlsx]Equities!R114C40</stp>
        <tr r="AN114" s="2"/>
      </tp>
      <tp>
        <v>10.52317</v>
        <stp/>
        <stp>##V3_BDPV12</stp>
        <stp>DIS US Equity</stp>
        <stp>PR061</stp>
        <stp>[DPM - Securities Master List (BBG Linked).xlsx]Equities!R113C40</stp>
        <tr r="AN113" s="2"/>
      </tp>
      <tp>
        <v>10.52317</v>
        <stp/>
        <stp>##V3_BDPV12</stp>
        <stp>DIS US Equity</stp>
        <stp>PR061</stp>
        <stp>[DPM - Securities Master List (BBG Linked).xlsx]Equities!R112C40</stp>
        <tr r="AN112" s="2"/>
      </tp>
      <tp>
        <v>1.0704806310475139</v>
        <stp/>
        <stp>##V3_BDPV12</stp>
        <stp>DRX LN Equity</stp>
        <stp>RR903</stp>
        <stp>[DPM - Securities Master List (BBG Linked).xlsx]Equities!R117C13</stp>
        <tr r="M117" s="2"/>
        <tr r="M117" s="2"/>
        <tr r="M117" s="2"/>
      </tp>
      <tp>
        <v>1.0704806310475139</v>
        <stp/>
        <stp>##V3_BDPV12</stp>
        <stp>DRX LN Equity</stp>
        <stp>RR903</stp>
        <stp>[DPM - Securities Master List (BBG Linked).xlsx]Equities!R116C13</stp>
        <tr r="M116" s="2"/>
        <tr r="M116" s="2"/>
        <tr r="M116" s="2"/>
      </tp>
      <tp>
        <v>1.0704806310475139</v>
        <stp/>
        <stp>##V3_BDPV12</stp>
        <stp>DRX LN Equity</stp>
        <stp>RR903</stp>
        <stp>[DPM - Securities Master List (BBG Linked).xlsx]Equities!R119C13</stp>
        <tr r="M119" s="2"/>
        <tr r="M119" s="2"/>
        <tr r="M119" s="2"/>
      </tp>
      <tp>
        <v>1.0704806310475139</v>
        <stp/>
        <stp>##V3_BDPV12</stp>
        <stp>DRX LN Equity</stp>
        <stp>RR903</stp>
        <stp>[DPM - Securities Master List (BBG Linked).xlsx]Equities!R118C13</stp>
        <tr r="M118" s="2"/>
        <tr r="M118" s="2"/>
        <tr r="M118" s="2"/>
      </tp>
      <tp>
        <v>1.0704806310475139</v>
        <stp/>
        <stp>##V3_BDPV12</stp>
        <stp>DRX LN Equity</stp>
        <stp>RR903</stp>
        <stp>[DPM - Securities Master List (BBG Linked).xlsx]Equities!R124C13</stp>
        <tr r="M124" s="2"/>
        <tr r="M124" s="2"/>
        <tr r="M124" s="2"/>
      </tp>
      <tp>
        <v>1.0704806310475139</v>
        <stp/>
        <stp>##V3_BDPV12</stp>
        <stp>DRX LN Equity</stp>
        <stp>RR903</stp>
        <stp>[DPM - Securities Master List (BBG Linked).xlsx]Equities!R123C13</stp>
        <tr r="M123" s="2"/>
        <tr r="M123" s="2"/>
        <tr r="M123" s="2"/>
      </tp>
      <tp>
        <v>1.0704806310475139</v>
        <stp/>
        <stp>##V3_BDPV12</stp>
        <stp>DRX LN Equity</stp>
        <stp>RR903</stp>
        <stp>[DPM - Securities Master List (BBG Linked).xlsx]Equities!R122C13</stp>
        <tr r="M122" s="2"/>
        <tr r="M122" s="2"/>
        <tr r="M122" s="2"/>
      </tp>
      <tp>
        <v>1.0704806310475139</v>
        <stp/>
        <stp>##V3_BDPV12</stp>
        <stp>DRX LN Equity</stp>
        <stp>RR903</stp>
        <stp>[DPM - Securities Master List (BBG Linked).xlsx]Equities!R121C13</stp>
        <tr r="M121" s="2"/>
        <tr r="M121" s="2"/>
        <tr r="M121" s="2"/>
      </tp>
      <tp>
        <v>1.0704806310475139</v>
        <stp/>
        <stp>##V3_BDPV12</stp>
        <stp>DRX LN Equity</stp>
        <stp>RR903</stp>
        <stp>[DPM - Securities Master List (BBG Linked).xlsx]Equities!R120C13</stp>
        <tr r="M120" s="2"/>
        <tr r="M120" s="2"/>
        <tr r="M120" s="2"/>
      </tp>
      <tp>
        <v>2</v>
        <stp/>
        <stp>##V3_BDPV12</stp>
        <stp>NVO US Equity</stp>
        <stp>TOT_SELL_REC</stp>
        <stp>[DPM - Securities Master List (BBG Linked).xlsx]Equities!R225C36</stp>
        <tr r="AJ225" s="2"/>
      </tp>
      <tp>
        <v>4.4996629807079227</v>
        <stp/>
        <stp>##V3_BDPV12</stp>
        <stp>DRX LN Equity</stp>
        <stp>RR900</stp>
        <stp>[DPM - Securities Master List (BBG Linked).xlsx]Equities!R124C11</stp>
        <tr r="K124" s="2"/>
        <tr r="K124" s="2"/>
        <tr r="K124" s="2"/>
      </tp>
      <tp>
        <v>4.4996629807079227</v>
        <stp/>
        <stp>##V3_BDPV12</stp>
        <stp>DRX LN Equity</stp>
        <stp>RR900</stp>
        <stp>[DPM - Securities Master List (BBG Linked).xlsx]Equities!R123C11</stp>
        <tr r="K123" s="2"/>
        <tr r="K123" s="2"/>
        <tr r="K123" s="2"/>
      </tp>
      <tp>
        <v>4.4996629807079227</v>
        <stp/>
        <stp>##V3_BDPV12</stp>
        <stp>DRX LN Equity</stp>
        <stp>RR900</stp>
        <stp>[DPM - Securities Master List (BBG Linked).xlsx]Equities!R122C11</stp>
        <tr r="K122" s="2"/>
        <tr r="K122" s="2"/>
        <tr r="K122" s="2"/>
      </tp>
      <tp>
        <v>4.4996629807079227</v>
        <stp/>
        <stp>##V3_BDPV12</stp>
        <stp>DRX LN Equity</stp>
        <stp>RR900</stp>
        <stp>[DPM - Securities Master List (BBG Linked).xlsx]Equities!R121C11</stp>
        <tr r="K121" s="2"/>
        <tr r="K121" s="2"/>
        <tr r="K121" s="2"/>
      </tp>
      <tp>
        <v>4.4996629807079227</v>
        <stp/>
        <stp>##V3_BDPV12</stp>
        <stp>DRX LN Equity</stp>
        <stp>RR900</stp>
        <stp>[DPM - Securities Master List (BBG Linked).xlsx]Equities!R120C11</stp>
        <tr r="K120" s="2"/>
        <tr r="K120" s="2"/>
        <tr r="K120" s="2"/>
      </tp>
      <tp>
        <v>4.4996629807079227</v>
        <stp/>
        <stp>##V3_BDPV12</stp>
        <stp>DRX LN Equity</stp>
        <stp>RR900</stp>
        <stp>[DPM - Securities Master List (BBG Linked).xlsx]Equities!R117C11</stp>
        <tr r="K117" s="2"/>
        <tr r="K117" s="2"/>
        <tr r="K117" s="2"/>
      </tp>
      <tp>
        <v>4.4996629807079227</v>
        <stp/>
        <stp>##V3_BDPV12</stp>
        <stp>DRX LN Equity</stp>
        <stp>RR900</stp>
        <stp>[DPM - Securities Master List (BBG Linked).xlsx]Equities!R116C11</stp>
        <tr r="K116" s="2"/>
        <tr r="K116" s="2"/>
        <tr r="K116" s="2"/>
      </tp>
      <tp>
        <v>4.4996629807079227</v>
        <stp/>
        <stp>##V3_BDPV12</stp>
        <stp>DRX LN Equity</stp>
        <stp>RR900</stp>
        <stp>[DPM - Securities Master List (BBG Linked).xlsx]Equities!R119C11</stp>
        <tr r="K119" s="2"/>
        <tr r="K119" s="2"/>
        <tr r="K119" s="2"/>
      </tp>
      <tp>
        <v>4.4996629807079227</v>
        <stp/>
        <stp>##V3_BDPV12</stp>
        <stp>DRX LN Equity</stp>
        <stp>RR900</stp>
        <stp>[DPM - Securities Master List (BBG Linked).xlsx]Equities!R118C11</stp>
        <tr r="K118" s="2"/>
        <tr r="K118" s="2"/>
        <tr r="K118" s="2"/>
      </tp>
      <tp>
        <v>4.2862080884894569</v>
        <stp/>
        <stp>##V3_BDPV12</stp>
        <stp>GSK LN Equity</stp>
        <stp>DV013</stp>
        <stp>[DPM - Securities Master List (BBG Linked).xlsx]Equities!R145C10</stp>
        <tr r="J145" s="2"/>
      </tp>
      <tp>
        <v>4.2862080884894569</v>
        <stp/>
        <stp>##V3_BDPV12</stp>
        <stp>GSK LN Equity</stp>
        <stp>DV013</stp>
        <stp>[DPM - Securities Master List (BBG Linked).xlsx]Equities!R144C10</stp>
        <tr r="J144" s="2"/>
      </tp>
      <tp>
        <v>4.2862080884894569</v>
        <stp/>
        <stp>##V3_BDPV12</stp>
        <stp>GSK LN Equity</stp>
        <stp>DV013</stp>
        <stp>[DPM - Securities Master List (BBG Linked).xlsx]Equities!R143C10</stp>
        <tr r="J143" s="2"/>
      </tp>
      <tp>
        <v>4.2862080884894569</v>
        <stp/>
        <stp>##V3_BDPV12</stp>
        <stp>GSK LN Equity</stp>
        <stp>DV013</stp>
        <stp>[DPM - Securities Master List (BBG Linked).xlsx]Equities!R142C10</stp>
        <tr r="J142" s="2"/>
      </tp>
      <tp>
        <v>7.8486163863266416</v>
        <stp/>
        <stp>##V3_BDPV12</stp>
        <stp>GSK LN Equity</stp>
        <stp>EE010</stp>
        <stp>[DPM - Securities Master List (BBG Linked).xlsx]Equities!R145C12</stp>
        <tr r="L145" s="2"/>
        <tr r="L145" s="2"/>
        <tr r="L145" s="2"/>
      </tp>
      <tp>
        <v>7.8486163863266416</v>
        <stp/>
        <stp>##V3_BDPV12</stp>
        <stp>GSK LN Equity</stp>
        <stp>EE010</stp>
        <stp>[DPM - Securities Master List (BBG Linked).xlsx]Equities!R144C12</stp>
        <tr r="L144" s="2"/>
        <tr r="L144" s="2"/>
        <tr r="L144" s="2"/>
      </tp>
      <tp>
        <v>7.8486163863266416</v>
        <stp/>
        <stp>##V3_BDPV12</stp>
        <stp>GSK LN Equity</stp>
        <stp>EE010</stp>
        <stp>[DPM - Securities Master List (BBG Linked).xlsx]Equities!R143C12</stp>
        <tr r="L143" s="2"/>
        <tr r="L143" s="2"/>
        <tr r="L143" s="2"/>
      </tp>
      <tp>
        <v>7.8486163863266416</v>
        <stp/>
        <stp>##V3_BDPV12</stp>
        <stp>GSK LN Equity</stp>
        <stp>EE010</stp>
        <stp>[DPM - Securities Master List (BBG Linked).xlsx]Equities!R142C12</stp>
        <tr r="L142" s="2"/>
        <tr r="L142" s="2"/>
        <tr r="L142" s="2"/>
      </tp>
      <tp t="s">
        <v>Nestle SA</v>
        <stp/>
        <stp>##V3_BDPV12</stp>
        <stp>NESN SW Equity</stp>
        <stp>SECURITY NAME</stp>
        <stp>[DPM - Securities Master List (BBG Linked).xlsx]Equities!R199C5</stp>
        <tr r="E199" s="2"/>
      </tp>
      <tp t="s">
        <v>Tesco PLC</v>
        <stp/>
        <stp>##V3_BDPV12</stp>
        <stp>TSCO LN Equity</stp>
        <stp>SECURITY NAME</stp>
        <stp>[DPM - Securities Master List (BBG Linked).xlsx]Equities!R270C5</stp>
        <tr r="E270" s="2"/>
      </tp>
      <tp t="s">
        <v>USD</v>
        <stp/>
        <stp>##V3_BDPV12</stp>
        <stp>NVDA US Equity</stp>
        <stp>CRNCY</stp>
        <stp>[DPM - Securities Master List (BBG Linked).xlsx]Equities!R224C6</stp>
        <tr r="F224" s="2"/>
      </tp>
      <tp t="s">
        <v>USD</v>
        <stp/>
        <stp>##V3_BDPV12</stp>
        <stp>MSFT US Equity</stp>
        <stp>CRNCY</stp>
        <stp>[DPM - Securities Master List (BBG Linked).xlsx]Equities!R171C6</stp>
        <tr r="F171" s="2"/>
      </tp>
      <tp t="s">
        <v>USD</v>
        <stp/>
        <stp>##V3_BDPV12</stp>
        <stp>MSFT US Equity</stp>
        <stp>CRNCY</stp>
        <stp>[DPM - Securities Master List (BBG Linked).xlsx]Equities!R181C6</stp>
        <tr r="F181" s="2"/>
      </tp>
      <tp t="s">
        <v>Barrick Gold Corp</v>
        <stp/>
        <stp>##V3_BDPV12</stp>
        <stp>GOLD US Equity</stp>
        <stp>SECURITY NAME</stp>
        <stp>[DPM - Securities Master List (BBG Linked).xlsx]Equities!R125C5</stp>
        <tr r="E125" s="2"/>
      </tp>
      <tp>
        <v>8</v>
        <stp/>
        <stp>##V3_BDPV12</stp>
        <stp>VOW3 GY Equity</stp>
        <stp>TOT_HOLD_REC</stp>
        <stp>[DPM - Securities Master List (BBG Linked).xlsx]Equities!R293C35</stp>
        <tr r="AI293" s="2"/>
      </tp>
      <tp>
        <v>8</v>
        <stp/>
        <stp>##V3_BDPV12</stp>
        <stp>VOW3 GY Equity</stp>
        <stp>TOT_HOLD_REC</stp>
        <stp>[DPM - Securities Master List (BBG Linked).xlsx]Equities!R292C35</stp>
        <tr r="AI292" s="2"/>
      </tp>
      <tp>
        <v>8</v>
        <stp/>
        <stp>##V3_BDPV12</stp>
        <stp>VOW3 GY Equity</stp>
        <stp>TOT_HOLD_REC</stp>
        <stp>[DPM - Securities Master List (BBG Linked).xlsx]Equities!R291C35</stp>
        <tr r="AI291" s="2"/>
      </tp>
      <tp>
        <v>8</v>
        <stp/>
        <stp>##V3_BDPV12</stp>
        <stp>VOW3 GY Equity</stp>
        <stp>TOT_HOLD_REC</stp>
        <stp>[DPM - Securities Master List (BBG Linked).xlsx]Equities!R290C35</stp>
        <tr r="AI290" s="2"/>
      </tp>
      <tp>
        <v>8</v>
        <stp/>
        <stp>##V3_BDPV12</stp>
        <stp>VOW3 GY Equity</stp>
        <stp>TOT_HOLD_REC</stp>
        <stp>[DPM - Securities Master List (BBG Linked).xlsx]Equities!R289C35</stp>
        <tr r="AI289" s="2"/>
      </tp>
      <tp>
        <v>5.640536</v>
        <stp/>
        <stp>##V3_BDPV12</stp>
        <stp>XS2907977131 isin</stp>
        <stp>YAS_BOND_YLD</stp>
        <stp>[DPM - Securities Master List (BBG Linked).xlsx]Bonds!R12C10</stp>
        <stp>YAS_YLD_FLAG=15</stp>
        <stp>user_local_trade_date</stp>
        <stp>45783</stp>
        <stp>Yas_bond_px</stp>
        <stp>97.915999999999997</stp>
        <tr r="J12" s="1"/>
      </tp>
      <tp>
        <v>1</v>
        <stp/>
        <stp>##V3_BDPV12</stp>
        <stp>VOW3 GY Equity</stp>
        <stp>TOT_SELL_REC</stp>
        <stp>[DPM - Securities Master List (BBG Linked).xlsx]Equities!R291C36</stp>
        <tr r="AJ291" s="2"/>
      </tp>
      <tp>
        <v>1</v>
        <stp/>
        <stp>##V3_BDPV12</stp>
        <stp>VOW3 GY Equity</stp>
        <stp>TOT_SELL_REC</stp>
        <stp>[DPM - Securities Master List (BBG Linked).xlsx]Equities!R290C36</stp>
        <tr r="AJ290" s="2"/>
      </tp>
      <tp>
        <v>1</v>
        <stp/>
        <stp>##V3_BDPV12</stp>
        <stp>VOW3 GY Equity</stp>
        <stp>TOT_SELL_REC</stp>
        <stp>[DPM - Securities Master List (BBG Linked).xlsx]Equities!R293C36</stp>
        <tr r="AJ293" s="2"/>
      </tp>
      <tp>
        <v>1</v>
        <stp/>
        <stp>##V3_BDPV12</stp>
        <stp>VOW3 GY Equity</stp>
        <stp>TOT_SELL_REC</stp>
        <stp>[DPM - Securities Master List (BBG Linked).xlsx]Equities!R292C36</stp>
        <tr r="AJ292" s="2"/>
      </tp>
      <tp>
        <v>1</v>
        <stp/>
        <stp>##V3_BDPV12</stp>
        <stp>VOW3 GY Equity</stp>
        <stp>TOT_SELL_REC</stp>
        <stp>[DPM - Securities Master List (BBG Linked).xlsx]Equities!R289C36</stp>
        <tr r="AJ289" s="2"/>
      </tp>
      <tp t="s">
        <v>US8447411088</v>
        <stp/>
        <stp>##V3_BDPV12</stp>
        <stp>LUV US Equity</stp>
        <stp>ID_ISIN</stp>
        <stp>[DPM - Securities Master List (BBG Linked).xlsx]Equities!R154C55</stp>
        <tr r="BC154" s="2"/>
      </tp>
      <tp t="s">
        <v>IE00BTN1Y115</v>
        <stp/>
        <stp>##V3_BDPV12</stp>
        <stp>MDT US Equity</stp>
        <stp>ID_ISIN</stp>
        <stp>[DPM - Securities Master List (BBG Linked).xlsx]Equities!R155C55</stp>
        <tr r="BC155" s="2"/>
      </tp>
      <tp t="s">
        <v>US58933Y1055</v>
        <stp/>
        <stp>##V3_BDPV12</stp>
        <stp>MRK US Equity</stp>
        <stp>ID_ISIN</stp>
        <stp>[DPM - Securities Master List (BBG Linked).xlsx]Equities!R168C55</stp>
        <tr r="BC168" s="2"/>
      </tp>
      <tp t="s">
        <v>US58933Y1055</v>
        <stp/>
        <stp>##V3_BDPV12</stp>
        <stp>MRK US Equity</stp>
        <stp>ID_ISIN</stp>
        <stp>[DPM - Securities Master List (BBG Linked).xlsx]Equities!R169C55</stp>
        <tr r="BC169" s="2"/>
      </tp>
      <tp t="s">
        <v>US58933Y1055</v>
        <stp/>
        <stp>##V3_BDPV12</stp>
        <stp>MRK US Equity</stp>
        <stp>ID_ISIN</stp>
        <stp>[DPM - Securities Master List (BBG Linked).xlsx]Equities!R160C55</stp>
        <tr r="BC160" s="2"/>
      </tp>
      <tp t="s">
        <v>US58933Y1055</v>
        <stp/>
        <stp>##V3_BDPV12</stp>
        <stp>MRK US Equity</stp>
        <stp>ID_ISIN</stp>
        <stp>[DPM - Securities Master List (BBG Linked).xlsx]Equities!R161C55</stp>
        <tr r="BC161" s="2"/>
      </tp>
      <tp t="s">
        <v>US58933Y1055</v>
        <stp/>
        <stp>##V3_BDPV12</stp>
        <stp>MRK US Equity</stp>
        <stp>ID_ISIN</stp>
        <stp>[DPM - Securities Master List (BBG Linked).xlsx]Equities!R162C55</stp>
        <tr r="BC162" s="2"/>
      </tp>
      <tp t="s">
        <v>US58933Y1055</v>
        <stp/>
        <stp>##V3_BDPV12</stp>
        <stp>MRK US Equity</stp>
        <stp>ID_ISIN</stp>
        <stp>[DPM - Securities Master List (BBG Linked).xlsx]Equities!R163C55</stp>
        <tr r="BC163" s="2"/>
      </tp>
      <tp t="s">
        <v>US58933Y1055</v>
        <stp/>
        <stp>##V3_BDPV12</stp>
        <stp>MRK US Equity</stp>
        <stp>ID_ISIN</stp>
        <stp>[DPM - Securities Master List (BBG Linked).xlsx]Equities!R164C55</stp>
        <tr r="BC164" s="2"/>
      </tp>
      <tp t="s">
        <v>US58933Y1055</v>
        <stp/>
        <stp>##V3_BDPV12</stp>
        <stp>MRK US Equity</stp>
        <stp>ID_ISIN</stp>
        <stp>[DPM - Securities Master List (BBG Linked).xlsx]Equities!R165C55</stp>
        <tr r="BC165" s="2"/>
      </tp>
      <tp t="s">
        <v>US58933Y1055</v>
        <stp/>
        <stp>##V3_BDPV12</stp>
        <stp>MRK US Equity</stp>
        <stp>ID_ISIN</stp>
        <stp>[DPM - Securities Master List (BBG Linked).xlsx]Equities!R166C55</stp>
        <tr r="BC166" s="2"/>
      </tp>
      <tp t="s">
        <v>US58933Y1055</v>
        <stp/>
        <stp>##V3_BDPV12</stp>
        <stp>MRK US Equity</stp>
        <stp>ID_ISIN</stp>
        <stp>[DPM - Securities Master List (BBG Linked).xlsx]Equities!R167C55</stp>
        <tr r="BC167" s="2"/>
      </tp>
      <tp t="s">
        <v>US58933Y1055</v>
        <stp/>
        <stp>##V3_BDPV12</stp>
        <stp>MRK US Equity</stp>
        <stp>ID_ISIN</stp>
        <stp>[DPM - Securities Master List (BBG Linked).xlsx]Equities!R158C55</stp>
        <tr r="BC158" s="2"/>
      </tp>
      <tp t="s">
        <v>US58933Y1055</v>
        <stp/>
        <stp>##V3_BDPV12</stp>
        <stp>MRK US Equity</stp>
        <stp>ID_ISIN</stp>
        <stp>[DPM - Securities Master List (BBG Linked).xlsx]Equities!R159C55</stp>
        <tr r="BC159" s="2"/>
      </tp>
      <tp t="s">
        <v>US58933Y1055</v>
        <stp/>
        <stp>##V3_BDPV12</stp>
        <stp>MRK US Equity</stp>
        <stp>ID_ISIN</stp>
        <stp>[DPM - Securities Master List (BBG Linked).xlsx]Equities!R157C55</stp>
        <tr r="BC157" s="2"/>
      </tp>
      <tp t="s">
        <v>Zimmer Biomet Holdings Inc</v>
        <stp/>
        <stp>##V3_BDPV12</stp>
        <stp>ZBH US Equity</stp>
        <stp>SECURITY NAME</stp>
        <stp>[DPM - Securities Master List (BBG Linked).xlsx]Equities!R302C5</stp>
        <tr r="E302" s="2"/>
      </tp>
      <tp t="s">
        <v>Newmont Corp</v>
        <stp/>
        <stp>##V3_BDPV12</stp>
        <stp>NEM AT Equity</stp>
        <stp>SECURITY NAME</stp>
        <stp>[DPM - Securities Master List (BBG Linked).xlsx]Equities!R192C5</stp>
        <tr r="E192" s="2"/>
      </tp>
      <tp t="s">
        <v>USD</v>
        <stp/>
        <stp>##V3_BDPV12</stp>
        <stp>DIS US Equity</stp>
        <stp>CRNCY</stp>
        <stp>[DPM - Securities Master List (BBG Linked).xlsx]Equities!R114C6</stp>
        <tr r="F114" s="2"/>
      </tp>
      <tp t="s">
        <v>Kering SA</v>
        <stp/>
        <stp>##V3_BDPV12</stp>
        <stp>KER FP Equity</stp>
        <stp>SECURITY NAME</stp>
        <stp>[DPM - Securities Master List (BBG Linked).xlsx]Equities!R150C5</stp>
        <tr r="E150" s="2"/>
      </tp>
      <tp t="s">
        <v>PepsiCo Inc</v>
        <stp/>
        <stp>##V3_BDPV12</stp>
        <stp>PEP US Equity</stp>
        <stp>SECURITY NAME</stp>
        <stp>[DPM - Securities Master List (BBG Linked).xlsx]Equities!R228C5</stp>
        <tr r="E228" s="2"/>
      </tp>
      <tp>
        <v>1242.5</v>
        <stp/>
        <stp>##V3_BDPV12</stp>
        <stp>GSK LN Equity</stp>
        <stp>hs002</stp>
        <stp>[DPM - Securities Master List (BBG Linked).xlsx]Equities!R145C45</stp>
        <tr r="AS145" s="2"/>
      </tp>
      <tp>
        <v>1242.5</v>
        <stp/>
        <stp>##V3_BDPV12</stp>
        <stp>GSK LN Equity</stp>
        <stp>hs002</stp>
        <stp>[DPM - Securities Master List (BBG Linked).xlsx]Equities!R144C45</stp>
        <tr r="AS144" s="2"/>
      </tp>
      <tp>
        <v>1242.5</v>
        <stp/>
        <stp>##V3_BDPV12</stp>
        <stp>GSK LN Equity</stp>
        <stp>hs002</stp>
        <stp>[DPM - Securities Master List (BBG Linked).xlsx]Equities!R143C45</stp>
        <tr r="AS143" s="2"/>
      </tp>
      <tp>
        <v>1242.5</v>
        <stp/>
        <stp>##V3_BDPV12</stp>
        <stp>GSK LN Equity</stp>
        <stp>hs002</stp>
        <stp>[DPM - Securities Master List (BBG Linked).xlsx]Equities!R142C45</stp>
        <tr r="AS142" s="2"/>
      </tp>
      <tp>
        <v>1820</v>
        <stp/>
        <stp>##V3_BDPV12</stp>
        <stp>GSK LN Equity</stp>
        <stp>hs001</stp>
        <stp>[DPM - Securities Master List (BBG Linked).xlsx]Equities!R145C44</stp>
        <tr r="AR145" s="2"/>
      </tp>
      <tp>
        <v>1820</v>
        <stp/>
        <stp>##V3_BDPV12</stp>
        <stp>GSK LN Equity</stp>
        <stp>hs001</stp>
        <stp>[DPM - Securities Master List (BBG Linked).xlsx]Equities!R144C44</stp>
        <tr r="AR144" s="2"/>
      </tp>
      <tp>
        <v>1820</v>
        <stp/>
        <stp>##V3_BDPV12</stp>
        <stp>GSK LN Equity</stp>
        <stp>hs001</stp>
        <stp>[DPM - Securities Master List (BBG Linked).xlsx]Equities!R143C44</stp>
        <tr r="AR143" s="2"/>
      </tp>
      <tp>
        <v>1820</v>
        <stp/>
        <stp>##V3_BDPV12</stp>
        <stp>GSK LN Equity</stp>
        <stp>hs001</stp>
        <stp>[DPM - Securities Master List (BBG Linked).xlsx]Equities!R142C44</stp>
        <tr r="AR142" s="2"/>
      </tp>
      <tp t="s">
        <v>FR0000121485</v>
        <stp/>
        <stp>##V3_BDPV12</stp>
        <stp>KER FP Equity</stp>
        <stp>ID_ISIN</stp>
        <stp>[DPM - Securities Master List (BBG Linked).xlsx]Equities!R153C55</stp>
        <tr r="BC153" s="2"/>
      </tp>
      <tp t="s">
        <v>EUR</v>
        <stp/>
        <stp>##V3_BDPV12</stp>
        <stp>TTE FP Equity</stp>
        <stp>CRNCY</stp>
        <stp>[DPM - Securities Master List (BBG Linked).xlsx]Equities!R287C6</stp>
        <tr r="F287" s="2"/>
      </tp>
      <tp t="s">
        <v>EUR</v>
        <stp/>
        <stp>##V3_BDPV12</stp>
        <stp>TTE FP Equity</stp>
        <stp>CRNCY</stp>
        <stp>[DPM - Securities Master List (BBG Linked).xlsx]Equities!R277C6</stp>
        <tr r="F277" s="2"/>
      </tp>
      <tp>
        <v>1447.5</v>
        <stp/>
        <stp>##V3_BDPV12</stp>
        <stp>SSE LN Equity</stp>
        <stp>hs002</stp>
        <stp>[DPM - Securities Master List (BBG Linked).xlsx]Equities!R258C45</stp>
        <tr r="AS258" s="2"/>
      </tp>
      <tp>
        <v>1447.5</v>
        <stp/>
        <stp>##V3_BDPV12</stp>
        <stp>SSE LN Equity</stp>
        <stp>hs002</stp>
        <stp>[DPM - Securities Master List (BBG Linked).xlsx]Equities!R251C45</stp>
        <tr r="AS251" s="2"/>
      </tp>
      <tp>
        <v>1447.5</v>
        <stp/>
        <stp>##V3_BDPV12</stp>
        <stp>SSE LN Equity</stp>
        <stp>hs002</stp>
        <stp>[DPM - Securities Master List (BBG Linked).xlsx]Equities!R250C45</stp>
        <tr r="AS250" s="2"/>
      </tp>
      <tp>
        <v>1447.5</v>
        <stp/>
        <stp>##V3_BDPV12</stp>
        <stp>SSE LN Equity</stp>
        <stp>hs002</stp>
        <stp>[DPM - Securities Master List (BBG Linked).xlsx]Equities!R253C45</stp>
        <tr r="AS253" s="2"/>
      </tp>
      <tp>
        <v>1447.5</v>
        <stp/>
        <stp>##V3_BDPV12</stp>
        <stp>SSE LN Equity</stp>
        <stp>hs002</stp>
        <stp>[DPM - Securities Master List (BBG Linked).xlsx]Equities!R252C45</stp>
        <tr r="AS252" s="2"/>
      </tp>
      <tp>
        <v>1447.5</v>
        <stp/>
        <stp>##V3_BDPV12</stp>
        <stp>SSE LN Equity</stp>
        <stp>hs002</stp>
        <stp>[DPM - Securities Master List (BBG Linked).xlsx]Equities!R255C45</stp>
        <tr r="AS255" s="2"/>
      </tp>
      <tp>
        <v>1447.5</v>
        <stp/>
        <stp>##V3_BDPV12</stp>
        <stp>SSE LN Equity</stp>
        <stp>hs002</stp>
        <stp>[DPM - Securities Master List (BBG Linked).xlsx]Equities!R254C45</stp>
        <tr r="AS254" s="2"/>
      </tp>
      <tp>
        <v>1447.5</v>
        <stp/>
        <stp>##V3_BDPV12</stp>
        <stp>SSE LN Equity</stp>
        <stp>hs002</stp>
        <stp>[DPM - Securities Master List (BBG Linked).xlsx]Equities!R257C45</stp>
        <tr r="AS257" s="2"/>
      </tp>
      <tp>
        <v>1447.5</v>
        <stp/>
        <stp>##V3_BDPV12</stp>
        <stp>SSE LN Equity</stp>
        <stp>hs002</stp>
        <stp>[DPM - Securities Master List (BBG Linked).xlsx]Equities!R256C45</stp>
        <tr r="AS256" s="2"/>
      </tp>
      <tp>
        <v>1447.5</v>
        <stp/>
        <stp>##V3_BDPV12</stp>
        <stp>SSE LN Equity</stp>
        <stp>hs002</stp>
        <stp>[DPM - Securities Master List (BBG Linked).xlsx]Equities!R249C45</stp>
        <tr r="AS249" s="2"/>
      </tp>
      <tp>
        <v>1447.5</v>
        <stp/>
        <stp>##V3_BDPV12</stp>
        <stp>SSE LN Equity</stp>
        <stp>hs002</stp>
        <stp>[DPM - Securities Master List (BBG Linked).xlsx]Equities!R248C45</stp>
        <tr r="AS248" s="2"/>
      </tp>
      <tp>
        <v>1447.5</v>
        <stp/>
        <stp>##V3_BDPV12</stp>
        <stp>SSE LN Equity</stp>
        <stp>hs002</stp>
        <stp>[DPM - Securities Master List (BBG Linked).xlsx]Equities!R245C45</stp>
        <tr r="AS245" s="2"/>
      </tp>
      <tp>
        <v>1447.5</v>
        <stp/>
        <stp>##V3_BDPV12</stp>
        <stp>SSE LN Equity</stp>
        <stp>hs002</stp>
        <stp>[DPM - Securities Master List (BBG Linked).xlsx]Equities!R244C45</stp>
        <tr r="AS244" s="2"/>
      </tp>
      <tp>
        <v>1447.5</v>
        <stp/>
        <stp>##V3_BDPV12</stp>
        <stp>SSE LN Equity</stp>
        <stp>hs002</stp>
        <stp>[DPM - Securities Master List (BBG Linked).xlsx]Equities!R247C45</stp>
        <tr r="AS247" s="2"/>
      </tp>
      <tp>
        <v>1447.5</v>
        <stp/>
        <stp>##V3_BDPV12</stp>
        <stp>SSE LN Equity</stp>
        <stp>hs002</stp>
        <stp>[DPM - Securities Master List (BBG Linked).xlsx]Equities!R246C45</stp>
        <tr r="AS246" s="2"/>
      </tp>
      <tp>
        <v>2019</v>
        <stp/>
        <stp>##V3_BDPV12</stp>
        <stp>SSE LN Equity</stp>
        <stp>hs001</stp>
        <stp>[DPM - Securities Master List (BBG Linked).xlsx]Equities!R249C44</stp>
        <tr r="AR249" s="2"/>
      </tp>
      <tp>
        <v>2019</v>
        <stp/>
        <stp>##V3_BDPV12</stp>
        <stp>SSE LN Equity</stp>
        <stp>hs001</stp>
        <stp>[DPM - Securities Master List (BBG Linked).xlsx]Equities!R248C44</stp>
        <tr r="AR248" s="2"/>
      </tp>
      <tp>
        <v>2019</v>
        <stp/>
        <stp>##V3_BDPV12</stp>
        <stp>SSE LN Equity</stp>
        <stp>hs001</stp>
        <stp>[DPM - Securities Master List (BBG Linked).xlsx]Equities!R245C44</stp>
        <tr r="AR245" s="2"/>
      </tp>
      <tp>
        <v>2019</v>
        <stp/>
        <stp>##V3_BDPV12</stp>
        <stp>SSE LN Equity</stp>
        <stp>hs001</stp>
        <stp>[DPM - Securities Master List (BBG Linked).xlsx]Equities!R244C44</stp>
        <tr r="AR244" s="2"/>
      </tp>
      <tp>
        <v>2019</v>
        <stp/>
        <stp>##V3_BDPV12</stp>
        <stp>SSE LN Equity</stp>
        <stp>hs001</stp>
        <stp>[DPM - Securities Master List (BBG Linked).xlsx]Equities!R247C44</stp>
        <tr r="AR247" s="2"/>
      </tp>
      <tp>
        <v>2019</v>
        <stp/>
        <stp>##V3_BDPV12</stp>
        <stp>SSE LN Equity</stp>
        <stp>hs001</stp>
        <stp>[DPM - Securities Master List (BBG Linked).xlsx]Equities!R246C44</stp>
        <tr r="AR246" s="2"/>
      </tp>
      <tp>
        <v>2019</v>
        <stp/>
        <stp>##V3_BDPV12</stp>
        <stp>SSE LN Equity</stp>
        <stp>hs001</stp>
        <stp>[DPM - Securities Master List (BBG Linked).xlsx]Equities!R258C44</stp>
        <tr r="AR258" s="2"/>
      </tp>
      <tp>
        <v>2019</v>
        <stp/>
        <stp>##V3_BDPV12</stp>
        <stp>SSE LN Equity</stp>
        <stp>hs001</stp>
        <stp>[DPM - Securities Master List (BBG Linked).xlsx]Equities!R251C44</stp>
        <tr r="AR251" s="2"/>
      </tp>
      <tp>
        <v>2019</v>
        <stp/>
        <stp>##V3_BDPV12</stp>
        <stp>SSE LN Equity</stp>
        <stp>hs001</stp>
        <stp>[DPM - Securities Master List (BBG Linked).xlsx]Equities!R250C44</stp>
        <tr r="AR250" s="2"/>
      </tp>
      <tp>
        <v>2019</v>
        <stp/>
        <stp>##V3_BDPV12</stp>
        <stp>SSE LN Equity</stp>
        <stp>hs001</stp>
        <stp>[DPM - Securities Master List (BBG Linked).xlsx]Equities!R253C44</stp>
        <tr r="AR253" s="2"/>
      </tp>
      <tp>
        <v>2019</v>
        <stp/>
        <stp>##V3_BDPV12</stp>
        <stp>SSE LN Equity</stp>
        <stp>hs001</stp>
        <stp>[DPM - Securities Master List (BBG Linked).xlsx]Equities!R252C44</stp>
        <tr r="AR252" s="2"/>
      </tp>
      <tp>
        <v>2019</v>
        <stp/>
        <stp>##V3_BDPV12</stp>
        <stp>SSE LN Equity</stp>
        <stp>hs001</stp>
        <stp>[DPM - Securities Master List (BBG Linked).xlsx]Equities!R255C44</stp>
        <tr r="AR255" s="2"/>
      </tp>
      <tp>
        <v>2019</v>
        <stp/>
        <stp>##V3_BDPV12</stp>
        <stp>SSE LN Equity</stp>
        <stp>hs001</stp>
        <stp>[DPM - Securities Master List (BBG Linked).xlsx]Equities!R254C44</stp>
        <tr r="AR254" s="2"/>
      </tp>
      <tp>
        <v>2019</v>
        <stp/>
        <stp>##V3_BDPV12</stp>
        <stp>SSE LN Equity</stp>
        <stp>hs001</stp>
        <stp>[DPM - Securities Master List (BBG Linked).xlsx]Equities!R257C44</stp>
        <tr r="AR257" s="2"/>
      </tp>
      <tp>
        <v>2019</v>
        <stp/>
        <stp>##V3_BDPV12</stp>
        <stp>SSE LN Equity</stp>
        <stp>hs001</stp>
        <stp>[DPM - Securities Master List (BBG Linked).xlsx]Equities!R256C44</stp>
        <tr r="AR256" s="2"/>
      </tp>
      <tp t="s">
        <v>N</v>
        <stp/>
        <stp>##V3_BDPV12</stp>
        <stp>TGT US Equity</stp>
        <stp>DY997</stp>
        <stp>[DPM - Securities Master List (BBG Linked).xlsx]Equities!R261C47</stp>
        <tr r="AU261" s="2"/>
        <tr r="AU261" s="2"/>
        <tr r="AU261" s="2"/>
      </tp>
      <tp>
        <v>-11.19496</v>
        <stp/>
        <stp>##V3_BDPV12</stp>
        <stp>NIO US Equity</stp>
        <stp>PR079</stp>
        <stp>[DPM - Securities Master List (BBG Linked).xlsx]Equities!R206C43</stp>
        <tr r="AQ206" s="2"/>
      </tp>
      <tp>
        <v>15.139490826966725</v>
        <stp/>
        <stp>##V3_BDPV12</stp>
        <stp>NKE US Equity</stp>
        <stp>RR957</stp>
        <stp>[DPM - Securities Master List (BBG Linked).xlsx]Equities!R220C14</stp>
        <tr r="N220" s="2"/>
        <tr r="N220" s="2"/>
        <tr r="N220" s="2"/>
      </tp>
      <tp>
        <v>15.139490826966725</v>
        <stp/>
        <stp>##V3_BDPV12</stp>
        <stp>NKE US Equity</stp>
        <stp>RR957</stp>
        <stp>[DPM - Securities Master List (BBG Linked).xlsx]Equities!R221C14</stp>
        <tr r="N221" s="2"/>
        <tr r="N221" s="2"/>
        <tr r="N221" s="2"/>
      </tp>
      <tp>
        <v>15.139490826966725</v>
        <stp/>
        <stp>##V3_BDPV12</stp>
        <stp>NKE US Equity</stp>
        <stp>RR957</stp>
        <stp>[DPM - Securities Master List (BBG Linked).xlsx]Equities!R222C14</stp>
        <tr r="N222" s="2"/>
        <tr r="N222" s="2"/>
        <tr r="N222" s="2"/>
      </tp>
      <tp>
        <v>9.3768974931144715</v>
        <stp/>
        <stp>##V3_BDPV12</stp>
        <stp>GSK LN Equity</stp>
        <stp>RR908</stp>
        <stp>[DPM - Securities Master List (BBG Linked).xlsx]Equities!R144C32</stp>
        <tr r="AF144" s="2"/>
        <tr r="AF144" s="2"/>
        <tr r="AF144" s="2"/>
      </tp>
      <tp>
        <v>9.3768974931144715</v>
        <stp/>
        <stp>##V3_BDPV12</stp>
        <stp>GSK LN Equity</stp>
        <stp>RR908</stp>
        <stp>[DPM - Securities Master List (BBG Linked).xlsx]Equities!R145C32</stp>
        <tr r="AF145" s="2"/>
        <tr r="AF145" s="2"/>
        <tr r="AF145" s="2"/>
      </tp>
      <tp>
        <v>9.3768974931144715</v>
        <stp/>
        <stp>##V3_BDPV12</stp>
        <stp>GSK LN Equity</stp>
        <stp>RR908</stp>
        <stp>[DPM - Securities Master List (BBG Linked).xlsx]Equities!R142C32</stp>
        <tr r="AF142" s="2"/>
        <tr r="AF142" s="2"/>
        <tr r="AF142" s="2"/>
      </tp>
      <tp>
        <v>9.3768974931144715</v>
        <stp/>
        <stp>##V3_BDPV12</stp>
        <stp>GSK LN Equity</stp>
        <stp>RR908</stp>
        <stp>[DPM - Securities Master List (BBG Linked).xlsx]Equities!R143C32</stp>
        <tr r="AF143" s="2"/>
        <tr r="AF143" s="2"/>
        <tr r="AF143" s="2"/>
      </tp>
      <tp>
        <v>15.139490826966725</v>
        <stp/>
        <stp>##V3_BDPV12</stp>
        <stp>NKE US Equity</stp>
        <stp>RR957</stp>
        <stp>[DPM - Securities Master List (BBG Linked).xlsx]Equities!R214C14</stp>
        <tr r="N214" s="2"/>
        <tr r="N214" s="2"/>
        <tr r="N214" s="2"/>
      </tp>
      <tp>
        <v>15.139490826966725</v>
        <stp/>
        <stp>##V3_BDPV12</stp>
        <stp>NKE US Equity</stp>
        <stp>RR957</stp>
        <stp>[DPM - Securities Master List (BBG Linked).xlsx]Equities!R215C14</stp>
        <tr r="N215" s="2"/>
        <tr r="N215" s="2"/>
        <tr r="N215" s="2"/>
      </tp>
      <tp>
        <v>15.139490826966725</v>
        <stp/>
        <stp>##V3_BDPV12</stp>
        <stp>NKE US Equity</stp>
        <stp>RR957</stp>
        <stp>[DPM - Securities Master List (BBG Linked).xlsx]Equities!R216C14</stp>
        <tr r="N216" s="2"/>
        <tr r="N216" s="2"/>
        <tr r="N216" s="2"/>
      </tp>
      <tp>
        <v>15.139490826966725</v>
        <stp/>
        <stp>##V3_BDPV12</stp>
        <stp>NKE US Equity</stp>
        <stp>RR957</stp>
        <stp>[DPM - Securities Master List (BBG Linked).xlsx]Equities!R217C14</stp>
        <tr r="N217" s="2"/>
        <tr r="N217" s="2"/>
        <tr r="N217" s="2"/>
      </tp>
      <tp>
        <v>15.139490826966725</v>
        <stp/>
        <stp>##V3_BDPV12</stp>
        <stp>NKE US Equity</stp>
        <stp>RR957</stp>
        <stp>[DPM - Securities Master List (BBG Linked).xlsx]Equities!R210C14</stp>
        <tr r="N210" s="2"/>
        <tr r="N210" s="2"/>
        <tr r="N210" s="2"/>
      </tp>
      <tp>
        <v>15.139490826966725</v>
        <stp/>
        <stp>##V3_BDPV12</stp>
        <stp>NKE US Equity</stp>
        <stp>RR957</stp>
        <stp>[DPM - Securities Master List (BBG Linked).xlsx]Equities!R211C14</stp>
        <tr r="N211" s="2"/>
        <tr r="N211" s="2"/>
        <tr r="N211" s="2"/>
      </tp>
      <tp>
        <v>15.139490826966725</v>
        <stp/>
        <stp>##V3_BDPV12</stp>
        <stp>NKE US Equity</stp>
        <stp>RR957</stp>
        <stp>[DPM - Securities Master List (BBG Linked).xlsx]Equities!R212C14</stp>
        <tr r="N212" s="2"/>
        <tr r="N212" s="2"/>
        <tr r="N212" s="2"/>
      </tp>
      <tp>
        <v>15.139490826966725</v>
        <stp/>
        <stp>##V3_BDPV12</stp>
        <stp>NKE US Equity</stp>
        <stp>RR957</stp>
        <stp>[DPM - Securities Master List (BBG Linked).xlsx]Equities!R213C14</stp>
        <tr r="N213" s="2"/>
        <tr r="N213" s="2"/>
        <tr r="N213" s="2"/>
      </tp>
      <tp>
        <v>15.139490826966725</v>
        <stp/>
        <stp>##V3_BDPV12</stp>
        <stp>NKE US Equity</stp>
        <stp>RR957</stp>
        <stp>[DPM - Securities Master List (BBG Linked).xlsx]Equities!R218C14</stp>
        <tr r="N218" s="2"/>
        <tr r="N218" s="2"/>
        <tr r="N218" s="2"/>
      </tp>
      <tp>
        <v>15.139490826966725</v>
        <stp/>
        <stp>##V3_BDPV12</stp>
        <stp>NKE US Equity</stp>
        <stp>RR957</stp>
        <stp>[DPM - Securities Master List (BBG Linked).xlsx]Equities!R219C14</stp>
        <tr r="N219" s="2"/>
        <tr r="N219" s="2"/>
        <tr r="N219" s="2"/>
      </tp>
      <tp>
        <v>15.139490826966725</v>
        <stp/>
        <stp>##V3_BDPV12</stp>
        <stp>NKE US Equity</stp>
        <stp>RR957</stp>
        <stp>[DPM - Securities Master List (BBG Linked).xlsx]Equities!R207C14</stp>
        <tr r="N207" s="2"/>
        <tr r="N207" s="2"/>
        <tr r="N207" s="2"/>
      </tp>
      <tp>
        <v>15.139490826966725</v>
        <stp/>
        <stp>##V3_BDPV12</stp>
        <stp>NKE US Equity</stp>
        <stp>RR957</stp>
        <stp>[DPM - Securities Master List (BBG Linked).xlsx]Equities!R208C14</stp>
        <tr r="N208" s="2"/>
        <tr r="N208" s="2"/>
        <tr r="N208" s="2"/>
      </tp>
      <tp>
        <v>15.139490826966725</v>
        <stp/>
        <stp>##V3_BDPV12</stp>
        <stp>NKE US Equity</stp>
        <stp>RR957</stp>
        <stp>[DPM - Securities Master List (BBG Linked).xlsx]Equities!R209C14</stp>
        <tr r="N209" s="2"/>
        <tr r="N209" s="2"/>
        <tr r="N209" s="2"/>
      </tp>
      <tp>
        <v>9.7156592094671108</v>
        <stp/>
        <stp>##V3_BDPV12</stp>
        <stp>SSE LN Equity</stp>
        <stp>RR900</stp>
        <stp>[DPM - Securities Master List (BBG Linked).xlsx]Equities!R244C11</stp>
        <tr r="K244" s="2"/>
        <tr r="K244" s="2"/>
        <tr r="K244" s="2"/>
      </tp>
      <tp>
        <v>9.7156592094671108</v>
        <stp/>
        <stp>##V3_BDPV12</stp>
        <stp>SSE LN Equity</stp>
        <stp>RR900</stp>
        <stp>[DPM - Securities Master List (BBG Linked).xlsx]Equities!R246C11</stp>
        <tr r="K246" s="2"/>
        <tr r="K246" s="2"/>
        <tr r="K246" s="2"/>
      </tp>
      <tp>
        <v>9.7156592094671108</v>
        <stp/>
        <stp>##V3_BDPV12</stp>
        <stp>SSE LN Equity</stp>
        <stp>RR900</stp>
        <stp>[DPM - Securities Master List (BBG Linked).xlsx]Equities!R247C11</stp>
        <tr r="K247" s="2"/>
        <tr r="K247" s="2"/>
        <tr r="K247" s="2"/>
      </tp>
      <tp>
        <v>9.7156592094671108</v>
        <stp/>
        <stp>##V3_BDPV12</stp>
        <stp>SSE LN Equity</stp>
        <stp>RR900</stp>
        <stp>[DPM - Securities Master List (BBG Linked).xlsx]Equities!R248C11</stp>
        <tr r="K248" s="2"/>
        <tr r="K248" s="2"/>
        <tr r="K248" s="2"/>
      </tp>
      <tp>
        <v>9.7156592094671108</v>
        <stp/>
        <stp>##V3_BDPV12</stp>
        <stp>SSE LN Equity</stp>
        <stp>RR900</stp>
        <stp>[DPM - Securities Master List (BBG Linked).xlsx]Equities!R249C11</stp>
        <tr r="K249" s="2"/>
        <tr r="K249" s="2"/>
        <tr r="K249" s="2"/>
      </tp>
      <tp>
        <v>9.7156592094671108</v>
        <stp/>
        <stp>##V3_BDPV12</stp>
        <stp>SSE LN Equity</stp>
        <stp>RR900</stp>
        <stp>[DPM - Securities Master List (BBG Linked).xlsx]Equities!R250C11</stp>
        <tr r="K250" s="2"/>
        <tr r="K250" s="2"/>
        <tr r="K250" s="2"/>
      </tp>
      <tp>
        <v>9.7156592094671108</v>
        <stp/>
        <stp>##V3_BDPV12</stp>
        <stp>SSE LN Equity</stp>
        <stp>RR900</stp>
        <stp>[DPM - Securities Master List (BBG Linked).xlsx]Equities!R251C11</stp>
        <tr r="K251" s="2"/>
        <tr r="K251" s="2"/>
        <tr r="K251" s="2"/>
      </tp>
      <tp>
        <v>9.7156592094671108</v>
        <stp/>
        <stp>##V3_BDPV12</stp>
        <stp>SSE LN Equity</stp>
        <stp>RR900</stp>
        <stp>[DPM - Securities Master List (BBG Linked).xlsx]Equities!R252C11</stp>
        <tr r="K252" s="2"/>
        <tr r="K252" s="2"/>
        <tr r="K252" s="2"/>
      </tp>
      <tp>
        <v>9.7156592094671108</v>
        <stp/>
        <stp>##V3_BDPV12</stp>
        <stp>SSE LN Equity</stp>
        <stp>RR900</stp>
        <stp>[DPM - Securities Master List (BBG Linked).xlsx]Equities!R253C11</stp>
        <tr r="K253" s="2"/>
        <tr r="K253" s="2"/>
        <tr r="K253" s="2"/>
      </tp>
      <tp>
        <v>9.7156592094671108</v>
        <stp/>
        <stp>##V3_BDPV12</stp>
        <stp>SSE LN Equity</stp>
        <stp>RR900</stp>
        <stp>[DPM - Securities Master List (BBG Linked).xlsx]Equities!R254C11</stp>
        <tr r="K254" s="2"/>
        <tr r="K254" s="2"/>
        <tr r="K254" s="2"/>
      </tp>
      <tp>
        <v>9.7156592094671108</v>
        <stp/>
        <stp>##V3_BDPV12</stp>
        <stp>SSE LN Equity</stp>
        <stp>RR900</stp>
        <stp>[DPM - Securities Master List (BBG Linked).xlsx]Equities!R255C11</stp>
        <tr r="K255" s="2"/>
        <tr r="K255" s="2"/>
        <tr r="K255" s="2"/>
      </tp>
      <tp>
        <v>9.7156592094671108</v>
        <stp/>
        <stp>##V3_BDPV12</stp>
        <stp>SSE LN Equity</stp>
        <stp>RR900</stp>
        <stp>[DPM - Securities Master List (BBG Linked).xlsx]Equities!R256C11</stp>
        <tr r="K256" s="2"/>
        <tr r="K256" s="2"/>
        <tr r="K256" s="2"/>
      </tp>
      <tp>
        <v>9.7156592094671108</v>
        <stp/>
        <stp>##V3_BDPV12</stp>
        <stp>SSE LN Equity</stp>
        <stp>RR900</stp>
        <stp>[DPM - Securities Master List (BBG Linked).xlsx]Equities!R257C11</stp>
        <tr r="K257" s="2"/>
        <tr r="K257" s="2"/>
        <tr r="K257" s="2"/>
      </tp>
      <tp>
        <v>9.7156592094671108</v>
        <stp/>
        <stp>##V3_BDPV12</stp>
        <stp>SSE LN Equity</stp>
        <stp>RR900</stp>
        <stp>[DPM - Securities Master List (BBG Linked).xlsx]Equities!R258C11</stp>
        <tr r="K258" s="2"/>
        <tr r="K258" s="2"/>
        <tr r="K258" s="2"/>
      </tp>
      <tp>
        <v>2.0136873996747071</v>
        <stp/>
        <stp>##V3_BDPV12</stp>
        <stp>SSE LN Equity</stp>
        <stp>RR903</stp>
        <stp>[DPM - Securities Master List (BBG Linked).xlsx]Equities!R244C13</stp>
        <tr r="M244" s="2"/>
        <tr r="M244" s="2"/>
        <tr r="M244" s="2"/>
      </tp>
      <tp>
        <v>2.0136873996747071</v>
        <stp/>
        <stp>##V3_BDPV12</stp>
        <stp>SSE LN Equity</stp>
        <stp>RR903</stp>
        <stp>[DPM - Securities Master List (BBG Linked).xlsx]Equities!R246C13</stp>
        <tr r="M246" s="2"/>
        <tr r="M246" s="2"/>
        <tr r="M246" s="2"/>
      </tp>
      <tp>
        <v>2.0136873996747071</v>
        <stp/>
        <stp>##V3_BDPV12</stp>
        <stp>SSE LN Equity</stp>
        <stp>RR903</stp>
        <stp>[DPM - Securities Master List (BBG Linked).xlsx]Equities!R247C13</stp>
        <tr r="M247" s="2"/>
        <tr r="M247" s="2"/>
        <tr r="M247" s="2"/>
      </tp>
      <tp>
        <v>2.0136873996747071</v>
        <stp/>
        <stp>##V3_BDPV12</stp>
        <stp>SSE LN Equity</stp>
        <stp>RR903</stp>
        <stp>[DPM - Securities Master List (BBG Linked).xlsx]Equities!R248C13</stp>
        <tr r="M248" s="2"/>
        <tr r="M248" s="2"/>
        <tr r="M248" s="2"/>
      </tp>
      <tp>
        <v>2.0136873996747071</v>
        <stp/>
        <stp>##V3_BDPV12</stp>
        <stp>SSE LN Equity</stp>
        <stp>RR903</stp>
        <stp>[DPM - Securities Master List (BBG Linked).xlsx]Equities!R249C13</stp>
        <tr r="M249" s="2"/>
        <tr r="M249" s="2"/>
        <tr r="M249" s="2"/>
      </tp>
      <tp t="s">
        <v>N</v>
        <stp/>
        <stp>##V3_BDPV12</stp>
        <stp>KER FP Equity</stp>
        <stp>DY784</stp>
        <stp>[DPM - Securities Master List (BBG Linked).xlsx]Equities!R149C48</stp>
        <tr r="AV149" s="2"/>
        <tr r="AV149" s="2"/>
        <tr r="AV149" s="2"/>
      </tp>
      <tp>
        <v>2.0136873996747071</v>
        <stp/>
        <stp>##V3_BDPV12</stp>
        <stp>SSE LN Equity</stp>
        <stp>RR903</stp>
        <stp>[DPM - Securities Master List (BBG Linked).xlsx]Equities!R250C13</stp>
        <tr r="M250" s="2"/>
        <tr r="M250" s="2"/>
        <tr r="M250" s="2"/>
      </tp>
      <tp>
        <v>2.0136873996747071</v>
        <stp/>
        <stp>##V3_BDPV12</stp>
        <stp>SSE LN Equity</stp>
        <stp>RR903</stp>
        <stp>[DPM - Securities Master List (BBG Linked).xlsx]Equities!R251C13</stp>
        <tr r="M251" s="2"/>
        <tr r="M251" s="2"/>
        <tr r="M251" s="2"/>
      </tp>
      <tp>
        <v>2.0136873996747071</v>
        <stp/>
        <stp>##V3_BDPV12</stp>
        <stp>SSE LN Equity</stp>
        <stp>RR903</stp>
        <stp>[DPM - Securities Master List (BBG Linked).xlsx]Equities!R252C13</stp>
        <tr r="M252" s="2"/>
        <tr r="M252" s="2"/>
        <tr r="M252" s="2"/>
      </tp>
      <tp>
        <v>2.0136873996747071</v>
        <stp/>
        <stp>##V3_BDPV12</stp>
        <stp>SSE LN Equity</stp>
        <stp>RR903</stp>
        <stp>[DPM - Securities Master List (BBG Linked).xlsx]Equities!R253C13</stp>
        <tr r="M253" s="2"/>
        <tr r="M253" s="2"/>
        <tr r="M253" s="2"/>
      </tp>
      <tp>
        <v>2.0136873996747071</v>
        <stp/>
        <stp>##V3_BDPV12</stp>
        <stp>SSE LN Equity</stp>
        <stp>RR903</stp>
        <stp>[DPM - Securities Master List (BBG Linked).xlsx]Equities!R254C13</stp>
        <tr r="M254" s="2"/>
        <tr r="M254" s="2"/>
        <tr r="M254" s="2"/>
      </tp>
      <tp>
        <v>2.0136873996747071</v>
        <stp/>
        <stp>##V3_BDPV12</stp>
        <stp>SSE LN Equity</stp>
        <stp>RR903</stp>
        <stp>[DPM - Securities Master List (BBG Linked).xlsx]Equities!R255C13</stp>
        <tr r="M255" s="2"/>
        <tr r="M255" s="2"/>
        <tr r="M255" s="2"/>
      </tp>
      <tp>
        <v>2.0136873996747071</v>
        <stp/>
        <stp>##V3_BDPV12</stp>
        <stp>SSE LN Equity</stp>
        <stp>RR903</stp>
        <stp>[DPM - Securities Master List (BBG Linked).xlsx]Equities!R256C13</stp>
        <tr r="M256" s="2"/>
        <tr r="M256" s="2"/>
        <tr r="M256" s="2"/>
      </tp>
      <tp>
        <v>2.0136873996747071</v>
        <stp/>
        <stp>##V3_BDPV12</stp>
        <stp>SSE LN Equity</stp>
        <stp>RR903</stp>
        <stp>[DPM - Securities Master List (BBG Linked).xlsx]Equities!R257C13</stp>
        <tr r="M257" s="2"/>
        <tr r="M257" s="2"/>
        <tr r="M257" s="2"/>
      </tp>
      <tp>
        <v>2.0136873996747071</v>
        <stp/>
        <stp>##V3_BDPV12</stp>
        <stp>SSE LN Equity</stp>
        <stp>RR903</stp>
        <stp>[DPM - Securities Master List (BBG Linked).xlsx]Equities!R258C13</stp>
        <tr r="M258" s="2"/>
        <tr r="M258" s="2"/>
        <tr r="M258" s="2"/>
      </tp>
      <tp t="s">
        <v>N</v>
        <stp/>
        <stp>##V3_BDPV12</stp>
        <stp>KER FP Equity</stp>
        <stp>DY784</stp>
        <stp>[DPM - Securities Master List (BBG Linked).xlsx]Equities!R150C48</stp>
        <tr r="AV150" s="2"/>
        <tr r="AV150" s="2"/>
        <tr r="AV150" s="2"/>
      </tp>
      <tp t="s">
        <v>N</v>
        <stp/>
        <stp>##V3_BDPV12</stp>
        <stp>KER FP Equity</stp>
        <stp>DY784</stp>
        <stp>[DPM - Securities Master List (BBG Linked).xlsx]Equities!R151C48</stp>
        <tr r="AV151" s="2"/>
        <tr r="AV151" s="2"/>
        <tr r="AV151" s="2"/>
      </tp>
      <tp t="s">
        <v>N</v>
        <stp/>
        <stp>##V3_BDPV12</stp>
        <stp>KER FP Equity</stp>
        <stp>DY784</stp>
        <stp>[DPM - Securities Master List (BBG Linked).xlsx]Equities!R152C48</stp>
        <tr r="AV152" s="2"/>
        <tr r="AV152" s="2"/>
        <tr r="AV152" s="2"/>
      </tp>
      <tp t="s">
        <v>N</v>
        <stp/>
        <stp>##V3_BDPV12</stp>
        <stp>KER FP Equity</stp>
        <stp>DY784</stp>
        <stp>[DPM - Securities Master List (BBG Linked).xlsx]Equities!R153C48</stp>
        <tr r="AV153" s="2"/>
        <tr r="AV153" s="2"/>
        <tr r="AV153" s="2"/>
      </tp>
      <tp>
        <v>18.737046632124351</v>
        <stp/>
        <stp>##V3_BDPV12</stp>
        <stp>GSK LN Equity</stp>
        <stp>RR900</stp>
        <stp>[DPM - Securities Master List (BBG Linked).xlsx]Equities!R144C11</stp>
        <tr r="K144" s="2"/>
        <tr r="K144" s="2"/>
        <tr r="K144" s="2"/>
      </tp>
      <tp>
        <v>18.737046632124351</v>
        <stp/>
        <stp>##V3_BDPV12</stp>
        <stp>GSK LN Equity</stp>
        <stp>RR900</stp>
        <stp>[DPM - Securities Master List (BBG Linked).xlsx]Equities!R145C11</stp>
        <tr r="K145" s="2"/>
        <tr r="K145" s="2"/>
        <tr r="K145" s="2"/>
      </tp>
      <tp>
        <v>18.737046632124351</v>
        <stp/>
        <stp>##V3_BDPV12</stp>
        <stp>GSK LN Equity</stp>
        <stp>RR900</stp>
        <stp>[DPM - Securities Master List (BBG Linked).xlsx]Equities!R142C11</stp>
        <tr r="K142" s="2"/>
        <tr r="K142" s="2"/>
        <tr r="K142" s="2"/>
      </tp>
      <tp>
        <v>18.737046632124351</v>
        <stp/>
        <stp>##V3_BDPV12</stp>
        <stp>GSK LN Equity</stp>
        <stp>RR900</stp>
        <stp>[DPM - Securities Master List (BBG Linked).xlsx]Equities!R143C11</stp>
        <tr r="K143" s="2"/>
        <tr r="K143" s="2"/>
        <tr r="K143" s="2"/>
      </tp>
      <tp>
        <v>4.1738733488733493</v>
        <stp/>
        <stp>##V3_BDPV12</stp>
        <stp>GSK LN Equity</stp>
        <stp>RR903</stp>
        <stp>[DPM - Securities Master List (BBG Linked).xlsx]Equities!R144C13</stp>
        <tr r="M144" s="2"/>
        <tr r="M144" s="2"/>
        <tr r="M144" s="2"/>
      </tp>
      <tp>
        <v>4.1738733488733493</v>
        <stp/>
        <stp>##V3_BDPV12</stp>
        <stp>GSK LN Equity</stp>
        <stp>RR903</stp>
        <stp>[DPM - Securities Master List (BBG Linked).xlsx]Equities!R145C13</stp>
        <tr r="M145" s="2"/>
        <tr r="M145" s="2"/>
        <tr r="M145" s="2"/>
      </tp>
      <tp>
        <v>4.1738733488733493</v>
        <stp/>
        <stp>##V3_BDPV12</stp>
        <stp>GSK LN Equity</stp>
        <stp>RR903</stp>
        <stp>[DPM - Securities Master List (BBG Linked).xlsx]Equities!R142C13</stp>
        <tr r="M142" s="2"/>
        <tr r="M142" s="2"/>
        <tr r="M142" s="2"/>
      </tp>
      <tp>
        <v>4.1738733488733493</v>
        <stp/>
        <stp>##V3_BDPV12</stp>
        <stp>GSK LN Equity</stp>
        <stp>RR903</stp>
        <stp>[DPM - Securities Master List (BBG Linked).xlsx]Equities!R143C13</stp>
        <tr r="M143" s="2"/>
        <tr r="M143" s="2"/>
        <tr r="M143" s="2"/>
      </tp>
      <tp>
        <v>8.4705075445816185</v>
        <stp/>
        <stp>##V3_BDPV12</stp>
        <stp>DRX LN Equity</stp>
        <stp>EE010</stp>
        <stp>[DPM - Securities Master List (BBG Linked).xlsx]Equities!R124C12</stp>
        <tr r="L124" s="2"/>
        <tr r="L124" s="2"/>
        <tr r="L124" s="2"/>
      </tp>
      <tp>
        <v>8.4705075445816185</v>
        <stp/>
        <stp>##V3_BDPV12</stp>
        <stp>DRX LN Equity</stp>
        <stp>EE010</stp>
        <stp>[DPM - Securities Master List (BBG Linked).xlsx]Equities!R122C12</stp>
        <tr r="L122" s="2"/>
        <tr r="L122" s="2"/>
        <tr r="L122" s="2"/>
      </tp>
      <tp>
        <v>8.4705075445816185</v>
        <stp/>
        <stp>##V3_BDPV12</stp>
        <stp>DRX LN Equity</stp>
        <stp>EE010</stp>
        <stp>[DPM - Securities Master List (BBG Linked).xlsx]Equities!R123C12</stp>
        <tr r="L123" s="2"/>
        <tr r="L123" s="2"/>
        <tr r="L123" s="2"/>
      </tp>
      <tp>
        <v>8.4705075445816185</v>
        <stp/>
        <stp>##V3_BDPV12</stp>
        <stp>DRX LN Equity</stp>
        <stp>EE010</stp>
        <stp>[DPM - Securities Master List (BBG Linked).xlsx]Equities!R120C12</stp>
        <tr r="L120" s="2"/>
        <tr r="L120" s="2"/>
        <tr r="L120" s="2"/>
      </tp>
      <tp>
        <v>8.4705075445816185</v>
        <stp/>
        <stp>##V3_BDPV12</stp>
        <stp>DRX LN Equity</stp>
        <stp>EE010</stp>
        <stp>[DPM - Securities Master List (BBG Linked).xlsx]Equities!R121C12</stp>
        <tr r="L121" s="2"/>
        <tr r="L121" s="2"/>
        <tr r="L121" s="2"/>
      </tp>
      <tp>
        <v>8.4705075445816185</v>
        <stp/>
        <stp>##V3_BDPV12</stp>
        <stp>DRX LN Equity</stp>
        <stp>EE010</stp>
        <stp>[DPM - Securities Master List (BBG Linked).xlsx]Equities!R118C12</stp>
        <tr r="L118" s="2"/>
        <tr r="L118" s="2"/>
        <tr r="L118" s="2"/>
      </tp>
      <tp>
        <v>8.4705075445816185</v>
        <stp/>
        <stp>##V3_BDPV12</stp>
        <stp>DRX LN Equity</stp>
        <stp>EE010</stp>
        <stp>[DPM - Securities Master List (BBG Linked).xlsx]Equities!R119C12</stp>
        <tr r="L119" s="2"/>
        <tr r="L119" s="2"/>
        <tr r="L119" s="2"/>
      </tp>
      <tp>
        <v>8.4705075445816185</v>
        <stp/>
        <stp>##V3_BDPV12</stp>
        <stp>DRX LN Equity</stp>
        <stp>EE010</stp>
        <stp>[DPM - Securities Master List (BBG Linked).xlsx]Equities!R116C12</stp>
        <tr r="L116" s="2"/>
        <tr r="L116" s="2"/>
        <tr r="L116" s="2"/>
      </tp>
      <tp>
        <v>8.4705075445816185</v>
        <stp/>
        <stp>##V3_BDPV12</stp>
        <stp>DRX LN Equity</stp>
        <stp>EE010</stp>
        <stp>[DPM - Securities Master List (BBG Linked).xlsx]Equities!R117C12</stp>
        <tr r="L117" s="2"/>
        <tr r="L117" s="2"/>
        <tr r="L117" s="2"/>
      </tp>
      <tp t="s">
        <v>ANTA Sports Products Ltd</v>
        <stp/>
        <stp>##V3_BDPV12</stp>
        <stp>2020 HK Equity</stp>
        <stp>SECURITY NAME</stp>
        <stp>[DPM - Securities Master List (BBG Linked).xlsx]Equities!R6C5</stp>
        <tr r="E6" s="2"/>
      </tp>
      <tp>
        <v>4.2105263157894735</v>
        <stp/>
        <stp>##V3_BDPV12</stp>
        <stp>DRX LN Equity</stp>
        <stp>DV013</stp>
        <stp>[DPM - Securities Master List (BBG Linked).xlsx]Equities!R124C10</stp>
        <tr r="J124" s="2"/>
      </tp>
      <tp>
        <v>4.2105263157894735</v>
        <stp/>
        <stp>##V3_BDPV12</stp>
        <stp>DRX LN Equity</stp>
        <stp>DV013</stp>
        <stp>[DPM - Securities Master List (BBG Linked).xlsx]Equities!R122C10</stp>
        <tr r="J122" s="2"/>
      </tp>
      <tp>
        <v>4.2105263157894735</v>
        <stp/>
        <stp>##V3_BDPV12</stp>
        <stp>DRX LN Equity</stp>
        <stp>DV013</stp>
        <stp>[DPM - Securities Master List (BBG Linked).xlsx]Equities!R123C10</stp>
        <tr r="J123" s="2"/>
      </tp>
      <tp>
        <v>4.2105263157894735</v>
        <stp/>
        <stp>##V3_BDPV12</stp>
        <stp>DRX LN Equity</stp>
        <stp>DV013</stp>
        <stp>[DPM - Securities Master List (BBG Linked).xlsx]Equities!R120C10</stp>
        <tr r="J120" s="2"/>
      </tp>
      <tp>
        <v>4.2105263157894735</v>
        <stp/>
        <stp>##V3_BDPV12</stp>
        <stp>DRX LN Equity</stp>
        <stp>DV013</stp>
        <stp>[DPM - Securities Master List (BBG Linked).xlsx]Equities!R121C10</stp>
        <tr r="J121" s="2"/>
      </tp>
      <tp>
        <v>4.2105263157894735</v>
        <stp/>
        <stp>##V3_BDPV12</stp>
        <stp>DRX LN Equity</stp>
        <stp>DV013</stp>
        <stp>[DPM - Securities Master List (BBG Linked).xlsx]Equities!R118C10</stp>
        <tr r="J118" s="2"/>
      </tp>
      <tp>
        <v>4.2105263157894735</v>
        <stp/>
        <stp>##V3_BDPV12</stp>
        <stp>DRX LN Equity</stp>
        <stp>DV013</stp>
        <stp>[DPM - Securities Master List (BBG Linked).xlsx]Equities!R119C10</stp>
        <tr r="J119" s="2"/>
      </tp>
      <tp>
        <v>4.2105263157894735</v>
        <stp/>
        <stp>##V3_BDPV12</stp>
        <stp>DRX LN Equity</stp>
        <stp>DV013</stp>
        <stp>[DPM - Securities Master List (BBG Linked).xlsx]Equities!R116C10</stp>
        <tr r="J116" s="2"/>
      </tp>
      <tp>
        <v>4.2105263157894735</v>
        <stp/>
        <stp>##V3_BDPV12</stp>
        <stp>DRX LN Equity</stp>
        <stp>DV013</stp>
        <stp>[DPM - Securities Master List (BBG Linked).xlsx]Equities!R117C10</stp>
        <tr r="J117" s="2"/>
      </tp>
      <tp>
        <v>6.4312134771326699</v>
        <stp/>
        <stp>##V3_BDPV12</stp>
        <stp>SSE LN Equity</stp>
        <stp>RR908</stp>
        <stp>[DPM - Securities Master List (BBG Linked).xlsx]Equities!R250C32</stp>
        <tr r="AF250" s="2"/>
        <tr r="AF250" s="2"/>
        <tr r="AF250" s="2"/>
      </tp>
      <tp>
        <v>6.4312134771326699</v>
        <stp/>
        <stp>##V3_BDPV12</stp>
        <stp>SSE LN Equity</stp>
        <stp>RR908</stp>
        <stp>[DPM - Securities Master List (BBG Linked).xlsx]Equities!R251C32</stp>
        <tr r="AF251" s="2"/>
        <tr r="AF251" s="2"/>
        <tr r="AF251" s="2"/>
      </tp>
      <tp>
        <v>6.4312134771326699</v>
        <stp/>
        <stp>##V3_BDPV12</stp>
        <stp>SSE LN Equity</stp>
        <stp>RR908</stp>
        <stp>[DPM - Securities Master List (BBG Linked).xlsx]Equities!R252C32</stp>
        <tr r="AF252" s="2"/>
        <tr r="AF252" s="2"/>
        <tr r="AF252" s="2"/>
      </tp>
      <tp>
        <v>6.4312134771326699</v>
        <stp/>
        <stp>##V3_BDPV12</stp>
        <stp>SSE LN Equity</stp>
        <stp>RR908</stp>
        <stp>[DPM - Securities Master List (BBG Linked).xlsx]Equities!R253C32</stp>
        <tr r="AF253" s="2"/>
        <tr r="AF253" s="2"/>
        <tr r="AF253" s="2"/>
      </tp>
      <tp>
        <v>6.4312134771326699</v>
        <stp/>
        <stp>##V3_BDPV12</stp>
        <stp>SSE LN Equity</stp>
        <stp>RR908</stp>
        <stp>[DPM - Securities Master List (BBG Linked).xlsx]Equities!R254C32</stp>
        <tr r="AF254" s="2"/>
        <tr r="AF254" s="2"/>
        <tr r="AF254" s="2"/>
      </tp>
      <tp>
        <v>6.4312134771326699</v>
        <stp/>
        <stp>##V3_BDPV12</stp>
        <stp>SSE LN Equity</stp>
        <stp>RR908</stp>
        <stp>[DPM - Securities Master List (BBG Linked).xlsx]Equities!R255C32</stp>
        <tr r="AF255" s="2"/>
        <tr r="AF255" s="2"/>
        <tr r="AF255" s="2"/>
      </tp>
      <tp>
        <v>6.4312134771326699</v>
        <stp/>
        <stp>##V3_BDPV12</stp>
        <stp>SSE LN Equity</stp>
        <stp>RR908</stp>
        <stp>[DPM - Securities Master List (BBG Linked).xlsx]Equities!R256C32</stp>
        <tr r="AF256" s="2"/>
        <tr r="AF256" s="2"/>
        <tr r="AF256" s="2"/>
      </tp>
      <tp>
        <v>6.4312134771326699</v>
        <stp/>
        <stp>##V3_BDPV12</stp>
        <stp>SSE LN Equity</stp>
        <stp>RR908</stp>
        <stp>[DPM - Securities Master List (BBG Linked).xlsx]Equities!R257C32</stp>
        <tr r="AF257" s="2"/>
        <tr r="AF257" s="2"/>
        <tr r="AF257" s="2"/>
      </tp>
      <tp>
        <v>6.4312134771326699</v>
        <stp/>
        <stp>##V3_BDPV12</stp>
        <stp>SSE LN Equity</stp>
        <stp>RR908</stp>
        <stp>[DPM - Securities Master List (BBG Linked).xlsx]Equities!R258C32</stp>
        <tr r="AF258" s="2"/>
        <tr r="AF258" s="2"/>
        <tr r="AF258" s="2"/>
      </tp>
      <tp>
        <v>6.4312134771326699</v>
        <stp/>
        <stp>##V3_BDPV12</stp>
        <stp>SSE LN Equity</stp>
        <stp>RR908</stp>
        <stp>[DPM - Securities Master List (BBG Linked).xlsx]Equities!R244C32</stp>
        <tr r="AF244" s="2"/>
        <tr r="AF244" s="2"/>
        <tr r="AF244" s="2"/>
      </tp>
      <tp>
        <v>6.4312134771326699</v>
        <stp/>
        <stp>##V3_BDPV12</stp>
        <stp>SSE LN Equity</stp>
        <stp>RR908</stp>
        <stp>[DPM - Securities Master List (BBG Linked).xlsx]Equities!R245C32</stp>
        <tr r="AF245" s="2"/>
        <tr r="AF245" s="2"/>
        <tr r="AF245" s="2"/>
      </tp>
      <tp>
        <v>6.4312134771326699</v>
        <stp/>
        <stp>##V3_BDPV12</stp>
        <stp>SSE LN Equity</stp>
        <stp>RR908</stp>
        <stp>[DPM - Securities Master List (BBG Linked).xlsx]Equities!R246C32</stp>
        <tr r="AF246" s="2"/>
        <tr r="AF246" s="2"/>
        <tr r="AF246" s="2"/>
      </tp>
      <tp>
        <v>6.4312134771326699</v>
        <stp/>
        <stp>##V3_BDPV12</stp>
        <stp>SSE LN Equity</stp>
        <stp>RR908</stp>
        <stp>[DPM - Securities Master List (BBG Linked).xlsx]Equities!R247C32</stp>
        <tr r="AF247" s="2"/>
        <tr r="AF247" s="2"/>
        <tr r="AF247" s="2"/>
      </tp>
      <tp>
        <v>6.4312134771326699</v>
        <stp/>
        <stp>##V3_BDPV12</stp>
        <stp>SSE LN Equity</stp>
        <stp>RR908</stp>
        <stp>[DPM - Securities Master List (BBG Linked).xlsx]Equities!R248C32</stp>
        <tr r="AF248" s="2"/>
        <tr r="AF248" s="2"/>
        <tr r="AF248" s="2"/>
      </tp>
      <tp>
        <v>6.4312134771326699</v>
        <stp/>
        <stp>##V3_BDPV12</stp>
        <stp>SSE LN Equity</stp>
        <stp>RR908</stp>
        <stp>[DPM - Securities Master List (BBG Linked).xlsx]Equities!R249C32</stp>
        <tr r="AF249" s="2"/>
        <tr r="AF249" s="2"/>
        <tr r="AF249" s="2"/>
      </tp>
      <tp>
        <v>4.8235292434692383</v>
        <stp/>
        <stp>##V3_BDPV12</stp>
        <stp>SSE LN Equity</stp>
        <stp>EE201</stp>
        <stp>[DPM - Securities Master List (BBG Linked).xlsx]Equities!R258C37</stp>
        <tr r="AK258" s="2"/>
        <tr r="AK258" s="2"/>
        <tr r="AK258" s="2"/>
      </tp>
      <tp>
        <v>4.8235292434692383</v>
        <stp/>
        <stp>##V3_BDPV12</stp>
        <stp>SSE LN Equity</stp>
        <stp>EE201</stp>
        <stp>[DPM - Securities Master List (BBG Linked).xlsx]Equities!R253C37</stp>
        <tr r="AK253" s="2"/>
        <tr r="AK253" s="2"/>
        <tr r="AK253" s="2"/>
      </tp>
      <tp>
        <v>4.8235292434692383</v>
        <stp/>
        <stp>##V3_BDPV12</stp>
        <stp>SSE LN Equity</stp>
        <stp>EE201</stp>
        <stp>[DPM - Securities Master List (BBG Linked).xlsx]Equities!R252C37</stp>
        <tr r="AK252" s="2"/>
        <tr r="AK252" s="2"/>
        <tr r="AK252" s="2"/>
      </tp>
      <tp>
        <v>4.8235292434692383</v>
        <stp/>
        <stp>##V3_BDPV12</stp>
        <stp>SSE LN Equity</stp>
        <stp>EE201</stp>
        <stp>[DPM - Securities Master List (BBG Linked).xlsx]Equities!R251C37</stp>
        <tr r="AK251" s="2"/>
        <tr r="AK251" s="2"/>
        <tr r="AK251" s="2"/>
      </tp>
      <tp>
        <v>4.8235292434692383</v>
        <stp/>
        <stp>##V3_BDPV12</stp>
        <stp>SSE LN Equity</stp>
        <stp>EE201</stp>
        <stp>[DPM - Securities Master List (BBG Linked).xlsx]Equities!R250C37</stp>
        <tr r="AK250" s="2"/>
        <tr r="AK250" s="2"/>
        <tr r="AK250" s="2"/>
      </tp>
      <tp>
        <v>4.8235292434692383</v>
        <stp/>
        <stp>##V3_BDPV12</stp>
        <stp>SSE LN Equity</stp>
        <stp>EE201</stp>
        <stp>[DPM - Securities Master List (BBG Linked).xlsx]Equities!R257C37</stp>
        <tr r="AK257" s="2"/>
        <tr r="AK257" s="2"/>
        <tr r="AK257" s="2"/>
      </tp>
      <tp>
        <v>4.8235292434692383</v>
        <stp/>
        <stp>##V3_BDPV12</stp>
        <stp>SSE LN Equity</stp>
        <stp>EE201</stp>
        <stp>[DPM - Securities Master List (BBG Linked).xlsx]Equities!R256C37</stp>
        <tr r="AK256" s="2"/>
        <tr r="AK256" s="2"/>
        <tr r="AK256" s="2"/>
      </tp>
      <tp>
        <v>4.8235292434692383</v>
        <stp/>
        <stp>##V3_BDPV12</stp>
        <stp>SSE LN Equity</stp>
        <stp>EE201</stp>
        <stp>[DPM - Securities Master List (BBG Linked).xlsx]Equities!R255C37</stp>
        <tr r="AK255" s="2"/>
        <tr r="AK255" s="2"/>
        <tr r="AK255" s="2"/>
      </tp>
      <tp>
        <v>4.8235292434692383</v>
        <stp/>
        <stp>##V3_BDPV12</stp>
        <stp>SSE LN Equity</stp>
        <stp>EE201</stp>
        <stp>[DPM - Securities Master List (BBG Linked).xlsx]Equities!R254C37</stp>
        <tr r="AK254" s="2"/>
        <tr r="AK254" s="2"/>
        <tr r="AK254" s="2"/>
      </tp>
      <tp>
        <v>4.8235292434692383</v>
        <stp/>
        <stp>##V3_BDPV12</stp>
        <stp>SSE LN Equity</stp>
        <stp>EE201</stp>
        <stp>[DPM - Securities Master List (BBG Linked).xlsx]Equities!R249C37</stp>
        <tr r="AK249" s="2"/>
        <tr r="AK249" s="2"/>
        <tr r="AK249" s="2"/>
      </tp>
      <tp>
        <v>4.8235292434692383</v>
        <stp/>
        <stp>##V3_BDPV12</stp>
        <stp>SSE LN Equity</stp>
        <stp>EE201</stp>
        <stp>[DPM - Securities Master List (BBG Linked).xlsx]Equities!R248C37</stp>
        <tr r="AK248" s="2"/>
        <tr r="AK248" s="2"/>
        <tr r="AK248" s="2"/>
      </tp>
      <tp>
        <v>4.8235292434692383</v>
        <stp/>
        <stp>##V3_BDPV12</stp>
        <stp>SSE LN Equity</stp>
        <stp>EE201</stp>
        <stp>[DPM - Securities Master List (BBG Linked).xlsx]Equities!R247C37</stp>
        <tr r="AK247" s="2"/>
        <tr r="AK247" s="2"/>
        <tr r="AK247" s="2"/>
      </tp>
      <tp>
        <v>4.8235292434692383</v>
        <stp/>
        <stp>##V3_BDPV12</stp>
        <stp>SSE LN Equity</stp>
        <stp>EE201</stp>
        <stp>[DPM - Securities Master List (BBG Linked).xlsx]Equities!R246C37</stp>
        <tr r="AK246" s="2"/>
        <tr r="AK246" s="2"/>
        <tr r="AK246" s="2"/>
      </tp>
      <tp>
        <v>4.8235292434692383</v>
        <stp/>
        <stp>##V3_BDPV12</stp>
        <stp>SSE LN Equity</stp>
        <stp>EE201</stp>
        <stp>[DPM - Securities Master List (BBG Linked).xlsx]Equities!R245C37</stp>
        <tr r="AK245" s="2"/>
        <tr r="AK245" s="2"/>
        <tr r="AK245" s="2"/>
      </tp>
      <tp>
        <v>4.8235292434692383</v>
        <stp/>
        <stp>##V3_BDPV12</stp>
        <stp>SSE LN Equity</stp>
        <stp>EE201</stp>
        <stp>[DPM - Securities Master List (BBG Linked).xlsx]Equities!R244C37</stp>
        <tr r="AK244" s="2"/>
        <tr r="AK244" s="2"/>
        <tr r="AK244" s="2"/>
      </tp>
      <tp t="s">
        <v>GB00BN7SWP63</v>
        <stp/>
        <stp>##V3_BDPV12</stp>
        <stp>GSK LN Equity</stp>
        <stp>ID005</stp>
        <stp>[DPM - Securities Master List (BBG Linked).xlsx]Equities!R145C55</stp>
        <tr r="BC145" s="2"/>
      </tp>
      <tp t="s">
        <v>GB00BN7SWP63</v>
        <stp/>
        <stp>##V3_BDPV12</stp>
        <stp>GSK LN Equity</stp>
        <stp>ID005</stp>
        <stp>[DPM - Securities Master List (BBG Linked).xlsx]Equities!R144C55</stp>
        <tr r="BC144" s="2"/>
      </tp>
      <tp t="s">
        <v>GB00BN7SWP63</v>
        <stp/>
        <stp>##V3_BDPV12</stp>
        <stp>GSK LN Equity</stp>
        <stp>ID005</stp>
        <stp>[DPM - Securities Master List (BBG Linked).xlsx]Equities!R143C55</stp>
        <tr r="BC143" s="2"/>
      </tp>
      <tp t="s">
        <v>GB00BN7SWP63</v>
        <stp/>
        <stp>##V3_BDPV12</stp>
        <stp>GSK LN Equity</stp>
        <stp>ID005</stp>
        <stp>[DPM - Securities Master List (BBG Linked).xlsx]Equities!R142C55</stp>
        <tr r="BC142" s="2"/>
      </tp>
      <tp t="s">
        <v>Utilities</v>
        <stp/>
        <stp>##V3_BDPV12</stp>
        <stp>SSE LN Equity</stp>
        <stp>DX202</stp>
        <stp>[DPM - Securities Master List (BBG Linked).xlsx]Equities!R258C46</stp>
        <tr r="AT258" s="2"/>
        <tr r="AT258" s="2"/>
        <tr r="AT258" s="2"/>
      </tp>
      <tp t="s">
        <v>Utilities</v>
        <stp/>
        <stp>##V3_BDPV12</stp>
        <stp>SSE LN Equity</stp>
        <stp>DX202</stp>
        <stp>[DPM - Securities Master List (BBG Linked).xlsx]Equities!R253C46</stp>
        <tr r="AT253" s="2"/>
        <tr r="AT253" s="2"/>
        <tr r="AT253" s="2"/>
      </tp>
      <tp t="s">
        <v>Utilities</v>
        <stp/>
        <stp>##V3_BDPV12</stp>
        <stp>SSE LN Equity</stp>
        <stp>DX202</stp>
        <stp>[DPM - Securities Master List (BBG Linked).xlsx]Equities!R252C46</stp>
        <tr r="AT252" s="2"/>
        <tr r="AT252" s="2"/>
        <tr r="AT252" s="2"/>
      </tp>
      <tp t="s">
        <v>Utilities</v>
        <stp/>
        <stp>##V3_BDPV12</stp>
        <stp>SSE LN Equity</stp>
        <stp>DX202</stp>
        <stp>[DPM - Securities Master List (BBG Linked).xlsx]Equities!R251C46</stp>
        <tr r="AT251" s="2"/>
        <tr r="AT251" s="2"/>
        <tr r="AT251" s="2"/>
      </tp>
      <tp t="s">
        <v>Utilities</v>
        <stp/>
        <stp>##V3_BDPV12</stp>
        <stp>SSE LN Equity</stp>
        <stp>DX202</stp>
        <stp>[DPM - Securities Master List (BBG Linked).xlsx]Equities!R250C46</stp>
        <tr r="AT250" s="2"/>
        <tr r="AT250" s="2"/>
        <tr r="AT250" s="2"/>
      </tp>
      <tp t="s">
        <v>Utilities</v>
        <stp/>
        <stp>##V3_BDPV12</stp>
        <stp>SSE LN Equity</stp>
        <stp>DX202</stp>
        <stp>[DPM - Securities Master List (BBG Linked).xlsx]Equities!R257C46</stp>
        <tr r="AT257" s="2"/>
        <tr r="AT257" s="2"/>
        <tr r="AT257" s="2"/>
      </tp>
      <tp t="s">
        <v>Utilities</v>
        <stp/>
        <stp>##V3_BDPV12</stp>
        <stp>SSE LN Equity</stp>
        <stp>DX202</stp>
        <stp>[DPM - Securities Master List (BBG Linked).xlsx]Equities!R256C46</stp>
        <tr r="AT256" s="2"/>
        <tr r="AT256" s="2"/>
        <tr r="AT256" s="2"/>
      </tp>
      <tp t="s">
        <v>Utilities</v>
        <stp/>
        <stp>##V3_BDPV12</stp>
        <stp>SSE LN Equity</stp>
        <stp>DX202</stp>
        <stp>[DPM - Securities Master List (BBG Linked).xlsx]Equities!R255C46</stp>
        <tr r="AT255" s="2"/>
        <tr r="AT255" s="2"/>
        <tr r="AT255" s="2"/>
      </tp>
      <tp t="s">
        <v>Utilities</v>
        <stp/>
        <stp>##V3_BDPV12</stp>
        <stp>SSE LN Equity</stp>
        <stp>DX202</stp>
        <stp>[DPM - Securities Master List (BBG Linked).xlsx]Equities!R254C46</stp>
        <tr r="AT254" s="2"/>
        <tr r="AT254" s="2"/>
        <tr r="AT254" s="2"/>
      </tp>
      <tp t="s">
        <v>Utilities</v>
        <stp/>
        <stp>##V3_BDPV12</stp>
        <stp>SSE LN Equity</stp>
        <stp>DX202</stp>
        <stp>[DPM - Securities Master List (BBG Linked).xlsx]Equities!R249C46</stp>
        <tr r="AT249" s="2"/>
        <tr r="AT249" s="2"/>
        <tr r="AT249" s="2"/>
      </tp>
      <tp t="s">
        <v>Utilities</v>
        <stp/>
        <stp>##V3_BDPV12</stp>
        <stp>SSE LN Equity</stp>
        <stp>DX202</stp>
        <stp>[DPM - Securities Master List (BBG Linked).xlsx]Equities!R248C46</stp>
        <tr r="AT248" s="2"/>
        <tr r="AT248" s="2"/>
        <tr r="AT248" s="2"/>
      </tp>
      <tp t="s">
        <v>Utilities</v>
        <stp/>
        <stp>##V3_BDPV12</stp>
        <stp>SSE LN Equity</stp>
        <stp>DX202</stp>
        <stp>[DPM - Securities Master List (BBG Linked).xlsx]Equities!R247C46</stp>
        <tr r="AT247" s="2"/>
        <tr r="AT247" s="2"/>
        <tr r="AT247" s="2"/>
      </tp>
      <tp t="s">
        <v>Utilities</v>
        <stp/>
        <stp>##V3_BDPV12</stp>
        <stp>SSE LN Equity</stp>
        <stp>DX202</stp>
        <stp>[DPM - Securities Master List (BBG Linked).xlsx]Equities!R246C46</stp>
        <tr r="AT246" s="2"/>
        <tr r="AT246" s="2"/>
        <tr r="AT246" s="2"/>
      </tp>
      <tp t="s">
        <v>Utilities</v>
        <stp/>
        <stp>##V3_BDPV12</stp>
        <stp>SSE LN Equity</stp>
        <stp>DX202</stp>
        <stp>[DPM - Securities Master List (BBG Linked).xlsx]Equities!R245C46</stp>
        <tr r="AT245" s="2"/>
        <tr r="AT245" s="2"/>
        <tr r="AT245" s="2"/>
      </tp>
      <tp t="s">
        <v>Utilities</v>
        <stp/>
        <stp>##V3_BDPV12</stp>
        <stp>SSE LN Equity</stp>
        <stp>DX202</stp>
        <stp>[DPM - Securities Master List (BBG Linked).xlsx]Equities!R244C46</stp>
        <tr r="AT244" s="2"/>
        <tr r="AT244" s="2"/>
        <tr r="AT244" s="2"/>
      </tp>
      <tp t="s">
        <v>Health Care</v>
        <stp/>
        <stp>##V3_BDPV12</stp>
        <stp>GSK LN Equity</stp>
        <stp>DX202</stp>
        <stp>[DPM - Securities Master List (BBG Linked).xlsx]Equities!R145C46</stp>
        <tr r="AT145" s="2"/>
        <tr r="AT145" s="2"/>
        <tr r="AT145" s="2"/>
      </tp>
      <tp t="s">
        <v>Health Care</v>
        <stp/>
        <stp>##V3_BDPV12</stp>
        <stp>GSK LN Equity</stp>
        <stp>DX202</stp>
        <stp>[DPM - Securities Master List (BBG Linked).xlsx]Equities!R144C46</stp>
        <tr r="AT144" s="2"/>
        <tr r="AT144" s="2"/>
        <tr r="AT144" s="2"/>
      </tp>
      <tp t="s">
        <v>Health Care</v>
        <stp/>
        <stp>##V3_BDPV12</stp>
        <stp>GSK LN Equity</stp>
        <stp>DX202</stp>
        <stp>[DPM - Securities Master List (BBG Linked).xlsx]Equities!R143C46</stp>
        <tr r="AT143" s="2"/>
        <tr r="AT143" s="2"/>
        <tr r="AT143" s="2"/>
      </tp>
      <tp t="s">
        <v>Health Care</v>
        <stp/>
        <stp>##V3_BDPV12</stp>
        <stp>GSK LN Equity</stp>
        <stp>DX202</stp>
        <stp>[DPM - Securities Master List (BBG Linked).xlsx]Equities!R142C46</stp>
        <tr r="AT142" s="2"/>
        <tr r="AT142" s="2"/>
        <tr r="AT142" s="2"/>
      </tp>
      <tp>
        <v>3.7926570000000002</v>
        <stp/>
        <stp>##V3_BDPV12</stp>
        <stp>ADBE US Equity</stp>
        <stp>CHG_PCT_5D</stp>
        <stp>[DPM - Securities Master List (BBG Linked).xlsx]Equities!R36C23</stp>
        <tr r="W36" s="2"/>
      </tp>
      <tp>
        <v>3.7926570000000002</v>
        <stp/>
        <stp>##V3_BDPV12</stp>
        <stp>ADBE US Equity</stp>
        <stp>CHG_PCT_5D</stp>
        <stp>[DPM - Securities Master List (BBG Linked).xlsx]Equities!R37C23</stp>
        <tr r="W37" s="2"/>
      </tp>
      <tp>
        <v>3.7926570000000002</v>
        <stp/>
        <stp>##V3_BDPV12</stp>
        <stp>ADBE US Equity</stp>
        <stp>CHG_PCT_5D</stp>
        <stp>[DPM - Securities Master List (BBG Linked).xlsx]Equities!R38C23</stp>
        <tr r="W38" s="2"/>
      </tp>
      <tp>
        <v>3.7926570000000002</v>
        <stp/>
        <stp>##V3_BDPV12</stp>
        <stp>ADBE US Equity</stp>
        <stp>CHG_PCT_5D</stp>
        <stp>[DPM - Securities Master List (BBG Linked).xlsx]Equities!R39C23</stp>
        <tr r="W39" s="2"/>
      </tp>
      <tp>
        <v>3.7926570000000002</v>
        <stp/>
        <stp>##V3_BDPV12</stp>
        <stp>ADBE US Equity</stp>
        <stp>CHG_PCT_5D</stp>
        <stp>[DPM - Securities Master List (BBG Linked).xlsx]Equities!R44C23</stp>
        <tr r="W44" s="2"/>
      </tp>
      <tp>
        <v>3.7926570000000002</v>
        <stp/>
        <stp>##V3_BDPV12</stp>
        <stp>ADBE US Equity</stp>
        <stp>CHG_PCT_5D</stp>
        <stp>[DPM - Securities Master List (BBG Linked).xlsx]Equities!R45C23</stp>
        <tr r="W45" s="2"/>
      </tp>
      <tp>
        <v>3.7926570000000002</v>
        <stp/>
        <stp>##V3_BDPV12</stp>
        <stp>ADBE US Equity</stp>
        <stp>CHG_PCT_5D</stp>
        <stp>[DPM - Securities Master List (BBG Linked).xlsx]Equities!R46C23</stp>
        <tr r="W46" s="2"/>
      </tp>
      <tp>
        <v>3.7926570000000002</v>
        <stp/>
        <stp>##V3_BDPV12</stp>
        <stp>ADBE US Equity</stp>
        <stp>CHG_PCT_5D</stp>
        <stp>[DPM - Securities Master List (BBG Linked).xlsx]Equities!R47C23</stp>
        <tr r="W47" s="2"/>
      </tp>
      <tp>
        <v>3.7926570000000002</v>
        <stp/>
        <stp>##V3_BDPV12</stp>
        <stp>ADBE US Equity</stp>
        <stp>CHG_PCT_5D</stp>
        <stp>[DPM - Securities Master List (BBG Linked).xlsx]Equities!R40C23</stp>
        <tr r="W40" s="2"/>
      </tp>
      <tp>
        <v>3.7926570000000002</v>
        <stp/>
        <stp>##V3_BDPV12</stp>
        <stp>ADBE US Equity</stp>
        <stp>CHG_PCT_5D</stp>
        <stp>[DPM - Securities Master List (BBG Linked).xlsx]Equities!R41C23</stp>
        <tr r="W41" s="2"/>
      </tp>
      <tp>
        <v>3.7926570000000002</v>
        <stp/>
        <stp>##V3_BDPV12</stp>
        <stp>ADBE US Equity</stp>
        <stp>CHG_PCT_5D</stp>
        <stp>[DPM - Securities Master List (BBG Linked).xlsx]Equities!R42C23</stp>
        <tr r="W42" s="2"/>
      </tp>
      <tp>
        <v>3.7926570000000002</v>
        <stp/>
        <stp>##V3_BDPV12</stp>
        <stp>ADBE US Equity</stp>
        <stp>CHG_PCT_5D</stp>
        <stp>[DPM - Securities Master List (BBG Linked).xlsx]Equities!R43C23</stp>
        <tr r="W43" s="2"/>
      </tp>
      <tp>
        <v>3.7926570000000002</v>
        <stp/>
        <stp>##V3_BDPV12</stp>
        <stp>ADBE US Equity</stp>
        <stp>CHG_PCT_5D</stp>
        <stp>[DPM - Securities Master List (BBG Linked).xlsx]Equities!R48C23</stp>
        <tr r="W48" s="2"/>
      </tp>
      <tp>
        <v>3.7926570000000002</v>
        <stp/>
        <stp>##V3_BDPV12</stp>
        <stp>ADBE US Equity</stp>
        <stp>CHG_PCT_5D</stp>
        <stp>[DPM - Securities Master List (BBG Linked).xlsx]Equities!R49C23</stp>
        <tr r="W49" s="2"/>
      </tp>
      <tp>
        <v>3.192307710647583</v>
        <stp/>
        <stp>##V3_BDPV12</stp>
        <stp>GSK LN Equity</stp>
        <stp>EE201</stp>
        <stp>[DPM - Securities Master List (BBG Linked).xlsx]Equities!R145C37</stp>
        <tr r="AK145" s="2"/>
        <tr r="AK145" s="2"/>
        <tr r="AK145" s="2"/>
      </tp>
      <tp>
        <v>3.192307710647583</v>
        <stp/>
        <stp>##V3_BDPV12</stp>
        <stp>GSK LN Equity</stp>
        <stp>EE201</stp>
        <stp>[DPM - Securities Master List (BBG Linked).xlsx]Equities!R144C37</stp>
        <tr r="AK144" s="2"/>
        <tr r="AK144" s="2"/>
        <tr r="AK144" s="2"/>
      </tp>
      <tp>
        <v>3.192307710647583</v>
        <stp/>
        <stp>##V3_BDPV12</stp>
        <stp>GSK LN Equity</stp>
        <stp>EE201</stp>
        <stp>[DPM - Securities Master List (BBG Linked).xlsx]Equities!R143C37</stp>
        <tr r="AK143" s="2"/>
        <tr r="AK143" s="2"/>
        <tr r="AK143" s="2"/>
      </tp>
      <tp>
        <v>3.192307710647583</v>
        <stp/>
        <stp>##V3_BDPV12</stp>
        <stp>GSK LN Equity</stp>
        <stp>EE201</stp>
        <stp>[DPM - Securities Master List (BBG Linked).xlsx]Equities!R142C37</stp>
        <tr r="AK142" s="2"/>
        <tr r="AK142" s="2"/>
        <tr r="AK142" s="2"/>
      </tp>
      <tp>
        <v>-23.726800000000001</v>
        <stp/>
        <stp>##V3_BDPV12</stp>
        <stp>ADBE US Equity</stp>
        <stp>CHG_PCT_6M</stp>
        <stp>[DPM - Securities Master List (BBG Linked).xlsx]Equities!R36C42</stp>
        <tr r="AP36" s="2"/>
      </tp>
      <tp>
        <v>-23.726800000000001</v>
        <stp/>
        <stp>##V3_BDPV12</stp>
        <stp>ADBE US Equity</stp>
        <stp>CHG_PCT_6M</stp>
        <stp>[DPM - Securities Master List (BBG Linked).xlsx]Equities!R37C42</stp>
        <tr r="AP37" s="2"/>
      </tp>
      <tp>
        <v>-23.726800000000001</v>
        <stp/>
        <stp>##V3_BDPV12</stp>
        <stp>ADBE US Equity</stp>
        <stp>CHG_PCT_6M</stp>
        <stp>[DPM - Securities Master List (BBG Linked).xlsx]Equities!R38C42</stp>
        <tr r="AP38" s="2"/>
      </tp>
      <tp>
        <v>-23.726800000000001</v>
        <stp/>
        <stp>##V3_BDPV12</stp>
        <stp>ADBE US Equity</stp>
        <stp>CHG_PCT_6M</stp>
        <stp>[DPM - Securities Master List (BBG Linked).xlsx]Equities!R39C42</stp>
        <tr r="AP39" s="2"/>
      </tp>
      <tp>
        <v>-23.726800000000001</v>
        <stp/>
        <stp>##V3_BDPV12</stp>
        <stp>ADBE US Equity</stp>
        <stp>CHG_PCT_6M</stp>
        <stp>[DPM - Securities Master List (BBG Linked).xlsx]Equities!R44C42</stp>
        <tr r="AP44" s="2"/>
      </tp>
      <tp>
        <v>-23.726800000000001</v>
        <stp/>
        <stp>##V3_BDPV12</stp>
        <stp>ADBE US Equity</stp>
        <stp>CHG_PCT_6M</stp>
        <stp>[DPM - Securities Master List (BBG Linked).xlsx]Equities!R45C42</stp>
        <tr r="AP45" s="2"/>
      </tp>
      <tp>
        <v>-23.726800000000001</v>
        <stp/>
        <stp>##V3_BDPV12</stp>
        <stp>ADBE US Equity</stp>
        <stp>CHG_PCT_6M</stp>
        <stp>[DPM - Securities Master List (BBG Linked).xlsx]Equities!R46C42</stp>
        <tr r="AP46" s="2"/>
      </tp>
      <tp>
        <v>-23.726800000000001</v>
        <stp/>
        <stp>##V3_BDPV12</stp>
        <stp>ADBE US Equity</stp>
        <stp>CHG_PCT_6M</stp>
        <stp>[DPM - Securities Master List (BBG Linked).xlsx]Equities!R47C42</stp>
        <tr r="AP47" s="2"/>
      </tp>
      <tp>
        <v>-23.726800000000001</v>
        <stp/>
        <stp>##V3_BDPV12</stp>
        <stp>ADBE US Equity</stp>
        <stp>CHG_PCT_6M</stp>
        <stp>[DPM - Securities Master List (BBG Linked).xlsx]Equities!R40C42</stp>
        <tr r="AP40" s="2"/>
      </tp>
      <tp>
        <v>-23.726800000000001</v>
        <stp/>
        <stp>##V3_BDPV12</stp>
        <stp>ADBE US Equity</stp>
        <stp>CHG_PCT_6M</stp>
        <stp>[DPM - Securities Master List (BBG Linked).xlsx]Equities!R41C42</stp>
        <tr r="AP41" s="2"/>
      </tp>
      <tp>
        <v>-23.726800000000001</v>
        <stp/>
        <stp>##V3_BDPV12</stp>
        <stp>ADBE US Equity</stp>
        <stp>CHG_PCT_6M</stp>
        <stp>[DPM - Securities Master List (BBG Linked).xlsx]Equities!R42C42</stp>
        <tr r="AP42" s="2"/>
      </tp>
      <tp>
        <v>-23.726800000000001</v>
        <stp/>
        <stp>##V3_BDPV12</stp>
        <stp>ADBE US Equity</stp>
        <stp>CHG_PCT_6M</stp>
        <stp>[DPM - Securities Master List (BBG Linked).xlsx]Equities!R43C42</stp>
        <tr r="AP43" s="2"/>
      </tp>
      <tp>
        <v>-23.726800000000001</v>
        <stp/>
        <stp>##V3_BDPV12</stp>
        <stp>ADBE US Equity</stp>
        <stp>CHG_PCT_6M</stp>
        <stp>[DPM - Securities Master List (BBG Linked).xlsx]Equities!R48C42</stp>
        <tr r="AP48" s="2"/>
      </tp>
      <tp>
        <v>-23.726800000000001</v>
        <stp/>
        <stp>##V3_BDPV12</stp>
        <stp>ADBE US Equity</stp>
        <stp>CHG_PCT_6M</stp>
        <stp>[DPM - Securities Master List (BBG Linked).xlsx]Equities!R49C42</stp>
        <tr r="AP49" s="2"/>
      </tp>
      <tp>
        <v>1.0470790000000001</v>
        <stp/>
        <stp>##V3_BDPV12</stp>
        <stp>ADBE US Equity</stp>
        <stp>CHG_PCT_1D</stp>
        <stp>[DPM - Securities Master List (BBG Linked).xlsx]Equities!R36C22</stp>
        <tr r="V36" s="2"/>
      </tp>
      <tp>
        <v>1.0470790000000001</v>
        <stp/>
        <stp>##V3_BDPV12</stp>
        <stp>ADBE US Equity</stp>
        <stp>CHG_PCT_1D</stp>
        <stp>[DPM - Securities Master List (BBG Linked).xlsx]Equities!R37C22</stp>
        <tr r="V37" s="2"/>
      </tp>
      <tp>
        <v>1.0470790000000001</v>
        <stp/>
        <stp>##V3_BDPV12</stp>
        <stp>ADBE US Equity</stp>
        <stp>CHG_PCT_1D</stp>
        <stp>[DPM - Securities Master List (BBG Linked).xlsx]Equities!R38C22</stp>
        <tr r="V38" s="2"/>
      </tp>
      <tp>
        <v>1.0470790000000001</v>
        <stp/>
        <stp>##V3_BDPV12</stp>
        <stp>ADBE US Equity</stp>
        <stp>CHG_PCT_1D</stp>
        <stp>[DPM - Securities Master List (BBG Linked).xlsx]Equities!R39C22</stp>
        <tr r="V39" s="2"/>
      </tp>
      <tp>
        <v>1.0470790000000001</v>
        <stp/>
        <stp>##V3_BDPV12</stp>
        <stp>ADBE US Equity</stp>
        <stp>CHG_PCT_1D</stp>
        <stp>[DPM - Securities Master List (BBG Linked).xlsx]Equities!R44C22</stp>
        <tr r="V44" s="2"/>
      </tp>
      <tp>
        <v>1.0470790000000001</v>
        <stp/>
        <stp>##V3_BDPV12</stp>
        <stp>ADBE US Equity</stp>
        <stp>CHG_PCT_1D</stp>
        <stp>[DPM - Securities Master List (BBG Linked).xlsx]Equities!R45C22</stp>
        <tr r="V45" s="2"/>
      </tp>
      <tp>
        <v>1.0470790000000001</v>
        <stp/>
        <stp>##V3_BDPV12</stp>
        <stp>ADBE US Equity</stp>
        <stp>CHG_PCT_1D</stp>
        <stp>[DPM - Securities Master List (BBG Linked).xlsx]Equities!R46C22</stp>
        <tr r="V46" s="2"/>
      </tp>
      <tp>
        <v>1.0470790000000001</v>
        <stp/>
        <stp>##V3_BDPV12</stp>
        <stp>ADBE US Equity</stp>
        <stp>CHG_PCT_1D</stp>
        <stp>[DPM - Securities Master List (BBG Linked).xlsx]Equities!R47C22</stp>
        <tr r="V47" s="2"/>
      </tp>
      <tp>
        <v>1.0470790000000001</v>
        <stp/>
        <stp>##V3_BDPV12</stp>
        <stp>ADBE US Equity</stp>
        <stp>CHG_PCT_1D</stp>
        <stp>[DPM - Securities Master List (BBG Linked).xlsx]Equities!R40C22</stp>
        <tr r="V40" s="2"/>
      </tp>
      <tp>
        <v>1.0470790000000001</v>
        <stp/>
        <stp>##V3_BDPV12</stp>
        <stp>ADBE US Equity</stp>
        <stp>CHG_PCT_1D</stp>
        <stp>[DPM - Securities Master List (BBG Linked).xlsx]Equities!R41C22</stp>
        <tr r="V41" s="2"/>
      </tp>
      <tp>
        <v>1.0470790000000001</v>
        <stp/>
        <stp>##V3_BDPV12</stp>
        <stp>ADBE US Equity</stp>
        <stp>CHG_PCT_1D</stp>
        <stp>[DPM - Securities Master List (BBG Linked).xlsx]Equities!R42C22</stp>
        <tr r="V42" s="2"/>
      </tp>
      <tp>
        <v>1.0470790000000001</v>
        <stp/>
        <stp>##V3_BDPV12</stp>
        <stp>ADBE US Equity</stp>
        <stp>CHG_PCT_1D</stp>
        <stp>[DPM - Securities Master List (BBG Linked).xlsx]Equities!R43C22</stp>
        <tr r="V43" s="2"/>
      </tp>
      <tp>
        <v>1.0470790000000001</v>
        <stp/>
        <stp>##V3_BDPV12</stp>
        <stp>ADBE US Equity</stp>
        <stp>CHG_PCT_1D</stp>
        <stp>[DPM - Securities Master List (BBG Linked).xlsx]Equities!R48C22</stp>
        <tr r="V48" s="2"/>
      </tp>
      <tp>
        <v>1.0470790000000001</v>
        <stp/>
        <stp>##V3_BDPV12</stp>
        <stp>ADBE US Equity</stp>
        <stp>CHG_PCT_1D</stp>
        <stp>[DPM - Securities Master List (BBG Linked).xlsx]Equities!R49C22</stp>
        <tr r="V49" s="2"/>
      </tp>
      <tp>
        <v>-17.090250000000001</v>
        <stp/>
        <stp>##V3_BDPV12</stp>
        <stp>DIS US Equity</stp>
        <stp>PR079</stp>
        <stp>[DPM - Securities Master List (BBG Linked).xlsx]Equities!R115C43</stp>
        <tr r="AQ115" s="2"/>
      </tp>
      <tp>
        <v>-17.090250000000001</v>
        <stp/>
        <stp>##V3_BDPV12</stp>
        <stp>DIS US Equity</stp>
        <stp>PR079</stp>
        <stp>[DPM - Securities Master List (BBG Linked).xlsx]Equities!R114C43</stp>
        <tr r="AQ114" s="2"/>
      </tp>
      <tp>
        <v>-17.090250000000001</v>
        <stp/>
        <stp>##V3_BDPV12</stp>
        <stp>DIS US Equity</stp>
        <stp>PR079</stp>
        <stp>[DPM - Securities Master List (BBG Linked).xlsx]Equities!R113C43</stp>
        <tr r="AQ113" s="2"/>
      </tp>
      <tp>
        <v>-17.090250000000001</v>
        <stp/>
        <stp>##V3_BDPV12</stp>
        <stp>DIS US Equity</stp>
        <stp>PR079</stp>
        <stp>[DPM - Securities Master List (BBG Linked).xlsx]Equities!R112C43</stp>
        <tr r="AQ112" s="2"/>
      </tp>
      <tp t="s">
        <v>GB0007908733</v>
        <stp/>
        <stp>##V3_BDPV12</stp>
        <stp>SSE LN Equity</stp>
        <stp>ID005</stp>
        <stp>[DPM - Securities Master List (BBG Linked).xlsx]Equities!R249C55</stp>
        <tr r="BC249" s="2"/>
      </tp>
      <tp t="s">
        <v>GB0007908733</v>
        <stp/>
        <stp>##V3_BDPV12</stp>
        <stp>SSE LN Equity</stp>
        <stp>ID005</stp>
        <stp>[DPM - Securities Master List (BBG Linked).xlsx]Equities!R248C55</stp>
        <tr r="BC248" s="2"/>
      </tp>
      <tp t="s">
        <v>GB0007908733</v>
        <stp/>
        <stp>##V3_BDPV12</stp>
        <stp>SSE LN Equity</stp>
        <stp>ID005</stp>
        <stp>[DPM - Securities Master List (BBG Linked).xlsx]Equities!R245C55</stp>
        <tr r="BC245" s="2"/>
      </tp>
      <tp t="s">
        <v>GB0007908733</v>
        <stp/>
        <stp>##V3_BDPV12</stp>
        <stp>SSE LN Equity</stp>
        <stp>ID005</stp>
        <stp>[DPM - Securities Master List (BBG Linked).xlsx]Equities!R244C55</stp>
        <tr r="BC244" s="2"/>
      </tp>
      <tp t="s">
        <v>GB0007908733</v>
        <stp/>
        <stp>##V3_BDPV12</stp>
        <stp>SSE LN Equity</stp>
        <stp>ID005</stp>
        <stp>[DPM - Securities Master List (BBG Linked).xlsx]Equities!R247C55</stp>
        <tr r="BC247" s="2"/>
      </tp>
      <tp t="s">
        <v>GB0007908733</v>
        <stp/>
        <stp>##V3_BDPV12</stp>
        <stp>SSE LN Equity</stp>
        <stp>ID005</stp>
        <stp>[DPM - Securities Master List (BBG Linked).xlsx]Equities!R246C55</stp>
        <tr r="BC246" s="2"/>
      </tp>
      <tp t="s">
        <v>GB0007908733</v>
        <stp/>
        <stp>##V3_BDPV12</stp>
        <stp>SSE LN Equity</stp>
        <stp>ID005</stp>
        <stp>[DPM - Securities Master List (BBG Linked).xlsx]Equities!R258C55</stp>
        <tr r="BC258" s="2"/>
      </tp>
      <tp t="s">
        <v>GB0007908733</v>
        <stp/>
        <stp>##V3_BDPV12</stp>
        <stp>SSE LN Equity</stp>
        <stp>ID005</stp>
        <stp>[DPM - Securities Master List (BBG Linked).xlsx]Equities!R251C55</stp>
        <tr r="BC251" s="2"/>
      </tp>
      <tp t="s">
        <v>GB0007908733</v>
        <stp/>
        <stp>##V3_BDPV12</stp>
        <stp>SSE LN Equity</stp>
        <stp>ID005</stp>
        <stp>[DPM - Securities Master List (BBG Linked).xlsx]Equities!R250C55</stp>
        <tr r="BC250" s="2"/>
      </tp>
      <tp t="s">
        <v>GB0007908733</v>
        <stp/>
        <stp>##V3_BDPV12</stp>
        <stp>SSE LN Equity</stp>
        <stp>ID005</stp>
        <stp>[DPM - Securities Master List (BBG Linked).xlsx]Equities!R252C55</stp>
        <tr r="BC252" s="2"/>
      </tp>
      <tp t="s">
        <v>GB0007908733</v>
        <stp/>
        <stp>##V3_BDPV12</stp>
        <stp>SSE LN Equity</stp>
        <stp>ID005</stp>
        <stp>[DPM - Securities Master List (BBG Linked).xlsx]Equities!R255C55</stp>
        <tr r="BC255" s="2"/>
      </tp>
      <tp t="s">
        <v>GB0007908733</v>
        <stp/>
        <stp>##V3_BDPV12</stp>
        <stp>SSE LN Equity</stp>
        <stp>ID005</stp>
        <stp>[DPM - Securities Master List (BBG Linked).xlsx]Equities!R254C55</stp>
        <tr r="BC254" s="2"/>
      </tp>
      <tp t="s">
        <v>GB0007908733</v>
        <stp/>
        <stp>##V3_BDPV12</stp>
        <stp>SSE LN Equity</stp>
        <stp>ID005</stp>
        <stp>[DPM - Securities Master List (BBG Linked).xlsx]Equities!R257C55</stp>
        <tr r="BC257" s="2"/>
      </tp>
      <tp t="s">
        <v>GB0007908733</v>
        <stp/>
        <stp>##V3_BDPV12</stp>
        <stp>SSE LN Equity</stp>
        <stp>ID005</stp>
        <stp>[DPM - Securities Master List (BBG Linked).xlsx]Equities!R256C55</stp>
        <tr r="BC256" s="2"/>
      </tp>
      <tp t="s">
        <v>Intel Corp</v>
        <stp/>
        <stp>##V3_BDPV12</stp>
        <stp>INTC US Equity</stp>
        <stp>SECURITY NAME</stp>
        <stp>[DPM - Securities Master List (BBG Linked).xlsx]Equities!R147C5</stp>
        <tr r="E147" s="2"/>
      </tp>
      <tp t="s">
        <v>Tesco PLC</v>
        <stp/>
        <stp>##V3_BDPV12</stp>
        <stp>TSCO LN Equity</stp>
        <stp>SECURITY NAME</stp>
        <stp>[DPM - Securities Master List (BBG Linked).xlsx]Equities!R273C5</stp>
        <tr r="E273" s="2"/>
      </tp>
      <tp t="s">
        <v>Tesco PLC</v>
        <stp/>
        <stp>##V3_BDPV12</stp>
        <stp>TSCO LN Equity</stp>
        <stp>SECURITY NAME</stp>
        <stp>[DPM - Securities Master List (BBG Linked).xlsx]Equities!R263C5</stp>
        <tr r="E263" s="2"/>
      </tp>
      <tp t="s">
        <v>USD</v>
        <stp/>
        <stp>##V3_BDPV12</stp>
        <stp>PYPL US Equity</stp>
        <stp>CRNCY</stp>
        <stp>[DPM - Securities Master List (BBG Linked).xlsx]Equities!R238C6</stp>
        <tr r="F238" s="2"/>
      </tp>
      <tp t="s">
        <v>USD</v>
        <stp/>
        <stp>##V3_BDPV12</stp>
        <stp>MSFT US Equity</stp>
        <stp>CRNCY</stp>
        <stp>[DPM - Securities Master List (BBG Linked).xlsx]Equities!R172C6</stp>
        <tr r="F172" s="2"/>
      </tp>
      <tp t="s">
        <v>USD</v>
        <stp/>
        <stp>##V3_BDPV12</stp>
        <stp>MSFT US Equity</stp>
        <stp>CRNCY</stp>
        <stp>[DPM - Securities Master List (BBG Linked).xlsx]Equities!R182C6</stp>
        <tr r="F182" s="2"/>
      </tp>
      <tp>
        <v>15990.382764689999</v>
        <stp/>
        <stp>##V3_BDPV12</stp>
        <stp>ON US Equity</stp>
        <stp>CRNCY_ADJ_MKT_CAP</stp>
        <stp>[DPM - Securities Master List (BBG Linked).xlsx]Equities!R226C9</stp>
        <stp>EQY_FUND_CRNCY=USD</stp>
        <tr r="I226" s="2"/>
      </tp>
      <tp>
        <v>2756525.5750569496</v>
        <stp/>
        <stp>##V3_BDPV12</stp>
        <stp>NVDA US Equity</stp>
        <stp>CRNCY_ADJ_MKT_CAP</stp>
        <stp>[DPM - Securities Master List (BBG Linked).xlsx]Equities!R224C9</stp>
        <stp>EQY_FUND_CRNCY=USD</stp>
        <tr r="I224" s="2"/>
      </tp>
      <tp t="s">
        <v>GSK PLC</v>
        <stp/>
        <stp>##V3_BDPV12</stp>
        <stp>GSK LN Equity</stp>
        <stp>SECURITY NAME</stp>
        <stp>[DPM - Securities Master List (BBG Linked).xlsx]Equities!R145C5</stp>
        <tr r="E145" s="2"/>
      </tp>
      <tp t="s">
        <v>Drax Group PLC</v>
        <stp/>
        <stp>##V3_BDPV12</stp>
        <stp>DRX LN Equity</stp>
        <stp>SECURITY NAME</stp>
        <stp>[DPM - Securities Master List (BBG Linked).xlsx]Equities!R116C5</stp>
        <tr r="E116" s="2"/>
      </tp>
      <tp t="s">
        <v>Zimmer Biomet Holdings Inc</v>
        <stp/>
        <stp>##V3_BDPV12</stp>
        <stp>ZBH US Equity</stp>
        <stp>SECURITY NAME</stp>
        <stp>[DPM - Securities Master List (BBG Linked).xlsx]Equities!R301C5</stp>
        <tr r="E301" s="2"/>
      </tp>
      <tp t="s">
        <v>Newmont Corp</v>
        <stp/>
        <stp>##V3_BDPV12</stp>
        <stp>NEM AT Equity</stp>
        <stp>SECURITY NAME</stp>
        <stp>[DPM - Securities Master List (BBG Linked).xlsx]Equities!R191C5</stp>
        <tr r="E191" s="2"/>
      </tp>
      <tp t="s">
        <v>Kering SA</v>
        <stp/>
        <stp>##V3_BDPV12</stp>
        <stp>KER FP Equity</stp>
        <stp>SECURITY NAME</stp>
        <stp>[DPM - Securities Master List (BBG Linked).xlsx]Equities!R153C5</stp>
        <tr r="E153" s="2"/>
      </tp>
      <tp t="s">
        <v>GBp</v>
        <stp/>
        <stp>##V3_BDPV12</stp>
        <stp>SSE LN Equity</stp>
        <stp>CRNCY</stp>
        <stp>[DPM - Securities Master List (BBG Linked).xlsx]Equities!R249C6</stp>
        <tr r="F249" s="2"/>
      </tp>
      <tp t="s">
        <v>EUR</v>
        <stp/>
        <stp>##V3_BDPV12</stp>
        <stp>TTE FP Equity</stp>
        <stp>CRNCY</stp>
        <stp>[DPM - Securities Master List (BBG Linked).xlsx]Equities!R284C6</stp>
        <tr r="F284" s="2"/>
      </tp>
      <tp>
        <v>96.12</v>
        <stp/>
        <stp>##V3_BDPV12</stp>
        <stp>VOW3 GY Equity</stp>
        <stp>PX_LAST</stp>
        <stp>[DPM - Securities Master List (BBG Linked).xlsx]Equities!R289C17</stp>
        <tr r="Q289" s="2"/>
      </tp>
      <tp>
        <v>96.12</v>
        <stp/>
        <stp>##V3_BDPV12</stp>
        <stp>VOW3 GY Equity</stp>
        <stp>PX_LAST</stp>
        <stp>[DPM - Securities Master List (BBG Linked).xlsx]Equities!R291C17</stp>
        <tr r="Q291" s="2"/>
      </tp>
      <tp>
        <v>96.12</v>
        <stp/>
        <stp>##V3_BDPV12</stp>
        <stp>VOW3 GY Equity</stp>
        <stp>PX_LAST</stp>
        <stp>[DPM - Securities Master List (BBG Linked).xlsx]Equities!R290C17</stp>
        <tr r="Q290" s="2"/>
      </tp>
      <tp>
        <v>96.12</v>
        <stp/>
        <stp>##V3_BDPV12</stp>
        <stp>VOW3 GY Equity</stp>
        <stp>PX_LAST</stp>
        <stp>[DPM - Securities Master List (BBG Linked).xlsx]Equities!R293C17</stp>
        <tr r="Q293" s="2"/>
      </tp>
      <tp>
        <v>96.12</v>
        <stp/>
        <stp>##V3_BDPV12</stp>
        <stp>VOW3 GY Equity</stp>
        <stp>PX_LAST</stp>
        <stp>[DPM - Securities Master List (BBG Linked).xlsx]Equities!R292C17</stp>
        <tr r="Q292" s="2"/>
      </tp>
      <tp>
        <v>0.50655019999999995</v>
        <stp/>
        <stp>##V3_BDPV12</stp>
        <stp>NKE US Equity</stp>
        <stp>PR061</stp>
        <stp>[DPM - Securities Master List (BBG Linked).xlsx]Equities!R221C40</stp>
        <tr r="AN221" s="2"/>
      </tp>
      <tp>
        <v>0.50655019999999995</v>
        <stp/>
        <stp>##V3_BDPV12</stp>
        <stp>NKE US Equity</stp>
        <stp>PR061</stp>
        <stp>[DPM - Securities Master List (BBG Linked).xlsx]Equities!R220C40</stp>
        <tr r="AN220" s="2"/>
      </tp>
      <tp>
        <v>0.50655019999999995</v>
        <stp/>
        <stp>##V3_BDPV12</stp>
        <stp>NKE US Equity</stp>
        <stp>PR061</stp>
        <stp>[DPM - Securities Master List (BBG Linked).xlsx]Equities!R222C40</stp>
        <tr r="AN222" s="2"/>
      </tp>
      <tp>
        <v>0.50655019999999995</v>
        <stp/>
        <stp>##V3_BDPV12</stp>
        <stp>NKE US Equity</stp>
        <stp>PR061</stp>
        <stp>[DPM - Securities Master List (BBG Linked).xlsx]Equities!R219C40</stp>
        <tr r="AN219" s="2"/>
      </tp>
      <tp>
        <v>0.50655019999999995</v>
        <stp/>
        <stp>##V3_BDPV12</stp>
        <stp>NKE US Equity</stp>
        <stp>PR061</stp>
        <stp>[DPM - Securities Master List (BBG Linked).xlsx]Equities!R218C40</stp>
        <tr r="AN218" s="2"/>
      </tp>
      <tp>
        <v>0.50655019999999995</v>
        <stp/>
        <stp>##V3_BDPV12</stp>
        <stp>NKE US Equity</stp>
        <stp>PR061</stp>
        <stp>[DPM - Securities Master List (BBG Linked).xlsx]Equities!R215C40</stp>
        <tr r="AN215" s="2"/>
      </tp>
      <tp>
        <v>0.50655019999999995</v>
        <stp/>
        <stp>##V3_BDPV12</stp>
        <stp>NKE US Equity</stp>
        <stp>PR061</stp>
        <stp>[DPM - Securities Master List (BBG Linked).xlsx]Equities!R214C40</stp>
        <tr r="AN214" s="2"/>
      </tp>
      <tp>
        <v>0.50655019999999995</v>
        <stp/>
        <stp>##V3_BDPV12</stp>
        <stp>NKE US Equity</stp>
        <stp>PR061</stp>
        <stp>[DPM - Securities Master List (BBG Linked).xlsx]Equities!R217C40</stp>
        <tr r="AN217" s="2"/>
      </tp>
      <tp>
        <v>0.50655019999999995</v>
        <stp/>
        <stp>##V3_BDPV12</stp>
        <stp>NKE US Equity</stp>
        <stp>PR061</stp>
        <stp>[DPM - Securities Master List (BBG Linked).xlsx]Equities!R216C40</stp>
        <tr r="AN216" s="2"/>
      </tp>
      <tp>
        <v>0.50655019999999995</v>
        <stp/>
        <stp>##V3_BDPV12</stp>
        <stp>NKE US Equity</stp>
        <stp>PR061</stp>
        <stp>[DPM - Securities Master List (BBG Linked).xlsx]Equities!R211C40</stp>
        <tr r="AN211" s="2"/>
      </tp>
      <tp>
        <v>0.50655019999999995</v>
        <stp/>
        <stp>##V3_BDPV12</stp>
        <stp>NKE US Equity</stp>
        <stp>PR061</stp>
        <stp>[DPM - Securities Master List (BBG Linked).xlsx]Equities!R210C40</stp>
        <tr r="AN210" s="2"/>
      </tp>
      <tp>
        <v>0.50655019999999995</v>
        <stp/>
        <stp>##V3_BDPV12</stp>
        <stp>NKE US Equity</stp>
        <stp>PR061</stp>
        <stp>[DPM - Securities Master List (BBG Linked).xlsx]Equities!R213C40</stp>
        <tr r="AN213" s="2"/>
      </tp>
      <tp>
        <v>0.50655019999999995</v>
        <stp/>
        <stp>##V3_BDPV12</stp>
        <stp>NKE US Equity</stp>
        <stp>PR061</stp>
        <stp>[DPM - Securities Master List (BBG Linked).xlsx]Equities!R212C40</stp>
        <tr r="AN212" s="2"/>
      </tp>
      <tp>
        <v>0.50655019999999995</v>
        <stp/>
        <stp>##V3_BDPV12</stp>
        <stp>NKE US Equity</stp>
        <stp>PR061</stp>
        <stp>[DPM - Securities Master List (BBG Linked).xlsx]Equities!R209C40</stp>
        <tr r="AN209" s="2"/>
      </tp>
      <tp>
        <v>0.50655019999999995</v>
        <stp/>
        <stp>##V3_BDPV12</stp>
        <stp>NKE US Equity</stp>
        <stp>PR061</stp>
        <stp>[DPM - Securities Master List (BBG Linked).xlsx]Equities!R208C40</stp>
        <tr r="AN208" s="2"/>
      </tp>
      <tp>
        <v>0.50655019999999995</v>
        <stp/>
        <stp>##V3_BDPV12</stp>
        <stp>NKE US Equity</stp>
        <stp>PR061</stp>
        <stp>[DPM - Securities Master List (BBG Linked).xlsx]Equities!R207C40</stp>
        <tr r="AN207" s="2"/>
      </tp>
      <tp t="s">
        <v>Y</v>
        <stp/>
        <stp>##V3_BDPV12</stp>
        <stp>MDT US Equity</stp>
        <stp>DY997</stp>
        <stp>[DPM - Securities Master List (BBG Linked).xlsx]Equities!R155C47</stp>
        <tr r="AU155" s="2"/>
        <tr r="AU155" s="2"/>
        <tr r="AU155" s="2"/>
      </tp>
      <tp>
        <v>-19.793700000000001</v>
        <stp/>
        <stp>##V3_BDPV12</stp>
        <stp>NKE US Equity</stp>
        <stp>PR064</stp>
        <stp>[DPM - Securities Master List (BBG Linked).xlsx]Equities!R221C41</stp>
        <tr r="AO221" s="2"/>
      </tp>
      <tp>
        <v>-19.793700000000001</v>
        <stp/>
        <stp>##V3_BDPV12</stp>
        <stp>NKE US Equity</stp>
        <stp>PR064</stp>
        <stp>[DPM - Securities Master List (BBG Linked).xlsx]Equities!R220C41</stp>
        <tr r="AO220" s="2"/>
      </tp>
      <tp>
        <v>-19.793700000000001</v>
        <stp/>
        <stp>##V3_BDPV12</stp>
        <stp>NKE US Equity</stp>
        <stp>PR064</stp>
        <stp>[DPM - Securities Master List (BBG Linked).xlsx]Equities!R222C41</stp>
        <tr r="AO222" s="2"/>
      </tp>
      <tp>
        <v>-19.793700000000001</v>
        <stp/>
        <stp>##V3_BDPV12</stp>
        <stp>NKE US Equity</stp>
        <stp>PR064</stp>
        <stp>[DPM - Securities Master List (BBG Linked).xlsx]Equities!R209C41</stp>
        <tr r="AO209" s="2"/>
      </tp>
      <tp>
        <v>-19.793700000000001</v>
        <stp/>
        <stp>##V3_BDPV12</stp>
        <stp>NKE US Equity</stp>
        <stp>PR064</stp>
        <stp>[DPM - Securities Master List (BBG Linked).xlsx]Equities!R208C41</stp>
        <tr r="AO208" s="2"/>
      </tp>
      <tp>
        <v>-19.793700000000001</v>
        <stp/>
        <stp>##V3_BDPV12</stp>
        <stp>NKE US Equity</stp>
        <stp>PR064</stp>
        <stp>[DPM - Securities Master List (BBG Linked).xlsx]Equities!R207C41</stp>
        <tr r="AO207" s="2"/>
      </tp>
      <tp>
        <v>-19.793700000000001</v>
        <stp/>
        <stp>##V3_BDPV12</stp>
        <stp>NKE US Equity</stp>
        <stp>PR064</stp>
        <stp>[DPM - Securities Master List (BBG Linked).xlsx]Equities!R219C41</stp>
        <tr r="AO219" s="2"/>
      </tp>
      <tp>
        <v>-19.793700000000001</v>
        <stp/>
        <stp>##V3_BDPV12</stp>
        <stp>NKE US Equity</stp>
        <stp>PR064</stp>
        <stp>[DPM - Securities Master List (BBG Linked).xlsx]Equities!R218C41</stp>
        <tr r="AO218" s="2"/>
      </tp>
      <tp>
        <v>-19.793700000000001</v>
        <stp/>
        <stp>##V3_BDPV12</stp>
        <stp>NKE US Equity</stp>
        <stp>PR064</stp>
        <stp>[DPM - Securities Master List (BBG Linked).xlsx]Equities!R215C41</stp>
        <tr r="AO215" s="2"/>
      </tp>
      <tp>
        <v>-19.793700000000001</v>
        <stp/>
        <stp>##V3_BDPV12</stp>
        <stp>NKE US Equity</stp>
        <stp>PR064</stp>
        <stp>[DPM - Securities Master List (BBG Linked).xlsx]Equities!R214C41</stp>
        <tr r="AO214" s="2"/>
      </tp>
      <tp>
        <v>-19.793700000000001</v>
        <stp/>
        <stp>##V3_BDPV12</stp>
        <stp>NKE US Equity</stp>
        <stp>PR064</stp>
        <stp>[DPM - Securities Master List (BBG Linked).xlsx]Equities!R217C41</stp>
        <tr r="AO217" s="2"/>
      </tp>
      <tp>
        <v>-19.793700000000001</v>
        <stp/>
        <stp>##V3_BDPV12</stp>
        <stp>NKE US Equity</stp>
        <stp>PR064</stp>
        <stp>[DPM - Securities Master List (BBG Linked).xlsx]Equities!R216C41</stp>
        <tr r="AO216" s="2"/>
      </tp>
      <tp>
        <v>-19.793700000000001</v>
        <stp/>
        <stp>##V3_BDPV12</stp>
        <stp>NKE US Equity</stp>
        <stp>PR064</stp>
        <stp>[DPM - Securities Master List (BBG Linked).xlsx]Equities!R211C41</stp>
        <tr r="AO211" s="2"/>
      </tp>
      <tp>
        <v>-19.793700000000001</v>
        <stp/>
        <stp>##V3_BDPV12</stp>
        <stp>NKE US Equity</stp>
        <stp>PR064</stp>
        <stp>[DPM - Securities Master List (BBG Linked).xlsx]Equities!R210C41</stp>
        <tr r="AO210" s="2"/>
      </tp>
      <tp>
        <v>-19.793700000000001</v>
        <stp/>
        <stp>##V3_BDPV12</stp>
        <stp>NKE US Equity</stp>
        <stp>PR064</stp>
        <stp>[DPM - Securities Master List (BBG Linked).xlsx]Equities!R213C41</stp>
        <tr r="AO213" s="2"/>
      </tp>
      <tp>
        <v>-19.793700000000001</v>
        <stp/>
        <stp>##V3_BDPV12</stp>
        <stp>NKE US Equity</stp>
        <stp>PR064</stp>
        <stp>[DPM - Securities Master List (BBG Linked).xlsx]Equities!R212C41</stp>
        <tr r="AO212" s="2"/>
      </tp>
      <tp t="s">
        <v>Equity</v>
        <stp/>
        <stp>##V3_BDPV12</stp>
        <stp>DRX LN Equity</stp>
        <stp>EX028</stp>
        <stp>[DPM - Securities Master List (BBG Linked).xlsx]Equities!R118C30</stp>
        <tr r="AD118" s="2"/>
        <tr r="AD118" s="2"/>
        <tr r="AD118" s="2"/>
      </tp>
      <tp t="s">
        <v>Equity</v>
        <stp/>
        <stp>##V3_BDPV12</stp>
        <stp>DRX LN Equity</stp>
        <stp>EX028</stp>
        <stp>[DPM - Securities Master List (BBG Linked).xlsx]Equities!R119C30</stp>
        <tr r="AD119" s="2"/>
        <tr r="AD119" s="2"/>
        <tr r="AD119" s="2"/>
      </tp>
      <tp t="s">
        <v>Equity</v>
        <stp/>
        <stp>##V3_BDPV12</stp>
        <stp>DRX LN Equity</stp>
        <stp>EX028</stp>
        <stp>[DPM - Securities Master List (BBG Linked).xlsx]Equities!R116C30</stp>
        <tr r="AD116" s="2"/>
        <tr r="AD116" s="2"/>
        <tr r="AD116" s="2"/>
      </tp>
      <tp t="s">
        <v>Equity</v>
        <stp/>
        <stp>##V3_BDPV12</stp>
        <stp>DRX LN Equity</stp>
        <stp>EX028</stp>
        <stp>[DPM - Securities Master List (BBG Linked).xlsx]Equities!R117C30</stp>
        <tr r="AD117" s="2"/>
        <tr r="AD117" s="2"/>
        <tr r="AD117" s="2"/>
      </tp>
      <tp t="s">
        <v>Equity</v>
        <stp/>
        <stp>##V3_BDPV12</stp>
        <stp>DRX LN Equity</stp>
        <stp>EX028</stp>
        <stp>[DPM - Securities Master List (BBG Linked).xlsx]Equities!R124C30</stp>
        <tr r="AD124" s="2"/>
        <tr r="AD124" s="2"/>
        <tr r="AD124" s="2"/>
      </tp>
      <tp t="s">
        <v>Equity</v>
        <stp/>
        <stp>##V3_BDPV12</stp>
        <stp>DRX LN Equity</stp>
        <stp>EX028</stp>
        <stp>[DPM - Securities Master List (BBG Linked).xlsx]Equities!R122C30</stp>
        <tr r="AD122" s="2"/>
        <tr r="AD122" s="2"/>
        <tr r="AD122" s="2"/>
      </tp>
      <tp t="s">
        <v>Equity</v>
        <stp/>
        <stp>##V3_BDPV12</stp>
        <stp>DRX LN Equity</stp>
        <stp>EX028</stp>
        <stp>[DPM - Securities Master List (BBG Linked).xlsx]Equities!R123C30</stp>
        <tr r="AD123" s="2"/>
        <tr r="AD123" s="2"/>
        <tr r="AD123" s="2"/>
      </tp>
      <tp t="s">
        <v>Equity</v>
        <stp/>
        <stp>##V3_BDPV12</stp>
        <stp>DRX LN Equity</stp>
        <stp>EX028</stp>
        <stp>[DPM - Securities Master List (BBG Linked).xlsx]Equities!R120C30</stp>
        <tr r="AD120" s="2"/>
        <tr r="AD120" s="2"/>
        <tr r="AD120" s="2"/>
      </tp>
      <tp t="s">
        <v>Equity</v>
        <stp/>
        <stp>##V3_BDPV12</stp>
        <stp>DRX LN Equity</stp>
        <stp>EX028</stp>
        <stp>[DPM - Securities Master List (BBG Linked).xlsx]Equities!R121C30</stp>
        <tr r="AD121" s="2"/>
        <tr r="AD121" s="2"/>
        <tr r="AD121" s="2"/>
      </tp>
      <tp t="s">
        <v>Y</v>
        <stp/>
        <stp>##V3_BDPV12</stp>
        <stp>PEP US Equity</stp>
        <stp>DY784</stp>
        <stp>[DPM - Securities Master List (BBG Linked).xlsx]Equities!R227C48</stp>
        <tr r="AV227" s="2"/>
        <tr r="AV227" s="2"/>
        <tr r="AV227" s="2"/>
      </tp>
      <tp t="s">
        <v>Y</v>
        <stp/>
        <stp>##V3_BDPV12</stp>
        <stp>PEP US Equity</stp>
        <stp>DY784</stp>
        <stp>[DPM - Securities Master List (BBG Linked).xlsx]Equities!R228C48</stp>
        <tr r="AV228" s="2"/>
        <tr r="AV228" s="2"/>
        <tr r="AV228" s="2"/>
      </tp>
      <tp t="s">
        <v>Y</v>
        <stp/>
        <stp>##V3_BDPV12</stp>
        <stp>PEP US Equity</stp>
        <stp>DY784</stp>
        <stp>[DPM - Securities Master List (BBG Linked).xlsx]Equities!R229C48</stp>
        <tr r="AV229" s="2"/>
        <tr r="AV229" s="2"/>
        <tr r="AV229" s="2"/>
      </tp>
      <tp t="s">
        <v>Y</v>
        <stp/>
        <stp>##V3_BDPV12</stp>
        <stp>PEP US Equity</stp>
        <stp>DY784</stp>
        <stp>[DPM - Securities Master List (BBG Linked).xlsx]Equities!R234C48</stp>
        <tr r="AV234" s="2"/>
        <tr r="AV234" s="2"/>
        <tr r="AV234" s="2"/>
      </tp>
      <tp t="s">
        <v>Y</v>
        <stp/>
        <stp>##V3_BDPV12</stp>
        <stp>PEP US Equity</stp>
        <stp>DY784</stp>
        <stp>[DPM - Securities Master List (BBG Linked).xlsx]Equities!R235C48</stp>
        <tr r="AV235" s="2"/>
        <tr r="AV235" s="2"/>
        <tr r="AV235" s="2"/>
      </tp>
      <tp t="s">
        <v>Y</v>
        <stp/>
        <stp>##V3_BDPV12</stp>
        <stp>PEP US Equity</stp>
        <stp>DY784</stp>
        <stp>[DPM - Securities Master List (BBG Linked).xlsx]Equities!R236C48</stp>
        <tr r="AV236" s="2"/>
        <tr r="AV236" s="2"/>
        <tr r="AV236" s="2"/>
      </tp>
      <tp t="s">
        <v>Y</v>
        <stp/>
        <stp>##V3_BDPV12</stp>
        <stp>PEP US Equity</stp>
        <stp>DY784</stp>
        <stp>[DPM - Securities Master List (BBG Linked).xlsx]Equities!R230C48</stp>
        <tr r="AV230" s="2"/>
        <tr r="AV230" s="2"/>
        <tr r="AV230" s="2"/>
      </tp>
      <tp t="s">
        <v>Y</v>
        <stp/>
        <stp>##V3_BDPV12</stp>
        <stp>PEP US Equity</stp>
        <stp>DY784</stp>
        <stp>[DPM - Securities Master List (BBG Linked).xlsx]Equities!R231C48</stp>
        <tr r="AV231" s="2"/>
        <tr r="AV231" s="2"/>
        <tr r="AV231" s="2"/>
      </tp>
      <tp t="s">
        <v>Y</v>
        <stp/>
        <stp>##V3_BDPV12</stp>
        <stp>PEP US Equity</stp>
        <stp>DY784</stp>
        <stp>[DPM - Securities Master List (BBG Linked).xlsx]Equities!R232C48</stp>
        <tr r="AV232" s="2"/>
        <tr r="AV232" s="2"/>
        <tr r="AV232" s="2"/>
      </tp>
      <tp t="s">
        <v>Y</v>
        <stp/>
        <stp>##V3_BDPV12</stp>
        <stp>PEP US Equity</stp>
        <stp>DY784</stp>
        <stp>[DPM - Securities Master List (BBG Linked).xlsx]Equities!R233C48</stp>
        <tr r="AV233" s="2"/>
        <tr r="AV233" s="2"/>
        <tr r="AV233" s="2"/>
      </tp>
      <tp>
        <v>31.387743863618045</v>
        <stp/>
        <stp>##V3_BDPV12</stp>
        <stp>NIO US Equity</stp>
        <stp>RR041</stp>
        <stp>[DPM - Securities Master List (BBG Linked).xlsx]Equities!R206C33</stp>
        <tr r="AG206" s="2"/>
        <tr r="AG206" s="2"/>
        <tr r="AG206" s="2"/>
      </tp>
      <tp t="s">
        <v>ANTA Sports Products Ltd</v>
        <stp/>
        <stp>##V3_BDPV12</stp>
        <stp>2020 HK Equity</stp>
        <stp>SECURITY NAME</stp>
        <stp>[DPM - Securities Master List (BBG Linked).xlsx]Equities!R5C5</stp>
        <tr r="E5" s="2"/>
      </tp>
      <tp>
        <v>10</v>
        <stp/>
        <stp>##V3_BDPV12</stp>
        <stp>LUV US Equity</stp>
        <stp>TOT_HOLD_REC</stp>
        <stp>[DPM - Securities Master List (BBG Linked).xlsx]Equities!R154C35</stp>
        <tr r="AI154" s="2"/>
      </tp>
      <tp>
        <v>25.235578613691846</v>
        <stp/>
        <stp>##V3_BDPV12</stp>
        <stp>DIS US Equity</stp>
        <stp>RR041</stp>
        <stp>[DPM - Securities Master List (BBG Linked).xlsx]Equities!R115C33</stp>
        <tr r="AG115" s="2"/>
        <tr r="AG115" s="2"/>
        <tr r="AG115" s="2"/>
      </tp>
      <tp>
        <v>25.235578613691846</v>
        <stp/>
        <stp>##V3_BDPV12</stp>
        <stp>DIS US Equity</stp>
        <stp>RR041</stp>
        <stp>[DPM - Securities Master List (BBG Linked).xlsx]Equities!R114C33</stp>
        <tr r="AG114" s="2"/>
        <tr r="AG114" s="2"/>
        <tr r="AG114" s="2"/>
      </tp>
      <tp>
        <v>25.235578613691846</v>
        <stp/>
        <stp>##V3_BDPV12</stp>
        <stp>DIS US Equity</stp>
        <stp>RR041</stp>
        <stp>[DPM - Securities Master List (BBG Linked).xlsx]Equities!R113C33</stp>
        <tr r="AG113" s="2"/>
        <tr r="AG113" s="2"/>
        <tr r="AG113" s="2"/>
      </tp>
      <tp>
        <v>25.235578613691846</v>
        <stp/>
        <stp>##V3_BDPV12</stp>
        <stp>DIS US Equity</stp>
        <stp>RR041</stp>
        <stp>[DPM - Securities Master List (BBG Linked).xlsx]Equities!R112C33</stp>
        <tr r="AG112" s="2"/>
        <tr r="AG112" s="2"/>
        <tr r="AG112" s="2"/>
      </tp>
      <tp>
        <v>7</v>
        <stp/>
        <stp>##V3_BDPV12</stp>
        <stp>LUV US Equity</stp>
        <stp>TOT_SELL_REC</stp>
        <stp>[DPM - Securities Master List (BBG Linked).xlsx]Equities!R154C36</stp>
        <tr r="AJ154" s="2"/>
      </tp>
      <tp t="s">
        <v>Intel Corp</v>
        <stp/>
        <stp>##V3_BDPV12</stp>
        <stp>INTC US Equity</stp>
        <stp>SECURITY NAME</stp>
        <stp>[DPM - Securities Master List (BBG Linked).xlsx]Equities!R146C5</stp>
        <tr r="E146" s="2"/>
      </tp>
      <tp t="s">
        <v>Tesco PLC</v>
        <stp/>
        <stp>##V3_BDPV12</stp>
        <stp>TSCO LN Equity</stp>
        <stp>SECURITY NAME</stp>
        <stp>[DPM - Securities Master List (BBG Linked).xlsx]Equities!R272C5</stp>
        <tr r="E272" s="2"/>
      </tp>
      <tp t="s">
        <v>Tesco PLC</v>
        <stp/>
        <stp>##V3_BDPV12</stp>
        <stp>TSCO LN Equity</stp>
        <stp>SECURITY NAME</stp>
        <stp>[DPM - Securities Master List (BBG Linked).xlsx]Equities!R262C5</stp>
        <tr r="E262" s="2"/>
      </tp>
      <tp t="s">
        <v>USD</v>
        <stp/>
        <stp>##V3_BDPV12</stp>
        <stp>PYPL US Equity</stp>
        <stp>CRNCY</stp>
        <stp>[DPM - Securities Master List (BBG Linked).xlsx]Equities!R239C6</stp>
        <tr r="F239" s="2"/>
      </tp>
      <tp t="s">
        <v>USD</v>
        <stp/>
        <stp>##V3_BDPV12</stp>
        <stp>MSFT US Equity</stp>
        <stp>CRNCY</stp>
        <stp>[DPM - Securities Master List (BBG Linked).xlsx]Equities!R173C6</stp>
        <tr r="F173" s="2"/>
      </tp>
      <tp t="s">
        <v>USD</v>
        <stp/>
        <stp>##V3_BDPV12</stp>
        <stp>MSFT US Equity</stp>
        <stp>CRNCY</stp>
        <stp>[DPM - Securities Master List (BBG Linked).xlsx]Equities!R183C6</stp>
        <tr r="F183" s="2"/>
      </tp>
      <tp>
        <v>87065.52</v>
        <stp/>
        <stp>##V3_BDPV12</stp>
        <stp>INTC US Equity</stp>
        <stp>CRNCY_ADJ_MKT_CAP</stp>
        <stp>[DPM - Securities Master List (BBG Linked).xlsx]Equities!R146C9</stp>
        <stp>EQY_FUND_CRNCY=USD</stp>
        <tr r="I146" s="2"/>
      </tp>
      <tp>
        <v>87065.52</v>
        <stp/>
        <stp>##V3_BDPV12</stp>
        <stp>INTC US Equity</stp>
        <stp>CRNCY_ADJ_MKT_CAP</stp>
        <stp>[DPM - Securities Master List (BBG Linked).xlsx]Equities!R147C9</stp>
        <stp>EQY_FUND_CRNCY=USD</stp>
        <tr r="I147" s="2"/>
      </tp>
      <tp>
        <v>87065.52</v>
        <stp/>
        <stp>##V3_BDPV12</stp>
        <stp>INTC US Equity</stp>
        <stp>CRNCY_ADJ_MKT_CAP</stp>
        <stp>[DPM - Securities Master List (BBG Linked).xlsx]Equities!R148C9</stp>
        <stp>EQY_FUND_CRNCY=USD</stp>
        <tr r="I148" s="2"/>
      </tp>
      <tp t="s">
        <v>GSK PLC</v>
        <stp/>
        <stp>##V3_BDPV12</stp>
        <stp>GSK LN Equity</stp>
        <stp>SECURITY NAME</stp>
        <stp>[DPM - Securities Master List (BBG Linked).xlsx]Equities!R144C5</stp>
        <tr r="E144" s="2"/>
      </tp>
      <tp t="s">
        <v>Drax Group PLC</v>
        <stp/>
        <stp>##V3_BDPV12</stp>
        <stp>DRX LN Equity</stp>
        <stp>SECURITY NAME</stp>
        <stp>[DPM - Securities Master List (BBG Linked).xlsx]Equities!R117C5</stp>
        <tr r="E117" s="2"/>
      </tp>
      <tp t="s">
        <v>Zimmer Biomet Holdings Inc</v>
        <stp/>
        <stp>##V3_BDPV12</stp>
        <stp>ZBH US Equity</stp>
        <stp>SECURITY NAME</stp>
        <stp>[DPM - Securities Master List (BBG Linked).xlsx]Equities!R300C5</stp>
        <tr r="E300" s="2"/>
      </tp>
      <tp t="s">
        <v>Newmont Corp</v>
        <stp/>
        <stp>##V3_BDPV12</stp>
        <stp>NEM AT Equity</stp>
        <stp>SECURITY NAME</stp>
        <stp>[DPM - Securities Master List (BBG Linked).xlsx]Equities!R190C5</stp>
        <tr r="E190" s="2"/>
      </tp>
      <tp t="s">
        <v>Kering SA</v>
        <stp/>
        <stp>##V3_BDPV12</stp>
        <stp>KER FP Equity</stp>
        <stp>SECURITY NAME</stp>
        <stp>[DPM - Securities Master List (BBG Linked).xlsx]Equities!R152C5</stp>
        <tr r="E152" s="2"/>
      </tp>
      <tp t="s">
        <v>GBp</v>
        <stp/>
        <stp>##V3_BDPV12</stp>
        <stp>SSE LN Equity</stp>
        <stp>CRNCY</stp>
        <stp>[DPM - Securities Master List (BBG Linked).xlsx]Equities!R248C6</stp>
        <tr r="F248" s="2"/>
      </tp>
      <tp t="s">
        <v>GBp</v>
        <stp/>
        <stp>##V3_BDPV12</stp>
        <stp>SSE LN Equity</stp>
        <stp>CRNCY</stp>
        <stp>[DPM - Securities Master List (BBG Linked).xlsx]Equities!R258C6</stp>
        <tr r="F258" s="2"/>
      </tp>
      <tp t="s">
        <v>EUR</v>
        <stp/>
        <stp>##V3_BDPV12</stp>
        <stp>TTE FP Equity</stp>
        <stp>CRNCY</stp>
        <stp>[DPM - Securities Master List (BBG Linked).xlsx]Equities!R285C6</stp>
        <tr r="F285" s="2"/>
      </tp>
      <tp>
        <v>15</v>
        <stp/>
        <stp>##V3_BDPV12</stp>
        <stp>MDT US Equity</stp>
        <stp>TOT_HOLD_REC</stp>
        <stp>[DPM - Securities Master List (BBG Linked).xlsx]Equities!R155C35</stp>
        <tr r="AI155" s="2"/>
      </tp>
      <tp t="s">
        <v>#N/A N/A</v>
        <stp/>
        <stp>##V3_BDPV12</stp>
        <stp>MDT US Equity</stp>
        <stp>DY784</stp>
        <stp>[DPM - Securities Master List (BBG Linked).xlsx]Equities!R155C48</stp>
        <tr r="AV155" s="2"/>
        <tr r="AV155" s="2"/>
      </tp>
      <tp t="s">
        <v>N</v>
        <stp/>
        <stp>##V3_BDPV12</stp>
        <stp>PEP US Equity</stp>
        <stp>DY997</stp>
        <stp>[DPM - Securities Master List (BBG Linked).xlsx]Equities!R232C47</stp>
        <tr r="AU232" s="2"/>
        <tr r="AU232" s="2"/>
        <tr r="AU232" s="2"/>
      </tp>
      <tp t="s">
        <v>N</v>
        <stp/>
        <stp>##V3_BDPV12</stp>
        <stp>PEP US Equity</stp>
        <stp>DY997</stp>
        <stp>[DPM - Securities Master List (BBG Linked).xlsx]Equities!R233C47</stp>
        <tr r="AU233" s="2"/>
        <tr r="AU233" s="2"/>
        <tr r="AU233" s="2"/>
      </tp>
      <tp t="s">
        <v>N</v>
        <stp/>
        <stp>##V3_BDPV12</stp>
        <stp>PEP US Equity</stp>
        <stp>DY997</stp>
        <stp>[DPM - Securities Master List (BBG Linked).xlsx]Equities!R230C47</stp>
        <tr r="AU230" s="2"/>
        <tr r="AU230" s="2"/>
        <tr r="AU230" s="2"/>
      </tp>
      <tp t="s">
        <v>N</v>
        <stp/>
        <stp>##V3_BDPV12</stp>
        <stp>PEP US Equity</stp>
        <stp>DY997</stp>
        <stp>[DPM - Securities Master List (BBG Linked).xlsx]Equities!R231C47</stp>
        <tr r="AU231" s="2"/>
        <tr r="AU231" s="2"/>
        <tr r="AU231" s="2"/>
      </tp>
      <tp t="s">
        <v>N</v>
        <stp/>
        <stp>##V3_BDPV12</stp>
        <stp>PEP US Equity</stp>
        <stp>DY997</stp>
        <stp>[DPM - Securities Master List (BBG Linked).xlsx]Equities!R236C47</stp>
        <tr r="AU236" s="2"/>
        <tr r="AU236" s="2"/>
        <tr r="AU236" s="2"/>
      </tp>
      <tp t="s">
        <v>N</v>
        <stp/>
        <stp>##V3_BDPV12</stp>
        <stp>PEP US Equity</stp>
        <stp>DY997</stp>
        <stp>[DPM - Securities Master List (BBG Linked).xlsx]Equities!R234C47</stp>
        <tr r="AU234" s="2"/>
        <tr r="AU234" s="2"/>
        <tr r="AU234" s="2"/>
      </tp>
      <tp t="s">
        <v>N</v>
        <stp/>
        <stp>##V3_BDPV12</stp>
        <stp>PEP US Equity</stp>
        <stp>DY997</stp>
        <stp>[DPM - Securities Master List (BBG Linked).xlsx]Equities!R235C47</stp>
        <tr r="AU235" s="2"/>
        <tr r="AU235" s="2"/>
        <tr r="AU235" s="2"/>
      </tp>
      <tp t="s">
        <v>N</v>
        <stp/>
        <stp>##V3_BDPV12</stp>
        <stp>PEP US Equity</stp>
        <stp>DY997</stp>
        <stp>[DPM - Securities Master List (BBG Linked).xlsx]Equities!R228C47</stp>
        <tr r="AU228" s="2"/>
        <tr r="AU228" s="2"/>
        <tr r="AU228" s="2"/>
      </tp>
      <tp t="s">
        <v>N</v>
        <stp/>
        <stp>##V3_BDPV12</stp>
        <stp>PEP US Equity</stp>
        <stp>DY997</stp>
        <stp>[DPM - Securities Master List (BBG Linked).xlsx]Equities!R229C47</stp>
        <tr r="AU229" s="2"/>
        <tr r="AU229" s="2"/>
        <tr r="AU229" s="2"/>
      </tp>
      <tp t="s">
        <v>N</v>
        <stp/>
        <stp>##V3_BDPV12</stp>
        <stp>PEP US Equity</stp>
        <stp>DY997</stp>
        <stp>[DPM - Securities Master List (BBG Linked).xlsx]Equities!R227C47</stp>
        <tr r="AU227" s="2"/>
        <tr r="AU227" s="2"/>
        <tr r="AU227" s="2"/>
      </tp>
      <tp t="s">
        <v>#N/A Invalid Field</v>
        <stp/>
        <stp>##V3_BDPV12</stp>
        <stp>3690 HK Equity</stp>
        <stp/>
        <stp>[DPM - Securities Master List (BBG Linked).xlsx]Equities!R14C29</stp>
        <tr r="AC14" s="2"/>
        <tr r="AC14" s="2"/>
      </tp>
      <tp t="s">
        <v>#N/A Invalid Field</v>
        <stp/>
        <stp>##V3_BDPV12</stp>
        <stp>3690 HK Equity</stp>
        <stp/>
        <stp>[DPM - Securities Master List (BBG Linked).xlsx]Equities!R11C29</stp>
        <tr r="AC11" s="2"/>
        <tr r="AC11" s="2"/>
      </tp>
      <tp t="s">
        <v>#N/A Invalid Field</v>
        <stp/>
        <stp>##V3_BDPV12</stp>
        <stp>3690 HK Equity</stp>
        <stp/>
        <stp>[DPM - Securities Master List (BBG Linked).xlsx]Equities!R10C29</stp>
        <tr r="AC10" s="2"/>
        <tr r="AC10" s="2"/>
      </tp>
      <tp t="s">
        <v>#N/A Invalid Field</v>
        <stp/>
        <stp>##V3_BDPV12</stp>
        <stp>3690 HK Equity</stp>
        <stp/>
        <stp>[DPM - Securities Master List (BBG Linked).xlsx]Equities!R13C29</stp>
        <tr r="AC13" s="2"/>
        <tr r="AC13" s="2"/>
      </tp>
      <tp t="s">
        <v>#N/A Invalid Field</v>
        <stp/>
        <stp>##V3_BDPV12</stp>
        <stp>3690 HK Equity</stp>
        <stp/>
        <stp>[DPM - Securities Master List (BBG Linked).xlsx]Equities!R12C29</stp>
        <tr r="AC12" s="2"/>
        <tr r="AC12" s="2"/>
      </tp>
      <tp t="s">
        <v>#N/A N/A</v>
        <stp/>
        <stp>##V3_BDPV12</stp>
        <stp>NIO US Equity</stp>
        <stp>RR957</stp>
        <stp>[DPM - Securities Master List (BBG Linked).xlsx]Equities!R206C14</stp>
        <tr r="N206" s="2"/>
        <tr r="N206" s="2"/>
      </tp>
      <tp>
        <v>2</v>
        <stp/>
        <stp>##V3_BDPV12</stp>
        <stp>MDT US Equity</stp>
        <stp>TOT_SELL_REC</stp>
        <stp>[DPM - Securities Master List (BBG Linked).xlsx]Equities!R155C36</stp>
        <tr r="AJ155" s="2"/>
      </tp>
      <tp>
        <v>-23.959299999999999</v>
        <stp/>
        <stp>##V3_BDPV12</stp>
        <stp>NKE US Equity</stp>
        <stp>PR079</stp>
        <stp>[DPM - Securities Master List (BBG Linked).xlsx]Equities!R209C43</stp>
        <tr r="AQ209" s="2"/>
      </tp>
      <tp>
        <v>-23.959299999999999</v>
        <stp/>
        <stp>##V3_BDPV12</stp>
        <stp>NKE US Equity</stp>
        <stp>PR079</stp>
        <stp>[DPM - Securities Master List (BBG Linked).xlsx]Equities!R208C43</stp>
        <tr r="AQ208" s="2"/>
      </tp>
      <tp>
        <v>-23.959299999999999</v>
        <stp/>
        <stp>##V3_BDPV12</stp>
        <stp>NKE US Equity</stp>
        <stp>PR079</stp>
        <stp>[DPM - Securities Master List (BBG Linked).xlsx]Equities!R207C43</stp>
        <tr r="AQ207" s="2"/>
      </tp>
      <tp>
        <v>-23.959299999999999</v>
        <stp/>
        <stp>##V3_BDPV12</stp>
        <stp>NKE US Equity</stp>
        <stp>PR079</stp>
        <stp>[DPM - Securities Master List (BBG Linked).xlsx]Equities!R219C43</stp>
        <tr r="AQ219" s="2"/>
      </tp>
      <tp>
        <v>-23.959299999999999</v>
        <stp/>
        <stp>##V3_BDPV12</stp>
        <stp>NKE US Equity</stp>
        <stp>PR079</stp>
        <stp>[DPM - Securities Master List (BBG Linked).xlsx]Equities!R218C43</stp>
        <tr r="AQ218" s="2"/>
      </tp>
      <tp>
        <v>-23.959299999999999</v>
        <stp/>
        <stp>##V3_BDPV12</stp>
        <stp>NKE US Equity</stp>
        <stp>PR079</stp>
        <stp>[DPM - Securities Master List (BBG Linked).xlsx]Equities!R215C43</stp>
        <tr r="AQ215" s="2"/>
      </tp>
      <tp>
        <v>-23.959299999999999</v>
        <stp/>
        <stp>##V3_BDPV12</stp>
        <stp>NKE US Equity</stp>
        <stp>PR079</stp>
        <stp>[DPM - Securities Master List (BBG Linked).xlsx]Equities!R214C43</stp>
        <tr r="AQ214" s="2"/>
      </tp>
      <tp>
        <v>-23.959299999999999</v>
        <stp/>
        <stp>##V3_BDPV12</stp>
        <stp>NKE US Equity</stp>
        <stp>PR079</stp>
        <stp>[DPM - Securities Master List (BBG Linked).xlsx]Equities!R217C43</stp>
        <tr r="AQ217" s="2"/>
      </tp>
      <tp>
        <v>-23.959299999999999</v>
        <stp/>
        <stp>##V3_BDPV12</stp>
        <stp>NKE US Equity</stp>
        <stp>PR079</stp>
        <stp>[DPM - Securities Master List (BBG Linked).xlsx]Equities!R216C43</stp>
        <tr r="AQ216" s="2"/>
      </tp>
      <tp>
        <v>-23.959299999999999</v>
        <stp/>
        <stp>##V3_BDPV12</stp>
        <stp>NKE US Equity</stp>
        <stp>PR079</stp>
        <stp>[DPM - Securities Master List (BBG Linked).xlsx]Equities!R211C43</stp>
        <tr r="AQ211" s="2"/>
      </tp>
      <tp>
        <v>-23.959299999999999</v>
        <stp/>
        <stp>##V3_BDPV12</stp>
        <stp>NKE US Equity</stp>
        <stp>PR079</stp>
        <stp>[DPM - Securities Master List (BBG Linked).xlsx]Equities!R210C43</stp>
        <tr r="AQ210" s="2"/>
      </tp>
      <tp>
        <v>-23.959299999999999</v>
        <stp/>
        <stp>##V3_BDPV12</stp>
        <stp>NKE US Equity</stp>
        <stp>PR079</stp>
        <stp>[DPM - Securities Master List (BBG Linked).xlsx]Equities!R213C43</stp>
        <tr r="AQ213" s="2"/>
      </tp>
      <tp>
        <v>-23.959299999999999</v>
        <stp/>
        <stp>##V3_BDPV12</stp>
        <stp>NKE US Equity</stp>
        <stp>PR079</stp>
        <stp>[DPM - Securities Master List (BBG Linked).xlsx]Equities!R212C43</stp>
        <tr r="AQ212" s="2"/>
      </tp>
      <tp>
        <v>-23.959299999999999</v>
        <stp/>
        <stp>##V3_BDPV12</stp>
        <stp>NKE US Equity</stp>
        <stp>PR079</stp>
        <stp>[DPM - Securities Master List (BBG Linked).xlsx]Equities!R221C43</stp>
        <tr r="AQ221" s="2"/>
      </tp>
      <tp>
        <v>-23.959299999999999</v>
        <stp/>
        <stp>##V3_BDPV12</stp>
        <stp>NKE US Equity</stp>
        <stp>PR079</stp>
        <stp>[DPM - Securities Master List (BBG Linked).xlsx]Equities!R220C43</stp>
        <tr r="AQ220" s="2"/>
      </tp>
      <tp>
        <v>-23.959299999999999</v>
        <stp/>
        <stp>##V3_BDPV12</stp>
        <stp>NKE US Equity</stp>
        <stp>PR079</stp>
        <stp>[DPM - Securities Master List (BBG Linked).xlsx]Equities!R222C43</stp>
        <tr r="AQ222" s="2"/>
      </tp>
      <tp t="s">
        <v>ANTA Sports Products Ltd</v>
        <stp/>
        <stp>##V3_BDPV12</stp>
        <stp>2020 HK Equity</stp>
        <stp>SECURITY NAME</stp>
        <stp>[DPM - Securities Master List (BBG Linked).xlsx]Equities!R4C5</stp>
        <tr r="E4" s="2"/>
      </tp>
      <tp>
        <v>579.93499999999995</v>
        <stp/>
        <stp>##V3_BDPV12</stp>
        <stp>REGN Equity</stp>
        <stp>PX_Last</stp>
        <stp>[DPM - Securities Master List (BBG Linked).xlsx]Equities!R240C17</stp>
        <tr r="Q240" s="2"/>
      </tp>
      <tp>
        <v>579.93499999999995</v>
        <stp/>
        <stp>##V3_BDPV12</stp>
        <stp>REGN Equity</stp>
        <stp>PX_last</stp>
        <stp>[DPM - Securities Master List (BBG Linked).xlsx]Equities!R240C17</stp>
        <tr r="Q240" s="2"/>
      </tp>
      <tp t="s">
        <v>Equity</v>
        <stp/>
        <stp>##V3_BDPV12</stp>
        <stp>GSK LN Equity</stp>
        <stp>EX028</stp>
        <stp>[DPM - Securities Master List (BBG Linked).xlsx]Equities!R145C30</stp>
        <tr r="AD145" s="2"/>
        <tr r="AD145" s="2"/>
        <tr r="AD145" s="2"/>
      </tp>
      <tp t="s">
        <v>Equity</v>
        <stp/>
        <stp>##V3_BDPV12</stp>
        <stp>GSK LN Equity</stp>
        <stp>EX028</stp>
        <stp>[DPM - Securities Master List (BBG Linked).xlsx]Equities!R144C30</stp>
        <tr r="AD144" s="2"/>
        <tr r="AD144" s="2"/>
        <tr r="AD144" s="2"/>
      </tp>
      <tp t="s">
        <v>Equity</v>
        <stp/>
        <stp>##V3_BDPV12</stp>
        <stp>GSK LN Equity</stp>
        <stp>EX028</stp>
        <stp>[DPM - Securities Master List (BBG Linked).xlsx]Equities!R143C30</stp>
        <tr r="AD143" s="2"/>
        <tr r="AD143" s="2"/>
        <tr r="AD143" s="2"/>
      </tp>
      <tp t="s">
        <v>Equity</v>
        <stp/>
        <stp>##V3_BDPV12</stp>
        <stp>GSK LN Equity</stp>
        <stp>EX028</stp>
        <stp>[DPM - Securities Master List (BBG Linked).xlsx]Equities!R142C30</stp>
        <tr r="AD142" s="2"/>
        <tr r="AD142" s="2"/>
        <tr r="AD142" s="2"/>
      </tp>
      <tp>
        <v>9</v>
        <stp/>
        <stp>##V3_BDPV12</stp>
        <stp>MRK US Equity</stp>
        <stp>TOT_HOLD_REC</stp>
        <stp>[DPM - Securities Master List (BBG Linked).xlsx]Equities!R158C35</stp>
        <tr r="AI158" s="2"/>
      </tp>
      <tp>
        <v>9</v>
        <stp/>
        <stp>##V3_BDPV12</stp>
        <stp>MRK US Equity</stp>
        <stp>TOT_HOLD_REC</stp>
        <stp>[DPM - Securities Master List (BBG Linked).xlsx]Equities!R159C35</stp>
        <tr r="AI159" s="2"/>
      </tp>
      <tp>
        <v>9</v>
        <stp/>
        <stp>##V3_BDPV12</stp>
        <stp>MRK US Equity</stp>
        <stp>TOT_HOLD_REC</stp>
        <stp>[DPM - Securities Master List (BBG Linked).xlsx]Equities!R157C35</stp>
        <tr r="AI157" s="2"/>
      </tp>
      <tp>
        <v>9</v>
        <stp/>
        <stp>##V3_BDPV12</stp>
        <stp>MRK US Equity</stp>
        <stp>TOT_HOLD_REC</stp>
        <stp>[DPM - Securities Master List (BBG Linked).xlsx]Equities!R168C35</stp>
        <tr r="AI168" s="2"/>
      </tp>
      <tp>
        <v>9</v>
        <stp/>
        <stp>##V3_BDPV12</stp>
        <stp>MRK US Equity</stp>
        <stp>TOT_HOLD_REC</stp>
        <stp>[DPM - Securities Master List (BBG Linked).xlsx]Equities!R169C35</stp>
        <tr r="AI169" s="2"/>
      </tp>
      <tp>
        <v>9</v>
        <stp/>
        <stp>##V3_BDPV12</stp>
        <stp>MRK US Equity</stp>
        <stp>TOT_HOLD_REC</stp>
        <stp>[DPM - Securities Master List (BBG Linked).xlsx]Equities!R166C35</stp>
        <tr r="AI166" s="2"/>
      </tp>
      <tp>
        <v>9</v>
        <stp/>
        <stp>##V3_BDPV12</stp>
        <stp>MRK US Equity</stp>
        <stp>TOT_HOLD_REC</stp>
        <stp>[DPM - Securities Master List (BBG Linked).xlsx]Equities!R167C35</stp>
        <tr r="AI167" s="2"/>
      </tp>
      <tp>
        <v>9</v>
        <stp/>
        <stp>##V3_BDPV12</stp>
        <stp>MRK US Equity</stp>
        <stp>TOT_HOLD_REC</stp>
        <stp>[DPM - Securities Master List (BBG Linked).xlsx]Equities!R164C35</stp>
        <tr r="AI164" s="2"/>
      </tp>
      <tp>
        <v>9</v>
        <stp/>
        <stp>##V3_BDPV12</stp>
        <stp>MRK US Equity</stp>
        <stp>TOT_HOLD_REC</stp>
        <stp>[DPM - Securities Master List (BBG Linked).xlsx]Equities!R165C35</stp>
        <tr r="AI165" s="2"/>
      </tp>
      <tp>
        <v>9</v>
        <stp/>
        <stp>##V3_BDPV12</stp>
        <stp>MRK US Equity</stp>
        <stp>TOT_HOLD_REC</stp>
        <stp>[DPM - Securities Master List (BBG Linked).xlsx]Equities!R162C35</stp>
        <tr r="AI162" s="2"/>
      </tp>
      <tp>
        <v>9</v>
        <stp/>
        <stp>##V3_BDPV12</stp>
        <stp>MRK US Equity</stp>
        <stp>TOT_HOLD_REC</stp>
        <stp>[DPM - Securities Master List (BBG Linked).xlsx]Equities!R163C35</stp>
        <tr r="AI163" s="2"/>
      </tp>
      <tp>
        <v>9</v>
        <stp/>
        <stp>##V3_BDPV12</stp>
        <stp>MRK US Equity</stp>
        <stp>TOT_HOLD_REC</stp>
        <stp>[DPM - Securities Master List (BBG Linked).xlsx]Equities!R160C35</stp>
        <tr r="AI160" s="2"/>
      </tp>
      <tp>
        <v>9</v>
        <stp/>
        <stp>##V3_BDPV12</stp>
        <stp>MRK US Equity</stp>
        <stp>TOT_HOLD_REC</stp>
        <stp>[DPM - Securities Master List (BBG Linked).xlsx]Equities!R161C35</stp>
        <tr r="AI161" s="2"/>
      </tp>
      <tp>
        <v>14.816690110451106</v>
        <stp/>
        <stp>##V3_BDPV12</stp>
        <stp>DIS US Equity</stp>
        <stp>RR957</stp>
        <stp>[DPM - Securities Master List (BBG Linked).xlsx]Equities!R114C14</stp>
        <tr r="N114" s="2"/>
        <tr r="N114" s="2"/>
        <tr r="N114" s="2"/>
      </tp>
      <tp>
        <v>14.816690110451106</v>
        <stp/>
        <stp>##V3_BDPV12</stp>
        <stp>DIS US Equity</stp>
        <stp>RR957</stp>
        <stp>[DPM - Securities Master List (BBG Linked).xlsx]Equities!R115C14</stp>
        <tr r="N115" s="2"/>
        <tr r="N115" s="2"/>
        <tr r="N115" s="2"/>
      </tp>
      <tp>
        <v>14.816690110451106</v>
        <stp/>
        <stp>##V3_BDPV12</stp>
        <stp>DIS US Equity</stp>
        <stp>RR957</stp>
        <stp>[DPM - Securities Master List (BBG Linked).xlsx]Equities!R112C14</stp>
        <tr r="N112" s="2"/>
        <tr r="N112" s="2"/>
        <tr r="N112" s="2"/>
      </tp>
      <tp>
        <v>14.816690110451106</v>
        <stp/>
        <stp>##V3_BDPV12</stp>
        <stp>DIS US Equity</stp>
        <stp>RR957</stp>
        <stp>[DPM - Securities Master List (BBG Linked).xlsx]Equities!R113C14</stp>
        <tr r="N113" s="2"/>
        <tr r="N113" s="2"/>
        <tr r="N113" s="2"/>
      </tp>
      <tp t="s">
        <v>Equity</v>
        <stp/>
        <stp>##V3_BDPV12</stp>
        <stp>SSE LN Equity</stp>
        <stp>EX028</stp>
        <stp>[DPM - Securities Master List (BBG Linked).xlsx]Equities!R258C30</stp>
        <tr r="AD258" s="2"/>
        <tr r="AD258" s="2"/>
        <tr r="AD258" s="2"/>
      </tp>
      <tp t="s">
        <v>Equity</v>
        <stp/>
        <stp>##V3_BDPV12</stp>
        <stp>SSE LN Equity</stp>
        <stp>EX028</stp>
        <stp>[DPM - Securities Master List (BBG Linked).xlsx]Equities!R251C30</stp>
        <tr r="AD251" s="2"/>
        <tr r="AD251" s="2"/>
        <tr r="AD251" s="2"/>
      </tp>
      <tp t="s">
        <v>Equity</v>
        <stp/>
        <stp>##V3_BDPV12</stp>
        <stp>SSE LN Equity</stp>
        <stp>EX028</stp>
        <stp>[DPM - Securities Master List (BBG Linked).xlsx]Equities!R250C30</stp>
        <tr r="AD250" s="2"/>
        <tr r="AD250" s="2"/>
        <tr r="AD250" s="2"/>
      </tp>
      <tp t="s">
        <v>Equity</v>
        <stp/>
        <stp>##V3_BDPV12</stp>
        <stp>SSE LN Equity</stp>
        <stp>EX028</stp>
        <stp>[DPM - Securities Master List (BBG Linked).xlsx]Equities!R253C30</stp>
        <tr r="AD253" s="2"/>
        <tr r="AD253" s="2"/>
        <tr r="AD253" s="2"/>
      </tp>
      <tp t="s">
        <v>Equity</v>
        <stp/>
        <stp>##V3_BDPV12</stp>
        <stp>SSE LN Equity</stp>
        <stp>EX028</stp>
        <stp>[DPM - Securities Master List (BBG Linked).xlsx]Equities!R252C30</stp>
        <tr r="AD252" s="2"/>
        <tr r="AD252" s="2"/>
        <tr r="AD252" s="2"/>
      </tp>
      <tp t="s">
        <v>Equity</v>
        <stp/>
        <stp>##V3_BDPV12</stp>
        <stp>SSE LN Equity</stp>
        <stp>EX028</stp>
        <stp>[DPM - Securities Master List (BBG Linked).xlsx]Equities!R255C30</stp>
        <tr r="AD255" s="2"/>
        <tr r="AD255" s="2"/>
        <tr r="AD255" s="2"/>
      </tp>
      <tp t="s">
        <v>Equity</v>
        <stp/>
        <stp>##V3_BDPV12</stp>
        <stp>SSE LN Equity</stp>
        <stp>EX028</stp>
        <stp>[DPM - Securities Master List (BBG Linked).xlsx]Equities!R254C30</stp>
        <tr r="AD254" s="2"/>
        <tr r="AD254" s="2"/>
        <tr r="AD254" s="2"/>
      </tp>
      <tp t="s">
        <v>Equity</v>
        <stp/>
        <stp>##V3_BDPV12</stp>
        <stp>SSE LN Equity</stp>
        <stp>EX028</stp>
        <stp>[DPM - Securities Master List (BBG Linked).xlsx]Equities!R257C30</stp>
        <tr r="AD257" s="2"/>
        <tr r="AD257" s="2"/>
        <tr r="AD257" s="2"/>
      </tp>
      <tp t="s">
        <v>Equity</v>
        <stp/>
        <stp>##V3_BDPV12</stp>
        <stp>SSE LN Equity</stp>
        <stp>EX028</stp>
        <stp>[DPM - Securities Master List (BBG Linked).xlsx]Equities!R256C30</stp>
        <tr r="AD256" s="2"/>
        <tr r="AD256" s="2"/>
        <tr r="AD256" s="2"/>
      </tp>
      <tp t="s">
        <v>Equity</v>
        <stp/>
        <stp>##V3_BDPV12</stp>
        <stp>SSE LN Equity</stp>
        <stp>EX028</stp>
        <stp>[DPM - Securities Master List (BBG Linked).xlsx]Equities!R249C30</stp>
        <tr r="AD249" s="2"/>
        <tr r="AD249" s="2"/>
        <tr r="AD249" s="2"/>
      </tp>
      <tp t="s">
        <v>Equity</v>
        <stp/>
        <stp>##V3_BDPV12</stp>
        <stp>SSE LN Equity</stp>
        <stp>EX028</stp>
        <stp>[DPM - Securities Master List (BBG Linked).xlsx]Equities!R248C30</stp>
        <tr r="AD248" s="2"/>
        <tr r="AD248" s="2"/>
        <tr r="AD248" s="2"/>
      </tp>
      <tp t="s">
        <v>Equity</v>
        <stp/>
        <stp>##V3_BDPV12</stp>
        <stp>SSE LN Equity</stp>
        <stp>EX028</stp>
        <stp>[DPM - Securities Master List (BBG Linked).xlsx]Equities!R245C30</stp>
        <tr r="AD245" s="2"/>
        <tr r="AD245" s="2"/>
        <tr r="AD245" s="2"/>
      </tp>
      <tp t="s">
        <v>Equity</v>
        <stp/>
        <stp>##V3_BDPV12</stp>
        <stp>SSE LN Equity</stp>
        <stp>EX028</stp>
        <stp>[DPM - Securities Master List (BBG Linked).xlsx]Equities!R244C30</stp>
        <tr r="AD244" s="2"/>
        <tr r="AD244" s="2"/>
        <tr r="AD244" s="2"/>
      </tp>
      <tp t="s">
        <v>Equity</v>
        <stp/>
        <stp>##V3_BDPV12</stp>
        <stp>SSE LN Equity</stp>
        <stp>EX028</stp>
        <stp>[DPM - Securities Master List (BBG Linked).xlsx]Equities!R247C30</stp>
        <tr r="AD247" s="2"/>
        <tr r="AD247" s="2"/>
        <tr r="AD247" s="2"/>
      </tp>
      <tp t="s">
        <v>Equity</v>
        <stp/>
        <stp>##V3_BDPV12</stp>
        <stp>SSE LN Equity</stp>
        <stp>EX028</stp>
        <stp>[DPM - Securities Master List (BBG Linked).xlsx]Equities!R246C30</stp>
        <tr r="AD246" s="2"/>
        <tr r="AD246" s="2"/>
        <tr r="AD246" s="2"/>
      </tp>
      <tp>
        <v>0</v>
        <stp/>
        <stp>##V3_BDPV12</stp>
        <stp>MRK US Equity</stp>
        <stp>TOT_SELL_REC</stp>
        <stp>[DPM - Securities Master List (BBG Linked).xlsx]Equities!R157C36</stp>
        <tr r="AJ157" s="2"/>
      </tp>
      <tp>
        <v>0</v>
        <stp/>
        <stp>##V3_BDPV12</stp>
        <stp>MRK US Equity</stp>
        <stp>TOT_SELL_REC</stp>
        <stp>[DPM - Securities Master List (BBG Linked).xlsx]Equities!R158C36</stp>
        <tr r="AJ158" s="2"/>
      </tp>
      <tp>
        <v>0</v>
        <stp/>
        <stp>##V3_BDPV12</stp>
        <stp>MRK US Equity</stp>
        <stp>TOT_SELL_REC</stp>
        <stp>[DPM - Securities Master List (BBG Linked).xlsx]Equities!R159C36</stp>
        <tr r="AJ159" s="2"/>
      </tp>
      <tp>
        <v>0</v>
        <stp/>
        <stp>##V3_BDPV12</stp>
        <stp>MRK US Equity</stp>
        <stp>TOT_SELL_REC</stp>
        <stp>[DPM - Securities Master List (BBG Linked).xlsx]Equities!R164C36</stp>
        <tr r="AJ164" s="2"/>
      </tp>
      <tp>
        <v>0</v>
        <stp/>
        <stp>##V3_BDPV12</stp>
        <stp>MRK US Equity</stp>
        <stp>TOT_SELL_REC</stp>
        <stp>[DPM - Securities Master List (BBG Linked).xlsx]Equities!R165C36</stp>
        <tr r="AJ165" s="2"/>
      </tp>
      <tp>
        <v>0</v>
        <stp/>
        <stp>##V3_BDPV12</stp>
        <stp>MRK US Equity</stp>
        <stp>TOT_SELL_REC</stp>
        <stp>[DPM - Securities Master List (BBG Linked).xlsx]Equities!R166C36</stp>
        <tr r="AJ166" s="2"/>
      </tp>
      <tp>
        <v>0</v>
        <stp/>
        <stp>##V3_BDPV12</stp>
        <stp>MRK US Equity</stp>
        <stp>TOT_SELL_REC</stp>
        <stp>[DPM - Securities Master List (BBG Linked).xlsx]Equities!R167C36</stp>
        <tr r="AJ167" s="2"/>
      </tp>
      <tp>
        <v>0</v>
        <stp/>
        <stp>##V3_BDPV12</stp>
        <stp>MRK US Equity</stp>
        <stp>TOT_SELL_REC</stp>
        <stp>[DPM - Securities Master List (BBG Linked).xlsx]Equities!R160C36</stp>
        <tr r="AJ160" s="2"/>
      </tp>
      <tp>
        <v>0</v>
        <stp/>
        <stp>##V3_BDPV12</stp>
        <stp>MRK US Equity</stp>
        <stp>TOT_SELL_REC</stp>
        <stp>[DPM - Securities Master List (BBG Linked).xlsx]Equities!R161C36</stp>
        <tr r="AJ161" s="2"/>
      </tp>
      <tp>
        <v>0</v>
        <stp/>
        <stp>##V3_BDPV12</stp>
        <stp>MRK US Equity</stp>
        <stp>TOT_SELL_REC</stp>
        <stp>[DPM - Securities Master List (BBG Linked).xlsx]Equities!R162C36</stp>
        <tr r="AJ162" s="2"/>
      </tp>
      <tp>
        <v>0</v>
        <stp/>
        <stp>##V3_BDPV12</stp>
        <stp>MRK US Equity</stp>
        <stp>TOT_SELL_REC</stp>
        <stp>[DPM - Securities Master List (BBG Linked).xlsx]Equities!R163C36</stp>
        <tr r="AJ163" s="2"/>
      </tp>
      <tp>
        <v>0</v>
        <stp/>
        <stp>##V3_BDPV12</stp>
        <stp>MRK US Equity</stp>
        <stp>TOT_SELL_REC</stp>
        <stp>[DPM - Securities Master List (BBG Linked).xlsx]Equities!R168C36</stp>
        <tr r="AJ168" s="2"/>
      </tp>
      <tp>
        <v>0</v>
        <stp/>
        <stp>##V3_BDPV12</stp>
        <stp>MRK US Equity</stp>
        <stp>TOT_SELL_REC</stp>
        <stp>[DPM - Securities Master List (BBG Linked).xlsx]Equities!R169C36</stp>
        <tr r="AJ169" s="2"/>
      </tp>
    </main>
    <main first="bofaddin.rtdserver">
      <tp t="e">
        <v>#N/A</v>
        <stp/>
        <stp>BDP|2800501420408787154</stp>
        <tr r="L67" s="1"/>
        <tr r="L67" s="1"/>
        <tr r="L43" s="1"/>
        <tr r="L43" s="1"/>
        <tr r="L30" s="1"/>
        <tr r="L30" s="1"/>
        <tr r="L3" s="1"/>
        <tr r="L3" s="1"/>
        <tr r="L21" s="1"/>
        <tr r="L21" s="1"/>
        <tr r="L166" s="1"/>
        <tr r="L166" s="1"/>
        <tr r="L147" s="1"/>
        <tr r="L147" s="1"/>
        <tr r="L125" s="1"/>
        <tr r="L125" s="1"/>
        <tr r="L114" s="1"/>
        <tr r="L114" s="1"/>
        <tr r="AS67" s="1"/>
        <tr r="AS43" s="1"/>
        <tr r="AS30" s="1"/>
        <tr r="AS3" s="1"/>
        <tr r="AS21" s="1"/>
        <tr r="AS166" s="1"/>
        <tr r="AS147" s="1"/>
        <tr r="AS125" s="1"/>
        <tr r="AS114" s="1"/>
      </tp>
      <tp t="e">
        <v>#N/A</v>
        <stp/>
        <stp>BDP|3382585321068969097</stp>
        <tr r="AE103" s="3"/>
        <tr r="AE103" s="3"/>
        <tr r="AE103" s="3"/>
      </tp>
      <tp t="e">
        <v>#N/A</v>
        <stp/>
        <stp>BDP|5419777898675677272</stp>
        <tr r="AU47" s="1"/>
        <tr r="AU47" s="1"/>
        <tr r="AU47" s="1"/>
      </tp>
      <tp t="e">
        <v>#N/A</v>
        <stp/>
        <stp>BDP|6529092473555059854</stp>
        <tr r="M91" s="1"/>
        <tr r="M91" s="1"/>
        <tr r="M76" s="1"/>
        <tr r="M76" s="1"/>
        <tr r="M55" s="1"/>
        <tr r="M55" s="1"/>
        <tr r="M48" s="1"/>
        <tr r="M48" s="1"/>
        <tr r="M26" s="1"/>
        <tr r="M26" s="1"/>
        <tr r="M157" s="1"/>
        <tr r="M157" s="1"/>
        <tr r="M142" s="1"/>
        <tr r="M142" s="1"/>
        <tr r="M132" s="1"/>
        <tr r="M132" s="1"/>
        <tr r="M120" s="1"/>
        <tr r="M120" s="1"/>
        <tr r="M100" s="1"/>
        <tr r="M100" s="1"/>
      </tp>
      <tp t="e">
        <v>#N/A</v>
        <stp/>
        <stp>BDP|2544469695547888447</stp>
        <tr r="AE78" s="1"/>
        <tr r="AE154" s="1"/>
        <tr r="AE149" s="1"/>
        <tr r="AE124" s="1"/>
      </tp>
      <tp t="e">
        <v>#N/A</v>
        <stp/>
        <stp>BDP|9137072058861563119</stp>
        <tr r="AS84" s="1"/>
        <tr r="AS116" s="1"/>
        <tr r="L159" s="1"/>
        <tr r="L159" s="1"/>
        <tr r="AS70" s="1"/>
        <tr r="L84" s="1"/>
        <tr r="L84" s="1"/>
        <tr r="AS159" s="1"/>
        <tr r="L116" s="1"/>
        <tr r="L116" s="1"/>
        <tr r="L70" s="1"/>
        <tr r="L70" s="1"/>
      </tp>
    </main>
    <main first="bofaddin.rtdserver">
      <tp t="e">
        <v>#N/A</v>
        <stp/>
        <stp>BDP|5326689706838705719</stp>
        <tr r="AA87" s="1"/>
      </tp>
      <tp t="e">
        <v>#N/A</v>
        <stp/>
        <stp>BDP|2403402199435660601</stp>
        <tr r="Y47" s="1"/>
      </tp>
      <tp t="e">
        <v>#N/A</v>
        <stp/>
        <stp>BDP|6934941846655878282</stp>
        <tr r="W130" s="1"/>
      </tp>
      <tp t="e">
        <v>#N/A</v>
        <stp/>
        <stp>BDP|8262509419917486777</stp>
        <tr r="H116" s="1"/>
        <tr r="H70" s="1"/>
        <tr r="H84" s="1"/>
        <tr r="H159" s="1"/>
      </tp>
      <tp t="e">
        <v>#N/A</v>
        <stp/>
        <stp>BDP|3485390895196063307</stp>
        <tr r="H67" s="1"/>
        <tr r="H67" s="1"/>
        <tr r="H43" s="1"/>
        <tr r="H43" s="1"/>
        <tr r="H30" s="1"/>
        <tr r="H30" s="1"/>
        <tr r="H3" s="1"/>
        <tr r="H3" s="1"/>
        <tr r="H21" s="1"/>
        <tr r="H21" s="1"/>
        <tr r="H166" s="1"/>
        <tr r="H166" s="1"/>
        <tr r="H147" s="1"/>
        <tr r="H147" s="1"/>
        <tr r="H125" s="1"/>
        <tr r="H125" s="1"/>
        <tr r="H114" s="1"/>
        <tr r="H114" s="1"/>
      </tp>
      <tp t="e">
        <v>#N/A</v>
        <stp/>
        <stp>BDP|8242016378143118029</stp>
        <tr r="AA67" s="1"/>
        <tr r="AA43" s="1"/>
        <tr r="AA30" s="1"/>
        <tr r="AA3" s="1"/>
        <tr r="AA21" s="1"/>
        <tr r="AA166" s="1"/>
        <tr r="AA147" s="1"/>
        <tr r="AA125" s="1"/>
        <tr r="AA114" s="1"/>
      </tp>
      <tp t="e">
        <v>#N/A</v>
        <stp/>
        <stp>BDP|9646109723565805352</stp>
        <tr r="Y80" s="1"/>
        <tr r="Y58" s="1"/>
        <tr r="Y28" s="1"/>
        <tr r="Y161" s="1"/>
        <tr r="Y121" s="1"/>
        <tr r="Y10" s="1"/>
      </tp>
      <tp t="e">
        <v>#N/A</v>
        <stp/>
        <stp>BDP|9159705537668925979</stp>
        <tr r="AA85" s="1"/>
      </tp>
      <tp t="e">
        <v>#N/A</v>
        <stp/>
        <stp>BDP|7887044848119991651</stp>
        <tr r="AK102" s="3"/>
        <tr r="AK102" s="3"/>
        <tr r="AK102" s="3"/>
        <tr r="AK101" s="3"/>
        <tr r="AK101" s="3"/>
        <tr r="AK101" s="3"/>
        <tr r="AK100" s="3"/>
        <tr r="AK100" s="3"/>
        <tr r="AK100" s="3"/>
      </tp>
      <tp t="e">
        <v>#N/A</v>
        <stp/>
        <stp>BDP|7602888041866015167</stp>
        <tr r="N9" s="1"/>
      </tp>
      <tp t="e">
        <v>#N/A</v>
        <stp/>
        <stp>BDP|8009649880103278987</stp>
        <tr r="H52" s="1"/>
        <tr r="H52" s="1"/>
      </tp>
      <tp t="e">
        <v>#N/A</v>
        <stp/>
        <stp>BDP|6029370872978246694</stp>
        <tr r="E92" s="1"/>
      </tp>
      <tp t="e">
        <v>#N/A</v>
        <stp/>
        <stp>BDP|9302982110479172443</stp>
        <tr r="K63" s="3"/>
        <tr r="K62" s="3"/>
        <tr r="K61" s="3"/>
        <tr r="K60" s="3"/>
        <tr r="K59" s="3"/>
        <tr r="K58" s="3"/>
        <tr r="K57" s="3"/>
        <tr r="K56" s="3"/>
        <tr r="K55" s="3"/>
        <tr r="K54" s="3"/>
        <tr r="K53" s="3"/>
        <tr r="K52" s="3"/>
        <tr r="K51" s="3"/>
      </tp>
      <tp t="e">
        <v>#N/A</v>
        <stp/>
        <stp>BDP|3699678886331021095</stp>
        <tr r="F7" s="1"/>
        <tr r="F14" s="1"/>
        <tr r="F108" s="1"/>
      </tp>
      <tp t="e">
        <v>#N/A</v>
        <stp/>
        <stp>BDP|3956630453055004970</stp>
        <tr r="AM87" s="1"/>
        <tr r="AM87" s="1"/>
      </tp>
      <tp t="e">
        <v>#N/A</v>
        <stp/>
        <stp>BDP|3913442907093417804</stp>
        <tr r="AS18" s="1"/>
      </tp>
      <tp t="e">
        <v>#N/A</v>
        <stp/>
        <stp>BDP|2011759961338907721</stp>
        <tr r="L63" s="3"/>
        <tr r="L62" s="3"/>
        <tr r="L61" s="3"/>
        <tr r="L60" s="3"/>
        <tr r="L59" s="3"/>
        <tr r="L58" s="3"/>
        <tr r="L57" s="3"/>
        <tr r="L56" s="3"/>
        <tr r="L55" s="3"/>
        <tr r="L54" s="3"/>
        <tr r="L53" s="3"/>
        <tr r="L52" s="3"/>
        <tr r="L51" s="3"/>
      </tp>
      <tp t="e">
        <v>#N/A</v>
        <stp/>
        <stp>BDP|5828262939189097188</stp>
        <tr r="AO107" s="1"/>
      </tp>
      <tp t="e">
        <v>#N/A</v>
        <stp/>
        <stp>BDP|1101928902725465192</stp>
        <tr r="AD113" s="1"/>
      </tp>
      <tp t="e">
        <v>#N/A</v>
        <stp/>
        <stp>BDP|3324840318932244415</stp>
        <tr r="X67" s="1"/>
        <tr r="X43" s="1"/>
        <tr r="X30" s="1"/>
        <tr r="X3" s="1"/>
        <tr r="X21" s="1"/>
        <tr r="X166" s="1"/>
        <tr r="X147" s="1"/>
        <tr r="X125" s="1"/>
        <tr r="X114" s="1"/>
      </tp>
      <tp t="e">
        <v>#N/A</v>
        <stp/>
        <stp>BDP|8114072139901571668</stp>
        <tr r="AM8" s="1"/>
        <tr r="AM8" s="1"/>
        <tr r="AM106" s="1"/>
        <tr r="AM106" s="1"/>
      </tp>
      <tp t="e">
        <v>#N/A</v>
        <stp/>
        <stp>BDP|9282981812445573807</stp>
        <tr r="AJ102" s="3"/>
        <tr r="AJ102" s="3"/>
        <tr r="AJ102" s="3"/>
        <tr r="AJ101" s="3"/>
        <tr r="AJ101" s="3"/>
        <tr r="AJ101" s="3"/>
        <tr r="AJ100" s="3"/>
        <tr r="AJ100" s="3"/>
        <tr r="AJ100" s="3"/>
      </tp>
      <tp t="e">
        <v>#N/A</v>
        <stp/>
        <stp>BDP|9795084674647011566</stp>
        <tr r="AP141" s="3"/>
        <tr r="AP141" s="3"/>
        <tr r="AP141" s="3"/>
        <tr r="AP140" s="3"/>
        <tr r="AP140" s="3"/>
        <tr r="AP140" s="3"/>
        <tr r="AP139" s="3"/>
        <tr r="AP139" s="3"/>
        <tr r="AP139" s="3"/>
        <tr r="AP138" s="3"/>
        <tr r="AP138" s="3"/>
        <tr r="AP138" s="3"/>
        <tr r="AP137" s="3"/>
        <tr r="AP137" s="3"/>
        <tr r="AP137" s="3"/>
        <tr r="AP136" s="3"/>
        <tr r="AP136" s="3"/>
        <tr r="AP136" s="3"/>
        <tr r="AP135" s="3"/>
        <tr r="AP135" s="3"/>
        <tr r="AP135" s="3"/>
        <tr r="AP134" s="3"/>
        <tr r="AP134" s="3"/>
        <tr r="AP134" s="3"/>
        <tr r="AP133" s="3"/>
        <tr r="AP133" s="3"/>
        <tr r="AP133" s="3"/>
        <tr r="AP132" s="3"/>
        <tr r="AP132" s="3"/>
        <tr r="AP132" s="3"/>
        <tr r="AP131" s="3"/>
        <tr r="AP131" s="3"/>
        <tr r="AP131" s="3"/>
        <tr r="AP130" s="3"/>
        <tr r="AP130" s="3"/>
        <tr r="AP130" s="3"/>
      </tp>
      <tp t="e">
        <v>#N/A</v>
        <stp/>
        <stp>BDP|7054225497982037271</stp>
        <tr r="H113" s="1"/>
      </tp>
      <tp t="e">
        <v>#N/A</v>
        <stp/>
        <stp>BDP|6123905140135092233</stp>
        <tr r="F96" s="3"/>
        <tr r="F95" s="3"/>
      </tp>
      <tp t="e">
        <v>#N/A</v>
        <stp/>
        <stp>BDP|4235031925173253948</stp>
        <tr r="I150" s="1"/>
        <tr r="I122" s="1"/>
      </tp>
      <tp t="e">
        <v>#N/A</v>
        <stp/>
        <stp>BDP|5395358975345860894</stp>
        <tr r="H86" s="1"/>
        <tr r="H86" s="1"/>
        <tr r="H133" s="1"/>
        <tr r="H133" s="1"/>
      </tp>
      <tp t="e">
        <v>#N/A</v>
        <stp/>
        <stp>BDP|5825393943476598844</stp>
        <tr r="I95" s="1"/>
        <tr r="I71" s="1"/>
      </tp>
      <tp t="e">
        <v>#N/A</v>
        <stp/>
        <stp>BDP|5673063331368435269</stp>
        <tr r="W143" s="1"/>
        <tr r="W127" s="1"/>
      </tp>
      <tp t="e">
        <v>#N/A</v>
        <stp/>
        <stp>BDP|8487233771883049252</stp>
        <tr r="AC50" s="3"/>
        <tr r="AC50" s="3"/>
        <tr r="AC50" s="3"/>
        <tr r="AC49" s="3"/>
        <tr r="AC49" s="3"/>
        <tr r="AC49" s="3"/>
        <tr r="AC48" s="3"/>
        <tr r="AC48" s="3"/>
        <tr r="AC48" s="3"/>
        <tr r="AC47" s="3"/>
        <tr r="AC47" s="3"/>
        <tr r="AC47" s="3"/>
        <tr r="AC46" s="3"/>
        <tr r="AC46" s="3"/>
        <tr r="AC46" s="3"/>
        <tr r="AC45" s="3"/>
        <tr r="AC45" s="3"/>
        <tr r="AC45" s="3"/>
        <tr r="AC44" s="3"/>
        <tr r="AC44" s="3"/>
        <tr r="AC44" s="3"/>
        <tr r="AC43" s="3"/>
        <tr r="AC43" s="3"/>
        <tr r="AC43" s="3"/>
        <tr r="AC42" s="3"/>
        <tr r="AC42" s="3"/>
        <tr r="AC42" s="3"/>
        <tr r="AC41" s="3"/>
        <tr r="AC41" s="3"/>
        <tr r="AC41" s="3"/>
        <tr r="AC40" s="3"/>
        <tr r="AC40" s="3"/>
        <tr r="AC40" s="3"/>
        <tr r="AC39" s="3"/>
        <tr r="AC39" s="3"/>
        <tr r="AC39" s="3"/>
        <tr r="AC38" s="3"/>
        <tr r="AC38" s="3"/>
        <tr r="AC38" s="3"/>
        <tr r="AC37" s="3"/>
        <tr r="AC37" s="3"/>
        <tr r="AC37" s="3"/>
        <tr r="AC36" s="3"/>
        <tr r="AC36" s="3"/>
        <tr r="AC36" s="3"/>
        <tr r="AC35" s="3"/>
        <tr r="AC35" s="3"/>
        <tr r="AC35" s="3"/>
      </tp>
      <tp t="e">
        <v>#N/A</v>
        <stp/>
        <stp>BDP|4949998490458487075</stp>
        <tr r="X83" s="1"/>
        <tr r="X50" s="1"/>
      </tp>
      <tp t="e">
        <v>#N/A</v>
        <stp/>
        <stp>BDP|1850044577393853900</stp>
        <tr r="I98" s="1"/>
        <tr r="I79" s="1"/>
        <tr r="I5" s="1"/>
        <tr r="I155" s="1"/>
        <tr r="I118" s="1"/>
      </tp>
      <tp t="e">
        <v>#N/A</v>
        <stp/>
        <stp>BDP|2437303926787490867</stp>
        <tr r="E105" s="1"/>
      </tp>
      <tp t="e">
        <v>#N/A</v>
        <stp/>
        <stp>BDP|3316379505884802899</stp>
        <tr r="AA34" s="1"/>
        <tr r="AA156" s="1"/>
      </tp>
      <tp t="e">
        <v>#N/A</v>
        <stp/>
        <stp>BDP|9691401276000398624</stp>
        <tr r="K17" s="1"/>
        <tr r="K112" s="1"/>
      </tp>
      <tp t="e">
        <v>#N/A</v>
        <stp/>
        <stp>BDP|7238422021419924493</stp>
        <tr r="BC94" s="3"/>
        <tr r="BC93" s="3"/>
        <tr r="BC92" s="3"/>
        <tr r="BC91" s="3"/>
        <tr r="BC90" s="3"/>
        <tr r="BC89" s="3"/>
        <tr r="BC88" s="3"/>
        <tr r="BC86" s="3"/>
        <tr r="BC85" s="3"/>
        <tr r="BC84" s="3"/>
        <tr r="BC83" s="3"/>
        <tr r="BC82" s="3"/>
        <tr r="BC81" s="3"/>
        <tr r="BC80" s="3"/>
        <tr r="BC79" s="3"/>
      </tp>
      <tp t="e">
        <v>#N/A</v>
        <stp/>
        <stp>BDP|4817288267838041419</stp>
        <tr r="BC124" s="3"/>
      </tp>
      <tp t="e">
        <v>#N/A</v>
        <stp/>
        <stp>BDP|4022788964801964834</stp>
        <tr r="AL34" s="3"/>
        <tr r="AL34" s="3"/>
        <tr r="AL34" s="3"/>
        <tr r="AL33" s="3"/>
        <tr r="AL33" s="3"/>
        <tr r="AL33" s="3"/>
        <tr r="AL32" s="3"/>
        <tr r="AL32" s="3"/>
        <tr r="AL32" s="3"/>
        <tr r="AL31" s="3"/>
        <tr r="AL31" s="3"/>
        <tr r="AL31" s="3"/>
        <tr r="AL30" s="3"/>
        <tr r="AL30" s="3"/>
        <tr r="AL30" s="3"/>
        <tr r="AL29" s="3"/>
        <tr r="AL29" s="3"/>
        <tr r="AL29" s="3"/>
        <tr r="AL28" s="3"/>
        <tr r="AL28" s="3"/>
        <tr r="AL28" s="3"/>
        <tr r="AL27" s="3"/>
        <tr r="AL27" s="3"/>
        <tr r="AL27" s="3"/>
        <tr r="AL26" s="3"/>
        <tr r="AL26" s="3"/>
        <tr r="AL26" s="3"/>
        <tr r="AL25" s="3"/>
        <tr r="AL25" s="3"/>
        <tr r="AL25" s="3"/>
        <tr r="AL24" s="3"/>
        <tr r="AL24" s="3"/>
        <tr r="AL24" s="3"/>
        <tr r="AL23" s="3"/>
        <tr r="AL23" s="3"/>
        <tr r="AL23" s="3"/>
        <tr r="AL22" s="3"/>
        <tr r="AL22" s="3"/>
        <tr r="AL22" s="3"/>
        <tr r="AL21" s="3"/>
        <tr r="AL21" s="3"/>
        <tr r="AL21" s="3"/>
        <tr r="AL20" s="3"/>
        <tr r="AL20" s="3"/>
        <tr r="AL20" s="3"/>
        <tr r="AL19" s="3"/>
        <tr r="AL19" s="3"/>
        <tr r="AL19" s="3"/>
        <tr r="AL18" s="3"/>
        <tr r="AL18" s="3"/>
        <tr r="AL18" s="3"/>
        <tr r="AL17" s="3"/>
        <tr r="AL17" s="3"/>
        <tr r="AL17" s="3"/>
      </tp>
      <tp t="e">
        <v>#N/A</v>
        <stp/>
        <stp>BDP|6527615354790651907</stp>
        <tr r="Z78" s="1"/>
        <tr r="Z154" s="1"/>
        <tr r="Z149" s="1"/>
        <tr r="Z124" s="1"/>
      </tp>
      <tp t="e">
        <v>#N/A</v>
        <stp/>
        <stp>BDP|7344918420086599611</stp>
        <tr r="E143" s="1"/>
        <tr r="E127" s="1"/>
      </tp>
      <tp t="e">
        <v>#N/A</v>
        <stp/>
        <stp>BDP|6770946903761592227</stp>
        <tr r="E87" s="1"/>
      </tp>
      <tp t="e">
        <v>#N/A</v>
        <stp/>
        <stp>BDP|8765892144201881955</stp>
        <tr r="AT103" s="3"/>
        <tr r="AT103" s="3"/>
        <tr r="AT103" s="3"/>
      </tp>
      <tp t="e">
        <v>#N/A</v>
        <stp/>
        <stp>BDP|4707913231022589056</stp>
        <tr r="AE11" s="1"/>
        <tr r="AE102" s="1"/>
      </tp>
      <tp t="e">
        <v>#N/A</v>
        <stp/>
        <stp>BDP|8392665059081395689</stp>
        <tr r="AJ64" s="3"/>
        <tr r="AJ64" s="3"/>
        <tr r="AJ64" s="3"/>
      </tp>
      <tp t="e">
        <v>#N/A</v>
        <stp/>
        <stp>BDP|2172845677731129044</stp>
        <tr r="X89" s="1"/>
        <tr r="X81" s="1"/>
        <tr r="X59" s="1"/>
        <tr r="X41" s="1"/>
        <tr r="X37" s="1"/>
        <tr r="X29" s="1"/>
        <tr r="X164" s="1"/>
        <tr r="X135" s="1"/>
      </tp>
      <tp t="e">
        <v>#N/A</v>
        <stp/>
        <stp>BDP|9946356887276536890</stp>
        <tr r="AV102" s="3"/>
        <tr r="AV102" s="3"/>
        <tr r="AV101" s="3"/>
        <tr r="AV101" s="3"/>
        <tr r="AV100" s="3"/>
        <tr r="AV100" s="3"/>
      </tp>
      <tp t="e">
        <v>#N/A</v>
        <stp/>
        <stp>BDP|9754682084639430280</stp>
        <tr r="AA105" s="1"/>
      </tp>
      <tp t="e">
        <v>#N/A</v>
        <stp/>
        <stp>BDP|7496872776287694345</stp>
        <tr r="AV16" s="3"/>
        <tr r="AV16" s="3"/>
      </tp>
    </main>
    <main first="bofaddin.rtdserver">
      <tp t="e">
        <v>#N/A</v>
        <stp/>
        <stp>BDP|8291544017108002855</stp>
        <tr r="AJ63" s="3"/>
        <tr r="AJ63" s="3"/>
        <tr r="AJ63" s="3"/>
        <tr r="AJ62" s="3"/>
        <tr r="AJ62" s="3"/>
        <tr r="AJ62" s="3"/>
        <tr r="AJ61" s="3"/>
        <tr r="AJ61" s="3"/>
        <tr r="AJ61" s="3"/>
        <tr r="AJ60" s="3"/>
        <tr r="AJ60" s="3"/>
        <tr r="AJ60" s="3"/>
        <tr r="AJ59" s="3"/>
        <tr r="AJ59" s="3"/>
        <tr r="AJ59" s="3"/>
        <tr r="AJ58" s="3"/>
        <tr r="AJ58" s="3"/>
        <tr r="AJ58" s="3"/>
        <tr r="AJ57" s="3"/>
        <tr r="AJ57" s="3"/>
        <tr r="AJ57" s="3"/>
        <tr r="AJ56" s="3"/>
        <tr r="AJ56" s="3"/>
        <tr r="AJ56" s="3"/>
        <tr r="AJ55" s="3"/>
        <tr r="AJ55" s="3"/>
        <tr r="AJ55" s="3"/>
        <tr r="AJ54" s="3"/>
        <tr r="AJ54" s="3"/>
        <tr r="AJ54" s="3"/>
        <tr r="AJ53" s="3"/>
        <tr r="AJ53" s="3"/>
        <tr r="AJ53" s="3"/>
        <tr r="AJ52" s="3"/>
        <tr r="AJ52" s="3"/>
        <tr r="AJ52" s="3"/>
        <tr r="AJ51" s="3"/>
        <tr r="AJ51" s="3"/>
        <tr r="AJ51" s="3"/>
      </tp>
      <tp t="e">
        <v>#N/A</v>
        <stp/>
        <stp>BDP|9387237077117341704</stp>
        <tr r="AP34" s="3"/>
        <tr r="AP34" s="3"/>
        <tr r="AP34" s="3"/>
        <tr r="AP33" s="3"/>
        <tr r="AP33" s="3"/>
        <tr r="AP33" s="3"/>
        <tr r="AP32" s="3"/>
        <tr r="AP32" s="3"/>
        <tr r="AP32" s="3"/>
        <tr r="AP31" s="3"/>
        <tr r="AP31" s="3"/>
        <tr r="AP31" s="3"/>
        <tr r="AP30" s="3"/>
        <tr r="AP30" s="3"/>
        <tr r="AP30" s="3"/>
        <tr r="AP29" s="3"/>
        <tr r="AP29" s="3"/>
        <tr r="AP29" s="3"/>
        <tr r="AP28" s="3"/>
        <tr r="AP28" s="3"/>
        <tr r="AP28" s="3"/>
        <tr r="AP27" s="3"/>
        <tr r="AP27" s="3"/>
        <tr r="AP27" s="3"/>
        <tr r="AP26" s="3"/>
        <tr r="AP26" s="3"/>
        <tr r="AP26" s="3"/>
        <tr r="AP25" s="3"/>
        <tr r="AP25" s="3"/>
        <tr r="AP25" s="3"/>
        <tr r="AP24" s="3"/>
        <tr r="AP24" s="3"/>
        <tr r="AP24" s="3"/>
        <tr r="AP23" s="3"/>
        <tr r="AP23" s="3"/>
        <tr r="AP23" s="3"/>
        <tr r="AP22" s="3"/>
        <tr r="AP22" s="3"/>
        <tr r="AP22" s="3"/>
        <tr r="AP21" s="3"/>
        <tr r="AP21" s="3"/>
        <tr r="AP21" s="3"/>
        <tr r="AP20" s="3"/>
        <tr r="AP20" s="3"/>
        <tr r="AP20" s="3"/>
        <tr r="AP19" s="3"/>
        <tr r="AP19" s="3"/>
        <tr r="AP19" s="3"/>
        <tr r="AP18" s="3"/>
        <tr r="AP18" s="3"/>
        <tr r="AP18" s="3"/>
        <tr r="AP17" s="3"/>
        <tr r="AP17" s="3"/>
        <tr r="AP17" s="3"/>
      </tp>
      <tp t="e">
        <v>#N/A</v>
        <stp/>
        <stp>BDP|2810453498346694579</stp>
        <tr r="Q8" s="1"/>
        <tr r="Q106" s="1"/>
      </tp>
      <tp t="e">
        <v>#N/A</v>
        <stp/>
        <stp>BDP|2391464922299774149</stp>
        <tr r="AR34" s="3"/>
        <tr r="AR34" s="3"/>
        <tr r="AR34" s="3"/>
        <tr r="AR33" s="3"/>
        <tr r="AR33" s="3"/>
        <tr r="AR33" s="3"/>
        <tr r="AR32" s="3"/>
        <tr r="AR32" s="3"/>
        <tr r="AR32" s="3"/>
        <tr r="AR31" s="3"/>
        <tr r="AR31" s="3"/>
        <tr r="AR31" s="3"/>
        <tr r="AR30" s="3"/>
        <tr r="AR30" s="3"/>
        <tr r="AR30" s="3"/>
        <tr r="AR29" s="3"/>
        <tr r="AR29" s="3"/>
        <tr r="AR29" s="3"/>
        <tr r="AR28" s="3"/>
        <tr r="AR28" s="3"/>
        <tr r="AR28" s="3"/>
        <tr r="AR27" s="3"/>
        <tr r="AR27" s="3"/>
        <tr r="AR27" s="3"/>
        <tr r="AR26" s="3"/>
        <tr r="AR26" s="3"/>
        <tr r="AR26" s="3"/>
        <tr r="AR25" s="3"/>
        <tr r="AR25" s="3"/>
        <tr r="AR25" s="3"/>
        <tr r="AR24" s="3"/>
        <tr r="AR24" s="3"/>
        <tr r="AR24" s="3"/>
        <tr r="AR23" s="3"/>
        <tr r="AR23" s="3"/>
        <tr r="AR23" s="3"/>
        <tr r="AR22" s="3"/>
        <tr r="AR22" s="3"/>
        <tr r="AR22" s="3"/>
        <tr r="AR21" s="3"/>
        <tr r="AR21" s="3"/>
        <tr r="AR21" s="3"/>
        <tr r="AR20" s="3"/>
        <tr r="AR20" s="3"/>
        <tr r="AR20" s="3"/>
        <tr r="AR19" s="3"/>
        <tr r="AR19" s="3"/>
        <tr r="AR19" s="3"/>
        <tr r="AR18" s="3"/>
        <tr r="AR18" s="3"/>
        <tr r="AR18" s="3"/>
        <tr r="AR17" s="3"/>
        <tr r="AR17" s="3"/>
        <tr r="AR17" s="3"/>
      </tp>
      <tp t="e">
        <v>#N/A</v>
        <stp/>
        <stp>BDP|7729334277636014970</stp>
        <tr r="N35" s="1"/>
        <tr r="N24" s="1"/>
        <tr r="N153" s="1"/>
      </tp>
      <tp t="e">
        <v>#N/A</v>
        <stp/>
        <stp>BDP|8852456100699808916</stp>
        <tr r="AS60" s="1"/>
        <tr r="AS40" s="1"/>
        <tr r="AS97" s="1"/>
        <tr r="AS25" s="1"/>
        <tr r="AS163" s="1"/>
        <tr r="AS75" s="1"/>
        <tr r="AS4" s="1"/>
        <tr r="AS117" s="1"/>
      </tp>
      <tp t="e">
        <v>#N/A</v>
        <stp/>
        <stp>BDP|7619535065619163147</stp>
        <tr r="AL35" s="1"/>
        <tr r="AL24" s="1"/>
        <tr r="AL153" s="1"/>
      </tp>
    </main>
    <main first="bloomberg.rtd">
      <tp t="s">
        <v>Energy</v>
        <stp/>
        <stp>##V3_BDPV12</stp>
        <stp>TTE FP Equity</stp>
        <stp>DX202</stp>
        <stp>[DPM - Securities Master List (BBG Linked).xlsx]Equities!R276C8</stp>
        <tr r="H276" s="2"/>
        <tr r="H276" s="2"/>
        <tr r="H276" s="2"/>
      </tp>
      <tp t="s">
        <v>Energy</v>
        <stp/>
        <stp>##V3_BDPV12</stp>
        <stp>TTE FP Equity</stp>
        <stp>DX202</stp>
        <stp>[DPM - Securities Master List (BBG Linked).xlsx]Equities!R286C8</stp>
        <tr r="H286" s="2"/>
        <tr r="H286" s="2"/>
        <tr r="H286" s="2"/>
      </tp>
      <tp t="s">
        <v>Communication Services</v>
        <stp/>
        <stp>##V3_BDPV12</stp>
        <stp>DIS US Equity</stp>
        <stp>DX202</stp>
        <stp>[DPM - Securities Master List (BBG Linked).xlsx]Equities!R115C8</stp>
        <tr r="H115" s="2"/>
        <tr r="H115" s="2"/>
        <tr r="H115" s="2"/>
      </tp>
      <tp t="s">
        <v>Information Technology</v>
        <stp/>
        <stp>##V3_BDPV12</stp>
        <stp>MSFT US Equity</stp>
        <stp>DX202</stp>
        <stp>[DPM - Securities Master List (BBG Linked).xlsx]Equities!R180C8</stp>
        <tr r="H180" s="2"/>
        <tr r="H180" s="2"/>
        <tr r="H180" s="2"/>
      </tp>
      <tp t="s">
        <v>Information Technology</v>
        <stp/>
        <stp>##V3_BDPV12</stp>
        <stp>MSFT US Equity</stp>
        <stp>DX202</stp>
        <stp>[DPM - Securities Master List (BBG Linked).xlsx]Equities!R170C8</stp>
        <tr r="H170" s="2"/>
        <tr r="H170" s="2"/>
        <tr r="H170" s="2"/>
      </tp>
      <tp t="s">
        <v>N</v>
        <stp/>
        <stp>##V3_BDPV12</stp>
        <stp>3690 HK Equity</stp>
        <stp>DY997</stp>
        <stp>[DPM - Securities Master List (BBG Linked).xlsx]Equities!R14C47</stp>
        <tr r="AU14" s="2"/>
        <tr r="AU14" s="2"/>
        <tr r="AU14" s="2"/>
      </tp>
      <tp t="s">
        <v>N</v>
        <stp/>
        <stp>##V3_BDPV12</stp>
        <stp>3690 HK Equity</stp>
        <stp>DY997</stp>
        <stp>[DPM - Securities Master List (BBG Linked).xlsx]Equities!R13C47</stp>
        <tr r="AU13" s="2"/>
        <tr r="AU13" s="2"/>
        <tr r="AU13" s="2"/>
      </tp>
      <tp t="s">
        <v>N</v>
        <stp/>
        <stp>##V3_BDPV12</stp>
        <stp>3690 HK Equity</stp>
        <stp>DY997</stp>
        <stp>[DPM - Securities Master List (BBG Linked).xlsx]Equities!R12C47</stp>
        <tr r="AU12" s="2"/>
        <tr r="AU12" s="2"/>
        <tr r="AU12" s="2"/>
      </tp>
      <tp t="s">
        <v>N</v>
        <stp/>
        <stp>##V3_BDPV12</stp>
        <stp>3690 HK Equity</stp>
        <stp>DY997</stp>
        <stp>[DPM - Securities Master List (BBG Linked).xlsx]Equities!R11C47</stp>
        <tr r="AU11" s="2"/>
        <tr r="AU11" s="2"/>
        <tr r="AU11" s="2"/>
      </tp>
      <tp t="s">
        <v>N</v>
        <stp/>
        <stp>##V3_BDPV12</stp>
        <stp>3690 HK Equity</stp>
        <stp>DY997</stp>
        <stp>[DPM - Securities Master List (BBG Linked).xlsx]Equities!R10C47</stp>
        <tr r="AU10" s="2"/>
        <tr r="AU10" s="2"/>
        <tr r="AU10" s="2"/>
      </tp>
      <tp t="s">
        <v>#N/A N/A</v>
        <stp/>
        <stp>##V3_BDPV12</stp>
        <stp>9888 HK Equity</stp>
        <stp>DY784</stp>
        <stp>[DPM - Securities Master List (BBG Linked).xlsx]Equities!R25C48</stp>
        <tr r="AV25" s="2"/>
        <tr r="AV25" s="2"/>
      </tp>
      <tp t="s">
        <v>#N/A N/A</v>
        <stp/>
        <stp>##V3_BDPV12</stp>
        <stp>9888 HK Equity</stp>
        <stp>DY784</stp>
        <stp>[DPM - Securities Master List (BBG Linked).xlsx]Equities!R24C48</stp>
        <tr r="AV24" s="2"/>
        <tr r="AV24" s="2"/>
      </tp>
      <tp t="s">
        <v>#N/A N/A</v>
        <stp/>
        <stp>##V3_BDPV12</stp>
        <stp>9888 HK Equity</stp>
        <stp>DY784</stp>
        <stp>[DPM - Securities Master List (BBG Linked).xlsx]Equities!R27C48</stp>
        <tr r="AV27" s="2"/>
        <tr r="AV27" s="2"/>
      </tp>
      <tp t="s">
        <v>#N/A N/A</v>
        <stp/>
        <stp>##V3_BDPV12</stp>
        <stp>9888 HK Equity</stp>
        <stp>DY784</stp>
        <stp>[DPM - Securities Master List (BBG Linked).xlsx]Equities!R26C48</stp>
        <tr r="AV26" s="2"/>
        <tr r="AV26" s="2"/>
      </tp>
      <tp t="s">
        <v>#N/A N/A</v>
        <stp/>
        <stp>##V3_BDPV12</stp>
        <stp>9888 HK Equity</stp>
        <stp>DY784</stp>
        <stp>[DPM - Securities Master List (BBG Linked).xlsx]Equities!R21C48</stp>
        <tr r="AV21" s="2"/>
        <tr r="AV21" s="2"/>
      </tp>
      <tp t="s">
        <v>#N/A N/A</v>
        <stp/>
        <stp>##V3_BDPV12</stp>
        <stp>9888 HK Equity</stp>
        <stp>DY784</stp>
        <stp>[DPM - Securities Master List (BBG Linked).xlsx]Equities!R20C48</stp>
        <tr r="AV20" s="2"/>
        <tr r="AV20" s="2"/>
      </tp>
      <tp t="s">
        <v>#N/A N/A</v>
        <stp/>
        <stp>##V3_BDPV12</stp>
        <stp>9888 HK Equity</stp>
        <stp>DY784</stp>
        <stp>[DPM - Securities Master List (BBG Linked).xlsx]Equities!R23C48</stp>
        <tr r="AV23" s="2"/>
        <tr r="AV23" s="2"/>
      </tp>
      <tp t="s">
        <v>#N/A N/A</v>
        <stp/>
        <stp>##V3_BDPV12</stp>
        <stp>9888 HK Equity</stp>
        <stp>DY784</stp>
        <stp>[DPM - Securities Master List (BBG Linked).xlsx]Equities!R22C48</stp>
        <tr r="AV22" s="2"/>
        <tr r="AV22" s="2"/>
      </tp>
      <tp t="s">
        <v>#N/A N/A</v>
        <stp/>
        <stp>##V3_BDPV12</stp>
        <stp>9888 HK Equity</stp>
        <stp>DY784</stp>
        <stp>[DPM - Securities Master List (BBG Linked).xlsx]Equities!R19C48</stp>
        <tr r="AV19" s="2"/>
        <tr r="AV19" s="2"/>
      </tp>
      <tp t="s">
        <v>#N/A N/A</v>
        <stp/>
        <stp>##V3_BDPV12</stp>
        <stp>9888 HK Equity</stp>
        <stp>DY784</stp>
        <stp>[DPM - Securities Master List (BBG Linked).xlsx]Equities!R18C48</stp>
        <tr r="AV18" s="2"/>
        <tr r="AV18" s="2"/>
      </tp>
      <tp t="s">
        <v>#N/A N/A</v>
        <stp/>
        <stp>##V3_BDPV12</stp>
        <stp>9888 HK Equity</stp>
        <stp>DY784</stp>
        <stp>[DPM - Securities Master List (BBG Linked).xlsx]Equities!R15C48</stp>
        <tr r="AV15" s="2"/>
        <tr r="AV15" s="2"/>
      </tp>
      <tp t="s">
        <v>#N/A N/A</v>
        <stp/>
        <stp>##V3_BDPV12</stp>
        <stp>9888 HK Equity</stp>
        <stp>DY784</stp>
        <stp>[DPM - Securities Master List (BBG Linked).xlsx]Equities!R17C48</stp>
        <tr r="AV17" s="2"/>
        <tr r="AV17" s="2"/>
      </tp>
      <tp t="s">
        <v>#N/A N/A</v>
        <stp/>
        <stp>##V3_BDPV12</stp>
        <stp>9888 HK Equity</stp>
        <stp>DY784</stp>
        <stp>[DPM - Securities Master List (BBG Linked).xlsx]Equities!R16C48</stp>
        <tr r="AV16" s="2"/>
        <tr r="AV16" s="2"/>
      </tp>
      <tp>
        <v>14.981599686066341</v>
        <stp/>
        <stp>##V3_BDPV12</stp>
        <stp>3690 HK Equity</stp>
        <stp>RR957</stp>
        <stp>[DPM - Securities Master List (BBG Linked).xlsx]Equities!R14C14</stp>
        <tr r="N14" s="2"/>
        <tr r="N14" s="2"/>
        <tr r="N14" s="2"/>
      </tp>
      <tp>
        <v>14.981599686066341</v>
        <stp/>
        <stp>##V3_BDPV12</stp>
        <stp>3690 HK Equity</stp>
        <stp>RR957</stp>
        <stp>[DPM - Securities Master List (BBG Linked).xlsx]Equities!R10C14</stp>
        <tr r="N10" s="2"/>
        <tr r="N10" s="2"/>
        <tr r="N10" s="2"/>
      </tp>
      <tp>
        <v>14.981599686066341</v>
        <stp/>
        <stp>##V3_BDPV12</stp>
        <stp>3690 HK Equity</stp>
        <stp>RR957</stp>
        <stp>[DPM - Securities Master List (BBG Linked).xlsx]Equities!R11C14</stp>
        <tr r="N11" s="2"/>
        <tr r="N11" s="2"/>
        <tr r="N11" s="2"/>
      </tp>
      <tp>
        <v>14.981599686066341</v>
        <stp/>
        <stp>##V3_BDPV12</stp>
        <stp>3690 HK Equity</stp>
        <stp>RR957</stp>
        <stp>[DPM - Securities Master List (BBG Linked).xlsx]Equities!R12C14</stp>
        <tr r="N12" s="2"/>
        <tr r="N12" s="2"/>
        <tr r="N12" s="2"/>
      </tp>
      <tp>
        <v>14.981599686066341</v>
        <stp/>
        <stp>##V3_BDPV12</stp>
        <stp>3690 HK Equity</stp>
        <stp>RR957</stp>
        <stp>[DPM - Securities Master List (BBG Linked).xlsx]Equities!R13C14</stp>
        <tr r="N13" s="2"/>
        <tr r="N13" s="2"/>
        <tr r="N13" s="2"/>
      </tp>
      <tp>
        <v>4.5159129994211069</v>
        <stp/>
        <stp>##V3_BDPV12</stp>
        <stp>3690 HK Equity</stp>
        <stp>RR903</stp>
        <stp>[DPM - Securities Master List (BBG Linked).xlsx]Equities!R14C13</stp>
        <tr r="M14" s="2"/>
        <tr r="M14" s="2"/>
        <tr r="M14" s="2"/>
      </tp>
      <tp>
        <v>4.5159129994211069</v>
        <stp/>
        <stp>##V3_BDPV12</stp>
        <stp>3690 HK Equity</stp>
        <stp>RR903</stp>
        <stp>[DPM - Securities Master List (BBG Linked).xlsx]Equities!R10C13</stp>
        <tr r="M10" s="2"/>
        <tr r="M10" s="2"/>
        <tr r="M10" s="2"/>
      </tp>
      <tp>
        <v>4.5159129994211069</v>
        <stp/>
        <stp>##V3_BDPV12</stp>
        <stp>3690 HK Equity</stp>
        <stp>RR903</stp>
        <stp>[DPM - Securities Master List (BBG Linked).xlsx]Equities!R11C13</stp>
        <tr r="M11" s="2"/>
        <tr r="M11" s="2"/>
        <tr r="M11" s="2"/>
      </tp>
      <tp>
        <v>4.5159129994211069</v>
        <stp/>
        <stp>##V3_BDPV12</stp>
        <stp>3690 HK Equity</stp>
        <stp>RR903</stp>
        <stp>[DPM - Securities Master List (BBG Linked).xlsx]Equities!R12C13</stp>
        <tr r="M12" s="2"/>
        <tr r="M12" s="2"/>
        <tr r="M12" s="2"/>
      </tp>
      <tp>
        <v>4.5159129994211069</v>
        <stp/>
        <stp>##V3_BDPV12</stp>
        <stp>3690 HK Equity</stp>
        <stp>RR903</stp>
        <stp>[DPM - Securities Master List (BBG Linked).xlsx]Equities!R13C13</stp>
        <tr r="M13" s="2"/>
        <tr r="M13" s="2"/>
        <tr r="M13" s="2"/>
      </tp>
      <tp>
        <v>22.090172932439877</v>
        <stp/>
        <stp>##V3_BDPV12</stp>
        <stp>3690 HK Equity</stp>
        <stp>RR900</stp>
        <stp>[DPM - Securities Master List (BBG Linked).xlsx]Equities!R14C11</stp>
        <tr r="K14" s="2"/>
        <tr r="K14" s="2"/>
        <tr r="K14" s="2"/>
      </tp>
      <tp>
        <v>22.090172932439877</v>
        <stp/>
        <stp>##V3_BDPV12</stp>
        <stp>3690 HK Equity</stp>
        <stp>RR900</stp>
        <stp>[DPM - Securities Master List (BBG Linked).xlsx]Equities!R10C11</stp>
        <tr r="K10" s="2"/>
        <tr r="K10" s="2"/>
        <tr r="K10" s="2"/>
      </tp>
      <tp>
        <v>22.090172932439877</v>
        <stp/>
        <stp>##V3_BDPV12</stp>
        <stp>3690 HK Equity</stp>
        <stp>RR900</stp>
        <stp>[DPM - Securities Master List (BBG Linked).xlsx]Equities!R11C11</stp>
        <tr r="K11" s="2"/>
        <tr r="K11" s="2"/>
        <tr r="K11" s="2"/>
      </tp>
      <tp>
        <v>22.090172932439877</v>
        <stp/>
        <stp>##V3_BDPV12</stp>
        <stp>3690 HK Equity</stp>
        <stp>RR900</stp>
        <stp>[DPM - Securities Master List (BBG Linked).xlsx]Equities!R12C11</stp>
        <tr r="K12" s="2"/>
        <tr r="K12" s="2"/>
        <tr r="K12" s="2"/>
      </tp>
      <tp>
        <v>22.090172932439877</v>
        <stp/>
        <stp>##V3_BDPV12</stp>
        <stp>3690 HK Equity</stp>
        <stp>RR900</stp>
        <stp>[DPM - Securities Master List (BBG Linked).xlsx]Equities!R13C11</stp>
        <tr r="K13" s="2"/>
        <tr r="K13" s="2"/>
        <tr r="K13" s="2"/>
      </tp>
      <tp t="s">
        <v>HKD</v>
        <stp/>
        <stp>##V3_BDPV12</stp>
        <stp>2020 HK Equity</stp>
        <stp>CRNCY</stp>
        <stp>[DPM - Securities Master List (BBG Linked).xlsx]Equities!R5C6</stp>
        <tr r="F5" s="2"/>
      </tp>
      <tp>
        <v>12.977426984165488</v>
        <stp/>
        <stp>##V3_BDPV12</stp>
        <stp>3690 HK Equity</stp>
        <stp>RR908</stp>
        <stp>[DPM - Securities Master List (BBG Linked).xlsx]Equities!R14C32</stp>
        <tr r="AF14" s="2"/>
        <tr r="AF14" s="2"/>
        <tr r="AF14" s="2"/>
      </tp>
      <tp>
        <v>12.977426984165488</v>
        <stp/>
        <stp>##V3_BDPV12</stp>
        <stp>3690 HK Equity</stp>
        <stp>RR908</stp>
        <stp>[DPM - Securities Master List (BBG Linked).xlsx]Equities!R10C32</stp>
        <tr r="AF10" s="2"/>
        <tr r="AF10" s="2"/>
        <tr r="AF10" s="2"/>
      </tp>
      <tp>
        <v>12.977426984165488</v>
        <stp/>
        <stp>##V3_BDPV12</stp>
        <stp>3690 HK Equity</stp>
        <stp>RR908</stp>
        <stp>[DPM - Securities Master List (BBG Linked).xlsx]Equities!R11C32</stp>
        <tr r="AF11" s="2"/>
        <tr r="AF11" s="2"/>
        <tr r="AF11" s="2"/>
      </tp>
      <tp>
        <v>12.977426984165488</v>
        <stp/>
        <stp>##V3_BDPV12</stp>
        <stp>3690 HK Equity</stp>
        <stp>RR908</stp>
        <stp>[DPM - Securities Master List (BBG Linked).xlsx]Equities!R12C32</stp>
        <tr r="AF12" s="2"/>
        <tr r="AF12" s="2"/>
        <tr r="AF12" s="2"/>
      </tp>
      <tp>
        <v>12.977426984165488</v>
        <stp/>
        <stp>##V3_BDPV12</stp>
        <stp>3690 HK Equity</stp>
        <stp>RR908</stp>
        <stp>[DPM - Securities Master List (BBG Linked).xlsx]Equities!R13C32</stp>
        <tr r="AF13" s="2"/>
        <tr r="AF13" s="2"/>
        <tr r="AF13" s="2"/>
      </tp>
    </main>
    <main first="bofaddin.rtdserver">
      <tp t="e">
        <v>#N/A</v>
        <stp/>
        <stp>BDP|1703214200417800948</stp>
        <tr r="AT51" s="1"/>
      </tp>
      <tp t="e">
        <v>#N/A</v>
        <stp/>
        <stp>BDP|2497495927049671067</stp>
        <tr r="AK6" s="1"/>
        <tr r="AK6" s="1"/>
        <tr r="AK6" s="1"/>
      </tp>
      <tp t="e">
        <v>#N/A</v>
        <stp/>
        <stp>BDP|9913265470599629833</stp>
        <tr r="AL78" s="1"/>
        <tr r="AL154" s="1"/>
        <tr r="AL149" s="1"/>
        <tr r="AL124" s="1"/>
      </tp>
      <tp t="e">
        <v>#N/A</v>
        <stp/>
        <stp>BDP|9378173005927213298</stp>
        <tr r="Q129" s="3"/>
        <tr r="Q128" s="3"/>
        <tr r="Q127" s="3"/>
        <tr r="Q126" s="3"/>
        <tr r="Q125" s="3"/>
        <tr r="Q124" s="3"/>
        <tr r="Q123" s="3"/>
        <tr r="Q122" s="3"/>
        <tr r="Q121" s="3"/>
        <tr r="Q120" s="3"/>
      </tp>
      <tp t="e">
        <v>#N/A</v>
        <stp/>
        <stp>BDP|7372083563649417564</stp>
        <tr r="J9" s="3"/>
        <tr r="J9" s="3"/>
        <tr r="J8" s="3"/>
        <tr r="J8" s="3"/>
        <tr r="J7" s="3"/>
        <tr r="J7" s="3"/>
        <tr r="J6" s="3"/>
        <tr r="J6" s="3"/>
        <tr r="J5" s="3"/>
        <tr r="J5" s="3"/>
        <tr r="J4" s="3"/>
        <tr r="J4" s="3"/>
        <tr r="J3" s="3"/>
        <tr r="J3" s="3"/>
        <tr r="J15" s="3"/>
        <tr r="J15" s="3"/>
        <tr r="J14" s="3"/>
        <tr r="J14" s="3"/>
        <tr r="J13" s="3"/>
        <tr r="J13" s="3"/>
        <tr r="J12" s="3"/>
        <tr r="J12" s="3"/>
        <tr r="J11" s="3"/>
        <tr r="J11" s="3"/>
        <tr r="J10" s="3"/>
        <tr r="J10" s="3"/>
      </tp>
      <tp t="e">
        <v>#N/A</v>
        <stp/>
        <stp>BDP|5647605528719085555</stp>
        <tr r="AM115" s="1"/>
        <tr r="AM115" s="1"/>
        <tr r="AM62" s="1"/>
        <tr r="AM62" s="1"/>
        <tr r="AM45" s="1"/>
        <tr r="AM45" s="1"/>
        <tr r="AM53" s="1"/>
        <tr r="AM53" s="1"/>
      </tp>
      <tp t="e">
        <v>#N/A</v>
        <stp/>
        <stp>BDP|4983720795692375562</stp>
        <tr r="V150" s="1"/>
        <tr r="V122" s="1"/>
      </tp>
      <tp t="e">
        <v>#N/A</v>
        <stp/>
        <stp>BDP|3639367741298238189</stp>
        <tr r="AD56" s="1"/>
      </tp>
      <tp t="e">
        <v>#N/A</v>
        <stp/>
        <stp>BDP|8577256167762963351</stp>
        <tr r="AT46" s="1"/>
        <tr r="AT144" s="1"/>
        <tr r="AT134" s="1"/>
      </tp>
      <tp t="e">
        <v>#N/A</v>
        <stp/>
        <stp>BDP|9230459085080137888</stp>
        <tr r="AJ64" s="1"/>
        <tr r="AJ64" s="1"/>
      </tp>
      <tp t="e">
        <v>#N/A</v>
        <stp/>
        <stp>BDP|5960697299323724452</stp>
        <tr r="AS113" s="1"/>
      </tp>
      <tp t="e">
        <v>#N/A</v>
        <stp/>
        <stp>BDP|4720398790862473111</stp>
        <tr r="AD20" s="1"/>
      </tp>
      <tp t="e">
        <v>#N/A</v>
        <stp/>
        <stp>BDP|7617216711339942047</stp>
        <tr r="V32" s="1"/>
      </tp>
      <tp t="e">
        <v>#N/A</v>
        <stp/>
        <stp>BDP|9670437338297033466</stp>
        <tr r="Y139" s="1"/>
        <tr r="Y129" s="1"/>
      </tp>
      <tp t="e">
        <v>#N/A</v>
        <stp/>
        <stp>BDP|2902177284711392716</stp>
        <tr r="M117" s="1"/>
        <tr r="M117" s="1"/>
        <tr r="M163" s="1"/>
        <tr r="M163" s="1"/>
        <tr r="M97" s="1"/>
        <tr r="M97" s="1"/>
        <tr r="M25" s="1"/>
        <tr r="M25" s="1"/>
        <tr r="M75" s="1"/>
        <tr r="M75" s="1"/>
        <tr r="M60" s="1"/>
        <tr r="M60" s="1"/>
        <tr r="M40" s="1"/>
        <tr r="M40" s="1"/>
        <tr r="M4" s="1"/>
        <tr r="M4" s="1"/>
      </tp>
      <tp t="e">
        <v>#N/A</v>
        <stp/>
        <stp>BDP|4245612901568338793</stp>
        <tr r="K6" s="1"/>
      </tp>
      <tp t="e">
        <v>#N/A</v>
        <stp/>
        <stp>BDP|9645634998228779320</stp>
        <tr r="N12" s="1"/>
      </tp>
      <tp t="e">
        <v>#N/A</v>
        <stp/>
        <stp>BDP|3275143400856809969</stp>
        <tr r="AL15" s="1"/>
        <tr r="AL109" s="1"/>
      </tp>
      <tp t="e">
        <v>#N/A</v>
        <stp/>
        <stp>BDP|6284921016983606086</stp>
        <tr r="AL13" s="1"/>
      </tp>
      <tp t="e">
        <v>#N/A</v>
        <stp/>
        <stp>BDP|8526083760361496202</stp>
        <tr r="W34" s="1"/>
        <tr r="W156" s="1"/>
      </tp>
      <tp t="e">
        <v>#N/A</v>
        <stp/>
        <stp>BDP|4386597928299874732</stp>
        <tr r="H46" s="1"/>
        <tr r="H46" s="1"/>
        <tr r="H144" s="1"/>
        <tr r="H144" s="1"/>
        <tr r="H134" s="1"/>
        <tr r="H134" s="1"/>
      </tp>
      <tp t="e">
        <v>#N/A</v>
        <stp/>
        <stp>BDP|5630497932948355777</stp>
        <tr r="AR9" s="3"/>
        <tr r="AR9" s="3"/>
        <tr r="AR9" s="3"/>
        <tr r="AR8" s="3"/>
        <tr r="AR8" s="3"/>
        <tr r="AR8" s="3"/>
        <tr r="AR7" s="3"/>
        <tr r="AR7" s="3"/>
        <tr r="AR7" s="3"/>
        <tr r="AR6" s="3"/>
        <tr r="AR6" s="3"/>
        <tr r="AR6" s="3"/>
        <tr r="AR5" s="3"/>
        <tr r="AR5" s="3"/>
        <tr r="AR5" s="3"/>
        <tr r="AR4" s="3"/>
        <tr r="AR4" s="3"/>
        <tr r="AR4" s="3"/>
        <tr r="AR3" s="3"/>
        <tr r="AR3" s="3"/>
        <tr r="AR3" s="3"/>
        <tr r="AR15" s="3"/>
        <tr r="AR15" s="3"/>
        <tr r="AR15" s="3"/>
        <tr r="AR14" s="3"/>
        <tr r="AR14" s="3"/>
        <tr r="AR14" s="3"/>
        <tr r="AR13" s="3"/>
        <tr r="AR13" s="3"/>
        <tr r="AR13" s="3"/>
        <tr r="AR12" s="3"/>
        <tr r="AR12" s="3"/>
        <tr r="AR12" s="3"/>
        <tr r="AR11" s="3"/>
        <tr r="AR11" s="3"/>
        <tr r="AR11" s="3"/>
        <tr r="AR10" s="3"/>
        <tr r="AR10" s="3"/>
        <tr r="AR10" s="3"/>
      </tp>
      <tp t="e">
        <v>#N/A</v>
        <stp/>
        <stp>BDP|1813593526279704293</stp>
        <tr r="Q20" s="1"/>
      </tp>
      <tp t="e">
        <v>#N/A</v>
        <stp/>
        <stp>BDP|8739848030387249989</stp>
        <tr r="H68" s="1"/>
        <tr r="H68" s="1"/>
        <tr r="H31" s="1"/>
        <tr r="H31" s="1"/>
      </tp>
      <tp t="e">
        <v>#N/A</v>
        <stp/>
        <stp>BDP|9822947642609742003</stp>
        <tr r="H19" s="1"/>
        <tr r="H19" s="1"/>
      </tp>
      <tp t="e">
        <v>#N/A</v>
        <stp/>
        <stp>BDP|4910871665442501572</stp>
        <tr r="AD9" s="1"/>
      </tp>
      <tp t="e">
        <v>#N/A</v>
        <stp/>
        <stp>BDP|6860143869804325884</stp>
        <tr r="Q119" s="3"/>
        <tr r="Q118" s="3"/>
        <tr r="Q117" s="3"/>
        <tr r="Q116" s="3"/>
      </tp>
      <tp t="e">
        <v>#N/A</v>
        <stp/>
        <stp>BDP|5280403719199402410</stp>
        <tr r="H75" s="1"/>
        <tr r="H75" s="1"/>
        <tr r="H97" s="1"/>
        <tr r="H97" s="1"/>
        <tr r="H4" s="1"/>
        <tr r="H4" s="1"/>
        <tr r="H60" s="1"/>
        <tr r="H60" s="1"/>
        <tr r="H40" s="1"/>
        <tr r="H40" s="1"/>
        <tr r="H163" s="1"/>
        <tr r="H163" s="1"/>
        <tr r="H117" s="1"/>
        <tr r="H117" s="1"/>
        <tr r="H25" s="1"/>
        <tr r="H25" s="1"/>
      </tp>
      <tp t="e">
        <v>#N/A</v>
        <stp/>
        <stp>BDP|8018965532989218686</stp>
        <tr r="K64" s="1"/>
      </tp>
      <tp t="e">
        <v>#N/A</v>
        <stp/>
        <stp>BDP|9623550818373143346</stp>
        <tr r="AS6" s="1"/>
      </tp>
      <tp t="e">
        <v>#N/A</v>
        <stp/>
        <stp>BDP|4877223184135095608</stp>
        <tr r="E50" s="3"/>
        <tr r="E49" s="3"/>
        <tr r="E48" s="3"/>
        <tr r="E47" s="3"/>
        <tr r="E46" s="3"/>
        <tr r="E45" s="3"/>
        <tr r="E44" s="3"/>
        <tr r="E43" s="3"/>
        <tr r="E42" s="3"/>
        <tr r="E41" s="3"/>
        <tr r="E40" s="3"/>
        <tr r="E39" s="3"/>
        <tr r="E38" s="3"/>
        <tr r="E37" s="3"/>
        <tr r="E36" s="3"/>
        <tr r="E35" s="3"/>
      </tp>
      <tp t="e">
        <v>#N/A</v>
        <stp/>
        <stp>BDP|9125967972469928327</stp>
        <tr r="BC16" s="3"/>
      </tp>
      <tp t="e">
        <v>#N/A</v>
        <stp/>
        <stp>BDP|2746903917216820163</stp>
        <tr r="AM32" s="1"/>
        <tr r="AM32" s="1"/>
      </tp>
      <tp t="e">
        <v>#N/A</v>
        <stp/>
        <stp>BDP|1330606383217953574</stp>
        <tr r="Y96" s="1"/>
        <tr r="Y77" s="1"/>
        <tr r="Y65" s="1"/>
        <tr r="Y36" s="1"/>
        <tr r="Y27" s="1"/>
        <tr r="Y162" s="1"/>
      </tp>
      <tp t="e">
        <v>#N/A</v>
        <stp/>
        <stp>BDP|7829827700924026656</stp>
        <tr r="AU34" s="3"/>
        <tr r="AU34" s="3"/>
        <tr r="AU33" s="3"/>
        <tr r="AU33" s="3"/>
        <tr r="AU32" s="3"/>
        <tr r="AU32" s="3"/>
        <tr r="AU31" s="3"/>
        <tr r="AU31" s="3"/>
        <tr r="AU30" s="3"/>
        <tr r="AU30" s="3"/>
        <tr r="AU29" s="3"/>
        <tr r="AU29" s="3"/>
        <tr r="AU28" s="3"/>
        <tr r="AU28" s="3"/>
        <tr r="AU27" s="3"/>
        <tr r="AU27" s="3"/>
        <tr r="AU26" s="3"/>
        <tr r="AU26" s="3"/>
        <tr r="AU25" s="3"/>
        <tr r="AU25" s="3"/>
        <tr r="AU24" s="3"/>
        <tr r="AU24" s="3"/>
        <tr r="AU23" s="3"/>
        <tr r="AU23" s="3"/>
        <tr r="AU22" s="3"/>
        <tr r="AU22" s="3"/>
        <tr r="AU21" s="3"/>
        <tr r="AU21" s="3"/>
        <tr r="AU20" s="3"/>
        <tr r="AU20" s="3"/>
        <tr r="AU19" s="3"/>
        <tr r="AU19" s="3"/>
        <tr r="AU18" s="3"/>
        <tr r="AU18" s="3"/>
        <tr r="AU17" s="3"/>
        <tr r="AU17" s="3"/>
      </tp>
      <tp t="e">
        <v>#N/A</v>
        <stp/>
        <stp>BDP|7760994387242483927</stp>
        <tr r="AL114" s="3"/>
        <tr r="AL114" s="3"/>
        <tr r="AL114" s="3"/>
        <tr r="AL113" s="3"/>
        <tr r="AL113" s="3"/>
        <tr r="AL113" s="3"/>
        <tr r="AL112" s="3"/>
        <tr r="AL112" s="3"/>
        <tr r="AL112" s="3"/>
      </tp>
      <tp t="e">
        <v>#N/A</v>
        <stp/>
        <stp>BDP|6258814956351840722</stp>
        <tr r="H86" s="1"/>
        <tr r="H86" s="1"/>
        <tr r="H133" s="1"/>
        <tr r="H133" s="1"/>
      </tp>
      <tp t="e">
        <v>#N/A</v>
        <stp/>
        <stp>BDP|9539452041774976076</stp>
        <tr r="AA99" s="1"/>
        <tr r="AA74" s="1"/>
        <tr r="AA61" s="1"/>
        <tr r="AA38" s="1"/>
        <tr r="AA23" s="1"/>
        <tr r="AA165" s="1"/>
        <tr r="AA16" s="1"/>
        <tr r="AA152" s="1"/>
        <tr r="AA146" s="1"/>
        <tr r="AA137" s="1"/>
        <tr r="AA119" s="1"/>
        <tr r="AA111" s="1"/>
      </tp>
      <tp t="e">
        <v>#N/A</v>
        <stp/>
        <stp>BDP|3548977406941242699</stp>
        <tr r="M64" s="3"/>
        <tr r="M64" s="3"/>
        <tr r="M64" s="3"/>
      </tp>
      <tp t="e">
        <v>#N/A</v>
        <stp/>
        <stp>BDP|9285032053078960974</stp>
        <tr r="E63" s="1"/>
      </tp>
      <tp t="e">
        <v>#N/A</v>
        <stp/>
        <stp>BDP|7841220925069498370</stp>
        <tr r="H93" s="1"/>
        <tr r="H93" s="1"/>
      </tp>
      <tp t="e">
        <v>#N/A</v>
        <stp/>
        <stp>BDP|4835968766960215663</stp>
        <tr r="Q34" s="3"/>
        <tr r="Q33" s="3"/>
        <tr r="Q32" s="3"/>
        <tr r="Q31" s="3"/>
        <tr r="Q30" s="3"/>
        <tr r="Q29" s="3"/>
        <tr r="Q28" s="3"/>
        <tr r="Q27" s="3"/>
        <tr r="Q26" s="3"/>
        <tr r="Q25" s="3"/>
        <tr r="Q24" s="3"/>
        <tr r="Q23" s="3"/>
        <tr r="Q22" s="3"/>
        <tr r="Q21" s="3"/>
        <tr r="Q20" s="3"/>
        <tr r="Q19" s="3"/>
        <tr r="Q18" s="3"/>
        <tr r="Q17" s="3"/>
      </tp>
      <tp t="e">
        <v>#N/A</v>
        <stp/>
        <stp>BDP|8940996428177532915</stp>
        <tr r="N110" s="1"/>
      </tp>
      <tp t="e">
        <v>#N/A</v>
        <stp/>
        <stp>BDP|8982547687951227958</stp>
        <tr r="W8" s="1"/>
        <tr r="W106" s="1"/>
      </tp>
      <tp t="e">
        <v>#N/A</v>
        <stp/>
        <stp>BDP|7250075936029829063</stp>
        <tr r="H66" s="1"/>
        <tr r="H66" s="1"/>
        <tr r="H49" s="1"/>
        <tr r="H49" s="1"/>
        <tr r="H42" s="1"/>
        <tr r="H42" s="1"/>
      </tp>
      <tp t="e">
        <v>#N/A</v>
        <stp/>
        <stp>BDP|6321827087492320980</stp>
        <tr r="AT111" s="3"/>
        <tr r="AT111" s="3"/>
        <tr r="AT111" s="3"/>
        <tr r="AT110" s="3"/>
        <tr r="AT110" s="3"/>
        <tr r="AT110" s="3"/>
        <tr r="AT109" s="3"/>
        <tr r="AT109" s="3"/>
        <tr r="AT109" s="3"/>
        <tr r="AT108" s="3"/>
        <tr r="AT108" s="3"/>
        <tr r="AT108" s="3"/>
        <tr r="AT107" s="3"/>
        <tr r="AT107" s="3"/>
        <tr r="AT107" s="3"/>
        <tr r="AT106" s="3"/>
        <tr r="AT106" s="3"/>
        <tr r="AT106" s="3"/>
        <tr r="AT105" s="3"/>
        <tr r="AT105" s="3"/>
        <tr r="AT105" s="3"/>
        <tr r="AT104" s="3"/>
        <tr r="AT104" s="3"/>
        <tr r="AT104" s="3"/>
      </tp>
      <tp t="e">
        <v>#N/A</v>
        <stp/>
        <stp>BDP|8042439718562795213</stp>
        <tr r="AU72" s="1"/>
        <tr r="AU72" s="1"/>
        <tr r="AU72" s="1"/>
        <tr r="AU33" s="1"/>
        <tr r="AU33" s="1"/>
        <tr r="AU33" s="1"/>
        <tr r="AU158" s="1"/>
        <tr r="AU158" s="1"/>
        <tr r="AU158" s="1"/>
      </tp>
      <tp t="e">
        <v>#N/A</v>
        <stp/>
        <stp>BDP|9603622608855792765</stp>
        <tr r="I160" s="1"/>
      </tp>
      <tp t="e">
        <v>#N/A</v>
        <stp/>
        <stp>BDP|8524108581285489929</stp>
        <tr r="F94" s="1"/>
        <tr r="F151" s="1"/>
        <tr r="F123" s="1"/>
        <tr r="F101" s="1"/>
      </tp>
      <tp t="e">
        <v>#N/A</v>
        <stp/>
        <stp>BDP|6584903366082171602</stp>
        <tr r="AE53" s="1"/>
        <tr r="AE115" s="1"/>
        <tr r="AE62" s="1"/>
        <tr r="AE45" s="1"/>
      </tp>
      <tp t="e">
        <v>#N/A</v>
        <stp/>
        <stp>BDP|2390575198450625388</stp>
        <tr r="M129" s="3"/>
        <tr r="M129" s="3"/>
        <tr r="M129" s="3"/>
        <tr r="M128" s="3"/>
        <tr r="M128" s="3"/>
        <tr r="M128" s="3"/>
        <tr r="M127" s="3"/>
        <tr r="M127" s="3"/>
        <tr r="M127" s="3"/>
        <tr r="M126" s="3"/>
        <tr r="M126" s="3"/>
        <tr r="M126" s="3"/>
        <tr r="M125" s="3"/>
        <tr r="M125" s="3"/>
        <tr r="M125" s="3"/>
        <tr r="M124" s="3"/>
        <tr r="M124" s="3"/>
        <tr r="M124" s="3"/>
        <tr r="M123" s="3"/>
        <tr r="M123" s="3"/>
        <tr r="M123" s="3"/>
        <tr r="M122" s="3"/>
        <tr r="M122" s="3"/>
        <tr r="M122" s="3"/>
        <tr r="M121" s="3"/>
        <tr r="M121" s="3"/>
        <tr r="M121" s="3"/>
        <tr r="M120" s="3"/>
        <tr r="M120" s="3"/>
        <tr r="M120" s="3"/>
      </tp>
      <tp t="e">
        <v>#N/A</v>
        <stp/>
        <stp>BDP|1319895123866859021</stp>
        <tr r="Q56" s="1"/>
      </tp>
      <tp t="e">
        <v>#N/A</v>
        <stp/>
        <stp>BDP|1807057198416083361</stp>
        <tr r="Q15" s="1"/>
        <tr r="Q109" s="1"/>
      </tp>
      <tp t="e">
        <v>#N/A</v>
        <stp/>
        <stp>BDP|9061593575883985567</stp>
        <tr r="M94" s="1"/>
        <tr r="M94" s="1"/>
        <tr r="M151" s="1"/>
        <tr r="M151" s="1"/>
        <tr r="M123" s="1"/>
        <tr r="M123" s="1"/>
        <tr r="M101" s="1"/>
        <tr r="M101" s="1"/>
      </tp>
      <tp t="e">
        <v>#N/A</v>
        <stp/>
        <stp>BDP|1642202742898231266</stp>
        <tr r="F103" s="3"/>
      </tp>
      <tp t="e">
        <v>#N/A</v>
        <stp/>
        <stp>BDP|5170865103809239962</stp>
        <tr r="E34" s="3"/>
        <tr r="E33" s="3"/>
        <tr r="E32" s="3"/>
        <tr r="E31" s="3"/>
        <tr r="E30" s="3"/>
        <tr r="E29" s="3"/>
        <tr r="E28" s="3"/>
        <tr r="E27" s="3"/>
        <tr r="E26" s="3"/>
        <tr r="E25" s="3"/>
        <tr r="E24" s="3"/>
        <tr r="E23" s="3"/>
        <tr r="E22" s="3"/>
        <tr r="E21" s="3"/>
        <tr r="E20" s="3"/>
        <tr r="E19" s="3"/>
        <tr r="E18" s="3"/>
        <tr r="E17" s="3"/>
      </tp>
      <tp t="e">
        <v>#N/A</v>
        <stp/>
        <stp>BDP|1733096885186367285</stp>
        <tr r="Q18" s="1"/>
      </tp>
      <tp t="e">
        <v>#N/A</v>
        <stp/>
        <stp>BDP|3097857557270162320</stp>
        <tr r="AQ96" s="3"/>
        <tr r="AQ96" s="3"/>
        <tr r="AQ96" s="3"/>
        <tr r="AQ95" s="3"/>
        <tr r="AQ95" s="3"/>
        <tr r="AQ95" s="3"/>
      </tp>
      <tp t="e">
        <v>#N/A</v>
        <stp/>
        <stp>BDP|5436078883980967089</stp>
        <tr r="AF34" s="3"/>
        <tr r="AF34" s="3"/>
        <tr r="AF33" s="3"/>
        <tr r="AF33" s="3"/>
        <tr r="AF32" s="3"/>
        <tr r="AF32" s="3"/>
        <tr r="AF31" s="3"/>
        <tr r="AF31" s="3"/>
        <tr r="AF30" s="3"/>
        <tr r="AF30" s="3"/>
        <tr r="AF29" s="3"/>
        <tr r="AF29" s="3"/>
        <tr r="AF28" s="3"/>
        <tr r="AF28" s="3"/>
        <tr r="AF27" s="3"/>
        <tr r="AF27" s="3"/>
        <tr r="AF26" s="3"/>
        <tr r="AF26" s="3"/>
        <tr r="AF25" s="3"/>
        <tr r="AF25" s="3"/>
        <tr r="AF24" s="3"/>
        <tr r="AF24" s="3"/>
        <tr r="AF23" s="3"/>
        <tr r="AF23" s="3"/>
        <tr r="AF22" s="3"/>
        <tr r="AF22" s="3"/>
        <tr r="AF21" s="3"/>
        <tr r="AF21" s="3"/>
        <tr r="AF20" s="3"/>
        <tr r="AF20" s="3"/>
        <tr r="AF19" s="3"/>
        <tr r="AF19" s="3"/>
        <tr r="AF18" s="3"/>
        <tr r="AF18" s="3"/>
        <tr r="AF17" s="3"/>
        <tr r="AF17" s="3"/>
      </tp>
      <tp t="e">
        <v>#N/A</v>
        <stp/>
        <stp>BDP|5031025672357654871</stp>
        <tr r="I126" s="1"/>
      </tp>
      <tp t="e">
        <v>#N/A</v>
        <stp/>
        <stp>BDP|9284136679825093798</stp>
        <tr r="AU18" s="1"/>
        <tr r="AU18" s="1"/>
        <tr r="AU18" s="1"/>
      </tp>
      <tp t="e">
        <v>#N/A</v>
        <stp/>
        <stp>BDP|4215967785279273125</stp>
        <tr r="K98" s="1"/>
        <tr r="K79" s="1"/>
        <tr r="K5" s="1"/>
        <tr r="K155" s="1"/>
        <tr r="K118" s="1"/>
      </tp>
      <tp t="e">
        <v>#N/A</v>
        <stp/>
        <stp>BDP|7672970182843108847</stp>
        <tr r="H98" s="1"/>
        <tr r="H98" s="1"/>
        <tr r="H79" s="1"/>
        <tr r="H79" s="1"/>
        <tr r="H5" s="1"/>
        <tr r="H5" s="1"/>
        <tr r="H155" s="1"/>
        <tr r="H155" s="1"/>
        <tr r="H118" s="1"/>
        <tr r="H118" s="1"/>
      </tp>
      <tp t="e">
        <v>#N/A</v>
        <stp/>
        <stp>BDP|4050577283703584776</stp>
        <tr r="W64" s="3"/>
      </tp>
      <tp t="e">
        <v>#N/A</v>
        <stp/>
        <stp>BDP|3497898078164747548</stp>
        <tr r="I80" s="1"/>
        <tr r="I58" s="1"/>
        <tr r="I28" s="1"/>
        <tr r="I161" s="1"/>
        <tr r="I121" s="1"/>
        <tr r="I10" s="1"/>
      </tp>
      <tp t="e">
        <v>#N/A</v>
        <stp/>
        <stp>BDP|1975880018940882573</stp>
        <tr r="L12" s="1"/>
        <tr r="L12" s="1"/>
        <tr r="AS12" s="1"/>
      </tp>
      <tp t="e">
        <v>#N/A</v>
        <stp/>
        <stp>BDP|8112465333690025225</stp>
        <tr r="X99" s="1"/>
        <tr r="X74" s="1"/>
        <tr r="X61" s="1"/>
        <tr r="X38" s="1"/>
        <tr r="X23" s="1"/>
        <tr r="X165" s="1"/>
        <tr r="X16" s="1"/>
        <tr r="X152" s="1"/>
        <tr r="X146" s="1"/>
        <tr r="X137" s="1"/>
        <tr r="X119" s="1"/>
        <tr r="X111" s="1"/>
      </tp>
      <tp t="e">
        <v>#N/A</v>
        <stp/>
        <stp>BDP|9407322059886951408</stp>
        <tr r="F150" s="1"/>
        <tr r="F122" s="1"/>
      </tp>
      <tp t="e">
        <v>#N/A</v>
        <stp/>
        <stp>BDP|6735398907701627998</stp>
        <tr r="E145" s="1"/>
        <tr r="E136" s="1"/>
      </tp>
      <tp t="e">
        <v>#N/A</v>
        <stp/>
        <stp>BDP|9736700585062658936</stp>
        <tr r="K103" s="3"/>
      </tp>
      <tp t="e">
        <v>#N/A</v>
        <stp/>
        <stp>BDP|6587369617391077830</stp>
        <tr r="V34" s="3"/>
        <tr r="V33" s="3"/>
        <tr r="V32" s="3"/>
        <tr r="V31" s="3"/>
        <tr r="V30" s="3"/>
        <tr r="V29" s="3"/>
        <tr r="V28" s="3"/>
        <tr r="V27" s="3"/>
        <tr r="V26" s="3"/>
        <tr r="V25" s="3"/>
        <tr r="V24" s="3"/>
        <tr r="V23" s="3"/>
        <tr r="V22" s="3"/>
        <tr r="V21" s="3"/>
        <tr r="V20" s="3"/>
        <tr r="V19" s="3"/>
        <tr r="V18" s="3"/>
        <tr r="V17" s="3"/>
      </tp>
      <tp t="e">
        <v>#N/A</v>
        <stp/>
        <stp>BDP|4931774153553855823</stp>
        <tr r="AG115" s="3"/>
        <tr r="AG115" s="3"/>
        <tr r="AG115" s="3"/>
      </tp>
      <tp t="e">
        <v>#N/A</v>
        <stp/>
        <stp>BDP|2626658793279694915</stp>
        <tr r="AN78" s="3"/>
        <tr r="AN78" s="3"/>
        <tr r="AN78" s="3"/>
        <tr r="AN77" s="3"/>
        <tr r="AN77" s="3"/>
        <tr r="AN77" s="3"/>
        <tr r="AN76" s="3"/>
        <tr r="AN76" s="3"/>
        <tr r="AN76" s="3"/>
        <tr r="AN75" s="3"/>
        <tr r="AN75" s="3"/>
        <tr r="AN75" s="3"/>
        <tr r="AN74" s="3"/>
        <tr r="AN74" s="3"/>
        <tr r="AN74" s="3"/>
        <tr r="AN73" s="3"/>
        <tr r="AN73" s="3"/>
        <tr r="AN73" s="3"/>
      </tp>
      <tp t="e">
        <v>#N/A</v>
        <stp/>
        <stp>BDP|8593023752224011416</stp>
        <tr r="AJ12" s="1"/>
        <tr r="AJ12" s="1"/>
      </tp>
      <tp t="e">
        <v>#N/A</v>
        <stp/>
        <stp>BDP|1159263672420192904</stp>
        <tr r="AJ139" s="1"/>
        <tr r="AJ139" s="1"/>
        <tr r="AJ129" s="1"/>
        <tr r="AJ129" s="1"/>
      </tp>
      <tp t="e">
        <v>#N/A</v>
        <stp/>
        <stp>BDP|3047873390636454971</stp>
        <tr r="Z35" s="1"/>
        <tr r="Z24" s="1"/>
        <tr r="Z153" s="1"/>
      </tp>
      <tp t="e">
        <v>#N/A</v>
        <stp/>
        <stp>BDP|5521990104050843142</stp>
        <tr r="AD34" s="3"/>
        <tr r="AD34" s="3"/>
        <tr r="AD34" s="3"/>
        <tr r="AD33" s="3"/>
        <tr r="AD33" s="3"/>
        <tr r="AD33" s="3"/>
        <tr r="AD32" s="3"/>
        <tr r="AD32" s="3"/>
        <tr r="AD32" s="3"/>
        <tr r="AD31" s="3"/>
        <tr r="AD31" s="3"/>
        <tr r="AD31" s="3"/>
        <tr r="AD30" s="3"/>
        <tr r="AD30" s="3"/>
        <tr r="AD30" s="3"/>
        <tr r="AD29" s="3"/>
        <tr r="AD29" s="3"/>
        <tr r="AD29" s="3"/>
        <tr r="AD28" s="3"/>
        <tr r="AD28" s="3"/>
        <tr r="AD28" s="3"/>
        <tr r="AD27" s="3"/>
        <tr r="AD27" s="3"/>
        <tr r="AD27" s="3"/>
        <tr r="AD26" s="3"/>
        <tr r="AD26" s="3"/>
        <tr r="AD26" s="3"/>
        <tr r="AD25" s="3"/>
        <tr r="AD25" s="3"/>
        <tr r="AD25" s="3"/>
        <tr r="AD24" s="3"/>
        <tr r="AD24" s="3"/>
        <tr r="AD24" s="3"/>
        <tr r="AD23" s="3"/>
        <tr r="AD23" s="3"/>
        <tr r="AD23" s="3"/>
        <tr r="AD22" s="3"/>
        <tr r="AD22" s="3"/>
        <tr r="AD22" s="3"/>
        <tr r="AD21" s="3"/>
        <tr r="AD21" s="3"/>
        <tr r="AD21" s="3"/>
        <tr r="AD20" s="3"/>
        <tr r="AD20" s="3"/>
        <tr r="AD20" s="3"/>
        <tr r="AD19" s="3"/>
        <tr r="AD19" s="3"/>
        <tr r="AD19" s="3"/>
        <tr r="AD18" s="3"/>
        <tr r="AD18" s="3"/>
        <tr r="AD18" s="3"/>
        <tr r="AD17" s="3"/>
        <tr r="AD17" s="3"/>
        <tr r="AD17" s="3"/>
      </tp>
      <tp t="e">
        <v>#N/A</v>
        <stp/>
        <stp>BDP|9483745622411799014</stp>
        <tr r="V7" s="1"/>
        <tr r="V14" s="1"/>
        <tr r="V108" s="1"/>
      </tp>
      <tp t="e">
        <v>#N/A</v>
        <stp/>
        <stp>BDP|9759922670829680370</stp>
        <tr r="AH129" s="3"/>
        <tr r="AH129" s="3"/>
        <tr r="AH129" s="3"/>
        <tr r="AH128" s="3"/>
        <tr r="AH128" s="3"/>
        <tr r="AH128" s="3"/>
        <tr r="AH127" s="3"/>
        <tr r="AH127" s="3"/>
        <tr r="AH127" s="3"/>
        <tr r="AH126" s="3"/>
        <tr r="AH126" s="3"/>
        <tr r="AH126" s="3"/>
        <tr r="AH125" s="3"/>
        <tr r="AH125" s="3"/>
        <tr r="AH125" s="3"/>
        <tr r="AH124" s="3"/>
        <tr r="AH124" s="3"/>
        <tr r="AH124" s="3"/>
        <tr r="AH123" s="3"/>
        <tr r="AH123" s="3"/>
        <tr r="AH123" s="3"/>
        <tr r="AH122" s="3"/>
        <tr r="AH122" s="3"/>
        <tr r="AH122" s="3"/>
        <tr r="AH121" s="3"/>
        <tr r="AH121" s="3"/>
        <tr r="AH121" s="3"/>
        <tr r="AH120" s="3"/>
        <tr r="AH120" s="3"/>
        <tr r="AH120" s="3"/>
      </tp>
      <tp t="e">
        <v>#N/A</v>
        <stp/>
        <stp>BDP|8263025412580097468</stp>
        <tr r="H72" s="1"/>
        <tr r="H72" s="1"/>
        <tr r="H33" s="1"/>
        <tr r="H33" s="1"/>
        <tr r="H158" s="1"/>
        <tr r="H158" s="1"/>
      </tp>
      <tp t="e">
        <v>#N/A</v>
        <stp/>
        <stp>BDP|2885791754629443447</stp>
        <tr r="AM129" s="3"/>
        <tr r="AM129" s="3"/>
        <tr r="AM129" s="3"/>
        <tr r="AM128" s="3"/>
        <tr r="AM128" s="3"/>
        <tr r="AM128" s="3"/>
        <tr r="AM127" s="3"/>
        <tr r="AM127" s="3"/>
        <tr r="AM127" s="3"/>
        <tr r="AM126" s="3"/>
        <tr r="AM126" s="3"/>
        <tr r="AM126" s="3"/>
        <tr r="AM125" s="3"/>
        <tr r="AM125" s="3"/>
        <tr r="AM125" s="3"/>
        <tr r="AM124" s="3"/>
        <tr r="AM124" s="3"/>
        <tr r="AM124" s="3"/>
        <tr r="AM123" s="3"/>
        <tr r="AM123" s="3"/>
        <tr r="AM123" s="3"/>
        <tr r="AM122" s="3"/>
        <tr r="AM122" s="3"/>
        <tr r="AM122" s="3"/>
        <tr r="AM121" s="3"/>
        <tr r="AM121" s="3"/>
        <tr r="AM121" s="3"/>
        <tr r="AM120" s="3"/>
        <tr r="AM120" s="3"/>
        <tr r="AM120" s="3"/>
      </tp>
      <tp t="e">
        <v>#N/A</v>
        <stp/>
        <stp>BDP|9667755382752395972</stp>
        <tr r="M143" s="1"/>
        <tr r="M143" s="1"/>
        <tr r="M127" s="1"/>
        <tr r="M127" s="1"/>
      </tp>
      <tp t="e">
        <v>#N/A</v>
        <stp/>
        <stp>BDP|6611360263259101772</stp>
        <tr r="Z72" s="1"/>
        <tr r="Z33" s="1"/>
        <tr r="Z158" s="1"/>
      </tp>
      <tp t="e">
        <v>#N/A</v>
        <stp/>
        <stp>BDP|3767403880811611349</stp>
        <tr r="X143" s="1"/>
        <tr r="X127" s="1"/>
      </tp>
    </main>
    <main first="bloomberg.rtd">
      <tp t="s">
        <v>Energy</v>
        <stp/>
        <stp>##V3_BDPV12</stp>
        <stp>TTE FP Equity</stp>
        <stp>DX202</stp>
        <stp>[DPM - Securities Master List (BBG Linked).xlsx]Equities!R277C8</stp>
        <tr r="H277" s="2"/>
        <tr r="H277" s="2"/>
        <tr r="H277" s="2"/>
      </tp>
      <tp t="s">
        <v>Energy</v>
        <stp/>
        <stp>##V3_BDPV12</stp>
        <stp>TTE FP Equity</stp>
        <stp>DX202</stp>
        <stp>[DPM - Securities Master List (BBG Linked).xlsx]Equities!R287C8</stp>
        <tr r="H287" s="2"/>
        <tr r="H287" s="2"/>
        <tr r="H287" s="2"/>
      </tp>
      <tp t="s">
        <v>Communication Services</v>
        <stp/>
        <stp>##V3_BDPV12</stp>
        <stp>DIS US Equity</stp>
        <stp>DX202</stp>
        <stp>[DPM - Securities Master List (BBG Linked).xlsx]Equities!R114C8</stp>
        <tr r="H114" s="2"/>
        <tr r="H114" s="2"/>
        <tr r="H114" s="2"/>
      </tp>
      <tp>
        <v>-1.531137</v>
        <stp/>
        <stp>##V3_BDPV12</stp>
        <stp>ON US Equity</stp>
        <stp>CHG_PCT_5D</stp>
        <stp>[DPM - Securities Master List (BBG Linked).xlsx]Equities!R226C23</stp>
        <tr r="W226" s="2"/>
      </tp>
      <tp>
        <v>80.875</v>
        <stp/>
        <stp>##V3_BDPV12</stp>
        <stp>PYPL US Equity</stp>
        <stp>BEST_TARGET_PRICE</stp>
        <stp>[DPM - Securities Master List (BBG Linked).xlsx]Equities!R237C38</stp>
        <tr r="AL237" s="2"/>
      </tp>
      <tp>
        <v>80.875</v>
        <stp/>
        <stp>##V3_BDPV12</stp>
        <stp>PYPL US Equity</stp>
        <stp>BEST_TARGET_PRICE</stp>
        <stp>[DPM - Securities Master List (BBG Linked).xlsx]Equities!R239C38</stp>
        <tr r="AL239" s="2"/>
      </tp>
      <tp>
        <v>80.875</v>
        <stp/>
        <stp>##V3_BDPV12</stp>
        <stp>PYPL US Equity</stp>
        <stp>BEST_TARGET_PRICE</stp>
        <stp>[DPM - Securities Master List (BBG Linked).xlsx]Equities!R238C38</stp>
        <tr r="AL238" s="2"/>
      </tp>
      <tp t="s">
        <v>Information Technology</v>
        <stp/>
        <stp>##V3_BDPV12</stp>
        <stp>MSFT US Equity</stp>
        <stp>DX202</stp>
        <stp>[DPM - Securities Master List (BBG Linked).xlsx]Equities!R181C8</stp>
        <tr r="H181" s="2"/>
        <tr r="H181" s="2"/>
        <tr r="H181" s="2"/>
      </tp>
      <tp t="s">
        <v>Information Technology</v>
        <stp/>
        <stp>##V3_BDPV12</stp>
        <stp>MSFT US Equity</stp>
        <stp>DX202</stp>
        <stp>[DPM - Securities Master List (BBG Linked).xlsx]Equities!R171C8</stp>
        <tr r="H171" s="2"/>
        <tr r="H171" s="2"/>
        <tr r="H171" s="2"/>
      </tp>
      <tp t="s">
        <v>Information Technology</v>
        <stp/>
        <stp>##V3_BDPV12</stp>
        <stp>NVDA US Equity</stp>
        <stp>DX202</stp>
        <stp>[DPM - Securities Master List (BBG Linked).xlsx]Equities!R224C8</stp>
        <tr r="H224" s="2"/>
        <tr r="H224" s="2"/>
        <tr r="H224" s="2"/>
      </tp>
      <tp t="s">
        <v>HKD</v>
        <stp/>
        <stp>##V3_BDPV12</stp>
        <stp>2020 HK Equity</stp>
        <stp>CRNCY</stp>
        <stp>[DPM - Securities Master List (BBG Linked).xlsx]Equities!R4C6</stp>
        <tr r="F4" s="2"/>
      </tp>
      <tp t="s">
        <v>#N/A Invalid Field</v>
        <stp/>
        <stp>##V3_BDPV12</stp>
        <stp>DD US Equity</stp>
        <stp/>
        <stp>[DPM - Securities Master List (BBG Linked).xlsx]Equities!R91C29</stp>
        <tr r="AC91" s="2"/>
        <tr r="AC91" s="2"/>
      </tp>
    </main>
    <main first="bofaddin.rtdserver">
      <tp t="e">
        <v>#N/A</v>
        <stp/>
        <stp>BDP|8777098439692856751</stp>
        <tr r="AK53" s="1"/>
        <tr r="AK53" s="1"/>
        <tr r="AK53" s="1"/>
        <tr r="AK115" s="1"/>
        <tr r="AK115" s="1"/>
        <tr r="AK115" s="1"/>
        <tr r="AK45" s="1"/>
        <tr r="AK45" s="1"/>
        <tr r="AK45" s="1"/>
        <tr r="AK62" s="1"/>
        <tr r="AK62" s="1"/>
        <tr r="AK62" s="1"/>
      </tp>
      <tp t="e">
        <v>#N/A</v>
        <stp/>
        <stp>BDP|6981690300039222785</stp>
        <tr r="AK113" s="1"/>
        <tr r="AK113" s="1"/>
        <tr r="AK113" s="1"/>
      </tp>
      <tp t="e">
        <v>#N/A</v>
        <stp/>
        <stp>BDP|1978876693398424632</stp>
        <tr r="AD35" s="1"/>
        <tr r="AD24" s="1"/>
        <tr r="AD153" s="1"/>
      </tp>
      <tp t="e">
        <v>#N/A</v>
        <stp/>
        <stp>BDP|8986731481759519054</stp>
        <tr r="X160" s="1"/>
      </tp>
      <tp t="e">
        <v>#N/A</v>
        <stp/>
        <stp>BDP|9153098981798402760</stp>
        <tr r="H68" s="1"/>
        <tr r="H68" s="1"/>
        <tr r="H31" s="1"/>
        <tr r="H31" s="1"/>
      </tp>
      <tp t="e">
        <v>#N/A</v>
        <stp/>
        <stp>BDP|5738893494919075312</stp>
        <tr r="N63" s="1"/>
      </tp>
      <tp t="e">
        <v>#N/A</v>
        <stp/>
        <stp>BDP|1063128765861568996</stp>
        <tr r="AT99" s="3"/>
        <tr r="AT99" s="3"/>
        <tr r="AT99" s="3"/>
        <tr r="AT98" s="3"/>
        <tr r="AT98" s="3"/>
        <tr r="AT98" s="3"/>
        <tr r="AT97" s="3"/>
        <tr r="AT97" s="3"/>
        <tr r="AT97" s="3"/>
      </tp>
      <tp t="e">
        <v>#N/A</v>
        <stp/>
        <stp>BDP|2723839354637029680</stp>
        <tr r="L9" s="1"/>
        <tr r="L9" s="1"/>
        <tr r="AS9" s="1"/>
      </tp>
      <tp t="e">
        <v>#N/A</v>
        <stp/>
        <stp>BDP|2544377048723722852</stp>
        <tr r="N86" s="1"/>
        <tr r="N133" s="1"/>
      </tp>
      <tp t="e">
        <v>#N/A</v>
        <stp/>
        <stp>BDP|8623626278902267570</stp>
        <tr r="H52" s="1"/>
        <tr r="H52" s="1"/>
      </tp>
      <tp t="e">
        <v>#N/A</v>
        <stp/>
        <stp>BDP|3856845175441888389</stp>
        <tr r="AO44" s="1"/>
      </tp>
      <tp t="b">
        <v>0</v>
        <stp/>
        <stp>BDP|3183899364457018450</stp>
        <tr r="Q78" s="3"/>
        <tr r="Q77" s="3"/>
        <tr r="Q76" s="3"/>
        <tr r="Q75" s="3"/>
        <tr r="Q74" s="3"/>
        <tr r="Q73" s="3"/>
      </tp>
      <tp t="e">
        <v>#N/A</v>
        <stp/>
        <stp>BDP|4908858264480064461</stp>
        <tr r="M86" s="1"/>
        <tr r="M86" s="1"/>
        <tr r="M133" s="1"/>
        <tr r="M133" s="1"/>
      </tp>
      <tp t="e">
        <v>#N/A</v>
        <stp/>
        <stp>BDP|2466628998127482448</stp>
        <tr r="H103" s="1"/>
      </tp>
      <tp t="e">
        <v>#N/A</v>
        <stp/>
        <stp>BDP|6601116287183626286</stp>
        <tr r="M32" s="1"/>
        <tr r="M32" s="1"/>
      </tp>
      <tp t="e">
        <v>#N/A</v>
        <stp/>
        <stp>BDP|6835916327583118016</stp>
        <tr r="AJ103" s="1"/>
        <tr r="AJ103" s="1"/>
      </tp>
      <tp t="e">
        <v>#N/A</v>
        <stp/>
        <stp>BDP|6159156409808487174</stp>
        <tr r="AS99" s="3"/>
        <tr r="AS99" s="3"/>
        <tr r="AS99" s="3"/>
        <tr r="AS98" s="3"/>
        <tr r="AS98" s="3"/>
        <tr r="AS98" s="3"/>
        <tr r="AS97" s="3"/>
        <tr r="AS97" s="3"/>
        <tr r="AS97" s="3"/>
      </tp>
      <tp t="e">
        <v>#N/A</v>
        <stp/>
        <stp>BDP|7583887924391288249</stp>
        <tr r="AO126" s="1"/>
      </tp>
      <tp t="e">
        <v>#N/A</v>
        <stp/>
        <stp>BDP|2688142168228630301</stp>
        <tr r="Z95" s="1"/>
        <tr r="Z71" s="1"/>
      </tp>
      <tp t="e">
        <v>#N/A</v>
        <stp/>
        <stp>BDP|4841939878560771482</stp>
        <tr r="H96" s="1"/>
        <tr r="H96" s="1"/>
        <tr r="H77" s="1"/>
        <tr r="H77" s="1"/>
        <tr r="H65" s="1"/>
        <tr r="H65" s="1"/>
        <tr r="H36" s="1"/>
        <tr r="H36" s="1"/>
        <tr r="H27" s="1"/>
        <tr r="H27" s="1"/>
        <tr r="H162" s="1"/>
        <tr r="H162" s="1"/>
      </tp>
      <tp t="e">
        <v>#N/A</v>
        <stp/>
        <stp>BDP|8990640715149342873</stp>
        <tr r="Q141" s="3"/>
        <tr r="Q140" s="3"/>
        <tr r="Q139" s="3"/>
        <tr r="Q138" s="3"/>
        <tr r="Q137" s="3"/>
        <tr r="Q136" s="3"/>
        <tr r="Q135" s="3"/>
        <tr r="Q134" s="3"/>
        <tr r="Q133" s="3"/>
        <tr r="Q132" s="3"/>
        <tr r="Q131" s="3"/>
        <tr r="Q130" s="3"/>
      </tp>
      <tp t="e">
        <v>#N/A</v>
        <stp/>
        <stp>BDP|1407466011673760982</stp>
        <tr r="AQ102" s="3"/>
        <tr r="AQ102" s="3"/>
        <tr r="AQ102" s="3"/>
        <tr r="AQ101" s="3"/>
        <tr r="AQ101" s="3"/>
        <tr r="AQ101" s="3"/>
        <tr r="AQ100" s="3"/>
        <tr r="AQ100" s="3"/>
        <tr r="AQ100" s="3"/>
      </tp>
      <tp t="e">
        <v>#N/A</v>
        <stp/>
        <stp>BDP|2125737598244270646</stp>
        <tr r="H160" s="1"/>
        <tr r="H160" s="1"/>
      </tp>
      <tp t="e">
        <v>#N/A</v>
        <stp/>
        <stp>BDP|4836328885111613043</stp>
        <tr r="I105" s="1"/>
      </tp>
      <tp t="e">
        <v>#N/A</v>
        <stp/>
        <stp>BDP|9446910208717303930</stp>
        <tr r="K46" s="1"/>
        <tr r="K144" s="1"/>
        <tr r="K134" s="1"/>
      </tp>
      <tp t="e">
        <v>#N/A</v>
        <stp/>
        <stp>BDP|2051942525473490489</stp>
        <tr r="AO54" s="1"/>
      </tp>
      <tp t="e">
        <v>#N/A</v>
        <stp/>
        <stp>BDP|2715941928510073761</stp>
        <tr r="V72" s="1"/>
        <tr r="V33" s="1"/>
        <tr r="V158" s="1"/>
      </tp>
      <tp t="e">
        <v>#N/A</v>
        <stp/>
        <stp>BDP|7288866683571542805</stp>
        <tr r="X107" s="1"/>
      </tp>
      <tp t="e">
        <v>#N/A</v>
        <stp/>
        <stp>BDP|3354674385481314209</stp>
        <tr r="AO116" s="1"/>
        <tr r="AO84" s="1"/>
        <tr r="AO70" s="1"/>
        <tr r="AO159" s="1"/>
      </tp>
      <tp t="e">
        <v>#N/A</v>
        <stp/>
        <stp>BDP|8613579603440218328</stp>
        <tr r="AK92" s="1"/>
        <tr r="AK92" s="1"/>
        <tr r="AK92" s="1"/>
      </tp>
      <tp t="e">
        <v>#N/A</v>
        <stp/>
        <stp>BDP|4405702623239612636</stp>
        <tr r="AK119" s="3"/>
        <tr r="AK119" s="3"/>
        <tr r="AK118" s="3"/>
        <tr r="AK118" s="3"/>
        <tr r="AK117" s="3"/>
        <tr r="AK117" s="3"/>
        <tr r="AK116" s="3"/>
        <tr r="AK116" s="3"/>
      </tp>
      <tp t="e">
        <v>#N/A</v>
        <stp/>
        <stp>BDP|2535184790064767098</stp>
        <tr r="E148" s="1"/>
        <tr r="E138" s="1"/>
      </tp>
      <tp t="e">
        <v>#N/A</v>
        <stp/>
        <stp>BDP|6135169709541553885</stp>
        <tr r="AG129" s="3"/>
        <tr r="AG129" s="3"/>
        <tr r="AG129" s="3"/>
        <tr r="AG128" s="3"/>
        <tr r="AG128" s="3"/>
        <tr r="AG128" s="3"/>
        <tr r="AG127" s="3"/>
        <tr r="AG127" s="3"/>
        <tr r="AG127" s="3"/>
        <tr r="AG126" s="3"/>
        <tr r="AG126" s="3"/>
        <tr r="AG126" s="3"/>
        <tr r="AG125" s="3"/>
        <tr r="AG125" s="3"/>
        <tr r="AG125" s="3"/>
        <tr r="AG124" s="3"/>
        <tr r="AG124" s="3"/>
        <tr r="AG124" s="3"/>
        <tr r="AG123" s="3"/>
        <tr r="AG123" s="3"/>
        <tr r="AG123" s="3"/>
        <tr r="AG122" s="3"/>
        <tr r="AG122" s="3"/>
        <tr r="AG122" s="3"/>
        <tr r="AG121" s="3"/>
        <tr r="AG121" s="3"/>
        <tr r="AG121" s="3"/>
        <tr r="AG120" s="3"/>
        <tr r="AG120" s="3"/>
        <tr r="AG120" s="3"/>
      </tp>
      <tp t="e">
        <v>#N/A</v>
        <stp/>
        <stp>BDP|9719603070776576012</stp>
        <tr r="M82" s="1"/>
        <tr r="M82" s="1"/>
        <tr r="M39" s="1"/>
        <tr r="M39" s="1"/>
        <tr r="M22" s="1"/>
        <tr r="M22" s="1"/>
        <tr r="M167" s="1"/>
        <tr r="M167" s="1"/>
      </tp>
      <tp t="e">
        <v>#N/A</v>
        <stp/>
        <stp>BDP|6381851111338705939</stp>
        <tr r="AC72" s="3"/>
        <tr r="AC72" s="3"/>
        <tr r="AC72" s="3"/>
        <tr r="AC71" s="3"/>
        <tr r="AC71" s="3"/>
        <tr r="AC71" s="3"/>
        <tr r="AC70" s="3"/>
        <tr r="AC70" s="3"/>
        <tr r="AC70" s="3"/>
        <tr r="AC69" s="3"/>
        <tr r="AC69" s="3"/>
        <tr r="AC69" s="3"/>
        <tr r="AC68" s="3"/>
        <tr r="AC68" s="3"/>
        <tr r="AC68" s="3"/>
        <tr r="AC67" s="3"/>
        <tr r="AC67" s="3"/>
        <tr r="AC67" s="3"/>
        <tr r="AC66" s="3"/>
        <tr r="AC66" s="3"/>
        <tr r="AC66" s="3"/>
        <tr r="AC65" s="3"/>
        <tr r="AC65" s="3"/>
        <tr r="AC65" s="3"/>
      </tp>
      <tp t="e">
        <v>#N/A</v>
        <stp/>
        <stp>BDP|5533221120442176952</stp>
        <tr r="AD141" s="3"/>
        <tr r="AD141" s="3"/>
        <tr r="AD141" s="3"/>
        <tr r="AD140" s="3"/>
        <tr r="AD140" s="3"/>
        <tr r="AD140" s="3"/>
        <tr r="AD139" s="3"/>
        <tr r="AD139" s="3"/>
        <tr r="AD139" s="3"/>
        <tr r="AD138" s="3"/>
        <tr r="AD138" s="3"/>
        <tr r="AD138" s="3"/>
        <tr r="AD137" s="3"/>
        <tr r="AD137" s="3"/>
        <tr r="AD137" s="3"/>
        <tr r="AD136" s="3"/>
        <tr r="AD136" s="3"/>
        <tr r="AD136" s="3"/>
        <tr r="AD135" s="3"/>
        <tr r="AD135" s="3"/>
        <tr r="AD135" s="3"/>
        <tr r="AD134" s="3"/>
        <tr r="AD134" s="3"/>
        <tr r="AD134" s="3"/>
        <tr r="AD133" s="3"/>
        <tr r="AD133" s="3"/>
        <tr r="AD133" s="3"/>
        <tr r="AD132" s="3"/>
        <tr r="AD132" s="3"/>
        <tr r="AD132" s="3"/>
        <tr r="AD131" s="3"/>
        <tr r="AD131" s="3"/>
        <tr r="AD131" s="3"/>
        <tr r="AD130" s="3"/>
        <tr r="AD130" s="3"/>
        <tr r="AD130" s="3"/>
      </tp>
      <tp t="e">
        <v>#N/A</v>
        <stp/>
        <stp>BDP|4345409782167688147</stp>
        <tr r="AC64" s="3"/>
        <tr r="AC64" s="3"/>
        <tr r="AC64" s="3"/>
      </tp>
      <tp t="e">
        <v>#N/A</v>
        <stp/>
        <stp>BDP|8161507852133187528</stp>
        <tr r="AL7" s="1"/>
        <tr r="AL14" s="1"/>
        <tr r="AL108" s="1"/>
      </tp>
      <tp t="e">
        <v>#N/A</v>
        <stp/>
        <stp>BDP|6462750092795271316</stp>
        <tr r="Q54" s="1"/>
      </tp>
      <tp t="e">
        <v>#N/A</v>
        <stp/>
        <stp>BDP|9539175874369530835</stp>
        <tr r="AS80" s="1"/>
        <tr r="AS58" s="1"/>
        <tr r="AS28" s="1"/>
        <tr r="AS161" s="1"/>
        <tr r="AS121" s="1"/>
        <tr r="AS10" s="1"/>
      </tp>
      <tp t="e">
        <v>#N/A</v>
        <stp/>
        <stp>BDP|7597727047583195911</stp>
        <tr r="AM34" s="3"/>
        <tr r="AM34" s="3"/>
        <tr r="AM34" s="3"/>
        <tr r="AM33" s="3"/>
        <tr r="AM33" s="3"/>
        <tr r="AM33" s="3"/>
        <tr r="AM32" s="3"/>
        <tr r="AM32" s="3"/>
        <tr r="AM32" s="3"/>
        <tr r="AM31" s="3"/>
        <tr r="AM31" s="3"/>
        <tr r="AM31" s="3"/>
        <tr r="AM30" s="3"/>
        <tr r="AM30" s="3"/>
        <tr r="AM30" s="3"/>
        <tr r="AM29" s="3"/>
        <tr r="AM29" s="3"/>
        <tr r="AM29" s="3"/>
        <tr r="AM28" s="3"/>
        <tr r="AM28" s="3"/>
        <tr r="AM28" s="3"/>
        <tr r="AM27" s="3"/>
        <tr r="AM27" s="3"/>
        <tr r="AM27" s="3"/>
        <tr r="AM26" s="3"/>
        <tr r="AM26" s="3"/>
        <tr r="AM26" s="3"/>
        <tr r="AM25" s="3"/>
        <tr r="AM25" s="3"/>
        <tr r="AM25" s="3"/>
        <tr r="AM24" s="3"/>
        <tr r="AM24" s="3"/>
        <tr r="AM24" s="3"/>
        <tr r="AM23" s="3"/>
        <tr r="AM23" s="3"/>
        <tr r="AM23" s="3"/>
        <tr r="AM22" s="3"/>
        <tr r="AM22" s="3"/>
        <tr r="AM22" s="3"/>
        <tr r="AM21" s="3"/>
        <tr r="AM21" s="3"/>
        <tr r="AM21" s="3"/>
        <tr r="AM20" s="3"/>
        <tr r="AM20" s="3"/>
        <tr r="AM20" s="3"/>
        <tr r="AM19" s="3"/>
        <tr r="AM19" s="3"/>
        <tr r="AM19" s="3"/>
        <tr r="AM18" s="3"/>
        <tr r="AM18" s="3"/>
        <tr r="AM18" s="3"/>
        <tr r="AM17" s="3"/>
        <tr r="AM17" s="3"/>
        <tr r="AM17" s="3"/>
      </tp>
      <tp t="e">
        <v>#N/A</v>
        <stp/>
        <stp>BDP|7705212332960300879</stp>
        <tr r="AT113" s="1"/>
      </tp>
      <tp t="e">
        <v>#N/A</v>
        <stp/>
        <stp>BDP|7196327279455937821</stp>
        <tr r="AO130" s="1"/>
      </tp>
      <tp t="e">
        <v>#N/A</v>
        <stp/>
        <stp>BDP|9620664642683594661</stp>
        <tr r="V12" s="1"/>
      </tp>
      <tp t="e">
        <v>#N/A</v>
        <stp/>
        <stp>BDP|8316439422643312305</stp>
        <tr r="AE8" s="1"/>
        <tr r="AE106" s="1"/>
      </tp>
      <tp t="e">
        <v>#N/A</v>
        <stp/>
        <stp>BDP|7149916576944610316</stp>
        <tr r="N140" s="1"/>
        <tr r="N128" s="1"/>
      </tp>
      <tp t="e">
        <v>#N/A</v>
        <stp/>
        <stp>BDP|4009045092714257756</stp>
        <tr r="AF115" s="3"/>
        <tr r="AF115" s="3"/>
      </tp>
      <tp t="e">
        <v>#N/A</v>
        <stp/>
        <stp>BDP|9356065640433384079</stp>
        <tr r="AU67" s="1"/>
        <tr r="AU67" s="1"/>
        <tr r="AU67" s="1"/>
        <tr r="AU43" s="1"/>
        <tr r="AU43" s="1"/>
        <tr r="AU43" s="1"/>
        <tr r="AU30" s="1"/>
        <tr r="AU30" s="1"/>
        <tr r="AU30" s="1"/>
        <tr r="AU3" s="1"/>
        <tr r="AU3" s="1"/>
        <tr r="AU3" s="1"/>
        <tr r="AU21" s="1"/>
        <tr r="AU21" s="1"/>
        <tr r="AU21" s="1"/>
        <tr r="AU166" s="1"/>
        <tr r="AU166" s="1"/>
        <tr r="AU166" s="1"/>
        <tr r="AU147" s="1"/>
        <tr r="AU147" s="1"/>
        <tr r="AU147" s="1"/>
        <tr r="AU125" s="1"/>
        <tr r="AU125" s="1"/>
        <tr r="AU125" s="1"/>
        <tr r="AU114" s="1"/>
        <tr r="AU114" s="1"/>
        <tr r="AU114" s="1"/>
      </tp>
      <tp t="e">
        <v>#N/A</v>
        <stp/>
        <stp>BDP|9957804103689944624</stp>
        <tr r="AR64" s="3"/>
        <tr r="AR64" s="3"/>
        <tr r="AR64" s="3"/>
      </tp>
      <tp t="e">
        <v>#N/A</v>
        <stp/>
        <stp>BDP|9406057078544674499</stp>
        <tr r="AS69" s="1"/>
        <tr r="AS57" s="1"/>
      </tp>
      <tp t="e">
        <v>#N/A</v>
        <stp/>
        <stp>BDP|8088522031124234479</stp>
        <tr r="AK139" s="1"/>
        <tr r="AK139" s="1"/>
        <tr r="AK139" s="1"/>
        <tr r="AK129" s="1"/>
        <tr r="AK129" s="1"/>
        <tr r="AK129" s="1"/>
      </tp>
      <tp t="e">
        <v>#N/A</v>
        <stp/>
        <stp>BDP|8152186358782539021</stp>
        <tr r="AD141" s="1"/>
        <tr r="AD131" s="1"/>
      </tp>
      <tp t="e">
        <v>#N/A</v>
        <stp/>
        <stp>BDP|5991868659220633679</stp>
        <tr r="AK115" s="3"/>
        <tr r="AK115" s="3"/>
        <tr r="AK115" s="3"/>
      </tp>
      <tp t="e">
        <v>#N/A</v>
        <stp/>
        <stp>BDP|4746442899600599781</stp>
        <tr r="AE160" s="1"/>
      </tp>
      <tp t="e">
        <v>#N/A</v>
        <stp/>
        <stp>BDP|2218869859203200284</stp>
        <tr r="AS143" s="1"/>
        <tr r="AS127" s="1"/>
      </tp>
      <tp t="e">
        <v>#N/A</v>
        <stp/>
        <stp>BDP|3633221416759665731</stp>
        <tr r="AS15" s="1"/>
        <tr r="AS109" s="1"/>
        <tr r="L15" s="1"/>
        <tr r="L15" s="1"/>
        <tr r="L109" s="1"/>
        <tr r="L109" s="1"/>
      </tp>
      <tp t="e">
        <v>#N/A</v>
        <stp/>
        <stp>BDP|1636472160888619535</stp>
        <tr r="AV34" s="3"/>
        <tr r="AV34" s="3"/>
        <tr r="AV33" s="3"/>
        <tr r="AV33" s="3"/>
        <tr r="AV32" s="3"/>
        <tr r="AV32" s="3"/>
        <tr r="AV31" s="3"/>
        <tr r="AV31" s="3"/>
        <tr r="AV30" s="3"/>
        <tr r="AV30" s="3"/>
        <tr r="AV29" s="3"/>
        <tr r="AV29" s="3"/>
        <tr r="AV28" s="3"/>
        <tr r="AV28" s="3"/>
        <tr r="AV27" s="3"/>
        <tr r="AV27" s="3"/>
        <tr r="AV26" s="3"/>
        <tr r="AV26" s="3"/>
        <tr r="AV25" s="3"/>
        <tr r="AV25" s="3"/>
        <tr r="AV24" s="3"/>
        <tr r="AV24" s="3"/>
        <tr r="AV23" s="3"/>
        <tr r="AV23" s="3"/>
        <tr r="AV22" s="3"/>
        <tr r="AV22" s="3"/>
        <tr r="AV21" s="3"/>
        <tr r="AV21" s="3"/>
        <tr r="AV20" s="3"/>
        <tr r="AV20" s="3"/>
        <tr r="AV19" s="3"/>
        <tr r="AV19" s="3"/>
        <tr r="AV18" s="3"/>
        <tr r="AV18" s="3"/>
        <tr r="AV17" s="3"/>
        <tr r="AV17" s="3"/>
      </tp>
      <tp t="e">
        <v>#N/A</v>
        <stp/>
        <stp>BDP|6857893953992002763</stp>
        <tr r="AR141" s="3"/>
        <tr r="AR141" s="3"/>
        <tr r="AR141" s="3"/>
        <tr r="AR140" s="3"/>
        <tr r="AR140" s="3"/>
        <tr r="AR140" s="3"/>
        <tr r="AR139" s="3"/>
        <tr r="AR139" s="3"/>
        <tr r="AR139" s="3"/>
        <tr r="AR138" s="3"/>
        <tr r="AR138" s="3"/>
        <tr r="AR138" s="3"/>
        <tr r="AR137" s="3"/>
        <tr r="AR137" s="3"/>
        <tr r="AR137" s="3"/>
        <tr r="AR136" s="3"/>
        <tr r="AR136" s="3"/>
        <tr r="AR136" s="3"/>
        <tr r="AR135" s="3"/>
        <tr r="AR135" s="3"/>
        <tr r="AR135" s="3"/>
        <tr r="AR134" s="3"/>
        <tr r="AR134" s="3"/>
        <tr r="AR134" s="3"/>
        <tr r="AR133" s="3"/>
        <tr r="AR133" s="3"/>
        <tr r="AR133" s="3"/>
        <tr r="AR132" s="3"/>
        <tr r="AR132" s="3"/>
        <tr r="AR132" s="3"/>
        <tr r="AR131" s="3"/>
        <tr r="AR131" s="3"/>
        <tr r="AR131" s="3"/>
        <tr r="AR130" s="3"/>
        <tr r="AR130" s="3"/>
        <tr r="AR130" s="3"/>
      </tp>
      <tp t="e">
        <v>#N/A</v>
        <stp/>
        <stp>BDP|4752781357980890847</stp>
        <tr r="AU87" s="1"/>
        <tr r="AU87" s="1"/>
        <tr r="AU87" s="1"/>
      </tp>
      <tp t="e">
        <v>#N/A</v>
        <stp/>
        <stp>BDP|1944243675178906252</stp>
        <tr r="H18" s="1"/>
        <tr r="H18" s="1"/>
      </tp>
      <tp t="e">
        <v>#N/A</v>
        <stp/>
        <stp>BDP|9896066238154765040</stp>
        <tr r="BC50" s="3"/>
        <tr r="BC49" s="3"/>
        <tr r="BC48" s="3"/>
        <tr r="BC47" s="3"/>
        <tr r="BC46" s="3"/>
        <tr r="BC45" s="3"/>
        <tr r="BC44" s="3"/>
        <tr r="BC43" s="3"/>
        <tr r="BC41" s="3"/>
        <tr r="BC40" s="3"/>
        <tr r="BC39" s="3"/>
        <tr r="BC38" s="3"/>
        <tr r="BC37" s="3"/>
        <tr r="BC36" s="3"/>
        <tr r="BC35" s="3"/>
      </tp>
      <tp t="e">
        <v>#N/A</v>
        <stp/>
        <stp>BDP|4057463812469729668</stp>
        <tr r="H85" s="1"/>
        <tr r="H85" s="1"/>
      </tp>
      <tp t="e">
        <v>#N/A</v>
        <stp/>
        <stp>BDP|9263172770772017303</stp>
        <tr r="K104" s="1"/>
      </tp>
      <tp t="e">
        <v>#N/A</v>
        <stp/>
        <stp>BDP|5232587406856899814</stp>
        <tr r="AO17" s="1"/>
        <tr r="AO112" s="1"/>
      </tp>
      <tp t="e">
        <v>#N/A</v>
        <stp/>
        <stp>BDP|6434059386137182737</stp>
        <tr r="AU129" s="3"/>
        <tr r="AU129" s="3"/>
        <tr r="AU128" s="3"/>
        <tr r="AU128" s="3"/>
        <tr r="AU127" s="3"/>
        <tr r="AU127" s="3"/>
        <tr r="AU126" s="3"/>
        <tr r="AU126" s="3"/>
        <tr r="AU125" s="3"/>
        <tr r="AU125" s="3"/>
        <tr r="AU124" s="3"/>
        <tr r="AU124" s="3"/>
        <tr r="AU123" s="3"/>
        <tr r="AU123" s="3"/>
        <tr r="AU122" s="3"/>
        <tr r="AU122" s="3"/>
        <tr r="AU121" s="3"/>
        <tr r="AU121" s="3"/>
        <tr r="AU120" s="3"/>
        <tr r="AU120" s="3"/>
      </tp>
    </main>
    <main first="bloomberg.rtd">
      <tp t="s">
        <v>Energy</v>
        <stp/>
        <stp>##V3_BDPV12</stp>
        <stp>TTE FP Equity</stp>
        <stp>DX202</stp>
        <stp>[DPM - Securities Master List (BBG Linked).xlsx]Equities!R284C8</stp>
        <tr r="H284" s="2"/>
        <tr r="H284" s="2"/>
        <tr r="H284" s="2"/>
      </tp>
      <tp t="s">
        <v>Utilities</v>
        <stp/>
        <stp>##V3_BDPV12</stp>
        <stp>SSE LN Equity</stp>
        <stp>DX202</stp>
        <stp>[DPM - Securities Master List (BBG Linked).xlsx]Equities!R249C8</stp>
        <tr r="H249" s="2"/>
        <tr r="H249" s="2"/>
        <tr r="H249" s="2"/>
      </tp>
      <tp>
        <v>-47.052720000000001</v>
        <stp/>
        <stp>##V3_BDPV12</stp>
        <stp>ON US Equity</stp>
        <stp>CHG_PCT_6M</stp>
        <stp>[DPM - Securities Master List (BBG Linked).xlsx]Equities!R226C42</stp>
        <tr r="AP226" s="2"/>
      </tp>
      <tp t="s">
        <v>Information Technology</v>
        <stp/>
        <stp>##V3_BDPV12</stp>
        <stp>MSFT US Equity</stp>
        <stp>DX202</stp>
        <stp>[DPM - Securities Master List (BBG Linked).xlsx]Equities!R182C8</stp>
        <tr r="H182" s="2"/>
        <tr r="H182" s="2"/>
        <tr r="H182" s="2"/>
      </tp>
      <tp t="s">
        <v>Information Technology</v>
        <stp/>
        <stp>##V3_BDPV12</stp>
        <stp>MSFT US Equity</stp>
        <stp>DX202</stp>
        <stp>[DPM - Securities Master List (BBG Linked).xlsx]Equities!R172C8</stp>
        <tr r="H172" s="2"/>
        <tr r="H172" s="2"/>
        <tr r="H172" s="2"/>
      </tp>
      <tp t="s">
        <v>HKD</v>
        <stp/>
        <stp>##V3_BDPV12</stp>
        <stp>3690 HK Equity</stp>
        <stp>CRNCY</stp>
        <stp>[DPM - Securities Master List (BBG Linked).xlsx]Equities!R7C6</stp>
        <tr r="F7" s="2"/>
      </tp>
      <tp t="s">
        <v>Financials</v>
        <stp/>
        <stp>##V3_BDPV12</stp>
        <stp>PYPL US Equity</stp>
        <stp>DX202</stp>
        <stp>[DPM - Securities Master List (BBG Linked).xlsx]Equities!R238C8</stp>
        <tr r="H238" s="2"/>
        <tr r="H238" s="2"/>
        <tr r="H238" s="2"/>
      </tp>
    </main>
    <main first="bofaddin.rtdserver">
      <tp t="e">
        <v>#N/A</v>
        <stp/>
        <stp>BDP|6383381002648661250</stp>
        <tr r="AR63" s="3"/>
        <tr r="AR63" s="3"/>
        <tr r="AR63" s="3"/>
        <tr r="AR62" s="3"/>
        <tr r="AR62" s="3"/>
        <tr r="AR62" s="3"/>
        <tr r="AR61" s="3"/>
        <tr r="AR61" s="3"/>
        <tr r="AR61" s="3"/>
        <tr r="AR60" s="3"/>
        <tr r="AR60" s="3"/>
        <tr r="AR60" s="3"/>
        <tr r="AR59" s="3"/>
        <tr r="AR59" s="3"/>
        <tr r="AR59" s="3"/>
        <tr r="AR58" s="3"/>
        <tr r="AR58" s="3"/>
        <tr r="AR58" s="3"/>
        <tr r="AR57" s="3"/>
        <tr r="AR57" s="3"/>
        <tr r="AR57" s="3"/>
        <tr r="AR56" s="3"/>
        <tr r="AR56" s="3"/>
        <tr r="AR56" s="3"/>
        <tr r="AR55" s="3"/>
        <tr r="AR55" s="3"/>
        <tr r="AR55" s="3"/>
        <tr r="AR54" s="3"/>
        <tr r="AR54" s="3"/>
        <tr r="AR54" s="3"/>
        <tr r="AR53" s="3"/>
        <tr r="AR53" s="3"/>
        <tr r="AR53" s="3"/>
        <tr r="AR52" s="3"/>
        <tr r="AR52" s="3"/>
        <tr r="AR52" s="3"/>
        <tr r="AR51" s="3"/>
        <tr r="AR51" s="3"/>
        <tr r="AR51" s="3"/>
      </tp>
      <tp t="e">
        <v>#N/A</v>
        <stp/>
        <stp>BDP|4073805049914039334</stp>
        <tr r="F78" s="1"/>
        <tr r="F154" s="1"/>
        <tr r="F149" s="1"/>
        <tr r="F124" s="1"/>
      </tp>
      <tp t="e">
        <v>#N/A</v>
        <stp/>
        <stp>BDP|9394402008105450750</stp>
        <tr r="W7" s="1"/>
        <tr r="W14" s="1"/>
        <tr r="W108" s="1"/>
      </tp>
      <tp t="e">
        <v>#N/A</v>
        <stp/>
        <stp>BDP|9564507429661517038</stp>
        <tr r="K92" s="1"/>
      </tp>
      <tp t="e">
        <v>#N/A</v>
        <stp/>
        <stp>BDP|4006892368540209599</stp>
        <tr r="AD96" s="3"/>
        <tr r="AD96" s="3"/>
        <tr r="AD96" s="3"/>
        <tr r="AD95" s="3"/>
        <tr r="AD95" s="3"/>
        <tr r="AD95" s="3"/>
      </tp>
      <tp t="e">
        <v>#N/A</v>
        <stp/>
        <stp>BDP|9929037580789476746</stp>
        <tr r="N69" s="1"/>
        <tr r="N57" s="1"/>
      </tp>
      <tp t="e">
        <v>#N/A</v>
        <stp/>
        <stp>BDP|1337762209120279943</stp>
        <tr r="AT115" s="3"/>
        <tr r="AT115" s="3"/>
        <tr r="AT115" s="3"/>
      </tp>
      <tp t="e">
        <v>#N/A</v>
        <stp/>
        <stp>BDP|5564883824186074635</stp>
        <tr r="Z56" s="1"/>
      </tp>
      <tp t="e">
        <v>#N/A</v>
        <stp/>
        <stp>BDP|2243296980110213734</stp>
        <tr r="X92" s="1"/>
      </tp>
      <tp t="e">
        <v>#N/A</v>
        <stp/>
        <stp>BDP|4210005632841354982</stp>
        <tr r="AC102" s="3"/>
        <tr r="AC102" s="3"/>
        <tr r="AC102" s="3"/>
        <tr r="AC101" s="3"/>
        <tr r="AC101" s="3"/>
        <tr r="AC101" s="3"/>
        <tr r="AC100" s="3"/>
        <tr r="AC100" s="3"/>
        <tr r="AC100" s="3"/>
      </tp>
      <tp t="e">
        <v>#N/A</v>
        <stp/>
        <stp>BDP|5746912762431974469</stp>
        <tr r="W88" s="1"/>
      </tp>
      <tp t="e">
        <v>#N/A</v>
        <stp/>
        <stp>BDP|4519171590626102589</stp>
        <tr r="W148" s="1"/>
        <tr r="W138" s="1"/>
      </tp>
      <tp t="e">
        <v>#N/A</v>
        <stp/>
        <stp>BDP|3148517954898961463</stp>
        <tr r="AA90" s="1"/>
      </tp>
      <tp t="e">
        <v>#N/A</v>
        <stp/>
        <stp>BDP|1333762909221270855</stp>
        <tr r="H15" s="1"/>
        <tr r="H15" s="1"/>
        <tr r="H109" s="1"/>
        <tr r="H109" s="1"/>
      </tp>
      <tp t="e">
        <v>#N/A</v>
        <stp/>
        <stp>BDP|6094592883545611179</stp>
        <tr r="AK143" s="1"/>
        <tr r="AK143" s="1"/>
        <tr r="AK143" s="1"/>
        <tr r="AK127" s="1"/>
        <tr r="AK127" s="1"/>
        <tr r="AK127" s="1"/>
      </tp>
      <tp t="e">
        <v>#N/A</v>
        <stp/>
        <stp>BDP|3938669512559481218</stp>
        <tr r="AD85" s="1"/>
      </tp>
      <tp t="e">
        <v>#N/A</v>
        <stp/>
        <stp>BDP|5618880868080742490</stp>
        <tr r="AQ94" s="3"/>
        <tr r="AQ94" s="3"/>
        <tr r="AQ94" s="3"/>
        <tr r="AQ93" s="3"/>
        <tr r="AQ93" s="3"/>
        <tr r="AQ93" s="3"/>
        <tr r="AQ92" s="3"/>
        <tr r="AQ92" s="3"/>
        <tr r="AQ92" s="3"/>
        <tr r="AQ91" s="3"/>
        <tr r="AQ91" s="3"/>
        <tr r="AQ91" s="3"/>
        <tr r="AQ90" s="3"/>
        <tr r="AQ90" s="3"/>
        <tr r="AQ90" s="3"/>
        <tr r="AQ89" s="3"/>
        <tr r="AQ89" s="3"/>
        <tr r="AQ89" s="3"/>
        <tr r="AQ88" s="3"/>
        <tr r="AQ88" s="3"/>
        <tr r="AQ88" s="3"/>
        <tr r="AQ87" s="3"/>
        <tr r="AQ87" s="3"/>
        <tr r="AQ87" s="3"/>
        <tr r="AQ86" s="3"/>
        <tr r="AQ86" s="3"/>
        <tr r="AQ86" s="3"/>
        <tr r="AQ85" s="3"/>
        <tr r="AQ85" s="3"/>
        <tr r="AQ85" s="3"/>
        <tr r="AQ84" s="3"/>
        <tr r="AQ84" s="3"/>
        <tr r="AQ84" s="3"/>
        <tr r="AQ83" s="3"/>
        <tr r="AQ83" s="3"/>
        <tr r="AQ83" s="3"/>
        <tr r="AQ82" s="3"/>
        <tr r="AQ82" s="3"/>
        <tr r="AQ82" s="3"/>
        <tr r="AQ81" s="3"/>
        <tr r="AQ81" s="3"/>
        <tr r="AQ81" s="3"/>
        <tr r="AQ80" s="3"/>
        <tr r="AQ80" s="3"/>
        <tr r="AQ80" s="3"/>
        <tr r="AQ79" s="3"/>
        <tr r="AQ79" s="3"/>
        <tr r="AQ79" s="3"/>
      </tp>
      <tp t="e">
        <v>#N/A</v>
        <stp/>
        <stp>BDP|9816543951335683320</stp>
        <tr r="M15" s="1"/>
        <tr r="M15" s="1"/>
        <tr r="M109" s="1"/>
        <tr r="M109" s="1"/>
      </tp>
      <tp t="e">
        <v>#N/A</v>
        <stp/>
        <stp>BDP|6366492944249392045</stp>
        <tr r="AF119" s="3"/>
        <tr r="AF119" s="3"/>
        <tr r="AF118" s="3"/>
        <tr r="AF118" s="3"/>
        <tr r="AF117" s="3"/>
        <tr r="AF117" s="3"/>
        <tr r="AF116" s="3"/>
        <tr r="AF116" s="3"/>
      </tp>
      <tp t="e">
        <v>#N/A</v>
        <stp/>
        <stp>BDP|5345332383916872725</stp>
        <tr r="Y105" s="1"/>
      </tp>
      <tp t="e">
        <v>#N/A</v>
        <stp/>
        <stp>BDP|2621387510719371647</stp>
        <tr r="AM15" s="1"/>
        <tr r="AM15" s="1"/>
        <tr r="AM109" s="1"/>
        <tr r="AM109" s="1"/>
      </tp>
      <tp t="e">
        <v>#N/A</v>
        <stp/>
        <stp>BDP|6470099780036239768</stp>
        <tr r="AM105" s="1"/>
        <tr r="AM105" s="1"/>
      </tp>
      <tp t="e">
        <v>#N/A</v>
        <stp/>
        <stp>BDP|5130180498137675596</stp>
        <tr r="F64" s="3"/>
      </tp>
      <tp t="e">
        <v>#N/A</v>
        <stp/>
        <stp>BDP|9991724756266087232</stp>
        <tr r="K44" s="1"/>
      </tp>
      <tp t="e">
        <v>#N/A</v>
        <stp/>
        <stp>BDP|9290165879377372710</stp>
        <tr r="Q63" s="1"/>
      </tp>
      <tp t="e">
        <v>#N/A</v>
        <stp/>
        <stp>BDP|7805495499004712108</stp>
        <tr r="AK94" s="3"/>
        <tr r="AK94" s="3"/>
        <tr r="AK94" s="3"/>
        <tr r="AK93" s="3"/>
        <tr r="AK93" s="3"/>
        <tr r="AK93" s="3"/>
        <tr r="AK92" s="3"/>
        <tr r="AK92" s="3"/>
        <tr r="AK92" s="3"/>
        <tr r="AK91" s="3"/>
        <tr r="AK91" s="3"/>
        <tr r="AK91" s="3"/>
        <tr r="AK90" s="3"/>
        <tr r="AK90" s="3"/>
        <tr r="AK90" s="3"/>
        <tr r="AK89" s="3"/>
        <tr r="AK89" s="3"/>
        <tr r="AK89" s="3"/>
        <tr r="AK88" s="3"/>
        <tr r="AK88" s="3"/>
        <tr r="AK88" s="3"/>
        <tr r="AK87" s="3"/>
        <tr r="AK87" s="3"/>
        <tr r="AK87" s="3"/>
        <tr r="AK86" s="3"/>
        <tr r="AK86" s="3"/>
        <tr r="AK86" s="3"/>
        <tr r="AK85" s="3"/>
        <tr r="AK85" s="3"/>
        <tr r="AK85" s="3"/>
        <tr r="AK84" s="3"/>
        <tr r="AK84" s="3"/>
        <tr r="AK84" s="3"/>
        <tr r="AK83" s="3"/>
        <tr r="AK83" s="3"/>
        <tr r="AK83" s="3"/>
        <tr r="AK82" s="3"/>
        <tr r="AK82" s="3"/>
        <tr r="AK82" s="3"/>
        <tr r="AK81" s="3"/>
        <tr r="AK81" s="3"/>
        <tr r="AK81" s="3"/>
        <tr r="AK80" s="3"/>
        <tr r="AK80" s="3"/>
        <tr r="AK80" s="3"/>
        <tr r="AK79" s="3"/>
        <tr r="AK79" s="3"/>
        <tr r="AK79" s="3"/>
      </tp>
      <tp t="e">
        <v>#N/A</v>
        <stp/>
        <stp>BDP|5467938533504246490</stp>
        <tr r="AS126" s="1"/>
      </tp>
      <tp t="e">
        <v>#N/A</v>
        <stp/>
        <stp>BDP|8061213471365913769</stp>
        <tr r="AS60" s="1"/>
        <tr r="L117" s="1"/>
        <tr r="L117" s="1"/>
        <tr r="AS40" s="1"/>
        <tr r="L60" s="1"/>
        <tr r="L60" s="1"/>
        <tr r="L40" s="1"/>
        <tr r="L40" s="1"/>
        <tr r="L163" s="1"/>
        <tr r="L163" s="1"/>
        <tr r="AS97" s="1"/>
        <tr r="AS25" s="1"/>
        <tr r="AS163" s="1"/>
        <tr r="L75" s="1"/>
        <tr r="L75" s="1"/>
        <tr r="L25" s="1"/>
        <tr r="L25" s="1"/>
        <tr r="AS75" s="1"/>
        <tr r="AS4" s="1"/>
        <tr r="AS117" s="1"/>
        <tr r="L97" s="1"/>
        <tr r="L97" s="1"/>
        <tr r="L4" s="1"/>
        <tr r="L4" s="1"/>
      </tp>
      <tp t="e">
        <v>#N/A</v>
        <stp/>
        <stp>BDP|3528992235515544331</stp>
        <tr r="AD105" s="1"/>
      </tp>
      <tp t="e">
        <v>#N/A</v>
        <stp/>
        <stp>BDP|8747450373682954674</stp>
        <tr r="V126" s="1"/>
      </tp>
      <tp t="e">
        <v>#N/A</v>
        <stp/>
        <stp>BDP|9890524312831733304</stp>
        <tr r="H13" s="1"/>
        <tr r="H13" s="1"/>
      </tp>
      <tp t="e">
        <v>#N/A</v>
        <stp/>
        <stp>BDP|5076676319364009917</stp>
        <tr r="AE141" s="3"/>
        <tr r="AE141" s="3"/>
        <tr r="AE141" s="3"/>
        <tr r="AE140" s="3"/>
        <tr r="AE140" s="3"/>
        <tr r="AE140" s="3"/>
        <tr r="AE139" s="3"/>
        <tr r="AE139" s="3"/>
        <tr r="AE139" s="3"/>
        <tr r="AE138" s="3"/>
        <tr r="AE138" s="3"/>
        <tr r="AE138" s="3"/>
        <tr r="AE137" s="3"/>
        <tr r="AE137" s="3"/>
        <tr r="AE137" s="3"/>
        <tr r="AE136" s="3"/>
        <tr r="AE136" s="3"/>
        <tr r="AE136" s="3"/>
        <tr r="AE135" s="3"/>
        <tr r="AE135" s="3"/>
        <tr r="AE135" s="3"/>
        <tr r="AE134" s="3"/>
        <tr r="AE134" s="3"/>
        <tr r="AE134" s="3"/>
        <tr r="AE133" s="3"/>
        <tr r="AE133" s="3"/>
        <tr r="AE133" s="3"/>
        <tr r="AE132" s="3"/>
        <tr r="AE132" s="3"/>
        <tr r="AE132" s="3"/>
        <tr r="AE131" s="3"/>
        <tr r="AE131" s="3"/>
        <tr r="AE131" s="3"/>
        <tr r="AE130" s="3"/>
        <tr r="AE130" s="3"/>
        <tr r="AE130" s="3"/>
      </tp>
      <tp t="e">
        <v>#N/A</v>
        <stp/>
        <stp>BDP|9394755255245866170</stp>
        <tr r="AH16" s="3"/>
        <tr r="AH16" s="3"/>
        <tr r="AH16" s="3"/>
      </tp>
      <tp t="e">
        <v>#N/A</v>
        <stp/>
        <stp>BDP|6335367024529507189</stp>
        <tr r="H32" s="1"/>
        <tr r="H32" s="1"/>
      </tp>
      <tp t="e">
        <v>#N/A</v>
        <stp/>
        <stp>BDP|5812542646448489320</stp>
        <tr r="AD12" s="1"/>
      </tp>
      <tp t="e">
        <v>#N/A</v>
        <stp/>
        <stp>BDP|3322866478470722366</stp>
        <tr r="W126" s="1"/>
      </tp>
      <tp t="e">
        <v>#N/A</v>
        <stp/>
        <stp>BDP|8981294756552376282</stp>
        <tr r="I102" s="3"/>
        <tr r="I102" s="3"/>
        <tr r="I102" s="3"/>
        <tr r="I101" s="3"/>
        <tr r="I101" s="3"/>
        <tr r="I101" s="3"/>
        <tr r="I100" s="3"/>
        <tr r="I100" s="3"/>
        <tr r="I100" s="3"/>
      </tp>
      <tp t="e">
        <v>#N/A</v>
        <stp/>
        <stp>BDP|6482280088201028294</stp>
        <tr r="Q141" s="1"/>
        <tr r="Q131" s="1"/>
      </tp>
      <tp t="e">
        <v>#N/A</v>
        <stp/>
        <stp>BDP|9739786452722001607</stp>
        <tr r="X145" s="1"/>
        <tr r="X136" s="1"/>
      </tp>
      <tp t="e">
        <v>#N/A</v>
        <stp/>
        <stp>BDP|3948605386457397519</stp>
        <tr r="Z67" s="1"/>
        <tr r="Z43" s="1"/>
        <tr r="Z30" s="1"/>
        <tr r="Z3" s="1"/>
        <tr r="Z21" s="1"/>
        <tr r="Z166" s="1"/>
        <tr r="Z147" s="1"/>
        <tr r="Z125" s="1"/>
        <tr r="Z114" s="1"/>
      </tp>
      <tp t="e">
        <v>#N/A</v>
        <stp/>
        <stp>BDP|7199858031131415238</stp>
        <tr r="AN72" s="3"/>
        <tr r="AN72" s="3"/>
        <tr r="AN72" s="3"/>
        <tr r="AN71" s="3"/>
        <tr r="AN71" s="3"/>
        <tr r="AN71" s="3"/>
        <tr r="AN70" s="3"/>
        <tr r="AN70" s="3"/>
        <tr r="AN70" s="3"/>
        <tr r="AN69" s="3"/>
        <tr r="AN69" s="3"/>
        <tr r="AN69" s="3"/>
        <tr r="AN68" s="3"/>
        <tr r="AN68" s="3"/>
        <tr r="AN68" s="3"/>
        <tr r="AN67" s="3"/>
        <tr r="AN67" s="3"/>
        <tr r="AN67" s="3"/>
        <tr r="AN66" s="3"/>
        <tr r="AN66" s="3"/>
        <tr r="AN66" s="3"/>
        <tr r="AN65" s="3"/>
        <tr r="AN65" s="3"/>
        <tr r="AN65" s="3"/>
      </tp>
      <tp t="e">
        <v>#N/A</v>
        <stp/>
        <stp>BDP|8994020978225631570</stp>
        <tr r="H96" s="3"/>
        <tr r="H96" s="3"/>
        <tr r="H96" s="3"/>
        <tr r="H95" s="3"/>
        <tr r="H95" s="3"/>
        <tr r="H95" s="3"/>
      </tp>
      <tp t="e">
        <v>#N/A</v>
        <stp/>
        <stp>BDP|4222079370595082976</stp>
        <tr r="AK11" s="1"/>
        <tr r="AK11" s="1"/>
        <tr r="AK11" s="1"/>
        <tr r="AK102" s="1"/>
        <tr r="AK102" s="1"/>
        <tr r="AK102" s="1"/>
      </tp>
      <tp t="e">
        <v>#N/A</v>
        <stp/>
        <stp>BDP|8808288733361466759</stp>
        <tr r="L115" s="3"/>
      </tp>
      <tp t="e">
        <v>#N/A</v>
        <stp/>
        <stp>BDP|8167935898641888614</stp>
        <tr r="AO82" s="1"/>
        <tr r="AO39" s="1"/>
        <tr r="AO22" s="1"/>
        <tr r="AO167" s="1"/>
      </tp>
      <tp t="e">
        <v>#N/A</v>
        <stp/>
        <stp>BDP|2109273732854651817</stp>
        <tr r="AE87" s="1"/>
      </tp>
      <tp t="e">
        <v>#N/A</v>
        <stp/>
        <stp>BDP|5524006691365449632</stp>
        <tr r="J50" s="3"/>
        <tr r="J50" s="3"/>
        <tr r="J49" s="3"/>
        <tr r="J49" s="3"/>
        <tr r="J48" s="3"/>
        <tr r="J48" s="3"/>
        <tr r="J47" s="3"/>
        <tr r="J47" s="3"/>
        <tr r="J46" s="3"/>
        <tr r="J46" s="3"/>
        <tr r="J45" s="3"/>
        <tr r="J45" s="3"/>
        <tr r="J44" s="3"/>
        <tr r="J44" s="3"/>
        <tr r="J43" s="3"/>
        <tr r="J43" s="3"/>
        <tr r="J42" s="3"/>
        <tr r="J42" s="3"/>
        <tr r="J41" s="3"/>
        <tr r="J41" s="3"/>
        <tr r="J40" s="3"/>
        <tr r="J40" s="3"/>
        <tr r="J39" s="3"/>
        <tr r="J39" s="3"/>
        <tr r="J38" s="3"/>
        <tr r="J38" s="3"/>
        <tr r="J37" s="3"/>
        <tr r="J37" s="3"/>
        <tr r="J36" s="3"/>
        <tr r="J36" s="3"/>
        <tr r="J35" s="3"/>
        <tr r="J35" s="3"/>
      </tp>
      <tp t="e">
        <v>#N/A</v>
        <stp/>
        <stp>BDP|5971858030880484180</stp>
        <tr r="AA139" s="1"/>
        <tr r="AA129" s="1"/>
      </tp>
      <tp t="e">
        <v>#N/A</v>
        <stp/>
        <stp>BDP|1969838661706354689</stp>
        <tr r="AU9" s="3"/>
        <tr r="AU9" s="3"/>
        <tr r="AU8" s="3"/>
        <tr r="AU8" s="3"/>
        <tr r="AU7" s="3"/>
        <tr r="AU7" s="3"/>
        <tr r="AU6" s="3"/>
        <tr r="AU6" s="3"/>
        <tr r="AU5" s="3"/>
        <tr r="AU5" s="3"/>
        <tr r="AU4" s="3"/>
        <tr r="AU4" s="3"/>
        <tr r="AU3" s="3"/>
        <tr r="AU3" s="3"/>
        <tr r="AU15" s="3"/>
        <tr r="AU15" s="3"/>
        <tr r="AU14" s="3"/>
        <tr r="AU14" s="3"/>
        <tr r="AU13" s="3"/>
        <tr r="AU13" s="3"/>
        <tr r="AU12" s="3"/>
        <tr r="AU12" s="3"/>
        <tr r="AU11" s="3"/>
        <tr r="AU11" s="3"/>
        <tr r="AU10" s="3"/>
        <tr r="AU10" s="3"/>
      </tp>
      <tp t="e">
        <v>#N/A</v>
        <stp/>
        <stp>BDP|2288513605068366045</stp>
        <tr r="AJ83" s="1"/>
        <tr r="AJ83" s="1"/>
        <tr r="AJ50" s="1"/>
        <tr r="AJ50" s="1"/>
      </tp>
      <tp t="e">
        <v>#N/A</v>
        <stp/>
        <stp>BDP|4312265285020989182</stp>
        <tr r="L54" s="1"/>
        <tr r="L54" s="1"/>
        <tr r="AS54" s="1"/>
      </tp>
      <tp t="e">
        <v>#N/A</v>
        <stp/>
        <stp>BDP|3381062193117399243</stp>
        <tr r="Q140" s="1"/>
        <tr r="Q128" s="1"/>
      </tp>
      <tp t="e">
        <v>#N/A</v>
        <stp/>
        <stp>BDP|7328764969370978942</stp>
        <tr r="AA56" s="1"/>
      </tp>
      <tp t="e">
        <v>#N/A</v>
        <stp/>
        <stp>BDP|2662830507861282415</stp>
        <tr r="V110" s="1"/>
      </tp>
      <tp t="e">
        <v>#N/A</v>
        <stp/>
        <stp>BDP|2124977850303211254</stp>
        <tr r="E116" s="1"/>
        <tr r="E84" s="1"/>
        <tr r="E159" s="1"/>
        <tr r="E70" s="1"/>
      </tp>
      <tp t="e">
        <v>#N/A</v>
        <stp/>
        <stp>BDP|6061041110778718023</stp>
        <tr r="W91" s="1"/>
        <tr r="W76" s="1"/>
        <tr r="W55" s="1"/>
        <tr r="W48" s="1"/>
        <tr r="W26" s="1"/>
        <tr r="W157" s="1"/>
        <tr r="W142" s="1"/>
        <tr r="W132" s="1"/>
        <tr r="W120" s="1"/>
        <tr r="W100" s="1"/>
      </tp>
      <tp t="e">
        <v>#N/A</v>
        <stp/>
        <stp>BDP|9267148675924597406</stp>
        <tr r="AO148" s="1"/>
        <tr r="AO138" s="1"/>
      </tp>
      <tp t="e">
        <v>#N/A</v>
        <stp/>
        <stp>BDP|3294829740174362458</stp>
        <tr r="AV50" s="3"/>
        <tr r="AV50" s="3"/>
        <tr r="AV49" s="3"/>
        <tr r="AV49" s="3"/>
        <tr r="AV48" s="3"/>
        <tr r="AV48" s="3"/>
        <tr r="AV47" s="3"/>
        <tr r="AV47" s="3"/>
        <tr r="AV46" s="3"/>
        <tr r="AV46" s="3"/>
        <tr r="AV45" s="3"/>
        <tr r="AV45" s="3"/>
        <tr r="AV44" s="3"/>
        <tr r="AV44" s="3"/>
        <tr r="AV43" s="3"/>
        <tr r="AV43" s="3"/>
        <tr r="AV42" s="3"/>
        <tr r="AV42" s="3"/>
        <tr r="AV41" s="3"/>
        <tr r="AV41" s="3"/>
        <tr r="AV40" s="3"/>
        <tr r="AV40" s="3"/>
        <tr r="AV39" s="3"/>
        <tr r="AV39" s="3"/>
        <tr r="AV38" s="3"/>
        <tr r="AV38" s="3"/>
        <tr r="AV37" s="3"/>
        <tr r="AV37" s="3"/>
        <tr r="AV36" s="3"/>
        <tr r="AV36" s="3"/>
        <tr r="AV35" s="3"/>
        <tr r="AV35" s="3"/>
      </tp>
      <tp t="e">
        <v>#N/A</v>
        <stp/>
        <stp>BDP|4809638275359089387</stp>
        <tr r="Q13" s="1"/>
      </tp>
      <tp t="e">
        <v>#N/A</v>
        <stp/>
        <stp>BDP|3197415785434312411</stp>
        <tr r="AL54" s="1"/>
      </tp>
      <tp t="e">
        <v>#N/A</v>
        <stp/>
        <stp>BDP|7502683228888248402</stp>
        <tr r="AK34" s="3"/>
        <tr r="AK34" s="3"/>
        <tr r="AK34" s="3"/>
        <tr r="AK33" s="3"/>
        <tr r="AK33" s="3"/>
        <tr r="AK33" s="3"/>
        <tr r="AK32" s="3"/>
        <tr r="AK32" s="3"/>
        <tr r="AK32" s="3"/>
        <tr r="AK31" s="3"/>
        <tr r="AK31" s="3"/>
        <tr r="AK31" s="3"/>
        <tr r="AK30" s="3"/>
        <tr r="AK30" s="3"/>
        <tr r="AK30" s="3"/>
        <tr r="AK29" s="3"/>
        <tr r="AK29" s="3"/>
        <tr r="AK29" s="3"/>
        <tr r="AK28" s="3"/>
        <tr r="AK28" s="3"/>
        <tr r="AK28" s="3"/>
        <tr r="AK27" s="3"/>
        <tr r="AK27" s="3"/>
        <tr r="AK27" s="3"/>
        <tr r="AK26" s="3"/>
        <tr r="AK26" s="3"/>
        <tr r="AK26" s="3"/>
        <tr r="AK25" s="3"/>
        <tr r="AK25" s="3"/>
        <tr r="AK25" s="3"/>
        <tr r="AK24" s="3"/>
        <tr r="AK24" s="3"/>
        <tr r="AK24" s="3"/>
        <tr r="AK23" s="3"/>
        <tr r="AK23" s="3"/>
        <tr r="AK23" s="3"/>
        <tr r="AK22" s="3"/>
        <tr r="AK22" s="3"/>
        <tr r="AK22" s="3"/>
        <tr r="AK21" s="3"/>
        <tr r="AK21" s="3"/>
        <tr r="AK21" s="3"/>
        <tr r="AK20" s="3"/>
        <tr r="AK20" s="3"/>
        <tr r="AK20" s="3"/>
        <tr r="AK19" s="3"/>
        <tr r="AK19" s="3"/>
        <tr r="AK19" s="3"/>
        <tr r="AK18" s="3"/>
        <tr r="AK18" s="3"/>
        <tr r="AK18" s="3"/>
        <tr r="AK17" s="3"/>
        <tr r="AK17" s="3"/>
        <tr r="AK17" s="3"/>
      </tp>
      <tp t="e">
        <v>#N/A</v>
        <stp/>
        <stp>BDP|9222509672314734008</stp>
        <tr r="AJ63" s="1"/>
        <tr r="AJ63" s="1"/>
      </tp>
      <tp t="e">
        <v>#N/A</v>
        <stp/>
        <stp>BDP|8107933762280773803</stp>
        <tr r="AS82" s="1"/>
        <tr r="AS39" s="1"/>
        <tr r="AS22" s="1"/>
        <tr r="AS167" s="1"/>
      </tp>
      <tp t="e">
        <v>#N/A</v>
        <stp/>
        <stp>BDP|3051449777659174665</stp>
        <tr r="AA89" s="1"/>
        <tr r="AA81" s="1"/>
        <tr r="AA59" s="1"/>
        <tr r="AA41" s="1"/>
        <tr r="AA37" s="1"/>
        <tr r="AA29" s="1"/>
        <tr r="AA164" s="1"/>
        <tr r="AA135" s="1"/>
      </tp>
      <tp t="e">
        <v>#N/A</v>
        <stp/>
        <stp>BDP|2939114495732062790</stp>
        <tr r="W16" s="3"/>
      </tp>
      <tp t="e">
        <v>#N/A</v>
        <stp/>
        <stp>BDP|2572687308738175318</stp>
        <tr r="K148" s="1"/>
        <tr r="K138" s="1"/>
      </tp>
      <tp t="e">
        <v>#N/A</v>
        <stp/>
        <stp>BDP|5947814126861377187</stp>
        <tr r="E96" s="3"/>
        <tr r="E95" s="3"/>
      </tp>
      <tp t="e">
        <v>#N/A</v>
        <stp/>
        <stp>BDP|6480027084135002475</stp>
        <tr r="AU92" s="1"/>
        <tr r="AU92" s="1"/>
        <tr r="AU92" s="1"/>
      </tp>
      <tp t="e">
        <v>#N/A</v>
        <stp/>
        <stp>BDP|9304486421024851479</stp>
        <tr r="M87" s="1"/>
        <tr r="M87" s="1"/>
      </tp>
      <tp t="e">
        <v>#N/A</v>
        <stp/>
        <stp>BDP|7653665398505589287</stp>
        <tr r="L90" s="1"/>
        <tr r="L90" s="1"/>
        <tr r="AS90" s="1"/>
      </tp>
      <tp t="e">
        <v>#N/A</v>
        <stp/>
        <stp>BDP|6199003784751167016</stp>
        <tr r="N7" s="1"/>
        <tr r="N14" s="1"/>
        <tr r="N108" s="1"/>
      </tp>
      <tp t="e">
        <v>#N/A</v>
        <stp/>
        <stp>BDP|2315795860264936868</stp>
        <tr r="AM102" s="3"/>
        <tr r="AM102" s="3"/>
        <tr r="AM102" s="3"/>
        <tr r="AM101" s="3"/>
        <tr r="AM101" s="3"/>
        <tr r="AM101" s="3"/>
        <tr r="AM100" s="3"/>
        <tr r="AM100" s="3"/>
        <tr r="AM100" s="3"/>
      </tp>
      <tp t="e">
        <v>#N/A</v>
        <stp/>
        <stp>BDP|9520019461683930392</stp>
        <tr r="L102" s="3"/>
        <tr r="L101" s="3"/>
        <tr r="L100" s="3"/>
      </tp>
      <tp t="e">
        <v>#N/A</v>
        <stp/>
        <stp>BDP|8591671069622842568</stp>
        <tr r="Q62" s="1"/>
        <tr r="Q115" s="1"/>
        <tr r="Q53" s="1"/>
        <tr r="Q45" s="1"/>
      </tp>
      <tp t="e">
        <v>#N/A</v>
        <stp/>
        <stp>BDP|4519974410665344645</stp>
        <tr r="AK20" s="1"/>
        <tr r="AK20" s="1"/>
        <tr r="AK20" s="1"/>
      </tp>
    </main>
    <main first="bloomberg.rtd">
      <tp t="s">
        <v>Energy</v>
        <stp/>
        <stp>##V3_BDPV12</stp>
        <stp>TTE FP Equity</stp>
        <stp>DX202</stp>
        <stp>[DPM - Securities Master List (BBG Linked).xlsx]Equities!R285C8</stp>
        <tr r="H285" s="2"/>
        <tr r="H285" s="2"/>
        <tr r="H285" s="2"/>
      </tp>
      <tp t="s">
        <v>Utilities</v>
        <stp/>
        <stp>##V3_BDPV12</stp>
        <stp>SSE LN Equity</stp>
        <stp>DX202</stp>
        <stp>[DPM - Securities Master List (BBG Linked).xlsx]Equities!R248C8</stp>
        <tr r="H248" s="2"/>
        <tr r="H248" s="2"/>
        <tr r="H248" s="2"/>
      </tp>
      <tp t="s">
        <v>Utilities</v>
        <stp/>
        <stp>##V3_BDPV12</stp>
        <stp>SSE LN Equity</stp>
        <stp>DX202</stp>
        <stp>[DPM - Securities Master List (BBG Linked).xlsx]Equities!R258C8</stp>
        <tr r="H258" s="2"/>
        <tr r="H258" s="2"/>
        <tr r="H258" s="2"/>
      </tp>
      <tp t="s">
        <v>Information Technology</v>
        <stp/>
        <stp>##V3_BDPV12</stp>
        <stp>MSFT US Equity</stp>
        <stp>DX202</stp>
        <stp>[DPM - Securities Master List (BBG Linked).xlsx]Equities!R183C8</stp>
        <tr r="H183" s="2"/>
        <tr r="H183" s="2"/>
        <tr r="H183" s="2"/>
      </tp>
      <tp t="s">
        <v>Information Technology</v>
        <stp/>
        <stp>##V3_BDPV12</stp>
        <stp>MSFT US Equity</stp>
        <stp>DX202</stp>
        <stp>[DPM - Securities Master List (BBG Linked).xlsx]Equities!R173C8</stp>
        <tr r="H173" s="2"/>
        <tr r="H173" s="2"/>
        <tr r="H173" s="2"/>
      </tp>
      <tp t="s">
        <v>HKD</v>
        <stp/>
        <stp>##V3_BDPV12</stp>
        <stp>2020 HK Equity</stp>
        <stp>CRNCY</stp>
        <stp>[DPM - Securities Master List (BBG Linked).xlsx]Equities!R6C6</stp>
        <tr r="F6" s="2"/>
      </tp>
      <tp t="s">
        <v>Financials</v>
        <stp/>
        <stp>##V3_BDPV12</stp>
        <stp>PYPL US Equity</stp>
        <stp>DX202</stp>
        <stp>[DPM - Securities Master List (BBG Linked).xlsx]Equities!R239C8</stp>
        <tr r="H239" s="2"/>
        <tr r="H239" s="2"/>
        <tr r="H239" s="2"/>
      </tp>
    </main>
    <main first="bofaddin.rtdserver">
      <tp t="e">
        <v>#N/A</v>
        <stp/>
        <stp>BDP|4075903407247469295</stp>
        <tr r="Q150" s="1"/>
        <tr r="Q122" s="1"/>
      </tp>
      <tp t="e">
        <v>#N/A</v>
        <stp/>
        <stp>BDP|9964405308606362387</stp>
        <tr r="E130" s="1"/>
      </tp>
      <tp t="e">
        <v>#N/A</v>
        <stp/>
        <stp>BDP|1605368219423163833</stp>
        <tr r="AT69" s="1"/>
        <tr r="AT57" s="1"/>
      </tp>
      <tp t="e">
        <v>#N/A</v>
        <stp/>
        <stp>BDP|8889118902561579059</stp>
        <tr r="AJ94" s="1"/>
        <tr r="AJ94" s="1"/>
        <tr r="AJ151" s="1"/>
        <tr r="AJ151" s="1"/>
        <tr r="AJ101" s="1"/>
        <tr r="AJ101" s="1"/>
        <tr r="AJ123" s="1"/>
        <tr r="AJ123" s="1"/>
      </tp>
      <tp t="e">
        <v>#N/A</v>
        <stp/>
        <stp>BDP|9911213003000593356</stp>
        <tr r="H7" s="1"/>
        <tr r="H7" s="1"/>
        <tr r="H14" s="1"/>
        <tr r="H14" s="1"/>
        <tr r="H108" s="1"/>
        <tr r="H108" s="1"/>
      </tp>
      <tp t="e">
        <v>#N/A</v>
        <stp/>
        <stp>BDP|3950363780266562613</stp>
        <tr r="E9" s="3"/>
        <tr r="E8" s="3"/>
        <tr r="E7" s="3"/>
        <tr r="E6" s="3"/>
        <tr r="E5" s="3"/>
        <tr r="E4" s="3"/>
        <tr r="E3" s="3"/>
        <tr r="E15" s="3"/>
        <tr r="E14" s="3"/>
        <tr r="E13" s="3"/>
        <tr r="E12" s="3"/>
        <tr r="E11" s="3"/>
        <tr r="E10" s="3"/>
      </tp>
      <tp t="e">
        <v>#N/A</v>
        <stp/>
        <stp>BDP|2589923029498477922</stp>
        <tr r="M98" s="1"/>
        <tr r="M98" s="1"/>
        <tr r="M79" s="1"/>
        <tr r="M79" s="1"/>
        <tr r="M5" s="1"/>
        <tr r="M5" s="1"/>
        <tr r="M155" s="1"/>
        <tr r="M155" s="1"/>
        <tr r="M118" s="1"/>
        <tr r="M118" s="1"/>
      </tp>
      <tp t="e">
        <v>#N/A</v>
        <stp/>
        <stp>BDP|9972172803599575904</stp>
        <tr r="AQ63" s="3"/>
        <tr r="AQ63" s="3"/>
        <tr r="AQ63" s="3"/>
        <tr r="AQ62" s="3"/>
        <tr r="AQ62" s="3"/>
        <tr r="AQ62" s="3"/>
        <tr r="AQ61" s="3"/>
        <tr r="AQ61" s="3"/>
        <tr r="AQ61" s="3"/>
        <tr r="AQ60" s="3"/>
        <tr r="AQ60" s="3"/>
        <tr r="AQ60" s="3"/>
        <tr r="AQ59" s="3"/>
        <tr r="AQ59" s="3"/>
        <tr r="AQ59" s="3"/>
        <tr r="AQ58" s="3"/>
        <tr r="AQ58" s="3"/>
        <tr r="AQ58" s="3"/>
        <tr r="AQ57" s="3"/>
        <tr r="AQ57" s="3"/>
        <tr r="AQ57" s="3"/>
        <tr r="AQ56" s="3"/>
        <tr r="AQ56" s="3"/>
        <tr r="AQ56" s="3"/>
        <tr r="AQ55" s="3"/>
        <tr r="AQ55" s="3"/>
        <tr r="AQ55" s="3"/>
        <tr r="AQ54" s="3"/>
        <tr r="AQ54" s="3"/>
        <tr r="AQ54" s="3"/>
        <tr r="AQ53" s="3"/>
        <tr r="AQ53" s="3"/>
        <tr r="AQ53" s="3"/>
        <tr r="AQ52" s="3"/>
        <tr r="AQ52" s="3"/>
        <tr r="AQ52" s="3"/>
        <tr r="AQ51" s="3"/>
        <tr r="AQ51" s="3"/>
        <tr r="AQ51" s="3"/>
      </tp>
      <tp t="e">
        <v>#N/A</v>
        <stp/>
        <stp>BDP|2813203511500509944</stp>
        <tr r="Q115" s="3"/>
      </tp>
      <tp t="e">
        <v>#N/A</v>
        <stp/>
        <stp>BDP|9064584658563017284</stp>
        <tr r="N119" s="3"/>
        <tr r="N119" s="3"/>
        <tr r="N119" s="3"/>
        <tr r="N118" s="3"/>
        <tr r="N118" s="3"/>
        <tr r="N118" s="3"/>
        <tr r="N117" s="3"/>
        <tr r="N117" s="3"/>
        <tr r="N117" s="3"/>
        <tr r="N116" s="3"/>
        <tr r="N116" s="3"/>
        <tr r="N116" s="3"/>
      </tp>
      <tp t="e">
        <v>#N/A</v>
        <stp/>
        <stp>BDP|1869196326702745886</stp>
        <tr r="Z92" s="1"/>
      </tp>
      <tp t="e">
        <v>#N/A</v>
        <stp/>
        <stp>BDP|6278947119971061762</stp>
        <tr r="E86" s="1"/>
        <tr r="E133" s="1"/>
      </tp>
      <tp t="e">
        <v>#N/A</v>
        <stp/>
        <stp>BDP|1912317206639664316</stp>
        <tr r="I83" s="1"/>
        <tr r="I50" s="1"/>
      </tp>
      <tp t="e">
        <v>#N/A</v>
        <stp/>
        <stp>BDP|1993267221530563955</stp>
        <tr r="AO110" s="1"/>
      </tp>
      <tp t="e">
        <v>#N/A</v>
        <stp/>
        <stp>BDP|5377061304264841978</stp>
        <tr r="AJ18" s="1"/>
        <tr r="AJ18" s="1"/>
      </tp>
      <tp t="e">
        <v>#N/A</v>
        <stp/>
        <stp>BDP|6589420140326837813</stp>
        <tr r="N52" s="1"/>
      </tp>
      <tp t="e">
        <v>#N/A</v>
        <stp/>
        <stp>BDP|5418633059749471748</stp>
        <tr r="BC115" s="3"/>
      </tp>
      <tp t="e">
        <v>#N/A</v>
        <stp/>
        <stp>BDP|9168620055785081789</stp>
        <tr r="Q102" s="3"/>
        <tr r="Q101" s="3"/>
        <tr r="Q100" s="3"/>
      </tp>
      <tp t="e">
        <v>#N/A</v>
        <stp/>
        <stp>BDP|5746436594082878266</stp>
        <tr r="AJ32" s="1"/>
        <tr r="AJ32" s="1"/>
      </tp>
      <tp t="e">
        <v>#N/A</v>
        <stp/>
        <stp>BDP|9598186069175851328</stp>
        <tr r="AH78" s="3"/>
        <tr r="AH78" s="3"/>
        <tr r="AH78" s="3"/>
        <tr r="AH77" s="3"/>
        <tr r="AH77" s="3"/>
        <tr r="AH77" s="3"/>
        <tr r="AH76" s="3"/>
        <tr r="AH76" s="3"/>
        <tr r="AH76" s="3"/>
        <tr r="AH75" s="3"/>
        <tr r="AH75" s="3"/>
        <tr r="AH75" s="3"/>
        <tr r="AH74" s="3"/>
        <tr r="AH74" s="3"/>
        <tr r="AH74" s="3"/>
        <tr r="AH73" s="3"/>
        <tr r="AH73" s="3"/>
        <tr r="AH73" s="3"/>
      </tp>
      <tp t="e">
        <v>#N/A</v>
        <stp/>
        <stp>BDP|7259045028079167410</stp>
        <tr r="Q64" s="3"/>
      </tp>
      <tp t="e">
        <v>#N/A</v>
        <stp/>
        <stp>BDP|7979897134797382387</stp>
        <tr r="AT102" s="3"/>
        <tr r="AT102" s="3"/>
        <tr r="AT102" s="3"/>
        <tr r="AT101" s="3"/>
        <tr r="AT101" s="3"/>
        <tr r="AT101" s="3"/>
        <tr r="AT100" s="3"/>
        <tr r="AT100" s="3"/>
        <tr r="AT100" s="3"/>
      </tp>
      <tp t="e">
        <v>#N/A</v>
        <stp/>
        <stp>BDP|3088417288742108572</stp>
        <tr r="AS78" s="1"/>
        <tr r="AS154" s="1"/>
        <tr r="AS149" s="1"/>
        <tr r="AS124" s="1"/>
        <tr r="L78" s="1"/>
        <tr r="L78" s="1"/>
        <tr r="L154" s="1"/>
        <tr r="L154" s="1"/>
        <tr r="L149" s="1"/>
        <tr r="L149" s="1"/>
        <tr r="L124" s="1"/>
        <tr r="L124" s="1"/>
      </tp>
      <tp t="e">
        <v>#N/A</v>
        <stp/>
        <stp>BDP|6944087219069799605</stp>
        <tr r="AA13" s="1"/>
      </tp>
      <tp t="e">
        <v>#N/A</v>
        <stp/>
        <stp>BDP|5458218139059008533</stp>
        <tr r="AL8" s="1"/>
        <tr r="AL106" s="1"/>
      </tp>
      <tp t="e">
        <v>#N/A</v>
        <stp/>
        <stp>BDP|4187058710785809830</stp>
        <tr r="H91" s="1"/>
        <tr r="H91" s="1"/>
        <tr r="H76" s="1"/>
        <tr r="H76" s="1"/>
        <tr r="H55" s="1"/>
        <tr r="H55" s="1"/>
        <tr r="H48" s="1"/>
        <tr r="H48" s="1"/>
        <tr r="H26" s="1"/>
        <tr r="H26" s="1"/>
        <tr r="H157" s="1"/>
        <tr r="H157" s="1"/>
        <tr r="H142" s="1"/>
        <tr r="H142" s="1"/>
        <tr r="H132" s="1"/>
        <tr r="H132" s="1"/>
        <tr r="H120" s="1"/>
        <tr r="H120" s="1"/>
        <tr r="H100" s="1"/>
        <tr r="H100" s="1"/>
      </tp>
      <tp t="e">
        <v>#N/A</v>
        <stp/>
        <stp>BDP|8896024657540879592</stp>
        <tr r="Z17" s="1"/>
        <tr r="Z112" s="1"/>
      </tp>
      <tp t="e">
        <v>#N/A</v>
        <stp/>
        <stp>BDP|9523740979266592714</stp>
        <tr r="H119" s="3"/>
        <tr r="H119" s="3"/>
        <tr r="H119" s="3"/>
        <tr r="H118" s="3"/>
        <tr r="H118" s="3"/>
        <tr r="H118" s="3"/>
        <tr r="H117" s="3"/>
        <tr r="H117" s="3"/>
        <tr r="H117" s="3"/>
        <tr r="H116" s="3"/>
        <tr r="H116" s="3"/>
        <tr r="H116" s="3"/>
      </tp>
      <tp t="e">
        <v>#N/A</v>
        <stp/>
        <stp>BDP|3424820159200124621</stp>
        <tr r="AV64" s="3"/>
        <tr r="AV64" s="3"/>
      </tp>
      <tp t="e">
        <v>#N/A</v>
        <stp/>
        <stp>BDP|9549548099275511807</stp>
        <tr r="AN141" s="3"/>
        <tr r="AN141" s="3"/>
        <tr r="AN141" s="3"/>
        <tr r="AN140" s="3"/>
        <tr r="AN140" s="3"/>
        <tr r="AN140" s="3"/>
        <tr r="AN139" s="3"/>
        <tr r="AN139" s="3"/>
        <tr r="AN139" s="3"/>
        <tr r="AN138" s="3"/>
        <tr r="AN138" s="3"/>
        <tr r="AN138" s="3"/>
        <tr r="AN137" s="3"/>
        <tr r="AN137" s="3"/>
        <tr r="AN137" s="3"/>
        <tr r="AN136" s="3"/>
        <tr r="AN136" s="3"/>
        <tr r="AN136" s="3"/>
        <tr r="AN135" s="3"/>
        <tr r="AN135" s="3"/>
        <tr r="AN135" s="3"/>
        <tr r="AN134" s="3"/>
        <tr r="AN134" s="3"/>
        <tr r="AN134" s="3"/>
        <tr r="AN133" s="3"/>
        <tr r="AN133" s="3"/>
        <tr r="AN133" s="3"/>
        <tr r="AN132" s="3"/>
        <tr r="AN132" s="3"/>
        <tr r="AN132" s="3"/>
        <tr r="AN131" s="3"/>
        <tr r="AN131" s="3"/>
        <tr r="AN131" s="3"/>
        <tr r="AN130" s="3"/>
        <tr r="AN130" s="3"/>
        <tr r="AN130" s="3"/>
      </tp>
      <tp t="e">
        <v>#N/A</v>
        <stp/>
        <stp>BDP|3915909634917621667</stp>
        <tr r="W78" s="3"/>
        <tr r="W77" s="3"/>
        <tr r="W76" s="3"/>
        <tr r="W75" s="3"/>
        <tr r="W74" s="3"/>
        <tr r="W73" s="3"/>
      </tp>
      <tp t="e">
        <v>#N/A</v>
        <stp/>
        <stp>BDP|1647354710162968973</stp>
        <tr r="AD9" s="3"/>
        <tr r="AD9" s="3"/>
        <tr r="AD9" s="3"/>
        <tr r="AD8" s="3"/>
        <tr r="AD8" s="3"/>
        <tr r="AD8" s="3"/>
        <tr r="AD7" s="3"/>
        <tr r="AD7" s="3"/>
        <tr r="AD7" s="3"/>
        <tr r="AD6" s="3"/>
        <tr r="AD6" s="3"/>
        <tr r="AD6" s="3"/>
        <tr r="AD5" s="3"/>
        <tr r="AD5" s="3"/>
        <tr r="AD5" s="3"/>
        <tr r="AD4" s="3"/>
        <tr r="AD4" s="3"/>
        <tr r="AD4" s="3"/>
        <tr r="AD3" s="3"/>
        <tr r="AD3" s="3"/>
        <tr r="AD3" s="3"/>
        <tr r="AD15" s="3"/>
        <tr r="AD15" s="3"/>
        <tr r="AD15" s="3"/>
        <tr r="AD14" s="3"/>
        <tr r="AD14" s="3"/>
        <tr r="AD14" s="3"/>
        <tr r="AD13" s="3"/>
        <tr r="AD13" s="3"/>
        <tr r="AD13" s="3"/>
        <tr r="AD12" s="3"/>
        <tr r="AD12" s="3"/>
        <tr r="AD12" s="3"/>
        <tr r="AD11" s="3"/>
        <tr r="AD11" s="3"/>
        <tr r="AD11" s="3"/>
        <tr r="AD10" s="3"/>
        <tr r="AD10" s="3"/>
        <tr r="AD10" s="3"/>
      </tp>
      <tp t="e">
        <v>#N/A</v>
        <stp/>
        <stp>BDP|7158352353149367097</stp>
        <tr r="AD50" s="3"/>
        <tr r="AD50" s="3"/>
        <tr r="AD50" s="3"/>
        <tr r="AD49" s="3"/>
        <tr r="AD49" s="3"/>
        <tr r="AD49" s="3"/>
        <tr r="AD48" s="3"/>
        <tr r="AD48" s="3"/>
        <tr r="AD48" s="3"/>
        <tr r="AD47" s="3"/>
        <tr r="AD47" s="3"/>
        <tr r="AD47" s="3"/>
        <tr r="AD46" s="3"/>
        <tr r="AD46" s="3"/>
        <tr r="AD46" s="3"/>
        <tr r="AD45" s="3"/>
        <tr r="AD45" s="3"/>
        <tr r="AD45" s="3"/>
        <tr r="AD44" s="3"/>
        <tr r="AD44" s="3"/>
        <tr r="AD44" s="3"/>
        <tr r="AD43" s="3"/>
        <tr r="AD43" s="3"/>
        <tr r="AD43" s="3"/>
        <tr r="AD42" s="3"/>
        <tr r="AD42" s="3"/>
        <tr r="AD42" s="3"/>
        <tr r="AD41" s="3"/>
        <tr r="AD41" s="3"/>
        <tr r="AD41" s="3"/>
        <tr r="AD40" s="3"/>
        <tr r="AD40" s="3"/>
        <tr r="AD40" s="3"/>
        <tr r="AD39" s="3"/>
        <tr r="AD39" s="3"/>
        <tr r="AD39" s="3"/>
        <tr r="AD38" s="3"/>
        <tr r="AD38" s="3"/>
        <tr r="AD38" s="3"/>
        <tr r="AD37" s="3"/>
        <tr r="AD37" s="3"/>
        <tr r="AD37" s="3"/>
        <tr r="AD36" s="3"/>
        <tr r="AD36" s="3"/>
        <tr r="AD36" s="3"/>
        <tr r="AD35" s="3"/>
        <tr r="AD35" s="3"/>
        <tr r="AD35" s="3"/>
      </tp>
      <tp t="e">
        <v>#N/A</v>
        <stp/>
        <stp>BDP|3696868439153726334</stp>
        <tr r="AS7" s="1"/>
        <tr r="AS14" s="1"/>
        <tr r="AS108" s="1"/>
      </tp>
      <tp t="e">
        <v>#N/A</v>
        <stp/>
        <stp>BDP|6150165482650484732</stp>
        <tr r="J111" s="3"/>
        <tr r="J111" s="3"/>
        <tr r="J111" s="3"/>
        <tr r="J110" s="3"/>
        <tr r="J110" s="3"/>
        <tr r="J110" s="3"/>
        <tr r="J109" s="3"/>
        <tr r="J109" s="3"/>
        <tr r="J109" s="3"/>
        <tr r="J108" s="3"/>
        <tr r="J108" s="3"/>
        <tr r="J108" s="3"/>
        <tr r="J107" s="3"/>
        <tr r="J107" s="3"/>
        <tr r="J107" s="3"/>
        <tr r="J106" s="3"/>
        <tr r="J106" s="3"/>
        <tr r="J106" s="3"/>
        <tr r="J105" s="3"/>
        <tr r="J105" s="3"/>
        <tr r="J105" s="3"/>
        <tr r="J104" s="3"/>
        <tr r="J104" s="3"/>
        <tr r="J104" s="3"/>
      </tp>
      <tp t="e">
        <v>#N/A</v>
        <stp/>
        <stp>BDP|3834966271077427299</stp>
        <tr r="K56" s="1"/>
      </tp>
      <tp t="e">
        <v>#N/A</v>
        <stp/>
        <stp>BDP|5392811407500498528</stp>
        <tr r="N88" s="1"/>
      </tp>
      <tp t="e">
        <v>#N/A</v>
        <stp/>
        <stp>BDP|9438489428765412232</stp>
        <tr r="AE56" s="1"/>
      </tp>
      <tp t="e">
        <v>#N/A</v>
        <stp/>
        <stp>BDP|1698160964979362740</stp>
        <tr r="J115" s="3"/>
        <tr r="J115" s="3"/>
      </tp>
      <tp t="e">
        <v>#N/A</v>
        <stp/>
        <stp>BDP|3886887864315404007</stp>
        <tr r="M107" s="1"/>
        <tr r="M107" s="1"/>
      </tp>
      <tp t="e">
        <v>#N/A</v>
        <stp/>
        <stp>BDP|9472078946733570601</stp>
        <tr r="AT56" s="1"/>
      </tp>
      <tp t="e">
        <v>#N/A</v>
        <stp/>
        <stp>BDP|6954945667313210281</stp>
        <tr r="N96" s="1"/>
        <tr r="N77" s="1"/>
        <tr r="N65" s="1"/>
        <tr r="N36" s="1"/>
        <tr r="N27" s="1"/>
        <tr r="N162" s="1"/>
      </tp>
      <tp t="e">
        <v>#N/A</v>
        <stp/>
        <stp>BDP|8926618278829267826</stp>
        <tr r="W54" s="1"/>
      </tp>
      <tp t="e">
        <v>#N/A</v>
        <stp/>
        <stp>BDP|3495429132669600520</stp>
        <tr r="E95" s="1"/>
        <tr r="E71" s="1"/>
      </tp>
      <tp t="e">
        <v>#N/A</v>
        <stp/>
        <stp>BDP|1573222704023225811</stp>
        <tr r="AM114" s="3"/>
        <tr r="AM114" s="3"/>
        <tr r="AM114" s="3"/>
        <tr r="AM113" s="3"/>
        <tr r="AM113" s="3"/>
        <tr r="AM113" s="3"/>
        <tr r="AM112" s="3"/>
        <tr r="AM112" s="3"/>
        <tr r="AM112" s="3"/>
      </tp>
      <tp t="e">
        <v>#N/A</v>
        <stp/>
        <stp>BDP|3893736669842293813</stp>
        <tr r="H45" s="1"/>
        <tr r="H62" s="1"/>
        <tr r="H53" s="1"/>
        <tr r="H115" s="1"/>
      </tp>
      <tp t="e">
        <v>#N/A</v>
        <stp/>
        <stp>BDP|6941986654677798532</stp>
        <tr r="AI78" s="3"/>
        <tr r="AI78" s="3"/>
        <tr r="AI78" s="3"/>
        <tr r="AI77" s="3"/>
        <tr r="AI77" s="3"/>
        <tr r="AI77" s="3"/>
        <tr r="AI76" s="3"/>
        <tr r="AI76" s="3"/>
        <tr r="AI76" s="3"/>
        <tr r="AI75" s="3"/>
        <tr r="AI75" s="3"/>
        <tr r="AI75" s="3"/>
        <tr r="AI74" s="3"/>
        <tr r="AI74" s="3"/>
        <tr r="AI74" s="3"/>
        <tr r="AI73" s="3"/>
        <tr r="AI73" s="3"/>
        <tr r="AI73" s="3"/>
      </tp>
      <tp t="e">
        <v>#N/A</v>
        <stp/>
        <stp>BDP|4535121764499389210</stp>
        <tr r="J94" s="3"/>
        <tr r="J94" s="3"/>
        <tr r="J94" s="3"/>
        <tr r="J93" s="3"/>
        <tr r="J93" s="3"/>
        <tr r="J93" s="3"/>
        <tr r="J92" s="3"/>
        <tr r="J92" s="3"/>
        <tr r="J92" s="3"/>
        <tr r="J91" s="3"/>
        <tr r="J91" s="3"/>
        <tr r="J91" s="3"/>
        <tr r="J90" s="3"/>
        <tr r="J90" s="3"/>
        <tr r="J90" s="3"/>
        <tr r="J89" s="3"/>
        <tr r="J89" s="3"/>
        <tr r="J89" s="3"/>
        <tr r="J88" s="3"/>
        <tr r="J88" s="3"/>
        <tr r="J88" s="3"/>
        <tr r="J87" s="3"/>
        <tr r="J87" s="3"/>
        <tr r="J87" s="3"/>
        <tr r="J86" s="3"/>
        <tr r="J86" s="3"/>
        <tr r="J86" s="3"/>
        <tr r="J85" s="3"/>
        <tr r="J85" s="3"/>
        <tr r="J85" s="3"/>
        <tr r="J84" s="3"/>
        <tr r="J84" s="3"/>
        <tr r="J84" s="3"/>
        <tr r="J83" s="3"/>
        <tr r="J83" s="3"/>
        <tr r="J83" s="3"/>
        <tr r="J82" s="3"/>
        <tr r="J82" s="3"/>
        <tr r="J82" s="3"/>
        <tr r="J81" s="3"/>
        <tr r="J81" s="3"/>
        <tr r="J81" s="3"/>
        <tr r="J80" s="3"/>
        <tr r="J80" s="3"/>
        <tr r="J80" s="3"/>
        <tr r="J79" s="3"/>
        <tr r="J79" s="3"/>
        <tr r="J79" s="3"/>
      </tp>
      <tp t="e">
        <v>#N/A</v>
        <stp/>
        <stp>BDP|2820155673519672595</stp>
        <tr r="AO94" s="1"/>
        <tr r="AO151" s="1"/>
        <tr r="AO123" s="1"/>
        <tr r="AO101" s="1"/>
      </tp>
      <tp t="e">
        <v>#N/A</v>
        <stp/>
        <stp>BDP|6095395638356278828</stp>
        <tr r="H17" s="1"/>
        <tr r="H17" s="1"/>
        <tr r="H112" s="1"/>
        <tr r="H112" s="1"/>
      </tp>
      <tp t="e">
        <v>#N/A</v>
        <stp/>
        <stp>BDP|3177408087780177769</stp>
        <tr r="AM143" s="1"/>
        <tr r="AM143" s="1"/>
        <tr r="AM127" s="1"/>
        <tr r="AM127" s="1"/>
      </tp>
      <tp t="e">
        <v>#N/A</v>
        <stp/>
        <stp>BDP|2204819692353295859</stp>
        <tr r="AO87" s="1"/>
      </tp>
      <tp t="e">
        <v>#N/A</v>
        <stp/>
        <stp>BDP|3914735130338907753</stp>
        <tr r="AL86" s="1"/>
        <tr r="AL133" s="1"/>
      </tp>
      <tp t="e">
        <v>#N/A</v>
        <stp/>
        <stp>BDP|3057198933628960146</stp>
        <tr r="H34" s="1"/>
        <tr r="H34" s="1"/>
        <tr r="H156" s="1"/>
        <tr r="H156" s="1"/>
      </tp>
      <tp t="e">
        <v>#N/A</v>
        <stp/>
        <stp>BDP|5077665082190205318</stp>
        <tr r="Z96" s="1"/>
        <tr r="Z77" s="1"/>
        <tr r="Z65" s="1"/>
        <tr r="Z36" s="1"/>
        <tr r="Z27" s="1"/>
        <tr r="Z162" s="1"/>
      </tp>
      <tp t="e">
        <v>#N/A</v>
        <stp/>
        <stp>BDP|8708854916371626854</stp>
        <tr r="AI50" s="3"/>
        <tr r="AI50" s="3"/>
        <tr r="AI50" s="3"/>
        <tr r="AI49" s="3"/>
        <tr r="AI49" s="3"/>
        <tr r="AI49" s="3"/>
        <tr r="AI48" s="3"/>
        <tr r="AI48" s="3"/>
        <tr r="AI48" s="3"/>
        <tr r="AI47" s="3"/>
        <tr r="AI47" s="3"/>
        <tr r="AI47" s="3"/>
        <tr r="AI46" s="3"/>
        <tr r="AI46" s="3"/>
        <tr r="AI46" s="3"/>
        <tr r="AI45" s="3"/>
        <tr r="AI45" s="3"/>
        <tr r="AI45" s="3"/>
        <tr r="AI44" s="3"/>
        <tr r="AI44" s="3"/>
        <tr r="AI44" s="3"/>
        <tr r="AI43" s="3"/>
        <tr r="AI43" s="3"/>
        <tr r="AI43" s="3"/>
        <tr r="AI42" s="3"/>
        <tr r="AI42" s="3"/>
        <tr r="AI42" s="3"/>
        <tr r="AI41" s="3"/>
        <tr r="AI41" s="3"/>
        <tr r="AI41" s="3"/>
        <tr r="AI40" s="3"/>
        <tr r="AI40" s="3"/>
        <tr r="AI40" s="3"/>
        <tr r="AI39" s="3"/>
        <tr r="AI39" s="3"/>
        <tr r="AI39" s="3"/>
        <tr r="AI38" s="3"/>
        <tr r="AI38" s="3"/>
        <tr r="AI38" s="3"/>
        <tr r="AI37" s="3"/>
        <tr r="AI37" s="3"/>
        <tr r="AI37" s="3"/>
        <tr r="AI36" s="3"/>
        <tr r="AI36" s="3"/>
        <tr r="AI36" s="3"/>
        <tr r="AI35" s="3"/>
        <tr r="AI35" s="3"/>
        <tr r="AI35" s="3"/>
      </tp>
      <tp t="e">
        <v>#N/A</v>
        <stp/>
        <stp>BDP|3000006971359609505</stp>
        <tr r="AN94" s="3"/>
        <tr r="AN94" s="3"/>
        <tr r="AN94" s="3"/>
        <tr r="AN93" s="3"/>
        <tr r="AN93" s="3"/>
        <tr r="AN93" s="3"/>
        <tr r="AN92" s="3"/>
        <tr r="AN92" s="3"/>
        <tr r="AN92" s="3"/>
        <tr r="AN91" s="3"/>
        <tr r="AN91" s="3"/>
        <tr r="AN91" s="3"/>
        <tr r="AN90" s="3"/>
        <tr r="AN90" s="3"/>
        <tr r="AN90" s="3"/>
        <tr r="AN89" s="3"/>
        <tr r="AN89" s="3"/>
        <tr r="AN89" s="3"/>
        <tr r="AN88" s="3"/>
        <tr r="AN88" s="3"/>
        <tr r="AN88" s="3"/>
        <tr r="AN87" s="3"/>
        <tr r="AN87" s="3"/>
        <tr r="AN87" s="3"/>
        <tr r="AN86" s="3"/>
        <tr r="AN86" s="3"/>
        <tr r="AN86" s="3"/>
        <tr r="AN85" s="3"/>
        <tr r="AN85" s="3"/>
        <tr r="AN85" s="3"/>
        <tr r="AN84" s="3"/>
        <tr r="AN84" s="3"/>
        <tr r="AN84" s="3"/>
        <tr r="AN83" s="3"/>
        <tr r="AN83" s="3"/>
        <tr r="AN83" s="3"/>
        <tr r="AN82" s="3"/>
        <tr r="AN82" s="3"/>
        <tr r="AN82" s="3"/>
        <tr r="AN81" s="3"/>
        <tr r="AN81" s="3"/>
        <tr r="AN81" s="3"/>
        <tr r="AN80" s="3"/>
        <tr r="AN80" s="3"/>
        <tr r="AN80" s="3"/>
        <tr r="AN79" s="3"/>
        <tr r="AN79" s="3"/>
        <tr r="AN79" s="3"/>
      </tp>
      <tp t="e">
        <v>#N/A</v>
        <stp/>
        <stp>BDP|6353625885670706041</stp>
        <tr r="AL72" s="3"/>
        <tr r="AL72" s="3"/>
        <tr r="AL72" s="3"/>
        <tr r="AL71" s="3"/>
        <tr r="AL71" s="3"/>
        <tr r="AL71" s="3"/>
        <tr r="AL70" s="3"/>
        <tr r="AL70" s="3"/>
        <tr r="AL70" s="3"/>
        <tr r="AL69" s="3"/>
        <tr r="AL69" s="3"/>
        <tr r="AL69" s="3"/>
        <tr r="AL68" s="3"/>
        <tr r="AL68" s="3"/>
        <tr r="AL68" s="3"/>
        <tr r="AL67" s="3"/>
        <tr r="AL67" s="3"/>
        <tr r="AL67" s="3"/>
        <tr r="AL66" s="3"/>
        <tr r="AL66" s="3"/>
        <tr r="AL66" s="3"/>
        <tr r="AL65" s="3"/>
        <tr r="AL65" s="3"/>
        <tr r="AL65" s="3"/>
      </tp>
      <tp t="e">
        <v>#N/A</v>
        <stp/>
        <stp>BDP|8305150613043693374</stp>
        <tr r="AA94" s="1"/>
        <tr r="AA151" s="1"/>
        <tr r="AA123" s="1"/>
        <tr r="AA101" s="1"/>
      </tp>
      <tp t="e">
        <v>#N/A</v>
        <stp/>
        <stp>BDP|2279318687286977782</stp>
        <tr r="AV99" s="3"/>
        <tr r="AV99" s="3"/>
        <tr r="AV98" s="3"/>
        <tr r="AV98" s="3"/>
        <tr r="AV97" s="3"/>
        <tr r="AV97" s="3"/>
      </tp>
      <tp t="e">
        <v>#N/A</v>
        <stp/>
        <stp>BDP|7194237285735175035</stp>
        <tr r="AL103" s="3"/>
        <tr r="AL103" s="3"/>
        <tr r="AL103" s="3"/>
      </tp>
      <tp t="e">
        <v>#N/A</v>
        <stp/>
        <stp>BDP|5117706053567414839</stp>
        <tr r="AU35" s="1"/>
        <tr r="AU35" s="1"/>
        <tr r="AU35" s="1"/>
        <tr r="AU24" s="1"/>
        <tr r="AU24" s="1"/>
        <tr r="AU24" s="1"/>
        <tr r="AU153" s="1"/>
        <tr r="AU153" s="1"/>
        <tr r="AU153" s="1"/>
      </tp>
      <tp t="e">
        <v>#N/A</v>
        <stp/>
        <stp>BDP|6886580095353737178</stp>
        <tr r="AK50" s="3"/>
        <tr r="AK50" s="3"/>
        <tr r="AK50" s="3"/>
        <tr r="AK49" s="3"/>
        <tr r="AK49" s="3"/>
        <tr r="AK49" s="3"/>
        <tr r="AK48" s="3"/>
        <tr r="AK48" s="3"/>
        <tr r="AK48" s="3"/>
        <tr r="AK47" s="3"/>
        <tr r="AK47" s="3"/>
        <tr r="AK47" s="3"/>
        <tr r="AK46" s="3"/>
        <tr r="AK46" s="3"/>
        <tr r="AK46" s="3"/>
        <tr r="AK45" s="3"/>
        <tr r="AK45" s="3"/>
        <tr r="AK45" s="3"/>
        <tr r="AK44" s="3"/>
        <tr r="AK44" s="3"/>
        <tr r="AK44" s="3"/>
        <tr r="AK43" s="3"/>
        <tr r="AK43" s="3"/>
        <tr r="AK43" s="3"/>
        <tr r="AK42" s="3"/>
        <tr r="AK42" s="3"/>
        <tr r="AK42" s="3"/>
        <tr r="AK41" s="3"/>
        <tr r="AK41" s="3"/>
        <tr r="AK41" s="3"/>
        <tr r="AK40" s="3"/>
        <tr r="AK40" s="3"/>
        <tr r="AK40" s="3"/>
        <tr r="AK39" s="3"/>
        <tr r="AK39" s="3"/>
        <tr r="AK39" s="3"/>
        <tr r="AK38" s="3"/>
        <tr r="AK38" s="3"/>
        <tr r="AK38" s="3"/>
        <tr r="AK37" s="3"/>
        <tr r="AK37" s="3"/>
        <tr r="AK37" s="3"/>
        <tr r="AK36" s="3"/>
        <tr r="AK36" s="3"/>
        <tr r="AK36" s="3"/>
        <tr r="AK35" s="3"/>
        <tr r="AK35" s="3"/>
        <tr r="AK35" s="3"/>
      </tp>
      <tp t="e">
        <v>#N/A</v>
        <stp/>
        <stp>BDP|3326999769622099664</stp>
        <tr r="H141" s="1"/>
        <tr r="H141" s="1"/>
        <tr r="H131" s="1"/>
        <tr r="H131" s="1"/>
      </tp>
      <tp t="e">
        <v>#N/A</v>
        <stp/>
        <stp>BDP|8077311561014617134</stp>
        <tr r="I7" s="1"/>
        <tr r="I14" s="1"/>
        <tr r="I108" s="1"/>
      </tp>
      <tp t="e">
        <v>#N/A</v>
        <stp/>
        <stp>BDP|1869648349858003303</stp>
        <tr r="AS53" s="1"/>
        <tr r="AS62" s="1"/>
        <tr r="AS115" s="1"/>
        <tr r="L53" s="1"/>
        <tr r="L53" s="1"/>
        <tr r="L45" s="1"/>
        <tr r="L45" s="1"/>
        <tr r="AS45" s="1"/>
        <tr r="L62" s="1"/>
        <tr r="L62" s="1"/>
        <tr r="L115" s="1"/>
        <tr r="L115" s="1"/>
      </tp>
      <tp t="e">
        <v>#N/A</v>
        <stp/>
        <stp>BDP|5138776860708143422</stp>
        <tr r="AT126" s="1"/>
      </tp>
    </main>
    <main first="bloomberg.rtd">
      <tp t="s">
        <v>Health Care</v>
        <stp/>
        <stp>##V3_BDPV12</stp>
        <stp>MRK US Equity</stp>
        <stp>DX202</stp>
        <stp>[DPM - Securities Master List (BBG Linked).xlsx]Equities!R168C8</stp>
        <tr r="H168" s="2"/>
        <tr r="H168" s="2"/>
        <tr r="H168" s="2"/>
      </tp>
      <tp t="s">
        <v>Health Care</v>
        <stp/>
        <stp>##V3_BDPV12</stp>
        <stp>MRK US Equity</stp>
        <stp>DX202</stp>
        <stp>[DPM - Securities Master List (BBG Linked).xlsx]Equities!R158C8</stp>
        <tr r="H158" s="2"/>
        <tr r="H158" s="2"/>
        <tr r="H158" s="2"/>
      </tp>
      <tp t="s">
        <v>Energy</v>
        <stp/>
        <stp>##V3_BDPV12</stp>
        <stp>TTE FP Equity</stp>
        <stp>DX202</stp>
        <stp>[DPM - Securities Master List (BBG Linked).xlsx]Equities!R282C8</stp>
        <tr r="H282" s="2"/>
        <tr r="H282" s="2"/>
        <tr r="H282" s="2"/>
      </tp>
      <tp t="s">
        <v>Information Technology</v>
        <stp/>
        <stp>##V3_BDPV12</stp>
        <stp>SMSN.LI Equity</stp>
        <stp>DX202</stp>
        <stp>[DPM - Securities Master List (BBG Linked).xlsx]Equities!R243C8</stp>
        <tr r="H243" s="2"/>
        <tr r="H243" s="2"/>
        <tr r="H243" s="2"/>
      </tp>
      <tp t="s">
        <v>Information Technology</v>
        <stp/>
        <stp>##V3_BDPV12</stp>
        <stp>MSFT US Equity</stp>
        <stp>DX202</stp>
        <stp>[DPM - Securities Master List (BBG Linked).xlsx]Equities!R184C8</stp>
        <tr r="H184" s="2"/>
        <tr r="H184" s="2"/>
        <tr r="H184" s="2"/>
      </tp>
      <tp t="s">
        <v>Information Technology</v>
        <stp/>
        <stp>##V3_BDPV12</stp>
        <stp>MSFT US Equity</stp>
        <stp>DX202</stp>
        <stp>[DPM - Securities Master List (BBG Linked).xlsx]Equities!R174C8</stp>
        <tr r="H174" s="2"/>
        <tr r="H174" s="2"/>
        <tr r="H174" s="2"/>
      </tp>
    </main>
    <main first="bofaddin.rtdserver">
      <tp t="e">
        <v>#N/A</v>
        <stp/>
        <stp>BDP|9664567108824536173</stp>
        <tr r="AO165" s="1"/>
        <tr r="AO99" s="1"/>
        <tr r="AO119" s="1"/>
        <tr r="AO152" s="1"/>
        <tr r="AO61" s="1"/>
        <tr r="AO74" s="1"/>
        <tr r="AO146" s="1"/>
        <tr r="AO137" s="1"/>
        <tr r="AO16" s="1"/>
        <tr r="AO23" s="1"/>
        <tr r="AO111" s="1"/>
        <tr r="AO38" s="1"/>
      </tp>
      <tp t="e">
        <v>#N/A</v>
        <stp/>
        <stp>BDP|2147749646129019196</stp>
        <tr r="AO52" s="1"/>
      </tp>
      <tp t="e">
        <v>#N/A</v>
        <stp/>
        <stp>BDP|1490143599231776151</stp>
        <tr r="AU84" s="1"/>
        <tr r="AU84" s="1"/>
        <tr r="AU84" s="1"/>
        <tr r="AU159" s="1"/>
        <tr r="AU159" s="1"/>
        <tr r="AU159" s="1"/>
        <tr r="AU116" s="1"/>
        <tr r="AU116" s="1"/>
        <tr r="AU116" s="1"/>
        <tr r="AU70" s="1"/>
        <tr r="AU70" s="1"/>
        <tr r="AU70" s="1"/>
      </tp>
      <tp t="e">
        <v>#N/A</v>
        <stp/>
        <stp>BDP|4549939348841131142</stp>
        <tr r="V140" s="1"/>
        <tr r="V128" s="1"/>
      </tp>
      <tp t="e">
        <v>#N/A</v>
        <stp/>
        <stp>BDP|7122732014420777897</stp>
        <tr r="Y90" s="1"/>
      </tp>
      <tp t="e">
        <v>#N/A</v>
        <stp/>
        <stp>BDP|5672175287750834579</stp>
        <tr r="Z148" s="1"/>
        <tr r="Z138" s="1"/>
      </tp>
      <tp t="e">
        <v>#N/A</v>
        <stp/>
        <stp>BDP|6394845413551497791</stp>
        <tr r="J63" s="3"/>
        <tr r="J63" s="3"/>
        <tr r="J62" s="3"/>
        <tr r="J62" s="3"/>
        <tr r="J61" s="3"/>
        <tr r="J61" s="3"/>
        <tr r="J60" s="3"/>
        <tr r="J60" s="3"/>
        <tr r="J59" s="3"/>
        <tr r="J59" s="3"/>
        <tr r="J58" s="3"/>
        <tr r="J58" s="3"/>
        <tr r="J57" s="3"/>
        <tr r="J57" s="3"/>
        <tr r="J56" s="3"/>
        <tr r="J56" s="3"/>
        <tr r="J55" s="3"/>
        <tr r="J55" s="3"/>
        <tr r="J54" s="3"/>
        <tr r="J54" s="3"/>
        <tr r="J53" s="3"/>
        <tr r="J53" s="3"/>
        <tr r="J52" s="3"/>
        <tr r="J52" s="3"/>
        <tr r="J51" s="3"/>
        <tr r="J51" s="3"/>
      </tp>
      <tp t="e">
        <v>#N/A</v>
        <stp/>
        <stp>BDP|4424630479794466836</stp>
        <tr r="AL139" s="1"/>
        <tr r="AL129" s="1"/>
      </tp>
      <tp t="e">
        <v>#N/A</v>
        <stp/>
        <stp>BDP|4853811530015946394</stp>
        <tr r="I50" s="3"/>
        <tr r="I50" s="3"/>
        <tr r="I50" s="3"/>
        <tr r="I49" s="3"/>
        <tr r="I49" s="3"/>
        <tr r="I49" s="3"/>
        <tr r="I48" s="3"/>
        <tr r="I48" s="3"/>
        <tr r="I48" s="3"/>
        <tr r="I47" s="3"/>
        <tr r="I47" s="3"/>
        <tr r="I47" s="3"/>
        <tr r="I46" s="3"/>
        <tr r="I46" s="3"/>
        <tr r="I46" s="3"/>
        <tr r="I45" s="3"/>
        <tr r="I45" s="3"/>
        <tr r="I45" s="3"/>
        <tr r="I44" s="3"/>
        <tr r="I44" s="3"/>
        <tr r="I44" s="3"/>
        <tr r="I43" s="3"/>
        <tr r="I43" s="3"/>
        <tr r="I43" s="3"/>
        <tr r="I42" s="3"/>
        <tr r="I42" s="3"/>
        <tr r="I42" s="3"/>
        <tr r="I41" s="3"/>
        <tr r="I41" s="3"/>
        <tr r="I41" s="3"/>
        <tr r="I40" s="3"/>
        <tr r="I40" s="3"/>
        <tr r="I40" s="3"/>
        <tr r="I39" s="3"/>
        <tr r="I39" s="3"/>
        <tr r="I39" s="3"/>
        <tr r="I38" s="3"/>
        <tr r="I38" s="3"/>
        <tr r="I38" s="3"/>
        <tr r="I37" s="3"/>
        <tr r="I37" s="3"/>
        <tr r="I37" s="3"/>
        <tr r="I36" s="3"/>
        <tr r="I36" s="3"/>
        <tr r="I36" s="3"/>
        <tr r="I35" s="3"/>
        <tr r="I35" s="3"/>
        <tr r="I35" s="3"/>
      </tp>
      <tp t="e">
        <v>#N/A</v>
        <stp/>
        <stp>BDP|7243899315381655663</stp>
        <tr r="H107" s="1"/>
        <tr r="H107" s="1"/>
      </tp>
      <tp t="e">
        <v>#N/A</v>
        <stp/>
        <stp>BDP|3850998393039994358</stp>
        <tr r="AK90" s="1"/>
        <tr r="AK90" s="1"/>
        <tr r="AK90" s="1"/>
      </tp>
      <tp t="e">
        <v>#N/A</v>
        <stp/>
        <stp>BDP|4255955359498733978</stp>
        <tr r="Q73" s="1"/>
        <tr r="Q168" s="1"/>
      </tp>
      <tp t="e">
        <v>#N/A</v>
        <stp/>
        <stp>BDP|4522250050463944971</stp>
        <tr r="F63" s="3"/>
        <tr r="F62" s="3"/>
        <tr r="F61" s="3"/>
        <tr r="F60" s="3"/>
        <tr r="F59" s="3"/>
        <tr r="F58" s="3"/>
        <tr r="F57" s="3"/>
        <tr r="F56" s="3"/>
        <tr r="F55" s="3"/>
        <tr r="F54" s="3"/>
        <tr r="F53" s="3"/>
        <tr r="F52" s="3"/>
        <tr r="F51" s="3"/>
      </tp>
      <tp t="e">
        <v>#N/A</v>
        <stp/>
        <stp>BDP|4905451441315566866</stp>
        <tr r="Q69" s="1"/>
        <tr r="Q57" s="1"/>
      </tp>
      <tp t="b">
        <v>0</v>
        <stp/>
        <stp>BDP|1127035835803088893</stp>
        <tr r="Q94" s="3"/>
        <tr r="Q93" s="3"/>
        <tr r="Q92" s="3"/>
        <tr r="Q91" s="3"/>
        <tr r="Q90" s="3"/>
        <tr r="Q89" s="3"/>
        <tr r="Q88" s="3"/>
        <tr r="Q87" s="3"/>
        <tr r="Q86" s="3"/>
        <tr r="Q85" s="3"/>
        <tr r="Q84" s="3"/>
        <tr r="Q83" s="3"/>
        <tr r="Q82" s="3"/>
        <tr r="Q81" s="3"/>
        <tr r="Q80" s="3"/>
        <tr r="Q79" s="3"/>
      </tp>
      <tp t="e">
        <v>#N/A</v>
        <stp/>
        <stp>BDP|5435907007676878353</stp>
        <tr r="Q9" s="1"/>
      </tp>
      <tp t="e">
        <v>#N/A</v>
        <stp/>
        <stp>BDP|1561910411019991935</stp>
        <tr r="AE82" s="1"/>
        <tr r="AE39" s="1"/>
        <tr r="AE22" s="1"/>
        <tr r="AE167" s="1"/>
      </tp>
      <tp t="e">
        <v>#N/A</v>
        <stp/>
        <stp>BDP|3789982577724763037</stp>
        <tr r="H98" s="1"/>
        <tr r="H98" s="1"/>
        <tr r="H79" s="1"/>
        <tr r="H79" s="1"/>
        <tr r="H5" s="1"/>
        <tr r="H5" s="1"/>
        <tr r="H155" s="1"/>
        <tr r="H155" s="1"/>
        <tr r="H118" s="1"/>
        <tr r="H118" s="1"/>
      </tp>
      <tp t="e">
        <v>#N/A</v>
        <stp/>
        <stp>BDP|2088196264919004511</stp>
        <tr r="AN119" s="3"/>
        <tr r="AN119" s="3"/>
        <tr r="AN119" s="3"/>
        <tr r="AN118" s="3"/>
        <tr r="AN118" s="3"/>
        <tr r="AN118" s="3"/>
        <tr r="AN117" s="3"/>
        <tr r="AN117" s="3"/>
        <tr r="AN117" s="3"/>
        <tr r="AN116" s="3"/>
        <tr r="AN116" s="3"/>
        <tr r="AN116" s="3"/>
      </tp>
      <tp t="e">
        <v>#N/A</v>
        <stp/>
        <stp>BDP|6771417484121972266</stp>
        <tr r="AP119" s="3"/>
        <tr r="AP119" s="3"/>
        <tr r="AP119" s="3"/>
        <tr r="AP118" s="3"/>
        <tr r="AP118" s="3"/>
        <tr r="AP118" s="3"/>
        <tr r="AP117" s="3"/>
        <tr r="AP117" s="3"/>
        <tr r="AP117" s="3"/>
        <tr r="AP116" s="3"/>
        <tr r="AP116" s="3"/>
        <tr r="AP116" s="3"/>
      </tp>
      <tp t="e">
        <v>#N/A</v>
        <stp/>
        <stp>BDP|4697931212550380597</stp>
        <tr r="Y9" s="1"/>
      </tp>
      <tp t="e">
        <v>#N/A</v>
        <stp/>
        <stp>BDP|2063895610171917329</stp>
        <tr r="AI129" s="3"/>
        <tr r="AI129" s="3"/>
        <tr r="AI129" s="3"/>
        <tr r="AI128" s="3"/>
        <tr r="AI128" s="3"/>
        <tr r="AI128" s="3"/>
        <tr r="AI127" s="3"/>
        <tr r="AI127" s="3"/>
        <tr r="AI127" s="3"/>
        <tr r="AI126" s="3"/>
        <tr r="AI126" s="3"/>
        <tr r="AI126" s="3"/>
        <tr r="AI125" s="3"/>
        <tr r="AI125" s="3"/>
        <tr r="AI125" s="3"/>
        <tr r="AI124" s="3"/>
        <tr r="AI124" s="3"/>
        <tr r="AI124" s="3"/>
        <tr r="AI123" s="3"/>
        <tr r="AI123" s="3"/>
        <tr r="AI123" s="3"/>
        <tr r="AI122" s="3"/>
        <tr r="AI122" s="3"/>
        <tr r="AI122" s="3"/>
        <tr r="AI121" s="3"/>
        <tr r="AI121" s="3"/>
        <tr r="AI121" s="3"/>
        <tr r="AI120" s="3"/>
        <tr r="AI120" s="3"/>
        <tr r="AI120" s="3"/>
      </tp>
      <tp t="e">
        <v>#N/A</v>
        <stp/>
        <stp>BDP|9034086269280280612</stp>
        <tr r="H143" s="1"/>
        <tr r="H143" s="1"/>
        <tr r="H127" s="1"/>
        <tr r="H127" s="1"/>
      </tp>
      <tp t="e">
        <v>#N/A</v>
        <stp/>
        <stp>BDP|2418314757005984890</stp>
        <tr r="Z69" s="1"/>
        <tr r="Z57" s="1"/>
      </tp>
      <tp t="e">
        <v>#N/A</v>
        <stp/>
        <stp>BDP|9170635703185548364</stp>
        <tr r="AL59" s="1"/>
        <tr r="AL41" s="1"/>
        <tr r="AL81" s="1"/>
        <tr r="AL89" s="1"/>
        <tr r="AL37" s="1"/>
        <tr r="AL29" s="1"/>
        <tr r="AL164" s="1"/>
        <tr r="AL135" s="1"/>
      </tp>
      <tp t="e">
        <v>#N/A</v>
        <stp/>
        <stp>BDP|9544335013727648510</stp>
        <tr r="AS64" s="1"/>
      </tp>
      <tp t="e">
        <v>#N/A</v>
        <stp/>
        <stp>BDP|9682214170607740229</stp>
        <tr r="N103" s="3"/>
        <tr r="N103" s="3"/>
        <tr r="N103" s="3"/>
      </tp>
      <tp t="e">
        <v>#N/A</v>
        <stp/>
        <stp>BDP|8366076830947766504</stp>
        <tr r="AO103" s="3"/>
        <tr r="AO103" s="3"/>
        <tr r="AO103" s="3"/>
      </tp>
      <tp t="e">
        <v>#N/A</v>
        <stp/>
        <stp>BDP|4032940233803482409</stp>
        <tr r="E94" s="1"/>
        <tr r="E151" s="1"/>
        <tr r="E123" s="1"/>
        <tr r="E101" s="1"/>
      </tp>
      <tp t="e">
        <v>#N/A</v>
        <stp/>
        <stp>BDP|6956895916293298576</stp>
        <tr r="V13" s="1"/>
      </tp>
      <tp t="e">
        <v>#N/A</v>
        <stp/>
        <stp>BDP|4204948400702221672</stp>
        <tr r="AL20" s="1"/>
      </tp>
      <tp t="e">
        <v>#N/A</v>
        <stp/>
        <stp>BDP|3410888409330090262</stp>
        <tr r="AK63" s="1"/>
        <tr r="AK63" s="1"/>
        <tr r="AK63" s="1"/>
      </tp>
      <tp t="e">
        <v>#N/A</v>
        <stp/>
        <stp>BDP|9239919462689665672</stp>
        <tr r="AS129" s="3"/>
        <tr r="AS129" s="3"/>
        <tr r="AS129" s="3"/>
        <tr r="AS128" s="3"/>
        <tr r="AS128" s="3"/>
        <tr r="AS128" s="3"/>
        <tr r="AS127" s="3"/>
        <tr r="AS127" s="3"/>
        <tr r="AS127" s="3"/>
        <tr r="AS126" s="3"/>
        <tr r="AS126" s="3"/>
        <tr r="AS126" s="3"/>
        <tr r="AS125" s="3"/>
        <tr r="AS125" s="3"/>
        <tr r="AS125" s="3"/>
        <tr r="AS124" s="3"/>
        <tr r="AS124" s="3"/>
        <tr r="AS124" s="3"/>
        <tr r="AS123" s="3"/>
        <tr r="AS123" s="3"/>
        <tr r="AS123" s="3"/>
        <tr r="AS122" s="3"/>
        <tr r="AS122" s="3"/>
        <tr r="AS122" s="3"/>
        <tr r="AS121" s="3"/>
        <tr r="AS121" s="3"/>
        <tr r="AS121" s="3"/>
        <tr r="AS120" s="3"/>
        <tr r="AS120" s="3"/>
        <tr r="AS120" s="3"/>
      </tp>
      <tp t="e">
        <v>#N/A</v>
        <stp/>
        <stp>BDP|6439903732324742119</stp>
        <tr r="V107" s="1"/>
      </tp>
      <tp t="e">
        <v>#N/A</v>
        <stp/>
        <stp>BDP|9296094587890944850</stp>
        <tr r="I114" s="3"/>
        <tr r="I114" s="3"/>
        <tr r="I114" s="3"/>
        <tr r="I113" s="3"/>
        <tr r="I113" s="3"/>
        <tr r="I113" s="3"/>
        <tr r="I112" s="3"/>
        <tr r="I112" s="3"/>
        <tr r="I112" s="3"/>
      </tp>
      <tp t="e">
        <v>#N/A</v>
        <stp/>
        <stp>BDP|2922211599393914386</stp>
        <tr r="E56" s="1"/>
      </tp>
      <tp t="e">
        <v>#N/A</v>
        <stp/>
        <stp>BDP|2783377781331829186</stp>
        <tr r="AE44" s="1"/>
      </tp>
      <tp t="e">
        <v>#N/A</v>
        <stp/>
        <stp>BDP|9515852925539085345</stp>
        <tr r="F115" s="3"/>
      </tp>
      <tp t="e">
        <v>#N/A</v>
        <stp/>
        <stp>BDP|3358726720967124819</stp>
        <tr r="AS8" s="1"/>
        <tr r="AS106" s="1"/>
      </tp>
      <tp t="e">
        <v>#N/A</v>
        <stp/>
        <stp>BDP|4903885952408461862</stp>
        <tr r="AP129" s="3"/>
        <tr r="AP129" s="3"/>
        <tr r="AP129" s="3"/>
        <tr r="AP128" s="3"/>
        <tr r="AP128" s="3"/>
        <tr r="AP128" s="3"/>
        <tr r="AP127" s="3"/>
        <tr r="AP127" s="3"/>
        <tr r="AP127" s="3"/>
        <tr r="AP126" s="3"/>
        <tr r="AP126" s="3"/>
        <tr r="AP126" s="3"/>
        <tr r="AP125" s="3"/>
        <tr r="AP125" s="3"/>
        <tr r="AP125" s="3"/>
        <tr r="AP124" s="3"/>
        <tr r="AP124" s="3"/>
        <tr r="AP124" s="3"/>
        <tr r="AP123" s="3"/>
        <tr r="AP123" s="3"/>
        <tr r="AP123" s="3"/>
        <tr r="AP122" s="3"/>
        <tr r="AP122" s="3"/>
        <tr r="AP122" s="3"/>
        <tr r="AP121" s="3"/>
        <tr r="AP121" s="3"/>
        <tr r="AP121" s="3"/>
        <tr r="AP120" s="3"/>
        <tr r="AP120" s="3"/>
        <tr r="AP120" s="3"/>
      </tp>
      <tp t="e">
        <v>#N/A</v>
        <stp/>
        <stp>BDP|6772337197183678641</stp>
        <tr r="M17" s="1"/>
        <tr r="M17" s="1"/>
        <tr r="M112" s="1"/>
        <tr r="M112" s="1"/>
      </tp>
      <tp t="e">
        <v>#N/A</v>
        <stp/>
        <stp>BDP|5884098191346032360</stp>
        <tr r="AE12" s="1"/>
      </tp>
      <tp t="e">
        <v>#N/A</v>
        <stp/>
        <stp>BDP|3730852924660230020</stp>
        <tr r="Z46" s="1"/>
        <tr r="Z144" s="1"/>
        <tr r="Z134" s="1"/>
      </tp>
      <tp t="e">
        <v>#N/A</v>
        <stp/>
        <stp>BDP|8588279546224546369</stp>
        <tr r="W150" s="1"/>
        <tr r="W122" s="1"/>
      </tp>
      <tp t="e">
        <v>#N/A</v>
        <stp/>
        <stp>BDP|1156010026142867893</stp>
        <tr r="AL85" s="1"/>
      </tp>
      <tp t="e">
        <v>#N/A</v>
        <stp/>
        <stp>BDP|5365372799147938137</stp>
        <tr r="L34" s="3"/>
        <tr r="L33" s="3"/>
        <tr r="L32" s="3"/>
        <tr r="L31" s="3"/>
        <tr r="L30" s="3"/>
        <tr r="L29" s="3"/>
        <tr r="L28" s="3"/>
        <tr r="L27" s="3"/>
        <tr r="L26" s="3"/>
        <tr r="L25" s="3"/>
        <tr r="L24" s="3"/>
        <tr r="L23" s="3"/>
        <tr r="L22" s="3"/>
        <tr r="L21" s="3"/>
        <tr r="L20" s="3"/>
        <tr r="L19" s="3"/>
        <tr r="L18" s="3"/>
        <tr r="L17" s="3"/>
      </tp>
      <tp t="e">
        <v>#N/A</v>
        <stp/>
        <stp>BDP|7152877766819621918</stp>
        <tr r="X46" s="1"/>
        <tr r="X144" s="1"/>
        <tr r="X134" s="1"/>
      </tp>
      <tp t="e">
        <v>#N/A</v>
        <stp/>
        <stp>BDP|3623771206919423470</stp>
        <tr r="Y145" s="1"/>
        <tr r="Y136" s="1"/>
      </tp>
      <tp t="e">
        <v>#N/A</v>
        <stp/>
        <stp>BDP|1449150736229611358</stp>
        <tr r="H66" s="1"/>
        <tr r="H66" s="1"/>
        <tr r="H49" s="1"/>
        <tr r="H49" s="1"/>
        <tr r="H42" s="1"/>
        <tr r="H42" s="1"/>
      </tp>
      <tp t="e">
        <v>#N/A</v>
        <stp/>
        <stp>BDP|8665219526574183543</stp>
        <tr r="L110" s="1"/>
        <tr r="L110" s="1"/>
        <tr r="AS110" s="1"/>
      </tp>
      <tp t="e">
        <v>#N/A</v>
        <stp/>
        <stp>BDP|2683216722082648978</stp>
        <tr r="AE67" s="1"/>
        <tr r="AE43" s="1"/>
        <tr r="AE30" s="1"/>
        <tr r="AE3" s="1"/>
        <tr r="AE21" s="1"/>
        <tr r="AE166" s="1"/>
        <tr r="AE147" s="1"/>
        <tr r="AE125" s="1"/>
        <tr r="AE114" s="1"/>
      </tp>
      <tp t="e">
        <v>#N/A</v>
        <stp/>
        <stp>BDP|1678413092393049600</stp>
        <tr r="V34" s="1"/>
        <tr r="V156" s="1"/>
      </tp>
      <tp t="e">
        <v>#N/A</v>
        <stp/>
        <stp>BDP|4432774413733212875</stp>
        <tr r="AM20" s="1"/>
        <tr r="AM20" s="1"/>
      </tp>
      <tp t="e">
        <v>#N/A</v>
        <stp/>
        <stp>BDP|1013437133048283778</stp>
        <tr r="AU60" s="1"/>
        <tr r="AU60" s="1"/>
        <tr r="AU60" s="1"/>
        <tr r="AU4" s="1"/>
        <tr r="AU4" s="1"/>
        <tr r="AU4" s="1"/>
        <tr r="AU25" s="1"/>
        <tr r="AU25" s="1"/>
        <tr r="AU25" s="1"/>
        <tr r="AU75" s="1"/>
        <tr r="AU75" s="1"/>
        <tr r="AU75" s="1"/>
        <tr r="AU40" s="1"/>
        <tr r="AU40" s="1"/>
        <tr r="AU40" s="1"/>
        <tr r="AU163" s="1"/>
        <tr r="AU163" s="1"/>
        <tr r="AU163" s="1"/>
        <tr r="AU117" s="1"/>
        <tr r="AU117" s="1"/>
        <tr r="AU117" s="1"/>
        <tr r="AU97" s="1"/>
        <tr r="AU97" s="1"/>
        <tr r="AU97" s="1"/>
      </tp>
    </main>
    <main first="bloomberg.rtd">
      <tp t="s">
        <v>Health Care</v>
        <stp/>
        <stp>##V3_BDPV12</stp>
        <stp>MRK US Equity</stp>
        <stp>DX202</stp>
        <stp>[DPM - Securities Master List (BBG Linked).xlsx]Equities!R169C8</stp>
        <tr r="H169" s="2"/>
        <tr r="H169" s="2"/>
        <tr r="H169" s="2"/>
      </tp>
      <tp t="s">
        <v>Health Care</v>
        <stp/>
        <stp>##V3_BDPV12</stp>
        <stp>MRK US Equity</stp>
        <stp>DX202</stp>
        <stp>[DPM - Securities Master List (BBG Linked).xlsx]Equities!R159C8</stp>
        <tr r="H159" s="2"/>
        <tr r="H159" s="2"/>
        <tr r="H159" s="2"/>
      </tp>
      <tp t="s">
        <v>Energy</v>
        <stp/>
        <stp>##V3_BDPV12</stp>
        <stp>TTE FP Equity</stp>
        <stp>DX202</stp>
        <stp>[DPM - Securities Master List (BBG Linked).xlsx]Equities!R283C8</stp>
        <tr r="H283" s="2"/>
        <tr r="H283" s="2"/>
        <tr r="H283" s="2"/>
      </tp>
      <tp>
        <v>10708</v>
        <stp/>
        <stp>##V3_BDPV12</stp>
        <stp>AZN LN Equity</stp>
        <stp>PX_LAST</stp>
        <stp>[DPM - Securities Master List (BBG Linked).xlsx]Equities!R60C17</stp>
        <tr r="Q60" s="2"/>
      </tp>
      <tp>
        <v>10708</v>
        <stp/>
        <stp>##V3_BDPV12</stp>
        <stp>AZN LN Equity</stp>
        <stp>PX_LAST</stp>
        <stp>[DPM - Securities Master List (BBG Linked).xlsx]Equities!R61C17</stp>
        <tr r="Q61" s="2"/>
      </tp>
      <tp>
        <v>10708</v>
        <stp/>
        <stp>##V3_BDPV12</stp>
        <stp>AZN LN Equity</stp>
        <stp>PX_LAST</stp>
        <stp>[DPM - Securities Master List (BBG Linked).xlsx]Equities!R54C17</stp>
        <tr r="Q54" s="2"/>
      </tp>
      <tp>
        <v>10708</v>
        <stp/>
        <stp>##V3_BDPV12</stp>
        <stp>AZN LN Equity</stp>
        <stp>PX_LAST</stp>
        <stp>[DPM - Securities Master List (BBG Linked).xlsx]Equities!R55C17</stp>
        <tr r="Q55" s="2"/>
      </tp>
      <tp>
        <v>10708</v>
        <stp/>
        <stp>##V3_BDPV12</stp>
        <stp>AZN LN Equity</stp>
        <stp>PX_LAST</stp>
        <stp>[DPM - Securities Master List (BBG Linked).xlsx]Equities!R56C17</stp>
        <tr r="Q56" s="2"/>
      </tp>
      <tp>
        <v>10708</v>
        <stp/>
        <stp>##V3_BDPV12</stp>
        <stp>AZN LN Equity</stp>
        <stp>PX_LAST</stp>
        <stp>[DPM - Securities Master List (BBG Linked).xlsx]Equities!R57C17</stp>
        <tr r="Q57" s="2"/>
      </tp>
      <tp>
        <v>10708</v>
        <stp/>
        <stp>##V3_BDPV12</stp>
        <stp>AZN LN Equity</stp>
        <stp>PX_LAST</stp>
        <stp>[DPM - Securities Master List (BBG Linked).xlsx]Equities!R51C17</stp>
        <tr r="Q51" s="2"/>
      </tp>
      <tp>
        <v>10708</v>
        <stp/>
        <stp>##V3_BDPV12</stp>
        <stp>AZN LN Equity</stp>
        <stp>PX_LAST</stp>
        <stp>[DPM - Securities Master List (BBG Linked).xlsx]Equities!R52C17</stp>
        <tr r="Q52" s="2"/>
      </tp>
      <tp>
        <v>10708</v>
        <stp/>
        <stp>##V3_BDPV12</stp>
        <stp>AZN LN Equity</stp>
        <stp>PX_LAST</stp>
        <stp>[DPM - Securities Master List (BBG Linked).xlsx]Equities!R53C17</stp>
        <tr r="Q53" s="2"/>
      </tp>
      <tp>
        <v>10708</v>
        <stp/>
        <stp>##V3_BDPV12</stp>
        <stp>AZN LN Equity</stp>
        <stp>PX_LAST</stp>
        <stp>[DPM - Securities Master List (BBG Linked).xlsx]Equities!R58C17</stp>
        <tr r="Q58" s="2"/>
      </tp>
      <tp>
        <v>10708</v>
        <stp/>
        <stp>##V3_BDPV12</stp>
        <stp>AZN LN Equity</stp>
        <stp>PX_LAST</stp>
        <stp>[DPM - Securities Master List (BBG Linked).xlsx]Equities!R59C17</stp>
        <tr r="Q59" s="2"/>
      </tp>
      <tp>
        <v>21.102777481079102</v>
        <stp/>
        <stp>##V3_BDPV12</stp>
        <stp>INTC US Equity</stp>
        <stp>BEST_TARGET_PRICE</stp>
        <stp>[DPM - Securities Master List (BBG Linked).xlsx]Equities!R146C38</stp>
        <tr r="AL146" s="2"/>
      </tp>
      <tp>
        <v>21.102777481079102</v>
        <stp/>
        <stp>##V3_BDPV12</stp>
        <stp>INTC US Equity</stp>
        <stp>BEST_TARGET_PRICE</stp>
        <stp>[DPM - Securities Master List (BBG Linked).xlsx]Equities!R147C38</stp>
        <tr r="AL147" s="2"/>
      </tp>
      <tp>
        <v>21.102777481079102</v>
        <stp/>
        <stp>##V3_BDPV12</stp>
        <stp>INTC US Equity</stp>
        <stp>BEST_TARGET_PRICE</stp>
        <stp>[DPM - Securities Master List (BBG Linked).xlsx]Equities!R148C38</stp>
        <tr r="AL148" s="2"/>
      </tp>
      <tp>
        <v>700.55828857421875</v>
        <stp/>
        <stp>##V3_BDPV12</stp>
        <stp>META US Equity</stp>
        <stp>BEST_TARGET_PRICE</stp>
        <stp>[DPM - Securities Master List (BBG Linked).xlsx]Equities!R156C38</stp>
        <tr r="AL156" s="2"/>
      </tp>
      <tp>
        <v>-0.37750590000000001</v>
        <stp/>
        <stp>##V3_BDPV12</stp>
        <stp>ON US Equity</stp>
        <stp>CHG_PCT_1D</stp>
        <stp>[DPM - Securities Master List (BBG Linked).xlsx]Equities!R226C22</stp>
        <tr r="V226" s="2"/>
      </tp>
      <tp t="s">
        <v>Information Technology</v>
        <stp/>
        <stp>##V3_BDPV12</stp>
        <stp>MSFT US Equity</stp>
        <stp>DX202</stp>
        <stp>[DPM - Securities Master List (BBG Linked).xlsx]Equities!R185C8</stp>
        <tr r="H185" s="2"/>
        <tr r="H185" s="2"/>
        <tr r="H185" s="2"/>
      </tp>
      <tp t="s">
        <v>Information Technology</v>
        <stp/>
        <stp>##V3_BDPV12</stp>
        <stp>MSFT US Equity</stp>
        <stp>DX202</stp>
        <stp>[DPM - Securities Master List (BBG Linked).xlsx]Equities!R175C8</stp>
        <tr r="H175" s="2"/>
        <tr r="H175" s="2"/>
        <tr r="H175" s="2"/>
      </tp>
      <tp t="s">
        <v>Communication Services</v>
        <stp/>
        <stp>##V3_BDPV12</stp>
        <stp>9888 HK Equity</stp>
        <stp>DX202</stp>
        <stp>[DPM - Securities Master List (BBG Linked).xlsx]Equities!R24C46</stp>
        <tr r="AT24" s="2"/>
        <tr r="AT24" s="2"/>
        <tr r="AT24" s="2"/>
      </tp>
      <tp t="s">
        <v>Communication Services</v>
        <stp/>
        <stp>##V3_BDPV12</stp>
        <stp>9888 HK Equity</stp>
        <stp>DX202</stp>
        <stp>[DPM - Securities Master List (BBG Linked).xlsx]Equities!R25C46</stp>
        <tr r="AT25" s="2"/>
        <tr r="AT25" s="2"/>
        <tr r="AT25" s="2"/>
      </tp>
      <tp t="s">
        <v>Communication Services</v>
        <stp/>
        <stp>##V3_BDPV12</stp>
        <stp>9888 HK Equity</stp>
        <stp>DX202</stp>
        <stp>[DPM - Securities Master List (BBG Linked).xlsx]Equities!R26C46</stp>
        <tr r="AT26" s="2"/>
        <tr r="AT26" s="2"/>
        <tr r="AT26" s="2"/>
      </tp>
      <tp t="s">
        <v>Communication Services</v>
        <stp/>
        <stp>##V3_BDPV12</stp>
        <stp>9888 HK Equity</stp>
        <stp>DX202</stp>
        <stp>[DPM - Securities Master List (BBG Linked).xlsx]Equities!R27C46</stp>
        <tr r="AT27" s="2"/>
        <tr r="AT27" s="2"/>
        <tr r="AT27" s="2"/>
      </tp>
      <tp t="s">
        <v>Communication Services</v>
        <stp/>
        <stp>##V3_BDPV12</stp>
        <stp>9888 HK Equity</stp>
        <stp>DX202</stp>
        <stp>[DPM - Securities Master List (BBG Linked).xlsx]Equities!R20C46</stp>
        <tr r="AT20" s="2"/>
        <tr r="AT20" s="2"/>
        <tr r="AT20" s="2"/>
      </tp>
      <tp t="s">
        <v>Communication Services</v>
        <stp/>
        <stp>##V3_BDPV12</stp>
        <stp>9888 HK Equity</stp>
        <stp>DX202</stp>
        <stp>[DPM - Securities Master List (BBG Linked).xlsx]Equities!R21C46</stp>
        <tr r="AT21" s="2"/>
        <tr r="AT21" s="2"/>
        <tr r="AT21" s="2"/>
      </tp>
      <tp t="s">
        <v>Communication Services</v>
        <stp/>
        <stp>##V3_BDPV12</stp>
        <stp>9888 HK Equity</stp>
        <stp>DX202</stp>
        <stp>[DPM - Securities Master List (BBG Linked).xlsx]Equities!R22C46</stp>
        <tr r="AT22" s="2"/>
        <tr r="AT22" s="2"/>
        <tr r="AT22" s="2"/>
      </tp>
      <tp t="s">
        <v>Communication Services</v>
        <stp/>
        <stp>##V3_BDPV12</stp>
        <stp>9888 HK Equity</stp>
        <stp>DX202</stp>
        <stp>[DPM - Securities Master List (BBG Linked).xlsx]Equities!R23C46</stp>
        <tr r="AT23" s="2"/>
        <tr r="AT23" s="2"/>
        <tr r="AT23" s="2"/>
      </tp>
      <tp t="s">
        <v>Communication Services</v>
        <stp/>
        <stp>##V3_BDPV12</stp>
        <stp>9888 HK Equity</stp>
        <stp>DX202</stp>
        <stp>[DPM - Securities Master List (BBG Linked).xlsx]Equities!R18C46</stp>
        <tr r="AT18" s="2"/>
        <tr r="AT18" s="2"/>
        <tr r="AT18" s="2"/>
      </tp>
      <tp t="s">
        <v>Communication Services</v>
        <stp/>
        <stp>##V3_BDPV12</stp>
        <stp>9888 HK Equity</stp>
        <stp>DX202</stp>
        <stp>[DPM - Securities Master List (BBG Linked).xlsx]Equities!R19C46</stp>
        <tr r="AT19" s="2"/>
        <tr r="AT19" s="2"/>
        <tr r="AT19" s="2"/>
      </tp>
      <tp t="s">
        <v>Communication Services</v>
        <stp/>
        <stp>##V3_BDPV12</stp>
        <stp>9888 HK Equity</stp>
        <stp>DX202</stp>
        <stp>[DPM - Securities Master List (BBG Linked).xlsx]Equities!R15C46</stp>
        <tr r="AT15" s="2"/>
        <tr r="AT15" s="2"/>
        <tr r="AT15" s="2"/>
      </tp>
      <tp t="s">
        <v>Communication Services</v>
        <stp/>
        <stp>##V3_BDPV12</stp>
        <stp>9888 HK Equity</stp>
        <stp>DX202</stp>
        <stp>[DPM - Securities Master List (BBG Linked).xlsx]Equities!R16C46</stp>
        <tr r="AT16" s="2"/>
        <tr r="AT16" s="2"/>
        <tr r="AT16" s="2"/>
      </tp>
      <tp t="s">
        <v>Communication Services</v>
        <stp/>
        <stp>##V3_BDPV12</stp>
        <stp>9888 HK Equity</stp>
        <stp>DX202</stp>
        <stp>[DPM - Securities Master List (BBG Linked).xlsx]Equities!R17C46</stp>
        <tr r="AT17" s="2"/>
        <tr r="AT17" s="2"/>
        <tr r="AT17" s="2"/>
      </tp>
      <tp>
        <v>4.4242424964904785</v>
        <stp/>
        <stp>##V3_BDPV12</stp>
        <stp>9888 HK Equity</stp>
        <stp>EE201</stp>
        <stp>[DPM - Securities Master List (BBG Linked).xlsx]Equities!R15C37</stp>
        <tr r="AK15" s="2"/>
        <tr r="AK15" s="2"/>
        <tr r="AK15" s="2"/>
      </tp>
      <tp>
        <v>4.4242424964904785</v>
        <stp/>
        <stp>##V3_BDPV12</stp>
        <stp>9888 HK Equity</stp>
        <stp>EE201</stp>
        <stp>[DPM - Securities Master List (BBG Linked).xlsx]Equities!R17C37</stp>
        <tr r="AK17" s="2"/>
        <tr r="AK17" s="2"/>
        <tr r="AK17" s="2"/>
      </tp>
      <tp>
        <v>4.4242424964904785</v>
        <stp/>
        <stp>##V3_BDPV12</stp>
        <stp>9888 HK Equity</stp>
        <stp>EE201</stp>
        <stp>[DPM - Securities Master List (BBG Linked).xlsx]Equities!R16C37</stp>
        <tr r="AK16" s="2"/>
        <tr r="AK16" s="2"/>
        <tr r="AK16" s="2"/>
      </tp>
      <tp>
        <v>4.4242424964904785</v>
        <stp/>
        <stp>##V3_BDPV12</stp>
        <stp>9888 HK Equity</stp>
        <stp>EE201</stp>
        <stp>[DPM - Securities Master List (BBG Linked).xlsx]Equities!R19C37</stp>
        <tr r="AK19" s="2"/>
        <tr r="AK19" s="2"/>
        <tr r="AK19" s="2"/>
      </tp>
      <tp>
        <v>4.4242424964904785</v>
        <stp/>
        <stp>##V3_BDPV12</stp>
        <stp>9888 HK Equity</stp>
        <stp>EE201</stp>
        <stp>[DPM - Securities Master List (BBG Linked).xlsx]Equities!R18C37</stp>
        <tr r="AK18" s="2"/>
        <tr r="AK18" s="2"/>
        <tr r="AK18" s="2"/>
      </tp>
      <tp>
        <v>4.4242424964904785</v>
        <stp/>
        <stp>##V3_BDPV12</stp>
        <stp>9888 HK Equity</stp>
        <stp>EE201</stp>
        <stp>[DPM - Securities Master List (BBG Linked).xlsx]Equities!R21C37</stp>
        <tr r="AK21" s="2"/>
        <tr r="AK21" s="2"/>
        <tr r="AK21" s="2"/>
      </tp>
      <tp>
        <v>4.4242424964904785</v>
        <stp/>
        <stp>##V3_BDPV12</stp>
        <stp>9888 HK Equity</stp>
        <stp>EE201</stp>
        <stp>[DPM - Securities Master List (BBG Linked).xlsx]Equities!R20C37</stp>
        <tr r="AK20" s="2"/>
        <tr r="AK20" s="2"/>
        <tr r="AK20" s="2"/>
      </tp>
      <tp>
        <v>4.4242424964904785</v>
        <stp/>
        <stp>##V3_BDPV12</stp>
        <stp>9888 HK Equity</stp>
        <stp>EE201</stp>
        <stp>[DPM - Securities Master List (BBG Linked).xlsx]Equities!R23C37</stp>
        <tr r="AK23" s="2"/>
        <tr r="AK23" s="2"/>
        <tr r="AK23" s="2"/>
      </tp>
      <tp>
        <v>4.4242424964904785</v>
        <stp/>
        <stp>##V3_BDPV12</stp>
        <stp>9888 HK Equity</stp>
        <stp>EE201</stp>
        <stp>[DPM - Securities Master List (BBG Linked).xlsx]Equities!R22C37</stp>
        <tr r="AK22" s="2"/>
        <tr r="AK22" s="2"/>
        <tr r="AK22" s="2"/>
      </tp>
      <tp>
        <v>4.4242424964904785</v>
        <stp/>
        <stp>##V3_BDPV12</stp>
        <stp>9888 HK Equity</stp>
        <stp>EE201</stp>
        <stp>[DPM - Securities Master List (BBG Linked).xlsx]Equities!R25C37</stp>
        <tr r="AK25" s="2"/>
        <tr r="AK25" s="2"/>
        <tr r="AK25" s="2"/>
      </tp>
      <tp>
        <v>4.4242424964904785</v>
        <stp/>
        <stp>##V3_BDPV12</stp>
        <stp>9888 HK Equity</stp>
        <stp>EE201</stp>
        <stp>[DPM - Securities Master List (BBG Linked).xlsx]Equities!R24C37</stp>
        <tr r="AK24" s="2"/>
        <tr r="AK24" s="2"/>
        <tr r="AK24" s="2"/>
      </tp>
      <tp>
        <v>4.4242424964904785</v>
        <stp/>
        <stp>##V3_BDPV12</stp>
        <stp>9888 HK Equity</stp>
        <stp>EE201</stp>
        <stp>[DPM - Securities Master List (BBG Linked).xlsx]Equities!R27C37</stp>
        <tr r="AK27" s="2"/>
        <tr r="AK27" s="2"/>
        <tr r="AK27" s="2"/>
      </tp>
      <tp>
        <v>4.4242424964904785</v>
        <stp/>
        <stp>##V3_BDPV12</stp>
        <stp>9888 HK Equity</stp>
        <stp>EE201</stp>
        <stp>[DPM - Securities Master List (BBG Linked).xlsx]Equities!R26C37</stp>
        <tr r="AK26" s="2"/>
        <tr r="AK26" s="2"/>
        <tr r="AK26" s="2"/>
      </tp>
      <tp>
        <v>6.2911529999999996</v>
        <stp/>
        <stp>##V3_BDPV12</stp>
        <stp>XS2542166744 isin</stp>
        <stp>YAS_BOND_YLD</stp>
        <stp>[DPM - Securities Master List (BBG Linked).xlsx]Bonds!R116C10</stp>
        <stp>YAS_YLD_FLAG=15</stp>
        <stp>user_local_trade_date</stp>
        <stp>45783</stp>
        <stp>Yas_bond_px</stp>
        <stp>102.236999999999995</stp>
        <tr r="J116" s="1"/>
      </tp>
      <tp>
        <v>6.2911529999999996</v>
        <stp/>
        <stp>##V3_BDPV12</stp>
        <stp>XS2542166744 isin</stp>
        <stp>YAS_BOND_YLD</stp>
        <stp>[DPM - Securities Master List (BBG Linked).xlsx]Bonds!R159C10</stp>
        <stp>YAS_YLD_FLAG=15</stp>
        <stp>user_local_trade_date</stp>
        <stp>45783</stp>
        <stp>Yas_bond_px</stp>
        <stp>102.236999999999995</stp>
        <tr r="J159" s="1"/>
      </tp>
      <tp>
        <v>16</v>
        <stp/>
        <stp>##V3_BDPV12</stp>
        <stp>DD US Equity</stp>
        <stp>TOT_BUY_REC</stp>
        <stp>[DPM - Securities Master List (BBG Linked).xlsx]Equities!R91C34</stp>
        <tr r="AH91" s="2"/>
      </tp>
    </main>
    <main first="bofaddin.rtdserver">
      <tp t="e">
        <v>#N/A</v>
        <stp/>
        <stp>BDP|8905145844012695555</stp>
        <tr r="AE141" s="1"/>
        <tr r="AE131" s="1"/>
      </tp>
      <tp t="e">
        <v>#N/A</v>
        <stp/>
        <stp>BDP|3684503071668528384</stp>
        <tr r="M96" s="1"/>
        <tr r="M96" s="1"/>
        <tr r="M77" s="1"/>
        <tr r="M77" s="1"/>
        <tr r="M65" s="1"/>
        <tr r="M65" s="1"/>
        <tr r="M36" s="1"/>
        <tr r="M36" s="1"/>
        <tr r="M27" s="1"/>
        <tr r="M27" s="1"/>
        <tr r="M162" s="1"/>
        <tr r="M162" s="1"/>
      </tp>
      <tp t="e">
        <v>#N/A</v>
        <stp/>
        <stp>BDP|2943029943725200906</stp>
        <tr r="AC96" s="3"/>
        <tr r="AC96" s="3"/>
        <tr r="AC96" s="3"/>
        <tr r="AC95" s="3"/>
        <tr r="AC95" s="3"/>
        <tr r="AC95" s="3"/>
      </tp>
      <tp t="e">
        <v>#N/A</v>
        <stp/>
        <stp>BDP|8813797403484987116</stp>
        <tr r="Q46" s="1"/>
        <tr r="Q144" s="1"/>
        <tr r="Q134" s="1"/>
      </tp>
      <tp t="e">
        <v>#N/A</v>
        <stp/>
        <stp>BDP|5844376946630199822</stp>
        <tr r="Q96" s="3"/>
        <tr r="Q95" s="3"/>
      </tp>
      <tp t="e">
        <v>#N/A</v>
        <stp/>
        <stp>BDP|1515208709038229144</stp>
        <tr r="AD159" s="1"/>
        <tr r="AD116" s="1"/>
        <tr r="AD70" s="1"/>
        <tr r="AD84" s="1"/>
      </tp>
      <tp t="e">
        <v>#N/A</v>
        <stp/>
        <stp>BDP|5778592204029753371</stp>
        <tr r="AT19" s="1"/>
      </tp>
      <tp t="e">
        <v>#N/A</v>
        <stp/>
        <stp>BDP|2500457915095914863</stp>
        <tr r="AT35" s="1"/>
        <tr r="AT24" s="1"/>
        <tr r="AT153" s="1"/>
      </tp>
      <tp t="e">
        <v>#N/A</v>
        <stp/>
        <stp>BDP|8167205005736861667</stp>
        <tr r="AM78" s="3"/>
        <tr r="AM78" s="3"/>
        <tr r="AM78" s="3"/>
        <tr r="AM77" s="3"/>
        <tr r="AM77" s="3"/>
        <tr r="AM77" s="3"/>
        <tr r="AM76" s="3"/>
        <tr r="AM76" s="3"/>
        <tr r="AM76" s="3"/>
        <tr r="AM75" s="3"/>
        <tr r="AM75" s="3"/>
        <tr r="AM75" s="3"/>
        <tr r="AM74" s="3"/>
        <tr r="AM74" s="3"/>
        <tr r="AM74" s="3"/>
        <tr r="AM73" s="3"/>
        <tr r="AM73" s="3"/>
        <tr r="AM73" s="3"/>
      </tp>
      <tp t="e">
        <v>#N/A</v>
        <stp/>
        <stp>BDP|4895121281292383527</stp>
        <tr r="H140" s="1"/>
        <tr r="H140" s="1"/>
        <tr r="H128" s="1"/>
        <tr r="H128" s="1"/>
      </tp>
      <tp t="e">
        <v>#N/A</v>
        <stp/>
        <stp>BDP|3183708088605276309</stp>
        <tr r="AO140" s="1"/>
        <tr r="AO128" s="1"/>
      </tp>
      <tp t="e">
        <v>#N/A</v>
        <stp/>
        <stp>BDP|9093202778647421145</stp>
        <tr r="Q114" s="3"/>
        <tr r="Q113" s="3"/>
        <tr r="Q112" s="3"/>
      </tp>
      <tp t="e">
        <v>#N/A</v>
        <stp/>
        <stp>BDP|2734865541045143196</stp>
        <tr r="AD34" s="1"/>
        <tr r="AD156" s="1"/>
      </tp>
      <tp t="e">
        <v>#N/A</v>
        <stp/>
        <stp>BDP|9863827526741129852</stp>
        <tr r="AL67" s="1"/>
        <tr r="AL43" s="1"/>
        <tr r="AL30" s="1"/>
        <tr r="AL3" s="1"/>
        <tr r="AL21" s="1"/>
        <tr r="AL166" s="1"/>
        <tr r="AL147" s="1"/>
        <tr r="AL125" s="1"/>
        <tr r="AL114" s="1"/>
      </tp>
      <tp t="e">
        <v>#N/A</v>
        <stp/>
        <stp>BDP|8278283131875129636</stp>
        <tr r="K103" s="1"/>
      </tp>
      <tp t="e">
        <v>#N/A</v>
        <stp/>
        <stp>BDP|4425680227972214871</stp>
        <tr r="Z103" s="1"/>
      </tp>
      <tp t="e">
        <v>#N/A</v>
        <stp/>
        <stp>BDP|8829518902474431316</stp>
        <tr r="AS68" s="1"/>
        <tr r="AS31" s="1"/>
        <tr r="L68" s="1"/>
        <tr r="L68" s="1"/>
        <tr r="L31" s="1"/>
        <tr r="L31" s="1"/>
      </tp>
      <tp t="e">
        <v>#N/A</v>
        <stp/>
        <stp>BDP|8931321541904335177</stp>
        <tr r="K15" s="1"/>
        <tr r="K109" s="1"/>
      </tp>
      <tp t="e">
        <v>#N/A</v>
        <stp/>
        <stp>BDP|4935045093556738170</stp>
        <tr r="Y99" s="1"/>
        <tr r="Y74" s="1"/>
        <tr r="Y61" s="1"/>
        <tr r="Y38" s="1"/>
        <tr r="Y23" s="1"/>
        <tr r="Y165" s="1"/>
        <tr r="Y16" s="1"/>
        <tr r="Y152" s="1"/>
        <tr r="Y146" s="1"/>
        <tr r="Y137" s="1"/>
        <tr r="Y119" s="1"/>
        <tr r="Y111" s="1"/>
      </tp>
      <tp t="e">
        <v>#N/A</v>
        <stp/>
        <stp>BDP|9236295730092764037</stp>
        <tr r="H16" s="1"/>
        <tr r="H99" s="1"/>
        <tr r="H146" s="1"/>
        <tr r="H74" s="1"/>
        <tr r="H137" s="1"/>
        <tr r="H38" s="1"/>
        <tr r="H111" s="1"/>
        <tr r="H23" s="1"/>
        <tr r="H165" s="1"/>
        <tr r="H61" s="1"/>
        <tr r="H152" s="1"/>
        <tr r="H119" s="1"/>
      </tp>
      <tp t="e">
        <v>#N/A</v>
        <stp/>
        <stp>BDP|5334613726199901219</stp>
        <tr r="AM96" s="1"/>
        <tr r="AM96" s="1"/>
        <tr r="AM77" s="1"/>
        <tr r="AM77" s="1"/>
        <tr r="AM65" s="1"/>
        <tr r="AM65" s="1"/>
        <tr r="AM36" s="1"/>
        <tr r="AM36" s="1"/>
        <tr r="AM27" s="1"/>
        <tr r="AM27" s="1"/>
        <tr r="AM162" s="1"/>
        <tr r="AM162" s="1"/>
      </tp>
      <tp t="e">
        <v>#N/A</v>
        <stp/>
        <stp>BDP|2920444197112462724</stp>
        <tr r="AI34" s="3"/>
        <tr r="AI34" s="3"/>
        <tr r="AI34" s="3"/>
        <tr r="AI33" s="3"/>
        <tr r="AI33" s="3"/>
        <tr r="AI33" s="3"/>
        <tr r="AI32" s="3"/>
        <tr r="AI32" s="3"/>
        <tr r="AI32" s="3"/>
        <tr r="AI31" s="3"/>
        <tr r="AI31" s="3"/>
        <tr r="AI31" s="3"/>
        <tr r="AI30" s="3"/>
        <tr r="AI30" s="3"/>
        <tr r="AI30" s="3"/>
        <tr r="AI29" s="3"/>
        <tr r="AI29" s="3"/>
        <tr r="AI29" s="3"/>
        <tr r="AI28" s="3"/>
        <tr r="AI28" s="3"/>
        <tr r="AI28" s="3"/>
        <tr r="AI27" s="3"/>
        <tr r="AI27" s="3"/>
        <tr r="AI27" s="3"/>
        <tr r="AI26" s="3"/>
        <tr r="AI26" s="3"/>
        <tr r="AI26" s="3"/>
        <tr r="AI25" s="3"/>
        <tr r="AI25" s="3"/>
        <tr r="AI25" s="3"/>
        <tr r="AI24" s="3"/>
        <tr r="AI24" s="3"/>
        <tr r="AI24" s="3"/>
        <tr r="AI23" s="3"/>
        <tr r="AI23" s="3"/>
        <tr r="AI23" s="3"/>
        <tr r="AI22" s="3"/>
        <tr r="AI22" s="3"/>
        <tr r="AI22" s="3"/>
        <tr r="AI21" s="3"/>
        <tr r="AI21" s="3"/>
        <tr r="AI21" s="3"/>
        <tr r="AI20" s="3"/>
        <tr r="AI20" s="3"/>
        <tr r="AI20" s="3"/>
        <tr r="AI19" s="3"/>
        <tr r="AI19" s="3"/>
        <tr r="AI19" s="3"/>
        <tr r="AI18" s="3"/>
        <tr r="AI18" s="3"/>
        <tr r="AI18" s="3"/>
        <tr r="AI17" s="3"/>
        <tr r="AI17" s="3"/>
        <tr r="AI17" s="3"/>
      </tp>
      <tp t="e">
        <v>#N/A</v>
        <stp/>
        <stp>BDP|8623045541757967162</stp>
        <tr r="L6" s="1"/>
        <tr r="L6" s="1"/>
        <tr r="AS6" s="1"/>
      </tp>
      <tp t="e">
        <v>#N/A</v>
        <stp/>
        <stp>BDP|2606792310278007623</stp>
        <tr r="E90" s="1"/>
      </tp>
      <tp t="e">
        <v>#N/A</v>
        <stp/>
        <stp>BDP|8579183723265500465</stp>
        <tr r="N93" s="1"/>
      </tp>
      <tp t="e">
        <v>#N/A</v>
        <stp/>
        <stp>BDP|2620780924795157866</stp>
        <tr r="L72" s="3"/>
        <tr r="L71" s="3"/>
        <tr r="L70" s="3"/>
        <tr r="L69" s="3"/>
        <tr r="L68" s="3"/>
        <tr r="L67" s="3"/>
        <tr r="L66" s="3"/>
        <tr r="L65" s="3"/>
      </tp>
      <tp t="e">
        <v>#N/A</v>
        <stp/>
        <stp>BDP|8777107874205964188</stp>
        <tr r="AA6" s="1"/>
      </tp>
      <tp t="e">
        <v>#N/A</v>
        <stp/>
        <stp>BDP|3760155443294377807</stp>
        <tr r="AQ72" s="3"/>
        <tr r="AQ72" s="3"/>
        <tr r="AQ72" s="3"/>
        <tr r="AQ71" s="3"/>
        <tr r="AQ71" s="3"/>
        <tr r="AQ71" s="3"/>
        <tr r="AQ70" s="3"/>
        <tr r="AQ70" s="3"/>
        <tr r="AQ70" s="3"/>
        <tr r="AQ69" s="3"/>
        <tr r="AQ69" s="3"/>
        <tr r="AQ69" s="3"/>
        <tr r="AQ68" s="3"/>
        <tr r="AQ68" s="3"/>
        <tr r="AQ68" s="3"/>
        <tr r="AQ67" s="3"/>
        <tr r="AQ67" s="3"/>
        <tr r="AQ67" s="3"/>
        <tr r="AQ66" s="3"/>
        <tr r="AQ66" s="3"/>
        <tr r="AQ66" s="3"/>
        <tr r="AQ65" s="3"/>
        <tr r="AQ65" s="3"/>
        <tr r="AQ65" s="3"/>
      </tp>
      <tp t="e">
        <v>#N/A</v>
        <stp/>
        <stp>BDP|3003207622100246938</stp>
        <tr r="I140" s="1"/>
        <tr r="I128" s="1"/>
      </tp>
      <tp t="e">
        <v>#N/A</v>
        <stp/>
        <stp>BDP|7328522409310940826</stp>
        <tr r="Z15" s="1"/>
        <tr r="Z109" s="1"/>
      </tp>
      <tp t="e">
        <v>#N/A</v>
        <stp/>
        <stp>BDP|4414036270799370075</stp>
        <tr r="AR111" s="3"/>
        <tr r="AR111" s="3"/>
        <tr r="AR111" s="3"/>
        <tr r="AR110" s="3"/>
        <tr r="AR110" s="3"/>
        <tr r="AR110" s="3"/>
        <tr r="AR109" s="3"/>
        <tr r="AR109" s="3"/>
        <tr r="AR109" s="3"/>
        <tr r="AR108" s="3"/>
        <tr r="AR108" s="3"/>
        <tr r="AR108" s="3"/>
        <tr r="AR107" s="3"/>
        <tr r="AR107" s="3"/>
        <tr r="AR107" s="3"/>
        <tr r="AR106" s="3"/>
        <tr r="AR106" s="3"/>
        <tr r="AR106" s="3"/>
        <tr r="AR105" s="3"/>
        <tr r="AR105" s="3"/>
        <tr r="AR105" s="3"/>
        <tr r="AR104" s="3"/>
        <tr r="AR104" s="3"/>
        <tr r="AR104" s="3"/>
      </tp>
      <tp t="e">
        <v>#N/A</v>
        <stp/>
        <stp>BDP|5218384569559433344</stp>
        <tr r="J119" s="3"/>
        <tr r="J119" s="3"/>
        <tr r="J118" s="3"/>
        <tr r="J118" s="3"/>
        <tr r="J117" s="3"/>
        <tr r="J117" s="3"/>
        <tr r="J116" s="3"/>
        <tr r="J116" s="3"/>
      </tp>
      <tp t="e">
        <v>#N/A</v>
        <stp/>
        <stp>BDP|8700041143180711678</stp>
        <tr r="N8" s="1"/>
        <tr r="N106" s="1"/>
      </tp>
      <tp t="e">
        <v>#N/A</v>
        <stp/>
        <stp>BDP|1214172426900330801</stp>
        <tr r="N32" s="1"/>
      </tp>
      <tp t="e">
        <v>#N/A</v>
        <stp/>
        <stp>BDP|1434803176200090420</stp>
        <tr r="X126" s="1"/>
      </tp>
      <tp t="e">
        <v>#N/A</v>
        <stp/>
        <stp>BDP|7691526730018739333</stp>
        <tr r="AP78" s="3"/>
        <tr r="AP78" s="3"/>
        <tr r="AP78" s="3"/>
        <tr r="AP77" s="3"/>
        <tr r="AP77" s="3"/>
        <tr r="AP77" s="3"/>
        <tr r="AP76" s="3"/>
        <tr r="AP76" s="3"/>
        <tr r="AP76" s="3"/>
        <tr r="AP75" s="3"/>
        <tr r="AP75" s="3"/>
        <tr r="AP75" s="3"/>
        <tr r="AP74" s="3"/>
        <tr r="AP74" s="3"/>
        <tr r="AP74" s="3"/>
        <tr r="AP73" s="3"/>
        <tr r="AP73" s="3"/>
        <tr r="AP73" s="3"/>
      </tp>
      <tp t="e">
        <v>#N/A</v>
        <stp/>
        <stp>BDP|3681199209868531038</stp>
        <tr r="AJ56" s="1"/>
        <tr r="AJ56" s="1"/>
      </tp>
      <tp t="e">
        <v>#N/A</v>
        <stp/>
        <stp>BDP|7368375454078615360</stp>
        <tr r="F18" s="1"/>
      </tp>
      <tp t="e">
        <v>#N/A</v>
        <stp/>
        <stp>BDP|2187059632792006963</stp>
        <tr r="H7" s="1"/>
        <tr r="H7" s="1"/>
        <tr r="H14" s="1"/>
        <tr r="H14" s="1"/>
        <tr r="H108" s="1"/>
        <tr r="H108" s="1"/>
      </tp>
      <tp t="e">
        <v>#N/A</v>
        <stp/>
        <stp>BDP|2301373205558397332</stp>
        <tr r="AU63" s="1"/>
        <tr r="AU63" s="1"/>
        <tr r="AU63" s="1"/>
      </tp>
      <tp t="e">
        <v>#N/A</v>
        <stp/>
        <stp>BDP|7237212981963390403</stp>
        <tr r="H20" s="1"/>
        <tr r="H20" s="1"/>
      </tp>
      <tp t="e">
        <v>#N/A</v>
        <stp/>
        <stp>BDP|7675405421612993983</stp>
        <tr r="AS84" s="1"/>
        <tr r="AS116" s="1"/>
        <tr r="AS70" s="1"/>
        <tr r="AS159" s="1"/>
      </tp>
      <tp t="e">
        <v>#N/A</v>
        <stp/>
        <stp>BDP|1103652319418864430</stp>
        <tr r="E103" s="1"/>
      </tp>
      <tp t="e">
        <v>#N/A</v>
        <stp/>
        <stp>BDP|8495503015955102363</stp>
        <tr r="I19" s="1"/>
      </tp>
      <tp t="e">
        <v>#N/A</v>
        <stp/>
        <stp>BDP|3050586594467202285</stp>
        <tr r="N96" s="3"/>
        <tr r="N96" s="3"/>
        <tr r="N96" s="3"/>
        <tr r="N95" s="3"/>
        <tr r="N95" s="3"/>
        <tr r="N95" s="3"/>
      </tp>
      <tp t="e">
        <v>#N/A</v>
        <stp/>
        <stp>BDP|6906769785654954746</stp>
        <tr r="X62" s="1"/>
        <tr r="X53" s="1"/>
        <tr r="X45" s="1"/>
        <tr r="X115" s="1"/>
      </tp>
      <tp t="e">
        <v>#N/A</v>
        <stp/>
        <stp>BDP|8818558761743848239</stp>
        <tr r="K50" s="3"/>
        <tr r="K49" s="3"/>
        <tr r="K48" s="3"/>
        <tr r="K47" s="3"/>
        <tr r="K46" s="3"/>
        <tr r="K45" s="3"/>
        <tr r="K44" s="3"/>
        <tr r="K43" s="3"/>
        <tr r="K42" s="3"/>
        <tr r="K41" s="3"/>
        <tr r="K40" s="3"/>
        <tr r="K39" s="3"/>
        <tr r="K38" s="3"/>
        <tr r="K37" s="3"/>
        <tr r="K36" s="3"/>
        <tr r="K35" s="3"/>
      </tp>
      <tp t="e">
        <v>#N/A</v>
        <stp/>
        <stp>BDP|4311837307513674566</stp>
        <tr r="AT107" s="1"/>
      </tp>
      <tp t="e">
        <v>#N/A</v>
        <stp/>
        <stp>BDP|3364871356437599332</stp>
        <tr r="AU148" s="1"/>
        <tr r="AU148" s="1"/>
        <tr r="AU148" s="1"/>
        <tr r="AU138" s="1"/>
        <tr r="AU138" s="1"/>
        <tr r="AU138" s="1"/>
      </tp>
      <tp t="e">
        <v>#N/A</v>
        <stp/>
        <stp>BDP|3064553898927138282</stp>
        <tr r="AM12" s="1"/>
        <tr r="AM12" s="1"/>
      </tp>
      <tp t="e">
        <v>#N/A</v>
        <stp/>
        <stp>BDP|8847363430306804425</stp>
        <tr r="AM90" s="1"/>
        <tr r="AM90" s="1"/>
      </tp>
      <tp t="e">
        <v>#N/A</v>
        <stp/>
        <stp>BDP|8802998961099067453</stp>
        <tr r="V80" s="1"/>
        <tr r="V58" s="1"/>
        <tr r="V28" s="1"/>
        <tr r="V161" s="1"/>
        <tr r="V121" s="1"/>
        <tr r="V10" s="1"/>
      </tp>
      <tp t="e">
        <v>#N/A</v>
        <stp/>
        <stp>BDP|8054939006169466247</stp>
        <tr r="I66" s="1"/>
        <tr r="I49" s="1"/>
        <tr r="I42" s="1"/>
      </tp>
      <tp t="e">
        <v>#N/A</v>
        <stp/>
        <stp>BDP|3024445883477142238</stp>
        <tr r="K69" s="1"/>
        <tr r="K57" s="1"/>
      </tp>
      <tp t="e">
        <v>#N/A</v>
        <stp/>
        <stp>BDP|7489176997967233235</stp>
        <tr r="AE88" s="1"/>
      </tp>
      <tp t="e">
        <v>#N/A</v>
        <stp/>
        <stp>BDP|3712233584667269477</stp>
        <tr r="N113" s="1"/>
      </tp>
      <tp t="e">
        <v>#N/A</v>
        <stp/>
        <stp>BDP|4512415423678108036</stp>
        <tr r="AS9" s="3"/>
        <tr r="AS9" s="3"/>
        <tr r="AS9" s="3"/>
        <tr r="AS8" s="3"/>
        <tr r="AS8" s="3"/>
        <tr r="AS8" s="3"/>
        <tr r="AS7" s="3"/>
        <tr r="AS7" s="3"/>
        <tr r="AS7" s="3"/>
        <tr r="AS6" s="3"/>
        <tr r="AS6" s="3"/>
        <tr r="AS6" s="3"/>
        <tr r="AS5" s="3"/>
        <tr r="AS5" s="3"/>
        <tr r="AS5" s="3"/>
        <tr r="AS4" s="3"/>
        <tr r="AS4" s="3"/>
        <tr r="AS4" s="3"/>
        <tr r="AS3" s="3"/>
        <tr r="AS3" s="3"/>
        <tr r="AS3" s="3"/>
        <tr r="AS15" s="3"/>
        <tr r="AS15" s="3"/>
        <tr r="AS15" s="3"/>
        <tr r="AS14" s="3"/>
        <tr r="AS14" s="3"/>
        <tr r="AS14" s="3"/>
        <tr r="AS13" s="3"/>
        <tr r="AS13" s="3"/>
        <tr r="AS13" s="3"/>
        <tr r="AS12" s="3"/>
        <tr r="AS12" s="3"/>
        <tr r="AS12" s="3"/>
        <tr r="AS11" s="3"/>
        <tr r="AS11" s="3"/>
        <tr r="AS11" s="3"/>
        <tr r="AS10" s="3"/>
        <tr r="AS10" s="3"/>
        <tr r="AS10" s="3"/>
      </tp>
      <tp t="e">
        <v>#N/A</v>
        <stp/>
        <stp>BDP|3938695366389161025</stp>
        <tr r="Z83" s="1"/>
        <tr r="Z50" s="1"/>
      </tp>
    </main>
    <main first="bloomberg.rtd">
      <tp t="s">
        <v>Energy</v>
        <stp/>
        <stp>##V3_BDPV12</stp>
        <stp>TTE FP Equity</stp>
        <stp>DX202</stp>
        <stp>[DPM - Securities Master List (BBG Linked).xlsx]Equities!R280C8</stp>
        <tr r="H280" s="2"/>
        <tr r="H280" s="2"/>
        <tr r="H280" s="2"/>
      </tp>
      <tp t="s">
        <v>Consumer Discretionary</v>
        <stp/>
        <stp>##V3_BDPV12</stp>
        <stp>NKE US Equity</stp>
        <stp>DX202</stp>
        <stp>[DPM - Securities Master List (BBG Linked).xlsx]Equities!R209C8</stp>
        <tr r="H209" s="2"/>
        <tr r="H209" s="2"/>
        <tr r="H209" s="2"/>
      </tp>
      <tp t="s">
        <v>Consumer Discretionary</v>
        <stp/>
        <stp>##V3_BDPV12</stp>
        <stp>NKE US Equity</stp>
        <stp>DX202</stp>
        <stp>[DPM - Securities Master List (BBG Linked).xlsx]Equities!R219C8</stp>
        <tr r="H219" s="2"/>
        <tr r="H219" s="2"/>
        <tr r="H219" s="2"/>
      </tp>
      <tp t="s">
        <v>Communication Services</v>
        <stp/>
        <stp>##V3_BDPV12</stp>
        <stp>DIS US Equity</stp>
        <stp>DX202</stp>
        <stp>[DPM - Securities Master List (BBG Linked).xlsx]Equities!R113C8</stp>
        <tr r="H113" s="2"/>
        <tr r="H113" s="2"/>
        <tr r="H113" s="2"/>
      </tp>
      <tp>
        <v>89.5</v>
        <stp/>
        <stp>##V3_BDPV12</stp>
        <stp>TCEHY US Equity</stp>
        <stp>BEST_TARGET_PRICE</stp>
        <stp>[DPM - Securities Master List (BBG Linked).xlsx]Equities!R259C38</stp>
        <tr r="AL259" s="2"/>
      </tp>
      <tp>
        <v>89.5</v>
        <stp/>
        <stp>##V3_BDPV12</stp>
        <stp>TCEHY US Equity</stp>
        <stp>BEST_TARGET_PRICE</stp>
        <stp>[DPM - Securities Master List (BBG Linked).xlsx]Equities!R260C38</stp>
        <tr r="AL260" s="2"/>
      </tp>
      <tp>
        <v>89.400001525878906</v>
        <stp/>
        <stp>##V3_BDPV12</stp>
        <stp>NESN SW Equity</stp>
        <stp>BEST_TARGET_PRICE</stp>
        <stp>[DPM - Securities Master List (BBG Linked).xlsx]Equities!R199C38</stp>
        <tr r="AL199" s="2"/>
      </tp>
      <tp>
        <v>89.400001525878906</v>
        <stp/>
        <stp>##V3_BDPV12</stp>
        <stp>NESN SW Equity</stp>
        <stp>BEST_TARGET_PRICE</stp>
        <stp>[DPM - Securities Master List (BBG Linked).xlsx]Equities!R198C38</stp>
        <tr r="AL198" s="2"/>
      </tp>
      <tp>
        <v>89.400001525878906</v>
        <stp/>
        <stp>##V3_BDPV12</stp>
        <stp>NESN SW Equity</stp>
        <stp>BEST_TARGET_PRICE</stp>
        <stp>[DPM - Securities Master List (BBG Linked).xlsx]Equities!R195C38</stp>
        <tr r="AL195" s="2"/>
      </tp>
      <tp>
        <v>89.400001525878906</v>
        <stp/>
        <stp>##V3_BDPV12</stp>
        <stp>NESN SW Equity</stp>
        <stp>BEST_TARGET_PRICE</stp>
        <stp>[DPM - Securities Master List (BBG Linked).xlsx]Equities!R194C38</stp>
        <tr r="AL194" s="2"/>
      </tp>
      <tp>
        <v>89.400001525878906</v>
        <stp/>
        <stp>##V3_BDPV12</stp>
        <stp>NESN SW Equity</stp>
        <stp>BEST_TARGET_PRICE</stp>
        <stp>[DPM - Securities Master List (BBG Linked).xlsx]Equities!R197C38</stp>
        <tr r="AL197" s="2"/>
      </tp>
      <tp>
        <v>89.400001525878906</v>
        <stp/>
        <stp>##V3_BDPV12</stp>
        <stp>NESN SW Equity</stp>
        <stp>BEST_TARGET_PRICE</stp>
        <stp>[DPM - Securities Master List (BBG Linked).xlsx]Equities!R196C38</stp>
        <tr r="AL196" s="2"/>
      </tp>
      <tp>
        <v>89.400001525878906</v>
        <stp/>
        <stp>##V3_BDPV12</stp>
        <stp>NESN SW Equity</stp>
        <stp>BEST_TARGET_PRICE</stp>
        <stp>[DPM - Securities Master List (BBG Linked).xlsx]Equities!R193C38</stp>
        <tr r="AL193" s="2"/>
      </tp>
      <tp>
        <v>89.400001525878906</v>
        <stp/>
        <stp>##V3_BDPV12</stp>
        <stp>NESN SW Equity</stp>
        <stp>BEST_TARGET_PRICE</stp>
        <stp>[DPM - Securities Master List (BBG Linked).xlsx]Equities!R205C38</stp>
        <tr r="AL205" s="2"/>
      </tp>
      <tp>
        <v>89.400001525878906</v>
        <stp/>
        <stp>##V3_BDPV12</stp>
        <stp>NESN SW Equity</stp>
        <stp>BEST_TARGET_PRICE</stp>
        <stp>[DPM - Securities Master List (BBG Linked).xlsx]Equities!R204C38</stp>
        <tr r="AL204" s="2"/>
      </tp>
      <tp>
        <v>89.400001525878906</v>
        <stp/>
        <stp>##V3_BDPV12</stp>
        <stp>NESN SW Equity</stp>
        <stp>BEST_TARGET_PRICE</stp>
        <stp>[DPM - Securities Master List (BBG Linked).xlsx]Equities!R201C38</stp>
        <tr r="AL201" s="2"/>
      </tp>
      <tp>
        <v>89.400001525878906</v>
        <stp/>
        <stp>##V3_BDPV12</stp>
        <stp>NESN SW Equity</stp>
        <stp>BEST_TARGET_PRICE</stp>
        <stp>[DPM - Securities Master List (BBG Linked).xlsx]Equities!R200C38</stp>
        <tr r="AL200" s="2"/>
      </tp>
      <tp>
        <v>89.400001525878906</v>
        <stp/>
        <stp>##V3_BDPV12</stp>
        <stp>NESN SW Equity</stp>
        <stp>BEST_TARGET_PRICE</stp>
        <stp>[DPM - Securities Master List (BBG Linked).xlsx]Equities!R203C38</stp>
        <tr r="AL203" s="2"/>
      </tp>
      <tp>
        <v>89.400001525878906</v>
        <stp/>
        <stp>##V3_BDPV12</stp>
        <stp>NESN SW Equity</stp>
        <stp>BEST_TARGET_PRICE</stp>
        <stp>[DPM - Securities Master List (BBG Linked).xlsx]Equities!R202C38</stp>
        <tr r="AL202" s="2"/>
      </tp>
      <tp t="s">
        <v>Information Technology</v>
        <stp/>
        <stp>##V3_BDPV12</stp>
        <stp>MSFT US Equity</stp>
        <stp>DX202</stp>
        <stp>[DPM - Securities Master List (BBG Linked).xlsx]Equities!R186C8</stp>
        <tr r="H186" s="2"/>
        <tr r="H186" s="2"/>
        <tr r="H186" s="2"/>
      </tp>
      <tp t="s">
        <v>Information Technology</v>
        <stp/>
        <stp>##V3_BDPV12</stp>
        <stp>MSFT US Equity</stp>
        <stp>DX202</stp>
        <stp>[DPM - Securities Master List (BBG Linked).xlsx]Equities!R176C8</stp>
        <tr r="H176" s="2"/>
        <tr r="H176" s="2"/>
        <tr r="H176" s="2"/>
      </tp>
      <tp t="s">
        <v>HKD</v>
        <stp/>
        <stp>##V3_BDPV12</stp>
        <stp>2020 HK Equity</stp>
        <stp>CRNCY</stp>
        <stp>[DPM - Securities Master List (BBG Linked).xlsx]Equities!R3C6</stp>
        <tr r="F3" s="2"/>
      </tp>
      <tp>
        <v>50</v>
        <stp/>
        <stp>##V3_BDPV12</stp>
        <stp>2020 HK Equity</stp>
        <stp>TOT_BUY_REC</stp>
        <stp>[DPM - Securities Master List (BBG Linked).xlsx]Equities!R3C34</stp>
        <tr r="AH3" s="2"/>
      </tp>
      <tp>
        <v>50</v>
        <stp/>
        <stp>##V3_BDPV12</stp>
        <stp>2020 HK Equity</stp>
        <stp>TOT_BUY_REC</stp>
        <stp>[DPM - Securities Master List (BBG Linked).xlsx]Equities!R6C34</stp>
        <tr r="AH6" s="2"/>
      </tp>
      <tp>
        <v>50</v>
        <stp/>
        <stp>##V3_BDPV12</stp>
        <stp>2020 HK Equity</stp>
        <stp>TOT_BUY_REC</stp>
        <stp>[DPM - Securities Master List (BBG Linked).xlsx]Equities!R4C34</stp>
        <tr r="AH4" s="2"/>
      </tp>
      <tp>
        <v>50</v>
        <stp/>
        <stp>##V3_BDPV12</stp>
        <stp>2020 HK Equity</stp>
        <stp>TOT_BUY_REC</stp>
        <stp>[DPM - Securities Master List (BBG Linked).xlsx]Equities!R5C34</stp>
        <tr r="AH5" s="2"/>
      </tp>
    </main>
    <main first="bofaddin.rtdserver">
      <tp t="e">
        <v>#N/A</v>
        <stp/>
        <stp>BDP|6586325446512285899</stp>
        <tr r="AQ16" s="3"/>
        <tr r="AQ16" s="3"/>
        <tr r="AQ16" s="3"/>
      </tp>
      <tp t="e">
        <v>#N/A</v>
        <stp/>
        <stp>BDP|4494385654079556073</stp>
        <tr r="AL44" s="1"/>
      </tp>
      <tp t="e">
        <v>#N/A</v>
        <stp/>
        <stp>BDP|2861010903920960996</stp>
        <tr r="V6" s="1"/>
      </tp>
      <tp t="e">
        <v>#N/A</v>
        <stp/>
        <stp>BDP|1214633889941280500</stp>
        <tr r="V63" s="1"/>
      </tp>
      <tp t="e">
        <v>#N/A</v>
        <stp/>
        <stp>BDP|5467309066733188895</stp>
        <tr r="AO92" s="1"/>
      </tp>
      <tp t="e">
        <v>#N/A</v>
        <stp/>
        <stp>BDP|8605001330414578495</stp>
        <tr r="AL140" s="1"/>
        <tr r="AL128" s="1"/>
      </tp>
      <tp t="e">
        <v>#N/A</v>
        <stp/>
        <stp>BDP|1961396570277223986</stp>
        <tr r="AK9" s="3"/>
        <tr r="AK9" s="3"/>
        <tr r="AK8" s="3"/>
        <tr r="AK8" s="3"/>
        <tr r="AK7" s="3"/>
        <tr r="AK7" s="3"/>
        <tr r="AK6" s="3"/>
        <tr r="AK6" s="3"/>
        <tr r="AK5" s="3"/>
        <tr r="AK5" s="3"/>
        <tr r="AK4" s="3"/>
        <tr r="AK4" s="3"/>
        <tr r="AK3" s="3"/>
        <tr r="AK3" s="3"/>
        <tr r="AK15" s="3"/>
        <tr r="AK15" s="3"/>
        <tr r="AK14" s="3"/>
        <tr r="AK14" s="3"/>
        <tr r="AK13" s="3"/>
        <tr r="AK13" s="3"/>
        <tr r="AK12" s="3"/>
        <tr r="AK12" s="3"/>
        <tr r="AK11" s="3"/>
        <tr r="AK11" s="3"/>
        <tr r="AK10" s="3"/>
        <tr r="AK10" s="3"/>
      </tp>
      <tp t="e">
        <v>#N/A</v>
        <stp/>
        <stp>BDP|7790172998654785040</stp>
        <tr r="AM63" s="3"/>
        <tr r="AM63" s="3"/>
        <tr r="AM63" s="3"/>
        <tr r="AM62" s="3"/>
        <tr r="AM62" s="3"/>
        <tr r="AM62" s="3"/>
        <tr r="AM61" s="3"/>
        <tr r="AM61" s="3"/>
        <tr r="AM61" s="3"/>
        <tr r="AM60" s="3"/>
        <tr r="AM60" s="3"/>
        <tr r="AM60" s="3"/>
        <tr r="AM59" s="3"/>
        <tr r="AM59" s="3"/>
        <tr r="AM59" s="3"/>
        <tr r="AM58" s="3"/>
        <tr r="AM58" s="3"/>
        <tr r="AM58" s="3"/>
        <tr r="AM57" s="3"/>
        <tr r="AM57" s="3"/>
        <tr r="AM57" s="3"/>
        <tr r="AM56" s="3"/>
        <tr r="AM56" s="3"/>
        <tr r="AM56" s="3"/>
        <tr r="AM55" s="3"/>
        <tr r="AM55" s="3"/>
        <tr r="AM55" s="3"/>
        <tr r="AM54" s="3"/>
        <tr r="AM54" s="3"/>
        <tr r="AM54" s="3"/>
        <tr r="AM53" s="3"/>
        <tr r="AM53" s="3"/>
        <tr r="AM53" s="3"/>
        <tr r="AM52" s="3"/>
        <tr r="AM52" s="3"/>
        <tr r="AM52" s="3"/>
        <tr r="AM51" s="3"/>
        <tr r="AM51" s="3"/>
        <tr r="AM51" s="3"/>
      </tp>
      <tp t="e">
        <v>#N/A</v>
        <stp/>
        <stp>BDP|4957207742401588866</stp>
        <tr r="Q115" s="3"/>
      </tp>
      <tp t="e">
        <v>#N/A</v>
        <stp/>
        <stp>BDP|4228790338152384980</stp>
        <tr r="AS13" s="1"/>
        <tr r="L13" s="1"/>
        <tr r="L13" s="1"/>
      </tp>
      <tp t="e">
        <v>#N/A</v>
        <stp/>
        <stp>BDP|7725787375489784552</stp>
        <tr r="AE4" s="1"/>
        <tr r="AE163" s="1"/>
        <tr r="AE75" s="1"/>
        <tr r="AE60" s="1"/>
        <tr r="AE40" s="1"/>
        <tr r="AE25" s="1"/>
        <tr r="AE97" s="1"/>
        <tr r="AE117" s="1"/>
      </tp>
      <tp t="e">
        <v>#N/A</v>
        <stp/>
        <stp>BDP|3387337302562954933</stp>
        <tr r="Q99" s="3"/>
        <tr r="Q98" s="3"/>
        <tr r="Q97" s="3"/>
      </tp>
      <tp t="e">
        <v>#N/A</v>
        <stp/>
        <stp>BDP|2142789130768502544</stp>
        <tr r="N148" s="1"/>
        <tr r="N138" s="1"/>
      </tp>
      <tp t="e">
        <v>#N/A</v>
        <stp/>
        <stp>BDP|2330643384275970225</stp>
        <tr r="BC34" s="3"/>
        <tr r="BC33" s="3"/>
        <tr r="BC32" s="3"/>
        <tr r="BC31" s="3"/>
        <tr r="BC30" s="3"/>
        <tr r="BC29" s="3"/>
        <tr r="BC28" s="3"/>
        <tr r="BC27" s="3"/>
        <tr r="BC26" s="3"/>
        <tr r="BC24" s="3"/>
        <tr r="BC23" s="3"/>
        <tr r="BC22" s="3"/>
        <tr r="BC21" s="3"/>
        <tr r="BC20" s="3"/>
        <tr r="BC19" s="3"/>
        <tr r="BC18" s="3"/>
        <tr r="BC17" s="3"/>
      </tp>
      <tp t="e">
        <v>#N/A</v>
        <stp/>
        <stp>BDP|6455836241169658899</stp>
        <tr r="AD139" s="1"/>
        <tr r="AD129" s="1"/>
      </tp>
      <tp t="e">
        <v>#N/A</v>
        <stp/>
        <stp>BDP|5823471809062897874</stp>
        <tr r="AL160" s="1"/>
      </tp>
      <tp t="e">
        <v>#N/A</v>
        <stp/>
        <stp>BDP|9051486651876591552</stp>
        <tr r="H150" s="1"/>
        <tr r="H150" s="1"/>
        <tr r="H122" s="1"/>
        <tr r="H122" s="1"/>
      </tp>
      <tp t="e">
        <v>#N/A</v>
        <stp/>
        <stp>BDP|1496125981280782395</stp>
        <tr r="AN63" s="3"/>
        <tr r="AN63" s="3"/>
        <tr r="AN63" s="3"/>
        <tr r="AN62" s="3"/>
        <tr r="AN62" s="3"/>
        <tr r="AN62" s="3"/>
        <tr r="AN61" s="3"/>
        <tr r="AN61" s="3"/>
        <tr r="AN61" s="3"/>
        <tr r="AN60" s="3"/>
        <tr r="AN60" s="3"/>
        <tr r="AN60" s="3"/>
        <tr r="AN59" s="3"/>
        <tr r="AN59" s="3"/>
        <tr r="AN59" s="3"/>
        <tr r="AN58" s="3"/>
        <tr r="AN58" s="3"/>
        <tr r="AN58" s="3"/>
        <tr r="AN57" s="3"/>
        <tr r="AN57" s="3"/>
        <tr r="AN57" s="3"/>
        <tr r="AN56" s="3"/>
        <tr r="AN56" s="3"/>
        <tr r="AN56" s="3"/>
        <tr r="AN55" s="3"/>
        <tr r="AN55" s="3"/>
        <tr r="AN55" s="3"/>
        <tr r="AN54" s="3"/>
        <tr r="AN54" s="3"/>
        <tr r="AN54" s="3"/>
        <tr r="AN53" s="3"/>
        <tr r="AN53" s="3"/>
        <tr r="AN53" s="3"/>
        <tr r="AN52" s="3"/>
        <tr r="AN52" s="3"/>
        <tr r="AN52" s="3"/>
        <tr r="AN51" s="3"/>
        <tr r="AN51" s="3"/>
        <tr r="AN51" s="3"/>
      </tp>
      <tp t="e">
        <v>#N/A</v>
        <stp/>
        <stp>BDP|2857859375844598248</stp>
        <tr r="H9" s="3"/>
        <tr r="H9" s="3"/>
        <tr r="H9" s="3"/>
        <tr r="H8" s="3"/>
        <tr r="H8" s="3"/>
        <tr r="H8" s="3"/>
        <tr r="H7" s="3"/>
        <tr r="H7" s="3"/>
        <tr r="H7" s="3"/>
        <tr r="H6" s="3"/>
        <tr r="H6" s="3"/>
        <tr r="H6" s="3"/>
        <tr r="H5" s="3"/>
        <tr r="H5" s="3"/>
        <tr r="H5" s="3"/>
        <tr r="H4" s="3"/>
        <tr r="H4" s="3"/>
        <tr r="H4" s="3"/>
        <tr r="H3" s="3"/>
        <tr r="H3" s="3"/>
        <tr r="H3" s="3"/>
        <tr r="H15" s="3"/>
        <tr r="H15" s="3"/>
        <tr r="H15" s="3"/>
        <tr r="H14" s="3"/>
        <tr r="H14" s="3"/>
        <tr r="H14" s="3"/>
        <tr r="H13" s="3"/>
        <tr r="H13" s="3"/>
        <tr r="H13" s="3"/>
        <tr r="H12" s="3"/>
        <tr r="H12" s="3"/>
        <tr r="H12" s="3"/>
        <tr r="H11" s="3"/>
        <tr r="H11" s="3"/>
        <tr r="H11" s="3"/>
        <tr r="H10" s="3"/>
        <tr r="H10" s="3"/>
        <tr r="H10" s="3"/>
      </tp>
      <tp t="e">
        <v>#N/A</v>
        <stp/>
        <stp>BDP|7534837313252589799</stp>
        <tr r="K54" s="1"/>
      </tp>
      <tp t="e">
        <v>#N/A</v>
        <stp/>
        <stp>BDP|6347143219894349932</stp>
        <tr r="Q68" s="1"/>
        <tr r="Q31" s="1"/>
      </tp>
      <tp t="e">
        <v>#N/A</v>
        <stp/>
        <stp>BDP|4837494745056394995</stp>
        <tr r="Q94" s="1"/>
        <tr r="Q151" s="1"/>
        <tr r="Q123" s="1"/>
        <tr r="Q101" s="1"/>
      </tp>
      <tp t="e">
        <v>#N/A</v>
        <stp/>
        <stp>BDP|3967884017483091285</stp>
        <tr r="AD63" s="3"/>
        <tr r="AD63" s="3"/>
        <tr r="AD63" s="3"/>
        <tr r="AD62" s="3"/>
        <tr r="AD62" s="3"/>
        <tr r="AD62" s="3"/>
        <tr r="AD61" s="3"/>
        <tr r="AD61" s="3"/>
        <tr r="AD61" s="3"/>
        <tr r="AD60" s="3"/>
        <tr r="AD60" s="3"/>
        <tr r="AD60" s="3"/>
        <tr r="AD59" s="3"/>
        <tr r="AD59" s="3"/>
        <tr r="AD59" s="3"/>
        <tr r="AD58" s="3"/>
        <tr r="AD58" s="3"/>
        <tr r="AD58" s="3"/>
        <tr r="AD57" s="3"/>
        <tr r="AD57" s="3"/>
        <tr r="AD57" s="3"/>
        <tr r="AD56" s="3"/>
        <tr r="AD56" s="3"/>
        <tr r="AD56" s="3"/>
        <tr r="AD55" s="3"/>
        <tr r="AD55" s="3"/>
        <tr r="AD55" s="3"/>
        <tr r="AD54" s="3"/>
        <tr r="AD54" s="3"/>
        <tr r="AD54" s="3"/>
        <tr r="AD53" s="3"/>
        <tr r="AD53" s="3"/>
        <tr r="AD53" s="3"/>
        <tr r="AD52" s="3"/>
        <tr r="AD52" s="3"/>
        <tr r="AD52" s="3"/>
        <tr r="AD51" s="3"/>
        <tr r="AD51" s="3"/>
        <tr r="AD51" s="3"/>
      </tp>
      <tp t="e">
        <v>#N/A</v>
        <stp/>
        <stp>BDP|8137630370222474085</stp>
        <tr r="AL92" s="1"/>
      </tp>
      <tp t="e">
        <v>#N/A</v>
        <stp/>
        <stp>BDP|8017059241714236397</stp>
        <tr r="AJ44" s="1"/>
        <tr r="AJ44" s="1"/>
      </tp>
      <tp t="e">
        <v>#N/A</v>
        <stp/>
        <stp>BDP|1758953296459346385</stp>
        <tr r="AF94" s="3"/>
        <tr r="AF94" s="3"/>
        <tr r="AF93" s="3"/>
        <tr r="AF93" s="3"/>
        <tr r="AF92" s="3"/>
        <tr r="AF92" s="3"/>
        <tr r="AF91" s="3"/>
        <tr r="AF91" s="3"/>
        <tr r="AF90" s="3"/>
        <tr r="AF90" s="3"/>
        <tr r="AF89" s="3"/>
        <tr r="AF89" s="3"/>
        <tr r="AF88" s="3"/>
        <tr r="AF88" s="3"/>
        <tr r="AF87" s="3"/>
        <tr r="AF87" s="3"/>
        <tr r="AF86" s="3"/>
        <tr r="AF86" s="3"/>
        <tr r="AF85" s="3"/>
        <tr r="AF85" s="3"/>
        <tr r="AF84" s="3"/>
        <tr r="AF84" s="3"/>
        <tr r="AF83" s="3"/>
        <tr r="AF83" s="3"/>
        <tr r="AF82" s="3"/>
        <tr r="AF82" s="3"/>
        <tr r="AF81" s="3"/>
        <tr r="AF81" s="3"/>
        <tr r="AF80" s="3"/>
        <tr r="AF80" s="3"/>
        <tr r="AF79" s="3"/>
        <tr r="AF79" s="3"/>
      </tp>
      <tp t="e">
        <v>#N/A</v>
        <stp/>
        <stp>BDP|1525426037795617897</stp>
        <tr r="H50" s="3"/>
        <tr r="H50" s="3"/>
        <tr r="H50" s="3"/>
        <tr r="H49" s="3"/>
        <tr r="H49" s="3"/>
        <tr r="H49" s="3"/>
        <tr r="H48" s="3"/>
        <tr r="H48" s="3"/>
        <tr r="H48" s="3"/>
        <tr r="H47" s="3"/>
        <tr r="H47" s="3"/>
        <tr r="H47" s="3"/>
        <tr r="H46" s="3"/>
        <tr r="H46" s="3"/>
        <tr r="H46" s="3"/>
        <tr r="H45" s="3"/>
        <tr r="H45" s="3"/>
        <tr r="H45" s="3"/>
        <tr r="H44" s="3"/>
        <tr r="H44" s="3"/>
        <tr r="H44" s="3"/>
        <tr r="H43" s="3"/>
        <tr r="H43" s="3"/>
        <tr r="H43" s="3"/>
        <tr r="H42" s="3"/>
        <tr r="H42" s="3"/>
        <tr r="H42" s="3"/>
        <tr r="H41" s="3"/>
        <tr r="H41" s="3"/>
        <tr r="H41" s="3"/>
        <tr r="H40" s="3"/>
        <tr r="H40" s="3"/>
        <tr r="H40" s="3"/>
        <tr r="H39" s="3"/>
        <tr r="H39" s="3"/>
        <tr r="H39" s="3"/>
        <tr r="H38" s="3"/>
        <tr r="H38" s="3"/>
        <tr r="H38" s="3"/>
        <tr r="H37" s="3"/>
        <tr r="H37" s="3"/>
        <tr r="H37" s="3"/>
        <tr r="H36" s="3"/>
        <tr r="H36" s="3"/>
        <tr r="H36" s="3"/>
        <tr r="H35" s="3"/>
        <tr r="H35" s="3"/>
        <tr r="H35" s="3"/>
      </tp>
      <tp t="e">
        <v>#N/A</v>
        <stp/>
        <stp>BDP|3491026409119524164</stp>
        <tr r="AL66" s="1"/>
        <tr r="AL49" s="1"/>
        <tr r="AL42" s="1"/>
      </tp>
      <tp t="e">
        <v>#N/A</v>
        <stp/>
        <stp>BDP|4031890635723120719</stp>
        <tr r="V52" s="1"/>
      </tp>
      <tp t="e">
        <v>#N/A</v>
        <stp/>
        <stp>BDP|1514360836979019386</stp>
        <tr r="AL97" s="1"/>
        <tr r="AL75" s="1"/>
        <tr r="AL60" s="1"/>
        <tr r="AL163" s="1"/>
        <tr r="AL40" s="1"/>
        <tr r="AL4" s="1"/>
        <tr r="AL25" s="1"/>
        <tr r="AL117" s="1"/>
      </tp>
      <tp t="e">
        <v>#N/A</v>
        <stp/>
        <stp>BDP|1003122095754848620</stp>
        <tr r="Y35" s="1"/>
        <tr r="Y24" s="1"/>
        <tr r="Y153" s="1"/>
      </tp>
      <tp t="e">
        <v>#N/A</v>
        <stp/>
        <stp>BDP|9235613508445546130</stp>
        <tr r="F160" s="1"/>
      </tp>
      <tp t="e">
        <v>#N/A</v>
        <stp/>
        <stp>BDP|7377304212719832744</stp>
        <tr r="AA66" s="1"/>
        <tr r="AA49" s="1"/>
        <tr r="AA42" s="1"/>
      </tp>
      <tp t="e">
        <v>#N/A</v>
        <stp/>
        <stp>BDP|9977150236567459735</stp>
        <tr r="AE47" s="1"/>
      </tp>
      <tp t="e">
        <v>#N/A</v>
        <stp/>
        <stp>BDP|4266807841256720597</stp>
        <tr r="AJ96" s="3"/>
        <tr r="AJ96" s="3"/>
        <tr r="AJ96" s="3"/>
        <tr r="AJ95" s="3"/>
        <tr r="AJ95" s="3"/>
        <tr r="AJ95" s="3"/>
      </tp>
      <tp t="e">
        <v>#N/A</v>
        <stp/>
        <stp>BDP|4727887235490898403</stp>
        <tr r="X32" s="1"/>
      </tp>
      <tp t="e">
        <v>#N/A</v>
        <stp/>
        <stp>BDP|3193633771250919984</stp>
        <tr r="AS72" s="3"/>
        <tr r="AS72" s="3"/>
        <tr r="AS72" s="3"/>
        <tr r="AS71" s="3"/>
        <tr r="AS71" s="3"/>
        <tr r="AS71" s="3"/>
        <tr r="AS70" s="3"/>
        <tr r="AS70" s="3"/>
        <tr r="AS70" s="3"/>
        <tr r="AS69" s="3"/>
        <tr r="AS69" s="3"/>
        <tr r="AS69" s="3"/>
        <tr r="AS68" s="3"/>
        <tr r="AS68" s="3"/>
        <tr r="AS68" s="3"/>
        <tr r="AS67" s="3"/>
        <tr r="AS67" s="3"/>
        <tr r="AS67" s="3"/>
        <tr r="AS66" s="3"/>
        <tr r="AS66" s="3"/>
        <tr r="AS66" s="3"/>
        <tr r="AS65" s="3"/>
        <tr r="AS65" s="3"/>
        <tr r="AS65" s="3"/>
      </tp>
      <tp t="e">
        <v>#N/A</v>
        <stp/>
        <stp>BDP|1629756191724711073</stp>
        <tr r="AN103" s="3"/>
        <tr r="AN103" s="3"/>
        <tr r="AN103" s="3"/>
      </tp>
      <tp t="e">
        <v>#N/A</v>
        <stp/>
        <stp>BDP|4959881359997395591</stp>
        <tr r="AM145" s="1"/>
        <tr r="AM145" s="1"/>
        <tr r="AM136" s="1"/>
        <tr r="AM136" s="1"/>
      </tp>
      <tp t="e">
        <v>#N/A</v>
        <stp/>
        <stp>BDP|3960838165652400481</stp>
        <tr r="E103" s="3"/>
      </tp>
      <tp t="e">
        <v>#N/A</v>
        <stp/>
        <stp>BDP|4119607903991575845</stp>
        <tr r="Y20" s="1"/>
      </tp>
      <tp t="e">
        <v>#N/A</v>
        <stp/>
        <stp>BDP|2834943429002549039</stp>
        <tr r="L99" s="3"/>
        <tr r="L98" s="3"/>
        <tr r="L97" s="3"/>
      </tp>
      <tp t="e">
        <v>#N/A</v>
        <stp/>
        <stp>BDP|7969903004720997574</stp>
        <tr r="AC129" s="3"/>
        <tr r="AC129" s="3"/>
        <tr r="AC129" s="3"/>
        <tr r="AC128" s="3"/>
        <tr r="AC128" s="3"/>
        <tr r="AC128" s="3"/>
        <tr r="AC127" s="3"/>
        <tr r="AC127" s="3"/>
        <tr r="AC127" s="3"/>
        <tr r="AC126" s="3"/>
        <tr r="AC126" s="3"/>
        <tr r="AC126" s="3"/>
        <tr r="AC125" s="3"/>
        <tr r="AC125" s="3"/>
        <tr r="AC125" s="3"/>
        <tr r="AC124" s="3"/>
        <tr r="AC124" s="3"/>
        <tr r="AC124" s="3"/>
        <tr r="AC123" s="3"/>
        <tr r="AC123" s="3"/>
        <tr r="AC123" s="3"/>
        <tr r="AC122" s="3"/>
        <tr r="AC122" s="3"/>
        <tr r="AC122" s="3"/>
        <tr r="AC121" s="3"/>
        <tr r="AC121" s="3"/>
        <tr r="AC121" s="3"/>
        <tr r="AC120" s="3"/>
        <tr r="AC120" s="3"/>
        <tr r="AC120" s="3"/>
      </tp>
      <tp t="e">
        <v>#N/A</v>
        <stp/>
        <stp>BDP|9605379694660658808</stp>
        <tr r="F98" s="1"/>
        <tr r="F79" s="1"/>
        <tr r="F5" s="1"/>
        <tr r="F155" s="1"/>
        <tr r="F118" s="1"/>
      </tp>
      <tp t="e">
        <v>#N/A</v>
        <stp/>
        <stp>BDP|3165079104879813193</stp>
        <tr r="H51" s="1"/>
        <tr r="H51" s="1"/>
      </tp>
      <tp t="e">
        <v>#N/A</v>
        <stp/>
        <stp>BDP|7692225324979371505</stp>
        <tr r="J78" s="3"/>
        <tr r="J78" s="3"/>
        <tr r="J77" s="3"/>
        <tr r="J77" s="3"/>
        <tr r="J76" s="3"/>
        <tr r="J76" s="3"/>
        <tr r="J75" s="3"/>
        <tr r="J75" s="3"/>
        <tr r="J74" s="3"/>
        <tr r="J74" s="3"/>
        <tr r="J73" s="3"/>
        <tr r="J73" s="3"/>
      </tp>
      <tp t="e">
        <v>#N/A</v>
        <stp/>
        <stp>BDP|1819803207370970250</stp>
        <tr r="AT11" s="1"/>
        <tr r="AT102" s="1"/>
      </tp>
      <tp t="e">
        <v>#N/A</v>
        <stp/>
        <stp>BDP|4310764690313081257</stp>
        <tr r="AD51" s="1"/>
      </tp>
      <tp t="e">
        <v>#N/A</v>
        <stp/>
        <stp>BDP|4524752369816071897</stp>
        <tr r="L140" s="1"/>
        <tr r="L140" s="1"/>
        <tr r="L128" s="1"/>
        <tr r="L128" s="1"/>
        <tr r="AS140" s="1"/>
        <tr r="AS128" s="1"/>
      </tp>
      <tp t="e">
        <v>#N/A</v>
        <stp/>
        <stp>BDP|5052542512558397254</stp>
        <tr r="AT64" s="1"/>
      </tp>
      <tp t="e">
        <v>#N/A</v>
        <stp/>
        <stp>BDP|2412671100439673657</stp>
        <tr r="AO94" s="3"/>
        <tr r="AO94" s="3"/>
        <tr r="AO94" s="3"/>
        <tr r="AO93" s="3"/>
        <tr r="AO93" s="3"/>
        <tr r="AO93" s="3"/>
        <tr r="AO92" s="3"/>
        <tr r="AO92" s="3"/>
        <tr r="AO92" s="3"/>
        <tr r="AO91" s="3"/>
        <tr r="AO91" s="3"/>
        <tr r="AO91" s="3"/>
        <tr r="AO90" s="3"/>
        <tr r="AO90" s="3"/>
        <tr r="AO90" s="3"/>
        <tr r="AO89" s="3"/>
        <tr r="AO89" s="3"/>
        <tr r="AO89" s="3"/>
        <tr r="AO88" s="3"/>
        <tr r="AO88" s="3"/>
        <tr r="AO88" s="3"/>
        <tr r="AO87" s="3"/>
        <tr r="AO87" s="3"/>
        <tr r="AO87" s="3"/>
        <tr r="AO86" s="3"/>
        <tr r="AO86" s="3"/>
        <tr r="AO86" s="3"/>
        <tr r="AO85" s="3"/>
        <tr r="AO85" s="3"/>
        <tr r="AO85" s="3"/>
        <tr r="AO84" s="3"/>
        <tr r="AO84" s="3"/>
        <tr r="AO84" s="3"/>
        <tr r="AO83" s="3"/>
        <tr r="AO83" s="3"/>
        <tr r="AO83" s="3"/>
        <tr r="AO82" s="3"/>
        <tr r="AO82" s="3"/>
        <tr r="AO82" s="3"/>
        <tr r="AO81" s="3"/>
        <tr r="AO81" s="3"/>
        <tr r="AO81" s="3"/>
        <tr r="AO80" s="3"/>
        <tr r="AO80" s="3"/>
        <tr r="AO80" s="3"/>
        <tr r="AO79" s="3"/>
        <tr r="AO79" s="3"/>
        <tr r="AO79" s="3"/>
      </tp>
      <tp t="e">
        <v>#N/A</v>
        <stp/>
        <stp>BDP|9287572843313043069</stp>
        <tr r="AO102" s="3"/>
        <tr r="AO102" s="3"/>
        <tr r="AO102" s="3"/>
        <tr r="AO101" s="3"/>
        <tr r="AO101" s="3"/>
        <tr r="AO101" s="3"/>
        <tr r="AO100" s="3"/>
        <tr r="AO100" s="3"/>
        <tr r="AO100" s="3"/>
      </tp>
      <tp t="e">
        <v>#N/A</v>
        <stp/>
        <stp>BDP|2389865491810436801</stp>
        <tr r="Y148" s="1"/>
        <tr r="Y138" s="1"/>
      </tp>
      <tp t="e">
        <v>#N/A</v>
        <stp/>
        <stp>BDP|6169652092955178765</stp>
        <tr r="AD99" s="3"/>
        <tr r="AD99" s="3"/>
        <tr r="AD99" s="3"/>
        <tr r="AD98" s="3"/>
        <tr r="AD98" s="3"/>
        <tr r="AD98" s="3"/>
        <tr r="AD97" s="3"/>
        <tr r="AD97" s="3"/>
        <tr r="AD97" s="3"/>
      </tp>
      <tp t="e">
        <v>#N/A</v>
        <stp/>
        <stp>BDP|5437985477427967734</stp>
        <tr r="H73" s="1"/>
        <tr r="H73" s="1"/>
        <tr r="H168" s="1"/>
        <tr r="H168" s="1"/>
      </tp>
      <tp t="e">
        <v>#N/A</v>
        <stp/>
        <stp>BDP|8101308113355793441</stp>
        <tr r="E54" s="1"/>
      </tp>
      <tp t="e">
        <v>#N/A</v>
        <stp/>
        <stp>BDP|1862606494024560184</stp>
        <tr r="AS93" s="1"/>
      </tp>
      <tp t="e">
        <v>#N/A</v>
        <stp/>
        <stp>BDP|2150848267835619251</stp>
        <tr r="AD16" s="3"/>
        <tr r="AD16" s="3"/>
        <tr r="AD16" s="3"/>
      </tp>
      <tp t="e">
        <v>#N/A</v>
        <stp/>
        <stp>BDP|8987298844905390066</stp>
        <tr r="AT9" s="1"/>
      </tp>
    </main>
    <main first="bofaddin.rtdserver">
      <tp t="e">
        <v>#N/A</v>
        <stp/>
        <stp>BDP|4817293417974610870</stp>
        <tr r="H45" s="1"/>
        <tr r="H45" s="1"/>
        <tr r="H62" s="1"/>
        <tr r="H62" s="1"/>
        <tr r="H53" s="1"/>
        <tr r="H53" s="1"/>
        <tr r="H115" s="1"/>
        <tr r="H115" s="1"/>
      </tp>
      <tp t="e">
        <v>#N/A</v>
        <stp/>
        <stp>BDP|5962984015221293713</stp>
        <tr r="AJ95" s="1"/>
        <tr r="AJ95" s="1"/>
        <tr r="AJ71" s="1"/>
        <tr r="AJ71" s="1"/>
      </tp>
      <tp t="e">
        <v>#N/A</v>
        <stp/>
        <stp>BDP|6759316564241516904</stp>
        <tr r="AD18" s="1"/>
      </tp>
      <tp t="e">
        <v>#N/A</v>
        <stp/>
        <stp>BDP|1088635368653893945</stp>
        <tr r="AS78" s="3"/>
        <tr r="AS78" s="3"/>
        <tr r="AS78" s="3"/>
        <tr r="AS77" s="3"/>
        <tr r="AS77" s="3"/>
        <tr r="AS77" s="3"/>
        <tr r="AS76" s="3"/>
        <tr r="AS76" s="3"/>
        <tr r="AS76" s="3"/>
        <tr r="AS75" s="3"/>
        <tr r="AS75" s="3"/>
        <tr r="AS75" s="3"/>
        <tr r="AS74" s="3"/>
        <tr r="AS74" s="3"/>
        <tr r="AS74" s="3"/>
        <tr r="AS73" s="3"/>
        <tr r="AS73" s="3"/>
        <tr r="AS73" s="3"/>
      </tp>
      <tp t="e">
        <v>#N/A</v>
        <stp/>
        <stp>BDP|8673507492978935790</stp>
        <tr r="AM80" s="1"/>
        <tr r="AM80" s="1"/>
        <tr r="AM58" s="1"/>
        <tr r="AM58" s="1"/>
        <tr r="AM28" s="1"/>
        <tr r="AM28" s="1"/>
        <tr r="AM161" s="1"/>
        <tr r="AM161" s="1"/>
        <tr r="AM121" s="1"/>
        <tr r="AM121" s="1"/>
        <tr r="AM10" s="1"/>
        <tr r="AM10" s="1"/>
      </tp>
      <tp t="e">
        <v>#N/A</v>
        <stp/>
        <stp>BDP|1425631394280539528</stp>
        <tr r="X12" s="1"/>
      </tp>
      <tp t="e">
        <v>#N/A</v>
        <stp/>
        <stp>BDP|2840675709719308613</stp>
        <tr r="AG9" s="3"/>
        <tr r="AG9" s="3"/>
        <tr r="AG9" s="3"/>
        <tr r="AG8" s="3"/>
        <tr r="AG8" s="3"/>
        <tr r="AG8" s="3"/>
        <tr r="AG7" s="3"/>
        <tr r="AG7" s="3"/>
        <tr r="AG7" s="3"/>
        <tr r="AG6" s="3"/>
        <tr r="AG6" s="3"/>
        <tr r="AG6" s="3"/>
        <tr r="AG5" s="3"/>
        <tr r="AG5" s="3"/>
        <tr r="AG5" s="3"/>
        <tr r="AG4" s="3"/>
        <tr r="AG4" s="3"/>
        <tr r="AG4" s="3"/>
        <tr r="AG3" s="3"/>
        <tr r="AG3" s="3"/>
        <tr r="AG3" s="3"/>
        <tr r="AG15" s="3"/>
        <tr r="AG15" s="3"/>
        <tr r="AG15" s="3"/>
        <tr r="AG14" s="3"/>
        <tr r="AG14" s="3"/>
        <tr r="AG14" s="3"/>
        <tr r="AG13" s="3"/>
        <tr r="AG13" s="3"/>
        <tr r="AG13" s="3"/>
        <tr r="AG12" s="3"/>
        <tr r="AG12" s="3"/>
        <tr r="AG12" s="3"/>
        <tr r="AG11" s="3"/>
        <tr r="AG11" s="3"/>
        <tr r="AG11" s="3"/>
        <tr r="AG10" s="3"/>
        <tr r="AG10" s="3"/>
        <tr r="AG10" s="3"/>
      </tp>
      <tp t="e">
        <v>#N/A</v>
        <stp/>
        <stp>BDP|8001324363380059655</stp>
        <tr r="AD54" s="1"/>
      </tp>
      <tp t="e">
        <v>#N/A</v>
        <stp/>
        <stp>BDP|9498252051302091746</stp>
        <tr r="I104" s="1"/>
      </tp>
      <tp t="e">
        <v>#N/A</v>
        <stp/>
        <stp>BDP|5289990588047724817</stp>
        <tr r="F51" s="1"/>
      </tp>
      <tp t="e">
        <v>#N/A</v>
        <stp/>
        <stp>BDP|4729053792652071452</stp>
        <tr r="AI63" s="3"/>
        <tr r="AI63" s="3"/>
        <tr r="AI63" s="3"/>
        <tr r="AI62" s="3"/>
        <tr r="AI62" s="3"/>
        <tr r="AI62" s="3"/>
        <tr r="AI61" s="3"/>
        <tr r="AI61" s="3"/>
        <tr r="AI61" s="3"/>
        <tr r="AI60" s="3"/>
        <tr r="AI60" s="3"/>
        <tr r="AI60" s="3"/>
        <tr r="AI59" s="3"/>
        <tr r="AI59" s="3"/>
        <tr r="AI59" s="3"/>
        <tr r="AI58" s="3"/>
        <tr r="AI58" s="3"/>
        <tr r="AI58" s="3"/>
        <tr r="AI57" s="3"/>
        <tr r="AI57" s="3"/>
        <tr r="AI57" s="3"/>
        <tr r="AI56" s="3"/>
        <tr r="AI56" s="3"/>
        <tr r="AI56" s="3"/>
        <tr r="AI55" s="3"/>
        <tr r="AI55" s="3"/>
        <tr r="AI55" s="3"/>
        <tr r="AI54" s="3"/>
        <tr r="AI54" s="3"/>
        <tr r="AI54" s="3"/>
        <tr r="AI53" s="3"/>
        <tr r="AI53" s="3"/>
        <tr r="AI53" s="3"/>
        <tr r="AI52" s="3"/>
        <tr r="AI52" s="3"/>
        <tr r="AI52" s="3"/>
        <tr r="AI51" s="3"/>
        <tr r="AI51" s="3"/>
        <tr r="AI51" s="3"/>
      </tp>
      <tp t="e">
        <v>#N/A</v>
        <stp/>
        <stp>BDP|7175420862488406607</stp>
        <tr r="W94" s="3"/>
        <tr r="W93" s="3"/>
        <tr r="W92" s="3"/>
        <tr r="W91" s="3"/>
        <tr r="W90" s="3"/>
        <tr r="W89" s="3"/>
        <tr r="W88" s="3"/>
        <tr r="W87" s="3"/>
        <tr r="W86" s="3"/>
        <tr r="W85" s="3"/>
        <tr r="W84" s="3"/>
        <tr r="W83" s="3"/>
        <tr r="W82" s="3"/>
        <tr r="W81" s="3"/>
        <tr r="W80" s="3"/>
        <tr r="W79" s="3"/>
      </tp>
    </main>
    <main first="bloomberg.rtd">
      <tp t="s">
        <v>Energy</v>
        <stp/>
        <stp>##V3_BDPV12</stp>
        <stp>TTE FP Equity</stp>
        <stp>DX202</stp>
        <stp>[DPM - Securities Master List (BBG Linked).xlsx]Equities!R281C8</stp>
        <tr r="H281" s="2"/>
        <tr r="H281" s="2"/>
        <tr r="H281" s="2"/>
      </tp>
      <tp t="s">
        <v>Consumer Discretionary</v>
        <stp/>
        <stp>##V3_BDPV12</stp>
        <stp>NKE US Equity</stp>
        <stp>DX202</stp>
        <stp>[DPM - Securities Master List (BBG Linked).xlsx]Equities!R208C8</stp>
        <tr r="H208" s="2"/>
        <tr r="H208" s="2"/>
        <tr r="H208" s="2"/>
      </tp>
      <tp t="s">
        <v>Consumer Discretionary</v>
        <stp/>
        <stp>##V3_BDPV12</stp>
        <stp>NKE US Equity</stp>
        <stp>DX202</stp>
        <stp>[DPM - Securities Master List (BBG Linked).xlsx]Equities!R218C8</stp>
        <tr r="H218" s="2"/>
        <tr r="H218" s="2"/>
        <tr r="H218" s="2"/>
      </tp>
      <tp t="s">
        <v>Communication Services</v>
        <stp/>
        <stp>##V3_BDPV12</stp>
        <stp>DIS US Equity</stp>
        <stp>DX202</stp>
        <stp>[DPM - Securities Master List (BBG Linked).xlsx]Equities!R112C8</stp>
        <tr r="H112" s="2"/>
        <tr r="H112" s="2"/>
        <tr r="H112" s="2"/>
      </tp>
      <tp>
        <v>10.525</v>
        <stp/>
        <stp>##V3_BDPV12</stp>
        <stp>AAL US Equity</stp>
        <stp>PX_LAST</stp>
        <stp>[DPM - Securities Master List (BBG Linked).xlsx]Equities!R28C17</stp>
        <tr r="Q28" s="2"/>
      </tp>
      <tp>
        <v>10.525</v>
        <stp/>
        <stp>##V3_BDPV12</stp>
        <stp>AAL US Equity</stp>
        <stp>PX_LAST</stp>
        <stp>[DPM - Securities Master List (BBG Linked).xlsx]Equities!R29C17</stp>
        <tr r="Q29" s="2"/>
      </tp>
      <tp>
        <v>10.525</v>
        <stp/>
        <stp>##V3_BDPV12</stp>
        <stp>AAL US Equity</stp>
        <stp>PX_LAST</stp>
        <stp>[DPM - Securities Master List (BBG Linked).xlsx]Equities!R32C17</stp>
        <tr r="Q32" s="2"/>
      </tp>
      <tp>
        <v>10.525</v>
        <stp/>
        <stp>##V3_BDPV12</stp>
        <stp>AAL US Equity</stp>
        <stp>PX_LAST</stp>
        <stp>[DPM - Securities Master List (BBG Linked).xlsx]Equities!R33C17</stp>
        <tr r="Q33" s="2"/>
      </tp>
      <tp>
        <v>10.525</v>
        <stp/>
        <stp>##V3_BDPV12</stp>
        <stp>AAL US Equity</stp>
        <stp>PX_LAST</stp>
        <stp>[DPM - Securities Master List (BBG Linked).xlsx]Equities!R30C17</stp>
        <tr r="Q30" s="2"/>
      </tp>
      <tp>
        <v>10.525</v>
        <stp/>
        <stp>##V3_BDPV12</stp>
        <stp>AAL US Equity</stp>
        <stp>PX_LAST</stp>
        <stp>[DPM - Securities Master List (BBG Linked).xlsx]Equities!R31C17</stp>
        <tr r="Q31" s="2"/>
      </tp>
      <tp t="s">
        <v>Information Technology</v>
        <stp/>
        <stp>##V3_BDPV12</stp>
        <stp>MSFT US Equity</stp>
        <stp>DX202</stp>
        <stp>[DPM - Securities Master List (BBG Linked).xlsx]Equities!R187C8</stp>
        <tr r="H187" s="2"/>
        <tr r="H187" s="2"/>
        <tr r="H187" s="2"/>
      </tp>
      <tp t="s">
        <v>Information Technology</v>
        <stp/>
        <stp>##V3_BDPV12</stp>
        <stp>MSFT US Equity</stp>
        <stp>DX202</stp>
        <stp>[DPM - Securities Master List (BBG Linked).xlsx]Equities!R177C8</stp>
        <tr r="H177" s="2"/>
        <tr r="H177" s="2"/>
        <tr r="H177" s="2"/>
      </tp>
      <tp t="s">
        <v>Consumer Discretionary</v>
        <stp/>
        <stp>##V3_BDPV12</stp>
        <stp>VOW3 GY Equity</stp>
        <stp>DX202</stp>
        <stp>[DPM - Securities Master List (BBG Linked).xlsx]Equities!R289C8</stp>
        <tr r="H289" s="2"/>
        <tr r="H289" s="2"/>
        <tr r="H289" s="2"/>
      </tp>
      <tp>
        <v>119.4</v>
        <stp/>
        <stp>##V3_BDPV12</stp>
        <stp>9888 HK Equity</stp>
        <stp>hs001</stp>
        <stp>[DPM - Securities Master List (BBG Linked).xlsx]Equities!R27C44</stp>
        <tr r="AR27" s="2"/>
      </tp>
      <tp>
        <v>119.4</v>
        <stp/>
        <stp>##V3_BDPV12</stp>
        <stp>9888 HK Equity</stp>
        <stp>hs001</stp>
        <stp>[DPM - Securities Master List (BBG Linked).xlsx]Equities!R26C44</stp>
        <tr r="AR26" s="2"/>
      </tp>
      <tp>
        <v>119.4</v>
        <stp/>
        <stp>##V3_BDPV12</stp>
        <stp>9888 HK Equity</stp>
        <stp>hs001</stp>
        <stp>[DPM - Securities Master List (BBG Linked).xlsx]Equities!R25C44</stp>
        <tr r="AR25" s="2"/>
      </tp>
      <tp>
        <v>119.4</v>
        <stp/>
        <stp>##V3_BDPV12</stp>
        <stp>9888 HK Equity</stp>
        <stp>hs001</stp>
        <stp>[DPM - Securities Master List (BBG Linked).xlsx]Equities!R24C44</stp>
        <tr r="AR24" s="2"/>
      </tp>
      <tp>
        <v>119.4</v>
        <stp/>
        <stp>##V3_BDPV12</stp>
        <stp>9888 HK Equity</stp>
        <stp>hs001</stp>
        <stp>[DPM - Securities Master List (BBG Linked).xlsx]Equities!R23C44</stp>
        <tr r="AR23" s="2"/>
      </tp>
      <tp>
        <v>119.4</v>
        <stp/>
        <stp>##V3_BDPV12</stp>
        <stp>9888 HK Equity</stp>
        <stp>hs001</stp>
        <stp>[DPM - Securities Master List (BBG Linked).xlsx]Equities!R22C44</stp>
        <tr r="AR22" s="2"/>
      </tp>
      <tp>
        <v>119.4</v>
        <stp/>
        <stp>##V3_BDPV12</stp>
        <stp>9888 HK Equity</stp>
        <stp>hs001</stp>
        <stp>[DPM - Securities Master List (BBG Linked).xlsx]Equities!R21C44</stp>
        <tr r="AR21" s="2"/>
      </tp>
      <tp>
        <v>119.4</v>
        <stp/>
        <stp>##V3_BDPV12</stp>
        <stp>9888 HK Equity</stp>
        <stp>hs001</stp>
        <stp>[DPM - Securities Master List (BBG Linked).xlsx]Equities!R20C44</stp>
        <tr r="AR20" s="2"/>
      </tp>
      <tp>
        <v>73.25</v>
        <stp/>
        <stp>##V3_BDPV12</stp>
        <stp>9888 HK Equity</stp>
        <stp>hs002</stp>
        <stp>[DPM - Securities Master List (BBG Linked).xlsx]Equities!R17C45</stp>
        <tr r="AS17" s="2"/>
      </tp>
      <tp>
        <v>73.25</v>
        <stp/>
        <stp>##V3_BDPV12</stp>
        <stp>9888 HK Equity</stp>
        <stp>hs002</stp>
        <stp>[DPM - Securities Master List (BBG Linked).xlsx]Equities!R16C45</stp>
        <tr r="AS16" s="2"/>
      </tp>
      <tp>
        <v>73.25</v>
        <stp/>
        <stp>##V3_BDPV12</stp>
        <stp>9888 HK Equity</stp>
        <stp>hs002</stp>
        <stp>[DPM - Securities Master List (BBG Linked).xlsx]Equities!R15C45</stp>
        <tr r="AS15" s="2"/>
      </tp>
      <tp>
        <v>73.25</v>
        <stp/>
        <stp>##V3_BDPV12</stp>
        <stp>9888 HK Equity</stp>
        <stp>hs002</stp>
        <stp>[DPM - Securities Master List (BBG Linked).xlsx]Equities!R19C45</stp>
        <tr r="AS19" s="2"/>
      </tp>
      <tp>
        <v>73.25</v>
        <stp/>
        <stp>##V3_BDPV12</stp>
        <stp>9888 HK Equity</stp>
        <stp>hs002</stp>
        <stp>[DPM - Securities Master List (BBG Linked).xlsx]Equities!R18C45</stp>
        <tr r="AS18" s="2"/>
      </tp>
      <tp>
        <v>73.25</v>
        <stp/>
        <stp>##V3_BDPV12</stp>
        <stp>9888 HK Equity</stp>
        <stp>hs002</stp>
        <stp>[DPM - Securities Master List (BBG Linked).xlsx]Equities!R27C45</stp>
        <tr r="AS27" s="2"/>
      </tp>
      <tp>
        <v>73.25</v>
        <stp/>
        <stp>##V3_BDPV12</stp>
        <stp>9888 HK Equity</stp>
        <stp>hs002</stp>
        <stp>[DPM - Securities Master List (BBG Linked).xlsx]Equities!R26C45</stp>
        <tr r="AS26" s="2"/>
      </tp>
      <tp>
        <v>73.25</v>
        <stp/>
        <stp>##V3_BDPV12</stp>
        <stp>9888 HK Equity</stp>
        <stp>hs002</stp>
        <stp>[DPM - Securities Master List (BBG Linked).xlsx]Equities!R25C45</stp>
        <tr r="AS25" s="2"/>
      </tp>
      <tp>
        <v>73.25</v>
        <stp/>
        <stp>##V3_BDPV12</stp>
        <stp>9888 HK Equity</stp>
        <stp>hs002</stp>
        <stp>[DPM - Securities Master List (BBG Linked).xlsx]Equities!R24C45</stp>
        <tr r="AS24" s="2"/>
      </tp>
      <tp>
        <v>73.25</v>
        <stp/>
        <stp>##V3_BDPV12</stp>
        <stp>9888 HK Equity</stp>
        <stp>hs002</stp>
        <stp>[DPM - Securities Master List (BBG Linked).xlsx]Equities!R23C45</stp>
        <tr r="AS23" s="2"/>
      </tp>
      <tp>
        <v>73.25</v>
        <stp/>
        <stp>##V3_BDPV12</stp>
        <stp>9888 HK Equity</stp>
        <stp>hs002</stp>
        <stp>[DPM - Securities Master List (BBG Linked).xlsx]Equities!R22C45</stp>
        <tr r="AS22" s="2"/>
      </tp>
      <tp>
        <v>73.25</v>
        <stp/>
        <stp>##V3_BDPV12</stp>
        <stp>9888 HK Equity</stp>
        <stp>hs002</stp>
        <stp>[DPM - Securities Master List (BBG Linked).xlsx]Equities!R21C45</stp>
        <tr r="AS21" s="2"/>
      </tp>
      <tp>
        <v>73.25</v>
        <stp/>
        <stp>##V3_BDPV12</stp>
        <stp>9888 HK Equity</stp>
        <stp>hs002</stp>
        <stp>[DPM - Securities Master List (BBG Linked).xlsx]Equities!R20C45</stp>
        <tr r="AS20" s="2"/>
      </tp>
      <tp>
        <v>119.4</v>
        <stp/>
        <stp>##V3_BDPV12</stp>
        <stp>9888 HK Equity</stp>
        <stp>hs001</stp>
        <stp>[DPM - Securities Master List (BBG Linked).xlsx]Equities!R17C44</stp>
        <tr r="AR17" s="2"/>
      </tp>
      <tp>
        <v>119.4</v>
        <stp/>
        <stp>##V3_BDPV12</stp>
        <stp>9888 HK Equity</stp>
        <stp>hs001</stp>
        <stp>[DPM - Securities Master List (BBG Linked).xlsx]Equities!R16C44</stp>
        <tr r="AR16" s="2"/>
      </tp>
      <tp>
        <v>119.4</v>
        <stp/>
        <stp>##V3_BDPV12</stp>
        <stp>9888 HK Equity</stp>
        <stp>hs001</stp>
        <stp>[DPM - Securities Master List (BBG Linked).xlsx]Equities!R15C44</stp>
        <tr r="AR15" s="2"/>
      </tp>
      <tp>
        <v>119.4</v>
        <stp/>
        <stp>##V3_BDPV12</stp>
        <stp>9888 HK Equity</stp>
        <stp>hs001</stp>
        <stp>[DPM - Securities Master List (BBG Linked).xlsx]Equities!R19C44</stp>
        <tr r="AR19" s="2"/>
      </tp>
      <tp>
        <v>119.4</v>
        <stp/>
        <stp>##V3_BDPV12</stp>
        <stp>9888 HK Equity</stp>
        <stp>hs001</stp>
        <stp>[DPM - Securities Master List (BBG Linked).xlsx]Equities!R18C44</stp>
        <tr r="AR18" s="2"/>
      </tp>
      <tp t="s">
        <v>KYG070341048</v>
        <stp/>
        <stp>##V3_BDPV12</stp>
        <stp>9888 HK Equity</stp>
        <stp>ID005</stp>
        <stp>[DPM - Securities Master List (BBG Linked).xlsx]Equities!R20C55</stp>
        <tr r="BC20" s="2"/>
      </tp>
      <tp t="s">
        <v>KYG070341048</v>
        <stp/>
        <stp>##V3_BDPV12</stp>
        <stp>9888 HK Equity</stp>
        <stp>ID005</stp>
        <stp>[DPM - Securities Master List (BBG Linked).xlsx]Equities!R21C55</stp>
        <tr r="BC21" s="2"/>
      </tp>
      <tp t="s">
        <v>KYG070341048</v>
        <stp/>
        <stp>##V3_BDPV12</stp>
        <stp>9888 HK Equity</stp>
        <stp>ID005</stp>
        <stp>[DPM - Securities Master List (BBG Linked).xlsx]Equities!R22C55</stp>
        <tr r="BC22" s="2"/>
      </tp>
      <tp t="s">
        <v>KYG070341048</v>
        <stp/>
        <stp>##V3_BDPV12</stp>
        <stp>9888 HK Equity</stp>
        <stp>ID005</stp>
        <stp>[DPM - Securities Master List (BBG Linked).xlsx]Equities!R23C55</stp>
        <tr r="BC23" s="2"/>
      </tp>
      <tp t="s">
        <v>KYG070341048</v>
        <stp/>
        <stp>##V3_BDPV12</stp>
        <stp>9888 HK Equity</stp>
        <stp>ID005</stp>
        <stp>[DPM - Securities Master List (BBG Linked).xlsx]Equities!R24C55</stp>
        <tr r="BC24" s="2"/>
      </tp>
      <tp t="s">
        <v>KYG070341048</v>
        <stp/>
        <stp>##V3_BDPV12</stp>
        <stp>9888 HK Equity</stp>
        <stp>ID005</stp>
        <stp>[DPM - Securities Master List (BBG Linked).xlsx]Equities!R25C55</stp>
        <tr r="BC25" s="2"/>
      </tp>
      <tp t="s">
        <v>KYG070341048</v>
        <stp/>
        <stp>##V3_BDPV12</stp>
        <stp>9888 HK Equity</stp>
        <stp>ID005</stp>
        <stp>[DPM - Securities Master List (BBG Linked).xlsx]Equities!R26C55</stp>
        <tr r="BC26" s="2"/>
      </tp>
      <tp t="s">
        <v>KYG070341048</v>
        <stp/>
        <stp>##V3_BDPV12</stp>
        <stp>9888 HK Equity</stp>
        <stp>ID005</stp>
        <stp>[DPM - Securities Master List (BBG Linked).xlsx]Equities!R27C55</stp>
        <tr r="BC27" s="2"/>
      </tp>
      <tp t="s">
        <v>KYG070341048</v>
        <stp/>
        <stp>##V3_BDPV12</stp>
        <stp>9888 HK Equity</stp>
        <stp>ID005</stp>
        <stp>[DPM - Securities Master List (BBG Linked).xlsx]Equities!R15C55</stp>
        <tr r="BC15" s="2"/>
      </tp>
      <tp t="s">
        <v>KYG070341048</v>
        <stp/>
        <stp>##V3_BDPV12</stp>
        <stp>9888 HK Equity</stp>
        <stp>ID005</stp>
        <stp>[DPM - Securities Master List (BBG Linked).xlsx]Equities!R16C55</stp>
        <tr r="BC16" s="2"/>
      </tp>
      <tp t="s">
        <v>KYG070341048</v>
        <stp/>
        <stp>##V3_BDPV12</stp>
        <stp>9888 HK Equity</stp>
        <stp>ID005</stp>
        <stp>[DPM - Securities Master List (BBG Linked).xlsx]Equities!R17C55</stp>
        <tr r="BC17" s="2"/>
      </tp>
      <tp t="s">
        <v>KYG070341048</v>
        <stp/>
        <stp>##V3_BDPV12</stp>
        <stp>9888 HK Equity</stp>
        <stp>ID005</stp>
        <stp>[DPM - Securities Master List (BBG Linked).xlsx]Equities!R18C55</stp>
        <tr r="BC18" s="2"/>
      </tp>
      <tp t="s">
        <v>KYG070341048</v>
        <stp/>
        <stp>##V3_BDPV12</stp>
        <stp>9888 HK Equity</stp>
        <stp>ID005</stp>
        <stp>[DPM - Securities Master List (BBG Linked).xlsx]Equities!R19C55</stp>
        <tr r="BC19" s="2"/>
      </tp>
      <tp>
        <v>18.543176399083642</v>
        <stp/>
        <stp>##V3_BDPV12</stp>
        <stp>9888 HK Equity</stp>
        <stp>RR041</stp>
        <stp>[DPM - Securities Master List (BBG Linked).xlsx]Equities!R26C33</stp>
        <tr r="AG26" s="2"/>
        <tr r="AG26" s="2"/>
        <tr r="AG26" s="2"/>
      </tp>
      <tp>
        <v>18.543176399083642</v>
        <stp/>
        <stp>##V3_BDPV12</stp>
        <stp>9888 HK Equity</stp>
        <stp>RR041</stp>
        <stp>[DPM - Securities Master List (BBG Linked).xlsx]Equities!R27C33</stp>
        <tr r="AG27" s="2"/>
        <tr r="AG27" s="2"/>
        <tr r="AG27" s="2"/>
      </tp>
      <tp>
        <v>18.543176399083642</v>
        <stp/>
        <stp>##V3_BDPV12</stp>
        <stp>9888 HK Equity</stp>
        <stp>RR041</stp>
        <stp>[DPM - Securities Master List (BBG Linked).xlsx]Equities!R24C33</stp>
        <tr r="AG24" s="2"/>
        <tr r="AG24" s="2"/>
        <tr r="AG24" s="2"/>
      </tp>
      <tp>
        <v>18.543176399083642</v>
        <stp/>
        <stp>##V3_BDPV12</stp>
        <stp>9888 HK Equity</stp>
        <stp>RR041</stp>
        <stp>[DPM - Securities Master List (BBG Linked).xlsx]Equities!R25C33</stp>
        <tr r="AG25" s="2"/>
        <tr r="AG25" s="2"/>
        <tr r="AG25" s="2"/>
      </tp>
      <tp>
        <v>18.543176399083642</v>
        <stp/>
        <stp>##V3_BDPV12</stp>
        <stp>9888 HK Equity</stp>
        <stp>RR041</stp>
        <stp>[DPM - Securities Master List (BBG Linked).xlsx]Equities!R22C33</stp>
        <tr r="AG22" s="2"/>
        <tr r="AG22" s="2"/>
        <tr r="AG22" s="2"/>
      </tp>
      <tp>
        <v>18.543176399083642</v>
        <stp/>
        <stp>##V3_BDPV12</stp>
        <stp>9888 HK Equity</stp>
        <stp>RR041</stp>
        <stp>[DPM - Securities Master List (BBG Linked).xlsx]Equities!R23C33</stp>
        <tr r="AG23" s="2"/>
        <tr r="AG23" s="2"/>
        <tr r="AG23" s="2"/>
      </tp>
      <tp>
        <v>18.543176399083642</v>
        <stp/>
        <stp>##V3_BDPV12</stp>
        <stp>9888 HK Equity</stp>
        <stp>RR041</stp>
        <stp>[DPM - Securities Master List (BBG Linked).xlsx]Equities!R20C33</stp>
        <tr r="AG20" s="2"/>
        <tr r="AG20" s="2"/>
        <tr r="AG20" s="2"/>
      </tp>
      <tp>
        <v>18.543176399083642</v>
        <stp/>
        <stp>##V3_BDPV12</stp>
        <stp>9888 HK Equity</stp>
        <stp>RR041</stp>
        <stp>[DPM - Securities Master List (BBG Linked).xlsx]Equities!R21C33</stp>
        <tr r="AG21" s="2"/>
        <tr r="AG21" s="2"/>
        <tr r="AG21" s="2"/>
      </tp>
      <tp>
        <v>18.543176399083642</v>
        <stp/>
        <stp>##V3_BDPV12</stp>
        <stp>9888 HK Equity</stp>
        <stp>RR041</stp>
        <stp>[DPM - Securities Master List (BBG Linked).xlsx]Equities!R16C33</stp>
        <tr r="AG16" s="2"/>
        <tr r="AG16" s="2"/>
        <tr r="AG16" s="2"/>
      </tp>
      <tp>
        <v>18.543176399083642</v>
        <stp/>
        <stp>##V3_BDPV12</stp>
        <stp>9888 HK Equity</stp>
        <stp>RR041</stp>
        <stp>[DPM - Securities Master List (BBG Linked).xlsx]Equities!R17C33</stp>
        <tr r="AG17" s="2"/>
        <tr r="AG17" s="2"/>
        <tr r="AG17" s="2"/>
      </tp>
      <tp>
        <v>18.543176399083642</v>
        <stp/>
        <stp>##V3_BDPV12</stp>
        <stp>9888 HK Equity</stp>
        <stp>RR041</stp>
        <stp>[DPM - Securities Master List (BBG Linked).xlsx]Equities!R15C33</stp>
        <tr r="AG15" s="2"/>
        <tr r="AG15" s="2"/>
        <tr r="AG15" s="2"/>
      </tp>
      <tp>
        <v>18.543176399083642</v>
        <stp/>
        <stp>##V3_BDPV12</stp>
        <stp>9888 HK Equity</stp>
        <stp>RR041</stp>
        <stp>[DPM - Securities Master List (BBG Linked).xlsx]Equities!R18C33</stp>
        <tr r="AG18" s="2"/>
        <tr r="AG18" s="2"/>
        <tr r="AG18" s="2"/>
      </tp>
      <tp>
        <v>18.543176399083642</v>
        <stp/>
        <stp>##V3_BDPV12</stp>
        <stp>9888 HK Equity</stp>
        <stp>RR041</stp>
        <stp>[DPM - Securities Master List (BBG Linked).xlsx]Equities!R19C33</stp>
        <tr r="AG19" s="2"/>
        <tr r="AG19" s="2"/>
        <tr r="AG19" s="2"/>
      </tp>
      <tp t="s">
        <v>#N/A N/A</v>
        <stp/>
        <stp>##V3_BDPV12</stp>
        <stp>9888 HK Equity</stp>
        <stp>DV013</stp>
        <stp>[DPM - Securities Master List (BBG Linked).xlsx]Equities!R16C10</stp>
        <tr r="J16" s="2"/>
      </tp>
      <tp t="s">
        <v>#N/A N/A</v>
        <stp/>
        <stp>##V3_BDPV12</stp>
        <stp>9888 HK Equity</stp>
        <stp>DV013</stp>
        <stp>[DPM - Securities Master List (BBG Linked).xlsx]Equities!R17C10</stp>
        <tr r="J17" s="2"/>
      </tp>
      <tp t="s">
        <v>#N/A N/A</v>
        <stp/>
        <stp>##V3_BDPV12</stp>
        <stp>9888 HK Equity</stp>
        <stp>DV013</stp>
        <stp>[DPM - Securities Master List (BBG Linked).xlsx]Equities!R15C10</stp>
        <tr r="J15" s="2"/>
      </tp>
      <tp t="s">
        <v>#N/A N/A</v>
        <stp/>
        <stp>##V3_BDPV12</stp>
        <stp>9888 HK Equity</stp>
        <stp>DV013</stp>
        <stp>[DPM - Securities Master List (BBG Linked).xlsx]Equities!R18C10</stp>
        <tr r="J18" s="2"/>
      </tp>
      <tp t="s">
        <v>#N/A N/A</v>
        <stp/>
        <stp>##V3_BDPV12</stp>
        <stp>9888 HK Equity</stp>
        <stp>DV013</stp>
        <stp>[DPM - Securities Master List (BBG Linked).xlsx]Equities!R19C10</stp>
        <tr r="J19" s="2"/>
      </tp>
      <tp>
        <v>8.3023444149505838</v>
        <stp/>
        <stp>##V3_BDPV12</stp>
        <stp>9888 HK Equity</stp>
        <stp>EE010</stp>
        <stp>[DPM - Securities Master List (BBG Linked).xlsx]Equities!R15C12</stp>
        <tr r="L15" s="2"/>
        <tr r="L15" s="2"/>
        <tr r="L15" s="2"/>
      </tp>
      <tp>
        <v>8.3023444149505838</v>
        <stp/>
        <stp>##V3_BDPV12</stp>
        <stp>9888 HK Equity</stp>
        <stp>EE010</stp>
        <stp>[DPM - Securities Master List (BBG Linked).xlsx]Equities!R17C12</stp>
        <tr r="L17" s="2"/>
        <tr r="L17" s="2"/>
        <tr r="L17" s="2"/>
      </tp>
      <tp>
        <v>8.3023444149505838</v>
        <stp/>
        <stp>##V3_BDPV12</stp>
        <stp>9888 HK Equity</stp>
        <stp>EE010</stp>
        <stp>[DPM - Securities Master List (BBG Linked).xlsx]Equities!R16C12</stp>
        <tr r="L16" s="2"/>
        <tr r="L16" s="2"/>
        <tr r="L16" s="2"/>
      </tp>
      <tp>
        <v>8.3023444149505838</v>
        <stp/>
        <stp>##V3_BDPV12</stp>
        <stp>9888 HK Equity</stp>
        <stp>EE010</stp>
        <stp>[DPM - Securities Master List (BBG Linked).xlsx]Equities!R19C12</stp>
        <tr r="L19" s="2"/>
        <tr r="L19" s="2"/>
        <tr r="L19" s="2"/>
      </tp>
      <tp>
        <v>8.3023444149505838</v>
        <stp/>
        <stp>##V3_BDPV12</stp>
        <stp>9888 HK Equity</stp>
        <stp>EE010</stp>
        <stp>[DPM - Securities Master List (BBG Linked).xlsx]Equities!R18C12</stp>
        <tr r="L18" s="2"/>
        <tr r="L18" s="2"/>
        <tr r="L18" s="2"/>
      </tp>
      <tp t="s">
        <v>#N/A N/A</v>
        <stp/>
        <stp>##V3_BDPV12</stp>
        <stp>9888 HK Equity</stp>
        <stp>DV013</stp>
        <stp>[DPM - Securities Master List (BBG Linked).xlsx]Equities!R22C10</stp>
        <tr r="J22" s="2"/>
      </tp>
      <tp t="s">
        <v>#N/A N/A</v>
        <stp/>
        <stp>##V3_BDPV12</stp>
        <stp>9888 HK Equity</stp>
        <stp>DV013</stp>
        <stp>[DPM - Securities Master List (BBG Linked).xlsx]Equities!R23C10</stp>
        <tr r="J23" s="2"/>
      </tp>
      <tp t="s">
        <v>#N/A N/A</v>
        <stp/>
        <stp>##V3_BDPV12</stp>
        <stp>9888 HK Equity</stp>
        <stp>DV013</stp>
        <stp>[DPM - Securities Master List (BBG Linked).xlsx]Equities!R20C10</stp>
        <tr r="J20" s="2"/>
      </tp>
      <tp t="s">
        <v>#N/A N/A</v>
        <stp/>
        <stp>##V3_BDPV12</stp>
        <stp>9888 HK Equity</stp>
        <stp>DV013</stp>
        <stp>[DPM - Securities Master List (BBG Linked).xlsx]Equities!R21C10</stp>
        <tr r="J21" s="2"/>
      </tp>
      <tp t="s">
        <v>#N/A N/A</v>
        <stp/>
        <stp>##V3_BDPV12</stp>
        <stp>9888 HK Equity</stp>
        <stp>DV013</stp>
        <stp>[DPM - Securities Master List (BBG Linked).xlsx]Equities!R26C10</stp>
        <tr r="J26" s="2"/>
      </tp>
      <tp t="s">
        <v>#N/A N/A</v>
        <stp/>
        <stp>##V3_BDPV12</stp>
        <stp>9888 HK Equity</stp>
        <stp>DV013</stp>
        <stp>[DPM - Securities Master List (BBG Linked).xlsx]Equities!R27C10</stp>
        <tr r="J27" s="2"/>
      </tp>
      <tp t="s">
        <v>#N/A N/A</v>
        <stp/>
        <stp>##V3_BDPV12</stp>
        <stp>9888 HK Equity</stp>
        <stp>DV013</stp>
        <stp>[DPM - Securities Master List (BBG Linked).xlsx]Equities!R24C10</stp>
        <tr r="J24" s="2"/>
      </tp>
      <tp t="s">
        <v>#N/A N/A</v>
        <stp/>
        <stp>##V3_BDPV12</stp>
        <stp>9888 HK Equity</stp>
        <stp>DV013</stp>
        <stp>[DPM - Securities Master List (BBG Linked).xlsx]Equities!R25C10</stp>
        <tr r="J25" s="2"/>
      </tp>
      <tp>
        <v>8.3023444149505838</v>
        <stp/>
        <stp>##V3_BDPV12</stp>
        <stp>9888 HK Equity</stp>
        <stp>EE010</stp>
        <stp>[DPM - Securities Master List (BBG Linked).xlsx]Equities!R21C12</stp>
        <tr r="L21" s="2"/>
        <tr r="L21" s="2"/>
        <tr r="L21" s="2"/>
      </tp>
      <tp>
        <v>8.3023444149505838</v>
        <stp/>
        <stp>##V3_BDPV12</stp>
        <stp>9888 HK Equity</stp>
        <stp>EE010</stp>
        <stp>[DPM - Securities Master List (BBG Linked).xlsx]Equities!R20C12</stp>
        <tr r="L20" s="2"/>
        <tr r="L20" s="2"/>
        <tr r="L20" s="2"/>
      </tp>
      <tp>
        <v>8.3023444149505838</v>
        <stp/>
        <stp>##V3_BDPV12</stp>
        <stp>9888 HK Equity</stp>
        <stp>EE010</stp>
        <stp>[DPM - Securities Master List (BBG Linked).xlsx]Equities!R23C12</stp>
        <tr r="L23" s="2"/>
        <tr r="L23" s="2"/>
        <tr r="L23" s="2"/>
      </tp>
      <tp>
        <v>8.3023444149505838</v>
        <stp/>
        <stp>##V3_BDPV12</stp>
        <stp>9888 HK Equity</stp>
        <stp>EE010</stp>
        <stp>[DPM - Securities Master List (BBG Linked).xlsx]Equities!R22C12</stp>
        <tr r="L22" s="2"/>
        <tr r="L22" s="2"/>
        <tr r="L22" s="2"/>
      </tp>
      <tp>
        <v>8.3023444149505838</v>
        <stp/>
        <stp>##V3_BDPV12</stp>
        <stp>9888 HK Equity</stp>
        <stp>EE010</stp>
        <stp>[DPM - Securities Master List (BBG Linked).xlsx]Equities!R25C12</stp>
        <tr r="L25" s="2"/>
        <tr r="L25" s="2"/>
        <tr r="L25" s="2"/>
      </tp>
      <tp>
        <v>8.3023444149505838</v>
        <stp/>
        <stp>##V3_BDPV12</stp>
        <stp>9888 HK Equity</stp>
        <stp>EE010</stp>
        <stp>[DPM - Securities Master List (BBG Linked).xlsx]Equities!R24C12</stp>
        <tr r="L24" s="2"/>
        <tr r="L24" s="2"/>
        <tr r="L24" s="2"/>
      </tp>
      <tp>
        <v>8.3023444149505838</v>
        <stp/>
        <stp>##V3_BDPV12</stp>
        <stp>9888 HK Equity</stp>
        <stp>EE010</stp>
        <stp>[DPM - Securities Master List (BBG Linked).xlsx]Equities!R27C12</stp>
        <tr r="L27" s="2"/>
        <tr r="L27" s="2"/>
        <tr r="L27" s="2"/>
      </tp>
      <tp>
        <v>8.3023444149505838</v>
        <stp/>
        <stp>##V3_BDPV12</stp>
        <stp>9888 HK Equity</stp>
        <stp>EE010</stp>
        <stp>[DPM - Securities Master List (BBG Linked).xlsx]Equities!R26C12</stp>
        <tr r="L26" s="2"/>
        <tr r="L26" s="2"/>
        <tr r="L26" s="2"/>
      </tp>
      <tp t="s">
        <v>Equity</v>
        <stp/>
        <stp>##V3_BDPV12</stp>
        <stp>9888 HK Equity</stp>
        <stp>EX028</stp>
        <stp>[DPM - Securities Master List (BBG Linked).xlsx]Equities!R24C30</stp>
        <tr r="AD24" s="2"/>
        <tr r="AD24" s="2"/>
        <tr r="AD24" s="2"/>
      </tp>
      <tp t="s">
        <v>Equity</v>
        <stp/>
        <stp>##V3_BDPV12</stp>
        <stp>9888 HK Equity</stp>
        <stp>EX028</stp>
        <stp>[DPM - Securities Master List (BBG Linked).xlsx]Equities!R25C30</stp>
        <tr r="AD25" s="2"/>
        <tr r="AD25" s="2"/>
        <tr r="AD25" s="2"/>
      </tp>
      <tp t="s">
        <v>Equity</v>
        <stp/>
        <stp>##V3_BDPV12</stp>
        <stp>9888 HK Equity</stp>
        <stp>EX028</stp>
        <stp>[DPM - Securities Master List (BBG Linked).xlsx]Equities!R26C30</stp>
        <tr r="AD26" s="2"/>
        <tr r="AD26" s="2"/>
        <tr r="AD26" s="2"/>
      </tp>
      <tp t="s">
        <v>Equity</v>
        <stp/>
        <stp>##V3_BDPV12</stp>
        <stp>9888 HK Equity</stp>
        <stp>EX028</stp>
        <stp>[DPM - Securities Master List (BBG Linked).xlsx]Equities!R27C30</stp>
        <tr r="AD27" s="2"/>
        <tr r="AD27" s="2"/>
        <tr r="AD27" s="2"/>
      </tp>
      <tp t="s">
        <v>Equity</v>
        <stp/>
        <stp>##V3_BDPV12</stp>
        <stp>9888 HK Equity</stp>
        <stp>EX028</stp>
        <stp>[DPM - Securities Master List (BBG Linked).xlsx]Equities!R20C30</stp>
        <tr r="AD20" s="2"/>
        <tr r="AD20" s="2"/>
        <tr r="AD20" s="2"/>
      </tp>
      <tp t="s">
        <v>Equity</v>
        <stp/>
        <stp>##V3_BDPV12</stp>
        <stp>9888 HK Equity</stp>
        <stp>EX028</stp>
        <stp>[DPM - Securities Master List (BBG Linked).xlsx]Equities!R21C30</stp>
        <tr r="AD21" s="2"/>
        <tr r="AD21" s="2"/>
        <tr r="AD21" s="2"/>
      </tp>
      <tp t="s">
        <v>Equity</v>
        <stp/>
        <stp>##V3_BDPV12</stp>
        <stp>9888 HK Equity</stp>
        <stp>EX028</stp>
        <stp>[DPM - Securities Master List (BBG Linked).xlsx]Equities!R22C30</stp>
        <tr r="AD22" s="2"/>
        <tr r="AD22" s="2"/>
        <tr r="AD22" s="2"/>
      </tp>
      <tp t="s">
        <v>Equity</v>
        <stp/>
        <stp>##V3_BDPV12</stp>
        <stp>9888 HK Equity</stp>
        <stp>EX028</stp>
        <stp>[DPM - Securities Master List (BBG Linked).xlsx]Equities!R23C30</stp>
        <tr r="AD23" s="2"/>
        <tr r="AD23" s="2"/>
        <tr r="AD23" s="2"/>
      </tp>
      <tp t="s">
        <v>Equity</v>
        <stp/>
        <stp>##V3_BDPV12</stp>
        <stp>9888 HK Equity</stp>
        <stp>EX028</stp>
        <stp>[DPM - Securities Master List (BBG Linked).xlsx]Equities!R18C30</stp>
        <tr r="AD18" s="2"/>
        <tr r="AD18" s="2"/>
        <tr r="AD18" s="2"/>
      </tp>
      <tp t="s">
        <v>Equity</v>
        <stp/>
        <stp>##V3_BDPV12</stp>
        <stp>9888 HK Equity</stp>
        <stp>EX028</stp>
        <stp>[DPM - Securities Master List (BBG Linked).xlsx]Equities!R19C30</stp>
        <tr r="AD19" s="2"/>
        <tr r="AD19" s="2"/>
        <tr r="AD19" s="2"/>
      </tp>
      <tp t="s">
        <v>Equity</v>
        <stp/>
        <stp>##V3_BDPV12</stp>
        <stp>9888 HK Equity</stp>
        <stp>EX028</stp>
        <stp>[DPM - Securities Master List (BBG Linked).xlsx]Equities!R15C30</stp>
        <tr r="AD15" s="2"/>
        <tr r="AD15" s="2"/>
        <tr r="AD15" s="2"/>
      </tp>
      <tp t="s">
        <v>Equity</v>
        <stp/>
        <stp>##V3_BDPV12</stp>
        <stp>9888 HK Equity</stp>
        <stp>EX028</stp>
        <stp>[DPM - Securities Master List (BBG Linked).xlsx]Equities!R16C30</stp>
        <tr r="AD16" s="2"/>
        <tr r="AD16" s="2"/>
        <tr r="AD16" s="2"/>
      </tp>
      <tp t="s">
        <v>Equity</v>
        <stp/>
        <stp>##V3_BDPV12</stp>
        <stp>9888 HK Equity</stp>
        <stp>EX028</stp>
        <stp>[DPM - Securities Master List (BBG Linked).xlsx]Equities!R17C30</stp>
        <tr r="AD17" s="2"/>
        <tr r="AD17" s="2"/>
        <tr r="AD17" s="2"/>
      </tp>
      <tp>
        <v>1.3271770000000001</v>
        <stp/>
        <stp>##V3_BDPV12</stp>
        <stp>9888 HK Equity</stp>
        <stp>PR064</stp>
        <stp>[DPM - Securities Master List (BBG Linked).xlsx]Equities!R26C41</stp>
        <tr r="AO26" s="2"/>
      </tp>
      <tp>
        <v>1.3271770000000001</v>
        <stp/>
        <stp>##V3_BDPV12</stp>
        <stp>9888 HK Equity</stp>
        <stp>PR064</stp>
        <stp>[DPM - Securities Master List (BBG Linked).xlsx]Equities!R27C41</stp>
        <tr r="AO27" s="2"/>
      </tp>
      <tp>
        <v>1.3271770000000001</v>
        <stp/>
        <stp>##V3_BDPV12</stp>
        <stp>9888 HK Equity</stp>
        <stp>PR064</stp>
        <stp>[DPM - Securities Master List (BBG Linked).xlsx]Equities!R24C41</stp>
        <tr r="AO24" s="2"/>
      </tp>
      <tp>
        <v>1.3271770000000001</v>
        <stp/>
        <stp>##V3_BDPV12</stp>
        <stp>9888 HK Equity</stp>
        <stp>PR064</stp>
        <stp>[DPM - Securities Master List (BBG Linked).xlsx]Equities!R25C41</stp>
        <tr r="AO25" s="2"/>
      </tp>
      <tp>
        <v>1.3271770000000001</v>
        <stp/>
        <stp>##V3_BDPV12</stp>
        <stp>9888 HK Equity</stp>
        <stp>PR064</stp>
        <stp>[DPM - Securities Master List (BBG Linked).xlsx]Equities!R22C41</stp>
        <tr r="AO22" s="2"/>
      </tp>
      <tp>
        <v>1.3271770000000001</v>
        <stp/>
        <stp>##V3_BDPV12</stp>
        <stp>9888 HK Equity</stp>
        <stp>PR064</stp>
        <stp>[DPM - Securities Master List (BBG Linked).xlsx]Equities!R23C41</stp>
        <tr r="AO23" s="2"/>
      </tp>
      <tp>
        <v>1.3271770000000001</v>
        <stp/>
        <stp>##V3_BDPV12</stp>
        <stp>9888 HK Equity</stp>
        <stp>PR064</stp>
        <stp>[DPM - Securities Master List (BBG Linked).xlsx]Equities!R20C41</stp>
        <tr r="AO20" s="2"/>
      </tp>
      <tp>
        <v>1.3271770000000001</v>
        <stp/>
        <stp>##V3_BDPV12</stp>
        <stp>9888 HK Equity</stp>
        <stp>PR064</stp>
        <stp>[DPM - Securities Master List (BBG Linked).xlsx]Equities!R21C41</stp>
        <tr r="AO21" s="2"/>
      </tp>
      <tp>
        <v>1.3271770000000001</v>
        <stp/>
        <stp>##V3_BDPV12</stp>
        <stp>9888 HK Equity</stp>
        <stp>PR064</stp>
        <stp>[DPM - Securities Master List (BBG Linked).xlsx]Equities!R16C41</stp>
        <tr r="AO16" s="2"/>
      </tp>
      <tp>
        <v>1.3271770000000001</v>
        <stp/>
        <stp>##V3_BDPV12</stp>
        <stp>9888 HK Equity</stp>
        <stp>PR064</stp>
        <stp>[DPM - Securities Master List (BBG Linked).xlsx]Equities!R17C41</stp>
        <tr r="AO17" s="2"/>
      </tp>
      <tp>
        <v>1.3271770000000001</v>
        <stp/>
        <stp>##V3_BDPV12</stp>
        <stp>9888 HK Equity</stp>
        <stp>PR064</stp>
        <stp>[DPM - Securities Master List (BBG Linked).xlsx]Equities!R15C41</stp>
        <tr r="AO15" s="2"/>
      </tp>
      <tp>
        <v>1.3271770000000001</v>
        <stp/>
        <stp>##V3_BDPV12</stp>
        <stp>9888 HK Equity</stp>
        <stp>PR064</stp>
        <stp>[DPM - Securities Master List (BBG Linked).xlsx]Equities!R18C41</stp>
        <tr r="AO18" s="2"/>
      </tp>
      <tp>
        <v>1.3271770000000001</v>
        <stp/>
        <stp>##V3_BDPV12</stp>
        <stp>9888 HK Equity</stp>
        <stp>PR064</stp>
        <stp>[DPM - Securities Master List (BBG Linked).xlsx]Equities!R19C41</stp>
        <tr r="AO19" s="2"/>
      </tp>
      <tp>
        <v>0</v>
        <stp/>
        <stp>##V3_BDPV12</stp>
        <stp>9888 HK Equity</stp>
        <stp>PR061</stp>
        <stp>[DPM - Securities Master List (BBG Linked).xlsx]Equities!R26C40</stp>
        <tr r="AN26" s="2"/>
      </tp>
      <tp>
        <v>0</v>
        <stp/>
        <stp>##V3_BDPV12</stp>
        <stp>9888 HK Equity</stp>
        <stp>PR061</stp>
        <stp>[DPM - Securities Master List (BBG Linked).xlsx]Equities!R27C40</stp>
        <tr r="AN27" s="2"/>
      </tp>
      <tp>
        <v>0</v>
        <stp/>
        <stp>##V3_BDPV12</stp>
        <stp>9888 HK Equity</stp>
        <stp>PR061</stp>
        <stp>[DPM - Securities Master List (BBG Linked).xlsx]Equities!R24C40</stp>
        <tr r="AN24" s="2"/>
      </tp>
      <tp>
        <v>0</v>
        <stp/>
        <stp>##V3_BDPV12</stp>
        <stp>9888 HK Equity</stp>
        <stp>PR061</stp>
        <stp>[DPM - Securities Master List (BBG Linked).xlsx]Equities!R25C40</stp>
        <tr r="AN25" s="2"/>
      </tp>
      <tp>
        <v>0</v>
        <stp/>
        <stp>##V3_BDPV12</stp>
        <stp>9888 HK Equity</stp>
        <stp>PR061</stp>
        <stp>[DPM - Securities Master List (BBG Linked).xlsx]Equities!R22C40</stp>
        <tr r="AN22" s="2"/>
      </tp>
      <tp>
        <v>0</v>
        <stp/>
        <stp>##V3_BDPV12</stp>
        <stp>9888 HK Equity</stp>
        <stp>PR061</stp>
        <stp>[DPM - Securities Master List (BBG Linked).xlsx]Equities!R23C40</stp>
        <tr r="AN23" s="2"/>
      </tp>
      <tp>
        <v>0</v>
        <stp/>
        <stp>##V3_BDPV12</stp>
        <stp>9888 HK Equity</stp>
        <stp>PR061</stp>
        <stp>[DPM - Securities Master List (BBG Linked).xlsx]Equities!R20C40</stp>
        <tr r="AN20" s="2"/>
      </tp>
      <tp>
        <v>0</v>
        <stp/>
        <stp>##V3_BDPV12</stp>
        <stp>9888 HK Equity</stp>
        <stp>PR061</stp>
        <stp>[DPM - Securities Master List (BBG Linked).xlsx]Equities!R21C40</stp>
        <tr r="AN21" s="2"/>
      </tp>
      <tp>
        <v>0</v>
        <stp/>
        <stp>##V3_BDPV12</stp>
        <stp>9888 HK Equity</stp>
        <stp>PR061</stp>
        <stp>[DPM - Securities Master List (BBG Linked).xlsx]Equities!R16C40</stp>
        <tr r="AN16" s="2"/>
      </tp>
      <tp>
        <v>0</v>
        <stp/>
        <stp>##V3_BDPV12</stp>
        <stp>9888 HK Equity</stp>
        <stp>PR061</stp>
        <stp>[DPM - Securities Master List (BBG Linked).xlsx]Equities!R17C40</stp>
        <tr r="AN17" s="2"/>
      </tp>
      <tp>
        <v>0</v>
        <stp/>
        <stp>##V3_BDPV12</stp>
        <stp>9888 HK Equity</stp>
        <stp>PR061</stp>
        <stp>[DPM - Securities Master List (BBG Linked).xlsx]Equities!R15C40</stp>
        <tr r="AN15" s="2"/>
      </tp>
      <tp>
        <v>0</v>
        <stp/>
        <stp>##V3_BDPV12</stp>
        <stp>9888 HK Equity</stp>
        <stp>PR061</stp>
        <stp>[DPM - Securities Master List (BBG Linked).xlsx]Equities!R18C40</stp>
        <tr r="AN18" s="2"/>
      </tp>
      <tp>
        <v>0</v>
        <stp/>
        <stp>##V3_BDPV12</stp>
        <stp>9888 HK Equity</stp>
        <stp>PR061</stp>
        <stp>[DPM - Securities Master List (BBG Linked).xlsx]Equities!R19C40</stp>
        <tr r="AN19" s="2"/>
      </tp>
      <tp>
        <v>6.1668719999999997</v>
        <stp/>
        <stp>##V3_BDPV12</stp>
        <stp>9888 HK Equity</stp>
        <stp>PR079</stp>
        <stp>[DPM - Securities Master List (BBG Linked).xlsx]Equities!R16C43</stp>
        <tr r="AQ16" s="2"/>
      </tp>
      <tp>
        <v>6.1668719999999997</v>
        <stp/>
        <stp>##V3_BDPV12</stp>
        <stp>9888 HK Equity</stp>
        <stp>PR079</stp>
        <stp>[DPM - Securities Master List (BBG Linked).xlsx]Equities!R17C43</stp>
        <tr r="AQ17" s="2"/>
      </tp>
      <tp>
        <v>6.1668719999999997</v>
        <stp/>
        <stp>##V3_BDPV12</stp>
        <stp>9888 HK Equity</stp>
        <stp>PR079</stp>
        <stp>[DPM - Securities Master List (BBG Linked).xlsx]Equities!R15C43</stp>
        <tr r="AQ15" s="2"/>
      </tp>
      <tp>
        <v>6.1668719999999997</v>
        <stp/>
        <stp>##V3_BDPV12</stp>
        <stp>9888 HK Equity</stp>
        <stp>PR079</stp>
        <stp>[DPM - Securities Master List (BBG Linked).xlsx]Equities!R18C43</stp>
        <tr r="AQ18" s="2"/>
      </tp>
      <tp>
        <v>6.1668719999999997</v>
        <stp/>
        <stp>##V3_BDPV12</stp>
        <stp>9888 HK Equity</stp>
        <stp>PR079</stp>
        <stp>[DPM - Securities Master List (BBG Linked).xlsx]Equities!R19C43</stp>
        <tr r="AQ19" s="2"/>
      </tp>
      <tp>
        <v>6.1668719999999997</v>
        <stp/>
        <stp>##V3_BDPV12</stp>
        <stp>9888 HK Equity</stp>
        <stp>PR079</stp>
        <stp>[DPM - Securities Master List (BBG Linked).xlsx]Equities!R26C43</stp>
        <tr r="AQ26" s="2"/>
      </tp>
      <tp>
        <v>6.1668719999999997</v>
        <stp/>
        <stp>##V3_BDPV12</stp>
        <stp>9888 HK Equity</stp>
        <stp>PR079</stp>
        <stp>[DPM - Securities Master List (BBG Linked).xlsx]Equities!R27C43</stp>
        <tr r="AQ27" s="2"/>
      </tp>
      <tp>
        <v>6.1668719999999997</v>
        <stp/>
        <stp>##V3_BDPV12</stp>
        <stp>9888 HK Equity</stp>
        <stp>PR079</stp>
        <stp>[DPM - Securities Master List (BBG Linked).xlsx]Equities!R24C43</stp>
        <tr r="AQ24" s="2"/>
      </tp>
      <tp>
        <v>6.1668719999999997</v>
        <stp/>
        <stp>##V3_BDPV12</stp>
        <stp>9888 HK Equity</stp>
        <stp>PR079</stp>
        <stp>[DPM - Securities Master List (BBG Linked).xlsx]Equities!R25C43</stp>
        <tr r="AQ25" s="2"/>
      </tp>
      <tp>
        <v>6.1668719999999997</v>
        <stp/>
        <stp>##V3_BDPV12</stp>
        <stp>9888 HK Equity</stp>
        <stp>PR079</stp>
        <stp>[DPM - Securities Master List (BBG Linked).xlsx]Equities!R22C43</stp>
        <tr r="AQ22" s="2"/>
      </tp>
      <tp>
        <v>6.1668719999999997</v>
        <stp/>
        <stp>##V3_BDPV12</stp>
        <stp>9888 HK Equity</stp>
        <stp>PR079</stp>
        <stp>[DPM - Securities Master List (BBG Linked).xlsx]Equities!R23C43</stp>
        <tr r="AQ23" s="2"/>
      </tp>
      <tp>
        <v>6.1668719999999997</v>
        <stp/>
        <stp>##V3_BDPV12</stp>
        <stp>9888 HK Equity</stp>
        <stp>PR079</stp>
        <stp>[DPM - Securities Master List (BBG Linked).xlsx]Equities!R20C43</stp>
        <tr r="AQ20" s="2"/>
      </tp>
      <tp>
        <v>6.1668719999999997</v>
        <stp/>
        <stp>##V3_BDPV12</stp>
        <stp>9888 HK Equity</stp>
        <stp>PR079</stp>
        <stp>[DPM - Securities Master List (BBG Linked).xlsx]Equities!R21C43</stp>
        <tr r="AQ21" s="2"/>
      </tp>
      <tp t="s">
        <v>#N/A Invalid Field</v>
        <stp/>
        <stp>##V3_BDPV12</stp>
        <stp>DELL US Equity</stp>
        <stp/>
        <stp>[DPM - Securities Master List (BBG Linked).xlsx]Equities!R99C29</stp>
        <tr r="AC99" s="2"/>
        <tr r="AC99" s="2"/>
      </tp>
      <tp t="s">
        <v>#N/A Invalid Field</v>
        <stp/>
        <stp>##V3_BDPV12</stp>
        <stp>DELL US Equity</stp>
        <stp/>
        <stp>[DPM - Securities Master List (BBG Linked).xlsx]Equities!R98C29</stp>
        <tr r="AC98" s="2"/>
        <tr r="AC98" s="2"/>
      </tp>
      <tp t="s">
        <v>#N/A Invalid Field</v>
        <stp/>
        <stp>##V3_BDPV12</stp>
        <stp>DELL US Equity</stp>
        <stp/>
        <stp>[DPM - Securities Master List (BBG Linked).xlsx]Equities!R93C29</stp>
        <tr r="AC93" s="2"/>
        <tr r="AC93" s="2"/>
      </tp>
      <tp t="s">
        <v>#N/A Invalid Field</v>
        <stp/>
        <stp>##V3_BDPV12</stp>
        <stp>DELL US Equity</stp>
        <stp/>
        <stp>[DPM - Securities Master List (BBG Linked).xlsx]Equities!R92C29</stp>
        <tr r="AC92" s="2"/>
        <tr r="AC92" s="2"/>
      </tp>
      <tp t="s">
        <v>#N/A Invalid Field</v>
        <stp/>
        <stp>##V3_BDPV12</stp>
        <stp>DELL US Equity</stp>
        <stp/>
        <stp>[DPM - Securities Master List (BBG Linked).xlsx]Equities!R95C29</stp>
        <tr r="AC95" s="2"/>
        <tr r="AC95" s="2"/>
      </tp>
      <tp t="s">
        <v>#N/A Invalid Field</v>
        <stp/>
        <stp>##V3_BDPV12</stp>
        <stp>DELL US Equity</stp>
        <stp/>
        <stp>[DPM - Securities Master List (BBG Linked).xlsx]Equities!R94C29</stp>
        <tr r="AC94" s="2"/>
        <tr r="AC94" s="2"/>
      </tp>
      <tp t="s">
        <v>#N/A Invalid Field</v>
        <stp/>
        <stp>##V3_BDPV12</stp>
        <stp>DELL US Equity</stp>
        <stp/>
        <stp>[DPM - Securities Master List (BBG Linked).xlsx]Equities!R97C29</stp>
        <tr r="AC97" s="2"/>
        <tr r="AC97" s="2"/>
      </tp>
      <tp t="s">
        <v>#N/A Invalid Field</v>
        <stp/>
        <stp>##V3_BDPV12</stp>
        <stp>DELL US Equity</stp>
        <stp/>
        <stp>[DPM - Securities Master List (BBG Linked).xlsx]Equities!R96C29</stp>
        <tr r="AC96" s="2"/>
        <tr r="AC96" s="2"/>
      </tp>
    </main>
    <main first="bofaddin.rtdserver">
      <tp t="e">
        <v>#N/A</v>
        <stp/>
        <stp>BDP|3126635020357185494</stp>
        <tr r="F34" s="3"/>
        <tr r="F33" s="3"/>
        <tr r="F32" s="3"/>
        <tr r="F31" s="3"/>
        <tr r="F30" s="3"/>
        <tr r="F29" s="3"/>
        <tr r="F28" s="3"/>
        <tr r="F27" s="3"/>
        <tr r="F26" s="3"/>
        <tr r="F25" s="3"/>
        <tr r="F24" s="3"/>
        <tr r="F23" s="3"/>
        <tr r="F22" s="3"/>
        <tr r="F21" s="3"/>
        <tr r="F20" s="3"/>
        <tr r="F19" s="3"/>
        <tr r="F18" s="3"/>
        <tr r="F17" s="3"/>
      </tp>
      <tp t="e">
        <v>#N/A</v>
        <stp/>
        <stp>BDP|5124682375343615306</stp>
        <tr r="M105" s="1"/>
        <tr r="M105" s="1"/>
      </tp>
      <tp t="e">
        <v>#N/A</v>
        <stp/>
        <stp>BDP|2202480794198084350</stp>
        <tr r="V82" s="1"/>
        <tr r="V39" s="1"/>
        <tr r="V22" s="1"/>
        <tr r="V167" s="1"/>
      </tp>
      <tp t="e">
        <v>#N/A</v>
        <stp/>
        <stp>BDP|4422326926814250591</stp>
        <tr r="AE85" s="1"/>
      </tp>
      <tp t="e">
        <v>#N/A</v>
        <stp/>
        <stp>BDP|8900347807068631778</stp>
        <tr r="F32" s="1"/>
      </tp>
      <tp t="e">
        <v>#N/A</v>
        <stp/>
        <stp>BDP|3296688693021261907</stp>
        <tr r="H69" s="1"/>
        <tr r="H69" s="1"/>
        <tr r="H57" s="1"/>
        <tr r="H57" s="1"/>
      </tp>
      <tp t="e">
        <v>#N/A</v>
        <stp/>
        <stp>BDP|9892975901702054658</stp>
        <tr r="AT34" s="1"/>
        <tr r="AT156" s="1"/>
      </tp>
      <tp t="e">
        <v>#N/A</v>
        <stp/>
        <stp>BDP|6665413678099288851</stp>
        <tr r="AO98" s="1"/>
        <tr r="AO79" s="1"/>
        <tr r="AO5" s="1"/>
        <tr r="AO155" s="1"/>
        <tr r="AO118" s="1"/>
      </tp>
      <tp t="e">
        <v>#N/A</v>
        <stp/>
        <stp>BDP|3983345447253728353</stp>
        <tr r="AL63" s="3"/>
        <tr r="AL63" s="3"/>
        <tr r="AL63" s="3"/>
        <tr r="AL62" s="3"/>
        <tr r="AL62" s="3"/>
        <tr r="AL62" s="3"/>
        <tr r="AL61" s="3"/>
        <tr r="AL61" s="3"/>
        <tr r="AL61" s="3"/>
        <tr r="AL60" s="3"/>
        <tr r="AL60" s="3"/>
        <tr r="AL60" s="3"/>
        <tr r="AL59" s="3"/>
        <tr r="AL59" s="3"/>
        <tr r="AL59" s="3"/>
        <tr r="AL58" s="3"/>
        <tr r="AL58" s="3"/>
        <tr r="AL58" s="3"/>
        <tr r="AL57" s="3"/>
        <tr r="AL57" s="3"/>
        <tr r="AL57" s="3"/>
        <tr r="AL56" s="3"/>
        <tr r="AL56" s="3"/>
        <tr r="AL56" s="3"/>
        <tr r="AL55" s="3"/>
        <tr r="AL55" s="3"/>
        <tr r="AL55" s="3"/>
        <tr r="AL54" s="3"/>
        <tr r="AL54" s="3"/>
        <tr r="AL54" s="3"/>
        <tr r="AL53" s="3"/>
        <tr r="AL53" s="3"/>
        <tr r="AL53" s="3"/>
        <tr r="AL52" s="3"/>
        <tr r="AL52" s="3"/>
        <tr r="AL52" s="3"/>
        <tr r="AL51" s="3"/>
        <tr r="AL51" s="3"/>
        <tr r="AL51" s="3"/>
      </tp>
      <tp t="e">
        <v>#N/A</v>
        <stp/>
        <stp>BDP|2198237623076826019</stp>
        <tr r="X150" s="1"/>
        <tr r="X122" s="1"/>
      </tp>
      <tp t="e">
        <v>#N/A</v>
        <stp/>
        <stp>BDP|8914690126038926075</stp>
        <tr r="Z80" s="1"/>
        <tr r="Z58" s="1"/>
        <tr r="Z28" s="1"/>
        <tr r="Z161" s="1"/>
        <tr r="Z121" s="1"/>
        <tr r="Z10" s="1"/>
      </tp>
      <tp t="e">
        <v>#N/A</v>
        <stp/>
        <stp>BDP|8880642807632432860</stp>
        <tr r="AL98" s="1"/>
        <tr r="AL79" s="1"/>
        <tr r="AL5" s="1"/>
        <tr r="AL155" s="1"/>
        <tr r="AL118" s="1"/>
      </tp>
      <tp t="e">
        <v>#N/A</v>
        <stp/>
        <stp>BDP|9950305654549315274</stp>
        <tr r="AU111" s="3"/>
        <tr r="AU111" s="3"/>
        <tr r="AU110" s="3"/>
        <tr r="AU110" s="3"/>
        <tr r="AU109" s="3"/>
        <tr r="AU109" s="3"/>
        <tr r="AU108" s="3"/>
        <tr r="AU108" s="3"/>
        <tr r="AU107" s="3"/>
        <tr r="AU107" s="3"/>
        <tr r="AU106" s="3"/>
        <tr r="AU106" s="3"/>
        <tr r="AU105" s="3"/>
        <tr r="AU105" s="3"/>
        <tr r="AU104" s="3"/>
        <tr r="AU104" s="3"/>
      </tp>
      <tp t="e">
        <v>#N/A</v>
        <stp/>
        <stp>BDP|1891835651948064031</stp>
        <tr r="K68" s="1"/>
        <tr r="K31" s="1"/>
      </tp>
      <tp t="e">
        <v>#N/A</v>
        <stp/>
        <stp>BDP|7750021617260882238</stp>
        <tr r="AQ115" s="3"/>
        <tr r="AQ115" s="3"/>
        <tr r="AQ115" s="3"/>
      </tp>
      <tp t="e">
        <v>#N/A</v>
        <stp/>
        <stp>BDP|1622783813851663244</stp>
        <tr r="Q96" s="3"/>
        <tr r="Q95" s="3"/>
      </tp>
      <tp t="e">
        <v>#N/A</v>
        <stp/>
        <stp>BDP|3843302827797986196</stp>
        <tr r="Y15" s="1"/>
        <tr r="Y109" s="1"/>
      </tp>
      <tp t="e">
        <v>#N/A</v>
        <stp/>
        <stp>BDP|8057954327553895452</stp>
        <tr r="V141" s="3"/>
        <tr r="V140" s="3"/>
        <tr r="V139" s="3"/>
        <tr r="V138" s="3"/>
        <tr r="V137" s="3"/>
        <tr r="V136" s="3"/>
        <tr r="V135" s="3"/>
        <tr r="V134" s="3"/>
        <tr r="V133" s="3"/>
        <tr r="V132" s="3"/>
        <tr r="V131" s="3"/>
        <tr r="V130" s="3"/>
      </tp>
      <tp t="e">
        <v>#N/A</v>
        <stp/>
        <stp>BDP|7190538408855194378</stp>
        <tr r="Q94" s="3"/>
        <tr r="Q93" s="3"/>
        <tr r="Q92" s="3"/>
        <tr r="Q91" s="3"/>
        <tr r="Q90" s="3"/>
        <tr r="Q89" s="3"/>
        <tr r="Q88" s="3"/>
        <tr r="Q87" s="3"/>
        <tr r="Q86" s="3"/>
        <tr r="Q85" s="3"/>
        <tr r="Q84" s="3"/>
        <tr r="Q83" s="3"/>
        <tr r="Q82" s="3"/>
        <tr r="Q81" s="3"/>
        <tr r="Q80" s="3"/>
        <tr r="Q79" s="3"/>
      </tp>
      <tp t="e">
        <v>#N/A</v>
        <stp/>
        <stp>BDP|4170790936850162431</stp>
        <tr r="V93" s="1"/>
      </tp>
      <tp t="e">
        <v>#N/A</v>
        <stp/>
        <stp>BDP|7890307284340848885</stp>
        <tr r="Q111" s="3"/>
        <tr r="Q110" s="3"/>
        <tr r="Q109" s="3"/>
        <tr r="Q108" s="3"/>
        <tr r="Q107" s="3"/>
        <tr r="Q106" s="3"/>
        <tr r="Q105" s="3"/>
        <tr r="Q104" s="3"/>
      </tp>
      <tp t="e">
        <v>#N/A</v>
        <stp/>
        <stp>BDP|7815782356475224484</stp>
        <tr r="AV119" s="3"/>
        <tr r="AV119" s="3"/>
        <tr r="AV118" s="3"/>
        <tr r="AV118" s="3"/>
        <tr r="AV117" s="3"/>
        <tr r="AV117" s="3"/>
        <tr r="AV116" s="3"/>
        <tr r="AV116" s="3"/>
      </tp>
      <tp t="e">
        <v>#N/A</v>
        <stp/>
        <stp>BDP|3703408673893851707</stp>
        <tr r="AO73" s="1"/>
        <tr r="AO168" s="1"/>
      </tp>
      <tp t="e">
        <v>#N/A</v>
        <stp/>
        <stp>BDP|6132921938430063872</stp>
        <tr r="Y84" s="1"/>
        <tr r="Y70" s="1"/>
        <tr r="Y159" s="1"/>
        <tr r="Y116" s="1"/>
      </tp>
      <tp t="e">
        <v>#N/A</v>
        <stp/>
        <stp>BDP|6748892800392445866</stp>
        <tr r="F110" s="1"/>
      </tp>
      <tp t="e">
        <v>#N/A</v>
        <stp/>
        <stp>BDP|5231099055542014637</stp>
        <tr r="Z47" s="1"/>
      </tp>
      <tp t="e">
        <v>#N/A</v>
        <stp/>
        <stp>BDP|3126659771065958317</stp>
        <tr r="AK140" s="1"/>
        <tr r="AK140" s="1"/>
        <tr r="AK140" s="1"/>
        <tr r="AK128" s="1"/>
        <tr r="AK128" s="1"/>
        <tr r="AK128" s="1"/>
      </tp>
      <tp t="e">
        <v>#N/A</v>
        <stp/>
        <stp>BDP|1819827682240157549</stp>
        <tr r="AE66" s="1"/>
        <tr r="AE49" s="1"/>
        <tr r="AE42" s="1"/>
      </tp>
      <tp t="e">
        <v>#N/A</v>
        <stp/>
        <stp>BDP|6046374622866153566</stp>
        <tr r="M94" s="3"/>
        <tr r="M94" s="3"/>
        <tr r="M94" s="3"/>
        <tr r="M93" s="3"/>
        <tr r="M93" s="3"/>
        <tr r="M93" s="3"/>
        <tr r="M92" s="3"/>
        <tr r="M92" s="3"/>
        <tr r="M92" s="3"/>
        <tr r="M91" s="3"/>
        <tr r="M91" s="3"/>
        <tr r="M91" s="3"/>
        <tr r="M90" s="3"/>
        <tr r="M90" s="3"/>
        <tr r="M90" s="3"/>
        <tr r="M89" s="3"/>
        <tr r="M89" s="3"/>
        <tr r="M89" s="3"/>
        <tr r="M88" s="3"/>
        <tr r="M88" s="3"/>
        <tr r="M88" s="3"/>
        <tr r="M87" s="3"/>
        <tr r="M87" s="3"/>
        <tr r="M87" s="3"/>
        <tr r="M86" s="3"/>
        <tr r="M86" s="3"/>
        <tr r="M86" s="3"/>
        <tr r="M85" s="3"/>
        <tr r="M85" s="3"/>
        <tr r="M85" s="3"/>
        <tr r="M84" s="3"/>
        <tr r="M84" s="3"/>
        <tr r="M84" s="3"/>
        <tr r="M83" s="3"/>
        <tr r="M83" s="3"/>
        <tr r="M83" s="3"/>
        <tr r="M82" s="3"/>
        <tr r="M82" s="3"/>
        <tr r="M82" s="3"/>
        <tr r="M81" s="3"/>
        <tr r="M81" s="3"/>
        <tr r="M81" s="3"/>
        <tr r="M80" s="3"/>
        <tr r="M80" s="3"/>
        <tr r="M80" s="3"/>
        <tr r="M79" s="3"/>
        <tr r="M79" s="3"/>
        <tr r="M79" s="3"/>
      </tp>
      <tp t="e">
        <v>#N/A</v>
        <stp/>
        <stp>BDP|2368404326319624918</stp>
        <tr r="V56" s="1"/>
      </tp>
      <tp t="e">
        <v>#N/A</v>
        <stp/>
        <stp>BDP|8599038993502596722</stp>
        <tr r="AS94" s="1"/>
        <tr r="AS151" s="1"/>
        <tr r="AS123" s="1"/>
        <tr r="AS101" s="1"/>
      </tp>
      <tp t="e">
        <v>#N/A</v>
        <stp/>
        <stp>BDP|9199466266027493878</stp>
        <tr r="X94" s="1"/>
        <tr r="X151" s="1"/>
        <tr r="X123" s="1"/>
        <tr r="X101" s="1"/>
      </tp>
      <tp t="e">
        <v>#N/A</v>
        <stp/>
        <stp>BDP|5168773541347310564</stp>
        <tr r="H12" s="1"/>
      </tp>
      <tp t="e">
        <v>#N/A</v>
        <stp/>
        <stp>BDP|3981092442361144204</stp>
        <tr r="AS72" s="1"/>
        <tr r="AS33" s="1"/>
        <tr r="AS158" s="1"/>
        <tr r="L72" s="1"/>
        <tr r="L72" s="1"/>
        <tr r="L33" s="1"/>
        <tr r="L33" s="1"/>
        <tr r="L158" s="1"/>
        <tr r="L158" s="1"/>
      </tp>
      <tp t="e">
        <v>#N/A</v>
        <stp/>
        <stp>BDP|7295651221631713627</stp>
        <tr r="H34" s="1"/>
        <tr r="H34" s="1"/>
        <tr r="H156" s="1"/>
        <tr r="H156" s="1"/>
      </tp>
      <tp t="e">
        <v>#N/A</v>
        <stp/>
        <stp>BDP|8653666048487809938</stp>
        <tr r="Z93" s="1"/>
      </tp>
      <tp t="e">
        <v>#N/A</v>
        <stp/>
        <stp>BDP|7009819893037236534</stp>
        <tr r="H32" s="1"/>
        <tr r="H32" s="1"/>
      </tp>
      <tp t="e">
        <v>#N/A</v>
        <stp/>
        <stp>BDP|6598630334770817791</stp>
        <tr r="J16" s="3"/>
        <tr r="J16" s="3"/>
      </tp>
      <tp t="e">
        <v>#N/A</v>
        <stp/>
        <stp>BDP|4479660564325549500</stp>
        <tr r="M44" s="1"/>
        <tr r="M44" s="1"/>
      </tp>
      <tp t="e">
        <v>#N/A</v>
        <stp/>
        <stp>BDP|9464972044905254552</stp>
        <tr r="I12" s="1"/>
      </tp>
      <tp t="e">
        <v>#N/A</v>
        <stp/>
        <stp>BDP|4534252611330663375</stp>
        <tr r="X13" s="1"/>
      </tp>
      <tp t="e">
        <v>#N/A</v>
        <stp/>
        <stp>BDP|5378994216561922857</stp>
        <tr r="H141" s="3"/>
        <tr r="H141" s="3"/>
        <tr r="H141" s="3"/>
        <tr r="H140" s="3"/>
        <tr r="H140" s="3"/>
        <tr r="H140" s="3"/>
        <tr r="H139" s="3"/>
        <tr r="H139" s="3"/>
        <tr r="H139" s="3"/>
        <tr r="H138" s="3"/>
        <tr r="H138" s="3"/>
        <tr r="H138" s="3"/>
        <tr r="H137" s="3"/>
        <tr r="H137" s="3"/>
        <tr r="H137" s="3"/>
        <tr r="H136" s="3"/>
        <tr r="H136" s="3"/>
        <tr r="H136" s="3"/>
        <tr r="H135" s="3"/>
        <tr r="H135" s="3"/>
        <tr r="H135" s="3"/>
        <tr r="H134" s="3"/>
        <tr r="H134" s="3"/>
        <tr r="H134" s="3"/>
        <tr r="H133" s="3"/>
        <tr r="H133" s="3"/>
        <tr r="H133" s="3"/>
        <tr r="H132" s="3"/>
        <tr r="H132" s="3"/>
        <tr r="H132" s="3"/>
        <tr r="H131" s="3"/>
        <tr r="H131" s="3"/>
        <tr r="H131" s="3"/>
        <tr r="H130" s="3"/>
        <tr r="H130" s="3"/>
        <tr r="H130" s="3"/>
      </tp>
      <tp t="e">
        <v>#N/A</v>
        <stp/>
        <stp>BDP|5534919265158506649</stp>
        <tr r="V18" s="1"/>
      </tp>
      <tp t="e">
        <v>#N/A</v>
        <stp/>
        <stp>BDP|9451480895259806915</stp>
        <tr r="AP72" s="3"/>
        <tr r="AP72" s="3"/>
        <tr r="AP72" s="3"/>
        <tr r="AP71" s="3"/>
        <tr r="AP71" s="3"/>
        <tr r="AP71" s="3"/>
        <tr r="AP70" s="3"/>
        <tr r="AP70" s="3"/>
        <tr r="AP70" s="3"/>
        <tr r="AP69" s="3"/>
        <tr r="AP69" s="3"/>
        <tr r="AP69" s="3"/>
        <tr r="AP68" s="3"/>
        <tr r="AP68" s="3"/>
        <tr r="AP68" s="3"/>
        <tr r="AP67" s="3"/>
        <tr r="AP67" s="3"/>
        <tr r="AP67" s="3"/>
        <tr r="AP66" s="3"/>
        <tr r="AP66" s="3"/>
        <tr r="AP66" s="3"/>
        <tr r="AP65" s="3"/>
        <tr r="AP65" s="3"/>
        <tr r="AP65" s="3"/>
      </tp>
      <tp t="e">
        <v>#N/A</v>
        <stp/>
        <stp>BDP|4674575835717709130</stp>
        <tr r="AP63" s="3"/>
        <tr r="AP63" s="3"/>
        <tr r="AP63" s="3"/>
        <tr r="AP62" s="3"/>
        <tr r="AP62" s="3"/>
        <tr r="AP62" s="3"/>
        <tr r="AP61" s="3"/>
        <tr r="AP61" s="3"/>
        <tr r="AP61" s="3"/>
        <tr r="AP60" s="3"/>
        <tr r="AP60" s="3"/>
        <tr r="AP60" s="3"/>
        <tr r="AP59" s="3"/>
        <tr r="AP59" s="3"/>
        <tr r="AP59" s="3"/>
        <tr r="AP58" s="3"/>
        <tr r="AP58" s="3"/>
        <tr r="AP58" s="3"/>
        <tr r="AP57" s="3"/>
        <tr r="AP57" s="3"/>
        <tr r="AP57" s="3"/>
        <tr r="AP56" s="3"/>
        <tr r="AP56" s="3"/>
        <tr r="AP56" s="3"/>
        <tr r="AP55" s="3"/>
        <tr r="AP55" s="3"/>
        <tr r="AP55" s="3"/>
        <tr r="AP54" s="3"/>
        <tr r="AP54" s="3"/>
        <tr r="AP54" s="3"/>
        <tr r="AP53" s="3"/>
        <tr r="AP53" s="3"/>
        <tr r="AP53" s="3"/>
        <tr r="AP52" s="3"/>
        <tr r="AP52" s="3"/>
        <tr r="AP52" s="3"/>
        <tr r="AP51" s="3"/>
        <tr r="AP51" s="3"/>
        <tr r="AP51" s="3"/>
      </tp>
      <tp t="e">
        <v>#N/A</v>
        <stp/>
        <stp>BDP|5580721103787311178</stp>
        <tr r="Q92" s="1"/>
      </tp>
      <tp t="e">
        <v>#N/A</v>
        <stp/>
        <stp>BDP|7118454011471143758</stp>
        <tr r="AP64" s="3"/>
        <tr r="AP64" s="3"/>
        <tr r="AP64" s="3"/>
      </tp>
      <tp t="e">
        <v>#N/A</v>
        <stp/>
        <stp>BDP|1473009615555794170</stp>
        <tr r="AT70" s="1"/>
        <tr r="AT159" s="1"/>
        <tr r="AT84" s="1"/>
        <tr r="AT116" s="1"/>
      </tp>
      <tp t="e">
        <v>#N/A</v>
        <stp/>
        <stp>BDP|1198939677568698353</stp>
        <tr r="Z99" s="1"/>
        <tr r="Z74" s="1"/>
        <tr r="Z61" s="1"/>
        <tr r="Z38" s="1"/>
        <tr r="Z23" s="1"/>
        <tr r="Z165" s="1"/>
        <tr r="Z16" s="1"/>
        <tr r="Z152" s="1"/>
        <tr r="Z146" s="1"/>
        <tr r="Z137" s="1"/>
        <tr r="Z119" s="1"/>
        <tr r="Z111" s="1"/>
      </tp>
      <tp t="e">
        <v>#N/A</v>
        <stp/>
        <stp>BDP|2147057307751329774</stp>
        <tr r="W107" s="1"/>
      </tp>
      <tp t="e">
        <v>#N/A</v>
        <stp/>
        <stp>BDP|4627057703000222050</stp>
        <tr r="Z89" s="1"/>
        <tr r="Z81" s="1"/>
        <tr r="Z59" s="1"/>
        <tr r="Z41" s="1"/>
        <tr r="Z37" s="1"/>
        <tr r="Z29" s="1"/>
        <tr r="Z164" s="1"/>
        <tr r="Z135" s="1"/>
      </tp>
      <tp t="e">
        <v>#N/A</v>
        <stp/>
        <stp>BDP|6343542160213575255</stp>
        <tr r="AL104" s="1"/>
      </tp>
      <tp t="e">
        <v>#N/A</v>
        <stp/>
        <stp>BDP|3195843816786161865</stp>
        <tr r="AK98" s="1"/>
        <tr r="AK98" s="1"/>
        <tr r="AK98" s="1"/>
        <tr r="AK79" s="1"/>
        <tr r="AK79" s="1"/>
        <tr r="AK79" s="1"/>
        <tr r="AK5" s="1"/>
        <tr r="AK5" s="1"/>
        <tr r="AK5" s="1"/>
        <tr r="AK155" s="1"/>
        <tr r="AK155" s="1"/>
        <tr r="AK155" s="1"/>
        <tr r="AK118" s="1"/>
        <tr r="AK118" s="1"/>
        <tr r="AK118" s="1"/>
      </tp>
      <tp t="e">
        <v>#N/A</v>
        <stp/>
        <stp>BDP|4179457365511532308</stp>
        <tr r="H110" s="1"/>
        <tr r="H110" s="1"/>
      </tp>
      <tp t="e">
        <v>#N/A</v>
        <stp/>
        <stp>BDP|8903815413874983164</stp>
        <tr r="AU12" s="1"/>
        <tr r="AU12" s="1"/>
        <tr r="AU12" s="1"/>
      </tp>
      <tp t="e">
        <v>#N/A</v>
        <stp/>
        <stp>BDP|1444854270658374261</stp>
        <tr r="AC111" s="3"/>
        <tr r="AC111" s="3"/>
        <tr r="AC111" s="3"/>
        <tr r="AC110" s="3"/>
        <tr r="AC110" s="3"/>
        <tr r="AC110" s="3"/>
        <tr r="AC109" s="3"/>
        <tr r="AC109" s="3"/>
        <tr r="AC109" s="3"/>
        <tr r="AC108" s="3"/>
        <tr r="AC108" s="3"/>
        <tr r="AC108" s="3"/>
        <tr r="AC107" s="3"/>
        <tr r="AC107" s="3"/>
        <tr r="AC107" s="3"/>
        <tr r="AC106" s="3"/>
        <tr r="AC106" s="3"/>
        <tr r="AC106" s="3"/>
        <tr r="AC105" s="3"/>
        <tr r="AC105" s="3"/>
        <tr r="AC105" s="3"/>
        <tr r="AC104" s="3"/>
        <tr r="AC104" s="3"/>
        <tr r="AC104" s="3"/>
      </tp>
      <tp t="b">
        <v>0</v>
        <stp/>
        <stp>BDP|6635047075917223208</stp>
        <tr r="Q50" s="3"/>
        <tr r="Q49" s="3"/>
        <tr r="Q48" s="3"/>
        <tr r="Q47" s="3"/>
        <tr r="Q46" s="3"/>
        <tr r="Q45" s="3"/>
        <tr r="Q44" s="3"/>
        <tr r="Q43" s="3"/>
        <tr r="Q42" s="3"/>
        <tr r="Q41" s="3"/>
        <tr r="Q40" s="3"/>
        <tr r="Q39" s="3"/>
        <tr r="Q38" s="3"/>
        <tr r="Q37" s="3"/>
        <tr r="Q36" s="3"/>
        <tr r="Q35" s="3"/>
      </tp>
      <tp t="e">
        <v>#N/A</v>
        <stp/>
        <stp>BDP|4604450347417079715</stp>
        <tr r="AO63" s="3"/>
        <tr r="AO63" s="3"/>
        <tr r="AO63" s="3"/>
        <tr r="AO62" s="3"/>
        <tr r="AO62" s="3"/>
        <tr r="AO62" s="3"/>
        <tr r="AO61" s="3"/>
        <tr r="AO61" s="3"/>
        <tr r="AO61" s="3"/>
        <tr r="AO60" s="3"/>
        <tr r="AO60" s="3"/>
        <tr r="AO60" s="3"/>
        <tr r="AO59" s="3"/>
        <tr r="AO59" s="3"/>
        <tr r="AO59" s="3"/>
        <tr r="AO58" s="3"/>
        <tr r="AO58" s="3"/>
        <tr r="AO58" s="3"/>
        <tr r="AO57" s="3"/>
        <tr r="AO57" s="3"/>
        <tr r="AO57" s="3"/>
        <tr r="AO56" s="3"/>
        <tr r="AO56" s="3"/>
        <tr r="AO56" s="3"/>
        <tr r="AO55" s="3"/>
        <tr r="AO55" s="3"/>
        <tr r="AO55" s="3"/>
        <tr r="AO54" s="3"/>
        <tr r="AO54" s="3"/>
        <tr r="AO54" s="3"/>
        <tr r="AO53" s="3"/>
        <tr r="AO53" s="3"/>
        <tr r="AO53" s="3"/>
        <tr r="AO52" s="3"/>
        <tr r="AO52" s="3"/>
        <tr r="AO52" s="3"/>
        <tr r="AO51" s="3"/>
        <tr r="AO51" s="3"/>
        <tr r="AO51" s="3"/>
      </tp>
    </main>
    <main first="bloomberg.rtd">
      <tp t="s">
        <v>Health Care</v>
        <stp/>
        <stp>##V3_BDPV12</stp>
        <stp>MRK US Equity</stp>
        <stp>DX202</stp>
        <stp>[DPM - Securities Master List (BBG Linked).xlsx]Equities!R164C8</stp>
        <tr r="H164" s="2"/>
        <tr r="H164" s="2"/>
        <tr r="H164" s="2"/>
      </tp>
      <tp t="s">
        <v>Materials</v>
        <stp/>
        <stp>##V3_BDPV12</stp>
        <stp>RIO LN Equity</stp>
        <stp>DX202</stp>
        <stp>[DPM - Securities Master List (BBG Linked).xlsx]Equities!R242C8</stp>
        <tr r="H242" s="2"/>
        <tr r="H242" s="2"/>
        <tr r="H242" s="2"/>
      </tp>
      <tp t="s">
        <v>Consumer Discretionary</v>
        <stp/>
        <stp>##V3_BDPV12</stp>
        <stp>NKE US Equity</stp>
        <stp>DX202</stp>
        <stp>[DPM - Securities Master List (BBG Linked).xlsx]Equities!R207C8</stp>
        <tr r="H207" s="2"/>
        <tr r="H207" s="2"/>
        <tr r="H207" s="2"/>
      </tp>
      <tp t="s">
        <v>Consumer Discretionary</v>
        <stp/>
        <stp>##V3_BDPV12</stp>
        <stp>NKE US Equity</stp>
        <stp>DX202</stp>
        <stp>[DPM - Securities Master List (BBG Linked).xlsx]Equities!R217C8</stp>
        <tr r="H217" s="2"/>
        <tr r="H217" s="2"/>
        <tr r="H217" s="2"/>
      </tp>
      <tp t="s">
        <v>Utilities</v>
        <stp/>
        <stp>##V3_BDPV12</stp>
        <stp>SSE LN Equity</stp>
        <stp>DX202</stp>
        <stp>[DPM - Securities Master List (BBG Linked).xlsx]Equities!R253C8</stp>
        <tr r="H253" s="2"/>
        <tr r="H253" s="2"/>
        <tr r="H253" s="2"/>
      </tp>
      <tp t="s">
        <v>Information Technology</v>
        <stp/>
        <stp>##V3_BDPV12</stp>
        <stp>MSFT US Equity</stp>
        <stp>DX202</stp>
        <stp>[DPM - Securities Master List (BBG Linked).xlsx]Equities!R188C8</stp>
        <tr r="H188" s="2"/>
        <tr r="H188" s="2"/>
        <tr r="H188" s="2"/>
      </tp>
      <tp t="s">
        <v>Information Technology</v>
        <stp/>
        <stp>##V3_BDPV12</stp>
        <stp>MSFT US Equity</stp>
        <stp>DX202</stp>
        <stp>[DPM - Securities Master List (BBG Linked).xlsx]Equities!R178C8</stp>
        <tr r="H178" s="2"/>
        <tr r="H178" s="2"/>
        <tr r="H178" s="2"/>
      </tp>
    </main>
    <main first="bofaddin.rtdserver">
      <tp t="e">
        <v>#N/A</v>
        <stp/>
        <stp>BDP|3123318724247864066</stp>
        <tr r="AT141" s="1"/>
        <tr r="AT131" s="1"/>
      </tp>
      <tp t="e">
        <v>#N/A</v>
        <stp/>
        <stp>BDP|3287925646793835846</stp>
        <tr r="K66" s="1"/>
        <tr r="K49" s="1"/>
        <tr r="K42" s="1"/>
      </tp>
      <tp t="e">
        <v>#N/A</v>
        <stp/>
        <stp>BDP|3432025957013829034</stp>
        <tr r="F140" s="1"/>
        <tr r="F128" s="1"/>
      </tp>
      <tp t="e">
        <v>#N/A</v>
        <stp/>
        <stp>BDP|7823516973600825098</stp>
        <tr r="E141" s="1"/>
        <tr r="E131" s="1"/>
      </tp>
      <tp t="e">
        <v>#N/A</v>
        <stp/>
        <stp>BDP|4442069508384547545</stp>
        <tr r="AA63" s="1"/>
      </tp>
      <tp t="e">
        <v>#N/A</v>
        <stp/>
        <stp>BDP|2016548121028824869</stp>
        <tr r="L141" s="3"/>
        <tr r="L140" s="3"/>
        <tr r="L139" s="3"/>
        <tr r="L138" s="3"/>
        <tr r="L137" s="3"/>
        <tr r="L136" s="3"/>
        <tr r="L135" s="3"/>
        <tr r="L134" s="3"/>
        <tr r="L133" s="3"/>
        <tr r="L132" s="3"/>
        <tr r="L131" s="3"/>
        <tr r="L130" s="3"/>
      </tp>
      <tp t="e">
        <v>#N/A</v>
        <stp/>
        <stp>BDP|5020313741563833433</stp>
        <tr r="AA83" s="1"/>
        <tr r="AA50" s="1"/>
      </tp>
      <tp t="e">
        <v>#N/A</v>
        <stp/>
        <stp>BDP|1019659575903819637</stp>
        <tr r="H63" s="3"/>
        <tr r="H63" s="3"/>
        <tr r="H63" s="3"/>
        <tr r="H62" s="3"/>
        <tr r="H62" s="3"/>
        <tr r="H62" s="3"/>
        <tr r="H61" s="3"/>
        <tr r="H61" s="3"/>
        <tr r="H61" s="3"/>
        <tr r="H60" s="3"/>
        <tr r="H60" s="3"/>
        <tr r="H60" s="3"/>
        <tr r="H59" s="3"/>
        <tr r="H59" s="3"/>
        <tr r="H59" s="3"/>
        <tr r="H58" s="3"/>
        <tr r="H58" s="3"/>
        <tr r="H58" s="3"/>
        <tr r="H57" s="3"/>
        <tr r="H57" s="3"/>
        <tr r="H57" s="3"/>
        <tr r="H56" s="3"/>
        <tr r="H56" s="3"/>
        <tr r="H56" s="3"/>
        <tr r="H55" s="3"/>
        <tr r="H55" s="3"/>
        <tr r="H55" s="3"/>
        <tr r="H54" s="3"/>
        <tr r="H54" s="3"/>
        <tr r="H54" s="3"/>
        <tr r="H53" s="3"/>
        <tr r="H53" s="3"/>
        <tr r="H53" s="3"/>
        <tr r="H52" s="3"/>
        <tr r="H52" s="3"/>
        <tr r="H52" s="3"/>
        <tr r="H51" s="3"/>
        <tr r="H51" s="3"/>
        <tr r="H51" s="3"/>
      </tp>
      <tp t="e">
        <v>#N/A</v>
        <stp/>
        <stp>BDP|4004452974986903401</stp>
        <tr r="E91" s="1"/>
        <tr r="E76" s="1"/>
        <tr r="E55" s="1"/>
        <tr r="E48" s="1"/>
        <tr r="E26" s="1"/>
        <tr r="E157" s="1"/>
        <tr r="E142" s="1"/>
        <tr r="E132" s="1"/>
        <tr r="E120" s="1"/>
        <tr r="E100" s="1"/>
      </tp>
      <tp t="e">
        <v>#N/A</v>
        <stp/>
        <stp>BDP|8025302758032132919</stp>
        <tr r="W119" s="3"/>
        <tr r="W118" s="3"/>
        <tr r="W117" s="3"/>
        <tr r="W116" s="3"/>
      </tp>
      <tp t="e">
        <v>#N/A</v>
        <stp/>
        <stp>BDP|3424844718146494942</stp>
        <tr r="X44" s="1"/>
      </tp>
      <tp t="e">
        <v>#N/A</v>
        <stp/>
        <stp>BDP|8542160276702932941</stp>
        <tr r="E152" s="1"/>
        <tr r="E74" s="1"/>
        <tr r="E137" s="1"/>
        <tr r="E61" s="1"/>
        <tr r="E119" s="1"/>
        <tr r="E23" s="1"/>
        <tr r="E165" s="1"/>
        <tr r="E16" s="1"/>
        <tr r="E38" s="1"/>
        <tr r="E146" s="1"/>
        <tr r="E111" s="1"/>
        <tr r="E99" s="1"/>
      </tp>
      <tp t="e">
        <v>#N/A</v>
        <stp/>
        <stp>BDP|1278493250286712342</stp>
        <tr r="AN99" s="3"/>
        <tr r="AN99" s="3"/>
        <tr r="AN99" s="3"/>
        <tr r="AN98" s="3"/>
        <tr r="AN98" s="3"/>
        <tr r="AN98" s="3"/>
        <tr r="AN97" s="3"/>
        <tr r="AN97" s="3"/>
        <tr r="AN97" s="3"/>
      </tp>
      <tp t="e">
        <v>#N/A</v>
        <stp/>
        <stp>BDP|7349812089655421777</stp>
        <tr r="AS64" s="3"/>
        <tr r="AS64" s="3"/>
        <tr r="AS64" s="3"/>
      </tp>
      <tp t="e">
        <v>#N/A</v>
        <stp/>
        <stp>BDP|2448238994208917428</stp>
        <tr r="AR114" s="3"/>
        <tr r="AR114" s="3"/>
        <tr r="AR114" s="3"/>
        <tr r="AR113" s="3"/>
        <tr r="AR113" s="3"/>
        <tr r="AR113" s="3"/>
        <tr r="AR112" s="3"/>
        <tr r="AR112" s="3"/>
        <tr r="AR112" s="3"/>
      </tp>
      <tp t="e">
        <v>#N/A</v>
        <stp/>
        <stp>BDP|9759557493025074593</stp>
        <tr r="E107" s="1"/>
      </tp>
      <tp t="e">
        <v>#N/A</v>
        <stp/>
        <stp>BDP|2806269755310017020</stp>
        <tr r="Q64" s="3"/>
      </tp>
      <tp t="e">
        <v>#N/A</v>
        <stp/>
        <stp>BDP|2687094763088143942</stp>
        <tr r="H130" s="1"/>
        <tr r="H130" s="1"/>
      </tp>
      <tp t="e">
        <v>#N/A</v>
        <stp/>
        <stp>BDP|7788691565364434668</stp>
        <tr r="J141" s="3"/>
        <tr r="J141" s="3"/>
        <tr r="J141" s="3"/>
        <tr r="J140" s="3"/>
        <tr r="J140" s="3"/>
        <tr r="J140" s="3"/>
        <tr r="J139" s="3"/>
        <tr r="J139" s="3"/>
        <tr r="J139" s="3"/>
        <tr r="J138" s="3"/>
        <tr r="J138" s="3"/>
        <tr r="J138" s="3"/>
        <tr r="J137" s="3"/>
        <tr r="J137" s="3"/>
        <tr r="J137" s="3"/>
        <tr r="J136" s="3"/>
        <tr r="J136" s="3"/>
        <tr r="J136" s="3"/>
        <tr r="J135" s="3"/>
        <tr r="J135" s="3"/>
        <tr r="J135" s="3"/>
        <tr r="J134" s="3"/>
        <tr r="J134" s="3"/>
        <tr r="J134" s="3"/>
        <tr r="J133" s="3"/>
        <tr r="J133" s="3"/>
        <tr r="J133" s="3"/>
        <tr r="J132" s="3"/>
        <tr r="J132" s="3"/>
        <tr r="J132" s="3"/>
        <tr r="J131" s="3"/>
        <tr r="J131" s="3"/>
        <tr r="J131" s="3"/>
        <tr r="J130" s="3"/>
        <tr r="J130" s="3"/>
        <tr r="J130" s="3"/>
      </tp>
      <tp t="e">
        <v>#N/A</v>
        <stp/>
        <stp>BDP|1306495964166505021</stp>
        <tr r="AT93" s="1"/>
      </tp>
      <tp t="e">
        <v>#N/A</v>
        <stp/>
        <stp>BDP|7618059950206941142</stp>
        <tr r="AO47" s="1"/>
      </tp>
      <tp t="e">
        <v>#N/A</v>
        <stp/>
        <stp>BDP|3901466040954202227</stp>
        <tr r="AS148" s="1"/>
        <tr r="AS138" s="1"/>
      </tp>
      <tp t="e">
        <v>#N/A</v>
        <stp/>
        <stp>BDP|6638376238845749612</stp>
        <tr r="Q103" s="3"/>
      </tp>
      <tp t="e">
        <v>#N/A</v>
        <stp/>
        <stp>BDP|8884464970389939780</stp>
        <tr r="AA18" s="1"/>
      </tp>
      <tp t="e">
        <v>#N/A</v>
        <stp/>
        <stp>BDP|9975557823752989991</stp>
        <tr r="X139" s="1"/>
        <tr r="X129" s="1"/>
      </tp>
      <tp t="e">
        <v>#N/A</v>
        <stp/>
        <stp>BDP|6148146904806688483</stp>
        <tr r="I90" s="1"/>
      </tp>
      <tp t="e">
        <v>#N/A</v>
        <stp/>
        <stp>BDP|5206456344495449582</stp>
        <tr r="AM54" s="1"/>
        <tr r="AM54" s="1"/>
      </tp>
      <tp t="e">
        <v>#N/A</v>
        <stp/>
        <stp>BDP|7352622570100960377</stp>
        <tr r="AK93" s="1"/>
        <tr r="AK93" s="1"/>
        <tr r="AK93" s="1"/>
      </tp>
      <tp t="e">
        <v>#N/A</v>
        <stp/>
        <stp>BDP|2209643301645981424</stp>
        <tr r="Q114" s="3"/>
        <tr r="Q113" s="3"/>
        <tr r="Q112" s="3"/>
      </tp>
      <tp t="e">
        <v>#N/A</v>
        <stp/>
        <stp>BDP|1036289989547871953</stp>
        <tr r="V89" s="1"/>
        <tr r="V81" s="1"/>
        <tr r="V59" s="1"/>
        <tr r="V41" s="1"/>
        <tr r="V37" s="1"/>
        <tr r="V29" s="1"/>
        <tr r="V164" s="1"/>
        <tr r="V135" s="1"/>
      </tp>
      <tp t="e">
        <v>#N/A</v>
        <stp/>
        <stp>BDP|4158966558724686953</stp>
        <tr r="AA44" s="1"/>
      </tp>
      <tp t="e">
        <v>#N/A</v>
        <stp/>
        <stp>BDP|6290399917261001000</stp>
        <tr r="I119" s="3"/>
        <tr r="I119" s="3"/>
        <tr r="I119" s="3"/>
        <tr r="I118" s="3"/>
        <tr r="I118" s="3"/>
        <tr r="I118" s="3"/>
        <tr r="I117" s="3"/>
        <tr r="I117" s="3"/>
        <tr r="I117" s="3"/>
        <tr r="I116" s="3"/>
        <tr r="I116" s="3"/>
        <tr r="I116" s="3"/>
      </tp>
      <tp t="e">
        <v>#N/A</v>
        <stp/>
        <stp>BDP|8444915707542965668</stp>
        <tr r="AG94" s="3"/>
        <tr r="AG94" s="3"/>
        <tr r="AG94" s="3"/>
        <tr r="AG93" s="3"/>
        <tr r="AG93" s="3"/>
        <tr r="AG93" s="3"/>
        <tr r="AG92" s="3"/>
        <tr r="AG92" s="3"/>
        <tr r="AG92" s="3"/>
        <tr r="AG91" s="3"/>
        <tr r="AG91" s="3"/>
        <tr r="AG91" s="3"/>
        <tr r="AG90" s="3"/>
        <tr r="AG90" s="3"/>
        <tr r="AG90" s="3"/>
        <tr r="AG89" s="3"/>
        <tr r="AG89" s="3"/>
        <tr r="AG89" s="3"/>
        <tr r="AG88" s="3"/>
        <tr r="AG88" s="3"/>
        <tr r="AG88" s="3"/>
        <tr r="AG87" s="3"/>
        <tr r="AG87" s="3"/>
        <tr r="AG87" s="3"/>
        <tr r="AG86" s="3"/>
        <tr r="AG86" s="3"/>
        <tr r="AG86" s="3"/>
        <tr r="AG85" s="3"/>
        <tr r="AG85" s="3"/>
        <tr r="AG85" s="3"/>
        <tr r="AG84" s="3"/>
        <tr r="AG84" s="3"/>
        <tr r="AG84" s="3"/>
        <tr r="AG83" s="3"/>
        <tr r="AG83" s="3"/>
        <tr r="AG83" s="3"/>
        <tr r="AG82" s="3"/>
        <tr r="AG82" s="3"/>
        <tr r="AG82" s="3"/>
        <tr r="AG81" s="3"/>
        <tr r="AG81" s="3"/>
        <tr r="AG81" s="3"/>
        <tr r="AG80" s="3"/>
        <tr r="AG80" s="3"/>
        <tr r="AG80" s="3"/>
        <tr r="AG79" s="3"/>
        <tr r="AG79" s="3"/>
        <tr r="AG79" s="3"/>
      </tp>
      <tp t="e">
        <v>#N/A</v>
        <stp/>
        <stp>BDP|3994101280296301970</stp>
        <tr r="K164" s="1"/>
        <tr r="K135" s="1"/>
        <tr r="K41" s="1"/>
        <tr r="K37" s="1"/>
        <tr r="K29" s="1"/>
        <tr r="K81" s="1"/>
        <tr r="K59" s="1"/>
        <tr r="K89" s="1"/>
      </tp>
      <tp t="e">
        <v>#N/A</v>
        <stp/>
        <stp>BDP|8951892044337010695</stp>
        <tr r="AO115" s="3"/>
        <tr r="AO115" s="3"/>
        <tr r="AO115" s="3"/>
      </tp>
      <tp t="e">
        <v>#N/A</v>
        <stp/>
        <stp>BDP|3144969572930060885</stp>
        <tr r="AT87" s="1"/>
      </tp>
      <tp t="e">
        <v>#N/A</v>
        <stp/>
        <stp>BDP|7278513761911088008</stp>
        <tr r="AE135" s="1"/>
        <tr r="AE89" s="1"/>
        <tr r="AE29" s="1"/>
        <tr r="AE81" s="1"/>
        <tr r="AE59" s="1"/>
        <tr r="AE41" s="1"/>
        <tr r="AE37" s="1"/>
        <tr r="AE164" s="1"/>
      </tp>
      <tp t="e">
        <v>#N/A</v>
        <stp/>
        <stp>BDP|6358307268176043094</stp>
        <tr r="N15" s="1"/>
        <tr r="N109" s="1"/>
      </tp>
      <tp t="e">
        <v>#N/A</v>
        <stp/>
        <stp>BDP|8340378922818304471</stp>
        <tr r="E11" s="1"/>
        <tr r="E102" s="1"/>
      </tp>
      <tp t="e">
        <v>#N/A</v>
        <stp/>
        <stp>BDP|5999961958178546415</stp>
        <tr r="AS51" s="1"/>
        <tr r="L51" s="1"/>
        <tr r="L51" s="1"/>
      </tp>
      <tp t="e">
        <v>#N/A</v>
        <stp/>
        <stp>BDP|5470218933111730026</stp>
        <tr r="AM16" s="3"/>
        <tr r="AM16" s="3"/>
        <tr r="AM16" s="3"/>
      </tp>
      <tp t="e">
        <v>#N/A</v>
        <stp/>
        <stp>BDP|4067585558291078036</stp>
        <tr r="AK56" s="1"/>
        <tr r="AK56" s="1"/>
        <tr r="AK56" s="1"/>
      </tp>
      <tp t="e">
        <v>#N/A</v>
        <stp/>
        <stp>BDP|7952396253422791678</stp>
        <tr r="N63" s="3"/>
        <tr r="N63" s="3"/>
        <tr r="N63" s="3"/>
        <tr r="N62" s="3"/>
        <tr r="N62" s="3"/>
        <tr r="N62" s="3"/>
        <tr r="N61" s="3"/>
        <tr r="N61" s="3"/>
        <tr r="N61" s="3"/>
        <tr r="N60" s="3"/>
        <tr r="N60" s="3"/>
        <tr r="N60" s="3"/>
        <tr r="N59" s="3"/>
        <tr r="N59" s="3"/>
        <tr r="N59" s="3"/>
        <tr r="N58" s="3"/>
        <tr r="N58" s="3"/>
        <tr r="N58" s="3"/>
        <tr r="N57" s="3"/>
        <tr r="N57" s="3"/>
        <tr r="N57" s="3"/>
        <tr r="N56" s="3"/>
        <tr r="N56" s="3"/>
        <tr r="N56" s="3"/>
        <tr r="N55" s="3"/>
        <tr r="N55" s="3"/>
        <tr r="N55" s="3"/>
        <tr r="N54" s="3"/>
        <tr r="N54" s="3"/>
        <tr r="N54" s="3"/>
        <tr r="N53" s="3"/>
        <tr r="N53" s="3"/>
        <tr r="N53" s="3"/>
        <tr r="N52" s="3"/>
        <tr r="N52" s="3"/>
        <tr r="N52" s="3"/>
        <tr r="N51" s="3"/>
        <tr r="N51" s="3"/>
        <tr r="N51" s="3"/>
      </tp>
      <tp t="e">
        <v>#N/A</v>
        <stp/>
        <stp>BDP|7777231546841077520</stp>
        <tr r="N20" s="1"/>
      </tp>
      <tp t="e">
        <v>#N/A</v>
        <stp/>
        <stp>BDP|9453039683591442505</stp>
        <tr r="H148" s="1"/>
        <tr r="H148" s="1"/>
        <tr r="H138" s="1"/>
        <tr r="H138" s="1"/>
      </tp>
      <tp t="e">
        <v>#N/A</v>
        <stp/>
        <stp>BDP|8391888269257796451</stp>
        <tr r="W19" s="1"/>
      </tp>
      <tp t="e">
        <v>#N/A</v>
        <stp/>
        <stp>BDP|9832381714307090945</stp>
        <tr r="AE126" s="1"/>
      </tp>
      <tp t="e">
        <v>#N/A</v>
        <stp/>
        <stp>BDP|7461594645764003788</stp>
        <tr r="K19" s="1"/>
      </tp>
      <tp t="e">
        <v>#N/A</v>
        <stp/>
        <stp>BDP|6331979992381009268</stp>
        <tr r="AO9" s="1"/>
      </tp>
      <tp t="e">
        <v>#N/A</v>
        <stp/>
        <stp>BDP|3638571042744764343</stp>
        <tr r="AM16" s="1"/>
        <tr r="AM16" s="1"/>
        <tr r="AM99" s="1"/>
        <tr r="AM99" s="1"/>
        <tr r="AM146" s="1"/>
        <tr r="AM146" s="1"/>
        <tr r="AM74" s="1"/>
        <tr r="AM74" s="1"/>
        <tr r="AM137" s="1"/>
        <tr r="AM137" s="1"/>
        <tr r="AM165" s="1"/>
        <tr r="AM165" s="1"/>
        <tr r="AM23" s="1"/>
        <tr r="AM23" s="1"/>
        <tr r="AM152" s="1"/>
        <tr r="AM152" s="1"/>
        <tr r="AM119" s="1"/>
        <tr r="AM119" s="1"/>
        <tr r="AM111" s="1"/>
        <tr r="AM111" s="1"/>
        <tr r="AM61" s="1"/>
        <tr r="AM61" s="1"/>
        <tr r="AM38" s="1"/>
        <tr r="AM38" s="1"/>
      </tp>
      <tp t="e">
        <v>#N/A</v>
        <stp/>
        <stp>BDP|4398238068280869505</stp>
        <tr r="E96" s="1"/>
        <tr r="E77" s="1"/>
        <tr r="E65" s="1"/>
        <tr r="E36" s="1"/>
        <tr r="E27" s="1"/>
        <tr r="E162" s="1"/>
      </tp>
      <tp t="e">
        <v>#N/A</v>
        <stp/>
        <stp>BDP|6543737514691469460</stp>
        <tr r="X86" s="1"/>
        <tr r="X133" s="1"/>
      </tp>
      <tp t="e">
        <v>#N/A</v>
        <stp/>
        <stp>BDP|7173367263720230767</stp>
        <tr r="V51" s="1"/>
      </tp>
      <tp t="e">
        <v>#N/A</v>
        <stp/>
        <stp>BDP|7547362906490772123</stp>
        <tr r="AA54" s="1"/>
      </tp>
      <tp t="e">
        <v>#N/A</v>
        <stp/>
        <stp>BDP|3818149548176468512</stp>
        <tr r="AC34" s="3"/>
        <tr r="AC34" s="3"/>
        <tr r="AC34" s="3"/>
        <tr r="AC33" s="3"/>
        <tr r="AC33" s="3"/>
        <tr r="AC33" s="3"/>
        <tr r="AC32" s="3"/>
        <tr r="AC32" s="3"/>
        <tr r="AC32" s="3"/>
        <tr r="AC31" s="3"/>
        <tr r="AC31" s="3"/>
        <tr r="AC31" s="3"/>
        <tr r="AC30" s="3"/>
        <tr r="AC30" s="3"/>
        <tr r="AC30" s="3"/>
        <tr r="AC29" s="3"/>
        <tr r="AC29" s="3"/>
        <tr r="AC29" s="3"/>
        <tr r="AC28" s="3"/>
        <tr r="AC28" s="3"/>
        <tr r="AC28" s="3"/>
        <tr r="AC27" s="3"/>
        <tr r="AC27" s="3"/>
        <tr r="AC27" s="3"/>
        <tr r="AC26" s="3"/>
        <tr r="AC26" s="3"/>
        <tr r="AC26" s="3"/>
        <tr r="AC25" s="3"/>
        <tr r="AC25" s="3"/>
        <tr r="AC25" s="3"/>
        <tr r="AC24" s="3"/>
        <tr r="AC24" s="3"/>
        <tr r="AC24" s="3"/>
        <tr r="AC23" s="3"/>
        <tr r="AC23" s="3"/>
        <tr r="AC23" s="3"/>
        <tr r="AC22" s="3"/>
        <tr r="AC22" s="3"/>
        <tr r="AC22" s="3"/>
        <tr r="AC21" s="3"/>
        <tr r="AC21" s="3"/>
        <tr r="AC21" s="3"/>
        <tr r="AC20" s="3"/>
        <tr r="AC20" s="3"/>
        <tr r="AC20" s="3"/>
        <tr r="AC19" s="3"/>
        <tr r="AC19" s="3"/>
        <tr r="AC19" s="3"/>
        <tr r="AC18" s="3"/>
        <tr r="AC18" s="3"/>
        <tr r="AC18" s="3"/>
        <tr r="AC17" s="3"/>
        <tr r="AC17" s="3"/>
        <tr r="AC17" s="3"/>
      </tp>
      <tp t="e">
        <v>#N/A</v>
        <stp/>
        <stp>BDP|4349942071606095976</stp>
        <tr r="AE94" s="1"/>
        <tr r="AE151" s="1"/>
        <tr r="AE123" s="1"/>
        <tr r="AE101" s="1"/>
      </tp>
      <tp t="e">
        <v>#N/A</v>
        <stp/>
        <stp>BDP|6194969816723108812</stp>
        <tr r="Q102" s="3"/>
        <tr r="Q101" s="3"/>
        <tr r="Q100" s="3"/>
      </tp>
      <tp t="e">
        <v>#N/A</v>
        <stp/>
        <stp>BDP|2109787030672927117</stp>
        <tr r="AL94" s="3"/>
        <tr r="AL94" s="3"/>
        <tr r="AL94" s="3"/>
        <tr r="AL93" s="3"/>
        <tr r="AL93" s="3"/>
        <tr r="AL93" s="3"/>
        <tr r="AL92" s="3"/>
        <tr r="AL92" s="3"/>
        <tr r="AL92" s="3"/>
        <tr r="AL91" s="3"/>
        <tr r="AL91" s="3"/>
        <tr r="AL91" s="3"/>
        <tr r="AL90" s="3"/>
        <tr r="AL90" s="3"/>
        <tr r="AL90" s="3"/>
        <tr r="AL89" s="3"/>
        <tr r="AL89" s="3"/>
        <tr r="AL89" s="3"/>
        <tr r="AL88" s="3"/>
        <tr r="AL88" s="3"/>
        <tr r="AL88" s="3"/>
        <tr r="AL87" s="3"/>
        <tr r="AL87" s="3"/>
        <tr r="AL87" s="3"/>
        <tr r="AL86" s="3"/>
        <tr r="AL86" s="3"/>
        <tr r="AL86" s="3"/>
        <tr r="AL85" s="3"/>
        <tr r="AL85" s="3"/>
        <tr r="AL85" s="3"/>
        <tr r="AL84" s="3"/>
        <tr r="AL84" s="3"/>
        <tr r="AL84" s="3"/>
        <tr r="AL83" s="3"/>
        <tr r="AL83" s="3"/>
        <tr r="AL83" s="3"/>
        <tr r="AL82" s="3"/>
        <tr r="AL82" s="3"/>
        <tr r="AL82" s="3"/>
        <tr r="AL81" s="3"/>
        <tr r="AL81" s="3"/>
        <tr r="AL81" s="3"/>
        <tr r="AL80" s="3"/>
        <tr r="AL80" s="3"/>
        <tr r="AL80" s="3"/>
        <tr r="AL79" s="3"/>
        <tr r="AL79" s="3"/>
        <tr r="AL79" s="3"/>
      </tp>
      <tp t="e">
        <v>#N/A</v>
        <stp/>
        <stp>BDP|7600724640923140231</stp>
        <tr r="AM72" s="3"/>
        <tr r="AM72" s="3"/>
        <tr r="AM72" s="3"/>
        <tr r="AM71" s="3"/>
        <tr r="AM71" s="3"/>
        <tr r="AM71" s="3"/>
        <tr r="AM70" s="3"/>
        <tr r="AM70" s="3"/>
        <tr r="AM70" s="3"/>
        <tr r="AM69" s="3"/>
        <tr r="AM69" s="3"/>
        <tr r="AM69" s="3"/>
        <tr r="AM68" s="3"/>
        <tr r="AM68" s="3"/>
        <tr r="AM68" s="3"/>
        <tr r="AM67" s="3"/>
        <tr r="AM67" s="3"/>
        <tr r="AM67" s="3"/>
        <tr r="AM66" s="3"/>
        <tr r="AM66" s="3"/>
        <tr r="AM66" s="3"/>
        <tr r="AM65" s="3"/>
        <tr r="AM65" s="3"/>
        <tr r="AM65" s="3"/>
      </tp>
      <tp t="e">
        <v>#N/A</v>
        <stp/>
        <stp>BDP|4439289368165379016</stp>
        <tr r="F130" s="1"/>
      </tp>
      <tp t="e">
        <v>#N/A</v>
        <stp/>
        <stp>BDP|6998721538422172541</stp>
        <tr r="AR78" s="3"/>
        <tr r="AR78" s="3"/>
        <tr r="AR78" s="3"/>
        <tr r="AR77" s="3"/>
        <tr r="AR77" s="3"/>
        <tr r="AR77" s="3"/>
        <tr r="AR76" s="3"/>
        <tr r="AR76" s="3"/>
        <tr r="AR76" s="3"/>
        <tr r="AR75" s="3"/>
        <tr r="AR75" s="3"/>
        <tr r="AR75" s="3"/>
        <tr r="AR74" s="3"/>
        <tr r="AR74" s="3"/>
        <tr r="AR74" s="3"/>
        <tr r="AR73" s="3"/>
        <tr r="AR73" s="3"/>
        <tr r="AR73" s="3"/>
      </tp>
      <tp t="e">
        <v>#N/A</v>
        <stp/>
        <stp>BDP|2185416665655379005</stp>
        <tr r="M41" s="1"/>
        <tr r="M41" s="1"/>
        <tr r="M37" s="1"/>
        <tr r="M37" s="1"/>
        <tr r="M135" s="1"/>
        <tr r="M135" s="1"/>
        <tr r="M89" s="1"/>
        <tr r="M89" s="1"/>
        <tr r="M29" s="1"/>
        <tr r="M29" s="1"/>
        <tr r="M164" s="1"/>
        <tr r="M164" s="1"/>
        <tr r="M81" s="1"/>
        <tr r="M81" s="1"/>
        <tr r="M59" s="1"/>
        <tr r="M59" s="1"/>
      </tp>
      <tp t="e">
        <v>#N/A</v>
        <stp/>
        <stp>BDP|7259219675375730271</stp>
        <tr r="K52" s="1"/>
      </tp>
      <tp t="e">
        <v>#N/A</v>
        <stp/>
        <stp>BDP|1505851026479928798</stp>
        <tr r="AC94" s="3"/>
        <tr r="AC94" s="3"/>
        <tr r="AC94" s="3"/>
        <tr r="AC93" s="3"/>
        <tr r="AC93" s="3"/>
        <tr r="AC93" s="3"/>
        <tr r="AC92" s="3"/>
        <tr r="AC92" s="3"/>
        <tr r="AC92" s="3"/>
        <tr r="AC91" s="3"/>
        <tr r="AC91" s="3"/>
        <tr r="AC91" s="3"/>
        <tr r="AC90" s="3"/>
        <tr r="AC90" s="3"/>
        <tr r="AC90" s="3"/>
        <tr r="AC89" s="3"/>
        <tr r="AC89" s="3"/>
        <tr r="AC89" s="3"/>
        <tr r="AC88" s="3"/>
        <tr r="AC88" s="3"/>
        <tr r="AC88" s="3"/>
        <tr r="AC87" s="3"/>
        <tr r="AC87" s="3"/>
        <tr r="AC87" s="3"/>
        <tr r="AC86" s="3"/>
        <tr r="AC86" s="3"/>
        <tr r="AC86" s="3"/>
        <tr r="AC85" s="3"/>
        <tr r="AC85" s="3"/>
        <tr r="AC85" s="3"/>
        <tr r="AC84" s="3"/>
        <tr r="AC84" s="3"/>
        <tr r="AC84" s="3"/>
        <tr r="AC83" s="3"/>
        <tr r="AC83" s="3"/>
        <tr r="AC83" s="3"/>
        <tr r="AC82" s="3"/>
        <tr r="AC82" s="3"/>
        <tr r="AC82" s="3"/>
        <tr r="AC81" s="3"/>
        <tr r="AC81" s="3"/>
        <tr r="AC81" s="3"/>
        <tr r="AC80" s="3"/>
        <tr r="AC80" s="3"/>
        <tr r="AC80" s="3"/>
        <tr r="AC79" s="3"/>
        <tr r="AC79" s="3"/>
        <tr r="AC79" s="3"/>
      </tp>
      <tp t="e">
        <v>#N/A</v>
        <stp/>
        <stp>BDP|6963012539899254957</stp>
        <tr r="AS111" s="3"/>
        <tr r="AS111" s="3"/>
        <tr r="AS111" s="3"/>
        <tr r="AS110" s="3"/>
        <tr r="AS110" s="3"/>
        <tr r="AS110" s="3"/>
        <tr r="AS109" s="3"/>
        <tr r="AS109" s="3"/>
        <tr r="AS109" s="3"/>
        <tr r="AS108" s="3"/>
        <tr r="AS108" s="3"/>
        <tr r="AS108" s="3"/>
        <tr r="AS107" s="3"/>
        <tr r="AS107" s="3"/>
        <tr r="AS107" s="3"/>
        <tr r="AS106" s="3"/>
        <tr r="AS106" s="3"/>
        <tr r="AS106" s="3"/>
        <tr r="AS105" s="3"/>
        <tr r="AS105" s="3"/>
        <tr r="AS105" s="3"/>
        <tr r="AS104" s="3"/>
        <tr r="AS104" s="3"/>
        <tr r="AS104" s="3"/>
      </tp>
      <tp t="e">
        <v>#N/A</v>
        <stp/>
        <stp>BDP|2265671231157730556</stp>
        <tr r="AU86" s="1"/>
        <tr r="AU86" s="1"/>
        <tr r="AU86" s="1"/>
        <tr r="AU133" s="1"/>
        <tr r="AU133" s="1"/>
        <tr r="AU133" s="1"/>
      </tp>
      <tp t="e">
        <v>#N/A</v>
        <stp/>
        <stp>BDP|7496135898388826218</stp>
        <tr r="I73" s="1"/>
        <tr r="I168" s="1"/>
      </tp>
      <tp t="e">
        <v>#N/A</v>
        <stp/>
        <stp>BDP|1278774807053539015</stp>
        <tr r="H116" s="1"/>
        <tr r="H116" s="1"/>
        <tr r="H70" s="1"/>
        <tr r="H70" s="1"/>
        <tr r="H84" s="1"/>
        <tr r="H84" s="1"/>
        <tr r="H159" s="1"/>
        <tr r="H159" s="1"/>
      </tp>
      <tp t="e">
        <v>#N/A</v>
        <stp/>
        <stp>BDP|4243959738842823910</stp>
        <tr r="I82" s="1"/>
        <tr r="I39" s="1"/>
        <tr r="I22" s="1"/>
        <tr r="I167" s="1"/>
      </tp>
      <tp t="e">
        <v>#N/A</v>
        <stp/>
        <stp>BDP|6508591911433867435</stp>
        <tr r="H17" s="1"/>
        <tr r="H17" s="1"/>
        <tr r="H112" s="1"/>
        <tr r="H112" s="1"/>
      </tp>
      <tp t="e">
        <v>#N/A</v>
        <stp/>
        <stp>BDP|2222232220640797712</stp>
        <tr r="AL17" s="1"/>
        <tr r="AL112" s="1"/>
      </tp>
      <tp t="e">
        <v>#N/A</v>
        <stp/>
        <stp>BDP|9631866454192727346</stp>
        <tr r="I63" s="3"/>
        <tr r="I63" s="3"/>
        <tr r="I63" s="3"/>
        <tr r="I62" s="3"/>
        <tr r="I62" s="3"/>
        <tr r="I62" s="3"/>
        <tr r="I61" s="3"/>
        <tr r="I61" s="3"/>
        <tr r="I61" s="3"/>
        <tr r="I60" s="3"/>
        <tr r="I60" s="3"/>
        <tr r="I60" s="3"/>
        <tr r="I59" s="3"/>
        <tr r="I59" s="3"/>
        <tr r="I59" s="3"/>
        <tr r="I58" s="3"/>
        <tr r="I58" s="3"/>
        <tr r="I58" s="3"/>
        <tr r="I57" s="3"/>
        <tr r="I57" s="3"/>
        <tr r="I57" s="3"/>
        <tr r="I56" s="3"/>
        <tr r="I56" s="3"/>
        <tr r="I56" s="3"/>
        <tr r="I55" s="3"/>
        <tr r="I55" s="3"/>
        <tr r="I55" s="3"/>
        <tr r="I54" s="3"/>
        <tr r="I54" s="3"/>
        <tr r="I54" s="3"/>
        <tr r="I53" s="3"/>
        <tr r="I53" s="3"/>
        <tr r="I53" s="3"/>
        <tr r="I52" s="3"/>
        <tr r="I52" s="3"/>
        <tr r="I52" s="3"/>
        <tr r="I51" s="3"/>
        <tr r="I51" s="3"/>
        <tr r="I51" s="3"/>
      </tp>
      <tp t="e">
        <v>#N/A</v>
        <stp/>
        <stp>BDP|7335966067465647836</stp>
        <tr r="E4" s="1"/>
        <tr r="E25" s="1"/>
        <tr r="E117" s="1"/>
        <tr r="E40" s="1"/>
        <tr r="E163" s="1"/>
        <tr r="E97" s="1"/>
        <tr r="E75" s="1"/>
        <tr r="E60" s="1"/>
      </tp>
      <tp t="e">
        <v>#N/A</v>
        <stp/>
        <stp>BDP|2215276025051218655</stp>
        <tr r="AS13" s="1"/>
      </tp>
      <tp t="e">
        <v>#N/A</v>
        <stp/>
        <stp>BDP|3173714635577063525</stp>
        <tr r="H160" s="1"/>
        <tr r="H160" s="1"/>
      </tp>
      <tp t="e">
        <v>#N/A</v>
        <stp/>
        <stp>BDP|8927301090635941275</stp>
        <tr r="AD13" s="1"/>
      </tp>
      <tp t="e">
        <v>#N/A</v>
        <stp/>
        <stp>BDP|7489752347889870892</stp>
        <tr r="AN34" s="3"/>
        <tr r="AN34" s="3"/>
        <tr r="AN34" s="3"/>
        <tr r="AN33" s="3"/>
        <tr r="AN33" s="3"/>
        <tr r="AN33" s="3"/>
        <tr r="AN32" s="3"/>
        <tr r="AN32" s="3"/>
        <tr r="AN32" s="3"/>
        <tr r="AN31" s="3"/>
        <tr r="AN31" s="3"/>
        <tr r="AN31" s="3"/>
        <tr r="AN30" s="3"/>
        <tr r="AN30" s="3"/>
        <tr r="AN30" s="3"/>
        <tr r="AN29" s="3"/>
        <tr r="AN29" s="3"/>
        <tr r="AN29" s="3"/>
        <tr r="AN28" s="3"/>
        <tr r="AN28" s="3"/>
        <tr r="AN28" s="3"/>
        <tr r="AN27" s="3"/>
        <tr r="AN27" s="3"/>
        <tr r="AN27" s="3"/>
        <tr r="AN26" s="3"/>
        <tr r="AN26" s="3"/>
        <tr r="AN26" s="3"/>
        <tr r="AN25" s="3"/>
        <tr r="AN25" s="3"/>
        <tr r="AN25" s="3"/>
        <tr r="AN24" s="3"/>
        <tr r="AN24" s="3"/>
        <tr r="AN24" s="3"/>
        <tr r="AN23" s="3"/>
        <tr r="AN23" s="3"/>
        <tr r="AN23" s="3"/>
        <tr r="AN22" s="3"/>
        <tr r="AN22" s="3"/>
        <tr r="AN22" s="3"/>
        <tr r="AN21" s="3"/>
        <tr r="AN21" s="3"/>
        <tr r="AN21" s="3"/>
        <tr r="AN20" s="3"/>
        <tr r="AN20" s="3"/>
        <tr r="AN20" s="3"/>
        <tr r="AN19" s="3"/>
        <tr r="AN19" s="3"/>
        <tr r="AN19" s="3"/>
        <tr r="AN18" s="3"/>
        <tr r="AN18" s="3"/>
        <tr r="AN18" s="3"/>
        <tr r="AN17" s="3"/>
        <tr r="AN17" s="3"/>
        <tr r="AN17" s="3"/>
      </tp>
      <tp t="e">
        <v>#N/A</v>
        <stp/>
        <stp>BDP|7318024513004115742</stp>
        <tr r="E99" s="3"/>
        <tr r="E98" s="3"/>
        <tr r="E97" s="3"/>
      </tp>
      <tp t="e">
        <v>#N/A</v>
        <stp/>
        <stp>BDP|5143124914409198924</stp>
        <tr r="N82" s="1"/>
        <tr r="N39" s="1"/>
        <tr r="N22" s="1"/>
        <tr r="N167" s="1"/>
      </tp>
      <tp t="e">
        <v>#N/A</v>
        <stp/>
        <stp>BDP|3089346880719529453</stp>
        <tr r="AO104" s="1"/>
      </tp>
      <tp t="e">
        <v>#N/A</v>
        <stp/>
        <stp>BDP|3110314152945144575</stp>
        <tr r="H93" s="1"/>
        <tr r="H93" s="1"/>
      </tp>
      <tp t="e">
        <v>#N/A</v>
        <stp/>
        <stp>BDP|7118677463907643576</stp>
        <tr r="AS44" s="1"/>
        <tr r="L44" s="1"/>
        <tr r="L44" s="1"/>
      </tp>
      <tp t="e">
        <v>#N/A</v>
        <stp/>
        <stp>BDP|1910202461803564392</stp>
        <tr r="V8" s="1"/>
        <tr r="V106" s="1"/>
      </tp>
      <tp t="e">
        <v>#N/A</v>
        <stp/>
        <stp>BDP|6568421368908392987</stp>
        <tr r="AE46" s="1"/>
        <tr r="AE144" s="1"/>
        <tr r="AE134" s="1"/>
      </tp>
      <tp t="e">
        <v>#N/A</v>
        <stp/>
        <stp>BDP|1536741871047261364</stp>
        <tr r="AM50" s="3"/>
        <tr r="AM50" s="3"/>
        <tr r="AM50" s="3"/>
        <tr r="AM49" s="3"/>
        <tr r="AM49" s="3"/>
        <tr r="AM49" s="3"/>
        <tr r="AM48" s="3"/>
        <tr r="AM48" s="3"/>
        <tr r="AM48" s="3"/>
        <tr r="AM47" s="3"/>
        <tr r="AM47" s="3"/>
        <tr r="AM47" s="3"/>
        <tr r="AM46" s="3"/>
        <tr r="AM46" s="3"/>
        <tr r="AM46" s="3"/>
        <tr r="AM45" s="3"/>
        <tr r="AM45" s="3"/>
        <tr r="AM45" s="3"/>
        <tr r="AM44" s="3"/>
        <tr r="AM44" s="3"/>
        <tr r="AM44" s="3"/>
        <tr r="AM43" s="3"/>
        <tr r="AM43" s="3"/>
        <tr r="AM43" s="3"/>
        <tr r="AM42" s="3"/>
        <tr r="AM42" s="3"/>
        <tr r="AM42" s="3"/>
        <tr r="AM41" s="3"/>
        <tr r="AM41" s="3"/>
        <tr r="AM41" s="3"/>
        <tr r="AM40" s="3"/>
        <tr r="AM40" s="3"/>
        <tr r="AM40" s="3"/>
        <tr r="AM39" s="3"/>
        <tr r="AM39" s="3"/>
        <tr r="AM39" s="3"/>
        <tr r="AM38" s="3"/>
        <tr r="AM38" s="3"/>
        <tr r="AM38" s="3"/>
        <tr r="AM37" s="3"/>
        <tr r="AM37" s="3"/>
        <tr r="AM37" s="3"/>
        <tr r="AM36" s="3"/>
        <tr r="AM36" s="3"/>
        <tr r="AM36" s="3"/>
        <tr r="AM35" s="3"/>
        <tr r="AM35" s="3"/>
        <tr r="AM35" s="3"/>
      </tp>
      <tp t="e">
        <v>#N/A</v>
        <stp/>
        <stp>BDP|5616297132237170699</stp>
        <tr r="AE54" s="1"/>
      </tp>
      <tp t="e">
        <v>#N/A</v>
        <stp/>
        <stp>BDP|1592915294663548703</stp>
        <tr r="AI72" s="3"/>
        <tr r="AI72" s="3"/>
        <tr r="AI72" s="3"/>
        <tr r="AI71" s="3"/>
        <tr r="AI71" s="3"/>
        <tr r="AI71" s="3"/>
        <tr r="AI70" s="3"/>
        <tr r="AI70" s="3"/>
        <tr r="AI70" s="3"/>
        <tr r="AI69" s="3"/>
        <tr r="AI69" s="3"/>
        <tr r="AI69" s="3"/>
        <tr r="AI68" s="3"/>
        <tr r="AI68" s="3"/>
        <tr r="AI68" s="3"/>
        <tr r="AI67" s="3"/>
        <tr r="AI67" s="3"/>
        <tr r="AI67" s="3"/>
        <tr r="AI66" s="3"/>
        <tr r="AI66" s="3"/>
        <tr r="AI66" s="3"/>
        <tr r="AI65" s="3"/>
        <tr r="AI65" s="3"/>
        <tr r="AI65" s="3"/>
      </tp>
      <tp t="e">
        <v>#N/A</v>
        <stp/>
        <stp>BDP|4147190615213045283</stp>
        <tr r="AS139" s="1"/>
        <tr r="AS129" s="1"/>
      </tp>
      <tp t="e">
        <v>#N/A</v>
        <stp/>
        <stp>BDP|4494718611361818691</stp>
        <tr r="K73" s="1"/>
        <tr r="K168" s="1"/>
      </tp>
      <tp t="e">
        <v>#N/A</v>
        <stp/>
        <stp>BDP|4457528371677796456</stp>
        <tr r="M115" s="3"/>
        <tr r="M115" s="3"/>
        <tr r="M115" s="3"/>
      </tp>
      <tp t="e">
        <v>#N/A</v>
        <stp/>
        <stp>BDP|7091423752937202477</stp>
        <tr r="Q105" s="1"/>
      </tp>
      <tp t="e">
        <v>#N/A</v>
        <stp/>
        <stp>BDP|5806293764013060701</stp>
        <tr r="E67" s="1"/>
        <tr r="E43" s="1"/>
        <tr r="E30" s="1"/>
        <tr r="E3" s="1"/>
        <tr r="E21" s="1"/>
        <tr r="E166" s="1"/>
        <tr r="E147" s="1"/>
        <tr r="E125" s="1"/>
        <tr r="E114" s="1"/>
      </tp>
      <tp t="e">
        <v>#N/A</v>
        <stp/>
        <stp>BDP|5598684628373390730</stp>
        <tr r="Z86" s="1"/>
        <tr r="Z133" s="1"/>
      </tp>
      <tp t="e">
        <v>#N/A</v>
        <stp/>
        <stp>BDP|1501203602635135330</stp>
        <tr r="AR129" s="3"/>
        <tr r="AR129" s="3"/>
        <tr r="AR129" s="3"/>
        <tr r="AR128" s="3"/>
        <tr r="AR128" s="3"/>
        <tr r="AR128" s="3"/>
        <tr r="AR127" s="3"/>
        <tr r="AR127" s="3"/>
        <tr r="AR127" s="3"/>
        <tr r="AR126" s="3"/>
        <tr r="AR126" s="3"/>
        <tr r="AR126" s="3"/>
        <tr r="AR125" s="3"/>
        <tr r="AR125" s="3"/>
        <tr r="AR125" s="3"/>
        <tr r="AR124" s="3"/>
        <tr r="AR124" s="3"/>
        <tr r="AR124" s="3"/>
        <tr r="AR123" s="3"/>
        <tr r="AR123" s="3"/>
        <tr r="AR123" s="3"/>
        <tr r="AR122" s="3"/>
        <tr r="AR122" s="3"/>
        <tr r="AR122" s="3"/>
        <tr r="AR121" s="3"/>
        <tr r="AR121" s="3"/>
        <tr r="AR121" s="3"/>
        <tr r="AR120" s="3"/>
        <tr r="AR120" s="3"/>
        <tr r="AR120" s="3"/>
      </tp>
      <tp t="e">
        <v>#N/A</v>
        <stp/>
        <stp>BDP|5552306821555910481</stp>
        <tr r="AD63" s="1"/>
      </tp>
    </main>
    <main first="bloomberg.rtd">
      <tp t="s">
        <v>Health Care</v>
        <stp/>
        <stp>##V3_BDPV12</stp>
        <stp>MRK US Equity</stp>
        <stp>DX202</stp>
        <stp>[DPM - Securities Master List (BBG Linked).xlsx]Equities!R165C8</stp>
        <tr r="H165" s="2"/>
        <tr r="H165" s="2"/>
        <tr r="H165" s="2"/>
      </tp>
      <tp t="s">
        <v>Industrials</v>
        <stp/>
        <stp>##V3_BDPV12</stp>
        <stp>LUV US Equity</stp>
        <stp>DX202</stp>
        <stp>[DPM - Securities Master List (BBG Linked).xlsx]Equities!R154C8</stp>
        <tr r="H154" s="2"/>
        <tr r="H154" s="2"/>
        <tr r="H154" s="2"/>
      </tp>
      <tp t="s">
        <v>Health Care</v>
        <stp/>
        <stp>##V3_BDPV12</stp>
        <stp>MDT US Equity</stp>
        <stp>DX202</stp>
        <stp>[DPM - Securities Master List (BBG Linked).xlsx]Equities!R155C8</stp>
        <tr r="H155" s="2"/>
        <tr r="H155" s="2"/>
        <tr r="H155" s="2"/>
      </tp>
      <tp t="s">
        <v>Consumer Discretionary</v>
        <stp/>
        <stp>##V3_BDPV12</stp>
        <stp>NKE US Equity</stp>
        <stp>DX202</stp>
        <stp>[DPM - Securities Master List (BBG Linked).xlsx]Equities!R216C8</stp>
        <tr r="H216" s="2"/>
        <tr r="H216" s="2"/>
        <tr r="H216" s="2"/>
      </tp>
      <tp t="s">
        <v>Consumer Discretionary</v>
        <stp/>
        <stp>##V3_BDPV12</stp>
        <stp>NIO US Equity</stp>
        <stp>DX202</stp>
        <stp>[DPM - Securities Master List (BBG Linked).xlsx]Equities!R206C8</stp>
        <tr r="H206" s="2"/>
        <tr r="H206" s="2"/>
        <tr r="H206" s="2"/>
      </tp>
      <tp t="s">
        <v>Utilities</v>
        <stp/>
        <stp>##V3_BDPV12</stp>
        <stp>SSE LN Equity</stp>
        <stp>DX202</stp>
        <stp>[DPM - Securities Master List (BBG Linked).xlsx]Equities!R252C8</stp>
        <tr r="H252" s="2"/>
        <tr r="H252" s="2"/>
        <tr r="H252" s="2"/>
      </tp>
      <tp>
        <v>203.3973388671875</v>
        <stp/>
        <stp>##V3_BDPV12</stp>
        <stp>GOOGL US Equity</stp>
        <stp>BEST_TARGET_PRICE</stp>
        <stp>[DPM - Securities Master List (BBG Linked).xlsx]Equities!R139C38</stp>
        <tr r="AL139" s="2"/>
      </tp>
      <tp>
        <v>203.3973388671875</v>
        <stp/>
        <stp>##V3_BDPV12</stp>
        <stp>GOOGL US Equity</stp>
        <stp>BEST_TARGET_PRICE</stp>
        <stp>[DPM - Securities Master List (BBG Linked).xlsx]Equities!R138C38</stp>
        <tr r="AL138" s="2"/>
      </tp>
      <tp>
        <v>203.3973388671875</v>
        <stp/>
        <stp>##V3_BDPV12</stp>
        <stp>GOOGL US Equity</stp>
        <stp>BEST_TARGET_PRICE</stp>
        <stp>[DPM - Securities Master List (BBG Linked).xlsx]Equities!R135C38</stp>
        <tr r="AL135" s="2"/>
      </tp>
      <tp>
        <v>203.3973388671875</v>
        <stp/>
        <stp>##V3_BDPV12</stp>
        <stp>GOOGL US Equity</stp>
        <stp>BEST_TARGET_PRICE</stp>
        <stp>[DPM - Securities Master List (BBG Linked).xlsx]Equities!R134C38</stp>
        <tr r="AL134" s="2"/>
      </tp>
      <tp>
        <v>203.3973388671875</v>
        <stp/>
        <stp>##V3_BDPV12</stp>
        <stp>GOOGL US Equity</stp>
        <stp>BEST_TARGET_PRICE</stp>
        <stp>[DPM - Securities Master List (BBG Linked).xlsx]Equities!R137C38</stp>
        <tr r="AL137" s="2"/>
      </tp>
      <tp>
        <v>203.3973388671875</v>
        <stp/>
        <stp>##V3_BDPV12</stp>
        <stp>GOOGL US Equity</stp>
        <stp>BEST_TARGET_PRICE</stp>
        <stp>[DPM - Securities Master List (BBG Linked).xlsx]Equities!R136C38</stp>
        <tr r="AL136" s="2"/>
      </tp>
      <tp>
        <v>203.3973388671875</v>
        <stp/>
        <stp>##V3_BDPV12</stp>
        <stp>GOOGL US Equity</stp>
        <stp>BEST_TARGET_PRICE</stp>
        <stp>[DPM - Securities Master List (BBG Linked).xlsx]Equities!R131C38</stp>
        <tr r="AL131" s="2"/>
      </tp>
      <tp>
        <v>203.3973388671875</v>
        <stp/>
        <stp>##V3_BDPV12</stp>
        <stp>GOOGL US Equity</stp>
        <stp>BEST_TARGET_PRICE</stp>
        <stp>[DPM - Securities Master List (BBG Linked).xlsx]Equities!R130C38</stp>
        <tr r="AL130" s="2"/>
      </tp>
      <tp>
        <v>203.3973388671875</v>
        <stp/>
        <stp>##V3_BDPV12</stp>
        <stp>GOOGL US Equity</stp>
        <stp>BEST_TARGET_PRICE</stp>
        <stp>[DPM - Securities Master List (BBG Linked).xlsx]Equities!R133C38</stp>
        <tr r="AL133" s="2"/>
      </tp>
      <tp>
        <v>203.3973388671875</v>
        <stp/>
        <stp>##V3_BDPV12</stp>
        <stp>GOOGL US Equity</stp>
        <stp>BEST_TARGET_PRICE</stp>
        <stp>[DPM - Securities Master List (BBG Linked).xlsx]Equities!R132C38</stp>
        <tr r="AL132" s="2"/>
      </tp>
      <tp>
        <v>203.3973388671875</v>
        <stp/>
        <stp>##V3_BDPV12</stp>
        <stp>GOOGL US Equity</stp>
        <stp>BEST_TARGET_PRICE</stp>
        <stp>[DPM - Securities Master List (BBG Linked).xlsx]Equities!R129C38</stp>
        <tr r="AL129" s="2"/>
      </tp>
      <tp>
        <v>203.3973388671875</v>
        <stp/>
        <stp>##V3_BDPV12</stp>
        <stp>GOOGL US Equity</stp>
        <stp>BEST_TARGET_PRICE</stp>
        <stp>[DPM - Securities Master List (BBG Linked).xlsx]Equities!R128C38</stp>
        <tr r="AL128" s="2"/>
      </tp>
      <tp>
        <v>203.3973388671875</v>
        <stp/>
        <stp>##V3_BDPV12</stp>
        <stp>GOOGL US Equity</stp>
        <stp>BEST_TARGET_PRICE</stp>
        <stp>[DPM - Securities Master List (BBG Linked).xlsx]Equities!R127C38</stp>
        <tr r="AL127" s="2"/>
      </tp>
      <tp>
        <v>203.3973388671875</v>
        <stp/>
        <stp>##V3_BDPV12</stp>
        <stp>GOOGL US Equity</stp>
        <stp>BEST_TARGET_PRICE</stp>
        <stp>[DPM - Securities Master List (BBG Linked).xlsx]Equities!R141C38</stp>
        <tr r="AL141" s="2"/>
      </tp>
      <tp>
        <v>203.3973388671875</v>
        <stp/>
        <stp>##V3_BDPV12</stp>
        <stp>GOOGL US Equity</stp>
        <stp>BEST_TARGET_PRICE</stp>
        <stp>[DPM - Securities Master List (BBG Linked).xlsx]Equities!R140C38</stp>
        <tr r="AL140" s="2"/>
      </tp>
      <tp>
        <v>103.25</v>
        <stp/>
        <stp>##V3_BDPV12</stp>
        <stp>NSRGY US Equity</stp>
        <stp>BEST_TARGET_PRICE</stp>
        <stp>[DPM - Securities Master List (BBG Linked).xlsx]Equities!R223C38</stp>
        <tr r="AL223" s="2"/>
      </tp>
      <tp t="s">
        <v>Information Technology</v>
        <stp/>
        <stp>##V3_BDPV12</stp>
        <stp>MSFT US Equity</stp>
        <stp>DX202</stp>
        <stp>[DPM - Securities Master List (BBG Linked).xlsx]Equities!R179C8</stp>
        <tr r="H179" s="2"/>
        <tr r="H179" s="2"/>
        <tr r="H179" s="2"/>
      </tp>
      <tp t="s">
        <v>KYG596691041</v>
        <stp/>
        <stp>##V3_BDPV12</stp>
        <stp>3690 HK Equity</stp>
        <stp>ID005</stp>
        <stp>[DPM - Securities Master List (BBG Linked).xlsx]Equities!R12C55</stp>
        <tr r="BC12" s="2"/>
      </tp>
      <tp t="s">
        <v>KYG596691041</v>
        <stp/>
        <stp>##V3_BDPV12</stp>
        <stp>3690 HK Equity</stp>
        <stp>ID005</stp>
        <stp>[DPM - Securities Master List (BBG Linked).xlsx]Equities!R13C55</stp>
        <tr r="BC13" s="2"/>
      </tp>
      <tp t="s">
        <v>KYG596691041</v>
        <stp/>
        <stp>##V3_BDPV12</stp>
        <stp>3690 HK Equity</stp>
        <stp>ID005</stp>
        <stp>[DPM - Securities Master List (BBG Linked).xlsx]Equities!R10C55</stp>
        <tr r="BC10" s="2"/>
      </tp>
      <tp t="s">
        <v>KYG596691041</v>
        <stp/>
        <stp>##V3_BDPV12</stp>
        <stp>3690 HK Equity</stp>
        <stp>ID005</stp>
        <stp>[DPM - Securities Master List (BBG Linked).xlsx]Equities!R14C55</stp>
        <tr r="BC14" s="2"/>
      </tp>
      <tp>
        <v>100.1</v>
        <stp/>
        <stp>##V3_BDPV12</stp>
        <stp>3690 HK Equity</stp>
        <stp>hs002</stp>
        <stp>[DPM - Securities Master List (BBG Linked).xlsx]Equities!R14C45</stp>
        <tr r="AS14" s="2"/>
      </tp>
      <tp>
        <v>100.1</v>
        <stp/>
        <stp>##V3_BDPV12</stp>
        <stp>3690 HK Equity</stp>
        <stp>hs002</stp>
        <stp>[DPM - Securities Master List (BBG Linked).xlsx]Equities!R11C45</stp>
        <tr r="AS11" s="2"/>
      </tp>
      <tp>
        <v>100.1</v>
        <stp/>
        <stp>##V3_BDPV12</stp>
        <stp>3690 HK Equity</stp>
        <stp>hs002</stp>
        <stp>[DPM - Securities Master List (BBG Linked).xlsx]Equities!R10C45</stp>
        <tr r="AS10" s="2"/>
      </tp>
      <tp>
        <v>100.1</v>
        <stp/>
        <stp>##V3_BDPV12</stp>
        <stp>3690 HK Equity</stp>
        <stp>hs002</stp>
        <stp>[DPM - Securities Master List (BBG Linked).xlsx]Equities!R13C45</stp>
        <tr r="AS13" s="2"/>
      </tp>
      <tp>
        <v>100.1</v>
        <stp/>
        <stp>##V3_BDPV12</stp>
        <stp>3690 HK Equity</stp>
        <stp>hs002</stp>
        <stp>[DPM - Securities Master List (BBG Linked).xlsx]Equities!R12C45</stp>
        <tr r="AS12" s="2"/>
      </tp>
      <tp>
        <v>217</v>
        <stp/>
        <stp>##V3_BDPV12</stp>
        <stp>3690 HK Equity</stp>
        <stp>hs001</stp>
        <stp>[DPM - Securities Master List (BBG Linked).xlsx]Equities!R14C44</stp>
        <tr r="AR14" s="2"/>
      </tp>
      <tp>
        <v>217</v>
        <stp/>
        <stp>##V3_BDPV12</stp>
        <stp>3690 HK Equity</stp>
        <stp>hs001</stp>
        <stp>[DPM - Securities Master List (BBG Linked).xlsx]Equities!R11C44</stp>
        <tr r="AR11" s="2"/>
      </tp>
      <tp>
        <v>217</v>
        <stp/>
        <stp>##V3_BDPV12</stp>
        <stp>3690 HK Equity</stp>
        <stp>hs001</stp>
        <stp>[DPM - Securities Master List (BBG Linked).xlsx]Equities!R10C44</stp>
        <tr r="AR10" s="2"/>
      </tp>
      <tp>
        <v>217</v>
        <stp/>
        <stp>##V3_BDPV12</stp>
        <stp>3690 HK Equity</stp>
        <stp>hs001</stp>
        <stp>[DPM - Securities Master List (BBG Linked).xlsx]Equities!R13C44</stp>
        <tr r="AR13" s="2"/>
      </tp>
      <tp>
        <v>217</v>
        <stp/>
        <stp>##V3_BDPV12</stp>
        <stp>3690 HK Equity</stp>
        <stp>hs001</stp>
        <stp>[DPM - Securities Master List (BBG Linked).xlsx]Equities!R12C44</stp>
        <tr r="AR12" s="2"/>
      </tp>
      <tp>
        <v>18.963661031844321</v>
        <stp/>
        <stp>##V3_BDPV12</stp>
        <stp>3690 HK Equity</stp>
        <stp>RR041</stp>
        <stp>[DPM - Securities Master List (BBG Linked).xlsx]Equities!R14C33</stp>
        <tr r="AG14" s="2"/>
        <tr r="AG14" s="2"/>
        <tr r="AG14" s="2"/>
      </tp>
      <tp>
        <v>18.963661031844321</v>
        <stp/>
        <stp>##V3_BDPV12</stp>
        <stp>3690 HK Equity</stp>
        <stp>RR041</stp>
        <stp>[DPM - Securities Master List (BBG Linked).xlsx]Equities!R10C33</stp>
        <tr r="AG10" s="2"/>
        <tr r="AG10" s="2"/>
        <tr r="AG10" s="2"/>
      </tp>
      <tp>
        <v>18.963661031844321</v>
        <stp/>
        <stp>##V3_BDPV12</stp>
        <stp>3690 HK Equity</stp>
        <stp>RR041</stp>
        <stp>[DPM - Securities Master List (BBG Linked).xlsx]Equities!R11C33</stp>
        <tr r="AG11" s="2"/>
        <tr r="AG11" s="2"/>
        <tr r="AG11" s="2"/>
      </tp>
      <tp>
        <v>18.963661031844321</v>
        <stp/>
        <stp>##V3_BDPV12</stp>
        <stp>3690 HK Equity</stp>
        <stp>RR041</stp>
        <stp>[DPM - Securities Master List (BBG Linked).xlsx]Equities!R12C33</stp>
        <tr r="AG12" s="2"/>
        <tr r="AG12" s="2"/>
        <tr r="AG12" s="2"/>
      </tp>
      <tp>
        <v>18.963661031844321</v>
        <stp/>
        <stp>##V3_BDPV12</stp>
        <stp>3690 HK Equity</stp>
        <stp>RR041</stp>
        <stp>[DPM - Securities Master List (BBG Linked).xlsx]Equities!R13C33</stp>
        <tr r="AG13" s="2"/>
        <tr r="AG13" s="2"/>
        <tr r="AG13" s="2"/>
      </tp>
      <tp t="s">
        <v>Equity</v>
        <stp/>
        <stp>##V3_BDPV12</stp>
        <stp>3690 HK Equity</stp>
        <stp>EX028</stp>
        <stp>[DPM - Securities Master List (BBG Linked).xlsx]Equities!R14C30</stp>
        <tr r="AD14" s="2"/>
        <tr r="AD14" s="2"/>
        <tr r="AD14" s="2"/>
      </tp>
      <tp t="s">
        <v>Equity</v>
        <stp/>
        <stp>##V3_BDPV12</stp>
        <stp>3690 HK Equity</stp>
        <stp>EX028</stp>
        <stp>[DPM - Securities Master List (BBG Linked).xlsx]Equities!R12C30</stp>
        <tr r="AD12" s="2"/>
        <tr r="AD12" s="2"/>
        <tr r="AD12" s="2"/>
      </tp>
      <tp t="s">
        <v>Equity</v>
        <stp/>
        <stp>##V3_BDPV12</stp>
        <stp>3690 HK Equity</stp>
        <stp>EX028</stp>
        <stp>[DPM - Securities Master List (BBG Linked).xlsx]Equities!R13C30</stp>
        <tr r="AD13" s="2"/>
        <tr r="AD13" s="2"/>
        <tr r="AD13" s="2"/>
      </tp>
      <tp t="s">
        <v>Equity</v>
        <stp/>
        <stp>##V3_BDPV12</stp>
        <stp>3690 HK Equity</stp>
        <stp>EX028</stp>
        <stp>[DPM - Securities Master List (BBG Linked).xlsx]Equities!R10C30</stp>
        <tr r="AD10" s="2"/>
        <tr r="AD10" s="2"/>
        <tr r="AD10" s="2"/>
      </tp>
      <tp t="s">
        <v>Equity</v>
        <stp/>
        <stp>##V3_BDPV12</stp>
        <stp>3690 HK Equity</stp>
        <stp>EX028</stp>
        <stp>[DPM - Securities Master List (BBG Linked).xlsx]Equities!R11C30</stp>
        <tr r="AD11" s="2"/>
        <tr r="AD11" s="2"/>
        <tr r="AD11" s="2"/>
      </tp>
      <tp t="s">
        <v>#N/A N/A</v>
        <stp/>
        <stp>##V3_BDPV12</stp>
        <stp>3690 HK Equity</stp>
        <stp>DV013</stp>
        <stp>[DPM - Securities Master List (BBG Linked).xlsx]Equities!R10C10</stp>
        <tr r="J10" s="2"/>
      </tp>
      <tp t="s">
        <v>#N/A N/A</v>
        <stp/>
        <stp>##V3_BDPV12</stp>
        <stp>3690 HK Equity</stp>
        <stp>DV013</stp>
        <stp>[DPM - Securities Master List (BBG Linked).xlsx]Equities!R11C10</stp>
        <tr r="J11" s="2"/>
      </tp>
      <tp t="s">
        <v>#N/A N/A</v>
        <stp/>
        <stp>##V3_BDPV12</stp>
        <stp>3690 HK Equity</stp>
        <stp>DV013</stp>
        <stp>[DPM - Securities Master List (BBG Linked).xlsx]Equities!R12C10</stp>
        <tr r="J12" s="2"/>
      </tp>
      <tp t="s">
        <v>#N/A N/A</v>
        <stp/>
        <stp>##V3_BDPV12</stp>
        <stp>3690 HK Equity</stp>
        <stp>DV013</stp>
        <stp>[DPM - Securities Master List (BBG Linked).xlsx]Equities!R13C10</stp>
        <tr r="J13" s="2"/>
      </tp>
      <tp t="s">
        <v>#N/A N/A</v>
        <stp/>
        <stp>##V3_BDPV12</stp>
        <stp>3690 HK Equity</stp>
        <stp>DV013</stp>
        <stp>[DPM - Securities Master List (BBG Linked).xlsx]Equities!R14C10</stp>
        <tr r="J14" s="2"/>
      </tp>
      <tp>
        <v>12.709319007605902</v>
        <stp/>
        <stp>##V3_BDPV12</stp>
        <stp>3690 HK Equity</stp>
        <stp>EE010</stp>
        <stp>[DPM - Securities Master List (BBG Linked).xlsx]Equities!R13C12</stp>
        <tr r="L13" s="2"/>
        <tr r="L13" s="2"/>
        <tr r="L13" s="2"/>
      </tp>
      <tp>
        <v>12.709319007605902</v>
        <stp/>
        <stp>##V3_BDPV12</stp>
        <stp>3690 HK Equity</stp>
        <stp>EE010</stp>
        <stp>[DPM - Securities Master List (BBG Linked).xlsx]Equities!R12C12</stp>
        <tr r="L12" s="2"/>
        <tr r="L12" s="2"/>
        <tr r="L12" s="2"/>
      </tp>
      <tp>
        <v>12.709319007605902</v>
        <stp/>
        <stp>##V3_BDPV12</stp>
        <stp>3690 HK Equity</stp>
        <stp>EE010</stp>
        <stp>[DPM - Securities Master List (BBG Linked).xlsx]Equities!R11C12</stp>
        <tr r="L11" s="2"/>
        <tr r="L11" s="2"/>
        <tr r="L11" s="2"/>
      </tp>
      <tp>
        <v>12.709319007605902</v>
        <stp/>
        <stp>##V3_BDPV12</stp>
        <stp>3690 HK Equity</stp>
        <stp>EE010</stp>
        <stp>[DPM - Securities Master List (BBG Linked).xlsx]Equities!R10C12</stp>
        <tr r="L10" s="2"/>
        <tr r="L10" s="2"/>
        <tr r="L10" s="2"/>
      </tp>
      <tp>
        <v>12.709319007605902</v>
        <stp/>
        <stp>##V3_BDPV12</stp>
        <stp>3690 HK Equity</stp>
        <stp>EE010</stp>
        <stp>[DPM - Securities Master List (BBG Linked).xlsx]Equities!R14C12</stp>
        <tr r="L14" s="2"/>
        <tr r="L14" s="2"/>
        <tr r="L14" s="2"/>
      </tp>
      <tp>
        <v>-8.7013820000000006</v>
        <stp/>
        <stp>##V3_BDPV12</stp>
        <stp>3690 HK Equity</stp>
        <stp>PR079</stp>
        <stp>[DPM - Securities Master List (BBG Linked).xlsx]Equities!R14C43</stp>
        <tr r="AQ14" s="2"/>
      </tp>
      <tp>
        <v>-8.7013820000000006</v>
        <stp/>
        <stp>##V3_BDPV12</stp>
        <stp>3690 HK Equity</stp>
        <stp>PR079</stp>
        <stp>[DPM - Securities Master List (BBG Linked).xlsx]Equities!R10C43</stp>
        <tr r="AQ10" s="2"/>
      </tp>
      <tp>
        <v>-8.7013820000000006</v>
        <stp/>
        <stp>##V3_BDPV12</stp>
        <stp>3690 HK Equity</stp>
        <stp>PR079</stp>
        <stp>[DPM - Securities Master List (BBG Linked).xlsx]Equities!R11C43</stp>
        <tr r="AQ11" s="2"/>
      </tp>
      <tp>
        <v>-8.7013820000000006</v>
        <stp/>
        <stp>##V3_BDPV12</stp>
        <stp>3690 HK Equity</stp>
        <stp>PR079</stp>
        <stp>[DPM - Securities Master List (BBG Linked).xlsx]Equities!R12C43</stp>
        <tr r="AQ12" s="2"/>
      </tp>
      <tp>
        <v>-8.7013820000000006</v>
        <stp/>
        <stp>##V3_BDPV12</stp>
        <stp>3690 HK Equity</stp>
        <stp>PR079</stp>
        <stp>[DPM - Securities Master List (BBG Linked).xlsx]Equities!R13C43</stp>
        <tr r="AQ13" s="2"/>
      </tp>
      <tp>
        <v>-7.7281849999999999</v>
        <stp/>
        <stp>##V3_BDPV12</stp>
        <stp>3690 HK Equity</stp>
        <stp>PR064</stp>
        <stp>[DPM - Securities Master List (BBG Linked).xlsx]Equities!R14C41</stp>
        <tr r="AO14" s="2"/>
      </tp>
      <tp>
        <v>-7.7281849999999999</v>
        <stp/>
        <stp>##V3_BDPV12</stp>
        <stp>3690 HK Equity</stp>
        <stp>PR064</stp>
        <stp>[DPM - Securities Master List (BBG Linked).xlsx]Equities!R10C41</stp>
        <tr r="AO10" s="2"/>
      </tp>
      <tp>
        <v>-7.7281849999999999</v>
        <stp/>
        <stp>##V3_BDPV12</stp>
        <stp>3690 HK Equity</stp>
        <stp>PR064</stp>
        <stp>[DPM - Securities Master List (BBG Linked).xlsx]Equities!R11C41</stp>
        <tr r="AO11" s="2"/>
      </tp>
      <tp>
        <v>-7.7281849999999999</v>
        <stp/>
        <stp>##V3_BDPV12</stp>
        <stp>3690 HK Equity</stp>
        <stp>PR064</stp>
        <stp>[DPM - Securities Master List (BBG Linked).xlsx]Equities!R12C41</stp>
        <tr r="AO12" s="2"/>
      </tp>
      <tp>
        <v>-7.7281849999999999</v>
        <stp/>
        <stp>##V3_BDPV12</stp>
        <stp>3690 HK Equity</stp>
        <stp>PR064</stp>
        <stp>[DPM - Securities Master List (BBG Linked).xlsx]Equities!R13C41</stp>
        <tr r="AO13" s="2"/>
      </tp>
      <tp>
        <v>-12.286250000000001</v>
        <stp/>
        <stp>##V3_BDPV12</stp>
        <stp>3690 HK Equity</stp>
        <stp>PR061</stp>
        <stp>[DPM - Securities Master List (BBG Linked).xlsx]Equities!R14C40</stp>
        <tr r="AN14" s="2"/>
      </tp>
      <tp>
        <v>-12.286250000000001</v>
        <stp/>
        <stp>##V3_BDPV12</stp>
        <stp>3690 HK Equity</stp>
        <stp>PR061</stp>
        <stp>[DPM - Securities Master List (BBG Linked).xlsx]Equities!R10C40</stp>
        <tr r="AN10" s="2"/>
      </tp>
      <tp>
        <v>-12.286250000000001</v>
        <stp/>
        <stp>##V3_BDPV12</stp>
        <stp>3690 HK Equity</stp>
        <stp>PR061</stp>
        <stp>[DPM - Securities Master List (BBG Linked).xlsx]Equities!R11C40</stp>
        <tr r="AN11" s="2"/>
      </tp>
      <tp>
        <v>-12.286250000000001</v>
        <stp/>
        <stp>##V3_BDPV12</stp>
        <stp>3690 HK Equity</stp>
        <stp>PR061</stp>
        <stp>[DPM - Securities Master List (BBG Linked).xlsx]Equities!R12C40</stp>
        <tr r="AN12" s="2"/>
      </tp>
      <tp>
        <v>-12.286250000000001</v>
        <stp/>
        <stp>##V3_BDPV12</stp>
        <stp>3690 HK Equity</stp>
        <stp>PR061</stp>
        <stp>[DPM - Securities Master List (BBG Linked).xlsx]Equities!R13C40</stp>
        <tr r="AN13" s="2"/>
      </tp>
    </main>
    <main first="bofaddin.rtdserver">
      <tp t="e">
        <v>#N/A</v>
        <stp/>
        <stp>BDP|7973283641277379099</stp>
        <tr r="AN64" s="3"/>
        <tr r="AN64" s="3"/>
        <tr r="AN64" s="3"/>
      </tp>
      <tp t="e">
        <v>#N/A</v>
        <stp/>
        <stp>BDP|2411062357463858270</stp>
        <tr r="W98" s="1"/>
        <tr r="W79" s="1"/>
        <tr r="W5" s="1"/>
        <tr r="W155" s="1"/>
        <tr r="W118" s="1"/>
      </tp>
      <tp t="e">
        <v>#N/A</v>
        <stp/>
        <stp>BDP|5182860498145507711</stp>
        <tr r="V115" s="3"/>
      </tp>
      <tp t="e">
        <v>#N/A</v>
        <stp/>
        <stp>BDP|1276587226609493932</stp>
        <tr r="H69" s="1"/>
        <tr r="H69" s="1"/>
        <tr r="H57" s="1"/>
        <tr r="H57" s="1"/>
      </tp>
      <tp t="e">
        <v>#N/A</v>
        <stp/>
        <stp>BDP|3711662781422275990</stp>
        <tr r="AA47" s="1"/>
      </tp>
      <tp t="e">
        <v>#N/A</v>
        <stp/>
        <stp>BDP|3697740982619373388</stp>
        <tr r="N53" s="1"/>
        <tr r="N115" s="1"/>
        <tr r="N62" s="1"/>
        <tr r="N45" s="1"/>
      </tp>
      <tp t="e">
        <v>#N/A</v>
        <stp/>
        <stp>BDP|7951626214163627522</stp>
        <tr r="AD52" s="1"/>
      </tp>
      <tp t="e">
        <v>#N/A</v>
        <stp/>
        <stp>BDP|6784461629426682052</stp>
        <tr r="K72" s="1"/>
        <tr r="K33" s="1"/>
        <tr r="K158" s="1"/>
      </tp>
      <tp t="e">
        <v>#N/A</v>
        <stp/>
        <stp>BDP|5925929384684578621</stp>
        <tr r="J72" s="3"/>
        <tr r="J72" s="3"/>
        <tr r="J71" s="3"/>
        <tr r="J71" s="3"/>
        <tr r="J70" s="3"/>
        <tr r="J70" s="3"/>
        <tr r="J69" s="3"/>
        <tr r="J69" s="3"/>
        <tr r="J68" s="3"/>
        <tr r="J68" s="3"/>
        <tr r="J67" s="3"/>
        <tr r="J67" s="3"/>
        <tr r="J66" s="3"/>
        <tr r="J66" s="3"/>
        <tr r="J65" s="3"/>
        <tr r="J65" s="3"/>
      </tp>
      <tp t="e">
        <v>#N/A</v>
        <stp/>
        <stp>BDP|7431073733166126498</stp>
        <tr r="H105" s="1"/>
        <tr r="H105" s="1"/>
      </tp>
      <tp t="e">
        <v>#N/A</v>
        <stp/>
        <stp>BDP|1782295614755558173</stp>
        <tr r="V84" s="1"/>
        <tr r="V70" s="1"/>
        <tr r="V159" s="1"/>
        <tr r="V116" s="1"/>
      </tp>
      <tp t="e">
        <v>#N/A</v>
        <stp/>
        <stp>BDP|2212636348896867098</stp>
        <tr r="AM130" s="1"/>
        <tr r="AM130" s="1"/>
      </tp>
      <tp t="e">
        <v>#N/A</v>
        <stp/>
        <stp>BDP|4492192581602128958</stp>
        <tr r="AJ78" s="1"/>
        <tr r="AJ78" s="1"/>
        <tr r="AJ154" s="1"/>
        <tr r="AJ154" s="1"/>
        <tr r="AJ149" s="1"/>
        <tr r="AJ149" s="1"/>
        <tr r="AJ124" s="1"/>
        <tr r="AJ124" s="1"/>
      </tp>
      <tp t="e">
        <v>#N/A</v>
        <stp/>
        <stp>BDP|6435617034805929008</stp>
        <tr r="AM73" s="1"/>
        <tr r="AM73" s="1"/>
        <tr r="AM168" s="1"/>
        <tr r="AM168" s="1"/>
      </tp>
      <tp t="e">
        <v>#N/A</v>
        <stp/>
        <stp>BDP|7118418448091342025</stp>
        <tr r="N95" s="1"/>
        <tr r="N71" s="1"/>
      </tp>
      <tp t="e">
        <v>#N/A</v>
        <stp/>
        <stp>BDP|7853611170549420948</stp>
        <tr r="AM13" s="1"/>
        <tr r="AM13" s="1"/>
      </tp>
      <tp t="e">
        <v>#N/A</v>
        <stp/>
        <stp>BDP|4584593404770331728</stp>
        <tr r="BC8" s="3"/>
      </tp>
      <tp t="e">
        <v>#N/A</v>
        <stp/>
        <stp>BDP|5372794961905648737</stp>
        <tr r="V64" s="3"/>
      </tp>
      <tp t="e">
        <v>#N/A</v>
        <stp/>
        <stp>BDP|1624189702475218303</stp>
        <tr r="AT135" s="1"/>
        <tr r="AT41" s="1"/>
        <tr r="AT37" s="1"/>
        <tr r="AT164" s="1"/>
        <tr r="AT59" s="1"/>
        <tr r="AT29" s="1"/>
        <tr r="AT89" s="1"/>
        <tr r="AT81" s="1"/>
      </tp>
      <tp t="e">
        <v>#N/A</v>
        <stp/>
        <stp>BDP|8299133395523373598</stp>
        <tr r="AD83" s="1"/>
        <tr r="AD50" s="1"/>
      </tp>
      <tp t="e">
        <v>#N/A</v>
        <stp/>
        <stp>BDP|8032230501235550997</stp>
        <tr r="I91" s="1"/>
        <tr r="I76" s="1"/>
        <tr r="I55" s="1"/>
        <tr r="I48" s="1"/>
        <tr r="I26" s="1"/>
        <tr r="I157" s="1"/>
        <tr r="I142" s="1"/>
        <tr r="I132" s="1"/>
        <tr r="I120" s="1"/>
        <tr r="I100" s="1"/>
      </tp>
      <tp t="e">
        <v>#N/A</v>
        <stp/>
        <stp>BDP|8890603541264586822</stp>
        <tr r="AM6" s="1"/>
        <tr r="AM6" s="1"/>
      </tp>
      <tp t="e">
        <v>#N/A</v>
        <stp/>
        <stp>BDP|2699388190437759975</stp>
        <tr r="H66" s="1"/>
        <tr r="H66" s="1"/>
        <tr r="H49" s="1"/>
        <tr r="H49" s="1"/>
        <tr r="H42" s="1"/>
        <tr r="H42" s="1"/>
      </tp>
      <tp t="e">
        <v>#N/A</v>
        <stp/>
        <stp>BDP|3836710120316258651</stp>
        <tr r="AF78" s="3"/>
        <tr r="AF78" s="3"/>
        <tr r="AF77" s="3"/>
        <tr r="AF77" s="3"/>
        <tr r="AF76" s="3"/>
        <tr r="AF76" s="3"/>
        <tr r="AF75" s="3"/>
        <tr r="AF75" s="3"/>
        <tr r="AF74" s="3"/>
        <tr r="AF74" s="3"/>
        <tr r="AF73" s="3"/>
        <tr r="AF73" s="3"/>
      </tp>
      <tp t="e">
        <v>#N/A</v>
        <stp/>
        <stp>BDP|5641526315216968160</stp>
        <tr r="H16" s="1"/>
        <tr r="H99" s="1"/>
        <tr r="H146" s="1"/>
        <tr r="H74" s="1"/>
        <tr r="H137" s="1"/>
        <tr r="H38" s="1"/>
        <tr r="H111" s="1"/>
        <tr r="H23" s="1"/>
        <tr r="H165" s="1"/>
        <tr r="H61" s="1"/>
        <tr r="H152" s="1"/>
        <tr r="H119" s="1"/>
      </tp>
      <tp t="e">
        <v>#N/A</v>
        <stp/>
        <stp>BDP|6044477316573770698</stp>
        <tr r="AM110" s="1"/>
        <tr r="AM110" s="1"/>
      </tp>
      <tp t="e">
        <v>#N/A</v>
        <stp/>
        <stp>BDP|9940663307809774000</stp>
        <tr r="Q11" s="1"/>
        <tr r="Q102" s="1"/>
      </tp>
      <tp t="e">
        <v>#N/A</v>
        <stp/>
        <stp>BDP|7664171049207128368</stp>
        <tr r="M9" s="3"/>
        <tr r="M9" s="3"/>
        <tr r="M9" s="3"/>
        <tr r="M8" s="3"/>
        <tr r="M8" s="3"/>
        <tr r="M8" s="3"/>
        <tr r="M7" s="3"/>
        <tr r="M7" s="3"/>
        <tr r="M7" s="3"/>
        <tr r="M6" s="3"/>
        <tr r="M6" s="3"/>
        <tr r="M6" s="3"/>
        <tr r="M5" s="3"/>
        <tr r="M5" s="3"/>
        <tr r="M5" s="3"/>
        <tr r="M4" s="3"/>
        <tr r="M4" s="3"/>
        <tr r="M4" s="3"/>
        <tr r="M3" s="3"/>
        <tr r="M3" s="3"/>
        <tr r="M3" s="3"/>
        <tr r="M15" s="3"/>
        <tr r="M15" s="3"/>
        <tr r="M15" s="3"/>
        <tr r="M14" s="3"/>
        <tr r="M14" s="3"/>
        <tr r="M14" s="3"/>
        <tr r="M13" s="3"/>
        <tr r="M13" s="3"/>
        <tr r="M13" s="3"/>
        <tr r="M12" s="3"/>
        <tr r="M12" s="3"/>
        <tr r="M12" s="3"/>
        <tr r="M11" s="3"/>
        <tr r="M11" s="3"/>
        <tr r="M11" s="3"/>
        <tr r="M10" s="3"/>
        <tr r="M10" s="3"/>
        <tr r="M10" s="3"/>
      </tp>
      <tp t="e">
        <v>#N/A</v>
        <stp/>
        <stp>BDP|2594318141114207780</stp>
        <tr r="W141" s="3"/>
        <tr r="W140" s="3"/>
        <tr r="W139" s="3"/>
        <tr r="W138" s="3"/>
        <tr r="W137" s="3"/>
        <tr r="W136" s="3"/>
        <tr r="W135" s="3"/>
        <tr r="W134" s="3"/>
        <tr r="W133" s="3"/>
        <tr r="W132" s="3"/>
        <tr r="W131" s="3"/>
        <tr r="W130" s="3"/>
      </tp>
      <tp t="e">
        <v>#N/A</v>
        <stp/>
        <stp>BDP|7393678218677769141</stp>
        <tr r="AL102" s="3"/>
        <tr r="AL102" s="3"/>
        <tr r="AL102" s="3"/>
        <tr r="AL101" s="3"/>
        <tr r="AL101" s="3"/>
        <tr r="AL101" s="3"/>
        <tr r="AL100" s="3"/>
        <tr r="AL100" s="3"/>
        <tr r="AL100" s="3"/>
      </tp>
      <tp t="e">
        <v>#N/A</v>
        <stp/>
        <stp>BDP|8935823220704403000</stp>
        <tr r="AO143" s="1"/>
        <tr r="AO127" s="1"/>
      </tp>
      <tp t="e">
        <v>#N/A</v>
        <stp/>
        <stp>BDP|9997737165097018909</stp>
        <tr r="Q78" s="1"/>
        <tr r="Q154" s="1"/>
        <tr r="Q149" s="1"/>
        <tr r="Q124" s="1"/>
      </tp>
      <tp t="e">
        <v>#N/A</v>
        <stp/>
        <stp>BDP|6412487426114249275</stp>
        <tr r="AU98" s="1"/>
        <tr r="AU98" s="1"/>
        <tr r="AU98" s="1"/>
        <tr r="AU79" s="1"/>
        <tr r="AU79" s="1"/>
        <tr r="AU79" s="1"/>
        <tr r="AU5" s="1"/>
        <tr r="AU5" s="1"/>
        <tr r="AU5" s="1"/>
        <tr r="AU155" s="1"/>
        <tr r="AU155" s="1"/>
        <tr r="AU155" s="1"/>
        <tr r="AU118" s="1"/>
        <tr r="AU118" s="1"/>
        <tr r="AU118" s="1"/>
      </tp>
      <tp t="e">
        <v>#N/A</v>
        <stp/>
        <stp>BDP|5900819296925600749</stp>
        <tr r="M19" s="1"/>
        <tr r="M19" s="1"/>
      </tp>
      <tp t="e">
        <v>#N/A</v>
        <stp/>
        <stp>BDP|1976023983759169652</stp>
        <tr r="V103" s="1"/>
      </tp>
      <tp t="e">
        <v>#N/A</v>
        <stp/>
        <stp>BDP|8111390676062085830</stp>
        <tr r="AE90" s="1"/>
      </tp>
      <tp t="e">
        <v>#N/A</v>
        <stp/>
        <stp>BDP|5840387334873846016</stp>
        <tr r="Y130" s="1"/>
      </tp>
      <tp t="e">
        <v>#N/A</v>
        <stp/>
        <stp>BDP|8744983443294968789</stp>
        <tr r="AE105" s="1"/>
      </tp>
      <tp t="e">
        <v>#N/A</v>
        <stp/>
        <stp>BDP|6110480461865465712</stp>
        <tr r="E68" s="1"/>
        <tr r="E31" s="1"/>
      </tp>
      <tp t="e">
        <v>#N/A</v>
        <stp/>
        <stp>BDP|1593790464442278477</stp>
        <tr r="N150" s="1"/>
        <tr r="N122" s="1"/>
      </tp>
      <tp t="e">
        <v>#N/A</v>
        <stp/>
        <stp>BDP|9008910522401621588</stp>
        <tr r="AU104" s="1"/>
        <tr r="AU104" s="1"/>
        <tr r="AU104" s="1"/>
      </tp>
      <tp t="e">
        <v>#N/A</v>
        <stp/>
        <stp>BDP|3457145354762870310</stp>
        <tr r="H64" s="1"/>
        <tr r="H64" s="1"/>
      </tp>
      <tp t="e">
        <v>#N/A</v>
        <stp/>
        <stp>BDP|8898899919215729223</stp>
        <tr r="BC56" s="3"/>
      </tp>
      <tp t="e">
        <v>#N/A</v>
        <stp/>
        <stp>BDP|6187388479023414794</stp>
        <tr r="AM9" s="3"/>
        <tr r="AM9" s="3"/>
        <tr r="AM9" s="3"/>
        <tr r="AM8" s="3"/>
        <tr r="AM8" s="3"/>
        <tr r="AM8" s="3"/>
        <tr r="AM7" s="3"/>
        <tr r="AM7" s="3"/>
        <tr r="AM7" s="3"/>
        <tr r="AM6" s="3"/>
        <tr r="AM6" s="3"/>
        <tr r="AM6" s="3"/>
        <tr r="AM5" s="3"/>
        <tr r="AM5" s="3"/>
        <tr r="AM5" s="3"/>
        <tr r="AM4" s="3"/>
        <tr r="AM4" s="3"/>
        <tr r="AM4" s="3"/>
        <tr r="AM3" s="3"/>
        <tr r="AM3" s="3"/>
        <tr r="AM3" s="3"/>
        <tr r="AM15" s="3"/>
        <tr r="AM15" s="3"/>
        <tr r="AM15" s="3"/>
        <tr r="AM14" s="3"/>
        <tr r="AM14" s="3"/>
        <tr r="AM14" s="3"/>
        <tr r="AM13" s="3"/>
        <tr r="AM13" s="3"/>
        <tr r="AM13" s="3"/>
        <tr r="AM12" s="3"/>
        <tr r="AM12" s="3"/>
        <tr r="AM12" s="3"/>
        <tr r="AM11" s="3"/>
        <tr r="AM11" s="3"/>
        <tr r="AM11" s="3"/>
        <tr r="AM10" s="3"/>
        <tr r="AM10" s="3"/>
        <tr r="AM10" s="3"/>
      </tp>
      <tp t="e">
        <v>#N/A</v>
        <stp/>
        <stp>BDP|8152196693405370354</stp>
        <tr r="Q72" s="3"/>
        <tr r="Q71" s="3"/>
        <tr r="Q70" s="3"/>
        <tr r="Q69" s="3"/>
        <tr r="Q68" s="3"/>
        <tr r="Q67" s="3"/>
        <tr r="Q66" s="3"/>
        <tr r="Q65" s="3"/>
      </tp>
      <tp t="e">
        <v>#N/A</v>
        <stp/>
        <stp>BDP|9080809159017301575</stp>
        <tr r="AU83" s="1"/>
        <tr r="AU83" s="1"/>
        <tr r="AU83" s="1"/>
        <tr r="AU50" s="1"/>
        <tr r="AU50" s="1"/>
        <tr r="AU50" s="1"/>
      </tp>
      <tp t="e">
        <v>#N/A</v>
        <stp/>
        <stp>BDP|4998760267914705724</stp>
        <tr r="AS50" s="3"/>
        <tr r="AS50" s="3"/>
        <tr r="AS50" s="3"/>
        <tr r="AS49" s="3"/>
        <tr r="AS49" s="3"/>
        <tr r="AS49" s="3"/>
        <tr r="AS48" s="3"/>
        <tr r="AS48" s="3"/>
        <tr r="AS48" s="3"/>
        <tr r="AS47" s="3"/>
        <tr r="AS47" s="3"/>
        <tr r="AS47" s="3"/>
        <tr r="AS46" s="3"/>
        <tr r="AS46" s="3"/>
        <tr r="AS46" s="3"/>
        <tr r="AS45" s="3"/>
        <tr r="AS45" s="3"/>
        <tr r="AS45" s="3"/>
        <tr r="AS44" s="3"/>
        <tr r="AS44" s="3"/>
        <tr r="AS44" s="3"/>
        <tr r="AS43" s="3"/>
        <tr r="AS43" s="3"/>
        <tr r="AS43" s="3"/>
        <tr r="AS42" s="3"/>
        <tr r="AS42" s="3"/>
        <tr r="AS42" s="3"/>
        <tr r="AS41" s="3"/>
        <tr r="AS41" s="3"/>
        <tr r="AS41" s="3"/>
        <tr r="AS40" s="3"/>
        <tr r="AS40" s="3"/>
        <tr r="AS40" s="3"/>
        <tr r="AS39" s="3"/>
        <tr r="AS39" s="3"/>
        <tr r="AS39" s="3"/>
        <tr r="AS38" s="3"/>
        <tr r="AS38" s="3"/>
        <tr r="AS38" s="3"/>
        <tr r="AS37" s="3"/>
        <tr r="AS37" s="3"/>
        <tr r="AS37" s="3"/>
        <tr r="AS36" s="3"/>
        <tr r="AS36" s="3"/>
        <tr r="AS36" s="3"/>
        <tr r="AS35" s="3"/>
        <tr r="AS35" s="3"/>
        <tr r="AS35" s="3"/>
      </tp>
      <tp t="e">
        <v>#N/A</v>
        <stp/>
        <stp>BDP|4595417655701961259</stp>
        <tr r="AO72" s="3"/>
        <tr r="AO72" s="3"/>
        <tr r="AO72" s="3"/>
        <tr r="AO71" s="3"/>
        <tr r="AO71" s="3"/>
        <tr r="AO71" s="3"/>
        <tr r="AO70" s="3"/>
        <tr r="AO70" s="3"/>
        <tr r="AO70" s="3"/>
        <tr r="AO69" s="3"/>
        <tr r="AO69" s="3"/>
        <tr r="AO69" s="3"/>
        <tr r="AO68" s="3"/>
        <tr r="AO68" s="3"/>
        <tr r="AO68" s="3"/>
        <tr r="AO67" s="3"/>
        <tr r="AO67" s="3"/>
        <tr r="AO67" s="3"/>
        <tr r="AO66" s="3"/>
        <tr r="AO66" s="3"/>
        <tr r="AO66" s="3"/>
        <tr r="AO65" s="3"/>
        <tr r="AO65" s="3"/>
        <tr r="AO65" s="3"/>
      </tp>
      <tp t="e">
        <v>#N/A</v>
        <stp/>
        <stp>BDP|2961934618295763979</stp>
        <tr r="X110" s="1"/>
      </tp>
      <tp t="e">
        <v>#N/A</v>
        <stp/>
        <stp>BDP|5304449913325202344</stp>
        <tr r="AO96" s="1"/>
        <tr r="AO77" s="1"/>
        <tr r="AO65" s="1"/>
        <tr r="AO36" s="1"/>
        <tr r="AO27" s="1"/>
        <tr r="AO162" s="1"/>
      </tp>
      <tp t="e">
        <v>#N/A</v>
        <stp/>
        <stp>BDP|4784351409221135088</stp>
        <tr r="W99" s="1"/>
        <tr r="W74" s="1"/>
        <tr r="W61" s="1"/>
        <tr r="W38" s="1"/>
        <tr r="W23" s="1"/>
        <tr r="W165" s="1"/>
        <tr r="W16" s="1"/>
        <tr r="W152" s="1"/>
        <tr r="W146" s="1"/>
        <tr r="W137" s="1"/>
        <tr r="W119" s="1"/>
        <tr r="W111" s="1"/>
      </tp>
      <tp t="e">
        <v>#N/A</v>
        <stp/>
        <stp>BDP|4897068779283277677</stp>
        <tr r="AJ8" s="1"/>
        <tr r="AJ8" s="1"/>
        <tr r="AJ106" s="1"/>
        <tr r="AJ106" s="1"/>
      </tp>
      <tp t="e">
        <v>#N/A</v>
        <stp/>
        <stp>BDP|3315251797249391709</stp>
        <tr r="AO64" s="3"/>
        <tr r="AO64" s="3"/>
        <tr r="AO64" s="3"/>
      </tp>
      <tp t="e">
        <v>#N/A</v>
        <stp/>
        <stp>BDP|7551220606271128222</stp>
        <tr r="H145" s="1"/>
        <tr r="H145" s="1"/>
        <tr r="H136" s="1"/>
        <tr r="H136" s="1"/>
      </tp>
      <tp t="e">
        <v>#N/A</v>
        <stp/>
        <stp>BDP|9992422801373187889</stp>
        <tr r="AO145" s="1"/>
        <tr r="AO136" s="1"/>
      </tp>
      <tp t="e">
        <v>#N/A</v>
        <stp/>
        <stp>BDP|7337151155200004508</stp>
        <tr r="X82" s="1"/>
        <tr r="X39" s="1"/>
        <tr r="X22" s="1"/>
        <tr r="X167" s="1"/>
      </tp>
      <tp t="e">
        <v>#N/A</v>
        <stp/>
        <stp>BDP|7531176412980076131</stp>
        <tr r="X19" s="1"/>
      </tp>
      <tp t="e">
        <v>#N/A</v>
        <stp/>
        <stp>BDP|8269713126562279947</stp>
        <tr r="AS95" s="1"/>
        <tr r="AS71" s="1"/>
        <tr r="L95" s="1"/>
        <tr r="L95" s="1"/>
        <tr r="L71" s="1"/>
        <tr r="L71" s="1"/>
      </tp>
      <tp t="e">
        <v>#N/A</v>
        <stp/>
        <stp>BDP|8280352484174390132</stp>
        <tr r="BC63" s="3"/>
        <tr r="BC62" s="3"/>
        <tr r="BC61" s="3"/>
        <tr r="BC60" s="3"/>
        <tr r="BC59" s="3"/>
        <tr r="BC58" s="3"/>
        <tr r="BC57" s="3"/>
        <tr r="BC55" s="3"/>
        <tr r="BC54" s="3"/>
        <tr r="BC53" s="3"/>
        <tr r="BC52" s="3"/>
        <tr r="BC51" s="3"/>
      </tp>
      <tp t="e">
        <v>#N/A</v>
        <stp/>
        <stp>BDP|3967282151856783443</stp>
        <tr r="AD160" s="1"/>
      </tp>
      <tp t="e">
        <v>#N/A</v>
        <stp/>
        <stp>BDP|8971333949618267122</stp>
        <tr r="AA8" s="1"/>
        <tr r="AA106" s="1"/>
      </tp>
      <tp t="e">
        <v>#N/A</v>
        <stp/>
        <stp>BDP|9325786185461804169</stp>
        <tr r="AI16" s="3"/>
        <tr r="AI16" s="3"/>
        <tr r="AI16" s="3"/>
      </tp>
      <tp t="e">
        <v>#N/A</v>
        <stp/>
        <stp>BDP|5983733321921332788</stp>
        <tr r="AT117" s="1"/>
        <tr r="AT25" s="1"/>
        <tr r="AT4" s="1"/>
        <tr r="AT40" s="1"/>
        <tr r="AT163" s="1"/>
        <tr r="AT60" s="1"/>
        <tr r="AT97" s="1"/>
        <tr r="AT75" s="1"/>
      </tp>
      <tp t="e">
        <v>#N/A</v>
        <stp/>
        <stp>BDP|5288293619062713252</stp>
        <tr r="AV141" s="3"/>
        <tr r="AV141" s="3"/>
        <tr r="AV140" s="3"/>
        <tr r="AV140" s="3"/>
        <tr r="AV139" s="3"/>
        <tr r="AV139" s="3"/>
        <tr r="AV138" s="3"/>
        <tr r="AV138" s="3"/>
        <tr r="AV137" s="3"/>
        <tr r="AV137" s="3"/>
        <tr r="AV136" s="3"/>
        <tr r="AV136" s="3"/>
        <tr r="AV135" s="3"/>
        <tr r="AV135" s="3"/>
        <tr r="AV134" s="3"/>
        <tr r="AV134" s="3"/>
        <tr r="AV133" s="3"/>
        <tr r="AV133" s="3"/>
        <tr r="AV132" s="3"/>
        <tr r="AV132" s="3"/>
        <tr r="AV131" s="3"/>
        <tr r="AV131" s="3"/>
        <tr r="AV130" s="3"/>
        <tr r="AV130" s="3"/>
      </tp>
      <tp t="e">
        <v>#N/A</v>
        <stp/>
        <stp>BDP|2678415104733172329</stp>
        <tr r="AU91" s="1"/>
        <tr r="AU91" s="1"/>
        <tr r="AU91" s="1"/>
        <tr r="AU76" s="1"/>
        <tr r="AU76" s="1"/>
        <tr r="AU76" s="1"/>
        <tr r="AU55" s="1"/>
        <tr r="AU55" s="1"/>
        <tr r="AU55" s="1"/>
        <tr r="AU48" s="1"/>
        <tr r="AU48" s="1"/>
        <tr r="AU48" s="1"/>
        <tr r="AU26" s="1"/>
        <tr r="AU26" s="1"/>
        <tr r="AU26" s="1"/>
        <tr r="AU157" s="1"/>
        <tr r="AU157" s="1"/>
        <tr r="AU157" s="1"/>
        <tr r="AU142" s="1"/>
        <tr r="AU142" s="1"/>
        <tr r="AU142" s="1"/>
        <tr r="AU132" s="1"/>
        <tr r="AU132" s="1"/>
        <tr r="AU132" s="1"/>
        <tr r="AU120" s="1"/>
        <tr r="AU120" s="1"/>
        <tr r="AU120" s="1"/>
        <tr r="AU100" s="1"/>
        <tr r="AU100" s="1"/>
        <tr r="AU100" s="1"/>
      </tp>
      <tp t="e">
        <v>#N/A</v>
        <stp/>
        <stp>BDP|3026648566446343317</stp>
        <tr r="AE129" s="3"/>
        <tr r="AE129" s="3"/>
        <tr r="AE129" s="3"/>
        <tr r="AE128" s="3"/>
        <tr r="AE128" s="3"/>
        <tr r="AE128" s="3"/>
        <tr r="AE127" s="3"/>
        <tr r="AE127" s="3"/>
        <tr r="AE127" s="3"/>
        <tr r="AE126" s="3"/>
        <tr r="AE126" s="3"/>
        <tr r="AE126" s="3"/>
        <tr r="AE125" s="3"/>
        <tr r="AE125" s="3"/>
        <tr r="AE125" s="3"/>
        <tr r="AE124" s="3"/>
        <tr r="AE124" s="3"/>
        <tr r="AE124" s="3"/>
        <tr r="AE123" s="3"/>
        <tr r="AE123" s="3"/>
        <tr r="AE123" s="3"/>
        <tr r="AE122" s="3"/>
        <tr r="AE122" s="3"/>
        <tr r="AE122" s="3"/>
        <tr r="AE121" s="3"/>
        <tr r="AE121" s="3"/>
        <tr r="AE121" s="3"/>
        <tr r="AE120" s="3"/>
        <tr r="AE120" s="3"/>
        <tr r="AE120" s="3"/>
      </tp>
      <tp t="e">
        <v>#N/A</v>
        <stp/>
        <stp>BDP|3422702429371527182</stp>
        <tr r="N104" s="1"/>
      </tp>
      <tp t="e">
        <v>#N/A</v>
        <stp/>
        <stp>BDP|2522841494221154447</stp>
        <tr r="I72" s="3"/>
        <tr r="I72" s="3"/>
        <tr r="I72" s="3"/>
        <tr r="I71" s="3"/>
        <tr r="I71" s="3"/>
        <tr r="I71" s="3"/>
        <tr r="I70" s="3"/>
        <tr r="I70" s="3"/>
        <tr r="I70" s="3"/>
        <tr r="I69" s="3"/>
        <tr r="I69" s="3"/>
        <tr r="I69" s="3"/>
        <tr r="I68" s="3"/>
        <tr r="I68" s="3"/>
        <tr r="I68" s="3"/>
        <tr r="I67" s="3"/>
        <tr r="I67" s="3"/>
        <tr r="I67" s="3"/>
        <tr r="I66" s="3"/>
        <tr r="I66" s="3"/>
        <tr r="I66" s="3"/>
        <tr r="I65" s="3"/>
        <tr r="I65" s="3"/>
        <tr r="I65" s="3"/>
      </tp>
      <tp t="e">
        <v>#N/A</v>
        <stp/>
        <stp>BDP|5762125931303190240</stp>
        <tr r="AO85" s="1"/>
      </tp>
      <tp t="e">
        <v>#N/A</v>
        <stp/>
        <stp>BDP|1798914269531626985</stp>
        <tr r="F17" s="1"/>
        <tr r="F112" s="1"/>
      </tp>
      <tp t="e">
        <v>#N/A</v>
        <stp/>
        <stp>BDP|2703544658472242686</stp>
        <tr r="F145" s="1"/>
        <tr r="F136" s="1"/>
      </tp>
      <tp t="e">
        <v>#N/A</v>
        <stp/>
        <stp>BDP|5648159634974747514</stp>
        <tr r="H92" s="1"/>
        <tr r="H92" s="1"/>
      </tp>
      <tp t="e">
        <v>#N/A</v>
        <stp/>
        <stp>BDP|6289990933012666884</stp>
        <tr r="H82" s="1"/>
        <tr r="H82" s="1"/>
        <tr r="H39" s="1"/>
        <tr r="H39" s="1"/>
        <tr r="H22" s="1"/>
        <tr r="H22" s="1"/>
        <tr r="H167" s="1"/>
        <tr r="H167" s="1"/>
      </tp>
      <tp t="e">
        <v>#N/A</v>
        <stp/>
        <stp>BDP|7246406863812554123</stp>
        <tr r="Z104" s="1"/>
      </tp>
      <tp t="e">
        <v>#N/A</v>
        <stp/>
        <stp>BDP|8286873166115340561</stp>
        <tr r="N105" s="1"/>
      </tp>
      <tp t="e">
        <v>#N/A</v>
        <stp/>
        <stp>BDP|8921900708216031172</stp>
        <tr r="W160" s="1"/>
      </tp>
      <tp t="e">
        <v>#N/A</v>
        <stp/>
        <stp>BDP|3951235867184288598</stp>
        <tr r="W63" s="1"/>
      </tp>
      <tp t="e">
        <v>#N/A</v>
        <stp/>
        <stp>BDP|3564275761464142547</stp>
        <tr r="L94" s="3"/>
        <tr r="L93" s="3"/>
        <tr r="L92" s="3"/>
        <tr r="L91" s="3"/>
        <tr r="L90" s="3"/>
        <tr r="L89" s="3"/>
        <tr r="L88" s="3"/>
        <tr r="L87" s="3"/>
        <tr r="L86" s="3"/>
        <tr r="L85" s="3"/>
        <tr r="L84" s="3"/>
        <tr r="L83" s="3"/>
        <tr r="L82" s="3"/>
        <tr r="L81" s="3"/>
        <tr r="L80" s="3"/>
        <tr r="L79" s="3"/>
      </tp>
      <tp t="e">
        <v>#N/A</v>
        <stp/>
        <stp>BDP|7477155065905690346</stp>
        <tr r="AS83" s="1"/>
        <tr r="AS50" s="1"/>
        <tr r="L83" s="1"/>
        <tr r="L83" s="1"/>
        <tr r="L50" s="1"/>
        <tr r="L50" s="1"/>
      </tp>
      <tp t="e">
        <v>#N/A</v>
        <stp/>
        <stp>BDP|2928296864856476674</stp>
        <tr r="M51" s="1"/>
        <tr r="M51" s="1"/>
      </tp>
      <tp t="e">
        <v>#N/A</v>
        <stp/>
        <stp>BDP|2658272170900551134</stp>
        <tr r="M72" s="1"/>
        <tr r="M72" s="1"/>
        <tr r="M33" s="1"/>
        <tr r="M33" s="1"/>
        <tr r="M158" s="1"/>
        <tr r="M158" s="1"/>
      </tp>
      <tp t="e">
        <v>#N/A</v>
        <stp/>
        <stp>BDP|5238833504979693242</stp>
        <tr r="Q102" s="3"/>
        <tr r="Q101" s="3"/>
        <tr r="Q100" s="3"/>
      </tp>
      <tp t="e">
        <v>#N/A</v>
        <stp/>
        <stp>BDP|5585752911773184670</stp>
        <tr r="Y68" s="1"/>
        <tr r="Y31" s="1"/>
      </tp>
      <tp t="e">
        <v>#N/A</v>
        <stp/>
        <stp>BDP|6524776505334735349</stp>
        <tr r="AJ129" s="3"/>
        <tr r="AJ129" s="3"/>
        <tr r="AJ129" s="3"/>
        <tr r="AJ128" s="3"/>
        <tr r="AJ128" s="3"/>
        <tr r="AJ128" s="3"/>
        <tr r="AJ127" s="3"/>
        <tr r="AJ127" s="3"/>
        <tr r="AJ127" s="3"/>
        <tr r="AJ126" s="3"/>
        <tr r="AJ126" s="3"/>
        <tr r="AJ126" s="3"/>
        <tr r="AJ125" s="3"/>
        <tr r="AJ125" s="3"/>
        <tr r="AJ125" s="3"/>
        <tr r="AJ124" s="3"/>
        <tr r="AJ124" s="3"/>
        <tr r="AJ124" s="3"/>
        <tr r="AJ123" s="3"/>
        <tr r="AJ123" s="3"/>
        <tr r="AJ123" s="3"/>
        <tr r="AJ122" s="3"/>
        <tr r="AJ122" s="3"/>
        <tr r="AJ122" s="3"/>
        <tr r="AJ121" s="3"/>
        <tr r="AJ121" s="3"/>
        <tr r="AJ121" s="3"/>
        <tr r="AJ120" s="3"/>
        <tr r="AJ120" s="3"/>
        <tr r="AJ120" s="3"/>
      </tp>
      <tp t="e">
        <v>#N/A</v>
        <stp/>
        <stp>BDP|1178146969947874702</stp>
        <tr r="I159" s="1"/>
        <tr r="I70" s="1"/>
        <tr r="I84" s="1"/>
        <tr r="I116" s="1"/>
      </tp>
      <tp t="e">
        <v>#N/A</v>
        <stp/>
        <stp>BDP|6735305427793500210</stp>
        <tr r="AU140" s="1"/>
        <tr r="AU140" s="1"/>
        <tr r="AU140" s="1"/>
        <tr r="AU128" s="1"/>
        <tr r="AU128" s="1"/>
        <tr r="AU128" s="1"/>
      </tp>
      <tp t="e">
        <v>#N/A</v>
        <stp/>
        <stp>BDP|7096715255510390333</stp>
        <tr r="AT104" s="1"/>
      </tp>
      <tp t="e">
        <v>#N/A</v>
        <stp/>
        <stp>BDP|6705162759591542597</stp>
        <tr r="E93" s="1"/>
      </tp>
      <tp t="e">
        <v>#N/A</v>
        <stp/>
        <stp>BDP|2806415640450486481</stp>
        <tr r="AA15" s="1"/>
        <tr r="AA109" s="1"/>
      </tp>
      <tp t="e">
        <v>#N/A</v>
        <stp/>
        <stp>BDP|5496267277313665565</stp>
        <tr r="H16" s="1"/>
        <tr r="H16" s="1"/>
        <tr r="H99" s="1"/>
        <tr r="H99" s="1"/>
        <tr r="H146" s="1"/>
        <tr r="H146" s="1"/>
        <tr r="H74" s="1"/>
        <tr r="H74" s="1"/>
        <tr r="H137" s="1"/>
        <tr r="H137" s="1"/>
        <tr r="H38" s="1"/>
        <tr r="H38" s="1"/>
        <tr r="H111" s="1"/>
        <tr r="H111" s="1"/>
        <tr r="H23" s="1"/>
        <tr r="H23" s="1"/>
        <tr r="H165" s="1"/>
        <tr r="H165" s="1"/>
        <tr r="H61" s="1"/>
        <tr r="H61" s="1"/>
        <tr r="H152" s="1"/>
        <tr r="H152" s="1"/>
        <tr r="H119" s="1"/>
        <tr r="H119" s="1"/>
      </tp>
      <tp t="e">
        <v>#N/A</v>
        <stp/>
        <stp>BDP|5752189601050292295</stp>
        <tr r="M119" s="3"/>
        <tr r="M119" s="3"/>
        <tr r="M119" s="3"/>
        <tr r="M118" s="3"/>
        <tr r="M118" s="3"/>
        <tr r="M118" s="3"/>
        <tr r="M117" s="3"/>
        <tr r="M117" s="3"/>
        <tr r="M117" s="3"/>
        <tr r="M116" s="3"/>
        <tr r="M116" s="3"/>
        <tr r="M116" s="3"/>
      </tp>
      <tp t="e">
        <v>#N/A</v>
        <stp/>
        <stp>BDP|3226360803043566576</stp>
        <tr r="J99" s="3"/>
        <tr r="J99" s="3"/>
        <tr r="J99" s="3"/>
        <tr r="J98" s="3"/>
        <tr r="J98" s="3"/>
        <tr r="J98" s="3"/>
        <tr r="J97" s="3"/>
        <tr r="J97" s="3"/>
        <tr r="J97" s="3"/>
      </tp>
      <tp t="e">
        <v>#N/A</v>
        <stp/>
        <stp>BDP|4367183431361830170</stp>
        <tr r="AK160" s="1"/>
        <tr r="AK160" s="1"/>
        <tr r="AK160" s="1"/>
      </tp>
    </main>
    <main first="bloomberg.rtd">
      <tp t="s">
        <v>Health Care</v>
        <stp/>
        <stp>##V3_BDPV12</stp>
        <stp>MRK US Equity</stp>
        <stp>DX202</stp>
        <stp>[DPM - Securities Master List (BBG Linked).xlsx]Equities!R166C8</stp>
        <tr r="H166" s="2"/>
        <tr r="H166" s="2"/>
        <tr r="H166" s="2"/>
      </tp>
      <tp t="s">
        <v>Health Care</v>
        <stp/>
        <stp>##V3_BDPV12</stp>
        <stp>NVO US Equity</stp>
        <stp>DX202</stp>
        <stp>[DPM - Securities Master List (BBG Linked).xlsx]Equities!R225C8</stp>
        <tr r="H225" s="2"/>
        <tr r="H225" s="2"/>
        <tr r="H225" s="2"/>
      </tp>
      <tp t="s">
        <v>Consumer Discretionary</v>
        <stp/>
        <stp>##V3_BDPV12</stp>
        <stp>NKE US Equity</stp>
        <stp>DX202</stp>
        <stp>[DPM - Securities Master List (BBG Linked).xlsx]Equities!R215C8</stp>
        <tr r="H215" s="2"/>
        <tr r="H215" s="2"/>
        <tr r="H215" s="2"/>
      </tp>
      <tp t="s">
        <v>Utilities</v>
        <stp/>
        <stp>##V3_BDPV12</stp>
        <stp>SSE LN Equity</stp>
        <stp>DX202</stp>
        <stp>[DPM - Securities Master List (BBG Linked).xlsx]Equities!R251C8</stp>
        <tr r="H251" s="2"/>
        <tr r="H251" s="2"/>
        <tr r="H251" s="2"/>
      </tp>
      <tp>
        <v>49.719914000000003</v>
        <stp/>
        <stp>##V3_BDPV12</stp>
        <stp>USG5852MAA02 isin</stp>
        <stp>YAS_BOND_YLD</stp>
        <stp>[DPM - Securities Master List (BBG Linked).xlsx]Bonds!R19C10</stp>
        <stp>YAS_YLD_FLAG=15</stp>
        <stp>user_local_trade_date</stp>
        <stp>45783</stp>
        <stp>Yas_bond_px</stp>
        <stp>73.064999999999998</stp>
        <tr r="J19" s="1"/>
      </tp>
      <tp>
        <v>22</v>
        <stp/>
        <stp>##V3_BDPV12</stp>
        <stp>REGN Equity</stp>
        <stp>TOT_BUY_REC</stp>
        <stp>[DPM - Securities Master List (BBG Linked).xlsx]Equities!R240C34</stp>
        <tr r="AH240" s="2"/>
      </tp>
      <tp>
        <v>7.0259609999999997</v>
        <stp/>
        <stp>##V3_BDPV12</stp>
        <stp>XS2648078322 isin</stp>
        <stp>YAS_BOND_YLD</stp>
        <stp>[DPM - Securities Master List (BBG Linked).xlsx]Bonds!R113C10</stp>
        <stp>YAS_YLD_FLAG=15</stp>
        <stp>user_local_trade_date</stp>
        <stp>45783</stp>
        <stp>Yas_bond_px</stp>
        <stp>103.180999999999997</stp>
        <tr r="J113" s="1"/>
      </tp>
    </main>
    <main first="bofaddin.rtdserver">
      <tp t="e">
        <v>#N/A</v>
        <stp/>
        <stp>BDP|6093593787479492504</stp>
        <tr r="AF103" s="3"/>
        <tr r="AF103" s="3"/>
      </tp>
      <tp t="e">
        <v>#N/A</v>
        <stp/>
        <stp>BDP|1663796327913688043</stp>
        <tr r="AH34" s="3"/>
        <tr r="AH34" s="3"/>
        <tr r="AH34" s="3"/>
        <tr r="AH33" s="3"/>
        <tr r="AH33" s="3"/>
        <tr r="AH33" s="3"/>
        <tr r="AH32" s="3"/>
        <tr r="AH32" s="3"/>
        <tr r="AH32" s="3"/>
        <tr r="AH31" s="3"/>
        <tr r="AH31" s="3"/>
        <tr r="AH31" s="3"/>
        <tr r="AH30" s="3"/>
        <tr r="AH30" s="3"/>
        <tr r="AH30" s="3"/>
        <tr r="AH29" s="3"/>
        <tr r="AH29" s="3"/>
        <tr r="AH29" s="3"/>
        <tr r="AH28" s="3"/>
        <tr r="AH28" s="3"/>
        <tr r="AH28" s="3"/>
        <tr r="AH27" s="3"/>
        <tr r="AH27" s="3"/>
        <tr r="AH27" s="3"/>
        <tr r="AH26" s="3"/>
        <tr r="AH26" s="3"/>
        <tr r="AH26" s="3"/>
        <tr r="AH25" s="3"/>
        <tr r="AH25" s="3"/>
        <tr r="AH25" s="3"/>
        <tr r="AH24" s="3"/>
        <tr r="AH24" s="3"/>
        <tr r="AH24" s="3"/>
        <tr r="AH23" s="3"/>
        <tr r="AH23" s="3"/>
        <tr r="AH23" s="3"/>
        <tr r="AH22" s="3"/>
        <tr r="AH22" s="3"/>
        <tr r="AH22" s="3"/>
        <tr r="AH21" s="3"/>
        <tr r="AH21" s="3"/>
        <tr r="AH21" s="3"/>
        <tr r="AH20" s="3"/>
        <tr r="AH20" s="3"/>
        <tr r="AH20" s="3"/>
        <tr r="AH19" s="3"/>
        <tr r="AH19" s="3"/>
        <tr r="AH19" s="3"/>
        <tr r="AH18" s="3"/>
        <tr r="AH18" s="3"/>
        <tr r="AH18" s="3"/>
        <tr r="AH17" s="3"/>
        <tr r="AH17" s="3"/>
        <tr r="AH17" s="3"/>
      </tp>
      <tp t="e">
        <v>#N/A</v>
        <stp/>
        <stp>BDP|6328196211794873593</stp>
        <tr r="N9" s="3"/>
        <tr r="N9" s="3"/>
        <tr r="N9" s="3"/>
        <tr r="N8" s="3"/>
        <tr r="N8" s="3"/>
        <tr r="N8" s="3"/>
        <tr r="N7" s="3"/>
        <tr r="N7" s="3"/>
        <tr r="N7" s="3"/>
        <tr r="N6" s="3"/>
        <tr r="N6" s="3"/>
        <tr r="N6" s="3"/>
        <tr r="N5" s="3"/>
        <tr r="N5" s="3"/>
        <tr r="N5" s="3"/>
        <tr r="N4" s="3"/>
        <tr r="N4" s="3"/>
        <tr r="N4" s="3"/>
        <tr r="N3" s="3"/>
        <tr r="N3" s="3"/>
        <tr r="N3" s="3"/>
        <tr r="N15" s="3"/>
        <tr r="N15" s="3"/>
        <tr r="N15" s="3"/>
        <tr r="N14" s="3"/>
        <tr r="N14" s="3"/>
        <tr r="N14" s="3"/>
        <tr r="N13" s="3"/>
        <tr r="N13" s="3"/>
        <tr r="N13" s="3"/>
        <tr r="N12" s="3"/>
        <tr r="N12" s="3"/>
        <tr r="N12" s="3"/>
        <tr r="N11" s="3"/>
        <tr r="N11" s="3"/>
        <tr r="N11" s="3"/>
        <tr r="N10" s="3"/>
        <tr r="N10" s="3"/>
        <tr r="N10" s="3"/>
      </tp>
      <tp t="e">
        <v>#N/A</v>
        <stp/>
        <stp>BDP|4103955085691391392</stp>
        <tr r="AU141" s="3"/>
        <tr r="AU141" s="3"/>
        <tr r="AU140" s="3"/>
        <tr r="AU140" s="3"/>
        <tr r="AU139" s="3"/>
        <tr r="AU139" s="3"/>
        <tr r="AU138" s="3"/>
        <tr r="AU138" s="3"/>
        <tr r="AU137" s="3"/>
        <tr r="AU137" s="3"/>
        <tr r="AU136" s="3"/>
        <tr r="AU136" s="3"/>
        <tr r="AU135" s="3"/>
        <tr r="AU135" s="3"/>
        <tr r="AU134" s="3"/>
        <tr r="AU134" s="3"/>
        <tr r="AU133" s="3"/>
        <tr r="AU133" s="3"/>
        <tr r="AU132" s="3"/>
        <tr r="AU132" s="3"/>
        <tr r="AU131" s="3"/>
        <tr r="AU131" s="3"/>
        <tr r="AU130" s="3"/>
        <tr r="AU130" s="3"/>
      </tp>
      <tp t="e">
        <v>#N/A</v>
        <stp/>
        <stp>BDP|4239638512963064789</stp>
        <tr r="AO78" s="1"/>
        <tr r="AO154" s="1"/>
        <tr r="AO149" s="1"/>
        <tr r="AO124" s="1"/>
      </tp>
      <tp t="e">
        <v>#N/A</v>
        <stp/>
        <stp>BDP|6033431351328160888</stp>
        <tr r="F68" s="1"/>
        <tr r="F31" s="1"/>
      </tp>
      <tp t="e">
        <v>#N/A</v>
        <stp/>
        <stp>BDP|7743779104754950361</stp>
        <tr r="AS47" s="1"/>
        <tr r="L47" s="1"/>
        <tr r="L47" s="1"/>
      </tp>
      <tp t="e">
        <v>#N/A</v>
        <stp/>
        <stp>BDP|4443562508191439751</stp>
        <tr r="F97" s="1"/>
        <tr r="F25" s="1"/>
        <tr r="F163" s="1"/>
        <tr r="F75" s="1"/>
        <tr r="F40" s="1"/>
        <tr r="F4" s="1"/>
        <tr r="F117" s="1"/>
        <tr r="F60" s="1"/>
      </tp>
      <tp t="e">
        <v>#N/A</v>
        <stp/>
        <stp>BDP|6177039336746652498</stp>
        <tr r="AR72" s="3"/>
        <tr r="AR72" s="3"/>
        <tr r="AR72" s="3"/>
        <tr r="AR71" s="3"/>
        <tr r="AR71" s="3"/>
        <tr r="AR71" s="3"/>
        <tr r="AR70" s="3"/>
        <tr r="AR70" s="3"/>
        <tr r="AR70" s="3"/>
        <tr r="AR69" s="3"/>
        <tr r="AR69" s="3"/>
        <tr r="AR69" s="3"/>
        <tr r="AR68" s="3"/>
        <tr r="AR68" s="3"/>
        <tr r="AR68" s="3"/>
        <tr r="AR67" s="3"/>
        <tr r="AR67" s="3"/>
        <tr r="AR67" s="3"/>
        <tr r="AR66" s="3"/>
        <tr r="AR66" s="3"/>
        <tr r="AR66" s="3"/>
        <tr r="AR65" s="3"/>
        <tr r="AR65" s="3"/>
        <tr r="AR65" s="3"/>
      </tp>
      <tp t="e">
        <v>#N/A</v>
        <stp/>
        <stp>BDP|7830447916957579278</stp>
        <tr r="Z68" s="1"/>
        <tr r="Z31" s="1"/>
      </tp>
      <tp t="e">
        <v>#N/A</v>
        <stp/>
        <stp>BDP|8402458292244976628</stp>
        <tr r="N16" s="3"/>
        <tr r="N16" s="3"/>
        <tr r="N16" s="3"/>
      </tp>
      <tp t="e">
        <v>#N/A</v>
        <stp/>
        <stp>BDP|1100531167745913040</stp>
        <tr r="AE140" s="1"/>
        <tr r="AE128" s="1"/>
      </tp>
      <tp t="e">
        <v>#N/A</v>
        <stp/>
        <stp>BDP|2942414682818317101</stp>
        <tr r="I9" s="1"/>
      </tp>
      <tp t="e">
        <v>#N/A</v>
        <stp/>
        <stp>BDP|6329476814945959105</stp>
        <tr r="H104" s="1"/>
      </tp>
      <tp t="e">
        <v>#N/A</v>
        <stp/>
        <stp>BDP|5704718722151536684</stp>
        <tr r="AJ115" s="3"/>
        <tr r="AJ115" s="3"/>
        <tr r="AJ115" s="3"/>
      </tp>
      <tp t="e">
        <v>#N/A</v>
        <stp/>
        <stp>BDP|6173407852051222182</stp>
        <tr r="L92" s="1"/>
        <tr r="L92" s="1"/>
        <tr r="AS92" s="1"/>
      </tp>
      <tp t="e">
        <v>#N/A</v>
        <stp/>
        <stp>BDP|3882543569193885442</stp>
        <tr r="X69" s="1"/>
        <tr r="X57" s="1"/>
      </tp>
      <tp t="e">
        <v>#N/A</v>
        <stp/>
        <stp>BDP|1317574608446528507</stp>
        <tr r="K119" s="3"/>
        <tr r="K118" s="3"/>
        <tr r="K117" s="3"/>
        <tr r="K116" s="3"/>
      </tp>
      <tp t="e">
        <v>#N/A</v>
        <stp/>
        <stp>BDP|9337002753628933379</stp>
        <tr r="M113" s="1"/>
        <tr r="M113" s="1"/>
      </tp>
      <tp t="e">
        <v>#N/A</v>
        <stp/>
        <stp>BDP|1875650133917877484</stp>
        <tr r="AJ114" s="3"/>
        <tr r="AJ114" s="3"/>
        <tr r="AJ113" s="3"/>
        <tr r="AJ113" s="3"/>
        <tr r="AJ112" s="3"/>
        <tr r="AJ112" s="3"/>
      </tp>
      <tp t="e">
        <v>#N/A</v>
        <stp/>
        <stp>BDP|2175839112594793893</stp>
        <tr r="Z85" s="1"/>
      </tp>
      <tp t="e">
        <v>#N/A</v>
        <stp/>
        <stp>BDP|1567663037444837720</stp>
        <tr r="AS59" s="1"/>
        <tr r="AS41" s="1"/>
        <tr r="AS37" s="1"/>
        <tr r="AS29" s="1"/>
        <tr r="AS89" s="1"/>
        <tr r="AS164" s="1"/>
        <tr r="AS135" s="1"/>
        <tr r="AS81" s="1"/>
      </tp>
      <tp t="e">
        <v>#N/A</v>
        <stp/>
        <stp>BDP|8274104069858600039</stp>
        <tr r="Z63" s="1"/>
      </tp>
      <tp t="e">
        <v>#N/A</v>
        <stp/>
        <stp>BDP|5064100812117436582</stp>
        <tr r="AD11" s="1"/>
        <tr r="AD102" s="1"/>
      </tp>
      <tp t="e">
        <v>#N/A</v>
        <stp/>
        <stp>BDP|5862028155030240721</stp>
        <tr r="AM99" s="3"/>
        <tr r="AM99" s="3"/>
        <tr r="AM99" s="3"/>
        <tr r="AM98" s="3"/>
        <tr r="AM98" s="3"/>
        <tr r="AM98" s="3"/>
        <tr r="AM97" s="3"/>
        <tr r="AM97" s="3"/>
        <tr r="AM97" s="3"/>
      </tp>
      <tp t="e">
        <v>#N/A</v>
        <stp/>
        <stp>BDP|1910503036441200126</stp>
        <tr r="E12" s="1"/>
      </tp>
      <tp t="e">
        <v>#N/A</v>
        <stp/>
        <stp>BDP|1106548561031926411</stp>
        <tr r="F92" s="1"/>
      </tp>
      <tp t="e">
        <v>#N/A</v>
        <stp/>
        <stp>BDP|2817626224210563173</stp>
        <tr r="AT78" s="3"/>
        <tr r="AT78" s="3"/>
        <tr r="AT78" s="3"/>
        <tr r="AT77" s="3"/>
        <tr r="AT77" s="3"/>
        <tr r="AT77" s="3"/>
        <tr r="AT76" s="3"/>
        <tr r="AT76" s="3"/>
        <tr r="AT76" s="3"/>
        <tr r="AT75" s="3"/>
        <tr r="AT75" s="3"/>
        <tr r="AT75" s="3"/>
        <tr r="AT74" s="3"/>
        <tr r="AT74" s="3"/>
        <tr r="AT74" s="3"/>
        <tr r="AT73" s="3"/>
        <tr r="AT73" s="3"/>
        <tr r="AT73" s="3"/>
      </tp>
      <tp t="e">
        <v>#N/A</v>
        <stp/>
        <stp>BDP|9007809827525897135</stp>
        <tr r="V19" s="1"/>
      </tp>
      <tp t="e">
        <v>#N/A</v>
        <stp/>
        <stp>BDP|5264196312337022552</stp>
        <tr r="AS66" s="1"/>
        <tr r="AS49" s="1"/>
        <tr r="AS42" s="1"/>
        <tr r="L66" s="1"/>
        <tr r="L66" s="1"/>
        <tr r="L49" s="1"/>
        <tr r="L49" s="1"/>
        <tr r="L42" s="1"/>
        <tr r="L42" s="1"/>
      </tp>
      <tp t="e">
        <v>#N/A</v>
        <stp/>
        <stp>BDP|5515606488874398823</stp>
        <tr r="Q50" s="3"/>
        <tr r="Q49" s="3"/>
        <tr r="Q48" s="3"/>
        <tr r="Q47" s="3"/>
        <tr r="Q46" s="3"/>
        <tr r="Q45" s="3"/>
        <tr r="Q44" s="3"/>
        <tr r="Q43" s="3"/>
        <tr r="Q42" s="3"/>
        <tr r="Q41" s="3"/>
        <tr r="Q40" s="3"/>
        <tr r="Q39" s="3"/>
        <tr r="Q38" s="3"/>
        <tr r="Q37" s="3"/>
        <tr r="Q36" s="3"/>
        <tr r="Q35" s="3"/>
      </tp>
      <tp t="e">
        <v>#N/A</v>
        <stp/>
        <stp>BDP|8565634782059807806</stp>
        <tr r="V47" s="1"/>
      </tp>
      <tp t="e">
        <v>#N/A</v>
        <stp/>
        <stp>BDP|9152771087471856053</stp>
        <tr r="AU114" s="3"/>
        <tr r="AU114" s="3"/>
        <tr r="AU113" s="3"/>
        <tr r="AU113" s="3"/>
        <tr r="AU112" s="3"/>
        <tr r="AU112" s="3"/>
      </tp>
      <tp t="e">
        <v>#N/A</v>
        <stp/>
        <stp>BDP|4228077832869933936</stp>
        <tr r="H130" s="1"/>
        <tr r="H130" s="1"/>
      </tp>
      <tp t="e">
        <v>#N/A</v>
        <stp/>
        <stp>BDP|8563045815736870818</stp>
        <tr r="X105" s="1"/>
      </tp>
      <tp t="e">
        <v>#N/A</v>
        <stp/>
        <stp>BDP|5242200878905028272</stp>
        <tr r="Q66" s="1"/>
        <tr r="Q49" s="1"/>
        <tr r="Q42" s="1"/>
      </tp>
      <tp t="e">
        <v>#N/A</v>
        <stp/>
        <stp>BDP|3328000522880971653</stp>
        <tr r="AT63" s="3"/>
        <tr r="AT63" s="3"/>
        <tr r="AT62" s="3"/>
        <tr r="AT62" s="3"/>
        <tr r="AT61" s="3"/>
        <tr r="AT61" s="3"/>
        <tr r="AT60" s="3"/>
        <tr r="AT60" s="3"/>
        <tr r="AT59" s="3"/>
        <tr r="AT59" s="3"/>
        <tr r="AT58" s="3"/>
        <tr r="AT58" s="3"/>
        <tr r="AT57" s="3"/>
        <tr r="AT57" s="3"/>
        <tr r="AT56" s="3"/>
        <tr r="AT56" s="3"/>
        <tr r="AT55" s="3"/>
        <tr r="AT55" s="3"/>
        <tr r="AT54" s="3"/>
        <tr r="AT54" s="3"/>
        <tr r="AT53" s="3"/>
        <tr r="AT53" s="3"/>
        <tr r="AT52" s="3"/>
        <tr r="AT52" s="3"/>
        <tr r="AT51" s="3"/>
        <tr r="AT51" s="3"/>
      </tp>
      <tp t="e">
        <v>#N/A</v>
        <stp/>
        <stp>BDP|8522964424123351790</stp>
        <tr r="Q85" s="1"/>
      </tp>
      <tp t="e">
        <v>#N/A</v>
        <stp/>
        <stp>BDP|4504627501401398488</stp>
        <tr r="W90" s="1"/>
      </tp>
      <tp t="e">
        <v>#N/A</v>
        <stp/>
        <stp>BDP|2366287766584673567</stp>
        <tr r="F99" s="3"/>
        <tr r="F98" s="3"/>
        <tr r="F97" s="3"/>
      </tp>
      <tp t="e">
        <v>#N/A</v>
        <stp/>
        <stp>BDP|1951690767960646631</stp>
        <tr r="AS105" s="1"/>
      </tp>
      <tp t="e">
        <v>#N/A</v>
        <stp/>
        <stp>BDP|8000238114505328964</stp>
        <tr r="H68" s="1"/>
        <tr r="H68" s="1"/>
        <tr r="H31" s="1"/>
        <tr r="H31" s="1"/>
      </tp>
      <tp t="e">
        <v>#N/A</v>
        <stp/>
        <stp>BDP|3358551841771501409</stp>
        <tr r="Z145" s="1"/>
        <tr r="Z136" s="1"/>
      </tp>
      <tp t="e">
        <v>#N/A</v>
        <stp/>
        <stp>BDP|5369285328415151708</stp>
        <tr r="AG141" s="3"/>
        <tr r="AG141" s="3"/>
        <tr r="AG141" s="3"/>
        <tr r="AG140" s="3"/>
        <tr r="AG140" s="3"/>
        <tr r="AG140" s="3"/>
        <tr r="AG139" s="3"/>
        <tr r="AG139" s="3"/>
        <tr r="AG139" s="3"/>
        <tr r="AG138" s="3"/>
        <tr r="AG138" s="3"/>
        <tr r="AG138" s="3"/>
        <tr r="AG137" s="3"/>
        <tr r="AG137" s="3"/>
        <tr r="AG137" s="3"/>
        <tr r="AG136" s="3"/>
        <tr r="AG136" s="3"/>
        <tr r="AG136" s="3"/>
        <tr r="AG135" s="3"/>
        <tr r="AG135" s="3"/>
        <tr r="AG135" s="3"/>
        <tr r="AG134" s="3"/>
        <tr r="AG134" s="3"/>
        <tr r="AG134" s="3"/>
        <tr r="AG133" s="3"/>
        <tr r="AG133" s="3"/>
        <tr r="AG133" s="3"/>
        <tr r="AG132" s="3"/>
        <tr r="AG132" s="3"/>
        <tr r="AG132" s="3"/>
        <tr r="AG131" s="3"/>
        <tr r="AG131" s="3"/>
        <tr r="AG131" s="3"/>
        <tr r="AG130" s="3"/>
        <tr r="AG130" s="3"/>
        <tr r="AG130" s="3"/>
      </tp>
      <tp t="e">
        <v>#N/A</v>
        <stp/>
        <stp>BDP|5935157092833852945</stp>
        <tr r="AE15" s="1"/>
        <tr r="AE109" s="1"/>
      </tp>
      <tp t="e">
        <v>#N/A</v>
        <stp/>
        <stp>BDP|5934295313204193502</stp>
        <tr r="Y44" s="1"/>
      </tp>
      <tp t="e">
        <v>#N/A</v>
        <stp/>
        <stp>BDP|7666975506349046055</stp>
        <tr r="AE91" s="1"/>
        <tr r="AE76" s="1"/>
        <tr r="AE55" s="1"/>
        <tr r="AE48" s="1"/>
        <tr r="AE26" s="1"/>
        <tr r="AE157" s="1"/>
        <tr r="AE142" s="1"/>
        <tr r="AE132" s="1"/>
        <tr r="AE120" s="1"/>
        <tr r="AE100" s="1"/>
      </tp>
      <tp t="e">
        <v>#N/A</v>
        <stp/>
        <stp>BDP|7722272750926249119</stp>
        <tr r="H140" s="1"/>
        <tr r="H140" s="1"/>
        <tr r="H128" s="1"/>
        <tr r="H128" s="1"/>
      </tp>
      <tp t="e">
        <v>#N/A</v>
        <stp/>
        <stp>BDP|1068432159436051191</stp>
        <tr r="AG102" s="3"/>
        <tr r="AG102" s="3"/>
        <tr r="AG102" s="3"/>
        <tr r="AG101" s="3"/>
        <tr r="AG101" s="3"/>
        <tr r="AG101" s="3"/>
        <tr r="AG100" s="3"/>
        <tr r="AG100" s="3"/>
        <tr r="AG100" s="3"/>
      </tp>
      <tp t="e">
        <v>#N/A</v>
        <stp/>
        <stp>BDP|5917717282634156983</stp>
        <tr r="AD103" s="1"/>
      </tp>
      <tp t="e">
        <v>#N/A</v>
        <stp/>
        <stp>BDP|1742366335782662415</stp>
        <tr r="E34" s="1"/>
        <tr r="E156" s="1"/>
      </tp>
      <tp t="e">
        <v>#N/A</v>
        <stp/>
        <stp>BDP|3205712102683458058</stp>
        <tr r="AS34" s="3"/>
        <tr r="AS34" s="3"/>
        <tr r="AS34" s="3"/>
        <tr r="AS33" s="3"/>
        <tr r="AS33" s="3"/>
        <tr r="AS33" s="3"/>
        <tr r="AS32" s="3"/>
        <tr r="AS32" s="3"/>
        <tr r="AS32" s="3"/>
        <tr r="AS31" s="3"/>
        <tr r="AS31" s="3"/>
        <tr r="AS31" s="3"/>
        <tr r="AS30" s="3"/>
        <tr r="AS30" s="3"/>
        <tr r="AS30" s="3"/>
        <tr r="AS29" s="3"/>
        <tr r="AS29" s="3"/>
        <tr r="AS29" s="3"/>
        <tr r="AS28" s="3"/>
        <tr r="AS28" s="3"/>
        <tr r="AS28" s="3"/>
        <tr r="AS27" s="3"/>
        <tr r="AS27" s="3"/>
        <tr r="AS27" s="3"/>
        <tr r="AS26" s="3"/>
        <tr r="AS26" s="3"/>
        <tr r="AS26" s="3"/>
        <tr r="AS25" s="3"/>
        <tr r="AS25" s="3"/>
        <tr r="AS25" s="3"/>
        <tr r="AS24" s="3"/>
        <tr r="AS24" s="3"/>
        <tr r="AS24" s="3"/>
        <tr r="AS23" s="3"/>
        <tr r="AS23" s="3"/>
        <tr r="AS23" s="3"/>
        <tr r="AS22" s="3"/>
        <tr r="AS22" s="3"/>
        <tr r="AS22" s="3"/>
        <tr r="AS21" s="3"/>
        <tr r="AS21" s="3"/>
        <tr r="AS21" s="3"/>
        <tr r="AS20" s="3"/>
        <tr r="AS20" s="3"/>
        <tr r="AS20" s="3"/>
        <tr r="AS19" s="3"/>
        <tr r="AS19" s="3"/>
        <tr r="AS19" s="3"/>
        <tr r="AS18" s="3"/>
        <tr r="AS18" s="3"/>
        <tr r="AS18" s="3"/>
        <tr r="AS17" s="3"/>
        <tr r="AS17" s="3"/>
        <tr r="AS17" s="3"/>
      </tp>
      <tp t="e">
        <v>#N/A</v>
        <stp/>
        <stp>BDP|7295321342547729055</stp>
        <tr r="H44" s="1"/>
        <tr r="H44" s="1"/>
      </tp>
      <tp t="e">
        <v>#N/A</v>
        <stp/>
        <stp>BDP|7986118966327880065</stp>
        <tr r="AS63" s="1"/>
        <tr r="L63" s="1"/>
        <tr r="L63" s="1"/>
      </tp>
      <tp t="e">
        <v>#N/A</v>
        <stp/>
        <stp>BDP|5306961276749462571</stp>
        <tr r="Y93" s="1"/>
      </tp>
      <tp t="e">
        <v>#N/A</v>
        <stp/>
        <stp>BDP|7177171987791626873</stp>
        <tr r="AA141" s="1"/>
        <tr r="AA131" s="1"/>
      </tp>
      <tp t="e">
        <v>#N/A</v>
        <stp/>
        <stp>BDP|2019466101295754403</stp>
        <tr r="AK141" s="1"/>
        <tr r="AK141" s="1"/>
        <tr r="AK141" s="1"/>
        <tr r="AK131" s="1"/>
        <tr r="AK131" s="1"/>
        <tr r="AK131" s="1"/>
      </tp>
      <tp t="e">
        <v>#N/A</v>
        <stp/>
        <stp>BDP|3689370287639147679</stp>
        <tr r="E64" s="1"/>
      </tp>
      <tp t="e">
        <v>#N/A</v>
        <stp/>
        <stp>BDP|8242954173243055245</stp>
        <tr r="M83" s="1"/>
        <tr r="M83" s="1"/>
        <tr r="M50" s="1"/>
        <tr r="M50" s="1"/>
      </tp>
      <tp t="e">
        <v>#N/A</v>
        <stp/>
        <stp>BDP|9273981094589869767</stp>
        <tr r="AU94" s="1"/>
        <tr r="AU94" s="1"/>
        <tr r="AU94" s="1"/>
        <tr r="AU151" s="1"/>
        <tr r="AU151" s="1"/>
        <tr r="AU151" s="1"/>
        <tr r="AU123" s="1"/>
        <tr r="AU123" s="1"/>
        <tr r="AU123" s="1"/>
        <tr r="AU101" s="1"/>
        <tr r="AU101" s="1"/>
        <tr r="AU101" s="1"/>
      </tp>
      <tp t="e">
        <v>#N/A</v>
        <stp/>
        <stp>BDP|1415147105520549703</stp>
        <tr r="AT119" s="3"/>
        <tr r="AT119" s="3"/>
        <tr r="AT118" s="3"/>
        <tr r="AT118" s="3"/>
        <tr r="AT117" s="3"/>
        <tr r="AT117" s="3"/>
        <tr r="AT116" s="3"/>
        <tr r="AT116" s="3"/>
      </tp>
      <tp t="e">
        <v>#N/A</v>
        <stp/>
        <stp>BDP|2459563114130344157</stp>
        <tr r="F105" s="1"/>
      </tp>
      <tp t="e">
        <v>#N/A</v>
        <stp/>
        <stp>BDP|4064277645271306415</stp>
        <tr r="AM86" s="1"/>
        <tr r="AM86" s="1"/>
        <tr r="AM133" s="1"/>
        <tr r="AM133" s="1"/>
      </tp>
      <tp t="e">
        <v>#N/A</v>
        <stp/>
        <stp>BDP|3197057691734399966</stp>
        <tr r="AC141" s="3"/>
        <tr r="AC141" s="3"/>
        <tr r="AC141" s="3"/>
        <tr r="AC140" s="3"/>
        <tr r="AC140" s="3"/>
        <tr r="AC140" s="3"/>
        <tr r="AC139" s="3"/>
        <tr r="AC139" s="3"/>
        <tr r="AC139" s="3"/>
        <tr r="AC138" s="3"/>
        <tr r="AC138" s="3"/>
        <tr r="AC138" s="3"/>
        <tr r="AC137" s="3"/>
        <tr r="AC137" s="3"/>
        <tr r="AC137" s="3"/>
        <tr r="AC136" s="3"/>
        <tr r="AC136" s="3"/>
        <tr r="AC136" s="3"/>
        <tr r="AC135" s="3"/>
        <tr r="AC135" s="3"/>
        <tr r="AC135" s="3"/>
        <tr r="AC134" s="3"/>
        <tr r="AC134" s="3"/>
        <tr r="AC134" s="3"/>
        <tr r="AC133" s="3"/>
        <tr r="AC133" s="3"/>
        <tr r="AC133" s="3"/>
        <tr r="AC132" s="3"/>
        <tr r="AC132" s="3"/>
        <tr r="AC132" s="3"/>
        <tr r="AC131" s="3"/>
        <tr r="AC131" s="3"/>
        <tr r="AC131" s="3"/>
        <tr r="AC130" s="3"/>
        <tr r="AC130" s="3"/>
        <tr r="AC130" s="3"/>
      </tp>
      <tp t="e">
        <v>#N/A</v>
        <stp/>
        <stp>BDP|1381471921511178155</stp>
        <tr r="AG119" s="3"/>
        <tr r="AG119" s="3"/>
        <tr r="AG119" s="3"/>
        <tr r="AG118" s="3"/>
        <tr r="AG118" s="3"/>
        <tr r="AG118" s="3"/>
        <tr r="AG117" s="3"/>
        <tr r="AG117" s="3"/>
        <tr r="AG117" s="3"/>
        <tr r="AG116" s="3"/>
        <tr r="AG116" s="3"/>
        <tr r="AG116" s="3"/>
      </tp>
      <tp t="e">
        <v>#N/A</v>
        <stp/>
        <stp>BDP|7352210139777956639</stp>
        <tr r="E72" s="1"/>
        <tr r="E33" s="1"/>
        <tr r="E158" s="1"/>
      </tp>
      <tp t="e">
        <v>#N/A</v>
        <stp/>
        <stp>BDP|7754670131190870583</stp>
        <tr r="AM119" s="3"/>
        <tr r="AM119" s="3"/>
        <tr r="AM119" s="3"/>
        <tr r="AM118" s="3"/>
        <tr r="AM118" s="3"/>
        <tr r="AM118" s="3"/>
        <tr r="AM117" s="3"/>
        <tr r="AM117" s="3"/>
        <tr r="AM117" s="3"/>
        <tr r="AM116" s="3"/>
        <tr r="AM116" s="3"/>
        <tr r="AM116" s="3"/>
      </tp>
      <tp t="e">
        <v>#N/A</v>
        <stp/>
        <stp>BDP|9222315065549720203</stp>
        <tr r="H103" s="3"/>
        <tr r="H103" s="3"/>
        <tr r="H103" s="3"/>
      </tp>
      <tp t="e">
        <v>#N/A</v>
        <stp/>
        <stp>BDP|7908840384244872407</stp>
        <tr r="AV9" s="3"/>
        <tr r="AV9" s="3"/>
        <tr r="AV8" s="3"/>
        <tr r="AV8" s="3"/>
        <tr r="AV7" s="3"/>
        <tr r="AV7" s="3"/>
        <tr r="AV6" s="3"/>
        <tr r="AV6" s="3"/>
        <tr r="AV5" s="3"/>
        <tr r="AV5" s="3"/>
        <tr r="AV4" s="3"/>
        <tr r="AV4" s="3"/>
        <tr r="AV3" s="3"/>
        <tr r="AV3" s="3"/>
        <tr r="AV15" s="3"/>
        <tr r="AV15" s="3"/>
        <tr r="AV14" s="3"/>
        <tr r="AV14" s="3"/>
        <tr r="AV13" s="3"/>
        <tr r="AV13" s="3"/>
        <tr r="AV12" s="3"/>
        <tr r="AV12" s="3"/>
        <tr r="AV11" s="3"/>
        <tr r="AV11" s="3"/>
        <tr r="AV10" s="3"/>
        <tr r="AV10" s="3"/>
      </tp>
      <tp t="e">
        <v>#N/A</v>
        <stp/>
        <stp>BDP|4945232768600413774</stp>
        <tr r="W56" s="1"/>
      </tp>
      <tp t="e">
        <v>#N/A</v>
        <stp/>
        <stp>BDP|4504730546686426651</stp>
        <tr r="BC25" s="3"/>
      </tp>
      <tp t="e">
        <v>#N/A</v>
        <stp/>
        <stp>BDP|4573222153201468516</stp>
        <tr r="I78" s="1"/>
        <tr r="I154" s="1"/>
        <tr r="I149" s="1"/>
        <tr r="I124" s="1"/>
      </tp>
      <tp t="e">
        <v>#N/A</v>
        <stp/>
        <stp>BDP|5881782965025724643</stp>
        <tr r="V119" s="3"/>
        <tr r="V118" s="3"/>
        <tr r="V117" s="3"/>
        <tr r="V116" s="3"/>
      </tp>
      <tp t="e">
        <v>#N/A</v>
        <stp/>
        <stp>BDP|4350166229371330199</stp>
        <tr r="W129" s="3"/>
        <tr r="W128" s="3"/>
        <tr r="W127" s="3"/>
        <tr r="W126" s="3"/>
        <tr r="W125" s="3"/>
        <tr r="W124" s="3"/>
        <tr r="W123" s="3"/>
        <tr r="W122" s="3"/>
        <tr r="W121" s="3"/>
        <tr r="W120" s="3"/>
      </tp>
      <tp t="e">
        <v>#N/A</v>
        <stp/>
        <stp>BDP|5128558403687713061</stp>
        <tr r="AD145" s="1"/>
        <tr r="AD136" s="1"/>
      </tp>
      <tp t="e">
        <v>#N/A</v>
        <stp/>
        <stp>BDP|2474121200290397432</stp>
        <tr r="F73" s="1"/>
        <tr r="F168" s="1"/>
      </tp>
      <tp t="e">
        <v>#N/A</v>
        <stp/>
        <stp>BDP|9785913577958085874</stp>
        <tr r="AS46" s="1"/>
        <tr r="AS144" s="1"/>
        <tr r="AS134" s="1"/>
      </tp>
      <tp t="e">
        <v>#N/A</v>
        <stp/>
        <stp>BDP|4801071268132803793</stp>
        <tr r="AU88" s="1"/>
        <tr r="AU88" s="1"/>
        <tr r="AU88" s="1"/>
      </tp>
      <tp t="e">
        <v>#N/A</v>
        <stp/>
        <stp>BDP|6879916943348975457</stp>
        <tr r="K96" s="3"/>
        <tr r="K95" s="3"/>
      </tp>
      <tp t="e">
        <v>#N/A</v>
        <stp/>
        <stp>BDP|6185693634143295781</stp>
        <tr r="Q16" s="3"/>
      </tp>
      <tp t="e">
        <v>#N/A</v>
        <stp/>
        <stp>BDP|5355905291471246365</stp>
        <tr r="AD107" s="1"/>
      </tp>
      <tp t="e">
        <v>#N/A</v>
        <stp/>
        <stp>BDP|7716218451902386500</stp>
        <tr r="F84" s="1"/>
        <tr r="F70" s="1"/>
        <tr r="F159" s="1"/>
        <tr r="F116" s="1"/>
      </tp>
      <tp t="e">
        <v>#N/A</v>
        <stp/>
        <stp>BDP|3055500120241280263</stp>
        <tr r="M68" s="1"/>
        <tr r="M68" s="1"/>
        <tr r="M31" s="1"/>
        <tr r="M31" s="1"/>
      </tp>
      <tp t="e">
        <v>#N/A</v>
        <stp/>
        <stp>BDP|4729223973831347718</stp>
        <tr r="H18" s="1"/>
        <tr r="H18" s="1"/>
      </tp>
      <tp t="e">
        <v>#N/A</v>
        <stp/>
        <stp>BDP|4477173840337777106</stp>
        <tr r="AG63" s="3"/>
        <tr r="AG63" s="3"/>
        <tr r="AG63" s="3"/>
        <tr r="AG62" s="3"/>
        <tr r="AG62" s="3"/>
        <tr r="AG62" s="3"/>
        <tr r="AG61" s="3"/>
        <tr r="AG61" s="3"/>
        <tr r="AG61" s="3"/>
        <tr r="AG60" s="3"/>
        <tr r="AG60" s="3"/>
        <tr r="AG60" s="3"/>
        <tr r="AG59" s="3"/>
        <tr r="AG59" s="3"/>
        <tr r="AG59" s="3"/>
        <tr r="AG58" s="3"/>
        <tr r="AG58" s="3"/>
        <tr r="AG58" s="3"/>
        <tr r="AG57" s="3"/>
        <tr r="AG57" s="3"/>
        <tr r="AG57" s="3"/>
        <tr r="AG56" s="3"/>
        <tr r="AG56" s="3"/>
        <tr r="AG56" s="3"/>
        <tr r="AG55" s="3"/>
        <tr r="AG55" s="3"/>
        <tr r="AG55" s="3"/>
        <tr r="AG54" s="3"/>
        <tr r="AG54" s="3"/>
        <tr r="AG54" s="3"/>
        <tr r="AG53" s="3"/>
        <tr r="AG53" s="3"/>
        <tr r="AG53" s="3"/>
        <tr r="AG52" s="3"/>
        <tr r="AG52" s="3"/>
        <tr r="AG52" s="3"/>
        <tr r="AG51" s="3"/>
        <tr r="AG51" s="3"/>
        <tr r="AG51" s="3"/>
      </tp>
      <tp t="e">
        <v>#N/A</v>
        <stp/>
        <stp>BDP|1761578050193067552</stp>
        <tr r="Y63" s="1"/>
      </tp>
      <tp t="e">
        <v>#N/A</v>
        <stp/>
        <stp>BDP|3314146664556552536</stp>
        <tr r="AK63" s="3"/>
        <tr r="AK63" s="3"/>
        <tr r="AK62" s="3"/>
        <tr r="AK62" s="3"/>
        <tr r="AK61" s="3"/>
        <tr r="AK61" s="3"/>
        <tr r="AK60" s="3"/>
        <tr r="AK60" s="3"/>
        <tr r="AK59" s="3"/>
        <tr r="AK59" s="3"/>
        <tr r="AK58" s="3"/>
        <tr r="AK58" s="3"/>
        <tr r="AK57" s="3"/>
        <tr r="AK57" s="3"/>
        <tr r="AK56" s="3"/>
        <tr r="AK56" s="3"/>
        <tr r="AK55" s="3"/>
        <tr r="AK55" s="3"/>
        <tr r="AK54" s="3"/>
        <tr r="AK54" s="3"/>
        <tr r="AK53" s="3"/>
        <tr r="AK53" s="3"/>
        <tr r="AK52" s="3"/>
        <tr r="AK52" s="3"/>
        <tr r="AK51" s="3"/>
        <tr r="AK51" s="3"/>
      </tp>
      <tp t="e">
        <v>#N/A</v>
        <stp/>
        <stp>BDP|3495226873566223728</stp>
        <tr r="AV114" s="3"/>
        <tr r="AV114" s="3"/>
        <tr r="AV113" s="3"/>
        <tr r="AV113" s="3"/>
        <tr r="AV112" s="3"/>
        <tr r="AV112" s="3"/>
      </tp>
      <tp t="e">
        <v>#N/A</v>
        <stp/>
        <stp>BDP|8206968514504299374</stp>
        <tr r="W97" s="1"/>
        <tr r="W75" s="1"/>
        <tr r="W60" s="1"/>
        <tr r="W40" s="1"/>
        <tr r="W4" s="1"/>
        <tr r="W25" s="1"/>
        <tr r="W163" s="1"/>
        <tr r="W117" s="1"/>
      </tp>
      <tp t="e">
        <v>#N/A</v>
        <stp/>
        <stp>BDP|3250133384345053803</stp>
        <tr r="H113" s="1"/>
        <tr r="H113" s="1"/>
      </tp>
      <tp t="e">
        <v>#N/A</v>
        <stp/>
        <stp>BDP|9184264962953902993</stp>
        <tr r="W82" s="1"/>
        <tr r="W39" s="1"/>
        <tr r="W22" s="1"/>
        <tr r="W167" s="1"/>
      </tp>
    </main>
    <main first="bloomberg.rtd">
      <tp t="s">
        <v>Health Care</v>
        <stp/>
        <stp>##V3_BDPV12</stp>
        <stp>MRK US Equity</stp>
        <stp>DX202</stp>
        <stp>[DPM - Securities Master List (BBG Linked).xlsx]Equities!R167C8</stp>
        <tr r="H167" s="2"/>
        <tr r="H167" s="2"/>
        <tr r="H167" s="2"/>
      </tp>
      <tp t="s">
        <v>Health Care</v>
        <stp/>
        <stp>##V3_BDPV12</stp>
        <stp>MRK US Equity</stp>
        <stp>DX202</stp>
        <stp>[DPM - Securities Master List (BBG Linked).xlsx]Equities!R157C8</stp>
        <tr r="H157" s="2"/>
        <tr r="H157" s="2"/>
        <tr r="H157" s="2"/>
      </tp>
      <tp t="s">
        <v>Consumer Discretionary</v>
        <stp/>
        <stp>##V3_BDPV12</stp>
        <stp>NKE US Equity</stp>
        <stp>DX202</stp>
        <stp>[DPM - Securities Master List (BBG Linked).xlsx]Equities!R214C8</stp>
        <tr r="H214" s="2"/>
        <tr r="H214" s="2"/>
        <tr r="H214" s="2"/>
      </tp>
      <tp t="s">
        <v>Utilities</v>
        <stp/>
        <stp>##V3_BDPV12</stp>
        <stp>SSE LN Equity</stp>
        <stp>DX202</stp>
        <stp>[DPM - Securities Master List (BBG Linked).xlsx]Equities!R250C8</stp>
        <tr r="H250" s="2"/>
        <tr r="H250" s="2"/>
        <tr r="H250" s="2"/>
      </tp>
      <tp>
        <v>203.3973388671875</v>
        <stp/>
        <stp>##V3_BDPV12</stp>
        <stp>GOOGL UQ Equity</stp>
        <stp>BEST_TARGET_PRICE</stp>
        <stp>[DPM - Securities Master List (BBG Linked).xlsx]Equities!R126C38</stp>
        <tr r="AL126" s="2"/>
      </tp>
      <tp>
        <v>-3.917459</v>
        <stp/>
        <stp>##V3_BDPV12</stp>
        <stp>REGN Equity</stp>
        <stp>CHG_PCT_1D</stp>
        <stp>[DPM - Securities Master List (BBG Linked).xlsx]Equities!R240C22</stp>
        <tr r="V240" s="2"/>
      </tp>
      <tp t="s">
        <v>Consumer Discretionary</v>
        <stp/>
        <stp>##V3_BDPV12</stp>
        <stp>3690 HK Equity</stp>
        <stp>DX202</stp>
        <stp>[DPM - Securities Master List (BBG Linked).xlsx]Equities!R14C46</stp>
        <tr r="AT14" s="2"/>
        <tr r="AT14" s="2"/>
        <tr r="AT14" s="2"/>
      </tp>
      <tp t="s">
        <v>Consumer Discretionary</v>
        <stp/>
        <stp>##V3_BDPV12</stp>
        <stp>3690 HK Equity</stp>
        <stp>DX202</stp>
        <stp>[DPM - Securities Master List (BBG Linked).xlsx]Equities!R12C46</stp>
        <tr r="AT12" s="2"/>
        <tr r="AT12" s="2"/>
        <tr r="AT12" s="2"/>
      </tp>
      <tp t="s">
        <v>Consumer Discretionary</v>
        <stp/>
        <stp>##V3_BDPV12</stp>
        <stp>3690 HK Equity</stp>
        <stp>DX202</stp>
        <stp>[DPM - Securities Master List (BBG Linked).xlsx]Equities!R13C46</stp>
        <tr r="AT13" s="2"/>
        <tr r="AT13" s="2"/>
        <tr r="AT13" s="2"/>
      </tp>
      <tp t="s">
        <v>Consumer Discretionary</v>
        <stp/>
        <stp>##V3_BDPV12</stp>
        <stp>3690 HK Equity</stp>
        <stp>DX202</stp>
        <stp>[DPM - Securities Master List (BBG Linked).xlsx]Equities!R10C46</stp>
        <tr r="AT10" s="2"/>
        <tr r="AT10" s="2"/>
        <tr r="AT10" s="2"/>
      </tp>
      <tp t="s">
        <v>Consumer Discretionary</v>
        <stp/>
        <stp>##V3_BDPV12</stp>
        <stp>3690 HK Equity</stp>
        <stp>DX202</stp>
        <stp>[DPM - Securities Master List (BBG Linked).xlsx]Equities!R11C46</stp>
        <tr r="AT11" s="2"/>
        <tr r="AT11" s="2"/>
        <tr r="AT11" s="2"/>
      </tp>
      <tp>
        <v>4.7580647468566895</v>
        <stp/>
        <stp>##V3_BDPV12</stp>
        <stp>3690 HK Equity</stp>
        <stp>EE201</stp>
        <stp>[DPM - Securities Master List (BBG Linked).xlsx]Equities!R13C37</stp>
        <tr r="AK13" s="2"/>
        <tr r="AK13" s="2"/>
        <tr r="AK13" s="2"/>
      </tp>
      <tp>
        <v>4.7580647468566895</v>
        <stp/>
        <stp>##V3_BDPV12</stp>
        <stp>3690 HK Equity</stp>
        <stp>EE201</stp>
        <stp>[DPM - Securities Master List (BBG Linked).xlsx]Equities!R12C37</stp>
        <tr r="AK12" s="2"/>
        <tr r="AK12" s="2"/>
        <tr r="AK12" s="2"/>
      </tp>
      <tp>
        <v>4.7580647468566895</v>
        <stp/>
        <stp>##V3_BDPV12</stp>
        <stp>3690 HK Equity</stp>
        <stp>EE201</stp>
        <stp>[DPM - Securities Master List (BBG Linked).xlsx]Equities!R11C37</stp>
        <tr r="AK11" s="2"/>
        <tr r="AK11" s="2"/>
        <tr r="AK11" s="2"/>
      </tp>
      <tp>
        <v>4.7580647468566895</v>
        <stp/>
        <stp>##V3_BDPV12</stp>
        <stp>3690 HK Equity</stp>
        <stp>EE201</stp>
        <stp>[DPM - Securities Master List (BBG Linked).xlsx]Equities!R10C37</stp>
        <tr r="AK10" s="2"/>
        <tr r="AK10" s="2"/>
        <tr r="AK10" s="2"/>
      </tp>
      <tp>
        <v>4.7580647468566895</v>
        <stp/>
        <stp>##V3_BDPV12</stp>
        <stp>3690 HK Equity</stp>
        <stp>EE201</stp>
        <stp>[DPM - Securities Master List (BBG Linked).xlsx]Equities!R14C37</stp>
        <tr r="AK14" s="2"/>
        <tr r="AK14" s="2"/>
        <tr r="AK14" s="2"/>
      </tp>
      <tp>
        <v>58</v>
        <stp/>
        <stp>##V3_BDPV12</stp>
        <stp>3690 HK Equity</stp>
        <stp>TOT_BUY_REC</stp>
        <stp>[DPM - Securities Master List (BBG Linked).xlsx]Equities!R8C34</stp>
        <tr r="AH8" s="2"/>
      </tp>
      <tp>
        <v>58</v>
        <stp/>
        <stp>##V3_BDPV12</stp>
        <stp>3690 HK Equity</stp>
        <stp>TOT_BUY_REC</stp>
        <stp>[DPM - Securities Master List (BBG Linked).xlsx]Equities!R9C34</stp>
        <tr r="AH9" s="2"/>
      </tp>
      <tp>
        <v>58</v>
        <stp/>
        <stp>##V3_BDPV12</stp>
        <stp>3690 HK Equity</stp>
        <stp>TOT_BUY_REC</stp>
        <stp>[DPM - Securities Master List (BBG Linked).xlsx]Equities!R7C34</stp>
        <tr r="AH7" s="2"/>
      </tp>
    </main>
    <main first="bofaddin.rtdserver">
      <tp t="e">
        <v>#N/A</v>
        <stp/>
        <stp>BDP|1701536636303996414</stp>
        <tr r="AD67" s="1"/>
        <tr r="AD43" s="1"/>
        <tr r="AD30" s="1"/>
        <tr r="AD3" s="1"/>
        <tr r="AD21" s="1"/>
        <tr r="AD166" s="1"/>
        <tr r="AD147" s="1"/>
        <tr r="AD125" s="1"/>
        <tr r="AD114" s="1"/>
      </tp>
      <tp t="e">
        <v>#N/A</v>
        <stp/>
        <stp>BDP|6911703235601092369</stp>
        <tr r="I56" s="1"/>
      </tp>
      <tp t="e">
        <v>#N/A</v>
        <stp/>
        <stp>BDP|8955000359985364880</stp>
        <tr r="E78" s="3"/>
        <tr r="E77" s="3"/>
        <tr r="E76" s="3"/>
        <tr r="E75" s="3"/>
        <tr r="E74" s="3"/>
        <tr r="E73" s="3"/>
      </tp>
      <tp t="e">
        <v>#N/A</v>
        <stp/>
        <stp>BDP|8767429661569720387</stp>
        <tr r="AS88" s="1"/>
      </tp>
      <tp t="e">
        <v>#N/A</v>
        <stp/>
        <stp>BDP|2232642387759228587</stp>
        <tr r="N68" s="1"/>
        <tr r="N31" s="1"/>
      </tp>
      <tp t="e">
        <v>#N/A</v>
        <stp/>
        <stp>BDP|6922638398041223880</stp>
        <tr r="I129" s="3"/>
        <tr r="I129" s="3"/>
        <tr r="I129" s="3"/>
        <tr r="I128" s="3"/>
        <tr r="I128" s="3"/>
        <tr r="I128" s="3"/>
        <tr r="I127" s="3"/>
        <tr r="I127" s="3"/>
        <tr r="I127" s="3"/>
        <tr r="I126" s="3"/>
        <tr r="I126" s="3"/>
        <tr r="I126" s="3"/>
        <tr r="I125" s="3"/>
        <tr r="I125" s="3"/>
        <tr r="I125" s="3"/>
        <tr r="I124" s="3"/>
        <tr r="I124" s="3"/>
        <tr r="I124" s="3"/>
        <tr r="I123" s="3"/>
        <tr r="I123" s="3"/>
        <tr r="I123" s="3"/>
        <tr r="I122" s="3"/>
        <tr r="I122" s="3"/>
        <tr r="I122" s="3"/>
        <tr r="I121" s="3"/>
        <tr r="I121" s="3"/>
        <tr r="I121" s="3"/>
        <tr r="I120" s="3"/>
        <tr r="I120" s="3"/>
        <tr r="I120" s="3"/>
      </tp>
      <tp t="e">
        <v>#N/A</v>
        <stp/>
        <stp>BDP|8073982247885670014</stp>
        <tr r="AM9" s="1"/>
        <tr r="AM9" s="1"/>
      </tp>
      <tp t="e">
        <v>#N/A</v>
        <stp/>
        <stp>BDP|9511291485083107000</stp>
        <tr r="Q78" s="3"/>
        <tr r="Q77" s="3"/>
        <tr r="Q76" s="3"/>
        <tr r="Q75" s="3"/>
        <tr r="Q74" s="3"/>
        <tr r="Q73" s="3"/>
      </tp>
      <tp t="e">
        <v>#N/A</v>
        <stp/>
        <stp>BDP|3956135403776205432</stp>
        <tr r="AS72" s="1"/>
        <tr r="AS33" s="1"/>
        <tr r="AS158" s="1"/>
      </tp>
      <tp t="e">
        <v>#N/A</v>
        <stp/>
        <stp>BDP|9188812941296171397</stp>
        <tr r="Q111" s="3"/>
        <tr r="Q110" s="3"/>
        <tr r="Q109" s="3"/>
        <tr r="Q108" s="3"/>
        <tr r="Q107" s="3"/>
        <tr r="Q106" s="3"/>
        <tr r="Q105" s="3"/>
        <tr r="Q104" s="3"/>
      </tp>
      <tp t="e">
        <v>#N/A</v>
        <stp/>
        <stp>BDP|6915430895499668208</stp>
        <tr r="X140" s="1"/>
        <tr r="X128" s="1"/>
      </tp>
      <tp t="e">
        <v>#N/A</v>
        <stp/>
        <stp>BDP|1288477478584103650</stp>
        <tr r="Y82" s="1"/>
        <tr r="Y39" s="1"/>
        <tr r="Y22" s="1"/>
        <tr r="Y167" s="1"/>
      </tp>
      <tp t="e">
        <v>#N/A</v>
        <stp/>
        <stp>BDP|7848269945863065222</stp>
        <tr r="AS52" s="1"/>
        <tr r="L52" s="1"/>
        <tr r="L52" s="1"/>
      </tp>
      <tp t="e">
        <v>#N/A</v>
        <stp/>
        <stp>BDP|1487790949934460692</stp>
        <tr r="AH115" s="3"/>
        <tr r="AH115" s="3"/>
        <tr r="AH115" s="3"/>
      </tp>
      <tp t="e">
        <v>#N/A</v>
        <stp/>
        <stp>BDP|3941179736808513942</stp>
        <tr r="Y78" s="1"/>
        <tr r="Y154" s="1"/>
        <tr r="Y149" s="1"/>
        <tr r="Y124" s="1"/>
      </tp>
      <tp t="e">
        <v>#N/A</v>
        <stp/>
        <stp>BDP|8839441791415424078</stp>
        <tr r="AT103" s="1"/>
      </tp>
      <tp t="e">
        <v>#N/A</v>
        <stp/>
        <stp>BDP|7831653786438699133</stp>
        <tr r="H35" s="1"/>
        <tr r="H35" s="1"/>
        <tr r="H24" s="1"/>
        <tr r="H24" s="1"/>
        <tr r="H153" s="1"/>
        <tr r="H153" s="1"/>
      </tp>
      <tp t="e">
        <v>#N/A</v>
        <stp/>
        <stp>BDP|1659862688560419122</stp>
        <tr r="F86" s="1"/>
        <tr r="F133" s="1"/>
      </tp>
      <tp t="e">
        <v>#N/A</v>
        <stp/>
        <stp>BDP|4153983502675201870</stp>
        <tr r="Q95" s="1"/>
        <tr r="Q71" s="1"/>
      </tp>
      <tp t="e">
        <v>#N/A</v>
        <stp/>
        <stp>BDP|1807551084274530824</stp>
        <tr r="I94" s="1"/>
        <tr r="I151" s="1"/>
        <tr r="I123" s="1"/>
        <tr r="I101" s="1"/>
      </tp>
      <tp t="e">
        <v>#N/A</v>
        <stp/>
        <stp>BDP|5011160069545421751</stp>
        <tr r="V104" s="1"/>
      </tp>
      <tp t="e">
        <v>#N/A</v>
        <stp/>
        <stp>BDP|1939796066649090994</stp>
        <tr r="M103" s="1"/>
        <tr r="M103" s="1"/>
      </tp>
      <tp t="e">
        <v>#N/A</v>
        <stp/>
        <stp>BDP|9039210428520721915</stp>
        <tr r="AL95" s="1"/>
        <tr r="AL71" s="1"/>
      </tp>
      <tp t="e">
        <v>#N/A</v>
        <stp/>
        <stp>BDP|7887276795749642504</stp>
        <tr r="N91" s="1"/>
        <tr r="N76" s="1"/>
        <tr r="N55" s="1"/>
        <tr r="N48" s="1"/>
        <tr r="N26" s="1"/>
        <tr r="N157" s="1"/>
        <tr r="N142" s="1"/>
        <tr r="N132" s="1"/>
        <tr r="N120" s="1"/>
        <tr r="N100" s="1"/>
      </tp>
      <tp t="e">
        <v>#N/A</v>
        <stp/>
        <stp>BDP|7971376699179982424</stp>
        <tr r="AT73" s="1"/>
        <tr r="AT168" s="1"/>
      </tp>
      <tp t="e">
        <v>#N/A</v>
        <stp/>
        <stp>BDP|9242850047196943348</stp>
        <tr r="AV129" s="3"/>
        <tr r="AV129" s="3"/>
        <tr r="AV128" s="3"/>
        <tr r="AV128" s="3"/>
        <tr r="AV127" s="3"/>
        <tr r="AV127" s="3"/>
        <tr r="AV126" s="3"/>
        <tr r="AV126" s="3"/>
        <tr r="AV125" s="3"/>
        <tr r="AV125" s="3"/>
        <tr r="AV124" s="3"/>
        <tr r="AV124" s="3"/>
        <tr r="AV123" s="3"/>
        <tr r="AV123" s="3"/>
        <tr r="AV122" s="3"/>
        <tr r="AV122" s="3"/>
        <tr r="AV121" s="3"/>
        <tr r="AV121" s="3"/>
        <tr r="AV120" s="3"/>
        <tr r="AV120" s="3"/>
      </tp>
      <tp t="e">
        <v>#N/A</v>
        <stp/>
        <stp>BDP|1022459498248045400</stp>
        <tr r="AT88" s="1"/>
      </tp>
      <tp t="e">
        <v>#N/A</v>
        <stp/>
        <stp>BDP|2599930392133051192</stp>
        <tr r="Z20" s="1"/>
      </tp>
      <tp t="e">
        <v>#N/A</v>
        <stp/>
        <stp>BDP|9711708791593252497</stp>
        <tr r="AJ39" s="1"/>
        <tr r="AJ39" s="1"/>
        <tr r="AJ22" s="1"/>
        <tr r="AJ22" s="1"/>
        <tr r="AJ167" s="1"/>
        <tr r="AJ167" s="1"/>
        <tr r="AJ82" s="1"/>
        <tr r="AJ82" s="1"/>
      </tp>
      <tp t="e">
        <v>#N/A</v>
        <stp/>
        <stp>BDP|9626488931967119933</stp>
        <tr r="AE99" s="3"/>
        <tr r="AE99" s="3"/>
        <tr r="AE99" s="3"/>
        <tr r="AE98" s="3"/>
        <tr r="AE98" s="3"/>
        <tr r="AE98" s="3"/>
        <tr r="AE97" s="3"/>
        <tr r="AE97" s="3"/>
        <tr r="AE97" s="3"/>
      </tp>
      <tp t="e">
        <v>#N/A</v>
        <stp/>
        <stp>BDP|1236850240024376993</stp>
        <tr r="AT98" s="1"/>
        <tr r="AT79" s="1"/>
        <tr r="AT5" s="1"/>
        <tr r="AT155" s="1"/>
        <tr r="AT118" s="1"/>
      </tp>
      <tp t="e">
        <v>#N/A</v>
        <stp/>
        <stp>BDP|9304239915022757801</stp>
        <tr r="H72" s="1"/>
        <tr r="H72" s="1"/>
        <tr r="H33" s="1"/>
        <tr r="H33" s="1"/>
        <tr r="H158" s="1"/>
        <tr r="H158" s="1"/>
      </tp>
      <tp t="e">
        <v>#N/A</v>
        <stp/>
        <stp>BDP|7581328039843444480</stp>
        <tr r="AM7" s="1"/>
        <tr r="AM7" s="1"/>
        <tr r="AM14" s="1"/>
        <tr r="AM14" s="1"/>
        <tr r="AM108" s="1"/>
        <tr r="AM108" s="1"/>
      </tp>
      <tp t="e">
        <v>#N/A</v>
        <stp/>
        <stp>BDP|9480553993201708477</stp>
        <tr r="E47" s="1"/>
      </tp>
      <tp t="e">
        <v>#N/A</v>
        <stp/>
        <stp>BDP|2908707213167038381</stp>
        <tr r="H6" s="1"/>
        <tr r="H6" s="1"/>
      </tp>
      <tp t="e">
        <v>#N/A</v>
        <stp/>
        <stp>BDP|4919436221272893004</stp>
        <tr r="V96" s="1"/>
        <tr r="V77" s="1"/>
        <tr r="V65" s="1"/>
        <tr r="V36" s="1"/>
        <tr r="V27" s="1"/>
        <tr r="V162" s="1"/>
      </tp>
      <tp t="e">
        <v>#N/A</v>
        <stp/>
        <stp>BDP|6207773879761887773</stp>
        <tr r="H11" s="1"/>
        <tr r="H11" s="1"/>
        <tr r="H102" s="1"/>
        <tr r="H102" s="1"/>
      </tp>
      <tp t="e">
        <v>#N/A</v>
        <stp/>
        <stp>BDP|6474341143213659260</stp>
        <tr r="AK96" s="3"/>
        <tr r="AK96" s="3"/>
        <tr r="AK96" s="3"/>
        <tr r="AK95" s="3"/>
        <tr r="AK95" s="3"/>
        <tr r="AK95" s="3"/>
      </tp>
      <tp t="e">
        <v>#N/A</v>
        <stp/>
        <stp>BDP|4004365522506557321</stp>
        <tr r="H91" s="1"/>
        <tr r="H91" s="1"/>
        <tr r="H76" s="1"/>
        <tr r="H76" s="1"/>
        <tr r="H55" s="1"/>
        <tr r="H55" s="1"/>
        <tr r="H48" s="1"/>
        <tr r="H48" s="1"/>
        <tr r="H26" s="1"/>
        <tr r="H26" s="1"/>
        <tr r="H157" s="1"/>
        <tr r="H157" s="1"/>
        <tr r="H142" s="1"/>
        <tr r="H142" s="1"/>
        <tr r="H132" s="1"/>
        <tr r="H132" s="1"/>
        <tr r="H120" s="1"/>
        <tr r="H120" s="1"/>
        <tr r="H100" s="1"/>
        <tr r="H100" s="1"/>
      </tp>
      <tp t="e">
        <v>#N/A</v>
        <stp/>
        <stp>BDP|1571340636718797900</stp>
        <tr r="W34" s="3"/>
        <tr r="W33" s="3"/>
        <tr r="W32" s="3"/>
        <tr r="W31" s="3"/>
        <tr r="W30" s="3"/>
        <tr r="W29" s="3"/>
        <tr r="W28" s="3"/>
        <tr r="W27" s="3"/>
        <tr r="W26" s="3"/>
        <tr r="W25" s="3"/>
        <tr r="W24" s="3"/>
        <tr r="W23" s="3"/>
        <tr r="W22" s="3"/>
        <tr r="W21" s="3"/>
        <tr r="W20" s="3"/>
        <tr r="W19" s="3"/>
        <tr r="W18" s="3"/>
        <tr r="W17" s="3"/>
      </tp>
      <tp t="e">
        <v>#N/A</v>
        <stp/>
        <stp>BDP|1147716056742067168</stp>
        <tr r="K94" s="1"/>
        <tr r="K151" s="1"/>
        <tr r="K123" s="1"/>
        <tr r="K101" s="1"/>
      </tp>
      <tp t="e">
        <v>#N/A</v>
        <stp/>
        <stp>BDP|5119568022565738722</stp>
        <tr r="AO9" s="3"/>
        <tr r="AO9" s="3"/>
        <tr r="AO9" s="3"/>
        <tr r="AO8" s="3"/>
        <tr r="AO8" s="3"/>
        <tr r="AO8" s="3"/>
        <tr r="AO7" s="3"/>
        <tr r="AO7" s="3"/>
        <tr r="AO7" s="3"/>
        <tr r="AO6" s="3"/>
        <tr r="AO6" s="3"/>
        <tr r="AO6" s="3"/>
        <tr r="AO5" s="3"/>
        <tr r="AO5" s="3"/>
        <tr r="AO5" s="3"/>
        <tr r="AO4" s="3"/>
        <tr r="AO4" s="3"/>
        <tr r="AO4" s="3"/>
        <tr r="AO3" s="3"/>
        <tr r="AO3" s="3"/>
        <tr r="AO3" s="3"/>
        <tr r="AO15" s="3"/>
        <tr r="AO15" s="3"/>
        <tr r="AO15" s="3"/>
        <tr r="AO14" s="3"/>
        <tr r="AO14" s="3"/>
        <tr r="AO14" s="3"/>
        <tr r="AO13" s="3"/>
        <tr r="AO13" s="3"/>
        <tr r="AO13" s="3"/>
        <tr r="AO12" s="3"/>
        <tr r="AO12" s="3"/>
        <tr r="AO12" s="3"/>
        <tr r="AO11" s="3"/>
        <tr r="AO11" s="3"/>
        <tr r="AO11" s="3"/>
        <tr r="AO10" s="3"/>
        <tr r="AO10" s="3"/>
        <tr r="AO10" s="3"/>
      </tp>
      <tp t="e">
        <v>#N/A</v>
        <stp/>
        <stp>BDP|3196786459618179911</stp>
        <tr r="I94" s="3"/>
        <tr r="I94" s="3"/>
        <tr r="I94" s="3"/>
        <tr r="I93" s="3"/>
        <tr r="I93" s="3"/>
        <tr r="I93" s="3"/>
        <tr r="I92" s="3"/>
        <tr r="I92" s="3"/>
        <tr r="I92" s="3"/>
        <tr r="I91" s="3"/>
        <tr r="I91" s="3"/>
        <tr r="I91" s="3"/>
        <tr r="I90" s="3"/>
        <tr r="I90" s="3"/>
        <tr r="I90" s="3"/>
        <tr r="I89" s="3"/>
        <tr r="I89" s="3"/>
        <tr r="I89" s="3"/>
        <tr r="I88" s="3"/>
        <tr r="I88" s="3"/>
        <tr r="I88" s="3"/>
        <tr r="I87" s="3"/>
        <tr r="I87" s="3"/>
        <tr r="I87" s="3"/>
        <tr r="I86" s="3"/>
        <tr r="I86" s="3"/>
        <tr r="I86" s="3"/>
        <tr r="I85" s="3"/>
        <tr r="I85" s="3"/>
        <tr r="I85" s="3"/>
        <tr r="I84" s="3"/>
        <tr r="I84" s="3"/>
        <tr r="I84" s="3"/>
        <tr r="I83" s="3"/>
        <tr r="I83" s="3"/>
        <tr r="I83" s="3"/>
        <tr r="I82" s="3"/>
        <tr r="I82" s="3"/>
        <tr r="I82" s="3"/>
        <tr r="I81" s="3"/>
        <tr r="I81" s="3"/>
        <tr r="I81" s="3"/>
        <tr r="I80" s="3"/>
        <tr r="I80" s="3"/>
        <tr r="I80" s="3"/>
        <tr r="I79" s="3"/>
        <tr r="I79" s="3"/>
        <tr r="I79" s="3"/>
      </tp>
      <tp t="e">
        <v>#N/A</v>
        <stp/>
        <stp>BDP|7303530403607209518</stp>
        <tr r="I32" s="1"/>
      </tp>
      <tp t="e">
        <v>#N/A</v>
        <stp/>
        <stp>BDP|2793373164750786734</stp>
        <tr r="M93" s="1"/>
        <tr r="M93" s="1"/>
      </tp>
      <tp t="e">
        <v>#N/A</v>
        <stp/>
        <stp>BDP|8222779192082292457</stp>
        <tr r="AO6" s="1"/>
      </tp>
      <tp t="e">
        <v>#N/A</v>
        <stp/>
        <stp>BDP|9405979214327256658</stp>
        <tr r="AA73" s="1"/>
        <tr r="AA168" s="1"/>
      </tp>
      <tp t="e">
        <v>#N/A</v>
        <stp/>
        <stp>BDP|2023194481138059384</stp>
        <tr r="H104" s="1"/>
      </tp>
      <tp t="e">
        <v>#N/A</v>
        <stp/>
        <stp>BDP|6540066678209839835</stp>
        <tr r="L129" s="3"/>
        <tr r="L128" s="3"/>
        <tr r="L127" s="3"/>
        <tr r="L126" s="3"/>
        <tr r="L125" s="3"/>
        <tr r="L124" s="3"/>
        <tr r="L123" s="3"/>
        <tr r="L122" s="3"/>
        <tr r="L121" s="3"/>
        <tr r="L120" s="3"/>
      </tp>
      <tp t="e">
        <v>#N/A</v>
        <stp/>
        <stp>BDP|8426195621358485397</stp>
        <tr r="AG114" s="3"/>
        <tr r="AG114" s="3"/>
        <tr r="AG114" s="3"/>
        <tr r="AG113" s="3"/>
        <tr r="AG113" s="3"/>
        <tr r="AG113" s="3"/>
        <tr r="AG112" s="3"/>
        <tr r="AG112" s="3"/>
        <tr r="AG112" s="3"/>
      </tp>
      <tp t="e">
        <v>#N/A</v>
        <stp/>
        <stp>BDP|8028770488901992679</stp>
        <tr r="AL63" s="1"/>
      </tp>
      <tp t="e">
        <v>#N/A</v>
        <stp/>
        <stp>BDP|4182109065062355165</stp>
        <tr r="M34" s="3"/>
        <tr r="M34" s="3"/>
        <tr r="M34" s="3"/>
        <tr r="M33" s="3"/>
        <tr r="M33" s="3"/>
        <tr r="M33" s="3"/>
        <tr r="M32" s="3"/>
        <tr r="M32" s="3"/>
        <tr r="M32" s="3"/>
        <tr r="M31" s="3"/>
        <tr r="M31" s="3"/>
        <tr r="M31" s="3"/>
        <tr r="M30" s="3"/>
        <tr r="M30" s="3"/>
        <tr r="M30" s="3"/>
        <tr r="M29" s="3"/>
        <tr r="M29" s="3"/>
        <tr r="M29" s="3"/>
        <tr r="M28" s="3"/>
        <tr r="M28" s="3"/>
        <tr r="M28" s="3"/>
        <tr r="M27" s="3"/>
        <tr r="M27" s="3"/>
        <tr r="M27" s="3"/>
        <tr r="M26" s="3"/>
        <tr r="M26" s="3"/>
        <tr r="M26" s="3"/>
        <tr r="M25" s="3"/>
        <tr r="M25" s="3"/>
        <tr r="M25" s="3"/>
        <tr r="M24" s="3"/>
        <tr r="M24" s="3"/>
        <tr r="M24" s="3"/>
        <tr r="M23" s="3"/>
        <tr r="M23" s="3"/>
        <tr r="M23" s="3"/>
        <tr r="M22" s="3"/>
        <tr r="M22" s="3"/>
        <tr r="M22" s="3"/>
        <tr r="M21" s="3"/>
        <tr r="M21" s="3"/>
        <tr r="M21" s="3"/>
        <tr r="M20" s="3"/>
        <tr r="M20" s="3"/>
        <tr r="M20" s="3"/>
        <tr r="M19" s="3"/>
        <tr r="M19" s="3"/>
        <tr r="M19" s="3"/>
        <tr r="M18" s="3"/>
        <tr r="M18" s="3"/>
        <tr r="M18" s="3"/>
        <tr r="M17" s="3"/>
        <tr r="M17" s="3"/>
        <tr r="M17" s="3"/>
      </tp>
      <tp t="e">
        <v>#N/A</v>
        <stp/>
        <stp>BDP|3667471593718199628</stp>
        <tr r="M70" s="1"/>
        <tr r="M70" s="1"/>
        <tr r="M159" s="1"/>
        <tr r="M159" s="1"/>
        <tr r="M84" s="1"/>
        <tr r="M84" s="1"/>
        <tr r="M116" s="1"/>
        <tr r="M116" s="1"/>
      </tp>
      <tp t="e">
        <v>#N/A</v>
        <stp/>
        <stp>BDP|4954457643773897714</stp>
        <tr r="V97" s="1"/>
        <tr r="V75" s="1"/>
        <tr r="V60" s="1"/>
        <tr r="V40" s="1"/>
        <tr r="V4" s="1"/>
        <tr r="V25" s="1"/>
        <tr r="V163" s="1"/>
        <tr r="V117" s="1"/>
      </tp>
      <tp t="e">
        <v>#N/A</v>
        <stp/>
        <stp>BDP|2955639278340624328</stp>
        <tr r="AU8" s="1"/>
        <tr r="AU8" s="1"/>
        <tr r="AU8" s="1"/>
        <tr r="AU106" s="1"/>
        <tr r="AU106" s="1"/>
        <tr r="AU106" s="1"/>
      </tp>
      <tp t="e">
        <v>#N/A</v>
        <stp/>
        <stp>BDP|9218507032578225747</stp>
        <tr r="F114" s="3"/>
        <tr r="F113" s="3"/>
        <tr r="F112" s="3"/>
      </tp>
      <tp t="e">
        <v>#N/A</v>
        <stp/>
        <stp>BDP|2521876533911254844</stp>
        <tr r="AU141" s="1"/>
        <tr r="AU141" s="1"/>
        <tr r="AU141" s="1"/>
        <tr r="AU131" s="1"/>
        <tr r="AU131" s="1"/>
        <tr r="AU131" s="1"/>
      </tp>
      <tp t="e">
        <v>#N/A</v>
        <stp/>
        <stp>BDP|7574260565654273735</stp>
        <tr r="Q119" s="3"/>
        <tr r="Q118" s="3"/>
        <tr r="Q117" s="3"/>
        <tr r="Q116" s="3"/>
      </tp>
      <tp t="e">
        <v>#N/A</v>
        <stp/>
        <stp>BDP|2659554286099513672</stp>
        <tr r="AM63" s="1"/>
        <tr r="AM63" s="1"/>
      </tp>
      <tp t="e">
        <v>#N/A</v>
        <stp/>
        <stp>BDP|8569129228348082383</stp>
        <tr r="K72" s="3"/>
        <tr r="K71" s="3"/>
        <tr r="K70" s="3"/>
        <tr r="K69" s="3"/>
        <tr r="K68" s="3"/>
        <tr r="K67" s="3"/>
        <tr r="K66" s="3"/>
        <tr r="K65" s="3"/>
      </tp>
      <tp t="e">
        <v>#N/A</v>
        <stp/>
        <stp>BDP|2505865484335969797</stp>
        <tr r="H95" s="1"/>
        <tr r="H95" s="1"/>
        <tr r="H71" s="1"/>
        <tr r="H71" s="1"/>
      </tp>
      <tp t="e">
        <v>#N/A</v>
        <stp/>
        <stp>BDP|5522803880757827295</stp>
        <tr r="AA97" s="1"/>
        <tr r="AA75" s="1"/>
        <tr r="AA60" s="1"/>
        <tr r="AA40" s="1"/>
        <tr r="AA4" s="1"/>
        <tr r="AA25" s="1"/>
        <tr r="AA163" s="1"/>
        <tr r="AA117" s="1"/>
      </tp>
      <tp t="e">
        <v>#N/A</v>
        <stp/>
        <stp>BDP|5910412599260003848</stp>
        <tr r="AU63" s="3"/>
        <tr r="AU63" s="3"/>
        <tr r="AU62" s="3"/>
        <tr r="AU62" s="3"/>
        <tr r="AU61" s="3"/>
        <tr r="AU61" s="3"/>
        <tr r="AU60" s="3"/>
        <tr r="AU60" s="3"/>
        <tr r="AU59" s="3"/>
        <tr r="AU59" s="3"/>
        <tr r="AU58" s="3"/>
        <tr r="AU58" s="3"/>
        <tr r="AU57" s="3"/>
        <tr r="AU57" s="3"/>
        <tr r="AU56" s="3"/>
        <tr r="AU56" s="3"/>
        <tr r="AU55" s="3"/>
        <tr r="AU55" s="3"/>
        <tr r="AU54" s="3"/>
        <tr r="AU54" s="3"/>
        <tr r="AU53" s="3"/>
        <tr r="AU53" s="3"/>
        <tr r="AU52" s="3"/>
        <tr r="AU52" s="3"/>
        <tr r="AU51" s="3"/>
        <tr r="AU51" s="3"/>
      </tp>
      <tp t="e">
        <v>#N/A</v>
        <stp/>
        <stp>BDP|7313739944282042616</stp>
        <tr r="AP111" s="3"/>
        <tr r="AP111" s="3"/>
        <tr r="AP111" s="3"/>
        <tr r="AP110" s="3"/>
        <tr r="AP110" s="3"/>
        <tr r="AP110" s="3"/>
        <tr r="AP109" s="3"/>
        <tr r="AP109" s="3"/>
        <tr r="AP109" s="3"/>
        <tr r="AP108" s="3"/>
        <tr r="AP108" s="3"/>
        <tr r="AP108" s="3"/>
        <tr r="AP107" s="3"/>
        <tr r="AP107" s="3"/>
        <tr r="AP107" s="3"/>
        <tr r="AP106" s="3"/>
        <tr r="AP106" s="3"/>
        <tr r="AP106" s="3"/>
        <tr r="AP105" s="3"/>
        <tr r="AP105" s="3"/>
        <tr r="AP105" s="3"/>
        <tr r="AP104" s="3"/>
        <tr r="AP104" s="3"/>
        <tr r="AP104" s="3"/>
      </tp>
      <tp t="e">
        <v>#N/A</v>
        <stp/>
        <stp>BDP|1189617620774054150</stp>
        <tr r="F104" s="1"/>
      </tp>
      <tp t="e">
        <v>#N/A</v>
        <stp/>
        <stp>BDP|5883595606894104435</stp>
        <tr r="AA130" s="1"/>
      </tp>
      <tp t="e">
        <v>#N/A</v>
        <stp/>
        <stp>BDP|9060036180088607906</stp>
        <tr r="Y95" s="1"/>
        <tr r="Y71" s="1"/>
      </tp>
    </main>
    <main first="bloomberg.rtd">
      <tp t="s">
        <v>Health Care</v>
        <stp/>
        <stp>##V3_BDPV12</stp>
        <stp>MRK US Equity</stp>
        <stp>DX202</stp>
        <stp>[DPM - Securities Master List (BBG Linked).xlsx]Equities!R160C8</stp>
        <tr r="H160" s="2"/>
        <tr r="H160" s="2"/>
        <tr r="H160" s="2"/>
      </tp>
      <tp>
        <v>117.09564971923828</v>
        <stp/>
        <stp>##V3_BDPV12</stp>
        <stp>VOW3 GY Equity</stp>
        <stp>BEST_TARGET_PRICE</stp>
        <stp>[DPM - Securities Master List (BBG Linked).xlsx]Equities!R289C38</stp>
        <tr r="AL289" s="2"/>
      </tp>
      <tp>
        <v>117.09564971923828</v>
        <stp/>
        <stp>##V3_BDPV12</stp>
        <stp>VOW3 GY Equity</stp>
        <stp>BEST_TARGET_PRICE</stp>
        <stp>[DPM - Securities Master List (BBG Linked).xlsx]Equities!R293C38</stp>
        <tr r="AL293" s="2"/>
      </tp>
      <tp>
        <v>117.09564971923828</v>
        <stp/>
        <stp>##V3_BDPV12</stp>
        <stp>VOW3 GY Equity</stp>
        <stp>BEST_TARGET_PRICE</stp>
        <stp>[DPM - Securities Master List (BBG Linked).xlsx]Equities!R292C38</stp>
        <tr r="AL292" s="2"/>
      </tp>
      <tp>
        <v>117.09564971923828</v>
        <stp/>
        <stp>##V3_BDPV12</stp>
        <stp>VOW3 GY Equity</stp>
        <stp>BEST_TARGET_PRICE</stp>
        <stp>[DPM - Securities Master List (BBG Linked).xlsx]Equities!R291C38</stp>
        <tr r="AL291" s="2"/>
      </tp>
      <tp>
        <v>117.09564971923828</v>
        <stp/>
        <stp>##V3_BDPV12</stp>
        <stp>VOW3 GY Equity</stp>
        <stp>BEST_TARGET_PRICE</stp>
        <stp>[DPM - Securities Master List (BBG Linked).xlsx]Equities!R290C38</stp>
        <tr r="AL290" s="2"/>
      </tp>
      <tp t="s">
        <v>Consumer Discretionary</v>
        <stp/>
        <stp>##V3_BDPV12</stp>
        <stp>NKE US Equity</stp>
        <stp>DX202</stp>
        <stp>[DPM - Securities Master List (BBG Linked).xlsx]Equities!R213C8</stp>
        <tr r="H213" s="2"/>
        <tr r="H213" s="2"/>
        <tr r="H213" s="2"/>
      </tp>
      <tp t="s">
        <v>Utilities</v>
        <stp/>
        <stp>##V3_BDPV12</stp>
        <stp>SSE LN Equity</stp>
        <stp>DX202</stp>
        <stp>[DPM - Securities Master List (BBG Linked).xlsx]Equities!R247C8</stp>
        <tr r="H247" s="2"/>
        <tr r="H247" s="2"/>
        <tr r="H247" s="2"/>
      </tp>
      <tp t="s">
        <v>Utilities</v>
        <stp/>
        <stp>##V3_BDPV12</stp>
        <stp>SSE LN Equity</stp>
        <stp>DX202</stp>
        <stp>[DPM - Securities Master List (BBG Linked).xlsx]Equities!R257C8</stp>
        <tr r="H257" s="2"/>
        <tr r="H257" s="2"/>
        <tr r="H257" s="2"/>
      </tp>
      <tp>
        <v>-28.9861</v>
        <stp/>
        <stp>##V3_BDPV12</stp>
        <stp>REGN Equity</stp>
        <stp>CHG_PCT_6M</stp>
        <stp>[DPM - Securities Master List (BBG Linked).xlsx]Equities!R240C42</stp>
        <tr r="AP240" s="2"/>
      </tp>
      <tp t="s">
        <v>Consumer Discretionary</v>
        <stp/>
        <stp>##V3_BDPV12</stp>
        <stp>VOW3 GY Equity</stp>
        <stp>DX202</stp>
        <stp>[DPM - Securities Master List (BBG Linked).xlsx]Equities!R292C8</stp>
        <tr r="H292" s="2"/>
        <tr r="H292" s="2"/>
        <tr r="H292" s="2"/>
      </tp>
      <tp t="s">
        <v>HKD</v>
        <stp/>
        <stp>##V3_BDPV12</stp>
        <stp>3690 HK Equity</stp>
        <stp>CRNCY</stp>
        <stp>[DPM - Securities Master List (BBG Linked).xlsx]Equities!R9C6</stp>
        <tr r="F9" s="2"/>
      </tp>
      <tp t="s">
        <v>#N/A Invalid Field</v>
        <stp/>
        <stp>##V3_BDPV12</stp>
        <stp>ADBE US Equity</stp>
        <stp/>
        <stp>[DPM - Securities Master List (BBG Linked).xlsx]Equities!R40C29</stp>
        <tr r="AC40" s="2"/>
        <tr r="AC40" s="2"/>
      </tp>
      <tp t="s">
        <v>#N/A Invalid Field</v>
        <stp/>
        <stp>##V3_BDPV12</stp>
        <stp>ADBE US Equity</stp>
        <stp/>
        <stp>[DPM - Securities Master List (BBG Linked).xlsx]Equities!R41C29</stp>
        <tr r="AC41" s="2"/>
        <tr r="AC41" s="2"/>
      </tp>
      <tp t="s">
        <v>#N/A Invalid Field</v>
        <stp/>
        <stp>##V3_BDPV12</stp>
        <stp>ADBE US Equity</stp>
        <stp/>
        <stp>[DPM - Securities Master List (BBG Linked).xlsx]Equities!R42C29</stp>
        <tr r="AC42" s="2"/>
        <tr r="AC42" s="2"/>
      </tp>
      <tp t="s">
        <v>#N/A Invalid Field</v>
        <stp/>
        <stp>##V3_BDPV12</stp>
        <stp>ADBE US Equity</stp>
        <stp/>
        <stp>[DPM - Securities Master List (BBG Linked).xlsx]Equities!R43C29</stp>
        <tr r="AC43" s="2"/>
        <tr r="AC43" s="2"/>
      </tp>
      <tp t="s">
        <v>#N/A Invalid Field</v>
        <stp/>
        <stp>##V3_BDPV12</stp>
        <stp>ADBE US Equity</stp>
        <stp/>
        <stp>[DPM - Securities Master List (BBG Linked).xlsx]Equities!R44C29</stp>
        <tr r="AC44" s="2"/>
        <tr r="AC44" s="2"/>
      </tp>
      <tp t="s">
        <v>#N/A Invalid Field</v>
        <stp/>
        <stp>##V3_BDPV12</stp>
        <stp>ADBE US Equity</stp>
        <stp/>
        <stp>[DPM - Securities Master List (BBG Linked).xlsx]Equities!R45C29</stp>
        <tr r="AC45" s="2"/>
        <tr r="AC45" s="2"/>
      </tp>
      <tp t="s">
        <v>#N/A Invalid Field</v>
        <stp/>
        <stp>##V3_BDPV12</stp>
        <stp>ADBE US Equity</stp>
        <stp/>
        <stp>[DPM - Securities Master List (BBG Linked).xlsx]Equities!R46C29</stp>
        <tr r="AC46" s="2"/>
        <tr r="AC46" s="2"/>
      </tp>
      <tp t="s">
        <v>#N/A Invalid Field</v>
        <stp/>
        <stp>##V3_BDPV12</stp>
        <stp>ADBE US Equity</stp>
        <stp/>
        <stp>[DPM - Securities Master List (BBG Linked).xlsx]Equities!R47C29</stp>
        <tr r="AC47" s="2"/>
        <tr r="AC47" s="2"/>
      </tp>
      <tp t="s">
        <v>#N/A Invalid Field</v>
        <stp/>
        <stp>##V3_BDPV12</stp>
        <stp>ADBE US Equity</stp>
        <stp/>
        <stp>[DPM - Securities Master List (BBG Linked).xlsx]Equities!R48C29</stp>
        <tr r="AC48" s="2"/>
        <tr r="AC48" s="2"/>
      </tp>
      <tp t="s">
        <v>#N/A Invalid Field</v>
        <stp/>
        <stp>##V3_BDPV12</stp>
        <stp>ADBE US Equity</stp>
        <stp/>
        <stp>[DPM - Securities Master List (BBG Linked).xlsx]Equities!R49C29</stp>
        <tr r="AC49" s="2"/>
        <tr r="AC49" s="2"/>
      </tp>
      <tp t="s">
        <v>#N/A Invalid Field</v>
        <stp/>
        <stp>##V3_BDPV12</stp>
        <stp>ADBE US Equity</stp>
        <stp/>
        <stp>[DPM - Securities Master List (BBG Linked).xlsx]Equities!R36C29</stp>
        <tr r="AC36" s="2"/>
        <tr r="AC36" s="2"/>
      </tp>
      <tp t="s">
        <v>#N/A Invalid Field</v>
        <stp/>
        <stp>##V3_BDPV12</stp>
        <stp>ADBE US Equity</stp>
        <stp/>
        <stp>[DPM - Securities Master List (BBG Linked).xlsx]Equities!R37C29</stp>
        <tr r="AC37" s="2"/>
        <tr r="AC37" s="2"/>
      </tp>
      <tp t="s">
        <v>#N/A Invalid Field</v>
        <stp/>
        <stp>##V3_BDPV12</stp>
        <stp>ADBE US Equity</stp>
        <stp/>
        <stp>[DPM - Securities Master List (BBG Linked).xlsx]Equities!R38C29</stp>
        <tr r="AC38" s="2"/>
        <tr r="AC38" s="2"/>
      </tp>
      <tp t="s">
        <v>#N/A Invalid Field</v>
        <stp/>
        <stp>##V3_BDPV12</stp>
        <stp>ADBE US Equity</stp>
        <stp/>
        <stp>[DPM - Securities Master List (BBG Linked).xlsx]Equities!R39C29</stp>
        <tr r="AC39" s="2"/>
        <tr r="AC39" s="2"/>
      </tp>
      <tp t="s">
        <v>#N/A Invalid Field</v>
        <stp/>
        <stp>##V3_BDPV12</stp>
        <stp>AAPL US Equity</stp>
        <stp/>
        <stp>[DPM - Securities Master List (BBG Linked).xlsx]Equities!R34C29</stp>
        <tr r="AC34" s="2"/>
        <tr r="AC34" s="2"/>
      </tp>
    </main>
    <main first="bofaddin.rtdserver">
      <tp t="e">
        <v>#N/A</v>
        <stp/>
        <stp>BDP|2475005379964664016</stp>
        <tr r="Z54" s="1"/>
      </tp>
      <tp t="e">
        <v>#N/A</v>
        <stp/>
        <stp>BDP|5508000907836129291</stp>
        <tr r="AT8" s="1"/>
        <tr r="AT106" s="1"/>
      </tp>
      <tp t="e">
        <v>#N/A</v>
        <stp/>
        <stp>BDP|2234440876643398390</stp>
        <tr r="Y56" s="1"/>
      </tp>
      <tp t="e">
        <v>#N/A</v>
        <stp/>
        <stp>BDP|2261630718535544168</stp>
        <tr r="H93" s="1"/>
        <tr r="H93" s="1"/>
      </tp>
      <tp t="e">
        <v>#N/A</v>
        <stp/>
        <stp>BDP|5869061341516432615</stp>
        <tr r="H140" s="1"/>
        <tr r="H140" s="1"/>
        <tr r="H128" s="1"/>
        <tr r="H128" s="1"/>
      </tp>
      <tp t="e">
        <v>#N/A</v>
        <stp/>
        <stp>BDP|8407201138501553936</stp>
        <tr r="K67" s="1"/>
        <tr r="K43" s="1"/>
        <tr r="K30" s="1"/>
        <tr r="K3" s="1"/>
        <tr r="K21" s="1"/>
        <tr r="K166" s="1"/>
        <tr r="K147" s="1"/>
        <tr r="K125" s="1"/>
        <tr r="K114" s="1"/>
      </tp>
      <tp t="e">
        <v>#N/A</v>
        <stp/>
        <stp>BDP|4936628160322616760</stp>
        <tr r="AU103" s="3"/>
        <tr r="AU103" s="3"/>
      </tp>
      <tp t="e">
        <v>#N/A</v>
        <stp/>
        <stp>BDP|3052384425826460525</stp>
        <tr r="N104" s="1"/>
      </tp>
      <tp t="e">
        <v>#N/A</v>
        <stp/>
        <stp>BDP|8668605926435902827</stp>
        <tr r="N34" s="3"/>
        <tr r="N34" s="3"/>
        <tr r="N34" s="3"/>
        <tr r="N33" s="3"/>
        <tr r="N33" s="3"/>
        <tr r="N33" s="3"/>
        <tr r="N32" s="3"/>
        <tr r="N32" s="3"/>
        <tr r="N32" s="3"/>
        <tr r="N31" s="3"/>
        <tr r="N31" s="3"/>
        <tr r="N31" s="3"/>
        <tr r="N30" s="3"/>
        <tr r="N30" s="3"/>
        <tr r="N30" s="3"/>
        <tr r="N29" s="3"/>
        <tr r="N29" s="3"/>
        <tr r="N29" s="3"/>
        <tr r="N28" s="3"/>
        <tr r="N28" s="3"/>
        <tr r="N28" s="3"/>
        <tr r="N27" s="3"/>
        <tr r="N27" s="3"/>
        <tr r="N27" s="3"/>
        <tr r="N26" s="3"/>
        <tr r="N26" s="3"/>
        <tr r="N26" s="3"/>
        <tr r="N25" s="3"/>
        <tr r="N25" s="3"/>
        <tr r="N25" s="3"/>
        <tr r="N24" s="3"/>
        <tr r="N24" s="3"/>
        <tr r="N24" s="3"/>
        <tr r="N23" s="3"/>
        <tr r="N23" s="3"/>
        <tr r="N23" s="3"/>
        <tr r="N22" s="3"/>
        <tr r="N22" s="3"/>
        <tr r="N22" s="3"/>
        <tr r="N21" s="3"/>
        <tr r="N21" s="3"/>
        <tr r="N21" s="3"/>
        <tr r="N20" s="3"/>
        <tr r="N20" s="3"/>
        <tr r="N20" s="3"/>
        <tr r="N19" s="3"/>
        <tr r="N19" s="3"/>
        <tr r="N19" s="3"/>
        <tr r="N18" s="3"/>
        <tr r="N18" s="3"/>
        <tr r="N18" s="3"/>
        <tr r="N17" s="3"/>
        <tr r="N17" s="3"/>
        <tr r="N17" s="3"/>
      </tp>
      <tp t="e">
        <v>#N/A</v>
        <stp/>
        <stp>BDP|6294339159231758045</stp>
        <tr r="AO139" s="1"/>
        <tr r="AO129" s="1"/>
      </tp>
      <tp t="e">
        <v>#N/A</v>
        <stp/>
        <stp>BDP|7700674111507828624</stp>
        <tr r="AA98" s="1"/>
        <tr r="AA79" s="1"/>
        <tr r="AA5" s="1"/>
        <tr r="AA155" s="1"/>
        <tr r="AA118" s="1"/>
      </tp>
      <tp t="e">
        <v>#N/A</v>
        <stp/>
        <stp>BDP|8544584667992592846</stp>
        <tr r="AU110" s="1"/>
        <tr r="AU110" s="1"/>
        <tr r="AU110" s="1"/>
      </tp>
      <tp t="e">
        <v>#N/A</v>
        <stp/>
        <stp>BDP|8687825801444466597</stp>
        <tr r="AK69" s="1"/>
        <tr r="AK69" s="1"/>
        <tr r="AK69" s="1"/>
        <tr r="AK57" s="1"/>
        <tr r="AK57" s="1"/>
        <tr r="AK57" s="1"/>
      </tp>
      <tp t="e">
        <v>#N/A</v>
        <stp/>
        <stp>BDP|7983605804060271077</stp>
        <tr r="AU13" s="1"/>
        <tr r="AU13" s="1"/>
        <tr r="AU13" s="1"/>
      </tp>
      <tp t="e">
        <v>#N/A</v>
        <stp/>
        <stp>BDP|9979860430877457435</stp>
        <tr r="AM69" s="1"/>
        <tr r="AM69" s="1"/>
        <tr r="AM57" s="1"/>
        <tr r="AM57" s="1"/>
      </tp>
      <tp t="e">
        <v>#N/A</v>
        <stp/>
        <stp>BDP|5444451188351777962</stp>
        <tr r="H87" s="1"/>
        <tr r="H87" s="1"/>
      </tp>
      <tp t="e">
        <v>#N/A</v>
        <stp/>
        <stp>BDP|4869925570049055222</stp>
        <tr r="BC103" s="3"/>
      </tp>
      <tp t="e">
        <v>#N/A</v>
        <stp/>
        <stp>BDP|1241587258194913434</stp>
        <tr r="I111" s="3"/>
        <tr r="I111" s="3"/>
        <tr r="I111" s="3"/>
        <tr r="I110" s="3"/>
        <tr r="I110" s="3"/>
        <tr r="I110" s="3"/>
        <tr r="I109" s="3"/>
        <tr r="I109" s="3"/>
        <tr r="I109" s="3"/>
        <tr r="I108" s="3"/>
        <tr r="I108" s="3"/>
        <tr r="I108" s="3"/>
        <tr r="I107" s="3"/>
        <tr r="I107" s="3"/>
        <tr r="I107" s="3"/>
        <tr r="I106" s="3"/>
        <tr r="I106" s="3"/>
        <tr r="I106" s="3"/>
        <tr r="I105" s="3"/>
        <tr r="I105" s="3"/>
        <tr r="I105" s="3"/>
        <tr r="I104" s="3"/>
        <tr r="I104" s="3"/>
        <tr r="I104" s="3"/>
      </tp>
      <tp t="e">
        <v>#N/A</v>
        <stp/>
        <stp>BDP|4196401488021109812</stp>
        <tr r="AM18" s="1"/>
        <tr r="AM18" s="1"/>
      </tp>
      <tp t="e">
        <v>#N/A</v>
        <stp/>
        <stp>BDP|2287886839540978830</stp>
        <tr r="Q87" s="1"/>
      </tp>
      <tp t="e">
        <v>#N/A</v>
        <stp/>
        <stp>BDP|9498512794697949315</stp>
        <tr r="H56" s="1"/>
        <tr r="H56" s="1"/>
      </tp>
      <tp t="e">
        <v>#N/A</v>
        <stp/>
        <stp>BDP|7985822833744148907</stp>
        <tr r="AJ94" s="3"/>
        <tr r="AJ94" s="3"/>
        <tr r="AJ94" s="3"/>
        <tr r="AJ93" s="3"/>
        <tr r="AJ93" s="3"/>
        <tr r="AJ93" s="3"/>
        <tr r="AJ92" s="3"/>
        <tr r="AJ92" s="3"/>
        <tr r="AJ92" s="3"/>
        <tr r="AJ91" s="3"/>
        <tr r="AJ91" s="3"/>
        <tr r="AJ91" s="3"/>
        <tr r="AJ90" s="3"/>
        <tr r="AJ90" s="3"/>
        <tr r="AJ90" s="3"/>
        <tr r="AJ89" s="3"/>
        <tr r="AJ89" s="3"/>
        <tr r="AJ89" s="3"/>
        <tr r="AJ88" s="3"/>
        <tr r="AJ88" s="3"/>
        <tr r="AJ88" s="3"/>
        <tr r="AJ87" s="3"/>
        <tr r="AJ87" s="3"/>
        <tr r="AJ87" s="3"/>
        <tr r="AJ86" s="3"/>
        <tr r="AJ86" s="3"/>
        <tr r="AJ86" s="3"/>
        <tr r="AJ85" s="3"/>
        <tr r="AJ85" s="3"/>
        <tr r="AJ85" s="3"/>
        <tr r="AJ84" s="3"/>
        <tr r="AJ84" s="3"/>
        <tr r="AJ84" s="3"/>
        <tr r="AJ83" s="3"/>
        <tr r="AJ83" s="3"/>
        <tr r="AJ83" s="3"/>
        <tr r="AJ82" s="3"/>
        <tr r="AJ82" s="3"/>
        <tr r="AJ82" s="3"/>
        <tr r="AJ81" s="3"/>
        <tr r="AJ81" s="3"/>
        <tr r="AJ81" s="3"/>
        <tr r="AJ80" s="3"/>
        <tr r="AJ80" s="3"/>
        <tr r="AJ80" s="3"/>
        <tr r="AJ79" s="3"/>
        <tr r="AJ79" s="3"/>
        <tr r="AJ79" s="3"/>
      </tp>
      <tp t="e">
        <v>#N/A</v>
        <stp/>
        <stp>BDP|7943081206270870661</stp>
        <tr r="AO88" s="1"/>
      </tp>
      <tp t="e">
        <v>#N/A</v>
        <stp/>
        <stp>BDP|1243766049245447605</stp>
        <tr r="AA64" s="1"/>
      </tp>
      <tp t="e">
        <v>#N/A</v>
        <stp/>
        <stp>BDP|6889598644610396687</stp>
        <tr r="AI103" s="3"/>
        <tr r="AI103" s="3"/>
        <tr r="AI103" s="3"/>
      </tp>
      <tp t="e">
        <v>#N/A</v>
        <stp/>
        <stp>BDP|5124019863756945447</stp>
        <tr r="M8" s="1"/>
        <tr r="M8" s="1"/>
        <tr r="M106" s="1"/>
        <tr r="M106" s="1"/>
      </tp>
      <tp t="e">
        <v>#N/A</v>
        <stp/>
        <stp>BDP|1236147577940692688</stp>
        <tr r="AK64" s="3"/>
        <tr r="AK64" s="3"/>
        <tr r="AK64" s="3"/>
      </tp>
      <tp t="e">
        <v>#N/A</v>
        <stp/>
        <stp>BDP|3683129814301665394</stp>
        <tr r="AU95" s="1"/>
        <tr r="AU95" s="1"/>
        <tr r="AU95" s="1"/>
        <tr r="AU71" s="1"/>
        <tr r="AU71" s="1"/>
        <tr r="AU71" s="1"/>
      </tp>
      <tp t="e">
        <v>#N/A</v>
        <stp/>
        <stp>BDP|8717885352785362112</stp>
        <tr r="L64" s="3"/>
      </tp>
      <tp t="e">
        <v>#N/A</v>
        <stp/>
        <stp>BDP|2536507538832181732</stp>
        <tr r="Y46" s="1"/>
        <tr r="Y144" s="1"/>
        <tr r="Y134" s="1"/>
      </tp>
      <tp t="e">
        <v>#N/A</v>
        <stp/>
        <stp>BDP|3694177607033353094</stp>
        <tr r="J129" s="3"/>
        <tr r="J129" s="3"/>
        <tr r="J128" s="3"/>
        <tr r="J128" s="3"/>
        <tr r="J127" s="3"/>
        <tr r="J127" s="3"/>
        <tr r="J126" s="3"/>
        <tr r="J126" s="3"/>
        <tr r="J125" s="3"/>
        <tr r="J125" s="3"/>
        <tr r="J124" s="3"/>
        <tr r="J124" s="3"/>
        <tr r="J123" s="3"/>
        <tr r="J123" s="3"/>
        <tr r="J122" s="3"/>
        <tr r="J122" s="3"/>
        <tr r="J121" s="3"/>
        <tr r="J121" s="3"/>
        <tr r="J120" s="3"/>
        <tr r="J120" s="3"/>
      </tp>
      <tp t="e">
        <v>#N/A</v>
        <stp/>
        <stp>BDP|4338164620951171786</stp>
        <tr r="AT32" s="1"/>
      </tp>
      <tp t="e">
        <v>#N/A</v>
        <stp/>
        <stp>BDP|3081224801528938864</stp>
        <tr r="AJ11" s="1"/>
        <tr r="AJ11" s="1"/>
        <tr r="AJ102" s="1"/>
        <tr r="AJ102" s="1"/>
      </tp>
      <tp t="e">
        <v>#N/A</v>
        <stp/>
        <stp>BDP|7949260432930458759</stp>
        <tr r="AP9" s="3"/>
        <tr r="AP9" s="3"/>
        <tr r="AP9" s="3"/>
        <tr r="AP8" s="3"/>
        <tr r="AP8" s="3"/>
        <tr r="AP8" s="3"/>
        <tr r="AP7" s="3"/>
        <tr r="AP7" s="3"/>
        <tr r="AP7" s="3"/>
        <tr r="AP6" s="3"/>
        <tr r="AP6" s="3"/>
        <tr r="AP6" s="3"/>
        <tr r="AP5" s="3"/>
        <tr r="AP5" s="3"/>
        <tr r="AP5" s="3"/>
        <tr r="AP4" s="3"/>
        <tr r="AP4" s="3"/>
        <tr r="AP4" s="3"/>
        <tr r="AP3" s="3"/>
        <tr r="AP3" s="3"/>
        <tr r="AP3" s="3"/>
        <tr r="AP15" s="3"/>
        <tr r="AP15" s="3"/>
        <tr r="AP15" s="3"/>
        <tr r="AP14" s="3"/>
        <tr r="AP14" s="3"/>
        <tr r="AP14" s="3"/>
        <tr r="AP13" s="3"/>
        <tr r="AP13" s="3"/>
        <tr r="AP13" s="3"/>
        <tr r="AP12" s="3"/>
        <tr r="AP12" s="3"/>
        <tr r="AP12" s="3"/>
        <tr r="AP11" s="3"/>
        <tr r="AP11" s="3"/>
        <tr r="AP11" s="3"/>
        <tr r="AP10" s="3"/>
        <tr r="AP10" s="3"/>
        <tr r="AP10" s="3"/>
      </tp>
      <tp t="e">
        <v>#N/A</v>
        <stp/>
        <stp>BDP|6330382947219130913</stp>
        <tr r="AO63" s="1"/>
      </tp>
      <tp t="e">
        <v>#N/A</v>
        <stp/>
        <stp>BDP|6946793980239993158</stp>
        <tr r="Y94" s="1"/>
        <tr r="Y151" s="1"/>
        <tr r="Y123" s="1"/>
        <tr r="Y101" s="1"/>
      </tp>
      <tp t="e">
        <v>#N/A</v>
        <stp/>
        <stp>BDP|7001245647154809472</stp>
        <tr r="AL143" s="1"/>
        <tr r="AL127" s="1"/>
      </tp>
      <tp t="e">
        <v>#N/A</v>
        <stp/>
        <stp>BDP|2270709900454906064</stp>
        <tr r="AA126" s="1"/>
      </tp>
      <tp t="e">
        <v>#N/A</v>
        <stp/>
        <stp>BDP|2930066831477049731</stp>
        <tr r="W67" s="1"/>
        <tr r="W43" s="1"/>
        <tr r="W30" s="1"/>
        <tr r="W3" s="1"/>
        <tr r="W21" s="1"/>
        <tr r="W166" s="1"/>
        <tr r="W147" s="1"/>
        <tr r="W125" s="1"/>
        <tr r="W114" s="1"/>
      </tp>
      <tp t="e">
        <v>#N/A</v>
        <stp/>
        <stp>BDP|3344667642174343492</stp>
        <tr r="AI64" s="3"/>
        <tr r="AI64" s="3"/>
        <tr r="AI64" s="3"/>
      </tp>
      <tp t="e">
        <v>#N/A</v>
        <stp/>
        <stp>BDP|1688470357205884435</stp>
        <tr r="Q12" s="1"/>
      </tp>
      <tp t="e">
        <v>#N/A</v>
        <stp/>
        <stp>BDP|3583022237141520070</stp>
        <tr r="BC141" s="3"/>
        <tr r="BC140" s="3"/>
        <tr r="BC139" s="3"/>
        <tr r="BC138" s="3"/>
        <tr r="BC137" s="3"/>
        <tr r="BC136" s="3"/>
        <tr r="BC135" s="3"/>
        <tr r="BC134" s="3"/>
        <tr r="BC133" s="3"/>
        <tr r="BC132" s="3"/>
        <tr r="BC131" s="3"/>
        <tr r="BC130" s="3"/>
      </tp>
      <tp t="e">
        <v>#N/A</v>
        <stp/>
        <stp>BDP|7371450459262591585</stp>
        <tr r="AJ87" s="1"/>
        <tr r="AJ87" s="1"/>
      </tp>
      <tp t="e">
        <v>#N/A</v>
        <stp/>
        <stp>BDP|5409213022417671339</stp>
        <tr r="AV72" s="3"/>
        <tr r="AV72" s="3"/>
        <tr r="AV71" s="3"/>
        <tr r="AV71" s="3"/>
        <tr r="AV70" s="3"/>
        <tr r="AV70" s="3"/>
        <tr r="AV69" s="3"/>
        <tr r="AV69" s="3"/>
        <tr r="AV68" s="3"/>
        <tr r="AV68" s="3"/>
        <tr r="AV67" s="3"/>
        <tr r="AV67" s="3"/>
        <tr r="AV66" s="3"/>
        <tr r="AV66" s="3"/>
        <tr r="AV65" s="3"/>
        <tr r="AV65" s="3"/>
      </tp>
      <tp t="e">
        <v>#N/A</v>
        <stp/>
        <stp>BDP|5508181365417215489</stp>
        <tr r="AJ47" s="1"/>
        <tr r="AJ47" s="1"/>
      </tp>
      <tp t="e">
        <v>#N/A</v>
        <stp/>
        <stp>BDP|4552333306200112639</stp>
        <tr r="Y126" s="1"/>
      </tp>
      <tp t="e">
        <v>#N/A</v>
        <stp/>
        <stp>BDP|1378663226793590745</stp>
        <tr r="W9" s="1"/>
      </tp>
      <tp t="e">
        <v>#N/A</v>
        <stp/>
        <stp>BDP|5672706249440589783</stp>
        <tr r="AE16" s="3"/>
        <tr r="AE16" s="3"/>
        <tr r="AE16" s="3"/>
      </tp>
      <tp t="e">
        <v>#N/A</v>
        <stp/>
        <stp>BDP|7097232765621649327</stp>
        <tr r="M54" s="1"/>
        <tr r="M54" s="1"/>
      </tp>
      <tp t="e">
        <v>#N/A</v>
        <stp/>
        <stp>BDP|6431982863829457199</stp>
        <tr r="K9" s="1"/>
      </tp>
      <tp t="e">
        <v>#N/A</v>
        <stp/>
        <stp>BDP|2677174493059911296</stp>
        <tr r="AU50" s="3"/>
        <tr r="AU50" s="3"/>
        <tr r="AU49" s="3"/>
        <tr r="AU49" s="3"/>
        <tr r="AU48" s="3"/>
        <tr r="AU48" s="3"/>
        <tr r="AU47" s="3"/>
        <tr r="AU47" s="3"/>
        <tr r="AU46" s="3"/>
        <tr r="AU46" s="3"/>
        <tr r="AU45" s="3"/>
        <tr r="AU45" s="3"/>
        <tr r="AU44" s="3"/>
        <tr r="AU44" s="3"/>
        <tr r="AU43" s="3"/>
        <tr r="AU43" s="3"/>
        <tr r="AU42" s="3"/>
        <tr r="AU42" s="3"/>
        <tr r="AU41" s="3"/>
        <tr r="AU41" s="3"/>
        <tr r="AU40" s="3"/>
        <tr r="AU40" s="3"/>
        <tr r="AU39" s="3"/>
        <tr r="AU39" s="3"/>
        <tr r="AU38" s="3"/>
        <tr r="AU38" s="3"/>
        <tr r="AU37" s="3"/>
        <tr r="AU37" s="3"/>
        <tr r="AU36" s="3"/>
        <tr r="AU36" s="3"/>
        <tr r="AU35" s="3"/>
        <tr r="AU35" s="3"/>
      </tp>
      <tp t="e">
        <v>#N/A</v>
        <stp/>
        <stp>BDP|5158256071489364846</stp>
        <tr r="AT150" s="1"/>
        <tr r="AT122" s="1"/>
      </tp>
      <tp t="e">
        <v>#N/A</v>
        <stp/>
        <stp>BDP|3089044234383343201</stp>
        <tr r="AS88" s="1"/>
        <tr r="L88" s="1"/>
        <tr r="L88" s="1"/>
      </tp>
      <tp t="e">
        <v>#N/A</v>
        <stp/>
        <stp>BDP|5337678393599555216</stp>
        <tr r="AN9" s="3"/>
        <tr r="AN9" s="3"/>
        <tr r="AN9" s="3"/>
        <tr r="AN8" s="3"/>
        <tr r="AN8" s="3"/>
        <tr r="AN8" s="3"/>
        <tr r="AN7" s="3"/>
        <tr r="AN7" s="3"/>
        <tr r="AN7" s="3"/>
        <tr r="AN6" s="3"/>
        <tr r="AN6" s="3"/>
        <tr r="AN6" s="3"/>
        <tr r="AN5" s="3"/>
        <tr r="AN5" s="3"/>
        <tr r="AN5" s="3"/>
        <tr r="AN4" s="3"/>
        <tr r="AN4" s="3"/>
        <tr r="AN4" s="3"/>
        <tr r="AN3" s="3"/>
        <tr r="AN3" s="3"/>
        <tr r="AN3" s="3"/>
        <tr r="AN15" s="3"/>
        <tr r="AN15" s="3"/>
        <tr r="AN15" s="3"/>
        <tr r="AN14" s="3"/>
        <tr r="AN14" s="3"/>
        <tr r="AN14" s="3"/>
        <tr r="AN13" s="3"/>
        <tr r="AN13" s="3"/>
        <tr r="AN13" s="3"/>
        <tr r="AN12" s="3"/>
        <tr r="AN12" s="3"/>
        <tr r="AN12" s="3"/>
        <tr r="AN11" s="3"/>
        <tr r="AN11" s="3"/>
        <tr r="AN11" s="3"/>
        <tr r="AN10" s="3"/>
        <tr r="AN10" s="3"/>
        <tr r="AN10" s="3"/>
      </tp>
      <tp t="e">
        <v>#N/A</v>
        <stp/>
        <stp>BDP|6355312806221282552</stp>
        <tr r="AK68" s="1"/>
        <tr r="AK68" s="1"/>
        <tr r="AK68" s="1"/>
        <tr r="AK31" s="1"/>
        <tr r="AK31" s="1"/>
        <tr r="AK31" s="1"/>
      </tp>
      <tp t="e">
        <v>#N/A</v>
        <stp/>
        <stp>BDP|4006628872597189324</stp>
        <tr r="Q99" s="3"/>
        <tr r="Q98" s="3"/>
        <tr r="Q97" s="3"/>
      </tp>
      <tp t="e">
        <v>#N/A</v>
        <stp/>
        <stp>BDP|6713234485418139537</stp>
        <tr r="AM46" s="1"/>
        <tr r="AM46" s="1"/>
        <tr r="AM144" s="1"/>
        <tr r="AM144" s="1"/>
        <tr r="AM134" s="1"/>
        <tr r="AM134" s="1"/>
      </tp>
      <tp t="e">
        <v>#N/A</v>
        <stp/>
        <stp>BDP|5784379483948577765</stp>
        <tr r="AJ72" s="3"/>
        <tr r="AJ72" s="3"/>
        <tr r="AJ72" s="3"/>
        <tr r="AJ71" s="3"/>
        <tr r="AJ71" s="3"/>
        <tr r="AJ71" s="3"/>
        <tr r="AJ70" s="3"/>
        <tr r="AJ70" s="3"/>
        <tr r="AJ70" s="3"/>
        <tr r="AJ69" s="3"/>
        <tr r="AJ69" s="3"/>
        <tr r="AJ69" s="3"/>
        <tr r="AJ68" s="3"/>
        <tr r="AJ68" s="3"/>
        <tr r="AJ68" s="3"/>
        <tr r="AJ67" s="3"/>
        <tr r="AJ67" s="3"/>
        <tr r="AJ67" s="3"/>
        <tr r="AJ66" s="3"/>
        <tr r="AJ66" s="3"/>
        <tr r="AJ66" s="3"/>
        <tr r="AJ65" s="3"/>
        <tr r="AJ65" s="3"/>
        <tr r="AJ65" s="3"/>
      </tp>
      <tp t="e">
        <v>#N/A</v>
        <stp/>
        <stp>BDP|1173437557302325361</stp>
        <tr r="AR102" s="3"/>
        <tr r="AR102" s="3"/>
        <tr r="AR102" s="3"/>
        <tr r="AR101" s="3"/>
        <tr r="AR101" s="3"/>
        <tr r="AR101" s="3"/>
        <tr r="AR100" s="3"/>
        <tr r="AR100" s="3"/>
        <tr r="AR100" s="3"/>
      </tp>
      <tp t="e">
        <v>#N/A</v>
        <stp/>
        <stp>BDP|3815634968273261111</stp>
        <tr r="Z11" s="1"/>
        <tr r="Z102" s="1"/>
      </tp>
      <tp t="e">
        <v>#N/A</v>
        <stp/>
        <stp>BDP|4809500809584910486</stp>
        <tr r="I69" s="1"/>
        <tr r="I57" s="1"/>
      </tp>
      <tp t="e">
        <v>#N/A</v>
        <stp/>
        <stp>BDP|7648737712054233452</stp>
        <tr r="AC9" s="3"/>
        <tr r="AC9" s="3"/>
        <tr r="AC9" s="3"/>
        <tr r="AC8" s="3"/>
        <tr r="AC8" s="3"/>
        <tr r="AC8" s="3"/>
        <tr r="AC7" s="3"/>
        <tr r="AC7" s="3"/>
        <tr r="AC7" s="3"/>
        <tr r="AC6" s="3"/>
        <tr r="AC6" s="3"/>
        <tr r="AC6" s="3"/>
        <tr r="AC5" s="3"/>
        <tr r="AC5" s="3"/>
        <tr r="AC5" s="3"/>
        <tr r="AC4" s="3"/>
        <tr r="AC4" s="3"/>
        <tr r="AC4" s="3"/>
        <tr r="AC3" s="3"/>
        <tr r="AC3" s="3"/>
        <tr r="AC3" s="3"/>
        <tr r="AC15" s="3"/>
        <tr r="AC15" s="3"/>
        <tr r="AC15" s="3"/>
        <tr r="AC14" s="3"/>
        <tr r="AC14" s="3"/>
        <tr r="AC14" s="3"/>
        <tr r="AC13" s="3"/>
        <tr r="AC13" s="3"/>
        <tr r="AC13" s="3"/>
        <tr r="AC12" s="3"/>
        <tr r="AC12" s="3"/>
        <tr r="AC12" s="3"/>
        <tr r="AC11" s="3"/>
        <tr r="AC11" s="3"/>
        <tr r="AC11" s="3"/>
        <tr r="AC10" s="3"/>
        <tr r="AC10" s="3"/>
        <tr r="AC10" s="3"/>
      </tp>
      <tp t="e">
        <v>#N/A</v>
        <stp/>
        <stp>BDP|3904209329460025208</stp>
        <tr r="AO72" s="1"/>
        <tr r="AO33" s="1"/>
        <tr r="AO158" s="1"/>
      </tp>
      <tp t="e">
        <v>#N/A</v>
        <stp/>
        <stp>BDP|7729695543811904557</stp>
        <tr r="X91" s="1"/>
        <tr r="X76" s="1"/>
        <tr r="X55" s="1"/>
        <tr r="X48" s="1"/>
        <tr r="X26" s="1"/>
        <tr r="X157" s="1"/>
        <tr r="X142" s="1"/>
        <tr r="X132" s="1"/>
        <tr r="X120" s="1"/>
        <tr r="X100" s="1"/>
      </tp>
      <tp t="e">
        <v>#N/A</v>
        <stp/>
        <stp>BDP|4056176020586659008</stp>
        <tr r="AT72" s="3"/>
        <tr r="AT72" s="3"/>
        <tr r="AT72" s="3"/>
        <tr r="AT71" s="3"/>
        <tr r="AT71" s="3"/>
        <tr r="AT71" s="3"/>
        <tr r="AT70" s="3"/>
        <tr r="AT70" s="3"/>
        <tr r="AT70" s="3"/>
        <tr r="AT69" s="3"/>
        <tr r="AT69" s="3"/>
        <tr r="AT69" s="3"/>
        <tr r="AT68" s="3"/>
        <tr r="AT68" s="3"/>
        <tr r="AT68" s="3"/>
        <tr r="AT67" s="3"/>
        <tr r="AT67" s="3"/>
        <tr r="AT67" s="3"/>
        <tr r="AT66" s="3"/>
        <tr r="AT66" s="3"/>
        <tr r="AT66" s="3"/>
        <tr r="AT65" s="3"/>
        <tr r="AT65" s="3"/>
        <tr r="AT65" s="3"/>
      </tp>
      <tp t="e">
        <v>#N/A</v>
        <stp/>
        <stp>BDP|5902576086891013895</stp>
        <tr r="AS68" s="1"/>
        <tr r="AS31" s="1"/>
      </tp>
      <tp t="e">
        <v>#N/A</v>
        <stp/>
        <stp>BDP|4490520674826285115</stp>
        <tr r="AS140" s="1"/>
        <tr r="AS128" s="1"/>
      </tp>
      <tp t="e">
        <v>#N/A</v>
        <stp/>
        <stp>BDP|5433333880519176676</stp>
        <tr r="K34" s="3"/>
        <tr r="K33" s="3"/>
        <tr r="K32" s="3"/>
        <tr r="K31" s="3"/>
        <tr r="K30" s="3"/>
        <tr r="K29" s="3"/>
        <tr r="K28" s="3"/>
        <tr r="K27" s="3"/>
        <tr r="K26" s="3"/>
        <tr r="K25" s="3"/>
        <tr r="K24" s="3"/>
        <tr r="K23" s="3"/>
        <tr r="K22" s="3"/>
        <tr r="K21" s="3"/>
        <tr r="K20" s="3"/>
        <tr r="K19" s="3"/>
        <tr r="K18" s="3"/>
        <tr r="K17" s="3"/>
      </tp>
      <tp t="e">
        <v>#N/A</v>
        <stp/>
        <stp>BDP|7417104063331755014</stp>
        <tr r="N17" s="1"/>
        <tr r="N112" s="1"/>
      </tp>
      <tp t="e">
        <v>#N/A</v>
        <stp/>
        <stp>BDP|2240558261179324949</stp>
        <tr r="H8" s="1"/>
        <tr r="H8" s="1"/>
        <tr r="H106" s="1"/>
        <tr r="H106" s="1"/>
      </tp>
      <tp t="e">
        <v>#N/A</v>
        <stp/>
        <stp>BDP|3887263868256082077</stp>
        <tr r="AE103" s="1"/>
      </tp>
      <tp t="e">
        <v>#N/A</v>
        <stp/>
        <stp>BDP|7731209446620533025</stp>
        <tr r="E126" s="1"/>
      </tp>
      <tp t="e">
        <v>#N/A</v>
        <stp/>
        <stp>BDP|8373963703096980691</stp>
        <tr r="L103" s="3"/>
      </tp>
      <tp t="e">
        <v>#N/A</v>
        <stp/>
        <stp>BDP|5193513677372728467</stp>
        <tr r="F15" s="1"/>
        <tr r="F109" s="1"/>
      </tp>
      <tp t="e">
        <v>#N/A</v>
        <stp/>
        <stp>BDP|9005308407782090918</stp>
        <tr r="AS11" s="1"/>
        <tr r="AS102" s="1"/>
      </tp>
      <tp t="e">
        <v>#N/A</v>
        <stp/>
        <stp>BDP|2024063828491995019</stp>
        <tr r="E35" s="1"/>
        <tr r="E24" s="1"/>
        <tr r="E153" s="1"/>
      </tp>
      <tp t="e">
        <v>#N/A</v>
        <stp/>
        <stp>BDP|1799388008286773560</stp>
        <tr r="W18" s="1"/>
      </tp>
      <tp t="e">
        <v>#N/A</v>
        <stp/>
        <stp>BDP|9748568335607225910</stp>
        <tr r="BC102" s="3"/>
        <tr r="BC101" s="3"/>
        <tr r="BC100" s="3"/>
      </tp>
      <tp t="e">
        <v>#N/A</v>
        <stp/>
        <stp>BDP|4125631549745596290</stp>
        <tr r="K165" s="1"/>
        <tr r="K152" s="1"/>
        <tr r="K99" s="1"/>
        <tr r="K146" s="1"/>
        <tr r="K38" s="1"/>
        <tr r="K111" s="1"/>
        <tr r="K23" s="1"/>
        <tr r="K74" s="1"/>
        <tr r="K61" s="1"/>
        <tr r="K16" s="1"/>
        <tr r="K137" s="1"/>
        <tr r="K119" s="1"/>
      </tp>
      <tp t="e">
        <v>#N/A</v>
        <stp/>
        <stp>BDP|7447291843327116788</stp>
        <tr r="AU102" s="3"/>
        <tr r="AU102" s="3"/>
        <tr r="AU101" s="3"/>
        <tr r="AU101" s="3"/>
        <tr r="AU100" s="3"/>
        <tr r="AU100" s="3"/>
      </tp>
      <tp t="e">
        <v>#N/A</v>
        <stp/>
        <stp>BDP|3448244641425076166</stp>
        <tr r="W11" s="1"/>
        <tr r="W102" s="1"/>
      </tp>
      <tp t="e">
        <v>#N/A</v>
        <stp/>
        <stp>BDP|3083213789088491088</stp>
        <tr r="X93" s="1"/>
      </tp>
      <tp t="e">
        <v>#N/A</v>
        <stp/>
        <stp>BDP|4931760910557963421</stp>
        <tr r="V44" s="1"/>
      </tp>
      <tp t="e">
        <v>#N/A</v>
        <stp/>
        <stp>BDP|9844942308624923591</stp>
        <tr r="I15" s="1"/>
        <tr r="I109" s="1"/>
      </tp>
      <tp t="e">
        <v>#N/A</v>
        <stp/>
        <stp>BDP|3141060505080257243</stp>
        <tr r="X104" s="1"/>
      </tp>
      <tp t="e">
        <v>#N/A</v>
        <stp/>
        <stp>BDP|9541339146276646933</stp>
        <tr r="AL88" s="1"/>
      </tp>
      <tp t="e">
        <v>#N/A</v>
        <stp/>
        <stp>BDP|5541210115535483202</stp>
        <tr r="AJ13" s="1"/>
        <tr r="AJ13" s="1"/>
      </tp>
      <tp t="e">
        <v>#N/A</v>
        <stp/>
        <stp>BDP|2342519662868282873</stp>
        <tr r="V35" s="1"/>
        <tr r="V24" s="1"/>
        <tr r="V153" s="1"/>
      </tp>
      <tp t="e">
        <v>#N/A</v>
        <stp/>
        <stp>BDP|5984669531045964422</stp>
        <tr r="AM141" s="3"/>
        <tr r="AM141" s="3"/>
        <tr r="AM141" s="3"/>
        <tr r="AM140" s="3"/>
        <tr r="AM140" s="3"/>
        <tr r="AM140" s="3"/>
        <tr r="AM139" s="3"/>
        <tr r="AM139" s="3"/>
        <tr r="AM139" s="3"/>
        <tr r="AM138" s="3"/>
        <tr r="AM138" s="3"/>
        <tr r="AM138" s="3"/>
        <tr r="AM137" s="3"/>
        <tr r="AM137" s="3"/>
        <tr r="AM137" s="3"/>
        <tr r="AM136" s="3"/>
        <tr r="AM136" s="3"/>
        <tr r="AM136" s="3"/>
        <tr r="AM135" s="3"/>
        <tr r="AM135" s="3"/>
        <tr r="AM135" s="3"/>
        <tr r="AM134" s="3"/>
        <tr r="AM134" s="3"/>
        <tr r="AM134" s="3"/>
        <tr r="AM133" s="3"/>
        <tr r="AM133" s="3"/>
        <tr r="AM133" s="3"/>
        <tr r="AM132" s="3"/>
        <tr r="AM132" s="3"/>
        <tr r="AM132" s="3"/>
        <tr r="AM131" s="3"/>
        <tr r="AM131" s="3"/>
        <tr r="AM131" s="3"/>
        <tr r="AM130" s="3"/>
        <tr r="AM130" s="3"/>
        <tr r="AM130" s="3"/>
      </tp>
      <tp t="e">
        <v>#N/A</v>
        <stp/>
        <stp>BDP|4112306860255164554</stp>
        <tr r="V148" s="1"/>
        <tr r="V138" s="1"/>
      </tp>
      <tp t="e">
        <v>#N/A</v>
        <stp/>
        <stp>BDP|6759892437035588999</stp>
        <tr r="I51" s="1"/>
      </tp>
      <tp t="e">
        <v>#N/A</v>
        <stp/>
        <stp>BDP|8893820223850509397</stp>
        <tr r="X73" s="1"/>
        <tr r="X168" s="1"/>
      </tp>
      <tp t="e">
        <v>#N/A</v>
        <stp/>
        <stp>BDP|9739001490743256206</stp>
        <tr r="M72" s="3"/>
        <tr r="M72" s="3"/>
        <tr r="M72" s="3"/>
        <tr r="M71" s="3"/>
        <tr r="M71" s="3"/>
        <tr r="M71" s="3"/>
        <tr r="M70" s="3"/>
        <tr r="M70" s="3"/>
        <tr r="M70" s="3"/>
        <tr r="M69" s="3"/>
        <tr r="M69" s="3"/>
        <tr r="M69" s="3"/>
        <tr r="M68" s="3"/>
        <tr r="M68" s="3"/>
        <tr r="M68" s="3"/>
        <tr r="M67" s="3"/>
        <tr r="M67" s="3"/>
        <tr r="M67" s="3"/>
        <tr r="M66" s="3"/>
        <tr r="M66" s="3"/>
        <tr r="M66" s="3"/>
        <tr r="M65" s="3"/>
        <tr r="M65" s="3"/>
        <tr r="M65" s="3"/>
      </tp>
    </main>
    <main first="bloomberg.rtd">
      <tp t="s">
        <v>Health Care</v>
        <stp/>
        <stp>##V3_BDPV12</stp>
        <stp>MRK US Equity</stp>
        <stp>DX202</stp>
        <stp>[DPM - Securities Master List (BBG Linked).xlsx]Equities!R161C8</stp>
        <tr r="H161" s="2"/>
        <tr r="H161" s="2"/>
        <tr r="H161" s="2"/>
      </tp>
      <tp t="s">
        <v>Consumer Discretionary</v>
        <stp/>
        <stp>##V3_BDPV12</stp>
        <stp>NKE US Equity</stp>
        <stp>DX202</stp>
        <stp>[DPM - Securities Master List (BBG Linked).xlsx]Equities!R222C8</stp>
        <tr r="H222" s="2"/>
        <tr r="H222" s="2"/>
        <tr r="H222" s="2"/>
      </tp>
      <tp t="s">
        <v>Consumer Discretionary</v>
        <stp/>
        <stp>##V3_BDPV12</stp>
        <stp>NKE US Equity</stp>
        <stp>DX202</stp>
        <stp>[DPM - Securities Master List (BBG Linked).xlsx]Equities!R212C8</stp>
        <tr r="H212" s="2"/>
        <tr r="H212" s="2"/>
        <tr r="H212" s="2"/>
      </tp>
      <tp t="s">
        <v>Utilities</v>
        <stp/>
        <stp>##V3_BDPV12</stp>
        <stp>SSE LN Equity</stp>
        <stp>DX202</stp>
        <stp>[DPM - Securities Master List (BBG Linked).xlsx]Equities!R246C8</stp>
        <tr r="H246" s="2"/>
        <tr r="H246" s="2"/>
        <tr r="H246" s="2"/>
      </tp>
      <tp t="s">
        <v>Utilities</v>
        <stp/>
        <stp>##V3_BDPV12</stp>
        <stp>SSE LN Equity</stp>
        <stp>DX202</stp>
        <stp>[DPM - Securities Master List (BBG Linked).xlsx]Equities!R256C8</stp>
        <tr r="H256" s="2"/>
        <tr r="H256" s="2"/>
        <tr r="H256" s="2"/>
      </tp>
      <tp>
        <v>2025</v>
        <stp/>
        <stp>##V3_BDPV12</stp>
        <stp>ABF LN Equity</stp>
        <stp>PX_LAST</stp>
        <stp>[DPM - Securities Master List (BBG Linked).xlsx]Equities!R35C17</stp>
        <tr r="Q35" s="2"/>
      </tp>
      <tp t="s">
        <v>Consumer Discretionary</v>
        <stp/>
        <stp>##V3_BDPV12</stp>
        <stp>VOW3 GY Equity</stp>
        <stp>DX202</stp>
        <stp>[DPM - Securities Master List (BBG Linked).xlsx]Equities!R293C8</stp>
        <tr r="H293" s="2"/>
        <tr r="H293" s="2"/>
        <tr r="H293" s="2"/>
      </tp>
      <tp t="s">
        <v>HKD</v>
        <stp/>
        <stp>##V3_BDPV12</stp>
        <stp>3690 HK Equity</stp>
        <stp>CRNCY</stp>
        <stp>[DPM - Securities Master List (BBG Linked).xlsx]Equities!R8C6</stp>
        <tr r="F8" s="2"/>
      </tp>
      <tp t="s">
        <v>Financials</v>
        <stp/>
        <stp>##V3_BDPV12</stp>
        <stp>PYPL US Equity</stp>
        <stp>DX202</stp>
        <stp>[DPM - Securities Master List (BBG Linked).xlsx]Equities!R237C8</stp>
        <tr r="H237" s="2"/>
        <tr r="H237" s="2"/>
        <tr r="H237" s="2"/>
      </tp>
      <tp t="s">
        <v>#N/A Invalid Field</v>
        <stp/>
        <stp>##V3_BDPV12</stp>
        <stp>BMRN US Equity</stp>
        <stp/>
        <stp>[DPM - Securities Master List (BBG Linked).xlsx]Equities!R73C29</stp>
        <tr r="AC73" s="2"/>
        <tr r="AC73" s="2"/>
      </tp>
      <tp t="s">
        <v>#N/A Invalid Field</v>
        <stp/>
        <stp>##V3_BDPV12</stp>
        <stp>BMRN US Equity</stp>
        <stp/>
        <stp>[DPM - Securities Master List (BBG Linked).xlsx]Equities!R72C29</stp>
        <tr r="AC72" s="2"/>
        <tr r="AC72" s="2"/>
      </tp>
      <tp t="s">
        <v>#N/A Invalid Field</v>
        <stp/>
        <stp>##V3_BDPV12</stp>
        <stp>BMRN US Equity</stp>
        <stp/>
        <stp>[DPM - Securities Master List (BBG Linked).xlsx]Equities!R71C29</stp>
        <tr r="AC71" s="2"/>
        <tr r="AC71" s="2"/>
      </tp>
      <tp t="s">
        <v>#N/A Invalid Field</v>
        <stp/>
        <stp>##V3_BDPV12</stp>
        <stp>BMRN US Equity</stp>
        <stp/>
        <stp>[DPM - Securities Master List (BBG Linked).xlsx]Equities!R70C29</stp>
        <tr r="AC70" s="2"/>
        <tr r="AC70" s="2"/>
      </tp>
      <tp t="s">
        <v>#N/A Invalid Field</v>
        <stp/>
        <stp>##V3_BDPV12</stp>
        <stp>BMRN US Equity</stp>
        <stp/>
        <stp>[DPM - Securities Master List (BBG Linked).xlsx]Equities!R75C29</stp>
        <tr r="AC75" s="2"/>
        <tr r="AC75" s="2"/>
      </tp>
      <tp t="s">
        <v>#N/A Invalid Field</v>
        <stp/>
        <stp>##V3_BDPV12</stp>
        <stp>BMRN US Equity</stp>
        <stp/>
        <stp>[DPM - Securities Master List (BBG Linked).xlsx]Equities!R74C29</stp>
        <tr r="AC74" s="2"/>
        <tr r="AC74" s="2"/>
      </tp>
      <tp t="s">
        <v>#N/A Invalid Field</v>
        <stp/>
        <stp>##V3_BDPV12</stp>
        <stp>BMRN US Equity</stp>
        <stp/>
        <stp>[DPM - Securities Master List (BBG Linked).xlsx]Equities!R69C29</stp>
        <tr r="AC69" s="2"/>
        <tr r="AC69" s="2"/>
      </tp>
      <tp t="s">
        <v>#N/A Invalid Field</v>
        <stp/>
        <stp>##V3_BDPV12</stp>
        <stp>BMRN US Equity</stp>
        <stp/>
        <stp>[DPM - Securities Master List (BBG Linked).xlsx]Equities!R68C29</stp>
        <tr r="AC68" s="2"/>
        <tr r="AC68" s="2"/>
      </tp>
      <tp t="s">
        <v>#N/A Invalid Field</v>
        <stp/>
        <stp>##V3_BDPV12</stp>
        <stp>BMRN US Equity</stp>
        <stp/>
        <stp>[DPM - Securities Master List (BBG Linked).xlsx]Equities!R63C29</stp>
        <tr r="AC63" s="2"/>
        <tr r="AC63" s="2"/>
      </tp>
      <tp t="s">
        <v>#N/A Invalid Field</v>
        <stp/>
        <stp>##V3_BDPV12</stp>
        <stp>BMRN US Equity</stp>
        <stp/>
        <stp>[DPM - Securities Master List (BBG Linked).xlsx]Equities!R67C29</stp>
        <tr r="AC67" s="2"/>
        <tr r="AC67" s="2"/>
      </tp>
      <tp t="s">
        <v>#N/A Invalid Field</v>
        <stp/>
        <stp>##V3_BDPV12</stp>
        <stp>BMRN US Equity</stp>
        <stp/>
        <stp>[DPM - Securities Master List (BBG Linked).xlsx]Equities!R66C29</stp>
        <tr r="AC66" s="2"/>
        <tr r="AC66" s="2"/>
      </tp>
      <tp t="s">
        <v>#N/A Invalid Field</v>
        <stp/>
        <stp>##V3_BDPV12</stp>
        <stp>BMRN US Equity</stp>
        <stp/>
        <stp>[DPM - Securities Master List (BBG Linked).xlsx]Equities!R65C29</stp>
        <tr r="AC65" s="2"/>
        <tr r="AC65" s="2"/>
      </tp>
      <tp t="s">
        <v>#N/A Invalid Field</v>
        <stp/>
        <stp>##V3_BDPV12</stp>
        <stp>BMRN US Equity</stp>
        <stp/>
        <stp>[DPM - Securities Master List (BBG Linked).xlsx]Equities!R64C29</stp>
        <tr r="AC64" s="2"/>
        <tr r="AC64" s="2"/>
      </tp>
      <tp t="s">
        <v>#N/A Invalid Field</v>
        <stp/>
        <stp>##V3_BDPV12</stp>
        <stp>BIIB US Equity</stp>
        <stp/>
        <stp>[DPM - Securities Master List (BBG Linked).xlsx]Equities!R62C29</stp>
        <tr r="AC62" s="2"/>
        <tr r="AC62" s="2"/>
      </tp>
    </main>
    <main first="bofaddin.rtdserver">
      <tp t="e">
        <v>#N/A</v>
        <stp/>
        <stp>BDP|3538330374375105099</stp>
        <tr r="AS44" s="1"/>
      </tp>
      <tp t="e">
        <v>#N/A</v>
        <stp/>
        <stp>BDP|5684584373092360741</stp>
        <tr r="AT80" s="1"/>
        <tr r="AT58" s="1"/>
        <tr r="AT28" s="1"/>
        <tr r="AT161" s="1"/>
        <tr r="AT121" s="1"/>
        <tr r="AT10" s="1"/>
      </tp>
      <tp t="e">
        <v>#N/A</v>
        <stp/>
        <stp>BDP|7511297941971657210</stp>
        <tr r="AO34" s="1"/>
        <tr r="AO156" s="1"/>
      </tp>
      <tp t="e">
        <v>#N/A</v>
        <stp/>
        <stp>BDP|5864425155043053555</stp>
        <tr r="BC42" s="3"/>
      </tp>
      <tp t="e">
        <v>#N/A</v>
        <stp/>
        <stp>BDP|5201560395768956320</stp>
        <tr r="F80" s="1"/>
        <tr r="F58" s="1"/>
        <tr r="F28" s="1"/>
        <tr r="F161" s="1"/>
        <tr r="F121" s="1"/>
        <tr r="F10" s="1"/>
      </tp>
      <tp t="e">
        <v>#N/A</v>
        <stp/>
        <stp>BDP|5314686461265391225</stp>
        <tr r="AT129" s="3"/>
        <tr r="AT129" s="3"/>
        <tr r="AT129" s="3"/>
        <tr r="AT128" s="3"/>
        <tr r="AT128" s="3"/>
        <tr r="AT128" s="3"/>
        <tr r="AT127" s="3"/>
        <tr r="AT127" s="3"/>
        <tr r="AT127" s="3"/>
        <tr r="AT126" s="3"/>
        <tr r="AT126" s="3"/>
        <tr r="AT126" s="3"/>
        <tr r="AT125" s="3"/>
        <tr r="AT125" s="3"/>
        <tr r="AT125" s="3"/>
        <tr r="AT124" s="3"/>
        <tr r="AT124" s="3"/>
        <tr r="AT124" s="3"/>
        <tr r="AT123" s="3"/>
        <tr r="AT123" s="3"/>
        <tr r="AT123" s="3"/>
        <tr r="AT122" s="3"/>
        <tr r="AT122" s="3"/>
        <tr r="AT122" s="3"/>
        <tr r="AT121" s="3"/>
        <tr r="AT121" s="3"/>
        <tr r="AT121" s="3"/>
        <tr r="AT120" s="3"/>
        <tr r="AT120" s="3"/>
        <tr r="AT120" s="3"/>
      </tp>
      <tp t="e">
        <v>#N/A</v>
        <stp/>
        <stp>BDP|8387582376118194070</stp>
        <tr r="Z44" s="1"/>
      </tp>
      <tp t="e">
        <v>#N/A</v>
        <stp/>
        <stp>BDP|1308405820760194599</stp>
        <tr r="Q19" s="1"/>
      </tp>
      <tp t="e">
        <v>#N/A</v>
        <stp/>
        <stp>BDP|3950310064176628213</stp>
        <tr r="AL115" s="3"/>
        <tr r="AL115" s="3"/>
        <tr r="AL115" s="3"/>
      </tp>
      <tp t="e">
        <v>#N/A</v>
        <stp/>
        <stp>BDP|4224199463974048531</stp>
        <tr r="AT140" s="1"/>
        <tr r="AT128" s="1"/>
      </tp>
      <tp t="e">
        <v>#N/A</v>
        <stp/>
        <stp>BDP|6890643372042075766</stp>
        <tr r="E98" s="1"/>
        <tr r="E79" s="1"/>
        <tr r="E5" s="1"/>
        <tr r="E155" s="1"/>
        <tr r="E118" s="1"/>
      </tp>
      <tp t="e">
        <v>#N/A</v>
        <stp/>
        <stp>BDP|7030453016351360183</stp>
        <tr r="AD16" s="1"/>
        <tr r="AD99" s="1"/>
        <tr r="AD146" s="1"/>
        <tr r="AD74" s="1"/>
        <tr r="AD137" s="1"/>
        <tr r="AD23" s="1"/>
        <tr r="AD165" s="1"/>
        <tr r="AD111" s="1"/>
        <tr r="AD61" s="1"/>
        <tr r="AD38" s="1"/>
        <tr r="AD152" s="1"/>
        <tr r="AD119" s="1"/>
      </tp>
      <tp t="e">
        <v>#N/A</v>
        <stp/>
        <stp>BDP|8187995175241141554</stp>
        <tr r="AO20" s="1"/>
      </tp>
      <tp t="e">
        <v>#N/A</v>
        <stp/>
        <stp>BDP|7261154402881871543</stp>
        <tr r="W50" s="3"/>
        <tr r="W49" s="3"/>
        <tr r="W48" s="3"/>
        <tr r="W47" s="3"/>
        <tr r="W46" s="3"/>
        <tr r="W45" s="3"/>
        <tr r="W44" s="3"/>
        <tr r="W43" s="3"/>
        <tr r="W42" s="3"/>
        <tr r="W41" s="3"/>
        <tr r="W40" s="3"/>
        <tr r="W39" s="3"/>
        <tr r="W38" s="3"/>
        <tr r="W37" s="3"/>
        <tr r="W36" s="3"/>
        <tr r="W35" s="3"/>
      </tp>
      <tp t="e">
        <v>#N/A</v>
        <stp/>
        <stp>BDP|2444985904498868192</stp>
        <tr r="I97" s="1"/>
        <tr r="I117" s="1"/>
        <tr r="I60" s="1"/>
        <tr r="I40" s="1"/>
        <tr r="I4" s="1"/>
        <tr r="I25" s="1"/>
        <tr r="I75" s="1"/>
        <tr r="I163" s="1"/>
      </tp>
      <tp t="e">
        <v>#N/A</v>
        <stp/>
        <stp>BDP|3979047940270108552</stp>
        <tr r="M63" s="1"/>
        <tr r="M63" s="1"/>
      </tp>
      <tp t="e">
        <v>#N/A</v>
        <stp/>
        <stp>BDP|3170207938376718670</stp>
        <tr r="AM51" s="1"/>
        <tr r="AM51" s="1"/>
      </tp>
      <tp t="e">
        <v>#N/A</v>
        <stp/>
        <stp>BDP|2362613412777873011</stp>
        <tr r="F91" s="1"/>
        <tr r="F76" s="1"/>
        <tr r="F55" s="1"/>
        <tr r="F48" s="1"/>
        <tr r="F26" s="1"/>
        <tr r="F157" s="1"/>
        <tr r="F142" s="1"/>
        <tr r="F132" s="1"/>
        <tr r="F120" s="1"/>
        <tr r="F100" s="1"/>
      </tp>
      <tp t="e">
        <v>#N/A</v>
        <stp/>
        <stp>BDP|1809364717428442940</stp>
        <tr r="AD72" s="3"/>
        <tr r="AD72" s="3"/>
        <tr r="AD72" s="3"/>
        <tr r="AD71" s="3"/>
        <tr r="AD71" s="3"/>
        <tr r="AD71" s="3"/>
        <tr r="AD70" s="3"/>
        <tr r="AD70" s="3"/>
        <tr r="AD70" s="3"/>
        <tr r="AD69" s="3"/>
        <tr r="AD69" s="3"/>
        <tr r="AD69" s="3"/>
        <tr r="AD68" s="3"/>
        <tr r="AD68" s="3"/>
        <tr r="AD68" s="3"/>
        <tr r="AD67" s="3"/>
        <tr r="AD67" s="3"/>
        <tr r="AD67" s="3"/>
        <tr r="AD66" s="3"/>
        <tr r="AD66" s="3"/>
        <tr r="AD66" s="3"/>
        <tr r="AD65" s="3"/>
        <tr r="AD65" s="3"/>
        <tr r="AD65" s="3"/>
      </tp>
      <tp t="e">
        <v>#N/A</v>
        <stp/>
        <stp>BDP|2386804580736578685</stp>
        <tr r="AI102" s="3"/>
        <tr r="AI102" s="3"/>
        <tr r="AI102" s="3"/>
        <tr r="AI101" s="3"/>
        <tr r="AI101" s="3"/>
        <tr r="AI101" s="3"/>
        <tr r="AI100" s="3"/>
        <tr r="AI100" s="3"/>
        <tr r="AI100" s="3"/>
      </tp>
      <tp t="e">
        <v>#N/A</v>
        <stp/>
        <stp>BDP|9119885497213886986</stp>
        <tr r="AH94" s="3"/>
        <tr r="AH94" s="3"/>
        <tr r="AH94" s="3"/>
        <tr r="AH93" s="3"/>
        <tr r="AH93" s="3"/>
        <tr r="AH93" s="3"/>
        <tr r="AH92" s="3"/>
        <tr r="AH92" s="3"/>
        <tr r="AH92" s="3"/>
        <tr r="AH91" s="3"/>
        <tr r="AH91" s="3"/>
        <tr r="AH91" s="3"/>
        <tr r="AH90" s="3"/>
        <tr r="AH90" s="3"/>
        <tr r="AH90" s="3"/>
        <tr r="AH89" s="3"/>
        <tr r="AH89" s="3"/>
        <tr r="AH89" s="3"/>
        <tr r="AH88" s="3"/>
        <tr r="AH88" s="3"/>
        <tr r="AH88" s="3"/>
        <tr r="AH87" s="3"/>
        <tr r="AH87" s="3"/>
        <tr r="AH87" s="3"/>
        <tr r="AH86" s="3"/>
        <tr r="AH86" s="3"/>
        <tr r="AH86" s="3"/>
        <tr r="AH85" s="3"/>
        <tr r="AH85" s="3"/>
        <tr r="AH85" s="3"/>
        <tr r="AH84" s="3"/>
        <tr r="AH84" s="3"/>
        <tr r="AH84" s="3"/>
        <tr r="AH83" s="3"/>
        <tr r="AH83" s="3"/>
        <tr r="AH83" s="3"/>
        <tr r="AH82" s="3"/>
        <tr r="AH82" s="3"/>
        <tr r="AH82" s="3"/>
        <tr r="AH81" s="3"/>
        <tr r="AH81" s="3"/>
        <tr r="AH81" s="3"/>
        <tr r="AH80" s="3"/>
        <tr r="AH80" s="3"/>
        <tr r="AH80" s="3"/>
        <tr r="AH79" s="3"/>
        <tr r="AH79" s="3"/>
        <tr r="AH79" s="3"/>
      </tp>
      <tp t="e">
        <v>#N/A</v>
        <stp/>
        <stp>BDP|4362599047754006334</stp>
        <tr r="AU139" s="1"/>
        <tr r="AU139" s="1"/>
        <tr r="AU139" s="1"/>
        <tr r="AU129" s="1"/>
        <tr r="AU129" s="1"/>
        <tr r="AU129" s="1"/>
      </tp>
      <tp t="e">
        <v>#N/A</v>
        <stp/>
        <stp>BDP|2768721341524276785</stp>
        <tr r="AS94" s="3"/>
        <tr r="AS94" s="3"/>
        <tr r="AS94" s="3"/>
        <tr r="AS93" s="3"/>
        <tr r="AS93" s="3"/>
        <tr r="AS93" s="3"/>
        <tr r="AS92" s="3"/>
        <tr r="AS92" s="3"/>
        <tr r="AS92" s="3"/>
        <tr r="AS91" s="3"/>
        <tr r="AS91" s="3"/>
        <tr r="AS91" s="3"/>
        <tr r="AS90" s="3"/>
        <tr r="AS90" s="3"/>
        <tr r="AS90" s="3"/>
        <tr r="AS89" s="3"/>
        <tr r="AS89" s="3"/>
        <tr r="AS89" s="3"/>
        <tr r="AS88" s="3"/>
        <tr r="AS88" s="3"/>
        <tr r="AS88" s="3"/>
        <tr r="AS87" s="3"/>
        <tr r="AS87" s="3"/>
        <tr r="AS87" s="3"/>
        <tr r="AS86" s="3"/>
        <tr r="AS86" s="3"/>
        <tr r="AS86" s="3"/>
        <tr r="AS85" s="3"/>
        <tr r="AS85" s="3"/>
        <tr r="AS85" s="3"/>
        <tr r="AS84" s="3"/>
        <tr r="AS84" s="3"/>
        <tr r="AS84" s="3"/>
        <tr r="AS83" s="3"/>
        <tr r="AS83" s="3"/>
        <tr r="AS83" s="3"/>
        <tr r="AS82" s="3"/>
        <tr r="AS82" s="3"/>
        <tr r="AS82" s="3"/>
        <tr r="AS81" s="3"/>
        <tr r="AS81" s="3"/>
        <tr r="AS81" s="3"/>
        <tr r="AS80" s="3"/>
        <tr r="AS80" s="3"/>
        <tr r="AS80" s="3"/>
        <tr r="AS79" s="3"/>
        <tr r="AS79" s="3"/>
        <tr r="AS79" s="3"/>
      </tp>
      <tp t="e">
        <v>#N/A</v>
        <stp/>
        <stp>BDP|7766912291340828513</stp>
        <tr r="N84" s="1"/>
        <tr r="N70" s="1"/>
        <tr r="N159" s="1"/>
        <tr r="N116" s="1"/>
      </tp>
      <tp t="e">
        <v>#N/A</v>
        <stp/>
        <stp>BDP|1188633453840632096</stp>
        <tr r="AI114" s="3"/>
        <tr r="AI114" s="3"/>
        <tr r="AI114" s="3"/>
        <tr r="AI113" s="3"/>
        <tr r="AI113" s="3"/>
        <tr r="AI113" s="3"/>
        <tr r="AI112" s="3"/>
        <tr r="AI112" s="3"/>
        <tr r="AI112" s="3"/>
      </tp>
      <tp t="e">
        <v>#N/A</v>
        <stp/>
        <stp>BDP|6892066016301751400</stp>
        <tr r="AK110" s="1"/>
        <tr r="AK110" s="1"/>
        <tr r="AK110" s="1"/>
      </tp>
      <tp t="e">
        <v>#N/A</v>
        <stp/>
        <stp>BDP|2334395577445409169</stp>
        <tr r="Q72" s="3"/>
        <tr r="Q71" s="3"/>
        <tr r="Q70" s="3"/>
        <tr r="Q69" s="3"/>
        <tr r="Q68" s="3"/>
        <tr r="Q67" s="3"/>
        <tr r="Q66" s="3"/>
        <tr r="Q65" s="3"/>
      </tp>
      <tp t="e">
        <v>#N/A</v>
        <stp/>
        <stp>BDP|7602391377155635419</stp>
        <tr r="H69" s="1"/>
        <tr r="H69" s="1"/>
        <tr r="H57" s="1"/>
        <tr r="H57" s="1"/>
      </tp>
      <tp t="e">
        <v>#N/A</v>
        <stp/>
        <stp>BDP|7082181257750583153</stp>
        <tr r="H110" s="1"/>
        <tr r="H110" s="1"/>
      </tp>
      <tp t="e">
        <v>#N/A</v>
        <stp/>
        <stp>BDP|6695372841615920668</stp>
        <tr r="Z130" s="1"/>
      </tp>
      <tp t="e">
        <v>#N/A</v>
        <stp/>
        <stp>BDP|8163498590630130750</stp>
        <tr r="AB144" s="1"/>
      </tp>
      <tp t="e">
        <v>#N/A</v>
        <stp/>
        <stp>BDP|5958485631432941250</stp>
        <tr r="AF141" s="3"/>
        <tr r="AF141" s="3"/>
        <tr r="AF140" s="3"/>
        <tr r="AF140" s="3"/>
        <tr r="AF139" s="3"/>
        <tr r="AF139" s="3"/>
        <tr r="AF138" s="3"/>
        <tr r="AF138" s="3"/>
        <tr r="AF137" s="3"/>
        <tr r="AF137" s="3"/>
        <tr r="AF136" s="3"/>
        <tr r="AF136" s="3"/>
        <tr r="AF135" s="3"/>
        <tr r="AF135" s="3"/>
        <tr r="AF134" s="3"/>
        <tr r="AF134" s="3"/>
        <tr r="AF133" s="3"/>
        <tr r="AF133" s="3"/>
        <tr r="AF132" s="3"/>
        <tr r="AF132" s="3"/>
        <tr r="AF131" s="3"/>
        <tr r="AF131" s="3"/>
        <tr r="AF130" s="3"/>
        <tr r="AF130" s="3"/>
      </tp>
      <tp t="e">
        <v>#N/A</v>
        <stp/>
        <stp>BDP|3829673321261747451</stp>
        <tr r="AU105" s="1"/>
        <tr r="AU105" s="1"/>
        <tr r="AU105" s="1"/>
      </tp>
      <tp t="e">
        <v>#N/A</v>
        <stp/>
        <stp>BDP|2891461001154617042</stp>
        <tr r="AT54" s="1"/>
      </tp>
      <tp t="e">
        <v>#N/A</v>
        <stp/>
        <stp>BDP|1729537070938004996</stp>
        <tr r="AM95" s="1"/>
        <tr r="AM95" s="1"/>
        <tr r="AM71" s="1"/>
        <tr r="AM71" s="1"/>
      </tp>
      <tp t="e">
        <v>#N/A</v>
        <stp/>
        <stp>BDP|8735888700432424061</stp>
        <tr r="AF102" s="3"/>
        <tr r="AF102" s="3"/>
        <tr r="AF101" s="3"/>
        <tr r="AF101" s="3"/>
        <tr r="AF100" s="3"/>
        <tr r="AF100" s="3"/>
      </tp>
      <tp t="e">
        <v>#N/A</v>
        <stp/>
        <stp>BDP|4804129773105769532</stp>
        <tr r="Q130" s="1"/>
      </tp>
      <tp t="e">
        <v>#N/A</v>
        <stp/>
        <stp>BDP|3951866779136908823</stp>
        <tr r="Y91" s="1"/>
        <tr r="Y76" s="1"/>
        <tr r="Y55" s="1"/>
        <tr r="Y48" s="1"/>
        <tr r="Y26" s="1"/>
        <tr r="Y157" s="1"/>
        <tr r="Y142" s="1"/>
        <tr r="Y132" s="1"/>
        <tr r="Y120" s="1"/>
        <tr r="Y100" s="1"/>
      </tp>
      <tp t="e">
        <v>#N/A</v>
        <stp/>
        <stp>BDP|3051771492956191997</stp>
        <tr r="AT62" s="1"/>
        <tr r="AT45" s="1"/>
        <tr r="AT53" s="1"/>
        <tr r="AT115" s="1"/>
      </tp>
      <tp t="e">
        <v>#N/A</v>
        <stp/>
        <stp>BDP|1765423149335981689</stp>
        <tr r="E63" s="3"/>
        <tr r="E62" s="3"/>
        <tr r="E61" s="3"/>
        <tr r="E60" s="3"/>
        <tr r="E59" s="3"/>
        <tr r="E58" s="3"/>
        <tr r="E57" s="3"/>
        <tr r="E56" s="3"/>
        <tr r="E55" s="3"/>
        <tr r="E54" s="3"/>
        <tr r="E53" s="3"/>
        <tr r="E52" s="3"/>
        <tr r="E51" s="3"/>
      </tp>
      <tp t="e">
        <v>#N/A</v>
        <stp/>
        <stp>BDP|2709994181298635943</stp>
        <tr r="V95" s="1"/>
        <tr r="V71" s="1"/>
      </tp>
      <tp t="e">
        <v>#N/A</v>
        <stp/>
        <stp>BDP|2636413041865266566</stp>
        <tr r="AC115" s="3"/>
        <tr r="AC115" s="3"/>
        <tr r="AC115" s="3"/>
      </tp>
      <tp t="e">
        <v>#N/A</v>
        <stp/>
        <stp>BDP|6717588479674287268</stp>
        <tr r="AG50" s="3"/>
        <tr r="AG50" s="3"/>
        <tr r="AG50" s="3"/>
        <tr r="AG49" s="3"/>
        <tr r="AG49" s="3"/>
        <tr r="AG49" s="3"/>
        <tr r="AG48" s="3"/>
        <tr r="AG48" s="3"/>
        <tr r="AG48" s="3"/>
        <tr r="AG47" s="3"/>
        <tr r="AG47" s="3"/>
        <tr r="AG47" s="3"/>
        <tr r="AG46" s="3"/>
        <tr r="AG46" s="3"/>
        <tr r="AG46" s="3"/>
        <tr r="AG45" s="3"/>
        <tr r="AG45" s="3"/>
        <tr r="AG45" s="3"/>
        <tr r="AG44" s="3"/>
        <tr r="AG44" s="3"/>
        <tr r="AG44" s="3"/>
        <tr r="AG43" s="3"/>
        <tr r="AG43" s="3"/>
        <tr r="AG43" s="3"/>
        <tr r="AG42" s="3"/>
        <tr r="AG42" s="3"/>
        <tr r="AG42" s="3"/>
        <tr r="AG41" s="3"/>
        <tr r="AG41" s="3"/>
        <tr r="AG41" s="3"/>
        <tr r="AG40" s="3"/>
        <tr r="AG40" s="3"/>
        <tr r="AG40" s="3"/>
        <tr r="AG39" s="3"/>
        <tr r="AG39" s="3"/>
        <tr r="AG39" s="3"/>
        <tr r="AG38" s="3"/>
        <tr r="AG38" s="3"/>
        <tr r="AG38" s="3"/>
        <tr r="AG37" s="3"/>
        <tr r="AG37" s="3"/>
        <tr r="AG37" s="3"/>
        <tr r="AG36" s="3"/>
        <tr r="AG36" s="3"/>
        <tr r="AG36" s="3"/>
        <tr r="AG35" s="3"/>
        <tr r="AG35" s="3"/>
        <tr r="AG35" s="3"/>
      </tp>
      <tp t="e">
        <v>#N/A</v>
        <stp/>
        <stp>BDP|8026165564284151917</stp>
        <tr r="AE102" s="3"/>
        <tr r="AE102" s="3"/>
        <tr r="AE102" s="3"/>
        <tr r="AE101" s="3"/>
        <tr r="AE101" s="3"/>
        <tr r="AE101" s="3"/>
        <tr r="AE100" s="3"/>
        <tr r="AE100" s="3"/>
        <tr r="AE100" s="3"/>
      </tp>
      <tp t="e">
        <v>#N/A</v>
        <stp/>
        <stp>BDP|5963758713959994857</stp>
        <tr r="AT160" s="1"/>
      </tp>
      <tp t="e">
        <v>#N/A</v>
        <stp/>
        <stp>BDP|2552231321270083046</stp>
        <tr r="AU17" s="1"/>
        <tr r="AU17" s="1"/>
        <tr r="AU17" s="1"/>
        <tr r="AU112" s="1"/>
        <tr r="AU112" s="1"/>
        <tr r="AU112" s="1"/>
      </tp>
      <tp t="e">
        <v>#N/A</v>
        <stp/>
        <stp>BDP|3147657527927863284</stp>
        <tr r="AT96" s="3"/>
        <tr r="AT96" s="3"/>
        <tr r="AT96" s="3"/>
        <tr r="AT95" s="3"/>
        <tr r="AT95" s="3"/>
        <tr r="AT95" s="3"/>
      </tp>
      <tp t="e">
        <v>#N/A</v>
        <stp/>
        <stp>BDP|6574286875649893832</stp>
        <tr r="Q17" s="1"/>
        <tr r="Q112" s="1"/>
      </tp>
      <tp t="e">
        <v>#N/A</v>
        <stp/>
        <stp>BDP|1639774336914054344</stp>
        <tr r="Q141" s="3"/>
        <tr r="Q140" s="3"/>
        <tr r="Q139" s="3"/>
        <tr r="Q138" s="3"/>
        <tr r="Q137" s="3"/>
        <tr r="Q136" s="3"/>
        <tr r="Q135" s="3"/>
        <tr r="Q134" s="3"/>
        <tr r="Q133" s="3"/>
        <tr r="Q132" s="3"/>
        <tr r="Q131" s="3"/>
        <tr r="Q130" s="3"/>
      </tp>
      <tp t="e">
        <v>#N/A</v>
        <stp/>
        <stp>BDP|4222346855805322531</stp>
        <tr r="Z90" s="1"/>
      </tp>
      <tp t="e">
        <v>#N/A</v>
        <stp/>
        <stp>BDP|1690436387556828996</stp>
        <tr r="N67" s="1"/>
        <tr r="N43" s="1"/>
        <tr r="N30" s="1"/>
        <tr r="N3" s="1"/>
        <tr r="N21" s="1"/>
        <tr r="N166" s="1"/>
        <tr r="N147" s="1"/>
        <tr r="N125" s="1"/>
        <tr r="N114" s="1"/>
      </tp>
      <tp t="e">
        <v>#N/A</v>
        <stp/>
        <stp>BDP|4213590372677232385</stp>
        <tr r="F52" s="1"/>
      </tp>
      <tp t="e">
        <v>#N/A</v>
        <stp/>
        <stp>BDP|9615673668613930832</stp>
        <tr r="K150" s="1"/>
        <tr r="K122" s="1"/>
      </tp>
      <tp t="e">
        <v>#N/A</v>
        <stp/>
        <stp>BDP|9042037382876472551</stp>
        <tr r="H18" s="1"/>
        <tr r="H18" s="1"/>
      </tp>
      <tp t="e">
        <v>#N/A</v>
        <stp/>
        <stp>BDP|4573440460306727268</stp>
        <tr r="AS130" s="1"/>
      </tp>
      <tp t="e">
        <v>#N/A</v>
        <stp/>
        <stp>BDP|3143774022455231164</stp>
        <tr r="X6" s="1"/>
      </tp>
      <tp t="e">
        <v>#N/A</v>
        <stp/>
        <stp>BDP|3796544556618538915</stp>
        <tr r="AA51" s="1"/>
      </tp>
      <tp t="e">
        <v>#N/A</v>
        <stp/>
        <stp>BDP|2351042650005400028</stp>
        <tr r="W85" s="1"/>
      </tp>
      <tp t="e">
        <v>#N/A</v>
        <stp/>
        <stp>BDP|2170739716452299472</stp>
        <tr r="AS150" s="1"/>
        <tr r="AS122" s="1"/>
      </tp>
      <tp t="e">
        <v>#N/A</v>
        <stp/>
        <stp>BDP|8269592177989976149</stp>
        <tr r="H9" s="1"/>
        <tr r="H9" s="1"/>
      </tp>
      <tp t="e">
        <v>#N/A</v>
        <stp/>
        <stp>BDP|2940991190796079616</stp>
        <tr r="AS160" s="1"/>
      </tp>
      <tp t="e">
        <v>#N/A</v>
        <stp/>
        <stp>BDP|4422108913396155079</stp>
        <tr r="V46" s="1"/>
        <tr r="V144" s="1"/>
        <tr r="V134" s="1"/>
      </tp>
      <tp t="e">
        <v>#N/A</v>
        <stp/>
        <stp>BDP|1082944255976992998</stp>
        <tr r="V9" s="3"/>
        <tr r="V8" s="3"/>
        <tr r="V7" s="3"/>
        <tr r="V6" s="3"/>
        <tr r="V5" s="3"/>
        <tr r="V4" s="3"/>
        <tr r="V3" s="3"/>
        <tr r="V15" s="3"/>
        <tr r="V14" s="3"/>
        <tr r="V13" s="3"/>
        <tr r="V12" s="3"/>
        <tr r="V11" s="3"/>
        <tr r="V10" s="3"/>
      </tp>
      <tp t="e">
        <v>#N/A</v>
        <stp/>
        <stp>BDP|2686380227380899179</stp>
        <tr r="AE104" s="1"/>
      </tp>
      <tp t="e">
        <v>#N/A</v>
        <stp/>
        <stp>BDP|7292396269563031342</stp>
        <tr r="AF16" s="3"/>
        <tr r="AF16" s="3"/>
      </tp>
      <tp t="e">
        <v>#N/A</v>
        <stp/>
        <stp>BDP|4131211452810631124</stp>
        <tr r="AT7" s="1"/>
        <tr r="AT14" s="1"/>
        <tr r="AT108" s="1"/>
      </tp>
      <tp t="e">
        <v>#N/A</v>
        <stp/>
        <stp>BDP|9633931633410033108</stp>
        <tr r="AD103" s="3"/>
        <tr r="AD103" s="3"/>
        <tr r="AD103" s="3"/>
      </tp>
      <tp t="e">
        <v>#N/A</v>
        <stp/>
        <stp>BDP|6348632142696677028</stp>
        <tr r="V139" s="1"/>
        <tr r="V129" s="1"/>
      </tp>
      <tp t="e">
        <v>#N/A</v>
        <stp/>
        <stp>BDP|7702066449671760095</stp>
        <tr r="AU15" s="1"/>
        <tr r="AU15" s="1"/>
        <tr r="AU15" s="1"/>
        <tr r="AU109" s="1"/>
        <tr r="AU109" s="1"/>
        <tr r="AU109" s="1"/>
      </tp>
      <tp t="e">
        <v>#N/A</v>
        <stp/>
        <stp>BDP|6982460198820840996</stp>
        <tr r="V11" s="1"/>
        <tr r="V102" s="1"/>
      </tp>
      <tp t="e">
        <v>#N/A</v>
        <stp/>
        <stp>BDP|7330628290633493936</stp>
        <tr r="K140" s="1"/>
        <tr r="K128" s="1"/>
      </tp>
      <tp t="e">
        <v>#N/A</v>
        <stp/>
        <stp>BDP|2740377777994599045</stp>
        <tr r="AA92" s="1"/>
      </tp>
      <tp t="e">
        <v>#N/A</v>
        <stp/>
        <stp>BDP|4178122370665126559</stp>
        <tr r="Q99" s="3"/>
        <tr r="Q98" s="3"/>
        <tr r="Q97" s="3"/>
      </tp>
      <tp t="e">
        <v>#N/A</v>
        <stp/>
        <stp>BDP|4915645636351805248</stp>
        <tr r="H64" s="1"/>
        <tr r="H64" s="1"/>
      </tp>
      <tp t="e">
        <v>#N/A</v>
        <stp/>
        <stp>BDP|7322630070942525626</stp>
        <tr r="AE6" s="1"/>
      </tp>
      <tp t="e">
        <v>#N/A</v>
        <stp/>
        <stp>BDP|6039359156165310774</stp>
        <tr r="N78" s="1"/>
        <tr r="N154" s="1"/>
        <tr r="N149" s="1"/>
        <tr r="N124" s="1"/>
      </tp>
      <tp t="e">
        <v>#N/A</v>
        <stp/>
        <stp>BDP|1227646742771176021</stp>
        <tr r="AE86" s="1"/>
        <tr r="AE133" s="1"/>
      </tp>
      <tp t="e">
        <v>#N/A</v>
        <stp/>
        <stp>BDP|3272346067667348357</stp>
        <tr r="W80" s="1"/>
        <tr r="W58" s="1"/>
        <tr r="W28" s="1"/>
        <tr r="W161" s="1"/>
        <tr r="W121" s="1"/>
        <tr r="W10" s="1"/>
      </tp>
      <tp t="e">
        <v>#N/A</v>
        <stp/>
        <stp>BDP|4499448161922746625</stp>
        <tr r="AJ150" s="1"/>
        <tr r="AJ150" s="1"/>
        <tr r="AJ122" s="1"/>
        <tr r="AJ122" s="1"/>
      </tp>
      <tp t="e">
        <v>#N/A</v>
        <stp/>
        <stp>BDP|4748701652875111104</stp>
        <tr r="AA17" s="1"/>
        <tr r="AA112" s="1"/>
      </tp>
      <tp t="e">
        <v>#N/A</v>
        <stp/>
        <stp>BDP|5157201234250491653</stp>
        <tr r="I34" s="3"/>
        <tr r="I34" s="3"/>
        <tr r="I34" s="3"/>
        <tr r="I33" s="3"/>
        <tr r="I33" s="3"/>
        <tr r="I33" s="3"/>
        <tr r="I32" s="3"/>
        <tr r="I32" s="3"/>
        <tr r="I32" s="3"/>
        <tr r="I31" s="3"/>
        <tr r="I31" s="3"/>
        <tr r="I31" s="3"/>
        <tr r="I30" s="3"/>
        <tr r="I30" s="3"/>
        <tr r="I30" s="3"/>
        <tr r="I29" s="3"/>
        <tr r="I29" s="3"/>
        <tr r="I29" s="3"/>
        <tr r="I28" s="3"/>
        <tr r="I28" s="3"/>
        <tr r="I28" s="3"/>
        <tr r="I27" s="3"/>
        <tr r="I27" s="3"/>
        <tr r="I27" s="3"/>
        <tr r="I26" s="3"/>
        <tr r="I26" s="3"/>
        <tr r="I26" s="3"/>
        <tr r="I25" s="3"/>
        <tr r="I25" s="3"/>
        <tr r="I25" s="3"/>
        <tr r="I24" s="3"/>
        <tr r="I24" s="3"/>
        <tr r="I24" s="3"/>
        <tr r="I23" s="3"/>
        <tr r="I23" s="3"/>
        <tr r="I23" s="3"/>
        <tr r="I22" s="3"/>
        <tr r="I22" s="3"/>
        <tr r="I22" s="3"/>
        <tr r="I21" s="3"/>
        <tr r="I21" s="3"/>
        <tr r="I21" s="3"/>
        <tr r="I20" s="3"/>
        <tr r="I20" s="3"/>
        <tr r="I20" s="3"/>
        <tr r="I19" s="3"/>
        <tr r="I19" s="3"/>
        <tr r="I19" s="3"/>
        <tr r="I18" s="3"/>
        <tr r="I18" s="3"/>
        <tr r="I18" s="3"/>
        <tr r="I17" s="3"/>
        <tr r="I17" s="3"/>
        <tr r="I17" s="3"/>
      </tp>
      <tp t="e">
        <v>#N/A</v>
        <stp/>
        <stp>BDP|9213958852626367125</stp>
        <tr r="AL9" s="3"/>
        <tr r="AL9" s="3"/>
        <tr r="AL9" s="3"/>
        <tr r="AL8" s="3"/>
        <tr r="AL8" s="3"/>
        <tr r="AL8" s="3"/>
        <tr r="AL7" s="3"/>
        <tr r="AL7" s="3"/>
        <tr r="AL7" s="3"/>
        <tr r="AL6" s="3"/>
        <tr r="AL6" s="3"/>
        <tr r="AL6" s="3"/>
        <tr r="AL5" s="3"/>
        <tr r="AL5" s="3"/>
        <tr r="AL5" s="3"/>
        <tr r="AL4" s="3"/>
        <tr r="AL4" s="3"/>
        <tr r="AL4" s="3"/>
        <tr r="AL3" s="3"/>
        <tr r="AL3" s="3"/>
        <tr r="AL3" s="3"/>
        <tr r="AL15" s="3"/>
        <tr r="AL15" s="3"/>
        <tr r="AL15" s="3"/>
        <tr r="AL14" s="3"/>
        <tr r="AL14" s="3"/>
        <tr r="AL14" s="3"/>
        <tr r="AL13" s="3"/>
        <tr r="AL13" s="3"/>
        <tr r="AL13" s="3"/>
        <tr r="AL12" s="3"/>
        <tr r="AL12" s="3"/>
        <tr r="AL12" s="3"/>
        <tr r="AL11" s="3"/>
        <tr r="AL11" s="3"/>
        <tr r="AL11" s="3"/>
        <tr r="AL10" s="3"/>
        <tr r="AL10" s="3"/>
        <tr r="AL10" s="3"/>
      </tp>
      <tp t="e">
        <v>#N/A</v>
        <stp/>
        <stp>BDP|4395853765888228052</stp>
        <tr r="AV96" s="3"/>
        <tr r="AV96" s="3"/>
        <tr r="AV95" s="3"/>
        <tr r="AV95" s="3"/>
      </tp>
      <tp t="e">
        <v>#N/A</v>
        <stp/>
        <stp>BDP|6952537500443802262</stp>
        <tr r="I13" s="1"/>
      </tp>
      <tp t="e">
        <v>#N/A</v>
        <stp/>
        <stp>BDP|1163480929017059247</stp>
        <tr r="AT20" s="1"/>
      </tp>
      <tp t="e">
        <v>#N/A</v>
        <stp/>
        <stp>BDP|7219644947490304778</stp>
        <tr r="AG34" s="3"/>
        <tr r="AG34" s="3"/>
        <tr r="AG34" s="3"/>
        <tr r="AG33" s="3"/>
        <tr r="AG33" s="3"/>
        <tr r="AG33" s="3"/>
        <tr r="AG32" s="3"/>
        <tr r="AG32" s="3"/>
        <tr r="AG32" s="3"/>
        <tr r="AG31" s="3"/>
        <tr r="AG31" s="3"/>
        <tr r="AG31" s="3"/>
        <tr r="AG30" s="3"/>
        <tr r="AG30" s="3"/>
        <tr r="AG30" s="3"/>
        <tr r="AG29" s="3"/>
        <tr r="AG29" s="3"/>
        <tr r="AG29" s="3"/>
        <tr r="AG28" s="3"/>
        <tr r="AG28" s="3"/>
        <tr r="AG28" s="3"/>
        <tr r="AG27" s="3"/>
        <tr r="AG27" s="3"/>
        <tr r="AG27" s="3"/>
        <tr r="AG26" s="3"/>
        <tr r="AG26" s="3"/>
        <tr r="AG26" s="3"/>
        <tr r="AG25" s="3"/>
        <tr r="AG25" s="3"/>
        <tr r="AG25" s="3"/>
        <tr r="AG24" s="3"/>
        <tr r="AG24" s="3"/>
        <tr r="AG24" s="3"/>
        <tr r="AG23" s="3"/>
        <tr r="AG23" s="3"/>
        <tr r="AG23" s="3"/>
        <tr r="AG22" s="3"/>
        <tr r="AG22" s="3"/>
        <tr r="AG22" s="3"/>
        <tr r="AG21" s="3"/>
        <tr r="AG21" s="3"/>
        <tr r="AG21" s="3"/>
        <tr r="AG20" s="3"/>
        <tr r="AG20" s="3"/>
        <tr r="AG20" s="3"/>
        <tr r="AG19" s="3"/>
        <tr r="AG19" s="3"/>
        <tr r="AG19" s="3"/>
        <tr r="AG18" s="3"/>
        <tr r="AG18" s="3"/>
        <tr r="AG18" s="3"/>
        <tr r="AG17" s="3"/>
        <tr r="AG17" s="3"/>
        <tr r="AG17" s="3"/>
      </tp>
      <tp t="e">
        <v>#N/A</v>
        <stp/>
        <stp>BDP|3899077023981830218</stp>
        <tr r="X64" s="1"/>
      </tp>
      <tp t="e">
        <v>#N/A</v>
        <stp/>
        <stp>BDP|2991852739229959290</stp>
        <tr r="H67" s="1"/>
        <tr r="H67" s="1"/>
        <tr r="H43" s="1"/>
        <tr r="H43" s="1"/>
        <tr r="H30" s="1"/>
        <tr r="H30" s="1"/>
        <tr r="H3" s="1"/>
        <tr r="H3" s="1"/>
        <tr r="H21" s="1"/>
        <tr r="H21" s="1"/>
        <tr r="H166" s="1"/>
        <tr r="H166" s="1"/>
        <tr r="H147" s="1"/>
        <tr r="H147" s="1"/>
        <tr r="H125" s="1"/>
        <tr r="H125" s="1"/>
        <tr r="H114" s="1"/>
        <tr r="H114" s="1"/>
      </tp>
      <tp t="e">
        <v>#N/A</v>
        <stp/>
        <stp>BDP|6350432454483059619</stp>
        <tr r="AJ110" s="1"/>
        <tr r="AJ110" s="1"/>
      </tp>
      <tp t="e">
        <v>#N/A</v>
        <stp/>
        <stp>BDP|6221541636195127745</stp>
        <tr r="AL130" s="1"/>
      </tp>
      <tp t="e">
        <v>#N/A</v>
        <stp/>
        <stp>BDP|4614530433342734245</stp>
        <tr r="F83" s="1"/>
        <tr r="F50" s="1"/>
      </tp>
      <tp t="e">
        <v>#N/A</v>
        <stp/>
        <stp>BDP|9341814614311633357</stp>
        <tr r="J114" s="3"/>
        <tr r="J114" s="3"/>
        <tr r="J114" s="3"/>
        <tr r="J113" s="3"/>
        <tr r="J113" s="3"/>
        <tr r="J113" s="3"/>
        <tr r="J112" s="3"/>
        <tr r="J112" s="3"/>
        <tr r="J112" s="3"/>
      </tp>
    </main>
    <main first="bloomberg.rtd">
      <tp t="s">
        <v>Health Care</v>
        <stp/>
        <stp>##V3_BDPV12</stp>
        <stp>MRK US Equity</stp>
        <stp>DX202</stp>
        <stp>[DPM - Securities Master List (BBG Linked).xlsx]Equities!R162C8</stp>
        <tr r="H162" s="2"/>
        <tr r="H162" s="2"/>
        <tr r="H162" s="2"/>
      </tp>
      <tp t="s">
        <v>Energy</v>
        <stp/>
        <stp>##V3_BDPV12</stp>
        <stp>TTE FP Equity</stp>
        <stp>DX202</stp>
        <stp>[DPM - Securities Master List (BBG Linked).xlsx]Equities!R278C8</stp>
        <tr r="H278" s="2"/>
        <tr r="H278" s="2"/>
        <tr r="H278" s="2"/>
      </tp>
      <tp t="s">
        <v>Energy</v>
        <stp/>
        <stp>##V3_BDPV12</stp>
        <stp>TTE FP Equity</stp>
        <stp>DX202</stp>
        <stp>[DPM - Securities Master List (BBG Linked).xlsx]Equities!R288C8</stp>
        <tr r="H288" s="2"/>
        <tr r="H288" s="2"/>
        <tr r="H288" s="2"/>
      </tp>
      <tp t="s">
        <v>Consumer Discretionary</v>
        <stp/>
        <stp>##V3_BDPV12</stp>
        <stp>NKE US Equity</stp>
        <stp>DX202</stp>
        <stp>[DPM - Securities Master List (BBG Linked).xlsx]Equities!R221C8</stp>
        <tr r="H221" s="2"/>
        <tr r="H221" s="2"/>
        <tr r="H221" s="2"/>
      </tp>
      <tp t="s">
        <v>Consumer Discretionary</v>
        <stp/>
        <stp>##V3_BDPV12</stp>
        <stp>NKE US Equity</stp>
        <stp>DX202</stp>
        <stp>[DPM - Securities Master List (BBG Linked).xlsx]Equities!R211C8</stp>
        <tr r="H211" s="2"/>
        <tr r="H211" s="2"/>
        <tr r="H211" s="2"/>
      </tp>
      <tp t="s">
        <v>Utilities</v>
        <stp/>
        <stp>##V3_BDPV12</stp>
        <stp>SSE LN Equity</stp>
        <stp>DX202</stp>
        <stp>[DPM - Securities Master List (BBG Linked).xlsx]Equities!R255C8</stp>
        <tr r="H255" s="2"/>
        <tr r="H255" s="2"/>
        <tr r="H255" s="2"/>
      </tp>
      <tp t="s">
        <v>N</v>
        <stp/>
        <stp>##V3_BDPV12</stp>
        <stp>9888 HK Equity</stp>
        <stp>DY997</stp>
        <stp>[DPM - Securities Master List (BBG Linked).xlsx]Equities!R25C47</stp>
        <tr r="AU25" s="2"/>
        <tr r="AU25" s="2"/>
        <tr r="AU25" s="2"/>
      </tp>
      <tp t="s">
        <v>N</v>
        <stp/>
        <stp>##V3_BDPV12</stp>
        <stp>9888 HK Equity</stp>
        <stp>DY997</stp>
        <stp>[DPM - Securities Master List (BBG Linked).xlsx]Equities!R24C47</stp>
        <tr r="AU24" s="2"/>
        <tr r="AU24" s="2"/>
        <tr r="AU24" s="2"/>
      </tp>
      <tp t="s">
        <v>N</v>
        <stp/>
        <stp>##V3_BDPV12</stp>
        <stp>9888 HK Equity</stp>
        <stp>DY997</stp>
        <stp>[DPM - Securities Master List (BBG Linked).xlsx]Equities!R27C47</stp>
        <tr r="AU27" s="2"/>
        <tr r="AU27" s="2"/>
        <tr r="AU27" s="2"/>
      </tp>
      <tp t="s">
        <v>N</v>
        <stp/>
        <stp>##V3_BDPV12</stp>
        <stp>9888 HK Equity</stp>
        <stp>DY997</stp>
        <stp>[DPM - Securities Master List (BBG Linked).xlsx]Equities!R26C47</stp>
        <tr r="AU26" s="2"/>
        <tr r="AU26" s="2"/>
        <tr r="AU26" s="2"/>
      </tp>
      <tp t="s">
        <v>N</v>
        <stp/>
        <stp>##V3_BDPV12</stp>
        <stp>9888 HK Equity</stp>
        <stp>DY997</stp>
        <stp>[DPM - Securities Master List (BBG Linked).xlsx]Equities!R21C47</stp>
        <tr r="AU21" s="2"/>
        <tr r="AU21" s="2"/>
        <tr r="AU21" s="2"/>
      </tp>
      <tp t="s">
        <v>N</v>
        <stp/>
        <stp>##V3_BDPV12</stp>
        <stp>9888 HK Equity</stp>
        <stp>DY997</stp>
        <stp>[DPM - Securities Master List (BBG Linked).xlsx]Equities!R20C47</stp>
        <tr r="AU20" s="2"/>
        <tr r="AU20" s="2"/>
        <tr r="AU20" s="2"/>
      </tp>
      <tp t="s">
        <v>N</v>
        <stp/>
        <stp>##V3_BDPV12</stp>
        <stp>9888 HK Equity</stp>
        <stp>DY997</stp>
        <stp>[DPM - Securities Master List (BBG Linked).xlsx]Equities!R23C47</stp>
        <tr r="AU23" s="2"/>
        <tr r="AU23" s="2"/>
        <tr r="AU23" s="2"/>
      </tp>
      <tp t="s">
        <v>N</v>
        <stp/>
        <stp>##V3_BDPV12</stp>
        <stp>9888 HK Equity</stp>
        <stp>DY997</stp>
        <stp>[DPM - Securities Master List (BBG Linked).xlsx]Equities!R22C47</stp>
        <tr r="AU22" s="2"/>
        <tr r="AU22" s="2"/>
        <tr r="AU22" s="2"/>
      </tp>
      <tp t="s">
        <v>N</v>
        <stp/>
        <stp>##V3_BDPV12</stp>
        <stp>9888 HK Equity</stp>
        <stp>DY997</stp>
        <stp>[DPM - Securities Master List (BBG Linked).xlsx]Equities!R19C47</stp>
        <tr r="AU19" s="2"/>
        <tr r="AU19" s="2"/>
        <tr r="AU19" s="2"/>
      </tp>
      <tp t="s">
        <v>N</v>
        <stp/>
        <stp>##V3_BDPV12</stp>
        <stp>9888 HK Equity</stp>
        <stp>DY997</stp>
        <stp>[DPM - Securities Master List (BBG Linked).xlsx]Equities!R18C47</stp>
        <tr r="AU18" s="2"/>
        <tr r="AU18" s="2"/>
        <tr r="AU18" s="2"/>
      </tp>
      <tp t="s">
        <v>N</v>
        <stp/>
        <stp>##V3_BDPV12</stp>
        <stp>9888 HK Equity</stp>
        <stp>DY997</stp>
        <stp>[DPM - Securities Master List (BBG Linked).xlsx]Equities!R15C47</stp>
        <tr r="AU15" s="2"/>
        <tr r="AU15" s="2"/>
        <tr r="AU15" s="2"/>
      </tp>
      <tp t="s">
        <v>N</v>
        <stp/>
        <stp>##V3_BDPV12</stp>
        <stp>9888 HK Equity</stp>
        <stp>DY997</stp>
        <stp>[DPM - Securities Master List (BBG Linked).xlsx]Equities!R17C47</stp>
        <tr r="AU17" s="2"/>
        <tr r="AU17" s="2"/>
        <tr r="AU17" s="2"/>
      </tp>
      <tp t="s">
        <v>N</v>
        <stp/>
        <stp>##V3_BDPV12</stp>
        <stp>9888 HK Equity</stp>
        <stp>DY997</stp>
        <stp>[DPM - Securities Master List (BBG Linked).xlsx]Equities!R16C47</stp>
        <tr r="AU16" s="2"/>
        <tr r="AU16" s="2"/>
        <tr r="AU16" s="2"/>
      </tp>
      <tp t="s">
        <v>#N/A N/A</v>
        <stp/>
        <stp>##V3_BDPV12</stp>
        <stp>3690 HK Equity</stp>
        <stp>DY784</stp>
        <stp>[DPM - Securities Master List (BBG Linked).xlsx]Equities!R14C48</stp>
        <tr r="AV14" s="2"/>
        <tr r="AV14" s="2"/>
      </tp>
      <tp t="s">
        <v>#N/A N/A</v>
        <stp/>
        <stp>##V3_BDPV12</stp>
        <stp>3690 HK Equity</stp>
        <stp>DY784</stp>
        <stp>[DPM - Securities Master List (BBG Linked).xlsx]Equities!R13C48</stp>
        <tr r="AV13" s="2"/>
        <tr r="AV13" s="2"/>
      </tp>
      <tp t="s">
        <v>#N/A N/A</v>
        <stp/>
        <stp>##V3_BDPV12</stp>
        <stp>3690 HK Equity</stp>
        <stp>DY784</stp>
        <stp>[DPM - Securities Master List (BBG Linked).xlsx]Equities!R12C48</stp>
        <tr r="AV12" s="2"/>
        <tr r="AV12" s="2"/>
      </tp>
      <tp t="s">
        <v>#N/A N/A</v>
        <stp/>
        <stp>##V3_BDPV12</stp>
        <stp>3690 HK Equity</stp>
        <stp>DY784</stp>
        <stp>[DPM - Securities Master List (BBG Linked).xlsx]Equities!R11C48</stp>
        <tr r="AV11" s="2"/>
        <tr r="AV11" s="2"/>
      </tp>
      <tp t="s">
        <v>#N/A N/A</v>
        <stp/>
        <stp>##V3_BDPV12</stp>
        <stp>3690 HK Equity</stp>
        <stp>DY784</stp>
        <stp>[DPM - Securities Master List (BBG Linked).xlsx]Equities!R10C48</stp>
        <tr r="AV10" s="2"/>
        <tr r="AV10" s="2"/>
      </tp>
      <tp t="s">
        <v>Consumer Discretionary</v>
        <stp/>
        <stp>##V3_BDPV12</stp>
        <stp>VOW3 GY Equity</stp>
        <stp>DX202</stp>
        <stp>[DPM - Securities Master List (BBG Linked).xlsx]Equities!R290C8</stp>
        <tr r="H290" s="2"/>
        <tr r="H290" s="2"/>
        <tr r="H290" s="2"/>
      </tp>
      <tp t="s">
        <v>#N/A Field Not Applicable</v>
        <stp/>
        <stp>##V3_BDPV12</stp>
        <stp>9888 HK Equity</stp>
        <stp>RR957</stp>
        <stp>[DPM - Securities Master List (BBG Linked).xlsx]Equities!R26C14</stp>
        <tr r="N26" s="2"/>
        <tr r="N26" s="2"/>
      </tp>
      <tp t="s">
        <v>#N/A Field Not Applicable</v>
        <stp/>
        <stp>##V3_BDPV12</stp>
        <stp>9888 HK Equity</stp>
        <stp>RR957</stp>
        <stp>[DPM - Securities Master List (BBG Linked).xlsx]Equities!R27C14</stp>
        <tr r="N27" s="2"/>
        <tr r="N27" s="2"/>
      </tp>
      <tp t="s">
        <v>#N/A Field Not Applicable</v>
        <stp/>
        <stp>##V3_BDPV12</stp>
        <stp>9888 HK Equity</stp>
        <stp>RR957</stp>
        <stp>[DPM - Securities Master List (BBG Linked).xlsx]Equities!R24C14</stp>
        <tr r="N24" s="2"/>
        <tr r="N24" s="2"/>
      </tp>
      <tp t="s">
        <v>#N/A Field Not Applicable</v>
        <stp/>
        <stp>##V3_BDPV12</stp>
        <stp>9888 HK Equity</stp>
        <stp>RR957</stp>
        <stp>[DPM - Securities Master List (BBG Linked).xlsx]Equities!R25C14</stp>
        <tr r="N25" s="2"/>
        <tr r="N25" s="2"/>
      </tp>
      <tp t="s">
        <v>#N/A Field Not Applicable</v>
        <stp/>
        <stp>##V3_BDPV12</stp>
        <stp>9888 HK Equity</stp>
        <stp>RR957</stp>
        <stp>[DPM - Securities Master List (BBG Linked).xlsx]Equities!R22C14</stp>
        <tr r="N22" s="2"/>
        <tr r="N22" s="2"/>
      </tp>
      <tp t="s">
        <v>#N/A Field Not Applicable</v>
        <stp/>
        <stp>##V3_BDPV12</stp>
        <stp>9888 HK Equity</stp>
        <stp>RR957</stp>
        <stp>[DPM - Securities Master List (BBG Linked).xlsx]Equities!R23C14</stp>
        <tr r="N23" s="2"/>
        <tr r="N23" s="2"/>
      </tp>
      <tp t="s">
        <v>#N/A Field Not Applicable</v>
        <stp/>
        <stp>##V3_BDPV12</stp>
        <stp>9888 HK Equity</stp>
        <stp>RR957</stp>
        <stp>[DPM - Securities Master List (BBG Linked).xlsx]Equities!R20C14</stp>
        <tr r="N20" s="2"/>
        <tr r="N20" s="2"/>
      </tp>
      <tp t="s">
        <v>#N/A Field Not Applicable</v>
        <stp/>
        <stp>##V3_BDPV12</stp>
        <stp>9888 HK Equity</stp>
        <stp>RR957</stp>
        <stp>[DPM - Securities Master List (BBG Linked).xlsx]Equities!R21C14</stp>
        <tr r="N21" s="2"/>
        <tr r="N21" s="2"/>
      </tp>
      <tp t="s">
        <v>#N/A Field Not Applicable</v>
        <stp/>
        <stp>##V3_BDPV12</stp>
        <stp>9888 HK Equity</stp>
        <stp>RR957</stp>
        <stp>[DPM - Securities Master List (BBG Linked).xlsx]Equities!R16C14</stp>
        <tr r="N16" s="2"/>
        <tr r="N16" s="2"/>
      </tp>
      <tp t="s">
        <v>#N/A Field Not Applicable</v>
        <stp/>
        <stp>##V3_BDPV12</stp>
        <stp>9888 HK Equity</stp>
        <stp>RR957</stp>
        <stp>[DPM - Securities Master List (BBG Linked).xlsx]Equities!R17C14</stp>
        <tr r="N17" s="2"/>
        <tr r="N17" s="2"/>
      </tp>
      <tp t="s">
        <v>#N/A Field Not Applicable</v>
        <stp/>
        <stp>##V3_BDPV12</stp>
        <stp>9888 HK Equity</stp>
        <stp>RR957</stp>
        <stp>[DPM - Securities Master List (BBG Linked).xlsx]Equities!R15C14</stp>
        <tr r="N15" s="2"/>
        <tr r="N15" s="2"/>
      </tp>
      <tp t="s">
        <v>#N/A Field Not Applicable</v>
        <stp/>
        <stp>##V3_BDPV12</stp>
        <stp>9888 HK Equity</stp>
        <stp>RR957</stp>
        <stp>[DPM - Securities Master List (BBG Linked).xlsx]Equities!R18C14</stp>
        <tr r="N18" s="2"/>
        <tr r="N18" s="2"/>
      </tp>
      <tp t="s">
        <v>#N/A Field Not Applicable</v>
        <stp/>
        <stp>##V3_BDPV12</stp>
        <stp>9888 HK Equity</stp>
        <stp>RR957</stp>
        <stp>[DPM - Securities Master List (BBG Linked).xlsx]Equities!R19C14</stp>
        <tr r="N19" s="2"/>
        <tr r="N19" s="2"/>
      </tp>
      <tp t="s">
        <v>#N/A Field Not Applicable</v>
        <stp/>
        <stp>##V3_BDPV12</stp>
        <stp>9888 HK Equity</stp>
        <stp>RR903</stp>
        <stp>[DPM - Securities Master List (BBG Linked).xlsx]Equities!R16C13</stp>
        <tr r="M16" s="2"/>
        <tr r="M16" s="2"/>
      </tp>
      <tp t="s">
        <v>#N/A Field Not Applicable</v>
        <stp/>
        <stp>##V3_BDPV12</stp>
        <stp>9888 HK Equity</stp>
        <stp>RR903</stp>
        <stp>[DPM - Securities Master List (BBG Linked).xlsx]Equities!R17C13</stp>
        <tr r="M17" s="2"/>
        <tr r="M17" s="2"/>
      </tp>
      <tp t="s">
        <v>#N/A Field Not Applicable</v>
        <stp/>
        <stp>##V3_BDPV12</stp>
        <stp>9888 HK Equity</stp>
        <stp>RR903</stp>
        <stp>[DPM - Securities Master List (BBG Linked).xlsx]Equities!R15C13</stp>
        <tr r="M15" s="2"/>
        <tr r="M15" s="2"/>
      </tp>
      <tp t="s">
        <v>#N/A Field Not Applicable</v>
        <stp/>
        <stp>##V3_BDPV12</stp>
        <stp>9888 HK Equity</stp>
        <stp>RR903</stp>
        <stp>[DPM - Securities Master List (BBG Linked).xlsx]Equities!R18C13</stp>
        <tr r="M18" s="2"/>
        <tr r="M18" s="2"/>
      </tp>
      <tp t="s">
        <v>#N/A Field Not Applicable</v>
        <stp/>
        <stp>##V3_BDPV12</stp>
        <stp>9888 HK Equity</stp>
        <stp>RR903</stp>
        <stp>[DPM - Securities Master List (BBG Linked).xlsx]Equities!R19C13</stp>
        <tr r="M19" s="2"/>
        <tr r="M19" s="2"/>
      </tp>
      <tp t="s">
        <v>#N/A Field Not Applicable</v>
        <stp/>
        <stp>##V3_BDPV12</stp>
        <stp>9888 HK Equity</stp>
        <stp>RR900</stp>
        <stp>[DPM - Securities Master List (BBG Linked).xlsx]Equities!R16C11</stp>
        <tr r="K16" s="2"/>
        <tr r="K16" s="2"/>
      </tp>
      <tp t="s">
        <v>#N/A Field Not Applicable</v>
        <stp/>
        <stp>##V3_BDPV12</stp>
        <stp>9888 HK Equity</stp>
        <stp>RR900</stp>
        <stp>[DPM - Securities Master List (BBG Linked).xlsx]Equities!R17C11</stp>
        <tr r="K17" s="2"/>
        <tr r="K17" s="2"/>
      </tp>
      <tp t="s">
        <v>#N/A Field Not Applicable</v>
        <stp/>
        <stp>##V3_BDPV12</stp>
        <stp>9888 HK Equity</stp>
        <stp>RR900</stp>
        <stp>[DPM - Securities Master List (BBG Linked).xlsx]Equities!R15C11</stp>
        <tr r="K15" s="2"/>
        <tr r="K15" s="2"/>
      </tp>
      <tp t="s">
        <v>#N/A Field Not Applicable</v>
        <stp/>
        <stp>##V3_BDPV12</stp>
        <stp>9888 HK Equity</stp>
        <stp>RR900</stp>
        <stp>[DPM - Securities Master List (BBG Linked).xlsx]Equities!R18C11</stp>
        <tr r="K18" s="2"/>
        <tr r="K18" s="2"/>
      </tp>
      <tp t="s">
        <v>#N/A Field Not Applicable</v>
        <stp/>
        <stp>##V3_BDPV12</stp>
        <stp>9888 HK Equity</stp>
        <stp>RR900</stp>
        <stp>[DPM - Securities Master List (BBG Linked).xlsx]Equities!R19C11</stp>
        <tr r="K19" s="2"/>
        <tr r="K19" s="2"/>
      </tp>
      <tp t="s">
        <v>#N/A Field Not Applicable</v>
        <stp/>
        <stp>##V3_BDPV12</stp>
        <stp>9888 HK Equity</stp>
        <stp>RR900</stp>
        <stp>[DPM - Securities Master List (BBG Linked).xlsx]Equities!R26C11</stp>
        <tr r="K26" s="2"/>
        <tr r="K26" s="2"/>
      </tp>
      <tp t="s">
        <v>#N/A Field Not Applicable</v>
        <stp/>
        <stp>##V3_BDPV12</stp>
        <stp>9888 HK Equity</stp>
        <stp>RR900</stp>
        <stp>[DPM - Securities Master List (BBG Linked).xlsx]Equities!R27C11</stp>
        <tr r="K27" s="2"/>
        <tr r="K27" s="2"/>
      </tp>
      <tp t="s">
        <v>#N/A Field Not Applicable</v>
        <stp/>
        <stp>##V3_BDPV12</stp>
        <stp>9888 HK Equity</stp>
        <stp>RR900</stp>
        <stp>[DPM - Securities Master List (BBG Linked).xlsx]Equities!R24C11</stp>
        <tr r="K24" s="2"/>
        <tr r="K24" s="2"/>
      </tp>
      <tp t="s">
        <v>#N/A Field Not Applicable</v>
        <stp/>
        <stp>##V3_BDPV12</stp>
        <stp>9888 HK Equity</stp>
        <stp>RR900</stp>
        <stp>[DPM - Securities Master List (BBG Linked).xlsx]Equities!R25C11</stp>
        <tr r="K25" s="2"/>
        <tr r="K25" s="2"/>
      </tp>
      <tp t="s">
        <v>#N/A Field Not Applicable</v>
        <stp/>
        <stp>##V3_BDPV12</stp>
        <stp>9888 HK Equity</stp>
        <stp>RR900</stp>
        <stp>[DPM - Securities Master List (BBG Linked).xlsx]Equities!R22C11</stp>
        <tr r="K22" s="2"/>
        <tr r="K22" s="2"/>
      </tp>
      <tp t="s">
        <v>#N/A Field Not Applicable</v>
        <stp/>
        <stp>##V3_BDPV12</stp>
        <stp>9888 HK Equity</stp>
        <stp>RR900</stp>
        <stp>[DPM - Securities Master List (BBG Linked).xlsx]Equities!R23C11</stp>
        <tr r="K23" s="2"/>
        <tr r="K23" s="2"/>
      </tp>
      <tp t="s">
        <v>#N/A Field Not Applicable</v>
        <stp/>
        <stp>##V3_BDPV12</stp>
        <stp>9888 HK Equity</stp>
        <stp>RR900</stp>
        <stp>[DPM - Securities Master List (BBG Linked).xlsx]Equities!R20C11</stp>
        <tr r="K20" s="2"/>
        <tr r="K20" s="2"/>
      </tp>
      <tp t="s">
        <v>#N/A Field Not Applicable</v>
        <stp/>
        <stp>##V3_BDPV12</stp>
        <stp>9888 HK Equity</stp>
        <stp>RR900</stp>
        <stp>[DPM - Securities Master List (BBG Linked).xlsx]Equities!R21C11</stp>
        <tr r="K21" s="2"/>
        <tr r="K21" s="2"/>
      </tp>
      <tp t="s">
        <v>#N/A Field Not Applicable</v>
        <stp/>
        <stp>##V3_BDPV12</stp>
        <stp>9888 HK Equity</stp>
        <stp>RR903</stp>
        <stp>[DPM - Securities Master List (BBG Linked).xlsx]Equities!R26C13</stp>
        <tr r="M26" s="2"/>
        <tr r="M26" s="2"/>
      </tp>
      <tp t="s">
        <v>#N/A Field Not Applicable</v>
        <stp/>
        <stp>##V3_BDPV12</stp>
        <stp>9888 HK Equity</stp>
        <stp>RR903</stp>
        <stp>[DPM - Securities Master List (BBG Linked).xlsx]Equities!R27C13</stp>
        <tr r="M27" s="2"/>
        <tr r="M27" s="2"/>
      </tp>
      <tp t="s">
        <v>#N/A Field Not Applicable</v>
        <stp/>
        <stp>##V3_BDPV12</stp>
        <stp>9888 HK Equity</stp>
        <stp>RR903</stp>
        <stp>[DPM - Securities Master List (BBG Linked).xlsx]Equities!R24C13</stp>
        <tr r="M24" s="2"/>
        <tr r="M24" s="2"/>
      </tp>
      <tp t="s">
        <v>#N/A Field Not Applicable</v>
        <stp/>
        <stp>##V3_BDPV12</stp>
        <stp>9888 HK Equity</stp>
        <stp>RR903</stp>
        <stp>[DPM - Securities Master List (BBG Linked).xlsx]Equities!R25C13</stp>
        <tr r="M25" s="2"/>
        <tr r="M25" s="2"/>
      </tp>
      <tp t="s">
        <v>#N/A Field Not Applicable</v>
        <stp/>
        <stp>##V3_BDPV12</stp>
        <stp>9888 HK Equity</stp>
        <stp>RR903</stp>
        <stp>[DPM - Securities Master List (BBG Linked).xlsx]Equities!R22C13</stp>
        <tr r="M22" s="2"/>
        <tr r="M22" s="2"/>
      </tp>
      <tp t="s">
        <v>#N/A Field Not Applicable</v>
        <stp/>
        <stp>##V3_BDPV12</stp>
        <stp>9888 HK Equity</stp>
        <stp>RR903</stp>
        <stp>[DPM - Securities Master List (BBG Linked).xlsx]Equities!R23C13</stp>
        <tr r="M23" s="2"/>
        <tr r="M23" s="2"/>
      </tp>
      <tp t="s">
        <v>#N/A Field Not Applicable</v>
        <stp/>
        <stp>##V3_BDPV12</stp>
        <stp>9888 HK Equity</stp>
        <stp>RR903</stp>
        <stp>[DPM - Securities Master List (BBG Linked).xlsx]Equities!R20C13</stp>
        <tr r="M20" s="2"/>
        <tr r="M20" s="2"/>
      </tp>
      <tp t="s">
        <v>#N/A Field Not Applicable</v>
        <stp/>
        <stp>##V3_BDPV12</stp>
        <stp>9888 HK Equity</stp>
        <stp>RR903</stp>
        <stp>[DPM - Securities Master List (BBG Linked).xlsx]Equities!R21C13</stp>
        <tr r="M21" s="2"/>
        <tr r="M21" s="2"/>
      </tp>
      <tp t="s">
        <v>#N/A Field Not Applicable</v>
        <stp/>
        <stp>##V3_BDPV12</stp>
        <stp>9888 HK Equity</stp>
        <stp>RR908</stp>
        <stp>[DPM - Securities Master List (BBG Linked).xlsx]Equities!R26C32</stp>
        <tr r="AF26" s="2"/>
        <tr r="AF26" s="2"/>
      </tp>
      <tp t="s">
        <v>#N/A Field Not Applicable</v>
        <stp/>
        <stp>##V3_BDPV12</stp>
        <stp>9888 HK Equity</stp>
        <stp>RR908</stp>
        <stp>[DPM - Securities Master List (BBG Linked).xlsx]Equities!R27C32</stp>
        <tr r="AF27" s="2"/>
        <tr r="AF27" s="2"/>
      </tp>
      <tp t="s">
        <v>#N/A Field Not Applicable</v>
        <stp/>
        <stp>##V3_BDPV12</stp>
        <stp>9888 HK Equity</stp>
        <stp>RR908</stp>
        <stp>[DPM - Securities Master List (BBG Linked).xlsx]Equities!R24C32</stp>
        <tr r="AF24" s="2"/>
        <tr r="AF24" s="2"/>
      </tp>
      <tp t="s">
        <v>#N/A Field Not Applicable</v>
        <stp/>
        <stp>##V3_BDPV12</stp>
        <stp>9888 HK Equity</stp>
        <stp>RR908</stp>
        <stp>[DPM - Securities Master List (BBG Linked).xlsx]Equities!R25C32</stp>
        <tr r="AF25" s="2"/>
        <tr r="AF25" s="2"/>
      </tp>
      <tp t="s">
        <v>#N/A Field Not Applicable</v>
        <stp/>
        <stp>##V3_BDPV12</stp>
        <stp>9888 HK Equity</stp>
        <stp>RR908</stp>
        <stp>[DPM - Securities Master List (BBG Linked).xlsx]Equities!R22C32</stp>
        <tr r="AF22" s="2"/>
        <tr r="AF22" s="2"/>
      </tp>
      <tp t="s">
        <v>#N/A Field Not Applicable</v>
        <stp/>
        <stp>##V3_BDPV12</stp>
        <stp>9888 HK Equity</stp>
        <stp>RR908</stp>
        <stp>[DPM - Securities Master List (BBG Linked).xlsx]Equities!R23C32</stp>
        <tr r="AF23" s="2"/>
        <tr r="AF23" s="2"/>
      </tp>
      <tp t="s">
        <v>#N/A Field Not Applicable</v>
        <stp/>
        <stp>##V3_BDPV12</stp>
        <stp>9888 HK Equity</stp>
        <stp>RR908</stp>
        <stp>[DPM - Securities Master List (BBG Linked).xlsx]Equities!R20C32</stp>
        <tr r="AF20" s="2"/>
        <tr r="AF20" s="2"/>
      </tp>
      <tp t="s">
        <v>#N/A Field Not Applicable</v>
        <stp/>
        <stp>##V3_BDPV12</stp>
        <stp>9888 HK Equity</stp>
        <stp>RR908</stp>
        <stp>[DPM - Securities Master List (BBG Linked).xlsx]Equities!R21C32</stp>
        <tr r="AF21" s="2"/>
        <tr r="AF21" s="2"/>
      </tp>
      <tp t="s">
        <v>#N/A Field Not Applicable</v>
        <stp/>
        <stp>##V3_BDPV12</stp>
        <stp>9888 HK Equity</stp>
        <stp>RR908</stp>
        <stp>[DPM - Securities Master List (BBG Linked).xlsx]Equities!R16C32</stp>
        <tr r="AF16" s="2"/>
        <tr r="AF16" s="2"/>
      </tp>
      <tp t="s">
        <v>#N/A Field Not Applicable</v>
        <stp/>
        <stp>##V3_BDPV12</stp>
        <stp>9888 HK Equity</stp>
        <stp>RR908</stp>
        <stp>[DPM - Securities Master List (BBG Linked).xlsx]Equities!R17C32</stp>
        <tr r="AF17" s="2"/>
        <tr r="AF17" s="2"/>
      </tp>
      <tp t="s">
        <v>#N/A Field Not Applicable</v>
        <stp/>
        <stp>##V3_BDPV12</stp>
        <stp>9888 HK Equity</stp>
        <stp>RR908</stp>
        <stp>[DPM - Securities Master List (BBG Linked).xlsx]Equities!R15C32</stp>
        <tr r="AF15" s="2"/>
        <tr r="AF15" s="2"/>
      </tp>
      <tp t="s">
        <v>#N/A Field Not Applicable</v>
        <stp/>
        <stp>##V3_BDPV12</stp>
        <stp>9888 HK Equity</stp>
        <stp>RR908</stp>
        <stp>[DPM - Securities Master List (BBG Linked).xlsx]Equities!R18C32</stp>
        <tr r="AF18" s="2"/>
        <tr r="AF18" s="2"/>
      </tp>
      <tp t="s">
        <v>#N/A Field Not Applicable</v>
        <stp/>
        <stp>##V3_BDPV12</stp>
        <stp>9888 HK Equity</stp>
        <stp>RR908</stp>
        <stp>[DPM - Securities Master List (BBG Linked).xlsx]Equities!R19C32</stp>
        <tr r="AF19" s="2"/>
        <tr r="AF19" s="2"/>
      </tp>
    </main>
    <main first="bofaddin.rtdserver">
      <tp t="e">
        <v>#N/A</v>
        <stp/>
        <stp>BDP|8052857551141772796</stp>
        <tr r="AA107" s="1"/>
      </tp>
      <tp t="e">
        <v>#N/A</v>
        <stp/>
        <stp>BDP|5089720036306656488</stp>
        <tr r="AK25" s="1"/>
        <tr r="AK25" s="1"/>
        <tr r="AK25" s="1"/>
        <tr r="AK75" s="1"/>
        <tr r="AK75" s="1"/>
        <tr r="AK75" s="1"/>
        <tr r="AK117" s="1"/>
        <tr r="AK117" s="1"/>
        <tr r="AK117" s="1"/>
        <tr r="AK40" s="1"/>
        <tr r="AK40" s="1"/>
        <tr r="AK40" s="1"/>
        <tr r="AK4" s="1"/>
        <tr r="AK4" s="1"/>
        <tr r="AK4" s="1"/>
        <tr r="AK60" s="1"/>
        <tr r="AK60" s="1"/>
        <tr r="AK60" s="1"/>
        <tr r="AK97" s="1"/>
        <tr r="AK97" s="1"/>
        <tr r="AK97" s="1"/>
        <tr r="AK163" s="1"/>
        <tr r="AK163" s="1"/>
        <tr r="AK163" s="1"/>
      </tp>
      <tp t="e">
        <v>#N/A</v>
        <stp/>
        <stp>BDP|7826288335811900478</stp>
        <tr r="E32" s="1"/>
      </tp>
      <tp t="e">
        <v>#N/A</v>
        <stp/>
        <stp>BDP|7581034363047809561</stp>
        <tr r="AQ9" s="3"/>
        <tr r="AQ9" s="3"/>
        <tr r="AQ9" s="3"/>
        <tr r="AQ8" s="3"/>
        <tr r="AQ8" s="3"/>
        <tr r="AQ8" s="3"/>
        <tr r="AQ7" s="3"/>
        <tr r="AQ7" s="3"/>
        <tr r="AQ7" s="3"/>
        <tr r="AQ6" s="3"/>
        <tr r="AQ6" s="3"/>
        <tr r="AQ6" s="3"/>
        <tr r="AQ5" s="3"/>
        <tr r="AQ5" s="3"/>
        <tr r="AQ5" s="3"/>
        <tr r="AQ4" s="3"/>
        <tr r="AQ4" s="3"/>
        <tr r="AQ4" s="3"/>
        <tr r="AQ3" s="3"/>
        <tr r="AQ3" s="3"/>
        <tr r="AQ3" s="3"/>
        <tr r="AQ15" s="3"/>
        <tr r="AQ15" s="3"/>
        <tr r="AQ15" s="3"/>
        <tr r="AQ14" s="3"/>
        <tr r="AQ14" s="3"/>
        <tr r="AQ14" s="3"/>
        <tr r="AQ13" s="3"/>
        <tr r="AQ13" s="3"/>
        <tr r="AQ13" s="3"/>
        <tr r="AQ12" s="3"/>
        <tr r="AQ12" s="3"/>
        <tr r="AQ12" s="3"/>
        <tr r="AQ11" s="3"/>
        <tr r="AQ11" s="3"/>
        <tr r="AQ11" s="3"/>
        <tr r="AQ10" s="3"/>
        <tr r="AQ10" s="3"/>
        <tr r="AQ10" s="3"/>
      </tp>
      <tp t="e">
        <v>#N/A</v>
        <stp/>
        <stp>BDP|3333084483850719842</stp>
        <tr r="X15" s="1"/>
        <tr r="X109" s="1"/>
      </tp>
      <tp t="e">
        <v>#N/A</v>
        <stp/>
        <stp>BDP|2035398658025383297</stp>
        <tr r="AO13" s="1"/>
      </tp>
      <tp t="e">
        <v>#N/A</v>
        <stp/>
        <stp>BDP|1088676423374424284</stp>
        <tr r="AE34" s="3"/>
        <tr r="AE34" s="3"/>
        <tr r="AE34" s="3"/>
        <tr r="AE33" s="3"/>
        <tr r="AE33" s="3"/>
        <tr r="AE33" s="3"/>
        <tr r="AE32" s="3"/>
        <tr r="AE32" s="3"/>
        <tr r="AE32" s="3"/>
        <tr r="AE31" s="3"/>
        <tr r="AE31" s="3"/>
        <tr r="AE31" s="3"/>
        <tr r="AE30" s="3"/>
        <tr r="AE30" s="3"/>
        <tr r="AE30" s="3"/>
        <tr r="AE29" s="3"/>
        <tr r="AE29" s="3"/>
        <tr r="AE29" s="3"/>
        <tr r="AE28" s="3"/>
        <tr r="AE28" s="3"/>
        <tr r="AE28" s="3"/>
        <tr r="AE27" s="3"/>
        <tr r="AE27" s="3"/>
        <tr r="AE27" s="3"/>
        <tr r="AE26" s="3"/>
        <tr r="AE26" s="3"/>
        <tr r="AE26" s="3"/>
        <tr r="AE25" s="3"/>
        <tr r="AE25" s="3"/>
        <tr r="AE25" s="3"/>
        <tr r="AE24" s="3"/>
        <tr r="AE24" s="3"/>
        <tr r="AE24" s="3"/>
        <tr r="AE23" s="3"/>
        <tr r="AE23" s="3"/>
        <tr r="AE23" s="3"/>
        <tr r="AE22" s="3"/>
        <tr r="AE22" s="3"/>
        <tr r="AE22" s="3"/>
        <tr r="AE21" s="3"/>
        <tr r="AE21" s="3"/>
        <tr r="AE21" s="3"/>
        <tr r="AE20" s="3"/>
        <tr r="AE20" s="3"/>
        <tr r="AE20" s="3"/>
        <tr r="AE19" s="3"/>
        <tr r="AE19" s="3"/>
        <tr r="AE19" s="3"/>
        <tr r="AE18" s="3"/>
        <tr r="AE18" s="3"/>
        <tr r="AE18" s="3"/>
        <tr r="AE17" s="3"/>
        <tr r="AE17" s="3"/>
        <tr r="AE17" s="3"/>
      </tp>
      <tp t="e">
        <v>#N/A</v>
        <stp/>
        <stp>BDP|4677714613026536792</stp>
        <tr r="Y85" s="1"/>
      </tp>
      <tp t="e">
        <v>#N/A</v>
        <stp/>
        <stp>BDP|7951157971160137244</stp>
        <tr r="AQ34" s="3"/>
        <tr r="AQ34" s="3"/>
        <tr r="AQ34" s="3"/>
        <tr r="AQ33" s="3"/>
        <tr r="AQ33" s="3"/>
        <tr r="AQ33" s="3"/>
        <tr r="AQ32" s="3"/>
        <tr r="AQ32" s="3"/>
        <tr r="AQ32" s="3"/>
        <tr r="AQ31" s="3"/>
        <tr r="AQ31" s="3"/>
        <tr r="AQ31" s="3"/>
        <tr r="AQ30" s="3"/>
        <tr r="AQ30" s="3"/>
        <tr r="AQ30" s="3"/>
        <tr r="AQ29" s="3"/>
        <tr r="AQ29" s="3"/>
        <tr r="AQ29" s="3"/>
        <tr r="AQ28" s="3"/>
        <tr r="AQ28" s="3"/>
        <tr r="AQ28" s="3"/>
        <tr r="AQ27" s="3"/>
        <tr r="AQ27" s="3"/>
        <tr r="AQ27" s="3"/>
        <tr r="AQ26" s="3"/>
        <tr r="AQ26" s="3"/>
        <tr r="AQ26" s="3"/>
        <tr r="AQ25" s="3"/>
        <tr r="AQ25" s="3"/>
        <tr r="AQ25" s="3"/>
        <tr r="AQ24" s="3"/>
        <tr r="AQ24" s="3"/>
        <tr r="AQ24" s="3"/>
        <tr r="AQ23" s="3"/>
        <tr r="AQ23" s="3"/>
        <tr r="AQ23" s="3"/>
        <tr r="AQ22" s="3"/>
        <tr r="AQ22" s="3"/>
        <tr r="AQ22" s="3"/>
        <tr r="AQ21" s="3"/>
        <tr r="AQ21" s="3"/>
        <tr r="AQ21" s="3"/>
        <tr r="AQ20" s="3"/>
        <tr r="AQ20" s="3"/>
        <tr r="AQ20" s="3"/>
        <tr r="AQ19" s="3"/>
        <tr r="AQ19" s="3"/>
        <tr r="AQ19" s="3"/>
        <tr r="AQ18" s="3"/>
        <tr r="AQ18" s="3"/>
        <tr r="AQ18" s="3"/>
        <tr r="AQ17" s="3"/>
        <tr r="AQ17" s="3"/>
        <tr r="AQ17" s="3"/>
      </tp>
      <tp t="e">
        <v>#N/A</v>
        <stp/>
        <stp>BDP|6967041185514710974</stp>
        <tr r="V113" s="1"/>
      </tp>
      <tp t="e">
        <v>#N/A</v>
        <stp/>
        <stp>BDP|5263967142512613982</stp>
        <tr r="AL16" s="3"/>
        <tr r="AL16" s="3"/>
        <tr r="AL16" s="3"/>
      </tp>
      <tp t="e">
        <v>#N/A</v>
        <stp/>
        <stp>BDP|1059900785270425392</stp>
        <tr r="X88" s="1"/>
      </tp>
      <tp t="e">
        <v>#N/A</v>
        <stp/>
        <stp>BDP|6742802987052854719</stp>
        <tr r="K80" s="1"/>
        <tr r="K58" s="1"/>
        <tr r="K28" s="1"/>
        <tr r="K161" s="1"/>
        <tr r="K121" s="1"/>
        <tr r="K10" s="1"/>
      </tp>
      <tp t="e">
        <v>#N/A</v>
        <stp/>
        <stp>BDP|4905593997563739897</stp>
        <tr r="X35" s="1"/>
        <tr r="X24" s="1"/>
        <tr r="X153" s="1"/>
      </tp>
      <tp t="e">
        <v>#N/A</v>
        <stp/>
        <stp>BDP|5219598116893672123</stp>
        <tr r="AS52" s="1"/>
      </tp>
      <tp t="e">
        <v>#N/A</v>
        <stp/>
        <stp>BDP|6409849468562297930</stp>
        <tr r="AL53" s="1"/>
        <tr r="AL62" s="1"/>
        <tr r="AL45" s="1"/>
        <tr r="AL115" s="1"/>
      </tp>
      <tp t="e">
        <v>#N/A</v>
        <stp/>
        <stp>BDP|8250685997964797034</stp>
        <tr r="AJ130" s="1"/>
        <tr r="AJ130" s="1"/>
      </tp>
      <tp t="e">
        <v>#N/A</v>
        <stp/>
        <stp>BDP|1409584339314285097</stp>
        <tr r="M115" s="1"/>
        <tr r="M115" s="1"/>
        <tr r="M45" s="1"/>
        <tr r="M45" s="1"/>
        <tr r="M53" s="1"/>
        <tr r="M53" s="1"/>
        <tr r="M62" s="1"/>
        <tr r="M62" s="1"/>
      </tp>
      <tp t="e">
        <v>#N/A</v>
        <stp/>
        <stp>BDP|3913005172712299571</stp>
        <tr r="K47" s="1"/>
      </tp>
      <tp t="e">
        <v>#N/A</v>
        <stp/>
        <stp>BDP|7984928644179420053</stp>
        <tr r="Q64" s="1"/>
      </tp>
      <tp t="e">
        <v>#N/A</v>
        <stp/>
        <stp>BDP|9001391690318064877</stp>
        <tr r="AK15" s="1"/>
        <tr r="AK15" s="1"/>
        <tr r="AK15" s="1"/>
        <tr r="AK109" s="1"/>
        <tr r="AK109" s="1"/>
        <tr r="AK109" s="1"/>
      </tp>
      <tp t="e">
        <v>#N/A</v>
        <stp/>
        <stp>BDP|2866542104055109170</stp>
        <tr r="AE95" s="1"/>
        <tr r="AE71" s="1"/>
      </tp>
      <tp t="e">
        <v>#N/A</v>
        <stp/>
        <stp>BDP|5840739732554505633</stp>
        <tr r="AH102" s="3"/>
        <tr r="AH102" s="3"/>
        <tr r="AH102" s="3"/>
        <tr r="AH101" s="3"/>
        <tr r="AH101" s="3"/>
        <tr r="AH101" s="3"/>
        <tr r="AH100" s="3"/>
        <tr r="AH100" s="3"/>
        <tr r="AH100" s="3"/>
      </tp>
      <tp t="e">
        <v>#N/A</v>
        <stp/>
        <stp>BDP|2584493971026013421</stp>
        <tr r="AG64" s="3"/>
        <tr r="AG64" s="3"/>
        <tr r="AG64" s="3"/>
      </tp>
      <tp t="e">
        <v>#N/A</v>
        <stp/>
        <stp>BDP|2512622039620981480</stp>
        <tr r="H150" s="1"/>
        <tr r="H150" s="1"/>
        <tr r="H122" s="1"/>
        <tr r="H122" s="1"/>
      </tp>
      <tp t="e">
        <v>#N/A</v>
        <stp/>
        <stp>BDP|1254783678841920349</stp>
        <tr r="Z143" s="1"/>
        <tr r="Z127" s="1"/>
      </tp>
      <tp t="e">
        <v>#N/A</v>
        <stp/>
        <stp>BDP|8053262184398895964</stp>
        <tr r="AJ126" s="1"/>
        <tr r="AJ126" s="1"/>
      </tp>
      <tp t="e">
        <v>#N/A</v>
        <stp/>
        <stp>BDP|7045691964573751769</stp>
        <tr r="AT139" s="1"/>
        <tr r="AT129" s="1"/>
      </tp>
      <tp t="e">
        <v>#N/A</v>
        <stp/>
        <stp>BDP|8045420478861187977</stp>
        <tr r="L119" s="3"/>
        <tr r="L118" s="3"/>
        <tr r="L117" s="3"/>
        <tr r="L116" s="3"/>
      </tp>
      <tp t="e">
        <v>#N/A</v>
        <stp/>
        <stp>BDP|7144136448868663908</stp>
        <tr r="AT86" s="1"/>
        <tr r="AT133" s="1"/>
      </tp>
      <tp t="e">
        <v>#N/A</v>
        <stp/>
        <stp>BDP|1258344171266312085</stp>
        <tr r="Q88" s="1"/>
      </tp>
      <tp t="e">
        <v>#N/A</v>
        <stp/>
        <stp>BDP|8485482280467808088</stp>
        <tr r="V88" s="1"/>
      </tp>
      <tp t="e">
        <v>#N/A</v>
        <stp/>
        <stp>BDP|7238733599798704229</stp>
        <tr r="H83" s="1"/>
        <tr r="H83" s="1"/>
        <tr r="H50" s="1"/>
        <tr r="H50" s="1"/>
      </tp>
      <tp t="e">
        <v>#N/A</v>
        <stp/>
        <stp>BDP|1178732735802833420</stp>
        <tr r="AA91" s="1"/>
        <tr r="AA76" s="1"/>
        <tr r="AA55" s="1"/>
        <tr r="AA48" s="1"/>
        <tr r="AA26" s="1"/>
        <tr r="AA157" s="1"/>
        <tr r="AA142" s="1"/>
        <tr r="AA132" s="1"/>
        <tr r="AA120" s="1"/>
        <tr r="AA100" s="1"/>
      </tp>
      <tp t="e">
        <v>#N/A</v>
        <stp/>
        <stp>BDP|2571427523171830612</stp>
        <tr r="Z88" s="1"/>
      </tp>
      <tp t="e">
        <v>#N/A</v>
        <stp/>
        <stp>BDP|3575364559107268157</stp>
        <tr r="AG72" s="3"/>
        <tr r="AG72" s="3"/>
        <tr r="AG72" s="3"/>
        <tr r="AG71" s="3"/>
        <tr r="AG71" s="3"/>
        <tr r="AG71" s="3"/>
        <tr r="AG70" s="3"/>
        <tr r="AG70" s="3"/>
        <tr r="AG70" s="3"/>
        <tr r="AG69" s="3"/>
        <tr r="AG69" s="3"/>
        <tr r="AG69" s="3"/>
        <tr r="AG68" s="3"/>
        <tr r="AG68" s="3"/>
        <tr r="AG68" s="3"/>
        <tr r="AG67" s="3"/>
        <tr r="AG67" s="3"/>
        <tr r="AG67" s="3"/>
        <tr r="AG66" s="3"/>
        <tr r="AG66" s="3"/>
        <tr r="AG66" s="3"/>
        <tr r="AG65" s="3"/>
        <tr r="AG65" s="3"/>
        <tr r="AG65" s="3"/>
      </tp>
      <tp t="e">
        <v>#N/A</v>
        <stp/>
        <stp>BDP|4843401630119160944</stp>
        <tr r="H87" s="1"/>
        <tr r="H87" s="1"/>
      </tp>
      <tp t="e">
        <v>#N/A</v>
        <stp/>
        <stp>BDP|2625084308384561513</stp>
        <tr r="E139" s="1"/>
        <tr r="E129" s="1"/>
      </tp>
      <tp t="e">
        <v>#N/A</v>
        <stp/>
        <stp>BDP|2931781401400653641</stp>
        <tr r="AA80" s="1"/>
        <tr r="AA58" s="1"/>
        <tr r="AA28" s="1"/>
        <tr r="AA161" s="1"/>
        <tr r="AA121" s="1"/>
        <tr r="AA10" s="1"/>
      </tp>
      <tp t="e">
        <v>#N/A</v>
        <stp/>
        <stp>BDP|5856650118131324044</stp>
        <tr r="Q78" s="3"/>
        <tr r="Q77" s="3"/>
        <tr r="Q76" s="3"/>
        <tr r="Q75" s="3"/>
        <tr r="Q74" s="3"/>
        <tr r="Q73" s="3"/>
      </tp>
      <tp t="e">
        <v>#N/A</v>
        <stp/>
        <stp>BDP|2339238571783590763</stp>
        <tr r="AJ88" s="1"/>
        <tr r="AJ88" s="1"/>
      </tp>
      <tp t="e">
        <v>#N/A</v>
        <stp/>
        <stp>BDP|3812452589378542425</stp>
        <tr r="AU103" s="1"/>
        <tr r="AU103" s="1"/>
        <tr r="AU103" s="1"/>
      </tp>
      <tp t="e">
        <v>#N/A</v>
        <stp/>
        <stp>BDP|8586929336488732957</stp>
        <tr r="AE7" s="1"/>
        <tr r="AE14" s="1"/>
        <tr r="AE108" s="1"/>
      </tp>
      <tp t="e">
        <v>#N/A</v>
        <stp/>
        <stp>BDP|3047662457764627746</stp>
        <tr r="W89" s="1"/>
        <tr r="W81" s="1"/>
        <tr r="W59" s="1"/>
        <tr r="W41" s="1"/>
        <tr r="W37" s="1"/>
        <tr r="W29" s="1"/>
        <tr r="W164" s="1"/>
        <tr r="W135" s="1"/>
      </tp>
      <tp t="e">
        <v>#N/A</v>
        <stp/>
        <stp>BDP|4245944054688077317</stp>
        <tr r="AO117" s="1"/>
        <tr r="AO60" s="1"/>
        <tr r="AO163" s="1"/>
        <tr r="AO40" s="1"/>
        <tr r="AO4" s="1"/>
        <tr r="AO25" s="1"/>
        <tr r="AO75" s="1"/>
        <tr r="AO97" s="1"/>
      </tp>
      <tp t="e">
        <v>#N/A</v>
        <stp/>
        <stp>BDP|6053374946963036115</stp>
        <tr r="AU96" s="1"/>
        <tr r="AU96" s="1"/>
        <tr r="AU96" s="1"/>
        <tr r="AU77" s="1"/>
        <tr r="AU77" s="1"/>
        <tr r="AU77" s="1"/>
        <tr r="AU65" s="1"/>
        <tr r="AU65" s="1"/>
        <tr r="AU65" s="1"/>
        <tr r="AU36" s="1"/>
        <tr r="AU36" s="1"/>
        <tr r="AU36" s="1"/>
        <tr r="AU27" s="1"/>
        <tr r="AU27" s="1"/>
        <tr r="AU27" s="1"/>
        <tr r="AU162" s="1"/>
        <tr r="AU162" s="1"/>
        <tr r="AU162" s="1"/>
      </tp>
      <tp t="e">
        <v>#N/A</v>
        <stp/>
        <stp>BDP|2658943884514100470</stp>
        <tr r="W113" s="1"/>
      </tp>
      <tp t="e">
        <v>#N/A</v>
        <stp/>
        <stp>BDP|3226649626956881288</stp>
        <tr r="Q82" s="1"/>
        <tr r="Q39" s="1"/>
        <tr r="Q22" s="1"/>
        <tr r="Q167" s="1"/>
      </tp>
      <tp t="e">
        <v>#N/A</v>
        <stp/>
        <stp>BDP|8237989773041090491</stp>
        <tr r="N72" s="3"/>
        <tr r="N72" s="3"/>
        <tr r="N72" s="3"/>
        <tr r="N71" s="3"/>
        <tr r="N71" s="3"/>
        <tr r="N71" s="3"/>
        <tr r="N70" s="3"/>
        <tr r="N70" s="3"/>
        <tr r="N70" s="3"/>
        <tr r="N69" s="3"/>
        <tr r="N69" s="3"/>
        <tr r="N69" s="3"/>
        <tr r="N68" s="3"/>
        <tr r="N68" s="3"/>
        <tr r="N68" s="3"/>
        <tr r="N67" s="3"/>
        <tr r="N67" s="3"/>
        <tr r="N67" s="3"/>
        <tr r="N66" s="3"/>
        <tr r="N66" s="3"/>
        <tr r="N66" s="3"/>
        <tr r="N65" s="3"/>
        <tr r="N65" s="3"/>
        <tr r="N65" s="3"/>
      </tp>
      <tp t="e">
        <v>#N/A</v>
        <stp/>
        <stp>BDP|3320572929054442396</stp>
        <tr r="M46" s="1"/>
        <tr r="M46" s="1"/>
        <tr r="M144" s="1"/>
        <tr r="M144" s="1"/>
        <tr r="M134" s="1"/>
        <tr r="M134" s="1"/>
      </tp>
      <tp t="e">
        <v>#N/A</v>
        <stp/>
        <stp>BDP|1206047733812136348</stp>
        <tr r="AS51" s="1"/>
      </tp>
      <tp t="e">
        <v>#N/A</v>
        <stp/>
        <stp>BDP|3418669174168085967</stp>
        <tr r="AS80" s="1"/>
        <tr r="AS58" s="1"/>
        <tr r="AS28" s="1"/>
        <tr r="AS161" s="1"/>
        <tr r="AS121" s="1"/>
        <tr r="AS10" s="1"/>
        <tr r="L80" s="1"/>
        <tr r="L80" s="1"/>
        <tr r="L58" s="1"/>
        <tr r="L58" s="1"/>
        <tr r="L28" s="1"/>
        <tr r="L28" s="1"/>
        <tr r="L161" s="1"/>
        <tr r="L161" s="1"/>
        <tr r="L121" s="1"/>
        <tr r="L121" s="1"/>
        <tr r="L10" s="1"/>
        <tr r="L10" s="1"/>
      </tp>
      <tp t="e">
        <v>#N/A</v>
        <stp/>
        <stp>BDP|5598647538255874603</stp>
        <tr r="X66" s="1"/>
        <tr r="X49" s="1"/>
        <tr r="X42" s="1"/>
      </tp>
      <tp t="e">
        <v>#N/A</v>
        <stp/>
        <stp>BDP|8823854078844663025</stp>
        <tr r="H8" s="1"/>
        <tr r="H8" s="1"/>
        <tr r="H106" s="1"/>
        <tr r="H106" s="1"/>
      </tp>
      <tp t="e">
        <v>#N/A</v>
        <stp/>
        <stp>BDP|8224957813883535003</stp>
        <tr r="AM111" s="3"/>
        <tr r="AM111" s="3"/>
        <tr r="AM111" s="3"/>
        <tr r="AM110" s="3"/>
        <tr r="AM110" s="3"/>
        <tr r="AM110" s="3"/>
        <tr r="AM109" s="3"/>
        <tr r="AM109" s="3"/>
        <tr r="AM109" s="3"/>
        <tr r="AM108" s="3"/>
        <tr r="AM108" s="3"/>
        <tr r="AM108" s="3"/>
        <tr r="AM107" s="3"/>
        <tr r="AM107" s="3"/>
        <tr r="AM107" s="3"/>
        <tr r="AM106" s="3"/>
        <tr r="AM106" s="3"/>
        <tr r="AM106" s="3"/>
        <tr r="AM105" s="3"/>
        <tr r="AM105" s="3"/>
        <tr r="AM105" s="3"/>
        <tr r="AM104" s="3"/>
        <tr r="AM104" s="3"/>
        <tr r="AM104" s="3"/>
      </tp>
      <tp t="e">
        <v>#N/A</v>
        <stp/>
        <stp>BDP|1647459193348251736</stp>
        <tr r="AD119" s="3"/>
        <tr r="AD119" s="3"/>
        <tr r="AD119" s="3"/>
        <tr r="AD118" s="3"/>
        <tr r="AD118" s="3"/>
        <tr r="AD118" s="3"/>
        <tr r="AD117" s="3"/>
        <tr r="AD117" s="3"/>
        <tr r="AD117" s="3"/>
        <tr r="AD116" s="3"/>
        <tr r="AD116" s="3"/>
        <tr r="AD116" s="3"/>
      </tp>
      <tp t="e">
        <v>#N/A</v>
        <stp/>
        <stp>BDP|3793736577890590070</stp>
        <tr r="AT34" s="3"/>
        <tr r="AT34" s="3"/>
        <tr r="AT34" s="3"/>
        <tr r="AT33" s="3"/>
        <tr r="AT33" s="3"/>
        <tr r="AT33" s="3"/>
        <tr r="AT32" s="3"/>
        <tr r="AT32" s="3"/>
        <tr r="AT32" s="3"/>
        <tr r="AT31" s="3"/>
        <tr r="AT31" s="3"/>
        <tr r="AT31" s="3"/>
        <tr r="AT30" s="3"/>
        <tr r="AT30" s="3"/>
        <tr r="AT30" s="3"/>
        <tr r="AT29" s="3"/>
        <tr r="AT29" s="3"/>
        <tr r="AT29" s="3"/>
        <tr r="AT28" s="3"/>
        <tr r="AT28" s="3"/>
        <tr r="AT28" s="3"/>
        <tr r="AT27" s="3"/>
        <tr r="AT27" s="3"/>
        <tr r="AT27" s="3"/>
        <tr r="AT26" s="3"/>
        <tr r="AT26" s="3"/>
        <tr r="AT26" s="3"/>
        <tr r="AT25" s="3"/>
        <tr r="AT25" s="3"/>
        <tr r="AT25" s="3"/>
        <tr r="AT24" s="3"/>
        <tr r="AT24" s="3"/>
        <tr r="AT24" s="3"/>
        <tr r="AT23" s="3"/>
        <tr r="AT23" s="3"/>
        <tr r="AT23" s="3"/>
        <tr r="AT22" s="3"/>
        <tr r="AT22" s="3"/>
        <tr r="AT22" s="3"/>
        <tr r="AT21" s="3"/>
        <tr r="AT21" s="3"/>
        <tr r="AT21" s="3"/>
        <tr r="AT20" s="3"/>
        <tr r="AT20" s="3"/>
        <tr r="AT20" s="3"/>
        <tr r="AT19" s="3"/>
        <tr r="AT19" s="3"/>
        <tr r="AT19" s="3"/>
        <tr r="AT18" s="3"/>
        <tr r="AT18" s="3"/>
        <tr r="AT18" s="3"/>
        <tr r="AT17" s="3"/>
        <tr r="AT17" s="3"/>
        <tr r="AT17" s="3"/>
      </tp>
      <tp t="e">
        <v>#N/A</v>
        <stp/>
        <stp>BDP|7655611102393592110</stp>
        <tr r="V90" s="1"/>
      </tp>
      <tp t="e">
        <v>#N/A</v>
        <stp/>
        <stp>BDP|1861091701947197506</stp>
        <tr r="AM34" s="1"/>
        <tr r="AM34" s="1"/>
        <tr r="AM156" s="1"/>
        <tr r="AM156" s="1"/>
      </tp>
      <tp t="e">
        <v>#N/A</v>
        <stp/>
        <stp>BDP|2381033154265092150</stp>
        <tr r="AV78" s="3"/>
        <tr r="AV78" s="3"/>
        <tr r="AV77" s="3"/>
        <tr r="AV77" s="3"/>
        <tr r="AV76" s="3"/>
        <tr r="AV76" s="3"/>
        <tr r="AV75" s="3"/>
        <tr r="AV75" s="3"/>
        <tr r="AV74" s="3"/>
        <tr r="AV74" s="3"/>
        <tr r="AV73" s="3"/>
        <tr r="AV73" s="3"/>
      </tp>
      <tp t="e">
        <v>#N/A</v>
        <stp/>
        <stp>BDP|4115491759401856783</stp>
        <tr r="AI111" s="3"/>
        <tr r="AI111" s="3"/>
        <tr r="AI111" s="3"/>
        <tr r="AI110" s="3"/>
        <tr r="AI110" s="3"/>
        <tr r="AI110" s="3"/>
        <tr r="AI109" s="3"/>
        <tr r="AI109" s="3"/>
        <tr r="AI109" s="3"/>
        <tr r="AI108" s="3"/>
        <tr r="AI108" s="3"/>
        <tr r="AI108" s="3"/>
        <tr r="AI107" s="3"/>
        <tr r="AI107" s="3"/>
        <tr r="AI107" s="3"/>
        <tr r="AI106" s="3"/>
        <tr r="AI106" s="3"/>
        <tr r="AI106" s="3"/>
        <tr r="AI105" s="3"/>
        <tr r="AI105" s="3"/>
        <tr r="AI105" s="3"/>
        <tr r="AI104" s="3"/>
        <tr r="AI104" s="3"/>
        <tr r="AI104" s="3"/>
      </tp>
      <tp t="e">
        <v>#N/A</v>
        <stp/>
        <stp>BDP|3923132785161626885</stp>
        <tr r="AL145" s="1"/>
        <tr r="AL136" s="1"/>
      </tp>
      <tp t="b">
        <v>0</v>
        <stp/>
        <stp>BDP|7099350618170380688</stp>
        <tr r="F78" s="3"/>
        <tr r="F77" s="3"/>
        <tr r="F76" s="3"/>
        <tr r="F75" s="3"/>
        <tr r="F74" s="3"/>
        <tr r="F73" s="3"/>
      </tp>
      <tp t="e">
        <v>#N/A</v>
        <stp/>
        <stp>BDP|7913686120720696015</stp>
        <tr r="Y113" s="1"/>
      </tp>
      <tp t="e">
        <v>#N/A</v>
        <stp/>
        <stp>BDP|2163514667756539449</stp>
        <tr r="W115" s="3"/>
      </tp>
      <tp t="e">
        <v>#N/A</v>
        <stp/>
        <stp>BDP|6464160340618422806</stp>
        <tr r="AA20" s="1"/>
      </tp>
      <tp t="e">
        <v>#N/A</v>
        <stp/>
        <stp>BDP|4443253277652736075</stp>
        <tr r="AE38" s="1"/>
        <tr r="AE111" s="1"/>
        <tr r="AE165" s="1"/>
        <tr r="AE16" s="1"/>
        <tr r="AE74" s="1"/>
        <tr r="AE137" s="1"/>
        <tr r="AE61" s="1"/>
        <tr r="AE119" s="1"/>
        <tr r="AE99" s="1"/>
        <tr r="AE23" s="1"/>
        <tr r="AE152" s="1"/>
        <tr r="AE146" s="1"/>
      </tp>
      <tp t="e">
        <v>#N/A</v>
        <stp/>
        <stp>BDP|8264367556134377967</stp>
        <tr r="AE64" s="1"/>
      </tp>
      <tp t="e">
        <v>#N/A</v>
        <stp/>
        <stp>BDP|1903855592513832016</stp>
        <tr r="K16" s="3"/>
      </tp>
      <tp t="e">
        <v>#N/A</v>
        <stp/>
        <stp>BDP|5666235005417748306</stp>
        <tr r="W83" s="1"/>
        <tr r="W50" s="1"/>
      </tp>
      <tp t="e">
        <v>#N/A</v>
        <stp/>
        <stp>BDP|3353169401193529254</stp>
        <tr r="X52" s="1"/>
      </tp>
      <tp t="e">
        <v>#N/A</v>
        <stp/>
        <stp>BDP|5666066837540585567</stp>
        <tr r="K78" s="1"/>
        <tr r="K154" s="1"/>
        <tr r="K149" s="1"/>
        <tr r="K124" s="1"/>
      </tp>
      <tp t="e">
        <v>#N/A</v>
        <stp/>
        <stp>BDP|5653368154690189012</stp>
        <tr r="AC103" s="3"/>
        <tr r="AC103" s="3"/>
        <tr r="AC103" s="3"/>
      </tp>
      <tp t="e">
        <v>#N/A</v>
        <stp/>
        <stp>BDP|2093649163488315906</stp>
        <tr r="Q70" s="1"/>
        <tr r="Q116" s="1"/>
        <tr r="Q159" s="1"/>
        <tr r="Q84" s="1"/>
      </tp>
      <tp t="e">
        <v>#N/A</v>
        <stp/>
        <stp>BDP|6849633289469255243</stp>
        <tr r="AA113" s="1"/>
      </tp>
      <tp t="e">
        <v>#N/A</v>
        <stp/>
        <stp>BDP|2539273447264794371</stp>
        <tr r="AT145" s="1"/>
        <tr r="AT136" s="1"/>
      </tp>
      <tp t="e">
        <v>#N/A</v>
        <stp/>
        <stp>BDP|2970775279898674947</stp>
        <tr r="E85" s="1"/>
      </tp>
      <tp t="e">
        <v>#N/A</v>
        <stp/>
        <stp>BDP|4498437768590854522</stp>
        <tr r="Q114" s="3"/>
        <tr r="Q113" s="3"/>
        <tr r="Q112" s="3"/>
      </tp>
      <tp t="e">
        <v>#N/A</v>
        <stp/>
        <stp>BDP|6115003240722231368</stp>
        <tr r="AL12" s="1"/>
      </tp>
      <tp t="e">
        <v>#N/A</v>
        <stp/>
        <stp>BDP|5936105621931868457</stp>
        <tr r="X72" s="1"/>
        <tr r="X33" s="1"/>
        <tr r="X158" s="1"/>
      </tp>
      <tp t="e">
        <v>#N/A</v>
        <stp/>
        <stp>BDP|5241200210322462730</stp>
        <tr r="AT13" s="1"/>
      </tp>
      <tp t="e">
        <v>#N/A</v>
        <stp/>
        <stp>BDP|4062111639034500187</stp>
        <tr r="N87" s="1"/>
      </tp>
      <tp t="e">
        <v>#N/A</v>
        <stp/>
        <stp>BDP|6151946783342470674</stp>
        <tr r="AQ119" s="3"/>
        <tr r="AQ119" s="3"/>
        <tr r="AQ119" s="3"/>
        <tr r="AQ118" s="3"/>
        <tr r="AQ118" s="3"/>
        <tr r="AQ118" s="3"/>
        <tr r="AQ117" s="3"/>
        <tr r="AQ117" s="3"/>
        <tr r="AQ117" s="3"/>
        <tr r="AQ116" s="3"/>
        <tr r="AQ116" s="3"/>
        <tr r="AQ116" s="3"/>
      </tp>
      <tp t="e">
        <v>#N/A</v>
        <stp/>
        <stp>BDP|3552033121200417262</stp>
        <tr r="L17" s="1"/>
        <tr r="L17" s="1"/>
        <tr r="L112" s="1"/>
        <tr r="L112" s="1"/>
        <tr r="AS17" s="1"/>
        <tr r="AS112" s="1"/>
      </tp>
      <tp t="e">
        <v>#N/A</v>
        <stp/>
        <stp>BDP|1001071249630810631</stp>
        <tr r="AK13" s="1"/>
        <tr r="AK13" s="1"/>
        <tr r="AK13" s="1"/>
      </tp>
      <tp t="e">
        <v>#N/A</v>
        <stp/>
        <stp>BDP|1614262248972480695</stp>
        <tr r="AD90" s="1"/>
      </tp>
      <tp t="e">
        <v>#N/A</v>
        <stp/>
        <stp>BDP|8505130805278234247</stp>
        <tr r="AD86" s="1"/>
        <tr r="AD133" s="1"/>
      </tp>
    </main>
    <main first="bloomberg.rtd">
      <tp t="s">
        <v>Health Care</v>
        <stp/>
        <stp>##V3_BDPV12</stp>
        <stp>MRK US Equity</stp>
        <stp>DX202</stp>
        <stp>[DPM - Securities Master List (BBG Linked).xlsx]Equities!R163C8</stp>
        <tr r="H163" s="2"/>
        <tr r="H163" s="2"/>
        <tr r="H163" s="2"/>
      </tp>
      <tp t="s">
        <v>Energy</v>
        <stp/>
        <stp>##V3_BDPV12</stp>
        <stp>TTE FP Equity</stp>
        <stp>DX202</stp>
        <stp>[DPM - Securities Master List (BBG Linked).xlsx]Equities!R279C8</stp>
        <tr r="H279" s="2"/>
        <tr r="H279" s="2"/>
        <tr r="H279" s="2"/>
      </tp>
      <tp t="s">
        <v>Consumer Discretionary</v>
        <stp/>
        <stp>##V3_BDPV12</stp>
        <stp>NKE US Equity</stp>
        <stp>DX202</stp>
        <stp>[DPM - Securities Master List (BBG Linked).xlsx]Equities!R220C8</stp>
        <tr r="H220" s="2"/>
        <tr r="H220" s="2"/>
        <tr r="H220" s="2"/>
      </tp>
      <tp t="s">
        <v>Consumer Discretionary</v>
        <stp/>
        <stp>##V3_BDPV12</stp>
        <stp>NKE US Equity</stp>
        <stp>DX202</stp>
        <stp>[DPM - Securities Master List (BBG Linked).xlsx]Equities!R210C8</stp>
        <tr r="H210" s="2"/>
        <tr r="H210" s="2"/>
        <tr r="H210" s="2"/>
      </tp>
      <tp t="s">
        <v>Utilities</v>
        <stp/>
        <stp>##V3_BDPV12</stp>
        <stp>SSE LN Equity</stp>
        <stp>DX202</stp>
        <stp>[DPM - Securities Master List (BBG Linked).xlsx]Equities!R244C8</stp>
        <tr r="H244" s="2"/>
        <tr r="H244" s="2"/>
        <tr r="H244" s="2"/>
      </tp>
      <tp t="s">
        <v>Utilities</v>
        <stp/>
        <stp>##V3_BDPV12</stp>
        <stp>SSE LN Equity</stp>
        <stp>DX202</stp>
        <stp>[DPM - Securities Master List (BBG Linked).xlsx]Equities!R254C8</stp>
        <tr r="H254" s="2"/>
        <tr r="H254" s="2"/>
        <tr r="H254" s="2"/>
      </tp>
      <tp>
        <v>380.33334350585938</v>
        <stp/>
        <stp>##V3_BDPV12</stp>
        <stp>TSCO LN Equity</stp>
        <stp>BEST_TARGET_PRICE</stp>
        <stp>[DPM - Securities Master List (BBG Linked).xlsx]Equities!R264C38</stp>
        <tr r="AL264" s="2"/>
      </tp>
      <tp>
        <v>380.33334350585938</v>
        <stp/>
        <stp>##V3_BDPV12</stp>
        <stp>TSCO LN Equity</stp>
        <stp>BEST_TARGET_PRICE</stp>
        <stp>[DPM - Securities Master List (BBG Linked).xlsx]Equities!R265C38</stp>
        <tr r="AL265" s="2"/>
      </tp>
      <tp>
        <v>380.33334350585938</v>
        <stp/>
        <stp>##V3_BDPV12</stp>
        <stp>TSCO LN Equity</stp>
        <stp>BEST_TARGET_PRICE</stp>
        <stp>[DPM - Securities Master List (BBG Linked).xlsx]Equities!R266C38</stp>
        <tr r="AL266" s="2"/>
      </tp>
      <tp>
        <v>380.33334350585938</v>
        <stp/>
        <stp>##V3_BDPV12</stp>
        <stp>TSCO LN Equity</stp>
        <stp>BEST_TARGET_PRICE</stp>
        <stp>[DPM - Securities Master List (BBG Linked).xlsx]Equities!R267C38</stp>
        <tr r="AL267" s="2"/>
      </tp>
      <tp>
        <v>380.33334350585938</v>
        <stp/>
        <stp>##V3_BDPV12</stp>
        <stp>TSCO LN Equity</stp>
        <stp>BEST_TARGET_PRICE</stp>
        <stp>[DPM - Securities Master List (BBG Linked).xlsx]Equities!R262C38</stp>
        <tr r="AL262" s="2"/>
      </tp>
      <tp>
        <v>380.33334350585938</v>
        <stp/>
        <stp>##V3_BDPV12</stp>
        <stp>TSCO LN Equity</stp>
        <stp>BEST_TARGET_PRICE</stp>
        <stp>[DPM - Securities Master List (BBG Linked).xlsx]Equities!R263C38</stp>
        <tr r="AL263" s="2"/>
      </tp>
      <tp>
        <v>380.33334350585938</v>
        <stp/>
        <stp>##V3_BDPV12</stp>
        <stp>TSCO LN Equity</stp>
        <stp>BEST_TARGET_PRICE</stp>
        <stp>[DPM - Securities Master List (BBG Linked).xlsx]Equities!R268C38</stp>
        <tr r="AL268" s="2"/>
      </tp>
      <tp>
        <v>380.33334350585938</v>
        <stp/>
        <stp>##V3_BDPV12</stp>
        <stp>TSCO LN Equity</stp>
        <stp>BEST_TARGET_PRICE</stp>
        <stp>[DPM - Securities Master List (BBG Linked).xlsx]Equities!R269C38</stp>
        <tr r="AL269" s="2"/>
      </tp>
      <tp>
        <v>380.33334350585938</v>
        <stp/>
        <stp>##V3_BDPV12</stp>
        <stp>TSCO LN Equity</stp>
        <stp>BEST_TARGET_PRICE</stp>
        <stp>[DPM - Securities Master List (BBG Linked).xlsx]Equities!R274C38</stp>
        <tr r="AL274" s="2"/>
      </tp>
      <tp>
        <v>380.33334350585938</v>
        <stp/>
        <stp>##V3_BDPV12</stp>
        <stp>TSCO LN Equity</stp>
        <stp>BEST_TARGET_PRICE</stp>
        <stp>[DPM - Securities Master List (BBG Linked).xlsx]Equities!R275C38</stp>
        <tr r="AL275" s="2"/>
      </tp>
      <tp>
        <v>380.33334350585938</v>
        <stp/>
        <stp>##V3_BDPV12</stp>
        <stp>TSCO LN Equity</stp>
        <stp>BEST_TARGET_PRICE</stp>
        <stp>[DPM - Securities Master List (BBG Linked).xlsx]Equities!R270C38</stp>
        <tr r="AL270" s="2"/>
      </tp>
      <tp>
        <v>380.33334350585938</v>
        <stp/>
        <stp>##V3_BDPV12</stp>
        <stp>TSCO LN Equity</stp>
        <stp>BEST_TARGET_PRICE</stp>
        <stp>[DPM - Securities Master List (BBG Linked).xlsx]Equities!R271C38</stp>
        <tr r="AL271" s="2"/>
      </tp>
      <tp>
        <v>380.33334350585938</v>
        <stp/>
        <stp>##V3_BDPV12</stp>
        <stp>TSCO LN Equity</stp>
        <stp>BEST_TARGET_PRICE</stp>
        <stp>[DPM - Securities Master List (BBG Linked).xlsx]Equities!R272C38</stp>
        <tr r="AL272" s="2"/>
      </tp>
      <tp>
        <v>380.33334350585938</v>
        <stp/>
        <stp>##V3_BDPV12</stp>
        <stp>TSCO LN Equity</stp>
        <stp>BEST_TARGET_PRICE</stp>
        <stp>[DPM - Securities Master List (BBG Linked).xlsx]Equities!R273C38</stp>
        <tr r="AL273" s="2"/>
      </tp>
      <tp>
        <v>1.937916</v>
        <stp/>
        <stp>##V3_BDPV12</stp>
        <stp>REGN Equity</stp>
        <stp>CHG_PCT_5D</stp>
        <stp>[DPM - Securities Master List (BBG Linked).xlsx]Equities!R240C23</stp>
        <tr r="W240" s="2"/>
      </tp>
      <tp t="s">
        <v>Consumer Discretionary</v>
        <stp/>
        <stp>##V3_BDPV12</stp>
        <stp>VOW3 GY Equity</stp>
        <stp>DX202</stp>
        <stp>[DPM - Securities Master List (BBG Linked).xlsx]Equities!R291C8</stp>
        <tr r="H291" s="2"/>
        <tr r="H291" s="2"/>
        <tr r="H291" s="2"/>
      </tp>
      <tp t="s">
        <v>Consumer Discretionary</v>
        <stp/>
        <stp>##V3_BDPV12</stp>
        <stp>KER FP Equity</stp>
        <stp>DX202</stp>
        <stp>[DPM - Securities Master List (BBG Linked).xlsx]Equities!R149C8</stp>
        <tr r="H149" s="2"/>
        <tr r="H149" s="2"/>
        <tr r="H149" s="2"/>
      </tp>
      <tp t="s">
        <v>Consumer Staples</v>
        <stp/>
        <stp>##V3_BDPV12</stp>
        <stp>PEP US Equity</stp>
        <stp>DX202</stp>
        <stp>[DPM - Securities Master List (BBG Linked).xlsx]Equities!R231C8</stp>
        <tr r="H231" s="2"/>
        <tr r="H231" s="2"/>
        <tr r="H231" s="2"/>
      </tp>
      <tp>
        <v>384.79</v>
        <stp/>
        <stp>##V3_BDPV12</stp>
        <stp>ADBE US Equity</stp>
        <stp>PX_LAST</stp>
        <stp>[DPM - Securities Master List (BBG Linked).xlsx]Equities!R39C17</stp>
        <tr r="Q39" s="2"/>
      </tp>
      <tp>
        <v>384.79</v>
        <stp/>
        <stp>##V3_BDPV12</stp>
        <stp>ADBE US Equity</stp>
        <stp>PX_LAST</stp>
        <stp>[DPM - Securities Master List (BBG Linked).xlsx]Equities!R38C17</stp>
        <tr r="Q38" s="2"/>
      </tp>
      <tp>
        <v>384.79</v>
        <stp/>
        <stp>##V3_BDPV12</stp>
        <stp>ADBE US Equity</stp>
        <stp>PX_LAST</stp>
        <stp>[DPM - Securities Master List (BBG Linked).xlsx]Equities!R37C17</stp>
        <tr r="Q37" s="2"/>
      </tp>
      <tp>
        <v>384.79</v>
        <stp/>
        <stp>##V3_BDPV12</stp>
        <stp>ADBE US Equity</stp>
        <stp>PX_LAST</stp>
        <stp>[DPM - Securities Master List (BBG Linked).xlsx]Equities!R36C17</stp>
        <tr r="Q36" s="2"/>
      </tp>
      <tp>
        <v>384.79</v>
        <stp/>
        <stp>##V3_BDPV12</stp>
        <stp>ADBE US Equity</stp>
        <stp>PX_LAST</stp>
        <stp>[DPM - Securities Master List (BBG Linked).xlsx]Equities!R49C17</stp>
        <tr r="Q49" s="2"/>
      </tp>
      <tp>
        <v>384.79</v>
        <stp/>
        <stp>##V3_BDPV12</stp>
        <stp>ADBE US Equity</stp>
        <stp>PX_LAST</stp>
        <stp>[DPM - Securities Master List (BBG Linked).xlsx]Equities!R48C17</stp>
        <tr r="Q48" s="2"/>
      </tp>
      <tp>
        <v>384.79</v>
        <stp/>
        <stp>##V3_BDPV12</stp>
        <stp>ADBE US Equity</stp>
        <stp>PX_LAST</stp>
        <stp>[DPM - Securities Master List (BBG Linked).xlsx]Equities!R45C17</stp>
        <tr r="Q45" s="2"/>
      </tp>
      <tp>
        <v>384.79</v>
        <stp/>
        <stp>##V3_BDPV12</stp>
        <stp>ADBE US Equity</stp>
        <stp>PX_LAST</stp>
        <stp>[DPM - Securities Master List (BBG Linked).xlsx]Equities!R44C17</stp>
        <tr r="Q44" s="2"/>
      </tp>
      <tp>
        <v>384.79</v>
        <stp/>
        <stp>##V3_BDPV12</stp>
        <stp>ADBE US Equity</stp>
        <stp>PX_LAST</stp>
        <stp>[DPM - Securities Master List (BBG Linked).xlsx]Equities!R47C17</stp>
        <tr r="Q47" s="2"/>
      </tp>
      <tp>
        <v>384.79</v>
        <stp/>
        <stp>##V3_BDPV12</stp>
        <stp>ADBE US Equity</stp>
        <stp>PX_LAST</stp>
        <stp>[DPM - Securities Master List (BBG Linked).xlsx]Equities!R46C17</stp>
        <tr r="Q46" s="2"/>
      </tp>
      <tp>
        <v>384.79</v>
        <stp/>
        <stp>##V3_BDPV12</stp>
        <stp>ADBE US Equity</stp>
        <stp>PX_LAST</stp>
        <stp>[DPM - Securities Master List (BBG Linked).xlsx]Equities!R41C17</stp>
        <tr r="Q41" s="2"/>
      </tp>
      <tp>
        <v>384.79</v>
        <stp/>
        <stp>##V3_BDPV12</stp>
        <stp>ADBE US Equity</stp>
        <stp>PX_LAST</stp>
        <stp>[DPM - Securities Master List (BBG Linked).xlsx]Equities!R40C17</stp>
        <tr r="Q40" s="2"/>
      </tp>
      <tp>
        <v>384.79</v>
        <stp/>
        <stp>##V3_BDPV12</stp>
        <stp>ADBE US Equity</stp>
        <stp>PX_LAST</stp>
        <stp>[DPM - Securities Master List (BBG Linked).xlsx]Equities!R43C17</stp>
        <tr r="Q43" s="2"/>
      </tp>
      <tp>
        <v>384.79</v>
        <stp/>
        <stp>##V3_BDPV12</stp>
        <stp>ADBE US Equity</stp>
        <stp>PX_LAST</stp>
        <stp>[DPM - Securities Master List (BBG Linked).xlsx]Equities!R42C17</stp>
        <tr r="Q42" s="2"/>
      </tp>
    </main>
    <main first="bloomberg.rtd">
      <tp t="s">
        <v>Information Technology</v>
        <stp/>
        <stp>##V3_BDPV12</stp>
        <stp>DELL US Equity</stp>
        <stp>DX202</stp>
        <stp>[DPM - Securities Master List (BBG Linked).xlsx]Equities!R106C8</stp>
        <tr r="H106" s="2"/>
        <tr r="H106" s="2"/>
        <tr r="H106" s="2"/>
      </tp>
    </main>
    <main first="bofaddin.rtdserver">
      <tp t="e">
        <v>#N/A</v>
        <stp/>
        <stp>BDP|28104276976259945</stp>
        <tr r="AD150" s="1"/>
        <tr r="AD122" s="1"/>
      </tp>
    </main>
    <main first="bloomberg.rtd">
      <tp t="s">
        <v>Consumer Staples</v>
        <stp/>
        <stp>##V3_BDPV12</stp>
        <stp>TSCO LN Equity</stp>
        <stp>DX202</stp>
        <stp>[DPM - Securities Master List (BBG Linked).xlsx]Equities!R269C8</stp>
        <tr r="H269" s="2"/>
        <tr r="H269" s="2"/>
        <tr r="H269" s="2"/>
      </tp>
      <tp t="s">
        <v>Consumer Staples</v>
        <stp/>
        <stp>##V3_BDPV12</stp>
        <stp>NESN SW Equity</stp>
        <stp>DX202</stp>
        <stp>[DPM - Securities Master List (BBG Linked).xlsx]Equities!R200C8</stp>
        <tr r="H200" s="2"/>
        <tr r="H200" s="2"/>
        <tr r="H200" s="2"/>
      </tp>
      <tp t="s">
        <v>Communication Services</v>
        <stp/>
        <stp>##V3_BDPV12</stp>
        <stp>META US Equity</stp>
        <stp>DX202</stp>
        <stp>[DPM - Securities Master List (BBG Linked).xlsx]Equities!R156C8</stp>
        <tr r="H156" s="2"/>
        <tr r="H156" s="2"/>
        <tr r="H156" s="2"/>
      </tp>
      <tp t="s">
        <v>#N/A Invalid Override</v>
        <stp/>
        <stp>##V3_BDPV12</stp>
        <stp>XS2568343672 isin</stp>
        <stp>YAS_BOND_YLD</stp>
        <stp>[DPM - Securities Master List (BBG Linked).xlsx]Bonds!R6C10</stp>
        <stp>YAS_YLD_FLAG=15</stp>
        <stp>user_local_trade_date</stp>
        <stp>45783</stp>
        <stp>Yas_bond_px</stp>
        <stp>#N/A Connection</stp>
        <tr r="J6" s="1"/>
      </tp>
      <tp t="s">
        <v>Consumer Staples</v>
        <stp/>
        <stp>##V3_BDPV12</stp>
        <stp>PEP US Equity</stp>
        <stp>DX202</stp>
        <stp>[DPM - Securities Master List (BBG Linked).xlsx]Equities!R230C8</stp>
        <tr r="H230" s="2"/>
        <tr r="H230" s="2"/>
        <tr r="H230" s="2"/>
      </tp>
      <tp t="s">
        <v>Information Technology</v>
        <stp/>
        <stp>##V3_BDPV12</stp>
        <stp>DELL US Equity</stp>
        <stp>DX202</stp>
        <stp>[DPM - Securities Master List (BBG Linked).xlsx]Equities!R107C8</stp>
        <tr r="H107" s="2"/>
        <tr r="H107" s="2"/>
        <tr r="H107" s="2"/>
      </tp>
    </main>
    <main first="bloomberg.rtd">
      <tp t="s">
        <v>Consumer Staples</v>
        <stp/>
        <stp>##V3_BDPV12</stp>
        <stp>TSCO LN Equity</stp>
        <stp>DX202</stp>
        <stp>[DPM - Securities Master List (BBG Linked).xlsx]Equities!R268C8</stp>
        <tr r="H268" s="2"/>
        <tr r="H268" s="2"/>
        <tr r="H268" s="2"/>
      </tp>
      <tp t="s">
        <v>Consumer Staples</v>
        <stp/>
        <stp>##V3_BDPV12</stp>
        <stp>NESN SW Equity</stp>
        <stp>DX202</stp>
        <stp>[DPM - Securities Master List (BBG Linked).xlsx]Equities!R201C8</stp>
        <tr r="H201" s="2"/>
        <tr r="H201" s="2"/>
        <tr r="H201" s="2"/>
      </tp>
      <tp t="s">
        <v>Materials</v>
        <stp/>
        <stp>##V3_BDPV12</stp>
        <stp>NEM AT Equity</stp>
        <stp>DX202</stp>
        <stp>[DPM - Securities Master List (BBG Linked).xlsx]Equities!R189C8</stp>
        <tr r="H189" s="2"/>
        <tr r="H189" s="2"/>
        <tr r="H189" s="2"/>
      </tp>
      <tp t="s">
        <v>Health Care</v>
        <stp/>
        <stp>##V3_BDPV12</stp>
        <stp>ZBH US Equity</stp>
        <stp>DX202</stp>
        <stp>[DPM - Securities Master List (BBG Linked).xlsx]Equities!R299C8</stp>
        <tr r="H299" s="2"/>
        <tr r="H299" s="2"/>
        <tr r="H299" s="2"/>
      </tp>
      <tp t="s">
        <v>Consumer Staples</v>
        <stp/>
        <stp>##V3_BDPV12</stp>
        <stp>PEP US Equity</stp>
        <stp>DX202</stp>
        <stp>[DPM - Securities Master List (BBG Linked).xlsx]Equities!R233C8</stp>
        <tr r="H233" s="2"/>
        <tr r="H233" s="2"/>
        <tr r="H233" s="2"/>
      </tp>
      <tp>
        <v>48.630899999999997</v>
        <stp/>
        <stp>##V3_BDPV12</stp>
        <stp>BMY US Equity</stp>
        <stp>PX_LAST</stp>
        <stp>[DPM - Securities Master List (BBG Linked).xlsx]Equities!R76C17</stp>
        <tr r="Q76" s="2"/>
      </tp>
      <tp t="s">
        <v>Information Technology</v>
        <stp/>
        <stp>##V3_BDPV12</stp>
        <stp>DELL US Equity</stp>
        <stp>DX202</stp>
        <stp>[DPM - Securities Master List (BBG Linked).xlsx]Equities!R104C8</stp>
        <tr r="H104" s="2"/>
        <tr r="H104" s="2"/>
        <tr r="H104" s="2"/>
      </tp>
      <tp t="s">
        <v>Consumer Staples</v>
        <stp/>
        <stp>##V3_BDPV12</stp>
        <stp>NESN SW Equity</stp>
        <stp>DX202</stp>
        <stp>[DPM - Securities Master List (BBG Linked).xlsx]Equities!R202C8</stp>
        <tr r="H202" s="2"/>
        <tr r="H202" s="2"/>
        <tr r="H202" s="2"/>
      </tp>
      <tp t="s">
        <v>Health Care</v>
        <stp/>
        <stp>##V3_BDPV12</stp>
        <stp>ZBH US Equity</stp>
        <stp>DX202</stp>
        <stp>[DPM - Securities Master List (BBG Linked).xlsx]Equities!R298C8</stp>
        <tr r="H298" s="2"/>
        <tr r="H298" s="2"/>
        <tr r="H298" s="2"/>
      </tp>
      <tp t="s">
        <v>Consumer Staples</v>
        <stp/>
        <stp>##V3_BDPV12</stp>
        <stp>PEP US Equity</stp>
        <stp>DX202</stp>
        <stp>[DPM - Securities Master List (BBG Linked).xlsx]Equities!R232C8</stp>
        <tr r="H232" s="2"/>
        <tr r="H232" s="2"/>
        <tr r="H232" s="2"/>
      </tp>
      <tp t="s">
        <v>#N/A Invalid Field</v>
        <stp/>
        <stp>##V3_BDPV12</stp>
        <stp>AMZN  US Equity</stp>
        <stp/>
        <stp>[DPM - Securities Master List (BBG Linked).xlsx]Equities!R50C29</stp>
        <tr r="AC50" s="2"/>
        <tr r="AC50" s="2"/>
      </tp>
      <tp t="s">
        <v>Information Technology</v>
        <stp/>
        <stp>##V3_BDPV12</stp>
        <stp>DELL US Equity</stp>
        <stp>DX202</stp>
        <stp>[DPM - Securities Master List (BBG Linked).xlsx]Equities!R105C8</stp>
        <tr r="H105" s="2"/>
        <tr r="H105" s="2"/>
        <tr r="H105" s="2"/>
      </tp>
    </main>
    <main first="bofaddin.rtdserver">
      <tp t="e">
        <v>#N/A</v>
        <stp/>
        <stp>BDP|57571325885274825</stp>
        <tr r="I103" s="1"/>
      </tp>
    </main>
    <main first="bloomberg.rtd">
      <tp t="s">
        <v>Consumer Staples</v>
        <stp/>
        <stp>##V3_BDPV12</stp>
        <stp>NESN SW Equity</stp>
        <stp>DX202</stp>
        <stp>[DPM - Securities Master List (BBG Linked).xlsx]Equities!R203C8</stp>
        <tr r="H203" s="2"/>
        <tr r="H203" s="2"/>
        <tr r="H203" s="2"/>
      </tp>
      <tp t="s">
        <v>Consumer Staples</v>
        <stp/>
        <stp>##V3_BDPV12</stp>
        <stp>NESN SW Equity</stp>
        <stp>DX202</stp>
        <stp>[DPM - Securities Master List (BBG Linked).xlsx]Equities!R193C8</stp>
        <tr r="H193" s="2"/>
        <tr r="H193" s="2"/>
        <tr r="H193" s="2"/>
      </tp>
      <tp t="s">
        <v>#N/A Invalid Override</v>
        <stp/>
        <stp>##V3_BDPV12</stp>
        <stp>XS2384355520 isin</stp>
        <stp>YAS_BOND_YLD</stp>
        <stp>[DPM - Securities Master List (BBG Linked).xlsx]Bonds!R7C10</stp>
        <stp>YAS_YLD_FLAG=15</stp>
        <stp>user_local_trade_date</stp>
        <stp>45783</stp>
        <stp>Yas_bond_px</stp>
        <stp>#N/A Connection</stp>
        <tr r="J7" s="1"/>
      </tp>
      <tp t="s">
        <v>Consumer Staples</v>
        <stp/>
        <stp>##V3_BDPV12</stp>
        <stp>DGE LN Equity</stp>
        <stp>DX202</stp>
        <stp>[DPM - Securities Master List (BBG Linked).xlsx]Equities!R108C8</stp>
        <tr r="H108" s="2"/>
        <tr r="H108" s="2"/>
        <tr r="H108" s="2"/>
      </tp>
      <tp t="s">
        <v>Consumer Staples</v>
        <stp/>
        <stp>##V3_BDPV12</stp>
        <stp>TGT US Equity</stp>
        <stp>DX202</stp>
        <stp>[DPM - Securities Master List (BBG Linked).xlsx]Equities!R261C8</stp>
        <tr r="H261" s="2"/>
        <tr r="H261" s="2"/>
        <tr r="H261" s="2"/>
      </tp>
      <tp t="s">
        <v>Consumer Staples</v>
        <stp/>
        <stp>##V3_BDPV12</stp>
        <stp>PEP US Equity</stp>
        <stp>DX202</stp>
        <stp>[DPM - Securities Master List (BBG Linked).xlsx]Equities!R235C8</stp>
        <tr r="H235" s="2"/>
        <tr r="H235" s="2"/>
        <tr r="H235" s="2"/>
      </tp>
      <tp t="s">
        <v>Utilities</v>
        <stp/>
        <stp>##V3_BDPV12</stp>
        <stp>DRX LN Equity</stp>
        <stp>DX202</stp>
        <stp>[DPM - Securities Master List (BBG Linked).xlsx]Equities!R118C8</stp>
        <tr r="H118" s="2"/>
        <tr r="H118" s="2"/>
        <tr r="H118" s="2"/>
      </tp>
    </main>
    <main first="bofaddin.rtdserver">
      <tp t="e">
        <v>#N/A</v>
        <stp/>
        <stp>BDP|18821055785509574</stp>
        <tr r="I93" s="1"/>
      </tp>
    </main>
    <main first="bloomberg.rtd">
      <tp t="s">
        <v>Information Technology</v>
        <stp/>
        <stp>##V3_BDPV12</stp>
        <stp>DELL US Equity</stp>
        <stp>DX202</stp>
        <stp>[DPM - Securities Master List (BBG Linked).xlsx]Equities!R102C8</stp>
        <tr r="H102" s="2"/>
        <tr r="H102" s="2"/>
        <tr r="H102" s="2"/>
      </tp>
    </main>
    <main first="bofaddin.rtdserver">
      <tp t="e">
        <v>#N/A</v>
        <stp/>
        <stp>BDP|75405884774399542</stp>
        <tr r="Q129" s="3"/>
        <tr r="Q128" s="3"/>
        <tr r="Q127" s="3"/>
        <tr r="Q126" s="3"/>
        <tr r="Q125" s="3"/>
        <tr r="Q124" s="3"/>
        <tr r="Q123" s="3"/>
        <tr r="Q122" s="3"/>
        <tr r="Q121" s="3"/>
        <tr r="Q120" s="3"/>
      </tp>
      <tp t="e">
        <v>#N/A</v>
        <stp/>
        <stp>BDP|27404843975360808</stp>
        <tr r="E69" s="1"/>
        <tr r="E57" s="1"/>
      </tp>
    </main>
    <main first="bloomberg.rtd">
      <tp t="s">
        <v>Consumer Staples</v>
        <stp/>
        <stp>##V3_BDPV12</stp>
        <stp>NESN SW Equity</stp>
        <stp>DX202</stp>
        <stp>[DPM - Securities Master List (BBG Linked).xlsx]Equities!R204C8</stp>
        <tr r="H204" s="2"/>
        <tr r="H204" s="2"/>
        <tr r="H204" s="2"/>
      </tp>
      <tp t="s">
        <v>Consumer Staples</v>
        <stp/>
        <stp>##V3_BDPV12</stp>
        <stp>NESN SW Equity</stp>
        <stp>DX202</stp>
        <stp>[DPM - Securities Master List (BBG Linked).xlsx]Equities!R194C8</stp>
        <tr r="H194" s="2"/>
        <tr r="H194" s="2"/>
        <tr r="H194" s="2"/>
      </tp>
      <tp t="s">
        <v>Consumer Staples</v>
        <stp/>
        <stp>##V3_BDPV12</stp>
        <stp>DGE LN Equity</stp>
        <stp>DX202</stp>
        <stp>[DPM - Securities Master List (BBG Linked).xlsx]Equities!R109C8</stp>
        <tr r="H109" s="2"/>
        <tr r="H109" s="2"/>
        <tr r="H109" s="2"/>
      </tp>
      <tp t="s">
        <v>Information Technology</v>
        <stp/>
        <stp>##V3_BDPV12</stp>
        <stp>ON US Equity</stp>
        <stp>DX202</stp>
        <stp>[DPM - Securities Master List (BBG Linked).xlsx]Equities!R226C8</stp>
        <tr r="H226" s="2"/>
        <tr r="H226" s="2"/>
        <tr r="H226" s="2"/>
      </tp>
      <tp t="s">
        <v>Consumer Staples</v>
        <stp/>
        <stp>##V3_BDPV12</stp>
        <stp>PEP US Equity</stp>
        <stp>DX202</stp>
        <stp>[DPM - Securities Master List (BBG Linked).xlsx]Equities!R234C8</stp>
        <tr r="H234" s="2"/>
        <tr r="H234" s="2"/>
        <tr r="H234" s="2"/>
      </tp>
      <tp t="s">
        <v>Utilities</v>
        <stp/>
        <stp>##V3_BDPV12</stp>
        <stp>DRX LN Equity</stp>
        <stp>DX202</stp>
        <stp>[DPM - Securities Master List (BBG Linked).xlsx]Equities!R119C8</stp>
        <tr r="H119" s="2"/>
        <tr r="H119" s="2"/>
        <tr r="H119" s="2"/>
      </tp>
      <tp>
        <v>162.32069396972656</v>
        <stp/>
        <stp>##V3_BDPV12</stp>
        <stp>NVDA US Equity</stp>
        <stp>BEST_TARGET_PRICE</stp>
        <stp>[DPM - Securities Master List (BBG Linked).xlsx]Equities!R224C38</stp>
        <tr r="AL224" s="2"/>
      </tp>
    </main>
    <main first="bloomberg.rtd">
      <tp t="s">
        <v>Information Technology</v>
        <stp/>
        <stp>##V3_BDPV12</stp>
        <stp>DELL US Equity</stp>
        <stp>DX202</stp>
        <stp>[DPM - Securities Master List (BBG Linked).xlsx]Equities!R103C8</stp>
        <tr r="H103" s="2"/>
        <tr r="H103" s="2"/>
        <tr r="H103" s="2"/>
      </tp>
    </main>
    <main first="bofaddin.rtdserver">
      <tp t="e">
        <v>#N/A</v>
        <stp/>
        <stp>BDP|96285493384032366</stp>
        <tr r="AT52" s="1"/>
      </tp>
      <tp t="e">
        <v>#N/A</v>
        <stp/>
        <stp>BDP|70608443837154982</stp>
        <tr r="W13" s="1"/>
      </tp>
    </main>
    <main first="bloomberg.rtd">
      <tp t="s">
        <v>Consumer Staples</v>
        <stp/>
        <stp>##V3_BDPV12</stp>
        <stp>NESN SW Equity</stp>
        <stp>DX202</stp>
        <stp>[DPM - Securities Master List (BBG Linked).xlsx]Equities!R205C8</stp>
        <tr r="H205" s="2"/>
        <tr r="H205" s="2"/>
        <tr r="H205" s="2"/>
      </tp>
      <tp t="s">
        <v>Consumer Staples</v>
        <stp/>
        <stp>##V3_BDPV12</stp>
        <stp>NESN SW Equity</stp>
        <stp>DX202</stp>
        <stp>[DPM - Securities Master List (BBG Linked).xlsx]Equities!R195C8</stp>
        <tr r="H195" s="2"/>
        <tr r="H195" s="2"/>
        <tr r="H195" s="2"/>
      </tp>
      <tp t="s">
        <v>Information Technology</v>
        <stp/>
        <stp>##V3_BDPV12</stp>
        <stp>INTC US Equity</stp>
        <stp>DX202</stp>
        <stp>[DPM - Securities Master List (BBG Linked).xlsx]Equities!R148C8</stp>
        <tr r="H148" s="2"/>
        <tr r="H148" s="2"/>
        <tr r="H148" s="2"/>
      </tp>
      <tp t="s">
        <v>#N/A Invalid Override</v>
        <stp/>
        <stp>##V3_BDPV12</stp>
        <stp>XS2258453443 isin</stp>
        <stp>YAS_BOND_YLD</stp>
        <stp>[DPM - Securities Master List (BBG Linked).xlsx]Bonds!R8C10</stp>
        <stp>YAS_YLD_FLAG=15</stp>
        <stp>user_local_trade_date</stp>
        <stp>45783</stp>
        <stp>Yas_bond_px</stp>
        <stp>#N/A Connection</stp>
        <tr r="J8" s="1"/>
      </tp>
      <tp t="s">
        <v>Consumer Staples</v>
        <stp/>
        <stp>##V3_BDPV12</stp>
        <stp>PEP US Equity</stp>
        <stp>DX202</stp>
        <stp>[DPM - Securities Master List (BBG Linked).xlsx]Equities!R227C8</stp>
        <tr r="H227" s="2"/>
        <tr r="H227" s="2"/>
        <tr r="H227" s="2"/>
      </tp>
      <tp>
        <v>788.5</v>
        <stp/>
        <stp>##V3_BDPV12</stp>
        <stp>REGN US Equity</stp>
        <stp>BEST_TARGET_PRICE</stp>
        <stp>[DPM - Securities Master List (BBG Linked).xlsx]Equities!R241C38</stp>
        <tr r="AL241" s="2"/>
      </tp>
    </main>
    <main first="bloomberg.rtd">
      <tp t="s">
        <v>Information Technology</v>
        <stp/>
        <stp>##V3_BDPV12</stp>
        <stp>DELL US Equity</stp>
        <stp>DX202</stp>
        <stp>[DPM - Securities Master List (BBG Linked).xlsx]Equities!R100C8</stp>
        <tr r="H100" s="2"/>
        <tr r="H100" s="2"/>
        <tr r="H100" s="2"/>
      </tp>
    </main>
    <main first="bloomberg.rtd">
      <tp t="s">
        <v>Consumer Staples</v>
        <stp/>
        <stp>##V3_BDPV12</stp>
        <stp>NESN SW Equity</stp>
        <stp>DX202</stp>
        <stp>[DPM - Securities Master List (BBG Linked).xlsx]Equities!R196C8</stp>
        <tr r="H196" s="2"/>
        <tr r="H196" s="2"/>
        <tr r="H196" s="2"/>
      </tp>
      <tp t="s">
        <v>Consumer Staples</v>
        <stp/>
        <stp>##V3_BDPV12</stp>
        <stp>PEP US Equity</stp>
        <stp>DX202</stp>
        <stp>[DPM - Securities Master List (BBG Linked).xlsx]Equities!R236C8</stp>
        <tr r="H236" s="2"/>
        <tr r="H236" s="2"/>
        <tr r="H236" s="2"/>
      </tp>
      <tp>
        <v>508.44259643554688</v>
        <stp/>
        <stp>##V3_BDPV12</stp>
        <stp>MSFT US Equity</stp>
        <stp>BEST_TARGET_PRICE</stp>
        <stp>[DPM - Securities Master List (BBG Linked).xlsx]Equities!R179C38</stp>
        <tr r="AL179" s="2"/>
      </tp>
      <tp>
        <v>508.44259643554688</v>
        <stp/>
        <stp>##V3_BDPV12</stp>
        <stp>MSFT US Equity</stp>
        <stp>BEST_TARGET_PRICE</stp>
        <stp>[DPM - Securities Master List (BBG Linked).xlsx]Equities!R178C38</stp>
        <tr r="AL178" s="2"/>
      </tp>
      <tp>
        <v>508.44259643554688</v>
        <stp/>
        <stp>##V3_BDPV12</stp>
        <stp>MSFT US Equity</stp>
        <stp>BEST_TARGET_PRICE</stp>
        <stp>[DPM - Securities Master List (BBG Linked).xlsx]Equities!R175C38</stp>
        <tr r="AL175" s="2"/>
      </tp>
      <tp>
        <v>508.44259643554688</v>
        <stp/>
        <stp>##V3_BDPV12</stp>
        <stp>MSFT US Equity</stp>
        <stp>BEST_TARGET_PRICE</stp>
        <stp>[DPM - Securities Master List (BBG Linked).xlsx]Equities!R174C38</stp>
        <tr r="AL174" s="2"/>
      </tp>
      <tp>
        <v>508.44259643554688</v>
        <stp/>
        <stp>##V3_BDPV12</stp>
        <stp>MSFT US Equity</stp>
        <stp>BEST_TARGET_PRICE</stp>
        <stp>[DPM - Securities Master List (BBG Linked).xlsx]Equities!R177C38</stp>
        <tr r="AL177" s="2"/>
      </tp>
      <tp>
        <v>508.44259643554688</v>
        <stp/>
        <stp>##V3_BDPV12</stp>
        <stp>MSFT US Equity</stp>
        <stp>BEST_TARGET_PRICE</stp>
        <stp>[DPM - Securities Master List (BBG Linked).xlsx]Equities!R176C38</stp>
        <tr r="AL176" s="2"/>
      </tp>
      <tp>
        <v>508.44259643554688</v>
        <stp/>
        <stp>##V3_BDPV12</stp>
        <stp>MSFT US Equity</stp>
        <stp>BEST_TARGET_PRICE</stp>
        <stp>[DPM - Securities Master List (BBG Linked).xlsx]Equities!R171C38</stp>
        <tr r="AL171" s="2"/>
      </tp>
      <tp>
        <v>508.44259643554688</v>
        <stp/>
        <stp>##V3_BDPV12</stp>
        <stp>MSFT US Equity</stp>
        <stp>BEST_TARGET_PRICE</stp>
        <stp>[DPM - Securities Master List (BBG Linked).xlsx]Equities!R170C38</stp>
        <tr r="AL170" s="2"/>
      </tp>
      <tp>
        <v>508.44259643554688</v>
        <stp/>
        <stp>##V3_BDPV12</stp>
        <stp>MSFT US Equity</stp>
        <stp>BEST_TARGET_PRICE</stp>
        <stp>[DPM - Securities Master List (BBG Linked).xlsx]Equities!R173C38</stp>
        <tr r="AL173" s="2"/>
      </tp>
      <tp>
        <v>508.44259643554688</v>
        <stp/>
        <stp>##V3_BDPV12</stp>
        <stp>MSFT US Equity</stp>
        <stp>BEST_TARGET_PRICE</stp>
        <stp>[DPM - Securities Master List (BBG Linked).xlsx]Equities!R172C38</stp>
        <tr r="AL172" s="2"/>
      </tp>
      <tp>
        <v>508.44259643554688</v>
        <stp/>
        <stp>##V3_BDPV12</stp>
        <stp>MSFT US Equity</stp>
        <stp>BEST_TARGET_PRICE</stp>
        <stp>[DPM - Securities Master List (BBG Linked).xlsx]Equities!R188C38</stp>
        <tr r="AL188" s="2"/>
      </tp>
      <tp>
        <v>508.44259643554688</v>
        <stp/>
        <stp>##V3_BDPV12</stp>
        <stp>MSFT US Equity</stp>
        <stp>BEST_TARGET_PRICE</stp>
        <stp>[DPM - Securities Master List (BBG Linked).xlsx]Equities!R185C38</stp>
        <tr r="AL185" s="2"/>
      </tp>
      <tp>
        <v>508.44259643554688</v>
        <stp/>
        <stp>##V3_BDPV12</stp>
        <stp>MSFT US Equity</stp>
        <stp>BEST_TARGET_PRICE</stp>
        <stp>[DPM - Securities Master List (BBG Linked).xlsx]Equities!R184C38</stp>
        <tr r="AL184" s="2"/>
      </tp>
      <tp>
        <v>508.44259643554688</v>
        <stp/>
        <stp>##V3_BDPV12</stp>
        <stp>MSFT US Equity</stp>
        <stp>BEST_TARGET_PRICE</stp>
        <stp>[DPM - Securities Master List (BBG Linked).xlsx]Equities!R187C38</stp>
        <tr r="AL187" s="2"/>
      </tp>
      <tp>
        <v>508.44259643554688</v>
        <stp/>
        <stp>##V3_BDPV12</stp>
        <stp>MSFT US Equity</stp>
        <stp>BEST_TARGET_PRICE</stp>
        <stp>[DPM - Securities Master List (BBG Linked).xlsx]Equities!R186C38</stp>
        <tr r="AL186" s="2"/>
      </tp>
      <tp>
        <v>508.44259643554688</v>
        <stp/>
        <stp>##V3_BDPV12</stp>
        <stp>MSFT US Equity</stp>
        <stp>BEST_TARGET_PRICE</stp>
        <stp>[DPM - Securities Master List (BBG Linked).xlsx]Equities!R181C38</stp>
        <tr r="AL181" s="2"/>
      </tp>
      <tp>
        <v>508.44259643554688</v>
        <stp/>
        <stp>##V3_BDPV12</stp>
        <stp>MSFT US Equity</stp>
        <stp>BEST_TARGET_PRICE</stp>
        <stp>[DPM - Securities Master List (BBG Linked).xlsx]Equities!R180C38</stp>
        <tr r="AL180" s="2"/>
      </tp>
      <tp>
        <v>508.44259643554688</v>
        <stp/>
        <stp>##V3_BDPV12</stp>
        <stp>MSFT US Equity</stp>
        <stp>BEST_TARGET_PRICE</stp>
        <stp>[DPM - Securities Master List (BBG Linked).xlsx]Equities!R183C38</stp>
        <tr r="AL183" s="2"/>
      </tp>
      <tp>
        <v>508.44259643554688</v>
        <stp/>
        <stp>##V3_BDPV12</stp>
        <stp>MSFT US Equity</stp>
        <stp>BEST_TARGET_PRICE</stp>
        <stp>[DPM - Securities Master List (BBG Linked).xlsx]Equities!R182C38</stp>
        <tr r="AL182" s="2"/>
      </tp>
      <tp>
        <v>119.735</v>
        <stp/>
        <stp>##V3_BDPV12</stp>
        <stp>BIIB US Equity</stp>
        <stp>PX_LAST</stp>
        <stp>[DPM - Securities Master List (BBG Linked).xlsx]Equities!R62C17</stp>
        <tr r="Q62" s="2"/>
      </tp>
      <tp t="s">
        <v>Information Technology</v>
        <stp/>
        <stp>##V3_BDPV12</stp>
        <stp>DELL US Equity</stp>
        <stp>DX202</stp>
        <stp>[DPM - Securities Master List (BBG Linked).xlsx]Equities!R101C8</stp>
        <tr r="H101" s="2"/>
        <tr r="H101" s="2"/>
        <tr r="H101" s="2"/>
      </tp>
      <tp t="s">
        <v>Health Care</v>
        <stp/>
        <stp>##V3_BDPV12</stp>
        <stp>REGN US Equity</stp>
        <stp>DX202</stp>
        <stp>[DPM - Securities Master List (BBG Linked).xlsx]Equities!R241C8</stp>
        <tr r="H241" s="2"/>
        <tr r="H241" s="2"/>
        <tr r="H241" s="2"/>
      </tp>
      <tp t="s">
        <v>Consumer Staples</v>
        <stp/>
        <stp>##V3_BDPV12</stp>
        <stp>NESN SW Equity</stp>
        <stp>DX202</stp>
        <stp>[DPM - Securities Master List (BBG Linked).xlsx]Equities!R197C8</stp>
        <tr r="H197" s="2"/>
        <tr r="H197" s="2"/>
        <tr r="H197" s="2"/>
      </tp>
      <tp t="s">
        <v>Consumer Discretionary</v>
        <stp/>
        <stp>##V3_BDPV12</stp>
        <stp>KER FP Equity</stp>
        <stp>DX202</stp>
        <stp>[DPM - Securities Master List (BBG Linked).xlsx]Equities!R151C8</stp>
        <tr r="H151" s="2"/>
        <tr r="H151" s="2"/>
        <tr r="H151" s="2"/>
      </tp>
      <tp t="s">
        <v>Consumer Staples</v>
        <stp/>
        <stp>##V3_BDPV12</stp>
        <stp>PEP US Equity</stp>
        <stp>DX202</stp>
        <stp>[DPM - Securities Master List (BBG Linked).xlsx]Equities!R229C8</stp>
        <tr r="H229" s="2"/>
        <tr r="H229" s="2"/>
        <tr r="H229" s="2"/>
      </tp>
      <tp t="s">
        <v>Utilities</v>
        <stp/>
        <stp>##V3_BDPV12</stp>
        <stp>DRX LN Equity</stp>
        <stp>DX202</stp>
        <stp>[DPM - Securities Master List (BBG Linked).xlsx]Equities!R124C8</stp>
        <tr r="H124" s="2"/>
        <tr r="H124" s="2"/>
        <tr r="H124" s="2"/>
      </tp>
      <tp>
        <v>1324.3333740234375</v>
        <stp/>
        <stp>##V3_BDPV12</stp>
        <stp>SMSN.LI Equity</stp>
        <stp>BEST_TARGET_PRICE</stp>
        <stp>[DPM - Securities Master List (BBG Linked).xlsx]Equities!R243C38</stp>
        <tr r="AL243" s="2"/>
      </tp>
    </main>
    <main first="bofaddin.rtdserver">
      <tp t="e">
        <v>#N/A</v>
        <stp/>
        <stp>BDP|75221744283764474</stp>
        <tr r="X85" s="1"/>
      </tp>
    </main>
    <main first="bloomberg.rtd">
      <tp t="s">
        <v>Consumer Staples</v>
        <stp/>
        <stp>##V3_BDPV12</stp>
        <stp>TSCO LN Equity</stp>
        <stp>DX202</stp>
        <stp>[DPM - Securities Master List (BBG Linked).xlsx]Equities!R271C8</stp>
        <tr r="H271" s="2"/>
        <tr r="H271" s="2"/>
        <tr r="H271" s="2"/>
      </tp>
      <tp t="s">
        <v>Consumer Staples</v>
        <stp/>
        <stp>##V3_BDPV12</stp>
        <stp>NESN SW Equity</stp>
        <stp>DX202</stp>
        <stp>[DPM - Securities Master List (BBG Linked).xlsx]Equities!R198C8</stp>
        <tr r="H198" s="2"/>
        <tr r="H198" s="2"/>
        <tr r="H198" s="2"/>
      </tp>
      <tp t="s">
        <v>Materials</v>
        <stp/>
        <stp>##V3_BDPV12</stp>
        <stp>NEM AT Equity</stp>
        <stp>DX202</stp>
        <stp>[DPM - Securities Master List (BBG Linked).xlsx]Equities!R192C8</stp>
        <tr r="H192" s="2"/>
        <tr r="H192" s="2"/>
        <tr r="H192" s="2"/>
      </tp>
      <tp t="s">
        <v>Health Care</v>
        <stp/>
        <stp>##V3_BDPV12</stp>
        <stp>ZBH US Equity</stp>
        <stp>DX202</stp>
        <stp>[DPM - Securities Master List (BBG Linked).xlsx]Equities!R302C8</stp>
        <tr r="H302" s="2"/>
        <tr r="H302" s="2"/>
        <tr r="H302" s="2"/>
      </tp>
      <tp t="s">
        <v>Consumer Discretionary</v>
        <stp/>
        <stp>##V3_BDPV12</stp>
        <stp>KER FP Equity</stp>
        <stp>DX202</stp>
        <stp>[DPM - Securities Master List (BBG Linked).xlsx]Equities!R150C8</stp>
        <tr r="H150" s="2"/>
        <tr r="H150" s="2"/>
        <tr r="H150" s="2"/>
      </tp>
      <tp t="s">
        <v>Consumer Staples</v>
        <stp/>
        <stp>##V3_BDPV12</stp>
        <stp>PEP US Equity</stp>
        <stp>DX202</stp>
        <stp>[DPM - Securities Master List (BBG Linked).xlsx]Equities!R228C8</stp>
        <tr r="H228" s="2"/>
        <tr r="H228" s="2"/>
        <tr r="H228" s="2"/>
      </tp>
      <tp>
        <v>197.98</v>
        <stp/>
        <stp>##V3_BDPV12</stp>
        <stp>AAPL US Equity</stp>
        <stp>PX_LAST</stp>
        <stp>[DPM - Securities Master List (BBG Linked).xlsx]Equities!R34C17</stp>
        <tr r="Q34" s="2"/>
      </tp>
      <tp>
        <v>93.39</v>
        <stp/>
        <stp>##V3_BDPV12</stp>
        <stp>DELL US Equity</stp>
        <stp>PX_LAST</stp>
        <stp>[DPM - Securities Master List (BBG Linked).xlsx]Equities!R93C17</stp>
        <tr r="Q93" s="2"/>
      </tp>
      <tp>
        <v>93.39</v>
        <stp/>
        <stp>##V3_BDPV12</stp>
        <stp>DELL US Equity</stp>
        <stp>PX_LAST</stp>
        <stp>[DPM - Securities Master List (BBG Linked).xlsx]Equities!R92C17</stp>
        <tr r="Q92" s="2"/>
      </tp>
      <tp>
        <v>93.39</v>
        <stp/>
        <stp>##V3_BDPV12</stp>
        <stp>DELL US Equity</stp>
        <stp>PX_LAST</stp>
        <stp>[DPM - Securities Master List (BBG Linked).xlsx]Equities!R97C17</stp>
        <tr r="Q97" s="2"/>
      </tp>
      <tp>
        <v>93.39</v>
        <stp/>
        <stp>##V3_BDPV12</stp>
        <stp>DELL US Equity</stp>
        <stp>PX_LAST</stp>
        <stp>[DPM - Securities Master List (BBG Linked).xlsx]Equities!R96C17</stp>
        <tr r="Q96" s="2"/>
      </tp>
      <tp>
        <v>93.39</v>
        <stp/>
        <stp>##V3_BDPV12</stp>
        <stp>DELL US Equity</stp>
        <stp>PX_LAST</stp>
        <stp>[DPM - Securities Master List (BBG Linked).xlsx]Equities!R95C17</stp>
        <tr r="Q95" s="2"/>
      </tp>
      <tp>
        <v>93.39</v>
        <stp/>
        <stp>##V3_BDPV12</stp>
        <stp>DELL US Equity</stp>
        <stp>PX_LAST</stp>
        <stp>[DPM - Securities Master List (BBG Linked).xlsx]Equities!R94C17</stp>
        <tr r="Q94" s="2"/>
      </tp>
      <tp>
        <v>93.39</v>
        <stp/>
        <stp>##V3_BDPV12</stp>
        <stp>DELL US Equity</stp>
        <stp>PX_LAST</stp>
        <stp>[DPM - Securities Master List (BBG Linked).xlsx]Equities!R99C17</stp>
        <tr r="Q99" s="2"/>
      </tp>
      <tp>
        <v>93.39</v>
        <stp/>
        <stp>##V3_BDPV12</stp>
        <stp>DELL US Equity</stp>
        <stp>PX_LAST</stp>
        <stp>[DPM - Securities Master List (BBG Linked).xlsx]Equities!R98C17</stp>
        <tr r="Q98" s="2"/>
      </tp>
      <tp t="s">
        <v>Materials</v>
        <stp/>
        <stp>##V3_BDPV12</stp>
        <stp>GOLD US Equity</stp>
        <stp>DX202</stp>
        <stp>[DPM - Securities Master List (BBG Linked).xlsx]Equities!R125C8</stp>
        <tr r="H125" s="2"/>
        <tr r="H125" s="2"/>
        <tr r="H125" s="2"/>
      </tp>
      <tp t="s">
        <v>Consumer Staples</v>
        <stp/>
        <stp>##V3_BDPV12</stp>
        <stp>TSCO LN Equity</stp>
        <stp>DX202</stp>
        <stp>[DPM - Securities Master List (BBG Linked).xlsx]Equities!R270C8</stp>
        <tr r="H270" s="2"/>
        <tr r="H270" s="2"/>
        <tr r="H270" s="2"/>
      </tp>
      <tp t="s">
        <v>#N/A Invalid Override</v>
        <stp/>
        <stp>##V3_BDPV12</stp>
        <stp>PAL63444B5A9 isin</stp>
        <stp>YAS_BOND_YLD</stp>
        <stp>[DPM - Securities Master List (BBG Linked).xlsx]Bonds!R4C10</stp>
        <stp>YAS_YLD_FLAG=15</stp>
        <stp>user_local_trade_date</stp>
        <stp>45783</stp>
        <stp>Yas_bond_px</stp>
        <stp>#N/A Connection</stp>
        <tr r="J4" s="1"/>
      </tp>
      <tp t="s">
        <v>Consumer Staples</v>
        <stp/>
        <stp>##V3_BDPV12</stp>
        <stp>NESN SW Equity</stp>
        <stp>DX202</stp>
        <stp>[DPM - Securities Master List (BBG Linked).xlsx]Equities!R199C8</stp>
        <tr r="H199" s="2"/>
        <tr r="H199" s="2"/>
        <tr r="H199" s="2"/>
      </tp>
      <tp t="s">
        <v>Materials</v>
        <stp/>
        <stp>##V3_BDPV12</stp>
        <stp>NEM AT Equity</stp>
        <stp>DX202</stp>
        <stp>[DPM - Securities Master List (BBG Linked).xlsx]Equities!R191C8</stp>
        <tr r="H191" s="2"/>
        <tr r="H191" s="2"/>
        <tr r="H191" s="2"/>
      </tp>
      <tp t="s">
        <v>Health Care</v>
        <stp/>
        <stp>##V3_BDPV12</stp>
        <stp>ZBH US Equity</stp>
        <stp>DX202</stp>
        <stp>[DPM - Securities Master List (BBG Linked).xlsx]Equities!R301C8</stp>
        <tr r="H301" s="2"/>
        <tr r="H301" s="2"/>
        <tr r="H301" s="2"/>
      </tp>
      <tp t="s">
        <v>Consumer Discretionary</v>
        <stp/>
        <stp>##V3_BDPV12</stp>
        <stp>KER FP Equity</stp>
        <stp>DX202</stp>
        <stp>[DPM - Securities Master List (BBG Linked).xlsx]Equities!R153C8</stp>
        <tr r="H153" s="2"/>
        <tr r="H153" s="2"/>
        <tr r="H153" s="2"/>
      </tp>
      <tp t="s">
        <v>Utilities</v>
        <stp/>
        <stp>##V3_BDPV12</stp>
        <stp>DRX LN Equity</stp>
        <stp>DX202</stp>
        <stp>[DPM - Securities Master List (BBG Linked).xlsx]Equities!R116C8</stp>
        <tr r="H116" s="2"/>
        <tr r="H116" s="2"/>
        <tr r="H116" s="2"/>
      </tp>
      <tp t="s">
        <v>Health Care</v>
        <stp/>
        <stp>##V3_BDPV12</stp>
        <stp>GSK LN Equity</stp>
        <stp>DX202</stp>
        <stp>[DPM - Securities Master List (BBG Linked).xlsx]Equities!R145C8</stp>
        <tr r="H145" s="2"/>
        <tr r="H145" s="2"/>
        <tr r="H145" s="2"/>
      </tp>
    </main>
    <main first="bloomberg.rtd">
      <tp t="s">
        <v>Consumer Staples</v>
        <stp/>
        <stp>##V3_BDPV12</stp>
        <stp>TSCO LN Equity</stp>
        <stp>DX202</stp>
        <stp>[DPM - Securities Master List (BBG Linked).xlsx]Equities!R273C8</stp>
        <tr r="H273" s="2"/>
        <tr r="H273" s="2"/>
        <tr r="H273" s="2"/>
      </tp>
      <tp t="s">
        <v>Consumer Staples</v>
        <stp/>
        <stp>##V3_BDPV12</stp>
        <stp>TSCO LN Equity</stp>
        <stp>DX202</stp>
        <stp>[DPM - Securities Master List (BBG Linked).xlsx]Equities!R263C8</stp>
        <tr r="H263" s="2"/>
        <tr r="H263" s="2"/>
        <tr r="H263" s="2"/>
      </tp>
      <tp t="s">
        <v>Information Technology</v>
        <stp/>
        <stp>##V3_BDPV12</stp>
        <stp>INTC US Equity</stp>
        <stp>DX202</stp>
        <stp>[DPM - Securities Master List (BBG Linked).xlsx]Equities!R147C8</stp>
        <tr r="H147" s="2"/>
        <tr r="H147" s="2"/>
        <tr r="H147" s="2"/>
      </tp>
      <tp>
        <v>241.54289245605469</v>
        <stp/>
        <stp>##V3_BDPV12</stp>
        <stp>AMZN  US Equity</stp>
        <stp>BEST_TARGET_PRICE</stp>
        <stp>[DPM - Securities Master List (BBG Linked).xlsx]Equities!R50C38</stp>
        <tr r="AL50" s="2"/>
      </tp>
      <tp t="s">
        <v>Materials</v>
        <stp/>
        <stp>##V3_BDPV12</stp>
        <stp>NEM AT Equity</stp>
        <stp>DX202</stp>
        <stp>[DPM - Securities Master List (BBG Linked).xlsx]Equities!R190C8</stp>
        <tr r="H190" s="2"/>
        <tr r="H190" s="2"/>
        <tr r="H190" s="2"/>
      </tp>
      <tp t="s">
        <v>Health Care</v>
        <stp/>
        <stp>##V3_BDPV12</stp>
        <stp>ZBH US Equity</stp>
        <stp>DX202</stp>
        <stp>[DPM - Securities Master List (BBG Linked).xlsx]Equities!R300C8</stp>
        <tr r="H300" s="2"/>
        <tr r="H300" s="2"/>
        <tr r="H300" s="2"/>
      </tp>
      <tp t="s">
        <v>Consumer Discretionary</v>
        <stp/>
        <stp>##V3_BDPV12</stp>
        <stp>KER FP Equity</stp>
        <stp>DX202</stp>
        <stp>[DPM - Securities Master List (BBG Linked).xlsx]Equities!R152C8</stp>
        <tr r="H152" s="2"/>
        <tr r="H152" s="2"/>
        <tr r="H152" s="2"/>
      </tp>
      <tp t="s">
        <v>Utilities</v>
        <stp/>
        <stp>##V3_BDPV12</stp>
        <stp>DRX LN Equity</stp>
        <stp>DX202</stp>
        <stp>[DPM - Securities Master List (BBG Linked).xlsx]Equities!R117C8</stp>
        <tr r="H117" s="2"/>
        <tr r="H117" s="2"/>
        <tr r="H117" s="2"/>
      </tp>
      <tp t="s">
        <v>Health Care</v>
        <stp/>
        <stp>##V3_BDPV12</stp>
        <stp>GSK LN Equity</stp>
        <stp>DX202</stp>
        <stp>[DPM - Securities Master List (BBG Linked).xlsx]Equities!R144C8</stp>
        <tr r="H144" s="2"/>
        <tr r="H144" s="2"/>
        <tr r="H144" s="2"/>
      </tp>
      <tp>
        <v>60.674999999999997</v>
        <stp/>
        <stp>##V3_BDPV12</stp>
        <stp>BMRN US Equity</stp>
        <stp>PX_LAST</stp>
        <stp>[DPM - Securities Master List (BBG Linked).xlsx]Equities!R69C17</stp>
        <tr r="Q69" s="2"/>
      </tp>
      <tp>
        <v>60.674999999999997</v>
        <stp/>
        <stp>##V3_BDPV12</stp>
        <stp>BMRN US Equity</stp>
        <stp>PX_LAST</stp>
        <stp>[DPM - Securities Master List (BBG Linked).xlsx]Equities!R68C17</stp>
        <tr r="Q68" s="2"/>
      </tp>
      <tp>
        <v>60.674999999999997</v>
        <stp/>
        <stp>##V3_BDPV12</stp>
        <stp>BMRN US Equity</stp>
        <stp>PX_LAST</stp>
        <stp>[DPM - Securities Master List (BBG Linked).xlsx]Equities!R65C17</stp>
        <tr r="Q65" s="2"/>
      </tp>
      <tp>
        <v>60.674999999999997</v>
        <stp/>
        <stp>##V3_BDPV12</stp>
        <stp>BMRN US Equity</stp>
        <stp>PX_LAST</stp>
        <stp>[DPM - Securities Master List (BBG Linked).xlsx]Equities!R64C17</stp>
        <tr r="Q64" s="2"/>
      </tp>
      <tp>
        <v>60.674999999999997</v>
        <stp/>
        <stp>##V3_BDPV12</stp>
        <stp>BMRN US Equity</stp>
        <stp>PX_LAST</stp>
        <stp>[DPM - Securities Master List (BBG Linked).xlsx]Equities!R67C17</stp>
        <tr r="Q67" s="2"/>
      </tp>
      <tp>
        <v>60.674999999999997</v>
        <stp/>
        <stp>##V3_BDPV12</stp>
        <stp>BMRN US Equity</stp>
        <stp>PX_LAST</stp>
        <stp>[DPM - Securities Master List (BBG Linked).xlsx]Equities!R66C17</stp>
        <tr r="Q66" s="2"/>
      </tp>
      <tp>
        <v>60.674999999999997</v>
        <stp/>
        <stp>##V3_BDPV12</stp>
        <stp>BMRN US Equity</stp>
        <stp>PX_LAST</stp>
        <stp>[DPM - Securities Master List (BBG Linked).xlsx]Equities!R63C17</stp>
        <tr r="Q63" s="2"/>
      </tp>
      <tp>
        <v>60.674999999999997</v>
        <stp/>
        <stp>##V3_BDPV12</stp>
        <stp>BMRN US Equity</stp>
        <stp>PX_LAST</stp>
        <stp>[DPM - Securities Master List (BBG Linked).xlsx]Equities!R75C17</stp>
        <tr r="Q75" s="2"/>
      </tp>
      <tp>
        <v>60.674999999999997</v>
        <stp/>
        <stp>##V3_BDPV12</stp>
        <stp>BMRN US Equity</stp>
        <stp>PX_LAST</stp>
        <stp>[DPM - Securities Master List (BBG Linked).xlsx]Equities!R74C17</stp>
        <tr r="Q74" s="2"/>
      </tp>
      <tp>
        <v>60.674999999999997</v>
        <stp/>
        <stp>##V3_BDPV12</stp>
        <stp>BMRN US Equity</stp>
        <stp>PX_LAST</stp>
        <stp>[DPM - Securities Master List (BBG Linked).xlsx]Equities!R71C17</stp>
        <tr r="Q71" s="2"/>
      </tp>
      <tp>
        <v>60.674999999999997</v>
        <stp/>
        <stp>##V3_BDPV12</stp>
        <stp>BMRN US Equity</stp>
        <stp>PX_LAST</stp>
        <stp>[DPM - Securities Master List (BBG Linked).xlsx]Equities!R70C17</stp>
        <tr r="Q70" s="2"/>
      </tp>
      <tp>
        <v>60.674999999999997</v>
        <stp/>
        <stp>##V3_BDPV12</stp>
        <stp>BMRN US Equity</stp>
        <stp>PX_LAST</stp>
        <stp>[DPM - Securities Master List (BBG Linked).xlsx]Equities!R73C17</stp>
        <tr r="Q73" s="2"/>
      </tp>
      <tp>
        <v>60.674999999999997</v>
        <stp/>
        <stp>##V3_BDPV12</stp>
        <stp>BMRN US Equity</stp>
        <stp>PX_LAST</stp>
        <stp>[DPM - Securities Master List (BBG Linked).xlsx]Equities!R72C17</stp>
        <tr r="Q72" s="2"/>
      </tp>
      <tp t="s">
        <v>Consumer Staples</v>
        <stp/>
        <stp>##V3_BDPV12</stp>
        <stp>TSCO LN Equity</stp>
        <stp>DX202</stp>
        <stp>[DPM - Securities Master List (BBG Linked).xlsx]Equities!R272C8</stp>
        <tr r="H272" s="2"/>
        <tr r="H272" s="2"/>
        <tr r="H272" s="2"/>
      </tp>
      <tp t="s">
        <v>Consumer Staples</v>
        <stp/>
        <stp>##V3_BDPV12</stp>
        <stp>TSCO LN Equity</stp>
        <stp>DX202</stp>
        <stp>[DPM - Securities Master List (BBG Linked).xlsx]Equities!R262C8</stp>
        <tr r="H262" s="2"/>
        <tr r="H262" s="2"/>
        <tr r="H262" s="2"/>
      </tp>
      <tp t="s">
        <v>Information Technology</v>
        <stp/>
        <stp>##V3_BDPV12</stp>
        <stp>INTC US Equity</stp>
        <stp>DX202</stp>
        <stp>[DPM - Securities Master List (BBG Linked).xlsx]Equities!R146C8</stp>
        <tr r="H146" s="2"/>
        <tr r="H146" s="2"/>
        <tr r="H146" s="2"/>
      </tp>
      <tp t="s">
        <v>#N/A Invalid Override</v>
        <stp/>
        <stp>##V3_BDPV12</stp>
        <stp>XS2908172260 isin</stp>
        <stp>YAS_BOND_YLD</stp>
        <stp>[DPM - Securities Master List (BBG Linked).xlsx]Bonds!R9C10</stp>
        <stp>YAS_YLD_FLAG=15</stp>
        <stp>user_local_trade_date</stp>
        <stp>45783</stp>
        <stp>Yas_bond_px</stp>
        <stp>#N/A Connection</stp>
        <tr r="J9" s="1"/>
      </tp>
      <tp>
        <v>1.3367</v>
        <stp/>
        <stp>##V3_BDPV12</stp>
        <stp>GBpUSD CURNCY</stp>
        <stp>PX_LAST</stp>
        <stp>[DPM - Securities Master List (BBG Linked).xlsx]Equities!R81C19</stp>
        <tr r="S81" s="2"/>
      </tp>
      <tp>
        <v>1.3367</v>
        <stp/>
        <stp>##V3_BDPV12</stp>
        <stp>GBpUSD CURNCY</stp>
        <stp>PX_LAST</stp>
        <stp>[DPM - Securities Master List (BBG Linked).xlsx]Equities!R80C19</stp>
        <tr r="S80" s="2"/>
      </tp>
      <tp>
        <v>1.3367</v>
        <stp/>
        <stp>##V3_BDPV12</stp>
        <stp>GBpUSD CURNCY</stp>
        <stp>PX_LAST</stp>
        <stp>[DPM - Securities Master List (BBG Linked).xlsx]Equities!R90C18</stp>
        <tr r="R90" s="2"/>
      </tp>
      <tp>
        <v>1.3367</v>
        <stp/>
        <stp>##V3_BDPV12</stp>
        <stp>GBpUSD CURNCY</stp>
        <stp>PX_LAST</stp>
        <stp>[DPM - Securities Master List (BBG Linked).xlsx]Equities!R83C19</stp>
        <tr r="S83" s="2"/>
      </tp>
      <tp>
        <v>1.3367</v>
        <stp/>
        <stp>##V3_BDPV12</stp>
        <stp>GBpUSD CURNCY</stp>
        <stp>PX_LAST</stp>
        <stp>[DPM - Securities Master List (BBG Linked).xlsx]Equities!R82C19</stp>
        <tr r="S82" s="2"/>
      </tp>
      <tp>
        <v>1.3367</v>
        <stp/>
        <stp>##V3_BDPV12</stp>
        <stp>GBpUSD CURNCY</stp>
        <stp>PX_LAST</stp>
        <stp>[DPM - Securities Master List (BBG Linked).xlsx]Equities!R85C19</stp>
        <tr r="S85" s="2"/>
      </tp>
      <tp>
        <v>1.3367</v>
        <stp/>
        <stp>##V3_BDPV12</stp>
        <stp>GBpUSD CURNCY</stp>
        <stp>PX_LAST</stp>
        <stp>[DPM - Securities Master List (BBG Linked).xlsx]Equities!R84C19</stp>
        <tr r="S84" s="2"/>
      </tp>
      <tp>
        <v>1.3367</v>
        <stp/>
        <stp>##V3_BDPV12</stp>
        <stp>GBpUSD CURNCY</stp>
        <stp>PX_LAST</stp>
        <stp>[DPM - Securities Master List (BBG Linked).xlsx]Equities!R87C19</stp>
        <tr r="S87" s="2"/>
      </tp>
      <tp>
        <v>1.3367</v>
        <stp/>
        <stp>##V3_BDPV12</stp>
        <stp>GBpUSD CURNCY</stp>
        <stp>PX_LAST</stp>
        <stp>[DPM - Securities Master List (BBG Linked).xlsx]Equities!R86C19</stp>
        <tr r="S86" s="2"/>
      </tp>
      <tp>
        <v>1.3367</v>
        <stp/>
        <stp>##V3_BDPV12</stp>
        <stp>GBpUSD CURNCY</stp>
        <stp>PX_LAST</stp>
        <stp>[DPM - Securities Master List (BBG Linked).xlsx]Equities!R89C19</stp>
        <tr r="S89" s="2"/>
      </tp>
      <tp>
        <v>1.3367</v>
        <stp/>
        <stp>##V3_BDPV12</stp>
        <stp>GBpUSD CURNCY</stp>
        <stp>PX_LAST</stp>
        <stp>[DPM - Securities Master List (BBG Linked).xlsx]Equities!R88C19</stp>
        <tr r="S88" s="2"/>
      </tp>
      <tp>
        <v>1.3367</v>
        <stp/>
        <stp>##V3_BDPV12</stp>
        <stp>GBpUSD CURNCY</stp>
        <stp>PX_LAST</stp>
        <stp>[DPM - Securities Master List (BBG Linked).xlsx]Equities!R81C18</stp>
        <tr r="R81" s="2"/>
      </tp>
      <tp>
        <v>1.3367</v>
        <stp/>
        <stp>##V3_BDPV12</stp>
        <stp>GBpUSD CURNCY</stp>
        <stp>PX_LAST</stp>
        <stp>[DPM - Securities Master List (BBG Linked).xlsx]Equities!R80C18</stp>
        <tr r="R80" s="2"/>
      </tp>
      <tp>
        <v>1.3367</v>
        <stp/>
        <stp>##V3_BDPV12</stp>
        <stp>GBpUSD CURNCY</stp>
        <stp>PX_LAST</stp>
        <stp>[DPM - Securities Master List (BBG Linked).xlsx]Equities!R90C19</stp>
        <tr r="S90" s="2"/>
      </tp>
      <tp>
        <v>1.3367</v>
        <stp/>
        <stp>##V3_BDPV12</stp>
        <stp>GBpUSD CURNCY</stp>
        <stp>PX_LAST</stp>
        <stp>[DPM - Securities Master List (BBG Linked).xlsx]Equities!R83C18</stp>
        <tr r="R83" s="2"/>
      </tp>
      <tp>
        <v>1.3367</v>
        <stp/>
        <stp>##V3_BDPV12</stp>
        <stp>GBpUSD CURNCY</stp>
        <stp>PX_LAST</stp>
        <stp>[DPM - Securities Master List (BBG Linked).xlsx]Equities!R82C18</stp>
        <tr r="R82" s="2"/>
      </tp>
      <tp>
        <v>1.3367</v>
        <stp/>
        <stp>##V3_BDPV12</stp>
        <stp>GBpUSD CURNCY</stp>
        <stp>PX_LAST</stp>
        <stp>[DPM - Securities Master List (BBG Linked).xlsx]Equities!R85C18</stp>
        <tr r="R85" s="2"/>
      </tp>
      <tp>
        <v>1.3367</v>
        <stp/>
        <stp>##V3_BDPV12</stp>
        <stp>GBpUSD CURNCY</stp>
        <stp>PX_LAST</stp>
        <stp>[DPM - Securities Master List (BBG Linked).xlsx]Equities!R84C18</stp>
        <tr r="R84" s="2"/>
      </tp>
      <tp>
        <v>1.3367</v>
        <stp/>
        <stp>##V3_BDPV12</stp>
        <stp>GBpUSD CURNCY</stp>
        <stp>PX_LAST</stp>
        <stp>[DPM - Securities Master List (BBG Linked).xlsx]Equities!R87C18</stp>
        <tr r="R87" s="2"/>
      </tp>
      <tp>
        <v>1.3367</v>
        <stp/>
        <stp>##V3_BDPV12</stp>
        <stp>GBpUSD CURNCY</stp>
        <stp>PX_LAST</stp>
        <stp>[DPM - Securities Master List (BBG Linked).xlsx]Equities!R86C18</stp>
        <tr r="R86" s="2"/>
      </tp>
      <tp>
        <v>1.3367</v>
        <stp/>
        <stp>##V3_BDPV12</stp>
        <stp>GBpUSD CURNCY</stp>
        <stp>PX_LAST</stp>
        <stp>[DPM - Securities Master List (BBG Linked).xlsx]Equities!R89C18</stp>
        <tr r="R89" s="2"/>
      </tp>
      <tp>
        <v>1.3367</v>
        <stp/>
        <stp>##V3_BDPV12</stp>
        <stp>GBpUSD CURNCY</stp>
        <stp>PX_LAST</stp>
        <stp>[DPM - Securities Master List (BBG Linked).xlsx]Equities!R88C18</stp>
        <tr r="R88" s="2"/>
      </tp>
      <tp>
        <v>1.3367</v>
        <stp/>
        <stp>##V3_BDPV12</stp>
        <stp>GBpUSD CURNCY</stp>
        <stp>PX_LAST</stp>
        <stp>[DPM - Securities Master List (BBG Linked).xlsx]Equities!R51C18</stp>
        <tr r="R51" s="2"/>
      </tp>
      <tp>
        <v>1.3367</v>
        <stp/>
        <stp>##V3_BDPV12</stp>
        <stp>GBpUSD CURNCY</stp>
        <stp>PX_LAST</stp>
        <stp>[DPM - Securities Master List (BBG Linked).xlsx]Equities!R53C18</stp>
        <tr r="R53" s="2"/>
      </tp>
      <tp>
        <v>1.3367</v>
        <stp/>
        <stp>##V3_BDPV12</stp>
        <stp>GBpUSD CURNCY</stp>
        <stp>PX_LAST</stp>
        <stp>[DPM - Securities Master List (BBG Linked).xlsx]Equities!R52C18</stp>
        <tr r="R52" s="2"/>
      </tp>
      <tp>
        <v>1.3367</v>
        <stp/>
        <stp>##V3_BDPV12</stp>
        <stp>GBpUSD CURNCY</stp>
        <stp>PX_LAST</stp>
        <stp>[DPM - Securities Master List (BBG Linked).xlsx]Equities!R55C18</stp>
        <tr r="R55" s="2"/>
      </tp>
      <tp>
        <v>1.3367</v>
        <stp/>
        <stp>##V3_BDPV12</stp>
        <stp>GBpUSD CURNCY</stp>
        <stp>PX_LAST</stp>
        <stp>[DPM - Securities Master List (BBG Linked).xlsx]Equities!R54C18</stp>
        <tr r="R54" s="2"/>
      </tp>
      <tp>
        <v>1.3367</v>
        <stp/>
        <stp>##V3_BDPV12</stp>
        <stp>GBpUSD CURNCY</stp>
        <stp>PX_LAST</stp>
        <stp>[DPM - Securities Master List (BBG Linked).xlsx]Equities!R57C18</stp>
        <tr r="R57" s="2"/>
      </tp>
      <tp>
        <v>1.3367</v>
        <stp/>
        <stp>##V3_BDPV12</stp>
        <stp>GBpUSD CURNCY</stp>
        <stp>PX_LAST</stp>
        <stp>[DPM - Securities Master List (BBG Linked).xlsx]Equities!R56C18</stp>
        <tr r="R56" s="2"/>
      </tp>
      <tp>
        <v>1.3367</v>
        <stp/>
        <stp>##V3_BDPV12</stp>
        <stp>GBpUSD CURNCY</stp>
        <stp>PX_LAST</stp>
        <stp>[DPM - Securities Master List (BBG Linked).xlsx]Equities!R59C18</stp>
        <tr r="R59" s="2"/>
      </tp>
      <tp>
        <v>1.3367</v>
        <stp/>
        <stp>##V3_BDPV12</stp>
        <stp>GBpUSD CURNCY</stp>
        <stp>PX_LAST</stp>
        <stp>[DPM - Securities Master List (BBG Linked).xlsx]Equities!R58C18</stp>
        <tr r="R58" s="2"/>
      </tp>
      <tp>
        <v>1.3367</v>
        <stp/>
        <stp>##V3_BDPV12</stp>
        <stp>GBpUSD CURNCY</stp>
        <stp>PX_LAST</stp>
        <stp>[DPM - Securities Master List (BBG Linked).xlsx]Equities!R51C19</stp>
        <tr r="S51" s="2"/>
      </tp>
      <tp>
        <v>1.3367</v>
        <stp/>
        <stp>##V3_BDPV12</stp>
        <stp>GBpUSD CURNCY</stp>
        <stp>PX_LAST</stp>
        <stp>[DPM - Securities Master List (BBG Linked).xlsx]Equities!R53C19</stp>
        <tr r="S53" s="2"/>
      </tp>
      <tp>
        <v>1.3367</v>
        <stp/>
        <stp>##V3_BDPV12</stp>
        <stp>GBpUSD CURNCY</stp>
        <stp>PX_LAST</stp>
        <stp>[DPM - Securities Master List (BBG Linked).xlsx]Equities!R52C19</stp>
        <tr r="S52" s="2"/>
      </tp>
      <tp>
        <v>1.3367</v>
        <stp/>
        <stp>##V3_BDPV12</stp>
        <stp>GBpUSD CURNCY</stp>
        <stp>PX_LAST</stp>
        <stp>[DPM - Securities Master List (BBG Linked).xlsx]Equities!R55C19</stp>
        <tr r="S55" s="2"/>
      </tp>
      <tp>
        <v>1.3367</v>
        <stp/>
        <stp>##V3_BDPV12</stp>
        <stp>GBpUSD CURNCY</stp>
        <stp>PX_LAST</stp>
        <stp>[DPM - Securities Master List (BBG Linked).xlsx]Equities!R54C19</stp>
        <tr r="S54" s="2"/>
      </tp>
      <tp>
        <v>1.3367</v>
        <stp/>
        <stp>##V3_BDPV12</stp>
        <stp>GBpUSD CURNCY</stp>
        <stp>PX_LAST</stp>
        <stp>[DPM - Securities Master List (BBG Linked).xlsx]Equities!R57C19</stp>
        <tr r="S57" s="2"/>
      </tp>
      <tp>
        <v>1.3367</v>
        <stp/>
        <stp>##V3_BDPV12</stp>
        <stp>GBpUSD CURNCY</stp>
        <stp>PX_LAST</stp>
        <stp>[DPM - Securities Master List (BBG Linked).xlsx]Equities!R56C19</stp>
        <tr r="S56" s="2"/>
      </tp>
      <tp>
        <v>1.3367</v>
        <stp/>
        <stp>##V3_BDPV12</stp>
        <stp>GBpUSD CURNCY</stp>
        <stp>PX_LAST</stp>
        <stp>[DPM - Securities Master List (BBG Linked).xlsx]Equities!R59C19</stp>
        <tr r="S59" s="2"/>
      </tp>
      <tp>
        <v>1.3367</v>
        <stp/>
        <stp>##V3_BDPV12</stp>
        <stp>GBpUSD CURNCY</stp>
        <stp>PX_LAST</stp>
        <stp>[DPM - Securities Master List (BBG Linked).xlsx]Equities!R58C19</stp>
        <tr r="S58" s="2"/>
      </tp>
      <tp>
        <v>1.3367</v>
        <stp/>
        <stp>##V3_BDPV12</stp>
        <stp>GBpUSD CURNCY</stp>
        <stp>PX_LAST</stp>
        <stp>[DPM - Securities Master List (BBG Linked).xlsx]Equities!R61C19</stp>
        <tr r="S61" s="2"/>
      </tp>
      <tp>
        <v>1.3367</v>
        <stp/>
        <stp>##V3_BDPV12</stp>
        <stp>GBpUSD CURNCY</stp>
        <stp>PX_LAST</stp>
        <stp>[DPM - Securities Master List (BBG Linked).xlsx]Equities!R60C19</stp>
        <tr r="S60" s="2"/>
      </tp>
      <tp>
        <v>1.3367</v>
        <stp/>
        <stp>##V3_BDPV12</stp>
        <stp>GBpUSD CURNCY</stp>
        <stp>PX_LAST</stp>
        <stp>[DPM - Securities Master List (BBG Linked).xlsx]Equities!R77C18</stp>
        <tr r="R77" s="2"/>
      </tp>
      <tp>
        <v>1.3367</v>
        <stp/>
        <stp>##V3_BDPV12</stp>
        <stp>GBpUSD CURNCY</stp>
        <stp>PX_LAST</stp>
        <stp>[DPM - Securities Master List (BBG Linked).xlsx]Equities!R79C18</stp>
        <tr r="R79" s="2"/>
      </tp>
      <tp>
        <v>1.3367</v>
        <stp/>
        <stp>##V3_BDPV12</stp>
        <stp>GBpUSD CURNCY</stp>
        <stp>PX_LAST</stp>
        <stp>[DPM - Securities Master List (BBG Linked).xlsx]Equities!R78C18</stp>
        <tr r="R78" s="2"/>
      </tp>
      <tp>
        <v>1.3367</v>
        <stp/>
        <stp>##V3_BDPV12</stp>
        <stp>GBpUSD CURNCY</stp>
        <stp>PX_LAST</stp>
        <stp>[DPM - Securities Master List (BBG Linked).xlsx]Equities!R61C18</stp>
        <tr r="R61" s="2"/>
      </tp>
      <tp>
        <v>1.3367</v>
        <stp/>
        <stp>##V3_BDPV12</stp>
        <stp>GBpUSD CURNCY</stp>
        <stp>PX_LAST</stp>
        <stp>[DPM - Securities Master List (BBG Linked).xlsx]Equities!R60C18</stp>
        <tr r="R60" s="2"/>
      </tp>
      <tp>
        <v>1.3367</v>
        <stp/>
        <stp>##V3_BDPV12</stp>
        <stp>GBpUSD CURNCY</stp>
        <stp>PX_LAST</stp>
        <stp>[DPM - Securities Master List (BBG Linked).xlsx]Equities!R77C19</stp>
        <tr r="S77" s="2"/>
      </tp>
      <tp>
        <v>1.3367</v>
        <stp/>
        <stp>##V3_BDPV12</stp>
        <stp>GBpUSD CURNCY</stp>
        <stp>PX_LAST</stp>
        <stp>[DPM - Securities Master List (BBG Linked).xlsx]Equities!R79C19</stp>
        <tr r="S79" s="2"/>
      </tp>
      <tp>
        <v>1.3367</v>
        <stp/>
        <stp>##V3_BDPV12</stp>
        <stp>GBpUSD CURNCY</stp>
        <stp>PX_LAST</stp>
        <stp>[DPM - Securities Master List (BBG Linked).xlsx]Equities!R78C19</stp>
        <tr r="S78" s="2"/>
      </tp>
      <tp>
        <v>1.3367</v>
        <stp/>
        <stp>##V3_BDPV12</stp>
        <stp>GBpUSD CURNCY</stp>
        <stp>PX_LAST</stp>
        <stp>[DPM - Securities Master List (BBG Linked).xlsx]Equities!R35C18</stp>
        <tr r="R35" s="2"/>
      </tp>
      <tp>
        <v>1.3367</v>
        <stp/>
        <stp>##V3_BDPV12</stp>
        <stp>GBpUSD CURNCY</stp>
        <stp>PX_LAST</stp>
        <stp>[DPM - Securities Master List (BBG Linked).xlsx]Equities!R35C19</stp>
        <tr r="S35" s="2"/>
      </tp>
      <tp t="s">
        <v>Consumer Staples</v>
        <stp/>
        <stp>##V3_BDPV12</stp>
        <stp>DGE LN Equity</stp>
        <stp>DX202</stp>
        <stp>[DPM - Securities Master List (BBG Linked).xlsx]Equities!R110C8</stp>
        <tr r="H110" s="2"/>
        <tr r="H110" s="2"/>
        <tr r="H110" s="2"/>
      </tp>
      <tp t="s">
        <v>Health Care</v>
        <stp/>
        <stp>##V3_BDPV12</stp>
        <stp>ZBH US Equity</stp>
        <stp>DX202</stp>
        <stp>[DPM - Securities Master List (BBG Linked).xlsx]Equities!R297C8</stp>
        <tr r="H297" s="2"/>
        <tr r="H297" s="2"/>
        <tr r="H297" s="2"/>
      </tp>
      <tp t="s">
        <v>Utilities</v>
        <stp/>
        <stp>##V3_BDPV12</stp>
        <stp>DRX LN Equity</stp>
        <stp>DX202</stp>
        <stp>[DPM - Securities Master List (BBG Linked).xlsx]Equities!R120C8</stp>
        <tr r="H120" s="2"/>
        <tr r="H120" s="2"/>
        <tr r="H120" s="2"/>
      </tp>
      <tp t="s">
        <v>Health Care</v>
        <stp/>
        <stp>##V3_BDPV12</stp>
        <stp>GSK LN Equity</stp>
        <stp>DX202</stp>
        <stp>[DPM - Securities Master List (BBG Linked).xlsx]Equities!R143C8</stp>
        <tr r="H143" s="2"/>
        <tr r="H143" s="2"/>
        <tr r="H143" s="2"/>
      </tp>
      <tp t="s">
        <v>Consumer Staples</v>
        <stp/>
        <stp>##V3_BDPV12</stp>
        <stp>TSCO LN Equity</stp>
        <stp>DX202</stp>
        <stp>[DPM - Securities Master List (BBG Linked).xlsx]Equities!R275C8</stp>
        <tr r="H275" s="2"/>
        <tr r="H275" s="2"/>
        <tr r="H275" s="2"/>
      </tp>
      <tp t="s">
        <v>Consumer Staples</v>
        <stp/>
        <stp>##V3_BDPV12</stp>
        <stp>TSCO LN Equity</stp>
        <stp>DX202</stp>
        <stp>[DPM - Securities Master List (BBG Linked).xlsx]Equities!R265C8</stp>
        <tr r="H265" s="2"/>
        <tr r="H265" s="2"/>
        <tr r="H265" s="2"/>
      </tp>
      <tp t="s">
        <v>Health Care</v>
        <stp/>
        <stp>##V3_BDPV12</stp>
        <stp>REGN Equity</stp>
        <stp>DX202</stp>
        <stp>[DPM - Securities Master List (BBG Linked).xlsx]Equities!R240C8</stp>
        <tr r="H240" s="2"/>
        <tr r="H240" s="2"/>
        <tr r="H240" s="2"/>
      </tp>
      <tp t="s">
        <v>Consumer Staples</v>
        <stp/>
        <stp>##V3_BDPV12</stp>
        <stp>DGE LN Equity</stp>
        <stp>DX202</stp>
        <stp>[DPM - Securities Master List (BBG Linked).xlsx]Equities!R111C8</stp>
        <tr r="H111" s="2"/>
        <tr r="H111" s="2"/>
        <tr r="H111" s="2"/>
      </tp>
      <tp t="s">
        <v>Health Care</v>
        <stp/>
        <stp>##V3_BDPV12</stp>
        <stp>ZBH US Equity</stp>
        <stp>DX202</stp>
        <stp>[DPM - Securities Master List (BBG Linked).xlsx]Equities!R296C8</stp>
        <tr r="H296" s="2"/>
        <tr r="H296" s="2"/>
        <tr r="H296" s="2"/>
      </tp>
      <tp t="s">
        <v>Utilities</v>
        <stp/>
        <stp>##V3_BDPV12</stp>
        <stp>DRX LN Equity</stp>
        <stp>DX202</stp>
        <stp>[DPM - Securities Master List (BBG Linked).xlsx]Equities!R121C8</stp>
        <tr r="H121" s="2"/>
        <tr r="H121" s="2"/>
        <tr r="H121" s="2"/>
      </tp>
      <tp t="s">
        <v>Health Care</v>
        <stp/>
        <stp>##V3_BDPV12</stp>
        <stp>GSK LN Equity</stp>
        <stp>DX202</stp>
        <stp>[DPM - Securities Master List (BBG Linked).xlsx]Equities!R142C8</stp>
        <tr r="H142" s="2"/>
        <tr r="H142" s="2"/>
        <tr r="H142" s="2"/>
      </tp>
      <tp>
        <v>24.765785217285156</v>
        <stp/>
        <stp>##V3_BDPV12</stp>
        <stp>GOLD US Equity</stp>
        <stp>BEST_TARGET_PRICE</stp>
        <stp>[DPM - Securities Master List (BBG Linked).xlsx]Equities!R125C38</stp>
        <tr r="AL125" s="2"/>
      </tp>
      <tp>
        <v>126.90000152587891</v>
        <stp/>
        <stp>##V3_BDPV12</stp>
        <stp>DELL US Equity</stp>
        <stp>BEST_TARGET_PRICE</stp>
        <stp>[DPM - Securities Master List (BBG Linked).xlsx]Equities!R103C38</stp>
        <tr r="AL103" s="2"/>
      </tp>
      <tp>
        <v>126.90000152587891</v>
        <stp/>
        <stp>##V3_BDPV12</stp>
        <stp>DELL US Equity</stp>
        <stp>BEST_TARGET_PRICE</stp>
        <stp>[DPM - Securities Master List (BBG Linked).xlsx]Equities!R102C38</stp>
        <tr r="AL102" s="2"/>
      </tp>
      <tp>
        <v>126.90000152587891</v>
        <stp/>
        <stp>##V3_BDPV12</stp>
        <stp>DELL US Equity</stp>
        <stp>BEST_TARGET_PRICE</stp>
        <stp>[DPM - Securities Master List (BBG Linked).xlsx]Equities!R101C38</stp>
        <tr r="AL101" s="2"/>
      </tp>
      <tp>
        <v>126.90000152587891</v>
        <stp/>
        <stp>##V3_BDPV12</stp>
        <stp>DELL US Equity</stp>
        <stp>BEST_TARGET_PRICE</stp>
        <stp>[DPM - Securities Master List (BBG Linked).xlsx]Equities!R100C38</stp>
        <tr r="AL100" s="2"/>
      </tp>
      <tp>
        <v>126.90000152587891</v>
        <stp/>
        <stp>##V3_BDPV12</stp>
        <stp>DELL US Equity</stp>
        <stp>BEST_TARGET_PRICE</stp>
        <stp>[DPM - Securities Master List (BBG Linked).xlsx]Equities!R107C38</stp>
        <tr r="AL107" s="2"/>
      </tp>
      <tp>
        <v>126.90000152587891</v>
        <stp/>
        <stp>##V3_BDPV12</stp>
        <stp>DELL US Equity</stp>
        <stp>BEST_TARGET_PRICE</stp>
        <stp>[DPM - Securities Master List (BBG Linked).xlsx]Equities!R106C38</stp>
        <tr r="AL106" s="2"/>
      </tp>
      <tp>
        <v>126.90000152587891</v>
        <stp/>
        <stp>##V3_BDPV12</stp>
        <stp>DELL US Equity</stp>
        <stp>BEST_TARGET_PRICE</stp>
        <stp>[DPM - Securities Master List (BBG Linked).xlsx]Equities!R105C38</stp>
        <tr r="AL105" s="2"/>
      </tp>
      <tp>
        <v>126.90000152587891</v>
        <stp/>
        <stp>##V3_BDPV12</stp>
        <stp>DELL US Equity</stp>
        <stp>BEST_TARGET_PRICE</stp>
        <stp>[DPM - Securities Master List (BBG Linked).xlsx]Equities!R104C38</stp>
        <tr r="AL104" s="2"/>
      </tp>
    </main>
    <main first="bloomberg.rtd">
      <tp t="s">
        <v>Consumer Staples</v>
        <stp/>
        <stp>##V3_BDPV12</stp>
        <stp>TSCO LN Equity</stp>
        <stp>DX202</stp>
        <stp>[DPM - Securities Master List (BBG Linked).xlsx]Equities!R274C8</stp>
        <tr r="H274" s="2"/>
        <tr r="H274" s="2"/>
        <tr r="H274" s="2"/>
      </tp>
      <tp t="s">
        <v>Consumer Staples</v>
        <stp/>
        <stp>##V3_BDPV12</stp>
        <stp>TSCO LN Equity</stp>
        <stp>DX202</stp>
        <stp>[DPM - Securities Master List (BBG Linked).xlsx]Equities!R264C8</stp>
        <tr r="H264" s="2"/>
        <tr r="H264" s="2"/>
        <tr r="H264" s="2"/>
      </tp>
      <tp>
        <v>4.528302</v>
        <stp/>
        <stp>##V3_BDPV12</stp>
        <stp>3690 HK Equity</stp>
        <stp>CHG_PCT_1D</stp>
        <stp>[DPM - Securities Master List (BBG Linked).xlsx]Equities!R13C22</stp>
        <tr r="V13" s="2"/>
      </tp>
      <tp>
        <v>4.528302</v>
        <stp/>
        <stp>##V3_BDPV12</stp>
        <stp>3690 HK Equity</stp>
        <stp>CHG_PCT_1D</stp>
        <stp>[DPM - Securities Master List (BBG Linked).xlsx]Equities!R12C22</stp>
        <tr r="V12" s="2"/>
      </tp>
      <tp>
        <v>4.528302</v>
        <stp/>
        <stp>##V3_BDPV12</stp>
        <stp>3690 HK Equity</stp>
        <stp>CHG_PCT_1D</stp>
        <stp>[DPM - Securities Master List (BBG Linked).xlsx]Equities!R11C22</stp>
        <tr r="V11" s="2"/>
      </tp>
      <tp>
        <v>4.528302</v>
        <stp/>
        <stp>##V3_BDPV12</stp>
        <stp>3690 HK Equity</stp>
        <stp>CHG_PCT_1D</stp>
        <stp>[DPM - Securities Master List (BBG Linked).xlsx]Equities!R10C22</stp>
        <tr r="V10" s="2"/>
      </tp>
      <tp>
        <v>4.528302</v>
        <stp/>
        <stp>##V3_BDPV12</stp>
        <stp>3690 HK Equity</stp>
        <stp>CHG_PCT_1D</stp>
        <stp>[DPM - Securities Master List (BBG Linked).xlsx]Equities!R14C22</stp>
        <tr r="V14" s="2"/>
      </tp>
      <tp>
        <v>-26.835709999999999</v>
        <stp/>
        <stp>##V3_BDPV12</stp>
        <stp>3690 HK Equity</stp>
        <stp>CHG_PCT_6M</stp>
        <stp>[DPM - Securities Master List (BBG Linked).xlsx]Equities!R13C42</stp>
        <tr r="AP13" s="2"/>
      </tp>
      <tp>
        <v>-26.835709999999999</v>
        <stp/>
        <stp>##V3_BDPV12</stp>
        <stp>3690 HK Equity</stp>
        <stp>CHG_PCT_6M</stp>
        <stp>[DPM - Securities Master List (BBG Linked).xlsx]Equities!R12C42</stp>
        <tr r="AP12" s="2"/>
      </tp>
      <tp>
        <v>-26.835709999999999</v>
        <stp/>
        <stp>##V3_BDPV12</stp>
        <stp>3690 HK Equity</stp>
        <stp>CHG_PCT_6M</stp>
        <stp>[DPM - Securities Master List (BBG Linked).xlsx]Equities!R11C42</stp>
        <tr r="AP11" s="2"/>
      </tp>
      <tp>
        <v>-26.835709999999999</v>
        <stp/>
        <stp>##V3_BDPV12</stp>
        <stp>3690 HK Equity</stp>
        <stp>CHG_PCT_6M</stp>
        <stp>[DPM - Securities Master List (BBG Linked).xlsx]Equities!R10C42</stp>
        <tr r="AP10" s="2"/>
      </tp>
      <tp>
        <v>-26.835709999999999</v>
        <stp/>
        <stp>##V3_BDPV12</stp>
        <stp>3690 HK Equity</stp>
        <stp>CHG_PCT_6M</stp>
        <stp>[DPM - Securities Master List (BBG Linked).xlsx]Equities!R14C42</stp>
        <tr r="AP14" s="2"/>
      </tp>
      <tp>
        <v>8.5423200000000001</v>
        <stp/>
        <stp>##V3_BDPV12</stp>
        <stp>3690 HK Equity</stp>
        <stp>CHG_PCT_5D</stp>
        <stp>[DPM - Securities Master List (BBG Linked).xlsx]Equities!R13C23</stp>
        <tr r="W13" s="2"/>
      </tp>
      <tp>
        <v>8.5423200000000001</v>
        <stp/>
        <stp>##V3_BDPV12</stp>
        <stp>3690 HK Equity</stp>
        <stp>CHG_PCT_5D</stp>
        <stp>[DPM - Securities Master List (BBG Linked).xlsx]Equities!R12C23</stp>
        <tr r="W12" s="2"/>
      </tp>
      <tp>
        <v>8.5423200000000001</v>
        <stp/>
        <stp>##V3_BDPV12</stp>
        <stp>3690 HK Equity</stp>
        <stp>CHG_PCT_5D</stp>
        <stp>[DPM - Securities Master List (BBG Linked).xlsx]Equities!R11C23</stp>
        <tr r="W11" s="2"/>
      </tp>
      <tp>
        <v>8.5423200000000001</v>
        <stp/>
        <stp>##V3_BDPV12</stp>
        <stp>3690 HK Equity</stp>
        <stp>CHG_PCT_5D</stp>
        <stp>[DPM - Securities Master List (BBG Linked).xlsx]Equities!R10C23</stp>
        <tr r="W10" s="2"/>
      </tp>
      <tp>
        <v>8.5423200000000001</v>
        <stp/>
        <stp>##V3_BDPV12</stp>
        <stp>3690 HK Equity</stp>
        <stp>CHG_PCT_5D</stp>
        <stp>[DPM - Securities Master List (BBG Linked).xlsx]Equities!R14C23</stp>
        <tr r="W14" s="2"/>
      </tp>
      <tp t="s">
        <v>Health Care</v>
        <stp/>
        <stp>##V3_BDPV12</stp>
        <stp>ZBH US Equity</stp>
        <stp>DX202</stp>
        <stp>[DPM - Securities Master List (BBG Linked).xlsx]Equities!R295C8</stp>
        <tr r="H295" s="2"/>
        <tr r="H295" s="2"/>
        <tr r="H295" s="2"/>
      </tp>
      <tp>
        <v>107.5</v>
        <stp/>
        <stp>##V3_BDPV12</stp>
        <stp>2020 HK Equity</stp>
        <stp>hs001</stp>
        <stp>[DPM - Securities Master List (BBG Linked).xlsx]Equities!R6C44</stp>
        <tr r="AR6" s="2"/>
      </tp>
      <tp>
        <v>107.5</v>
        <stp/>
        <stp>##V3_BDPV12</stp>
        <stp>2020 HK Equity</stp>
        <stp>hs001</stp>
        <stp>[DPM - Securities Master List (BBG Linked).xlsx]Equities!R4C44</stp>
        <tr r="AR4" s="2"/>
      </tp>
      <tp>
        <v>107.5</v>
        <stp/>
        <stp>##V3_BDPV12</stp>
        <stp>2020 HK Equity</stp>
        <stp>hs001</stp>
        <stp>[DPM - Securities Master List (BBG Linked).xlsx]Equities!R5C44</stp>
        <tr r="AR5" s="2"/>
      </tp>
      <tp>
        <v>107.5</v>
        <stp/>
        <stp>##V3_BDPV12</stp>
        <stp>2020 HK Equity</stp>
        <stp>hs001</stp>
        <stp>[DPM - Securities Master List (BBG Linked).xlsx]Equities!R3C44</stp>
        <tr r="AR3" s="2"/>
      </tp>
      <tp>
        <v>65.55</v>
        <stp/>
        <stp>##V3_BDPV12</stp>
        <stp>2020 HK Equity</stp>
        <stp>hs002</stp>
        <stp>[DPM - Securities Master List (BBG Linked).xlsx]Equities!R5C45</stp>
        <tr r="AS5" s="2"/>
      </tp>
      <tp>
        <v>65.55</v>
        <stp/>
        <stp>##V3_BDPV12</stp>
        <stp>2020 HK Equity</stp>
        <stp>hs002</stp>
        <stp>[DPM - Securities Master List (BBG Linked).xlsx]Equities!R4C45</stp>
        <tr r="AS4" s="2"/>
      </tp>
      <tp>
        <v>65.55</v>
        <stp/>
        <stp>##V3_BDPV12</stp>
        <stp>2020 HK Equity</stp>
        <stp>hs002</stp>
        <stp>[DPM - Securities Master List (BBG Linked).xlsx]Equities!R6C45</stp>
        <tr r="AS6" s="2"/>
      </tp>
      <tp>
        <v>65.55</v>
        <stp/>
        <stp>##V3_BDPV12</stp>
        <stp>2020 HK Equity</stp>
        <stp>hs002</stp>
        <stp>[DPM - Securities Master List (BBG Linked).xlsx]Equities!R3C45</stp>
        <tr r="AS3" s="2"/>
      </tp>
      <tp t="s">
        <v>Utilities</v>
        <stp/>
        <stp>##V3_BDPV12</stp>
        <stp>DRX LN Equity</stp>
        <stp>DX202</stp>
        <stp>[DPM - Securities Master List (BBG Linked).xlsx]Equities!R122C8</stp>
        <tr r="H122" s="2"/>
        <tr r="H122" s="2"/>
        <tr r="H122" s="2"/>
      </tp>
    </main>
    <main first="bofaddin.rtdserver">
      <tp t="e">
        <v>#N/A</v>
        <stp/>
        <stp>BDP|78806735958373407</stp>
        <tr r="AR115" s="3"/>
        <tr r="AR115" s="3"/>
        <tr r="AR115" s="3"/>
      </tp>
    </main>
    <main first="bloomberg.rtd">
      <tp t="s">
        <v>Consumer Staples</v>
        <stp/>
        <stp>##V3_BDPV12</stp>
        <stp>TSCO LN Equity</stp>
        <stp>DX202</stp>
        <stp>[DPM - Securities Master List (BBG Linked).xlsx]Equities!R267C8</stp>
        <tr r="H267" s="2"/>
        <tr r="H267" s="2"/>
        <tr r="H267" s="2"/>
      </tp>
      <tp>
        <v>0.40022869999999999</v>
        <stp/>
        <stp>##V3_BDPV12</stp>
        <stp>9888 HK Equity</stp>
        <stp>CHG_PCT_1D</stp>
        <stp>[DPM - Securities Master List (BBG Linked).xlsx]Equities!R25C22</stp>
        <tr r="V25" s="2"/>
      </tp>
      <tp>
        <v>0.40022869999999999</v>
        <stp/>
        <stp>##V3_BDPV12</stp>
        <stp>9888 HK Equity</stp>
        <stp>CHG_PCT_1D</stp>
        <stp>[DPM - Securities Master List (BBG Linked).xlsx]Equities!R24C22</stp>
        <tr r="V24" s="2"/>
      </tp>
      <tp>
        <v>0.40022869999999999</v>
        <stp/>
        <stp>##V3_BDPV12</stp>
        <stp>9888 HK Equity</stp>
        <stp>CHG_PCT_1D</stp>
        <stp>[DPM - Securities Master List (BBG Linked).xlsx]Equities!R27C22</stp>
        <tr r="V27" s="2"/>
      </tp>
      <tp>
        <v>0.40022869999999999</v>
        <stp/>
        <stp>##V3_BDPV12</stp>
        <stp>9888 HK Equity</stp>
        <stp>CHG_PCT_1D</stp>
        <stp>[DPM - Securities Master List (BBG Linked).xlsx]Equities!R26C22</stp>
        <tr r="V26" s="2"/>
      </tp>
      <tp>
        <v>0.40022869999999999</v>
        <stp/>
        <stp>##V3_BDPV12</stp>
        <stp>9888 HK Equity</stp>
        <stp>CHG_PCT_1D</stp>
        <stp>[DPM - Securities Master List (BBG Linked).xlsx]Equities!R21C22</stp>
        <tr r="V21" s="2"/>
      </tp>
      <tp>
        <v>0.40022869999999999</v>
        <stp/>
        <stp>##V3_BDPV12</stp>
        <stp>9888 HK Equity</stp>
        <stp>CHG_PCT_1D</stp>
        <stp>[DPM - Securities Master List (BBG Linked).xlsx]Equities!R20C22</stp>
        <tr r="V20" s="2"/>
      </tp>
      <tp>
        <v>0.40022869999999999</v>
        <stp/>
        <stp>##V3_BDPV12</stp>
        <stp>9888 HK Equity</stp>
        <stp>CHG_PCT_1D</stp>
        <stp>[DPM - Securities Master List (BBG Linked).xlsx]Equities!R23C22</stp>
        <tr r="V23" s="2"/>
      </tp>
      <tp>
        <v>0.40022869999999999</v>
        <stp/>
        <stp>##V3_BDPV12</stp>
        <stp>9888 HK Equity</stp>
        <stp>CHG_PCT_1D</stp>
        <stp>[DPM - Securities Master List (BBG Linked).xlsx]Equities!R22C22</stp>
        <tr r="V22" s="2"/>
      </tp>
      <tp>
        <v>0.40022869999999999</v>
        <stp/>
        <stp>##V3_BDPV12</stp>
        <stp>9888 HK Equity</stp>
        <stp>CHG_PCT_1D</stp>
        <stp>[DPM - Securities Master List (BBG Linked).xlsx]Equities!R15C22</stp>
        <tr r="V15" s="2"/>
      </tp>
      <tp>
        <v>0.40022869999999999</v>
        <stp/>
        <stp>##V3_BDPV12</stp>
        <stp>9888 HK Equity</stp>
        <stp>CHG_PCT_1D</stp>
        <stp>[DPM - Securities Master List (BBG Linked).xlsx]Equities!R17C22</stp>
        <tr r="V17" s="2"/>
      </tp>
      <tp>
        <v>0.40022869999999999</v>
        <stp/>
        <stp>##V3_BDPV12</stp>
        <stp>9888 HK Equity</stp>
        <stp>CHG_PCT_1D</stp>
        <stp>[DPM - Securities Master List (BBG Linked).xlsx]Equities!R16C22</stp>
        <tr r="V16" s="2"/>
      </tp>
      <tp>
        <v>0.40022869999999999</v>
        <stp/>
        <stp>##V3_BDPV12</stp>
        <stp>9888 HK Equity</stp>
        <stp>CHG_PCT_1D</stp>
        <stp>[DPM - Securities Master List (BBG Linked).xlsx]Equities!R19C22</stp>
        <tr r="V19" s="2"/>
      </tp>
      <tp>
        <v>0.40022869999999999</v>
        <stp/>
        <stp>##V3_BDPV12</stp>
        <stp>9888 HK Equity</stp>
        <stp>CHG_PCT_1D</stp>
        <stp>[DPM - Securities Master List (BBG Linked).xlsx]Equities!R18C22</stp>
        <tr r="V18" s="2"/>
      </tp>
      <tp>
        <v>-0.67873470000000002</v>
        <stp/>
        <stp>##V3_BDPV12</stp>
        <stp>9888 HK Equity</stp>
        <stp>CHG_PCT_6M</stp>
        <stp>[DPM - Securities Master List (BBG Linked).xlsx]Equities!R25C42</stp>
        <tr r="AP25" s="2"/>
      </tp>
      <tp>
        <v>-0.67873470000000002</v>
        <stp/>
        <stp>##V3_BDPV12</stp>
        <stp>9888 HK Equity</stp>
        <stp>CHG_PCT_6M</stp>
        <stp>[DPM - Securities Master List (BBG Linked).xlsx]Equities!R24C42</stp>
        <tr r="AP24" s="2"/>
      </tp>
      <tp>
        <v>-0.67873470000000002</v>
        <stp/>
        <stp>##V3_BDPV12</stp>
        <stp>9888 HK Equity</stp>
        <stp>CHG_PCT_6M</stp>
        <stp>[DPM - Securities Master List (BBG Linked).xlsx]Equities!R27C42</stp>
        <tr r="AP27" s="2"/>
      </tp>
      <tp>
        <v>-0.67873470000000002</v>
        <stp/>
        <stp>##V3_BDPV12</stp>
        <stp>9888 HK Equity</stp>
        <stp>CHG_PCT_6M</stp>
        <stp>[DPM - Securities Master List (BBG Linked).xlsx]Equities!R26C42</stp>
        <tr r="AP26" s="2"/>
      </tp>
      <tp>
        <v>-0.67873470000000002</v>
        <stp/>
        <stp>##V3_BDPV12</stp>
        <stp>9888 HK Equity</stp>
        <stp>CHG_PCT_6M</stp>
        <stp>[DPM - Securities Master List (BBG Linked).xlsx]Equities!R21C42</stp>
        <tr r="AP21" s="2"/>
      </tp>
      <tp>
        <v>-0.67873470000000002</v>
        <stp/>
        <stp>##V3_BDPV12</stp>
        <stp>9888 HK Equity</stp>
        <stp>CHG_PCT_6M</stp>
        <stp>[DPM - Securities Master List (BBG Linked).xlsx]Equities!R20C42</stp>
        <tr r="AP20" s="2"/>
      </tp>
      <tp>
        <v>-0.67873470000000002</v>
        <stp/>
        <stp>##V3_BDPV12</stp>
        <stp>9888 HK Equity</stp>
        <stp>CHG_PCT_6M</stp>
        <stp>[DPM - Securities Master List (BBG Linked).xlsx]Equities!R23C42</stp>
        <tr r="AP23" s="2"/>
      </tp>
      <tp>
        <v>-0.67873470000000002</v>
        <stp/>
        <stp>##V3_BDPV12</stp>
        <stp>9888 HK Equity</stp>
        <stp>CHG_PCT_6M</stp>
        <stp>[DPM - Securities Master List (BBG Linked).xlsx]Equities!R22C42</stp>
        <tr r="AP22" s="2"/>
      </tp>
      <tp>
        <v>-0.67873470000000002</v>
        <stp/>
        <stp>##V3_BDPV12</stp>
        <stp>9888 HK Equity</stp>
        <stp>CHG_PCT_6M</stp>
        <stp>[DPM - Securities Master List (BBG Linked).xlsx]Equities!R15C42</stp>
        <tr r="AP15" s="2"/>
      </tp>
      <tp>
        <v>-0.67873470000000002</v>
        <stp/>
        <stp>##V3_BDPV12</stp>
        <stp>9888 HK Equity</stp>
        <stp>CHG_PCT_6M</stp>
        <stp>[DPM - Securities Master List (BBG Linked).xlsx]Equities!R17C42</stp>
        <tr r="AP17" s="2"/>
      </tp>
      <tp>
        <v>-0.67873470000000002</v>
        <stp/>
        <stp>##V3_BDPV12</stp>
        <stp>9888 HK Equity</stp>
        <stp>CHG_PCT_6M</stp>
        <stp>[DPM - Securities Master List (BBG Linked).xlsx]Equities!R16C42</stp>
        <tr r="AP16" s="2"/>
      </tp>
      <tp>
        <v>-0.67873470000000002</v>
        <stp/>
        <stp>##V3_BDPV12</stp>
        <stp>9888 HK Equity</stp>
        <stp>CHG_PCT_6M</stp>
        <stp>[DPM - Securities Master List (BBG Linked).xlsx]Equities!R19C42</stp>
        <tr r="AP19" s="2"/>
      </tp>
      <tp>
        <v>-0.67873470000000002</v>
        <stp/>
        <stp>##V3_BDPV12</stp>
        <stp>9888 HK Equity</stp>
        <stp>CHG_PCT_6M</stp>
        <stp>[DPM - Securities Master List (BBG Linked).xlsx]Equities!R18C42</stp>
        <tr r="AP18" s="2"/>
      </tp>
      <tp>
        <v>0.2283105</v>
        <stp/>
        <stp>##V3_BDPV12</stp>
        <stp>9888 HK Equity</stp>
        <stp>CHG_PCT_5D</stp>
        <stp>[DPM - Securities Master List (BBG Linked).xlsx]Equities!R25C23</stp>
        <tr r="W25" s="2"/>
      </tp>
      <tp>
        <v>0.2283105</v>
        <stp/>
        <stp>##V3_BDPV12</stp>
        <stp>9888 HK Equity</stp>
        <stp>CHG_PCT_5D</stp>
        <stp>[DPM - Securities Master List (BBG Linked).xlsx]Equities!R24C23</stp>
        <tr r="W24" s="2"/>
      </tp>
      <tp>
        <v>0.2283105</v>
        <stp/>
        <stp>##V3_BDPV12</stp>
        <stp>9888 HK Equity</stp>
        <stp>CHG_PCT_5D</stp>
        <stp>[DPM - Securities Master List (BBG Linked).xlsx]Equities!R27C23</stp>
        <tr r="W27" s="2"/>
      </tp>
      <tp>
        <v>0.2283105</v>
        <stp/>
        <stp>##V3_BDPV12</stp>
        <stp>9888 HK Equity</stp>
        <stp>CHG_PCT_5D</stp>
        <stp>[DPM - Securities Master List (BBG Linked).xlsx]Equities!R26C23</stp>
        <tr r="W26" s="2"/>
      </tp>
      <tp>
        <v>0.2283105</v>
        <stp/>
        <stp>##V3_BDPV12</stp>
        <stp>9888 HK Equity</stp>
        <stp>CHG_PCT_5D</stp>
        <stp>[DPM - Securities Master List (BBG Linked).xlsx]Equities!R21C23</stp>
        <tr r="W21" s="2"/>
      </tp>
      <tp>
        <v>0.2283105</v>
        <stp/>
        <stp>##V3_BDPV12</stp>
        <stp>9888 HK Equity</stp>
        <stp>CHG_PCT_5D</stp>
        <stp>[DPM - Securities Master List (BBG Linked).xlsx]Equities!R20C23</stp>
        <tr r="W20" s="2"/>
      </tp>
      <tp>
        <v>0.2283105</v>
        <stp/>
        <stp>##V3_BDPV12</stp>
        <stp>9888 HK Equity</stp>
        <stp>CHG_PCT_5D</stp>
        <stp>[DPM - Securities Master List (BBG Linked).xlsx]Equities!R23C23</stp>
        <tr r="W23" s="2"/>
      </tp>
      <tp>
        <v>0.2283105</v>
        <stp/>
        <stp>##V3_BDPV12</stp>
        <stp>9888 HK Equity</stp>
        <stp>CHG_PCT_5D</stp>
        <stp>[DPM - Securities Master List (BBG Linked).xlsx]Equities!R22C23</stp>
        <tr r="W22" s="2"/>
      </tp>
      <tp>
        <v>0.2283105</v>
        <stp/>
        <stp>##V3_BDPV12</stp>
        <stp>9888 HK Equity</stp>
        <stp>CHG_PCT_5D</stp>
        <stp>[DPM - Securities Master List (BBG Linked).xlsx]Equities!R15C23</stp>
        <tr r="W15" s="2"/>
      </tp>
      <tp>
        <v>0.2283105</v>
        <stp/>
        <stp>##V3_BDPV12</stp>
        <stp>9888 HK Equity</stp>
        <stp>CHG_PCT_5D</stp>
        <stp>[DPM - Securities Master List (BBG Linked).xlsx]Equities!R17C23</stp>
        <tr r="W17" s="2"/>
      </tp>
      <tp>
        <v>0.2283105</v>
        <stp/>
        <stp>##V3_BDPV12</stp>
        <stp>9888 HK Equity</stp>
        <stp>CHG_PCT_5D</stp>
        <stp>[DPM - Securities Master List (BBG Linked).xlsx]Equities!R16C23</stp>
        <tr r="W16" s="2"/>
      </tp>
      <tp>
        <v>0.2283105</v>
        <stp/>
        <stp>##V3_BDPV12</stp>
        <stp>9888 HK Equity</stp>
        <stp>CHG_PCT_5D</stp>
        <stp>[DPM - Securities Master List (BBG Linked).xlsx]Equities!R19C23</stp>
        <tr r="W19" s="2"/>
      </tp>
      <tp>
        <v>0.2283105</v>
        <stp/>
        <stp>##V3_BDPV12</stp>
        <stp>9888 HK Equity</stp>
        <stp>CHG_PCT_5D</stp>
        <stp>[DPM - Securities Master List (BBG Linked).xlsx]Equities!R18C23</stp>
        <tr r="W18" s="2"/>
      </tp>
      <tp t="s">
        <v>#N/A Invalid Field</v>
        <stp/>
        <stp>##V3_BDPV12</stp>
        <stp>BP/ LN Equity</stp>
        <stp/>
        <stp>[DPM - Securities Master List (BBG Linked).xlsx]Equities!R77C29</stp>
        <tr r="AC77" s="2"/>
        <tr r="AC77" s="2"/>
      </tp>
      <tp t="s">
        <v>#N/A Invalid Field</v>
        <stp/>
        <stp>##V3_BDPV12</stp>
        <stp>BP/ LN Equity</stp>
        <stp/>
        <stp>[DPM - Securities Master List (BBG Linked).xlsx]Equities!R78C29</stp>
        <tr r="AC78" s="2"/>
        <tr r="AC78" s="2"/>
      </tp>
      <tp t="s">
        <v>#N/A Invalid Field</v>
        <stp/>
        <stp>##V3_BDPV12</stp>
        <stp>BP/ LN Equity</stp>
        <stp/>
        <stp>[DPM - Securities Master List (BBG Linked).xlsx]Equities!R79C29</stp>
        <tr r="AC79" s="2"/>
        <tr r="AC79" s="2"/>
      </tp>
      <tp t="s">
        <v>#N/A Invalid Field</v>
        <stp/>
        <stp>##V3_BDPV12</stp>
        <stp>BP/ LN Equity</stp>
        <stp/>
        <stp>[DPM - Securities Master List (BBG Linked).xlsx]Equities!R84C29</stp>
        <tr r="AC84" s="2"/>
        <tr r="AC84" s="2"/>
      </tp>
      <tp t="s">
        <v>#N/A Invalid Field</v>
        <stp/>
        <stp>##V3_BDPV12</stp>
        <stp>BP/ LN Equity</stp>
        <stp/>
        <stp>[DPM - Securities Master List (BBG Linked).xlsx]Equities!R85C29</stp>
        <tr r="AC85" s="2"/>
        <tr r="AC85" s="2"/>
      </tp>
      <tp t="s">
        <v>#N/A Invalid Field</v>
        <stp/>
        <stp>##V3_BDPV12</stp>
        <stp>BP/ LN Equity</stp>
        <stp/>
        <stp>[DPM - Securities Master List (BBG Linked).xlsx]Equities!R86C29</stp>
        <tr r="AC86" s="2"/>
        <tr r="AC86" s="2"/>
      </tp>
      <tp t="s">
        <v>#N/A Invalid Field</v>
        <stp/>
        <stp>##V3_BDPV12</stp>
        <stp>BP/ LN Equity</stp>
        <stp/>
        <stp>[DPM - Securities Master List (BBG Linked).xlsx]Equities!R87C29</stp>
        <tr r="AC87" s="2"/>
        <tr r="AC87" s="2"/>
      </tp>
      <tp t="s">
        <v>#N/A Invalid Field</v>
        <stp/>
        <stp>##V3_BDPV12</stp>
        <stp>BP/ LN Equity</stp>
        <stp/>
        <stp>[DPM - Securities Master List (BBG Linked).xlsx]Equities!R80C29</stp>
        <tr r="AC80" s="2"/>
        <tr r="AC80" s="2"/>
      </tp>
      <tp t="s">
        <v>#N/A Invalid Field</v>
        <stp/>
        <stp>##V3_BDPV12</stp>
        <stp>BP/ LN Equity</stp>
        <stp/>
        <stp>[DPM - Securities Master List (BBG Linked).xlsx]Equities!R81C29</stp>
        <tr r="AC81" s="2"/>
        <tr r="AC81" s="2"/>
      </tp>
      <tp t="s">
        <v>#N/A Invalid Field</v>
        <stp/>
        <stp>##V3_BDPV12</stp>
        <stp>BP/ LN Equity</stp>
        <stp/>
        <stp>[DPM - Securities Master List (BBG Linked).xlsx]Equities!R82C29</stp>
        <tr r="AC82" s="2"/>
        <tr r="AC82" s="2"/>
      </tp>
      <tp t="s">
        <v>#N/A Invalid Field</v>
        <stp/>
        <stp>##V3_BDPV12</stp>
        <stp>BP/ LN Equity</stp>
        <stp/>
        <stp>[DPM - Securities Master List (BBG Linked).xlsx]Equities!R83C29</stp>
        <tr r="AC83" s="2"/>
        <tr r="AC83" s="2"/>
      </tp>
      <tp t="s">
        <v>#N/A Invalid Field</v>
        <stp/>
        <stp>##V3_BDPV12</stp>
        <stp>BP/ LN Equity</stp>
        <stp/>
        <stp>[DPM - Securities Master List (BBG Linked).xlsx]Equities!R88C29</stp>
        <tr r="AC88" s="2"/>
        <tr r="AC88" s="2"/>
      </tp>
      <tp t="s">
        <v>#N/A Invalid Field</v>
        <stp/>
        <stp>##V3_BDPV12</stp>
        <stp>BP/ LN Equity</stp>
        <stp/>
        <stp>[DPM - Securities Master List (BBG Linked).xlsx]Equities!R89C29</stp>
        <tr r="AC89" s="2"/>
        <tr r="AC89" s="2"/>
      </tp>
      <tp t="s">
        <v>#N/A Invalid Field</v>
        <stp/>
        <stp>##V3_BDPV12</stp>
        <stp>BP/ LN Equity</stp>
        <stp/>
        <stp>[DPM - Securities Master List (BBG Linked).xlsx]Equities!R90C29</stp>
        <tr r="AC90" s="2"/>
        <tr r="AC90" s="2"/>
      </tp>
      <tp t="s">
        <v>#N/A Invalid Field</v>
        <stp/>
        <stp>##V3_BDPV12</stp>
        <stp>ABF LN Equity</stp>
        <stp/>
        <stp>[DPM - Securities Master List (BBG Linked).xlsx]Equities!R35C29</stp>
        <tr r="AC35" s="2"/>
        <tr r="AC35" s="2"/>
      </tp>
      <tp t="s">
        <v>#N/A Invalid Field</v>
        <stp/>
        <stp>##V3_BDPV12</stp>
        <stp>AZN LN Equity</stp>
        <stp/>
        <stp>[DPM - Securities Master List (BBG Linked).xlsx]Equities!R55C29</stp>
        <tr r="AC55" s="2"/>
        <tr r="AC55" s="2"/>
      </tp>
      <tp t="s">
        <v>#N/A Invalid Field</v>
        <stp/>
        <stp>##V3_BDPV12</stp>
        <stp>AZN LN Equity</stp>
        <stp/>
        <stp>[DPM - Securities Master List (BBG Linked).xlsx]Equities!R54C29</stp>
        <tr r="AC54" s="2"/>
        <tr r="AC54" s="2"/>
      </tp>
      <tp t="s">
        <v>#N/A Invalid Field</v>
        <stp/>
        <stp>##V3_BDPV12</stp>
        <stp>AZN LN Equity</stp>
        <stp/>
        <stp>[DPM - Securities Master List (BBG Linked).xlsx]Equities!R57C29</stp>
        <tr r="AC57" s="2"/>
        <tr r="AC57" s="2"/>
      </tp>
      <tp t="s">
        <v>#N/A Invalid Field</v>
        <stp/>
        <stp>##V3_BDPV12</stp>
        <stp>AZN LN Equity</stp>
        <stp/>
        <stp>[DPM - Securities Master List (BBG Linked).xlsx]Equities!R56C29</stp>
        <tr r="AC56" s="2"/>
        <tr r="AC56" s="2"/>
      </tp>
      <tp t="s">
        <v>#N/A Invalid Field</v>
        <stp/>
        <stp>##V3_BDPV12</stp>
        <stp>AZN LN Equity</stp>
        <stp/>
        <stp>[DPM - Securities Master List (BBG Linked).xlsx]Equities!R51C29</stp>
        <tr r="AC51" s="2"/>
        <tr r="AC51" s="2"/>
      </tp>
      <tp t="s">
        <v>#N/A Invalid Field</v>
        <stp/>
        <stp>##V3_BDPV12</stp>
        <stp>AZN LN Equity</stp>
        <stp/>
        <stp>[DPM - Securities Master List (BBG Linked).xlsx]Equities!R53C29</stp>
        <tr r="AC53" s="2"/>
        <tr r="AC53" s="2"/>
      </tp>
      <tp t="s">
        <v>#N/A Invalid Field</v>
        <stp/>
        <stp>##V3_BDPV12</stp>
        <stp>AZN LN Equity</stp>
        <stp/>
        <stp>[DPM - Securities Master List (BBG Linked).xlsx]Equities!R52C29</stp>
        <tr r="AC52" s="2"/>
        <tr r="AC52" s="2"/>
      </tp>
      <tp t="s">
        <v>#N/A Invalid Field</v>
        <stp/>
        <stp>##V3_BDPV12</stp>
        <stp>AZN LN Equity</stp>
        <stp/>
        <stp>[DPM - Securities Master List (BBG Linked).xlsx]Equities!R59C29</stp>
        <tr r="AC59" s="2"/>
        <tr r="AC59" s="2"/>
      </tp>
      <tp t="s">
        <v>#N/A Invalid Field</v>
        <stp/>
        <stp>##V3_BDPV12</stp>
        <stp>AZN LN Equity</stp>
        <stp/>
        <stp>[DPM - Securities Master List (BBG Linked).xlsx]Equities!R58C29</stp>
        <tr r="AC58" s="2"/>
        <tr r="AC58" s="2"/>
      </tp>
      <tp t="s">
        <v>#N/A Invalid Field</v>
        <stp/>
        <stp>##V3_BDPV12</stp>
        <stp>AZN LN Equity</stp>
        <stp/>
        <stp>[DPM - Securities Master List (BBG Linked).xlsx]Equities!R61C29</stp>
        <tr r="AC61" s="2"/>
        <tr r="AC61" s="2"/>
      </tp>
      <tp t="s">
        <v>#N/A Invalid Field</v>
        <stp/>
        <stp>##V3_BDPV12</stp>
        <stp>AZN LN Equity</stp>
        <stp/>
        <stp>[DPM - Securities Master List (BBG Linked).xlsx]Equities!R60C29</stp>
        <tr r="AC60" s="2"/>
        <tr r="AC60" s="2"/>
      </tp>
      <tp t="s">
        <v>#N/A Invalid Field</v>
        <stp/>
        <stp>##V3_BDPV12</stp>
        <stp>BMY US Equity</stp>
        <stp/>
        <stp>[DPM - Securities Master List (BBG Linked).xlsx]Equities!R76C29</stp>
        <tr r="AC76" s="2"/>
        <tr r="AC76" s="2"/>
      </tp>
      <tp t="s">
        <v>#N/A Invalid Field</v>
        <stp/>
        <stp>##V3_BDPV12</stp>
        <stp>AAL US Equity</stp>
        <stp/>
        <stp>[DPM - Securities Master List (BBG Linked).xlsx]Equities!R29C29</stp>
        <tr r="AC29" s="2"/>
        <tr r="AC29" s="2"/>
      </tp>
      <tp t="s">
        <v>#N/A Invalid Field</v>
        <stp/>
        <stp>##V3_BDPV12</stp>
        <stp>AAL US Equity</stp>
        <stp/>
        <stp>[DPM - Securities Master List (BBG Linked).xlsx]Equities!R28C29</stp>
        <tr r="AC28" s="2"/>
        <tr r="AC28" s="2"/>
      </tp>
      <tp t="s">
        <v>#N/A Invalid Field</v>
        <stp/>
        <stp>##V3_BDPV12</stp>
        <stp>AAL US Equity</stp>
        <stp/>
        <stp>[DPM - Securities Master List (BBG Linked).xlsx]Equities!R33C29</stp>
        <tr r="AC33" s="2"/>
        <tr r="AC33" s="2"/>
      </tp>
      <tp t="s">
        <v>#N/A Invalid Field</v>
        <stp/>
        <stp>##V3_BDPV12</stp>
        <stp>AAL US Equity</stp>
        <stp/>
        <stp>[DPM - Securities Master List (BBG Linked).xlsx]Equities!R32C29</stp>
        <tr r="AC32" s="2"/>
        <tr r="AC32" s="2"/>
      </tp>
      <tp t="s">
        <v>#N/A Invalid Field</v>
        <stp/>
        <stp>##V3_BDPV12</stp>
        <stp>AAL US Equity</stp>
        <stp/>
        <stp>[DPM - Securities Master List (BBG Linked).xlsx]Equities!R31C29</stp>
        <tr r="AC31" s="2"/>
        <tr r="AC31" s="2"/>
      </tp>
      <tp t="s">
        <v>#N/A Invalid Field</v>
        <stp/>
        <stp>##V3_BDPV12</stp>
        <stp>AAL US Equity</stp>
        <stp/>
        <stp>[DPM - Securities Master List (BBG Linked).xlsx]Equities!R30C29</stp>
        <tr r="AC30" s="2"/>
        <tr r="AC30" s="2"/>
      </tp>
      <tp t="s">
        <v>Health Care</v>
        <stp/>
        <stp>##V3_BDPV12</stp>
        <stp>ZBH US Equity</stp>
        <stp>DX202</stp>
        <stp>[DPM - Securities Master List (BBG Linked).xlsx]Equities!R294C8</stp>
        <tr r="H294" s="2"/>
        <tr r="H294" s="2"/>
        <tr r="H294" s="2"/>
      </tp>
      <tp t="s">
        <v>Utilities</v>
        <stp/>
        <stp>##V3_BDPV12</stp>
        <stp>DRX LN Equity</stp>
        <stp>DX202</stp>
        <stp>[DPM - Securities Master List (BBG Linked).xlsx]Equities!R123C8</stp>
        <tr r="H123" s="2"/>
        <tr r="H123" s="2"/>
        <tr r="H123" s="2"/>
      </tp>
      <tp>
        <v>100.1</v>
        <stp/>
        <stp>##V3_BDPV12</stp>
        <stp>3690 HK Equity</stp>
        <stp>hs002</stp>
        <stp>[DPM - Securities Master List (BBG Linked).xlsx]Equities!R7C45</stp>
        <tr r="AS7" s="2"/>
      </tp>
      <tp>
        <v>100.1</v>
        <stp/>
        <stp>##V3_BDPV12</stp>
        <stp>3690 HK Equity</stp>
        <stp>hs002</stp>
        <stp>[DPM - Securities Master List (BBG Linked).xlsx]Equities!R9C45</stp>
        <tr r="AS9" s="2"/>
      </tp>
      <tp>
        <v>100.1</v>
        <stp/>
        <stp>##V3_BDPV12</stp>
        <stp>3690 HK Equity</stp>
        <stp>hs002</stp>
        <stp>[DPM - Securities Master List (BBG Linked).xlsx]Equities!R8C45</stp>
        <tr r="AS8" s="2"/>
      </tp>
      <tp>
        <v>217</v>
        <stp/>
        <stp>##V3_BDPV12</stp>
        <stp>3690 HK Equity</stp>
        <stp>hs001</stp>
        <stp>[DPM - Securities Master List (BBG Linked).xlsx]Equities!R7C44</stp>
        <tr r="AR7" s="2"/>
      </tp>
      <tp>
        <v>217</v>
        <stp/>
        <stp>##V3_BDPV12</stp>
        <stp>3690 HK Equity</stp>
        <stp>hs001</stp>
        <stp>[DPM - Securities Master List (BBG Linked).xlsx]Equities!R8C44</stp>
        <tr r="AR8" s="2"/>
      </tp>
      <tp>
        <v>217</v>
        <stp/>
        <stp>##V3_BDPV12</stp>
        <stp>3690 HK Equity</stp>
        <stp>hs001</stp>
        <stp>[DPM - Securities Master List (BBG Linked).xlsx]Equities!R9C44</stp>
        <tr r="AR9" s="2"/>
      </tp>
    </main>
    <main first="bofaddin.rtdserver">
      <tp t="e">
        <v>#N/A</v>
        <stp/>
        <stp>BDP|84563667040012536</stp>
        <tr r="Z97" s="1"/>
        <tr r="Z75" s="1"/>
        <tr r="Z60" s="1"/>
        <tr r="Z40" s="1"/>
        <tr r="Z4" s="1"/>
        <tr r="Z25" s="1"/>
        <tr r="Z163" s="1"/>
        <tr r="Z117" s="1"/>
      </tp>
    </main>
    <main first="bloomberg.rtd">
      <tp t="s">
        <v>Consumer Staples</v>
        <stp/>
        <stp>##V3_BDPV12</stp>
        <stp>TSCO LN Equity</stp>
        <stp>DX202</stp>
        <stp>[DPM - Securities Master List (BBG Linked).xlsx]Equities!R266C8</stp>
        <tr r="H266" s="2"/>
        <tr r="H266" s="2"/>
        <tr r="H266" s="2"/>
      </tp>
      <tp t="s">
        <v>Alphabet Inc</v>
        <stp/>
        <stp>##V3_BDPV12</stp>
        <stp>GOOGL US Equity</stp>
        <stp>SECURITY NAME</stp>
        <stp>[DPM - Securities Master List (BBG Linked).xlsx]Equities!R134C5</stp>
        <tr r="E134" s="2"/>
      </tp>
      <tp t="s">
        <v>#N/A Invalid Override</v>
        <stp/>
        <stp>##V3_BDPV12</stp>
        <stp>USF2280BAA47 isin</stp>
        <stp>YAS_BOND_YLD</stp>
        <stp>[DPM - Securities Master List (BBG Linked).xlsx]Bonds!R79C10</stp>
        <stp>YAS_YLD_FLAG=15</stp>
        <stp>user_local_trade_date</stp>
        <stp>45783</stp>
        <stp>Yas_bond_px</stp>
        <stp>#N/A Connection</stp>
        <tr r="J79" s="1"/>
      </tp>
      <tp t="s">
        <v>#N/A Invalid Override</v>
        <stp/>
        <stp>##V3_BDPV12</stp>
        <stp>USF2280BAA47 isin</stp>
        <stp>YAS_BOND_YLD</stp>
        <stp>[DPM - Securities Master List (BBG Linked).xlsx]Bonds!R98C10</stp>
        <stp>YAS_YLD_FLAG=15</stp>
        <stp>user_local_trade_date</stp>
        <stp>45783</stp>
        <stp>Yas_bond_px</stp>
        <stp>#N/A Connection</stp>
        <tr r="J98" s="1"/>
      </tp>
      <tp t="s">
        <v>Energy</v>
        <stp/>
        <stp>##V3_BDPV12</stp>
        <stp>BP/ LN Equity</stp>
        <stp>DX202</stp>
        <stp>[DPM - Securities Master List (BBG Linked).xlsx]Equities!R87C8</stp>
        <tr r="H87" s="2"/>
        <tr r="H87" s="2"/>
        <tr r="H87" s="2"/>
      </tp>
      <tp t="s">
        <v>Energy</v>
        <stp/>
        <stp>##V3_BDPV12</stp>
        <stp>BP/ LN Equity</stp>
        <stp>DX202</stp>
        <stp>[DPM - Securities Master List (BBG Linked).xlsx]Equities!R77C8</stp>
        <tr r="H77" s="2"/>
        <tr r="H77" s="2"/>
        <tr r="H77" s="2"/>
      </tp>
      <tp t="s">
        <v>Health Care</v>
        <stp/>
        <stp>##V3_BDPV12</stp>
        <stp>AZN LN Equity</stp>
        <stp>DX202</stp>
        <stp>[DPM - Securities Master List (BBG Linked).xlsx]Equities!R57C8</stp>
        <tr r="H57" s="2"/>
        <tr r="H57" s="2"/>
        <tr r="H57" s="2"/>
      </tp>
    </main>
    <main first="bofaddin.rtdserver">
      <tp t="e">
        <v>#N/A</v>
        <stp/>
        <stp>BDP|403194770256265525</stp>
        <tr r="AU78" s="3"/>
        <tr r="AU78" s="3"/>
        <tr r="AU77" s="3"/>
        <tr r="AU77" s="3"/>
        <tr r="AU76" s="3"/>
        <tr r="AU76" s="3"/>
        <tr r="AU75" s="3"/>
        <tr r="AU75" s="3"/>
        <tr r="AU74" s="3"/>
        <tr r="AU74" s="3"/>
        <tr r="AU73" s="3"/>
        <tr r="AU73" s="3"/>
      </tp>
      <tp t="e">
        <v>#N/A</v>
        <stp/>
        <stp>BDP|515874049198117144</stp>
        <tr r="W69" s="1"/>
        <tr r="W57" s="1"/>
      </tp>
      <tp t="e">
        <v>#N/A</v>
        <stp/>
        <stp>BDP|573634709330674371</stp>
        <tr r="AR94" s="3"/>
        <tr r="AR94" s="3"/>
        <tr r="AR94" s="3"/>
        <tr r="AR93" s="3"/>
        <tr r="AR93" s="3"/>
        <tr r="AR93" s="3"/>
        <tr r="AR92" s="3"/>
        <tr r="AR92" s="3"/>
        <tr r="AR92" s="3"/>
        <tr r="AR91" s="3"/>
        <tr r="AR91" s="3"/>
        <tr r="AR91" s="3"/>
        <tr r="AR90" s="3"/>
        <tr r="AR90" s="3"/>
        <tr r="AR90" s="3"/>
        <tr r="AR89" s="3"/>
        <tr r="AR89" s="3"/>
        <tr r="AR89" s="3"/>
        <tr r="AR88" s="3"/>
        <tr r="AR88" s="3"/>
        <tr r="AR88" s="3"/>
        <tr r="AR87" s="3"/>
        <tr r="AR87" s="3"/>
        <tr r="AR87" s="3"/>
        <tr r="AR86" s="3"/>
        <tr r="AR86" s="3"/>
        <tr r="AR86" s="3"/>
        <tr r="AR85" s="3"/>
        <tr r="AR85" s="3"/>
        <tr r="AR85" s="3"/>
        <tr r="AR84" s="3"/>
        <tr r="AR84" s="3"/>
        <tr r="AR84" s="3"/>
        <tr r="AR83" s="3"/>
        <tr r="AR83" s="3"/>
        <tr r="AR83" s="3"/>
        <tr r="AR82" s="3"/>
        <tr r="AR82" s="3"/>
        <tr r="AR82" s="3"/>
        <tr r="AR81" s="3"/>
        <tr r="AR81" s="3"/>
        <tr r="AR81" s="3"/>
        <tr r="AR80" s="3"/>
        <tr r="AR80" s="3"/>
        <tr r="AR80" s="3"/>
        <tr r="AR79" s="3"/>
        <tr r="AR79" s="3"/>
        <tr r="AR79" s="3"/>
      </tp>
      <tp t="e">
        <v>#N/A</v>
        <stp/>
        <stp>BDP|600017448844697530</stp>
        <tr r="AK87" s="1"/>
        <tr r="AK87" s="1"/>
        <tr r="AK87" s="1"/>
      </tp>
      <tp t="e">
        <v>#N/A</v>
        <stp/>
        <stp>BDP|759100221501258707</stp>
        <tr r="AS19" s="1"/>
      </tp>
      <tp t="e">
        <v>#N/A</v>
        <stp/>
        <stp>BDP|178344226806739213</stp>
        <tr r="M140" s="1"/>
        <tr r="M140" s="1"/>
        <tr r="M128" s="1"/>
        <tr r="M128" s="1"/>
      </tp>
      <tp t="e">
        <v>#N/A</v>
        <stp/>
        <stp>BDP|622351712014116352</stp>
        <tr r="W114" s="3"/>
        <tr r="W113" s="3"/>
        <tr r="W112" s="3"/>
      </tp>
      <tp t="e">
        <v>#N/A</v>
        <stp/>
        <stp>BDP|799459571932648430</stp>
        <tr r="Z66" s="1"/>
        <tr r="Z49" s="1"/>
        <tr r="Z42" s="1"/>
      </tp>
      <tp t="e">
        <v>#N/A</v>
        <stp/>
        <stp>BDP|744492258662327658</stp>
        <tr r="AS35" s="1"/>
        <tr r="AS24" s="1"/>
        <tr r="AS153" s="1"/>
        <tr r="L35" s="1"/>
        <tr r="L35" s="1"/>
        <tr r="L24" s="1"/>
        <tr r="L24" s="1"/>
        <tr r="L153" s="1"/>
        <tr r="L153" s="1"/>
      </tp>
      <tp t="e">
        <v>#N/A</v>
        <stp/>
        <stp>BDP|794831492252496608</stp>
        <tr r="AH119" s="3"/>
        <tr r="AH119" s="3"/>
        <tr r="AH119" s="3"/>
        <tr r="AH118" s="3"/>
        <tr r="AH118" s="3"/>
        <tr r="AH118" s="3"/>
        <tr r="AH117" s="3"/>
        <tr r="AH117" s="3"/>
        <tr r="AH117" s="3"/>
        <tr r="AH116" s="3"/>
        <tr r="AH116" s="3"/>
        <tr r="AH116" s="3"/>
      </tp>
    </main>
    <main first="bloomberg.rtd">
      <tp t="s">
        <v>#N/A N/A</v>
        <stp/>
        <stp>##V3_BDPV12</stp>
        <stp>REGN US Equity</stp>
        <stp>DY784</stp>
        <stp>[DPM - Securities Master List (BBG Linked).xlsx]Equities!R241C48</stp>
        <tr r="AV241" s="2"/>
        <tr r="AV241" s="2"/>
      </tp>
    </main>
    <main first="bloomberg.rtd">
      <tp>
        <v>11635.988473874999</v>
        <stp/>
        <stp>##V3_BDPV12</stp>
        <stp>BMRN US Equity</stp>
        <stp>CRNCY_ADJ_MKT_CAP</stp>
        <stp>[DPM - Securities Master List (BBG Linked).xlsx]Equities!R75C9</stp>
        <stp>EQY_FUND_CRNCY=USD</stp>
        <tr r="I75" s="2"/>
      </tp>
      <tp>
        <v>11635.988473874999</v>
        <stp/>
        <stp>##V3_BDPV12</stp>
        <stp>BMRN US Equity</stp>
        <stp>CRNCY_ADJ_MKT_CAP</stp>
        <stp>[DPM - Securities Master List (BBG Linked).xlsx]Equities!R74C9</stp>
        <stp>EQY_FUND_CRNCY=USD</stp>
        <tr r="I74" s="2"/>
      </tp>
      <tp>
        <v>11635.988473874999</v>
        <stp/>
        <stp>##V3_BDPV12</stp>
        <stp>BMRN US Equity</stp>
        <stp>CRNCY_ADJ_MKT_CAP</stp>
        <stp>[DPM - Securities Master List (BBG Linked).xlsx]Equities!R73C9</stp>
        <stp>EQY_FUND_CRNCY=USD</stp>
        <tr r="I73" s="2"/>
      </tp>
      <tp>
        <v>11635.988473874999</v>
        <stp/>
        <stp>##V3_BDPV12</stp>
        <stp>BMRN US Equity</stp>
        <stp>CRNCY_ADJ_MKT_CAP</stp>
        <stp>[DPM - Securities Master List (BBG Linked).xlsx]Equities!R72C9</stp>
        <stp>EQY_FUND_CRNCY=USD</stp>
        <tr r="I72" s="2"/>
      </tp>
      <tp>
        <v>11635.988473874999</v>
        <stp/>
        <stp>##V3_BDPV12</stp>
        <stp>BMRN US Equity</stp>
        <stp>CRNCY_ADJ_MKT_CAP</stp>
        <stp>[DPM - Securities Master List (BBG Linked).xlsx]Equities!R71C9</stp>
        <stp>EQY_FUND_CRNCY=USD</stp>
        <tr r="I71" s="2"/>
      </tp>
      <tp>
        <v>11635.988473874999</v>
        <stp/>
        <stp>##V3_BDPV12</stp>
        <stp>BMRN US Equity</stp>
        <stp>CRNCY_ADJ_MKT_CAP</stp>
        <stp>[DPM - Securities Master List (BBG Linked).xlsx]Equities!R70C9</stp>
        <stp>EQY_FUND_CRNCY=USD</stp>
        <tr r="I70" s="2"/>
      </tp>
      <tp t="s">
        <v>#N/A Invalid Field</v>
        <stp/>
        <stp>##V3_BDPV12</stp>
        <stp>VOW3 GY Equity</stp>
        <stp/>
        <stp>[DPM - Securities Master List (BBG Linked).xlsx]Equities!R289C29</stp>
        <tr r="AC289" s="2"/>
        <tr r="AC289" s="2"/>
      </tp>
      <tp t="s">
        <v>#N/A Invalid Field</v>
        <stp/>
        <stp>##V3_BDPV12</stp>
        <stp>VOW3 GY Equity</stp>
        <stp/>
        <stp>[DPM - Securities Master List (BBG Linked).xlsx]Equities!R291C29</stp>
        <tr r="AC291" s="2"/>
        <tr r="AC291" s="2"/>
      </tp>
      <tp t="s">
        <v>#N/A Invalid Field</v>
        <stp/>
        <stp>##V3_BDPV12</stp>
        <stp>VOW3 GY Equity</stp>
        <stp/>
        <stp>[DPM - Securities Master List (BBG Linked).xlsx]Equities!R290C29</stp>
        <tr r="AC290" s="2"/>
        <tr r="AC290" s="2"/>
      </tp>
      <tp t="s">
        <v>#N/A Invalid Field</v>
        <stp/>
        <stp>##V3_BDPV12</stp>
        <stp>VOW3 GY Equity</stp>
        <stp/>
        <stp>[DPM - Securities Master List (BBG Linked).xlsx]Equities!R293C29</stp>
        <tr r="AC293" s="2"/>
        <tr r="AC293" s="2"/>
      </tp>
      <tp t="s">
        <v>#N/A Invalid Field</v>
        <stp/>
        <stp>##V3_BDPV12</stp>
        <stp>VOW3 GY Equity</stp>
        <stp/>
        <stp>[DPM - Securities Master List (BBG Linked).xlsx]Equities!R292C29</stp>
        <tr r="AC292" s="2"/>
        <tr r="AC292" s="2"/>
      </tp>
      <tp>
        <v>4.3057049999999997</v>
        <stp/>
        <stp>##V3_BDPV12</stp>
        <stp>SMSN.LI Equity</stp>
        <stp>PR064</stp>
        <stp>[DPM - Securities Master List (BBG Linked).xlsx]Equities!R243C41</stp>
        <tr r="AO243" s="2"/>
      </tp>
      <tp>
        <v>4.1935479999999998</v>
        <stp/>
        <stp>##V3_BDPV12</stp>
        <stp>SMSN.LI Equity</stp>
        <stp>PR061</stp>
        <stp>[DPM - Securities Master List (BBG Linked).xlsx]Equities!R243C40</stp>
        <tr r="AN243" s="2"/>
      </tp>
      <tp t="s">
        <v>Y</v>
        <stp/>
        <stp>##V3_BDPV12</stp>
        <stp>MSFT US Equity</stp>
        <stp>DY997</stp>
        <stp>[DPM - Securities Master List (BBG Linked).xlsx]Equities!R179C47</stp>
        <tr r="AU179" s="2"/>
        <tr r="AU179" s="2"/>
        <tr r="AU179" s="2"/>
      </tp>
      <tp t="s">
        <v>Y</v>
        <stp/>
        <stp>##V3_BDPV12</stp>
        <stp>MSFT US Equity</stp>
        <stp>DY997</stp>
        <stp>[DPM - Securities Master List (BBG Linked).xlsx]Equities!R178C47</stp>
        <tr r="AU178" s="2"/>
        <tr r="AU178" s="2"/>
        <tr r="AU178" s="2"/>
      </tp>
      <tp t="s">
        <v>Y</v>
        <stp/>
        <stp>##V3_BDPV12</stp>
        <stp>MSFT US Equity</stp>
        <stp>DY997</stp>
        <stp>[DPM - Securities Master List (BBG Linked).xlsx]Equities!R173C47</stp>
        <tr r="AU173" s="2"/>
        <tr r="AU173" s="2"/>
        <tr r="AU173" s="2"/>
      </tp>
      <tp t="s">
        <v>Y</v>
        <stp/>
        <stp>##V3_BDPV12</stp>
        <stp>MSFT US Equity</stp>
        <stp>DY997</stp>
        <stp>[DPM - Securities Master List (BBG Linked).xlsx]Equities!R172C47</stp>
        <tr r="AU172" s="2"/>
        <tr r="AU172" s="2"/>
        <tr r="AU172" s="2"/>
      </tp>
      <tp t="s">
        <v>Y</v>
        <stp/>
        <stp>##V3_BDPV12</stp>
        <stp>MSFT US Equity</stp>
        <stp>DY997</stp>
        <stp>[DPM - Securities Master List (BBG Linked).xlsx]Equities!R171C47</stp>
        <tr r="AU171" s="2"/>
        <tr r="AU171" s="2"/>
        <tr r="AU171" s="2"/>
      </tp>
      <tp t="s">
        <v>Y</v>
        <stp/>
        <stp>##V3_BDPV12</stp>
        <stp>MSFT US Equity</stp>
        <stp>DY997</stp>
        <stp>[DPM - Securities Master List (BBG Linked).xlsx]Equities!R170C47</stp>
        <tr r="AU170" s="2"/>
        <tr r="AU170" s="2"/>
        <tr r="AU170" s="2"/>
      </tp>
      <tp t="s">
        <v>Y</v>
        <stp/>
        <stp>##V3_BDPV12</stp>
        <stp>MSFT US Equity</stp>
        <stp>DY997</stp>
        <stp>[DPM - Securities Master List (BBG Linked).xlsx]Equities!R177C47</stp>
        <tr r="AU177" s="2"/>
        <tr r="AU177" s="2"/>
        <tr r="AU177" s="2"/>
      </tp>
      <tp t="s">
        <v>Y</v>
        <stp/>
        <stp>##V3_BDPV12</stp>
        <stp>MSFT US Equity</stp>
        <stp>DY997</stp>
        <stp>[DPM - Securities Master List (BBG Linked).xlsx]Equities!R176C47</stp>
        <tr r="AU176" s="2"/>
        <tr r="AU176" s="2"/>
        <tr r="AU176" s="2"/>
      </tp>
      <tp t="s">
        <v>Y</v>
        <stp/>
        <stp>##V3_BDPV12</stp>
        <stp>MSFT US Equity</stp>
        <stp>DY997</stp>
        <stp>[DPM - Securities Master List (BBG Linked).xlsx]Equities!R175C47</stp>
        <tr r="AU175" s="2"/>
        <tr r="AU175" s="2"/>
        <tr r="AU175" s="2"/>
      </tp>
      <tp t="s">
        <v>Y</v>
        <stp/>
        <stp>##V3_BDPV12</stp>
        <stp>MSFT US Equity</stp>
        <stp>DY997</stp>
        <stp>[DPM - Securities Master List (BBG Linked).xlsx]Equities!R174C47</stp>
        <tr r="AU174" s="2"/>
        <tr r="AU174" s="2"/>
        <tr r="AU174" s="2"/>
      </tp>
      <tp t="s">
        <v>Y</v>
        <stp/>
        <stp>##V3_BDPV12</stp>
        <stp>MSFT US Equity</stp>
        <stp>DY997</stp>
        <stp>[DPM - Securities Master List (BBG Linked).xlsx]Equities!R188C47</stp>
        <tr r="AU188" s="2"/>
        <tr r="AU188" s="2"/>
        <tr r="AU188" s="2"/>
      </tp>
      <tp t="s">
        <v>Y</v>
        <stp/>
        <stp>##V3_BDPV12</stp>
        <stp>MSFT US Equity</stp>
        <stp>DY997</stp>
        <stp>[DPM - Securities Master List (BBG Linked).xlsx]Equities!R183C47</stp>
        <tr r="AU183" s="2"/>
        <tr r="AU183" s="2"/>
        <tr r="AU183" s="2"/>
      </tp>
      <tp t="s">
        <v>Y</v>
        <stp/>
        <stp>##V3_BDPV12</stp>
        <stp>MSFT US Equity</stp>
        <stp>DY997</stp>
        <stp>[DPM - Securities Master List (BBG Linked).xlsx]Equities!R182C47</stp>
        <tr r="AU182" s="2"/>
        <tr r="AU182" s="2"/>
        <tr r="AU182" s="2"/>
      </tp>
      <tp t="s">
        <v>Y</v>
        <stp/>
        <stp>##V3_BDPV12</stp>
        <stp>MSFT US Equity</stp>
        <stp>DY997</stp>
        <stp>[DPM - Securities Master List (BBG Linked).xlsx]Equities!R181C47</stp>
        <tr r="AU181" s="2"/>
        <tr r="AU181" s="2"/>
        <tr r="AU181" s="2"/>
      </tp>
      <tp t="s">
        <v>Y</v>
        <stp/>
        <stp>##V3_BDPV12</stp>
        <stp>MSFT US Equity</stp>
        <stp>DY997</stp>
        <stp>[DPM - Securities Master List (BBG Linked).xlsx]Equities!R180C47</stp>
        <tr r="AU180" s="2"/>
        <tr r="AU180" s="2"/>
        <tr r="AU180" s="2"/>
      </tp>
      <tp t="s">
        <v>Y</v>
        <stp/>
        <stp>##V3_BDPV12</stp>
        <stp>MSFT US Equity</stp>
        <stp>DY997</stp>
        <stp>[DPM - Securities Master List (BBG Linked).xlsx]Equities!R187C47</stp>
        <tr r="AU187" s="2"/>
        <tr r="AU187" s="2"/>
        <tr r="AU187" s="2"/>
      </tp>
      <tp t="s">
        <v>Y</v>
        <stp/>
        <stp>##V3_BDPV12</stp>
        <stp>MSFT US Equity</stp>
        <stp>DY997</stp>
        <stp>[DPM - Securities Master List (BBG Linked).xlsx]Equities!R186C47</stp>
        <tr r="AU186" s="2"/>
        <tr r="AU186" s="2"/>
        <tr r="AU186" s="2"/>
      </tp>
      <tp t="s">
        <v>Y</v>
        <stp/>
        <stp>##V3_BDPV12</stp>
        <stp>MSFT US Equity</stp>
        <stp>DY997</stp>
        <stp>[DPM - Securities Master List (BBG Linked).xlsx]Equities!R185C47</stp>
        <tr r="AU185" s="2"/>
        <tr r="AU185" s="2"/>
        <tr r="AU185" s="2"/>
      </tp>
      <tp t="s">
        <v>Y</v>
        <stp/>
        <stp>##V3_BDPV12</stp>
        <stp>MSFT US Equity</stp>
        <stp>DY997</stp>
        <stp>[DPM - Securities Master List (BBG Linked).xlsx]Equities!R184C47</stp>
        <tr r="AU184" s="2"/>
        <tr r="AU184" s="2"/>
        <tr r="AU184" s="2"/>
      </tp>
      <tp t="s">
        <v>#N/A Invalid Override</v>
        <stp/>
        <stp>##V3_BDPV12</stp>
        <stp>US251526CT41 isin</stp>
        <stp>YAS_BOND_YLD</stp>
        <stp>[DPM - Securities Master List (BBG Linked).xlsx]Bonds!R26C10</stp>
        <stp>YAS_YLD_FLAG=15</stp>
        <stp>user_local_trade_date</stp>
        <stp>45783</stp>
        <stp>Yas_bond_px</stp>
        <stp>#N/A Connection</stp>
        <tr r="J26" s="1"/>
      </tp>
      <tp t="s">
        <v>#N/A Invalid Override</v>
        <stp/>
        <stp>##V3_BDPV12</stp>
        <stp>US251526CT41 isin</stp>
        <stp>YAS_BOND_YLD</stp>
        <stp>[DPM - Securities Master List (BBG Linked).xlsx]Bonds!R48C10</stp>
        <stp>YAS_YLD_FLAG=15</stp>
        <stp>user_local_trade_date</stp>
        <stp>45783</stp>
        <stp>Yas_bond_px</stp>
        <stp>#N/A Connection</stp>
        <tr r="J48" s="1"/>
      </tp>
      <tp t="s">
        <v>#N/A Invalid Override</v>
        <stp/>
        <stp>##V3_BDPV12</stp>
        <stp>US251526CT41 isin</stp>
        <stp>YAS_BOND_YLD</stp>
        <stp>[DPM - Securities Master List (BBG Linked).xlsx]Bonds!R55C10</stp>
        <stp>YAS_YLD_FLAG=15</stp>
        <stp>user_local_trade_date</stp>
        <stp>45783</stp>
        <stp>Yas_bond_px</stp>
        <stp>#N/A Connection</stp>
        <tr r="J55" s="1"/>
      </tp>
      <tp t="s">
        <v>#N/A Invalid Override</v>
        <stp/>
        <stp>##V3_BDPV12</stp>
        <stp>US251526CT41 isin</stp>
        <stp>YAS_BOND_YLD</stp>
        <stp>[DPM - Securities Master List (BBG Linked).xlsx]Bonds!R76C10</stp>
        <stp>YAS_YLD_FLAG=15</stp>
        <stp>user_local_trade_date</stp>
        <stp>45783</stp>
        <stp>Yas_bond_px</stp>
        <stp>#N/A Connection</stp>
        <tr r="J76" s="1"/>
      </tp>
      <tp t="s">
        <v>#N/A Invalid Override</v>
        <stp/>
        <stp>##V3_BDPV12</stp>
        <stp>US251526CT41 isin</stp>
        <stp>YAS_BOND_YLD</stp>
        <stp>[DPM - Securities Master List (BBG Linked).xlsx]Bonds!R91C10</stp>
        <stp>YAS_YLD_FLAG=15</stp>
        <stp>user_local_trade_date</stp>
        <stp>45783</stp>
        <stp>Yas_bond_px</stp>
        <stp>#N/A Connection</stp>
        <tr r="J91" s="1"/>
      </tp>
      <tp t="s">
        <v>Alphabet Inc</v>
        <stp/>
        <stp>##V3_BDPV12</stp>
        <stp>GOOGL US Equity</stp>
        <stp>SECURITY NAME</stp>
        <stp>[DPM - Securities Master List (BBG Linked).xlsx]Equities!R135C5</stp>
        <tr r="E135" s="2"/>
      </tp>
      <tp>
        <v>6</v>
        <stp/>
        <stp>##V3_BDPV12</stp>
        <stp>SMSN.LI Equity</stp>
        <stp>TOT_BUY_REC</stp>
        <stp>[DPM - Securities Master List (BBG Linked).xlsx]Equities!R243C34</stp>
        <tr r="AH243" s="2"/>
      </tp>
      <tp t="s">
        <v>USD</v>
        <stp/>
        <stp>##V3_BDPV12</stp>
        <stp>AMZN  US Equity</stp>
        <stp>CRNCY</stp>
        <stp>[DPM - Securities Master List (BBG Linked).xlsx]Equities!R50C6</stp>
        <tr r="F50" s="2"/>
      </tp>
      <tp t="s">
        <v>#N/A Invalid Field</v>
        <stp/>
        <stp>##V3_BDPV12</stp>
        <stp>NVO US Equity</stp>
        <stp/>
        <stp>[DPM - Securities Master List (BBG Linked).xlsx]Equities!R225C29</stp>
        <tr r="AC225" s="2"/>
        <tr r="AC225" s="2"/>
      </tp>
      <tp t="s">
        <v>Energy</v>
        <stp/>
        <stp>##V3_BDPV12</stp>
        <stp>BP/ LN Equity</stp>
        <stp>DX202</stp>
        <stp>[DPM - Securities Master List (BBG Linked).xlsx]Equities!R86C8</stp>
        <tr r="H86" s="2"/>
        <tr r="H86" s="2"/>
        <tr r="H86" s="2"/>
      </tp>
      <tp t="s">
        <v>Health Care</v>
        <stp/>
        <stp>##V3_BDPV12</stp>
        <stp>AZN LN Equity</stp>
        <stp>DX202</stp>
        <stp>[DPM - Securities Master List (BBG Linked).xlsx]Equities!R56C8</stp>
        <tr r="H56" s="2"/>
        <tr r="H56" s="2"/>
        <tr r="H56" s="2"/>
      </tp>
      <tp t="s">
        <v>Health Care</v>
        <stp/>
        <stp>##V3_BDPV12</stp>
        <stp>BMY US Equity</stp>
        <stp>DX202</stp>
        <stp>[DPM - Securities Master List (BBG Linked).xlsx]Equities!R76C8</stp>
        <tr r="H76" s="2"/>
        <tr r="H76" s="2"/>
        <tr r="H76" s="2"/>
      </tp>
      <tp t="s">
        <v>#N/A Invalid Field</v>
        <stp/>
        <stp>##V3_BDPV12</stp>
        <stp>NKE US Equity</stp>
        <stp/>
        <stp>[DPM - Securities Master List (BBG Linked).xlsx]Equities!R208C29</stp>
        <tr r="AC208" s="2"/>
        <tr r="AC208" s="2"/>
      </tp>
      <tp t="s">
        <v>#N/A Invalid Field</v>
        <stp/>
        <stp>##V3_BDPV12</stp>
        <stp>NKE US Equity</stp>
        <stp/>
        <stp>[DPM - Securities Master List (BBG Linked).xlsx]Equities!R209C29</stp>
        <tr r="AC209" s="2"/>
        <tr r="AC209" s="2"/>
      </tp>
      <tp t="s">
        <v>#N/A Invalid Field</v>
        <stp/>
        <stp>##V3_BDPV12</stp>
        <stp>NKE US Equity</stp>
        <stp/>
        <stp>[DPM - Securities Master List (BBG Linked).xlsx]Equities!R207C29</stp>
        <tr r="AC207" s="2"/>
        <tr r="AC207" s="2"/>
      </tp>
      <tp t="s">
        <v>#N/A Invalid Field</v>
        <stp/>
        <stp>##V3_BDPV12</stp>
        <stp>NKE US Equity</stp>
        <stp/>
        <stp>[DPM - Securities Master List (BBG Linked).xlsx]Equities!R218C29</stp>
        <tr r="AC218" s="2"/>
        <tr r="AC218" s="2"/>
      </tp>
      <tp t="s">
        <v>#N/A Invalid Field</v>
        <stp/>
        <stp>##V3_BDPV12</stp>
        <stp>NKE US Equity</stp>
        <stp/>
        <stp>[DPM - Securities Master List (BBG Linked).xlsx]Equities!R219C29</stp>
        <tr r="AC219" s="2"/>
        <tr r="AC219" s="2"/>
      </tp>
      <tp t="s">
        <v>#N/A Invalid Field</v>
        <stp/>
        <stp>##V3_BDPV12</stp>
        <stp>NKE US Equity</stp>
        <stp/>
        <stp>[DPM - Securities Master List (BBG Linked).xlsx]Equities!R214C29</stp>
        <tr r="AC214" s="2"/>
        <tr r="AC214" s="2"/>
      </tp>
      <tp t="s">
        <v>#N/A Invalid Field</v>
        <stp/>
        <stp>##V3_BDPV12</stp>
        <stp>NKE US Equity</stp>
        <stp/>
        <stp>[DPM - Securities Master List (BBG Linked).xlsx]Equities!R215C29</stp>
        <tr r="AC215" s="2"/>
        <tr r="AC215" s="2"/>
      </tp>
      <tp t="s">
        <v>#N/A Invalid Field</v>
        <stp/>
        <stp>##V3_BDPV12</stp>
        <stp>NKE US Equity</stp>
        <stp/>
        <stp>[DPM - Securities Master List (BBG Linked).xlsx]Equities!R216C29</stp>
        <tr r="AC216" s="2"/>
        <tr r="AC216" s="2"/>
      </tp>
      <tp t="s">
        <v>#N/A Invalid Field</v>
        <stp/>
        <stp>##V3_BDPV12</stp>
        <stp>NKE US Equity</stp>
        <stp/>
        <stp>[DPM - Securities Master List (BBG Linked).xlsx]Equities!R217C29</stp>
        <tr r="AC217" s="2"/>
        <tr r="AC217" s="2"/>
      </tp>
      <tp t="s">
        <v>#N/A Invalid Field</v>
        <stp/>
        <stp>##V3_BDPV12</stp>
        <stp>NKE US Equity</stp>
        <stp/>
        <stp>[DPM - Securities Master List (BBG Linked).xlsx]Equities!R210C29</stp>
        <tr r="AC210" s="2"/>
        <tr r="AC210" s="2"/>
      </tp>
      <tp t="s">
        <v>#N/A Invalid Field</v>
        <stp/>
        <stp>##V3_BDPV12</stp>
        <stp>NKE US Equity</stp>
        <stp/>
        <stp>[DPM - Securities Master List (BBG Linked).xlsx]Equities!R211C29</stp>
        <tr r="AC211" s="2"/>
        <tr r="AC211" s="2"/>
      </tp>
      <tp t="s">
        <v>#N/A Invalid Field</v>
        <stp/>
        <stp>##V3_BDPV12</stp>
        <stp>NKE US Equity</stp>
        <stp/>
        <stp>[DPM - Securities Master List (BBG Linked).xlsx]Equities!R212C29</stp>
        <tr r="AC212" s="2"/>
        <tr r="AC212" s="2"/>
      </tp>
      <tp t="s">
        <v>#N/A Invalid Field</v>
        <stp/>
        <stp>##V3_BDPV12</stp>
        <stp>NKE US Equity</stp>
        <stp/>
        <stp>[DPM - Securities Master List (BBG Linked).xlsx]Equities!R213C29</stp>
        <tr r="AC213" s="2"/>
        <tr r="AC213" s="2"/>
      </tp>
      <tp t="s">
        <v>#N/A Invalid Field</v>
        <stp/>
        <stp>##V3_BDPV12</stp>
        <stp>NKE US Equity</stp>
        <stp/>
        <stp>[DPM - Securities Master List (BBG Linked).xlsx]Equities!R220C29</stp>
        <tr r="AC220" s="2"/>
        <tr r="AC220" s="2"/>
      </tp>
      <tp t="s">
        <v>#N/A Invalid Field</v>
        <stp/>
        <stp>##V3_BDPV12</stp>
        <stp>NKE US Equity</stp>
        <stp/>
        <stp>[DPM - Securities Master List (BBG Linked).xlsx]Equities!R221C29</stp>
        <tr r="AC221" s="2"/>
        <tr r="AC221" s="2"/>
      </tp>
      <tp t="s">
        <v>#N/A Invalid Field</v>
        <stp/>
        <stp>##V3_BDPV12</stp>
        <stp>NKE US Equity</stp>
        <stp/>
        <stp>[DPM - Securities Master List (BBG Linked).xlsx]Equities!R222C29</stp>
        <tr r="AC222" s="2"/>
        <tr r="AC222" s="2"/>
      </tp>
      <tp t="s">
        <v>#N/A Invalid Field</v>
        <stp/>
        <stp>##V3_BDPV12</stp>
        <stp>NIO US Equity</stp>
        <stp/>
        <stp>[DPM - Securities Master List (BBG Linked).xlsx]Equities!R206C29</stp>
        <tr r="AC206" s="2"/>
        <tr r="AC206" s="2"/>
      </tp>
    </main>
    <main first="bofaddin.rtdserver">
      <tp t="e">
        <v>#N/A</v>
        <stp/>
        <stp>BDP|176486617897492675</stp>
        <tr r="AT68" s="1"/>
        <tr r="AT31" s="1"/>
      </tp>
      <tp t="e">
        <v>#N/A</v>
        <stp/>
        <stp>BDP|571363003334985373</stp>
        <tr r="AO50" s="3"/>
        <tr r="AO50" s="3"/>
        <tr r="AO50" s="3"/>
        <tr r="AO49" s="3"/>
        <tr r="AO49" s="3"/>
        <tr r="AO49" s="3"/>
        <tr r="AO48" s="3"/>
        <tr r="AO48" s="3"/>
        <tr r="AO48" s="3"/>
        <tr r="AO47" s="3"/>
        <tr r="AO47" s="3"/>
        <tr r="AO47" s="3"/>
        <tr r="AO46" s="3"/>
        <tr r="AO46" s="3"/>
        <tr r="AO46" s="3"/>
        <tr r="AO45" s="3"/>
        <tr r="AO45" s="3"/>
        <tr r="AO45" s="3"/>
        <tr r="AO44" s="3"/>
        <tr r="AO44" s="3"/>
        <tr r="AO44" s="3"/>
        <tr r="AO43" s="3"/>
        <tr r="AO43" s="3"/>
        <tr r="AO43" s="3"/>
        <tr r="AO42" s="3"/>
        <tr r="AO42" s="3"/>
        <tr r="AO42" s="3"/>
        <tr r="AO41" s="3"/>
        <tr r="AO41" s="3"/>
        <tr r="AO41" s="3"/>
        <tr r="AO40" s="3"/>
        <tr r="AO40" s="3"/>
        <tr r="AO40" s="3"/>
        <tr r="AO39" s="3"/>
        <tr r="AO39" s="3"/>
        <tr r="AO39" s="3"/>
        <tr r="AO38" s="3"/>
        <tr r="AO38" s="3"/>
        <tr r="AO38" s="3"/>
        <tr r="AO37" s="3"/>
        <tr r="AO37" s="3"/>
        <tr r="AO37" s="3"/>
        <tr r="AO36" s="3"/>
        <tr r="AO36" s="3"/>
        <tr r="AO36" s="3"/>
        <tr r="AO35" s="3"/>
        <tr r="AO35" s="3"/>
        <tr r="AO35" s="3"/>
      </tp>
    </main>
    <main first="bloomberg.rtd">
      <tp t="s">
        <v>DuPont de Nemours Inc</v>
        <stp/>
        <stp>##V3_BDPV12</stp>
        <stp>DD US Equity</stp>
        <stp>SECURITY NAME</stp>
        <stp>[DPM - Securities Master List (BBG Linked).xlsx]Equities!R91C5</stp>
        <tr r="E91" s="2"/>
      </tp>
    </main>
    <main first="bofaddin.rtdserver">
      <tp t="e">
        <v>#N/A</v>
        <stp/>
        <stp>BDP|426491773912162583</stp>
        <tr r="AM84" s="1"/>
        <tr r="AM84" s="1"/>
        <tr r="AM70" s="1"/>
        <tr r="AM70" s="1"/>
        <tr r="AM159" s="1"/>
        <tr r="AM159" s="1"/>
        <tr r="AM116" s="1"/>
        <tr r="AM116" s="1"/>
      </tp>
      <tp t="e">
        <v>#N/A</v>
        <stp/>
        <stp>BDP|821973490872600691</stp>
        <tr r="AG111" s="3"/>
        <tr r="AG111" s="3"/>
        <tr r="AG111" s="3"/>
        <tr r="AG110" s="3"/>
        <tr r="AG110" s="3"/>
        <tr r="AG110" s="3"/>
        <tr r="AG109" s="3"/>
        <tr r="AG109" s="3"/>
        <tr r="AG109" s="3"/>
        <tr r="AG108" s="3"/>
        <tr r="AG108" s="3"/>
        <tr r="AG108" s="3"/>
        <tr r="AG107" s="3"/>
        <tr r="AG107" s="3"/>
        <tr r="AG107" s="3"/>
        <tr r="AG106" s="3"/>
        <tr r="AG106" s="3"/>
        <tr r="AG106" s="3"/>
        <tr r="AG105" s="3"/>
        <tr r="AG105" s="3"/>
        <tr r="AG105" s="3"/>
        <tr r="AG104" s="3"/>
        <tr r="AG104" s="3"/>
        <tr r="AG104" s="3"/>
      </tp>
      <tp t="e">
        <v>#N/A</v>
        <stp/>
        <stp>BDP|446506074427927196</stp>
        <tr r="K102" s="3"/>
        <tr r="K101" s="3"/>
        <tr r="K100" s="3"/>
      </tp>
      <tp t="e">
        <v>#N/A</v>
        <stp/>
        <stp>BDP|744044547830017060</stp>
        <tr r="AF111" s="3"/>
        <tr r="AF111" s="3"/>
        <tr r="AF110" s="3"/>
        <tr r="AF110" s="3"/>
        <tr r="AF109" s="3"/>
        <tr r="AF109" s="3"/>
        <tr r="AF108" s="3"/>
        <tr r="AF108" s="3"/>
        <tr r="AF107" s="3"/>
        <tr r="AF107" s="3"/>
        <tr r="AF106" s="3"/>
        <tr r="AF106" s="3"/>
        <tr r="AF105" s="3"/>
        <tr r="AF105" s="3"/>
        <tr r="AF104" s="3"/>
        <tr r="AF104" s="3"/>
      </tp>
      <tp t="e">
        <v>#N/A</v>
        <stp/>
        <stp>BDP|532148421934413364</stp>
        <tr r="AK78" s="1"/>
        <tr r="AK78" s="1"/>
        <tr r="AK78" s="1"/>
        <tr r="AK154" s="1"/>
        <tr r="AK154" s="1"/>
        <tr r="AK154" s="1"/>
        <tr r="AK149" s="1"/>
        <tr r="AK149" s="1"/>
        <tr r="AK149" s="1"/>
        <tr r="AK124" s="1"/>
        <tr r="AK124" s="1"/>
        <tr r="AK124" s="1"/>
      </tp>
    </main>
    <main first="bloomberg.rtd">
      <tp>
        <v>63</v>
        <stp/>
        <stp>##V3_BDPV12</stp>
        <stp>GOOGL US Equity</stp>
        <stp>TOT_BUY_REC</stp>
        <stp>[DPM - Securities Master List (BBG Linked).xlsx]Equities!R140C34</stp>
        <tr r="AH140" s="2"/>
      </tp>
      <tp>
        <v>63</v>
        <stp/>
        <stp>##V3_BDPV12</stp>
        <stp>GOOGL US Equity</stp>
        <stp>TOT_BUY_REC</stp>
        <stp>[DPM - Securities Master List (BBG Linked).xlsx]Equities!R141C34</stp>
        <tr r="AH141" s="2"/>
      </tp>
      <tp>
        <v>63</v>
        <stp/>
        <stp>##V3_BDPV12</stp>
        <stp>GOOGL UQ Equity</stp>
        <stp>TOT_BUY_REC</stp>
        <stp>[DPM - Securities Master List (BBG Linked).xlsx]Equities!R126C34</stp>
        <tr r="AH126" s="2"/>
      </tp>
      <tp>
        <v>63</v>
        <stp/>
        <stp>##V3_BDPV12</stp>
        <stp>GOOGL US Equity</stp>
        <stp>TOT_BUY_REC</stp>
        <stp>[DPM - Securities Master List (BBG Linked).xlsx]Equities!R128C34</stp>
        <tr r="AH128" s="2"/>
      </tp>
      <tp>
        <v>63</v>
        <stp/>
        <stp>##V3_BDPV12</stp>
        <stp>GOOGL US Equity</stp>
        <stp>TOT_BUY_REC</stp>
        <stp>[DPM - Securities Master List (BBG Linked).xlsx]Equities!R129C34</stp>
        <tr r="AH129" s="2"/>
      </tp>
      <tp>
        <v>63</v>
        <stp/>
        <stp>##V3_BDPV12</stp>
        <stp>GOOGL US Equity</stp>
        <stp>TOT_BUY_REC</stp>
        <stp>[DPM - Securities Master List (BBG Linked).xlsx]Equities!R127C34</stp>
        <tr r="AH127" s="2"/>
      </tp>
      <tp>
        <v>63</v>
        <stp/>
        <stp>##V3_BDPV12</stp>
        <stp>GOOGL US Equity</stp>
        <stp>TOT_BUY_REC</stp>
        <stp>[DPM - Securities Master List (BBG Linked).xlsx]Equities!R138C34</stp>
        <tr r="AH138" s="2"/>
      </tp>
      <tp>
        <v>63</v>
        <stp/>
        <stp>##V3_BDPV12</stp>
        <stp>GOOGL US Equity</stp>
        <stp>TOT_BUY_REC</stp>
        <stp>[DPM - Securities Master List (BBG Linked).xlsx]Equities!R139C34</stp>
        <tr r="AH139" s="2"/>
      </tp>
      <tp>
        <v>63</v>
        <stp/>
        <stp>##V3_BDPV12</stp>
        <stp>GOOGL US Equity</stp>
        <stp>TOT_BUY_REC</stp>
        <stp>[DPM - Securities Master List (BBG Linked).xlsx]Equities!R130C34</stp>
        <tr r="AH130" s="2"/>
      </tp>
      <tp>
        <v>63</v>
        <stp/>
        <stp>##V3_BDPV12</stp>
        <stp>GOOGL US Equity</stp>
        <stp>TOT_BUY_REC</stp>
        <stp>[DPM - Securities Master List (BBG Linked).xlsx]Equities!R131C34</stp>
        <tr r="AH131" s="2"/>
      </tp>
      <tp>
        <v>63</v>
        <stp/>
        <stp>##V3_BDPV12</stp>
        <stp>GOOGL US Equity</stp>
        <stp>TOT_BUY_REC</stp>
        <stp>[DPM - Securities Master List (BBG Linked).xlsx]Equities!R132C34</stp>
        <tr r="AH132" s="2"/>
      </tp>
      <tp>
        <v>63</v>
        <stp/>
        <stp>##V3_BDPV12</stp>
        <stp>GOOGL US Equity</stp>
        <stp>TOT_BUY_REC</stp>
        <stp>[DPM - Securities Master List (BBG Linked).xlsx]Equities!R133C34</stp>
        <tr r="AH133" s="2"/>
      </tp>
      <tp>
        <v>63</v>
        <stp/>
        <stp>##V3_BDPV12</stp>
        <stp>GOOGL US Equity</stp>
        <stp>TOT_BUY_REC</stp>
        <stp>[DPM - Securities Master List (BBG Linked).xlsx]Equities!R134C34</stp>
        <tr r="AH134" s="2"/>
      </tp>
      <tp>
        <v>63</v>
        <stp/>
        <stp>##V3_BDPV12</stp>
        <stp>GOOGL US Equity</stp>
        <stp>TOT_BUY_REC</stp>
        <stp>[DPM - Securities Master List (BBG Linked).xlsx]Equities!R135C34</stp>
        <tr r="AH135" s="2"/>
      </tp>
      <tp>
        <v>63</v>
        <stp/>
        <stp>##V3_BDPV12</stp>
        <stp>GOOGL US Equity</stp>
        <stp>TOT_BUY_REC</stp>
        <stp>[DPM - Securities Master List (BBG Linked).xlsx]Equities!R136C34</stp>
        <tr r="AH136" s="2"/>
      </tp>
      <tp>
        <v>63</v>
        <stp/>
        <stp>##V3_BDPV12</stp>
        <stp>GOOGL US Equity</stp>
        <stp>TOT_BUY_REC</stp>
        <stp>[DPM - Securities Master List (BBG Linked).xlsx]Equities!R137C34</stp>
        <tr r="AH137" s="2"/>
      </tp>
      <tp t="s">
        <v>Y</v>
        <stp/>
        <stp>##V3_BDPV12</stp>
        <stp>REGN US Equity</stp>
        <stp>DY997</stp>
        <stp>[DPM - Securities Master List (BBG Linked).xlsx]Equities!R241C47</stp>
        <tr r="AU241" s="2"/>
        <tr r="AU241" s="2"/>
        <tr r="AU241" s="2"/>
      </tp>
      <tp t="s">
        <v>Equity</v>
        <stp/>
        <stp>##V3_BDPV12</stp>
        <stp>GOLD US Equity</stp>
        <stp>EX028</stp>
        <stp>[DPM - Securities Master List (BBG Linked).xlsx]Equities!R125C30</stp>
        <tr r="AD125" s="2"/>
        <tr r="AD125" s="2"/>
        <tr r="AD125" s="2"/>
      </tp>
      <tp>
        <v>11635.988473874999</v>
        <stp/>
        <stp>##V3_BDPV12</stp>
        <stp>BMRN US Equity</stp>
        <stp>CRNCY_ADJ_MKT_CAP</stp>
        <stp>[DPM - Securities Master List (BBG Linked).xlsx]Equities!R69C9</stp>
        <stp>EQY_FUND_CRNCY=USD</stp>
        <tr r="I69" s="2"/>
      </tp>
      <tp>
        <v>11635.988473874999</v>
        <stp/>
        <stp>##V3_BDPV12</stp>
        <stp>BMRN US Equity</stp>
        <stp>CRNCY_ADJ_MKT_CAP</stp>
        <stp>[DPM - Securities Master List (BBG Linked).xlsx]Equities!R68C9</stp>
        <stp>EQY_FUND_CRNCY=USD</stp>
        <tr r="I68" s="2"/>
      </tp>
      <tp>
        <v>11635.988473874999</v>
        <stp/>
        <stp>##V3_BDPV12</stp>
        <stp>BMRN US Equity</stp>
        <stp>CRNCY_ADJ_MKT_CAP</stp>
        <stp>[DPM - Securities Master List (BBG Linked).xlsx]Equities!R67C9</stp>
        <stp>EQY_FUND_CRNCY=USD</stp>
        <tr r="I67" s="2"/>
      </tp>
      <tp>
        <v>11635.988473874999</v>
        <stp/>
        <stp>##V3_BDPV12</stp>
        <stp>BMRN US Equity</stp>
        <stp>CRNCY_ADJ_MKT_CAP</stp>
        <stp>[DPM - Securities Master List (BBG Linked).xlsx]Equities!R66C9</stp>
        <stp>EQY_FUND_CRNCY=USD</stp>
        <tr r="I66" s="2"/>
      </tp>
      <tp>
        <v>11635.988473874999</v>
        <stp/>
        <stp>##V3_BDPV12</stp>
        <stp>BMRN US Equity</stp>
        <stp>CRNCY_ADJ_MKT_CAP</stp>
        <stp>[DPM - Securities Master List (BBG Linked).xlsx]Equities!R65C9</stp>
        <stp>EQY_FUND_CRNCY=USD</stp>
        <tr r="I65" s="2"/>
      </tp>
      <tp>
        <v>11635.988473874999</v>
        <stp/>
        <stp>##V3_BDPV12</stp>
        <stp>BMRN US Equity</stp>
        <stp>CRNCY_ADJ_MKT_CAP</stp>
        <stp>[DPM - Securities Master List (BBG Linked).xlsx]Equities!R64C9</stp>
        <stp>EQY_FUND_CRNCY=USD</stp>
        <tr r="I64" s="2"/>
      </tp>
      <tp t="s">
        <v>Equity</v>
        <stp/>
        <stp>##V3_BDPV12</stp>
        <stp>DELL US Equity</stp>
        <stp>EX028</stp>
        <stp>[DPM - Securities Master List (BBG Linked).xlsx]Equities!R104C30</stp>
        <tr r="AD104" s="2"/>
        <tr r="AD104" s="2"/>
        <tr r="AD104" s="2"/>
      </tp>
      <tp t="s">
        <v>Equity</v>
        <stp/>
        <stp>##V3_BDPV12</stp>
        <stp>DELL US Equity</stp>
        <stp>EX028</stp>
        <stp>[DPM - Securities Master List (BBG Linked).xlsx]Equities!R105C30</stp>
        <tr r="AD105" s="2"/>
        <tr r="AD105" s="2"/>
        <tr r="AD105" s="2"/>
      </tp>
      <tp t="s">
        <v>Equity</v>
        <stp/>
        <stp>##V3_BDPV12</stp>
        <stp>DELL US Equity</stp>
        <stp>EX028</stp>
        <stp>[DPM - Securities Master List (BBG Linked).xlsx]Equities!R106C30</stp>
        <tr r="AD106" s="2"/>
        <tr r="AD106" s="2"/>
        <tr r="AD106" s="2"/>
      </tp>
      <tp t="s">
        <v>Equity</v>
        <stp/>
        <stp>##V3_BDPV12</stp>
        <stp>DELL US Equity</stp>
        <stp>EX028</stp>
        <stp>[DPM - Securities Master List (BBG Linked).xlsx]Equities!R107C30</stp>
        <tr r="AD107" s="2"/>
        <tr r="AD107" s="2"/>
        <tr r="AD107" s="2"/>
      </tp>
      <tp t="s">
        <v>Equity</v>
        <stp/>
        <stp>##V3_BDPV12</stp>
        <stp>DELL US Equity</stp>
        <stp>EX028</stp>
        <stp>[DPM - Securities Master List (BBG Linked).xlsx]Equities!R100C30</stp>
        <tr r="AD100" s="2"/>
        <tr r="AD100" s="2"/>
        <tr r="AD100" s="2"/>
      </tp>
      <tp t="s">
        <v>Equity</v>
        <stp/>
        <stp>##V3_BDPV12</stp>
        <stp>DELL US Equity</stp>
        <stp>EX028</stp>
        <stp>[DPM - Securities Master List (BBG Linked).xlsx]Equities!R101C30</stp>
        <tr r="AD101" s="2"/>
        <tr r="AD101" s="2"/>
        <tr r="AD101" s="2"/>
      </tp>
      <tp t="s">
        <v>Equity</v>
        <stp/>
        <stp>##V3_BDPV12</stp>
        <stp>DELL US Equity</stp>
        <stp>EX028</stp>
        <stp>[DPM - Securities Master List (BBG Linked).xlsx]Equities!R102C30</stp>
        <tr r="AD102" s="2"/>
        <tr r="AD102" s="2"/>
        <tr r="AD102" s="2"/>
      </tp>
      <tp t="s">
        <v>Equity</v>
        <stp/>
        <stp>##V3_BDPV12</stp>
        <stp>DELL US Equity</stp>
        <stp>EX028</stp>
        <stp>[DPM - Securities Master List (BBG Linked).xlsx]Equities!R103C30</stp>
        <tr r="AD103" s="2"/>
        <tr r="AD103" s="2"/>
        <tr r="AD103" s="2"/>
      </tp>
      <tp>
        <v>11635.988473874999</v>
        <stp/>
        <stp>##V3_BDPV12</stp>
        <stp>BMRN US Equity</stp>
        <stp>CRNCY_ADJ_MKT_CAP</stp>
        <stp>[DPM - Securities Master List (BBG Linked).xlsx]Equities!R63C9</stp>
        <stp>EQY_FUND_CRNCY=USD</stp>
        <tr r="I63" s="2"/>
      </tp>
      <tp>
        <v>6.4835159999999998</v>
        <stp/>
        <stp>##V3_BDPV12</stp>
        <stp>SMSN.LI Equity</stp>
        <stp>PR079</stp>
        <stp>[DPM - Securities Master List (BBG Linked).xlsx]Equities!R243C43</stp>
        <tr r="AQ243" s="2"/>
      </tp>
      <tp t="s">
        <v>#N/A N/A</v>
        <stp/>
        <stp>##V3_BDPV12</stp>
        <stp>MSFT US Equity</stp>
        <stp>DY784</stp>
        <stp>[DPM - Securities Master List (BBG Linked).xlsx]Equities!R185C48</stp>
        <tr r="AV185" s="2"/>
        <tr r="AV185" s="2"/>
      </tp>
      <tp t="s">
        <v>#N/A N/A</v>
        <stp/>
        <stp>##V3_BDPV12</stp>
        <stp>MSFT US Equity</stp>
        <stp>DY784</stp>
        <stp>[DPM - Securities Master List (BBG Linked).xlsx]Equities!R184C48</stp>
        <tr r="AV184" s="2"/>
        <tr r="AV184" s="2"/>
      </tp>
      <tp t="s">
        <v>#N/A N/A</v>
        <stp/>
        <stp>##V3_BDPV12</stp>
        <stp>MSFT US Equity</stp>
        <stp>DY784</stp>
        <stp>[DPM - Securities Master List (BBG Linked).xlsx]Equities!R187C48</stp>
        <tr r="AV187" s="2"/>
        <tr r="AV187" s="2"/>
      </tp>
      <tp t="s">
        <v>#N/A N/A</v>
        <stp/>
        <stp>##V3_BDPV12</stp>
        <stp>MSFT US Equity</stp>
        <stp>DY784</stp>
        <stp>[DPM - Securities Master List (BBG Linked).xlsx]Equities!R186C48</stp>
        <tr r="AV186" s="2"/>
        <tr r="AV186" s="2"/>
      </tp>
      <tp t="s">
        <v>#N/A N/A</v>
        <stp/>
        <stp>##V3_BDPV12</stp>
        <stp>MSFT US Equity</stp>
        <stp>DY784</stp>
        <stp>[DPM - Securities Master List (BBG Linked).xlsx]Equities!R181C48</stp>
        <tr r="AV181" s="2"/>
        <tr r="AV181" s="2"/>
      </tp>
      <tp t="s">
        <v>#N/A N/A</v>
        <stp/>
        <stp>##V3_BDPV12</stp>
        <stp>MSFT US Equity</stp>
        <stp>DY784</stp>
        <stp>[DPM - Securities Master List (BBG Linked).xlsx]Equities!R180C48</stp>
        <tr r="AV180" s="2"/>
        <tr r="AV180" s="2"/>
      </tp>
      <tp t="s">
        <v>#N/A N/A</v>
        <stp/>
        <stp>##V3_BDPV12</stp>
        <stp>MSFT US Equity</stp>
        <stp>DY784</stp>
        <stp>[DPM - Securities Master List (BBG Linked).xlsx]Equities!R183C48</stp>
        <tr r="AV183" s="2"/>
        <tr r="AV183" s="2"/>
      </tp>
      <tp t="s">
        <v>#N/A N/A</v>
        <stp/>
        <stp>##V3_BDPV12</stp>
        <stp>MSFT US Equity</stp>
        <stp>DY784</stp>
        <stp>[DPM - Securities Master List (BBG Linked).xlsx]Equities!R182C48</stp>
        <tr r="AV182" s="2"/>
        <tr r="AV182" s="2"/>
      </tp>
      <tp t="s">
        <v>#N/A N/A</v>
        <stp/>
        <stp>##V3_BDPV12</stp>
        <stp>MSFT US Equity</stp>
        <stp>DY784</stp>
        <stp>[DPM - Securities Master List (BBG Linked).xlsx]Equities!R188C48</stp>
        <tr r="AV188" s="2"/>
        <tr r="AV188" s="2"/>
      </tp>
      <tp t="s">
        <v>#N/A N/A</v>
        <stp/>
        <stp>##V3_BDPV12</stp>
        <stp>MSFT US Equity</stp>
        <stp>DY784</stp>
        <stp>[DPM - Securities Master List (BBG Linked).xlsx]Equities!R175C48</stp>
        <tr r="AV175" s="2"/>
        <tr r="AV175" s="2"/>
      </tp>
      <tp t="s">
        <v>#N/A N/A</v>
        <stp/>
        <stp>##V3_BDPV12</stp>
        <stp>MSFT US Equity</stp>
        <stp>DY784</stp>
        <stp>[DPM - Securities Master List (BBG Linked).xlsx]Equities!R174C48</stp>
        <tr r="AV174" s="2"/>
        <tr r="AV174" s="2"/>
      </tp>
      <tp t="s">
        <v>#N/A N/A</v>
        <stp/>
        <stp>##V3_BDPV12</stp>
        <stp>MSFT US Equity</stp>
        <stp>DY784</stp>
        <stp>[DPM - Securities Master List (BBG Linked).xlsx]Equities!R177C48</stp>
        <tr r="AV177" s="2"/>
        <tr r="AV177" s="2"/>
      </tp>
      <tp t="s">
        <v>#N/A N/A</v>
        <stp/>
        <stp>##V3_BDPV12</stp>
        <stp>MSFT US Equity</stp>
        <stp>DY784</stp>
        <stp>[DPM - Securities Master List (BBG Linked).xlsx]Equities!R176C48</stp>
        <tr r="AV176" s="2"/>
        <tr r="AV176" s="2"/>
      </tp>
      <tp t="s">
        <v>#N/A N/A</v>
        <stp/>
        <stp>##V3_BDPV12</stp>
        <stp>MSFT US Equity</stp>
        <stp>DY784</stp>
        <stp>[DPM - Securities Master List (BBG Linked).xlsx]Equities!R171C48</stp>
        <tr r="AV171" s="2"/>
        <tr r="AV171" s="2"/>
      </tp>
      <tp t="s">
        <v>#N/A N/A</v>
        <stp/>
        <stp>##V3_BDPV12</stp>
        <stp>MSFT US Equity</stp>
        <stp>DY784</stp>
        <stp>[DPM - Securities Master List (BBG Linked).xlsx]Equities!R170C48</stp>
        <tr r="AV170" s="2"/>
        <tr r="AV170" s="2"/>
      </tp>
      <tp t="s">
        <v>#N/A N/A</v>
        <stp/>
        <stp>##V3_BDPV12</stp>
        <stp>MSFT US Equity</stp>
        <stp>DY784</stp>
        <stp>[DPM - Securities Master List (BBG Linked).xlsx]Equities!R173C48</stp>
        <tr r="AV173" s="2"/>
        <tr r="AV173" s="2"/>
      </tp>
      <tp t="s">
        <v>#N/A N/A</v>
        <stp/>
        <stp>##V3_BDPV12</stp>
        <stp>MSFT US Equity</stp>
        <stp>DY784</stp>
        <stp>[DPM - Securities Master List (BBG Linked).xlsx]Equities!R172C48</stp>
        <tr r="AV172" s="2"/>
        <tr r="AV172" s="2"/>
      </tp>
      <tp t="s">
        <v>#N/A N/A</v>
        <stp/>
        <stp>##V3_BDPV12</stp>
        <stp>MSFT US Equity</stp>
        <stp>DY784</stp>
        <stp>[DPM - Securities Master List (BBG Linked).xlsx]Equities!R179C48</stp>
        <tr r="AV179" s="2"/>
        <tr r="AV179" s="2"/>
      </tp>
      <tp t="s">
        <v>#N/A N/A</v>
        <stp/>
        <stp>##V3_BDPV12</stp>
        <stp>MSFT US Equity</stp>
        <stp>DY784</stp>
        <stp>[DPM - Securities Master List (BBG Linked).xlsx]Equities!R178C48</stp>
        <tr r="AV178" s="2"/>
        <tr r="AV178" s="2"/>
      </tp>
      <tp t="s">
        <v>USD</v>
        <stp/>
        <stp>##V3_BDPV12</stp>
        <stp>NSRGY US Equity</stp>
        <stp>CRNCY</stp>
        <stp>[DPM - Securities Master List (BBG Linked).xlsx]Equities!R223C6</stp>
        <tr r="F223" s="2"/>
      </tp>
      <tp t="s">
        <v>Alphabet Inc</v>
        <stp/>
        <stp>##V3_BDPV12</stp>
        <stp>GOOGL UQ Equity</stp>
        <stp>SECURITY NAME</stp>
        <stp>[DPM - Securities Master List (BBG Linked).xlsx]Equities!R126C5</stp>
        <tr r="E126" s="2"/>
      </tp>
      <tp t="s">
        <v>Alphabet Inc</v>
        <stp/>
        <stp>##V3_BDPV12</stp>
        <stp>GOOGL US Equity</stp>
        <stp>SECURITY NAME</stp>
        <stp>[DPM - Securities Master List (BBG Linked).xlsx]Equities!R136C5</stp>
        <tr r="E136" s="2"/>
      </tp>
      <tp t="s">
        <v>#N/A Invalid Override</v>
        <stp/>
        <stp>##V3_BDPV12</stp>
        <stp>USF1067PAG12 isin</stp>
        <stp>YAS_BOND_YLD</stp>
        <stp>[DPM - Securities Master List (BBG Linked).xlsx]Bonds!R78C10</stp>
        <stp>YAS_YLD_FLAG=15</stp>
        <stp>user_local_trade_date</stp>
        <stp>45783</stp>
        <stp>Yas_bond_px</stp>
        <stp>#N/A Connection</stp>
        <tr r="J78" s="1"/>
      </tp>
      <tp t="s">
        <v>#N/A Invalid Field</v>
        <stp/>
        <stp>##V3_BDPV12</stp>
        <stp>MRK US Equity</stp>
        <stp/>
        <stp>[DPM - Securities Master List (BBG Linked).xlsx]Equities!R168C29</stp>
        <tr r="AC168" s="2"/>
        <tr r="AC168" s="2"/>
      </tp>
      <tp t="s">
        <v>#N/A Invalid Field</v>
        <stp/>
        <stp>##V3_BDPV12</stp>
        <stp>MRK US Equity</stp>
        <stp/>
        <stp>[DPM - Securities Master List (BBG Linked).xlsx]Equities!R169C29</stp>
        <tr r="AC169" s="2"/>
        <tr r="AC169" s="2"/>
      </tp>
      <tp t="s">
        <v>#N/A Invalid Field</v>
        <stp/>
        <stp>##V3_BDPV12</stp>
        <stp>MRK US Equity</stp>
        <stp/>
        <stp>[DPM - Securities Master List (BBG Linked).xlsx]Equities!R164C29</stp>
        <tr r="AC164" s="2"/>
        <tr r="AC164" s="2"/>
      </tp>
      <tp t="s">
        <v>#N/A Invalid Field</v>
        <stp/>
        <stp>##V3_BDPV12</stp>
        <stp>MRK US Equity</stp>
        <stp/>
        <stp>[DPM - Securities Master List (BBG Linked).xlsx]Equities!R165C29</stp>
        <tr r="AC165" s="2"/>
        <tr r="AC165" s="2"/>
      </tp>
      <tp t="s">
        <v>#N/A Invalid Field</v>
        <stp/>
        <stp>##V3_BDPV12</stp>
        <stp>MRK US Equity</stp>
        <stp/>
        <stp>[DPM - Securities Master List (BBG Linked).xlsx]Equities!R166C29</stp>
        <tr r="AC166" s="2"/>
        <tr r="AC166" s="2"/>
      </tp>
      <tp t="s">
        <v>#N/A Invalid Field</v>
        <stp/>
        <stp>##V3_BDPV12</stp>
        <stp>MRK US Equity</stp>
        <stp/>
        <stp>[DPM - Securities Master List (BBG Linked).xlsx]Equities!R167C29</stp>
        <tr r="AC167" s="2"/>
        <tr r="AC167" s="2"/>
      </tp>
      <tp t="s">
        <v>#N/A Invalid Field</v>
        <stp/>
        <stp>##V3_BDPV12</stp>
        <stp>MRK US Equity</stp>
        <stp/>
        <stp>[DPM - Securities Master List (BBG Linked).xlsx]Equities!R160C29</stp>
        <tr r="AC160" s="2"/>
        <tr r="AC160" s="2"/>
      </tp>
      <tp t="s">
        <v>#N/A Invalid Field</v>
        <stp/>
        <stp>##V3_BDPV12</stp>
        <stp>MRK US Equity</stp>
        <stp/>
        <stp>[DPM - Securities Master List (BBG Linked).xlsx]Equities!R161C29</stp>
        <tr r="AC161" s="2"/>
        <tr r="AC161" s="2"/>
      </tp>
      <tp t="s">
        <v>#N/A Invalid Field</v>
        <stp/>
        <stp>##V3_BDPV12</stp>
        <stp>MRK US Equity</stp>
        <stp/>
        <stp>[DPM - Securities Master List (BBG Linked).xlsx]Equities!R162C29</stp>
        <tr r="AC162" s="2"/>
        <tr r="AC162" s="2"/>
      </tp>
      <tp t="s">
        <v>#N/A Invalid Field</v>
        <stp/>
        <stp>##V3_BDPV12</stp>
        <stp>MRK US Equity</stp>
        <stp/>
        <stp>[DPM - Securities Master List (BBG Linked).xlsx]Equities!R163C29</stp>
        <tr r="AC163" s="2"/>
        <tr r="AC163" s="2"/>
      </tp>
      <tp t="s">
        <v>#N/A Invalid Field</v>
        <stp/>
        <stp>##V3_BDPV12</stp>
        <stp>MRK US Equity</stp>
        <stp/>
        <stp>[DPM - Securities Master List (BBG Linked).xlsx]Equities!R158C29</stp>
        <tr r="AC158" s="2"/>
        <tr r="AC158" s="2"/>
      </tp>
      <tp t="s">
        <v>#N/A Invalid Field</v>
        <stp/>
        <stp>##V3_BDPV12</stp>
        <stp>MRK US Equity</stp>
        <stp/>
        <stp>[DPM - Securities Master List (BBG Linked).xlsx]Equities!R159C29</stp>
        <tr r="AC159" s="2"/>
        <tr r="AC159" s="2"/>
      </tp>
      <tp t="s">
        <v>#N/A Invalid Field</v>
        <stp/>
        <stp>##V3_BDPV12</stp>
        <stp>MRK US Equity</stp>
        <stp/>
        <stp>[DPM - Securities Master List (BBG Linked).xlsx]Equities!R157C29</stp>
        <tr r="AC157" s="2"/>
        <tr r="AC157" s="2"/>
      </tp>
      <tp t="s">
        <v>Energy</v>
        <stp/>
        <stp>##V3_BDPV12</stp>
        <stp>BP/ LN Equity</stp>
        <stp>DX202</stp>
        <stp>[DPM - Securities Master List (BBG Linked).xlsx]Equities!R85C8</stp>
        <tr r="H85" s="2"/>
        <tr r="H85" s="2"/>
        <tr r="H85" s="2"/>
      </tp>
      <tp t="s">
        <v>Health Care</v>
        <stp/>
        <stp>##V3_BDPV12</stp>
        <stp>AZN LN Equity</stp>
        <stp>DX202</stp>
        <stp>[DPM - Securities Master List (BBG Linked).xlsx]Equities!R55C8</stp>
        <tr r="H55" s="2"/>
        <tr r="H55" s="2"/>
        <tr r="H55" s="2"/>
      </tp>
      <tp t="s">
        <v>Consumer Staples</v>
        <stp/>
        <stp>##V3_BDPV12</stp>
        <stp>ABF LN Equity</stp>
        <stp>DX202</stp>
        <stp>[DPM - Securities Master List (BBG Linked).xlsx]Equities!R35C8</stp>
        <tr r="H35" s="2"/>
        <tr r="H35" s="2"/>
        <tr r="H35" s="2"/>
      </tp>
      <tp t="s">
        <v>#N/A Invalid Field</v>
        <stp/>
        <stp>##V3_BDPV12</stp>
        <stp>MDT US Equity</stp>
        <stp/>
        <stp>[DPM - Securities Master List (BBG Linked).xlsx]Equities!R155C29</stp>
        <tr r="AC155" s="2"/>
        <tr r="AC155" s="2"/>
      </tp>
    </main>
    <main first="bloomberg.rtd">
      <tp t="s">
        <v>Dell Technologies Inc</v>
        <stp/>
        <stp>##V3_BDPV12</stp>
        <stp>DELL US Equity</stp>
        <stp>SECURITY NAME</stp>
        <stp>[DPM - Securities Master List (BBG Linked).xlsx]Equities!R98C5</stp>
        <tr r="E98" s="2"/>
      </tp>
    </main>
    <main first="bofaddin.rtdserver">
      <tp t="e">
        <v>#N/A</v>
        <stp/>
        <stp>BDP|298387762905147778</stp>
        <tr r="L9" s="3"/>
        <tr r="L8" s="3"/>
        <tr r="L7" s="3"/>
        <tr r="L6" s="3"/>
        <tr r="L5" s="3"/>
        <tr r="L4" s="3"/>
        <tr r="L3" s="3"/>
        <tr r="L15" s="3"/>
        <tr r="L14" s="3"/>
        <tr r="L13" s="3"/>
        <tr r="L12" s="3"/>
        <tr r="L11" s="3"/>
        <tr r="L10" s="3"/>
      </tp>
      <tp t="e">
        <v>#N/A</v>
        <stp/>
        <stp>BDP|507313697784585995</stp>
        <tr r="Q91" s="1"/>
        <tr r="Q76" s="1"/>
        <tr r="Q55" s="1"/>
        <tr r="Q48" s="1"/>
        <tr r="Q26" s="1"/>
        <tr r="Q157" s="1"/>
        <tr r="Q142" s="1"/>
        <tr r="Q132" s="1"/>
        <tr r="Q120" s="1"/>
        <tr r="Q100" s="1"/>
      </tp>
      <tp t="e">
        <v>#N/A</v>
        <stp/>
        <stp>BDP|470195353487732416</stp>
        <tr r="I143" s="1"/>
        <tr r="I127" s="1"/>
      </tp>
      <tp t="e">
        <v>#N/A</v>
        <stp/>
        <stp>BDP|234598820358782875</stp>
        <tr r="AK17" s="1"/>
        <tr r="AK17" s="1"/>
        <tr r="AK17" s="1"/>
        <tr r="AK112" s="1"/>
        <tr r="AK112" s="1"/>
        <tr r="AK112" s="1"/>
      </tp>
      <tp t="e">
        <v>#N/A</v>
        <stp/>
        <stp>BDP|340807066278018100</stp>
        <tr r="W84" s="1"/>
        <tr r="W70" s="1"/>
        <tr r="W159" s="1"/>
        <tr r="W116" s="1"/>
      </tp>
      <tp t="e">
        <v>#N/A</v>
        <stp/>
        <stp>BDP|886879481532811504</stp>
        <tr r="Y67" s="1"/>
        <tr r="Y43" s="1"/>
        <tr r="Y30" s="1"/>
        <tr r="Y3" s="1"/>
        <tr r="Y21" s="1"/>
        <tr r="Y166" s="1"/>
        <tr r="Y147" s="1"/>
        <tr r="Y125" s="1"/>
        <tr r="Y114" s="1"/>
      </tp>
      <tp t="e">
        <v>#N/A</v>
        <stp/>
        <stp>BDP|164553265485312146</stp>
        <tr r="K139" s="1"/>
        <tr r="K129" s="1"/>
      </tp>
      <tp t="e">
        <v>#N/A</v>
        <stp/>
        <stp>BDP|161642404246257749</stp>
        <tr r="AS32" s="1"/>
      </tp>
      <tp t="e">
        <v>#N/A</v>
        <stp/>
        <stp>BDP|331843686591699604</stp>
        <tr r="M73" s="1"/>
        <tr r="M73" s="1"/>
        <tr r="M168" s="1"/>
        <tr r="M168" s="1"/>
      </tp>
      <tp t="e">
        <v>#N/A</v>
        <stp/>
        <stp>BDP|245411964597201229</stp>
        <tr r="E119" s="3"/>
        <tr r="E118" s="3"/>
        <tr r="E117" s="3"/>
        <tr r="E116" s="3"/>
      </tp>
      <tp t="e">
        <v>#N/A</v>
        <stp/>
        <stp>BDP|327776237380614354</stp>
        <tr r="V78" s="3"/>
        <tr r="V77" s="3"/>
        <tr r="V76" s="3"/>
        <tr r="V75" s="3"/>
        <tr r="V74" s="3"/>
        <tr r="V73" s="3"/>
      </tp>
    </main>
    <main first="bloomberg.rtd">
      <tp>
        <v>2.2486346553512884</v>
        <stp/>
        <stp>##V3_BDPV12</stp>
        <stp>DELL US Equity</stp>
        <stp>DV013</stp>
        <stp>[DPM - Securities Master List (BBG Linked).xlsx]Equities!R104C10</stp>
        <tr r="J104" s="2"/>
      </tp>
      <tp>
        <v>2.2486346553512884</v>
        <stp/>
        <stp>##V3_BDPV12</stp>
        <stp>DELL US Equity</stp>
        <stp>DV013</stp>
        <stp>[DPM - Securities Master List (BBG Linked).xlsx]Equities!R105C10</stp>
        <tr r="J105" s="2"/>
      </tp>
      <tp>
        <v>2.2486346553512884</v>
        <stp/>
        <stp>##V3_BDPV12</stp>
        <stp>DELL US Equity</stp>
        <stp>DV013</stp>
        <stp>[DPM - Securities Master List (BBG Linked).xlsx]Equities!R106C10</stp>
        <tr r="J106" s="2"/>
      </tp>
      <tp>
        <v>2.2486346553512884</v>
        <stp/>
        <stp>##V3_BDPV12</stp>
        <stp>DELL US Equity</stp>
        <stp>DV013</stp>
        <stp>[DPM - Securities Master List (BBG Linked).xlsx]Equities!R107C10</stp>
        <tr r="J107" s="2"/>
      </tp>
      <tp>
        <v>2.2486346553512884</v>
        <stp/>
        <stp>##V3_BDPV12</stp>
        <stp>DELL US Equity</stp>
        <stp>DV013</stp>
        <stp>[DPM - Securities Master List (BBG Linked).xlsx]Equities!R100C10</stp>
        <tr r="J100" s="2"/>
      </tp>
      <tp>
        <v>2.2486346553512884</v>
        <stp/>
        <stp>##V3_BDPV12</stp>
        <stp>DELL US Equity</stp>
        <stp>DV013</stp>
        <stp>[DPM - Securities Master List (BBG Linked).xlsx]Equities!R101C10</stp>
        <tr r="J101" s="2"/>
      </tp>
      <tp>
        <v>2.2486346553512884</v>
        <stp/>
        <stp>##V3_BDPV12</stp>
        <stp>DELL US Equity</stp>
        <stp>DV013</stp>
        <stp>[DPM - Securities Master List (BBG Linked).xlsx]Equities!R102C10</stp>
        <tr r="J102" s="2"/>
      </tp>
      <tp>
        <v>2.2486346553512884</v>
        <stp/>
        <stp>##V3_BDPV12</stp>
        <stp>DELL US Equity</stp>
        <stp>DV013</stp>
        <stp>[DPM - Securities Master List (BBG Linked).xlsx]Equities!R103C10</stp>
        <tr r="J103" s="2"/>
      </tp>
      <tp>
        <v>9.0292951754810016</v>
        <stp/>
        <stp>##V3_BDPV12</stp>
        <stp>DELL US Equity</stp>
        <stp>EE010</stp>
        <stp>[DPM - Securities Master List (BBG Linked).xlsx]Equities!R104C12</stp>
        <tr r="L104" s="2"/>
        <tr r="L104" s="2"/>
        <tr r="L104" s="2"/>
      </tp>
      <tp>
        <v>9.0292951754810016</v>
        <stp/>
        <stp>##V3_BDPV12</stp>
        <stp>DELL US Equity</stp>
        <stp>EE010</stp>
        <stp>[DPM - Securities Master List (BBG Linked).xlsx]Equities!R105C12</stp>
        <tr r="L105" s="2"/>
        <tr r="L105" s="2"/>
        <tr r="L105" s="2"/>
      </tp>
      <tp>
        <v>9.0292951754810016</v>
        <stp/>
        <stp>##V3_BDPV12</stp>
        <stp>DELL US Equity</stp>
        <stp>EE010</stp>
        <stp>[DPM - Securities Master List (BBG Linked).xlsx]Equities!R106C12</stp>
        <tr r="L106" s="2"/>
        <tr r="L106" s="2"/>
        <tr r="L106" s="2"/>
      </tp>
      <tp>
        <v>9.0292951754810016</v>
        <stp/>
        <stp>##V3_BDPV12</stp>
        <stp>DELL US Equity</stp>
        <stp>EE010</stp>
        <stp>[DPM - Securities Master List (BBG Linked).xlsx]Equities!R107C12</stp>
        <tr r="L107" s="2"/>
        <tr r="L107" s="2"/>
        <tr r="L107" s="2"/>
      </tp>
      <tp>
        <v>9.0292951754810016</v>
        <stp/>
        <stp>##V3_BDPV12</stp>
        <stp>DELL US Equity</stp>
        <stp>EE010</stp>
        <stp>[DPM - Securities Master List (BBG Linked).xlsx]Equities!R100C12</stp>
        <tr r="L100" s="2"/>
        <tr r="L100" s="2"/>
        <tr r="L100" s="2"/>
      </tp>
      <tp>
        <v>9.0292951754810016</v>
        <stp/>
        <stp>##V3_BDPV12</stp>
        <stp>DELL US Equity</stp>
        <stp>EE010</stp>
        <stp>[DPM - Securities Master List (BBG Linked).xlsx]Equities!R101C12</stp>
        <tr r="L101" s="2"/>
        <tr r="L101" s="2"/>
        <tr r="L101" s="2"/>
      </tp>
      <tp>
        <v>9.0292951754810016</v>
        <stp/>
        <stp>##V3_BDPV12</stp>
        <stp>DELL US Equity</stp>
        <stp>EE010</stp>
        <stp>[DPM - Securities Master List (BBG Linked).xlsx]Equities!R102C12</stp>
        <tr r="L102" s="2"/>
        <tr r="L102" s="2"/>
        <tr r="L102" s="2"/>
      </tp>
      <tp>
        <v>9.0292951754810016</v>
        <stp/>
        <stp>##V3_BDPV12</stp>
        <stp>DELL US Equity</stp>
        <stp>EE010</stp>
        <stp>[DPM - Securities Master List (BBG Linked).xlsx]Equities!R103C12</stp>
        <tr r="L103" s="2"/>
        <tr r="L103" s="2"/>
        <tr r="L103" s="2"/>
      </tp>
      <tp>
        <v>-1.2664169999999999</v>
        <stp/>
        <stp>##V3_BDPV12</stp>
        <stp>AAL US Equity</stp>
        <stp>CHG_PCT_1D</stp>
        <stp>[DPM - Securities Master List (BBG Linked).xlsx]Equities!R33C22</stp>
        <tr r="V33" s="2"/>
      </tp>
      <tp>
        <v>-1.2664169999999999</v>
        <stp/>
        <stp>##V3_BDPV12</stp>
        <stp>AAL US Equity</stp>
        <stp>CHG_PCT_1D</stp>
        <stp>[DPM - Securities Master List (BBG Linked).xlsx]Equities!R32C22</stp>
        <tr r="V32" s="2"/>
      </tp>
      <tp>
        <v>-1.2664169999999999</v>
        <stp/>
        <stp>##V3_BDPV12</stp>
        <stp>AAL US Equity</stp>
        <stp>CHG_PCT_1D</stp>
        <stp>[DPM - Securities Master List (BBG Linked).xlsx]Equities!R31C22</stp>
        <tr r="V31" s="2"/>
      </tp>
      <tp>
        <v>-1.2664169999999999</v>
        <stp/>
        <stp>##V3_BDPV12</stp>
        <stp>AAL US Equity</stp>
        <stp>CHG_PCT_1D</stp>
        <stp>[DPM - Securities Master List (BBG Linked).xlsx]Equities!R30C22</stp>
        <tr r="V30" s="2"/>
      </tp>
      <tp>
        <v>-1.2664169999999999</v>
        <stp/>
        <stp>##V3_BDPV12</stp>
        <stp>AAL US Equity</stp>
        <stp>CHG_PCT_1D</stp>
        <stp>[DPM - Securities Master List (BBG Linked).xlsx]Equities!R29C22</stp>
        <tr r="V29" s="2"/>
      </tp>
      <tp>
        <v>-1.2664169999999999</v>
        <stp/>
        <stp>##V3_BDPV12</stp>
        <stp>AAL US Equity</stp>
        <stp>CHG_PCT_1D</stp>
        <stp>[DPM - Securities Master List (BBG Linked).xlsx]Equities!R28C22</stp>
        <tr r="V28" s="2"/>
      </tp>
      <tp t="s">
        <v>N</v>
        <stp/>
        <stp>##V3_BDPV12</stp>
        <stp>NVDA US Equity</stp>
        <stp>DY997</stp>
        <stp>[DPM - Securities Master List (BBG Linked).xlsx]Equities!R224C47</stp>
        <tr r="AU224" s="2"/>
        <tr r="AU224" s="2"/>
        <tr r="AU224" s="2"/>
      </tp>
      <tp>
        <v>-24.821429999999999</v>
        <stp/>
        <stp>##V3_BDPV12</stp>
        <stp>AAL US Equity</stp>
        <stp>CHG_PCT_6M</stp>
        <stp>[DPM - Securities Master List (BBG Linked).xlsx]Equities!R29C42</stp>
        <tr r="AP29" s="2"/>
      </tp>
      <tp>
        <v>-24.821429999999999</v>
        <stp/>
        <stp>##V3_BDPV12</stp>
        <stp>AAL US Equity</stp>
        <stp>CHG_PCT_6M</stp>
        <stp>[DPM - Securities Master List (BBG Linked).xlsx]Equities!R28C42</stp>
        <tr r="AP28" s="2"/>
      </tp>
      <tp>
        <v>-24.821429999999999</v>
        <stp/>
        <stp>##V3_BDPV12</stp>
        <stp>AAL US Equity</stp>
        <stp>CHG_PCT_6M</stp>
        <stp>[DPM - Securities Master List (BBG Linked).xlsx]Equities!R33C42</stp>
        <tr r="AP33" s="2"/>
      </tp>
      <tp>
        <v>-24.821429999999999</v>
        <stp/>
        <stp>##V3_BDPV12</stp>
        <stp>AAL US Equity</stp>
        <stp>CHG_PCT_6M</stp>
        <stp>[DPM - Securities Master List (BBG Linked).xlsx]Equities!R32C42</stp>
        <tr r="AP32" s="2"/>
      </tp>
      <tp>
        <v>-24.821429999999999</v>
        <stp/>
        <stp>##V3_BDPV12</stp>
        <stp>AAL US Equity</stp>
        <stp>CHG_PCT_6M</stp>
        <stp>[DPM - Securities Master List (BBG Linked).xlsx]Equities!R31C42</stp>
        <tr r="AP31" s="2"/>
      </tp>
      <tp>
        <v>-24.821429999999999</v>
        <stp/>
        <stp>##V3_BDPV12</stp>
        <stp>AAL US Equity</stp>
        <stp>CHG_PCT_6M</stp>
        <stp>[DPM - Securities Master List (BBG Linked).xlsx]Equities!R30C42</stp>
        <tr r="AP30" s="2"/>
      </tp>
      <tp>
        <v>2.1158424012719621</v>
        <stp/>
        <stp>##V3_BDPV12</stp>
        <stp>GOLD US Equity</stp>
        <stp>DV013</stp>
        <stp>[DPM - Securities Master List (BBG Linked).xlsx]Equities!R125C10</stp>
        <tr r="J125" s="2"/>
      </tp>
      <tp>
        <v>8.8631036099390528</v>
        <stp/>
        <stp>##V3_BDPV12</stp>
        <stp>GOLD US Equity</stp>
        <stp>EE010</stp>
        <stp>[DPM - Securities Master List (BBG Linked).xlsx]Equities!R125C12</stp>
        <tr r="L125" s="2"/>
        <tr r="L125" s="2"/>
        <tr r="L125" s="2"/>
      </tp>
      <tp>
        <v>6.3131310000000003</v>
        <stp/>
        <stp>##V3_BDPV12</stp>
        <stp>AAL US Equity</stp>
        <stp>CHG_PCT_5D</stp>
        <stp>[DPM - Securities Master List (BBG Linked).xlsx]Equities!R29C23</stp>
        <tr r="W29" s="2"/>
      </tp>
      <tp>
        <v>6.3131310000000003</v>
        <stp/>
        <stp>##V3_BDPV12</stp>
        <stp>AAL US Equity</stp>
        <stp>CHG_PCT_5D</stp>
        <stp>[DPM - Securities Master List (BBG Linked).xlsx]Equities!R28C23</stp>
        <tr r="W28" s="2"/>
      </tp>
      <tp>
        <v>6.3131310000000003</v>
        <stp/>
        <stp>##V3_BDPV12</stp>
        <stp>AAL US Equity</stp>
        <stp>CHG_PCT_5D</stp>
        <stp>[DPM - Securities Master List (BBG Linked).xlsx]Equities!R33C23</stp>
        <tr r="W33" s="2"/>
      </tp>
      <tp>
        <v>6.3131310000000003</v>
        <stp/>
        <stp>##V3_BDPV12</stp>
        <stp>AAL US Equity</stp>
        <stp>CHG_PCT_5D</stp>
        <stp>[DPM - Securities Master List (BBG Linked).xlsx]Equities!R32C23</stp>
        <tr r="W32" s="2"/>
      </tp>
      <tp>
        <v>6.3131310000000003</v>
        <stp/>
        <stp>##V3_BDPV12</stp>
        <stp>AAL US Equity</stp>
        <stp>CHG_PCT_5D</stp>
        <stp>[DPM - Securities Master List (BBG Linked).xlsx]Equities!R31C23</stp>
        <tr r="W31" s="2"/>
      </tp>
      <tp>
        <v>6.3131310000000003</v>
        <stp/>
        <stp>##V3_BDPV12</stp>
        <stp>AAL US Equity</stp>
        <stp>CHG_PCT_5D</stp>
        <stp>[DPM - Securities Master List (BBG Linked).xlsx]Equities!R30C23</stp>
        <tr r="W30" s="2"/>
      </tp>
      <tp>
        <v>3.7568481559088727</v>
        <stp/>
        <stp>##V3_BDPV12</stp>
        <stp>SMSN.LI Equity</stp>
        <stp>RR041</stp>
        <stp>[DPM - Securities Master List (BBG Linked).xlsx]Equities!R243C33</stp>
        <tr r="AG243" s="2"/>
        <tr r="AG243" s="2"/>
        <tr r="AG243" s="2"/>
      </tp>
      <tp t="s">
        <v>N</v>
        <stp/>
        <stp>##V3_BDPV12</stp>
        <stp>AMZN  US Equity</stp>
        <stp>DY784</stp>
        <stp>[DPM - Securities Master List (BBG Linked).xlsx]Equities!R50C48</stp>
        <tr r="AV50" s="2"/>
        <tr r="AV50" s="2"/>
        <tr r="AV50" s="2"/>
      </tp>
      <tp t="s">
        <v>Alphabet Inc</v>
        <stp/>
        <stp>##V3_BDPV12</stp>
        <stp>GOOGL US Equity</stp>
        <stp>SECURITY NAME</stp>
        <stp>[DPM - Securities Master List (BBG Linked).xlsx]Equities!R127C5</stp>
        <tr r="E127" s="2"/>
      </tp>
      <tp t="s">
        <v>Alphabet Inc</v>
        <stp/>
        <stp>##V3_BDPV12</stp>
        <stp>GOOGL US Equity</stp>
        <stp>SECURITY NAME</stp>
        <stp>[DPM - Securities Master List (BBG Linked).xlsx]Equities!R137C5</stp>
        <tr r="E137" s="2"/>
      </tp>
      <tp t="s">
        <v>#N/A Invalid Override</v>
        <stp/>
        <stp>##V3_BDPV12</stp>
        <stp>USY7141BAC73 isin</stp>
        <stp>YAS_BOND_YLD</stp>
        <stp>[DPM - Securities Master List (BBG Linked).xlsx]Bonds!R95C10</stp>
        <stp>YAS_YLD_FLAG=15</stp>
        <stp>user_local_trade_date</stp>
        <stp>45783</stp>
        <stp>Yas_bond_px</stp>
        <stp>#N/A Connection</stp>
        <tr r="J95" s="1"/>
      </tp>
      <tp t="s">
        <v>#N/A Invalid Override</v>
        <stp/>
        <stp>##V3_BDPV12</stp>
        <stp>USY7141BAC73 isin</stp>
        <stp>YAS_BOND_YLD</stp>
        <stp>[DPM - Securities Master List (BBG Linked).xlsx]Bonds!R71C10</stp>
        <stp>YAS_YLD_FLAG=15</stp>
        <stp>user_local_trade_date</stp>
        <stp>45783</stp>
        <stp>Yas_bond_px</stp>
        <stp>#N/A Connection</stp>
        <tr r="J71" s="1"/>
      </tp>
      <tp t="s">
        <v>#N/A Invalid Field</v>
        <stp/>
        <stp>##V3_BDPV12</stp>
        <stp>LUV US Equity</stp>
        <stp/>
        <stp>[DPM - Securities Master List (BBG Linked).xlsx]Equities!R154C29</stp>
        <tr r="AC154" s="2"/>
        <tr r="AC154" s="2"/>
      </tp>
      <tp t="s">
        <v>Energy</v>
        <stp/>
        <stp>##V3_BDPV12</stp>
        <stp>BP/ LN Equity</stp>
        <stp>DX202</stp>
        <stp>[DPM - Securities Master List (BBG Linked).xlsx]Equities!R84C8</stp>
        <tr r="H84" s="2"/>
        <tr r="H84" s="2"/>
        <tr r="H84" s="2"/>
      </tp>
      <tp t="s">
        <v>Health Care</v>
        <stp/>
        <stp>##V3_BDPV12</stp>
        <stp>AZN LN Equity</stp>
        <stp>DX202</stp>
        <stp>[DPM - Securities Master List (BBG Linked).xlsx]Equities!R54C8</stp>
        <tr r="H54" s="2"/>
        <tr r="H54" s="2"/>
        <tr r="H54" s="2"/>
      </tp>
    </main>
    <main first="bofaddin.rtdserver">
      <tp t="e">
        <v>#N/A</v>
        <stp/>
        <stp>BDP|618154459895386751</stp>
        <tr r="I110" s="1"/>
      </tp>
      <tp t="e">
        <v>#N/A</v>
        <stp/>
        <stp>BDP|141266819877472271</stp>
        <tr r="L34" s="1"/>
        <tr r="L34" s="1"/>
        <tr r="L156" s="1"/>
        <tr r="L156" s="1"/>
        <tr r="AS34" s="1"/>
        <tr r="AS156" s="1"/>
      </tp>
      <tp t="e">
        <v>#N/A</v>
        <stp/>
        <stp>BDP|136325129471128667</stp>
        <tr r="AD93" s="1"/>
      </tp>
    </main>
    <main first="bloomberg.rtd">
      <tp t="s">
        <v>Dell Technologies Inc</v>
        <stp/>
        <stp>##V3_BDPV12</stp>
        <stp>DELL US Equity</stp>
        <stp>SECURITY NAME</stp>
        <stp>[DPM - Securities Master List (BBG Linked).xlsx]Equities!R99C5</stp>
        <tr r="E99" s="2"/>
      </tp>
    </main>
    <main first="bloomberg.rtd">
      <tp>
        <v>15.11</v>
        <stp/>
        <stp>##V3_BDPV12</stp>
        <stp>GOLD US Equity</stp>
        <stp>hs002</stp>
        <stp>[DPM - Securities Master List (BBG Linked).xlsx]Equities!R125C45</stp>
        <tr r="AS125" s="2"/>
      </tp>
      <tp>
        <v>21.35</v>
        <stp/>
        <stp>##V3_BDPV12</stp>
        <stp>GOLD US Equity</stp>
        <stp>hs001</stp>
        <stp>[DPM - Securities Master List (BBG Linked).xlsx]Equities!R125C44</stp>
        <tr r="AR125" s="2"/>
      </tp>
    </main>
    <main first="bofaddin.rtdserver">
      <tp t="e">
        <v>#N/A</v>
        <stp/>
        <stp>BDP|548423616983562018</stp>
        <tr r="Y17" s="1"/>
        <tr r="Y112" s="1"/>
      </tp>
      <tp t="e">
        <v>#N/A</v>
        <stp/>
        <stp>BDP|565018800613795552</stp>
        <tr r="I103" s="3"/>
        <tr r="I103" s="3"/>
        <tr r="I103" s="3"/>
      </tp>
      <tp t="e">
        <v>#N/A</v>
        <stp/>
        <stp>BDP|266252023892096432</stp>
        <tr r="W94" s="1"/>
        <tr r="W151" s="1"/>
        <tr r="W123" s="1"/>
        <tr r="W101" s="1"/>
      </tp>
    </main>
    <main first="bloomberg.rtd">
      <tp>
        <v>66.245000000000005</v>
        <stp/>
        <stp>##V3_BDPV12</stp>
        <stp>DELL US Equity</stp>
        <stp>hs002</stp>
        <stp>[DPM - Securities Master List (BBG Linked).xlsx]Equities!R104C45</stp>
        <tr r="AS104" s="2"/>
      </tp>
      <tp>
        <v>66.245000000000005</v>
        <stp/>
        <stp>##V3_BDPV12</stp>
        <stp>DELL US Equity</stp>
        <stp>hs002</stp>
        <stp>[DPM - Securities Master List (BBG Linked).xlsx]Equities!R105C45</stp>
        <tr r="AS105" s="2"/>
      </tp>
      <tp>
        <v>66.245000000000005</v>
        <stp/>
        <stp>##V3_BDPV12</stp>
        <stp>DELL US Equity</stp>
        <stp>hs002</stp>
        <stp>[DPM - Securities Master List (BBG Linked).xlsx]Equities!R106C45</stp>
        <tr r="AS106" s="2"/>
      </tp>
      <tp>
        <v>66.245000000000005</v>
        <stp/>
        <stp>##V3_BDPV12</stp>
        <stp>DELL US Equity</stp>
        <stp>hs002</stp>
        <stp>[DPM - Securities Master List (BBG Linked).xlsx]Equities!R107C45</stp>
        <tr r="AS107" s="2"/>
      </tp>
      <tp>
        <v>66.245000000000005</v>
        <stp/>
        <stp>##V3_BDPV12</stp>
        <stp>DELL US Equity</stp>
        <stp>hs002</stp>
        <stp>[DPM - Securities Master List (BBG Linked).xlsx]Equities!R100C45</stp>
        <tr r="AS100" s="2"/>
      </tp>
      <tp>
        <v>66.245000000000005</v>
        <stp/>
        <stp>##V3_BDPV12</stp>
        <stp>DELL US Equity</stp>
        <stp>hs002</stp>
        <stp>[DPM - Securities Master List (BBG Linked).xlsx]Equities!R101C45</stp>
        <tr r="AS101" s="2"/>
      </tp>
      <tp>
        <v>66.245000000000005</v>
        <stp/>
        <stp>##V3_BDPV12</stp>
        <stp>DELL US Equity</stp>
        <stp>hs002</stp>
        <stp>[DPM - Securities Master List (BBG Linked).xlsx]Equities!R102C45</stp>
        <tr r="AS102" s="2"/>
      </tp>
      <tp>
        <v>66.245000000000005</v>
        <stp/>
        <stp>##V3_BDPV12</stp>
        <stp>DELL US Equity</stp>
        <stp>hs002</stp>
        <stp>[DPM - Securities Master List (BBG Linked).xlsx]Equities!R103C45</stp>
        <tr r="AS103" s="2"/>
      </tp>
    </main>
    <main first="bloomberg.rtd">
      <tp>
        <v>179.7</v>
        <stp/>
        <stp>##V3_BDPV12</stp>
        <stp>DELL US Equity</stp>
        <stp>hs001</stp>
        <stp>[DPM - Securities Master List (BBG Linked).xlsx]Equities!R104C44</stp>
        <tr r="AR104" s="2"/>
      </tp>
      <tp>
        <v>179.7</v>
        <stp/>
        <stp>##V3_BDPV12</stp>
        <stp>DELL US Equity</stp>
        <stp>hs001</stp>
        <stp>[DPM - Securities Master List (BBG Linked).xlsx]Equities!R105C44</stp>
        <tr r="AR105" s="2"/>
      </tp>
      <tp>
        <v>179.7</v>
        <stp/>
        <stp>##V3_BDPV12</stp>
        <stp>DELL US Equity</stp>
        <stp>hs001</stp>
        <stp>[DPM - Securities Master List (BBG Linked).xlsx]Equities!R106C44</stp>
        <tr r="AR106" s="2"/>
      </tp>
      <tp>
        <v>179.7</v>
        <stp/>
        <stp>##V3_BDPV12</stp>
        <stp>DELL US Equity</stp>
        <stp>hs001</stp>
        <stp>[DPM - Securities Master List (BBG Linked).xlsx]Equities!R107C44</stp>
        <tr r="AR107" s="2"/>
      </tp>
      <tp>
        <v>179.7</v>
        <stp/>
        <stp>##V3_BDPV12</stp>
        <stp>DELL US Equity</stp>
        <stp>hs001</stp>
        <stp>[DPM - Securities Master List (BBG Linked).xlsx]Equities!R100C44</stp>
        <tr r="AR100" s="2"/>
      </tp>
      <tp>
        <v>179.7</v>
        <stp/>
        <stp>##V3_BDPV12</stp>
        <stp>DELL US Equity</stp>
        <stp>hs001</stp>
        <stp>[DPM - Securities Master List (BBG Linked).xlsx]Equities!R101C44</stp>
        <tr r="AR101" s="2"/>
      </tp>
      <tp>
        <v>179.7</v>
        <stp/>
        <stp>##V3_BDPV12</stp>
        <stp>DELL US Equity</stp>
        <stp>hs001</stp>
        <stp>[DPM - Securities Master List (BBG Linked).xlsx]Equities!R102C44</stp>
        <tr r="AR102" s="2"/>
      </tp>
      <tp>
        <v>179.7</v>
        <stp/>
        <stp>##V3_BDPV12</stp>
        <stp>DELL US Equity</stp>
        <stp>hs001</stp>
        <stp>[DPM - Securities Master List (BBG Linked).xlsx]Equities!R103C44</stp>
        <tr r="AR103" s="2"/>
      </tp>
    </main>
    <main first="bloomberg.rtd">
      <tp t="s">
        <v>Information Technology</v>
        <stp/>
        <stp>##V3_BDPV12</stp>
        <stp>DELL US Equity</stp>
        <stp>DX202</stp>
        <stp>[DPM - Securities Master List (BBG Linked).xlsx]Equities!R106C46</stp>
        <tr r="AT106" s="2"/>
        <tr r="AT106" s="2"/>
        <tr r="AT106" s="2"/>
      </tp>
      <tp t="s">
        <v>Information Technology</v>
        <stp/>
        <stp>##V3_BDPV12</stp>
        <stp>DELL US Equity</stp>
        <stp>DX202</stp>
        <stp>[DPM - Securities Master List (BBG Linked).xlsx]Equities!R107C46</stp>
        <tr r="AT107" s="2"/>
        <tr r="AT107" s="2"/>
        <tr r="AT107" s="2"/>
      </tp>
      <tp t="s">
        <v>Information Technology</v>
        <stp/>
        <stp>##V3_BDPV12</stp>
        <stp>DELL US Equity</stp>
        <stp>DX202</stp>
        <stp>[DPM - Securities Master List (BBG Linked).xlsx]Equities!R104C46</stp>
        <tr r="AT104" s="2"/>
        <tr r="AT104" s="2"/>
        <tr r="AT104" s="2"/>
      </tp>
      <tp t="s">
        <v>Information Technology</v>
        <stp/>
        <stp>##V3_BDPV12</stp>
        <stp>DELL US Equity</stp>
        <stp>DX202</stp>
        <stp>[DPM - Securities Master List (BBG Linked).xlsx]Equities!R105C46</stp>
        <tr r="AT105" s="2"/>
        <tr r="AT105" s="2"/>
        <tr r="AT105" s="2"/>
      </tp>
      <tp t="s">
        <v>Information Technology</v>
        <stp/>
        <stp>##V3_BDPV12</stp>
        <stp>DELL US Equity</stp>
        <stp>DX202</stp>
        <stp>[DPM - Securities Master List (BBG Linked).xlsx]Equities!R102C46</stp>
        <tr r="AT102" s="2"/>
        <tr r="AT102" s="2"/>
        <tr r="AT102" s="2"/>
      </tp>
      <tp t="s">
        <v>Information Technology</v>
        <stp/>
        <stp>##V3_BDPV12</stp>
        <stp>DELL US Equity</stp>
        <stp>DX202</stp>
        <stp>[DPM - Securities Master List (BBG Linked).xlsx]Equities!R103C46</stp>
        <tr r="AT103" s="2"/>
        <tr r="AT103" s="2"/>
        <tr r="AT103" s="2"/>
      </tp>
      <tp t="s">
        <v>Information Technology</v>
        <stp/>
        <stp>##V3_BDPV12</stp>
        <stp>DELL US Equity</stp>
        <stp>DX202</stp>
        <stp>[DPM - Securities Master List (BBG Linked).xlsx]Equities!R100C46</stp>
        <tr r="AT100" s="2"/>
        <tr r="AT100" s="2"/>
        <tr r="AT100" s="2"/>
      </tp>
      <tp t="s">
        <v>Information Technology</v>
        <stp/>
        <stp>##V3_BDPV12</stp>
        <stp>DELL US Equity</stp>
        <stp>DX202</stp>
        <stp>[DPM - Securities Master List (BBG Linked).xlsx]Equities!R101C46</stp>
        <tr r="AT101" s="2"/>
        <tr r="AT101" s="2"/>
        <tr r="AT101" s="2"/>
      </tp>
      <tp t="s">
        <v>CA0679011084</v>
        <stp/>
        <stp>##V3_BDPV12</stp>
        <stp>GOLD US Equity</stp>
        <stp>ID005</stp>
        <stp>[DPM - Securities Master List (BBG Linked).xlsx]Equities!R125C55</stp>
        <tr r="BC125" s="2"/>
      </tp>
      <tp>
        <v>4.6428570747375488</v>
        <stp/>
        <stp>##V3_BDPV12</stp>
        <stp>DELL US Equity</stp>
        <stp>EE201</stp>
        <stp>[DPM - Securities Master List (BBG Linked).xlsx]Equities!R106C37</stp>
        <tr r="AK106" s="2"/>
        <tr r="AK106" s="2"/>
        <tr r="AK106" s="2"/>
      </tp>
      <tp>
        <v>4.6428570747375488</v>
        <stp/>
        <stp>##V3_BDPV12</stp>
        <stp>DELL US Equity</stp>
        <stp>EE201</stp>
        <stp>[DPM - Securities Master List (BBG Linked).xlsx]Equities!R107C37</stp>
        <tr r="AK107" s="2"/>
        <tr r="AK107" s="2"/>
        <tr r="AK107" s="2"/>
      </tp>
      <tp>
        <v>4.6428570747375488</v>
        <stp/>
        <stp>##V3_BDPV12</stp>
        <stp>DELL US Equity</stp>
        <stp>EE201</stp>
        <stp>[DPM - Securities Master List (BBG Linked).xlsx]Equities!R104C37</stp>
        <tr r="AK104" s="2"/>
        <tr r="AK104" s="2"/>
        <tr r="AK104" s="2"/>
      </tp>
      <tp>
        <v>4.6428570747375488</v>
        <stp/>
        <stp>##V3_BDPV12</stp>
        <stp>DELL US Equity</stp>
        <stp>EE201</stp>
        <stp>[DPM - Securities Master List (BBG Linked).xlsx]Equities!R105C37</stp>
        <tr r="AK105" s="2"/>
        <tr r="AK105" s="2"/>
        <tr r="AK105" s="2"/>
      </tp>
      <tp>
        <v>4.6428570747375488</v>
        <stp/>
        <stp>##V3_BDPV12</stp>
        <stp>DELL US Equity</stp>
        <stp>EE201</stp>
        <stp>[DPM - Securities Master List (BBG Linked).xlsx]Equities!R102C37</stp>
        <tr r="AK102" s="2"/>
        <tr r="AK102" s="2"/>
        <tr r="AK102" s="2"/>
      </tp>
      <tp>
        <v>4.6428570747375488</v>
        <stp/>
        <stp>##V3_BDPV12</stp>
        <stp>DELL US Equity</stp>
        <stp>EE201</stp>
        <stp>[DPM - Securities Master List (BBG Linked).xlsx]Equities!R103C37</stp>
        <tr r="AK103" s="2"/>
        <tr r="AK103" s="2"/>
        <tr r="AK103" s="2"/>
      </tp>
      <tp>
        <v>4.6428570747375488</v>
        <stp/>
        <stp>##V3_BDPV12</stp>
        <stp>DELL US Equity</stp>
        <stp>EE201</stp>
        <stp>[DPM - Securities Master List (BBG Linked).xlsx]Equities!R100C37</stp>
        <tr r="AK100" s="2"/>
        <tr r="AK100" s="2"/>
        <tr r="AK100" s="2"/>
      </tp>
      <tp>
        <v>4.6428570747375488</v>
        <stp/>
        <stp>##V3_BDPV12</stp>
        <stp>DELL US Equity</stp>
        <stp>EE201</stp>
        <stp>[DPM - Securities Master List (BBG Linked).xlsx]Equities!R101C37</stp>
        <tr r="AK101" s="2"/>
        <tr r="AK101" s="2"/>
        <tr r="AK101" s="2"/>
      </tp>
      <tp t="s">
        <v>Materials</v>
        <stp/>
        <stp>##V3_BDPV12</stp>
        <stp>GOLD US Equity</stp>
        <stp>DX202</stp>
        <stp>[DPM - Securities Master List (BBG Linked).xlsx]Equities!R125C46</stp>
        <tr r="AT125" s="2"/>
        <tr r="AT125" s="2"/>
        <tr r="AT125" s="2"/>
      </tp>
      <tp t="s">
        <v>N</v>
        <stp/>
        <stp>##V3_BDPV12</stp>
        <stp>NVDA US Equity</stp>
        <stp>DY784</stp>
        <stp>[DPM - Securities Master List (BBG Linked).xlsx]Equities!R224C48</stp>
        <tr r="AV224" s="2"/>
        <tr r="AV224" s="2"/>
        <tr r="AV224" s="2"/>
      </tp>
      <tp t="s">
        <v>US24703L2025</v>
        <stp/>
        <stp>##V3_BDPV12</stp>
        <stp>DELL US Equity</stp>
        <stp>ID005</stp>
        <stp>[DPM - Securities Master List (BBG Linked).xlsx]Equities!R104C55</stp>
        <tr r="BC104" s="2"/>
      </tp>
      <tp t="s">
        <v>US24703L2025</v>
        <stp/>
        <stp>##V3_BDPV12</stp>
        <stp>DELL US Equity</stp>
        <stp>ID005</stp>
        <stp>[DPM - Securities Master List (BBG Linked).xlsx]Equities!R105C55</stp>
        <tr r="BC105" s="2"/>
      </tp>
      <tp t="s">
        <v>US24703L2025</v>
        <stp/>
        <stp>##V3_BDPV12</stp>
        <stp>DELL US Equity</stp>
        <stp>ID005</stp>
        <stp>[DPM - Securities Master List (BBG Linked).xlsx]Equities!R106C55</stp>
        <tr r="BC106" s="2"/>
      </tp>
      <tp t="s">
        <v>US24703L2025</v>
        <stp/>
        <stp>##V3_BDPV12</stp>
        <stp>DELL US Equity</stp>
        <stp>ID005</stp>
        <stp>[DPM - Securities Master List (BBG Linked).xlsx]Equities!R107C55</stp>
        <tr r="BC107" s="2"/>
      </tp>
      <tp t="s">
        <v>US24703L2025</v>
        <stp/>
        <stp>##V3_BDPV12</stp>
        <stp>DELL US Equity</stp>
        <stp>ID005</stp>
        <stp>[DPM - Securities Master List (BBG Linked).xlsx]Equities!R100C55</stp>
        <tr r="BC100" s="2"/>
      </tp>
      <tp t="s">
        <v>US24703L2025</v>
        <stp/>
        <stp>##V3_BDPV12</stp>
        <stp>DELL US Equity</stp>
        <stp>ID005</stp>
        <stp>[DPM - Securities Master List (BBG Linked).xlsx]Equities!R101C55</stp>
        <tr r="BC101" s="2"/>
      </tp>
      <tp t="s">
        <v>US24703L2025</v>
        <stp/>
        <stp>##V3_BDPV12</stp>
        <stp>DELL US Equity</stp>
        <stp>ID005</stp>
        <stp>[DPM - Securities Master List (BBG Linked).xlsx]Equities!R102C55</stp>
        <tr r="BC102" s="2"/>
      </tp>
      <tp t="s">
        <v>US24703L2025</v>
        <stp/>
        <stp>##V3_BDPV12</stp>
        <stp>DELL US Equity</stp>
        <stp>ID005</stp>
        <stp>[DPM - Securities Master List (BBG Linked).xlsx]Equities!R103C55</stp>
        <tr r="BC103" s="2"/>
      </tp>
      <tp>
        <v>4.2380952835083008</v>
        <stp/>
        <stp>##V3_BDPV12</stp>
        <stp>GOLD US Equity</stp>
        <stp>EE201</stp>
        <stp>[DPM - Securities Master List (BBG Linked).xlsx]Equities!R125C37</stp>
        <tr r="AK125" s="2"/>
        <tr r="AK125" s="2"/>
        <tr r="AK125" s="2"/>
      </tp>
      <tp>
        <v>13.337480589980856</v>
        <stp/>
        <stp>##V3_BDPV12</stp>
        <stp>DELL US Equity</stp>
        <stp>RR900</stp>
        <stp>[DPM - Securities Master List (BBG Linked).xlsx]Equities!R105C11</stp>
        <tr r="K105" s="2"/>
        <tr r="K105" s="2"/>
        <tr r="K105" s="2"/>
      </tp>
      <tp>
        <v>13.337480589980856</v>
        <stp/>
        <stp>##V3_BDPV12</stp>
        <stp>DELL US Equity</stp>
        <stp>RR900</stp>
        <stp>[DPM - Securities Master List (BBG Linked).xlsx]Equities!R104C11</stp>
        <tr r="K104" s="2"/>
        <tr r="K104" s="2"/>
        <tr r="K104" s="2"/>
      </tp>
      <tp>
        <v>13.337480589980856</v>
        <stp/>
        <stp>##V3_BDPV12</stp>
        <stp>DELL US Equity</stp>
        <stp>RR900</stp>
        <stp>[DPM - Securities Master List (BBG Linked).xlsx]Equities!R107C11</stp>
        <tr r="K107" s="2"/>
        <tr r="K107" s="2"/>
        <tr r="K107" s="2"/>
      </tp>
      <tp>
        <v>13.337480589980856</v>
        <stp/>
        <stp>##V3_BDPV12</stp>
        <stp>DELL US Equity</stp>
        <stp>RR900</stp>
        <stp>[DPM - Securities Master List (BBG Linked).xlsx]Equities!R106C11</stp>
        <tr r="K106" s="2"/>
        <tr r="K106" s="2"/>
        <tr r="K106" s="2"/>
      </tp>
      <tp>
        <v>13.337480589980856</v>
        <stp/>
        <stp>##V3_BDPV12</stp>
        <stp>DELL US Equity</stp>
        <stp>RR900</stp>
        <stp>[DPM - Securities Master List (BBG Linked).xlsx]Equities!R101C11</stp>
        <tr r="K101" s="2"/>
        <tr r="K101" s="2"/>
        <tr r="K101" s="2"/>
      </tp>
      <tp>
        <v>13.337480589980856</v>
        <stp/>
        <stp>##V3_BDPV12</stp>
        <stp>DELL US Equity</stp>
        <stp>RR900</stp>
        <stp>[DPM - Securities Master List (BBG Linked).xlsx]Equities!R100C11</stp>
        <tr r="K100" s="2"/>
        <tr r="K100" s="2"/>
        <tr r="K100" s="2"/>
      </tp>
      <tp>
        <v>13.337480589980856</v>
        <stp/>
        <stp>##V3_BDPV12</stp>
        <stp>DELL US Equity</stp>
        <stp>RR900</stp>
        <stp>[DPM - Securities Master List (BBG Linked).xlsx]Equities!R103C11</stp>
        <tr r="K103" s="2"/>
        <tr r="K103" s="2"/>
        <tr r="K103" s="2"/>
      </tp>
      <tp>
        <v>13.337480589980856</v>
        <stp/>
        <stp>##V3_BDPV12</stp>
        <stp>DELL US Equity</stp>
        <stp>RR900</stp>
        <stp>[DPM - Securities Master List (BBG Linked).xlsx]Equities!R102C11</stp>
        <tr r="K102" s="2"/>
        <tr r="K102" s="2"/>
        <tr r="K102" s="2"/>
      </tp>
      <tp t="s">
        <v>#N/A N/A</v>
        <stp/>
        <stp>##V3_BDPV12</stp>
        <stp>DELL US Equity</stp>
        <stp>RR903</stp>
        <stp>[DPM - Securities Master List (BBG Linked).xlsx]Equities!R105C13</stp>
        <tr r="M105" s="2"/>
        <tr r="M105" s="2"/>
      </tp>
      <tp t="s">
        <v>#N/A N/A</v>
        <stp/>
        <stp>##V3_BDPV12</stp>
        <stp>DELL US Equity</stp>
        <stp>RR903</stp>
        <stp>[DPM - Securities Master List (BBG Linked).xlsx]Equities!R104C13</stp>
        <tr r="M104" s="2"/>
        <tr r="M104" s="2"/>
      </tp>
      <tp t="s">
        <v>#N/A N/A</v>
        <stp/>
        <stp>##V3_BDPV12</stp>
        <stp>DELL US Equity</stp>
        <stp>RR903</stp>
        <stp>[DPM - Securities Master List (BBG Linked).xlsx]Equities!R107C13</stp>
        <tr r="M107" s="2"/>
        <tr r="M107" s="2"/>
      </tp>
      <tp t="s">
        <v>#N/A N/A</v>
        <stp/>
        <stp>##V3_BDPV12</stp>
        <stp>DELL US Equity</stp>
        <stp>RR903</stp>
        <stp>[DPM - Securities Master List (BBG Linked).xlsx]Equities!R106C13</stp>
        <tr r="M106" s="2"/>
        <tr r="M106" s="2"/>
      </tp>
      <tp t="s">
        <v>#N/A N/A</v>
        <stp/>
        <stp>##V3_BDPV12</stp>
        <stp>DELL US Equity</stp>
        <stp>RR903</stp>
        <stp>[DPM - Securities Master List (BBG Linked).xlsx]Equities!R101C13</stp>
        <tr r="M101" s="2"/>
        <tr r="M101" s="2"/>
      </tp>
      <tp t="s">
        <v>#N/A N/A</v>
        <stp/>
        <stp>##V3_BDPV12</stp>
        <stp>DELL US Equity</stp>
        <stp>RR903</stp>
        <stp>[DPM - Securities Master List (BBG Linked).xlsx]Equities!R100C13</stp>
        <tr r="M100" s="2"/>
        <tr r="M100" s="2"/>
      </tp>
      <tp t="s">
        <v>#N/A N/A</v>
        <stp/>
        <stp>##V3_BDPV12</stp>
        <stp>DELL US Equity</stp>
        <stp>RR903</stp>
        <stp>[DPM - Securities Master List (BBG Linked).xlsx]Equities!R103C13</stp>
        <tr r="M103" s="2"/>
        <tr r="M103" s="2"/>
      </tp>
      <tp t="s">
        <v>#N/A N/A</v>
        <stp/>
        <stp>##V3_BDPV12</stp>
        <stp>DELL US Equity</stp>
        <stp>RR903</stp>
        <stp>[DPM - Securities Master List (BBG Linked).xlsx]Equities!R102C13</stp>
        <tr r="M102" s="2"/>
        <tr r="M102" s="2"/>
      </tp>
      <tp>
        <v>7.0556190166158022</v>
        <stp/>
        <stp>##V3_BDPV12</stp>
        <stp>GOLD US Equity</stp>
        <stp>RR908</stp>
        <stp>[DPM - Securities Master List (BBG Linked).xlsx]Equities!R125C32</stp>
        <tr r="AF125" s="2"/>
        <tr r="AF125" s="2"/>
        <tr r="AF125" s="2"/>
      </tp>
      <tp t="s">
        <v>#N/A Field Not Applicable</v>
        <stp/>
        <stp>##V3_BDPV12</stp>
        <stp>SMSN.LI Equity</stp>
        <stp>RR957</stp>
        <stp>[DPM - Securities Master List (BBG Linked).xlsx]Equities!R243C14</stp>
        <tr r="N243" s="2"/>
        <tr r="N243" s="2"/>
      </tp>
      <tp>
        <v>9.1136283021634128</v>
        <stp/>
        <stp>##V3_BDPV12</stp>
        <stp>GOLD US Equity</stp>
        <stp>RR900</stp>
        <stp>[DPM - Securities Master List (BBG Linked).xlsx]Equities!R125C11</stp>
        <tr r="K125" s="2"/>
        <tr r="K125" s="2"/>
        <tr r="K125" s="2"/>
      </tp>
      <tp>
        <v>1.3442085914329129</v>
        <stp/>
        <stp>##V3_BDPV12</stp>
        <stp>GOLD US Equity</stp>
        <stp>RR903</stp>
        <stp>[DPM - Securities Master List (BBG Linked).xlsx]Equities!R125C13</stp>
        <tr r="M125" s="2"/>
        <tr r="M125" s="2"/>
        <tr r="M125" s="2"/>
      </tp>
      <tp>
        <v>14.565257788339915</v>
        <stp/>
        <stp>##V3_BDPV12</stp>
        <stp>DELL US Equity</stp>
        <stp>RR908</stp>
        <stp>[DPM - Securities Master List (BBG Linked).xlsx]Equities!R105C32</stp>
        <tr r="AF105" s="2"/>
        <tr r="AF105" s="2"/>
        <tr r="AF105" s="2"/>
      </tp>
      <tp>
        <v>14.565257788339915</v>
        <stp/>
        <stp>##V3_BDPV12</stp>
        <stp>DELL US Equity</stp>
        <stp>RR908</stp>
        <stp>[DPM - Securities Master List (BBG Linked).xlsx]Equities!R104C32</stp>
        <tr r="AF104" s="2"/>
        <tr r="AF104" s="2"/>
        <tr r="AF104" s="2"/>
      </tp>
      <tp>
        <v>14.565257788339915</v>
        <stp/>
        <stp>##V3_BDPV12</stp>
        <stp>DELL US Equity</stp>
        <stp>RR908</stp>
        <stp>[DPM - Securities Master List (BBG Linked).xlsx]Equities!R107C32</stp>
        <tr r="AF107" s="2"/>
        <tr r="AF107" s="2"/>
        <tr r="AF107" s="2"/>
      </tp>
      <tp>
        <v>14.565257788339915</v>
        <stp/>
        <stp>##V3_BDPV12</stp>
        <stp>DELL US Equity</stp>
        <stp>RR908</stp>
        <stp>[DPM - Securities Master List (BBG Linked).xlsx]Equities!R106C32</stp>
        <tr r="AF106" s="2"/>
        <tr r="AF106" s="2"/>
        <tr r="AF106" s="2"/>
      </tp>
      <tp>
        <v>14.565257788339915</v>
        <stp/>
        <stp>##V3_BDPV12</stp>
        <stp>DELL US Equity</stp>
        <stp>RR908</stp>
        <stp>[DPM - Securities Master List (BBG Linked).xlsx]Equities!R101C32</stp>
        <tr r="AF101" s="2"/>
        <tr r="AF101" s="2"/>
        <tr r="AF101" s="2"/>
      </tp>
      <tp>
        <v>14.565257788339915</v>
        <stp/>
        <stp>##V3_BDPV12</stp>
        <stp>DELL US Equity</stp>
        <stp>RR908</stp>
        <stp>[DPM - Securities Master List (BBG Linked).xlsx]Equities!R100C32</stp>
        <tr r="AF100" s="2"/>
        <tr r="AF100" s="2"/>
        <tr r="AF100" s="2"/>
      </tp>
      <tp>
        <v>14.565257788339915</v>
        <stp/>
        <stp>##V3_BDPV12</stp>
        <stp>DELL US Equity</stp>
        <stp>RR908</stp>
        <stp>[DPM - Securities Master List (BBG Linked).xlsx]Equities!R103C32</stp>
        <tr r="AF103" s="2"/>
        <tr r="AF103" s="2"/>
        <tr r="AF103" s="2"/>
      </tp>
      <tp>
        <v>14.565257788339915</v>
        <stp/>
        <stp>##V3_BDPV12</stp>
        <stp>DELL US Equity</stp>
        <stp>RR908</stp>
        <stp>[DPM - Securities Master List (BBG Linked).xlsx]Equities!R102C32</stp>
        <tr r="AF102" s="2"/>
        <tr r="AF102" s="2"/>
        <tr r="AF102" s="2"/>
      </tp>
      <tp>
        <v>151.61000000000001</v>
        <stp/>
        <stp>##V3_BDPV12</stp>
        <stp>AMZN  US Equity</stp>
        <stp>hs002</stp>
        <stp>[DPM - Securities Master List (BBG Linked).xlsx]Equities!R50C45</stp>
        <tr r="AS50" s="2"/>
      </tp>
      <tp>
        <v>242.52</v>
        <stp/>
        <stp>##V3_BDPV12</stp>
        <stp>AMZN  US Equity</stp>
        <stp>hs001</stp>
        <stp>[DPM - Securities Master List (BBG Linked).xlsx]Equities!R50C44</stp>
        <tr r="AR50" s="2"/>
      </tp>
      <tp>
        <v>23.658092412473156</v>
        <stp/>
        <stp>##V3_BDPV12</stp>
        <stp>AMZN  US Equity</stp>
        <stp>RR041</stp>
        <stp>[DPM - Securities Master List (BBG Linked).xlsx]Equities!R50C33</stp>
        <tr r="AG50" s="2"/>
        <tr r="AG50" s="2"/>
        <tr r="AG50" s="2"/>
      </tp>
      <tp t="s">
        <v>#N/A Invalid Override</v>
        <stp/>
        <stp>##V3_BDPV12</stp>
        <stp>USF8586CBQ45 isin</stp>
        <stp>YAS_BOND_YLD</stp>
        <stp>[DPM - Securities Master List (BBG Linked).xlsx]Bonds!R47C10</stp>
        <stp>YAS_YLD_FLAG=15</stp>
        <stp>user_local_trade_date</stp>
        <stp>45783</stp>
        <stp>Yas_bond_px</stp>
        <stp>#N/A Connection</stp>
        <tr r="J47" s="1"/>
      </tp>
      <tp t="s">
        <v>Equity</v>
        <stp/>
        <stp>##V3_BDPV12</stp>
        <stp>AMZN  US Equity</stp>
        <stp>EX028</stp>
        <stp>[DPM - Securities Master List (BBG Linked).xlsx]Equities!R50C30</stp>
        <tr r="AD50" s="2"/>
        <tr r="AD50" s="2"/>
        <tr r="AD50" s="2"/>
      </tp>
      <tp t="s">
        <v>#N/A N/A</v>
        <stp/>
        <stp>##V3_BDPV12</stp>
        <stp>AMZN  US Equity</stp>
        <stp>DV013</stp>
        <stp>[DPM - Securities Master List (BBG Linked).xlsx]Equities!R50C10</stp>
        <tr r="J50" s="2"/>
      </tp>
      <tp>
        <v>23.218555417185556</v>
        <stp/>
        <stp>##V3_BDPV12</stp>
        <stp>AMZN  US Equity</stp>
        <stp>EE010</stp>
        <stp>[DPM - Securities Master List (BBG Linked).xlsx]Equities!R50C12</stp>
        <tr r="L50" s="2"/>
        <tr r="L50" s="2"/>
        <tr r="L50" s="2"/>
      </tp>
      <tp>
        <v>-15.016640000000001</v>
        <stp/>
        <stp>##V3_BDPV12</stp>
        <stp>AMZN  US Equity</stp>
        <stp>PR079</stp>
        <stp>[DPM - Securities Master List (BBG Linked).xlsx]Equities!R50C43</stp>
        <tr r="AQ50" s="2"/>
      </tp>
      <tp t="s">
        <v>Alphabet Inc</v>
        <stp/>
        <stp>##V3_BDPV12</stp>
        <stp>GOOGL US Equity</stp>
        <stp>SECURITY NAME</stp>
        <stp>[DPM - Securities Master List (BBG Linked).xlsx]Equities!R130C5</stp>
        <tr r="E130" s="2"/>
      </tp>
      <tp t="s">
        <v>Alphabet Inc</v>
        <stp/>
        <stp>##V3_BDPV12</stp>
        <stp>GOOGL US Equity</stp>
        <stp>SECURITY NAME</stp>
        <stp>[DPM - Securities Master List (BBG Linked).xlsx]Equities!R140C5</stp>
        <tr r="E140" s="2"/>
      </tp>
      <tp>
        <v>9.0321639999999999</v>
        <stp/>
        <stp>##V3_BDPV12</stp>
        <stp>AMZN  US Equity</stp>
        <stp>PR061</stp>
        <stp>[DPM - Securities Master List (BBG Linked).xlsx]Equities!R50C40</stp>
        <tr r="AN50" s="2"/>
      </tp>
      <tp>
        <v>-21.934010000000001</v>
        <stp/>
        <stp>##V3_BDPV12</stp>
        <stp>AMZN  US Equity</stp>
        <stp>PR064</stp>
        <stp>[DPM - Securities Master List (BBG Linked).xlsx]Equities!R50C41</stp>
        <tr r="AO50" s="2"/>
      </tp>
      <tp t="s">
        <v>#N/A Invalid Override</v>
        <stp/>
        <stp>##V3_BDPV12</stp>
        <stp>USY3119PFH74 isin</stp>
        <stp>YAS_BOND_YLD</stp>
        <stp>[DPM - Securities Master List (BBG Linked).xlsx]Bonds!R54C10</stp>
        <stp>YAS_YLD_FLAG=15</stp>
        <stp>user_local_trade_date</stp>
        <stp>45783</stp>
        <stp>Yas_bond_px</stp>
        <stp>#N/A Connection</stp>
        <tr r="J54" s="1"/>
      </tp>
      <tp>
        <v>4</v>
        <stp/>
        <stp>##V3_BDPV12</stp>
        <stp>2020 HK Equity</stp>
        <stp>TOT_HOLD_REC</stp>
        <stp>[DPM - Securities Master List (BBG Linked).xlsx]Equities!R3C35</stp>
        <tr r="AI3" s="2"/>
      </tp>
      <tp>
        <v>4</v>
        <stp/>
        <stp>##V3_BDPV12</stp>
        <stp>2020 HK Equity</stp>
        <stp>TOT_HOLD_REC</stp>
        <stp>[DPM - Securities Master List (BBG Linked).xlsx]Equities!R4C35</stp>
        <tr r="AI4" s="2"/>
      </tp>
      <tp>
        <v>4</v>
        <stp/>
        <stp>##V3_BDPV12</stp>
        <stp>2020 HK Equity</stp>
        <stp>TOT_HOLD_REC</stp>
        <stp>[DPM - Securities Master List (BBG Linked).xlsx]Equities!R5C35</stp>
        <tr r="AI5" s="2"/>
      </tp>
      <tp>
        <v>4</v>
        <stp/>
        <stp>##V3_BDPV12</stp>
        <stp>2020 HK Equity</stp>
        <stp>TOT_HOLD_REC</stp>
        <stp>[DPM - Securities Master List (BBG Linked).xlsx]Equities!R6C35</stp>
        <tr r="AI6" s="2"/>
      </tp>
      <tp>
        <v>2</v>
        <stp/>
        <stp>##V3_BDPV12</stp>
        <stp>3690 HK Equity</stp>
        <stp>TOT_HOLD_REC</stp>
        <stp>[DPM - Securities Master List (BBG Linked).xlsx]Equities!R9C35</stp>
        <tr r="AI9" s="2"/>
      </tp>
      <tp>
        <v>2</v>
        <stp/>
        <stp>##V3_BDPV12</stp>
        <stp>3690 HK Equity</stp>
        <stp>TOT_HOLD_REC</stp>
        <stp>[DPM - Securities Master List (BBG Linked).xlsx]Equities!R8C35</stp>
        <tr r="AI8" s="2"/>
      </tp>
      <tp>
        <v>2</v>
        <stp/>
        <stp>##V3_BDPV12</stp>
        <stp>3690 HK Equity</stp>
        <stp>TOT_HOLD_REC</stp>
        <stp>[DPM - Securities Master List (BBG Linked).xlsx]Equities!R7C35</stp>
        <tr r="AI7" s="2"/>
      </tp>
      <tp t="s">
        <v>#N/A Invalid Field</v>
        <stp/>
        <stp>##V3_BDPV12</stp>
        <stp>RIO LN Equity</stp>
        <stp/>
        <stp>[DPM - Securities Master List (BBG Linked).xlsx]Equities!R242C29</stp>
        <tr r="AC242" s="2"/>
        <tr r="AC242" s="2"/>
      </tp>
      <tp t="s">
        <v>Energy</v>
        <stp/>
        <stp>##V3_BDPV12</stp>
        <stp>BP/ LN Equity</stp>
        <stp>DX202</stp>
        <stp>[DPM - Securities Master List (BBG Linked).xlsx]Equities!R83C8</stp>
        <tr r="H83" s="2"/>
        <tr r="H83" s="2"/>
        <tr r="H83" s="2"/>
      </tp>
      <tp t="s">
        <v>Health Care</v>
        <stp/>
        <stp>##V3_BDPV12</stp>
        <stp>AZN LN Equity</stp>
        <stp>DX202</stp>
        <stp>[DPM - Securities Master List (BBG Linked).xlsx]Equities!R53C8</stp>
        <tr r="H53" s="2"/>
        <tr r="H53" s="2"/>
        <tr r="H53" s="2"/>
      </tp>
      <tp t="s">
        <v>Industrials</v>
        <stp/>
        <stp>##V3_BDPV12</stp>
        <stp>AAL US Equity</stp>
        <stp>DX202</stp>
        <stp>[DPM - Securities Master List (BBG Linked).xlsx]Equities!R33C8</stp>
        <tr r="H33" s="2"/>
        <tr r="H33" s="2"/>
        <tr r="H33" s="2"/>
      </tp>
    </main>
    <main first="bofaddin.rtdserver">
      <tp t="e">
        <v>#N/A</v>
        <stp/>
        <stp>BDP|944566171707229410</stp>
        <tr r="K83" s="1"/>
        <tr r="K50" s="1"/>
      </tp>
      <tp t="e">
        <v>#N/A</v>
        <stp/>
        <stp>BDP|589028384808551186</stp>
        <tr r="AK35" s="1"/>
        <tr r="AK35" s="1"/>
        <tr r="AK35" s="1"/>
        <tr r="AK24" s="1"/>
        <tr r="AK24" s="1"/>
        <tr r="AK24" s="1"/>
        <tr r="AK153" s="1"/>
        <tr r="AK153" s="1"/>
        <tr r="AK153" s="1"/>
      </tp>
      <tp t="e">
        <v>#N/A</v>
        <stp/>
        <stp>BDP|743604279578877826</stp>
        <tr r="Q93" s="1"/>
      </tp>
      <tp t="e">
        <v>#N/A</v>
        <stp/>
        <stp>BDP|479468720755191260</stp>
        <tr r="AS53" s="1"/>
        <tr r="AS62" s="1"/>
        <tr r="AS115" s="1"/>
        <tr r="AS45" s="1"/>
      </tp>
      <tp t="e">
        <v>#N/A</v>
        <stp/>
        <stp>BDP|853550325386927040</stp>
        <tr r="AV103" s="3"/>
        <tr r="AV103" s="3"/>
      </tp>
    </main>
    <main first="bloomberg.rtd">
      <tp t="s">
        <v>BioMarin Pharmaceutical Inc</v>
        <stp/>
        <stp>##V3_BDPV12</stp>
        <stp>BMRN US Equity</stp>
        <stp>SECURITY NAME</stp>
        <stp>[DPM - Securities Master List (BBG Linked).xlsx]Equities!R68C5</stp>
        <tr r="E68" s="2"/>
      </tp>
    </main>
    <main first="bofaddin.rtdserver">
      <tp t="e">
        <v>#N/A</v>
        <stp/>
        <stp>BDP|673624220047093228</stp>
        <tr r="Z12" s="1"/>
      </tp>
      <tp t="e">
        <v>#N/A</v>
        <stp/>
        <stp>BDP|478151771313406445</stp>
        <tr r="AU72" s="3"/>
        <tr r="AU72" s="3"/>
        <tr r="AU71" s="3"/>
        <tr r="AU71" s="3"/>
        <tr r="AU70" s="3"/>
        <tr r="AU70" s="3"/>
        <tr r="AU69" s="3"/>
        <tr r="AU69" s="3"/>
        <tr r="AU68" s="3"/>
        <tr r="AU68" s="3"/>
        <tr r="AU67" s="3"/>
        <tr r="AU67" s="3"/>
        <tr r="AU66" s="3"/>
        <tr r="AU66" s="3"/>
        <tr r="AU65" s="3"/>
        <tr r="AU65" s="3"/>
      </tp>
      <tp t="e">
        <v>#N/A</v>
        <stp/>
        <stp>BDP|244880399255707540</stp>
        <tr r="X103" s="1"/>
      </tp>
      <tp t="e">
        <v>#N/A</v>
        <stp/>
        <stp>BDP|797125925781184309</stp>
        <tr r="V102" s="3"/>
        <tr r="V101" s="3"/>
        <tr r="V100" s="3"/>
      </tp>
    </main>
    <main first="bloomberg.rtd">
      <tp t="s">
        <v>USD</v>
        <stp/>
        <stp>##V3_BDPV12</stp>
        <stp>AAL US Equity</stp>
        <stp>CRNCY</stp>
        <stp>[DPM - Securities Master List (BBG Linked).xlsx]Equities!R29C6</stp>
        <tr r="F29" s="2"/>
      </tp>
      <tp t="s">
        <v>GBp</v>
        <stp/>
        <stp>##V3_BDPV12</stp>
        <stp>BP/ LN Equity</stp>
        <stp>CRNCY</stp>
        <stp>[DPM - Securities Master List (BBG Linked).xlsx]Equities!R79C6</stp>
        <tr r="F79" s="2"/>
      </tp>
      <tp t="s">
        <v>GBp</v>
        <stp/>
        <stp>##V3_BDPV12</stp>
        <stp>BP/ LN Equity</stp>
        <stp>CRNCY</stp>
        <stp>[DPM - Securities Master List (BBG Linked).xlsx]Equities!R89C6</stp>
        <tr r="F89" s="2"/>
      </tp>
      <tp t="s">
        <v>GBp</v>
        <stp/>
        <stp>##V3_BDPV12</stp>
        <stp>AZN LN Equity</stp>
        <stp>CRNCY</stp>
        <stp>[DPM - Securities Master List (BBG Linked).xlsx]Equities!R59C6</stp>
        <tr r="F59" s="2"/>
      </tp>
      <tp>
        <v>-0.42774780000000001</v>
        <stp/>
        <stp>##V3_BDPV12</stp>
        <stp>AZN LN Equity</stp>
        <stp>CHG_PCT_1D</stp>
        <stp>[DPM - Securities Master List (BBG Linked).xlsx]Equities!R58C22</stp>
        <tr r="V58" s="2"/>
      </tp>
      <tp>
        <v>-0.42774780000000001</v>
        <stp/>
        <stp>##V3_BDPV12</stp>
        <stp>AZN LN Equity</stp>
        <stp>CHG_PCT_1D</stp>
        <stp>[DPM - Securities Master List (BBG Linked).xlsx]Equities!R59C22</stp>
        <tr r="V59" s="2"/>
      </tp>
      <tp>
        <v>-0.42774780000000001</v>
        <stp/>
        <stp>##V3_BDPV12</stp>
        <stp>AZN LN Equity</stp>
        <stp>CHG_PCT_1D</stp>
        <stp>[DPM - Securities Master List (BBG Linked).xlsx]Equities!R52C22</stp>
        <tr r="V52" s="2"/>
      </tp>
      <tp>
        <v>-0.42774780000000001</v>
        <stp/>
        <stp>##V3_BDPV12</stp>
        <stp>AZN LN Equity</stp>
        <stp>CHG_PCT_1D</stp>
        <stp>[DPM - Securities Master List (BBG Linked).xlsx]Equities!R53C22</stp>
        <tr r="V53" s="2"/>
      </tp>
      <tp>
        <v>-0.42774780000000001</v>
        <stp/>
        <stp>##V3_BDPV12</stp>
        <stp>AZN LN Equity</stp>
        <stp>CHG_PCT_1D</stp>
        <stp>[DPM - Securities Master List (BBG Linked).xlsx]Equities!R51C22</stp>
        <tr r="V51" s="2"/>
      </tp>
      <tp>
        <v>-0.42774780000000001</v>
        <stp/>
        <stp>##V3_BDPV12</stp>
        <stp>AZN LN Equity</stp>
        <stp>CHG_PCT_1D</stp>
        <stp>[DPM - Securities Master List (BBG Linked).xlsx]Equities!R56C22</stp>
        <tr r="V56" s="2"/>
      </tp>
      <tp>
        <v>-0.42774780000000001</v>
        <stp/>
        <stp>##V3_BDPV12</stp>
        <stp>AZN LN Equity</stp>
        <stp>CHG_PCT_1D</stp>
        <stp>[DPM - Securities Master List (BBG Linked).xlsx]Equities!R57C22</stp>
        <tr r="V57" s="2"/>
      </tp>
      <tp>
        <v>-0.42774780000000001</v>
        <stp/>
        <stp>##V3_BDPV12</stp>
        <stp>AZN LN Equity</stp>
        <stp>CHG_PCT_1D</stp>
        <stp>[DPM - Securities Master List (BBG Linked).xlsx]Equities!R54C22</stp>
        <tr r="V54" s="2"/>
      </tp>
      <tp>
        <v>-0.42774780000000001</v>
        <stp/>
        <stp>##V3_BDPV12</stp>
        <stp>AZN LN Equity</stp>
        <stp>CHG_PCT_1D</stp>
        <stp>[DPM - Securities Master List (BBG Linked).xlsx]Equities!R55C22</stp>
        <tr r="V55" s="2"/>
      </tp>
      <tp>
        <v>-0.42774780000000001</v>
        <stp/>
        <stp>##V3_BDPV12</stp>
        <stp>AZN LN Equity</stp>
        <stp>CHG_PCT_1D</stp>
        <stp>[DPM - Securities Master List (BBG Linked).xlsx]Equities!R60C22</stp>
        <tr r="V60" s="2"/>
      </tp>
      <tp>
        <v>-0.42774780000000001</v>
        <stp/>
        <stp>##V3_BDPV12</stp>
        <stp>AZN LN Equity</stp>
        <stp>CHG_PCT_1D</stp>
        <stp>[DPM - Securities Master List (BBG Linked).xlsx]Equities!R61C22</stp>
        <tr r="V61" s="2"/>
      </tp>
      <tp>
        <v>7.9217899999999997</v>
        <stp/>
        <stp>##V3_BDPV12</stp>
        <stp>AZN LN Equity</stp>
        <stp>CHG_PCT_6M</stp>
        <stp>[DPM - Securities Master List (BBG Linked).xlsx]Equities!R58C42</stp>
        <tr r="AP58" s="2"/>
      </tp>
      <tp>
        <v>7.9217899999999997</v>
        <stp/>
        <stp>##V3_BDPV12</stp>
        <stp>AZN LN Equity</stp>
        <stp>CHG_PCT_6M</stp>
        <stp>[DPM - Securities Master List (BBG Linked).xlsx]Equities!R59C42</stp>
        <tr r="AP59" s="2"/>
      </tp>
      <tp>
        <v>7.9217899999999997</v>
        <stp/>
        <stp>##V3_BDPV12</stp>
        <stp>AZN LN Equity</stp>
        <stp>CHG_PCT_6M</stp>
        <stp>[DPM - Securities Master List (BBG Linked).xlsx]Equities!R52C42</stp>
        <tr r="AP52" s="2"/>
      </tp>
      <tp>
        <v>7.9217899999999997</v>
        <stp/>
        <stp>##V3_BDPV12</stp>
        <stp>AZN LN Equity</stp>
        <stp>CHG_PCT_6M</stp>
        <stp>[DPM - Securities Master List (BBG Linked).xlsx]Equities!R53C42</stp>
        <tr r="AP53" s="2"/>
      </tp>
      <tp>
        <v>7.9217899999999997</v>
        <stp/>
        <stp>##V3_BDPV12</stp>
        <stp>AZN LN Equity</stp>
        <stp>CHG_PCT_6M</stp>
        <stp>[DPM - Securities Master List (BBG Linked).xlsx]Equities!R51C42</stp>
        <tr r="AP51" s="2"/>
      </tp>
      <tp>
        <v>7.9217899999999997</v>
        <stp/>
        <stp>##V3_BDPV12</stp>
        <stp>AZN LN Equity</stp>
        <stp>CHG_PCT_6M</stp>
        <stp>[DPM - Securities Master List (BBG Linked).xlsx]Equities!R56C42</stp>
        <tr r="AP56" s="2"/>
      </tp>
      <tp>
        <v>7.9217899999999997</v>
        <stp/>
        <stp>##V3_BDPV12</stp>
        <stp>AZN LN Equity</stp>
        <stp>CHG_PCT_6M</stp>
        <stp>[DPM - Securities Master List (BBG Linked).xlsx]Equities!R57C42</stp>
        <tr r="AP57" s="2"/>
      </tp>
      <tp>
        <v>7.9217899999999997</v>
        <stp/>
        <stp>##V3_BDPV12</stp>
        <stp>AZN LN Equity</stp>
        <stp>CHG_PCT_6M</stp>
        <stp>[DPM - Securities Master List (BBG Linked).xlsx]Equities!R54C42</stp>
        <tr r="AP54" s="2"/>
      </tp>
      <tp>
        <v>7.9217899999999997</v>
        <stp/>
        <stp>##V3_BDPV12</stp>
        <stp>AZN LN Equity</stp>
        <stp>CHG_PCT_6M</stp>
        <stp>[DPM - Securities Master List (BBG Linked).xlsx]Equities!R55C42</stp>
        <tr r="AP55" s="2"/>
      </tp>
      <tp>
        <v>7.9217899999999997</v>
        <stp/>
        <stp>##V3_BDPV12</stp>
        <stp>AZN LN Equity</stp>
        <stp>CHG_PCT_6M</stp>
        <stp>[DPM - Securities Master List (BBG Linked).xlsx]Equities!R60C42</stp>
        <tr r="AP60" s="2"/>
      </tp>
      <tp>
        <v>7.9217899999999997</v>
        <stp/>
        <stp>##V3_BDPV12</stp>
        <stp>AZN LN Equity</stp>
        <stp>CHG_PCT_6M</stp>
        <stp>[DPM - Securities Master List (BBG Linked).xlsx]Equities!R61C42</stp>
        <tr r="AP61" s="2"/>
      </tp>
      <tp>
        <v>1.729052</v>
        <stp/>
        <stp>##V3_BDPV12</stp>
        <stp>AZN LN Equity</stp>
        <stp>CHG_PCT_5D</stp>
        <stp>[DPM - Securities Master List (BBG Linked).xlsx]Equities!R58C23</stp>
        <tr r="W58" s="2"/>
      </tp>
      <tp>
        <v>1.729052</v>
        <stp/>
        <stp>##V3_BDPV12</stp>
        <stp>AZN LN Equity</stp>
        <stp>CHG_PCT_5D</stp>
        <stp>[DPM - Securities Master List (BBG Linked).xlsx]Equities!R59C23</stp>
        <tr r="W59" s="2"/>
      </tp>
      <tp>
        <v>1.729052</v>
        <stp/>
        <stp>##V3_BDPV12</stp>
        <stp>AZN LN Equity</stp>
        <stp>CHG_PCT_5D</stp>
        <stp>[DPM - Securities Master List (BBG Linked).xlsx]Equities!R52C23</stp>
        <tr r="W52" s="2"/>
      </tp>
      <tp>
        <v>1.729052</v>
        <stp/>
        <stp>##V3_BDPV12</stp>
        <stp>AZN LN Equity</stp>
        <stp>CHG_PCT_5D</stp>
        <stp>[DPM - Securities Master List (BBG Linked).xlsx]Equities!R53C23</stp>
        <tr r="W53" s="2"/>
      </tp>
      <tp>
        <v>1.729052</v>
        <stp/>
        <stp>##V3_BDPV12</stp>
        <stp>AZN LN Equity</stp>
        <stp>CHG_PCT_5D</stp>
        <stp>[DPM - Securities Master List (BBG Linked).xlsx]Equities!R51C23</stp>
        <tr r="W51" s="2"/>
      </tp>
      <tp>
        <v>1.729052</v>
        <stp/>
        <stp>##V3_BDPV12</stp>
        <stp>AZN LN Equity</stp>
        <stp>CHG_PCT_5D</stp>
        <stp>[DPM - Securities Master List (BBG Linked).xlsx]Equities!R56C23</stp>
        <tr r="W56" s="2"/>
      </tp>
      <tp>
        <v>1.729052</v>
        <stp/>
        <stp>##V3_BDPV12</stp>
        <stp>AZN LN Equity</stp>
        <stp>CHG_PCT_5D</stp>
        <stp>[DPM - Securities Master List (BBG Linked).xlsx]Equities!R57C23</stp>
        <tr r="W57" s="2"/>
      </tp>
      <tp>
        <v>1.729052</v>
        <stp/>
        <stp>##V3_BDPV12</stp>
        <stp>AZN LN Equity</stp>
        <stp>CHG_PCT_5D</stp>
        <stp>[DPM - Securities Master List (BBG Linked).xlsx]Equities!R54C23</stp>
        <tr r="W54" s="2"/>
      </tp>
      <tp>
        <v>1.729052</v>
        <stp/>
        <stp>##V3_BDPV12</stp>
        <stp>AZN LN Equity</stp>
        <stp>CHG_PCT_5D</stp>
        <stp>[DPM - Securities Master List (BBG Linked).xlsx]Equities!R55C23</stp>
        <tr r="W55" s="2"/>
      </tp>
      <tp>
        <v>1.729052</v>
        <stp/>
        <stp>##V3_BDPV12</stp>
        <stp>AZN LN Equity</stp>
        <stp>CHG_PCT_5D</stp>
        <stp>[DPM - Securities Master List (BBG Linked).xlsx]Equities!R60C23</stp>
        <tr r="W60" s="2"/>
      </tp>
      <tp>
        <v>1.729052</v>
        <stp/>
        <stp>##V3_BDPV12</stp>
        <stp>AZN LN Equity</stp>
        <stp>CHG_PCT_5D</stp>
        <stp>[DPM - Securities Master List (BBG Linked).xlsx]Equities!R61C23</stp>
        <tr r="W61" s="2"/>
      </tp>
      <tp t="s">
        <v>Equity</v>
        <stp/>
        <stp>##V3_BDPV12</stp>
        <stp>SMSN.LI Equity</stp>
        <stp>EX028</stp>
        <stp>[DPM - Securities Master List (BBG Linked).xlsx]Equities!R243C30</stp>
        <tr r="AD243" s="2"/>
        <tr r="AD243" s="2"/>
        <tr r="AD243" s="2"/>
      </tp>
      <tp>
        <v>21.967739999999999</v>
        <stp/>
        <stp>##V3_BDPV12</stp>
        <stp>GOLD US Equity</stp>
        <stp>PR079</stp>
        <stp>[DPM - Securities Master List (BBG Linked).xlsx]Equities!R125C43</stp>
        <tr r="AQ125" s="2"/>
      </tp>
      <tp t="s">
        <v>#N/A Invalid Field</v>
        <stp/>
        <stp>##V3_BDPV12</stp>
        <stp>PYPL US Equity</stp>
        <stp/>
        <stp>[DPM - Securities Master List (BBG Linked).xlsx]Equities!R239C29</stp>
        <tr r="AC239" s="2"/>
        <tr r="AC239" s="2"/>
      </tp>
      <tp t="s">
        <v>#N/A Invalid Field</v>
        <stp/>
        <stp>##V3_BDPV12</stp>
        <stp>PYPL US Equity</stp>
        <stp/>
        <stp>[DPM - Securities Master List (BBG Linked).xlsx]Equities!R238C29</stp>
        <tr r="AC238" s="2"/>
        <tr r="AC238" s="2"/>
      </tp>
      <tp t="s">
        <v>#N/A Invalid Field</v>
        <stp/>
        <stp>##V3_BDPV12</stp>
        <stp>PYPL US Equity</stp>
        <stp/>
        <stp>[DPM - Securities Master List (BBG Linked).xlsx]Equities!R237C29</stp>
        <tr r="AC237" s="2"/>
        <tr r="AC237" s="2"/>
      </tp>
      <tp>
        <v>-18.960429999999999</v>
        <stp/>
        <stp>##V3_BDPV12</stp>
        <stp>DELL US Equity</stp>
        <stp>PR079</stp>
        <stp>[DPM - Securities Master List (BBG Linked).xlsx]Equities!R104C43</stp>
        <tr r="AQ104" s="2"/>
      </tp>
      <tp>
        <v>-18.960429999999999</v>
        <stp/>
        <stp>##V3_BDPV12</stp>
        <stp>DELL US Equity</stp>
        <stp>PR079</stp>
        <stp>[DPM - Securities Master List (BBG Linked).xlsx]Equities!R105C43</stp>
        <tr r="AQ105" s="2"/>
      </tp>
      <tp>
        <v>-18.960429999999999</v>
        <stp/>
        <stp>##V3_BDPV12</stp>
        <stp>DELL US Equity</stp>
        <stp>PR079</stp>
        <stp>[DPM - Securities Master List (BBG Linked).xlsx]Equities!R106C43</stp>
        <tr r="AQ106" s="2"/>
      </tp>
      <tp>
        <v>-18.960429999999999</v>
        <stp/>
        <stp>##V3_BDPV12</stp>
        <stp>DELL US Equity</stp>
        <stp>PR079</stp>
        <stp>[DPM - Securities Master List (BBG Linked).xlsx]Equities!R107C43</stp>
        <tr r="AQ107" s="2"/>
      </tp>
      <tp>
        <v>-18.960429999999999</v>
        <stp/>
        <stp>##V3_BDPV12</stp>
        <stp>DELL US Equity</stp>
        <stp>PR079</stp>
        <stp>[DPM - Securities Master List (BBG Linked).xlsx]Equities!R100C43</stp>
        <tr r="AQ100" s="2"/>
      </tp>
      <tp>
        <v>-18.960429999999999</v>
        <stp/>
        <stp>##V3_BDPV12</stp>
        <stp>DELL US Equity</stp>
        <stp>PR079</stp>
        <stp>[DPM - Securities Master List (BBG Linked).xlsx]Equities!R101C43</stp>
        <tr r="AQ101" s="2"/>
      </tp>
      <tp>
        <v>-18.960429999999999</v>
        <stp/>
        <stp>##V3_BDPV12</stp>
        <stp>DELL US Equity</stp>
        <stp>PR079</stp>
        <stp>[DPM - Securities Master List (BBG Linked).xlsx]Equities!R102C43</stp>
        <tr r="AQ102" s="2"/>
      </tp>
      <tp>
        <v>-18.960429999999999</v>
        <stp/>
        <stp>##V3_BDPV12</stp>
        <stp>DELL US Equity</stp>
        <stp>PR079</stp>
        <stp>[DPM - Securities Master List (BBG Linked).xlsx]Equities!R103C43</stp>
        <tr r="AQ103" s="2"/>
      </tp>
      <tp t="s">
        <v>Alphabet Inc</v>
        <stp/>
        <stp>##V3_BDPV12</stp>
        <stp>GOOGL US Equity</stp>
        <stp>SECURITY NAME</stp>
        <stp>[DPM - Securities Master List (BBG Linked).xlsx]Equities!R131C5</stp>
        <tr r="E131" s="2"/>
      </tp>
      <tp t="s">
        <v>Alphabet Inc</v>
        <stp/>
        <stp>##V3_BDPV12</stp>
        <stp>GOOGL US Equity</stp>
        <stp>SECURITY NAME</stp>
        <stp>[DPM - Securities Master List (BBG Linked).xlsx]Equities!R141C5</stp>
        <tr r="E141" s="2"/>
      </tp>
      <tp t="s">
        <v>Energy</v>
        <stp/>
        <stp>##V3_BDPV12</stp>
        <stp>BP/ LN Equity</stp>
        <stp>DX202</stp>
        <stp>[DPM - Securities Master List (BBG Linked).xlsx]Equities!R82C8</stp>
        <tr r="H82" s="2"/>
        <tr r="H82" s="2"/>
        <tr r="H82" s="2"/>
      </tp>
      <tp t="s">
        <v>Health Care</v>
        <stp/>
        <stp>##V3_BDPV12</stp>
        <stp>AZN LN Equity</stp>
        <stp>DX202</stp>
        <stp>[DPM - Securities Master List (BBG Linked).xlsx]Equities!R52C8</stp>
        <tr r="H52" s="2"/>
        <tr r="H52" s="2"/>
        <tr r="H52" s="2"/>
      </tp>
      <tp t="s">
        <v>Industrials</v>
        <stp/>
        <stp>##V3_BDPV12</stp>
        <stp>AAL US Equity</stp>
        <stp>DX202</stp>
        <stp>[DPM - Securities Master List (BBG Linked).xlsx]Equities!R32C8</stp>
        <tr r="H32" s="2"/>
        <tr r="H32" s="2"/>
        <tr r="H32" s="2"/>
      </tp>
      <tp t="s">
        <v>#N/A Invalid Field</v>
        <stp/>
        <stp>##V3_BDPV12</stp>
        <stp>SSE LN Equity</stp>
        <stp/>
        <stp>[DPM - Securities Master List (BBG Linked).xlsx]Equities!R248C29</stp>
        <tr r="AC248" s="2"/>
        <tr r="AC248" s="2"/>
      </tp>
      <tp t="s">
        <v>#N/A Invalid Field</v>
        <stp/>
        <stp>##V3_BDPV12</stp>
        <stp>SSE LN Equity</stp>
        <stp/>
        <stp>[DPM - Securities Master List (BBG Linked).xlsx]Equities!R249C29</stp>
        <tr r="AC249" s="2"/>
        <tr r="AC249" s="2"/>
      </tp>
      <tp t="s">
        <v>#N/A Invalid Field</v>
        <stp/>
        <stp>##V3_BDPV12</stp>
        <stp>SSE LN Equity</stp>
        <stp/>
        <stp>[DPM - Securities Master List (BBG Linked).xlsx]Equities!R244C29</stp>
        <tr r="AC244" s="2"/>
        <tr r="AC244" s="2"/>
      </tp>
      <tp t="s">
        <v>#N/A Invalid Field</v>
        <stp/>
        <stp>##V3_BDPV12</stp>
        <stp>SSE LN Equity</stp>
        <stp/>
        <stp>[DPM - Securities Master List (BBG Linked).xlsx]Equities!R245C29</stp>
        <tr r="AC245" s="2"/>
        <tr r="AC245" s="2"/>
      </tp>
      <tp t="s">
        <v>#N/A Invalid Field</v>
        <stp/>
        <stp>##V3_BDPV12</stp>
        <stp>SSE LN Equity</stp>
        <stp/>
        <stp>[DPM - Securities Master List (BBG Linked).xlsx]Equities!R246C29</stp>
        <tr r="AC246" s="2"/>
        <tr r="AC246" s="2"/>
      </tp>
      <tp t="s">
        <v>#N/A Invalid Field</v>
        <stp/>
        <stp>##V3_BDPV12</stp>
        <stp>SSE LN Equity</stp>
        <stp/>
        <stp>[DPM - Securities Master List (BBG Linked).xlsx]Equities!R247C29</stp>
        <tr r="AC247" s="2"/>
        <tr r="AC247" s="2"/>
      </tp>
      <tp t="s">
        <v>#N/A Invalid Field</v>
        <stp/>
        <stp>##V3_BDPV12</stp>
        <stp>SSE LN Equity</stp>
        <stp/>
        <stp>[DPM - Securities Master List (BBG Linked).xlsx]Equities!R258C29</stp>
        <tr r="AC258" s="2"/>
        <tr r="AC258" s="2"/>
      </tp>
      <tp t="s">
        <v>#N/A Invalid Field</v>
        <stp/>
        <stp>##V3_BDPV12</stp>
        <stp>SSE LN Equity</stp>
        <stp/>
        <stp>[DPM - Securities Master List (BBG Linked).xlsx]Equities!R254C29</stp>
        <tr r="AC254" s="2"/>
        <tr r="AC254" s="2"/>
      </tp>
      <tp t="s">
        <v>#N/A Invalid Field</v>
        <stp/>
        <stp>##V3_BDPV12</stp>
        <stp>SSE LN Equity</stp>
        <stp/>
        <stp>[DPM - Securities Master List (BBG Linked).xlsx]Equities!R255C29</stp>
        <tr r="AC255" s="2"/>
        <tr r="AC255" s="2"/>
      </tp>
      <tp t="s">
        <v>#N/A Invalid Field</v>
        <stp/>
        <stp>##V3_BDPV12</stp>
        <stp>SSE LN Equity</stp>
        <stp/>
        <stp>[DPM - Securities Master List (BBG Linked).xlsx]Equities!R256C29</stp>
        <tr r="AC256" s="2"/>
        <tr r="AC256" s="2"/>
      </tp>
      <tp t="s">
        <v>#N/A Invalid Field</v>
        <stp/>
        <stp>##V3_BDPV12</stp>
        <stp>SSE LN Equity</stp>
        <stp/>
        <stp>[DPM - Securities Master List (BBG Linked).xlsx]Equities!R257C29</stp>
        <tr r="AC257" s="2"/>
        <tr r="AC257" s="2"/>
      </tp>
      <tp t="s">
        <v>#N/A Invalid Field</v>
        <stp/>
        <stp>##V3_BDPV12</stp>
        <stp>SSE LN Equity</stp>
        <stp/>
        <stp>[DPM - Securities Master List (BBG Linked).xlsx]Equities!R250C29</stp>
        <tr r="AC250" s="2"/>
        <tr r="AC250" s="2"/>
      </tp>
      <tp t="s">
        <v>#N/A Invalid Field</v>
        <stp/>
        <stp>##V3_BDPV12</stp>
        <stp>SSE LN Equity</stp>
        <stp/>
        <stp>[DPM - Securities Master List (BBG Linked).xlsx]Equities!R251C29</stp>
        <tr r="AC251" s="2"/>
        <tr r="AC251" s="2"/>
      </tp>
      <tp t="s">
        <v>#N/A Invalid Field</v>
        <stp/>
        <stp>##V3_BDPV12</stp>
        <stp>SSE LN Equity</stp>
        <stp/>
        <stp>[DPM - Securities Master List (BBG Linked).xlsx]Equities!R252C29</stp>
        <tr r="AC252" s="2"/>
        <tr r="AC252" s="2"/>
      </tp>
      <tp t="s">
        <v>#N/A Invalid Field</v>
        <stp/>
        <stp>##V3_BDPV12</stp>
        <stp>SSE LN Equity</stp>
        <stp/>
        <stp>[DPM - Securities Master List (BBG Linked).xlsx]Equities!R253C29</stp>
        <tr r="AC253" s="2"/>
        <tr r="AC253" s="2"/>
      </tp>
    </main>
    <main first="bofaddin.rtdserver">
      <tp t="e">
        <v>#N/A</v>
        <stp/>
        <stp>BDP|684699619514881313</stp>
        <tr r="Z94" s="1"/>
        <tr r="Z151" s="1"/>
        <tr r="Z123" s="1"/>
        <tr r="Z101" s="1"/>
      </tp>
      <tp t="e">
        <v>#N/A</v>
        <stp/>
        <stp>BDP|977664956624509785</stp>
        <tr r="F66" s="1"/>
        <tr r="F49" s="1"/>
        <tr r="F42" s="1"/>
      </tp>
      <tp t="e">
        <v>#N/A</v>
        <stp/>
        <stp>BDP|458318082852652941</stp>
        <tr r="AK105" s="1"/>
        <tr r="AK105" s="1"/>
        <tr r="AK105" s="1"/>
      </tp>
    </main>
    <main first="bloomberg.rtd">
      <tp t="s">
        <v>BioMarin Pharmaceutical Inc</v>
        <stp/>
        <stp>##V3_BDPV12</stp>
        <stp>BMRN US Equity</stp>
        <stp>SECURITY NAME</stp>
        <stp>[DPM - Securities Master List (BBG Linked).xlsx]Equities!R69C5</stp>
        <tr r="E69" s="2"/>
      </tp>
    </main>
    <main first="bofaddin.rtdserver">
      <tp t="e">
        <v>#N/A</v>
        <stp/>
        <stp>BDP|463782300914357399</stp>
        <tr r="Z82" s="1"/>
        <tr r="Z39" s="1"/>
        <tr r="Z22" s="1"/>
        <tr r="Z167" s="1"/>
      </tp>
    </main>
    <main first="bloomberg.rtd">
      <tp t="s">
        <v>#N/A Invalid Override</v>
        <stp/>
        <stp>##V3_BDPV12</stp>
        <stp>GB00BMBL1D50 isin</stp>
        <stp>YAS_BOND_YLD</stp>
        <stp>[DPM - Securities Master List (BBG Linked).xlsx]Bonds!R166C10</stp>
        <stp>YAS_YLD_FLAG=15</stp>
        <stp>user_local_trade_date</stp>
        <stp>45783</stp>
        <stp>Yas_bond_px</stp>
        <stp>#N/A Connection</stp>
        <tr r="J166" s="1"/>
      </tp>
      <tp t="s">
        <v>#N/A Invalid Override</v>
        <stp/>
        <stp>##V3_BDPV12</stp>
        <stp>GB00BMBL1D50 isin</stp>
        <stp>YAS_BOND_YLD</stp>
        <stp>[DPM - Securities Master List (BBG Linked).xlsx]Bonds!R147C10</stp>
        <stp>YAS_YLD_FLAG=15</stp>
        <stp>user_local_trade_date</stp>
        <stp>45783</stp>
        <stp>Yas_bond_px</stp>
        <stp>#N/A Connection</stp>
        <tr r="J147" s="1"/>
      </tp>
      <tp t="s">
        <v>#N/A Invalid Override</v>
        <stp/>
        <stp>##V3_BDPV12</stp>
        <stp>GB00BMBL1D50 isin</stp>
        <stp>YAS_BOND_YLD</stp>
        <stp>[DPM - Securities Master List (BBG Linked).xlsx]Bonds!R125C10</stp>
        <stp>YAS_YLD_FLAG=15</stp>
        <stp>user_local_trade_date</stp>
        <stp>45783</stp>
        <stp>Yas_bond_px</stp>
        <stp>#N/A Connection</stp>
        <tr r="J125" s="1"/>
      </tp>
      <tp t="s">
        <v>#N/A Invalid Override</v>
        <stp/>
        <stp>##V3_BDPV12</stp>
        <stp>GB00BMBL1D50 isin</stp>
        <stp>YAS_BOND_YLD</stp>
        <stp>[DPM - Securities Master List (BBG Linked).xlsx]Bonds!R114C10</stp>
        <stp>YAS_YLD_FLAG=15</stp>
        <stp>user_local_trade_date</stp>
        <stp>45783</stp>
        <stp>Yas_bond_px</stp>
        <stp>#N/A Connection</stp>
        <tr r="J114" s="1"/>
      </tp>
      <tp t="s">
        <v>USD</v>
        <stp/>
        <stp>##V3_BDPV12</stp>
        <stp>AAL US Equity</stp>
        <stp>CRNCY</stp>
        <stp>[DPM - Securities Master List (BBG Linked).xlsx]Equities!R28C6</stp>
        <tr r="F28" s="2"/>
      </tp>
      <tp t="s">
        <v>GBp</v>
        <stp/>
        <stp>##V3_BDPV12</stp>
        <stp>BP/ LN Equity</stp>
        <stp>CRNCY</stp>
        <stp>[DPM - Securities Master List (BBG Linked).xlsx]Equities!R78C6</stp>
        <tr r="F78" s="2"/>
      </tp>
      <tp t="s">
        <v>GBp</v>
        <stp/>
        <stp>##V3_BDPV12</stp>
        <stp>BP/ LN Equity</stp>
        <stp>CRNCY</stp>
        <stp>[DPM - Securities Master List (BBG Linked).xlsx]Equities!R88C6</stp>
        <tr r="F88" s="2"/>
      </tp>
      <tp t="s">
        <v>GBp</v>
        <stp/>
        <stp>##V3_BDPV12</stp>
        <stp>AZN LN Equity</stp>
        <stp>CRNCY</stp>
        <stp>[DPM - Securities Master List (BBG Linked).xlsx]Equities!R58C6</stp>
        <tr r="F58" s="2"/>
      </tp>
      <tp>
        <v>10708</v>
        <stp/>
        <stp>##V3_BDPV12</stp>
        <stp>AZN LN Equity</stp>
        <stp>PX_Last</stp>
        <stp>[DPM - Securities Master List (BBG Linked).xlsx]Equities!R60C17</stp>
        <tr r="Q60" s="2"/>
      </tp>
      <tp>
        <v>10708</v>
        <stp/>
        <stp>##V3_BDPV12</stp>
        <stp>AZN LN Equity</stp>
        <stp>PX_Last</stp>
        <stp>[DPM - Securities Master List (BBG Linked).xlsx]Equities!R61C17</stp>
        <tr r="Q61" s="2"/>
      </tp>
      <tp>
        <v>10708</v>
        <stp/>
        <stp>##V3_BDPV12</stp>
        <stp>AZN LN Equity</stp>
        <stp>PX_last</stp>
        <stp>[DPM - Securities Master List (BBG Linked).xlsx]Equities!R60C17</stp>
        <tr r="Q60" s="2"/>
      </tp>
      <tp>
        <v>10708</v>
        <stp/>
        <stp>##V3_BDPV12</stp>
        <stp>AZN LN Equity</stp>
        <stp>PX_last</stp>
        <stp>[DPM - Securities Master List (BBG Linked).xlsx]Equities!R61C17</stp>
        <tr r="Q61" s="2"/>
      </tp>
      <tp>
        <v>10708</v>
        <stp/>
        <stp>##V3_BDPV12</stp>
        <stp>AZN LN Equity</stp>
        <stp>PX_Last</stp>
        <stp>[DPM - Securities Master List (BBG Linked).xlsx]Equities!R54C17</stp>
        <tr r="Q54" s="2"/>
      </tp>
      <tp>
        <v>10708</v>
        <stp/>
        <stp>##V3_BDPV12</stp>
        <stp>AZN LN Equity</stp>
        <stp>PX_Last</stp>
        <stp>[DPM - Securities Master List (BBG Linked).xlsx]Equities!R55C17</stp>
        <tr r="Q55" s="2"/>
      </tp>
      <tp>
        <v>10708</v>
        <stp/>
        <stp>##V3_BDPV12</stp>
        <stp>AZN LN Equity</stp>
        <stp>PX_Last</stp>
        <stp>[DPM - Securities Master List (BBG Linked).xlsx]Equities!R56C17</stp>
        <tr r="Q56" s="2"/>
      </tp>
      <tp>
        <v>10708</v>
        <stp/>
        <stp>##V3_BDPV12</stp>
        <stp>AZN LN Equity</stp>
        <stp>PX_Last</stp>
        <stp>[DPM - Securities Master List (BBG Linked).xlsx]Equities!R57C17</stp>
        <tr r="Q57" s="2"/>
      </tp>
      <tp>
        <v>10708</v>
        <stp/>
        <stp>##V3_BDPV12</stp>
        <stp>AZN LN Equity</stp>
        <stp>PX_Last</stp>
        <stp>[DPM - Securities Master List (BBG Linked).xlsx]Equities!R51C17</stp>
        <tr r="Q51" s="2"/>
      </tp>
      <tp>
        <v>10708</v>
        <stp/>
        <stp>##V3_BDPV12</stp>
        <stp>AZN LN Equity</stp>
        <stp>PX_Last</stp>
        <stp>[DPM - Securities Master List (BBG Linked).xlsx]Equities!R52C17</stp>
        <tr r="Q52" s="2"/>
      </tp>
      <tp>
        <v>10708</v>
        <stp/>
        <stp>##V3_BDPV12</stp>
        <stp>AZN LN Equity</stp>
        <stp>PX_Last</stp>
        <stp>[DPM - Securities Master List (BBG Linked).xlsx]Equities!R53C17</stp>
        <tr r="Q53" s="2"/>
      </tp>
      <tp>
        <v>10708</v>
        <stp/>
        <stp>##V3_BDPV12</stp>
        <stp>AZN LN Equity</stp>
        <stp>PX_Last</stp>
        <stp>[DPM - Securities Master List (BBG Linked).xlsx]Equities!R58C17</stp>
        <tr r="Q58" s="2"/>
      </tp>
      <tp>
        <v>10708</v>
        <stp/>
        <stp>##V3_BDPV12</stp>
        <stp>AZN LN Equity</stp>
        <stp>PX_Last</stp>
        <stp>[DPM - Securities Master List (BBG Linked).xlsx]Equities!R59C17</stp>
        <tr r="Q59" s="2"/>
      </tp>
      <tp>
        <v>10708</v>
        <stp/>
        <stp>##V3_BDPV12</stp>
        <stp>AZN LN Equity</stp>
        <stp>PX_last</stp>
        <stp>[DPM - Securities Master List (BBG Linked).xlsx]Equities!R54C17</stp>
        <tr r="Q54" s="2"/>
      </tp>
      <tp>
        <v>10708</v>
        <stp/>
        <stp>##V3_BDPV12</stp>
        <stp>AZN LN Equity</stp>
        <stp>PX_last</stp>
        <stp>[DPM - Securities Master List (BBG Linked).xlsx]Equities!R55C17</stp>
        <tr r="Q55" s="2"/>
      </tp>
      <tp>
        <v>10708</v>
        <stp/>
        <stp>##V3_BDPV12</stp>
        <stp>AZN LN Equity</stp>
        <stp>PX_last</stp>
        <stp>[DPM - Securities Master List (BBG Linked).xlsx]Equities!R56C17</stp>
        <tr r="Q56" s="2"/>
      </tp>
      <tp>
        <v>10708</v>
        <stp/>
        <stp>##V3_BDPV12</stp>
        <stp>AZN LN Equity</stp>
        <stp>PX_last</stp>
        <stp>[DPM - Securities Master List (BBG Linked).xlsx]Equities!R57C17</stp>
        <tr r="Q57" s="2"/>
      </tp>
      <tp>
        <v>10708</v>
        <stp/>
        <stp>##V3_BDPV12</stp>
        <stp>AZN LN Equity</stp>
        <stp>PX_last</stp>
        <stp>[DPM - Securities Master List (BBG Linked).xlsx]Equities!R51C17</stp>
        <tr r="Q51" s="2"/>
      </tp>
      <tp>
        <v>10708</v>
        <stp/>
        <stp>##V3_BDPV12</stp>
        <stp>AZN LN Equity</stp>
        <stp>PX_last</stp>
        <stp>[DPM - Securities Master List (BBG Linked).xlsx]Equities!R52C17</stp>
        <tr r="Q52" s="2"/>
      </tp>
      <tp>
        <v>10708</v>
        <stp/>
        <stp>##V3_BDPV12</stp>
        <stp>AZN LN Equity</stp>
        <stp>PX_last</stp>
        <stp>[DPM - Securities Master List (BBG Linked).xlsx]Equities!R53C17</stp>
        <tr r="Q53" s="2"/>
      </tp>
      <tp>
        <v>10708</v>
        <stp/>
        <stp>##V3_BDPV12</stp>
        <stp>AZN LN Equity</stp>
        <stp>PX_last</stp>
        <stp>[DPM - Securities Master List (BBG Linked).xlsx]Equities!R58C17</stp>
        <tr r="Q58" s="2"/>
      </tp>
      <tp>
        <v>10708</v>
        <stp/>
        <stp>##V3_BDPV12</stp>
        <stp>AZN LN Equity</stp>
        <stp>PX_last</stp>
        <stp>[DPM - Securities Master List (BBG Linked).xlsx]Equities!R59C17</stp>
        <tr r="Q59" s="2"/>
      </tp>
      <tp>
        <v>-11.82968</v>
        <stp/>
        <stp>##V3_BDPV12</stp>
        <stp>DELL US Equity</stp>
        <stp>PR064</stp>
        <stp>[DPM - Securities Master List (BBG Linked).xlsx]Equities!R104C41</stp>
        <tr r="AO104" s="2"/>
      </tp>
      <tp>
        <v>-11.82968</v>
        <stp/>
        <stp>##V3_BDPV12</stp>
        <stp>DELL US Equity</stp>
        <stp>PR064</stp>
        <stp>[DPM - Securities Master List (BBG Linked).xlsx]Equities!R105C41</stp>
        <tr r="AO105" s="2"/>
      </tp>
      <tp>
        <v>-11.82968</v>
        <stp/>
        <stp>##V3_BDPV12</stp>
        <stp>DELL US Equity</stp>
        <stp>PR064</stp>
        <stp>[DPM - Securities Master List (BBG Linked).xlsx]Equities!R106C41</stp>
        <tr r="AO106" s="2"/>
      </tp>
      <tp>
        <v>-11.82968</v>
        <stp/>
        <stp>##V3_BDPV12</stp>
        <stp>DELL US Equity</stp>
        <stp>PR064</stp>
        <stp>[DPM - Securities Master List (BBG Linked).xlsx]Equities!R107C41</stp>
        <tr r="AO107" s="2"/>
      </tp>
      <tp>
        <v>-11.82968</v>
        <stp/>
        <stp>##V3_BDPV12</stp>
        <stp>DELL US Equity</stp>
        <stp>PR064</stp>
        <stp>[DPM - Securities Master List (BBG Linked).xlsx]Equities!R100C41</stp>
        <tr r="AO100" s="2"/>
      </tp>
      <tp>
        <v>-11.82968</v>
        <stp/>
        <stp>##V3_BDPV12</stp>
        <stp>DELL US Equity</stp>
        <stp>PR064</stp>
        <stp>[DPM - Securities Master List (BBG Linked).xlsx]Equities!R101C41</stp>
        <tr r="AO101" s="2"/>
      </tp>
      <tp>
        <v>-11.82968</v>
        <stp/>
        <stp>##V3_BDPV12</stp>
        <stp>DELL US Equity</stp>
        <stp>PR064</stp>
        <stp>[DPM - Securities Master List (BBG Linked).xlsx]Equities!R102C41</stp>
        <tr r="AO102" s="2"/>
      </tp>
      <tp>
        <v>-11.82968</v>
        <stp/>
        <stp>##V3_BDPV12</stp>
        <stp>DELL US Equity</stp>
        <stp>PR064</stp>
        <stp>[DPM - Securities Master List (BBG Linked).xlsx]Equities!R103C41</stp>
        <tr r="AO103" s="2"/>
      </tp>
      <tp>
        <v>30.378340000000001</v>
        <stp/>
        <stp>##V3_BDPV12</stp>
        <stp>DELL US Equity</stp>
        <stp>PR061</stp>
        <stp>[DPM - Securities Master List (BBG Linked).xlsx]Equities!R104C40</stp>
        <tr r="AN104" s="2"/>
      </tp>
      <tp>
        <v>30.378340000000001</v>
        <stp/>
        <stp>##V3_BDPV12</stp>
        <stp>DELL US Equity</stp>
        <stp>PR061</stp>
        <stp>[DPM - Securities Master List (BBG Linked).xlsx]Equities!R105C40</stp>
        <tr r="AN105" s="2"/>
      </tp>
      <tp>
        <v>30.378340000000001</v>
        <stp/>
        <stp>##V3_BDPV12</stp>
        <stp>DELL US Equity</stp>
        <stp>PR061</stp>
        <stp>[DPM - Securities Master List (BBG Linked).xlsx]Equities!R106C40</stp>
        <tr r="AN106" s="2"/>
      </tp>
      <tp>
        <v>30.378340000000001</v>
        <stp/>
        <stp>##V3_BDPV12</stp>
        <stp>DELL US Equity</stp>
        <stp>PR061</stp>
        <stp>[DPM - Securities Master List (BBG Linked).xlsx]Equities!R107C40</stp>
        <tr r="AN107" s="2"/>
      </tp>
      <tp>
        <v>30.378340000000001</v>
        <stp/>
        <stp>##V3_BDPV12</stp>
        <stp>DELL US Equity</stp>
        <stp>PR061</stp>
        <stp>[DPM - Securities Master List (BBG Linked).xlsx]Equities!R100C40</stp>
        <tr r="AN100" s="2"/>
      </tp>
      <tp>
        <v>30.378340000000001</v>
        <stp/>
        <stp>##V3_BDPV12</stp>
        <stp>DELL US Equity</stp>
        <stp>PR061</stp>
        <stp>[DPM - Securities Master List (BBG Linked).xlsx]Equities!R101C40</stp>
        <tr r="AN101" s="2"/>
      </tp>
      <tp>
        <v>30.378340000000001</v>
        <stp/>
        <stp>##V3_BDPV12</stp>
        <stp>DELL US Equity</stp>
        <stp>PR061</stp>
        <stp>[DPM - Securities Master List (BBG Linked).xlsx]Equities!R102C40</stp>
        <tr r="AN102" s="2"/>
      </tp>
      <tp>
        <v>30.378340000000001</v>
        <stp/>
        <stp>##V3_BDPV12</stp>
        <stp>DELL US Equity</stp>
        <stp>PR061</stp>
        <stp>[DPM - Securities Master List (BBG Linked).xlsx]Equities!R103C40</stp>
        <tr r="AN103" s="2"/>
      </tp>
      <tp>
        <v>10.04074</v>
        <stp/>
        <stp>##V3_BDPV12</stp>
        <stp>GOLD US Equity</stp>
        <stp>PR064</stp>
        <stp>[DPM - Securities Master List (BBG Linked).xlsx]Equities!R125C41</stp>
        <tr r="AO125" s="2"/>
      </tp>
      <tp>
        <v>6.9892469999999998</v>
        <stp/>
        <stp>##V3_BDPV12</stp>
        <stp>GOLD US Equity</stp>
        <stp>PR061</stp>
        <stp>[DPM - Securities Master List (BBG Linked).xlsx]Equities!R125C40</stp>
        <tr r="AN125" s="2"/>
      </tp>
      <tp t="s">
        <v>#N/A Invalid Override</v>
        <stp/>
        <stp>##V3_BDPV12</stp>
        <stp>US06738EBP97 isin</stp>
        <stp>YAS_BOND_YLD</stp>
        <stp>[DPM - Securities Master List (BBG Linked).xlsx]Bonds!R52C10</stp>
        <stp>YAS_YLD_FLAG=15</stp>
        <stp>user_local_trade_date</stp>
        <stp>45783</stp>
        <stp>Yas_bond_px</stp>
        <stp>#N/A Connection</stp>
        <tr r="J52" s="1"/>
      </tp>
      <tp t="s">
        <v>Consumer Discretionary</v>
        <stp/>
        <stp>##V3_BDPV12</stp>
        <stp>AMZN  US Equity</stp>
        <stp>DX202</stp>
        <stp>[DPM - Securities Master List (BBG Linked).xlsx]Equities!R50C46</stp>
        <tr r="AT50" s="2"/>
        <tr r="AT50" s="2"/>
        <tr r="AT50" s="2"/>
      </tp>
      <tp>
        <v>4.8072290420532227</v>
        <stp/>
        <stp>##V3_BDPV12</stp>
        <stp>AMZN  US Equity</stp>
        <stp>EE201</stp>
        <stp>[DPM - Securities Master List (BBG Linked).xlsx]Equities!R50C37</stp>
        <tr r="AK50" s="2"/>
        <tr r="AK50" s="2"/>
        <tr r="AK50" s="2"/>
      </tp>
      <tp t="s">
        <v>Alphabet Inc</v>
        <stp/>
        <stp>##V3_BDPV12</stp>
        <stp>GOOGL US Equity</stp>
        <stp>SECURITY NAME</stp>
        <stp>[DPM - Securities Master List (BBG Linked).xlsx]Equities!R132C5</stp>
        <tr r="E132" s="2"/>
      </tp>
      <tp t="s">
        <v>Energy</v>
        <stp/>
        <stp>##V3_BDPV12</stp>
        <stp>BP/ LN Equity</stp>
        <stp>DX202</stp>
        <stp>[DPM - Securities Master List (BBG Linked).xlsx]Equities!R81C8</stp>
        <tr r="H81" s="2"/>
        <tr r="H81" s="2"/>
        <tr r="H81" s="2"/>
      </tp>
      <tp t="s">
        <v>Health Care</v>
        <stp/>
        <stp>##V3_BDPV12</stp>
        <stp>AZN LN Equity</stp>
        <stp>DX202</stp>
        <stp>[DPM - Securities Master List (BBG Linked).xlsx]Equities!R51C8</stp>
        <tr r="H51" s="2"/>
        <tr r="H51" s="2"/>
        <tr r="H51" s="2"/>
      </tp>
      <tp t="s">
        <v>Health Care</v>
        <stp/>
        <stp>##V3_BDPV12</stp>
        <stp>AZN LN Equity</stp>
        <stp>DX202</stp>
        <stp>[DPM - Securities Master List (BBG Linked).xlsx]Equities!R61C8</stp>
        <tr r="H61" s="2"/>
        <tr r="H61" s="2"/>
        <tr r="H61" s="2"/>
      </tp>
      <tp t="s">
        <v>Industrials</v>
        <stp/>
        <stp>##V3_BDPV12</stp>
        <stp>AAL US Equity</stp>
        <stp>DX202</stp>
        <stp>[DPM - Securities Master List (BBG Linked).xlsx]Equities!R31C8</stp>
        <tr r="H31" s="2"/>
        <tr r="H31" s="2"/>
        <tr r="H31" s="2"/>
      </tp>
      <tp t="s">
        <v>Adobe Inc</v>
        <stp/>
        <stp>##V3_BDPV12</stp>
        <stp>ADBE US Equity</stp>
        <stp>SECURITY NAME</stp>
        <stp>[DPM - Securities Master List (BBG Linked).xlsx]Equities!R49C5</stp>
        <tr r="E49" s="2"/>
      </tp>
      <tp t="s">
        <v>Adobe Inc</v>
        <stp/>
        <stp>##V3_BDPV12</stp>
        <stp>ADBE US Equity</stp>
        <stp>SECURITY NAME</stp>
        <stp>[DPM - Securities Master List (BBG Linked).xlsx]Equities!R39C5</stp>
        <tr r="E39" s="2"/>
      </tp>
    </main>
    <main first="bofaddin.rtdserver">
      <tp t="e">
        <v>#N/A</v>
        <stp/>
        <stp>BDP|393532069709816991</stp>
        <tr r="AL111" s="3"/>
        <tr r="AL111" s="3"/>
        <tr r="AL111" s="3"/>
        <tr r="AL110" s="3"/>
        <tr r="AL110" s="3"/>
        <tr r="AL110" s="3"/>
        <tr r="AL109" s="3"/>
        <tr r="AL109" s="3"/>
        <tr r="AL109" s="3"/>
        <tr r="AL108" s="3"/>
        <tr r="AL108" s="3"/>
        <tr r="AL108" s="3"/>
        <tr r="AL107" s="3"/>
        <tr r="AL107" s="3"/>
        <tr r="AL107" s="3"/>
        <tr r="AL106" s="3"/>
        <tr r="AL106" s="3"/>
        <tr r="AL106" s="3"/>
        <tr r="AL105" s="3"/>
        <tr r="AL105" s="3"/>
        <tr r="AL105" s="3"/>
        <tr r="AL104" s="3"/>
        <tr r="AL104" s="3"/>
        <tr r="AL104" s="3"/>
      </tp>
      <tp t="e">
        <v>#N/A</v>
        <stp/>
        <stp>BDP|564066138191197137</stp>
        <tr r="W46" s="1"/>
        <tr r="W144" s="1"/>
        <tr r="W134" s="1"/>
      </tp>
      <tp t="e">
        <v>#N/A</v>
        <stp/>
        <stp>BDP|660772178857510466</stp>
        <tr r="AO66" s="1"/>
        <tr r="AO49" s="1"/>
        <tr r="AO42" s="1"/>
      </tp>
      <tp t="e">
        <v>#N/A</v>
        <stp/>
        <stp>BDP|553917684000385294</stp>
        <tr r="AE63" s="1"/>
      </tp>
      <tp t="e">
        <v>#N/A</v>
        <stp/>
        <stp>BDP|630420206234941302</stp>
        <tr r="AO91" s="1"/>
        <tr r="AO76" s="1"/>
        <tr r="AO55" s="1"/>
        <tr r="AO48" s="1"/>
        <tr r="AO26" s="1"/>
        <tr r="AO157" s="1"/>
        <tr r="AO142" s="1"/>
        <tr r="AO132" s="1"/>
        <tr r="AO120" s="1"/>
        <tr r="AO100" s="1"/>
      </tp>
      <tp t="e">
        <v>#N/A</v>
        <stp/>
        <stp>BDP|398272288469817032</stp>
        <tr r="K87" s="1"/>
      </tp>
    </main>
    <main first="bloomberg.rtd">
      <tp>
        <v>866</v>
        <stp/>
        <stp>##V3_BDPV12</stp>
        <stp>SMSN.LI Equity</stp>
        <stp>hs002</stp>
        <stp>[DPM - Securities Master List (BBG Linked).xlsx]Equities!R243C45</stp>
        <tr r="AS243" s="2"/>
      </tp>
    </main>
    <main first="bofaddin.rtdserver">
      <tp t="e">
        <v>#N/A</v>
        <stp/>
        <stp>BDP|930480226466794317</stp>
        <tr r="AS12" s="1"/>
      </tp>
    </main>
    <main first="bloomberg.rtd">
      <tp>
        <v>1612</v>
        <stp/>
        <stp>##V3_BDPV12</stp>
        <stp>SMSN.LI Equity</stp>
        <stp>hs001</stp>
        <stp>[DPM - Securities Master List (BBG Linked).xlsx]Equities!R243C44</stp>
        <tr r="AR243" s="2"/>
      </tp>
    </main>
    <main first="bofaddin.rtdserver">
      <tp t="e">
        <v>#N/A</v>
        <stp/>
        <stp>BDP|236661152261726137</stp>
        <tr r="M56" s="1"/>
        <tr r="M56" s="1"/>
      </tp>
    </main>
    <main first="bloomberg.rtd">
      <tp t="s">
        <v>Information Technology</v>
        <stp/>
        <stp>##V3_BDPV12</stp>
        <stp>SMSN.LI Equity</stp>
        <stp>DX202</stp>
        <stp>[DPM - Securities Master List (BBG Linked).xlsx]Equities!R243C46</stp>
        <tr r="AT243" s="2"/>
        <tr r="AT243" s="2"/>
        <tr r="AT243" s="2"/>
      </tp>
      <tp>
        <v>5</v>
        <stp/>
        <stp>##V3_BDPV12</stp>
        <stp>SMSN.LI Equity</stp>
        <stp>EE201</stp>
        <stp>[DPM - Securities Master List (BBG Linked).xlsx]Equities!R243C37</stp>
        <tr r="AK243" s="2"/>
        <tr r="AK243" s="2"/>
        <tr r="AK243" s="2"/>
      </tp>
      <tp>
        <v>2956994.8314800002</v>
        <stp/>
        <stp>##V3_BDPV12</stp>
        <stp>AAPL US Equity</stp>
        <stp>CRNCY_ADJ_MKT_CAP</stp>
        <stp>[DPM - Securities Master List (BBG Linked).xlsx]Equities!R34C9</stp>
        <stp>EQY_FUND_CRNCY=USD</stp>
        <tr r="I34" s="2"/>
      </tp>
      <tp t="s">
        <v>US7960508882</v>
        <stp/>
        <stp>##V3_BDPV12</stp>
        <stp>SMSN.LI Equity</stp>
        <stp>ID005</stp>
        <stp>[DPM - Securities Master List (BBG Linked).xlsx]Equities!R243C55</stp>
        <tr r="BC243" s="2"/>
      </tp>
      <tp t="s">
        <v>#N/A Field Not Applicable</v>
        <stp/>
        <stp>##V3_BDPV12</stp>
        <stp>SMSN.LI Equity</stp>
        <stp>RR900</stp>
        <stp>[DPM - Securities Master List (BBG Linked).xlsx]Equities!R243C11</stp>
        <tr r="K243" s="2"/>
        <tr r="K243" s="2"/>
      </tp>
      <tp t="s">
        <v>#N/A Field Not Applicable</v>
        <stp/>
        <stp>##V3_BDPV12</stp>
        <stp>SMSN.LI Equity</stp>
        <stp>RR903</stp>
        <stp>[DPM - Securities Master List (BBG Linked).xlsx]Equities!R243C13</stp>
        <tr r="M243" s="2"/>
        <tr r="M243" s="2"/>
      </tp>
      <tp>
        <v>9.0084278745664559</v>
        <stp/>
        <stp>##V3_BDPV12</stp>
        <stp>DELL US Equity</stp>
        <stp>RR957</stp>
        <stp>[DPM - Securities Master List (BBG Linked).xlsx]Equities!R105C14</stp>
        <tr r="N105" s="2"/>
        <tr r="N105" s="2"/>
        <tr r="N105" s="2"/>
      </tp>
      <tp>
        <v>9.0084278745664559</v>
        <stp/>
        <stp>##V3_BDPV12</stp>
        <stp>DELL US Equity</stp>
        <stp>RR957</stp>
        <stp>[DPM - Securities Master List (BBG Linked).xlsx]Equities!R104C14</stp>
        <tr r="N104" s="2"/>
        <tr r="N104" s="2"/>
        <tr r="N104" s="2"/>
      </tp>
      <tp>
        <v>9.0084278745664559</v>
        <stp/>
        <stp>##V3_BDPV12</stp>
        <stp>DELL US Equity</stp>
        <stp>RR957</stp>
        <stp>[DPM - Securities Master List (BBG Linked).xlsx]Equities!R107C14</stp>
        <tr r="N107" s="2"/>
        <tr r="N107" s="2"/>
        <tr r="N107" s="2"/>
      </tp>
      <tp>
        <v>9.0084278745664559</v>
        <stp/>
        <stp>##V3_BDPV12</stp>
        <stp>DELL US Equity</stp>
        <stp>RR957</stp>
        <stp>[DPM - Securities Master List (BBG Linked).xlsx]Equities!R106C14</stp>
        <tr r="N106" s="2"/>
        <tr r="N106" s="2"/>
        <tr r="N106" s="2"/>
      </tp>
      <tp>
        <v>9.0084278745664559</v>
        <stp/>
        <stp>##V3_BDPV12</stp>
        <stp>DELL US Equity</stp>
        <stp>RR957</stp>
        <stp>[DPM - Securities Master List (BBG Linked).xlsx]Equities!R101C14</stp>
        <tr r="N101" s="2"/>
        <tr r="N101" s="2"/>
        <tr r="N101" s="2"/>
      </tp>
      <tp>
        <v>9.0084278745664559</v>
        <stp/>
        <stp>##V3_BDPV12</stp>
        <stp>DELL US Equity</stp>
        <stp>RR957</stp>
        <stp>[DPM - Securities Master List (BBG Linked).xlsx]Equities!R100C14</stp>
        <tr r="N100" s="2"/>
        <tr r="N100" s="2"/>
        <tr r="N100" s="2"/>
      </tp>
      <tp>
        <v>9.0084278745664559</v>
        <stp/>
        <stp>##V3_BDPV12</stp>
        <stp>DELL US Equity</stp>
        <stp>RR957</stp>
        <stp>[DPM - Securities Master List (BBG Linked).xlsx]Equities!R103C14</stp>
        <tr r="N103" s="2"/>
        <tr r="N103" s="2"/>
        <tr r="N103" s="2"/>
      </tp>
      <tp>
        <v>9.0084278745664559</v>
        <stp/>
        <stp>##V3_BDPV12</stp>
        <stp>DELL US Equity</stp>
        <stp>RR957</stp>
        <stp>[DPM - Securities Master List (BBG Linked).xlsx]Equities!R102C14</stp>
        <tr r="N102" s="2"/>
        <tr r="N102" s="2"/>
        <tr r="N102" s="2"/>
      </tp>
      <tp t="s">
        <v>#N/A Field Not Applicable</v>
        <stp/>
        <stp>##V3_BDPV12</stp>
        <stp>SMSN.LI Equity</stp>
        <stp>RR908</stp>
        <stp>[DPM - Securities Master List (BBG Linked).xlsx]Equities!R243C32</stp>
        <tr r="AF243" s="2"/>
        <tr r="AF243" s="2"/>
      </tp>
      <tp>
        <v>6.428712745963681</v>
        <stp/>
        <stp>##V3_BDPV12</stp>
        <stp>GOLD US Equity</stp>
        <stp>RR957</stp>
        <stp>[DPM - Securities Master List (BBG Linked).xlsx]Equities!R125C14</stp>
        <tr r="N125" s="2"/>
        <tr r="N125" s="2"/>
        <tr r="N125" s="2"/>
      </tp>
      <tp t="s">
        <v>Tencent Holdings Ltd</v>
        <stp/>
        <stp>##V3_BDPV12</stp>
        <stp>TCEHY US Equity</stp>
        <stp>SECURITY NAME</stp>
        <stp>[DPM - Securities Master List (BBG Linked).xlsx]Equities!R259C5</stp>
        <tr r="E259" s="2"/>
      </tp>
      <tp t="s">
        <v>Alphabet Inc</v>
        <stp/>
        <stp>##V3_BDPV12</stp>
        <stp>GOOGL US Equity</stp>
        <stp>SECURITY NAME</stp>
        <stp>[DPM - Securities Master List (BBG Linked).xlsx]Equities!R133C5</stp>
        <tr r="E133" s="2"/>
      </tp>
      <tp t="s">
        <v>#N/A Invalid Override</v>
        <stp/>
        <stp>##V3_BDPV12</stp>
        <stp>USY775M1CJ07 isin</stp>
        <stp>YAS_BOND_YLD</stp>
        <stp>[DPM - Securities Master List (BBG Linked).xlsx]Bonds!R87C10</stp>
        <stp>YAS_YLD_FLAG=15</stp>
        <stp>user_local_trade_date</stp>
        <stp>45783</stp>
        <stp>Yas_bond_px</stp>
        <stp>#N/A Connection</stp>
        <tr r="J87" s="1"/>
      </tp>
      <tp t="s">
        <v>Energy</v>
        <stp/>
        <stp>##V3_BDPV12</stp>
        <stp>BP/ LN Equity</stp>
        <stp>DX202</stp>
        <stp>[DPM - Securities Master List (BBG Linked).xlsx]Equities!R80C8</stp>
        <tr r="H80" s="2"/>
        <tr r="H80" s="2"/>
        <tr r="H80" s="2"/>
      </tp>
      <tp t="s">
        <v>Energy</v>
        <stp/>
        <stp>##V3_BDPV12</stp>
        <stp>BP/ LN Equity</stp>
        <stp>DX202</stp>
        <stp>[DPM - Securities Master List (BBG Linked).xlsx]Equities!R90C8</stp>
        <tr r="H90" s="2"/>
        <tr r="H90" s="2"/>
        <tr r="H90" s="2"/>
      </tp>
      <tp t="s">
        <v>Health Care</v>
        <stp/>
        <stp>##V3_BDPV12</stp>
        <stp>AZN LN Equity</stp>
        <stp>DX202</stp>
        <stp>[DPM - Securities Master List (BBG Linked).xlsx]Equities!R60C8</stp>
        <tr r="H60" s="2"/>
        <tr r="H60" s="2"/>
        <tr r="H60" s="2"/>
      </tp>
      <tp t="s">
        <v>Industrials</v>
        <stp/>
        <stp>##V3_BDPV12</stp>
        <stp>AAL US Equity</stp>
        <stp>DX202</stp>
        <stp>[DPM - Securities Master List (BBG Linked).xlsx]Equities!R30C8</stp>
        <tr r="H30" s="2"/>
        <tr r="H30" s="2"/>
        <tr r="H30" s="2"/>
      </tp>
      <tp>
        <v>8</v>
        <stp/>
        <stp>##V3_BDPV12</stp>
        <stp>9888 HK Equity</stp>
        <stp>TOT_HOLD_REC</stp>
        <stp>[DPM - Securities Master List (BBG Linked).xlsx]Equities!R26C35</stp>
        <tr r="AI26" s="2"/>
      </tp>
      <tp>
        <v>8</v>
        <stp/>
        <stp>##V3_BDPV12</stp>
        <stp>9888 HK Equity</stp>
        <stp>TOT_HOLD_REC</stp>
        <stp>[DPM - Securities Master List (BBG Linked).xlsx]Equities!R27C35</stp>
        <tr r="AI27" s="2"/>
      </tp>
      <tp>
        <v>8</v>
        <stp/>
        <stp>##V3_BDPV12</stp>
        <stp>9888 HK Equity</stp>
        <stp>TOT_HOLD_REC</stp>
        <stp>[DPM - Securities Master List (BBG Linked).xlsx]Equities!R24C35</stp>
        <tr r="AI24" s="2"/>
      </tp>
      <tp>
        <v>8</v>
        <stp/>
        <stp>##V3_BDPV12</stp>
        <stp>9888 HK Equity</stp>
        <stp>TOT_HOLD_REC</stp>
        <stp>[DPM - Securities Master List (BBG Linked).xlsx]Equities!R25C35</stp>
        <tr r="AI25" s="2"/>
      </tp>
      <tp>
        <v>8</v>
        <stp/>
        <stp>##V3_BDPV12</stp>
        <stp>9888 HK Equity</stp>
        <stp>TOT_HOLD_REC</stp>
        <stp>[DPM - Securities Master List (BBG Linked).xlsx]Equities!R22C35</stp>
        <tr r="AI22" s="2"/>
      </tp>
      <tp>
        <v>8</v>
        <stp/>
        <stp>##V3_BDPV12</stp>
        <stp>9888 HK Equity</stp>
        <stp>TOT_HOLD_REC</stp>
        <stp>[DPM - Securities Master List (BBG Linked).xlsx]Equities!R23C35</stp>
        <tr r="AI23" s="2"/>
      </tp>
      <tp>
        <v>8</v>
        <stp/>
        <stp>##V3_BDPV12</stp>
        <stp>9888 HK Equity</stp>
        <stp>TOT_HOLD_REC</stp>
        <stp>[DPM - Securities Master List (BBG Linked).xlsx]Equities!R20C35</stp>
        <tr r="AI20" s="2"/>
      </tp>
      <tp>
        <v>8</v>
        <stp/>
        <stp>##V3_BDPV12</stp>
        <stp>9888 HK Equity</stp>
        <stp>TOT_HOLD_REC</stp>
        <stp>[DPM - Securities Master List (BBG Linked).xlsx]Equities!R21C35</stp>
        <tr r="AI21" s="2"/>
      </tp>
      <tp>
        <v>8</v>
        <stp/>
        <stp>##V3_BDPV12</stp>
        <stp>9888 HK Equity</stp>
        <stp>TOT_HOLD_REC</stp>
        <stp>[DPM - Securities Master List (BBG Linked).xlsx]Equities!R18C35</stp>
        <tr r="AI18" s="2"/>
      </tp>
      <tp>
        <v>8</v>
        <stp/>
        <stp>##V3_BDPV12</stp>
        <stp>9888 HK Equity</stp>
        <stp>TOT_HOLD_REC</stp>
        <stp>[DPM - Securities Master List (BBG Linked).xlsx]Equities!R19C35</stp>
        <tr r="AI19" s="2"/>
      </tp>
      <tp>
        <v>8</v>
        <stp/>
        <stp>##V3_BDPV12</stp>
        <stp>9888 HK Equity</stp>
        <stp>TOT_HOLD_REC</stp>
        <stp>[DPM - Securities Master List (BBG Linked).xlsx]Equities!R16C35</stp>
        <tr r="AI16" s="2"/>
      </tp>
      <tp>
        <v>8</v>
        <stp/>
        <stp>##V3_BDPV12</stp>
        <stp>9888 HK Equity</stp>
        <stp>TOT_HOLD_REC</stp>
        <stp>[DPM - Securities Master List (BBG Linked).xlsx]Equities!R17C35</stp>
        <tr r="AI17" s="2"/>
      </tp>
      <tp>
        <v>8</v>
        <stp/>
        <stp>##V3_BDPV12</stp>
        <stp>9888 HK Equity</stp>
        <stp>TOT_HOLD_REC</stp>
        <stp>[DPM - Securities Master List (BBG Linked).xlsx]Equities!R15C35</stp>
        <tr r="AI15" s="2"/>
      </tp>
      <tp>
        <v>2</v>
        <stp/>
        <stp>##V3_BDPV12</stp>
        <stp>3690 HK Equity</stp>
        <stp>TOT_SELL_REC</stp>
        <stp>[DPM - Securities Master List (BBG Linked).xlsx]Equities!R14C36</stp>
        <tr r="AJ14" s="2"/>
      </tp>
      <tp>
        <v>2</v>
        <stp/>
        <stp>##V3_BDPV12</stp>
        <stp>3690 HK Equity</stp>
        <stp>TOT_SELL_REC</stp>
        <stp>[DPM - Securities Master List (BBG Linked).xlsx]Equities!R11C36</stp>
        <tr r="AJ11" s="2"/>
      </tp>
      <tp>
        <v>2</v>
        <stp/>
        <stp>##V3_BDPV12</stp>
        <stp>3690 HK Equity</stp>
        <stp>TOT_SELL_REC</stp>
        <stp>[DPM - Securities Master List (BBG Linked).xlsx]Equities!R10C36</stp>
        <tr r="AJ10" s="2"/>
      </tp>
      <tp>
        <v>2</v>
        <stp/>
        <stp>##V3_BDPV12</stp>
        <stp>3690 HK Equity</stp>
        <stp>TOT_SELL_REC</stp>
        <stp>[DPM - Securities Master List (BBG Linked).xlsx]Equities!R13C36</stp>
        <tr r="AJ13" s="2"/>
      </tp>
      <tp>
        <v>2</v>
        <stp/>
        <stp>##V3_BDPV12</stp>
        <stp>3690 HK Equity</stp>
        <stp>TOT_SELL_REC</stp>
        <stp>[DPM - Securities Master List (BBG Linked).xlsx]Equities!R12C36</stp>
        <tr r="AJ12" s="2"/>
      </tp>
    </main>
    <main first="bofaddin.rtdserver">
      <tp t="e">
        <v>#N/A</v>
        <stp/>
        <stp>BDP|979262302490093012</stp>
        <tr r="Q41" s="1"/>
        <tr r="Q164" s="1"/>
        <tr r="Q81" s="1"/>
        <tr r="Q89" s="1"/>
        <tr r="Q59" s="1"/>
        <tr r="Q37" s="1"/>
        <tr r="Q29" s="1"/>
        <tr r="Q135" s="1"/>
      </tp>
    </main>
    <main first="bloomberg.rtd">
      <tp t="s">
        <v>Adobe Inc</v>
        <stp/>
        <stp>##V3_BDPV12</stp>
        <stp>ADBE US Equity</stp>
        <stp>SECURITY NAME</stp>
        <stp>[DPM - Securities Master List (BBG Linked).xlsx]Equities!R48C5</stp>
        <tr r="E48" s="2"/>
      </tp>
      <tp t="s">
        <v>Adobe Inc</v>
        <stp/>
        <stp>##V3_BDPV12</stp>
        <stp>ADBE US Equity</stp>
        <stp>SECURITY NAME</stp>
        <stp>[DPM - Securities Master List (BBG Linked).xlsx]Equities!R38C5</stp>
        <tr r="E38" s="2"/>
      </tp>
    </main>
    <main first="bofaddin.rtdserver">
      <tp t="e">
        <v>#N/A</v>
        <stp/>
        <stp>BDP|121285981951668905</stp>
        <tr r="F141" s="3"/>
        <tr r="F140" s="3"/>
        <tr r="F139" s="3"/>
        <tr r="F138" s="3"/>
        <tr r="F137" s="3"/>
        <tr r="F136" s="3"/>
        <tr r="F135" s="3"/>
        <tr r="F134" s="3"/>
        <tr r="F133" s="3"/>
        <tr r="F132" s="3"/>
        <tr r="F131" s="3"/>
        <tr r="F130" s="3"/>
      </tp>
      <tp t="e">
        <v>#N/A</v>
        <stp/>
        <stp>BDP|691235318396294751</stp>
        <tr r="L93" s="1"/>
        <tr r="L93" s="1"/>
        <tr r="AS93" s="1"/>
      </tp>
      <tp t="e">
        <v>#N/A</v>
        <stp/>
        <stp>BDP|264054879446799323</stp>
        <tr r="E15" s="1"/>
        <tr r="E109" s="1"/>
      </tp>
      <tp t="e">
        <v>#N/A</v>
        <stp/>
        <stp>BDP|640268841854537055</stp>
        <tr r="F16" s="3"/>
      </tp>
    </main>
    <main first="bloomberg.rtd">
      <tp>
        <v>2.628420307171234</v>
        <stp/>
        <stp>##V3_BDPV12</stp>
        <stp>SMSN.LI Equity</stp>
        <stp>DV013</stp>
        <stp>[DPM - Securities Master List (BBG Linked).xlsx]Equities!R243C10</stp>
        <tr r="J243" s="2"/>
      </tp>
      <tp>
        <v>8.9939454166590949</v>
        <stp/>
        <stp>##V3_BDPV12</stp>
        <stp>SMSN.LI Equity</stp>
        <stp>EE010</stp>
        <stp>[DPM - Securities Master List (BBG Linked).xlsx]Equities!R243C12</stp>
        <tr r="L243" s="2"/>
        <tr r="L243" s="2"/>
        <tr r="L243" s="2"/>
      </tp>
      <tp>
        <v>10.525</v>
        <stp/>
        <stp>##V3_BDPV12</stp>
        <stp>AAL US Equity</stp>
        <stp>PX_Last</stp>
        <stp>[DPM - Securities Master List (BBG Linked).xlsx]Equities!R28C17</stp>
        <tr r="Q28" s="2"/>
      </tp>
      <tp>
        <v>10.525</v>
        <stp/>
        <stp>##V3_BDPV12</stp>
        <stp>AAL US Equity</stp>
        <stp>PX_Last</stp>
        <stp>[DPM - Securities Master List (BBG Linked).xlsx]Equities!R29C17</stp>
        <tr r="Q29" s="2"/>
      </tp>
      <tp>
        <v>10.525</v>
        <stp/>
        <stp>##V3_BDPV12</stp>
        <stp>AAL US Equity</stp>
        <stp>PX_last</stp>
        <stp>[DPM - Securities Master List (BBG Linked).xlsx]Equities!R28C17</stp>
        <tr r="Q28" s="2"/>
      </tp>
      <tp>
        <v>10.525</v>
        <stp/>
        <stp>##V3_BDPV12</stp>
        <stp>AAL US Equity</stp>
        <stp>PX_last</stp>
        <stp>[DPM - Securities Master List (BBG Linked).xlsx]Equities!R29C17</stp>
        <tr r="Q29" s="2"/>
      </tp>
      <tp>
        <v>10.525</v>
        <stp/>
        <stp>##V3_BDPV12</stp>
        <stp>AAL US Equity</stp>
        <stp>PX_Last</stp>
        <stp>[DPM - Securities Master List (BBG Linked).xlsx]Equities!R32C17</stp>
        <tr r="Q32" s="2"/>
      </tp>
      <tp>
        <v>10.525</v>
        <stp/>
        <stp>##V3_BDPV12</stp>
        <stp>AAL US Equity</stp>
        <stp>PX_Last</stp>
        <stp>[DPM - Securities Master List (BBG Linked).xlsx]Equities!R33C17</stp>
        <tr r="Q33" s="2"/>
      </tp>
      <tp>
        <v>10.525</v>
        <stp/>
        <stp>##V3_BDPV12</stp>
        <stp>AAL US Equity</stp>
        <stp>PX_Last</stp>
        <stp>[DPM - Securities Master List (BBG Linked).xlsx]Equities!R30C17</stp>
        <tr r="Q30" s="2"/>
      </tp>
      <tp>
        <v>10.525</v>
        <stp/>
        <stp>##V3_BDPV12</stp>
        <stp>AAL US Equity</stp>
        <stp>PX_Last</stp>
        <stp>[DPM - Securities Master List (BBG Linked).xlsx]Equities!R31C17</stp>
        <tr r="Q31" s="2"/>
      </tp>
      <tp>
        <v>10.525</v>
        <stp/>
        <stp>##V3_BDPV12</stp>
        <stp>AAL US Equity</stp>
        <stp>PX_last</stp>
        <stp>[DPM - Securities Master List (BBG Linked).xlsx]Equities!R32C17</stp>
        <tr r="Q32" s="2"/>
      </tp>
      <tp>
        <v>10.525</v>
        <stp/>
        <stp>##V3_BDPV12</stp>
        <stp>AAL US Equity</stp>
        <stp>PX_last</stp>
        <stp>[DPM - Securities Master List (BBG Linked).xlsx]Equities!R33C17</stp>
        <tr r="Q33" s="2"/>
      </tp>
      <tp>
        <v>10.525</v>
        <stp/>
        <stp>##V3_BDPV12</stp>
        <stp>AAL US Equity</stp>
        <stp>PX_last</stp>
        <stp>[DPM - Securities Master List (BBG Linked).xlsx]Equities!R30C17</stp>
        <tr r="Q30" s="2"/>
      </tp>
      <tp>
        <v>10.525</v>
        <stp/>
        <stp>##V3_BDPV12</stp>
        <stp>AAL US Equity</stp>
        <stp>PX_last</stp>
        <stp>[DPM - Securities Master List (BBG Linked).xlsx]Equities!R31C17</stp>
        <tr r="Q31" s="2"/>
      </tp>
      <tp t="s">
        <v>#N/A Invalid Override</v>
        <stp/>
        <stp>##V3_BDPV12</stp>
        <stp>PAL63444B5A9 isin</stp>
        <stp>YAS_BOND_YLD</stp>
        <stp>[DPM - Securities Master List (BBG Linked).xlsx]Bonds!R97C10</stp>
        <stp>YAS_YLD_FLAG=15</stp>
        <stp>user_local_trade_date</stp>
        <stp>45783</stp>
        <stp>Yas_bond_px</stp>
        <stp>#N/A Connection</stp>
        <tr r="J97" s="1"/>
      </tp>
      <tp t="s">
        <v>#N/A Invalid Override</v>
        <stp/>
        <stp>##V3_BDPV12</stp>
        <stp>PAL63444B5A9 isin</stp>
        <stp>YAS_BOND_YLD</stp>
        <stp>[DPM - Securities Master List (BBG Linked).xlsx]Bonds!R40C10</stp>
        <stp>YAS_YLD_FLAG=15</stp>
        <stp>user_local_trade_date</stp>
        <stp>45783</stp>
        <stp>Yas_bond_px</stp>
        <stp>#N/A Connection</stp>
        <tr r="J40" s="1"/>
      </tp>
      <tp t="s">
        <v>#N/A Invalid Override</v>
        <stp/>
        <stp>##V3_BDPV12</stp>
        <stp>PAL63444B5A9 isin</stp>
        <stp>YAS_BOND_YLD</stp>
        <stp>[DPM - Securities Master List (BBG Linked).xlsx]Bonds!R75C10</stp>
        <stp>YAS_YLD_FLAG=15</stp>
        <stp>user_local_trade_date</stp>
        <stp>45783</stp>
        <stp>Yas_bond_px</stp>
        <stp>#N/A Connection</stp>
        <tr r="J75" s="1"/>
      </tp>
      <tp t="s">
        <v>#N/A Invalid Override</v>
        <stp/>
        <stp>##V3_BDPV12</stp>
        <stp>PAL63444B5A9 isin</stp>
        <stp>YAS_BOND_YLD</stp>
        <stp>[DPM - Securities Master List (BBG Linked).xlsx]Bonds!R60C10</stp>
        <stp>YAS_YLD_FLAG=15</stp>
        <stp>user_local_trade_date</stp>
        <stp>45783</stp>
        <stp>Yas_bond_px</stp>
        <stp>#N/A Connection</stp>
        <tr r="J60" s="1"/>
      </tp>
      <tp t="s">
        <v>#N/A Invalid Override</v>
        <stp/>
        <stp>##V3_BDPV12</stp>
        <stp>PAL63444B5A9 isin</stp>
        <stp>YAS_BOND_YLD</stp>
        <stp>[DPM - Securities Master List (BBG Linked).xlsx]Bonds!R25C10</stp>
        <stp>YAS_YLD_FLAG=15</stp>
        <stp>user_local_trade_date</stp>
        <stp>45783</stp>
        <stp>Yas_bond_px</stp>
        <stp>#N/A Connection</stp>
        <tr r="J25" s="1"/>
      </tp>
      <tp>
        <v>31.757078724951722</v>
        <stp/>
        <stp>##V3_BDPV12</stp>
        <stp>DELL US Equity</stp>
        <stp>RR041</stp>
        <stp>[DPM - Securities Master List (BBG Linked).xlsx]Equities!R104C33</stp>
        <tr r="AG104" s="2"/>
        <tr r="AG104" s="2"/>
        <tr r="AG104" s="2"/>
      </tp>
      <tp>
        <v>31.757078724951722</v>
        <stp/>
        <stp>##V3_BDPV12</stp>
        <stp>DELL US Equity</stp>
        <stp>RR041</stp>
        <stp>[DPM - Securities Master List (BBG Linked).xlsx]Equities!R105C33</stp>
        <tr r="AG105" s="2"/>
        <tr r="AG105" s="2"/>
        <tr r="AG105" s="2"/>
      </tp>
      <tp>
        <v>31.757078724951722</v>
        <stp/>
        <stp>##V3_BDPV12</stp>
        <stp>DELL US Equity</stp>
        <stp>RR041</stp>
        <stp>[DPM - Securities Master List (BBG Linked).xlsx]Equities!R106C33</stp>
        <tr r="AG106" s="2"/>
        <tr r="AG106" s="2"/>
        <tr r="AG106" s="2"/>
      </tp>
      <tp>
        <v>31.757078724951722</v>
        <stp/>
        <stp>##V3_BDPV12</stp>
        <stp>DELL US Equity</stp>
        <stp>RR041</stp>
        <stp>[DPM - Securities Master List (BBG Linked).xlsx]Equities!R107C33</stp>
        <tr r="AG107" s="2"/>
        <tr r="AG107" s="2"/>
        <tr r="AG107" s="2"/>
      </tp>
      <tp>
        <v>31.757078724951722</v>
        <stp/>
        <stp>##V3_BDPV12</stp>
        <stp>DELL US Equity</stp>
        <stp>RR041</stp>
        <stp>[DPM - Securities Master List (BBG Linked).xlsx]Equities!R100C33</stp>
        <tr r="AG100" s="2"/>
        <tr r="AG100" s="2"/>
        <tr r="AG100" s="2"/>
      </tp>
      <tp>
        <v>31.757078724951722</v>
        <stp/>
        <stp>##V3_BDPV12</stp>
        <stp>DELL US Equity</stp>
        <stp>RR041</stp>
        <stp>[DPM - Securities Master List (BBG Linked).xlsx]Equities!R101C33</stp>
        <tr r="AG101" s="2"/>
        <tr r="AG101" s="2"/>
        <tr r="AG101" s="2"/>
      </tp>
      <tp>
        <v>31.757078724951722</v>
        <stp/>
        <stp>##V3_BDPV12</stp>
        <stp>DELL US Equity</stp>
        <stp>RR041</stp>
        <stp>[DPM - Securities Master List (BBG Linked).xlsx]Equities!R102C33</stp>
        <tr r="AG102" s="2"/>
        <tr r="AG102" s="2"/>
        <tr r="AG102" s="2"/>
      </tp>
      <tp>
        <v>31.757078724951722</v>
        <stp/>
        <stp>##V3_BDPV12</stp>
        <stp>DELL US Equity</stp>
        <stp>RR041</stp>
        <stp>[DPM - Securities Master List (BBG Linked).xlsx]Equities!R103C33</stp>
        <tr r="AG103" s="2"/>
        <tr r="AG103" s="2"/>
        <tr r="AG103" s="2"/>
      </tp>
      <tp>
        <v>9.9294503002561623</v>
        <stp/>
        <stp>##V3_BDPV12</stp>
        <stp>GOLD US Equity</stp>
        <stp>RR041</stp>
        <stp>[DPM - Securities Master List (BBG Linked).xlsx]Equities!R125C33</stp>
        <tr r="AG125" s="2"/>
        <tr r="AG125" s="2"/>
        <tr r="AG125" s="2"/>
      </tp>
      <tp>
        <v>14</v>
        <stp/>
        <stp>##V3_BDPV12</stp>
        <stp>TSCO LN Equity</stp>
        <stp>TOT_BUY_REC</stp>
        <stp>[DPM - Securities Master List (BBG Linked).xlsx]Equities!R268C34</stp>
        <tr r="AH268" s="2"/>
      </tp>
      <tp>
        <v>14</v>
        <stp/>
        <stp>##V3_BDPV12</stp>
        <stp>TSCO LN Equity</stp>
        <stp>TOT_BUY_REC</stp>
        <stp>[DPM - Securities Master List (BBG Linked).xlsx]Equities!R269C34</stp>
        <tr r="AH269" s="2"/>
      </tp>
      <tp>
        <v>14</v>
        <stp/>
        <stp>##V3_BDPV12</stp>
        <stp>TSCO LN Equity</stp>
        <stp>TOT_BUY_REC</stp>
        <stp>[DPM - Securities Master List (BBG Linked).xlsx]Equities!R264C34</stp>
        <tr r="AH264" s="2"/>
      </tp>
      <tp>
        <v>14</v>
        <stp/>
        <stp>##V3_BDPV12</stp>
        <stp>TSCO LN Equity</stp>
        <stp>TOT_BUY_REC</stp>
        <stp>[DPM - Securities Master List (BBG Linked).xlsx]Equities!R265C34</stp>
        <tr r="AH265" s="2"/>
      </tp>
      <tp>
        <v>14</v>
        <stp/>
        <stp>##V3_BDPV12</stp>
        <stp>TSCO LN Equity</stp>
        <stp>TOT_BUY_REC</stp>
        <stp>[DPM - Securities Master List (BBG Linked).xlsx]Equities!R266C34</stp>
        <tr r="AH266" s="2"/>
      </tp>
      <tp>
        <v>14</v>
        <stp/>
        <stp>##V3_BDPV12</stp>
        <stp>TSCO LN Equity</stp>
        <stp>TOT_BUY_REC</stp>
        <stp>[DPM - Securities Master List (BBG Linked).xlsx]Equities!R267C34</stp>
        <tr r="AH267" s="2"/>
      </tp>
      <tp>
        <v>14</v>
        <stp/>
        <stp>##V3_BDPV12</stp>
        <stp>TSCO LN Equity</stp>
        <stp>TOT_BUY_REC</stp>
        <stp>[DPM - Securities Master List (BBG Linked).xlsx]Equities!R262C34</stp>
        <tr r="AH262" s="2"/>
      </tp>
      <tp>
        <v>14</v>
        <stp/>
        <stp>##V3_BDPV12</stp>
        <stp>TSCO LN Equity</stp>
        <stp>TOT_BUY_REC</stp>
        <stp>[DPM - Securities Master List (BBG Linked).xlsx]Equities!R263C34</stp>
        <tr r="AH263" s="2"/>
      </tp>
      <tp>
        <v>14</v>
        <stp/>
        <stp>##V3_BDPV12</stp>
        <stp>TSCO LN Equity</stp>
        <stp>TOT_BUY_REC</stp>
        <stp>[DPM - Securities Master List (BBG Linked).xlsx]Equities!R274C34</stp>
        <tr r="AH274" s="2"/>
      </tp>
      <tp>
        <v>14</v>
        <stp/>
        <stp>##V3_BDPV12</stp>
        <stp>TSCO LN Equity</stp>
        <stp>TOT_BUY_REC</stp>
        <stp>[DPM - Securities Master List (BBG Linked).xlsx]Equities!R275C34</stp>
        <tr r="AH275" s="2"/>
      </tp>
      <tp>
        <v>14</v>
        <stp/>
        <stp>##V3_BDPV12</stp>
        <stp>TSCO LN Equity</stp>
        <stp>TOT_BUY_REC</stp>
        <stp>[DPM - Securities Master List (BBG Linked).xlsx]Equities!R270C34</stp>
        <tr r="AH270" s="2"/>
      </tp>
      <tp>
        <v>14</v>
        <stp/>
        <stp>##V3_BDPV12</stp>
        <stp>TSCO LN Equity</stp>
        <stp>TOT_BUY_REC</stp>
        <stp>[DPM - Securities Master List (BBG Linked).xlsx]Equities!R271C34</stp>
        <tr r="AH271" s="2"/>
      </tp>
      <tp>
        <v>14</v>
        <stp/>
        <stp>##V3_BDPV12</stp>
        <stp>TSCO LN Equity</stp>
        <stp>TOT_BUY_REC</stp>
        <stp>[DPM - Securities Master List (BBG Linked).xlsx]Equities!R272C34</stp>
        <tr r="AH272" s="2"/>
      </tp>
      <tp>
        <v>14</v>
        <stp/>
        <stp>##V3_BDPV12</stp>
        <stp>TSCO LN Equity</stp>
        <stp>TOT_BUY_REC</stp>
        <stp>[DPM - Securities Master List (BBG Linked).xlsx]Equities!R273C34</stp>
        <tr r="AH273" s="2"/>
      </tp>
      <tp>
        <v>0.12902</v>
        <stp/>
        <stp>##V3_BDPV12</stp>
        <stp>HKDUSD CURNCY</stp>
        <stp>PX_LAST</stp>
        <stp>[DPM - Securities Master List (BBG Linked).xlsx]Equities!R20C18</stp>
        <tr r="R20" s="2"/>
      </tp>
      <tp>
        <v>0.12902</v>
        <stp/>
        <stp>##V3_BDPV12</stp>
        <stp>HKDUSD CURNCY</stp>
        <stp>PX_LAST</stp>
        <stp>[DPM - Securities Master List (BBG Linked).xlsx]Equities!R21C18</stp>
        <tr r="R21" s="2"/>
      </tp>
      <tp>
        <v>0.12902</v>
        <stp/>
        <stp>##V3_BDPV12</stp>
        <stp>HKDUSD CURNCY</stp>
        <stp>PX_LAST</stp>
        <stp>[DPM - Securities Master List (BBG Linked).xlsx]Equities!R22C18</stp>
        <tr r="R22" s="2"/>
      </tp>
      <tp>
        <v>0.12902</v>
        <stp/>
        <stp>##V3_BDPV12</stp>
        <stp>HKDUSD CURNCY</stp>
        <stp>PX_LAST</stp>
        <stp>[DPM - Securities Master List (BBG Linked).xlsx]Equities!R23C18</stp>
        <tr r="R23" s="2"/>
      </tp>
      <tp>
        <v>0.12902</v>
        <stp/>
        <stp>##V3_BDPV12</stp>
        <stp>HKDUSD CURNCY</stp>
        <stp>PX_LAST</stp>
        <stp>[DPM - Securities Master List (BBG Linked).xlsx]Equities!R24C18</stp>
        <tr r="R24" s="2"/>
      </tp>
      <tp>
        <v>0.12902</v>
        <stp/>
        <stp>##V3_BDPV12</stp>
        <stp>HKDUSD CURNCY</stp>
        <stp>PX_LAST</stp>
        <stp>[DPM - Securities Master List (BBG Linked).xlsx]Equities!R25C18</stp>
        <tr r="R25" s="2"/>
      </tp>
      <tp>
        <v>0.12902</v>
        <stp/>
        <stp>##V3_BDPV12</stp>
        <stp>HKDUSD CURNCY</stp>
        <stp>PX_LAST</stp>
        <stp>[DPM - Securities Master List (BBG Linked).xlsx]Equities!R26C18</stp>
        <tr r="R26" s="2"/>
      </tp>
      <tp>
        <v>0.12902</v>
        <stp/>
        <stp>##V3_BDPV12</stp>
        <stp>HKDUSD CURNCY</stp>
        <stp>PX_LAST</stp>
        <stp>[DPM - Securities Master List (BBG Linked).xlsx]Equities!R27C18</stp>
        <tr r="R27" s="2"/>
      </tp>
      <tp>
        <v>0.12902</v>
        <stp/>
        <stp>##V3_BDPV12</stp>
        <stp>HKDUSD CURNCY</stp>
        <stp>PX_LAST</stp>
        <stp>[DPM - Securities Master List (BBG Linked).xlsx]Equities!R20C19</stp>
        <tr r="S20" s="2"/>
      </tp>
      <tp>
        <v>0.12902</v>
        <stp/>
        <stp>##V3_BDPV12</stp>
        <stp>HKDUSD CURNCY</stp>
        <stp>PX_LAST</stp>
        <stp>[DPM - Securities Master List (BBG Linked).xlsx]Equities!R21C19</stp>
        <tr r="S21" s="2"/>
      </tp>
      <tp>
        <v>0.12902</v>
        <stp/>
        <stp>##V3_BDPV12</stp>
        <stp>HKDUSD CURNCY</stp>
        <stp>PX_LAST</stp>
        <stp>[DPM - Securities Master List (BBG Linked).xlsx]Equities!R22C19</stp>
        <tr r="S22" s="2"/>
      </tp>
      <tp>
        <v>0.12902</v>
        <stp/>
        <stp>##V3_BDPV12</stp>
        <stp>HKDUSD CURNCY</stp>
        <stp>PX_LAST</stp>
        <stp>[DPM - Securities Master List (BBG Linked).xlsx]Equities!R23C19</stp>
        <tr r="S23" s="2"/>
      </tp>
      <tp>
        <v>0.12902</v>
        <stp/>
        <stp>##V3_BDPV12</stp>
        <stp>HKDUSD CURNCY</stp>
        <stp>PX_LAST</stp>
        <stp>[DPM - Securities Master List (BBG Linked).xlsx]Equities!R24C19</stp>
        <tr r="S24" s="2"/>
      </tp>
      <tp>
        <v>0.12902</v>
        <stp/>
        <stp>##V3_BDPV12</stp>
        <stp>HKDUSD CURNCY</stp>
        <stp>PX_LAST</stp>
        <stp>[DPM - Securities Master List (BBG Linked).xlsx]Equities!R25C19</stp>
        <tr r="S25" s="2"/>
      </tp>
      <tp>
        <v>0.12902</v>
        <stp/>
        <stp>##V3_BDPV12</stp>
        <stp>HKDUSD CURNCY</stp>
        <stp>PX_LAST</stp>
        <stp>[DPM - Securities Master List (BBG Linked).xlsx]Equities!R26C19</stp>
        <tr r="S26" s="2"/>
      </tp>
      <tp>
        <v>0.12902</v>
        <stp/>
        <stp>##V3_BDPV12</stp>
        <stp>HKDUSD CURNCY</stp>
        <stp>PX_LAST</stp>
        <stp>[DPM - Securities Master List (BBG Linked).xlsx]Equities!R27C19</stp>
        <tr r="S27" s="2"/>
      </tp>
      <tp>
        <v>0.12902</v>
        <stp/>
        <stp>##V3_BDPV12</stp>
        <stp>HKDUSD CURNCY</stp>
        <stp>PX_LAST</stp>
        <stp>[DPM - Securities Master List (BBG Linked).xlsx]Equities!R18C19</stp>
        <tr r="S18" s="2"/>
      </tp>
      <tp>
        <v>0.12902</v>
        <stp/>
        <stp>##V3_BDPV12</stp>
        <stp>HKDUSD CURNCY</stp>
        <stp>PX_LAST</stp>
        <stp>[DPM - Securities Master List (BBG Linked).xlsx]Equities!R19C19</stp>
        <tr r="S19" s="2"/>
      </tp>
      <tp>
        <v>0.12902</v>
        <stp/>
        <stp>##V3_BDPV12</stp>
        <stp>HKDUSD CURNCY</stp>
        <stp>PX_LAST</stp>
        <stp>[DPM - Securities Master List (BBG Linked).xlsx]Equities!R10C19</stp>
        <tr r="S10" s="2"/>
      </tp>
      <tp>
        <v>0.12902</v>
        <stp/>
        <stp>##V3_BDPV12</stp>
        <stp>HKDUSD CURNCY</stp>
        <stp>PX_LAST</stp>
        <stp>[DPM - Securities Master List (BBG Linked).xlsx]Equities!R11C19</stp>
        <tr r="S11" s="2"/>
      </tp>
      <tp>
        <v>0.12902</v>
        <stp/>
        <stp>##V3_BDPV12</stp>
        <stp>HKDUSD CURNCY</stp>
        <stp>PX_LAST</stp>
        <stp>[DPM - Securities Master List (BBG Linked).xlsx]Equities!R12C19</stp>
        <tr r="S12" s="2"/>
      </tp>
      <tp>
        <v>0.12902</v>
        <stp/>
        <stp>##V3_BDPV12</stp>
        <stp>HKDUSD CURNCY</stp>
        <stp>PX_LAST</stp>
        <stp>[DPM - Securities Master List (BBG Linked).xlsx]Equities!R13C19</stp>
        <tr r="S13" s="2"/>
      </tp>
      <tp>
        <v>0.12902</v>
        <stp/>
        <stp>##V3_BDPV12</stp>
        <stp>HKDUSD CURNCY</stp>
        <stp>PX_LAST</stp>
        <stp>[DPM - Securities Master List (BBG Linked).xlsx]Equities!R14C19</stp>
        <tr r="S14" s="2"/>
      </tp>
      <tp>
        <v>0.12902</v>
        <stp/>
        <stp>##V3_BDPV12</stp>
        <stp>HKDUSD CURNCY</stp>
        <stp>PX_LAST</stp>
        <stp>[DPM - Securities Master List (BBG Linked).xlsx]Equities!R15C19</stp>
        <tr r="S15" s="2"/>
      </tp>
      <tp>
        <v>0.12902</v>
        <stp/>
        <stp>##V3_BDPV12</stp>
        <stp>HKDUSD CURNCY</stp>
        <stp>PX_LAST</stp>
        <stp>[DPM - Securities Master List (BBG Linked).xlsx]Equities!R16C19</stp>
        <tr r="S16" s="2"/>
      </tp>
      <tp>
        <v>0.12902</v>
        <stp/>
        <stp>##V3_BDPV12</stp>
        <stp>HKDUSD CURNCY</stp>
        <stp>PX_LAST</stp>
        <stp>[DPM - Securities Master List (BBG Linked).xlsx]Equities!R17C19</stp>
        <tr r="S17" s="2"/>
      </tp>
      <tp>
        <v>0.12902</v>
        <stp/>
        <stp>##V3_BDPV12</stp>
        <stp>HKDUSD CURNCY</stp>
        <stp>PX_LAST</stp>
        <stp>[DPM - Securities Master List (BBG Linked).xlsx]Equities!R18C18</stp>
        <tr r="R18" s="2"/>
      </tp>
      <tp>
        <v>0.12902</v>
        <stp/>
        <stp>##V3_BDPV12</stp>
        <stp>HKDUSD CURNCY</stp>
        <stp>PX_LAST</stp>
        <stp>[DPM - Securities Master List (BBG Linked).xlsx]Equities!R19C18</stp>
        <tr r="R19" s="2"/>
      </tp>
      <tp>
        <v>0.12902</v>
        <stp/>
        <stp>##V3_BDPV12</stp>
        <stp>HKDUSD CURNCY</stp>
        <stp>PX_LAST</stp>
        <stp>[DPM - Securities Master List (BBG Linked).xlsx]Equities!R10C18</stp>
        <tr r="R10" s="2"/>
      </tp>
      <tp>
        <v>0.12902</v>
        <stp/>
        <stp>##V3_BDPV12</stp>
        <stp>HKDUSD CURNCY</stp>
        <stp>PX_LAST</stp>
        <stp>[DPM - Securities Master List (BBG Linked).xlsx]Equities!R11C18</stp>
        <tr r="R11" s="2"/>
      </tp>
      <tp>
        <v>0.12902</v>
        <stp/>
        <stp>##V3_BDPV12</stp>
        <stp>HKDUSD CURNCY</stp>
        <stp>PX_LAST</stp>
        <stp>[DPM - Securities Master List (BBG Linked).xlsx]Equities!R12C18</stp>
        <tr r="R12" s="2"/>
      </tp>
      <tp>
        <v>0.12902</v>
        <stp/>
        <stp>##V3_BDPV12</stp>
        <stp>HKDUSD CURNCY</stp>
        <stp>PX_LAST</stp>
        <stp>[DPM - Securities Master List (BBG Linked).xlsx]Equities!R13C18</stp>
        <tr r="R13" s="2"/>
      </tp>
      <tp>
        <v>0.12902</v>
        <stp/>
        <stp>##V3_BDPV12</stp>
        <stp>HKDUSD CURNCY</stp>
        <stp>PX_LAST</stp>
        <stp>[DPM - Securities Master List (BBG Linked).xlsx]Equities!R14C18</stp>
        <tr r="R14" s="2"/>
      </tp>
      <tp>
        <v>0.12902</v>
        <stp/>
        <stp>##V3_BDPV12</stp>
        <stp>HKDUSD CURNCY</stp>
        <stp>PX_LAST</stp>
        <stp>[DPM - Securities Master List (BBG Linked).xlsx]Equities!R15C18</stp>
        <tr r="R15" s="2"/>
      </tp>
      <tp>
        <v>0.12902</v>
        <stp/>
        <stp>##V3_BDPV12</stp>
        <stp>HKDUSD CURNCY</stp>
        <stp>PX_LAST</stp>
        <stp>[DPM - Securities Master List (BBG Linked).xlsx]Equities!R16C18</stp>
        <tr r="R16" s="2"/>
      </tp>
      <tp>
        <v>0.12902</v>
        <stp/>
        <stp>##V3_BDPV12</stp>
        <stp>HKDUSD CURNCY</stp>
        <stp>PX_LAST</stp>
        <stp>[DPM - Securities Master List (BBG Linked).xlsx]Equities!R17C18</stp>
        <tr r="R17" s="2"/>
      </tp>
      <tp t="s">
        <v>#N/A Invalid Override</v>
        <stp/>
        <stp>##V3_BDPV12</stp>
        <stp>US53944YBB83 isin</stp>
        <stp>YAS_BOND_YLD</stp>
        <stp>[DPM - Securities Master List (BBG Linked).xlsx]Bonds!R46C10</stp>
        <stp>YAS_YLD_FLAG=15</stp>
        <stp>user_local_trade_date</stp>
        <stp>45783</stp>
        <stp>Yas_bond_px</stp>
        <stp>#N/A Connection</stp>
        <tr r="J46" s="1"/>
      </tp>
      <tp t="s">
        <v>#N/A Invalid Field</v>
        <stp/>
        <stp>##V3_BDPV12</stp>
        <stp>TTE FP Equity</stp>
        <stp/>
        <stp>[DPM - Securities Master List (BBG Linked).xlsx]Equities!R288C29</stp>
        <tr r="AC288" s="2"/>
        <tr r="AC288" s="2"/>
      </tp>
      <tp t="s">
        <v>#N/A Invalid Field</v>
        <stp/>
        <stp>##V3_BDPV12</stp>
        <stp>TTE FP Equity</stp>
        <stp/>
        <stp>[DPM - Securities Master List (BBG Linked).xlsx]Equities!R284C29</stp>
        <tr r="AC284" s="2"/>
        <tr r="AC284" s="2"/>
      </tp>
      <tp t="s">
        <v>#N/A Invalid Field</v>
        <stp/>
        <stp>##V3_BDPV12</stp>
        <stp>TTE FP Equity</stp>
        <stp/>
        <stp>[DPM - Securities Master List (BBG Linked).xlsx]Equities!R285C29</stp>
        <tr r="AC285" s="2"/>
        <tr r="AC285" s="2"/>
      </tp>
      <tp t="s">
        <v>#N/A Invalid Field</v>
        <stp/>
        <stp>##V3_BDPV12</stp>
        <stp>TTE FP Equity</stp>
        <stp/>
        <stp>[DPM - Securities Master List (BBG Linked).xlsx]Equities!R286C29</stp>
        <tr r="AC286" s="2"/>
        <tr r="AC286" s="2"/>
      </tp>
      <tp t="s">
        <v>#N/A Invalid Field</v>
        <stp/>
        <stp>##V3_BDPV12</stp>
        <stp>TTE FP Equity</stp>
        <stp/>
        <stp>[DPM - Securities Master List (BBG Linked).xlsx]Equities!R287C29</stp>
        <tr r="AC287" s="2"/>
        <tr r="AC287" s="2"/>
      </tp>
      <tp t="s">
        <v>#N/A Invalid Field</v>
        <stp/>
        <stp>##V3_BDPV12</stp>
        <stp>TTE FP Equity</stp>
        <stp/>
        <stp>[DPM - Securities Master List (BBG Linked).xlsx]Equities!R280C29</stp>
        <tr r="AC280" s="2"/>
        <tr r="AC280" s="2"/>
      </tp>
      <tp t="s">
        <v>#N/A Invalid Field</v>
        <stp/>
        <stp>##V3_BDPV12</stp>
        <stp>TTE FP Equity</stp>
        <stp/>
        <stp>[DPM - Securities Master List (BBG Linked).xlsx]Equities!R281C29</stp>
        <tr r="AC281" s="2"/>
        <tr r="AC281" s="2"/>
      </tp>
      <tp t="s">
        <v>#N/A Invalid Field</v>
        <stp/>
        <stp>##V3_BDPV12</stp>
        <stp>TTE FP Equity</stp>
        <stp/>
        <stp>[DPM - Securities Master List (BBG Linked).xlsx]Equities!R282C29</stp>
        <tr r="AC282" s="2"/>
        <tr r="AC282" s="2"/>
      </tp>
      <tp t="s">
        <v>#N/A Invalid Field</v>
        <stp/>
        <stp>##V3_BDPV12</stp>
        <stp>TTE FP Equity</stp>
        <stp/>
        <stp>[DPM - Securities Master List (BBG Linked).xlsx]Equities!R283C29</stp>
        <tr r="AC283" s="2"/>
        <tr r="AC283" s="2"/>
      </tp>
      <tp t="s">
        <v>#N/A Invalid Field</v>
        <stp/>
        <stp>##V3_BDPV12</stp>
        <stp>TTE FP Equity</stp>
        <stp/>
        <stp>[DPM - Securities Master List (BBG Linked).xlsx]Equities!R278C29</stp>
        <tr r="AC278" s="2"/>
        <tr r="AC278" s="2"/>
      </tp>
      <tp t="s">
        <v>#N/A Invalid Field</v>
        <stp/>
        <stp>##V3_BDPV12</stp>
        <stp>TTE FP Equity</stp>
        <stp/>
        <stp>[DPM - Securities Master List (BBG Linked).xlsx]Equities!R279C29</stp>
        <tr r="AC279" s="2"/>
        <tr r="AC279" s="2"/>
      </tp>
      <tp t="s">
        <v>#N/A Invalid Field</v>
        <stp/>
        <stp>##V3_BDPV12</stp>
        <stp>TTE FP Equity</stp>
        <stp/>
        <stp>[DPM - Securities Master List (BBG Linked).xlsx]Equities!R276C29</stp>
        <tr r="AC276" s="2"/>
        <tr r="AC276" s="2"/>
      </tp>
      <tp t="s">
        <v>#N/A Invalid Field</v>
        <stp/>
        <stp>##V3_BDPV12</stp>
        <stp>TTE FP Equity</stp>
        <stp/>
        <stp>[DPM - Securities Master List (BBG Linked).xlsx]Equities!R277C29</stp>
        <tr r="AC277" s="2"/>
        <tr r="AC277" s="2"/>
      </tp>
      <tp>
        <v>4.8148150444030762</v>
        <stp/>
        <stp>##V3_BDPV12</stp>
        <stp>2020 HK Equity</stp>
        <stp>EE201</stp>
        <stp>[DPM - Securities Master List (BBG Linked).xlsx]Equities!R3C37</stp>
        <tr r="AK3" s="2"/>
        <tr r="AK3" s="2"/>
        <tr r="AK3" s="2"/>
      </tp>
      <tp>
        <v>4.8148150444030762</v>
        <stp/>
        <stp>##V3_BDPV12</stp>
        <stp>2020 HK Equity</stp>
        <stp>EE201</stp>
        <stp>[DPM - Securities Master List (BBG Linked).xlsx]Equities!R6C37</stp>
        <tr r="AK6" s="2"/>
        <tr r="AK6" s="2"/>
        <tr r="AK6" s="2"/>
      </tp>
      <tp>
        <v>4.8148150444030762</v>
        <stp/>
        <stp>##V3_BDPV12</stp>
        <stp>2020 HK Equity</stp>
        <stp>EE201</stp>
        <stp>[DPM - Securities Master List (BBG Linked).xlsx]Equities!R5C37</stp>
        <tr r="AK5" s="2"/>
        <tr r="AK5" s="2"/>
        <tr r="AK5" s="2"/>
      </tp>
      <tp>
        <v>4.8148150444030762</v>
        <stp/>
        <stp>##V3_BDPV12</stp>
        <stp>2020 HK Equity</stp>
        <stp>EE201</stp>
        <stp>[DPM - Securities Master List (BBG Linked).xlsx]Equities!R4C37</stp>
        <tr r="AK4" s="2"/>
        <tr r="AK4" s="2"/>
        <tr r="AK4" s="2"/>
      </tp>
      <tp>
        <v>15.785948217387208</v>
        <stp/>
        <stp>##V3_BDPV12</stp>
        <stp>2020 HK Equity</stp>
        <stp>EE010</stp>
        <stp>[DPM - Securities Master List (BBG Linked).xlsx]Equities!R3C12</stp>
        <tr r="L3" s="2"/>
        <tr r="L3" s="2"/>
        <tr r="L3" s="2"/>
      </tp>
      <tp>
        <v>15.785948217387208</v>
        <stp/>
        <stp>##V3_BDPV12</stp>
        <stp>2020 HK Equity</stp>
        <stp>EE010</stp>
        <stp>[DPM - Securities Master List (BBG Linked).xlsx]Equities!R6C12</stp>
        <tr r="L6" s="2"/>
        <tr r="L6" s="2"/>
        <tr r="L6" s="2"/>
      </tp>
      <tp>
        <v>15.785948217387208</v>
        <stp/>
        <stp>##V3_BDPV12</stp>
        <stp>2020 HK Equity</stp>
        <stp>EE010</stp>
        <stp>[DPM - Securities Master List (BBG Linked).xlsx]Equities!R4C12</stp>
        <tr r="L4" s="2"/>
        <tr r="L4" s="2"/>
        <tr r="L4" s="2"/>
      </tp>
      <tp>
        <v>15.785948217387208</v>
        <stp/>
        <stp>##V3_BDPV12</stp>
        <stp>2020 HK Equity</stp>
        <stp>EE010</stp>
        <stp>[DPM - Securities Master List (BBG Linked).xlsx]Equities!R5C12</stp>
        <tr r="L5" s="2"/>
        <tr r="L5" s="2"/>
        <tr r="L5" s="2"/>
      </tp>
      <tp t="s">
        <v>KYG596691041</v>
        <stp/>
        <stp>##V3_BDPV12</stp>
        <stp>3690 HK Equity</stp>
        <stp>ID005</stp>
        <stp>[DPM - Securities Master List (BBG Linked).xlsx]Equities!R7C55</stp>
        <tr r="BC7" s="2"/>
      </tp>
      <tp t="s">
        <v>KYG596691041</v>
        <stp/>
        <stp>##V3_BDPV12</stp>
        <stp>3690 HK Equity</stp>
        <stp>ID005</stp>
        <stp>[DPM - Securities Master List (BBG Linked).xlsx]Equities!R9C55</stp>
        <tr r="BC9" s="2"/>
      </tp>
      <tp t="s">
        <v>KYG596691041</v>
        <stp/>
        <stp>##V3_BDPV12</stp>
        <stp>3690 HK Equity</stp>
        <stp>ID005</stp>
        <stp>[DPM - Securities Master List (BBG Linked).xlsx]Equities!R8C55</stp>
        <tr r="BC8" s="2"/>
      </tp>
    </main>
    <main first="bofaddin.rtdserver">
      <tp t="e">
        <v>#N/A</v>
        <stp/>
        <stp>BDP|653907054213739294</stp>
        <tr r="H94" s="1"/>
        <tr r="H94" s="1"/>
        <tr r="H151" s="1"/>
        <tr r="H151" s="1"/>
        <tr r="H123" s="1"/>
        <tr r="H123" s="1"/>
        <tr r="H101" s="1"/>
        <tr r="H101" s="1"/>
      </tp>
    </main>
    <main first="bloomberg.rtd">
      <tp t="s">
        <v>Adobe Inc</v>
        <stp/>
        <stp>##V3_BDPV12</stp>
        <stp>ADBE US Equity</stp>
        <stp>SECURITY NAME</stp>
        <stp>[DPM - Securities Master List (BBG Linked).xlsx]Equities!R47C5</stp>
        <tr r="E47" s="2"/>
      </tp>
      <tp t="s">
        <v>Adobe Inc</v>
        <stp/>
        <stp>##V3_BDPV12</stp>
        <stp>ADBE US Equity</stp>
        <stp>SECURITY NAME</stp>
        <stp>[DPM - Securities Master List (BBG Linked).xlsx]Equities!R37C5</stp>
        <tr r="E37" s="2"/>
      </tp>
      <tp t="s">
        <v>Dell Technologies Inc</v>
        <stp/>
        <stp>##V3_BDPV12</stp>
        <stp>DELL US Equity</stp>
        <stp>SECURITY NAME</stp>
        <stp>[DPM - Securities Master List (BBG Linked).xlsx]Equities!R92C5</stp>
        <tr r="E92" s="2"/>
      </tp>
    </main>
    <main first="bofaddin.rtdserver">
      <tp t="e">
        <v>#N/A</v>
        <stp/>
        <stp>BDP|155307768439716100</stp>
        <tr r="I8" s="1"/>
        <tr r="I106" s="1"/>
      </tp>
    </main>
    <main first="bofaddin.rtdserver">
      <tp t="e">
        <v>#N/A</v>
        <stp/>
        <stp>BDP|247875457572845215</stp>
        <tr r="AT141" s="3"/>
        <tr r="AT141" s="3"/>
        <tr r="AT141" s="3"/>
        <tr r="AT140" s="3"/>
        <tr r="AT140" s="3"/>
        <tr r="AT140" s="3"/>
        <tr r="AT139" s="3"/>
        <tr r="AT139" s="3"/>
        <tr r="AT139" s="3"/>
        <tr r="AT138" s="3"/>
        <tr r="AT138" s="3"/>
        <tr r="AT138" s="3"/>
        <tr r="AT137" s="3"/>
        <tr r="AT137" s="3"/>
        <tr r="AT137" s="3"/>
        <tr r="AT136" s="3"/>
        <tr r="AT136" s="3"/>
        <tr r="AT136" s="3"/>
        <tr r="AT135" s="3"/>
        <tr r="AT135" s="3"/>
        <tr r="AT135" s="3"/>
        <tr r="AT134" s="3"/>
        <tr r="AT134" s="3"/>
        <tr r="AT134" s="3"/>
        <tr r="AT133" s="3"/>
        <tr r="AT133" s="3"/>
        <tr r="AT133" s="3"/>
        <tr r="AT132" s="3"/>
        <tr r="AT132" s="3"/>
        <tr r="AT132" s="3"/>
        <tr r="AT131" s="3"/>
        <tr r="AT131" s="3"/>
        <tr r="AT131" s="3"/>
        <tr r="AT130" s="3"/>
        <tr r="AT130" s="3"/>
        <tr r="AT130" s="3"/>
      </tp>
      <tp t="e">
        <v>#N/A</v>
        <stp/>
        <stp>BDP|454584719101619872</stp>
        <tr r="K111" s="3"/>
        <tr r="K110" s="3"/>
        <tr r="K109" s="3"/>
        <tr r="K108" s="3"/>
        <tr r="K107" s="3"/>
        <tr r="K106" s="3"/>
        <tr r="K105" s="3"/>
        <tr r="K104" s="3"/>
      </tp>
    </main>
    <main first="bloomberg.rtd">
      <tp t="s">
        <v>BioMarin Pharmaceutical Inc</v>
        <stp/>
        <stp>##V3_BDPV12</stp>
        <stp>BMRN US Equity</stp>
        <stp>SECURITY NAME</stp>
        <stp>[DPM - Securities Master List (BBG Linked).xlsx]Equities!R74C5</stp>
        <tr r="E74" s="2"/>
      </tp>
      <tp t="s">
        <v>BioMarin Pharmaceutical Inc</v>
        <stp/>
        <stp>##V3_BDPV12</stp>
        <stp>BMRN US Equity</stp>
        <stp>SECURITY NAME</stp>
        <stp>[DPM - Securities Master List (BBG Linked).xlsx]Equities!R64C5</stp>
        <tr r="E64" s="2"/>
      </tp>
    </main>
    <main first="bofaddin.rtdserver">
      <tp t="e">
        <v>#N/A</v>
        <stp/>
        <stp>BDP|758044675772978882</stp>
        <tr r="M64" s="1"/>
        <tr r="M64" s="1"/>
      </tp>
    </main>
    <main first="bloomberg.rtd">
      <tp>
        <v>525.99</v>
        <stp/>
        <stp>##V3_BDPV12</stp>
        <stp>REGN US Equity</stp>
        <stp>hs002</stp>
        <stp>[DPM - Securities Master List (BBG Linked).xlsx]Equities!R241C45</stp>
        <tr r="AS241" s="2"/>
      </tp>
    </main>
    <main first="bloomberg.rtd">
      <tp>
        <v>1211.2</v>
        <stp/>
        <stp>##V3_BDPV12</stp>
        <stp>REGN US Equity</stp>
        <stp>hs001</stp>
        <stp>[DPM - Securities Master List (BBG Linked).xlsx]Equities!R241C44</stp>
        <tr r="AR241" s="2"/>
      </tp>
    </main>
    <main first="bofaddin.rtdserver">
      <tp t="e">
        <v>#N/A</v>
        <stp/>
        <stp>BDP|404293956602816818</stp>
        <tr r="H96" s="1"/>
        <tr r="H96" s="1"/>
        <tr r="H77" s="1"/>
        <tr r="H77" s="1"/>
        <tr r="H65" s="1"/>
        <tr r="H65" s="1"/>
        <tr r="H36" s="1"/>
        <tr r="H36" s="1"/>
        <tr r="H27" s="1"/>
        <tr r="H27" s="1"/>
        <tr r="H162" s="1"/>
        <tr r="H162" s="1"/>
      </tp>
      <tp t="e">
        <v>#N/A</v>
        <stp/>
        <stp>BDP|547988132691427680</stp>
        <tr r="Y54" s="1"/>
      </tp>
      <tp t="e">
        <v>#N/A</v>
        <stp/>
        <stp>BDP|346620456687099942</stp>
        <tr r="Q126" s="1"/>
      </tp>
    </main>
    <main first="bloomberg.rtd">
      <tp t="s">
        <v>GBp</v>
        <stp/>
        <stp>##V3_BDPV12</stp>
        <stp>BP/ LN Equity</stp>
        <stp>CRNCY</stp>
        <stp>[DPM - Securities Master List (BBG Linked).xlsx]Equities!R85C6</stp>
        <tr r="F85" s="2"/>
      </tp>
      <tp t="s">
        <v>GBp</v>
        <stp/>
        <stp>##V3_BDPV12</stp>
        <stp>ABF LN Equity</stp>
        <stp>CRNCY</stp>
        <stp>[DPM - Securities Master List (BBG Linked).xlsx]Equities!R35C6</stp>
        <tr r="F35" s="2"/>
      </tp>
      <tp t="s">
        <v>GBp</v>
        <stp/>
        <stp>##V3_BDPV12</stp>
        <stp>AZN LN Equity</stp>
        <stp>CRNCY</stp>
        <stp>[DPM - Securities Master List (BBG Linked).xlsx]Equities!R55C6</stp>
        <tr r="F55" s="2"/>
      </tp>
      <tp t="s">
        <v>Health Care</v>
        <stp/>
        <stp>##V3_BDPV12</stp>
        <stp>REGN US Equity</stp>
        <stp>DX202</stp>
        <stp>[DPM - Securities Master List (BBG Linked).xlsx]Equities!R241C46</stp>
        <tr r="AT241" s="2"/>
        <tr r="AT241" s="2"/>
        <tr r="AT241" s="2"/>
      </tp>
      <tp>
        <v>4.4285712242126465</v>
        <stp/>
        <stp>##V3_BDPV12</stp>
        <stp>REGN US Equity</stp>
        <stp>EE201</stp>
        <stp>[DPM - Securities Master List (BBG Linked).xlsx]Equities!R241C37</stp>
        <tr r="AK241" s="2"/>
        <tr r="AK241" s="2"/>
        <tr r="AK241" s="2"/>
      </tp>
      <tp>
        <v>164108.31000000003</v>
        <stp/>
        <stp>##V3_BDPV12</stp>
        <stp>ADBE US Equity</stp>
        <stp>CRNCY_ADJ_MKT_CAP</stp>
        <stp>[DPM - Securities Master List (BBG Linked).xlsx]Equities!R49C9</stp>
        <stp>EQY_FUND_CRNCY=USD</stp>
        <tr r="I49" s="2"/>
      </tp>
      <tp>
        <v>164108.31000000003</v>
        <stp/>
        <stp>##V3_BDPV12</stp>
        <stp>ADBE US Equity</stp>
        <stp>CRNCY_ADJ_MKT_CAP</stp>
        <stp>[DPM - Securities Master List (BBG Linked).xlsx]Equities!R44C9</stp>
        <stp>EQY_FUND_CRNCY=USD</stp>
        <tr r="I44" s="2"/>
      </tp>
      <tp>
        <v>164108.31000000003</v>
        <stp/>
        <stp>##V3_BDPV12</stp>
        <stp>ADBE US Equity</stp>
        <stp>CRNCY_ADJ_MKT_CAP</stp>
        <stp>[DPM - Securities Master List (BBG Linked).xlsx]Equities!R45C9</stp>
        <stp>EQY_FUND_CRNCY=USD</stp>
        <tr r="I45" s="2"/>
      </tp>
      <tp t="s">
        <v>US75886F1075</v>
        <stp/>
        <stp>##V3_BDPV12</stp>
        <stp>REGN US Equity</stp>
        <stp>ID005</stp>
        <stp>[DPM - Securities Master List (BBG Linked).xlsx]Equities!R241C55</stp>
        <tr r="BC241" s="2"/>
      </tp>
      <tp>
        <v>164108.31000000003</v>
        <stp/>
        <stp>##V3_BDPV12</stp>
        <stp>ADBE US Equity</stp>
        <stp>CRNCY_ADJ_MKT_CAP</stp>
        <stp>[DPM - Securities Master List (BBG Linked).xlsx]Equities!R46C9</stp>
        <stp>EQY_FUND_CRNCY=USD</stp>
        <tr r="I46" s="2"/>
      </tp>
      <tp>
        <v>164108.31000000003</v>
        <stp/>
        <stp>##V3_BDPV12</stp>
        <stp>ADBE US Equity</stp>
        <stp>CRNCY_ADJ_MKT_CAP</stp>
        <stp>[DPM - Securities Master List (BBG Linked).xlsx]Equities!R47C9</stp>
        <stp>EQY_FUND_CRNCY=USD</stp>
        <tr r="I47" s="2"/>
      </tp>
      <tp>
        <v>164108.31000000003</v>
        <stp/>
        <stp>##V3_BDPV12</stp>
        <stp>ADBE US Equity</stp>
        <stp>CRNCY_ADJ_MKT_CAP</stp>
        <stp>[DPM - Securities Master List (BBG Linked).xlsx]Equities!R40C9</stp>
        <stp>EQY_FUND_CRNCY=USD</stp>
        <tr r="I40" s="2"/>
      </tp>
      <tp>
        <v>164108.31000000003</v>
        <stp/>
        <stp>##V3_BDPV12</stp>
        <stp>ADBE US Equity</stp>
        <stp>CRNCY_ADJ_MKT_CAP</stp>
        <stp>[DPM - Securities Master List (BBG Linked).xlsx]Equities!R41C9</stp>
        <stp>EQY_FUND_CRNCY=USD</stp>
        <tr r="I41" s="2"/>
      </tp>
      <tp>
        <v>164108.31000000003</v>
        <stp/>
        <stp>##V3_BDPV12</stp>
        <stp>ADBE US Equity</stp>
        <stp>CRNCY_ADJ_MKT_CAP</stp>
        <stp>[DPM - Securities Master List (BBG Linked).xlsx]Equities!R42C9</stp>
        <stp>EQY_FUND_CRNCY=USD</stp>
        <tr r="I42" s="2"/>
      </tp>
      <tp>
        <v>164108.31000000003</v>
        <stp/>
        <stp>##V3_BDPV12</stp>
        <stp>ADBE US Equity</stp>
        <stp>CRNCY_ADJ_MKT_CAP</stp>
        <stp>[DPM - Securities Master List (BBG Linked).xlsx]Equities!R43C9</stp>
        <stp>EQY_FUND_CRNCY=USD</stp>
        <tr r="I43" s="2"/>
      </tp>
      <tp>
        <v>15.278277130552674</v>
        <stp/>
        <stp>##V3_BDPV12</stp>
        <stp>REGN US Equity</stp>
        <stp>RR900</stp>
        <stp>[DPM - Securities Master List (BBG Linked).xlsx]Equities!R241C11</stp>
        <tr r="K241" s="2"/>
        <tr r="K241" s="2"/>
        <tr r="K241" s="2"/>
      </tp>
      <tp>
        <v>2.1352191650845884</v>
        <stp/>
        <stp>##V3_BDPV12</stp>
        <stp>REGN US Equity</stp>
        <stp>RR903</stp>
        <stp>[DPM - Securities Master List (BBG Linked).xlsx]Equities!R241C13</stp>
        <tr r="M241" s="2"/>
        <tr r="M241" s="2"/>
        <tr r="M241" s="2"/>
      </tp>
      <tp>
        <v>15.780521580696458</v>
        <stp/>
        <stp>##V3_BDPV12</stp>
        <stp>REGN US Equity</stp>
        <stp>RR908</stp>
        <stp>[DPM - Securities Master List (BBG Linked).xlsx]Equities!R241C32</stp>
        <tr r="AF241" s="2"/>
        <tr r="AF241" s="2"/>
        <tr r="AF241" s="2"/>
      </tp>
      <tp>
        <v>0.76263982111106465</v>
        <stp/>
        <stp>##V3_BDPV12</stp>
        <stp>MSFT US Equity</stp>
        <stp>DV013</stp>
        <stp>[DPM - Securities Master List (BBG Linked).xlsx]Equities!R182C10</stp>
        <tr r="J182" s="2"/>
      </tp>
      <tp>
        <v>0.76263982111106465</v>
        <stp/>
        <stp>##V3_BDPV12</stp>
        <stp>MSFT US Equity</stp>
        <stp>DV013</stp>
        <stp>[DPM - Securities Master List (BBG Linked).xlsx]Equities!R183C10</stp>
        <tr r="J183" s="2"/>
      </tp>
      <tp>
        <v>0.76263982111106465</v>
        <stp/>
        <stp>##V3_BDPV12</stp>
        <stp>MSFT US Equity</stp>
        <stp>DV013</stp>
        <stp>[DPM - Securities Master List (BBG Linked).xlsx]Equities!R180C10</stp>
        <tr r="J180" s="2"/>
      </tp>
      <tp>
        <v>0.76263982111106465</v>
        <stp/>
        <stp>##V3_BDPV12</stp>
        <stp>MSFT US Equity</stp>
        <stp>DV013</stp>
        <stp>[DPM - Securities Master List (BBG Linked).xlsx]Equities!R181C10</stp>
        <tr r="J181" s="2"/>
      </tp>
      <tp>
        <v>0.76263982111106465</v>
        <stp/>
        <stp>##V3_BDPV12</stp>
        <stp>MSFT US Equity</stp>
        <stp>DV013</stp>
        <stp>[DPM - Securities Master List (BBG Linked).xlsx]Equities!R186C10</stp>
        <tr r="J186" s="2"/>
      </tp>
      <tp>
        <v>0.76263982111106465</v>
        <stp/>
        <stp>##V3_BDPV12</stp>
        <stp>MSFT US Equity</stp>
        <stp>DV013</stp>
        <stp>[DPM - Securities Master List (BBG Linked).xlsx]Equities!R187C10</stp>
        <tr r="J187" s="2"/>
      </tp>
      <tp>
        <v>0.76263982111106465</v>
        <stp/>
        <stp>##V3_BDPV12</stp>
        <stp>MSFT US Equity</stp>
        <stp>DV013</stp>
        <stp>[DPM - Securities Master List (BBG Linked).xlsx]Equities!R184C10</stp>
        <tr r="J184" s="2"/>
      </tp>
      <tp>
        <v>0.76263982111106465</v>
        <stp/>
        <stp>##V3_BDPV12</stp>
        <stp>MSFT US Equity</stp>
        <stp>DV013</stp>
        <stp>[DPM - Securities Master List (BBG Linked).xlsx]Equities!R185C10</stp>
        <tr r="J185" s="2"/>
      </tp>
      <tp>
        <v>0.76263982111106465</v>
        <stp/>
        <stp>##V3_BDPV12</stp>
        <stp>MSFT US Equity</stp>
        <stp>DV013</stp>
        <stp>[DPM - Securities Master List (BBG Linked).xlsx]Equities!R188C10</stp>
        <tr r="J188" s="2"/>
      </tp>
      <tp>
        <v>0.76263982111106465</v>
        <stp/>
        <stp>##V3_BDPV12</stp>
        <stp>MSFT US Equity</stp>
        <stp>DV013</stp>
        <stp>[DPM - Securities Master List (BBG Linked).xlsx]Equities!R172C10</stp>
        <tr r="J172" s="2"/>
      </tp>
      <tp>
        <v>0.76263982111106465</v>
        <stp/>
        <stp>##V3_BDPV12</stp>
        <stp>MSFT US Equity</stp>
        <stp>DV013</stp>
        <stp>[DPM - Securities Master List (BBG Linked).xlsx]Equities!R173C10</stp>
        <tr r="J173" s="2"/>
      </tp>
      <tp>
        <v>0.76263982111106465</v>
        <stp/>
        <stp>##V3_BDPV12</stp>
        <stp>MSFT US Equity</stp>
        <stp>DV013</stp>
        <stp>[DPM - Securities Master List (BBG Linked).xlsx]Equities!R170C10</stp>
        <tr r="J170" s="2"/>
      </tp>
      <tp>
        <v>0.76263982111106465</v>
        <stp/>
        <stp>##V3_BDPV12</stp>
        <stp>MSFT US Equity</stp>
        <stp>DV013</stp>
        <stp>[DPM - Securities Master List (BBG Linked).xlsx]Equities!R171C10</stp>
        <tr r="J171" s="2"/>
      </tp>
      <tp>
        <v>0.76263982111106465</v>
        <stp/>
        <stp>##V3_BDPV12</stp>
        <stp>MSFT US Equity</stp>
        <stp>DV013</stp>
        <stp>[DPM - Securities Master List (BBG Linked).xlsx]Equities!R176C10</stp>
        <tr r="J176" s="2"/>
      </tp>
      <tp>
        <v>0.76263982111106465</v>
        <stp/>
        <stp>##V3_BDPV12</stp>
        <stp>MSFT US Equity</stp>
        <stp>DV013</stp>
        <stp>[DPM - Securities Master List (BBG Linked).xlsx]Equities!R177C10</stp>
        <tr r="J177" s="2"/>
      </tp>
      <tp>
        <v>0.76263982111106465</v>
        <stp/>
        <stp>##V3_BDPV12</stp>
        <stp>MSFT US Equity</stp>
        <stp>DV013</stp>
        <stp>[DPM - Securities Master List (BBG Linked).xlsx]Equities!R174C10</stp>
        <tr r="J174" s="2"/>
      </tp>
      <tp>
        <v>0.76263982111106465</v>
        <stp/>
        <stp>##V3_BDPV12</stp>
        <stp>MSFT US Equity</stp>
        <stp>DV013</stp>
        <stp>[DPM - Securities Master List (BBG Linked).xlsx]Equities!R175C10</stp>
        <tr r="J175" s="2"/>
      </tp>
      <tp>
        <v>0.76263982111106465</v>
        <stp/>
        <stp>##V3_BDPV12</stp>
        <stp>MSFT US Equity</stp>
        <stp>DV013</stp>
        <stp>[DPM - Securities Master List (BBG Linked).xlsx]Equities!R178C10</stp>
        <tr r="J178" s="2"/>
      </tp>
      <tp>
        <v>0.76263982111106465</v>
        <stp/>
        <stp>##V3_BDPV12</stp>
        <stp>MSFT US Equity</stp>
        <stp>DV013</stp>
        <stp>[DPM - Securities Master List (BBG Linked).xlsx]Equities!R179C10</stp>
        <tr r="J179" s="2"/>
      </tp>
      <tp>
        <v>28.691998418138674</v>
        <stp/>
        <stp>##V3_BDPV12</stp>
        <stp>MSFT US Equity</stp>
        <stp>EE010</stp>
        <stp>[DPM - Securities Master List (BBG Linked).xlsx]Equities!R182C12</stp>
        <tr r="L182" s="2"/>
        <tr r="L182" s="2"/>
        <tr r="L182" s="2"/>
      </tp>
      <tp>
        <v>28.691998418138674</v>
        <stp/>
        <stp>##V3_BDPV12</stp>
        <stp>MSFT US Equity</stp>
        <stp>EE010</stp>
        <stp>[DPM - Securities Master List (BBG Linked).xlsx]Equities!R183C12</stp>
        <tr r="L183" s="2"/>
        <tr r="L183" s="2"/>
        <tr r="L183" s="2"/>
      </tp>
      <tp>
        <v>28.691998418138674</v>
        <stp/>
        <stp>##V3_BDPV12</stp>
        <stp>MSFT US Equity</stp>
        <stp>EE010</stp>
        <stp>[DPM - Securities Master List (BBG Linked).xlsx]Equities!R180C12</stp>
        <tr r="L180" s="2"/>
        <tr r="L180" s="2"/>
        <tr r="L180" s="2"/>
      </tp>
      <tp>
        <v>28.691998418138674</v>
        <stp/>
        <stp>##V3_BDPV12</stp>
        <stp>MSFT US Equity</stp>
        <stp>EE010</stp>
        <stp>[DPM - Securities Master List (BBG Linked).xlsx]Equities!R181C12</stp>
        <tr r="L181" s="2"/>
        <tr r="L181" s="2"/>
        <tr r="L181" s="2"/>
      </tp>
      <tp>
        <v>28.691998418138674</v>
        <stp/>
        <stp>##V3_BDPV12</stp>
        <stp>MSFT US Equity</stp>
        <stp>EE010</stp>
        <stp>[DPM - Securities Master List (BBG Linked).xlsx]Equities!R186C12</stp>
        <tr r="L186" s="2"/>
        <tr r="L186" s="2"/>
        <tr r="L186" s="2"/>
      </tp>
      <tp>
        <v>28.691998418138674</v>
        <stp/>
        <stp>##V3_BDPV12</stp>
        <stp>MSFT US Equity</stp>
        <stp>EE010</stp>
        <stp>[DPM - Securities Master List (BBG Linked).xlsx]Equities!R187C12</stp>
        <tr r="L187" s="2"/>
        <tr r="L187" s="2"/>
        <tr r="L187" s="2"/>
      </tp>
      <tp>
        <v>28.691998418138674</v>
        <stp/>
        <stp>##V3_BDPV12</stp>
        <stp>MSFT US Equity</stp>
        <stp>EE010</stp>
        <stp>[DPM - Securities Master List (BBG Linked).xlsx]Equities!R184C12</stp>
        <tr r="L184" s="2"/>
        <tr r="L184" s="2"/>
        <tr r="L184" s="2"/>
      </tp>
      <tp>
        <v>28.691998418138674</v>
        <stp/>
        <stp>##V3_BDPV12</stp>
        <stp>MSFT US Equity</stp>
        <stp>EE010</stp>
        <stp>[DPM - Securities Master List (BBG Linked).xlsx]Equities!R185C12</stp>
        <tr r="L185" s="2"/>
        <tr r="L185" s="2"/>
        <tr r="L185" s="2"/>
      </tp>
      <tp>
        <v>28.691998418138674</v>
        <stp/>
        <stp>##V3_BDPV12</stp>
        <stp>MSFT US Equity</stp>
        <stp>EE010</stp>
        <stp>[DPM - Securities Master List (BBG Linked).xlsx]Equities!R188C12</stp>
        <tr r="L188" s="2"/>
        <tr r="L188" s="2"/>
        <tr r="L188" s="2"/>
      </tp>
      <tp>
        <v>28.691998418138674</v>
        <stp/>
        <stp>##V3_BDPV12</stp>
        <stp>MSFT US Equity</stp>
        <stp>EE010</stp>
        <stp>[DPM - Securities Master List (BBG Linked).xlsx]Equities!R172C12</stp>
        <tr r="L172" s="2"/>
        <tr r="L172" s="2"/>
        <tr r="L172" s="2"/>
      </tp>
      <tp>
        <v>28.691998418138674</v>
        <stp/>
        <stp>##V3_BDPV12</stp>
        <stp>MSFT US Equity</stp>
        <stp>EE010</stp>
        <stp>[DPM - Securities Master List (BBG Linked).xlsx]Equities!R173C12</stp>
        <tr r="L173" s="2"/>
        <tr r="L173" s="2"/>
        <tr r="L173" s="2"/>
      </tp>
      <tp>
        <v>28.691998418138674</v>
        <stp/>
        <stp>##V3_BDPV12</stp>
        <stp>MSFT US Equity</stp>
        <stp>EE010</stp>
        <stp>[DPM - Securities Master List (BBG Linked).xlsx]Equities!R170C12</stp>
        <tr r="L170" s="2"/>
        <tr r="L170" s="2"/>
        <tr r="L170" s="2"/>
      </tp>
      <tp>
        <v>28.691998418138674</v>
        <stp/>
        <stp>##V3_BDPV12</stp>
        <stp>MSFT US Equity</stp>
        <stp>EE010</stp>
        <stp>[DPM - Securities Master List (BBG Linked).xlsx]Equities!R171C12</stp>
        <tr r="L171" s="2"/>
        <tr r="L171" s="2"/>
        <tr r="L171" s="2"/>
      </tp>
      <tp>
        <v>28.691998418138674</v>
        <stp/>
        <stp>##V3_BDPV12</stp>
        <stp>MSFT US Equity</stp>
        <stp>EE010</stp>
        <stp>[DPM - Securities Master List (BBG Linked).xlsx]Equities!R176C12</stp>
        <tr r="L176" s="2"/>
        <tr r="L176" s="2"/>
        <tr r="L176" s="2"/>
      </tp>
      <tp>
        <v>28.691998418138674</v>
        <stp/>
        <stp>##V3_BDPV12</stp>
        <stp>MSFT US Equity</stp>
        <stp>EE010</stp>
        <stp>[DPM - Securities Master List (BBG Linked).xlsx]Equities!R177C12</stp>
        <tr r="L177" s="2"/>
        <tr r="L177" s="2"/>
        <tr r="L177" s="2"/>
      </tp>
      <tp>
        <v>28.691998418138674</v>
        <stp/>
        <stp>##V3_BDPV12</stp>
        <stp>MSFT US Equity</stp>
        <stp>EE010</stp>
        <stp>[DPM - Securities Master List (BBG Linked).xlsx]Equities!R174C12</stp>
        <tr r="L174" s="2"/>
        <tr r="L174" s="2"/>
        <tr r="L174" s="2"/>
      </tp>
      <tp>
        <v>28.691998418138674</v>
        <stp/>
        <stp>##V3_BDPV12</stp>
        <stp>MSFT US Equity</stp>
        <stp>EE010</stp>
        <stp>[DPM - Securities Master List (BBG Linked).xlsx]Equities!R175C12</stp>
        <tr r="L175" s="2"/>
        <tr r="L175" s="2"/>
        <tr r="L175" s="2"/>
      </tp>
      <tp>
        <v>28.691998418138674</v>
        <stp/>
        <stp>##V3_BDPV12</stp>
        <stp>MSFT US Equity</stp>
        <stp>EE010</stp>
        <stp>[DPM - Securities Master List (BBG Linked).xlsx]Equities!R178C12</stp>
        <tr r="L178" s="2"/>
        <tr r="L178" s="2"/>
        <tr r="L178" s="2"/>
      </tp>
      <tp>
        <v>28.691998418138674</v>
        <stp/>
        <stp>##V3_BDPV12</stp>
        <stp>MSFT US Equity</stp>
        <stp>EE010</stp>
        <stp>[DPM - Securities Master List (BBG Linked).xlsx]Equities!R179C12</stp>
        <tr r="L179" s="2"/>
        <tr r="L179" s="2"/>
        <tr r="L179" s="2"/>
      </tp>
      <tp t="s">
        <v>KYG040111059</v>
        <stp/>
        <stp>##V3_BDPV12</stp>
        <stp>2020 HK Equity</stp>
        <stp>ID005</stp>
        <stp>[DPM - Securities Master List (BBG Linked).xlsx]Equities!R3C55</stp>
        <tr r="BC3" s="2"/>
      </tp>
      <tp t="s">
        <v>KYG040111059</v>
        <stp/>
        <stp>##V3_BDPV12</stp>
        <stp>2020 HK Equity</stp>
        <stp>ID005</stp>
        <stp>[DPM - Securities Master List (BBG Linked).xlsx]Equities!R6C55</stp>
        <tr r="BC6" s="2"/>
      </tp>
      <tp t="s">
        <v>KYG040111059</v>
        <stp/>
        <stp>##V3_BDPV12</stp>
        <stp>2020 HK Equity</stp>
        <stp>ID005</stp>
        <stp>[DPM - Securities Master List (BBG Linked).xlsx]Equities!R5C55</stp>
        <tr r="BC5" s="2"/>
      </tp>
      <tp t="s">
        <v>KYG040111059</v>
        <stp/>
        <stp>##V3_BDPV12</stp>
        <stp>2020 HK Equity</stp>
        <stp>ID005</stp>
        <stp>[DPM - Securities Master List (BBG Linked).xlsx]Equities!R4C55</stp>
        <tr r="BC4" s="2"/>
      </tp>
      <tp>
        <v>4.7580647468566895</v>
        <stp/>
        <stp>##V3_BDPV12</stp>
        <stp>3690 HK Equity</stp>
        <stp>EE201</stp>
        <stp>[DPM - Securities Master List (BBG Linked).xlsx]Equities!R9C37</stp>
        <tr r="AK9" s="2"/>
        <tr r="AK9" s="2"/>
        <tr r="AK9" s="2"/>
      </tp>
      <tp>
        <v>4.7580647468566895</v>
        <stp/>
        <stp>##V3_BDPV12</stp>
        <stp>3690 HK Equity</stp>
        <stp>EE201</stp>
        <stp>[DPM - Securities Master List (BBG Linked).xlsx]Equities!R8C37</stp>
        <tr r="AK8" s="2"/>
        <tr r="AK8" s="2"/>
        <tr r="AK8" s="2"/>
      </tp>
      <tp>
        <v>4.7580647468566895</v>
        <stp/>
        <stp>##V3_BDPV12</stp>
        <stp>3690 HK Equity</stp>
        <stp>EE201</stp>
        <stp>[DPM - Securities Master List (BBG Linked).xlsx]Equities!R7C37</stp>
        <tr r="AK7" s="2"/>
        <tr r="AK7" s="2"/>
        <tr r="AK7" s="2"/>
      </tp>
      <tp>
        <v>12.709319007605902</v>
        <stp/>
        <stp>##V3_BDPV12</stp>
        <stp>3690 HK Equity</stp>
        <stp>EE010</stp>
        <stp>[DPM - Securities Master List (BBG Linked).xlsx]Equities!R8C12</stp>
        <tr r="L8" s="2"/>
        <tr r="L8" s="2"/>
        <tr r="L8" s="2"/>
      </tp>
      <tp>
        <v>12.709319007605902</v>
        <stp/>
        <stp>##V3_BDPV12</stp>
        <stp>3690 HK Equity</stp>
        <stp>EE010</stp>
        <stp>[DPM - Securities Master List (BBG Linked).xlsx]Equities!R9C12</stp>
        <tr r="L9" s="2"/>
        <tr r="L9" s="2"/>
        <tr r="L9" s="2"/>
      </tp>
      <tp>
        <v>12.709319007605902</v>
        <stp/>
        <stp>##V3_BDPV12</stp>
        <stp>3690 HK Equity</stp>
        <stp>EE010</stp>
        <stp>[DPM - Securities Master List (BBG Linked).xlsx]Equities!R7C12</stp>
        <tr r="L7" s="2"/>
        <tr r="L7" s="2"/>
        <tr r="L7" s="2"/>
      </tp>
      <tp t="s">
        <v>Adobe Inc</v>
        <stp/>
        <stp>##V3_BDPV12</stp>
        <stp>ADBE US Equity</stp>
        <stp>SECURITY NAME</stp>
        <stp>[DPM - Securities Master List (BBG Linked).xlsx]Equities!R46C5</stp>
        <tr r="E46" s="2"/>
      </tp>
      <tp t="s">
        <v>Adobe Inc</v>
        <stp/>
        <stp>##V3_BDPV12</stp>
        <stp>ADBE US Equity</stp>
        <stp>SECURITY NAME</stp>
        <stp>[DPM - Securities Master List (BBG Linked).xlsx]Equities!R36C5</stp>
        <tr r="E36" s="2"/>
      </tp>
      <tp t="s">
        <v>Dell Technologies Inc</v>
        <stp/>
        <stp>##V3_BDPV12</stp>
        <stp>DELL US Equity</stp>
        <stp>SECURITY NAME</stp>
        <stp>[DPM - Securities Master List (BBG Linked).xlsx]Equities!R93C5</stp>
        <tr r="E93" s="2"/>
      </tp>
    </main>
    <main first="bofaddin.rtdserver">
      <tp t="e">
        <v>#N/A</v>
        <stp/>
        <stp>BDP|540552508248074119</stp>
        <tr r="K91" s="1"/>
        <tr r="K76" s="1"/>
        <tr r="K55" s="1"/>
        <tr r="K48" s="1"/>
        <tr r="K26" s="1"/>
        <tr r="K157" s="1"/>
        <tr r="K142" s="1"/>
        <tr r="K132" s="1"/>
        <tr r="K120" s="1"/>
        <tr r="K100" s="1"/>
      </tp>
      <tp t="e">
        <v>#N/A</v>
        <stp/>
        <stp>BDP|169653310062829957</stp>
        <tr r="M50" s="3"/>
        <tr r="M50" s="3"/>
        <tr r="M50" s="3"/>
        <tr r="M49" s="3"/>
        <tr r="M49" s="3"/>
        <tr r="M49" s="3"/>
        <tr r="M48" s="3"/>
        <tr r="M48" s="3"/>
        <tr r="M48" s="3"/>
        <tr r="M47" s="3"/>
        <tr r="M47" s="3"/>
        <tr r="M47" s="3"/>
        <tr r="M46" s="3"/>
        <tr r="M46" s="3"/>
        <tr r="M46" s="3"/>
        <tr r="M45" s="3"/>
        <tr r="M45" s="3"/>
        <tr r="M45" s="3"/>
        <tr r="M44" s="3"/>
        <tr r="M44" s="3"/>
        <tr r="M44" s="3"/>
        <tr r="M43" s="3"/>
        <tr r="M43" s="3"/>
        <tr r="M43" s="3"/>
        <tr r="M42" s="3"/>
        <tr r="M42" s="3"/>
        <tr r="M42" s="3"/>
        <tr r="M41" s="3"/>
        <tr r="M41" s="3"/>
        <tr r="M41" s="3"/>
        <tr r="M40" s="3"/>
        <tr r="M40" s="3"/>
        <tr r="M40" s="3"/>
        <tr r="M39" s="3"/>
        <tr r="M39" s="3"/>
        <tr r="M39" s="3"/>
        <tr r="M38" s="3"/>
        <tr r="M38" s="3"/>
        <tr r="M38" s="3"/>
        <tr r="M37" s="3"/>
        <tr r="M37" s="3"/>
        <tr r="M37" s="3"/>
        <tr r="M36" s="3"/>
        <tr r="M36" s="3"/>
        <tr r="M36" s="3"/>
        <tr r="M35" s="3"/>
        <tr r="M35" s="3"/>
        <tr r="M35" s="3"/>
      </tp>
      <tp t="e">
        <v>#N/A</v>
        <stp/>
        <stp>BDP|640033554170698925</stp>
        <tr r="AP115" s="3"/>
        <tr r="AP115" s="3"/>
        <tr r="AP115" s="3"/>
      </tp>
    </main>
    <main first="bloomberg.rtd">
      <tp t="s">
        <v>BioMarin Pharmaceutical Inc</v>
        <stp/>
        <stp>##V3_BDPV12</stp>
        <stp>BMRN US Equity</stp>
        <stp>SECURITY NAME</stp>
        <stp>[DPM - Securities Master List (BBG Linked).xlsx]Equities!R75C5</stp>
        <tr r="E75" s="2"/>
      </tp>
      <tp t="s">
        <v>BioMarin Pharmaceutical Inc</v>
        <stp/>
        <stp>##V3_BDPV12</stp>
        <stp>BMRN US Equity</stp>
        <stp>SECURITY NAME</stp>
        <stp>[DPM - Securities Master List (BBG Linked).xlsx]Equities!R65C5</stp>
        <tr r="E65" s="2"/>
      </tp>
    </main>
    <main first="bofaddin.rtdserver">
      <tp t="e">
        <v>#N/A</v>
        <stp/>
        <stp>BDP|338731984444537717</stp>
        <tr r="Z107" s="1"/>
      </tp>
      <tp t="e">
        <v>#N/A</v>
        <stp/>
        <stp>BDP|619405431968640307</stp>
        <tr r="X68" s="1"/>
        <tr r="X31" s="1"/>
      </tp>
      <tp t="e">
        <v>#N/A</v>
        <stp/>
        <stp>BDP|606906233413176556</stp>
        <tr r="AK18" s="1"/>
        <tr r="AK18" s="1"/>
        <tr r="AK18" s="1"/>
      </tp>
    </main>
    <main first="bloomberg.rtd">
      <tp>
        <v>344.79</v>
        <stp/>
        <stp>##V3_BDPV12</stp>
        <stp>MSFT US Equity</stp>
        <stp>hs002</stp>
        <stp>[DPM - Securities Master List (BBG Linked).xlsx]Equities!R182C45</stp>
        <tr r="AS182" s="2"/>
      </tp>
      <tp>
        <v>344.79</v>
        <stp/>
        <stp>##V3_BDPV12</stp>
        <stp>MSFT US Equity</stp>
        <stp>hs002</stp>
        <stp>[DPM - Securities Master List (BBG Linked).xlsx]Equities!R183C45</stp>
        <tr r="AS183" s="2"/>
      </tp>
      <tp>
        <v>344.79</v>
        <stp/>
        <stp>##V3_BDPV12</stp>
        <stp>MSFT US Equity</stp>
        <stp>hs002</stp>
        <stp>[DPM - Securities Master List (BBG Linked).xlsx]Equities!R180C45</stp>
        <tr r="AS180" s="2"/>
      </tp>
      <tp>
        <v>344.79</v>
        <stp/>
        <stp>##V3_BDPV12</stp>
        <stp>MSFT US Equity</stp>
        <stp>hs002</stp>
        <stp>[DPM - Securities Master List (BBG Linked).xlsx]Equities!R181C45</stp>
        <tr r="AS181" s="2"/>
      </tp>
      <tp>
        <v>344.79</v>
        <stp/>
        <stp>##V3_BDPV12</stp>
        <stp>MSFT US Equity</stp>
        <stp>hs002</stp>
        <stp>[DPM - Securities Master List (BBG Linked).xlsx]Equities!R186C45</stp>
        <tr r="AS186" s="2"/>
      </tp>
      <tp>
        <v>344.79</v>
        <stp/>
        <stp>##V3_BDPV12</stp>
        <stp>MSFT US Equity</stp>
        <stp>hs002</stp>
        <stp>[DPM - Securities Master List (BBG Linked).xlsx]Equities!R187C45</stp>
        <tr r="AS187" s="2"/>
      </tp>
      <tp>
        <v>344.79</v>
        <stp/>
        <stp>##V3_BDPV12</stp>
        <stp>MSFT US Equity</stp>
        <stp>hs002</stp>
        <stp>[DPM - Securities Master List (BBG Linked).xlsx]Equities!R184C45</stp>
        <tr r="AS184" s="2"/>
      </tp>
      <tp>
        <v>344.79</v>
        <stp/>
        <stp>##V3_BDPV12</stp>
        <stp>MSFT US Equity</stp>
        <stp>hs002</stp>
        <stp>[DPM - Securities Master List (BBG Linked).xlsx]Equities!R185C45</stp>
        <tr r="AS185" s="2"/>
      </tp>
      <tp>
        <v>344.79</v>
        <stp/>
        <stp>##V3_BDPV12</stp>
        <stp>MSFT US Equity</stp>
        <stp>hs002</stp>
        <stp>[DPM - Securities Master List (BBG Linked).xlsx]Equities!R188C45</stp>
        <tr r="AS188" s="2"/>
      </tp>
      <tp>
        <v>344.79</v>
        <stp/>
        <stp>##V3_BDPV12</stp>
        <stp>MSFT US Equity</stp>
        <stp>hs002</stp>
        <stp>[DPM - Securities Master List (BBG Linked).xlsx]Equities!R172C45</stp>
        <tr r="AS172" s="2"/>
      </tp>
      <tp>
        <v>344.79</v>
        <stp/>
        <stp>##V3_BDPV12</stp>
        <stp>MSFT US Equity</stp>
        <stp>hs002</stp>
        <stp>[DPM - Securities Master List (BBG Linked).xlsx]Equities!R173C45</stp>
        <tr r="AS173" s="2"/>
      </tp>
      <tp>
        <v>344.79</v>
        <stp/>
        <stp>##V3_BDPV12</stp>
        <stp>MSFT US Equity</stp>
        <stp>hs002</stp>
        <stp>[DPM - Securities Master List (BBG Linked).xlsx]Equities!R170C45</stp>
        <tr r="AS170" s="2"/>
      </tp>
      <tp>
        <v>344.79</v>
        <stp/>
        <stp>##V3_BDPV12</stp>
        <stp>MSFT US Equity</stp>
        <stp>hs002</stp>
        <stp>[DPM - Securities Master List (BBG Linked).xlsx]Equities!R171C45</stp>
        <tr r="AS171" s="2"/>
      </tp>
      <tp>
        <v>344.79</v>
        <stp/>
        <stp>##V3_BDPV12</stp>
        <stp>MSFT US Equity</stp>
        <stp>hs002</stp>
        <stp>[DPM - Securities Master List (BBG Linked).xlsx]Equities!R176C45</stp>
        <tr r="AS176" s="2"/>
      </tp>
      <tp>
        <v>344.79</v>
        <stp/>
        <stp>##V3_BDPV12</stp>
        <stp>MSFT US Equity</stp>
        <stp>hs002</stp>
        <stp>[DPM - Securities Master List (BBG Linked).xlsx]Equities!R177C45</stp>
        <tr r="AS177" s="2"/>
      </tp>
      <tp>
        <v>344.79</v>
        <stp/>
        <stp>##V3_BDPV12</stp>
        <stp>MSFT US Equity</stp>
        <stp>hs002</stp>
        <stp>[DPM - Securities Master List (BBG Linked).xlsx]Equities!R174C45</stp>
        <tr r="AS174" s="2"/>
      </tp>
      <tp>
        <v>344.79</v>
        <stp/>
        <stp>##V3_BDPV12</stp>
        <stp>MSFT US Equity</stp>
        <stp>hs002</stp>
        <stp>[DPM - Securities Master List (BBG Linked).xlsx]Equities!R175C45</stp>
        <tr r="AS175" s="2"/>
      </tp>
      <tp>
        <v>344.79</v>
        <stp/>
        <stp>##V3_BDPV12</stp>
        <stp>MSFT US Equity</stp>
        <stp>hs002</stp>
        <stp>[DPM - Securities Master List (BBG Linked).xlsx]Equities!R178C45</stp>
        <tr r="AS178" s="2"/>
      </tp>
      <tp>
        <v>344.79</v>
        <stp/>
        <stp>##V3_BDPV12</stp>
        <stp>MSFT US Equity</stp>
        <stp>hs002</stp>
        <stp>[DPM - Securities Master List (BBG Linked).xlsx]Equities!R179C45</stp>
        <tr r="AS179" s="2"/>
      </tp>
      <tp t="s">
        <v>GBp</v>
        <stp/>
        <stp>##V3_BDPV12</stp>
        <stp>BP/ LN Equity</stp>
        <stp>CRNCY</stp>
        <stp>[DPM - Securities Master List (BBG Linked).xlsx]Equities!R84C6</stp>
        <tr r="F84" s="2"/>
      </tp>
      <tp t="s">
        <v>GBp</v>
        <stp/>
        <stp>##V3_BDPV12</stp>
        <stp>AZN LN Equity</stp>
        <stp>CRNCY</stp>
        <stp>[DPM - Securities Master List (BBG Linked).xlsx]Equities!R54C6</stp>
        <tr r="F54" s="2"/>
      </tp>
      <tp>
        <v>468.35</v>
        <stp/>
        <stp>##V3_BDPV12</stp>
        <stp>MSFT US Equity</stp>
        <stp>hs001</stp>
        <stp>[DPM - Securities Master List (BBG Linked).xlsx]Equities!R182C44</stp>
        <tr r="AR182" s="2"/>
      </tp>
      <tp>
        <v>468.35</v>
        <stp/>
        <stp>##V3_BDPV12</stp>
        <stp>MSFT US Equity</stp>
        <stp>hs001</stp>
        <stp>[DPM - Securities Master List (BBG Linked).xlsx]Equities!R183C44</stp>
        <tr r="AR183" s="2"/>
      </tp>
      <tp>
        <v>468.35</v>
        <stp/>
        <stp>##V3_BDPV12</stp>
        <stp>MSFT US Equity</stp>
        <stp>hs001</stp>
        <stp>[DPM - Securities Master List (BBG Linked).xlsx]Equities!R180C44</stp>
        <tr r="AR180" s="2"/>
      </tp>
      <tp>
        <v>468.35</v>
        <stp/>
        <stp>##V3_BDPV12</stp>
        <stp>MSFT US Equity</stp>
        <stp>hs001</stp>
        <stp>[DPM - Securities Master List (BBG Linked).xlsx]Equities!R181C44</stp>
        <tr r="AR181" s="2"/>
      </tp>
      <tp>
        <v>468.35</v>
        <stp/>
        <stp>##V3_BDPV12</stp>
        <stp>MSFT US Equity</stp>
        <stp>hs001</stp>
        <stp>[DPM - Securities Master List (BBG Linked).xlsx]Equities!R186C44</stp>
        <tr r="AR186" s="2"/>
      </tp>
      <tp>
        <v>468.35</v>
        <stp/>
        <stp>##V3_BDPV12</stp>
        <stp>MSFT US Equity</stp>
        <stp>hs001</stp>
        <stp>[DPM - Securities Master List (BBG Linked).xlsx]Equities!R187C44</stp>
        <tr r="AR187" s="2"/>
      </tp>
      <tp>
        <v>468.35</v>
        <stp/>
        <stp>##V3_BDPV12</stp>
        <stp>MSFT US Equity</stp>
        <stp>hs001</stp>
        <stp>[DPM - Securities Master List (BBG Linked).xlsx]Equities!R184C44</stp>
        <tr r="AR184" s="2"/>
      </tp>
      <tp>
        <v>468.35</v>
        <stp/>
        <stp>##V3_BDPV12</stp>
        <stp>MSFT US Equity</stp>
        <stp>hs001</stp>
        <stp>[DPM - Securities Master List (BBG Linked).xlsx]Equities!R185C44</stp>
        <tr r="AR185" s="2"/>
      </tp>
      <tp>
        <v>468.35</v>
        <stp/>
        <stp>##V3_BDPV12</stp>
        <stp>MSFT US Equity</stp>
        <stp>hs001</stp>
        <stp>[DPM - Securities Master List (BBG Linked).xlsx]Equities!R188C44</stp>
        <tr r="AR188" s="2"/>
      </tp>
      <tp>
        <v>468.35</v>
        <stp/>
        <stp>##V3_BDPV12</stp>
        <stp>MSFT US Equity</stp>
        <stp>hs001</stp>
        <stp>[DPM - Securities Master List (BBG Linked).xlsx]Equities!R172C44</stp>
        <tr r="AR172" s="2"/>
      </tp>
      <tp>
        <v>468.35</v>
        <stp/>
        <stp>##V3_BDPV12</stp>
        <stp>MSFT US Equity</stp>
        <stp>hs001</stp>
        <stp>[DPM - Securities Master List (BBG Linked).xlsx]Equities!R173C44</stp>
        <tr r="AR173" s="2"/>
      </tp>
      <tp>
        <v>468.35</v>
        <stp/>
        <stp>##V3_BDPV12</stp>
        <stp>MSFT US Equity</stp>
        <stp>hs001</stp>
        <stp>[DPM - Securities Master List (BBG Linked).xlsx]Equities!R170C44</stp>
        <tr r="AR170" s="2"/>
      </tp>
      <tp>
        <v>468.35</v>
        <stp/>
        <stp>##V3_BDPV12</stp>
        <stp>MSFT US Equity</stp>
        <stp>hs001</stp>
        <stp>[DPM - Securities Master List (BBG Linked).xlsx]Equities!R171C44</stp>
        <tr r="AR171" s="2"/>
      </tp>
      <tp>
        <v>468.35</v>
        <stp/>
        <stp>##V3_BDPV12</stp>
        <stp>MSFT US Equity</stp>
        <stp>hs001</stp>
        <stp>[DPM - Securities Master List (BBG Linked).xlsx]Equities!R176C44</stp>
        <tr r="AR176" s="2"/>
      </tp>
      <tp>
        <v>468.35</v>
        <stp/>
        <stp>##V3_BDPV12</stp>
        <stp>MSFT US Equity</stp>
        <stp>hs001</stp>
        <stp>[DPM - Securities Master List (BBG Linked).xlsx]Equities!R177C44</stp>
        <tr r="AR177" s="2"/>
      </tp>
      <tp>
        <v>468.35</v>
        <stp/>
        <stp>##V3_BDPV12</stp>
        <stp>MSFT US Equity</stp>
        <stp>hs001</stp>
        <stp>[DPM - Securities Master List (BBG Linked).xlsx]Equities!R174C44</stp>
        <tr r="AR174" s="2"/>
      </tp>
      <tp>
        <v>468.35</v>
        <stp/>
        <stp>##V3_BDPV12</stp>
        <stp>MSFT US Equity</stp>
        <stp>hs001</stp>
        <stp>[DPM - Securities Master List (BBG Linked).xlsx]Equities!R175C44</stp>
        <tr r="AR175" s="2"/>
      </tp>
      <tp>
        <v>468.35</v>
        <stp/>
        <stp>##V3_BDPV12</stp>
        <stp>MSFT US Equity</stp>
        <stp>hs001</stp>
        <stp>[DPM - Securities Master List (BBG Linked).xlsx]Equities!R178C44</stp>
        <tr r="AR178" s="2"/>
      </tp>
      <tp>
        <v>468.35</v>
        <stp/>
        <stp>##V3_BDPV12</stp>
        <stp>MSFT US Equity</stp>
        <stp>hs001</stp>
        <stp>[DPM - Securities Master List (BBG Linked).xlsx]Equities!R179C44</stp>
        <tr r="AR179" s="2"/>
      </tp>
      <tp t="s">
        <v>Equity</v>
        <stp/>
        <stp>##V3_BDPV12</stp>
        <stp>NVDA US Equity</stp>
        <stp>EX028</stp>
        <stp>[DPM - Securities Master List (BBG Linked).xlsx]Equities!R224C30</stp>
        <tr r="AD224" s="2"/>
        <tr r="AD224" s="2"/>
        <tr r="AD224" s="2"/>
      </tp>
      <tp>
        <v>24.757704935253638</v>
        <stp/>
        <stp>##V3_BDPV12</stp>
        <stp>MSFT US Equity</stp>
        <stp>RR908</stp>
        <stp>[DPM - Securities Master List (BBG Linked).xlsx]Equities!R188C32</stp>
        <tr r="AF188" s="2"/>
        <tr r="AF188" s="2"/>
        <tr r="AF188" s="2"/>
      </tp>
      <tp>
        <v>24.757704935253638</v>
        <stp/>
        <stp>##V3_BDPV12</stp>
        <stp>MSFT US Equity</stp>
        <stp>RR908</stp>
        <stp>[DPM - Securities Master List (BBG Linked).xlsx]Equities!R183C32</stp>
        <tr r="AF183" s="2"/>
        <tr r="AF183" s="2"/>
        <tr r="AF183" s="2"/>
      </tp>
      <tp>
        <v>24.757704935253638</v>
        <stp/>
        <stp>##V3_BDPV12</stp>
        <stp>MSFT US Equity</stp>
        <stp>RR908</stp>
        <stp>[DPM - Securities Master List (BBG Linked).xlsx]Equities!R182C32</stp>
        <tr r="AF182" s="2"/>
        <tr r="AF182" s="2"/>
        <tr r="AF182" s="2"/>
      </tp>
      <tp>
        <v>24.757704935253638</v>
        <stp/>
        <stp>##V3_BDPV12</stp>
        <stp>MSFT US Equity</stp>
        <stp>RR908</stp>
        <stp>[DPM - Securities Master List (BBG Linked).xlsx]Equities!R181C32</stp>
        <tr r="AF181" s="2"/>
        <tr r="AF181" s="2"/>
        <tr r="AF181" s="2"/>
      </tp>
      <tp>
        <v>24.757704935253638</v>
        <stp/>
        <stp>##V3_BDPV12</stp>
        <stp>MSFT US Equity</stp>
        <stp>RR908</stp>
        <stp>[DPM - Securities Master List (BBG Linked).xlsx]Equities!R180C32</stp>
        <tr r="AF180" s="2"/>
        <tr r="AF180" s="2"/>
        <tr r="AF180" s="2"/>
      </tp>
      <tp>
        <v>24.757704935253638</v>
        <stp/>
        <stp>##V3_BDPV12</stp>
        <stp>MSFT US Equity</stp>
        <stp>RR908</stp>
        <stp>[DPM - Securities Master List (BBG Linked).xlsx]Equities!R187C32</stp>
        <tr r="AF187" s="2"/>
        <tr r="AF187" s="2"/>
        <tr r="AF187" s="2"/>
      </tp>
      <tp>
        <v>24.757704935253638</v>
        <stp/>
        <stp>##V3_BDPV12</stp>
        <stp>MSFT US Equity</stp>
        <stp>RR908</stp>
        <stp>[DPM - Securities Master List (BBG Linked).xlsx]Equities!R186C32</stp>
        <tr r="AF186" s="2"/>
        <tr r="AF186" s="2"/>
        <tr r="AF186" s="2"/>
      </tp>
      <tp>
        <v>24.757704935253638</v>
        <stp/>
        <stp>##V3_BDPV12</stp>
        <stp>MSFT US Equity</stp>
        <stp>RR908</stp>
        <stp>[DPM - Securities Master List (BBG Linked).xlsx]Equities!R185C32</stp>
        <tr r="AF185" s="2"/>
        <tr r="AF185" s="2"/>
        <tr r="AF185" s="2"/>
      </tp>
      <tp>
        <v>24.757704935253638</v>
        <stp/>
        <stp>##V3_BDPV12</stp>
        <stp>MSFT US Equity</stp>
        <stp>RR908</stp>
        <stp>[DPM - Securities Master List (BBG Linked).xlsx]Equities!R184C32</stp>
        <tr r="AF184" s="2"/>
        <tr r="AF184" s="2"/>
        <tr r="AF184" s="2"/>
      </tp>
      <tp>
        <v>24.757704935253638</v>
        <stp/>
        <stp>##V3_BDPV12</stp>
        <stp>MSFT US Equity</stp>
        <stp>RR908</stp>
        <stp>[DPM - Securities Master List (BBG Linked).xlsx]Equities!R179C32</stp>
        <tr r="AF179" s="2"/>
        <tr r="AF179" s="2"/>
        <tr r="AF179" s="2"/>
      </tp>
      <tp>
        <v>24.757704935253638</v>
        <stp/>
        <stp>##V3_BDPV12</stp>
        <stp>MSFT US Equity</stp>
        <stp>RR908</stp>
        <stp>[DPM - Securities Master List (BBG Linked).xlsx]Equities!R178C32</stp>
        <tr r="AF178" s="2"/>
        <tr r="AF178" s="2"/>
        <tr r="AF178" s="2"/>
      </tp>
      <tp>
        <v>24.757704935253638</v>
        <stp/>
        <stp>##V3_BDPV12</stp>
        <stp>MSFT US Equity</stp>
        <stp>RR908</stp>
        <stp>[DPM - Securities Master List (BBG Linked).xlsx]Equities!R173C32</stp>
        <tr r="AF173" s="2"/>
        <tr r="AF173" s="2"/>
        <tr r="AF173" s="2"/>
      </tp>
      <tp>
        <v>24.757704935253638</v>
        <stp/>
        <stp>##V3_BDPV12</stp>
        <stp>MSFT US Equity</stp>
        <stp>RR908</stp>
        <stp>[DPM - Securities Master List (BBG Linked).xlsx]Equities!R172C32</stp>
        <tr r="AF172" s="2"/>
        <tr r="AF172" s="2"/>
        <tr r="AF172" s="2"/>
      </tp>
      <tp>
        <v>24.757704935253638</v>
        <stp/>
        <stp>##V3_BDPV12</stp>
        <stp>MSFT US Equity</stp>
        <stp>RR908</stp>
        <stp>[DPM - Securities Master List (BBG Linked).xlsx]Equities!R171C32</stp>
        <tr r="AF171" s="2"/>
        <tr r="AF171" s="2"/>
        <tr r="AF171" s="2"/>
      </tp>
      <tp>
        <v>24.757704935253638</v>
        <stp/>
        <stp>##V3_BDPV12</stp>
        <stp>MSFT US Equity</stp>
        <stp>RR908</stp>
        <stp>[DPM - Securities Master List (BBG Linked).xlsx]Equities!R170C32</stp>
        <tr r="AF170" s="2"/>
        <tr r="AF170" s="2"/>
        <tr r="AF170" s="2"/>
      </tp>
      <tp>
        <v>24.757704935253638</v>
        <stp/>
        <stp>##V3_BDPV12</stp>
        <stp>MSFT US Equity</stp>
        <stp>RR908</stp>
        <stp>[DPM - Securities Master List (BBG Linked).xlsx]Equities!R177C32</stp>
        <tr r="AF177" s="2"/>
        <tr r="AF177" s="2"/>
        <tr r="AF177" s="2"/>
      </tp>
      <tp>
        <v>24.757704935253638</v>
        <stp/>
        <stp>##V3_BDPV12</stp>
        <stp>MSFT US Equity</stp>
        <stp>RR908</stp>
        <stp>[DPM - Securities Master List (BBG Linked).xlsx]Equities!R176C32</stp>
        <tr r="AF176" s="2"/>
        <tr r="AF176" s="2"/>
        <tr r="AF176" s="2"/>
      </tp>
      <tp>
        <v>24.757704935253638</v>
        <stp/>
        <stp>##V3_BDPV12</stp>
        <stp>MSFT US Equity</stp>
        <stp>RR908</stp>
        <stp>[DPM - Securities Master List (BBG Linked).xlsx]Equities!R175C32</stp>
        <tr r="AF175" s="2"/>
        <tr r="AF175" s="2"/>
        <tr r="AF175" s="2"/>
      </tp>
      <tp>
        <v>24.757704935253638</v>
        <stp/>
        <stp>##V3_BDPV12</stp>
        <stp>MSFT US Equity</stp>
        <stp>RR908</stp>
        <stp>[DPM - Securities Master List (BBG Linked).xlsx]Equities!R174C32</stp>
        <tr r="AF174" s="2"/>
        <tr r="AF174" s="2"/>
        <tr r="AF174" s="2"/>
      </tp>
      <tp>
        <v>0.60696457032710804</v>
        <stp/>
        <stp>##V3_BDPV12</stp>
        <stp>REGN US Equity</stp>
        <stp>DV013</stp>
        <stp>[DPM - Securities Master List (BBG Linked).xlsx]Equities!R241C10</stp>
        <tr r="J241" s="2"/>
      </tp>
      <tp>
        <v>14.669272019021601</v>
        <stp/>
        <stp>##V3_BDPV12</stp>
        <stp>REGN US Equity</stp>
        <stp>EE010</stp>
        <stp>[DPM - Securities Master List (BBG Linked).xlsx]Equities!R241C12</stp>
        <tr r="L241" s="2"/>
        <tr r="L241" s="2"/>
        <tr r="L241" s="2"/>
      </tp>
      <tp t="s">
        <v>#N/A Invalid Field</v>
        <stp/>
        <stp>##V3_BDPV12</stp>
        <stp>SMSN.LI Equity</stp>
        <stp/>
        <stp>[DPM - Securities Master List (BBG Linked).xlsx]Equities!R243C29</stp>
        <tr r="AC243" s="2"/>
        <tr r="AC243" s="2"/>
      </tp>
      <tp>
        <v>33.552835298470619</v>
        <stp/>
        <stp>##V3_BDPV12</stp>
        <stp>MSFT US Equity</stp>
        <stp>RR900</stp>
        <stp>[DPM - Securities Master List (BBG Linked).xlsx]Equities!R188C11</stp>
        <tr r="K188" s="2"/>
        <tr r="K188" s="2"/>
        <tr r="K188" s="2"/>
      </tp>
      <tp>
        <v>33.552835298470619</v>
        <stp/>
        <stp>##V3_BDPV12</stp>
        <stp>MSFT US Equity</stp>
        <stp>RR900</stp>
        <stp>[DPM - Securities Master List (BBG Linked).xlsx]Equities!R183C11</stp>
        <tr r="K183" s="2"/>
        <tr r="K183" s="2"/>
        <tr r="K183" s="2"/>
      </tp>
      <tp>
        <v>33.552835298470619</v>
        <stp/>
        <stp>##V3_BDPV12</stp>
        <stp>MSFT US Equity</stp>
        <stp>RR900</stp>
        <stp>[DPM - Securities Master List (BBG Linked).xlsx]Equities!R182C11</stp>
        <tr r="K182" s="2"/>
        <tr r="K182" s="2"/>
        <tr r="K182" s="2"/>
      </tp>
      <tp>
        <v>33.552835298470619</v>
        <stp/>
        <stp>##V3_BDPV12</stp>
        <stp>MSFT US Equity</stp>
        <stp>RR900</stp>
        <stp>[DPM - Securities Master List (BBG Linked).xlsx]Equities!R181C11</stp>
        <tr r="K181" s="2"/>
        <tr r="K181" s="2"/>
        <tr r="K181" s="2"/>
      </tp>
      <tp>
        <v>33.552835298470619</v>
        <stp/>
        <stp>##V3_BDPV12</stp>
        <stp>MSFT US Equity</stp>
        <stp>RR900</stp>
        <stp>[DPM - Securities Master List (BBG Linked).xlsx]Equities!R180C11</stp>
        <tr r="K180" s="2"/>
        <tr r="K180" s="2"/>
        <tr r="K180" s="2"/>
      </tp>
      <tp>
        <v>33.552835298470619</v>
        <stp/>
        <stp>##V3_BDPV12</stp>
        <stp>MSFT US Equity</stp>
        <stp>RR900</stp>
        <stp>[DPM - Securities Master List (BBG Linked).xlsx]Equities!R187C11</stp>
        <tr r="K187" s="2"/>
        <tr r="K187" s="2"/>
        <tr r="K187" s="2"/>
      </tp>
      <tp>
        <v>33.552835298470619</v>
        <stp/>
        <stp>##V3_BDPV12</stp>
        <stp>MSFT US Equity</stp>
        <stp>RR900</stp>
        <stp>[DPM - Securities Master List (BBG Linked).xlsx]Equities!R186C11</stp>
        <tr r="K186" s="2"/>
        <tr r="K186" s="2"/>
        <tr r="K186" s="2"/>
      </tp>
      <tp>
        <v>33.552835298470619</v>
        <stp/>
        <stp>##V3_BDPV12</stp>
        <stp>MSFT US Equity</stp>
        <stp>RR900</stp>
        <stp>[DPM - Securities Master List (BBG Linked).xlsx]Equities!R185C11</stp>
        <tr r="K185" s="2"/>
        <tr r="K185" s="2"/>
        <tr r="K185" s="2"/>
      </tp>
      <tp>
        <v>33.552835298470619</v>
        <stp/>
        <stp>##V3_BDPV12</stp>
        <stp>MSFT US Equity</stp>
        <stp>RR900</stp>
        <stp>[DPM - Securities Master List (BBG Linked).xlsx]Equities!R184C11</stp>
        <tr r="K184" s="2"/>
        <tr r="K184" s="2"/>
        <tr r="K184" s="2"/>
      </tp>
      <tp>
        <v>33.552835298470619</v>
        <stp/>
        <stp>##V3_BDPV12</stp>
        <stp>MSFT US Equity</stp>
        <stp>RR900</stp>
        <stp>[DPM - Securities Master List (BBG Linked).xlsx]Equities!R179C11</stp>
        <tr r="K179" s="2"/>
        <tr r="K179" s="2"/>
        <tr r="K179" s="2"/>
      </tp>
      <tp>
        <v>33.552835298470619</v>
        <stp/>
        <stp>##V3_BDPV12</stp>
        <stp>MSFT US Equity</stp>
        <stp>RR900</stp>
        <stp>[DPM - Securities Master List (BBG Linked).xlsx]Equities!R178C11</stp>
        <tr r="K178" s="2"/>
        <tr r="K178" s="2"/>
        <tr r="K178" s="2"/>
      </tp>
      <tp>
        <v>33.552835298470619</v>
        <stp/>
        <stp>##V3_BDPV12</stp>
        <stp>MSFT US Equity</stp>
        <stp>RR900</stp>
        <stp>[DPM - Securities Master List (BBG Linked).xlsx]Equities!R173C11</stp>
        <tr r="K173" s="2"/>
        <tr r="K173" s="2"/>
        <tr r="K173" s="2"/>
      </tp>
      <tp>
        <v>33.552835298470619</v>
        <stp/>
        <stp>##V3_BDPV12</stp>
        <stp>MSFT US Equity</stp>
        <stp>RR900</stp>
        <stp>[DPM - Securities Master List (BBG Linked).xlsx]Equities!R172C11</stp>
        <tr r="K172" s="2"/>
        <tr r="K172" s="2"/>
        <tr r="K172" s="2"/>
      </tp>
      <tp>
        <v>33.552835298470619</v>
        <stp/>
        <stp>##V3_BDPV12</stp>
        <stp>MSFT US Equity</stp>
        <stp>RR900</stp>
        <stp>[DPM - Securities Master List (BBG Linked).xlsx]Equities!R171C11</stp>
        <tr r="K171" s="2"/>
        <tr r="K171" s="2"/>
        <tr r="K171" s="2"/>
      </tp>
      <tp>
        <v>33.552835298470619</v>
        <stp/>
        <stp>##V3_BDPV12</stp>
        <stp>MSFT US Equity</stp>
        <stp>RR900</stp>
        <stp>[DPM - Securities Master List (BBG Linked).xlsx]Equities!R170C11</stp>
        <tr r="K170" s="2"/>
        <tr r="K170" s="2"/>
        <tr r="K170" s="2"/>
      </tp>
      <tp>
        <v>33.552835298470619</v>
        <stp/>
        <stp>##V3_BDPV12</stp>
        <stp>MSFT US Equity</stp>
        <stp>RR900</stp>
        <stp>[DPM - Securities Master List (BBG Linked).xlsx]Equities!R177C11</stp>
        <tr r="K177" s="2"/>
        <tr r="K177" s="2"/>
        <tr r="K177" s="2"/>
      </tp>
      <tp>
        <v>33.552835298470619</v>
        <stp/>
        <stp>##V3_BDPV12</stp>
        <stp>MSFT US Equity</stp>
        <stp>RR900</stp>
        <stp>[DPM - Securities Master List (BBG Linked).xlsx]Equities!R176C11</stp>
        <tr r="K176" s="2"/>
        <tr r="K176" s="2"/>
        <tr r="K176" s="2"/>
      </tp>
      <tp>
        <v>33.552835298470619</v>
        <stp/>
        <stp>##V3_BDPV12</stp>
        <stp>MSFT US Equity</stp>
        <stp>RR900</stp>
        <stp>[DPM - Securities Master List (BBG Linked).xlsx]Equities!R175C11</stp>
        <tr r="K175" s="2"/>
        <tr r="K175" s="2"/>
        <tr r="K175" s="2"/>
      </tp>
      <tp>
        <v>33.552835298470619</v>
        <stp/>
        <stp>##V3_BDPV12</stp>
        <stp>MSFT US Equity</stp>
        <stp>RR900</stp>
        <stp>[DPM - Securities Master List (BBG Linked).xlsx]Equities!R174C11</stp>
        <tr r="K174" s="2"/>
        <tr r="K174" s="2"/>
        <tr r="K174" s="2"/>
      </tp>
      <tp>
        <v>10.05384779375075</v>
        <stp/>
        <stp>##V3_BDPV12</stp>
        <stp>MSFT US Equity</stp>
        <stp>RR903</stp>
        <stp>[DPM - Securities Master List (BBG Linked).xlsx]Equities!R188C13</stp>
        <tr r="M188" s="2"/>
        <tr r="M188" s="2"/>
        <tr r="M188" s="2"/>
      </tp>
      <tp>
        <v>10.05384779375075</v>
        <stp/>
        <stp>##V3_BDPV12</stp>
        <stp>MSFT US Equity</stp>
        <stp>RR903</stp>
        <stp>[DPM - Securities Master List (BBG Linked).xlsx]Equities!R183C13</stp>
        <tr r="M183" s="2"/>
        <tr r="M183" s="2"/>
        <tr r="M183" s="2"/>
      </tp>
      <tp>
        <v>10.05384779375075</v>
        <stp/>
        <stp>##V3_BDPV12</stp>
        <stp>MSFT US Equity</stp>
        <stp>RR903</stp>
        <stp>[DPM - Securities Master List (BBG Linked).xlsx]Equities!R182C13</stp>
        <tr r="M182" s="2"/>
        <tr r="M182" s="2"/>
        <tr r="M182" s="2"/>
      </tp>
      <tp>
        <v>10.05384779375075</v>
        <stp/>
        <stp>##V3_BDPV12</stp>
        <stp>MSFT US Equity</stp>
        <stp>RR903</stp>
        <stp>[DPM - Securities Master List (BBG Linked).xlsx]Equities!R181C13</stp>
        <tr r="M181" s="2"/>
        <tr r="M181" s="2"/>
        <tr r="M181" s="2"/>
      </tp>
      <tp>
        <v>10.05384779375075</v>
        <stp/>
        <stp>##V3_BDPV12</stp>
        <stp>MSFT US Equity</stp>
        <stp>RR903</stp>
        <stp>[DPM - Securities Master List (BBG Linked).xlsx]Equities!R180C13</stp>
        <tr r="M180" s="2"/>
        <tr r="M180" s="2"/>
        <tr r="M180" s="2"/>
      </tp>
      <tp>
        <v>10.05384779375075</v>
        <stp/>
        <stp>##V3_BDPV12</stp>
        <stp>MSFT US Equity</stp>
        <stp>RR903</stp>
        <stp>[DPM - Securities Master List (BBG Linked).xlsx]Equities!R187C13</stp>
        <tr r="M187" s="2"/>
        <tr r="M187" s="2"/>
        <tr r="M187" s="2"/>
      </tp>
      <tp>
        <v>10.05384779375075</v>
        <stp/>
        <stp>##V3_BDPV12</stp>
        <stp>MSFT US Equity</stp>
        <stp>RR903</stp>
        <stp>[DPM - Securities Master List (BBG Linked).xlsx]Equities!R186C13</stp>
        <tr r="M186" s="2"/>
        <tr r="M186" s="2"/>
        <tr r="M186" s="2"/>
      </tp>
      <tp>
        <v>10.05384779375075</v>
        <stp/>
        <stp>##V3_BDPV12</stp>
        <stp>MSFT US Equity</stp>
        <stp>RR903</stp>
        <stp>[DPM - Securities Master List (BBG Linked).xlsx]Equities!R185C13</stp>
        <tr r="M185" s="2"/>
        <tr r="M185" s="2"/>
        <tr r="M185" s="2"/>
      </tp>
      <tp>
        <v>10.05384779375075</v>
        <stp/>
        <stp>##V3_BDPV12</stp>
        <stp>MSFT US Equity</stp>
        <stp>RR903</stp>
        <stp>[DPM - Securities Master List (BBG Linked).xlsx]Equities!R184C13</stp>
        <tr r="M184" s="2"/>
        <tr r="M184" s="2"/>
        <tr r="M184" s="2"/>
      </tp>
      <tp>
        <v>10.05384779375075</v>
        <stp/>
        <stp>##V3_BDPV12</stp>
        <stp>MSFT US Equity</stp>
        <stp>RR903</stp>
        <stp>[DPM - Securities Master List (BBG Linked).xlsx]Equities!R179C13</stp>
        <tr r="M179" s="2"/>
        <tr r="M179" s="2"/>
        <tr r="M179" s="2"/>
      </tp>
      <tp>
        <v>10.05384779375075</v>
        <stp/>
        <stp>##V3_BDPV12</stp>
        <stp>MSFT US Equity</stp>
        <stp>RR903</stp>
        <stp>[DPM - Securities Master List (BBG Linked).xlsx]Equities!R178C13</stp>
        <tr r="M178" s="2"/>
        <tr r="M178" s="2"/>
        <tr r="M178" s="2"/>
      </tp>
      <tp>
        <v>10.05384779375075</v>
        <stp/>
        <stp>##V3_BDPV12</stp>
        <stp>MSFT US Equity</stp>
        <stp>RR903</stp>
        <stp>[DPM - Securities Master List (BBG Linked).xlsx]Equities!R173C13</stp>
        <tr r="M173" s="2"/>
        <tr r="M173" s="2"/>
        <tr r="M173" s="2"/>
      </tp>
      <tp>
        <v>10.05384779375075</v>
        <stp/>
        <stp>##V3_BDPV12</stp>
        <stp>MSFT US Equity</stp>
        <stp>RR903</stp>
        <stp>[DPM - Securities Master List (BBG Linked).xlsx]Equities!R172C13</stp>
        <tr r="M172" s="2"/>
        <tr r="M172" s="2"/>
        <tr r="M172" s="2"/>
      </tp>
      <tp>
        <v>10.05384779375075</v>
        <stp/>
        <stp>##V3_BDPV12</stp>
        <stp>MSFT US Equity</stp>
        <stp>RR903</stp>
        <stp>[DPM - Securities Master List (BBG Linked).xlsx]Equities!R171C13</stp>
        <tr r="M171" s="2"/>
        <tr r="M171" s="2"/>
        <tr r="M171" s="2"/>
      </tp>
      <tp>
        <v>10.05384779375075</v>
        <stp/>
        <stp>##V3_BDPV12</stp>
        <stp>MSFT US Equity</stp>
        <stp>RR903</stp>
        <stp>[DPM - Securities Master List (BBG Linked).xlsx]Equities!R170C13</stp>
        <tr r="M170" s="2"/>
        <tr r="M170" s="2"/>
        <tr r="M170" s="2"/>
      </tp>
      <tp>
        <v>10.05384779375075</v>
        <stp/>
        <stp>##V3_BDPV12</stp>
        <stp>MSFT US Equity</stp>
        <stp>RR903</stp>
        <stp>[DPM - Securities Master List (BBG Linked).xlsx]Equities!R177C13</stp>
        <tr r="M177" s="2"/>
        <tr r="M177" s="2"/>
        <tr r="M177" s="2"/>
      </tp>
      <tp>
        <v>10.05384779375075</v>
        <stp/>
        <stp>##V3_BDPV12</stp>
        <stp>MSFT US Equity</stp>
        <stp>RR903</stp>
        <stp>[DPM - Securities Master List (BBG Linked).xlsx]Equities!R176C13</stp>
        <tr r="M176" s="2"/>
        <tr r="M176" s="2"/>
        <tr r="M176" s="2"/>
      </tp>
      <tp>
        <v>10.05384779375075</v>
        <stp/>
        <stp>##V3_BDPV12</stp>
        <stp>MSFT US Equity</stp>
        <stp>RR903</stp>
        <stp>[DPM - Securities Master List (BBG Linked).xlsx]Equities!R175C13</stp>
        <tr r="M175" s="2"/>
        <tr r="M175" s="2"/>
        <tr r="M175" s="2"/>
      </tp>
      <tp>
        <v>10.05384779375075</v>
        <stp/>
        <stp>##V3_BDPV12</stp>
        <stp>MSFT US Equity</stp>
        <stp>RR903</stp>
        <stp>[DPM - Securities Master List (BBG Linked).xlsx]Equities!R174C13</stp>
        <tr r="M174" s="2"/>
        <tr r="M174" s="2"/>
        <tr r="M174" s="2"/>
      </tp>
      <tp t="s">
        <v>US5949181045</v>
        <stp/>
        <stp>##V3_BDPV12</stp>
        <stp>MSFT US Equity</stp>
        <stp>ID005</stp>
        <stp>[DPM - Securities Master List (BBG Linked).xlsx]Equities!R183C55</stp>
        <tr r="BC183" s="2"/>
      </tp>
      <tp t="s">
        <v>US5949181045</v>
        <stp/>
        <stp>##V3_BDPV12</stp>
        <stp>MSFT US Equity</stp>
        <stp>ID005</stp>
        <stp>[DPM - Securities Master List (BBG Linked).xlsx]Equities!R180C55</stp>
        <tr r="BC180" s="2"/>
      </tp>
      <tp t="s">
        <v>US5949181045</v>
        <stp/>
        <stp>##V3_BDPV12</stp>
        <stp>MSFT US Equity</stp>
        <stp>ID005</stp>
        <stp>[DPM - Securities Master List (BBG Linked).xlsx]Equities!R181C55</stp>
        <tr r="BC181" s="2"/>
      </tp>
      <tp t="s">
        <v>US5949181045</v>
        <stp/>
        <stp>##V3_BDPV12</stp>
        <stp>MSFT US Equity</stp>
        <stp>ID005</stp>
        <stp>[DPM - Securities Master List (BBG Linked).xlsx]Equities!R186C55</stp>
        <tr r="BC186" s="2"/>
      </tp>
      <tp t="s">
        <v>US5949181045</v>
        <stp/>
        <stp>##V3_BDPV12</stp>
        <stp>MSFT US Equity</stp>
        <stp>ID005</stp>
        <stp>[DPM - Securities Master List (BBG Linked).xlsx]Equities!R187C55</stp>
        <tr r="BC187" s="2"/>
      </tp>
      <tp t="s">
        <v>US5949181045</v>
        <stp/>
        <stp>##V3_BDPV12</stp>
        <stp>MSFT US Equity</stp>
        <stp>ID005</stp>
        <stp>[DPM - Securities Master List (BBG Linked).xlsx]Equities!R184C55</stp>
        <tr r="BC184" s="2"/>
      </tp>
      <tp t="s">
        <v>US5949181045</v>
        <stp/>
        <stp>##V3_BDPV12</stp>
        <stp>MSFT US Equity</stp>
        <stp>ID005</stp>
        <stp>[DPM - Securities Master List (BBG Linked).xlsx]Equities!R185C55</stp>
        <tr r="BC185" s="2"/>
      </tp>
      <tp t="s">
        <v>US5949181045</v>
        <stp/>
        <stp>##V3_BDPV12</stp>
        <stp>MSFT US Equity</stp>
        <stp>ID005</stp>
        <stp>[DPM - Securities Master List (BBG Linked).xlsx]Equities!R188C55</stp>
        <tr r="BC188" s="2"/>
      </tp>
      <tp t="s">
        <v>US5949181045</v>
        <stp/>
        <stp>##V3_BDPV12</stp>
        <stp>MSFT US Equity</stp>
        <stp>ID005</stp>
        <stp>[DPM - Securities Master List (BBG Linked).xlsx]Equities!R173C55</stp>
        <tr r="BC173" s="2"/>
      </tp>
      <tp t="s">
        <v>US5949181045</v>
        <stp/>
        <stp>##V3_BDPV12</stp>
        <stp>MSFT US Equity</stp>
        <stp>ID005</stp>
        <stp>[DPM - Securities Master List (BBG Linked).xlsx]Equities!R176C55</stp>
        <tr r="BC176" s="2"/>
      </tp>
      <tp t="s">
        <v>US5949181045</v>
        <stp/>
        <stp>##V3_BDPV12</stp>
        <stp>MSFT US Equity</stp>
        <stp>ID005</stp>
        <stp>[DPM - Securities Master List (BBG Linked).xlsx]Equities!R177C55</stp>
        <tr r="BC177" s="2"/>
      </tp>
      <tp t="s">
        <v>US5949181045</v>
        <stp/>
        <stp>##V3_BDPV12</stp>
        <stp>MSFT US Equity</stp>
        <stp>ID005</stp>
        <stp>[DPM - Securities Master List (BBG Linked).xlsx]Equities!R174C55</stp>
        <tr r="BC174" s="2"/>
      </tp>
      <tp t="s">
        <v>US5949181045</v>
        <stp/>
        <stp>##V3_BDPV12</stp>
        <stp>MSFT US Equity</stp>
        <stp>ID005</stp>
        <stp>[DPM - Securities Master List (BBG Linked).xlsx]Equities!R175C55</stp>
        <tr r="BC175" s="2"/>
      </tp>
      <tp t="s">
        <v>US5949181045</v>
        <stp/>
        <stp>##V3_BDPV12</stp>
        <stp>MSFT US Equity</stp>
        <stp>ID005</stp>
        <stp>[DPM - Securities Master List (BBG Linked).xlsx]Equities!R178C55</stp>
        <tr r="BC178" s="2"/>
      </tp>
      <tp t="s">
        <v>US5949181045</v>
        <stp/>
        <stp>##V3_BDPV12</stp>
        <stp>MSFT US Equity</stp>
        <stp>ID005</stp>
        <stp>[DPM - Securities Master List (BBG Linked).xlsx]Equities!R179C55</stp>
        <tr r="BC179" s="2"/>
      </tp>
      <tp t="s">
        <v>Information Technology</v>
        <stp/>
        <stp>##V3_BDPV12</stp>
        <stp>MSFT US Equity</stp>
        <stp>DX202</stp>
        <stp>[DPM - Securities Master List (BBG Linked).xlsx]Equities!R170C46</stp>
        <tr r="AT170" s="2"/>
        <tr r="AT170" s="2"/>
        <tr r="AT170" s="2"/>
      </tp>
      <tp t="s">
        <v>Information Technology</v>
        <stp/>
        <stp>##V3_BDPV12</stp>
        <stp>MSFT US Equity</stp>
        <stp>DX202</stp>
        <stp>[DPM - Securities Master List (BBG Linked).xlsx]Equities!R171C46</stp>
        <tr r="AT171" s="2"/>
        <tr r="AT171" s="2"/>
        <tr r="AT171" s="2"/>
      </tp>
      <tp t="s">
        <v>Information Technology</v>
        <stp/>
        <stp>##V3_BDPV12</stp>
        <stp>MSFT US Equity</stp>
        <stp>DX202</stp>
        <stp>[DPM - Securities Master List (BBG Linked).xlsx]Equities!R172C46</stp>
        <tr r="AT172" s="2"/>
        <tr r="AT172" s="2"/>
        <tr r="AT172" s="2"/>
      </tp>
      <tp t="s">
        <v>Information Technology</v>
        <stp/>
        <stp>##V3_BDPV12</stp>
        <stp>MSFT US Equity</stp>
        <stp>DX202</stp>
        <stp>[DPM - Securities Master List (BBG Linked).xlsx]Equities!R173C46</stp>
        <tr r="AT173" s="2"/>
        <tr r="AT173" s="2"/>
        <tr r="AT173" s="2"/>
      </tp>
      <tp t="s">
        <v>Information Technology</v>
        <stp/>
        <stp>##V3_BDPV12</stp>
        <stp>MSFT US Equity</stp>
        <stp>DX202</stp>
        <stp>[DPM - Securities Master List (BBG Linked).xlsx]Equities!R174C46</stp>
        <tr r="AT174" s="2"/>
        <tr r="AT174" s="2"/>
        <tr r="AT174" s="2"/>
      </tp>
      <tp t="s">
        <v>Information Technology</v>
        <stp/>
        <stp>##V3_BDPV12</stp>
        <stp>MSFT US Equity</stp>
        <stp>DX202</stp>
        <stp>[DPM - Securities Master List (BBG Linked).xlsx]Equities!R175C46</stp>
        <tr r="AT175" s="2"/>
        <tr r="AT175" s="2"/>
        <tr r="AT175" s="2"/>
      </tp>
      <tp t="s">
        <v>Information Technology</v>
        <stp/>
        <stp>##V3_BDPV12</stp>
        <stp>MSFT US Equity</stp>
        <stp>DX202</stp>
        <stp>[DPM - Securities Master List (BBG Linked).xlsx]Equities!R176C46</stp>
        <tr r="AT176" s="2"/>
        <tr r="AT176" s="2"/>
        <tr r="AT176" s="2"/>
      </tp>
      <tp t="s">
        <v>Information Technology</v>
        <stp/>
        <stp>##V3_BDPV12</stp>
        <stp>MSFT US Equity</stp>
        <stp>DX202</stp>
        <stp>[DPM - Securities Master List (BBG Linked).xlsx]Equities!R177C46</stp>
        <tr r="AT177" s="2"/>
        <tr r="AT177" s="2"/>
        <tr r="AT177" s="2"/>
      </tp>
      <tp t="s">
        <v>Information Technology</v>
        <stp/>
        <stp>##V3_BDPV12</stp>
        <stp>MSFT US Equity</stp>
        <stp>DX202</stp>
        <stp>[DPM - Securities Master List (BBG Linked).xlsx]Equities!R178C46</stp>
        <tr r="AT178" s="2"/>
        <tr r="AT178" s="2"/>
        <tr r="AT178" s="2"/>
      </tp>
      <tp t="s">
        <v>Information Technology</v>
        <stp/>
        <stp>##V3_BDPV12</stp>
        <stp>MSFT US Equity</stp>
        <stp>DX202</stp>
        <stp>[DPM - Securities Master List (BBG Linked).xlsx]Equities!R179C46</stp>
        <tr r="AT179" s="2"/>
        <tr r="AT179" s="2"/>
        <tr r="AT179" s="2"/>
      </tp>
      <tp t="s">
        <v>Information Technology</v>
        <stp/>
        <stp>##V3_BDPV12</stp>
        <stp>MSFT US Equity</stp>
        <stp>DX202</stp>
        <stp>[DPM - Securities Master List (BBG Linked).xlsx]Equities!R180C46</stp>
        <tr r="AT180" s="2"/>
        <tr r="AT180" s="2"/>
        <tr r="AT180" s="2"/>
      </tp>
      <tp t="s">
        <v>Information Technology</v>
        <stp/>
        <stp>##V3_BDPV12</stp>
        <stp>MSFT US Equity</stp>
        <stp>DX202</stp>
        <stp>[DPM - Securities Master List (BBG Linked).xlsx]Equities!R181C46</stp>
        <tr r="AT181" s="2"/>
        <tr r="AT181" s="2"/>
        <tr r="AT181" s="2"/>
      </tp>
      <tp t="s">
        <v>Information Technology</v>
        <stp/>
        <stp>##V3_BDPV12</stp>
        <stp>MSFT US Equity</stp>
        <stp>DX202</stp>
        <stp>[DPM - Securities Master List (BBG Linked).xlsx]Equities!R182C46</stp>
        <tr r="AT182" s="2"/>
        <tr r="AT182" s="2"/>
        <tr r="AT182" s="2"/>
      </tp>
      <tp t="s">
        <v>Information Technology</v>
        <stp/>
        <stp>##V3_BDPV12</stp>
        <stp>MSFT US Equity</stp>
        <stp>DX202</stp>
        <stp>[DPM - Securities Master List (BBG Linked).xlsx]Equities!R183C46</stp>
        <tr r="AT183" s="2"/>
        <tr r="AT183" s="2"/>
        <tr r="AT183" s="2"/>
      </tp>
      <tp t="s">
        <v>Information Technology</v>
        <stp/>
        <stp>##V3_BDPV12</stp>
        <stp>MSFT US Equity</stp>
        <stp>DX202</stp>
        <stp>[DPM - Securities Master List (BBG Linked).xlsx]Equities!R184C46</stp>
        <tr r="AT184" s="2"/>
        <tr r="AT184" s="2"/>
        <tr r="AT184" s="2"/>
      </tp>
      <tp t="s">
        <v>Information Technology</v>
        <stp/>
        <stp>##V3_BDPV12</stp>
        <stp>MSFT US Equity</stp>
        <stp>DX202</stp>
        <stp>[DPM - Securities Master List (BBG Linked).xlsx]Equities!R185C46</stp>
        <tr r="AT185" s="2"/>
        <tr r="AT185" s="2"/>
        <tr r="AT185" s="2"/>
      </tp>
      <tp t="s">
        <v>Information Technology</v>
        <stp/>
        <stp>##V3_BDPV12</stp>
        <stp>MSFT US Equity</stp>
        <stp>DX202</stp>
        <stp>[DPM - Securities Master List (BBG Linked).xlsx]Equities!R186C46</stp>
        <tr r="AT186" s="2"/>
        <tr r="AT186" s="2"/>
        <tr r="AT186" s="2"/>
      </tp>
      <tp t="s">
        <v>Information Technology</v>
        <stp/>
        <stp>##V3_BDPV12</stp>
        <stp>MSFT US Equity</stp>
        <stp>DX202</stp>
        <stp>[DPM - Securities Master List (BBG Linked).xlsx]Equities!R187C46</stp>
        <tr r="AT187" s="2"/>
        <tr r="AT187" s="2"/>
        <tr r="AT187" s="2"/>
      </tp>
      <tp t="s">
        <v>Information Technology</v>
        <stp/>
        <stp>##V3_BDPV12</stp>
        <stp>MSFT US Equity</stp>
        <stp>DX202</stp>
        <stp>[DPM - Securities Master List (BBG Linked).xlsx]Equities!R188C46</stp>
        <tr r="AT188" s="2"/>
        <tr r="AT188" s="2"/>
        <tr r="AT188" s="2"/>
      </tp>
      <tp>
        <v>98967.811363029003</v>
        <stp/>
        <stp>##V3_BDPV12</stp>
        <stp>BMY US Equity</stp>
        <stp>CRNCY_ADJ_MKT_CAP</stp>
        <stp>[DPM - Securities Master List (BBG Linked).xlsx]Equities!R76C9</stp>
        <stp>EQY_FUND_CRNCY=USD</stp>
        <tr r="I76" s="2"/>
      </tp>
      <tp>
        <v>4.8333334922790527</v>
        <stp/>
        <stp>##V3_BDPV12</stp>
        <stp>MSFT US Equity</stp>
        <stp>EE201</stp>
        <stp>[DPM - Securities Master List (BBG Linked).xlsx]Equities!R180C37</stp>
        <tr r="AK180" s="2"/>
        <tr r="AK180" s="2"/>
        <tr r="AK180" s="2"/>
      </tp>
      <tp>
        <v>4.8333334922790527</v>
        <stp/>
        <stp>##V3_BDPV12</stp>
        <stp>MSFT US Equity</stp>
        <stp>EE201</stp>
        <stp>[DPM - Securities Master List (BBG Linked).xlsx]Equities!R181C37</stp>
        <tr r="AK181" s="2"/>
        <tr r="AK181" s="2"/>
        <tr r="AK181" s="2"/>
      </tp>
      <tp>
        <v>4.8333334922790527</v>
        <stp/>
        <stp>##V3_BDPV12</stp>
        <stp>MSFT US Equity</stp>
        <stp>EE201</stp>
        <stp>[DPM - Securities Master List (BBG Linked).xlsx]Equities!R182C37</stp>
        <tr r="AK182" s="2"/>
        <tr r="AK182" s="2"/>
        <tr r="AK182" s="2"/>
      </tp>
      <tp>
        <v>4.8333334922790527</v>
        <stp/>
        <stp>##V3_BDPV12</stp>
        <stp>MSFT US Equity</stp>
        <stp>EE201</stp>
        <stp>[DPM - Securities Master List (BBG Linked).xlsx]Equities!R183C37</stp>
        <tr r="AK183" s="2"/>
        <tr r="AK183" s="2"/>
        <tr r="AK183" s="2"/>
      </tp>
      <tp>
        <v>4.8333334922790527</v>
        <stp/>
        <stp>##V3_BDPV12</stp>
        <stp>MSFT US Equity</stp>
        <stp>EE201</stp>
        <stp>[DPM - Securities Master List (BBG Linked).xlsx]Equities!R184C37</stp>
        <tr r="AK184" s="2"/>
        <tr r="AK184" s="2"/>
        <tr r="AK184" s="2"/>
      </tp>
      <tp>
        <v>4.8333334922790527</v>
        <stp/>
        <stp>##V3_BDPV12</stp>
        <stp>MSFT US Equity</stp>
        <stp>EE201</stp>
        <stp>[DPM - Securities Master List (BBG Linked).xlsx]Equities!R185C37</stp>
        <tr r="AK185" s="2"/>
        <tr r="AK185" s="2"/>
        <tr r="AK185" s="2"/>
      </tp>
      <tp>
        <v>4.8333334922790527</v>
        <stp/>
        <stp>##V3_BDPV12</stp>
        <stp>MSFT US Equity</stp>
        <stp>EE201</stp>
        <stp>[DPM - Securities Master List (BBG Linked).xlsx]Equities!R186C37</stp>
        <tr r="AK186" s="2"/>
        <tr r="AK186" s="2"/>
        <tr r="AK186" s="2"/>
      </tp>
      <tp>
        <v>4.8333334922790527</v>
        <stp/>
        <stp>##V3_BDPV12</stp>
        <stp>MSFT US Equity</stp>
        <stp>EE201</stp>
        <stp>[DPM - Securities Master List (BBG Linked).xlsx]Equities!R187C37</stp>
        <tr r="AK187" s="2"/>
        <tr r="AK187" s="2"/>
        <tr r="AK187" s="2"/>
      </tp>
      <tp>
        <v>4.8333334922790527</v>
        <stp/>
        <stp>##V3_BDPV12</stp>
        <stp>MSFT US Equity</stp>
        <stp>EE201</stp>
        <stp>[DPM - Securities Master List (BBG Linked).xlsx]Equities!R188C37</stp>
        <tr r="AK188" s="2"/>
        <tr r="AK188" s="2"/>
        <tr r="AK188" s="2"/>
      </tp>
      <tp>
        <v>4.8333334922790527</v>
        <stp/>
        <stp>##V3_BDPV12</stp>
        <stp>MSFT US Equity</stp>
        <stp>EE201</stp>
        <stp>[DPM - Securities Master List (BBG Linked).xlsx]Equities!R170C37</stp>
        <tr r="AK170" s="2"/>
        <tr r="AK170" s="2"/>
        <tr r="AK170" s="2"/>
      </tp>
      <tp>
        <v>4.8333334922790527</v>
        <stp/>
        <stp>##V3_BDPV12</stp>
        <stp>MSFT US Equity</stp>
        <stp>EE201</stp>
        <stp>[DPM - Securities Master List (BBG Linked).xlsx]Equities!R171C37</stp>
        <tr r="AK171" s="2"/>
        <tr r="AK171" s="2"/>
        <tr r="AK171" s="2"/>
      </tp>
      <tp>
        <v>4.8333334922790527</v>
        <stp/>
        <stp>##V3_BDPV12</stp>
        <stp>MSFT US Equity</stp>
        <stp>EE201</stp>
        <stp>[DPM - Securities Master List (BBG Linked).xlsx]Equities!R172C37</stp>
        <tr r="AK172" s="2"/>
        <tr r="AK172" s="2"/>
        <tr r="AK172" s="2"/>
      </tp>
      <tp>
        <v>4.8333334922790527</v>
        <stp/>
        <stp>##V3_BDPV12</stp>
        <stp>MSFT US Equity</stp>
        <stp>EE201</stp>
        <stp>[DPM - Securities Master List (BBG Linked).xlsx]Equities!R173C37</stp>
        <tr r="AK173" s="2"/>
        <tr r="AK173" s="2"/>
        <tr r="AK173" s="2"/>
      </tp>
      <tp>
        <v>4.8333334922790527</v>
        <stp/>
        <stp>##V3_BDPV12</stp>
        <stp>MSFT US Equity</stp>
        <stp>EE201</stp>
        <stp>[DPM - Securities Master List (BBG Linked).xlsx]Equities!R174C37</stp>
        <tr r="AK174" s="2"/>
        <tr r="AK174" s="2"/>
        <tr r="AK174" s="2"/>
      </tp>
      <tp>
        <v>4.8333334922790527</v>
        <stp/>
        <stp>##V3_BDPV12</stp>
        <stp>MSFT US Equity</stp>
        <stp>EE201</stp>
        <stp>[DPM - Securities Master List (BBG Linked).xlsx]Equities!R175C37</stp>
        <tr r="AK175" s="2"/>
        <tr r="AK175" s="2"/>
        <tr r="AK175" s="2"/>
      </tp>
      <tp>
        <v>4.8333334922790527</v>
        <stp/>
        <stp>##V3_BDPV12</stp>
        <stp>MSFT US Equity</stp>
        <stp>EE201</stp>
        <stp>[DPM - Securities Master List (BBG Linked).xlsx]Equities!R176C37</stp>
        <tr r="AK176" s="2"/>
        <tr r="AK176" s="2"/>
        <tr r="AK176" s="2"/>
      </tp>
      <tp>
        <v>4.8333334922790527</v>
        <stp/>
        <stp>##V3_BDPV12</stp>
        <stp>MSFT US Equity</stp>
        <stp>EE201</stp>
        <stp>[DPM - Securities Master List (BBG Linked).xlsx]Equities!R177C37</stp>
        <tr r="AK177" s="2"/>
        <tr r="AK177" s="2"/>
        <tr r="AK177" s="2"/>
      </tp>
      <tp>
        <v>4.8333334922790527</v>
        <stp/>
        <stp>##V3_BDPV12</stp>
        <stp>MSFT US Equity</stp>
        <stp>EE201</stp>
        <stp>[DPM - Securities Master List (BBG Linked).xlsx]Equities!R178C37</stp>
        <tr r="AK178" s="2"/>
        <tr r="AK178" s="2"/>
        <tr r="AK178" s="2"/>
      </tp>
      <tp>
        <v>4.8333334922790527</v>
        <stp/>
        <stp>##V3_BDPV12</stp>
        <stp>MSFT US Equity</stp>
        <stp>EE201</stp>
        <stp>[DPM - Securities Master List (BBG Linked).xlsx]Equities!R179C37</stp>
        <tr r="AK179" s="2"/>
        <tr r="AK179" s="2"/>
        <tr r="AK179" s="2"/>
      </tp>
      <tp>
        <v>16</v>
        <stp/>
        <stp>##V3_BDPV12</stp>
        <stp>VOW3 GY Equity</stp>
        <stp>TOT_BUY_REC</stp>
        <stp>[DPM - Securities Master List (BBG Linked).xlsx]Equities!R290C34</stp>
        <tr r="AH290" s="2"/>
      </tp>
      <tp>
        <v>16</v>
        <stp/>
        <stp>##V3_BDPV12</stp>
        <stp>VOW3 GY Equity</stp>
        <stp>TOT_BUY_REC</stp>
        <stp>[DPM - Securities Master List (BBG Linked).xlsx]Equities!R291C34</stp>
        <tr r="AH291" s="2"/>
      </tp>
      <tp>
        <v>16</v>
        <stp/>
        <stp>##V3_BDPV12</stp>
        <stp>VOW3 GY Equity</stp>
        <stp>TOT_BUY_REC</stp>
        <stp>[DPM - Securities Master List (BBG Linked).xlsx]Equities!R292C34</stp>
        <tr r="AH292" s="2"/>
      </tp>
      <tp>
        <v>16</v>
        <stp/>
        <stp>##V3_BDPV12</stp>
        <stp>VOW3 GY Equity</stp>
        <stp>TOT_BUY_REC</stp>
        <stp>[DPM - Securities Master List (BBG Linked).xlsx]Equities!R293C34</stp>
        <tr r="AH293" s="2"/>
      </tp>
      <tp>
        <v>16</v>
        <stp/>
        <stp>##V3_BDPV12</stp>
        <stp>VOW3 GY Equity</stp>
        <stp>TOT_BUY_REC</stp>
        <stp>[DPM - Securities Master List (BBG Linked).xlsx]Equities!R289C34</stp>
        <tr r="AH289" s="2"/>
      </tp>
    </main>
    <main first="bofaddin.rtdserver">
      <tp t="e">
        <v>#N/A</v>
        <stp/>
        <stp>BDP|443303828589293729</stp>
        <tr r="BC64" s="3"/>
      </tp>
    </main>
    <main first="bloomberg.rtd">
      <tp t="s">
        <v>Adobe Inc</v>
        <stp/>
        <stp>##V3_BDPV12</stp>
        <stp>ADBE US Equity</stp>
        <stp>SECURITY NAME</stp>
        <stp>[DPM - Securities Master List (BBG Linked).xlsx]Equities!R45C5</stp>
        <tr r="E45" s="2"/>
      </tp>
    </main>
    <main first="bofaddin.rtdserver">
      <tp t="e">
        <v>#N/A</v>
        <stp/>
        <stp>BDP|164154242482093880</stp>
        <tr r="AK73" s="1"/>
        <tr r="AK73" s="1"/>
        <tr r="AK73" s="1"/>
        <tr r="AK168" s="1"/>
        <tr r="AK168" s="1"/>
        <tr r="AK168" s="1"/>
      </tp>
      <tp t="e">
        <v>#N/A</v>
        <stp/>
        <stp>BDP|998520507069177328</stp>
        <tr r="V99" s="3"/>
        <tr r="V98" s="3"/>
        <tr r="V97" s="3"/>
      </tp>
      <tp t="e">
        <v>#N/A</v>
        <stp/>
        <stp>BDP|343894743303434065</stp>
        <tr r="F72" s="3"/>
        <tr r="F71" s="3"/>
        <tr r="F70" s="3"/>
        <tr r="F69" s="3"/>
        <tr r="F68" s="3"/>
        <tr r="F67" s="3"/>
        <tr r="F66" s="3"/>
        <tr r="F65" s="3"/>
      </tp>
      <tp t="e">
        <v>#N/A</v>
        <stp/>
        <stp>BDP|904922969780684000</stp>
        <tr r="AS92" s="1"/>
      </tp>
    </main>
    <main first="bloomberg.rtd">
      <tp t="s">
        <v>BioMarin Pharmaceutical Inc</v>
        <stp/>
        <stp>##V3_BDPV12</stp>
        <stp>BMRN US Equity</stp>
        <stp>SECURITY NAME</stp>
        <stp>[DPM - Securities Master List (BBG Linked).xlsx]Equities!R66C5</stp>
        <tr r="E66" s="2"/>
      </tp>
    </main>
    <main first="bofaddin.rtdserver">
      <tp t="e">
        <v>#N/A</v>
        <stp/>
        <stp>BDP|622218482543544639</stp>
        <tr r="H150" s="1"/>
        <tr r="H150" s="1"/>
        <tr r="H122" s="1"/>
        <tr r="H122" s="1"/>
      </tp>
    </main>
    <main first="bloomberg.rtd">
      <tp t="s">
        <v>GBp</v>
        <stp/>
        <stp>##V3_BDPV12</stp>
        <stp>BP/ LN Equity</stp>
        <stp>CRNCY</stp>
        <stp>[DPM - Securities Master List (BBG Linked).xlsx]Equities!R77C6</stp>
        <tr r="F77" s="2"/>
      </tp>
      <tp t="s">
        <v>GBp</v>
        <stp/>
        <stp>##V3_BDPV12</stp>
        <stp>BP/ LN Equity</stp>
        <stp>CRNCY</stp>
        <stp>[DPM - Securities Master List (BBG Linked).xlsx]Equities!R87C6</stp>
        <tr r="F87" s="2"/>
      </tp>
      <tp t="s">
        <v>GBp</v>
        <stp/>
        <stp>##V3_BDPV12</stp>
        <stp>AZN LN Equity</stp>
        <stp>CRNCY</stp>
        <stp>[DPM - Securities Master List (BBG Linked).xlsx]Equities!R57C6</stp>
        <tr r="F57" s="2"/>
      </tp>
      <tp t="s">
        <v>Y</v>
        <stp/>
        <stp>##V3_BDPV12</stp>
        <stp>DELL US Equity</stp>
        <stp>DY997</stp>
        <stp>[DPM - Securities Master List (BBG Linked).xlsx]Equities!R105C47</stp>
        <tr r="AU105" s="2"/>
        <tr r="AU105" s="2"/>
        <tr r="AU105" s="2"/>
      </tp>
      <tp t="s">
        <v>Y</v>
        <stp/>
        <stp>##V3_BDPV12</stp>
        <stp>DELL US Equity</stp>
        <stp>DY997</stp>
        <stp>[DPM - Securities Master List (BBG Linked).xlsx]Equities!R104C47</stp>
        <tr r="AU104" s="2"/>
        <tr r="AU104" s="2"/>
        <tr r="AU104" s="2"/>
      </tp>
      <tp t="s">
        <v>Y</v>
        <stp/>
        <stp>##V3_BDPV12</stp>
        <stp>DELL US Equity</stp>
        <stp>DY997</stp>
        <stp>[DPM - Securities Master List (BBG Linked).xlsx]Equities!R107C47</stp>
        <tr r="AU107" s="2"/>
        <tr r="AU107" s="2"/>
        <tr r="AU107" s="2"/>
      </tp>
      <tp t="s">
        <v>Y</v>
        <stp/>
        <stp>##V3_BDPV12</stp>
        <stp>DELL US Equity</stp>
        <stp>DY997</stp>
        <stp>[DPM - Securities Master List (BBG Linked).xlsx]Equities!R106C47</stp>
        <tr r="AU106" s="2"/>
        <tr r="AU106" s="2"/>
        <tr r="AU106" s="2"/>
      </tp>
      <tp t="s">
        <v>Y</v>
        <stp/>
        <stp>##V3_BDPV12</stp>
        <stp>DELL US Equity</stp>
        <stp>DY997</stp>
        <stp>[DPM - Securities Master List (BBG Linked).xlsx]Equities!R101C47</stp>
        <tr r="AU101" s="2"/>
        <tr r="AU101" s="2"/>
        <tr r="AU101" s="2"/>
      </tp>
      <tp t="s">
        <v>Y</v>
        <stp/>
        <stp>##V3_BDPV12</stp>
        <stp>DELL US Equity</stp>
        <stp>DY997</stp>
        <stp>[DPM - Securities Master List (BBG Linked).xlsx]Equities!R100C47</stp>
        <tr r="AU100" s="2"/>
        <tr r="AU100" s="2"/>
        <tr r="AU100" s="2"/>
      </tp>
      <tp t="s">
        <v>Y</v>
        <stp/>
        <stp>##V3_BDPV12</stp>
        <stp>DELL US Equity</stp>
        <stp>DY997</stp>
        <stp>[DPM - Securities Master List (BBG Linked).xlsx]Equities!R103C47</stp>
        <tr r="AU103" s="2"/>
        <tr r="AU103" s="2"/>
        <tr r="AU103" s="2"/>
      </tp>
      <tp t="s">
        <v>Y</v>
        <stp/>
        <stp>##V3_BDPV12</stp>
        <stp>DELL US Equity</stp>
        <stp>DY997</stp>
        <stp>[DPM - Securities Master List (BBG Linked).xlsx]Equities!R102C47</stp>
        <tr r="AU102" s="2"/>
        <tr r="AU102" s="2"/>
        <tr r="AU102" s="2"/>
      </tp>
      <tp>
        <v>20.014432442004605</v>
        <stp/>
        <stp>##V3_BDPV12</stp>
        <stp>NVDA US Equity</stp>
        <stp>EE010</stp>
        <stp>[DPM - Securities Master List (BBG Linked).xlsx]Equities!R224C12</stp>
        <tr r="L224" s="2"/>
        <tr r="L224" s="2"/>
        <tr r="L224" s="2"/>
      </tp>
      <tp>
        <v>3.5391495517162953E-2</v>
        <stp/>
        <stp>##V3_BDPV12</stp>
        <stp>NVDA US Equity</stp>
        <stp>DV013</stp>
        <stp>[DPM - Securities Master List (BBG Linked).xlsx]Equities!R224C10</stp>
        <tr r="J224" s="2"/>
      </tp>
      <tp t="s">
        <v>Equity</v>
        <stp/>
        <stp>##V3_BDPV12</stp>
        <stp>REGN US Equity</stp>
        <stp>EX028</stp>
        <stp>[DPM - Securities Master List (BBG Linked).xlsx]Equities!R241C30</stp>
        <tr r="AD241" s="2"/>
        <tr r="AD241" s="2"/>
        <tr r="AD241" s="2"/>
      </tp>
      <tp t="s">
        <v>#N/A N/A</v>
        <stp/>
        <stp>##V3_BDPV12</stp>
        <stp>GOLD US Equity</stp>
        <stp>DY997</stp>
        <stp>[DPM - Securities Master List (BBG Linked).xlsx]Equities!R125C47</stp>
        <tr r="AU125" s="2"/>
        <tr r="AU125" s="2"/>
      </tp>
      <tp t="s">
        <v>#N/A Invalid Field</v>
        <stp/>
        <stp>##V3_BDPV12</stp>
        <stp>DIS US Equity</stp>
        <stp/>
        <stp>[DPM - Securities Master List (BBG Linked).xlsx]Equities!R114C29</stp>
        <tr r="AC114" s="2"/>
        <tr r="AC114" s="2"/>
      </tp>
      <tp t="s">
        <v>#N/A Invalid Field</v>
        <stp/>
        <stp>##V3_BDPV12</stp>
        <stp>DIS US Equity</stp>
        <stp/>
        <stp>[DPM - Securities Master List (BBG Linked).xlsx]Equities!R115C29</stp>
        <tr r="AC115" s="2"/>
        <tr r="AC115" s="2"/>
      </tp>
      <tp t="s">
        <v>#N/A Invalid Field</v>
        <stp/>
        <stp>##V3_BDPV12</stp>
        <stp>DIS US Equity</stp>
        <stp/>
        <stp>[DPM - Securities Master List (BBG Linked).xlsx]Equities!R112C29</stp>
        <tr r="AC112" s="2"/>
        <tr r="AC112" s="2"/>
      </tp>
      <tp t="s">
        <v>#N/A Invalid Field</v>
        <stp/>
        <stp>##V3_BDPV12</stp>
        <stp>DIS US Equity</stp>
        <stp/>
        <stp>[DPM - Securities Master List (BBG Linked).xlsx]Equities!R113C29</stp>
        <tr r="AC113" s="2"/>
        <tr r="AC113" s="2"/>
      </tp>
    </main>
    <main first="bofaddin.rtdserver">
      <tp t="e">
        <v>#N/A</v>
        <stp/>
        <stp>BDP|121699898282499382</stp>
        <tr r="AA103" s="1"/>
      </tp>
      <tp t="e">
        <v>#N/A</v>
        <stp/>
        <stp>BDP|796588587673412002</stp>
        <tr r="K78" s="3"/>
        <tr r="K77" s="3"/>
        <tr r="K76" s="3"/>
        <tr r="K75" s="3"/>
        <tr r="K74" s="3"/>
        <tr r="K73" s="3"/>
      </tp>
    </main>
    <main first="bloomberg.rtd">
      <tp t="s">
        <v>Adobe Inc</v>
        <stp/>
        <stp>##V3_BDPV12</stp>
        <stp>ADBE US Equity</stp>
        <stp>SECURITY NAME</stp>
        <stp>[DPM - Securities Master List (BBG Linked).xlsx]Equities!R44C5</stp>
        <tr r="E44" s="2"/>
      </tp>
      <tp>
        <v>153.13</v>
        <stp/>
        <stp>##V3_BDPV12</stp>
        <stp>NVDA US Equity</stp>
        <stp>hs001</stp>
        <stp>[DPM - Securities Master List (BBG Linked).xlsx]Equities!R224C44</stp>
        <tr r="AR224" s="2"/>
      </tp>
      <tp>
        <v>86.62</v>
        <stp/>
        <stp>##V3_BDPV12</stp>
        <stp>NVDA US Equity</stp>
        <stp>hs002</stp>
        <stp>[DPM - Securities Master List (BBG Linked).xlsx]Equities!R224C45</stp>
        <tr r="AS224" s="2"/>
      </tp>
    </main>
    <main first="bofaddin.rtdserver">
      <tp t="e">
        <v>#N/A</v>
        <stp/>
        <stp>BDP|812400107083613960</stp>
        <tr r="AJ104" s="1"/>
        <tr r="AJ104" s="1"/>
      </tp>
      <tp t="e">
        <v>#N/A</v>
        <stp/>
        <stp>BDP|255437881225153794</stp>
        <tr r="AT82" s="1"/>
        <tr r="AT39" s="1"/>
        <tr r="AT22" s="1"/>
        <tr r="AT167" s="1"/>
      </tp>
    </main>
    <main first="bloomberg.rtd">
      <tp t="s">
        <v>Apple Inc</v>
        <stp/>
        <stp>##V3_BDPV12</stp>
        <stp>AAPL US Equity</stp>
        <stp>SECURITY NAME</stp>
        <stp>[DPM - Securities Master List (BBG Linked).xlsx]Equities!R34C5</stp>
        <tr r="E34" s="2"/>
      </tp>
    </main>
    <main first="bloomberg.rtd">
      <tp t="s">
        <v>BioMarin Pharmaceutical Inc</v>
        <stp/>
        <stp>##V3_BDPV12</stp>
        <stp>BMRN US Equity</stp>
        <stp>SECURITY NAME</stp>
        <stp>[DPM - Securities Master List (BBG Linked).xlsx]Equities!R67C5</stp>
        <tr r="E67" s="2"/>
      </tp>
      <tp t="s">
        <v>USD</v>
        <stp/>
        <stp>##V3_BDPV12</stp>
        <stp>BMY US Equity</stp>
        <stp>CRNCY</stp>
        <stp>[DPM - Securities Master List (BBG Linked).xlsx]Equities!R76C6</stp>
        <tr r="F76" s="2"/>
      </tp>
    </main>
    <main first="bofaddin.rtdserver">
      <tp t="e">
        <v>#N/A</v>
        <stp/>
        <stp>BDP|992591095246628400</stp>
        <tr r="AU52" s="1"/>
        <tr r="AU52" s="1"/>
        <tr r="AU52" s="1"/>
      </tp>
    </main>
    <main first="bloomberg.rtd">
      <tp t="s">
        <v>GBp</v>
        <stp/>
        <stp>##V3_BDPV12</stp>
        <stp>BP/ LN Equity</stp>
        <stp>CRNCY</stp>
        <stp>[DPM - Securities Master List (BBG Linked).xlsx]Equities!R86C6</stp>
        <tr r="F86" s="2"/>
      </tp>
      <tp t="s">
        <v>GBp</v>
        <stp/>
        <stp>##V3_BDPV12</stp>
        <stp>AZN LN Equity</stp>
        <stp>CRNCY</stp>
        <stp>[DPM - Securities Master List (BBG Linked).xlsx]Equities!R56C6</stp>
        <tr r="F56" s="2"/>
      </tp>
      <tp t="s">
        <v>US67066G1040</v>
        <stp/>
        <stp>##V3_BDPV12</stp>
        <stp>NVDA US Equity</stp>
        <stp>ID005</stp>
        <stp>[DPM - Securities Master List (BBG Linked).xlsx]Equities!R224C55</stp>
        <tr r="BC224" s="2"/>
      </tp>
      <tp t="s">
        <v>Consumer Discretionary</v>
        <stp/>
        <stp>##V3_BDPV12</stp>
        <stp>AMZN  US Equity</stp>
        <stp>DX202</stp>
        <stp>[DPM - Securities Master List (BBG Linked).xlsx]Equities!R50C8</stp>
        <tr r="H50" s="2"/>
        <tr r="H50" s="2"/>
        <tr r="H50" s="2"/>
      </tp>
      <tp t="s">
        <v>#N/A N/A</v>
        <stp/>
        <stp>##V3_BDPV12</stp>
        <stp>DELL US Equity</stp>
        <stp>DY784</stp>
        <stp>[DPM - Securities Master List (BBG Linked).xlsx]Equities!R103C48</stp>
        <tr r="AV103" s="2"/>
        <tr r="AV103" s="2"/>
      </tp>
      <tp t="s">
        <v>#N/A N/A</v>
        <stp/>
        <stp>##V3_BDPV12</stp>
        <stp>DELL US Equity</stp>
        <stp>DY784</stp>
        <stp>[DPM - Securities Master List (BBG Linked).xlsx]Equities!R102C48</stp>
        <tr r="AV102" s="2"/>
        <tr r="AV102" s="2"/>
      </tp>
      <tp t="s">
        <v>#N/A N/A</v>
        <stp/>
        <stp>##V3_BDPV12</stp>
        <stp>DELL US Equity</stp>
        <stp>DY784</stp>
        <stp>[DPM - Securities Master List (BBG Linked).xlsx]Equities!R101C48</stp>
        <tr r="AV101" s="2"/>
        <tr r="AV101" s="2"/>
      </tp>
      <tp t="s">
        <v>#N/A N/A</v>
        <stp/>
        <stp>##V3_BDPV12</stp>
        <stp>DELL US Equity</stp>
        <stp>DY784</stp>
        <stp>[DPM - Securities Master List (BBG Linked).xlsx]Equities!R100C48</stp>
        <tr r="AV100" s="2"/>
        <tr r="AV100" s="2"/>
      </tp>
      <tp t="s">
        <v>#N/A N/A</v>
        <stp/>
        <stp>##V3_BDPV12</stp>
        <stp>DELL US Equity</stp>
        <stp>DY784</stp>
        <stp>[DPM - Securities Master List (BBG Linked).xlsx]Equities!R107C48</stp>
        <tr r="AV107" s="2"/>
        <tr r="AV107" s="2"/>
      </tp>
      <tp t="s">
        <v>#N/A N/A</v>
        <stp/>
        <stp>##V3_BDPV12</stp>
        <stp>DELL US Equity</stp>
        <stp>DY784</stp>
        <stp>[DPM - Securities Master List (BBG Linked).xlsx]Equities!R106C48</stp>
        <tr r="AV106" s="2"/>
        <tr r="AV106" s="2"/>
      </tp>
      <tp t="s">
        <v>#N/A N/A</v>
        <stp/>
        <stp>##V3_BDPV12</stp>
        <stp>DELL US Equity</stp>
        <stp>DY784</stp>
        <stp>[DPM - Securities Master List (BBG Linked).xlsx]Equities!R105C48</stp>
        <tr r="AV105" s="2"/>
        <tr r="AV105" s="2"/>
      </tp>
      <tp t="s">
        <v>#N/A N/A</v>
        <stp/>
        <stp>##V3_BDPV12</stp>
        <stp>DELL US Equity</stp>
        <stp>DY784</stp>
        <stp>[DPM - Securities Master List (BBG Linked).xlsx]Equities!R104C48</stp>
        <tr r="AV104" s="2"/>
        <tr r="AV104" s="2"/>
      </tp>
      <tp t="s">
        <v>#N/A Invalid Field</v>
        <stp/>
        <stp>##V3_BDPV12</stp>
        <stp>NVDA US Equity</stp>
        <stp/>
        <stp>[DPM - Securities Master List (BBG Linked).xlsx]Equities!R224C29</stp>
        <tr r="AC224" s="2"/>
        <tr r="AC224" s="2"/>
      </tp>
      <tp>
        <v>4.6750001907348633</v>
        <stp/>
        <stp>##V3_BDPV12</stp>
        <stp>NVDA US Equity</stp>
        <stp>EE201</stp>
        <stp>[DPM - Securities Master List (BBG Linked).xlsx]Equities!R224C37</stp>
        <tr r="AK224" s="2"/>
        <tr r="AK224" s="2"/>
        <tr r="AK224" s="2"/>
      </tp>
      <tp t="s">
        <v>Information Technology</v>
        <stp/>
        <stp>##V3_BDPV12</stp>
        <stp>NVDA US Equity</stp>
        <stp>DX202</stp>
        <stp>[DPM - Securities Master List (BBG Linked).xlsx]Equities!R224C46</stp>
        <tr r="AT224" s="2"/>
        <tr r="AT224" s="2"/>
        <tr r="AT224" s="2"/>
      </tp>
      <tp t="s">
        <v>#N/A N/A</v>
        <stp/>
        <stp>##V3_BDPV12</stp>
        <stp>GOLD US Equity</stp>
        <stp>DY784</stp>
        <stp>[DPM - Securities Master List (BBG Linked).xlsx]Equities!R125C48</stp>
        <tr r="AV125" s="2"/>
        <tr r="AV125" s="2"/>
      </tp>
      <tp t="s">
        <v>Equity</v>
        <stp/>
        <stp>##V3_BDPV12</stp>
        <stp>MSFT US Equity</stp>
        <stp>EX028</stp>
        <stp>[DPM - Securities Master List (BBG Linked).xlsx]Equities!R172C30</stp>
        <tr r="AD172" s="2"/>
        <tr r="AD172" s="2"/>
        <tr r="AD172" s="2"/>
      </tp>
      <tp t="s">
        <v>Equity</v>
        <stp/>
        <stp>##V3_BDPV12</stp>
        <stp>MSFT US Equity</stp>
        <stp>EX028</stp>
        <stp>[DPM - Securities Master List (BBG Linked).xlsx]Equities!R173C30</stp>
        <tr r="AD173" s="2"/>
        <tr r="AD173" s="2"/>
        <tr r="AD173" s="2"/>
      </tp>
      <tp t="s">
        <v>Equity</v>
        <stp/>
        <stp>##V3_BDPV12</stp>
        <stp>MSFT US Equity</stp>
        <stp>EX028</stp>
        <stp>[DPM - Securities Master List (BBG Linked).xlsx]Equities!R170C30</stp>
        <tr r="AD170" s="2"/>
        <tr r="AD170" s="2"/>
        <tr r="AD170" s="2"/>
      </tp>
      <tp t="s">
        <v>Equity</v>
        <stp/>
        <stp>##V3_BDPV12</stp>
        <stp>MSFT US Equity</stp>
        <stp>EX028</stp>
        <stp>[DPM - Securities Master List (BBG Linked).xlsx]Equities!R171C30</stp>
        <tr r="AD171" s="2"/>
        <tr r="AD171" s="2"/>
        <tr r="AD171" s="2"/>
      </tp>
      <tp t="s">
        <v>Equity</v>
        <stp/>
        <stp>##V3_BDPV12</stp>
        <stp>MSFT US Equity</stp>
        <stp>EX028</stp>
        <stp>[DPM - Securities Master List (BBG Linked).xlsx]Equities!R176C30</stp>
        <tr r="AD176" s="2"/>
        <tr r="AD176" s="2"/>
        <tr r="AD176" s="2"/>
      </tp>
      <tp t="s">
        <v>Equity</v>
        <stp/>
        <stp>##V3_BDPV12</stp>
        <stp>MSFT US Equity</stp>
        <stp>EX028</stp>
        <stp>[DPM - Securities Master List (BBG Linked).xlsx]Equities!R177C30</stp>
        <tr r="AD177" s="2"/>
        <tr r="AD177" s="2"/>
        <tr r="AD177" s="2"/>
      </tp>
      <tp t="s">
        <v>Equity</v>
        <stp/>
        <stp>##V3_BDPV12</stp>
        <stp>MSFT US Equity</stp>
        <stp>EX028</stp>
        <stp>[DPM - Securities Master List (BBG Linked).xlsx]Equities!R174C30</stp>
        <tr r="AD174" s="2"/>
        <tr r="AD174" s="2"/>
        <tr r="AD174" s="2"/>
      </tp>
      <tp t="s">
        <v>Equity</v>
        <stp/>
        <stp>##V3_BDPV12</stp>
        <stp>MSFT US Equity</stp>
        <stp>EX028</stp>
        <stp>[DPM - Securities Master List (BBG Linked).xlsx]Equities!R175C30</stp>
        <tr r="AD175" s="2"/>
        <tr r="AD175" s="2"/>
        <tr r="AD175" s="2"/>
      </tp>
      <tp t="s">
        <v>Equity</v>
        <stp/>
        <stp>##V3_BDPV12</stp>
        <stp>MSFT US Equity</stp>
        <stp>EX028</stp>
        <stp>[DPM - Securities Master List (BBG Linked).xlsx]Equities!R178C30</stp>
        <tr r="AD178" s="2"/>
        <tr r="AD178" s="2"/>
        <tr r="AD178" s="2"/>
      </tp>
      <tp t="s">
        <v>Equity</v>
        <stp/>
        <stp>##V3_BDPV12</stp>
        <stp>MSFT US Equity</stp>
        <stp>EX028</stp>
        <stp>[DPM - Securities Master List (BBG Linked).xlsx]Equities!R179C30</stp>
        <tr r="AD179" s="2"/>
        <tr r="AD179" s="2"/>
        <tr r="AD179" s="2"/>
      </tp>
      <tp t="s">
        <v>Equity</v>
        <stp/>
        <stp>##V3_BDPV12</stp>
        <stp>MSFT US Equity</stp>
        <stp>EX028</stp>
        <stp>[DPM - Securities Master List (BBG Linked).xlsx]Equities!R182C30</stp>
        <tr r="AD182" s="2"/>
        <tr r="AD182" s="2"/>
        <tr r="AD182" s="2"/>
      </tp>
      <tp t="s">
        <v>Equity</v>
        <stp/>
        <stp>##V3_BDPV12</stp>
        <stp>MSFT US Equity</stp>
        <stp>EX028</stp>
        <stp>[DPM - Securities Master List (BBG Linked).xlsx]Equities!R183C30</stp>
        <tr r="AD183" s="2"/>
        <tr r="AD183" s="2"/>
        <tr r="AD183" s="2"/>
      </tp>
      <tp t="s">
        <v>Equity</v>
        <stp/>
        <stp>##V3_BDPV12</stp>
        <stp>MSFT US Equity</stp>
        <stp>EX028</stp>
        <stp>[DPM - Securities Master List (BBG Linked).xlsx]Equities!R180C30</stp>
        <tr r="AD180" s="2"/>
        <tr r="AD180" s="2"/>
        <tr r="AD180" s="2"/>
      </tp>
      <tp t="s">
        <v>Equity</v>
        <stp/>
        <stp>##V3_BDPV12</stp>
        <stp>MSFT US Equity</stp>
        <stp>EX028</stp>
        <stp>[DPM - Securities Master List (BBG Linked).xlsx]Equities!R181C30</stp>
        <tr r="AD181" s="2"/>
        <tr r="AD181" s="2"/>
        <tr r="AD181" s="2"/>
      </tp>
      <tp t="s">
        <v>Equity</v>
        <stp/>
        <stp>##V3_BDPV12</stp>
        <stp>MSFT US Equity</stp>
        <stp>EX028</stp>
        <stp>[DPM - Securities Master List (BBG Linked).xlsx]Equities!R186C30</stp>
        <tr r="AD186" s="2"/>
        <tr r="AD186" s="2"/>
        <tr r="AD186" s="2"/>
      </tp>
      <tp t="s">
        <v>Equity</v>
        <stp/>
        <stp>##V3_BDPV12</stp>
        <stp>MSFT US Equity</stp>
        <stp>EX028</stp>
        <stp>[DPM - Securities Master List (BBG Linked).xlsx]Equities!R187C30</stp>
        <tr r="AD187" s="2"/>
        <tr r="AD187" s="2"/>
        <tr r="AD187" s="2"/>
      </tp>
      <tp t="s">
        <v>Equity</v>
        <stp/>
        <stp>##V3_BDPV12</stp>
        <stp>MSFT US Equity</stp>
        <stp>EX028</stp>
        <stp>[DPM - Securities Master List (BBG Linked).xlsx]Equities!R184C30</stp>
        <tr r="AD184" s="2"/>
        <tr r="AD184" s="2"/>
        <tr r="AD184" s="2"/>
      </tp>
      <tp t="s">
        <v>Equity</v>
        <stp/>
        <stp>##V3_BDPV12</stp>
        <stp>MSFT US Equity</stp>
        <stp>EX028</stp>
        <stp>[DPM - Securities Master List (BBG Linked).xlsx]Equities!R185C30</stp>
        <tr r="AD185" s="2"/>
        <tr r="AD185" s="2"/>
        <tr r="AD185" s="2"/>
      </tp>
      <tp t="s">
        <v>Equity</v>
        <stp/>
        <stp>##V3_BDPV12</stp>
        <stp>MSFT US Equity</stp>
        <stp>EX028</stp>
        <stp>[DPM - Securities Master List (BBG Linked).xlsx]Equities!R188C30</stp>
        <tr r="AD188" s="2"/>
        <tr r="AD188" s="2"/>
        <tr r="AD188" s="2"/>
      </tp>
      <tp>
        <v>43.298530162733535</v>
        <stp/>
        <stp>##V3_BDPV12</stp>
        <stp>NVDA US Equity</stp>
        <stp>RR908</stp>
        <stp>[DPM - Securities Master List (BBG Linked).xlsx]Equities!R224C32</stp>
        <tr r="AF224" s="2"/>
        <tr r="AF224" s="2"/>
        <tr r="AF224" s="2"/>
      </tp>
      <tp>
        <v>34.873715715156948</v>
        <stp/>
        <stp>##V3_BDPV12</stp>
        <stp>NVDA US Equity</stp>
        <stp>RR903</stp>
        <stp>[DPM - Securities Master List (BBG Linked).xlsx]Equities!R224C13</stp>
        <tr r="M224" s="2"/>
        <tr r="M224" s="2"/>
        <tr r="M224" s="2"/>
      </tp>
      <tp>
        <v>38.423550976343371</v>
        <stp/>
        <stp>##V3_BDPV12</stp>
        <stp>NVDA US Equity</stp>
        <stp>RR900</stp>
        <stp>[DPM - Securities Master List (BBG Linked).xlsx]Equities!R224C11</stp>
        <tr r="K224" s="2"/>
        <tr r="K224" s="2"/>
        <tr r="K224" s="2"/>
      </tp>
      <tp t="s">
        <v>Alphabet Inc</v>
        <stp/>
        <stp>##V3_BDPV12</stp>
        <stp>GOOGL US Equity</stp>
        <stp>SECURITY NAME</stp>
        <stp>[DPM - Securities Master List (BBG Linked).xlsx]Equities!R128C5</stp>
        <tr r="E128" s="2"/>
      </tp>
      <tp t="s">
        <v>Alphabet Inc</v>
        <stp/>
        <stp>##V3_BDPV12</stp>
        <stp>GOOGL US Equity</stp>
        <stp>SECURITY NAME</stp>
        <stp>[DPM - Securities Master List (BBG Linked).xlsx]Equities!R138C5</stp>
        <tr r="E138" s="2"/>
      </tp>
      <tp>
        <v>26</v>
        <stp/>
        <stp>##V3_BDPV12</stp>
        <stp>PYPL US Equity</stp>
        <stp>TOT_BUY_REC</stp>
        <stp>[DPM - Securities Master List (BBG Linked).xlsx]Equities!R239C34</stp>
        <tr r="AH239" s="2"/>
      </tp>
      <tp>
        <v>26</v>
        <stp/>
        <stp>##V3_BDPV12</stp>
        <stp>PYPL US Equity</stp>
        <stp>TOT_BUY_REC</stp>
        <stp>[DPM - Securities Master List (BBG Linked).xlsx]Equities!R238C34</stp>
        <tr r="AH238" s="2"/>
      </tp>
      <tp>
        <v>26</v>
        <stp/>
        <stp>##V3_BDPV12</stp>
        <stp>PYPL US Equity</stp>
        <stp>TOT_BUY_REC</stp>
        <stp>[DPM - Securities Master List (BBG Linked).xlsx]Equities!R237C34</stp>
        <tr r="AH237" s="2"/>
      </tp>
      <tp t="s">
        <v>Adobe Inc</v>
        <stp/>
        <stp>##V3_BDPV12</stp>
        <stp>ADBE US Equity</stp>
        <stp>SECURITY NAME</stp>
        <stp>[DPM - Securities Master List (BBG Linked).xlsx]Equities!R43C5</stp>
        <tr r="E43" s="2"/>
      </tp>
      <tp t="s">
        <v>Dell Technologies Inc</v>
        <stp/>
        <stp>##V3_BDPV12</stp>
        <stp>DELL US Equity</stp>
        <stp>SECURITY NAME</stp>
        <stp>[DPM - Securities Master List (BBG Linked).xlsx]Equities!R96C5</stp>
        <tr r="E96" s="2"/>
      </tp>
    </main>
    <main first="bofaddin.rtdserver">
      <tp t="e">
        <v>#N/A</v>
        <stp/>
        <stp>BDP|213652066839997060</stp>
        <tr r="AJ86" s="1"/>
        <tr r="AJ86" s="1"/>
        <tr r="AJ133" s="1"/>
        <tr r="AJ133" s="1"/>
      </tp>
      <tp t="e">
        <v>#N/A</v>
        <stp/>
        <stp>BDP|921159983496988693</stp>
        <tr r="N98" s="1"/>
        <tr r="N79" s="1"/>
        <tr r="N5" s="1"/>
        <tr r="N155" s="1"/>
        <tr r="N118" s="1"/>
      </tp>
      <tp t="e">
        <v>#N/A</v>
        <stp/>
        <stp>BDP|419850432954389689</stp>
        <tr r="V105" s="1"/>
      </tp>
      <tp t="e">
        <v>#N/A</v>
        <stp/>
        <stp>BDP|351811473412287471</stp>
        <tr r="Q44" s="1"/>
      </tp>
    </main>
    <main first="bloomberg.rtd">
      <tp t="s">
        <v>BioMarin Pharmaceutical Inc</v>
        <stp/>
        <stp>##V3_BDPV12</stp>
        <stp>BMRN US Equity</stp>
        <stp>SECURITY NAME</stp>
        <stp>[DPM - Securities Master List (BBG Linked).xlsx]Equities!R70C5</stp>
        <tr r="E70" s="2"/>
      </tp>
    </main>
    <main first="bofaddin.rtdserver">
      <tp t="e">
        <v>#N/A</v>
        <stp/>
        <stp>BDP|585512727358210609</stp>
        <tr r="F129" s="3"/>
        <tr r="F128" s="3"/>
        <tr r="F127" s="3"/>
        <tr r="F126" s="3"/>
        <tr r="F125" s="3"/>
        <tr r="F124" s="3"/>
        <tr r="F123" s="3"/>
        <tr r="F122" s="3"/>
        <tr r="F121" s="3"/>
        <tr r="F120" s="3"/>
      </tp>
      <tp t="e">
        <v>#N/A</v>
        <stp/>
        <stp>BDP|536217112828706230</stp>
        <tr r="AU69" s="1"/>
        <tr r="AU69" s="1"/>
        <tr r="AU69" s="1"/>
        <tr r="AU57" s="1"/>
        <tr r="AU57" s="1"/>
        <tr r="AU57" s="1"/>
      </tp>
      <tp t="e">
        <v>#N/A</v>
        <stp/>
        <stp>BDP|714873705805131470</stp>
        <tr r="K99" s="3"/>
        <tr r="K98" s="3"/>
        <tr r="K97" s="3"/>
      </tp>
    </main>
    <main first="bloomberg.rtd">
      <tp t="s">
        <v>USD</v>
        <stp/>
        <stp>##V3_BDPV12</stp>
        <stp>AAL US Equity</stp>
        <stp>CRNCY</stp>
        <stp>[DPM - Securities Master List (BBG Linked).xlsx]Equities!R31C6</stp>
        <tr r="F31" s="2"/>
      </tp>
      <tp t="s">
        <v>GBp</v>
        <stp/>
        <stp>##V3_BDPV12</stp>
        <stp>BP/ LN Equity</stp>
        <stp>CRNCY</stp>
        <stp>[DPM - Securities Master List (BBG Linked).xlsx]Equities!R81C6</stp>
        <tr r="F81" s="2"/>
      </tp>
      <tp t="s">
        <v>GBp</v>
        <stp/>
        <stp>##V3_BDPV12</stp>
        <stp>AZN LN Equity</stp>
        <stp>CRNCY</stp>
        <stp>[DPM - Securities Master List (BBG Linked).xlsx]Equities!R51C6</stp>
        <tr r="F51" s="2"/>
      </tp>
      <tp t="s">
        <v>GBp</v>
        <stp/>
        <stp>##V3_BDPV12</stp>
        <stp>AZN LN Equity</stp>
        <stp>CRNCY</stp>
        <stp>[DPM - Securities Master List (BBG Linked).xlsx]Equities!R61C6</stp>
        <tr r="F61" s="2"/>
      </tp>
      <tp>
        <v>65171.354273190002</v>
        <stp/>
        <stp>##V3_BDPV12</stp>
        <stp>DELL US Equity</stp>
        <stp>CRNCY_ADJ_MKT_CAP</stp>
        <stp>[DPM - Securities Master List (BBG Linked).xlsx]Equities!R99C9</stp>
        <stp>EQY_FUND_CRNCY=USD</stp>
        <tr r="I99" s="2"/>
      </tp>
      <tp>
        <v>65171.354273190002</v>
        <stp/>
        <stp>##V3_BDPV12</stp>
        <stp>DELL US Equity</stp>
        <stp>CRNCY_ADJ_MKT_CAP</stp>
        <stp>[DPM - Securities Master List (BBG Linked).xlsx]Equities!R98C9</stp>
        <stp>EQY_FUND_CRNCY=USD</stp>
        <tr r="I98" s="2"/>
      </tp>
      <tp>
        <v>65171.354273190002</v>
        <stp/>
        <stp>##V3_BDPV12</stp>
        <stp>DELL US Equity</stp>
        <stp>CRNCY_ADJ_MKT_CAP</stp>
        <stp>[DPM - Securities Master List (BBG Linked).xlsx]Equities!R93C9</stp>
        <stp>EQY_FUND_CRNCY=USD</stp>
        <tr r="I93" s="2"/>
      </tp>
      <tp>
        <v>65171.354273190002</v>
        <stp/>
        <stp>##V3_BDPV12</stp>
        <stp>DELL US Equity</stp>
        <stp>CRNCY_ADJ_MKT_CAP</stp>
        <stp>[DPM - Securities Master List (BBG Linked).xlsx]Equities!R92C9</stp>
        <stp>EQY_FUND_CRNCY=USD</stp>
        <tr r="I92" s="2"/>
      </tp>
      <tp>
        <v>65171.354273190002</v>
        <stp/>
        <stp>##V3_BDPV12</stp>
        <stp>DELL US Equity</stp>
        <stp>CRNCY_ADJ_MKT_CAP</stp>
        <stp>[DPM - Securities Master List (BBG Linked).xlsx]Equities!R95C9</stp>
        <stp>EQY_FUND_CRNCY=USD</stp>
        <tr r="I95" s="2"/>
      </tp>
      <tp>
        <v>65171.354273190002</v>
        <stp/>
        <stp>##V3_BDPV12</stp>
        <stp>DELL US Equity</stp>
        <stp>CRNCY_ADJ_MKT_CAP</stp>
        <stp>[DPM - Securities Master List (BBG Linked).xlsx]Equities!R94C9</stp>
        <stp>EQY_FUND_CRNCY=USD</stp>
        <tr r="I94" s="2"/>
      </tp>
      <tp>
        <v>20.840855365499579</v>
        <stp/>
        <stp>##V3_BDPV12</stp>
        <stp>MSFT US Equity</stp>
        <stp>RR957</stp>
        <stp>[DPM - Securities Master List (BBG Linked).xlsx]Equities!R188C14</stp>
        <tr r="N188" s="2"/>
        <tr r="N188" s="2"/>
        <tr r="N188" s="2"/>
      </tp>
      <tp>
        <v>20.840855365499579</v>
        <stp/>
        <stp>##V3_BDPV12</stp>
        <stp>MSFT US Equity</stp>
        <stp>RR957</stp>
        <stp>[DPM - Securities Master List (BBG Linked).xlsx]Equities!R183C14</stp>
        <tr r="N183" s="2"/>
        <tr r="N183" s="2"/>
        <tr r="N183" s="2"/>
      </tp>
      <tp>
        <v>20.840855365499579</v>
        <stp/>
        <stp>##V3_BDPV12</stp>
        <stp>MSFT US Equity</stp>
        <stp>RR957</stp>
        <stp>[DPM - Securities Master List (BBG Linked).xlsx]Equities!R182C14</stp>
        <tr r="N182" s="2"/>
        <tr r="N182" s="2"/>
        <tr r="N182" s="2"/>
      </tp>
      <tp>
        <v>20.840855365499579</v>
        <stp/>
        <stp>##V3_BDPV12</stp>
        <stp>MSFT US Equity</stp>
        <stp>RR957</stp>
        <stp>[DPM - Securities Master List (BBG Linked).xlsx]Equities!R181C14</stp>
        <tr r="N181" s="2"/>
        <tr r="N181" s="2"/>
        <tr r="N181" s="2"/>
      </tp>
      <tp>
        <v>20.840855365499579</v>
        <stp/>
        <stp>##V3_BDPV12</stp>
        <stp>MSFT US Equity</stp>
        <stp>RR957</stp>
        <stp>[DPM - Securities Master List (BBG Linked).xlsx]Equities!R180C14</stp>
        <tr r="N180" s="2"/>
        <tr r="N180" s="2"/>
        <tr r="N180" s="2"/>
      </tp>
      <tp>
        <v>20.840855365499579</v>
        <stp/>
        <stp>##V3_BDPV12</stp>
        <stp>MSFT US Equity</stp>
        <stp>RR957</stp>
        <stp>[DPM - Securities Master List (BBG Linked).xlsx]Equities!R187C14</stp>
        <tr r="N187" s="2"/>
        <tr r="N187" s="2"/>
        <tr r="N187" s="2"/>
      </tp>
      <tp>
        <v>20.840855365499579</v>
        <stp/>
        <stp>##V3_BDPV12</stp>
        <stp>MSFT US Equity</stp>
        <stp>RR957</stp>
        <stp>[DPM - Securities Master List (BBG Linked).xlsx]Equities!R186C14</stp>
        <tr r="N186" s="2"/>
        <tr r="N186" s="2"/>
        <tr r="N186" s="2"/>
      </tp>
      <tp>
        <v>20.840855365499579</v>
        <stp/>
        <stp>##V3_BDPV12</stp>
        <stp>MSFT US Equity</stp>
        <stp>RR957</stp>
        <stp>[DPM - Securities Master List (BBG Linked).xlsx]Equities!R185C14</stp>
        <tr r="N185" s="2"/>
        <tr r="N185" s="2"/>
        <tr r="N185" s="2"/>
      </tp>
      <tp>
        <v>20.840855365499579</v>
        <stp/>
        <stp>##V3_BDPV12</stp>
        <stp>MSFT US Equity</stp>
        <stp>RR957</stp>
        <stp>[DPM - Securities Master List (BBG Linked).xlsx]Equities!R184C14</stp>
        <tr r="N184" s="2"/>
        <tr r="N184" s="2"/>
        <tr r="N184" s="2"/>
      </tp>
      <tp>
        <v>20.840855365499579</v>
        <stp/>
        <stp>##V3_BDPV12</stp>
        <stp>MSFT US Equity</stp>
        <stp>RR957</stp>
        <stp>[DPM - Securities Master List (BBG Linked).xlsx]Equities!R179C14</stp>
        <tr r="N179" s="2"/>
        <tr r="N179" s="2"/>
        <tr r="N179" s="2"/>
      </tp>
      <tp>
        <v>20.840855365499579</v>
        <stp/>
        <stp>##V3_BDPV12</stp>
        <stp>MSFT US Equity</stp>
        <stp>RR957</stp>
        <stp>[DPM - Securities Master List (BBG Linked).xlsx]Equities!R178C14</stp>
        <tr r="N178" s="2"/>
        <tr r="N178" s="2"/>
        <tr r="N178" s="2"/>
      </tp>
      <tp>
        <v>20.840855365499579</v>
        <stp/>
        <stp>##V3_BDPV12</stp>
        <stp>MSFT US Equity</stp>
        <stp>RR957</stp>
        <stp>[DPM - Securities Master List (BBG Linked).xlsx]Equities!R173C14</stp>
        <tr r="N173" s="2"/>
        <tr r="N173" s="2"/>
        <tr r="N173" s="2"/>
      </tp>
      <tp>
        <v>20.840855365499579</v>
        <stp/>
        <stp>##V3_BDPV12</stp>
        <stp>MSFT US Equity</stp>
        <stp>RR957</stp>
        <stp>[DPM - Securities Master List (BBG Linked).xlsx]Equities!R172C14</stp>
        <tr r="N172" s="2"/>
        <tr r="N172" s="2"/>
        <tr r="N172" s="2"/>
      </tp>
      <tp>
        <v>20.840855365499579</v>
        <stp/>
        <stp>##V3_BDPV12</stp>
        <stp>MSFT US Equity</stp>
        <stp>RR957</stp>
        <stp>[DPM - Securities Master List (BBG Linked).xlsx]Equities!R171C14</stp>
        <tr r="N171" s="2"/>
        <tr r="N171" s="2"/>
        <tr r="N171" s="2"/>
      </tp>
      <tp>
        <v>20.840855365499579</v>
        <stp/>
        <stp>##V3_BDPV12</stp>
        <stp>MSFT US Equity</stp>
        <stp>RR957</stp>
        <stp>[DPM - Securities Master List (BBG Linked).xlsx]Equities!R170C14</stp>
        <tr r="N170" s="2"/>
        <tr r="N170" s="2"/>
        <tr r="N170" s="2"/>
      </tp>
      <tp>
        <v>20.840855365499579</v>
        <stp/>
        <stp>##V3_BDPV12</stp>
        <stp>MSFT US Equity</stp>
        <stp>RR957</stp>
        <stp>[DPM - Securities Master List (BBG Linked).xlsx]Equities!R177C14</stp>
        <tr r="N177" s="2"/>
        <tr r="N177" s="2"/>
        <tr r="N177" s="2"/>
      </tp>
      <tp>
        <v>20.840855365499579</v>
        <stp/>
        <stp>##V3_BDPV12</stp>
        <stp>MSFT US Equity</stp>
        <stp>RR957</stp>
        <stp>[DPM - Securities Master List (BBG Linked).xlsx]Equities!R176C14</stp>
        <tr r="N176" s="2"/>
        <tr r="N176" s="2"/>
        <tr r="N176" s="2"/>
      </tp>
      <tp>
        <v>20.840855365499579</v>
        <stp/>
        <stp>##V3_BDPV12</stp>
        <stp>MSFT US Equity</stp>
        <stp>RR957</stp>
        <stp>[DPM - Securities Master List (BBG Linked).xlsx]Equities!R175C14</stp>
        <tr r="N175" s="2"/>
        <tr r="N175" s="2"/>
        <tr r="N175" s="2"/>
      </tp>
      <tp>
        <v>20.840855365499579</v>
        <stp/>
        <stp>##V3_BDPV12</stp>
        <stp>MSFT US Equity</stp>
        <stp>RR957</stp>
        <stp>[DPM - Securities Master List (BBG Linked).xlsx]Equities!R174C14</stp>
        <tr r="N174" s="2"/>
        <tr r="N174" s="2"/>
        <tr r="N174" s="2"/>
      </tp>
      <tp>
        <v>65171.354273190002</v>
        <stp/>
        <stp>##V3_BDPV12</stp>
        <stp>DELL US Equity</stp>
        <stp>CRNCY_ADJ_MKT_CAP</stp>
        <stp>[DPM - Securities Master List (BBG Linked).xlsx]Equities!R97C9</stp>
        <stp>EQY_FUND_CRNCY=USD</stp>
        <tr r="I97" s="2"/>
      </tp>
      <tp>
        <v>65171.354273190002</v>
        <stp/>
        <stp>##V3_BDPV12</stp>
        <stp>DELL US Equity</stp>
        <stp>CRNCY_ADJ_MKT_CAP</stp>
        <stp>[DPM - Securities Master List (BBG Linked).xlsx]Equities!R96C9</stp>
        <stp>EQY_FUND_CRNCY=USD</stp>
        <tr r="I96" s="2"/>
      </tp>
      <tp>
        <v>-15.83774</v>
        <stp/>
        <stp>##V3_BDPV12</stp>
        <stp>NVDA US Equity</stp>
        <stp>PR079</stp>
        <stp>[DPM - Securities Master List (BBG Linked).xlsx]Equities!R224C43</stp>
        <tr r="AQ224" s="2"/>
      </tp>
      <tp>
        <v>7.7829626530082576</v>
        <stp/>
        <stp>##V3_BDPV12</stp>
        <stp>REGN US Equity</stp>
        <stp>RR041</stp>
        <stp>[DPM - Securities Master List (BBG Linked).xlsx]Equities!R241C33</stp>
        <tr r="AG241" s="2"/>
        <tr r="AG241" s="2"/>
        <tr r="AG241" s="2"/>
      </tp>
      <tp t="s">
        <v>N</v>
        <stp/>
        <stp>##V3_BDPV12</stp>
        <stp>AMZN  US Equity</stp>
        <stp>DY997</stp>
        <stp>[DPM - Securities Master List (BBG Linked).xlsx]Equities!R50C47</stp>
        <tr r="AU50" s="2"/>
        <tr r="AU50" s="2"/>
        <tr r="AU50" s="2"/>
      </tp>
      <tp>
        <v>14.596681090415066</v>
        <stp/>
        <stp>##V3_BDPV12</stp>
        <stp>AMZN  US Equity</stp>
        <stp>RR957</stp>
        <stp>[DPM - Securities Master List (BBG Linked).xlsx]Equities!R50C14</stp>
        <tr r="N50" s="2"/>
        <tr r="N50" s="2"/>
        <tr r="N50" s="2"/>
      </tp>
      <tp>
        <v>30.623718507884238</v>
        <stp/>
        <stp>##V3_BDPV12</stp>
        <stp>AMZN  US Equity</stp>
        <stp>RR900</stp>
        <stp>[DPM - Securities Master List (BBG Linked).xlsx]Equities!R50C11</stp>
        <tr r="K50" s="2"/>
        <tr r="K50" s="2"/>
        <tr r="K50" s="2"/>
      </tp>
      <tp>
        <v>6.4692852211318437</v>
        <stp/>
        <stp>##V3_BDPV12</stp>
        <stp>AMZN  US Equity</stp>
        <stp>RR903</stp>
        <stp>[DPM - Securities Master List (BBG Linked).xlsx]Equities!R50C13</stp>
        <tr r="M50" s="2"/>
        <tr r="M50" s="2"/>
        <tr r="M50" s="2"/>
      </tp>
      <tp>
        <v>17.22717929756837</v>
        <stp/>
        <stp>##V3_BDPV12</stp>
        <stp>AMZN  US Equity</stp>
        <stp>RR908</stp>
        <stp>[DPM - Securities Master List (BBG Linked).xlsx]Equities!R50C32</stp>
        <tr r="AF50" s="2"/>
        <tr r="AF50" s="2"/>
        <tr r="AF50" s="2"/>
      </tp>
      <tp t="s">
        <v>Alphabet Inc</v>
        <stp/>
        <stp>##V3_BDPV12</stp>
        <stp>GOOGL US Equity</stp>
        <stp>SECURITY NAME</stp>
        <stp>[DPM - Securities Master List (BBG Linked).xlsx]Equities!R129C5</stp>
        <tr r="E129" s="2"/>
      </tp>
      <tp t="s">
        <v>Alphabet Inc</v>
        <stp/>
        <stp>##V3_BDPV12</stp>
        <stp>GOOGL US Equity</stp>
        <stp>SECURITY NAME</stp>
        <stp>[DPM - Securities Master List (BBG Linked).xlsx]Equities!R139C5</stp>
        <tr r="E139" s="2"/>
      </tp>
      <tp>
        <v>0</v>
        <stp/>
        <stp>##V3_BDPV12</stp>
        <stp>9888 HK Equity</stp>
        <stp>TOT_SELL_REC</stp>
        <stp>[DPM - Securities Master List (BBG Linked).xlsx]Equities!R15C36</stp>
        <tr r="AJ15" s="2"/>
      </tp>
      <tp>
        <v>0</v>
        <stp/>
        <stp>##V3_BDPV12</stp>
        <stp>9888 HK Equity</stp>
        <stp>TOT_SELL_REC</stp>
        <stp>[DPM - Securities Master List (BBG Linked).xlsx]Equities!R17C36</stp>
        <tr r="AJ17" s="2"/>
      </tp>
      <tp>
        <v>0</v>
        <stp/>
        <stp>##V3_BDPV12</stp>
        <stp>9888 HK Equity</stp>
        <stp>TOT_SELL_REC</stp>
        <stp>[DPM - Securities Master List (BBG Linked).xlsx]Equities!R16C36</stp>
        <tr r="AJ16" s="2"/>
      </tp>
      <tp>
        <v>0</v>
        <stp/>
        <stp>##V3_BDPV12</stp>
        <stp>9888 HK Equity</stp>
        <stp>TOT_SELL_REC</stp>
        <stp>[DPM - Securities Master List (BBG Linked).xlsx]Equities!R19C36</stp>
        <tr r="AJ19" s="2"/>
      </tp>
      <tp>
        <v>0</v>
        <stp/>
        <stp>##V3_BDPV12</stp>
        <stp>9888 HK Equity</stp>
        <stp>TOT_SELL_REC</stp>
        <stp>[DPM - Securities Master List (BBG Linked).xlsx]Equities!R18C36</stp>
        <tr r="AJ18" s="2"/>
      </tp>
      <tp>
        <v>0</v>
        <stp/>
        <stp>##V3_BDPV12</stp>
        <stp>9888 HK Equity</stp>
        <stp>TOT_SELL_REC</stp>
        <stp>[DPM - Securities Master List (BBG Linked).xlsx]Equities!R25C36</stp>
        <tr r="AJ25" s="2"/>
      </tp>
      <tp>
        <v>0</v>
        <stp/>
        <stp>##V3_BDPV12</stp>
        <stp>9888 HK Equity</stp>
        <stp>TOT_SELL_REC</stp>
        <stp>[DPM - Securities Master List (BBG Linked).xlsx]Equities!R24C36</stp>
        <tr r="AJ24" s="2"/>
      </tp>
      <tp>
        <v>0</v>
        <stp/>
        <stp>##V3_BDPV12</stp>
        <stp>9888 HK Equity</stp>
        <stp>TOT_SELL_REC</stp>
        <stp>[DPM - Securities Master List (BBG Linked).xlsx]Equities!R27C36</stp>
        <tr r="AJ27" s="2"/>
      </tp>
      <tp>
        <v>0</v>
        <stp/>
        <stp>##V3_BDPV12</stp>
        <stp>9888 HK Equity</stp>
        <stp>TOT_SELL_REC</stp>
        <stp>[DPM - Securities Master List (BBG Linked).xlsx]Equities!R26C36</stp>
        <tr r="AJ26" s="2"/>
      </tp>
      <tp>
        <v>0</v>
        <stp/>
        <stp>##V3_BDPV12</stp>
        <stp>9888 HK Equity</stp>
        <stp>TOT_SELL_REC</stp>
        <stp>[DPM - Securities Master List (BBG Linked).xlsx]Equities!R21C36</stp>
        <tr r="AJ21" s="2"/>
      </tp>
      <tp>
        <v>0</v>
        <stp/>
        <stp>##V3_BDPV12</stp>
        <stp>9888 HK Equity</stp>
        <stp>TOT_SELL_REC</stp>
        <stp>[DPM - Securities Master List (BBG Linked).xlsx]Equities!R20C36</stp>
        <tr r="AJ20" s="2"/>
      </tp>
      <tp>
        <v>0</v>
        <stp/>
        <stp>##V3_BDPV12</stp>
        <stp>9888 HK Equity</stp>
        <stp>TOT_SELL_REC</stp>
        <stp>[DPM - Securities Master List (BBG Linked).xlsx]Equities!R23C36</stp>
        <tr r="AJ23" s="2"/>
      </tp>
      <tp>
        <v>0</v>
        <stp/>
        <stp>##V3_BDPV12</stp>
        <stp>9888 HK Equity</stp>
        <stp>TOT_SELL_REC</stp>
        <stp>[DPM - Securities Master List (BBG Linked).xlsx]Equities!R22C36</stp>
        <tr r="AJ22" s="2"/>
      </tp>
      <tp>
        <v>2</v>
        <stp/>
        <stp>##V3_BDPV12</stp>
        <stp>3690 HK Equity</stp>
        <stp>TOT_HOLD_REC</stp>
        <stp>[DPM - Securities Master List (BBG Linked).xlsx]Equities!R14C35</stp>
        <tr r="AI14" s="2"/>
      </tp>
      <tp>
        <v>2</v>
        <stp/>
        <stp>##V3_BDPV12</stp>
        <stp>3690 HK Equity</stp>
        <stp>TOT_HOLD_REC</stp>
        <stp>[DPM - Securities Master List (BBG Linked).xlsx]Equities!R12C35</stp>
        <tr r="AI12" s="2"/>
      </tp>
      <tp>
        <v>2</v>
        <stp/>
        <stp>##V3_BDPV12</stp>
        <stp>3690 HK Equity</stp>
        <stp>TOT_HOLD_REC</stp>
        <stp>[DPM - Securities Master List (BBG Linked).xlsx]Equities!R13C35</stp>
        <tr r="AI13" s="2"/>
      </tp>
      <tp>
        <v>2</v>
        <stp/>
        <stp>##V3_BDPV12</stp>
        <stp>3690 HK Equity</stp>
        <stp>TOT_HOLD_REC</stp>
        <stp>[DPM - Securities Master List (BBG Linked).xlsx]Equities!R10C35</stp>
        <tr r="AI10" s="2"/>
      </tp>
      <tp>
        <v>2</v>
        <stp/>
        <stp>##V3_BDPV12</stp>
        <stp>3690 HK Equity</stp>
        <stp>TOT_HOLD_REC</stp>
        <stp>[DPM - Securities Master List (BBG Linked).xlsx]Equities!R11C35</stp>
        <tr r="AI11" s="2"/>
      </tp>
    </main>
    <main first="bofaddin.rtdserver">
      <tp t="e">
        <v>#N/A</v>
        <stp/>
        <stp>BDP|537431084880989470</stp>
        <tr r="L145" s="1"/>
        <tr r="L145" s="1"/>
        <tr r="L136" s="1"/>
        <tr r="L136" s="1"/>
        <tr r="AS145" s="1"/>
        <tr r="AS136" s="1"/>
      </tp>
    </main>
    <main first="bloomberg.rtd">
      <tp t="s">
        <v>Adobe Inc</v>
        <stp/>
        <stp>##V3_BDPV12</stp>
        <stp>ADBE US Equity</stp>
        <stp>SECURITY NAME</stp>
        <stp>[DPM - Securities Master List (BBG Linked).xlsx]Equities!R42C5</stp>
        <tr r="E42" s="2"/>
      </tp>
    </main>
    <main first="bofaddin.rtdserver">
      <tp t="e">
        <v>#N/A</v>
        <stp/>
        <stp>BDP|500465699117543228</stp>
        <tr r="F95" s="1"/>
        <tr r="F71" s="1"/>
      </tp>
    </main>
    <main first="bloomberg.rtd">
      <tp t="s">
        <v>Dell Technologies Inc</v>
        <stp/>
        <stp>##V3_BDPV12</stp>
        <stp>DELL US Equity</stp>
        <stp>SECURITY NAME</stp>
        <stp>[DPM - Securities Master List (BBG Linked).xlsx]Equities!R97C5</stp>
        <tr r="E97" s="2"/>
      </tp>
    </main>
    <main first="bofaddin.rtdserver">
      <tp t="e">
        <v>#N/A</v>
        <stp/>
        <stp>BDP|988331071065776923</stp>
        <tr r="F102" s="3"/>
        <tr r="F101" s="3"/>
        <tr r="F100" s="3"/>
      </tp>
      <tp t="e">
        <v>#N/A</v>
        <stp/>
        <stp>BDP|207178581565632482</stp>
        <tr r="AN16" s="3"/>
        <tr r="AN16" s="3"/>
        <tr r="AN16" s="3"/>
      </tp>
    </main>
    <main first="bloomberg.rtd">
      <tp t="s">
        <v>BioMarin Pharmaceutical Inc</v>
        <stp/>
        <stp>##V3_BDPV12</stp>
        <stp>BMRN US Equity</stp>
        <stp>SECURITY NAME</stp>
        <stp>[DPM - Securities Master List (BBG Linked).xlsx]Equities!R71C5</stp>
        <tr r="E71" s="2"/>
      </tp>
    </main>
    <main first="bofaddin.rtdserver">
      <tp t="e">
        <v>#N/A</v>
        <stp/>
        <stp>BDP|839371458429748767</stp>
        <tr r="W110" s="1"/>
      </tp>
      <tp t="e">
        <v>#N/A</v>
        <stp/>
        <stp>BDP|310231891393080031</stp>
        <tr r="V63" s="3"/>
        <tr r="V62" s="3"/>
        <tr r="V61" s="3"/>
        <tr r="V60" s="3"/>
        <tr r="V59" s="3"/>
        <tr r="V58" s="3"/>
        <tr r="V57" s="3"/>
        <tr r="V56" s="3"/>
        <tr r="V55" s="3"/>
        <tr r="V54" s="3"/>
        <tr r="V53" s="3"/>
        <tr r="V52" s="3"/>
        <tr r="V51" s="3"/>
      </tp>
    </main>
    <main first="bloomberg.rtd">
      <tp t="s">
        <v>USD</v>
        <stp/>
        <stp>##V3_BDPV12</stp>
        <stp>AAL US Equity</stp>
        <stp>CRNCY</stp>
        <stp>[DPM - Securities Master List (BBG Linked).xlsx]Equities!R30C6</stp>
        <tr r="F30" s="2"/>
      </tp>
      <tp t="s">
        <v>GBp</v>
        <stp/>
        <stp>##V3_BDPV12</stp>
        <stp>BP/ LN Equity</stp>
        <stp>CRNCY</stp>
        <stp>[DPM - Securities Master List (BBG Linked).xlsx]Equities!R80C6</stp>
        <tr r="F80" s="2"/>
      </tp>
      <tp t="s">
        <v>GBp</v>
        <stp/>
        <stp>##V3_BDPV12</stp>
        <stp>BP/ LN Equity</stp>
        <stp>CRNCY</stp>
        <stp>[DPM - Securities Master List (BBG Linked).xlsx]Equities!R90C6</stp>
        <tr r="F90" s="2"/>
      </tp>
      <tp t="s">
        <v>GBp</v>
        <stp/>
        <stp>##V3_BDPV12</stp>
        <stp>AZN LN Equity</stp>
        <stp>CRNCY</stp>
        <stp>[DPM - Securities Master List (BBG Linked).xlsx]Equities!R60C6</stp>
        <tr r="F60" s="2"/>
      </tp>
      <tp>
        <v>3</v>
        <stp/>
        <stp>##V3_BDPV12</stp>
        <stp>TCEHY US Equity</stp>
        <stp>TOT_BUY_REC</stp>
        <stp>[DPM - Securities Master List (BBG Linked).xlsx]Equities!R260C34</stp>
        <tr r="AH260" s="2"/>
      </tp>
      <tp>
        <v>3</v>
        <stp/>
        <stp>##V3_BDPV12</stp>
        <stp>TCEHY US Equity</stp>
        <stp>TOT_BUY_REC</stp>
        <stp>[DPM - Securities Master List (BBG Linked).xlsx]Equities!R259C34</stp>
        <tr r="AH259" s="2"/>
      </tp>
      <tp>
        <v>2025</v>
        <stp/>
        <stp>##V3_BDPV12</stp>
        <stp>ABF LN Equity</stp>
        <stp>PX_Last</stp>
        <stp>[DPM - Securities Master List (BBG Linked).xlsx]Equities!R35C17</stp>
        <tr r="Q35" s="2"/>
      </tp>
      <tp>
        <v>2025</v>
        <stp/>
        <stp>##V3_BDPV12</stp>
        <stp>ABF LN Equity</stp>
        <stp>PX_last</stp>
        <stp>[DPM - Securities Master List (BBG Linked).xlsx]Equities!R35C17</stp>
        <tr r="Q35" s="2"/>
      </tp>
      <tp>
        <v>19.105636291571237</v>
        <stp/>
        <stp>##V3_BDPV12</stp>
        <stp>MSFT US Equity</stp>
        <stp>RR041</stp>
        <stp>[DPM - Securities Master List (BBG Linked).xlsx]Equities!R182C33</stp>
        <tr r="AG182" s="2"/>
        <tr r="AG182" s="2"/>
        <tr r="AG182" s="2"/>
      </tp>
      <tp>
        <v>19.105636291571237</v>
        <stp/>
        <stp>##V3_BDPV12</stp>
        <stp>MSFT US Equity</stp>
        <stp>RR041</stp>
        <stp>[DPM - Securities Master List (BBG Linked).xlsx]Equities!R183C33</stp>
        <tr r="AG183" s="2"/>
        <tr r="AG183" s="2"/>
        <tr r="AG183" s="2"/>
      </tp>
      <tp>
        <v>19.105636291571237</v>
        <stp/>
        <stp>##V3_BDPV12</stp>
        <stp>MSFT US Equity</stp>
        <stp>RR041</stp>
        <stp>[DPM - Securities Master List (BBG Linked).xlsx]Equities!R180C33</stp>
        <tr r="AG180" s="2"/>
        <tr r="AG180" s="2"/>
        <tr r="AG180" s="2"/>
      </tp>
      <tp>
        <v>19.105636291571237</v>
        <stp/>
        <stp>##V3_BDPV12</stp>
        <stp>MSFT US Equity</stp>
        <stp>RR041</stp>
        <stp>[DPM - Securities Master List (BBG Linked).xlsx]Equities!R181C33</stp>
        <tr r="AG181" s="2"/>
        <tr r="AG181" s="2"/>
        <tr r="AG181" s="2"/>
      </tp>
      <tp>
        <v>19.105636291571237</v>
        <stp/>
        <stp>##V3_BDPV12</stp>
        <stp>MSFT US Equity</stp>
        <stp>RR041</stp>
        <stp>[DPM - Securities Master List (BBG Linked).xlsx]Equities!R186C33</stp>
        <tr r="AG186" s="2"/>
        <tr r="AG186" s="2"/>
        <tr r="AG186" s="2"/>
      </tp>
      <tp>
        <v>19.105636291571237</v>
        <stp/>
        <stp>##V3_BDPV12</stp>
        <stp>MSFT US Equity</stp>
        <stp>RR041</stp>
        <stp>[DPM - Securities Master List (BBG Linked).xlsx]Equities!R187C33</stp>
        <tr r="AG187" s="2"/>
        <tr r="AG187" s="2"/>
        <tr r="AG187" s="2"/>
      </tp>
      <tp>
        <v>19.105636291571237</v>
        <stp/>
        <stp>##V3_BDPV12</stp>
        <stp>MSFT US Equity</stp>
        <stp>RR041</stp>
        <stp>[DPM - Securities Master List (BBG Linked).xlsx]Equities!R184C33</stp>
        <tr r="AG184" s="2"/>
        <tr r="AG184" s="2"/>
        <tr r="AG184" s="2"/>
      </tp>
      <tp>
        <v>19.105636291571237</v>
        <stp/>
        <stp>##V3_BDPV12</stp>
        <stp>MSFT US Equity</stp>
        <stp>RR041</stp>
        <stp>[DPM - Securities Master List (BBG Linked).xlsx]Equities!R185C33</stp>
        <tr r="AG185" s="2"/>
        <tr r="AG185" s="2"/>
        <tr r="AG185" s="2"/>
      </tp>
      <tp>
        <v>19.105636291571237</v>
        <stp/>
        <stp>##V3_BDPV12</stp>
        <stp>MSFT US Equity</stp>
        <stp>RR041</stp>
        <stp>[DPM - Securities Master List (BBG Linked).xlsx]Equities!R188C33</stp>
        <tr r="AG188" s="2"/>
        <tr r="AG188" s="2"/>
        <tr r="AG188" s="2"/>
      </tp>
      <tp>
        <v>19.105636291571237</v>
        <stp/>
        <stp>##V3_BDPV12</stp>
        <stp>MSFT US Equity</stp>
        <stp>RR041</stp>
        <stp>[DPM - Securities Master List (BBG Linked).xlsx]Equities!R172C33</stp>
        <tr r="AG172" s="2"/>
        <tr r="AG172" s="2"/>
        <tr r="AG172" s="2"/>
      </tp>
      <tp>
        <v>19.105636291571237</v>
        <stp/>
        <stp>##V3_BDPV12</stp>
        <stp>MSFT US Equity</stp>
        <stp>RR041</stp>
        <stp>[DPM - Securities Master List (BBG Linked).xlsx]Equities!R173C33</stp>
        <tr r="AG173" s="2"/>
        <tr r="AG173" s="2"/>
        <tr r="AG173" s="2"/>
      </tp>
      <tp>
        <v>19.105636291571237</v>
        <stp/>
        <stp>##V3_BDPV12</stp>
        <stp>MSFT US Equity</stp>
        <stp>RR041</stp>
        <stp>[DPM - Securities Master List (BBG Linked).xlsx]Equities!R170C33</stp>
        <tr r="AG170" s="2"/>
        <tr r="AG170" s="2"/>
        <tr r="AG170" s="2"/>
      </tp>
      <tp>
        <v>19.105636291571237</v>
        <stp/>
        <stp>##V3_BDPV12</stp>
        <stp>MSFT US Equity</stp>
        <stp>RR041</stp>
        <stp>[DPM - Securities Master List (BBG Linked).xlsx]Equities!R171C33</stp>
        <tr r="AG171" s="2"/>
        <tr r="AG171" s="2"/>
        <tr r="AG171" s="2"/>
      </tp>
      <tp>
        <v>19.105636291571237</v>
        <stp/>
        <stp>##V3_BDPV12</stp>
        <stp>MSFT US Equity</stp>
        <stp>RR041</stp>
        <stp>[DPM - Securities Master List (BBG Linked).xlsx]Equities!R176C33</stp>
        <tr r="AG176" s="2"/>
        <tr r="AG176" s="2"/>
        <tr r="AG176" s="2"/>
      </tp>
      <tp>
        <v>19.105636291571237</v>
        <stp/>
        <stp>##V3_BDPV12</stp>
        <stp>MSFT US Equity</stp>
        <stp>RR041</stp>
        <stp>[DPM - Securities Master List (BBG Linked).xlsx]Equities!R177C33</stp>
        <tr r="AG177" s="2"/>
        <tr r="AG177" s="2"/>
        <tr r="AG177" s="2"/>
      </tp>
      <tp>
        <v>19.105636291571237</v>
        <stp/>
        <stp>##V3_BDPV12</stp>
        <stp>MSFT US Equity</stp>
        <stp>RR041</stp>
        <stp>[DPM - Securities Master List (BBG Linked).xlsx]Equities!R174C33</stp>
        <tr r="AG174" s="2"/>
        <tr r="AG174" s="2"/>
        <tr r="AG174" s="2"/>
      </tp>
      <tp>
        <v>19.105636291571237</v>
        <stp/>
        <stp>##V3_BDPV12</stp>
        <stp>MSFT US Equity</stp>
        <stp>RR041</stp>
        <stp>[DPM - Securities Master List (BBG Linked).xlsx]Equities!R175C33</stp>
        <tr r="AG175" s="2"/>
        <tr r="AG175" s="2"/>
        <tr r="AG175" s="2"/>
      </tp>
      <tp>
        <v>19.105636291571237</v>
        <stp/>
        <stp>##V3_BDPV12</stp>
        <stp>MSFT US Equity</stp>
        <stp>RR041</stp>
        <stp>[DPM - Securities Master List (BBG Linked).xlsx]Equities!R178C33</stp>
        <tr r="AG178" s="2"/>
        <tr r="AG178" s="2"/>
        <tr r="AG178" s="2"/>
      </tp>
      <tp>
        <v>19.105636291571237</v>
        <stp/>
        <stp>##V3_BDPV12</stp>
        <stp>MSFT US Equity</stp>
        <stp>RR041</stp>
        <stp>[DPM - Securities Master List (BBG Linked).xlsx]Equities!R179C33</stp>
        <tr r="AG179" s="2"/>
        <tr r="AG179" s="2"/>
        <tr r="AG179" s="2"/>
      </tp>
      <tp>
        <v>17543.777325359999</v>
        <stp/>
        <stp>##V3_BDPV12</stp>
        <stp>BIIB US Equity</stp>
        <stp>CRNCY_ADJ_MKT_CAP</stp>
        <stp>[DPM - Securities Master List (BBG Linked).xlsx]Equities!R62C9</stp>
        <stp>EQY_FUND_CRNCY=USD</stp>
        <tr r="I62" s="2"/>
      </tp>
      <tp>
        <v>11.022735688329439</v>
        <stp/>
        <stp>##V3_BDPV12</stp>
        <stp>REGN US Equity</stp>
        <stp>RR957</stp>
        <stp>[DPM - Securities Master List (BBG Linked).xlsx]Equities!R241C14</stp>
        <tr r="N241" s="2"/>
        <tr r="N241" s="2"/>
        <tr r="N241" s="2"/>
      </tp>
      <tp>
        <v>19.840420000000002</v>
        <stp/>
        <stp>##V3_BDPV12</stp>
        <stp>NVDA US Equity</stp>
        <stp>PR061</stp>
        <stp>[DPM - Securities Master List (BBG Linked).xlsx]Equities!R224C40</stp>
        <tr r="AN224" s="2"/>
      </tp>
      <tp>
        <v>-12.16855</v>
        <stp/>
        <stp>##V3_BDPV12</stp>
        <stp>NVDA US Equity</stp>
        <stp>PR064</stp>
        <stp>[DPM - Securities Master List (BBG Linked).xlsx]Equities!R224C41</stp>
        <tr r="AO224" s="2"/>
      </tp>
      <tp t="s">
        <v>Tencent Holdings Ltd</v>
        <stp/>
        <stp>##V3_BDPV12</stp>
        <stp>TCEHY US Equity</stp>
        <stp>SECURITY NAME</stp>
        <stp>[DPM - Securities Master List (BBG Linked).xlsx]Equities!R260C5</stp>
        <tr r="E260" s="2"/>
      </tp>
      <tp>
        <v>22</v>
        <stp/>
        <stp>##V3_BDPV12</stp>
        <stp>REGN US Equity</stp>
        <stp>TOT_BUY_REC</stp>
        <stp>[DPM - Securities Master List (BBG Linked).xlsx]Equities!R241C34</stp>
        <tr r="AH241" s="2"/>
      </tp>
      <tp>
        <v>-7.9689519999999998</v>
        <stp/>
        <stp>##V3_BDPV12</stp>
        <stp>BP/ LN Equity</stp>
        <stp>CHG_PCT_6M</stp>
        <stp>[DPM - Securities Master List (BBG Linked).xlsx]Equities!R79C42</stp>
        <tr r="AP79" s="2"/>
      </tp>
      <tp>
        <v>-7.9689519999999998</v>
        <stp/>
        <stp>##V3_BDPV12</stp>
        <stp>BP/ LN Equity</stp>
        <stp>CHG_PCT_6M</stp>
        <stp>[DPM - Securities Master List (BBG Linked).xlsx]Equities!R78C42</stp>
        <tr r="AP78" s="2"/>
      </tp>
      <tp>
        <v>-7.9689519999999998</v>
        <stp/>
        <stp>##V3_BDPV12</stp>
        <stp>BP/ LN Equity</stp>
        <stp>CHG_PCT_6M</stp>
        <stp>[DPM - Securities Master List (BBG Linked).xlsx]Equities!R77C42</stp>
        <tr r="AP77" s="2"/>
      </tp>
      <tp>
        <v>-7.9689519999999998</v>
        <stp/>
        <stp>##V3_BDPV12</stp>
        <stp>BP/ LN Equity</stp>
        <stp>CHG_PCT_6M</stp>
        <stp>[DPM - Securities Master List (BBG Linked).xlsx]Equities!R89C42</stp>
        <tr r="AP89" s="2"/>
      </tp>
      <tp>
        <v>-7.9689519999999998</v>
        <stp/>
        <stp>##V3_BDPV12</stp>
        <stp>BP/ LN Equity</stp>
        <stp>CHG_PCT_6M</stp>
        <stp>[DPM - Securities Master List (BBG Linked).xlsx]Equities!R88C42</stp>
        <tr r="AP88" s="2"/>
      </tp>
      <tp>
        <v>-7.9689519999999998</v>
        <stp/>
        <stp>##V3_BDPV12</stp>
        <stp>BP/ LN Equity</stp>
        <stp>CHG_PCT_6M</stp>
        <stp>[DPM - Securities Master List (BBG Linked).xlsx]Equities!R81C42</stp>
        <tr r="AP81" s="2"/>
      </tp>
      <tp>
        <v>-7.9689519999999998</v>
        <stp/>
        <stp>##V3_BDPV12</stp>
        <stp>BP/ LN Equity</stp>
        <stp>CHG_PCT_6M</stp>
        <stp>[DPM - Securities Master List (BBG Linked).xlsx]Equities!R80C42</stp>
        <tr r="AP80" s="2"/>
      </tp>
      <tp>
        <v>-7.9689519999999998</v>
        <stp/>
        <stp>##V3_BDPV12</stp>
        <stp>BP/ LN Equity</stp>
        <stp>CHG_PCT_6M</stp>
        <stp>[DPM - Securities Master List (BBG Linked).xlsx]Equities!R83C42</stp>
        <tr r="AP83" s="2"/>
      </tp>
      <tp>
        <v>-7.9689519999999998</v>
        <stp/>
        <stp>##V3_BDPV12</stp>
        <stp>BP/ LN Equity</stp>
        <stp>CHG_PCT_6M</stp>
        <stp>[DPM - Securities Master List (BBG Linked).xlsx]Equities!R82C42</stp>
        <tr r="AP82" s="2"/>
      </tp>
      <tp>
        <v>-7.9689519999999998</v>
        <stp/>
        <stp>##V3_BDPV12</stp>
        <stp>BP/ LN Equity</stp>
        <stp>CHG_PCT_6M</stp>
        <stp>[DPM - Securities Master List (BBG Linked).xlsx]Equities!R85C42</stp>
        <tr r="AP85" s="2"/>
      </tp>
      <tp>
        <v>-7.9689519999999998</v>
        <stp/>
        <stp>##V3_BDPV12</stp>
        <stp>BP/ LN Equity</stp>
        <stp>CHG_PCT_6M</stp>
        <stp>[DPM - Securities Master List (BBG Linked).xlsx]Equities!R84C42</stp>
        <tr r="AP84" s="2"/>
      </tp>
      <tp>
        <v>-7.9689519999999998</v>
        <stp/>
        <stp>##V3_BDPV12</stp>
        <stp>BP/ LN Equity</stp>
        <stp>CHG_PCT_6M</stp>
        <stp>[DPM - Securities Master List (BBG Linked).xlsx]Equities!R87C42</stp>
        <tr r="AP87" s="2"/>
      </tp>
      <tp>
        <v>-7.9689519999999998</v>
        <stp/>
        <stp>##V3_BDPV12</stp>
        <stp>BP/ LN Equity</stp>
        <stp>CHG_PCT_6M</stp>
        <stp>[DPM - Securities Master List (BBG Linked).xlsx]Equities!R86C42</stp>
        <tr r="AP86" s="2"/>
      </tp>
      <tp>
        <v>-7.9689519999999998</v>
        <stp/>
        <stp>##V3_BDPV12</stp>
        <stp>BP/ LN Equity</stp>
        <stp>CHG_PCT_6M</stp>
        <stp>[DPM - Securities Master List (BBG Linked).xlsx]Equities!R90C42</stp>
        <tr r="AP90" s="2"/>
      </tp>
      <tp>
        <v>1.541536</v>
        <stp/>
        <stp>##V3_BDPV12</stp>
        <stp>BP/ LN Equity</stp>
        <stp>CHG_PCT_1D</stp>
        <stp>[DPM - Securities Master List (BBG Linked).xlsx]Equities!R90C22</stp>
        <tr r="V90" s="2"/>
      </tp>
      <tp>
        <v>1.541536</v>
        <stp/>
        <stp>##V3_BDPV12</stp>
        <stp>BP/ LN Equity</stp>
        <stp>CHG_PCT_1D</stp>
        <stp>[DPM - Securities Master List (BBG Linked).xlsx]Equities!R89C22</stp>
        <tr r="V89" s="2"/>
      </tp>
      <tp>
        <v>1.541536</v>
        <stp/>
        <stp>##V3_BDPV12</stp>
        <stp>BP/ LN Equity</stp>
        <stp>CHG_PCT_1D</stp>
        <stp>[DPM - Securities Master List (BBG Linked).xlsx]Equities!R88C22</stp>
        <tr r="V88" s="2"/>
      </tp>
      <tp>
        <v>1.541536</v>
        <stp/>
        <stp>##V3_BDPV12</stp>
        <stp>BP/ LN Equity</stp>
        <stp>CHG_PCT_1D</stp>
        <stp>[DPM - Securities Master List (BBG Linked).xlsx]Equities!R81C22</stp>
        <tr r="V81" s="2"/>
      </tp>
      <tp>
        <v>1.541536</v>
        <stp/>
        <stp>##V3_BDPV12</stp>
        <stp>BP/ LN Equity</stp>
        <stp>CHG_PCT_1D</stp>
        <stp>[DPM - Securities Master List (BBG Linked).xlsx]Equities!R80C22</stp>
        <tr r="V80" s="2"/>
      </tp>
      <tp>
        <v>1.541536</v>
        <stp/>
        <stp>##V3_BDPV12</stp>
        <stp>BP/ LN Equity</stp>
        <stp>CHG_PCT_1D</stp>
        <stp>[DPM - Securities Master List (BBG Linked).xlsx]Equities!R83C22</stp>
        <tr r="V83" s="2"/>
      </tp>
      <tp>
        <v>1.541536</v>
        <stp/>
        <stp>##V3_BDPV12</stp>
        <stp>BP/ LN Equity</stp>
        <stp>CHG_PCT_1D</stp>
        <stp>[DPM - Securities Master List (BBG Linked).xlsx]Equities!R82C22</stp>
        <tr r="V82" s="2"/>
      </tp>
      <tp>
        <v>1.541536</v>
        <stp/>
        <stp>##V3_BDPV12</stp>
        <stp>BP/ LN Equity</stp>
        <stp>CHG_PCT_1D</stp>
        <stp>[DPM - Securities Master List (BBG Linked).xlsx]Equities!R85C22</stp>
        <tr r="V85" s="2"/>
      </tp>
      <tp>
        <v>1.541536</v>
        <stp/>
        <stp>##V3_BDPV12</stp>
        <stp>BP/ LN Equity</stp>
        <stp>CHG_PCT_1D</stp>
        <stp>[DPM - Securities Master List (BBG Linked).xlsx]Equities!R84C22</stp>
        <tr r="V84" s="2"/>
      </tp>
      <tp>
        <v>1.541536</v>
        <stp/>
        <stp>##V3_BDPV12</stp>
        <stp>BP/ LN Equity</stp>
        <stp>CHG_PCT_1D</stp>
        <stp>[DPM - Securities Master List (BBG Linked).xlsx]Equities!R87C22</stp>
        <tr r="V87" s="2"/>
      </tp>
      <tp>
        <v>1.541536</v>
        <stp/>
        <stp>##V3_BDPV12</stp>
        <stp>BP/ LN Equity</stp>
        <stp>CHG_PCT_1D</stp>
        <stp>[DPM - Securities Master List (BBG Linked).xlsx]Equities!R86C22</stp>
        <tr r="V86" s="2"/>
      </tp>
      <tp>
        <v>1.541536</v>
        <stp/>
        <stp>##V3_BDPV12</stp>
        <stp>BP/ LN Equity</stp>
        <stp>CHG_PCT_1D</stp>
        <stp>[DPM - Securities Master List (BBG Linked).xlsx]Equities!R79C22</stp>
        <tr r="V79" s="2"/>
      </tp>
      <tp>
        <v>1.541536</v>
        <stp/>
        <stp>##V3_BDPV12</stp>
        <stp>BP/ LN Equity</stp>
        <stp>CHG_PCT_1D</stp>
        <stp>[DPM - Securities Master List (BBG Linked).xlsx]Equities!R78C22</stp>
        <tr r="V78" s="2"/>
      </tp>
      <tp>
        <v>1.541536</v>
        <stp/>
        <stp>##V3_BDPV12</stp>
        <stp>BP/ LN Equity</stp>
        <stp>CHG_PCT_1D</stp>
        <stp>[DPM - Securities Master List (BBG Linked).xlsx]Equities!R77C22</stp>
        <tr r="V77" s="2"/>
      </tp>
      <tp>
        <v>-1.7403310000000001</v>
        <stp/>
        <stp>##V3_BDPV12</stp>
        <stp>BP/ LN Equity</stp>
        <stp>CHG_PCT_5D</stp>
        <stp>[DPM - Securities Master List (BBG Linked).xlsx]Equities!R89C23</stp>
        <tr r="W89" s="2"/>
      </tp>
      <tp>
        <v>-1.7403310000000001</v>
        <stp/>
        <stp>##V3_BDPV12</stp>
        <stp>BP/ LN Equity</stp>
        <stp>CHG_PCT_5D</stp>
        <stp>[DPM - Securities Master List (BBG Linked).xlsx]Equities!R88C23</stp>
        <tr r="W88" s="2"/>
      </tp>
      <tp>
        <v>-1.7403310000000001</v>
        <stp/>
        <stp>##V3_BDPV12</stp>
        <stp>BP/ LN Equity</stp>
        <stp>CHG_PCT_5D</stp>
        <stp>[DPM - Securities Master List (BBG Linked).xlsx]Equities!R81C23</stp>
        <tr r="W81" s="2"/>
      </tp>
      <tp>
        <v>-1.7403310000000001</v>
        <stp/>
        <stp>##V3_BDPV12</stp>
        <stp>BP/ LN Equity</stp>
        <stp>CHG_PCT_5D</stp>
        <stp>[DPM - Securities Master List (BBG Linked).xlsx]Equities!R80C23</stp>
        <tr r="W80" s="2"/>
      </tp>
      <tp>
        <v>-1.7403310000000001</v>
        <stp/>
        <stp>##V3_BDPV12</stp>
        <stp>BP/ LN Equity</stp>
        <stp>CHG_PCT_5D</stp>
        <stp>[DPM - Securities Master List (BBG Linked).xlsx]Equities!R83C23</stp>
        <tr r="W83" s="2"/>
      </tp>
      <tp>
        <v>-1.7403310000000001</v>
        <stp/>
        <stp>##V3_BDPV12</stp>
        <stp>BP/ LN Equity</stp>
        <stp>CHG_PCT_5D</stp>
        <stp>[DPM - Securities Master List (BBG Linked).xlsx]Equities!R82C23</stp>
        <tr r="W82" s="2"/>
      </tp>
      <tp>
        <v>-1.7403310000000001</v>
        <stp/>
        <stp>##V3_BDPV12</stp>
        <stp>BP/ LN Equity</stp>
        <stp>CHG_PCT_5D</stp>
        <stp>[DPM - Securities Master List (BBG Linked).xlsx]Equities!R85C23</stp>
        <tr r="W85" s="2"/>
      </tp>
      <tp>
        <v>-1.7403310000000001</v>
        <stp/>
        <stp>##V3_BDPV12</stp>
        <stp>BP/ LN Equity</stp>
        <stp>CHG_PCT_5D</stp>
        <stp>[DPM - Securities Master List (BBG Linked).xlsx]Equities!R84C23</stp>
        <tr r="W84" s="2"/>
      </tp>
      <tp>
        <v>-1.7403310000000001</v>
        <stp/>
        <stp>##V3_BDPV12</stp>
        <stp>BP/ LN Equity</stp>
        <stp>CHG_PCT_5D</stp>
        <stp>[DPM - Securities Master List (BBG Linked).xlsx]Equities!R87C23</stp>
        <tr r="W87" s="2"/>
      </tp>
      <tp>
        <v>-1.7403310000000001</v>
        <stp/>
        <stp>##V3_BDPV12</stp>
        <stp>BP/ LN Equity</stp>
        <stp>CHG_PCT_5D</stp>
        <stp>[DPM - Securities Master List (BBG Linked).xlsx]Equities!R86C23</stp>
        <tr r="W86" s="2"/>
      </tp>
      <tp>
        <v>-1.7403310000000001</v>
        <stp/>
        <stp>##V3_BDPV12</stp>
        <stp>BP/ LN Equity</stp>
        <stp>CHG_PCT_5D</stp>
        <stp>[DPM - Securities Master List (BBG Linked).xlsx]Equities!R90C23</stp>
        <tr r="W90" s="2"/>
      </tp>
      <tp>
        <v>-1.7403310000000001</v>
        <stp/>
        <stp>##V3_BDPV12</stp>
        <stp>BP/ LN Equity</stp>
        <stp>CHG_PCT_5D</stp>
        <stp>[DPM - Securities Master List (BBG Linked).xlsx]Equities!R79C23</stp>
        <tr r="W79" s="2"/>
      </tp>
      <tp>
        <v>-1.7403310000000001</v>
        <stp/>
        <stp>##V3_BDPV12</stp>
        <stp>BP/ LN Equity</stp>
        <stp>CHG_PCT_5D</stp>
        <stp>[DPM - Securities Master List (BBG Linked).xlsx]Equities!R78C23</stp>
        <tr r="W78" s="2"/>
      </tp>
      <tp>
        <v>-1.7403310000000001</v>
        <stp/>
        <stp>##V3_BDPV12</stp>
        <stp>BP/ LN Equity</stp>
        <stp>CHG_PCT_5D</stp>
        <stp>[DPM - Securities Master List (BBG Linked).xlsx]Equities!R77C23</stp>
        <tr r="W77" s="2"/>
      </tp>
      <tp>
        <v>2</v>
        <stp/>
        <stp>##V3_BDPV12</stp>
        <stp>NSRGY US Equity</stp>
        <stp>TOT_HOLD_REC</stp>
        <stp>[DPM - Securities Master List (BBG Linked).xlsx]Equities!R223C35</stp>
        <tr r="AI223" s="2"/>
      </tp>
      <tp t="s">
        <v>Energy</v>
        <stp/>
        <stp>##V3_BDPV12</stp>
        <stp>BP/ LN Equity</stp>
        <stp>DX202</stp>
        <stp>[DPM - Securities Master List (BBG Linked).xlsx]Equities!R89C8</stp>
        <tr r="H89" s="2"/>
        <tr r="H89" s="2"/>
        <tr r="H89" s="2"/>
      </tp>
      <tp t="s">
        <v>Energy</v>
        <stp/>
        <stp>##V3_BDPV12</stp>
        <stp>BP/ LN Equity</stp>
        <stp>DX202</stp>
        <stp>[DPM - Securities Master List (BBG Linked).xlsx]Equities!R79C8</stp>
        <tr r="H79" s="2"/>
        <tr r="H79" s="2"/>
        <tr r="H79" s="2"/>
      </tp>
      <tp t="s">
        <v>Health Care</v>
        <stp/>
        <stp>##V3_BDPV12</stp>
        <stp>AZN LN Equity</stp>
        <stp>DX202</stp>
        <stp>[DPM - Securities Master List (BBG Linked).xlsx]Equities!R59C8</stp>
        <tr r="H59" s="2"/>
        <tr r="H59" s="2"/>
        <tr r="H59" s="2"/>
      </tp>
      <tp>
        <v>1</v>
        <stp/>
        <stp>##V3_BDPV12</stp>
        <stp>NSRGY US Equity</stp>
        <stp>TOT_SELL_REC</stp>
        <stp>[DPM - Securities Master List (BBG Linked).xlsx]Equities!R223C36</stp>
        <tr r="AJ223" s="2"/>
      </tp>
      <tp t="s">
        <v>#N/A Invalid Override</v>
        <stp/>
        <stp>##V3_BDPV12</stp>
        <stp>PAL63444B5A9 isin</stp>
        <stp>YAS_BOND_YLD</stp>
        <stp>[DPM - Securities Master List (BBG Linked).xlsx]Bonds!R117C10</stp>
        <stp>YAS_YLD_FLAG=15</stp>
        <stp>user_local_trade_date</stp>
        <stp>45783</stp>
        <stp>Yas_bond_px</stp>
        <stp>#N/A Connection</stp>
        <tr r="J117" s="1"/>
      </tp>
      <tp t="s">
        <v>#N/A Invalid Override</v>
        <stp/>
        <stp>##V3_BDPV12</stp>
        <stp>PAL63444B5A9 isin</stp>
        <stp>YAS_BOND_YLD</stp>
        <stp>[DPM - Securities Master List (BBG Linked).xlsx]Bonds!R163C10</stp>
        <stp>YAS_YLD_FLAG=15</stp>
        <stp>user_local_trade_date</stp>
        <stp>45783</stp>
        <stp>Yas_bond_px</stp>
        <stp>#N/A Connection</stp>
        <tr r="J163" s="1"/>
      </tp>
      <tp t="s">
        <v>Industrials</v>
        <stp/>
        <stp>##V3_BDPV12</stp>
        <stp>AAL US Equity</stp>
        <stp>DX202</stp>
        <stp>[DPM - Securities Master List (BBG Linked).xlsx]Equities!R29C8</stp>
        <tr r="H29" s="2"/>
        <tr r="H29" s="2"/>
        <tr r="H29" s="2"/>
      </tp>
      <tp t="s">
        <v>Adobe Inc</v>
        <stp/>
        <stp>##V3_BDPV12</stp>
        <stp>ADBE US Equity</stp>
        <stp>SECURITY NAME</stp>
        <stp>[DPM - Securities Master List (BBG Linked).xlsx]Equities!R41C5</stp>
        <tr r="E41" s="2"/>
      </tp>
    </main>
    <main first="bofaddin.rtdserver">
      <tp t="e">
        <v>#N/A</v>
        <stp/>
        <stp>BDP|718565487350338684</stp>
        <tr r="AI94" s="3"/>
        <tr r="AI94" s="3"/>
        <tr r="AI94" s="3"/>
        <tr r="AI93" s="3"/>
        <tr r="AI93" s="3"/>
        <tr r="AI93" s="3"/>
        <tr r="AI92" s="3"/>
        <tr r="AI92" s="3"/>
        <tr r="AI92" s="3"/>
        <tr r="AI91" s="3"/>
        <tr r="AI91" s="3"/>
        <tr r="AI91" s="3"/>
        <tr r="AI90" s="3"/>
        <tr r="AI90" s="3"/>
        <tr r="AI90" s="3"/>
        <tr r="AI89" s="3"/>
        <tr r="AI89" s="3"/>
        <tr r="AI89" s="3"/>
        <tr r="AI88" s="3"/>
        <tr r="AI88" s="3"/>
        <tr r="AI88" s="3"/>
        <tr r="AI87" s="3"/>
        <tr r="AI87" s="3"/>
        <tr r="AI87" s="3"/>
        <tr r="AI86" s="3"/>
        <tr r="AI86" s="3"/>
        <tr r="AI86" s="3"/>
        <tr r="AI85" s="3"/>
        <tr r="AI85" s="3"/>
        <tr r="AI85" s="3"/>
        <tr r="AI84" s="3"/>
        <tr r="AI84" s="3"/>
        <tr r="AI84" s="3"/>
        <tr r="AI83" s="3"/>
        <tr r="AI83" s="3"/>
        <tr r="AI83" s="3"/>
        <tr r="AI82" s="3"/>
        <tr r="AI82" s="3"/>
        <tr r="AI82" s="3"/>
        <tr r="AI81" s="3"/>
        <tr r="AI81" s="3"/>
        <tr r="AI81" s="3"/>
        <tr r="AI80" s="3"/>
        <tr r="AI80" s="3"/>
        <tr r="AI80" s="3"/>
        <tr r="AI79" s="3"/>
        <tr r="AI79" s="3"/>
        <tr r="AI79" s="3"/>
      </tp>
    </main>
    <main first="bloomberg.rtd">
      <tp t="s">
        <v>Dell Technologies Inc</v>
        <stp/>
        <stp>##V3_BDPV12</stp>
        <stp>DELL US Equity</stp>
        <stp>SECURITY NAME</stp>
        <stp>[DPM - Securities Master List (BBG Linked).xlsx]Equities!R94C5</stp>
        <tr r="E94" s="2"/>
      </tp>
    </main>
    <main first="bofaddin.rtdserver">
      <tp t="e">
        <v>#N/A</v>
        <stp/>
        <stp>BDP|188542447323986919</stp>
        <tr r="AN102" s="3"/>
        <tr r="AN102" s="3"/>
        <tr r="AN102" s="3"/>
        <tr r="AN101" s="3"/>
        <tr r="AN101" s="3"/>
        <tr r="AN101" s="3"/>
        <tr r="AN100" s="3"/>
        <tr r="AN100" s="3"/>
        <tr r="AN100" s="3"/>
      </tp>
      <tp t="e">
        <v>#N/A</v>
        <stp/>
        <stp>BDP|847072206459133220</stp>
        <tr r="AM68" s="1"/>
        <tr r="AM68" s="1"/>
        <tr r="AM31" s="1"/>
        <tr r="AM31" s="1"/>
      </tp>
      <tp t="e">
        <v>#N/A</v>
        <stp/>
        <stp>BDP|701157083407348591</stp>
        <tr r="AS69" s="1"/>
        <tr r="AS57" s="1"/>
        <tr r="L69" s="1"/>
        <tr r="L69" s="1"/>
        <tr r="L57" s="1"/>
        <tr r="L57" s="1"/>
      </tp>
      <tp t="e">
        <v>#N/A</v>
        <stp/>
        <stp>BDP|101964035326709705</stp>
        <tr r="AK107" s="1"/>
        <tr r="AK107" s="1"/>
        <tr r="AK107" s="1"/>
      </tp>
    </main>
    <main first="bloomberg.rtd">
      <tp t="s">
        <v>BioMarin Pharmaceutical Inc</v>
        <stp/>
        <stp>##V3_BDPV12</stp>
        <stp>BMRN US Equity</stp>
        <stp>SECURITY NAME</stp>
        <stp>[DPM - Securities Master List (BBG Linked).xlsx]Equities!R72C5</stp>
        <tr r="E72" s="2"/>
      </tp>
    </main>
    <main first="bloomberg.rtd">
      <tp t="s">
        <v>Biogen Inc</v>
        <stp/>
        <stp>##V3_BDPV12</stp>
        <stp>BIIB US Equity</stp>
        <stp>SECURITY NAME</stp>
        <stp>[DPM - Securities Master List (BBG Linked).xlsx]Equities!R62C5</stp>
        <tr r="E62" s="2"/>
      </tp>
    </main>
    <main first="bloomberg.rtd">
      <tp t="s">
        <v>USD</v>
        <stp/>
        <stp>##V3_BDPV12</stp>
        <stp>AAL US Equity</stp>
        <stp>CRNCY</stp>
        <stp>[DPM - Securities Master List (BBG Linked).xlsx]Equities!R33C6</stp>
        <tr r="F33" s="2"/>
      </tp>
      <tp t="s">
        <v>GBp</v>
        <stp/>
        <stp>##V3_BDPV12</stp>
        <stp>BP/ LN Equity</stp>
        <stp>CRNCY</stp>
        <stp>[DPM - Securities Master List (BBG Linked).xlsx]Equities!R83C6</stp>
        <tr r="F83" s="2"/>
      </tp>
      <tp t="s">
        <v>GBp</v>
        <stp/>
        <stp>##V3_BDPV12</stp>
        <stp>AZN LN Equity</stp>
        <stp>CRNCY</stp>
        <stp>[DPM - Securities Master List (BBG Linked).xlsx]Equities!R53C6</stp>
        <tr r="F53" s="2"/>
      </tp>
      <tp t="s">
        <v>#N/A N/A</v>
        <stp/>
        <stp>##V3_BDPV12</stp>
        <stp>SMSN.LI Equity</stp>
        <stp>DY784</stp>
        <stp>[DPM - Securities Master List (BBG Linked).xlsx]Equities!R243C48</stp>
        <tr r="AV243" s="2"/>
        <tr r="AV243" s="2"/>
      </tp>
      <tp>
        <v>3.281139</v>
        <stp/>
        <stp>##V3_BDPV12</stp>
        <stp>MSFT US Equity</stp>
        <stp>PR079</stp>
        <stp>[DPM - Securities Master List (BBG Linked).xlsx]Equities!R182C43</stp>
        <tr r="AQ182" s="2"/>
      </tp>
      <tp>
        <v>3.281139</v>
        <stp/>
        <stp>##V3_BDPV12</stp>
        <stp>MSFT US Equity</stp>
        <stp>PR079</stp>
        <stp>[DPM - Securities Master List (BBG Linked).xlsx]Equities!R183C43</stp>
        <tr r="AQ183" s="2"/>
      </tp>
      <tp>
        <v>3.281139</v>
        <stp/>
        <stp>##V3_BDPV12</stp>
        <stp>MSFT US Equity</stp>
        <stp>PR079</stp>
        <stp>[DPM - Securities Master List (BBG Linked).xlsx]Equities!R180C43</stp>
        <tr r="AQ180" s="2"/>
      </tp>
      <tp>
        <v>3.281139</v>
        <stp/>
        <stp>##V3_BDPV12</stp>
        <stp>MSFT US Equity</stp>
        <stp>PR079</stp>
        <stp>[DPM - Securities Master List (BBG Linked).xlsx]Equities!R181C43</stp>
        <tr r="AQ181" s="2"/>
      </tp>
      <tp>
        <v>3.281139</v>
        <stp/>
        <stp>##V3_BDPV12</stp>
        <stp>MSFT US Equity</stp>
        <stp>PR079</stp>
        <stp>[DPM - Securities Master List (BBG Linked).xlsx]Equities!R186C43</stp>
        <tr r="AQ186" s="2"/>
      </tp>
      <tp>
        <v>3.281139</v>
        <stp/>
        <stp>##V3_BDPV12</stp>
        <stp>MSFT US Equity</stp>
        <stp>PR079</stp>
        <stp>[DPM - Securities Master List (BBG Linked).xlsx]Equities!R187C43</stp>
        <tr r="AQ187" s="2"/>
      </tp>
      <tp>
        <v>3.281139</v>
        <stp/>
        <stp>##V3_BDPV12</stp>
        <stp>MSFT US Equity</stp>
        <stp>PR079</stp>
        <stp>[DPM - Securities Master List (BBG Linked).xlsx]Equities!R184C43</stp>
        <tr r="AQ184" s="2"/>
      </tp>
      <tp>
        <v>3.281139</v>
        <stp/>
        <stp>##V3_BDPV12</stp>
        <stp>MSFT US Equity</stp>
        <stp>PR079</stp>
        <stp>[DPM - Securities Master List (BBG Linked).xlsx]Equities!R185C43</stp>
        <tr r="AQ185" s="2"/>
      </tp>
      <tp>
        <v>3.281139</v>
        <stp/>
        <stp>##V3_BDPV12</stp>
        <stp>MSFT US Equity</stp>
        <stp>PR079</stp>
        <stp>[DPM - Securities Master List (BBG Linked).xlsx]Equities!R188C43</stp>
        <tr r="AQ188" s="2"/>
      </tp>
      <tp>
        <v>3.281139</v>
        <stp/>
        <stp>##V3_BDPV12</stp>
        <stp>MSFT US Equity</stp>
        <stp>PR079</stp>
        <stp>[DPM - Securities Master List (BBG Linked).xlsx]Equities!R172C43</stp>
        <tr r="AQ172" s="2"/>
      </tp>
      <tp>
        <v>3.281139</v>
        <stp/>
        <stp>##V3_BDPV12</stp>
        <stp>MSFT US Equity</stp>
        <stp>PR079</stp>
        <stp>[DPM - Securities Master List (BBG Linked).xlsx]Equities!R173C43</stp>
        <tr r="AQ173" s="2"/>
      </tp>
      <tp>
        <v>3.281139</v>
        <stp/>
        <stp>##V3_BDPV12</stp>
        <stp>MSFT US Equity</stp>
        <stp>PR079</stp>
        <stp>[DPM - Securities Master List (BBG Linked).xlsx]Equities!R170C43</stp>
        <tr r="AQ170" s="2"/>
      </tp>
      <tp>
        <v>3.281139</v>
        <stp/>
        <stp>##V3_BDPV12</stp>
        <stp>MSFT US Equity</stp>
        <stp>PR079</stp>
        <stp>[DPM - Securities Master List (BBG Linked).xlsx]Equities!R171C43</stp>
        <tr r="AQ171" s="2"/>
      </tp>
      <tp>
        <v>3.281139</v>
        <stp/>
        <stp>##V3_BDPV12</stp>
        <stp>MSFT US Equity</stp>
        <stp>PR079</stp>
        <stp>[DPM - Securities Master List (BBG Linked).xlsx]Equities!R176C43</stp>
        <tr r="AQ176" s="2"/>
      </tp>
      <tp>
        <v>3.281139</v>
        <stp/>
        <stp>##V3_BDPV12</stp>
        <stp>MSFT US Equity</stp>
        <stp>PR079</stp>
        <stp>[DPM - Securities Master List (BBG Linked).xlsx]Equities!R177C43</stp>
        <tr r="AQ177" s="2"/>
      </tp>
      <tp>
        <v>3.281139</v>
        <stp/>
        <stp>##V3_BDPV12</stp>
        <stp>MSFT US Equity</stp>
        <stp>PR079</stp>
        <stp>[DPM - Securities Master List (BBG Linked).xlsx]Equities!R174C43</stp>
        <tr r="AQ174" s="2"/>
      </tp>
      <tp>
        <v>3.281139</v>
        <stp/>
        <stp>##V3_BDPV12</stp>
        <stp>MSFT US Equity</stp>
        <stp>PR079</stp>
        <stp>[DPM - Securities Master List (BBG Linked).xlsx]Equities!R175C43</stp>
        <tr r="AQ175" s="2"/>
      </tp>
      <tp>
        <v>3.281139</v>
        <stp/>
        <stp>##V3_BDPV12</stp>
        <stp>MSFT US Equity</stp>
        <stp>PR079</stp>
        <stp>[DPM - Securities Master List (BBG Linked).xlsx]Equities!R178C43</stp>
        <tr r="AQ178" s="2"/>
      </tp>
      <tp>
        <v>3.281139</v>
        <stp/>
        <stp>##V3_BDPV12</stp>
        <stp>MSFT US Equity</stp>
        <stp>PR079</stp>
        <stp>[DPM - Securities Master List (BBG Linked).xlsx]Equities!R179C43</stp>
        <tr r="AQ179" s="2"/>
      </tp>
      <tp t="s">
        <v>#N/A Invalid Field</v>
        <stp/>
        <stp>##V3_BDPV12</stp>
        <stp>MSFT US Equity</stp>
        <stp/>
        <stp>[DPM - Securities Master List (BBG Linked).xlsx]Equities!R172C29</stp>
        <tr r="AC172" s="2"/>
        <tr r="AC172" s="2"/>
      </tp>
      <tp t="s">
        <v>#N/A Invalid Field</v>
        <stp/>
        <stp>##V3_BDPV12</stp>
        <stp>MSFT US Equity</stp>
        <stp/>
        <stp>[DPM - Securities Master List (BBG Linked).xlsx]Equities!R173C29</stp>
        <tr r="AC173" s="2"/>
        <tr r="AC173" s="2"/>
      </tp>
      <tp t="s">
        <v>#N/A Invalid Field</v>
        <stp/>
        <stp>##V3_BDPV12</stp>
        <stp>MSFT US Equity</stp>
        <stp/>
        <stp>[DPM - Securities Master List (BBG Linked).xlsx]Equities!R170C29</stp>
        <tr r="AC170" s="2"/>
        <tr r="AC170" s="2"/>
      </tp>
      <tp t="s">
        <v>#N/A Invalid Field</v>
        <stp/>
        <stp>##V3_BDPV12</stp>
        <stp>MSFT US Equity</stp>
        <stp/>
        <stp>[DPM - Securities Master List (BBG Linked).xlsx]Equities!R171C29</stp>
        <tr r="AC171" s="2"/>
        <tr r="AC171" s="2"/>
      </tp>
      <tp t="s">
        <v>#N/A Invalid Field</v>
        <stp/>
        <stp>##V3_BDPV12</stp>
        <stp>MSFT US Equity</stp>
        <stp/>
        <stp>[DPM - Securities Master List (BBG Linked).xlsx]Equities!R176C29</stp>
        <tr r="AC176" s="2"/>
        <tr r="AC176" s="2"/>
      </tp>
      <tp t="s">
        <v>#N/A Invalid Field</v>
        <stp/>
        <stp>##V3_BDPV12</stp>
        <stp>MSFT US Equity</stp>
        <stp/>
        <stp>[DPM - Securities Master List (BBG Linked).xlsx]Equities!R177C29</stp>
        <tr r="AC177" s="2"/>
        <tr r="AC177" s="2"/>
      </tp>
      <tp t="s">
        <v>#N/A Invalid Field</v>
        <stp/>
        <stp>##V3_BDPV12</stp>
        <stp>MSFT US Equity</stp>
        <stp/>
        <stp>[DPM - Securities Master List (BBG Linked).xlsx]Equities!R174C29</stp>
        <tr r="AC174" s="2"/>
        <tr r="AC174" s="2"/>
      </tp>
      <tp t="s">
        <v>#N/A Invalid Field</v>
        <stp/>
        <stp>##V3_BDPV12</stp>
        <stp>MSFT US Equity</stp>
        <stp/>
        <stp>[DPM - Securities Master List (BBG Linked).xlsx]Equities!R175C29</stp>
        <tr r="AC175" s="2"/>
        <tr r="AC175" s="2"/>
      </tp>
      <tp t="s">
        <v>#N/A Invalid Field</v>
        <stp/>
        <stp>##V3_BDPV12</stp>
        <stp>MSFT US Equity</stp>
        <stp/>
        <stp>[DPM - Securities Master List (BBG Linked).xlsx]Equities!R178C29</stp>
        <tr r="AC178" s="2"/>
        <tr r="AC178" s="2"/>
      </tp>
      <tp t="s">
        <v>#N/A Invalid Field</v>
        <stp/>
        <stp>##V3_BDPV12</stp>
        <stp>MSFT US Equity</stp>
        <stp/>
        <stp>[DPM - Securities Master List (BBG Linked).xlsx]Equities!R179C29</stp>
        <tr r="AC179" s="2"/>
        <tr r="AC179" s="2"/>
      </tp>
      <tp t="s">
        <v>#N/A Invalid Field</v>
        <stp/>
        <stp>##V3_BDPV12</stp>
        <stp>MSFT US Equity</stp>
        <stp/>
        <stp>[DPM - Securities Master List (BBG Linked).xlsx]Equities!R182C29</stp>
        <tr r="AC182" s="2"/>
        <tr r="AC182" s="2"/>
      </tp>
      <tp t="s">
        <v>#N/A Invalid Field</v>
        <stp/>
        <stp>##V3_BDPV12</stp>
        <stp>MSFT US Equity</stp>
        <stp/>
        <stp>[DPM - Securities Master List (BBG Linked).xlsx]Equities!R183C29</stp>
        <tr r="AC183" s="2"/>
        <tr r="AC183" s="2"/>
      </tp>
      <tp t="s">
        <v>#N/A Invalid Field</v>
        <stp/>
        <stp>##V3_BDPV12</stp>
        <stp>MSFT US Equity</stp>
        <stp/>
        <stp>[DPM - Securities Master List (BBG Linked).xlsx]Equities!R180C29</stp>
        <tr r="AC180" s="2"/>
        <tr r="AC180" s="2"/>
      </tp>
      <tp t="s">
        <v>#N/A Invalid Field</v>
        <stp/>
        <stp>##V3_BDPV12</stp>
        <stp>MSFT US Equity</stp>
        <stp/>
        <stp>[DPM - Securities Master List (BBG Linked).xlsx]Equities!R181C29</stp>
        <tr r="AC181" s="2"/>
        <tr r="AC181" s="2"/>
      </tp>
      <tp t="s">
        <v>#N/A Invalid Field</v>
        <stp/>
        <stp>##V3_BDPV12</stp>
        <stp>MSFT US Equity</stp>
        <stp/>
        <stp>[DPM - Securities Master List (BBG Linked).xlsx]Equities!R186C29</stp>
        <tr r="AC186" s="2"/>
        <tr r="AC186" s="2"/>
      </tp>
      <tp t="s">
        <v>#N/A Invalid Field</v>
        <stp/>
        <stp>##V3_BDPV12</stp>
        <stp>MSFT US Equity</stp>
        <stp/>
        <stp>[DPM - Securities Master List (BBG Linked).xlsx]Equities!R187C29</stp>
        <tr r="AC187" s="2"/>
        <tr r="AC187" s="2"/>
      </tp>
      <tp t="s">
        <v>#N/A Invalid Field</v>
        <stp/>
        <stp>##V3_BDPV12</stp>
        <stp>MSFT US Equity</stp>
        <stp/>
        <stp>[DPM - Securities Master List (BBG Linked).xlsx]Equities!R184C29</stp>
        <tr r="AC184" s="2"/>
        <tr r="AC184" s="2"/>
      </tp>
      <tp t="s">
        <v>#N/A Invalid Field</v>
        <stp/>
        <stp>##V3_BDPV12</stp>
        <stp>MSFT US Equity</stp>
        <stp/>
        <stp>[DPM - Securities Master List (BBG Linked).xlsx]Equities!R185C29</stp>
        <tr r="AC185" s="2"/>
        <tr r="AC185" s="2"/>
      </tp>
      <tp t="s">
        <v>#N/A Invalid Field</v>
        <stp/>
        <stp>##V3_BDPV12</stp>
        <stp>MSFT US Equity</stp>
        <stp/>
        <stp>[DPM - Securities Master List (BBG Linked).xlsx]Equities!R188C29</stp>
        <tr r="AC188" s="2"/>
        <tr r="AC188" s="2"/>
      </tp>
      <tp>
        <v>-19.684380000000001</v>
        <stp/>
        <stp>##V3_BDPV12</stp>
        <stp>REGN US Equity</stp>
        <stp>PR064</stp>
        <stp>[DPM - Securities Master List (BBG Linked).xlsx]Equities!R241C41</stp>
        <tr r="AO241" s="2"/>
      </tp>
      <tp>
        <v>1.1308720000000001</v>
        <stp/>
        <stp>##V3_BDPV12</stp>
        <stp>REGN US Equity</stp>
        <stp>PR061</stp>
        <stp>[DPM - Securities Master List (BBG Linked).xlsx]Equities!R241C40</stp>
        <tr r="AN241" s="2"/>
      </tp>
      <tp>
        <v>32.547874234483011</v>
        <stp/>
        <stp>##V3_BDPV12</stp>
        <stp>NVDA US Equity</stp>
        <stp>RR957</stp>
        <stp>[DPM - Securities Master List (BBG Linked).xlsx]Equities!R224C14</stp>
        <tr r="N224" s="2"/>
        <tr r="N224" s="2"/>
        <tr r="N224" s="2"/>
      </tp>
      <tp>
        <v>-1.196871</v>
        <stp/>
        <stp>##V3_BDPV12</stp>
        <stp>BMY US Equity</stp>
        <stp>CHG_PCT_5D</stp>
        <stp>[DPM - Securities Master List (BBG Linked).xlsx]Equities!R76C23</stp>
        <tr r="W76" s="2"/>
      </tp>
      <tp>
        <v>-12.028040000000001</v>
        <stp/>
        <stp>##V3_BDPV12</stp>
        <stp>BMY US Equity</stp>
        <stp>CHG_PCT_6M</stp>
        <stp>[DPM - Securities Master List (BBG Linked).xlsx]Equities!R76C42</stp>
        <tr r="AP76" s="2"/>
      </tp>
      <tp>
        <v>-2.8547739999999999</v>
        <stp/>
        <stp>##V3_BDPV12</stp>
        <stp>BMY US Equity</stp>
        <stp>CHG_PCT_1D</stp>
        <stp>[DPM - Securities Master List (BBG Linked).xlsx]Equities!R76C22</stp>
        <tr r="V76" s="2"/>
      </tp>
      <tp>
        <v>14</v>
        <stp/>
        <stp>##V3_BDPV12</stp>
        <stp>TGT US Equity</stp>
        <stp>TOT_BUY_REC</stp>
        <stp>[DPM - Securities Master List (BBG Linked).xlsx]Equities!R261C34</stp>
        <tr r="AH261" s="2"/>
      </tp>
      <tp>
        <v>8</v>
        <stp/>
        <stp>##V3_BDPV12</stp>
        <stp>PEP US Equity</stp>
        <stp>TOT_BUY_REC</stp>
        <stp>[DPM - Securities Master List (BBG Linked).xlsx]Equities!R235C34</stp>
        <tr r="AH235" s="2"/>
      </tp>
      <tp>
        <v>8</v>
        <stp/>
        <stp>##V3_BDPV12</stp>
        <stp>PEP US Equity</stp>
        <stp>TOT_BUY_REC</stp>
        <stp>[DPM - Securities Master List (BBG Linked).xlsx]Equities!R234C34</stp>
        <tr r="AH234" s="2"/>
      </tp>
      <tp>
        <v>8</v>
        <stp/>
        <stp>##V3_BDPV12</stp>
        <stp>PEP US Equity</stp>
        <stp>TOT_BUY_REC</stp>
        <stp>[DPM - Securities Master List (BBG Linked).xlsx]Equities!R236C34</stp>
        <tr r="AH236" s="2"/>
      </tp>
      <tp>
        <v>8</v>
        <stp/>
        <stp>##V3_BDPV12</stp>
        <stp>PEP US Equity</stp>
        <stp>TOT_BUY_REC</stp>
        <stp>[DPM - Securities Master List (BBG Linked).xlsx]Equities!R231C34</stp>
        <tr r="AH231" s="2"/>
      </tp>
      <tp>
        <v>8</v>
        <stp/>
        <stp>##V3_BDPV12</stp>
        <stp>PEP US Equity</stp>
        <stp>TOT_BUY_REC</stp>
        <stp>[DPM - Securities Master List (BBG Linked).xlsx]Equities!R230C34</stp>
        <tr r="AH230" s="2"/>
      </tp>
      <tp>
        <v>8</v>
        <stp/>
        <stp>##V3_BDPV12</stp>
        <stp>PEP US Equity</stp>
        <stp>TOT_BUY_REC</stp>
        <stp>[DPM - Securities Master List (BBG Linked).xlsx]Equities!R233C34</stp>
        <tr r="AH233" s="2"/>
      </tp>
      <tp>
        <v>8</v>
        <stp/>
        <stp>##V3_BDPV12</stp>
        <stp>PEP US Equity</stp>
        <stp>TOT_BUY_REC</stp>
        <stp>[DPM - Securities Master List (BBG Linked).xlsx]Equities!R232C34</stp>
        <tr r="AH232" s="2"/>
      </tp>
      <tp>
        <v>8</v>
        <stp/>
        <stp>##V3_BDPV12</stp>
        <stp>PEP US Equity</stp>
        <stp>TOT_BUY_REC</stp>
        <stp>[DPM - Securities Master List (BBG Linked).xlsx]Equities!R229C34</stp>
        <tr r="AH229" s="2"/>
      </tp>
      <tp>
        <v>8</v>
        <stp/>
        <stp>##V3_BDPV12</stp>
        <stp>PEP US Equity</stp>
        <stp>TOT_BUY_REC</stp>
        <stp>[DPM - Securities Master List (BBG Linked).xlsx]Equities!R228C34</stp>
        <tr r="AH228" s="2"/>
      </tp>
      <tp>
        <v>8</v>
        <stp/>
        <stp>##V3_BDPV12</stp>
        <stp>PEP US Equity</stp>
        <stp>TOT_BUY_REC</stp>
        <stp>[DPM - Securities Master List (BBG Linked).xlsx]Equities!R227C34</stp>
        <tr r="AH227" s="2"/>
      </tp>
      <tp>
        <v>7</v>
        <stp/>
        <stp>##V3_BDPV12</stp>
        <stp>GSK LN Equity</stp>
        <stp>TOT_BUY_REC</stp>
        <stp>[DPM - Securities Master List (BBG Linked).xlsx]Equities!R144C34</stp>
        <tr r="AH144" s="2"/>
      </tp>
      <tp>
        <v>7</v>
        <stp/>
        <stp>##V3_BDPV12</stp>
        <stp>GSK LN Equity</stp>
        <stp>TOT_BUY_REC</stp>
        <stp>[DPM - Securities Master List (BBG Linked).xlsx]Equities!R145C34</stp>
        <tr r="AH145" s="2"/>
      </tp>
      <tp>
        <v>7</v>
        <stp/>
        <stp>##V3_BDPV12</stp>
        <stp>GSK LN Equity</stp>
        <stp>TOT_BUY_REC</stp>
        <stp>[DPM - Securities Master List (BBG Linked).xlsx]Equities!R142C34</stp>
        <tr r="AH142" s="2"/>
      </tp>
      <tp>
        <v>7</v>
        <stp/>
        <stp>##V3_BDPV12</stp>
        <stp>GSK LN Equity</stp>
        <stp>TOT_BUY_REC</stp>
        <stp>[DPM - Securities Master List (BBG Linked).xlsx]Equities!R143C34</stp>
        <tr r="AH143" s="2"/>
      </tp>
      <tp>
        <v>2</v>
        <stp/>
        <stp>##V3_BDPV12</stp>
        <stp>DRX LN Equity</stp>
        <stp>TOT_BUY_REC</stp>
        <stp>[DPM - Securities Master List (BBG Linked).xlsx]Equities!R124C34</stp>
        <tr r="AH124" s="2"/>
      </tp>
      <tp>
        <v>2</v>
        <stp/>
        <stp>##V3_BDPV12</stp>
        <stp>DRX LN Equity</stp>
        <stp>TOT_BUY_REC</stp>
        <stp>[DPM - Securities Master List (BBG Linked).xlsx]Equities!R121C34</stp>
        <tr r="AH121" s="2"/>
      </tp>
      <tp>
        <v>2</v>
        <stp/>
        <stp>##V3_BDPV12</stp>
        <stp>DRX LN Equity</stp>
        <stp>TOT_BUY_REC</stp>
        <stp>[DPM - Securities Master List (BBG Linked).xlsx]Equities!R120C34</stp>
        <tr r="AH120" s="2"/>
      </tp>
      <tp>
        <v>2</v>
        <stp/>
        <stp>##V3_BDPV12</stp>
        <stp>DRX LN Equity</stp>
        <stp>TOT_BUY_REC</stp>
        <stp>[DPM - Securities Master List (BBG Linked).xlsx]Equities!R123C34</stp>
        <tr r="AH123" s="2"/>
      </tp>
      <tp>
        <v>2</v>
        <stp/>
        <stp>##V3_BDPV12</stp>
        <stp>DRX LN Equity</stp>
        <stp>TOT_BUY_REC</stp>
        <stp>[DPM - Securities Master List (BBG Linked).xlsx]Equities!R122C34</stp>
        <tr r="AH122" s="2"/>
      </tp>
      <tp>
        <v>2</v>
        <stp/>
        <stp>##V3_BDPV12</stp>
        <stp>DRX LN Equity</stp>
        <stp>TOT_BUY_REC</stp>
        <stp>[DPM - Securities Master List (BBG Linked).xlsx]Equities!R117C34</stp>
        <tr r="AH117" s="2"/>
      </tp>
      <tp>
        <v>2</v>
        <stp/>
        <stp>##V3_BDPV12</stp>
        <stp>DRX LN Equity</stp>
        <stp>TOT_BUY_REC</stp>
        <stp>[DPM - Securities Master List (BBG Linked).xlsx]Equities!R116C34</stp>
        <tr r="AH116" s="2"/>
      </tp>
      <tp>
        <v>2</v>
        <stp/>
        <stp>##V3_BDPV12</stp>
        <stp>DRX LN Equity</stp>
        <stp>TOT_BUY_REC</stp>
        <stp>[DPM - Securities Master List (BBG Linked).xlsx]Equities!R119C34</stp>
        <tr r="AH119" s="2"/>
      </tp>
      <tp>
        <v>2</v>
        <stp/>
        <stp>##V3_BDPV12</stp>
        <stp>DRX LN Equity</stp>
        <stp>TOT_BUY_REC</stp>
        <stp>[DPM - Securities Master List (BBG Linked).xlsx]Equities!R118C34</stp>
        <tr r="AH118" s="2"/>
      </tp>
      <tp>
        <v>15</v>
        <stp/>
        <stp>##V3_BDPV12</stp>
        <stp>DGE LN Equity</stp>
        <stp>TOT_BUY_REC</stp>
        <stp>[DPM - Securities Master List (BBG Linked).xlsx]Equities!R108C34</stp>
        <tr r="AH108" s="2"/>
      </tp>
      <tp>
        <v>15</v>
        <stp/>
        <stp>##V3_BDPV12</stp>
        <stp>DGE LN Equity</stp>
        <stp>TOT_BUY_REC</stp>
        <stp>[DPM - Securities Master List (BBG Linked).xlsx]Equities!R109C34</stp>
        <tr r="AH109" s="2"/>
      </tp>
      <tp>
        <v>15</v>
        <stp/>
        <stp>##V3_BDPV12</stp>
        <stp>DGE LN Equity</stp>
        <stp>TOT_BUY_REC</stp>
        <stp>[DPM - Securities Master List (BBG Linked).xlsx]Equities!R110C34</stp>
        <tr r="AH110" s="2"/>
      </tp>
      <tp>
        <v>15</v>
        <stp/>
        <stp>##V3_BDPV12</stp>
        <stp>DGE LN Equity</stp>
        <stp>TOT_BUY_REC</stp>
        <stp>[DPM - Securities Master List (BBG Linked).xlsx]Equities!R111C34</stp>
        <tr r="AH111" s="2"/>
      </tp>
      <tp>
        <v>8</v>
        <stp/>
        <stp>##V3_BDPV12</stp>
        <stp>NEM AT Equity</stp>
        <stp>TOT_BUY_REC</stp>
        <stp>[DPM - Securities Master List (BBG Linked).xlsx]Equities!R189C34</stp>
        <tr r="AH189" s="2"/>
      </tp>
      <tp>
        <v>8</v>
        <stp/>
        <stp>##V3_BDPV12</stp>
        <stp>NEM AT Equity</stp>
        <stp>TOT_BUY_REC</stp>
        <stp>[DPM - Securities Master List (BBG Linked).xlsx]Equities!R190C34</stp>
        <tr r="AH190" s="2"/>
      </tp>
      <tp>
        <v>8</v>
        <stp/>
        <stp>##V3_BDPV12</stp>
        <stp>NEM AT Equity</stp>
        <stp>TOT_BUY_REC</stp>
        <stp>[DPM - Securities Master List (BBG Linked).xlsx]Equities!R191C34</stp>
        <tr r="AH191" s="2"/>
      </tp>
      <tp>
        <v>8</v>
        <stp/>
        <stp>##V3_BDPV12</stp>
        <stp>NEM AT Equity</stp>
        <stp>TOT_BUY_REC</stp>
        <stp>[DPM - Securities Master List (BBG Linked).xlsx]Equities!R192C34</stp>
        <tr r="AH192" s="2"/>
      </tp>
      <tp>
        <v>12</v>
        <stp/>
        <stp>##V3_BDPV12</stp>
        <stp>ZBH US Equity</stp>
        <stp>TOT_BUY_REC</stp>
        <stp>[DPM - Securities Master List (BBG Linked).xlsx]Equities!R295C34</stp>
        <tr r="AH295" s="2"/>
      </tp>
      <tp>
        <v>12</v>
        <stp/>
        <stp>##V3_BDPV12</stp>
        <stp>ZBH US Equity</stp>
        <stp>TOT_BUY_REC</stp>
        <stp>[DPM - Securities Master List (BBG Linked).xlsx]Equities!R294C34</stp>
        <tr r="AH294" s="2"/>
      </tp>
      <tp>
        <v>12</v>
        <stp/>
        <stp>##V3_BDPV12</stp>
        <stp>ZBH US Equity</stp>
        <stp>TOT_BUY_REC</stp>
        <stp>[DPM - Securities Master List (BBG Linked).xlsx]Equities!R297C34</stp>
        <tr r="AH297" s="2"/>
      </tp>
      <tp>
        <v>12</v>
        <stp/>
        <stp>##V3_BDPV12</stp>
        <stp>ZBH US Equity</stp>
        <stp>TOT_BUY_REC</stp>
        <stp>[DPM - Securities Master List (BBG Linked).xlsx]Equities!R296C34</stp>
        <tr r="AH296" s="2"/>
      </tp>
      <tp>
        <v>12</v>
        <stp/>
        <stp>##V3_BDPV12</stp>
        <stp>ZBH US Equity</stp>
        <stp>TOT_BUY_REC</stp>
        <stp>[DPM - Securities Master List (BBG Linked).xlsx]Equities!R299C34</stp>
        <tr r="AH299" s="2"/>
      </tp>
      <tp>
        <v>12</v>
        <stp/>
        <stp>##V3_BDPV12</stp>
        <stp>ZBH US Equity</stp>
        <stp>TOT_BUY_REC</stp>
        <stp>[DPM - Securities Master List (BBG Linked).xlsx]Equities!R298C34</stp>
        <tr r="AH298" s="2"/>
      </tp>
      <tp>
        <v>12</v>
        <stp/>
        <stp>##V3_BDPV12</stp>
        <stp>ZBH US Equity</stp>
        <stp>TOT_BUY_REC</stp>
        <stp>[DPM - Securities Master List (BBG Linked).xlsx]Equities!R301C34</stp>
        <tr r="AH301" s="2"/>
      </tp>
      <tp>
        <v>12</v>
        <stp/>
        <stp>##V3_BDPV12</stp>
        <stp>ZBH US Equity</stp>
        <stp>TOT_BUY_REC</stp>
        <stp>[DPM - Securities Master List (BBG Linked).xlsx]Equities!R300C34</stp>
        <tr r="AH300" s="2"/>
      </tp>
      <tp>
        <v>12</v>
        <stp/>
        <stp>##V3_BDPV12</stp>
        <stp>ZBH US Equity</stp>
        <stp>TOT_BUY_REC</stp>
        <stp>[DPM - Securities Master List (BBG Linked).xlsx]Equities!R302C34</stp>
        <tr r="AH302" s="2"/>
      </tp>
      <tp>
        <v>5</v>
        <stp/>
        <stp>##V3_BDPV12</stp>
        <stp>KER FP Equity</stp>
        <stp>TOT_BUY_REC</stp>
        <stp>[DPM - Securities Master List (BBG Linked).xlsx]Equities!R149C34</stp>
        <tr r="AH149" s="2"/>
      </tp>
      <tp>
        <v>5</v>
        <stp/>
        <stp>##V3_BDPV12</stp>
        <stp>KER FP Equity</stp>
        <stp>TOT_BUY_REC</stp>
        <stp>[DPM - Securities Master List (BBG Linked).xlsx]Equities!R153C34</stp>
        <tr r="AH153" s="2"/>
      </tp>
      <tp>
        <v>5</v>
        <stp/>
        <stp>##V3_BDPV12</stp>
        <stp>KER FP Equity</stp>
        <stp>TOT_BUY_REC</stp>
        <stp>[DPM - Securities Master List (BBG Linked).xlsx]Equities!R152C34</stp>
        <tr r="AH152" s="2"/>
      </tp>
      <tp>
        <v>5</v>
        <stp/>
        <stp>##V3_BDPV12</stp>
        <stp>KER FP Equity</stp>
        <stp>TOT_BUY_REC</stp>
        <stp>[DPM - Securities Master List (BBG Linked).xlsx]Equities!R151C34</stp>
        <tr r="AH151" s="2"/>
      </tp>
      <tp>
        <v>5</v>
        <stp/>
        <stp>##V3_BDPV12</stp>
        <stp>KER FP Equity</stp>
        <stp>TOT_BUY_REC</stp>
        <stp>[DPM - Securities Master List (BBG Linked).xlsx]Equities!R150C34</stp>
        <tr r="AH150" s="2"/>
      </tp>
      <tp>
        <v>30</v>
        <stp/>
        <stp>##V3_BDPV12</stp>
        <stp>DIS US Equity</stp>
        <stp>TOT_BUY_REC</stp>
        <stp>[DPM - Securities Master List (BBG Linked).xlsx]Equities!R114C34</stp>
        <tr r="AH114" s="2"/>
      </tp>
      <tp>
        <v>30</v>
        <stp/>
        <stp>##V3_BDPV12</stp>
        <stp>DIS US Equity</stp>
        <stp>TOT_BUY_REC</stp>
        <stp>[DPM - Securities Master List (BBG Linked).xlsx]Equities!R115C34</stp>
        <tr r="AH115" s="2"/>
      </tp>
      <tp>
        <v>30</v>
        <stp/>
        <stp>##V3_BDPV12</stp>
        <stp>DIS US Equity</stp>
        <stp>TOT_BUY_REC</stp>
        <stp>[DPM - Securities Master List (BBG Linked).xlsx]Equities!R112C34</stp>
        <tr r="AH112" s="2"/>
      </tp>
      <tp>
        <v>30</v>
        <stp/>
        <stp>##V3_BDPV12</stp>
        <stp>DIS US Equity</stp>
        <stp>TOT_BUY_REC</stp>
        <stp>[DPM - Securities Master List (BBG Linked).xlsx]Equities!R113C34</stp>
        <tr r="AH113" s="2"/>
      </tp>
      <tp>
        <v>18</v>
        <stp/>
        <stp>##V3_BDPV12</stp>
        <stp>TTE FP Equity</stp>
        <stp>TOT_BUY_REC</stp>
        <stp>[DPM - Securities Master List (BBG Linked).xlsx]Equities!R288C34</stp>
        <tr r="AH288" s="2"/>
      </tp>
      <tp>
        <v>18</v>
        <stp/>
        <stp>##V3_BDPV12</stp>
        <stp>TTE FP Equity</stp>
        <stp>TOT_BUY_REC</stp>
        <stp>[DPM - Securities Master List (BBG Linked).xlsx]Equities!R280C34</stp>
        <tr r="AH280" s="2"/>
      </tp>
      <tp>
        <v>18</v>
        <stp/>
        <stp>##V3_BDPV12</stp>
        <stp>TTE FP Equity</stp>
        <stp>TOT_BUY_REC</stp>
        <stp>[DPM - Securities Master List (BBG Linked).xlsx]Equities!R281C34</stp>
        <tr r="AH281" s="2"/>
      </tp>
      <tp>
        <v>18</v>
        <stp/>
        <stp>##V3_BDPV12</stp>
        <stp>TTE FP Equity</stp>
        <stp>TOT_BUY_REC</stp>
        <stp>[DPM - Securities Master List (BBG Linked).xlsx]Equities!R282C34</stp>
        <tr r="AH282" s="2"/>
      </tp>
      <tp>
        <v>18</v>
        <stp/>
        <stp>##V3_BDPV12</stp>
        <stp>TTE FP Equity</stp>
        <stp>TOT_BUY_REC</stp>
        <stp>[DPM - Securities Master List (BBG Linked).xlsx]Equities!R283C34</stp>
        <tr r="AH283" s="2"/>
      </tp>
      <tp>
        <v>18</v>
        <stp/>
        <stp>##V3_BDPV12</stp>
        <stp>TTE FP Equity</stp>
        <stp>TOT_BUY_REC</stp>
        <stp>[DPM - Securities Master List (BBG Linked).xlsx]Equities!R284C34</stp>
        <tr r="AH284" s="2"/>
      </tp>
      <tp>
        <v>18</v>
        <stp/>
        <stp>##V3_BDPV12</stp>
        <stp>TTE FP Equity</stp>
        <stp>TOT_BUY_REC</stp>
        <stp>[DPM - Securities Master List (BBG Linked).xlsx]Equities!R285C34</stp>
        <tr r="AH285" s="2"/>
      </tp>
      <tp>
        <v>18</v>
        <stp/>
        <stp>##V3_BDPV12</stp>
        <stp>TTE FP Equity</stp>
        <stp>TOT_BUY_REC</stp>
        <stp>[DPM - Securities Master List (BBG Linked).xlsx]Equities!R286C34</stp>
        <tr r="AH286" s="2"/>
      </tp>
      <tp>
        <v>18</v>
        <stp/>
        <stp>##V3_BDPV12</stp>
        <stp>TTE FP Equity</stp>
        <stp>TOT_BUY_REC</stp>
        <stp>[DPM - Securities Master List (BBG Linked).xlsx]Equities!R287C34</stp>
        <tr r="AH287" s="2"/>
      </tp>
      <tp>
        <v>18</v>
        <stp/>
        <stp>##V3_BDPV12</stp>
        <stp>TTE FP Equity</stp>
        <stp>TOT_BUY_REC</stp>
        <stp>[DPM - Securities Master List (BBG Linked).xlsx]Equities!R278C34</stp>
        <tr r="AH278" s="2"/>
      </tp>
      <tp>
        <v>18</v>
        <stp/>
        <stp>##V3_BDPV12</stp>
        <stp>TTE FP Equity</stp>
        <stp>TOT_BUY_REC</stp>
        <stp>[DPM - Securities Master List (BBG Linked).xlsx]Equities!R279C34</stp>
        <tr r="AH279" s="2"/>
      </tp>
      <tp>
        <v>18</v>
        <stp/>
        <stp>##V3_BDPV12</stp>
        <stp>TTE FP Equity</stp>
        <stp>TOT_BUY_REC</stp>
        <stp>[DPM - Securities Master List (BBG Linked).xlsx]Equities!R276C34</stp>
        <tr r="AH276" s="2"/>
      </tp>
      <tp>
        <v>18</v>
        <stp/>
        <stp>##V3_BDPV12</stp>
        <stp>TTE FP Equity</stp>
        <stp>TOT_BUY_REC</stp>
        <stp>[DPM - Securities Master List (BBG Linked).xlsx]Equities!R277C34</stp>
        <tr r="AH277" s="2"/>
      </tp>
      <tp>
        <v>16</v>
        <stp/>
        <stp>##V3_BDPV12</stp>
        <stp>NIO US Equity</stp>
        <stp>TOT_BUY_REC</stp>
        <stp>[DPM - Securities Master List (BBG Linked).xlsx]Equities!R206C34</stp>
        <tr r="AH206" s="2"/>
      </tp>
      <tp>
        <v>23</v>
        <stp/>
        <stp>##V3_BDPV12</stp>
        <stp>NKE US Equity</stp>
        <stp>TOT_BUY_REC</stp>
        <stp>[DPM - Securities Master List (BBG Linked).xlsx]Equities!R220C34</stp>
        <tr r="AH220" s="2"/>
      </tp>
      <tp>
        <v>23</v>
        <stp/>
        <stp>##V3_BDPV12</stp>
        <stp>NKE US Equity</stp>
        <stp>TOT_BUY_REC</stp>
        <stp>[DPM - Securities Master List (BBG Linked).xlsx]Equities!R221C34</stp>
        <tr r="AH221" s="2"/>
      </tp>
      <tp>
        <v>23</v>
        <stp/>
        <stp>##V3_BDPV12</stp>
        <stp>NKE US Equity</stp>
        <stp>TOT_BUY_REC</stp>
        <stp>[DPM - Securities Master List (BBG Linked).xlsx]Equities!R222C34</stp>
        <tr r="AH222" s="2"/>
      </tp>
      <tp>
        <v>23</v>
        <stp/>
        <stp>##V3_BDPV12</stp>
        <stp>NKE US Equity</stp>
        <stp>TOT_BUY_REC</stp>
        <stp>[DPM - Securities Master List (BBG Linked).xlsx]Equities!R218C34</stp>
        <tr r="AH218" s="2"/>
      </tp>
      <tp>
        <v>23</v>
        <stp/>
        <stp>##V3_BDPV12</stp>
        <stp>NKE US Equity</stp>
        <stp>TOT_BUY_REC</stp>
        <stp>[DPM - Securities Master List (BBG Linked).xlsx]Equities!R219C34</stp>
        <tr r="AH219" s="2"/>
      </tp>
      <tp>
        <v>23</v>
        <stp/>
        <stp>##V3_BDPV12</stp>
        <stp>NKE US Equity</stp>
        <stp>TOT_BUY_REC</stp>
        <stp>[DPM - Securities Master List (BBG Linked).xlsx]Equities!R210C34</stp>
        <tr r="AH210" s="2"/>
      </tp>
      <tp>
        <v>23</v>
        <stp/>
        <stp>##V3_BDPV12</stp>
        <stp>NKE US Equity</stp>
        <stp>TOT_BUY_REC</stp>
        <stp>[DPM - Securities Master List (BBG Linked).xlsx]Equities!R211C34</stp>
        <tr r="AH211" s="2"/>
      </tp>
      <tp>
        <v>23</v>
        <stp/>
        <stp>##V3_BDPV12</stp>
        <stp>NKE US Equity</stp>
        <stp>TOT_BUY_REC</stp>
        <stp>[DPM - Securities Master List (BBG Linked).xlsx]Equities!R212C34</stp>
        <tr r="AH212" s="2"/>
      </tp>
      <tp>
        <v>23</v>
        <stp/>
        <stp>##V3_BDPV12</stp>
        <stp>NKE US Equity</stp>
        <stp>TOT_BUY_REC</stp>
        <stp>[DPM - Securities Master List (BBG Linked).xlsx]Equities!R213C34</stp>
        <tr r="AH213" s="2"/>
      </tp>
      <tp>
        <v>23</v>
        <stp/>
        <stp>##V3_BDPV12</stp>
        <stp>NKE US Equity</stp>
        <stp>TOT_BUY_REC</stp>
        <stp>[DPM - Securities Master List (BBG Linked).xlsx]Equities!R214C34</stp>
        <tr r="AH214" s="2"/>
      </tp>
      <tp>
        <v>23</v>
        <stp/>
        <stp>##V3_BDPV12</stp>
        <stp>NKE US Equity</stp>
        <stp>TOT_BUY_REC</stp>
        <stp>[DPM - Securities Master List (BBG Linked).xlsx]Equities!R215C34</stp>
        <tr r="AH215" s="2"/>
      </tp>
      <tp>
        <v>23</v>
        <stp/>
        <stp>##V3_BDPV12</stp>
        <stp>NKE US Equity</stp>
        <stp>TOT_BUY_REC</stp>
        <stp>[DPM - Securities Master List (BBG Linked).xlsx]Equities!R216C34</stp>
        <tr r="AH216" s="2"/>
      </tp>
      <tp>
        <v>23</v>
        <stp/>
        <stp>##V3_BDPV12</stp>
        <stp>NKE US Equity</stp>
        <stp>TOT_BUY_REC</stp>
        <stp>[DPM - Securities Master List (BBG Linked).xlsx]Equities!R217C34</stp>
        <tr r="AH217" s="2"/>
      </tp>
      <tp>
        <v>23</v>
        <stp/>
        <stp>##V3_BDPV12</stp>
        <stp>NKE US Equity</stp>
        <stp>TOT_BUY_REC</stp>
        <stp>[DPM - Securities Master List (BBG Linked).xlsx]Equities!R208C34</stp>
        <tr r="AH208" s="2"/>
      </tp>
      <tp>
        <v>23</v>
        <stp/>
        <stp>##V3_BDPV12</stp>
        <stp>NKE US Equity</stp>
        <stp>TOT_BUY_REC</stp>
        <stp>[DPM - Securities Master List (BBG Linked).xlsx]Equities!R209C34</stp>
        <tr r="AH209" s="2"/>
      </tp>
      <tp>
        <v>23</v>
        <stp/>
        <stp>##V3_BDPV12</stp>
        <stp>NKE US Equity</stp>
        <stp>TOT_BUY_REC</stp>
        <stp>[DPM - Securities Master List (BBG Linked).xlsx]Equities!R207C34</stp>
        <tr r="AH207" s="2"/>
      </tp>
      <tp>
        <v>16</v>
        <stp/>
        <stp>##V3_BDPV12</stp>
        <stp>MDT US Equity</stp>
        <stp>TOT_BUY_REC</stp>
        <stp>[DPM - Securities Master List (BBG Linked).xlsx]Equities!R155C34</stp>
        <tr r="AH155" s="2"/>
      </tp>
      <tp>
        <v>24</v>
        <stp/>
        <stp>##V3_BDPV12</stp>
        <stp>MRK US Equity</stp>
        <stp>TOT_BUY_REC</stp>
        <stp>[DPM - Securities Master List (BBG Linked).xlsx]Equities!R166C34</stp>
        <tr r="AH166" s="2"/>
      </tp>
      <tp>
        <v>24</v>
        <stp/>
        <stp>##V3_BDPV12</stp>
        <stp>MRK US Equity</stp>
        <stp>TOT_BUY_REC</stp>
        <stp>[DPM - Securities Master List (BBG Linked).xlsx]Equities!R167C34</stp>
        <tr r="AH167" s="2"/>
      </tp>
      <tp>
        <v>24</v>
        <stp/>
        <stp>##V3_BDPV12</stp>
        <stp>MRK US Equity</stp>
        <stp>TOT_BUY_REC</stp>
        <stp>[DPM - Securities Master List (BBG Linked).xlsx]Equities!R164C34</stp>
        <tr r="AH164" s="2"/>
      </tp>
      <tp>
        <v>24</v>
        <stp/>
        <stp>##V3_BDPV12</stp>
        <stp>MRK US Equity</stp>
        <stp>TOT_BUY_REC</stp>
        <stp>[DPM - Securities Master List (BBG Linked).xlsx]Equities!R165C34</stp>
        <tr r="AH165" s="2"/>
      </tp>
      <tp>
        <v>24</v>
        <stp/>
        <stp>##V3_BDPV12</stp>
        <stp>MRK US Equity</stp>
        <stp>TOT_BUY_REC</stp>
        <stp>[DPM - Securities Master List (BBG Linked).xlsx]Equities!R162C34</stp>
        <tr r="AH162" s="2"/>
      </tp>
      <tp>
        <v>24</v>
        <stp/>
        <stp>##V3_BDPV12</stp>
        <stp>MRK US Equity</stp>
        <stp>TOT_BUY_REC</stp>
        <stp>[DPM - Securities Master List (BBG Linked).xlsx]Equities!R163C34</stp>
        <tr r="AH163" s="2"/>
      </tp>
      <tp>
        <v>24</v>
        <stp/>
        <stp>##V3_BDPV12</stp>
        <stp>MRK US Equity</stp>
        <stp>TOT_BUY_REC</stp>
        <stp>[DPM - Securities Master List (BBG Linked).xlsx]Equities!R160C34</stp>
        <tr r="AH160" s="2"/>
      </tp>
      <tp>
        <v>24</v>
        <stp/>
        <stp>##V3_BDPV12</stp>
        <stp>MRK US Equity</stp>
        <stp>TOT_BUY_REC</stp>
        <stp>[DPM - Securities Master List (BBG Linked).xlsx]Equities!R161C34</stp>
        <tr r="AH161" s="2"/>
      </tp>
      <tp>
        <v>7</v>
        <stp/>
        <stp>##V3_BDPV12</stp>
        <stp>NVO US Equity</stp>
        <stp>TOT_BUY_REC</stp>
        <stp>[DPM - Securities Master List (BBG Linked).xlsx]Equities!R225C34</stp>
        <tr r="AH225" s="2"/>
      </tp>
      <tp>
        <v>24</v>
        <stp/>
        <stp>##V3_BDPV12</stp>
        <stp>MRK US Equity</stp>
        <stp>TOT_BUY_REC</stp>
        <stp>[DPM - Securities Master List (BBG Linked).xlsx]Equities!R168C34</stp>
        <tr r="AH168" s="2"/>
      </tp>
      <tp>
        <v>24</v>
        <stp/>
        <stp>##V3_BDPV12</stp>
        <stp>MRK US Equity</stp>
        <stp>TOT_BUY_REC</stp>
        <stp>[DPM - Securities Master List (BBG Linked).xlsx]Equities!R169C34</stp>
        <tr r="AH169" s="2"/>
      </tp>
      <tp>
        <v>24</v>
        <stp/>
        <stp>##V3_BDPV12</stp>
        <stp>MRK US Equity</stp>
        <stp>TOT_BUY_REC</stp>
        <stp>[DPM - Securities Master List (BBG Linked).xlsx]Equities!R157C34</stp>
        <tr r="AH157" s="2"/>
      </tp>
      <tp>
        <v>24</v>
        <stp/>
        <stp>##V3_BDPV12</stp>
        <stp>MRK US Equity</stp>
        <stp>TOT_BUY_REC</stp>
        <stp>[DPM - Securities Master List (BBG Linked).xlsx]Equities!R158C34</stp>
        <tr r="AH158" s="2"/>
      </tp>
      <tp>
        <v>24</v>
        <stp/>
        <stp>##V3_BDPV12</stp>
        <stp>MRK US Equity</stp>
        <stp>TOT_BUY_REC</stp>
        <stp>[DPM - Securities Master List (BBG Linked).xlsx]Equities!R159C34</stp>
        <tr r="AH159" s="2"/>
      </tp>
      <tp>
        <v>7</v>
        <stp/>
        <stp>##V3_BDPV12</stp>
        <stp>LUV US Equity</stp>
        <stp>TOT_BUY_REC</stp>
        <stp>[DPM - Securities Master List (BBG Linked).xlsx]Equities!R154C34</stp>
        <tr r="AH154" s="2"/>
      </tp>
      <tp>
        <v>16</v>
        <stp/>
        <stp>##V3_BDPV12</stp>
        <stp>SSE LN Equity</stp>
        <stp>TOT_BUY_REC</stp>
        <stp>[DPM - Securities Master List (BBG Linked).xlsx]Equities!R248C34</stp>
        <tr r="AH248" s="2"/>
      </tp>
      <tp>
        <v>16</v>
        <stp/>
        <stp>##V3_BDPV12</stp>
        <stp>SSE LN Equity</stp>
        <stp>TOT_BUY_REC</stp>
        <stp>[DPM - Securities Master List (BBG Linked).xlsx]Equities!R249C34</stp>
        <tr r="AH249" s="2"/>
      </tp>
      <tp>
        <v>16</v>
        <stp/>
        <stp>##V3_BDPV12</stp>
        <stp>SSE LN Equity</stp>
        <stp>TOT_BUY_REC</stp>
        <stp>[DPM - Securities Master List (BBG Linked).xlsx]Equities!R244C34</stp>
        <tr r="AH244" s="2"/>
      </tp>
      <tp>
        <v>16</v>
        <stp/>
        <stp>##V3_BDPV12</stp>
        <stp>SSE LN Equity</stp>
        <stp>TOT_BUY_REC</stp>
        <stp>[DPM - Securities Master List (BBG Linked).xlsx]Equities!R245C34</stp>
        <tr r="AH245" s="2"/>
      </tp>
      <tp>
        <v>16</v>
        <stp/>
        <stp>##V3_BDPV12</stp>
        <stp>SSE LN Equity</stp>
        <stp>TOT_BUY_REC</stp>
        <stp>[DPM - Securities Master List (BBG Linked).xlsx]Equities!R246C34</stp>
        <tr r="AH246" s="2"/>
      </tp>
      <tp>
        <v>16</v>
        <stp/>
        <stp>##V3_BDPV12</stp>
        <stp>SSE LN Equity</stp>
        <stp>TOT_BUY_REC</stp>
        <stp>[DPM - Securities Master List (BBG Linked).xlsx]Equities!R247C34</stp>
        <tr r="AH247" s="2"/>
      </tp>
      <tp>
        <v>16</v>
        <stp/>
        <stp>##V3_BDPV12</stp>
        <stp>SSE LN Equity</stp>
        <stp>TOT_BUY_REC</stp>
        <stp>[DPM - Securities Master List (BBG Linked).xlsx]Equities!R258C34</stp>
        <tr r="AH258" s="2"/>
      </tp>
      <tp>
        <v>16</v>
        <stp/>
        <stp>##V3_BDPV12</stp>
        <stp>SSE LN Equity</stp>
        <stp>TOT_BUY_REC</stp>
        <stp>[DPM - Securities Master List (BBG Linked).xlsx]Equities!R250C34</stp>
        <tr r="AH250" s="2"/>
      </tp>
      <tp>
        <v>16</v>
        <stp/>
        <stp>##V3_BDPV12</stp>
        <stp>SSE LN Equity</stp>
        <stp>TOT_BUY_REC</stp>
        <stp>[DPM - Securities Master List (BBG Linked).xlsx]Equities!R251C34</stp>
        <tr r="AH251" s="2"/>
      </tp>
      <tp>
        <v>16</v>
        <stp/>
        <stp>##V3_BDPV12</stp>
        <stp>SSE LN Equity</stp>
        <stp>TOT_BUY_REC</stp>
        <stp>[DPM - Securities Master List (BBG Linked).xlsx]Equities!R252C34</stp>
        <tr r="AH252" s="2"/>
      </tp>
      <tp>
        <v>16</v>
        <stp/>
        <stp>##V3_BDPV12</stp>
        <stp>SSE LN Equity</stp>
        <stp>TOT_BUY_REC</stp>
        <stp>[DPM - Securities Master List (BBG Linked).xlsx]Equities!R253C34</stp>
        <tr r="AH253" s="2"/>
      </tp>
      <tp>
        <v>16</v>
        <stp/>
        <stp>##V3_BDPV12</stp>
        <stp>SSE LN Equity</stp>
        <stp>TOT_BUY_REC</stp>
        <stp>[DPM - Securities Master List (BBG Linked).xlsx]Equities!R254C34</stp>
        <tr r="AH254" s="2"/>
      </tp>
      <tp>
        <v>16</v>
        <stp/>
        <stp>##V3_BDPV12</stp>
        <stp>SSE LN Equity</stp>
        <stp>TOT_BUY_REC</stp>
        <stp>[DPM - Securities Master List (BBG Linked).xlsx]Equities!R255C34</stp>
        <tr r="AH255" s="2"/>
      </tp>
      <tp>
        <v>16</v>
        <stp/>
        <stp>##V3_BDPV12</stp>
        <stp>SSE LN Equity</stp>
        <stp>TOT_BUY_REC</stp>
        <stp>[DPM - Securities Master List (BBG Linked).xlsx]Equities!R256C34</stp>
        <tr r="AH256" s="2"/>
      </tp>
      <tp>
        <v>16</v>
        <stp/>
        <stp>##V3_BDPV12</stp>
        <stp>SSE LN Equity</stp>
        <stp>TOT_BUY_REC</stp>
        <stp>[DPM - Securities Master List (BBG Linked).xlsx]Equities!R257C34</stp>
        <tr r="AH257" s="2"/>
      </tp>
      <tp>
        <v>19</v>
        <stp/>
        <stp>##V3_BDPV12</stp>
        <stp>RIO LN Equity</stp>
        <stp>TOT_BUY_REC</stp>
        <stp>[DPM - Securities Master List (BBG Linked).xlsx]Equities!R242C34</stp>
        <tr r="AH242" s="2"/>
      </tp>
      <tp t="s">
        <v>Energy</v>
        <stp/>
        <stp>##V3_BDPV12</stp>
        <stp>BP/ LN Equity</stp>
        <stp>DX202</stp>
        <stp>[DPM - Securities Master List (BBG Linked).xlsx]Equities!R88C8</stp>
        <tr r="H88" s="2"/>
        <tr r="H88" s="2"/>
        <tr r="H88" s="2"/>
      </tp>
      <tp t="s">
        <v>Energy</v>
        <stp/>
        <stp>##V3_BDPV12</stp>
        <stp>BP/ LN Equity</stp>
        <stp>DX202</stp>
        <stp>[DPM - Securities Master List (BBG Linked).xlsx]Equities!R78C8</stp>
        <tr r="H78" s="2"/>
        <tr r="H78" s="2"/>
        <tr r="H78" s="2"/>
      </tp>
      <tp t="s">
        <v>Health Care</v>
        <stp/>
        <stp>##V3_BDPV12</stp>
        <stp>AZN LN Equity</stp>
        <stp>DX202</stp>
        <stp>[DPM - Securities Master List (BBG Linked).xlsx]Equities!R58C8</stp>
        <tr r="H58" s="2"/>
        <tr r="H58" s="2"/>
        <tr r="H58" s="2"/>
      </tp>
      <tp t="s">
        <v>Industrials</v>
        <stp/>
        <stp>##V3_BDPV12</stp>
        <stp>AAL US Equity</stp>
        <stp>DX202</stp>
        <stp>[DPM - Securities Master List (BBG Linked).xlsx]Equities!R28C8</stp>
        <tr r="H28" s="2"/>
        <tr r="H28" s="2"/>
        <tr r="H28" s="2"/>
      </tp>
    </main>
    <main first="bloomberg.rtd">
      <tp t="s">
        <v>Adobe Inc</v>
        <stp/>
        <stp>##V3_BDPV12</stp>
        <stp>ADBE US Equity</stp>
        <stp>SECURITY NAME</stp>
        <stp>[DPM - Securities Master List (BBG Linked).xlsx]Equities!R40C5</stp>
        <tr r="E40" s="2"/>
      </tp>
    </main>
    <main first="bofaddin.rtdserver">
      <tp t="e">
        <v>#N/A</v>
        <stp/>
        <stp>BDP|998278586863408313</stp>
        <tr r="AS67" s="1"/>
        <tr r="AS43" s="1"/>
        <tr r="AS30" s="1"/>
        <tr r="AS3" s="1"/>
        <tr r="AS21" s="1"/>
        <tr r="AS166" s="1"/>
        <tr r="AS147" s="1"/>
        <tr r="AS125" s="1"/>
        <tr r="AS114" s="1"/>
      </tp>
    </main>
    <main first="bloomberg.rtd">
      <tp t="s">
        <v>Dell Technologies Inc</v>
        <stp/>
        <stp>##V3_BDPV12</stp>
        <stp>DELL US Equity</stp>
        <stp>SECURITY NAME</stp>
        <stp>[DPM - Securities Master List (BBG Linked).xlsx]Equities!R95C5</stp>
        <tr r="E95" s="2"/>
      </tp>
    </main>
    <main first="bofaddin.rtdserver">
      <tp t="e">
        <v>#N/A</v>
        <stp/>
        <stp>BDP|741641974549848258</stp>
        <tr r="I107" s="1"/>
      </tp>
      <tp t="e">
        <v>#N/A</v>
        <stp/>
        <stp>BDP|477666259518826171</stp>
        <tr r="I96" s="1"/>
        <tr r="I77" s="1"/>
        <tr r="I65" s="1"/>
        <tr r="I36" s="1"/>
        <tr r="I27" s="1"/>
        <tr r="I162" s="1"/>
      </tp>
    </main>
    <main first="bloomberg.rtd">
      <tp t="s">
        <v>BioMarin Pharmaceutical Inc</v>
        <stp/>
        <stp>##V3_BDPV12</stp>
        <stp>BMRN US Equity</stp>
        <stp>SECURITY NAME</stp>
        <stp>[DPM - Securities Master List (BBG Linked).xlsx]Equities!R73C5</stp>
        <tr r="E73" s="2"/>
      </tp>
      <tp t="s">
        <v>BioMarin Pharmaceutical Inc</v>
        <stp/>
        <stp>##V3_BDPV12</stp>
        <stp>BMRN US Equity</stp>
        <stp>SECURITY NAME</stp>
        <stp>[DPM - Securities Master List (BBG Linked).xlsx]Equities!R63C5</stp>
        <tr r="E63" s="2"/>
      </tp>
    </main>
    <main first="bloomberg.rtd">
      <tp t="s">
        <v>USD</v>
        <stp/>
        <stp>##V3_BDPV12</stp>
        <stp>AAL US Equity</stp>
        <stp>CRNCY</stp>
        <stp>[DPM - Securities Master List (BBG Linked).xlsx]Equities!R32C6</stp>
        <tr r="F32" s="2"/>
      </tp>
      <tp t="s">
        <v>GBp</v>
        <stp/>
        <stp>##V3_BDPV12</stp>
        <stp>BP/ LN Equity</stp>
        <stp>CRNCY</stp>
        <stp>[DPM - Securities Master List (BBG Linked).xlsx]Equities!R82C6</stp>
        <tr r="F82" s="2"/>
      </tp>
      <tp t="s">
        <v>GBp</v>
        <stp/>
        <stp>##V3_BDPV12</stp>
        <stp>AZN LN Equity</stp>
        <stp>CRNCY</stp>
        <stp>[DPM - Securities Master List (BBG Linked).xlsx]Equities!R52C6</stp>
        <tr r="F52" s="2"/>
      </tp>
      <tp t="s">
        <v>Y</v>
        <stp/>
        <stp>##V3_BDPV12</stp>
        <stp>SMSN.LI Equity</stp>
        <stp>DY997</stp>
        <stp>[DPM - Securities Master List (BBG Linked).xlsx]Equities!R243C47</stp>
        <tr r="AU243" s="2"/>
        <tr r="AU243" s="2"/>
        <tr r="AU243" s="2"/>
      </tp>
      <tp>
        <v>164108.31000000003</v>
        <stp/>
        <stp>##V3_BDPV12</stp>
        <stp>ADBE US Equity</stp>
        <stp>CRNCY_ADJ_MKT_CAP</stp>
        <stp>[DPM - Securities Master List (BBG Linked).xlsx]Equities!R38C9</stp>
        <stp>EQY_FUND_CRNCY=USD</stp>
        <tr r="I38" s="2"/>
      </tp>
      <tp>
        <v>164108.31000000003</v>
        <stp/>
        <stp>##V3_BDPV12</stp>
        <stp>ADBE US Equity</stp>
        <stp>CRNCY_ADJ_MKT_CAP</stp>
        <stp>[DPM - Securities Master List (BBG Linked).xlsx]Equities!R39C9</stp>
        <stp>EQY_FUND_CRNCY=USD</stp>
        <tr r="I39" s="2"/>
      </tp>
      <tp>
        <v>4.6919320000000004</v>
        <stp/>
        <stp>##V3_BDPV12</stp>
        <stp>MSFT US Equity</stp>
        <stp>PR064</stp>
        <stp>[DPM - Securities Master List (BBG Linked).xlsx]Equities!R182C41</stp>
        <tr r="AO182" s="2"/>
      </tp>
      <tp>
        <v>4.6919320000000004</v>
        <stp/>
        <stp>##V3_BDPV12</stp>
        <stp>MSFT US Equity</stp>
        <stp>PR064</stp>
        <stp>[DPM - Securities Master List (BBG Linked).xlsx]Equities!R183C41</stp>
        <tr r="AO183" s="2"/>
      </tp>
      <tp>
        <v>4.6919320000000004</v>
        <stp/>
        <stp>##V3_BDPV12</stp>
        <stp>MSFT US Equity</stp>
        <stp>PR064</stp>
        <stp>[DPM - Securities Master List (BBG Linked).xlsx]Equities!R180C41</stp>
        <tr r="AO180" s="2"/>
      </tp>
      <tp>
        <v>4.6919320000000004</v>
        <stp/>
        <stp>##V3_BDPV12</stp>
        <stp>MSFT US Equity</stp>
        <stp>PR064</stp>
        <stp>[DPM - Securities Master List (BBG Linked).xlsx]Equities!R181C41</stp>
        <tr r="AO181" s="2"/>
      </tp>
      <tp>
        <v>4.6919320000000004</v>
        <stp/>
        <stp>##V3_BDPV12</stp>
        <stp>MSFT US Equity</stp>
        <stp>PR064</stp>
        <stp>[DPM - Securities Master List (BBG Linked).xlsx]Equities!R186C41</stp>
        <tr r="AO186" s="2"/>
      </tp>
      <tp>
        <v>4.6919320000000004</v>
        <stp/>
        <stp>##V3_BDPV12</stp>
        <stp>MSFT US Equity</stp>
        <stp>PR064</stp>
        <stp>[DPM - Securities Master List (BBG Linked).xlsx]Equities!R187C41</stp>
        <tr r="AO187" s="2"/>
      </tp>
      <tp>
        <v>4.6919320000000004</v>
        <stp/>
        <stp>##V3_BDPV12</stp>
        <stp>MSFT US Equity</stp>
        <stp>PR064</stp>
        <stp>[DPM - Securities Master List (BBG Linked).xlsx]Equities!R184C41</stp>
        <tr r="AO184" s="2"/>
      </tp>
      <tp>
        <v>4.6919320000000004</v>
        <stp/>
        <stp>##V3_BDPV12</stp>
        <stp>MSFT US Equity</stp>
        <stp>PR064</stp>
        <stp>[DPM - Securities Master List (BBG Linked).xlsx]Equities!R185C41</stp>
        <tr r="AO185" s="2"/>
      </tp>
      <tp>
        <v>4.6919320000000004</v>
        <stp/>
        <stp>##V3_BDPV12</stp>
        <stp>MSFT US Equity</stp>
        <stp>PR064</stp>
        <stp>[DPM - Securities Master List (BBG Linked).xlsx]Equities!R188C41</stp>
        <tr r="AO188" s="2"/>
      </tp>
      <tp>
        <v>4.6919320000000004</v>
        <stp/>
        <stp>##V3_BDPV12</stp>
        <stp>MSFT US Equity</stp>
        <stp>PR064</stp>
        <stp>[DPM - Securities Master List (BBG Linked).xlsx]Equities!R172C41</stp>
        <tr r="AO172" s="2"/>
      </tp>
      <tp>
        <v>4.6919320000000004</v>
        <stp/>
        <stp>##V3_BDPV12</stp>
        <stp>MSFT US Equity</stp>
        <stp>PR064</stp>
        <stp>[DPM - Securities Master List (BBG Linked).xlsx]Equities!R173C41</stp>
        <tr r="AO173" s="2"/>
      </tp>
      <tp>
        <v>4.6919320000000004</v>
        <stp/>
        <stp>##V3_BDPV12</stp>
        <stp>MSFT US Equity</stp>
        <stp>PR064</stp>
        <stp>[DPM - Securities Master List (BBG Linked).xlsx]Equities!R170C41</stp>
        <tr r="AO170" s="2"/>
      </tp>
      <tp>
        <v>4.6919320000000004</v>
        <stp/>
        <stp>##V3_BDPV12</stp>
        <stp>MSFT US Equity</stp>
        <stp>PR064</stp>
        <stp>[DPM - Securities Master List (BBG Linked).xlsx]Equities!R171C41</stp>
        <tr r="AO171" s="2"/>
      </tp>
      <tp>
        <v>4.6919320000000004</v>
        <stp/>
        <stp>##V3_BDPV12</stp>
        <stp>MSFT US Equity</stp>
        <stp>PR064</stp>
        <stp>[DPM - Securities Master List (BBG Linked).xlsx]Equities!R176C41</stp>
        <tr r="AO176" s="2"/>
      </tp>
      <tp>
        <v>4.6919320000000004</v>
        <stp/>
        <stp>##V3_BDPV12</stp>
        <stp>MSFT US Equity</stp>
        <stp>PR064</stp>
        <stp>[DPM - Securities Master List (BBG Linked).xlsx]Equities!R177C41</stp>
        <tr r="AO177" s="2"/>
      </tp>
      <tp>
        <v>4.6919320000000004</v>
        <stp/>
        <stp>##V3_BDPV12</stp>
        <stp>MSFT US Equity</stp>
        <stp>PR064</stp>
        <stp>[DPM - Securities Master List (BBG Linked).xlsx]Equities!R174C41</stp>
        <tr r="AO174" s="2"/>
      </tp>
      <tp>
        <v>4.6919320000000004</v>
        <stp/>
        <stp>##V3_BDPV12</stp>
        <stp>MSFT US Equity</stp>
        <stp>PR064</stp>
        <stp>[DPM - Securities Master List (BBG Linked).xlsx]Equities!R175C41</stp>
        <tr r="AO175" s="2"/>
      </tp>
      <tp>
        <v>4.6919320000000004</v>
        <stp/>
        <stp>##V3_BDPV12</stp>
        <stp>MSFT US Equity</stp>
        <stp>PR064</stp>
        <stp>[DPM - Securities Master List (BBG Linked).xlsx]Equities!R178C41</stp>
        <tr r="AO178" s="2"/>
      </tp>
      <tp>
        <v>4.6919320000000004</v>
        <stp/>
        <stp>##V3_BDPV12</stp>
        <stp>MSFT US Equity</stp>
        <stp>PR064</stp>
        <stp>[DPM - Securities Master List (BBG Linked).xlsx]Equities!R179C41</stp>
        <tr r="AO179" s="2"/>
      </tp>
      <tp>
        <v>164108.31000000003</v>
        <stp/>
        <stp>##V3_BDPV12</stp>
        <stp>ADBE US Equity</stp>
        <stp>CRNCY_ADJ_MKT_CAP</stp>
        <stp>[DPM - Securities Master List (BBG Linked).xlsx]Equities!R36C9</stp>
        <stp>EQY_FUND_CRNCY=USD</stp>
        <tr r="I36" s="2"/>
      </tp>
      <tp>
        <v>164108.31000000003</v>
        <stp/>
        <stp>##V3_BDPV12</stp>
        <stp>ADBE US Equity</stp>
        <stp>CRNCY_ADJ_MKT_CAP</stp>
        <stp>[DPM - Securities Master List (BBG Linked).xlsx]Equities!R37C9</stp>
        <stp>EQY_FUND_CRNCY=USD</stp>
        <tr r="I37" s="2"/>
      </tp>
      <tp>
        <v>20.978770000000001</v>
        <stp/>
        <stp>##V3_BDPV12</stp>
        <stp>MSFT US Equity</stp>
        <stp>PR061</stp>
        <stp>[DPM - Securities Master List (BBG Linked).xlsx]Equities!R182C40</stp>
        <tr r="AN182" s="2"/>
      </tp>
      <tp>
        <v>20.978770000000001</v>
        <stp/>
        <stp>##V3_BDPV12</stp>
        <stp>MSFT US Equity</stp>
        <stp>PR061</stp>
        <stp>[DPM - Securities Master List (BBG Linked).xlsx]Equities!R183C40</stp>
        <tr r="AN183" s="2"/>
      </tp>
      <tp>
        <v>20.978770000000001</v>
        <stp/>
        <stp>##V3_BDPV12</stp>
        <stp>MSFT US Equity</stp>
        <stp>PR061</stp>
        <stp>[DPM - Securities Master List (BBG Linked).xlsx]Equities!R180C40</stp>
        <tr r="AN180" s="2"/>
      </tp>
      <tp>
        <v>20.978770000000001</v>
        <stp/>
        <stp>##V3_BDPV12</stp>
        <stp>MSFT US Equity</stp>
        <stp>PR061</stp>
        <stp>[DPM - Securities Master List (BBG Linked).xlsx]Equities!R181C40</stp>
        <tr r="AN181" s="2"/>
      </tp>
      <tp>
        <v>20.978770000000001</v>
        <stp/>
        <stp>##V3_BDPV12</stp>
        <stp>MSFT US Equity</stp>
        <stp>PR061</stp>
        <stp>[DPM - Securities Master List (BBG Linked).xlsx]Equities!R186C40</stp>
        <tr r="AN186" s="2"/>
      </tp>
      <tp>
        <v>20.978770000000001</v>
        <stp/>
        <stp>##V3_BDPV12</stp>
        <stp>MSFT US Equity</stp>
        <stp>PR061</stp>
        <stp>[DPM - Securities Master List (BBG Linked).xlsx]Equities!R187C40</stp>
        <tr r="AN187" s="2"/>
      </tp>
      <tp>
        <v>20.978770000000001</v>
        <stp/>
        <stp>##V3_BDPV12</stp>
        <stp>MSFT US Equity</stp>
        <stp>PR061</stp>
        <stp>[DPM - Securities Master List (BBG Linked).xlsx]Equities!R184C40</stp>
        <tr r="AN184" s="2"/>
      </tp>
      <tp>
        <v>20.978770000000001</v>
        <stp/>
        <stp>##V3_BDPV12</stp>
        <stp>MSFT US Equity</stp>
        <stp>PR061</stp>
        <stp>[DPM - Securities Master List (BBG Linked).xlsx]Equities!R185C40</stp>
        <tr r="AN185" s="2"/>
      </tp>
      <tp>
        <v>20.978770000000001</v>
        <stp/>
        <stp>##V3_BDPV12</stp>
        <stp>MSFT US Equity</stp>
        <stp>PR061</stp>
        <stp>[DPM - Securities Master List (BBG Linked).xlsx]Equities!R188C40</stp>
        <tr r="AN188" s="2"/>
      </tp>
      <tp>
        <v>20.978770000000001</v>
        <stp/>
        <stp>##V3_BDPV12</stp>
        <stp>MSFT US Equity</stp>
        <stp>PR061</stp>
        <stp>[DPM - Securities Master List (BBG Linked).xlsx]Equities!R172C40</stp>
        <tr r="AN172" s="2"/>
      </tp>
      <tp>
        <v>20.978770000000001</v>
        <stp/>
        <stp>##V3_BDPV12</stp>
        <stp>MSFT US Equity</stp>
        <stp>PR061</stp>
        <stp>[DPM - Securities Master List (BBG Linked).xlsx]Equities!R173C40</stp>
        <tr r="AN173" s="2"/>
      </tp>
      <tp>
        <v>20.978770000000001</v>
        <stp/>
        <stp>##V3_BDPV12</stp>
        <stp>MSFT US Equity</stp>
        <stp>PR061</stp>
        <stp>[DPM - Securities Master List (BBG Linked).xlsx]Equities!R170C40</stp>
        <tr r="AN170" s="2"/>
      </tp>
      <tp>
        <v>20.978770000000001</v>
        <stp/>
        <stp>##V3_BDPV12</stp>
        <stp>MSFT US Equity</stp>
        <stp>PR061</stp>
        <stp>[DPM - Securities Master List (BBG Linked).xlsx]Equities!R171C40</stp>
        <tr r="AN171" s="2"/>
      </tp>
      <tp>
        <v>20.978770000000001</v>
        <stp/>
        <stp>##V3_BDPV12</stp>
        <stp>MSFT US Equity</stp>
        <stp>PR061</stp>
        <stp>[DPM - Securities Master List (BBG Linked).xlsx]Equities!R176C40</stp>
        <tr r="AN176" s="2"/>
      </tp>
      <tp>
        <v>20.978770000000001</v>
        <stp/>
        <stp>##V3_BDPV12</stp>
        <stp>MSFT US Equity</stp>
        <stp>PR061</stp>
        <stp>[DPM - Securities Master List (BBG Linked).xlsx]Equities!R177C40</stp>
        <tr r="AN177" s="2"/>
      </tp>
      <tp>
        <v>20.978770000000001</v>
        <stp/>
        <stp>##V3_BDPV12</stp>
        <stp>MSFT US Equity</stp>
        <stp>PR061</stp>
        <stp>[DPM - Securities Master List (BBG Linked).xlsx]Equities!R174C40</stp>
        <tr r="AN174" s="2"/>
      </tp>
      <tp>
        <v>20.978770000000001</v>
        <stp/>
        <stp>##V3_BDPV12</stp>
        <stp>MSFT US Equity</stp>
        <stp>PR061</stp>
        <stp>[DPM - Securities Master List (BBG Linked).xlsx]Equities!R175C40</stp>
        <tr r="AN175" s="2"/>
      </tp>
      <tp>
        <v>20.978770000000001</v>
        <stp/>
        <stp>##V3_BDPV12</stp>
        <stp>MSFT US Equity</stp>
        <stp>PR061</stp>
        <stp>[DPM - Securities Master List (BBG Linked).xlsx]Equities!R178C40</stp>
        <tr r="AN178" s="2"/>
      </tp>
      <tp>
        <v>20.978770000000001</v>
        <stp/>
        <stp>##V3_BDPV12</stp>
        <stp>MSFT US Equity</stp>
        <stp>PR061</stp>
        <stp>[DPM - Securities Master List (BBG Linked).xlsx]Equities!R179C40</stp>
        <tr r="AN179" s="2"/>
      </tp>
      <tp>
        <v>9.2024265015546458</v>
        <stp/>
        <stp>##V3_BDPV12</stp>
        <stp>NVDA US Equity</stp>
        <stp>RR041</stp>
        <stp>[DPM - Securities Master List (BBG Linked).xlsx]Equities!R224C33</stp>
        <tr r="AG224" s="2"/>
        <tr r="AG224" s="2"/>
        <tr r="AG224" s="2"/>
      </tp>
      <tp>
        <v>-18.586189999999998</v>
        <stp/>
        <stp>##V3_BDPV12</stp>
        <stp>REGN US Equity</stp>
        <stp>PR079</stp>
        <stp>[DPM - Securities Master List (BBG Linked).xlsx]Equities!R241C43</stp>
        <tr r="AQ241" s="2"/>
      </tp>
      <tp t="s">
        <v>Equity</v>
        <stp/>
        <stp>##V3_BDPV12</stp>
        <stp>VOW3 GY Equity</stp>
        <stp>EX028</stp>
        <stp>[DPM - Securities Master List (BBG Linked).xlsx]Equities!R289C30</stp>
        <tr r="AD289" s="2"/>
        <tr r="AD289" s="2"/>
        <tr r="AD289" s="2"/>
      </tp>
      <tp t="s">
        <v>Equity</v>
        <stp/>
        <stp>##V3_BDPV12</stp>
        <stp>VOW3 GY Equity</stp>
        <stp>EX028</stp>
        <stp>[DPM - Securities Master List (BBG Linked).xlsx]Equities!R290C30</stp>
        <tr r="AD290" s="2"/>
        <tr r="AD290" s="2"/>
        <tr r="AD290" s="2"/>
      </tp>
      <tp t="s">
        <v>Equity</v>
        <stp/>
        <stp>##V3_BDPV12</stp>
        <stp>VOW3 GY Equity</stp>
        <stp>EX028</stp>
        <stp>[DPM - Securities Master List (BBG Linked).xlsx]Equities!R291C30</stp>
        <tr r="AD291" s="2"/>
        <tr r="AD291" s="2"/>
        <tr r="AD291" s="2"/>
      </tp>
      <tp t="s">
        <v>Equity</v>
        <stp/>
        <stp>##V3_BDPV12</stp>
        <stp>VOW3 GY Equity</stp>
        <stp>EX028</stp>
        <stp>[DPM - Securities Master List (BBG Linked).xlsx]Equities!R292C30</stp>
        <tr r="AD292" s="2"/>
        <tr r="AD292" s="2"/>
        <tr r="AD292" s="2"/>
      </tp>
      <tp t="s">
        <v>Equity</v>
        <stp/>
        <stp>##V3_BDPV12</stp>
        <stp>VOW3 GY Equity</stp>
        <stp>EX028</stp>
        <stp>[DPM - Securities Master List (BBG Linked).xlsx]Equities!R293C30</stp>
        <tr r="AD293" s="2"/>
        <tr r="AD293" s="2"/>
        <tr r="AD293" s="2"/>
      </tp>
      <tp t="s">
        <v>Information Technology</v>
        <stp/>
        <stp>##V3_BDPV12</stp>
        <stp>ADBE US Equity</stp>
        <stp>DX202</stp>
        <stp>[DPM - Securities Master List (BBG Linked).xlsx]Equities!R45C8</stp>
        <tr r="H45" s="2"/>
        <tr r="H45" s="2"/>
        <tr r="H45" s="2"/>
      </tp>
      <tp t="s">
        <v>Health Care</v>
        <stp/>
        <stp>##V3_BDPV12</stp>
        <stp>BMRN US Equity</stp>
        <stp>DX202</stp>
        <stp>[DPM - Securities Master List (BBG Linked).xlsx]Equities!R66C8</stp>
        <tr r="H66" s="2"/>
        <tr r="H66" s="2"/>
        <tr r="H66" s="2"/>
      </tp>
      <tp>
        <v>13.922631137586027</v>
        <stp/>
        <stp>##V3_BDPV12</stp>
        <stp>GOOGL UQ Equity</stp>
        <stp>RR957</stp>
        <stp>[DPM - Securities Master List (BBG Linked).xlsx]Equities!R126C14</stp>
        <tr r="N126" s="2"/>
        <tr r="N126" s="2"/>
        <tr r="N126" s="2"/>
      </tp>
      <tp>
        <v>3.6243385738796658</v>
        <stp/>
        <stp>##V3_BDPV12</stp>
        <stp>TSCO LN Equity</stp>
        <stp>DV013</stp>
        <stp>[DPM - Securities Master List (BBG Linked).xlsx]Equities!R269C10</stp>
        <tr r="J269" s="2"/>
      </tp>
      <tp>
        <v>3.6243385738796658</v>
        <stp/>
        <stp>##V3_BDPV12</stp>
        <stp>TSCO LN Equity</stp>
        <stp>DV013</stp>
        <stp>[DPM - Securities Master List (BBG Linked).xlsx]Equities!R268C10</stp>
        <tr r="J268" s="2"/>
      </tp>
      <tp>
        <v>3.6243385738796658</v>
        <stp/>
        <stp>##V3_BDPV12</stp>
        <stp>TSCO LN Equity</stp>
        <stp>DV013</stp>
        <stp>[DPM - Securities Master List (BBG Linked).xlsx]Equities!R263C10</stp>
        <tr r="J263" s="2"/>
      </tp>
      <tp>
        <v>3.6243385738796658</v>
        <stp/>
        <stp>##V3_BDPV12</stp>
        <stp>TSCO LN Equity</stp>
        <stp>DV013</stp>
        <stp>[DPM - Securities Master List (BBG Linked).xlsx]Equities!R262C10</stp>
        <tr r="J262" s="2"/>
      </tp>
      <tp>
        <v>3.6243385738796658</v>
        <stp/>
        <stp>##V3_BDPV12</stp>
        <stp>TSCO LN Equity</stp>
        <stp>DV013</stp>
        <stp>[DPM - Securities Master List (BBG Linked).xlsx]Equities!R267C10</stp>
        <tr r="J267" s="2"/>
      </tp>
      <tp>
        <v>3.6243385738796658</v>
        <stp/>
        <stp>##V3_BDPV12</stp>
        <stp>TSCO LN Equity</stp>
        <stp>DV013</stp>
        <stp>[DPM - Securities Master List (BBG Linked).xlsx]Equities!R266C10</stp>
        <tr r="J266" s="2"/>
      </tp>
      <tp>
        <v>3.6243385738796658</v>
        <stp/>
        <stp>##V3_BDPV12</stp>
        <stp>TSCO LN Equity</stp>
        <stp>DV013</stp>
        <stp>[DPM - Securities Master List (BBG Linked).xlsx]Equities!R265C10</stp>
        <tr r="J265" s="2"/>
      </tp>
      <tp>
        <v>3.6243385738796658</v>
        <stp/>
        <stp>##V3_BDPV12</stp>
        <stp>TSCO LN Equity</stp>
        <stp>DV013</stp>
        <stp>[DPM - Securities Master List (BBG Linked).xlsx]Equities!R264C10</stp>
        <tr r="J264" s="2"/>
      </tp>
      <tp>
        <v>3.6243385738796658</v>
        <stp/>
        <stp>##V3_BDPV12</stp>
        <stp>TSCO LN Equity</stp>
        <stp>DV013</stp>
        <stp>[DPM - Securities Master List (BBG Linked).xlsx]Equities!R273C10</stp>
        <tr r="J273" s="2"/>
      </tp>
      <tp>
        <v>3.6243385738796658</v>
        <stp/>
        <stp>##V3_BDPV12</stp>
        <stp>TSCO LN Equity</stp>
        <stp>DV013</stp>
        <stp>[DPM - Securities Master List (BBG Linked).xlsx]Equities!R272C10</stp>
        <tr r="J272" s="2"/>
      </tp>
      <tp>
        <v>3.6243385738796658</v>
        <stp/>
        <stp>##V3_BDPV12</stp>
        <stp>TSCO LN Equity</stp>
        <stp>DV013</stp>
        <stp>[DPM - Securities Master List (BBG Linked).xlsx]Equities!R271C10</stp>
        <tr r="J271" s="2"/>
      </tp>
      <tp>
        <v>3.6243385738796658</v>
        <stp/>
        <stp>##V3_BDPV12</stp>
        <stp>TSCO LN Equity</stp>
        <stp>DV013</stp>
        <stp>[DPM - Securities Master List (BBG Linked).xlsx]Equities!R270C10</stp>
        <tr r="J270" s="2"/>
      </tp>
      <tp>
        <v>3.6243385738796658</v>
        <stp/>
        <stp>##V3_BDPV12</stp>
        <stp>TSCO LN Equity</stp>
        <stp>DV013</stp>
        <stp>[DPM - Securities Master List (BBG Linked).xlsx]Equities!R275C10</stp>
        <tr r="J275" s="2"/>
      </tp>
      <tp>
        <v>3.6243385738796658</v>
        <stp/>
        <stp>##V3_BDPV12</stp>
        <stp>TSCO LN Equity</stp>
        <stp>DV013</stp>
        <stp>[DPM - Securities Master List (BBG Linked).xlsx]Equities!R274C10</stp>
        <tr r="J274" s="2"/>
      </tp>
      <tp t="s">
        <v>Y</v>
        <stp/>
        <stp>##V3_BDPV12</stp>
        <stp>NESN SW Equity</stp>
        <stp>DY784</stp>
        <stp>[DPM - Securities Master List (BBG Linked).xlsx]Equities!R195C48</stp>
        <tr r="AV195" s="2"/>
        <tr r="AV195" s="2"/>
        <tr r="AV195" s="2"/>
      </tp>
      <tp t="s">
        <v>Y</v>
        <stp/>
        <stp>##V3_BDPV12</stp>
        <stp>NESN SW Equity</stp>
        <stp>DY784</stp>
        <stp>[DPM - Securities Master List (BBG Linked).xlsx]Equities!R194C48</stp>
        <tr r="AV194" s="2"/>
        <tr r="AV194" s="2"/>
        <tr r="AV194" s="2"/>
      </tp>
      <tp t="s">
        <v>Y</v>
        <stp/>
        <stp>##V3_BDPV12</stp>
        <stp>NESN SW Equity</stp>
        <stp>DY784</stp>
        <stp>[DPM - Securities Master List (BBG Linked).xlsx]Equities!R197C48</stp>
        <tr r="AV197" s="2"/>
        <tr r="AV197" s="2"/>
        <tr r="AV197" s="2"/>
      </tp>
      <tp t="s">
        <v>Y</v>
        <stp/>
        <stp>##V3_BDPV12</stp>
        <stp>NESN SW Equity</stp>
        <stp>DY784</stp>
        <stp>[DPM - Securities Master List (BBG Linked).xlsx]Equities!R196C48</stp>
        <tr r="AV196" s="2"/>
        <tr r="AV196" s="2"/>
        <tr r="AV196" s="2"/>
      </tp>
      <tp t="s">
        <v>Y</v>
        <stp/>
        <stp>##V3_BDPV12</stp>
        <stp>NESN SW Equity</stp>
        <stp>DY784</stp>
        <stp>[DPM - Securities Master List (BBG Linked).xlsx]Equities!R193C48</stp>
        <tr r="AV193" s="2"/>
        <tr r="AV193" s="2"/>
        <tr r="AV193" s="2"/>
      </tp>
      <tp t="s">
        <v>Y</v>
        <stp/>
        <stp>##V3_BDPV12</stp>
        <stp>NESN SW Equity</stp>
        <stp>DY784</stp>
        <stp>[DPM - Securities Master List (BBG Linked).xlsx]Equities!R199C48</stp>
        <tr r="AV199" s="2"/>
        <tr r="AV199" s="2"/>
        <tr r="AV199" s="2"/>
      </tp>
      <tp t="s">
        <v>Y</v>
        <stp/>
        <stp>##V3_BDPV12</stp>
        <stp>NESN SW Equity</stp>
        <stp>DY784</stp>
        <stp>[DPM - Securities Master List (BBG Linked).xlsx]Equities!R198C48</stp>
        <tr r="AV198" s="2"/>
        <tr r="AV198" s="2"/>
        <tr r="AV198" s="2"/>
      </tp>
      <tp>
        <v>12.77027027027027</v>
        <stp/>
        <stp>##V3_BDPV12</stp>
        <stp>TSCO LN Equity</stp>
        <stp>EE010</stp>
        <stp>[DPM - Securities Master List (BBG Linked).xlsx]Equities!R273C12</stp>
        <tr r="L273" s="2"/>
        <tr r="L273" s="2"/>
        <tr r="L273" s="2"/>
      </tp>
      <tp>
        <v>12.77027027027027</v>
        <stp/>
        <stp>##V3_BDPV12</stp>
        <stp>TSCO LN Equity</stp>
        <stp>EE010</stp>
        <stp>[DPM - Securities Master List (BBG Linked).xlsx]Equities!R272C12</stp>
        <tr r="L272" s="2"/>
        <tr r="L272" s="2"/>
        <tr r="L272" s="2"/>
      </tp>
      <tp>
        <v>12.77027027027027</v>
        <stp/>
        <stp>##V3_BDPV12</stp>
        <stp>TSCO LN Equity</stp>
        <stp>EE010</stp>
        <stp>[DPM - Securities Master List (BBG Linked).xlsx]Equities!R271C12</stp>
        <tr r="L271" s="2"/>
        <tr r="L271" s="2"/>
        <tr r="L271" s="2"/>
      </tp>
      <tp>
        <v>12.77027027027027</v>
        <stp/>
        <stp>##V3_BDPV12</stp>
        <stp>TSCO LN Equity</stp>
        <stp>EE010</stp>
        <stp>[DPM - Securities Master List (BBG Linked).xlsx]Equities!R270C12</stp>
        <tr r="L270" s="2"/>
        <tr r="L270" s="2"/>
        <tr r="L270" s="2"/>
      </tp>
      <tp>
        <v>12.77027027027027</v>
        <stp/>
        <stp>##V3_BDPV12</stp>
        <stp>TSCO LN Equity</stp>
        <stp>EE010</stp>
        <stp>[DPM - Securities Master List (BBG Linked).xlsx]Equities!R275C12</stp>
        <tr r="L275" s="2"/>
        <tr r="L275" s="2"/>
        <tr r="L275" s="2"/>
      </tp>
      <tp>
        <v>12.77027027027027</v>
        <stp/>
        <stp>##V3_BDPV12</stp>
        <stp>TSCO LN Equity</stp>
        <stp>EE010</stp>
        <stp>[DPM - Securities Master List (BBG Linked).xlsx]Equities!R274C12</stp>
        <tr r="L274" s="2"/>
        <tr r="L274" s="2"/>
        <tr r="L274" s="2"/>
      </tp>
      <tp>
        <v>12.77027027027027</v>
        <stp/>
        <stp>##V3_BDPV12</stp>
        <stp>TSCO LN Equity</stp>
        <stp>EE010</stp>
        <stp>[DPM - Securities Master List (BBG Linked).xlsx]Equities!R269C12</stp>
        <tr r="L269" s="2"/>
        <tr r="L269" s="2"/>
        <tr r="L269" s="2"/>
      </tp>
      <tp>
        <v>12.77027027027027</v>
        <stp/>
        <stp>##V3_BDPV12</stp>
        <stp>TSCO LN Equity</stp>
        <stp>EE010</stp>
        <stp>[DPM - Securities Master List (BBG Linked).xlsx]Equities!R268C12</stp>
        <tr r="L268" s="2"/>
        <tr r="L268" s="2"/>
        <tr r="L268" s="2"/>
      </tp>
      <tp>
        <v>12.77027027027027</v>
        <stp/>
        <stp>##V3_BDPV12</stp>
        <stp>TSCO LN Equity</stp>
        <stp>EE010</stp>
        <stp>[DPM - Securities Master List (BBG Linked).xlsx]Equities!R263C12</stp>
        <tr r="L263" s="2"/>
        <tr r="L263" s="2"/>
        <tr r="L263" s="2"/>
      </tp>
      <tp>
        <v>12.77027027027027</v>
        <stp/>
        <stp>##V3_BDPV12</stp>
        <stp>TSCO LN Equity</stp>
        <stp>EE010</stp>
        <stp>[DPM - Securities Master List (BBG Linked).xlsx]Equities!R262C12</stp>
        <tr r="L262" s="2"/>
        <tr r="L262" s="2"/>
        <tr r="L262" s="2"/>
      </tp>
      <tp>
        <v>12.77027027027027</v>
        <stp/>
        <stp>##V3_BDPV12</stp>
        <stp>TSCO LN Equity</stp>
        <stp>EE010</stp>
        <stp>[DPM - Securities Master List (BBG Linked).xlsx]Equities!R267C12</stp>
        <tr r="L267" s="2"/>
        <tr r="L267" s="2"/>
        <tr r="L267" s="2"/>
      </tp>
      <tp>
        <v>12.77027027027027</v>
        <stp/>
        <stp>##V3_BDPV12</stp>
        <stp>TSCO LN Equity</stp>
        <stp>EE010</stp>
        <stp>[DPM - Securities Master List (BBG Linked).xlsx]Equities!R266C12</stp>
        <tr r="L266" s="2"/>
        <tr r="L266" s="2"/>
        <tr r="L266" s="2"/>
      </tp>
      <tp>
        <v>12.77027027027027</v>
        <stp/>
        <stp>##V3_BDPV12</stp>
        <stp>TSCO LN Equity</stp>
        <stp>EE010</stp>
        <stp>[DPM - Securities Master List (BBG Linked).xlsx]Equities!R265C12</stp>
        <tr r="L265" s="2"/>
        <tr r="L265" s="2"/>
        <tr r="L265" s="2"/>
      </tp>
      <tp>
        <v>12.77027027027027</v>
        <stp/>
        <stp>##V3_BDPV12</stp>
        <stp>TSCO LN Equity</stp>
        <stp>EE010</stp>
        <stp>[DPM - Securities Master List (BBG Linked).xlsx]Equities!R264C12</stp>
        <tr r="L264" s="2"/>
        <tr r="L264" s="2"/>
        <tr r="L264" s="2"/>
      </tp>
      <tp t="s">
        <v>Y</v>
        <stp/>
        <stp>##V3_BDPV12</stp>
        <stp>NESN SW Equity</stp>
        <stp>DY784</stp>
        <stp>[DPM - Securities Master List (BBG Linked).xlsx]Equities!R205C48</stp>
        <tr r="AV205" s="2"/>
        <tr r="AV205" s="2"/>
        <tr r="AV205" s="2"/>
      </tp>
      <tp t="s">
        <v>Y</v>
        <stp/>
        <stp>##V3_BDPV12</stp>
        <stp>NESN SW Equity</stp>
        <stp>DY784</stp>
        <stp>[DPM - Securities Master List (BBG Linked).xlsx]Equities!R204C48</stp>
        <tr r="AV204" s="2"/>
        <tr r="AV204" s="2"/>
        <tr r="AV204" s="2"/>
      </tp>
      <tp t="s">
        <v>Y</v>
        <stp/>
        <stp>##V3_BDPV12</stp>
        <stp>NESN SW Equity</stp>
        <stp>DY784</stp>
        <stp>[DPM - Securities Master List (BBG Linked).xlsx]Equities!R201C48</stp>
        <tr r="AV201" s="2"/>
        <tr r="AV201" s="2"/>
        <tr r="AV201" s="2"/>
      </tp>
      <tp t="s">
        <v>Y</v>
        <stp/>
        <stp>##V3_BDPV12</stp>
        <stp>NESN SW Equity</stp>
        <stp>DY784</stp>
        <stp>[DPM - Securities Master List (BBG Linked).xlsx]Equities!R200C48</stp>
        <tr r="AV200" s="2"/>
        <tr r="AV200" s="2"/>
        <tr r="AV200" s="2"/>
      </tp>
      <tp t="s">
        <v>Y</v>
        <stp/>
        <stp>##V3_BDPV12</stp>
        <stp>NESN SW Equity</stp>
        <stp>DY784</stp>
        <stp>[DPM - Securities Master List (BBG Linked).xlsx]Equities!R203C48</stp>
        <tr r="AV203" s="2"/>
        <tr r="AV203" s="2"/>
        <tr r="AV203" s="2"/>
      </tp>
      <tp t="s">
        <v>Y</v>
        <stp/>
        <stp>##V3_BDPV12</stp>
        <stp>NESN SW Equity</stp>
        <stp>DY784</stp>
        <stp>[DPM - Securities Master List (BBG Linked).xlsx]Equities!R202C48</stp>
        <tr r="AV202" s="2"/>
        <tr r="AV202" s="2"/>
        <tr r="AV202" s="2"/>
      </tp>
      <tp>
        <v>-13.592180000000001</v>
        <stp/>
        <stp>##V3_BDPV12</stp>
        <stp>GOOGL US Equity</stp>
        <stp>PR079</stp>
        <stp>[DPM - Securities Master List (BBG Linked).xlsx]Equities!R140C43</stp>
        <tr r="AQ140" s="2"/>
      </tp>
      <tp>
        <v>-13.592180000000001</v>
        <stp/>
        <stp>##V3_BDPV12</stp>
        <stp>GOOGL US Equity</stp>
        <stp>PR079</stp>
        <stp>[DPM - Securities Master List (BBG Linked).xlsx]Equities!R141C43</stp>
        <tr r="AQ141" s="2"/>
      </tp>
      <tp>
        <v>-13.592180000000001</v>
        <stp/>
        <stp>##V3_BDPV12</stp>
        <stp>GOOGL US Equity</stp>
        <stp>PR079</stp>
        <stp>[DPM - Securities Master List (BBG Linked).xlsx]Equities!R127C43</stp>
        <tr r="AQ127" s="2"/>
      </tp>
      <tp>
        <v>-13.592180000000001</v>
        <stp/>
        <stp>##V3_BDPV12</stp>
        <stp>GOOGL US Equity</stp>
        <stp>PR079</stp>
        <stp>[DPM - Securities Master List (BBG Linked).xlsx]Equities!R128C43</stp>
        <tr r="AQ128" s="2"/>
      </tp>
      <tp>
        <v>-13.592180000000001</v>
        <stp/>
        <stp>##V3_BDPV12</stp>
        <stp>GOOGL US Equity</stp>
        <stp>PR079</stp>
        <stp>[DPM - Securities Master List (BBG Linked).xlsx]Equities!R129C43</stp>
        <tr r="AQ129" s="2"/>
      </tp>
      <tp>
        <v>-13.592180000000001</v>
        <stp/>
        <stp>##V3_BDPV12</stp>
        <stp>GOOGL US Equity</stp>
        <stp>PR079</stp>
        <stp>[DPM - Securities Master List (BBG Linked).xlsx]Equities!R132C43</stp>
        <tr r="AQ132" s="2"/>
      </tp>
      <tp>
        <v>-13.592180000000001</v>
        <stp/>
        <stp>##V3_BDPV12</stp>
        <stp>GOOGL US Equity</stp>
        <stp>PR079</stp>
        <stp>[DPM - Securities Master List (BBG Linked).xlsx]Equities!R133C43</stp>
        <tr r="AQ133" s="2"/>
      </tp>
      <tp>
        <v>-13.592180000000001</v>
        <stp/>
        <stp>##V3_BDPV12</stp>
        <stp>GOOGL US Equity</stp>
        <stp>PR079</stp>
        <stp>[DPM - Securities Master List (BBG Linked).xlsx]Equities!R130C43</stp>
        <tr r="AQ130" s="2"/>
      </tp>
      <tp>
        <v>-13.592180000000001</v>
        <stp/>
        <stp>##V3_BDPV12</stp>
        <stp>GOOGL US Equity</stp>
        <stp>PR079</stp>
        <stp>[DPM - Securities Master List (BBG Linked).xlsx]Equities!R131C43</stp>
        <tr r="AQ131" s="2"/>
      </tp>
      <tp>
        <v>-13.592180000000001</v>
        <stp/>
        <stp>##V3_BDPV12</stp>
        <stp>GOOGL US Equity</stp>
        <stp>PR079</stp>
        <stp>[DPM - Securities Master List (BBG Linked).xlsx]Equities!R136C43</stp>
        <tr r="AQ136" s="2"/>
      </tp>
      <tp>
        <v>-13.592180000000001</v>
        <stp/>
        <stp>##V3_BDPV12</stp>
        <stp>GOOGL US Equity</stp>
        <stp>PR079</stp>
        <stp>[DPM - Securities Master List (BBG Linked).xlsx]Equities!R137C43</stp>
        <tr r="AQ137" s="2"/>
      </tp>
      <tp>
        <v>-13.592180000000001</v>
        <stp/>
        <stp>##V3_BDPV12</stp>
        <stp>GOOGL US Equity</stp>
        <stp>PR079</stp>
        <stp>[DPM - Securities Master List (BBG Linked).xlsx]Equities!R134C43</stp>
        <tr r="AQ134" s="2"/>
      </tp>
      <tp>
        <v>-13.592180000000001</v>
        <stp/>
        <stp>##V3_BDPV12</stp>
        <stp>GOOGL US Equity</stp>
        <stp>PR079</stp>
        <stp>[DPM - Securities Master List (BBG Linked).xlsx]Equities!R135C43</stp>
        <tr r="AQ135" s="2"/>
      </tp>
      <tp>
        <v>-13.592180000000001</v>
        <stp/>
        <stp>##V3_BDPV12</stp>
        <stp>GOOGL US Equity</stp>
        <stp>PR079</stp>
        <stp>[DPM - Securities Master List (BBG Linked).xlsx]Equities!R138C43</stp>
        <tr r="AQ138" s="2"/>
      </tp>
      <tp>
        <v>-13.592180000000001</v>
        <stp/>
        <stp>##V3_BDPV12</stp>
        <stp>GOOGL US Equity</stp>
        <stp>PR079</stp>
        <stp>[DPM - Securities Master List (BBG Linked).xlsx]Equities!R139C43</stp>
        <tr r="AQ139" s="2"/>
      </tp>
      <tp t="s">
        <v>#N/A N/A</v>
        <stp/>
        <stp>##V3_BDPV12</stp>
        <stp>TCEHY US Equity</stp>
        <stp>DY784</stp>
        <stp>[DPM - Securities Master List (BBG Linked).xlsx]Equities!R260C48</stp>
        <tr r="AV260" s="2"/>
        <tr r="AV260" s="2"/>
      </tp>
      <tp t="s">
        <v>#N/A N/A</v>
        <stp/>
        <stp>##V3_BDPV12</stp>
        <stp>TCEHY US Equity</stp>
        <stp>DY784</stp>
        <stp>[DPM - Securities Master List (BBG Linked).xlsx]Equities!R259C48</stp>
        <tr r="AV259" s="2"/>
        <tr r="AV259" s="2"/>
      </tp>
      <tp>
        <v>30.96696</v>
        <stp/>
        <stp>##V3_BDPV12</stp>
        <stp>NSRGY US Equity</stp>
        <stp>PR079</stp>
        <stp>[DPM - Securities Master List (BBG Linked).xlsx]Equities!R223C43</stp>
        <tr r="AQ223" s="2"/>
      </tp>
      <tp>
        <v>384.79</v>
        <stp/>
        <stp>##V3_BDPV12</stp>
        <stp>ADBE US Equity</stp>
        <stp>PX_Last</stp>
        <stp>[DPM - Securities Master List (BBG Linked).xlsx]Equities!R39C17</stp>
        <tr r="Q39" s="2"/>
      </tp>
      <tp>
        <v>384.79</v>
        <stp/>
        <stp>##V3_BDPV12</stp>
        <stp>ADBE US Equity</stp>
        <stp>PX_Last</stp>
        <stp>[DPM - Securities Master List (BBG Linked).xlsx]Equities!R38C17</stp>
        <tr r="Q38" s="2"/>
      </tp>
      <tp>
        <v>384.79</v>
        <stp/>
        <stp>##V3_BDPV12</stp>
        <stp>ADBE US Equity</stp>
        <stp>PX_Last</stp>
        <stp>[DPM - Securities Master List (BBG Linked).xlsx]Equities!R37C17</stp>
        <tr r="Q37" s="2"/>
      </tp>
      <tp>
        <v>384.79</v>
        <stp/>
        <stp>##V3_BDPV12</stp>
        <stp>ADBE US Equity</stp>
        <stp>PX_Last</stp>
        <stp>[DPM - Securities Master List (BBG Linked).xlsx]Equities!R36C17</stp>
        <tr r="Q36" s="2"/>
      </tp>
      <tp>
        <v>384.79</v>
        <stp/>
        <stp>##V3_BDPV12</stp>
        <stp>ADBE US Equity</stp>
        <stp>PX_last</stp>
        <stp>[DPM - Securities Master List (BBG Linked).xlsx]Equities!R39C17</stp>
        <tr r="Q39" s="2"/>
      </tp>
      <tp>
        <v>384.79</v>
        <stp/>
        <stp>##V3_BDPV12</stp>
        <stp>ADBE US Equity</stp>
        <stp>PX_last</stp>
        <stp>[DPM - Securities Master List (BBG Linked).xlsx]Equities!R38C17</stp>
        <tr r="Q38" s="2"/>
      </tp>
      <tp>
        <v>384.79</v>
        <stp/>
        <stp>##V3_BDPV12</stp>
        <stp>ADBE US Equity</stp>
        <stp>PX_last</stp>
        <stp>[DPM - Securities Master List (BBG Linked).xlsx]Equities!R37C17</stp>
        <tr r="Q37" s="2"/>
      </tp>
      <tp>
        <v>384.79</v>
        <stp/>
        <stp>##V3_BDPV12</stp>
        <stp>ADBE US Equity</stp>
        <stp>PX_last</stp>
        <stp>[DPM - Securities Master List (BBG Linked).xlsx]Equities!R36C17</stp>
        <tr r="Q36" s="2"/>
      </tp>
      <tp>
        <v>384.79</v>
        <stp/>
        <stp>##V3_BDPV12</stp>
        <stp>ADBE US Equity</stp>
        <stp>PX_Last</stp>
        <stp>[DPM - Securities Master List (BBG Linked).xlsx]Equities!R49C17</stp>
        <tr r="Q49" s="2"/>
      </tp>
      <tp>
        <v>384.79</v>
        <stp/>
        <stp>##V3_BDPV12</stp>
        <stp>ADBE US Equity</stp>
        <stp>PX_Last</stp>
        <stp>[DPM - Securities Master List (BBG Linked).xlsx]Equities!R48C17</stp>
        <tr r="Q48" s="2"/>
      </tp>
      <tp>
        <v>384.79</v>
        <stp/>
        <stp>##V3_BDPV12</stp>
        <stp>ADBE US Equity</stp>
        <stp>PX_Last</stp>
        <stp>[DPM - Securities Master List (BBG Linked).xlsx]Equities!R45C17</stp>
        <tr r="Q45" s="2"/>
      </tp>
      <tp>
        <v>384.79</v>
        <stp/>
        <stp>##V3_BDPV12</stp>
        <stp>ADBE US Equity</stp>
        <stp>PX_Last</stp>
        <stp>[DPM - Securities Master List (BBG Linked).xlsx]Equities!R44C17</stp>
        <tr r="Q44" s="2"/>
      </tp>
      <tp>
        <v>384.79</v>
        <stp/>
        <stp>##V3_BDPV12</stp>
        <stp>ADBE US Equity</stp>
        <stp>PX_Last</stp>
        <stp>[DPM - Securities Master List (BBG Linked).xlsx]Equities!R47C17</stp>
        <tr r="Q47" s="2"/>
      </tp>
      <tp>
        <v>384.79</v>
        <stp/>
        <stp>##V3_BDPV12</stp>
        <stp>ADBE US Equity</stp>
        <stp>PX_Last</stp>
        <stp>[DPM - Securities Master List (BBG Linked).xlsx]Equities!R46C17</stp>
        <tr r="Q46" s="2"/>
      </tp>
      <tp>
        <v>384.79</v>
        <stp/>
        <stp>##V3_BDPV12</stp>
        <stp>ADBE US Equity</stp>
        <stp>PX_Last</stp>
        <stp>[DPM - Securities Master List (BBG Linked).xlsx]Equities!R41C17</stp>
        <tr r="Q41" s="2"/>
      </tp>
      <tp>
        <v>384.79</v>
        <stp/>
        <stp>##V3_BDPV12</stp>
        <stp>ADBE US Equity</stp>
        <stp>PX_Last</stp>
        <stp>[DPM - Securities Master List (BBG Linked).xlsx]Equities!R40C17</stp>
        <tr r="Q40" s="2"/>
      </tp>
      <tp>
        <v>384.79</v>
        <stp/>
        <stp>##V3_BDPV12</stp>
        <stp>ADBE US Equity</stp>
        <stp>PX_Last</stp>
        <stp>[DPM - Securities Master List (BBG Linked).xlsx]Equities!R43C17</stp>
        <tr r="Q43" s="2"/>
      </tp>
      <tp>
        <v>384.79</v>
        <stp/>
        <stp>##V3_BDPV12</stp>
        <stp>ADBE US Equity</stp>
        <stp>PX_Last</stp>
        <stp>[DPM - Securities Master List (BBG Linked).xlsx]Equities!R42C17</stp>
        <tr r="Q42" s="2"/>
      </tp>
      <tp>
        <v>384.79</v>
        <stp/>
        <stp>##V3_BDPV12</stp>
        <stp>ADBE US Equity</stp>
        <stp>PX_last</stp>
        <stp>[DPM - Securities Master List (BBG Linked).xlsx]Equities!R49C17</stp>
        <tr r="Q49" s="2"/>
      </tp>
      <tp>
        <v>384.79</v>
        <stp/>
        <stp>##V3_BDPV12</stp>
        <stp>ADBE US Equity</stp>
        <stp>PX_last</stp>
        <stp>[DPM - Securities Master List (BBG Linked).xlsx]Equities!R48C17</stp>
        <tr r="Q48" s="2"/>
      </tp>
      <tp>
        <v>384.79</v>
        <stp/>
        <stp>##V3_BDPV12</stp>
        <stp>ADBE US Equity</stp>
        <stp>PX_last</stp>
        <stp>[DPM - Securities Master List (BBG Linked).xlsx]Equities!R45C17</stp>
        <tr r="Q45" s="2"/>
      </tp>
      <tp>
        <v>384.79</v>
        <stp/>
        <stp>##V3_BDPV12</stp>
        <stp>ADBE US Equity</stp>
        <stp>PX_last</stp>
        <stp>[DPM - Securities Master List (BBG Linked).xlsx]Equities!R44C17</stp>
        <tr r="Q44" s="2"/>
      </tp>
      <tp>
        <v>384.79</v>
        <stp/>
        <stp>##V3_BDPV12</stp>
        <stp>ADBE US Equity</stp>
        <stp>PX_last</stp>
        <stp>[DPM - Securities Master List (BBG Linked).xlsx]Equities!R47C17</stp>
        <tr r="Q47" s="2"/>
      </tp>
      <tp>
        <v>384.79</v>
        <stp/>
        <stp>##V3_BDPV12</stp>
        <stp>ADBE US Equity</stp>
        <stp>PX_last</stp>
        <stp>[DPM - Securities Master List (BBG Linked).xlsx]Equities!R46C17</stp>
        <tr r="Q46" s="2"/>
      </tp>
      <tp>
        <v>384.79</v>
        <stp/>
        <stp>##V3_BDPV12</stp>
        <stp>ADBE US Equity</stp>
        <stp>PX_last</stp>
        <stp>[DPM - Securities Master List (BBG Linked).xlsx]Equities!R41C17</stp>
        <tr r="Q41" s="2"/>
      </tp>
      <tp>
        <v>384.79</v>
        <stp/>
        <stp>##V3_BDPV12</stp>
        <stp>ADBE US Equity</stp>
        <stp>PX_last</stp>
        <stp>[DPM - Securities Master List (BBG Linked).xlsx]Equities!R40C17</stp>
        <tr r="Q40" s="2"/>
      </tp>
      <tp>
        <v>384.79</v>
        <stp/>
        <stp>##V3_BDPV12</stp>
        <stp>ADBE US Equity</stp>
        <stp>PX_last</stp>
        <stp>[DPM - Securities Master List (BBG Linked).xlsx]Equities!R43C17</stp>
        <tr r="Q43" s="2"/>
      </tp>
      <tp>
        <v>384.79</v>
        <stp/>
        <stp>##V3_BDPV12</stp>
        <stp>ADBE US Equity</stp>
        <stp>PX_last</stp>
        <stp>[DPM - Securities Master List (BBG Linked).xlsx]Equities!R42C17</stp>
        <tr r="Q42" s="2"/>
      </tp>
      <tp>
        <v>58</v>
        <stp/>
        <stp>##V3_BDPV12</stp>
        <stp>3690 HK Equity</stp>
        <stp>TOT_BUY_REC</stp>
        <stp>[DPM - Securities Master List (BBG Linked).xlsx]Equities!R14C34</stp>
        <tr r="AH14" s="2"/>
      </tp>
      <tp>
        <v>58</v>
        <stp/>
        <stp>##V3_BDPV12</stp>
        <stp>3690 HK Equity</stp>
        <stp>TOT_BUY_REC</stp>
        <stp>[DPM - Securities Master List (BBG Linked).xlsx]Equities!R12C34</stp>
        <tr r="AH12" s="2"/>
      </tp>
      <tp>
        <v>58</v>
        <stp/>
        <stp>##V3_BDPV12</stp>
        <stp>3690 HK Equity</stp>
        <stp>TOT_BUY_REC</stp>
        <stp>[DPM - Securities Master List (BBG Linked).xlsx]Equities!R13C34</stp>
        <tr r="AH13" s="2"/>
      </tp>
      <tp>
        <v>58</v>
        <stp/>
        <stp>##V3_BDPV12</stp>
        <stp>3690 HK Equity</stp>
        <stp>TOT_BUY_REC</stp>
        <stp>[DPM - Securities Master List (BBG Linked).xlsx]Equities!R10C34</stp>
        <tr r="AH10" s="2"/>
      </tp>
      <tp>
        <v>58</v>
        <stp/>
        <stp>##V3_BDPV12</stp>
        <stp>3690 HK Equity</stp>
        <stp>TOT_BUY_REC</stp>
        <stp>[DPM - Securities Master List (BBG Linked).xlsx]Equities!R11C34</stp>
        <tr r="AH11" s="2"/>
      </tp>
      <tp>
        <v>73</v>
        <stp/>
        <stp>##V3_BDPV12</stp>
        <stp>META US Equity</stp>
        <stp>TOT_BUY_REC</stp>
        <stp>[DPM - Securities Master List (BBG Linked).xlsx]Equities!R156C34</stp>
        <tr r="AH156" s="2"/>
      </tp>
      <tp t="s">
        <v>Amazon.com Inc</v>
        <stp/>
        <stp>##V3_BDPV12</stp>
        <stp>AMZN  US Equity</stp>
        <stp>SECURITY NAME</stp>
        <stp>[DPM - Securities Master List (BBG Linked).xlsx]Equities!R50C5</stp>
        <tr r="E50" s="2"/>
      </tp>
      <tp>
        <v>77</v>
        <stp/>
        <stp>##V3_BDPV12</stp>
        <stp>AMZN  US Equity</stp>
        <stp>TOT_BUY_REC</stp>
        <stp>[DPM - Securities Master List (BBG Linked).xlsx]Equities!R50C34</stp>
        <tr r="AH50" s="2"/>
      </tp>
      <tp>
        <v>67</v>
        <stp/>
        <stp>##V3_BDPV12</stp>
        <stp>MSFT US Equity</stp>
        <stp>TOT_BUY_REC</stp>
        <stp>[DPM - Securities Master List (BBG Linked).xlsx]Equities!R177C34</stp>
        <tr r="AH177" s="2"/>
      </tp>
      <tp>
        <v>67</v>
        <stp/>
        <stp>##V3_BDPV12</stp>
        <stp>MSFT US Equity</stp>
        <stp>TOT_BUY_REC</stp>
        <stp>[DPM - Securities Master List (BBG Linked).xlsx]Equities!R176C34</stp>
        <tr r="AH176" s="2"/>
      </tp>
      <tp>
        <v>67</v>
        <stp/>
        <stp>##V3_BDPV12</stp>
        <stp>MSFT US Equity</stp>
        <stp>TOT_BUY_REC</stp>
        <stp>[DPM - Securities Master List (BBG Linked).xlsx]Equities!R175C34</stp>
        <tr r="AH175" s="2"/>
      </tp>
      <tp>
        <v>67</v>
        <stp/>
        <stp>##V3_BDPV12</stp>
        <stp>MSFT US Equity</stp>
        <stp>TOT_BUY_REC</stp>
        <stp>[DPM - Securities Master List (BBG Linked).xlsx]Equities!R174C34</stp>
        <tr r="AH174" s="2"/>
      </tp>
      <tp>
        <v>67</v>
        <stp/>
        <stp>##V3_BDPV12</stp>
        <stp>MSFT US Equity</stp>
        <stp>TOT_BUY_REC</stp>
        <stp>[DPM - Securities Master List (BBG Linked).xlsx]Equities!R173C34</stp>
        <tr r="AH173" s="2"/>
      </tp>
      <tp>
        <v>67</v>
        <stp/>
        <stp>##V3_BDPV12</stp>
        <stp>MSFT US Equity</stp>
        <stp>TOT_BUY_REC</stp>
        <stp>[DPM - Securities Master List (BBG Linked).xlsx]Equities!R172C34</stp>
        <tr r="AH172" s="2"/>
      </tp>
      <tp>
        <v>67</v>
        <stp/>
        <stp>##V3_BDPV12</stp>
        <stp>MSFT US Equity</stp>
        <stp>TOT_BUY_REC</stp>
        <stp>[DPM - Securities Master List (BBG Linked).xlsx]Equities!R171C34</stp>
        <tr r="AH171" s="2"/>
      </tp>
      <tp>
        <v>67</v>
        <stp/>
        <stp>##V3_BDPV12</stp>
        <stp>MSFT US Equity</stp>
        <stp>TOT_BUY_REC</stp>
        <stp>[DPM - Securities Master List (BBG Linked).xlsx]Equities!R170C34</stp>
        <tr r="AH170" s="2"/>
      </tp>
      <tp>
        <v>67</v>
        <stp/>
        <stp>##V3_BDPV12</stp>
        <stp>MSFT US Equity</stp>
        <stp>TOT_BUY_REC</stp>
        <stp>[DPM - Securities Master List (BBG Linked).xlsx]Equities!R179C34</stp>
        <tr r="AH179" s="2"/>
      </tp>
      <tp>
        <v>67</v>
        <stp/>
        <stp>##V3_BDPV12</stp>
        <stp>MSFT US Equity</stp>
        <stp>TOT_BUY_REC</stp>
        <stp>[DPM - Securities Master List (BBG Linked).xlsx]Equities!R178C34</stp>
        <tr r="AH178" s="2"/>
      </tp>
      <tp>
        <v>67</v>
        <stp/>
        <stp>##V3_BDPV12</stp>
        <stp>MSFT US Equity</stp>
        <stp>TOT_BUY_REC</stp>
        <stp>[DPM - Securities Master List (BBG Linked).xlsx]Equities!R187C34</stp>
        <tr r="AH187" s="2"/>
      </tp>
      <tp>
        <v>67</v>
        <stp/>
        <stp>##V3_BDPV12</stp>
        <stp>MSFT US Equity</stp>
        <stp>TOT_BUY_REC</stp>
        <stp>[DPM - Securities Master List (BBG Linked).xlsx]Equities!R186C34</stp>
        <tr r="AH186" s="2"/>
      </tp>
      <tp>
        <v>67</v>
        <stp/>
        <stp>##V3_BDPV12</stp>
        <stp>MSFT US Equity</stp>
        <stp>TOT_BUY_REC</stp>
        <stp>[DPM - Securities Master List (BBG Linked).xlsx]Equities!R185C34</stp>
        <tr r="AH185" s="2"/>
      </tp>
      <tp>
        <v>67</v>
        <stp/>
        <stp>##V3_BDPV12</stp>
        <stp>MSFT US Equity</stp>
        <stp>TOT_BUY_REC</stp>
        <stp>[DPM - Securities Master List (BBG Linked).xlsx]Equities!R184C34</stp>
        <tr r="AH184" s="2"/>
      </tp>
      <tp>
        <v>67</v>
        <stp/>
        <stp>##V3_BDPV12</stp>
        <stp>MSFT US Equity</stp>
        <stp>TOT_BUY_REC</stp>
        <stp>[DPM - Securities Master List (BBG Linked).xlsx]Equities!R183C34</stp>
        <tr r="AH183" s="2"/>
      </tp>
      <tp>
        <v>67</v>
        <stp/>
        <stp>##V3_BDPV12</stp>
        <stp>MSFT US Equity</stp>
        <stp>TOT_BUY_REC</stp>
        <stp>[DPM - Securities Master List (BBG Linked).xlsx]Equities!R182C34</stp>
        <tr r="AH182" s="2"/>
      </tp>
      <tp>
        <v>67</v>
        <stp/>
        <stp>##V3_BDPV12</stp>
        <stp>MSFT US Equity</stp>
        <stp>TOT_BUY_REC</stp>
        <stp>[DPM - Securities Master List (BBG Linked).xlsx]Equities!R181C34</stp>
        <tr r="AH181" s="2"/>
      </tp>
      <tp>
        <v>67</v>
        <stp/>
        <stp>##V3_BDPV12</stp>
        <stp>MSFT US Equity</stp>
        <stp>TOT_BUY_REC</stp>
        <stp>[DPM - Securities Master List (BBG Linked).xlsx]Equities!R180C34</stp>
        <tr r="AH180" s="2"/>
      </tp>
      <tp>
        <v>67</v>
        <stp/>
        <stp>##V3_BDPV12</stp>
        <stp>MSFT US Equity</stp>
        <stp>TOT_BUY_REC</stp>
        <stp>[DPM - Securities Master List (BBG Linked).xlsx]Equities!R188C34</stp>
        <tr r="AH188" s="2"/>
      </tp>
      <tp>
        <v>7</v>
        <stp/>
        <stp>##V3_BDPV12</stp>
        <stp>BP/ LN Equity</stp>
        <stp>TOT_BUY_REC</stp>
        <stp>[DPM - Securities Master List (BBG Linked).xlsx]Equities!R88C34</stp>
        <tr r="AH88" s="2"/>
      </tp>
      <tp>
        <v>7</v>
        <stp/>
        <stp>##V3_BDPV12</stp>
        <stp>BP/ LN Equity</stp>
        <stp>TOT_BUY_REC</stp>
        <stp>[DPM - Securities Master List (BBG Linked).xlsx]Equities!R89C34</stp>
        <tr r="AH89" s="2"/>
      </tp>
      <tp>
        <v>7</v>
        <stp/>
        <stp>##V3_BDPV12</stp>
        <stp>BP/ LN Equity</stp>
        <stp>TOT_BUY_REC</stp>
        <stp>[DPM - Securities Master List (BBG Linked).xlsx]Equities!R86C34</stp>
        <tr r="AH86" s="2"/>
      </tp>
      <tp>
        <v>7</v>
        <stp/>
        <stp>##V3_BDPV12</stp>
        <stp>BP/ LN Equity</stp>
        <stp>TOT_BUY_REC</stp>
        <stp>[DPM - Securities Master List (BBG Linked).xlsx]Equities!R87C34</stp>
        <tr r="AH87" s="2"/>
      </tp>
      <tp>
        <v>7</v>
        <stp/>
        <stp>##V3_BDPV12</stp>
        <stp>BP/ LN Equity</stp>
        <stp>TOT_BUY_REC</stp>
        <stp>[DPM - Securities Master List (BBG Linked).xlsx]Equities!R84C34</stp>
        <tr r="AH84" s="2"/>
      </tp>
      <tp>
        <v>7</v>
        <stp/>
        <stp>##V3_BDPV12</stp>
        <stp>BP/ LN Equity</stp>
        <stp>TOT_BUY_REC</stp>
        <stp>[DPM - Securities Master List (BBG Linked).xlsx]Equities!R85C34</stp>
        <tr r="AH85" s="2"/>
      </tp>
      <tp>
        <v>7</v>
        <stp/>
        <stp>##V3_BDPV12</stp>
        <stp>BP/ LN Equity</stp>
        <stp>TOT_BUY_REC</stp>
        <stp>[DPM - Securities Master List (BBG Linked).xlsx]Equities!R82C34</stp>
        <tr r="AH82" s="2"/>
      </tp>
      <tp>
        <v>7</v>
        <stp/>
        <stp>##V3_BDPV12</stp>
        <stp>BP/ LN Equity</stp>
        <stp>TOT_BUY_REC</stp>
        <stp>[DPM - Securities Master List (BBG Linked).xlsx]Equities!R83C34</stp>
        <tr r="AH83" s="2"/>
      </tp>
      <tp>
        <v>7</v>
        <stp/>
        <stp>##V3_BDPV12</stp>
        <stp>BP/ LN Equity</stp>
        <stp>TOT_BUY_REC</stp>
        <stp>[DPM - Securities Master List (BBG Linked).xlsx]Equities!R80C34</stp>
        <tr r="AH80" s="2"/>
      </tp>
      <tp>
        <v>7</v>
        <stp/>
        <stp>##V3_BDPV12</stp>
        <stp>BP/ LN Equity</stp>
        <stp>TOT_BUY_REC</stp>
        <stp>[DPM - Securities Master List (BBG Linked).xlsx]Equities!R81C34</stp>
        <tr r="AH81" s="2"/>
      </tp>
      <tp>
        <v>7</v>
        <stp/>
        <stp>##V3_BDPV12</stp>
        <stp>BP/ LN Equity</stp>
        <stp>TOT_BUY_REC</stp>
        <stp>[DPM - Securities Master List (BBG Linked).xlsx]Equities!R90C34</stp>
        <tr r="AH90" s="2"/>
      </tp>
      <tp>
        <v>7</v>
        <stp/>
        <stp>##V3_BDPV12</stp>
        <stp>BP/ LN Equity</stp>
        <stp>TOT_BUY_REC</stp>
        <stp>[DPM - Securities Master List (BBG Linked).xlsx]Equities!R78C34</stp>
        <tr r="AH78" s="2"/>
      </tp>
      <tp>
        <v>7</v>
        <stp/>
        <stp>##V3_BDPV12</stp>
        <stp>BP/ LN Equity</stp>
        <stp>TOT_BUY_REC</stp>
        <stp>[DPM - Securities Master List (BBG Linked).xlsx]Equities!R79C34</stp>
        <tr r="AH79" s="2"/>
      </tp>
      <tp>
        <v>7</v>
        <stp/>
        <stp>##V3_BDPV12</stp>
        <stp>BP/ LN Equity</stp>
        <stp>TOT_BUY_REC</stp>
        <stp>[DPM - Securities Master List (BBG Linked).xlsx]Equities!R77C34</stp>
        <tr r="AH77" s="2"/>
      </tp>
      <tp t="s">
        <v>Information Technology</v>
        <stp/>
        <stp>##V3_BDPV12</stp>
        <stp>AAPL US Equity</stp>
        <stp>DX202</stp>
        <stp>[DPM - Securities Master List (BBG Linked).xlsx]Equities!R34C8</stp>
        <tr r="H34" s="2"/>
        <tr r="H34" s="2"/>
        <tr r="H34" s="2"/>
      </tp>
      <tp t="s">
        <v>Information Technology</v>
        <stp/>
        <stp>##V3_BDPV12</stp>
        <stp>ADBE US Equity</stp>
        <stp>DX202</stp>
        <stp>[DPM - Securities Master List (BBG Linked).xlsx]Equities!R44C8</stp>
        <tr r="H44" s="2"/>
        <tr r="H44" s="2"/>
        <tr r="H44" s="2"/>
      </tp>
      <tp t="s">
        <v>Health Care</v>
        <stp/>
        <stp>##V3_BDPV12</stp>
        <stp>BMRN US Equity</stp>
        <stp>DX202</stp>
        <stp>[DPM - Securities Master List (BBG Linked).xlsx]Equities!R67C8</stp>
        <tr r="H67" s="2"/>
        <tr r="H67" s="2"/>
        <tr r="H67" s="2"/>
      </tp>
      <tp t="s">
        <v>#N/A Invalid Override</v>
        <stp/>
        <stp>##V3_BDPV12</stp>
        <stp>XS2258453443 isin</stp>
        <stp>YAS_BOND_YLD</stp>
        <stp>[DPM - Securities Master List (BBG Linked).xlsx]Bonds!R106C10</stp>
        <stp>YAS_YLD_FLAG=15</stp>
        <stp>user_local_trade_date</stp>
        <stp>45783</stp>
        <stp>Yas_bond_px</stp>
        <stp>#N/A Connection</stp>
        <tr r="J106" s="1"/>
      </tp>
      <tp t="s">
        <v>#N/A Invalid Override</v>
        <stp/>
        <stp>##V3_BDPV12</stp>
        <stp>XS2885225966 isin</stp>
        <stp>YAS_BOND_YLD</stp>
        <stp>[DPM - Securities Master List (BBG Linked).xlsx]Bonds!R150C10</stp>
        <stp>YAS_YLD_FLAG=15</stp>
        <stp>user_local_trade_date</stp>
        <stp>45783</stp>
        <stp>Yas_bond_px</stp>
        <stp>#N/A Connection</stp>
        <tr r="J150" s="1"/>
      </tp>
      <tp t="s">
        <v>#N/A Invalid Override</v>
        <stp/>
        <stp>##V3_BDPV12</stp>
        <stp>XS2885225966 isin</stp>
        <stp>YAS_BOND_YLD</stp>
        <stp>[DPM - Securities Master List (BBG Linked).xlsx]Bonds!R122C10</stp>
        <stp>YAS_YLD_FLAG=15</stp>
        <stp>user_local_trade_date</stp>
        <stp>45783</stp>
        <stp>Yas_bond_px</stp>
        <stp>#N/A Connection</stp>
        <tr r="J122" s="1"/>
      </tp>
      <tp t="s">
        <v>#N/A Invalid Field</v>
        <stp/>
        <stp>##V3_BDPV12</stp>
        <stp>GSK LN Equity</stp>
        <stp/>
        <stp>[DPM - Securities Master List (BBG Linked).xlsx]Equities!R144C29</stp>
        <tr r="AC144" s="2"/>
        <tr r="AC144" s="2"/>
      </tp>
      <tp t="s">
        <v>#N/A Invalid Field</v>
        <stp/>
        <stp>##V3_BDPV12</stp>
        <stp>GSK LN Equity</stp>
        <stp/>
        <stp>[DPM - Securities Master List (BBG Linked).xlsx]Equities!R145C29</stp>
        <tr r="AC145" s="2"/>
        <tr r="AC145" s="2"/>
      </tp>
      <tp t="s">
        <v>#N/A Invalid Field</v>
        <stp/>
        <stp>##V3_BDPV12</stp>
        <stp>GSK LN Equity</stp>
        <stp/>
        <stp>[DPM - Securities Master List (BBG Linked).xlsx]Equities!R142C29</stp>
        <tr r="AC142" s="2"/>
        <tr r="AC142" s="2"/>
      </tp>
      <tp t="s">
        <v>#N/A Invalid Field</v>
        <stp/>
        <stp>##V3_BDPV12</stp>
        <stp>GSK LN Equity</stp>
        <stp/>
        <stp>[DPM - Securities Master List (BBG Linked).xlsx]Equities!R143C29</stp>
        <tr r="AC143" s="2"/>
        <tr r="AC143" s="2"/>
      </tp>
      <tp>
        <v>300.8</v>
        <stp/>
        <stp>##V3_BDPV12</stp>
        <stp>TSCO LN Equity</stp>
        <stp>hs002</stp>
        <stp>[DPM - Securities Master List (BBG Linked).xlsx]Equities!R269C45</stp>
        <tr r="AS269" s="2"/>
      </tp>
      <tp>
        <v>300.8</v>
        <stp/>
        <stp>##V3_BDPV12</stp>
        <stp>TSCO LN Equity</stp>
        <stp>hs002</stp>
        <stp>[DPM - Securities Master List (BBG Linked).xlsx]Equities!R268C45</stp>
        <tr r="AS268" s="2"/>
      </tp>
      <tp>
        <v>300.8</v>
        <stp/>
        <stp>##V3_BDPV12</stp>
        <stp>TSCO LN Equity</stp>
        <stp>hs002</stp>
        <stp>[DPM - Securities Master List (BBG Linked).xlsx]Equities!R263C45</stp>
        <tr r="AS263" s="2"/>
      </tp>
      <tp>
        <v>300.8</v>
        <stp/>
        <stp>##V3_BDPV12</stp>
        <stp>TSCO LN Equity</stp>
        <stp>hs002</stp>
        <stp>[DPM - Securities Master List (BBG Linked).xlsx]Equities!R262C45</stp>
        <tr r="AS262" s="2"/>
      </tp>
      <tp>
        <v>300.8</v>
        <stp/>
        <stp>##V3_BDPV12</stp>
        <stp>TSCO LN Equity</stp>
        <stp>hs002</stp>
        <stp>[DPM - Securities Master List (BBG Linked).xlsx]Equities!R267C45</stp>
        <tr r="AS267" s="2"/>
      </tp>
      <tp>
        <v>300.8</v>
        <stp/>
        <stp>##V3_BDPV12</stp>
        <stp>TSCO LN Equity</stp>
        <stp>hs002</stp>
        <stp>[DPM - Securities Master List (BBG Linked).xlsx]Equities!R266C45</stp>
        <tr r="AS266" s="2"/>
      </tp>
      <tp>
        <v>300.8</v>
        <stp/>
        <stp>##V3_BDPV12</stp>
        <stp>TSCO LN Equity</stp>
        <stp>hs002</stp>
        <stp>[DPM - Securities Master List (BBG Linked).xlsx]Equities!R265C45</stp>
        <tr r="AS265" s="2"/>
      </tp>
      <tp>
        <v>300.8</v>
        <stp/>
        <stp>##V3_BDPV12</stp>
        <stp>TSCO LN Equity</stp>
        <stp>hs002</stp>
        <stp>[DPM - Securities Master List (BBG Linked).xlsx]Equities!R264C45</stp>
        <tr r="AS264" s="2"/>
      </tp>
      <tp>
        <v>300.8</v>
        <stp/>
        <stp>##V3_BDPV12</stp>
        <stp>TSCO LN Equity</stp>
        <stp>hs002</stp>
        <stp>[DPM - Securities Master List (BBG Linked).xlsx]Equities!R273C45</stp>
        <tr r="AS273" s="2"/>
      </tp>
      <tp>
        <v>300.8</v>
        <stp/>
        <stp>##V3_BDPV12</stp>
        <stp>TSCO LN Equity</stp>
        <stp>hs002</stp>
        <stp>[DPM - Securities Master List (BBG Linked).xlsx]Equities!R272C45</stp>
        <tr r="AS272" s="2"/>
      </tp>
      <tp>
        <v>300.8</v>
        <stp/>
        <stp>##V3_BDPV12</stp>
        <stp>TSCO LN Equity</stp>
        <stp>hs002</stp>
        <stp>[DPM - Securities Master List (BBG Linked).xlsx]Equities!R271C45</stp>
        <tr r="AS271" s="2"/>
      </tp>
      <tp>
        <v>300.8</v>
        <stp/>
        <stp>##V3_BDPV12</stp>
        <stp>TSCO LN Equity</stp>
        <stp>hs002</stp>
        <stp>[DPM - Securities Master List (BBG Linked).xlsx]Equities!R270C45</stp>
        <tr r="AS270" s="2"/>
      </tp>
      <tp>
        <v>300.8</v>
        <stp/>
        <stp>##V3_BDPV12</stp>
        <stp>TSCO LN Equity</stp>
        <stp>hs002</stp>
        <stp>[DPM - Securities Master List (BBG Linked).xlsx]Equities!R275C45</stp>
        <tr r="AS275" s="2"/>
      </tp>
      <tp>
        <v>300.8</v>
        <stp/>
        <stp>##V3_BDPV12</stp>
        <stp>TSCO LN Equity</stp>
        <stp>hs002</stp>
        <stp>[DPM - Securities Master List (BBG Linked).xlsx]Equities!R274C45</stp>
        <tr r="AS274" s="2"/>
      </tp>
      <tp>
        <v>398</v>
        <stp/>
        <stp>##V3_BDPV12</stp>
        <stp>TSCO LN Equity</stp>
        <stp>hs001</stp>
        <stp>[DPM - Securities Master List (BBG Linked).xlsx]Equities!R273C44</stp>
        <tr r="AR273" s="2"/>
      </tp>
      <tp>
        <v>398</v>
        <stp/>
        <stp>##V3_BDPV12</stp>
        <stp>TSCO LN Equity</stp>
        <stp>hs001</stp>
        <stp>[DPM - Securities Master List (BBG Linked).xlsx]Equities!R272C44</stp>
        <tr r="AR272" s="2"/>
      </tp>
      <tp>
        <v>398</v>
        <stp/>
        <stp>##V3_BDPV12</stp>
        <stp>TSCO LN Equity</stp>
        <stp>hs001</stp>
        <stp>[DPM - Securities Master List (BBG Linked).xlsx]Equities!R271C44</stp>
        <tr r="AR271" s="2"/>
      </tp>
      <tp>
        <v>398</v>
        <stp/>
        <stp>##V3_BDPV12</stp>
        <stp>TSCO LN Equity</stp>
        <stp>hs001</stp>
        <stp>[DPM - Securities Master List (BBG Linked).xlsx]Equities!R270C44</stp>
        <tr r="AR270" s="2"/>
      </tp>
      <tp>
        <v>398</v>
        <stp/>
        <stp>##V3_BDPV12</stp>
        <stp>TSCO LN Equity</stp>
        <stp>hs001</stp>
        <stp>[DPM - Securities Master List (BBG Linked).xlsx]Equities!R275C44</stp>
        <tr r="AR275" s="2"/>
      </tp>
      <tp>
        <v>398</v>
        <stp/>
        <stp>##V3_BDPV12</stp>
        <stp>TSCO LN Equity</stp>
        <stp>hs001</stp>
        <stp>[DPM - Securities Master List (BBG Linked).xlsx]Equities!R274C44</stp>
        <tr r="AR274" s="2"/>
      </tp>
      <tp>
        <v>398</v>
        <stp/>
        <stp>##V3_BDPV12</stp>
        <stp>TSCO LN Equity</stp>
        <stp>hs001</stp>
        <stp>[DPM - Securities Master List (BBG Linked).xlsx]Equities!R269C44</stp>
        <tr r="AR269" s="2"/>
      </tp>
      <tp>
        <v>398</v>
        <stp/>
        <stp>##V3_BDPV12</stp>
        <stp>TSCO LN Equity</stp>
        <stp>hs001</stp>
        <stp>[DPM - Securities Master List (BBG Linked).xlsx]Equities!R268C44</stp>
        <tr r="AR268" s="2"/>
      </tp>
      <tp>
        <v>398</v>
        <stp/>
        <stp>##V3_BDPV12</stp>
        <stp>TSCO LN Equity</stp>
        <stp>hs001</stp>
        <stp>[DPM - Securities Master List (BBG Linked).xlsx]Equities!R263C44</stp>
        <tr r="AR263" s="2"/>
      </tp>
      <tp>
        <v>398</v>
        <stp/>
        <stp>##V3_BDPV12</stp>
        <stp>TSCO LN Equity</stp>
        <stp>hs001</stp>
        <stp>[DPM - Securities Master List (BBG Linked).xlsx]Equities!R262C44</stp>
        <tr r="AR262" s="2"/>
      </tp>
      <tp>
        <v>398</v>
        <stp/>
        <stp>##V3_BDPV12</stp>
        <stp>TSCO LN Equity</stp>
        <stp>hs001</stp>
        <stp>[DPM - Securities Master List (BBG Linked).xlsx]Equities!R267C44</stp>
        <tr r="AR267" s="2"/>
      </tp>
      <tp>
        <v>398</v>
        <stp/>
        <stp>##V3_BDPV12</stp>
        <stp>TSCO LN Equity</stp>
        <stp>hs001</stp>
        <stp>[DPM - Securities Master List (BBG Linked).xlsx]Equities!R266C44</stp>
        <tr r="AR266" s="2"/>
      </tp>
      <tp>
        <v>398</v>
        <stp/>
        <stp>##V3_BDPV12</stp>
        <stp>TSCO LN Equity</stp>
        <stp>hs001</stp>
        <stp>[DPM - Securities Master List (BBG Linked).xlsx]Equities!R265C44</stp>
        <tr r="AR265" s="2"/>
      </tp>
      <tp>
        <v>398</v>
        <stp/>
        <stp>##V3_BDPV12</stp>
        <stp>TSCO LN Equity</stp>
        <stp>hs001</stp>
        <stp>[DPM - Securities Master List (BBG Linked).xlsx]Equities!R264C44</stp>
        <tr r="AR264" s="2"/>
      </tp>
      <tp t="s">
        <v>USD</v>
        <stp/>
        <stp>##V3_BDPV12</stp>
        <stp>DD US Equity</stp>
        <stp>CRNCY</stp>
        <stp>[DPM - Securities Master List (BBG Linked).xlsx]Equities!R91C6</stp>
        <tr r="F91" s="2"/>
      </tp>
      <tp>
        <v>12.342029999999999</v>
        <stp/>
        <stp>##V3_BDPV12</stp>
        <stp>GOOGL US Equity</stp>
        <stp>PR061</stp>
        <stp>[DPM - Securities Master List (BBG Linked).xlsx]Equities!R140C40</stp>
        <tr r="AN140" s="2"/>
      </tp>
      <tp>
        <v>12.342029999999999</v>
        <stp/>
        <stp>##V3_BDPV12</stp>
        <stp>GOOGL US Equity</stp>
        <stp>PR061</stp>
        <stp>[DPM - Securities Master List (BBG Linked).xlsx]Equities!R141C40</stp>
        <tr r="AN141" s="2"/>
      </tp>
      <tp>
        <v>12.342029999999999</v>
        <stp/>
        <stp>##V3_BDPV12</stp>
        <stp>GOOGL US Equity</stp>
        <stp>PR061</stp>
        <stp>[DPM - Securities Master List (BBG Linked).xlsx]Equities!R132C40</stp>
        <tr r="AN132" s="2"/>
      </tp>
      <tp>
        <v>12.342029999999999</v>
        <stp/>
        <stp>##V3_BDPV12</stp>
        <stp>GOOGL US Equity</stp>
        <stp>PR061</stp>
        <stp>[DPM - Securities Master List (BBG Linked).xlsx]Equities!R133C40</stp>
        <tr r="AN133" s="2"/>
      </tp>
      <tp>
        <v>12.342029999999999</v>
        <stp/>
        <stp>##V3_BDPV12</stp>
        <stp>GOOGL US Equity</stp>
        <stp>PR061</stp>
        <stp>[DPM - Securities Master List (BBG Linked).xlsx]Equities!R130C40</stp>
        <tr r="AN130" s="2"/>
      </tp>
      <tp>
        <v>12.342029999999999</v>
        <stp/>
        <stp>##V3_BDPV12</stp>
        <stp>GOOGL US Equity</stp>
        <stp>PR061</stp>
        <stp>[DPM - Securities Master List (BBG Linked).xlsx]Equities!R131C40</stp>
        <tr r="AN131" s="2"/>
      </tp>
      <tp>
        <v>12.342029999999999</v>
        <stp/>
        <stp>##V3_BDPV12</stp>
        <stp>GOOGL US Equity</stp>
        <stp>PR061</stp>
        <stp>[DPM - Securities Master List (BBG Linked).xlsx]Equities!R136C40</stp>
        <tr r="AN136" s="2"/>
      </tp>
      <tp>
        <v>12.342029999999999</v>
        <stp/>
        <stp>##V3_BDPV12</stp>
        <stp>GOOGL US Equity</stp>
        <stp>PR061</stp>
        <stp>[DPM - Securities Master List (BBG Linked).xlsx]Equities!R137C40</stp>
        <tr r="AN137" s="2"/>
      </tp>
      <tp>
        <v>12.342029999999999</v>
        <stp/>
        <stp>##V3_BDPV12</stp>
        <stp>GOOGL US Equity</stp>
        <stp>PR061</stp>
        <stp>[DPM - Securities Master List (BBG Linked).xlsx]Equities!R134C40</stp>
        <tr r="AN134" s="2"/>
      </tp>
      <tp>
        <v>12.342029999999999</v>
        <stp/>
        <stp>##V3_BDPV12</stp>
        <stp>GOOGL US Equity</stp>
        <stp>PR061</stp>
        <stp>[DPM - Securities Master List (BBG Linked).xlsx]Equities!R135C40</stp>
        <tr r="AN135" s="2"/>
      </tp>
      <tp>
        <v>12.342029999999999</v>
        <stp/>
        <stp>##V3_BDPV12</stp>
        <stp>GOOGL US Equity</stp>
        <stp>PR061</stp>
        <stp>[DPM - Securities Master List (BBG Linked).xlsx]Equities!R138C40</stp>
        <tr r="AN138" s="2"/>
      </tp>
      <tp>
        <v>12.342029999999999</v>
        <stp/>
        <stp>##V3_BDPV12</stp>
        <stp>GOOGL US Equity</stp>
        <stp>PR061</stp>
        <stp>[DPM - Securities Master List (BBG Linked).xlsx]Equities!R139C40</stp>
        <tr r="AN139" s="2"/>
      </tp>
      <tp t="s">
        <v>Consumer Staples</v>
        <stp/>
        <stp>##V3_BDPV12</stp>
        <stp>TSCO LN Equity</stp>
        <stp>DX202</stp>
        <stp>[DPM - Securities Master List (BBG Linked).xlsx]Equities!R269C46</stp>
        <tr r="AT269" s="2"/>
        <tr r="AT269" s="2"/>
        <tr r="AT269" s="2"/>
      </tp>
      <tp t="s">
        <v>Consumer Staples</v>
        <stp/>
        <stp>##V3_BDPV12</stp>
        <stp>TSCO LN Equity</stp>
        <stp>DX202</stp>
        <stp>[DPM - Securities Master List (BBG Linked).xlsx]Equities!R268C46</stp>
        <tr r="AT268" s="2"/>
        <tr r="AT268" s="2"/>
        <tr r="AT268" s="2"/>
      </tp>
      <tp t="s">
        <v>Consumer Staples</v>
        <stp/>
        <stp>##V3_BDPV12</stp>
        <stp>TSCO LN Equity</stp>
        <stp>DX202</stp>
        <stp>[DPM - Securities Master List (BBG Linked).xlsx]Equities!R263C46</stp>
        <tr r="AT263" s="2"/>
        <tr r="AT263" s="2"/>
        <tr r="AT263" s="2"/>
      </tp>
      <tp t="s">
        <v>Consumer Staples</v>
        <stp/>
        <stp>##V3_BDPV12</stp>
        <stp>TSCO LN Equity</stp>
        <stp>DX202</stp>
        <stp>[DPM - Securities Master List (BBG Linked).xlsx]Equities!R262C46</stp>
        <tr r="AT262" s="2"/>
        <tr r="AT262" s="2"/>
        <tr r="AT262" s="2"/>
      </tp>
      <tp t="s">
        <v>Consumer Staples</v>
        <stp/>
        <stp>##V3_BDPV12</stp>
        <stp>TSCO LN Equity</stp>
        <stp>DX202</stp>
        <stp>[DPM - Securities Master List (BBG Linked).xlsx]Equities!R265C46</stp>
        <tr r="AT265" s="2"/>
        <tr r="AT265" s="2"/>
        <tr r="AT265" s="2"/>
      </tp>
      <tp t="s">
        <v>Consumer Staples</v>
        <stp/>
        <stp>##V3_BDPV12</stp>
        <stp>TSCO LN Equity</stp>
        <stp>DX202</stp>
        <stp>[DPM - Securities Master List (BBG Linked).xlsx]Equities!R264C46</stp>
        <tr r="AT264" s="2"/>
        <tr r="AT264" s="2"/>
        <tr r="AT264" s="2"/>
      </tp>
      <tp t="s">
        <v>Consumer Staples</v>
        <stp/>
        <stp>##V3_BDPV12</stp>
        <stp>TSCO LN Equity</stp>
        <stp>DX202</stp>
        <stp>[DPM - Securities Master List (BBG Linked).xlsx]Equities!R267C46</stp>
        <tr r="AT267" s="2"/>
        <tr r="AT267" s="2"/>
        <tr r="AT267" s="2"/>
      </tp>
      <tp t="s">
        <v>Consumer Staples</v>
        <stp/>
        <stp>##V3_BDPV12</stp>
        <stp>TSCO LN Equity</stp>
        <stp>DX202</stp>
        <stp>[DPM - Securities Master List (BBG Linked).xlsx]Equities!R266C46</stp>
        <tr r="AT266" s="2"/>
        <tr r="AT266" s="2"/>
        <tr r="AT266" s="2"/>
      </tp>
      <tp>
        <v>12.342029999999999</v>
        <stp/>
        <stp>##V3_BDPV12</stp>
        <stp>GOOGL US Equity</stp>
        <stp>PR061</stp>
        <stp>[DPM - Securities Master List (BBG Linked).xlsx]Equities!R127C40</stp>
        <tr r="AN127" s="2"/>
      </tp>
      <tp>
        <v>12.342029999999999</v>
        <stp/>
        <stp>##V3_BDPV12</stp>
        <stp>GOOGL US Equity</stp>
        <stp>PR061</stp>
        <stp>[DPM - Securities Master List (BBG Linked).xlsx]Equities!R128C40</stp>
        <tr r="AN128" s="2"/>
      </tp>
      <tp>
        <v>12.342029999999999</v>
        <stp/>
        <stp>##V3_BDPV12</stp>
        <stp>GOOGL US Equity</stp>
        <stp>PR061</stp>
        <stp>[DPM - Securities Master List (BBG Linked).xlsx]Equities!R129C40</stp>
        <tr r="AN129" s="2"/>
      </tp>
      <tp t="s">
        <v>Consumer Staples</v>
        <stp/>
        <stp>##V3_BDPV12</stp>
        <stp>TSCO LN Equity</stp>
        <stp>DX202</stp>
        <stp>[DPM - Securities Master List (BBG Linked).xlsx]Equities!R271C46</stp>
        <tr r="AT271" s="2"/>
        <tr r="AT271" s="2"/>
        <tr r="AT271" s="2"/>
      </tp>
      <tp t="s">
        <v>Consumer Staples</v>
        <stp/>
        <stp>##V3_BDPV12</stp>
        <stp>TSCO LN Equity</stp>
        <stp>DX202</stp>
        <stp>[DPM - Securities Master List (BBG Linked).xlsx]Equities!R270C46</stp>
        <tr r="AT270" s="2"/>
        <tr r="AT270" s="2"/>
        <tr r="AT270" s="2"/>
      </tp>
      <tp t="s">
        <v>Consumer Staples</v>
        <stp/>
        <stp>##V3_BDPV12</stp>
        <stp>TSCO LN Equity</stp>
        <stp>DX202</stp>
        <stp>[DPM - Securities Master List (BBG Linked).xlsx]Equities!R273C46</stp>
        <tr r="AT273" s="2"/>
        <tr r="AT273" s="2"/>
        <tr r="AT273" s="2"/>
      </tp>
      <tp t="s">
        <v>Consumer Staples</v>
        <stp/>
        <stp>##V3_BDPV12</stp>
        <stp>TSCO LN Equity</stp>
        <stp>DX202</stp>
        <stp>[DPM - Securities Master List (BBG Linked).xlsx]Equities!R272C46</stp>
        <tr r="AT272" s="2"/>
        <tr r="AT272" s="2"/>
        <tr r="AT272" s="2"/>
      </tp>
      <tp t="s">
        <v>Consumer Staples</v>
        <stp/>
        <stp>##V3_BDPV12</stp>
        <stp>TSCO LN Equity</stp>
        <stp>DX202</stp>
        <stp>[DPM - Securities Master List (BBG Linked).xlsx]Equities!R275C46</stp>
        <tr r="AT275" s="2"/>
        <tr r="AT275" s="2"/>
        <tr r="AT275" s="2"/>
      </tp>
      <tp t="s">
        <v>Consumer Staples</v>
        <stp/>
        <stp>##V3_BDPV12</stp>
        <stp>TSCO LN Equity</stp>
        <stp>DX202</stp>
        <stp>[DPM - Securities Master List (BBG Linked).xlsx]Equities!R274C46</stp>
        <tr r="AT274" s="2"/>
        <tr r="AT274" s="2"/>
        <tr r="AT274" s="2"/>
      </tp>
      <tp t="s">
        <v>N</v>
        <stp/>
        <stp>##V3_BDPV12</stp>
        <stp>NESN SW Equity</stp>
        <stp>DY997</stp>
        <stp>[DPM - Securities Master List (BBG Linked).xlsx]Equities!R203C47</stp>
        <tr r="AU203" s="2"/>
        <tr r="AU203" s="2"/>
        <tr r="AU203" s="2"/>
      </tp>
      <tp t="s">
        <v>N</v>
        <stp/>
        <stp>##V3_BDPV12</stp>
        <stp>NESN SW Equity</stp>
        <stp>DY997</stp>
        <stp>[DPM - Securities Master List (BBG Linked).xlsx]Equities!R202C47</stp>
        <tr r="AU202" s="2"/>
        <tr r="AU202" s="2"/>
        <tr r="AU202" s="2"/>
      </tp>
      <tp t="s">
        <v>N</v>
        <stp/>
        <stp>##V3_BDPV12</stp>
        <stp>NESN SW Equity</stp>
        <stp>DY997</stp>
        <stp>[DPM - Securities Master List (BBG Linked).xlsx]Equities!R201C47</stp>
        <tr r="AU201" s="2"/>
        <tr r="AU201" s="2"/>
        <tr r="AU201" s="2"/>
      </tp>
      <tp t="s">
        <v>N</v>
        <stp/>
        <stp>##V3_BDPV12</stp>
        <stp>NESN SW Equity</stp>
        <stp>DY997</stp>
        <stp>[DPM - Securities Master List (BBG Linked).xlsx]Equities!R200C47</stp>
        <tr r="AU200" s="2"/>
        <tr r="AU200" s="2"/>
        <tr r="AU200" s="2"/>
      </tp>
      <tp t="s">
        <v>N</v>
        <stp/>
        <stp>##V3_BDPV12</stp>
        <stp>NESN SW Equity</stp>
        <stp>DY997</stp>
        <stp>[DPM - Securities Master List (BBG Linked).xlsx]Equities!R205C47</stp>
        <tr r="AU205" s="2"/>
        <tr r="AU205" s="2"/>
        <tr r="AU205" s="2"/>
      </tp>
      <tp t="s">
        <v>N</v>
        <stp/>
        <stp>##V3_BDPV12</stp>
        <stp>NESN SW Equity</stp>
        <stp>DY997</stp>
        <stp>[DPM - Securities Master List (BBG Linked).xlsx]Equities!R204C47</stp>
        <tr r="AU204" s="2"/>
        <tr r="AU204" s="2"/>
        <tr r="AU204" s="2"/>
      </tp>
      <tp>
        <v>-14.629440000000001</v>
        <stp/>
        <stp>##V3_BDPV12</stp>
        <stp>GOOGL US Equity</stp>
        <stp>PR064</stp>
        <stp>[DPM - Securities Master List (BBG Linked).xlsx]Equities!R140C41</stp>
        <tr r="AO140" s="2"/>
      </tp>
      <tp>
        <v>-14.629440000000001</v>
        <stp/>
        <stp>##V3_BDPV12</stp>
        <stp>GOOGL US Equity</stp>
        <stp>PR064</stp>
        <stp>[DPM - Securities Master List (BBG Linked).xlsx]Equities!R141C41</stp>
        <tr r="AO141" s="2"/>
      </tp>
      <tp>
        <v>5.7069755872214918</v>
        <stp/>
        <stp>##V3_BDPV12</stp>
        <stp>GOOGL UQ Equity</stp>
        <stp>RR041</stp>
        <stp>[DPM - Securities Master List (BBG Linked).xlsx]Equities!R126C33</stp>
        <tr r="AG126" s="2"/>
        <tr r="AG126" s="2"/>
        <tr r="AG126" s="2"/>
      </tp>
      <tp>
        <v>-14.629440000000001</v>
        <stp/>
        <stp>##V3_BDPV12</stp>
        <stp>GOOGL US Equity</stp>
        <stp>PR064</stp>
        <stp>[DPM - Securities Master List (BBG Linked).xlsx]Equities!R127C41</stp>
        <tr r="AO127" s="2"/>
      </tp>
      <tp>
        <v>-14.629440000000001</v>
        <stp/>
        <stp>##V3_BDPV12</stp>
        <stp>GOOGL US Equity</stp>
        <stp>PR064</stp>
        <stp>[DPM - Securities Master List (BBG Linked).xlsx]Equities!R128C41</stp>
        <tr r="AO128" s="2"/>
      </tp>
      <tp>
        <v>-14.629440000000001</v>
        <stp/>
        <stp>##V3_BDPV12</stp>
        <stp>GOOGL US Equity</stp>
        <stp>PR064</stp>
        <stp>[DPM - Securities Master List (BBG Linked).xlsx]Equities!R129C41</stp>
        <tr r="AO129" s="2"/>
      </tp>
      <tp>
        <v>-14.629440000000001</v>
        <stp/>
        <stp>##V3_BDPV12</stp>
        <stp>GOOGL US Equity</stp>
        <stp>PR064</stp>
        <stp>[DPM - Securities Master List (BBG Linked).xlsx]Equities!R132C41</stp>
        <tr r="AO132" s="2"/>
      </tp>
      <tp>
        <v>-14.629440000000001</v>
        <stp/>
        <stp>##V3_BDPV12</stp>
        <stp>GOOGL US Equity</stp>
        <stp>PR064</stp>
        <stp>[DPM - Securities Master List (BBG Linked).xlsx]Equities!R133C41</stp>
        <tr r="AO133" s="2"/>
      </tp>
      <tp>
        <v>-14.629440000000001</v>
        <stp/>
        <stp>##V3_BDPV12</stp>
        <stp>GOOGL US Equity</stp>
        <stp>PR064</stp>
        <stp>[DPM - Securities Master List (BBG Linked).xlsx]Equities!R130C41</stp>
        <tr r="AO130" s="2"/>
      </tp>
      <tp>
        <v>-14.629440000000001</v>
        <stp/>
        <stp>##V3_BDPV12</stp>
        <stp>GOOGL US Equity</stp>
        <stp>PR064</stp>
        <stp>[DPM - Securities Master List (BBG Linked).xlsx]Equities!R131C41</stp>
        <tr r="AO131" s="2"/>
      </tp>
      <tp>
        <v>-14.629440000000001</v>
        <stp/>
        <stp>##V3_BDPV12</stp>
        <stp>GOOGL US Equity</stp>
        <stp>PR064</stp>
        <stp>[DPM - Securities Master List (BBG Linked).xlsx]Equities!R136C41</stp>
        <tr r="AO136" s="2"/>
      </tp>
      <tp>
        <v>-14.629440000000001</v>
        <stp/>
        <stp>##V3_BDPV12</stp>
        <stp>GOOGL US Equity</stp>
        <stp>PR064</stp>
        <stp>[DPM - Securities Master List (BBG Linked).xlsx]Equities!R137C41</stp>
        <tr r="AO137" s="2"/>
      </tp>
      <tp>
        <v>-14.629440000000001</v>
        <stp/>
        <stp>##V3_BDPV12</stp>
        <stp>GOOGL US Equity</stp>
        <stp>PR064</stp>
        <stp>[DPM - Securities Master List (BBG Linked).xlsx]Equities!R134C41</stp>
        <tr r="AO134" s="2"/>
      </tp>
      <tp>
        <v>-14.629440000000001</v>
        <stp/>
        <stp>##V3_BDPV12</stp>
        <stp>GOOGL US Equity</stp>
        <stp>PR064</stp>
        <stp>[DPM - Securities Master List (BBG Linked).xlsx]Equities!R135C41</stp>
        <tr r="AO135" s="2"/>
      </tp>
      <tp>
        <v>-14.629440000000001</v>
        <stp/>
        <stp>##V3_BDPV12</stp>
        <stp>GOOGL US Equity</stp>
        <stp>PR064</stp>
        <stp>[DPM - Securities Master List (BBG Linked).xlsx]Equities!R138C41</stp>
        <tr r="AO138" s="2"/>
      </tp>
      <tp>
        <v>-14.629440000000001</v>
        <stp/>
        <stp>##V3_BDPV12</stp>
        <stp>GOOGL US Equity</stp>
        <stp>PR064</stp>
        <stp>[DPM - Securities Master List (BBG Linked).xlsx]Equities!R139C41</stp>
        <tr r="AO139" s="2"/>
      </tp>
      <tp>
        <v>4.3888888359069824</v>
        <stp/>
        <stp>##V3_BDPV12</stp>
        <stp>TSCO LN Equity</stp>
        <stp>EE201</stp>
        <stp>[DPM - Securities Master List (BBG Linked).xlsx]Equities!R269C37</stp>
        <tr r="AK269" s="2"/>
        <tr r="AK269" s="2"/>
        <tr r="AK269" s="2"/>
      </tp>
      <tp>
        <v>4.3888888359069824</v>
        <stp/>
        <stp>##V3_BDPV12</stp>
        <stp>TSCO LN Equity</stp>
        <stp>EE201</stp>
        <stp>[DPM - Securities Master List (BBG Linked).xlsx]Equities!R268C37</stp>
        <tr r="AK268" s="2"/>
        <tr r="AK268" s="2"/>
        <tr r="AK268" s="2"/>
      </tp>
      <tp>
        <v>4.3888888359069824</v>
        <stp/>
        <stp>##V3_BDPV12</stp>
        <stp>TSCO LN Equity</stp>
        <stp>EE201</stp>
        <stp>[DPM - Securities Master List (BBG Linked).xlsx]Equities!R263C37</stp>
        <tr r="AK263" s="2"/>
        <tr r="AK263" s="2"/>
        <tr r="AK263" s="2"/>
      </tp>
      <tp>
        <v>4.3888888359069824</v>
        <stp/>
        <stp>##V3_BDPV12</stp>
        <stp>TSCO LN Equity</stp>
        <stp>EE201</stp>
        <stp>[DPM - Securities Master List (BBG Linked).xlsx]Equities!R262C37</stp>
        <tr r="AK262" s="2"/>
        <tr r="AK262" s="2"/>
        <tr r="AK262" s="2"/>
      </tp>
      <tp>
        <v>4.3888888359069824</v>
        <stp/>
        <stp>##V3_BDPV12</stp>
        <stp>TSCO LN Equity</stp>
        <stp>EE201</stp>
        <stp>[DPM - Securities Master List (BBG Linked).xlsx]Equities!R265C37</stp>
        <tr r="AK265" s="2"/>
        <tr r="AK265" s="2"/>
        <tr r="AK265" s="2"/>
      </tp>
      <tp>
        <v>4.3888888359069824</v>
        <stp/>
        <stp>##V3_BDPV12</stp>
        <stp>TSCO LN Equity</stp>
        <stp>EE201</stp>
        <stp>[DPM - Securities Master List (BBG Linked).xlsx]Equities!R264C37</stp>
        <tr r="AK264" s="2"/>
        <tr r="AK264" s="2"/>
        <tr r="AK264" s="2"/>
      </tp>
      <tp>
        <v>4.3888888359069824</v>
        <stp/>
        <stp>##V3_BDPV12</stp>
        <stp>TSCO LN Equity</stp>
        <stp>EE201</stp>
        <stp>[DPM - Securities Master List (BBG Linked).xlsx]Equities!R267C37</stp>
        <tr r="AK267" s="2"/>
        <tr r="AK267" s="2"/>
        <tr r="AK267" s="2"/>
      </tp>
      <tp>
        <v>4.3888888359069824</v>
        <stp/>
        <stp>##V3_BDPV12</stp>
        <stp>TSCO LN Equity</stp>
        <stp>EE201</stp>
        <stp>[DPM - Securities Master List (BBG Linked).xlsx]Equities!R266C37</stp>
        <tr r="AK266" s="2"/>
        <tr r="AK266" s="2"/>
        <tr r="AK266" s="2"/>
      </tp>
      <tp>
        <v>4.3888888359069824</v>
        <stp/>
        <stp>##V3_BDPV12</stp>
        <stp>TSCO LN Equity</stp>
        <stp>EE201</stp>
        <stp>[DPM - Securities Master List (BBG Linked).xlsx]Equities!R271C37</stp>
        <tr r="AK271" s="2"/>
        <tr r="AK271" s="2"/>
        <tr r="AK271" s="2"/>
      </tp>
      <tp>
        <v>4.3888888359069824</v>
        <stp/>
        <stp>##V3_BDPV12</stp>
        <stp>TSCO LN Equity</stp>
        <stp>EE201</stp>
        <stp>[DPM - Securities Master List (BBG Linked).xlsx]Equities!R270C37</stp>
        <tr r="AK270" s="2"/>
        <tr r="AK270" s="2"/>
        <tr r="AK270" s="2"/>
      </tp>
      <tp>
        <v>4.3888888359069824</v>
        <stp/>
        <stp>##V3_BDPV12</stp>
        <stp>TSCO LN Equity</stp>
        <stp>EE201</stp>
        <stp>[DPM - Securities Master List (BBG Linked).xlsx]Equities!R273C37</stp>
        <tr r="AK273" s="2"/>
        <tr r="AK273" s="2"/>
        <tr r="AK273" s="2"/>
      </tp>
      <tp>
        <v>4.3888888359069824</v>
        <stp/>
        <stp>##V3_BDPV12</stp>
        <stp>TSCO LN Equity</stp>
        <stp>EE201</stp>
        <stp>[DPM - Securities Master List (BBG Linked).xlsx]Equities!R272C37</stp>
        <tr r="AK272" s="2"/>
        <tr r="AK272" s="2"/>
        <tr r="AK272" s="2"/>
      </tp>
      <tp>
        <v>4.3888888359069824</v>
        <stp/>
        <stp>##V3_BDPV12</stp>
        <stp>TSCO LN Equity</stp>
        <stp>EE201</stp>
        <stp>[DPM - Securities Master List (BBG Linked).xlsx]Equities!R275C37</stp>
        <tr r="AK275" s="2"/>
        <tr r="AK275" s="2"/>
        <tr r="AK275" s="2"/>
      </tp>
      <tp>
        <v>4.3888888359069824</v>
        <stp/>
        <stp>##V3_BDPV12</stp>
        <stp>TSCO LN Equity</stp>
        <stp>EE201</stp>
        <stp>[DPM - Securities Master List (BBG Linked).xlsx]Equities!R274C37</stp>
        <tr r="AK274" s="2"/>
        <tr r="AK274" s="2"/>
        <tr r="AK274" s="2"/>
      </tp>
      <tp t="s">
        <v>N</v>
        <stp/>
        <stp>##V3_BDPV12</stp>
        <stp>NESN SW Equity</stp>
        <stp>DY997</stp>
        <stp>[DPM - Securities Master List (BBG Linked).xlsx]Equities!R199C47</stp>
        <tr r="AU199" s="2"/>
        <tr r="AU199" s="2"/>
        <tr r="AU199" s="2"/>
      </tp>
      <tp t="s">
        <v>N</v>
        <stp/>
        <stp>##V3_BDPV12</stp>
        <stp>NESN SW Equity</stp>
        <stp>DY997</stp>
        <stp>[DPM - Securities Master List (BBG Linked).xlsx]Equities!R198C47</stp>
        <tr r="AU198" s="2"/>
        <tr r="AU198" s="2"/>
        <tr r="AU198" s="2"/>
      </tp>
      <tp t="s">
        <v>N</v>
        <stp/>
        <stp>##V3_BDPV12</stp>
        <stp>NESN SW Equity</stp>
        <stp>DY997</stp>
        <stp>[DPM - Securities Master List (BBG Linked).xlsx]Equities!R193C47</stp>
        <tr r="AU193" s="2"/>
        <tr r="AU193" s="2"/>
        <tr r="AU193" s="2"/>
      </tp>
      <tp t="s">
        <v>N</v>
        <stp/>
        <stp>##V3_BDPV12</stp>
        <stp>NESN SW Equity</stp>
        <stp>DY997</stp>
        <stp>[DPM - Securities Master List (BBG Linked).xlsx]Equities!R197C47</stp>
        <tr r="AU197" s="2"/>
        <tr r="AU197" s="2"/>
        <tr r="AU197" s="2"/>
      </tp>
      <tp t="s">
        <v>N</v>
        <stp/>
        <stp>##V3_BDPV12</stp>
        <stp>NESN SW Equity</stp>
        <stp>DY997</stp>
        <stp>[DPM - Securities Master List (BBG Linked).xlsx]Equities!R196C47</stp>
        <tr r="AU196" s="2"/>
        <tr r="AU196" s="2"/>
        <tr r="AU196" s="2"/>
      </tp>
      <tp t="s">
        <v>N</v>
        <stp/>
        <stp>##V3_BDPV12</stp>
        <stp>NESN SW Equity</stp>
        <stp>DY997</stp>
        <stp>[DPM - Securities Master List (BBG Linked).xlsx]Equities!R195C47</stp>
        <tr r="AU195" s="2"/>
        <tr r="AU195" s="2"/>
        <tr r="AU195" s="2"/>
      </tp>
      <tp t="s">
        <v>N</v>
        <stp/>
        <stp>##V3_BDPV12</stp>
        <stp>NESN SW Equity</stp>
        <stp>DY997</stp>
        <stp>[DPM - Securities Master List (BBG Linked).xlsx]Equities!R194C47</stp>
        <tr r="AU194" s="2"/>
        <tr r="AU194" s="2"/>
        <tr r="AU194" s="2"/>
      </tp>
      <tp t="s">
        <v>GB00BLGZ9862</v>
        <stp/>
        <stp>##V3_BDPV12</stp>
        <stp>TSCO LN Equity</stp>
        <stp>ID005</stp>
        <stp>[DPM - Securities Master List (BBG Linked).xlsx]Equities!R273C55</stp>
        <tr r="BC273" s="2"/>
      </tp>
      <tp t="s">
        <v>GB00BLGZ9862</v>
        <stp/>
        <stp>##V3_BDPV12</stp>
        <stp>TSCO LN Equity</stp>
        <stp>ID005</stp>
        <stp>[DPM - Securities Master List (BBG Linked).xlsx]Equities!R272C55</stp>
        <tr r="BC272" s="2"/>
      </tp>
      <tp t="s">
        <v>GB00BLGZ9862</v>
        <stp/>
        <stp>##V3_BDPV12</stp>
        <stp>TSCO LN Equity</stp>
        <stp>ID005</stp>
        <stp>[DPM - Securities Master List (BBG Linked).xlsx]Equities!R271C55</stp>
        <tr r="BC271" s="2"/>
      </tp>
      <tp t="s">
        <v>GB00BLGZ9862</v>
        <stp/>
        <stp>##V3_BDPV12</stp>
        <stp>TSCO LN Equity</stp>
        <stp>ID005</stp>
        <stp>[DPM - Securities Master List (BBG Linked).xlsx]Equities!R270C55</stp>
        <tr r="BC270" s="2"/>
      </tp>
      <tp t="s">
        <v>GB00BLGZ9862</v>
        <stp/>
        <stp>##V3_BDPV12</stp>
        <stp>TSCO LN Equity</stp>
        <stp>ID005</stp>
        <stp>[DPM - Securities Master List (BBG Linked).xlsx]Equities!R275C55</stp>
        <tr r="BC275" s="2"/>
      </tp>
      <tp t="s">
        <v>GB00BLGZ9862</v>
        <stp/>
        <stp>##V3_BDPV12</stp>
        <stp>TSCO LN Equity</stp>
        <stp>ID005</stp>
        <stp>[DPM - Securities Master List (BBG Linked).xlsx]Equities!R274C55</stp>
        <tr r="BC274" s="2"/>
      </tp>
      <tp t="s">
        <v>GB00BLGZ9862</v>
        <stp/>
        <stp>##V3_BDPV12</stp>
        <stp>TSCO LN Equity</stp>
        <stp>ID005</stp>
        <stp>[DPM - Securities Master List (BBG Linked).xlsx]Equities!R269C55</stp>
        <tr r="BC269" s="2"/>
      </tp>
      <tp t="s">
        <v>GB00BLGZ9862</v>
        <stp/>
        <stp>##V3_BDPV12</stp>
        <stp>TSCO LN Equity</stp>
        <stp>ID005</stp>
        <stp>[DPM - Securities Master List (BBG Linked).xlsx]Equities!R268C55</stp>
        <tr r="BC268" s="2"/>
      </tp>
      <tp t="s">
        <v>GB00BLGZ9862</v>
        <stp/>
        <stp>##V3_BDPV12</stp>
        <stp>TSCO LN Equity</stp>
        <stp>ID005</stp>
        <stp>[DPM - Securities Master List (BBG Linked).xlsx]Equities!R263C55</stp>
        <tr r="BC263" s="2"/>
      </tp>
      <tp t="s">
        <v>GB00BLGZ9862</v>
        <stp/>
        <stp>##V3_BDPV12</stp>
        <stp>TSCO LN Equity</stp>
        <stp>ID005</stp>
        <stp>[DPM - Securities Master List (BBG Linked).xlsx]Equities!R262C55</stp>
        <tr r="BC262" s="2"/>
      </tp>
      <tp t="s">
        <v>GB00BLGZ9862</v>
        <stp/>
        <stp>##V3_BDPV12</stp>
        <stp>TSCO LN Equity</stp>
        <stp>ID005</stp>
        <stp>[DPM - Securities Master List (BBG Linked).xlsx]Equities!R267C55</stp>
        <tr r="BC267" s="2"/>
      </tp>
      <tp t="s">
        <v>GB00BLGZ9862</v>
        <stp/>
        <stp>##V3_BDPV12</stp>
        <stp>TSCO LN Equity</stp>
        <stp>ID005</stp>
        <stp>[DPM - Securities Master List (BBG Linked).xlsx]Equities!R266C55</stp>
        <tr r="BC266" s="2"/>
      </tp>
      <tp t="s">
        <v>GB00BLGZ9862</v>
        <stp/>
        <stp>##V3_BDPV12</stp>
        <stp>TSCO LN Equity</stp>
        <stp>ID005</stp>
        <stp>[DPM - Securities Master List (BBG Linked).xlsx]Equities!R265C55</stp>
        <tr r="BC265" s="2"/>
      </tp>
      <tp t="s">
        <v>GB00BLGZ9862</v>
        <stp/>
        <stp>##V3_BDPV12</stp>
        <stp>TSCO LN Equity</stp>
        <stp>ID005</stp>
        <stp>[DPM - Securities Master List (BBG Linked).xlsx]Equities!R264C55</stp>
        <tr r="BC264" s="2"/>
      </tp>
      <tp>
        <v>15.918805668442445</v>
        <stp/>
        <stp>##V3_BDPV12</stp>
        <stp>TSCO LN Equity</stp>
        <stp>RR900</stp>
        <stp>[DPM - Securities Master List (BBG Linked).xlsx]Equities!R272C11</stp>
        <tr r="K272" s="2"/>
        <tr r="K272" s="2"/>
        <tr r="K272" s="2"/>
      </tp>
      <tp>
        <v>15.918805668442445</v>
        <stp/>
        <stp>##V3_BDPV12</stp>
        <stp>TSCO LN Equity</stp>
        <stp>RR900</stp>
        <stp>[DPM - Securities Master List (BBG Linked).xlsx]Equities!R273C11</stp>
        <tr r="K273" s="2"/>
        <tr r="K273" s="2"/>
        <tr r="K273" s="2"/>
      </tp>
      <tp>
        <v>15.918805668442445</v>
        <stp/>
        <stp>##V3_BDPV12</stp>
        <stp>TSCO LN Equity</stp>
        <stp>RR900</stp>
        <stp>[DPM - Securities Master List (BBG Linked).xlsx]Equities!R270C11</stp>
        <tr r="K270" s="2"/>
        <tr r="K270" s="2"/>
        <tr r="K270" s="2"/>
      </tp>
      <tp>
        <v>15.918805668442445</v>
        <stp/>
        <stp>##V3_BDPV12</stp>
        <stp>TSCO LN Equity</stp>
        <stp>RR900</stp>
        <stp>[DPM - Securities Master List (BBG Linked).xlsx]Equities!R271C11</stp>
        <tr r="K271" s="2"/>
        <tr r="K271" s="2"/>
        <tr r="K271" s="2"/>
      </tp>
      <tp>
        <v>15.918805668442445</v>
        <stp/>
        <stp>##V3_BDPV12</stp>
        <stp>TSCO LN Equity</stp>
        <stp>RR900</stp>
        <stp>[DPM - Securities Master List (BBG Linked).xlsx]Equities!R274C11</stp>
        <tr r="K274" s="2"/>
        <tr r="K274" s="2"/>
        <tr r="K274" s="2"/>
      </tp>
      <tp>
        <v>15.918805668442445</v>
        <stp/>
        <stp>##V3_BDPV12</stp>
        <stp>TSCO LN Equity</stp>
        <stp>RR900</stp>
        <stp>[DPM - Securities Master List (BBG Linked).xlsx]Equities!R275C11</stp>
        <tr r="K275" s="2"/>
        <tr r="K275" s="2"/>
        <tr r="K275" s="2"/>
      </tp>
      <tp>
        <v>15.918805668442445</v>
        <stp/>
        <stp>##V3_BDPV12</stp>
        <stp>TSCO LN Equity</stp>
        <stp>RR900</stp>
        <stp>[DPM - Securities Master List (BBG Linked).xlsx]Equities!R262C11</stp>
        <tr r="K262" s="2"/>
        <tr r="K262" s="2"/>
        <tr r="K262" s="2"/>
      </tp>
      <tp>
        <v>15.918805668442445</v>
        <stp/>
        <stp>##V3_BDPV12</stp>
        <stp>TSCO LN Equity</stp>
        <stp>RR900</stp>
        <stp>[DPM - Securities Master List (BBG Linked).xlsx]Equities!R263C11</stp>
        <tr r="K263" s="2"/>
        <tr r="K263" s="2"/>
        <tr r="K263" s="2"/>
      </tp>
      <tp>
        <v>15.918805668442445</v>
        <stp/>
        <stp>##V3_BDPV12</stp>
        <stp>TSCO LN Equity</stp>
        <stp>RR900</stp>
        <stp>[DPM - Securities Master List (BBG Linked).xlsx]Equities!R266C11</stp>
        <tr r="K266" s="2"/>
        <tr r="K266" s="2"/>
        <tr r="K266" s="2"/>
      </tp>
      <tp>
        <v>15.918805668442445</v>
        <stp/>
        <stp>##V3_BDPV12</stp>
        <stp>TSCO LN Equity</stp>
        <stp>RR900</stp>
        <stp>[DPM - Securities Master List (BBG Linked).xlsx]Equities!R267C11</stp>
        <tr r="K267" s="2"/>
        <tr r="K267" s="2"/>
        <tr r="K267" s="2"/>
      </tp>
      <tp>
        <v>15.918805668442445</v>
        <stp/>
        <stp>##V3_BDPV12</stp>
        <stp>TSCO LN Equity</stp>
        <stp>RR900</stp>
        <stp>[DPM - Securities Master List (BBG Linked).xlsx]Equities!R264C11</stp>
        <tr r="K264" s="2"/>
        <tr r="K264" s="2"/>
        <tr r="K264" s="2"/>
      </tp>
      <tp>
        <v>15.918805668442445</v>
        <stp/>
        <stp>##V3_BDPV12</stp>
        <stp>TSCO LN Equity</stp>
        <stp>RR900</stp>
        <stp>[DPM - Securities Master List (BBG Linked).xlsx]Equities!R265C11</stp>
        <tr r="K265" s="2"/>
        <tr r="K265" s="2"/>
        <tr r="K265" s="2"/>
      </tp>
      <tp>
        <v>15.918805668442445</v>
        <stp/>
        <stp>##V3_BDPV12</stp>
        <stp>TSCO LN Equity</stp>
        <stp>RR900</stp>
        <stp>[DPM - Securities Master List (BBG Linked).xlsx]Equities!R268C11</stp>
        <tr r="K268" s="2"/>
        <tr r="K268" s="2"/>
        <tr r="K268" s="2"/>
      </tp>
      <tp>
        <v>15.918805668442445</v>
        <stp/>
        <stp>##V3_BDPV12</stp>
        <stp>TSCO LN Equity</stp>
        <stp>RR900</stp>
        <stp>[DPM - Securities Master List (BBG Linked).xlsx]Equities!R269C11</stp>
        <tr r="K269" s="2"/>
        <tr r="K269" s="2"/>
        <tr r="K269" s="2"/>
      </tp>
      <tp>
        <v>2.1828614658289047</v>
        <stp/>
        <stp>##V3_BDPV12</stp>
        <stp>TSCO LN Equity</stp>
        <stp>RR903</stp>
        <stp>[DPM - Securities Master List (BBG Linked).xlsx]Equities!R272C13</stp>
        <tr r="M272" s="2"/>
        <tr r="M272" s="2"/>
        <tr r="M272" s="2"/>
      </tp>
      <tp>
        <v>2.1828614658289047</v>
        <stp/>
        <stp>##V3_BDPV12</stp>
        <stp>TSCO LN Equity</stp>
        <stp>RR903</stp>
        <stp>[DPM - Securities Master List (BBG Linked).xlsx]Equities!R273C13</stp>
        <tr r="M273" s="2"/>
        <tr r="M273" s="2"/>
        <tr r="M273" s="2"/>
      </tp>
      <tp>
        <v>2.1828614658289047</v>
        <stp/>
        <stp>##V3_BDPV12</stp>
        <stp>TSCO LN Equity</stp>
        <stp>RR903</stp>
        <stp>[DPM - Securities Master List (BBG Linked).xlsx]Equities!R270C13</stp>
        <tr r="M270" s="2"/>
        <tr r="M270" s="2"/>
        <tr r="M270" s="2"/>
      </tp>
      <tp>
        <v>2.1828614658289047</v>
        <stp/>
        <stp>##V3_BDPV12</stp>
        <stp>TSCO LN Equity</stp>
        <stp>RR903</stp>
        <stp>[DPM - Securities Master List (BBG Linked).xlsx]Equities!R271C13</stp>
        <tr r="M271" s="2"/>
        <tr r="M271" s="2"/>
        <tr r="M271" s="2"/>
      </tp>
      <tp>
        <v>2.1828614658289047</v>
        <stp/>
        <stp>##V3_BDPV12</stp>
        <stp>TSCO LN Equity</stp>
        <stp>RR903</stp>
        <stp>[DPM - Securities Master List (BBG Linked).xlsx]Equities!R274C13</stp>
        <tr r="M274" s="2"/>
        <tr r="M274" s="2"/>
        <tr r="M274" s="2"/>
      </tp>
      <tp>
        <v>2.1828614658289047</v>
        <stp/>
        <stp>##V3_BDPV12</stp>
        <stp>TSCO LN Equity</stp>
        <stp>RR903</stp>
        <stp>[DPM - Securities Master List (BBG Linked).xlsx]Equities!R275C13</stp>
        <tr r="M275" s="2"/>
        <tr r="M275" s="2"/>
        <tr r="M275" s="2"/>
      </tp>
      <tp>
        <v>2.1828614658289047</v>
        <stp/>
        <stp>##V3_BDPV12</stp>
        <stp>TSCO LN Equity</stp>
        <stp>RR903</stp>
        <stp>[DPM - Securities Master List (BBG Linked).xlsx]Equities!R262C13</stp>
        <tr r="M262" s="2"/>
        <tr r="M262" s="2"/>
        <tr r="M262" s="2"/>
      </tp>
      <tp>
        <v>2.1828614658289047</v>
        <stp/>
        <stp>##V3_BDPV12</stp>
        <stp>TSCO LN Equity</stp>
        <stp>RR903</stp>
        <stp>[DPM - Securities Master List (BBG Linked).xlsx]Equities!R263C13</stp>
        <tr r="M263" s="2"/>
        <tr r="M263" s="2"/>
        <tr r="M263" s="2"/>
      </tp>
      <tp>
        <v>2.1828614658289047</v>
        <stp/>
        <stp>##V3_BDPV12</stp>
        <stp>TSCO LN Equity</stp>
        <stp>RR903</stp>
        <stp>[DPM - Securities Master List (BBG Linked).xlsx]Equities!R266C13</stp>
        <tr r="M266" s="2"/>
        <tr r="M266" s="2"/>
        <tr r="M266" s="2"/>
      </tp>
      <tp>
        <v>2.1828614658289047</v>
        <stp/>
        <stp>##V3_BDPV12</stp>
        <stp>TSCO LN Equity</stp>
        <stp>RR903</stp>
        <stp>[DPM - Securities Master List (BBG Linked).xlsx]Equities!R267C13</stp>
        <tr r="M267" s="2"/>
        <tr r="M267" s="2"/>
        <tr r="M267" s="2"/>
      </tp>
      <tp>
        <v>2.1828614658289047</v>
        <stp/>
        <stp>##V3_BDPV12</stp>
        <stp>TSCO LN Equity</stp>
        <stp>RR903</stp>
        <stp>[DPM - Securities Master List (BBG Linked).xlsx]Equities!R264C13</stp>
        <tr r="M264" s="2"/>
        <tr r="M264" s="2"/>
        <tr r="M264" s="2"/>
      </tp>
      <tp>
        <v>2.1828614658289047</v>
        <stp/>
        <stp>##V3_BDPV12</stp>
        <stp>TSCO LN Equity</stp>
        <stp>RR903</stp>
        <stp>[DPM - Securities Master List (BBG Linked).xlsx]Equities!R265C13</stp>
        <tr r="M265" s="2"/>
        <tr r="M265" s="2"/>
        <tr r="M265" s="2"/>
      </tp>
      <tp>
        <v>2.1828614658289047</v>
        <stp/>
        <stp>##V3_BDPV12</stp>
        <stp>TSCO LN Equity</stp>
        <stp>RR903</stp>
        <stp>[DPM - Securities Master List (BBG Linked).xlsx]Equities!R268C13</stp>
        <tr r="M268" s="2"/>
        <tr r="M268" s="2"/>
        <tr r="M268" s="2"/>
      </tp>
      <tp>
        <v>2.1828614658289047</v>
        <stp/>
        <stp>##V3_BDPV12</stp>
        <stp>TSCO LN Equity</stp>
        <stp>RR903</stp>
        <stp>[DPM - Securities Master List (BBG Linked).xlsx]Equities!R269C13</stp>
        <tr r="M269" s="2"/>
        <tr r="M269" s="2"/>
        <tr r="M269" s="2"/>
      </tp>
      <tp t="s">
        <v>N</v>
        <stp/>
        <stp>##V3_BDPV12</stp>
        <stp>TCEHY US Equity</stp>
        <stp>DY997</stp>
        <stp>[DPM - Securities Master List (BBG Linked).xlsx]Equities!R259C47</stp>
        <tr r="AU259" s="2"/>
        <tr r="AU259" s="2"/>
        <tr r="AU259" s="2"/>
      </tp>
      <tp t="s">
        <v>N</v>
        <stp/>
        <stp>##V3_BDPV12</stp>
        <stp>TCEHY US Equity</stp>
        <stp>DY997</stp>
        <stp>[DPM - Securities Master List (BBG Linked).xlsx]Equities!R260C47</stp>
        <tr r="AU260" s="2"/>
        <tr r="AU260" s="2"/>
        <tr r="AU260" s="2"/>
      </tp>
      <tp>
        <v>25.42492</v>
        <stp/>
        <stp>##V3_BDPV12</stp>
        <stp>NSRGY US Equity</stp>
        <stp>PR064</stp>
        <stp>[DPM - Securities Master List (BBG Linked).xlsx]Equities!R223C41</stp>
        <tr r="AO223" s="2"/>
      </tp>
      <tp>
        <v>8.1645344819996204</v>
        <stp/>
        <stp>##V3_BDPV12</stp>
        <stp>TSCO LN Equity</stp>
        <stp>RR908</stp>
        <stp>[DPM - Securities Master List (BBG Linked).xlsx]Equities!R262C32</stp>
        <tr r="AF262" s="2"/>
        <tr r="AF262" s="2"/>
        <tr r="AF262" s="2"/>
      </tp>
      <tp>
        <v>8.1645344819996204</v>
        <stp/>
        <stp>##V3_BDPV12</stp>
        <stp>TSCO LN Equity</stp>
        <stp>RR908</stp>
        <stp>[DPM - Securities Master List (BBG Linked).xlsx]Equities!R263C32</stp>
        <tr r="AF263" s="2"/>
        <tr r="AF263" s="2"/>
        <tr r="AF263" s="2"/>
      </tp>
      <tp>
        <v>8.1645344819996204</v>
        <stp/>
        <stp>##V3_BDPV12</stp>
        <stp>TSCO LN Equity</stp>
        <stp>RR908</stp>
        <stp>[DPM - Securities Master List (BBG Linked).xlsx]Equities!R266C32</stp>
        <tr r="AF266" s="2"/>
        <tr r="AF266" s="2"/>
        <tr r="AF266" s="2"/>
      </tp>
      <tp>
        <v>8.1645344819996204</v>
        <stp/>
        <stp>##V3_BDPV12</stp>
        <stp>TSCO LN Equity</stp>
        <stp>RR908</stp>
        <stp>[DPM - Securities Master List (BBG Linked).xlsx]Equities!R267C32</stp>
        <tr r="AF267" s="2"/>
        <tr r="AF267" s="2"/>
        <tr r="AF267" s="2"/>
      </tp>
      <tp>
        <v>8.1645344819996204</v>
        <stp/>
        <stp>##V3_BDPV12</stp>
        <stp>TSCO LN Equity</stp>
        <stp>RR908</stp>
        <stp>[DPM - Securities Master List (BBG Linked).xlsx]Equities!R264C32</stp>
        <tr r="AF264" s="2"/>
        <tr r="AF264" s="2"/>
        <tr r="AF264" s="2"/>
      </tp>
      <tp>
        <v>8.1645344819996204</v>
        <stp/>
        <stp>##V3_BDPV12</stp>
        <stp>TSCO LN Equity</stp>
        <stp>RR908</stp>
        <stp>[DPM - Securities Master List (BBG Linked).xlsx]Equities!R265C32</stp>
        <tr r="AF265" s="2"/>
        <tr r="AF265" s="2"/>
        <tr r="AF265" s="2"/>
      </tp>
      <tp>
        <v>8.1645344819996204</v>
        <stp/>
        <stp>##V3_BDPV12</stp>
        <stp>TSCO LN Equity</stp>
        <stp>RR908</stp>
        <stp>[DPM - Securities Master List (BBG Linked).xlsx]Equities!R268C32</stp>
        <tr r="AF268" s="2"/>
        <tr r="AF268" s="2"/>
        <tr r="AF268" s="2"/>
      </tp>
      <tp>
        <v>8.1645344819996204</v>
        <stp/>
        <stp>##V3_BDPV12</stp>
        <stp>TSCO LN Equity</stp>
        <stp>RR908</stp>
        <stp>[DPM - Securities Master List (BBG Linked).xlsx]Equities!R269C32</stp>
        <tr r="AF269" s="2"/>
        <tr r="AF269" s="2"/>
        <tr r="AF269" s="2"/>
      </tp>
      <tp>
        <v>8.1645344819996204</v>
        <stp/>
        <stp>##V3_BDPV12</stp>
        <stp>TSCO LN Equity</stp>
        <stp>RR908</stp>
        <stp>[DPM - Securities Master List (BBG Linked).xlsx]Equities!R272C32</stp>
        <tr r="AF272" s="2"/>
        <tr r="AF272" s="2"/>
        <tr r="AF272" s="2"/>
      </tp>
      <tp>
        <v>8.1645344819996204</v>
        <stp/>
        <stp>##V3_BDPV12</stp>
        <stp>TSCO LN Equity</stp>
        <stp>RR908</stp>
        <stp>[DPM - Securities Master List (BBG Linked).xlsx]Equities!R273C32</stp>
        <tr r="AF273" s="2"/>
        <tr r="AF273" s="2"/>
        <tr r="AF273" s="2"/>
      </tp>
      <tp>
        <v>8.1645344819996204</v>
        <stp/>
        <stp>##V3_BDPV12</stp>
        <stp>TSCO LN Equity</stp>
        <stp>RR908</stp>
        <stp>[DPM - Securities Master List (BBG Linked).xlsx]Equities!R270C32</stp>
        <tr r="AF270" s="2"/>
        <tr r="AF270" s="2"/>
        <tr r="AF270" s="2"/>
      </tp>
      <tp>
        <v>8.1645344819996204</v>
        <stp/>
        <stp>##V3_BDPV12</stp>
        <stp>TSCO LN Equity</stp>
        <stp>RR908</stp>
        <stp>[DPM - Securities Master List (BBG Linked).xlsx]Equities!R271C32</stp>
        <tr r="AF271" s="2"/>
        <tr r="AF271" s="2"/>
        <tr r="AF271" s="2"/>
      </tp>
      <tp>
        <v>8.1645344819996204</v>
        <stp/>
        <stp>##V3_BDPV12</stp>
        <stp>TSCO LN Equity</stp>
        <stp>RR908</stp>
        <stp>[DPM - Securities Master List (BBG Linked).xlsx]Equities!R274C32</stp>
        <tr r="AF274" s="2"/>
        <tr r="AF274" s="2"/>
        <tr r="AF274" s="2"/>
      </tp>
      <tp>
        <v>8.1645344819996204</v>
        <stp/>
        <stp>##V3_BDPV12</stp>
        <stp>TSCO LN Equity</stp>
        <stp>RR908</stp>
        <stp>[DPM - Securities Master List (BBG Linked).xlsx]Equities!R275C32</stp>
        <tr r="AF275" s="2"/>
        <tr r="AF275" s="2"/>
        <tr r="AF275" s="2"/>
      </tp>
      <tp>
        <v>6.3512570000000004</v>
        <stp/>
        <stp>##V3_BDPV12</stp>
        <stp>NSRGY US Equity</stp>
        <stp>PR061</stp>
        <stp>[DPM - Securities Master List (BBG Linked).xlsx]Equities!R223C40</stp>
        <tr r="AN223" s="2"/>
      </tp>
      <tp>
        <v>12</v>
        <stp/>
        <stp>##V3_BDPV12</stp>
        <stp>NESN SW Equity</stp>
        <stp>TOT_BUY_REC</stp>
        <stp>[DPM - Securities Master List (BBG Linked).xlsx]Equities!R205C34</stp>
        <tr r="AH205" s="2"/>
      </tp>
      <tp>
        <v>12</v>
        <stp/>
        <stp>##V3_BDPV12</stp>
        <stp>NESN SW Equity</stp>
        <stp>TOT_BUY_REC</stp>
        <stp>[DPM - Securities Master List (BBG Linked).xlsx]Equities!R204C34</stp>
        <tr r="AH204" s="2"/>
      </tp>
      <tp>
        <v>12</v>
        <stp/>
        <stp>##V3_BDPV12</stp>
        <stp>NESN SW Equity</stp>
        <stp>TOT_BUY_REC</stp>
        <stp>[DPM - Securities Master List (BBG Linked).xlsx]Equities!R201C34</stp>
        <tr r="AH201" s="2"/>
      </tp>
      <tp>
        <v>12</v>
        <stp/>
        <stp>##V3_BDPV12</stp>
        <stp>NESN SW Equity</stp>
        <stp>TOT_BUY_REC</stp>
        <stp>[DPM - Securities Master List (BBG Linked).xlsx]Equities!R200C34</stp>
        <tr r="AH200" s="2"/>
      </tp>
      <tp>
        <v>12</v>
        <stp/>
        <stp>##V3_BDPV12</stp>
        <stp>NESN SW Equity</stp>
        <stp>TOT_BUY_REC</stp>
        <stp>[DPM - Securities Master List (BBG Linked).xlsx]Equities!R203C34</stp>
        <tr r="AH203" s="2"/>
      </tp>
      <tp>
        <v>12</v>
        <stp/>
        <stp>##V3_BDPV12</stp>
        <stp>NESN SW Equity</stp>
        <stp>TOT_BUY_REC</stp>
        <stp>[DPM - Securities Master List (BBG Linked).xlsx]Equities!R202C34</stp>
        <tr r="AH202" s="2"/>
      </tp>
      <tp>
        <v>12</v>
        <stp/>
        <stp>##V3_BDPV12</stp>
        <stp>NESN SW Equity</stp>
        <stp>TOT_BUY_REC</stp>
        <stp>[DPM - Securities Master List (BBG Linked).xlsx]Equities!R199C34</stp>
        <tr r="AH199" s="2"/>
      </tp>
      <tp>
        <v>12</v>
        <stp/>
        <stp>##V3_BDPV12</stp>
        <stp>NESN SW Equity</stp>
        <stp>TOT_BUY_REC</stp>
        <stp>[DPM - Securities Master List (BBG Linked).xlsx]Equities!R198C34</stp>
        <tr r="AH198" s="2"/>
      </tp>
      <tp>
        <v>12</v>
        <stp/>
        <stp>##V3_BDPV12</stp>
        <stp>NESN SW Equity</stp>
        <stp>TOT_BUY_REC</stp>
        <stp>[DPM - Securities Master List (BBG Linked).xlsx]Equities!R195C34</stp>
        <tr r="AH195" s="2"/>
      </tp>
      <tp>
        <v>12</v>
        <stp/>
        <stp>##V3_BDPV12</stp>
        <stp>NESN SW Equity</stp>
        <stp>TOT_BUY_REC</stp>
        <stp>[DPM - Securities Master List (BBG Linked).xlsx]Equities!R194C34</stp>
        <tr r="AH194" s="2"/>
      </tp>
      <tp>
        <v>12</v>
        <stp/>
        <stp>##V3_BDPV12</stp>
        <stp>NESN SW Equity</stp>
        <stp>TOT_BUY_REC</stp>
        <stp>[DPM - Securities Master List (BBG Linked).xlsx]Equities!R197C34</stp>
        <tr r="AH197" s="2"/>
      </tp>
      <tp>
        <v>12</v>
        <stp/>
        <stp>##V3_BDPV12</stp>
        <stp>NESN SW Equity</stp>
        <stp>TOT_BUY_REC</stp>
        <stp>[DPM - Securities Master List (BBG Linked).xlsx]Equities!R196C34</stp>
        <tr r="AH196" s="2"/>
      </tp>
      <tp>
        <v>12</v>
        <stp/>
        <stp>##V3_BDPV12</stp>
        <stp>NESN SW Equity</stp>
        <stp>TOT_BUY_REC</stp>
        <stp>[DPM - Securities Master List (BBG Linked).xlsx]Equities!R193C34</stp>
        <tr r="AH193" s="2"/>
      </tp>
      <tp>
        <v>16</v>
        <stp/>
        <stp>##V3_BDPV12</stp>
        <stp>ON US Equity</stp>
        <stp>TOT_BUY_REC</stp>
        <stp>[DPM - Securities Master List (BBG Linked).xlsx]Equities!R226C34</stp>
        <tr r="AH226" s="2"/>
      </tp>
      <tp>
        <v>2.6681711089433833</v>
        <stp/>
        <stp>##V3_BDPV12</stp>
        <stp>VOW3 GY Equity</stp>
        <stp>RR908</stp>
        <stp>[DPM - Securities Master List (BBG Linked).xlsx]Equities!R289C32</stp>
        <tr r="AF289" s="2"/>
        <tr r="AF289" s="2"/>
        <tr r="AF289" s="2"/>
      </tp>
      <tp>
        <v>2.6681711089433833</v>
        <stp/>
        <stp>##V3_BDPV12</stp>
        <stp>VOW3 GY Equity</stp>
        <stp>RR908</stp>
        <stp>[DPM - Securities Master List (BBG Linked).xlsx]Equities!R291C32</stp>
        <tr r="AF291" s="2"/>
        <tr r="AF291" s="2"/>
        <tr r="AF291" s="2"/>
      </tp>
      <tp>
        <v>2.6681711089433833</v>
        <stp/>
        <stp>##V3_BDPV12</stp>
        <stp>VOW3 GY Equity</stp>
        <stp>RR908</stp>
        <stp>[DPM - Securities Master List (BBG Linked).xlsx]Equities!R290C32</stp>
        <tr r="AF290" s="2"/>
        <tr r="AF290" s="2"/>
        <tr r="AF290" s="2"/>
      </tp>
      <tp>
        <v>2.6681711089433833</v>
        <stp/>
        <stp>##V3_BDPV12</stp>
        <stp>VOW3 GY Equity</stp>
        <stp>RR908</stp>
        <stp>[DPM - Securities Master List (BBG Linked).xlsx]Equities!R293C32</stp>
        <tr r="AF293" s="2"/>
        <tr r="AF293" s="2"/>
        <tr r="AF293" s="2"/>
      </tp>
      <tp>
        <v>2.6681711089433833</v>
        <stp/>
        <stp>##V3_BDPV12</stp>
        <stp>VOW3 GY Equity</stp>
        <stp>RR908</stp>
        <stp>[DPM - Securities Master List (BBG Linked).xlsx]Equities!R292C32</stp>
        <tr r="AF292" s="2"/>
        <tr r="AF292" s="2"/>
        <tr r="AF292" s="2"/>
      </tp>
      <tp>
        <v>4.8642985117778341</v>
        <stp/>
        <stp>##V3_BDPV12</stp>
        <stp>VOW3 GY Equity</stp>
        <stp>RR900</stp>
        <stp>[DPM - Securities Master List (BBG Linked).xlsx]Equities!R291C11</stp>
        <tr r="K291" s="2"/>
        <tr r="K291" s="2"/>
        <tr r="K291" s="2"/>
      </tp>
      <tp>
        <v>4.8642985117778341</v>
        <stp/>
        <stp>##V3_BDPV12</stp>
        <stp>VOW3 GY Equity</stp>
        <stp>RR900</stp>
        <stp>[DPM - Securities Master List (BBG Linked).xlsx]Equities!R290C11</stp>
        <tr r="K290" s="2"/>
        <tr r="K290" s="2"/>
        <tr r="K290" s="2"/>
      </tp>
      <tp>
        <v>4.8642985117778341</v>
        <stp/>
        <stp>##V3_BDPV12</stp>
        <stp>VOW3 GY Equity</stp>
        <stp>RR900</stp>
        <stp>[DPM - Securities Master List (BBG Linked).xlsx]Equities!R293C11</stp>
        <tr r="K293" s="2"/>
        <tr r="K293" s="2"/>
        <tr r="K293" s="2"/>
      </tp>
      <tp>
        <v>4.8642985117778341</v>
        <stp/>
        <stp>##V3_BDPV12</stp>
        <stp>VOW3 GY Equity</stp>
        <stp>RR900</stp>
        <stp>[DPM - Securities Master List (BBG Linked).xlsx]Equities!R292C11</stp>
        <tr r="K292" s="2"/>
        <tr r="K292" s="2"/>
        <tr r="K292" s="2"/>
      </tp>
      <tp>
        <v>4.8642985117778341</v>
        <stp/>
        <stp>##V3_BDPV12</stp>
        <stp>VOW3 GY Equity</stp>
        <stp>RR900</stp>
        <stp>[DPM - Securities Master List (BBG Linked).xlsx]Equities!R289C11</stp>
        <tr r="K289" s="2"/>
        <tr r="K289" s="2"/>
        <tr r="K289" s="2"/>
      </tp>
      <tp>
        <v>0.28056983344634595</v>
        <stp/>
        <stp>##V3_BDPV12</stp>
        <stp>VOW3 GY Equity</stp>
        <stp>RR903</stp>
        <stp>[DPM - Securities Master List (BBG Linked).xlsx]Equities!R291C13</stp>
        <tr r="M291" s="2"/>
        <tr r="M291" s="2"/>
        <tr r="M291" s="2"/>
      </tp>
      <tp>
        <v>0.28056983344634595</v>
        <stp/>
        <stp>##V3_BDPV12</stp>
        <stp>VOW3 GY Equity</stp>
        <stp>RR903</stp>
        <stp>[DPM - Securities Master List (BBG Linked).xlsx]Equities!R290C13</stp>
        <tr r="M290" s="2"/>
        <tr r="M290" s="2"/>
        <tr r="M290" s="2"/>
      </tp>
      <tp>
        <v>0.28056983344634595</v>
        <stp/>
        <stp>##V3_BDPV12</stp>
        <stp>VOW3 GY Equity</stp>
        <stp>RR903</stp>
        <stp>[DPM - Securities Master List (BBG Linked).xlsx]Equities!R293C13</stp>
        <tr r="M293" s="2"/>
        <tr r="M293" s="2"/>
        <tr r="M293" s="2"/>
      </tp>
      <tp>
        <v>0.28056983344634595</v>
        <stp/>
        <stp>##V3_BDPV12</stp>
        <stp>VOW3 GY Equity</stp>
        <stp>RR903</stp>
        <stp>[DPM - Securities Master List (BBG Linked).xlsx]Equities!R292C13</stp>
        <tr r="M292" s="2"/>
        <tr r="M292" s="2"/>
        <tr r="M292" s="2"/>
      </tp>
      <tp>
        <v>0.28056983344634595</v>
        <stp/>
        <stp>##V3_BDPV12</stp>
        <stp>VOW3 GY Equity</stp>
        <stp>RR903</stp>
        <stp>[DPM - Securities Master List (BBG Linked).xlsx]Equities!R289C13</stp>
        <tr r="M289" s="2"/>
        <tr r="M289" s="2"/>
        <tr r="M289" s="2"/>
      </tp>
      <tp>
        <v>70</v>
        <stp/>
        <stp>##V3_BDPV12</stp>
        <stp>NVDA US Equity</stp>
        <stp>TOT_BUY_REC</stp>
        <stp>[DPM - Securities Master List (BBG Linked).xlsx]Equities!R224C34</stp>
        <tr r="AH224" s="2"/>
      </tp>
      <tp t="s">
        <v>DE0007664039</v>
        <stp/>
        <stp>##V3_BDPV12</stp>
        <stp>VOW3 GY Equity</stp>
        <stp>ID005</stp>
        <stp>[DPM - Securities Master List (BBG Linked).xlsx]Equities!R290C55</stp>
        <tr r="BC290" s="2"/>
      </tp>
      <tp t="s">
        <v>DE0007664039</v>
        <stp/>
        <stp>##V3_BDPV12</stp>
        <stp>VOW3 GY Equity</stp>
        <stp>ID005</stp>
        <stp>[DPM - Securities Master List (BBG Linked).xlsx]Equities!R291C55</stp>
        <tr r="BC291" s="2"/>
      </tp>
      <tp t="s">
        <v>DE0007664039</v>
        <stp/>
        <stp>##V3_BDPV12</stp>
        <stp>VOW3 GY Equity</stp>
        <stp>ID005</stp>
        <stp>[DPM - Securities Master List (BBG Linked).xlsx]Equities!R292C55</stp>
        <tr r="BC292" s="2"/>
      </tp>
      <tp t="s">
        <v>DE0007664039</v>
        <stp/>
        <stp>##V3_BDPV12</stp>
        <stp>VOW3 GY Equity</stp>
        <stp>ID005</stp>
        <stp>[DPM - Securities Master List (BBG Linked).xlsx]Equities!R293C55</stp>
        <tr r="BC293" s="2"/>
      </tp>
      <tp t="s">
        <v>DE0007664039</v>
        <stp/>
        <stp>##V3_BDPV12</stp>
        <stp>VOW3 GY Equity</stp>
        <stp>ID005</stp>
        <stp>[DPM - Securities Master List (BBG Linked).xlsx]Equities!R289C55</stp>
        <tr r="BC289" s="2"/>
      </tp>
      <tp>
        <v>4.1999998092651367</v>
        <stp/>
        <stp>##V3_BDPV12</stp>
        <stp>VOW3 GY Equity</stp>
        <stp>EE201</stp>
        <stp>[DPM - Securities Master List (BBG Linked).xlsx]Equities!R289C37</stp>
        <tr r="AK289" s="2"/>
        <tr r="AK289" s="2"/>
        <tr r="AK289" s="2"/>
      </tp>
      <tp>
        <v>4.1999998092651367</v>
        <stp/>
        <stp>##V3_BDPV12</stp>
        <stp>VOW3 GY Equity</stp>
        <stp>EE201</stp>
        <stp>[DPM - Securities Master List (BBG Linked).xlsx]Equities!R292C37</stp>
        <tr r="AK292" s="2"/>
        <tr r="AK292" s="2"/>
        <tr r="AK292" s="2"/>
      </tp>
      <tp>
        <v>4.1999998092651367</v>
        <stp/>
        <stp>##V3_BDPV12</stp>
        <stp>VOW3 GY Equity</stp>
        <stp>EE201</stp>
        <stp>[DPM - Securities Master List (BBG Linked).xlsx]Equities!R293C37</stp>
        <tr r="AK293" s="2"/>
        <tr r="AK293" s="2"/>
        <tr r="AK293" s="2"/>
      </tp>
      <tp>
        <v>4.1999998092651367</v>
        <stp/>
        <stp>##V3_BDPV12</stp>
        <stp>VOW3 GY Equity</stp>
        <stp>EE201</stp>
        <stp>[DPM - Securities Master List (BBG Linked).xlsx]Equities!R290C37</stp>
        <tr r="AK290" s="2"/>
        <tr r="AK290" s="2"/>
        <tr r="AK290" s="2"/>
      </tp>
      <tp>
        <v>4.1999998092651367</v>
        <stp/>
        <stp>##V3_BDPV12</stp>
        <stp>VOW3 GY Equity</stp>
        <stp>EE201</stp>
        <stp>[DPM - Securities Master List (BBG Linked).xlsx]Equities!R291C37</stp>
        <tr r="AK291" s="2"/>
        <tr r="AK291" s="2"/>
        <tr r="AK291" s="2"/>
      </tp>
      <tp t="s">
        <v>Consumer Discretionary</v>
        <stp/>
        <stp>##V3_BDPV12</stp>
        <stp>VOW3 GY Equity</stp>
        <stp>DX202</stp>
        <stp>[DPM - Securities Master List (BBG Linked).xlsx]Equities!R289C46</stp>
        <tr r="AT289" s="2"/>
        <tr r="AT289" s="2"/>
        <tr r="AT289" s="2"/>
      </tp>
      <tp t="s">
        <v>Consumer Discretionary</v>
        <stp/>
        <stp>##V3_BDPV12</stp>
        <stp>VOW3 GY Equity</stp>
        <stp>DX202</stp>
        <stp>[DPM - Securities Master List (BBG Linked).xlsx]Equities!R292C46</stp>
        <tr r="AT292" s="2"/>
        <tr r="AT292" s="2"/>
        <tr r="AT292" s="2"/>
      </tp>
      <tp t="s">
        <v>Consumer Discretionary</v>
        <stp/>
        <stp>##V3_BDPV12</stp>
        <stp>VOW3 GY Equity</stp>
        <stp>DX202</stp>
        <stp>[DPM - Securities Master List (BBG Linked).xlsx]Equities!R293C46</stp>
        <tr r="AT293" s="2"/>
        <tr r="AT293" s="2"/>
        <tr r="AT293" s="2"/>
      </tp>
      <tp t="s">
        <v>Consumer Discretionary</v>
        <stp/>
        <stp>##V3_BDPV12</stp>
        <stp>VOW3 GY Equity</stp>
        <stp>DX202</stp>
        <stp>[DPM - Securities Master List (BBG Linked).xlsx]Equities!R290C46</stp>
        <tr r="AT290" s="2"/>
        <tr r="AT290" s="2"/>
        <tr r="AT290" s="2"/>
      </tp>
      <tp t="s">
        <v>Consumer Discretionary</v>
        <stp/>
        <stp>##V3_BDPV12</stp>
        <stp>VOW3 GY Equity</stp>
        <stp>DX202</stp>
        <stp>[DPM - Securities Master List (BBG Linked).xlsx]Equities!R291C46</stp>
        <tr r="AT291" s="2"/>
        <tr r="AT291" s="2"/>
        <tr r="AT291" s="2"/>
      </tp>
      <tp t="s">
        <v>Information Technology</v>
        <stp/>
        <stp>##V3_BDPV12</stp>
        <stp>ADBE US Equity</stp>
        <stp>DX202</stp>
        <stp>[DPM - Securities Master List (BBG Linked).xlsx]Equities!R47C8</stp>
        <tr r="H47" s="2"/>
        <tr r="H47" s="2"/>
        <tr r="H47" s="2"/>
      </tp>
      <tp t="s">
        <v>Information Technology</v>
        <stp/>
        <stp>##V3_BDPV12</stp>
        <stp>ADBE US Equity</stp>
        <stp>DX202</stp>
        <stp>[DPM - Securities Master List (BBG Linked).xlsx]Equities!R37C8</stp>
        <tr r="H37" s="2"/>
        <tr r="H37" s="2"/>
        <tr r="H37" s="2"/>
      </tp>
      <tp t="s">
        <v>Information Technology</v>
        <stp/>
        <stp>##V3_BDPV12</stp>
        <stp>DELL US Equity</stp>
        <stp>DX202</stp>
        <stp>[DPM - Securities Master List (BBG Linked).xlsx]Equities!R92C8</stp>
        <tr r="H92" s="2"/>
        <tr r="H92" s="2"/>
        <tr r="H92" s="2"/>
      </tp>
      <tp t="s">
        <v>#N/A Invalid Field</v>
        <stp/>
        <stp>##V3_BDPV12</stp>
        <stp>DGE LN Equity</stp>
        <stp/>
        <stp>[DPM - Securities Master List (BBG Linked).xlsx]Equities!R108C29</stp>
        <tr r="AC108" s="2"/>
        <tr r="AC108" s="2"/>
      </tp>
      <tp t="s">
        <v>#N/A Invalid Field</v>
        <stp/>
        <stp>##V3_BDPV12</stp>
        <stp>DGE LN Equity</stp>
        <stp/>
        <stp>[DPM - Securities Master List (BBG Linked).xlsx]Equities!R109C29</stp>
        <tr r="AC109" s="2"/>
        <tr r="AC109" s="2"/>
      </tp>
      <tp t="s">
        <v>#N/A Invalid Field</v>
        <stp/>
        <stp>##V3_BDPV12</stp>
        <stp>DGE LN Equity</stp>
        <stp/>
        <stp>[DPM - Securities Master List (BBG Linked).xlsx]Equities!R110C29</stp>
        <tr r="AC110" s="2"/>
        <tr r="AC110" s="2"/>
      </tp>
      <tp t="s">
        <v>#N/A Invalid Field</v>
        <stp/>
        <stp>##V3_BDPV12</stp>
        <stp>DGE LN Equity</stp>
        <stp/>
        <stp>[DPM - Securities Master List (BBG Linked).xlsx]Equities!R111C29</stp>
        <tr r="AC111" s="2"/>
        <tr r="AC111" s="2"/>
      </tp>
      <tp t="s">
        <v>Health Care</v>
        <stp/>
        <stp>##V3_BDPV12</stp>
        <stp>BMRN US Equity</stp>
        <stp>DX202</stp>
        <stp>[DPM - Securities Master List (BBG Linked).xlsx]Equities!R74C8</stp>
        <tr r="H74" s="2"/>
        <tr r="H74" s="2"/>
        <tr r="H74" s="2"/>
      </tp>
      <tp t="s">
        <v>Health Care</v>
        <stp/>
        <stp>##V3_BDPV12</stp>
        <stp>BMRN US Equity</stp>
        <stp>DX202</stp>
        <stp>[DPM - Securities Master List (BBG Linked).xlsx]Equities!R64C8</stp>
        <tr r="H64" s="2"/>
        <tr r="H64" s="2"/>
        <tr r="H64" s="2"/>
      </tp>
      <tp>
        <v>78.86</v>
        <stp/>
        <stp>##V3_BDPV12</stp>
        <stp>VOW3 GY Equity</stp>
        <stp>hs002</stp>
        <stp>[DPM - Securities Master List (BBG Linked).xlsx]Equities!R289C45</stp>
        <tr r="AS289" s="2"/>
      </tp>
      <tp>
        <v>78.86</v>
        <stp/>
        <stp>##V3_BDPV12</stp>
        <stp>VOW3 GY Equity</stp>
        <stp>hs002</stp>
        <stp>[DPM - Securities Master List (BBG Linked).xlsx]Equities!R290C45</stp>
        <tr r="AS290" s="2"/>
      </tp>
      <tp>
        <v>78.86</v>
        <stp/>
        <stp>##V3_BDPV12</stp>
        <stp>VOW3 GY Equity</stp>
        <stp>hs002</stp>
        <stp>[DPM - Securities Master List (BBG Linked).xlsx]Equities!R291C45</stp>
        <tr r="AS291" s="2"/>
      </tp>
      <tp>
        <v>78.86</v>
        <stp/>
        <stp>##V3_BDPV12</stp>
        <stp>VOW3 GY Equity</stp>
        <stp>hs002</stp>
        <stp>[DPM - Securities Master List (BBG Linked).xlsx]Equities!R292C45</stp>
        <tr r="AS292" s="2"/>
      </tp>
      <tp>
        <v>78.86</v>
        <stp/>
        <stp>##V3_BDPV12</stp>
        <stp>VOW3 GY Equity</stp>
        <stp>hs002</stp>
        <stp>[DPM - Securities Master List (BBG Linked).xlsx]Equities!R293C45</stp>
        <tr r="AS293" s="2"/>
      </tp>
      <tp>
        <v>123.95</v>
        <stp/>
        <stp>##V3_BDPV12</stp>
        <stp>VOW3 GY Equity</stp>
        <stp>hs001</stp>
        <stp>[DPM - Securities Master List (BBG Linked).xlsx]Equities!R290C44</stp>
        <tr r="AR290" s="2"/>
      </tp>
      <tp>
        <v>123.95</v>
        <stp/>
        <stp>##V3_BDPV12</stp>
        <stp>VOW3 GY Equity</stp>
        <stp>hs001</stp>
        <stp>[DPM - Securities Master List (BBG Linked).xlsx]Equities!R291C44</stp>
        <tr r="AR291" s="2"/>
      </tp>
      <tp>
        <v>123.95</v>
        <stp/>
        <stp>##V3_BDPV12</stp>
        <stp>VOW3 GY Equity</stp>
        <stp>hs001</stp>
        <stp>[DPM - Securities Master List (BBG Linked).xlsx]Equities!R292C44</stp>
        <tr r="AR292" s="2"/>
      </tp>
      <tp>
        <v>123.95</v>
        <stp/>
        <stp>##V3_BDPV12</stp>
        <stp>VOW3 GY Equity</stp>
        <stp>hs001</stp>
        <stp>[DPM - Securities Master List (BBG Linked).xlsx]Equities!R293C44</stp>
        <tr r="AR293" s="2"/>
      </tp>
      <tp>
        <v>123.95</v>
        <stp/>
        <stp>##V3_BDPV12</stp>
        <stp>VOW3 GY Equity</stp>
        <stp>hs001</stp>
        <stp>[DPM - Securities Master List (BBG Linked).xlsx]Equities!R289C44</stp>
        <tr r="AR289" s="2"/>
      </tp>
      <tp t="s">
        <v>#N/A Invalid Override</v>
        <stp/>
        <stp>##V3_BDPV12</stp>
        <stp>XS2908722783 isin</stp>
        <stp>YAS_BOND_YLD</stp>
        <stp>[DPM - Securities Master List (BBG Linked).xlsx]Bonds!R105C10</stp>
        <stp>YAS_YLD_FLAG=15</stp>
        <stp>user_local_trade_date</stp>
        <stp>45783</stp>
        <stp>Yas_bond_px</stp>
        <stp>#N/A Connection</stp>
        <tr r="J105" s="1"/>
      </tp>
      <tp t="s">
        <v>#N/A Invalid Field</v>
        <stp/>
        <stp>##V3_BDPV12</stp>
        <stp>DRX LN Equity</stp>
        <stp/>
        <stp>[DPM - Securities Master List (BBG Linked).xlsx]Equities!R118C29</stp>
        <tr r="AC118" s="2"/>
        <tr r="AC118" s="2"/>
      </tp>
      <tp t="s">
        <v>#N/A Invalid Field</v>
        <stp/>
        <stp>##V3_BDPV12</stp>
        <stp>DRX LN Equity</stp>
        <stp/>
        <stp>[DPM - Securities Master List (BBG Linked).xlsx]Equities!R119C29</stp>
        <tr r="AC119" s="2"/>
        <tr r="AC119" s="2"/>
      </tp>
      <tp t="s">
        <v>#N/A Invalid Field</v>
        <stp/>
        <stp>##V3_BDPV12</stp>
        <stp>DRX LN Equity</stp>
        <stp/>
        <stp>[DPM - Securities Master List (BBG Linked).xlsx]Equities!R116C29</stp>
        <tr r="AC116" s="2"/>
        <tr r="AC116" s="2"/>
      </tp>
      <tp t="s">
        <v>#N/A Invalid Field</v>
        <stp/>
        <stp>##V3_BDPV12</stp>
        <stp>DRX LN Equity</stp>
        <stp/>
        <stp>[DPM - Securities Master List (BBG Linked).xlsx]Equities!R117C29</stp>
        <tr r="AC117" s="2"/>
        <tr r="AC117" s="2"/>
      </tp>
      <tp t="s">
        <v>#N/A Invalid Field</v>
        <stp/>
        <stp>##V3_BDPV12</stp>
        <stp>DRX LN Equity</stp>
        <stp/>
        <stp>[DPM - Securities Master List (BBG Linked).xlsx]Equities!R124C29</stp>
        <tr r="AC124" s="2"/>
        <tr r="AC124" s="2"/>
      </tp>
      <tp t="s">
        <v>#N/A Invalid Field</v>
        <stp/>
        <stp>##V3_BDPV12</stp>
        <stp>DRX LN Equity</stp>
        <stp/>
        <stp>[DPM - Securities Master List (BBG Linked).xlsx]Equities!R120C29</stp>
        <tr r="AC120" s="2"/>
        <tr r="AC120" s="2"/>
      </tp>
      <tp t="s">
        <v>#N/A Invalid Field</v>
        <stp/>
        <stp>##V3_BDPV12</stp>
        <stp>DRX LN Equity</stp>
        <stp/>
        <stp>[DPM - Securities Master List (BBG Linked).xlsx]Equities!R121C29</stp>
        <tr r="AC121" s="2"/>
        <tr r="AC121" s="2"/>
      </tp>
      <tp t="s">
        <v>#N/A Invalid Field</v>
        <stp/>
        <stp>##V3_BDPV12</stp>
        <stp>DRX LN Equity</stp>
        <stp/>
        <stp>[DPM - Securities Master List (BBG Linked).xlsx]Equities!R122C29</stp>
        <tr r="AC122" s="2"/>
        <tr r="AC122" s="2"/>
      </tp>
      <tp t="s">
        <v>#N/A Invalid Field</v>
        <stp/>
        <stp>##V3_BDPV12</stp>
        <stp>DRX LN Equity</stp>
        <stp/>
        <stp>[DPM - Securities Master List (BBG Linked).xlsx]Equities!R123C29</stp>
        <tr r="AC123" s="2"/>
        <tr r="AC123" s="2"/>
      </tp>
      <tp t="s">
        <v>#N/A Invalid Override</v>
        <stp/>
        <stp>##V3_BDPV12</stp>
        <stp>XS2408002769 isin</stp>
        <stp>YAS_BOND_YLD</stp>
        <stp>[DPM - Securities Master List (BBG Linked).xlsx]Bonds!R102C10</stp>
        <stp>YAS_YLD_FLAG=15</stp>
        <stp>user_local_trade_date</stp>
        <stp>45783</stp>
        <stp>Yas_bond_px</stp>
        <stp>#N/A Connection</stp>
        <tr r="J102" s="1"/>
      </tp>
      <tp t="s">
        <v>USD</v>
        <stp/>
        <stp>##V3_BDPV12</stp>
        <stp>DELL US Equity</stp>
        <stp>CRNCY</stp>
        <stp>[DPM - Securities Master List (BBG Linked).xlsx]Equities!R98C6</stp>
        <tr r="F98" s="2"/>
      </tp>
      <tp>
        <v>13.926140188537387</v>
        <stp/>
        <stp>##V3_BDPV12</stp>
        <stp>GOOGL US Equity</stp>
        <stp>RR957</stp>
        <stp>[DPM - Securities Master List (BBG Linked).xlsx]Equities!R139C14</stp>
        <tr r="N139" s="2"/>
        <tr r="N139" s="2"/>
        <tr r="N139" s="2"/>
      </tp>
      <tp>
        <v>13.926140188537387</v>
        <stp/>
        <stp>##V3_BDPV12</stp>
        <stp>GOOGL US Equity</stp>
        <stp>RR957</stp>
        <stp>[DPM - Securities Master List (BBG Linked).xlsx]Equities!R138C14</stp>
        <tr r="N138" s="2"/>
        <tr r="N138" s="2"/>
        <tr r="N138" s="2"/>
      </tp>
      <tp>
        <v>13.926140188537387</v>
        <stp/>
        <stp>##V3_BDPV12</stp>
        <stp>GOOGL US Equity</stp>
        <stp>RR957</stp>
        <stp>[DPM - Securities Master List (BBG Linked).xlsx]Equities!R133C14</stp>
        <tr r="N133" s="2"/>
        <tr r="N133" s="2"/>
        <tr r="N133" s="2"/>
      </tp>
      <tp>
        <v>13.926140188537387</v>
        <stp/>
        <stp>##V3_BDPV12</stp>
        <stp>GOOGL US Equity</stp>
        <stp>RR957</stp>
        <stp>[DPM - Securities Master List (BBG Linked).xlsx]Equities!R132C14</stp>
        <tr r="N132" s="2"/>
        <tr r="N132" s="2"/>
        <tr r="N132" s="2"/>
      </tp>
      <tp>
        <v>13.926140188537387</v>
        <stp/>
        <stp>##V3_BDPV12</stp>
        <stp>GOOGL US Equity</stp>
        <stp>RR957</stp>
        <stp>[DPM - Securities Master List (BBG Linked).xlsx]Equities!R131C14</stp>
        <tr r="N131" s="2"/>
        <tr r="N131" s="2"/>
        <tr r="N131" s="2"/>
      </tp>
      <tp>
        <v>13.926140188537387</v>
        <stp/>
        <stp>##V3_BDPV12</stp>
        <stp>GOOGL US Equity</stp>
        <stp>RR957</stp>
        <stp>[DPM - Securities Master List (BBG Linked).xlsx]Equities!R130C14</stp>
        <tr r="N130" s="2"/>
        <tr r="N130" s="2"/>
        <tr r="N130" s="2"/>
      </tp>
      <tp>
        <v>13.926140188537387</v>
        <stp/>
        <stp>##V3_BDPV12</stp>
        <stp>GOOGL US Equity</stp>
        <stp>RR957</stp>
        <stp>[DPM - Securities Master List (BBG Linked).xlsx]Equities!R137C14</stp>
        <tr r="N137" s="2"/>
        <tr r="N137" s="2"/>
        <tr r="N137" s="2"/>
      </tp>
      <tp>
        <v>13.926140188537387</v>
        <stp/>
        <stp>##V3_BDPV12</stp>
        <stp>GOOGL US Equity</stp>
        <stp>RR957</stp>
        <stp>[DPM - Securities Master List (BBG Linked).xlsx]Equities!R136C14</stp>
        <tr r="N136" s="2"/>
        <tr r="N136" s="2"/>
        <tr r="N136" s="2"/>
      </tp>
      <tp>
        <v>13.926140188537387</v>
        <stp/>
        <stp>##V3_BDPV12</stp>
        <stp>GOOGL US Equity</stp>
        <stp>RR957</stp>
        <stp>[DPM - Securities Master List (BBG Linked).xlsx]Equities!R135C14</stp>
        <tr r="N135" s="2"/>
        <tr r="N135" s="2"/>
        <tr r="N135" s="2"/>
      </tp>
      <tp>
        <v>13.926140188537387</v>
        <stp/>
        <stp>##V3_BDPV12</stp>
        <stp>GOOGL US Equity</stp>
        <stp>RR957</stp>
        <stp>[DPM - Securities Master List (BBG Linked).xlsx]Equities!R134C14</stp>
        <tr r="N134" s="2"/>
        <tr r="N134" s="2"/>
        <tr r="N134" s="2"/>
      </tp>
      <tp>
        <v>13.926140188537387</v>
        <stp/>
        <stp>##V3_BDPV12</stp>
        <stp>GOOGL US Equity</stp>
        <stp>RR957</stp>
        <stp>[DPM - Securities Master List (BBG Linked).xlsx]Equities!R129C14</stp>
        <tr r="N129" s="2"/>
        <tr r="N129" s="2"/>
        <tr r="N129" s="2"/>
      </tp>
      <tp>
        <v>13.926140188537387</v>
        <stp/>
        <stp>##V3_BDPV12</stp>
        <stp>GOOGL US Equity</stp>
        <stp>RR957</stp>
        <stp>[DPM - Securities Master List (BBG Linked).xlsx]Equities!R128C14</stp>
        <tr r="N128" s="2"/>
        <tr r="N128" s="2"/>
        <tr r="N128" s="2"/>
      </tp>
      <tp>
        <v>13.926140188537387</v>
        <stp/>
        <stp>##V3_BDPV12</stp>
        <stp>GOOGL US Equity</stp>
        <stp>RR957</stp>
        <stp>[DPM - Securities Master List (BBG Linked).xlsx]Equities!R127C14</stp>
        <tr r="N127" s="2"/>
        <tr r="N127" s="2"/>
        <tr r="N127" s="2"/>
      </tp>
      <tp>
        <v>13.926140188537387</v>
        <stp/>
        <stp>##V3_BDPV12</stp>
        <stp>GOOGL US Equity</stp>
        <stp>RR957</stp>
        <stp>[DPM - Securities Master List (BBG Linked).xlsx]Equities!R141C14</stp>
        <tr r="N141" s="2"/>
        <tr r="N141" s="2"/>
        <tr r="N141" s="2"/>
      </tp>
      <tp>
        <v>13.926140188537387</v>
        <stp/>
        <stp>##V3_BDPV12</stp>
        <stp>GOOGL US Equity</stp>
        <stp>RR957</stp>
        <stp>[DPM - Securities Master List (BBG Linked).xlsx]Equities!R140C14</stp>
        <tr r="N140" s="2"/>
        <tr r="N140" s="2"/>
        <tr r="N140" s="2"/>
      </tp>
      <tp t="s">
        <v>#N/A Invalid Field</v>
        <stp/>
        <stp>##V3_BDPV12</stp>
        <stp>GOLD US Equity</stp>
        <stp/>
        <stp>[DPM - Securities Master List (BBG Linked).xlsx]Equities!R125C29</stp>
        <tr r="AC125" s="2"/>
        <tr r="AC125" s="2"/>
      </tp>
      <tp>
        <v>-13.61331</v>
        <stp/>
        <stp>##V3_BDPV12</stp>
        <stp>GOOGL UQ Equity</stp>
        <stp>PR079</stp>
        <stp>[DPM - Securities Master List (BBG Linked).xlsx]Equities!R126C43</stp>
        <tr r="AQ126" s="2"/>
      </tp>
      <tp t="s">
        <v>Y</v>
        <stp/>
        <stp>##V3_BDPV12</stp>
        <stp>META US Equity</stp>
        <stp>DY997</stp>
        <stp>[DPM - Securities Master List (BBG Linked).xlsx]Equities!R156C47</stp>
        <tr r="AU156" s="2"/>
        <tr r="AU156" s="2"/>
        <tr r="AU156" s="2"/>
      </tp>
      <tp>
        <v>48.630899999999997</v>
        <stp/>
        <stp>##V3_BDPV12</stp>
        <stp>BMY US Equity</stp>
        <stp>PX_Last</stp>
        <stp>[DPM - Securities Master List (BBG Linked).xlsx]Equities!R76C17</stp>
        <tr r="Q76" s="2"/>
      </tp>
      <tp>
        <v>48.630899999999997</v>
        <stp/>
        <stp>##V3_BDPV12</stp>
        <stp>BMY US Equity</stp>
        <stp>PX_last</stp>
        <stp>[DPM - Securities Master List (BBG Linked).xlsx]Equities!R76C17</stp>
        <tr r="Q76" s="2"/>
      </tp>
      <tp t="s">
        <v>Y</v>
        <stp/>
        <stp>##V3_BDPV12</stp>
        <stp>INTC US Equity</stp>
        <stp>DY997</stp>
        <stp>[DPM - Securities Master List (BBG Linked).xlsx]Equities!R146C47</stp>
        <tr r="AU146" s="2"/>
        <tr r="AU146" s="2"/>
        <tr r="AU146" s="2"/>
      </tp>
      <tp t="s">
        <v>Y</v>
        <stp/>
        <stp>##V3_BDPV12</stp>
        <stp>INTC US Equity</stp>
        <stp>DY997</stp>
        <stp>[DPM - Securities Master List (BBG Linked).xlsx]Equities!R147C47</stp>
        <tr r="AU147" s="2"/>
        <tr r="AU147" s="2"/>
        <tr r="AU147" s="2"/>
      </tp>
      <tp t="s">
        <v>Y</v>
        <stp/>
        <stp>##V3_BDPV12</stp>
        <stp>INTC US Equity</stp>
        <stp>DY997</stp>
        <stp>[DPM - Securities Master List (BBG Linked).xlsx]Equities!R148C47</stp>
        <tr r="AU148" s="2"/>
        <tr r="AU148" s="2"/>
        <tr r="AU148" s="2"/>
      </tp>
      <tp t="s">
        <v>#N/A Invalid Override</v>
        <stp/>
        <stp>##V3_BDPV12</stp>
        <stp>GB00BMBL1D50 isin</stp>
        <stp>YAS_BOND_YLD</stp>
        <stp>[DPM - Securities Master List (BBG Linked).xlsx]Bonds!R30C10</stp>
        <stp>YAS_YLD_FLAG=15</stp>
        <stp>user_local_trade_date</stp>
        <stp>45783</stp>
        <stp>Yas_bond_px</stp>
        <stp>#N/A Connection</stp>
        <tr r="J30" s="1"/>
      </tp>
      <tp t="s">
        <v>#N/A Invalid Override</v>
        <stp/>
        <stp>##V3_BDPV12</stp>
        <stp>GB00BMBL1D50 isin</stp>
        <stp>YAS_BOND_YLD</stp>
        <stp>[DPM - Securities Master List (BBG Linked).xlsx]Bonds!R21C10</stp>
        <stp>YAS_YLD_FLAG=15</stp>
        <stp>user_local_trade_date</stp>
        <stp>45783</stp>
        <stp>Yas_bond_px</stp>
        <stp>#N/A Connection</stp>
        <tr r="J21" s="1"/>
      </tp>
      <tp t="s">
        <v>#N/A Invalid Override</v>
        <stp/>
        <stp>##V3_BDPV12</stp>
        <stp>GB00BMBL1D50 isin</stp>
        <stp>YAS_BOND_YLD</stp>
        <stp>[DPM - Securities Master List (BBG Linked).xlsx]Bonds!R67C10</stp>
        <stp>YAS_YLD_FLAG=15</stp>
        <stp>user_local_trade_date</stp>
        <stp>45783</stp>
        <stp>Yas_bond_px</stp>
        <stp>#N/A Connection</stp>
        <tr r="J67" s="1"/>
      </tp>
      <tp t="s">
        <v>#N/A Invalid Override</v>
        <stp/>
        <stp>##V3_BDPV12</stp>
        <stp>GB00BMBL1D50 isin</stp>
        <stp>YAS_BOND_YLD</stp>
        <stp>[DPM - Securities Master List (BBG Linked).xlsx]Bonds!R43C10</stp>
        <stp>YAS_YLD_FLAG=15</stp>
        <stp>user_local_trade_date</stp>
        <stp>45783</stp>
        <stp>Yas_bond_px</stp>
        <stp>#N/A Connection</stp>
        <tr r="J43" s="1"/>
      </tp>
      <tp>
        <v>19579.626828829387</v>
        <stp/>
        <stp>##V3_BDPV12</stp>
        <stp>ABF LN Equity</stp>
        <stp>CRNCY_ADJ_MKT_CAP</stp>
        <stp>[DPM - Securities Master List (BBG Linked).xlsx]Equities!R35C9</stp>
        <stp>EQY_FUND_CRNCY=USD</stp>
        <tr r="I35" s="2"/>
      </tp>
      <tp t="s">
        <v>#N/A Field Not Applicable</v>
        <stp/>
        <stp>##V3_BDPV12</stp>
        <stp>NSRGY US Equity</stp>
        <stp>RR957</stp>
        <stp>[DPM - Securities Master List (BBG Linked).xlsx]Equities!R223C14</stp>
        <tr r="N223" s="2"/>
        <tr r="N223" s="2"/>
      </tp>
      <tp t="s">
        <v>#N/A Invalid Override</v>
        <stp/>
        <stp>##V3_BDPV12</stp>
        <stp>FR001400BBL2 isin</stp>
        <stp>YAS_BOND_YLD</stp>
        <stp>[DPM - Securities Master List (BBG Linked).xlsx]Bonds!R90C10</stp>
        <stp>YAS_YLD_FLAG=15</stp>
        <stp>user_local_trade_date</stp>
        <stp>45783</stp>
        <stp>Yas_bond_px</stp>
        <stp>#N/A Connection</stp>
        <tr r="J90" s="1"/>
      </tp>
      <tp>
        <v>6.6167292275430754</v>
        <stp/>
        <stp>##V3_BDPV12</stp>
        <stp>VOW3 GY Equity</stp>
        <stp>DV013</stp>
        <stp>[DPM - Securities Master List (BBG Linked).xlsx]Equities!R289C10</stp>
        <tr r="J289" s="2"/>
      </tp>
      <tp>
        <v>6.6167292275430754</v>
        <stp/>
        <stp>##V3_BDPV12</stp>
        <stp>VOW3 GY Equity</stp>
        <stp>DV013</stp>
        <stp>[DPM - Securities Master List (BBG Linked).xlsx]Equities!R290C10</stp>
        <tr r="J290" s="2"/>
      </tp>
      <tp>
        <v>6.6167292275430754</v>
        <stp/>
        <stp>##V3_BDPV12</stp>
        <stp>VOW3 GY Equity</stp>
        <stp>DV013</stp>
        <stp>[DPM - Securities Master List (BBG Linked).xlsx]Equities!R291C10</stp>
        <tr r="J291" s="2"/>
      </tp>
      <tp>
        <v>6.6167292275430754</v>
        <stp/>
        <stp>##V3_BDPV12</stp>
        <stp>VOW3 GY Equity</stp>
        <stp>DV013</stp>
        <stp>[DPM - Securities Master List (BBG Linked).xlsx]Equities!R292C10</stp>
        <tr r="J292" s="2"/>
      </tp>
      <tp>
        <v>6.6167292275430754</v>
        <stp/>
        <stp>##V3_BDPV12</stp>
        <stp>VOW3 GY Equity</stp>
        <stp>DV013</stp>
        <stp>[DPM - Securities Master List (BBG Linked).xlsx]Equities!R293C10</stp>
        <tr r="J293" s="2"/>
      </tp>
      <tp>
        <v>3.7134909596662031</v>
        <stp/>
        <stp>##V3_BDPV12</stp>
        <stp>VOW3 GY Equity</stp>
        <stp>EE010</stp>
        <stp>[DPM - Securities Master List (BBG Linked).xlsx]Equities!R290C12</stp>
        <tr r="L290" s="2"/>
        <tr r="L290" s="2"/>
        <tr r="L290" s="2"/>
      </tp>
      <tp>
        <v>3.7134909596662031</v>
        <stp/>
        <stp>##V3_BDPV12</stp>
        <stp>VOW3 GY Equity</stp>
        <stp>EE010</stp>
        <stp>[DPM - Securities Master List (BBG Linked).xlsx]Equities!R291C12</stp>
        <tr r="L291" s="2"/>
        <tr r="L291" s="2"/>
        <tr r="L291" s="2"/>
      </tp>
      <tp>
        <v>3.7134909596662031</v>
        <stp/>
        <stp>##V3_BDPV12</stp>
        <stp>VOW3 GY Equity</stp>
        <stp>EE010</stp>
        <stp>[DPM - Securities Master List (BBG Linked).xlsx]Equities!R292C12</stp>
        <tr r="L292" s="2"/>
        <tr r="L292" s="2"/>
        <tr r="L292" s="2"/>
      </tp>
      <tp>
        <v>3.7134909596662031</v>
        <stp/>
        <stp>##V3_BDPV12</stp>
        <stp>VOW3 GY Equity</stp>
        <stp>EE010</stp>
        <stp>[DPM - Securities Master List (BBG Linked).xlsx]Equities!R293C12</stp>
        <tr r="L293" s="2"/>
        <tr r="L293" s="2"/>
        <tr r="L293" s="2"/>
      </tp>
      <tp>
        <v>3.7134909596662031</v>
        <stp/>
        <stp>##V3_BDPV12</stp>
        <stp>VOW3 GY Equity</stp>
        <stp>EE010</stp>
        <stp>[DPM - Securities Master List (BBG Linked).xlsx]Equities!R289C12</stp>
        <tr r="L289" s="2"/>
        <tr r="L289" s="2"/>
        <tr r="L289" s="2"/>
      </tp>
      <tp>
        <v>14</v>
        <stp/>
        <stp>##V3_BDPV12</stp>
        <stp>GOOGL US Equity</stp>
        <stp>TOT_HOLD_REC</stp>
        <stp>[DPM - Securities Master List (BBG Linked).xlsx]Equities!R140C35</stp>
        <tr r="AI140" s="2"/>
      </tp>
      <tp>
        <v>14</v>
        <stp/>
        <stp>##V3_BDPV12</stp>
        <stp>GOOGL US Equity</stp>
        <stp>TOT_HOLD_REC</stp>
        <stp>[DPM - Securities Master List (BBG Linked).xlsx]Equities!R141C35</stp>
        <tr r="AI141" s="2"/>
      </tp>
      <tp>
        <v>14</v>
        <stp/>
        <stp>##V3_BDPV12</stp>
        <stp>GOOGL US Equity</stp>
        <stp>TOT_HOLD_REC</stp>
        <stp>[DPM - Securities Master List (BBG Linked).xlsx]Equities!R130C35</stp>
        <tr r="AI130" s="2"/>
      </tp>
      <tp>
        <v>14</v>
        <stp/>
        <stp>##V3_BDPV12</stp>
        <stp>GOOGL US Equity</stp>
        <stp>TOT_HOLD_REC</stp>
        <stp>[DPM - Securities Master List (BBG Linked).xlsx]Equities!R131C35</stp>
        <tr r="AI131" s="2"/>
      </tp>
      <tp>
        <v>14</v>
        <stp/>
        <stp>##V3_BDPV12</stp>
        <stp>GOOGL US Equity</stp>
        <stp>TOT_HOLD_REC</stp>
        <stp>[DPM - Securities Master List (BBG Linked).xlsx]Equities!R132C35</stp>
        <tr r="AI132" s="2"/>
      </tp>
      <tp>
        <v>14</v>
        <stp/>
        <stp>##V3_BDPV12</stp>
        <stp>GOOGL US Equity</stp>
        <stp>TOT_HOLD_REC</stp>
        <stp>[DPM - Securities Master List (BBG Linked).xlsx]Equities!R133C35</stp>
        <tr r="AI133" s="2"/>
      </tp>
      <tp>
        <v>14</v>
        <stp/>
        <stp>##V3_BDPV12</stp>
        <stp>GOOGL US Equity</stp>
        <stp>TOT_HOLD_REC</stp>
        <stp>[DPM - Securities Master List (BBG Linked).xlsx]Equities!R134C35</stp>
        <tr r="AI134" s="2"/>
      </tp>
      <tp>
        <v>14</v>
        <stp/>
        <stp>##V3_BDPV12</stp>
        <stp>GOOGL US Equity</stp>
        <stp>TOT_HOLD_REC</stp>
        <stp>[DPM - Securities Master List (BBG Linked).xlsx]Equities!R135C35</stp>
        <tr r="AI135" s="2"/>
      </tp>
      <tp>
        <v>14</v>
        <stp/>
        <stp>##V3_BDPV12</stp>
        <stp>GOOGL US Equity</stp>
        <stp>TOT_HOLD_REC</stp>
        <stp>[DPM - Securities Master List (BBG Linked).xlsx]Equities!R136C35</stp>
        <tr r="AI136" s="2"/>
      </tp>
      <tp>
        <v>14</v>
        <stp/>
        <stp>##V3_BDPV12</stp>
        <stp>GOOGL US Equity</stp>
        <stp>TOT_HOLD_REC</stp>
        <stp>[DPM - Securities Master List (BBG Linked).xlsx]Equities!R137C35</stp>
        <tr r="AI137" s="2"/>
      </tp>
      <tp>
        <v>14</v>
        <stp/>
        <stp>##V3_BDPV12</stp>
        <stp>GOOGL US Equity</stp>
        <stp>TOT_HOLD_REC</stp>
        <stp>[DPM - Securities Master List (BBG Linked).xlsx]Equities!R138C35</stp>
        <tr r="AI138" s="2"/>
      </tp>
      <tp>
        <v>14</v>
        <stp/>
        <stp>##V3_BDPV12</stp>
        <stp>GOOGL US Equity</stp>
        <stp>TOT_HOLD_REC</stp>
        <stp>[DPM - Securities Master List (BBG Linked).xlsx]Equities!R139C35</stp>
        <tr r="AI139" s="2"/>
      </tp>
      <tp>
        <v>14</v>
        <stp/>
        <stp>##V3_BDPV12</stp>
        <stp>GOOGL US Equity</stp>
        <stp>TOT_HOLD_REC</stp>
        <stp>[DPM - Securities Master List (BBG Linked).xlsx]Equities!R127C35</stp>
        <tr r="AI127" s="2"/>
      </tp>
      <tp>
        <v>14</v>
        <stp/>
        <stp>##V3_BDPV12</stp>
        <stp>GOOGL US Equity</stp>
        <stp>TOT_HOLD_REC</stp>
        <stp>[DPM - Securities Master List (BBG Linked).xlsx]Equities!R128C35</stp>
        <tr r="AI128" s="2"/>
      </tp>
      <tp>
        <v>14</v>
        <stp/>
        <stp>##V3_BDPV12</stp>
        <stp>GOOGL US Equity</stp>
        <stp>TOT_HOLD_REC</stp>
        <stp>[DPM - Securities Master List (BBG Linked).xlsx]Equities!R129C35</stp>
        <tr r="AI129" s="2"/>
      </tp>
      <tp>
        <v>14</v>
        <stp/>
        <stp>##V3_BDPV12</stp>
        <stp>GOOGL UQ Equity</stp>
        <stp>TOT_HOLD_REC</stp>
        <stp>[DPM - Securities Master List (BBG Linked).xlsx]Equities!R126C35</stp>
        <tr r="AI126" s="2"/>
      </tp>
      <tp t="s">
        <v>Information Technology</v>
        <stp/>
        <stp>##V3_BDPV12</stp>
        <stp>ADBE US Equity</stp>
        <stp>DX202</stp>
        <stp>[DPM - Securities Master List (BBG Linked).xlsx]Equities!R46C8</stp>
        <tr r="H46" s="2"/>
        <tr r="H46" s="2"/>
        <tr r="H46" s="2"/>
      </tp>
      <tp t="s">
        <v>Information Technology</v>
        <stp/>
        <stp>##V3_BDPV12</stp>
        <stp>ADBE US Equity</stp>
        <stp>DX202</stp>
        <stp>[DPM - Securities Master List (BBG Linked).xlsx]Equities!R36C8</stp>
        <tr r="H36" s="2"/>
        <tr r="H36" s="2"/>
        <tr r="H36" s="2"/>
      </tp>
      <tp t="s">
        <v>Information Technology</v>
        <stp/>
        <stp>##V3_BDPV12</stp>
        <stp>DELL US Equity</stp>
        <stp>DX202</stp>
        <stp>[DPM - Securities Master List (BBG Linked).xlsx]Equities!R93C8</stp>
        <tr r="H93" s="2"/>
        <tr r="H93" s="2"/>
        <tr r="H93" s="2"/>
      </tp>
      <tp t="s">
        <v>#N/A Invalid Field</v>
        <stp/>
        <stp>##V3_BDPV12</stp>
        <stp>REGN Equity</stp>
        <stp/>
        <stp>[DPM - Securities Master List (BBG Linked).xlsx]Equities!R240C29</stp>
        <tr r="AC240" s="2"/>
        <tr r="AC240" s="2"/>
      </tp>
      <tp>
        <v>0</v>
        <stp/>
        <stp>##V3_BDPV12</stp>
        <stp>GOOGL US Equity</stp>
        <stp>TOT_SELL_REC</stp>
        <stp>[DPM - Securities Master List (BBG Linked).xlsx]Equities!R140C36</stp>
        <tr r="AJ140" s="2"/>
      </tp>
      <tp>
        <v>0</v>
        <stp/>
        <stp>##V3_BDPV12</stp>
        <stp>GOOGL US Equity</stp>
        <stp>TOT_SELL_REC</stp>
        <stp>[DPM - Securities Master List (BBG Linked).xlsx]Equities!R141C36</stp>
        <tr r="AJ141" s="2"/>
      </tp>
      <tp>
        <v>0</v>
        <stp/>
        <stp>##V3_BDPV12</stp>
        <stp>GOOGL US Equity</stp>
        <stp>TOT_SELL_REC</stp>
        <stp>[DPM - Securities Master List (BBG Linked).xlsx]Equities!R138C36</stp>
        <tr r="AJ138" s="2"/>
      </tp>
      <tp>
        <v>0</v>
        <stp/>
        <stp>##V3_BDPV12</stp>
        <stp>GOOGL US Equity</stp>
        <stp>TOT_SELL_REC</stp>
        <stp>[DPM - Securities Master List (BBG Linked).xlsx]Equities!R139C36</stp>
        <tr r="AJ139" s="2"/>
      </tp>
      <tp>
        <v>0</v>
        <stp/>
        <stp>##V3_BDPV12</stp>
        <stp>GOOGL US Equity</stp>
        <stp>TOT_SELL_REC</stp>
        <stp>[DPM - Securities Master List (BBG Linked).xlsx]Equities!R132C36</stp>
        <tr r="AJ132" s="2"/>
      </tp>
      <tp>
        <v>0</v>
        <stp/>
        <stp>##V3_BDPV12</stp>
        <stp>GOOGL US Equity</stp>
        <stp>TOT_SELL_REC</stp>
        <stp>[DPM - Securities Master List (BBG Linked).xlsx]Equities!R133C36</stp>
        <tr r="AJ133" s="2"/>
      </tp>
      <tp>
        <v>0</v>
        <stp/>
        <stp>##V3_BDPV12</stp>
        <stp>GOOGL US Equity</stp>
        <stp>TOT_SELL_REC</stp>
        <stp>[DPM - Securities Master List (BBG Linked).xlsx]Equities!R130C36</stp>
        <tr r="AJ130" s="2"/>
      </tp>
      <tp>
        <v>0</v>
        <stp/>
        <stp>##V3_BDPV12</stp>
        <stp>GOOGL US Equity</stp>
        <stp>TOT_SELL_REC</stp>
        <stp>[DPM - Securities Master List (BBG Linked).xlsx]Equities!R131C36</stp>
        <tr r="AJ131" s="2"/>
      </tp>
      <tp>
        <v>0</v>
        <stp/>
        <stp>##V3_BDPV12</stp>
        <stp>GOOGL US Equity</stp>
        <stp>TOT_SELL_REC</stp>
        <stp>[DPM - Securities Master List (BBG Linked).xlsx]Equities!R136C36</stp>
        <tr r="AJ136" s="2"/>
      </tp>
      <tp>
        <v>0</v>
        <stp/>
        <stp>##V3_BDPV12</stp>
        <stp>GOOGL US Equity</stp>
        <stp>TOT_SELL_REC</stp>
        <stp>[DPM - Securities Master List (BBG Linked).xlsx]Equities!R137C36</stp>
        <tr r="AJ137" s="2"/>
      </tp>
      <tp>
        <v>0</v>
        <stp/>
        <stp>##V3_BDPV12</stp>
        <stp>GOOGL US Equity</stp>
        <stp>TOT_SELL_REC</stp>
        <stp>[DPM - Securities Master List (BBG Linked).xlsx]Equities!R134C36</stp>
        <tr r="AJ134" s="2"/>
      </tp>
      <tp>
        <v>0</v>
        <stp/>
        <stp>##V3_BDPV12</stp>
        <stp>GOOGL US Equity</stp>
        <stp>TOT_SELL_REC</stp>
        <stp>[DPM - Securities Master List (BBG Linked).xlsx]Equities!R135C36</stp>
        <tr r="AJ135" s="2"/>
      </tp>
      <tp>
        <v>0</v>
        <stp/>
        <stp>##V3_BDPV12</stp>
        <stp>GOOGL US Equity</stp>
        <stp>TOT_SELL_REC</stp>
        <stp>[DPM - Securities Master List (BBG Linked).xlsx]Equities!R128C36</stp>
        <tr r="AJ128" s="2"/>
      </tp>
      <tp>
        <v>0</v>
        <stp/>
        <stp>##V3_BDPV12</stp>
        <stp>GOOGL US Equity</stp>
        <stp>TOT_SELL_REC</stp>
        <stp>[DPM - Securities Master List (BBG Linked).xlsx]Equities!R129C36</stp>
        <tr r="AJ129" s="2"/>
      </tp>
      <tp>
        <v>0</v>
        <stp/>
        <stp>##V3_BDPV12</stp>
        <stp>GOOGL US Equity</stp>
        <stp>TOT_SELL_REC</stp>
        <stp>[DPM - Securities Master List (BBG Linked).xlsx]Equities!R127C36</stp>
        <tr r="AJ127" s="2"/>
      </tp>
      <tp>
        <v>0</v>
        <stp/>
        <stp>##V3_BDPV12</stp>
        <stp>GOOGL UQ Equity</stp>
        <stp>TOT_SELL_REC</stp>
        <stp>[DPM - Securities Master List (BBG Linked).xlsx]Equities!R126C36</stp>
        <tr r="AJ126" s="2"/>
      </tp>
      <tp t="s">
        <v>Health Care</v>
        <stp/>
        <stp>##V3_BDPV12</stp>
        <stp>BMRN US Equity</stp>
        <stp>DX202</stp>
        <stp>[DPM - Securities Master List (BBG Linked).xlsx]Equities!R75C8</stp>
        <tr r="H75" s="2"/>
        <tr r="H75" s="2"/>
        <tr r="H75" s="2"/>
      </tp>
      <tp t="s">
        <v>Health Care</v>
        <stp/>
        <stp>##V3_BDPV12</stp>
        <stp>BMRN US Equity</stp>
        <stp>DX202</stp>
        <stp>[DPM - Securities Master List (BBG Linked).xlsx]Equities!R65C8</stp>
        <tr r="H65" s="2"/>
        <tr r="H65" s="2"/>
        <tr r="H65" s="2"/>
      </tp>
      <tp t="s">
        <v>USD</v>
        <stp/>
        <stp>##V3_BDPV12</stp>
        <stp>DELL US Equity</stp>
        <stp>CRNCY</stp>
        <stp>[DPM - Securities Master List (BBG Linked).xlsx]Equities!R99C6</stp>
        <tr r="F99" s="2"/>
      </tp>
      <tp>
        <v>12.31456</v>
        <stp/>
        <stp>##V3_BDPV12</stp>
        <stp>GOOGL UQ Equity</stp>
        <stp>PR061</stp>
        <stp>[DPM - Securities Master List (BBG Linked).xlsx]Equities!R126C40</stp>
        <tr r="AN126" s="2"/>
      </tp>
      <tp>
        <v>5.7069755872214918</v>
        <stp/>
        <stp>##V3_BDPV12</stp>
        <stp>GOOGL US Equity</stp>
        <stp>RR041</stp>
        <stp>[DPM - Securities Master List (BBG Linked).xlsx]Equities!R140C33</stp>
        <tr r="AG140" s="2"/>
        <tr r="AG140" s="2"/>
        <tr r="AG140" s="2"/>
      </tp>
      <tp>
        <v>5.7069755872214918</v>
        <stp/>
        <stp>##V3_BDPV12</stp>
        <stp>GOOGL US Equity</stp>
        <stp>RR041</stp>
        <stp>[DPM - Securities Master List (BBG Linked).xlsx]Equities!R141C33</stp>
        <tr r="AG141" s="2"/>
        <tr r="AG141" s="2"/>
        <tr r="AG141" s="2"/>
      </tp>
      <tp>
        <v>5.7069755872214918</v>
        <stp/>
        <stp>##V3_BDPV12</stp>
        <stp>GOOGL US Equity</stp>
        <stp>RR041</stp>
        <stp>[DPM - Securities Master List (BBG Linked).xlsx]Equities!R127C33</stp>
        <tr r="AG127" s="2"/>
        <tr r="AG127" s="2"/>
        <tr r="AG127" s="2"/>
      </tp>
      <tp>
        <v>5.7069755872214918</v>
        <stp/>
        <stp>##V3_BDPV12</stp>
        <stp>GOOGL US Equity</stp>
        <stp>RR041</stp>
        <stp>[DPM - Securities Master List (BBG Linked).xlsx]Equities!R128C33</stp>
        <tr r="AG128" s="2"/>
        <tr r="AG128" s="2"/>
        <tr r="AG128" s="2"/>
      </tp>
      <tp>
        <v>5.7069755872214918</v>
        <stp/>
        <stp>##V3_BDPV12</stp>
        <stp>GOOGL US Equity</stp>
        <stp>RR041</stp>
        <stp>[DPM - Securities Master List (BBG Linked).xlsx]Equities!R129C33</stp>
        <tr r="AG129" s="2"/>
        <tr r="AG129" s="2"/>
        <tr r="AG129" s="2"/>
      </tp>
      <tp>
        <v>5.7069755872214918</v>
        <stp/>
        <stp>##V3_BDPV12</stp>
        <stp>GOOGL US Equity</stp>
        <stp>RR041</stp>
        <stp>[DPM - Securities Master List (BBG Linked).xlsx]Equities!R132C33</stp>
        <tr r="AG132" s="2"/>
        <tr r="AG132" s="2"/>
        <tr r="AG132" s="2"/>
      </tp>
      <tp>
        <v>5.7069755872214918</v>
        <stp/>
        <stp>##V3_BDPV12</stp>
        <stp>GOOGL US Equity</stp>
        <stp>RR041</stp>
        <stp>[DPM - Securities Master List (BBG Linked).xlsx]Equities!R133C33</stp>
        <tr r="AG133" s="2"/>
        <tr r="AG133" s="2"/>
        <tr r="AG133" s="2"/>
      </tp>
      <tp>
        <v>5.7069755872214918</v>
        <stp/>
        <stp>##V3_BDPV12</stp>
        <stp>GOOGL US Equity</stp>
        <stp>RR041</stp>
        <stp>[DPM - Securities Master List (BBG Linked).xlsx]Equities!R130C33</stp>
        <tr r="AG130" s="2"/>
        <tr r="AG130" s="2"/>
        <tr r="AG130" s="2"/>
      </tp>
      <tp>
        <v>5.7069755872214918</v>
        <stp/>
        <stp>##V3_BDPV12</stp>
        <stp>GOOGL US Equity</stp>
        <stp>RR041</stp>
        <stp>[DPM - Securities Master List (BBG Linked).xlsx]Equities!R131C33</stp>
        <tr r="AG131" s="2"/>
        <tr r="AG131" s="2"/>
        <tr r="AG131" s="2"/>
      </tp>
      <tp>
        <v>5.7069755872214918</v>
        <stp/>
        <stp>##V3_BDPV12</stp>
        <stp>GOOGL US Equity</stp>
        <stp>RR041</stp>
        <stp>[DPM - Securities Master List (BBG Linked).xlsx]Equities!R136C33</stp>
        <tr r="AG136" s="2"/>
        <tr r="AG136" s="2"/>
        <tr r="AG136" s="2"/>
      </tp>
      <tp>
        <v>5.7069755872214918</v>
        <stp/>
        <stp>##V3_BDPV12</stp>
        <stp>GOOGL US Equity</stp>
        <stp>RR041</stp>
        <stp>[DPM - Securities Master List (BBG Linked).xlsx]Equities!R137C33</stp>
        <tr r="AG137" s="2"/>
        <tr r="AG137" s="2"/>
        <tr r="AG137" s="2"/>
      </tp>
      <tp>
        <v>5.7069755872214918</v>
        <stp/>
        <stp>##V3_BDPV12</stp>
        <stp>GOOGL US Equity</stp>
        <stp>RR041</stp>
        <stp>[DPM - Securities Master List (BBG Linked).xlsx]Equities!R134C33</stp>
        <tr r="AG134" s="2"/>
        <tr r="AG134" s="2"/>
        <tr r="AG134" s="2"/>
      </tp>
      <tp>
        <v>5.7069755872214918</v>
        <stp/>
        <stp>##V3_BDPV12</stp>
        <stp>GOOGL US Equity</stp>
        <stp>RR041</stp>
        <stp>[DPM - Securities Master List (BBG Linked).xlsx]Equities!R135C33</stp>
        <tr r="AG135" s="2"/>
        <tr r="AG135" s="2"/>
        <tr r="AG135" s="2"/>
      </tp>
      <tp>
        <v>5.7069755872214918</v>
        <stp/>
        <stp>##V3_BDPV12</stp>
        <stp>GOOGL US Equity</stp>
        <stp>RR041</stp>
        <stp>[DPM - Securities Master List (BBG Linked).xlsx]Equities!R138C33</stp>
        <tr r="AG138" s="2"/>
        <tr r="AG138" s="2"/>
        <tr r="AG138" s="2"/>
      </tp>
      <tp>
        <v>5.7069755872214918</v>
        <stp/>
        <stp>##V3_BDPV12</stp>
        <stp>GOOGL US Equity</stp>
        <stp>RR041</stp>
        <stp>[DPM - Securities Master List (BBG Linked).xlsx]Equities!R139C33</stp>
        <tr r="AG139" s="2"/>
        <tr r="AG139" s="2"/>
        <tr r="AG139" s="2"/>
      </tp>
      <tp>
        <v>-14.650320000000001</v>
        <stp/>
        <stp>##V3_BDPV12</stp>
        <stp>GOOGL UQ Equity</stp>
        <stp>PR064</stp>
        <stp>[DPM - Securities Master List (BBG Linked).xlsx]Equities!R126C41</stp>
        <tr r="AO126" s="2"/>
      </tp>
      <tp t="s">
        <v>Y</v>
        <stp/>
        <stp>##V3_BDPV12</stp>
        <stp>INTC US Equity</stp>
        <stp>DY784</stp>
        <stp>[DPM - Securities Master List (BBG Linked).xlsx]Equities!R148C48</stp>
        <tr r="AV148" s="2"/>
        <tr r="AV148" s="2"/>
        <tr r="AV148" s="2"/>
      </tp>
      <tp t="s">
        <v>Y</v>
        <stp/>
        <stp>##V3_BDPV12</stp>
        <stp>INTC US Equity</stp>
        <stp>DY784</stp>
        <stp>[DPM - Securities Master List (BBG Linked).xlsx]Equities!R146C48</stp>
        <tr r="AV146" s="2"/>
        <tr r="AV146" s="2"/>
        <tr r="AV146" s="2"/>
      </tp>
      <tp t="s">
        <v>Y</v>
        <stp/>
        <stp>##V3_BDPV12</stp>
        <stp>INTC US Equity</stp>
        <stp>DY784</stp>
        <stp>[DPM - Securities Master List (BBG Linked).xlsx]Equities!R147C48</stp>
        <tr r="AV147" s="2"/>
        <tr r="AV147" s="2"/>
        <tr r="AV147" s="2"/>
      </tp>
      <tp t="s">
        <v>Y</v>
        <stp/>
        <stp>##V3_BDPV12</stp>
        <stp>META US Equity</stp>
        <stp>DY784</stp>
        <stp>[DPM - Securities Master List (BBG Linked).xlsx]Equities!R156C48</stp>
        <tr r="AV156" s="2"/>
        <tr r="AV156" s="2"/>
        <tr r="AV156" s="2"/>
      </tp>
      <tp t="s">
        <v>Equity</v>
        <stp/>
        <stp>##V3_BDPV12</stp>
        <stp>TSCO LN Equity</stp>
        <stp>EX028</stp>
        <stp>[DPM - Securities Master List (BBG Linked).xlsx]Equities!R269C30</stp>
        <tr r="AD269" s="2"/>
        <tr r="AD269" s="2"/>
        <tr r="AD269" s="2"/>
      </tp>
      <tp t="s">
        <v>Equity</v>
        <stp/>
        <stp>##V3_BDPV12</stp>
        <stp>TSCO LN Equity</stp>
        <stp>EX028</stp>
        <stp>[DPM - Securities Master List (BBG Linked).xlsx]Equities!R268C30</stp>
        <tr r="AD268" s="2"/>
        <tr r="AD268" s="2"/>
        <tr r="AD268" s="2"/>
      </tp>
      <tp t="s">
        <v>Equity</v>
        <stp/>
        <stp>##V3_BDPV12</stp>
        <stp>TSCO LN Equity</stp>
        <stp>EX028</stp>
        <stp>[DPM - Securities Master List (BBG Linked).xlsx]Equities!R263C30</stp>
        <tr r="AD263" s="2"/>
        <tr r="AD263" s="2"/>
        <tr r="AD263" s="2"/>
      </tp>
      <tp t="s">
        <v>Equity</v>
        <stp/>
        <stp>##V3_BDPV12</stp>
        <stp>TSCO LN Equity</stp>
        <stp>EX028</stp>
        <stp>[DPM - Securities Master List (BBG Linked).xlsx]Equities!R262C30</stp>
        <tr r="AD262" s="2"/>
        <tr r="AD262" s="2"/>
        <tr r="AD262" s="2"/>
      </tp>
      <tp t="s">
        <v>Equity</v>
        <stp/>
        <stp>##V3_BDPV12</stp>
        <stp>TSCO LN Equity</stp>
        <stp>EX028</stp>
        <stp>[DPM - Securities Master List (BBG Linked).xlsx]Equities!R267C30</stp>
        <tr r="AD267" s="2"/>
        <tr r="AD267" s="2"/>
        <tr r="AD267" s="2"/>
      </tp>
      <tp t="s">
        <v>Equity</v>
        <stp/>
        <stp>##V3_BDPV12</stp>
        <stp>TSCO LN Equity</stp>
        <stp>EX028</stp>
        <stp>[DPM - Securities Master List (BBG Linked).xlsx]Equities!R266C30</stp>
        <tr r="AD266" s="2"/>
        <tr r="AD266" s="2"/>
        <tr r="AD266" s="2"/>
      </tp>
      <tp t="s">
        <v>Equity</v>
        <stp/>
        <stp>##V3_BDPV12</stp>
        <stp>TSCO LN Equity</stp>
        <stp>EX028</stp>
        <stp>[DPM - Securities Master List (BBG Linked).xlsx]Equities!R265C30</stp>
        <tr r="AD265" s="2"/>
        <tr r="AD265" s="2"/>
        <tr r="AD265" s="2"/>
      </tp>
      <tp t="s">
        <v>Equity</v>
        <stp/>
        <stp>##V3_BDPV12</stp>
        <stp>TSCO LN Equity</stp>
        <stp>EX028</stp>
        <stp>[DPM - Securities Master List (BBG Linked).xlsx]Equities!R264C30</stp>
        <tr r="AD264" s="2"/>
        <tr r="AD264" s="2"/>
        <tr r="AD264" s="2"/>
      </tp>
      <tp t="s">
        <v>Equity</v>
        <stp/>
        <stp>##V3_BDPV12</stp>
        <stp>TSCO LN Equity</stp>
        <stp>EX028</stp>
        <stp>[DPM - Securities Master List (BBG Linked).xlsx]Equities!R273C30</stp>
        <tr r="AD273" s="2"/>
        <tr r="AD273" s="2"/>
        <tr r="AD273" s="2"/>
      </tp>
      <tp t="s">
        <v>Equity</v>
        <stp/>
        <stp>##V3_BDPV12</stp>
        <stp>TSCO LN Equity</stp>
        <stp>EX028</stp>
        <stp>[DPM - Securities Master List (BBG Linked).xlsx]Equities!R272C30</stp>
        <tr r="AD272" s="2"/>
        <tr r="AD272" s="2"/>
        <tr r="AD272" s="2"/>
      </tp>
      <tp t="s">
        <v>Equity</v>
        <stp/>
        <stp>##V3_BDPV12</stp>
        <stp>TSCO LN Equity</stp>
        <stp>EX028</stp>
        <stp>[DPM - Securities Master List (BBG Linked).xlsx]Equities!R271C30</stp>
        <tr r="AD271" s="2"/>
        <tr r="AD271" s="2"/>
        <tr r="AD271" s="2"/>
      </tp>
      <tp t="s">
        <v>Equity</v>
        <stp/>
        <stp>##V3_BDPV12</stp>
        <stp>TSCO LN Equity</stp>
        <stp>EX028</stp>
        <stp>[DPM - Securities Master List (BBG Linked).xlsx]Equities!R270C30</stp>
        <tr r="AD270" s="2"/>
        <tr r="AD270" s="2"/>
        <tr r="AD270" s="2"/>
      </tp>
      <tp t="s">
        <v>Equity</v>
        <stp/>
        <stp>##V3_BDPV12</stp>
        <stp>TSCO LN Equity</stp>
        <stp>EX028</stp>
        <stp>[DPM - Securities Master List (BBG Linked).xlsx]Equities!R275C30</stp>
        <tr r="AD275" s="2"/>
        <tr r="AD275" s="2"/>
        <tr r="AD275" s="2"/>
      </tp>
      <tp t="s">
        <v>Equity</v>
        <stp/>
        <stp>##V3_BDPV12</stp>
        <stp>TSCO LN Equity</stp>
        <stp>EX028</stp>
        <stp>[DPM - Securities Master List (BBG Linked).xlsx]Equities!R274C30</stp>
        <tr r="AD274" s="2"/>
        <tr r="AD274" s="2"/>
        <tr r="AD274" s="2"/>
      </tp>
      <tp t="s">
        <v>#N/A Invalid Field</v>
        <stp/>
        <stp>##V3_BDPV12</stp>
        <stp>INTC US Equity</stp>
        <stp/>
        <stp>[DPM - Securities Master List (BBG Linked).xlsx]Equities!R146C29</stp>
        <tr r="AC146" s="2"/>
        <tr r="AC146" s="2"/>
      </tp>
      <tp t="s">
        <v>#N/A Invalid Field</v>
        <stp/>
        <stp>##V3_BDPV12</stp>
        <stp>INTC US Equity</stp>
        <stp/>
        <stp>[DPM - Securities Master List (BBG Linked).xlsx]Equities!R147C29</stp>
        <tr r="AC147" s="2"/>
        <tr r="AC147" s="2"/>
      </tp>
      <tp t="s">
        <v>#N/A Invalid Field</v>
        <stp/>
        <stp>##V3_BDPV12</stp>
        <stp>INTC US Equity</stp>
        <stp/>
        <stp>[DPM - Securities Master List (BBG Linked).xlsx]Equities!R148C29</stp>
        <tr r="AC148" s="2"/>
        <tr r="AC148" s="2"/>
      </tp>
      <tp>
        <v>45.051843979779413</v>
        <stp/>
        <stp>##V3_BDPV12</stp>
        <stp>NSRGY US Equity</stp>
        <stp>RR041</stp>
        <stp>[DPM - Securities Master List (BBG Linked).xlsx]Equities!R223C33</stp>
        <tr r="AG223" s="2"/>
        <tr r="AG223" s="2"/>
        <tr r="AG223" s="2"/>
      </tp>
      <tp t="s">
        <v>USD</v>
        <stp/>
        <stp>##V3_BDPV12</stp>
        <stp>GOOGL US Equity</stp>
        <stp>CRNCY</stp>
        <stp>[DPM - Securities Master List (BBG Linked).xlsx]Equities!R128C6</stp>
        <tr r="F128" s="2"/>
      </tp>
      <tp t="s">
        <v>USD</v>
        <stp/>
        <stp>##V3_BDPV12</stp>
        <stp>GOOGL US Equity</stp>
        <stp>CRNCY</stp>
        <stp>[DPM - Securities Master List (BBG Linked).xlsx]Equities!R138C6</stp>
        <tr r="F138" s="2"/>
      </tp>
      <tp>
        <v>9.8514289999999995</v>
        <stp/>
        <stp>##V3_BDPV12</stp>
        <stp>VOW3 GY Equity</stp>
        <stp>PR061</stp>
        <stp>[DPM - Securities Master List (BBG Linked).xlsx]Equities!R289C40</stp>
        <tr r="AN289" s="2"/>
      </tp>
      <tp>
        <v>9.8514289999999995</v>
        <stp/>
        <stp>##V3_BDPV12</stp>
        <stp>VOW3 GY Equity</stp>
        <stp>PR061</stp>
        <stp>[DPM - Securities Master List (BBG Linked).xlsx]Equities!R290C40</stp>
        <tr r="AN290" s="2"/>
      </tp>
      <tp>
        <v>9.8514289999999995</v>
        <stp/>
        <stp>##V3_BDPV12</stp>
        <stp>VOW3 GY Equity</stp>
        <stp>PR061</stp>
        <stp>[DPM - Securities Master List (BBG Linked).xlsx]Equities!R291C40</stp>
        <tr r="AN291" s="2"/>
      </tp>
      <tp>
        <v>9.8514289999999995</v>
        <stp/>
        <stp>##V3_BDPV12</stp>
        <stp>VOW3 GY Equity</stp>
        <stp>PR061</stp>
        <stp>[DPM - Securities Master List (BBG Linked).xlsx]Equities!R292C40</stp>
        <tr r="AN292" s="2"/>
      </tp>
      <tp>
        <v>9.8514289999999995</v>
        <stp/>
        <stp>##V3_BDPV12</stp>
        <stp>VOW3 GY Equity</stp>
        <stp>PR061</stp>
        <stp>[DPM - Securities Master List (BBG Linked).xlsx]Equities!R293C40</stp>
        <tr r="AN293" s="2"/>
      </tp>
      <tp>
        <v>0.229404</v>
        <stp/>
        <stp>##V3_BDPV12</stp>
        <stp>VOW3 GY Equity</stp>
        <stp>PR064</stp>
        <stp>[DPM - Securities Master List (BBG Linked).xlsx]Equities!R290C41</stp>
        <tr r="AO290" s="2"/>
      </tp>
      <tp>
        <v>0.229404</v>
        <stp/>
        <stp>##V3_BDPV12</stp>
        <stp>VOW3 GY Equity</stp>
        <stp>PR064</stp>
        <stp>[DPM - Securities Master List (BBG Linked).xlsx]Equities!R291C41</stp>
        <tr r="AO291" s="2"/>
      </tp>
      <tp>
        <v>0.229404</v>
        <stp/>
        <stp>##V3_BDPV12</stp>
        <stp>VOW3 GY Equity</stp>
        <stp>PR064</stp>
        <stp>[DPM - Securities Master List (BBG Linked).xlsx]Equities!R292C41</stp>
        <tr r="AO292" s="2"/>
      </tp>
      <tp>
        <v>0.229404</v>
        <stp/>
        <stp>##V3_BDPV12</stp>
        <stp>VOW3 GY Equity</stp>
        <stp>PR064</stp>
        <stp>[DPM - Securities Master List (BBG Linked).xlsx]Equities!R293C41</stp>
        <tr r="AO293" s="2"/>
      </tp>
      <tp>
        <v>0.229404</v>
        <stp/>
        <stp>##V3_BDPV12</stp>
        <stp>VOW3 GY Equity</stp>
        <stp>PR064</stp>
        <stp>[DPM - Securities Master List (BBG Linked).xlsx]Equities!R289C41</stp>
        <tr r="AO289" s="2"/>
      </tp>
      <tp t="s">
        <v>Information Technology</v>
        <stp/>
        <stp>##V3_BDPV12</stp>
        <stp>ADBE US Equity</stp>
        <stp>DX202</stp>
        <stp>[DPM - Securities Master List (BBG Linked).xlsx]Equities!R41C8</stp>
        <tr r="H41" s="2"/>
        <tr r="H41" s="2"/>
        <tr r="H41" s="2"/>
      </tp>
      <tp t="s">
        <v>Information Technology</v>
        <stp/>
        <stp>##V3_BDPV12</stp>
        <stp>DELL US Equity</stp>
        <stp>DX202</stp>
        <stp>[DPM - Securities Master List (BBG Linked).xlsx]Equities!R94C8</stp>
        <tr r="H94" s="2"/>
        <tr r="H94" s="2"/>
        <tr r="H94" s="2"/>
      </tp>
      <tp t="s">
        <v>Health Care</v>
        <stp/>
        <stp>##V3_BDPV12</stp>
        <stp>BIIB US Equity</stp>
        <stp>DX202</stp>
        <stp>[DPM - Securities Master List (BBG Linked).xlsx]Equities!R62C8</stp>
        <tr r="H62" s="2"/>
        <tr r="H62" s="2"/>
        <tr r="H62" s="2"/>
      </tp>
      <tp t="s">
        <v>Health Care</v>
        <stp/>
        <stp>##V3_BDPV12</stp>
        <stp>BMRN US Equity</stp>
        <stp>DX202</stp>
        <stp>[DPM - Securities Master List (BBG Linked).xlsx]Equities!R72C8</stp>
        <tr r="H72" s="2"/>
        <tr r="H72" s="2"/>
        <tr r="H72" s="2"/>
      </tp>
      <tp t="s">
        <v>Y</v>
        <stp/>
        <stp>##V3_BDPV12</stp>
        <stp>2020 HK Equity</stp>
        <stp>DY997</stp>
        <stp>[DPM - Securities Master List (BBG Linked).xlsx]Equities!R4C47</stp>
        <tr r="AU4" s="2"/>
        <tr r="AU4" s="2"/>
        <tr r="AU4" s="2"/>
      </tp>
      <tp t="s">
        <v>Y</v>
        <stp/>
        <stp>##V3_BDPV12</stp>
        <stp>2020 HK Equity</stp>
        <stp>DY997</stp>
        <stp>[DPM - Securities Master List (BBG Linked).xlsx]Equities!R5C47</stp>
        <tr r="AU5" s="2"/>
        <tr r="AU5" s="2"/>
        <tr r="AU5" s="2"/>
      </tp>
      <tp t="s">
        <v>Y</v>
        <stp/>
        <stp>##V3_BDPV12</stp>
        <stp>2020 HK Equity</stp>
        <stp>DY997</stp>
        <stp>[DPM - Securities Master List (BBG Linked).xlsx]Equities!R6C47</stp>
        <tr r="AU6" s="2"/>
        <tr r="AU6" s="2"/>
        <tr r="AU6" s="2"/>
      </tp>
      <tp t="s">
        <v>Y</v>
        <stp/>
        <stp>##V3_BDPV12</stp>
        <stp>2020 HK Equity</stp>
        <stp>DY997</stp>
        <stp>[DPM - Securities Master List (BBG Linked).xlsx]Equities!R3C47</stp>
        <tr r="AU3" s="2"/>
        <tr r="AU3" s="2"/>
        <tr r="AU3" s="2"/>
      </tp>
      <tp t="s">
        <v>Equity</v>
        <stp/>
        <stp>##V3_BDPV12</stp>
        <stp>3690 HK Equity</stp>
        <stp>EX028</stp>
        <stp>[DPM - Securities Master List (BBG Linked).xlsx]Equities!R7C30</stp>
        <tr r="AD7" s="2"/>
        <tr r="AD7" s="2"/>
        <tr r="AD7" s="2"/>
      </tp>
      <tp t="s">
        <v>Equity</v>
        <stp/>
        <stp>##V3_BDPV12</stp>
        <stp>3690 HK Equity</stp>
        <stp>EX028</stp>
        <stp>[DPM - Securities Master List (BBG Linked).xlsx]Equities!R8C30</stp>
        <tr r="AD8" s="2"/>
        <tr r="AD8" s="2"/>
        <tr r="AD8" s="2"/>
      </tp>
      <tp t="s">
        <v>Equity</v>
        <stp/>
        <stp>##V3_BDPV12</stp>
        <stp>3690 HK Equity</stp>
        <stp>EX028</stp>
        <stp>[DPM - Securities Master List (BBG Linked).xlsx]Equities!R9C30</stp>
        <tr r="AD9" s="2"/>
        <tr r="AD9" s="2"/>
        <tr r="AD9" s="2"/>
      </tp>
      <tp t="s">
        <v>Consumer Discretionary</v>
        <stp/>
        <stp>##V3_BDPV12</stp>
        <stp>3690 HK Equity</stp>
        <stp>DX202</stp>
        <stp>[DPM - Securities Master List (BBG Linked).xlsx]Equities!R9C46</stp>
        <tr r="AT9" s="2"/>
        <tr r="AT9" s="2"/>
        <tr r="AT9" s="2"/>
      </tp>
      <tp t="s">
        <v>Consumer Discretionary</v>
        <stp/>
        <stp>##V3_BDPV12</stp>
        <stp>3690 HK Equity</stp>
        <stp>DX202</stp>
        <stp>[DPM - Securities Master List (BBG Linked).xlsx]Equities!R8C46</stp>
        <tr r="AT8" s="2"/>
        <tr r="AT8" s="2"/>
        <tr r="AT8" s="2"/>
      </tp>
      <tp t="s">
        <v>Consumer Discretionary</v>
        <stp/>
        <stp>##V3_BDPV12</stp>
        <stp>3690 HK Equity</stp>
        <stp>DX202</stp>
        <stp>[DPM - Securities Master List (BBG Linked).xlsx]Equities!R7C46</stp>
        <tr r="AT7" s="2"/>
        <tr r="AT7" s="2"/>
        <tr r="AT7" s="2"/>
      </tp>
      <tp t="s">
        <v>N</v>
        <stp/>
        <stp>##V3_BDPV12</stp>
        <stp>2020 HK Equity</stp>
        <stp>DY784</stp>
        <stp>[DPM - Securities Master List (BBG Linked).xlsx]Equities!R6C48</stp>
        <tr r="AV6" s="2"/>
        <tr r="AV6" s="2"/>
        <tr r="AV6" s="2"/>
      </tp>
      <tp t="s">
        <v>N</v>
        <stp/>
        <stp>##V3_BDPV12</stp>
        <stp>2020 HK Equity</stp>
        <stp>DY784</stp>
        <stp>[DPM - Securities Master List (BBG Linked).xlsx]Equities!R5C48</stp>
        <tr r="AV5" s="2"/>
        <tr r="AV5" s="2"/>
        <tr r="AV5" s="2"/>
      </tp>
      <tp t="s">
        <v>N</v>
        <stp/>
        <stp>##V3_BDPV12</stp>
        <stp>2020 HK Equity</stp>
        <stp>DY784</stp>
        <stp>[DPM - Securities Master List (BBG Linked).xlsx]Equities!R4C48</stp>
        <tr r="AV4" s="2"/>
        <tr r="AV4" s="2"/>
        <tr r="AV4" s="2"/>
      </tp>
      <tp t="s">
        <v>N</v>
        <stp/>
        <stp>##V3_BDPV12</stp>
        <stp>2020 HK Equity</stp>
        <stp>DY784</stp>
        <stp>[DPM - Securities Master List (BBG Linked).xlsx]Equities!R3C48</stp>
        <tr r="AV3" s="2"/>
        <tr r="AV3" s="2"/>
        <tr r="AV3" s="2"/>
      </tp>
      <tp t="s">
        <v>BP PLC</v>
        <stp/>
        <stp>##V3_BDPV12</stp>
        <stp>BP/ LN Equity</stp>
        <stp>SECURITY NAME</stp>
        <stp>[DPM - Securities Master List (BBG Linked).xlsx]Equities!R89C5</stp>
        <tr r="E89" s="2"/>
      </tp>
      <tp t="s">
        <v>BP PLC</v>
        <stp/>
        <stp>##V3_BDPV12</stp>
        <stp>BP/ LN Equity</stp>
        <stp>SECURITY NAME</stp>
        <stp>[DPM - Securities Master List (BBG Linked).xlsx]Equities!R79C5</stp>
        <tr r="E79" s="2"/>
      </tp>
      <tp t="s">
        <v>AstraZeneca PLC</v>
        <stp/>
        <stp>##V3_BDPV12</stp>
        <stp>AZN LN Equity</stp>
        <stp>SECURITY NAME</stp>
        <stp>[DPM - Securities Master List (BBG Linked).xlsx]Equities!R59C5</stp>
        <tr r="E59" s="2"/>
      </tp>
      <tp t="s">
        <v>USD</v>
        <stp/>
        <stp>##V3_BDPV12</stp>
        <stp>BMRN US Equity</stp>
        <stp>CRNCY</stp>
        <stp>[DPM - Securities Master List (BBG Linked).xlsx]Equities!R68C6</stp>
        <tr r="F68" s="2"/>
      </tp>
      <tp t="s">
        <v>American Airlines Group Inc</v>
        <stp/>
        <stp>##V3_BDPV12</stp>
        <stp>AAL US Equity</stp>
        <stp>SECURITY NAME</stp>
        <stp>[DPM - Securities Master List (BBG Linked).xlsx]Equities!R29C5</stp>
        <tr r="E29" s="2"/>
      </tp>
      <tp>
        <v>15.479931843998486</v>
        <stp/>
        <stp>##V3_BDPV12</stp>
        <stp>GOOGL UQ Equity</stp>
        <stp>EE010</stp>
        <stp>[DPM - Securities Master List (BBG Linked).xlsx]Equities!R126C12</stp>
        <tr r="L126" s="2"/>
        <tr r="L126" s="2"/>
        <tr r="L126" s="2"/>
      </tp>
      <tp>
        <v>0.51366720098694807</v>
        <stp/>
        <stp>##V3_BDPV12</stp>
        <stp>GOOGL UQ Equity</stp>
        <stp>DV013</stp>
        <stp>[DPM - Securities Master List (BBG Linked).xlsx]Equities!R126C10</stp>
        <tr r="J126" s="2"/>
      </tp>
      <tp>
        <v>7.8870778624877405</v>
        <stp/>
        <stp>##V3_BDPV12</stp>
        <stp>TSCO LN Equity</stp>
        <stp>RR957</stp>
        <stp>[DPM - Securities Master List (BBG Linked).xlsx]Equities!R262C14</stp>
        <tr r="N262" s="2"/>
        <tr r="N262" s="2"/>
        <tr r="N262" s="2"/>
      </tp>
      <tp>
        <v>7.8870778624877405</v>
        <stp/>
        <stp>##V3_BDPV12</stp>
        <stp>TSCO LN Equity</stp>
        <stp>RR957</stp>
        <stp>[DPM - Securities Master List (BBG Linked).xlsx]Equities!R263C14</stp>
        <tr r="N263" s="2"/>
        <tr r="N263" s="2"/>
        <tr r="N263" s="2"/>
      </tp>
      <tp>
        <v>7.8870778624877405</v>
        <stp/>
        <stp>##V3_BDPV12</stp>
        <stp>TSCO LN Equity</stp>
        <stp>RR957</stp>
        <stp>[DPM - Securities Master List (BBG Linked).xlsx]Equities!R266C14</stp>
        <tr r="N266" s="2"/>
        <tr r="N266" s="2"/>
        <tr r="N266" s="2"/>
      </tp>
      <tp>
        <v>7.8870778624877405</v>
        <stp/>
        <stp>##V3_BDPV12</stp>
        <stp>TSCO LN Equity</stp>
        <stp>RR957</stp>
        <stp>[DPM - Securities Master List (BBG Linked).xlsx]Equities!R267C14</stp>
        <tr r="N267" s="2"/>
        <tr r="N267" s="2"/>
        <tr r="N267" s="2"/>
      </tp>
      <tp>
        <v>7.8870778624877405</v>
        <stp/>
        <stp>##V3_BDPV12</stp>
        <stp>TSCO LN Equity</stp>
        <stp>RR957</stp>
        <stp>[DPM - Securities Master List (BBG Linked).xlsx]Equities!R264C14</stp>
        <tr r="N264" s="2"/>
        <tr r="N264" s="2"/>
        <tr r="N264" s="2"/>
      </tp>
      <tp>
        <v>7.8870778624877405</v>
        <stp/>
        <stp>##V3_BDPV12</stp>
        <stp>TSCO LN Equity</stp>
        <stp>RR957</stp>
        <stp>[DPM - Securities Master List (BBG Linked).xlsx]Equities!R265C14</stp>
        <tr r="N265" s="2"/>
        <tr r="N265" s="2"/>
        <tr r="N265" s="2"/>
      </tp>
      <tp>
        <v>7.8870778624877405</v>
        <stp/>
        <stp>##V3_BDPV12</stp>
        <stp>TSCO LN Equity</stp>
        <stp>RR957</stp>
        <stp>[DPM - Securities Master List (BBG Linked).xlsx]Equities!R268C14</stp>
        <tr r="N268" s="2"/>
        <tr r="N268" s="2"/>
        <tr r="N268" s="2"/>
      </tp>
      <tp>
        <v>7.8870778624877405</v>
        <stp/>
        <stp>##V3_BDPV12</stp>
        <stp>TSCO LN Equity</stp>
        <stp>RR957</stp>
        <stp>[DPM - Securities Master List (BBG Linked).xlsx]Equities!R269C14</stp>
        <tr r="N269" s="2"/>
        <tr r="N269" s="2"/>
        <tr r="N269" s="2"/>
      </tp>
      <tp>
        <v>7.8870778624877405</v>
        <stp/>
        <stp>##V3_BDPV12</stp>
        <stp>TSCO LN Equity</stp>
        <stp>RR957</stp>
        <stp>[DPM - Securities Master List (BBG Linked).xlsx]Equities!R272C14</stp>
        <tr r="N272" s="2"/>
        <tr r="N272" s="2"/>
        <tr r="N272" s="2"/>
      </tp>
      <tp>
        <v>7.8870778624877405</v>
        <stp/>
        <stp>##V3_BDPV12</stp>
        <stp>TSCO LN Equity</stp>
        <stp>RR957</stp>
        <stp>[DPM - Securities Master List (BBG Linked).xlsx]Equities!R273C14</stp>
        <tr r="N273" s="2"/>
        <tr r="N273" s="2"/>
        <tr r="N273" s="2"/>
      </tp>
      <tp>
        <v>7.8870778624877405</v>
        <stp/>
        <stp>##V3_BDPV12</stp>
        <stp>TSCO LN Equity</stp>
        <stp>RR957</stp>
        <stp>[DPM - Securities Master List (BBG Linked).xlsx]Equities!R270C14</stp>
        <tr r="N270" s="2"/>
        <tr r="N270" s="2"/>
        <tr r="N270" s="2"/>
      </tp>
      <tp>
        <v>7.8870778624877405</v>
        <stp/>
        <stp>##V3_BDPV12</stp>
        <stp>TSCO LN Equity</stp>
        <stp>RR957</stp>
        <stp>[DPM - Securities Master List (BBG Linked).xlsx]Equities!R271C14</stp>
        <tr r="N271" s="2"/>
        <tr r="N271" s="2"/>
        <tr r="N271" s="2"/>
      </tp>
      <tp>
        <v>7.8870778624877405</v>
        <stp/>
        <stp>##V3_BDPV12</stp>
        <stp>TSCO LN Equity</stp>
        <stp>RR957</stp>
        <stp>[DPM - Securities Master List (BBG Linked).xlsx]Equities!R274C14</stp>
        <tr r="N274" s="2"/>
        <tr r="N274" s="2"/>
        <tr r="N274" s="2"/>
      </tp>
      <tp>
        <v>7.8870778624877405</v>
        <stp/>
        <stp>##V3_BDPV12</stp>
        <stp>TSCO LN Equity</stp>
        <stp>RR957</stp>
        <stp>[DPM - Securities Master List (BBG Linked).xlsx]Equities!R275C14</stp>
        <tr r="N275" s="2"/>
        <tr r="N275" s="2"/>
        <tr r="N275" s="2"/>
      </tp>
      <tp>
        <v>7.9514810000000002</v>
        <stp/>
        <stp>##V3_BDPV12</stp>
        <stp>VOW3 GY Equity</stp>
        <stp>PR079</stp>
        <stp>[DPM - Securities Master List (BBG Linked).xlsx]Equities!R290C43</stp>
        <tr r="AQ290" s="2"/>
      </tp>
      <tp>
        <v>7.9514810000000002</v>
        <stp/>
        <stp>##V3_BDPV12</stp>
        <stp>VOW3 GY Equity</stp>
        <stp>PR079</stp>
        <stp>[DPM - Securities Master List (BBG Linked).xlsx]Equities!R291C43</stp>
        <tr r="AQ291" s="2"/>
      </tp>
      <tp>
        <v>7.9514810000000002</v>
        <stp/>
        <stp>##V3_BDPV12</stp>
        <stp>VOW3 GY Equity</stp>
        <stp>PR079</stp>
        <stp>[DPM - Securities Master List (BBG Linked).xlsx]Equities!R292C43</stp>
        <tr r="AQ292" s="2"/>
      </tp>
      <tp>
        <v>7.9514810000000002</v>
        <stp/>
        <stp>##V3_BDPV12</stp>
        <stp>VOW3 GY Equity</stp>
        <stp>PR079</stp>
        <stp>[DPM - Securities Master List (BBG Linked).xlsx]Equities!R293C43</stp>
        <tr r="AQ293" s="2"/>
      </tp>
      <tp>
        <v>7.9514810000000002</v>
        <stp/>
        <stp>##V3_BDPV12</stp>
        <stp>VOW3 GY Equity</stp>
        <stp>PR079</stp>
        <stp>[DPM - Securities Master List (BBG Linked).xlsx]Equities!R289C43</stp>
        <tr r="AQ289" s="2"/>
      </tp>
      <tp t="s">
        <v>USD</v>
        <stp/>
        <stp>##V3_BDPV12</stp>
        <stp>GOOGL US Equity</stp>
        <stp>CRNCY</stp>
        <stp>[DPM - Securities Master List (BBG Linked).xlsx]Equities!R129C6</stp>
        <tr r="F129" s="2"/>
      </tp>
      <tp t="s">
        <v>USD</v>
        <stp/>
        <stp>##V3_BDPV12</stp>
        <stp>GOOGL US Equity</stp>
        <stp>CRNCY</stp>
        <stp>[DPM - Securities Master List (BBG Linked).xlsx]Equities!R139C6</stp>
        <tr r="F139" s="2"/>
      </tp>
      <tp>
        <v>3</v>
        <stp/>
        <stp>##V3_BDPV12</stp>
        <stp>INTC US Equity</stp>
        <stp>TOT_BUY_REC</stp>
        <stp>[DPM - Securities Master List (BBG Linked).xlsx]Equities!R146C34</stp>
        <tr r="AH146" s="2"/>
      </tp>
      <tp>
        <v>3</v>
        <stp/>
        <stp>##V3_BDPV12</stp>
        <stp>INTC US Equity</stp>
        <stp>TOT_BUY_REC</stp>
        <stp>[DPM - Securities Master List (BBG Linked).xlsx]Equities!R147C34</stp>
        <tr r="AH147" s="2"/>
      </tp>
      <tp>
        <v>3</v>
        <stp/>
        <stp>##V3_BDPV12</stp>
        <stp>INTC US Equity</stp>
        <stp>TOT_BUY_REC</stp>
        <stp>[DPM - Securities Master List (BBG Linked).xlsx]Equities!R148C34</stp>
        <tr r="AH148" s="2"/>
      </tp>
      <tp t="s">
        <v>Information Technology</v>
        <stp/>
        <stp>##V3_BDPV12</stp>
        <stp>ADBE US Equity</stp>
        <stp>DX202</stp>
        <stp>[DPM - Securities Master List (BBG Linked).xlsx]Equities!R40C8</stp>
        <tr r="H40" s="2"/>
        <tr r="H40" s="2"/>
        <tr r="H40" s="2"/>
      </tp>
      <tp t="s">
        <v>Information Technology</v>
        <stp/>
        <stp>##V3_BDPV12</stp>
        <stp>DELL US Equity</stp>
        <stp>DX202</stp>
        <stp>[DPM - Securities Master List (BBG Linked).xlsx]Equities!R95C8</stp>
        <tr r="H95" s="2"/>
        <tr r="H95" s="2"/>
        <tr r="H95" s="2"/>
      </tp>
      <tp t="s">
        <v>Health Care</v>
        <stp/>
        <stp>##V3_BDPV12</stp>
        <stp>BMRN US Equity</stp>
        <stp>DX202</stp>
        <stp>[DPM - Securities Master List (BBG Linked).xlsx]Equities!R73C8</stp>
        <tr r="H73" s="2"/>
        <tr r="H73" s="2"/>
        <tr r="H73" s="2"/>
      </tp>
      <tp t="s">
        <v>Health Care</v>
        <stp/>
        <stp>##V3_BDPV12</stp>
        <stp>BMRN US Equity</stp>
        <stp>DX202</stp>
        <stp>[DPM - Securities Master List (BBG Linked).xlsx]Equities!R63C8</stp>
        <tr r="H63" s="2"/>
        <tr r="H63" s="2"/>
        <tr r="H63" s="2"/>
      </tp>
      <tp t="s">
        <v>#N/A Invalid Field</v>
        <stp/>
        <stp>##V3_BDPV12</stp>
        <stp>ZBH US Equity</stp>
        <stp/>
        <stp>[DPM - Securities Master List (BBG Linked).xlsx]Equities!R298C29</stp>
        <tr r="AC298" s="2"/>
        <tr r="AC298" s="2"/>
      </tp>
      <tp t="s">
        <v>#N/A Invalid Field</v>
        <stp/>
        <stp>##V3_BDPV12</stp>
        <stp>ZBH US Equity</stp>
        <stp/>
        <stp>[DPM - Securities Master List (BBG Linked).xlsx]Equities!R299C29</stp>
        <tr r="AC299" s="2"/>
        <tr r="AC299" s="2"/>
      </tp>
      <tp t="s">
        <v>#N/A Invalid Field</v>
        <stp/>
        <stp>##V3_BDPV12</stp>
        <stp>ZBH US Equity</stp>
        <stp/>
        <stp>[DPM - Securities Master List (BBG Linked).xlsx]Equities!R294C29</stp>
        <tr r="AC294" s="2"/>
        <tr r="AC294" s="2"/>
      </tp>
      <tp t="s">
        <v>#N/A Invalid Field</v>
        <stp/>
        <stp>##V3_BDPV12</stp>
        <stp>ZBH US Equity</stp>
        <stp/>
        <stp>[DPM - Securities Master List (BBG Linked).xlsx]Equities!R295C29</stp>
        <tr r="AC295" s="2"/>
        <tr r="AC295" s="2"/>
      </tp>
      <tp t="s">
        <v>#N/A Invalid Field</v>
        <stp/>
        <stp>##V3_BDPV12</stp>
        <stp>ZBH US Equity</stp>
        <stp/>
        <stp>[DPM - Securities Master List (BBG Linked).xlsx]Equities!R296C29</stp>
        <tr r="AC296" s="2"/>
        <tr r="AC296" s="2"/>
      </tp>
      <tp t="s">
        <v>#N/A Invalid Field</v>
        <stp/>
        <stp>##V3_BDPV12</stp>
        <stp>ZBH US Equity</stp>
        <stp/>
        <stp>[DPM - Securities Master List (BBG Linked).xlsx]Equities!R297C29</stp>
        <tr r="AC297" s="2"/>
        <tr r="AC297" s="2"/>
      </tp>
      <tp t="s">
        <v>#N/A Invalid Field</v>
        <stp/>
        <stp>##V3_BDPV12</stp>
        <stp>ZBH US Equity</stp>
        <stp/>
        <stp>[DPM - Securities Master List (BBG Linked).xlsx]Equities!R300C29</stp>
        <tr r="AC300" s="2"/>
        <tr r="AC300" s="2"/>
      </tp>
      <tp t="s">
        <v>#N/A Invalid Field</v>
        <stp/>
        <stp>##V3_BDPV12</stp>
        <stp>ZBH US Equity</stp>
        <stp/>
        <stp>[DPM - Securities Master List (BBG Linked).xlsx]Equities!R301C29</stp>
        <tr r="AC301" s="2"/>
        <tr r="AC301" s="2"/>
      </tp>
      <tp t="s">
        <v>#N/A Invalid Field</v>
        <stp/>
        <stp>##V3_BDPV12</stp>
        <stp>ZBH US Equity</stp>
        <stp/>
        <stp>[DPM - Securities Master List (BBG Linked).xlsx]Equities!R302C29</stp>
        <tr r="AC302" s="2"/>
        <tr r="AC302" s="2"/>
      </tp>
      <tp t="s">
        <v>#N/A Invalid Field</v>
        <stp/>
        <stp>##V3_BDPV12</stp>
        <stp>NEM AT Equity</stp>
        <stp/>
        <stp>[DPM - Securities Master List (BBG Linked).xlsx]Equities!R189C29</stp>
        <tr r="AC189" s="2"/>
        <tr r="AC189" s="2"/>
      </tp>
      <tp t="s">
        <v>#N/A Invalid Field</v>
        <stp/>
        <stp>##V3_BDPV12</stp>
        <stp>NEM AT Equity</stp>
        <stp/>
        <stp>[DPM - Securities Master List (BBG Linked).xlsx]Equities!R190C29</stp>
        <tr r="AC190" s="2"/>
        <tr r="AC190" s="2"/>
      </tp>
      <tp t="s">
        <v>#N/A Invalid Field</v>
        <stp/>
        <stp>##V3_BDPV12</stp>
        <stp>NEM AT Equity</stp>
        <stp/>
        <stp>[DPM - Securities Master List (BBG Linked).xlsx]Equities!R191C29</stp>
        <tr r="AC191" s="2"/>
        <tr r="AC191" s="2"/>
      </tp>
      <tp t="s">
        <v>#N/A Invalid Field</v>
        <stp/>
        <stp>##V3_BDPV12</stp>
        <stp>NEM AT Equity</stp>
        <stp/>
        <stp>[DPM - Securities Master List (BBG Linked).xlsx]Equities!R192C29</stp>
        <tr r="AC192" s="2"/>
        <tr r="AC192" s="2"/>
      </tp>
      <tp t="s">
        <v>#N/A Invalid Override</v>
        <stp/>
        <stp>##V3_BDPV12</stp>
        <stp>XS2591847970 isin</stp>
        <stp>YAS_BOND_YLD</stp>
        <stp>[DPM - Securities Master List (BBG Linked).xlsx]Bonds!R160C10</stp>
        <stp>YAS_YLD_FLAG=15</stp>
        <stp>user_local_trade_date</stp>
        <stp>45783</stp>
        <stp>Yas_bond_px</stp>
        <stp>#N/A Connection</stp>
        <tr r="J160" s="1"/>
      </tp>
      <tp t="s">
        <v>N</v>
        <stp/>
        <stp>##V3_BDPV12</stp>
        <stp>3690 HK Equity</stp>
        <stp>DY997</stp>
        <stp>[DPM - Securities Master List (BBG Linked).xlsx]Equities!R8C47</stp>
        <tr r="AU8" s="2"/>
        <tr r="AU8" s="2"/>
        <tr r="AU8" s="2"/>
      </tp>
      <tp t="s">
        <v>N</v>
        <stp/>
        <stp>##V3_BDPV12</stp>
        <stp>3690 HK Equity</stp>
        <stp>DY997</stp>
        <stp>[DPM - Securities Master List (BBG Linked).xlsx]Equities!R9C47</stp>
        <tr r="AU9" s="2"/>
        <tr r="AU9" s="2"/>
        <tr r="AU9" s="2"/>
      </tp>
      <tp t="s">
        <v>N</v>
        <stp/>
        <stp>##V3_BDPV12</stp>
        <stp>3690 HK Equity</stp>
        <stp>DY997</stp>
        <stp>[DPM - Securities Master List (BBG Linked).xlsx]Equities!R7C47</stp>
        <tr r="AU7" s="2"/>
        <tr r="AU7" s="2"/>
        <tr r="AU7" s="2"/>
      </tp>
      <tp t="s">
        <v>#N/A N/A</v>
        <stp/>
        <stp>##V3_BDPV12</stp>
        <stp>3690 HK Equity</stp>
        <stp>DY784</stp>
        <stp>[DPM - Securities Master List (BBG Linked).xlsx]Equities!R9C48</stp>
        <tr r="AV9" s="2"/>
        <tr r="AV9" s="2"/>
      </tp>
      <tp t="s">
        <v>#N/A N/A</v>
        <stp/>
        <stp>##V3_BDPV12</stp>
        <stp>3690 HK Equity</stp>
        <stp>DY784</stp>
        <stp>[DPM - Securities Master List (BBG Linked).xlsx]Equities!R8C48</stp>
        <tr r="AV8" s="2"/>
        <tr r="AV8" s="2"/>
      </tp>
      <tp t="s">
        <v>#N/A N/A</v>
        <stp/>
        <stp>##V3_BDPV12</stp>
        <stp>3690 HK Equity</stp>
        <stp>DY784</stp>
        <stp>[DPM - Securities Master List (BBG Linked).xlsx]Equities!R7C48</stp>
        <tr r="AV7" s="2"/>
        <tr r="AV7" s="2"/>
      </tp>
      <tp>
        <v>-0.86560360000000003</v>
        <stp/>
        <stp>##V3_BDPV12</stp>
        <stp>DD US Equity</stp>
        <stp>CHG_PCT_5D</stp>
        <stp>[DPM - Securities Master List (BBG Linked).xlsx]Equities!R91C23</stp>
        <tr r="W91" s="2"/>
      </tp>
      <tp t="s">
        <v>Consumer Discretionary</v>
        <stp/>
        <stp>##V3_BDPV12</stp>
        <stp>2020 HK Equity</stp>
        <stp>DX202</stp>
        <stp>[DPM - Securities Master List (BBG Linked).xlsx]Equities!R3C46</stp>
        <tr r="AT3" s="2"/>
        <tr r="AT3" s="2"/>
        <tr r="AT3" s="2"/>
      </tp>
      <tp t="s">
        <v>Consumer Discretionary</v>
        <stp/>
        <stp>##V3_BDPV12</stp>
        <stp>2020 HK Equity</stp>
        <stp>DX202</stp>
        <stp>[DPM - Securities Master List (BBG Linked).xlsx]Equities!R5C46</stp>
        <tr r="AT5" s="2"/>
        <tr r="AT5" s="2"/>
        <tr r="AT5" s="2"/>
      </tp>
      <tp t="s">
        <v>Consumer Discretionary</v>
        <stp/>
        <stp>##V3_BDPV12</stp>
        <stp>2020 HK Equity</stp>
        <stp>DX202</stp>
        <stp>[DPM - Securities Master List (BBG Linked).xlsx]Equities!R4C46</stp>
        <tr r="AT4" s="2"/>
        <tr r="AT4" s="2"/>
        <tr r="AT4" s="2"/>
      </tp>
      <tp t="s">
        <v>Consumer Discretionary</v>
        <stp/>
        <stp>##V3_BDPV12</stp>
        <stp>2020 HK Equity</stp>
        <stp>DX202</stp>
        <stp>[DPM - Securities Master List (BBG Linked).xlsx]Equities!R6C46</stp>
        <tr r="AT6" s="2"/>
        <tr r="AT6" s="2"/>
        <tr r="AT6" s="2"/>
      </tp>
      <tp>
        <v>-4.593477E-2</v>
        <stp/>
        <stp>##V3_BDPV12</stp>
        <stp>DD US Equity</stp>
        <stp>CHG_PCT_1D</stp>
        <stp>[DPM - Securities Master List (BBG Linked).xlsx]Equities!R91C22</stp>
        <tr r="V91" s="2"/>
      </tp>
      <tp>
        <v>-22.589829999999999</v>
        <stp/>
        <stp>##V3_BDPV12</stp>
        <stp>DD US Equity</stp>
        <stp>CHG_PCT_6M</stp>
        <stp>[DPM - Securities Master List (BBG Linked).xlsx]Equities!R91C42</stp>
        <tr r="AP91" s="2"/>
      </tp>
      <tp t="s">
        <v>Equity</v>
        <stp/>
        <stp>##V3_BDPV12</stp>
        <stp>2020 HK Equity</stp>
        <stp>EX028</stp>
        <stp>[DPM - Securities Master List (BBG Linked).xlsx]Equities!R3C30</stp>
        <tr r="AD3" s="2"/>
        <tr r="AD3" s="2"/>
        <tr r="AD3" s="2"/>
      </tp>
      <tp t="s">
        <v>Equity</v>
        <stp/>
        <stp>##V3_BDPV12</stp>
        <stp>2020 HK Equity</stp>
        <stp>EX028</stp>
        <stp>[DPM - Securities Master List (BBG Linked).xlsx]Equities!R6C30</stp>
        <tr r="AD6" s="2"/>
        <tr r="AD6" s="2"/>
        <tr r="AD6" s="2"/>
      </tp>
      <tp t="s">
        <v>Equity</v>
        <stp/>
        <stp>##V3_BDPV12</stp>
        <stp>2020 HK Equity</stp>
        <stp>EX028</stp>
        <stp>[DPM - Securities Master List (BBG Linked).xlsx]Equities!R4C30</stp>
        <tr r="AD4" s="2"/>
        <tr r="AD4" s="2"/>
        <tr r="AD4" s="2"/>
      </tp>
      <tp t="s">
        <v>Equity</v>
        <stp/>
        <stp>##V3_BDPV12</stp>
        <stp>2020 HK Equity</stp>
        <stp>EX028</stp>
        <stp>[DPM - Securities Master List (BBG Linked).xlsx]Equities!R5C30</stp>
        <tr r="AD5" s="2"/>
        <tr r="AD5" s="2"/>
        <tr r="AD5" s="2"/>
      </tp>
      <tp>
        <v>7.1722910000000004</v>
        <stp/>
        <stp>##V3_BDPV12</stp>
        <stp>XS2911679004 isin</stp>
        <stp>YAS_BOND_YLD</stp>
        <stp>[DPM - Securities Master List (BBG Linked).xlsx]Bonds!R119C10</stp>
        <stp>YAS_YLD_FLAG=15</stp>
        <stp>user_local_trade_date</stp>
        <stp>45783</stp>
        <stp>Yas_bond_px</stp>
        <stp>99.109999999999999</stp>
        <tr r="J119" s="1"/>
      </tp>
      <tp t="s">
        <v>BP PLC</v>
        <stp/>
        <stp>##V3_BDPV12</stp>
        <stp>BP/ LN Equity</stp>
        <stp>SECURITY NAME</stp>
        <stp>[DPM - Securities Master List (BBG Linked).xlsx]Equities!R88C5</stp>
        <tr r="E88" s="2"/>
      </tp>
      <tp t="s">
        <v>BP PLC</v>
        <stp/>
        <stp>##V3_BDPV12</stp>
        <stp>BP/ LN Equity</stp>
        <stp>SECURITY NAME</stp>
        <stp>[DPM - Securities Master List (BBG Linked).xlsx]Equities!R78C5</stp>
        <tr r="E78" s="2"/>
      </tp>
      <tp t="s">
        <v>AstraZeneca PLC</v>
        <stp/>
        <stp>##V3_BDPV12</stp>
        <stp>AZN LN Equity</stp>
        <stp>SECURITY NAME</stp>
        <stp>[DPM - Securities Master List (BBG Linked).xlsx]Equities!R58C5</stp>
        <tr r="E58" s="2"/>
      </tp>
      <tp t="s">
        <v>USD</v>
        <stp/>
        <stp>##V3_BDPV12</stp>
        <stp>BMRN US Equity</stp>
        <stp>CRNCY</stp>
        <stp>[DPM - Securities Master List (BBG Linked).xlsx]Equities!R69C6</stp>
        <tr r="F69" s="2"/>
      </tp>
      <tp t="s">
        <v>American Airlines Group Inc</v>
        <stp/>
        <stp>##V3_BDPV12</stp>
        <stp>AAL US Equity</stp>
        <stp>SECURITY NAME</stp>
        <stp>[DPM - Securities Master List (BBG Linked).xlsx]Equities!R28C5</stp>
        <tr r="E28" s="2"/>
      </tp>
      <tp>
        <v>207.05</v>
        <stp/>
        <stp>##V3_BDPV12</stp>
        <stp>GOOGL UQ Equity</stp>
        <stp>hs001</stp>
        <stp>[DPM - Securities Master List (BBG Linked).xlsx]Equities!R126C44</stp>
        <tr r="AR126" s="2"/>
      </tp>
      <tp>
        <v>140.53</v>
        <stp/>
        <stp>##V3_BDPV12</stp>
        <stp>GOOGL UQ Equity</stp>
        <stp>hs002</stp>
        <stp>[DPM - Securities Master List (BBG Linked).xlsx]Equities!R126C45</stp>
        <tr r="AS126" s="2"/>
      </tp>
      <tp t="s">
        <v>Equity</v>
        <stp/>
        <stp>##V3_BDPV12</stp>
        <stp>NSRGY US Equity</stp>
        <stp>EX028</stp>
        <stp>[DPM - Securities Master List (BBG Linked).xlsx]Equities!R223C30</stp>
        <tr r="AD223" s="2"/>
        <tr r="AD223" s="2"/>
        <tr r="AD223" s="2"/>
      </tp>
      <tp>
        <v>5.7570145283573391</v>
        <stp/>
        <stp>##V3_BDPV12</stp>
        <stp>GOOGL UQ Equity</stp>
        <stp>RR903</stp>
        <stp>[DPM - Securities Master List (BBG Linked).xlsx]Equities!R126C13</stp>
        <tr r="M126" s="2"/>
        <tr r="M126" s="2"/>
        <tr r="M126" s="2"/>
      </tp>
      <tp>
        <v>19.750033246348103</v>
        <stp/>
        <stp>##V3_BDPV12</stp>
        <stp>GOOGL UQ Equity</stp>
        <stp>RR900</stp>
        <stp>[DPM - Securities Master List (BBG Linked).xlsx]Equities!R126C11</stp>
        <tr r="K126" s="2"/>
        <tr r="K126" s="2"/>
        <tr r="K126" s="2"/>
      </tp>
      <tp>
        <v>15.110880442316351</v>
        <stp/>
        <stp>##V3_BDPV12</stp>
        <stp>GOOGL UQ Equity</stp>
        <stp>RR908</stp>
        <stp>[DPM - Securities Master List (BBG Linked).xlsx]Equities!R126C32</stp>
        <tr r="AF126" s="2"/>
        <tr r="AF126" s="2"/>
        <tr r="AF126" s="2"/>
      </tp>
      <tp>
        <v>37.711493957315504</v>
        <stp/>
        <stp>##V3_BDPV12</stp>
        <stp>TSCO LN Equity</stp>
        <stp>RR041</stp>
        <stp>[DPM - Securities Master List (BBG Linked).xlsx]Equities!R273C33</stp>
        <tr r="AG273" s="2"/>
        <tr r="AG273" s="2"/>
        <tr r="AG273" s="2"/>
      </tp>
      <tp>
        <v>37.711493957315504</v>
        <stp/>
        <stp>##V3_BDPV12</stp>
        <stp>TSCO LN Equity</stp>
        <stp>RR041</stp>
        <stp>[DPM - Securities Master List (BBG Linked).xlsx]Equities!R272C33</stp>
        <tr r="AG272" s="2"/>
        <tr r="AG272" s="2"/>
        <tr r="AG272" s="2"/>
      </tp>
      <tp>
        <v>37.711493957315504</v>
        <stp/>
        <stp>##V3_BDPV12</stp>
        <stp>TSCO LN Equity</stp>
        <stp>RR041</stp>
        <stp>[DPM - Securities Master List (BBG Linked).xlsx]Equities!R271C33</stp>
        <tr r="AG271" s="2"/>
        <tr r="AG271" s="2"/>
        <tr r="AG271" s="2"/>
      </tp>
      <tp>
        <v>37.711493957315504</v>
        <stp/>
        <stp>##V3_BDPV12</stp>
        <stp>TSCO LN Equity</stp>
        <stp>RR041</stp>
        <stp>[DPM - Securities Master List (BBG Linked).xlsx]Equities!R270C33</stp>
        <tr r="AG270" s="2"/>
        <tr r="AG270" s="2"/>
        <tr r="AG270" s="2"/>
      </tp>
      <tp>
        <v>37.711493957315504</v>
        <stp/>
        <stp>##V3_BDPV12</stp>
        <stp>TSCO LN Equity</stp>
        <stp>RR041</stp>
        <stp>[DPM - Securities Master List (BBG Linked).xlsx]Equities!R275C33</stp>
        <tr r="AG275" s="2"/>
        <tr r="AG275" s="2"/>
        <tr r="AG275" s="2"/>
      </tp>
      <tp>
        <v>37.711493957315504</v>
        <stp/>
        <stp>##V3_BDPV12</stp>
        <stp>TSCO LN Equity</stp>
        <stp>RR041</stp>
        <stp>[DPM - Securities Master List (BBG Linked).xlsx]Equities!R274C33</stp>
        <tr r="AG274" s="2"/>
        <tr r="AG274" s="2"/>
        <tr r="AG274" s="2"/>
      </tp>
      <tp>
        <v>37.711493957315504</v>
        <stp/>
        <stp>##V3_BDPV12</stp>
        <stp>TSCO LN Equity</stp>
        <stp>RR041</stp>
        <stp>[DPM - Securities Master List (BBG Linked).xlsx]Equities!R269C33</stp>
        <tr r="AG269" s="2"/>
        <tr r="AG269" s="2"/>
        <tr r="AG269" s="2"/>
      </tp>
      <tp>
        <v>37.711493957315504</v>
        <stp/>
        <stp>##V3_BDPV12</stp>
        <stp>TSCO LN Equity</stp>
        <stp>RR041</stp>
        <stp>[DPM - Securities Master List (BBG Linked).xlsx]Equities!R268C33</stp>
        <tr r="AG268" s="2"/>
        <tr r="AG268" s="2"/>
        <tr r="AG268" s="2"/>
      </tp>
      <tp>
        <v>37.711493957315504</v>
        <stp/>
        <stp>##V3_BDPV12</stp>
        <stp>TSCO LN Equity</stp>
        <stp>RR041</stp>
        <stp>[DPM - Securities Master List (BBG Linked).xlsx]Equities!R263C33</stp>
        <tr r="AG263" s="2"/>
        <tr r="AG263" s="2"/>
        <tr r="AG263" s="2"/>
      </tp>
      <tp>
        <v>37.711493957315504</v>
        <stp/>
        <stp>##V3_BDPV12</stp>
        <stp>TSCO LN Equity</stp>
        <stp>RR041</stp>
        <stp>[DPM - Securities Master List (BBG Linked).xlsx]Equities!R262C33</stp>
        <tr r="AG262" s="2"/>
        <tr r="AG262" s="2"/>
        <tr r="AG262" s="2"/>
      </tp>
      <tp>
        <v>37.711493957315504</v>
        <stp/>
        <stp>##V3_BDPV12</stp>
        <stp>TSCO LN Equity</stp>
        <stp>RR041</stp>
        <stp>[DPM - Securities Master List (BBG Linked).xlsx]Equities!R267C33</stp>
        <tr r="AG267" s="2"/>
        <tr r="AG267" s="2"/>
        <tr r="AG267" s="2"/>
      </tp>
      <tp>
        <v>37.711493957315504</v>
        <stp/>
        <stp>##V3_BDPV12</stp>
        <stp>TSCO LN Equity</stp>
        <stp>RR041</stp>
        <stp>[DPM - Securities Master List (BBG Linked).xlsx]Equities!R266C33</stp>
        <tr r="AG266" s="2"/>
        <tr r="AG266" s="2"/>
        <tr r="AG266" s="2"/>
      </tp>
      <tp>
        <v>37.711493957315504</v>
        <stp/>
        <stp>##V3_BDPV12</stp>
        <stp>TSCO LN Equity</stp>
        <stp>RR041</stp>
        <stp>[DPM - Securities Master List (BBG Linked).xlsx]Equities!R265C33</stp>
        <tr r="AG265" s="2"/>
        <tr r="AG265" s="2"/>
        <tr r="AG265" s="2"/>
      </tp>
      <tp>
        <v>37.711493957315504</v>
        <stp/>
        <stp>##V3_BDPV12</stp>
        <stp>TSCO LN Equity</stp>
        <stp>RR041</stp>
        <stp>[DPM - Securities Master List (BBG Linked).xlsx]Equities!R264C33</stp>
        <tr r="AG264" s="2"/>
        <tr r="AG264" s="2"/>
        <tr r="AG264" s="2"/>
      </tp>
      <tp>
        <v>4.6103897094726563</v>
        <stp/>
        <stp>##V3_BDPV12</stp>
        <stp>GOOGL UQ Equity</stp>
        <stp>EE201</stp>
        <stp>[DPM - Securities Master List (BBG Linked).xlsx]Equities!R126C37</stp>
        <tr r="AK126" s="2"/>
        <tr r="AK126" s="2"/>
        <tr r="AK126" s="2"/>
      </tp>
      <tp t="s">
        <v>Communication Services</v>
        <stp/>
        <stp>##V3_BDPV12</stp>
        <stp>GOOGL UQ Equity</stp>
        <stp>DX202</stp>
        <stp>[DPM - Securities Master List (BBG Linked).xlsx]Equities!R126C46</stp>
        <tr r="AT126" s="2"/>
        <tr r="AT126" s="2"/>
        <tr r="AT126" s="2"/>
      </tp>
      <tp t="s">
        <v>Equity</v>
        <stp/>
        <stp>##V3_BDPV12</stp>
        <stp>GOOGL US Equity</stp>
        <stp>EX028</stp>
        <stp>[DPM - Securities Master List (BBG Linked).xlsx]Equities!R140C30</stp>
        <tr r="AD140" s="2"/>
        <tr r="AD140" s="2"/>
        <tr r="AD140" s="2"/>
      </tp>
      <tp t="s">
        <v>Equity</v>
        <stp/>
        <stp>##V3_BDPV12</stp>
        <stp>GOOGL US Equity</stp>
        <stp>EX028</stp>
        <stp>[DPM - Securities Master List (BBG Linked).xlsx]Equities!R141C30</stp>
        <tr r="AD141" s="2"/>
        <tr r="AD141" s="2"/>
        <tr r="AD141" s="2"/>
      </tp>
      <tp t="s">
        <v>Equity</v>
        <stp/>
        <stp>##V3_BDPV12</stp>
        <stp>GOOGL US Equity</stp>
        <stp>EX028</stp>
        <stp>[DPM - Securities Master List (BBG Linked).xlsx]Equities!R132C30</stp>
        <tr r="AD132" s="2"/>
        <tr r="AD132" s="2"/>
        <tr r="AD132" s="2"/>
      </tp>
      <tp t="s">
        <v>Equity</v>
        <stp/>
        <stp>##V3_BDPV12</stp>
        <stp>GOOGL US Equity</stp>
        <stp>EX028</stp>
        <stp>[DPM - Securities Master List (BBG Linked).xlsx]Equities!R133C30</stp>
        <tr r="AD133" s="2"/>
        <tr r="AD133" s="2"/>
        <tr r="AD133" s="2"/>
      </tp>
      <tp t="s">
        <v>Equity</v>
        <stp/>
        <stp>##V3_BDPV12</stp>
        <stp>GOOGL US Equity</stp>
        <stp>EX028</stp>
        <stp>[DPM - Securities Master List (BBG Linked).xlsx]Equities!R130C30</stp>
        <tr r="AD130" s="2"/>
        <tr r="AD130" s="2"/>
        <tr r="AD130" s="2"/>
      </tp>
      <tp t="s">
        <v>Equity</v>
        <stp/>
        <stp>##V3_BDPV12</stp>
        <stp>GOOGL US Equity</stp>
        <stp>EX028</stp>
        <stp>[DPM - Securities Master List (BBG Linked).xlsx]Equities!R131C30</stp>
        <tr r="AD131" s="2"/>
        <tr r="AD131" s="2"/>
        <tr r="AD131" s="2"/>
      </tp>
      <tp t="s">
        <v>Equity</v>
        <stp/>
        <stp>##V3_BDPV12</stp>
        <stp>GOOGL US Equity</stp>
        <stp>EX028</stp>
        <stp>[DPM - Securities Master List (BBG Linked).xlsx]Equities!R136C30</stp>
        <tr r="AD136" s="2"/>
        <tr r="AD136" s="2"/>
        <tr r="AD136" s="2"/>
      </tp>
      <tp t="s">
        <v>Equity</v>
        <stp/>
        <stp>##V3_BDPV12</stp>
        <stp>GOOGL US Equity</stp>
        <stp>EX028</stp>
        <stp>[DPM - Securities Master List (BBG Linked).xlsx]Equities!R137C30</stp>
        <tr r="AD137" s="2"/>
        <tr r="AD137" s="2"/>
        <tr r="AD137" s="2"/>
      </tp>
      <tp t="s">
        <v>Equity</v>
        <stp/>
        <stp>##V3_BDPV12</stp>
        <stp>GOOGL US Equity</stp>
        <stp>EX028</stp>
        <stp>[DPM - Securities Master List (BBG Linked).xlsx]Equities!R134C30</stp>
        <tr r="AD134" s="2"/>
        <tr r="AD134" s="2"/>
        <tr r="AD134" s="2"/>
      </tp>
      <tp t="s">
        <v>Equity</v>
        <stp/>
        <stp>##V3_BDPV12</stp>
        <stp>GOOGL US Equity</stp>
        <stp>EX028</stp>
        <stp>[DPM - Securities Master List (BBG Linked).xlsx]Equities!R135C30</stp>
        <tr r="AD135" s="2"/>
        <tr r="AD135" s="2"/>
        <tr r="AD135" s="2"/>
      </tp>
      <tp t="s">
        <v>Equity</v>
        <stp/>
        <stp>##V3_BDPV12</stp>
        <stp>GOOGL US Equity</stp>
        <stp>EX028</stp>
        <stp>[DPM - Securities Master List (BBG Linked).xlsx]Equities!R138C30</stp>
        <tr r="AD138" s="2"/>
        <tr r="AD138" s="2"/>
        <tr r="AD138" s="2"/>
      </tp>
      <tp t="s">
        <v>Equity</v>
        <stp/>
        <stp>##V3_BDPV12</stp>
        <stp>GOOGL US Equity</stp>
        <stp>EX028</stp>
        <stp>[DPM - Securities Master List (BBG Linked).xlsx]Equities!R139C30</stp>
        <tr r="AD139" s="2"/>
        <tr r="AD139" s="2"/>
        <tr r="AD139" s="2"/>
      </tp>
      <tp t="s">
        <v>Equity</v>
        <stp/>
        <stp>##V3_BDPV12</stp>
        <stp>GOOGL US Equity</stp>
        <stp>EX028</stp>
        <stp>[DPM - Securities Master List (BBG Linked).xlsx]Equities!R127C30</stp>
        <tr r="AD127" s="2"/>
        <tr r="AD127" s="2"/>
        <tr r="AD127" s="2"/>
      </tp>
      <tp t="s">
        <v>Equity</v>
        <stp/>
        <stp>##V3_BDPV12</stp>
        <stp>GOOGL US Equity</stp>
        <stp>EX028</stp>
        <stp>[DPM - Securities Master List (BBG Linked).xlsx]Equities!R128C30</stp>
        <tr r="AD128" s="2"/>
        <tr r="AD128" s="2"/>
        <tr r="AD128" s="2"/>
      </tp>
      <tp t="s">
        <v>Equity</v>
        <stp/>
        <stp>##V3_BDPV12</stp>
        <stp>GOOGL US Equity</stp>
        <stp>EX028</stp>
        <stp>[DPM - Securities Master List (BBG Linked).xlsx]Equities!R129C30</stp>
        <tr r="AD129" s="2"/>
        <tr r="AD129" s="2"/>
        <tr r="AD129" s="2"/>
      </tp>
      <tp t="s">
        <v>US02079K3059</v>
        <stp/>
        <stp>##V3_BDPV12</stp>
        <stp>GOOGL UQ Equity</stp>
        <stp>ID005</stp>
        <stp>[DPM - Securities Master List (BBG Linked).xlsx]Equities!R126C55</stp>
        <tr r="BC126" s="2"/>
      </tp>
      <tp t="s">
        <v>USD</v>
        <stp/>
        <stp>##V3_BDPV12</stp>
        <stp>TCEHY US Equity</stp>
        <stp>CRNCY</stp>
        <stp>[DPM - Securities Master List (BBG Linked).xlsx]Equities!R260C6</stp>
        <tr r="F260" s="2"/>
      </tp>
      <tp>
        <v>40.144887463363382</v>
        <stp/>
        <stp>##V3_BDPV12</stp>
        <stp>VOW3 GY Equity</stp>
        <stp>RR041</stp>
        <stp>[DPM - Securities Master List (BBG Linked).xlsx]Equities!R290C33</stp>
        <tr r="AG290" s="2"/>
        <tr r="AG290" s="2"/>
        <tr r="AG290" s="2"/>
      </tp>
      <tp>
        <v>40.144887463363382</v>
        <stp/>
        <stp>##V3_BDPV12</stp>
        <stp>VOW3 GY Equity</stp>
        <stp>RR041</stp>
        <stp>[DPM - Securities Master List (BBG Linked).xlsx]Equities!R291C33</stp>
        <tr r="AG291" s="2"/>
        <tr r="AG291" s="2"/>
        <tr r="AG291" s="2"/>
      </tp>
      <tp>
        <v>40.144887463363382</v>
        <stp/>
        <stp>##V3_BDPV12</stp>
        <stp>VOW3 GY Equity</stp>
        <stp>RR041</stp>
        <stp>[DPM - Securities Master List (BBG Linked).xlsx]Equities!R292C33</stp>
        <tr r="AG292" s="2"/>
        <tr r="AG292" s="2"/>
        <tr r="AG292" s="2"/>
      </tp>
      <tp>
        <v>40.144887463363382</v>
        <stp/>
        <stp>##V3_BDPV12</stp>
        <stp>VOW3 GY Equity</stp>
        <stp>RR041</stp>
        <stp>[DPM - Securities Master List (BBG Linked).xlsx]Equities!R293C33</stp>
        <tr r="AG293" s="2"/>
        <tr r="AG293" s="2"/>
        <tr r="AG293" s="2"/>
      </tp>
      <tp>
        <v>40.144887463363382</v>
        <stp/>
        <stp>##V3_BDPV12</stp>
        <stp>VOW3 GY Equity</stp>
        <stp>RR041</stp>
        <stp>[DPM - Securities Master List (BBG Linked).xlsx]Equities!R289C33</stp>
        <tr r="AG289" s="2"/>
        <tr r="AG289" s="2"/>
        <tr r="AG289" s="2"/>
      </tp>
      <tp t="s">
        <v>Information Technology</v>
        <stp/>
        <stp>##V3_BDPV12</stp>
        <stp>ADBE US Equity</stp>
        <stp>DX202</stp>
        <stp>[DPM - Securities Master List (BBG Linked).xlsx]Equities!R43C8</stp>
        <tr r="H43" s="2"/>
        <tr r="H43" s="2"/>
        <tr r="H43" s="2"/>
      </tp>
      <tp t="s">
        <v>Information Technology</v>
        <stp/>
        <stp>##V3_BDPV12</stp>
        <stp>DELL US Equity</stp>
        <stp>DX202</stp>
        <stp>[DPM - Securities Master List (BBG Linked).xlsx]Equities!R96C8</stp>
        <tr r="H96" s="2"/>
        <tr r="H96" s="2"/>
        <tr r="H96" s="2"/>
      </tp>
      <tp t="s">
        <v>Health Care</v>
        <stp/>
        <stp>##V3_BDPV12</stp>
        <stp>BMRN US Equity</stp>
        <stp>DX202</stp>
        <stp>[DPM - Securities Master List (BBG Linked).xlsx]Equities!R70C8</stp>
        <tr r="H70" s="2"/>
        <tr r="H70" s="2"/>
        <tr r="H70" s="2"/>
      </tp>
      <tp t="s">
        <v>#N/A Invalid Override</v>
        <stp/>
        <stp>##V3_BDPV12</stp>
        <stp>XS2419405274 isin</stp>
        <stp>YAS_BOND_YLD</stp>
        <stp>[DPM - Securities Master List (BBG Linked).xlsx]Bonds!R112C10</stp>
        <stp>YAS_YLD_FLAG=15</stp>
        <stp>user_local_trade_date</stp>
        <stp>45783</stp>
        <stp>Yas_bond_px</stp>
        <stp>#N/A Connection</stp>
        <tr r="J112" s="1"/>
      </tp>
      <tp>
        <v>198.96818542480469</v>
        <stp/>
        <stp>##V3_BDPV12</stp>
        <stp>3690 HK Equity</stp>
        <stp>BEST_TARGET_PRICE</stp>
        <stp>[DPM - Securities Master List (BBG Linked).xlsx]Equities!R10C38</stp>
        <tr r="AL10" s="2"/>
      </tp>
      <tp>
        <v>198.96818542480469</v>
        <stp/>
        <stp>##V3_BDPV12</stp>
        <stp>3690 HK Equity</stp>
        <stp>BEST_TARGET_PRICE</stp>
        <stp>[DPM - Securities Master List (BBG Linked).xlsx]Equities!R11C38</stp>
        <tr r="AL11" s="2"/>
      </tp>
      <tp>
        <v>198.96818542480469</v>
        <stp/>
        <stp>##V3_BDPV12</stp>
        <stp>3690 HK Equity</stp>
        <stp>BEST_TARGET_PRICE</stp>
        <stp>[DPM - Securities Master List (BBG Linked).xlsx]Equities!R12C38</stp>
        <tr r="AL12" s="2"/>
      </tp>
      <tp>
        <v>198.96818542480469</v>
        <stp/>
        <stp>##V3_BDPV12</stp>
        <stp>3690 HK Equity</stp>
        <stp>BEST_TARGET_PRICE</stp>
        <stp>[DPM - Securities Master List (BBG Linked).xlsx]Equities!R13C38</stp>
        <tr r="AL13" s="2"/>
      </tp>
      <tp>
        <v>198.96818542480469</v>
        <stp/>
        <stp>##V3_BDPV12</stp>
        <stp>3690 HK Equity</stp>
        <stp>BEST_TARGET_PRICE</stp>
        <stp>[DPM - Securities Master List (BBG Linked).xlsx]Equities!R14C38</stp>
        <tr r="AL14" s="2"/>
      </tp>
      <tp>
        <v>109174.82138964783</v>
        <stp/>
        <stp>##V3_BDPV12</stp>
        <stp>3690 HK Equity</stp>
        <stp>CRNCY_ADJ_MKT_CAP</stp>
        <stp>[DPM - Securities Master List (BBG Linked).xlsx]Equities!R7C9</stp>
        <stp>EQY_FUND_CRNCY=USD</stp>
        <tr r="I7" s="2"/>
      </tp>
      <tp>
        <v>109174.82138964783</v>
        <stp/>
        <stp>##V3_BDPV12</stp>
        <stp>3690 HK Equity</stp>
        <stp>CRNCY_ADJ_MKT_CAP</stp>
        <stp>[DPM - Securities Master List (BBG Linked).xlsx]Equities!R9C9</stp>
        <stp>EQY_FUND_CRNCY=USD</stp>
        <tr r="I9" s="2"/>
      </tp>
      <tp>
        <v>109174.82138964783</v>
        <stp/>
        <stp>##V3_BDPV12</stp>
        <stp>3690 HK Equity</stp>
        <stp>CRNCY_ADJ_MKT_CAP</stp>
        <stp>[DPM - Securities Master List (BBG Linked).xlsx]Equities!R8C9</stp>
        <stp>EQY_FUND_CRNCY=USD</stp>
        <tr r="I8" s="2"/>
      </tp>
      <tp t="s">
        <v>USD</v>
        <stp/>
        <stp>##V3_BDPV12</stp>
        <stp>ADBE US Equity</stp>
        <stp>CRNCY</stp>
        <stp>[DPM - Securities Master List (BBG Linked).xlsx]Equities!R39C6</stp>
        <tr r="F39" s="2"/>
      </tp>
      <tp t="s">
        <v>USD</v>
        <stp/>
        <stp>##V3_BDPV12</stp>
        <stp>ADBE US Equity</stp>
        <stp>CRNCY</stp>
        <stp>[DPM - Securities Master List (BBG Linked).xlsx]Equities!R49C6</stp>
        <tr r="F49" s="2"/>
      </tp>
      <tp t="s">
        <v>N</v>
        <stp/>
        <stp>##V3_BDPV12</stp>
        <stp>PYPL US Equity</stp>
        <stp>DY997</stp>
        <stp>[DPM - Securities Master List (BBG Linked).xlsx]Equities!R237C47</stp>
        <tr r="AU237" s="2"/>
        <tr r="AU237" s="2"/>
        <tr r="AU237" s="2"/>
      </tp>
      <tp t="s">
        <v>N</v>
        <stp/>
        <stp>##V3_BDPV12</stp>
        <stp>PYPL US Equity</stp>
        <stp>DY997</stp>
        <stp>[DPM - Securities Master List (BBG Linked).xlsx]Equities!R239C47</stp>
        <tr r="AU239" s="2"/>
        <tr r="AU239" s="2"/>
        <tr r="AU239" s="2"/>
      </tp>
      <tp t="s">
        <v>N</v>
        <stp/>
        <stp>##V3_BDPV12</stp>
        <stp>PYPL US Equity</stp>
        <stp>DY997</stp>
        <stp>[DPM - Securities Master List (BBG Linked).xlsx]Equities!R238C47</stp>
        <tr r="AU238" s="2"/>
        <tr r="AU238" s="2"/>
        <tr r="AU238" s="2"/>
      </tp>
      <tp>
        <v>3.1741827110763308</v>
        <stp/>
        <stp>##V3_BDPV12</stp>
        <stp>NSRGY US Equity</stp>
        <stp>DV013</stp>
        <stp>[DPM - Securities Master List (BBG Linked).xlsx]Equities!R223C10</stp>
        <tr r="J223" s="2"/>
      </tp>
      <tp>
        <v>18.767134972763547</v>
        <stp/>
        <stp>##V3_BDPV12</stp>
        <stp>NSRGY US Equity</stp>
        <stp>EE010</stp>
        <stp>[DPM - Securities Master List (BBG Linked).xlsx]Equities!R223C12</stp>
        <tr r="L223" s="2"/>
        <tr r="L223" s="2"/>
        <tr r="L223" s="2"/>
      </tp>
      <tp>
        <v>15.48466489965922</v>
        <stp/>
        <stp>##V3_BDPV12</stp>
        <stp>GOOGL US Equity</stp>
        <stp>EE010</stp>
        <stp>[DPM - Securities Master List (BBG Linked).xlsx]Equities!R127C12</stp>
        <tr r="L127" s="2"/>
        <tr r="L127" s="2"/>
        <tr r="L127" s="2"/>
      </tp>
      <tp>
        <v>15.48466489965922</v>
        <stp/>
        <stp>##V3_BDPV12</stp>
        <stp>GOOGL US Equity</stp>
        <stp>EE010</stp>
        <stp>[DPM - Securities Master List (BBG Linked).xlsx]Equities!R128C12</stp>
        <tr r="L128" s="2"/>
        <tr r="L128" s="2"/>
        <tr r="L128" s="2"/>
      </tp>
      <tp>
        <v>15.48466489965922</v>
        <stp/>
        <stp>##V3_BDPV12</stp>
        <stp>GOOGL US Equity</stp>
        <stp>EE010</stp>
        <stp>[DPM - Securities Master List (BBG Linked).xlsx]Equities!R129C12</stp>
        <tr r="L129" s="2"/>
        <tr r="L129" s="2"/>
        <tr r="L129" s="2"/>
      </tp>
      <tp>
        <v>15.48466489965922</v>
        <stp/>
        <stp>##V3_BDPV12</stp>
        <stp>GOOGL US Equity</stp>
        <stp>EE010</stp>
        <stp>[DPM - Securities Master List (BBG Linked).xlsx]Equities!R132C12</stp>
        <tr r="L132" s="2"/>
        <tr r="L132" s="2"/>
        <tr r="L132" s="2"/>
      </tp>
      <tp>
        <v>15.48466489965922</v>
        <stp/>
        <stp>##V3_BDPV12</stp>
        <stp>GOOGL US Equity</stp>
        <stp>EE010</stp>
        <stp>[DPM - Securities Master List (BBG Linked).xlsx]Equities!R133C12</stp>
        <tr r="L133" s="2"/>
        <tr r="L133" s="2"/>
        <tr r="L133" s="2"/>
      </tp>
      <tp>
        <v>15.48466489965922</v>
        <stp/>
        <stp>##V3_BDPV12</stp>
        <stp>GOOGL US Equity</stp>
        <stp>EE010</stp>
        <stp>[DPM - Securities Master List (BBG Linked).xlsx]Equities!R130C12</stp>
        <tr r="L130" s="2"/>
        <tr r="L130" s="2"/>
        <tr r="L130" s="2"/>
      </tp>
      <tp>
        <v>15.48466489965922</v>
        <stp/>
        <stp>##V3_BDPV12</stp>
        <stp>GOOGL US Equity</stp>
        <stp>EE010</stp>
        <stp>[DPM - Securities Master List (BBG Linked).xlsx]Equities!R131C12</stp>
        <tr r="L131" s="2"/>
        <tr r="L131" s="2"/>
        <tr r="L131" s="2"/>
      </tp>
      <tp>
        <v>15.48466489965922</v>
        <stp/>
        <stp>##V3_BDPV12</stp>
        <stp>GOOGL US Equity</stp>
        <stp>EE010</stp>
        <stp>[DPM - Securities Master List (BBG Linked).xlsx]Equities!R136C12</stp>
        <tr r="L136" s="2"/>
        <tr r="L136" s="2"/>
        <tr r="L136" s="2"/>
      </tp>
      <tp>
        <v>15.48466489965922</v>
        <stp/>
        <stp>##V3_BDPV12</stp>
        <stp>GOOGL US Equity</stp>
        <stp>EE010</stp>
        <stp>[DPM - Securities Master List (BBG Linked).xlsx]Equities!R137C12</stp>
        <tr r="L137" s="2"/>
        <tr r="L137" s="2"/>
        <tr r="L137" s="2"/>
      </tp>
      <tp>
        <v>15.48466489965922</v>
        <stp/>
        <stp>##V3_BDPV12</stp>
        <stp>GOOGL US Equity</stp>
        <stp>EE010</stp>
        <stp>[DPM - Securities Master List (BBG Linked).xlsx]Equities!R134C12</stp>
        <tr r="L134" s="2"/>
        <tr r="L134" s="2"/>
        <tr r="L134" s="2"/>
      </tp>
      <tp>
        <v>15.48466489965922</v>
        <stp/>
        <stp>##V3_BDPV12</stp>
        <stp>GOOGL US Equity</stp>
        <stp>EE010</stp>
        <stp>[DPM - Securities Master List (BBG Linked).xlsx]Equities!R135C12</stp>
        <tr r="L135" s="2"/>
        <tr r="L135" s="2"/>
        <tr r="L135" s="2"/>
      </tp>
      <tp>
        <v>15.48466489965922</v>
        <stp/>
        <stp>##V3_BDPV12</stp>
        <stp>GOOGL US Equity</stp>
        <stp>EE010</stp>
        <stp>[DPM - Securities Master List (BBG Linked).xlsx]Equities!R138C12</stp>
        <tr r="L138" s="2"/>
        <tr r="L138" s="2"/>
        <tr r="L138" s="2"/>
      </tp>
      <tp>
        <v>15.48466489965922</v>
        <stp/>
        <stp>##V3_BDPV12</stp>
        <stp>GOOGL US Equity</stp>
        <stp>EE010</stp>
        <stp>[DPM - Securities Master List (BBG Linked).xlsx]Equities!R139C12</stp>
        <tr r="L139" s="2"/>
        <tr r="L139" s="2"/>
        <tr r="L139" s="2"/>
      </tp>
      <tp>
        <v>15.48466489965922</v>
        <stp/>
        <stp>##V3_BDPV12</stp>
        <stp>GOOGL US Equity</stp>
        <stp>EE010</stp>
        <stp>[DPM - Securities Master List (BBG Linked).xlsx]Equities!R140C12</stp>
        <tr r="L140" s="2"/>
        <tr r="L140" s="2"/>
        <tr r="L140" s="2"/>
      </tp>
      <tp>
        <v>15.48466489965922</v>
        <stp/>
        <stp>##V3_BDPV12</stp>
        <stp>GOOGL US Equity</stp>
        <stp>EE010</stp>
        <stp>[DPM - Securities Master List (BBG Linked).xlsx]Equities!R141C12</stp>
        <tr r="L141" s="2"/>
        <tr r="L141" s="2"/>
        <tr r="L141" s="2"/>
      </tp>
      <tp>
        <v>0.51354158694990304</v>
        <stp/>
        <stp>##V3_BDPV12</stp>
        <stp>GOOGL US Equity</stp>
        <stp>DV013</stp>
        <stp>[DPM - Securities Master List (BBG Linked).xlsx]Equities!R132C10</stp>
        <tr r="J132" s="2"/>
      </tp>
      <tp>
        <v>0.51354158694990304</v>
        <stp/>
        <stp>##V3_BDPV12</stp>
        <stp>GOOGL US Equity</stp>
        <stp>DV013</stp>
        <stp>[DPM - Securities Master List (BBG Linked).xlsx]Equities!R133C10</stp>
        <tr r="J133" s="2"/>
      </tp>
      <tp>
        <v>0.51354158694990304</v>
        <stp/>
        <stp>##V3_BDPV12</stp>
        <stp>GOOGL US Equity</stp>
        <stp>DV013</stp>
        <stp>[DPM - Securities Master List (BBG Linked).xlsx]Equities!R130C10</stp>
        <tr r="J130" s="2"/>
      </tp>
      <tp>
        <v>0.51354158694990304</v>
        <stp/>
        <stp>##V3_BDPV12</stp>
        <stp>GOOGL US Equity</stp>
        <stp>DV013</stp>
        <stp>[DPM - Securities Master List (BBG Linked).xlsx]Equities!R131C10</stp>
        <tr r="J131" s="2"/>
      </tp>
      <tp>
        <v>0.51354158694990304</v>
        <stp/>
        <stp>##V3_BDPV12</stp>
        <stp>GOOGL US Equity</stp>
        <stp>DV013</stp>
        <stp>[DPM - Securities Master List (BBG Linked).xlsx]Equities!R136C10</stp>
        <tr r="J136" s="2"/>
      </tp>
      <tp>
        <v>0.51354158694990304</v>
        <stp/>
        <stp>##V3_BDPV12</stp>
        <stp>GOOGL US Equity</stp>
        <stp>DV013</stp>
        <stp>[DPM - Securities Master List (BBG Linked).xlsx]Equities!R137C10</stp>
        <tr r="J137" s="2"/>
      </tp>
      <tp>
        <v>0.51354158694990304</v>
        <stp/>
        <stp>##V3_BDPV12</stp>
        <stp>GOOGL US Equity</stp>
        <stp>DV013</stp>
        <stp>[DPM - Securities Master List (BBG Linked).xlsx]Equities!R134C10</stp>
        <tr r="J134" s="2"/>
      </tp>
      <tp>
        <v>0.51354158694990304</v>
        <stp/>
        <stp>##V3_BDPV12</stp>
        <stp>GOOGL US Equity</stp>
        <stp>DV013</stp>
        <stp>[DPM - Securities Master List (BBG Linked).xlsx]Equities!R135C10</stp>
        <tr r="J135" s="2"/>
      </tp>
      <tp>
        <v>0.51354158694990304</v>
        <stp/>
        <stp>##V3_BDPV12</stp>
        <stp>GOOGL US Equity</stp>
        <stp>DV013</stp>
        <stp>[DPM - Securities Master List (BBG Linked).xlsx]Equities!R138C10</stp>
        <tr r="J138" s="2"/>
      </tp>
      <tp>
        <v>0.51354158694990304</v>
        <stp/>
        <stp>##V3_BDPV12</stp>
        <stp>GOOGL US Equity</stp>
        <stp>DV013</stp>
        <stp>[DPM - Securities Master List (BBG Linked).xlsx]Equities!R139C10</stp>
        <tr r="J139" s="2"/>
      </tp>
      <tp>
        <v>0.51354158694990304</v>
        <stp/>
        <stp>##V3_BDPV12</stp>
        <stp>GOOGL US Equity</stp>
        <stp>DV013</stp>
        <stp>[DPM - Securities Master List (BBG Linked).xlsx]Equities!R127C10</stp>
        <tr r="J127" s="2"/>
      </tp>
      <tp>
        <v>0.51354158694990304</v>
        <stp/>
        <stp>##V3_BDPV12</stp>
        <stp>GOOGL US Equity</stp>
        <stp>DV013</stp>
        <stp>[DPM - Securities Master List (BBG Linked).xlsx]Equities!R128C10</stp>
        <tr r="J128" s="2"/>
      </tp>
      <tp>
        <v>0.51354158694990304</v>
        <stp/>
        <stp>##V3_BDPV12</stp>
        <stp>GOOGL US Equity</stp>
        <stp>DV013</stp>
        <stp>[DPM - Securities Master List (BBG Linked).xlsx]Equities!R129C10</stp>
        <tr r="J129" s="2"/>
      </tp>
      <tp>
        <v>0.51354158694990304</v>
        <stp/>
        <stp>##V3_BDPV12</stp>
        <stp>GOOGL US Equity</stp>
        <stp>DV013</stp>
        <stp>[DPM - Securities Master List (BBG Linked).xlsx]Equities!R140C10</stp>
        <tr r="J140" s="2"/>
      </tp>
      <tp>
        <v>0.51354158694990304</v>
        <stp/>
        <stp>##V3_BDPV12</stp>
        <stp>GOOGL US Equity</stp>
        <stp>DV013</stp>
        <stp>[DPM - Securities Master List (BBG Linked).xlsx]Equities!R141C10</stp>
        <tr r="J141" s="2"/>
      </tp>
      <tp>
        <v>2.6337259999999998</v>
        <stp/>
        <stp>##V3_BDPV12</stp>
        <stp>TSCO LN Equity</stp>
        <stp>PR079</stp>
        <stp>[DPM - Securities Master List (BBG Linked).xlsx]Equities!R273C43</stp>
        <tr r="AQ273" s="2"/>
      </tp>
      <tp>
        <v>2.6337259999999998</v>
        <stp/>
        <stp>##V3_BDPV12</stp>
        <stp>TSCO LN Equity</stp>
        <stp>PR079</stp>
        <stp>[DPM - Securities Master List (BBG Linked).xlsx]Equities!R272C43</stp>
        <tr r="AQ272" s="2"/>
      </tp>
      <tp>
        <v>2.6337259999999998</v>
        <stp/>
        <stp>##V3_BDPV12</stp>
        <stp>TSCO LN Equity</stp>
        <stp>PR079</stp>
        <stp>[DPM - Securities Master List (BBG Linked).xlsx]Equities!R271C43</stp>
        <tr r="AQ271" s="2"/>
      </tp>
      <tp>
        <v>2.6337259999999998</v>
        <stp/>
        <stp>##V3_BDPV12</stp>
        <stp>TSCO LN Equity</stp>
        <stp>PR079</stp>
        <stp>[DPM - Securities Master List (BBG Linked).xlsx]Equities!R270C43</stp>
        <tr r="AQ270" s="2"/>
      </tp>
      <tp>
        <v>2.6337259999999998</v>
        <stp/>
        <stp>##V3_BDPV12</stp>
        <stp>TSCO LN Equity</stp>
        <stp>PR079</stp>
        <stp>[DPM - Securities Master List (BBG Linked).xlsx]Equities!R275C43</stp>
        <tr r="AQ275" s="2"/>
      </tp>
      <tp>
        <v>2.6337259999999998</v>
        <stp/>
        <stp>##V3_BDPV12</stp>
        <stp>TSCO LN Equity</stp>
        <stp>PR079</stp>
        <stp>[DPM - Securities Master List (BBG Linked).xlsx]Equities!R274C43</stp>
        <tr r="AQ274" s="2"/>
      </tp>
      <tp>
        <v>2.6337259999999998</v>
        <stp/>
        <stp>##V3_BDPV12</stp>
        <stp>TSCO LN Equity</stp>
        <stp>PR079</stp>
        <stp>[DPM - Securities Master List (BBG Linked).xlsx]Equities!R269C43</stp>
        <tr r="AQ269" s="2"/>
      </tp>
      <tp>
        <v>2.6337259999999998</v>
        <stp/>
        <stp>##V3_BDPV12</stp>
        <stp>TSCO LN Equity</stp>
        <stp>PR079</stp>
        <stp>[DPM - Securities Master List (BBG Linked).xlsx]Equities!R268C43</stp>
        <tr r="AQ268" s="2"/>
      </tp>
      <tp>
        <v>2.6337259999999998</v>
        <stp/>
        <stp>##V3_BDPV12</stp>
        <stp>TSCO LN Equity</stp>
        <stp>PR079</stp>
        <stp>[DPM - Securities Master List (BBG Linked).xlsx]Equities!R263C43</stp>
        <tr r="AQ263" s="2"/>
      </tp>
      <tp>
        <v>2.6337259999999998</v>
        <stp/>
        <stp>##V3_BDPV12</stp>
        <stp>TSCO LN Equity</stp>
        <stp>PR079</stp>
        <stp>[DPM - Securities Master List (BBG Linked).xlsx]Equities!R262C43</stp>
        <tr r="AQ262" s="2"/>
      </tp>
      <tp>
        <v>2.6337259999999998</v>
        <stp/>
        <stp>##V3_BDPV12</stp>
        <stp>TSCO LN Equity</stp>
        <stp>PR079</stp>
        <stp>[DPM - Securities Master List (BBG Linked).xlsx]Equities!R267C43</stp>
        <tr r="AQ267" s="2"/>
      </tp>
      <tp>
        <v>2.6337259999999998</v>
        <stp/>
        <stp>##V3_BDPV12</stp>
        <stp>TSCO LN Equity</stp>
        <stp>PR079</stp>
        <stp>[DPM - Securities Master List (BBG Linked).xlsx]Equities!R266C43</stp>
        <tr r="AQ266" s="2"/>
      </tp>
      <tp>
        <v>2.6337259999999998</v>
        <stp/>
        <stp>##V3_BDPV12</stp>
        <stp>TSCO LN Equity</stp>
        <stp>PR079</stp>
        <stp>[DPM - Securities Master List (BBG Linked).xlsx]Equities!R265C43</stp>
        <tr r="AQ265" s="2"/>
      </tp>
      <tp>
        <v>2.6337259999999998</v>
        <stp/>
        <stp>##V3_BDPV12</stp>
        <stp>TSCO LN Equity</stp>
        <stp>PR079</stp>
        <stp>[DPM - Securities Master List (BBG Linked).xlsx]Equities!R264C43</stp>
        <tr r="AQ264" s="2"/>
      </tp>
      <tp>
        <v>2.2229362743979264</v>
        <stp/>
        <stp>##V3_BDPV12</stp>
        <stp>VOW3 GY Equity</stp>
        <stp>RR957</stp>
        <stp>[DPM - Securities Master List (BBG Linked).xlsx]Equities!R289C14</stp>
        <tr r="N289" s="2"/>
        <tr r="N289" s="2"/>
        <tr r="N289" s="2"/>
      </tp>
      <tp>
        <v>2.2229362743979264</v>
        <stp/>
        <stp>##V3_BDPV12</stp>
        <stp>VOW3 GY Equity</stp>
        <stp>RR957</stp>
        <stp>[DPM - Securities Master List (BBG Linked).xlsx]Equities!R291C14</stp>
        <tr r="N291" s="2"/>
        <tr r="N291" s="2"/>
        <tr r="N291" s="2"/>
      </tp>
      <tp>
        <v>2.2229362743979264</v>
        <stp/>
        <stp>##V3_BDPV12</stp>
        <stp>VOW3 GY Equity</stp>
        <stp>RR957</stp>
        <stp>[DPM - Securities Master List (BBG Linked).xlsx]Equities!R290C14</stp>
        <tr r="N290" s="2"/>
        <tr r="N290" s="2"/>
        <tr r="N290" s="2"/>
      </tp>
      <tp>
        <v>2.2229362743979264</v>
        <stp/>
        <stp>##V3_BDPV12</stp>
        <stp>VOW3 GY Equity</stp>
        <stp>RR957</stp>
        <stp>[DPM - Securities Master List (BBG Linked).xlsx]Equities!R293C14</stp>
        <tr r="N293" s="2"/>
        <tr r="N293" s="2"/>
        <tr r="N293" s="2"/>
      </tp>
      <tp>
        <v>2.2229362743979264</v>
        <stp/>
        <stp>##V3_BDPV12</stp>
        <stp>VOW3 GY Equity</stp>
        <stp>RR957</stp>
        <stp>[DPM - Securities Master List (BBG Linked).xlsx]Equities!R292C14</stp>
        <tr r="N292" s="2"/>
        <tr r="N292" s="2"/>
        <tr r="N292" s="2"/>
      </tp>
      <tp t="s">
        <v>Information Technology</v>
        <stp/>
        <stp>##V3_BDPV12</stp>
        <stp>ADBE US Equity</stp>
        <stp>DX202</stp>
        <stp>[DPM - Securities Master List (BBG Linked).xlsx]Equities!R42C8</stp>
        <tr r="H42" s="2"/>
        <tr r="H42" s="2"/>
        <tr r="H42" s="2"/>
      </tp>
      <tp t="s">
        <v>Information Technology</v>
        <stp/>
        <stp>##V3_BDPV12</stp>
        <stp>DELL US Equity</stp>
        <stp>DX202</stp>
        <stp>[DPM - Securities Master List (BBG Linked).xlsx]Equities!R97C8</stp>
        <tr r="H97" s="2"/>
        <tr r="H97" s="2"/>
        <tr r="H97" s="2"/>
      </tp>
      <tp t="s">
        <v>Health Care</v>
        <stp/>
        <stp>##V3_BDPV12</stp>
        <stp>BMRN US Equity</stp>
        <stp>DX202</stp>
        <stp>[DPM - Securities Master List (BBG Linked).xlsx]Equities!R71C8</stp>
        <tr r="H71" s="2"/>
        <tr r="H71" s="2"/>
        <tr r="H71" s="2"/>
      </tp>
      <tp t="s">
        <v>#N/A Invalid Field</v>
        <stp/>
        <stp>##V3_BDPV12</stp>
        <stp>KER FP Equity</stp>
        <stp/>
        <stp>[DPM - Securities Master List (BBG Linked).xlsx]Equities!R150C29</stp>
        <tr r="AC150" s="2"/>
        <tr r="AC150" s="2"/>
      </tp>
      <tp t="s">
        <v>#N/A Invalid Field</v>
        <stp/>
        <stp>##V3_BDPV12</stp>
        <stp>KER FP Equity</stp>
        <stp/>
        <stp>[DPM - Securities Master List (BBG Linked).xlsx]Equities!R151C29</stp>
        <tr r="AC151" s="2"/>
        <tr r="AC151" s="2"/>
      </tp>
      <tp t="s">
        <v>#N/A Invalid Field</v>
        <stp/>
        <stp>##V3_BDPV12</stp>
        <stp>KER FP Equity</stp>
        <stp/>
        <stp>[DPM - Securities Master List (BBG Linked).xlsx]Equities!R152C29</stp>
        <tr r="AC152" s="2"/>
        <tr r="AC152" s="2"/>
      </tp>
      <tp t="s">
        <v>#N/A Invalid Field</v>
        <stp/>
        <stp>##V3_BDPV12</stp>
        <stp>KER FP Equity</stp>
        <stp/>
        <stp>[DPM - Securities Master List (BBG Linked).xlsx]Equities!R153C29</stp>
        <tr r="AC153" s="2"/>
        <tr r="AC153" s="2"/>
      </tp>
      <tp t="s">
        <v>#N/A Invalid Field</v>
        <stp/>
        <stp>##V3_BDPV12</stp>
        <stp>KER FP Equity</stp>
        <stp/>
        <stp>[DPM - Securities Master List (BBG Linked).xlsx]Equities!R149C29</stp>
        <tr r="AC149" s="2"/>
        <tr r="AC149" s="2"/>
      </tp>
      <tp t="s">
        <v>#N/A Invalid Override</v>
        <stp/>
        <stp>##V3_BDPV12</stp>
        <stp>XS2358483258 isin</stp>
        <stp>YAS_BOND_YLD</stp>
        <stp>[DPM - Securities Master List (BBG Linked).xlsx]Bonds!R168C10</stp>
        <stp>YAS_YLD_FLAG=15</stp>
        <stp>user_local_trade_date</stp>
        <stp>45783</stp>
        <stp>Yas_bond_px</stp>
        <stp>#N/A Connection</stp>
        <tr r="J168" s="1"/>
      </tp>
      <tp t="s">
        <v>#N/A Invalid Override</v>
        <stp/>
        <stp>##V3_BDPV12</stp>
        <stp>FR0013322823 isin</stp>
        <stp>YAS_BOND_YLD</stp>
        <stp>[DPM - Securities Master List (BBG Linked).xlsx]Bonds!R136C10</stp>
        <stp>YAS_YLD_FLAG=15</stp>
        <stp>user_local_trade_date</stp>
        <stp>45783</stp>
        <stp>Yas_bond_px</stp>
        <stp>#N/A Connection</stp>
        <tr r="J136" s="1"/>
      </tp>
      <tp t="s">
        <v>#N/A Invalid Override</v>
        <stp/>
        <stp>##V3_BDPV12</stp>
        <stp>FR0013322823 isin</stp>
        <stp>YAS_BOND_YLD</stp>
        <stp>[DPM - Securities Master List (BBG Linked).xlsx]Bonds!R145C10</stp>
        <stp>YAS_YLD_FLAG=15</stp>
        <stp>user_local_trade_date</stp>
        <stp>45783</stp>
        <stp>Yas_bond_px</stp>
        <stp>#N/A Connection</stp>
        <tr r="J145" s="1"/>
      </tp>
      <tp>
        <v>80.11</v>
        <stp/>
        <stp>##V3_BDPV12</stp>
        <stp>NSRGY US Equity</stp>
        <stp>hs002</stp>
        <stp>[DPM - Securities Master List (BBG Linked).xlsx]Equities!R223C45</stp>
        <tr r="AS223" s="2"/>
      </tp>
      <tp>
        <v>110.46</v>
        <stp/>
        <stp>##V3_BDPV12</stp>
        <stp>NSRGY US Equity</stp>
        <stp>hs001</stp>
        <stp>[DPM - Securities Master List (BBG Linked).xlsx]Equities!R223C44</stp>
        <tr r="AR223" s="2"/>
      </tp>
      <tp>
        <v>207.05</v>
        <stp/>
        <stp>##V3_BDPV12</stp>
        <stp>GOOGL US Equity</stp>
        <stp>hs001</stp>
        <stp>[DPM - Securities Master List (BBG Linked).xlsx]Equities!R127C44</stp>
        <tr r="AR127" s="2"/>
      </tp>
      <tp>
        <v>207.05</v>
        <stp/>
        <stp>##V3_BDPV12</stp>
        <stp>GOOGL US Equity</stp>
        <stp>hs001</stp>
        <stp>[DPM - Securities Master List (BBG Linked).xlsx]Equities!R128C44</stp>
        <tr r="AR128" s="2"/>
      </tp>
      <tp>
        <v>207.05</v>
        <stp/>
        <stp>##V3_BDPV12</stp>
        <stp>GOOGL US Equity</stp>
        <stp>hs001</stp>
        <stp>[DPM - Securities Master List (BBG Linked).xlsx]Equities!R129C44</stp>
        <tr r="AR129" s="2"/>
      </tp>
      <tp>
        <v>207.05</v>
        <stp/>
        <stp>##V3_BDPV12</stp>
        <stp>GOOGL US Equity</stp>
        <stp>hs001</stp>
        <stp>[DPM - Securities Master List (BBG Linked).xlsx]Equities!R132C44</stp>
        <tr r="AR132" s="2"/>
      </tp>
      <tp>
        <v>207.05</v>
        <stp/>
        <stp>##V3_BDPV12</stp>
        <stp>GOOGL US Equity</stp>
        <stp>hs001</stp>
        <stp>[DPM - Securities Master List (BBG Linked).xlsx]Equities!R133C44</stp>
        <tr r="AR133" s="2"/>
      </tp>
      <tp>
        <v>207.05</v>
        <stp/>
        <stp>##V3_BDPV12</stp>
        <stp>GOOGL US Equity</stp>
        <stp>hs001</stp>
        <stp>[DPM - Securities Master List (BBG Linked).xlsx]Equities!R130C44</stp>
        <tr r="AR130" s="2"/>
      </tp>
      <tp>
        <v>207.05</v>
        <stp/>
        <stp>##V3_BDPV12</stp>
        <stp>GOOGL US Equity</stp>
        <stp>hs001</stp>
        <stp>[DPM - Securities Master List (BBG Linked).xlsx]Equities!R131C44</stp>
        <tr r="AR131" s="2"/>
      </tp>
      <tp>
        <v>207.05</v>
        <stp/>
        <stp>##V3_BDPV12</stp>
        <stp>GOOGL US Equity</stp>
        <stp>hs001</stp>
        <stp>[DPM - Securities Master List (BBG Linked).xlsx]Equities!R136C44</stp>
        <tr r="AR136" s="2"/>
      </tp>
      <tp>
        <v>207.05</v>
        <stp/>
        <stp>##V3_BDPV12</stp>
        <stp>GOOGL US Equity</stp>
        <stp>hs001</stp>
        <stp>[DPM - Securities Master List (BBG Linked).xlsx]Equities!R137C44</stp>
        <tr r="AR137" s="2"/>
      </tp>
      <tp>
        <v>207.05</v>
        <stp/>
        <stp>##V3_BDPV12</stp>
        <stp>GOOGL US Equity</stp>
        <stp>hs001</stp>
        <stp>[DPM - Securities Master List (BBG Linked).xlsx]Equities!R134C44</stp>
        <tr r="AR134" s="2"/>
      </tp>
      <tp>
        <v>207.05</v>
        <stp/>
        <stp>##V3_BDPV12</stp>
        <stp>GOOGL US Equity</stp>
        <stp>hs001</stp>
        <stp>[DPM - Securities Master List (BBG Linked).xlsx]Equities!R135C44</stp>
        <tr r="AR135" s="2"/>
      </tp>
      <tp>
        <v>207.05</v>
        <stp/>
        <stp>##V3_BDPV12</stp>
        <stp>GOOGL US Equity</stp>
        <stp>hs001</stp>
        <stp>[DPM - Securities Master List (BBG Linked).xlsx]Equities!R138C44</stp>
        <tr r="AR138" s="2"/>
      </tp>
      <tp>
        <v>207.05</v>
        <stp/>
        <stp>##V3_BDPV12</stp>
        <stp>GOOGL US Equity</stp>
        <stp>hs001</stp>
        <stp>[DPM - Securities Master List (BBG Linked).xlsx]Equities!R139C44</stp>
        <tr r="AR139" s="2"/>
      </tp>
      <tp>
        <v>207.05</v>
        <stp/>
        <stp>##V3_BDPV12</stp>
        <stp>GOOGL US Equity</stp>
        <stp>hs001</stp>
        <stp>[DPM - Securities Master List (BBG Linked).xlsx]Equities!R140C44</stp>
        <tr r="AR140" s="2"/>
      </tp>
      <tp>
        <v>207.05</v>
        <stp/>
        <stp>##V3_BDPV12</stp>
        <stp>GOOGL US Equity</stp>
        <stp>hs001</stp>
        <stp>[DPM - Securities Master List (BBG Linked).xlsx]Equities!R141C44</stp>
        <tr r="AR141" s="2"/>
      </tp>
      <tp t="s">
        <v>USD</v>
        <stp/>
        <stp>##V3_BDPV12</stp>
        <stp>ADBE US Equity</stp>
        <stp>CRNCY</stp>
        <stp>[DPM - Securities Master List (BBG Linked).xlsx]Equities!R38C6</stp>
        <tr r="F38" s="2"/>
      </tp>
      <tp t="s">
        <v>USD</v>
        <stp/>
        <stp>##V3_BDPV12</stp>
        <stp>ADBE US Equity</stp>
        <stp>CRNCY</stp>
        <stp>[DPM - Securities Master List (BBG Linked).xlsx]Equities!R48C6</stp>
        <tr r="F48" s="2"/>
      </tp>
      <tp>
        <v>140.53</v>
        <stp/>
        <stp>##V3_BDPV12</stp>
        <stp>GOOGL US Equity</stp>
        <stp>hs002</stp>
        <stp>[DPM - Securities Master List (BBG Linked).xlsx]Equities!R132C45</stp>
        <tr r="AS132" s="2"/>
      </tp>
      <tp>
        <v>140.53</v>
        <stp/>
        <stp>##V3_BDPV12</stp>
        <stp>GOOGL US Equity</stp>
        <stp>hs002</stp>
        <stp>[DPM - Securities Master List (BBG Linked).xlsx]Equities!R133C45</stp>
        <tr r="AS133" s="2"/>
      </tp>
      <tp>
        <v>140.53</v>
        <stp/>
        <stp>##V3_BDPV12</stp>
        <stp>GOOGL US Equity</stp>
        <stp>hs002</stp>
        <stp>[DPM - Securities Master List (BBG Linked).xlsx]Equities!R130C45</stp>
        <tr r="AS130" s="2"/>
      </tp>
      <tp>
        <v>140.53</v>
        <stp/>
        <stp>##V3_BDPV12</stp>
        <stp>GOOGL US Equity</stp>
        <stp>hs002</stp>
        <stp>[DPM - Securities Master List (BBG Linked).xlsx]Equities!R131C45</stp>
        <tr r="AS131" s="2"/>
      </tp>
      <tp>
        <v>140.53</v>
        <stp/>
        <stp>##V3_BDPV12</stp>
        <stp>GOOGL US Equity</stp>
        <stp>hs002</stp>
        <stp>[DPM - Securities Master List (BBG Linked).xlsx]Equities!R136C45</stp>
        <tr r="AS136" s="2"/>
      </tp>
      <tp>
        <v>140.53</v>
        <stp/>
        <stp>##V3_BDPV12</stp>
        <stp>GOOGL US Equity</stp>
        <stp>hs002</stp>
        <stp>[DPM - Securities Master List (BBG Linked).xlsx]Equities!R137C45</stp>
        <tr r="AS137" s="2"/>
      </tp>
      <tp>
        <v>140.53</v>
        <stp/>
        <stp>##V3_BDPV12</stp>
        <stp>GOOGL US Equity</stp>
        <stp>hs002</stp>
        <stp>[DPM - Securities Master List (BBG Linked).xlsx]Equities!R134C45</stp>
        <tr r="AS134" s="2"/>
      </tp>
      <tp>
        <v>140.53</v>
        <stp/>
        <stp>##V3_BDPV12</stp>
        <stp>GOOGL US Equity</stp>
        <stp>hs002</stp>
        <stp>[DPM - Securities Master List (BBG Linked).xlsx]Equities!R135C45</stp>
        <tr r="AS135" s="2"/>
      </tp>
      <tp>
        <v>140.53</v>
        <stp/>
        <stp>##V3_BDPV12</stp>
        <stp>GOOGL US Equity</stp>
        <stp>hs002</stp>
        <stp>[DPM - Securities Master List (BBG Linked).xlsx]Equities!R138C45</stp>
        <tr r="AS138" s="2"/>
      </tp>
      <tp>
        <v>140.53</v>
        <stp/>
        <stp>##V3_BDPV12</stp>
        <stp>GOOGL US Equity</stp>
        <stp>hs002</stp>
        <stp>[DPM - Securities Master List (BBG Linked).xlsx]Equities!R139C45</stp>
        <tr r="AS139" s="2"/>
      </tp>
      <tp>
        <v>140.53</v>
        <stp/>
        <stp>##V3_BDPV12</stp>
        <stp>GOOGL US Equity</stp>
        <stp>hs002</stp>
        <stp>[DPM - Securities Master List (BBG Linked).xlsx]Equities!R127C45</stp>
        <tr r="AS127" s="2"/>
      </tp>
      <tp>
        <v>140.53</v>
        <stp/>
        <stp>##V3_BDPV12</stp>
        <stp>GOOGL US Equity</stp>
        <stp>hs002</stp>
        <stp>[DPM - Securities Master List (BBG Linked).xlsx]Equities!R128C45</stp>
        <tr r="AS128" s="2"/>
      </tp>
      <tp>
        <v>140.53</v>
        <stp/>
        <stp>##V3_BDPV12</stp>
        <stp>GOOGL US Equity</stp>
        <stp>hs002</stp>
        <stp>[DPM - Securities Master List (BBG Linked).xlsx]Equities!R129C45</stp>
        <tr r="AS129" s="2"/>
      </tp>
      <tp>
        <v>140.53</v>
        <stp/>
        <stp>##V3_BDPV12</stp>
        <stp>GOOGL US Equity</stp>
        <stp>hs002</stp>
        <stp>[DPM - Securities Master List (BBG Linked).xlsx]Equities!R140C45</stp>
        <tr r="AS140" s="2"/>
      </tp>
      <tp>
        <v>140.53</v>
        <stp/>
        <stp>##V3_BDPV12</stp>
        <stp>GOOGL US Equity</stp>
        <stp>hs002</stp>
        <stp>[DPM - Securities Master List (BBG Linked).xlsx]Equities!R141C45</stp>
        <tr r="AS141" s="2"/>
      </tp>
      <tp t="s">
        <v>US6410694060</v>
        <stp/>
        <stp>##V3_BDPV12</stp>
        <stp>NSRGY US Equity</stp>
        <stp>ID005</stp>
        <stp>[DPM - Securities Master List (BBG Linked).xlsx]Equities!R223C55</stp>
        <tr r="BC223" s="2"/>
      </tp>
      <tp t="s">
        <v>#N/A Invalid Override</v>
        <stp/>
        <stp>##V3_BDPV12</stp>
        <stp>FR001400F2H9 isin</stp>
        <stp>YAS_BOND_YLD</stp>
        <stp>[DPM - Securities Master List (BBG Linked).xlsx]Bonds!R93C10</stp>
        <stp>YAS_YLD_FLAG=15</stp>
        <stp>user_local_trade_date</stp>
        <stp>45783</stp>
        <stp>Yas_bond_px</stp>
        <stp>#N/A Connection</stp>
        <tr r="J93" s="1"/>
      </tp>
      <tp t="s">
        <v>#N/A N/A</v>
        <stp/>
        <stp>##V3_BDPV12</stp>
        <stp>PYPL US Equity</stp>
        <stp>DY784</stp>
        <stp>[DPM - Securities Master List (BBG Linked).xlsx]Equities!R239C48</stp>
        <tr r="AV239" s="2"/>
        <tr r="AV239" s="2"/>
      </tp>
      <tp t="s">
        <v>#N/A N/A</v>
        <stp/>
        <stp>##V3_BDPV12</stp>
        <stp>PYPL US Equity</stp>
        <stp>DY784</stp>
        <stp>[DPM - Securities Master List (BBG Linked).xlsx]Equities!R238C48</stp>
        <tr r="AV238" s="2"/>
        <tr r="AV238" s="2"/>
      </tp>
      <tp t="s">
        <v>#N/A N/A</v>
        <stp/>
        <stp>##V3_BDPV12</stp>
        <stp>PYPL US Equity</stp>
        <stp>DY784</stp>
        <stp>[DPM - Securities Master List (BBG Linked).xlsx]Equities!R237C48</stp>
        <tr r="AV237" s="2"/>
        <tr r="AV237" s="2"/>
      </tp>
      <tp>
        <v>5.7584230147273816</v>
        <stp/>
        <stp>##V3_BDPV12</stp>
        <stp>GOOGL US Equity</stp>
        <stp>RR903</stp>
        <stp>[DPM - Securities Master List (BBG Linked).xlsx]Equities!R141C13</stp>
        <tr r="M141" s="2"/>
        <tr r="M141" s="2"/>
        <tr r="M141" s="2"/>
      </tp>
      <tp>
        <v>5.7584230147273816</v>
        <stp/>
        <stp>##V3_BDPV12</stp>
        <stp>GOOGL US Equity</stp>
        <stp>RR903</stp>
        <stp>[DPM - Securities Master List (BBG Linked).xlsx]Equities!R140C13</stp>
        <tr r="M140" s="2"/>
        <tr r="M140" s="2"/>
        <tr r="M140" s="2"/>
      </tp>
      <tp>
        <v>5.7584230147273816</v>
        <stp/>
        <stp>##V3_BDPV12</stp>
        <stp>GOOGL US Equity</stp>
        <stp>RR903</stp>
        <stp>[DPM - Securities Master List (BBG Linked).xlsx]Equities!R129C13</stp>
        <tr r="M129" s="2"/>
        <tr r="M129" s="2"/>
        <tr r="M129" s="2"/>
      </tp>
      <tp>
        <v>5.7584230147273816</v>
        <stp/>
        <stp>##V3_BDPV12</stp>
        <stp>GOOGL US Equity</stp>
        <stp>RR903</stp>
        <stp>[DPM - Securities Master List (BBG Linked).xlsx]Equities!R128C13</stp>
        <tr r="M128" s="2"/>
        <tr r="M128" s="2"/>
        <tr r="M128" s="2"/>
      </tp>
      <tp>
        <v>5.7584230147273816</v>
        <stp/>
        <stp>##V3_BDPV12</stp>
        <stp>GOOGL US Equity</stp>
        <stp>RR903</stp>
        <stp>[DPM - Securities Master List (BBG Linked).xlsx]Equities!R127C13</stp>
        <tr r="M127" s="2"/>
        <tr r="M127" s="2"/>
        <tr r="M127" s="2"/>
      </tp>
      <tp>
        <v>5.7584230147273816</v>
        <stp/>
        <stp>##V3_BDPV12</stp>
        <stp>GOOGL US Equity</stp>
        <stp>RR903</stp>
        <stp>[DPM - Securities Master List (BBG Linked).xlsx]Equities!R139C13</stp>
        <tr r="M139" s="2"/>
        <tr r="M139" s="2"/>
        <tr r="M139" s="2"/>
      </tp>
      <tp>
        <v>5.7584230147273816</v>
        <stp/>
        <stp>##V3_BDPV12</stp>
        <stp>GOOGL US Equity</stp>
        <stp>RR903</stp>
        <stp>[DPM - Securities Master List (BBG Linked).xlsx]Equities!R138C13</stp>
        <tr r="M138" s="2"/>
        <tr r="M138" s="2"/>
        <tr r="M138" s="2"/>
      </tp>
      <tp>
        <v>5.7584230147273816</v>
        <stp/>
        <stp>##V3_BDPV12</stp>
        <stp>GOOGL US Equity</stp>
        <stp>RR903</stp>
        <stp>[DPM - Securities Master List (BBG Linked).xlsx]Equities!R133C13</stp>
        <tr r="M133" s="2"/>
        <tr r="M133" s="2"/>
        <tr r="M133" s="2"/>
      </tp>
      <tp>
        <v>5.7584230147273816</v>
        <stp/>
        <stp>##V3_BDPV12</stp>
        <stp>GOOGL US Equity</stp>
        <stp>RR903</stp>
        <stp>[DPM - Securities Master List (BBG Linked).xlsx]Equities!R132C13</stp>
        <tr r="M132" s="2"/>
        <tr r="M132" s="2"/>
        <tr r="M132" s="2"/>
      </tp>
      <tp>
        <v>5.7584230147273816</v>
        <stp/>
        <stp>##V3_BDPV12</stp>
        <stp>GOOGL US Equity</stp>
        <stp>RR903</stp>
        <stp>[DPM - Securities Master List (BBG Linked).xlsx]Equities!R131C13</stp>
        <tr r="M131" s="2"/>
        <tr r="M131" s="2"/>
        <tr r="M131" s="2"/>
      </tp>
      <tp>
        <v>5.7584230147273816</v>
        <stp/>
        <stp>##V3_BDPV12</stp>
        <stp>GOOGL US Equity</stp>
        <stp>RR903</stp>
        <stp>[DPM - Securities Master List (BBG Linked).xlsx]Equities!R130C13</stp>
        <tr r="M130" s="2"/>
        <tr r="M130" s="2"/>
        <tr r="M130" s="2"/>
      </tp>
      <tp>
        <v>5.7584230147273816</v>
        <stp/>
        <stp>##V3_BDPV12</stp>
        <stp>GOOGL US Equity</stp>
        <stp>RR903</stp>
        <stp>[DPM - Securities Master List (BBG Linked).xlsx]Equities!R137C13</stp>
        <tr r="M137" s="2"/>
        <tr r="M137" s="2"/>
        <tr r="M137" s="2"/>
      </tp>
      <tp>
        <v>5.7584230147273816</v>
        <stp/>
        <stp>##V3_BDPV12</stp>
        <stp>GOOGL US Equity</stp>
        <stp>RR903</stp>
        <stp>[DPM - Securities Master List (BBG Linked).xlsx]Equities!R136C13</stp>
        <tr r="M136" s="2"/>
        <tr r="M136" s="2"/>
        <tr r="M136" s="2"/>
      </tp>
      <tp>
        <v>5.7584230147273816</v>
        <stp/>
        <stp>##V3_BDPV12</stp>
        <stp>GOOGL US Equity</stp>
        <stp>RR903</stp>
        <stp>[DPM - Securities Master List (BBG Linked).xlsx]Equities!R135C13</stp>
        <tr r="M135" s="2"/>
        <tr r="M135" s="2"/>
        <tr r="M135" s="2"/>
      </tp>
      <tp>
        <v>5.7584230147273816</v>
        <stp/>
        <stp>##V3_BDPV12</stp>
        <stp>GOOGL US Equity</stp>
        <stp>RR903</stp>
        <stp>[DPM - Securities Master List (BBG Linked).xlsx]Equities!R134C13</stp>
        <tr r="M134" s="2"/>
        <tr r="M134" s="2"/>
        <tr r="M134" s="2"/>
      </tp>
      <tp>
        <v>19.754865204387873</v>
        <stp/>
        <stp>##V3_BDPV12</stp>
        <stp>GOOGL US Equity</stp>
        <stp>RR900</stp>
        <stp>[DPM - Securities Master List (BBG Linked).xlsx]Equities!R141C11</stp>
        <tr r="K141" s="2"/>
        <tr r="K141" s="2"/>
        <tr r="K141" s="2"/>
      </tp>
      <tp>
        <v>19.754865204387873</v>
        <stp/>
        <stp>##V3_BDPV12</stp>
        <stp>GOOGL US Equity</stp>
        <stp>RR900</stp>
        <stp>[DPM - Securities Master List (BBG Linked).xlsx]Equities!R140C11</stp>
        <tr r="K140" s="2"/>
        <tr r="K140" s="2"/>
        <tr r="K140" s="2"/>
      </tp>
      <tp>
        <v>19.754865204387873</v>
        <stp/>
        <stp>##V3_BDPV12</stp>
        <stp>GOOGL US Equity</stp>
        <stp>RR900</stp>
        <stp>[DPM - Securities Master List (BBG Linked).xlsx]Equities!R129C11</stp>
        <tr r="K129" s="2"/>
        <tr r="K129" s="2"/>
        <tr r="K129" s="2"/>
      </tp>
      <tp>
        <v>19.754865204387873</v>
        <stp/>
        <stp>##V3_BDPV12</stp>
        <stp>GOOGL US Equity</stp>
        <stp>RR900</stp>
        <stp>[DPM - Securities Master List (BBG Linked).xlsx]Equities!R128C11</stp>
        <tr r="K128" s="2"/>
        <tr r="K128" s="2"/>
        <tr r="K128" s="2"/>
      </tp>
      <tp>
        <v>19.754865204387873</v>
        <stp/>
        <stp>##V3_BDPV12</stp>
        <stp>GOOGL US Equity</stp>
        <stp>RR900</stp>
        <stp>[DPM - Securities Master List (BBG Linked).xlsx]Equities!R127C11</stp>
        <tr r="K127" s="2"/>
        <tr r="K127" s="2"/>
        <tr r="K127" s="2"/>
      </tp>
      <tp>
        <v>19.754865204387873</v>
        <stp/>
        <stp>##V3_BDPV12</stp>
        <stp>GOOGL US Equity</stp>
        <stp>RR900</stp>
        <stp>[DPM - Securities Master List (BBG Linked).xlsx]Equities!R139C11</stp>
        <tr r="K139" s="2"/>
        <tr r="K139" s="2"/>
        <tr r="K139" s="2"/>
      </tp>
      <tp>
        <v>19.754865204387873</v>
        <stp/>
        <stp>##V3_BDPV12</stp>
        <stp>GOOGL US Equity</stp>
        <stp>RR900</stp>
        <stp>[DPM - Securities Master List (BBG Linked).xlsx]Equities!R138C11</stp>
        <tr r="K138" s="2"/>
        <tr r="K138" s="2"/>
        <tr r="K138" s="2"/>
      </tp>
      <tp>
        <v>19.754865204387873</v>
        <stp/>
        <stp>##V3_BDPV12</stp>
        <stp>GOOGL US Equity</stp>
        <stp>RR900</stp>
        <stp>[DPM - Securities Master List (BBG Linked).xlsx]Equities!R133C11</stp>
        <tr r="K133" s="2"/>
        <tr r="K133" s="2"/>
        <tr r="K133" s="2"/>
      </tp>
      <tp>
        <v>19.754865204387873</v>
        <stp/>
        <stp>##V3_BDPV12</stp>
        <stp>GOOGL US Equity</stp>
        <stp>RR900</stp>
        <stp>[DPM - Securities Master List (BBG Linked).xlsx]Equities!R132C11</stp>
        <tr r="K132" s="2"/>
        <tr r="K132" s="2"/>
        <tr r="K132" s="2"/>
      </tp>
      <tp>
        <v>19.754865204387873</v>
        <stp/>
        <stp>##V3_BDPV12</stp>
        <stp>GOOGL US Equity</stp>
        <stp>RR900</stp>
        <stp>[DPM - Securities Master List (BBG Linked).xlsx]Equities!R131C11</stp>
        <tr r="K131" s="2"/>
        <tr r="K131" s="2"/>
        <tr r="K131" s="2"/>
      </tp>
      <tp>
        <v>19.754865204387873</v>
        <stp/>
        <stp>##V3_BDPV12</stp>
        <stp>GOOGL US Equity</stp>
        <stp>RR900</stp>
        <stp>[DPM - Securities Master List (BBG Linked).xlsx]Equities!R130C11</stp>
        <tr r="K130" s="2"/>
        <tr r="K130" s="2"/>
        <tr r="K130" s="2"/>
      </tp>
      <tp>
        <v>19.754865204387873</v>
        <stp/>
        <stp>##V3_BDPV12</stp>
        <stp>GOOGL US Equity</stp>
        <stp>RR900</stp>
        <stp>[DPM - Securities Master List (BBG Linked).xlsx]Equities!R137C11</stp>
        <tr r="K137" s="2"/>
        <tr r="K137" s="2"/>
        <tr r="K137" s="2"/>
      </tp>
      <tp>
        <v>19.754865204387873</v>
        <stp/>
        <stp>##V3_BDPV12</stp>
        <stp>GOOGL US Equity</stp>
        <stp>RR900</stp>
        <stp>[DPM - Securities Master List (BBG Linked).xlsx]Equities!R136C11</stp>
        <tr r="K136" s="2"/>
        <tr r="K136" s="2"/>
        <tr r="K136" s="2"/>
      </tp>
      <tp>
        <v>19.754865204387873</v>
        <stp/>
        <stp>##V3_BDPV12</stp>
        <stp>GOOGL US Equity</stp>
        <stp>RR900</stp>
        <stp>[DPM - Securities Master List (BBG Linked).xlsx]Equities!R135C11</stp>
        <tr r="K135" s="2"/>
        <tr r="K135" s="2"/>
        <tr r="K135" s="2"/>
      </tp>
      <tp>
        <v>19.754865204387873</v>
        <stp/>
        <stp>##V3_BDPV12</stp>
        <stp>GOOGL US Equity</stp>
        <stp>RR900</stp>
        <stp>[DPM - Securities Master List (BBG Linked).xlsx]Equities!R134C11</stp>
        <tr r="K134" s="2"/>
        <tr r="K134" s="2"/>
        <tr r="K134" s="2"/>
      </tp>
      <tp t="s">
        <v>#N/A Invalid Override</v>
        <stp/>
        <stp>##V3_BDPV12</stp>
        <stp>FR001400F067 isin</stp>
        <stp>YAS_BOND_YLD</stp>
        <stp>[DPM - Securities Master List (BBG Linked).xlsx]Bonds!R92C10</stp>
        <stp>YAS_YLD_FLAG=15</stp>
        <stp>user_local_trade_date</stp>
        <stp>45783</stp>
        <stp>Yas_bond_px</stp>
        <stp>#N/A Connection</stp>
        <tr r="J92" s="1"/>
      </tp>
      <tp t="s">
        <v>Consumer Staples</v>
        <stp/>
        <stp>##V3_BDPV12</stp>
        <stp>NSRGY US Equity</stp>
        <stp>DX202</stp>
        <stp>[DPM - Securities Master List (BBG Linked).xlsx]Equities!R223C46</stp>
        <tr r="AT223" s="2"/>
        <tr r="AT223" s="2"/>
        <tr r="AT223" s="2"/>
      </tp>
      <tp>
        <v>15.114577405219173</v>
        <stp/>
        <stp>##V3_BDPV12</stp>
        <stp>GOOGL US Equity</stp>
        <stp>RR908</stp>
        <stp>[DPM - Securities Master List (BBG Linked).xlsx]Equities!R141C32</stp>
        <tr r="AF141" s="2"/>
        <tr r="AF141" s="2"/>
        <tr r="AF141" s="2"/>
      </tp>
      <tp>
        <v>15.114577405219173</v>
        <stp/>
        <stp>##V3_BDPV12</stp>
        <stp>GOOGL US Equity</stp>
        <stp>RR908</stp>
        <stp>[DPM - Securities Master List (BBG Linked).xlsx]Equities!R140C32</stp>
        <tr r="AF140" s="2"/>
        <tr r="AF140" s="2"/>
        <tr r="AF140" s="2"/>
      </tp>
      <tp>
        <v>15.114577405219173</v>
        <stp/>
        <stp>##V3_BDPV12</stp>
        <stp>GOOGL US Equity</stp>
        <stp>RR908</stp>
        <stp>[DPM - Securities Master List (BBG Linked).xlsx]Equities!R139C32</stp>
        <tr r="AF139" s="2"/>
        <tr r="AF139" s="2"/>
        <tr r="AF139" s="2"/>
      </tp>
      <tp>
        <v>15.114577405219173</v>
        <stp/>
        <stp>##V3_BDPV12</stp>
        <stp>GOOGL US Equity</stp>
        <stp>RR908</stp>
        <stp>[DPM - Securities Master List (BBG Linked).xlsx]Equities!R138C32</stp>
        <tr r="AF138" s="2"/>
        <tr r="AF138" s="2"/>
        <tr r="AF138" s="2"/>
      </tp>
      <tp>
        <v>15.114577405219173</v>
        <stp/>
        <stp>##V3_BDPV12</stp>
        <stp>GOOGL US Equity</stp>
        <stp>RR908</stp>
        <stp>[DPM - Securities Master List (BBG Linked).xlsx]Equities!R133C32</stp>
        <tr r="AF133" s="2"/>
        <tr r="AF133" s="2"/>
        <tr r="AF133" s="2"/>
      </tp>
      <tp>
        <v>15.114577405219173</v>
        <stp/>
        <stp>##V3_BDPV12</stp>
        <stp>GOOGL US Equity</stp>
        <stp>RR908</stp>
        <stp>[DPM - Securities Master List (BBG Linked).xlsx]Equities!R132C32</stp>
        <tr r="AF132" s="2"/>
        <tr r="AF132" s="2"/>
        <tr r="AF132" s="2"/>
      </tp>
      <tp>
        <v>15.114577405219173</v>
        <stp/>
        <stp>##V3_BDPV12</stp>
        <stp>GOOGL US Equity</stp>
        <stp>RR908</stp>
        <stp>[DPM - Securities Master List (BBG Linked).xlsx]Equities!R131C32</stp>
        <tr r="AF131" s="2"/>
        <tr r="AF131" s="2"/>
        <tr r="AF131" s="2"/>
      </tp>
      <tp>
        <v>15.114577405219173</v>
        <stp/>
        <stp>##V3_BDPV12</stp>
        <stp>GOOGL US Equity</stp>
        <stp>RR908</stp>
        <stp>[DPM - Securities Master List (BBG Linked).xlsx]Equities!R130C32</stp>
        <tr r="AF130" s="2"/>
        <tr r="AF130" s="2"/>
        <tr r="AF130" s="2"/>
      </tp>
      <tp>
        <v>15.114577405219173</v>
        <stp/>
        <stp>##V3_BDPV12</stp>
        <stp>GOOGL US Equity</stp>
        <stp>RR908</stp>
        <stp>[DPM - Securities Master List (BBG Linked).xlsx]Equities!R137C32</stp>
        <tr r="AF137" s="2"/>
        <tr r="AF137" s="2"/>
        <tr r="AF137" s="2"/>
      </tp>
      <tp>
        <v>15.114577405219173</v>
        <stp/>
        <stp>##V3_BDPV12</stp>
        <stp>GOOGL US Equity</stp>
        <stp>RR908</stp>
        <stp>[DPM - Securities Master List (BBG Linked).xlsx]Equities!R136C32</stp>
        <tr r="AF136" s="2"/>
        <tr r="AF136" s="2"/>
        <tr r="AF136" s="2"/>
      </tp>
      <tp>
        <v>15.114577405219173</v>
        <stp/>
        <stp>##V3_BDPV12</stp>
        <stp>GOOGL US Equity</stp>
        <stp>RR908</stp>
        <stp>[DPM - Securities Master List (BBG Linked).xlsx]Equities!R135C32</stp>
        <tr r="AF135" s="2"/>
        <tr r="AF135" s="2"/>
        <tr r="AF135" s="2"/>
      </tp>
      <tp>
        <v>15.114577405219173</v>
        <stp/>
        <stp>##V3_BDPV12</stp>
        <stp>GOOGL US Equity</stp>
        <stp>RR908</stp>
        <stp>[DPM - Securities Master List (BBG Linked).xlsx]Equities!R134C32</stp>
        <tr r="AF134" s="2"/>
        <tr r="AF134" s="2"/>
        <tr r="AF134" s="2"/>
      </tp>
      <tp>
        <v>15.114577405219173</v>
        <stp/>
        <stp>##V3_BDPV12</stp>
        <stp>GOOGL US Equity</stp>
        <stp>RR908</stp>
        <stp>[DPM - Securities Master List (BBG Linked).xlsx]Equities!R129C32</stp>
        <tr r="AF129" s="2"/>
        <tr r="AF129" s="2"/>
        <tr r="AF129" s="2"/>
      </tp>
      <tp>
        <v>15.114577405219173</v>
        <stp/>
        <stp>##V3_BDPV12</stp>
        <stp>GOOGL US Equity</stp>
        <stp>RR908</stp>
        <stp>[DPM - Securities Master List (BBG Linked).xlsx]Equities!R128C32</stp>
        <tr r="AF128" s="2"/>
        <tr r="AF128" s="2"/>
        <tr r="AF128" s="2"/>
      </tp>
      <tp>
        <v>15.114577405219173</v>
        <stp/>
        <stp>##V3_BDPV12</stp>
        <stp>GOOGL US Equity</stp>
        <stp>RR908</stp>
        <stp>[DPM - Securities Master List (BBG Linked).xlsx]Equities!R127C32</stp>
        <tr r="AF127" s="2"/>
        <tr r="AF127" s="2"/>
        <tr r="AF127" s="2"/>
      </tp>
      <tp>
        <v>3</v>
        <stp/>
        <stp>##V3_BDPV12</stp>
        <stp>NSRGY US Equity</stp>
        <stp>EE201</stp>
        <stp>[DPM - Securities Master List (BBG Linked).xlsx]Equities!R223C37</stp>
        <tr r="AK223" s="2"/>
        <tr r="AK223" s="2"/>
        <tr r="AK223" s="2"/>
      </tp>
      <tp t="s">
        <v>#N/A Invalid Field</v>
        <stp/>
        <stp>##V3_BDPV12</stp>
        <stp>TSCO LN Equity</stp>
        <stp/>
        <stp>[DPM - Securities Master List (BBG Linked).xlsx]Equities!R269C29</stp>
        <tr r="AC269" s="2"/>
        <tr r="AC269" s="2"/>
      </tp>
      <tp t="s">
        <v>#N/A Invalid Field</v>
        <stp/>
        <stp>##V3_BDPV12</stp>
        <stp>TSCO LN Equity</stp>
        <stp/>
        <stp>[DPM - Securities Master List (BBG Linked).xlsx]Equities!R268C29</stp>
        <tr r="AC268" s="2"/>
        <tr r="AC268" s="2"/>
      </tp>
      <tp t="s">
        <v>#N/A Invalid Field</v>
        <stp/>
        <stp>##V3_BDPV12</stp>
        <stp>TSCO LN Equity</stp>
        <stp/>
        <stp>[DPM - Securities Master List (BBG Linked).xlsx]Equities!R263C29</stp>
        <tr r="AC263" s="2"/>
        <tr r="AC263" s="2"/>
      </tp>
      <tp t="s">
        <v>#N/A Invalid Field</v>
        <stp/>
        <stp>##V3_BDPV12</stp>
        <stp>TSCO LN Equity</stp>
        <stp/>
        <stp>[DPM - Securities Master List (BBG Linked).xlsx]Equities!R262C29</stp>
        <tr r="AC262" s="2"/>
        <tr r="AC262" s="2"/>
      </tp>
      <tp t="s">
        <v>#N/A Invalid Field</v>
        <stp/>
        <stp>##V3_BDPV12</stp>
        <stp>TSCO LN Equity</stp>
        <stp/>
        <stp>[DPM - Securities Master List (BBG Linked).xlsx]Equities!R267C29</stp>
        <tr r="AC267" s="2"/>
        <tr r="AC267" s="2"/>
      </tp>
      <tp t="s">
        <v>#N/A Invalid Field</v>
        <stp/>
        <stp>##V3_BDPV12</stp>
        <stp>TSCO LN Equity</stp>
        <stp/>
        <stp>[DPM - Securities Master List (BBG Linked).xlsx]Equities!R266C29</stp>
        <tr r="AC266" s="2"/>
        <tr r="AC266" s="2"/>
      </tp>
      <tp t="s">
        <v>#N/A Invalid Field</v>
        <stp/>
        <stp>##V3_BDPV12</stp>
        <stp>TSCO LN Equity</stp>
        <stp/>
        <stp>[DPM - Securities Master List (BBG Linked).xlsx]Equities!R265C29</stp>
        <tr r="AC265" s="2"/>
        <tr r="AC265" s="2"/>
      </tp>
      <tp t="s">
        <v>#N/A Invalid Field</v>
        <stp/>
        <stp>##V3_BDPV12</stp>
        <stp>TSCO LN Equity</stp>
        <stp/>
        <stp>[DPM - Securities Master List (BBG Linked).xlsx]Equities!R264C29</stp>
        <tr r="AC264" s="2"/>
        <tr r="AC264" s="2"/>
      </tp>
      <tp t="s">
        <v>#N/A Invalid Field</v>
        <stp/>
        <stp>##V3_BDPV12</stp>
        <stp>TSCO LN Equity</stp>
        <stp/>
        <stp>[DPM - Securities Master List (BBG Linked).xlsx]Equities!R273C29</stp>
        <tr r="AC273" s="2"/>
        <tr r="AC273" s="2"/>
      </tp>
      <tp t="s">
        <v>#N/A Invalid Field</v>
        <stp/>
        <stp>##V3_BDPV12</stp>
        <stp>TSCO LN Equity</stp>
        <stp/>
        <stp>[DPM - Securities Master List (BBG Linked).xlsx]Equities!R272C29</stp>
        <tr r="AC272" s="2"/>
        <tr r="AC272" s="2"/>
      </tp>
      <tp t="s">
        <v>#N/A Invalid Field</v>
        <stp/>
        <stp>##V3_BDPV12</stp>
        <stp>TSCO LN Equity</stp>
        <stp/>
        <stp>[DPM - Securities Master List (BBG Linked).xlsx]Equities!R271C29</stp>
        <tr r="AC271" s="2"/>
        <tr r="AC271" s="2"/>
      </tp>
      <tp t="s">
        <v>#N/A Invalid Field</v>
        <stp/>
        <stp>##V3_BDPV12</stp>
        <stp>TSCO LN Equity</stp>
        <stp/>
        <stp>[DPM - Securities Master List (BBG Linked).xlsx]Equities!R270C29</stp>
        <tr r="AC270" s="2"/>
        <tr r="AC270" s="2"/>
      </tp>
      <tp t="s">
        <v>#N/A Invalid Field</v>
        <stp/>
        <stp>##V3_BDPV12</stp>
        <stp>TSCO LN Equity</stp>
        <stp/>
        <stp>[DPM - Securities Master List (BBG Linked).xlsx]Equities!R275C29</stp>
        <tr r="AC275" s="2"/>
        <tr r="AC275" s="2"/>
      </tp>
      <tp t="s">
        <v>#N/A Invalid Field</v>
        <stp/>
        <stp>##V3_BDPV12</stp>
        <stp>TSCO LN Equity</stp>
        <stp/>
        <stp>[DPM - Securities Master List (BBG Linked).xlsx]Equities!R274C29</stp>
        <tr r="AC274" s="2"/>
        <tr r="AC274" s="2"/>
      </tp>
      <tp>
        <v>-2.3255810000000001</v>
        <stp/>
        <stp>##V3_BDPV12</stp>
        <stp>TSCO LN Equity</stp>
        <stp>PR064</stp>
        <stp>[DPM - Securities Master List (BBG Linked).xlsx]Equities!R273C41</stp>
        <tr r="AO273" s="2"/>
      </tp>
      <tp>
        <v>-2.3255810000000001</v>
        <stp/>
        <stp>##V3_BDPV12</stp>
        <stp>TSCO LN Equity</stp>
        <stp>PR064</stp>
        <stp>[DPM - Securities Master List (BBG Linked).xlsx]Equities!R272C41</stp>
        <tr r="AO272" s="2"/>
      </tp>
      <tp>
        <v>-2.3255810000000001</v>
        <stp/>
        <stp>##V3_BDPV12</stp>
        <stp>TSCO LN Equity</stp>
        <stp>PR064</stp>
        <stp>[DPM - Securities Master List (BBG Linked).xlsx]Equities!R271C41</stp>
        <tr r="AO271" s="2"/>
      </tp>
      <tp>
        <v>-2.3255810000000001</v>
        <stp/>
        <stp>##V3_BDPV12</stp>
        <stp>TSCO LN Equity</stp>
        <stp>PR064</stp>
        <stp>[DPM - Securities Master List (BBG Linked).xlsx]Equities!R270C41</stp>
        <tr r="AO270" s="2"/>
      </tp>
      <tp>
        <v>-2.3255810000000001</v>
        <stp/>
        <stp>##V3_BDPV12</stp>
        <stp>TSCO LN Equity</stp>
        <stp>PR064</stp>
        <stp>[DPM - Securities Master List (BBG Linked).xlsx]Equities!R275C41</stp>
        <tr r="AO275" s="2"/>
      </tp>
      <tp>
        <v>-2.3255810000000001</v>
        <stp/>
        <stp>##V3_BDPV12</stp>
        <stp>TSCO LN Equity</stp>
        <stp>PR064</stp>
        <stp>[DPM - Securities Master List (BBG Linked).xlsx]Equities!R274C41</stp>
        <tr r="AO274" s="2"/>
      </tp>
      <tp>
        <v>-2.3255810000000001</v>
        <stp/>
        <stp>##V3_BDPV12</stp>
        <stp>TSCO LN Equity</stp>
        <stp>PR064</stp>
        <stp>[DPM - Securities Master List (BBG Linked).xlsx]Equities!R269C41</stp>
        <tr r="AO269" s="2"/>
      </tp>
      <tp>
        <v>-2.3255810000000001</v>
        <stp/>
        <stp>##V3_BDPV12</stp>
        <stp>TSCO LN Equity</stp>
        <stp>PR064</stp>
        <stp>[DPM - Securities Master List (BBG Linked).xlsx]Equities!R268C41</stp>
        <tr r="AO268" s="2"/>
      </tp>
      <tp>
        <v>-2.3255810000000001</v>
        <stp/>
        <stp>##V3_BDPV12</stp>
        <stp>TSCO LN Equity</stp>
        <stp>PR064</stp>
        <stp>[DPM - Securities Master List (BBG Linked).xlsx]Equities!R263C41</stp>
        <tr r="AO263" s="2"/>
      </tp>
      <tp>
        <v>-2.3255810000000001</v>
        <stp/>
        <stp>##V3_BDPV12</stp>
        <stp>TSCO LN Equity</stp>
        <stp>PR064</stp>
        <stp>[DPM - Securities Master List (BBG Linked).xlsx]Equities!R262C41</stp>
        <tr r="AO262" s="2"/>
      </tp>
      <tp>
        <v>-2.3255810000000001</v>
        <stp/>
        <stp>##V3_BDPV12</stp>
        <stp>TSCO LN Equity</stp>
        <stp>PR064</stp>
        <stp>[DPM - Securities Master List (BBG Linked).xlsx]Equities!R267C41</stp>
        <tr r="AO267" s="2"/>
      </tp>
      <tp>
        <v>-2.3255810000000001</v>
        <stp/>
        <stp>##V3_BDPV12</stp>
        <stp>TSCO LN Equity</stp>
        <stp>PR064</stp>
        <stp>[DPM - Securities Master List (BBG Linked).xlsx]Equities!R266C41</stp>
        <tr r="AO266" s="2"/>
      </tp>
      <tp>
        <v>-2.3255810000000001</v>
        <stp/>
        <stp>##V3_BDPV12</stp>
        <stp>TSCO LN Equity</stp>
        <stp>PR064</stp>
        <stp>[DPM - Securities Master List (BBG Linked).xlsx]Equities!R265C41</stp>
        <tr r="AO265" s="2"/>
      </tp>
      <tp>
        <v>-2.3255810000000001</v>
        <stp/>
        <stp>##V3_BDPV12</stp>
        <stp>TSCO LN Equity</stp>
        <stp>PR064</stp>
        <stp>[DPM - Securities Master List (BBG Linked).xlsx]Equities!R264C41</stp>
        <tr r="AO264" s="2"/>
      </tp>
      <tp>
        <v>4.6103897094726563</v>
        <stp/>
        <stp>##V3_BDPV12</stp>
        <stp>GOOGL US Equity</stp>
        <stp>EE201</stp>
        <stp>[DPM - Securities Master List (BBG Linked).xlsx]Equities!R140C37</stp>
        <tr r="AK140" s="2"/>
        <tr r="AK140" s="2"/>
        <tr r="AK140" s="2"/>
      </tp>
      <tp>
        <v>4.6103897094726563</v>
        <stp/>
        <stp>##V3_BDPV12</stp>
        <stp>GOOGL US Equity</stp>
        <stp>EE201</stp>
        <stp>[DPM - Securities Master List (BBG Linked).xlsx]Equities!R141C37</stp>
        <tr r="AK141" s="2"/>
        <tr r="AK141" s="2"/>
        <tr r="AK141" s="2"/>
      </tp>
      <tp>
        <v>4.6103897094726563</v>
        <stp/>
        <stp>##V3_BDPV12</stp>
        <stp>GOOGL US Equity</stp>
        <stp>EE201</stp>
        <stp>[DPM - Securities Master List (BBG Linked).xlsx]Equities!R130C37</stp>
        <tr r="AK130" s="2"/>
        <tr r="AK130" s="2"/>
        <tr r="AK130" s="2"/>
      </tp>
      <tp>
        <v>4.6103897094726563</v>
        <stp/>
        <stp>##V3_BDPV12</stp>
        <stp>GOOGL US Equity</stp>
        <stp>EE201</stp>
        <stp>[DPM - Securities Master List (BBG Linked).xlsx]Equities!R131C37</stp>
        <tr r="AK131" s="2"/>
        <tr r="AK131" s="2"/>
        <tr r="AK131" s="2"/>
      </tp>
      <tp>
        <v>4.6103897094726563</v>
        <stp/>
        <stp>##V3_BDPV12</stp>
        <stp>GOOGL US Equity</stp>
        <stp>EE201</stp>
        <stp>[DPM - Securities Master List (BBG Linked).xlsx]Equities!R132C37</stp>
        <tr r="AK132" s="2"/>
        <tr r="AK132" s="2"/>
        <tr r="AK132" s="2"/>
      </tp>
      <tp>
        <v>4.6103897094726563</v>
        <stp/>
        <stp>##V3_BDPV12</stp>
        <stp>GOOGL US Equity</stp>
        <stp>EE201</stp>
        <stp>[DPM - Securities Master List (BBG Linked).xlsx]Equities!R133C37</stp>
        <tr r="AK133" s="2"/>
        <tr r="AK133" s="2"/>
        <tr r="AK133" s="2"/>
      </tp>
      <tp>
        <v>4.6103897094726563</v>
        <stp/>
        <stp>##V3_BDPV12</stp>
        <stp>GOOGL US Equity</stp>
        <stp>EE201</stp>
        <stp>[DPM - Securities Master List (BBG Linked).xlsx]Equities!R134C37</stp>
        <tr r="AK134" s="2"/>
        <tr r="AK134" s="2"/>
        <tr r="AK134" s="2"/>
      </tp>
      <tp>
        <v>4.6103897094726563</v>
        <stp/>
        <stp>##V3_BDPV12</stp>
        <stp>GOOGL US Equity</stp>
        <stp>EE201</stp>
        <stp>[DPM - Securities Master List (BBG Linked).xlsx]Equities!R135C37</stp>
        <tr r="AK135" s="2"/>
        <tr r="AK135" s="2"/>
        <tr r="AK135" s="2"/>
      </tp>
      <tp>
        <v>4.6103897094726563</v>
        <stp/>
        <stp>##V3_BDPV12</stp>
        <stp>GOOGL US Equity</stp>
        <stp>EE201</stp>
        <stp>[DPM - Securities Master List (BBG Linked).xlsx]Equities!R136C37</stp>
        <tr r="AK136" s="2"/>
        <tr r="AK136" s="2"/>
        <tr r="AK136" s="2"/>
      </tp>
      <tp>
        <v>4.6103897094726563</v>
        <stp/>
        <stp>##V3_BDPV12</stp>
        <stp>GOOGL US Equity</stp>
        <stp>EE201</stp>
        <stp>[DPM - Securities Master List (BBG Linked).xlsx]Equities!R137C37</stp>
        <tr r="AK137" s="2"/>
        <tr r="AK137" s="2"/>
        <tr r="AK137" s="2"/>
      </tp>
      <tp>
        <v>4.6103897094726563</v>
        <stp/>
        <stp>##V3_BDPV12</stp>
        <stp>GOOGL US Equity</stp>
        <stp>EE201</stp>
        <stp>[DPM - Securities Master List (BBG Linked).xlsx]Equities!R138C37</stp>
        <tr r="AK138" s="2"/>
        <tr r="AK138" s="2"/>
        <tr r="AK138" s="2"/>
      </tp>
      <tp>
        <v>4.6103897094726563</v>
        <stp/>
        <stp>##V3_BDPV12</stp>
        <stp>GOOGL US Equity</stp>
        <stp>EE201</stp>
        <stp>[DPM - Securities Master List (BBG Linked).xlsx]Equities!R139C37</stp>
        <tr r="AK139" s="2"/>
        <tr r="AK139" s="2"/>
        <tr r="AK139" s="2"/>
      </tp>
      <tp>
        <v>4.6103897094726563</v>
        <stp/>
        <stp>##V3_BDPV12</stp>
        <stp>GOOGL US Equity</stp>
        <stp>EE201</stp>
        <stp>[DPM - Securities Master List (BBG Linked).xlsx]Equities!R127C37</stp>
        <tr r="AK127" s="2"/>
        <tr r="AK127" s="2"/>
        <tr r="AK127" s="2"/>
      </tp>
      <tp>
        <v>4.6103897094726563</v>
        <stp/>
        <stp>##V3_BDPV12</stp>
        <stp>GOOGL US Equity</stp>
        <stp>EE201</stp>
        <stp>[DPM - Securities Master List (BBG Linked).xlsx]Equities!R128C37</stp>
        <tr r="AK128" s="2"/>
        <tr r="AK128" s="2"/>
        <tr r="AK128" s="2"/>
      </tp>
      <tp>
        <v>4.6103897094726563</v>
        <stp/>
        <stp>##V3_BDPV12</stp>
        <stp>GOOGL US Equity</stp>
        <stp>EE201</stp>
        <stp>[DPM - Securities Master List (BBG Linked).xlsx]Equities!R129C37</stp>
        <tr r="AK129" s="2"/>
        <tr r="AK129" s="2"/>
        <tr r="AK129" s="2"/>
      </tp>
      <tp t="s">
        <v>#N/A Field Not Applicable</v>
        <stp/>
        <stp>##V3_BDPV12</stp>
        <stp>NSRGY US Equity</stp>
        <stp>RR908</stp>
        <stp>[DPM - Securities Master List (BBG Linked).xlsx]Equities!R223C32</stp>
        <tr r="AF223" s="2"/>
        <tr r="AF223" s="2"/>
      </tp>
      <tp t="s">
        <v>Communication Services</v>
        <stp/>
        <stp>##V3_BDPV12</stp>
        <stp>GOOGL US Equity</stp>
        <stp>DX202</stp>
        <stp>[DPM - Securities Master List (BBG Linked).xlsx]Equities!R130C46</stp>
        <tr r="AT130" s="2"/>
        <tr r="AT130" s="2"/>
        <tr r="AT130" s="2"/>
      </tp>
      <tp t="s">
        <v>Communication Services</v>
        <stp/>
        <stp>##V3_BDPV12</stp>
        <stp>GOOGL US Equity</stp>
        <stp>DX202</stp>
        <stp>[DPM - Securities Master List (BBG Linked).xlsx]Equities!R131C46</stp>
        <tr r="AT131" s="2"/>
        <tr r="AT131" s="2"/>
        <tr r="AT131" s="2"/>
      </tp>
      <tp t="s">
        <v>Communication Services</v>
        <stp/>
        <stp>##V3_BDPV12</stp>
        <stp>GOOGL US Equity</stp>
        <stp>DX202</stp>
        <stp>[DPM - Securities Master List (BBG Linked).xlsx]Equities!R132C46</stp>
        <tr r="AT132" s="2"/>
        <tr r="AT132" s="2"/>
        <tr r="AT132" s="2"/>
      </tp>
      <tp t="s">
        <v>Communication Services</v>
        <stp/>
        <stp>##V3_BDPV12</stp>
        <stp>GOOGL US Equity</stp>
        <stp>DX202</stp>
        <stp>[DPM - Securities Master List (BBG Linked).xlsx]Equities!R133C46</stp>
        <tr r="AT133" s="2"/>
        <tr r="AT133" s="2"/>
        <tr r="AT133" s="2"/>
      </tp>
      <tp t="s">
        <v>Communication Services</v>
        <stp/>
        <stp>##V3_BDPV12</stp>
        <stp>GOOGL US Equity</stp>
        <stp>DX202</stp>
        <stp>[DPM - Securities Master List (BBG Linked).xlsx]Equities!R134C46</stp>
        <tr r="AT134" s="2"/>
        <tr r="AT134" s="2"/>
        <tr r="AT134" s="2"/>
      </tp>
      <tp t="s">
        <v>Communication Services</v>
        <stp/>
        <stp>##V3_BDPV12</stp>
        <stp>GOOGL US Equity</stp>
        <stp>DX202</stp>
        <stp>[DPM - Securities Master List (BBG Linked).xlsx]Equities!R135C46</stp>
        <tr r="AT135" s="2"/>
        <tr r="AT135" s="2"/>
        <tr r="AT135" s="2"/>
      </tp>
      <tp t="s">
        <v>Communication Services</v>
        <stp/>
        <stp>##V3_BDPV12</stp>
        <stp>GOOGL US Equity</stp>
        <stp>DX202</stp>
        <stp>[DPM - Securities Master List (BBG Linked).xlsx]Equities!R136C46</stp>
        <tr r="AT136" s="2"/>
        <tr r="AT136" s="2"/>
        <tr r="AT136" s="2"/>
      </tp>
      <tp t="s">
        <v>Communication Services</v>
        <stp/>
        <stp>##V3_BDPV12</stp>
        <stp>GOOGL US Equity</stp>
        <stp>DX202</stp>
        <stp>[DPM - Securities Master List (BBG Linked).xlsx]Equities!R137C46</stp>
        <tr r="AT137" s="2"/>
        <tr r="AT137" s="2"/>
        <tr r="AT137" s="2"/>
      </tp>
      <tp t="s">
        <v>Communication Services</v>
        <stp/>
        <stp>##V3_BDPV12</stp>
        <stp>GOOGL US Equity</stp>
        <stp>DX202</stp>
        <stp>[DPM - Securities Master List (BBG Linked).xlsx]Equities!R138C46</stp>
        <tr r="AT138" s="2"/>
        <tr r="AT138" s="2"/>
        <tr r="AT138" s="2"/>
      </tp>
      <tp t="s">
        <v>Communication Services</v>
        <stp/>
        <stp>##V3_BDPV12</stp>
        <stp>GOOGL US Equity</stp>
        <stp>DX202</stp>
        <stp>[DPM - Securities Master List (BBG Linked).xlsx]Equities!R139C46</stp>
        <tr r="AT139" s="2"/>
        <tr r="AT139" s="2"/>
        <tr r="AT139" s="2"/>
      </tp>
      <tp>
        <v>11.17647</v>
        <stp/>
        <stp>##V3_BDPV12</stp>
        <stp>TSCO LN Equity</stp>
        <stp>PR061</stp>
        <stp>[DPM - Securities Master List (BBG Linked).xlsx]Equities!R269C40</stp>
        <tr r="AN269" s="2"/>
      </tp>
      <tp>
        <v>11.17647</v>
        <stp/>
        <stp>##V3_BDPV12</stp>
        <stp>TSCO LN Equity</stp>
        <stp>PR061</stp>
        <stp>[DPM - Securities Master List (BBG Linked).xlsx]Equities!R268C40</stp>
        <tr r="AN268" s="2"/>
      </tp>
      <tp>
        <v>11.17647</v>
        <stp/>
        <stp>##V3_BDPV12</stp>
        <stp>TSCO LN Equity</stp>
        <stp>PR061</stp>
        <stp>[DPM - Securities Master List (BBG Linked).xlsx]Equities!R263C40</stp>
        <tr r="AN263" s="2"/>
      </tp>
      <tp>
        <v>11.17647</v>
        <stp/>
        <stp>##V3_BDPV12</stp>
        <stp>TSCO LN Equity</stp>
        <stp>PR061</stp>
        <stp>[DPM - Securities Master List (BBG Linked).xlsx]Equities!R262C40</stp>
        <tr r="AN262" s="2"/>
      </tp>
      <tp>
        <v>11.17647</v>
        <stp/>
        <stp>##V3_BDPV12</stp>
        <stp>TSCO LN Equity</stp>
        <stp>PR061</stp>
        <stp>[DPM - Securities Master List (BBG Linked).xlsx]Equities!R267C40</stp>
        <tr r="AN267" s="2"/>
      </tp>
      <tp>
        <v>11.17647</v>
        <stp/>
        <stp>##V3_BDPV12</stp>
        <stp>TSCO LN Equity</stp>
        <stp>PR061</stp>
        <stp>[DPM - Securities Master List (BBG Linked).xlsx]Equities!R266C40</stp>
        <tr r="AN266" s="2"/>
      </tp>
      <tp>
        <v>11.17647</v>
        <stp/>
        <stp>##V3_BDPV12</stp>
        <stp>TSCO LN Equity</stp>
        <stp>PR061</stp>
        <stp>[DPM - Securities Master List (BBG Linked).xlsx]Equities!R265C40</stp>
        <tr r="AN265" s="2"/>
      </tp>
      <tp>
        <v>11.17647</v>
        <stp/>
        <stp>##V3_BDPV12</stp>
        <stp>TSCO LN Equity</stp>
        <stp>PR061</stp>
        <stp>[DPM - Securities Master List (BBG Linked).xlsx]Equities!R264C40</stp>
        <tr r="AN264" s="2"/>
      </tp>
      <tp t="s">
        <v>Communication Services</v>
        <stp/>
        <stp>##V3_BDPV12</stp>
        <stp>GOOGL US Equity</stp>
        <stp>DX202</stp>
        <stp>[DPM - Securities Master List (BBG Linked).xlsx]Equities!R127C46</stp>
        <tr r="AT127" s="2"/>
        <tr r="AT127" s="2"/>
        <tr r="AT127" s="2"/>
      </tp>
      <tp t="s">
        <v>Communication Services</v>
        <stp/>
        <stp>##V3_BDPV12</stp>
        <stp>GOOGL US Equity</stp>
        <stp>DX202</stp>
        <stp>[DPM - Securities Master List (BBG Linked).xlsx]Equities!R128C46</stp>
        <tr r="AT128" s="2"/>
        <tr r="AT128" s="2"/>
        <tr r="AT128" s="2"/>
      </tp>
      <tp t="s">
        <v>Communication Services</v>
        <stp/>
        <stp>##V3_BDPV12</stp>
        <stp>GOOGL US Equity</stp>
        <stp>DX202</stp>
        <stp>[DPM - Securities Master List (BBG Linked).xlsx]Equities!R129C46</stp>
        <tr r="AT129" s="2"/>
        <tr r="AT129" s="2"/>
        <tr r="AT129" s="2"/>
      </tp>
      <tp>
        <v>11.17647</v>
        <stp/>
        <stp>##V3_BDPV12</stp>
        <stp>TSCO LN Equity</stp>
        <stp>PR061</stp>
        <stp>[DPM - Securities Master List (BBG Linked).xlsx]Equities!R273C40</stp>
        <tr r="AN273" s="2"/>
      </tp>
      <tp>
        <v>11.17647</v>
        <stp/>
        <stp>##V3_BDPV12</stp>
        <stp>TSCO LN Equity</stp>
        <stp>PR061</stp>
        <stp>[DPM - Securities Master List (BBG Linked).xlsx]Equities!R272C40</stp>
        <tr r="AN272" s="2"/>
      </tp>
      <tp>
        <v>11.17647</v>
        <stp/>
        <stp>##V3_BDPV12</stp>
        <stp>TSCO LN Equity</stp>
        <stp>PR061</stp>
        <stp>[DPM - Securities Master List (BBG Linked).xlsx]Equities!R271C40</stp>
        <tr r="AN271" s="2"/>
      </tp>
      <tp>
        <v>11.17647</v>
        <stp/>
        <stp>##V3_BDPV12</stp>
        <stp>TSCO LN Equity</stp>
        <stp>PR061</stp>
        <stp>[DPM - Securities Master List (BBG Linked).xlsx]Equities!R270C40</stp>
        <tr r="AN270" s="2"/>
      </tp>
      <tp>
        <v>11.17647</v>
        <stp/>
        <stp>##V3_BDPV12</stp>
        <stp>TSCO LN Equity</stp>
        <stp>PR061</stp>
        <stp>[DPM - Securities Master List (BBG Linked).xlsx]Equities!R275C40</stp>
        <tr r="AN275" s="2"/>
      </tp>
      <tp>
        <v>11.17647</v>
        <stp/>
        <stp>##V3_BDPV12</stp>
        <stp>TSCO LN Equity</stp>
        <stp>PR061</stp>
        <stp>[DPM - Securities Master List (BBG Linked).xlsx]Equities!R274C40</stp>
        <tr r="AN274" s="2"/>
      </tp>
      <tp t="s">
        <v>Communication Services</v>
        <stp/>
        <stp>##V3_BDPV12</stp>
        <stp>GOOGL US Equity</stp>
        <stp>DX202</stp>
        <stp>[DPM - Securities Master List (BBG Linked).xlsx]Equities!R140C46</stp>
        <tr r="AT140" s="2"/>
        <tr r="AT140" s="2"/>
        <tr r="AT140" s="2"/>
      </tp>
      <tp t="s">
        <v>Communication Services</v>
        <stp/>
        <stp>##V3_BDPV12</stp>
        <stp>GOOGL US Equity</stp>
        <stp>DX202</stp>
        <stp>[DPM - Securities Master List (BBG Linked).xlsx]Equities!R141C46</stp>
        <tr r="AT141" s="2"/>
        <tr r="AT141" s="2"/>
        <tr r="AT141" s="2"/>
      </tp>
      <tp>
        <v>119.735</v>
        <stp/>
        <stp>##V3_BDPV12</stp>
        <stp>BIIB US Equity</stp>
        <stp>PX_Last</stp>
        <stp>[DPM - Securities Master List (BBG Linked).xlsx]Equities!R62C17</stp>
        <tr r="Q62" s="2"/>
      </tp>
      <tp>
        <v>119.735</v>
        <stp/>
        <stp>##V3_BDPV12</stp>
        <stp>BIIB US Equity</stp>
        <stp>PX_last</stp>
        <stp>[DPM - Securities Master List (BBG Linked).xlsx]Equities!R62C17</stp>
        <tr r="Q62" s="2"/>
      </tp>
      <tp t="s">
        <v>#N/A Field Not Applicable</v>
        <stp/>
        <stp>##V3_BDPV12</stp>
        <stp>NSRGY US Equity</stp>
        <stp>RR900</stp>
        <stp>[DPM - Securities Master List (BBG Linked).xlsx]Equities!R223C11</stp>
        <tr r="K223" s="2"/>
        <tr r="K223" s="2"/>
      </tp>
      <tp t="s">
        <v>#N/A Field Not Applicable</v>
        <stp/>
        <stp>##V3_BDPV12</stp>
        <stp>NSRGY US Equity</stp>
        <stp>RR903</stp>
        <stp>[DPM - Securities Master List (BBG Linked).xlsx]Equities!R223C13</stp>
        <tr r="M223" s="2"/>
        <tr r="M223" s="2"/>
      </tp>
      <tp t="s">
        <v>Equity</v>
        <stp/>
        <stp>##V3_BDPV12</stp>
        <stp>GOOGL UQ Equity</stp>
        <stp>EX028</stp>
        <stp>[DPM - Securities Master List (BBG Linked).xlsx]Equities!R126C30</stp>
        <tr r="AD126" s="2"/>
        <tr r="AD126" s="2"/>
        <tr r="AD126" s="2"/>
      </tp>
      <tp t="s">
        <v>US02079K3059</v>
        <stp/>
        <stp>##V3_BDPV12</stp>
        <stp>GOOGL US Equity</stp>
        <stp>ID005</stp>
        <stp>[DPM - Securities Master List (BBG Linked).xlsx]Equities!R140C55</stp>
        <tr r="BC140" s="2"/>
      </tp>
      <tp t="s">
        <v>US02079K3059</v>
        <stp/>
        <stp>##V3_BDPV12</stp>
        <stp>GOOGL US Equity</stp>
        <stp>ID005</stp>
        <stp>[DPM - Securities Master List (BBG Linked).xlsx]Equities!R141C55</stp>
        <tr r="BC141" s="2"/>
      </tp>
      <tp t="s">
        <v>US02079K3059</v>
        <stp/>
        <stp>##V3_BDPV12</stp>
        <stp>GOOGL US Equity</stp>
        <stp>ID005</stp>
        <stp>[DPM - Securities Master List (BBG Linked).xlsx]Equities!R127C55</stp>
        <tr r="BC127" s="2"/>
      </tp>
      <tp t="s">
        <v>US02079K3059</v>
        <stp/>
        <stp>##V3_BDPV12</stp>
        <stp>GOOGL US Equity</stp>
        <stp>ID005</stp>
        <stp>[DPM - Securities Master List (BBG Linked).xlsx]Equities!R128C55</stp>
        <tr r="BC128" s="2"/>
      </tp>
      <tp t="s">
        <v>US02079K3059</v>
        <stp/>
        <stp>##V3_BDPV12</stp>
        <stp>GOOGL US Equity</stp>
        <stp>ID005</stp>
        <stp>[DPM - Securities Master List (BBG Linked).xlsx]Equities!R129C55</stp>
        <tr r="BC129" s="2"/>
      </tp>
      <tp t="s">
        <v>US02079K3059</v>
        <stp/>
        <stp>##V3_BDPV12</stp>
        <stp>GOOGL US Equity</stp>
        <stp>ID005</stp>
        <stp>[DPM - Securities Master List (BBG Linked).xlsx]Equities!R132C55</stp>
        <tr r="BC132" s="2"/>
      </tp>
      <tp t="s">
        <v>US02079K3059</v>
        <stp/>
        <stp>##V3_BDPV12</stp>
        <stp>GOOGL US Equity</stp>
        <stp>ID005</stp>
        <stp>[DPM - Securities Master List (BBG Linked).xlsx]Equities!R133C55</stp>
        <tr r="BC133" s="2"/>
      </tp>
      <tp t="s">
        <v>US02079K3059</v>
        <stp/>
        <stp>##V3_BDPV12</stp>
        <stp>GOOGL US Equity</stp>
        <stp>ID005</stp>
        <stp>[DPM - Securities Master List (BBG Linked).xlsx]Equities!R130C55</stp>
        <tr r="BC130" s="2"/>
      </tp>
      <tp t="s">
        <v>US02079K3059</v>
        <stp/>
        <stp>##V3_BDPV12</stp>
        <stp>GOOGL US Equity</stp>
        <stp>ID005</stp>
        <stp>[DPM - Securities Master List (BBG Linked).xlsx]Equities!R131C55</stp>
        <tr r="BC131" s="2"/>
      </tp>
      <tp t="s">
        <v>US02079K3059</v>
        <stp/>
        <stp>##V3_BDPV12</stp>
        <stp>GOOGL US Equity</stp>
        <stp>ID005</stp>
        <stp>[DPM - Securities Master List (BBG Linked).xlsx]Equities!R136C55</stp>
        <tr r="BC136" s="2"/>
      </tp>
      <tp t="s">
        <v>US02079K3059</v>
        <stp/>
        <stp>##V3_BDPV12</stp>
        <stp>GOOGL US Equity</stp>
        <stp>ID005</stp>
        <stp>[DPM - Securities Master List (BBG Linked).xlsx]Equities!R137C55</stp>
        <tr r="BC137" s="2"/>
      </tp>
      <tp t="s">
        <v>US02079K3059</v>
        <stp/>
        <stp>##V3_BDPV12</stp>
        <stp>GOOGL US Equity</stp>
        <stp>ID005</stp>
        <stp>[DPM - Securities Master List (BBG Linked).xlsx]Equities!R134C55</stp>
        <tr r="BC134" s="2"/>
      </tp>
      <tp t="s">
        <v>US02079K3059</v>
        <stp/>
        <stp>##V3_BDPV12</stp>
        <stp>GOOGL US Equity</stp>
        <stp>ID005</stp>
        <stp>[DPM - Securities Master List (BBG Linked).xlsx]Equities!R135C55</stp>
        <tr r="BC135" s="2"/>
      </tp>
      <tp t="s">
        <v>US02079K3059</v>
        <stp/>
        <stp>##V3_BDPV12</stp>
        <stp>GOOGL US Equity</stp>
        <stp>ID005</stp>
        <stp>[DPM - Securities Master List (BBG Linked).xlsx]Equities!R138C55</stp>
        <tr r="BC138" s="2"/>
      </tp>
      <tp t="s">
        <v>US02079K3059</v>
        <stp/>
        <stp>##V3_BDPV12</stp>
        <stp>GOOGL US Equity</stp>
        <stp>ID005</stp>
        <stp>[DPM - Securities Master List (BBG Linked).xlsx]Equities!R139C55</stp>
        <tr r="BC139" s="2"/>
      </tp>
      <tp>
        <v>24</v>
        <stp/>
        <stp>##V3_BDPV12</stp>
        <stp>DELL US Equity</stp>
        <stp>TOT_BUY_REC</stp>
        <stp>[DPM - Securities Master List (BBG Linked).xlsx]Equities!R107C34</stp>
        <tr r="AH107" s="2"/>
      </tp>
      <tp>
        <v>24</v>
        <stp/>
        <stp>##V3_BDPV12</stp>
        <stp>DELL US Equity</stp>
        <stp>TOT_BUY_REC</stp>
        <stp>[DPM - Securities Master List (BBG Linked).xlsx]Equities!R106C34</stp>
        <tr r="AH106" s="2"/>
      </tp>
      <tp>
        <v>24</v>
        <stp/>
        <stp>##V3_BDPV12</stp>
        <stp>DELL US Equity</stp>
        <stp>TOT_BUY_REC</stp>
        <stp>[DPM - Securities Master List (BBG Linked).xlsx]Equities!R105C34</stp>
        <tr r="AH105" s="2"/>
      </tp>
      <tp>
        <v>24</v>
        <stp/>
        <stp>##V3_BDPV12</stp>
        <stp>DELL US Equity</stp>
        <stp>TOT_BUY_REC</stp>
        <stp>[DPM - Securities Master List (BBG Linked).xlsx]Equities!R104C34</stp>
        <tr r="AH104" s="2"/>
      </tp>
      <tp>
        <v>24</v>
        <stp/>
        <stp>##V3_BDPV12</stp>
        <stp>DELL US Equity</stp>
        <stp>TOT_BUY_REC</stp>
        <stp>[DPM - Securities Master List (BBG Linked).xlsx]Equities!R103C34</stp>
        <tr r="AH103" s="2"/>
      </tp>
      <tp>
        <v>24</v>
        <stp/>
        <stp>##V3_BDPV12</stp>
        <stp>DELL US Equity</stp>
        <stp>TOT_BUY_REC</stp>
        <stp>[DPM - Securities Master List (BBG Linked).xlsx]Equities!R102C34</stp>
        <tr r="AH102" s="2"/>
      </tp>
      <tp>
        <v>24</v>
        <stp/>
        <stp>##V3_BDPV12</stp>
        <stp>DELL US Equity</stp>
        <stp>TOT_BUY_REC</stp>
        <stp>[DPM - Securities Master List (BBG Linked).xlsx]Equities!R101C34</stp>
        <tr r="AH101" s="2"/>
      </tp>
      <tp>
        <v>24</v>
        <stp/>
        <stp>##V3_BDPV12</stp>
        <stp>DELL US Equity</stp>
        <stp>TOT_BUY_REC</stp>
        <stp>[DPM - Securities Master List (BBG Linked).xlsx]Equities!R100C34</stp>
        <tr r="AH100" s="2"/>
      </tp>
      <tp t="s">
        <v>USD</v>
        <stp/>
        <stp>##V3_BDPV12</stp>
        <stp>GOOGL US Equity</stp>
        <stp>CRNCY</stp>
        <stp>[DPM - Securities Master List (BBG Linked).xlsx]Equities!R134C6</stp>
        <tr r="F134" s="2"/>
      </tp>
      <tp t="s">
        <v>Information Technology</v>
        <stp/>
        <stp>##V3_BDPV12</stp>
        <stp>DELL US Equity</stp>
        <stp>DX202</stp>
        <stp>[DPM - Securities Master List (BBG Linked).xlsx]Equities!R98C8</stp>
        <tr r="H98" s="2"/>
        <tr r="H98" s="2"/>
        <tr r="H98" s="2"/>
      </tp>
      <tp t="s">
        <v>#N/A Invalid Override</v>
        <stp/>
        <stp>##V3_BDPV12</stp>
        <stp>XS2775892065 isin</stp>
        <stp>YAS_BOND_YLD</stp>
        <stp>[DPM - Securities Master List (BBG Linked).xlsx]Bonds!R133C10</stp>
        <stp>YAS_YLD_FLAG=15</stp>
        <stp>user_local_trade_date</stp>
        <stp>45783</stp>
        <stp>Yas_bond_px</stp>
        <stp>#N/A Connection</stp>
        <tr r="J133" s="1"/>
      </tp>
      <tp t="s">
        <v>#N/A Invalid Override</v>
        <stp/>
        <stp>##V3_BDPV12</stp>
        <stp>XS2976035316 isin</stp>
        <stp>YAS_BOND_YLD</stp>
        <stp>[DPM - Securities Master List (BBG Linked).xlsx]Bonds!R109C10</stp>
        <stp>YAS_YLD_FLAG=15</stp>
        <stp>user_local_trade_date</stp>
        <stp>45783</stp>
        <stp>Yas_bond_px</stp>
        <stp>#N/A Connection</stp>
        <tr r="J109" s="1"/>
      </tp>
      <tp>
        <v>105.39727020263672</v>
        <stp/>
        <stp>##V3_BDPV12</stp>
        <stp>9888 HK Equity</stp>
        <stp>BEST_TARGET_PRICE</stp>
        <stp>[DPM - Securities Master List (BBG Linked).xlsx]Equities!R16C38</stp>
        <tr r="AL16" s="2"/>
      </tp>
      <tp>
        <v>105.39727020263672</v>
        <stp/>
        <stp>##V3_BDPV12</stp>
        <stp>9888 HK Equity</stp>
        <stp>BEST_TARGET_PRICE</stp>
        <stp>[DPM - Securities Master List (BBG Linked).xlsx]Equities!R17C38</stp>
        <tr r="AL17" s="2"/>
      </tp>
      <tp>
        <v>105.39727020263672</v>
        <stp/>
        <stp>##V3_BDPV12</stp>
        <stp>9888 HK Equity</stp>
        <stp>BEST_TARGET_PRICE</stp>
        <stp>[DPM - Securities Master List (BBG Linked).xlsx]Equities!R15C38</stp>
        <tr r="AL15" s="2"/>
      </tp>
      <tp>
        <v>105.39727020263672</v>
        <stp/>
        <stp>##V3_BDPV12</stp>
        <stp>9888 HK Equity</stp>
        <stp>BEST_TARGET_PRICE</stp>
        <stp>[DPM - Securities Master List (BBG Linked).xlsx]Equities!R18C38</stp>
        <tr r="AL18" s="2"/>
      </tp>
      <tp>
        <v>105.39727020263672</v>
        <stp/>
        <stp>##V3_BDPV12</stp>
        <stp>9888 HK Equity</stp>
        <stp>BEST_TARGET_PRICE</stp>
        <stp>[DPM - Securities Master List (BBG Linked).xlsx]Equities!R19C38</stp>
        <tr r="AL19" s="2"/>
      </tp>
      <tp>
        <v>105.39727020263672</v>
        <stp/>
        <stp>##V3_BDPV12</stp>
        <stp>9888 HK Equity</stp>
        <stp>BEST_TARGET_PRICE</stp>
        <stp>[DPM - Securities Master List (BBG Linked).xlsx]Equities!R22C38</stp>
        <tr r="AL22" s="2"/>
      </tp>
      <tp>
        <v>105.39727020263672</v>
        <stp/>
        <stp>##V3_BDPV12</stp>
        <stp>9888 HK Equity</stp>
        <stp>BEST_TARGET_PRICE</stp>
        <stp>[DPM - Securities Master List (BBG Linked).xlsx]Equities!R23C38</stp>
        <tr r="AL23" s="2"/>
      </tp>
      <tp>
        <v>105.39727020263672</v>
        <stp/>
        <stp>##V3_BDPV12</stp>
        <stp>9888 HK Equity</stp>
        <stp>BEST_TARGET_PRICE</stp>
        <stp>[DPM - Securities Master List (BBG Linked).xlsx]Equities!R20C38</stp>
        <tr r="AL20" s="2"/>
      </tp>
      <tp>
        <v>105.39727020263672</v>
        <stp/>
        <stp>##V3_BDPV12</stp>
        <stp>9888 HK Equity</stp>
        <stp>BEST_TARGET_PRICE</stp>
        <stp>[DPM - Securities Master List (BBG Linked).xlsx]Equities!R21C38</stp>
        <tr r="AL21" s="2"/>
      </tp>
      <tp>
        <v>105.39727020263672</v>
        <stp/>
        <stp>##V3_BDPV12</stp>
        <stp>9888 HK Equity</stp>
        <stp>BEST_TARGET_PRICE</stp>
        <stp>[DPM - Securities Master List (BBG Linked).xlsx]Equities!R26C38</stp>
        <tr r="AL26" s="2"/>
      </tp>
      <tp>
        <v>105.39727020263672</v>
        <stp/>
        <stp>##V3_BDPV12</stp>
        <stp>9888 HK Equity</stp>
        <stp>BEST_TARGET_PRICE</stp>
        <stp>[DPM - Securities Master List (BBG Linked).xlsx]Equities!R27C38</stp>
        <tr r="AL27" s="2"/>
      </tp>
      <tp>
        <v>105.39727020263672</v>
        <stp/>
        <stp>##V3_BDPV12</stp>
        <stp>9888 HK Equity</stp>
        <stp>BEST_TARGET_PRICE</stp>
        <stp>[DPM - Securities Master List (BBG Linked).xlsx]Equities!R24C38</stp>
        <tr r="AL24" s="2"/>
      </tp>
      <tp>
        <v>105.39727020263672</v>
        <stp/>
        <stp>##V3_BDPV12</stp>
        <stp>9888 HK Equity</stp>
        <stp>BEST_TARGET_PRICE</stp>
        <stp>[DPM - Securities Master List (BBG Linked).xlsx]Equities!R25C38</stp>
        <tr r="AL25" s="2"/>
      </tp>
      <tp>
        <v>98.62</v>
        <stp/>
        <stp>##V3_BDPV12</stp>
        <stp>NESN SW Equity</stp>
        <stp>hs001</stp>
        <stp>[DPM - Securities Master List (BBG Linked).xlsx]Equities!R193C44</stp>
        <tr r="AR193" s="2"/>
      </tp>
      <tp>
        <v>98.62</v>
        <stp/>
        <stp>##V3_BDPV12</stp>
        <stp>NESN SW Equity</stp>
        <stp>hs001</stp>
        <stp>[DPM - Securities Master List (BBG Linked).xlsx]Equities!R196C44</stp>
        <tr r="AR196" s="2"/>
      </tp>
      <tp>
        <v>98.62</v>
        <stp/>
        <stp>##V3_BDPV12</stp>
        <stp>NESN SW Equity</stp>
        <stp>hs001</stp>
        <stp>[DPM - Securities Master List (BBG Linked).xlsx]Equities!R197C44</stp>
        <tr r="AR197" s="2"/>
      </tp>
      <tp>
        <v>98.62</v>
        <stp/>
        <stp>##V3_BDPV12</stp>
        <stp>NESN SW Equity</stp>
        <stp>hs001</stp>
        <stp>[DPM - Securities Master List (BBG Linked).xlsx]Equities!R194C44</stp>
        <tr r="AR194" s="2"/>
      </tp>
      <tp>
        <v>98.62</v>
        <stp/>
        <stp>##V3_BDPV12</stp>
        <stp>NESN SW Equity</stp>
        <stp>hs001</stp>
        <stp>[DPM - Securities Master List (BBG Linked).xlsx]Equities!R195C44</stp>
        <tr r="AR195" s="2"/>
      </tp>
      <tp>
        <v>98.62</v>
        <stp/>
        <stp>##V3_BDPV12</stp>
        <stp>NESN SW Equity</stp>
        <stp>hs001</stp>
        <stp>[DPM - Securities Master List (BBG Linked).xlsx]Equities!R198C44</stp>
        <tr r="AR198" s="2"/>
      </tp>
      <tp>
        <v>98.62</v>
        <stp/>
        <stp>##V3_BDPV12</stp>
        <stp>NESN SW Equity</stp>
        <stp>hs001</stp>
        <stp>[DPM - Securities Master List (BBG Linked).xlsx]Equities!R199C44</stp>
        <tr r="AR199" s="2"/>
      </tp>
      <tp>
        <v>72.819999999999993</v>
        <stp/>
        <stp>##V3_BDPV12</stp>
        <stp>NESN SW Equity</stp>
        <stp>hs002</stp>
        <stp>[DPM - Securities Master List (BBG Linked).xlsx]Equities!R202C45</stp>
        <tr r="AS202" s="2"/>
      </tp>
      <tp>
        <v>72.819999999999993</v>
        <stp/>
        <stp>##V3_BDPV12</stp>
        <stp>NESN SW Equity</stp>
        <stp>hs002</stp>
        <stp>[DPM - Securities Master List (BBG Linked).xlsx]Equities!R203C45</stp>
        <tr r="AS203" s="2"/>
      </tp>
      <tp>
        <v>72.819999999999993</v>
        <stp/>
        <stp>##V3_BDPV12</stp>
        <stp>NESN SW Equity</stp>
        <stp>hs002</stp>
        <stp>[DPM - Securities Master List (BBG Linked).xlsx]Equities!R200C45</stp>
        <tr r="AS200" s="2"/>
      </tp>
      <tp>
        <v>72.819999999999993</v>
        <stp/>
        <stp>##V3_BDPV12</stp>
        <stp>NESN SW Equity</stp>
        <stp>hs002</stp>
        <stp>[DPM - Securities Master List (BBG Linked).xlsx]Equities!R201C45</stp>
        <tr r="AS201" s="2"/>
      </tp>
      <tp>
        <v>72.819999999999993</v>
        <stp/>
        <stp>##V3_BDPV12</stp>
        <stp>NESN SW Equity</stp>
        <stp>hs002</stp>
        <stp>[DPM - Securities Master List (BBG Linked).xlsx]Equities!R204C45</stp>
        <tr r="AS204" s="2"/>
      </tp>
      <tp>
        <v>72.819999999999993</v>
        <stp/>
        <stp>##V3_BDPV12</stp>
        <stp>NESN SW Equity</stp>
        <stp>hs002</stp>
        <stp>[DPM - Securities Master List (BBG Linked).xlsx]Equities!R205C45</stp>
        <tr r="AS205" s="2"/>
      </tp>
      <tp t="s">
        <v>BP PLC</v>
        <stp/>
        <stp>##V3_BDPV12</stp>
        <stp>BP/ LN Equity</stp>
        <stp>SECURITY NAME</stp>
        <stp>[DPM - Securities Master List (BBG Linked).xlsx]Equities!R85C5</stp>
        <tr r="E85" s="2"/>
      </tp>
      <tp>
        <v>72.819999999999993</v>
        <stp/>
        <stp>##V3_BDPV12</stp>
        <stp>NESN SW Equity</stp>
        <stp>hs002</stp>
        <stp>[DPM - Securities Master List (BBG Linked).xlsx]Equities!R193C45</stp>
        <tr r="AS193" s="2"/>
      </tp>
      <tp>
        <v>72.819999999999993</v>
        <stp/>
        <stp>##V3_BDPV12</stp>
        <stp>NESN SW Equity</stp>
        <stp>hs002</stp>
        <stp>[DPM - Securities Master List (BBG Linked).xlsx]Equities!R196C45</stp>
        <tr r="AS196" s="2"/>
      </tp>
      <tp>
        <v>72.819999999999993</v>
        <stp/>
        <stp>##V3_BDPV12</stp>
        <stp>NESN SW Equity</stp>
        <stp>hs002</stp>
        <stp>[DPM - Securities Master List (BBG Linked).xlsx]Equities!R197C45</stp>
        <tr r="AS197" s="2"/>
      </tp>
      <tp>
        <v>72.819999999999993</v>
        <stp/>
        <stp>##V3_BDPV12</stp>
        <stp>NESN SW Equity</stp>
        <stp>hs002</stp>
        <stp>[DPM - Securities Master List (BBG Linked).xlsx]Equities!R194C45</stp>
        <tr r="AS194" s="2"/>
      </tp>
      <tp>
        <v>72.819999999999993</v>
        <stp/>
        <stp>##V3_BDPV12</stp>
        <stp>NESN SW Equity</stp>
        <stp>hs002</stp>
        <stp>[DPM - Securities Master List (BBG Linked).xlsx]Equities!R195C45</stp>
        <tr r="AS195" s="2"/>
      </tp>
      <tp>
        <v>72.819999999999993</v>
        <stp/>
        <stp>##V3_BDPV12</stp>
        <stp>NESN SW Equity</stp>
        <stp>hs002</stp>
        <stp>[DPM - Securities Master List (BBG Linked).xlsx]Equities!R198C45</stp>
        <tr r="AS198" s="2"/>
      </tp>
      <tp>
        <v>72.819999999999993</v>
        <stp/>
        <stp>##V3_BDPV12</stp>
        <stp>NESN SW Equity</stp>
        <stp>hs002</stp>
        <stp>[DPM - Securities Master List (BBG Linked).xlsx]Equities!R199C45</stp>
        <tr r="AS199" s="2"/>
      </tp>
      <tp>
        <v>98.62</v>
        <stp/>
        <stp>##V3_BDPV12</stp>
        <stp>NESN SW Equity</stp>
        <stp>hs001</stp>
        <stp>[DPM - Securities Master List (BBG Linked).xlsx]Equities!R202C44</stp>
        <tr r="AR202" s="2"/>
      </tp>
      <tp>
        <v>98.62</v>
        <stp/>
        <stp>##V3_BDPV12</stp>
        <stp>NESN SW Equity</stp>
        <stp>hs001</stp>
        <stp>[DPM - Securities Master List (BBG Linked).xlsx]Equities!R203C44</stp>
        <tr r="AR203" s="2"/>
      </tp>
      <tp>
        <v>98.62</v>
        <stp/>
        <stp>##V3_BDPV12</stp>
        <stp>NESN SW Equity</stp>
        <stp>hs001</stp>
        <stp>[DPM - Securities Master List (BBG Linked).xlsx]Equities!R200C44</stp>
        <tr r="AR200" s="2"/>
      </tp>
      <tp>
        <v>98.62</v>
        <stp/>
        <stp>##V3_BDPV12</stp>
        <stp>NESN SW Equity</stp>
        <stp>hs001</stp>
        <stp>[DPM - Securities Master List (BBG Linked).xlsx]Equities!R201C44</stp>
        <tr r="AR201" s="2"/>
      </tp>
      <tp>
        <v>98.62</v>
        <stp/>
        <stp>##V3_BDPV12</stp>
        <stp>NESN SW Equity</stp>
        <stp>hs001</stp>
        <stp>[DPM - Securities Master List (BBG Linked).xlsx]Equities!R204C44</stp>
        <tr r="AR204" s="2"/>
      </tp>
      <tp>
        <v>98.62</v>
        <stp/>
        <stp>##V3_BDPV12</stp>
        <stp>NESN SW Equity</stp>
        <stp>hs001</stp>
        <stp>[DPM - Securities Master List (BBG Linked).xlsx]Equities!R205C44</stp>
        <tr r="AR205" s="2"/>
      </tp>
      <tp t="s">
        <v>Associated British Foods PLC</v>
        <stp/>
        <stp>##V3_BDPV12</stp>
        <stp>ABF LN Equity</stp>
        <stp>SECURITY NAME</stp>
        <stp>[DPM - Securities Master List (BBG Linked).xlsx]Equities!R35C5</stp>
        <tr r="E35" s="2"/>
      </tp>
      <tp t="s">
        <v>AstraZeneca PLC</v>
        <stp/>
        <stp>##V3_BDPV12</stp>
        <stp>AZN LN Equity</stp>
        <stp>SECURITY NAME</stp>
        <stp>[DPM - Securities Master List (BBG Linked).xlsx]Equities!R55C5</stp>
        <tr r="E55" s="2"/>
      </tp>
      <tp t="s">
        <v>USD</v>
        <stp/>
        <stp>##V3_BDPV12</stp>
        <stp>BMRN US Equity</stp>
        <stp>CRNCY</stp>
        <stp>[DPM - Securities Master List (BBG Linked).xlsx]Equities!R74C6</stp>
        <tr r="F74" s="2"/>
      </tp>
      <tp t="s">
        <v>USD</v>
        <stp/>
        <stp>##V3_BDPV12</stp>
        <stp>BMRN US Equity</stp>
        <stp>CRNCY</stp>
        <stp>[DPM - Securities Master List (BBG Linked).xlsx]Equities!R64C6</stp>
        <tr r="F64" s="2"/>
      </tp>
      <tp t="s">
        <v>USD</v>
        <stp/>
        <stp>##V3_BDPV12</stp>
        <stp>ADBE US Equity</stp>
        <stp>CRNCY</stp>
        <stp>[DPM - Securities Master List (BBG Linked).xlsx]Equities!R37C6</stp>
        <tr r="F37" s="2"/>
      </tp>
      <tp t="s">
        <v>USD</v>
        <stp/>
        <stp>##V3_BDPV12</stp>
        <stp>ADBE US Equity</stp>
        <stp>CRNCY</stp>
        <stp>[DPM - Securities Master List (BBG Linked).xlsx]Equities!R47C6</stp>
        <tr r="F47" s="2"/>
      </tp>
      <tp t="s">
        <v>USD</v>
        <stp/>
        <stp>##V3_BDPV12</stp>
        <stp>DELL US Equity</stp>
        <stp>CRNCY</stp>
        <stp>[DPM - Securities Master List (BBG Linked).xlsx]Equities!R92C6</stp>
        <tr r="F92" s="2"/>
      </tp>
      <tp>
        <v>71.819999999999993</v>
        <stp/>
        <stp>##V3_BDPV12</stp>
        <stp>TCEHY US Equity</stp>
        <stp>hs001</stp>
        <stp>[DPM - Securities Master List (BBG Linked).xlsx]Equities!R259C44</stp>
        <tr r="AR259" s="2"/>
      </tp>
      <tp>
        <v>71.819999999999993</v>
        <stp/>
        <stp>##V3_BDPV12</stp>
        <stp>TCEHY US Equity</stp>
        <stp>hs001</stp>
        <stp>[DPM - Securities Master List (BBG Linked).xlsx]Equities!R260C44</stp>
        <tr r="AR260" s="2"/>
      </tp>
      <tp>
        <v>44.96</v>
        <stp/>
        <stp>##V3_BDPV12</stp>
        <stp>TCEHY US Equity</stp>
        <stp>hs002</stp>
        <stp>[DPM - Securities Master List (BBG Linked).xlsx]Equities!R259C45</stp>
        <tr r="AS259" s="2"/>
      </tp>
      <tp>
        <v>44.96</v>
        <stp/>
        <stp>##V3_BDPV12</stp>
        <stp>TCEHY US Equity</stp>
        <stp>hs002</stp>
        <stp>[DPM - Securities Master List (BBG Linked).xlsx]Equities!R260C45</stp>
        <tr r="AS260" s="2"/>
      </tp>
      <tp t="s">
        <v>#N/A Field Not Applicable</v>
        <stp/>
        <stp>##V3_BDPV12</stp>
        <stp>TCEHY US Equity</stp>
        <stp>RR903</stp>
        <stp>[DPM - Securities Master List (BBG Linked).xlsx]Equities!R260C13</stp>
        <tr r="M260" s="2"/>
        <tr r="M260" s="2"/>
      </tp>
      <tp t="s">
        <v>#N/A Field Not Applicable</v>
        <stp/>
        <stp>##V3_BDPV12</stp>
        <stp>TCEHY US Equity</stp>
        <stp>RR903</stp>
        <stp>[DPM - Securities Master List (BBG Linked).xlsx]Equities!R259C13</stp>
        <tr r="M259" s="2"/>
        <tr r="M259" s="2"/>
      </tp>
      <tp t="s">
        <v>Consumer Staples</v>
        <stp/>
        <stp>##V3_BDPV12</stp>
        <stp>NESN SW Equity</stp>
        <stp>DX202</stp>
        <stp>[DPM - Securities Master List (BBG Linked).xlsx]Equities!R200C46</stp>
        <tr r="AT200" s="2"/>
        <tr r="AT200" s="2"/>
        <tr r="AT200" s="2"/>
      </tp>
      <tp t="s">
        <v>Consumer Staples</v>
        <stp/>
        <stp>##V3_BDPV12</stp>
        <stp>NESN SW Equity</stp>
        <stp>DX202</stp>
        <stp>[DPM - Securities Master List (BBG Linked).xlsx]Equities!R201C46</stp>
        <tr r="AT201" s="2"/>
        <tr r="AT201" s="2"/>
        <tr r="AT201" s="2"/>
      </tp>
      <tp t="s">
        <v>Consumer Staples</v>
        <stp/>
        <stp>##V3_BDPV12</stp>
        <stp>NESN SW Equity</stp>
        <stp>DX202</stp>
        <stp>[DPM - Securities Master List (BBG Linked).xlsx]Equities!R202C46</stp>
        <tr r="AT202" s="2"/>
        <tr r="AT202" s="2"/>
        <tr r="AT202" s="2"/>
      </tp>
      <tp t="s">
        <v>Consumer Staples</v>
        <stp/>
        <stp>##V3_BDPV12</stp>
        <stp>NESN SW Equity</stp>
        <stp>DX202</stp>
        <stp>[DPM - Securities Master List (BBG Linked).xlsx]Equities!R203C46</stp>
        <tr r="AT203" s="2"/>
        <tr r="AT203" s="2"/>
        <tr r="AT203" s="2"/>
      </tp>
      <tp t="s">
        <v>Consumer Staples</v>
        <stp/>
        <stp>##V3_BDPV12</stp>
        <stp>NESN SW Equity</stp>
        <stp>DX202</stp>
        <stp>[DPM - Securities Master List (BBG Linked).xlsx]Equities!R204C46</stp>
        <tr r="AT204" s="2"/>
        <tr r="AT204" s="2"/>
        <tr r="AT204" s="2"/>
      </tp>
      <tp t="s">
        <v>Consumer Staples</v>
        <stp/>
        <stp>##V3_BDPV12</stp>
        <stp>NESN SW Equity</stp>
        <stp>DX202</stp>
        <stp>[DPM - Securities Master List (BBG Linked).xlsx]Equities!R205C46</stp>
        <tr r="AT205" s="2"/>
        <tr r="AT205" s="2"/>
        <tr r="AT205" s="2"/>
      </tp>
      <tp t="s">
        <v>#N/A Invalid Field</v>
        <stp/>
        <stp>##V3_BDPV12</stp>
        <stp>DELL US Equity</stp>
        <stp/>
        <stp>[DPM - Securities Master List (BBG Linked).xlsx]Equities!R103C29</stp>
        <tr r="AC103" s="2"/>
        <tr r="AC103" s="2"/>
      </tp>
      <tp t="s">
        <v>#N/A Invalid Field</v>
        <stp/>
        <stp>##V3_BDPV12</stp>
        <stp>DELL US Equity</stp>
        <stp/>
        <stp>[DPM - Securities Master List (BBG Linked).xlsx]Equities!R102C29</stp>
        <tr r="AC102" s="2"/>
        <tr r="AC102" s="2"/>
      </tp>
      <tp t="s">
        <v>#N/A Invalid Field</v>
        <stp/>
        <stp>##V3_BDPV12</stp>
        <stp>DELL US Equity</stp>
        <stp/>
        <stp>[DPM - Securities Master List (BBG Linked).xlsx]Equities!R101C29</stp>
        <tr r="AC101" s="2"/>
        <tr r="AC101" s="2"/>
      </tp>
      <tp t="s">
        <v>#N/A Invalid Field</v>
        <stp/>
        <stp>##V3_BDPV12</stp>
        <stp>DELL US Equity</stp>
        <stp/>
        <stp>[DPM - Securities Master List (BBG Linked).xlsx]Equities!R100C29</stp>
        <tr r="AC100" s="2"/>
        <tr r="AC100" s="2"/>
      </tp>
      <tp t="s">
        <v>#N/A Invalid Field</v>
        <stp/>
        <stp>##V3_BDPV12</stp>
        <stp>DELL US Equity</stp>
        <stp/>
        <stp>[DPM - Securities Master List (BBG Linked).xlsx]Equities!R107C29</stp>
        <tr r="AC107" s="2"/>
        <tr r="AC107" s="2"/>
      </tp>
      <tp t="s">
        <v>#N/A Invalid Field</v>
        <stp/>
        <stp>##V3_BDPV12</stp>
        <stp>DELL US Equity</stp>
        <stp/>
        <stp>[DPM - Securities Master List (BBG Linked).xlsx]Equities!R106C29</stp>
        <tr r="AC106" s="2"/>
        <tr r="AC106" s="2"/>
      </tp>
      <tp t="s">
        <v>#N/A Invalid Field</v>
        <stp/>
        <stp>##V3_BDPV12</stp>
        <stp>DELL US Equity</stp>
        <stp/>
        <stp>[DPM - Securities Master List (BBG Linked).xlsx]Equities!R105C29</stp>
        <tr r="AC105" s="2"/>
        <tr r="AC105" s="2"/>
      </tp>
      <tp t="s">
        <v>#N/A Invalid Field</v>
        <stp/>
        <stp>##V3_BDPV12</stp>
        <stp>DELL US Equity</stp>
        <stp/>
        <stp>[DPM - Securities Master List (BBG Linked).xlsx]Equities!R104C29</stp>
        <tr r="AC104" s="2"/>
        <tr r="AC104" s="2"/>
      </tp>
      <tp t="s">
        <v>Consumer Staples</v>
        <stp/>
        <stp>##V3_BDPV12</stp>
        <stp>NESN SW Equity</stp>
        <stp>DX202</stp>
        <stp>[DPM - Securities Master List (BBG Linked).xlsx]Equities!R193C46</stp>
        <tr r="AT193" s="2"/>
        <tr r="AT193" s="2"/>
        <tr r="AT193" s="2"/>
      </tp>
      <tp t="s">
        <v>Consumer Staples</v>
        <stp/>
        <stp>##V3_BDPV12</stp>
        <stp>NESN SW Equity</stp>
        <stp>DX202</stp>
        <stp>[DPM - Securities Master List (BBG Linked).xlsx]Equities!R194C46</stp>
        <tr r="AT194" s="2"/>
        <tr r="AT194" s="2"/>
        <tr r="AT194" s="2"/>
      </tp>
      <tp t="s">
        <v>Consumer Staples</v>
        <stp/>
        <stp>##V3_BDPV12</stp>
        <stp>NESN SW Equity</stp>
        <stp>DX202</stp>
        <stp>[DPM - Securities Master List (BBG Linked).xlsx]Equities!R195C46</stp>
        <tr r="AT195" s="2"/>
        <tr r="AT195" s="2"/>
        <tr r="AT195" s="2"/>
      </tp>
      <tp t="s">
        <v>Consumer Staples</v>
        <stp/>
        <stp>##V3_BDPV12</stp>
        <stp>NESN SW Equity</stp>
        <stp>DX202</stp>
        <stp>[DPM - Securities Master List (BBG Linked).xlsx]Equities!R196C46</stp>
        <tr r="AT196" s="2"/>
        <tr r="AT196" s="2"/>
        <tr r="AT196" s="2"/>
      </tp>
      <tp t="s">
        <v>Consumer Staples</v>
        <stp/>
        <stp>##V3_BDPV12</stp>
        <stp>NESN SW Equity</stp>
        <stp>DX202</stp>
        <stp>[DPM - Securities Master List (BBG Linked).xlsx]Equities!R197C46</stp>
        <tr r="AT197" s="2"/>
        <tr r="AT197" s="2"/>
        <tr r="AT197" s="2"/>
      </tp>
      <tp t="s">
        <v>Consumer Staples</v>
        <stp/>
        <stp>##V3_BDPV12</stp>
        <stp>NESN SW Equity</stp>
        <stp>DX202</stp>
        <stp>[DPM - Securities Master List (BBG Linked).xlsx]Equities!R198C46</stp>
        <tr r="AT198" s="2"/>
        <tr r="AT198" s="2"/>
        <tr r="AT198" s="2"/>
      </tp>
      <tp t="s">
        <v>Consumer Staples</v>
        <stp/>
        <stp>##V3_BDPV12</stp>
        <stp>NESN SW Equity</stp>
        <stp>DX202</stp>
        <stp>[DPM - Securities Master List (BBG Linked).xlsx]Equities!R199C46</stp>
        <tr r="AT199" s="2"/>
        <tr r="AT199" s="2"/>
        <tr r="AT199" s="2"/>
      </tp>
      <tp t="s">
        <v>#N/A Field Not Applicable</v>
        <stp/>
        <stp>##V3_BDPV12</stp>
        <stp>TCEHY US Equity</stp>
        <stp>RR900</stp>
        <stp>[DPM - Securities Master List (BBG Linked).xlsx]Equities!R259C11</stp>
        <tr r="K259" s="2"/>
        <tr r="K259" s="2"/>
      </tp>
      <tp t="s">
        <v>#N/A Field Not Applicable</v>
        <stp/>
        <stp>##V3_BDPV12</stp>
        <stp>TCEHY US Equity</stp>
        <stp>RR900</stp>
        <stp>[DPM - Securities Master List (BBG Linked).xlsx]Equities!R260C11</stp>
        <tr r="K260" s="2"/>
        <tr r="K260" s="2"/>
      </tp>
      <tp>
        <v>3.730769157409668</v>
        <stp/>
        <stp>##V3_BDPV12</stp>
        <stp>NESN SW Equity</stp>
        <stp>EE201</stp>
        <stp>[DPM - Securities Master List (BBG Linked).xlsx]Equities!R200C37</stp>
        <tr r="AK200" s="2"/>
        <tr r="AK200" s="2"/>
        <tr r="AK200" s="2"/>
      </tp>
      <tp>
        <v>3.730769157409668</v>
        <stp/>
        <stp>##V3_BDPV12</stp>
        <stp>NESN SW Equity</stp>
        <stp>EE201</stp>
        <stp>[DPM - Securities Master List (BBG Linked).xlsx]Equities!R201C37</stp>
        <tr r="AK201" s="2"/>
        <tr r="AK201" s="2"/>
        <tr r="AK201" s="2"/>
      </tp>
      <tp>
        <v>3.730769157409668</v>
        <stp/>
        <stp>##V3_BDPV12</stp>
        <stp>NESN SW Equity</stp>
        <stp>EE201</stp>
        <stp>[DPM - Securities Master List (BBG Linked).xlsx]Equities!R202C37</stp>
        <tr r="AK202" s="2"/>
        <tr r="AK202" s="2"/>
        <tr r="AK202" s="2"/>
      </tp>
      <tp>
        <v>3.730769157409668</v>
        <stp/>
        <stp>##V3_BDPV12</stp>
        <stp>NESN SW Equity</stp>
        <stp>EE201</stp>
        <stp>[DPM - Securities Master List (BBG Linked).xlsx]Equities!R203C37</stp>
        <tr r="AK203" s="2"/>
        <tr r="AK203" s="2"/>
        <tr r="AK203" s="2"/>
      </tp>
      <tp>
        <v>3.730769157409668</v>
        <stp/>
        <stp>##V3_BDPV12</stp>
        <stp>NESN SW Equity</stp>
        <stp>EE201</stp>
        <stp>[DPM - Securities Master List (BBG Linked).xlsx]Equities!R204C37</stp>
        <tr r="AK204" s="2"/>
        <tr r="AK204" s="2"/>
        <tr r="AK204" s="2"/>
      </tp>
      <tp>
        <v>3.730769157409668</v>
        <stp/>
        <stp>##V3_BDPV12</stp>
        <stp>NESN SW Equity</stp>
        <stp>EE201</stp>
        <stp>[DPM - Securities Master List (BBG Linked).xlsx]Equities!R205C37</stp>
        <tr r="AK205" s="2"/>
        <tr r="AK205" s="2"/>
        <tr r="AK205" s="2"/>
      </tp>
      <tp t="s">
        <v>N</v>
        <stp/>
        <stp>##V3_BDPV12</stp>
        <stp>TSCO LN Equity</stp>
        <stp>DY997</stp>
        <stp>[DPM - Securities Master List (BBG Linked).xlsx]Equities!R262C47</stp>
        <tr r="AU262" s="2"/>
        <tr r="AU262" s="2"/>
        <tr r="AU262" s="2"/>
      </tp>
      <tp t="s">
        <v>N</v>
        <stp/>
        <stp>##V3_BDPV12</stp>
        <stp>TSCO LN Equity</stp>
        <stp>DY997</stp>
        <stp>[DPM - Securities Master List (BBG Linked).xlsx]Equities!R263C47</stp>
        <tr r="AU263" s="2"/>
        <tr r="AU263" s="2"/>
        <tr r="AU263" s="2"/>
      </tp>
      <tp t="s">
        <v>N</v>
        <stp/>
        <stp>##V3_BDPV12</stp>
        <stp>TSCO LN Equity</stp>
        <stp>DY997</stp>
        <stp>[DPM - Securities Master List (BBG Linked).xlsx]Equities!R266C47</stp>
        <tr r="AU266" s="2"/>
        <tr r="AU266" s="2"/>
        <tr r="AU266" s="2"/>
      </tp>
      <tp t="s">
        <v>N</v>
        <stp/>
        <stp>##V3_BDPV12</stp>
        <stp>TSCO LN Equity</stp>
        <stp>DY997</stp>
        <stp>[DPM - Securities Master List (BBG Linked).xlsx]Equities!R267C47</stp>
        <tr r="AU267" s="2"/>
        <tr r="AU267" s="2"/>
        <tr r="AU267" s="2"/>
      </tp>
      <tp t="s">
        <v>N</v>
        <stp/>
        <stp>##V3_BDPV12</stp>
        <stp>TSCO LN Equity</stp>
        <stp>DY997</stp>
        <stp>[DPM - Securities Master List (BBG Linked).xlsx]Equities!R264C47</stp>
        <tr r="AU264" s="2"/>
        <tr r="AU264" s="2"/>
        <tr r="AU264" s="2"/>
      </tp>
      <tp t="s">
        <v>N</v>
        <stp/>
        <stp>##V3_BDPV12</stp>
        <stp>TSCO LN Equity</stp>
        <stp>DY997</stp>
        <stp>[DPM - Securities Master List (BBG Linked).xlsx]Equities!R265C47</stp>
        <tr r="AU265" s="2"/>
        <tr r="AU265" s="2"/>
        <tr r="AU265" s="2"/>
      </tp>
      <tp t="s">
        <v>N</v>
        <stp/>
        <stp>##V3_BDPV12</stp>
        <stp>TSCO LN Equity</stp>
        <stp>DY997</stp>
        <stp>[DPM - Securities Master List (BBG Linked).xlsx]Equities!R268C47</stp>
        <tr r="AU268" s="2"/>
        <tr r="AU268" s="2"/>
        <tr r="AU268" s="2"/>
      </tp>
      <tp t="s">
        <v>N</v>
        <stp/>
        <stp>##V3_BDPV12</stp>
        <stp>TSCO LN Equity</stp>
        <stp>DY997</stp>
        <stp>[DPM - Securities Master List (BBG Linked).xlsx]Equities!R269C47</stp>
        <tr r="AU269" s="2"/>
        <tr r="AU269" s="2"/>
        <tr r="AU269" s="2"/>
      </tp>
      <tp t="s">
        <v>N</v>
        <stp/>
        <stp>##V3_BDPV12</stp>
        <stp>TSCO LN Equity</stp>
        <stp>DY997</stp>
        <stp>[DPM - Securities Master List (BBG Linked).xlsx]Equities!R272C47</stp>
        <tr r="AU272" s="2"/>
        <tr r="AU272" s="2"/>
        <tr r="AU272" s="2"/>
      </tp>
      <tp t="s">
        <v>N</v>
        <stp/>
        <stp>##V3_BDPV12</stp>
        <stp>TSCO LN Equity</stp>
        <stp>DY997</stp>
        <stp>[DPM - Securities Master List (BBG Linked).xlsx]Equities!R273C47</stp>
        <tr r="AU273" s="2"/>
        <tr r="AU273" s="2"/>
        <tr r="AU273" s="2"/>
      </tp>
      <tp t="s">
        <v>N</v>
        <stp/>
        <stp>##V3_BDPV12</stp>
        <stp>TSCO LN Equity</stp>
        <stp>DY997</stp>
        <stp>[DPM - Securities Master List (BBG Linked).xlsx]Equities!R270C47</stp>
        <tr r="AU270" s="2"/>
        <tr r="AU270" s="2"/>
        <tr r="AU270" s="2"/>
      </tp>
      <tp t="s">
        <v>N</v>
        <stp/>
        <stp>##V3_BDPV12</stp>
        <stp>TSCO LN Equity</stp>
        <stp>DY997</stp>
        <stp>[DPM - Securities Master List (BBG Linked).xlsx]Equities!R271C47</stp>
        <tr r="AU271" s="2"/>
        <tr r="AU271" s="2"/>
        <tr r="AU271" s="2"/>
      </tp>
      <tp t="s">
        <v>N</v>
        <stp/>
        <stp>##V3_BDPV12</stp>
        <stp>TSCO LN Equity</stp>
        <stp>DY997</stp>
        <stp>[DPM - Securities Master List (BBG Linked).xlsx]Equities!R274C47</stp>
        <tr r="AU274" s="2"/>
        <tr r="AU274" s="2"/>
        <tr r="AU274" s="2"/>
      </tp>
      <tp t="s">
        <v>N</v>
        <stp/>
        <stp>##V3_BDPV12</stp>
        <stp>TSCO LN Equity</stp>
        <stp>DY997</stp>
        <stp>[DPM - Securities Master List (BBG Linked).xlsx]Equities!R275C47</stp>
        <tr r="AU275" s="2"/>
        <tr r="AU275" s="2"/>
        <tr r="AU275" s="2"/>
      </tp>
      <tp>
        <v>3.730769157409668</v>
        <stp/>
        <stp>##V3_BDPV12</stp>
        <stp>NESN SW Equity</stp>
        <stp>EE201</stp>
        <stp>[DPM - Securities Master List (BBG Linked).xlsx]Equities!R193C37</stp>
        <tr r="AK193" s="2"/>
        <tr r="AK193" s="2"/>
        <tr r="AK193" s="2"/>
      </tp>
      <tp>
        <v>3.730769157409668</v>
        <stp/>
        <stp>##V3_BDPV12</stp>
        <stp>NESN SW Equity</stp>
        <stp>EE201</stp>
        <stp>[DPM - Securities Master List (BBG Linked).xlsx]Equities!R194C37</stp>
        <tr r="AK194" s="2"/>
        <tr r="AK194" s="2"/>
        <tr r="AK194" s="2"/>
      </tp>
      <tp>
        <v>3.730769157409668</v>
        <stp/>
        <stp>##V3_BDPV12</stp>
        <stp>NESN SW Equity</stp>
        <stp>EE201</stp>
        <stp>[DPM - Securities Master List (BBG Linked).xlsx]Equities!R195C37</stp>
        <tr r="AK195" s="2"/>
        <tr r="AK195" s="2"/>
        <tr r="AK195" s="2"/>
      </tp>
      <tp>
        <v>3.730769157409668</v>
        <stp/>
        <stp>##V3_BDPV12</stp>
        <stp>NESN SW Equity</stp>
        <stp>EE201</stp>
        <stp>[DPM - Securities Master List (BBG Linked).xlsx]Equities!R196C37</stp>
        <tr r="AK196" s="2"/>
        <tr r="AK196" s="2"/>
        <tr r="AK196" s="2"/>
      </tp>
      <tp>
        <v>3.730769157409668</v>
        <stp/>
        <stp>##V3_BDPV12</stp>
        <stp>NESN SW Equity</stp>
        <stp>EE201</stp>
        <stp>[DPM - Securities Master List (BBG Linked).xlsx]Equities!R197C37</stp>
        <tr r="AK197" s="2"/>
        <tr r="AK197" s="2"/>
        <tr r="AK197" s="2"/>
      </tp>
      <tp>
        <v>3.730769157409668</v>
        <stp/>
        <stp>##V3_BDPV12</stp>
        <stp>NESN SW Equity</stp>
        <stp>EE201</stp>
        <stp>[DPM - Securities Master List (BBG Linked).xlsx]Equities!R198C37</stp>
        <tr r="AK198" s="2"/>
        <tr r="AK198" s="2"/>
        <tr r="AK198" s="2"/>
      </tp>
      <tp>
        <v>3.730769157409668</v>
        <stp/>
        <stp>##V3_BDPV12</stp>
        <stp>NESN SW Equity</stp>
        <stp>EE201</stp>
        <stp>[DPM - Securities Master List (BBG Linked).xlsx]Equities!R199C37</stp>
        <tr r="AK199" s="2"/>
        <tr r="AK199" s="2"/>
        <tr r="AK199" s="2"/>
      </tp>
      <tp t="s">
        <v>CH0038863350</v>
        <stp/>
        <stp>##V3_BDPV12</stp>
        <stp>NESN SW Equity</stp>
        <stp>ID005</stp>
        <stp>[DPM - Securities Master List (BBG Linked).xlsx]Equities!R193C55</stp>
        <tr r="BC193" s="2"/>
      </tp>
      <tp t="s">
        <v>CH0038863350</v>
        <stp/>
        <stp>##V3_BDPV12</stp>
        <stp>NESN SW Equity</stp>
        <stp>ID005</stp>
        <stp>[DPM - Securities Master List (BBG Linked).xlsx]Equities!R196C55</stp>
        <tr r="BC196" s="2"/>
      </tp>
      <tp t="s">
        <v>CH0038863350</v>
        <stp/>
        <stp>##V3_BDPV12</stp>
        <stp>NESN SW Equity</stp>
        <stp>ID005</stp>
        <stp>[DPM - Securities Master List (BBG Linked).xlsx]Equities!R197C55</stp>
        <tr r="BC197" s="2"/>
      </tp>
      <tp t="s">
        <v>CH0038863350</v>
        <stp/>
        <stp>##V3_BDPV12</stp>
        <stp>NESN SW Equity</stp>
        <stp>ID005</stp>
        <stp>[DPM - Securities Master List (BBG Linked).xlsx]Equities!R194C55</stp>
        <tr r="BC194" s="2"/>
      </tp>
      <tp t="s">
        <v>CH0038863350</v>
        <stp/>
        <stp>##V3_BDPV12</stp>
        <stp>NESN SW Equity</stp>
        <stp>ID005</stp>
        <stp>[DPM - Securities Master List (BBG Linked).xlsx]Equities!R195C55</stp>
        <tr r="BC195" s="2"/>
      </tp>
      <tp t="s">
        <v>CH0038863350</v>
        <stp/>
        <stp>##V3_BDPV12</stp>
        <stp>NESN SW Equity</stp>
        <stp>ID005</stp>
        <stp>[DPM - Securities Master List (BBG Linked).xlsx]Equities!R198C55</stp>
        <tr r="BC198" s="2"/>
      </tp>
      <tp t="s">
        <v>CH0038863350</v>
        <stp/>
        <stp>##V3_BDPV12</stp>
        <stp>NESN SW Equity</stp>
        <stp>ID005</stp>
        <stp>[DPM - Securities Master List (BBG Linked).xlsx]Equities!R199C55</stp>
        <tr r="BC199" s="2"/>
      </tp>
      <tp t="s">
        <v>#N/A Field Not Applicable</v>
        <stp/>
        <stp>##V3_BDPV12</stp>
        <stp>TCEHY US Equity</stp>
        <stp>RR908</stp>
        <stp>[DPM - Securities Master List (BBG Linked).xlsx]Equities!R260C32</stp>
        <tr r="AF260" s="2"/>
        <tr r="AF260" s="2"/>
      </tp>
      <tp t="s">
        <v>#N/A Field Not Applicable</v>
        <stp/>
        <stp>##V3_BDPV12</stp>
        <stp>TCEHY US Equity</stp>
        <stp>RR908</stp>
        <stp>[DPM - Securities Master List (BBG Linked).xlsx]Equities!R259C32</stp>
        <tr r="AF259" s="2"/>
        <tr r="AF259" s="2"/>
      </tp>
      <tp t="s">
        <v>#N/A Invalid Field</v>
        <stp/>
        <stp>##V3_BDPV12</stp>
        <stp>REGN US Equity</stp>
        <stp/>
        <stp>[DPM - Securities Master List (BBG Linked).xlsx]Equities!R241C29</stp>
        <tr r="AC241" s="2"/>
        <tr r="AC241" s="2"/>
      </tp>
      <tp t="s">
        <v>CH0038863350</v>
        <stp/>
        <stp>##V3_BDPV12</stp>
        <stp>NESN SW Equity</stp>
        <stp>ID005</stp>
        <stp>[DPM - Securities Master List (BBG Linked).xlsx]Equities!R202C55</stp>
        <tr r="BC202" s="2"/>
      </tp>
      <tp t="s">
        <v>CH0038863350</v>
        <stp/>
        <stp>##V3_BDPV12</stp>
        <stp>NESN SW Equity</stp>
        <stp>ID005</stp>
        <stp>[DPM - Securities Master List (BBG Linked).xlsx]Equities!R203C55</stp>
        <tr r="BC203" s="2"/>
      </tp>
      <tp t="s">
        <v>CH0038863350</v>
        <stp/>
        <stp>##V3_BDPV12</stp>
        <stp>NESN SW Equity</stp>
        <stp>ID005</stp>
        <stp>[DPM - Securities Master List (BBG Linked).xlsx]Equities!R200C55</stp>
        <tr r="BC200" s="2"/>
      </tp>
      <tp t="s">
        <v>CH0038863350</v>
        <stp/>
        <stp>##V3_BDPV12</stp>
        <stp>NESN SW Equity</stp>
        <stp>ID005</stp>
        <stp>[DPM - Securities Master List (BBG Linked).xlsx]Equities!R201C55</stp>
        <tr r="BC201" s="2"/>
      </tp>
      <tp t="s">
        <v>CH0038863350</v>
        <stp/>
        <stp>##V3_BDPV12</stp>
        <stp>NESN SW Equity</stp>
        <stp>ID005</stp>
        <stp>[DPM - Securities Master List (BBG Linked).xlsx]Equities!R204C55</stp>
        <tr r="BC204" s="2"/>
      </tp>
      <tp t="s">
        <v>CH0038863350</v>
        <stp/>
        <stp>##V3_BDPV12</stp>
        <stp>NESN SW Equity</stp>
        <stp>ID005</stp>
        <stp>[DPM - Securities Master List (BBG Linked).xlsx]Equities!R205C55</stp>
        <tr r="BC205" s="2"/>
      </tp>
      <tp>
        <v>6.3098381926092424</v>
        <stp/>
        <stp>##V3_BDPV12</stp>
        <stp>NESN SW Equity</stp>
        <stp>RR903</stp>
        <stp>[DPM - Securities Master List (BBG Linked).xlsx]Equities!R199C13</stp>
        <tr r="M199" s="2"/>
        <tr r="M199" s="2"/>
        <tr r="M199" s="2"/>
      </tp>
      <tp>
        <v>6.3098381926092424</v>
        <stp/>
        <stp>##V3_BDPV12</stp>
        <stp>NESN SW Equity</stp>
        <stp>RR903</stp>
        <stp>[DPM - Securities Master List (BBG Linked).xlsx]Equities!R198C13</stp>
        <tr r="M198" s="2"/>
        <tr r="M198" s="2"/>
        <tr r="M198" s="2"/>
      </tp>
      <tp>
        <v>6.3098381926092424</v>
        <stp/>
        <stp>##V3_BDPV12</stp>
        <stp>NESN SW Equity</stp>
        <stp>RR903</stp>
        <stp>[DPM - Securities Master List (BBG Linked).xlsx]Equities!R193C13</stp>
        <tr r="M193" s="2"/>
        <tr r="M193" s="2"/>
        <tr r="M193" s="2"/>
      </tp>
      <tp>
        <v>6.3098381926092424</v>
        <stp/>
        <stp>##V3_BDPV12</stp>
        <stp>NESN SW Equity</stp>
        <stp>RR903</stp>
        <stp>[DPM - Securities Master List (BBG Linked).xlsx]Equities!R197C13</stp>
        <tr r="M197" s="2"/>
        <tr r="M197" s="2"/>
        <tr r="M197" s="2"/>
      </tp>
      <tp>
        <v>6.3098381926092424</v>
        <stp/>
        <stp>##V3_BDPV12</stp>
        <stp>NESN SW Equity</stp>
        <stp>RR903</stp>
        <stp>[DPM - Securities Master List (BBG Linked).xlsx]Equities!R196C13</stp>
        <tr r="M196" s="2"/>
        <tr r="M196" s="2"/>
        <tr r="M196" s="2"/>
      </tp>
      <tp>
        <v>6.3098381926092424</v>
        <stp/>
        <stp>##V3_BDPV12</stp>
        <stp>NESN SW Equity</stp>
        <stp>RR903</stp>
        <stp>[DPM - Securities Master List (BBG Linked).xlsx]Equities!R195C13</stp>
        <tr r="M195" s="2"/>
        <tr r="M195" s="2"/>
        <tr r="M195" s="2"/>
      </tp>
      <tp>
        <v>6.3098381926092424</v>
        <stp/>
        <stp>##V3_BDPV12</stp>
        <stp>NESN SW Equity</stp>
        <stp>RR903</stp>
        <stp>[DPM - Securities Master List (BBG Linked).xlsx]Equities!R194C13</stp>
        <tr r="M194" s="2"/>
        <tr r="M194" s="2"/>
        <tr r="M194" s="2"/>
      </tp>
      <tp>
        <v>21.030646477632914</v>
        <stp/>
        <stp>##V3_BDPV12</stp>
        <stp>NESN SW Equity</stp>
        <stp>RR900</stp>
        <stp>[DPM - Securities Master List (BBG Linked).xlsx]Equities!R203C11</stp>
        <tr r="K203" s="2"/>
        <tr r="K203" s="2"/>
        <tr r="K203" s="2"/>
      </tp>
      <tp>
        <v>21.030646477632914</v>
        <stp/>
        <stp>##V3_BDPV12</stp>
        <stp>NESN SW Equity</stp>
        <stp>RR900</stp>
        <stp>[DPM - Securities Master List (BBG Linked).xlsx]Equities!R202C11</stp>
        <tr r="K202" s="2"/>
        <tr r="K202" s="2"/>
        <tr r="K202" s="2"/>
      </tp>
      <tp>
        <v>21.030646477632914</v>
        <stp/>
        <stp>##V3_BDPV12</stp>
        <stp>NESN SW Equity</stp>
        <stp>RR900</stp>
        <stp>[DPM - Securities Master List (BBG Linked).xlsx]Equities!R201C11</stp>
        <tr r="K201" s="2"/>
        <tr r="K201" s="2"/>
        <tr r="K201" s="2"/>
      </tp>
      <tp>
        <v>21.030646477632914</v>
        <stp/>
        <stp>##V3_BDPV12</stp>
        <stp>NESN SW Equity</stp>
        <stp>RR900</stp>
        <stp>[DPM - Securities Master List (BBG Linked).xlsx]Equities!R200C11</stp>
        <tr r="K200" s="2"/>
        <tr r="K200" s="2"/>
        <tr r="K200" s="2"/>
      </tp>
      <tp>
        <v>21.030646477632914</v>
        <stp/>
        <stp>##V3_BDPV12</stp>
        <stp>NESN SW Equity</stp>
        <stp>RR900</stp>
        <stp>[DPM - Securities Master List (BBG Linked).xlsx]Equities!R205C11</stp>
        <tr r="K205" s="2"/>
        <tr r="K205" s="2"/>
        <tr r="K205" s="2"/>
      </tp>
      <tp>
        <v>21.030646477632914</v>
        <stp/>
        <stp>##V3_BDPV12</stp>
        <stp>NESN SW Equity</stp>
        <stp>RR900</stp>
        <stp>[DPM - Securities Master List (BBG Linked).xlsx]Equities!R204C11</stp>
        <tr r="K204" s="2"/>
        <tr r="K204" s="2"/>
        <tr r="K204" s="2"/>
      </tp>
      <tp t="s">
        <v>Communication Services</v>
        <stp/>
        <stp>##V3_BDPV12</stp>
        <stp>TCEHY US Equity</stp>
        <stp>DX202</stp>
        <stp>[DPM - Securities Master List (BBG Linked).xlsx]Equities!R259C46</stp>
        <tr r="AT259" s="2"/>
        <tr r="AT259" s="2"/>
        <tr r="AT259" s="2"/>
      </tp>
      <tp t="s">
        <v>Communication Services</v>
        <stp/>
        <stp>##V3_BDPV12</stp>
        <stp>TCEHY US Equity</stp>
        <stp>DX202</stp>
        <stp>[DPM - Securities Master List (BBG Linked).xlsx]Equities!R260C46</stp>
        <tr r="AT260" s="2"/>
        <tr r="AT260" s="2"/>
        <tr r="AT260" s="2"/>
      </tp>
      <tp>
        <v>21.030646477632914</v>
        <stp/>
        <stp>##V3_BDPV12</stp>
        <stp>NESN SW Equity</stp>
        <stp>RR900</stp>
        <stp>[DPM - Securities Master List (BBG Linked).xlsx]Equities!R199C11</stp>
        <tr r="K199" s="2"/>
        <tr r="K199" s="2"/>
        <tr r="K199" s="2"/>
      </tp>
      <tp>
        <v>21.030646477632914</v>
        <stp/>
        <stp>##V3_BDPV12</stp>
        <stp>NESN SW Equity</stp>
        <stp>RR900</stp>
        <stp>[DPM - Securities Master List (BBG Linked).xlsx]Equities!R198C11</stp>
        <tr r="K198" s="2"/>
        <tr r="K198" s="2"/>
        <tr r="K198" s="2"/>
      </tp>
      <tp>
        <v>21.030646477632914</v>
        <stp/>
        <stp>##V3_BDPV12</stp>
        <stp>NESN SW Equity</stp>
        <stp>RR900</stp>
        <stp>[DPM - Securities Master List (BBG Linked).xlsx]Equities!R193C11</stp>
        <tr r="K193" s="2"/>
        <tr r="K193" s="2"/>
        <tr r="K193" s="2"/>
      </tp>
      <tp>
        <v>21.030646477632914</v>
        <stp/>
        <stp>##V3_BDPV12</stp>
        <stp>NESN SW Equity</stp>
        <stp>RR900</stp>
        <stp>[DPM - Securities Master List (BBG Linked).xlsx]Equities!R197C11</stp>
        <tr r="K197" s="2"/>
        <tr r="K197" s="2"/>
        <tr r="K197" s="2"/>
      </tp>
      <tp>
        <v>21.030646477632914</v>
        <stp/>
        <stp>##V3_BDPV12</stp>
        <stp>NESN SW Equity</stp>
        <stp>RR900</stp>
        <stp>[DPM - Securities Master List (BBG Linked).xlsx]Equities!R196C11</stp>
        <tr r="K196" s="2"/>
        <tr r="K196" s="2"/>
        <tr r="K196" s="2"/>
      </tp>
      <tp>
        <v>21.030646477632914</v>
        <stp/>
        <stp>##V3_BDPV12</stp>
        <stp>NESN SW Equity</stp>
        <stp>RR900</stp>
        <stp>[DPM - Securities Master List (BBG Linked).xlsx]Equities!R195C11</stp>
        <tr r="K195" s="2"/>
        <tr r="K195" s="2"/>
        <tr r="K195" s="2"/>
      </tp>
      <tp>
        <v>21.030646477632914</v>
        <stp/>
        <stp>##V3_BDPV12</stp>
        <stp>NESN SW Equity</stp>
        <stp>RR900</stp>
        <stp>[DPM - Securities Master List (BBG Linked).xlsx]Equities!R194C11</stp>
        <tr r="K194" s="2"/>
        <tr r="K194" s="2"/>
        <tr r="K194" s="2"/>
      </tp>
      <tp>
        <v>6.3098381926092424</v>
        <stp/>
        <stp>##V3_BDPV12</stp>
        <stp>NESN SW Equity</stp>
        <stp>RR903</stp>
        <stp>[DPM - Securities Master List (BBG Linked).xlsx]Equities!R203C13</stp>
        <tr r="M203" s="2"/>
        <tr r="M203" s="2"/>
        <tr r="M203" s="2"/>
      </tp>
      <tp>
        <v>6.3098381926092424</v>
        <stp/>
        <stp>##V3_BDPV12</stp>
        <stp>NESN SW Equity</stp>
        <stp>RR903</stp>
        <stp>[DPM - Securities Master List (BBG Linked).xlsx]Equities!R202C13</stp>
        <tr r="M202" s="2"/>
        <tr r="M202" s="2"/>
        <tr r="M202" s="2"/>
      </tp>
      <tp>
        <v>6.3098381926092424</v>
        <stp/>
        <stp>##V3_BDPV12</stp>
        <stp>NESN SW Equity</stp>
        <stp>RR903</stp>
        <stp>[DPM - Securities Master List (BBG Linked).xlsx]Equities!R201C13</stp>
        <tr r="M201" s="2"/>
        <tr r="M201" s="2"/>
        <tr r="M201" s="2"/>
      </tp>
      <tp>
        <v>6.3098381926092424</v>
        <stp/>
        <stp>##V3_BDPV12</stp>
        <stp>NESN SW Equity</stp>
        <stp>RR903</stp>
        <stp>[DPM - Securities Master List (BBG Linked).xlsx]Equities!R200C13</stp>
        <tr r="M200" s="2"/>
        <tr r="M200" s="2"/>
        <tr r="M200" s="2"/>
      </tp>
      <tp>
        <v>6.3098381926092424</v>
        <stp/>
        <stp>##V3_BDPV12</stp>
        <stp>NESN SW Equity</stp>
        <stp>RR903</stp>
        <stp>[DPM - Securities Master List (BBG Linked).xlsx]Equities!R205C13</stp>
        <tr r="M205" s="2"/>
        <tr r="M205" s="2"/>
        <tr r="M205" s="2"/>
      </tp>
      <tp>
        <v>6.3098381926092424</v>
        <stp/>
        <stp>##V3_BDPV12</stp>
        <stp>NESN SW Equity</stp>
        <stp>RR903</stp>
        <stp>[DPM - Securities Master List (BBG Linked).xlsx]Equities!R204C13</stp>
        <tr r="M204" s="2"/>
        <tr r="M204" s="2"/>
        <tr r="M204" s="2"/>
      </tp>
      <tp>
        <v>25</v>
        <stp/>
        <stp>##V3_BDPV12</stp>
        <stp>9888 HK Equity</stp>
        <stp>TOT_BUY_REC</stp>
        <stp>[DPM - Securities Master List (BBG Linked).xlsx]Equities!R27C34</stp>
        <tr r="AH27" s="2"/>
      </tp>
      <tp>
        <v>25</v>
        <stp/>
        <stp>##V3_BDPV12</stp>
        <stp>9888 HK Equity</stp>
        <stp>TOT_BUY_REC</stp>
        <stp>[DPM - Securities Master List (BBG Linked).xlsx]Equities!R26C34</stp>
        <tr r="AH26" s="2"/>
      </tp>
      <tp>
        <v>25</v>
        <stp/>
        <stp>##V3_BDPV12</stp>
        <stp>9888 HK Equity</stp>
        <stp>TOT_BUY_REC</stp>
        <stp>[DPM - Securities Master List (BBG Linked).xlsx]Equities!R25C34</stp>
        <tr r="AH25" s="2"/>
      </tp>
      <tp>
        <v>25</v>
        <stp/>
        <stp>##V3_BDPV12</stp>
        <stp>9888 HK Equity</stp>
        <stp>TOT_BUY_REC</stp>
        <stp>[DPM - Securities Master List (BBG Linked).xlsx]Equities!R24C34</stp>
        <tr r="AH24" s="2"/>
      </tp>
      <tp>
        <v>25</v>
        <stp/>
        <stp>##V3_BDPV12</stp>
        <stp>9888 HK Equity</stp>
        <stp>TOT_BUY_REC</stp>
        <stp>[DPM - Securities Master List (BBG Linked).xlsx]Equities!R23C34</stp>
        <tr r="AH23" s="2"/>
      </tp>
      <tp>
        <v>25</v>
        <stp/>
        <stp>##V3_BDPV12</stp>
        <stp>9888 HK Equity</stp>
        <stp>TOT_BUY_REC</stp>
        <stp>[DPM - Securities Master List (BBG Linked).xlsx]Equities!R22C34</stp>
        <tr r="AH22" s="2"/>
      </tp>
      <tp>
        <v>25</v>
        <stp/>
        <stp>##V3_BDPV12</stp>
        <stp>9888 HK Equity</stp>
        <stp>TOT_BUY_REC</stp>
        <stp>[DPM - Securities Master List (BBG Linked).xlsx]Equities!R21C34</stp>
        <tr r="AH21" s="2"/>
      </tp>
      <tp>
        <v>25</v>
        <stp/>
        <stp>##V3_BDPV12</stp>
        <stp>9888 HK Equity</stp>
        <stp>TOT_BUY_REC</stp>
        <stp>[DPM - Securities Master List (BBG Linked).xlsx]Equities!R20C34</stp>
        <tr r="AH20" s="2"/>
      </tp>
      <tp>
        <v>25</v>
        <stp/>
        <stp>##V3_BDPV12</stp>
        <stp>9888 HK Equity</stp>
        <stp>TOT_BUY_REC</stp>
        <stp>[DPM - Securities Master List (BBG Linked).xlsx]Equities!R19C34</stp>
        <tr r="AH19" s="2"/>
      </tp>
      <tp>
        <v>25</v>
        <stp/>
        <stp>##V3_BDPV12</stp>
        <stp>9888 HK Equity</stp>
        <stp>TOT_BUY_REC</stp>
        <stp>[DPM - Securities Master List (BBG Linked).xlsx]Equities!R18C34</stp>
        <tr r="AH18" s="2"/>
      </tp>
      <tp>
        <v>25</v>
        <stp/>
        <stp>##V3_BDPV12</stp>
        <stp>9888 HK Equity</stp>
        <stp>TOT_BUY_REC</stp>
        <stp>[DPM - Securities Master List (BBG Linked).xlsx]Equities!R17C34</stp>
        <tr r="AH17" s="2"/>
      </tp>
      <tp>
        <v>25</v>
        <stp/>
        <stp>##V3_BDPV12</stp>
        <stp>9888 HK Equity</stp>
        <stp>TOT_BUY_REC</stp>
        <stp>[DPM - Securities Master List (BBG Linked).xlsx]Equities!R16C34</stp>
        <tr r="AH16" s="2"/>
      </tp>
      <tp>
        <v>25</v>
        <stp/>
        <stp>##V3_BDPV12</stp>
        <stp>9888 HK Equity</stp>
        <stp>TOT_BUY_REC</stp>
        <stp>[DPM - Securities Master List (BBG Linked).xlsx]Equities!R15C34</stp>
        <tr r="AH15" s="2"/>
      </tp>
      <tp>
        <v>5</v>
        <stp/>
        <stp>##V3_BDPV12</stp>
        <stp>TCEHY US Equity</stp>
        <stp>EE201</stp>
        <stp>[DPM - Securities Master List (BBG Linked).xlsx]Equities!R259C37</stp>
        <tr r="AK259" s="2"/>
        <tr r="AK259" s="2"/>
        <tr r="AK259" s="2"/>
      </tp>
      <tp>
        <v>5</v>
        <stp/>
        <stp>##V3_BDPV12</stp>
        <stp>TCEHY US Equity</stp>
        <stp>EE201</stp>
        <stp>[DPM - Securities Master List (BBG Linked).xlsx]Equities!R260C37</stp>
        <tr r="AK260" s="2"/>
        <tr r="AK260" s="2"/>
        <tr r="AK260" s="2"/>
      </tp>
      <tp t="s">
        <v>US88032Q1094</v>
        <stp/>
        <stp>##V3_BDPV12</stp>
        <stp>TCEHY US Equity</stp>
        <stp>ID005</stp>
        <stp>[DPM - Securities Master List (BBG Linked).xlsx]Equities!R260C55</stp>
        <tr r="BC260" s="2"/>
      </tp>
      <tp>
        <v>13.702442350775867</v>
        <stp/>
        <stp>##V3_BDPV12</stp>
        <stp>NESN SW Equity</stp>
        <stp>RR908</stp>
        <stp>[DPM - Securities Master List (BBG Linked).xlsx]Equities!R199C32</stp>
        <tr r="AF199" s="2"/>
        <tr r="AF199" s="2"/>
        <tr r="AF199" s="2"/>
      </tp>
      <tp>
        <v>13.702442350775867</v>
        <stp/>
        <stp>##V3_BDPV12</stp>
        <stp>NESN SW Equity</stp>
        <stp>RR908</stp>
        <stp>[DPM - Securities Master List (BBG Linked).xlsx]Equities!R198C32</stp>
        <tr r="AF198" s="2"/>
        <tr r="AF198" s="2"/>
        <tr r="AF198" s="2"/>
      </tp>
      <tp>
        <v>13.702442350775867</v>
        <stp/>
        <stp>##V3_BDPV12</stp>
        <stp>NESN SW Equity</stp>
        <stp>RR908</stp>
        <stp>[DPM - Securities Master List (BBG Linked).xlsx]Equities!R193C32</stp>
        <tr r="AF193" s="2"/>
        <tr r="AF193" s="2"/>
        <tr r="AF193" s="2"/>
      </tp>
      <tp>
        <v>13.702442350775867</v>
        <stp/>
        <stp>##V3_BDPV12</stp>
        <stp>NESN SW Equity</stp>
        <stp>RR908</stp>
        <stp>[DPM - Securities Master List (BBG Linked).xlsx]Equities!R197C32</stp>
        <tr r="AF197" s="2"/>
        <tr r="AF197" s="2"/>
        <tr r="AF197" s="2"/>
      </tp>
      <tp>
        <v>13.702442350775867</v>
        <stp/>
        <stp>##V3_BDPV12</stp>
        <stp>NESN SW Equity</stp>
        <stp>RR908</stp>
        <stp>[DPM - Securities Master List (BBG Linked).xlsx]Equities!R196C32</stp>
        <tr r="AF196" s="2"/>
        <tr r="AF196" s="2"/>
        <tr r="AF196" s="2"/>
      </tp>
      <tp>
        <v>13.702442350775867</v>
        <stp/>
        <stp>##V3_BDPV12</stp>
        <stp>NESN SW Equity</stp>
        <stp>RR908</stp>
        <stp>[DPM - Securities Master List (BBG Linked).xlsx]Equities!R195C32</stp>
        <tr r="AF195" s="2"/>
        <tr r="AF195" s="2"/>
        <tr r="AF195" s="2"/>
      </tp>
      <tp>
        <v>13.702442350775867</v>
        <stp/>
        <stp>##V3_BDPV12</stp>
        <stp>NESN SW Equity</stp>
        <stp>RR908</stp>
        <stp>[DPM - Securities Master List (BBG Linked).xlsx]Equities!R194C32</stp>
        <tr r="AF194" s="2"/>
        <tr r="AF194" s="2"/>
        <tr r="AF194" s="2"/>
      </tp>
      <tp t="s">
        <v>US88032Q1094</v>
        <stp/>
        <stp>##V3_BDPV12</stp>
        <stp>TCEHY US Equity</stp>
        <stp>ID005</stp>
        <stp>[DPM - Securities Master List (BBG Linked).xlsx]Equities!R259C55</stp>
        <tr r="BC259" s="2"/>
      </tp>
      <tp t="s">
        <v>#N/A Invalid Field</v>
        <stp/>
        <stp>##V3_BDPV12</stp>
        <stp>META US Equity</stp>
        <stp/>
        <stp>[DPM - Securities Master List (BBG Linked).xlsx]Equities!R156C29</stp>
        <tr r="AC156" s="2"/>
        <tr r="AC156" s="2"/>
      </tp>
      <tp>
        <v>13.702442350775867</v>
        <stp/>
        <stp>##V3_BDPV12</stp>
        <stp>NESN SW Equity</stp>
        <stp>RR908</stp>
        <stp>[DPM - Securities Master List (BBG Linked).xlsx]Equities!R203C32</stp>
        <tr r="AF203" s="2"/>
        <tr r="AF203" s="2"/>
        <tr r="AF203" s="2"/>
      </tp>
      <tp>
        <v>13.702442350775867</v>
        <stp/>
        <stp>##V3_BDPV12</stp>
        <stp>NESN SW Equity</stp>
        <stp>RR908</stp>
        <stp>[DPM - Securities Master List (BBG Linked).xlsx]Equities!R202C32</stp>
        <tr r="AF202" s="2"/>
        <tr r="AF202" s="2"/>
        <tr r="AF202" s="2"/>
      </tp>
      <tp>
        <v>13.702442350775867</v>
        <stp/>
        <stp>##V3_BDPV12</stp>
        <stp>NESN SW Equity</stp>
        <stp>RR908</stp>
        <stp>[DPM - Securities Master List (BBG Linked).xlsx]Equities!R201C32</stp>
        <tr r="AF201" s="2"/>
        <tr r="AF201" s="2"/>
        <tr r="AF201" s="2"/>
      </tp>
      <tp>
        <v>13.702442350775867</v>
        <stp/>
        <stp>##V3_BDPV12</stp>
        <stp>NESN SW Equity</stp>
        <stp>RR908</stp>
        <stp>[DPM - Securities Master List (BBG Linked).xlsx]Equities!R200C32</stp>
        <tr r="AF200" s="2"/>
        <tr r="AF200" s="2"/>
        <tr r="AF200" s="2"/>
      </tp>
      <tp>
        <v>13.702442350775867</v>
        <stp/>
        <stp>##V3_BDPV12</stp>
        <stp>NESN SW Equity</stp>
        <stp>RR908</stp>
        <stp>[DPM - Securities Master List (BBG Linked).xlsx]Equities!R205C32</stp>
        <tr r="AF205" s="2"/>
        <tr r="AF205" s="2"/>
        <tr r="AF205" s="2"/>
      </tp>
      <tp>
        <v>13.702442350775867</v>
        <stp/>
        <stp>##V3_BDPV12</stp>
        <stp>NESN SW Equity</stp>
        <stp>RR908</stp>
        <stp>[DPM - Securities Master List (BBG Linked).xlsx]Equities!R204C32</stp>
        <tr r="AF204" s="2"/>
        <tr r="AF204" s="2"/>
        <tr r="AF204" s="2"/>
      </tp>
      <tp>
        <v>-19.625070000000001</v>
        <stp/>
        <stp>##V3_BDPV12</stp>
        <stp>PYPL US Equity</stp>
        <stp>PR079</stp>
        <stp>[DPM - Securities Master List (BBG Linked).xlsx]Equities!R238C43</stp>
        <tr r="AQ238" s="2"/>
      </tp>
      <tp>
        <v>-19.625070000000001</v>
        <stp/>
        <stp>##V3_BDPV12</stp>
        <stp>PYPL US Equity</stp>
        <stp>PR079</stp>
        <stp>[DPM - Securities Master List (BBG Linked).xlsx]Equities!R239C43</stp>
        <tr r="AQ239" s="2"/>
      </tp>
      <tp>
        <v>-19.625070000000001</v>
        <stp/>
        <stp>##V3_BDPV12</stp>
        <stp>PYPL US Equity</stp>
        <stp>PR079</stp>
        <stp>[DPM - Securities Master List (BBG Linked).xlsx]Equities!R237C43</stp>
        <tr r="AQ237" s="2"/>
      </tp>
      <tp>
        <v>6941.3673890250002</v>
        <stp/>
        <stp>##V3_BDPV12</stp>
        <stp>AAL US Equity</stp>
        <stp>CRNCY_ADJ_MKT_CAP</stp>
        <stp>[DPM - Securities Master List (BBG Linked).xlsx]Equities!R32C9</stp>
        <stp>EQY_FUND_CRNCY=USD</stp>
        <tr r="I32" s="2"/>
      </tp>
      <tp>
        <v>6941.3673890250002</v>
        <stp/>
        <stp>##V3_BDPV12</stp>
        <stp>AAL US Equity</stp>
        <stp>CRNCY_ADJ_MKT_CAP</stp>
        <stp>[DPM - Securities Master List (BBG Linked).xlsx]Equities!R30C9</stp>
        <stp>EQY_FUND_CRNCY=USD</stp>
        <tr r="I30" s="2"/>
      </tp>
      <tp>
        <v>6941.3673890250002</v>
        <stp/>
        <stp>##V3_BDPV12</stp>
        <stp>AAL US Equity</stp>
        <stp>CRNCY_ADJ_MKT_CAP</stp>
        <stp>[DPM - Securities Master List (BBG Linked).xlsx]Equities!R31C9</stp>
        <stp>EQY_FUND_CRNCY=USD</stp>
        <tr r="I31" s="2"/>
      </tp>
      <tp t="s">
        <v>USD</v>
        <stp/>
        <stp>##V3_BDPV12</stp>
        <stp>GOOGL US Equity</stp>
        <stp>CRNCY</stp>
        <stp>[DPM - Securities Master List (BBG Linked).xlsx]Equities!R135C6</stp>
        <tr r="F135" s="2"/>
      </tp>
      <tp>
        <v>0</v>
        <stp/>
        <stp>##V3_BDPV12</stp>
        <stp>TCEHY US Equity</stp>
        <stp>TOT_SELL_REC</stp>
        <stp>[DPM - Securities Master List (BBG Linked).xlsx]Equities!R259C36</stp>
        <tr r="AJ259" s="2"/>
      </tp>
      <tp>
        <v>0</v>
        <stp/>
        <stp>##V3_BDPV12</stp>
        <stp>TCEHY US Equity</stp>
        <stp>TOT_SELL_REC</stp>
        <stp>[DPM - Securities Master List (BBG Linked).xlsx]Equities!R260C36</stp>
        <tr r="AJ260" s="2"/>
      </tp>
      <tp t="s">
        <v>Information Technology</v>
        <stp/>
        <stp>##V3_BDPV12</stp>
        <stp>DELL US Equity</stp>
        <stp>DX202</stp>
        <stp>[DPM - Securities Master List (BBG Linked).xlsx]Equities!R99C8</stp>
        <tr r="H99" s="2"/>
        <tr r="H99" s="2"/>
        <tr r="H99" s="2"/>
      </tp>
      <tp>
        <v>-26.835709999999999</v>
        <stp/>
        <stp>##V3_BDPV12</stp>
        <stp>3690 HK Equity</stp>
        <stp>CHG_PCT_6M</stp>
        <stp>[DPM - Securities Master List (BBG Linked).xlsx]Equities!R7C42</stp>
        <tr r="AP7" s="2"/>
      </tp>
      <tp>
        <v>-26.835709999999999</v>
        <stp/>
        <stp>##V3_BDPV12</stp>
        <stp>3690 HK Equity</stp>
        <stp>CHG_PCT_6M</stp>
        <stp>[DPM - Securities Master List (BBG Linked).xlsx]Equities!R8C42</stp>
        <tr r="AP8" s="2"/>
      </tp>
      <tp>
        <v>-26.835709999999999</v>
        <stp/>
        <stp>##V3_BDPV12</stp>
        <stp>3690 HK Equity</stp>
        <stp>CHG_PCT_6M</stp>
        <stp>[DPM - Securities Master List (BBG Linked).xlsx]Equities!R9C42</stp>
        <tr r="AP9" s="2"/>
      </tp>
      <tp>
        <v>0</v>
        <stp/>
        <stp>##V3_BDPV12</stp>
        <stp>TCEHY US Equity</stp>
        <stp>TOT_HOLD_REC</stp>
        <stp>[DPM - Securities Master List (BBG Linked).xlsx]Equities!R259C35</stp>
        <tr r="AI259" s="2"/>
      </tp>
      <tp>
        <v>0</v>
        <stp/>
        <stp>##V3_BDPV12</stp>
        <stp>TCEHY US Equity</stp>
        <stp>TOT_HOLD_REC</stp>
        <stp>[DPM - Securities Master List (BBG Linked).xlsx]Equities!R260C35</stp>
        <tr r="AI260" s="2"/>
      </tp>
      <tp>
        <v>4.528302</v>
        <stp/>
        <stp>##V3_BDPV12</stp>
        <stp>3690 HK Equity</stp>
        <stp>CHG_PCT_1D</stp>
        <stp>[DPM - Securities Master List (BBG Linked).xlsx]Equities!R9C22</stp>
        <tr r="V9" s="2"/>
      </tp>
      <tp>
        <v>4.528302</v>
        <stp/>
        <stp>##V3_BDPV12</stp>
        <stp>3690 HK Equity</stp>
        <stp>CHG_PCT_1D</stp>
        <stp>[DPM - Securities Master List (BBG Linked).xlsx]Equities!R8C22</stp>
        <tr r="V8" s="2"/>
      </tp>
      <tp>
        <v>4.528302</v>
        <stp/>
        <stp>##V3_BDPV12</stp>
        <stp>3690 HK Equity</stp>
        <stp>CHG_PCT_1D</stp>
        <stp>[DPM - Securities Master List (BBG Linked).xlsx]Equities!R7C22</stp>
        <tr r="V7" s="2"/>
      </tp>
      <tp>
        <v>8.5423200000000001</v>
        <stp/>
        <stp>##V3_BDPV12</stp>
        <stp>3690 HK Equity</stp>
        <stp>CHG_PCT_5D</stp>
        <stp>[DPM - Securities Master List (BBG Linked).xlsx]Equities!R9C23</stp>
        <tr r="W9" s="2"/>
      </tp>
      <tp>
        <v>8.5423200000000001</v>
        <stp/>
        <stp>##V3_BDPV12</stp>
        <stp>3690 HK Equity</stp>
        <stp>CHG_PCT_5D</stp>
        <stp>[DPM - Securities Master List (BBG Linked).xlsx]Equities!R8C23</stp>
        <tr r="W8" s="2"/>
      </tp>
      <tp>
        <v>8.5423200000000001</v>
        <stp/>
        <stp>##V3_BDPV12</stp>
        <stp>3690 HK Equity</stp>
        <stp>CHG_PCT_5D</stp>
        <stp>[DPM - Securities Master List (BBG Linked).xlsx]Equities!R7C23</stp>
        <tr r="W7" s="2"/>
      </tp>
      <tp>
        <v>7.1722910000000004</v>
        <stp/>
        <stp>##V3_BDPV12</stp>
        <stp>XS2911679004 isin</stp>
        <stp>YAS_BOND_YLD</stp>
        <stp>[DPM - Securities Master List (BBG Linked).xlsx]Bonds!R165C10</stp>
        <stp>YAS_YLD_FLAG=15</stp>
        <stp>user_local_trade_date</stp>
        <stp>45783</stp>
        <stp>Yas_bond_px</stp>
        <stp>99.109999999999999</stp>
        <tr r="J165" s="1"/>
      </tp>
      <tp>
        <v>6.2666370000000002</v>
        <stp/>
        <stp>##V3_BDPV12</stp>
        <stp>XS2755904872 isin</stp>
        <stp>YAS_BOND_YLD</stp>
        <stp>[DPM - Securities Master List (BBG Linked).xlsx]Bonds!R115C10</stp>
        <stp>YAS_YLD_FLAG=15</stp>
        <stp>user_local_trade_date</stp>
        <stp>45783</stp>
        <stp>Yas_bond_px</stp>
        <stp>88.179000000000002</stp>
        <tr r="J115" s="1"/>
      </tp>
      <tp t="s">
        <v>BP PLC</v>
        <stp/>
        <stp>##V3_BDPV12</stp>
        <stp>BP/ LN Equity</stp>
        <stp>SECURITY NAME</stp>
        <stp>[DPM - Securities Master List (BBG Linked).xlsx]Equities!R84C5</stp>
        <tr r="E84" s="2"/>
      </tp>
      <tp t="s">
        <v>AstraZeneca PLC</v>
        <stp/>
        <stp>##V3_BDPV12</stp>
        <stp>AZN LN Equity</stp>
        <stp>SECURITY NAME</stp>
        <stp>[DPM - Securities Master List (BBG Linked).xlsx]Equities!R54C5</stp>
        <tr r="E54" s="2"/>
      </tp>
      <tp t="s">
        <v>USD</v>
        <stp/>
        <stp>##V3_BDPV12</stp>
        <stp>BMRN US Equity</stp>
        <stp>CRNCY</stp>
        <stp>[DPM - Securities Master List (BBG Linked).xlsx]Equities!R75C6</stp>
        <tr r="F75" s="2"/>
      </tp>
      <tp t="s">
        <v>USD</v>
        <stp/>
        <stp>##V3_BDPV12</stp>
        <stp>BMRN US Equity</stp>
        <stp>CRNCY</stp>
        <stp>[DPM - Securities Master List (BBG Linked).xlsx]Equities!R65C6</stp>
        <tr r="F65" s="2"/>
      </tp>
      <tp t="s">
        <v>USD</v>
        <stp/>
        <stp>##V3_BDPV12</stp>
        <stp>ADBE US Equity</stp>
        <stp>CRNCY</stp>
        <stp>[DPM - Securities Master List (BBG Linked).xlsx]Equities!R36C6</stp>
        <tr r="F36" s="2"/>
      </tp>
      <tp t="s">
        <v>USD</v>
        <stp/>
        <stp>##V3_BDPV12</stp>
        <stp>ADBE US Equity</stp>
        <stp>CRNCY</stp>
        <stp>[DPM - Securities Master List (BBG Linked).xlsx]Equities!R46C6</stp>
        <tr r="F46" s="2"/>
      </tp>
      <tp t="s">
        <v>USD</v>
        <stp/>
        <stp>##V3_BDPV12</stp>
        <stp>DELL US Equity</stp>
        <stp>CRNCY</stp>
        <stp>[DPM - Securities Master List (BBG Linked).xlsx]Equities!R93C6</stp>
        <tr r="F93" s="2"/>
      </tp>
      <tp t="s">
        <v>Equity</v>
        <stp/>
        <stp>##V3_BDPV12</stp>
        <stp>META US Equity</stp>
        <stp>EX028</stp>
        <stp>[DPM - Securities Master List (BBG Linked).xlsx]Equities!R156C30</stp>
        <tr r="AD156" s="2"/>
        <tr r="AD156" s="2"/>
        <tr r="AD156" s="2"/>
      </tp>
      <tp t="s">
        <v>Equity</v>
        <stp/>
        <stp>##V3_BDPV12</stp>
        <stp>INTC US Equity</stp>
        <stp>EX028</stp>
        <stp>[DPM - Securities Master List (BBG Linked).xlsx]Equities!R148C30</stp>
        <tr r="AD148" s="2"/>
        <tr r="AD148" s="2"/>
        <tr r="AD148" s="2"/>
      </tp>
      <tp t="s">
        <v>Equity</v>
        <stp/>
        <stp>##V3_BDPV12</stp>
        <stp>INTC US Equity</stp>
        <stp>EX028</stp>
        <stp>[DPM - Securities Master List (BBG Linked).xlsx]Equities!R147C30</stp>
        <tr r="AD147" s="2"/>
        <tr r="AD147" s="2"/>
        <tr r="AD147" s="2"/>
      </tp>
      <tp t="s">
        <v>Equity</v>
        <stp/>
        <stp>##V3_BDPV12</stp>
        <stp>INTC US Equity</stp>
        <stp>EX028</stp>
        <stp>[DPM - Securities Master List (BBG Linked).xlsx]Equities!R146C30</stp>
        <tr r="AD146" s="2"/>
        <tr r="AD146" s="2"/>
        <tr r="AD146" s="2"/>
      </tp>
      <tp>
        <v>18.750532141336738</v>
        <stp/>
        <stp>##V3_BDPV12</stp>
        <stp>NESN SW Equity</stp>
        <stp>EE010</stp>
        <stp>[DPM - Securities Master List (BBG Linked).xlsx]Equities!R193C12</stp>
        <tr r="L193" s="2"/>
        <tr r="L193" s="2"/>
        <tr r="L193" s="2"/>
      </tp>
      <tp>
        <v>18.750532141336738</v>
        <stp/>
        <stp>##V3_BDPV12</stp>
        <stp>NESN SW Equity</stp>
        <stp>EE010</stp>
        <stp>[DPM - Securities Master List (BBG Linked).xlsx]Equities!R196C12</stp>
        <tr r="L196" s="2"/>
        <tr r="L196" s="2"/>
        <tr r="L196" s="2"/>
      </tp>
      <tp>
        <v>18.750532141336738</v>
        <stp/>
        <stp>##V3_BDPV12</stp>
        <stp>NESN SW Equity</stp>
        <stp>EE010</stp>
        <stp>[DPM - Securities Master List (BBG Linked).xlsx]Equities!R197C12</stp>
        <tr r="L197" s="2"/>
        <tr r="L197" s="2"/>
        <tr r="L197" s="2"/>
      </tp>
      <tp>
        <v>18.750532141336738</v>
        <stp/>
        <stp>##V3_BDPV12</stp>
        <stp>NESN SW Equity</stp>
        <stp>EE010</stp>
        <stp>[DPM - Securities Master List (BBG Linked).xlsx]Equities!R194C12</stp>
        <tr r="L194" s="2"/>
        <tr r="L194" s="2"/>
        <tr r="L194" s="2"/>
      </tp>
      <tp>
        <v>18.750532141336738</v>
        <stp/>
        <stp>##V3_BDPV12</stp>
        <stp>NESN SW Equity</stp>
        <stp>EE010</stp>
        <stp>[DPM - Securities Master List (BBG Linked).xlsx]Equities!R195C12</stp>
        <tr r="L195" s="2"/>
        <tr r="L195" s="2"/>
        <tr r="L195" s="2"/>
      </tp>
      <tp>
        <v>18.750532141336738</v>
        <stp/>
        <stp>##V3_BDPV12</stp>
        <stp>NESN SW Equity</stp>
        <stp>EE010</stp>
        <stp>[DPM - Securities Master List (BBG Linked).xlsx]Equities!R198C12</stp>
        <tr r="L198" s="2"/>
        <tr r="L198" s="2"/>
        <tr r="L198" s="2"/>
      </tp>
      <tp>
        <v>18.750532141336738</v>
        <stp/>
        <stp>##V3_BDPV12</stp>
        <stp>NESN SW Equity</stp>
        <stp>EE010</stp>
        <stp>[DPM - Securities Master List (BBG Linked).xlsx]Equities!R199C12</stp>
        <tr r="L199" s="2"/>
        <tr r="L199" s="2"/>
        <tr r="L199" s="2"/>
      </tp>
      <tp>
        <v>3.4623679785631558</v>
        <stp/>
        <stp>##V3_BDPV12</stp>
        <stp>NESN SW Equity</stp>
        <stp>DV013</stp>
        <stp>[DPM - Securities Master List (BBG Linked).xlsx]Equities!R202C10</stp>
        <tr r="J202" s="2"/>
      </tp>
      <tp>
        <v>3.4623679785631558</v>
        <stp/>
        <stp>##V3_BDPV12</stp>
        <stp>NESN SW Equity</stp>
        <stp>DV013</stp>
        <stp>[DPM - Securities Master List (BBG Linked).xlsx]Equities!R203C10</stp>
        <tr r="J203" s="2"/>
      </tp>
      <tp>
        <v>3.4623679785631558</v>
        <stp/>
        <stp>##V3_BDPV12</stp>
        <stp>NESN SW Equity</stp>
        <stp>DV013</stp>
        <stp>[DPM - Securities Master List (BBG Linked).xlsx]Equities!R200C10</stp>
        <tr r="J200" s="2"/>
      </tp>
      <tp>
        <v>3.4623679785631558</v>
        <stp/>
        <stp>##V3_BDPV12</stp>
        <stp>NESN SW Equity</stp>
        <stp>DV013</stp>
        <stp>[DPM - Securities Master List (BBG Linked).xlsx]Equities!R201C10</stp>
        <tr r="J201" s="2"/>
      </tp>
      <tp>
        <v>3.4623679785631558</v>
        <stp/>
        <stp>##V3_BDPV12</stp>
        <stp>NESN SW Equity</stp>
        <stp>DV013</stp>
        <stp>[DPM - Securities Master List (BBG Linked).xlsx]Equities!R204C10</stp>
        <tr r="J204" s="2"/>
      </tp>
      <tp>
        <v>3.4623679785631558</v>
        <stp/>
        <stp>##V3_BDPV12</stp>
        <stp>NESN SW Equity</stp>
        <stp>DV013</stp>
        <stp>[DPM - Securities Master List (BBG Linked).xlsx]Equities!R205C10</stp>
        <tr r="J205" s="2"/>
      </tp>
      <tp t="s">
        <v>N</v>
        <stp/>
        <stp>##V3_BDPV12</stp>
        <stp>TSCO LN Equity</stp>
        <stp>DY784</stp>
        <stp>[DPM - Securities Master List (BBG Linked).xlsx]Equities!R274C48</stp>
        <tr r="AV274" s="2"/>
        <tr r="AV274" s="2"/>
        <tr r="AV274" s="2"/>
      </tp>
      <tp t="s">
        <v>N</v>
        <stp/>
        <stp>##V3_BDPV12</stp>
        <stp>TSCO LN Equity</stp>
        <stp>DY784</stp>
        <stp>[DPM - Securities Master List (BBG Linked).xlsx]Equities!R275C48</stp>
        <tr r="AV275" s="2"/>
        <tr r="AV275" s="2"/>
        <tr r="AV275" s="2"/>
      </tp>
      <tp t="s">
        <v>N</v>
        <stp/>
        <stp>##V3_BDPV12</stp>
        <stp>TSCO LN Equity</stp>
        <stp>DY784</stp>
        <stp>[DPM - Securities Master List (BBG Linked).xlsx]Equities!R270C48</stp>
        <tr r="AV270" s="2"/>
        <tr r="AV270" s="2"/>
        <tr r="AV270" s="2"/>
      </tp>
      <tp t="s">
        <v>N</v>
        <stp/>
        <stp>##V3_BDPV12</stp>
        <stp>TSCO LN Equity</stp>
        <stp>DY784</stp>
        <stp>[DPM - Securities Master List (BBG Linked).xlsx]Equities!R271C48</stp>
        <tr r="AV271" s="2"/>
        <tr r="AV271" s="2"/>
        <tr r="AV271" s="2"/>
      </tp>
      <tp t="s">
        <v>N</v>
        <stp/>
        <stp>##V3_BDPV12</stp>
        <stp>TSCO LN Equity</stp>
        <stp>DY784</stp>
        <stp>[DPM - Securities Master List (BBG Linked).xlsx]Equities!R272C48</stp>
        <tr r="AV272" s="2"/>
        <tr r="AV272" s="2"/>
        <tr r="AV272" s="2"/>
      </tp>
      <tp t="s">
        <v>N</v>
        <stp/>
        <stp>##V3_BDPV12</stp>
        <stp>TSCO LN Equity</stp>
        <stp>DY784</stp>
        <stp>[DPM - Securities Master List (BBG Linked).xlsx]Equities!R273C48</stp>
        <tr r="AV273" s="2"/>
        <tr r="AV273" s="2"/>
        <tr r="AV273" s="2"/>
      </tp>
      <tp t="s">
        <v>N</v>
        <stp/>
        <stp>##V3_BDPV12</stp>
        <stp>TSCO LN Equity</stp>
        <stp>DY784</stp>
        <stp>[DPM - Securities Master List (BBG Linked).xlsx]Equities!R268C48</stp>
        <tr r="AV268" s="2"/>
        <tr r="AV268" s="2"/>
        <tr r="AV268" s="2"/>
      </tp>
      <tp t="s">
        <v>N</v>
        <stp/>
        <stp>##V3_BDPV12</stp>
        <stp>TSCO LN Equity</stp>
        <stp>DY784</stp>
        <stp>[DPM - Securities Master List (BBG Linked).xlsx]Equities!R269C48</stp>
        <tr r="AV269" s="2"/>
        <tr r="AV269" s="2"/>
        <tr r="AV269" s="2"/>
      </tp>
      <tp t="s">
        <v>N</v>
        <stp/>
        <stp>##V3_BDPV12</stp>
        <stp>TSCO LN Equity</stp>
        <stp>DY784</stp>
        <stp>[DPM - Securities Master List (BBG Linked).xlsx]Equities!R264C48</stp>
        <tr r="AV264" s="2"/>
        <tr r="AV264" s="2"/>
        <tr r="AV264" s="2"/>
      </tp>
      <tp t="s">
        <v>N</v>
        <stp/>
        <stp>##V3_BDPV12</stp>
        <stp>TSCO LN Equity</stp>
        <stp>DY784</stp>
        <stp>[DPM - Securities Master List (BBG Linked).xlsx]Equities!R265C48</stp>
        <tr r="AV265" s="2"/>
        <tr r="AV265" s="2"/>
        <tr r="AV265" s="2"/>
      </tp>
      <tp t="s">
        <v>N</v>
        <stp/>
        <stp>##V3_BDPV12</stp>
        <stp>TSCO LN Equity</stp>
        <stp>DY784</stp>
        <stp>[DPM - Securities Master List (BBG Linked).xlsx]Equities!R266C48</stp>
        <tr r="AV266" s="2"/>
        <tr r="AV266" s="2"/>
        <tr r="AV266" s="2"/>
      </tp>
      <tp t="s">
        <v>N</v>
        <stp/>
        <stp>##V3_BDPV12</stp>
        <stp>TSCO LN Equity</stp>
        <stp>DY784</stp>
        <stp>[DPM - Securities Master List (BBG Linked).xlsx]Equities!R267C48</stp>
        <tr r="AV267" s="2"/>
        <tr r="AV267" s="2"/>
        <tr r="AV267" s="2"/>
      </tp>
      <tp t="s">
        <v>N</v>
        <stp/>
        <stp>##V3_BDPV12</stp>
        <stp>TSCO LN Equity</stp>
        <stp>DY784</stp>
        <stp>[DPM - Securities Master List (BBG Linked).xlsx]Equities!R262C48</stp>
        <tr r="AV262" s="2"/>
        <tr r="AV262" s="2"/>
        <tr r="AV262" s="2"/>
      </tp>
      <tp t="s">
        <v>N</v>
        <stp/>
        <stp>##V3_BDPV12</stp>
        <stp>TSCO LN Equity</stp>
        <stp>DY784</stp>
        <stp>[DPM - Securities Master List (BBG Linked).xlsx]Equities!R263C48</stp>
        <tr r="AV263" s="2"/>
        <tr r="AV263" s="2"/>
        <tr r="AV263" s="2"/>
      </tp>
      <tp>
        <v>3.4623679785631558</v>
        <stp/>
        <stp>##V3_BDPV12</stp>
        <stp>NESN SW Equity</stp>
        <stp>DV013</stp>
        <stp>[DPM - Securities Master List (BBG Linked).xlsx]Equities!R193C10</stp>
        <tr r="J193" s="2"/>
      </tp>
      <tp>
        <v>3.4623679785631558</v>
        <stp/>
        <stp>##V3_BDPV12</stp>
        <stp>NESN SW Equity</stp>
        <stp>DV013</stp>
        <stp>[DPM - Securities Master List (BBG Linked).xlsx]Equities!R196C10</stp>
        <tr r="J196" s="2"/>
      </tp>
      <tp>
        <v>3.4623679785631558</v>
        <stp/>
        <stp>##V3_BDPV12</stp>
        <stp>NESN SW Equity</stp>
        <stp>DV013</stp>
        <stp>[DPM - Securities Master List (BBG Linked).xlsx]Equities!R197C10</stp>
        <tr r="J197" s="2"/>
      </tp>
      <tp>
        <v>3.4623679785631558</v>
        <stp/>
        <stp>##V3_BDPV12</stp>
        <stp>NESN SW Equity</stp>
        <stp>DV013</stp>
        <stp>[DPM - Securities Master List (BBG Linked).xlsx]Equities!R194C10</stp>
        <tr r="J194" s="2"/>
      </tp>
      <tp>
        <v>3.4623679785631558</v>
        <stp/>
        <stp>##V3_BDPV12</stp>
        <stp>NESN SW Equity</stp>
        <stp>DV013</stp>
        <stp>[DPM - Securities Master List (BBG Linked).xlsx]Equities!R195C10</stp>
        <tr r="J195" s="2"/>
      </tp>
      <tp>
        <v>3.4623679785631558</v>
        <stp/>
        <stp>##V3_BDPV12</stp>
        <stp>NESN SW Equity</stp>
        <stp>DV013</stp>
        <stp>[DPM - Securities Master List (BBG Linked).xlsx]Equities!R198C10</stp>
        <tr r="J198" s="2"/>
      </tp>
      <tp>
        <v>3.4623679785631558</v>
        <stp/>
        <stp>##V3_BDPV12</stp>
        <stp>NESN SW Equity</stp>
        <stp>DV013</stp>
        <stp>[DPM - Securities Master List (BBG Linked).xlsx]Equities!R199C10</stp>
        <tr r="J199" s="2"/>
      </tp>
      <tp>
        <v>18.750532141336738</v>
        <stp/>
        <stp>##V3_BDPV12</stp>
        <stp>NESN SW Equity</stp>
        <stp>EE010</stp>
        <stp>[DPM - Securities Master List (BBG Linked).xlsx]Equities!R202C12</stp>
        <tr r="L202" s="2"/>
        <tr r="L202" s="2"/>
        <tr r="L202" s="2"/>
      </tp>
      <tp>
        <v>18.750532141336738</v>
        <stp/>
        <stp>##V3_BDPV12</stp>
        <stp>NESN SW Equity</stp>
        <stp>EE010</stp>
        <stp>[DPM - Securities Master List (BBG Linked).xlsx]Equities!R203C12</stp>
        <tr r="L203" s="2"/>
        <tr r="L203" s="2"/>
        <tr r="L203" s="2"/>
      </tp>
      <tp>
        <v>18.750532141336738</v>
        <stp/>
        <stp>##V3_BDPV12</stp>
        <stp>NESN SW Equity</stp>
        <stp>EE010</stp>
        <stp>[DPM - Securities Master List (BBG Linked).xlsx]Equities!R200C12</stp>
        <tr r="L200" s="2"/>
        <tr r="L200" s="2"/>
        <tr r="L200" s="2"/>
      </tp>
      <tp>
        <v>18.750532141336738</v>
        <stp/>
        <stp>##V3_BDPV12</stp>
        <stp>NESN SW Equity</stp>
        <stp>EE010</stp>
        <stp>[DPM - Securities Master List (BBG Linked).xlsx]Equities!R201C12</stp>
        <tr r="L201" s="2"/>
        <tr r="L201" s="2"/>
        <tr r="L201" s="2"/>
      </tp>
      <tp>
        <v>18.750532141336738</v>
        <stp/>
        <stp>##V3_BDPV12</stp>
        <stp>NESN SW Equity</stp>
        <stp>EE010</stp>
        <stp>[DPM - Securities Master List (BBG Linked).xlsx]Equities!R204C12</stp>
        <tr r="L204" s="2"/>
        <tr r="L204" s="2"/>
        <tr r="L204" s="2"/>
      </tp>
      <tp>
        <v>18.750532141336738</v>
        <stp/>
        <stp>##V3_BDPV12</stp>
        <stp>NESN SW Equity</stp>
        <stp>EE010</stp>
        <stp>[DPM - Securities Master List (BBG Linked).xlsx]Equities!R205C12</stp>
        <tr r="L205" s="2"/>
        <tr r="L205" s="2"/>
        <tr r="L205" s="2"/>
      </tp>
      <tp>
        <v>-12.68932</v>
        <stp/>
        <stp>##V3_BDPV12</stp>
        <stp>PYPL US Equity</stp>
        <stp>PR064</stp>
        <stp>[DPM - Securities Master List (BBG Linked).xlsx]Equities!R238C41</stp>
        <tr r="AO238" s="2"/>
      </tp>
      <tp>
        <v>-12.68932</v>
        <stp/>
        <stp>##V3_BDPV12</stp>
        <stp>PYPL US Equity</stp>
        <stp>PR064</stp>
        <stp>[DPM - Securities Master List (BBG Linked).xlsx]Equities!R239C41</stp>
        <tr r="AO239" s="2"/>
      </tp>
      <tp>
        <v>-12.68932</v>
        <stp/>
        <stp>##V3_BDPV12</stp>
        <stp>PYPL US Equity</stp>
        <stp>PR064</stp>
        <stp>[DPM - Securities Master List (BBG Linked).xlsx]Equities!R237C41</stp>
        <tr r="AO237" s="2"/>
      </tp>
      <tp>
        <v>17.526129999999998</v>
        <stp/>
        <stp>##V3_BDPV12</stp>
        <stp>PYPL US Equity</stp>
        <stp>PR061</stp>
        <stp>[DPM - Securities Master List (BBG Linked).xlsx]Equities!R238C40</stp>
        <tr r="AN238" s="2"/>
      </tp>
      <tp>
        <v>17.526129999999998</v>
        <stp/>
        <stp>##V3_BDPV12</stp>
        <stp>PYPL US Equity</stp>
        <stp>PR061</stp>
        <stp>[DPM - Securities Master List (BBG Linked).xlsx]Equities!R239C40</stp>
        <tr r="AN239" s="2"/>
      </tp>
      <tp>
        <v>17.526129999999998</v>
        <stp/>
        <stp>##V3_BDPV12</stp>
        <stp>PYPL US Equity</stp>
        <stp>PR061</stp>
        <stp>[DPM - Securities Master List (BBG Linked).xlsx]Equities!R237C40</stp>
        <tr r="AN237" s="2"/>
      </tp>
      <tp>
        <v>15.94975396758333</v>
        <stp/>
        <stp>##V3_BDPV12</stp>
        <stp>TCEHY US Equity</stp>
        <stp>EE010</stp>
        <stp>[DPM - Securities Master List (BBG Linked).xlsx]Equities!R259C12</stp>
        <tr r="L259" s="2"/>
        <tr r="L259" s="2"/>
        <tr r="L259" s="2"/>
      </tp>
      <tp>
        <v>15.94975396758333</v>
        <stp/>
        <stp>##V3_BDPV12</stp>
        <stp>TCEHY US Equity</stp>
        <stp>EE010</stp>
        <stp>[DPM - Securities Master List (BBG Linked).xlsx]Equities!R260C12</stp>
        <tr r="L260" s="2"/>
        <tr r="L260" s="2"/>
        <tr r="L260" s="2"/>
      </tp>
      <tp>
        <v>0.8921959245093104</v>
        <stp/>
        <stp>##V3_BDPV12</stp>
        <stp>TCEHY US Equity</stp>
        <stp>DV013</stp>
        <stp>[DPM - Securities Master List (BBG Linked).xlsx]Equities!R259C10</stp>
        <tr r="J259" s="2"/>
      </tp>
      <tp>
        <v>0.8921959245093104</v>
        <stp/>
        <stp>##V3_BDPV12</stp>
        <stp>TCEHY US Equity</stp>
        <stp>DV013</stp>
        <stp>[DPM - Securities Master List (BBG Linked).xlsx]Equities!R260C10</stp>
        <tr r="J260" s="2"/>
      </tp>
      <tp>
        <v>6941.3673890250002</v>
        <stp/>
        <stp>##V3_BDPV12</stp>
        <stp>AAL US Equity</stp>
        <stp>CRNCY_ADJ_MKT_CAP</stp>
        <stp>[DPM - Securities Master List (BBG Linked).xlsx]Equities!R28C9</stp>
        <stp>EQY_FUND_CRNCY=USD</stp>
        <tr r="I28" s="2"/>
      </tp>
      <tp>
        <v>6941.3673890250002</v>
        <stp/>
        <stp>##V3_BDPV12</stp>
        <stp>AAL US Equity</stp>
        <stp>CRNCY_ADJ_MKT_CAP</stp>
        <stp>[DPM - Securities Master List (BBG Linked).xlsx]Equities!R29C9</stp>
        <stp>EQY_FUND_CRNCY=USD</stp>
        <tr r="I29" s="2"/>
      </tp>
      <tp>
        <v>197.98</v>
        <stp/>
        <stp>##V3_BDPV12</stp>
        <stp>AAPL US Equity</stp>
        <stp>PX_Last</stp>
        <stp>[DPM - Securities Master List (BBG Linked).xlsx]Equities!R34C17</stp>
        <tr r="Q34" s="2"/>
      </tp>
      <tp>
        <v>197.98</v>
        <stp/>
        <stp>##V3_BDPV12</stp>
        <stp>AAPL US Equity</stp>
        <stp>PX_last</stp>
        <stp>[DPM - Securities Master List (BBG Linked).xlsx]Equities!R34C17</stp>
        <tr r="Q34" s="2"/>
      </tp>
      <tp>
        <v>93.39</v>
        <stp/>
        <stp>##V3_BDPV12</stp>
        <stp>DELL US Equity</stp>
        <stp>PX_Last</stp>
        <stp>[DPM - Securities Master List (BBG Linked).xlsx]Equities!R93C17</stp>
        <tr r="Q93" s="2"/>
      </tp>
      <tp>
        <v>93.39</v>
        <stp/>
        <stp>##V3_BDPV12</stp>
        <stp>DELL US Equity</stp>
        <stp>PX_Last</stp>
        <stp>[DPM - Securities Master List (BBG Linked).xlsx]Equities!R92C17</stp>
        <tr r="Q92" s="2"/>
      </tp>
      <tp>
        <v>93.39</v>
        <stp/>
        <stp>##V3_BDPV12</stp>
        <stp>DELL US Equity</stp>
        <stp>PX_Last</stp>
        <stp>[DPM - Securities Master List (BBG Linked).xlsx]Equities!R97C17</stp>
        <tr r="Q97" s="2"/>
      </tp>
      <tp>
        <v>93.39</v>
        <stp/>
        <stp>##V3_BDPV12</stp>
        <stp>DELL US Equity</stp>
        <stp>PX_Last</stp>
        <stp>[DPM - Securities Master List (BBG Linked).xlsx]Equities!R96C17</stp>
        <tr r="Q96" s="2"/>
      </tp>
      <tp>
        <v>93.39</v>
        <stp/>
        <stp>##V3_BDPV12</stp>
        <stp>DELL US Equity</stp>
        <stp>PX_Last</stp>
        <stp>[DPM - Securities Master List (BBG Linked).xlsx]Equities!R95C17</stp>
        <tr r="Q95" s="2"/>
      </tp>
      <tp>
        <v>93.39</v>
        <stp/>
        <stp>##V3_BDPV12</stp>
        <stp>DELL US Equity</stp>
        <stp>PX_Last</stp>
        <stp>[DPM - Securities Master List (BBG Linked).xlsx]Equities!R94C17</stp>
        <tr r="Q94" s="2"/>
      </tp>
      <tp>
        <v>93.39</v>
        <stp/>
        <stp>##V3_BDPV12</stp>
        <stp>DELL US Equity</stp>
        <stp>PX_Last</stp>
        <stp>[DPM - Securities Master List (BBG Linked).xlsx]Equities!R99C17</stp>
        <tr r="Q99" s="2"/>
      </tp>
      <tp>
        <v>93.39</v>
        <stp/>
        <stp>##V3_BDPV12</stp>
        <stp>DELL US Equity</stp>
        <stp>PX_Last</stp>
        <stp>[DPM - Securities Master List (BBG Linked).xlsx]Equities!R98C17</stp>
        <tr r="Q98" s="2"/>
      </tp>
      <tp>
        <v>93.39</v>
        <stp/>
        <stp>##V3_BDPV12</stp>
        <stp>DELL US Equity</stp>
        <stp>PX_last</stp>
        <stp>[DPM - Securities Master List (BBG Linked).xlsx]Equities!R93C17</stp>
        <tr r="Q93" s="2"/>
      </tp>
      <tp>
        <v>93.39</v>
        <stp/>
        <stp>##V3_BDPV12</stp>
        <stp>DELL US Equity</stp>
        <stp>PX_last</stp>
        <stp>[DPM - Securities Master List (BBG Linked).xlsx]Equities!R92C17</stp>
        <tr r="Q92" s="2"/>
      </tp>
      <tp>
        <v>93.39</v>
        <stp/>
        <stp>##V3_BDPV12</stp>
        <stp>DELL US Equity</stp>
        <stp>PX_last</stp>
        <stp>[DPM - Securities Master List (BBG Linked).xlsx]Equities!R97C17</stp>
        <tr r="Q97" s="2"/>
      </tp>
      <tp>
        <v>93.39</v>
        <stp/>
        <stp>##V3_BDPV12</stp>
        <stp>DELL US Equity</stp>
        <stp>PX_last</stp>
        <stp>[DPM - Securities Master List (BBG Linked).xlsx]Equities!R96C17</stp>
        <tr r="Q96" s="2"/>
      </tp>
      <tp>
        <v>93.39</v>
        <stp/>
        <stp>##V3_BDPV12</stp>
        <stp>DELL US Equity</stp>
        <stp>PX_last</stp>
        <stp>[DPM - Securities Master List (BBG Linked).xlsx]Equities!R95C17</stp>
        <tr r="Q95" s="2"/>
      </tp>
      <tp>
        <v>93.39</v>
        <stp/>
        <stp>##V3_BDPV12</stp>
        <stp>DELL US Equity</stp>
        <stp>PX_last</stp>
        <stp>[DPM - Securities Master List (BBG Linked).xlsx]Equities!R94C17</stp>
        <tr r="Q94" s="2"/>
      </tp>
      <tp>
        <v>93.39</v>
        <stp/>
        <stp>##V3_BDPV12</stp>
        <stp>DELL US Equity</stp>
        <stp>PX_last</stp>
        <stp>[DPM - Securities Master List (BBG Linked).xlsx]Equities!R99C17</stp>
        <tr r="Q99" s="2"/>
      </tp>
      <tp>
        <v>93.39</v>
        <stp/>
        <stp>##V3_BDPV12</stp>
        <stp>DELL US Equity</stp>
        <stp>PX_last</stp>
        <stp>[DPM - Securities Master List (BBG Linked).xlsx]Equities!R98C17</stp>
        <tr r="Q98" s="2"/>
      </tp>
      <tp t="s">
        <v>USD</v>
        <stp/>
        <stp>##V3_BDPV12</stp>
        <stp>GOOGL US Equity</stp>
        <stp>CRNCY</stp>
        <stp>[DPM - Securities Master List (BBG Linked).xlsx]Equities!R136C6</stp>
        <tr r="F136" s="2"/>
      </tp>
      <tp t="s">
        <v>USD</v>
        <stp/>
        <stp>##V3_BDPV12</stp>
        <stp>GOOGL UQ Equity</stp>
        <stp>CRNCY</stp>
        <stp>[DPM - Securities Master List (BBG Linked).xlsx]Equities!R126C6</stp>
        <tr r="F126" s="2"/>
      </tp>
      <tp t="s">
        <v>Nestle SA</v>
        <stp/>
        <stp>##V3_BDPV12</stp>
        <stp>NSRGY US Equity</stp>
        <stp>SECURITY NAME</stp>
        <stp>[DPM - Securities Master List (BBG Linked).xlsx]Equities!R223C5</stp>
        <tr r="E223" s="2"/>
      </tp>
      <tp t="s">
        <v>N</v>
        <stp/>
        <stp>##V3_BDPV12</stp>
        <stp>VOW3 GY Equity</stp>
        <stp>DY784</stp>
        <stp>[DPM - Securities Master List (BBG Linked).xlsx]Equities!R293C48</stp>
        <tr r="AV293" s="2"/>
        <tr r="AV293" s="2"/>
        <tr r="AV293" s="2"/>
      </tp>
      <tp t="s">
        <v>N</v>
        <stp/>
        <stp>##V3_BDPV12</stp>
        <stp>VOW3 GY Equity</stp>
        <stp>DY784</stp>
        <stp>[DPM - Securities Master List (BBG Linked).xlsx]Equities!R292C48</stp>
        <tr r="AV292" s="2"/>
        <tr r="AV292" s="2"/>
        <tr r="AV292" s="2"/>
      </tp>
      <tp t="s">
        <v>N</v>
        <stp/>
        <stp>##V3_BDPV12</stp>
        <stp>VOW3 GY Equity</stp>
        <stp>DY784</stp>
        <stp>[DPM - Securities Master List (BBG Linked).xlsx]Equities!R291C48</stp>
        <tr r="AV291" s="2"/>
        <tr r="AV291" s="2"/>
        <tr r="AV291" s="2"/>
      </tp>
      <tp t="s">
        <v>N</v>
        <stp/>
        <stp>##V3_BDPV12</stp>
        <stp>VOW3 GY Equity</stp>
        <stp>DY784</stp>
        <stp>[DPM - Securities Master List (BBG Linked).xlsx]Equities!R290C48</stp>
        <tr r="AV290" s="2"/>
        <tr r="AV290" s="2"/>
        <tr r="AV290" s="2"/>
      </tp>
      <tp t="s">
        <v>N</v>
        <stp/>
        <stp>##V3_BDPV12</stp>
        <stp>VOW3 GY Equity</stp>
        <stp>DY784</stp>
        <stp>[DPM - Securities Master List (BBG Linked).xlsx]Equities!R289C48</stp>
        <tr r="AV289" s="2"/>
        <tr r="AV289" s="2"/>
        <tr r="AV289" s="2"/>
      </tp>
      <tp t="s">
        <v>#N/A Invalid Override</v>
        <stp/>
        <stp>##V3_BDPV12</stp>
        <stp>XS2010026727 isin</stp>
        <stp>YAS_BOND_YLD</stp>
        <stp>[DPM - Securities Master List (BBG Linked).xlsx]Bonds!R167C10</stp>
        <stp>YAS_YLD_FLAG=15</stp>
        <stp>user_local_trade_date</stp>
        <stp>45783</stp>
        <stp>Yas_bond_px</stp>
        <stp>#N/A Connection</stp>
        <tr r="J167" s="1"/>
      </tp>
      <tp t="s">
        <v>#N/A N/A</v>
        <stp/>
        <stp>##V3_BDPV12</stp>
        <stp>3690 HK Equity</stp>
        <stp>DV013</stp>
        <stp>[DPM - Securities Master List (BBG Linked).xlsx]Equities!R8C10</stp>
        <tr r="J8" s="2"/>
      </tp>
      <tp t="s">
        <v>#N/A N/A</v>
        <stp/>
        <stp>##V3_BDPV12</stp>
        <stp>3690 HK Equity</stp>
        <stp>DV013</stp>
        <stp>[DPM - Securities Master List (BBG Linked).xlsx]Equities!R9C10</stp>
        <tr r="J9" s="2"/>
      </tp>
      <tp t="s">
        <v>#N/A N/A</v>
        <stp/>
        <stp>##V3_BDPV12</stp>
        <stp>3690 HK Equity</stp>
        <stp>DV013</stp>
        <stp>[DPM - Securities Master List (BBG Linked).xlsx]Equities!R7C10</stp>
        <tr r="J7" s="2"/>
      </tp>
      <tp>
        <v>7.1722910000000004</v>
        <stp/>
        <stp>##V3_BDPV12</stp>
        <stp>XS2911679004 isin</stp>
        <stp>YAS_BOND_YLD</stp>
        <stp>[DPM - Securities Master List (BBG Linked).xlsx]Bonds!R146C10</stp>
        <stp>YAS_YLD_FLAG=15</stp>
        <stp>user_local_trade_date</stp>
        <stp>45783</stp>
        <stp>Yas_bond_px</stp>
        <stp>99.109999999999999</stp>
        <tr r="J146" s="1"/>
      </tp>
      <tp t="s">
        <v>BP PLC</v>
        <stp/>
        <stp>##V3_BDPV12</stp>
        <stp>BP/ LN Equity</stp>
        <stp>SECURITY NAME</stp>
        <stp>[DPM - Securities Master List (BBG Linked).xlsx]Equities!R87C5</stp>
        <tr r="E87" s="2"/>
      </tp>
      <tp t="s">
        <v>BP PLC</v>
        <stp/>
        <stp>##V3_BDPV12</stp>
        <stp>BP/ LN Equity</stp>
        <stp>SECURITY NAME</stp>
        <stp>[DPM - Securities Master List (BBG Linked).xlsx]Equities!R77C5</stp>
        <tr r="E77" s="2"/>
      </tp>
      <tp>
        <v>-0.55865920000000002</v>
        <stp/>
        <stp>##V3_BDPV12</stp>
        <stp>VOW3 GY Equity</stp>
        <stp>CHG_PCT_1D</stp>
        <stp>[DPM - Securities Master List (BBG Linked).xlsx]Equities!R289C22</stp>
        <tr r="V289" s="2"/>
      </tp>
      <tp>
        <v>-0.55865920000000002</v>
        <stp/>
        <stp>##V3_BDPV12</stp>
        <stp>VOW3 GY Equity</stp>
        <stp>CHG_PCT_1D</stp>
        <stp>[DPM - Securities Master List (BBG Linked).xlsx]Equities!R291C22</stp>
        <tr r="V291" s="2"/>
      </tp>
      <tp>
        <v>-0.55865920000000002</v>
        <stp/>
        <stp>##V3_BDPV12</stp>
        <stp>VOW3 GY Equity</stp>
        <stp>CHG_PCT_1D</stp>
        <stp>[DPM - Securities Master List (BBG Linked).xlsx]Equities!R290C22</stp>
        <tr r="V290" s="2"/>
      </tp>
      <tp>
        <v>-0.55865920000000002</v>
        <stp/>
        <stp>##V3_BDPV12</stp>
        <stp>VOW3 GY Equity</stp>
        <stp>CHG_PCT_1D</stp>
        <stp>[DPM - Securities Master List (BBG Linked).xlsx]Equities!R293C22</stp>
        <tr r="V293" s="2"/>
      </tp>
      <tp>
        <v>-0.55865920000000002</v>
        <stp/>
        <stp>##V3_BDPV12</stp>
        <stp>VOW3 GY Equity</stp>
        <stp>CHG_PCT_1D</stp>
        <stp>[DPM - Securities Master List (BBG Linked).xlsx]Equities!R292C22</stp>
        <tr r="V292" s="2"/>
      </tp>
      <tp t="s">
        <v>AstraZeneca PLC</v>
        <stp/>
        <stp>##V3_BDPV12</stp>
        <stp>AZN LN Equity</stp>
        <stp>SECURITY NAME</stp>
        <stp>[DPM - Securities Master List (BBG Linked).xlsx]Equities!R57C5</stp>
        <tr r="E57" s="2"/>
      </tp>
      <tp t="s">
        <v>USD</v>
        <stp/>
        <stp>##V3_BDPV12</stp>
        <stp>BMRN US Equity</stp>
        <stp>CRNCY</stp>
        <stp>[DPM - Securities Master List (BBG Linked).xlsx]Equities!R66C6</stp>
        <tr r="F66" s="2"/>
      </tp>
      <tp t="s">
        <v>USD</v>
        <stp/>
        <stp>##V3_BDPV12</stp>
        <stp>ADBE US Equity</stp>
        <stp>CRNCY</stp>
        <stp>[DPM - Securities Master List (BBG Linked).xlsx]Equities!R45C6</stp>
        <tr r="F45" s="2"/>
      </tp>
      <tp>
        <v>23.107638888888889</v>
        <stp/>
        <stp>##V3_BDPV12</stp>
        <stp>INTC US Equity</stp>
        <stp>EE010</stp>
        <stp>[DPM - Securities Master List (BBG Linked).xlsx]Equities!R148C12</stp>
        <tr r="L148" s="2"/>
        <tr r="L148" s="2"/>
        <tr r="L148" s="2"/>
      </tp>
      <tp>
        <v>23.107638888888889</v>
        <stp/>
        <stp>##V3_BDPV12</stp>
        <stp>INTC US Equity</stp>
        <stp>EE010</stp>
        <stp>[DPM - Securities Master List (BBG Linked).xlsx]Equities!R147C12</stp>
        <tr r="L147" s="2"/>
        <tr r="L147" s="2"/>
        <tr r="L147" s="2"/>
      </tp>
      <tp>
        <v>23.107638888888889</v>
        <stp/>
        <stp>##V3_BDPV12</stp>
        <stp>INTC US Equity</stp>
        <stp>EE010</stp>
        <stp>[DPM - Securities Master List (BBG Linked).xlsx]Equities!R146C12</stp>
        <tr r="L146" s="2"/>
        <tr r="L146" s="2"/>
        <tr r="L146" s="2"/>
      </tp>
      <tp>
        <v>0.35526981976527972</v>
        <stp/>
        <stp>##V3_BDPV12</stp>
        <stp>META US Equity</stp>
        <stp>DV013</stp>
        <stp>[DPM - Securities Master List (BBG Linked).xlsx]Equities!R156C10</stp>
        <tr r="J156" s="2"/>
      </tp>
      <tp>
        <v>20.102667483243167</v>
        <stp/>
        <stp>##V3_BDPV12</stp>
        <stp>META US Equity</stp>
        <stp>EE010</stp>
        <stp>[DPM - Securities Master List (BBG Linked).xlsx]Equities!R156C12</stp>
        <tr r="L156" s="2"/>
        <tr r="L156" s="2"/>
        <tr r="L156" s="2"/>
      </tp>
      <tp t="s">
        <v>#N/A N/A</v>
        <stp/>
        <stp>##V3_BDPV12</stp>
        <stp>INTC US Equity</stp>
        <stp>DV013</stp>
        <stp>[DPM - Securities Master List (BBG Linked).xlsx]Equities!R148C10</stp>
        <tr r="J148" s="2"/>
      </tp>
      <tp t="s">
        <v>#N/A N/A</v>
        <stp/>
        <stp>##V3_BDPV12</stp>
        <stp>INTC US Equity</stp>
        <stp>DV013</stp>
        <stp>[DPM - Securities Master List (BBG Linked).xlsx]Equities!R147C10</stp>
        <tr r="J147" s="2"/>
      </tp>
      <tp t="s">
        <v>#N/A N/A</v>
        <stp/>
        <stp>##V3_BDPV12</stp>
        <stp>INTC US Equity</stp>
        <stp>DV013</stp>
        <stp>[DPM - Securities Master List (BBG Linked).xlsx]Equities!R146C10</stp>
        <tr r="J146" s="2"/>
      </tp>
      <tp t="s">
        <v>Equity</v>
        <stp/>
        <stp>##V3_BDPV12</stp>
        <stp>NESN SW Equity</stp>
        <stp>EX028</stp>
        <stp>[DPM - Securities Master List (BBG Linked).xlsx]Equities!R202C30</stp>
        <tr r="AD202" s="2"/>
        <tr r="AD202" s="2"/>
        <tr r="AD202" s="2"/>
      </tp>
      <tp t="s">
        <v>Equity</v>
        <stp/>
        <stp>##V3_BDPV12</stp>
        <stp>NESN SW Equity</stp>
        <stp>EX028</stp>
        <stp>[DPM - Securities Master List (BBG Linked).xlsx]Equities!R203C30</stp>
        <tr r="AD203" s="2"/>
        <tr r="AD203" s="2"/>
        <tr r="AD203" s="2"/>
      </tp>
      <tp t="s">
        <v>Equity</v>
        <stp/>
        <stp>##V3_BDPV12</stp>
        <stp>NESN SW Equity</stp>
        <stp>EX028</stp>
        <stp>[DPM - Securities Master List (BBG Linked).xlsx]Equities!R200C30</stp>
        <tr r="AD200" s="2"/>
        <tr r="AD200" s="2"/>
        <tr r="AD200" s="2"/>
      </tp>
      <tp t="s">
        <v>Equity</v>
        <stp/>
        <stp>##V3_BDPV12</stp>
        <stp>NESN SW Equity</stp>
        <stp>EX028</stp>
        <stp>[DPM - Securities Master List (BBG Linked).xlsx]Equities!R201C30</stp>
        <tr r="AD201" s="2"/>
        <tr r="AD201" s="2"/>
        <tr r="AD201" s="2"/>
      </tp>
      <tp t="s">
        <v>Equity</v>
        <stp/>
        <stp>##V3_BDPV12</stp>
        <stp>NESN SW Equity</stp>
        <stp>EX028</stp>
        <stp>[DPM - Securities Master List (BBG Linked).xlsx]Equities!R204C30</stp>
        <tr r="AD204" s="2"/>
        <tr r="AD204" s="2"/>
        <tr r="AD204" s="2"/>
      </tp>
      <tp t="s">
        <v>Equity</v>
        <stp/>
        <stp>##V3_BDPV12</stp>
        <stp>NESN SW Equity</stp>
        <stp>EX028</stp>
        <stp>[DPM - Securities Master List (BBG Linked).xlsx]Equities!R205C30</stp>
        <tr r="AD205" s="2"/>
        <tr r="AD205" s="2"/>
        <tr r="AD205" s="2"/>
      </tp>
      <tp t="s">
        <v>Equity</v>
        <stp/>
        <stp>##V3_BDPV12</stp>
        <stp>NESN SW Equity</stp>
        <stp>EX028</stp>
        <stp>[DPM - Securities Master List (BBG Linked).xlsx]Equities!R193C30</stp>
        <tr r="AD193" s="2"/>
        <tr r="AD193" s="2"/>
        <tr r="AD193" s="2"/>
      </tp>
      <tp t="s">
        <v>Equity</v>
        <stp/>
        <stp>##V3_BDPV12</stp>
        <stp>NESN SW Equity</stp>
        <stp>EX028</stp>
        <stp>[DPM - Securities Master List (BBG Linked).xlsx]Equities!R196C30</stp>
        <tr r="AD196" s="2"/>
        <tr r="AD196" s="2"/>
        <tr r="AD196" s="2"/>
      </tp>
      <tp t="s">
        <v>Equity</v>
        <stp/>
        <stp>##V3_BDPV12</stp>
        <stp>NESN SW Equity</stp>
        <stp>EX028</stp>
        <stp>[DPM - Securities Master List (BBG Linked).xlsx]Equities!R197C30</stp>
        <tr r="AD197" s="2"/>
        <tr r="AD197" s="2"/>
        <tr r="AD197" s="2"/>
      </tp>
      <tp t="s">
        <v>Equity</v>
        <stp/>
        <stp>##V3_BDPV12</stp>
        <stp>NESN SW Equity</stp>
        <stp>EX028</stp>
        <stp>[DPM - Securities Master List (BBG Linked).xlsx]Equities!R194C30</stp>
        <tr r="AD194" s="2"/>
        <tr r="AD194" s="2"/>
        <tr r="AD194" s="2"/>
      </tp>
      <tp t="s">
        <v>Equity</v>
        <stp/>
        <stp>##V3_BDPV12</stp>
        <stp>NESN SW Equity</stp>
        <stp>EX028</stp>
        <stp>[DPM - Securities Master List (BBG Linked).xlsx]Equities!R195C30</stp>
        <tr r="AD195" s="2"/>
        <tr r="AD195" s="2"/>
        <tr r="AD195" s="2"/>
      </tp>
      <tp t="s">
        <v>Equity</v>
        <stp/>
        <stp>##V3_BDPV12</stp>
        <stp>NESN SW Equity</stp>
        <stp>EX028</stp>
        <stp>[DPM - Securities Master List (BBG Linked).xlsx]Equities!R198C30</stp>
        <tr r="AD198" s="2"/>
        <tr r="AD198" s="2"/>
        <tr r="AD198" s="2"/>
      </tp>
      <tp t="s">
        <v>Equity</v>
        <stp/>
        <stp>##V3_BDPV12</stp>
        <stp>NESN SW Equity</stp>
        <stp>EX028</stp>
        <stp>[DPM - Securities Master List (BBG Linked).xlsx]Equities!R199C30</stp>
        <tr r="AD199" s="2"/>
        <tr r="AD199" s="2"/>
        <tr r="AD199" s="2"/>
      </tp>
      <tp>
        <v>9.8674372458667445</v>
        <stp/>
        <stp>##V3_BDPV12</stp>
        <stp>PYPL US Equity</stp>
        <stp>RR957</stp>
        <stp>[DPM - Securities Master List (BBG Linked).xlsx]Equities!R237C14</stp>
        <tr r="N237" s="2"/>
        <tr r="N237" s="2"/>
        <tr r="N237" s="2"/>
      </tp>
      <tp>
        <v>9.8674372458667445</v>
        <stp/>
        <stp>##V3_BDPV12</stp>
        <stp>PYPL US Equity</stp>
        <stp>RR957</stp>
        <stp>[DPM - Securities Master List (BBG Linked).xlsx]Equities!R239C14</stp>
        <tr r="N239" s="2"/>
        <tr r="N239" s="2"/>
        <tr r="N239" s="2"/>
      </tp>
      <tp>
        <v>9.8674372458667445</v>
        <stp/>
        <stp>##V3_BDPV12</stp>
        <stp>PYPL US Equity</stp>
        <stp>RR957</stp>
        <stp>[DPM - Securities Master List (BBG Linked).xlsx]Equities!R238C14</stp>
        <tr r="N238" s="2"/>
        <tr r="N238" s="2"/>
        <tr r="N238" s="2"/>
      </tp>
      <tp t="s">
        <v>Equity</v>
        <stp/>
        <stp>##V3_BDPV12</stp>
        <stp>TCEHY US Equity</stp>
        <stp>EX028</stp>
        <stp>[DPM - Securities Master List (BBG Linked).xlsx]Equities!R260C30</stp>
        <tr r="AD260" s="2"/>
        <tr r="AD260" s="2"/>
        <tr r="AD260" s="2"/>
      </tp>
      <tp t="s">
        <v>Equity</v>
        <stp/>
        <stp>##V3_BDPV12</stp>
        <stp>TCEHY US Equity</stp>
        <stp>EX028</stp>
        <stp>[DPM - Securities Master List (BBG Linked).xlsx]Equities!R259C30</stp>
        <tr r="AD259" s="2"/>
        <tr r="AD259" s="2"/>
        <tr r="AD259" s="2"/>
      </tp>
      <tp t="s">
        <v>USD</v>
        <stp/>
        <stp>##V3_BDPV12</stp>
        <stp>GOOGL US Equity</stp>
        <stp>CRNCY</stp>
        <stp>[DPM - Securities Master List (BBG Linked).xlsx]Equities!R127C6</stp>
        <tr r="F127" s="2"/>
      </tp>
      <tp t="s">
        <v>USD</v>
        <stp/>
        <stp>##V3_BDPV12</stp>
        <stp>GOOGL US Equity</stp>
        <stp>CRNCY</stp>
        <stp>[DPM - Securities Master List (BBG Linked).xlsx]Equities!R137C6</stp>
        <tr r="F137" s="2"/>
      </tp>
      <tp>
        <v>13</v>
        <stp/>
        <stp>##V3_BDPV12</stp>
        <stp>GOLD US Equity</stp>
        <stp>TOT_BUY_REC</stp>
        <stp>[DPM - Securities Master List (BBG Linked).xlsx]Equities!R125C34</stp>
        <tr r="AH125" s="2"/>
      </tp>
      <tp t="s">
        <v>N</v>
        <stp/>
        <stp>##V3_BDPV12</stp>
        <stp>VOW3 GY Equity</stp>
        <stp>DY997</stp>
        <stp>[DPM - Securities Master List (BBG Linked).xlsx]Equities!R289C47</stp>
        <tr r="AU289" s="2"/>
        <tr r="AU289" s="2"/>
        <tr r="AU289" s="2"/>
      </tp>
      <tp t="s">
        <v>N</v>
        <stp/>
        <stp>##V3_BDPV12</stp>
        <stp>VOW3 GY Equity</stp>
        <stp>DY997</stp>
        <stp>[DPM - Securities Master List (BBG Linked).xlsx]Equities!R291C47</stp>
        <tr r="AU291" s="2"/>
        <tr r="AU291" s="2"/>
        <tr r="AU291" s="2"/>
      </tp>
      <tp t="s">
        <v>N</v>
        <stp/>
        <stp>##V3_BDPV12</stp>
        <stp>VOW3 GY Equity</stp>
        <stp>DY997</stp>
        <stp>[DPM - Securities Master List (BBG Linked).xlsx]Equities!R290C47</stp>
        <tr r="AU290" s="2"/>
        <tr r="AU290" s="2"/>
        <tr r="AU290" s="2"/>
      </tp>
      <tp t="s">
        <v>N</v>
        <stp/>
        <stp>##V3_BDPV12</stp>
        <stp>VOW3 GY Equity</stp>
        <stp>DY997</stp>
        <stp>[DPM - Securities Master List (BBG Linked).xlsx]Equities!R293C47</stp>
        <tr r="AU293" s="2"/>
        <tr r="AU293" s="2"/>
        <tr r="AU293" s="2"/>
      </tp>
      <tp t="s">
        <v>N</v>
        <stp/>
        <stp>##V3_BDPV12</stp>
        <stp>VOW3 GY Equity</stp>
        <stp>DY997</stp>
        <stp>[DPM - Securities Master List (BBG Linked).xlsx]Equities!R292C47</stp>
        <tr r="AU292" s="2"/>
        <tr r="AU292" s="2"/>
        <tr r="AU292" s="2"/>
      </tp>
      <tp t="s">
        <v>Materials</v>
        <stp/>
        <stp>##V3_BDPV12</stp>
        <stp>DD US Equity</stp>
        <stp>DX202</stp>
        <stp>[DPM - Securities Master List (BBG Linked).xlsx]Equities!R91C8</stp>
        <tr r="H91" s="2"/>
        <tr r="H91" s="2"/>
        <tr r="H91" s="2"/>
      </tp>
      <tp t="s">
        <v>#N/A Invalid Override</v>
        <stp/>
        <stp>##V3_BDPV12</stp>
        <stp>XS2753907554 isin</stp>
        <stp>YAS_BOND_YLD</stp>
        <stp>[DPM - Securities Master List (BBG Linked).xlsx]Bonds!R110C10</stp>
        <stp>YAS_YLD_FLAG=15</stp>
        <stp>user_local_trade_date</stp>
        <stp>45783</stp>
        <stp>Yas_bond_px</stp>
        <stp>#N/A Connection</stp>
        <tr r="J110" s="1"/>
      </tp>
      <tp t="s">
        <v>#N/A Invalid Field</v>
        <stp/>
        <stp>##V3_BDPV12</stp>
        <stp>TGT US Equity</stp>
        <stp/>
        <stp>[DPM - Securities Master List (BBG Linked).xlsx]Equities!R261C29</stp>
        <tr r="AC261" s="2"/>
        <tr r="AC261" s="2"/>
      </tp>
      <tp t="s">
        <v>#N/A Invalid Override</v>
        <stp/>
        <stp>##V3_BDPV12</stp>
        <stp>XS2451768720 isin</stp>
        <stp>YAS_BOND_YLD</stp>
        <stp>[DPM - Securities Master List (BBG Linked).xlsx]Bonds!R135C10</stp>
        <stp>YAS_YLD_FLAG=15</stp>
        <stp>user_local_trade_date</stp>
        <stp>45783</stp>
        <stp>Yas_bond_px</stp>
        <stp>#N/A Connection</stp>
        <tr r="J135" s="1"/>
      </tp>
      <tp t="s">
        <v>#N/A Invalid Override</v>
        <stp/>
        <stp>##V3_BDPV12</stp>
        <stp>XS2451768720 isin</stp>
        <stp>YAS_BOND_YLD</stp>
        <stp>[DPM - Securities Master List (BBG Linked).xlsx]Bonds!R164C10</stp>
        <stp>YAS_YLD_FLAG=15</stp>
        <stp>user_local_trade_date</stp>
        <stp>45783</stp>
        <stp>Yas_bond_px</stp>
        <stp>#N/A Connection</stp>
        <tr r="J164" s="1"/>
      </tp>
      <tp>
        <v>2.5764190994495908</v>
        <stp/>
        <stp>##V3_BDPV12</stp>
        <stp>2020 HK Equity</stp>
        <stp>DV013</stp>
        <stp>[DPM - Securities Master List (BBG Linked).xlsx]Equities!R3C10</stp>
        <tr r="J3" s="2"/>
      </tp>
      <tp>
        <v>2.5764190994495908</v>
        <stp/>
        <stp>##V3_BDPV12</stp>
        <stp>2020 HK Equity</stp>
        <stp>DV013</stp>
        <stp>[DPM - Securities Master List (BBG Linked).xlsx]Equities!R4C10</stp>
        <tr r="J4" s="2"/>
      </tp>
      <tp>
        <v>2.5764190994495908</v>
        <stp/>
        <stp>##V3_BDPV12</stp>
        <stp>2020 HK Equity</stp>
        <stp>DV013</stp>
        <stp>[DPM - Securities Master List (BBG Linked).xlsx]Equities!R5C10</stp>
        <tr r="J5" s="2"/>
      </tp>
      <tp>
        <v>2.5764190994495908</v>
        <stp/>
        <stp>##V3_BDPV12</stp>
        <stp>2020 HK Equity</stp>
        <stp>DV013</stp>
        <stp>[DPM - Securities Master List (BBG Linked).xlsx]Equities!R6C10</stp>
        <tr r="J6" s="2"/>
      </tp>
      <tp t="s">
        <v>#N/A Invalid Override</v>
        <stp/>
        <stp>##V3_BDPV12</stp>
        <stp>XS2827680112 isin</stp>
        <stp>YAS_BOND_YLD</stp>
        <stp>[DPM - Securities Master List (BBG Linked).xlsx]Bonds!R121C10</stp>
        <stp>YAS_YLD_FLAG=15</stp>
        <stp>user_local_trade_date</stp>
        <stp>45783</stp>
        <stp>Yas_bond_px</stp>
        <stp>#N/A Connection</stp>
        <tr r="J121" s="1"/>
      </tp>
      <tp t="s">
        <v>#N/A Invalid Override</v>
        <stp/>
        <stp>##V3_BDPV12</stp>
        <stp>XS2827680112 isin</stp>
        <stp>YAS_BOND_YLD</stp>
        <stp>[DPM - Securities Master List (BBG Linked).xlsx]Bonds!R161C10</stp>
        <stp>YAS_YLD_FLAG=15</stp>
        <stp>user_local_trade_date</stp>
        <stp>45783</stp>
        <stp>Yas_bond_px</stp>
        <stp>#N/A Connection</stp>
        <tr r="J161" s="1"/>
      </tp>
      <tp>
        <v>37.159999999999997</v>
        <stp/>
        <stp>##V3_BDPV12</stp>
        <stp>INTC US Equity</stp>
        <stp>hs001</stp>
        <stp>[DPM - Securities Master List (BBG Linked).xlsx]Equities!R148C44</stp>
        <tr r="AR148" s="2"/>
      </tp>
      <tp>
        <v>37.159999999999997</v>
        <stp/>
        <stp>##V3_BDPV12</stp>
        <stp>INTC US Equity</stp>
        <stp>hs001</stp>
        <stp>[DPM - Securities Master List (BBG Linked).xlsx]Equities!R147C44</stp>
        <tr r="AR147" s="2"/>
      </tp>
      <tp>
        <v>37.159999999999997</v>
        <stp/>
        <stp>##V3_BDPV12</stp>
        <stp>INTC US Equity</stp>
        <stp>hs001</stp>
        <stp>[DPM - Securities Master List (BBG Linked).xlsx]Equities!R146C44</stp>
        <tr r="AR146" s="2"/>
      </tp>
      <tp>
        <v>442.65</v>
        <stp/>
        <stp>##V3_BDPV12</stp>
        <stp>META US Equity</stp>
        <stp>hs002</stp>
        <stp>[DPM - Securities Master List (BBG Linked).xlsx]Equities!R156C45</stp>
        <tr r="AS156" s="2"/>
      </tp>
      <tp>
        <v>740.91</v>
        <stp/>
        <stp>##V3_BDPV12</stp>
        <stp>META US Equity</stp>
        <stp>hs001</stp>
        <stp>[DPM - Securities Master List (BBG Linked).xlsx]Equities!R156C44</stp>
        <tr r="AR156" s="2"/>
      </tp>
      <tp>
        <v>17.664999999999999</v>
        <stp/>
        <stp>##V3_BDPV12</stp>
        <stp>INTC US Equity</stp>
        <stp>hs002</stp>
        <stp>[DPM - Securities Master List (BBG Linked).xlsx]Equities!R148C45</stp>
        <tr r="AS148" s="2"/>
      </tp>
      <tp>
        <v>17.664999999999999</v>
        <stp/>
        <stp>##V3_BDPV12</stp>
        <stp>INTC US Equity</stp>
        <stp>hs002</stp>
        <stp>[DPM - Securities Master List (BBG Linked).xlsx]Equities!R147C45</stp>
        <tr r="AS147" s="2"/>
      </tp>
      <tp>
        <v>17.664999999999999</v>
        <stp/>
        <stp>##V3_BDPV12</stp>
        <stp>INTC US Equity</stp>
        <stp>hs002</stp>
        <stp>[DPM - Securities Master List (BBG Linked).xlsx]Equities!R146C45</stp>
        <tr r="AS146" s="2"/>
      </tp>
      <tp>
        <v>7.1722910000000004</v>
        <stp/>
        <stp>##V3_BDPV12</stp>
        <stp>XS2911679004 isin</stp>
        <stp>YAS_BOND_YLD</stp>
        <stp>[DPM - Securities Master List (BBG Linked).xlsx]Bonds!R137C10</stp>
        <stp>YAS_YLD_FLAG=15</stp>
        <stp>user_local_trade_date</stp>
        <stp>45783</stp>
        <stp>Yas_bond_px</stp>
        <stp>99.109999999999999</stp>
        <tr r="J137" s="1"/>
      </tp>
      <tp t="s">
        <v>BP PLC</v>
        <stp/>
        <stp>##V3_BDPV12</stp>
        <stp>BP/ LN Equity</stp>
        <stp>SECURITY NAME</stp>
        <stp>[DPM - Securities Master List (BBG Linked).xlsx]Equities!R86C5</stp>
        <tr r="E86" s="2"/>
      </tp>
      <tp t="s">
        <v>AstraZeneca PLC</v>
        <stp/>
        <stp>##V3_BDPV12</stp>
        <stp>AZN LN Equity</stp>
        <stp>SECURITY NAME</stp>
        <stp>[DPM - Securities Master List (BBG Linked).xlsx]Equities!R56C5</stp>
        <tr r="E56" s="2"/>
      </tp>
      <tp t="s">
        <v>USD</v>
        <stp/>
        <stp>##V3_BDPV12</stp>
        <stp>BMRN US Equity</stp>
        <stp>CRNCY</stp>
        <stp>[DPM - Securities Master List (BBG Linked).xlsx]Equities!R67C6</stp>
        <tr r="F67" s="2"/>
      </tp>
      <tp t="s">
        <v>Bristol-Myers Squibb Co</v>
        <stp/>
        <stp>##V3_BDPV12</stp>
        <stp>BMY US Equity</stp>
        <stp>SECURITY NAME</stp>
        <stp>[DPM - Securities Master List (BBG Linked).xlsx]Equities!R76C5</stp>
        <tr r="E76" s="2"/>
      </tp>
      <tp t="s">
        <v>USD</v>
        <stp/>
        <stp>##V3_BDPV12</stp>
        <stp>ADBE US Equity</stp>
        <stp>CRNCY</stp>
        <stp>[DPM - Securities Master List (BBG Linked).xlsx]Equities!R44C6</stp>
        <tr r="F44" s="2"/>
      </tp>
      <tp t="s">
        <v>USD</v>
        <stp/>
        <stp>##V3_BDPV12</stp>
        <stp>AAPL US Equity</stp>
        <stp>CRNCY</stp>
        <stp>[DPM - Securities Master List (BBG Linked).xlsx]Equities!R34C6</stp>
        <tr r="F34" s="2"/>
      </tp>
      <tp t="s">
        <v>US4581401001</v>
        <stp/>
        <stp>##V3_BDPV12</stp>
        <stp>INTC US Equity</stp>
        <stp>ID005</stp>
        <stp>[DPM - Securities Master List (BBG Linked).xlsx]Equities!R148C55</stp>
        <tr r="BC148" s="2"/>
      </tp>
      <tp t="s">
        <v>US4581401001</v>
        <stp/>
        <stp>##V3_BDPV12</stp>
        <stp>INTC US Equity</stp>
        <stp>ID005</stp>
        <stp>[DPM - Securities Master List (BBG Linked).xlsx]Equities!R147C55</stp>
        <tr r="BC147" s="2"/>
      </tp>
      <tp t="s">
        <v>US4581401001</v>
        <stp/>
        <stp>##V3_BDPV12</stp>
        <stp>INTC US Equity</stp>
        <stp>ID005</stp>
        <stp>[DPM - Securities Master List (BBG Linked).xlsx]Equities!R146C55</stp>
        <tr r="BC146" s="2"/>
      </tp>
      <tp>
        <v>4.6790122985839844</v>
        <stp/>
        <stp>##V3_BDPV12</stp>
        <stp>META US Equity</stp>
        <stp>EE201</stp>
        <stp>[DPM - Securities Master List (BBG Linked).xlsx]Equities!R156C37</stp>
        <tr r="AK156" s="2"/>
        <tr r="AK156" s="2"/>
        <tr r="AK156" s="2"/>
      </tp>
      <tp>
        <v>2.8571429252624512</v>
        <stp/>
        <stp>##V3_BDPV12</stp>
        <stp>INTC US Equity</stp>
        <stp>EE201</stp>
        <stp>[DPM - Securities Master List (BBG Linked).xlsx]Equities!R148C37</stp>
        <tr r="AK148" s="2"/>
        <tr r="AK148" s="2"/>
        <tr r="AK148" s="2"/>
      </tp>
      <tp>
        <v>2.8571429252624512</v>
        <stp/>
        <stp>##V3_BDPV12</stp>
        <stp>INTC US Equity</stp>
        <stp>EE201</stp>
        <stp>[DPM - Securities Master List (BBG Linked).xlsx]Equities!R147C37</stp>
        <tr r="AK147" s="2"/>
        <tr r="AK147" s="2"/>
        <tr r="AK147" s="2"/>
      </tp>
      <tp>
        <v>2.8571429252624512</v>
        <stp/>
        <stp>##V3_BDPV12</stp>
        <stp>INTC US Equity</stp>
        <stp>EE201</stp>
        <stp>[DPM - Securities Master List (BBG Linked).xlsx]Equities!R146C37</stp>
        <tr r="AK146" s="2"/>
        <tr r="AK146" s="2"/>
        <tr r="AK146" s="2"/>
      </tp>
      <tp t="s">
        <v>Communication Services</v>
        <stp/>
        <stp>##V3_BDPV12</stp>
        <stp>META US Equity</stp>
        <stp>DX202</stp>
        <stp>[DPM - Securities Master List (BBG Linked).xlsx]Equities!R156C46</stp>
        <tr r="AT156" s="2"/>
        <tr r="AT156" s="2"/>
        <tr r="AT156" s="2"/>
      </tp>
      <tp t="s">
        <v>Information Technology</v>
        <stp/>
        <stp>##V3_BDPV12</stp>
        <stp>INTC US Equity</stp>
        <stp>DX202</stp>
        <stp>[DPM - Securities Master List (BBG Linked).xlsx]Equities!R148C46</stp>
        <tr r="AT148" s="2"/>
        <tr r="AT148" s="2"/>
        <tr r="AT148" s="2"/>
      </tp>
      <tp t="s">
        <v>Information Technology</v>
        <stp/>
        <stp>##V3_BDPV12</stp>
        <stp>INTC US Equity</stp>
        <stp>DX202</stp>
        <stp>[DPM - Securities Master List (BBG Linked).xlsx]Equities!R147C46</stp>
        <tr r="AT147" s="2"/>
        <tr r="AT147" s="2"/>
        <tr r="AT147" s="2"/>
      </tp>
      <tp t="s">
        <v>Information Technology</v>
        <stp/>
        <stp>##V3_BDPV12</stp>
        <stp>INTC US Equity</stp>
        <stp>DX202</stp>
        <stp>[DPM - Securities Master List (BBG Linked).xlsx]Equities!R146C46</stp>
        <tr r="AT146" s="2"/>
        <tr r="AT146" s="2"/>
        <tr r="AT146" s="2"/>
      </tp>
      <tp>
        <v>13.041134160836162</v>
        <stp/>
        <stp>##V3_BDPV12</stp>
        <stp>PYPL US Equity</stp>
        <stp>RR041</stp>
        <stp>[DPM - Securities Master List (BBG Linked).xlsx]Equities!R238C33</stp>
        <tr r="AG238" s="2"/>
        <tr r="AG238" s="2"/>
        <tr r="AG238" s="2"/>
      </tp>
      <tp>
        <v>13.041134160836162</v>
        <stp/>
        <stp>##V3_BDPV12</stp>
        <stp>PYPL US Equity</stp>
        <stp>RR041</stp>
        <stp>[DPM - Securities Master List (BBG Linked).xlsx]Equities!R239C33</stp>
        <tr r="AG239" s="2"/>
        <tr r="AG239" s="2"/>
        <tr r="AG239" s="2"/>
      </tp>
      <tp>
        <v>13.041134160836162</v>
        <stp/>
        <stp>##V3_BDPV12</stp>
        <stp>PYPL US Equity</stp>
        <stp>RR041</stp>
        <stp>[DPM - Securities Master List (BBG Linked).xlsx]Equities!R237C33</stp>
        <tr r="AG237" s="2"/>
        <tr r="AG237" s="2"/>
        <tr r="AG237" s="2"/>
      </tp>
      <tp>
        <v>8.3128623339979217</v>
        <stp/>
        <stp>##V3_BDPV12</stp>
        <stp>INTC US Equity</stp>
        <stp>RR908</stp>
        <stp>[DPM - Securities Master List (BBG Linked).xlsx]Equities!R146C32</stp>
        <tr r="AF146" s="2"/>
        <tr r="AF146" s="2"/>
        <tr r="AF146" s="2"/>
      </tp>
      <tp>
        <v>8.3128623339979217</v>
        <stp/>
        <stp>##V3_BDPV12</stp>
        <stp>INTC US Equity</stp>
        <stp>RR908</stp>
        <stp>[DPM - Securities Master List (BBG Linked).xlsx]Equities!R147C32</stp>
        <tr r="AF147" s="2"/>
        <tr r="AF147" s="2"/>
        <tr r="AF147" s="2"/>
      </tp>
      <tp>
        <v>8.3128623339979217</v>
        <stp/>
        <stp>##V3_BDPV12</stp>
        <stp>INTC US Equity</stp>
        <stp>RR908</stp>
        <stp>[DPM - Securities Master List (BBG Linked).xlsx]Equities!R148C32</stp>
        <tr r="AF148" s="2"/>
        <tr r="AF148" s="2"/>
        <tr r="AF148" s="2"/>
      </tp>
      <tp>
        <v>15.557400160008482</v>
        <stp/>
        <stp>##V3_BDPV12</stp>
        <stp>META US Equity</stp>
        <stp>RR908</stp>
        <stp>[DPM - Securities Master List (BBG Linked).xlsx]Equities!R156C32</stp>
        <tr r="AF156" s="2"/>
        <tr r="AF156" s="2"/>
        <tr r="AF156" s="2"/>
      </tp>
      <tp>
        <v>60.674999999999997</v>
        <stp/>
        <stp>##V3_BDPV12</stp>
        <stp>BMRN US Equity</stp>
        <stp>PX_Last</stp>
        <stp>[DPM - Securities Master List (BBG Linked).xlsx]Equities!R69C17</stp>
        <tr r="Q69" s="2"/>
      </tp>
      <tp>
        <v>60.674999999999997</v>
        <stp/>
        <stp>##V3_BDPV12</stp>
        <stp>BMRN US Equity</stp>
        <stp>PX_Last</stp>
        <stp>[DPM - Securities Master List (BBG Linked).xlsx]Equities!R68C17</stp>
        <tr r="Q68" s="2"/>
      </tp>
      <tp>
        <v>60.674999999999997</v>
        <stp/>
        <stp>##V3_BDPV12</stp>
        <stp>BMRN US Equity</stp>
        <stp>PX_Last</stp>
        <stp>[DPM - Securities Master List (BBG Linked).xlsx]Equities!R65C17</stp>
        <tr r="Q65" s="2"/>
      </tp>
      <tp>
        <v>60.674999999999997</v>
        <stp/>
        <stp>##V3_BDPV12</stp>
        <stp>BMRN US Equity</stp>
        <stp>PX_Last</stp>
        <stp>[DPM - Securities Master List (BBG Linked).xlsx]Equities!R64C17</stp>
        <tr r="Q64" s="2"/>
      </tp>
      <tp>
        <v>60.674999999999997</v>
        <stp/>
        <stp>##V3_BDPV12</stp>
        <stp>BMRN US Equity</stp>
        <stp>PX_Last</stp>
        <stp>[DPM - Securities Master List (BBG Linked).xlsx]Equities!R67C17</stp>
        <tr r="Q67" s="2"/>
      </tp>
      <tp>
        <v>60.674999999999997</v>
        <stp/>
        <stp>##V3_BDPV12</stp>
        <stp>BMRN US Equity</stp>
        <stp>PX_Last</stp>
        <stp>[DPM - Securities Master List (BBG Linked).xlsx]Equities!R66C17</stp>
        <tr r="Q66" s="2"/>
      </tp>
      <tp>
        <v>60.674999999999997</v>
        <stp/>
        <stp>##V3_BDPV12</stp>
        <stp>BMRN US Equity</stp>
        <stp>PX_Last</stp>
        <stp>[DPM - Securities Master List (BBG Linked).xlsx]Equities!R63C17</stp>
        <tr r="Q63" s="2"/>
      </tp>
      <tp>
        <v>60.674999999999997</v>
        <stp/>
        <stp>##V3_BDPV12</stp>
        <stp>BMRN US Equity</stp>
        <stp>PX_last</stp>
        <stp>[DPM - Securities Master List (BBG Linked).xlsx]Equities!R69C17</stp>
        <tr r="Q69" s="2"/>
      </tp>
      <tp>
        <v>60.674999999999997</v>
        <stp/>
        <stp>##V3_BDPV12</stp>
        <stp>BMRN US Equity</stp>
        <stp>PX_last</stp>
        <stp>[DPM - Securities Master List (BBG Linked).xlsx]Equities!R68C17</stp>
        <tr r="Q68" s="2"/>
      </tp>
      <tp>
        <v>60.674999999999997</v>
        <stp/>
        <stp>##V3_BDPV12</stp>
        <stp>BMRN US Equity</stp>
        <stp>PX_last</stp>
        <stp>[DPM - Securities Master List (BBG Linked).xlsx]Equities!R65C17</stp>
        <tr r="Q65" s="2"/>
      </tp>
      <tp>
        <v>60.674999999999997</v>
        <stp/>
        <stp>##V3_BDPV12</stp>
        <stp>BMRN US Equity</stp>
        <stp>PX_last</stp>
        <stp>[DPM - Securities Master List (BBG Linked).xlsx]Equities!R64C17</stp>
        <tr r="Q64" s="2"/>
      </tp>
      <tp>
        <v>60.674999999999997</v>
        <stp/>
        <stp>##V3_BDPV12</stp>
        <stp>BMRN US Equity</stp>
        <stp>PX_last</stp>
        <stp>[DPM - Securities Master List (BBG Linked).xlsx]Equities!R67C17</stp>
        <tr r="Q67" s="2"/>
      </tp>
      <tp>
        <v>60.674999999999997</v>
        <stp/>
        <stp>##V3_BDPV12</stp>
        <stp>BMRN US Equity</stp>
        <stp>PX_last</stp>
        <stp>[DPM - Securities Master List (BBG Linked).xlsx]Equities!R66C17</stp>
        <tr r="Q66" s="2"/>
      </tp>
      <tp>
        <v>60.674999999999997</v>
        <stp/>
        <stp>##V3_BDPV12</stp>
        <stp>BMRN US Equity</stp>
        <stp>PX_last</stp>
        <stp>[DPM - Securities Master List (BBG Linked).xlsx]Equities!R63C17</stp>
        <tr r="Q63" s="2"/>
      </tp>
      <tp>
        <v>60.674999999999997</v>
        <stp/>
        <stp>##V3_BDPV12</stp>
        <stp>BMRN US Equity</stp>
        <stp>PX_Last</stp>
        <stp>[DPM - Securities Master List (BBG Linked).xlsx]Equities!R75C17</stp>
        <tr r="Q75" s="2"/>
      </tp>
      <tp>
        <v>60.674999999999997</v>
        <stp/>
        <stp>##V3_BDPV12</stp>
        <stp>BMRN US Equity</stp>
        <stp>PX_Last</stp>
        <stp>[DPM - Securities Master List (BBG Linked).xlsx]Equities!R74C17</stp>
        <tr r="Q74" s="2"/>
      </tp>
      <tp>
        <v>60.674999999999997</v>
        <stp/>
        <stp>##V3_BDPV12</stp>
        <stp>BMRN US Equity</stp>
        <stp>PX_Last</stp>
        <stp>[DPM - Securities Master List (BBG Linked).xlsx]Equities!R71C17</stp>
        <tr r="Q71" s="2"/>
      </tp>
      <tp>
        <v>60.674999999999997</v>
        <stp/>
        <stp>##V3_BDPV12</stp>
        <stp>BMRN US Equity</stp>
        <stp>PX_Last</stp>
        <stp>[DPM - Securities Master List (BBG Linked).xlsx]Equities!R70C17</stp>
        <tr r="Q70" s="2"/>
      </tp>
      <tp>
        <v>60.674999999999997</v>
        <stp/>
        <stp>##V3_BDPV12</stp>
        <stp>BMRN US Equity</stp>
        <stp>PX_Last</stp>
        <stp>[DPM - Securities Master List (BBG Linked).xlsx]Equities!R73C17</stp>
        <tr r="Q73" s="2"/>
      </tp>
      <tp>
        <v>60.674999999999997</v>
        <stp/>
        <stp>##V3_BDPV12</stp>
        <stp>BMRN US Equity</stp>
        <stp>PX_Last</stp>
        <stp>[DPM - Securities Master List (BBG Linked).xlsx]Equities!R72C17</stp>
        <tr r="Q72" s="2"/>
      </tp>
      <tp>
        <v>60.674999999999997</v>
        <stp/>
        <stp>##V3_BDPV12</stp>
        <stp>BMRN US Equity</stp>
        <stp>PX_last</stp>
        <stp>[DPM - Securities Master List (BBG Linked).xlsx]Equities!R75C17</stp>
        <tr r="Q75" s="2"/>
      </tp>
      <tp>
        <v>60.674999999999997</v>
        <stp/>
        <stp>##V3_BDPV12</stp>
        <stp>BMRN US Equity</stp>
        <stp>PX_last</stp>
        <stp>[DPM - Securities Master List (BBG Linked).xlsx]Equities!R74C17</stp>
        <tr r="Q74" s="2"/>
      </tp>
      <tp>
        <v>60.674999999999997</v>
        <stp/>
        <stp>##V3_BDPV12</stp>
        <stp>BMRN US Equity</stp>
        <stp>PX_last</stp>
        <stp>[DPM - Securities Master List (BBG Linked).xlsx]Equities!R71C17</stp>
        <tr r="Q71" s="2"/>
      </tp>
      <tp>
        <v>60.674999999999997</v>
        <stp/>
        <stp>##V3_BDPV12</stp>
        <stp>BMRN US Equity</stp>
        <stp>PX_last</stp>
        <stp>[DPM - Securities Master List (BBG Linked).xlsx]Equities!R70C17</stp>
        <tr r="Q70" s="2"/>
      </tp>
      <tp>
        <v>60.674999999999997</v>
        <stp/>
        <stp>##V3_BDPV12</stp>
        <stp>BMRN US Equity</stp>
        <stp>PX_last</stp>
        <stp>[DPM - Securities Master List (BBG Linked).xlsx]Equities!R73C17</stp>
        <tr r="Q73" s="2"/>
      </tp>
      <tp>
        <v>60.674999999999997</v>
        <stp/>
        <stp>##V3_BDPV12</stp>
        <stp>BMRN US Equity</stp>
        <stp>PX_last</stp>
        <stp>[DPM - Securities Master List (BBG Linked).xlsx]Equities!R72C17</stp>
        <tr r="Q72" s="2"/>
      </tp>
      <tp>
        <v>22.987103910850383</v>
        <stp/>
        <stp>##V3_BDPV12</stp>
        <stp>META US Equity</stp>
        <stp>RR900</stp>
        <stp>[DPM - Securities Master List (BBG Linked).xlsx]Equities!R156C11</stp>
        <tr r="K156" s="2"/>
        <tr r="K156" s="2"/>
        <tr r="K156" s="2"/>
      </tp>
      <tp>
        <v>0.87300343503737499</v>
        <stp/>
        <stp>##V3_BDPV12</stp>
        <stp>INTC US Equity</stp>
        <stp>RR903</stp>
        <stp>[DPM - Securities Master List (BBG Linked).xlsx]Equities!R146C13</stp>
        <tr r="M146" s="2"/>
        <tr r="M146" s="2"/>
        <tr r="M146" s="2"/>
      </tp>
      <tp>
        <v>0.87300343503737499</v>
        <stp/>
        <stp>##V3_BDPV12</stp>
        <stp>INTC US Equity</stp>
        <stp>RR903</stp>
        <stp>[DPM - Securities Master List (BBG Linked).xlsx]Equities!R147C13</stp>
        <tr r="M147" s="2"/>
        <tr r="M147" s="2"/>
        <tr r="M147" s="2"/>
      </tp>
      <tp>
        <v>0.87300343503737499</v>
        <stp/>
        <stp>##V3_BDPV12</stp>
        <stp>INTC US Equity</stp>
        <stp>RR903</stp>
        <stp>[DPM - Securities Master List (BBG Linked).xlsx]Equities!R148C13</stp>
        <tr r="M148" s="2"/>
        <tr r="M148" s="2"/>
        <tr r="M148" s="2"/>
      </tp>
      <tp t="s">
        <v>#N/A N/A</v>
        <stp/>
        <stp>##V3_BDPV12</stp>
        <stp>INTC US Equity</stp>
        <stp>RR900</stp>
        <stp>[DPM - Securities Master List (BBG Linked).xlsx]Equities!R146C11</stp>
        <tr r="K146" s="2"/>
        <tr r="K146" s="2"/>
      </tp>
      <tp t="s">
        <v>#N/A N/A</v>
        <stp/>
        <stp>##V3_BDPV12</stp>
        <stp>INTC US Equity</stp>
        <stp>RR900</stp>
        <stp>[DPM - Securities Master List (BBG Linked).xlsx]Equities!R147C11</stp>
        <tr r="K147" s="2"/>
        <tr r="K147" s="2"/>
      </tp>
      <tp t="s">
        <v>#N/A N/A</v>
        <stp/>
        <stp>##V3_BDPV12</stp>
        <stp>INTC US Equity</stp>
        <stp>RR900</stp>
        <stp>[DPM - Securities Master List (BBG Linked).xlsx]Equities!R148C11</stp>
        <tr r="K148" s="2"/>
        <tr r="K148" s="2"/>
      </tp>
      <tp>
        <v>8.0600621437900024</v>
        <stp/>
        <stp>##V3_BDPV12</stp>
        <stp>META US Equity</stp>
        <stp>RR903</stp>
        <stp>[DPM - Securities Master List (BBG Linked).xlsx]Equities!R156C13</stp>
        <tr r="M156" s="2"/>
        <tr r="M156" s="2"/>
        <tr r="M156" s="2"/>
      </tp>
      <tp t="s">
        <v>USD</v>
        <stp/>
        <stp>##V3_BDPV12</stp>
        <stp>GOOGL US Equity</stp>
        <stp>CRNCY</stp>
        <stp>[DPM - Securities Master List (BBG Linked).xlsx]Equities!R130C6</stp>
        <tr r="F130" s="2"/>
      </tp>
      <tp t="s">
        <v>USD</v>
        <stp/>
        <stp>##V3_BDPV12</stp>
        <stp>GOOGL US Equity</stp>
        <stp>CRNCY</stp>
        <stp>[DPM - Securities Master List (BBG Linked).xlsx]Equities!R140C6</stp>
        <tr r="F140" s="2"/>
      </tp>
      <tp t="s">
        <v>Information Technology</v>
        <stp/>
        <stp>##V3_BDPV12</stp>
        <stp>ADBE US Equity</stp>
        <stp>DX202</stp>
        <stp>[DPM - Securities Master List (BBG Linked).xlsx]Equities!R49C8</stp>
        <tr r="H49" s="2"/>
        <tr r="H49" s="2"/>
        <tr r="H49" s="2"/>
      </tp>
      <tp t="s">
        <v>Information Technology</v>
        <stp/>
        <stp>##V3_BDPV12</stp>
        <stp>ADBE US Equity</stp>
        <stp>DX202</stp>
        <stp>[DPM - Securities Master List (BBG Linked).xlsx]Equities!R39C8</stp>
        <tr r="H39" s="2"/>
        <tr r="H39" s="2"/>
        <tr r="H39" s="2"/>
      </tp>
      <tp t="s">
        <v>#N/A Invalid Override</v>
        <stp/>
        <stp>##V3_BDPV12</stp>
        <stp>XS2630917107 isin</stp>
        <stp>YAS_BOND_YLD</stp>
        <stp>[DPM - Securities Master List (BBG Linked).xlsx]Bonds!R162C10</stp>
        <stp>YAS_YLD_FLAG=15</stp>
        <stp>user_local_trade_date</stp>
        <stp>45783</stp>
        <stp>Yas_bond_px</stp>
        <stp>#N/A Connection</stp>
        <tr r="J162" s="1"/>
      </tp>
      <tp t="s">
        <v>#N/A Invalid Override</v>
        <stp/>
        <stp>##V3_BDPV12</stp>
        <stp>XS2384355520 isin</stp>
        <stp>YAS_BOND_YLD</stp>
        <stp>[DPM - Securities Master List (BBG Linked).xlsx]Bonds!R108C10</stp>
        <stp>YAS_YLD_FLAG=15</stp>
        <stp>user_local_trade_date</stp>
        <stp>45783</stp>
        <stp>Yas_bond_px</stp>
        <stp>#N/A Connection</stp>
        <tr r="J108" s="1"/>
      </tp>
      <tp t="s">
        <v>BP PLC</v>
        <stp/>
        <stp>##V3_BDPV12</stp>
        <stp>BP/ LN Equity</stp>
        <stp>SECURITY NAME</stp>
        <stp>[DPM - Securities Master List (BBG Linked).xlsx]Equities!R81C5</stp>
        <tr r="E81" s="2"/>
      </tp>
      <tp t="s">
        <v>AstraZeneca PLC</v>
        <stp/>
        <stp>##V3_BDPV12</stp>
        <stp>AZN LN Equity</stp>
        <stp>SECURITY NAME</stp>
        <stp>[DPM - Securities Master List (BBG Linked).xlsx]Equities!R61C5</stp>
        <tr r="E61" s="2"/>
      </tp>
      <tp t="s">
        <v>AstraZeneca PLC</v>
        <stp/>
        <stp>##V3_BDPV12</stp>
        <stp>AZN LN Equity</stp>
        <stp>SECURITY NAME</stp>
        <stp>[DPM - Securities Master List (BBG Linked).xlsx]Equities!R51C5</stp>
        <tr r="E51" s="2"/>
      </tp>
      <tp t="s">
        <v>USD</v>
        <stp/>
        <stp>##V3_BDPV12</stp>
        <stp>BMRN US Equity</stp>
        <stp>CRNCY</stp>
        <stp>[DPM - Securities Master List (BBG Linked).xlsx]Equities!R70C6</stp>
        <tr r="F70" s="2"/>
      </tp>
      <tp t="s">
        <v>American Airlines Group Inc</v>
        <stp/>
        <stp>##V3_BDPV12</stp>
        <stp>AAL US Equity</stp>
        <stp>SECURITY NAME</stp>
        <stp>[DPM - Securities Master List (BBG Linked).xlsx]Equities!R31C5</stp>
        <tr r="E31" s="2"/>
      </tp>
      <tp t="s">
        <v>USD</v>
        <stp/>
        <stp>##V3_BDPV12</stp>
        <stp>ADBE US Equity</stp>
        <stp>CRNCY</stp>
        <stp>[DPM - Securities Master List (BBG Linked).xlsx]Equities!R43C6</stp>
        <tr r="F43" s="2"/>
      </tp>
      <tp t="s">
        <v>USD</v>
        <stp/>
        <stp>##V3_BDPV12</stp>
        <stp>DELL US Equity</stp>
        <stp>CRNCY</stp>
        <stp>[DPM - Securities Master List (BBG Linked).xlsx]Equities!R96C6</stp>
        <tr r="F96" s="2"/>
      </tp>
      <tp>
        <v>20.107411868084977</v>
        <stp/>
        <stp>##V3_BDPV12</stp>
        <stp>TCEHY US Equity</stp>
        <stp>RR041</stp>
        <stp>[DPM - Securities Master List (BBG Linked).xlsx]Equities!R260C33</stp>
        <tr r="AG260" s="2"/>
        <tr r="AG260" s="2"/>
        <tr r="AG260" s="2"/>
      </tp>
      <tp>
        <v>20.107411868084977</v>
        <stp/>
        <stp>##V3_BDPV12</stp>
        <stp>TCEHY US Equity</stp>
        <stp>RR041</stp>
        <stp>[DPM - Securities Master List (BBG Linked).xlsx]Equities!R259C33</stp>
        <tr r="AG259" s="2"/>
        <tr r="AG259" s="2"/>
        <tr r="AG259" s="2"/>
      </tp>
      <tp>
        <v>-1.2195119999999999</v>
        <stp/>
        <stp>##V3_BDPV12</stp>
        <stp>ABF LN Equity</stp>
        <stp>CHG_PCT_1D</stp>
        <stp>[DPM - Securities Master List (BBG Linked).xlsx]Equities!R35C22</stp>
        <tr r="V35" s="2"/>
      </tp>
      <tp>
        <v>-11.5677</v>
        <stp/>
        <stp>##V3_BDPV12</stp>
        <stp>ABF LN Equity</stp>
        <stp>CHG_PCT_6M</stp>
        <stp>[DPM - Securities Master List (BBG Linked).xlsx]Equities!R35C42</stp>
        <tr r="AP35" s="2"/>
      </tp>
      <tp>
        <v>-9.5578380000000003</v>
        <stp/>
        <stp>##V3_BDPV12</stp>
        <stp>ABF LN Equity</stp>
        <stp>CHG_PCT_5D</stp>
        <stp>[DPM - Securities Master List (BBG Linked).xlsx]Equities!R35C23</stp>
        <tr r="W35" s="2"/>
      </tp>
      <tp>
        <v>45.051843979779413</v>
        <stp/>
        <stp>##V3_BDPV12</stp>
        <stp>NESN SW Equity</stp>
        <stp>RR041</stp>
        <stp>[DPM - Securities Master List (BBG Linked).xlsx]Equities!R193C33</stp>
        <tr r="AG193" s="2"/>
        <tr r="AG193" s="2"/>
        <tr r="AG193" s="2"/>
      </tp>
      <tp>
        <v>45.051843979779413</v>
        <stp/>
        <stp>##V3_BDPV12</stp>
        <stp>NESN SW Equity</stp>
        <stp>RR041</stp>
        <stp>[DPM - Securities Master List (BBG Linked).xlsx]Equities!R196C33</stp>
        <tr r="AG196" s="2"/>
        <tr r="AG196" s="2"/>
        <tr r="AG196" s="2"/>
      </tp>
      <tp>
        <v>45.051843979779413</v>
        <stp/>
        <stp>##V3_BDPV12</stp>
        <stp>NESN SW Equity</stp>
        <stp>RR041</stp>
        <stp>[DPM - Securities Master List (BBG Linked).xlsx]Equities!R197C33</stp>
        <tr r="AG197" s="2"/>
        <tr r="AG197" s="2"/>
        <tr r="AG197" s="2"/>
      </tp>
      <tp>
        <v>45.051843979779413</v>
        <stp/>
        <stp>##V3_BDPV12</stp>
        <stp>NESN SW Equity</stp>
        <stp>RR041</stp>
        <stp>[DPM - Securities Master List (BBG Linked).xlsx]Equities!R194C33</stp>
        <tr r="AG194" s="2"/>
        <tr r="AG194" s="2"/>
        <tr r="AG194" s="2"/>
      </tp>
      <tp>
        <v>45.051843979779413</v>
        <stp/>
        <stp>##V3_BDPV12</stp>
        <stp>NESN SW Equity</stp>
        <stp>RR041</stp>
        <stp>[DPM - Securities Master List (BBG Linked).xlsx]Equities!R195C33</stp>
        <tr r="AG195" s="2"/>
        <tr r="AG195" s="2"/>
        <tr r="AG195" s="2"/>
      </tp>
      <tp>
        <v>45.051843979779413</v>
        <stp/>
        <stp>##V3_BDPV12</stp>
        <stp>NESN SW Equity</stp>
        <stp>RR041</stp>
        <stp>[DPM - Securities Master List (BBG Linked).xlsx]Equities!R198C33</stp>
        <tr r="AG198" s="2"/>
        <tr r="AG198" s="2"/>
        <tr r="AG198" s="2"/>
      </tp>
      <tp>
        <v>45.051843979779413</v>
        <stp/>
        <stp>##V3_BDPV12</stp>
        <stp>NESN SW Equity</stp>
        <stp>RR041</stp>
        <stp>[DPM - Securities Master List (BBG Linked).xlsx]Equities!R199C33</stp>
        <tr r="AG199" s="2"/>
        <tr r="AG199" s="2"/>
        <tr r="AG199" s="2"/>
      </tp>
      <tp>
        <v>-0.42393639999999999</v>
        <stp/>
        <stp>##V3_BDPV12</stp>
        <stp>INTC US Equity</stp>
        <stp>PR079</stp>
        <stp>[DPM - Securities Master List (BBG Linked).xlsx]Equities!R148C43</stp>
        <tr r="AQ148" s="2"/>
      </tp>
      <tp>
        <v>-0.42393639999999999</v>
        <stp/>
        <stp>##V3_BDPV12</stp>
        <stp>INTC US Equity</stp>
        <stp>PR079</stp>
        <stp>[DPM - Securities Master List (BBG Linked).xlsx]Equities!R147C43</stp>
        <tr r="AQ147" s="2"/>
      </tp>
      <tp>
        <v>-0.42393639999999999</v>
        <stp/>
        <stp>##V3_BDPV12</stp>
        <stp>INTC US Equity</stp>
        <stp>PR079</stp>
        <stp>[DPM - Securities Master List (BBG Linked).xlsx]Equities!R146C43</stp>
        <tr r="AQ146" s="2"/>
      </tp>
      <tp t="s">
        <v>Y</v>
        <stp/>
        <stp>##V3_BDPV12</stp>
        <stp>GOOGL UQ Equity</stp>
        <stp>DY997</stp>
        <stp>[DPM - Securities Master List (BBG Linked).xlsx]Equities!R126C47</stp>
        <tr r="AU126" s="2"/>
        <tr r="AU126" s="2"/>
        <tr r="AU126" s="2"/>
      </tp>
      <tp>
        <v>0.9547215</v>
        <stp/>
        <stp>##V3_BDPV12</stp>
        <stp>META US Equity</stp>
        <stp>PR079</stp>
        <stp>[DPM - Securities Master List (BBG Linked).xlsx]Equities!R156C43</stp>
        <tr r="AQ156" s="2"/>
      </tp>
      <tp>
        <v>45.051843979779413</v>
        <stp/>
        <stp>##V3_BDPV12</stp>
        <stp>NESN SW Equity</stp>
        <stp>RR041</stp>
        <stp>[DPM - Securities Master List (BBG Linked).xlsx]Equities!R202C33</stp>
        <tr r="AG202" s="2"/>
        <tr r="AG202" s="2"/>
        <tr r="AG202" s="2"/>
      </tp>
      <tp>
        <v>45.051843979779413</v>
        <stp/>
        <stp>##V3_BDPV12</stp>
        <stp>NESN SW Equity</stp>
        <stp>RR041</stp>
        <stp>[DPM - Securities Master List (BBG Linked).xlsx]Equities!R203C33</stp>
        <tr r="AG203" s="2"/>
        <tr r="AG203" s="2"/>
        <tr r="AG203" s="2"/>
      </tp>
      <tp>
        <v>45.051843979779413</v>
        <stp/>
        <stp>##V3_BDPV12</stp>
        <stp>NESN SW Equity</stp>
        <stp>RR041</stp>
        <stp>[DPM - Securities Master List (BBG Linked).xlsx]Equities!R200C33</stp>
        <tr r="AG200" s="2"/>
        <tr r="AG200" s="2"/>
        <tr r="AG200" s="2"/>
      </tp>
      <tp>
        <v>45.051843979779413</v>
        <stp/>
        <stp>##V3_BDPV12</stp>
        <stp>NESN SW Equity</stp>
        <stp>RR041</stp>
        <stp>[DPM - Securities Master List (BBG Linked).xlsx]Equities!R201C33</stp>
        <tr r="AG201" s="2"/>
        <tr r="AG201" s="2"/>
        <tr r="AG201" s="2"/>
      </tp>
      <tp>
        <v>45.051843979779413</v>
        <stp/>
        <stp>##V3_BDPV12</stp>
        <stp>NESN SW Equity</stp>
        <stp>RR041</stp>
        <stp>[DPM - Securities Master List (BBG Linked).xlsx]Equities!R204C33</stp>
        <tr r="AG204" s="2"/>
        <tr r="AG204" s="2"/>
        <tr r="AG204" s="2"/>
      </tp>
      <tp>
        <v>45.051843979779413</v>
        <stp/>
        <stp>##V3_BDPV12</stp>
        <stp>NESN SW Equity</stp>
        <stp>RR041</stp>
        <stp>[DPM - Securities Master List (BBG Linked).xlsx]Equities!R205C33</stp>
        <tr r="AG205" s="2"/>
        <tr r="AG205" s="2"/>
        <tr r="AG205" s="2"/>
      </tp>
      <tp>
        <v>221948.81519021132</v>
        <stp/>
        <stp>##V3_BDPV12</stp>
        <stp>AZN LN Equity</stp>
        <stp>CRNCY_ADJ_MKT_CAP</stp>
        <stp>[DPM - Securities Master List (BBG Linked).xlsx]Equities!R58C9</stp>
        <stp>EQY_FUND_CRNCY=USD</stp>
        <tr r="I58" s="2"/>
      </tp>
      <tp>
        <v>221948.81519021132</v>
        <stp/>
        <stp>##V3_BDPV12</stp>
        <stp>AZN LN Equity</stp>
        <stp>CRNCY_ADJ_MKT_CAP</stp>
        <stp>[DPM - Securities Master List (BBG Linked).xlsx]Equities!R59C9</stp>
        <stp>EQY_FUND_CRNCY=USD</stp>
        <tr r="I59" s="2"/>
      </tp>
      <tp>
        <v>221948.81519021132</v>
        <stp/>
        <stp>##V3_BDPV12</stp>
        <stp>AZN LN Equity</stp>
        <stp>CRNCY_ADJ_MKT_CAP</stp>
        <stp>[DPM - Securities Master List (BBG Linked).xlsx]Equities!R56C9</stp>
        <stp>EQY_FUND_CRNCY=USD</stp>
        <tr r="I56" s="2"/>
      </tp>
      <tp>
        <v>221948.81519021132</v>
        <stp/>
        <stp>##V3_BDPV12</stp>
        <stp>AZN LN Equity</stp>
        <stp>CRNCY_ADJ_MKT_CAP</stp>
        <stp>[DPM - Securities Master List (BBG Linked).xlsx]Equities!R57C9</stp>
        <stp>EQY_FUND_CRNCY=USD</stp>
        <tr r="I57" s="2"/>
      </tp>
      <tp>
        <v>221948.81519021132</v>
        <stp/>
        <stp>##V3_BDPV12</stp>
        <stp>AZN LN Equity</stp>
        <stp>CRNCY_ADJ_MKT_CAP</stp>
        <stp>[DPM - Securities Master List (BBG Linked).xlsx]Equities!R54C9</stp>
        <stp>EQY_FUND_CRNCY=USD</stp>
        <tr r="I54" s="2"/>
      </tp>
      <tp>
        <v>221948.81519021132</v>
        <stp/>
        <stp>##V3_BDPV12</stp>
        <stp>AZN LN Equity</stp>
        <stp>CRNCY_ADJ_MKT_CAP</stp>
        <stp>[DPM - Securities Master List (BBG Linked).xlsx]Equities!R55C9</stp>
        <stp>EQY_FUND_CRNCY=USD</stp>
        <tr r="I55" s="2"/>
      </tp>
      <tp>
        <v>221948.81519021132</v>
        <stp/>
        <stp>##V3_BDPV12</stp>
        <stp>AZN LN Equity</stp>
        <stp>CRNCY_ADJ_MKT_CAP</stp>
        <stp>[DPM - Securities Master List (BBG Linked).xlsx]Equities!R52C9</stp>
        <stp>EQY_FUND_CRNCY=USD</stp>
        <tr r="I52" s="2"/>
      </tp>
      <tp>
        <v>221948.81519021132</v>
        <stp/>
        <stp>##V3_BDPV12</stp>
        <stp>AZN LN Equity</stp>
        <stp>CRNCY_ADJ_MKT_CAP</stp>
        <stp>[DPM - Securities Master List (BBG Linked).xlsx]Equities!R53C9</stp>
        <stp>EQY_FUND_CRNCY=USD</stp>
        <tr r="I53" s="2"/>
      </tp>
      <tp>
        <v>221948.81519021132</v>
        <stp/>
        <stp>##V3_BDPV12</stp>
        <stp>AZN LN Equity</stp>
        <stp>CRNCY_ADJ_MKT_CAP</stp>
        <stp>[DPM - Securities Master List (BBG Linked).xlsx]Equities!R51C9</stp>
        <stp>EQY_FUND_CRNCY=USD</stp>
        <tr r="I51" s="2"/>
      </tp>
      <tp t="s">
        <v>USD</v>
        <stp/>
        <stp>##V3_BDPV12</stp>
        <stp>GOOGL US Equity</stp>
        <stp>CRNCY</stp>
        <stp>[DPM - Securities Master List (BBG Linked).xlsx]Equities!R131C6</stp>
        <tr r="F131" s="2"/>
      </tp>
      <tp t="s">
        <v>USD</v>
        <stp/>
        <stp>##V3_BDPV12</stp>
        <stp>GOOGL US Equity</stp>
        <stp>CRNCY</stp>
        <stp>[DPM - Securities Master List (BBG Linked).xlsx]Equities!R141C6</stp>
        <tr r="F141" s="2"/>
      </tp>
      <tp t="s">
        <v>Information Technology</v>
        <stp/>
        <stp>##V3_BDPV12</stp>
        <stp>ADBE US Equity</stp>
        <stp>DX202</stp>
        <stp>[DPM - Securities Master List (BBG Linked).xlsx]Equities!R48C8</stp>
        <tr r="H48" s="2"/>
        <tr r="H48" s="2"/>
        <tr r="H48" s="2"/>
      </tp>
      <tp t="s">
        <v>Information Technology</v>
        <stp/>
        <stp>##V3_BDPV12</stp>
        <stp>ADBE US Equity</stp>
        <stp>DX202</stp>
        <stp>[DPM - Securities Master List (BBG Linked).xlsx]Equities!R38C8</stp>
        <tr r="H38" s="2"/>
        <tr r="H38" s="2"/>
        <tr r="H38" s="2"/>
      </tp>
      <tp t="s">
        <v>#N/A Invalid Field</v>
        <stp/>
        <stp>##V3_BDPV12</stp>
        <stp>ON US Equity</stp>
        <stp/>
        <stp>[DPM - Securities Master List (BBG Linked).xlsx]Equities!R226C29</stp>
        <tr r="AC226" s="2"/>
        <tr r="AC226" s="2"/>
      </tp>
      <tp>
        <v>13.99431</v>
        <stp/>
        <stp>##V3_BDPV12</stp>
        <stp>VOW3 GY Equity</stp>
        <stp>CHG_PCT_6M</stp>
        <stp>[DPM - Securities Master List (BBG Linked).xlsx]Equities!R289C42</stp>
        <tr r="AP289" s="2"/>
      </tp>
      <tp>
        <v>13.99431</v>
        <stp/>
        <stp>##V3_BDPV12</stp>
        <stp>VOW3 GY Equity</stp>
        <stp>CHG_PCT_6M</stp>
        <stp>[DPM - Securities Master List (BBG Linked).xlsx]Equities!R291C42</stp>
        <tr r="AP291" s="2"/>
      </tp>
      <tp>
        <v>13.99431</v>
        <stp/>
        <stp>##V3_BDPV12</stp>
        <stp>VOW3 GY Equity</stp>
        <stp>CHG_PCT_6M</stp>
        <stp>[DPM - Securities Master List (BBG Linked).xlsx]Equities!R290C42</stp>
        <tr r="AP290" s="2"/>
      </tp>
      <tp>
        <v>13.99431</v>
        <stp/>
        <stp>##V3_BDPV12</stp>
        <stp>VOW3 GY Equity</stp>
        <stp>CHG_PCT_6M</stp>
        <stp>[DPM - Securities Master List (BBG Linked).xlsx]Equities!R293C42</stp>
        <tr r="AP293" s="2"/>
      </tp>
      <tp>
        <v>13.99431</v>
        <stp/>
        <stp>##V3_BDPV12</stp>
        <stp>VOW3 GY Equity</stp>
        <stp>CHG_PCT_6M</stp>
        <stp>[DPM - Securities Master List (BBG Linked).xlsx]Equities!R292C42</stp>
        <tr r="AP292" s="2"/>
      </tp>
      <tp>
        <v>33176.022546812506</v>
        <stp/>
        <stp>##V3_BDPV12</stp>
        <stp>2020 HK Equity</stp>
        <stp>CRNCY_ADJ_MKT_CAP</stp>
        <stp>[DPM - Securities Master List (BBG Linked).xlsx]Equities!R6C9</stp>
        <stp>EQY_FUND_CRNCY=USD</stp>
        <tr r="I6" s="2"/>
      </tp>
      <tp>
        <v>33176.022546812506</v>
        <stp/>
        <stp>##V3_BDPV12</stp>
        <stp>2020 HK Equity</stp>
        <stp>CRNCY_ADJ_MKT_CAP</stp>
        <stp>[DPM - Securities Master List (BBG Linked).xlsx]Equities!R5C9</stp>
        <stp>EQY_FUND_CRNCY=USD</stp>
        <tr r="I5" s="2"/>
      </tp>
      <tp>
        <v>33176.022546812506</v>
        <stp/>
        <stp>##V3_BDPV12</stp>
        <stp>2020 HK Equity</stp>
        <stp>CRNCY_ADJ_MKT_CAP</stp>
        <stp>[DPM - Securities Master List (BBG Linked).xlsx]Equities!R4C9</stp>
        <stp>EQY_FUND_CRNCY=USD</stp>
        <tr r="I4" s="2"/>
      </tp>
      <tp>
        <v>33176.022546812506</v>
        <stp/>
        <stp>##V3_BDPV12</stp>
        <stp>2020 HK Equity</stp>
        <stp>CRNCY_ADJ_MKT_CAP</stp>
        <stp>[DPM - Securities Master List (BBG Linked).xlsx]Equities!R3C9</stp>
        <stp>EQY_FUND_CRNCY=USD</stp>
        <tr r="I3" s="2"/>
      </tp>
      <tp>
        <v>7.1722910000000004</v>
        <stp/>
        <stp>##V3_BDPV12</stp>
        <stp>XS2911679004 isin</stp>
        <stp>YAS_BOND_YLD</stp>
        <stp>[DPM - Securities Master List (BBG Linked).xlsx]Bonds!R111C10</stp>
        <stp>YAS_YLD_FLAG=15</stp>
        <stp>user_local_trade_date</stp>
        <stp>45783</stp>
        <stp>Yas_bond_px</stp>
        <stp>99.109999999999999</stp>
        <tr r="J111" s="1"/>
      </tp>
      <tp>
        <v>1</v>
        <stp/>
        <stp>##V3_BDPV12</stp>
        <stp>NSRGY US Equity</stp>
        <stp>TOT_BUY_REC</stp>
        <stp>[DPM - Securities Master List (BBG Linked).xlsx]Equities!R223C34</stp>
        <tr r="AH223" s="2"/>
      </tp>
      <tp t="s">
        <v>BP PLC</v>
        <stp/>
        <stp>##V3_BDPV12</stp>
        <stp>BP/ LN Equity</stp>
        <stp>SECURITY NAME</stp>
        <stp>[DPM - Securities Master List (BBG Linked).xlsx]Equities!R80C5</stp>
        <tr r="E80" s="2"/>
      </tp>
      <tp t="s">
        <v>BP PLC</v>
        <stp/>
        <stp>##V3_BDPV12</stp>
        <stp>BP/ LN Equity</stp>
        <stp>SECURITY NAME</stp>
        <stp>[DPM - Securities Master List (BBG Linked).xlsx]Equities!R90C5</stp>
        <tr r="E90" s="2"/>
      </tp>
      <tp t="s">
        <v>AstraZeneca PLC</v>
        <stp/>
        <stp>##V3_BDPV12</stp>
        <stp>AZN LN Equity</stp>
        <stp>SECURITY NAME</stp>
        <stp>[DPM - Securities Master List (BBG Linked).xlsx]Equities!R60C5</stp>
        <tr r="E60" s="2"/>
      </tp>
      <tp t="s">
        <v>USD</v>
        <stp/>
        <stp>##V3_BDPV12</stp>
        <stp>BMRN US Equity</stp>
        <stp>CRNCY</stp>
        <stp>[DPM - Securities Master List (BBG Linked).xlsx]Equities!R71C6</stp>
        <tr r="F71" s="2"/>
      </tp>
      <tp t="s">
        <v>American Airlines Group Inc</v>
        <stp/>
        <stp>##V3_BDPV12</stp>
        <stp>AAL US Equity</stp>
        <stp>SECURITY NAME</stp>
        <stp>[DPM - Securities Master List (BBG Linked).xlsx]Equities!R30C5</stp>
        <tr r="E30" s="2"/>
      </tp>
      <tp t="s">
        <v>USD</v>
        <stp/>
        <stp>##V3_BDPV12</stp>
        <stp>ADBE US Equity</stp>
        <stp>CRNCY</stp>
        <stp>[DPM - Securities Master List (BBG Linked).xlsx]Equities!R42C6</stp>
        <tr r="F42" s="2"/>
      </tp>
      <tp t="s">
        <v>USD</v>
        <stp/>
        <stp>##V3_BDPV12</stp>
        <stp>DELL US Equity</stp>
        <stp>CRNCY</stp>
        <stp>[DPM - Securities Master List (BBG Linked).xlsx]Equities!R97C6</stp>
        <tr r="F97" s="2"/>
      </tp>
      <tp t="s">
        <v>#N/A Field Not Applicable</v>
        <stp/>
        <stp>##V3_BDPV12</stp>
        <stp>TCEHY US Equity</stp>
        <stp>RR957</stp>
        <stp>[DPM - Securities Master List (BBG Linked).xlsx]Equities!R259C14</stp>
        <tr r="N259" s="2"/>
        <tr r="N259" s="2"/>
      </tp>
      <tp t="s">
        <v>#N/A Field Not Applicable</v>
        <stp/>
        <stp>##V3_BDPV12</stp>
        <stp>TCEHY US Equity</stp>
        <stp>RR957</stp>
        <stp>[DPM - Securities Master List (BBG Linked).xlsx]Equities!R260C14</stp>
        <tr r="N260" s="2"/>
        <tr r="N260" s="2"/>
      </tp>
      <tp t="s">
        <v>Equity</v>
        <stp/>
        <stp>##V3_BDPV12</stp>
        <stp>PYPL US Equity</stp>
        <stp>EX028</stp>
        <stp>[DPM - Securities Master List (BBG Linked).xlsx]Equities!R238C30</stp>
        <tr r="AD238" s="2"/>
        <tr r="AD238" s="2"/>
        <tr r="AD238" s="2"/>
      </tp>
      <tp t="s">
        <v>Equity</v>
        <stp/>
        <stp>##V3_BDPV12</stp>
        <stp>PYPL US Equity</stp>
        <stp>EX028</stp>
        <stp>[DPM - Securities Master List (BBG Linked).xlsx]Equities!R239C30</stp>
        <tr r="AD239" s="2"/>
        <tr r="AD239" s="2"/>
        <tr r="AD239" s="2"/>
      </tp>
      <tp t="s">
        <v>Equity</v>
        <stp/>
        <stp>##V3_BDPV12</stp>
        <stp>PYPL US Equity</stp>
        <stp>EX028</stp>
        <stp>[DPM - Securities Master List (BBG Linked).xlsx]Equities!R237C30</stp>
        <tr r="AD237" s="2"/>
        <tr r="AD237" s="2"/>
        <tr r="AD237" s="2"/>
      </tp>
      <tp t="s">
        <v>#N/A N/A</v>
        <stp/>
        <stp>##V3_BDPV12</stp>
        <stp>GOOGL UQ Equity</stp>
        <stp>DY784</stp>
        <stp>[DPM - Securities Master List (BBG Linked).xlsx]Equities!R126C48</stp>
        <tr r="AV126" s="2"/>
        <tr r="AV126" s="2"/>
      </tp>
      <tp>
        <v>15.438197683819512</v>
        <stp/>
        <stp>##V3_BDPV12</stp>
        <stp>NESN SW Equity</stp>
        <stp>RR957</stp>
        <stp>[DPM - Securities Master List (BBG Linked).xlsx]Equities!R199C14</stp>
        <tr r="N199" s="2"/>
        <tr r="N199" s="2"/>
        <tr r="N199" s="2"/>
      </tp>
      <tp>
        <v>15.438197683819512</v>
        <stp/>
        <stp>##V3_BDPV12</stp>
        <stp>NESN SW Equity</stp>
        <stp>RR957</stp>
        <stp>[DPM - Securities Master List (BBG Linked).xlsx]Equities!R198C14</stp>
        <tr r="N198" s="2"/>
        <tr r="N198" s="2"/>
        <tr r="N198" s="2"/>
      </tp>
      <tp>
        <v>15.438197683819512</v>
        <stp/>
        <stp>##V3_BDPV12</stp>
        <stp>NESN SW Equity</stp>
        <stp>RR957</stp>
        <stp>[DPM - Securities Master List (BBG Linked).xlsx]Equities!R193C14</stp>
        <tr r="N193" s="2"/>
        <tr r="N193" s="2"/>
        <tr r="N193" s="2"/>
      </tp>
      <tp>
        <v>15.438197683819512</v>
        <stp/>
        <stp>##V3_BDPV12</stp>
        <stp>NESN SW Equity</stp>
        <stp>RR957</stp>
        <stp>[DPM - Securities Master List (BBG Linked).xlsx]Equities!R197C14</stp>
        <tr r="N197" s="2"/>
        <tr r="N197" s="2"/>
        <tr r="N197" s="2"/>
      </tp>
      <tp>
        <v>15.438197683819512</v>
        <stp/>
        <stp>##V3_BDPV12</stp>
        <stp>NESN SW Equity</stp>
        <stp>RR957</stp>
        <stp>[DPM - Securities Master List (BBG Linked).xlsx]Equities!R196C14</stp>
        <tr r="N196" s="2"/>
        <tr r="N196" s="2"/>
        <tr r="N196" s="2"/>
      </tp>
      <tp>
        <v>15.438197683819512</v>
        <stp/>
        <stp>##V3_BDPV12</stp>
        <stp>NESN SW Equity</stp>
        <stp>RR957</stp>
        <stp>[DPM - Securities Master List (BBG Linked).xlsx]Equities!R195C14</stp>
        <tr r="N195" s="2"/>
        <tr r="N195" s="2"/>
        <tr r="N195" s="2"/>
      </tp>
      <tp>
        <v>15.438197683819512</v>
        <stp/>
        <stp>##V3_BDPV12</stp>
        <stp>NESN SW Equity</stp>
        <stp>RR957</stp>
        <stp>[DPM - Securities Master List (BBG Linked).xlsx]Equities!R194C14</stp>
        <tr r="N194" s="2"/>
        <tr r="N194" s="2"/>
        <tr r="N194" s="2"/>
      </tp>
      <tp>
        <v>15.438197683819512</v>
        <stp/>
        <stp>##V3_BDPV12</stp>
        <stp>NESN SW Equity</stp>
        <stp>RR957</stp>
        <stp>[DPM - Securities Master List (BBG Linked).xlsx]Equities!R203C14</stp>
        <tr r="N203" s="2"/>
        <tr r="N203" s="2"/>
        <tr r="N203" s="2"/>
      </tp>
      <tp>
        <v>15.438197683819512</v>
        <stp/>
        <stp>##V3_BDPV12</stp>
        <stp>NESN SW Equity</stp>
        <stp>RR957</stp>
        <stp>[DPM - Securities Master List (BBG Linked).xlsx]Equities!R202C14</stp>
        <tr r="N202" s="2"/>
        <tr r="N202" s="2"/>
        <tr r="N202" s="2"/>
      </tp>
      <tp>
        <v>15.438197683819512</v>
        <stp/>
        <stp>##V3_BDPV12</stp>
        <stp>NESN SW Equity</stp>
        <stp>RR957</stp>
        <stp>[DPM - Securities Master List (BBG Linked).xlsx]Equities!R201C14</stp>
        <tr r="N201" s="2"/>
        <tr r="N201" s="2"/>
        <tr r="N201" s="2"/>
      </tp>
      <tp>
        <v>15.438197683819512</v>
        <stp/>
        <stp>##V3_BDPV12</stp>
        <stp>NESN SW Equity</stp>
        <stp>RR957</stp>
        <stp>[DPM - Securities Master List (BBG Linked).xlsx]Equities!R200C14</stp>
        <tr r="N200" s="2"/>
        <tr r="N200" s="2"/>
        <tr r="N200" s="2"/>
      </tp>
      <tp>
        <v>15.438197683819512</v>
        <stp/>
        <stp>##V3_BDPV12</stp>
        <stp>NESN SW Equity</stp>
        <stp>RR957</stp>
        <stp>[DPM - Securities Master List (BBG Linked).xlsx]Equities!R205C14</stp>
        <tr r="N205" s="2"/>
        <tr r="N205" s="2"/>
        <tr r="N205" s="2"/>
      </tp>
      <tp>
        <v>15.438197683819512</v>
        <stp/>
        <stp>##V3_BDPV12</stp>
        <stp>NESN SW Equity</stp>
        <stp>RR957</stp>
        <stp>[DPM - Securities Master List (BBG Linked).xlsx]Equities!R204C14</stp>
        <tr r="N204" s="2"/>
        <tr r="N204" s="2"/>
        <tr r="N204" s="2"/>
      </tp>
      <tp>
        <v>0.57934319999999995</v>
        <stp/>
        <stp>##V3_BDPV12</stp>
        <stp>INTC US Equity</stp>
        <stp>PR061</stp>
        <stp>[DPM - Securities Master List (BBG Linked).xlsx]Equities!R148C40</stp>
        <tr r="AN148" s="2"/>
      </tp>
      <tp>
        <v>0.57934319999999995</v>
        <stp/>
        <stp>##V3_BDPV12</stp>
        <stp>INTC US Equity</stp>
        <stp>PR061</stp>
        <stp>[DPM - Securities Master List (BBG Linked).xlsx]Equities!R147C40</stp>
        <tr r="AN147" s="2"/>
      </tp>
      <tp>
        <v>0.57934319999999995</v>
        <stp/>
        <stp>##V3_BDPV12</stp>
        <stp>INTC US Equity</stp>
        <stp>PR061</stp>
        <stp>[DPM - Securities Master List (BBG Linked).xlsx]Equities!R146C40</stp>
        <tr r="AN146" s="2"/>
      </tp>
      <tp>
        <v>17.112120000000001</v>
        <stp/>
        <stp>##V3_BDPV12</stp>
        <stp>META US Equity</stp>
        <stp>PR061</stp>
        <stp>[DPM - Securities Master List (BBG Linked).xlsx]Equities!R156C40</stp>
        <tr r="AN156" s="2"/>
      </tp>
      <tp>
        <v>3.01858</v>
        <stp/>
        <stp>##V3_BDPV12</stp>
        <stp>INTC US Equity</stp>
        <stp>PR064</stp>
        <stp>[DPM - Securities Master List (BBG Linked).xlsx]Equities!R148C41</stp>
        <tr r="AO148" s="2"/>
      </tp>
      <tp>
        <v>3.01858</v>
        <stp/>
        <stp>##V3_BDPV12</stp>
        <stp>INTC US Equity</stp>
        <stp>PR064</stp>
        <stp>[DPM - Securities Master List (BBG Linked).xlsx]Equities!R147C41</stp>
        <tr r="AO147" s="2"/>
      </tp>
      <tp>
        <v>3.01858</v>
        <stp/>
        <stp>##V3_BDPV12</stp>
        <stp>INTC US Equity</stp>
        <stp>PR064</stp>
        <stp>[DPM - Securities Master List (BBG Linked).xlsx]Equities!R146C41</stp>
        <tr r="AO146" s="2"/>
      </tp>
      <tp>
        <v>-16.97917</v>
        <stp/>
        <stp>##V3_BDPV12</stp>
        <stp>META US Equity</stp>
        <stp>PR064</stp>
        <stp>[DPM - Securities Master List (BBG Linked).xlsx]Equities!R156C41</stp>
        <tr r="AO156" s="2"/>
      </tp>
      <tp t="s">
        <v>USD</v>
        <stp/>
        <stp>##V3_BDPV12</stp>
        <stp>GOOGL US Equity</stp>
        <stp>CRNCY</stp>
        <stp>[DPM - Securities Master List (BBG Linked).xlsx]Equities!R132C6</stp>
        <tr r="F132" s="2"/>
      </tp>
      <tp t="s">
        <v>Health Care</v>
        <stp/>
        <stp>##V3_BDPV12</stp>
        <stp>BMRN US Equity</stp>
        <stp>DX202</stp>
        <stp>[DPM - Securities Master List (BBG Linked).xlsx]Equities!R68C8</stp>
        <tr r="H68" s="2"/>
        <tr r="H68" s="2"/>
        <tr r="H68" s="2"/>
      </tp>
      <tp>
        <v>12.977426984165488</v>
        <stp/>
        <stp>##V3_BDPV12</stp>
        <stp>3690 HK Equity</stp>
        <stp>RR908</stp>
        <stp>[DPM - Securities Master List (BBG Linked).xlsx]Equities!R7C32</stp>
        <tr r="AF7" s="2"/>
        <tr r="AF7" s="2"/>
        <tr r="AF7" s="2"/>
      </tp>
      <tp>
        <v>12.977426984165488</v>
        <stp/>
        <stp>##V3_BDPV12</stp>
        <stp>3690 HK Equity</stp>
        <stp>RR908</stp>
        <stp>[DPM - Securities Master List (BBG Linked).xlsx]Equities!R9C32</stp>
        <tr r="AF9" s="2"/>
        <tr r="AF9" s="2"/>
        <tr r="AF9" s="2"/>
      </tp>
      <tp>
        <v>12.977426984165488</v>
        <stp/>
        <stp>##V3_BDPV12</stp>
        <stp>3690 HK Equity</stp>
        <stp>RR908</stp>
        <stp>[DPM - Securities Master List (BBG Linked).xlsx]Equities!R8C32</stp>
        <tr r="AF8" s="2"/>
        <tr r="AF8" s="2"/>
        <tr r="AF8" s="2"/>
      </tp>
      <tp>
        <v>14.981599686066341</v>
        <stp/>
        <stp>##V3_BDPV12</stp>
        <stp>3690 HK Equity</stp>
        <stp>RR957</stp>
        <stp>[DPM - Securities Master List (BBG Linked).xlsx]Equities!R8C14</stp>
        <tr r="N8" s="2"/>
        <tr r="N8" s="2"/>
        <tr r="N8" s="2"/>
      </tp>
      <tp>
        <v>14.981599686066341</v>
        <stp/>
        <stp>##V3_BDPV12</stp>
        <stp>3690 HK Equity</stp>
        <stp>RR957</stp>
        <stp>[DPM - Securities Master List (BBG Linked).xlsx]Equities!R9C14</stp>
        <tr r="N9" s="2"/>
        <tr r="N9" s="2"/>
        <tr r="N9" s="2"/>
      </tp>
      <tp>
        <v>22.090172932439877</v>
        <stp/>
        <stp>##V3_BDPV12</stp>
        <stp>3690 HK Equity</stp>
        <stp>RR900</stp>
        <stp>[DPM - Securities Master List (BBG Linked).xlsx]Equities!R9C11</stp>
        <tr r="K9" s="2"/>
        <tr r="K9" s="2"/>
        <tr r="K9" s="2"/>
      </tp>
      <tp>
        <v>22.090172932439877</v>
        <stp/>
        <stp>##V3_BDPV12</stp>
        <stp>3690 HK Equity</stp>
        <stp>RR900</stp>
        <stp>[DPM - Securities Master List (BBG Linked).xlsx]Equities!R8C11</stp>
        <tr r="K8" s="2"/>
        <tr r="K8" s="2"/>
        <tr r="K8" s="2"/>
      </tp>
      <tp>
        <v>22.090172932439877</v>
        <stp/>
        <stp>##V3_BDPV12</stp>
        <stp>3690 HK Equity</stp>
        <stp>RR900</stp>
        <stp>[DPM - Securities Master List (BBG Linked).xlsx]Equities!R7C11</stp>
        <tr r="K7" s="2"/>
        <tr r="K7" s="2"/>
        <tr r="K7" s="2"/>
      </tp>
      <tp>
        <v>14.981599686066341</v>
        <stp/>
        <stp>##V3_BDPV12</stp>
        <stp>3690 HK Equity</stp>
        <stp>RR957</stp>
        <stp>[DPM - Securities Master List (BBG Linked).xlsx]Equities!R7C14</stp>
        <tr r="N7" s="2"/>
        <tr r="N7" s="2"/>
        <tr r="N7" s="2"/>
      </tp>
      <tp>
        <v>4.5159129994211069</v>
        <stp/>
        <stp>##V3_BDPV12</stp>
        <stp>3690 HK Equity</stp>
        <stp>RR903</stp>
        <stp>[DPM - Securities Master List (BBG Linked).xlsx]Equities!R8C13</stp>
        <tr r="M8" s="2"/>
        <tr r="M8" s="2"/>
        <tr r="M8" s="2"/>
      </tp>
      <tp>
        <v>4.5159129994211069</v>
        <stp/>
        <stp>##V3_BDPV12</stp>
        <stp>3690 HK Equity</stp>
        <stp>RR903</stp>
        <stp>[DPM - Securities Master List (BBG Linked).xlsx]Equities!R9C13</stp>
        <tr r="M9" s="2"/>
        <tr r="M9" s="2"/>
        <tr r="M9" s="2"/>
      </tp>
      <tp>
        <v>4.5159129994211069</v>
        <stp/>
        <stp>##V3_BDPV12</stp>
        <stp>3690 HK Equity</stp>
        <stp>RR903</stp>
        <stp>[DPM - Securities Master List (BBG Linked).xlsx]Equities!R7C13</stp>
        <tr r="M7" s="2"/>
        <tr r="M7" s="2"/>
        <tr r="M7" s="2"/>
      </tp>
      <tp t="s">
        <v>#N/A Invalid Override</v>
        <stp/>
        <stp>##V3_BDPV12</stp>
        <stp>XS2356571559 isin</stp>
        <stp>YAS_BOND_YLD</stp>
        <stp>[DPM - Securities Master List (BBG Linked).xlsx]Bonds!R158C10</stp>
        <stp>YAS_YLD_FLAG=15</stp>
        <stp>user_local_trade_date</stp>
        <stp>45783</stp>
        <stp>Yas_bond_px</stp>
        <stp>#N/A Connection</stp>
        <tr r="J158" s="1"/>
      </tp>
      <tp>
        <v>18.963661031844321</v>
        <stp/>
        <stp>##V3_BDPV12</stp>
        <stp>3690 HK Equity</stp>
        <stp>RR041</stp>
        <stp>[DPM - Securities Master List (BBG Linked).xlsx]Equities!R8C33</stp>
        <tr r="AG8" s="2"/>
        <tr r="AG8" s="2"/>
        <tr r="AG8" s="2"/>
      </tp>
      <tp>
        <v>18.963661031844321</v>
        <stp/>
        <stp>##V3_BDPV12</stp>
        <stp>3690 HK Equity</stp>
        <stp>RR041</stp>
        <stp>[DPM - Securities Master List (BBG Linked).xlsx]Equities!R9C33</stp>
        <tr r="AG9" s="2"/>
        <tr r="AG9" s="2"/>
        <tr r="AG9" s="2"/>
      </tp>
      <tp>
        <v>18.963661031844321</v>
        <stp/>
        <stp>##V3_BDPV12</stp>
        <stp>3690 HK Equity</stp>
        <stp>RR041</stp>
        <stp>[DPM - Securities Master List (BBG Linked).xlsx]Equities!R7C33</stp>
        <tr r="AG7" s="2"/>
        <tr r="AG7" s="2"/>
        <tr r="AG7" s="2"/>
      </tp>
      <tp>
        <v>-8.7013820000000006</v>
        <stp/>
        <stp>##V3_BDPV12</stp>
        <stp>3690 HK Equity</stp>
        <stp>PR079</stp>
        <stp>[DPM - Securities Master List (BBG Linked).xlsx]Equities!R7C43</stp>
        <tr r="AQ7" s="2"/>
      </tp>
      <tp>
        <v>-8.7013820000000006</v>
        <stp/>
        <stp>##V3_BDPV12</stp>
        <stp>3690 HK Equity</stp>
        <stp>PR079</stp>
        <stp>[DPM - Securities Master List (BBG Linked).xlsx]Equities!R8C43</stp>
        <tr r="AQ8" s="2"/>
      </tp>
      <tp>
        <v>-8.7013820000000006</v>
        <stp/>
        <stp>##V3_BDPV12</stp>
        <stp>3690 HK Equity</stp>
        <stp>PR079</stp>
        <stp>[DPM - Securities Master List (BBG Linked).xlsx]Equities!R9C43</stp>
        <tr r="AQ9" s="2"/>
      </tp>
      <tp>
        <v>-7.7281849999999999</v>
        <stp/>
        <stp>##V3_BDPV12</stp>
        <stp>3690 HK Equity</stp>
        <stp>PR064</stp>
        <stp>[DPM - Securities Master List (BBG Linked).xlsx]Equities!R9C41</stp>
        <tr r="AO9" s="2"/>
      </tp>
      <tp>
        <v>-7.7281849999999999</v>
        <stp/>
        <stp>##V3_BDPV12</stp>
        <stp>3690 HK Equity</stp>
        <stp>PR064</stp>
        <stp>[DPM - Securities Master List (BBG Linked).xlsx]Equities!R8C41</stp>
        <tr r="AO8" s="2"/>
      </tp>
      <tp>
        <v>-7.7281849999999999</v>
        <stp/>
        <stp>##V3_BDPV12</stp>
        <stp>3690 HK Equity</stp>
        <stp>PR064</stp>
        <stp>[DPM - Securities Master List (BBG Linked).xlsx]Equities!R7C41</stp>
        <tr r="AO7" s="2"/>
      </tp>
      <tp>
        <v>-12.286250000000001</v>
        <stp/>
        <stp>##V3_BDPV12</stp>
        <stp>3690 HK Equity</stp>
        <stp>PR061</stp>
        <stp>[DPM - Securities Master List (BBG Linked).xlsx]Equities!R8C40</stp>
        <tr r="AN8" s="2"/>
      </tp>
      <tp>
        <v>-12.286250000000001</v>
        <stp/>
        <stp>##V3_BDPV12</stp>
        <stp>3690 HK Equity</stp>
        <stp>PR061</stp>
        <stp>[DPM - Securities Master List (BBG Linked).xlsx]Equities!R9C40</stp>
        <tr r="AN9" s="2"/>
      </tp>
      <tp>
        <v>-12.286250000000001</v>
        <stp/>
        <stp>##V3_BDPV12</stp>
        <stp>3690 HK Equity</stp>
        <stp>PR061</stp>
        <stp>[DPM - Securities Master List (BBG Linked).xlsx]Equities!R7C40</stp>
        <tr r="AN7" s="2"/>
      </tp>
      <tp t="s">
        <v>#N/A Invalid Override</v>
        <stp/>
        <stp>##V3_BDPV12</stp>
        <stp>XS2063540038 isin</stp>
        <stp>YAS_BOND_YLD</stp>
        <stp>[DPM - Securities Master List (BBG Linked).xlsx]Bonds!R140C10</stp>
        <stp>YAS_YLD_FLAG=15</stp>
        <stp>user_local_trade_date</stp>
        <stp>45783</stp>
        <stp>Yas_bond_px</stp>
        <stp>#N/A Connection</stp>
        <tr r="J140" s="1"/>
      </tp>
      <tp t="s">
        <v>#N/A Invalid Override</v>
        <stp/>
        <stp>##V3_BDPV12</stp>
        <stp>XS2063540038 isin</stp>
        <stp>YAS_BOND_YLD</stp>
        <stp>[DPM - Securities Master List (BBG Linked).xlsx]Bonds!R128C10</stp>
        <stp>YAS_YLD_FLAG=15</stp>
        <stp>user_local_trade_date</stp>
        <stp>45783</stp>
        <stp>Yas_bond_px</stp>
        <stp>#N/A Connection</stp>
        <tr r="J128" s="1"/>
      </tp>
      <tp>
        <v>5.3819249999999998</v>
        <stp/>
        <stp>##V3_BDPV12</stp>
        <stp>XS2348422424 isin</stp>
        <stp>YAS_BOND_YLD</stp>
        <stp>[DPM - Securities Master List (BBG Linked).xlsx]Bonds!R104C10</stp>
        <stp>YAS_YLD_FLAG=15</stp>
        <stp>user_local_trade_date</stp>
        <stp>45783</stp>
        <stp>Yas_bond_px</stp>
        <stp>97.081000000000003</stp>
        <tr r="J104" s="1"/>
      </tp>
      <tp>
        <v>7.1722910000000004</v>
        <stp/>
        <stp>##V3_BDPV12</stp>
        <stp>XS2911679004 isin</stp>
        <stp>YAS_BOND_YLD</stp>
        <stp>[DPM - Securities Master List (BBG Linked).xlsx]Bonds!R152C10</stp>
        <stp>YAS_YLD_FLAG=15</stp>
        <stp>user_local_trade_date</stp>
        <stp>45783</stp>
        <stp>Yas_bond_px</stp>
        <stp>99.109999999999999</stp>
        <tr r="J152" s="1"/>
      </tp>
      <tp>
        <v>6.1060730000000003</v>
        <stp/>
        <stp>##V3_BDPV12</stp>
        <stp>XS2342243875 isin</stp>
        <stp>YAS_BOND_YLD</stp>
        <stp>[DPM - Securities Master List (BBG Linked).xlsx]Bonds!R103C10</stp>
        <stp>YAS_YLD_FLAG=15</stp>
        <stp>user_local_trade_date</stp>
        <stp>45783</stp>
        <stp>Yas_bond_px</stp>
        <stp>96.626000000000005</stp>
        <tr r="J103" s="1"/>
      </tp>
      <tp t="s">
        <v>BP PLC</v>
        <stp/>
        <stp>##V3_BDPV12</stp>
        <stp>BP/ LN Equity</stp>
        <stp>SECURITY NAME</stp>
        <stp>[DPM - Securities Master List (BBG Linked).xlsx]Equities!R83C5</stp>
        <tr r="E83" s="2"/>
      </tp>
      <tp>
        <v>-2.3369230000000001</v>
        <stp/>
        <stp>##V3_BDPV12</stp>
        <stp>VOW3 GY Equity</stp>
        <stp>CHG_PCT_5D</stp>
        <stp>[DPM - Securities Master List (BBG Linked).xlsx]Equities!R291C23</stp>
        <tr r="W291" s="2"/>
      </tp>
      <tp>
        <v>-2.3369230000000001</v>
        <stp/>
        <stp>##V3_BDPV12</stp>
        <stp>VOW3 GY Equity</stp>
        <stp>CHG_PCT_5D</stp>
        <stp>[DPM - Securities Master List (BBG Linked).xlsx]Equities!R290C23</stp>
        <tr r="W290" s="2"/>
      </tp>
      <tp>
        <v>-2.3369230000000001</v>
        <stp/>
        <stp>##V3_BDPV12</stp>
        <stp>VOW3 GY Equity</stp>
        <stp>CHG_PCT_5D</stp>
        <stp>[DPM - Securities Master List (BBG Linked).xlsx]Equities!R293C23</stp>
        <tr r="W293" s="2"/>
      </tp>
      <tp>
        <v>-2.3369230000000001</v>
        <stp/>
        <stp>##V3_BDPV12</stp>
        <stp>VOW3 GY Equity</stp>
        <stp>CHG_PCT_5D</stp>
        <stp>[DPM - Securities Master List (BBG Linked).xlsx]Equities!R292C23</stp>
        <tr r="W292" s="2"/>
      </tp>
      <tp>
        <v>-2.3369230000000001</v>
        <stp/>
        <stp>##V3_BDPV12</stp>
        <stp>VOW3 GY Equity</stp>
        <stp>CHG_PCT_5D</stp>
        <stp>[DPM - Securities Master List (BBG Linked).xlsx]Equities!R289C23</stp>
        <tr r="W289" s="2"/>
      </tp>
      <tp t="s">
        <v>AstraZeneca PLC</v>
        <stp/>
        <stp>##V3_BDPV12</stp>
        <stp>AZN LN Equity</stp>
        <stp>SECURITY NAME</stp>
        <stp>[DPM - Securities Master List (BBG Linked).xlsx]Equities!R53C5</stp>
        <tr r="E53" s="2"/>
      </tp>
      <tp t="s">
        <v>USD</v>
        <stp/>
        <stp>##V3_BDPV12</stp>
        <stp>BMRN US Equity</stp>
        <stp>CRNCY</stp>
        <stp>[DPM - Securities Master List (BBG Linked).xlsx]Equities!R72C6</stp>
        <tr r="F72" s="2"/>
      </tp>
      <tp t="s">
        <v>USD</v>
        <stp/>
        <stp>##V3_BDPV12</stp>
        <stp>BIIB US Equity</stp>
        <stp>CRNCY</stp>
        <stp>[DPM - Securities Master List (BBG Linked).xlsx]Equities!R62C6</stp>
        <tr r="F62" s="2"/>
      </tp>
      <tp t="s">
        <v>American Airlines Group Inc</v>
        <stp/>
        <stp>##V3_BDPV12</stp>
        <stp>AAL US Equity</stp>
        <stp>SECURITY NAME</stp>
        <stp>[DPM - Securities Master List (BBG Linked).xlsx]Equities!R33C5</stp>
        <tr r="E33" s="2"/>
      </tp>
      <tp t="s">
        <v>USD</v>
        <stp/>
        <stp>##V3_BDPV12</stp>
        <stp>ADBE US Equity</stp>
        <stp>CRNCY</stp>
        <stp>[DPM - Securities Master List (BBG Linked).xlsx]Equities!R41C6</stp>
        <tr r="F41" s="2"/>
      </tp>
      <tp t="s">
        <v>USD</v>
        <stp/>
        <stp>##V3_BDPV12</stp>
        <stp>DELL US Equity</stp>
        <stp>CRNCY</stp>
        <stp>[DPM - Securities Master List (BBG Linked).xlsx]Equities!R94C6</stp>
        <tr r="F94" s="2"/>
      </tp>
      <tp>
        <v>20.425930000000001</v>
        <stp/>
        <stp>##V3_BDPV12</stp>
        <stp>TCEHY US Equity</stp>
        <stp>PR064</stp>
        <stp>[DPM - Securities Master List (BBG Linked).xlsx]Equities!R259C41</stp>
        <tr r="AO259" s="2"/>
      </tp>
      <tp>
        <v>20.425930000000001</v>
        <stp/>
        <stp>##V3_BDPV12</stp>
        <stp>TCEHY US Equity</stp>
        <stp>PR064</stp>
        <stp>[DPM - Securities Master List (BBG Linked).xlsx]Equities!R260C41</stp>
        <tr r="AO260" s="2"/>
      </tp>
      <tp>
        <v>8.5461530000000003</v>
        <stp/>
        <stp>##V3_BDPV12</stp>
        <stp>TCEHY US Equity</stp>
        <stp>PR061</stp>
        <stp>[DPM - Securities Master List (BBG Linked).xlsx]Equities!R259C40</stp>
        <tr r="AN259" s="2"/>
      </tp>
      <tp>
        <v>8.5461530000000003</v>
        <stp/>
        <stp>##V3_BDPV12</stp>
        <stp>TCEHY US Equity</stp>
        <stp>PR061</stp>
        <stp>[DPM - Securities Master List (BBG Linked).xlsx]Equities!R260C40</stp>
        <tr r="AN260" s="2"/>
      </tp>
      <tp>
        <v>12.202063322660974</v>
        <stp/>
        <stp>##V3_BDPV12</stp>
        <stp>PYPL US Equity</stp>
        <stp>EE010</stp>
        <stp>[DPM - Securities Master List (BBG Linked).xlsx]Equities!R238C12</stp>
        <tr r="L238" s="2"/>
        <tr r="L238" s="2"/>
        <tr r="L238" s="2"/>
      </tp>
      <tp>
        <v>12.202063322660974</v>
        <stp/>
        <stp>##V3_BDPV12</stp>
        <stp>PYPL US Equity</stp>
        <stp>EE010</stp>
        <stp>[DPM - Securities Master List (BBG Linked).xlsx]Equities!R239C12</stp>
        <tr r="L239" s="2"/>
        <tr r="L239" s="2"/>
        <tr r="L239" s="2"/>
      </tp>
      <tp>
        <v>12.202063322660974</v>
        <stp/>
        <stp>##V3_BDPV12</stp>
        <stp>PYPL US Equity</stp>
        <stp>EE010</stp>
        <stp>[DPM - Securities Master List (BBG Linked).xlsx]Equities!R237C12</stp>
        <tr r="L237" s="2"/>
        <tr r="L237" s="2"/>
        <tr r="L237" s="2"/>
      </tp>
      <tp t="s">
        <v>#N/A N/A</v>
        <stp/>
        <stp>##V3_BDPV12</stp>
        <stp>PYPL US Equity</stp>
        <stp>DV013</stp>
        <stp>[DPM - Securities Master List (BBG Linked).xlsx]Equities!R238C10</stp>
        <tr r="J238" s="2"/>
      </tp>
      <tp t="s">
        <v>#N/A N/A</v>
        <stp/>
        <stp>##V3_BDPV12</stp>
        <stp>PYPL US Equity</stp>
        <stp>DV013</stp>
        <stp>[DPM - Securities Master List (BBG Linked).xlsx]Equities!R239C10</stp>
        <tr r="J239" s="2"/>
      </tp>
      <tp t="s">
        <v>#N/A N/A</v>
        <stp/>
        <stp>##V3_BDPV12</stp>
        <stp>PYPL US Equity</stp>
        <stp>DV013</stp>
        <stp>[DPM - Securities Master List (BBG Linked).xlsx]Equities!R237C10</stp>
        <tr r="J237" s="2"/>
      </tp>
      <tp t="s">
        <v>N</v>
        <stp/>
        <stp>##V3_BDPV12</stp>
        <stp>NSRGY US Equity</stp>
        <stp>DY997</stp>
        <stp>[DPM - Securities Master List (BBG Linked).xlsx]Equities!R223C47</stp>
        <tr r="AU223" s="2"/>
        <tr r="AU223" s="2"/>
        <tr r="AU223" s="2"/>
      </tp>
      <tp>
        <v>13.66452</v>
        <stp/>
        <stp>##V3_BDPV12</stp>
        <stp>NESN SW Equity</stp>
        <stp>PR064</stp>
        <stp>[DPM - Securities Master List (BBG Linked).xlsx]Equities!R193C41</stp>
        <tr r="AO193" s="2"/>
      </tp>
      <tp>
        <v>13.66452</v>
        <stp/>
        <stp>##V3_BDPV12</stp>
        <stp>NESN SW Equity</stp>
        <stp>PR064</stp>
        <stp>[DPM - Securities Master List (BBG Linked).xlsx]Equities!R196C41</stp>
        <tr r="AO196" s="2"/>
      </tp>
      <tp>
        <v>13.66452</v>
        <stp/>
        <stp>##V3_BDPV12</stp>
        <stp>NESN SW Equity</stp>
        <stp>PR064</stp>
        <stp>[DPM - Securities Master List (BBG Linked).xlsx]Equities!R197C41</stp>
        <tr r="AO197" s="2"/>
      </tp>
      <tp>
        <v>13.66452</v>
        <stp/>
        <stp>##V3_BDPV12</stp>
        <stp>NESN SW Equity</stp>
        <stp>PR064</stp>
        <stp>[DPM - Securities Master List (BBG Linked).xlsx]Equities!R194C41</stp>
        <tr r="AO194" s="2"/>
      </tp>
      <tp>
        <v>13.66452</v>
        <stp/>
        <stp>##V3_BDPV12</stp>
        <stp>NESN SW Equity</stp>
        <stp>PR064</stp>
        <stp>[DPM - Securities Master List (BBG Linked).xlsx]Equities!R195C41</stp>
        <tr r="AO195" s="2"/>
      </tp>
      <tp>
        <v>13.66452</v>
        <stp/>
        <stp>##V3_BDPV12</stp>
        <stp>NESN SW Equity</stp>
        <stp>PR064</stp>
        <stp>[DPM - Securities Master List (BBG Linked).xlsx]Equities!R198C41</stp>
        <tr r="AO198" s="2"/>
      </tp>
      <tp>
        <v>13.66452</v>
        <stp/>
        <stp>##V3_BDPV12</stp>
        <stp>NESN SW Equity</stp>
        <stp>PR064</stp>
        <stp>[DPM - Securities Master List (BBG Linked).xlsx]Equities!R199C41</stp>
        <tr r="AO199" s="2"/>
      </tp>
      <tp t="s">
        <v>Y</v>
        <stp/>
        <stp>##V3_BDPV12</stp>
        <stp>GOOGL US Equity</stp>
        <stp>DY997</stp>
        <stp>[DPM - Securities Master List (BBG Linked).xlsx]Equities!R139C47</stp>
        <tr r="AU139" s="2"/>
        <tr r="AU139" s="2"/>
        <tr r="AU139" s="2"/>
      </tp>
      <tp t="s">
        <v>Y</v>
        <stp/>
        <stp>##V3_BDPV12</stp>
        <stp>GOOGL US Equity</stp>
        <stp>DY997</stp>
        <stp>[DPM - Securities Master List (BBG Linked).xlsx]Equities!R138C47</stp>
        <tr r="AU138" s="2"/>
        <tr r="AU138" s="2"/>
        <tr r="AU138" s="2"/>
      </tp>
      <tp t="s">
        <v>Y</v>
        <stp/>
        <stp>##V3_BDPV12</stp>
        <stp>GOOGL US Equity</stp>
        <stp>DY997</stp>
        <stp>[DPM - Securities Master List (BBG Linked).xlsx]Equities!R133C47</stp>
        <tr r="AU133" s="2"/>
        <tr r="AU133" s="2"/>
        <tr r="AU133" s="2"/>
      </tp>
      <tp t="s">
        <v>Y</v>
        <stp/>
        <stp>##V3_BDPV12</stp>
        <stp>GOOGL US Equity</stp>
        <stp>DY997</stp>
        <stp>[DPM - Securities Master List (BBG Linked).xlsx]Equities!R132C47</stp>
        <tr r="AU132" s="2"/>
        <tr r="AU132" s="2"/>
        <tr r="AU132" s="2"/>
      </tp>
      <tp t="s">
        <v>Y</v>
        <stp/>
        <stp>##V3_BDPV12</stp>
        <stp>GOOGL US Equity</stp>
        <stp>DY997</stp>
        <stp>[DPM - Securities Master List (BBG Linked).xlsx]Equities!R131C47</stp>
        <tr r="AU131" s="2"/>
        <tr r="AU131" s="2"/>
        <tr r="AU131" s="2"/>
      </tp>
      <tp t="s">
        <v>Y</v>
        <stp/>
        <stp>##V3_BDPV12</stp>
        <stp>GOOGL US Equity</stp>
        <stp>DY997</stp>
        <stp>[DPM - Securities Master List (BBG Linked).xlsx]Equities!R130C47</stp>
        <tr r="AU130" s="2"/>
        <tr r="AU130" s="2"/>
        <tr r="AU130" s="2"/>
      </tp>
      <tp t="s">
        <v>Y</v>
        <stp/>
        <stp>##V3_BDPV12</stp>
        <stp>GOOGL US Equity</stp>
        <stp>DY997</stp>
        <stp>[DPM - Securities Master List (BBG Linked).xlsx]Equities!R137C47</stp>
        <tr r="AU137" s="2"/>
        <tr r="AU137" s="2"/>
        <tr r="AU137" s="2"/>
      </tp>
      <tp t="s">
        <v>Y</v>
        <stp/>
        <stp>##V3_BDPV12</stp>
        <stp>GOOGL US Equity</stp>
        <stp>DY997</stp>
        <stp>[DPM - Securities Master List (BBG Linked).xlsx]Equities!R136C47</stp>
        <tr r="AU136" s="2"/>
        <tr r="AU136" s="2"/>
        <tr r="AU136" s="2"/>
      </tp>
      <tp t="s">
        <v>Y</v>
        <stp/>
        <stp>##V3_BDPV12</stp>
        <stp>GOOGL US Equity</stp>
        <stp>DY997</stp>
        <stp>[DPM - Securities Master List (BBG Linked).xlsx]Equities!R135C47</stp>
        <tr r="AU135" s="2"/>
        <tr r="AU135" s="2"/>
        <tr r="AU135" s="2"/>
      </tp>
      <tp t="s">
        <v>Y</v>
        <stp/>
        <stp>##V3_BDPV12</stp>
        <stp>GOOGL US Equity</stp>
        <stp>DY997</stp>
        <stp>[DPM - Securities Master List (BBG Linked).xlsx]Equities!R134C47</stp>
        <tr r="AU134" s="2"/>
        <tr r="AU134" s="2"/>
        <tr r="AU134" s="2"/>
      </tp>
      <tp t="s">
        <v>Y</v>
        <stp/>
        <stp>##V3_BDPV12</stp>
        <stp>GOOGL US Equity</stp>
        <stp>DY997</stp>
        <stp>[DPM - Securities Master List (BBG Linked).xlsx]Equities!R129C47</stp>
        <tr r="AU129" s="2"/>
        <tr r="AU129" s="2"/>
        <tr r="AU129" s="2"/>
      </tp>
      <tp t="s">
        <v>Y</v>
        <stp/>
        <stp>##V3_BDPV12</stp>
        <stp>GOOGL US Equity</stp>
        <stp>DY997</stp>
        <stp>[DPM - Securities Master List (BBG Linked).xlsx]Equities!R128C47</stp>
        <tr r="AU128" s="2"/>
        <tr r="AU128" s="2"/>
        <tr r="AU128" s="2"/>
      </tp>
      <tp t="s">
        <v>Y</v>
        <stp/>
        <stp>##V3_BDPV12</stp>
        <stp>GOOGL US Equity</stp>
        <stp>DY997</stp>
        <stp>[DPM - Securities Master List (BBG Linked).xlsx]Equities!R127C47</stp>
        <tr r="AU127" s="2"/>
        <tr r="AU127" s="2"/>
        <tr r="AU127" s="2"/>
      </tp>
      <tp t="s">
        <v>Y</v>
        <stp/>
        <stp>##V3_BDPV12</stp>
        <stp>GOOGL US Equity</stp>
        <stp>DY997</stp>
        <stp>[DPM - Securities Master List (BBG Linked).xlsx]Equities!R141C47</stp>
        <tr r="AU141" s="2"/>
        <tr r="AU141" s="2"/>
        <tr r="AU141" s="2"/>
      </tp>
      <tp t="s">
        <v>Y</v>
        <stp/>
        <stp>##V3_BDPV12</stp>
        <stp>GOOGL US Equity</stp>
        <stp>DY997</stp>
        <stp>[DPM - Securities Master List (BBG Linked).xlsx]Equities!R140C47</stp>
        <tr r="AU140" s="2"/>
        <tr r="AU140" s="2"/>
        <tr r="AU140" s="2"/>
      </tp>
      <tp>
        <v>13.66452</v>
        <stp/>
        <stp>##V3_BDPV12</stp>
        <stp>NESN SW Equity</stp>
        <stp>PR064</stp>
        <stp>[DPM - Securities Master List (BBG Linked).xlsx]Equities!R202C41</stp>
        <tr r="AO202" s="2"/>
      </tp>
      <tp>
        <v>13.66452</v>
        <stp/>
        <stp>##V3_BDPV12</stp>
        <stp>NESN SW Equity</stp>
        <stp>PR064</stp>
        <stp>[DPM - Securities Master List (BBG Linked).xlsx]Equities!R203C41</stp>
        <tr r="AO203" s="2"/>
      </tp>
      <tp>
        <v>13.66452</v>
        <stp/>
        <stp>##V3_BDPV12</stp>
        <stp>NESN SW Equity</stp>
        <stp>PR064</stp>
        <stp>[DPM - Securities Master List (BBG Linked).xlsx]Equities!R200C41</stp>
        <tr r="AO200" s="2"/>
      </tp>
      <tp>
        <v>13.66452</v>
        <stp/>
        <stp>##V3_BDPV12</stp>
        <stp>NESN SW Equity</stp>
        <stp>PR064</stp>
        <stp>[DPM - Securities Master List (BBG Linked).xlsx]Equities!R201C41</stp>
        <tr r="AO201" s="2"/>
      </tp>
      <tp>
        <v>13.66452</v>
        <stp/>
        <stp>##V3_BDPV12</stp>
        <stp>NESN SW Equity</stp>
        <stp>PR064</stp>
        <stp>[DPM - Securities Master List (BBG Linked).xlsx]Equities!R204C41</stp>
        <tr r="AO204" s="2"/>
      </tp>
      <tp>
        <v>13.66452</v>
        <stp/>
        <stp>##V3_BDPV12</stp>
        <stp>NESN SW Equity</stp>
        <stp>PR064</stp>
        <stp>[DPM - Securities Master List (BBG Linked).xlsx]Equities!R205C41</stp>
        <tr r="AO205" s="2"/>
      </tp>
      <tp>
        <v>0.83562199999999998</v>
        <stp/>
        <stp>##V3_BDPV12</stp>
        <stp>NESN SW Equity</stp>
        <stp>PR061</stp>
        <stp>[DPM - Securities Master List (BBG Linked).xlsx]Equities!R193C40</stp>
        <tr r="AN193" s="2"/>
      </tp>
      <tp>
        <v>0.83562199999999998</v>
        <stp/>
        <stp>##V3_BDPV12</stp>
        <stp>NESN SW Equity</stp>
        <stp>PR061</stp>
        <stp>[DPM - Securities Master List (BBG Linked).xlsx]Equities!R196C40</stp>
        <tr r="AN196" s="2"/>
      </tp>
      <tp>
        <v>0.83562199999999998</v>
        <stp/>
        <stp>##V3_BDPV12</stp>
        <stp>NESN SW Equity</stp>
        <stp>PR061</stp>
        <stp>[DPM - Securities Master List (BBG Linked).xlsx]Equities!R197C40</stp>
        <tr r="AN197" s="2"/>
      </tp>
      <tp>
        <v>0.83562199999999998</v>
        <stp/>
        <stp>##V3_BDPV12</stp>
        <stp>NESN SW Equity</stp>
        <stp>PR061</stp>
        <stp>[DPM - Securities Master List (BBG Linked).xlsx]Equities!R194C40</stp>
        <tr r="AN194" s="2"/>
      </tp>
      <tp>
        <v>0.83562199999999998</v>
        <stp/>
        <stp>##V3_BDPV12</stp>
        <stp>NESN SW Equity</stp>
        <stp>PR061</stp>
        <stp>[DPM - Securities Master List (BBG Linked).xlsx]Equities!R195C40</stp>
        <tr r="AN195" s="2"/>
      </tp>
      <tp>
        <v>0.83562199999999998</v>
        <stp/>
        <stp>##V3_BDPV12</stp>
        <stp>NESN SW Equity</stp>
        <stp>PR061</stp>
        <stp>[DPM - Securities Master List (BBG Linked).xlsx]Equities!R198C40</stp>
        <tr r="AN198" s="2"/>
      </tp>
      <tp>
        <v>0.83562199999999998</v>
        <stp/>
        <stp>##V3_BDPV12</stp>
        <stp>NESN SW Equity</stp>
        <stp>PR061</stp>
        <stp>[DPM - Securities Master List (BBG Linked).xlsx]Equities!R199C40</stp>
        <tr r="AN199" s="2"/>
      </tp>
      <tp>
        <v>0.83562199999999998</v>
        <stp/>
        <stp>##V3_BDPV12</stp>
        <stp>NESN SW Equity</stp>
        <stp>PR061</stp>
        <stp>[DPM - Securities Master List (BBG Linked).xlsx]Equities!R202C40</stp>
        <tr r="AN202" s="2"/>
      </tp>
      <tp>
        <v>0.83562199999999998</v>
        <stp/>
        <stp>##V3_BDPV12</stp>
        <stp>NESN SW Equity</stp>
        <stp>PR061</stp>
        <stp>[DPM - Securities Master List (BBG Linked).xlsx]Equities!R203C40</stp>
        <tr r="AN203" s="2"/>
      </tp>
      <tp>
        <v>0.83562199999999998</v>
        <stp/>
        <stp>##V3_BDPV12</stp>
        <stp>NESN SW Equity</stp>
        <stp>PR061</stp>
        <stp>[DPM - Securities Master List (BBG Linked).xlsx]Equities!R200C40</stp>
        <tr r="AN200" s="2"/>
      </tp>
      <tp>
        <v>0.83562199999999998</v>
        <stp/>
        <stp>##V3_BDPV12</stp>
        <stp>NESN SW Equity</stp>
        <stp>PR061</stp>
        <stp>[DPM - Securities Master List (BBG Linked).xlsx]Equities!R201C40</stp>
        <tr r="AN201" s="2"/>
      </tp>
      <tp>
        <v>0.83562199999999998</v>
        <stp/>
        <stp>##V3_BDPV12</stp>
        <stp>NESN SW Equity</stp>
        <stp>PR061</stp>
        <stp>[DPM - Securities Master List (BBG Linked).xlsx]Equities!R204C40</stp>
        <tr r="AN204" s="2"/>
      </tp>
      <tp>
        <v>0.83562199999999998</v>
        <stp/>
        <stp>##V3_BDPV12</stp>
        <stp>NESN SW Equity</stp>
        <stp>PR061</stp>
        <stp>[DPM - Securities Master List (BBG Linked).xlsx]Equities!R205C40</stp>
        <tr r="AN205" s="2"/>
      </tp>
      <tp>
        <v>199.02082770270272</v>
        <stp/>
        <stp>##V3_BDPV12</stp>
        <stp>INTC US Equity</stp>
        <stp>RR957</stp>
        <stp>[DPM - Securities Master List (BBG Linked).xlsx]Equities!R146C14</stp>
        <tr r="N146" s="2"/>
        <tr r="N146" s="2"/>
        <tr r="N146" s="2"/>
      </tp>
      <tp>
        <v>199.02082770270272</v>
        <stp/>
        <stp>##V3_BDPV12</stp>
        <stp>INTC US Equity</stp>
        <stp>RR957</stp>
        <stp>[DPM - Securities Master List (BBG Linked).xlsx]Equities!R147C14</stp>
        <tr r="N147" s="2"/>
        <tr r="N147" s="2"/>
        <tr r="N147" s="2"/>
      </tp>
      <tp>
        <v>199.02082770270272</v>
        <stp/>
        <stp>##V3_BDPV12</stp>
        <stp>INTC US Equity</stp>
        <stp>RR957</stp>
        <stp>[DPM - Securities Master List (BBG Linked).xlsx]Equities!R148C14</stp>
        <tr r="N148" s="2"/>
        <tr r="N148" s="2"/>
        <tr r="N148" s="2"/>
      </tp>
      <tp t="s">
        <v>#N/A Invalid Field</v>
        <stp/>
        <stp>##V3_BDPV12</stp>
        <stp>NESN SW Equity</stp>
        <stp/>
        <stp>[DPM - Securities Master List (BBG Linked).xlsx]Equities!R201C29</stp>
        <tr r="AC201" s="2"/>
        <tr r="AC201" s="2"/>
      </tp>
      <tp t="s">
        <v>#N/A Invalid Field</v>
        <stp/>
        <stp>##V3_BDPV12</stp>
        <stp>NESN SW Equity</stp>
        <stp/>
        <stp>[DPM - Securities Master List (BBG Linked).xlsx]Equities!R200C29</stp>
        <tr r="AC200" s="2"/>
        <tr r="AC200" s="2"/>
      </tp>
      <tp t="s">
        <v>#N/A Invalid Field</v>
        <stp/>
        <stp>##V3_BDPV12</stp>
        <stp>NESN SW Equity</stp>
        <stp/>
        <stp>[DPM - Securities Master List (BBG Linked).xlsx]Equities!R203C29</stp>
        <tr r="AC203" s="2"/>
        <tr r="AC203" s="2"/>
      </tp>
      <tp t="s">
        <v>#N/A Invalid Field</v>
        <stp/>
        <stp>##V3_BDPV12</stp>
        <stp>NESN SW Equity</stp>
        <stp/>
        <stp>[DPM - Securities Master List (BBG Linked).xlsx]Equities!R202C29</stp>
        <tr r="AC202" s="2"/>
        <tr r="AC202" s="2"/>
      </tp>
      <tp t="s">
        <v>#N/A Invalid Field</v>
        <stp/>
        <stp>##V3_BDPV12</stp>
        <stp>NESN SW Equity</stp>
        <stp/>
        <stp>[DPM - Securities Master List (BBG Linked).xlsx]Equities!R205C29</stp>
        <tr r="AC205" s="2"/>
        <tr r="AC205" s="2"/>
      </tp>
      <tp t="s">
        <v>#N/A Invalid Field</v>
        <stp/>
        <stp>##V3_BDPV12</stp>
        <stp>NESN SW Equity</stp>
        <stp/>
        <stp>[DPM - Securities Master List (BBG Linked).xlsx]Equities!R204C29</stp>
        <tr r="AC204" s="2"/>
        <tr r="AC204" s="2"/>
      </tp>
      <tp t="s">
        <v>#N/A Invalid Field</v>
        <stp/>
        <stp>##V3_BDPV12</stp>
        <stp>NESN SW Equity</stp>
        <stp/>
        <stp>[DPM - Securities Master List (BBG Linked).xlsx]Equities!R193C29</stp>
        <tr r="AC193" s="2"/>
        <tr r="AC193" s="2"/>
      </tp>
      <tp t="s">
        <v>#N/A Invalid Field</v>
        <stp/>
        <stp>##V3_BDPV12</stp>
        <stp>NESN SW Equity</stp>
        <stp/>
        <stp>[DPM - Securities Master List (BBG Linked).xlsx]Equities!R195C29</stp>
        <tr r="AC195" s="2"/>
        <tr r="AC195" s="2"/>
      </tp>
      <tp t="s">
        <v>#N/A Invalid Field</v>
        <stp/>
        <stp>##V3_BDPV12</stp>
        <stp>NESN SW Equity</stp>
        <stp/>
        <stp>[DPM - Securities Master List (BBG Linked).xlsx]Equities!R194C29</stp>
        <tr r="AC194" s="2"/>
        <tr r="AC194" s="2"/>
      </tp>
      <tp t="s">
        <v>#N/A Invalid Field</v>
        <stp/>
        <stp>##V3_BDPV12</stp>
        <stp>NESN SW Equity</stp>
        <stp/>
        <stp>[DPM - Securities Master List (BBG Linked).xlsx]Equities!R197C29</stp>
        <tr r="AC197" s="2"/>
        <tr r="AC197" s="2"/>
      </tp>
      <tp t="s">
        <v>#N/A Invalid Field</v>
        <stp/>
        <stp>##V3_BDPV12</stp>
        <stp>NESN SW Equity</stp>
        <stp/>
        <stp>[DPM - Securities Master List (BBG Linked).xlsx]Equities!R196C29</stp>
        <tr r="AC196" s="2"/>
        <tr r="AC196" s="2"/>
      </tp>
      <tp t="s">
        <v>#N/A Invalid Field</v>
        <stp/>
        <stp>##V3_BDPV12</stp>
        <stp>NESN SW Equity</stp>
        <stp/>
        <stp>[DPM - Securities Master List (BBG Linked).xlsx]Equities!R199C29</stp>
        <tr r="AC199" s="2"/>
        <tr r="AC199" s="2"/>
      </tp>
      <tp t="s">
        <v>#N/A Invalid Field</v>
        <stp/>
        <stp>##V3_BDPV12</stp>
        <stp>NESN SW Equity</stp>
        <stp/>
        <stp>[DPM - Securities Master List (BBG Linked).xlsx]Equities!R198C29</stp>
        <tr r="AC198" s="2"/>
        <tr r="AC198" s="2"/>
      </tp>
      <tp>
        <v>16.11067813866762</v>
        <stp/>
        <stp>##V3_BDPV12</stp>
        <stp>META US Equity</stp>
        <stp>RR957</stp>
        <stp>[DPM - Securities Master List (BBG Linked).xlsx]Equities!R156C14</stp>
        <tr r="N156" s="2"/>
        <tr r="N156" s="2"/>
        <tr r="N156" s="2"/>
      </tp>
      <tp t="s">
        <v>USD</v>
        <stp/>
        <stp>##V3_BDPV12</stp>
        <stp>GOOGL US Equity</stp>
        <stp>CRNCY</stp>
        <stp>[DPM - Securities Master List (BBG Linked).xlsx]Equities!R133C6</stp>
        <tr r="F133" s="2"/>
      </tp>
      <tp t="s">
        <v>USD</v>
        <stp/>
        <stp>##V3_BDPV12</stp>
        <stp>TCEHY US Equity</stp>
        <stp>CRNCY</stp>
        <stp>[DPM - Securities Master List (BBG Linked).xlsx]Equities!R259C6</stp>
        <tr r="F259" s="2"/>
      </tp>
      <tp>
        <v>0</v>
        <stp/>
        <stp>##V3_BDPV12</stp>
        <stp>2020 HK Equity</stp>
        <stp>TOT_SELL_REC</stp>
        <stp>[DPM - Securities Master List (BBG Linked).xlsx]Equities!R3C36</stp>
        <tr r="AJ3" s="2"/>
      </tp>
      <tp>
        <v>0</v>
        <stp/>
        <stp>##V3_BDPV12</stp>
        <stp>2020 HK Equity</stp>
        <stp>TOT_SELL_REC</stp>
        <stp>[DPM - Securities Master List (BBG Linked).xlsx]Equities!R4C36</stp>
        <tr r="AJ4" s="2"/>
      </tp>
      <tp>
        <v>0</v>
        <stp/>
        <stp>##V3_BDPV12</stp>
        <stp>2020 HK Equity</stp>
        <stp>TOT_SELL_REC</stp>
        <stp>[DPM - Securities Master List (BBG Linked).xlsx]Equities!R5C36</stp>
        <tr r="AJ5" s="2"/>
      </tp>
      <tp>
        <v>0</v>
        <stp/>
        <stp>##V3_BDPV12</stp>
        <stp>2020 HK Equity</stp>
        <stp>TOT_SELL_REC</stp>
        <stp>[DPM - Securities Master List (BBG Linked).xlsx]Equities!R6C36</stp>
        <tr r="AJ6" s="2"/>
      </tp>
      <tp>
        <v>2</v>
        <stp/>
        <stp>##V3_BDPV12</stp>
        <stp>3690 HK Equity</stp>
        <stp>TOT_SELL_REC</stp>
        <stp>[DPM - Securities Master List (BBG Linked).xlsx]Equities!R7C36</stp>
        <tr r="AJ7" s="2"/>
      </tp>
      <tp>
        <v>2</v>
        <stp/>
        <stp>##V3_BDPV12</stp>
        <stp>3690 HK Equity</stp>
        <stp>TOT_SELL_REC</stp>
        <stp>[DPM - Securities Master List (BBG Linked).xlsx]Equities!R9C36</stp>
        <tr r="AJ9" s="2"/>
      </tp>
      <tp>
        <v>2</v>
        <stp/>
        <stp>##V3_BDPV12</stp>
        <stp>3690 HK Equity</stp>
        <stp>TOT_SELL_REC</stp>
        <stp>[DPM - Securities Master List (BBG Linked).xlsx]Equities!R8C36</stp>
        <tr r="AJ8" s="2"/>
      </tp>
      <tp>
        <v>6.7599030000000004</v>
        <stp/>
        <stp>##V3_BDPV12</stp>
        <stp>2020 HK Equity</stp>
        <stp>CHG_PCT_6M</stp>
        <stp>[DPM - Securities Master List (BBG Linked).xlsx]Equities!R3C42</stp>
        <tr r="AP3" s="2"/>
      </tp>
      <tp>
        <v>6.7599030000000004</v>
        <stp/>
        <stp>##V3_BDPV12</stp>
        <stp>2020 HK Equity</stp>
        <stp>CHG_PCT_6M</stp>
        <stp>[DPM - Securities Master List (BBG Linked).xlsx]Equities!R6C42</stp>
        <tr r="AP6" s="2"/>
      </tp>
      <tp>
        <v>6.7599030000000004</v>
        <stp/>
        <stp>##V3_BDPV12</stp>
        <stp>2020 HK Equity</stp>
        <stp>CHG_PCT_6M</stp>
        <stp>[DPM - Securities Master List (BBG Linked).xlsx]Equities!R5C42</stp>
        <tr r="AP5" s="2"/>
      </tp>
      <tp>
        <v>6.7599030000000004</v>
        <stp/>
        <stp>##V3_BDPV12</stp>
        <stp>2020 HK Equity</stp>
        <stp>CHG_PCT_6M</stp>
        <stp>[DPM - Securities Master List (BBG Linked).xlsx]Equities!R4C42</stp>
        <tr r="AP4" s="2"/>
      </tp>
      <tp>
        <v>-1.399354</v>
        <stp/>
        <stp>##V3_BDPV12</stp>
        <stp>2020 HK Equity</stp>
        <stp>CHG_PCT_1D</stp>
        <stp>[DPM - Securities Master List (BBG Linked).xlsx]Equities!R3C22</stp>
        <tr r="V3" s="2"/>
      </tp>
      <tp>
        <v>-1.399354</v>
        <stp/>
        <stp>##V3_BDPV12</stp>
        <stp>2020 HK Equity</stp>
        <stp>CHG_PCT_1D</stp>
        <stp>[DPM - Securities Master List (BBG Linked).xlsx]Equities!R6C22</stp>
        <tr r="V6" s="2"/>
      </tp>
      <tp>
        <v>-1.399354</v>
        <stp/>
        <stp>##V3_BDPV12</stp>
        <stp>2020 HK Equity</stp>
        <stp>CHG_PCT_1D</stp>
        <stp>[DPM - Securities Master List (BBG Linked).xlsx]Equities!R4C22</stp>
        <tr r="V4" s="2"/>
      </tp>
      <tp>
        <v>-1.399354</v>
        <stp/>
        <stp>##V3_BDPV12</stp>
        <stp>2020 HK Equity</stp>
        <stp>CHG_PCT_1D</stp>
        <stp>[DPM - Securities Master List (BBG Linked).xlsx]Equities!R5C22</stp>
        <tr r="V5" s="2"/>
      </tp>
      <tp>
        <v>-0.86580089999999998</v>
        <stp/>
        <stp>##V3_BDPV12</stp>
        <stp>2020 HK Equity</stp>
        <stp>CHG_PCT_5D</stp>
        <stp>[DPM - Securities Master List (BBG Linked).xlsx]Equities!R3C23</stp>
        <tr r="W3" s="2"/>
      </tp>
      <tp>
        <v>-0.86580089999999998</v>
        <stp/>
        <stp>##V3_BDPV12</stp>
        <stp>2020 HK Equity</stp>
        <stp>CHG_PCT_5D</stp>
        <stp>[DPM - Securities Master List (BBG Linked).xlsx]Equities!R6C23</stp>
        <tr r="W6" s="2"/>
      </tp>
      <tp>
        <v>-0.86580089999999998</v>
        <stp/>
        <stp>##V3_BDPV12</stp>
        <stp>2020 HK Equity</stp>
        <stp>CHG_PCT_5D</stp>
        <stp>[DPM - Securities Master List (BBG Linked).xlsx]Equities!R4C23</stp>
        <tr r="W4" s="2"/>
      </tp>
      <tp>
        <v>-0.86580089999999998</v>
        <stp/>
        <stp>##V3_BDPV12</stp>
        <stp>2020 HK Equity</stp>
        <stp>CHG_PCT_5D</stp>
        <stp>[DPM - Securities Master List (BBG Linked).xlsx]Equities!R5C23</stp>
        <tr r="W5" s="2"/>
      </tp>
      <tp t="s">
        <v>Health Care</v>
        <stp/>
        <stp>##V3_BDPV12</stp>
        <stp>BMRN US Equity</stp>
        <stp>DX202</stp>
        <stp>[DPM - Securities Master List (BBG Linked).xlsx]Equities!R69C8</stp>
        <tr r="H69" s="2"/>
        <tr r="H69" s="2"/>
        <tr r="H69" s="2"/>
      </tp>
      <tp>
        <v>3.900874202206206</v>
        <stp/>
        <stp>##V3_BDPV12</stp>
        <stp>2020 HK Equity</stp>
        <stp>RR903</stp>
        <stp>[DPM - Securities Master List (BBG Linked).xlsx]Equities!R6C13</stp>
        <tr r="M6" s="2"/>
        <tr r="M6" s="2"/>
        <tr r="M6" s="2"/>
      </tp>
      <tp>
        <v>3.900874202206206</v>
        <stp/>
        <stp>##V3_BDPV12</stp>
        <stp>2020 HK Equity</stp>
        <stp>RR903</stp>
        <stp>[DPM - Securities Master List (BBG Linked).xlsx]Equities!R4C13</stp>
        <tr r="M4" s="2"/>
        <tr r="M4" s="2"/>
        <tr r="M4" s="2"/>
      </tp>
      <tp>
        <v>3.900874202206206</v>
        <stp/>
        <stp>##V3_BDPV12</stp>
        <stp>2020 HK Equity</stp>
        <stp>RR903</stp>
        <stp>[DPM - Securities Master List (BBG Linked).xlsx]Equities!R5C13</stp>
        <tr r="M5" s="2"/>
        <tr r="M5" s="2"/>
        <tr r="M5" s="2"/>
      </tp>
      <tp>
        <v>3.900874202206206</v>
        <stp/>
        <stp>##V3_BDPV12</stp>
        <stp>2020 HK Equity</stp>
        <stp>RR903</stp>
        <stp>[DPM - Securities Master List (BBG Linked).xlsx]Equities!R3C13</stp>
        <tr r="M3" s="2"/>
        <tr r="M3" s="2"/>
        <tr r="M3" s="2"/>
      </tp>
      <tp>
        <v>15.347629413364963</v>
        <stp/>
        <stp>##V3_BDPV12</stp>
        <stp>2020 HK Equity</stp>
        <stp>RR900</stp>
        <stp>[DPM - Securities Master List (BBG Linked).xlsx]Equities!R5C11</stp>
        <tr r="K5" s="2"/>
        <tr r="K5" s="2"/>
        <tr r="K5" s="2"/>
      </tp>
      <tp>
        <v>15.347629413364963</v>
        <stp/>
        <stp>##V3_BDPV12</stp>
        <stp>2020 HK Equity</stp>
        <stp>RR900</stp>
        <stp>[DPM - Securities Master List (BBG Linked).xlsx]Equities!R4C11</stp>
        <tr r="K4" s="2"/>
        <tr r="K4" s="2"/>
        <tr r="K4" s="2"/>
      </tp>
      <tp>
        <v>10.800302508218737</v>
        <stp/>
        <stp>##V3_BDPV12</stp>
        <stp>2020 HK Equity</stp>
        <stp>RR957</stp>
        <stp>[DPM - Securities Master List (BBG Linked).xlsx]Equities!R3C14</stp>
        <tr r="N3" s="2"/>
        <tr r="N3" s="2"/>
        <tr r="N3" s="2"/>
      </tp>
      <tp>
        <v>15.347629413364963</v>
        <stp/>
        <stp>##V3_BDPV12</stp>
        <stp>2020 HK Equity</stp>
        <stp>RR900</stp>
        <stp>[DPM - Securities Master List (BBG Linked).xlsx]Equities!R6C11</stp>
        <tr r="K6" s="2"/>
        <tr r="K6" s="2"/>
        <tr r="K6" s="2"/>
      </tp>
      <tp>
        <v>10.800302508218737</v>
        <stp/>
        <stp>##V3_BDPV12</stp>
        <stp>2020 HK Equity</stp>
        <stp>RR957</stp>
        <stp>[DPM - Securities Master List (BBG Linked).xlsx]Equities!R6C14</stp>
        <tr r="N6" s="2"/>
        <tr r="N6" s="2"/>
        <tr r="N6" s="2"/>
      </tp>
      <tp>
        <v>15.347629413364963</v>
        <stp/>
        <stp>##V3_BDPV12</stp>
        <stp>2020 HK Equity</stp>
        <stp>RR900</stp>
        <stp>[DPM - Securities Master List (BBG Linked).xlsx]Equities!R3C11</stp>
        <tr r="K3" s="2"/>
        <tr r="K3" s="2"/>
        <tr r="K3" s="2"/>
      </tp>
      <tp>
        <v>10.800302508218737</v>
        <stp/>
        <stp>##V3_BDPV12</stp>
        <stp>2020 HK Equity</stp>
        <stp>RR957</stp>
        <stp>[DPM - Securities Master List (BBG Linked).xlsx]Equities!R4C14</stp>
        <tr r="N4" s="2"/>
        <tr r="N4" s="2"/>
        <tr r="N4" s="2"/>
      </tp>
      <tp>
        <v>10.800302508218737</v>
        <stp/>
        <stp>##V3_BDPV12</stp>
        <stp>2020 HK Equity</stp>
        <stp>RR957</stp>
        <stp>[DPM - Securities Master List (BBG Linked).xlsx]Equities!R5C14</stp>
        <tr r="N5" s="2"/>
        <tr r="N5" s="2"/>
        <tr r="N5" s="2"/>
      </tp>
      <tp>
        <v>14.483074054960671</v>
        <stp/>
        <stp>##V3_BDPV12</stp>
        <stp>2020 HK Equity</stp>
        <stp>RR908</stp>
        <stp>[DPM - Securities Master List (BBG Linked).xlsx]Equities!R5C32</stp>
        <tr r="AF5" s="2"/>
        <tr r="AF5" s="2"/>
        <tr r="AF5" s="2"/>
      </tp>
      <tp>
        <v>14.483074054960671</v>
        <stp/>
        <stp>##V3_BDPV12</stp>
        <stp>2020 HK Equity</stp>
        <stp>RR908</stp>
        <stp>[DPM - Securities Master List (BBG Linked).xlsx]Equities!R4C32</stp>
        <tr r="AF4" s="2"/>
        <tr r="AF4" s="2"/>
        <tr r="AF4" s="2"/>
      </tp>
      <tp>
        <v>14.483074054960671</v>
        <stp/>
        <stp>##V3_BDPV12</stp>
        <stp>2020 HK Equity</stp>
        <stp>RR908</stp>
        <stp>[DPM - Securities Master List (BBG Linked).xlsx]Equities!R6C32</stp>
        <tr r="AF6" s="2"/>
        <tr r="AF6" s="2"/>
        <tr r="AF6" s="2"/>
      </tp>
      <tp>
        <v>14.483074054960671</v>
        <stp/>
        <stp>##V3_BDPV12</stp>
        <stp>2020 HK Equity</stp>
        <stp>RR908</stp>
        <stp>[DPM - Securities Master List (BBG Linked).xlsx]Equities!R3C32</stp>
        <tr r="AF3" s="2"/>
        <tr r="AF3" s="2"/>
        <tr r="AF3" s="2"/>
      </tp>
      <tp t="s">
        <v>#N/A Invalid Field</v>
        <stp/>
        <stp>##V3_BDPV12</stp>
        <stp>PEP US Equity</stp>
        <stp/>
        <stp>[DPM - Securities Master List (BBG Linked).xlsx]Equities!R234C29</stp>
        <tr r="AC234" s="2"/>
        <tr r="AC234" s="2"/>
      </tp>
      <tp t="s">
        <v>#N/A Invalid Field</v>
        <stp/>
        <stp>##V3_BDPV12</stp>
        <stp>PEP US Equity</stp>
        <stp/>
        <stp>[DPM - Securities Master List (BBG Linked).xlsx]Equities!R235C29</stp>
        <tr r="AC235" s="2"/>
        <tr r="AC235" s="2"/>
      </tp>
      <tp t="s">
        <v>#N/A Invalid Field</v>
        <stp/>
        <stp>##V3_BDPV12</stp>
        <stp>PEP US Equity</stp>
        <stp/>
        <stp>[DPM - Securities Master List (BBG Linked).xlsx]Equities!R236C29</stp>
        <tr r="AC236" s="2"/>
        <tr r="AC236" s="2"/>
      </tp>
      <tp t="s">
        <v>#N/A Invalid Field</v>
        <stp/>
        <stp>##V3_BDPV12</stp>
        <stp>PEP US Equity</stp>
        <stp/>
        <stp>[DPM - Securities Master List (BBG Linked).xlsx]Equities!R230C29</stp>
        <tr r="AC230" s="2"/>
        <tr r="AC230" s="2"/>
      </tp>
      <tp t="s">
        <v>#N/A Invalid Field</v>
        <stp/>
        <stp>##V3_BDPV12</stp>
        <stp>PEP US Equity</stp>
        <stp/>
        <stp>[DPM - Securities Master List (BBG Linked).xlsx]Equities!R231C29</stp>
        <tr r="AC231" s="2"/>
        <tr r="AC231" s="2"/>
      </tp>
      <tp t="s">
        <v>#N/A Invalid Field</v>
        <stp/>
        <stp>##V3_BDPV12</stp>
        <stp>PEP US Equity</stp>
        <stp/>
        <stp>[DPM - Securities Master List (BBG Linked).xlsx]Equities!R232C29</stp>
        <tr r="AC232" s="2"/>
        <tr r="AC232" s="2"/>
      </tp>
      <tp t="s">
        <v>#N/A Invalid Field</v>
        <stp/>
        <stp>##V3_BDPV12</stp>
        <stp>PEP US Equity</stp>
        <stp/>
        <stp>[DPM - Securities Master List (BBG Linked).xlsx]Equities!R233C29</stp>
        <tr r="AC233" s="2"/>
        <tr r="AC233" s="2"/>
      </tp>
      <tp t="s">
        <v>#N/A Invalid Field</v>
        <stp/>
        <stp>##V3_BDPV12</stp>
        <stp>PEP US Equity</stp>
        <stp/>
        <stp>[DPM - Securities Master List (BBG Linked).xlsx]Equities!R228C29</stp>
        <tr r="AC228" s="2"/>
        <tr r="AC228" s="2"/>
      </tp>
      <tp t="s">
        <v>#N/A Invalid Field</v>
        <stp/>
        <stp>##V3_BDPV12</stp>
        <stp>PEP US Equity</stp>
        <stp/>
        <stp>[DPM - Securities Master List (BBG Linked).xlsx]Equities!R229C29</stp>
        <tr r="AC229" s="2"/>
        <tr r="AC229" s="2"/>
      </tp>
      <tp t="s">
        <v>#N/A Invalid Field</v>
        <stp/>
        <stp>##V3_BDPV12</stp>
        <stp>PEP US Equity</stp>
        <stp/>
        <stp>[DPM - Securities Master List (BBG Linked).xlsx]Equities!R227C29</stp>
        <tr r="AC227" s="2"/>
        <tr r="AC227" s="2"/>
      </tp>
      <tp>
        <v>7.385694</v>
        <stp/>
        <stp>##V3_BDPV12</stp>
        <stp>2020 HK Equity</stp>
        <stp>PR061</stp>
        <stp>[DPM - Securities Master List (BBG Linked).xlsx]Equities!R6C40</stp>
        <tr r="AN6" s="2"/>
      </tp>
      <tp>
        <v>7.385694</v>
        <stp/>
        <stp>##V3_BDPV12</stp>
        <stp>2020 HK Equity</stp>
        <stp>PR061</stp>
        <stp>[DPM - Securities Master List (BBG Linked).xlsx]Equities!R4C40</stp>
        <tr r="AN4" s="2"/>
      </tp>
      <tp>
        <v>7.385694</v>
        <stp/>
        <stp>##V3_BDPV12</stp>
        <stp>2020 HK Equity</stp>
        <stp>PR061</stp>
        <stp>[DPM - Securities Master List (BBG Linked).xlsx]Equities!R5C40</stp>
        <tr r="AN5" s="2"/>
      </tp>
      <tp>
        <v>7.385694</v>
        <stp/>
        <stp>##V3_BDPV12</stp>
        <stp>2020 HK Equity</stp>
        <stp>PR061</stp>
        <stp>[DPM - Securities Master List (BBG Linked).xlsx]Equities!R3C40</stp>
        <tr r="AN3" s="2"/>
      </tp>
      <tp>
        <v>9.2426969999999997</v>
        <stp/>
        <stp>##V3_BDPV12</stp>
        <stp>2020 HK Equity</stp>
        <stp>PR064</stp>
        <stp>[DPM - Securities Master List (BBG Linked).xlsx]Equities!R3C41</stp>
        <tr r="AO3" s="2"/>
      </tp>
      <tp>
        <v>9.2426969999999997</v>
        <stp/>
        <stp>##V3_BDPV12</stp>
        <stp>2020 HK Equity</stp>
        <stp>PR064</stp>
        <stp>[DPM - Securities Master List (BBG Linked).xlsx]Equities!R6C41</stp>
        <tr r="AO6" s="2"/>
      </tp>
      <tp>
        <v>9.2426969999999997</v>
        <stp/>
        <stp>##V3_BDPV12</stp>
        <stp>2020 HK Equity</stp>
        <stp>PR064</stp>
        <stp>[DPM - Securities Master List (BBG Linked).xlsx]Equities!R5C41</stp>
        <tr r="AO5" s="2"/>
      </tp>
      <tp>
        <v>9.2426969999999997</v>
        <stp/>
        <stp>##V3_BDPV12</stp>
        <stp>2020 HK Equity</stp>
        <stp>PR064</stp>
        <stp>[DPM - Securities Master List (BBG Linked).xlsx]Equities!R4C41</stp>
        <tr r="AO4" s="2"/>
      </tp>
      <tp>
        <v>17.66217</v>
        <stp/>
        <stp>##V3_BDPV12</stp>
        <stp>2020 HK Equity</stp>
        <stp>PR079</stp>
        <stp>[DPM - Securities Master List (BBG Linked).xlsx]Equities!R6C43</stp>
        <tr r="AQ6" s="2"/>
      </tp>
      <tp>
        <v>17.66217</v>
        <stp/>
        <stp>##V3_BDPV12</stp>
        <stp>2020 HK Equity</stp>
        <stp>PR079</stp>
        <stp>[DPM - Securities Master List (BBG Linked).xlsx]Equities!R4C43</stp>
        <tr r="AQ4" s="2"/>
      </tp>
      <tp>
        <v>17.66217</v>
        <stp/>
        <stp>##V3_BDPV12</stp>
        <stp>2020 HK Equity</stp>
        <stp>PR079</stp>
        <stp>[DPM - Securities Master List (BBG Linked).xlsx]Equities!R5C43</stp>
        <tr r="AQ5" s="2"/>
      </tp>
      <tp>
        <v>17.66217</v>
        <stp/>
        <stp>##V3_BDPV12</stp>
        <stp>2020 HK Equity</stp>
        <stp>PR079</stp>
        <stp>[DPM - Securities Master List (BBG Linked).xlsx]Equities!R3C43</stp>
        <tr r="AQ3" s="2"/>
      </tp>
      <tp t="s">
        <v>#N/A Invalid Override</v>
        <stp/>
        <stp>##V3_BDPV12</stp>
        <stp>XS2821647364 isin</stp>
        <stp>YAS_BOND_YLD</stp>
        <stp>[DPM - Securities Master List (BBG Linked).xlsx]Bonds!R123C10</stp>
        <stp>YAS_YLD_FLAG=15</stp>
        <stp>user_local_trade_date</stp>
        <stp>45783</stp>
        <stp>Yas_bond_px</stp>
        <stp>#N/A Connection</stp>
        <tr r="J123" s="1"/>
      </tp>
      <tp t="s">
        <v>#N/A Invalid Override</v>
        <stp/>
        <stp>##V3_BDPV12</stp>
        <stp>XS2821647364 isin</stp>
        <stp>YAS_BOND_YLD</stp>
        <stp>[DPM - Securities Master List (BBG Linked).xlsx]Bonds!R101C10</stp>
        <stp>YAS_YLD_FLAG=15</stp>
        <stp>user_local_trade_date</stp>
        <stp>45783</stp>
        <stp>Yas_bond_px</stp>
        <stp>#N/A Connection</stp>
        <tr r="J101" s="1"/>
      </tp>
      <tp t="s">
        <v>#N/A Invalid Override</v>
        <stp/>
        <stp>##V3_BDPV12</stp>
        <stp>XS2821647364 isin</stp>
        <stp>YAS_BOND_YLD</stp>
        <stp>[DPM - Securities Master List (BBG Linked).xlsx]Bonds!R151C10</stp>
        <stp>YAS_YLD_FLAG=15</stp>
        <stp>user_local_trade_date</stp>
        <stp>45783</stp>
        <stp>Yas_bond_px</stp>
        <stp>#N/A Connection</stp>
        <tr r="J151" s="1"/>
      </tp>
      <tp t="s">
        <v>#N/A Invalid Override</v>
        <stp/>
        <stp>##V3_BDPV12</stp>
        <stp>XS2311313378 isin</stp>
        <stp>YAS_BOND_YLD</stp>
        <stp>[DPM - Securities Master List (BBG Linked).xlsx]Bonds!R107C10</stp>
        <stp>YAS_YLD_FLAG=15</stp>
        <stp>user_local_trade_date</stp>
        <stp>45783</stp>
        <stp>Yas_bond_px</stp>
        <stp>#N/A Connection</stp>
        <tr r="J107" s="1"/>
      </tp>
      <tp>
        <v>24.970030635350533</v>
        <stp/>
        <stp>##V3_BDPV12</stp>
        <stp>2020 HK Equity</stp>
        <stp>RR041</stp>
        <stp>[DPM - Securities Master List (BBG Linked).xlsx]Equities!R4C33</stp>
        <tr r="AG4" s="2"/>
        <tr r="AG4" s="2"/>
        <tr r="AG4" s="2"/>
      </tp>
      <tp>
        <v>24.970030635350533</v>
        <stp/>
        <stp>##V3_BDPV12</stp>
        <stp>2020 HK Equity</stp>
        <stp>RR041</stp>
        <stp>[DPM - Securities Master List (BBG Linked).xlsx]Equities!R5C33</stp>
        <tr r="AG5" s="2"/>
        <tr r="AG5" s="2"/>
        <tr r="AG5" s="2"/>
      </tp>
      <tp>
        <v>24.970030635350533</v>
        <stp/>
        <stp>##V3_BDPV12</stp>
        <stp>2020 HK Equity</stp>
        <stp>RR041</stp>
        <stp>[DPM - Securities Master List (BBG Linked).xlsx]Equities!R6C33</stp>
        <tr r="AG6" s="2"/>
        <tr r="AG6" s="2"/>
        <tr r="AG6" s="2"/>
      </tp>
      <tp>
        <v>24.970030635350533</v>
        <stp/>
        <stp>##V3_BDPV12</stp>
        <stp>2020 HK Equity</stp>
        <stp>RR041</stp>
        <stp>[DPM - Securities Master List (BBG Linked).xlsx]Equities!R3C33</stp>
        <tr r="AG3" s="2"/>
        <tr r="AG3" s="2"/>
        <tr r="AG3" s="2"/>
      </tp>
      <tp>
        <v>93.66</v>
        <stp/>
        <stp>##V3_BDPV12</stp>
        <stp>PYPL US Equity</stp>
        <stp>hs001</stp>
        <stp>[DPM - Securities Master List (BBG Linked).xlsx]Equities!R238C44</stp>
        <tr r="AR238" s="2"/>
      </tp>
      <tp>
        <v>93.66</v>
        <stp/>
        <stp>##V3_BDPV12</stp>
        <stp>PYPL US Equity</stp>
        <stp>hs001</stp>
        <stp>[DPM - Securities Master List (BBG Linked).xlsx]Equities!R239C44</stp>
        <tr r="AR239" s="2"/>
      </tp>
      <tp>
        <v>93.66</v>
        <stp/>
        <stp>##V3_BDPV12</stp>
        <stp>PYPL US Equity</stp>
        <stp>hs001</stp>
        <stp>[DPM - Securities Master List (BBG Linked).xlsx]Equities!R237C44</stp>
        <tr r="AR237" s="2"/>
      </tp>
      <tp t="s">
        <v>BP PLC</v>
        <stp/>
        <stp>##V3_BDPV12</stp>
        <stp>BP/ LN Equity</stp>
        <stp>SECURITY NAME</stp>
        <stp>[DPM - Securities Master List (BBG Linked).xlsx]Equities!R82C5</stp>
        <tr r="E82" s="2"/>
      </tp>
      <tp t="s">
        <v>AstraZeneca PLC</v>
        <stp/>
        <stp>##V3_BDPV12</stp>
        <stp>AZN LN Equity</stp>
        <stp>SECURITY NAME</stp>
        <stp>[DPM - Securities Master List (BBG Linked).xlsx]Equities!R52C5</stp>
        <tr r="E52" s="2"/>
      </tp>
      <tp>
        <v>55.85</v>
        <stp/>
        <stp>##V3_BDPV12</stp>
        <stp>PYPL US Equity</stp>
        <stp>hs002</stp>
        <stp>[DPM - Securities Master List (BBG Linked).xlsx]Equities!R238C45</stp>
        <tr r="AS238" s="2"/>
      </tp>
      <tp>
        <v>55.85</v>
        <stp/>
        <stp>##V3_BDPV12</stp>
        <stp>PYPL US Equity</stp>
        <stp>hs002</stp>
        <stp>[DPM - Securities Master List (BBG Linked).xlsx]Equities!R239C45</stp>
        <tr r="AS239" s="2"/>
      </tp>
      <tp>
        <v>55.85</v>
        <stp/>
        <stp>##V3_BDPV12</stp>
        <stp>PYPL US Equity</stp>
        <stp>hs002</stp>
        <stp>[DPM - Securities Master List (BBG Linked).xlsx]Equities!R237C45</stp>
        <tr r="AS237" s="2"/>
      </tp>
      <tp>
        <v>1.2136</v>
        <stp/>
        <stp>##V3_BDPV12</stp>
        <stp>CHFUSD CURNCY</stp>
        <stp>PX_LAST</stp>
        <stp>[DPM - Securities Master List (BBG Linked).xlsx]Equities!R199C19</stp>
        <tr r="S199" s="2"/>
      </tp>
      <tp>
        <v>1.2136</v>
        <stp/>
        <stp>##V3_BDPV12</stp>
        <stp>CHFUSD CURNCY</stp>
        <stp>PX_LAST</stp>
        <stp>[DPM - Securities Master List (BBG Linked).xlsx]Equities!R198C19</stp>
        <tr r="S198" s="2"/>
      </tp>
      <tp>
        <v>1.2136</v>
        <stp/>
        <stp>##V3_BDPV12</stp>
        <stp>CHFUSD CURNCY</stp>
        <stp>PX_LAST</stp>
        <stp>[DPM - Securities Master List (BBG Linked).xlsx]Equities!R193C19</stp>
        <tr r="S193" s="2"/>
      </tp>
      <tp>
        <v>1.2136</v>
        <stp/>
        <stp>##V3_BDPV12</stp>
        <stp>CHFUSD CURNCY</stp>
        <stp>PX_LAST</stp>
        <stp>[DPM - Securities Master List (BBG Linked).xlsx]Equities!R195C19</stp>
        <tr r="S195" s="2"/>
      </tp>
      <tp>
        <v>1.2136</v>
        <stp/>
        <stp>##V3_BDPV12</stp>
        <stp>CHFUSD CURNCY</stp>
        <stp>PX_LAST</stp>
        <stp>[DPM - Securities Master List (BBG Linked).xlsx]Equities!R194C19</stp>
        <tr r="S194" s="2"/>
      </tp>
      <tp>
        <v>1.2136</v>
        <stp/>
        <stp>##V3_BDPV12</stp>
        <stp>CHFUSD CURNCY</stp>
        <stp>PX_LAST</stp>
        <stp>[DPM - Securities Master List (BBG Linked).xlsx]Equities!R197C19</stp>
        <tr r="S197" s="2"/>
      </tp>
      <tp>
        <v>1.2136</v>
        <stp/>
        <stp>##V3_BDPV12</stp>
        <stp>CHFUSD CURNCY</stp>
        <stp>PX_LAST</stp>
        <stp>[DPM - Securities Master List (BBG Linked).xlsx]Equities!R196C19</stp>
        <tr r="S196" s="2"/>
      </tp>
      <tp>
        <v>1.2136</v>
        <stp/>
        <stp>##V3_BDPV12</stp>
        <stp>CHFUSD CURNCY</stp>
        <stp>PX_LAST</stp>
        <stp>[DPM - Securities Master List (BBG Linked).xlsx]Equities!R199C18</stp>
        <tr r="R199" s="2"/>
      </tp>
      <tp>
        <v>1.2136</v>
        <stp/>
        <stp>##V3_BDPV12</stp>
        <stp>CHFUSD CURNCY</stp>
        <stp>PX_LAST</stp>
        <stp>[DPM - Securities Master List (BBG Linked).xlsx]Equities!R198C18</stp>
        <tr r="R198" s="2"/>
      </tp>
      <tp>
        <v>1.2136</v>
        <stp/>
        <stp>##V3_BDPV12</stp>
        <stp>CHFUSD CURNCY</stp>
        <stp>PX_LAST</stp>
        <stp>[DPM - Securities Master List (BBG Linked).xlsx]Equities!R193C18</stp>
        <tr r="R193" s="2"/>
      </tp>
      <tp>
        <v>1.2136</v>
        <stp/>
        <stp>##V3_BDPV12</stp>
        <stp>CHFUSD CURNCY</stp>
        <stp>PX_LAST</stp>
        <stp>[DPM - Securities Master List (BBG Linked).xlsx]Equities!R195C18</stp>
        <tr r="R195" s="2"/>
      </tp>
      <tp>
        <v>1.2136</v>
        <stp/>
        <stp>##V3_BDPV12</stp>
        <stp>CHFUSD CURNCY</stp>
        <stp>PX_LAST</stp>
        <stp>[DPM - Securities Master List (BBG Linked).xlsx]Equities!R194C18</stp>
        <tr r="R194" s="2"/>
      </tp>
      <tp>
        <v>1.2136</v>
        <stp/>
        <stp>##V3_BDPV12</stp>
        <stp>CHFUSD CURNCY</stp>
        <stp>PX_LAST</stp>
        <stp>[DPM - Securities Master List (BBG Linked).xlsx]Equities!R197C18</stp>
        <tr r="R197" s="2"/>
      </tp>
      <tp>
        <v>1.2136</v>
        <stp/>
        <stp>##V3_BDPV12</stp>
        <stp>CHFUSD CURNCY</stp>
        <stp>PX_LAST</stp>
        <stp>[DPM - Securities Master List (BBG Linked).xlsx]Equities!R196C18</stp>
        <tr r="R196" s="2"/>
      </tp>
      <tp t="s">
        <v>USD</v>
        <stp/>
        <stp>##V3_BDPV12</stp>
        <stp>BMRN US Equity</stp>
        <stp>CRNCY</stp>
        <stp>[DPM - Securities Master List (BBG Linked).xlsx]Equities!R73C6</stp>
        <tr r="F73" s="2"/>
      </tp>
      <tp t="s">
        <v>USD</v>
        <stp/>
        <stp>##V3_BDPV12</stp>
        <stp>BMRN US Equity</stp>
        <stp>CRNCY</stp>
        <stp>[DPM - Securities Master List (BBG Linked).xlsx]Equities!R63C6</stp>
        <tr r="F63" s="2"/>
      </tp>
      <tp>
        <v>1.2136</v>
        <stp/>
        <stp>##V3_BDPV12</stp>
        <stp>CHFUSD CURNCY</stp>
        <stp>PX_LAST</stp>
        <stp>[DPM - Securities Master List (BBG Linked).xlsx]Equities!R201C18</stp>
        <tr r="R201" s="2"/>
      </tp>
      <tp>
        <v>1.2136</v>
        <stp/>
        <stp>##V3_BDPV12</stp>
        <stp>CHFUSD CURNCY</stp>
        <stp>PX_LAST</stp>
        <stp>[DPM - Securities Master List (BBG Linked).xlsx]Equities!R200C18</stp>
        <tr r="R200" s="2"/>
      </tp>
      <tp>
        <v>1.2136</v>
        <stp/>
        <stp>##V3_BDPV12</stp>
        <stp>CHFUSD CURNCY</stp>
        <stp>PX_LAST</stp>
        <stp>[DPM - Securities Master List (BBG Linked).xlsx]Equities!R203C18</stp>
        <tr r="R203" s="2"/>
      </tp>
      <tp>
        <v>1.2136</v>
        <stp/>
        <stp>##V3_BDPV12</stp>
        <stp>CHFUSD CURNCY</stp>
        <stp>PX_LAST</stp>
        <stp>[DPM - Securities Master List (BBG Linked).xlsx]Equities!R202C18</stp>
        <tr r="R202" s="2"/>
      </tp>
      <tp>
        <v>1.2136</v>
        <stp/>
        <stp>##V3_BDPV12</stp>
        <stp>CHFUSD CURNCY</stp>
        <stp>PX_LAST</stp>
        <stp>[DPM - Securities Master List (BBG Linked).xlsx]Equities!R205C18</stp>
        <tr r="R205" s="2"/>
      </tp>
      <tp>
        <v>1.2136</v>
        <stp/>
        <stp>##V3_BDPV12</stp>
        <stp>CHFUSD CURNCY</stp>
        <stp>PX_LAST</stp>
        <stp>[DPM - Securities Master List (BBG Linked).xlsx]Equities!R204C18</stp>
        <tr r="R204" s="2"/>
      </tp>
      <tp>
        <v>1.2136</v>
        <stp/>
        <stp>##V3_BDPV12</stp>
        <stp>CHFUSD CURNCY</stp>
        <stp>PX_LAST</stp>
        <stp>[DPM - Securities Master List (BBG Linked).xlsx]Equities!R201C19</stp>
        <tr r="S201" s="2"/>
      </tp>
      <tp>
        <v>1.2136</v>
        <stp/>
        <stp>##V3_BDPV12</stp>
        <stp>CHFUSD CURNCY</stp>
        <stp>PX_LAST</stp>
        <stp>[DPM - Securities Master List (BBG Linked).xlsx]Equities!R200C19</stp>
        <tr r="S200" s="2"/>
      </tp>
      <tp>
        <v>1.2136</v>
        <stp/>
        <stp>##V3_BDPV12</stp>
        <stp>CHFUSD CURNCY</stp>
        <stp>PX_LAST</stp>
        <stp>[DPM - Securities Master List (BBG Linked).xlsx]Equities!R203C19</stp>
        <tr r="S203" s="2"/>
      </tp>
      <tp>
        <v>1.2136</v>
        <stp/>
        <stp>##V3_BDPV12</stp>
        <stp>CHFUSD CURNCY</stp>
        <stp>PX_LAST</stp>
        <stp>[DPM - Securities Master List (BBG Linked).xlsx]Equities!R202C19</stp>
        <tr r="S202" s="2"/>
      </tp>
      <tp>
        <v>1.2136</v>
        <stp/>
        <stp>##V3_BDPV12</stp>
        <stp>CHFUSD CURNCY</stp>
        <stp>PX_LAST</stp>
        <stp>[DPM - Securities Master List (BBG Linked).xlsx]Equities!R205C19</stp>
        <tr r="S205" s="2"/>
      </tp>
      <tp>
        <v>1.2136</v>
        <stp/>
        <stp>##V3_BDPV12</stp>
        <stp>CHFUSD CURNCY</stp>
        <stp>PX_LAST</stp>
        <stp>[DPM - Securities Master List (BBG Linked).xlsx]Equities!R204C19</stp>
        <tr r="S204" s="2"/>
      </tp>
      <tp>
        <v>0.64790000000000003</v>
        <stp/>
        <stp>##V3_BDPV12</stp>
        <stp>AUDUSD CURNCY</stp>
        <stp>PX_LAST</stp>
        <stp>[DPM - Securities Master List (BBG Linked).xlsx]Equities!R189C19</stp>
        <tr r="S189" s="2"/>
      </tp>
      <tp>
        <v>0.64790000000000003</v>
        <stp/>
        <stp>##V3_BDPV12</stp>
        <stp>AUDUSD CURNCY</stp>
        <stp>PX_LAST</stp>
        <stp>[DPM - Securities Master List (BBG Linked).xlsx]Equities!R192C18</stp>
        <tr r="R192" s="2"/>
      </tp>
      <tp>
        <v>0.64790000000000003</v>
        <stp/>
        <stp>##V3_BDPV12</stp>
        <stp>AUDUSD CURNCY</stp>
        <stp>PX_LAST</stp>
        <stp>[DPM - Securities Master List (BBG Linked).xlsx]Equities!R191C18</stp>
        <tr r="R191" s="2"/>
      </tp>
      <tp>
        <v>0.64790000000000003</v>
        <stp/>
        <stp>##V3_BDPV12</stp>
        <stp>AUDUSD CURNCY</stp>
        <stp>PX_LAST</stp>
        <stp>[DPM - Securities Master List (BBG Linked).xlsx]Equities!R190C18</stp>
        <tr r="R190" s="2"/>
      </tp>
      <tp>
        <v>0.64790000000000003</v>
        <stp/>
        <stp>##V3_BDPV12</stp>
        <stp>AUDUSD CURNCY</stp>
        <stp>PX_LAST</stp>
        <stp>[DPM - Securities Master List (BBG Linked).xlsx]Equities!R189C18</stp>
        <tr r="R189" s="2"/>
      </tp>
      <tp>
        <v>0.64790000000000003</v>
        <stp/>
        <stp>##V3_BDPV12</stp>
        <stp>AUDUSD CURNCY</stp>
        <stp>PX_LAST</stp>
        <stp>[DPM - Securities Master List (BBG Linked).xlsx]Equities!R192C19</stp>
        <tr r="S192" s="2"/>
      </tp>
      <tp>
        <v>0.64790000000000003</v>
        <stp/>
        <stp>##V3_BDPV12</stp>
        <stp>AUDUSD CURNCY</stp>
        <stp>PX_LAST</stp>
        <stp>[DPM - Securities Master List (BBG Linked).xlsx]Equities!R191C19</stp>
        <tr r="S191" s="2"/>
      </tp>
      <tp>
        <v>0.64790000000000003</v>
        <stp/>
        <stp>##V3_BDPV12</stp>
        <stp>AUDUSD CURNCY</stp>
        <stp>PX_LAST</stp>
        <stp>[DPM - Securities Master List (BBG Linked).xlsx]Equities!R190C19</stp>
        <tr r="S190" s="2"/>
      </tp>
      <tp>
        <v>1.1341000000000001</v>
        <stp/>
        <stp>##V3_BDPV12</stp>
        <stp>EURUSD CURNCY</stp>
        <stp>PX_LAST</stp>
        <stp>[DPM - Securities Master List (BBG Linked).xlsx]Equities!R279C18</stp>
        <tr r="R279" s="2"/>
      </tp>
      <tp>
        <v>1.1341000000000001</v>
        <stp/>
        <stp>##V3_BDPV12</stp>
        <stp>EURUSD CURNCY</stp>
        <stp>PX_LAST</stp>
        <stp>[DPM - Securities Master List (BBG Linked).xlsx]Equities!R278C18</stp>
        <tr r="R278" s="2"/>
      </tp>
      <tp>
        <v>1.1341000000000001</v>
        <stp/>
        <stp>##V3_BDPV12</stp>
        <stp>EURUSD CURNCY</stp>
        <stp>PX_LAST</stp>
        <stp>[DPM - Securities Master List (BBG Linked).xlsx]Equities!R277C18</stp>
        <tr r="R277" s="2"/>
      </tp>
      <tp>
        <v>1.1341000000000001</v>
        <stp/>
        <stp>##V3_BDPV12</stp>
        <stp>EURUSD CURNCY</stp>
        <stp>PX_LAST</stp>
        <stp>[DPM - Securities Master List (BBG Linked).xlsx]Equities!R276C18</stp>
        <tr r="R276" s="2"/>
      </tp>
      <tp>
        <v>1.1341000000000001</v>
        <stp/>
        <stp>##V3_BDPV12</stp>
        <stp>EURUSD CURNCY</stp>
        <stp>PX_LAST</stp>
        <stp>[DPM - Securities Master List (BBG Linked).xlsx]Equities!R279C19</stp>
        <tr r="S279" s="2"/>
      </tp>
      <tp>
        <v>1.1341000000000001</v>
        <stp/>
        <stp>##V3_BDPV12</stp>
        <stp>EURUSD CURNCY</stp>
        <stp>PX_LAST</stp>
        <stp>[DPM - Securities Master List (BBG Linked).xlsx]Equities!R278C19</stp>
        <tr r="S278" s="2"/>
      </tp>
      <tp>
        <v>1.1341000000000001</v>
        <stp/>
        <stp>##V3_BDPV12</stp>
        <stp>EURUSD CURNCY</stp>
        <stp>PX_LAST</stp>
        <stp>[DPM - Securities Master List (BBG Linked).xlsx]Equities!R277C19</stp>
        <tr r="S277" s="2"/>
      </tp>
      <tp>
        <v>1.1341000000000001</v>
        <stp/>
        <stp>##V3_BDPV12</stp>
        <stp>EURUSD CURNCY</stp>
        <stp>PX_LAST</stp>
        <stp>[DPM - Securities Master List (BBG Linked).xlsx]Equities!R276C19</stp>
        <tr r="S276" s="2"/>
      </tp>
      <tp>
        <v>1.1341000000000001</v>
        <stp/>
        <stp>##V3_BDPV12</stp>
        <stp>EURUSD CURNCY</stp>
        <stp>PX_LAST</stp>
        <stp>[DPM - Securities Master List (BBG Linked).xlsx]Equities!R289C19</stp>
        <tr r="S289" s="2"/>
      </tp>
      <tp>
        <v>1.1341000000000001</v>
        <stp/>
        <stp>##V3_BDPV12</stp>
        <stp>EURUSD CURNCY</stp>
        <stp>PX_LAST</stp>
        <stp>[DPM - Securities Master List (BBG Linked).xlsx]Equities!R288C19</stp>
        <tr r="S288" s="2"/>
      </tp>
      <tp>
        <v>1.1341000000000001</v>
        <stp/>
        <stp>##V3_BDPV12</stp>
        <stp>EURUSD CURNCY</stp>
        <stp>PX_LAST</stp>
        <stp>[DPM - Securities Master List (BBG Linked).xlsx]Equities!R285C19</stp>
        <tr r="S285" s="2"/>
      </tp>
      <tp>
        <v>1.1341000000000001</v>
        <stp/>
        <stp>##V3_BDPV12</stp>
        <stp>EURUSD CURNCY</stp>
        <stp>PX_LAST</stp>
        <stp>[DPM - Securities Master List (BBG Linked).xlsx]Equities!R284C19</stp>
        <tr r="S284" s="2"/>
      </tp>
      <tp>
        <v>1.1341000000000001</v>
        <stp/>
        <stp>##V3_BDPV12</stp>
        <stp>EURUSD CURNCY</stp>
        <stp>PX_LAST</stp>
        <stp>[DPM - Securities Master List (BBG Linked).xlsx]Equities!R287C19</stp>
        <tr r="S287" s="2"/>
      </tp>
      <tp>
        <v>1.1341000000000001</v>
        <stp/>
        <stp>##V3_BDPV12</stp>
        <stp>EURUSD CURNCY</stp>
        <stp>PX_LAST</stp>
        <stp>[DPM - Securities Master List (BBG Linked).xlsx]Equities!R286C19</stp>
        <tr r="S286" s="2"/>
      </tp>
      <tp>
        <v>1.1341000000000001</v>
        <stp/>
        <stp>##V3_BDPV12</stp>
        <stp>EURUSD CURNCY</stp>
        <stp>PX_LAST</stp>
        <stp>[DPM - Securities Master List (BBG Linked).xlsx]Equities!R281C19</stp>
        <tr r="S281" s="2"/>
      </tp>
      <tp>
        <v>1.1341000000000001</v>
        <stp/>
        <stp>##V3_BDPV12</stp>
        <stp>EURUSD CURNCY</stp>
        <stp>PX_LAST</stp>
        <stp>[DPM - Securities Master List (BBG Linked).xlsx]Equities!R291C18</stp>
        <tr r="R291" s="2"/>
      </tp>
      <tp>
        <v>1.1341000000000001</v>
        <stp/>
        <stp>##V3_BDPV12</stp>
        <stp>EURUSD CURNCY</stp>
        <stp>PX_LAST</stp>
        <stp>[DPM - Securities Master List (BBG Linked).xlsx]Equities!R280C19</stp>
        <tr r="S280" s="2"/>
      </tp>
      <tp>
        <v>1.1341000000000001</v>
        <stp/>
        <stp>##V3_BDPV12</stp>
        <stp>EURUSD CURNCY</stp>
        <stp>PX_LAST</stp>
        <stp>[DPM - Securities Master List (BBG Linked).xlsx]Equities!R290C18</stp>
        <tr r="R290" s="2"/>
      </tp>
      <tp>
        <v>1.1341000000000001</v>
        <stp/>
        <stp>##V3_BDPV12</stp>
        <stp>EURUSD CURNCY</stp>
        <stp>PX_LAST</stp>
        <stp>[DPM - Securities Master List (BBG Linked).xlsx]Equities!R283C19</stp>
        <tr r="S283" s="2"/>
      </tp>
      <tp>
        <v>1.1341000000000001</v>
        <stp/>
        <stp>##V3_BDPV12</stp>
        <stp>EURUSD CURNCY</stp>
        <stp>PX_LAST</stp>
        <stp>[DPM - Securities Master List (BBG Linked).xlsx]Equities!R293C18</stp>
        <tr r="R293" s="2"/>
      </tp>
      <tp>
        <v>1.1341000000000001</v>
        <stp/>
        <stp>##V3_BDPV12</stp>
        <stp>EURUSD CURNCY</stp>
        <stp>PX_LAST</stp>
        <stp>[DPM - Securities Master List (BBG Linked).xlsx]Equities!R282C19</stp>
        <tr r="S282" s="2"/>
      </tp>
      <tp>
        <v>1.1341000000000001</v>
        <stp/>
        <stp>##V3_BDPV12</stp>
        <stp>EURUSD CURNCY</stp>
        <stp>PX_LAST</stp>
        <stp>[DPM - Securities Master List (BBG Linked).xlsx]Equities!R292C18</stp>
        <tr r="R292" s="2"/>
      </tp>
      <tp>
        <v>1.1341000000000001</v>
        <stp/>
        <stp>##V3_BDPV12</stp>
        <stp>EURUSD CURNCY</stp>
        <stp>PX_LAST</stp>
        <stp>[DPM - Securities Master List (BBG Linked).xlsx]Equities!R289C18</stp>
        <tr r="R289" s="2"/>
      </tp>
      <tp>
        <v>1.1341000000000001</v>
        <stp/>
        <stp>##V3_BDPV12</stp>
        <stp>EURUSD CURNCY</stp>
        <stp>PX_LAST</stp>
        <stp>[DPM - Securities Master List (BBG Linked).xlsx]Equities!R288C18</stp>
        <tr r="R288" s="2"/>
      </tp>
      <tp>
        <v>1.1341000000000001</v>
        <stp/>
        <stp>##V3_BDPV12</stp>
        <stp>EURUSD CURNCY</stp>
        <stp>PX_LAST</stp>
        <stp>[DPM - Securities Master List (BBG Linked).xlsx]Equities!R285C18</stp>
        <tr r="R285" s="2"/>
      </tp>
      <tp>
        <v>1.1341000000000001</v>
        <stp/>
        <stp>##V3_BDPV12</stp>
        <stp>EURUSD CURNCY</stp>
        <stp>PX_LAST</stp>
        <stp>[DPM - Securities Master List (BBG Linked).xlsx]Equities!R284C18</stp>
        <tr r="R284" s="2"/>
      </tp>
      <tp>
        <v>1.1341000000000001</v>
        <stp/>
        <stp>##V3_BDPV12</stp>
        <stp>EURUSD CURNCY</stp>
        <stp>PX_LAST</stp>
        <stp>[DPM - Securities Master List (BBG Linked).xlsx]Equities!R287C18</stp>
        <tr r="R287" s="2"/>
      </tp>
      <tp>
        <v>1.1341000000000001</v>
        <stp/>
        <stp>##V3_BDPV12</stp>
        <stp>EURUSD CURNCY</stp>
        <stp>PX_LAST</stp>
        <stp>[DPM - Securities Master List (BBG Linked).xlsx]Equities!R286C18</stp>
        <tr r="R286" s="2"/>
      </tp>
      <tp>
        <v>1.1341000000000001</v>
        <stp/>
        <stp>##V3_BDPV12</stp>
        <stp>EURUSD CURNCY</stp>
        <stp>PX_LAST</stp>
        <stp>[DPM - Securities Master List (BBG Linked).xlsx]Equities!R281C18</stp>
        <tr r="R281" s="2"/>
      </tp>
      <tp>
        <v>1.1341000000000001</v>
        <stp/>
        <stp>##V3_BDPV12</stp>
        <stp>EURUSD CURNCY</stp>
        <stp>PX_LAST</stp>
        <stp>[DPM - Securities Master List (BBG Linked).xlsx]Equities!R291C19</stp>
        <tr r="S291" s="2"/>
      </tp>
      <tp>
        <v>1.1341000000000001</v>
        <stp/>
        <stp>##V3_BDPV12</stp>
        <stp>EURUSD CURNCY</stp>
        <stp>PX_LAST</stp>
        <stp>[DPM - Securities Master List (BBG Linked).xlsx]Equities!R280C18</stp>
        <tr r="R280" s="2"/>
      </tp>
      <tp>
        <v>1.1341000000000001</v>
        <stp/>
        <stp>##V3_BDPV12</stp>
        <stp>EURUSD CURNCY</stp>
        <stp>PX_LAST</stp>
        <stp>[DPM - Securities Master List (BBG Linked).xlsx]Equities!R290C19</stp>
        <tr r="S290" s="2"/>
      </tp>
      <tp>
        <v>1.1341000000000001</v>
        <stp/>
        <stp>##V3_BDPV12</stp>
        <stp>EURUSD CURNCY</stp>
        <stp>PX_LAST</stp>
        <stp>[DPM - Securities Master List (BBG Linked).xlsx]Equities!R283C18</stp>
        <tr r="R283" s="2"/>
      </tp>
      <tp>
        <v>1.1341000000000001</v>
        <stp/>
        <stp>##V3_BDPV12</stp>
        <stp>EURUSD CURNCY</stp>
        <stp>PX_LAST</stp>
        <stp>[DPM - Securities Master List (BBG Linked).xlsx]Equities!R293C19</stp>
        <tr r="S293" s="2"/>
      </tp>
      <tp>
        <v>1.1341000000000001</v>
        <stp/>
        <stp>##V3_BDPV12</stp>
        <stp>EURUSD CURNCY</stp>
        <stp>PX_LAST</stp>
        <stp>[DPM - Securities Master List (BBG Linked).xlsx]Equities!R282C18</stp>
        <tr r="R282" s="2"/>
      </tp>
      <tp>
        <v>1.1341000000000001</v>
        <stp/>
        <stp>##V3_BDPV12</stp>
        <stp>EURUSD CURNCY</stp>
        <stp>PX_LAST</stp>
        <stp>[DPM - Securities Master List (BBG Linked).xlsx]Equities!R292C19</stp>
        <tr r="S292" s="2"/>
      </tp>
      <tp>
        <v>1.3367</v>
        <stp/>
        <stp>##V3_BDPV12</stp>
        <stp>GBpUSD CURNCY</stp>
        <stp>PX_LAST</stp>
        <stp>[DPM - Securities Master List (BBG Linked).xlsx]Equities!R145C18</stp>
        <tr r="R145" s="2"/>
      </tp>
      <tp>
        <v>1.3367</v>
        <stp/>
        <stp>##V3_BDPV12</stp>
        <stp>GBpUSD CURNCY</stp>
        <stp>PX_LAST</stp>
        <stp>[DPM - Securities Master List (BBG Linked).xlsx]Equities!R144C18</stp>
        <tr r="R144" s="2"/>
      </tp>
      <tp>
        <v>1.3367</v>
        <stp/>
        <stp>##V3_BDPV12</stp>
        <stp>GBpUSD CURNCY</stp>
        <stp>PX_LAST</stp>
        <stp>[DPM - Securities Master List (BBG Linked).xlsx]Equities!R143C18</stp>
        <tr r="R143" s="2"/>
      </tp>
      <tp>
        <v>1.3367</v>
        <stp/>
        <stp>##V3_BDPV12</stp>
        <stp>GBpUSD CURNCY</stp>
        <stp>PX_LAST</stp>
        <stp>[DPM - Securities Master List (BBG Linked).xlsx]Equities!R142C18</stp>
        <tr r="R142" s="2"/>
      </tp>
      <tp>
        <v>1.3367</v>
        <stp/>
        <stp>##V3_BDPV12</stp>
        <stp>GBpUSD CURNCY</stp>
        <stp>PX_LAST</stp>
        <stp>[DPM - Securities Master List (BBG Linked).xlsx]Equities!R145C19</stp>
        <tr r="S145" s="2"/>
      </tp>
      <tp>
        <v>1.3367</v>
        <stp/>
        <stp>##V3_BDPV12</stp>
        <stp>GBpUSD CURNCY</stp>
        <stp>PX_LAST</stp>
        <stp>[DPM - Securities Master List (BBG Linked).xlsx]Equities!R144C19</stp>
        <tr r="S144" s="2"/>
      </tp>
      <tp>
        <v>1.3367</v>
        <stp/>
        <stp>##V3_BDPV12</stp>
        <stp>GBpUSD CURNCY</stp>
        <stp>PX_LAST</stp>
        <stp>[DPM - Securities Master List (BBG Linked).xlsx]Equities!R143C19</stp>
        <tr r="S143" s="2"/>
      </tp>
      <tp>
        <v>1.3367</v>
        <stp/>
        <stp>##V3_BDPV12</stp>
        <stp>GBpUSD CURNCY</stp>
        <stp>PX_LAST</stp>
        <stp>[DPM - Securities Master List (BBG Linked).xlsx]Equities!R142C19</stp>
        <tr r="S142" s="2"/>
      </tp>
      <tp>
        <v>1.3367</v>
        <stp/>
        <stp>##V3_BDPV12</stp>
        <stp>GBpUSD CURNCY</stp>
        <stp>PX_LAST</stp>
        <stp>[DPM - Securities Master List (BBG Linked).xlsx]Equities!R124C18</stp>
        <tr r="R124" s="2"/>
      </tp>
      <tp>
        <v>1.3367</v>
        <stp/>
        <stp>##V3_BDPV12</stp>
        <stp>GBpUSD CURNCY</stp>
        <stp>PX_LAST</stp>
        <stp>[DPM - Securities Master List (BBG Linked).xlsx]Equities!R123C18</stp>
        <tr r="R123" s="2"/>
      </tp>
      <tp>
        <v>1.3367</v>
        <stp/>
        <stp>##V3_BDPV12</stp>
        <stp>GBpUSD CURNCY</stp>
        <stp>PX_LAST</stp>
        <stp>[DPM - Securities Master List (BBG Linked).xlsx]Equities!R122C18</stp>
        <tr r="R122" s="2"/>
      </tp>
      <tp>
        <v>1.3367</v>
        <stp/>
        <stp>##V3_BDPV12</stp>
        <stp>GBpUSD CURNCY</stp>
        <stp>PX_LAST</stp>
        <stp>[DPM - Securities Master List (BBG Linked).xlsx]Equities!R121C18</stp>
        <tr r="R121" s="2"/>
      </tp>
      <tp>
        <v>1.3367</v>
        <stp/>
        <stp>##V3_BDPV12</stp>
        <stp>GBpUSD CURNCY</stp>
        <stp>PX_LAST</stp>
        <stp>[DPM - Securities Master List (BBG Linked).xlsx]Equities!R120C18</stp>
        <tr r="R120" s="2"/>
      </tp>
      <tp>
        <v>1.3367</v>
        <stp/>
        <stp>##V3_BDPV12</stp>
        <stp>GBpUSD CURNCY</stp>
        <stp>PX_LAST</stp>
        <stp>[DPM - Securities Master List (BBG Linked).xlsx]Equities!R124C19</stp>
        <tr r="S124" s="2"/>
      </tp>
      <tp>
        <v>1.3367</v>
        <stp/>
        <stp>##V3_BDPV12</stp>
        <stp>GBpUSD CURNCY</stp>
        <stp>PX_LAST</stp>
        <stp>[DPM - Securities Master List (BBG Linked).xlsx]Equities!R123C19</stp>
        <tr r="S123" s="2"/>
      </tp>
      <tp>
        <v>1.3367</v>
        <stp/>
        <stp>##V3_BDPV12</stp>
        <stp>GBpUSD CURNCY</stp>
        <stp>PX_LAST</stp>
        <stp>[DPM - Securities Master List (BBG Linked).xlsx]Equities!R122C19</stp>
        <tr r="S122" s="2"/>
      </tp>
      <tp>
        <v>1.3367</v>
        <stp/>
        <stp>##V3_BDPV12</stp>
        <stp>GBpUSD CURNCY</stp>
        <stp>PX_LAST</stp>
        <stp>[DPM - Securities Master List (BBG Linked).xlsx]Equities!R121C19</stp>
        <tr r="S121" s="2"/>
      </tp>
      <tp>
        <v>1.3367</v>
        <stp/>
        <stp>##V3_BDPV12</stp>
        <stp>GBpUSD CURNCY</stp>
        <stp>PX_LAST</stp>
        <stp>[DPM - Securities Master List (BBG Linked).xlsx]Equities!R120C19</stp>
        <tr r="S120" s="2"/>
      </tp>
      <tp>
        <v>1.3367</v>
        <stp/>
        <stp>##V3_BDPV12</stp>
        <stp>GBpUSD CURNCY</stp>
        <stp>PX_LAST</stp>
        <stp>[DPM - Securities Master List (BBG Linked).xlsx]Equities!R109C18</stp>
        <tr r="R109" s="2"/>
      </tp>
      <tp>
        <v>1.3367</v>
        <stp/>
        <stp>##V3_BDPV12</stp>
        <stp>GBpUSD CURNCY</stp>
        <stp>PX_LAST</stp>
        <stp>[DPM - Securities Master List (BBG Linked).xlsx]Equities!R119C19</stp>
        <tr r="S119" s="2"/>
      </tp>
      <tp>
        <v>1.3367</v>
        <stp/>
        <stp>##V3_BDPV12</stp>
        <stp>GBpUSD CURNCY</stp>
        <stp>PX_LAST</stp>
        <stp>[DPM - Securities Master List (BBG Linked).xlsx]Equities!R108C18</stp>
        <tr r="R108" s="2"/>
      </tp>
      <tp>
        <v>1.3367</v>
        <stp/>
        <stp>##V3_BDPV12</stp>
        <stp>GBpUSD CURNCY</stp>
        <stp>PX_LAST</stp>
        <stp>[DPM - Securities Master List (BBG Linked).xlsx]Equities!R118C19</stp>
        <tr r="S118" s="2"/>
      </tp>
      <tp>
        <v>1.3367</v>
        <stp/>
        <stp>##V3_BDPV12</stp>
        <stp>GBpUSD CURNCY</stp>
        <stp>PX_LAST</stp>
        <stp>[DPM - Securities Master List (BBG Linked).xlsx]Equities!R117C19</stp>
        <tr r="S117" s="2"/>
      </tp>
      <tp>
        <v>1.3367</v>
        <stp/>
        <stp>##V3_BDPV12</stp>
        <stp>GBpUSD CURNCY</stp>
        <stp>PX_LAST</stp>
        <stp>[DPM - Securities Master List (BBG Linked).xlsx]Equities!R116C19</stp>
        <tr r="S116" s="2"/>
      </tp>
      <tp>
        <v>1.3367</v>
        <stp/>
        <stp>##V3_BDPV12</stp>
        <stp>GBpUSD CURNCY</stp>
        <stp>PX_LAST</stp>
        <stp>[DPM - Securities Master List (BBG Linked).xlsx]Equities!R111C19</stp>
        <tr r="S111" s="2"/>
      </tp>
      <tp>
        <v>1.3367</v>
        <stp/>
        <stp>##V3_BDPV12</stp>
        <stp>GBpUSD CURNCY</stp>
        <stp>PX_LAST</stp>
        <stp>[DPM - Securities Master List (BBG Linked).xlsx]Equities!R110C19</stp>
        <tr r="S110" s="2"/>
      </tp>
      <tp>
        <v>1.3367</v>
        <stp/>
        <stp>##V3_BDPV12</stp>
        <stp>GBpUSD CURNCY</stp>
        <stp>PX_LAST</stp>
        <stp>[DPM - Securities Master List (BBG Linked).xlsx]Equities!R109C19</stp>
        <tr r="S109" s="2"/>
      </tp>
      <tp>
        <v>1.3367</v>
        <stp/>
        <stp>##V3_BDPV12</stp>
        <stp>GBpUSD CURNCY</stp>
        <stp>PX_LAST</stp>
        <stp>[DPM - Securities Master List (BBG Linked).xlsx]Equities!R119C18</stp>
        <tr r="R119" s="2"/>
      </tp>
      <tp>
        <v>1.3367</v>
        <stp/>
        <stp>##V3_BDPV12</stp>
        <stp>GBpUSD CURNCY</stp>
        <stp>PX_LAST</stp>
        <stp>[DPM - Securities Master List (BBG Linked).xlsx]Equities!R108C19</stp>
        <tr r="S108" s="2"/>
      </tp>
      <tp>
        <v>1.3367</v>
        <stp/>
        <stp>##V3_BDPV12</stp>
        <stp>GBpUSD CURNCY</stp>
        <stp>PX_LAST</stp>
        <stp>[DPM - Securities Master List (BBG Linked).xlsx]Equities!R118C18</stp>
        <tr r="R118" s="2"/>
      </tp>
      <tp>
        <v>1.3367</v>
        <stp/>
        <stp>##V3_BDPV12</stp>
        <stp>GBpUSD CURNCY</stp>
        <stp>PX_LAST</stp>
        <stp>[DPM - Securities Master List (BBG Linked).xlsx]Equities!R117C18</stp>
        <tr r="R117" s="2"/>
      </tp>
      <tp>
        <v>1.3367</v>
        <stp/>
        <stp>##V3_BDPV12</stp>
        <stp>GBpUSD CURNCY</stp>
        <stp>PX_LAST</stp>
        <stp>[DPM - Securities Master List (BBG Linked).xlsx]Equities!R116C18</stp>
        <tr r="R116" s="2"/>
      </tp>
      <tp>
        <v>1.3367</v>
        <stp/>
        <stp>##V3_BDPV12</stp>
        <stp>GBpUSD CURNCY</stp>
        <stp>PX_LAST</stp>
        <stp>[DPM - Securities Master List (BBG Linked).xlsx]Equities!R111C18</stp>
        <tr r="R111" s="2"/>
      </tp>
      <tp>
        <v>1.3367</v>
        <stp/>
        <stp>##V3_BDPV12</stp>
        <stp>GBpUSD CURNCY</stp>
        <stp>PX_LAST</stp>
        <stp>[DPM - Securities Master List (BBG Linked).xlsx]Equities!R110C18</stp>
        <tr r="R110" s="2"/>
      </tp>
      <tp>
        <v>1.3367</v>
        <stp/>
        <stp>##V3_BDPV12</stp>
        <stp>GBpUSD CURNCY</stp>
        <stp>PX_LAST</stp>
        <stp>[DPM - Securities Master List (BBG Linked).xlsx]Equities!R269C18</stp>
        <tr r="R269" s="2"/>
      </tp>
      <tp>
        <v>1.3367</v>
        <stp/>
        <stp>##V3_BDPV12</stp>
        <stp>GBpUSD CURNCY</stp>
        <stp>PX_LAST</stp>
        <stp>[DPM - Securities Master List (BBG Linked).xlsx]Equities!R268C18</stp>
        <tr r="R268" s="2"/>
      </tp>
      <tp>
        <v>1.3367</v>
        <stp/>
        <stp>##V3_BDPV12</stp>
        <stp>GBpUSD CURNCY</stp>
        <stp>PX_LAST</stp>
        <stp>[DPM - Securities Master List (BBG Linked).xlsx]Equities!R267C18</stp>
        <tr r="R267" s="2"/>
      </tp>
      <tp>
        <v>1.3367</v>
        <stp/>
        <stp>##V3_BDPV12</stp>
        <stp>GBpUSD CURNCY</stp>
        <stp>PX_LAST</stp>
        <stp>[DPM - Securities Master List (BBG Linked).xlsx]Equities!R266C18</stp>
        <tr r="R266" s="2"/>
      </tp>
      <tp>
        <v>1.3367</v>
        <stp/>
        <stp>##V3_BDPV12</stp>
        <stp>GBpUSD CURNCY</stp>
        <stp>PX_LAST</stp>
        <stp>[DPM - Securities Master List (BBG Linked).xlsx]Equities!R265C18</stp>
        <tr r="R265" s="2"/>
      </tp>
      <tp>
        <v>1.3367</v>
        <stp/>
        <stp>##V3_BDPV12</stp>
        <stp>GBpUSD CURNCY</stp>
        <stp>PX_LAST</stp>
        <stp>[DPM - Securities Master List (BBG Linked).xlsx]Equities!R275C19</stp>
        <tr r="S275" s="2"/>
      </tp>
      <tp>
        <v>1.3367</v>
        <stp/>
        <stp>##V3_BDPV12</stp>
        <stp>GBpUSD CURNCY</stp>
        <stp>PX_LAST</stp>
        <stp>[DPM - Securities Master List (BBG Linked).xlsx]Equities!R264C18</stp>
        <tr r="R264" s="2"/>
      </tp>
      <tp>
        <v>1.3367</v>
        <stp/>
        <stp>##V3_BDPV12</stp>
        <stp>GBpUSD CURNCY</stp>
        <stp>PX_LAST</stp>
        <stp>[DPM - Securities Master List (BBG Linked).xlsx]Equities!R274C19</stp>
        <tr r="S274" s="2"/>
      </tp>
      <tp>
        <v>1.3367</v>
        <stp/>
        <stp>##V3_BDPV12</stp>
        <stp>GBpUSD CURNCY</stp>
        <stp>PX_LAST</stp>
        <stp>[DPM - Securities Master List (BBG Linked).xlsx]Equities!R263C18</stp>
        <tr r="R263" s="2"/>
      </tp>
      <tp>
        <v>1.3367</v>
        <stp/>
        <stp>##V3_BDPV12</stp>
        <stp>GBpUSD CURNCY</stp>
        <stp>PX_LAST</stp>
        <stp>[DPM - Securities Master List (BBG Linked).xlsx]Equities!R273C19</stp>
        <tr r="S273" s="2"/>
      </tp>
      <tp>
        <v>1.3367</v>
        <stp/>
        <stp>##V3_BDPV12</stp>
        <stp>GBpUSD CURNCY</stp>
        <stp>PX_LAST</stp>
        <stp>[DPM - Securities Master List (BBG Linked).xlsx]Equities!R262C18</stp>
        <tr r="R262" s="2"/>
      </tp>
      <tp>
        <v>1.3367</v>
        <stp/>
        <stp>##V3_BDPV12</stp>
        <stp>GBpUSD CURNCY</stp>
        <stp>PX_LAST</stp>
        <stp>[DPM - Securities Master List (BBG Linked).xlsx]Equities!R272C19</stp>
        <tr r="S272" s="2"/>
      </tp>
      <tp>
        <v>1.3367</v>
        <stp/>
        <stp>##V3_BDPV12</stp>
        <stp>GBpUSD CURNCY</stp>
        <stp>PX_LAST</stp>
        <stp>[DPM - Securities Master List (BBG Linked).xlsx]Equities!R271C19</stp>
        <tr r="S271" s="2"/>
      </tp>
      <tp>
        <v>1.3367</v>
        <stp/>
        <stp>##V3_BDPV12</stp>
        <stp>GBpUSD CURNCY</stp>
        <stp>PX_LAST</stp>
        <stp>[DPM - Securities Master List (BBG Linked).xlsx]Equities!R270C19</stp>
        <tr r="S270" s="2"/>
      </tp>
      <tp>
        <v>1.3367</v>
        <stp/>
        <stp>##V3_BDPV12</stp>
        <stp>GBpUSD CURNCY</stp>
        <stp>PX_LAST</stp>
        <stp>[DPM - Securities Master List (BBG Linked).xlsx]Equities!R269C19</stp>
        <tr r="S269" s="2"/>
      </tp>
      <tp>
        <v>1.3367</v>
        <stp/>
        <stp>##V3_BDPV12</stp>
        <stp>GBpUSD CURNCY</stp>
        <stp>PX_LAST</stp>
        <stp>[DPM - Securities Master List (BBG Linked).xlsx]Equities!R268C19</stp>
        <tr r="S268" s="2"/>
      </tp>
      <tp>
        <v>1.3367</v>
        <stp/>
        <stp>##V3_BDPV12</stp>
        <stp>GBpUSD CURNCY</stp>
        <stp>PX_LAST</stp>
        <stp>[DPM - Securities Master List (BBG Linked).xlsx]Equities!R267C19</stp>
        <tr r="S267" s="2"/>
      </tp>
      <tp>
        <v>1.3367</v>
        <stp/>
        <stp>##V3_BDPV12</stp>
        <stp>GBpUSD CURNCY</stp>
        <stp>PX_LAST</stp>
        <stp>[DPM - Securities Master List (BBG Linked).xlsx]Equities!R266C19</stp>
        <tr r="S266" s="2"/>
      </tp>
      <tp>
        <v>1.3367</v>
        <stp/>
        <stp>##V3_BDPV12</stp>
        <stp>GBpUSD CURNCY</stp>
        <stp>PX_LAST</stp>
        <stp>[DPM - Securities Master List (BBG Linked).xlsx]Equities!R265C19</stp>
        <tr r="S265" s="2"/>
      </tp>
      <tp>
        <v>1.3367</v>
        <stp/>
        <stp>##V3_BDPV12</stp>
        <stp>GBpUSD CURNCY</stp>
        <stp>PX_LAST</stp>
        <stp>[DPM - Securities Master List (BBG Linked).xlsx]Equities!R275C18</stp>
        <tr r="R275" s="2"/>
      </tp>
      <tp>
        <v>1.3367</v>
        <stp/>
        <stp>##V3_BDPV12</stp>
        <stp>GBpUSD CURNCY</stp>
        <stp>PX_LAST</stp>
        <stp>[DPM - Securities Master List (BBG Linked).xlsx]Equities!R264C19</stp>
        <tr r="S264" s="2"/>
      </tp>
      <tp>
        <v>1.3367</v>
        <stp/>
        <stp>##V3_BDPV12</stp>
        <stp>GBpUSD CURNCY</stp>
        <stp>PX_LAST</stp>
        <stp>[DPM - Securities Master List (BBG Linked).xlsx]Equities!R274C18</stp>
        <tr r="R274" s="2"/>
      </tp>
      <tp>
        <v>1.3367</v>
        <stp/>
        <stp>##V3_BDPV12</stp>
        <stp>GBpUSD CURNCY</stp>
        <stp>PX_LAST</stp>
        <stp>[DPM - Securities Master List (BBG Linked).xlsx]Equities!R263C19</stp>
        <tr r="S263" s="2"/>
      </tp>
      <tp>
        <v>1.3367</v>
        <stp/>
        <stp>##V3_BDPV12</stp>
        <stp>GBpUSD CURNCY</stp>
        <stp>PX_LAST</stp>
        <stp>[DPM - Securities Master List (BBG Linked).xlsx]Equities!R273C18</stp>
        <tr r="R273" s="2"/>
      </tp>
      <tp>
        <v>1.3367</v>
        <stp/>
        <stp>##V3_BDPV12</stp>
        <stp>GBpUSD CURNCY</stp>
        <stp>PX_LAST</stp>
        <stp>[DPM - Securities Master List (BBG Linked).xlsx]Equities!R262C19</stp>
        <tr r="S262" s="2"/>
      </tp>
      <tp>
        <v>1.3367</v>
        <stp/>
        <stp>##V3_BDPV12</stp>
        <stp>GBpUSD CURNCY</stp>
        <stp>PX_LAST</stp>
        <stp>[DPM - Securities Master List (BBG Linked).xlsx]Equities!R272C18</stp>
        <tr r="R272" s="2"/>
      </tp>
      <tp>
        <v>1.3367</v>
        <stp/>
        <stp>##V3_BDPV12</stp>
        <stp>GBpUSD CURNCY</stp>
        <stp>PX_LAST</stp>
        <stp>[DPM - Securities Master List (BBG Linked).xlsx]Equities!R271C18</stp>
        <tr r="R271" s="2"/>
      </tp>
      <tp>
        <v>1.3367</v>
        <stp/>
        <stp>##V3_BDPV12</stp>
        <stp>GBpUSD CURNCY</stp>
        <stp>PX_LAST</stp>
        <stp>[DPM - Securities Master List (BBG Linked).xlsx]Equities!R270C18</stp>
        <tr r="R270" s="2"/>
      </tp>
      <tp>
        <v>1.3367</v>
        <stp/>
        <stp>##V3_BDPV12</stp>
        <stp>GBpUSD CURNCY</stp>
        <stp>PX_LAST</stp>
        <stp>[DPM - Securities Master List (BBG Linked).xlsx]Equities!R249C18</stp>
        <tr r="R249" s="2"/>
      </tp>
      <tp>
        <v>1.3367</v>
        <stp/>
        <stp>##V3_BDPV12</stp>
        <stp>GBpUSD CURNCY</stp>
        <stp>PX_LAST</stp>
        <stp>[DPM - Securities Master List (BBG Linked).xlsx]Equities!R248C18</stp>
        <tr r="R248" s="2"/>
      </tp>
      <tp>
        <v>1.3367</v>
        <stp/>
        <stp>##V3_BDPV12</stp>
        <stp>GBpUSD CURNCY</stp>
        <stp>PX_LAST</stp>
        <stp>[DPM - Securities Master List (BBG Linked).xlsx]Equities!R258C19</stp>
        <tr r="S258" s="2"/>
      </tp>
      <tp>
        <v>1.3367</v>
        <stp/>
        <stp>##V3_BDPV12</stp>
        <stp>GBpUSD CURNCY</stp>
        <stp>PX_LAST</stp>
        <stp>[DPM - Securities Master List (BBG Linked).xlsx]Equities!R247C18</stp>
        <tr r="R247" s="2"/>
      </tp>
      <tp>
        <v>1.3367</v>
        <stp/>
        <stp>##V3_BDPV12</stp>
        <stp>GBpUSD CURNCY</stp>
        <stp>PX_LAST</stp>
        <stp>[DPM - Securities Master List (BBG Linked).xlsx]Equities!R257C19</stp>
        <tr r="S257" s="2"/>
      </tp>
      <tp>
        <v>1.3367</v>
        <stp/>
        <stp>##V3_BDPV12</stp>
        <stp>GBpUSD CURNCY</stp>
        <stp>PX_LAST</stp>
        <stp>[DPM - Securities Master List (BBG Linked).xlsx]Equities!R246C18</stp>
        <tr r="R246" s="2"/>
      </tp>
      <tp>
        <v>1.3367</v>
        <stp/>
        <stp>##V3_BDPV12</stp>
        <stp>GBpUSD CURNCY</stp>
        <stp>PX_LAST</stp>
        <stp>[DPM - Securities Master List (BBG Linked).xlsx]Equities!R256C19</stp>
        <tr r="S256" s="2"/>
      </tp>
      <tp>
        <v>1.3367</v>
        <stp/>
        <stp>##V3_BDPV12</stp>
        <stp>GBpUSD CURNCY</stp>
        <stp>PX_LAST</stp>
        <stp>[DPM - Securities Master List (BBG Linked).xlsx]Equities!R245C18</stp>
        <tr r="R245" s="2"/>
      </tp>
      <tp>
        <v>1.3367</v>
        <stp/>
        <stp>##V3_BDPV12</stp>
        <stp>GBpUSD CURNCY</stp>
        <stp>PX_LAST</stp>
        <stp>[DPM - Securities Master List (BBG Linked).xlsx]Equities!R255C19</stp>
        <tr r="S255" s="2"/>
      </tp>
      <tp>
        <v>1.3367</v>
        <stp/>
        <stp>##V3_BDPV12</stp>
        <stp>GBpUSD CURNCY</stp>
        <stp>PX_LAST</stp>
        <stp>[DPM - Securities Master List (BBG Linked).xlsx]Equities!R244C18</stp>
        <tr r="R244" s="2"/>
      </tp>
      <tp>
        <v>1.3367</v>
        <stp/>
        <stp>##V3_BDPV12</stp>
        <stp>GBpUSD CURNCY</stp>
        <stp>PX_LAST</stp>
        <stp>[DPM - Securities Master List (BBG Linked).xlsx]Equities!R254C19</stp>
        <tr r="S254" s="2"/>
      </tp>
      <tp>
        <v>1.3367</v>
        <stp/>
        <stp>##V3_BDPV12</stp>
        <stp>GBpUSD CURNCY</stp>
        <stp>PX_LAST</stp>
        <stp>[DPM - Securities Master List (BBG Linked).xlsx]Equities!R253C19</stp>
        <tr r="S253" s="2"/>
      </tp>
      <tp>
        <v>1.3367</v>
        <stp/>
        <stp>##V3_BDPV12</stp>
        <stp>GBpUSD CURNCY</stp>
        <stp>PX_LAST</stp>
        <stp>[DPM - Securities Master List (BBG Linked).xlsx]Equities!R242C18</stp>
        <tr r="R242" s="2"/>
      </tp>
      <tp>
        <v>1.3367</v>
        <stp/>
        <stp>##V3_BDPV12</stp>
        <stp>GBpUSD CURNCY</stp>
        <stp>PX_LAST</stp>
        <stp>[DPM - Securities Master List (BBG Linked).xlsx]Equities!R252C19</stp>
        <tr r="S252" s="2"/>
      </tp>
      <tp>
        <v>1.3367</v>
        <stp/>
        <stp>##V3_BDPV12</stp>
        <stp>GBpUSD CURNCY</stp>
        <stp>PX_LAST</stp>
        <stp>[DPM - Securities Master List (BBG Linked).xlsx]Equities!R251C19</stp>
        <tr r="S251" s="2"/>
      </tp>
      <tp>
        <v>1.3367</v>
        <stp/>
        <stp>##V3_BDPV12</stp>
        <stp>GBpUSD CURNCY</stp>
        <stp>PX_LAST</stp>
        <stp>[DPM - Securities Master List (BBG Linked).xlsx]Equities!R250C19</stp>
        <tr r="S250" s="2"/>
      </tp>
      <tp>
        <v>1.3367</v>
        <stp/>
        <stp>##V3_BDPV12</stp>
        <stp>GBpUSD CURNCY</stp>
        <stp>PX_LAST</stp>
        <stp>[DPM - Securities Master List (BBG Linked).xlsx]Equities!R249C19</stp>
        <tr r="S249" s="2"/>
      </tp>
      <tp>
        <v>1.3367</v>
        <stp/>
        <stp>##V3_BDPV12</stp>
        <stp>GBpUSD CURNCY</stp>
        <stp>PX_LAST</stp>
        <stp>[DPM - Securities Master List (BBG Linked).xlsx]Equities!R248C19</stp>
        <tr r="S248" s="2"/>
      </tp>
      <tp>
        <v>1.3367</v>
        <stp/>
        <stp>##V3_BDPV12</stp>
        <stp>GBpUSD CURNCY</stp>
        <stp>PX_LAST</stp>
        <stp>[DPM - Securities Master List (BBG Linked).xlsx]Equities!R258C18</stp>
        <tr r="R258" s="2"/>
      </tp>
      <tp>
        <v>1.3367</v>
        <stp/>
        <stp>##V3_BDPV12</stp>
        <stp>GBpUSD CURNCY</stp>
        <stp>PX_LAST</stp>
        <stp>[DPM - Securities Master List (BBG Linked).xlsx]Equities!R247C19</stp>
        <tr r="S247" s="2"/>
      </tp>
      <tp>
        <v>1.3367</v>
        <stp/>
        <stp>##V3_BDPV12</stp>
        <stp>GBpUSD CURNCY</stp>
        <stp>PX_LAST</stp>
        <stp>[DPM - Securities Master List (BBG Linked).xlsx]Equities!R257C18</stp>
        <tr r="R257" s="2"/>
      </tp>
      <tp>
        <v>1.3367</v>
        <stp/>
        <stp>##V3_BDPV12</stp>
        <stp>GBpUSD CURNCY</stp>
        <stp>PX_LAST</stp>
        <stp>[DPM - Securities Master List (BBG Linked).xlsx]Equities!R246C19</stp>
        <tr r="S246" s="2"/>
      </tp>
      <tp>
        <v>1.3367</v>
        <stp/>
        <stp>##V3_BDPV12</stp>
        <stp>GBpUSD CURNCY</stp>
        <stp>PX_LAST</stp>
        <stp>[DPM - Securities Master List (BBG Linked).xlsx]Equities!R256C18</stp>
        <tr r="R256" s="2"/>
      </tp>
      <tp>
        <v>1.3367</v>
        <stp/>
        <stp>##V3_BDPV12</stp>
        <stp>GBpUSD CURNCY</stp>
        <stp>PX_LAST</stp>
        <stp>[DPM - Securities Master List (BBG Linked).xlsx]Equities!R245C19</stp>
        <tr r="S245" s="2"/>
      </tp>
      <tp>
        <v>1.3367</v>
        <stp/>
        <stp>##V3_BDPV12</stp>
        <stp>GBpUSD CURNCY</stp>
        <stp>PX_LAST</stp>
        <stp>[DPM - Securities Master List (BBG Linked).xlsx]Equities!R255C18</stp>
        <tr r="R255" s="2"/>
      </tp>
      <tp>
        <v>1.3367</v>
        <stp/>
        <stp>##V3_BDPV12</stp>
        <stp>GBpUSD CURNCY</stp>
        <stp>PX_LAST</stp>
        <stp>[DPM - Securities Master List (BBG Linked).xlsx]Equities!R244C19</stp>
        <tr r="S244" s="2"/>
      </tp>
      <tp>
        <v>1.3367</v>
        <stp/>
        <stp>##V3_BDPV12</stp>
        <stp>GBpUSD CURNCY</stp>
        <stp>PX_LAST</stp>
        <stp>[DPM - Securities Master List (BBG Linked).xlsx]Equities!R254C18</stp>
        <tr r="R254" s="2"/>
      </tp>
      <tp>
        <v>1.3367</v>
        <stp/>
        <stp>##V3_BDPV12</stp>
        <stp>GBpUSD CURNCY</stp>
        <stp>PX_LAST</stp>
        <stp>[DPM - Securities Master List (BBG Linked).xlsx]Equities!R253C18</stp>
        <tr r="R253" s="2"/>
      </tp>
      <tp>
        <v>1.3367</v>
        <stp/>
        <stp>##V3_BDPV12</stp>
        <stp>GBpUSD CURNCY</stp>
        <stp>PX_LAST</stp>
        <stp>[DPM - Securities Master List (BBG Linked).xlsx]Equities!R242C19</stp>
        <tr r="S242" s="2"/>
      </tp>
      <tp>
        <v>1.3367</v>
        <stp/>
        <stp>##V3_BDPV12</stp>
        <stp>GBpUSD CURNCY</stp>
        <stp>PX_LAST</stp>
        <stp>[DPM - Securities Master List (BBG Linked).xlsx]Equities!R252C18</stp>
        <tr r="R252" s="2"/>
      </tp>
      <tp>
        <v>1.3367</v>
        <stp/>
        <stp>##V3_BDPV12</stp>
        <stp>GBpUSD CURNCY</stp>
        <stp>PX_LAST</stp>
        <stp>[DPM - Securities Master List (BBG Linked).xlsx]Equities!R251C18</stp>
        <tr r="R251" s="2"/>
      </tp>
      <tp>
        <v>1.3367</v>
        <stp/>
        <stp>##V3_BDPV12</stp>
        <stp>GBpUSD CURNCY</stp>
        <stp>PX_LAST</stp>
        <stp>[DPM - Securities Master List (BBG Linked).xlsx]Equities!R250C18</stp>
        <tr r="R250" s="2"/>
      </tp>
      <tp>
        <v>1.1341000000000001</v>
        <stp/>
        <stp>##V3_BDPV12</stp>
        <stp>EURUSD CURNCY</stp>
        <stp>PX_LAST</stp>
        <stp>[DPM - Securities Master List (BBG Linked).xlsx]Equities!R149C19</stp>
        <tr r="S149" s="2"/>
      </tp>
      <tp>
        <v>1.1341000000000001</v>
        <stp/>
        <stp>##V3_BDPV12</stp>
        <stp>EURUSD CURNCY</stp>
        <stp>PX_LAST</stp>
        <stp>[DPM - Securities Master List (BBG Linked).xlsx]Equities!R151C18</stp>
        <tr r="R151" s="2"/>
      </tp>
      <tp>
        <v>1.1341000000000001</v>
        <stp/>
        <stp>##V3_BDPV12</stp>
        <stp>EURUSD CURNCY</stp>
        <stp>PX_LAST</stp>
        <stp>[DPM - Securities Master List (BBG Linked).xlsx]Equities!R150C18</stp>
        <tr r="R150" s="2"/>
      </tp>
      <tp>
        <v>1.1341000000000001</v>
        <stp/>
        <stp>##V3_BDPV12</stp>
        <stp>EURUSD CURNCY</stp>
        <stp>PX_LAST</stp>
        <stp>[DPM - Securities Master List (BBG Linked).xlsx]Equities!R153C18</stp>
        <tr r="R153" s="2"/>
      </tp>
      <tp>
        <v>1.1341000000000001</v>
        <stp/>
        <stp>##V3_BDPV12</stp>
        <stp>EURUSD CURNCY</stp>
        <stp>PX_LAST</stp>
        <stp>[DPM - Securities Master List (BBG Linked).xlsx]Equities!R152C18</stp>
        <tr r="R152" s="2"/>
      </tp>
      <tp>
        <v>1.1341000000000001</v>
        <stp/>
        <stp>##V3_BDPV12</stp>
        <stp>EURUSD CURNCY</stp>
        <stp>PX_LAST</stp>
        <stp>[DPM - Securities Master List (BBG Linked).xlsx]Equities!R149C18</stp>
        <tr r="R149" s="2"/>
      </tp>
      <tp>
        <v>1.1341000000000001</v>
        <stp/>
        <stp>##V3_BDPV12</stp>
        <stp>EURUSD CURNCY</stp>
        <stp>PX_LAST</stp>
        <stp>[DPM - Securities Master List (BBG Linked).xlsx]Equities!R151C19</stp>
        <tr r="S151" s="2"/>
      </tp>
      <tp>
        <v>1.1341000000000001</v>
        <stp/>
        <stp>##V3_BDPV12</stp>
        <stp>EURUSD CURNCY</stp>
        <stp>PX_LAST</stp>
        <stp>[DPM - Securities Master List (BBG Linked).xlsx]Equities!R150C19</stp>
        <tr r="S150" s="2"/>
      </tp>
      <tp>
        <v>1.1341000000000001</v>
        <stp/>
        <stp>##V3_BDPV12</stp>
        <stp>EURUSD CURNCY</stp>
        <stp>PX_LAST</stp>
        <stp>[DPM - Securities Master List (BBG Linked).xlsx]Equities!R153C19</stp>
        <tr r="S153" s="2"/>
      </tp>
      <tp>
        <v>1.1341000000000001</v>
        <stp/>
        <stp>##V3_BDPV12</stp>
        <stp>EURUSD CURNCY</stp>
        <stp>PX_LAST</stp>
        <stp>[DPM - Securities Master List (BBG Linked).xlsx]Equities!R152C19</stp>
        <tr r="S152" s="2"/>
      </tp>
      <tp t="s">
        <v>American Airlines Group Inc</v>
        <stp/>
        <stp>##V3_BDPV12</stp>
        <stp>AAL US Equity</stp>
        <stp>SECURITY NAME</stp>
        <stp>[DPM - Securities Master List (BBG Linked).xlsx]Equities!R32C5</stp>
        <tr r="E32" s="2"/>
      </tp>
      <tp t="s">
        <v>USD</v>
        <stp/>
        <stp>##V3_BDPV12</stp>
        <stp>ADBE US Equity</stp>
        <stp>CRNCY</stp>
        <stp>[DPM - Securities Master List (BBG Linked).xlsx]Equities!R40C6</stp>
        <tr r="F40" s="2"/>
      </tp>
      <tp t="s">
        <v>USD</v>
        <stp/>
        <stp>##V3_BDPV12</stp>
        <stp>DELL US Equity</stp>
        <stp>CRNCY</stp>
        <stp>[DPM - Securities Master List (BBG Linked).xlsx]Equities!R95C6</stp>
        <tr r="F95" s="2"/>
      </tp>
      <tp t="s">
        <v>Financials</v>
        <stp/>
        <stp>##V3_BDPV12</stp>
        <stp>PYPL US Equity</stp>
        <stp>DX202</stp>
        <stp>[DPM - Securities Master List (BBG Linked).xlsx]Equities!R238C46</stp>
        <tr r="AT238" s="2"/>
        <tr r="AT238" s="2"/>
        <tr r="AT238" s="2"/>
      </tp>
      <tp t="s">
        <v>Financials</v>
        <stp/>
        <stp>##V3_BDPV12</stp>
        <stp>PYPL US Equity</stp>
        <stp>DX202</stp>
        <stp>[DPM - Securities Master List (BBG Linked).xlsx]Equities!R239C46</stp>
        <tr r="AT239" s="2"/>
        <tr r="AT239" s="2"/>
        <tr r="AT239" s="2"/>
      </tp>
      <tp t="s">
        <v>Financials</v>
        <stp/>
        <stp>##V3_BDPV12</stp>
        <stp>PYPL US Equity</stp>
        <stp>DX202</stp>
        <stp>[DPM - Securities Master List (BBG Linked).xlsx]Equities!R237C46</stp>
        <tr r="AT237" s="2"/>
        <tr r="AT237" s="2"/>
        <tr r="AT237" s="2"/>
      </tp>
      <tp>
        <v>3.788461446762085</v>
        <stp/>
        <stp>##V3_BDPV12</stp>
        <stp>PYPL US Equity</stp>
        <stp>EE201</stp>
        <stp>[DPM - Securities Master List (BBG Linked).xlsx]Equities!R238C37</stp>
        <tr r="AK238" s="2"/>
        <tr r="AK238" s="2"/>
        <tr r="AK238" s="2"/>
      </tp>
      <tp>
        <v>3.788461446762085</v>
        <stp/>
        <stp>##V3_BDPV12</stp>
        <stp>PYPL US Equity</stp>
        <stp>EE201</stp>
        <stp>[DPM - Securities Master List (BBG Linked).xlsx]Equities!R239C37</stp>
        <tr r="AK239" s="2"/>
        <tr r="AK239" s="2"/>
        <tr r="AK239" s="2"/>
      </tp>
      <tp>
        <v>3.788461446762085</v>
        <stp/>
        <stp>##V3_BDPV12</stp>
        <stp>PYPL US Equity</stp>
        <stp>EE201</stp>
        <stp>[DPM - Securities Master List (BBG Linked).xlsx]Equities!R237C37</stp>
        <tr r="AK237" s="2"/>
        <tr r="AK237" s="2"/>
        <tr r="AK237" s="2"/>
      </tp>
      <tp t="s">
        <v>US70450Y1038</v>
        <stp/>
        <stp>##V3_BDPV12</stp>
        <stp>PYPL US Equity</stp>
        <stp>ID005</stp>
        <stp>[DPM - Securities Master List (BBG Linked).xlsx]Equities!R238C55</stp>
        <tr r="BC238" s="2"/>
      </tp>
      <tp t="s">
        <v>US70450Y1038</v>
        <stp/>
        <stp>##V3_BDPV12</stp>
        <stp>PYPL US Equity</stp>
        <stp>ID005</stp>
        <stp>[DPM - Securities Master List (BBG Linked).xlsx]Equities!R239C55</stp>
        <tr r="BC239" s="2"/>
      </tp>
      <tp t="s">
        <v>US70450Y1038</v>
        <stp/>
        <stp>##V3_BDPV12</stp>
        <stp>PYPL US Equity</stp>
        <stp>ID005</stp>
        <stp>[DPM - Securities Master List (BBG Linked).xlsx]Equities!R237C55</stp>
        <tr r="BC237" s="2"/>
      </tp>
      <tp>
        <v>22.282810000000001</v>
        <stp/>
        <stp>##V3_BDPV12</stp>
        <stp>TCEHY US Equity</stp>
        <stp>PR079</stp>
        <stp>[DPM - Securities Master List (BBG Linked).xlsx]Equities!R260C43</stp>
        <tr r="AQ260" s="2"/>
      </tp>
      <tp>
        <v>22.282810000000001</v>
        <stp/>
        <stp>##V3_BDPV12</stp>
        <stp>TCEHY US Equity</stp>
        <stp>PR079</stp>
        <stp>[DPM - Securities Master List (BBG Linked).xlsx]Equities!R259C43</stp>
        <tr r="AQ259" s="2"/>
      </tp>
      <tp t="s">
        <v>#N/A N/A</v>
        <stp/>
        <stp>##V3_BDPV12</stp>
        <stp>NSRGY US Equity</stp>
        <stp>DY784</stp>
        <stp>[DPM - Securities Master List (BBG Linked).xlsx]Equities!R223C48</stp>
        <tr r="AV223" s="2"/>
        <tr r="AV223" s="2"/>
      </tp>
      <tp>
        <v>3.3158585220778392</v>
        <stp/>
        <stp>##V3_BDPV12</stp>
        <stp>PYPL US Equity</stp>
        <stp>RR903</stp>
        <stp>[DPM - Securities Master List (BBG Linked).xlsx]Equities!R237C13</stp>
        <tr r="M237" s="2"/>
        <tr r="M237" s="2"/>
        <tr r="M237" s="2"/>
      </tp>
      <tp>
        <v>3.3158585220778392</v>
        <stp/>
        <stp>##V3_BDPV12</stp>
        <stp>PYPL US Equity</stp>
        <stp>RR903</stp>
        <stp>[DPM - Securities Master List (BBG Linked).xlsx]Equities!R239C13</stp>
        <tr r="M239" s="2"/>
        <tr r="M239" s="2"/>
        <tr r="M239" s="2"/>
      </tp>
      <tp>
        <v>3.3158585220778392</v>
        <stp/>
        <stp>##V3_BDPV12</stp>
        <stp>PYPL US Equity</stp>
        <stp>RR903</stp>
        <stp>[DPM - Securities Master List (BBG Linked).xlsx]Equities!R238C13</stp>
        <tr r="M238" s="2"/>
        <tr r="M238" s="2"/>
        <tr r="M238" s="2"/>
      </tp>
      <tp t="s">
        <v>#N/A N/A</v>
        <stp/>
        <stp>##V3_BDPV12</stp>
        <stp>GOOGL US Equity</stp>
        <stp>DY784</stp>
        <stp>[DPM - Securities Master List (BBG Linked).xlsx]Equities!R141C48</stp>
        <tr r="AV141" s="2"/>
        <tr r="AV141" s="2"/>
      </tp>
      <tp t="s">
        <v>#N/A N/A</v>
        <stp/>
        <stp>##V3_BDPV12</stp>
        <stp>GOOGL US Equity</stp>
        <stp>DY784</stp>
        <stp>[DPM - Securities Master List (BBG Linked).xlsx]Equities!R140C48</stp>
        <tr r="AV140" s="2"/>
        <tr r="AV140" s="2"/>
      </tp>
      <tp t="s">
        <v>#N/A N/A</v>
        <stp/>
        <stp>##V3_BDPV12</stp>
        <stp>GOOGL US Equity</stp>
        <stp>DY784</stp>
        <stp>[DPM - Securities Master List (BBG Linked).xlsx]Equities!R127C48</stp>
        <tr r="AV127" s="2"/>
        <tr r="AV127" s="2"/>
      </tp>
      <tp t="s">
        <v>#N/A N/A</v>
        <stp/>
        <stp>##V3_BDPV12</stp>
        <stp>GOOGL US Equity</stp>
        <stp>DY784</stp>
        <stp>[DPM - Securities Master List (BBG Linked).xlsx]Equities!R129C48</stp>
        <tr r="AV129" s="2"/>
        <tr r="AV129" s="2"/>
      </tp>
      <tp t="s">
        <v>#N/A N/A</v>
        <stp/>
        <stp>##V3_BDPV12</stp>
        <stp>GOOGL US Equity</stp>
        <stp>DY784</stp>
        <stp>[DPM - Securities Master List (BBG Linked).xlsx]Equities!R128C48</stp>
        <tr r="AV128" s="2"/>
        <tr r="AV128" s="2"/>
      </tp>
      <tp t="s">
        <v>#N/A N/A</v>
        <stp/>
        <stp>##V3_BDPV12</stp>
        <stp>GOOGL US Equity</stp>
        <stp>DY784</stp>
        <stp>[DPM - Securities Master List (BBG Linked).xlsx]Equities!R135C48</stp>
        <tr r="AV135" s="2"/>
        <tr r="AV135" s="2"/>
      </tp>
      <tp t="s">
        <v>#N/A N/A</v>
        <stp/>
        <stp>##V3_BDPV12</stp>
        <stp>GOOGL US Equity</stp>
        <stp>DY784</stp>
        <stp>[DPM - Securities Master List (BBG Linked).xlsx]Equities!R134C48</stp>
        <tr r="AV134" s="2"/>
        <tr r="AV134" s="2"/>
      </tp>
      <tp t="s">
        <v>#N/A N/A</v>
        <stp/>
        <stp>##V3_BDPV12</stp>
        <stp>GOOGL US Equity</stp>
        <stp>DY784</stp>
        <stp>[DPM - Securities Master List (BBG Linked).xlsx]Equities!R137C48</stp>
        <tr r="AV137" s="2"/>
        <tr r="AV137" s="2"/>
      </tp>
      <tp t="s">
        <v>#N/A N/A</v>
        <stp/>
        <stp>##V3_BDPV12</stp>
        <stp>GOOGL US Equity</stp>
        <stp>DY784</stp>
        <stp>[DPM - Securities Master List (BBG Linked).xlsx]Equities!R136C48</stp>
        <tr r="AV136" s="2"/>
        <tr r="AV136" s="2"/>
      </tp>
      <tp t="s">
        <v>#N/A N/A</v>
        <stp/>
        <stp>##V3_BDPV12</stp>
        <stp>GOOGL US Equity</stp>
        <stp>DY784</stp>
        <stp>[DPM - Securities Master List (BBG Linked).xlsx]Equities!R131C48</stp>
        <tr r="AV131" s="2"/>
        <tr r="AV131" s="2"/>
      </tp>
      <tp t="s">
        <v>#N/A N/A</v>
        <stp/>
        <stp>##V3_BDPV12</stp>
        <stp>GOOGL US Equity</stp>
        <stp>DY784</stp>
        <stp>[DPM - Securities Master List (BBG Linked).xlsx]Equities!R130C48</stp>
        <tr r="AV130" s="2"/>
        <tr r="AV130" s="2"/>
      </tp>
      <tp t="s">
        <v>#N/A N/A</v>
        <stp/>
        <stp>##V3_BDPV12</stp>
        <stp>GOOGL US Equity</stp>
        <stp>DY784</stp>
        <stp>[DPM - Securities Master List (BBG Linked).xlsx]Equities!R133C48</stp>
        <tr r="AV133" s="2"/>
        <tr r="AV133" s="2"/>
      </tp>
      <tp t="s">
        <v>#N/A N/A</v>
        <stp/>
        <stp>##V3_BDPV12</stp>
        <stp>GOOGL US Equity</stp>
        <stp>DY784</stp>
        <stp>[DPM - Securities Master List (BBG Linked).xlsx]Equities!R132C48</stp>
        <tr r="AV132" s="2"/>
        <tr r="AV132" s="2"/>
      </tp>
      <tp t="s">
        <v>#N/A N/A</v>
        <stp/>
        <stp>##V3_BDPV12</stp>
        <stp>GOOGL US Equity</stp>
        <stp>DY784</stp>
        <stp>[DPM - Securities Master List (BBG Linked).xlsx]Equities!R139C48</stp>
        <tr r="AV139" s="2"/>
        <tr r="AV139" s="2"/>
      </tp>
      <tp t="s">
        <v>#N/A N/A</v>
        <stp/>
        <stp>##V3_BDPV12</stp>
        <stp>GOOGL US Equity</stp>
        <stp>DY784</stp>
        <stp>[DPM - Securities Master List (BBG Linked).xlsx]Equities!R138C48</stp>
        <tr r="AV138" s="2"/>
        <tr r="AV138" s="2"/>
      </tp>
      <tp>
        <v>13.995663889048473</v>
        <stp/>
        <stp>##V3_BDPV12</stp>
        <stp>PYPL US Equity</stp>
        <stp>RR900</stp>
        <stp>[DPM - Securities Master List (BBG Linked).xlsx]Equities!R237C11</stp>
        <tr r="K237" s="2"/>
        <tr r="K237" s="2"/>
        <tr r="K237" s="2"/>
      </tp>
      <tp>
        <v>13.995663889048473</v>
        <stp/>
        <stp>##V3_BDPV12</stp>
        <stp>PYPL US Equity</stp>
        <stp>RR900</stp>
        <stp>[DPM - Securities Master List (BBG Linked).xlsx]Equities!R239C11</stp>
        <tr r="K239" s="2"/>
        <tr r="K239" s="2"/>
        <tr r="K239" s="2"/>
      </tp>
      <tp>
        <v>13.995663889048473</v>
        <stp/>
        <stp>##V3_BDPV12</stp>
        <stp>PYPL US Equity</stp>
        <stp>RR900</stp>
        <stp>[DPM - Securities Master List (BBG Linked).xlsx]Equities!R238C11</stp>
        <tr r="K238" s="2"/>
        <tr r="K238" s="2"/>
        <tr r="K238" s="2"/>
      </tp>
      <tp>
        <v>10.344795658955871</v>
        <stp/>
        <stp>##V3_BDPV12</stp>
        <stp>PYPL US Equity</stp>
        <stp>RR908</stp>
        <stp>[DPM - Securities Master List (BBG Linked).xlsx]Equities!R237C32</stp>
        <tr r="AF237" s="2"/>
        <tr r="AF237" s="2"/>
        <tr r="AF237" s="2"/>
      </tp>
      <tp>
        <v>10.344795658955871</v>
        <stp/>
        <stp>##V3_BDPV12</stp>
        <stp>PYPL US Equity</stp>
        <stp>RR908</stp>
        <stp>[DPM - Securities Master List (BBG Linked).xlsx]Equities!R239C32</stp>
        <tr r="AF239" s="2"/>
        <tr r="AF239" s="2"/>
        <tr r="AF239" s="2"/>
      </tp>
      <tp>
        <v>10.344795658955871</v>
        <stp/>
        <stp>##V3_BDPV12</stp>
        <stp>PYPL US Equity</stp>
        <stp>RR908</stp>
        <stp>[DPM - Securities Master List (BBG Linked).xlsx]Equities!R238C32</stp>
        <tr r="AF238" s="2"/>
        <tr r="AF238" s="2"/>
        <tr r="AF238" s="2"/>
      </tp>
      <tp>
        <v>17.641559999999998</v>
        <stp/>
        <stp>##V3_BDPV12</stp>
        <stp>NESN SW Equity</stp>
        <stp>PR079</stp>
        <stp>[DPM - Securities Master List (BBG Linked).xlsx]Equities!R193C43</stp>
        <tr r="AQ193" s="2"/>
      </tp>
      <tp>
        <v>17.641559999999998</v>
        <stp/>
        <stp>##V3_BDPV12</stp>
        <stp>NESN SW Equity</stp>
        <stp>PR079</stp>
        <stp>[DPM - Securities Master List (BBG Linked).xlsx]Equities!R196C43</stp>
        <tr r="AQ196" s="2"/>
      </tp>
      <tp>
        <v>17.641559999999998</v>
        <stp/>
        <stp>##V3_BDPV12</stp>
        <stp>NESN SW Equity</stp>
        <stp>PR079</stp>
        <stp>[DPM - Securities Master List (BBG Linked).xlsx]Equities!R197C43</stp>
        <tr r="AQ197" s="2"/>
      </tp>
      <tp>
        <v>17.641559999999998</v>
        <stp/>
        <stp>##V3_BDPV12</stp>
        <stp>NESN SW Equity</stp>
        <stp>PR079</stp>
        <stp>[DPM - Securities Master List (BBG Linked).xlsx]Equities!R194C43</stp>
        <tr r="AQ194" s="2"/>
      </tp>
      <tp>
        <v>17.641559999999998</v>
        <stp/>
        <stp>##V3_BDPV12</stp>
        <stp>NESN SW Equity</stp>
        <stp>PR079</stp>
        <stp>[DPM - Securities Master List (BBG Linked).xlsx]Equities!R195C43</stp>
        <tr r="AQ195" s="2"/>
      </tp>
      <tp>
        <v>17.641559999999998</v>
        <stp/>
        <stp>##V3_BDPV12</stp>
        <stp>NESN SW Equity</stp>
        <stp>PR079</stp>
        <stp>[DPM - Securities Master List (BBG Linked).xlsx]Equities!R198C43</stp>
        <tr r="AQ198" s="2"/>
      </tp>
      <tp>
        <v>17.641559999999998</v>
        <stp/>
        <stp>##V3_BDPV12</stp>
        <stp>NESN SW Equity</stp>
        <stp>PR079</stp>
        <stp>[DPM - Securities Master List (BBG Linked).xlsx]Equities!R199C43</stp>
        <tr r="AQ199" s="2"/>
      </tp>
      <tp>
        <v>25.686948113087517</v>
        <stp/>
        <stp>##V3_BDPV12</stp>
        <stp>INTC US Equity</stp>
        <stp>RR041</stp>
        <stp>[DPM - Securities Master List (BBG Linked).xlsx]Equities!R148C33</stp>
        <tr r="AG148" s="2"/>
        <tr r="AG148" s="2"/>
        <tr r="AG148" s="2"/>
      </tp>
      <tp>
        <v>25.686948113087517</v>
        <stp/>
        <stp>##V3_BDPV12</stp>
        <stp>INTC US Equity</stp>
        <stp>RR041</stp>
        <stp>[DPM - Securities Master List (BBG Linked).xlsx]Equities!R147C33</stp>
        <tr r="AG147" s="2"/>
        <tr r="AG147" s="2"/>
        <tr r="AG147" s="2"/>
      </tp>
      <tp>
        <v>25.686948113087517</v>
        <stp/>
        <stp>##V3_BDPV12</stp>
        <stp>INTC US Equity</stp>
        <stp>RR041</stp>
        <stp>[DPM - Securities Master List (BBG Linked).xlsx]Equities!R146C33</stp>
        <tr r="AG146" s="2"/>
        <tr r="AG146" s="2"/>
        <tr r="AG146" s="2"/>
      </tp>
      <tp>
        <v>17.641559999999998</v>
        <stp/>
        <stp>##V3_BDPV12</stp>
        <stp>NESN SW Equity</stp>
        <stp>PR079</stp>
        <stp>[DPM - Securities Master List (BBG Linked).xlsx]Equities!R202C43</stp>
        <tr r="AQ202" s="2"/>
      </tp>
      <tp>
        <v>17.641559999999998</v>
        <stp/>
        <stp>##V3_BDPV12</stp>
        <stp>NESN SW Equity</stp>
        <stp>PR079</stp>
        <stp>[DPM - Securities Master List (BBG Linked).xlsx]Equities!R203C43</stp>
        <tr r="AQ203" s="2"/>
      </tp>
      <tp>
        <v>17.641559999999998</v>
        <stp/>
        <stp>##V3_BDPV12</stp>
        <stp>NESN SW Equity</stp>
        <stp>PR079</stp>
        <stp>[DPM - Securities Master List (BBG Linked).xlsx]Equities!R200C43</stp>
        <tr r="AQ200" s="2"/>
      </tp>
      <tp>
        <v>17.641559999999998</v>
        <stp/>
        <stp>##V3_BDPV12</stp>
        <stp>NESN SW Equity</stp>
        <stp>PR079</stp>
        <stp>[DPM - Securities Master List (BBG Linked).xlsx]Equities!R201C43</stp>
        <tr r="AQ201" s="2"/>
      </tp>
      <tp>
        <v>17.641559999999998</v>
        <stp/>
        <stp>##V3_BDPV12</stp>
        <stp>NESN SW Equity</stp>
        <stp>PR079</stp>
        <stp>[DPM - Securities Master List (BBG Linked).xlsx]Equities!R204C43</stp>
        <tr r="AQ204" s="2"/>
      </tp>
      <tp>
        <v>17.641559999999998</v>
        <stp/>
        <stp>##V3_BDPV12</stp>
        <stp>NESN SW Equity</stp>
        <stp>PR079</stp>
        <stp>[DPM - Securities Master List (BBG Linked).xlsx]Equities!R205C43</stp>
        <tr r="AQ205" s="2"/>
      </tp>
      <tp>
        <v>221948.81519021132</v>
        <stp/>
        <stp>##V3_BDPV12</stp>
        <stp>AZN LN Equity</stp>
        <stp>CRNCY_ADJ_MKT_CAP</stp>
        <stp>[DPM - Securities Master List (BBG Linked).xlsx]Equities!R60C9</stp>
        <stp>EQY_FUND_CRNCY=USD</stp>
        <tr r="I60" s="2"/>
      </tp>
      <tp>
        <v>18.028719018742709</v>
        <stp/>
        <stp>##V3_BDPV12</stp>
        <stp>META US Equity</stp>
        <stp>RR041</stp>
        <stp>[DPM - Securities Master List (BBG Linked).xlsx]Equities!R156C33</stp>
        <tr r="AG156" s="2"/>
        <tr r="AG156" s="2"/>
        <tr r="AG156" s="2"/>
      </tp>
      <tp>
        <v>221948.81519021132</v>
        <stp/>
        <stp>##V3_BDPV12</stp>
        <stp>AZN LN Equity</stp>
        <stp>CRNCY_ADJ_MKT_CAP</stp>
        <stp>[DPM - Securities Master List (BBG Linked).xlsx]Equities!R61C9</stp>
        <stp>EQY_FUND_CRNCY=USD</stp>
        <tr r="I61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Common\Investments%20-%202024\New%20Template%20-%20Portfolio%20Analysis\AUMs.xlsx" TargetMode="External"/><Relationship Id="rId1" Type="http://schemas.openxmlformats.org/officeDocument/2006/relationships/externalLinkPath" Target="/Common/Investments%20-%202024/New%20Template%20-%20Portfolio%20Analysis/AUM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Client\Excel%20Bloomberg\MASTER\FINAL\LTV%20Reports\2024\11%20Nov\BUCIULICA,%20ANTONIO%20-%2029.11.2024.xlsx" TargetMode="External"/><Relationship Id="rId1" Type="http://schemas.openxmlformats.org/officeDocument/2006/relationships/externalLinkPath" Target="/Client/Excel%20Bloomberg/MASTER/FINAL/LTV%20Reports/2024/11%20Nov/BUCIULICA,%20ANTONIO%20-%2029.11.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pose Asset Allocation"/>
      <sheetName val="Current Asset Allocation"/>
      <sheetName val="Country Codes"/>
      <sheetName val="ISIN Input for Bond Charts"/>
      <sheetName val="DATA SHEET"/>
    </sheetNames>
    <sheetDataSet>
      <sheetData sheetId="0"/>
      <sheetData sheetId="1"/>
      <sheetData sheetId="2">
        <row r="2">
          <cell r="A2" t="str">
            <v>AX</v>
          </cell>
          <cell r="B2" t="str">
            <v>Aland Islands</v>
          </cell>
        </row>
        <row r="3">
          <cell r="A3" t="str">
            <v>AF</v>
          </cell>
          <cell r="B3" t="str">
            <v>Afghanistan</v>
          </cell>
        </row>
        <row r="4">
          <cell r="A4" t="str">
            <v>AL</v>
          </cell>
          <cell r="B4" t="str">
            <v>Albania</v>
          </cell>
        </row>
        <row r="5">
          <cell r="A5" t="str">
            <v>DZ</v>
          </cell>
          <cell r="B5" t="str">
            <v>Algeria</v>
          </cell>
        </row>
        <row r="6">
          <cell r="A6" t="str">
            <v>AS</v>
          </cell>
          <cell r="B6" t="str">
            <v>American Samoa</v>
          </cell>
        </row>
        <row r="7">
          <cell r="A7" t="str">
            <v>AD</v>
          </cell>
          <cell r="B7" t="str">
            <v>Andorra</v>
          </cell>
        </row>
        <row r="8">
          <cell r="A8" t="str">
            <v>AO</v>
          </cell>
          <cell r="B8" t="str">
            <v>Angola</v>
          </cell>
        </row>
        <row r="9">
          <cell r="A9" t="str">
            <v>AI</v>
          </cell>
          <cell r="B9" t="str">
            <v>Anguilla</v>
          </cell>
        </row>
        <row r="10">
          <cell r="A10" t="str">
            <v>AQ</v>
          </cell>
          <cell r="B10" t="str">
            <v>Antarctica</v>
          </cell>
        </row>
        <row r="11">
          <cell r="A11" t="str">
            <v>AG</v>
          </cell>
          <cell r="B11" t="str">
            <v>Antigua and Barbuda</v>
          </cell>
        </row>
        <row r="12">
          <cell r="A12" t="str">
            <v>AR</v>
          </cell>
          <cell r="B12" t="str">
            <v>Argentina</v>
          </cell>
        </row>
        <row r="13">
          <cell r="A13" t="str">
            <v>AM</v>
          </cell>
          <cell r="B13" t="str">
            <v>Armenia</v>
          </cell>
        </row>
        <row r="14">
          <cell r="A14" t="str">
            <v>AW</v>
          </cell>
          <cell r="B14" t="str">
            <v>Aruba</v>
          </cell>
        </row>
        <row r="15">
          <cell r="A15" t="str">
            <v>AU</v>
          </cell>
          <cell r="B15" t="str">
            <v>Australia</v>
          </cell>
        </row>
        <row r="16">
          <cell r="A16" t="str">
            <v>AT</v>
          </cell>
          <cell r="B16" t="str">
            <v>Austria</v>
          </cell>
        </row>
        <row r="17">
          <cell r="A17" t="str">
            <v>AZ</v>
          </cell>
          <cell r="B17" t="str">
            <v>Azerbaijan</v>
          </cell>
        </row>
        <row r="18">
          <cell r="A18" t="str">
            <v>BS</v>
          </cell>
          <cell r="B18" t="str">
            <v>Bahamas</v>
          </cell>
        </row>
        <row r="19">
          <cell r="A19" t="str">
            <v>BH</v>
          </cell>
          <cell r="B19" t="str">
            <v>Bahrain</v>
          </cell>
        </row>
        <row r="20">
          <cell r="A20" t="str">
            <v>BD</v>
          </cell>
          <cell r="B20" t="str">
            <v>Bangladesh</v>
          </cell>
        </row>
        <row r="21">
          <cell r="A21" t="str">
            <v>BB</v>
          </cell>
          <cell r="B21" t="str">
            <v>Barbados</v>
          </cell>
        </row>
        <row r="22">
          <cell r="A22" t="str">
            <v>BY</v>
          </cell>
          <cell r="B22" t="str">
            <v>Belarus</v>
          </cell>
        </row>
        <row r="23">
          <cell r="A23" t="str">
            <v>BE</v>
          </cell>
          <cell r="B23" t="str">
            <v>Belgium</v>
          </cell>
        </row>
        <row r="24">
          <cell r="A24" t="str">
            <v>BZ</v>
          </cell>
          <cell r="B24" t="str">
            <v>Belize</v>
          </cell>
        </row>
        <row r="25">
          <cell r="A25" t="str">
            <v>BJ</v>
          </cell>
          <cell r="B25" t="str">
            <v>Benin</v>
          </cell>
        </row>
        <row r="26">
          <cell r="A26" t="str">
            <v>BM</v>
          </cell>
          <cell r="B26" t="str">
            <v>Bermuda</v>
          </cell>
        </row>
        <row r="27">
          <cell r="A27" t="str">
            <v>BT</v>
          </cell>
          <cell r="B27" t="str">
            <v>Bhutan</v>
          </cell>
        </row>
        <row r="28">
          <cell r="A28" t="str">
            <v>BO</v>
          </cell>
          <cell r="B28" t="str">
            <v>Bolivia</v>
          </cell>
        </row>
        <row r="29">
          <cell r="A29" t="str">
            <v>BQ</v>
          </cell>
          <cell r="B29" t="str">
            <v>Bonaire, Saint Eustatius and Saba</v>
          </cell>
        </row>
        <row r="30">
          <cell r="A30" t="str">
            <v>BA</v>
          </cell>
          <cell r="B30" t="str">
            <v>Bosnia and Herzegovina</v>
          </cell>
        </row>
        <row r="31">
          <cell r="A31" t="str">
            <v>BW</v>
          </cell>
          <cell r="B31" t="str">
            <v>Botswana</v>
          </cell>
        </row>
        <row r="32">
          <cell r="A32" t="str">
            <v>BV</v>
          </cell>
          <cell r="B32" t="str">
            <v>Bouvet Island</v>
          </cell>
        </row>
        <row r="33">
          <cell r="A33" t="str">
            <v>BR</v>
          </cell>
          <cell r="B33" t="str">
            <v>Brazil</v>
          </cell>
        </row>
        <row r="34">
          <cell r="A34" t="str">
            <v>IO</v>
          </cell>
          <cell r="B34" t="str">
            <v>British Indian Ocean Territory</v>
          </cell>
        </row>
        <row r="35">
          <cell r="A35" t="str">
            <v>BN</v>
          </cell>
          <cell r="B35" t="str">
            <v>Brunei Darussalam</v>
          </cell>
        </row>
        <row r="36">
          <cell r="A36" t="str">
            <v>BG</v>
          </cell>
          <cell r="B36" t="str">
            <v>Bulgaria</v>
          </cell>
        </row>
        <row r="37">
          <cell r="A37" t="str">
            <v>BF</v>
          </cell>
          <cell r="B37" t="str">
            <v>Burkina Faso</v>
          </cell>
        </row>
        <row r="38">
          <cell r="A38" t="str">
            <v>BI</v>
          </cell>
          <cell r="B38" t="str">
            <v>Burundi</v>
          </cell>
        </row>
        <row r="39">
          <cell r="A39" t="str">
            <v>KH</v>
          </cell>
          <cell r="B39" t="str">
            <v>Cambodia</v>
          </cell>
        </row>
        <row r="40">
          <cell r="A40" t="str">
            <v>CM</v>
          </cell>
          <cell r="B40" t="str">
            <v>Cameroon</v>
          </cell>
        </row>
        <row r="41">
          <cell r="A41" t="str">
            <v>CA</v>
          </cell>
          <cell r="B41" t="str">
            <v>Canada</v>
          </cell>
        </row>
        <row r="42">
          <cell r="A42" t="str">
            <v>CV</v>
          </cell>
          <cell r="B42" t="str">
            <v>Cape Verde</v>
          </cell>
        </row>
        <row r="43">
          <cell r="A43" t="str">
            <v>KY</v>
          </cell>
          <cell r="B43" t="str">
            <v>Cayman Islands</v>
          </cell>
        </row>
        <row r="44">
          <cell r="A44" t="str">
            <v>CF</v>
          </cell>
          <cell r="B44" t="str">
            <v>Central African Republic</v>
          </cell>
        </row>
        <row r="45">
          <cell r="A45" t="str">
            <v>TD</v>
          </cell>
          <cell r="B45" t="str">
            <v>Chad</v>
          </cell>
        </row>
        <row r="46">
          <cell r="A46" t="str">
            <v>CL</v>
          </cell>
          <cell r="B46" t="str">
            <v>Chile</v>
          </cell>
        </row>
        <row r="47">
          <cell r="A47" t="str">
            <v>CN</v>
          </cell>
          <cell r="B47" t="str">
            <v>China</v>
          </cell>
        </row>
        <row r="48">
          <cell r="A48" t="str">
            <v>CX</v>
          </cell>
          <cell r="B48" t="str">
            <v>Christmas Island</v>
          </cell>
        </row>
        <row r="49">
          <cell r="A49" t="str">
            <v>CC</v>
          </cell>
          <cell r="B49" t="str">
            <v>Cocos (Keeling) Islands</v>
          </cell>
        </row>
        <row r="50">
          <cell r="A50" t="str">
            <v>CO</v>
          </cell>
          <cell r="B50" t="str">
            <v>Colombia</v>
          </cell>
        </row>
        <row r="51">
          <cell r="A51" t="str">
            <v>KM</v>
          </cell>
          <cell r="B51" t="str">
            <v>Comoros (the)</v>
          </cell>
        </row>
        <row r="52">
          <cell r="A52" t="str">
            <v>CD</v>
          </cell>
          <cell r="B52" t="str">
            <v>Congo</v>
          </cell>
        </row>
        <row r="53">
          <cell r="A53" t="str">
            <v>CG</v>
          </cell>
          <cell r="B53" t="str">
            <v>Congo, The Democratic Republic of the</v>
          </cell>
        </row>
        <row r="54">
          <cell r="A54" t="str">
            <v>CK</v>
          </cell>
          <cell r="B54" t="str">
            <v>Cook Islands</v>
          </cell>
        </row>
        <row r="55">
          <cell r="A55" t="str">
            <v>CR</v>
          </cell>
          <cell r="B55" t="str">
            <v>Costa Rica</v>
          </cell>
        </row>
        <row r="56">
          <cell r="A56" t="str">
            <v>CI</v>
          </cell>
          <cell r="B56" t="str">
            <v>Côte D'Ivoire</v>
          </cell>
        </row>
        <row r="57">
          <cell r="A57" t="str">
            <v>HR</v>
          </cell>
          <cell r="B57" t="str">
            <v>Croatia</v>
          </cell>
        </row>
        <row r="58">
          <cell r="A58" t="str">
            <v>CU</v>
          </cell>
          <cell r="B58" t="str">
            <v>Cuba</v>
          </cell>
        </row>
        <row r="59">
          <cell r="A59" t="str">
            <v>CW</v>
          </cell>
          <cell r="B59" t="str">
            <v>Curaçao</v>
          </cell>
        </row>
        <row r="60">
          <cell r="A60" t="str">
            <v>CY</v>
          </cell>
          <cell r="B60" t="str">
            <v>Cyprus</v>
          </cell>
        </row>
        <row r="61">
          <cell r="A61" t="str">
            <v>CZ</v>
          </cell>
          <cell r="B61" t="str">
            <v>Czech Republic</v>
          </cell>
        </row>
        <row r="62">
          <cell r="A62" t="str">
            <v>DK</v>
          </cell>
          <cell r="B62" t="str">
            <v>Denmark</v>
          </cell>
        </row>
        <row r="63">
          <cell r="A63" t="str">
            <v>DJ</v>
          </cell>
          <cell r="B63" t="str">
            <v>Djibouti</v>
          </cell>
        </row>
        <row r="64">
          <cell r="A64" t="str">
            <v>DM</v>
          </cell>
          <cell r="B64" t="str">
            <v>Dominica</v>
          </cell>
        </row>
        <row r="65">
          <cell r="A65" t="str">
            <v>DO</v>
          </cell>
          <cell r="B65" t="str">
            <v>Dominican Republic</v>
          </cell>
        </row>
        <row r="66">
          <cell r="A66" t="str">
            <v>EC</v>
          </cell>
          <cell r="B66" t="str">
            <v>Ecuador</v>
          </cell>
        </row>
        <row r="67">
          <cell r="A67" t="str">
            <v>EG</v>
          </cell>
          <cell r="B67" t="str">
            <v>Egypt</v>
          </cell>
        </row>
        <row r="68">
          <cell r="A68" t="str">
            <v>SV</v>
          </cell>
          <cell r="B68" t="str">
            <v>El Salvador</v>
          </cell>
        </row>
        <row r="69">
          <cell r="A69" t="str">
            <v>GQ</v>
          </cell>
          <cell r="B69" t="str">
            <v>Equatorial Guinea</v>
          </cell>
        </row>
        <row r="70">
          <cell r="A70" t="str">
            <v>ER</v>
          </cell>
          <cell r="B70" t="str">
            <v>Eritrea</v>
          </cell>
        </row>
        <row r="71">
          <cell r="A71" t="str">
            <v>EE</v>
          </cell>
          <cell r="B71" t="str">
            <v>Estonia</v>
          </cell>
        </row>
        <row r="72">
          <cell r="A72" t="str">
            <v>SZ</v>
          </cell>
          <cell r="B72" t="str">
            <v>Eswatini</v>
          </cell>
        </row>
        <row r="73">
          <cell r="A73" t="str">
            <v>ET</v>
          </cell>
          <cell r="B73" t="str">
            <v>Ethiopia</v>
          </cell>
        </row>
        <row r="74">
          <cell r="A74" t="str">
            <v>FK</v>
          </cell>
          <cell r="B74" t="str">
            <v>Falkland Islands (Malvinas)</v>
          </cell>
        </row>
        <row r="75">
          <cell r="A75" t="str">
            <v>FO</v>
          </cell>
          <cell r="B75" t="str">
            <v>Faroe Islands</v>
          </cell>
        </row>
        <row r="76">
          <cell r="A76" t="str">
            <v>FJ</v>
          </cell>
          <cell r="B76" t="str">
            <v>Fiji</v>
          </cell>
        </row>
        <row r="77">
          <cell r="A77" t="str">
            <v>FI</v>
          </cell>
          <cell r="B77" t="str">
            <v>Finland</v>
          </cell>
        </row>
        <row r="78">
          <cell r="A78" t="str">
            <v>FR</v>
          </cell>
          <cell r="B78" t="str">
            <v>France</v>
          </cell>
        </row>
        <row r="79">
          <cell r="A79" t="str">
            <v>GF</v>
          </cell>
          <cell r="B79" t="str">
            <v>French Guiana</v>
          </cell>
        </row>
        <row r="80">
          <cell r="A80" t="str">
            <v>PF</v>
          </cell>
          <cell r="B80" t="str">
            <v>French Polynesia</v>
          </cell>
        </row>
        <row r="81">
          <cell r="A81" t="str">
            <v>TF</v>
          </cell>
          <cell r="B81" t="str">
            <v>French Southern Territories</v>
          </cell>
        </row>
        <row r="82">
          <cell r="A82" t="str">
            <v>GA</v>
          </cell>
          <cell r="B82" t="str">
            <v>Gabon</v>
          </cell>
        </row>
        <row r="83">
          <cell r="A83" t="str">
            <v>GM</v>
          </cell>
          <cell r="B83" t="str">
            <v>Gambia</v>
          </cell>
        </row>
        <row r="84">
          <cell r="A84" t="str">
            <v>GE</v>
          </cell>
          <cell r="B84" t="str">
            <v>Georgia</v>
          </cell>
        </row>
        <row r="85">
          <cell r="A85" t="str">
            <v>DE</v>
          </cell>
          <cell r="B85" t="str">
            <v>Germany</v>
          </cell>
        </row>
        <row r="86">
          <cell r="A86" t="str">
            <v>GH</v>
          </cell>
          <cell r="B86" t="str">
            <v>Ghana</v>
          </cell>
        </row>
        <row r="87">
          <cell r="A87" t="str">
            <v>GI</v>
          </cell>
          <cell r="B87" t="str">
            <v>Gibraltar</v>
          </cell>
        </row>
        <row r="88">
          <cell r="A88" t="str">
            <v>GR</v>
          </cell>
          <cell r="B88" t="str">
            <v>Greece</v>
          </cell>
        </row>
        <row r="89">
          <cell r="A89" t="str">
            <v>GL</v>
          </cell>
          <cell r="B89" t="str">
            <v>Greenland</v>
          </cell>
        </row>
        <row r="90">
          <cell r="A90" t="str">
            <v>GD</v>
          </cell>
          <cell r="B90" t="str">
            <v>Grenada</v>
          </cell>
        </row>
        <row r="91">
          <cell r="A91" t="str">
            <v>GP</v>
          </cell>
          <cell r="B91" t="str">
            <v>Guadeloupe</v>
          </cell>
        </row>
        <row r="92">
          <cell r="A92" t="str">
            <v>GU</v>
          </cell>
          <cell r="B92" t="str">
            <v>Guam</v>
          </cell>
        </row>
        <row r="93">
          <cell r="A93" t="str">
            <v>GT</v>
          </cell>
          <cell r="B93" t="str">
            <v>Guatemala</v>
          </cell>
        </row>
        <row r="94">
          <cell r="A94" t="str">
            <v>GG</v>
          </cell>
          <cell r="B94" t="str">
            <v>Guernsey</v>
          </cell>
        </row>
        <row r="95">
          <cell r="A95" t="str">
            <v>GN</v>
          </cell>
          <cell r="B95" t="str">
            <v>Guinea</v>
          </cell>
        </row>
        <row r="96">
          <cell r="A96" t="str">
            <v>GW</v>
          </cell>
          <cell r="B96" t="str">
            <v>Guinea-Bissau</v>
          </cell>
        </row>
        <row r="97">
          <cell r="A97" t="str">
            <v>GY</v>
          </cell>
          <cell r="B97" t="str">
            <v>Guyana</v>
          </cell>
        </row>
        <row r="98">
          <cell r="A98" t="str">
            <v>HT</v>
          </cell>
          <cell r="B98" t="str">
            <v>Haiti</v>
          </cell>
        </row>
        <row r="99">
          <cell r="A99" t="str">
            <v>HM</v>
          </cell>
          <cell r="B99" t="str">
            <v>Heard Island and McDonald Islands</v>
          </cell>
        </row>
        <row r="100">
          <cell r="A100" t="str">
            <v>VA</v>
          </cell>
          <cell r="B100" t="str">
            <v>Holy See (Vatican City State)</v>
          </cell>
        </row>
        <row r="101">
          <cell r="A101" t="str">
            <v>HN</v>
          </cell>
          <cell r="B101" t="str">
            <v>Honduras</v>
          </cell>
        </row>
        <row r="102">
          <cell r="A102" t="str">
            <v>HK</v>
          </cell>
          <cell r="B102" t="str">
            <v>Hong Kong</v>
          </cell>
        </row>
        <row r="103">
          <cell r="A103" t="str">
            <v>HU</v>
          </cell>
          <cell r="B103" t="str">
            <v>Hungary</v>
          </cell>
        </row>
        <row r="104">
          <cell r="A104" t="str">
            <v>IS</v>
          </cell>
          <cell r="B104" t="str">
            <v>Iceland</v>
          </cell>
        </row>
        <row r="105">
          <cell r="A105" t="str">
            <v>IN</v>
          </cell>
          <cell r="B105" t="str">
            <v>India</v>
          </cell>
        </row>
        <row r="106">
          <cell r="A106" t="str">
            <v>ID</v>
          </cell>
          <cell r="B106" t="str">
            <v>Indonesia</v>
          </cell>
        </row>
        <row r="107">
          <cell r="A107" t="str">
            <v>IR</v>
          </cell>
          <cell r="B107" t="str">
            <v>Iran, Islamic Republic of</v>
          </cell>
        </row>
        <row r="108">
          <cell r="A108" t="str">
            <v>IQ</v>
          </cell>
          <cell r="B108" t="str">
            <v>Iraq</v>
          </cell>
        </row>
        <row r="109">
          <cell r="A109" t="str">
            <v>IE</v>
          </cell>
          <cell r="B109" t="str">
            <v>Ireland</v>
          </cell>
        </row>
        <row r="110">
          <cell r="A110" t="str">
            <v>IM</v>
          </cell>
          <cell r="B110" t="str">
            <v>Isle of Man</v>
          </cell>
        </row>
        <row r="111">
          <cell r="A111" t="str">
            <v>IL</v>
          </cell>
          <cell r="B111" t="str">
            <v>Israel</v>
          </cell>
        </row>
        <row r="112">
          <cell r="A112" t="str">
            <v>IT</v>
          </cell>
          <cell r="B112" t="str">
            <v>Italy</v>
          </cell>
        </row>
        <row r="113">
          <cell r="A113" t="str">
            <v>JM</v>
          </cell>
          <cell r="B113" t="str">
            <v>Jamaica</v>
          </cell>
        </row>
        <row r="114">
          <cell r="A114" t="str">
            <v>JP</v>
          </cell>
          <cell r="B114" t="str">
            <v>Japan</v>
          </cell>
        </row>
        <row r="115">
          <cell r="A115" t="str">
            <v>JE</v>
          </cell>
          <cell r="B115" t="str">
            <v>Jersey</v>
          </cell>
        </row>
        <row r="116">
          <cell r="A116" t="str">
            <v>JO</v>
          </cell>
          <cell r="B116" t="str">
            <v>Jordan</v>
          </cell>
        </row>
        <row r="117">
          <cell r="A117" t="str">
            <v>KZ</v>
          </cell>
          <cell r="B117" t="str">
            <v>Kazakhstan</v>
          </cell>
        </row>
        <row r="118">
          <cell r="A118" t="str">
            <v>KE</v>
          </cell>
          <cell r="B118" t="str">
            <v>Kenya</v>
          </cell>
        </row>
        <row r="119">
          <cell r="A119" t="str">
            <v>KI</v>
          </cell>
          <cell r="B119" t="str">
            <v>Kiribati</v>
          </cell>
        </row>
        <row r="120">
          <cell r="A120" t="str">
            <v>KP</v>
          </cell>
          <cell r="B120" t="str">
            <v>Korea, Democratic People's Republic of</v>
          </cell>
        </row>
        <row r="121">
          <cell r="A121" t="str">
            <v>KR</v>
          </cell>
          <cell r="B121" t="str">
            <v>Korea, Republic of</v>
          </cell>
        </row>
        <row r="122">
          <cell r="A122" t="str">
            <v>KW</v>
          </cell>
          <cell r="B122" t="str">
            <v>Kuwait</v>
          </cell>
        </row>
        <row r="123">
          <cell r="A123" t="str">
            <v>KG</v>
          </cell>
          <cell r="B123" t="str">
            <v>Kyrgyzstan</v>
          </cell>
        </row>
        <row r="124">
          <cell r="A124" t="str">
            <v>LA</v>
          </cell>
          <cell r="B124" t="str">
            <v>Lao People's Democratic Republic</v>
          </cell>
        </row>
        <row r="125">
          <cell r="A125" t="str">
            <v>LV</v>
          </cell>
          <cell r="B125" t="str">
            <v>Latvia</v>
          </cell>
        </row>
        <row r="126">
          <cell r="A126" t="str">
            <v>LB</v>
          </cell>
          <cell r="B126" t="str">
            <v>Lebanon</v>
          </cell>
        </row>
        <row r="127">
          <cell r="A127" t="str">
            <v>LS</v>
          </cell>
          <cell r="B127" t="str">
            <v>Lesotho</v>
          </cell>
        </row>
        <row r="128">
          <cell r="A128" t="str">
            <v>LR</v>
          </cell>
          <cell r="B128" t="str">
            <v>Liberia</v>
          </cell>
        </row>
        <row r="129">
          <cell r="A129" t="str">
            <v>LY</v>
          </cell>
          <cell r="B129" t="str">
            <v>Libya</v>
          </cell>
        </row>
        <row r="130">
          <cell r="A130" t="str">
            <v>LI</v>
          </cell>
          <cell r="B130" t="str">
            <v>Liechtenstein</v>
          </cell>
        </row>
        <row r="131">
          <cell r="A131" t="str">
            <v>LT</v>
          </cell>
          <cell r="B131" t="str">
            <v>Lithuania</v>
          </cell>
        </row>
        <row r="132">
          <cell r="A132" t="str">
            <v>LU</v>
          </cell>
          <cell r="B132" t="str">
            <v>Luxembourg</v>
          </cell>
        </row>
        <row r="133">
          <cell r="A133" t="str">
            <v>MO</v>
          </cell>
          <cell r="B133" t="str">
            <v>Macau</v>
          </cell>
        </row>
        <row r="134">
          <cell r="A134" t="str">
            <v>MK</v>
          </cell>
          <cell r="B134" t="str">
            <v>Macedonia</v>
          </cell>
        </row>
        <row r="135">
          <cell r="A135" t="str">
            <v>MG</v>
          </cell>
          <cell r="B135" t="str">
            <v>Madagascar</v>
          </cell>
        </row>
        <row r="136">
          <cell r="A136" t="str">
            <v>MW</v>
          </cell>
          <cell r="B136" t="str">
            <v>Malawi</v>
          </cell>
        </row>
        <row r="137">
          <cell r="A137" t="str">
            <v>MY</v>
          </cell>
          <cell r="B137" t="str">
            <v>Malaysia</v>
          </cell>
        </row>
        <row r="138">
          <cell r="A138" t="str">
            <v>MV</v>
          </cell>
          <cell r="B138" t="str">
            <v>Maldives</v>
          </cell>
        </row>
        <row r="139">
          <cell r="A139" t="str">
            <v>ML</v>
          </cell>
          <cell r="B139" t="str">
            <v>Mali</v>
          </cell>
        </row>
        <row r="140">
          <cell r="A140" t="str">
            <v>MT</v>
          </cell>
          <cell r="B140" t="str">
            <v>Malta</v>
          </cell>
        </row>
        <row r="141">
          <cell r="A141" t="str">
            <v>MH</v>
          </cell>
          <cell r="B141" t="str">
            <v>Marshall Islands</v>
          </cell>
        </row>
        <row r="142">
          <cell r="A142" t="str">
            <v>MQ</v>
          </cell>
          <cell r="B142" t="str">
            <v>Martinique</v>
          </cell>
        </row>
        <row r="143">
          <cell r="A143" t="str">
            <v>MR</v>
          </cell>
          <cell r="B143" t="str">
            <v>Mauritania</v>
          </cell>
        </row>
        <row r="144">
          <cell r="A144" t="str">
            <v>MU</v>
          </cell>
          <cell r="B144" t="str">
            <v>Mauritius</v>
          </cell>
        </row>
        <row r="145">
          <cell r="A145" t="str">
            <v>YT</v>
          </cell>
          <cell r="B145" t="str">
            <v>Mayotte</v>
          </cell>
        </row>
        <row r="146">
          <cell r="A146" t="str">
            <v>MX</v>
          </cell>
          <cell r="B146" t="str">
            <v>Mexico</v>
          </cell>
        </row>
        <row r="147">
          <cell r="A147" t="str">
            <v>FM</v>
          </cell>
          <cell r="B147" t="str">
            <v>Micronesia, Federated States of</v>
          </cell>
        </row>
        <row r="148">
          <cell r="A148" t="str">
            <v>MD</v>
          </cell>
          <cell r="B148" t="str">
            <v>Moldova, Republic of</v>
          </cell>
        </row>
        <row r="149">
          <cell r="A149" t="str">
            <v>MC</v>
          </cell>
          <cell r="B149" t="str">
            <v>Monaco</v>
          </cell>
        </row>
        <row r="150">
          <cell r="A150" t="str">
            <v>MN</v>
          </cell>
          <cell r="B150" t="str">
            <v>Mongolia</v>
          </cell>
        </row>
        <row r="151">
          <cell r="A151" t="str">
            <v>ME</v>
          </cell>
          <cell r="B151" t="str">
            <v>Montenegro</v>
          </cell>
        </row>
        <row r="152">
          <cell r="A152" t="str">
            <v>MS</v>
          </cell>
          <cell r="B152" t="str">
            <v>Montserrat</v>
          </cell>
        </row>
        <row r="153">
          <cell r="A153" t="str">
            <v>MA</v>
          </cell>
          <cell r="B153" t="str">
            <v>Morocco</v>
          </cell>
        </row>
        <row r="154">
          <cell r="A154" t="str">
            <v>MZ</v>
          </cell>
          <cell r="B154" t="str">
            <v>Mozambique</v>
          </cell>
        </row>
        <row r="155">
          <cell r="A155" t="str">
            <v>MM</v>
          </cell>
          <cell r="B155" t="str">
            <v>Myanmar</v>
          </cell>
        </row>
        <row r="156">
          <cell r="A156" t="str">
            <v>NA</v>
          </cell>
          <cell r="B156" t="str">
            <v>Namibia</v>
          </cell>
        </row>
        <row r="157">
          <cell r="A157" t="str">
            <v>NR</v>
          </cell>
          <cell r="B157" t="str">
            <v>Nauru</v>
          </cell>
        </row>
        <row r="158">
          <cell r="A158" t="str">
            <v>NP</v>
          </cell>
          <cell r="B158" t="str">
            <v>Nepal</v>
          </cell>
        </row>
        <row r="159">
          <cell r="A159" t="str">
            <v>NL</v>
          </cell>
          <cell r="B159" t="str">
            <v>Netherlands</v>
          </cell>
        </row>
        <row r="160">
          <cell r="A160" t="str">
            <v>NC</v>
          </cell>
          <cell r="B160" t="str">
            <v>New Caledonia</v>
          </cell>
        </row>
        <row r="161">
          <cell r="A161" t="str">
            <v>NZ</v>
          </cell>
          <cell r="B161" t="str">
            <v>New Zealand</v>
          </cell>
        </row>
        <row r="162">
          <cell r="A162" t="str">
            <v>NI</v>
          </cell>
          <cell r="B162" t="str">
            <v>Nicaragua</v>
          </cell>
        </row>
        <row r="163">
          <cell r="A163" t="str">
            <v>NE</v>
          </cell>
          <cell r="B163" t="str">
            <v>Niger</v>
          </cell>
        </row>
        <row r="164">
          <cell r="A164" t="str">
            <v>NG</v>
          </cell>
          <cell r="B164" t="str">
            <v>Nigeria</v>
          </cell>
        </row>
        <row r="165">
          <cell r="A165" t="str">
            <v>NU</v>
          </cell>
          <cell r="B165" t="str">
            <v>Niue</v>
          </cell>
        </row>
        <row r="166">
          <cell r="A166" t="str">
            <v>NF</v>
          </cell>
          <cell r="B166" t="str">
            <v>Norfolk Island</v>
          </cell>
        </row>
        <row r="167">
          <cell r="A167" t="str">
            <v>MP</v>
          </cell>
          <cell r="B167" t="str">
            <v>Northern Mariana Islands</v>
          </cell>
        </row>
        <row r="168">
          <cell r="A168" t="str">
            <v>NO</v>
          </cell>
          <cell r="B168" t="str">
            <v>Norway</v>
          </cell>
        </row>
        <row r="169">
          <cell r="A169" t="str">
            <v>OM</v>
          </cell>
          <cell r="B169" t="str">
            <v>Oman</v>
          </cell>
        </row>
        <row r="170">
          <cell r="A170" t="str">
            <v>PK</v>
          </cell>
          <cell r="B170" t="str">
            <v>Pakistan</v>
          </cell>
        </row>
        <row r="171">
          <cell r="A171" t="str">
            <v>PW</v>
          </cell>
          <cell r="B171" t="str">
            <v>Palau</v>
          </cell>
        </row>
        <row r="172">
          <cell r="A172" t="str">
            <v>PS</v>
          </cell>
          <cell r="B172" t="str">
            <v>Palestinian Territory</v>
          </cell>
        </row>
        <row r="173">
          <cell r="A173" t="str">
            <v>PA</v>
          </cell>
          <cell r="B173" t="str">
            <v>Panama</v>
          </cell>
        </row>
        <row r="174">
          <cell r="A174" t="str">
            <v>PG</v>
          </cell>
          <cell r="B174" t="str">
            <v>Papua New Guinea</v>
          </cell>
        </row>
        <row r="175">
          <cell r="A175" t="str">
            <v>PY</v>
          </cell>
          <cell r="B175" t="str">
            <v>Paraguay</v>
          </cell>
        </row>
        <row r="176">
          <cell r="A176" t="str">
            <v>PE</v>
          </cell>
          <cell r="B176" t="str">
            <v>Peru</v>
          </cell>
        </row>
        <row r="177">
          <cell r="A177" t="str">
            <v>PH</v>
          </cell>
          <cell r="B177" t="str">
            <v>Philippines</v>
          </cell>
        </row>
        <row r="178">
          <cell r="A178" t="str">
            <v>PN</v>
          </cell>
          <cell r="B178" t="str">
            <v>Pitcairn Islands</v>
          </cell>
        </row>
        <row r="179">
          <cell r="A179" t="str">
            <v>PL</v>
          </cell>
          <cell r="B179" t="str">
            <v>Poland</v>
          </cell>
        </row>
        <row r="180">
          <cell r="A180" t="str">
            <v>PT</v>
          </cell>
          <cell r="B180" t="str">
            <v>Portugal</v>
          </cell>
        </row>
        <row r="181">
          <cell r="A181" t="str">
            <v>PR</v>
          </cell>
          <cell r="B181" t="str">
            <v>Puerto Rico</v>
          </cell>
        </row>
        <row r="182">
          <cell r="A182" t="str">
            <v>QA</v>
          </cell>
          <cell r="B182" t="str">
            <v>Qatar</v>
          </cell>
        </row>
        <row r="183">
          <cell r="A183" t="str">
            <v>RO</v>
          </cell>
          <cell r="B183" t="str">
            <v>Romania</v>
          </cell>
        </row>
        <row r="184">
          <cell r="A184" t="str">
            <v>RU</v>
          </cell>
          <cell r="B184" t="str">
            <v>Russia</v>
          </cell>
        </row>
        <row r="185">
          <cell r="A185" t="str">
            <v>RW</v>
          </cell>
          <cell r="B185" t="str">
            <v>Rwanda</v>
          </cell>
        </row>
        <row r="186">
          <cell r="A186" t="str">
            <v>RE</v>
          </cell>
          <cell r="B186" t="str">
            <v>Reunion</v>
          </cell>
        </row>
        <row r="187">
          <cell r="A187" t="str">
            <v>BL</v>
          </cell>
          <cell r="B187" t="str">
            <v>Saint Barthelemy</v>
          </cell>
        </row>
        <row r="188">
          <cell r="A188" t="str">
            <v>SH</v>
          </cell>
          <cell r="B188" t="str">
            <v>Saint Helena</v>
          </cell>
        </row>
        <row r="189">
          <cell r="A189" t="str">
            <v>KN</v>
          </cell>
          <cell r="B189" t="str">
            <v>Saint Kitts and Nevis</v>
          </cell>
        </row>
        <row r="190">
          <cell r="A190" t="str">
            <v>LC</v>
          </cell>
          <cell r="B190" t="str">
            <v>Saint Lucia</v>
          </cell>
        </row>
        <row r="191">
          <cell r="A191" t="str">
            <v>MF</v>
          </cell>
          <cell r="B191" t="str">
            <v>Saint Martin</v>
          </cell>
        </row>
        <row r="192">
          <cell r="A192" t="str">
            <v>PM</v>
          </cell>
          <cell r="B192" t="str">
            <v>Saint Pierre and Miquelon</v>
          </cell>
        </row>
        <row r="193">
          <cell r="A193" t="str">
            <v>VC</v>
          </cell>
          <cell r="B193" t="str">
            <v>Saint Vincent and the Grenadines</v>
          </cell>
        </row>
        <row r="194">
          <cell r="A194" t="str">
            <v>WS</v>
          </cell>
          <cell r="B194" t="str">
            <v>Samoa</v>
          </cell>
        </row>
        <row r="195">
          <cell r="A195" t="str">
            <v>SM</v>
          </cell>
          <cell r="B195" t="str">
            <v>San Marino</v>
          </cell>
        </row>
        <row r="196">
          <cell r="A196" t="str">
            <v>ST</v>
          </cell>
          <cell r="B196" t="str">
            <v>Sao Tome and Principe</v>
          </cell>
        </row>
        <row r="197">
          <cell r="A197" t="str">
            <v>SA</v>
          </cell>
          <cell r="B197" t="str">
            <v>Saudi Arabia</v>
          </cell>
        </row>
        <row r="198">
          <cell r="A198" t="str">
            <v>SN</v>
          </cell>
          <cell r="B198" t="str">
            <v>Senegal</v>
          </cell>
        </row>
        <row r="199">
          <cell r="A199" t="str">
            <v>RS</v>
          </cell>
          <cell r="B199" t="str">
            <v>Serbia</v>
          </cell>
        </row>
        <row r="200">
          <cell r="A200" t="str">
            <v>SC</v>
          </cell>
          <cell r="B200" t="str">
            <v>Seychelles</v>
          </cell>
        </row>
        <row r="201">
          <cell r="A201" t="str">
            <v>SL</v>
          </cell>
          <cell r="B201" t="str">
            <v>Sierra Leone</v>
          </cell>
        </row>
        <row r="202">
          <cell r="A202" t="str">
            <v>SG</v>
          </cell>
          <cell r="B202" t="str">
            <v>Singapore</v>
          </cell>
        </row>
        <row r="203">
          <cell r="A203" t="str">
            <v>SX</v>
          </cell>
          <cell r="B203" t="str">
            <v>Sint Maarten (Dutch part)</v>
          </cell>
        </row>
        <row r="204">
          <cell r="A204" t="str">
            <v>SK</v>
          </cell>
          <cell r="B204" t="str">
            <v>Slovakia</v>
          </cell>
        </row>
        <row r="205">
          <cell r="A205" t="str">
            <v>SI</v>
          </cell>
          <cell r="B205" t="str">
            <v>Slovenia</v>
          </cell>
        </row>
        <row r="206">
          <cell r="A206" t="str">
            <v>SB</v>
          </cell>
          <cell r="B206" t="str">
            <v>Solomon Islands</v>
          </cell>
        </row>
        <row r="207">
          <cell r="A207" t="str">
            <v>SO</v>
          </cell>
          <cell r="B207" t="str">
            <v>Somalia</v>
          </cell>
        </row>
        <row r="208">
          <cell r="A208" t="str">
            <v>ZA</v>
          </cell>
          <cell r="B208" t="str">
            <v>South Africa</v>
          </cell>
        </row>
        <row r="209">
          <cell r="A209" t="str">
            <v>GS</v>
          </cell>
          <cell r="B209" t="str">
            <v>South Georgia and the South Sandwich Islands</v>
          </cell>
        </row>
        <row r="210">
          <cell r="A210" t="str">
            <v>SS</v>
          </cell>
          <cell r="B210" t="str">
            <v>South Sudan</v>
          </cell>
        </row>
        <row r="211">
          <cell r="A211" t="str">
            <v>ES</v>
          </cell>
          <cell r="B211" t="str">
            <v>Spain</v>
          </cell>
        </row>
        <row r="212">
          <cell r="A212" t="str">
            <v>LK</v>
          </cell>
          <cell r="B212" t="str">
            <v>Sri Lanka</v>
          </cell>
        </row>
        <row r="213">
          <cell r="A213" t="str">
            <v>SNAT</v>
          </cell>
          <cell r="B213" t="str">
            <v>Supra National</v>
          </cell>
        </row>
        <row r="214">
          <cell r="A214" t="str">
            <v>SD</v>
          </cell>
          <cell r="B214" t="str">
            <v>Sudan</v>
          </cell>
        </row>
        <row r="215">
          <cell r="A215" t="str">
            <v>SR</v>
          </cell>
          <cell r="B215" t="str">
            <v>Suriname</v>
          </cell>
        </row>
        <row r="216">
          <cell r="A216" t="str">
            <v>SJ</v>
          </cell>
          <cell r="B216" t="str">
            <v>Svalbard and Jan Mayen</v>
          </cell>
        </row>
        <row r="217">
          <cell r="A217" t="str">
            <v>SE</v>
          </cell>
          <cell r="B217" t="str">
            <v>Sweden</v>
          </cell>
        </row>
        <row r="218">
          <cell r="A218" t="str">
            <v>CH</v>
          </cell>
          <cell r="B218" t="str">
            <v>Switzerland</v>
          </cell>
        </row>
        <row r="219">
          <cell r="A219" t="str">
            <v>SY</v>
          </cell>
          <cell r="B219" t="str">
            <v>Syrian Arab Republic</v>
          </cell>
        </row>
        <row r="220">
          <cell r="A220" t="str">
            <v>TW</v>
          </cell>
          <cell r="B220" t="str">
            <v>Taiwan</v>
          </cell>
        </row>
        <row r="221">
          <cell r="A221" t="str">
            <v>TJ</v>
          </cell>
          <cell r="B221" t="str">
            <v>Tajikistan</v>
          </cell>
        </row>
        <row r="222">
          <cell r="A222" t="str">
            <v>TZ</v>
          </cell>
          <cell r="B222" t="str">
            <v>Tanzania, United Republic of</v>
          </cell>
        </row>
        <row r="223">
          <cell r="A223" t="str">
            <v>TH</v>
          </cell>
          <cell r="B223" t="str">
            <v>Thailand</v>
          </cell>
        </row>
        <row r="224">
          <cell r="A224" t="str">
            <v>TL</v>
          </cell>
          <cell r="B224" t="str">
            <v>Timor-Leste</v>
          </cell>
        </row>
        <row r="225">
          <cell r="A225" t="str">
            <v>TG</v>
          </cell>
          <cell r="B225" t="str">
            <v>Togo</v>
          </cell>
        </row>
        <row r="226">
          <cell r="A226" t="str">
            <v>TK</v>
          </cell>
          <cell r="B226" t="str">
            <v>Tokelau</v>
          </cell>
        </row>
        <row r="227">
          <cell r="A227" t="str">
            <v>TO</v>
          </cell>
          <cell r="B227" t="str">
            <v>Tonga</v>
          </cell>
        </row>
        <row r="228">
          <cell r="A228" t="str">
            <v>TT</v>
          </cell>
          <cell r="B228" t="str">
            <v>Trinidad and Tobago</v>
          </cell>
        </row>
        <row r="229">
          <cell r="A229" t="str">
            <v>TN</v>
          </cell>
          <cell r="B229" t="str">
            <v>Tunisia</v>
          </cell>
        </row>
        <row r="230">
          <cell r="A230" t="str">
            <v>TR</v>
          </cell>
          <cell r="B230" t="str">
            <v>Turkey</v>
          </cell>
        </row>
        <row r="231">
          <cell r="A231" t="str">
            <v>TM</v>
          </cell>
          <cell r="B231" t="str">
            <v>Turkmenistan</v>
          </cell>
        </row>
        <row r="232">
          <cell r="A232" t="str">
            <v>TC</v>
          </cell>
          <cell r="B232" t="str">
            <v>Turks and Caicos Islands</v>
          </cell>
        </row>
        <row r="233">
          <cell r="A233" t="str">
            <v>TV</v>
          </cell>
          <cell r="B233" t="str">
            <v>Tuvalu</v>
          </cell>
        </row>
        <row r="234">
          <cell r="A234" t="str">
            <v>UG</v>
          </cell>
          <cell r="B234" t="str">
            <v>Uganda</v>
          </cell>
        </row>
        <row r="235">
          <cell r="A235" t="str">
            <v>UA</v>
          </cell>
          <cell r="B235" t="str">
            <v>Ukraine</v>
          </cell>
        </row>
        <row r="236">
          <cell r="A236" t="str">
            <v>AE</v>
          </cell>
          <cell r="B236" t="str">
            <v>UAE</v>
          </cell>
        </row>
        <row r="237">
          <cell r="A237" t="str">
            <v>GB</v>
          </cell>
          <cell r="B237" t="str">
            <v>United Kingdom</v>
          </cell>
        </row>
        <row r="238">
          <cell r="A238" t="str">
            <v>UM</v>
          </cell>
          <cell r="B238" t="str">
            <v>United States Minor Outlying Islands</v>
          </cell>
        </row>
        <row r="239">
          <cell r="A239" t="str">
            <v>US</v>
          </cell>
          <cell r="B239" t="str">
            <v>United States</v>
          </cell>
        </row>
        <row r="240">
          <cell r="A240" t="str">
            <v>UY</v>
          </cell>
          <cell r="B240" t="str">
            <v>Uruguay</v>
          </cell>
        </row>
        <row r="241">
          <cell r="A241" t="str">
            <v>UZ</v>
          </cell>
          <cell r="B241" t="str">
            <v>Uzbekistan</v>
          </cell>
        </row>
        <row r="242">
          <cell r="A242" t="str">
            <v>VU</v>
          </cell>
          <cell r="B242" t="str">
            <v>Vanuatu</v>
          </cell>
        </row>
        <row r="243">
          <cell r="A243" t="str">
            <v>VE</v>
          </cell>
          <cell r="B243" t="str">
            <v>Venezuela</v>
          </cell>
        </row>
        <row r="244">
          <cell r="A244" t="str">
            <v>VN</v>
          </cell>
          <cell r="B244" t="str">
            <v>Vietnam</v>
          </cell>
        </row>
        <row r="245">
          <cell r="A245" t="str">
            <v>VG</v>
          </cell>
          <cell r="B245" t="str">
            <v>BVI</v>
          </cell>
        </row>
        <row r="246">
          <cell r="A246" t="str">
            <v>VI</v>
          </cell>
          <cell r="B246" t="str">
            <v>Virgin Islands, U.S.</v>
          </cell>
        </row>
        <row r="247">
          <cell r="A247" t="str">
            <v>WF</v>
          </cell>
          <cell r="B247" t="str">
            <v>Wallis and Futuna</v>
          </cell>
        </row>
        <row r="248">
          <cell r="A248" t="str">
            <v>EH</v>
          </cell>
          <cell r="B248" t="str">
            <v>Western Sahara</v>
          </cell>
        </row>
        <row r="249">
          <cell r="A249" t="str">
            <v>YE</v>
          </cell>
          <cell r="B249" t="str">
            <v>Yemen</v>
          </cell>
        </row>
        <row r="250">
          <cell r="A250" t="str">
            <v>ZM</v>
          </cell>
          <cell r="B250" t="str">
            <v>Zambia</v>
          </cell>
        </row>
        <row r="251">
          <cell r="A251" t="str">
            <v>ZW</v>
          </cell>
          <cell r="B251" t="str">
            <v>Zimbabwe</v>
          </cell>
        </row>
        <row r="252">
          <cell r="A252" t="str">
            <v>EM</v>
          </cell>
          <cell r="B252" t="str">
            <v>Emerging Markets</v>
          </cell>
        </row>
        <row r="253">
          <cell r="A253" t="str">
            <v>Other</v>
          </cell>
          <cell r="B253" t="str">
            <v>Other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efeuille 4392540"/>
      <sheetName val="Portefeuille 4392470"/>
      <sheetName val="Portefeuille 4392350"/>
      <sheetName val="Portefeuille 4392010"/>
      <sheetName val="Portefeuille 4391370"/>
      <sheetName val="Portefeuille 4390150"/>
      <sheetName val="Portefeuille 4390140"/>
      <sheetName val="Portefeuille 4389270"/>
      <sheetName val="Portefeuille 4389140"/>
      <sheetName val="Portefeuille 4389070"/>
      <sheetName val="Portefeuille 4388200"/>
      <sheetName val="Portefeuille 4387590"/>
      <sheetName val="Portefeuille 4387170"/>
      <sheetName val="Portefeuille 4386910"/>
      <sheetName val="Portefeuille 4386710"/>
      <sheetName val="Portefeuille 4385510"/>
      <sheetName val="Portefeuille 4385150"/>
      <sheetName val="Portefeuille 4384380"/>
      <sheetName val="Portefeuille 4384180"/>
      <sheetName val="Portefeuille 4383660"/>
      <sheetName val="Portefeuille 4383040"/>
      <sheetName val="Portefeuille 4382910"/>
      <sheetName val="Portefeuille 4382430"/>
      <sheetName val="Portefeuille 4381780"/>
      <sheetName val="Portefeuille 4381720"/>
      <sheetName val="Portefeuille 4380430"/>
      <sheetName val="Portefeuille 4380370"/>
      <sheetName val="Portefeuille 4379150"/>
      <sheetName val="Portefeuille 4379030"/>
      <sheetName val="Portefeuille 4378920"/>
      <sheetName val="Portefeuille 4377960"/>
      <sheetName val="Portefeuille 4377450"/>
      <sheetName val="Portefeuille 4377110"/>
      <sheetName val="Portefeuille 4375950"/>
      <sheetName val="Portefeuille 4375780"/>
      <sheetName val="Portefeuille 4375080"/>
      <sheetName val="Portefeuille 4374880"/>
      <sheetName val="Portefeuille 4374650"/>
      <sheetName val="Portefeuille 4374170"/>
      <sheetName val="Portefeuille 4373600"/>
      <sheetName val="Portefeuille 4373410"/>
      <sheetName val="Portefeuille 4372660"/>
      <sheetName val="Portefeuille 4372600"/>
      <sheetName val="Portefeuille 4371510"/>
      <sheetName val="Portefeuille 4370970"/>
      <sheetName val="Portefeuille 4370290"/>
      <sheetName val="Portefeuille 473370"/>
      <sheetName val="Portefeuille 174280"/>
      <sheetName val="Portefeuille 173650"/>
      <sheetName val="Portefeuille 173240"/>
      <sheetName val="Portefeuille 173100"/>
      <sheetName val="Portefeuille 1729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3">
          <cell r="B3" t="str">
            <v>Asset Code</v>
          </cell>
          <cell r="C3" t="str">
            <v>Asset Name</v>
          </cell>
          <cell r="D3" t="str">
            <v>Asset Class Code (Level 3) name</v>
          </cell>
          <cell r="E3" t="str">
            <v>Asset unit price</v>
          </cell>
          <cell r="F3" t="str">
            <v>Market Value</v>
          </cell>
          <cell r="G3" t="str">
            <v>LTV</v>
          </cell>
        </row>
        <row r="4">
          <cell r="B4" t="str">
            <v>US9220426764</v>
          </cell>
          <cell r="C4" t="str">
            <v>VNGD GLB EX-US RE</v>
          </cell>
          <cell r="D4" t="str">
            <v>ETF &amp; Tracker</v>
          </cell>
          <cell r="E4"/>
          <cell r="F4">
            <v>50544.00190254012</v>
          </cell>
          <cell r="G4">
            <v>0.7</v>
          </cell>
        </row>
        <row r="5">
          <cell r="B5" t="str">
            <v>GB0007980591</v>
          </cell>
          <cell r="C5" t="str">
            <v>BP</v>
          </cell>
          <cell r="D5" t="str">
            <v>Ordinary Share</v>
          </cell>
          <cell r="E5"/>
          <cell r="F5">
            <v>44989.875768660189</v>
          </cell>
          <cell r="G5">
            <v>0.7974</v>
          </cell>
        </row>
        <row r="6">
          <cell r="B6" t="str">
            <v>US251526CT41</v>
          </cell>
          <cell r="C6" t="str">
            <v>DEUTSCHE 34 FTFN</v>
          </cell>
          <cell r="D6" t="str">
            <v>Bond</v>
          </cell>
          <cell r="E6"/>
          <cell r="F6">
            <v>209530.00464310386</v>
          </cell>
          <cell r="G6">
            <v>0.7671</v>
          </cell>
        </row>
        <row r="7">
          <cell r="B7" t="str">
            <v>XS1575968026</v>
          </cell>
          <cell r="C7" t="str">
            <v>OMAN 6.5% 3/47</v>
          </cell>
          <cell r="D7" t="str">
            <v>Bond</v>
          </cell>
          <cell r="E7"/>
          <cell r="F7">
            <v>305715.00402024848</v>
          </cell>
          <cell r="G7">
            <v>0.55389999999999995</v>
          </cell>
        </row>
        <row r="8">
          <cell r="B8" t="str">
            <v>CH1138770628</v>
          </cell>
          <cell r="C8" t="str">
            <v>EXT - USD EXTERNAL P.P 03112099 - CH1138770628</v>
          </cell>
          <cell r="D8" t="str">
            <v>Structured Product</v>
          </cell>
          <cell r="E8"/>
          <cell r="F8">
            <v>1330010.0336341914</v>
          </cell>
          <cell r="G8"/>
        </row>
        <row r="9">
          <cell r="B9" t="str">
            <v>CH0244767585</v>
          </cell>
          <cell r="C9" t="str">
            <v>UBS GROUP</v>
          </cell>
          <cell r="D9" t="str">
            <v>Ordinary Share</v>
          </cell>
          <cell r="E9"/>
          <cell r="F9">
            <v>44519.438750665322</v>
          </cell>
          <cell r="G9">
            <v>0.7974</v>
          </cell>
        </row>
        <row r="10">
          <cell r="B10" t="str">
            <v>USY775M1CJ07</v>
          </cell>
          <cell r="C10" t="str">
            <v>6.15 SHF 28 NTS -S</v>
          </cell>
          <cell r="D10" t="str">
            <v>Bond</v>
          </cell>
          <cell r="E10"/>
          <cell r="F10">
            <v>196369.9987542892</v>
          </cell>
          <cell r="G10">
            <v>0.82530000000000003</v>
          </cell>
        </row>
        <row r="11">
          <cell r="B11" t="str">
            <v>CASHWITHINSG</v>
          </cell>
          <cell r="C11" t="str">
            <v>CASHWITHINSG</v>
          </cell>
          <cell r="D11" t="str">
            <v>Deposit</v>
          </cell>
          <cell r="E11">
            <v>271.45</v>
          </cell>
          <cell r="F11">
            <v>307.40744935053169</v>
          </cell>
          <cell r="G11">
            <v>1</v>
          </cell>
        </row>
        <row r="12">
          <cell r="B12" t="str">
            <v>GB00B24CGK77</v>
          </cell>
          <cell r="C12" t="str">
            <v>RECKITT BEN GRP</v>
          </cell>
          <cell r="D12" t="str">
            <v>Ordinary Share</v>
          </cell>
          <cell r="E12"/>
          <cell r="F12">
            <v>52388.423949356198</v>
          </cell>
          <cell r="G12">
            <v>0.7974</v>
          </cell>
        </row>
        <row r="13">
          <cell r="B13" t="str">
            <v>US4642874329</v>
          </cell>
          <cell r="C13" t="str">
            <v>ISH 20+Y TRS BD</v>
          </cell>
          <cell r="D13" t="str">
            <v>ETF &amp; Tracker</v>
          </cell>
          <cell r="E13"/>
          <cell r="F13">
            <v>237175.49800120041</v>
          </cell>
          <cell r="G13">
            <v>0.99</v>
          </cell>
        </row>
        <row r="14">
          <cell r="B14" t="str">
            <v>FR001400BBL2</v>
          </cell>
          <cell r="C14" t="str">
            <v>BNPP FTFN</v>
          </cell>
          <cell r="D14" t="str">
            <v>Bond</v>
          </cell>
          <cell r="E14"/>
          <cell r="F14">
            <v>222511.39825373996</v>
          </cell>
          <cell r="G14">
            <v>0.55559999999999998</v>
          </cell>
        </row>
        <row r="15">
          <cell r="B15" t="str">
            <v>XS2608638602</v>
          </cell>
          <cell r="C15" t="str">
            <v>5.684 SEC53CTSSUK-S</v>
          </cell>
          <cell r="D15" t="str">
            <v>Other security</v>
          </cell>
          <cell r="E15"/>
          <cell r="F15">
            <v>295365.00458648067</v>
          </cell>
          <cell r="G15">
            <v>0.48</v>
          </cell>
        </row>
        <row r="16">
          <cell r="B16" t="str">
            <v>XS2907245208</v>
          </cell>
          <cell r="C16" t="str">
            <v>5.25 ADO 54 NTS -S</v>
          </cell>
          <cell r="D16" t="str">
            <v>Bond</v>
          </cell>
          <cell r="E16"/>
          <cell r="F16">
            <v>284145.00073610182</v>
          </cell>
          <cell r="G16">
            <v>0.67610000000000003</v>
          </cell>
        </row>
        <row r="17">
          <cell r="B17" t="str">
            <v>CASHWITHINSG</v>
          </cell>
          <cell r="C17" t="str">
            <v>CASHWITHINSG</v>
          </cell>
          <cell r="D17" t="str">
            <v>Deposit</v>
          </cell>
          <cell r="E17">
            <v>569.44000000000005</v>
          </cell>
          <cell r="F17">
            <v>601.02148284882742</v>
          </cell>
          <cell r="G17">
            <v>1</v>
          </cell>
        </row>
        <row r="18">
          <cell r="B18" t="str">
            <v>CASHWITHINSG</v>
          </cell>
          <cell r="C18" t="str">
            <v>CASHWITHINSG</v>
          </cell>
          <cell r="D18" t="str">
            <v>Deposit</v>
          </cell>
          <cell r="E18">
            <v>7556.25</v>
          </cell>
          <cell r="F18">
            <v>7556.2551668686228</v>
          </cell>
          <cell r="G18">
            <v>1</v>
          </cell>
        </row>
        <row r="19">
          <cell r="B19" t="str">
            <v>US6092071058</v>
          </cell>
          <cell r="C19" t="str">
            <v>MONDELEZ INTL</v>
          </cell>
          <cell r="D19" t="str">
            <v>Ordinary Share</v>
          </cell>
          <cell r="E19"/>
          <cell r="F19">
            <v>49445.602074674694</v>
          </cell>
          <cell r="G19">
            <v>0.7974</v>
          </cell>
        </row>
        <row r="20">
          <cell r="B20" t="str">
            <v>XS2821647364</v>
          </cell>
          <cell r="C20" t="str">
            <v>7.375 MANA 28EMTN-S</v>
          </cell>
          <cell r="D20" t="str">
            <v>Bond</v>
          </cell>
          <cell r="E20"/>
          <cell r="F20">
            <v>199210.00419011811</v>
          </cell>
          <cell r="G20">
            <v>0.82240000000000002</v>
          </cell>
        </row>
        <row r="21">
          <cell r="B21" t="str">
            <v>XS2577136109</v>
          </cell>
          <cell r="C21" t="str">
            <v>5 SAU 53 28 MTN -S</v>
          </cell>
          <cell r="D21" t="str">
            <v>Bond</v>
          </cell>
          <cell r="E21"/>
          <cell r="F21">
            <v>240408.00425806601</v>
          </cell>
          <cell r="G21">
            <v>0.68869999999999998</v>
          </cell>
        </row>
        <row r="22">
          <cell r="B22" t="str">
            <v>XS2131567138</v>
          </cell>
          <cell r="C22" t="str">
            <v>ABN REG S FTVN</v>
          </cell>
          <cell r="D22" t="str">
            <v>Bond</v>
          </cell>
          <cell r="E22"/>
          <cell r="F22">
            <v>315006.35312503541</v>
          </cell>
          <cell r="G22">
            <v>0.51790000000000003</v>
          </cell>
        </row>
        <row r="23">
          <cell r="B23" t="str">
            <v>CASHWITHINSG</v>
          </cell>
          <cell r="C23" t="str">
            <v>CASHWITHINSG</v>
          </cell>
          <cell r="D23" t="str">
            <v>Deposit</v>
          </cell>
          <cell r="E23">
            <v>1086.25</v>
          </cell>
          <cell r="F23">
            <v>1378.1298483630228</v>
          </cell>
          <cell r="G23">
            <v>1</v>
          </cell>
        </row>
        <row r="24">
          <cell r="B24" t="str">
            <v>CASHWITHINSG</v>
          </cell>
          <cell r="C24" t="str">
            <v>CASHWITHINSG</v>
          </cell>
          <cell r="D24" t="str">
            <v>Deposit</v>
          </cell>
          <cell r="E24">
            <v>773.1</v>
          </cell>
          <cell r="F24">
            <v>575.99402058820203</v>
          </cell>
          <cell r="G24">
            <v>1</v>
          </cell>
        </row>
        <row r="25">
          <cell r="B25" t="str">
            <v>GB0009895292</v>
          </cell>
          <cell r="C25" t="str">
            <v>ASTRAZENECA</v>
          </cell>
          <cell r="D25" t="str">
            <v>Ordinary Share</v>
          </cell>
          <cell r="E25"/>
          <cell r="F25">
            <v>52821.580240761927</v>
          </cell>
          <cell r="G25">
            <v>0.7974</v>
          </cell>
        </row>
        <row r="26">
          <cell r="B26" t="str">
            <v>CH0038863350</v>
          </cell>
          <cell r="C26" t="str">
            <v>NESTLE</v>
          </cell>
          <cell r="D26" t="str">
            <v>Ordinary Share</v>
          </cell>
          <cell r="E26"/>
          <cell r="F26">
            <v>41226.232404335075</v>
          </cell>
          <cell r="G26">
            <v>0.7974</v>
          </cell>
        </row>
        <row r="27">
          <cell r="B27" t="str">
            <v>US98956P1021</v>
          </cell>
          <cell r="C27" t="str">
            <v>ZIMMER BIOMET</v>
          </cell>
          <cell r="D27" t="str">
            <v>Ordinary Share</v>
          </cell>
          <cell r="E27"/>
          <cell r="F27">
            <v>101938.20142011032</v>
          </cell>
          <cell r="G27">
            <v>0.7974</v>
          </cell>
        </row>
        <row r="28">
          <cell r="B28" t="str">
            <v>IE00B6YX5L24</v>
          </cell>
          <cell r="C28" t="str">
            <v>SSGA BAR 15+YR GBP</v>
          </cell>
          <cell r="D28" t="str">
            <v>ETF &amp; Tracker</v>
          </cell>
          <cell r="E28"/>
          <cell r="F28">
            <v>143282.9575439113</v>
          </cell>
          <cell r="G28">
            <v>0.85</v>
          </cell>
        </row>
        <row r="29">
          <cell r="B29" t="str">
            <v>US4581401001</v>
          </cell>
          <cell r="C29" t="str">
            <v>INTEL</v>
          </cell>
          <cell r="D29" t="str">
            <v>Ordinary Share</v>
          </cell>
          <cell r="E29"/>
          <cell r="F29">
            <v>118250.00283116089</v>
          </cell>
          <cell r="G29">
            <v>0.7974</v>
          </cell>
        </row>
        <row r="30">
          <cell r="B30" t="str">
            <v>XS2451768720</v>
          </cell>
          <cell r="C30" t="str">
            <v>QIC CAYMAN -S FTVN</v>
          </cell>
          <cell r="D30" t="str">
            <v>Bond</v>
          </cell>
          <cell r="E30"/>
          <cell r="F30">
            <v>202789.99580988189</v>
          </cell>
          <cell r="G30">
            <v>0.55559999999999998</v>
          </cell>
        </row>
        <row r="31">
          <cell r="B31" t="str">
            <v>XS2586873379</v>
          </cell>
          <cell r="C31" t="str">
            <v>JULIUS BAER -S FTVB</v>
          </cell>
          <cell r="D31" t="str">
            <v>Bond</v>
          </cell>
          <cell r="E31"/>
          <cell r="F31">
            <v>214996.54598371516</v>
          </cell>
          <cell r="G31">
            <v>0.51790000000000003</v>
          </cell>
        </row>
        <row r="32">
          <cell r="B32" t="str">
            <v>FR001400F2H9</v>
          </cell>
          <cell r="C32" t="str">
            <v>BNPP CCVFRB-S</v>
          </cell>
          <cell r="D32" t="str">
            <v>Other security</v>
          </cell>
          <cell r="E32"/>
          <cell r="F32">
            <v>455070.74504829961</v>
          </cell>
          <cell r="G32">
            <v>0.70109999999999995</v>
          </cell>
        </row>
        <row r="33">
          <cell r="B33" t="str">
            <v>IE00BKX55Q28</v>
          </cell>
          <cell r="C33" t="str">
            <v>VAN FTSE 250 GBP</v>
          </cell>
          <cell r="D33" t="str">
            <v>ETF &amp; Tracker</v>
          </cell>
          <cell r="E33"/>
          <cell r="F33">
            <v>49499.088366193675</v>
          </cell>
          <cell r="G33">
            <v>0.7</v>
          </cell>
        </row>
        <row r="34">
          <cell r="B34" t="str">
            <v>US09061G1013</v>
          </cell>
          <cell r="C34" t="str">
            <v>BIOMARIN PHARM</v>
          </cell>
          <cell r="D34" t="str">
            <v>Ordinary Share</v>
          </cell>
          <cell r="E34"/>
          <cell r="F34">
            <v>93223.503165237868</v>
          </cell>
          <cell r="G34">
            <v>0.7974</v>
          </cell>
        </row>
        <row r="35">
          <cell r="B35" t="str">
            <v>IE00B6S2Z822</v>
          </cell>
          <cell r="C35" t="str">
            <v>SPDR S&amp;P UK DIV GBP</v>
          </cell>
          <cell r="D35" t="str">
            <v>ETF &amp; Tracker</v>
          </cell>
          <cell r="E35"/>
          <cell r="F35">
            <v>52603.592176936232</v>
          </cell>
          <cell r="G35">
            <v>0.75</v>
          </cell>
        </row>
        <row r="36">
          <cell r="B36" t="str">
            <v>XS2775892065</v>
          </cell>
          <cell r="C36" t="str">
            <v>6.125 GTEMS 36MTN-S</v>
          </cell>
          <cell r="D36" t="str">
            <v>Bond</v>
          </cell>
          <cell r="E36"/>
          <cell r="F36">
            <v>199389.9980748106</v>
          </cell>
          <cell r="G36">
            <v>0.73609999999999998</v>
          </cell>
        </row>
        <row r="37">
          <cell r="B37" t="str">
            <v>FR001400F067</v>
          </cell>
          <cell r="C37" t="str">
            <v>AGRI FTFN</v>
          </cell>
          <cell r="D37" t="str">
            <v>Bond</v>
          </cell>
          <cell r="E37"/>
          <cell r="F37">
            <v>334020.40700768941</v>
          </cell>
          <cell r="G37">
            <v>0.55559999999999998</v>
          </cell>
        </row>
        <row r="38">
          <cell r="B38" t="str">
            <v>XS2542166744</v>
          </cell>
          <cell r="C38" t="str">
            <v>6.51 GSPB 42 MTN -S</v>
          </cell>
          <cell r="D38" t="str">
            <v>Other security</v>
          </cell>
          <cell r="E38"/>
          <cell r="F38">
            <v>311775.00198181265</v>
          </cell>
          <cell r="G38">
            <v>0.56000000000000005</v>
          </cell>
        </row>
      </sheetData>
      <sheetData sheetId="26"/>
      <sheetData sheetId="27">
        <row r="3">
          <cell r="B3" t="str">
            <v>Asset Code</v>
          </cell>
          <cell r="C3" t="str">
            <v>Asset Name</v>
          </cell>
          <cell r="D3" t="str">
            <v>Asset Class Code (Level 3) name</v>
          </cell>
          <cell r="E3" t="str">
            <v>Asset unit price</v>
          </cell>
          <cell r="F3" t="str">
            <v>Market Value</v>
          </cell>
          <cell r="G3" t="str">
            <v>LTV</v>
          </cell>
        </row>
        <row r="4">
          <cell r="B4" t="str">
            <v>US7960508882</v>
          </cell>
          <cell r="C4" t="str">
            <v>SAMSUNG ELECTRONICS GDR</v>
          </cell>
          <cell r="D4" t="str">
            <v>Ordinary Share</v>
          </cell>
          <cell r="E4"/>
          <cell r="F4">
            <v>10911.996194919766</v>
          </cell>
          <cell r="G4">
            <v>0.79449999999999998</v>
          </cell>
        </row>
        <row r="5">
          <cell r="B5" t="str">
            <v>US01609W1027</v>
          </cell>
          <cell r="C5" t="str">
            <v>ALIBABA GRP ADR</v>
          </cell>
          <cell r="D5" t="str">
            <v>Ordinary Share</v>
          </cell>
          <cell r="E5"/>
          <cell r="F5">
            <v>3463.5969332865247</v>
          </cell>
          <cell r="G5">
            <v>0.66600000000000004</v>
          </cell>
        </row>
        <row r="6">
          <cell r="B6" t="str">
            <v>GB0009895292</v>
          </cell>
          <cell r="C6" t="str">
            <v>ASTRAZENECA</v>
          </cell>
          <cell r="D6" t="str">
            <v>Ordinary Share</v>
          </cell>
          <cell r="E6"/>
          <cell r="F6">
            <v>52821.580240761927</v>
          </cell>
          <cell r="G6">
            <v>0.79449999999999998</v>
          </cell>
        </row>
        <row r="7">
          <cell r="B7" t="str">
            <v>CH0038863350</v>
          </cell>
          <cell r="C7" t="str">
            <v>NESTLE</v>
          </cell>
          <cell r="D7" t="str">
            <v>Ordinary Share</v>
          </cell>
          <cell r="E7"/>
          <cell r="F7">
            <v>42094.153086531602</v>
          </cell>
          <cell r="G7">
            <v>0.79449999999999998</v>
          </cell>
        </row>
        <row r="8">
          <cell r="B8" t="str">
            <v>XS1575968026</v>
          </cell>
          <cell r="C8" t="str">
            <v>OMAN 6.5% 3/47</v>
          </cell>
          <cell r="D8" t="str">
            <v>Bond</v>
          </cell>
          <cell r="E8"/>
          <cell r="F8">
            <v>203809.99513040326</v>
          </cell>
          <cell r="G8">
            <v>0.55169999999999997</v>
          </cell>
        </row>
        <row r="9">
          <cell r="B9" t="str">
            <v>XS2630917107</v>
          </cell>
          <cell r="C9" t="str">
            <v>NAT 34 VRB</v>
          </cell>
          <cell r="D9" t="str">
            <v>Bond</v>
          </cell>
          <cell r="E9"/>
          <cell r="F9">
            <v>201240.00317090019</v>
          </cell>
          <cell r="G9">
            <v>0.75019999999999998</v>
          </cell>
        </row>
        <row r="10">
          <cell r="B10" t="str">
            <v>XS2401571448</v>
          </cell>
          <cell r="C10" t="str">
            <v>2.8 LUKOIL 27 BDS-S</v>
          </cell>
          <cell r="D10" t="str">
            <v>Bond</v>
          </cell>
          <cell r="E10"/>
          <cell r="F10">
            <v>217499.99433767822</v>
          </cell>
          <cell r="G10">
            <v>0</v>
          </cell>
        </row>
        <row r="11">
          <cell r="B11" t="str">
            <v>CASHWITHINSG</v>
          </cell>
          <cell r="C11" t="str">
            <v>CASHWITHINSG</v>
          </cell>
          <cell r="D11" t="str">
            <v>Deposit</v>
          </cell>
          <cell r="E11">
            <v>627.48</v>
          </cell>
          <cell r="F11">
            <v>662.27647984779674</v>
          </cell>
          <cell r="G11">
            <v>1</v>
          </cell>
        </row>
        <row r="12">
          <cell r="B12" t="str">
            <v>US6410694060</v>
          </cell>
          <cell r="C12" t="str">
            <v>NESTLE ADR</v>
          </cell>
          <cell r="D12" t="str">
            <v>Ordinary Share</v>
          </cell>
          <cell r="E12"/>
          <cell r="F12">
            <v>7254.238247851149</v>
          </cell>
          <cell r="G12">
            <v>0.79449999999999998</v>
          </cell>
        </row>
        <row r="13">
          <cell r="B13" t="str">
            <v>FR0000121485</v>
          </cell>
          <cell r="C13" t="str">
            <v>KERING</v>
          </cell>
          <cell r="D13" t="str">
            <v>Ordinary Share</v>
          </cell>
          <cell r="E13"/>
          <cell r="F13">
            <v>57997.350033407703</v>
          </cell>
          <cell r="G13">
            <v>0.79449999999999998</v>
          </cell>
        </row>
        <row r="14">
          <cell r="B14" t="str">
            <v>US98956P1021</v>
          </cell>
          <cell r="C14" t="str">
            <v>ZIMMER BIOMET</v>
          </cell>
          <cell r="D14" t="str">
            <v>Ordinary Share</v>
          </cell>
          <cell r="E14"/>
          <cell r="F14">
            <v>50409.000826698983</v>
          </cell>
          <cell r="G14">
            <v>0.79449999999999998</v>
          </cell>
        </row>
        <row r="15">
          <cell r="B15" t="str">
            <v>US7134481081</v>
          </cell>
          <cell r="C15" t="str">
            <v>PEPSICO</v>
          </cell>
          <cell r="D15" t="str">
            <v>Ordinary Share</v>
          </cell>
          <cell r="E15"/>
          <cell r="F15">
            <v>100398.24241531998</v>
          </cell>
          <cell r="G15">
            <v>0.79449999999999998</v>
          </cell>
        </row>
        <row r="16">
          <cell r="B16" t="str">
            <v>US00214Q4010</v>
          </cell>
          <cell r="C16" t="str">
            <v>ARK NEXT GEN INTRNT</v>
          </cell>
          <cell r="D16" t="str">
            <v>ETF &amp; Tracker</v>
          </cell>
          <cell r="E16"/>
          <cell r="F16">
            <v>104714.74355344665</v>
          </cell>
          <cell r="G16">
            <v>0.7</v>
          </cell>
        </row>
        <row r="17">
          <cell r="B17" t="str">
            <v>US62914V1061</v>
          </cell>
          <cell r="C17" t="str">
            <v>NIO SP ADS-A</v>
          </cell>
          <cell r="D17" t="str">
            <v>Ordinary Share</v>
          </cell>
          <cell r="E17"/>
          <cell r="F17">
            <v>28053.905303330575</v>
          </cell>
          <cell r="G17">
            <v>0.66600000000000004</v>
          </cell>
        </row>
        <row r="18">
          <cell r="B18" t="str">
            <v>XS2755904872</v>
          </cell>
          <cell r="C18" t="str">
            <v>5.375 GACI54EMTN -S</v>
          </cell>
          <cell r="D18" t="str">
            <v>Bond</v>
          </cell>
          <cell r="E18"/>
          <cell r="F18">
            <v>271274.99631949083</v>
          </cell>
          <cell r="G18">
            <v>0.5988</v>
          </cell>
        </row>
        <row r="19">
          <cell r="B19" t="str">
            <v>US6092071058</v>
          </cell>
          <cell r="C19" t="str">
            <v>MONDELEZ INTL</v>
          </cell>
          <cell r="D19" t="str">
            <v>Ordinary Share</v>
          </cell>
          <cell r="E19"/>
          <cell r="F19">
            <v>50486.563310419806</v>
          </cell>
          <cell r="G19">
            <v>0.79449999999999998</v>
          </cell>
        </row>
        <row r="20">
          <cell r="B20" t="str">
            <v>IE00B6YX5L24</v>
          </cell>
          <cell r="C20" t="str">
            <v>SSGA BAR 15+YR GBP</v>
          </cell>
          <cell r="D20" t="str">
            <v>ETF &amp; Tracker</v>
          </cell>
          <cell r="E20"/>
          <cell r="F20">
            <v>60736.328324066002</v>
          </cell>
          <cell r="G20">
            <v>0.85</v>
          </cell>
        </row>
        <row r="21">
          <cell r="B21" t="str">
            <v>GB0031743007</v>
          </cell>
          <cell r="C21" t="str">
            <v>BURBERRY GROUP</v>
          </cell>
          <cell r="D21" t="str">
            <v>Ordinary Share</v>
          </cell>
          <cell r="E21"/>
          <cell r="F21">
            <v>43013.4876504762</v>
          </cell>
          <cell r="G21">
            <v>0.74309999999999998</v>
          </cell>
        </row>
        <row r="22">
          <cell r="B22" t="str">
            <v>XS2586007036</v>
          </cell>
          <cell r="C22" t="str">
            <v>OTP 33 FTVN</v>
          </cell>
          <cell r="D22" t="str">
            <v>Bond</v>
          </cell>
          <cell r="E22"/>
          <cell r="F22">
            <v>105854.99926389816</v>
          </cell>
          <cell r="G22">
            <v>0.6915</v>
          </cell>
        </row>
        <row r="23">
          <cell r="B23" t="str">
            <v>DE0007664039</v>
          </cell>
          <cell r="C23" t="str">
            <v>VOLKSWAGEN ?486709</v>
          </cell>
          <cell r="D23" t="str">
            <v>Ordinary Share</v>
          </cell>
          <cell r="E23"/>
          <cell r="F23">
            <v>59563.650159111239</v>
          </cell>
          <cell r="G23">
            <v>0.79449999999999998</v>
          </cell>
        </row>
        <row r="24">
          <cell r="B24" t="str">
            <v>US09061G1013</v>
          </cell>
          <cell r="C24" t="str">
            <v>BIOMARIN PHARM</v>
          </cell>
          <cell r="D24" t="str">
            <v>Ordinary Share</v>
          </cell>
          <cell r="E24"/>
          <cell r="F24">
            <v>46448.195418049218</v>
          </cell>
          <cell r="G24">
            <v>0.79449999999999998</v>
          </cell>
        </row>
        <row r="25">
          <cell r="B25" t="str">
            <v>CA0679011084</v>
          </cell>
          <cell r="C25" t="str">
            <v>BARRICK GOLD</v>
          </cell>
          <cell r="D25" t="str">
            <v>Ordinary Share</v>
          </cell>
          <cell r="E25"/>
          <cell r="F25">
            <v>13142.362094153088</v>
          </cell>
          <cell r="G25">
            <v>0.79449999999999998</v>
          </cell>
        </row>
        <row r="26">
          <cell r="B26" t="str">
            <v>US6541061031</v>
          </cell>
          <cell r="C26" t="str">
            <v>NIKE</v>
          </cell>
          <cell r="D26" t="str">
            <v>Ordinary Share</v>
          </cell>
          <cell r="E26"/>
          <cell r="F26">
            <v>62672.004348663133</v>
          </cell>
          <cell r="G26">
            <v>0.79449999999999998</v>
          </cell>
        </row>
        <row r="27">
          <cell r="B27" t="str">
            <v>IE00BKX55Q28</v>
          </cell>
          <cell r="C27" t="str">
            <v>VAN FTSE 250 GBP</v>
          </cell>
          <cell r="D27" t="str">
            <v>ETF &amp; Tracker</v>
          </cell>
          <cell r="E27"/>
          <cell r="F27">
            <v>62320.158997995539</v>
          </cell>
          <cell r="G27">
            <v>0.7</v>
          </cell>
        </row>
        <row r="28">
          <cell r="B28" t="str">
            <v>GB00BN7SWP63</v>
          </cell>
          <cell r="C28" t="str">
            <v>GSK RG</v>
          </cell>
          <cell r="D28" t="str">
            <v>Ordinary Share</v>
          </cell>
          <cell r="E28"/>
          <cell r="F28">
            <v>63350.769509529688</v>
          </cell>
          <cell r="G28">
            <v>0.79449999999999998</v>
          </cell>
        </row>
        <row r="29">
          <cell r="B29" t="str">
            <v>GB0007980591</v>
          </cell>
          <cell r="C29" t="str">
            <v>BP</v>
          </cell>
          <cell r="D29" t="str">
            <v>Ordinary Share</v>
          </cell>
          <cell r="E29"/>
          <cell r="F29">
            <v>44989.875768660189</v>
          </cell>
          <cell r="G29">
            <v>0.79449999999999998</v>
          </cell>
        </row>
        <row r="30">
          <cell r="B30" t="str">
            <v>XS2393498204</v>
          </cell>
          <cell r="C30" t="str">
            <v>ROTHESA CCV -S FTVN</v>
          </cell>
          <cell r="D30" t="str">
            <v>Bond</v>
          </cell>
          <cell r="E30"/>
          <cell r="F30">
            <v>309531.03518566751</v>
          </cell>
          <cell r="G30">
            <v>0.51559999999999995</v>
          </cell>
        </row>
        <row r="31">
          <cell r="B31" t="str">
            <v>CASHWITHINSG</v>
          </cell>
          <cell r="C31" t="str">
            <v>CASHWITHINSG</v>
          </cell>
          <cell r="D31" t="str">
            <v>Deposit</v>
          </cell>
          <cell r="E31">
            <v>3782.92</v>
          </cell>
          <cell r="F31">
            <v>4799.3952640340649</v>
          </cell>
          <cell r="G31">
            <v>1</v>
          </cell>
        </row>
        <row r="32">
          <cell r="B32" t="str">
            <v>CASHWITHINSG</v>
          </cell>
          <cell r="C32" t="str">
            <v>CASHWITHINSG</v>
          </cell>
          <cell r="D32" t="str">
            <v>Deposit</v>
          </cell>
          <cell r="E32">
            <v>92904.85</v>
          </cell>
          <cell r="F32">
            <v>92904.850344835402</v>
          </cell>
          <cell r="G32">
            <v>1</v>
          </cell>
        </row>
        <row r="33">
          <cell r="B33" t="str">
            <v>LU0067412154</v>
          </cell>
          <cell r="C33" t="str">
            <v>UBS(LU)EF-CH OP P</v>
          </cell>
          <cell r="D33" t="str">
            <v>Share Fund</v>
          </cell>
          <cell r="E33"/>
          <cell r="F33">
            <v>29071.707643001937</v>
          </cell>
          <cell r="G33">
            <v>0</v>
          </cell>
        </row>
        <row r="34">
          <cell r="B34" t="str">
            <v>US4642882249</v>
          </cell>
          <cell r="C34" t="str">
            <v>ISH SP GL CL EN</v>
          </cell>
          <cell r="D34" t="str">
            <v>ETF &amp; Tracker</v>
          </cell>
          <cell r="E34"/>
          <cell r="F34">
            <v>5248.7457957260795</v>
          </cell>
          <cell r="G34">
            <v>0.65</v>
          </cell>
        </row>
        <row r="35">
          <cell r="B35" t="str">
            <v>US58933Y1055</v>
          </cell>
          <cell r="C35" t="str">
            <v>MERCK &amp; CO</v>
          </cell>
          <cell r="D35" t="str">
            <v>Ordinary Share</v>
          </cell>
          <cell r="E35"/>
          <cell r="F35">
            <v>51972.481116156872</v>
          </cell>
          <cell r="G35">
            <v>0.79449999999999998</v>
          </cell>
        </row>
        <row r="36">
          <cell r="B36" t="str">
            <v>GB0002374006</v>
          </cell>
          <cell r="C36" t="str">
            <v>DIAGEO</v>
          </cell>
          <cell r="D36" t="str">
            <v>Ordinary Share</v>
          </cell>
          <cell r="E36"/>
          <cell r="F36">
            <v>50171.500402024853</v>
          </cell>
          <cell r="G36">
            <v>0.79449999999999998</v>
          </cell>
        </row>
        <row r="37">
          <cell r="B37" t="str">
            <v>US8447411088</v>
          </cell>
          <cell r="C37" t="str">
            <v>SOUTHWEST AIRLINES</v>
          </cell>
          <cell r="D37" t="str">
            <v>Ordinary Share</v>
          </cell>
          <cell r="E37"/>
          <cell r="F37">
            <v>90607.99746327984</v>
          </cell>
          <cell r="G37">
            <v>0.79449999999999998</v>
          </cell>
        </row>
        <row r="38">
          <cell r="B38" t="str">
            <v>IE00B6S2Z822</v>
          </cell>
          <cell r="C38" t="str">
            <v>SPDR S&amp;P UK DIV GBP</v>
          </cell>
          <cell r="D38" t="str">
            <v>ETF &amp; Tracker</v>
          </cell>
          <cell r="E38"/>
          <cell r="F38">
            <v>84179.631496098664</v>
          </cell>
          <cell r="G38">
            <v>0.75</v>
          </cell>
        </row>
        <row r="39">
          <cell r="B39" t="str">
            <v>US1101221083</v>
          </cell>
          <cell r="C39" t="str">
            <v>BRISTOL-MYERS</v>
          </cell>
          <cell r="D39" t="str">
            <v>Ordinary Share</v>
          </cell>
          <cell r="E39"/>
          <cell r="F39">
            <v>9661.008119769429</v>
          </cell>
          <cell r="G39">
            <v>0.79449999999999998</v>
          </cell>
        </row>
        <row r="40">
          <cell r="B40" t="str">
            <v>US2948216088</v>
          </cell>
          <cell r="C40" t="str">
            <v>TELEFON ERICSSON ADR</v>
          </cell>
          <cell r="D40" t="str">
            <v>Ordinary Share</v>
          </cell>
          <cell r="E40"/>
          <cell r="F40">
            <v>3353.8045140029221</v>
          </cell>
          <cell r="G40">
            <v>0.79449999999999998</v>
          </cell>
        </row>
        <row r="41">
          <cell r="B41" t="str">
            <v>GB00B24CGK77</v>
          </cell>
          <cell r="C41" t="str">
            <v>RECKITT BEN GRP</v>
          </cell>
          <cell r="D41" t="str">
            <v>Ordinary Share</v>
          </cell>
          <cell r="E41"/>
          <cell r="F41">
            <v>52388.423949356198</v>
          </cell>
          <cell r="G41">
            <v>0.79449999999999998</v>
          </cell>
        </row>
        <row r="42">
          <cell r="B42" t="str">
            <v>XS2384475930</v>
          </cell>
          <cell r="C42" t="str">
            <v>3.875 CRE 26 BDS -S</v>
          </cell>
          <cell r="D42" t="str">
            <v>Bond</v>
          </cell>
          <cell r="E42"/>
          <cell r="F42">
            <v>93042.003102952338</v>
          </cell>
          <cell r="G42">
            <v>0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nkit Kapoor" id="{63AF09D5-54CB-47E2-A4DD-F7E9F5BF17A9}" userId="S::ankit.kapoor@fiduciacapital.com::a2e8a5d6-5ba2-4a90-a715-43b8a9c0937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X2" dT="2024-07-08T11:37:29.00" personId="{63AF09D5-54CB-47E2-A4DD-F7E9F5BF17A9}" id="{DB5A054E-518F-4BEE-9D97-1C3413BF651B}">
    <text>DO NOT CHANGE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BF4EE-331F-4FC0-805F-CAB9BB54B994}">
  <dimension ref="B2:Q41"/>
  <sheetViews>
    <sheetView showGridLines="0" workbookViewId="0">
      <selection activeCell="K19" sqref="K19"/>
    </sheetView>
  </sheetViews>
  <sheetFormatPr defaultRowHeight="13.5" customHeight="1" x14ac:dyDescent="0.25"/>
  <cols>
    <col min="1" max="1" width="9.140625" style="41"/>
    <col min="2" max="2" width="30.7109375" style="41" customWidth="1"/>
    <col min="3" max="4" width="9.140625" style="41"/>
    <col min="5" max="5" width="9.28515625" style="41" bestFit="1" customWidth="1"/>
    <col min="6" max="16384" width="9.140625" style="41"/>
  </cols>
  <sheetData>
    <row r="2" spans="2:17" ht="13.5" customHeight="1" x14ac:dyDescent="0.25">
      <c r="B2" s="50" t="s">
        <v>281</v>
      </c>
      <c r="C2" s="50"/>
      <c r="D2" s="50"/>
      <c r="E2" s="50"/>
      <c r="F2" s="50"/>
      <c r="G2" s="50"/>
      <c r="L2" s="58" t="s">
        <v>292</v>
      </c>
      <c r="M2" s="58"/>
      <c r="N2" s="58"/>
      <c r="O2" s="58"/>
      <c r="P2" s="58"/>
      <c r="Q2" s="58"/>
    </row>
    <row r="3" spans="2:17" ht="13.5" customHeight="1" x14ac:dyDescent="0.25">
      <c r="B3" s="51" t="s">
        <v>280</v>
      </c>
      <c r="C3" s="51"/>
      <c r="D3" s="51" t="s">
        <v>282</v>
      </c>
      <c r="E3" s="51" t="s">
        <v>283</v>
      </c>
      <c r="F3" s="51"/>
      <c r="G3" s="51"/>
    </row>
    <row r="4" spans="2:17" ht="13.5" customHeight="1" x14ac:dyDescent="0.25">
      <c r="B4" s="59" t="s">
        <v>293</v>
      </c>
      <c r="C4" s="59"/>
      <c r="D4" s="59" t="str">
        <f>IF(MIN(Bonds!V:V)&lt;-1%,"Y","-")</f>
        <v>-</v>
      </c>
      <c r="E4" s="60">
        <f>COUNTIF(Bonds!V:V,"&lt;-1.0%")</f>
        <v>0</v>
      </c>
      <c r="F4" s="59"/>
      <c r="G4" s="59"/>
      <c r="I4" s="52"/>
      <c r="L4" s="68" t="s">
        <v>287</v>
      </c>
      <c r="M4" s="68"/>
      <c r="N4" s="68"/>
      <c r="O4" s="68"/>
      <c r="P4" s="68"/>
      <c r="Q4" s="68"/>
    </row>
    <row r="5" spans="2:17" ht="13.5" customHeight="1" x14ac:dyDescent="0.25">
      <c r="B5" s="59" t="s">
        <v>296</v>
      </c>
      <c r="C5" s="59"/>
      <c r="D5" s="59" t="str">
        <f>IF(MIN(Bonds!W:W)&lt;-5%,"Y","-")</f>
        <v>-</v>
      </c>
      <c r="E5" s="60">
        <f>COUNTIF(Bonds!W:W,"&lt;-5.0%")</f>
        <v>0</v>
      </c>
      <c r="F5" s="59"/>
      <c r="G5" s="59"/>
      <c r="I5" s="52"/>
      <c r="L5" s="68" t="s">
        <v>288</v>
      </c>
      <c r="M5" s="68"/>
      <c r="N5" s="68"/>
      <c r="O5" s="68"/>
      <c r="P5" s="68"/>
      <c r="Q5" s="68"/>
    </row>
    <row r="6" spans="2:17" ht="13.5" customHeight="1" x14ac:dyDescent="0.25">
      <c r="B6" s="59" t="s">
        <v>294</v>
      </c>
      <c r="C6" s="59"/>
      <c r="D6" s="59" t="str">
        <f>IF(MAX(Bonds!V:V)&gt;1%,"Y","-")</f>
        <v>-</v>
      </c>
      <c r="E6" s="60">
        <f>COUNTIF(Bonds!V:V,"&gt;1.0%")</f>
        <v>0</v>
      </c>
      <c r="F6" s="59"/>
      <c r="G6" s="59"/>
      <c r="L6" s="68"/>
      <c r="M6" s="68"/>
      <c r="N6" s="68"/>
      <c r="O6" s="68"/>
      <c r="P6" s="68"/>
      <c r="Q6" s="68"/>
    </row>
    <row r="7" spans="2:17" ht="13.5" customHeight="1" x14ac:dyDescent="0.25">
      <c r="B7" s="59" t="s">
        <v>297</v>
      </c>
      <c r="C7" s="59"/>
      <c r="D7" s="59" t="str">
        <f>IF(MAX(Bonds!W:W)&gt;5%,"Y","-")</f>
        <v>-</v>
      </c>
      <c r="E7" s="60">
        <f>COUNTIF(Bonds!W:W,"&gt;5.0%")</f>
        <v>0</v>
      </c>
      <c r="F7" s="59"/>
      <c r="G7" s="59"/>
      <c r="L7" s="68" t="s">
        <v>289</v>
      </c>
      <c r="M7" s="68"/>
      <c r="N7" s="68"/>
      <c r="O7" s="68"/>
      <c r="P7" s="68"/>
      <c r="Q7" s="68"/>
    </row>
    <row r="8" spans="2:17" ht="13.5" customHeight="1" x14ac:dyDescent="0.25">
      <c r="L8" s="68" t="s">
        <v>290</v>
      </c>
      <c r="M8" s="68"/>
      <c r="N8" s="68"/>
      <c r="O8" s="68"/>
      <c r="P8" s="68"/>
      <c r="Q8" s="68"/>
    </row>
    <row r="9" spans="2:17" ht="13.5" customHeight="1" x14ac:dyDescent="0.25">
      <c r="L9" s="68" t="s">
        <v>291</v>
      </c>
      <c r="M9" s="68"/>
      <c r="N9" s="68"/>
      <c r="O9" s="68"/>
      <c r="P9" s="68"/>
      <c r="Q9" s="68"/>
    </row>
    <row r="10" spans="2:17" ht="13.5" customHeight="1" x14ac:dyDescent="0.25">
      <c r="B10" s="50" t="s">
        <v>284</v>
      </c>
      <c r="C10" s="50"/>
      <c r="D10" s="50"/>
      <c r="E10" s="50"/>
      <c r="F10" s="50"/>
      <c r="G10" s="50"/>
      <c r="L10" s="68" t="s">
        <v>295</v>
      </c>
      <c r="M10" s="68"/>
      <c r="N10" s="68"/>
      <c r="O10" s="68"/>
      <c r="P10" s="68"/>
      <c r="Q10" s="68"/>
    </row>
    <row r="11" spans="2:17" ht="13.5" customHeight="1" x14ac:dyDescent="0.25">
      <c r="B11" s="51" t="s">
        <v>280</v>
      </c>
      <c r="C11" s="51"/>
      <c r="D11" s="51" t="s">
        <v>282</v>
      </c>
      <c r="E11" s="51" t="s">
        <v>283</v>
      </c>
      <c r="F11" s="51"/>
      <c r="G11" s="51"/>
      <c r="L11" s="68"/>
      <c r="M11" s="68"/>
      <c r="N11" s="68"/>
      <c r="O11" s="68"/>
      <c r="P11" s="68"/>
      <c r="Q11" s="68"/>
    </row>
    <row r="12" spans="2:17" ht="13.5" customHeight="1" x14ac:dyDescent="0.25">
      <c r="B12" s="59" t="s">
        <v>285</v>
      </c>
      <c r="C12" s="59"/>
      <c r="D12" s="59" t="str">
        <f>IF(MIN(Equities!V:V)&lt;-5%,"Y","-")</f>
        <v>-</v>
      </c>
      <c r="E12" s="60">
        <f>COUNTIF(Equities!V:V,"&lt;-5%")</f>
        <v>0</v>
      </c>
      <c r="F12" s="59"/>
      <c r="G12" s="59"/>
      <c r="L12" s="80" t="s">
        <v>342</v>
      </c>
      <c r="M12" s="80"/>
      <c r="N12" s="80"/>
      <c r="O12" s="68"/>
      <c r="P12" s="68"/>
      <c r="Q12" s="68"/>
    </row>
    <row r="13" spans="2:17" ht="13.5" customHeight="1" x14ac:dyDescent="0.25">
      <c r="B13" s="59" t="s">
        <v>305</v>
      </c>
      <c r="C13" s="59"/>
      <c r="D13" s="59" t="str">
        <f>IF(MIN(Equities!W:W)&lt;-10%,"Y","-")</f>
        <v>Y</v>
      </c>
      <c r="E13" s="60">
        <f>COUNTIF(Equities!W:W,"&lt;-10%")</f>
        <v>9</v>
      </c>
      <c r="F13" s="59"/>
      <c r="G13" s="59"/>
      <c r="L13" s="68"/>
      <c r="M13" s="68"/>
      <c r="N13" s="68"/>
      <c r="O13" s="68"/>
      <c r="P13" s="68"/>
      <c r="Q13" s="68"/>
    </row>
    <row r="14" spans="2:17" ht="13.5" customHeight="1" x14ac:dyDescent="0.25">
      <c r="B14" s="59" t="s">
        <v>286</v>
      </c>
      <c r="C14" s="59"/>
      <c r="D14" s="59" t="str">
        <f>IF(MAX(Equities!V:V)&gt;5%,"Y","-")</f>
        <v>-</v>
      </c>
      <c r="E14" s="60">
        <f>COUNTIF(Equities!V:V,"&gt;5%")</f>
        <v>0</v>
      </c>
      <c r="F14" s="59"/>
      <c r="G14" s="59"/>
      <c r="L14" s="68"/>
      <c r="M14" s="68"/>
      <c r="N14" s="68"/>
      <c r="O14" s="68"/>
      <c r="P14" s="68"/>
      <c r="Q14" s="68"/>
    </row>
    <row r="15" spans="2:17" ht="13.5" customHeight="1" x14ac:dyDescent="0.25">
      <c r="B15" s="59" t="s">
        <v>306</v>
      </c>
      <c r="C15" s="59"/>
      <c r="D15" s="59" t="str">
        <f>IF(MAX(Equities!W:W)&gt;10%,"Y","-")</f>
        <v>Y</v>
      </c>
      <c r="E15" s="60">
        <f>COUNTIF(Equities!W:W,"&gt;10%")</f>
        <v>19</v>
      </c>
      <c r="F15" s="59"/>
      <c r="G15" s="59"/>
      <c r="L15" s="68"/>
      <c r="M15" s="68"/>
      <c r="N15" s="68"/>
      <c r="O15" s="68"/>
      <c r="P15" s="68"/>
      <c r="Q15" s="68"/>
    </row>
    <row r="16" spans="2:17" ht="13.5" customHeight="1" x14ac:dyDescent="0.25">
      <c r="L16" s="68"/>
      <c r="M16" s="68"/>
      <c r="N16" s="68"/>
      <c r="O16" s="68"/>
      <c r="P16" s="68"/>
      <c r="Q16" s="68"/>
    </row>
    <row r="17" spans="2:17" ht="13.5" customHeight="1" x14ac:dyDescent="0.25">
      <c r="L17" s="68"/>
      <c r="M17" s="68"/>
      <c r="N17" s="68"/>
      <c r="O17" s="68"/>
      <c r="P17" s="68"/>
      <c r="Q17" s="68"/>
    </row>
    <row r="18" spans="2:17" ht="13.5" customHeight="1" x14ac:dyDescent="0.25">
      <c r="B18" s="50" t="s">
        <v>307</v>
      </c>
      <c r="C18" s="50"/>
      <c r="D18" s="50"/>
      <c r="E18" s="50"/>
      <c r="F18" s="50"/>
      <c r="G18" s="50"/>
      <c r="L18" s="68"/>
      <c r="M18" s="68"/>
      <c r="N18" s="68"/>
      <c r="O18" s="68"/>
      <c r="P18" s="68"/>
      <c r="Q18" s="68"/>
    </row>
    <row r="19" spans="2:17" ht="13.5" customHeight="1" x14ac:dyDescent="0.25">
      <c r="B19" s="51" t="s">
        <v>280</v>
      </c>
      <c r="C19" s="51"/>
      <c r="D19" s="51" t="s">
        <v>282</v>
      </c>
      <c r="E19" s="51" t="s">
        <v>283</v>
      </c>
      <c r="F19" s="51"/>
      <c r="G19" s="51"/>
      <c r="L19" s="68"/>
      <c r="M19" s="68"/>
      <c r="N19" s="68"/>
      <c r="O19" s="68"/>
      <c r="P19" s="68"/>
      <c r="Q19" s="68"/>
    </row>
    <row r="20" spans="2:17" ht="13.5" customHeight="1" x14ac:dyDescent="0.25">
      <c r="B20" s="59" t="s">
        <v>285</v>
      </c>
      <c r="C20" s="59"/>
      <c r="D20" s="59" t="str">
        <f>IF(MIN('MF and ETFs'!V:V)&lt;-5%,"Y","-")</f>
        <v>-</v>
      </c>
      <c r="E20" s="60">
        <f>COUNTIF('MF and ETFs'!V:V,"&lt;-5%")</f>
        <v>0</v>
      </c>
      <c r="F20" s="59"/>
      <c r="G20" s="59"/>
      <c r="L20" s="68"/>
      <c r="M20" s="68"/>
      <c r="N20" s="68"/>
      <c r="O20" s="68"/>
      <c r="P20" s="68"/>
      <c r="Q20" s="68"/>
    </row>
    <row r="21" spans="2:17" ht="13.5" customHeight="1" x14ac:dyDescent="0.25">
      <c r="B21" s="59" t="s">
        <v>305</v>
      </c>
      <c r="C21" s="59"/>
      <c r="D21" s="59" t="str">
        <f>IF(MIN('MF and ETFs'!W:W)&lt;-10%,"Y","-")</f>
        <v>-</v>
      </c>
      <c r="E21" s="60">
        <f>COUNTIF('MF and ETFs'!W:W,"&lt;-10%")</f>
        <v>0</v>
      </c>
      <c r="F21" s="59"/>
      <c r="G21" s="59"/>
      <c r="L21" s="68"/>
      <c r="M21" s="68"/>
      <c r="N21" s="68"/>
      <c r="O21" s="68"/>
      <c r="P21" s="68"/>
      <c r="Q21" s="68"/>
    </row>
    <row r="22" spans="2:17" ht="13.5" customHeight="1" x14ac:dyDescent="0.25">
      <c r="B22" s="59" t="s">
        <v>286</v>
      </c>
      <c r="C22" s="59"/>
      <c r="D22" s="59" t="str">
        <f>IF(MAX('MF and ETFs'!V:V)&gt;5%,"Y","-")</f>
        <v>Y</v>
      </c>
      <c r="E22" s="60">
        <f>COUNTIF('MF and ETFs'!V:V,"&gt;5%")</f>
        <v>8</v>
      </c>
      <c r="F22" s="59"/>
      <c r="G22" s="59"/>
      <c r="L22" s="68"/>
      <c r="M22" s="68"/>
      <c r="N22" s="68"/>
      <c r="O22" s="68"/>
      <c r="P22" s="68"/>
      <c r="Q22" s="68"/>
    </row>
    <row r="23" spans="2:17" ht="13.5" customHeight="1" x14ac:dyDescent="0.25">
      <c r="B23" s="59" t="s">
        <v>306</v>
      </c>
      <c r="C23" s="59"/>
      <c r="D23" s="59" t="str">
        <f>IF(MAX('MF and ETFs'!W:W)&gt;10%,"Y","-")</f>
        <v>-</v>
      </c>
      <c r="E23" s="60">
        <f>COUNTIF('MF and ETFs'!W:W,"&gt;10%")</f>
        <v>0</v>
      </c>
      <c r="F23" s="59"/>
      <c r="G23" s="59"/>
      <c r="L23" s="68"/>
      <c r="M23" s="68"/>
      <c r="N23" s="68"/>
      <c r="O23" s="68"/>
      <c r="P23" s="68"/>
      <c r="Q23" s="68"/>
    </row>
    <row r="24" spans="2:17" ht="13.5" customHeight="1" x14ac:dyDescent="0.25">
      <c r="E24" s="53"/>
      <c r="L24" s="68"/>
      <c r="M24" s="68"/>
      <c r="N24" s="68"/>
      <c r="O24" s="68"/>
      <c r="P24" s="68"/>
      <c r="Q24" s="68"/>
    </row>
    <row r="25" spans="2:17" ht="13.5" customHeight="1" x14ac:dyDescent="0.25">
      <c r="E25" s="53"/>
      <c r="L25" s="68"/>
      <c r="M25" s="68"/>
      <c r="N25" s="68"/>
      <c r="O25" s="68"/>
      <c r="P25" s="68"/>
      <c r="Q25" s="68"/>
    </row>
    <row r="26" spans="2:17" ht="13.5" customHeight="1" x14ac:dyDescent="0.25">
      <c r="B26" s="50" t="s">
        <v>308</v>
      </c>
      <c r="C26" s="50"/>
      <c r="D26" s="50"/>
      <c r="E26" s="50"/>
      <c r="F26" s="50"/>
      <c r="G26" s="50"/>
      <c r="L26" s="68"/>
      <c r="M26" s="68"/>
      <c r="N26" s="68"/>
      <c r="O26" s="68"/>
      <c r="P26" s="68"/>
      <c r="Q26" s="68"/>
    </row>
    <row r="27" spans="2:17" ht="13.5" customHeight="1" x14ac:dyDescent="0.25">
      <c r="B27" s="51" t="s">
        <v>280</v>
      </c>
      <c r="C27" s="51"/>
      <c r="D27" s="51" t="s">
        <v>282</v>
      </c>
      <c r="E27" s="51" t="s">
        <v>283</v>
      </c>
      <c r="F27" s="51"/>
      <c r="G27" s="51"/>
      <c r="L27" s="68"/>
      <c r="M27" s="68"/>
      <c r="N27" s="68"/>
      <c r="O27" s="68"/>
      <c r="P27" s="68"/>
      <c r="Q27" s="68"/>
    </row>
    <row r="28" spans="2:17" ht="13.5" customHeight="1" x14ac:dyDescent="0.25">
      <c r="B28" s="59" t="s">
        <v>285</v>
      </c>
      <c r="C28" s="59"/>
      <c r="D28" s="59" t="str">
        <f>IF(MIN(Commodities!P:P)&lt;-5%,"Y","-")</f>
        <v>-</v>
      </c>
      <c r="E28" s="60">
        <f>COUNTIF(Commodities!P:P,"&lt;-5%")</f>
        <v>0</v>
      </c>
      <c r="F28" s="59"/>
      <c r="G28" s="59"/>
      <c r="L28" s="68"/>
      <c r="M28" s="68"/>
      <c r="N28" s="68"/>
      <c r="O28" s="68"/>
      <c r="P28" s="68"/>
      <c r="Q28" s="68"/>
    </row>
    <row r="29" spans="2:17" ht="13.5" customHeight="1" x14ac:dyDescent="0.25">
      <c r="B29" s="59" t="s">
        <v>305</v>
      </c>
      <c r="C29" s="59"/>
      <c r="D29" s="59" t="str">
        <f>IF(MIN(Commodities!Q:Q)&lt;-10%,"Y","-")</f>
        <v>-</v>
      </c>
      <c r="E29" s="60">
        <f>COUNTIF(Commodities!Q:Q,"&lt;-10%")</f>
        <v>0</v>
      </c>
      <c r="F29" s="59"/>
      <c r="G29" s="59"/>
      <c r="L29" s="68"/>
      <c r="M29" s="68"/>
      <c r="N29" s="68"/>
      <c r="O29" s="68"/>
      <c r="P29" s="68"/>
      <c r="Q29" s="68"/>
    </row>
    <row r="30" spans="2:17" ht="13.5" customHeight="1" x14ac:dyDescent="0.25">
      <c r="B30" s="59" t="s">
        <v>286</v>
      </c>
      <c r="C30" s="59"/>
      <c r="D30" s="59" t="str">
        <f>IF(MAX(Commodities!P:P)&gt;5%,"Y","-")</f>
        <v>-</v>
      </c>
      <c r="E30" s="60">
        <f>COUNTIF(Commodities!P:P,"&gt;5%")</f>
        <v>0</v>
      </c>
      <c r="F30" s="59"/>
      <c r="G30" s="59"/>
      <c r="L30" s="68"/>
      <c r="M30" s="68"/>
      <c r="N30" s="68"/>
      <c r="O30" s="68"/>
      <c r="P30" s="68"/>
      <c r="Q30" s="68"/>
    </row>
    <row r="31" spans="2:17" ht="13.5" customHeight="1" x14ac:dyDescent="0.25">
      <c r="B31" s="59" t="s">
        <v>306</v>
      </c>
      <c r="C31" s="59"/>
      <c r="D31" s="59" t="str">
        <f>IF(MAX(Commodities!Q:Q)&gt;10%,"Y","-")</f>
        <v>-</v>
      </c>
      <c r="E31" s="60">
        <f>COUNTIF(Commodities!Q:Q,"&gt;10%")</f>
        <v>0</v>
      </c>
      <c r="F31" s="59"/>
      <c r="G31" s="59"/>
      <c r="L31" s="68"/>
      <c r="M31" s="68"/>
      <c r="N31" s="68"/>
      <c r="O31" s="68"/>
      <c r="P31" s="68"/>
      <c r="Q31" s="68"/>
    </row>
    <row r="32" spans="2:17" ht="13.5" customHeight="1" x14ac:dyDescent="0.25">
      <c r="E32" s="53"/>
      <c r="L32" s="68"/>
      <c r="M32" s="68"/>
      <c r="N32" s="68"/>
      <c r="O32" s="68"/>
      <c r="P32" s="68"/>
      <c r="Q32" s="68"/>
    </row>
    <row r="33" spans="5:17" ht="13.5" customHeight="1" x14ac:dyDescent="0.25">
      <c r="E33" s="53"/>
      <c r="L33" s="68"/>
      <c r="M33" s="68"/>
      <c r="N33" s="68"/>
      <c r="O33" s="68"/>
      <c r="P33" s="68"/>
      <c r="Q33" s="68"/>
    </row>
    <row r="34" spans="5:17" ht="13.5" customHeight="1" x14ac:dyDescent="0.25">
      <c r="E34" s="53"/>
      <c r="L34" s="68"/>
      <c r="M34" s="68"/>
      <c r="N34" s="68"/>
      <c r="O34" s="68"/>
      <c r="P34" s="68"/>
      <c r="Q34" s="68"/>
    </row>
    <row r="35" spans="5:17" ht="13.5" customHeight="1" x14ac:dyDescent="0.25">
      <c r="E35" s="53"/>
    </row>
    <row r="36" spans="5:17" ht="13.5" customHeight="1" x14ac:dyDescent="0.25">
      <c r="E36" s="53"/>
    </row>
    <row r="37" spans="5:17" ht="13.5" customHeight="1" x14ac:dyDescent="0.25">
      <c r="E37" s="53"/>
    </row>
    <row r="38" spans="5:17" ht="13.5" customHeight="1" x14ac:dyDescent="0.25">
      <c r="E38" s="53"/>
    </row>
    <row r="39" spans="5:17" ht="13.5" customHeight="1" x14ac:dyDescent="0.25">
      <c r="E39" s="53"/>
    </row>
    <row r="40" spans="5:17" ht="13.5" customHeight="1" x14ac:dyDescent="0.25">
      <c r="E40" s="53"/>
    </row>
    <row r="41" spans="5:17" ht="13.5" customHeight="1" x14ac:dyDescent="0.25">
      <c r="E41" s="5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152C4-AF90-4230-805A-CA0A2B14A65A}">
  <dimension ref="A2:G25"/>
  <sheetViews>
    <sheetView showGridLines="0" workbookViewId="0">
      <selection activeCell="G31" sqref="G31"/>
    </sheetView>
  </sheetViews>
  <sheetFormatPr defaultRowHeight="13.5" x14ac:dyDescent="0.25"/>
  <cols>
    <col min="1" max="1" width="9.140625" style="41"/>
    <col min="2" max="2" width="39.140625" style="41" customWidth="1"/>
    <col min="3" max="3" width="16.28515625" style="41" customWidth="1"/>
    <col min="4" max="6" width="12.5703125" style="41" customWidth="1"/>
    <col min="7" max="7" width="13" style="41" customWidth="1"/>
    <col min="8" max="16384" width="9.140625" style="41"/>
  </cols>
  <sheetData>
    <row r="2" spans="1:7" x14ac:dyDescent="0.25">
      <c r="A2" s="66" t="s">
        <v>309</v>
      </c>
      <c r="B2" s="66"/>
      <c r="C2" s="66"/>
      <c r="D2" s="66"/>
      <c r="E2" s="66"/>
      <c r="F2" s="66"/>
      <c r="G2" s="67">
        <v>45769</v>
      </c>
    </row>
    <row r="4" spans="1:7" ht="27" x14ac:dyDescent="0.25">
      <c r="A4" s="1" t="s">
        <v>0</v>
      </c>
      <c r="B4" s="1" t="s">
        <v>1</v>
      </c>
      <c r="C4" s="1" t="s">
        <v>237</v>
      </c>
      <c r="D4" s="1" t="s">
        <v>313</v>
      </c>
      <c r="E4" s="1" t="s">
        <v>314</v>
      </c>
      <c r="F4" s="1" t="s">
        <v>317</v>
      </c>
      <c r="G4" s="1" t="s">
        <v>318</v>
      </c>
    </row>
    <row r="5" spans="1:7" x14ac:dyDescent="0.25">
      <c r="A5" s="41" t="s">
        <v>241</v>
      </c>
      <c r="B5" s="41" t="s">
        <v>238</v>
      </c>
      <c r="C5" s="65" t="s">
        <v>239</v>
      </c>
      <c r="D5" s="41" t="s">
        <v>240</v>
      </c>
      <c r="E5" s="69">
        <v>9108.7577990000009</v>
      </c>
      <c r="F5" s="69">
        <v>0</v>
      </c>
      <c r="G5" s="70">
        <f t="shared" ref="G5:G24" si="0">SUM(E5:F5)</f>
        <v>9108.7577990000009</v>
      </c>
    </row>
    <row r="6" spans="1:7" x14ac:dyDescent="0.25">
      <c r="A6" s="41" t="s">
        <v>242</v>
      </c>
      <c r="B6" s="41" t="s">
        <v>243</v>
      </c>
      <c r="C6" s="65" t="s">
        <v>244</v>
      </c>
      <c r="D6" s="41" t="s">
        <v>245</v>
      </c>
      <c r="E6" s="69">
        <v>217437.85</v>
      </c>
      <c r="F6" s="69">
        <v>0</v>
      </c>
      <c r="G6" s="70">
        <f t="shared" si="0"/>
        <v>217437.85</v>
      </c>
    </row>
    <row r="7" spans="1:7" x14ac:dyDescent="0.25">
      <c r="A7" s="41" t="s">
        <v>242</v>
      </c>
      <c r="B7" s="41" t="s">
        <v>327</v>
      </c>
      <c r="C7" s="65">
        <v>4371511</v>
      </c>
      <c r="D7" s="41" t="s">
        <v>248</v>
      </c>
      <c r="E7" s="69">
        <v>9599.8873700000004</v>
      </c>
      <c r="F7" s="69">
        <v>0</v>
      </c>
      <c r="G7" s="70">
        <v>0</v>
      </c>
    </row>
    <row r="8" spans="1:7" x14ac:dyDescent="0.25">
      <c r="A8" s="41" t="s">
        <v>242</v>
      </c>
      <c r="B8" s="41" t="s">
        <v>246</v>
      </c>
      <c r="C8" s="65" t="s">
        <v>247</v>
      </c>
      <c r="D8" s="41" t="s">
        <v>248</v>
      </c>
      <c r="E8" s="69">
        <v>414925.72439436481</v>
      </c>
      <c r="F8" s="69">
        <v>0</v>
      </c>
      <c r="G8" s="70">
        <f t="shared" si="0"/>
        <v>414925.72439436481</v>
      </c>
    </row>
    <row r="9" spans="1:7" x14ac:dyDescent="0.25">
      <c r="A9" s="41" t="s">
        <v>241</v>
      </c>
      <c r="B9" s="41" t="s">
        <v>249</v>
      </c>
      <c r="C9" s="65" t="s">
        <v>250</v>
      </c>
      <c r="D9" s="41" t="s">
        <v>240</v>
      </c>
      <c r="E9" s="69">
        <v>284298.04070699995</v>
      </c>
      <c r="F9" s="69">
        <v>0</v>
      </c>
      <c r="G9" s="70">
        <f t="shared" si="0"/>
        <v>284298.04070699995</v>
      </c>
    </row>
    <row r="10" spans="1:7" x14ac:dyDescent="0.25">
      <c r="A10" s="41" t="s">
        <v>241</v>
      </c>
      <c r="B10" s="41" t="s">
        <v>312</v>
      </c>
      <c r="C10" s="65" t="s">
        <v>252</v>
      </c>
      <c r="D10" s="41" t="s">
        <v>240</v>
      </c>
      <c r="E10" s="69">
        <v>152687.12602959998</v>
      </c>
      <c r="F10" s="69">
        <v>0</v>
      </c>
      <c r="G10" s="70">
        <f t="shared" si="0"/>
        <v>152687.12602959998</v>
      </c>
    </row>
    <row r="11" spans="1:7" x14ac:dyDescent="0.25">
      <c r="A11" s="41" t="s">
        <v>241</v>
      </c>
      <c r="B11" s="41" t="s">
        <v>253</v>
      </c>
      <c r="C11" s="65" t="s">
        <v>254</v>
      </c>
      <c r="D11" s="41" t="s">
        <v>240</v>
      </c>
      <c r="E11" s="69">
        <v>88764.176932400005</v>
      </c>
      <c r="F11" s="69">
        <v>0</v>
      </c>
      <c r="G11" s="70">
        <f t="shared" si="0"/>
        <v>88764.176932400005</v>
      </c>
    </row>
    <row r="12" spans="1:7" x14ac:dyDescent="0.25">
      <c r="A12" s="41" t="s">
        <v>242</v>
      </c>
      <c r="B12" s="41" t="s">
        <v>255</v>
      </c>
      <c r="C12" s="65" t="s">
        <v>256</v>
      </c>
      <c r="D12" s="41" t="s">
        <v>248</v>
      </c>
      <c r="E12" s="69">
        <v>35910.9887389</v>
      </c>
      <c r="F12" s="69">
        <v>0</v>
      </c>
      <c r="G12" s="70">
        <f t="shared" si="0"/>
        <v>35910.9887389</v>
      </c>
    </row>
    <row r="13" spans="1:7" x14ac:dyDescent="0.25">
      <c r="A13" s="41" t="s">
        <v>242</v>
      </c>
      <c r="B13" s="41" t="s">
        <v>332</v>
      </c>
      <c r="C13" s="65" t="s">
        <v>334</v>
      </c>
      <c r="D13" s="41" t="s">
        <v>248</v>
      </c>
      <c r="E13" s="69">
        <v>202949.9049957</v>
      </c>
      <c r="F13" s="69">
        <v>367000</v>
      </c>
      <c r="G13" s="70">
        <f t="shared" si="0"/>
        <v>569949.9049957</v>
      </c>
    </row>
    <row r="14" spans="1:7" x14ac:dyDescent="0.25">
      <c r="A14" s="41" t="s">
        <v>257</v>
      </c>
      <c r="B14" s="41" t="s">
        <v>258</v>
      </c>
      <c r="C14" s="65" t="s">
        <v>259</v>
      </c>
      <c r="D14" s="41" t="s">
        <v>248</v>
      </c>
      <c r="E14" s="69">
        <v>60040.469154000006</v>
      </c>
      <c r="F14" s="69">
        <v>0</v>
      </c>
      <c r="G14" s="70">
        <f t="shared" si="0"/>
        <v>60040.469154000006</v>
      </c>
    </row>
    <row r="15" spans="1:7" x14ac:dyDescent="0.25">
      <c r="A15" s="41" t="s">
        <v>242</v>
      </c>
      <c r="B15" s="41" t="s">
        <v>260</v>
      </c>
      <c r="C15" s="65" t="s">
        <v>261</v>
      </c>
      <c r="D15" s="41" t="s">
        <v>248</v>
      </c>
      <c r="E15" s="69">
        <v>25322.400151000002</v>
      </c>
      <c r="F15" s="69">
        <v>196000</v>
      </c>
      <c r="G15" s="70">
        <f t="shared" si="0"/>
        <v>221322.40015100001</v>
      </c>
    </row>
    <row r="16" spans="1:7" x14ac:dyDescent="0.25">
      <c r="A16" s="41" t="s">
        <v>241</v>
      </c>
      <c r="B16" s="41" t="s">
        <v>262</v>
      </c>
      <c r="C16" s="65" t="s">
        <v>263</v>
      </c>
      <c r="D16" s="41" t="s">
        <v>240</v>
      </c>
      <c r="E16" s="69">
        <v>88968.601670999997</v>
      </c>
      <c r="F16" s="69">
        <v>0</v>
      </c>
      <c r="G16" s="70">
        <f t="shared" si="0"/>
        <v>88968.601670999997</v>
      </c>
    </row>
    <row r="17" spans="1:7" x14ac:dyDescent="0.25">
      <c r="A17" s="41" t="s">
        <v>242</v>
      </c>
      <c r="B17" s="41" t="s">
        <v>264</v>
      </c>
      <c r="C17" s="65" t="s">
        <v>265</v>
      </c>
      <c r="D17" s="41" t="s">
        <v>248</v>
      </c>
      <c r="E17" s="69">
        <v>79559.134704399999</v>
      </c>
      <c r="F17" s="69">
        <v>825000</v>
      </c>
      <c r="G17" s="70">
        <f t="shared" si="0"/>
        <v>904559.13470439997</v>
      </c>
    </row>
    <row r="18" spans="1:7" x14ac:dyDescent="0.25">
      <c r="A18" s="41" t="s">
        <v>241</v>
      </c>
      <c r="B18" s="41" t="s">
        <v>266</v>
      </c>
      <c r="C18" s="65" t="s">
        <v>267</v>
      </c>
      <c r="D18" s="41" t="s">
        <v>240</v>
      </c>
      <c r="E18" s="69">
        <v>248298.107602</v>
      </c>
      <c r="F18" s="69">
        <v>0</v>
      </c>
      <c r="G18" s="70">
        <f t="shared" si="0"/>
        <v>248298.107602</v>
      </c>
    </row>
    <row r="19" spans="1:7" x14ac:dyDescent="0.25">
      <c r="A19" s="41" t="s">
        <v>242</v>
      </c>
      <c r="B19" s="41" t="s">
        <v>268</v>
      </c>
      <c r="C19" s="65" t="s">
        <v>269</v>
      </c>
      <c r="D19" s="41" t="s">
        <v>248</v>
      </c>
      <c r="E19" s="69">
        <v>2279357.6960360003</v>
      </c>
      <c r="F19" s="69">
        <v>0</v>
      </c>
      <c r="G19" s="70">
        <f t="shared" si="0"/>
        <v>2279357.6960360003</v>
      </c>
    </row>
    <row r="20" spans="1:7" x14ac:dyDescent="0.25">
      <c r="A20" s="41" t="s">
        <v>241</v>
      </c>
      <c r="B20" s="41" t="s">
        <v>270</v>
      </c>
      <c r="C20" s="65" t="s">
        <v>271</v>
      </c>
      <c r="D20" s="41" t="s">
        <v>240</v>
      </c>
      <c r="E20" s="69">
        <v>38638.668835600001</v>
      </c>
      <c r="F20" s="69">
        <v>0</v>
      </c>
      <c r="G20" s="70">
        <f t="shared" si="0"/>
        <v>38638.668835600001</v>
      </c>
    </row>
    <row r="21" spans="1:7" x14ac:dyDescent="0.25">
      <c r="A21" s="41" t="s">
        <v>241</v>
      </c>
      <c r="B21" s="41" t="s">
        <v>272</v>
      </c>
      <c r="C21" s="65">
        <v>2620061.0010000002</v>
      </c>
      <c r="D21" s="41" t="s">
        <v>240</v>
      </c>
      <c r="E21" s="69">
        <v>63329.19424940001</v>
      </c>
      <c r="F21" s="69">
        <v>0</v>
      </c>
      <c r="G21" s="70">
        <f t="shared" si="0"/>
        <v>63329.19424940001</v>
      </c>
    </row>
    <row r="22" spans="1:7" x14ac:dyDescent="0.25">
      <c r="A22" s="41" t="s">
        <v>241</v>
      </c>
      <c r="B22" s="41" t="s">
        <v>273</v>
      </c>
      <c r="C22" s="65">
        <v>2620058.003</v>
      </c>
      <c r="D22" s="41" t="s">
        <v>240</v>
      </c>
      <c r="E22" s="69">
        <v>72822.048423</v>
      </c>
      <c r="F22" s="69">
        <v>0</v>
      </c>
      <c r="G22" s="70">
        <f t="shared" si="0"/>
        <v>72822.048423</v>
      </c>
    </row>
    <row r="23" spans="1:7" x14ac:dyDescent="0.25">
      <c r="A23" s="41" t="s">
        <v>257</v>
      </c>
      <c r="B23" s="41" t="s">
        <v>274</v>
      </c>
      <c r="C23" s="65">
        <v>1000015111</v>
      </c>
      <c r="D23" s="41" t="s">
        <v>275</v>
      </c>
      <c r="E23" s="69">
        <v>16119.99</v>
      </c>
      <c r="F23" s="69">
        <v>0</v>
      </c>
      <c r="G23" s="70">
        <f t="shared" si="0"/>
        <v>16119.99</v>
      </c>
    </row>
    <row r="24" spans="1:7" x14ac:dyDescent="0.25">
      <c r="A24" s="41" t="s">
        <v>241</v>
      </c>
      <c r="B24" s="41" t="s">
        <v>276</v>
      </c>
      <c r="C24" s="65" t="s">
        <v>277</v>
      </c>
      <c r="D24" s="41" t="s">
        <v>240</v>
      </c>
      <c r="E24" s="69">
        <v>122400.534611</v>
      </c>
      <c r="F24" s="69">
        <v>0</v>
      </c>
      <c r="G24" s="70">
        <f t="shared" si="0"/>
        <v>122400.534611</v>
      </c>
    </row>
    <row r="25" spans="1:7" x14ac:dyDescent="0.25">
      <c r="C25" s="65"/>
    </row>
  </sheetData>
  <autoFilter ref="A4:G4" xr:uid="{AAC152C4-AF90-4230-805A-CA0A2B14A65A}">
    <sortState xmlns:xlrd2="http://schemas.microsoft.com/office/spreadsheetml/2017/richdata2" ref="A5:G24">
      <sortCondition ref="B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83421-505E-45C9-974F-B0776CCFC810}">
  <dimension ref="A1:BL169"/>
  <sheetViews>
    <sheetView showGridLines="0" zoomScaleNormal="100" workbookViewId="0">
      <pane xSplit="7" ySplit="2" topLeftCell="H145" activePane="bottomRight" state="frozen"/>
      <selection pane="topRight" activeCell="H1" sqref="H1"/>
      <selection pane="bottomLeft" activeCell="A3" sqref="A3"/>
      <selection pane="bottomRight" activeCell="D179" sqref="D179"/>
    </sheetView>
  </sheetViews>
  <sheetFormatPr defaultRowHeight="13.5" outlineLevelCol="1" x14ac:dyDescent="0.25"/>
  <cols>
    <col min="1" max="1" width="6.42578125" style="41" customWidth="1"/>
    <col min="2" max="2" width="16" style="41" customWidth="1"/>
    <col min="3" max="3" width="17.42578125" style="41" customWidth="1"/>
    <col min="4" max="4" width="15.7109375" style="41" customWidth="1"/>
    <col min="5" max="5" width="31.85546875" style="41" customWidth="1"/>
    <col min="6" max="6" width="9.85546875" style="41" customWidth="1"/>
    <col min="7" max="7" width="17.28515625" style="41" customWidth="1"/>
    <col min="8" max="8" width="14.7109375" style="41" customWidth="1"/>
    <col min="9" max="10" width="9.42578125" style="41" customWidth="1"/>
    <col min="11" max="11" width="12.7109375" style="41" customWidth="1"/>
    <col min="12" max="12" width="10.140625" style="41" customWidth="1"/>
    <col min="13" max="13" width="9.140625" style="41" customWidth="1"/>
    <col min="14" max="14" width="10.140625" style="41" customWidth="1"/>
    <col min="15" max="16" width="9.42578125" style="41" bestFit="1" customWidth="1"/>
    <col min="17" max="17" width="9.140625" style="41"/>
    <col min="18" max="20" width="9.42578125" style="41" bestFit="1" customWidth="1"/>
    <col min="21" max="21" width="9.42578125" style="41" customWidth="1"/>
    <col min="22" max="22" width="9.42578125" style="63" hidden="1" customWidth="1"/>
    <col min="23" max="27" width="9.42578125" style="41" hidden="1" customWidth="1"/>
    <col min="28" max="28" width="9.42578125" style="41" hidden="1" customWidth="1" outlineLevel="1"/>
    <col min="29" max="29" width="9.42578125" style="41" customWidth="1" outlineLevel="1"/>
    <col min="30" max="30" width="19" style="41" customWidth="1" outlineLevel="1"/>
    <col min="31" max="31" width="9.140625" style="41" customWidth="1" outlineLevel="1"/>
    <col min="32" max="34" width="9.42578125" style="41" customWidth="1" outlineLevel="1"/>
    <col min="35" max="35" width="17" style="41" customWidth="1" outlineLevel="1"/>
    <col min="36" max="36" width="9.42578125" style="41" hidden="1" customWidth="1" outlineLevel="1"/>
    <col min="37" max="39" width="9.140625" style="41" customWidth="1" outlineLevel="1"/>
    <col min="40" max="40" width="10.42578125" style="41" customWidth="1" outlineLevel="1"/>
    <col min="41" max="42" width="9.42578125" style="41" customWidth="1" outlineLevel="1"/>
    <col min="43" max="43" width="9.42578125" style="41" hidden="1" customWidth="1" outlineLevel="1"/>
    <col min="44" max="44" width="9.42578125" style="41" customWidth="1" outlineLevel="1"/>
    <col min="45" max="58" width="9.140625" style="41" customWidth="1" outlineLevel="1"/>
    <col min="59" max="59" width="13.7109375" style="41" customWidth="1" outlineLevel="1"/>
    <col min="60" max="61" width="9.42578125" style="41" customWidth="1" outlineLevel="1"/>
    <col min="62" max="62" width="10.140625" style="41" customWidth="1" outlineLevel="1"/>
    <col min="63" max="63" width="10.42578125" style="41" customWidth="1" outlineLevel="1"/>
    <col min="64" max="16384" width="9.140625" style="41"/>
  </cols>
  <sheetData>
    <row r="1" spans="1:64" ht="27" x14ac:dyDescent="0.25">
      <c r="L1" s="41" t="s">
        <v>301</v>
      </c>
      <c r="N1" s="41" t="s">
        <v>302</v>
      </c>
      <c r="U1" s="55" t="s">
        <v>298</v>
      </c>
      <c r="V1" s="56" t="s">
        <v>299</v>
      </c>
      <c r="W1" s="55" t="s">
        <v>300</v>
      </c>
    </row>
    <row r="2" spans="1:64" s="3" customFormat="1" ht="30.75" customHeight="1" x14ac:dyDescent="0.25">
      <c r="A2" s="1" t="s">
        <v>0</v>
      </c>
      <c r="B2" s="1" t="s">
        <v>1</v>
      </c>
      <c r="C2" s="1" t="s">
        <v>237</v>
      </c>
      <c r="D2" s="1" t="s">
        <v>313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54" t="s">
        <v>18</v>
      </c>
      <c r="V2" s="54" t="s">
        <v>278</v>
      </c>
      <c r="W2" s="54" t="s">
        <v>279</v>
      </c>
      <c r="X2" s="2" t="s">
        <v>67</v>
      </c>
      <c r="Y2" s="2" t="s">
        <v>68</v>
      </c>
      <c r="Z2" s="2" t="s">
        <v>69</v>
      </c>
      <c r="AA2" s="2" t="s">
        <v>70</v>
      </c>
      <c r="AB2" s="1" t="s">
        <v>19</v>
      </c>
      <c r="AC2" s="1" t="s">
        <v>20</v>
      </c>
      <c r="AD2" s="1" t="s">
        <v>21</v>
      </c>
      <c r="AE2" s="1" t="s">
        <v>22</v>
      </c>
      <c r="AF2" s="1" t="s">
        <v>23</v>
      </c>
      <c r="AG2" s="1" t="s">
        <v>24</v>
      </c>
      <c r="AH2" s="1" t="s">
        <v>25</v>
      </c>
      <c r="AI2" s="1" t="s">
        <v>26</v>
      </c>
      <c r="AJ2" s="1" t="s">
        <v>27</v>
      </c>
      <c r="AK2" s="1" t="s">
        <v>28</v>
      </c>
      <c r="AL2" s="1" t="s">
        <v>29</v>
      </c>
      <c r="AM2" s="1" t="s">
        <v>30</v>
      </c>
      <c r="AN2" s="2" t="s">
        <v>31</v>
      </c>
      <c r="AO2" s="2" t="s">
        <v>32</v>
      </c>
      <c r="AP2" s="2" t="s">
        <v>33</v>
      </c>
      <c r="AQ2" s="1" t="s">
        <v>34</v>
      </c>
      <c r="AR2" s="1" t="s">
        <v>35</v>
      </c>
      <c r="AS2" s="1" t="s">
        <v>36</v>
      </c>
      <c r="AT2" s="1" t="s">
        <v>37</v>
      </c>
      <c r="AU2" s="1" t="s">
        <v>38</v>
      </c>
      <c r="BG2" s="1" t="s">
        <v>4</v>
      </c>
      <c r="BH2" s="1" t="s">
        <v>39</v>
      </c>
      <c r="BI2" s="1" t="s">
        <v>40</v>
      </c>
      <c r="BJ2" s="1" t="s">
        <v>41</v>
      </c>
      <c r="BK2" s="1" t="s">
        <v>42</v>
      </c>
    </row>
    <row r="3" spans="1:64" s="124" customFormat="1" ht="14.45" customHeight="1" x14ac:dyDescent="0.25">
      <c r="A3" s="114" t="s">
        <v>241</v>
      </c>
      <c r="B3" s="114" t="s">
        <v>238</v>
      </c>
      <c r="C3" s="114" t="s">
        <v>239</v>
      </c>
      <c r="D3" s="114" t="s">
        <v>240</v>
      </c>
      <c r="E3" s="115" t="str">
        <f>_xll.BDP(AI3,"ds520")</f>
        <v>#N/A Connection</v>
      </c>
      <c r="F3" s="115" t="str">
        <f>_xll.BDP(AI3,"crncy")</f>
        <v>#N/A Connection</v>
      </c>
      <c r="G3" s="115" t="s">
        <v>44</v>
      </c>
      <c r="H3" s="115" t="str">
        <f>IF(_xll.BDP(AI3,"RTG_MOODY")="#N/A N/A","N/A",_xll.BDP(AI3,"RTG_MOODY"))&amp;","&amp;IF(_xll.BDP(AI3,"RTG_FITCH")="#N/A N/A","N/A",_xll.BDP(AI3,"RTG_FITCH"))&amp;","&amp;IF(_xll.BDP(AI3,"RTG_SP")="#N/A N/A","N/A",_xll.BDP(AI3,"RTG_SP"))</f>
        <v>#N/A Connection,#N/A Connection,#N/A Connection</v>
      </c>
      <c r="I3" s="116" t="e">
        <f>_xll.BDP(AI3,"cpn")/100</f>
        <v>#VALUE!</v>
      </c>
      <c r="J3" s="116" t="e">
        <f ca="1">_xll.BDP($G3&amp;" isin","YAS_BOND_YLD", "YAS_YLD_FLAG=15", "user_local_trade_date",AN3,"Yas_bond_px",$Q3)/100</f>
        <v>#VALUE!</v>
      </c>
      <c r="K3" s="115" t="str">
        <f>_xll.BDP(AI3,"PAYMENT_RANK")</f>
        <v>#N/A Connection</v>
      </c>
      <c r="L3" s="115" t="str">
        <f>IF((TEXT(_xll.BDP(AI3,"MATURITY"),"DD/MM/YYYY")="#N/A Field Not Applicable"),"Perp",TEXT(_xll.BDP(AI3,"MATURITY"),"DD/MM/YYYY"))</f>
        <v>#N/A Connection</v>
      </c>
      <c r="M3" s="117" t="str">
        <f>(IF(_xll.BDP($AI3&amp;" ISIN","DU003")="#n/a n/a"," ",_xll.BDP($AI3&amp;" ISIN","DU003")))</f>
        <v>#N/A Connection</v>
      </c>
      <c r="N3" s="115" t="str">
        <f>IF(_xll.BDP(AI3,"CALLABLE")="Y",_xll.BDP(AI3,"NXT_CALL_DT")," ")</f>
        <v xml:space="preserve"> </v>
      </c>
      <c r="O3" s="118">
        <v>74235</v>
      </c>
      <c r="P3" s="115">
        <v>31.66217</v>
      </c>
      <c r="Q3" s="119" t="str">
        <f>_xll.BDP(AI3,"px_bid")</f>
        <v>#N/A Connection</v>
      </c>
      <c r="R3" s="120" t="e">
        <f>IF(F3="USD",AG3,(((_xll.BDP(F3&amp;"USD CURNCY","PX_LAST")))*AG3))</f>
        <v>#VALUE!</v>
      </c>
      <c r="S3" s="120" t="e">
        <f>IF(F3="USD",AH3,(((_xll.BDP(F3&amp;"USD CURNCY","PX_LAST")))*AH3))+AP3</f>
        <v>#VALUE!</v>
      </c>
      <c r="T3" s="121" t="e">
        <f t="shared" ref="T3:T31" si="0">U3*R3</f>
        <v>#VALUE!</v>
      </c>
      <c r="U3" s="122" t="e">
        <f t="shared" ref="U3:U31" si="1">(Q3-P3)/P3</f>
        <v>#VALUE!</v>
      </c>
      <c r="V3" s="122" t="str" cm="1">
        <f t="array" ref="V3">IFERROR(_xll.BDP($G3&amp;" ISIN","CHG_PCT_1D")/100,"")</f>
        <v/>
      </c>
      <c r="W3" s="122" t="str" cm="1">
        <f t="array" ref="W3">IFERROR(_xll.BDP($G3&amp;" ISIN","CHG_PCT_5D")/100,"")</f>
        <v/>
      </c>
      <c r="X3" s="122" t="e" cm="1">
        <f t="array" ref="X3">_xll.BDP($G3&amp;" ISIN","CHG_PCT_1M")/100</f>
        <v>#VALUE!</v>
      </c>
      <c r="Y3" s="122" t="e" cm="1">
        <f t="array" ref="Y3">_xll.BDP($G3&amp;" ISIN","CHG_PCT_3M")/100</f>
        <v>#VALUE!</v>
      </c>
      <c r="Z3" s="122" t="e" cm="1">
        <f t="array" ref="Z3">_xll.BDP($G3&amp;" ISIN","CHG_PCT_6M")/100</f>
        <v>#VALUE!</v>
      </c>
      <c r="AA3" s="13" t="e" cm="1">
        <f t="array" ref="AA3">_xll.BDP($G3&amp;" ISIN","CHG_PCT_YTD")/100</f>
        <v>#VALUE!</v>
      </c>
      <c r="AB3" s="13" t="e">
        <f>S3/$H$35</f>
        <v>#VALUE!</v>
      </c>
      <c r="AC3" s="118" t="e">
        <f t="shared" ref="AC3:AC31" ca="1" si="2">((AF3*I3)* ((TODAY()-BJ3)/360))+(Q3-P3)%*AF3</f>
        <v>#VALUE!</v>
      </c>
      <c r="AD3" s="115" t="str">
        <f>_xll.BDP(AI3,"DS199")</f>
        <v>#N/A Connection</v>
      </c>
      <c r="AE3" s="119" t="str">
        <f>_xll.BDP(AI3,"px_ask")</f>
        <v>#N/A Connection</v>
      </c>
      <c r="AF3" s="118" t="e">
        <f>IF(F3="USD",O3,(((_xll.BDP(F3&amp;"USD CURNCY","PX_LAST")))*O3))</f>
        <v>#VALUE!</v>
      </c>
      <c r="AG3" s="120">
        <f t="shared" ref="AG3:AG31" si="3">O3*P3/100</f>
        <v>23504.411899499999</v>
      </c>
      <c r="AH3" s="120" t="e">
        <f t="shared" ref="AH3:AH31" si="4">Q3*O3/100</f>
        <v>#VALUE!</v>
      </c>
      <c r="AI3" s="115" t="str">
        <f t="shared" ref="AI3:AI31" si="5">G3&amp; " ISIN"</f>
        <v>GB00BMBL1D50 ISIN</v>
      </c>
      <c r="AJ3" s="115" t="e" cm="1">
        <f t="array" ref="AJ3">VLOOKUP(IF(NOT(_xll.BDP($G3&amp;" CORP",$CA$4)="#N/A N/A"),(_xll.BDP($G3&amp;" CORP",$CA$4)),"-"), '[1]Country Codes'!$A$2:$B$253,2,0)</f>
        <v>#N/A</v>
      </c>
      <c r="AK3" s="115" t="str" cm="1">
        <f t="array" ref="AK3">IF(OR(_xll.BDP($AI3,"EX028")= "#N/A N/A", _xll.BDP($AI3,"EX028")="#N/A FIELD NOT APPLICABLE"), " ", _xll.BDP($AI3,"EX028"))</f>
        <v>#N/A Connection</v>
      </c>
      <c r="AL3" s="116" t="str">
        <f>(IF(_xll.BDP($AI3&amp;" ISIN","DZ282")="Y","Single line Bonds Cocos","Single line Bonds ex Cocos"))</f>
        <v>Single line Bonds ex Cocos</v>
      </c>
      <c r="AM3" s="117" t="str">
        <f>(IF(_xll.BDP($G3&amp;" ISIN","SP153")="#n/a n/a"," ",_xll.BDP($G3&amp;" ISIN","SP153")))</f>
        <v>#N/A Connection</v>
      </c>
      <c r="AN3" s="123">
        <f t="shared" ref="AN3:AN31" ca="1" si="6">TODAY()</f>
        <v>45783</v>
      </c>
      <c r="AO3" s="120" t="e">
        <f>(((_xll.BDP(AI3,"DS032"))/365)*I3)*O3</f>
        <v>#VALUE!</v>
      </c>
      <c r="AP3" s="120" t="e">
        <f>IF(F3="USD",AO3,(((_xll.BDP(F3&amp;"USD CURNCY","PX_LAST")))*AO3))</f>
        <v>#VALUE!</v>
      </c>
      <c r="AQ3" s="122" t="e">
        <f>S3/$S$104</f>
        <v>#VALUE!</v>
      </c>
      <c r="AR3" s="120" t="e">
        <f t="shared" ref="AR3:AR31" si="7">S3-AP3</f>
        <v>#VALUE!</v>
      </c>
      <c r="AS3" s="119" t="str">
        <f>IF((TEXT(_xll.BDP(AI3,"MATURITY"),"DD/MM/YYYY")="#N/A Field Not Applicable"),"Perp",_xll.BDP(AI3,"DS252"))</f>
        <v>#N/A Connection</v>
      </c>
      <c r="AT3" s="116" t="str">
        <f>(IF(_xll.BDP($AI3&amp;" ISIN","DT247")="Y","Yes","No"))</f>
        <v>No</v>
      </c>
      <c r="AU3" s="116" t="str">
        <f>PROPER(IF(OR(_xll.BDP($AI3,"CPN_TYP")="#n/a N/A",_xll.BDP($AI3,"CPN_TYP")= "#N/A FIELD NOT APPLICABLE"), " ", _xll.BDP($AI3,"CPN_TYP")))</f>
        <v>#N/A Connection</v>
      </c>
      <c r="BG3" s="116" t="str">
        <f t="shared" ref="BG3:BG31" si="8">G3</f>
        <v>GB00BMBL1D50</v>
      </c>
      <c r="BH3" s="116">
        <v>0.8</v>
      </c>
      <c r="BI3" s="125">
        <v>2</v>
      </c>
      <c r="BJ3" s="123">
        <v>45509</v>
      </c>
      <c r="BK3" s="126">
        <v>1</v>
      </c>
    </row>
    <row r="4" spans="1:64" s="21" customFormat="1" ht="14.45" customHeight="1" x14ac:dyDescent="0.25">
      <c r="A4" s="49" t="s">
        <v>241</v>
      </c>
      <c r="B4" s="49" t="s">
        <v>238</v>
      </c>
      <c r="C4" s="49" t="s">
        <v>239</v>
      </c>
      <c r="D4" s="49" t="s">
        <v>240</v>
      </c>
      <c r="E4" s="4" t="str">
        <f>_xll.BDP(AI4,"ds520")</f>
        <v>#N/A Connection</v>
      </c>
      <c r="F4" s="4" t="str">
        <f>_xll.BDP(AI4,"crncy")</f>
        <v>#N/A Connection</v>
      </c>
      <c r="G4" s="5" t="s">
        <v>45</v>
      </c>
      <c r="H4" s="4" t="str">
        <f>IF(_xll.BDP(AI4,"RTG_MOODY")="#N/A N/A","N/A",_xll.BDP(AI4,"RTG_MOODY"))&amp;","&amp;IF(_xll.BDP(AI4,"RTG_FITCH")="#N/A N/A","N/A",_xll.BDP(AI4,"RTG_FITCH"))&amp;","&amp;IF(_xll.BDP(AI4,"RTG_SP")="#N/A N/A","N/A",_xll.BDP(AI4,"RTG_SP"))</f>
        <v>#N/A Connection,#N/A Connection,#N/A Connection</v>
      </c>
      <c r="I4" s="7" t="e">
        <f>_xll.BDP(AI4,"cpn")/100</f>
        <v>#VALUE!</v>
      </c>
      <c r="J4" s="7" t="e">
        <f ca="1">_xll.BDP($G4&amp;" isin","YAS_BOND_YLD", "YAS_YLD_FLAG=15", "user_local_trade_date",AN4,"Yas_bond_px",$Q4)/100</f>
        <v>#VALUE!</v>
      </c>
      <c r="K4" s="4" t="str">
        <f>_xll.BDP(AI4,"PAYMENT_RANK")</f>
        <v>#N/A Connection</v>
      </c>
      <c r="L4" s="4" t="str">
        <f>IF((TEXT(_xll.BDP(AI4,"MATURITY"),"DD/MM/YYYY")="#N/A Field Not Applicable"),"Perp",TEXT(_xll.BDP(AI4,"MATURITY"),"DD/MM/YYYY"))</f>
        <v>#N/A Connection</v>
      </c>
      <c r="M4" s="8" t="str">
        <f>(IF(_xll.BDP($AI4&amp;" ISIN","DU003")="#n/a n/a"," ",_xll.BDP($AI4&amp;" ISIN","DU003")))</f>
        <v>#N/A Connection</v>
      </c>
      <c r="N4" s="4" t="str">
        <f>IF(_xll.BDP(AI4,"CALLABLE")="Y",_xll.BDP(AI4,"NXT_CALL_DT")," ")</f>
        <v xml:space="preserve"> </v>
      </c>
      <c r="O4" s="9">
        <v>200000</v>
      </c>
      <c r="P4" s="5">
        <v>98.78</v>
      </c>
      <c r="Q4" s="10" t="str">
        <f>_xll.BDP(AI4,"px_bid")</f>
        <v>#N/A Connection</v>
      </c>
      <c r="R4" s="11" t="e">
        <f>IF(F4="USD",AG4,(((_xll.BDP(F4&amp;"USD CURNCY","PX_LAST")))*AG4))</f>
        <v>#VALUE!</v>
      </c>
      <c r="S4" s="11" t="e">
        <f>IF(F4="USD",AH4,(((_xll.BDP(F4&amp;"USD CURNCY","PX_LAST")))*AH4))+AP4</f>
        <v>#VALUE!</v>
      </c>
      <c r="T4" s="12" t="e">
        <f t="shared" si="0"/>
        <v>#VALUE!</v>
      </c>
      <c r="U4" s="13" t="e">
        <f t="shared" si="1"/>
        <v>#VALUE!</v>
      </c>
      <c r="V4" s="13" t="str" cm="1">
        <f t="array" ref="V4">IFERROR(_xll.BDP($G4&amp;" ISIN","CHG_PCT_1D")/100,"")</f>
        <v/>
      </c>
      <c r="W4" s="13" t="str" cm="1">
        <f t="array" ref="W4">IFERROR(_xll.BDP($G4&amp;" ISIN","CHG_PCT_5D")/100,"")</f>
        <v/>
      </c>
      <c r="X4" s="13" t="e" cm="1">
        <f t="array" ref="X4">_xll.BDP($G4&amp;" ISIN","CHG_PCT_1M")/100</f>
        <v>#VALUE!</v>
      </c>
      <c r="Y4" s="13" t="e" cm="1">
        <f t="array" ref="Y4">_xll.BDP($G4&amp;" ISIN","CHG_PCT_3M")/100</f>
        <v>#VALUE!</v>
      </c>
      <c r="Z4" s="13" t="e" cm="1">
        <f t="array" ref="Z4">_xll.BDP($G4&amp;" ISIN","CHG_PCT_6M")/100</f>
        <v>#VALUE!</v>
      </c>
      <c r="AA4" s="13" t="e" cm="1">
        <f t="array" ref="AA4">_xll.BDP($G4&amp;" ISIN","CHG_PCT_YTD")/100</f>
        <v>#VALUE!</v>
      </c>
      <c r="AB4" s="13" t="e">
        <f>S4/$H$35</f>
        <v>#VALUE!</v>
      </c>
      <c r="AC4" s="14" t="e">
        <f t="shared" ca="1" si="2"/>
        <v>#VALUE!</v>
      </c>
      <c r="AD4" s="4" t="str">
        <f>_xll.BDP(AI4,"DS199")</f>
        <v>#N/A Connection</v>
      </c>
      <c r="AE4" s="10" t="str">
        <f>_xll.BDP(AI4,"px_ask")</f>
        <v>#N/A Connection</v>
      </c>
      <c r="AF4" s="14" t="e">
        <f>IF(F4="USD",O4,(((_xll.BDP(F4&amp;"USD CURNCY","PX_LAST")))*O4))</f>
        <v>#VALUE!</v>
      </c>
      <c r="AG4" s="11">
        <f t="shared" si="3"/>
        <v>197560</v>
      </c>
      <c r="AH4" s="11" t="e">
        <f t="shared" si="4"/>
        <v>#VALUE!</v>
      </c>
      <c r="AI4" s="4" t="str">
        <f t="shared" si="5"/>
        <v>PAL63444B5A9 ISIN</v>
      </c>
      <c r="AJ4" s="4" t="e" cm="1">
        <f t="array" ref="AJ4">VLOOKUP(IF(NOT(_xll.BDP($G4&amp;" CORP",$CA$4)="#N/A N/A"),(_xll.BDP($G4&amp;" CORP",$CA$4)),"-"), '[1]Country Codes'!$A$2:$B$253,2,0)</f>
        <v>#N/A</v>
      </c>
      <c r="AK4" s="4" t="str" cm="1">
        <f t="array" ref="AK4">IF(OR(_xll.BDP($AI4,"EX028")= "#N/A N/A", _xll.BDP($AI4,"EX028")="#N/A FIELD NOT APPLICABLE"), " ", _xll.BDP($AI4,"EX028"))</f>
        <v>#N/A Connection</v>
      </c>
      <c r="AL4" s="15" t="str">
        <f>(IF(_xll.BDP($AI4&amp;" ISIN","DZ282")="Y","Single line Bonds Cocos","Single line Bonds ex Cocos"))</f>
        <v>Single line Bonds ex Cocos</v>
      </c>
      <c r="AM4" s="8" t="str">
        <f>(IF(_xll.BDP($G4&amp;" ISIN","SP153")="#n/a n/a"," ",_xll.BDP($G4&amp;" ISIN","SP153")))</f>
        <v>#N/A Connection</v>
      </c>
      <c r="AN4" s="16">
        <f t="shared" ca="1" si="6"/>
        <v>45783</v>
      </c>
      <c r="AO4" s="11" t="e">
        <f>(((_xll.BDP(AI4,"DS032"))/365)*I4)*O4</f>
        <v>#VALUE!</v>
      </c>
      <c r="AP4" s="11" t="e">
        <f>IF(F4="USD",AO4,(((_xll.BDP(F4&amp;"USD CURNCY","PX_LAST")))*AO4))</f>
        <v>#VALUE!</v>
      </c>
      <c r="AQ4" s="13" t="e">
        <f>S4/$S$104</f>
        <v>#VALUE!</v>
      </c>
      <c r="AR4" s="11" t="e">
        <f t="shared" si="7"/>
        <v>#VALUE!</v>
      </c>
      <c r="AS4" s="10" t="str">
        <f>IF((TEXT(_xll.BDP(AI4,"MATURITY"),"DD/MM/YYYY")="#N/A Field Not Applicable"),"Perp",_xll.BDP(AI4,"DS252"))</f>
        <v>#N/A Connection</v>
      </c>
      <c r="AT4" s="15" t="str">
        <f>(IF(_xll.BDP($AI4&amp;" ISIN","DT247")="Y","Yes","No"))</f>
        <v>No</v>
      </c>
      <c r="AU4" s="15" t="str">
        <f>PROPER(IF(OR(_xll.BDP($AI4,"CPN_TYP")="#n/a N/A",_xll.BDP($AI4,"CPN_TYP")= "#N/A FIELD NOT APPLICABLE"), " ", _xll.BDP($AI4,"CPN_TYP")))</f>
        <v>#N/A Connection</v>
      </c>
      <c r="BG4" s="17" t="str">
        <f t="shared" si="8"/>
        <v>PAL63444B5A9</v>
      </c>
      <c r="BH4" s="17">
        <v>0.75</v>
      </c>
      <c r="BI4" s="18">
        <v>3</v>
      </c>
      <c r="BJ4" s="19">
        <v>45125</v>
      </c>
      <c r="BK4" s="20">
        <v>1</v>
      </c>
    </row>
    <row r="5" spans="1:64" s="21" customFormat="1" ht="14.45" customHeight="1" x14ac:dyDescent="0.25">
      <c r="A5" s="49" t="s">
        <v>241</v>
      </c>
      <c r="B5" s="49" t="s">
        <v>238</v>
      </c>
      <c r="C5" s="49" t="s">
        <v>239</v>
      </c>
      <c r="D5" s="49" t="s">
        <v>240</v>
      </c>
      <c r="E5" s="4" t="str">
        <f>_xll.BDP(AI5,"ds520")</f>
        <v>#N/A Connection</v>
      </c>
      <c r="F5" s="4" t="str">
        <f>_xll.BDP(AI5,"crncy")</f>
        <v>#N/A Connection</v>
      </c>
      <c r="G5" s="5" t="s">
        <v>43</v>
      </c>
      <c r="H5" s="4" t="str">
        <f>IF(_xll.BDP(AI5,"RTG_MOODY")="#N/A N/A","N/A",_xll.BDP(AI5,"RTG_MOODY"))&amp;","&amp;IF(_xll.BDP(AI5,"RTG_FITCH")="#N/A N/A","N/A",_xll.BDP(AI5,"RTG_FITCH"))&amp;","&amp;IF(_xll.BDP(AI5,"RTG_SP")="#N/A N/A","N/A",_xll.BDP(AI5,"RTG_SP"))</f>
        <v>#N/A Connection,#N/A Connection,#N/A Connection</v>
      </c>
      <c r="I5" s="6" t="e">
        <f>_xll.BDP(AI5,"cpn")/100</f>
        <v>#VALUE!</v>
      </c>
      <c r="J5" s="7" t="e">
        <f ca="1">_xll.BDP($G5&amp;" isin","YAS_BOND_YLD", "YAS_YLD_FLAG=15", "user_local_trade_date",AN5,"Yas_bond_px",$Q5)/100</f>
        <v>#VALUE!</v>
      </c>
      <c r="K5" s="4" t="str">
        <f>_xll.BDP(AI5,"PAYMENT_RANK")</f>
        <v>#N/A Connection</v>
      </c>
      <c r="L5" s="4" t="str">
        <f>IF((TEXT(_xll.BDP(AI5,"MATURITY"),"DD/MM/YYYY")="#N/A Field Not Applicable"),"Perp",TEXT(_xll.BDP(AI5,"MATURITY"),"DD/MM/YYYY"))</f>
        <v>#N/A Connection</v>
      </c>
      <c r="M5" s="8" t="str">
        <f>(IF(_xll.BDP($AI5&amp;" ISIN","DU003")="#n/a n/a"," ",_xll.BDP($AI5&amp;" ISIN","DU003")))</f>
        <v>#N/A Connection</v>
      </c>
      <c r="N5" s="4" t="str">
        <f>IF(_xll.BDP(AI5,"CALLABLE")="Y",_xll.BDP(AI5,"NXT_CALL_DT")," ")</f>
        <v xml:space="preserve"> </v>
      </c>
      <c r="O5" s="9">
        <v>200000</v>
      </c>
      <c r="P5" s="5">
        <v>100.038</v>
      </c>
      <c r="Q5" s="10" t="str">
        <f>_xll.BDP(AI5,"px_bid")</f>
        <v>#N/A Connection</v>
      </c>
      <c r="R5" s="11" t="e">
        <f>IF(F5="USD",AG5,(((_xll.BDP(F5&amp;"USD CURNCY","PX_LAST")))*AG5))</f>
        <v>#VALUE!</v>
      </c>
      <c r="S5" s="11" t="e">
        <f>IF(F5="USD",AH5,(((_xll.BDP(F5&amp;"USD CURNCY","PX_LAST")))*AH5))+AP5</f>
        <v>#VALUE!</v>
      </c>
      <c r="T5" s="12" t="e">
        <f t="shared" si="0"/>
        <v>#VALUE!</v>
      </c>
      <c r="U5" s="13" t="e">
        <f t="shared" si="1"/>
        <v>#VALUE!</v>
      </c>
      <c r="V5" s="13" t="str" cm="1">
        <f t="array" ref="V5">IFERROR(_xll.BDP($G5&amp;" ISIN","CHG_PCT_1D")/100,"")</f>
        <v/>
      </c>
      <c r="W5" s="13" t="str" cm="1">
        <f t="array" ref="W5">IFERROR(_xll.BDP($G5&amp;" ISIN","CHG_PCT_5D")/100,"")</f>
        <v/>
      </c>
      <c r="X5" s="13" t="e" cm="1">
        <f t="array" ref="X5">_xll.BDP($G5&amp;" ISIN","CHG_PCT_1M")/100</f>
        <v>#VALUE!</v>
      </c>
      <c r="Y5" s="13" t="e" cm="1">
        <f t="array" ref="Y5">_xll.BDP($G5&amp;" ISIN","CHG_PCT_3M")/100</f>
        <v>#VALUE!</v>
      </c>
      <c r="Z5" s="13" t="e" cm="1">
        <f t="array" ref="Z5">_xll.BDP($G5&amp;" ISIN","CHG_PCT_6M")/100</f>
        <v>#VALUE!</v>
      </c>
      <c r="AA5" s="13" t="e" cm="1">
        <f t="array" ref="AA5">_xll.BDP($G5&amp;" ISIN","CHG_PCT_YTD")/100</f>
        <v>#VALUE!</v>
      </c>
      <c r="AB5" s="13" t="e">
        <f>S5/$H$35</f>
        <v>#VALUE!</v>
      </c>
      <c r="AC5" s="14" t="e">
        <f t="shared" ca="1" si="2"/>
        <v>#VALUE!</v>
      </c>
      <c r="AD5" s="4" t="str">
        <f>_xll.BDP(AI5,"DS199")</f>
        <v>#N/A Connection</v>
      </c>
      <c r="AE5" s="10" t="str">
        <f>_xll.BDP(AI5,"px_ask")</f>
        <v>#N/A Connection</v>
      </c>
      <c r="AF5" s="14" t="e">
        <f>IF(F5="USD",O5,(((_xll.BDP(F5&amp;"USD CURNCY","PX_LAST")))*O5))</f>
        <v>#VALUE!</v>
      </c>
      <c r="AG5" s="11">
        <f t="shared" si="3"/>
        <v>200076</v>
      </c>
      <c r="AH5" s="11" t="e">
        <f t="shared" si="4"/>
        <v>#VALUE!</v>
      </c>
      <c r="AI5" s="4" t="str">
        <f t="shared" si="5"/>
        <v>USF2280BAA47 ISIN</v>
      </c>
      <c r="AJ5" s="4" t="e" cm="1">
        <f t="array" ref="AJ5">VLOOKUP(IF(NOT(_xll.BDP($G5&amp;" CORP",$CA$4)="#N/A N/A"),(_xll.BDP($G5&amp;" CORP",$CA$4)),"-"), '[1]Country Codes'!$A$2:$B$253,2,0)</f>
        <v>#N/A</v>
      </c>
      <c r="AK5" s="4" t="str" cm="1">
        <f t="array" ref="AK5">IF(OR(_xll.BDP($AI5,"EX028")= "#N/A N/A", _xll.BDP($AI5,"EX028")="#N/A FIELD NOT APPLICABLE"), " ", _xll.BDP($AI5,"EX028"))</f>
        <v>#N/A Connection</v>
      </c>
      <c r="AL5" s="15" t="str">
        <f>(IF(_xll.BDP($AI5&amp;" ISIN","DZ282")="Y","Single line Bonds Cocos","Single line Bonds ex Cocos"))</f>
        <v>Single line Bonds ex Cocos</v>
      </c>
      <c r="AM5" s="8" t="str">
        <f>(IF(_xll.BDP($G5&amp;" ISIN","SP153")="#n/a n/a"," ",_xll.BDP($G5&amp;" ISIN","SP153")))</f>
        <v>#N/A Connection</v>
      </c>
      <c r="AN5" s="16">
        <f t="shared" ca="1" si="6"/>
        <v>45783</v>
      </c>
      <c r="AO5" s="11" t="e">
        <f>(((_xll.BDP(AI5,"DS032"))/365)*I5)*O5</f>
        <v>#VALUE!</v>
      </c>
      <c r="AP5" s="11" t="e">
        <f>IF(F5="USD",AO5,(((_xll.BDP(F5&amp;"USD CURNCY","PX_LAST")))*AO5))</f>
        <v>#VALUE!</v>
      </c>
      <c r="AQ5" s="13" t="e">
        <f>S5/$S$104</f>
        <v>#VALUE!</v>
      </c>
      <c r="AR5" s="11" t="e">
        <f t="shared" si="7"/>
        <v>#VALUE!</v>
      </c>
      <c r="AS5" s="10" t="str">
        <f>IF((TEXT(_xll.BDP(AI5,"MATURITY"),"DD/MM/YYYY")="#N/A Field Not Applicable"),"Perp",_xll.BDP(AI5,"DS252"))</f>
        <v>#N/A Connection</v>
      </c>
      <c r="AT5" s="15" t="str">
        <f>(IF(_xll.BDP($AI5&amp;" ISIN","DT247")="Y","Yes","No"))</f>
        <v>No</v>
      </c>
      <c r="AU5" s="15" t="str">
        <f>PROPER(IF(OR(_xll.BDP($AI5,"CPN_TYP")="#n/a N/A",_xll.BDP($AI5,"CPN_TYP")= "#N/A FIELD NOT APPLICABLE"), " ", _xll.BDP($AI5,"CPN_TYP")))</f>
        <v>#N/A Connection</v>
      </c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17" t="str">
        <f t="shared" si="8"/>
        <v>USF2280BAA47</v>
      </c>
      <c r="BH5" s="17">
        <v>0.65</v>
      </c>
      <c r="BI5" s="18">
        <v>5</v>
      </c>
      <c r="BJ5" s="19">
        <v>45560</v>
      </c>
      <c r="BK5" s="20">
        <v>1</v>
      </c>
      <c r="BL5" s="3"/>
    </row>
    <row r="6" spans="1:64" s="21" customFormat="1" ht="14.45" customHeight="1" x14ac:dyDescent="0.25">
      <c r="A6" s="49" t="s">
        <v>242</v>
      </c>
      <c r="B6" s="49" t="s">
        <v>243</v>
      </c>
      <c r="C6" s="49" t="s">
        <v>244</v>
      </c>
      <c r="D6" s="49" t="s">
        <v>245</v>
      </c>
      <c r="E6" s="4" t="str">
        <f>_xll.BDP(AI6,"ds520")</f>
        <v>#N/A Connection</v>
      </c>
      <c r="F6" s="4" t="str">
        <f>_xll.BDP(AI6,"crncy")</f>
        <v>#N/A Connection</v>
      </c>
      <c r="G6" s="5" t="s">
        <v>116</v>
      </c>
      <c r="H6" s="4" t="str">
        <f>IF(_xll.BDP(AI6,"RTG_MOODY")="#N/A N/A","N/A",_xll.BDP(AI6,"RTG_MOODY"))&amp;","&amp;IF(_xll.BDP(AI6,"RTG_FITCH")="#N/A N/A","N/A",_xll.BDP(AI6,"RTG_FITCH"))&amp;","&amp;IF(_xll.BDP(AI6,"RTG_SP")="#N/A N/A","N/A",_xll.BDP(AI6,"RTG_SP"))</f>
        <v>#N/A Connection,#N/A Connection,#N/A Connection</v>
      </c>
      <c r="I6" s="7" t="e">
        <f>_xll.BDP(AI6,"cpn")/100</f>
        <v>#VALUE!</v>
      </c>
      <c r="J6" s="7" t="e">
        <f ca="1">_xll.BDP($G6&amp;" isin","YAS_BOND_YLD", "YAS_YLD_FLAG=15", "user_local_trade_date",AN6,"Yas_bond_px",$Q6)/100</f>
        <v>#VALUE!</v>
      </c>
      <c r="K6" s="4" t="str">
        <f>_xll.BDP(AI6,"PAYMENT_RANK")</f>
        <v>#N/A Connection</v>
      </c>
      <c r="L6" s="4" t="str">
        <f>IF((TEXT(_xll.BDP(AI6,"MATURITY"),"DD/MM/YYYY")="#N/A Field Not Applicable"),"Perp",TEXT(_xll.BDP(AI6,"MATURITY"),"DD/MM/YYYY"))</f>
        <v>#N/A Connection</v>
      </c>
      <c r="M6" s="8" t="str">
        <f>(IF(_xll.BDP($AI6&amp;" ISIN","DU003")="#n/a n/a"," ",_xll.BDP($AI6&amp;" ISIN","DU003")))</f>
        <v>#N/A Connection</v>
      </c>
      <c r="N6" s="4" t="str">
        <f>IF(_xll.BDP(AI6,"CALLABLE")="Y",_xll.BDP(AI6,"NXT_CALL_DT")," ")</f>
        <v xml:space="preserve"> </v>
      </c>
      <c r="O6" s="9">
        <v>300000</v>
      </c>
      <c r="P6" s="5">
        <v>98.6</v>
      </c>
      <c r="Q6" s="10" t="str">
        <f>_xll.BDP(AI6,"px_bid")</f>
        <v>#N/A Connection</v>
      </c>
      <c r="R6" s="11" t="e">
        <f>IF(F6="USD",AG6,(((_xll.BDP(F6&amp;"USD CURNCY","PX_LAST")))*AG6))</f>
        <v>#VALUE!</v>
      </c>
      <c r="S6" s="11" t="e">
        <f>IF(F6="USD",AH6,(((_xll.BDP(F6&amp;"USD CURNCY","PX_LAST")))*AH6))+AP6</f>
        <v>#VALUE!</v>
      </c>
      <c r="T6" s="12" t="e">
        <f t="shared" si="0"/>
        <v>#VALUE!</v>
      </c>
      <c r="U6" s="13" t="e">
        <f t="shared" si="1"/>
        <v>#VALUE!</v>
      </c>
      <c r="V6" s="13" t="str" cm="1">
        <f t="array" ref="V6">IFERROR(_xll.BDP($G6&amp;" ISIN","CHG_PCT_1D")/100,"")</f>
        <v/>
      </c>
      <c r="W6" s="13" t="str" cm="1">
        <f t="array" ref="W6">IFERROR(_xll.BDP($G6&amp;" ISIN","CHG_PCT_5D")/100,"")</f>
        <v/>
      </c>
      <c r="X6" s="13" t="e" cm="1">
        <f t="array" ref="X6">_xll.BDP($G6&amp;" ISIN","CHG_PCT_1M")/100</f>
        <v>#VALUE!</v>
      </c>
      <c r="Y6" s="13" t="e" cm="1">
        <f t="array" ref="Y6">_xll.BDP($G6&amp;" ISIN","CHG_PCT_3M")/100</f>
        <v>#VALUE!</v>
      </c>
      <c r="Z6" s="13" t="e" cm="1">
        <f t="array" ref="Z6">_xll.BDP($G6&amp;" ISIN","CHG_PCT_6M")/100</f>
        <v>#VALUE!</v>
      </c>
      <c r="AA6" s="13" t="e" cm="1">
        <f t="array" ref="AA6">_xll.BDP($G6&amp;" ISIN","CHG_PCT_YTD")/100</f>
        <v>#VALUE!</v>
      </c>
      <c r="AB6" s="13" t="e">
        <f t="shared" ref="AB6:AB34" si="9">S6/$H$36</f>
        <v>#VALUE!</v>
      </c>
      <c r="AC6" s="14" t="e">
        <f t="shared" ca="1" si="2"/>
        <v>#VALUE!</v>
      </c>
      <c r="AD6" s="4" t="str">
        <f>_xll.BDP(AI6,"DS199")</f>
        <v>#N/A Connection</v>
      </c>
      <c r="AE6" s="10" t="str">
        <f>_xll.BDP(AI6,"px_ask")</f>
        <v>#N/A Connection</v>
      </c>
      <c r="AF6" s="14" t="e">
        <f>IF(F6="USD",O6,(((_xll.BDP(F6&amp;"USD CURNCY","PX_LAST")))*O6))</f>
        <v>#VALUE!</v>
      </c>
      <c r="AG6" s="11">
        <f t="shared" si="3"/>
        <v>295800</v>
      </c>
      <c r="AH6" s="11" t="e">
        <f t="shared" si="4"/>
        <v>#VALUE!</v>
      </c>
      <c r="AI6" s="4" t="str">
        <f t="shared" si="5"/>
        <v>XS2568343672 ISIN</v>
      </c>
      <c r="AJ6" s="4" t="e" cm="1">
        <f t="array" ref="AJ6">VLOOKUP(IF(NOT(_xll.BDP($G6&amp;" CORP",$CA$5)="#N/A N/A"),(_xll.BDP($G6&amp;" CORP",$CA$5)),"-"), '[1]Country Codes'!$A$2:$B$253,2,0)</f>
        <v>#N/A</v>
      </c>
      <c r="AK6" s="4" t="str" cm="1">
        <f t="array" ref="AK6">IF(OR(_xll.BDP($AI6,"EX028")= "#N/A N/A", _xll.BDP($AI6,"EX028")="#N/A FIELD NOT APPLICABLE"), " ", _xll.BDP($AI6,"EX028"))</f>
        <v>#N/A Connection</v>
      </c>
      <c r="AL6" s="15" t="str">
        <f>(IF(_xll.BDP($AI6&amp;" ISIN","DZ282")="Y","Single line Bonds Cocos","Single line Bonds ex Cocos"))</f>
        <v>Single line Bonds ex Cocos</v>
      </c>
      <c r="AM6" s="8" t="str">
        <f>(IF(_xll.BDP($G6&amp;" ISIN","SP153")="#n/a n/a"," ",_xll.BDP($G6&amp;" ISIN","SP153")))</f>
        <v>#N/A Connection</v>
      </c>
      <c r="AN6" s="16">
        <f t="shared" ca="1" si="6"/>
        <v>45783</v>
      </c>
      <c r="AO6" s="11" t="e">
        <f>(((_xll.BDP(AI6,"DS032"))/365)*I6)*O6</f>
        <v>#VALUE!</v>
      </c>
      <c r="AP6" s="11" t="e">
        <f>IF(F6="USD",AO6,(((_xll.BDP(F6&amp;"USD CURNCY","PX_LAST")))*AO6))</f>
        <v>#VALUE!</v>
      </c>
      <c r="AQ6" s="13" t="e">
        <f>S6/$S$106</f>
        <v>#VALUE!</v>
      </c>
      <c r="AR6" s="11" t="e">
        <f t="shared" si="7"/>
        <v>#VALUE!</v>
      </c>
      <c r="AS6" s="10" t="str">
        <f>IF((TEXT(_xll.BDP(AI6,"MATURITY"),"DD/MM/YYYY")="#N/A Field Not Applicable"),"Perp",_xll.BDP(AI6,"DS252"))</f>
        <v>#N/A Connection</v>
      </c>
      <c r="AT6" s="15" t="str">
        <f>(IF(_xll.BDP($AI6&amp;" ISIN","DT247")="Y","Yes","No"))</f>
        <v>No</v>
      </c>
      <c r="AU6" s="15" t="str">
        <f>PROPER(IF(OR(_xll.BDP($AI6,"CPN_TYP")="#n/a N/A",_xll.BDP($AI6,"CPN_TYP")= "#N/A FIELD NOT APPLICABLE"), " ", _xll.BDP($AI6,"CPN_TYP")))</f>
        <v>#N/A Connection</v>
      </c>
      <c r="BG6" s="17" t="str">
        <f t="shared" si="8"/>
        <v>XS2568343672</v>
      </c>
      <c r="BH6" s="17">
        <v>0.7405613660412419</v>
      </c>
      <c r="BI6" s="18">
        <v>3</v>
      </c>
      <c r="BJ6" s="19">
        <v>45125</v>
      </c>
      <c r="BK6" s="20">
        <v>1</v>
      </c>
    </row>
    <row r="7" spans="1:64" s="21" customFormat="1" ht="14.45" customHeight="1" x14ac:dyDescent="0.25">
      <c r="A7" s="49" t="s">
        <v>242</v>
      </c>
      <c r="B7" s="49" t="s">
        <v>243</v>
      </c>
      <c r="C7" s="49" t="s">
        <v>244</v>
      </c>
      <c r="D7" s="49" t="s">
        <v>245</v>
      </c>
      <c r="E7" s="4" t="str">
        <f>_xll.BDP(AI7,"ds520")</f>
        <v>#N/A Connection</v>
      </c>
      <c r="F7" s="4" t="str">
        <f>_xll.BDP(AI7,"crncy")</f>
        <v>#N/A Connection</v>
      </c>
      <c r="G7" s="5" t="s">
        <v>117</v>
      </c>
      <c r="H7" s="4" t="str">
        <f>IF(_xll.BDP(AI7,"RTG_MOODY")="#N/A N/A","N/A",_xll.BDP(AI7,"RTG_MOODY"))&amp;","&amp;IF(_xll.BDP(AI7,"RTG_FITCH")="#N/A N/A","N/A",_xll.BDP(AI7,"RTG_FITCH"))&amp;","&amp;IF(_xll.BDP(AI7,"RTG_SP")="#N/A N/A","N/A",_xll.BDP(AI7,"RTG_SP"))</f>
        <v>#N/A Connection,#N/A Connection,#N/A Connection</v>
      </c>
      <c r="I7" s="7" t="e">
        <f>_xll.BDP(AI7,"cpn")/100</f>
        <v>#VALUE!</v>
      </c>
      <c r="J7" s="7" t="e">
        <f ca="1">_xll.BDP($G7&amp;" isin","YAS_BOND_YLD", "YAS_YLD_FLAG=15", "user_local_trade_date",AN7,"Yas_bond_px",$Q7)/100</f>
        <v>#VALUE!</v>
      </c>
      <c r="K7" s="4" t="str">
        <f>_xll.BDP(AI7,"PAYMENT_RANK")</f>
        <v>#N/A Connection</v>
      </c>
      <c r="L7" s="4" t="str">
        <f>IF((TEXT(_xll.BDP(AI7,"MATURITY"),"DD/MM/YYYY")="#N/A Field Not Applicable"),"Perp",TEXT(_xll.BDP(AI7,"MATURITY"),"DD/MM/YYYY"))</f>
        <v>#N/A Connection</v>
      </c>
      <c r="M7" s="8" t="str">
        <f>(IF(_xll.BDP($AI7&amp;" ISIN","DU003")="#n/a n/a"," ",_xll.BDP($AI7&amp;" ISIN","DU003")))</f>
        <v>#N/A Connection</v>
      </c>
      <c r="N7" s="4" t="str">
        <f>IF(_xll.BDP(AI7,"CALLABLE")="Y",_xll.BDP(AI7,"NXT_CALL_DT")," ")</f>
        <v xml:space="preserve"> </v>
      </c>
      <c r="O7" s="9">
        <v>300000</v>
      </c>
      <c r="P7" s="5">
        <v>102.95</v>
      </c>
      <c r="Q7" s="10" t="str">
        <f>_xll.BDP(AI7,"px_bid")</f>
        <v>#N/A Connection</v>
      </c>
      <c r="R7" s="11" t="e">
        <f>IF(F7="USD",AG7,(((_xll.BDP(F7&amp;"USD CURNCY","PX_LAST")))*AG7))</f>
        <v>#VALUE!</v>
      </c>
      <c r="S7" s="11" t="e">
        <f>IF(F7="USD",AH7,(((_xll.BDP(F7&amp;"USD CURNCY","PX_LAST")))*AH7))+AP7</f>
        <v>#VALUE!</v>
      </c>
      <c r="T7" s="12" t="e">
        <f t="shared" si="0"/>
        <v>#VALUE!</v>
      </c>
      <c r="U7" s="13" t="e">
        <f t="shared" si="1"/>
        <v>#VALUE!</v>
      </c>
      <c r="V7" s="13" t="str" cm="1">
        <f t="array" ref="V7">IFERROR(_xll.BDP($G7&amp;" ISIN","CHG_PCT_1D")/100,"")</f>
        <v/>
      </c>
      <c r="W7" s="13" t="str" cm="1">
        <f t="array" ref="W7">IFERROR(_xll.BDP($G7&amp;" ISIN","CHG_PCT_5D")/100,"")</f>
        <v/>
      </c>
      <c r="X7" s="13" t="e" cm="1">
        <f t="array" ref="X7">_xll.BDP($G7&amp;" ISIN","CHG_PCT_1M")/100</f>
        <v>#VALUE!</v>
      </c>
      <c r="Y7" s="13" t="e" cm="1">
        <f t="array" ref="Y7">_xll.BDP($G7&amp;" ISIN","CHG_PCT_3M")/100</f>
        <v>#VALUE!</v>
      </c>
      <c r="Z7" s="13" t="e" cm="1">
        <f t="array" ref="Z7">_xll.BDP($G7&amp;" ISIN","CHG_PCT_6M")/100</f>
        <v>#VALUE!</v>
      </c>
      <c r="AA7" s="13" t="e" cm="1">
        <f t="array" ref="AA7">_xll.BDP($G7&amp;" ISIN","CHG_PCT_YTD")/100</f>
        <v>#VALUE!</v>
      </c>
      <c r="AB7" s="13" t="e">
        <f t="shared" si="9"/>
        <v>#VALUE!</v>
      </c>
      <c r="AC7" s="14" t="e">
        <f t="shared" ca="1" si="2"/>
        <v>#VALUE!</v>
      </c>
      <c r="AD7" s="4" t="str">
        <f>_xll.BDP(AI7,"DS199")</f>
        <v>#N/A Connection</v>
      </c>
      <c r="AE7" s="10" t="str">
        <f>_xll.BDP(AI7,"px_ask")</f>
        <v>#N/A Connection</v>
      </c>
      <c r="AF7" s="14" t="e">
        <f>IF(F7="USD",O7,(((_xll.BDP(F7&amp;"USD CURNCY","PX_LAST")))*O7))</f>
        <v>#VALUE!</v>
      </c>
      <c r="AG7" s="11">
        <f t="shared" si="3"/>
        <v>308850</v>
      </c>
      <c r="AH7" s="11" t="e">
        <f t="shared" si="4"/>
        <v>#VALUE!</v>
      </c>
      <c r="AI7" s="4" t="str">
        <f t="shared" si="5"/>
        <v>XS2384355520 ISIN</v>
      </c>
      <c r="AJ7" s="4" t="e" cm="1">
        <f t="array" ref="AJ7">VLOOKUP(IF(NOT(_xll.BDP($G7&amp;" CORP",$CA$5)="#N/A N/A"),(_xll.BDP($G7&amp;" CORP",$CA$5)),"-"), '[1]Country Codes'!$A$2:$B$253,2,0)</f>
        <v>#N/A</v>
      </c>
      <c r="AK7" s="4" t="str" cm="1">
        <f t="array" ref="AK7">IF(OR(_xll.BDP($AI7,"EX028")= "#N/A N/A", _xll.BDP($AI7,"EX028")="#N/A FIELD NOT APPLICABLE"), " ", _xll.BDP($AI7,"EX028"))</f>
        <v>#N/A Connection</v>
      </c>
      <c r="AL7" s="15" t="str">
        <f>(IF(_xll.BDP($AI7&amp;" ISIN","DZ282")="Y","Single line Bonds Cocos","Single line Bonds ex Cocos"))</f>
        <v>Single line Bonds ex Cocos</v>
      </c>
      <c r="AM7" s="8" t="str">
        <f>(IF(_xll.BDP($G7&amp;" ISIN","SP153")="#n/a n/a"," ",_xll.BDP($G7&amp;" ISIN","SP153")))</f>
        <v>#N/A Connection</v>
      </c>
      <c r="AN7" s="16">
        <f t="shared" ca="1" si="6"/>
        <v>45783</v>
      </c>
      <c r="AO7" s="11" t="e">
        <f>(((_xll.BDP(AI7,"DS032"))/365)*I7)*O7</f>
        <v>#VALUE!</v>
      </c>
      <c r="AP7" s="11" t="e">
        <f>IF(F7="USD",AO7,(((_xll.BDP(F7&amp;"USD CURNCY","PX_LAST")))*AO7))</f>
        <v>#VALUE!</v>
      </c>
      <c r="AQ7" s="13" t="e">
        <f>S7/$S$106</f>
        <v>#VALUE!</v>
      </c>
      <c r="AR7" s="11" t="e">
        <f t="shared" si="7"/>
        <v>#VALUE!</v>
      </c>
      <c r="AS7" s="10" t="str">
        <f>IF((TEXT(_xll.BDP(AI7,"MATURITY"),"DD/MM/YYYY")="#N/A Field Not Applicable"),"Perp",_xll.BDP(AI7,"DS252"))</f>
        <v>#N/A Connection</v>
      </c>
      <c r="AT7" s="15" t="str">
        <f>(IF(_xll.BDP($AI7&amp;" ISIN","DT247")="Y","Yes","No"))</f>
        <v>No</v>
      </c>
      <c r="AU7" s="15" t="str">
        <f>PROPER(IF(OR(_xll.BDP($AI7,"CPN_TYP")="#n/a N/A",_xll.BDP($AI7,"CPN_TYP")= "#N/A FIELD NOT APPLICABLE"), " ", _xll.BDP($AI7,"CPN_TYP")))</f>
        <v>#N/A Connection</v>
      </c>
      <c r="BG7" s="17" t="str">
        <f t="shared" si="8"/>
        <v>XS2384355520</v>
      </c>
      <c r="BH7" s="17">
        <v>0.6826478174407844</v>
      </c>
      <c r="BI7" s="18">
        <v>5</v>
      </c>
      <c r="BJ7" s="19">
        <v>45125</v>
      </c>
      <c r="BK7" s="20">
        <v>1</v>
      </c>
    </row>
    <row r="8" spans="1:64" s="21" customFormat="1" ht="14.45" customHeight="1" x14ac:dyDescent="0.25">
      <c r="A8" s="49" t="s">
        <v>242</v>
      </c>
      <c r="B8" s="49" t="s">
        <v>243</v>
      </c>
      <c r="C8" s="49" t="s">
        <v>244</v>
      </c>
      <c r="D8" s="49" t="s">
        <v>245</v>
      </c>
      <c r="E8" s="4" t="str">
        <f>_xll.BDP(AI8,"ds520")</f>
        <v>#N/A Connection</v>
      </c>
      <c r="F8" s="4" t="str">
        <f>_xll.BDP(AI8,"crncy")</f>
        <v>#N/A Connection</v>
      </c>
      <c r="G8" s="5" t="s">
        <v>115</v>
      </c>
      <c r="H8" s="4" t="str">
        <f>IF(_xll.BDP(AI8,"RTG_MOODY")="#N/A N/A","N/A",_xll.BDP(AI8,"RTG_MOODY"))&amp;","&amp;IF(_xll.BDP(AI8,"RTG_FITCH")="#N/A N/A","N/A",_xll.BDP(AI8,"RTG_FITCH"))&amp;","&amp;IF(_xll.BDP(AI8,"RTG_SP")="#N/A N/A","N/A",_xll.BDP(AI8,"RTG_SP"))</f>
        <v>#N/A Connection,#N/A Connection,#N/A Connection</v>
      </c>
      <c r="I8" s="6" t="e">
        <f>_xll.BDP(AI8,"cpn")/100</f>
        <v>#VALUE!</v>
      </c>
      <c r="J8" s="7" t="e">
        <f ca="1">_xll.BDP($G8&amp;" isin","YAS_BOND_YLD", "YAS_YLD_FLAG=15", "user_local_trade_date",AN8,"Yas_bond_px",$Q8)/100</f>
        <v>#VALUE!</v>
      </c>
      <c r="K8" s="4" t="str">
        <f>_xll.BDP(AI8,"PAYMENT_RANK")</f>
        <v>#N/A Connection</v>
      </c>
      <c r="L8" s="4" t="str">
        <f>IF((TEXT(_xll.BDP(AI8,"MATURITY"),"DD/MM/YYYY")="#N/A Field Not Applicable"),"Perp",TEXT(_xll.BDP(AI8,"MATURITY"),"DD/MM/YYYY"))</f>
        <v>#N/A Connection</v>
      </c>
      <c r="M8" s="8" t="str">
        <f>(IF(_xll.BDP($AI8&amp;" ISIN","DU003")="#n/a n/a"," ",_xll.BDP($AI8&amp;" ISIN","DU003")))</f>
        <v>#N/A Connection</v>
      </c>
      <c r="N8" s="4" t="str">
        <f>IF(_xll.BDP(AI8,"CALLABLE")="Y",_xll.BDP(AI8,"NXT_CALL_DT")," ")</f>
        <v xml:space="preserve"> </v>
      </c>
      <c r="O8" s="9">
        <v>300000</v>
      </c>
      <c r="P8" s="5">
        <v>101.4</v>
      </c>
      <c r="Q8" s="10" t="str">
        <f>_xll.BDP(AI8,"px_bid")</f>
        <v>#N/A Connection</v>
      </c>
      <c r="R8" s="11" t="e">
        <f>IF(F8="USD",AG8,(((_xll.BDP(F8&amp;"USD CURNCY","PX_LAST")))*AG8))</f>
        <v>#VALUE!</v>
      </c>
      <c r="S8" s="11" t="e">
        <f>IF(F8="USD",AH8,(((_xll.BDP(F8&amp;"USD CURNCY","PX_LAST")))*AH8))+AP8</f>
        <v>#VALUE!</v>
      </c>
      <c r="T8" s="12" t="e">
        <f t="shared" si="0"/>
        <v>#VALUE!</v>
      </c>
      <c r="U8" s="13" t="e">
        <f t="shared" si="1"/>
        <v>#VALUE!</v>
      </c>
      <c r="V8" s="13" t="str" cm="1">
        <f t="array" ref="V8">IFERROR(_xll.BDP($G8&amp;" ISIN","CHG_PCT_1D")/100,"")</f>
        <v/>
      </c>
      <c r="W8" s="13" t="str" cm="1">
        <f t="array" ref="W8">IFERROR(_xll.BDP($G8&amp;" ISIN","CHG_PCT_5D")/100,"")</f>
        <v/>
      </c>
      <c r="X8" s="13" t="e" cm="1">
        <f t="array" ref="X8">_xll.BDP($G8&amp;" ISIN","CHG_PCT_1M")/100</f>
        <v>#VALUE!</v>
      </c>
      <c r="Y8" s="13" t="e" cm="1">
        <f t="array" ref="Y8">_xll.BDP($G8&amp;" ISIN","CHG_PCT_3M")/100</f>
        <v>#VALUE!</v>
      </c>
      <c r="Z8" s="13" t="e" cm="1">
        <f t="array" ref="Z8">_xll.BDP($G8&amp;" ISIN","CHG_PCT_6M")/100</f>
        <v>#VALUE!</v>
      </c>
      <c r="AA8" s="13" t="e" cm="1">
        <f t="array" ref="AA8">_xll.BDP($G8&amp;" ISIN","CHG_PCT_YTD")/100</f>
        <v>#VALUE!</v>
      </c>
      <c r="AB8" s="13" t="e">
        <f t="shared" si="9"/>
        <v>#VALUE!</v>
      </c>
      <c r="AC8" s="14" t="e">
        <f t="shared" ca="1" si="2"/>
        <v>#VALUE!</v>
      </c>
      <c r="AD8" s="4" t="str">
        <f>_xll.BDP(AI8,"DS199")</f>
        <v>#N/A Connection</v>
      </c>
      <c r="AE8" s="10" t="str">
        <f>_xll.BDP(AI8,"px_ask")</f>
        <v>#N/A Connection</v>
      </c>
      <c r="AF8" s="14" t="e">
        <f>IF(F8="USD",O8,(((_xll.BDP(F8&amp;"USD CURNCY","PX_LAST")))*O8))</f>
        <v>#VALUE!</v>
      </c>
      <c r="AG8" s="11">
        <f t="shared" si="3"/>
        <v>304200</v>
      </c>
      <c r="AH8" s="11" t="e">
        <f t="shared" si="4"/>
        <v>#VALUE!</v>
      </c>
      <c r="AI8" s="4" t="str">
        <f t="shared" si="5"/>
        <v>XS2258453443 ISIN</v>
      </c>
      <c r="AJ8" s="4" t="e" cm="1">
        <f t="array" ref="AJ8">VLOOKUP(IF(NOT(_xll.BDP($G8&amp;" CORP",$CA$5)="#N/A N/A"),(_xll.BDP($G8&amp;" CORP",$CA$5)),"-"), '[1]Country Codes'!$A$2:$B$253,2,0)</f>
        <v>#N/A</v>
      </c>
      <c r="AK8" s="4" t="str" cm="1">
        <f t="array" ref="AK8">IF(OR(_xll.BDP($AI8,"EX028")= "#N/A N/A", _xll.BDP($AI8,"EX028")="#N/A FIELD NOT APPLICABLE"), " ", _xll.BDP($AI8,"EX028"))</f>
        <v>#N/A Connection</v>
      </c>
      <c r="AL8" s="15" t="str">
        <f>(IF(_xll.BDP($AI8&amp;" ISIN","DZ282")="Y","Single line Bonds Cocos","Single line Bonds ex Cocos"))</f>
        <v>Single line Bonds ex Cocos</v>
      </c>
      <c r="AM8" s="8" t="str">
        <f>(IF(_xll.BDP($G8&amp;" ISIN","SP153")="#n/a n/a"," ",_xll.BDP($G8&amp;" ISIN","SP153")))</f>
        <v>#N/A Connection</v>
      </c>
      <c r="AN8" s="16">
        <f t="shared" ca="1" si="6"/>
        <v>45783</v>
      </c>
      <c r="AO8" s="11" t="e">
        <f>(((_xll.BDP(AI8,"DS032"))/365)*I8)*O8</f>
        <v>#VALUE!</v>
      </c>
      <c r="AP8" s="11" t="e">
        <f>IF(F8="USD",AO8,(((_xll.BDP(F8&amp;"USD CURNCY","PX_LAST")))*AO8))</f>
        <v>#VALUE!</v>
      </c>
      <c r="AQ8" s="13" t="e">
        <f>S8/$S$106</f>
        <v>#VALUE!</v>
      </c>
      <c r="AR8" s="11" t="e">
        <f t="shared" si="7"/>
        <v>#VALUE!</v>
      </c>
      <c r="AS8" s="10" t="str">
        <f>IF((TEXT(_xll.BDP(AI8,"MATURITY"),"DD/MM/YYYY")="#N/A Field Not Applicable"),"Perp",_xll.BDP(AI8,"DS252"))</f>
        <v>#N/A Connection</v>
      </c>
      <c r="AT8" s="15" t="str">
        <f>(IF(_xll.BDP($AI8&amp;" ISIN","DT247")="Y","Yes","No"))</f>
        <v>No</v>
      </c>
      <c r="AU8" s="15" t="str">
        <f>PROPER(IF(OR(_xll.BDP($AI8,"CPN_TYP")="#n/a N/A",_xll.BDP($AI8,"CPN_TYP")= "#N/A FIELD NOT APPLICABLE"), " ", _xll.BDP($AI8,"CPN_TYP")))</f>
        <v>#N/A Connection</v>
      </c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17" t="str">
        <f t="shared" si="8"/>
        <v>XS2258453443</v>
      </c>
      <c r="BH8" s="17">
        <v>0.73308138659888633</v>
      </c>
      <c r="BI8" s="18">
        <v>2</v>
      </c>
      <c r="BJ8" s="19">
        <v>44741</v>
      </c>
      <c r="BK8" s="20">
        <v>1</v>
      </c>
      <c r="BL8" s="3"/>
    </row>
    <row r="9" spans="1:64" s="21" customFormat="1" ht="14.45" customHeight="1" x14ac:dyDescent="0.25">
      <c r="A9" s="49" t="s">
        <v>242</v>
      </c>
      <c r="B9" s="49" t="s">
        <v>327</v>
      </c>
      <c r="C9" s="49">
        <v>4371511</v>
      </c>
      <c r="D9" s="49" t="s">
        <v>248</v>
      </c>
      <c r="E9" s="4" t="str">
        <f>_xll.BDP(AI9,"ds520")</f>
        <v>#N/A Connection</v>
      </c>
      <c r="F9" s="4" t="str">
        <f>_xll.BDP(AI9,"crncy")</f>
        <v>#N/A Connection</v>
      </c>
      <c r="G9" s="5" t="s">
        <v>328</v>
      </c>
      <c r="H9" s="4" t="str">
        <f>IF(_xll.BDP(AI9,"RTG_MOODY")="#N/A N/A","N/A",_xll.BDP(AI9,"RTG_MOODY"))&amp;","&amp;IF(_xll.BDP(AI9,"RTG_FITCH")="#N/A N/A","N/A",_xll.BDP(AI9,"RTG_FITCH"))&amp;","&amp;IF(_xll.BDP(AI9,"RTG_SP")="#N/A N/A","N/A",_xll.BDP(AI9,"RTG_SP"))</f>
        <v>#N/A Connection,#N/A Connection,#N/A Connection</v>
      </c>
      <c r="I9" s="7" t="e">
        <f>_xll.BDP(AI9,"cpn")/100</f>
        <v>#VALUE!</v>
      </c>
      <c r="J9" s="7" t="e">
        <f ca="1">_xll.BDP($G9&amp;" isin","YAS_BOND_YLD", "YAS_YLD_FLAG=15", "user_local_trade_date",AN9,"Yas_bond_px",$Q9)/100</f>
        <v>#VALUE!</v>
      </c>
      <c r="K9" s="4" t="str">
        <f>_xll.BDP(AI9,"PAYMENT_RANK")</f>
        <v>#N/A Connection</v>
      </c>
      <c r="L9" s="4" t="str">
        <f>IF((TEXT(_xll.BDP(AI9,"MATURITY"),"DD/MM/YYYY")="#N/A Field Not Applicable"),"Perp",TEXT(_xll.BDP(AI9,"MATURITY"),"DD/MM/YYYY"))</f>
        <v>#N/A Connection</v>
      </c>
      <c r="M9" s="8" t="str">
        <f>(IF(_xll.BDP($AI9&amp;" ISIN","DU003")="#n/a n/a"," ",_xll.BDP($AI9&amp;" ISIN","DU003")))</f>
        <v>#N/A Connection</v>
      </c>
      <c r="N9" s="4" t="str">
        <f>IF(_xll.BDP(AI9,"CALLABLE")="Y",_xll.BDP(AI9,"NXT_CALL_DT")," ")</f>
        <v xml:space="preserve"> </v>
      </c>
      <c r="O9" s="9">
        <v>400000</v>
      </c>
      <c r="P9" s="71">
        <v>99.167000000000002</v>
      </c>
      <c r="Q9" s="10" t="str">
        <f>_xll.BDP(AI9,"px_bid")</f>
        <v>#N/A Connection</v>
      </c>
      <c r="R9" s="11" t="e">
        <f>IF(F9="USD",AG9,(((_xll.BDP(F9&amp;"USD CURNCY","PX_LAST")))*AG9))</f>
        <v>#VALUE!</v>
      </c>
      <c r="S9" s="11" t="e">
        <f>IF(F9="USD",AH9,(((_xll.BDP(F9&amp;"USD CURNCY","PX_LAST")))*AH9))+AP9</f>
        <v>#VALUE!</v>
      </c>
      <c r="T9" s="12" t="e">
        <f t="shared" si="0"/>
        <v>#VALUE!</v>
      </c>
      <c r="U9" s="13" t="e">
        <f t="shared" si="1"/>
        <v>#VALUE!</v>
      </c>
      <c r="V9" s="13" t="str" cm="1">
        <f t="array" ref="V9">IFERROR(_xll.BDP($G9&amp;" ISIN","CHG_PCT_1D")/100,"")</f>
        <v/>
      </c>
      <c r="W9" s="13" t="str" cm="1">
        <f t="array" ref="W9">IFERROR(_xll.BDP($G9&amp;" ISIN","CHG_PCT_5D")/100,"")</f>
        <v/>
      </c>
      <c r="X9" s="13" t="e" cm="1">
        <f t="array" ref="X9">_xll.BDP($G9&amp;" ISIN","CHG_PCT_1M")/100</f>
        <v>#VALUE!</v>
      </c>
      <c r="Y9" s="13" t="e" cm="1">
        <f t="array" ref="Y9">_xll.BDP($G9&amp;" ISIN","CHG_PCT_3M")/100</f>
        <v>#VALUE!</v>
      </c>
      <c r="Z9" s="13" t="e" cm="1">
        <f t="array" ref="Z9">_xll.BDP($G9&amp;" ISIN","CHG_PCT_6M")/100</f>
        <v>#VALUE!</v>
      </c>
      <c r="AA9" s="13" t="e" cm="1">
        <f t="array" ref="AA9">_xll.BDP($G9&amp;" ISIN","CHG_PCT_YTD")/100</f>
        <v>#VALUE!</v>
      </c>
      <c r="AB9" s="13" t="e">
        <f t="shared" si="9"/>
        <v>#VALUE!</v>
      </c>
      <c r="AC9" s="14" t="e">
        <f t="shared" ca="1" si="2"/>
        <v>#VALUE!</v>
      </c>
      <c r="AD9" s="4" t="str">
        <f>_xll.BDP(AI9,"DS199")</f>
        <v>#N/A Connection</v>
      </c>
      <c r="AE9" s="10" t="str">
        <f>_xll.BDP(AI9,"px_ask")</f>
        <v>#N/A Connection</v>
      </c>
      <c r="AF9" s="14" t="e">
        <f>IF(F9="USD",O9,(((_xll.BDP(F9&amp;"USD CURNCY","PX_LAST")))*O9))</f>
        <v>#VALUE!</v>
      </c>
      <c r="AG9" s="11">
        <f t="shared" si="3"/>
        <v>396668</v>
      </c>
      <c r="AH9" s="11" t="e">
        <f t="shared" si="4"/>
        <v>#VALUE!</v>
      </c>
      <c r="AI9" s="4" t="str">
        <f t="shared" si="5"/>
        <v>XS2908172260 ISIN</v>
      </c>
      <c r="AJ9" s="4" t="e" cm="1">
        <f t="array" ref="AJ9">VLOOKUP(IF(NOT(_xll.BDP($G9&amp;" CORP",$CA$5)="#N/A N/A"),(_xll.BDP($G9&amp;" CORP",$CA$5)),"-"), '[1]Country Codes'!$A$2:$B$253,2,0)</f>
        <v>#N/A</v>
      </c>
      <c r="AK9" s="4" t="str" cm="1">
        <f t="array" ref="AK9">IF(OR(_xll.BDP($AI9,"EX028")= "#N/A N/A", _xll.BDP($AI9,"EX028")="#N/A FIELD NOT APPLICABLE"), " ", _xll.BDP($AI9,"EX028"))</f>
        <v>#N/A Connection</v>
      </c>
      <c r="AL9" s="15" t="str">
        <f>(IF(_xll.BDP($AI9&amp;" ISIN","DZ282")="Y","Single line Bonds Cocos","Single line Bonds ex Cocos"))</f>
        <v>Single line Bonds ex Cocos</v>
      </c>
      <c r="AM9" s="8" t="str">
        <f>(IF(_xll.BDP($G9&amp;" ISIN","SP153")="#n/a n/a"," ",_xll.BDP($G9&amp;" ISIN","SP153")))</f>
        <v>#N/A Connection</v>
      </c>
      <c r="AN9" s="16">
        <f t="shared" ca="1" si="6"/>
        <v>45783</v>
      </c>
      <c r="AO9" s="11" t="e">
        <f>(((_xll.BDP(AI9,"DS032"))/360)*I9)*O9</f>
        <v>#VALUE!</v>
      </c>
      <c r="AP9" s="11" t="e">
        <f>IF(F9="USD",AO9,(((_xll.BDP(F9&amp;"USD CURNCY","PX_LAST")))*AO9))</f>
        <v>#VALUE!</v>
      </c>
      <c r="AQ9" s="13" t="e">
        <f>S9/#REF!</f>
        <v>#VALUE!</v>
      </c>
      <c r="AR9" s="11" t="e">
        <f t="shared" si="7"/>
        <v>#VALUE!</v>
      </c>
      <c r="AS9" s="10" t="str">
        <f>IF((TEXT(_xll.BDP(AI9,"MATURITY"),"DD/MM/YYYY")="#N/A Field Not Applicable"),"Perp",_xll.BDP(AI9,"DS252"))</f>
        <v>#N/A Connection</v>
      </c>
      <c r="AT9" s="15" t="str">
        <f>(IF(_xll.BDP($AI9&amp;" ISIN","DT247")="Y","Yes","No"))</f>
        <v>No</v>
      </c>
      <c r="AU9" s="15" t="str">
        <f>PROPER(IF(OR(_xll.BDP($AI9,"CPN_TYP")="#n/a N/A",_xll.BDP($AI9,"CPN_TYP")= "#N/A FIELD NOT APPLICABLE"), " ", _xll.BDP($AI9,"CPN_TYP")))</f>
        <v>#N/A Connection</v>
      </c>
      <c r="BG9" s="17" t="str">
        <f t="shared" si="8"/>
        <v>XS2908172260</v>
      </c>
      <c r="BH9" s="17">
        <v>0.627</v>
      </c>
      <c r="BI9" s="18">
        <v>5</v>
      </c>
      <c r="BJ9" s="19">
        <v>45614</v>
      </c>
      <c r="BK9" s="20">
        <v>1</v>
      </c>
    </row>
    <row r="10" spans="1:64" s="21" customFormat="1" ht="14.45" customHeight="1" x14ac:dyDescent="0.25">
      <c r="A10" s="49" t="s">
        <v>242</v>
      </c>
      <c r="B10" s="49" t="s">
        <v>327</v>
      </c>
      <c r="C10" s="49">
        <v>4371511</v>
      </c>
      <c r="D10" s="49" t="s">
        <v>248</v>
      </c>
      <c r="E10" s="4" t="str">
        <f>_xll.BDP(AI10,"ds520")</f>
        <v>#N/A Connection</v>
      </c>
      <c r="F10" s="4" t="str">
        <f>_xll.BDP(AI10,"crncy")</f>
        <v>#N/A Connection</v>
      </c>
      <c r="G10" s="5" t="s">
        <v>150</v>
      </c>
      <c r="H10" s="4" t="str">
        <f>IF(_xll.BDP(AI10,"RTG_MOODY")="#N/A N/A","N/A",_xll.BDP(AI10,"RTG_MOODY"))&amp;","&amp;IF(_xll.BDP(AI10,"RTG_FITCH")="#N/A N/A","N/A",_xll.BDP(AI10,"RTG_FITCH"))&amp;","&amp;IF(_xll.BDP(AI10,"RTG_SP")="#N/A N/A","N/A",_xll.BDP(AI10,"RTG_SP"))</f>
        <v>#N/A Connection,#N/A Connection,#N/A Connection</v>
      </c>
      <c r="I10" s="7" t="e">
        <f>_xll.BDP(AI10,"cpn")/100</f>
        <v>#VALUE!</v>
      </c>
      <c r="J10" s="7" t="e">
        <f ca="1">_xll.BDP($G10&amp;" isin","YAS_BOND_YLD", "YAS_YLD_FLAG=15", "user_local_trade_date",AN10,"Yas_bond_px",$Q10)/100</f>
        <v>#VALUE!</v>
      </c>
      <c r="K10" s="4" t="str">
        <f>_xll.BDP(AI10,"PAYMENT_RANK")</f>
        <v>#N/A Connection</v>
      </c>
      <c r="L10" s="4" t="str">
        <f>IF((TEXT(_xll.BDP(AI10,"MATURITY"),"DD/MM/YYYY")="#N/A Field Not Applicable"),"Perp",TEXT(_xll.BDP(AI10,"MATURITY"),"DD/MM/YYYY"))</f>
        <v>#N/A Connection</v>
      </c>
      <c r="M10" s="8" t="str">
        <f>(IF(_xll.BDP($AI10&amp;" ISIN","DU003")="#n/a n/a"," ",_xll.BDP($AI10&amp;" ISIN","DU003")))</f>
        <v>#N/A Connection</v>
      </c>
      <c r="N10" s="4" t="str">
        <f>IF(_xll.BDP(AI10,"CALLABLE")="Y",_xll.BDP(AI10,"NXT_CALL_DT")," ")</f>
        <v xml:space="preserve"> </v>
      </c>
      <c r="O10" s="9">
        <v>1000000</v>
      </c>
      <c r="P10" s="71">
        <v>100.3</v>
      </c>
      <c r="Q10" s="10" t="str">
        <f>_xll.BDP(AI10,"px_bid")</f>
        <v>#N/A Connection</v>
      </c>
      <c r="R10" s="11" t="e">
        <f>IF(F10="USD",AG10,(((_xll.BDP(F10&amp;"USD CURNCY","PX_LAST")))*AG10))</f>
        <v>#VALUE!</v>
      </c>
      <c r="S10" s="11" t="e">
        <f>IF(F10="USD",AH10,(((_xll.BDP(F10&amp;"USD CURNCY","PX_LAST")))*AH10))+AP10</f>
        <v>#VALUE!</v>
      </c>
      <c r="T10" s="12" t="e">
        <f t="shared" si="0"/>
        <v>#VALUE!</v>
      </c>
      <c r="U10" s="13" t="e">
        <f t="shared" si="1"/>
        <v>#VALUE!</v>
      </c>
      <c r="V10" s="13" t="str" cm="1">
        <f t="array" ref="V10">IFERROR(_xll.BDP($G10&amp;" ISIN","CHG_PCT_1D")/100,"")</f>
        <v/>
      </c>
      <c r="W10" s="13" t="str" cm="1">
        <f t="array" ref="W10">IFERROR(_xll.BDP($G10&amp;" ISIN","CHG_PCT_5D")/100,"")</f>
        <v/>
      </c>
      <c r="X10" s="13" t="e" cm="1">
        <f t="array" ref="X10">_xll.BDP($G10&amp;" ISIN","CHG_PCT_1M")/100</f>
        <v>#VALUE!</v>
      </c>
      <c r="Y10" s="13" t="e" cm="1">
        <f t="array" ref="Y10">_xll.BDP($G10&amp;" ISIN","CHG_PCT_3M")/100</f>
        <v>#VALUE!</v>
      </c>
      <c r="Z10" s="13" t="e" cm="1">
        <f t="array" ref="Z10">_xll.BDP($G10&amp;" ISIN","CHG_PCT_6M")/100</f>
        <v>#VALUE!</v>
      </c>
      <c r="AA10" s="13" t="e" cm="1">
        <f t="array" ref="AA10">_xll.BDP($G10&amp;" ISIN","CHG_PCT_YTD")/100</f>
        <v>#VALUE!</v>
      </c>
      <c r="AB10" s="13" t="e">
        <f t="shared" si="9"/>
        <v>#VALUE!</v>
      </c>
      <c r="AC10" s="14" t="e">
        <f t="shared" ca="1" si="2"/>
        <v>#VALUE!</v>
      </c>
      <c r="AD10" s="4" t="str">
        <f>_xll.BDP(AI10,"DS199")</f>
        <v>#N/A Connection</v>
      </c>
      <c r="AE10" s="10" t="str">
        <f>_xll.BDP(AI10,"px_ask")</f>
        <v>#N/A Connection</v>
      </c>
      <c r="AF10" s="14" t="e">
        <f>IF(F10="USD",O10,(((_xll.BDP(F10&amp;"USD CURNCY","PX_LAST")))*O10))</f>
        <v>#VALUE!</v>
      </c>
      <c r="AG10" s="11">
        <f t="shared" si="3"/>
        <v>1003000</v>
      </c>
      <c r="AH10" s="11" t="e">
        <f t="shared" si="4"/>
        <v>#VALUE!</v>
      </c>
      <c r="AI10" s="4" t="str">
        <f t="shared" si="5"/>
        <v>XS2827680112 ISIN</v>
      </c>
      <c r="AJ10" s="4" t="e" cm="1">
        <f t="array" ref="AJ10">VLOOKUP(IF(NOT(_xll.BDP($G10&amp;" CORP",$CA$5)="#N/A N/A"),(_xll.BDP($G10&amp;" CORP",$CA$5)),"-"), '[1]Country Codes'!$A$2:$B$253,2,0)</f>
        <v>#N/A</v>
      </c>
      <c r="AK10" s="4" t="str" cm="1">
        <f t="array" ref="AK10">IF(OR(_xll.BDP($AI10,"EX028")= "#N/A N/A", _xll.BDP($AI10,"EX028")="#N/A FIELD NOT APPLICABLE"), " ", _xll.BDP($AI10,"EX028"))</f>
        <v>#N/A Connection</v>
      </c>
      <c r="AL10" s="15" t="str">
        <f>(IF(_xll.BDP($AI10&amp;" ISIN","DZ282")="Y","Single line Bonds Cocos","Single line Bonds ex Cocos"))</f>
        <v>Single line Bonds ex Cocos</v>
      </c>
      <c r="AM10" s="8" t="str">
        <f>(IF(_xll.BDP($G10&amp;" ISIN","SP153")="#n/a n/a"," ",_xll.BDP($G10&amp;" ISIN","SP153")))</f>
        <v>#N/A Connection</v>
      </c>
      <c r="AN10" s="16">
        <f t="shared" ca="1" si="6"/>
        <v>45783</v>
      </c>
      <c r="AO10" s="11" t="e">
        <f>(((_xll.BDP(AI10,"DS032"))/360)*I10)*O10</f>
        <v>#VALUE!</v>
      </c>
      <c r="AP10" s="11" t="e">
        <f>IF(F10="USD",AO10,(((_xll.BDP(F10&amp;"USD CURNCY","PX_LAST")))*AO10))</f>
        <v>#VALUE!</v>
      </c>
      <c r="AQ10" s="13" t="e">
        <f>S10/#REF!</f>
        <v>#VALUE!</v>
      </c>
      <c r="AR10" s="11" t="e">
        <f t="shared" si="7"/>
        <v>#VALUE!</v>
      </c>
      <c r="AS10" s="10" t="str">
        <f>IF((TEXT(_xll.BDP(AI10,"MATURITY"),"DD/MM/YYYY")="#N/A Field Not Applicable"),"Perp",_xll.BDP(AI10,"DS252"))</f>
        <v>#N/A Connection</v>
      </c>
      <c r="AT10" s="15" t="str">
        <f>(IF(_xll.BDP($AI10&amp;" ISIN","DT247")="Y","Yes","No"))</f>
        <v>No</v>
      </c>
      <c r="AU10" s="15" t="str">
        <f>PROPER(IF(OR(_xll.BDP($AI10,"CPN_TYP")="#n/a N/A",_xll.BDP($AI10,"CPN_TYP")= "#N/A FIELD NOT APPLICABLE"), " ", _xll.BDP($AI10,"CPN_TYP")))</f>
        <v>#N/A Connection</v>
      </c>
      <c r="BG10" s="17" t="str">
        <f t="shared" si="8"/>
        <v>XS2827680112</v>
      </c>
      <c r="BH10" s="17">
        <v>0.53</v>
      </c>
      <c r="BI10" s="18">
        <v>5</v>
      </c>
      <c r="BJ10" s="19">
        <v>45448</v>
      </c>
      <c r="BK10" s="20">
        <v>1</v>
      </c>
    </row>
    <row r="11" spans="1:64" s="21" customFormat="1" ht="14.45" customHeight="1" x14ac:dyDescent="0.25">
      <c r="A11" s="49" t="s">
        <v>242</v>
      </c>
      <c r="B11" s="49" t="s">
        <v>246</v>
      </c>
      <c r="C11" s="49" t="s">
        <v>247</v>
      </c>
      <c r="D11" s="49" t="s">
        <v>248</v>
      </c>
      <c r="E11" s="4" t="str">
        <f>_xll.BDP(AI11,"ds520")</f>
        <v>#N/A Connection</v>
      </c>
      <c r="F11" s="4" t="str">
        <f>_xll.BDP(AI11,"crncy")</f>
        <v>#N/A Connection</v>
      </c>
      <c r="G11" s="5" t="s">
        <v>129</v>
      </c>
      <c r="H11" s="4" t="str">
        <f>IF(_xll.BDP(AI11,"RTG_MOODY")="#N/A N/A","N/A",_xll.BDP(AI11,"RTG_MOODY"))&amp;","&amp;IF(_xll.BDP(AI11,"RTG_FITCH")="#N/A N/A","N/A",_xll.BDP(AI11,"RTG_FITCH"))&amp;","&amp;IF(_xll.BDP(AI11,"RTG_SP")="#N/A N/A","N/A",_xll.BDP(AI11,"RTG_SP"))</f>
        <v>#N/A Connection,#N/A Connection,#N/A Connection</v>
      </c>
      <c r="I11" s="7" t="e">
        <f>_xll.BDP(AI11,"cpn")/100</f>
        <v>#VALUE!</v>
      </c>
      <c r="J11" s="7" t="e">
        <f ca="1">_xll.BDP($G11&amp;" isin","YAS_BOND_YLD", "YAS_YLD_FLAG=15", "user_local_trade_date",AN11,"Yas_bond_px",$Q11)/100</f>
        <v>#VALUE!</v>
      </c>
      <c r="K11" s="4" t="str">
        <f>_xll.BDP(AI11,"PAYMENT_RANK")</f>
        <v>#N/A Connection</v>
      </c>
      <c r="L11" s="4" t="str">
        <f>IF((TEXT(_xll.BDP(AI11,"MATURITY"),"DD/MM/YYYY")="#N/A Field Not Applicable"),"Perp",TEXT(_xll.BDP(AI11,"MATURITY"),"DD/MM/YYYY"))</f>
        <v>#N/A Connection</v>
      </c>
      <c r="M11" s="8" t="str">
        <f>(IF(_xll.BDP($AI11&amp;" ISIN","DU003")="#n/a n/a"," ",_xll.BDP($AI11&amp;" ISIN","DU003")))</f>
        <v>#N/A Connection</v>
      </c>
      <c r="N11" s="4" t="str">
        <f>IF(_xll.BDP(AI11,"CALLABLE")="Y",_xll.BDP(AI11,"NXT_CALL_DT")," ")</f>
        <v xml:space="preserve"> </v>
      </c>
      <c r="O11" s="9">
        <v>600000</v>
      </c>
      <c r="P11" s="71">
        <v>100.3</v>
      </c>
      <c r="Q11" s="10" t="str">
        <f>_xll.BDP(AI11,"px_bid")</f>
        <v>#N/A Connection</v>
      </c>
      <c r="R11" s="11" t="e">
        <f>IF(F11="USD",AG11,(((_xll.BDP(F11&amp;"USD CURNCY","PX_LAST")))*AG11))</f>
        <v>#VALUE!</v>
      </c>
      <c r="S11" s="11" t="e">
        <f>IF(F11="USD",AH11,(((_xll.BDP(F11&amp;"USD CURNCY","PX_LAST")))*AH11))+AP11</f>
        <v>#VALUE!</v>
      </c>
      <c r="T11" s="12" t="e">
        <f t="shared" si="0"/>
        <v>#VALUE!</v>
      </c>
      <c r="U11" s="13" t="e">
        <f t="shared" si="1"/>
        <v>#VALUE!</v>
      </c>
      <c r="V11" s="13" t="str" cm="1">
        <f t="array" ref="V11">IFERROR(_xll.BDP($G11&amp;" ISIN","CHG_PCT_1D")/100,"")</f>
        <v/>
      </c>
      <c r="W11" s="13" t="str" cm="1">
        <f t="array" ref="W11">IFERROR(_xll.BDP($G11&amp;" ISIN","CHG_PCT_5D")/100,"")</f>
        <v/>
      </c>
      <c r="X11" s="13" t="e" cm="1">
        <f t="array" ref="X11">_xll.BDP($G11&amp;" ISIN","CHG_PCT_1M")/100</f>
        <v>#VALUE!</v>
      </c>
      <c r="Y11" s="13" t="e" cm="1">
        <f t="array" ref="Y11">_xll.BDP($G11&amp;" ISIN","CHG_PCT_3M")/100</f>
        <v>#VALUE!</v>
      </c>
      <c r="Z11" s="13" t="e" cm="1">
        <f t="array" ref="Z11">_xll.BDP($G11&amp;" ISIN","CHG_PCT_6M")/100</f>
        <v>#VALUE!</v>
      </c>
      <c r="AA11" s="13" t="e" cm="1">
        <f t="array" ref="AA11">_xll.BDP($G11&amp;" ISIN","CHG_PCT_YTD")/100</f>
        <v>#VALUE!</v>
      </c>
      <c r="AB11" s="13" t="e">
        <f t="shared" si="9"/>
        <v>#VALUE!</v>
      </c>
      <c r="AC11" s="14" t="e">
        <f t="shared" ca="1" si="2"/>
        <v>#VALUE!</v>
      </c>
      <c r="AD11" s="4" t="str">
        <f>_xll.BDP(AI11,"DS199")</f>
        <v>#N/A Connection</v>
      </c>
      <c r="AE11" s="10" t="str">
        <f>_xll.BDP(AI11,"px_ask")</f>
        <v>#N/A Connection</v>
      </c>
      <c r="AF11" s="14" t="e">
        <f>IF(F11="USD",O11,(((_xll.BDP(F11&amp;"USD CURNCY","PX_LAST")))*O11))</f>
        <v>#VALUE!</v>
      </c>
      <c r="AG11" s="11">
        <f t="shared" si="3"/>
        <v>601800</v>
      </c>
      <c r="AH11" s="11" t="e">
        <f t="shared" si="4"/>
        <v>#VALUE!</v>
      </c>
      <c r="AI11" s="4" t="str">
        <f t="shared" si="5"/>
        <v>XS2408002769 ISIN</v>
      </c>
      <c r="AJ11" s="4" t="e" cm="1">
        <f t="array" ref="AJ11">VLOOKUP(IF(NOT(_xll.BDP($G11&amp;" CORP",$CA$5)="#N/A N/A"),(_xll.BDP($G11&amp;" CORP",$CA$5)),"-"), '[1]Country Codes'!$A$2:$B$253,2,0)</f>
        <v>#N/A</v>
      </c>
      <c r="AK11" s="4" t="str" cm="1">
        <f t="array" ref="AK11">IF(OR(_xll.BDP($AI11,"EX028")= "#N/A N/A", _xll.BDP($AI11,"EX028")="#N/A FIELD NOT APPLICABLE"), " ", _xll.BDP($AI11,"EX028"))</f>
        <v>#N/A Connection</v>
      </c>
      <c r="AL11" s="15" t="str">
        <f>(IF(_xll.BDP($AI11&amp;" ISIN","DZ282")="Y","Single line Bonds Cocos","Single line Bonds ex Cocos"))</f>
        <v>Single line Bonds ex Cocos</v>
      </c>
      <c r="AM11" s="8" t="str">
        <f>(IF(_xll.BDP($G11&amp;" ISIN","SP153")="#n/a n/a"," ",_xll.BDP($G11&amp;" ISIN","SP153")))</f>
        <v>#N/A Connection</v>
      </c>
      <c r="AN11" s="16">
        <f t="shared" ca="1" si="6"/>
        <v>45783</v>
      </c>
      <c r="AO11" s="11" t="e">
        <f>(((_xll.BDP(AI11,"DS032"))/360)*I11)*O11</f>
        <v>#VALUE!</v>
      </c>
      <c r="AP11" s="11" t="e">
        <f>IF(F11="USD",AO11,(((_xll.BDP(F11&amp;"USD CURNCY","PX_LAST")))*AO11))</f>
        <v>#VALUE!</v>
      </c>
      <c r="AQ11" s="13" t="e">
        <f t="shared" ref="AQ11:AQ20" si="10">S11/$S$113</f>
        <v>#VALUE!</v>
      </c>
      <c r="AR11" s="11" t="e">
        <f t="shared" si="7"/>
        <v>#VALUE!</v>
      </c>
      <c r="AS11" s="10" t="str">
        <f>IF((TEXT(_xll.BDP(AI11,"MATURITY"),"DD/MM/YYYY")="#N/A Field Not Applicable"),"Perp",_xll.BDP(AI11,"DS252"))</f>
        <v>#N/A Connection</v>
      </c>
      <c r="AT11" s="15" t="str">
        <f>(IF(_xll.BDP($AI11&amp;" ISIN","DT247")="Y","Yes","No"))</f>
        <v>No</v>
      </c>
      <c r="AU11" s="15" t="str">
        <f>PROPER(IF(OR(_xll.BDP($AI11,"CPN_TYP")="#n/a N/A",_xll.BDP($AI11,"CPN_TYP")= "#N/A FIELD NOT APPLICABLE"), " ", _xll.BDP($AI11,"CPN_TYP")))</f>
        <v>#N/A Connection</v>
      </c>
      <c r="BG11" s="17" t="str">
        <f t="shared" si="8"/>
        <v>XS2408002769</v>
      </c>
      <c r="BH11" s="17">
        <v>0.64449999999999996</v>
      </c>
      <c r="BI11" s="18">
        <v>5</v>
      </c>
      <c r="BJ11" s="19">
        <v>44518</v>
      </c>
      <c r="BK11" s="20"/>
    </row>
    <row r="12" spans="1:64" s="21" customFormat="1" ht="14.45" customHeight="1" x14ac:dyDescent="0.25">
      <c r="A12" s="49" t="s">
        <v>242</v>
      </c>
      <c r="B12" s="49" t="s">
        <v>246</v>
      </c>
      <c r="C12" s="49" t="s">
        <v>247</v>
      </c>
      <c r="D12" s="49" t="s">
        <v>248</v>
      </c>
      <c r="E12" s="4" t="str">
        <f>_xll.BDP(AI12,"ds520")</f>
        <v>Mazoon Assets Co SAOC</v>
      </c>
      <c r="F12" s="4" t="str">
        <f>_xll.BDP(AI12,"crncy")</f>
        <v>USD</v>
      </c>
      <c r="G12" s="5" t="s">
        <v>132</v>
      </c>
      <c r="H12" s="4" t="str">
        <f>IF(_xll.BDP(AI12,"RTG_MOODY")="#N/A N/A","N/A",_xll.BDP(AI12,"RTG_MOODY"))&amp;","&amp;IF(_xll.BDP(AI12,"RTG_FITCH")="#N/A N/A","N/A",_xll.BDP(AI12,"RTG_FITCH"))&amp;","&amp;IF(_xll.BDP(AI12,"RTG_SP")="#N/A N/A","N/A",_xll.BDP(AI12,"RTG_SP"))</f>
        <v>Ba1,BB+,N/A</v>
      </c>
      <c r="I12" s="7">
        <f>_xll.BDP(AI12,"cpn")/100</f>
        <v>5.2499999999999998E-2</v>
      </c>
      <c r="J12" s="7">
        <f ca="1">_xll.BDP($G12&amp;" isin","YAS_BOND_YLD", "YAS_YLD_FLAG=15", "user_local_trade_date",AN12,"Yas_bond_px",$Q12)/100</f>
        <v>5.6405360000000002E-2</v>
      </c>
      <c r="K12" s="4" t="str">
        <f>_xll.BDP(AI12,"PAYMENT_RANK")</f>
        <v>Sr Unsecured</v>
      </c>
      <c r="L12" s="4" t="str">
        <f>IF((TEXT(_xll.BDP(AI12,"MATURITY"),"DD/MM/YYYY")="#N/A Field Not Applicable"),"Perp",TEXT(_xll.BDP(AI12,"MATURITY"),"DD/MM/YYYY"))</f>
        <v>09/10/2031</v>
      </c>
      <c r="M12" s="8">
        <f>(IF(_xll.BDP($AI12&amp;" ISIN","DU003")="#n/a n/a"," ",_xll.BDP($AI12&amp;" ISIN","DU003")))</f>
        <v>5.5211923036174984</v>
      </c>
      <c r="N12" s="4" t="str">
        <f>IF(_xll.BDP(AI12,"CALLABLE")="Y",_xll.BDP(AI12,"NXT_CALL_DT")," ")</f>
        <v xml:space="preserve"> </v>
      </c>
      <c r="O12" s="9">
        <v>300000</v>
      </c>
      <c r="P12" s="5">
        <v>99.808000000000007</v>
      </c>
      <c r="Q12" s="10">
        <f>_xll.BDP(AI12,"px_bid")</f>
        <v>97.915999999999997</v>
      </c>
      <c r="R12" s="11">
        <f>IF(F12="USD",AG12,(((_xll.BDP(F12&amp;"USD CURNCY","PX_LAST")))*AG12))</f>
        <v>299424.00000000006</v>
      </c>
      <c r="S12" s="11">
        <f>IF(F12="USD",AH12,(((_xll.BDP(F12&amp;"USD CURNCY","PX_LAST")))*AH12))+AP12</f>
        <v>294754.25</v>
      </c>
      <c r="T12" s="12">
        <f t="shared" si="0"/>
        <v>-5676.0000000000309</v>
      </c>
      <c r="U12" s="13">
        <f t="shared" si="1"/>
        <v>-1.895639628085935E-2</v>
      </c>
      <c r="V12" s="13" t="str" cm="1">
        <f t="array" ref="V12">IFERROR(_xll.BDP($G12&amp;" ISIN","CHG_PCT_1D")/100,"")</f>
        <v/>
      </c>
      <c r="W12" s="13" t="str" cm="1">
        <f t="array" ref="W12">IFERROR(_xll.BDP($G12&amp;" ISIN","CHG_PCT_5D")/100,"")</f>
        <v/>
      </c>
      <c r="X12" s="13" t="e" cm="1">
        <f t="array" ref="X12">_xll.BDP($G12&amp;" ISIN","CHG_PCT_1M")/100</f>
        <v>#VALUE!</v>
      </c>
      <c r="Y12" s="13" t="e" cm="1">
        <f t="array" ref="Y12">_xll.BDP($G12&amp;" ISIN","CHG_PCT_3M")/100</f>
        <v>#VALUE!</v>
      </c>
      <c r="Z12" s="13" t="e" cm="1">
        <f t="array" ref="Z12">_xll.BDP($G12&amp;" ISIN","CHG_PCT_6M")/100</f>
        <v>#VALUE!</v>
      </c>
      <c r="AA12" s="13" t="e" cm="1">
        <f t="array" ref="AA12">_xll.BDP($G12&amp;" ISIN","CHG_PCT_YTD")/100</f>
        <v>#VALUE!</v>
      </c>
      <c r="AB12" s="13" t="e">
        <f t="shared" si="9"/>
        <v>#VALUE!</v>
      </c>
      <c r="AC12" s="14">
        <f t="shared" ca="1" si="2"/>
        <v>3423.99999999997</v>
      </c>
      <c r="AD12" s="4" t="str">
        <f>_xll.BDP(AI12,"DS199")</f>
        <v>Utilities</v>
      </c>
      <c r="AE12" s="10">
        <f>_xll.BDP(AI12,"px_ask")</f>
        <v>100.208</v>
      </c>
      <c r="AF12" s="14">
        <f>IF(F12="USD",O12,(((_xll.BDP(F12&amp;"USD CURNCY","PX_LAST")))*O12))</f>
        <v>300000</v>
      </c>
      <c r="AG12" s="11">
        <f t="shared" si="3"/>
        <v>299424.00000000006</v>
      </c>
      <c r="AH12" s="11">
        <f t="shared" si="4"/>
        <v>293748</v>
      </c>
      <c r="AI12" s="4" t="str">
        <f t="shared" si="5"/>
        <v>XS2907977131 ISIN</v>
      </c>
      <c r="AJ12" s="4" t="e" cm="1">
        <f t="array" ref="AJ12">VLOOKUP(IF(NOT(_xll.BDP($G12&amp;" CORP",$CA$5)="#N/A N/A"),(_xll.BDP($G12&amp;" CORP",$CA$5)),"-"), '[1]Country Codes'!$A$2:$B$253,2,0)</f>
        <v>#N/A</v>
      </c>
      <c r="AK12" s="4" t="str" cm="1">
        <f t="array" ref="AK12">IF(OR(_xll.BDP($AI12,"EX028")= "#N/A N/A", _xll.BDP($AI12,"EX028")="#N/A FIELD NOT APPLICABLE"), " ", _xll.BDP($AI12,"EX028"))</f>
        <v>FixedIncome</v>
      </c>
      <c r="AL12" s="15" t="str">
        <f>(IF(_xll.BDP($AI12&amp;" ISIN","DZ282")="Y","Single line Bonds Cocos","Single line Bonds ex Cocos"))</f>
        <v>Single line Bonds ex Cocos</v>
      </c>
      <c r="AM12" s="8">
        <f>(IF(_xll.BDP($G12&amp;" ISIN","SP153")="#n/a n/a"," ",_xll.BDP($G12&amp;" ISIN","SP153")))</f>
        <v>193.3542510066882</v>
      </c>
      <c r="AN12" s="16">
        <f t="shared" ca="1" si="6"/>
        <v>45783</v>
      </c>
      <c r="AO12" s="11">
        <f>(((_xll.BDP(AI12,"DS032"))/360)*I12)*O12</f>
        <v>1006.2499999999999</v>
      </c>
      <c r="AP12" s="11">
        <f>IF(F12="USD",AO12,(((_xll.BDP(F12&amp;"USD CURNCY","PX_LAST")))*AO12))</f>
        <v>1006.2499999999999</v>
      </c>
      <c r="AQ12" s="13">
        <f t="shared" si="10"/>
        <v>0.5632073428737332</v>
      </c>
      <c r="AR12" s="11">
        <f t="shared" si="7"/>
        <v>293748</v>
      </c>
      <c r="AS12" s="10">
        <f>IF((TEXT(_xll.BDP(AI12,"MATURITY"),"DD/MM/YYYY")="#N/A Field Not Applicable"),"Perp",_xll.BDP(AI12,"DS252"))</f>
        <v>6.4421629021218347</v>
      </c>
      <c r="AT12" s="15" t="str">
        <f>(IF(_xll.BDP($AI12&amp;" ISIN","DT247")="Y","Yes","No"))</f>
        <v>No</v>
      </c>
      <c r="AU12" s="15" t="str">
        <f>PROPER(IF(OR(_xll.BDP($AI12,"CPN_TYP")="#n/a N/A",_xll.BDP($AI12,"CPN_TYP")= "#N/A FIELD NOT APPLICABLE"), " ", _xll.BDP($AI12,"CPN_TYP")))</f>
        <v>Fixed</v>
      </c>
      <c r="BG12" s="17" t="str">
        <f t="shared" si="8"/>
        <v>XS2907977131</v>
      </c>
      <c r="BH12" s="17">
        <v>0.74</v>
      </c>
      <c r="BI12" s="18">
        <v>5</v>
      </c>
      <c r="BJ12" s="19">
        <v>45575</v>
      </c>
      <c r="BK12" s="20"/>
    </row>
    <row r="13" spans="1:64" s="21" customFormat="1" ht="14.45" customHeight="1" x14ac:dyDescent="0.25">
      <c r="A13" s="49" t="s">
        <v>242</v>
      </c>
      <c r="B13" s="49" t="s">
        <v>246</v>
      </c>
      <c r="C13" s="49" t="s">
        <v>247</v>
      </c>
      <c r="D13" s="49" t="s">
        <v>248</v>
      </c>
      <c r="E13" s="4" t="str">
        <f>_xll.BDP(AI13,"ds520")</f>
        <v>Sharjah Sukuk Program Ltd</v>
      </c>
      <c r="F13" s="4" t="str">
        <f>_xll.BDP(AI13,"crncy")</f>
        <v>USD</v>
      </c>
      <c r="G13" s="5" t="s">
        <v>135</v>
      </c>
      <c r="H13" s="4" t="str">
        <f>IF(_xll.BDP(AI13,"RTG_MOODY")="#N/A N/A","N/A",_xll.BDP(AI13,"RTG_MOODY"))&amp;","&amp;IF(_xll.BDP(AI13,"RTG_FITCH")="#N/A N/A","N/A",_xll.BDP(AI13,"RTG_FITCH"))&amp;","&amp;IF(_xll.BDP(AI13,"RTG_SP")="#N/A N/A","N/A",_xll.BDP(AI13,"RTG_SP"))</f>
        <v>Ba1,N/A,BBB-</v>
      </c>
      <c r="I13" s="7">
        <f>_xll.BDP(AI13,"cpn")/100</f>
        <v>5.4329999999999996E-2</v>
      </c>
      <c r="J13" s="7">
        <f ca="1">_xll.BDP($G13&amp;" isin","YAS_BOND_YLD", "YAS_YLD_FLAG=15", "user_local_trade_date",AN13,"Yas_bond_px",$Q13)/100</f>
        <v>5.622212E-2</v>
      </c>
      <c r="K13" s="4" t="str">
        <f>_xll.BDP(AI13,"PAYMENT_RANK")</f>
        <v>Sr Unsecured</v>
      </c>
      <c r="L13" s="4" t="str">
        <f>IF((TEXT(_xll.BDP(AI13,"MATURITY"),"DD/MM/YYYY")="#N/A Field Not Applicable"),"Perp",TEXT(_xll.BDP(AI13,"MATURITY"),"DD/MM/YYYY"))</f>
        <v>17/04/2035</v>
      </c>
      <c r="M13" s="8">
        <f>(IF(_xll.BDP($AI13&amp;" ISIN","DU003")="#n/a n/a"," ",_xll.BDP($AI13&amp;" ISIN","DU003")))</f>
        <v>7.7895149514612152</v>
      </c>
      <c r="N13" s="4" t="str">
        <f>IF(_xll.BDP(AI13,"CALLABLE")="Y",_xll.BDP(AI13,"NXT_CALL_DT")," ")</f>
        <v xml:space="preserve"> </v>
      </c>
      <c r="O13" s="9">
        <v>250000</v>
      </c>
      <c r="P13" s="5">
        <v>100.07899999999999</v>
      </c>
      <c r="Q13" s="10">
        <f>_xll.BDP(AI13,"px_bid")</f>
        <v>98.57</v>
      </c>
      <c r="R13" s="11">
        <f>IF(F13="USD",AG13,(((_xll.BDP(F13&amp;"USD CURNCY","PX_LAST")))*AG13))</f>
        <v>250197.5</v>
      </c>
      <c r="S13" s="11">
        <f>IF(F13="USD",AH13,(((_xll.BDP(F13&amp;"USD CURNCY","PX_LAST")))*AH13))+AP13</f>
        <v>246990.9375</v>
      </c>
      <c r="T13" s="12">
        <f t="shared" si="0"/>
        <v>-3772.5000000000014</v>
      </c>
      <c r="U13" s="13">
        <f t="shared" si="1"/>
        <v>-1.5078088310234919E-2</v>
      </c>
      <c r="V13" s="13" t="str" cm="1">
        <f t="array" ref="V13">IFERROR(_xll.BDP($G13&amp;" ISIN","CHG_PCT_1D")/100,"")</f>
        <v/>
      </c>
      <c r="W13" s="13" t="str" cm="1">
        <f t="array" ref="W13">IFERROR(_xll.BDP($G13&amp;" ISIN","CHG_PCT_5D")/100,"")</f>
        <v/>
      </c>
      <c r="X13" s="13" t="e" cm="1">
        <f t="array" ref="X13">_xll.BDP($G13&amp;" ISIN","CHG_PCT_1M")/100</f>
        <v>#VALUE!</v>
      </c>
      <c r="Y13" s="13" t="e" cm="1">
        <f t="array" ref="Y13">_xll.BDP($G13&amp;" ISIN","CHG_PCT_3M")/100</f>
        <v>#VALUE!</v>
      </c>
      <c r="Z13" s="13" t="e" cm="1">
        <f t="array" ref="Z13">_xll.BDP($G13&amp;" ISIN","CHG_PCT_6M")/100</f>
        <v>#VALUE!</v>
      </c>
      <c r="AA13" s="13" t="e" cm="1">
        <f t="array" ref="AA13">_xll.BDP($G13&amp;" ISIN","CHG_PCT_YTD")/100</f>
        <v>#VALUE!</v>
      </c>
      <c r="AB13" s="13" t="e">
        <f t="shared" si="9"/>
        <v>#VALUE!</v>
      </c>
      <c r="AC13" s="14">
        <f t="shared" ca="1" si="2"/>
        <v>4075.1666666666647</v>
      </c>
      <c r="AD13" s="4" t="str">
        <f>_xll.BDP(AI13,"DS199")</f>
        <v>Government</v>
      </c>
      <c r="AE13" s="10">
        <f>_xll.BDP(AI13,"px_ask")</f>
        <v>99.272000000000006</v>
      </c>
      <c r="AF13" s="14">
        <f>IF(F13="USD",O13,(((_xll.BDP(F13&amp;"USD CURNCY","PX_LAST")))*O13))</f>
        <v>250000</v>
      </c>
      <c r="AG13" s="11">
        <f t="shared" si="3"/>
        <v>250197.5</v>
      </c>
      <c r="AH13" s="11">
        <f t="shared" si="4"/>
        <v>246425</v>
      </c>
      <c r="AI13" s="4" t="str">
        <f t="shared" si="5"/>
        <v>XS2914525154 ISIN</v>
      </c>
      <c r="AJ13" s="4" t="e" cm="1">
        <f t="array" ref="AJ13">VLOOKUP(IF(NOT(_xll.BDP($G13&amp;" CORP",$CA$5)="#N/A N/A"),(_xll.BDP($G13&amp;" CORP",$CA$5)),"-"), '[1]Country Codes'!$A$2:$B$253,2,0)</f>
        <v>#N/A</v>
      </c>
      <c r="AK13" s="4" t="str" cm="1">
        <f t="array" ref="AK13">IF(OR(_xll.BDP($AI13,"EX028")= "#N/A N/A", _xll.BDP($AI13,"EX028")="#N/A FIELD NOT APPLICABLE"), " ", _xll.BDP($AI13,"EX028"))</f>
        <v>FixedIncome</v>
      </c>
      <c r="AL13" s="15" t="str">
        <f>(IF(_xll.BDP($AI13&amp;" ISIN","DZ282")="Y","Single line Bonds Cocos","Single line Bonds ex Cocos"))</f>
        <v>Single line Bonds ex Cocos</v>
      </c>
      <c r="AM13" s="8">
        <f>(IF(_xll.BDP($G13&amp;" ISIN","SP153")="#n/a n/a"," ",_xll.BDP($G13&amp;" ISIN","SP153")))</f>
        <v>193.46811283506767</v>
      </c>
      <c r="AN13" s="16">
        <f t="shared" ca="1" si="6"/>
        <v>45783</v>
      </c>
      <c r="AO13" s="11">
        <f>(((_xll.BDP(AI13,"DS032"))/360)*I13)*O13</f>
        <v>565.93749999999989</v>
      </c>
      <c r="AP13" s="11">
        <f>IF(F13="USD",AO13,(((_xll.BDP(F13&amp;"USD CURNCY","PX_LAST")))*AO13))</f>
        <v>565.93749999999989</v>
      </c>
      <c r="AQ13" s="13">
        <f t="shared" si="10"/>
        <v>0.4719426763931896</v>
      </c>
      <c r="AR13" s="11">
        <f t="shared" si="7"/>
        <v>246425</v>
      </c>
      <c r="AS13" s="10">
        <f>IF((TEXT(_xll.BDP(AI13,"MATURITY"),"DD/MM/YYYY")="#N/A Field Not Applicable"),"Perp",_xll.BDP(AI13,"DS252"))</f>
        <v>9.9630390143737166</v>
      </c>
      <c r="AT13" s="15" t="str">
        <f>(IF(_xll.BDP($AI13&amp;" ISIN","DT247")="Y","Yes","No"))</f>
        <v>No</v>
      </c>
      <c r="AU13" s="15" t="str">
        <f>PROPER(IF(OR(_xll.BDP($AI13,"CPN_TYP")="#n/a N/A",_xll.BDP($AI13,"CPN_TYP")= "#N/A FIELD NOT APPLICABLE"), " ", _xll.BDP($AI13,"CPN_TYP")))</f>
        <v>Fixed</v>
      </c>
      <c r="BG13" s="17" t="str">
        <f t="shared" si="8"/>
        <v>XS2914525154</v>
      </c>
      <c r="BH13" s="17">
        <v>0.80979999999999996</v>
      </c>
      <c r="BI13" s="18">
        <v>4</v>
      </c>
      <c r="BJ13" s="19">
        <v>45575</v>
      </c>
      <c r="BK13" s="20"/>
    </row>
    <row r="14" spans="1:64" s="21" customFormat="1" ht="14.45" customHeight="1" x14ac:dyDescent="0.25">
      <c r="A14" s="49" t="s">
        <v>242</v>
      </c>
      <c r="B14" s="49" t="s">
        <v>246</v>
      </c>
      <c r="C14" s="49" t="s">
        <v>247</v>
      </c>
      <c r="D14" s="49" t="s">
        <v>248</v>
      </c>
      <c r="E14" s="4" t="str">
        <f>_xll.BDP(AI14,"ds520")</f>
        <v>#N/A Connection</v>
      </c>
      <c r="F14" s="4" t="str">
        <f>_xll.BDP(AI14,"crncy")</f>
        <v>#N/A Connection</v>
      </c>
      <c r="G14" s="5" t="s">
        <v>117</v>
      </c>
      <c r="H14" s="4" t="str">
        <f>IF(_xll.BDP(AI14,"RTG_MOODY")="#N/A N/A","N/A",_xll.BDP(AI14,"RTG_MOODY"))&amp;","&amp;IF(_xll.BDP(AI14,"RTG_FITCH")="#N/A N/A","N/A",_xll.BDP(AI14,"RTG_FITCH"))&amp;","&amp;IF(_xll.BDP(AI14,"RTG_SP")="#N/A N/A","N/A",_xll.BDP(AI14,"RTG_SP"))</f>
        <v>#N/A Connection,#N/A Connection,#N/A Connection</v>
      </c>
      <c r="I14" s="7" t="e">
        <f>_xll.BDP(AI14,"cpn")/100</f>
        <v>#VALUE!</v>
      </c>
      <c r="J14" s="7" t="e">
        <f ca="1">_xll.BDP($G14&amp;" isin","YAS_BOND_YLD", "YAS_YLD_FLAG=15", "user_local_trade_date",AN14,"Yas_bond_px",$Q14)/100</f>
        <v>#VALUE!</v>
      </c>
      <c r="K14" s="4" t="str">
        <f>_xll.BDP(AI14,"PAYMENT_RANK")</f>
        <v>#N/A Connection</v>
      </c>
      <c r="L14" s="4" t="str">
        <f>IF((TEXT(_xll.BDP(AI14,"MATURITY"),"DD/MM/YYYY")="#N/A Field Not Applicable"),"Perp",TEXT(_xll.BDP(AI14,"MATURITY"),"DD/MM/YYYY"))</f>
        <v>#N/A Connection</v>
      </c>
      <c r="M14" s="8" t="str">
        <f>(IF(_xll.BDP($AI14&amp;" ISIN","DU003")="#n/a n/a"," ",_xll.BDP($AI14&amp;" ISIN","DU003")))</f>
        <v>#N/A Connection</v>
      </c>
      <c r="N14" s="4" t="str">
        <f>IF(_xll.BDP(AI14,"CALLABLE")="Y",_xll.BDP(AI14,"NXT_CALL_DT")," ")</f>
        <v xml:space="preserve"> </v>
      </c>
      <c r="O14" s="9">
        <v>400000</v>
      </c>
      <c r="P14" s="5">
        <v>101.3</v>
      </c>
      <c r="Q14" s="10" t="str">
        <f>_xll.BDP(AI14,"px_bid")</f>
        <v>#N/A Connection</v>
      </c>
      <c r="R14" s="11" t="e">
        <f>IF(F14="USD",AG14,(((_xll.BDP(F14&amp;"USD CURNCY","PX_LAST")))*AG14))</f>
        <v>#VALUE!</v>
      </c>
      <c r="S14" s="11" t="e">
        <f>IF(F14="USD",AH14,(((_xll.BDP(F14&amp;"USD CURNCY","PX_LAST")))*AH14))+AP14</f>
        <v>#VALUE!</v>
      </c>
      <c r="T14" s="12" t="e">
        <f t="shared" si="0"/>
        <v>#VALUE!</v>
      </c>
      <c r="U14" s="13" t="e">
        <f t="shared" si="1"/>
        <v>#VALUE!</v>
      </c>
      <c r="V14" s="13" t="str" cm="1">
        <f t="array" ref="V14">IFERROR(_xll.BDP($G14&amp;" ISIN","CHG_PCT_1D")/100,"")</f>
        <v/>
      </c>
      <c r="W14" s="13" t="str" cm="1">
        <f t="array" ref="W14">IFERROR(_xll.BDP($G14&amp;" ISIN","CHG_PCT_5D")/100,"")</f>
        <v/>
      </c>
      <c r="X14" s="13" t="e" cm="1">
        <f t="array" ref="X14">_xll.BDP($G14&amp;" ISIN","CHG_PCT_1M")/100</f>
        <v>#VALUE!</v>
      </c>
      <c r="Y14" s="13" t="e" cm="1">
        <f t="array" ref="Y14">_xll.BDP($G14&amp;" ISIN","CHG_PCT_3M")/100</f>
        <v>#VALUE!</v>
      </c>
      <c r="Z14" s="13" t="e" cm="1">
        <f t="array" ref="Z14">_xll.BDP($G14&amp;" ISIN","CHG_PCT_6M")/100</f>
        <v>#VALUE!</v>
      </c>
      <c r="AA14" s="13" t="e" cm="1">
        <f t="array" ref="AA14">_xll.BDP($G14&amp;" ISIN","CHG_PCT_YTD")/100</f>
        <v>#VALUE!</v>
      </c>
      <c r="AB14" s="13" t="e">
        <f t="shared" si="9"/>
        <v>#VALUE!</v>
      </c>
      <c r="AC14" s="14" t="e">
        <f t="shared" ca="1" si="2"/>
        <v>#VALUE!</v>
      </c>
      <c r="AD14" s="4" t="str">
        <f>_xll.BDP(AI14,"DS199")</f>
        <v>#N/A Connection</v>
      </c>
      <c r="AE14" s="10" t="str">
        <f>_xll.BDP(AI14,"px_ask")</f>
        <v>#N/A Connection</v>
      </c>
      <c r="AF14" s="14" t="e">
        <f>IF(F14="USD",O14,(((_xll.BDP(F14&amp;"USD CURNCY","PX_LAST")))*O14))</f>
        <v>#VALUE!</v>
      </c>
      <c r="AG14" s="11">
        <f t="shared" si="3"/>
        <v>405200</v>
      </c>
      <c r="AH14" s="11" t="e">
        <f t="shared" si="4"/>
        <v>#VALUE!</v>
      </c>
      <c r="AI14" s="4" t="str">
        <f t="shared" si="5"/>
        <v>XS2384355520 ISIN</v>
      </c>
      <c r="AJ14" s="4" t="e" cm="1">
        <f t="array" ref="AJ14">VLOOKUP(IF(NOT(_xll.BDP($G14&amp;" CORP",$CA$5)="#N/A N/A"),(_xll.BDP($G14&amp;" CORP",$CA$5)),"-"), '[1]Country Codes'!$A$2:$B$253,2,0)</f>
        <v>#N/A</v>
      </c>
      <c r="AK14" s="4" t="str" cm="1">
        <f t="array" ref="AK14">IF(OR(_xll.BDP($AI14,"EX028")= "#N/A N/A", _xll.BDP($AI14,"EX028")="#N/A FIELD NOT APPLICABLE"), " ", _xll.BDP($AI14,"EX028"))</f>
        <v>#N/A Connection</v>
      </c>
      <c r="AL14" s="15" t="str">
        <f>(IF(_xll.BDP($AI14&amp;" ISIN","DZ282")="Y","Single line Bonds Cocos","Single line Bonds ex Cocos"))</f>
        <v>Single line Bonds ex Cocos</v>
      </c>
      <c r="AM14" s="8" t="str">
        <f>(IF(_xll.BDP($G14&amp;" ISIN","SP153")="#n/a n/a"," ",_xll.BDP($G14&amp;" ISIN","SP153")))</f>
        <v>#N/A Connection</v>
      </c>
      <c r="AN14" s="16">
        <f t="shared" ca="1" si="6"/>
        <v>45783</v>
      </c>
      <c r="AO14" s="11" t="e">
        <f>(((_xll.BDP(AI14,"DS032"))/360)*I14)*O14</f>
        <v>#VALUE!</v>
      </c>
      <c r="AP14" s="11" t="e">
        <f>IF(F14="USD",AO14,(((_xll.BDP(F14&amp;"USD CURNCY","PX_LAST")))*AO14))</f>
        <v>#VALUE!</v>
      </c>
      <c r="AQ14" s="13" t="e">
        <f t="shared" si="10"/>
        <v>#VALUE!</v>
      </c>
      <c r="AR14" s="11" t="e">
        <f t="shared" si="7"/>
        <v>#VALUE!</v>
      </c>
      <c r="AS14" s="10" t="str">
        <f>IF((TEXT(_xll.BDP(AI14,"MATURITY"),"DD/MM/YYYY")="#N/A Field Not Applicable"),"Perp",_xll.BDP(AI14,"DS252"))</f>
        <v>#N/A Connection</v>
      </c>
      <c r="AT14" s="15" t="str">
        <f>(IF(_xll.BDP($AI14&amp;" ISIN","DT247")="Y","Yes","No"))</f>
        <v>No</v>
      </c>
      <c r="AU14" s="15" t="str">
        <f>PROPER(IF(OR(_xll.BDP($AI14,"CPN_TYP")="#n/a N/A",_xll.BDP($AI14,"CPN_TYP")= "#N/A FIELD NOT APPLICABLE"), " ", _xll.BDP($AI14,"CPN_TYP")))</f>
        <v>#N/A Connection</v>
      </c>
      <c r="BG14" s="17" t="str">
        <f t="shared" si="8"/>
        <v>XS2384355520</v>
      </c>
      <c r="BH14" s="17">
        <v>0.73540000000000005</v>
      </c>
      <c r="BI14" s="18">
        <v>5</v>
      </c>
      <c r="BJ14" s="19">
        <v>44455</v>
      </c>
      <c r="BK14" s="20"/>
    </row>
    <row r="15" spans="1:64" s="21" customFormat="1" ht="14.45" customHeight="1" x14ac:dyDescent="0.25">
      <c r="A15" s="49" t="s">
        <v>242</v>
      </c>
      <c r="B15" s="49" t="s">
        <v>246</v>
      </c>
      <c r="C15" s="49" t="s">
        <v>247</v>
      </c>
      <c r="D15" s="49" t="s">
        <v>248</v>
      </c>
      <c r="E15" s="4" t="str">
        <f>_xll.BDP(AI15,"ds520")</f>
        <v>#N/A Connection</v>
      </c>
      <c r="F15" s="4" t="str">
        <f>_xll.BDP(AI15,"crncy")</f>
        <v>#N/A Connection</v>
      </c>
      <c r="G15" s="5" t="s">
        <v>316</v>
      </c>
      <c r="H15" s="4" t="str">
        <f>IF(_xll.BDP(AI15,"RTG_MOODY")="#N/A N/A","N/A",_xll.BDP(AI15,"RTG_MOODY"))&amp;","&amp;IF(_xll.BDP(AI15,"RTG_FITCH")="#N/A N/A","N/A",_xll.BDP(AI15,"RTG_FITCH"))&amp;","&amp;IF(_xll.BDP(AI15,"RTG_SP")="#N/A N/A","N/A",_xll.BDP(AI15,"RTG_SP"))</f>
        <v>#N/A Connection,#N/A Connection,#N/A Connection</v>
      </c>
      <c r="I15" s="7" t="e">
        <f>_xll.BDP(AI15,"cpn")/100</f>
        <v>#VALUE!</v>
      </c>
      <c r="J15" s="7" t="e">
        <f ca="1">_xll.BDP($G15&amp;" isin","YAS_BOND_YLD", "YAS_YLD_FLAG=15", "user_local_trade_date",AN15,"Yas_bond_px",$Q15)/100</f>
        <v>#VALUE!</v>
      </c>
      <c r="K15" s="4" t="str">
        <f>_xll.BDP(AI15,"PAYMENT_RANK")</f>
        <v>#N/A Connection</v>
      </c>
      <c r="L15" s="4" t="str">
        <f>IF((TEXT(_xll.BDP(AI15,"MATURITY"),"DD/MM/YYYY")="#N/A Field Not Applicable"),"Perp",TEXT(_xll.BDP(AI15,"MATURITY"),"DD/MM/YYYY"))</f>
        <v>#N/A Connection</v>
      </c>
      <c r="M15" s="8" t="str">
        <f>(IF(_xll.BDP($AI15&amp;" ISIN","DU003")="#n/a n/a"," ",_xll.BDP($AI15&amp;" ISIN","DU003")))</f>
        <v>#N/A Connection</v>
      </c>
      <c r="N15" s="4" t="str">
        <f>IF(_xll.BDP(AI15,"CALLABLE")="Y",_xll.BDP(AI15,"NXT_CALL_DT")," ")</f>
        <v xml:space="preserve"> </v>
      </c>
      <c r="O15" s="9">
        <v>200000</v>
      </c>
      <c r="P15" s="5">
        <v>100.092</v>
      </c>
      <c r="Q15" s="10" t="str">
        <f>_xll.BDP(AI15,"px_bid")</f>
        <v>#N/A Connection</v>
      </c>
      <c r="R15" s="11" t="e">
        <f>IF(F15="USD",AG15,(((_xll.BDP(F15&amp;"USD CURNCY","PX_LAST")))*AG15))</f>
        <v>#VALUE!</v>
      </c>
      <c r="S15" s="11" t="e">
        <f>IF(F15="USD",AH15,(((_xll.BDP(F15&amp;"USD CURNCY","PX_LAST")))*AH15))+AP15</f>
        <v>#VALUE!</v>
      </c>
      <c r="T15" s="12" t="e">
        <f t="shared" si="0"/>
        <v>#VALUE!</v>
      </c>
      <c r="U15" s="13" t="e">
        <f t="shared" si="1"/>
        <v>#VALUE!</v>
      </c>
      <c r="V15" s="13" t="str" cm="1">
        <f t="array" ref="V15">IFERROR(_xll.BDP($G15&amp;" ISIN","CHG_PCT_1D")/100,"")</f>
        <v/>
      </c>
      <c r="W15" s="13" t="str" cm="1">
        <f t="array" ref="W15">IFERROR(_xll.BDP($G15&amp;" ISIN","CHG_PCT_5D")/100,"")</f>
        <v/>
      </c>
      <c r="X15" s="13" t="e" cm="1">
        <f t="array" ref="X15">_xll.BDP($G15&amp;" ISIN","CHG_PCT_1M")/100</f>
        <v>#VALUE!</v>
      </c>
      <c r="Y15" s="13" t="e" cm="1">
        <f t="array" ref="Y15">_xll.BDP($G15&amp;" ISIN","CHG_PCT_3M")/100</f>
        <v>#VALUE!</v>
      </c>
      <c r="Z15" s="13" t="e" cm="1">
        <f t="array" ref="Z15">_xll.BDP($G15&amp;" ISIN","CHG_PCT_6M")/100</f>
        <v>#VALUE!</v>
      </c>
      <c r="AA15" s="13" t="e" cm="1">
        <f t="array" ref="AA15">_xll.BDP($G15&amp;" ISIN","CHG_PCT_YTD")/100</f>
        <v>#VALUE!</v>
      </c>
      <c r="AB15" s="13" t="e">
        <f t="shared" si="9"/>
        <v>#VALUE!</v>
      </c>
      <c r="AC15" s="14" t="e">
        <f t="shared" ca="1" si="2"/>
        <v>#VALUE!</v>
      </c>
      <c r="AD15" s="4" t="str">
        <f>_xll.BDP(AI15,"DS199")</f>
        <v>#N/A Connection</v>
      </c>
      <c r="AE15" s="10" t="str">
        <f>_xll.BDP(AI15,"px_ask")</f>
        <v>#N/A Connection</v>
      </c>
      <c r="AF15" s="14" t="e">
        <f>IF(F15="USD",O15,(((_xll.BDP(F15&amp;"USD CURNCY","PX_LAST")))*O15))</f>
        <v>#VALUE!</v>
      </c>
      <c r="AG15" s="11">
        <f t="shared" si="3"/>
        <v>200184</v>
      </c>
      <c r="AH15" s="11" t="e">
        <f t="shared" si="4"/>
        <v>#VALUE!</v>
      </c>
      <c r="AI15" s="4" t="str">
        <f t="shared" si="5"/>
        <v>XS2976035316 ISIN</v>
      </c>
      <c r="AJ15" s="4" t="e" cm="1">
        <f t="array" ref="AJ15">VLOOKUP(IF(NOT(_xll.BDP($G15&amp;" CORP",$CA$5)="#N/A N/A"),(_xll.BDP($G15&amp;" CORP",$CA$5)),"-"), '[1]Country Codes'!$A$2:$B$253,2,0)</f>
        <v>#N/A</v>
      </c>
      <c r="AK15" s="4" t="str" cm="1">
        <f t="array" ref="AK15">IF(OR(_xll.BDP($AI15,"EX028")= "#N/A N/A", _xll.BDP($AI15,"EX028")="#N/A FIELD NOT APPLICABLE"), " ", _xll.BDP($AI15,"EX028"))</f>
        <v>#N/A Connection</v>
      </c>
      <c r="AL15" s="15" t="str">
        <f>(IF(_xll.BDP($AI15&amp;" ISIN","DZ282")="Y","Single line Bonds Cocos","Single line Bonds ex Cocos"))</f>
        <v>Single line Bonds ex Cocos</v>
      </c>
      <c r="AM15" s="8" t="str">
        <f>(IF(_xll.BDP($G15&amp;" ISIN","SP153")="#n/a n/a"," ",_xll.BDP($G15&amp;" ISIN","SP153")))</f>
        <v>#N/A Connection</v>
      </c>
      <c r="AN15" s="16">
        <f t="shared" ca="1" si="6"/>
        <v>45783</v>
      </c>
      <c r="AO15" s="11" t="e">
        <f>(((_xll.BDP(AI15,"DS032"))/360)*I15)*O15</f>
        <v>#VALUE!</v>
      </c>
      <c r="AP15" s="11" t="e">
        <f>IF(F15="USD",AO15,(((_xll.BDP(F15&amp;"USD CURNCY","PX_LAST")))*AO15))</f>
        <v>#VALUE!</v>
      </c>
      <c r="AQ15" s="13" t="e">
        <f t="shared" si="10"/>
        <v>#VALUE!</v>
      </c>
      <c r="AR15" s="11" t="e">
        <f t="shared" si="7"/>
        <v>#VALUE!</v>
      </c>
      <c r="AS15" s="10" t="str">
        <f>IF((TEXT(_xll.BDP(AI15,"MATURITY"),"DD/MM/YYYY")="#N/A Field Not Applicable"),"Perp",_xll.BDP(AI15,"DS252"))</f>
        <v>#N/A Connection</v>
      </c>
      <c r="AT15" s="15" t="str">
        <f>(IF(_xll.BDP($AI15&amp;" ISIN","DT247")="Y","Yes","No"))</f>
        <v>No</v>
      </c>
      <c r="AU15" s="15" t="str">
        <f>PROPER(IF(OR(_xll.BDP($AI15,"CPN_TYP")="#n/a N/A",_xll.BDP($AI15,"CPN_TYP")= "#N/A FIELD NOT APPLICABLE"), " ", _xll.BDP($AI15,"CPN_TYP")))</f>
        <v>#N/A Connection</v>
      </c>
      <c r="BG15" s="17" t="str">
        <f t="shared" si="8"/>
        <v>XS2976035316</v>
      </c>
      <c r="BH15" s="17">
        <v>0.55189999999999995</v>
      </c>
      <c r="BI15" s="18">
        <v>5</v>
      </c>
      <c r="BJ15" s="19">
        <v>45677</v>
      </c>
      <c r="BK15" s="20"/>
    </row>
    <row r="16" spans="1:64" s="21" customFormat="1" ht="14.45" customHeight="1" x14ac:dyDescent="0.25">
      <c r="A16" s="49" t="s">
        <v>242</v>
      </c>
      <c r="B16" s="49" t="s">
        <v>246</v>
      </c>
      <c r="C16" s="49" t="s">
        <v>247</v>
      </c>
      <c r="D16" s="49" t="s">
        <v>248</v>
      </c>
      <c r="E16" s="4" t="str">
        <f>_xll.BDP(AI16,"ds520")</f>
        <v>TVF Varlik Kiralama AS</v>
      </c>
      <c r="F16" s="4" t="str">
        <f>_xll.BDP(AI16,"crncy")</f>
        <v>USD</v>
      </c>
      <c r="G16" s="5" t="s">
        <v>136</v>
      </c>
      <c r="H16" s="4" t="str">
        <f>IF(_xll.BDP(AI16,"RTG_MOODY")="#N/A N/A","N/A",_xll.BDP(AI16,"RTG_MOODY"))&amp;","&amp;IF(_xll.BDP(AI16,"RTG_FITCH")="#N/A N/A","N/A",_xll.BDP(AI16,"RTG_FITCH"))&amp;","&amp;IF(_xll.BDP(AI16,"RTG_SP")="#N/A N/A","N/A",_xll.BDP(AI16,"RTG_SP"))</f>
        <v>N/A,BB-,N/A</v>
      </c>
      <c r="I16" s="7">
        <f>_xll.BDP(AI16,"cpn")/100</f>
        <v>6.9500000000000006E-2</v>
      </c>
      <c r="J16" s="7">
        <f ca="1">_xll.BDP($G16&amp;" isin","YAS_BOND_YLD", "YAS_YLD_FLAG=15", "user_local_trade_date",AN16,"Yas_bond_px",$Q16)/100</f>
        <v>7.1722910000000001E-2</v>
      </c>
      <c r="K16" s="4" t="str">
        <f>_xll.BDP(AI16,"PAYMENT_RANK")</f>
        <v>Sr Unsecured</v>
      </c>
      <c r="L16" s="4" t="str">
        <f>IF((TEXT(_xll.BDP(AI16,"MATURITY"),"DD/MM/YYYY")="#N/A Field Not Applicable"),"Perp",TEXT(_xll.BDP(AI16,"MATURITY"),"DD/MM/YYYY"))</f>
        <v>23/01/2030</v>
      </c>
      <c r="M16" s="8">
        <f>(IF(_xll.BDP($AI16&amp;" ISIN","DU003")="#n/a n/a"," ",_xll.BDP($AI16&amp;" ISIN","DU003")))</f>
        <v>4.0302780432457386</v>
      </c>
      <c r="N16" s="4" t="str">
        <f>IF(_xll.BDP(AI16,"CALLABLE")="Y",_xll.BDP(AI16,"NXT_CALL_DT")," ")</f>
        <v xml:space="preserve"> </v>
      </c>
      <c r="O16" s="9">
        <v>200000</v>
      </c>
      <c r="P16" s="5">
        <v>100.096</v>
      </c>
      <c r="Q16" s="10">
        <f>_xll.BDP(AI16,"px_bid")</f>
        <v>99.11</v>
      </c>
      <c r="R16" s="11">
        <f>IF(F16="USD",AG16,(((_xll.BDP(F16&amp;"USD CURNCY","PX_LAST")))*AG16))</f>
        <v>200192</v>
      </c>
      <c r="S16" s="11">
        <f>IF(F16="USD",AH16,(((_xll.BDP(F16&amp;"USD CURNCY","PX_LAST")))*AH16))+AP16</f>
        <v>202042.5</v>
      </c>
      <c r="T16" s="12">
        <f t="shared" si="0"/>
        <v>-1972.0000000000084</v>
      </c>
      <c r="U16" s="13">
        <f t="shared" si="1"/>
        <v>-9.8505434782609116E-3</v>
      </c>
      <c r="V16" s="13" t="str" cm="1">
        <f t="array" ref="V16">IFERROR(_xll.BDP($G16&amp;" ISIN","CHG_PCT_1D")/100,"")</f>
        <v/>
      </c>
      <c r="W16" s="13" t="str" cm="1">
        <f t="array" ref="W16">IFERROR(_xll.BDP($G16&amp;" ISIN","CHG_PCT_5D")/100,"")</f>
        <v/>
      </c>
      <c r="X16" s="13" t="e" cm="1">
        <f t="array" ref="X16">_xll.BDP($G16&amp;" ISIN","CHG_PCT_1M")/100</f>
        <v>#VALUE!</v>
      </c>
      <c r="Y16" s="13" t="e" cm="1">
        <f t="array" ref="Y16">_xll.BDP($G16&amp;" ISIN","CHG_PCT_3M")/100</f>
        <v>#VALUE!</v>
      </c>
      <c r="Z16" s="13" t="e" cm="1">
        <f t="array" ref="Z16">_xll.BDP($G16&amp;" ISIN","CHG_PCT_6M")/100</f>
        <v>#VALUE!</v>
      </c>
      <c r="AA16" s="13" t="e" cm="1">
        <f t="array" ref="AA16">_xll.BDP($G16&amp;" ISIN","CHG_PCT_YTD")/100</f>
        <v>#VALUE!</v>
      </c>
      <c r="AB16" s="13" t="e">
        <f t="shared" si="9"/>
        <v>#VALUE!</v>
      </c>
      <c r="AC16" s="14">
        <f t="shared" ca="1" si="2"/>
        <v>49303.555555555555</v>
      </c>
      <c r="AD16" s="4" t="str">
        <f>_xll.BDP(AI16,"DS199")</f>
        <v>Financial</v>
      </c>
      <c r="AE16" s="10">
        <f>_xll.BDP(AI16,"px_ask")</f>
        <v>99.495999999999995</v>
      </c>
      <c r="AF16" s="14">
        <f>IF(F16="USD",O16,(((_xll.BDP(F16&amp;"USD CURNCY","PX_LAST")))*O16))</f>
        <v>200000</v>
      </c>
      <c r="AG16" s="11">
        <f t="shared" si="3"/>
        <v>200192</v>
      </c>
      <c r="AH16" s="11">
        <f t="shared" si="4"/>
        <v>198220</v>
      </c>
      <c r="AI16" s="4" t="str">
        <f t="shared" si="5"/>
        <v>XS2911679004 ISIN</v>
      </c>
      <c r="AJ16" s="4" t="e" cm="1">
        <f t="array" ref="AJ16">VLOOKUP(IF(NOT(_xll.BDP($G16&amp;" CORP",$CA$5)="#N/A N/A"),(_xll.BDP($G16&amp;" CORP",$CA$5)),"-"), '[1]Country Codes'!$A$2:$B$253,2,0)</f>
        <v>#N/A</v>
      </c>
      <c r="AK16" s="4" t="str" cm="1">
        <f t="array" ref="AK16">IF(OR(_xll.BDP($AI16,"EX028")= "#N/A N/A", _xll.BDP($AI16,"EX028")="#N/A FIELD NOT APPLICABLE"), " ", _xll.BDP($AI16,"EX028"))</f>
        <v>FixedIncome</v>
      </c>
      <c r="AL16" s="15" t="str">
        <f>(IF(_xll.BDP($AI16&amp;" ISIN","DZ282")="Y","Single line Bonds Cocos","Single line Bonds ex Cocos"))</f>
        <v>Single line Bonds ex Cocos</v>
      </c>
      <c r="AM16" s="8">
        <f>(IF(_xll.BDP($G16&amp;" ISIN","SP153")="#n/a n/a"," ",_xll.BDP($G16&amp;" ISIN","SP153")))</f>
        <v>370.64895526953268</v>
      </c>
      <c r="AN16" s="16">
        <f t="shared" ca="1" si="6"/>
        <v>45783</v>
      </c>
      <c r="AO16" s="11">
        <f>(((_xll.BDP(AI16,"DS032"))/360)*I16)*O16</f>
        <v>3822.5000000000009</v>
      </c>
      <c r="AP16" s="11">
        <f>IF(F16="USD",AO16,(((_xll.BDP(F16&amp;"USD CURNCY","PX_LAST")))*AO16))</f>
        <v>3822.5000000000009</v>
      </c>
      <c r="AQ16" s="13">
        <f t="shared" si="10"/>
        <v>0.38605658636836021</v>
      </c>
      <c r="AR16" s="11">
        <f t="shared" si="7"/>
        <v>198220</v>
      </c>
      <c r="AS16" s="10">
        <f>IF((TEXT(_xll.BDP(AI16,"MATURITY"),"DD/MM/YYYY")="#N/A Field Not Applicable"),"Perp",_xll.BDP(AI16,"DS252"))</f>
        <v>4.7337440109514031</v>
      </c>
      <c r="AT16" s="15" t="str">
        <f>(IF(_xll.BDP($AI16&amp;" ISIN","DT247")="Y","Yes","No"))</f>
        <v>No</v>
      </c>
      <c r="AU16" s="15" t="str">
        <f>PROPER(IF(OR(_xll.BDP($AI16,"CPN_TYP")="#n/a N/A",_xll.BDP($AI16,"CPN_TYP")= "#N/A FIELD NOT APPLICABLE"), " ", _xll.BDP($AI16,"CPN_TYP")))</f>
        <v>Fixed</v>
      </c>
      <c r="BG16" s="17" t="str">
        <f t="shared" si="8"/>
        <v>XS2911679004</v>
      </c>
      <c r="BH16" s="17">
        <v>0.6714</v>
      </c>
      <c r="BI16" s="18">
        <v>5</v>
      </c>
      <c r="BJ16" s="19">
        <v>44455</v>
      </c>
      <c r="BK16" s="20"/>
    </row>
    <row r="17" spans="1:64" s="21" customFormat="1" ht="14.45" customHeight="1" x14ac:dyDescent="0.25">
      <c r="A17" s="49" t="s">
        <v>242</v>
      </c>
      <c r="B17" s="49" t="s">
        <v>246</v>
      </c>
      <c r="C17" s="49" t="s">
        <v>247</v>
      </c>
      <c r="D17" s="49" t="s">
        <v>248</v>
      </c>
      <c r="E17" s="4" t="str">
        <f>_xll.BDP(AI17,"ds520")</f>
        <v>#N/A Connection</v>
      </c>
      <c r="F17" s="4" t="str">
        <f>_xll.BDP(AI17,"crncy")</f>
        <v>#N/A Connection</v>
      </c>
      <c r="G17" s="5" t="s">
        <v>134</v>
      </c>
      <c r="H17" s="4" t="str">
        <f>IF(_xll.BDP(AI17,"RTG_MOODY")="#N/A N/A","N/A",_xll.BDP(AI17,"RTG_MOODY"))&amp;","&amp;IF(_xll.BDP(AI17,"RTG_FITCH")="#N/A N/A","N/A",_xll.BDP(AI17,"RTG_FITCH"))&amp;","&amp;IF(_xll.BDP(AI17,"RTG_SP")="#N/A N/A","N/A",_xll.BDP(AI17,"RTG_SP"))</f>
        <v>#N/A Connection,#N/A Connection,#N/A Connection</v>
      </c>
      <c r="I17" s="7" t="e">
        <f>_xll.BDP(AI17,"cpn")/100</f>
        <v>#VALUE!</v>
      </c>
      <c r="J17" s="7" t="e">
        <f ca="1">_xll.BDP($G17&amp;" isin","YAS_BOND_YLD", "YAS_YLD_FLAG=15", "user_local_trade_date",AN17,"Yas_bond_px",$Q17)/100</f>
        <v>#VALUE!</v>
      </c>
      <c r="K17" s="4" t="str">
        <f>_xll.BDP(AI17,"PAYMENT_RANK")</f>
        <v>#N/A Connection</v>
      </c>
      <c r="L17" s="4" t="str">
        <f>IF((TEXT(_xll.BDP(AI17,"MATURITY"),"DD/MM/YYYY")="#N/A Field Not Applicable"),"Perp",TEXT(_xll.BDP(AI17,"MATURITY"),"DD/MM/YYYY"))</f>
        <v>#N/A Connection</v>
      </c>
      <c r="M17" s="8" t="str">
        <f>(IF(_xll.BDP($AI17&amp;" ISIN","DU003")="#n/a n/a"," ",_xll.BDP($AI17&amp;" ISIN","DU003")))</f>
        <v>#N/A Connection</v>
      </c>
      <c r="N17" s="4" t="str">
        <f>IF(_xll.BDP(AI17,"CALLABLE")="Y",_xll.BDP(AI17,"NXT_CALL_DT")," ")</f>
        <v xml:space="preserve"> </v>
      </c>
      <c r="O17" s="9">
        <v>400000</v>
      </c>
      <c r="P17" s="5">
        <v>99.694999999999993</v>
      </c>
      <c r="Q17" s="10" t="str">
        <f>_xll.BDP(AI17,"px_bid")</f>
        <v>#N/A Connection</v>
      </c>
      <c r="R17" s="11" t="e">
        <f>IF(F17="USD",AG17,(((_xll.BDP(F17&amp;"USD CURNCY","PX_LAST")))*AG17))</f>
        <v>#VALUE!</v>
      </c>
      <c r="S17" s="11" t="e">
        <f>IF(F17="USD",AH17,(((_xll.BDP(F17&amp;"USD CURNCY","PX_LAST")))*AH17))+AP17</f>
        <v>#VALUE!</v>
      </c>
      <c r="T17" s="12" t="e">
        <f t="shared" si="0"/>
        <v>#VALUE!</v>
      </c>
      <c r="U17" s="13" t="e">
        <f t="shared" si="1"/>
        <v>#VALUE!</v>
      </c>
      <c r="V17" s="13" t="str" cm="1">
        <f t="array" ref="V17">IFERROR(_xll.BDP($G17&amp;" ISIN","CHG_PCT_1D")/100,"")</f>
        <v/>
      </c>
      <c r="W17" s="13" t="str" cm="1">
        <f t="array" ref="W17">IFERROR(_xll.BDP($G17&amp;" ISIN","CHG_PCT_5D")/100,"")</f>
        <v/>
      </c>
      <c r="X17" s="13" t="e" cm="1">
        <f t="array" ref="X17">_xll.BDP($G17&amp;" ISIN","CHG_PCT_1M")/100</f>
        <v>#VALUE!</v>
      </c>
      <c r="Y17" s="13" t="e" cm="1">
        <f t="array" ref="Y17">_xll.BDP($G17&amp;" ISIN","CHG_PCT_3M")/100</f>
        <v>#VALUE!</v>
      </c>
      <c r="Z17" s="13" t="e" cm="1">
        <f t="array" ref="Z17">_xll.BDP($G17&amp;" ISIN","CHG_PCT_6M")/100</f>
        <v>#VALUE!</v>
      </c>
      <c r="AA17" s="13" t="e" cm="1">
        <f t="array" ref="AA17">_xll.BDP($G17&amp;" ISIN","CHG_PCT_YTD")/100</f>
        <v>#VALUE!</v>
      </c>
      <c r="AB17" s="13" t="e">
        <f t="shared" si="9"/>
        <v>#VALUE!</v>
      </c>
      <c r="AC17" s="14" t="e">
        <f t="shared" ca="1" si="2"/>
        <v>#VALUE!</v>
      </c>
      <c r="AD17" s="4" t="str">
        <f>_xll.BDP(AI17,"DS199")</f>
        <v>#N/A Connection</v>
      </c>
      <c r="AE17" s="10" t="str">
        <f>_xll.BDP(AI17,"px_ask")</f>
        <v>#N/A Connection</v>
      </c>
      <c r="AF17" s="14" t="e">
        <f>IF(F17="USD",O17,(((_xll.BDP(F17&amp;"USD CURNCY","PX_LAST")))*O17))</f>
        <v>#VALUE!</v>
      </c>
      <c r="AG17" s="11">
        <f t="shared" si="3"/>
        <v>398780</v>
      </c>
      <c r="AH17" s="11" t="e">
        <f t="shared" si="4"/>
        <v>#VALUE!</v>
      </c>
      <c r="AI17" s="4" t="str">
        <f t="shared" si="5"/>
        <v>XS2419405274 ISIN</v>
      </c>
      <c r="AJ17" s="4" t="e" cm="1">
        <f t="array" ref="AJ17">VLOOKUP(IF(NOT(_xll.BDP($G17&amp;" CORP",$CA$5)="#N/A N/A"),(_xll.BDP($G17&amp;" CORP",$CA$5)),"-"), '[1]Country Codes'!$A$2:$B$253,2,0)</f>
        <v>#N/A</v>
      </c>
      <c r="AK17" s="4" t="str" cm="1">
        <f t="array" ref="AK17">IF(OR(_xll.BDP($AI17,"EX028")= "#N/A N/A", _xll.BDP($AI17,"EX028")="#N/A FIELD NOT APPLICABLE"), " ", _xll.BDP($AI17,"EX028"))</f>
        <v>#N/A Connection</v>
      </c>
      <c r="AL17" s="15" t="str">
        <f>(IF(_xll.BDP($AI17&amp;" ISIN","DZ282")="Y","Single line Bonds Cocos","Single line Bonds ex Cocos"))</f>
        <v>Single line Bonds ex Cocos</v>
      </c>
      <c r="AM17" s="8" t="str">
        <f>(IF(_xll.BDP($G17&amp;" ISIN","SP153")="#n/a n/a"," ",_xll.BDP($G17&amp;" ISIN","SP153")))</f>
        <v>#N/A Connection</v>
      </c>
      <c r="AN17" s="16">
        <f t="shared" ca="1" si="6"/>
        <v>45783</v>
      </c>
      <c r="AO17" s="11" t="e">
        <f>(((_xll.BDP(AI17,"DS032"))/360)*I17)*O17</f>
        <v>#VALUE!</v>
      </c>
      <c r="AP17" s="11" t="e">
        <f>IF(F17="USD",AO17,(((_xll.BDP(F17&amp;"USD CURNCY","PX_LAST")))*AO17))</f>
        <v>#VALUE!</v>
      </c>
      <c r="AQ17" s="13" t="e">
        <f t="shared" si="10"/>
        <v>#VALUE!</v>
      </c>
      <c r="AR17" s="11" t="e">
        <f t="shared" si="7"/>
        <v>#VALUE!</v>
      </c>
      <c r="AS17" s="10" t="str">
        <f>IF((TEXT(_xll.BDP(AI17,"MATURITY"),"DD/MM/YYYY")="#N/A Field Not Applicable"),"Perp",_xll.BDP(AI17,"DS252"))</f>
        <v>#N/A Connection</v>
      </c>
      <c r="AT17" s="15" t="str">
        <f>(IF(_xll.BDP($AI17&amp;" ISIN","DT247")="Y","Yes","No"))</f>
        <v>No</v>
      </c>
      <c r="AU17" s="15" t="str">
        <f>PROPER(IF(OR(_xll.BDP($AI17,"CPN_TYP")="#n/a N/A",_xll.BDP($AI17,"CPN_TYP")= "#N/A FIELD NOT APPLICABLE"), " ", _xll.BDP($AI17,"CPN_TYP")))</f>
        <v>#N/A Connection</v>
      </c>
      <c r="BG17" s="17" t="str">
        <f t="shared" si="8"/>
        <v>XS2419405274</v>
      </c>
      <c r="BH17" s="17">
        <v>0</v>
      </c>
      <c r="BI17" s="18">
        <v>5</v>
      </c>
      <c r="BJ17" s="19">
        <v>44592</v>
      </c>
      <c r="BK17" s="20"/>
    </row>
    <row r="18" spans="1:64" s="21" customFormat="1" ht="14.45" customHeight="1" x14ac:dyDescent="0.25">
      <c r="A18" s="49" t="s">
        <v>242</v>
      </c>
      <c r="B18" s="49" t="s">
        <v>246</v>
      </c>
      <c r="C18" s="49" t="s">
        <v>247</v>
      </c>
      <c r="D18" s="49" t="s">
        <v>248</v>
      </c>
      <c r="E18" s="4" t="str">
        <f>_xll.BDP(AI18,"ds520")</f>
        <v>#N/A Connection</v>
      </c>
      <c r="F18" s="4" t="str">
        <f>_xll.BDP(AI18,"crncy")</f>
        <v>#N/A Connection</v>
      </c>
      <c r="G18" s="5" t="s">
        <v>128</v>
      </c>
      <c r="H18" s="4" t="str">
        <f>IF(_xll.BDP(AI18,"RTG_MOODY")="#N/A N/A","N/A",_xll.BDP(AI18,"RTG_MOODY"))&amp;","&amp;IF(_xll.BDP(AI18,"RTG_FITCH")="#N/A N/A","N/A",_xll.BDP(AI18,"RTG_FITCH"))&amp;","&amp;IF(_xll.BDP(AI18,"RTG_SP")="#N/A N/A","N/A",_xll.BDP(AI18,"RTG_SP"))</f>
        <v>#N/A Connection,#N/A Connection,#N/A Connection</v>
      </c>
      <c r="I18" s="7" t="e">
        <f>_xll.BDP(AI18,"cpn")/100</f>
        <v>#VALUE!</v>
      </c>
      <c r="J18" s="7" t="e">
        <f ca="1">_xll.BDP($G18&amp;" isin","YAS_BOND_YLD", "YAS_YLD_FLAG=15", "user_local_trade_date",AN18,"Yas_bond_px",$Q18)/100</f>
        <v>#VALUE!</v>
      </c>
      <c r="K18" s="4" t="str">
        <f>_xll.BDP(AI18,"PAYMENT_RANK")</f>
        <v>#N/A Connection</v>
      </c>
      <c r="L18" s="4" t="str">
        <f>IF((TEXT(_xll.BDP(AI18,"MATURITY"),"DD/MM/YYYY")="#N/A Field Not Applicable"),"Perp",TEXT(_xll.BDP(AI18,"MATURITY"),"DD/MM/YYYY"))</f>
        <v>#N/A Connection</v>
      </c>
      <c r="M18" s="8" t="str">
        <f>(IF(_xll.BDP($AI18&amp;" ISIN","DU003")="#n/a n/a"," ",_xll.BDP($AI18&amp;" ISIN","DU003")))</f>
        <v>#N/A Connection</v>
      </c>
      <c r="N18" s="4" t="str">
        <f>IF(_xll.BDP(AI18,"CALLABLE")="Y",_xll.BDP(AI18,"NXT_CALL_DT")," ")</f>
        <v xml:space="preserve"> </v>
      </c>
      <c r="O18" s="9">
        <v>500000</v>
      </c>
      <c r="P18" s="5">
        <v>100.04</v>
      </c>
      <c r="Q18" s="10" t="str">
        <f>_xll.BDP(AI18,"px_bid")</f>
        <v>#N/A Connection</v>
      </c>
      <c r="R18" s="11" t="e">
        <f>IF(F18="USD",AG18,(((_xll.BDP(F18&amp;"USD CURNCY","PX_LAST")))*AG18))</f>
        <v>#VALUE!</v>
      </c>
      <c r="S18" s="11" t="e">
        <f>IF(F18="USD",AH18,(((_xll.BDP(F18&amp;"USD CURNCY","PX_LAST")))*AH18))+AP18</f>
        <v>#VALUE!</v>
      </c>
      <c r="T18" s="12" t="e">
        <f t="shared" si="0"/>
        <v>#VALUE!</v>
      </c>
      <c r="U18" s="13" t="e">
        <f t="shared" si="1"/>
        <v>#VALUE!</v>
      </c>
      <c r="V18" s="13" t="str" cm="1">
        <f t="array" ref="V18">IFERROR(_xll.BDP($G18&amp;" ISIN","CHG_PCT_1D")/100,"")</f>
        <v/>
      </c>
      <c r="W18" s="13" t="str" cm="1">
        <f t="array" ref="W18">IFERROR(_xll.BDP($G18&amp;" ISIN","CHG_PCT_5D")/100,"")</f>
        <v/>
      </c>
      <c r="X18" s="13" t="e" cm="1">
        <f t="array" ref="X18">_xll.BDP($G18&amp;" ISIN","CHG_PCT_1M")/100</f>
        <v>#VALUE!</v>
      </c>
      <c r="Y18" s="13" t="e" cm="1">
        <f t="array" ref="Y18">_xll.BDP($G18&amp;" ISIN","CHG_PCT_3M")/100</f>
        <v>#VALUE!</v>
      </c>
      <c r="Z18" s="13" t="e" cm="1">
        <f t="array" ref="Z18">_xll.BDP($G18&amp;" ISIN","CHG_PCT_6M")/100</f>
        <v>#VALUE!</v>
      </c>
      <c r="AA18" s="13" t="e" cm="1">
        <f t="array" ref="AA18">_xll.BDP($G18&amp;" ISIN","CHG_PCT_YTD")/100</f>
        <v>#VALUE!</v>
      </c>
      <c r="AB18" s="13" t="e">
        <f t="shared" si="9"/>
        <v>#VALUE!</v>
      </c>
      <c r="AC18" s="14" t="e">
        <f t="shared" ca="1" si="2"/>
        <v>#VALUE!</v>
      </c>
      <c r="AD18" s="4" t="str">
        <f>_xll.BDP(AI18,"DS199")</f>
        <v>#N/A Connection</v>
      </c>
      <c r="AE18" s="10" t="str">
        <f>_xll.BDP(AI18,"px_ask")</f>
        <v>#N/A Connection</v>
      </c>
      <c r="AF18" s="14" t="e">
        <f>IF(F18="USD",O18,(((_xll.BDP(F18&amp;"USD CURNCY","PX_LAST")))*O18))</f>
        <v>#VALUE!</v>
      </c>
      <c r="AG18" s="11">
        <f t="shared" si="3"/>
        <v>500200</v>
      </c>
      <c r="AH18" s="11" t="e">
        <f t="shared" si="4"/>
        <v>#VALUE!</v>
      </c>
      <c r="AI18" s="4" t="str">
        <f t="shared" si="5"/>
        <v>XS2756519232 ISIN</v>
      </c>
      <c r="AJ18" s="4" t="e" cm="1">
        <f t="array" ref="AJ18">VLOOKUP(IF(NOT(_xll.BDP($G18&amp;" CORP",$CA$5)="#N/A N/A"),(_xll.BDP($G18&amp;" CORP",$CA$5)),"-"), '[1]Country Codes'!$A$2:$B$253,2,0)</f>
        <v>#N/A</v>
      </c>
      <c r="AK18" s="4" t="str" cm="1">
        <f t="array" ref="AK18">IF(OR(_xll.BDP($AI18,"EX028")= "#N/A N/A", _xll.BDP($AI18,"EX028")="#N/A FIELD NOT APPLICABLE"), " ", _xll.BDP($AI18,"EX028"))</f>
        <v>#N/A Connection</v>
      </c>
      <c r="AL18" s="15" t="str">
        <f>(IF(_xll.BDP($AI18&amp;" ISIN","DZ282")="Y","Single line Bonds Cocos","Single line Bonds ex Cocos"))</f>
        <v>Single line Bonds ex Cocos</v>
      </c>
      <c r="AM18" s="8" t="str">
        <f>(IF(_xll.BDP($G18&amp;" ISIN","SP153")="#n/a n/a"," ",_xll.BDP($G18&amp;" ISIN","SP153")))</f>
        <v>#N/A Connection</v>
      </c>
      <c r="AN18" s="16">
        <f t="shared" ca="1" si="6"/>
        <v>45783</v>
      </c>
      <c r="AO18" s="11" t="e">
        <f>(((_xll.BDP(AI18,"DS032"))/360)*I18)*O18</f>
        <v>#VALUE!</v>
      </c>
      <c r="AP18" s="11" t="e">
        <f>IF(F18="USD",AO18,(((_xll.BDP(F18&amp;"USD CURNCY","PX_LAST")))*AO18))</f>
        <v>#VALUE!</v>
      </c>
      <c r="AQ18" s="13" t="e">
        <f t="shared" si="10"/>
        <v>#VALUE!</v>
      </c>
      <c r="AR18" s="11" t="e">
        <f t="shared" si="7"/>
        <v>#VALUE!</v>
      </c>
      <c r="AS18" s="10" t="str">
        <f>IF((TEXT(_xll.BDP(AI18,"MATURITY"),"DD/MM/YYYY")="#N/A Field Not Applicable"),"Perp",_xll.BDP(AI18,"DS252"))</f>
        <v>#N/A Connection</v>
      </c>
      <c r="AT18" s="15" t="str">
        <f>(IF(_xll.BDP($AI18&amp;" ISIN","DT247")="Y","Yes","No"))</f>
        <v>No</v>
      </c>
      <c r="AU18" s="15" t="str">
        <f>PROPER(IF(OR(_xll.BDP($AI18,"CPN_TYP")="#n/a N/A",_xll.BDP($AI18,"CPN_TYP")= "#N/A FIELD NOT APPLICABLE"), " ", _xll.BDP($AI18,"CPN_TYP")))</f>
        <v>#N/A Connection</v>
      </c>
      <c r="BG18" s="17" t="str">
        <f t="shared" si="8"/>
        <v>XS2756519232</v>
      </c>
      <c r="BH18" s="17">
        <v>0.81579999999999997</v>
      </c>
      <c r="BI18" s="18">
        <v>4</v>
      </c>
      <c r="BJ18" s="19">
        <v>45352</v>
      </c>
      <c r="BK18" s="20"/>
    </row>
    <row r="19" spans="1:64" s="21" customFormat="1" ht="14.45" customHeight="1" x14ac:dyDescent="0.25">
      <c r="A19" s="49" t="s">
        <v>242</v>
      </c>
      <c r="B19" s="49" t="s">
        <v>246</v>
      </c>
      <c r="C19" s="49" t="s">
        <v>247</v>
      </c>
      <c r="D19" s="49" t="s">
        <v>248</v>
      </c>
      <c r="E19" s="4" t="str">
        <f>_xll.BDP(AI19,"ds520")</f>
        <v>Maldives Sukuk Issuance Ltd</v>
      </c>
      <c r="F19" s="4" t="str">
        <f>_xll.BDP(AI19,"crncy")</f>
        <v>USD</v>
      </c>
      <c r="G19" s="5" t="s">
        <v>131</v>
      </c>
      <c r="H19" s="4" t="str">
        <f>IF(_xll.BDP(AI19,"RTG_MOODY")="#N/A N/A","N/A",_xll.BDP(AI19,"RTG_MOODY"))&amp;","&amp;IF(_xll.BDP(AI19,"RTG_FITCH")="#N/A N/A","N/A",_xll.BDP(AI19,"RTG_FITCH"))&amp;","&amp;IF(_xll.BDP(AI19,"RTG_SP")="#N/A N/A","N/A",_xll.BDP(AI19,"RTG_SP"))</f>
        <v>Caa2,N/A,N/A</v>
      </c>
      <c r="I19" s="7">
        <f>_xll.BDP(AI19,"cpn")/100</f>
        <v>9.8750000000000004E-2</v>
      </c>
      <c r="J19" s="7">
        <f ca="1">_xll.BDP($G19&amp;" isin","YAS_BOND_YLD", "YAS_YLD_FLAG=15", "user_local_trade_date",AN19,"Yas_bond_px",$Q19)/100</f>
        <v>0.49719914000000004</v>
      </c>
      <c r="K19" s="4" t="str">
        <f>_xll.BDP(AI19,"PAYMENT_RANK")</f>
        <v>Sr Unsecured</v>
      </c>
      <c r="L19" s="4" t="str">
        <f>IF((TEXT(_xll.BDP(AI19,"MATURITY"),"DD/MM/YYYY")="#N/A Field Not Applicable"),"Perp",TEXT(_xll.BDP(AI19,"MATURITY"),"DD/MM/YYYY"))</f>
        <v>08/04/2026</v>
      </c>
      <c r="M19" s="8">
        <f>(IF(_xll.BDP($AI19&amp;" ISIN","DU003")="#n/a n/a"," ",_xll.BDP($AI19&amp;" ISIN","DU003")))</f>
        <v>0.90876449081495303</v>
      </c>
      <c r="N19" s="4" t="str">
        <f>IF(_xll.BDP(AI19,"CALLABLE")="Y",_xll.BDP(AI19,"NXT_CALL_DT")," ")</f>
        <v xml:space="preserve"> </v>
      </c>
      <c r="O19" s="9">
        <v>500000</v>
      </c>
      <c r="P19" s="5">
        <v>100.46299999999999</v>
      </c>
      <c r="Q19" s="10">
        <f>_xll.BDP(AI19,"px_bid")</f>
        <v>73.064999999999998</v>
      </c>
      <c r="R19" s="11">
        <f>IF(F19="USD",AG19,(((_xll.BDP(F19&amp;"USD CURNCY","PX_LAST")))*AG19))</f>
        <v>502315</v>
      </c>
      <c r="S19" s="11">
        <f>IF(F19="USD",AH19,(((_xll.BDP(F19&amp;"USD CURNCY","PX_LAST")))*AH19))+AP19</f>
        <v>368479.51388888888</v>
      </c>
      <c r="T19" s="12">
        <f t="shared" si="0"/>
        <v>-136990</v>
      </c>
      <c r="U19" s="13">
        <f t="shared" si="1"/>
        <v>-0.27271731881389166</v>
      </c>
      <c r="V19" s="13" t="str" cm="1">
        <f t="array" ref="V19">IFERROR(_xll.BDP($G19&amp;" ISIN","CHG_PCT_1D")/100,"")</f>
        <v/>
      </c>
      <c r="W19" s="13" t="str" cm="1">
        <f t="array" ref="W19">IFERROR(_xll.BDP($G19&amp;" ISIN","CHG_PCT_5D")/100,"")</f>
        <v/>
      </c>
      <c r="X19" s="13" t="e" cm="1">
        <f t="array" ref="X19">_xll.BDP($G19&amp;" ISIN","CHG_PCT_1M")/100</f>
        <v>#VALUE!</v>
      </c>
      <c r="Y19" s="13" t="e" cm="1">
        <f t="array" ref="Y19">_xll.BDP($G19&amp;" ISIN","CHG_PCT_3M")/100</f>
        <v>#VALUE!</v>
      </c>
      <c r="Z19" s="13" t="e" cm="1">
        <f t="array" ref="Z19">_xll.BDP($G19&amp;" ISIN","CHG_PCT_6M")/100</f>
        <v>#VALUE!</v>
      </c>
      <c r="AA19" s="13" t="e" cm="1">
        <f t="array" ref="AA19">_xll.BDP($G19&amp;" ISIN","CHG_PCT_YTD")/100</f>
        <v>#VALUE!</v>
      </c>
      <c r="AB19" s="13" t="e">
        <f t="shared" si="9"/>
        <v>#VALUE!</v>
      </c>
      <c r="AC19" s="14">
        <f t="shared" ca="1" si="2"/>
        <v>46108.958333333372</v>
      </c>
      <c r="AD19" s="4" t="str">
        <f>_xll.BDP(AI19,"DS199")</f>
        <v>Government</v>
      </c>
      <c r="AE19" s="10">
        <f>_xll.BDP(AI19,"px_ask")</f>
        <v>76.435000000000002</v>
      </c>
      <c r="AF19" s="14">
        <f>IF(F19="USD",O19,(((_xll.BDP(F19&amp;"USD CURNCY","PX_LAST")))*O19))</f>
        <v>500000</v>
      </c>
      <c r="AG19" s="11">
        <f t="shared" si="3"/>
        <v>502315</v>
      </c>
      <c r="AH19" s="11">
        <f t="shared" si="4"/>
        <v>365325</v>
      </c>
      <c r="AI19" s="4" t="str">
        <f t="shared" si="5"/>
        <v>USG5852MAA02 ISIN</v>
      </c>
      <c r="AJ19" s="4" t="e" cm="1">
        <f t="array" ref="AJ19">VLOOKUP(IF(NOT(_xll.BDP($G19&amp;" CORP",$CA$5)="#N/A N/A"),(_xll.BDP($G19&amp;" CORP",$CA$5)),"-"), '[1]Country Codes'!$A$2:$B$253,2,0)</f>
        <v>#N/A</v>
      </c>
      <c r="AK19" s="4" t="str" cm="1">
        <f t="array" ref="AK19">IF(OR(_xll.BDP($AI19,"EX028")= "#N/A N/A", _xll.BDP($AI19,"EX028")="#N/A FIELD NOT APPLICABLE"), " ", _xll.BDP($AI19,"EX028"))</f>
        <v>FixedIncome</v>
      </c>
      <c r="AL19" s="15" t="str">
        <f>(IF(_xll.BDP($AI19&amp;" ISIN","DZ282")="Y","Single line Bonds Cocos","Single line Bonds ex Cocos"))</f>
        <v>Single line Bonds ex Cocos</v>
      </c>
      <c r="AM19" s="8">
        <f>(IF(_xll.BDP($G19&amp;" ISIN","SP153")="#n/a n/a"," ",_xll.BDP($G19&amp;" ISIN","SP153")))</f>
        <v>4207.4402427548603</v>
      </c>
      <c r="AN19" s="16">
        <f t="shared" ca="1" si="6"/>
        <v>45783</v>
      </c>
      <c r="AO19" s="11">
        <f>(((_xll.BDP(AI19,"DS032"))/360)*I19)*O19</f>
        <v>3154.5138888888891</v>
      </c>
      <c r="AP19" s="11">
        <f>IF(F19="USD",AO19,(((_xll.BDP(F19&amp;"USD CURNCY","PX_LAST")))*AO19))</f>
        <v>3154.5138888888891</v>
      </c>
      <c r="AQ19" s="13">
        <f t="shared" si="10"/>
        <v>0.70407930647570294</v>
      </c>
      <c r="AR19" s="11">
        <f t="shared" si="7"/>
        <v>365325</v>
      </c>
      <c r="AS19" s="10">
        <f>IF((TEXT(_xll.BDP(AI19,"MATURITY"),"DD/MM/YYYY")="#N/A Field Not Applicable"),"Perp",_xll.BDP(AI19,"DS252"))</f>
        <v>0.93908281998631071</v>
      </c>
      <c r="AT19" s="15" t="str">
        <f>(IF(_xll.BDP($AI19&amp;" ISIN","DT247")="Y","Yes","No"))</f>
        <v>No</v>
      </c>
      <c r="AU19" s="15" t="str">
        <f>PROPER(IF(OR(_xll.BDP($AI19,"CPN_TYP")="#n/a N/A",_xll.BDP($AI19,"CPN_TYP")= "#N/A FIELD NOT APPLICABLE"), " ", _xll.BDP($AI19,"CPN_TYP")))</f>
        <v>Fixed</v>
      </c>
      <c r="BG19" s="17" t="str">
        <f t="shared" si="8"/>
        <v>USG5852MAA02</v>
      </c>
      <c r="BH19" s="17">
        <v>0</v>
      </c>
      <c r="BI19" s="18">
        <v>5</v>
      </c>
      <c r="BJ19" s="19">
        <v>44448</v>
      </c>
      <c r="BK19" s="20"/>
    </row>
    <row r="20" spans="1:64" s="21" customFormat="1" ht="14.45" customHeight="1" x14ac:dyDescent="0.25">
      <c r="A20" s="49" t="s">
        <v>242</v>
      </c>
      <c r="B20" s="49" t="s">
        <v>246</v>
      </c>
      <c r="C20" s="49" t="s">
        <v>247</v>
      </c>
      <c r="D20" s="49" t="s">
        <v>248</v>
      </c>
      <c r="E20" s="4" t="str">
        <f>_xll.BDP(AI20,"ds520")</f>
        <v>#N/A Connection</v>
      </c>
      <c r="F20" s="4" t="str">
        <f>_xll.BDP(AI20,"crncy")</f>
        <v>#N/A Connection</v>
      </c>
      <c r="G20" s="5" t="s">
        <v>133</v>
      </c>
      <c r="H20" s="4" t="str">
        <f>IF(_xll.BDP(AI20,"RTG_MOODY")="#N/A N/A","N/A",_xll.BDP(AI20,"RTG_MOODY"))&amp;","&amp;IF(_xll.BDP(AI20,"RTG_FITCH")="#N/A N/A","N/A",_xll.BDP(AI20,"RTG_FITCH"))&amp;","&amp;IF(_xll.BDP(AI20,"RTG_SP")="#N/A N/A","N/A",_xll.BDP(AI20,"RTG_SP"))</f>
        <v>#N/A Connection,#N/A Connection,#N/A Connection</v>
      </c>
      <c r="I20" s="7" t="e">
        <f>_xll.BDP(AI20,"cpn")/100</f>
        <v>#VALUE!</v>
      </c>
      <c r="J20" s="7" t="e">
        <f ca="1">_xll.BDP($G20&amp;" isin","YAS_BOND_YLD", "YAS_YLD_FLAG=15", "user_local_trade_date",AN20,"Yas_bond_px",$Q20)/100</f>
        <v>#VALUE!</v>
      </c>
      <c r="K20" s="4" t="str">
        <f>_xll.BDP(AI20,"PAYMENT_RANK")</f>
        <v>#N/A Connection</v>
      </c>
      <c r="L20" s="4" t="str">
        <f>IF((TEXT(_xll.BDP(AI20,"MATURITY"),"DD/MM/YYYY")="#N/A Field Not Applicable"),"Perp",TEXT(_xll.BDP(AI20,"MATURITY"),"DD/MM/YYYY"))</f>
        <v>#N/A Connection</v>
      </c>
      <c r="M20" s="8" t="str">
        <f>(IF(_xll.BDP($AI20&amp;" ISIN","DU003")="#n/a n/a"," ",_xll.BDP($AI20&amp;" ISIN","DU003")))</f>
        <v>#N/A Connection</v>
      </c>
      <c r="N20" s="4" t="str">
        <f>IF(_xll.BDP(AI20,"CALLABLE")="Y",_xll.BDP(AI20,"NXT_CALL_DT")," ")</f>
        <v xml:space="preserve"> </v>
      </c>
      <c r="O20" s="9">
        <v>200000</v>
      </c>
      <c r="P20" s="71">
        <v>99.397000000000006</v>
      </c>
      <c r="Q20" s="10" t="str">
        <f>_xll.BDP(AI20,"px_bid")</f>
        <v>#N/A Connection</v>
      </c>
      <c r="R20" s="11" t="e">
        <f>IF(F20="USD",AG20,(((_xll.BDP(F20&amp;"USD CURNCY","PX_LAST")))*AG20))</f>
        <v>#VALUE!</v>
      </c>
      <c r="S20" s="11" t="e">
        <f>IF(F20="USD",AH20,(((_xll.BDP(F20&amp;"USD CURNCY","PX_LAST")))*AH20))+AP20</f>
        <v>#VALUE!</v>
      </c>
      <c r="T20" s="12" t="e">
        <f t="shared" si="0"/>
        <v>#VALUE!</v>
      </c>
      <c r="U20" s="13" t="e">
        <f t="shared" si="1"/>
        <v>#VALUE!</v>
      </c>
      <c r="V20" s="13" t="str" cm="1">
        <f t="array" ref="V20">IFERROR(_xll.BDP($G20&amp;" ISIN","CHG_PCT_1D")/100,"")</f>
        <v/>
      </c>
      <c r="W20" s="13" t="str" cm="1">
        <f t="array" ref="W20">IFERROR(_xll.BDP($G20&amp;" ISIN","CHG_PCT_5D")/100,"")</f>
        <v/>
      </c>
      <c r="X20" s="13" t="e" cm="1">
        <f t="array" ref="X20">_xll.BDP($G20&amp;" ISIN","CHG_PCT_1M")/100</f>
        <v>#VALUE!</v>
      </c>
      <c r="Y20" s="13" t="e" cm="1">
        <f t="array" ref="Y20">_xll.BDP($G20&amp;" ISIN","CHG_PCT_3M")/100</f>
        <v>#VALUE!</v>
      </c>
      <c r="Z20" s="13" t="e" cm="1">
        <f t="array" ref="Z20">_xll.BDP($G20&amp;" ISIN","CHG_PCT_6M")/100</f>
        <v>#VALUE!</v>
      </c>
      <c r="AA20" s="13" t="e" cm="1">
        <f t="array" ref="AA20">_xll.BDP($G20&amp;" ISIN","CHG_PCT_YTD")/100</f>
        <v>#VALUE!</v>
      </c>
      <c r="AB20" s="13" t="e">
        <f t="shared" si="9"/>
        <v>#VALUE!</v>
      </c>
      <c r="AC20" s="14" t="e">
        <f t="shared" ca="1" si="2"/>
        <v>#VALUE!</v>
      </c>
      <c r="AD20" s="4" t="str">
        <f>_xll.BDP(AI20,"DS199")</f>
        <v>#N/A Connection</v>
      </c>
      <c r="AE20" s="10" t="str">
        <f>_xll.BDP(AI20,"px_ask")</f>
        <v>#N/A Connection</v>
      </c>
      <c r="AF20" s="14" t="e">
        <f>IF(F20="USD",O20,(((_xll.BDP(F20&amp;"USD CURNCY","PX_LAST")))*O20))</f>
        <v>#VALUE!</v>
      </c>
      <c r="AG20" s="11">
        <f t="shared" si="3"/>
        <v>198794</v>
      </c>
      <c r="AH20" s="11" t="e">
        <f t="shared" si="4"/>
        <v>#VALUE!</v>
      </c>
      <c r="AI20" s="4" t="str">
        <f t="shared" si="5"/>
        <v>XS2103157991 ISIN</v>
      </c>
      <c r="AJ20" s="4" t="e" cm="1">
        <f t="array" ref="AJ20">VLOOKUP(IF(NOT(_xll.BDP($G20&amp;" CORP",$CA$5)="#N/A N/A"),(_xll.BDP($G20&amp;" CORP",$CA$5)),"-"), '[1]Country Codes'!$A$2:$B$253,2,0)</f>
        <v>#N/A</v>
      </c>
      <c r="AK20" s="4" t="str" cm="1">
        <f t="array" ref="AK20">IF(OR(_xll.BDP($AI20,"EX028")= "#N/A N/A", _xll.BDP($AI20,"EX028")="#N/A FIELD NOT APPLICABLE"), " ", _xll.BDP($AI20,"EX028"))</f>
        <v>#N/A Connection</v>
      </c>
      <c r="AL20" s="15" t="str">
        <f>(IF(_xll.BDP($AI20&amp;" ISIN","DZ282")="Y","Single line Bonds Cocos","Single line Bonds ex Cocos"))</f>
        <v>Single line Bonds ex Cocos</v>
      </c>
      <c r="AM20" s="8" t="str">
        <f>(IF(_xll.BDP($G20&amp;" ISIN","SP153")="#n/a n/a"," ",_xll.BDP($G20&amp;" ISIN","SP153")))</f>
        <v>#N/A Connection</v>
      </c>
      <c r="AN20" s="16">
        <f t="shared" ca="1" si="6"/>
        <v>45783</v>
      </c>
      <c r="AO20" s="11" t="e">
        <f>(((_xll.BDP(AI20,"DS032"))/360)*I20)*O20</f>
        <v>#VALUE!</v>
      </c>
      <c r="AP20" s="11" t="e">
        <f>IF(F20="USD",AO20,(((_xll.BDP(F20&amp;"USD CURNCY","PX_LAST")))*AO20))</f>
        <v>#VALUE!</v>
      </c>
      <c r="AQ20" s="13" t="e">
        <f t="shared" si="10"/>
        <v>#VALUE!</v>
      </c>
      <c r="AR20" s="11" t="e">
        <f t="shared" si="7"/>
        <v>#VALUE!</v>
      </c>
      <c r="AS20" s="10" t="str">
        <f>IF((TEXT(_xll.BDP(AI20,"MATURITY"),"DD/MM/YYYY")="#N/A Field Not Applicable"),"Perp",_xll.BDP(AI20,"DS252"))</f>
        <v>#N/A Connection</v>
      </c>
      <c r="AT20" s="15" t="str">
        <f>(IF(_xll.BDP($AI20&amp;" ISIN","DT247")="Y","Yes","No"))</f>
        <v>No</v>
      </c>
      <c r="AU20" s="15" t="str">
        <f>PROPER(IF(OR(_xll.BDP($AI20,"CPN_TYP")="#n/a N/A",_xll.BDP($AI20,"CPN_TYP")= "#N/A FIELD NOT APPLICABLE"), " ", _xll.BDP($AI20,"CPN_TYP")))</f>
        <v>#N/A Connection</v>
      </c>
      <c r="BG20" s="17" t="str">
        <f t="shared" si="8"/>
        <v>XS2103157991</v>
      </c>
      <c r="BH20" s="17">
        <v>0.66910000000000003</v>
      </c>
      <c r="BI20" s="18">
        <v>5</v>
      </c>
      <c r="BJ20" s="19">
        <v>43851</v>
      </c>
      <c r="BK20" s="20"/>
    </row>
    <row r="21" spans="1:64" s="21" customFormat="1" ht="14.45" customHeight="1" x14ac:dyDescent="0.25">
      <c r="A21" s="114" t="s">
        <v>241</v>
      </c>
      <c r="B21" s="114" t="s">
        <v>249</v>
      </c>
      <c r="C21" s="114" t="s">
        <v>250</v>
      </c>
      <c r="D21" s="114" t="s">
        <v>240</v>
      </c>
      <c r="E21" s="115" t="str">
        <f>_xll.BDP(AI21,"ds520")</f>
        <v>#N/A Connection</v>
      </c>
      <c r="F21" s="115" t="str">
        <f>_xll.BDP(AI21,"crncy")</f>
        <v>#N/A Connection</v>
      </c>
      <c r="G21" s="115" t="s">
        <v>44</v>
      </c>
      <c r="H21" s="115" t="str">
        <f>IF(_xll.BDP(AI21,"RTG_MOODY")="#N/A N/A","N/A",_xll.BDP(AI21,"RTG_MOODY"))&amp;","&amp;IF(_xll.BDP(AI21,"RTG_FITCH")="#N/A N/A","N/A",_xll.BDP(AI21,"RTG_FITCH"))&amp;","&amp;IF(_xll.BDP(AI21,"RTG_SP")="#N/A N/A","N/A",_xll.BDP(AI21,"RTG_SP"))</f>
        <v>#N/A Connection,#N/A Connection,#N/A Connection</v>
      </c>
      <c r="I21" s="116" t="e">
        <f>_xll.BDP(AI21,"cpn")/100</f>
        <v>#VALUE!</v>
      </c>
      <c r="J21" s="116" t="e">
        <f ca="1">_xll.BDP($G21&amp;" isin","YAS_BOND_YLD", "YAS_YLD_FLAG=15", "user_local_trade_date",AN21,"Yas_bond_px",$Q21)/100</f>
        <v>#VALUE!</v>
      </c>
      <c r="K21" s="115" t="str">
        <f>_xll.BDP(AI21,"PAYMENT_RANK")</f>
        <v>#N/A Connection</v>
      </c>
      <c r="L21" s="115" t="str">
        <f>IF((TEXT(_xll.BDP(AI21,"MATURITY"),"DD/MM/YYYY")="#N/A Field Not Applicable"),"Perp",TEXT(_xll.BDP(AI21,"MATURITY"),"DD/MM/YYYY"))</f>
        <v>#N/A Connection</v>
      </c>
      <c r="M21" s="117" t="str">
        <f>(IF(_xll.BDP($AI21&amp;" ISIN","DU003")="#n/a n/a"," ",_xll.BDP($AI21&amp;" ISIN","DU003")))</f>
        <v>#N/A Connection</v>
      </c>
      <c r="N21" s="115" t="str">
        <f>IF(_xll.BDP(AI21,"CALLABLE")="Y",_xll.BDP(AI21,"NXT_CALL_DT")," ")</f>
        <v xml:space="preserve"> </v>
      </c>
      <c r="O21" s="118">
        <v>148491</v>
      </c>
      <c r="P21" s="115">
        <v>31.65776</v>
      </c>
      <c r="Q21" s="119" t="str">
        <f>_xll.BDP(AI21,"px_bid")</f>
        <v>#N/A Connection</v>
      </c>
      <c r="R21" s="120" t="e">
        <f>IF(F21="USD",AG21,(((_xll.BDP(F21&amp;"USD CURNCY","PX_LAST")))*AG21))</f>
        <v>#VALUE!</v>
      </c>
      <c r="S21" s="120" t="e">
        <f>IF(F21="USD",AH21,(((_xll.BDP(F21&amp;"USD CURNCY","PX_LAST")))*AH21))+AP21</f>
        <v>#VALUE!</v>
      </c>
      <c r="T21" s="121" t="e">
        <f t="shared" si="0"/>
        <v>#VALUE!</v>
      </c>
      <c r="U21" s="122" t="e">
        <f t="shared" si="1"/>
        <v>#VALUE!</v>
      </c>
      <c r="V21" s="122" t="str" cm="1">
        <f t="array" ref="V21">IFERROR(_xll.BDP($G21&amp;" ISIN","CHG_PCT_1D")/100,"")</f>
        <v/>
      </c>
      <c r="W21" s="122" t="str" cm="1">
        <f t="array" ref="W21">IFERROR(_xll.BDP($G21&amp;" ISIN","CHG_PCT_5D")/100,"")</f>
        <v/>
      </c>
      <c r="X21" s="122" t="e" cm="1">
        <f t="array" ref="X21">_xll.BDP($G21&amp;" ISIN","CHG_PCT_1M")/100</f>
        <v>#VALUE!</v>
      </c>
      <c r="Y21" s="122" t="e" cm="1">
        <f t="array" ref="Y21">_xll.BDP($G21&amp;" ISIN","CHG_PCT_3M")/100</f>
        <v>#VALUE!</v>
      </c>
      <c r="Z21" s="122" t="e" cm="1">
        <f t="array" ref="Z21">_xll.BDP($G21&amp;" ISIN","CHG_PCT_6M")/100</f>
        <v>#VALUE!</v>
      </c>
      <c r="AA21" s="13" t="e" cm="1">
        <f t="array" ref="AA21">_xll.BDP($G21&amp;" ISIN","CHG_PCT_YTD")/100</f>
        <v>#VALUE!</v>
      </c>
      <c r="AB21" s="13" t="e">
        <f t="shared" si="9"/>
        <v>#VALUE!</v>
      </c>
      <c r="AC21" s="118" t="e">
        <f t="shared" ca="1" si="2"/>
        <v>#VALUE!</v>
      </c>
      <c r="AD21" s="115" t="str">
        <f>_xll.BDP(AI21,"DS199")</f>
        <v>#N/A Connection</v>
      </c>
      <c r="AE21" s="119" t="str">
        <f>_xll.BDP(AI21,"px_ask")</f>
        <v>#N/A Connection</v>
      </c>
      <c r="AF21" s="118" t="e">
        <f>IF(F21="USD",O21,(((_xll.BDP(F21&amp;"USD CURNCY","PX_LAST")))*O21))</f>
        <v>#VALUE!</v>
      </c>
      <c r="AG21" s="120">
        <f t="shared" si="3"/>
        <v>47008.924401600001</v>
      </c>
      <c r="AH21" s="120" t="e">
        <f t="shared" si="4"/>
        <v>#VALUE!</v>
      </c>
      <c r="AI21" s="115" t="str">
        <f t="shared" si="5"/>
        <v>GB00BMBL1D50 ISIN</v>
      </c>
      <c r="AJ21" s="115" t="e" cm="1">
        <f t="array" ref="AJ21">VLOOKUP(IF(NOT(_xll.BDP($G21&amp;" CORP",$CA$5)="#N/A N/A"),(_xll.BDP($G21&amp;" CORP",$CA$5)),"-"), '[1]Country Codes'!$A$2:$B$253,2,0)</f>
        <v>#N/A</v>
      </c>
      <c r="AK21" s="115" t="str" cm="1">
        <f t="array" ref="AK21">IF(OR(_xll.BDP($AI21,"EX028")= "#N/A N/A", _xll.BDP($AI21,"EX028")="#N/A FIELD NOT APPLICABLE"), " ", _xll.BDP($AI21,"EX028"))</f>
        <v>#N/A Connection</v>
      </c>
      <c r="AL21" s="116" t="str">
        <f>(IF(_xll.BDP($AI21&amp;" ISIN","DZ282")="Y","Single line Bonds Cocos","Single line Bonds ex Cocos"))</f>
        <v>Single line Bonds ex Cocos</v>
      </c>
      <c r="AM21" s="117" t="str">
        <f>(IF(_xll.BDP($G21&amp;" ISIN","SP153")="#n/a n/a"," ",_xll.BDP($G21&amp;" ISIN","SP153")))</f>
        <v>#N/A Connection</v>
      </c>
      <c r="AN21" s="123">
        <f t="shared" ca="1" si="6"/>
        <v>45783</v>
      </c>
      <c r="AO21" s="120" t="e">
        <f>(((_xll.BDP(AI21,"DS032"))/360)*I21)*O21</f>
        <v>#VALUE!</v>
      </c>
      <c r="AP21" s="120" t="e">
        <f>IF(F21="USD",AO21,(((_xll.BDP(F21&amp;"USD CURNCY","PX_LAST")))*AO21))</f>
        <v>#VALUE!</v>
      </c>
      <c r="AQ21" s="122" t="e">
        <f t="shared" ref="AQ21:AQ29" si="11">S21/$S$111</f>
        <v>#VALUE!</v>
      </c>
      <c r="AR21" s="120" t="e">
        <f t="shared" si="7"/>
        <v>#VALUE!</v>
      </c>
      <c r="AS21" s="119" t="str">
        <f>IF((TEXT(_xll.BDP(AI21,"MATURITY"),"DD/MM/YYYY")="#N/A Field Not Applicable"),"Perp",_xll.BDP(AI21,"DS252"))</f>
        <v>#N/A Connection</v>
      </c>
      <c r="AT21" s="116" t="str">
        <f>(IF(_xll.BDP($AI21&amp;" ISIN","DT247")="Y","Yes","No"))</f>
        <v>No</v>
      </c>
      <c r="AU21" s="116" t="str">
        <f>PROPER(IF(OR(_xll.BDP($AI21,"CPN_TYP")="#n/a N/A",_xll.BDP($AI21,"CPN_TYP")= "#N/A FIELD NOT APPLICABLE"), " ", _xll.BDP($AI21,"CPN_TYP")))</f>
        <v>#N/A Connection</v>
      </c>
      <c r="AV21" s="124"/>
      <c r="AW21" s="124"/>
      <c r="AX21" s="124"/>
      <c r="AY21" s="124"/>
      <c r="AZ21" s="124"/>
      <c r="BA21" s="124"/>
      <c r="BB21" s="124"/>
      <c r="BC21" s="124"/>
      <c r="BD21" s="124"/>
      <c r="BE21" s="124"/>
      <c r="BF21" s="124"/>
      <c r="BG21" s="116" t="str">
        <f t="shared" si="8"/>
        <v>GB00BMBL1D50</v>
      </c>
      <c r="BH21" s="116">
        <v>0.82</v>
      </c>
      <c r="BI21" s="125">
        <v>2</v>
      </c>
      <c r="BJ21" s="123">
        <v>45509</v>
      </c>
      <c r="BK21" s="126">
        <v>1</v>
      </c>
      <c r="BL21" s="124"/>
    </row>
    <row r="22" spans="1:64" s="124" customFormat="1" ht="14.45" customHeight="1" x14ac:dyDescent="0.25">
      <c r="A22" s="49" t="s">
        <v>241</v>
      </c>
      <c r="B22" s="49" t="s">
        <v>249</v>
      </c>
      <c r="C22" s="49" t="s">
        <v>250</v>
      </c>
      <c r="D22" s="49" t="s">
        <v>240</v>
      </c>
      <c r="E22" s="4" t="str">
        <f>_xll.BDP(AI22,"ds520")</f>
        <v>#N/A Connection</v>
      </c>
      <c r="F22" s="4" t="str">
        <f>_xll.BDP(AI22,"crncy")</f>
        <v>#N/A Connection</v>
      </c>
      <c r="G22" s="5" t="s">
        <v>145</v>
      </c>
      <c r="H22" s="4" t="str">
        <f>IF(_xll.BDP(AI22,"RTG_MOODY")="#N/A N/A","N/A",_xll.BDP(AI22,"RTG_MOODY"))&amp;","&amp;IF(_xll.BDP(AI22,"RTG_FITCH")="#N/A N/A","N/A",_xll.BDP(AI22,"RTG_FITCH"))&amp;","&amp;IF(_xll.BDP(AI22,"RTG_SP")="#N/A N/A","N/A",_xll.BDP(AI22,"RTG_SP"))</f>
        <v>#N/A Connection,#N/A Connection,#N/A Connection</v>
      </c>
      <c r="I22" s="7" t="e">
        <f>_xll.BDP(AI22,"cpn")/100</f>
        <v>#VALUE!</v>
      </c>
      <c r="J22" s="7" t="e">
        <f ca="1">_xll.BDP($G22&amp;" isin","YAS_BOND_YLD", "YAS_YLD_FLAG=15", "user_local_trade_date",AN22,"Yas_bond_px",$Q22)/100</f>
        <v>#VALUE!</v>
      </c>
      <c r="K22" s="4" t="str">
        <f>_xll.BDP(AI22,"PAYMENT_RANK")</f>
        <v>#N/A Connection</v>
      </c>
      <c r="L22" s="4" t="str">
        <f>IF((TEXT(_xll.BDP(AI22,"MATURITY"),"DD/MM/YYYY")="#N/A Field Not Applicable"),"Perp",TEXT(_xll.BDP(AI22,"MATURITY"),"DD/MM/YYYY"))</f>
        <v>#N/A Connection</v>
      </c>
      <c r="M22" s="8" t="str">
        <f>(IF(_xll.BDP($AI22&amp;" ISIN","DU003")="#n/a n/a"," ",_xll.BDP($AI22&amp;" ISIN","DU003")))</f>
        <v>#N/A Connection</v>
      </c>
      <c r="N22" s="4" t="str">
        <f>IF(_xll.BDP(AI22,"CALLABLE")="Y",_xll.BDP(AI22,"NXT_CALL_DT")," ")</f>
        <v xml:space="preserve"> </v>
      </c>
      <c r="O22" s="9">
        <v>200000</v>
      </c>
      <c r="P22" s="5">
        <v>100.35</v>
      </c>
      <c r="Q22" s="10" t="str">
        <f>_xll.BDP(AI22,"px_bid")</f>
        <v>#N/A Connection</v>
      </c>
      <c r="R22" s="11" t="e">
        <f>IF(F22="USD",AG22,(((_xll.BDP(F22&amp;"USD CURNCY","PX_LAST")))*AG22))</f>
        <v>#VALUE!</v>
      </c>
      <c r="S22" s="11" t="e">
        <f>IF(F22="USD",AH22,(((_xll.BDP(F22&amp;"USD CURNCY","PX_LAST")))*AH22))+AP22</f>
        <v>#VALUE!</v>
      </c>
      <c r="T22" s="12" t="e">
        <f t="shared" si="0"/>
        <v>#VALUE!</v>
      </c>
      <c r="U22" s="13" t="e">
        <f t="shared" si="1"/>
        <v>#VALUE!</v>
      </c>
      <c r="V22" s="13" t="str" cm="1">
        <f t="array" ref="V22">IFERROR(_xll.BDP($G22&amp;" ISIN","CHG_PCT_1D")/100,"")</f>
        <v/>
      </c>
      <c r="W22" s="13" t="str" cm="1">
        <f t="array" ref="W22">IFERROR(_xll.BDP($G22&amp;" ISIN","CHG_PCT_5D")/100,"")</f>
        <v/>
      </c>
      <c r="X22" s="13" t="e" cm="1">
        <f t="array" ref="X22">_xll.BDP($G22&amp;" ISIN","CHG_PCT_1M")/100</f>
        <v>#VALUE!</v>
      </c>
      <c r="Y22" s="13" t="e" cm="1">
        <f t="array" ref="Y22">_xll.BDP($G22&amp;" ISIN","CHG_PCT_3M")/100</f>
        <v>#VALUE!</v>
      </c>
      <c r="Z22" s="13" t="e" cm="1">
        <f t="array" ref="Z22">_xll.BDP($G22&amp;" ISIN","CHG_PCT_6M")/100</f>
        <v>#VALUE!</v>
      </c>
      <c r="AA22" s="13" t="e" cm="1">
        <f t="array" ref="AA22">_xll.BDP($G22&amp;" ISIN","CHG_PCT_YTD")/100</f>
        <v>#VALUE!</v>
      </c>
      <c r="AB22" s="13" t="e">
        <f t="shared" si="9"/>
        <v>#VALUE!</v>
      </c>
      <c r="AC22" s="14" t="e">
        <f t="shared" ca="1" si="2"/>
        <v>#VALUE!</v>
      </c>
      <c r="AD22" s="4" t="str">
        <f>_xll.BDP(AI22,"DS199")</f>
        <v>#N/A Connection</v>
      </c>
      <c r="AE22" s="10" t="str">
        <f>_xll.BDP(AI22,"px_ask")</f>
        <v>#N/A Connection</v>
      </c>
      <c r="AF22" s="14" t="e">
        <f>IF(F22="USD",O22,(((_xll.BDP(F22&amp;"USD CURNCY","PX_LAST")))*O22))</f>
        <v>#VALUE!</v>
      </c>
      <c r="AG22" s="11">
        <f t="shared" si="3"/>
        <v>200700</v>
      </c>
      <c r="AH22" s="11" t="e">
        <f t="shared" si="4"/>
        <v>#VALUE!</v>
      </c>
      <c r="AI22" s="4" t="str">
        <f t="shared" si="5"/>
        <v>XS2010026727 ISIN</v>
      </c>
      <c r="AJ22" s="4" t="e" cm="1">
        <f t="array" ref="AJ22">VLOOKUP(IF(NOT(_xll.BDP($G22&amp;" CORP",$CA$5)="#N/A N/A"),(_xll.BDP($G22&amp;" CORP",$CA$5)),"-"), '[1]Country Codes'!$A$2:$B$253,2,0)</f>
        <v>#N/A</v>
      </c>
      <c r="AK22" s="4" t="str" cm="1">
        <f t="array" ref="AK22">IF(OR(_xll.BDP($AI22,"EX028")= "#N/A N/A", _xll.BDP($AI22,"EX028")="#N/A FIELD NOT APPLICABLE"), " ", _xll.BDP($AI22,"EX028"))</f>
        <v>#N/A Connection</v>
      </c>
      <c r="AL22" s="15" t="str">
        <f>(IF(_xll.BDP($AI22&amp;" ISIN","DZ282")="Y","Single line Bonds Cocos","Single line Bonds ex Cocos"))</f>
        <v>Single line Bonds ex Cocos</v>
      </c>
      <c r="AM22" s="8" t="str">
        <f>(IF(_xll.BDP($G22&amp;" ISIN","SP153")="#n/a n/a"," ",_xll.BDP($G22&amp;" ISIN","SP153")))</f>
        <v>#N/A Connection</v>
      </c>
      <c r="AN22" s="16">
        <f t="shared" ca="1" si="6"/>
        <v>45783</v>
      </c>
      <c r="AO22" s="11" t="e">
        <f>(((_xll.BDP(AI22,"DS032"))/360)*I22)*O22</f>
        <v>#VALUE!</v>
      </c>
      <c r="AP22" s="11" t="e">
        <f>IF(F22="USD",AO22,(((_xll.BDP(F22&amp;"USD CURNCY","PX_LAST")))*AO22))</f>
        <v>#VALUE!</v>
      </c>
      <c r="AQ22" s="13" t="e">
        <f t="shared" si="11"/>
        <v>#VALUE!</v>
      </c>
      <c r="AR22" s="11" t="e">
        <f t="shared" si="7"/>
        <v>#VALUE!</v>
      </c>
      <c r="AS22" s="10" t="str">
        <f>IF((TEXT(_xll.BDP(AI22,"MATURITY"),"DD/MM/YYYY")="#N/A Field Not Applicable"),"Perp",_xll.BDP(AI22,"DS252"))</f>
        <v>#N/A Connection</v>
      </c>
      <c r="AT22" s="15" t="str">
        <f>(IF(_xll.BDP($AI22&amp;" ISIN","DT247")="Y","Yes","No"))</f>
        <v>No</v>
      </c>
      <c r="AU22" s="15" t="str">
        <f>PROPER(IF(OR(_xll.BDP($AI22,"CPN_TYP")="#n/a N/A",_xll.BDP($AI22,"CPN_TYP")= "#N/A FIELD NOT APPLICABLE"), " ", _xll.BDP($AI22,"CPN_TYP")))</f>
        <v>#N/A Connection</v>
      </c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17" t="str">
        <f t="shared" si="8"/>
        <v>XS2010026727</v>
      </c>
      <c r="BH22" s="17">
        <v>0</v>
      </c>
      <c r="BI22" s="18">
        <v>5</v>
      </c>
      <c r="BJ22" s="19">
        <v>44510</v>
      </c>
      <c r="BK22" s="20">
        <v>1</v>
      </c>
      <c r="BL22" s="21"/>
    </row>
    <row r="23" spans="1:64" s="21" customFormat="1" ht="14.45" customHeight="1" x14ac:dyDescent="0.25">
      <c r="A23" s="49" t="s">
        <v>241</v>
      </c>
      <c r="B23" s="49" t="s">
        <v>249</v>
      </c>
      <c r="C23" s="49" t="s">
        <v>250</v>
      </c>
      <c r="D23" s="49" t="s">
        <v>240</v>
      </c>
      <c r="E23" s="4" t="str">
        <f>_xll.BDP(AI23,"ds520")</f>
        <v>TVF Varlik Kiralama AS</v>
      </c>
      <c r="F23" s="4" t="str">
        <f>_xll.BDP(AI23,"crncy")</f>
        <v>USD</v>
      </c>
      <c r="G23" s="5" t="s">
        <v>136</v>
      </c>
      <c r="H23" s="4" t="str">
        <f>IF(_xll.BDP(AI23,"RTG_MOODY")="#N/A N/A","N/A",_xll.BDP(AI23,"RTG_MOODY"))&amp;","&amp;IF(_xll.BDP(AI23,"RTG_FITCH")="#N/A N/A","N/A",_xll.BDP(AI23,"RTG_FITCH"))&amp;","&amp;IF(_xll.BDP(AI23,"RTG_SP")="#N/A N/A","N/A",_xll.BDP(AI23,"RTG_SP"))</f>
        <v>N/A,BB-,N/A</v>
      </c>
      <c r="I23" s="7">
        <f>_xll.BDP(AI23,"cpn")/100</f>
        <v>6.9500000000000006E-2</v>
      </c>
      <c r="J23" s="7">
        <f ca="1">_xll.BDP($G23&amp;" isin","YAS_BOND_YLD", "YAS_YLD_FLAG=15", "user_local_trade_date",AN23,"Yas_bond_px",$Q23)/100</f>
        <v>7.1722910000000001E-2</v>
      </c>
      <c r="K23" s="4" t="str">
        <f>_xll.BDP(AI23,"PAYMENT_RANK")</f>
        <v>Sr Unsecured</v>
      </c>
      <c r="L23" s="4" t="str">
        <f>IF((TEXT(_xll.BDP(AI23,"MATURITY"),"DD/MM/YYYY")="#N/A Field Not Applicable"),"Perp",TEXT(_xll.BDP(AI23,"MATURITY"),"DD/MM/YYYY"))</f>
        <v>23/01/2030</v>
      </c>
      <c r="M23" s="8">
        <f>(IF(_xll.BDP($AI23&amp;" ISIN","DU003")="#n/a n/a"," ",_xll.BDP($AI23&amp;" ISIN","DU003")))</f>
        <v>4.0302780432457386</v>
      </c>
      <c r="N23" s="4" t="str">
        <f>IF(_xll.BDP(AI23,"CALLABLE")="Y",_xll.BDP(AI23,"NXT_CALL_DT")," ")</f>
        <v xml:space="preserve"> </v>
      </c>
      <c r="O23" s="9">
        <v>200000</v>
      </c>
      <c r="P23" s="5">
        <v>100.01</v>
      </c>
      <c r="Q23" s="10">
        <f>_xll.BDP(AI23,"px_bid")</f>
        <v>99.11</v>
      </c>
      <c r="R23" s="11">
        <f>IF(F23="USD",AG23,(((_xll.BDP(F23&amp;"USD CURNCY","PX_LAST")))*AG23))</f>
        <v>200020</v>
      </c>
      <c r="S23" s="11">
        <f>IF(F23="USD",AH23,(((_xll.BDP(F23&amp;"USD CURNCY","PX_LAST")))*AH23))+AP23</f>
        <v>202042.5</v>
      </c>
      <c r="T23" s="12">
        <f t="shared" si="0"/>
        <v>-1800.0000000000114</v>
      </c>
      <c r="U23" s="13">
        <f t="shared" si="1"/>
        <v>-8.9991000899910575E-3</v>
      </c>
      <c r="V23" s="13" t="str" cm="1">
        <f t="array" ref="V23">IFERROR(_xll.BDP($G23&amp;" ISIN","CHG_PCT_1D")/100,"")</f>
        <v/>
      </c>
      <c r="W23" s="13" t="str" cm="1">
        <f t="array" ref="W23">IFERROR(_xll.BDP($G23&amp;" ISIN","CHG_PCT_5D")/100,"")</f>
        <v/>
      </c>
      <c r="X23" s="13" t="e" cm="1">
        <f t="array" ref="X23">_xll.BDP($G23&amp;" ISIN","CHG_PCT_1M")/100</f>
        <v>#VALUE!</v>
      </c>
      <c r="Y23" s="13" t="e" cm="1">
        <f t="array" ref="Y23">_xll.BDP($G23&amp;" ISIN","CHG_PCT_3M")/100</f>
        <v>#VALUE!</v>
      </c>
      <c r="Z23" s="13" t="e" cm="1">
        <f t="array" ref="Z23">_xll.BDP($G23&amp;" ISIN","CHG_PCT_6M")/100</f>
        <v>#VALUE!</v>
      </c>
      <c r="AA23" s="13" t="e" cm="1">
        <f t="array" ref="AA23">_xll.BDP($G23&amp;" ISIN","CHG_PCT_YTD")/100</f>
        <v>#VALUE!</v>
      </c>
      <c r="AB23" s="13" t="e">
        <f t="shared" si="9"/>
        <v>#VALUE!</v>
      </c>
      <c r="AC23" s="14">
        <f t="shared" ca="1" si="2"/>
        <v>5999.4444444444343</v>
      </c>
      <c r="AD23" s="4" t="str">
        <f>_xll.BDP(AI23,"DS199")</f>
        <v>Financial</v>
      </c>
      <c r="AE23" s="10">
        <f>_xll.BDP(AI23,"px_ask")</f>
        <v>99.495999999999995</v>
      </c>
      <c r="AF23" s="14">
        <f>IF(F23="USD",O23,(((_xll.BDP(F23&amp;"USD CURNCY","PX_LAST")))*O23))</f>
        <v>200000</v>
      </c>
      <c r="AG23" s="11">
        <f t="shared" si="3"/>
        <v>200020</v>
      </c>
      <c r="AH23" s="11">
        <f t="shared" si="4"/>
        <v>198220</v>
      </c>
      <c r="AI23" s="4" t="str">
        <f t="shared" si="5"/>
        <v>XS2911679004 ISIN</v>
      </c>
      <c r="AJ23" s="4" t="e" cm="1">
        <f t="array" ref="AJ23">VLOOKUP(IF(NOT(_xll.BDP($G23&amp;" CORP",$CA$5)="#N/A N/A"),(_xll.BDP($G23&amp;" CORP",$CA$5)),"-"), '[1]Country Codes'!$A$2:$B$253,2,0)</f>
        <v>#N/A</v>
      </c>
      <c r="AK23" s="4" t="str" cm="1">
        <f t="array" ref="AK23">IF(OR(_xll.BDP($AI23,"EX028")= "#N/A N/A", _xll.BDP($AI23,"EX028")="#N/A FIELD NOT APPLICABLE"), " ", _xll.BDP($AI23,"EX028"))</f>
        <v>FixedIncome</v>
      </c>
      <c r="AL23" s="15" t="str">
        <f>(IF(_xll.BDP($AI23&amp;" ISIN","DZ282")="Y","Single line Bonds Cocos","Single line Bonds ex Cocos"))</f>
        <v>Single line Bonds ex Cocos</v>
      </c>
      <c r="AM23" s="8">
        <f>(IF(_xll.BDP($G23&amp;" ISIN","SP153")="#n/a n/a"," ",_xll.BDP($G23&amp;" ISIN","SP153")))</f>
        <v>370.64895526953268</v>
      </c>
      <c r="AN23" s="16">
        <f t="shared" ca="1" si="6"/>
        <v>45783</v>
      </c>
      <c r="AO23" s="11">
        <f>(((_xll.BDP(AI23,"DS032"))/360)*I23)*O23</f>
        <v>3822.5000000000009</v>
      </c>
      <c r="AP23" s="11">
        <f>IF(F23="USD",AO23,(((_xll.BDP(F23&amp;"USD CURNCY","PX_LAST")))*AO23))</f>
        <v>3822.5000000000009</v>
      </c>
      <c r="AQ23" s="13">
        <f t="shared" si="11"/>
        <v>0.4</v>
      </c>
      <c r="AR23" s="11">
        <f t="shared" si="7"/>
        <v>198220</v>
      </c>
      <c r="AS23" s="10">
        <f>IF((TEXT(_xll.BDP(AI23,"MATURITY"),"DD/MM/YYYY")="#N/A Field Not Applicable"),"Perp",_xll.BDP(AI23,"DS252"))</f>
        <v>4.7337440109514031</v>
      </c>
      <c r="AT23" s="15" t="str">
        <f>(IF(_xll.BDP($AI23&amp;" ISIN","DT247")="Y","Yes","No"))</f>
        <v>No</v>
      </c>
      <c r="AU23" s="15" t="str">
        <f>PROPER(IF(OR(_xll.BDP($AI23,"CPN_TYP")="#n/a N/A",_xll.BDP($AI23,"CPN_TYP")= "#N/A FIELD NOT APPLICABLE"), " ", _xll.BDP($AI23,"CPN_TYP")))</f>
        <v>Fixed</v>
      </c>
      <c r="BG23" s="17" t="str">
        <f t="shared" si="8"/>
        <v>XS2911679004</v>
      </c>
      <c r="BH23" s="17">
        <v>0.72</v>
      </c>
      <c r="BI23" s="18">
        <v>3</v>
      </c>
      <c r="BJ23" s="19">
        <v>45581</v>
      </c>
      <c r="BK23" s="20">
        <v>1</v>
      </c>
    </row>
    <row r="24" spans="1:64" s="21" customFormat="1" ht="14.45" customHeight="1" x14ac:dyDescent="0.25">
      <c r="A24" s="49" t="s">
        <v>241</v>
      </c>
      <c r="B24" s="49" t="s">
        <v>249</v>
      </c>
      <c r="C24" s="49" t="s">
        <v>250</v>
      </c>
      <c r="D24" s="49" t="s">
        <v>240</v>
      </c>
      <c r="E24" s="4" t="str">
        <f>_xll.BDP(AI24,"ds520")</f>
        <v>#N/A Connection</v>
      </c>
      <c r="F24" s="4" t="str">
        <f>_xll.BDP(AI24,"crncy")</f>
        <v>#N/A Connection</v>
      </c>
      <c r="G24" s="5" t="s">
        <v>146</v>
      </c>
      <c r="H24" s="4" t="str">
        <f>IF(_xll.BDP(AI24,"RTG_MOODY")="#N/A N/A","N/A",_xll.BDP(AI24,"RTG_MOODY"))&amp;","&amp;IF(_xll.BDP(AI24,"RTG_FITCH")="#N/A N/A","N/A",_xll.BDP(AI24,"RTG_FITCH"))&amp;","&amp;IF(_xll.BDP(AI24,"RTG_SP")="#N/A N/A","N/A",_xll.BDP(AI24,"RTG_SP"))</f>
        <v>#N/A Connection,#N/A Connection,#N/A Connection</v>
      </c>
      <c r="I24" s="17">
        <v>0</v>
      </c>
      <c r="J24" s="17">
        <v>0</v>
      </c>
      <c r="K24" s="4" t="str">
        <f>_xll.BDP(AI24,"PAYMENT_RANK")</f>
        <v>#N/A Connection</v>
      </c>
      <c r="L24" s="4" t="str">
        <f>IF((TEXT(_xll.BDP(AI24,"MATURITY"),"DD/MM/YYYY")="#N/A Field Not Applicable"),"Perp",TEXT(_xll.BDP(AI24,"MATURITY"),"DD/MM/YYYY"))</f>
        <v>#N/A Connection</v>
      </c>
      <c r="M24" s="8" t="str">
        <f>(IF(_xll.BDP($AI24&amp;" ISIN","DU003")="#n/a n/a"," ",_xll.BDP($AI24&amp;" ISIN","DU003")))</f>
        <v>#N/A Connection</v>
      </c>
      <c r="N24" s="4" t="str">
        <f>IF(_xll.BDP(AI24,"CALLABLE")="Y",_xll.BDP(AI24,"NXT_CALL_DT")," ")</f>
        <v xml:space="preserve"> </v>
      </c>
      <c r="O24" s="9">
        <v>200000</v>
      </c>
      <c r="P24" s="5">
        <v>100.01</v>
      </c>
      <c r="Q24" s="10" t="str">
        <f>_xll.BDP(AI24,"px_bid")</f>
        <v>#N/A Connection</v>
      </c>
      <c r="R24" s="11" t="e">
        <f>IF(F24="USD",AG24,(((_xll.BDP(F24&amp;"USD CURNCY","PX_LAST")))*AG24))</f>
        <v>#VALUE!</v>
      </c>
      <c r="S24" s="11" t="e">
        <f>IF(F24="USD",AH24,(((_xll.BDP(F24&amp;"USD CURNCY","PX_LAST")))*AH24))+AP24</f>
        <v>#VALUE!</v>
      </c>
      <c r="T24" s="12" t="e">
        <f t="shared" si="0"/>
        <v>#VALUE!</v>
      </c>
      <c r="U24" s="13" t="e">
        <f t="shared" si="1"/>
        <v>#VALUE!</v>
      </c>
      <c r="V24" s="13" t="str" cm="1">
        <f t="array" ref="V24">IFERROR(_xll.BDP($G24&amp;" ISIN","CHG_PCT_1D")/100,"")</f>
        <v/>
      </c>
      <c r="W24" s="13" t="str" cm="1">
        <f t="array" ref="W24">IFERROR(_xll.BDP($G24&amp;" ISIN","CHG_PCT_5D")/100,"")</f>
        <v/>
      </c>
      <c r="X24" s="13" t="e" cm="1">
        <f t="array" ref="X24">_xll.BDP($G24&amp;" ISIN","CHG_PCT_1M")/100</f>
        <v>#VALUE!</v>
      </c>
      <c r="Y24" s="13" t="e" cm="1">
        <f t="array" ref="Y24">_xll.BDP($G24&amp;" ISIN","CHG_PCT_3M")/100</f>
        <v>#VALUE!</v>
      </c>
      <c r="Z24" s="13" t="e" cm="1">
        <f t="array" ref="Z24">_xll.BDP($G24&amp;" ISIN","CHG_PCT_6M")/100</f>
        <v>#VALUE!</v>
      </c>
      <c r="AA24" s="13" t="e" cm="1">
        <f t="array" ref="AA24">_xll.BDP($G24&amp;" ISIN","CHG_PCT_YTD")/100</f>
        <v>#VALUE!</v>
      </c>
      <c r="AB24" s="13" t="e">
        <f t="shared" si="9"/>
        <v>#VALUE!</v>
      </c>
      <c r="AC24" s="14" t="e">
        <f t="shared" ca="1" si="2"/>
        <v>#VALUE!</v>
      </c>
      <c r="AD24" s="4" t="str">
        <f>_xll.BDP(AI24,"DS199")</f>
        <v>#N/A Connection</v>
      </c>
      <c r="AE24" s="10" t="str">
        <f>_xll.BDP(AI24,"px_ask")</f>
        <v>#N/A Connection</v>
      </c>
      <c r="AF24" s="14" t="e">
        <f>IF(F24="USD",O24,(((_xll.BDP(F24&amp;"USD CURNCY","PX_LAST")))*O24))</f>
        <v>#VALUE!</v>
      </c>
      <c r="AG24" s="11">
        <f t="shared" si="3"/>
        <v>200020</v>
      </c>
      <c r="AH24" s="11" t="e">
        <f t="shared" si="4"/>
        <v>#VALUE!</v>
      </c>
      <c r="AI24" s="4" t="str">
        <f t="shared" si="5"/>
        <v>XS2333280571 ISIN</v>
      </c>
      <c r="AJ24" s="4" t="e" cm="1">
        <f t="array" ref="AJ24">VLOOKUP(IF(NOT(_xll.BDP($G24&amp;" CORP",$CA$5)="#N/A N/A"),(_xll.BDP($G24&amp;" CORP",$CA$5)),"-"), '[1]Country Codes'!$A$2:$B$253,2,0)</f>
        <v>#N/A</v>
      </c>
      <c r="AK24" s="4" t="str" cm="1">
        <f t="array" ref="AK24">IF(OR(_xll.BDP($AI24,"EX028")= "#N/A N/A", _xll.BDP($AI24,"EX028")="#N/A FIELD NOT APPLICABLE"), " ", _xll.BDP($AI24,"EX028"))</f>
        <v>#N/A Connection</v>
      </c>
      <c r="AL24" s="15" t="str">
        <f>(IF(_xll.BDP($AI24&amp;" ISIN","DZ282")="Y","Single line Bonds Cocos","Single line Bonds ex Cocos"))</f>
        <v>Single line Bonds ex Cocos</v>
      </c>
      <c r="AM24" s="8" t="str">
        <f>(IF(_xll.BDP($G24&amp;" ISIN","SP153")="#n/a n/a"," ",_xll.BDP($G24&amp;" ISIN","SP153")))</f>
        <v>#N/A Connection</v>
      </c>
      <c r="AN24" s="16">
        <f t="shared" ca="1" si="6"/>
        <v>45783</v>
      </c>
      <c r="AO24" s="11" t="e">
        <f>(((_xll.BDP(AI24,"DS032"))/360)*I24)*O24</f>
        <v>#VALUE!</v>
      </c>
      <c r="AP24" s="11" t="e">
        <f>IF(F24="USD",AO24,(((_xll.BDP(F24&amp;"USD CURNCY","PX_LAST")))*AO24))</f>
        <v>#VALUE!</v>
      </c>
      <c r="AQ24" s="13" t="e">
        <f t="shared" si="11"/>
        <v>#VALUE!</v>
      </c>
      <c r="AR24" s="11" t="e">
        <f t="shared" si="7"/>
        <v>#VALUE!</v>
      </c>
      <c r="AS24" s="10" t="str">
        <f>IF((TEXT(_xll.BDP(AI24,"MATURITY"),"DD/MM/YYYY")="#N/A Field Not Applicable"),"Perp",_xll.BDP(AI24,"DS252"))</f>
        <v>#N/A Connection</v>
      </c>
      <c r="AT24" s="15" t="str">
        <f>(IF(_xll.BDP($AI24&amp;" ISIN","DT247")="Y","Yes","No"))</f>
        <v>No</v>
      </c>
      <c r="AU24" s="15" t="str">
        <f>PROPER(IF(OR(_xll.BDP($AI24,"CPN_TYP")="#n/a N/A",_xll.BDP($AI24,"CPN_TYP")= "#N/A FIELD NOT APPLICABLE"), " ", _xll.BDP($AI24,"CPN_TYP")))</f>
        <v>#N/A Connection</v>
      </c>
      <c r="BG24" s="17" t="str">
        <f t="shared" si="8"/>
        <v>XS2333280571</v>
      </c>
      <c r="BH24" s="17">
        <v>0.77</v>
      </c>
      <c r="BI24" s="18">
        <v>3</v>
      </c>
      <c r="BJ24" s="19">
        <v>44305</v>
      </c>
      <c r="BK24" s="20">
        <v>1</v>
      </c>
    </row>
    <row r="25" spans="1:64" s="21" customFormat="1" ht="14.45" customHeight="1" x14ac:dyDescent="0.25">
      <c r="A25" s="49" t="s">
        <v>241</v>
      </c>
      <c r="B25" s="49" t="s">
        <v>249</v>
      </c>
      <c r="C25" s="49" t="s">
        <v>250</v>
      </c>
      <c r="D25" s="49" t="s">
        <v>240</v>
      </c>
      <c r="E25" s="4" t="str">
        <f>_xll.BDP(AI25,"ds520")</f>
        <v>#N/A Connection</v>
      </c>
      <c r="F25" s="4" t="str">
        <f>_xll.BDP(AI25,"crncy")</f>
        <v>#N/A Connection</v>
      </c>
      <c r="G25" s="5" t="s">
        <v>45</v>
      </c>
      <c r="H25" s="4" t="str">
        <f>IF(_xll.BDP(AI25,"RTG_MOODY")="#N/A N/A","N/A",_xll.BDP(AI25,"RTG_MOODY"))&amp;","&amp;IF(_xll.BDP(AI25,"RTG_FITCH")="#N/A N/A","N/A",_xll.BDP(AI25,"RTG_FITCH"))&amp;","&amp;IF(_xll.BDP(AI25,"RTG_SP")="#N/A N/A","N/A",_xll.BDP(AI25,"RTG_SP"))</f>
        <v>#N/A Connection,#N/A Connection,#N/A Connection</v>
      </c>
      <c r="I25" s="7" t="e">
        <f>_xll.BDP(AI25,"cpn")/100</f>
        <v>#VALUE!</v>
      </c>
      <c r="J25" s="7" t="e">
        <f ca="1">_xll.BDP($G25&amp;" isin","YAS_BOND_YLD", "YAS_YLD_FLAG=15", "user_local_trade_date",AN25,"Yas_bond_px",$Q25)/100</f>
        <v>#VALUE!</v>
      </c>
      <c r="K25" s="4" t="str">
        <f>_xll.BDP(AI25,"PAYMENT_RANK")</f>
        <v>#N/A Connection</v>
      </c>
      <c r="L25" s="4" t="str">
        <f>IF((TEXT(_xll.BDP(AI25,"MATURITY"),"DD/MM/YYYY")="#N/A Field Not Applicable"),"Perp",TEXT(_xll.BDP(AI25,"MATURITY"),"DD/MM/YYYY"))</f>
        <v>#N/A Connection</v>
      </c>
      <c r="M25" s="8" t="str">
        <f>(IF(_xll.BDP($AI25&amp;" ISIN","DU003")="#n/a n/a"," ",_xll.BDP($AI25&amp;" ISIN","DU003")))</f>
        <v>#N/A Connection</v>
      </c>
      <c r="N25" s="4" t="str">
        <f>IF(_xll.BDP(AI25,"CALLABLE")="Y",_xll.BDP(AI25,"NXT_CALL_DT")," ")</f>
        <v xml:space="preserve"> </v>
      </c>
      <c r="O25" s="9">
        <v>200000</v>
      </c>
      <c r="P25" s="5">
        <v>98.781000000000006</v>
      </c>
      <c r="Q25" s="10" t="str">
        <f>_xll.BDP(AI25,"px_bid")</f>
        <v>#N/A Connection</v>
      </c>
      <c r="R25" s="11" t="e">
        <f>IF(F25="USD",AG25,(((_xll.BDP(F25&amp;"USD CURNCY","PX_LAST")))*AG25))</f>
        <v>#VALUE!</v>
      </c>
      <c r="S25" s="11" t="e">
        <f>IF(F25="USD",AH25,(((_xll.BDP(F25&amp;"USD CURNCY","PX_LAST")))*AH25))+AP25</f>
        <v>#VALUE!</v>
      </c>
      <c r="T25" s="12" t="e">
        <f t="shared" si="0"/>
        <v>#VALUE!</v>
      </c>
      <c r="U25" s="13" t="e">
        <f t="shared" si="1"/>
        <v>#VALUE!</v>
      </c>
      <c r="V25" s="13" t="str" cm="1">
        <f t="array" ref="V25">IFERROR(_xll.BDP($G25&amp;" ISIN","CHG_PCT_1D")/100,"")</f>
        <v/>
      </c>
      <c r="W25" s="13" t="str" cm="1">
        <f t="array" ref="W25">IFERROR(_xll.BDP($G25&amp;" ISIN","CHG_PCT_5D")/100,"")</f>
        <v/>
      </c>
      <c r="X25" s="13" t="e" cm="1">
        <f t="array" ref="X25">_xll.BDP($G25&amp;" ISIN","CHG_PCT_1M")/100</f>
        <v>#VALUE!</v>
      </c>
      <c r="Y25" s="13" t="e" cm="1">
        <f t="array" ref="Y25">_xll.BDP($G25&amp;" ISIN","CHG_PCT_3M")/100</f>
        <v>#VALUE!</v>
      </c>
      <c r="Z25" s="13" t="e" cm="1">
        <f t="array" ref="Z25">_xll.BDP($G25&amp;" ISIN","CHG_PCT_6M")/100</f>
        <v>#VALUE!</v>
      </c>
      <c r="AA25" s="13" t="e" cm="1">
        <f t="array" ref="AA25">_xll.BDP($G25&amp;" ISIN","CHG_PCT_YTD")/100</f>
        <v>#VALUE!</v>
      </c>
      <c r="AB25" s="13" t="e">
        <f t="shared" si="9"/>
        <v>#VALUE!</v>
      </c>
      <c r="AC25" s="14" t="e">
        <f t="shared" ca="1" si="2"/>
        <v>#VALUE!</v>
      </c>
      <c r="AD25" s="4" t="str">
        <f>_xll.BDP(AI25,"DS199")</f>
        <v>#N/A Connection</v>
      </c>
      <c r="AE25" s="10" t="str">
        <f>_xll.BDP(AI25,"px_ask")</f>
        <v>#N/A Connection</v>
      </c>
      <c r="AF25" s="14" t="e">
        <f>IF(F25="USD",O25,(((_xll.BDP(F25&amp;"USD CURNCY","PX_LAST")))*O25))</f>
        <v>#VALUE!</v>
      </c>
      <c r="AG25" s="11">
        <f t="shared" si="3"/>
        <v>197562</v>
      </c>
      <c r="AH25" s="11" t="e">
        <f t="shared" si="4"/>
        <v>#VALUE!</v>
      </c>
      <c r="AI25" s="4" t="str">
        <f t="shared" si="5"/>
        <v>PAL63444B5A9 ISIN</v>
      </c>
      <c r="AJ25" s="4" t="e" cm="1">
        <f t="array" ref="AJ25">VLOOKUP(IF(NOT(_xll.BDP($G25&amp;" CORP",$CA$5)="#N/A N/A"),(_xll.BDP($G25&amp;" CORP",$CA$5)),"-"), '[1]Country Codes'!$A$2:$B$253,2,0)</f>
        <v>#N/A</v>
      </c>
      <c r="AK25" s="4" t="str" cm="1">
        <f t="array" ref="AK25">IF(OR(_xll.BDP($AI25,"EX028")= "#N/A N/A", _xll.BDP($AI25,"EX028")="#N/A FIELD NOT APPLICABLE"), " ", _xll.BDP($AI25,"EX028"))</f>
        <v>#N/A Connection</v>
      </c>
      <c r="AL25" s="15" t="str">
        <f>(IF(_xll.BDP($AI25&amp;" ISIN","DZ282")="Y","Single line Bonds Cocos","Single line Bonds ex Cocos"))</f>
        <v>Single line Bonds ex Cocos</v>
      </c>
      <c r="AM25" s="8" t="str">
        <f>(IF(_xll.BDP($G25&amp;" ISIN","SP153")="#n/a n/a"," ",_xll.BDP($G25&amp;" ISIN","SP153")))</f>
        <v>#N/A Connection</v>
      </c>
      <c r="AN25" s="16">
        <f t="shared" ca="1" si="6"/>
        <v>45783</v>
      </c>
      <c r="AO25" s="11" t="e">
        <f>(((_xll.BDP(AI25,"DS032"))/360)*I25)*O25</f>
        <v>#VALUE!</v>
      </c>
      <c r="AP25" s="11" t="e">
        <f>IF(F25="USD",AO25,(((_xll.BDP(F25&amp;"USD CURNCY","PX_LAST")))*AO25))</f>
        <v>#VALUE!</v>
      </c>
      <c r="AQ25" s="13" t="e">
        <f t="shared" si="11"/>
        <v>#VALUE!</v>
      </c>
      <c r="AR25" s="11" t="e">
        <f t="shared" si="7"/>
        <v>#VALUE!</v>
      </c>
      <c r="AS25" s="10" t="str">
        <f>IF((TEXT(_xll.BDP(AI25,"MATURITY"),"DD/MM/YYYY")="#N/A Field Not Applicable"),"Perp",_xll.BDP(AI25,"DS252"))</f>
        <v>#N/A Connection</v>
      </c>
      <c r="AT25" s="15" t="str">
        <f>(IF(_xll.BDP($AI25&amp;" ISIN","DT247")="Y","Yes","No"))</f>
        <v>No</v>
      </c>
      <c r="AU25" s="15" t="str">
        <f>PROPER(IF(OR(_xll.BDP($AI25,"CPN_TYP")="#n/a N/A",_xll.BDP($AI25,"CPN_TYP")= "#N/A FIELD NOT APPLICABLE"), " ", _xll.BDP($AI25,"CPN_TYP")))</f>
        <v>#N/A Connection</v>
      </c>
      <c r="BG25" s="17" t="str">
        <f t="shared" si="8"/>
        <v>PAL63444B5A9</v>
      </c>
      <c r="BH25" s="17">
        <v>0.82</v>
      </c>
      <c r="BI25" s="18">
        <v>5</v>
      </c>
      <c r="BJ25" s="19">
        <v>45125</v>
      </c>
      <c r="BK25" s="20">
        <v>1</v>
      </c>
    </row>
    <row r="26" spans="1:64" s="21" customFormat="1" ht="14.45" customHeight="1" x14ac:dyDescent="0.25">
      <c r="A26" s="49" t="s">
        <v>241</v>
      </c>
      <c r="B26" s="49" t="s">
        <v>249</v>
      </c>
      <c r="C26" s="49" t="s">
        <v>250</v>
      </c>
      <c r="D26" s="49" t="s">
        <v>240</v>
      </c>
      <c r="E26" s="4" t="str">
        <f>_xll.BDP(AI26,"ds520")</f>
        <v>#N/A Connection</v>
      </c>
      <c r="F26" s="4" t="str">
        <f>_xll.BDP(AI26,"crncy")</f>
        <v>#N/A Connection</v>
      </c>
      <c r="G26" s="5" t="s">
        <v>148</v>
      </c>
      <c r="H26" s="4" t="str">
        <f>IF(_xll.BDP(AI26,"RTG_MOODY")="#N/A N/A","N/A",_xll.BDP(AI26,"RTG_MOODY"))&amp;","&amp;IF(_xll.BDP(AI26,"RTG_FITCH")="#N/A N/A","N/A",_xll.BDP(AI26,"RTG_FITCH"))&amp;","&amp;IF(_xll.BDP(AI26,"RTG_SP")="#N/A N/A","N/A",_xll.BDP(AI26,"RTG_SP"))</f>
        <v>#N/A Connection,#N/A Connection,#N/A Connection</v>
      </c>
      <c r="I26" s="7" t="e">
        <f>_xll.BDP(AI26,"cpn")/100</f>
        <v>#VALUE!</v>
      </c>
      <c r="J26" s="7" t="e">
        <f ca="1">_xll.BDP($G26&amp;" isin","YAS_BOND_YLD", "YAS_YLD_FLAG=15", "user_local_trade_date",AN26,"Yas_bond_px",$Q26)/100</f>
        <v>#VALUE!</v>
      </c>
      <c r="K26" s="4" t="str">
        <f>_xll.BDP(AI26,"PAYMENT_RANK")</f>
        <v>#N/A Connection</v>
      </c>
      <c r="L26" s="4" t="str">
        <f>IF((TEXT(_xll.BDP(AI26,"MATURITY"),"DD/MM/YYYY")="#N/A Field Not Applicable"),"Perp",TEXT(_xll.BDP(AI26,"MATURITY"),"DD/MM/YYYY"))</f>
        <v>#N/A Connection</v>
      </c>
      <c r="M26" s="8" t="str">
        <f>(IF(_xll.BDP($AI26&amp;" ISIN","DU003")="#n/a n/a"," ",_xll.BDP($AI26&amp;" ISIN","DU003")))</f>
        <v>#N/A Connection</v>
      </c>
      <c r="N26" s="4" t="str">
        <f>IF(_xll.BDP(AI26,"CALLABLE")="Y",_xll.BDP(AI26,"NXT_CALL_DT")," ")</f>
        <v xml:space="preserve"> </v>
      </c>
      <c r="O26" s="9">
        <v>200000</v>
      </c>
      <c r="P26" s="5">
        <v>102.639</v>
      </c>
      <c r="Q26" s="10" t="str">
        <f>_xll.BDP(AI26,"px_bid")</f>
        <v>#N/A Connection</v>
      </c>
      <c r="R26" s="11" t="e">
        <f>IF(F26="USD",AG26,(((_xll.BDP(F26&amp;"USD CURNCY","PX_LAST")))*AG26))</f>
        <v>#VALUE!</v>
      </c>
      <c r="S26" s="11" t="e">
        <f>IF(F26="USD",AH26,(((_xll.BDP(F26&amp;"USD CURNCY","PX_LAST")))*AH26))+AP26</f>
        <v>#VALUE!</v>
      </c>
      <c r="T26" s="12" t="e">
        <f t="shared" si="0"/>
        <v>#VALUE!</v>
      </c>
      <c r="U26" s="13" t="e">
        <f t="shared" si="1"/>
        <v>#VALUE!</v>
      </c>
      <c r="V26" s="13" t="str" cm="1">
        <f t="array" ref="V26">IFERROR(_xll.BDP($G26&amp;" ISIN","CHG_PCT_1D")/100,"")</f>
        <v/>
      </c>
      <c r="W26" s="13" t="str" cm="1">
        <f t="array" ref="W26">IFERROR(_xll.BDP($G26&amp;" ISIN","CHG_PCT_5D")/100,"")</f>
        <v/>
      </c>
      <c r="X26" s="13" t="e" cm="1">
        <f t="array" ref="X26">_xll.BDP($G26&amp;" ISIN","CHG_PCT_1M")/100</f>
        <v>#VALUE!</v>
      </c>
      <c r="Y26" s="13" t="e" cm="1">
        <f t="array" ref="Y26">_xll.BDP($G26&amp;" ISIN","CHG_PCT_3M")/100</f>
        <v>#VALUE!</v>
      </c>
      <c r="Z26" s="13" t="e" cm="1">
        <f t="array" ref="Z26">_xll.BDP($G26&amp;" ISIN","CHG_PCT_6M")/100</f>
        <v>#VALUE!</v>
      </c>
      <c r="AA26" s="13" t="e" cm="1">
        <f t="array" ref="AA26">_xll.BDP($G26&amp;" ISIN","CHG_PCT_YTD")/100</f>
        <v>#VALUE!</v>
      </c>
      <c r="AB26" s="13" t="e">
        <f t="shared" si="9"/>
        <v>#VALUE!</v>
      </c>
      <c r="AC26" s="14" t="e">
        <f t="shared" ca="1" si="2"/>
        <v>#VALUE!</v>
      </c>
      <c r="AD26" s="4" t="str">
        <f>_xll.BDP(AI26,"DS199")</f>
        <v>#N/A Connection</v>
      </c>
      <c r="AE26" s="10" t="str">
        <f>_xll.BDP(AI26,"px_ask")</f>
        <v>#N/A Connection</v>
      </c>
      <c r="AF26" s="14" t="e">
        <f>IF(F26="USD",O26,(((_xll.BDP(F26&amp;"USD CURNCY","PX_LAST")))*O26))</f>
        <v>#VALUE!</v>
      </c>
      <c r="AG26" s="11">
        <f t="shared" si="3"/>
        <v>205278</v>
      </c>
      <c r="AH26" s="11" t="e">
        <f t="shared" si="4"/>
        <v>#VALUE!</v>
      </c>
      <c r="AI26" s="4" t="str">
        <f t="shared" si="5"/>
        <v>US251526CT41 ISIN</v>
      </c>
      <c r="AJ26" s="4" t="e" cm="1">
        <f t="array" ref="AJ26">VLOOKUP(IF(NOT(_xll.BDP($G26&amp;" CORP",$CA$5)="#N/A N/A"),(_xll.BDP($G26&amp;" CORP",$CA$5)),"-"), '[1]Country Codes'!$A$2:$B$253,2,0)</f>
        <v>#N/A</v>
      </c>
      <c r="AK26" s="4" t="str" cm="1">
        <f t="array" ref="AK26">IF(OR(_xll.BDP($AI26,"EX028")= "#N/A N/A", _xll.BDP($AI26,"EX028")="#N/A FIELD NOT APPLICABLE"), " ", _xll.BDP($AI26,"EX028"))</f>
        <v>#N/A Connection</v>
      </c>
      <c r="AL26" s="15" t="str">
        <f>(IF(_xll.BDP($AI26&amp;" ISIN","DZ282")="Y","Single line Bonds Cocos","Single line Bonds ex Cocos"))</f>
        <v>Single line Bonds ex Cocos</v>
      </c>
      <c r="AM26" s="8" t="str">
        <f>(IF(_xll.BDP($G26&amp;" ISIN","SP153")="#n/a n/a"," ",_xll.BDP($G26&amp;" ISIN","SP153")))</f>
        <v>#N/A Connection</v>
      </c>
      <c r="AN26" s="16">
        <f t="shared" ca="1" si="6"/>
        <v>45783</v>
      </c>
      <c r="AO26" s="11" t="e">
        <f>(((_xll.BDP(AI26,"DS032"))/360)*I26)*O26</f>
        <v>#VALUE!</v>
      </c>
      <c r="AP26" s="11" t="e">
        <f>IF(F26="USD",AO26,(((_xll.BDP(F26&amp;"USD CURNCY","PX_LAST")))*AO26))</f>
        <v>#VALUE!</v>
      </c>
      <c r="AQ26" s="13" t="e">
        <f t="shared" si="11"/>
        <v>#VALUE!</v>
      </c>
      <c r="AR26" s="11" t="e">
        <f t="shared" si="7"/>
        <v>#VALUE!</v>
      </c>
      <c r="AS26" s="10" t="str">
        <f>IF((TEXT(_xll.BDP(AI26,"MATURITY"),"DD/MM/YYYY")="#N/A Field Not Applicable"),"Perp",_xll.BDP(AI26,"DS252"))</f>
        <v>#N/A Connection</v>
      </c>
      <c r="AT26" s="15" t="str">
        <f>(IF(_xll.BDP($AI26&amp;" ISIN","DT247")="Y","Yes","No"))</f>
        <v>No</v>
      </c>
      <c r="AU26" s="15" t="str">
        <f>PROPER(IF(OR(_xll.BDP($AI26,"CPN_TYP")="#n/a N/A",_xll.BDP($AI26,"CPN_TYP")= "#N/A FIELD NOT APPLICABLE"), " ", _xll.BDP($AI26,"CPN_TYP")))</f>
        <v>#N/A Connection</v>
      </c>
      <c r="BG26" s="17" t="str">
        <f t="shared" si="8"/>
        <v>US251526CT41</v>
      </c>
      <c r="BH26" s="17">
        <v>0.72</v>
      </c>
      <c r="BI26" s="18">
        <v>4</v>
      </c>
      <c r="BJ26" s="19">
        <v>45463</v>
      </c>
      <c r="BK26" s="20">
        <v>1</v>
      </c>
    </row>
    <row r="27" spans="1:64" s="21" customFormat="1" ht="14.45" customHeight="1" x14ac:dyDescent="0.25">
      <c r="A27" s="49" t="s">
        <v>241</v>
      </c>
      <c r="B27" s="49" t="s">
        <v>249</v>
      </c>
      <c r="C27" s="49" t="s">
        <v>250</v>
      </c>
      <c r="D27" s="49" t="s">
        <v>240</v>
      </c>
      <c r="E27" s="4" t="str">
        <f>_xll.BDP(AI27,"ds520")</f>
        <v>#N/A Connection</v>
      </c>
      <c r="F27" s="4" t="str">
        <f>_xll.BDP(AI27,"crncy")</f>
        <v>#N/A Connection</v>
      </c>
      <c r="G27" s="5" t="s">
        <v>149</v>
      </c>
      <c r="H27" s="4" t="str">
        <f>IF(_xll.BDP(AI27,"RTG_MOODY")="#N/A N/A","N/A",_xll.BDP(AI27,"RTG_MOODY"))&amp;","&amp;IF(_xll.BDP(AI27,"RTG_FITCH")="#N/A N/A","N/A",_xll.BDP(AI27,"RTG_FITCH"))&amp;","&amp;IF(_xll.BDP(AI27,"RTG_SP")="#N/A N/A","N/A",_xll.BDP(AI27,"RTG_SP"))</f>
        <v>#N/A Connection,#N/A Connection,#N/A Connection</v>
      </c>
      <c r="I27" s="7" t="e">
        <f>_xll.BDP(AI27,"cpn")/100</f>
        <v>#VALUE!</v>
      </c>
      <c r="J27" s="7" t="e">
        <f ca="1">_xll.BDP($G27&amp;" isin","YAS_BOND_YLD", "YAS_YLD_FLAG=15", "user_local_trade_date",AN27,"Yas_bond_px",$Q27)/100</f>
        <v>#VALUE!</v>
      </c>
      <c r="K27" s="4" t="str">
        <f>_xll.BDP(AI27,"PAYMENT_RANK")</f>
        <v>#N/A Connection</v>
      </c>
      <c r="L27" s="4" t="str">
        <f>IF((TEXT(_xll.BDP(AI27,"MATURITY"),"DD/MM/YYYY")="#N/A Field Not Applicable"),"Perp",TEXT(_xll.BDP(AI27,"MATURITY"),"DD/MM/YYYY"))</f>
        <v>#N/A Connection</v>
      </c>
      <c r="M27" s="8" t="str">
        <f>(IF(_xll.BDP($AI27&amp;" ISIN","DU003")="#n/a n/a"," ",_xll.BDP($AI27&amp;" ISIN","DU003")))</f>
        <v>#N/A Connection</v>
      </c>
      <c r="N27" s="4" t="str">
        <f>IF(_xll.BDP(AI27,"CALLABLE")="Y",_xll.BDP(AI27,"NXT_CALL_DT")," ")</f>
        <v xml:space="preserve"> </v>
      </c>
      <c r="O27" s="9">
        <v>200000</v>
      </c>
      <c r="P27" s="5">
        <v>100.01</v>
      </c>
      <c r="Q27" s="10" t="str">
        <f>_xll.BDP(AI27,"px_bid")</f>
        <v>#N/A Connection</v>
      </c>
      <c r="R27" s="11" t="e">
        <f>IF(F27="USD",AG27,(((_xll.BDP(F27&amp;"USD CURNCY","PX_LAST")))*AG27))</f>
        <v>#VALUE!</v>
      </c>
      <c r="S27" s="11" t="e">
        <f>IF(F27="USD",AH27,(((_xll.BDP(F27&amp;"USD CURNCY","PX_LAST")))*AH27))+AP27</f>
        <v>#VALUE!</v>
      </c>
      <c r="T27" s="12" t="e">
        <f t="shared" si="0"/>
        <v>#VALUE!</v>
      </c>
      <c r="U27" s="13" t="e">
        <f t="shared" si="1"/>
        <v>#VALUE!</v>
      </c>
      <c r="V27" s="13" t="str" cm="1">
        <f t="array" ref="V27">IFERROR(_xll.BDP($G27&amp;" ISIN","CHG_PCT_1D")/100,"")</f>
        <v/>
      </c>
      <c r="W27" s="13" t="str" cm="1">
        <f t="array" ref="W27">IFERROR(_xll.BDP($G27&amp;" ISIN","CHG_PCT_5D")/100,"")</f>
        <v/>
      </c>
      <c r="X27" s="13" t="e" cm="1">
        <f t="array" ref="X27">_xll.BDP($G27&amp;" ISIN","CHG_PCT_1M")/100</f>
        <v>#VALUE!</v>
      </c>
      <c r="Y27" s="13" t="e" cm="1">
        <f t="array" ref="Y27">_xll.BDP($G27&amp;" ISIN","CHG_PCT_3M")/100</f>
        <v>#VALUE!</v>
      </c>
      <c r="Z27" s="13" t="e" cm="1">
        <f t="array" ref="Z27">_xll.BDP($G27&amp;" ISIN","CHG_PCT_6M")/100</f>
        <v>#VALUE!</v>
      </c>
      <c r="AA27" s="13" t="e" cm="1">
        <f t="array" ref="AA27">_xll.BDP($G27&amp;" ISIN","CHG_PCT_YTD")/100</f>
        <v>#VALUE!</v>
      </c>
      <c r="AB27" s="13" t="e">
        <f t="shared" si="9"/>
        <v>#VALUE!</v>
      </c>
      <c r="AC27" s="14" t="e">
        <f t="shared" ca="1" si="2"/>
        <v>#VALUE!</v>
      </c>
      <c r="AD27" s="4" t="str">
        <f>_xll.BDP(AI27,"DS199")</f>
        <v>#N/A Connection</v>
      </c>
      <c r="AE27" s="10" t="str">
        <f>_xll.BDP(AI27,"px_ask")</f>
        <v>#N/A Connection</v>
      </c>
      <c r="AF27" s="14" t="e">
        <f>IF(F27="USD",O27,(((_xll.BDP(F27&amp;"USD CURNCY","PX_LAST")))*O27))</f>
        <v>#VALUE!</v>
      </c>
      <c r="AG27" s="11">
        <f t="shared" si="3"/>
        <v>200020</v>
      </c>
      <c r="AH27" s="11" t="e">
        <f t="shared" si="4"/>
        <v>#VALUE!</v>
      </c>
      <c r="AI27" s="4" t="str">
        <f t="shared" si="5"/>
        <v>XS2630917107 ISIN</v>
      </c>
      <c r="AJ27" s="4" t="e" cm="1">
        <f t="array" ref="AJ27">VLOOKUP(IF(NOT(_xll.BDP($G27&amp;" CORP",$CA$5)="#N/A N/A"),(_xll.BDP($G27&amp;" CORP",$CA$5)),"-"), '[1]Country Codes'!$A$2:$B$253,2,0)</f>
        <v>#N/A</v>
      </c>
      <c r="AK27" s="4" t="str" cm="1">
        <f t="array" ref="AK27">IF(OR(_xll.BDP($AI27,"EX028")= "#N/A N/A", _xll.BDP($AI27,"EX028")="#N/A FIELD NOT APPLICABLE"), " ", _xll.BDP($AI27,"EX028"))</f>
        <v>#N/A Connection</v>
      </c>
      <c r="AL27" s="15" t="str">
        <f>(IF(_xll.BDP($AI27&amp;" ISIN","DZ282")="Y","Single line Bonds Cocos","Single line Bonds ex Cocos"))</f>
        <v>Single line Bonds ex Cocos</v>
      </c>
      <c r="AM27" s="8" t="str">
        <f>(IF(_xll.BDP($G27&amp;" ISIN","SP153")="#n/a n/a"," ",_xll.BDP($G27&amp;" ISIN","SP153")))</f>
        <v>#N/A Connection</v>
      </c>
      <c r="AN27" s="16">
        <f t="shared" ca="1" si="6"/>
        <v>45783</v>
      </c>
      <c r="AO27" s="11" t="e">
        <f>(((_xll.BDP(AI27,"DS032"))/360)*I27)*O27</f>
        <v>#VALUE!</v>
      </c>
      <c r="AP27" s="11" t="e">
        <f>IF(F27="USD",AO27,(((_xll.BDP(F27&amp;"USD CURNCY","PX_LAST")))*AO27))</f>
        <v>#VALUE!</v>
      </c>
      <c r="AQ27" s="13" t="e">
        <f t="shared" si="11"/>
        <v>#VALUE!</v>
      </c>
      <c r="AR27" s="11" t="e">
        <f t="shared" si="7"/>
        <v>#VALUE!</v>
      </c>
      <c r="AS27" s="10" t="str">
        <f>IF((TEXT(_xll.BDP(AI27,"MATURITY"),"DD/MM/YYYY")="#N/A Field Not Applicable"),"Perp",_xll.BDP(AI27,"DS252"))</f>
        <v>#N/A Connection</v>
      </c>
      <c r="AT27" s="15" t="str">
        <f>(IF(_xll.BDP($AI27&amp;" ISIN","DT247")="Y","Yes","No"))</f>
        <v>No</v>
      </c>
      <c r="AU27" s="15" t="str">
        <f>PROPER(IF(OR(_xll.BDP($AI27,"CPN_TYP")="#n/a N/A",_xll.BDP($AI27,"CPN_TYP")= "#N/A FIELD NOT APPLICABLE"), " ", _xll.BDP($AI27,"CPN_TYP")))</f>
        <v>#N/A Connection</v>
      </c>
      <c r="BG27" s="17" t="str">
        <f t="shared" si="8"/>
        <v>XS2630917107</v>
      </c>
      <c r="BH27" s="17">
        <v>0.77</v>
      </c>
      <c r="BI27" s="18" t="s">
        <v>147</v>
      </c>
      <c r="BJ27" s="19">
        <v>45539</v>
      </c>
      <c r="BK27" s="20">
        <v>1</v>
      </c>
    </row>
    <row r="28" spans="1:64" s="21" customFormat="1" ht="14.45" customHeight="1" x14ac:dyDescent="0.25">
      <c r="A28" s="49" t="s">
        <v>241</v>
      </c>
      <c r="B28" s="49" t="s">
        <v>249</v>
      </c>
      <c r="C28" s="49" t="s">
        <v>250</v>
      </c>
      <c r="D28" s="49" t="s">
        <v>240</v>
      </c>
      <c r="E28" s="4" t="str">
        <f>_xll.BDP(AI28,"ds520")</f>
        <v>#N/A Connection</v>
      </c>
      <c r="F28" s="4" t="str">
        <f>_xll.BDP(AI28,"crncy")</f>
        <v>#N/A Connection</v>
      </c>
      <c r="G28" s="5" t="s">
        <v>150</v>
      </c>
      <c r="H28" s="4" t="str">
        <f>IF(_xll.BDP(AI28,"RTG_MOODY")="#N/A N/A","N/A",_xll.BDP(AI28,"RTG_MOODY"))&amp;","&amp;IF(_xll.BDP(AI28,"RTG_FITCH")="#N/A N/A","N/A",_xll.BDP(AI28,"RTG_FITCH"))&amp;","&amp;IF(_xll.BDP(AI28,"RTG_SP")="#N/A N/A","N/A",_xll.BDP(AI28,"RTG_SP"))</f>
        <v>#N/A Connection,#N/A Connection,#N/A Connection</v>
      </c>
      <c r="I28" s="7" t="e">
        <f>_xll.BDP(AI28,"cpn")/100</f>
        <v>#VALUE!</v>
      </c>
      <c r="J28" s="7" t="e">
        <f ca="1">_xll.BDP($G28&amp;" isin","YAS_BOND_YLD", "YAS_YLD_FLAG=15", "user_local_trade_date",AN28,"Yas_bond_px",$Q28)/100</f>
        <v>#VALUE!</v>
      </c>
      <c r="K28" s="4" t="str">
        <f>_xll.BDP(AI28,"PAYMENT_RANK")</f>
        <v>#N/A Connection</v>
      </c>
      <c r="L28" s="4" t="str">
        <f>IF((TEXT(_xll.BDP(AI28,"MATURITY"),"DD/MM/YYYY")="#N/A Field Not Applicable"),"Perp",TEXT(_xll.BDP(AI28,"MATURITY"),"DD/MM/YYYY"))</f>
        <v>#N/A Connection</v>
      </c>
      <c r="M28" s="8" t="str">
        <f>(IF(_xll.BDP($AI28&amp;" ISIN","DU003")="#n/a n/a"," ",_xll.BDP($AI28&amp;" ISIN","DU003")))</f>
        <v>#N/A Connection</v>
      </c>
      <c r="N28" s="4" t="str">
        <f>IF(_xll.BDP(AI28,"CALLABLE")="Y",_xll.BDP(AI28,"NXT_CALL_DT")," ")</f>
        <v xml:space="preserve"> </v>
      </c>
      <c r="O28" s="9">
        <v>200000</v>
      </c>
      <c r="P28" s="5">
        <v>100.03</v>
      </c>
      <c r="Q28" s="10" t="str">
        <f>_xll.BDP(AI28,"px_bid")</f>
        <v>#N/A Connection</v>
      </c>
      <c r="R28" s="11" t="e">
        <f>IF(F28="USD",AG28,(((_xll.BDP(F28&amp;"USD CURNCY","PX_LAST")))*AG28))</f>
        <v>#VALUE!</v>
      </c>
      <c r="S28" s="11" t="e">
        <f>IF(F28="USD",AH28,(((_xll.BDP(F28&amp;"USD CURNCY","PX_LAST")))*AH28))+AP28</f>
        <v>#VALUE!</v>
      </c>
      <c r="T28" s="12" t="e">
        <f t="shared" si="0"/>
        <v>#VALUE!</v>
      </c>
      <c r="U28" s="13" t="e">
        <f t="shared" si="1"/>
        <v>#VALUE!</v>
      </c>
      <c r="V28" s="13" t="str" cm="1">
        <f t="array" ref="V28">IFERROR(_xll.BDP($G28&amp;" ISIN","CHG_PCT_1D")/100,"")</f>
        <v/>
      </c>
      <c r="W28" s="13" t="str" cm="1">
        <f t="array" ref="W28">IFERROR(_xll.BDP($G28&amp;" ISIN","CHG_PCT_5D")/100,"")</f>
        <v/>
      </c>
      <c r="X28" s="13" t="e" cm="1">
        <f t="array" ref="X28">_xll.BDP($G28&amp;" ISIN","CHG_PCT_1M")/100</f>
        <v>#VALUE!</v>
      </c>
      <c r="Y28" s="13" t="e" cm="1">
        <f t="array" ref="Y28">_xll.BDP($G28&amp;" ISIN","CHG_PCT_3M")/100</f>
        <v>#VALUE!</v>
      </c>
      <c r="Z28" s="13" t="e" cm="1">
        <f t="array" ref="Z28">_xll.BDP($G28&amp;" ISIN","CHG_PCT_6M")/100</f>
        <v>#VALUE!</v>
      </c>
      <c r="AA28" s="13" t="e" cm="1">
        <f t="array" ref="AA28">_xll.BDP($G28&amp;" ISIN","CHG_PCT_YTD")/100</f>
        <v>#VALUE!</v>
      </c>
      <c r="AB28" s="13" t="e">
        <f t="shared" si="9"/>
        <v>#VALUE!</v>
      </c>
      <c r="AC28" s="14" t="e">
        <f t="shared" ca="1" si="2"/>
        <v>#VALUE!</v>
      </c>
      <c r="AD28" s="4" t="str">
        <f>_xll.BDP(AI28,"DS199")</f>
        <v>#N/A Connection</v>
      </c>
      <c r="AE28" s="10" t="str">
        <f>_xll.BDP(AI28,"px_ask")</f>
        <v>#N/A Connection</v>
      </c>
      <c r="AF28" s="14" t="e">
        <f>IF(F28="USD",O28,(((_xll.BDP(F28&amp;"USD CURNCY","PX_LAST")))*O28))</f>
        <v>#VALUE!</v>
      </c>
      <c r="AG28" s="11">
        <f t="shared" si="3"/>
        <v>200060</v>
      </c>
      <c r="AH28" s="11" t="e">
        <f t="shared" si="4"/>
        <v>#VALUE!</v>
      </c>
      <c r="AI28" s="4" t="str">
        <f t="shared" si="5"/>
        <v>XS2827680112 ISIN</v>
      </c>
      <c r="AJ28" s="4" t="e" cm="1">
        <f t="array" ref="AJ28">VLOOKUP(IF(NOT(_xll.BDP($G28&amp;" CORP",$CA$5)="#N/A N/A"),(_xll.BDP($G28&amp;" CORP",$CA$5)),"-"), '[1]Country Codes'!$A$2:$B$253,2,0)</f>
        <v>#N/A</v>
      </c>
      <c r="AK28" s="4" t="str" cm="1">
        <f t="array" ref="AK28">IF(OR(_xll.BDP($AI28,"EX028")= "#N/A N/A", _xll.BDP($AI28,"EX028")="#N/A FIELD NOT APPLICABLE"), " ", _xll.BDP($AI28,"EX028"))</f>
        <v>#N/A Connection</v>
      </c>
      <c r="AL28" s="15" t="str">
        <f>(IF(_xll.BDP($AI28&amp;" ISIN","DZ282")="Y","Single line Bonds Cocos","Single line Bonds ex Cocos"))</f>
        <v>Single line Bonds ex Cocos</v>
      </c>
      <c r="AM28" s="8" t="str">
        <f>(IF(_xll.BDP($G28&amp;" ISIN","SP153")="#n/a n/a"," ",_xll.BDP($G28&amp;" ISIN","SP153")))</f>
        <v>#N/A Connection</v>
      </c>
      <c r="AN28" s="16">
        <f t="shared" ca="1" si="6"/>
        <v>45783</v>
      </c>
      <c r="AO28" s="11" t="e">
        <f>(((_xll.BDP(AI28,"DS032"))/360)*I28)*O28</f>
        <v>#VALUE!</v>
      </c>
      <c r="AP28" s="11" t="e">
        <f>IF(F28="USD",AO28,(((_xll.BDP(F28&amp;"USD CURNCY","PX_LAST")))*AO28))</f>
        <v>#VALUE!</v>
      </c>
      <c r="AQ28" s="13" t="e">
        <f t="shared" si="11"/>
        <v>#VALUE!</v>
      </c>
      <c r="AR28" s="11" t="e">
        <f t="shared" si="7"/>
        <v>#VALUE!</v>
      </c>
      <c r="AS28" s="10" t="str">
        <f>IF((TEXT(_xll.BDP(AI28,"MATURITY"),"DD/MM/YYYY")="#N/A Field Not Applicable"),"Perp",_xll.BDP(AI28,"DS252"))</f>
        <v>#N/A Connection</v>
      </c>
      <c r="AT28" s="15" t="str">
        <f>(IF(_xll.BDP($AI28&amp;" ISIN","DT247")="Y","Yes","No"))</f>
        <v>No</v>
      </c>
      <c r="AU28" s="15" t="str">
        <f>PROPER(IF(OR(_xll.BDP($AI28,"CPN_TYP")="#n/a N/A",_xll.BDP($AI28,"CPN_TYP")= "#N/A FIELD NOT APPLICABLE"), " ", _xll.BDP($AI28,"CPN_TYP")))</f>
        <v>#N/A Connection</v>
      </c>
      <c r="BG28" s="17" t="str">
        <f t="shared" si="8"/>
        <v>XS2827680112</v>
      </c>
      <c r="BH28" s="17">
        <v>0.56999999999999995</v>
      </c>
      <c r="BI28" s="18" t="s">
        <v>147</v>
      </c>
      <c r="BJ28" s="19">
        <v>45448</v>
      </c>
      <c r="BK28" s="20">
        <v>1</v>
      </c>
    </row>
    <row r="29" spans="1:64" s="21" customFormat="1" ht="14.45" customHeight="1" x14ac:dyDescent="0.25">
      <c r="A29" s="49" t="s">
        <v>241</v>
      </c>
      <c r="B29" s="49" t="s">
        <v>249</v>
      </c>
      <c r="C29" s="49" t="s">
        <v>250</v>
      </c>
      <c r="D29" s="49" t="s">
        <v>240</v>
      </c>
      <c r="E29" s="4" t="str">
        <f>_xll.BDP(AI29,"ds520")</f>
        <v>#N/A Connection</v>
      </c>
      <c r="F29" s="4" t="str">
        <f>_xll.BDP(AI29,"crncy")</f>
        <v>#N/A Connection</v>
      </c>
      <c r="G29" s="5" t="s">
        <v>151</v>
      </c>
      <c r="H29" s="4" t="str">
        <f>IF(_xll.BDP(AI29,"RTG_MOODY")="#N/A N/A","N/A",_xll.BDP(AI29,"RTG_MOODY"))&amp;","&amp;IF(_xll.BDP(AI29,"RTG_FITCH")="#N/A N/A","N/A",_xll.BDP(AI29,"RTG_FITCH"))&amp;","&amp;IF(_xll.BDP(AI29,"RTG_SP")="#N/A N/A","N/A",_xll.BDP(AI29,"RTG_SP"))</f>
        <v>#N/A Connection,#N/A Connection,#N/A Connection</v>
      </c>
      <c r="I29" s="7" t="e">
        <f>_xll.BDP(AI29,"cpn")/100</f>
        <v>#VALUE!</v>
      </c>
      <c r="J29" s="7" t="e">
        <f ca="1">_xll.BDP($G29&amp;" isin","YAS_BOND_YLD", "YAS_YLD_FLAG=15", "user_local_trade_date",AN29,"Yas_bond_px",$Q29)/100</f>
        <v>#VALUE!</v>
      </c>
      <c r="K29" s="4" t="str">
        <f>_xll.BDP(AI29,"PAYMENT_RANK")</f>
        <v>#N/A Connection</v>
      </c>
      <c r="L29" s="4" t="str">
        <f>IF((TEXT(_xll.BDP(AI29,"MATURITY"),"DD/MM/YYYY")="#N/A Field Not Applicable"),"Perp",TEXT(_xll.BDP(AI29,"MATURITY"),"DD/MM/YYYY"))</f>
        <v>#N/A Connection</v>
      </c>
      <c r="M29" s="8" t="str">
        <f>(IF(_xll.BDP($AI29&amp;" ISIN","DU003")="#n/a n/a"," ",_xll.BDP($AI29&amp;" ISIN","DU003")))</f>
        <v>#N/A Connection</v>
      </c>
      <c r="N29" s="4" t="str">
        <f>IF(_xll.BDP(AI29,"CALLABLE")="Y",_xll.BDP(AI29,"NXT_CALL_DT")," ")</f>
        <v xml:space="preserve"> </v>
      </c>
      <c r="O29" s="9">
        <v>200000</v>
      </c>
      <c r="P29" s="5">
        <v>100.01</v>
      </c>
      <c r="Q29" s="10" t="str">
        <f>_xll.BDP(AI29,"px_bid")</f>
        <v>#N/A Connection</v>
      </c>
      <c r="R29" s="11" t="e">
        <f>IF(F29="USD",AG29,(((_xll.BDP(F29&amp;"USD CURNCY","PX_LAST")))*AG29))</f>
        <v>#VALUE!</v>
      </c>
      <c r="S29" s="11" t="e">
        <f>IF(F29="USD",AH29,(((_xll.BDP(F29&amp;"USD CURNCY","PX_LAST")))*AH29))+AP29</f>
        <v>#VALUE!</v>
      </c>
      <c r="T29" s="12" t="e">
        <f t="shared" si="0"/>
        <v>#VALUE!</v>
      </c>
      <c r="U29" s="13" t="e">
        <f t="shared" si="1"/>
        <v>#VALUE!</v>
      </c>
      <c r="V29" s="13" t="str" cm="1">
        <f t="array" ref="V29">IFERROR(_xll.BDP($G29&amp;" ISIN","CHG_PCT_1D")/100,"")</f>
        <v/>
      </c>
      <c r="W29" s="13" t="str" cm="1">
        <f t="array" ref="W29">IFERROR(_xll.BDP($G29&amp;" ISIN","CHG_PCT_5D")/100,"")</f>
        <v/>
      </c>
      <c r="X29" s="13" t="e" cm="1">
        <f t="array" ref="X29">_xll.BDP($G29&amp;" ISIN","CHG_PCT_1M")/100</f>
        <v>#VALUE!</v>
      </c>
      <c r="Y29" s="13" t="e" cm="1">
        <f t="array" ref="Y29">_xll.BDP($G29&amp;" ISIN","CHG_PCT_3M")/100</f>
        <v>#VALUE!</v>
      </c>
      <c r="Z29" s="13" t="e" cm="1">
        <f t="array" ref="Z29">_xll.BDP($G29&amp;" ISIN","CHG_PCT_6M")/100</f>
        <v>#VALUE!</v>
      </c>
      <c r="AA29" s="13" t="e" cm="1">
        <f t="array" ref="AA29">_xll.BDP($G29&amp;" ISIN","CHG_PCT_YTD")/100</f>
        <v>#VALUE!</v>
      </c>
      <c r="AB29" s="13" t="e">
        <f t="shared" si="9"/>
        <v>#VALUE!</v>
      </c>
      <c r="AC29" s="14" t="e">
        <f t="shared" ca="1" si="2"/>
        <v>#VALUE!</v>
      </c>
      <c r="AD29" s="4" t="str">
        <f>_xll.BDP(AI29,"DS199")</f>
        <v>#N/A Connection</v>
      </c>
      <c r="AE29" s="10" t="str">
        <f>_xll.BDP(AI29,"px_ask")</f>
        <v>#N/A Connection</v>
      </c>
      <c r="AF29" s="14" t="e">
        <f>IF(F29="USD",O29,(((_xll.BDP(F29&amp;"USD CURNCY","PX_LAST")))*O29))</f>
        <v>#VALUE!</v>
      </c>
      <c r="AG29" s="11">
        <f t="shared" si="3"/>
        <v>200020</v>
      </c>
      <c r="AH29" s="11" t="e">
        <f t="shared" si="4"/>
        <v>#VALUE!</v>
      </c>
      <c r="AI29" s="4" t="str">
        <f t="shared" si="5"/>
        <v>XS2451768720 ISIN</v>
      </c>
      <c r="AJ29" s="4" t="e" cm="1">
        <f t="array" ref="AJ29">VLOOKUP(IF(NOT(_xll.BDP($G29&amp;" CORP",$CA$5)="#N/A N/A"),(_xll.BDP($G29&amp;" CORP",$CA$5)),"-"), '[1]Country Codes'!$A$2:$B$253,2,0)</f>
        <v>#N/A</v>
      </c>
      <c r="AK29" s="4" t="str" cm="1">
        <f t="array" ref="AK29">IF(OR(_xll.BDP($AI29,"EX028")= "#N/A N/A", _xll.BDP($AI29,"EX028")="#N/A FIELD NOT APPLICABLE"), " ", _xll.BDP($AI29,"EX028"))</f>
        <v>#N/A Connection</v>
      </c>
      <c r="AL29" s="15" t="str">
        <f>(IF(_xll.BDP($AI29&amp;" ISIN","DZ282")="Y","Single line Bonds Cocos","Single line Bonds ex Cocos"))</f>
        <v>Single line Bonds ex Cocos</v>
      </c>
      <c r="AM29" s="8" t="str">
        <f>(IF(_xll.BDP($G29&amp;" ISIN","SP153")="#n/a n/a"," ",_xll.BDP($G29&amp;" ISIN","SP153")))</f>
        <v>#N/A Connection</v>
      </c>
      <c r="AN29" s="16">
        <f t="shared" ca="1" si="6"/>
        <v>45783</v>
      </c>
      <c r="AO29" s="11" t="e">
        <f>(((_xll.BDP(AI29,"DS032"))/360)*I29)*O29</f>
        <v>#VALUE!</v>
      </c>
      <c r="AP29" s="11" t="e">
        <f>IF(F29="USD",AO29,(((_xll.BDP(F29&amp;"USD CURNCY","PX_LAST")))*AO29))</f>
        <v>#VALUE!</v>
      </c>
      <c r="AQ29" s="13" t="e">
        <f t="shared" si="11"/>
        <v>#VALUE!</v>
      </c>
      <c r="AR29" s="11" t="e">
        <f t="shared" si="7"/>
        <v>#VALUE!</v>
      </c>
      <c r="AS29" s="10" t="str">
        <f>IF((TEXT(_xll.BDP(AI29,"MATURITY"),"DD/MM/YYYY")="#N/A Field Not Applicable"),"Perp",_xll.BDP(AI29,"DS252"))</f>
        <v>#N/A Connection</v>
      </c>
      <c r="AT29" s="15" t="str">
        <f>(IF(_xll.BDP($AI29&amp;" ISIN","DT247")="Y","Yes","No"))</f>
        <v>No</v>
      </c>
      <c r="AU29" s="15" t="str">
        <f>PROPER(IF(OR(_xll.BDP($AI29,"CPN_TYP")="#n/a N/A",_xll.BDP($AI29,"CPN_TYP")= "#N/A FIELD NOT APPLICABLE"), " ", _xll.BDP($AI29,"CPN_TYP")))</f>
        <v>#N/A Connection</v>
      </c>
      <c r="BG29" s="17" t="str">
        <f t="shared" si="8"/>
        <v>XS2451768720</v>
      </c>
      <c r="BH29" s="17">
        <v>0</v>
      </c>
      <c r="BI29" s="18">
        <v>5</v>
      </c>
      <c r="BJ29" s="19">
        <v>44741</v>
      </c>
      <c r="BK29" s="20">
        <v>1</v>
      </c>
    </row>
    <row r="30" spans="1:64" s="101" customFormat="1" ht="14.45" customHeight="1" x14ac:dyDescent="0.25">
      <c r="A30" s="114" t="s">
        <v>241</v>
      </c>
      <c r="B30" s="114" t="s">
        <v>251</v>
      </c>
      <c r="C30" s="114" t="s">
        <v>252</v>
      </c>
      <c r="D30" s="114" t="s">
        <v>240</v>
      </c>
      <c r="E30" s="115" t="str">
        <f>_xll.BDP(AI30,"ds520")</f>
        <v>#N/A Connection</v>
      </c>
      <c r="F30" s="115" t="str">
        <f>_xll.BDP(AI30,"crncy")</f>
        <v>#N/A Connection</v>
      </c>
      <c r="G30" s="115" t="s">
        <v>44</v>
      </c>
      <c r="H30" s="115" t="str">
        <f>IF(_xll.BDP(AI30,"RTG_MOODY")="#N/A N/A","N/A",_xll.BDP(AI30,"RTG_MOODY"))&amp;","&amp;IF(_xll.BDP(AI30,"RTG_FITCH")="#N/A N/A","N/A",_xll.BDP(AI30,"RTG_FITCH"))&amp;","&amp;IF(_xll.BDP(AI30,"RTG_SP")="#N/A N/A","N/A",_xll.BDP(AI30,"RTG_SP"))</f>
        <v>#N/A Connection,#N/A Connection,#N/A Connection</v>
      </c>
      <c r="I30" s="116" t="e">
        <f>_xll.BDP(AI30,"cpn")/100</f>
        <v>#VALUE!</v>
      </c>
      <c r="J30" s="116" t="e">
        <f ca="1">_xll.BDP($G30&amp;" isin","YAS_BOND_YLD", "YAS_YLD_FLAG=15", "user_local_trade_date",AN30,"Yas_bond_px",$Q30)/100</f>
        <v>#VALUE!</v>
      </c>
      <c r="K30" s="115" t="str">
        <f>_xll.BDP(AI30,"PAYMENT_RANK")</f>
        <v>#N/A Connection</v>
      </c>
      <c r="L30" s="115" t="str">
        <f>IF((TEXT(_xll.BDP(AI30,"MATURITY"),"DD/MM/YYYY")="#N/A Field Not Applicable"),"Perp",TEXT(_xll.BDP(AI30,"MATURITY"),"DD/MM/YYYY"))</f>
        <v>#N/A Connection</v>
      </c>
      <c r="M30" s="117" t="str">
        <f>(IF(_xll.BDP($AI30&amp;" ISIN","DU003")="#n/a n/a"," ",_xll.BDP($AI30&amp;" ISIN","DU003")))</f>
        <v>#N/A Connection</v>
      </c>
      <c r="N30" s="115" t="str">
        <f>IF(_xll.BDP(AI30,"CALLABLE")="Y",_xll.BDP(AI30,"NXT_CALL_DT")," ")</f>
        <v xml:space="preserve"> </v>
      </c>
      <c r="O30" s="118">
        <v>172753</v>
      </c>
      <c r="P30" s="115">
        <v>31.688379999999999</v>
      </c>
      <c r="Q30" s="119" t="str">
        <f>_xll.BDP(AI30,"px_bid")</f>
        <v>#N/A Connection</v>
      </c>
      <c r="R30" s="120" t="e">
        <f>IF(F30="USD",AG30,(((_xll.BDP(F30&amp;"USD CURNCY","PX_LAST")))*AG30))</f>
        <v>#VALUE!</v>
      </c>
      <c r="S30" s="120" t="e">
        <f>IF(F30="USD",AH30,(((_xll.BDP(F30&amp;"USD CURNCY","PX_LAST")))*AH30))+AP30</f>
        <v>#VALUE!</v>
      </c>
      <c r="T30" s="121" t="e">
        <f t="shared" si="0"/>
        <v>#VALUE!</v>
      </c>
      <c r="U30" s="122" t="e">
        <f t="shared" si="1"/>
        <v>#VALUE!</v>
      </c>
      <c r="V30" s="122" t="str" cm="1">
        <f t="array" ref="V30">IFERROR(_xll.BDP($G30&amp;" ISIN","CHG_PCT_1D")/100,"")</f>
        <v/>
      </c>
      <c r="W30" s="122" t="str" cm="1">
        <f t="array" ref="W30">IFERROR(_xll.BDP($G30&amp;" ISIN","CHG_PCT_5D")/100,"")</f>
        <v/>
      </c>
      <c r="X30" s="122" t="e" cm="1">
        <f t="array" ref="X30">_xll.BDP($G30&amp;" ISIN","CHG_PCT_1M")/100</f>
        <v>#VALUE!</v>
      </c>
      <c r="Y30" s="122" t="e" cm="1">
        <f t="array" ref="Y30">_xll.BDP($G30&amp;" ISIN","CHG_PCT_3M")/100</f>
        <v>#VALUE!</v>
      </c>
      <c r="Z30" s="122" t="e" cm="1">
        <f t="array" ref="Z30">_xll.BDP($G30&amp;" ISIN","CHG_PCT_6M")/100</f>
        <v>#VALUE!</v>
      </c>
      <c r="AA30" s="13" t="e" cm="1">
        <f t="array" ref="AA30">_xll.BDP($G30&amp;" ISIN","CHG_PCT_YTD")/100</f>
        <v>#VALUE!</v>
      </c>
      <c r="AB30" s="13" t="e">
        <f t="shared" si="9"/>
        <v>#VALUE!</v>
      </c>
      <c r="AC30" s="118" t="e">
        <f t="shared" ca="1" si="2"/>
        <v>#VALUE!</v>
      </c>
      <c r="AD30" s="115" t="str">
        <f>_xll.BDP(AI30,"DS199")</f>
        <v>#N/A Connection</v>
      </c>
      <c r="AE30" s="119" t="str">
        <f>_xll.BDP(AI30,"px_ask")</f>
        <v>#N/A Connection</v>
      </c>
      <c r="AF30" s="118" t="e">
        <f>IF(F30="USD",O30,(((_xll.BDP(F30&amp;"USD CURNCY","PX_LAST")))*O30))</f>
        <v>#VALUE!</v>
      </c>
      <c r="AG30" s="120">
        <f t="shared" si="3"/>
        <v>54742.627101400001</v>
      </c>
      <c r="AH30" s="120" t="e">
        <f t="shared" si="4"/>
        <v>#VALUE!</v>
      </c>
      <c r="AI30" s="115" t="str">
        <f t="shared" si="5"/>
        <v>GB00BMBL1D50 ISIN</v>
      </c>
      <c r="AJ30" s="115" t="e" cm="1">
        <f t="array" ref="AJ30">VLOOKUP(IF(NOT(_xll.BDP($G30&amp;" CORP",$CA$5)="#N/A N/A"),(_xll.BDP($G30&amp;" CORP",$CA$5)),"-"), '[1]Country Codes'!$A$2:$B$253,2,0)</f>
        <v>#N/A</v>
      </c>
      <c r="AK30" s="115" t="str" cm="1">
        <f t="array" ref="AK30">IF(OR(_xll.BDP($AI30,"EX028")= "#N/A N/A", _xll.BDP($AI30,"EX028")="#N/A FIELD NOT APPLICABLE"), " ", _xll.BDP($AI30,"EX028"))</f>
        <v>#N/A Connection</v>
      </c>
      <c r="AL30" s="116" t="str">
        <f>(IF(_xll.BDP($AI30&amp;" ISIN","DZ282")="Y","Single line Bonds Cocos","Single line Bonds ex Cocos"))</f>
        <v>Single line Bonds ex Cocos</v>
      </c>
      <c r="AM30" s="117" t="str">
        <f>(IF(_xll.BDP($G30&amp;" ISIN","SP153")="#n/a n/a"," ",_xll.BDP($G30&amp;" ISIN","SP153")))</f>
        <v>#N/A Connection</v>
      </c>
      <c r="AN30" s="123">
        <f t="shared" ca="1" si="6"/>
        <v>45783</v>
      </c>
      <c r="AO30" s="120" t="e">
        <f>(((_xll.BDP(AI30,"DS032"))/360)*I30)*O30</f>
        <v>#VALUE!</v>
      </c>
      <c r="AP30" s="120" t="e">
        <f>IF(F30="USD",AO30,(((_xll.BDP(F30&amp;"USD CURNCY","PX_LAST")))*AO30))</f>
        <v>#VALUE!</v>
      </c>
      <c r="AQ30" s="122" t="e">
        <f t="shared" ref="AQ30:AQ39" si="12">S30/$S$112</f>
        <v>#VALUE!</v>
      </c>
      <c r="AR30" s="120" t="e">
        <f t="shared" si="7"/>
        <v>#VALUE!</v>
      </c>
      <c r="AS30" s="119" t="str">
        <f>IF((TEXT(_xll.BDP(AI30,"MATURITY"),"DD/MM/YYYY")="#N/A Field Not Applicable"),"Perp",_xll.BDP(AI30,"DS252"))</f>
        <v>#N/A Connection</v>
      </c>
      <c r="AT30" s="116" t="str">
        <f>(IF(_xll.BDP($AI30&amp;" ISIN","DT247")="Y","Yes","No"))</f>
        <v>No</v>
      </c>
      <c r="AU30" s="116" t="str">
        <f>PROPER(IF(OR(_xll.BDP($AI30,"CPN_TYP")="#n/a N/A",_xll.BDP($AI30,"CPN_TYP")= "#N/A FIELD NOT APPLICABLE"), " ", _xll.BDP($AI30,"CPN_TYP")))</f>
        <v>#N/A Connection</v>
      </c>
      <c r="AV30" s="124"/>
      <c r="AW30" s="124"/>
      <c r="AX30" s="124"/>
      <c r="AY30" s="124"/>
      <c r="AZ30" s="124"/>
      <c r="BA30" s="124"/>
      <c r="BB30" s="124"/>
      <c r="BC30" s="124"/>
      <c r="BD30" s="124"/>
      <c r="BE30" s="124"/>
      <c r="BF30" s="124"/>
      <c r="BG30" s="116" t="str">
        <f t="shared" si="8"/>
        <v>GB00BMBL1D50</v>
      </c>
      <c r="BH30" s="116">
        <v>0.82</v>
      </c>
      <c r="BI30" s="125">
        <v>2</v>
      </c>
      <c r="BJ30" s="123">
        <v>45509</v>
      </c>
      <c r="BK30" s="126">
        <v>1</v>
      </c>
      <c r="BL30" s="124"/>
    </row>
    <row r="31" spans="1:64" s="21" customFormat="1" ht="14.45" customHeight="1" x14ac:dyDescent="0.25">
      <c r="A31" s="81" t="s">
        <v>241</v>
      </c>
      <c r="B31" s="81" t="s">
        <v>251</v>
      </c>
      <c r="C31" s="81" t="s">
        <v>252</v>
      </c>
      <c r="D31" s="81" t="s">
        <v>240</v>
      </c>
      <c r="E31" s="88" t="str">
        <f>_xll.BDP(AI31,"ds520")</f>
        <v>#N/A Connection</v>
      </c>
      <c r="F31" s="88" t="str">
        <f>_xll.BDP(AI31,"crncy")</f>
        <v>#N/A Connection</v>
      </c>
      <c r="G31" s="88" t="s">
        <v>160</v>
      </c>
      <c r="H31" s="88" t="str">
        <f>IF(_xll.BDP(AI31,"RTG_MOODY")="#N/A N/A","N/A",_xll.BDP(AI31,"RTG_MOODY"))&amp;","&amp;IF(_xll.BDP(AI31,"RTG_FITCH")="#N/A N/A","N/A",_xll.BDP(AI31,"RTG_FITCH"))&amp;","&amp;IF(_xll.BDP(AI31,"RTG_SP")="#N/A N/A","N/A",_xll.BDP(AI31,"RTG_SP"))</f>
        <v>#N/A Connection,#N/A Connection,#N/A Connection</v>
      </c>
      <c r="I31" s="38" t="e">
        <f>_xll.BDP(AI31,"cpn")/100</f>
        <v>#VALUE!</v>
      </c>
      <c r="J31" s="38" t="e">
        <f ca="1">_xll.BDP($G31&amp;" isin","YAS_BOND_YLD", "YAS_YLD_FLAG=15", "user_local_trade_date",AN31,"Yas_bond_px",$Q31)/100</f>
        <v>#VALUE!</v>
      </c>
      <c r="K31" s="88" t="str">
        <f>_xll.BDP(AI31,"PAYMENT_RANK")</f>
        <v>#N/A Connection</v>
      </c>
      <c r="L31" s="88" t="str">
        <f>IF((TEXT(_xll.BDP(AI31,"MATURITY"),"DD/MM/YYYY")="#N/A Field Not Applicable"),"Perp",TEXT(_xll.BDP(AI31,"MATURITY"),"DD/MM/YYYY"))</f>
        <v>#N/A Connection</v>
      </c>
      <c r="M31" s="97" t="str">
        <f>(IF(_xll.BDP($AI31&amp;" ISIN","DU003")="#n/a n/a"," ",_xll.BDP($AI31&amp;" ISIN","DU003")))</f>
        <v>#N/A Connection</v>
      </c>
      <c r="N31" s="88" t="str">
        <f>IF(_xll.BDP(AI31,"CALLABLE")="Y",_xll.BDP(AI31,"NXT_CALL_DT")," ")</f>
        <v xml:space="preserve"> </v>
      </c>
      <c r="O31" s="98">
        <v>150000</v>
      </c>
      <c r="P31" s="88">
        <v>84.95</v>
      </c>
      <c r="Q31" s="99" t="str">
        <f>_xll.BDP(AI31,"px_bid")</f>
        <v>#N/A Connection</v>
      </c>
      <c r="R31" s="100" t="e">
        <f>IF(F31="USD",AG31,(((_xll.BDP(F31&amp;"USD CURNCY","PX_LAST")))*AG31))</f>
        <v>#VALUE!</v>
      </c>
      <c r="S31" s="100" t="e">
        <f>IF(F31="USD",AH31,(((_xll.BDP(F31&amp;"USD CURNCY","PX_LAST")))*AH31))+AP31</f>
        <v>#VALUE!</v>
      </c>
      <c r="T31" s="86" t="e">
        <f t="shared" si="0"/>
        <v>#VALUE!</v>
      </c>
      <c r="U31" s="87" t="e">
        <f t="shared" si="1"/>
        <v>#VALUE!</v>
      </c>
      <c r="V31" s="87" t="str" cm="1">
        <f t="array" ref="V31">IFERROR(_xll.BDP($G31&amp;" ISIN","CHG_PCT_1D")/100,"")</f>
        <v/>
      </c>
      <c r="W31" s="87" t="str" cm="1">
        <f t="array" ref="W31">IFERROR(_xll.BDP($G31&amp;" ISIN","CHG_PCT_5D")/100,"")</f>
        <v/>
      </c>
      <c r="X31" s="87" t="e" cm="1">
        <f t="array" ref="X31">_xll.BDP($G31&amp;" ISIN","CHG_PCT_1M")/100</f>
        <v>#VALUE!</v>
      </c>
      <c r="Y31" s="87" t="e" cm="1">
        <f t="array" ref="Y31">_xll.BDP($G31&amp;" ISIN","CHG_PCT_3M")/100</f>
        <v>#VALUE!</v>
      </c>
      <c r="Z31" s="87" t="e" cm="1">
        <f t="array" ref="Z31">_xll.BDP($G31&amp;" ISIN","CHG_PCT_6M")/100</f>
        <v>#VALUE!</v>
      </c>
      <c r="AA31" s="87" t="e" cm="1">
        <f t="array" ref="AA31">_xll.BDP($G31&amp;" ISIN","CHG_PCT_YTD")/100</f>
        <v>#VALUE!</v>
      </c>
      <c r="AB31" s="87" t="e">
        <f t="shared" si="9"/>
        <v>#VALUE!</v>
      </c>
      <c r="AC31" s="98" t="e">
        <f t="shared" ca="1" si="2"/>
        <v>#VALUE!</v>
      </c>
      <c r="AD31" s="88" t="str">
        <f>_xll.BDP(AI31,"DS199")</f>
        <v>#N/A Connection</v>
      </c>
      <c r="AE31" s="99" t="str">
        <f>_xll.BDP(AI31,"px_ask")</f>
        <v>#N/A Connection</v>
      </c>
      <c r="AF31" s="98" t="e">
        <f>IF(F31="USD",O31,(((_xll.BDP(F31&amp;"USD CURNCY","PX_LAST")))*O31))</f>
        <v>#VALUE!</v>
      </c>
      <c r="AG31" s="100">
        <f t="shared" si="3"/>
        <v>127425</v>
      </c>
      <c r="AH31" s="100" t="e">
        <f t="shared" si="4"/>
        <v>#VALUE!</v>
      </c>
      <c r="AI31" s="88" t="str">
        <f t="shared" si="5"/>
        <v>XS2585988145 ISIN</v>
      </c>
      <c r="AJ31" s="88" t="e" cm="1">
        <f t="array" ref="AJ31">VLOOKUP(IF(NOT(_xll.BDP($G31&amp;" CORP",$CA$5)="#N/A N/A"),(_xll.BDP($G31&amp;" CORP",$CA$5)),"-"), '[1]Country Codes'!$A$2:$B$253,2,0)</f>
        <v>#N/A</v>
      </c>
      <c r="AK31" s="88" t="str" cm="1">
        <f t="array" ref="AK31">IF(OR(_xll.BDP($AI31,"EX028")= "#N/A N/A", _xll.BDP($AI31,"EX028")="#N/A FIELD NOT APPLICABLE"), " ", _xll.BDP($AI31,"EX028"))</f>
        <v>#N/A Connection</v>
      </c>
      <c r="AL31" s="38" t="str">
        <f>(IF(_xll.BDP($AI31&amp;" ISIN","DZ282")="Y","Single line Bonds Cocos","Single line Bonds ex Cocos"))</f>
        <v>Single line Bonds ex Cocos</v>
      </c>
      <c r="AM31" s="97" t="str">
        <f>(IF(_xll.BDP($G31&amp;" ISIN","SP153")="#n/a n/a"," ",_xll.BDP($G31&amp;" ISIN","SP153")))</f>
        <v>#N/A Connection</v>
      </c>
      <c r="AN31" s="95">
        <f t="shared" ca="1" si="6"/>
        <v>45783</v>
      </c>
      <c r="AO31" s="100" t="e">
        <f>(((_xll.BDP(AI31,"DS032"))/360)*I31)*O31</f>
        <v>#VALUE!</v>
      </c>
      <c r="AP31" s="100" t="e">
        <f>IF(F31="USD",AO31,(((_xll.BDP(F31&amp;"USD CURNCY","PX_LAST")))*AO31))</f>
        <v>#VALUE!</v>
      </c>
      <c r="AQ31" s="87" t="e">
        <f t="shared" si="12"/>
        <v>#VALUE!</v>
      </c>
      <c r="AR31" s="100" t="e">
        <f t="shared" si="7"/>
        <v>#VALUE!</v>
      </c>
      <c r="AS31" s="99" t="str">
        <f>IF((TEXT(_xll.BDP(AI31,"MATURITY"),"DD/MM/YYYY")="#N/A Field Not Applicable"),"Perp",_xll.BDP(AI31,"DS252"))</f>
        <v>#N/A Connection</v>
      </c>
      <c r="AT31" s="38" t="str">
        <f>(IF(_xll.BDP($AI31&amp;" ISIN","DT247")="Y","Yes","No"))</f>
        <v>No</v>
      </c>
      <c r="AU31" s="38" t="str">
        <f>PROPER(IF(OR(_xll.BDP($AI31,"CPN_TYP")="#n/a N/A",_xll.BDP($AI31,"CPN_TYP")= "#N/A FIELD NOT APPLICABLE"), " ", _xll.BDP($AI31,"CPN_TYP")))</f>
        <v>#N/A Connection</v>
      </c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38" t="str">
        <f t="shared" si="8"/>
        <v>XS2585988145</v>
      </c>
      <c r="BH31" s="38">
        <v>0.82</v>
      </c>
      <c r="BI31" s="94">
        <v>3</v>
      </c>
      <c r="BJ31" s="95">
        <v>45314</v>
      </c>
      <c r="BK31" s="96">
        <v>1</v>
      </c>
      <c r="BL31" s="101"/>
    </row>
    <row r="32" spans="1:64" s="21" customFormat="1" ht="14.45" customHeight="1" x14ac:dyDescent="0.25">
      <c r="A32" s="49" t="s">
        <v>241</v>
      </c>
      <c r="B32" s="49" t="s">
        <v>251</v>
      </c>
      <c r="C32" s="49" t="s">
        <v>252</v>
      </c>
      <c r="D32" s="49" t="s">
        <v>240</v>
      </c>
      <c r="E32" s="4" t="str">
        <f>_xll.BDP(AI32,"ds520")</f>
        <v>#N/A Connection</v>
      </c>
      <c r="F32" s="4" t="str">
        <f>_xll.BDP(AI32,"crncy")</f>
        <v>#N/A Connection</v>
      </c>
      <c r="G32" s="5" t="s">
        <v>157</v>
      </c>
      <c r="H32" s="4" t="str">
        <f>IF(_xll.BDP(AI32,"RTG_MOODY")="#N/A N/A","N/A",_xll.BDP(AI32,"RTG_MOODY"))&amp;","&amp;IF(_xll.BDP(AI32,"RTG_FITCH")="#N/A N/A","N/A",_xll.BDP(AI32,"RTG_FITCH"))&amp;","&amp;IF(_xll.BDP(AI32,"RTG_SP")="#N/A N/A","N/A",_xll.BDP(AI32,"RTG_SP"))</f>
        <v>#N/A Connection,#N/A Connection,#N/A Connection</v>
      </c>
      <c r="I32" s="7" t="e">
        <f>_xll.BDP(AI32,"cpn")/100</f>
        <v>#VALUE!</v>
      </c>
      <c r="J32" s="7" t="e">
        <f ca="1">_xll.BDP($G32&amp;" isin","YAS_BOND_YLD", "YAS_YLD_FLAG=15", "user_local_trade_date",AN32,"Yas_bond_px",$Q32)/100</f>
        <v>#VALUE!</v>
      </c>
      <c r="K32" s="4" t="str">
        <f>_xll.BDP(AI32,"PAYMENT_RANK")</f>
        <v>#N/A Connection</v>
      </c>
      <c r="L32" s="4" t="str">
        <f>IF((TEXT(_xll.BDP(AI32,"MATURITY"),"DD/MM/YYYY")="#N/A Field Not Applicable"),"Perp",TEXT(_xll.BDP(AI32,"MATURITY"),"DD/MM/YYYY"))</f>
        <v>#N/A Connection</v>
      </c>
      <c r="M32" s="8" t="str">
        <f>(IF(_xll.BDP($AI32&amp;" ISIN","DU003")="#n/a n/a"," ",_xll.BDP($AI32&amp;" ISIN","DU003")))</f>
        <v>#N/A Connection</v>
      </c>
      <c r="N32" s="4" t="str">
        <f>IF(_xll.BDP(AI32,"CALLABLE")="Y",_xll.BDP(AI32,"NXT_CALL_DT")," ")</f>
        <v xml:space="preserve"> </v>
      </c>
      <c r="O32" s="9">
        <v>100000</v>
      </c>
      <c r="P32" s="5">
        <v>100.5</v>
      </c>
      <c r="Q32" s="10" t="str">
        <f>_xll.BDP(AI32,"px_bid")</f>
        <v>#N/A Connection</v>
      </c>
      <c r="R32" s="11" t="e">
        <f>IF(F32="USD",AG32,(((_xll.BDP(F32&amp;"USD CURNCY","PX_LAST")))*AG32))</f>
        <v>#VALUE!</v>
      </c>
      <c r="S32" s="11" t="e">
        <f>IF(F32="USD",AH32,(((_xll.BDP(F32&amp;"USD CURNCY","PX_LAST")))*AH32))+AP32</f>
        <v>#VALUE!</v>
      </c>
      <c r="T32" s="12" t="e">
        <f t="shared" ref="T32:T54" si="13">U32*R32</f>
        <v>#VALUE!</v>
      </c>
      <c r="U32" s="13" t="e">
        <f t="shared" ref="U32:U54" si="14">(Q32-P32)/P32</f>
        <v>#VALUE!</v>
      </c>
      <c r="V32" s="13" t="str" cm="1">
        <f t="array" ref="V32">IFERROR(_xll.BDP($G32&amp;" ISIN","CHG_PCT_1D")/100,"")</f>
        <v/>
      </c>
      <c r="W32" s="13" t="str" cm="1">
        <f t="array" ref="W32">IFERROR(_xll.BDP($G32&amp;" ISIN","CHG_PCT_5D")/100,"")</f>
        <v/>
      </c>
      <c r="X32" s="13" t="e" cm="1">
        <f t="array" ref="X32">_xll.BDP($G32&amp;" ISIN","CHG_PCT_1M")/100</f>
        <v>#VALUE!</v>
      </c>
      <c r="Y32" s="13" t="e" cm="1">
        <f t="array" ref="Y32">_xll.BDP($G32&amp;" ISIN","CHG_PCT_3M")/100</f>
        <v>#VALUE!</v>
      </c>
      <c r="Z32" s="13" t="e" cm="1">
        <f t="array" ref="Z32">_xll.BDP($G32&amp;" ISIN","CHG_PCT_6M")/100</f>
        <v>#VALUE!</v>
      </c>
      <c r="AA32" s="13" t="e" cm="1">
        <f t="array" ref="AA32">_xll.BDP($G32&amp;" ISIN","CHG_PCT_YTD")/100</f>
        <v>#VALUE!</v>
      </c>
      <c r="AB32" s="13" t="e">
        <f t="shared" si="9"/>
        <v>#VALUE!</v>
      </c>
      <c r="AC32" s="14" t="e">
        <f t="shared" ref="AC32:AC54" ca="1" si="15">((AF32*I32)* ((TODAY()-BJ32)/360))+(Q32-P32)%*AF32</f>
        <v>#VALUE!</v>
      </c>
      <c r="AD32" s="4" t="str">
        <f>_xll.BDP(AI32,"DS199")</f>
        <v>#N/A Connection</v>
      </c>
      <c r="AE32" s="10" t="str">
        <f>_xll.BDP(AI32,"px_ask")</f>
        <v>#N/A Connection</v>
      </c>
      <c r="AF32" s="14" t="e">
        <f>IF(F32="USD",O32,(((_xll.BDP(F32&amp;"USD CURNCY","PX_LAST")))*O32))</f>
        <v>#VALUE!</v>
      </c>
      <c r="AG32" s="11">
        <f t="shared" ref="AG32:AG54" si="16">O32*P32/100</f>
        <v>100500</v>
      </c>
      <c r="AH32" s="11" t="e">
        <f t="shared" ref="AH32:AH54" si="17">Q32*O32/100</f>
        <v>#VALUE!</v>
      </c>
      <c r="AI32" s="4" t="str">
        <f t="shared" ref="AI32:AI54" si="18">G32&amp; " ISIN"</f>
        <v>XS2081020872 ISIN</v>
      </c>
      <c r="AJ32" s="4" t="e" cm="1">
        <f t="array" ref="AJ32">VLOOKUP(IF(NOT(_xll.BDP($G32&amp;" CORP",$CA$5)="#N/A N/A"),(_xll.BDP($G32&amp;" CORP",$CA$5)),"-"), '[1]Country Codes'!$A$2:$B$253,2,0)</f>
        <v>#N/A</v>
      </c>
      <c r="AK32" s="4" t="str" cm="1">
        <f t="array" ref="AK32">IF(OR(_xll.BDP($AI32,"EX028")= "#N/A N/A", _xll.BDP($AI32,"EX028")="#N/A FIELD NOT APPLICABLE"), " ", _xll.BDP($AI32,"EX028"))</f>
        <v>#N/A Connection</v>
      </c>
      <c r="AL32" s="15" t="str">
        <f>(IF(_xll.BDP($AI32&amp;" ISIN","DZ282")="Y","Single line Bonds Cocos","Single line Bonds ex Cocos"))</f>
        <v>Single line Bonds ex Cocos</v>
      </c>
      <c r="AM32" s="8" t="str">
        <f>(IF(_xll.BDP($G32&amp;" ISIN","SP153")="#n/a n/a"," ",_xll.BDP($G32&amp;" ISIN","SP153")))</f>
        <v>#N/A Connection</v>
      </c>
      <c r="AN32" s="16">
        <f t="shared" ref="AN32:AN54" ca="1" si="19">TODAY()</f>
        <v>45783</v>
      </c>
      <c r="AO32" s="11" t="e">
        <f>(((_xll.BDP(AI32,"DS032"))/360)*I32)*O32</f>
        <v>#VALUE!</v>
      </c>
      <c r="AP32" s="11" t="e">
        <f>IF(F32="USD",AO32,(((_xll.BDP(F32&amp;"USD CURNCY","PX_LAST")))*AO32))</f>
        <v>#VALUE!</v>
      </c>
      <c r="AQ32" s="13" t="e">
        <f t="shared" si="12"/>
        <v>#VALUE!</v>
      </c>
      <c r="AR32" s="11" t="e">
        <f t="shared" ref="AR32:AR54" si="20">S32-AP32</f>
        <v>#VALUE!</v>
      </c>
      <c r="AS32" s="10" t="str">
        <f>IF((TEXT(_xll.BDP(AI32,"MATURITY"),"DD/MM/YYYY")="#N/A Field Not Applicable"),"Perp",_xll.BDP(AI32,"DS252"))</f>
        <v>#N/A Connection</v>
      </c>
      <c r="AT32" s="15" t="str">
        <f>(IF(_xll.BDP($AI32&amp;" ISIN","DT247")="Y","Yes","No"))</f>
        <v>No</v>
      </c>
      <c r="AU32" s="15" t="str">
        <f>PROPER(IF(OR(_xll.BDP($AI32,"CPN_TYP")="#n/a N/A",_xll.BDP($AI32,"CPN_TYP")= "#N/A FIELD NOT APPLICABLE"), " ", _xll.BDP($AI32,"CPN_TYP")))</f>
        <v>#N/A Connection</v>
      </c>
      <c r="BG32" s="17" t="str">
        <f t="shared" ref="BG32:BG54" si="21">G32</f>
        <v>XS2081020872</v>
      </c>
      <c r="BH32" s="17">
        <v>0.52</v>
      </c>
      <c r="BI32" s="18">
        <v>4</v>
      </c>
      <c r="BJ32" s="19">
        <v>44183</v>
      </c>
      <c r="BK32" s="20">
        <v>1</v>
      </c>
    </row>
    <row r="33" spans="1:64" s="21" customFormat="1" ht="14.45" customHeight="1" x14ac:dyDescent="0.25">
      <c r="A33" s="49" t="s">
        <v>241</v>
      </c>
      <c r="B33" s="49" t="s">
        <v>251</v>
      </c>
      <c r="C33" s="49" t="s">
        <v>252</v>
      </c>
      <c r="D33" s="49" t="s">
        <v>240</v>
      </c>
      <c r="E33" s="4" t="str">
        <f>_xll.BDP(AI33,"ds520")</f>
        <v>#N/A Connection</v>
      </c>
      <c r="F33" s="4" t="str">
        <f>_xll.BDP(AI33,"crncy")</f>
        <v>#N/A Connection</v>
      </c>
      <c r="G33" s="5" t="s">
        <v>159</v>
      </c>
      <c r="H33" s="4" t="str">
        <f>IF(_xll.BDP(AI33,"RTG_MOODY")="#N/A N/A","N/A",_xll.BDP(AI33,"RTG_MOODY"))&amp;","&amp;IF(_xll.BDP(AI33,"RTG_FITCH")="#N/A N/A","N/A",_xll.BDP(AI33,"RTG_FITCH"))&amp;","&amp;IF(_xll.BDP(AI33,"RTG_SP")="#N/A N/A","N/A",_xll.BDP(AI33,"RTG_SP"))</f>
        <v>#N/A Connection,#N/A Connection,#N/A Connection</v>
      </c>
      <c r="I33" s="7" t="e">
        <f>_xll.BDP(AI33,"cpn")/100</f>
        <v>#VALUE!</v>
      </c>
      <c r="J33" s="7" t="e">
        <f ca="1">_xll.BDP($G33&amp;" isin","YAS_BOND_YLD", "YAS_YLD_FLAG=15", "user_local_trade_date",AN33,"Yas_bond_px",$Q33)/100</f>
        <v>#VALUE!</v>
      </c>
      <c r="K33" s="4" t="str">
        <f>_xll.BDP(AI33,"PAYMENT_RANK")</f>
        <v>#N/A Connection</v>
      </c>
      <c r="L33" s="4" t="str">
        <f>IF((TEXT(_xll.BDP(AI33,"MATURITY"),"DD/MM/YYYY")="#N/A Field Not Applicable"),"Perp",TEXT(_xll.BDP(AI33,"MATURITY"),"DD/MM/YYYY"))</f>
        <v>#N/A Connection</v>
      </c>
      <c r="M33" s="8" t="str">
        <f>(IF(_xll.BDP($AI33&amp;" ISIN","DU003")="#n/a n/a"," ",_xll.BDP($AI33&amp;" ISIN","DU003")))</f>
        <v>#N/A Connection</v>
      </c>
      <c r="N33" s="4" t="str">
        <f>IF(_xll.BDP(AI33,"CALLABLE")="Y",_xll.BDP(AI33,"NXT_CALL_DT")," ")</f>
        <v xml:space="preserve"> </v>
      </c>
      <c r="O33" s="9">
        <v>200000</v>
      </c>
      <c r="P33" s="5">
        <v>99.72</v>
      </c>
      <c r="Q33" s="10" t="str">
        <f>_xll.BDP(AI33,"px_bid")</f>
        <v>#N/A Connection</v>
      </c>
      <c r="R33" s="11" t="e">
        <f>IF(F33="USD",AG33,(((_xll.BDP(F33&amp;"USD CURNCY","PX_LAST")))*AG33))</f>
        <v>#VALUE!</v>
      </c>
      <c r="S33" s="11" t="e">
        <f>IF(F33="USD",AH33,(((_xll.BDP(F33&amp;"USD CURNCY","PX_LAST")))*AH33))+AP33</f>
        <v>#VALUE!</v>
      </c>
      <c r="T33" s="12" t="e">
        <f t="shared" si="13"/>
        <v>#VALUE!</v>
      </c>
      <c r="U33" s="13" t="e">
        <f t="shared" si="14"/>
        <v>#VALUE!</v>
      </c>
      <c r="V33" s="13" t="str" cm="1">
        <f t="array" ref="V33">IFERROR(_xll.BDP($G33&amp;" ISIN","CHG_PCT_1D")/100,"")</f>
        <v/>
      </c>
      <c r="W33" s="13" t="str" cm="1">
        <f t="array" ref="W33">IFERROR(_xll.BDP($G33&amp;" ISIN","CHG_PCT_5D")/100,"")</f>
        <v/>
      </c>
      <c r="X33" s="13" t="e" cm="1">
        <f t="array" ref="X33">_xll.BDP($G33&amp;" ISIN","CHG_PCT_1M")/100</f>
        <v>#VALUE!</v>
      </c>
      <c r="Y33" s="13" t="e" cm="1">
        <f t="array" ref="Y33">_xll.BDP($G33&amp;" ISIN","CHG_PCT_3M")/100</f>
        <v>#VALUE!</v>
      </c>
      <c r="Z33" s="13" t="e" cm="1">
        <f t="array" ref="Z33">_xll.BDP($G33&amp;" ISIN","CHG_PCT_6M")/100</f>
        <v>#VALUE!</v>
      </c>
      <c r="AA33" s="13" t="e" cm="1">
        <f t="array" ref="AA33">_xll.BDP($G33&amp;" ISIN","CHG_PCT_YTD")/100</f>
        <v>#VALUE!</v>
      </c>
      <c r="AB33" s="13" t="e">
        <f t="shared" si="9"/>
        <v>#VALUE!</v>
      </c>
      <c r="AC33" s="14" t="e">
        <f t="shared" ca="1" si="15"/>
        <v>#VALUE!</v>
      </c>
      <c r="AD33" s="4" t="str">
        <f>_xll.BDP(AI33,"DS199")</f>
        <v>#N/A Connection</v>
      </c>
      <c r="AE33" s="10" t="str">
        <f>_xll.BDP(AI33,"px_ask")</f>
        <v>#N/A Connection</v>
      </c>
      <c r="AF33" s="14" t="e">
        <f>IF(F33="USD",O33,(((_xll.BDP(F33&amp;"USD CURNCY","PX_LAST")))*O33))</f>
        <v>#VALUE!</v>
      </c>
      <c r="AG33" s="11">
        <f t="shared" si="16"/>
        <v>199440</v>
      </c>
      <c r="AH33" s="11" t="e">
        <f t="shared" si="17"/>
        <v>#VALUE!</v>
      </c>
      <c r="AI33" s="4" t="str">
        <f t="shared" si="18"/>
        <v>XS2356571559 ISIN</v>
      </c>
      <c r="AJ33" s="4" t="e" cm="1">
        <f t="array" ref="AJ33">VLOOKUP(IF(NOT(_xll.BDP($G33&amp;" CORP",$CA$5)="#N/A N/A"),(_xll.BDP($G33&amp;" CORP",$CA$5)),"-"), '[1]Country Codes'!$A$2:$B$253,2,0)</f>
        <v>#N/A</v>
      </c>
      <c r="AK33" s="4" t="str" cm="1">
        <f t="array" ref="AK33">IF(OR(_xll.BDP($AI33,"EX028")= "#N/A N/A", _xll.BDP($AI33,"EX028")="#N/A FIELD NOT APPLICABLE"), " ", _xll.BDP($AI33,"EX028"))</f>
        <v>#N/A Connection</v>
      </c>
      <c r="AL33" s="15" t="str">
        <f>(IF(_xll.BDP($AI33&amp;" ISIN","DZ282")="Y","Single line Bonds Cocos","Single line Bonds ex Cocos"))</f>
        <v>Single line Bonds ex Cocos</v>
      </c>
      <c r="AM33" s="8" t="str">
        <f>(IF(_xll.BDP($G33&amp;" ISIN","SP153")="#n/a n/a"," ",_xll.BDP($G33&amp;" ISIN","SP153")))</f>
        <v>#N/A Connection</v>
      </c>
      <c r="AN33" s="16">
        <f t="shared" ca="1" si="19"/>
        <v>45783</v>
      </c>
      <c r="AO33" s="11" t="e">
        <f>(((_xll.BDP(AI33,"DS032"))/360)*I33)*O33</f>
        <v>#VALUE!</v>
      </c>
      <c r="AP33" s="11" t="e">
        <f>IF(F33="USD",AO33,(((_xll.BDP(F33&amp;"USD CURNCY","PX_LAST")))*AO33))</f>
        <v>#VALUE!</v>
      </c>
      <c r="AQ33" s="13" t="e">
        <f t="shared" si="12"/>
        <v>#VALUE!</v>
      </c>
      <c r="AR33" s="11" t="e">
        <f t="shared" si="20"/>
        <v>#VALUE!</v>
      </c>
      <c r="AS33" s="10" t="str">
        <f>IF((TEXT(_xll.BDP(AI33,"MATURITY"),"DD/MM/YYYY")="#N/A Field Not Applicable"),"Perp",_xll.BDP(AI33,"DS252"))</f>
        <v>#N/A Connection</v>
      </c>
      <c r="AT33" s="15" t="str">
        <f>(IF(_xll.BDP($AI33&amp;" ISIN","DT247")="Y","Yes","No"))</f>
        <v>No</v>
      </c>
      <c r="AU33" s="15" t="str">
        <f>PROPER(IF(OR(_xll.BDP($AI33,"CPN_TYP")="#n/a N/A",_xll.BDP($AI33,"CPN_TYP")= "#N/A FIELD NOT APPLICABLE"), " ", _xll.BDP($AI33,"CPN_TYP")))</f>
        <v>#N/A Connection</v>
      </c>
      <c r="BG33" s="17" t="str">
        <f t="shared" si="21"/>
        <v>XS2356571559</v>
      </c>
      <c r="BH33" s="17">
        <v>0.72</v>
      </c>
      <c r="BI33" s="18">
        <v>4</v>
      </c>
      <c r="BJ33" s="19">
        <v>44371</v>
      </c>
      <c r="BK33" s="20">
        <v>1</v>
      </c>
    </row>
    <row r="34" spans="1:64" s="21" customFormat="1" ht="14.45" customHeight="1" x14ac:dyDescent="0.25">
      <c r="A34" s="49" t="s">
        <v>241</v>
      </c>
      <c r="B34" s="49" t="s">
        <v>251</v>
      </c>
      <c r="C34" s="49" t="s">
        <v>252</v>
      </c>
      <c r="D34" s="49" t="s">
        <v>240</v>
      </c>
      <c r="E34" s="4" t="str">
        <f>_xll.BDP(AI34,"ds520")</f>
        <v>#N/A Connection</v>
      </c>
      <c r="F34" s="4" t="str">
        <f>_xll.BDP(AI34,"crncy")</f>
        <v>#N/A Connection</v>
      </c>
      <c r="G34" s="5" t="s">
        <v>158</v>
      </c>
      <c r="H34" s="4" t="str">
        <f>IF(_xll.BDP(AI34,"RTG_MOODY")="#N/A N/A","N/A",_xll.BDP(AI34,"RTG_MOODY"))&amp;","&amp;IF(_xll.BDP(AI34,"RTG_FITCH")="#N/A N/A","N/A",_xll.BDP(AI34,"RTG_FITCH"))&amp;","&amp;IF(_xll.BDP(AI34,"RTG_SP")="#N/A N/A","N/A",_xll.BDP(AI34,"RTG_SP"))</f>
        <v>#N/A Connection,#N/A Connection,#N/A Connection</v>
      </c>
      <c r="I34" s="17">
        <v>0</v>
      </c>
      <c r="J34" s="17">
        <v>0</v>
      </c>
      <c r="K34" s="4" t="str">
        <f>_xll.BDP(AI34,"PAYMENT_RANK")</f>
        <v>#N/A Connection</v>
      </c>
      <c r="L34" s="4" t="str">
        <f>IF((TEXT(_xll.BDP(AI34,"MATURITY"),"DD/MM/YYYY")="#N/A Field Not Applicable"),"Perp",TEXT(_xll.BDP(AI34,"MATURITY"),"DD/MM/YYYY"))</f>
        <v>#N/A Connection</v>
      </c>
      <c r="M34" s="8" t="str">
        <f>(IF(_xll.BDP($AI34&amp;" ISIN","DU003")="#n/a n/a"," ",_xll.BDP($AI34&amp;" ISIN","DU003")))</f>
        <v>#N/A Connection</v>
      </c>
      <c r="N34" s="4" t="str">
        <f>IF(_xll.BDP(AI34,"CALLABLE")="Y",_xll.BDP(AI34,"NXT_CALL_DT")," ")</f>
        <v xml:space="preserve"> </v>
      </c>
      <c r="O34" s="9">
        <v>50000</v>
      </c>
      <c r="P34" s="5">
        <v>100</v>
      </c>
      <c r="Q34" s="71">
        <v>0</v>
      </c>
      <c r="R34" s="11" t="e">
        <f>IF(F34="USD",AG34,(((_xll.BDP(F34&amp;"USD CURNCY","PX_LAST")))*AG34))</f>
        <v>#VALUE!</v>
      </c>
      <c r="S34" s="11" t="e">
        <f>IF(F34="USD",AH34,(((_xll.BDP(F34&amp;"USD CURNCY","PX_LAST")))*AH34))+AP34</f>
        <v>#VALUE!</v>
      </c>
      <c r="T34" s="12" t="e">
        <f t="shared" si="13"/>
        <v>#VALUE!</v>
      </c>
      <c r="U34" s="13">
        <f t="shared" si="14"/>
        <v>-1</v>
      </c>
      <c r="V34" s="13" t="str" cm="1">
        <f t="array" ref="V34">IFERROR(_xll.BDP($G34&amp;" ISIN","CHG_PCT_1D")/100,"")</f>
        <v/>
      </c>
      <c r="W34" s="13" t="str" cm="1">
        <f t="array" ref="W34">IFERROR(_xll.BDP($G34&amp;" ISIN","CHG_PCT_5D")/100,"")</f>
        <v/>
      </c>
      <c r="X34" s="13" t="e" cm="1">
        <f t="array" ref="X34">_xll.BDP($G34&amp;" ISIN","CHG_PCT_1M")/100</f>
        <v>#VALUE!</v>
      </c>
      <c r="Y34" s="13" t="e" cm="1">
        <f t="array" ref="Y34">_xll.BDP($G34&amp;" ISIN","CHG_PCT_3M")/100</f>
        <v>#VALUE!</v>
      </c>
      <c r="Z34" s="13" t="e" cm="1">
        <f t="array" ref="Z34">_xll.BDP($G34&amp;" ISIN","CHG_PCT_6M")/100</f>
        <v>#VALUE!</v>
      </c>
      <c r="AA34" s="13" t="e" cm="1">
        <f t="array" ref="AA34">_xll.BDP($G34&amp;" ISIN","CHG_PCT_YTD")/100</f>
        <v>#VALUE!</v>
      </c>
      <c r="AB34" s="13" t="e">
        <f t="shared" si="9"/>
        <v>#VALUE!</v>
      </c>
      <c r="AC34" s="14" t="e">
        <f t="shared" ca="1" si="15"/>
        <v>#VALUE!</v>
      </c>
      <c r="AD34" s="4" t="str">
        <f>_xll.BDP(AI34,"DS199")</f>
        <v>#N/A Connection</v>
      </c>
      <c r="AE34" s="10" t="str">
        <f>_xll.BDP(AI34,"px_ask")</f>
        <v>#N/A Connection</v>
      </c>
      <c r="AF34" s="14" t="e">
        <f>IF(F34="USD",O34,(((_xll.BDP(F34&amp;"USD CURNCY","PX_LAST")))*O34))</f>
        <v>#VALUE!</v>
      </c>
      <c r="AG34" s="11">
        <f t="shared" si="16"/>
        <v>50000</v>
      </c>
      <c r="AH34" s="11">
        <f t="shared" si="17"/>
        <v>0</v>
      </c>
      <c r="AI34" s="4" t="str">
        <f t="shared" si="18"/>
        <v>XS2099763075 ISIN</v>
      </c>
      <c r="AJ34" s="4" t="e" cm="1">
        <f t="array" ref="AJ34">VLOOKUP(IF(NOT(_xll.BDP($G34&amp;" CORP",$CA$5)="#N/A N/A"),(_xll.BDP($G34&amp;" CORP",$CA$5)),"-"), '[1]Country Codes'!$A$2:$B$253,2,0)</f>
        <v>#N/A</v>
      </c>
      <c r="AK34" s="4" t="str" cm="1">
        <f t="array" ref="AK34">IF(OR(_xll.BDP($AI34,"EX028")= "#N/A N/A", _xll.BDP($AI34,"EX028")="#N/A FIELD NOT APPLICABLE"), " ", _xll.BDP($AI34,"EX028"))</f>
        <v>#N/A Connection</v>
      </c>
      <c r="AL34" s="15" t="str">
        <f>(IF(_xll.BDP($AI34&amp;" ISIN","DZ282")="Y","Single line Bonds Cocos","Single line Bonds ex Cocos"))</f>
        <v>Single line Bonds ex Cocos</v>
      </c>
      <c r="AM34" s="8" t="str">
        <f>(IF(_xll.BDP($G34&amp;" ISIN","SP153")="#n/a n/a"," ",_xll.BDP($G34&amp;" ISIN","SP153")))</f>
        <v>#N/A Connection</v>
      </c>
      <c r="AN34" s="16">
        <f t="shared" ca="1" si="19"/>
        <v>45783</v>
      </c>
      <c r="AO34" s="11" t="e">
        <f>(((_xll.BDP(AI34,"DS032"))/360)*I34)*O34</f>
        <v>#VALUE!</v>
      </c>
      <c r="AP34" s="11" t="e">
        <f>IF(F34="USD",AO34,(((_xll.BDP(F34&amp;"USD CURNCY","PX_LAST")))*AO34))</f>
        <v>#VALUE!</v>
      </c>
      <c r="AQ34" s="13" t="e">
        <f t="shared" si="12"/>
        <v>#VALUE!</v>
      </c>
      <c r="AR34" s="11" t="e">
        <f t="shared" si="20"/>
        <v>#VALUE!</v>
      </c>
      <c r="AS34" s="10" t="str">
        <f>IF((TEXT(_xll.BDP(AI34,"MATURITY"),"DD/MM/YYYY")="#N/A Field Not Applicable"),"Perp",_xll.BDP(AI34,"DS252"))</f>
        <v>#N/A Connection</v>
      </c>
      <c r="AT34" s="15" t="str">
        <f>(IF(_xll.BDP($AI34&amp;" ISIN","DT247")="Y","Yes","No"))</f>
        <v>No</v>
      </c>
      <c r="AU34" s="15" t="str">
        <f>PROPER(IF(OR(_xll.BDP($AI34,"CPN_TYP")="#n/a N/A",_xll.BDP($AI34,"CPN_TYP")= "#N/A FIELD NOT APPLICABLE"), " ", _xll.BDP($AI34,"CPN_TYP")))</f>
        <v>#N/A Connection</v>
      </c>
      <c r="BG34" s="17" t="str">
        <f t="shared" si="21"/>
        <v>XS2099763075</v>
      </c>
      <c r="BH34" s="17">
        <v>0</v>
      </c>
      <c r="BI34" s="18">
        <v>5</v>
      </c>
      <c r="BJ34" s="19">
        <v>43852</v>
      </c>
      <c r="BK34" s="20">
        <v>1</v>
      </c>
    </row>
    <row r="35" spans="1:64" s="124" customFormat="1" ht="14.45" customHeight="1" x14ac:dyDescent="0.25">
      <c r="A35" s="49" t="s">
        <v>241</v>
      </c>
      <c r="B35" s="49" t="s">
        <v>251</v>
      </c>
      <c r="C35" s="49" t="s">
        <v>252</v>
      </c>
      <c r="D35" s="49" t="s">
        <v>240</v>
      </c>
      <c r="E35" s="4" t="str">
        <f>_xll.BDP(AI35,"ds520")</f>
        <v>#N/A Connection</v>
      </c>
      <c r="F35" s="4" t="str">
        <f>_xll.BDP(AI35,"crncy")</f>
        <v>#N/A Connection</v>
      </c>
      <c r="G35" s="5" t="s">
        <v>146</v>
      </c>
      <c r="H35" s="4" t="str">
        <f>IF(_xll.BDP(AI35,"RTG_MOODY")="#N/A N/A","N/A",_xll.BDP(AI35,"RTG_MOODY"))&amp;","&amp;IF(_xll.BDP(AI35,"RTG_FITCH")="#N/A N/A","N/A",_xll.BDP(AI35,"RTG_FITCH"))&amp;","&amp;IF(_xll.BDP(AI35,"RTG_SP")="#N/A N/A","N/A",_xll.BDP(AI35,"RTG_SP"))</f>
        <v>#N/A Connection,#N/A Connection,#N/A Connection</v>
      </c>
      <c r="I35" s="17">
        <v>0</v>
      </c>
      <c r="J35" s="17">
        <v>0</v>
      </c>
      <c r="K35" s="4" t="str">
        <f>_xll.BDP(AI35,"PAYMENT_RANK")</f>
        <v>#N/A Connection</v>
      </c>
      <c r="L35" s="4" t="str">
        <f>IF((TEXT(_xll.BDP(AI35,"MATURITY"),"DD/MM/YYYY")="#N/A Field Not Applicable"),"Perp",TEXT(_xll.BDP(AI35,"MATURITY"),"DD/MM/YYYY"))</f>
        <v>#N/A Connection</v>
      </c>
      <c r="M35" s="8" t="str">
        <f>(IF(_xll.BDP($AI35&amp;" ISIN","DU003")="#n/a n/a"," ",_xll.BDP($AI35&amp;" ISIN","DU003")))</f>
        <v>#N/A Connection</v>
      </c>
      <c r="N35" s="4" t="str">
        <f>IF(_xll.BDP(AI35,"CALLABLE")="Y",_xll.BDP(AI35,"NXT_CALL_DT")," ")</f>
        <v xml:space="preserve"> </v>
      </c>
      <c r="O35" s="9">
        <v>100000</v>
      </c>
      <c r="P35" s="5">
        <v>100.01</v>
      </c>
      <c r="Q35" s="10" t="str">
        <f>_xll.BDP(AI35,"px_bid")</f>
        <v>#N/A Connection</v>
      </c>
      <c r="R35" s="11" t="e">
        <f>IF(F35="USD",AG35,(((_xll.BDP(F35&amp;"USD CURNCY","PX_LAST")))*AG35))</f>
        <v>#VALUE!</v>
      </c>
      <c r="S35" s="11" t="e">
        <f>IF(F35="USD",AH35,(((_xll.BDP(F35&amp;"USD CURNCY","PX_LAST")))*AH35))+AP35</f>
        <v>#VALUE!</v>
      </c>
      <c r="T35" s="12" t="e">
        <f t="shared" si="13"/>
        <v>#VALUE!</v>
      </c>
      <c r="U35" s="13" t="e">
        <f t="shared" si="14"/>
        <v>#VALUE!</v>
      </c>
      <c r="V35" s="13" t="str" cm="1">
        <f t="array" ref="V35">IFERROR(_xll.BDP($G35&amp;" ISIN","CHG_PCT_1D")/100,"")</f>
        <v/>
      </c>
      <c r="W35" s="13" t="str" cm="1">
        <f t="array" ref="W35">IFERROR(_xll.BDP($G35&amp;" ISIN","CHG_PCT_5D")/100,"")</f>
        <v/>
      </c>
      <c r="X35" s="13" t="e" cm="1">
        <f t="array" ref="X35">_xll.BDP($G35&amp;" ISIN","CHG_PCT_1M")/100</f>
        <v>#VALUE!</v>
      </c>
      <c r="Y35" s="13" t="e" cm="1">
        <f t="array" ref="Y35">_xll.BDP($G35&amp;" ISIN","CHG_PCT_3M")/100</f>
        <v>#VALUE!</v>
      </c>
      <c r="Z35" s="13" t="e" cm="1">
        <f t="array" ref="Z35">_xll.BDP($G35&amp;" ISIN","CHG_PCT_6M")/100</f>
        <v>#VALUE!</v>
      </c>
      <c r="AA35" s="13" t="e" cm="1">
        <f t="array" ref="AA35">_xll.BDP($G35&amp;" ISIN","CHG_PCT_YTD")/100</f>
        <v>#VALUE!</v>
      </c>
      <c r="AB35" s="13" t="e">
        <f t="shared" ref="AB35:AB57" si="22">S35/$H$36</f>
        <v>#VALUE!</v>
      </c>
      <c r="AC35" s="14" t="e">
        <f t="shared" ca="1" si="15"/>
        <v>#VALUE!</v>
      </c>
      <c r="AD35" s="4" t="str">
        <f>_xll.BDP(AI35,"DS199")</f>
        <v>#N/A Connection</v>
      </c>
      <c r="AE35" s="10" t="str">
        <f>_xll.BDP(AI35,"px_ask")</f>
        <v>#N/A Connection</v>
      </c>
      <c r="AF35" s="14" t="e">
        <f>IF(F35="USD",O35,(((_xll.BDP(F35&amp;"USD CURNCY","PX_LAST")))*O35))</f>
        <v>#VALUE!</v>
      </c>
      <c r="AG35" s="11">
        <f t="shared" si="16"/>
        <v>100010</v>
      </c>
      <c r="AH35" s="11" t="e">
        <f t="shared" si="17"/>
        <v>#VALUE!</v>
      </c>
      <c r="AI35" s="4" t="str">
        <f t="shared" si="18"/>
        <v>XS2333280571 ISIN</v>
      </c>
      <c r="AJ35" s="4" t="e" cm="1">
        <f t="array" ref="AJ35">VLOOKUP(IF(NOT(_xll.BDP($G35&amp;" CORP",$CA$5)="#N/A N/A"),(_xll.BDP($G35&amp;" CORP",$CA$5)),"-"), '[1]Country Codes'!$A$2:$B$253,2,0)</f>
        <v>#N/A</v>
      </c>
      <c r="AK35" s="4" t="str" cm="1">
        <f t="array" ref="AK35">IF(OR(_xll.BDP($AI35,"EX028")= "#N/A N/A", _xll.BDP($AI35,"EX028")="#N/A FIELD NOT APPLICABLE"), " ", _xll.BDP($AI35,"EX028"))</f>
        <v>#N/A Connection</v>
      </c>
      <c r="AL35" s="15" t="str">
        <f>(IF(_xll.BDP($AI35&amp;" ISIN","DZ282")="Y","Single line Bonds Cocos","Single line Bonds ex Cocos"))</f>
        <v>Single line Bonds ex Cocos</v>
      </c>
      <c r="AM35" s="8" t="str">
        <f>(IF(_xll.BDP($G35&amp;" ISIN","SP153")="#n/a n/a"," ",_xll.BDP($G35&amp;" ISIN","SP153")))</f>
        <v>#N/A Connection</v>
      </c>
      <c r="AN35" s="16">
        <f t="shared" ca="1" si="19"/>
        <v>45783</v>
      </c>
      <c r="AO35" s="11" t="e">
        <f>(((_xll.BDP(AI35,"DS032"))/360)*I35)*O35</f>
        <v>#VALUE!</v>
      </c>
      <c r="AP35" s="11" t="e">
        <f>IF(F35="USD",AO35,(((_xll.BDP(F35&amp;"USD CURNCY","PX_LAST")))*AO35))</f>
        <v>#VALUE!</v>
      </c>
      <c r="AQ35" s="13" t="e">
        <f t="shared" si="12"/>
        <v>#VALUE!</v>
      </c>
      <c r="AR35" s="11" t="e">
        <f t="shared" si="20"/>
        <v>#VALUE!</v>
      </c>
      <c r="AS35" s="10" t="str">
        <f>IF((TEXT(_xll.BDP(AI35,"MATURITY"),"DD/MM/YYYY")="#N/A Field Not Applicable"),"Perp",_xll.BDP(AI35,"DS252"))</f>
        <v>#N/A Connection</v>
      </c>
      <c r="AT35" s="15" t="str">
        <f>(IF(_xll.BDP($AI35&amp;" ISIN","DT247")="Y","Yes","No"))</f>
        <v>No</v>
      </c>
      <c r="AU35" s="15" t="str">
        <f>PROPER(IF(OR(_xll.BDP($AI35,"CPN_TYP")="#n/a N/A",_xll.BDP($AI35,"CPN_TYP")= "#N/A FIELD NOT APPLICABLE"), " ", _xll.BDP($AI35,"CPN_TYP")))</f>
        <v>#N/A Connection</v>
      </c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17" t="str">
        <f t="shared" si="21"/>
        <v>XS2333280571</v>
      </c>
      <c r="BH35" s="17">
        <v>0</v>
      </c>
      <c r="BI35" s="18">
        <v>5</v>
      </c>
      <c r="BJ35" s="19">
        <v>44305</v>
      </c>
      <c r="BK35" s="20">
        <v>1</v>
      </c>
      <c r="BL35" s="21"/>
    </row>
    <row r="36" spans="1:64" s="21" customFormat="1" ht="14.45" customHeight="1" x14ac:dyDescent="0.25">
      <c r="A36" s="49" t="s">
        <v>241</v>
      </c>
      <c r="B36" s="49" t="s">
        <v>251</v>
      </c>
      <c r="C36" s="49" t="s">
        <v>252</v>
      </c>
      <c r="D36" s="49" t="s">
        <v>240</v>
      </c>
      <c r="E36" s="4" t="str">
        <f>_xll.BDP(AI36,"ds520")</f>
        <v>#N/A Connection</v>
      </c>
      <c r="F36" s="4" t="str">
        <f>_xll.BDP(AI36,"crncy")</f>
        <v>#N/A Connection</v>
      </c>
      <c r="G36" s="5" t="s">
        <v>149</v>
      </c>
      <c r="H36" s="4" t="str">
        <f>IF(_xll.BDP(AI36,"RTG_MOODY")="#N/A N/A","N/A",_xll.BDP(AI36,"RTG_MOODY"))&amp;","&amp;IF(_xll.BDP(AI36,"RTG_FITCH")="#N/A N/A","N/A",_xll.BDP(AI36,"RTG_FITCH"))&amp;","&amp;IF(_xll.BDP(AI36,"RTG_SP")="#N/A N/A","N/A",_xll.BDP(AI36,"RTG_SP"))</f>
        <v>#N/A Connection,#N/A Connection,#N/A Connection</v>
      </c>
      <c r="I36" s="7" t="e">
        <f>_xll.BDP(AI36,"cpn")/100</f>
        <v>#VALUE!</v>
      </c>
      <c r="J36" s="7" t="e">
        <f ca="1">_xll.BDP($G36&amp;" isin","YAS_BOND_YLD", "YAS_YLD_FLAG=15", "user_local_trade_date",AN36,"Yas_bond_px",$Q36)/100</f>
        <v>#VALUE!</v>
      </c>
      <c r="K36" s="4" t="str">
        <f>_xll.BDP(AI36,"PAYMENT_RANK")</f>
        <v>#N/A Connection</v>
      </c>
      <c r="L36" s="4" t="str">
        <f>IF((TEXT(_xll.BDP(AI36,"MATURITY"),"DD/MM/YYYY")="#N/A Field Not Applicable"),"Perp",TEXT(_xll.BDP(AI36,"MATURITY"),"DD/MM/YYYY"))</f>
        <v>#N/A Connection</v>
      </c>
      <c r="M36" s="8" t="str">
        <f>(IF(_xll.BDP($AI36&amp;" ISIN","DU003")="#n/a n/a"," ",_xll.BDP($AI36&amp;" ISIN","DU003")))</f>
        <v>#N/A Connection</v>
      </c>
      <c r="N36" s="4" t="str">
        <f>IF(_xll.BDP(AI36,"CALLABLE")="Y",_xll.BDP(AI36,"NXT_CALL_DT")," ")</f>
        <v xml:space="preserve"> </v>
      </c>
      <c r="O36" s="9">
        <v>200000</v>
      </c>
      <c r="P36" s="5">
        <v>100.01</v>
      </c>
      <c r="Q36" s="10" t="str">
        <f>_xll.BDP(AI36,"px_bid")</f>
        <v>#N/A Connection</v>
      </c>
      <c r="R36" s="11" t="e">
        <f>IF(F36="USD",AG36,(((_xll.BDP(F36&amp;"USD CURNCY","PX_LAST")))*AG36))</f>
        <v>#VALUE!</v>
      </c>
      <c r="S36" s="11" t="e">
        <f>IF(F36="USD",AH36,(((_xll.BDP(F36&amp;"USD CURNCY","PX_LAST")))*AH36))+AP36</f>
        <v>#VALUE!</v>
      </c>
      <c r="T36" s="12" t="e">
        <f t="shared" si="13"/>
        <v>#VALUE!</v>
      </c>
      <c r="U36" s="13" t="e">
        <f t="shared" si="14"/>
        <v>#VALUE!</v>
      </c>
      <c r="V36" s="13" t="str" cm="1">
        <f t="array" ref="V36">IFERROR(_xll.BDP($G36&amp;" ISIN","CHG_PCT_1D")/100,"")</f>
        <v/>
      </c>
      <c r="W36" s="13" t="str" cm="1">
        <f t="array" ref="W36">IFERROR(_xll.BDP($G36&amp;" ISIN","CHG_PCT_5D")/100,"")</f>
        <v/>
      </c>
      <c r="X36" s="13" t="e" cm="1">
        <f t="array" ref="X36">_xll.BDP($G36&amp;" ISIN","CHG_PCT_1M")/100</f>
        <v>#VALUE!</v>
      </c>
      <c r="Y36" s="13" t="e" cm="1">
        <f t="array" ref="Y36">_xll.BDP($G36&amp;" ISIN","CHG_PCT_3M")/100</f>
        <v>#VALUE!</v>
      </c>
      <c r="Z36" s="13" t="e" cm="1">
        <f t="array" ref="Z36">_xll.BDP($G36&amp;" ISIN","CHG_PCT_6M")/100</f>
        <v>#VALUE!</v>
      </c>
      <c r="AA36" s="13" t="e" cm="1">
        <f t="array" ref="AA36">_xll.BDP($G36&amp;" ISIN","CHG_PCT_YTD")/100</f>
        <v>#VALUE!</v>
      </c>
      <c r="AB36" s="13" t="e">
        <f t="shared" si="22"/>
        <v>#VALUE!</v>
      </c>
      <c r="AC36" s="14" t="e">
        <f t="shared" ca="1" si="15"/>
        <v>#VALUE!</v>
      </c>
      <c r="AD36" s="4" t="str">
        <f>_xll.BDP(AI36,"DS199")</f>
        <v>#N/A Connection</v>
      </c>
      <c r="AE36" s="10" t="str">
        <f>_xll.BDP(AI36,"px_ask")</f>
        <v>#N/A Connection</v>
      </c>
      <c r="AF36" s="14" t="e">
        <f>IF(F36="USD",O36,(((_xll.BDP(F36&amp;"USD CURNCY","PX_LAST")))*O36))</f>
        <v>#VALUE!</v>
      </c>
      <c r="AG36" s="11">
        <f t="shared" si="16"/>
        <v>200020</v>
      </c>
      <c r="AH36" s="11" t="e">
        <f t="shared" si="17"/>
        <v>#VALUE!</v>
      </c>
      <c r="AI36" s="4" t="str">
        <f t="shared" si="18"/>
        <v>XS2630917107 ISIN</v>
      </c>
      <c r="AJ36" s="4" t="e" cm="1">
        <f t="array" ref="AJ36">VLOOKUP(IF(NOT(_xll.BDP($G36&amp;" CORP",$CA$5)="#N/A N/A"),(_xll.BDP($G36&amp;" CORP",$CA$5)),"-"), '[1]Country Codes'!$A$2:$B$253,2,0)</f>
        <v>#N/A</v>
      </c>
      <c r="AK36" s="4" t="str" cm="1">
        <f t="array" ref="AK36">IF(OR(_xll.BDP($AI36,"EX028")= "#N/A N/A", _xll.BDP($AI36,"EX028")="#N/A FIELD NOT APPLICABLE"), " ", _xll.BDP($AI36,"EX028"))</f>
        <v>#N/A Connection</v>
      </c>
      <c r="AL36" s="15" t="str">
        <f>(IF(_xll.BDP($AI36&amp;" ISIN","DZ282")="Y","Single line Bonds Cocos","Single line Bonds ex Cocos"))</f>
        <v>Single line Bonds ex Cocos</v>
      </c>
      <c r="AM36" s="8" t="str">
        <f>(IF(_xll.BDP($G36&amp;" ISIN","SP153")="#n/a n/a"," ",_xll.BDP($G36&amp;" ISIN","SP153")))</f>
        <v>#N/A Connection</v>
      </c>
      <c r="AN36" s="16">
        <f t="shared" ca="1" si="19"/>
        <v>45783</v>
      </c>
      <c r="AO36" s="11" t="e">
        <f>(((_xll.BDP(AI36,"DS032"))/360)*I36)*O36</f>
        <v>#VALUE!</v>
      </c>
      <c r="AP36" s="11" t="e">
        <f>IF(F36="USD",AO36,(((_xll.BDP(F36&amp;"USD CURNCY","PX_LAST")))*AO36))</f>
        <v>#VALUE!</v>
      </c>
      <c r="AQ36" s="13" t="e">
        <f t="shared" si="12"/>
        <v>#VALUE!</v>
      </c>
      <c r="AR36" s="11" t="e">
        <f t="shared" si="20"/>
        <v>#VALUE!</v>
      </c>
      <c r="AS36" s="10" t="str">
        <f>IF((TEXT(_xll.BDP(AI36,"MATURITY"),"DD/MM/YYYY")="#N/A Field Not Applicable"),"Perp",_xll.BDP(AI36,"DS252"))</f>
        <v>#N/A Connection</v>
      </c>
      <c r="AT36" s="15" t="str">
        <f>(IF(_xll.BDP($AI36&amp;" ISIN","DT247")="Y","Yes","No"))</f>
        <v>No</v>
      </c>
      <c r="AU36" s="15" t="str">
        <f>PROPER(IF(OR(_xll.BDP($AI36,"CPN_TYP")="#n/a N/A",_xll.BDP($AI36,"CPN_TYP")= "#N/A FIELD NOT APPLICABLE"), " ", _xll.BDP($AI36,"CPN_TYP")))</f>
        <v>#N/A Connection</v>
      </c>
      <c r="BG36" s="17" t="str">
        <f t="shared" si="21"/>
        <v>XS2630917107</v>
      </c>
      <c r="BH36" s="17">
        <v>0.72</v>
      </c>
      <c r="BI36" s="18">
        <v>3</v>
      </c>
      <c r="BJ36" s="19">
        <v>45539</v>
      </c>
      <c r="BK36" s="20">
        <v>1</v>
      </c>
    </row>
    <row r="37" spans="1:64" s="77" customFormat="1" ht="14.45" customHeight="1" x14ac:dyDescent="0.25">
      <c r="A37" s="49" t="s">
        <v>241</v>
      </c>
      <c r="B37" s="49" t="s">
        <v>251</v>
      </c>
      <c r="C37" s="49" t="s">
        <v>252</v>
      </c>
      <c r="D37" s="49" t="s">
        <v>240</v>
      </c>
      <c r="E37" s="4" t="str">
        <f>_xll.BDP(AI37,"ds520")</f>
        <v>#N/A Connection</v>
      </c>
      <c r="F37" s="4" t="str">
        <f>_xll.BDP(AI37,"crncy")</f>
        <v>#N/A Connection</v>
      </c>
      <c r="G37" s="5" t="s">
        <v>151</v>
      </c>
      <c r="H37" s="4" t="str">
        <f>IF(_xll.BDP(AI37,"RTG_MOODY")="#N/A N/A","N/A",_xll.BDP(AI37,"RTG_MOODY"))&amp;","&amp;IF(_xll.BDP(AI37,"RTG_FITCH")="#N/A N/A","N/A",_xll.BDP(AI37,"RTG_FITCH"))&amp;","&amp;IF(_xll.BDP(AI37,"RTG_SP")="#N/A N/A","N/A",_xll.BDP(AI37,"RTG_SP"))</f>
        <v>#N/A Connection,#N/A Connection,#N/A Connection</v>
      </c>
      <c r="I37" s="7" t="e">
        <f>_xll.BDP(AI37,"cpn")/100</f>
        <v>#VALUE!</v>
      </c>
      <c r="J37" s="7" t="e">
        <f ca="1">_xll.BDP($G37&amp;" isin","YAS_BOND_YLD", "YAS_YLD_FLAG=15", "user_local_trade_date",AN37,"Yas_bond_px",$Q37)/100</f>
        <v>#VALUE!</v>
      </c>
      <c r="K37" s="4" t="str">
        <f>_xll.BDP(AI37,"PAYMENT_RANK")</f>
        <v>#N/A Connection</v>
      </c>
      <c r="L37" s="4" t="str">
        <f>IF((TEXT(_xll.BDP(AI37,"MATURITY"),"DD/MM/YYYY")="#N/A Field Not Applicable"),"Perp",TEXT(_xll.BDP(AI37,"MATURITY"),"DD/MM/YYYY"))</f>
        <v>#N/A Connection</v>
      </c>
      <c r="M37" s="8" t="str">
        <f>(IF(_xll.BDP($AI37&amp;" ISIN","DU003")="#n/a n/a"," ",_xll.BDP($AI37&amp;" ISIN","DU003")))</f>
        <v>#N/A Connection</v>
      </c>
      <c r="N37" s="4" t="str">
        <f>IF(_xll.BDP(AI37,"CALLABLE")="Y",_xll.BDP(AI37,"NXT_CALL_DT")," ")</f>
        <v xml:space="preserve"> </v>
      </c>
      <c r="O37" s="9">
        <v>200000</v>
      </c>
      <c r="P37" s="5">
        <v>100.01</v>
      </c>
      <c r="Q37" s="10" t="str">
        <f>_xll.BDP(AI37,"px_bid")</f>
        <v>#N/A Connection</v>
      </c>
      <c r="R37" s="11" t="e">
        <f>IF(F37="USD",AG37,(((_xll.BDP(F37&amp;"USD CURNCY","PX_LAST")))*AG37))</f>
        <v>#VALUE!</v>
      </c>
      <c r="S37" s="11" t="e">
        <f>IF(F37="USD",AH37,(((_xll.BDP(F37&amp;"USD CURNCY","PX_LAST")))*AH37))+AP37</f>
        <v>#VALUE!</v>
      </c>
      <c r="T37" s="12" t="e">
        <f t="shared" si="13"/>
        <v>#VALUE!</v>
      </c>
      <c r="U37" s="13" t="e">
        <f t="shared" si="14"/>
        <v>#VALUE!</v>
      </c>
      <c r="V37" s="13" t="str" cm="1">
        <f t="array" ref="V37">IFERROR(_xll.BDP($G37&amp;" ISIN","CHG_PCT_1D")/100,"")</f>
        <v/>
      </c>
      <c r="W37" s="13" t="str" cm="1">
        <f t="array" ref="W37">IFERROR(_xll.BDP($G37&amp;" ISIN","CHG_PCT_5D")/100,"")</f>
        <v/>
      </c>
      <c r="X37" s="13" t="e" cm="1">
        <f t="array" ref="X37">_xll.BDP($G37&amp;" ISIN","CHG_PCT_1M")/100</f>
        <v>#VALUE!</v>
      </c>
      <c r="Y37" s="13" t="e" cm="1">
        <f t="array" ref="Y37">_xll.BDP($G37&amp;" ISIN","CHG_PCT_3M")/100</f>
        <v>#VALUE!</v>
      </c>
      <c r="Z37" s="13" t="e" cm="1">
        <f t="array" ref="Z37">_xll.BDP($G37&amp;" ISIN","CHG_PCT_6M")/100</f>
        <v>#VALUE!</v>
      </c>
      <c r="AA37" s="13" t="e" cm="1">
        <f t="array" ref="AA37">_xll.BDP($G37&amp;" ISIN","CHG_PCT_YTD")/100</f>
        <v>#VALUE!</v>
      </c>
      <c r="AB37" s="13" t="e">
        <f t="shared" si="22"/>
        <v>#VALUE!</v>
      </c>
      <c r="AC37" s="14" t="e">
        <f t="shared" ca="1" si="15"/>
        <v>#VALUE!</v>
      </c>
      <c r="AD37" s="4" t="str">
        <f>_xll.BDP(AI37,"DS199")</f>
        <v>#N/A Connection</v>
      </c>
      <c r="AE37" s="10" t="str">
        <f>_xll.BDP(AI37,"px_ask")</f>
        <v>#N/A Connection</v>
      </c>
      <c r="AF37" s="14" t="e">
        <f>IF(F37="USD",O37,(((_xll.BDP(F37&amp;"USD CURNCY","PX_LAST")))*O37))</f>
        <v>#VALUE!</v>
      </c>
      <c r="AG37" s="11">
        <f t="shared" si="16"/>
        <v>200020</v>
      </c>
      <c r="AH37" s="11" t="e">
        <f t="shared" si="17"/>
        <v>#VALUE!</v>
      </c>
      <c r="AI37" s="4" t="str">
        <f t="shared" si="18"/>
        <v>XS2451768720 ISIN</v>
      </c>
      <c r="AJ37" s="4" t="e" cm="1">
        <f t="array" ref="AJ37">VLOOKUP(IF(NOT(_xll.BDP($G37&amp;" CORP",$CA$5)="#N/A N/A"),(_xll.BDP($G37&amp;" CORP",$CA$5)),"-"), '[1]Country Codes'!$A$2:$B$253,2,0)</f>
        <v>#N/A</v>
      </c>
      <c r="AK37" s="4" t="str" cm="1">
        <f t="array" ref="AK37">IF(OR(_xll.BDP($AI37,"EX028")= "#N/A N/A", _xll.BDP($AI37,"EX028")="#N/A FIELD NOT APPLICABLE"), " ", _xll.BDP($AI37,"EX028"))</f>
        <v>#N/A Connection</v>
      </c>
      <c r="AL37" s="15" t="str">
        <f>(IF(_xll.BDP($AI37&amp;" ISIN","DZ282")="Y","Single line Bonds Cocos","Single line Bonds ex Cocos"))</f>
        <v>Single line Bonds ex Cocos</v>
      </c>
      <c r="AM37" s="8" t="str">
        <f>(IF(_xll.BDP($G37&amp;" ISIN","SP153")="#n/a n/a"," ",_xll.BDP($G37&amp;" ISIN","SP153")))</f>
        <v>#N/A Connection</v>
      </c>
      <c r="AN37" s="16">
        <f t="shared" ca="1" si="19"/>
        <v>45783</v>
      </c>
      <c r="AO37" s="11" t="e">
        <f>(((_xll.BDP(AI37,"DS032"))/360)*I37)*O37</f>
        <v>#VALUE!</v>
      </c>
      <c r="AP37" s="11" t="e">
        <f>IF(F37="USD",AO37,(((_xll.BDP(F37&amp;"USD CURNCY","PX_LAST")))*AO37))</f>
        <v>#VALUE!</v>
      </c>
      <c r="AQ37" s="13" t="e">
        <f t="shared" si="12"/>
        <v>#VALUE!</v>
      </c>
      <c r="AR37" s="11" t="e">
        <f t="shared" si="20"/>
        <v>#VALUE!</v>
      </c>
      <c r="AS37" s="10" t="str">
        <f>IF((TEXT(_xll.BDP(AI37,"MATURITY"),"DD/MM/YYYY")="#N/A Field Not Applicable"),"Perp",_xll.BDP(AI37,"DS252"))</f>
        <v>#N/A Connection</v>
      </c>
      <c r="AT37" s="15" t="str">
        <f>(IF(_xll.BDP($AI37&amp;" ISIN","DT247")="Y","Yes","No"))</f>
        <v>No</v>
      </c>
      <c r="AU37" s="15" t="str">
        <f>PROPER(IF(OR(_xll.BDP($AI37,"CPN_TYP")="#n/a N/A",_xll.BDP($AI37,"CPN_TYP")= "#N/A FIELD NOT APPLICABLE"), " ", _xll.BDP($AI37,"CPN_TYP")))</f>
        <v>#N/A Connection</v>
      </c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17" t="str">
        <f t="shared" si="21"/>
        <v>XS2451768720</v>
      </c>
      <c r="BH37" s="17">
        <v>0.82</v>
      </c>
      <c r="BI37" s="18">
        <v>5</v>
      </c>
      <c r="BJ37" s="19">
        <v>44741</v>
      </c>
      <c r="BK37" s="20">
        <v>1</v>
      </c>
      <c r="BL37" s="21"/>
    </row>
    <row r="38" spans="1:64" s="21" customFormat="1" ht="14.45" customHeight="1" x14ac:dyDescent="0.25">
      <c r="A38" s="49" t="s">
        <v>241</v>
      </c>
      <c r="B38" s="49" t="s">
        <v>251</v>
      </c>
      <c r="C38" s="49" t="s">
        <v>252</v>
      </c>
      <c r="D38" s="49" t="s">
        <v>240</v>
      </c>
      <c r="E38" s="4" t="str">
        <f>_xll.BDP(AI38,"ds520")</f>
        <v>TVF Varlik Kiralama AS</v>
      </c>
      <c r="F38" s="4" t="str">
        <f>_xll.BDP(AI38,"crncy")</f>
        <v>USD</v>
      </c>
      <c r="G38" s="5" t="s">
        <v>136</v>
      </c>
      <c r="H38" s="4" t="str">
        <f>IF(_xll.BDP(AI38,"RTG_MOODY")="#N/A N/A","N/A",_xll.BDP(AI38,"RTG_MOODY"))&amp;","&amp;IF(_xll.BDP(AI38,"RTG_FITCH")="#N/A N/A","N/A",_xll.BDP(AI38,"RTG_FITCH"))&amp;","&amp;IF(_xll.BDP(AI38,"RTG_SP")="#N/A N/A","N/A",_xll.BDP(AI38,"RTG_SP"))</f>
        <v>N/A,BB-,N/A</v>
      </c>
      <c r="I38" s="7">
        <f>_xll.BDP(AI38,"cpn")/100</f>
        <v>6.9500000000000006E-2</v>
      </c>
      <c r="J38" s="7">
        <f ca="1">_xll.BDP($G38&amp;" isin","YAS_BOND_YLD", "YAS_YLD_FLAG=15", "user_local_trade_date",AN38,"Yas_bond_px",$Q38)/100</f>
        <v>7.1722910000000001E-2</v>
      </c>
      <c r="K38" s="4" t="str">
        <f>_xll.BDP(AI38,"PAYMENT_RANK")</f>
        <v>Sr Unsecured</v>
      </c>
      <c r="L38" s="4" t="str">
        <f>IF((TEXT(_xll.BDP(AI38,"MATURITY"),"DD/MM/YYYY")="#N/A Field Not Applicable"),"Perp",TEXT(_xll.BDP(AI38,"MATURITY"),"DD/MM/YYYY"))</f>
        <v>23/01/2030</v>
      </c>
      <c r="M38" s="8">
        <f>(IF(_xll.BDP($AI38&amp;" ISIN","DU003")="#n/a n/a"," ",_xll.BDP($AI38&amp;" ISIN","DU003")))</f>
        <v>4.0302780432457386</v>
      </c>
      <c r="N38" s="4" t="str">
        <f>IF(_xll.BDP(AI38,"CALLABLE")="Y",_xll.BDP(AI38,"NXT_CALL_DT")," ")</f>
        <v xml:space="preserve"> </v>
      </c>
      <c r="O38" s="9">
        <v>200000</v>
      </c>
      <c r="P38" s="5">
        <v>100.01</v>
      </c>
      <c r="Q38" s="10">
        <f>_xll.BDP(AI38,"px_bid")</f>
        <v>99.11</v>
      </c>
      <c r="R38" s="11">
        <f>IF(F38="USD",AG38,(((_xll.BDP(F38&amp;"USD CURNCY","PX_LAST")))*AG38))</f>
        <v>200020</v>
      </c>
      <c r="S38" s="11">
        <f>IF(F38="USD",AH38,(((_xll.BDP(F38&amp;"USD CURNCY","PX_LAST")))*AH38))+AP38</f>
        <v>202042.5</v>
      </c>
      <c r="T38" s="12">
        <f t="shared" si="13"/>
        <v>-1800.0000000000114</v>
      </c>
      <c r="U38" s="13">
        <f t="shared" si="14"/>
        <v>-8.9991000899910575E-3</v>
      </c>
      <c r="V38" s="13" t="str" cm="1">
        <f t="array" ref="V38">IFERROR(_xll.BDP($G38&amp;" ISIN","CHG_PCT_1D")/100,"")</f>
        <v/>
      </c>
      <c r="W38" s="13" t="str" cm="1">
        <f t="array" ref="W38">IFERROR(_xll.BDP($G38&amp;" ISIN","CHG_PCT_5D")/100,"")</f>
        <v/>
      </c>
      <c r="X38" s="13" t="e" cm="1">
        <f t="array" ref="X38">_xll.BDP($G38&amp;" ISIN","CHG_PCT_1M")/100</f>
        <v>#VALUE!</v>
      </c>
      <c r="Y38" s="13" t="e" cm="1">
        <f t="array" ref="Y38">_xll.BDP($G38&amp;" ISIN","CHG_PCT_3M")/100</f>
        <v>#VALUE!</v>
      </c>
      <c r="Z38" s="13" t="e" cm="1">
        <f t="array" ref="Z38">_xll.BDP($G38&amp;" ISIN","CHG_PCT_6M")/100</f>
        <v>#VALUE!</v>
      </c>
      <c r="AA38" s="13" t="e" cm="1">
        <f t="array" ref="AA38">_xll.BDP($G38&amp;" ISIN","CHG_PCT_YTD")/100</f>
        <v>#VALUE!</v>
      </c>
      <c r="AB38" s="13" t="e">
        <f t="shared" si="22"/>
        <v>#VALUE!</v>
      </c>
      <c r="AC38" s="14">
        <f t="shared" ca="1" si="15"/>
        <v>5999.4444444444343</v>
      </c>
      <c r="AD38" s="4" t="str">
        <f>_xll.BDP(AI38,"DS199")</f>
        <v>Financial</v>
      </c>
      <c r="AE38" s="10">
        <f>_xll.BDP(AI38,"px_ask")</f>
        <v>99.495999999999995</v>
      </c>
      <c r="AF38" s="14">
        <f>IF(F38="USD",O38,(((_xll.BDP(F38&amp;"USD CURNCY","PX_LAST")))*O38))</f>
        <v>200000</v>
      </c>
      <c r="AG38" s="11">
        <f t="shared" si="16"/>
        <v>200020</v>
      </c>
      <c r="AH38" s="11">
        <f t="shared" si="17"/>
        <v>198220</v>
      </c>
      <c r="AI38" s="4" t="str">
        <f t="shared" si="18"/>
        <v>XS2911679004 ISIN</v>
      </c>
      <c r="AJ38" s="4" t="e" cm="1">
        <f t="array" ref="AJ38">VLOOKUP(IF(NOT(_xll.BDP($G38&amp;" CORP",$CA$5)="#N/A N/A"),(_xll.BDP($G38&amp;" CORP",$CA$5)),"-"), '[1]Country Codes'!$A$2:$B$253,2,0)</f>
        <v>#N/A</v>
      </c>
      <c r="AK38" s="4" t="str" cm="1">
        <f t="array" ref="AK38">IF(OR(_xll.BDP($AI38,"EX028")= "#N/A N/A", _xll.BDP($AI38,"EX028")="#N/A FIELD NOT APPLICABLE"), " ", _xll.BDP($AI38,"EX028"))</f>
        <v>FixedIncome</v>
      </c>
      <c r="AL38" s="15" t="str">
        <f>(IF(_xll.BDP($AI38&amp;" ISIN","DZ282")="Y","Single line Bonds Cocos","Single line Bonds ex Cocos"))</f>
        <v>Single line Bonds ex Cocos</v>
      </c>
      <c r="AM38" s="8">
        <f>(IF(_xll.BDP($G38&amp;" ISIN","SP153")="#n/a n/a"," ",_xll.BDP($G38&amp;" ISIN","SP153")))</f>
        <v>370.64895526953268</v>
      </c>
      <c r="AN38" s="16">
        <f t="shared" ca="1" si="19"/>
        <v>45783</v>
      </c>
      <c r="AO38" s="11">
        <f>(((_xll.BDP(AI38,"DS032"))/360)*I38)*O38</f>
        <v>3822.5000000000009</v>
      </c>
      <c r="AP38" s="11">
        <f>IF(F38="USD",AO38,(((_xll.BDP(F38&amp;"USD CURNCY","PX_LAST")))*AO38))</f>
        <v>3822.5000000000009</v>
      </c>
      <c r="AQ38" s="13" t="e">
        <f t="shared" si="12"/>
        <v>#VALUE!</v>
      </c>
      <c r="AR38" s="11">
        <f t="shared" si="20"/>
        <v>198220</v>
      </c>
      <c r="AS38" s="10">
        <f>IF((TEXT(_xll.BDP(AI38,"MATURITY"),"DD/MM/YYYY")="#N/A Field Not Applicable"),"Perp",_xll.BDP(AI38,"DS252"))</f>
        <v>4.7337440109514031</v>
      </c>
      <c r="AT38" s="15" t="str">
        <f>(IF(_xll.BDP($AI38&amp;" ISIN","DT247")="Y","Yes","No"))</f>
        <v>No</v>
      </c>
      <c r="AU38" s="15" t="str">
        <f>PROPER(IF(OR(_xll.BDP($AI38,"CPN_TYP")="#n/a N/A",_xll.BDP($AI38,"CPN_TYP")= "#N/A FIELD NOT APPLICABLE"), " ", _xll.BDP($AI38,"CPN_TYP")))</f>
        <v>Fixed</v>
      </c>
      <c r="BG38" s="17" t="str">
        <f t="shared" si="21"/>
        <v>XS2911679004</v>
      </c>
      <c r="BH38" s="17">
        <v>0.72</v>
      </c>
      <c r="BI38" s="18">
        <v>4</v>
      </c>
      <c r="BJ38" s="19">
        <v>45581</v>
      </c>
      <c r="BK38" s="20">
        <v>1</v>
      </c>
    </row>
    <row r="39" spans="1:64" s="21" customFormat="1" ht="14.45" customHeight="1" x14ac:dyDescent="0.25">
      <c r="A39" s="49" t="s">
        <v>241</v>
      </c>
      <c r="B39" s="49" t="s">
        <v>251</v>
      </c>
      <c r="C39" s="49" t="s">
        <v>252</v>
      </c>
      <c r="D39" s="49" t="s">
        <v>240</v>
      </c>
      <c r="E39" s="4" t="str">
        <f>_xll.BDP(AI39,"ds520")</f>
        <v>#N/A Connection</v>
      </c>
      <c r="F39" s="4" t="str">
        <f>_xll.BDP(AI39,"crncy")</f>
        <v>#N/A Connection</v>
      </c>
      <c r="G39" s="5" t="s">
        <v>145</v>
      </c>
      <c r="H39" s="4" t="str">
        <f>IF(_xll.BDP(AI39,"RTG_MOODY")="#N/A N/A","N/A",_xll.BDP(AI39,"RTG_MOODY"))&amp;","&amp;IF(_xll.BDP(AI39,"RTG_FITCH")="#N/A N/A","N/A",_xll.BDP(AI39,"RTG_FITCH"))&amp;","&amp;IF(_xll.BDP(AI39,"RTG_SP")="#N/A N/A","N/A",_xll.BDP(AI39,"RTG_SP"))</f>
        <v>#N/A Connection,#N/A Connection,#N/A Connection</v>
      </c>
      <c r="I39" s="7" t="e">
        <f>_xll.BDP(AI39,"cpn")/100</f>
        <v>#VALUE!</v>
      </c>
      <c r="J39" s="7" t="e">
        <f ca="1">_xll.BDP($G39&amp;" isin","YAS_BOND_YLD", "YAS_YLD_FLAG=15", "user_local_trade_date",AN39,"Yas_bond_px",$Q39)/100</f>
        <v>#VALUE!</v>
      </c>
      <c r="K39" s="4" t="str">
        <f>_xll.BDP(AI39,"PAYMENT_RANK")</f>
        <v>#N/A Connection</v>
      </c>
      <c r="L39" s="4" t="str">
        <f>IF((TEXT(_xll.BDP(AI39,"MATURITY"),"DD/MM/YYYY")="#N/A Field Not Applicable"),"Perp",TEXT(_xll.BDP(AI39,"MATURITY"),"DD/MM/YYYY"))</f>
        <v>#N/A Connection</v>
      </c>
      <c r="M39" s="8" t="str">
        <f>(IF(_xll.BDP($AI39&amp;" ISIN","DU003")="#n/a n/a"," ",_xll.BDP($AI39&amp;" ISIN","DU003")))</f>
        <v>#N/A Connection</v>
      </c>
      <c r="N39" s="4" t="str">
        <f>IF(_xll.BDP(AI39,"CALLABLE")="Y",_xll.BDP(AI39,"NXT_CALL_DT")," ")</f>
        <v xml:space="preserve"> </v>
      </c>
      <c r="O39" s="9">
        <v>200000</v>
      </c>
      <c r="P39" s="5">
        <v>100.35</v>
      </c>
      <c r="Q39" s="10" t="str">
        <f>_xll.BDP(AI39,"px_bid")</f>
        <v>#N/A Connection</v>
      </c>
      <c r="R39" s="11" t="e">
        <f>IF(F39="USD",AG39,(((_xll.BDP(F39&amp;"USD CURNCY","PX_LAST")))*AG39))</f>
        <v>#VALUE!</v>
      </c>
      <c r="S39" s="11" t="e">
        <f>IF(F39="USD",AH39,(((_xll.BDP(F39&amp;"USD CURNCY","PX_LAST")))*AH39))+AP39</f>
        <v>#VALUE!</v>
      </c>
      <c r="T39" s="12" t="e">
        <f t="shared" si="13"/>
        <v>#VALUE!</v>
      </c>
      <c r="U39" s="13" t="e">
        <f t="shared" si="14"/>
        <v>#VALUE!</v>
      </c>
      <c r="V39" s="13" t="str" cm="1">
        <f t="array" ref="V39">IFERROR(_xll.BDP($G39&amp;" ISIN","CHG_PCT_1D")/100,"")</f>
        <v/>
      </c>
      <c r="W39" s="13" t="str" cm="1">
        <f t="array" ref="W39">IFERROR(_xll.BDP($G39&amp;" ISIN","CHG_PCT_5D")/100,"")</f>
        <v/>
      </c>
      <c r="X39" s="13" t="e" cm="1">
        <f t="array" ref="X39">_xll.BDP($G39&amp;" ISIN","CHG_PCT_1M")/100</f>
        <v>#VALUE!</v>
      </c>
      <c r="Y39" s="13" t="e" cm="1">
        <f t="array" ref="Y39">_xll.BDP($G39&amp;" ISIN","CHG_PCT_3M")/100</f>
        <v>#VALUE!</v>
      </c>
      <c r="Z39" s="13" t="e" cm="1">
        <f t="array" ref="Z39">_xll.BDP($G39&amp;" ISIN","CHG_PCT_6M")/100</f>
        <v>#VALUE!</v>
      </c>
      <c r="AA39" s="13" t="e" cm="1">
        <f t="array" ref="AA39">_xll.BDP($G39&amp;" ISIN","CHG_PCT_YTD")/100</f>
        <v>#VALUE!</v>
      </c>
      <c r="AB39" s="13" t="e">
        <f t="shared" si="22"/>
        <v>#VALUE!</v>
      </c>
      <c r="AC39" s="14" t="e">
        <f t="shared" ca="1" si="15"/>
        <v>#VALUE!</v>
      </c>
      <c r="AD39" s="4" t="str">
        <f>_xll.BDP(AI39,"DS199")</f>
        <v>#N/A Connection</v>
      </c>
      <c r="AE39" s="10" t="str">
        <f>_xll.BDP(AI39,"px_ask")</f>
        <v>#N/A Connection</v>
      </c>
      <c r="AF39" s="14" t="e">
        <f>IF(F39="USD",O39,(((_xll.BDP(F39&amp;"USD CURNCY","PX_LAST")))*O39))</f>
        <v>#VALUE!</v>
      </c>
      <c r="AG39" s="11">
        <f t="shared" si="16"/>
        <v>200700</v>
      </c>
      <c r="AH39" s="11" t="e">
        <f t="shared" si="17"/>
        <v>#VALUE!</v>
      </c>
      <c r="AI39" s="4" t="str">
        <f t="shared" si="18"/>
        <v>XS2010026727 ISIN</v>
      </c>
      <c r="AJ39" s="4" t="e" cm="1">
        <f t="array" ref="AJ39">VLOOKUP(IF(NOT(_xll.BDP($G39&amp;" CORP",$CA$5)="#N/A N/A"),(_xll.BDP($G39&amp;" CORP",$CA$5)),"-"), '[1]Country Codes'!$A$2:$B$253,2,0)</f>
        <v>#N/A</v>
      </c>
      <c r="AK39" s="4" t="str" cm="1">
        <f t="array" ref="AK39">IF(OR(_xll.BDP($AI39,"EX028")= "#N/A N/A", _xll.BDP($AI39,"EX028")="#N/A FIELD NOT APPLICABLE"), " ", _xll.BDP($AI39,"EX028"))</f>
        <v>#N/A Connection</v>
      </c>
      <c r="AL39" s="15" t="str">
        <f>(IF(_xll.BDP($AI39&amp;" ISIN","DZ282")="Y","Single line Bonds Cocos","Single line Bonds ex Cocos"))</f>
        <v>Single line Bonds ex Cocos</v>
      </c>
      <c r="AM39" s="8" t="str">
        <f>(IF(_xll.BDP($G39&amp;" ISIN","SP153")="#n/a n/a"," ",_xll.BDP($G39&amp;" ISIN","SP153")))</f>
        <v>#N/A Connection</v>
      </c>
      <c r="AN39" s="16">
        <f t="shared" ca="1" si="19"/>
        <v>45783</v>
      </c>
      <c r="AO39" s="11" t="e">
        <f>(((_xll.BDP(AI39,"DS032"))/360)*I39)*O39</f>
        <v>#VALUE!</v>
      </c>
      <c r="AP39" s="11" t="e">
        <f>IF(F39="USD",AO39,(((_xll.BDP(F39&amp;"USD CURNCY","PX_LAST")))*AO39))</f>
        <v>#VALUE!</v>
      </c>
      <c r="AQ39" s="13" t="e">
        <f t="shared" si="12"/>
        <v>#VALUE!</v>
      </c>
      <c r="AR39" s="11" t="e">
        <f t="shared" si="20"/>
        <v>#VALUE!</v>
      </c>
      <c r="AS39" s="10" t="str">
        <f>IF((TEXT(_xll.BDP(AI39,"MATURITY"),"DD/MM/YYYY")="#N/A Field Not Applicable"),"Perp",_xll.BDP(AI39,"DS252"))</f>
        <v>#N/A Connection</v>
      </c>
      <c r="AT39" s="15" t="str">
        <f>(IF(_xll.BDP($AI39&amp;" ISIN","DT247")="Y","Yes","No"))</f>
        <v>No</v>
      </c>
      <c r="AU39" s="15" t="str">
        <f>PROPER(IF(OR(_xll.BDP($AI39,"CPN_TYP")="#n/a N/A",_xll.BDP($AI39,"CPN_TYP")= "#N/A FIELD NOT APPLICABLE"), " ", _xll.BDP($AI39,"CPN_TYP")))</f>
        <v>#N/A Connection</v>
      </c>
      <c r="BG39" s="17" t="str">
        <f t="shared" si="21"/>
        <v>XS2010026727</v>
      </c>
      <c r="BH39" s="17">
        <v>0</v>
      </c>
      <c r="BI39" s="18">
        <v>5</v>
      </c>
      <c r="BJ39" s="19">
        <v>44510</v>
      </c>
      <c r="BK39" s="20">
        <v>1</v>
      </c>
    </row>
    <row r="40" spans="1:64" s="21" customFormat="1" ht="14.45" customHeight="1" x14ac:dyDescent="0.25">
      <c r="A40" s="49" t="s">
        <v>241</v>
      </c>
      <c r="B40" s="49" t="s">
        <v>253</v>
      </c>
      <c r="C40" s="49" t="s">
        <v>254</v>
      </c>
      <c r="D40" s="49" t="s">
        <v>240</v>
      </c>
      <c r="E40" s="4" t="str">
        <f>_xll.BDP(AI40,"ds520")</f>
        <v>#N/A Connection</v>
      </c>
      <c r="F40" s="4" t="str">
        <f>_xll.BDP(AI40,"crncy")</f>
        <v>#N/A Connection</v>
      </c>
      <c r="G40" s="5" t="s">
        <v>45</v>
      </c>
      <c r="H40" s="4" t="str">
        <f>IF(_xll.BDP(AI40,"RTG_MOODY")="#N/A N/A","N/A",_xll.BDP(AI40,"RTG_MOODY"))&amp;","&amp;IF(_xll.BDP(AI40,"RTG_FITCH")="#N/A N/A","N/A",_xll.BDP(AI40,"RTG_FITCH"))&amp;","&amp;IF(_xll.BDP(AI40,"RTG_SP")="#N/A N/A","N/A",_xll.BDP(AI40,"RTG_SP"))</f>
        <v>#N/A Connection,#N/A Connection,#N/A Connection</v>
      </c>
      <c r="I40" s="7" t="e">
        <f>_xll.BDP(AI40,"cpn")/100</f>
        <v>#VALUE!</v>
      </c>
      <c r="J40" s="7" t="e">
        <f ca="1">_xll.BDP($G40&amp;" isin","YAS_BOND_YLD", "YAS_YLD_FLAG=15", "user_local_trade_date",AN40,"Yas_bond_px",$Q40)/100</f>
        <v>#VALUE!</v>
      </c>
      <c r="K40" s="4" t="str">
        <f>_xll.BDP(AI40,"PAYMENT_RANK")</f>
        <v>#N/A Connection</v>
      </c>
      <c r="L40" s="4" t="str">
        <f>IF((TEXT(_xll.BDP(AI40,"MATURITY"),"DD/MM/YYYY")="#N/A Field Not Applicable"),"Perp",TEXT(_xll.BDP(AI40,"MATURITY"),"DD/MM/YYYY"))</f>
        <v>#N/A Connection</v>
      </c>
      <c r="M40" s="8" t="str">
        <f>(IF(_xll.BDP($AI40&amp;" ISIN","DU003")="#n/a n/a"," ",_xll.BDP($AI40&amp;" ISIN","DU003")))</f>
        <v>#N/A Connection</v>
      </c>
      <c r="N40" s="4" t="str">
        <f>IF(_xll.BDP(AI40,"CALLABLE")="Y",_xll.BDP(AI40,"NXT_CALL_DT")," ")</f>
        <v xml:space="preserve"> </v>
      </c>
      <c r="O40" s="9">
        <v>200000</v>
      </c>
      <c r="P40" s="5">
        <v>98.78</v>
      </c>
      <c r="Q40" s="10" t="str">
        <f>_xll.BDP(AI40,"px_bid")</f>
        <v>#N/A Connection</v>
      </c>
      <c r="R40" s="11" t="e">
        <f>IF(F40="USD",AG40,(((_xll.BDP(F40&amp;"USD CURNCY","PX_LAST")))*AG40))</f>
        <v>#VALUE!</v>
      </c>
      <c r="S40" s="11" t="e">
        <f>IF(F40="USD",AH40,(((_xll.BDP(F40&amp;"USD CURNCY","PX_LAST")))*AH40))+AP40</f>
        <v>#VALUE!</v>
      </c>
      <c r="T40" s="12" t="e">
        <f t="shared" si="13"/>
        <v>#VALUE!</v>
      </c>
      <c r="U40" s="13" t="e">
        <f t="shared" si="14"/>
        <v>#VALUE!</v>
      </c>
      <c r="V40" s="13" t="str" cm="1">
        <f t="array" ref="V40">IFERROR(_xll.BDP($G40&amp;" ISIN","CHG_PCT_1D")/100,"")</f>
        <v/>
      </c>
      <c r="W40" s="13" t="str" cm="1">
        <f t="array" ref="W40">IFERROR(_xll.BDP($G40&amp;" ISIN","CHG_PCT_5D")/100,"")</f>
        <v/>
      </c>
      <c r="X40" s="13" t="e" cm="1">
        <f t="array" ref="X40">_xll.BDP($G40&amp;" ISIN","CHG_PCT_1M")/100</f>
        <v>#VALUE!</v>
      </c>
      <c r="Y40" s="13" t="e" cm="1">
        <f t="array" ref="Y40">_xll.BDP($G40&amp;" ISIN","CHG_PCT_3M")/100</f>
        <v>#VALUE!</v>
      </c>
      <c r="Z40" s="13" t="e" cm="1">
        <f t="array" ref="Z40">_xll.BDP($G40&amp;" ISIN","CHG_PCT_6M")/100</f>
        <v>#VALUE!</v>
      </c>
      <c r="AA40" s="13" t="e" cm="1">
        <f t="array" ref="AA40">_xll.BDP($G40&amp;" ISIN","CHG_PCT_YTD")/100</f>
        <v>#VALUE!</v>
      </c>
      <c r="AB40" s="13" t="e">
        <f t="shared" si="22"/>
        <v>#VALUE!</v>
      </c>
      <c r="AC40" s="14" t="e">
        <f t="shared" ca="1" si="15"/>
        <v>#VALUE!</v>
      </c>
      <c r="AD40" s="4" t="str">
        <f>_xll.BDP(AI40,"DS199")</f>
        <v>#N/A Connection</v>
      </c>
      <c r="AE40" s="10" t="str">
        <f>_xll.BDP(AI40,"px_ask")</f>
        <v>#N/A Connection</v>
      </c>
      <c r="AF40" s="14" t="e">
        <f>IF(F40="USD",O40,(((_xll.BDP(F40&amp;"USD CURNCY","PX_LAST")))*O40))</f>
        <v>#VALUE!</v>
      </c>
      <c r="AG40" s="11">
        <f t="shared" si="16"/>
        <v>197560</v>
      </c>
      <c r="AH40" s="11" t="e">
        <f t="shared" si="17"/>
        <v>#VALUE!</v>
      </c>
      <c r="AI40" s="4" t="str">
        <f t="shared" si="18"/>
        <v>PAL63444B5A9 ISIN</v>
      </c>
      <c r="AJ40" s="4" t="e" cm="1">
        <f t="array" ref="AJ40">VLOOKUP(IF(NOT(_xll.BDP($G40&amp;" CORP",$CA$5)="#N/A N/A"),(_xll.BDP($G40&amp;" CORP",$CA$5)),"-"), '[1]Country Codes'!$A$2:$B$253,2,0)</f>
        <v>#N/A</v>
      </c>
      <c r="AK40" s="4" t="str" cm="1">
        <f t="array" ref="AK40">IF(OR(_xll.BDP($AI40,"EX028")= "#N/A N/A", _xll.BDP($AI40,"EX028")="#N/A FIELD NOT APPLICABLE"), " ", _xll.BDP($AI40,"EX028"))</f>
        <v>#N/A Connection</v>
      </c>
      <c r="AL40" s="15" t="str">
        <f>(IF(_xll.BDP($AI40&amp;" ISIN","DZ282")="Y","Single line Bonds Cocos","Single line Bonds ex Cocos"))</f>
        <v>Single line Bonds ex Cocos</v>
      </c>
      <c r="AM40" s="8" t="str">
        <f>(IF(_xll.BDP($G40&amp;" ISIN","SP153")="#n/a n/a"," ",_xll.BDP($G40&amp;" ISIN","SP153")))</f>
        <v>#N/A Connection</v>
      </c>
      <c r="AN40" s="16">
        <f t="shared" ca="1" si="19"/>
        <v>45783</v>
      </c>
      <c r="AO40" s="11" t="e">
        <f>(((_xll.BDP(AI40,"DS032"))/360)*I40)*O40</f>
        <v>#VALUE!</v>
      </c>
      <c r="AP40" s="11" t="e">
        <f>IF(F40="USD",AO40,(((_xll.BDP(F40&amp;"USD CURNCY","PX_LAST")))*AO40))</f>
        <v>#VALUE!</v>
      </c>
      <c r="AQ40" s="13" t="e">
        <f>S40/$S$105</f>
        <v>#VALUE!</v>
      </c>
      <c r="AR40" s="11" t="e">
        <f t="shared" si="20"/>
        <v>#VALUE!</v>
      </c>
      <c r="AS40" s="10" t="str">
        <f>IF((TEXT(_xll.BDP(AI40,"MATURITY"),"DD/MM/YYYY")="#N/A Field Not Applicable"),"Perp",_xll.BDP(AI40,"DS252"))</f>
        <v>#N/A Connection</v>
      </c>
      <c r="AT40" s="15" t="str">
        <f>(IF(_xll.BDP($AI40&amp;" ISIN","DT247")="Y","Yes","No"))</f>
        <v>No</v>
      </c>
      <c r="AU40" s="15" t="str">
        <f>PROPER(IF(OR(_xll.BDP($AI40,"CPN_TYP")="#n/a N/A",_xll.BDP($AI40,"CPN_TYP")= "#N/A FIELD NOT APPLICABLE"), " ", _xll.BDP($AI40,"CPN_TYP")))</f>
        <v>#N/A Connection</v>
      </c>
      <c r="BG40" s="17" t="str">
        <f t="shared" si="21"/>
        <v>PAL63444B5A9</v>
      </c>
      <c r="BH40" s="17">
        <v>0.75</v>
      </c>
      <c r="BI40" s="18">
        <v>3</v>
      </c>
      <c r="BJ40" s="19">
        <v>45125</v>
      </c>
      <c r="BK40" s="20">
        <v>1</v>
      </c>
    </row>
    <row r="41" spans="1:64" s="21" customFormat="1" ht="14.45" customHeight="1" x14ac:dyDescent="0.25">
      <c r="A41" s="49" t="s">
        <v>241</v>
      </c>
      <c r="B41" s="49" t="s">
        <v>253</v>
      </c>
      <c r="C41" s="49" t="s">
        <v>254</v>
      </c>
      <c r="D41" s="49" t="s">
        <v>240</v>
      </c>
      <c r="E41" s="4" t="str">
        <f>_xll.BDP(AI41,"ds520")</f>
        <v>#N/A Connection</v>
      </c>
      <c r="F41" s="4" t="str">
        <f>_xll.BDP(AI41,"crncy")</f>
        <v>#N/A Connection</v>
      </c>
      <c r="G41" s="5" t="s">
        <v>151</v>
      </c>
      <c r="H41" s="4" t="str">
        <f>IF(_xll.BDP(AI41,"RTG_MOODY")="#N/A N/A","N/A",_xll.BDP(AI41,"RTG_MOODY"))&amp;","&amp;IF(_xll.BDP(AI41,"RTG_FITCH")="#N/A N/A","N/A",_xll.BDP(AI41,"RTG_FITCH"))&amp;","&amp;IF(_xll.BDP(AI41,"RTG_SP")="#N/A N/A","N/A",_xll.BDP(AI41,"RTG_SP"))</f>
        <v>#N/A Connection,#N/A Connection,#N/A Connection</v>
      </c>
      <c r="I41" s="7" t="e">
        <f>_xll.BDP(AI41,"cpn")/100</f>
        <v>#VALUE!</v>
      </c>
      <c r="J41" s="7" t="e">
        <f ca="1">_xll.BDP($G41&amp;" isin","YAS_BOND_YLD", "YAS_YLD_FLAG=15", "user_local_trade_date",AN41,"Yas_bond_px",$Q41)/100</f>
        <v>#VALUE!</v>
      </c>
      <c r="K41" s="4" t="str">
        <f>_xll.BDP(AI41,"PAYMENT_RANK")</f>
        <v>#N/A Connection</v>
      </c>
      <c r="L41" s="4" t="str">
        <f>IF((TEXT(_xll.BDP(AI41,"MATURITY"),"DD/MM/YYYY")="#N/A Field Not Applicable"),"Perp",TEXT(_xll.BDP(AI41,"MATURITY"),"DD/MM/YYYY"))</f>
        <v>#N/A Connection</v>
      </c>
      <c r="M41" s="8" t="str">
        <f>(IF(_xll.BDP($AI41&amp;" ISIN","DU003")="#n/a n/a"," ",_xll.BDP($AI41&amp;" ISIN","DU003")))</f>
        <v>#N/A Connection</v>
      </c>
      <c r="N41" s="4" t="str">
        <f>IF(_xll.BDP(AI41,"CALLABLE")="Y",_xll.BDP(AI41,"NXT_CALL_DT")," ")</f>
        <v xml:space="preserve"> </v>
      </c>
      <c r="O41" s="9">
        <v>100000</v>
      </c>
      <c r="P41" s="5">
        <v>100.01</v>
      </c>
      <c r="Q41" s="10" t="str">
        <f>_xll.BDP(AI41,"px_bid")</f>
        <v>#N/A Connection</v>
      </c>
      <c r="R41" s="11" t="e">
        <f>IF(F41="USD",AG41,(((_xll.BDP(F41&amp;"USD CURNCY","PX_LAST")))*AG41))</f>
        <v>#VALUE!</v>
      </c>
      <c r="S41" s="11" t="e">
        <f>IF(F41="USD",AH41,(((_xll.BDP(F41&amp;"USD CURNCY","PX_LAST")))*AH41))+AP41</f>
        <v>#VALUE!</v>
      </c>
      <c r="T41" s="12" t="e">
        <f t="shared" si="13"/>
        <v>#VALUE!</v>
      </c>
      <c r="U41" s="13" t="e">
        <f t="shared" si="14"/>
        <v>#VALUE!</v>
      </c>
      <c r="V41" s="13" t="str" cm="1">
        <f t="array" ref="V41">IFERROR(_xll.BDP($G41&amp;" ISIN","CHG_PCT_1D")/100,"")</f>
        <v/>
      </c>
      <c r="W41" s="13" t="str" cm="1">
        <f t="array" ref="W41">IFERROR(_xll.BDP($G41&amp;" ISIN","CHG_PCT_5D")/100,"")</f>
        <v/>
      </c>
      <c r="X41" s="13" t="e" cm="1">
        <f t="array" ref="X41">_xll.BDP($G41&amp;" ISIN","CHG_PCT_1M")/100</f>
        <v>#VALUE!</v>
      </c>
      <c r="Y41" s="13" t="e" cm="1">
        <f t="array" ref="Y41">_xll.BDP($G41&amp;" ISIN","CHG_PCT_3M")/100</f>
        <v>#VALUE!</v>
      </c>
      <c r="Z41" s="13" t="e" cm="1">
        <f t="array" ref="Z41">_xll.BDP($G41&amp;" ISIN","CHG_PCT_6M")/100</f>
        <v>#VALUE!</v>
      </c>
      <c r="AA41" s="13" t="e" cm="1">
        <f t="array" ref="AA41">_xll.BDP($G41&amp;" ISIN","CHG_PCT_YTD")/100</f>
        <v>#VALUE!</v>
      </c>
      <c r="AB41" s="13" t="e">
        <f t="shared" si="22"/>
        <v>#VALUE!</v>
      </c>
      <c r="AC41" s="14" t="e">
        <f t="shared" ca="1" si="15"/>
        <v>#VALUE!</v>
      </c>
      <c r="AD41" s="4" t="str">
        <f>_xll.BDP(AI41,"DS199")</f>
        <v>#N/A Connection</v>
      </c>
      <c r="AE41" s="10" t="str">
        <f>_xll.BDP(AI41,"px_ask")</f>
        <v>#N/A Connection</v>
      </c>
      <c r="AF41" s="14" t="e">
        <f>IF(F41="USD",O41,(((_xll.BDP(F41&amp;"USD CURNCY","PX_LAST")))*O41))</f>
        <v>#VALUE!</v>
      </c>
      <c r="AG41" s="11">
        <f t="shared" si="16"/>
        <v>100010</v>
      </c>
      <c r="AH41" s="11" t="e">
        <f t="shared" si="17"/>
        <v>#VALUE!</v>
      </c>
      <c r="AI41" s="4" t="str">
        <f t="shared" si="18"/>
        <v>XS2451768720 ISIN</v>
      </c>
      <c r="AJ41" s="4" t="e" cm="1">
        <f t="array" ref="AJ41">VLOOKUP(IF(NOT(_xll.BDP($G41&amp;" CORP",$CA$5)="#N/A N/A"),(_xll.BDP($G41&amp;" CORP",$CA$5)),"-"), '[1]Country Codes'!$A$2:$B$253,2,0)</f>
        <v>#N/A</v>
      </c>
      <c r="AK41" s="4" t="str" cm="1">
        <f t="array" ref="AK41">IF(OR(_xll.BDP($AI41,"EX028")= "#N/A N/A", _xll.BDP($AI41,"EX028")="#N/A FIELD NOT APPLICABLE"), " ", _xll.BDP($AI41,"EX028"))</f>
        <v>#N/A Connection</v>
      </c>
      <c r="AL41" s="15" t="str">
        <f>(IF(_xll.BDP($AI41&amp;" ISIN","DZ282")="Y","Single line Bonds Cocos","Single line Bonds ex Cocos"))</f>
        <v>Single line Bonds ex Cocos</v>
      </c>
      <c r="AM41" s="8" t="str">
        <f>(IF(_xll.BDP($G41&amp;" ISIN","SP153")="#n/a n/a"," ",_xll.BDP($G41&amp;" ISIN","SP153")))</f>
        <v>#N/A Connection</v>
      </c>
      <c r="AN41" s="16">
        <f t="shared" ca="1" si="19"/>
        <v>45783</v>
      </c>
      <c r="AO41" s="11" t="e">
        <f>(((_xll.BDP(AI41,"DS032"))/360)*I41)*O41</f>
        <v>#VALUE!</v>
      </c>
      <c r="AP41" s="11" t="e">
        <f>IF(F41="USD",AO41,(((_xll.BDP(F41&amp;"USD CURNCY","PX_LAST")))*AO41))</f>
        <v>#VALUE!</v>
      </c>
      <c r="AQ41" s="13" t="e">
        <f>S41/$S$105</f>
        <v>#VALUE!</v>
      </c>
      <c r="AR41" s="11" t="e">
        <f t="shared" si="20"/>
        <v>#VALUE!</v>
      </c>
      <c r="AS41" s="10" t="str">
        <f>IF((TEXT(_xll.BDP(AI41,"MATURITY"),"DD/MM/YYYY")="#N/A Field Not Applicable"),"Perp",_xll.BDP(AI41,"DS252"))</f>
        <v>#N/A Connection</v>
      </c>
      <c r="AT41" s="15" t="str">
        <f>(IF(_xll.BDP($AI41&amp;" ISIN","DT247")="Y","Yes","No"))</f>
        <v>No</v>
      </c>
      <c r="AU41" s="15" t="str">
        <f>PROPER(IF(OR(_xll.BDP($AI41,"CPN_TYP")="#n/a N/A",_xll.BDP($AI41,"CPN_TYP")= "#N/A FIELD NOT APPLICABLE"), " ", _xll.BDP($AI41,"CPN_TYP")))</f>
        <v>#N/A Connection</v>
      </c>
      <c r="BG41" s="17" t="str">
        <f t="shared" si="21"/>
        <v>XS2451768720</v>
      </c>
      <c r="BH41" s="17">
        <v>0.8</v>
      </c>
      <c r="BI41" s="18">
        <v>5</v>
      </c>
      <c r="BJ41" s="19">
        <v>44741</v>
      </c>
      <c r="BK41" s="20">
        <v>1</v>
      </c>
    </row>
    <row r="42" spans="1:64" s="101" customFormat="1" ht="14.45" customHeight="1" x14ac:dyDescent="0.25">
      <c r="A42" s="81" t="s">
        <v>242</v>
      </c>
      <c r="B42" s="81" t="s">
        <v>255</v>
      </c>
      <c r="C42" s="81" t="s">
        <v>256</v>
      </c>
      <c r="D42" s="81" t="s">
        <v>248</v>
      </c>
      <c r="E42" s="88" t="str">
        <f>_xll.BDP(AI42,"ds520")</f>
        <v>#N/A Connection</v>
      </c>
      <c r="F42" s="88" t="str">
        <f>_xll.BDP(AI42,"crncy")</f>
        <v>#N/A Connection</v>
      </c>
      <c r="G42" s="5" t="s">
        <v>184</v>
      </c>
      <c r="H42" s="88" t="str">
        <f>IF(_xll.BDP(AI42,"RTG_MOODY")="#N/A N/A","N/A",_xll.BDP(AI42,"RTG_MOODY"))&amp;","&amp;IF(_xll.BDP(AI42,"RTG_FITCH")="#N/A N/A","N/A",_xll.BDP(AI42,"RTG_FITCH"))&amp;","&amp;IF(_xll.BDP(AI42,"RTG_SP")="#N/A N/A","N/A",_xll.BDP(AI42,"RTG_SP"))</f>
        <v>#N/A Connection,#N/A Connection,#N/A Connection</v>
      </c>
      <c r="I42" s="38" t="e">
        <f>_xll.BDP(AI42,"cpn")/100</f>
        <v>#VALUE!</v>
      </c>
      <c r="J42" s="38" t="e">
        <f ca="1">_xll.BDP($G42&amp;" isin","YAS_BOND_YLD", "YAS_YLD_FLAG=15", "user_local_trade_date",AN42,"Yas_bond_px",$Q42)/100</f>
        <v>#VALUE!</v>
      </c>
      <c r="K42" s="88" t="str">
        <f>_xll.BDP(AI42,"PAYMENT_RANK")</f>
        <v>#N/A Connection</v>
      </c>
      <c r="L42" s="88" t="str">
        <f>IF((TEXT(_xll.BDP(AI42,"MATURITY"),"DD/MM/YYYY")="#N/A Field Not Applicable"),"Perp",TEXT(_xll.BDP(AI42,"MATURITY"),"DD/MM/YYYY"))</f>
        <v>#N/A Connection</v>
      </c>
      <c r="M42" s="97" t="str">
        <f>(IF(_xll.BDP($AI42&amp;" ISIN","DU003")="#n/a n/a"," ",_xll.BDP($AI42&amp;" ISIN","DU003")))</f>
        <v>#N/A Connection</v>
      </c>
      <c r="N42" s="88" t="str">
        <f>IF(_xll.BDP(AI42,"CALLABLE")="Y",_xll.BDP(AI42,"NXT_CALL_DT")," ")</f>
        <v xml:space="preserve"> </v>
      </c>
      <c r="O42" s="9">
        <v>300000</v>
      </c>
      <c r="P42" s="5">
        <v>100.3</v>
      </c>
      <c r="Q42" s="99" t="str">
        <f>_xll.BDP(AI42,"px_bid")</f>
        <v>#N/A Connection</v>
      </c>
      <c r="R42" s="100" t="e">
        <f>IF(F42="USD",AG42,(((_xll.BDP(F42&amp;"USD CURNCY","PX_LAST")))*AG42))</f>
        <v>#VALUE!</v>
      </c>
      <c r="S42" s="100" t="e">
        <f>IF(F42="USD",AH42,(((_xll.BDP(F42&amp;"USD CURNCY","PX_LAST")))*AH42))+AP42</f>
        <v>#VALUE!</v>
      </c>
      <c r="T42" s="86" t="e">
        <f t="shared" si="13"/>
        <v>#VALUE!</v>
      </c>
      <c r="U42" s="87" t="e">
        <f t="shared" si="14"/>
        <v>#VALUE!</v>
      </c>
      <c r="V42" s="87" t="str" cm="1">
        <f t="array" ref="V42">IFERROR(_xll.BDP($G42&amp;" ISIN","CHG_PCT_1D")/100,"")</f>
        <v/>
      </c>
      <c r="W42" s="87" t="str" cm="1">
        <f t="array" ref="W42">IFERROR(_xll.BDP($G42&amp;" ISIN","CHG_PCT_5D")/100,"")</f>
        <v/>
      </c>
      <c r="X42" s="87" t="e" cm="1">
        <f t="array" ref="X42">_xll.BDP($G42&amp;" ISIN","CHG_PCT_1M")/100</f>
        <v>#VALUE!</v>
      </c>
      <c r="Y42" s="87" t="e" cm="1">
        <f t="array" ref="Y42">_xll.BDP($G42&amp;" ISIN","CHG_PCT_3M")/100</f>
        <v>#VALUE!</v>
      </c>
      <c r="Z42" s="87" t="e" cm="1">
        <f t="array" ref="Z42">_xll.BDP($G42&amp;" ISIN","CHG_PCT_6M")/100</f>
        <v>#VALUE!</v>
      </c>
      <c r="AA42" s="87" t="e" cm="1">
        <f t="array" ref="AA42">_xll.BDP($G42&amp;" ISIN","CHG_PCT_YTD")/100</f>
        <v>#VALUE!</v>
      </c>
      <c r="AB42" s="87" t="e">
        <f t="shared" si="22"/>
        <v>#VALUE!</v>
      </c>
      <c r="AC42" s="98" t="e">
        <f t="shared" ca="1" si="15"/>
        <v>#VALUE!</v>
      </c>
      <c r="AD42" s="88" t="str">
        <f>_xll.BDP(AI42,"DS199")</f>
        <v>#N/A Connection</v>
      </c>
      <c r="AE42" s="99" t="str">
        <f>_xll.BDP(AI42,"px_ask")</f>
        <v>#N/A Connection</v>
      </c>
      <c r="AF42" s="98" t="e">
        <f>IF(F42="USD",O42,(((_xll.BDP(F42&amp;"USD CURNCY","PX_LAST")))*O42))</f>
        <v>#VALUE!</v>
      </c>
      <c r="AG42" s="100">
        <f t="shared" si="16"/>
        <v>300900</v>
      </c>
      <c r="AH42" s="100" t="e">
        <f t="shared" si="17"/>
        <v>#VALUE!</v>
      </c>
      <c r="AI42" s="88" t="str">
        <f t="shared" si="18"/>
        <v>XS2393498204 ISIN</v>
      </c>
      <c r="AJ42" s="88" t="e" cm="1">
        <f t="array" ref="AJ42">VLOOKUP(IF(NOT(_xll.BDP($G42&amp;" CORP",$CA$5)="#N/A N/A"),(_xll.BDP($G42&amp;" CORP",$CA$5)),"-"), '[1]Country Codes'!$A$2:$B$253,2,0)</f>
        <v>#N/A</v>
      </c>
      <c r="AK42" s="88" t="str" cm="1">
        <f t="array" ref="AK42">IF(OR(_xll.BDP($AI42,"EX028")= "#N/A N/A", _xll.BDP($AI42,"EX028")="#N/A FIELD NOT APPLICABLE"), " ", _xll.BDP($AI42,"EX028"))</f>
        <v>#N/A Connection</v>
      </c>
      <c r="AL42" s="38" t="str">
        <f>(IF(_xll.BDP($AI42&amp;" ISIN","DZ282")="Y","Single line Bonds Cocos","Single line Bonds ex Cocos"))</f>
        <v>Single line Bonds ex Cocos</v>
      </c>
      <c r="AM42" s="97" t="str">
        <f>(IF(_xll.BDP($G42&amp;" ISIN","SP153")="#n/a n/a"," ",_xll.BDP($G42&amp;" ISIN","SP153")))</f>
        <v>#N/A Connection</v>
      </c>
      <c r="AN42" s="95">
        <f t="shared" ca="1" si="19"/>
        <v>45783</v>
      </c>
      <c r="AO42" s="100" t="e">
        <f>(((_xll.BDP(AI42,"DS032"))/360)*I42)*O42</f>
        <v>#VALUE!</v>
      </c>
      <c r="AP42" s="100" t="e">
        <f>IF(F42="USD",AO42,(((_xll.BDP(F42&amp;"USD CURNCY","PX_LAST")))*AO42))</f>
        <v>#VALUE!</v>
      </c>
      <c r="AQ42" s="87" t="e">
        <f>S42/#REF!</f>
        <v>#VALUE!</v>
      </c>
      <c r="AR42" s="100" t="e">
        <f t="shared" si="20"/>
        <v>#VALUE!</v>
      </c>
      <c r="AS42" s="99" t="str">
        <f>IF((TEXT(_xll.BDP(AI42,"MATURITY"),"DD/MM/YYYY")="#N/A Field Not Applicable"),"Perp",_xll.BDP(AI42,"DS252"))</f>
        <v>#N/A Connection</v>
      </c>
      <c r="AT42" s="38" t="str">
        <f>(IF(_xll.BDP($AI42&amp;" ISIN","DT247")="Y","Yes","No"))</f>
        <v>No</v>
      </c>
      <c r="AU42" s="38" t="str">
        <f>PROPER(IF(OR(_xll.BDP($AI42,"CPN_TYP")="#n/a N/A",_xll.BDP($AI42,"CPN_TYP")= "#N/A FIELD NOT APPLICABLE"), " ", _xll.BDP($AI42,"CPN_TYP")))</f>
        <v>#N/A Connection</v>
      </c>
      <c r="BG42" s="38" t="str">
        <f t="shared" si="21"/>
        <v>XS2393498204</v>
      </c>
      <c r="BH42" s="38">
        <v>0</v>
      </c>
      <c r="BI42" s="94" t="s">
        <v>147</v>
      </c>
      <c r="BJ42" s="19">
        <v>44482</v>
      </c>
      <c r="BK42" s="96"/>
    </row>
    <row r="43" spans="1:64" s="101" customFormat="1" ht="14.45" customHeight="1" x14ac:dyDescent="0.25">
      <c r="A43" s="81" t="s">
        <v>242</v>
      </c>
      <c r="B43" s="81" t="s">
        <v>255</v>
      </c>
      <c r="C43" s="81" t="s">
        <v>256</v>
      </c>
      <c r="D43" s="81" t="s">
        <v>248</v>
      </c>
      <c r="E43" s="88" t="str">
        <f>_xll.BDP(AI43,"ds520")</f>
        <v>#N/A Connection</v>
      </c>
      <c r="F43" s="88" t="str">
        <f>_xll.BDP(AI43,"crncy")</f>
        <v>#N/A Connection</v>
      </c>
      <c r="G43" s="5" t="s">
        <v>44</v>
      </c>
      <c r="H43" s="88" t="str">
        <f>IF(_xll.BDP(AI43,"RTG_MOODY")="#N/A N/A","N/A",_xll.BDP(AI43,"RTG_MOODY"))&amp;","&amp;IF(_xll.BDP(AI43,"RTG_FITCH")="#N/A N/A","N/A",_xll.BDP(AI43,"RTG_FITCH"))&amp;","&amp;IF(_xll.BDP(AI43,"RTG_SP")="#N/A N/A","N/A",_xll.BDP(AI43,"RTG_SP"))</f>
        <v>#N/A Connection,#N/A Connection,#N/A Connection</v>
      </c>
      <c r="I43" s="38" t="e">
        <f>_xll.BDP(AI43,"cpn")/100</f>
        <v>#VALUE!</v>
      </c>
      <c r="J43" s="38" t="e">
        <f ca="1">_xll.BDP($G43&amp;" isin","YAS_BOND_YLD", "YAS_YLD_FLAG=15", "user_local_trade_date",AN43,"Yas_bond_px",$Q43)/100</f>
        <v>#VALUE!</v>
      </c>
      <c r="K43" s="88" t="str">
        <f>_xll.BDP(AI43,"PAYMENT_RANK")</f>
        <v>#N/A Connection</v>
      </c>
      <c r="L43" s="88" t="str">
        <f>IF((TEXT(_xll.BDP(AI43,"MATURITY"),"DD/MM/YYYY")="#N/A Field Not Applicable"),"Perp",TEXT(_xll.BDP(AI43,"MATURITY"),"DD/MM/YYYY"))</f>
        <v>#N/A Connection</v>
      </c>
      <c r="M43" s="97" t="str">
        <f>(IF(_xll.BDP($AI43&amp;" ISIN","DU003")="#n/a n/a"," ",_xll.BDP($AI43&amp;" ISIN","DU003")))</f>
        <v>#N/A Connection</v>
      </c>
      <c r="N43" s="88" t="str">
        <f>IF(_xll.BDP(AI43,"CALLABLE")="Y",_xll.BDP(AI43,"NXT_CALL_DT")," ")</f>
        <v xml:space="preserve"> </v>
      </c>
      <c r="O43" s="9">
        <v>247074</v>
      </c>
      <c r="P43" s="5">
        <v>31.867999999999999</v>
      </c>
      <c r="Q43" s="99" t="str">
        <f>_xll.BDP(AI43,"px_bid")</f>
        <v>#N/A Connection</v>
      </c>
      <c r="R43" s="100" t="e">
        <f>IF(F43="USD",AG43,(((_xll.BDP(F43&amp;"USD CURNCY","PX_LAST")))*AG43))</f>
        <v>#VALUE!</v>
      </c>
      <c r="S43" s="100" t="e">
        <f>IF(F43="USD",AH43,(((_xll.BDP(F43&amp;"USD CURNCY","PX_LAST")))*AH43))+AP43</f>
        <v>#VALUE!</v>
      </c>
      <c r="T43" s="86" t="e">
        <f t="shared" si="13"/>
        <v>#VALUE!</v>
      </c>
      <c r="U43" s="87" t="e">
        <f t="shared" si="14"/>
        <v>#VALUE!</v>
      </c>
      <c r="V43" s="87" t="str" cm="1">
        <f t="array" ref="V43">IFERROR(_xll.BDP($G43&amp;" ISIN","CHG_PCT_1D")/100,"")</f>
        <v/>
      </c>
      <c r="W43" s="87" t="str" cm="1">
        <f t="array" ref="W43">IFERROR(_xll.BDP($G43&amp;" ISIN","CHG_PCT_5D")/100,"")</f>
        <v/>
      </c>
      <c r="X43" s="87" t="e" cm="1">
        <f t="array" ref="X43">_xll.BDP($G43&amp;" ISIN","CHG_PCT_1M")/100</f>
        <v>#VALUE!</v>
      </c>
      <c r="Y43" s="87" t="e" cm="1">
        <f t="array" ref="Y43">_xll.BDP($G43&amp;" ISIN","CHG_PCT_3M")/100</f>
        <v>#VALUE!</v>
      </c>
      <c r="Z43" s="87" t="e" cm="1">
        <f t="array" ref="Z43">_xll.BDP($G43&amp;" ISIN","CHG_PCT_6M")/100</f>
        <v>#VALUE!</v>
      </c>
      <c r="AA43" s="87" t="e" cm="1">
        <f t="array" ref="AA43">_xll.BDP($G43&amp;" ISIN","CHG_PCT_YTD")/100</f>
        <v>#VALUE!</v>
      </c>
      <c r="AB43" s="87" t="e">
        <f t="shared" si="22"/>
        <v>#VALUE!</v>
      </c>
      <c r="AC43" s="98" t="e">
        <f t="shared" ca="1" si="15"/>
        <v>#VALUE!</v>
      </c>
      <c r="AD43" s="88" t="str">
        <f>_xll.BDP(AI43,"DS199")</f>
        <v>#N/A Connection</v>
      </c>
      <c r="AE43" s="99" t="str">
        <f>_xll.BDP(AI43,"px_ask")</f>
        <v>#N/A Connection</v>
      </c>
      <c r="AF43" s="98" t="e">
        <f>IF(F43="USD",O43,(((_xll.BDP(F43&amp;"USD CURNCY","PX_LAST")))*O43))</f>
        <v>#VALUE!</v>
      </c>
      <c r="AG43" s="100">
        <f t="shared" si="16"/>
        <v>78737.542319999993</v>
      </c>
      <c r="AH43" s="100" t="e">
        <f t="shared" si="17"/>
        <v>#VALUE!</v>
      </c>
      <c r="AI43" s="88" t="str">
        <f t="shared" si="18"/>
        <v>GB00BMBL1D50 ISIN</v>
      </c>
      <c r="AJ43" s="88" t="e" cm="1">
        <f t="array" ref="AJ43">VLOOKUP(IF(NOT(_xll.BDP($G43&amp;" CORP",$CA$5)="#N/A N/A"),(_xll.BDP($G43&amp;" CORP",$CA$5)),"-"), '[1]Country Codes'!$A$2:$B$253,2,0)</f>
        <v>#N/A</v>
      </c>
      <c r="AK43" s="88" t="str" cm="1">
        <f t="array" ref="AK43">IF(OR(_xll.BDP($AI43,"EX028")= "#N/A N/A", _xll.BDP($AI43,"EX028")="#N/A FIELD NOT APPLICABLE"), " ", _xll.BDP($AI43,"EX028"))</f>
        <v>#N/A Connection</v>
      </c>
      <c r="AL43" s="38" t="str">
        <f>(IF(_xll.BDP($AI43&amp;" ISIN","DZ282")="Y","Single line Bonds Cocos","Single line Bonds ex Cocos"))</f>
        <v>Single line Bonds ex Cocos</v>
      </c>
      <c r="AM43" s="97" t="str">
        <f>(IF(_xll.BDP($G43&amp;" ISIN","SP153")="#n/a n/a"," ",_xll.BDP($G43&amp;" ISIN","SP153")))</f>
        <v>#N/A Connection</v>
      </c>
      <c r="AN43" s="95">
        <f t="shared" ca="1" si="19"/>
        <v>45783</v>
      </c>
      <c r="AO43" s="100" t="e">
        <f>(((_xll.BDP(AI43,"DS032"))/360)*I43)*O43</f>
        <v>#VALUE!</v>
      </c>
      <c r="AP43" s="100" t="e">
        <f>IF(F43="USD",AO43,(((_xll.BDP(F43&amp;"USD CURNCY","PX_LAST")))*AO43))</f>
        <v>#VALUE!</v>
      </c>
      <c r="AQ43" s="87" t="e">
        <f>S43/#REF!</f>
        <v>#VALUE!</v>
      </c>
      <c r="AR43" s="100" t="e">
        <f t="shared" si="20"/>
        <v>#VALUE!</v>
      </c>
      <c r="AS43" s="99" t="str">
        <f>IF((TEXT(_xll.BDP(AI43,"MATURITY"),"DD/MM/YYYY")="#N/A Field Not Applicable"),"Perp",_xll.BDP(AI43,"DS252"))</f>
        <v>#N/A Connection</v>
      </c>
      <c r="AT43" s="38" t="str">
        <f>(IF(_xll.BDP($AI43&amp;" ISIN","DT247")="Y","Yes","No"))</f>
        <v>No</v>
      </c>
      <c r="AU43" s="38" t="str">
        <f>PROPER(IF(OR(_xll.BDP($AI43,"CPN_TYP")="#n/a N/A",_xll.BDP($AI43,"CPN_TYP")= "#N/A FIELD NOT APPLICABLE"), " ", _xll.BDP($AI43,"CPN_TYP")))</f>
        <v>#N/A Connection</v>
      </c>
      <c r="BG43" s="38" t="str">
        <f t="shared" si="21"/>
        <v>GB00BMBL1D50</v>
      </c>
      <c r="BH43" s="38">
        <v>0.67649999999999999</v>
      </c>
      <c r="BI43" s="94">
        <v>2</v>
      </c>
      <c r="BJ43" s="19">
        <v>45510</v>
      </c>
      <c r="BK43" s="96"/>
    </row>
    <row r="44" spans="1:64" s="21" customFormat="1" ht="14.45" customHeight="1" x14ac:dyDescent="0.25">
      <c r="A44" s="49" t="s">
        <v>242</v>
      </c>
      <c r="B44" s="49" t="s">
        <v>255</v>
      </c>
      <c r="C44" s="49" t="s">
        <v>256</v>
      </c>
      <c r="D44" s="49" t="s">
        <v>248</v>
      </c>
      <c r="E44" s="4" t="str">
        <f>_xll.BDP(AI44,"ds520")</f>
        <v>#N/A Connection</v>
      </c>
      <c r="F44" s="4" t="str">
        <f>_xll.BDP(AI44,"crncy")</f>
        <v>#N/A Connection</v>
      </c>
      <c r="G44" s="5" t="s">
        <v>193</v>
      </c>
      <c r="H44" s="4" t="str">
        <f>IF(_xll.BDP(AI44,"RTG_MOODY")="#N/A N/A","N/A",_xll.BDP(AI44,"RTG_MOODY"))&amp;","&amp;IF(_xll.BDP(AI44,"RTG_FITCH")="#N/A N/A","N/A",_xll.BDP(AI44,"RTG_FITCH"))&amp;","&amp;IF(_xll.BDP(AI44,"RTG_SP")="#N/A N/A","N/A",_xll.BDP(AI44,"RTG_SP"))</f>
        <v>#N/A Connection,#N/A Connection,#N/A Connection</v>
      </c>
      <c r="I44" s="7" t="e">
        <f>_xll.BDP(AI44,"cpn")/100</f>
        <v>#VALUE!</v>
      </c>
      <c r="J44" s="7" t="e">
        <f ca="1">_xll.BDP($G44&amp;" isin","YAS_BOND_YLD", "YAS_YLD_FLAG=15", "user_local_trade_date",AN44,"Yas_bond_px",$Q44)/100</f>
        <v>#VALUE!</v>
      </c>
      <c r="K44" s="4" t="str">
        <f>_xll.BDP(AI44,"PAYMENT_RANK")</f>
        <v>#N/A Connection</v>
      </c>
      <c r="L44" s="4" t="str">
        <f>IF((TEXT(_xll.BDP(AI44,"MATURITY"),"DD/MM/YYYY")="#N/A Field Not Applicable"),"Perp",TEXT(_xll.BDP(AI44,"MATURITY"),"DD/MM/YYYY"))</f>
        <v>#N/A Connection</v>
      </c>
      <c r="M44" s="8" t="str">
        <f>(IF(_xll.BDP($AI44&amp;" ISIN","DU003")="#n/a n/a"," ",_xll.BDP($AI44&amp;" ISIN","DU003")))</f>
        <v>#N/A Connection</v>
      </c>
      <c r="N44" s="4" t="str">
        <f>IF(_xll.BDP(AI44,"CALLABLE")="Y",_xll.BDP(AI44,"NXT_CALL_DT")," ")</f>
        <v xml:space="preserve"> </v>
      </c>
      <c r="O44" s="9">
        <v>200000</v>
      </c>
      <c r="P44" s="5">
        <v>99.167000000000002</v>
      </c>
      <c r="Q44" s="10" t="str">
        <f>_xll.BDP(AI44,"px_bid")</f>
        <v>#N/A Connection</v>
      </c>
      <c r="R44" s="11" t="e">
        <f>IF(F44="USD",AG44,(((_xll.BDP(F44&amp;"USD CURNCY","PX_LAST")))*AG44))</f>
        <v>#VALUE!</v>
      </c>
      <c r="S44" s="11" t="e">
        <f>IF(F44="USD",AH44,(((_xll.BDP(F44&amp;"USD CURNCY","PX_LAST")))*AH44))+AP44</f>
        <v>#VALUE!</v>
      </c>
      <c r="T44" s="12" t="e">
        <f t="shared" si="13"/>
        <v>#VALUE!</v>
      </c>
      <c r="U44" s="13" t="e">
        <f t="shared" si="14"/>
        <v>#VALUE!</v>
      </c>
      <c r="V44" s="13" t="str" cm="1">
        <f t="array" ref="V44">IFERROR(_xll.BDP($G44&amp;" ISIN","CHG_PCT_1D")/100,"")</f>
        <v/>
      </c>
      <c r="W44" s="13" t="str" cm="1">
        <f t="array" ref="W44">IFERROR(_xll.BDP($G44&amp;" ISIN","CHG_PCT_5D")/100,"")</f>
        <v/>
      </c>
      <c r="X44" s="13" t="e" cm="1">
        <f t="array" ref="X44">_xll.BDP($G44&amp;" ISIN","CHG_PCT_1M")/100</f>
        <v>#VALUE!</v>
      </c>
      <c r="Y44" s="13" t="e" cm="1">
        <f t="array" ref="Y44">_xll.BDP($G44&amp;" ISIN","CHG_PCT_3M")/100</f>
        <v>#VALUE!</v>
      </c>
      <c r="Z44" s="13" t="e" cm="1">
        <f t="array" ref="Z44">_xll.BDP($G44&amp;" ISIN","CHG_PCT_6M")/100</f>
        <v>#VALUE!</v>
      </c>
      <c r="AA44" s="13" t="e" cm="1">
        <f t="array" ref="AA44">_xll.BDP($G44&amp;" ISIN","CHG_PCT_YTD")/100</f>
        <v>#VALUE!</v>
      </c>
      <c r="AB44" s="13" t="e">
        <f t="shared" si="22"/>
        <v>#VALUE!</v>
      </c>
      <c r="AC44" s="14" t="e">
        <f t="shared" ca="1" si="15"/>
        <v>#VALUE!</v>
      </c>
      <c r="AD44" s="4" t="str">
        <f>_xll.BDP(AI44,"DS199")</f>
        <v>#N/A Connection</v>
      </c>
      <c r="AE44" s="10" t="str">
        <f>_xll.BDP(AI44,"px_ask")</f>
        <v>#N/A Connection</v>
      </c>
      <c r="AF44" s="14" t="e">
        <f>IF(F44="USD",O44,(((_xll.BDP(F44&amp;"USD CURNCY","PX_LAST")))*O44))</f>
        <v>#VALUE!</v>
      </c>
      <c r="AG44" s="11">
        <f t="shared" si="16"/>
        <v>198334</v>
      </c>
      <c r="AH44" s="11" t="e">
        <f t="shared" si="17"/>
        <v>#VALUE!</v>
      </c>
      <c r="AI44" s="4" t="str">
        <f t="shared" si="18"/>
        <v>USF2R125CJ25 ISIN</v>
      </c>
      <c r="AJ44" s="4" t="e" cm="1">
        <f t="array" ref="AJ44">VLOOKUP(IF(NOT(_xll.BDP($G44&amp;" CORP",$CA$5)="#N/A N/A"),(_xll.BDP($G44&amp;" CORP",$CA$5)),"-"), '[1]Country Codes'!$A$2:$B$253,2,0)</f>
        <v>#N/A</v>
      </c>
      <c r="AK44" s="4" t="str" cm="1">
        <f t="array" ref="AK44">IF(OR(_xll.BDP($AI44,"EX028")= "#N/A N/A", _xll.BDP($AI44,"EX028")="#N/A FIELD NOT APPLICABLE"), " ", _xll.BDP($AI44,"EX028"))</f>
        <v>#N/A Connection</v>
      </c>
      <c r="AL44" s="15" t="str">
        <f>(IF(_xll.BDP($AI44&amp;" ISIN","DZ282")="Y","Single line Bonds Cocos","Single line Bonds ex Cocos"))</f>
        <v>Single line Bonds ex Cocos</v>
      </c>
      <c r="AM44" s="8" t="str">
        <f>(IF(_xll.BDP($G44&amp;" ISIN","SP153")="#n/a n/a"," ",_xll.BDP($G44&amp;" ISIN","SP153")))</f>
        <v>#N/A Connection</v>
      </c>
      <c r="AN44" s="16">
        <f t="shared" ca="1" si="19"/>
        <v>45783</v>
      </c>
      <c r="AO44" s="11" t="e">
        <f>(((_xll.BDP(AI44,"DS032"))/360)*I44)*O44</f>
        <v>#VALUE!</v>
      </c>
      <c r="AP44" s="11" t="e">
        <f>IF(F44="USD",AO44,(((_xll.BDP(F44&amp;"USD CURNCY","PX_LAST")))*AO44))</f>
        <v>#VALUE!</v>
      </c>
      <c r="AQ44" s="13" t="e">
        <f>S44/#REF!</f>
        <v>#VALUE!</v>
      </c>
      <c r="AR44" s="11" t="e">
        <f t="shared" si="20"/>
        <v>#VALUE!</v>
      </c>
      <c r="AS44" s="10" t="str">
        <f>IF((TEXT(_xll.BDP(AI44,"MATURITY"),"DD/MM/YYYY")="#N/A Field Not Applicable"),"Perp",_xll.BDP(AI44,"DS252"))</f>
        <v>#N/A Connection</v>
      </c>
      <c r="AT44" s="15" t="str">
        <f>(IF(_xll.BDP($AI44&amp;" ISIN","DT247")="Y","Yes","No"))</f>
        <v>No</v>
      </c>
      <c r="AU44" s="15" t="str">
        <f>PROPER(IF(OR(_xll.BDP($AI44,"CPN_TYP")="#n/a N/A",_xll.BDP($AI44,"CPN_TYP")= "#N/A FIELD NOT APPLICABLE"), " ", _xll.BDP($AI44,"CPN_TYP")))</f>
        <v>#N/A Connection</v>
      </c>
      <c r="BG44" s="17" t="str">
        <f t="shared" si="21"/>
        <v>USF2R125CJ25</v>
      </c>
      <c r="BH44" s="17">
        <v>0.59899999999999998</v>
      </c>
      <c r="BI44" s="18">
        <v>3</v>
      </c>
      <c r="BJ44" s="19">
        <v>44588</v>
      </c>
      <c r="BK44" s="20"/>
    </row>
    <row r="45" spans="1:64" s="77" customFormat="1" ht="14.45" customHeight="1" x14ac:dyDescent="0.25">
      <c r="A45" s="49" t="s">
        <v>242</v>
      </c>
      <c r="B45" s="49" t="s">
        <v>255</v>
      </c>
      <c r="C45" s="49" t="s">
        <v>256</v>
      </c>
      <c r="D45" s="49" t="s">
        <v>248</v>
      </c>
      <c r="E45" s="4" t="str">
        <f>_xll.BDP(AI45,"ds520")</f>
        <v>Gaci First Investment Co</v>
      </c>
      <c r="F45" s="4" t="str">
        <f>_xll.BDP(AI45,"crncy")</f>
        <v>USD</v>
      </c>
      <c r="G45" s="5" t="s">
        <v>188</v>
      </c>
      <c r="H45" s="4" t="str">
        <f>IF(_xll.BDP(AI45,"RTG_MOODY")="#N/A N/A","N/A",_xll.BDP(AI45,"RTG_MOODY"))&amp;","&amp;IF(_xll.BDP(AI45,"RTG_FITCH")="#N/A N/A","N/A",_xll.BDP(AI45,"RTG_FITCH"))&amp;","&amp;IF(_xll.BDP(AI45,"RTG_SP")="#N/A N/A","N/A",_xll.BDP(AI45,"RTG_SP"))</f>
        <v>Aa3,A+,N/A</v>
      </c>
      <c r="I45" s="7">
        <f>_xll.BDP(AI45,"cpn")/100</f>
        <v>5.3749999999999999E-2</v>
      </c>
      <c r="J45" s="7">
        <f ca="1">_xll.BDP($G45&amp;" isin","YAS_BOND_YLD", "YAS_YLD_FLAG=15", "user_local_trade_date",AN45,"Yas_bond_px",$Q45)/100</f>
        <v>6.2666369999999999E-2</v>
      </c>
      <c r="K45" s="4" t="str">
        <f>_xll.BDP(AI45,"PAYMENT_RANK")</f>
        <v>Sr Unsecured</v>
      </c>
      <c r="L45" s="4" t="str">
        <f>IF((TEXT(_xll.BDP(AI45,"MATURITY"),"DD/MM/YYYY")="#N/A Field Not Applicable"),"Perp",TEXT(_xll.BDP(AI45,"MATURITY"),"DD/MM/YYYY"))</f>
        <v>29/01/2054</v>
      </c>
      <c r="M45" s="8">
        <f>(IF(_xll.BDP($AI45&amp;" ISIN","DU003")="#n/a n/a"," ",_xll.BDP($AI45&amp;" ISIN","DU003")))</f>
        <v>13.894283969589681</v>
      </c>
      <c r="N45" s="4" t="str">
        <f>IF(_xll.BDP(AI45,"CALLABLE")="Y",_xll.BDP(AI45,"NXT_CALL_DT")," ")</f>
        <v>29/07/2053</v>
      </c>
      <c r="O45" s="9">
        <v>300000</v>
      </c>
      <c r="P45" s="5">
        <v>87.64</v>
      </c>
      <c r="Q45" s="10">
        <f>_xll.BDP(AI45,"px_bid")</f>
        <v>88.179000000000002</v>
      </c>
      <c r="R45" s="11">
        <f>IF(F45="USD",AG45,(((_xll.BDP(F45&amp;"USD CURNCY","PX_LAST")))*AG45))</f>
        <v>262920</v>
      </c>
      <c r="S45" s="11">
        <f>IF(F45="USD",AH45,(((_xll.BDP(F45&amp;"USD CURNCY","PX_LAST")))*AH45))+AP45</f>
        <v>268702.625</v>
      </c>
      <c r="T45" s="12">
        <f t="shared" si="13"/>
        <v>1617.0000000000043</v>
      </c>
      <c r="U45" s="13">
        <f t="shared" si="14"/>
        <v>6.1501597444089621E-3</v>
      </c>
      <c r="V45" s="13" t="str" cm="1">
        <f t="array" ref="V45">IFERROR(_xll.BDP($G45&amp;" ISIN","CHG_PCT_1D")/100,"")</f>
        <v/>
      </c>
      <c r="W45" s="13" t="str" cm="1">
        <f t="array" ref="W45">IFERROR(_xll.BDP($G45&amp;" ISIN","CHG_PCT_5D")/100,"")</f>
        <v/>
      </c>
      <c r="X45" s="13" t="e" cm="1">
        <f t="array" ref="X45">_xll.BDP($G45&amp;" ISIN","CHG_PCT_1M")/100</f>
        <v>#VALUE!</v>
      </c>
      <c r="Y45" s="13" t="e" cm="1">
        <f t="array" ref="Y45">_xll.BDP($G45&amp;" ISIN","CHG_PCT_3M")/100</f>
        <v>#VALUE!</v>
      </c>
      <c r="Z45" s="13" t="e" cm="1">
        <f t="array" ref="Z45">_xll.BDP($G45&amp;" ISIN","CHG_PCT_6M")/100</f>
        <v>#VALUE!</v>
      </c>
      <c r="AA45" s="13" t="e" cm="1">
        <f t="array" ref="AA45">_xll.BDP($G45&amp;" ISIN","CHG_PCT_YTD")/100</f>
        <v>#VALUE!</v>
      </c>
      <c r="AB45" s="13" t="e">
        <f t="shared" si="22"/>
        <v>#VALUE!</v>
      </c>
      <c r="AC45" s="14">
        <f t="shared" ca="1" si="15"/>
        <v>19220.125000000004</v>
      </c>
      <c r="AD45" s="4" t="str">
        <f>_xll.BDP(AI45,"DS199")</f>
        <v>Financial</v>
      </c>
      <c r="AE45" s="10">
        <f>_xll.BDP(AI45,"px_ask")</f>
        <v>88.968000000000004</v>
      </c>
      <c r="AF45" s="14">
        <f>IF(F45="USD",O45,(((_xll.BDP(F45&amp;"USD CURNCY","PX_LAST")))*O45))</f>
        <v>300000</v>
      </c>
      <c r="AG45" s="11">
        <f t="shared" si="16"/>
        <v>262920</v>
      </c>
      <c r="AH45" s="11">
        <f t="shared" si="17"/>
        <v>264537</v>
      </c>
      <c r="AI45" s="4" t="str">
        <f t="shared" si="18"/>
        <v>XS2755904872 ISIN</v>
      </c>
      <c r="AJ45" s="4" t="e" cm="1">
        <f t="array" ref="AJ45">VLOOKUP(IF(NOT(_xll.BDP($G45&amp;" CORP",$CA$5)="#N/A N/A"),(_xll.BDP($G45&amp;" CORP",$CA$5)),"-"), '[1]Country Codes'!$A$2:$B$253,2,0)</f>
        <v>#N/A</v>
      </c>
      <c r="AK45" s="4" t="str" cm="1">
        <f t="array" ref="AK45">IF(OR(_xll.BDP($AI45,"EX028")= "#N/A N/A", _xll.BDP($AI45,"EX028")="#N/A FIELD NOT APPLICABLE"), " ", _xll.BDP($AI45,"EX028"))</f>
        <v>FixedIncome</v>
      </c>
      <c r="AL45" s="15" t="str">
        <f>(IF(_xll.BDP($AI45&amp;" ISIN","DZ282")="Y","Single line Bonds Cocos","Single line Bonds ex Cocos"))</f>
        <v>Single line Bonds ex Cocos</v>
      </c>
      <c r="AM45" s="8">
        <f>(IF(_xll.BDP($G45&amp;" ISIN","SP153")="#n/a n/a"," ",_xll.BDP($G45&amp;" ISIN","SP153")))</f>
        <v>244.54207102273691</v>
      </c>
      <c r="AN45" s="16">
        <f t="shared" ca="1" si="19"/>
        <v>45783</v>
      </c>
      <c r="AO45" s="11">
        <f>(((_xll.BDP(AI45,"DS032"))/360)*I45)*O45</f>
        <v>4165.625</v>
      </c>
      <c r="AP45" s="11">
        <f>IF(F45="USD",AO45,(((_xll.BDP(F45&amp;"USD CURNCY","PX_LAST")))*AO45))</f>
        <v>4165.625</v>
      </c>
      <c r="AQ45" s="13" t="e">
        <f>S45/#REF!</f>
        <v>#REF!</v>
      </c>
      <c r="AR45" s="11">
        <f t="shared" si="20"/>
        <v>264537</v>
      </c>
      <c r="AS45" s="10">
        <f>IF((TEXT(_xll.BDP(AI45,"MATURITY"),"DD/MM/YYYY")="#N/A Field Not Applicable"),"Perp",_xll.BDP(AI45,"DS252"))</f>
        <v>28.750171115674195</v>
      </c>
      <c r="AT45" s="15" t="str">
        <f>(IF(_xll.BDP($AI45&amp;" ISIN","DT247")="Y","Yes","No"))</f>
        <v>No</v>
      </c>
      <c r="AU45" s="15" t="str">
        <f>PROPER(IF(OR(_xll.BDP($AI45,"CPN_TYP")="#n/a N/A",_xll.BDP($AI45,"CPN_TYP")= "#N/A FIELD NOT APPLICABLE"), " ", _xll.BDP($AI45,"CPN_TYP")))</f>
        <v>Fixed</v>
      </c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17" t="str">
        <f t="shared" si="21"/>
        <v>XS2755904872</v>
      </c>
      <c r="BH45" s="17">
        <v>0.56000000000000005</v>
      </c>
      <c r="BI45" s="18">
        <v>3</v>
      </c>
      <c r="BJ45" s="19">
        <v>45390</v>
      </c>
      <c r="BK45" s="20"/>
      <c r="BL45" s="21"/>
    </row>
    <row r="46" spans="1:64" s="77" customFormat="1" ht="14.45" customHeight="1" x14ac:dyDescent="0.25">
      <c r="A46" s="49" t="s">
        <v>242</v>
      </c>
      <c r="B46" s="49" t="s">
        <v>255</v>
      </c>
      <c r="C46" s="49" t="s">
        <v>256</v>
      </c>
      <c r="D46" s="49" t="s">
        <v>248</v>
      </c>
      <c r="E46" s="4" t="str">
        <f>_xll.BDP(AI46,"ds520")</f>
        <v>#N/A Connection</v>
      </c>
      <c r="F46" s="4" t="str">
        <f>_xll.BDP(AI46,"crncy")</f>
        <v>#N/A Connection</v>
      </c>
      <c r="G46" s="5" t="s">
        <v>336</v>
      </c>
      <c r="H46" s="4" t="str">
        <f>IF(_xll.BDP(AI46,"RTG_MOODY")="#N/A N/A","N/A",_xll.BDP(AI46,"RTG_MOODY"))&amp;","&amp;IF(_xll.BDP(AI46,"RTG_FITCH")="#N/A N/A","N/A",_xll.BDP(AI46,"RTG_FITCH"))&amp;","&amp;IF(_xll.BDP(AI46,"RTG_SP")="#N/A N/A","N/A",_xll.BDP(AI46,"RTG_SP"))</f>
        <v>#N/A Connection,#N/A Connection,#N/A Connection</v>
      </c>
      <c r="I46" s="7" t="e">
        <f>_xll.BDP(AI46,"cpn")/100</f>
        <v>#VALUE!</v>
      </c>
      <c r="J46" s="7" t="e">
        <f ca="1">_xll.BDP($G46&amp;" isin","YAS_BOND_YLD", "YAS_YLD_FLAG=15", "user_local_trade_date",AN46,"Yas_bond_px",$Q46)/100</f>
        <v>#VALUE!</v>
      </c>
      <c r="K46" s="4" t="str">
        <f>_xll.BDP(AI46,"PAYMENT_RANK")</f>
        <v>#N/A Connection</v>
      </c>
      <c r="L46" s="4" t="str">
        <f>IF((TEXT(_xll.BDP(AI46,"MATURITY"),"DD/MM/YYYY")="#N/A Field Not Applicable"),"Perp",TEXT(_xll.BDP(AI46,"MATURITY"),"DD/MM/YYYY"))</f>
        <v>#N/A Connection</v>
      </c>
      <c r="M46" s="8" t="str">
        <f>(IF(_xll.BDP($AI46&amp;" ISIN","DU003")="#n/a n/a"," ",_xll.BDP($AI46&amp;" ISIN","DU003")))</f>
        <v>#N/A Connection</v>
      </c>
      <c r="N46" s="4" t="str">
        <f>IF(_xll.BDP(AI46,"CALLABLE")="Y",_xll.BDP(AI46,"NXT_CALL_DT")," ")</f>
        <v xml:space="preserve"> </v>
      </c>
      <c r="O46" s="9">
        <v>200000</v>
      </c>
      <c r="P46" s="5">
        <v>97.033000000000001</v>
      </c>
      <c r="Q46" s="10" t="str">
        <f>_xll.BDP(AI46,"px_bid")</f>
        <v>#N/A Connection</v>
      </c>
      <c r="R46" s="11" t="e">
        <f>IF(F46="USD",AG46,(((_xll.BDP(F46&amp;"USD CURNCY","PX_LAST")))*AG46))</f>
        <v>#VALUE!</v>
      </c>
      <c r="S46" s="11" t="e">
        <f>IF(F46="USD",AH46,(((_xll.BDP(F46&amp;"USD CURNCY","PX_LAST")))*AH46))+AP46</f>
        <v>#VALUE!</v>
      </c>
      <c r="T46" s="12" t="e">
        <f t="shared" si="13"/>
        <v>#VALUE!</v>
      </c>
      <c r="U46" s="13" t="e">
        <f t="shared" si="14"/>
        <v>#VALUE!</v>
      </c>
      <c r="V46" s="13" t="str" cm="1">
        <f t="array" ref="V46">IFERROR(_xll.BDP($G46&amp;" ISIN","CHG_PCT_1D")/100,"")</f>
        <v/>
      </c>
      <c r="W46" s="13" t="str" cm="1">
        <f t="array" ref="W46">IFERROR(_xll.BDP($G46&amp;" ISIN","CHG_PCT_5D")/100,"")</f>
        <v/>
      </c>
      <c r="X46" s="13" t="e" cm="1">
        <f t="array" ref="X46">_xll.BDP($G46&amp;" ISIN","CHG_PCT_1M")/100</f>
        <v>#VALUE!</v>
      </c>
      <c r="Y46" s="13" t="e" cm="1">
        <f t="array" ref="Y46">_xll.BDP($G46&amp;" ISIN","CHG_PCT_3M")/100</f>
        <v>#VALUE!</v>
      </c>
      <c r="Z46" s="13" t="e" cm="1">
        <f t="array" ref="Z46">_xll.BDP($G46&amp;" ISIN","CHG_PCT_6M")/100</f>
        <v>#VALUE!</v>
      </c>
      <c r="AA46" s="13" t="e" cm="1">
        <f t="array" ref="AA46">_xll.BDP($G46&amp;" ISIN","CHG_PCT_YTD")/100</f>
        <v>#VALUE!</v>
      </c>
      <c r="AB46" s="13" t="e">
        <f t="shared" si="22"/>
        <v>#VALUE!</v>
      </c>
      <c r="AC46" s="14" t="e">
        <f t="shared" ca="1" si="15"/>
        <v>#VALUE!</v>
      </c>
      <c r="AD46" s="4" t="str">
        <f>_xll.BDP(AI46,"DS199")</f>
        <v>#N/A Connection</v>
      </c>
      <c r="AE46" s="10" t="str">
        <f>_xll.BDP(AI46,"px_ask")</f>
        <v>#N/A Connection</v>
      </c>
      <c r="AF46" s="14" t="e">
        <f>IF(F46="USD",O46,(((_xll.BDP(F46&amp;"USD CURNCY","PX_LAST")))*O46))</f>
        <v>#VALUE!</v>
      </c>
      <c r="AG46" s="11">
        <f t="shared" si="16"/>
        <v>194066</v>
      </c>
      <c r="AH46" s="11" t="e">
        <f t="shared" si="17"/>
        <v>#VALUE!</v>
      </c>
      <c r="AI46" s="4" t="str">
        <f t="shared" si="18"/>
        <v>US53944YBB83 ISIN</v>
      </c>
      <c r="AJ46" s="4" t="e" cm="1">
        <f t="array" ref="AJ46">VLOOKUP(IF(NOT(_xll.BDP($G46&amp;" CORP",$CA$5)="#N/A N/A"),(_xll.BDP($G46&amp;" CORP",$CA$5)),"-"), '[1]Country Codes'!$A$2:$B$253,2,0)</f>
        <v>#N/A</v>
      </c>
      <c r="AK46" s="4" t="str" cm="1">
        <f t="array" ref="AK46">IF(OR(_xll.BDP($AI46,"EX028")= "#N/A N/A", _xll.BDP($AI46,"EX028")="#N/A FIELD NOT APPLICABLE"), " ", _xll.BDP($AI46,"EX028"))</f>
        <v>#N/A Connection</v>
      </c>
      <c r="AL46" s="15" t="str">
        <f>(IF(_xll.BDP($AI46&amp;" ISIN","DZ282")="Y","Single line Bonds Cocos","Single line Bonds ex Cocos"))</f>
        <v>Single line Bonds ex Cocos</v>
      </c>
      <c r="AM46" s="8" t="str">
        <f>(IF(_xll.BDP($G46&amp;" ISIN","SP153")="#n/a n/a"," ",_xll.BDP($G46&amp;" ISIN","SP153")))</f>
        <v>#N/A Connection</v>
      </c>
      <c r="AN46" s="16">
        <f t="shared" ca="1" si="19"/>
        <v>45783</v>
      </c>
      <c r="AO46" s="11" t="e">
        <f>(((_xll.BDP(AI46,"DS032"))/360)*I46)*O46</f>
        <v>#VALUE!</v>
      </c>
      <c r="AP46" s="11" t="e">
        <f>IF(F46="USD",AO46,(((_xll.BDP(F46&amp;"USD CURNCY","PX_LAST")))*AO46))</f>
        <v>#VALUE!</v>
      </c>
      <c r="AQ46" s="13" t="e">
        <f>S46/#REF!</f>
        <v>#VALUE!</v>
      </c>
      <c r="AR46" s="11" t="e">
        <f t="shared" si="20"/>
        <v>#VALUE!</v>
      </c>
      <c r="AS46" s="10" t="str">
        <f>IF((TEXT(_xll.BDP(AI46,"MATURITY"),"DD/MM/YYYY")="#N/A Field Not Applicable"),"Perp",_xll.BDP(AI46,"DS252"))</f>
        <v>#N/A Connection</v>
      </c>
      <c r="AT46" s="15" t="str">
        <f>(IF(_xll.BDP($AI46&amp;" ISIN","DT247")="Y","Yes","No"))</f>
        <v>No</v>
      </c>
      <c r="AU46" s="15" t="str">
        <f>PROPER(IF(OR(_xll.BDP($AI46,"CPN_TYP")="#n/a N/A",_xll.BDP($AI46,"CPN_TYP")= "#N/A FIELD NOT APPLICABLE"), " ", _xll.BDP($AI46,"CPN_TYP")))</f>
        <v>#N/A Connection</v>
      </c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17" t="str">
        <f t="shared" si="21"/>
        <v>US53944YBB83</v>
      </c>
      <c r="BH46" s="17">
        <v>0.76819999999999999</v>
      </c>
      <c r="BI46" s="18" t="s">
        <v>147</v>
      </c>
      <c r="BJ46" s="19">
        <v>45713</v>
      </c>
      <c r="BK46" s="20"/>
      <c r="BL46" s="21"/>
    </row>
    <row r="47" spans="1:64" s="21" customFormat="1" ht="14.45" customHeight="1" x14ac:dyDescent="0.25">
      <c r="A47" s="49" t="s">
        <v>242</v>
      </c>
      <c r="B47" s="49" t="s">
        <v>255</v>
      </c>
      <c r="C47" s="49" t="s">
        <v>256</v>
      </c>
      <c r="D47" s="49" t="s">
        <v>248</v>
      </c>
      <c r="E47" s="4" t="str">
        <f>_xll.BDP(AI47,"ds520")</f>
        <v>#N/A Connection</v>
      </c>
      <c r="F47" s="4" t="str">
        <f>_xll.BDP(AI47,"crncy")</f>
        <v>#N/A Connection</v>
      </c>
      <c r="G47" s="5" t="s">
        <v>337</v>
      </c>
      <c r="H47" s="4" t="str">
        <f>IF(_xll.BDP(AI47,"RTG_MOODY")="#N/A N/A","N/A",_xll.BDP(AI47,"RTG_MOODY"))&amp;","&amp;IF(_xll.BDP(AI47,"RTG_FITCH")="#N/A N/A","N/A",_xll.BDP(AI47,"RTG_FITCH"))&amp;","&amp;IF(_xll.BDP(AI47,"RTG_SP")="#N/A N/A","N/A",_xll.BDP(AI47,"RTG_SP"))</f>
        <v>#N/A Connection,#N/A Connection,#N/A Connection</v>
      </c>
      <c r="I47" s="7" t="e">
        <f>_xll.BDP(AI47,"cpn")/100</f>
        <v>#VALUE!</v>
      </c>
      <c r="J47" s="7" t="e">
        <f ca="1">_xll.BDP($G47&amp;" isin","YAS_BOND_YLD", "YAS_YLD_FLAG=15", "user_local_trade_date",AN47,"Yas_bond_px",$Q47)/100</f>
        <v>#VALUE!</v>
      </c>
      <c r="K47" s="4" t="str">
        <f>_xll.BDP(AI47,"PAYMENT_RANK")</f>
        <v>#N/A Connection</v>
      </c>
      <c r="L47" s="4" t="str">
        <f>IF((TEXT(_xll.BDP(AI47,"MATURITY"),"DD/MM/YYYY")="#N/A Field Not Applicable"),"Perp",TEXT(_xll.BDP(AI47,"MATURITY"),"DD/MM/YYYY"))</f>
        <v>#N/A Connection</v>
      </c>
      <c r="M47" s="8" t="str">
        <f>(IF(_xll.BDP($AI47&amp;" ISIN","DU003")="#n/a n/a"," ",_xll.BDP($AI47&amp;" ISIN","DU003")))</f>
        <v>#N/A Connection</v>
      </c>
      <c r="N47" s="4" t="str">
        <f>IF(_xll.BDP(AI47,"CALLABLE")="Y",_xll.BDP(AI47,"NXT_CALL_DT")," ")</f>
        <v xml:space="preserve"> </v>
      </c>
      <c r="O47" s="9">
        <v>200000</v>
      </c>
      <c r="P47" s="5">
        <v>98.183999999999997</v>
      </c>
      <c r="Q47" s="10" t="str">
        <f>_xll.BDP(AI47,"px_bid")</f>
        <v>#N/A Connection</v>
      </c>
      <c r="R47" s="11" t="e">
        <f>IF(F47="USD",AG47,(((_xll.BDP(F47&amp;"USD CURNCY","PX_LAST")))*AG47))</f>
        <v>#VALUE!</v>
      </c>
      <c r="S47" s="11" t="e">
        <f>IF(F47="USD",AH47,(((_xll.BDP(F47&amp;"USD CURNCY","PX_LAST")))*AH47))+AP47</f>
        <v>#VALUE!</v>
      </c>
      <c r="T47" s="12" t="e">
        <f t="shared" si="13"/>
        <v>#VALUE!</v>
      </c>
      <c r="U47" s="13" t="e">
        <f t="shared" si="14"/>
        <v>#VALUE!</v>
      </c>
      <c r="V47" s="13" t="str" cm="1">
        <f t="array" ref="V47">IFERROR(_xll.BDP($G47&amp;" ISIN","CHG_PCT_1D")/100,"")</f>
        <v/>
      </c>
      <c r="W47" s="13" t="str" cm="1">
        <f t="array" ref="W47">IFERROR(_xll.BDP($G47&amp;" ISIN","CHG_PCT_5D")/100,"")</f>
        <v/>
      </c>
      <c r="X47" s="13" t="e" cm="1">
        <f t="array" ref="X47">_xll.BDP($G47&amp;" ISIN","CHG_PCT_1M")/100</f>
        <v>#VALUE!</v>
      </c>
      <c r="Y47" s="13" t="e" cm="1">
        <f t="array" ref="Y47">_xll.BDP($G47&amp;" ISIN","CHG_PCT_3M")/100</f>
        <v>#VALUE!</v>
      </c>
      <c r="Z47" s="13" t="e" cm="1">
        <f t="array" ref="Z47">_xll.BDP($G47&amp;" ISIN","CHG_PCT_6M")/100</f>
        <v>#VALUE!</v>
      </c>
      <c r="AA47" s="13" t="e" cm="1">
        <f t="array" ref="AA47">_xll.BDP($G47&amp;" ISIN","CHG_PCT_YTD")/100</f>
        <v>#VALUE!</v>
      </c>
      <c r="AB47" s="13" t="e">
        <f t="shared" si="22"/>
        <v>#VALUE!</v>
      </c>
      <c r="AC47" s="14" t="e">
        <f t="shared" ca="1" si="15"/>
        <v>#VALUE!</v>
      </c>
      <c r="AD47" s="4" t="str">
        <f>_xll.BDP(AI47,"DS199")</f>
        <v>#N/A Connection</v>
      </c>
      <c r="AE47" s="10" t="str">
        <f>_xll.BDP(AI47,"px_ask")</f>
        <v>#N/A Connection</v>
      </c>
      <c r="AF47" s="14" t="e">
        <f>IF(F47="USD",O47,(((_xll.BDP(F47&amp;"USD CURNCY","PX_LAST")))*O47))</f>
        <v>#VALUE!</v>
      </c>
      <c r="AG47" s="11">
        <f t="shared" si="16"/>
        <v>196368</v>
      </c>
      <c r="AH47" s="11" t="e">
        <f t="shared" si="17"/>
        <v>#VALUE!</v>
      </c>
      <c r="AI47" s="4" t="str">
        <f t="shared" si="18"/>
        <v>USF8586CBQ45 ISIN</v>
      </c>
      <c r="AJ47" s="4" t="e" cm="1">
        <f t="array" ref="AJ47">VLOOKUP(IF(NOT(_xll.BDP($G47&amp;" CORP",$CA$5)="#N/A N/A"),(_xll.BDP($G47&amp;" CORP",$CA$5)),"-"), '[1]Country Codes'!$A$2:$B$253,2,0)</f>
        <v>#N/A</v>
      </c>
      <c r="AK47" s="4" t="str" cm="1">
        <f t="array" ref="AK47">IF(OR(_xll.BDP($AI47,"EX028")= "#N/A N/A", _xll.BDP($AI47,"EX028")="#N/A FIELD NOT APPLICABLE"), " ", _xll.BDP($AI47,"EX028"))</f>
        <v>#N/A Connection</v>
      </c>
      <c r="AL47" s="15" t="str">
        <f>(IF(_xll.BDP($AI47&amp;" ISIN","DZ282")="Y","Single line Bonds Cocos","Single line Bonds ex Cocos"))</f>
        <v>Single line Bonds ex Cocos</v>
      </c>
      <c r="AM47" s="8" t="str">
        <f>(IF(_xll.BDP($G47&amp;" ISIN","SP153")="#n/a n/a"," ",_xll.BDP($G47&amp;" ISIN","SP153")))</f>
        <v>#N/A Connection</v>
      </c>
      <c r="AN47" s="16">
        <f t="shared" ca="1" si="19"/>
        <v>45783</v>
      </c>
      <c r="AO47" s="11" t="e">
        <f>(((_xll.BDP(AI47,"DS032"))/360)*I47)*O47</f>
        <v>#VALUE!</v>
      </c>
      <c r="AP47" s="11" t="e">
        <f>IF(F47="USD",AO47,(((_xll.BDP(F47&amp;"USD CURNCY","PX_LAST")))*AO47))</f>
        <v>#VALUE!</v>
      </c>
      <c r="AQ47" s="13" t="e">
        <f>S47/#REF!</f>
        <v>#VALUE!</v>
      </c>
      <c r="AR47" s="11" t="e">
        <f t="shared" si="20"/>
        <v>#VALUE!</v>
      </c>
      <c r="AS47" s="10" t="str">
        <f>IF((TEXT(_xll.BDP(AI47,"MATURITY"),"DD/MM/YYYY")="#N/A Field Not Applicable"),"Perp",_xll.BDP(AI47,"DS252"))</f>
        <v>#N/A Connection</v>
      </c>
      <c r="AT47" s="15" t="str">
        <f>(IF(_xll.BDP($AI47&amp;" ISIN","DT247")="Y","Yes","No"))</f>
        <v>No</v>
      </c>
      <c r="AU47" s="15" t="str">
        <f>PROPER(IF(OR(_xll.BDP($AI47,"CPN_TYP")="#n/a N/A",_xll.BDP($AI47,"CPN_TYP")= "#N/A FIELD NOT APPLICABLE"), " ", _xll.BDP($AI47,"CPN_TYP")))</f>
        <v>#N/A Connection</v>
      </c>
      <c r="BG47" s="17" t="str">
        <f t="shared" si="21"/>
        <v>USF8586CBQ45</v>
      </c>
      <c r="BH47" s="17">
        <v>0.42280000000000001</v>
      </c>
      <c r="BI47" s="18" t="s">
        <v>147</v>
      </c>
      <c r="BJ47" s="19">
        <v>45713</v>
      </c>
      <c r="BK47" s="20"/>
    </row>
    <row r="48" spans="1:64" s="21" customFormat="1" ht="14.45" customHeight="1" x14ac:dyDescent="0.25">
      <c r="A48" s="49" t="s">
        <v>242</v>
      </c>
      <c r="B48" s="49" t="s">
        <v>255</v>
      </c>
      <c r="C48" s="49" t="s">
        <v>256</v>
      </c>
      <c r="D48" s="49" t="s">
        <v>248</v>
      </c>
      <c r="E48" s="4" t="str">
        <f>_xll.BDP(AI48,"ds520")</f>
        <v>#N/A Connection</v>
      </c>
      <c r="F48" s="4" t="str">
        <f>_xll.BDP(AI48,"crncy")</f>
        <v>#N/A Connection</v>
      </c>
      <c r="G48" s="5" t="s">
        <v>148</v>
      </c>
      <c r="H48" s="4" t="str">
        <f>IF(_xll.BDP(AI48,"RTG_MOODY")="#N/A N/A","N/A",_xll.BDP(AI48,"RTG_MOODY"))&amp;","&amp;IF(_xll.BDP(AI48,"RTG_FITCH")="#N/A N/A","N/A",_xll.BDP(AI48,"RTG_FITCH"))&amp;","&amp;IF(_xll.BDP(AI48,"RTG_SP")="#N/A N/A","N/A",_xll.BDP(AI48,"RTG_SP"))</f>
        <v>#N/A Connection,#N/A Connection,#N/A Connection</v>
      </c>
      <c r="I48" s="7" t="e">
        <f>_xll.BDP(AI48,"cpn")/100</f>
        <v>#VALUE!</v>
      </c>
      <c r="J48" s="7" t="e">
        <f ca="1">_xll.BDP($G48&amp;" isin","YAS_BOND_YLD", "YAS_YLD_FLAG=15", "user_local_trade_date",AN48,"Yas_bond_px",$Q48)/100</f>
        <v>#VALUE!</v>
      </c>
      <c r="K48" s="4" t="str">
        <f>_xll.BDP(AI48,"PAYMENT_RANK")</f>
        <v>#N/A Connection</v>
      </c>
      <c r="L48" s="4" t="str">
        <f>IF((TEXT(_xll.BDP(AI48,"MATURITY"),"DD/MM/YYYY")="#N/A Field Not Applicable"),"Perp",TEXT(_xll.BDP(AI48,"MATURITY"),"DD/MM/YYYY"))</f>
        <v>#N/A Connection</v>
      </c>
      <c r="M48" s="8" t="str">
        <f>(IF(_xll.BDP($AI48&amp;" ISIN","DU003")="#n/a n/a"," ",_xll.BDP($AI48&amp;" ISIN","DU003")))</f>
        <v>#N/A Connection</v>
      </c>
      <c r="N48" s="4" t="str">
        <f>IF(_xll.BDP(AI48,"CALLABLE")="Y",_xll.BDP(AI48,"NXT_CALL_DT")," ")</f>
        <v xml:space="preserve"> </v>
      </c>
      <c r="O48" s="9">
        <v>200000</v>
      </c>
      <c r="P48" s="5">
        <v>103.63</v>
      </c>
      <c r="Q48" s="10" t="str">
        <f>_xll.BDP(AI48,"px_bid")</f>
        <v>#N/A Connection</v>
      </c>
      <c r="R48" s="11" t="e">
        <f>IF(F48="USD",AG48,(((_xll.BDP(F48&amp;"USD CURNCY","PX_LAST")))*AG48))</f>
        <v>#VALUE!</v>
      </c>
      <c r="S48" s="11" t="e">
        <f>IF(F48="USD",AH48,(((_xll.BDP(F48&amp;"USD CURNCY","PX_LAST")))*AH48))+AP48</f>
        <v>#VALUE!</v>
      </c>
      <c r="T48" s="12" t="e">
        <f t="shared" si="13"/>
        <v>#VALUE!</v>
      </c>
      <c r="U48" s="13" t="e">
        <f t="shared" si="14"/>
        <v>#VALUE!</v>
      </c>
      <c r="V48" s="13" t="str" cm="1">
        <f t="array" ref="V48">IFERROR(_xll.BDP($G48&amp;" ISIN","CHG_PCT_1D")/100,"")</f>
        <v/>
      </c>
      <c r="W48" s="13" t="str" cm="1">
        <f t="array" ref="W48">IFERROR(_xll.BDP($G48&amp;" ISIN","CHG_PCT_5D")/100,"")</f>
        <v/>
      </c>
      <c r="X48" s="13" t="e" cm="1">
        <f t="array" ref="X48">_xll.BDP($G48&amp;" ISIN","CHG_PCT_1M")/100</f>
        <v>#VALUE!</v>
      </c>
      <c r="Y48" s="13" t="e" cm="1">
        <f t="array" ref="Y48">_xll.BDP($G48&amp;" ISIN","CHG_PCT_3M")/100</f>
        <v>#VALUE!</v>
      </c>
      <c r="Z48" s="13" t="e" cm="1">
        <f t="array" ref="Z48">_xll.BDP($G48&amp;" ISIN","CHG_PCT_6M")/100</f>
        <v>#VALUE!</v>
      </c>
      <c r="AA48" s="13" t="e" cm="1">
        <f t="array" ref="AA48">_xll.BDP($G48&amp;" ISIN","CHG_PCT_YTD")/100</f>
        <v>#VALUE!</v>
      </c>
      <c r="AB48" s="13" t="e">
        <f t="shared" si="22"/>
        <v>#VALUE!</v>
      </c>
      <c r="AC48" s="14" t="e">
        <f t="shared" ca="1" si="15"/>
        <v>#VALUE!</v>
      </c>
      <c r="AD48" s="4" t="str">
        <f>_xll.BDP(AI48,"DS199")</f>
        <v>#N/A Connection</v>
      </c>
      <c r="AE48" s="10" t="str">
        <f>_xll.BDP(AI48,"px_ask")</f>
        <v>#N/A Connection</v>
      </c>
      <c r="AF48" s="14" t="e">
        <f>IF(F48="USD",O48,(((_xll.BDP(F48&amp;"USD CURNCY","PX_LAST")))*O48))</f>
        <v>#VALUE!</v>
      </c>
      <c r="AG48" s="11">
        <f t="shared" si="16"/>
        <v>207260</v>
      </c>
      <c r="AH48" s="11" t="e">
        <f t="shared" si="17"/>
        <v>#VALUE!</v>
      </c>
      <c r="AI48" s="4" t="str">
        <f t="shared" si="18"/>
        <v>US251526CT41 ISIN</v>
      </c>
      <c r="AJ48" s="4" t="e" cm="1">
        <f t="array" ref="AJ48">VLOOKUP(IF(NOT(_xll.BDP($G48&amp;" CORP",$CA$5)="#N/A N/A"),(_xll.BDP($G48&amp;" CORP",$CA$5)),"-"), '[1]Country Codes'!$A$2:$B$253,2,0)</f>
        <v>#N/A</v>
      </c>
      <c r="AK48" s="4" t="str" cm="1">
        <f t="array" ref="AK48">IF(OR(_xll.BDP($AI48,"EX028")= "#N/A N/A", _xll.BDP($AI48,"EX028")="#N/A FIELD NOT APPLICABLE"), " ", _xll.BDP($AI48,"EX028"))</f>
        <v>#N/A Connection</v>
      </c>
      <c r="AL48" s="15" t="str">
        <f>(IF(_xll.BDP($AI48&amp;" ISIN","DZ282")="Y","Single line Bonds Cocos","Single line Bonds ex Cocos"))</f>
        <v>Single line Bonds ex Cocos</v>
      </c>
      <c r="AM48" s="8" t="str">
        <f>(IF(_xll.BDP($G48&amp;" ISIN","SP153")="#n/a n/a"," ",_xll.BDP($G48&amp;" ISIN","SP153")))</f>
        <v>#N/A Connection</v>
      </c>
      <c r="AN48" s="16">
        <f t="shared" ca="1" si="19"/>
        <v>45783</v>
      </c>
      <c r="AO48" s="11" t="e">
        <f>(((_xll.BDP(AI48,"DS032"))/360)*I48)*O48</f>
        <v>#VALUE!</v>
      </c>
      <c r="AP48" s="11" t="e">
        <f>IF(F48="USD",AO48,(((_xll.BDP(F48&amp;"USD CURNCY","PX_LAST")))*AO48))</f>
        <v>#VALUE!</v>
      </c>
      <c r="AQ48" s="13" t="e">
        <f>S48/#REF!</f>
        <v>#VALUE!</v>
      </c>
      <c r="AR48" s="11" t="e">
        <f t="shared" si="20"/>
        <v>#VALUE!</v>
      </c>
      <c r="AS48" s="10" t="str">
        <f>IF((TEXT(_xll.BDP(AI48,"MATURITY"),"DD/MM/YYYY")="#N/A Field Not Applicable"),"Perp",_xll.BDP(AI48,"DS252"))</f>
        <v>#N/A Connection</v>
      </c>
      <c r="AT48" s="15" t="str">
        <f>(IF(_xll.BDP($AI48&amp;" ISIN","DT247")="Y","Yes","No"))</f>
        <v>No</v>
      </c>
      <c r="AU48" s="15" t="str">
        <f>PROPER(IF(OR(_xll.BDP($AI48,"CPN_TYP")="#n/a N/A",_xll.BDP($AI48,"CPN_TYP")= "#N/A FIELD NOT APPLICABLE"), " ", _xll.BDP($AI48,"CPN_TYP")))</f>
        <v>#N/A Connection</v>
      </c>
      <c r="BG48" s="17" t="str">
        <f t="shared" si="21"/>
        <v>US251526CT41</v>
      </c>
      <c r="BH48" s="17">
        <v>0.55359999999999998</v>
      </c>
      <c r="BI48" s="18">
        <v>5</v>
      </c>
      <c r="BJ48" s="19">
        <v>45499</v>
      </c>
      <c r="BK48" s="20"/>
    </row>
    <row r="49" spans="1:64" s="78" customFormat="1" ht="14.45" customHeight="1" x14ac:dyDescent="0.25">
      <c r="A49" s="81" t="s">
        <v>242</v>
      </c>
      <c r="B49" s="81" t="s">
        <v>332</v>
      </c>
      <c r="C49" s="81" t="s">
        <v>333</v>
      </c>
      <c r="D49" s="81" t="s">
        <v>248</v>
      </c>
      <c r="E49" s="88" t="str">
        <f>_xll.BDP(AI49,"ds520")</f>
        <v>#N/A Connection</v>
      </c>
      <c r="F49" s="88" t="str">
        <f>_xll.BDP(AI49,"crncy")</f>
        <v>#N/A Connection</v>
      </c>
      <c r="G49" s="5" t="s">
        <v>184</v>
      </c>
      <c r="H49" s="88" t="str">
        <f>IF(_xll.BDP(AI49,"RTG_MOODY")="#N/A N/A","N/A",_xll.BDP(AI49,"RTG_MOODY"))&amp;","&amp;IF(_xll.BDP(AI49,"RTG_FITCH")="#N/A N/A","N/A",_xll.BDP(AI49,"RTG_FITCH"))&amp;","&amp;IF(_xll.BDP(AI49,"RTG_SP")="#N/A N/A","N/A",_xll.BDP(AI49,"RTG_SP"))</f>
        <v>#N/A Connection,#N/A Connection,#N/A Connection</v>
      </c>
      <c r="I49" s="38" t="e">
        <f>_xll.BDP(AI49,"cpn")/100</f>
        <v>#VALUE!</v>
      </c>
      <c r="J49" s="38" t="e">
        <f ca="1">_xll.BDP($G49&amp;" isin","YAS_BOND_YLD", "YAS_YLD_FLAG=15", "user_local_trade_date",AN49,"Yas_bond_px",$Q49)/100</f>
        <v>#VALUE!</v>
      </c>
      <c r="K49" s="88" t="str">
        <f>_xll.BDP(AI49,"PAYMENT_RANK")</f>
        <v>#N/A Connection</v>
      </c>
      <c r="L49" s="88" t="str">
        <f>IF((TEXT(_xll.BDP(AI49,"MATURITY"),"DD/MM/YYYY")="#N/A Field Not Applicable"),"Perp",TEXT(_xll.BDP(AI49,"MATURITY"),"DD/MM/YYYY"))</f>
        <v>#N/A Connection</v>
      </c>
      <c r="M49" s="97" t="str">
        <f>(IF(_xll.BDP($AI49&amp;" ISIN","DU003")="#n/a n/a"," ",_xll.BDP($AI49&amp;" ISIN","DU003")))</f>
        <v>#N/A Connection</v>
      </c>
      <c r="N49" s="88" t="str">
        <f>IF(_xll.BDP(AI49,"CALLABLE")="Y",_xll.BDP(AI49,"NXT_CALL_DT")," ")</f>
        <v xml:space="preserve"> </v>
      </c>
      <c r="O49" s="9">
        <v>300000</v>
      </c>
      <c r="P49" s="5">
        <v>100.3</v>
      </c>
      <c r="Q49" s="99" t="str">
        <f>_xll.BDP(AI49,"px_bid")</f>
        <v>#N/A Connection</v>
      </c>
      <c r="R49" s="100" t="e">
        <f>IF(F49="USD",AG49,(((_xll.BDP(F49&amp;"USD CURNCY","PX_LAST")))*AG49))</f>
        <v>#VALUE!</v>
      </c>
      <c r="S49" s="100" t="e">
        <f>IF(F49="USD",AH49,(((_xll.BDP(F49&amp;"USD CURNCY","PX_LAST")))*AH49))+AP49</f>
        <v>#VALUE!</v>
      </c>
      <c r="T49" s="86" t="e">
        <f t="shared" si="13"/>
        <v>#VALUE!</v>
      </c>
      <c r="U49" s="87" t="e">
        <f t="shared" si="14"/>
        <v>#VALUE!</v>
      </c>
      <c r="V49" s="87" t="str" cm="1">
        <f t="array" ref="V49">IFERROR(_xll.BDP($G49&amp;" ISIN","CHG_PCT_1D")/100,"")</f>
        <v/>
      </c>
      <c r="W49" s="87" t="str" cm="1">
        <f t="array" ref="W49">IFERROR(_xll.BDP($G49&amp;" ISIN","CHG_PCT_5D")/100,"")</f>
        <v/>
      </c>
      <c r="X49" s="87" t="e" cm="1">
        <f t="array" ref="X49">_xll.BDP($G49&amp;" ISIN","CHG_PCT_1M")/100</f>
        <v>#VALUE!</v>
      </c>
      <c r="Y49" s="87" t="e" cm="1">
        <f t="array" ref="Y49">_xll.BDP($G49&amp;" ISIN","CHG_PCT_3M")/100</f>
        <v>#VALUE!</v>
      </c>
      <c r="Z49" s="87" t="e" cm="1">
        <f t="array" ref="Z49">_xll.BDP($G49&amp;" ISIN","CHG_PCT_6M")/100</f>
        <v>#VALUE!</v>
      </c>
      <c r="AA49" s="87" t="e" cm="1">
        <f t="array" ref="AA49">_xll.BDP($G49&amp;" ISIN","CHG_PCT_YTD")/100</f>
        <v>#VALUE!</v>
      </c>
      <c r="AB49" s="87" t="e">
        <f t="shared" si="22"/>
        <v>#VALUE!</v>
      </c>
      <c r="AC49" s="98" t="e">
        <f t="shared" ca="1" si="15"/>
        <v>#VALUE!</v>
      </c>
      <c r="AD49" s="88" t="str">
        <f>_xll.BDP(AI49,"DS199")</f>
        <v>#N/A Connection</v>
      </c>
      <c r="AE49" s="99" t="str">
        <f>_xll.BDP(AI49,"px_ask")</f>
        <v>#N/A Connection</v>
      </c>
      <c r="AF49" s="98" t="e">
        <f>IF(F49="USD",O49,(((_xll.BDP(F49&amp;"USD CURNCY","PX_LAST")))*O49))</f>
        <v>#VALUE!</v>
      </c>
      <c r="AG49" s="100">
        <f t="shared" si="16"/>
        <v>300900</v>
      </c>
      <c r="AH49" s="100" t="e">
        <f t="shared" si="17"/>
        <v>#VALUE!</v>
      </c>
      <c r="AI49" s="88" t="str">
        <f t="shared" si="18"/>
        <v>XS2393498204 ISIN</v>
      </c>
      <c r="AJ49" s="88" t="e" cm="1">
        <f t="array" ref="AJ49">VLOOKUP(IF(NOT(_xll.BDP($G49&amp;" CORP",$CA$5)="#N/A N/A"),(_xll.BDP($G49&amp;" CORP",$CA$5)),"-"), '[1]Country Codes'!$A$2:$B$253,2,0)</f>
        <v>#N/A</v>
      </c>
      <c r="AK49" s="88" t="str" cm="1">
        <f t="array" ref="AK49">IF(OR(_xll.BDP($AI49,"EX028")= "#N/A N/A", _xll.BDP($AI49,"EX028")="#N/A FIELD NOT APPLICABLE"), " ", _xll.BDP($AI49,"EX028"))</f>
        <v>#N/A Connection</v>
      </c>
      <c r="AL49" s="38" t="str">
        <f>(IF(_xll.BDP($AI49&amp;" ISIN","DZ282")="Y","Single line Bonds Cocos","Single line Bonds ex Cocos"))</f>
        <v>Single line Bonds ex Cocos</v>
      </c>
      <c r="AM49" s="97" t="str">
        <f>(IF(_xll.BDP($G49&amp;" ISIN","SP153")="#n/a n/a"," ",_xll.BDP($G49&amp;" ISIN","SP153")))</f>
        <v>#N/A Connection</v>
      </c>
      <c r="AN49" s="95">
        <f t="shared" ca="1" si="19"/>
        <v>45783</v>
      </c>
      <c r="AO49" s="100" t="e">
        <f>(((_xll.BDP(AI49,"DS032"))/360)*I49)*O49</f>
        <v>#VALUE!</v>
      </c>
      <c r="AP49" s="100" t="e">
        <f>IF(F49="USD",AO49,(((_xll.BDP(F49&amp;"USD CURNCY","PX_LAST")))*AO49))</f>
        <v>#VALUE!</v>
      </c>
      <c r="AQ49" s="87" t="e">
        <f>S49/#REF!</f>
        <v>#VALUE!</v>
      </c>
      <c r="AR49" s="100" t="e">
        <f t="shared" si="20"/>
        <v>#VALUE!</v>
      </c>
      <c r="AS49" s="99" t="str">
        <f>IF((TEXT(_xll.BDP(AI49,"MATURITY"),"DD/MM/YYYY")="#N/A Field Not Applicable"),"Perp",_xll.BDP(AI49,"DS252"))</f>
        <v>#N/A Connection</v>
      </c>
      <c r="AT49" s="38" t="str">
        <f>(IF(_xll.BDP($AI49&amp;" ISIN","DT247")="Y","Yes","No"))</f>
        <v>No</v>
      </c>
      <c r="AU49" s="38" t="str">
        <f>PROPER(IF(OR(_xll.BDP($AI49,"CPN_TYP")="#n/a N/A",_xll.BDP($AI49,"CPN_TYP")= "#N/A FIELD NOT APPLICABLE"), " ", _xll.BDP($AI49,"CPN_TYP")))</f>
        <v>#N/A Connection</v>
      </c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38" t="str">
        <f t="shared" si="21"/>
        <v>XS2393498204</v>
      </c>
      <c r="BH49" s="38">
        <v>0.56000000000000005</v>
      </c>
      <c r="BI49" s="94">
        <v>3</v>
      </c>
      <c r="BJ49" s="19">
        <v>44482</v>
      </c>
      <c r="BK49" s="96"/>
      <c r="BL49" s="101"/>
    </row>
    <row r="50" spans="1:64" s="77" customFormat="1" ht="14.45" customHeight="1" x14ac:dyDescent="0.25">
      <c r="A50" s="81" t="s">
        <v>242</v>
      </c>
      <c r="B50" s="81" t="s">
        <v>332</v>
      </c>
      <c r="C50" s="81" t="s">
        <v>333</v>
      </c>
      <c r="D50" s="81" t="s">
        <v>248</v>
      </c>
      <c r="E50" s="88" t="str">
        <f>_xll.BDP(AI50,"ds520")</f>
        <v>#N/A Connection</v>
      </c>
      <c r="F50" s="88" t="str">
        <f>_xll.BDP(AI50,"crncy")</f>
        <v>#N/A Connection</v>
      </c>
      <c r="G50" s="5" t="s">
        <v>185</v>
      </c>
      <c r="H50" s="88" t="str">
        <f>IF(_xll.BDP(AI50,"RTG_MOODY")="#N/A N/A","N/A",_xll.BDP(AI50,"RTG_MOODY"))&amp;","&amp;IF(_xll.BDP(AI50,"RTG_FITCH")="#N/A N/A","N/A",_xll.BDP(AI50,"RTG_FITCH"))&amp;","&amp;IF(_xll.BDP(AI50,"RTG_SP")="#N/A N/A","N/A",_xll.BDP(AI50,"RTG_SP"))</f>
        <v>#N/A Connection,#N/A Connection,#N/A Connection</v>
      </c>
      <c r="I50" s="38" t="e">
        <f>_xll.BDP(AI50,"cpn")/100</f>
        <v>#VALUE!</v>
      </c>
      <c r="J50" s="38" t="e">
        <f ca="1">_xll.BDP($G50&amp;" isin","YAS_BOND_YLD", "YAS_YLD_FLAG=15", "user_local_trade_date",AN50,"Yas_bond_px",$Q50)/100</f>
        <v>#VALUE!</v>
      </c>
      <c r="K50" s="88" t="str">
        <f>_xll.BDP(AI50,"PAYMENT_RANK")</f>
        <v>#N/A Connection</v>
      </c>
      <c r="L50" s="88" t="str">
        <f>IF((TEXT(_xll.BDP(AI50,"MATURITY"),"DD/MM/YYYY")="#N/A Field Not Applicable"),"Perp",TEXT(_xll.BDP(AI50,"MATURITY"),"DD/MM/YYYY"))</f>
        <v>#N/A Connection</v>
      </c>
      <c r="M50" s="97" t="str">
        <f>(IF(_xll.BDP($AI50&amp;" ISIN","DU003")="#n/a n/a"," ",_xll.BDP($AI50&amp;" ISIN","DU003")))</f>
        <v>#N/A Connection</v>
      </c>
      <c r="N50" s="88" t="str">
        <f>IF(_xll.BDP(AI50,"CALLABLE")="Y",_xll.BDP(AI50,"NXT_CALL_DT")," ")</f>
        <v xml:space="preserve"> </v>
      </c>
      <c r="O50" s="9">
        <v>200000</v>
      </c>
      <c r="P50" s="5">
        <v>94.198999999999998</v>
      </c>
      <c r="Q50" s="99" t="str">
        <f>_xll.BDP(AI50,"px_bid")</f>
        <v>#N/A Connection</v>
      </c>
      <c r="R50" s="100" t="e">
        <f>IF(F50="USD",AG50,(((_xll.BDP(F50&amp;"USD CURNCY","PX_LAST")))*AG50))</f>
        <v>#VALUE!</v>
      </c>
      <c r="S50" s="100" t="e">
        <f>IF(F50="USD",AH50,(((_xll.BDP(F50&amp;"USD CURNCY","PX_LAST")))*AH50))+AP50</f>
        <v>#VALUE!</v>
      </c>
      <c r="T50" s="86" t="e">
        <f t="shared" si="13"/>
        <v>#VALUE!</v>
      </c>
      <c r="U50" s="87" t="e">
        <f t="shared" si="14"/>
        <v>#VALUE!</v>
      </c>
      <c r="V50" s="87" t="str" cm="1">
        <f t="array" ref="V50">IFERROR(_xll.BDP($G50&amp;" ISIN","CHG_PCT_1D")/100,"")</f>
        <v/>
      </c>
      <c r="W50" s="87" t="str" cm="1">
        <f t="array" ref="W50">IFERROR(_xll.BDP($G50&amp;" ISIN","CHG_PCT_5D")/100,"")</f>
        <v/>
      </c>
      <c r="X50" s="87" t="e" cm="1">
        <f t="array" ref="X50">_xll.BDP($G50&amp;" ISIN","CHG_PCT_1M")/100</f>
        <v>#VALUE!</v>
      </c>
      <c r="Y50" s="87" t="e" cm="1">
        <f t="array" ref="Y50">_xll.BDP($G50&amp;" ISIN","CHG_PCT_3M")/100</f>
        <v>#VALUE!</v>
      </c>
      <c r="Z50" s="87" t="e" cm="1">
        <f t="array" ref="Z50">_xll.BDP($G50&amp;" ISIN","CHG_PCT_6M")/100</f>
        <v>#VALUE!</v>
      </c>
      <c r="AA50" s="87" t="e" cm="1">
        <f t="array" ref="AA50">_xll.BDP($G50&amp;" ISIN","CHG_PCT_YTD")/100</f>
        <v>#VALUE!</v>
      </c>
      <c r="AB50" s="87" t="e">
        <f t="shared" si="22"/>
        <v>#VALUE!</v>
      </c>
      <c r="AC50" s="98" t="e">
        <f t="shared" ca="1" si="15"/>
        <v>#VALUE!</v>
      </c>
      <c r="AD50" s="88" t="str">
        <f>_xll.BDP(AI50,"DS199")</f>
        <v>#N/A Connection</v>
      </c>
      <c r="AE50" s="99" t="str">
        <f>_xll.BDP(AI50,"px_ask")</f>
        <v>#N/A Connection</v>
      </c>
      <c r="AF50" s="98" t="e">
        <f>IF(F50="USD",O50,(((_xll.BDP(F50&amp;"USD CURNCY","PX_LAST")))*O50))</f>
        <v>#VALUE!</v>
      </c>
      <c r="AG50" s="100">
        <f t="shared" si="16"/>
        <v>188398</v>
      </c>
      <c r="AH50" s="100" t="e">
        <f t="shared" si="17"/>
        <v>#VALUE!</v>
      </c>
      <c r="AI50" s="88" t="str">
        <f t="shared" si="18"/>
        <v>XS2907245208 ISIN</v>
      </c>
      <c r="AJ50" s="88" t="e" cm="1">
        <f t="array" ref="AJ50">VLOOKUP(IF(NOT(_xll.BDP($G50&amp;" CORP",$CA$5)="#N/A N/A"),(_xll.BDP($G50&amp;" CORP",$CA$5)),"-"), '[1]Country Codes'!$A$2:$B$253,2,0)</f>
        <v>#N/A</v>
      </c>
      <c r="AK50" s="88" t="str" cm="1">
        <f t="array" ref="AK50">IF(OR(_xll.BDP($AI50,"EX028")= "#N/A N/A", _xll.BDP($AI50,"EX028")="#N/A FIELD NOT APPLICABLE"), " ", _xll.BDP($AI50,"EX028"))</f>
        <v>#N/A Connection</v>
      </c>
      <c r="AL50" s="38" t="str">
        <f>(IF(_xll.BDP($AI50&amp;" ISIN","DZ282")="Y","Single line Bonds Cocos","Single line Bonds ex Cocos"))</f>
        <v>Single line Bonds ex Cocos</v>
      </c>
      <c r="AM50" s="97" t="str">
        <f>(IF(_xll.BDP($G50&amp;" ISIN","SP153")="#n/a n/a"," ",_xll.BDP($G50&amp;" ISIN","SP153")))</f>
        <v>#N/A Connection</v>
      </c>
      <c r="AN50" s="95">
        <f t="shared" ca="1" si="19"/>
        <v>45783</v>
      </c>
      <c r="AO50" s="100" t="e">
        <f>(((_xll.BDP(AI50,"DS032"))/360)*I50)*O50</f>
        <v>#VALUE!</v>
      </c>
      <c r="AP50" s="100" t="e">
        <f>IF(F50="USD",AO50,(((_xll.BDP(F50&amp;"USD CURNCY","PX_LAST")))*AO50))</f>
        <v>#VALUE!</v>
      </c>
      <c r="AQ50" s="87" t="e">
        <f>S50/#REF!</f>
        <v>#VALUE!</v>
      </c>
      <c r="AR50" s="100" t="e">
        <f t="shared" si="20"/>
        <v>#VALUE!</v>
      </c>
      <c r="AS50" s="99" t="str">
        <f>IF((TEXT(_xll.BDP(AI50,"MATURITY"),"DD/MM/YYYY")="#N/A Field Not Applicable"),"Perp",_xll.BDP(AI50,"DS252"))</f>
        <v>#N/A Connection</v>
      </c>
      <c r="AT50" s="38" t="str">
        <f>(IF(_xll.BDP($AI50&amp;" ISIN","DT247")="Y","Yes","No"))</f>
        <v>No</v>
      </c>
      <c r="AU50" s="38" t="str">
        <f>PROPER(IF(OR(_xll.BDP($AI50,"CPN_TYP")="#n/a N/A",_xll.BDP($AI50,"CPN_TYP")= "#N/A FIELD NOT APPLICABLE"), " ", _xll.BDP($AI50,"CPN_TYP")))</f>
        <v>#N/A Connection</v>
      </c>
      <c r="AV50" s="101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  <c r="BG50" s="38" t="str">
        <f t="shared" si="21"/>
        <v>XS2907245208</v>
      </c>
      <c r="BH50" s="38">
        <v>0.68559999999999999</v>
      </c>
      <c r="BI50" s="94">
        <v>3</v>
      </c>
      <c r="BJ50" s="19">
        <v>45596</v>
      </c>
      <c r="BK50" s="96"/>
      <c r="BL50" s="101"/>
    </row>
    <row r="51" spans="1:64" s="101" customFormat="1" ht="14.45" customHeight="1" x14ac:dyDescent="0.25">
      <c r="A51" s="49" t="s">
        <v>242</v>
      </c>
      <c r="B51" s="49" t="s">
        <v>332</v>
      </c>
      <c r="C51" s="49" t="s">
        <v>333</v>
      </c>
      <c r="D51" s="49" t="s">
        <v>248</v>
      </c>
      <c r="E51" s="4" t="str">
        <f>_xll.BDP(AI51,"ds520")</f>
        <v>#N/A Connection</v>
      </c>
      <c r="F51" s="4" t="str">
        <f>_xll.BDP(AI51,"crncy")</f>
        <v>#N/A Connection</v>
      </c>
      <c r="G51" s="5" t="s">
        <v>186</v>
      </c>
      <c r="H51" s="4" t="str">
        <f>IF(_xll.BDP(AI51,"RTG_MOODY")="#N/A N/A","N/A",_xll.BDP(AI51,"RTG_MOODY"))&amp;","&amp;IF(_xll.BDP(AI51,"RTG_FITCH")="#N/A N/A","N/A",_xll.BDP(AI51,"RTG_FITCH"))&amp;","&amp;IF(_xll.BDP(AI51,"RTG_SP")="#N/A N/A","N/A",_xll.BDP(AI51,"RTG_SP"))</f>
        <v>#N/A Connection,#N/A Connection,#N/A Connection</v>
      </c>
      <c r="I51" s="7" t="e">
        <f>_xll.BDP(AI51,"cpn")/100</f>
        <v>#VALUE!</v>
      </c>
      <c r="J51" s="7" t="e">
        <f ca="1">_xll.BDP($G51&amp;" isin","YAS_BOND_YLD", "YAS_YLD_FLAG=15", "user_local_trade_date",AN51,"Yas_bond_px",$Q51)/100</f>
        <v>#VALUE!</v>
      </c>
      <c r="K51" s="4" t="str">
        <f>_xll.BDP(AI51,"PAYMENT_RANK")</f>
        <v>#N/A Connection</v>
      </c>
      <c r="L51" s="4" t="str">
        <f>IF((TEXT(_xll.BDP(AI51,"MATURITY"),"DD/MM/YYYY")="#N/A Field Not Applicable"),"Perp",TEXT(_xll.BDP(AI51,"MATURITY"),"DD/MM/YYYY"))</f>
        <v>#N/A Connection</v>
      </c>
      <c r="M51" s="8" t="str">
        <f>(IF(_xll.BDP($AI51&amp;" ISIN","DU003")="#n/a n/a"," ",_xll.BDP($AI51&amp;" ISIN","DU003")))</f>
        <v>#N/A Connection</v>
      </c>
      <c r="N51" s="4" t="str">
        <f>IF(_xll.BDP(AI51,"CALLABLE")="Y",_xll.BDP(AI51,"NXT_CALL_DT")," ")</f>
        <v xml:space="preserve"> </v>
      </c>
      <c r="O51" s="9">
        <v>300000</v>
      </c>
      <c r="P51" s="5">
        <v>100.3</v>
      </c>
      <c r="Q51" s="10" t="str">
        <f>_xll.BDP(AI51,"px_bid")</f>
        <v>#N/A Connection</v>
      </c>
      <c r="R51" s="11" t="e">
        <f>IF(F51="USD",AG51,(((_xll.BDP(F51&amp;"USD CURNCY","PX_LAST")))*AG51))</f>
        <v>#VALUE!</v>
      </c>
      <c r="S51" s="11" t="e">
        <f>IF(F51="USD",AH51,(((_xll.BDP(F51&amp;"USD CURNCY","PX_LAST")))*AH51))+AP51</f>
        <v>#VALUE!</v>
      </c>
      <c r="T51" s="12" t="e">
        <f t="shared" si="13"/>
        <v>#VALUE!</v>
      </c>
      <c r="U51" s="13" t="e">
        <f t="shared" si="14"/>
        <v>#VALUE!</v>
      </c>
      <c r="V51" s="13" t="str" cm="1">
        <f t="array" ref="V51">IFERROR(_xll.BDP($G51&amp;" ISIN","CHG_PCT_1D")/100,"")</f>
        <v/>
      </c>
      <c r="W51" s="13" t="str" cm="1">
        <f t="array" ref="W51">IFERROR(_xll.BDP($G51&amp;" ISIN","CHG_PCT_5D")/100,"")</f>
        <v/>
      </c>
      <c r="X51" s="13" t="e" cm="1">
        <f t="array" ref="X51">_xll.BDP($G51&amp;" ISIN","CHG_PCT_1M")/100</f>
        <v>#VALUE!</v>
      </c>
      <c r="Y51" s="13" t="e" cm="1">
        <f t="array" ref="Y51">_xll.BDP($G51&amp;" ISIN","CHG_PCT_3M")/100</f>
        <v>#VALUE!</v>
      </c>
      <c r="Z51" s="13" t="e" cm="1">
        <f t="array" ref="Z51">_xll.BDP($G51&amp;" ISIN","CHG_PCT_6M")/100</f>
        <v>#VALUE!</v>
      </c>
      <c r="AA51" s="13" t="e" cm="1">
        <f t="array" ref="AA51">_xll.BDP($G51&amp;" ISIN","CHG_PCT_YTD")/100</f>
        <v>#VALUE!</v>
      </c>
      <c r="AB51" s="13" t="e">
        <f t="shared" si="22"/>
        <v>#VALUE!</v>
      </c>
      <c r="AC51" s="14" t="e">
        <f t="shared" ca="1" si="15"/>
        <v>#VALUE!</v>
      </c>
      <c r="AD51" s="4" t="str">
        <f>_xll.BDP(AI51,"DS199")</f>
        <v>#N/A Connection</v>
      </c>
      <c r="AE51" s="10" t="str">
        <f>_xll.BDP(AI51,"px_ask")</f>
        <v>#N/A Connection</v>
      </c>
      <c r="AF51" s="14" t="e">
        <f>IF(F51="USD",O51,(((_xll.BDP(F51&amp;"USD CURNCY","PX_LAST")))*O51))</f>
        <v>#VALUE!</v>
      </c>
      <c r="AG51" s="11">
        <f t="shared" si="16"/>
        <v>300900</v>
      </c>
      <c r="AH51" s="11" t="e">
        <f t="shared" si="17"/>
        <v>#VALUE!</v>
      </c>
      <c r="AI51" s="4" t="str">
        <f t="shared" si="18"/>
        <v>XS2244837592 ISIN</v>
      </c>
      <c r="AJ51" s="4" t="e" cm="1">
        <f t="array" ref="AJ51">VLOOKUP(IF(NOT(_xll.BDP($G51&amp;" CORP",$CA$5)="#N/A N/A"),(_xll.BDP($G51&amp;" CORP",$CA$5)),"-"), '[1]Country Codes'!$A$2:$B$253,2,0)</f>
        <v>#N/A</v>
      </c>
      <c r="AK51" s="4" t="str" cm="1">
        <f t="array" ref="AK51">IF(OR(_xll.BDP($AI51,"EX028")= "#N/A N/A", _xll.BDP($AI51,"EX028")="#N/A FIELD NOT APPLICABLE"), " ", _xll.BDP($AI51,"EX028"))</f>
        <v>#N/A Connection</v>
      </c>
      <c r="AL51" s="15" t="str">
        <f>(IF(_xll.BDP($AI51&amp;" ISIN","DZ282")="Y","Single line Bonds Cocos","Single line Bonds ex Cocos"))</f>
        <v>Single line Bonds ex Cocos</v>
      </c>
      <c r="AM51" s="8" t="str">
        <f>(IF(_xll.BDP($G51&amp;" ISIN","SP153")="#n/a n/a"," ",_xll.BDP($G51&amp;" ISIN","SP153")))</f>
        <v>#N/A Connection</v>
      </c>
      <c r="AN51" s="16">
        <f t="shared" ca="1" si="19"/>
        <v>45783</v>
      </c>
      <c r="AO51" s="11" t="e">
        <f>(((_xll.BDP(AI51,"DS032"))/360)*I51)*O51</f>
        <v>#VALUE!</v>
      </c>
      <c r="AP51" s="11" t="e">
        <f>IF(F51="USD",AO51,(((_xll.BDP(F51&amp;"USD CURNCY","PX_LAST")))*AO51))</f>
        <v>#VALUE!</v>
      </c>
      <c r="AQ51" s="13" t="e">
        <f>S51/#REF!</f>
        <v>#VALUE!</v>
      </c>
      <c r="AR51" s="11" t="e">
        <f t="shared" si="20"/>
        <v>#VALUE!</v>
      </c>
      <c r="AS51" s="10" t="str">
        <f>IF((TEXT(_xll.BDP(AI51,"MATURITY"),"DD/MM/YYYY")="#N/A Field Not Applicable"),"Perp",_xll.BDP(AI51,"DS252"))</f>
        <v>#N/A Connection</v>
      </c>
      <c r="AT51" s="15" t="str">
        <f>(IF(_xll.BDP($AI51&amp;" ISIN","DT247")="Y","Yes","No"))</f>
        <v>No</v>
      </c>
      <c r="AU51" s="15" t="str">
        <f>PROPER(IF(OR(_xll.BDP($AI51,"CPN_TYP")="#n/a N/A",_xll.BDP($AI51,"CPN_TYP")= "#N/A FIELD NOT APPLICABLE"), " ", _xll.BDP($AI51,"CPN_TYP")))</f>
        <v>#N/A Connection</v>
      </c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17" t="str">
        <f t="shared" si="21"/>
        <v>XS2244837592</v>
      </c>
      <c r="BH51" s="17">
        <v>0.79849999999999999</v>
      </c>
      <c r="BI51" s="18" t="s">
        <v>147</v>
      </c>
      <c r="BJ51" s="19">
        <v>44244</v>
      </c>
      <c r="BK51" s="20"/>
      <c r="BL51" s="21"/>
    </row>
    <row r="52" spans="1:64" s="78" customFormat="1" ht="14.45" customHeight="1" x14ac:dyDescent="0.25">
      <c r="A52" s="49" t="s">
        <v>242</v>
      </c>
      <c r="B52" s="49" t="s">
        <v>332</v>
      </c>
      <c r="C52" s="49" t="s">
        <v>333</v>
      </c>
      <c r="D52" s="49" t="s">
        <v>248</v>
      </c>
      <c r="E52" s="4" t="str">
        <f>_xll.BDP(AI52,"ds520")</f>
        <v>#N/A Connection</v>
      </c>
      <c r="F52" s="4" t="str">
        <f>_xll.BDP(AI52,"crncy")</f>
        <v>#N/A Connection</v>
      </c>
      <c r="G52" s="5" t="s">
        <v>187</v>
      </c>
      <c r="H52" s="4" t="str">
        <f>IF(_xll.BDP(AI52,"RTG_MOODY")="#N/A N/A","N/A",_xll.BDP(AI52,"RTG_MOODY"))&amp;","&amp;IF(_xll.BDP(AI52,"RTG_FITCH")="#N/A N/A","N/A",_xll.BDP(AI52,"RTG_FITCH"))&amp;","&amp;IF(_xll.BDP(AI52,"RTG_SP")="#N/A N/A","N/A",_xll.BDP(AI52,"RTG_SP"))</f>
        <v>#N/A Connection,#N/A Connection,#N/A Connection</v>
      </c>
      <c r="I52" s="7" t="e">
        <f>_xll.BDP(AI52,"cpn")/100</f>
        <v>#VALUE!</v>
      </c>
      <c r="J52" s="7" t="e">
        <f ca="1">_xll.BDP($G52&amp;" isin","YAS_BOND_YLD", "YAS_YLD_FLAG=15", "user_local_trade_date",AN52,"Yas_bond_px",$Q52)/100</f>
        <v>#VALUE!</v>
      </c>
      <c r="K52" s="4" t="str">
        <f>_xll.BDP(AI52,"PAYMENT_RANK")</f>
        <v>#N/A Connection</v>
      </c>
      <c r="L52" s="4" t="str">
        <f>IF((TEXT(_xll.BDP(AI52,"MATURITY"),"DD/MM/YYYY")="#N/A Field Not Applicable"),"Perp",TEXT(_xll.BDP(AI52,"MATURITY"),"DD/MM/YYYY"))</f>
        <v>#N/A Connection</v>
      </c>
      <c r="M52" s="8" t="str">
        <f>(IF(_xll.BDP($AI52&amp;" ISIN","DU003")="#n/a n/a"," ",_xll.BDP($AI52&amp;" ISIN","DU003")))</f>
        <v>#N/A Connection</v>
      </c>
      <c r="N52" s="4" t="str">
        <f>IF(_xll.BDP(AI52,"CALLABLE")="Y",_xll.BDP(AI52,"NXT_CALL_DT")," ")</f>
        <v xml:space="preserve"> </v>
      </c>
      <c r="O52" s="9">
        <v>200000</v>
      </c>
      <c r="P52" s="5">
        <v>99.933999999999997</v>
      </c>
      <c r="Q52" s="10" t="str">
        <f>_xll.BDP(AI52,"px_bid")</f>
        <v>#N/A Connection</v>
      </c>
      <c r="R52" s="11" t="e">
        <f>IF(F52="USD",AG52,(((_xll.BDP(F52&amp;"USD CURNCY","PX_LAST")))*AG52))</f>
        <v>#VALUE!</v>
      </c>
      <c r="S52" s="11" t="e">
        <f>IF(F52="USD",AH52,(((_xll.BDP(F52&amp;"USD CURNCY","PX_LAST")))*AH52))+AP52</f>
        <v>#VALUE!</v>
      </c>
      <c r="T52" s="12" t="e">
        <f t="shared" si="13"/>
        <v>#VALUE!</v>
      </c>
      <c r="U52" s="13" t="e">
        <f t="shared" si="14"/>
        <v>#VALUE!</v>
      </c>
      <c r="V52" s="13" t="str" cm="1">
        <f t="array" ref="V52">IFERROR(_xll.BDP($G52&amp;" ISIN","CHG_PCT_1D")/100,"")</f>
        <v/>
      </c>
      <c r="W52" s="13" t="str" cm="1">
        <f t="array" ref="W52">IFERROR(_xll.BDP($G52&amp;" ISIN","CHG_PCT_5D")/100,"")</f>
        <v/>
      </c>
      <c r="X52" s="13" t="e" cm="1">
        <f t="array" ref="X52">_xll.BDP($G52&amp;" ISIN","CHG_PCT_1M")/100</f>
        <v>#VALUE!</v>
      </c>
      <c r="Y52" s="13" t="e" cm="1">
        <f t="array" ref="Y52">_xll.BDP($G52&amp;" ISIN","CHG_PCT_3M")/100</f>
        <v>#VALUE!</v>
      </c>
      <c r="Z52" s="13" t="e" cm="1">
        <f t="array" ref="Z52">_xll.BDP($G52&amp;" ISIN","CHG_PCT_6M")/100</f>
        <v>#VALUE!</v>
      </c>
      <c r="AA52" s="13" t="e" cm="1">
        <f t="array" ref="AA52">_xll.BDP($G52&amp;" ISIN","CHG_PCT_YTD")/100</f>
        <v>#VALUE!</v>
      </c>
      <c r="AB52" s="13" t="e">
        <f t="shared" si="22"/>
        <v>#VALUE!</v>
      </c>
      <c r="AC52" s="14" t="e">
        <f t="shared" ca="1" si="15"/>
        <v>#VALUE!</v>
      </c>
      <c r="AD52" s="4" t="str">
        <f>_xll.BDP(AI52,"DS199")</f>
        <v>#N/A Connection</v>
      </c>
      <c r="AE52" s="10" t="str">
        <f>_xll.BDP(AI52,"px_ask")</f>
        <v>#N/A Connection</v>
      </c>
      <c r="AF52" s="14" t="e">
        <f>IF(F52="USD",O52,(((_xll.BDP(F52&amp;"USD CURNCY","PX_LAST")))*O52))</f>
        <v>#VALUE!</v>
      </c>
      <c r="AG52" s="11">
        <f t="shared" si="16"/>
        <v>199868</v>
      </c>
      <c r="AH52" s="11" t="e">
        <f t="shared" si="17"/>
        <v>#VALUE!</v>
      </c>
      <c r="AI52" s="4" t="str">
        <f t="shared" si="18"/>
        <v>US06738EBP97 ISIN</v>
      </c>
      <c r="AJ52" s="4" t="e" cm="1">
        <f t="array" ref="AJ52">VLOOKUP(IF(NOT(_xll.BDP($G52&amp;" CORP",$CA$5)="#N/A N/A"),(_xll.BDP($G52&amp;" CORP",$CA$5)),"-"), '[1]Country Codes'!$A$2:$B$253,2,0)</f>
        <v>#N/A</v>
      </c>
      <c r="AK52" s="4" t="str" cm="1">
        <f t="array" ref="AK52">IF(OR(_xll.BDP($AI52,"EX028")= "#N/A N/A", _xll.BDP($AI52,"EX028")="#N/A FIELD NOT APPLICABLE"), " ", _xll.BDP($AI52,"EX028"))</f>
        <v>#N/A Connection</v>
      </c>
      <c r="AL52" s="15" t="str">
        <f>(IF(_xll.BDP($AI52&amp;" ISIN","DZ282")="Y","Single line Bonds Cocos","Single line Bonds ex Cocos"))</f>
        <v>Single line Bonds ex Cocos</v>
      </c>
      <c r="AM52" s="8" t="str">
        <f>(IF(_xll.BDP($G52&amp;" ISIN","SP153")="#n/a n/a"," ",_xll.BDP($G52&amp;" ISIN","SP153")))</f>
        <v>#N/A Connection</v>
      </c>
      <c r="AN52" s="16">
        <f t="shared" ca="1" si="19"/>
        <v>45783</v>
      </c>
      <c r="AO52" s="11" t="e">
        <f>(((_xll.BDP(AI52,"DS032"))/360)*I52)*O52</f>
        <v>#VALUE!</v>
      </c>
      <c r="AP52" s="11" t="e">
        <f>IF(F52="USD",AO52,(((_xll.BDP(F52&amp;"USD CURNCY","PX_LAST")))*AO52))</f>
        <v>#VALUE!</v>
      </c>
      <c r="AQ52" s="13" t="e">
        <f>S52/#REF!</f>
        <v>#VALUE!</v>
      </c>
      <c r="AR52" s="11" t="e">
        <f t="shared" si="20"/>
        <v>#VALUE!</v>
      </c>
      <c r="AS52" s="10" t="str">
        <f>IF((TEXT(_xll.BDP(AI52,"MATURITY"),"DD/MM/YYYY")="#N/A Field Not Applicable"),"Perp",_xll.BDP(AI52,"DS252"))</f>
        <v>#N/A Connection</v>
      </c>
      <c r="AT52" s="15" t="str">
        <f>(IF(_xll.BDP($AI52&amp;" ISIN","DT247")="Y","Yes","No"))</f>
        <v>No</v>
      </c>
      <c r="AU52" s="15" t="str">
        <f>PROPER(IF(OR(_xll.BDP($AI52,"CPN_TYP")="#n/a N/A",_xll.BDP($AI52,"CPN_TYP")= "#N/A FIELD NOT APPLICABLE"), " ", _xll.BDP($AI52,"CPN_TYP")))</f>
        <v>#N/A Connection</v>
      </c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17" t="str">
        <f t="shared" si="21"/>
        <v>US06738EBP97</v>
      </c>
      <c r="BH52" s="17">
        <v>0.4204</v>
      </c>
      <c r="BI52" s="18">
        <v>4</v>
      </c>
      <c r="BJ52" s="19">
        <v>44118</v>
      </c>
      <c r="BK52" s="20"/>
      <c r="BL52" s="21"/>
    </row>
    <row r="53" spans="1:64" s="101" customFormat="1" ht="14.45" customHeight="1" x14ac:dyDescent="0.25">
      <c r="A53" s="49" t="s">
        <v>242</v>
      </c>
      <c r="B53" s="49" t="s">
        <v>332</v>
      </c>
      <c r="C53" s="49" t="s">
        <v>333</v>
      </c>
      <c r="D53" s="49" t="s">
        <v>248</v>
      </c>
      <c r="E53" s="4" t="str">
        <f>_xll.BDP(AI53,"ds520")</f>
        <v>Gaci First Investment Co</v>
      </c>
      <c r="F53" s="4" t="str">
        <f>_xll.BDP(AI53,"crncy")</f>
        <v>USD</v>
      </c>
      <c r="G53" s="5" t="s">
        <v>188</v>
      </c>
      <c r="H53" s="4" t="str">
        <f>IF(_xll.BDP(AI53,"RTG_MOODY")="#N/A N/A","N/A",_xll.BDP(AI53,"RTG_MOODY"))&amp;","&amp;IF(_xll.BDP(AI53,"RTG_FITCH")="#N/A N/A","N/A",_xll.BDP(AI53,"RTG_FITCH"))&amp;","&amp;IF(_xll.BDP(AI53,"RTG_SP")="#N/A N/A","N/A",_xll.BDP(AI53,"RTG_SP"))</f>
        <v>Aa3,A+,N/A</v>
      </c>
      <c r="I53" s="7">
        <f>_xll.BDP(AI53,"cpn")/100</f>
        <v>5.3749999999999999E-2</v>
      </c>
      <c r="J53" s="7">
        <f ca="1">_xll.BDP($G53&amp;" isin","YAS_BOND_YLD", "YAS_YLD_FLAG=15", "user_local_trade_date",AN53,"Yas_bond_px",$Q53)/100</f>
        <v>6.2666369999999999E-2</v>
      </c>
      <c r="K53" s="4" t="str">
        <f>_xll.BDP(AI53,"PAYMENT_RANK")</f>
        <v>Sr Unsecured</v>
      </c>
      <c r="L53" s="4" t="str">
        <f>IF((TEXT(_xll.BDP(AI53,"MATURITY"),"DD/MM/YYYY")="#N/A Field Not Applicable"),"Perp",TEXT(_xll.BDP(AI53,"MATURITY"),"DD/MM/YYYY"))</f>
        <v>29/01/2054</v>
      </c>
      <c r="M53" s="8">
        <f>(IF(_xll.BDP($AI53&amp;" ISIN","DU003")="#n/a n/a"," ",_xll.BDP($AI53&amp;" ISIN","DU003")))</f>
        <v>13.894283969589681</v>
      </c>
      <c r="N53" s="4" t="str">
        <f>IF(_xll.BDP(AI53,"CALLABLE")="Y",_xll.BDP(AI53,"NXT_CALL_DT")," ")</f>
        <v>29/07/2053</v>
      </c>
      <c r="O53" s="9">
        <v>300000</v>
      </c>
      <c r="P53" s="5">
        <v>87.64</v>
      </c>
      <c r="Q53" s="10">
        <f>_xll.BDP(AI53,"px_bid")</f>
        <v>88.179000000000002</v>
      </c>
      <c r="R53" s="11">
        <f>IF(F53="USD",AG53,(((_xll.BDP(F53&amp;"USD CURNCY","PX_LAST")))*AG53))</f>
        <v>262920</v>
      </c>
      <c r="S53" s="11">
        <f>IF(F53="USD",AH53,(((_xll.BDP(F53&amp;"USD CURNCY","PX_LAST")))*AH53))+AP53</f>
        <v>268702.625</v>
      </c>
      <c r="T53" s="12">
        <f t="shared" si="13"/>
        <v>1617.0000000000043</v>
      </c>
      <c r="U53" s="13">
        <f t="shared" si="14"/>
        <v>6.1501597444089621E-3</v>
      </c>
      <c r="V53" s="13" t="str" cm="1">
        <f t="array" ref="V53">IFERROR(_xll.BDP($G53&amp;" ISIN","CHG_PCT_1D")/100,"")</f>
        <v/>
      </c>
      <c r="W53" s="13" t="str" cm="1">
        <f t="array" ref="W53">IFERROR(_xll.BDP($G53&amp;" ISIN","CHG_PCT_5D")/100,"")</f>
        <v/>
      </c>
      <c r="X53" s="13" t="e" cm="1">
        <f t="array" ref="X53">_xll.BDP($G53&amp;" ISIN","CHG_PCT_1M")/100</f>
        <v>#VALUE!</v>
      </c>
      <c r="Y53" s="13" t="e" cm="1">
        <f t="array" ref="Y53">_xll.BDP($G53&amp;" ISIN","CHG_PCT_3M")/100</f>
        <v>#VALUE!</v>
      </c>
      <c r="Z53" s="13" t="e" cm="1">
        <f t="array" ref="Z53">_xll.BDP($G53&amp;" ISIN","CHG_PCT_6M")/100</f>
        <v>#VALUE!</v>
      </c>
      <c r="AA53" s="13" t="e" cm="1">
        <f t="array" ref="AA53">_xll.BDP($G53&amp;" ISIN","CHG_PCT_YTD")/100</f>
        <v>#VALUE!</v>
      </c>
      <c r="AB53" s="13" t="e">
        <f t="shared" si="22"/>
        <v>#VALUE!</v>
      </c>
      <c r="AC53" s="14">
        <f t="shared" ca="1" si="15"/>
        <v>19220.125000000004</v>
      </c>
      <c r="AD53" s="4" t="str">
        <f>_xll.BDP(AI53,"DS199")</f>
        <v>Financial</v>
      </c>
      <c r="AE53" s="10">
        <f>_xll.BDP(AI53,"px_ask")</f>
        <v>88.968000000000004</v>
      </c>
      <c r="AF53" s="14">
        <f>IF(F53="USD",O53,(((_xll.BDP(F53&amp;"USD CURNCY","PX_LAST")))*O53))</f>
        <v>300000</v>
      </c>
      <c r="AG53" s="11">
        <f t="shared" si="16"/>
        <v>262920</v>
      </c>
      <c r="AH53" s="11">
        <f t="shared" si="17"/>
        <v>264537</v>
      </c>
      <c r="AI53" s="4" t="str">
        <f t="shared" si="18"/>
        <v>XS2755904872 ISIN</v>
      </c>
      <c r="AJ53" s="4" t="e" cm="1">
        <f t="array" ref="AJ53">VLOOKUP(IF(NOT(_xll.BDP($G53&amp;" CORP",$CA$5)="#N/A N/A"),(_xll.BDP($G53&amp;" CORP",$CA$5)),"-"), '[1]Country Codes'!$A$2:$B$253,2,0)</f>
        <v>#N/A</v>
      </c>
      <c r="AK53" s="4" t="str" cm="1">
        <f t="array" ref="AK53">IF(OR(_xll.BDP($AI53,"EX028")= "#N/A N/A", _xll.BDP($AI53,"EX028")="#N/A FIELD NOT APPLICABLE"), " ", _xll.BDP($AI53,"EX028"))</f>
        <v>FixedIncome</v>
      </c>
      <c r="AL53" s="15" t="str">
        <f>(IF(_xll.BDP($AI53&amp;" ISIN","DZ282")="Y","Single line Bonds Cocos","Single line Bonds ex Cocos"))</f>
        <v>Single line Bonds ex Cocos</v>
      </c>
      <c r="AM53" s="8">
        <f>(IF(_xll.BDP($G53&amp;" ISIN","SP153")="#n/a n/a"," ",_xll.BDP($G53&amp;" ISIN","SP153")))</f>
        <v>244.54207102273691</v>
      </c>
      <c r="AN53" s="16">
        <f t="shared" ca="1" si="19"/>
        <v>45783</v>
      </c>
      <c r="AO53" s="11">
        <f>(((_xll.BDP(AI53,"DS032"))/360)*I53)*O53</f>
        <v>4165.625</v>
      </c>
      <c r="AP53" s="11">
        <f>IF(F53="USD",AO53,(((_xll.BDP(F53&amp;"USD CURNCY","PX_LAST")))*AO53))</f>
        <v>4165.625</v>
      </c>
      <c r="AQ53" s="13" t="e">
        <f>S53/#REF!</f>
        <v>#REF!</v>
      </c>
      <c r="AR53" s="11">
        <f t="shared" si="20"/>
        <v>264537</v>
      </c>
      <c r="AS53" s="10">
        <f>IF((TEXT(_xll.BDP(AI53,"MATURITY"),"DD/MM/YYYY")="#N/A Field Not Applicable"),"Perp",_xll.BDP(AI53,"DS252"))</f>
        <v>28.750171115674195</v>
      </c>
      <c r="AT53" s="15" t="str">
        <f>(IF(_xll.BDP($AI53&amp;" ISIN","DT247")="Y","Yes","No"))</f>
        <v>No</v>
      </c>
      <c r="AU53" s="15" t="str">
        <f>PROPER(IF(OR(_xll.BDP($AI53,"CPN_TYP")="#n/a N/A",_xll.BDP($AI53,"CPN_TYP")= "#N/A FIELD NOT APPLICABLE"), " ", _xll.BDP($AI53,"CPN_TYP")))</f>
        <v>Fixed</v>
      </c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17" t="str">
        <f t="shared" si="21"/>
        <v>XS2755904872</v>
      </c>
      <c r="BH53" s="17">
        <v>0.55000000000000004</v>
      </c>
      <c r="BI53" s="18">
        <v>2</v>
      </c>
      <c r="BJ53" s="19">
        <v>45390</v>
      </c>
      <c r="BK53" s="20"/>
      <c r="BL53" s="21"/>
    </row>
    <row r="54" spans="1:64" s="77" customFormat="1" ht="14.45" customHeight="1" x14ac:dyDescent="0.25">
      <c r="A54" s="102" t="s">
        <v>242</v>
      </c>
      <c r="B54" s="102" t="s">
        <v>332</v>
      </c>
      <c r="C54" s="102" t="s">
        <v>333</v>
      </c>
      <c r="D54" s="102" t="s">
        <v>248</v>
      </c>
      <c r="E54" s="103" t="str">
        <f>_xll.BDP(AI54,"ds520")</f>
        <v>#N/A Connection</v>
      </c>
      <c r="F54" s="103" t="str">
        <f>_xll.BDP(AI54,"crncy")</f>
        <v>#N/A Connection</v>
      </c>
      <c r="G54" s="5" t="s">
        <v>190</v>
      </c>
      <c r="H54" s="103" t="str">
        <f>IF(_xll.BDP(AI54,"RTG_MOODY")="#N/A N/A","N/A",_xll.BDP(AI54,"RTG_MOODY"))&amp;","&amp;IF(_xll.BDP(AI54,"RTG_FITCH")="#N/A N/A","N/A",_xll.BDP(AI54,"RTG_FITCH"))&amp;","&amp;IF(_xll.BDP(AI54,"RTG_SP")="#N/A N/A","N/A",_xll.BDP(AI54,"RTG_SP"))</f>
        <v>#N/A Connection,#N/A Connection,#N/A Connection</v>
      </c>
      <c r="I54" s="104" t="e">
        <f>_xll.BDP(AI54,"cpn")/100</f>
        <v>#VALUE!</v>
      </c>
      <c r="J54" s="104" t="e">
        <f ca="1">_xll.BDP($G54&amp;" isin","YAS_BOND_YLD", "YAS_YLD_FLAG=15", "user_local_trade_date",AN54,"Yas_bond_px",$Q54)/100</f>
        <v>#VALUE!</v>
      </c>
      <c r="K54" s="103" t="str">
        <f>_xll.BDP(AI54,"PAYMENT_RANK")</f>
        <v>#N/A Connection</v>
      </c>
      <c r="L54" s="103" t="str">
        <f>IF((TEXT(_xll.BDP(AI54,"MATURITY"),"DD/MM/YYYY")="#N/A Field Not Applicable"),"Perp",TEXT(_xll.BDP(AI54,"MATURITY"),"DD/MM/YYYY"))</f>
        <v>#N/A Connection</v>
      </c>
      <c r="M54" s="105" t="str">
        <f>(IF(_xll.BDP($AI54&amp;" ISIN","DU003")="#n/a n/a"," ",_xll.BDP($AI54&amp;" ISIN","DU003")))</f>
        <v>#N/A Connection</v>
      </c>
      <c r="N54" s="103" t="str">
        <f>IF(_xll.BDP(AI54,"CALLABLE")="Y",_xll.BDP(AI54,"NXT_CALL_DT")," ")</f>
        <v xml:space="preserve"> </v>
      </c>
      <c r="O54" s="9">
        <v>300000</v>
      </c>
      <c r="P54" s="5">
        <v>100.06399999999999</v>
      </c>
      <c r="Q54" s="107" t="str">
        <f>_xll.BDP(AI54,"px_bid")</f>
        <v>#N/A Connection</v>
      </c>
      <c r="R54" s="108" t="e">
        <f>IF(F54="USD",AG54,(((_xll.BDP(F54&amp;"USD CURNCY","PX_LAST")))*AG54))</f>
        <v>#VALUE!</v>
      </c>
      <c r="S54" s="108" t="e">
        <f>IF(F54="USD",AH54,(((_xll.BDP(F54&amp;"USD CURNCY","PX_LAST")))*AH54))+AP54</f>
        <v>#VALUE!</v>
      </c>
      <c r="T54" s="109" t="e">
        <f t="shared" si="13"/>
        <v>#VALUE!</v>
      </c>
      <c r="U54" s="110" t="e">
        <f t="shared" si="14"/>
        <v>#VALUE!</v>
      </c>
      <c r="V54" s="110" t="str" cm="1">
        <f t="array" ref="V54">IFERROR(_xll.BDP($G54&amp;" ISIN","CHG_PCT_1D")/100,"")</f>
        <v/>
      </c>
      <c r="W54" s="110" t="str" cm="1">
        <f t="array" ref="W54">IFERROR(_xll.BDP($G54&amp;" ISIN","CHG_PCT_5D")/100,"")</f>
        <v/>
      </c>
      <c r="X54" s="110" t="e" cm="1">
        <f t="array" ref="X54">_xll.BDP($G54&amp;" ISIN","CHG_PCT_1M")/100</f>
        <v>#VALUE!</v>
      </c>
      <c r="Y54" s="110" t="e" cm="1">
        <f t="array" ref="Y54">_xll.BDP($G54&amp;" ISIN","CHG_PCT_3M")/100</f>
        <v>#VALUE!</v>
      </c>
      <c r="Z54" s="110" t="e" cm="1">
        <f t="array" ref="Z54">_xll.BDP($G54&amp;" ISIN","CHG_PCT_6M")/100</f>
        <v>#VALUE!</v>
      </c>
      <c r="AA54" s="110" t="e" cm="1">
        <f t="array" ref="AA54">_xll.BDP($G54&amp;" ISIN","CHG_PCT_YTD")/100</f>
        <v>#VALUE!</v>
      </c>
      <c r="AB54" s="110" t="e">
        <f t="shared" si="22"/>
        <v>#VALUE!</v>
      </c>
      <c r="AC54" s="106" t="e">
        <f t="shared" ca="1" si="15"/>
        <v>#VALUE!</v>
      </c>
      <c r="AD54" s="103" t="str">
        <f>_xll.BDP(AI54,"DS199")</f>
        <v>#N/A Connection</v>
      </c>
      <c r="AE54" s="107" t="str">
        <f>_xll.BDP(AI54,"px_ask")</f>
        <v>#N/A Connection</v>
      </c>
      <c r="AF54" s="106" t="e">
        <f>IF(F54="USD",O54,(((_xll.BDP(F54&amp;"USD CURNCY","PX_LAST")))*O54))</f>
        <v>#VALUE!</v>
      </c>
      <c r="AG54" s="108">
        <f t="shared" si="16"/>
        <v>300191.99999999994</v>
      </c>
      <c r="AH54" s="108" t="e">
        <f t="shared" si="17"/>
        <v>#VALUE!</v>
      </c>
      <c r="AI54" s="103" t="str">
        <f t="shared" si="18"/>
        <v>USY3119PFH74 ISIN</v>
      </c>
      <c r="AJ54" s="103" t="e" cm="1">
        <f t="array" ref="AJ54">VLOOKUP(IF(NOT(_xll.BDP($G54&amp;" CORP",$CA$5)="#N/A N/A"),(_xll.BDP($G54&amp;" CORP",$CA$5)),"-"), '[1]Country Codes'!$A$2:$B$253,2,0)</f>
        <v>#N/A</v>
      </c>
      <c r="AK54" s="103" t="str" cm="1">
        <f t="array" ref="AK54">IF(OR(_xll.BDP($AI54,"EX028")= "#N/A N/A", _xll.BDP($AI54,"EX028")="#N/A FIELD NOT APPLICABLE"), " ", _xll.BDP($AI54,"EX028"))</f>
        <v>#N/A Connection</v>
      </c>
      <c r="AL54" s="104" t="str">
        <f>(IF(_xll.BDP($AI54&amp;" ISIN","DZ282")="Y","Single line Bonds Cocos","Single line Bonds ex Cocos"))</f>
        <v>Single line Bonds ex Cocos</v>
      </c>
      <c r="AM54" s="105" t="str">
        <f>(IF(_xll.BDP($G54&amp;" ISIN","SP153")="#n/a n/a"," ",_xll.BDP($G54&amp;" ISIN","SP153")))</f>
        <v>#N/A Connection</v>
      </c>
      <c r="AN54" s="111">
        <f t="shared" ca="1" si="19"/>
        <v>45783</v>
      </c>
      <c r="AO54" s="108" t="e">
        <f>(((_xll.BDP(AI54,"DS032"))/360)*I54)*O54</f>
        <v>#VALUE!</v>
      </c>
      <c r="AP54" s="108" t="e">
        <f>IF(F54="USD",AO54,(((_xll.BDP(F54&amp;"USD CURNCY","PX_LAST")))*AO54))</f>
        <v>#VALUE!</v>
      </c>
      <c r="AQ54" s="110" t="e">
        <f>S54/#REF!</f>
        <v>#VALUE!</v>
      </c>
      <c r="AR54" s="108" t="e">
        <f t="shared" si="20"/>
        <v>#VALUE!</v>
      </c>
      <c r="AS54" s="107" t="str">
        <f>IF((TEXT(_xll.BDP(AI54,"MATURITY"),"DD/MM/YYYY")="#N/A Field Not Applicable"),"Perp",_xll.BDP(AI54,"DS252"))</f>
        <v>#N/A Connection</v>
      </c>
      <c r="AT54" s="104" t="str">
        <f>(IF(_xll.BDP($AI54&amp;" ISIN","DT247")="Y","Yes","No"))</f>
        <v>No</v>
      </c>
      <c r="AU54" s="104" t="str">
        <f>PROPER(IF(OR(_xll.BDP($AI54,"CPN_TYP")="#n/a N/A",_xll.BDP($AI54,"CPN_TYP")= "#N/A FIELD NOT APPLICABLE"), " ", _xll.BDP($AI54,"CPN_TYP")))</f>
        <v>#N/A Connection</v>
      </c>
      <c r="AV54" s="78"/>
      <c r="AW54" s="78"/>
      <c r="AX54" s="78"/>
      <c r="AY54" s="78"/>
      <c r="AZ54" s="78"/>
      <c r="BA54" s="78"/>
      <c r="BB54" s="78"/>
      <c r="BC54" s="78"/>
      <c r="BD54" s="78"/>
      <c r="BE54" s="78"/>
      <c r="BF54" s="78"/>
      <c r="BG54" s="104" t="str">
        <f t="shared" si="21"/>
        <v>USY3119PFH74</v>
      </c>
      <c r="BH54" s="104">
        <v>0.91539999999999999</v>
      </c>
      <c r="BI54" s="112">
        <v>3</v>
      </c>
      <c r="BJ54" s="19">
        <v>44980</v>
      </c>
      <c r="BK54" s="113"/>
      <c r="BL54" s="78"/>
    </row>
    <row r="55" spans="1:64" s="21" customFormat="1" ht="14.45" customHeight="1" x14ac:dyDescent="0.25">
      <c r="A55" s="49" t="s">
        <v>242</v>
      </c>
      <c r="B55" s="49" t="s">
        <v>332</v>
      </c>
      <c r="C55" s="49" t="s">
        <v>333</v>
      </c>
      <c r="D55" s="49" t="s">
        <v>248</v>
      </c>
      <c r="E55" s="4" t="str">
        <f>_xll.BDP(AI55,"ds520")</f>
        <v>#N/A Connection</v>
      </c>
      <c r="F55" s="4" t="str">
        <f>_xll.BDP(AI55,"crncy")</f>
        <v>#N/A Connection</v>
      </c>
      <c r="G55" s="5" t="s">
        <v>148</v>
      </c>
      <c r="H55" s="4" t="str">
        <f>IF(_xll.BDP(AI55,"RTG_MOODY")="#N/A N/A","N/A",_xll.BDP(AI55,"RTG_MOODY"))&amp;","&amp;IF(_xll.BDP(AI55,"RTG_FITCH")="#N/A N/A","N/A",_xll.BDP(AI55,"RTG_FITCH"))&amp;","&amp;IF(_xll.BDP(AI55,"RTG_SP")="#N/A N/A","N/A",_xll.BDP(AI55,"RTG_SP"))</f>
        <v>#N/A Connection,#N/A Connection,#N/A Connection</v>
      </c>
      <c r="I55" s="7" t="e">
        <f>_xll.BDP(AI55,"cpn")/100</f>
        <v>#VALUE!</v>
      </c>
      <c r="J55" s="7" t="e">
        <f ca="1">_xll.BDP($G55&amp;" isin","YAS_BOND_YLD", "YAS_YLD_FLAG=15", "user_local_trade_date",AN55,"Yas_bond_px",$Q55)/100</f>
        <v>#VALUE!</v>
      </c>
      <c r="K55" s="4" t="str">
        <f>_xll.BDP(AI55,"PAYMENT_RANK")</f>
        <v>#N/A Connection</v>
      </c>
      <c r="L55" s="4" t="str">
        <f>IF((TEXT(_xll.BDP(AI55,"MATURITY"),"DD/MM/YYYY")="#N/A Field Not Applicable"),"Perp",TEXT(_xll.BDP(AI55,"MATURITY"),"DD/MM/YYYY"))</f>
        <v>#N/A Connection</v>
      </c>
      <c r="M55" s="8" t="str">
        <f>(IF(_xll.BDP($AI55&amp;" ISIN","DU003")="#n/a n/a"," ",_xll.BDP($AI55&amp;" ISIN","DU003")))</f>
        <v>#N/A Connection</v>
      </c>
      <c r="N55" s="4" t="str">
        <f>IF(_xll.BDP(AI55,"CALLABLE")="Y",_xll.BDP(AI55,"NXT_CALL_DT")," ")</f>
        <v xml:space="preserve"> </v>
      </c>
      <c r="O55" s="9">
        <v>200000</v>
      </c>
      <c r="P55" s="5">
        <v>103.625</v>
      </c>
      <c r="Q55" s="10" t="str">
        <f>_xll.BDP(AI55,"px_bid")</f>
        <v>#N/A Connection</v>
      </c>
      <c r="R55" s="11" t="e">
        <f>IF(F55="USD",AG55,(((_xll.BDP(F55&amp;"USD CURNCY","PX_LAST")))*AG55))</f>
        <v>#VALUE!</v>
      </c>
      <c r="S55" s="11" t="e">
        <f>IF(F55="USD",AH55,(((_xll.BDP(F55&amp;"USD CURNCY","PX_LAST")))*AH55))+AP55</f>
        <v>#VALUE!</v>
      </c>
      <c r="T55" s="12" t="e">
        <f t="shared" ref="T55:T82" si="23">U55*R55</f>
        <v>#VALUE!</v>
      </c>
      <c r="U55" s="13" t="e">
        <f t="shared" ref="U55:U82" si="24">(Q55-P55)/P55</f>
        <v>#VALUE!</v>
      </c>
      <c r="V55" s="13" t="str" cm="1">
        <f t="array" ref="V55">IFERROR(_xll.BDP($G55&amp;" ISIN","CHG_PCT_1D")/100,"")</f>
        <v/>
      </c>
      <c r="W55" s="13" t="str" cm="1">
        <f t="array" ref="W55">IFERROR(_xll.BDP($G55&amp;" ISIN","CHG_PCT_5D")/100,"")</f>
        <v/>
      </c>
      <c r="X55" s="13" t="e" cm="1">
        <f t="array" ref="X55">_xll.BDP($G55&amp;" ISIN","CHG_PCT_1M")/100</f>
        <v>#VALUE!</v>
      </c>
      <c r="Y55" s="13" t="e" cm="1">
        <f t="array" ref="Y55">_xll.BDP($G55&amp;" ISIN","CHG_PCT_3M")/100</f>
        <v>#VALUE!</v>
      </c>
      <c r="Z55" s="13" t="e" cm="1">
        <f t="array" ref="Z55">_xll.BDP($G55&amp;" ISIN","CHG_PCT_6M")/100</f>
        <v>#VALUE!</v>
      </c>
      <c r="AA55" s="13" t="e" cm="1">
        <f t="array" ref="AA55">_xll.BDP($G55&amp;" ISIN","CHG_PCT_YTD")/100</f>
        <v>#VALUE!</v>
      </c>
      <c r="AB55" s="13" t="e">
        <f t="shared" si="22"/>
        <v>#VALUE!</v>
      </c>
      <c r="AC55" s="14" t="e">
        <f t="shared" ref="AC55:AC82" ca="1" si="25">((AF55*I55)* ((TODAY()-BJ55)/360))+(Q55-P55)%*AF55</f>
        <v>#VALUE!</v>
      </c>
      <c r="AD55" s="4" t="str">
        <f>_xll.BDP(AI55,"DS199")</f>
        <v>#N/A Connection</v>
      </c>
      <c r="AE55" s="10" t="str">
        <f>_xll.BDP(AI55,"px_ask")</f>
        <v>#N/A Connection</v>
      </c>
      <c r="AF55" s="14" t="e">
        <f>IF(F55="USD",O55,(((_xll.BDP(F55&amp;"USD CURNCY","PX_LAST")))*O55))</f>
        <v>#VALUE!</v>
      </c>
      <c r="AG55" s="11">
        <f t="shared" ref="AG55:AG82" si="26">O55*P55/100</f>
        <v>207250</v>
      </c>
      <c r="AH55" s="11" t="e">
        <f t="shared" ref="AH55:AH82" si="27">Q55*O55/100</f>
        <v>#VALUE!</v>
      </c>
      <c r="AI55" s="4" t="str">
        <f t="shared" ref="AI55:AI82" si="28">G55&amp; " ISIN"</f>
        <v>US251526CT41 ISIN</v>
      </c>
      <c r="AJ55" s="4" t="e" cm="1">
        <f t="array" ref="AJ55">VLOOKUP(IF(NOT(_xll.BDP($G55&amp;" CORP",$CA$5)="#N/A N/A"),(_xll.BDP($G55&amp;" CORP",$CA$5)),"-"), '[1]Country Codes'!$A$2:$B$253,2,0)</f>
        <v>#N/A</v>
      </c>
      <c r="AK55" s="4" t="str" cm="1">
        <f t="array" ref="AK55">IF(OR(_xll.BDP($AI55,"EX028")= "#N/A N/A", _xll.BDP($AI55,"EX028")="#N/A FIELD NOT APPLICABLE"), " ", _xll.BDP($AI55,"EX028"))</f>
        <v>#N/A Connection</v>
      </c>
      <c r="AL55" s="15" t="str">
        <f>(IF(_xll.BDP($AI55&amp;" ISIN","DZ282")="Y","Single line Bonds Cocos","Single line Bonds ex Cocos"))</f>
        <v>Single line Bonds ex Cocos</v>
      </c>
      <c r="AM55" s="8" t="str">
        <f>(IF(_xll.BDP($G55&amp;" ISIN","SP153")="#n/a n/a"," ",_xll.BDP($G55&amp;" ISIN","SP153")))</f>
        <v>#N/A Connection</v>
      </c>
      <c r="AN55" s="16">
        <f t="shared" ref="AN55:AN82" ca="1" si="29">TODAY()</f>
        <v>45783</v>
      </c>
      <c r="AO55" s="11" t="e">
        <f>(((_xll.BDP(AI55,"DS032"))/360)*I55)*O55</f>
        <v>#VALUE!</v>
      </c>
      <c r="AP55" s="11" t="e">
        <f>IF(F55="USD",AO55,(((_xll.BDP(F55&amp;"USD CURNCY","PX_LAST")))*AO55))</f>
        <v>#VALUE!</v>
      </c>
      <c r="AQ55" s="13" t="e">
        <f>S55/#REF!</f>
        <v>#VALUE!</v>
      </c>
      <c r="AR55" s="11" t="e">
        <f t="shared" ref="AR55:AR82" si="30">S55-AP55</f>
        <v>#VALUE!</v>
      </c>
      <c r="AS55" s="10" t="str">
        <f>IF((TEXT(_xll.BDP(AI55,"MATURITY"),"DD/MM/YYYY")="#N/A Field Not Applicable"),"Perp",_xll.BDP(AI55,"DS252"))</f>
        <v>#N/A Connection</v>
      </c>
      <c r="AT55" s="15" t="str">
        <f>(IF(_xll.BDP($AI55&amp;" ISIN","DT247")="Y","Yes","No"))</f>
        <v>No</v>
      </c>
      <c r="AU55" s="15" t="str">
        <f>PROPER(IF(OR(_xll.BDP($AI55,"CPN_TYP")="#n/a N/A",_xll.BDP($AI55,"CPN_TYP")= "#N/A FIELD NOT APPLICABLE"), " ", _xll.BDP($AI55,"CPN_TYP")))</f>
        <v>#N/A Connection</v>
      </c>
      <c r="BG55" s="17" t="str">
        <f t="shared" ref="BG55:BG80" si="31">G55</f>
        <v>US251526CT41</v>
      </c>
      <c r="BH55" s="17">
        <v>0.76639999999999997</v>
      </c>
      <c r="BI55" s="18" t="s">
        <v>147</v>
      </c>
      <c r="BJ55" s="19">
        <v>45499</v>
      </c>
      <c r="BK55" s="20"/>
    </row>
    <row r="56" spans="1:64" s="101" customFormat="1" ht="14.45" customHeight="1" x14ac:dyDescent="0.25">
      <c r="A56" s="49" t="s">
        <v>242</v>
      </c>
      <c r="B56" s="49" t="s">
        <v>332</v>
      </c>
      <c r="C56" s="49" t="s">
        <v>333</v>
      </c>
      <c r="D56" s="49" t="s">
        <v>248</v>
      </c>
      <c r="E56" s="4" t="str">
        <f>_xll.BDP(AI56,"ds520")</f>
        <v>#N/A Connection</v>
      </c>
      <c r="F56" s="4" t="str">
        <f>_xll.BDP(AI56,"crncy")</f>
        <v>#N/A Connection</v>
      </c>
      <c r="G56" s="5" t="s">
        <v>191</v>
      </c>
      <c r="H56" s="4" t="str">
        <f>IF(_xll.BDP(AI56,"RTG_MOODY")="#N/A N/A","N/A",_xll.BDP(AI56,"RTG_MOODY"))&amp;","&amp;IF(_xll.BDP(AI56,"RTG_FITCH")="#N/A N/A","N/A",_xll.BDP(AI56,"RTG_FITCH"))&amp;","&amp;IF(_xll.BDP(AI56,"RTG_SP")="#N/A N/A","N/A",_xll.BDP(AI56,"RTG_SP"))</f>
        <v>#N/A Connection,#N/A Connection,#N/A Connection</v>
      </c>
      <c r="I56" s="7" t="e">
        <f>_xll.BDP(AI56,"cpn")/100</f>
        <v>#VALUE!</v>
      </c>
      <c r="J56" s="7" t="e">
        <f ca="1">_xll.BDP($G56&amp;" isin","YAS_BOND_YLD", "YAS_YLD_FLAG=15", "user_local_trade_date",AN56,"Yas_bond_px",$Q56)/100</f>
        <v>#VALUE!</v>
      </c>
      <c r="K56" s="4" t="str">
        <f>_xll.BDP(AI56,"PAYMENT_RANK")</f>
        <v>#N/A Connection</v>
      </c>
      <c r="L56" s="4" t="str">
        <f>IF((TEXT(_xll.BDP(AI56,"MATURITY"),"DD/MM/YYYY")="#N/A Field Not Applicable"),"Perp",TEXT(_xll.BDP(AI56,"MATURITY"),"DD/MM/YYYY"))</f>
        <v>#N/A Connection</v>
      </c>
      <c r="M56" s="8" t="str">
        <f>(IF(_xll.BDP($AI56&amp;" ISIN","DU003")="#n/a n/a"," ",_xll.BDP($AI56&amp;" ISIN","DU003")))</f>
        <v>#N/A Connection</v>
      </c>
      <c r="N56" s="4" t="str">
        <f>IF(_xll.BDP(AI56,"CALLABLE")="Y",_xll.BDP(AI56,"NXT_CALL_DT")," ")</f>
        <v xml:space="preserve"> </v>
      </c>
      <c r="O56" s="9">
        <v>200000</v>
      </c>
      <c r="P56" s="5">
        <v>100.809</v>
      </c>
      <c r="Q56" s="10" t="str">
        <f>_xll.BDP(AI56,"px_bid")</f>
        <v>#N/A Connection</v>
      </c>
      <c r="R56" s="11" t="e">
        <f>IF(F56="USD",AG56,(((_xll.BDP(F56&amp;"USD CURNCY","PX_LAST")))*AG56))</f>
        <v>#VALUE!</v>
      </c>
      <c r="S56" s="11" t="e">
        <f>IF(F56="USD",AH56,(((_xll.BDP(F56&amp;"USD CURNCY","PX_LAST")))*AH56))+AP56</f>
        <v>#VALUE!</v>
      </c>
      <c r="T56" s="12" t="e">
        <f t="shared" si="23"/>
        <v>#VALUE!</v>
      </c>
      <c r="U56" s="13" t="e">
        <f t="shared" si="24"/>
        <v>#VALUE!</v>
      </c>
      <c r="V56" s="13" t="str" cm="1">
        <f t="array" ref="V56">IFERROR(_xll.BDP($G56&amp;" ISIN","CHG_PCT_1D")/100,"")</f>
        <v/>
      </c>
      <c r="W56" s="13" t="str" cm="1">
        <f t="array" ref="W56">IFERROR(_xll.BDP($G56&amp;" ISIN","CHG_PCT_5D")/100,"")</f>
        <v/>
      </c>
      <c r="X56" s="13" t="e" cm="1">
        <f t="array" ref="X56">_xll.BDP($G56&amp;" ISIN","CHG_PCT_1M")/100</f>
        <v>#VALUE!</v>
      </c>
      <c r="Y56" s="13" t="e" cm="1">
        <f t="array" ref="Y56">_xll.BDP($G56&amp;" ISIN","CHG_PCT_3M")/100</f>
        <v>#VALUE!</v>
      </c>
      <c r="Z56" s="13" t="e" cm="1">
        <f t="array" ref="Z56">_xll.BDP($G56&amp;" ISIN","CHG_PCT_6M")/100</f>
        <v>#VALUE!</v>
      </c>
      <c r="AA56" s="13" t="e" cm="1">
        <f t="array" ref="AA56">_xll.BDP($G56&amp;" ISIN","CHG_PCT_YTD")/100</f>
        <v>#VALUE!</v>
      </c>
      <c r="AB56" s="13" t="e">
        <f t="shared" si="22"/>
        <v>#VALUE!</v>
      </c>
      <c r="AC56" s="14" t="e">
        <f t="shared" ca="1" si="25"/>
        <v>#VALUE!</v>
      </c>
      <c r="AD56" s="4" t="str">
        <f>_xll.BDP(AI56,"DS199")</f>
        <v>#N/A Connection</v>
      </c>
      <c r="AE56" s="10" t="str">
        <f>_xll.BDP(AI56,"px_ask")</f>
        <v>#N/A Connection</v>
      </c>
      <c r="AF56" s="14" t="e">
        <f>IF(F56="USD",O56,(((_xll.BDP(F56&amp;"USD CURNCY","PX_LAST")))*O56))</f>
        <v>#VALUE!</v>
      </c>
      <c r="AG56" s="11">
        <f t="shared" si="26"/>
        <v>201618</v>
      </c>
      <c r="AH56" s="11" t="e">
        <f t="shared" si="27"/>
        <v>#VALUE!</v>
      </c>
      <c r="AI56" s="4" t="str">
        <f t="shared" si="28"/>
        <v>XS2793223475 ISIN</v>
      </c>
      <c r="AJ56" s="4" t="e" cm="1">
        <f t="array" ref="AJ56">VLOOKUP(IF(NOT(_xll.BDP($G56&amp;" CORP",$CA$5)="#N/A N/A"),(_xll.BDP($G56&amp;" CORP",$CA$5)),"-"), '[1]Country Codes'!$A$2:$B$253,2,0)</f>
        <v>#N/A</v>
      </c>
      <c r="AK56" s="4" t="str" cm="1">
        <f t="array" ref="AK56">IF(OR(_xll.BDP($AI56,"EX028")= "#N/A N/A", _xll.BDP($AI56,"EX028")="#N/A FIELD NOT APPLICABLE"), " ", _xll.BDP($AI56,"EX028"))</f>
        <v>#N/A Connection</v>
      </c>
      <c r="AL56" s="15" t="str">
        <f>(IF(_xll.BDP($AI56&amp;" ISIN","DZ282")="Y","Single line Bonds Cocos","Single line Bonds ex Cocos"))</f>
        <v>Single line Bonds ex Cocos</v>
      </c>
      <c r="AM56" s="8" t="str">
        <f>(IF(_xll.BDP($G56&amp;" ISIN","SP153")="#n/a n/a"," ",_xll.BDP($G56&amp;" ISIN","SP153")))</f>
        <v>#N/A Connection</v>
      </c>
      <c r="AN56" s="16">
        <f t="shared" ca="1" si="29"/>
        <v>45783</v>
      </c>
      <c r="AO56" s="11" t="e">
        <f>(((_xll.BDP(AI56,"DS032"))/360)*I56)*O56</f>
        <v>#VALUE!</v>
      </c>
      <c r="AP56" s="11" t="e">
        <f>IF(F56="USD",AO56,(((_xll.BDP(F56&amp;"USD CURNCY","PX_LAST")))*AO56))</f>
        <v>#VALUE!</v>
      </c>
      <c r="AQ56" s="13" t="e">
        <f>S56/#REF!</f>
        <v>#VALUE!</v>
      </c>
      <c r="AR56" s="11" t="e">
        <f t="shared" si="30"/>
        <v>#VALUE!</v>
      </c>
      <c r="AS56" s="10" t="str">
        <f>IF((TEXT(_xll.BDP(AI56,"MATURITY"),"DD/MM/YYYY")="#N/A Field Not Applicable"),"Perp",_xll.BDP(AI56,"DS252"))</f>
        <v>#N/A Connection</v>
      </c>
      <c r="AT56" s="15" t="str">
        <f>(IF(_xll.BDP($AI56&amp;" ISIN","DT247")="Y","Yes","No"))</f>
        <v>No</v>
      </c>
      <c r="AU56" s="15" t="str">
        <f>PROPER(IF(OR(_xll.BDP($AI56,"CPN_TYP")="#n/a N/A",_xll.BDP($AI56,"CPN_TYP")= "#N/A FIELD NOT APPLICABLE"), " ", _xll.BDP($AI56,"CPN_TYP")))</f>
        <v>#N/A Connection</v>
      </c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17" t="str">
        <f t="shared" si="31"/>
        <v>XS2793223475</v>
      </c>
      <c r="BH56" s="17">
        <v>0.51190000000000002</v>
      </c>
      <c r="BI56" s="18">
        <v>3</v>
      </c>
      <c r="BJ56" s="16">
        <v>45499</v>
      </c>
      <c r="BK56" s="20"/>
      <c r="BL56" s="21"/>
    </row>
    <row r="57" spans="1:64" s="101" customFormat="1" ht="14.45" customHeight="1" x14ac:dyDescent="0.25">
      <c r="A57" s="81" t="s">
        <v>257</v>
      </c>
      <c r="B57" s="81" t="s">
        <v>258</v>
      </c>
      <c r="C57" s="81" t="s">
        <v>259</v>
      </c>
      <c r="D57" s="81" t="s">
        <v>248</v>
      </c>
      <c r="E57" s="88" t="str">
        <f>_xll.BDP(AI57,"ds520")</f>
        <v>#N/A Connection</v>
      </c>
      <c r="F57" s="88" t="str">
        <f>_xll.BDP(AI57,"crncy")</f>
        <v>#N/A Connection</v>
      </c>
      <c r="G57" s="88" t="s">
        <v>320</v>
      </c>
      <c r="H57" s="88" t="str">
        <f>IF(_xll.BDP(AI57,"RTG_MOODY")="#N/A N/A","N/A",_xll.BDP(AI57,"RTG_MOODY"))&amp;","&amp;IF(_xll.BDP(AI57,"RTG_FITCH")="#N/A N/A","N/A",_xll.BDP(AI57,"RTG_FITCH"))&amp;","&amp;IF(_xll.BDP(AI57,"RTG_SP")="#N/A N/A","N/A",_xll.BDP(AI57,"RTG_SP"))</f>
        <v>#N/A Connection,#N/A Connection,#N/A Connection</v>
      </c>
      <c r="I57" s="38" t="e">
        <f>_xll.BDP(AI57,"cpn")/100</f>
        <v>#VALUE!</v>
      </c>
      <c r="J57" s="38" t="e">
        <f ca="1">_xll.BDP($G57&amp;" isin","YAS_BOND_YLD", "YAS_YLD_FLAG=15", "user_local_trade_date",AN57,"Yas_bond_px",$Q57)/100</f>
        <v>#VALUE!</v>
      </c>
      <c r="K57" s="88" t="str">
        <f>_xll.BDP(AI57,"PAYMENT_RANK")</f>
        <v>#N/A Connection</v>
      </c>
      <c r="L57" s="88" t="str">
        <f>IF((TEXT(_xll.BDP(AI57,"MATURITY"),"DD/MM/YYYY")="#N/A Field Not Applicable"),"Perp",TEXT(_xll.BDP(AI57,"MATURITY"),"DD/MM/YYYY"))</f>
        <v>#N/A Connection</v>
      </c>
      <c r="M57" s="97" t="str">
        <f>(IF(_xll.BDP($AI57&amp;" ISIN","DU003")="#n/a n/a"," ",_xll.BDP($AI57&amp;" ISIN","DU003")))</f>
        <v>#N/A Connection</v>
      </c>
      <c r="N57" s="88" t="str">
        <f>IF(_xll.BDP(AI57,"CALLABLE")="Y",_xll.BDP(AI57,"NXT_CALL_DT")," ")</f>
        <v xml:space="preserve"> </v>
      </c>
      <c r="O57" s="98">
        <v>200000</v>
      </c>
      <c r="P57" s="88">
        <v>98.863</v>
      </c>
      <c r="Q57" s="99" t="str">
        <f>_xll.BDP(AI57,"px_bid")</f>
        <v>#N/A Connection</v>
      </c>
      <c r="R57" s="100" t="e">
        <f>IF(F57="USD",AG57,(((_xll.BDP(F57&amp;"USD CURNCY","PX_LAST")))*AG57))</f>
        <v>#VALUE!</v>
      </c>
      <c r="S57" s="100" t="e">
        <f>IF(F57="USD",AH57,(((_xll.BDP(F57&amp;"USD CURNCY","PX_LAST")))*AH57))+AP57</f>
        <v>#VALUE!</v>
      </c>
      <c r="T57" s="86" t="e">
        <f t="shared" si="23"/>
        <v>#VALUE!</v>
      </c>
      <c r="U57" s="87" t="e">
        <f t="shared" si="24"/>
        <v>#VALUE!</v>
      </c>
      <c r="V57" s="87" t="str" cm="1">
        <f t="array" ref="V57">IFERROR(_xll.BDP($G57&amp;" ISIN","CHG_PCT_1D")/100,"")</f>
        <v/>
      </c>
      <c r="W57" s="87" t="str" cm="1">
        <f t="array" ref="W57">IFERROR(_xll.BDP($G57&amp;" ISIN","CHG_PCT_5D")/100,"")</f>
        <v/>
      </c>
      <c r="X57" s="87" t="e" cm="1">
        <f t="array" ref="X57">_xll.BDP($G57&amp;" ISIN","CHG_PCT_1M")/100</f>
        <v>#VALUE!</v>
      </c>
      <c r="Y57" s="87" t="e" cm="1">
        <f t="array" ref="Y57">_xll.BDP($G57&amp;" ISIN","CHG_PCT_3M")/100</f>
        <v>#VALUE!</v>
      </c>
      <c r="Z57" s="87" t="e" cm="1">
        <f t="array" ref="Z57">_xll.BDP($G57&amp;" ISIN","CHG_PCT_6M")/100</f>
        <v>#VALUE!</v>
      </c>
      <c r="AA57" s="87" t="e" cm="1">
        <f t="array" ref="AA57">_xll.BDP($G57&amp;" ISIN","CHG_PCT_YTD")/100</f>
        <v>#VALUE!</v>
      </c>
      <c r="AB57" s="87" t="e">
        <f t="shared" si="22"/>
        <v>#VALUE!</v>
      </c>
      <c r="AC57" s="98" t="e">
        <f t="shared" ca="1" si="25"/>
        <v>#VALUE!</v>
      </c>
      <c r="AD57" s="88" t="str">
        <f>_xll.BDP(AI57,"DS199")</f>
        <v>#N/A Connection</v>
      </c>
      <c r="AE57" s="99" t="str">
        <f>_xll.BDP(AI57,"px_ask")</f>
        <v>#N/A Connection</v>
      </c>
      <c r="AF57" s="98" t="e">
        <f>IF(F57="USD",O57,(((_xll.BDP(F57&amp;"USD CURNCY","PX_LAST")))*O57))</f>
        <v>#VALUE!</v>
      </c>
      <c r="AG57" s="100">
        <f t="shared" si="26"/>
        <v>197726</v>
      </c>
      <c r="AH57" s="100" t="e">
        <f t="shared" si="27"/>
        <v>#VALUE!</v>
      </c>
      <c r="AI57" s="88" t="str">
        <f t="shared" si="28"/>
        <v>XS3000457666 ISIN</v>
      </c>
      <c r="AJ57" s="88" t="e" cm="1">
        <f t="array" ref="AJ57">VLOOKUP(IF(NOT(_xll.BDP($G57&amp;" CORP",$CA$5)="#N/A N/A"),(_xll.BDP($G57&amp;" CORP",$CA$5)),"-"), '[1]Country Codes'!$A$2:$B$253,2,0)</f>
        <v>#N/A</v>
      </c>
      <c r="AK57" s="88" t="str" cm="1">
        <f t="array" ref="AK57">IF(OR(_xll.BDP($AI57,"EX028")= "#N/A N/A", _xll.BDP($AI57,"EX028")="#N/A FIELD NOT APPLICABLE"), " ", _xll.BDP($AI57,"EX028"))</f>
        <v>#N/A Connection</v>
      </c>
      <c r="AL57" s="38" t="str">
        <f>(IF(_xll.BDP($AI57&amp;" ISIN","DZ282")="Y","Single line Bonds Cocos","Single line Bonds ex Cocos"))</f>
        <v>Single line Bonds ex Cocos</v>
      </c>
      <c r="AM57" s="97" t="str">
        <f>(IF(_xll.BDP($G57&amp;" ISIN","SP153")="#n/a n/a"," ",_xll.BDP($G57&amp;" ISIN","SP153")))</f>
        <v>#N/A Connection</v>
      </c>
      <c r="AN57" s="95">
        <f t="shared" ca="1" si="29"/>
        <v>45783</v>
      </c>
      <c r="AO57" s="100" t="e">
        <f>(((_xll.BDP(AI57,"DS032"))/360)*I57)*O57</f>
        <v>#VALUE!</v>
      </c>
      <c r="AP57" s="100" t="e">
        <f>IF(F57="USD",AO57,(((_xll.BDP(F57&amp;"USD CURNCY","PX_LAST")))*AO57))</f>
        <v>#VALUE!</v>
      </c>
      <c r="AQ57" s="87" t="e">
        <f>S57/$S$107</f>
        <v>#VALUE!</v>
      </c>
      <c r="AR57" s="100" t="e">
        <f t="shared" si="30"/>
        <v>#VALUE!</v>
      </c>
      <c r="AS57" s="99" t="str">
        <f>IF((TEXT(_xll.BDP(AI57,"MATURITY"),"DD/MM/YYYY")="#N/A Field Not Applicable"),"Perp",_xll.BDP(AI57,"DS252"))</f>
        <v>#N/A Connection</v>
      </c>
      <c r="AT57" s="38" t="str">
        <f>(IF(_xll.BDP($AI57&amp;" ISIN","DT247")="Y","Yes","No"))</f>
        <v>No</v>
      </c>
      <c r="AU57" s="38" t="str">
        <f>PROPER(IF(OR(_xll.BDP($AI57,"CPN_TYP")="#n/a N/A",_xll.BDP($AI57,"CPN_TYP")= "#N/A FIELD NOT APPLICABLE"), " ", _xll.BDP($AI57,"CPN_TYP")))</f>
        <v>#N/A Connection</v>
      </c>
      <c r="BG57" s="38" t="str">
        <f t="shared" si="31"/>
        <v>XS3000457666</v>
      </c>
      <c r="BH57" s="38">
        <v>0.49590000000000001</v>
      </c>
      <c r="BI57" s="94" t="s">
        <v>147</v>
      </c>
      <c r="BJ57" s="95">
        <v>45694</v>
      </c>
      <c r="BK57" s="96">
        <v>1</v>
      </c>
    </row>
    <row r="58" spans="1:64" s="21" customFormat="1" ht="14.45" customHeight="1" x14ac:dyDescent="0.25">
      <c r="A58" s="49" t="s">
        <v>257</v>
      </c>
      <c r="B58" s="49" t="s">
        <v>258</v>
      </c>
      <c r="C58" s="49" t="s">
        <v>259</v>
      </c>
      <c r="D58" s="49" t="s">
        <v>248</v>
      </c>
      <c r="E58" s="4" t="str">
        <f>_xll.BDP(AI58,"ds520")</f>
        <v>#N/A Connection</v>
      </c>
      <c r="F58" s="4" t="str">
        <f>_xll.BDP(AI58,"crncy")</f>
        <v>#N/A Connection</v>
      </c>
      <c r="G58" s="5" t="s">
        <v>150</v>
      </c>
      <c r="H58" s="4" t="str">
        <f>IF(_xll.BDP(AI58,"RTG_MOODY")="#N/A N/A","N/A",_xll.BDP(AI58,"RTG_MOODY"))&amp;","&amp;IF(_xll.BDP(AI58,"RTG_FITCH")="#N/A N/A","N/A",_xll.BDP(AI58,"RTG_FITCH"))&amp;","&amp;IF(_xll.BDP(AI58,"RTG_SP")="#N/A N/A","N/A",_xll.BDP(AI58,"RTG_SP"))</f>
        <v>#N/A Connection,#N/A Connection,#N/A Connection</v>
      </c>
      <c r="I58" s="7" t="e">
        <f>_xll.BDP(AI58,"cpn")/100</f>
        <v>#VALUE!</v>
      </c>
      <c r="J58" s="7" t="e">
        <f ca="1">_xll.BDP($G58&amp;" isin","YAS_BOND_YLD", "YAS_YLD_FLAG=15", "user_local_trade_date",AN58,"Yas_bond_px",$Q58)/100</f>
        <v>#VALUE!</v>
      </c>
      <c r="K58" s="4" t="str">
        <f>_xll.BDP(AI58,"PAYMENT_RANK")</f>
        <v>#N/A Connection</v>
      </c>
      <c r="L58" s="4" t="str">
        <f>IF((TEXT(_xll.BDP(AI58,"MATURITY"),"DD/MM/YYYY")="#N/A Field Not Applicable"),"Perp",TEXT(_xll.BDP(AI58,"MATURITY"),"DD/MM/YYYY"))</f>
        <v>#N/A Connection</v>
      </c>
      <c r="M58" s="8" t="str">
        <f>(IF(_xll.BDP($AI58&amp;" ISIN","DU003")="#n/a n/a"," ",_xll.BDP($AI58&amp;" ISIN","DU003")))</f>
        <v>#N/A Connection</v>
      </c>
      <c r="N58" s="4" t="str">
        <f>IF(_xll.BDP(AI58,"CALLABLE")="Y",_xll.BDP(AI58,"NXT_CALL_DT")," ")</f>
        <v xml:space="preserve"> </v>
      </c>
      <c r="O58" s="9">
        <v>200000</v>
      </c>
      <c r="P58" s="5">
        <v>100.11</v>
      </c>
      <c r="Q58" s="10" t="str">
        <f>_xll.BDP(AI58,"px_bid")</f>
        <v>#N/A Connection</v>
      </c>
      <c r="R58" s="11" t="e">
        <f>IF(F58="USD",AG58,(((_xll.BDP(F58&amp;"USD CURNCY","PX_LAST")))*AG58))</f>
        <v>#VALUE!</v>
      </c>
      <c r="S58" s="11" t="e">
        <f>IF(F58="USD",AH58,(((_xll.BDP(F58&amp;"USD CURNCY","PX_LAST")))*AH58))+AP58</f>
        <v>#VALUE!</v>
      </c>
      <c r="T58" s="12" t="e">
        <f t="shared" si="23"/>
        <v>#VALUE!</v>
      </c>
      <c r="U58" s="13" t="e">
        <f t="shared" si="24"/>
        <v>#VALUE!</v>
      </c>
      <c r="V58" s="13" t="str" cm="1">
        <f t="array" ref="V58">IFERROR(_xll.BDP($G58&amp;" ISIN","CHG_PCT_1D")/100,"")</f>
        <v/>
      </c>
      <c r="W58" s="13" t="str" cm="1">
        <f t="array" ref="W58">IFERROR(_xll.BDP($G58&amp;" ISIN","CHG_PCT_5D")/100,"")</f>
        <v/>
      </c>
      <c r="X58" s="13" t="e" cm="1">
        <f t="array" ref="X58">_xll.BDP($G58&amp;" ISIN","CHG_PCT_1M")/100</f>
        <v>#VALUE!</v>
      </c>
      <c r="Y58" s="13" t="e" cm="1">
        <f t="array" ref="Y58">_xll.BDP($G58&amp;" ISIN","CHG_PCT_3M")/100</f>
        <v>#VALUE!</v>
      </c>
      <c r="Z58" s="13" t="e" cm="1">
        <f t="array" ref="Z58">_xll.BDP($G58&amp;" ISIN","CHG_PCT_6M")/100</f>
        <v>#VALUE!</v>
      </c>
      <c r="AA58" s="13" t="e" cm="1">
        <f t="array" ref="AA58">_xll.BDP($G58&amp;" ISIN","CHG_PCT_YTD")/100</f>
        <v>#VALUE!</v>
      </c>
      <c r="AB58" s="13" t="e">
        <f t="shared" ref="AB58:AB83" si="32">S58/$H$36</f>
        <v>#VALUE!</v>
      </c>
      <c r="AC58" s="14" t="e">
        <f t="shared" ca="1" si="25"/>
        <v>#VALUE!</v>
      </c>
      <c r="AD58" s="4" t="str">
        <f>_xll.BDP(AI58,"DS199")</f>
        <v>#N/A Connection</v>
      </c>
      <c r="AE58" s="10" t="str">
        <f>_xll.BDP(AI58,"px_ask")</f>
        <v>#N/A Connection</v>
      </c>
      <c r="AF58" s="14" t="e">
        <f>IF(F58="USD",O58,(((_xll.BDP(F58&amp;"USD CURNCY","PX_LAST")))*O58))</f>
        <v>#VALUE!</v>
      </c>
      <c r="AG58" s="11">
        <f t="shared" si="26"/>
        <v>200220</v>
      </c>
      <c r="AH58" s="11" t="e">
        <f t="shared" si="27"/>
        <v>#VALUE!</v>
      </c>
      <c r="AI58" s="4" t="str">
        <f t="shared" si="28"/>
        <v>XS2827680112 ISIN</v>
      </c>
      <c r="AJ58" s="4" t="e" cm="1">
        <f t="array" ref="AJ58">VLOOKUP(IF(NOT(_xll.BDP($G58&amp;" CORP",$CA$5)="#N/A N/A"),(_xll.BDP($G58&amp;" CORP",$CA$5)),"-"), '[1]Country Codes'!$A$2:$B$253,2,0)</f>
        <v>#N/A</v>
      </c>
      <c r="AK58" s="4" t="str" cm="1">
        <f t="array" ref="AK58">IF(OR(_xll.BDP($AI58,"EX028")= "#N/A N/A", _xll.BDP($AI58,"EX028")="#N/A FIELD NOT APPLICABLE"), " ", _xll.BDP($AI58,"EX028"))</f>
        <v>#N/A Connection</v>
      </c>
      <c r="AL58" s="15" t="str">
        <f>(IF(_xll.BDP($AI58&amp;" ISIN","DZ282")="Y","Single line Bonds Cocos","Single line Bonds ex Cocos"))</f>
        <v>Single line Bonds ex Cocos</v>
      </c>
      <c r="AM58" s="8" t="str">
        <f>(IF(_xll.BDP($G58&amp;" ISIN","SP153")="#n/a n/a"," ",_xll.BDP($G58&amp;" ISIN","SP153")))</f>
        <v>#N/A Connection</v>
      </c>
      <c r="AN58" s="16">
        <f t="shared" ca="1" si="29"/>
        <v>45783</v>
      </c>
      <c r="AO58" s="11" t="e">
        <f>(((_xll.BDP(AI58,"DS032"))/360)*I58)*O58</f>
        <v>#VALUE!</v>
      </c>
      <c r="AP58" s="11" t="e">
        <f>IF(F58="USD",AO58,(((_xll.BDP(F58&amp;"USD CURNCY","PX_LAST")))*AO58))</f>
        <v>#VALUE!</v>
      </c>
      <c r="AQ58" s="13" t="e">
        <f>S58/$S$107</f>
        <v>#VALUE!</v>
      </c>
      <c r="AR58" s="11" t="e">
        <f t="shared" si="30"/>
        <v>#VALUE!</v>
      </c>
      <c r="AS58" s="10" t="str">
        <f>IF((TEXT(_xll.BDP(AI58,"MATURITY"),"DD/MM/YYYY")="#N/A Field Not Applicable"),"Perp",_xll.BDP(AI58,"DS252"))</f>
        <v>#N/A Connection</v>
      </c>
      <c r="AT58" s="15" t="str">
        <f>(IF(_xll.BDP($AI58&amp;" ISIN","DT247")="Y","Yes","No"))</f>
        <v>No</v>
      </c>
      <c r="AU58" s="15" t="str">
        <f>PROPER(IF(OR(_xll.BDP($AI58,"CPN_TYP")="#n/a N/A",_xll.BDP($AI58,"CPN_TYP")= "#N/A FIELD NOT APPLICABLE"), " ", _xll.BDP($AI58,"CPN_TYP")))</f>
        <v>#N/A Connection</v>
      </c>
      <c r="BG58" s="17" t="str">
        <f t="shared" si="31"/>
        <v>XS2827680112</v>
      </c>
      <c r="BH58" s="17">
        <v>0</v>
      </c>
      <c r="BI58" s="18">
        <v>3</v>
      </c>
      <c r="BJ58" s="19">
        <v>45448</v>
      </c>
      <c r="BK58" s="20">
        <v>1</v>
      </c>
    </row>
    <row r="59" spans="1:64" s="77" customFormat="1" ht="14.45" customHeight="1" x14ac:dyDescent="0.25">
      <c r="A59" s="49" t="s">
        <v>257</v>
      </c>
      <c r="B59" s="49" t="s">
        <v>258</v>
      </c>
      <c r="C59" s="49" t="s">
        <v>259</v>
      </c>
      <c r="D59" s="49" t="s">
        <v>248</v>
      </c>
      <c r="E59" s="4" t="str">
        <f>_xll.BDP(AI59,"ds520")</f>
        <v>#N/A Connection</v>
      </c>
      <c r="F59" s="4" t="str">
        <f>_xll.BDP(AI59,"crncy")</f>
        <v>#N/A Connection</v>
      </c>
      <c r="G59" s="5" t="s">
        <v>151</v>
      </c>
      <c r="H59" s="4" t="str">
        <f>IF(_xll.BDP(AI59,"RTG_MOODY")="#N/A N/A","N/A",_xll.BDP(AI59,"RTG_MOODY"))&amp;","&amp;IF(_xll.BDP(AI59,"RTG_FITCH")="#N/A N/A","N/A",_xll.BDP(AI59,"RTG_FITCH"))&amp;","&amp;IF(_xll.BDP(AI59,"RTG_SP")="#N/A N/A","N/A",_xll.BDP(AI59,"RTG_SP"))</f>
        <v>#N/A Connection,#N/A Connection,#N/A Connection</v>
      </c>
      <c r="I59" s="7" t="e">
        <f>_xll.BDP(AI59,"cpn")/100</f>
        <v>#VALUE!</v>
      </c>
      <c r="J59" s="7" t="e">
        <f ca="1">_xll.BDP($G59&amp;" isin","YAS_BOND_YLD", "YAS_YLD_FLAG=15", "user_local_trade_date",AN59,"Yas_bond_px",$Q59)/100</f>
        <v>#VALUE!</v>
      </c>
      <c r="K59" s="4" t="str">
        <f>_xll.BDP(AI59,"PAYMENT_RANK")</f>
        <v>#N/A Connection</v>
      </c>
      <c r="L59" s="4" t="str">
        <f>IF((TEXT(_xll.BDP(AI59,"MATURITY"),"DD/MM/YYYY")="#N/A Field Not Applicable"),"Perp",TEXT(_xll.BDP(AI59,"MATURITY"),"DD/MM/YYYY"))</f>
        <v>#N/A Connection</v>
      </c>
      <c r="M59" s="8" t="str">
        <f>(IF(_xll.BDP($AI59&amp;" ISIN","DU003")="#n/a n/a"," ",_xll.BDP($AI59&amp;" ISIN","DU003")))</f>
        <v>#N/A Connection</v>
      </c>
      <c r="N59" s="4" t="str">
        <f>IF(_xll.BDP(AI59,"CALLABLE")="Y",_xll.BDP(AI59,"NXT_CALL_DT")," ")</f>
        <v xml:space="preserve"> </v>
      </c>
      <c r="O59" s="9">
        <v>200000</v>
      </c>
      <c r="P59" s="5">
        <v>100.08</v>
      </c>
      <c r="Q59" s="10" t="str">
        <f>_xll.BDP(AI59,"px_bid")</f>
        <v>#N/A Connection</v>
      </c>
      <c r="R59" s="11" t="e">
        <f>IF(F59="USD",AG59,(((_xll.BDP(F59&amp;"USD CURNCY","PX_LAST")))*AG59))</f>
        <v>#VALUE!</v>
      </c>
      <c r="S59" s="11" t="e">
        <f>IF(F59="USD",AH59,(((_xll.BDP(F59&amp;"USD CURNCY","PX_LAST")))*AH59))+AP59</f>
        <v>#VALUE!</v>
      </c>
      <c r="T59" s="12" t="e">
        <f t="shared" si="23"/>
        <v>#VALUE!</v>
      </c>
      <c r="U59" s="13" t="e">
        <f t="shared" si="24"/>
        <v>#VALUE!</v>
      </c>
      <c r="V59" s="13" t="str" cm="1">
        <f t="array" ref="V59">IFERROR(_xll.BDP($G59&amp;" ISIN","CHG_PCT_1D")/100,"")</f>
        <v/>
      </c>
      <c r="W59" s="13" t="str" cm="1">
        <f t="array" ref="W59">IFERROR(_xll.BDP($G59&amp;" ISIN","CHG_PCT_5D")/100,"")</f>
        <v/>
      </c>
      <c r="X59" s="13" t="e" cm="1">
        <f t="array" ref="X59">_xll.BDP($G59&amp;" ISIN","CHG_PCT_1M")/100</f>
        <v>#VALUE!</v>
      </c>
      <c r="Y59" s="13" t="e" cm="1">
        <f t="array" ref="Y59">_xll.BDP($G59&amp;" ISIN","CHG_PCT_3M")/100</f>
        <v>#VALUE!</v>
      </c>
      <c r="Z59" s="13" t="e" cm="1">
        <f t="array" ref="Z59">_xll.BDP($G59&amp;" ISIN","CHG_PCT_6M")/100</f>
        <v>#VALUE!</v>
      </c>
      <c r="AA59" s="13" t="e" cm="1">
        <f t="array" ref="AA59">_xll.BDP($G59&amp;" ISIN","CHG_PCT_YTD")/100</f>
        <v>#VALUE!</v>
      </c>
      <c r="AB59" s="13" t="e">
        <f t="shared" si="32"/>
        <v>#VALUE!</v>
      </c>
      <c r="AC59" s="14" t="e">
        <f t="shared" ca="1" si="25"/>
        <v>#VALUE!</v>
      </c>
      <c r="AD59" s="4" t="str">
        <f>_xll.BDP(AI59,"DS199")</f>
        <v>#N/A Connection</v>
      </c>
      <c r="AE59" s="10" t="str">
        <f>_xll.BDP(AI59,"px_ask")</f>
        <v>#N/A Connection</v>
      </c>
      <c r="AF59" s="14" t="e">
        <f>IF(F59="USD",O59,(((_xll.BDP(F59&amp;"USD CURNCY","PX_LAST")))*O59))</f>
        <v>#VALUE!</v>
      </c>
      <c r="AG59" s="11">
        <f t="shared" si="26"/>
        <v>200160</v>
      </c>
      <c r="AH59" s="11" t="e">
        <f t="shared" si="27"/>
        <v>#VALUE!</v>
      </c>
      <c r="AI59" s="4" t="str">
        <f t="shared" si="28"/>
        <v>XS2451768720 ISIN</v>
      </c>
      <c r="AJ59" s="4" t="e" cm="1">
        <f t="array" ref="AJ59">VLOOKUP(IF(NOT(_xll.BDP($G59&amp;" CORP",$CA$5)="#N/A N/A"),(_xll.BDP($G59&amp;" CORP",$CA$5)),"-"), '[1]Country Codes'!$A$2:$B$253,2,0)</f>
        <v>#N/A</v>
      </c>
      <c r="AK59" s="4" t="str" cm="1">
        <f t="array" ref="AK59">IF(OR(_xll.BDP($AI59,"EX028")= "#N/A N/A", _xll.BDP($AI59,"EX028")="#N/A FIELD NOT APPLICABLE"), " ", _xll.BDP($AI59,"EX028"))</f>
        <v>#N/A Connection</v>
      </c>
      <c r="AL59" s="15" t="str">
        <f>(IF(_xll.BDP($AI59&amp;" ISIN","DZ282")="Y","Single line Bonds Cocos","Single line Bonds ex Cocos"))</f>
        <v>Single line Bonds ex Cocos</v>
      </c>
      <c r="AM59" s="8" t="str">
        <f>(IF(_xll.BDP($G59&amp;" ISIN","SP153")="#n/a n/a"," ",_xll.BDP($G59&amp;" ISIN","SP153")))</f>
        <v>#N/A Connection</v>
      </c>
      <c r="AN59" s="16">
        <f t="shared" ca="1" si="29"/>
        <v>45783</v>
      </c>
      <c r="AO59" s="11" t="e">
        <f>(((_xll.BDP(AI59,"DS032"))/360)*I59)*O59</f>
        <v>#VALUE!</v>
      </c>
      <c r="AP59" s="11" t="e">
        <f>IF(F59="USD",AO59,(((_xll.BDP(F59&amp;"USD CURNCY","PX_LAST")))*AO59))</f>
        <v>#VALUE!</v>
      </c>
      <c r="AQ59" s="13" t="e">
        <f>S59/$S$107</f>
        <v>#VALUE!</v>
      </c>
      <c r="AR59" s="11" t="e">
        <f t="shared" si="30"/>
        <v>#VALUE!</v>
      </c>
      <c r="AS59" s="10" t="str">
        <f>IF((TEXT(_xll.BDP(AI59,"MATURITY"),"DD/MM/YYYY")="#N/A Field Not Applicable"),"Perp",_xll.BDP(AI59,"DS252"))</f>
        <v>#N/A Connection</v>
      </c>
      <c r="AT59" s="15" t="str">
        <f>(IF(_xll.BDP($AI59&amp;" ISIN","DT247")="Y","Yes","No"))</f>
        <v>No</v>
      </c>
      <c r="AU59" s="15" t="str">
        <f>PROPER(IF(OR(_xll.BDP($AI59,"CPN_TYP")="#n/a N/A",_xll.BDP($AI59,"CPN_TYP")= "#N/A FIELD NOT APPLICABLE"), " ", _xll.BDP($AI59,"CPN_TYP")))</f>
        <v>#N/A Connection</v>
      </c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17" t="str">
        <f t="shared" si="31"/>
        <v>XS2451768720</v>
      </c>
      <c r="BH59" s="17">
        <v>0.64790000000000003</v>
      </c>
      <c r="BI59" s="18">
        <v>5</v>
      </c>
      <c r="BJ59" s="19">
        <v>44741</v>
      </c>
      <c r="BK59" s="20">
        <v>1</v>
      </c>
      <c r="BL59" s="21"/>
    </row>
    <row r="60" spans="1:64" s="21" customFormat="1" ht="14.45" customHeight="1" x14ac:dyDescent="0.25">
      <c r="A60" s="49" t="s">
        <v>257</v>
      </c>
      <c r="B60" s="49" t="s">
        <v>258</v>
      </c>
      <c r="C60" s="49" t="s">
        <v>259</v>
      </c>
      <c r="D60" s="49" t="s">
        <v>248</v>
      </c>
      <c r="E60" s="4" t="str">
        <f>_xll.BDP(AI60,"ds520")</f>
        <v>#N/A Connection</v>
      </c>
      <c r="F60" s="4" t="str">
        <f>_xll.BDP(AI60,"crncy")</f>
        <v>#N/A Connection</v>
      </c>
      <c r="G60" s="5" t="s">
        <v>45</v>
      </c>
      <c r="H60" s="4" t="str">
        <f>IF(_xll.BDP(AI60,"RTG_MOODY")="#N/A N/A","N/A",_xll.BDP(AI60,"RTG_MOODY"))&amp;","&amp;IF(_xll.BDP(AI60,"RTG_FITCH")="#N/A N/A","N/A",_xll.BDP(AI60,"RTG_FITCH"))&amp;","&amp;IF(_xll.BDP(AI60,"RTG_SP")="#N/A N/A","N/A",_xll.BDP(AI60,"RTG_SP"))</f>
        <v>#N/A Connection,#N/A Connection,#N/A Connection</v>
      </c>
      <c r="I60" s="7" t="e">
        <f>_xll.BDP(AI60,"cpn")/100</f>
        <v>#VALUE!</v>
      </c>
      <c r="J60" s="7" t="e">
        <f ca="1">_xll.BDP($G60&amp;" isin","YAS_BOND_YLD", "YAS_YLD_FLAG=15", "user_local_trade_date",AN60,"Yas_bond_px",$Q60)/100</f>
        <v>#VALUE!</v>
      </c>
      <c r="K60" s="4" t="str">
        <f>_xll.BDP(AI60,"PAYMENT_RANK")</f>
        <v>#N/A Connection</v>
      </c>
      <c r="L60" s="4" t="str">
        <f>IF((TEXT(_xll.BDP(AI60,"MATURITY"),"DD/MM/YYYY")="#N/A Field Not Applicable"),"Perp",TEXT(_xll.BDP(AI60,"MATURITY"),"DD/MM/YYYY"))</f>
        <v>#N/A Connection</v>
      </c>
      <c r="M60" s="8" t="str">
        <f>(IF(_xll.BDP($AI60&amp;" ISIN","DU003")="#n/a n/a"," ",_xll.BDP($AI60&amp;" ISIN","DU003")))</f>
        <v>#N/A Connection</v>
      </c>
      <c r="N60" s="4" t="str">
        <f>IF(_xll.BDP(AI60,"CALLABLE")="Y",_xll.BDP(AI60,"NXT_CALL_DT")," ")</f>
        <v xml:space="preserve"> </v>
      </c>
      <c r="O60" s="9">
        <v>200000</v>
      </c>
      <c r="P60" s="5">
        <v>98.86</v>
      </c>
      <c r="Q60" s="10" t="str">
        <f>_xll.BDP(AI60,"px_bid")</f>
        <v>#N/A Connection</v>
      </c>
      <c r="R60" s="11" t="e">
        <f>IF(F60="USD",AG60,(((_xll.BDP(F60&amp;"USD CURNCY","PX_LAST")))*AG60))</f>
        <v>#VALUE!</v>
      </c>
      <c r="S60" s="11" t="e">
        <f>IF(F60="USD",AH60,(((_xll.BDP(F60&amp;"USD CURNCY","PX_LAST")))*AH60))+AP60</f>
        <v>#VALUE!</v>
      </c>
      <c r="T60" s="12" t="e">
        <f t="shared" si="23"/>
        <v>#VALUE!</v>
      </c>
      <c r="U60" s="13" t="e">
        <f t="shared" si="24"/>
        <v>#VALUE!</v>
      </c>
      <c r="V60" s="13" t="str" cm="1">
        <f t="array" ref="V60">IFERROR(_xll.BDP($G60&amp;" ISIN","CHG_PCT_1D")/100,"")</f>
        <v/>
      </c>
      <c r="W60" s="13" t="str" cm="1">
        <f t="array" ref="W60">IFERROR(_xll.BDP($G60&amp;" ISIN","CHG_PCT_5D")/100,"")</f>
        <v/>
      </c>
      <c r="X60" s="13" t="e" cm="1">
        <f t="array" ref="X60">_xll.BDP($G60&amp;" ISIN","CHG_PCT_1M")/100</f>
        <v>#VALUE!</v>
      </c>
      <c r="Y60" s="13" t="e" cm="1">
        <f t="array" ref="Y60">_xll.BDP($G60&amp;" ISIN","CHG_PCT_3M")/100</f>
        <v>#VALUE!</v>
      </c>
      <c r="Z60" s="13" t="e" cm="1">
        <f t="array" ref="Z60">_xll.BDP($G60&amp;" ISIN","CHG_PCT_6M")/100</f>
        <v>#VALUE!</v>
      </c>
      <c r="AA60" s="13" t="e" cm="1">
        <f t="array" ref="AA60">_xll.BDP($G60&amp;" ISIN","CHG_PCT_YTD")/100</f>
        <v>#VALUE!</v>
      </c>
      <c r="AB60" s="13" t="e">
        <f t="shared" si="32"/>
        <v>#VALUE!</v>
      </c>
      <c r="AC60" s="14" t="e">
        <f t="shared" ca="1" si="25"/>
        <v>#VALUE!</v>
      </c>
      <c r="AD60" s="4" t="str">
        <f>_xll.BDP(AI60,"DS199")</f>
        <v>#N/A Connection</v>
      </c>
      <c r="AE60" s="10" t="str">
        <f>_xll.BDP(AI60,"px_ask")</f>
        <v>#N/A Connection</v>
      </c>
      <c r="AF60" s="14" t="e">
        <f>IF(F60="USD",O60,(((_xll.BDP(F60&amp;"USD CURNCY","PX_LAST")))*O60))</f>
        <v>#VALUE!</v>
      </c>
      <c r="AG60" s="11">
        <f t="shared" si="26"/>
        <v>197720</v>
      </c>
      <c r="AH60" s="11" t="e">
        <f t="shared" si="27"/>
        <v>#VALUE!</v>
      </c>
      <c r="AI60" s="4" t="str">
        <f t="shared" si="28"/>
        <v>PAL63444B5A9 ISIN</v>
      </c>
      <c r="AJ60" s="4" t="e" cm="1">
        <f t="array" ref="AJ60">VLOOKUP(IF(NOT(_xll.BDP($G60&amp;" CORP",$CA$5)="#N/A N/A"),(_xll.BDP($G60&amp;" CORP",$CA$5)),"-"), '[1]Country Codes'!$A$2:$B$253,2,0)</f>
        <v>#N/A</v>
      </c>
      <c r="AK60" s="4" t="str" cm="1">
        <f t="array" ref="AK60">IF(OR(_xll.BDP($AI60,"EX028")= "#N/A N/A", _xll.BDP($AI60,"EX028")="#N/A FIELD NOT APPLICABLE"), " ", _xll.BDP($AI60,"EX028"))</f>
        <v>#N/A Connection</v>
      </c>
      <c r="AL60" s="15" t="str">
        <f>(IF(_xll.BDP($AI60&amp;" ISIN","DZ282")="Y","Single line Bonds Cocos","Single line Bonds ex Cocos"))</f>
        <v>Single line Bonds ex Cocos</v>
      </c>
      <c r="AM60" s="8" t="str">
        <f>(IF(_xll.BDP($G60&amp;" ISIN","SP153")="#n/a n/a"," ",_xll.BDP($G60&amp;" ISIN","SP153")))</f>
        <v>#N/A Connection</v>
      </c>
      <c r="AN60" s="16">
        <f t="shared" ca="1" si="29"/>
        <v>45783</v>
      </c>
      <c r="AO60" s="11" t="e">
        <f>(((_xll.BDP(AI60,"DS032"))/360)*I60)*O60</f>
        <v>#VALUE!</v>
      </c>
      <c r="AP60" s="11" t="e">
        <f>IF(F60="USD",AO60,(((_xll.BDP(F60&amp;"USD CURNCY","PX_LAST")))*AO60))</f>
        <v>#VALUE!</v>
      </c>
      <c r="AQ60" s="13" t="e">
        <f>S60/$S$107</f>
        <v>#VALUE!</v>
      </c>
      <c r="AR60" s="11" t="e">
        <f t="shared" si="30"/>
        <v>#VALUE!</v>
      </c>
      <c r="AS60" s="10" t="str">
        <f>IF((TEXT(_xll.BDP(AI60,"MATURITY"),"DD/MM/YYYY")="#N/A Field Not Applicable"),"Perp",_xll.BDP(AI60,"DS252"))</f>
        <v>#N/A Connection</v>
      </c>
      <c r="AT60" s="15" t="str">
        <f>(IF(_xll.BDP($AI60&amp;" ISIN","DT247")="Y","Yes","No"))</f>
        <v>No</v>
      </c>
      <c r="AU60" s="15" t="str">
        <f>PROPER(IF(OR(_xll.BDP($AI60,"CPN_TYP")="#n/a N/A",_xll.BDP($AI60,"CPN_TYP")= "#N/A FIELD NOT APPLICABLE"), " ", _xll.BDP($AI60,"CPN_TYP")))</f>
        <v>#N/A Connection</v>
      </c>
      <c r="BG60" s="17" t="str">
        <f t="shared" si="31"/>
        <v>PAL63444B5A9</v>
      </c>
      <c r="BH60" s="17">
        <v>0</v>
      </c>
      <c r="BI60" s="18">
        <v>5</v>
      </c>
      <c r="BJ60" s="19">
        <v>45126</v>
      </c>
      <c r="BK60" s="20">
        <v>1</v>
      </c>
    </row>
    <row r="61" spans="1:64" s="21" customFormat="1" ht="14.45" customHeight="1" x14ac:dyDescent="0.25">
      <c r="A61" s="49" t="s">
        <v>257</v>
      </c>
      <c r="B61" s="49" t="s">
        <v>258</v>
      </c>
      <c r="C61" s="49" t="s">
        <v>259</v>
      </c>
      <c r="D61" s="49" t="s">
        <v>248</v>
      </c>
      <c r="E61" s="4" t="str">
        <f>_xll.BDP(AI61,"ds520")</f>
        <v>TVF Varlik Kiralama AS</v>
      </c>
      <c r="F61" s="4" t="str">
        <f>_xll.BDP(AI61,"crncy")</f>
        <v>USD</v>
      </c>
      <c r="G61" s="5" t="s">
        <v>136</v>
      </c>
      <c r="H61" s="4" t="str">
        <f>IF(_xll.BDP(AI61,"RTG_MOODY")="#N/A N/A","N/A",_xll.BDP(AI61,"RTG_MOODY"))&amp;","&amp;IF(_xll.BDP(AI61,"RTG_FITCH")="#N/A N/A","N/A",_xll.BDP(AI61,"RTG_FITCH"))&amp;","&amp;IF(_xll.BDP(AI61,"RTG_SP")="#N/A N/A","N/A",_xll.BDP(AI61,"RTG_SP"))</f>
        <v>N/A,BB-,N/A</v>
      </c>
      <c r="I61" s="7">
        <f>_xll.BDP(AI61,"cpn")/100</f>
        <v>6.9500000000000006E-2</v>
      </c>
      <c r="J61" s="7">
        <f ca="1">_xll.BDP($G61&amp;" isin","YAS_BOND_YLD", "YAS_YLD_FLAG=15", "user_local_trade_date",AN61,"Yas_bond_px",$Q61)/100</f>
        <v>7.1722910000000001E-2</v>
      </c>
      <c r="K61" s="4" t="str">
        <f>_xll.BDP(AI61,"PAYMENT_RANK")</f>
        <v>Sr Unsecured</v>
      </c>
      <c r="L61" s="4" t="str">
        <f>IF((TEXT(_xll.BDP(AI61,"MATURITY"),"DD/MM/YYYY")="#N/A Field Not Applicable"),"Perp",TEXT(_xll.BDP(AI61,"MATURITY"),"DD/MM/YYYY"))</f>
        <v>23/01/2030</v>
      </c>
      <c r="M61" s="8">
        <f>(IF(_xll.BDP($AI61&amp;" ISIN","DU003")="#n/a n/a"," ",_xll.BDP($AI61&amp;" ISIN","DU003")))</f>
        <v>4.0302780432457386</v>
      </c>
      <c r="N61" s="4" t="str">
        <f>IF(_xll.BDP(AI61,"CALLABLE")="Y",_xll.BDP(AI61,"NXT_CALL_DT")," ")</f>
        <v xml:space="preserve"> </v>
      </c>
      <c r="O61" s="9">
        <v>200000</v>
      </c>
      <c r="P61" s="5">
        <v>100.096</v>
      </c>
      <c r="Q61" s="10">
        <f>_xll.BDP(AI61,"px_bid")</f>
        <v>99.11</v>
      </c>
      <c r="R61" s="11">
        <f>IF(F61="USD",AG61,(((_xll.BDP(F61&amp;"USD CURNCY","PX_LAST")))*AG61))</f>
        <v>200192</v>
      </c>
      <c r="S61" s="11">
        <f>IF(F61="USD",AH61,(((_xll.BDP(F61&amp;"USD CURNCY","PX_LAST")))*AH61))+AP61</f>
        <v>202042.5</v>
      </c>
      <c r="T61" s="12">
        <f t="shared" si="23"/>
        <v>-1972.0000000000084</v>
      </c>
      <c r="U61" s="13">
        <f t="shared" si="24"/>
        <v>-9.8505434782609116E-3</v>
      </c>
      <c r="V61" s="13" t="str" cm="1">
        <f t="array" ref="V61">IFERROR(_xll.BDP($G61&amp;" ISIN","CHG_PCT_1D")/100,"")</f>
        <v/>
      </c>
      <c r="W61" s="13" t="str" cm="1">
        <f t="array" ref="W61">IFERROR(_xll.BDP($G61&amp;" ISIN","CHG_PCT_5D")/100,"")</f>
        <v/>
      </c>
      <c r="X61" s="13" t="e" cm="1">
        <f t="array" ref="X61">_xll.BDP($G61&amp;" ISIN","CHG_PCT_1M")/100</f>
        <v>#VALUE!</v>
      </c>
      <c r="Y61" s="13" t="e" cm="1">
        <f t="array" ref="Y61">_xll.BDP($G61&amp;" ISIN","CHG_PCT_3M")/100</f>
        <v>#VALUE!</v>
      </c>
      <c r="Z61" s="13" t="e" cm="1">
        <f t="array" ref="Z61">_xll.BDP($G61&amp;" ISIN","CHG_PCT_6M")/100</f>
        <v>#VALUE!</v>
      </c>
      <c r="AA61" s="13" t="e" cm="1">
        <f t="array" ref="AA61">_xll.BDP($G61&amp;" ISIN","CHG_PCT_YTD")/100</f>
        <v>#VALUE!</v>
      </c>
      <c r="AB61" s="13" t="e">
        <f t="shared" si="32"/>
        <v>#VALUE!</v>
      </c>
      <c r="AC61" s="14">
        <f t="shared" ca="1" si="25"/>
        <v>5557.1666666666588</v>
      </c>
      <c r="AD61" s="4" t="str">
        <f>_xll.BDP(AI61,"DS199")</f>
        <v>Financial</v>
      </c>
      <c r="AE61" s="10">
        <f>_xll.BDP(AI61,"px_ask")</f>
        <v>99.495999999999995</v>
      </c>
      <c r="AF61" s="14">
        <f>IF(F61="USD",O61,(((_xll.BDP(F61&amp;"USD CURNCY","PX_LAST")))*O61))</f>
        <v>200000</v>
      </c>
      <c r="AG61" s="11">
        <f t="shared" si="26"/>
        <v>200192</v>
      </c>
      <c r="AH61" s="11">
        <f t="shared" si="27"/>
        <v>198220</v>
      </c>
      <c r="AI61" s="4" t="str">
        <f t="shared" si="28"/>
        <v>XS2911679004 ISIN</v>
      </c>
      <c r="AJ61" s="4" t="e" cm="1">
        <f t="array" ref="AJ61">VLOOKUP(IF(NOT(_xll.BDP($G61&amp;" CORP",$CA$5)="#N/A N/A"),(_xll.BDP($G61&amp;" CORP",$CA$5)),"-"), '[1]Country Codes'!$A$2:$B$253,2,0)</f>
        <v>#N/A</v>
      </c>
      <c r="AK61" s="4" t="str" cm="1">
        <f t="array" ref="AK61">IF(OR(_xll.BDP($AI61,"EX028")= "#N/A N/A", _xll.BDP($AI61,"EX028")="#N/A FIELD NOT APPLICABLE"), " ", _xll.BDP($AI61,"EX028"))</f>
        <v>FixedIncome</v>
      </c>
      <c r="AL61" s="15" t="str">
        <f>(IF(_xll.BDP($AI61&amp;" ISIN","DZ282")="Y","Single line Bonds Cocos","Single line Bonds ex Cocos"))</f>
        <v>Single line Bonds ex Cocos</v>
      </c>
      <c r="AM61" s="8">
        <f>(IF(_xll.BDP($G61&amp;" ISIN","SP153")="#n/a n/a"," ",_xll.BDP($G61&amp;" ISIN","SP153")))</f>
        <v>370.64895526953268</v>
      </c>
      <c r="AN61" s="16">
        <f t="shared" ca="1" si="29"/>
        <v>45783</v>
      </c>
      <c r="AO61" s="11">
        <f>(((_xll.BDP(AI61,"DS032"))/360)*I61)*O61</f>
        <v>3822.5000000000009</v>
      </c>
      <c r="AP61" s="11">
        <f>IF(F61="USD",AO61,(((_xll.BDP(F61&amp;"USD CURNCY","PX_LAST")))*AO61))</f>
        <v>3822.5000000000009</v>
      </c>
      <c r="AQ61" s="13" t="e">
        <f>S61/$S$107</f>
        <v>#VALUE!</v>
      </c>
      <c r="AR61" s="11">
        <f t="shared" si="30"/>
        <v>198220</v>
      </c>
      <c r="AS61" s="10">
        <f>IF((TEXT(_xll.BDP(AI61,"MATURITY"),"DD/MM/YYYY")="#N/A Field Not Applicable"),"Perp",_xll.BDP(AI61,"DS252"))</f>
        <v>4.7337440109514031</v>
      </c>
      <c r="AT61" s="15" t="str">
        <f>(IF(_xll.BDP($AI61&amp;" ISIN","DT247")="Y","Yes","No"))</f>
        <v>No</v>
      </c>
      <c r="AU61" s="15" t="str">
        <f>PROPER(IF(OR(_xll.BDP($AI61,"CPN_TYP")="#n/a N/A",_xll.BDP($AI61,"CPN_TYP")= "#N/A FIELD NOT APPLICABLE"), " ", _xll.BDP($AI61,"CPN_TYP")))</f>
        <v>Fixed</v>
      </c>
      <c r="BG61" s="17" t="str">
        <f t="shared" si="31"/>
        <v>XS2911679004</v>
      </c>
      <c r="BH61" s="17">
        <v>0.67649999999999999</v>
      </c>
      <c r="BI61" s="18" t="s">
        <v>147</v>
      </c>
      <c r="BJ61" s="19">
        <v>45588</v>
      </c>
      <c r="BK61" s="20">
        <v>1</v>
      </c>
    </row>
    <row r="62" spans="1:64" s="101" customFormat="1" ht="14.45" customHeight="1" x14ac:dyDescent="0.25">
      <c r="A62" s="81" t="s">
        <v>242</v>
      </c>
      <c r="B62" s="81" t="s">
        <v>260</v>
      </c>
      <c r="C62" s="81" t="s">
        <v>261</v>
      </c>
      <c r="D62" s="81" t="s">
        <v>248</v>
      </c>
      <c r="E62" s="88" t="str">
        <f>_xll.BDP(AI62,"ds520")</f>
        <v>Gaci First Investment Co</v>
      </c>
      <c r="F62" s="88" t="str">
        <f>_xll.BDP(AI62,"crncy")</f>
        <v>USD</v>
      </c>
      <c r="G62" s="88" t="s">
        <v>188</v>
      </c>
      <c r="H62" s="88" t="str">
        <f>IF(_xll.BDP(AI62,"RTG_MOODY")="#N/A N/A","N/A",_xll.BDP(AI62,"RTG_MOODY"))&amp;","&amp;IF(_xll.BDP(AI62,"RTG_FITCH")="#N/A N/A","N/A",_xll.BDP(AI62,"RTG_FITCH"))&amp;","&amp;IF(_xll.BDP(AI62,"RTG_SP")="#N/A N/A","N/A",_xll.BDP(AI62,"RTG_SP"))</f>
        <v>Aa3,A+,N/A</v>
      </c>
      <c r="I62" s="38">
        <f>_xll.BDP(AI62,"cpn")/100</f>
        <v>5.3749999999999999E-2</v>
      </c>
      <c r="J62" s="38">
        <f ca="1">_xll.BDP($G62&amp;" isin","YAS_BOND_YLD", "YAS_YLD_FLAG=15", "user_local_trade_date",AN62,"Yas_bond_px",$Q62)/100</f>
        <v>6.2666369999999999E-2</v>
      </c>
      <c r="K62" s="88" t="str">
        <f>_xll.BDP(AI62,"PAYMENT_RANK")</f>
        <v>Sr Unsecured</v>
      </c>
      <c r="L62" s="88" t="str">
        <f>IF((TEXT(_xll.BDP(AI62,"MATURITY"),"DD/MM/YYYY")="#N/A Field Not Applicable"),"Perp",TEXT(_xll.BDP(AI62,"MATURITY"),"DD/MM/YYYY"))</f>
        <v>29/01/2054</v>
      </c>
      <c r="M62" s="97">
        <f>(IF(_xll.BDP($AI62&amp;" ISIN","DU003")="#n/a n/a"," ",_xll.BDP($AI62&amp;" ISIN","DU003")))</f>
        <v>13.894283969589681</v>
      </c>
      <c r="N62" s="88" t="str">
        <f>IF(_xll.BDP(AI62,"CALLABLE")="Y",_xll.BDP(AI62,"NXT_CALL_DT")," ")</f>
        <v>29/07/2053</v>
      </c>
      <c r="O62" s="98">
        <v>300000</v>
      </c>
      <c r="P62" s="88">
        <v>87.43</v>
      </c>
      <c r="Q62" s="99">
        <f>_xll.BDP(AI62,"px_bid")</f>
        <v>88.179000000000002</v>
      </c>
      <c r="R62" s="100">
        <f>IF(F62="USD",AG62,(((_xll.BDP(F62&amp;"USD CURNCY","PX_LAST")))*AG62))</f>
        <v>262290.00000000006</v>
      </c>
      <c r="S62" s="100">
        <f>IF(F62="USD",AH62,(((_xll.BDP(F62&amp;"USD CURNCY","PX_LAST")))*AH62))+AP62</f>
        <v>268702.625</v>
      </c>
      <c r="T62" s="86">
        <f t="shared" si="23"/>
        <v>2246.9999999999859</v>
      </c>
      <c r="U62" s="87">
        <f t="shared" si="24"/>
        <v>8.5668534827861732E-3</v>
      </c>
      <c r="V62" s="87" t="str" cm="1">
        <f t="array" ref="V62">IFERROR(_xll.BDP($G62&amp;" ISIN","CHG_PCT_1D")/100,"")</f>
        <v/>
      </c>
      <c r="W62" s="87" t="str" cm="1">
        <f t="array" ref="W62">IFERROR(_xll.BDP($G62&amp;" ISIN","CHG_PCT_5D")/100,"")</f>
        <v/>
      </c>
      <c r="X62" s="87" t="e" cm="1">
        <f t="array" ref="X62">_xll.BDP($G62&amp;" ISIN","CHG_PCT_1M")/100</f>
        <v>#VALUE!</v>
      </c>
      <c r="Y62" s="87" t="e" cm="1">
        <f t="array" ref="Y62">_xll.BDP($G62&amp;" ISIN","CHG_PCT_3M")/100</f>
        <v>#VALUE!</v>
      </c>
      <c r="Z62" s="87" t="e" cm="1">
        <f t="array" ref="Z62">_xll.BDP($G62&amp;" ISIN","CHG_PCT_6M")/100</f>
        <v>#VALUE!</v>
      </c>
      <c r="AA62" s="87" t="e" cm="1">
        <f t="array" ref="AA62">_xll.BDP($G62&amp;" ISIN","CHG_PCT_YTD")/100</f>
        <v>#VALUE!</v>
      </c>
      <c r="AB62" s="87" t="e">
        <f t="shared" si="32"/>
        <v>#VALUE!</v>
      </c>
      <c r="AC62" s="98">
        <f t="shared" ca="1" si="25"/>
        <v>19850.124999999985</v>
      </c>
      <c r="AD62" s="88" t="str">
        <f>_xll.BDP(AI62,"DS199")</f>
        <v>Financial</v>
      </c>
      <c r="AE62" s="99">
        <f>_xll.BDP(AI62,"px_ask")</f>
        <v>88.968000000000004</v>
      </c>
      <c r="AF62" s="98">
        <f>IF(F62="USD",O62,(((_xll.BDP(F62&amp;"USD CURNCY","PX_LAST")))*O62))</f>
        <v>300000</v>
      </c>
      <c r="AG62" s="100">
        <f t="shared" si="26"/>
        <v>262290.00000000006</v>
      </c>
      <c r="AH62" s="100">
        <f t="shared" si="27"/>
        <v>264537</v>
      </c>
      <c r="AI62" s="88" t="str">
        <f t="shared" si="28"/>
        <v>XS2755904872 ISIN</v>
      </c>
      <c r="AJ62" s="88" t="e" cm="1">
        <f t="array" ref="AJ62">VLOOKUP(IF(NOT(_xll.BDP($G62&amp;" CORP",$CA$5)="#N/A N/A"),(_xll.BDP($G62&amp;" CORP",$CA$5)),"-"), '[1]Country Codes'!$A$2:$B$253,2,0)</f>
        <v>#N/A</v>
      </c>
      <c r="AK62" s="88" t="str" cm="1">
        <f t="array" ref="AK62">IF(OR(_xll.BDP($AI62,"EX028")= "#N/A N/A", _xll.BDP($AI62,"EX028")="#N/A FIELD NOT APPLICABLE"), " ", _xll.BDP($AI62,"EX028"))</f>
        <v>FixedIncome</v>
      </c>
      <c r="AL62" s="38" t="str">
        <f>(IF(_xll.BDP($AI62&amp;" ISIN","DZ282")="Y","Single line Bonds Cocos","Single line Bonds ex Cocos"))</f>
        <v>Single line Bonds ex Cocos</v>
      </c>
      <c r="AM62" s="97">
        <f>(IF(_xll.BDP($G62&amp;" ISIN","SP153")="#n/a n/a"," ",_xll.BDP($G62&amp;" ISIN","SP153")))</f>
        <v>244.54207102273691</v>
      </c>
      <c r="AN62" s="95">
        <f t="shared" ca="1" si="29"/>
        <v>45783</v>
      </c>
      <c r="AO62" s="100">
        <f>(((_xll.BDP(AI62,"DS032"))/360)*I62)*O62</f>
        <v>4165.625</v>
      </c>
      <c r="AP62" s="100">
        <f>IF(F62="USD",AO62,(((_xll.BDP(F62&amp;"USD CURNCY","PX_LAST")))*AO62))</f>
        <v>4165.625</v>
      </c>
      <c r="AQ62" s="87" t="e">
        <f>S62/$S$108</f>
        <v>#VALUE!</v>
      </c>
      <c r="AR62" s="100">
        <f t="shared" si="30"/>
        <v>264537</v>
      </c>
      <c r="AS62" s="99">
        <f>IF((TEXT(_xll.BDP(AI62,"MATURITY"),"DD/MM/YYYY")="#N/A Field Not Applicable"),"Perp",_xll.BDP(AI62,"DS252"))</f>
        <v>28.750171115674195</v>
      </c>
      <c r="AT62" s="38" t="str">
        <f>(IF(_xll.BDP($AI62&amp;" ISIN","DT247")="Y","Yes","No"))</f>
        <v>No</v>
      </c>
      <c r="AU62" s="38" t="str">
        <f>PROPER(IF(OR(_xll.BDP($AI62,"CPN_TYP")="#n/a N/A",_xll.BDP($AI62,"CPN_TYP")= "#N/A FIELD NOT APPLICABLE"), " ", _xll.BDP($AI62,"CPN_TYP")))</f>
        <v>Fixed</v>
      </c>
      <c r="BG62" s="38" t="str">
        <f t="shared" si="31"/>
        <v>XS2755904872</v>
      </c>
      <c r="BH62" s="38">
        <f>VLOOKUP(BG62,'[2]Portefeuille 4379150'!$B$3:$G$42,6,0)</f>
        <v>0.5988</v>
      </c>
      <c r="BI62" s="94">
        <v>3</v>
      </c>
      <c r="BJ62" s="95">
        <v>45390</v>
      </c>
      <c r="BK62" s="96">
        <v>1</v>
      </c>
    </row>
    <row r="63" spans="1:64" s="21" customFormat="1" ht="14.45" customHeight="1" x14ac:dyDescent="0.25">
      <c r="A63" s="49" t="s">
        <v>242</v>
      </c>
      <c r="B63" s="49" t="s">
        <v>260</v>
      </c>
      <c r="C63" s="49" t="s">
        <v>261</v>
      </c>
      <c r="D63" s="49" t="s">
        <v>248</v>
      </c>
      <c r="E63" s="4" t="str">
        <f>_xll.BDP(AI63,"ds520")</f>
        <v>#N/A Connection</v>
      </c>
      <c r="F63" s="4" t="str">
        <f>_xll.BDP(AI63,"crncy")</f>
        <v>#N/A Connection</v>
      </c>
      <c r="G63" s="5" t="s">
        <v>195</v>
      </c>
      <c r="H63" s="4" t="str">
        <f>IF(_xll.BDP(AI63,"RTG_MOODY")="#N/A N/A","N/A",_xll.BDP(AI63,"RTG_MOODY"))&amp;","&amp;IF(_xll.BDP(AI63,"RTG_FITCH")="#N/A N/A","N/A",_xll.BDP(AI63,"RTG_FITCH"))&amp;","&amp;IF(_xll.BDP(AI63,"RTG_SP")="#N/A N/A","N/A",_xll.BDP(AI63,"RTG_SP"))</f>
        <v>#N/A Connection,#N/A Connection,#N/A Connection</v>
      </c>
      <c r="I63" s="7">
        <v>0</v>
      </c>
      <c r="J63" s="7">
        <v>0</v>
      </c>
      <c r="K63" s="4" t="str">
        <f>_xll.BDP(AI63,"PAYMENT_RANK")</f>
        <v>#N/A Connection</v>
      </c>
      <c r="L63" s="4" t="str">
        <f>IF((TEXT(_xll.BDP(AI63,"MATURITY"),"DD/MM/YYYY")="#N/A Field Not Applicable"),"Perp",TEXT(_xll.BDP(AI63,"MATURITY"),"DD/MM/YYYY"))</f>
        <v>#N/A Connection</v>
      </c>
      <c r="M63" s="8" t="str">
        <f>(IF(_xll.BDP($AI63&amp;" ISIN","DU003")="#n/a n/a"," ",_xll.BDP($AI63&amp;" ISIN","DU003")))</f>
        <v>#N/A Connection</v>
      </c>
      <c r="N63" s="4" t="str">
        <f>IF(_xll.BDP(AI63,"CALLABLE")="Y",_xll.BDP(AI63,"NXT_CALL_DT")," ")</f>
        <v xml:space="preserve"> </v>
      </c>
      <c r="O63" s="9">
        <v>200000</v>
      </c>
      <c r="P63" s="5">
        <v>99.241399999999999</v>
      </c>
      <c r="Q63" s="10" t="str">
        <f>_xll.BDP(AI63,"px_bid")</f>
        <v>#N/A Connection</v>
      </c>
      <c r="R63" s="11" t="e">
        <f>IF(F63="USD",AG63,(((_xll.BDP(F63&amp;"USD CURNCY","PX_LAST")))*AG63))</f>
        <v>#VALUE!</v>
      </c>
      <c r="S63" s="11" t="e">
        <f>IF(F63="USD",AH63,(((_xll.BDP(F63&amp;"USD CURNCY","PX_LAST")))*AH63))+AP63</f>
        <v>#VALUE!</v>
      </c>
      <c r="T63" s="12" t="e">
        <f t="shared" si="23"/>
        <v>#VALUE!</v>
      </c>
      <c r="U63" s="13" t="e">
        <f t="shared" si="24"/>
        <v>#VALUE!</v>
      </c>
      <c r="V63" s="13" t="str" cm="1">
        <f t="array" ref="V63">IFERROR(_xll.BDP($G63&amp;" ISIN","CHG_PCT_1D")/100,"")</f>
        <v/>
      </c>
      <c r="W63" s="13" t="str" cm="1">
        <f t="array" ref="W63">IFERROR(_xll.BDP($G63&amp;" ISIN","CHG_PCT_5D")/100,"")</f>
        <v/>
      </c>
      <c r="X63" s="13" t="e" cm="1">
        <f t="array" ref="X63">_xll.BDP($G63&amp;" ISIN","CHG_PCT_1M")/100</f>
        <v>#VALUE!</v>
      </c>
      <c r="Y63" s="13" t="e" cm="1">
        <f t="array" ref="Y63">_xll.BDP($G63&amp;" ISIN","CHG_PCT_3M")/100</f>
        <v>#VALUE!</v>
      </c>
      <c r="Z63" s="13" t="e" cm="1">
        <f t="array" ref="Z63">_xll.BDP($G63&amp;" ISIN","CHG_PCT_6M")/100</f>
        <v>#VALUE!</v>
      </c>
      <c r="AA63" s="13" t="e" cm="1">
        <f t="array" ref="AA63">_xll.BDP($G63&amp;" ISIN","CHG_PCT_YTD")/100</f>
        <v>#VALUE!</v>
      </c>
      <c r="AB63" s="13" t="e">
        <f t="shared" si="32"/>
        <v>#VALUE!</v>
      </c>
      <c r="AC63" s="14" t="e">
        <f t="shared" ca="1" si="25"/>
        <v>#VALUE!</v>
      </c>
      <c r="AD63" s="4" t="str">
        <f>_xll.BDP(AI63,"DS199")</f>
        <v>#N/A Connection</v>
      </c>
      <c r="AE63" s="10" t="str">
        <f>_xll.BDP(AI63,"px_ask")</f>
        <v>#N/A Connection</v>
      </c>
      <c r="AF63" s="14" t="e">
        <f>IF(F63="USD",O63,(((_xll.BDP(F63&amp;"USD CURNCY","PX_LAST")))*O63))</f>
        <v>#VALUE!</v>
      </c>
      <c r="AG63" s="11">
        <f t="shared" si="26"/>
        <v>198482.8</v>
      </c>
      <c r="AH63" s="11" t="e">
        <f t="shared" si="27"/>
        <v>#VALUE!</v>
      </c>
      <c r="AI63" s="4" t="str">
        <f t="shared" si="28"/>
        <v>XS2384475930 ISIN</v>
      </c>
      <c r="AJ63" s="4" t="e" cm="1">
        <f t="array" ref="AJ63">VLOOKUP(IF(NOT(_xll.BDP($G63&amp;" CORP",$CA$5)="#N/A N/A"),(_xll.BDP($G63&amp;" CORP",$CA$5)),"-"), '[1]Country Codes'!$A$2:$B$253,2,0)</f>
        <v>#N/A</v>
      </c>
      <c r="AK63" s="4" t="str" cm="1">
        <f t="array" ref="AK63">IF(OR(_xll.BDP($AI63,"EX028")= "#N/A N/A", _xll.BDP($AI63,"EX028")="#N/A FIELD NOT APPLICABLE"), " ", _xll.BDP($AI63,"EX028"))</f>
        <v>#N/A Connection</v>
      </c>
      <c r="AL63" s="15" t="str">
        <f>(IF(_xll.BDP($AI63&amp;" ISIN","DZ282")="Y","Single line Bonds Cocos","Single line Bonds ex Cocos"))</f>
        <v>Single line Bonds ex Cocos</v>
      </c>
      <c r="AM63" s="8" t="str">
        <f>(IF(_xll.BDP($G63&amp;" ISIN","SP153")="#n/a n/a"," ",_xll.BDP($G63&amp;" ISIN","SP153")))</f>
        <v>#N/A Connection</v>
      </c>
      <c r="AN63" s="16">
        <f t="shared" ca="1" si="29"/>
        <v>45783</v>
      </c>
      <c r="AO63" s="11" t="e">
        <f>(((_xll.BDP(AI63,"DS032"))/360)*I63)*O63</f>
        <v>#VALUE!</v>
      </c>
      <c r="AP63" s="11" t="e">
        <f>IF(F63="USD",AO63,(((_xll.BDP(F63&amp;"USD CURNCY","PX_LAST")))*AO63))</f>
        <v>#VALUE!</v>
      </c>
      <c r="AQ63" s="13" t="e">
        <f>S63/$S$108</f>
        <v>#VALUE!</v>
      </c>
      <c r="AR63" s="11" t="e">
        <f t="shared" si="30"/>
        <v>#VALUE!</v>
      </c>
      <c r="AS63" s="10" t="str">
        <f>IF((TEXT(_xll.BDP(AI63,"MATURITY"),"DD/MM/YYYY")="#N/A Field Not Applicable"),"Perp",_xll.BDP(AI63,"DS252"))</f>
        <v>#N/A Connection</v>
      </c>
      <c r="AT63" s="15" t="str">
        <f>(IF(_xll.BDP($AI63&amp;" ISIN","DT247")="Y","Yes","No"))</f>
        <v>No</v>
      </c>
      <c r="AU63" s="15" t="str">
        <f>PROPER(IF(OR(_xll.BDP($AI63,"CPN_TYP")="#n/a N/A",_xll.BDP($AI63,"CPN_TYP")= "#N/A FIELD NOT APPLICABLE"), " ", _xll.BDP($AI63,"CPN_TYP")))</f>
        <v>#N/A Connection</v>
      </c>
      <c r="BG63" s="17" t="str">
        <f t="shared" si="31"/>
        <v>XS2384475930</v>
      </c>
      <c r="BH63" s="17">
        <f>VLOOKUP(BG63,'[2]Portefeuille 4379150'!$B$3:$G$42,6,0)</f>
        <v>0</v>
      </c>
      <c r="BI63" s="18">
        <v>5</v>
      </c>
      <c r="BJ63" s="19">
        <v>44463</v>
      </c>
      <c r="BK63" s="20">
        <v>1</v>
      </c>
    </row>
    <row r="64" spans="1:64" s="77" customFormat="1" ht="14.45" customHeight="1" x14ac:dyDescent="0.25">
      <c r="A64" s="49" t="s">
        <v>242</v>
      </c>
      <c r="B64" s="49" t="s">
        <v>260</v>
      </c>
      <c r="C64" s="49" t="s">
        <v>261</v>
      </c>
      <c r="D64" s="49" t="s">
        <v>248</v>
      </c>
      <c r="E64" s="4" t="str">
        <f>_xll.BDP(AI64,"ds520")</f>
        <v>#N/A Connection</v>
      </c>
      <c r="F64" s="4" t="str">
        <f>_xll.BDP(AI64,"crncy")</f>
        <v>#N/A Connection</v>
      </c>
      <c r="G64" s="5" t="s">
        <v>196</v>
      </c>
      <c r="H64" s="4" t="str">
        <f>IF(_xll.BDP(AI64,"RTG_MOODY")="#N/A N/A","N/A",_xll.BDP(AI64,"RTG_MOODY"))&amp;","&amp;IF(_xll.BDP(AI64,"RTG_FITCH")="#N/A N/A","N/A",_xll.BDP(AI64,"RTG_FITCH"))&amp;","&amp;IF(_xll.BDP(AI64,"RTG_SP")="#N/A N/A","N/A",_xll.BDP(AI64,"RTG_SP"))</f>
        <v>#N/A Connection,#N/A Connection,#N/A Connection</v>
      </c>
      <c r="I64" s="7">
        <v>0</v>
      </c>
      <c r="J64" s="7">
        <v>0</v>
      </c>
      <c r="K64" s="4" t="str">
        <f>_xll.BDP(AI64,"PAYMENT_RANK")</f>
        <v>#N/A Connection</v>
      </c>
      <c r="L64" s="4" t="str">
        <f>IF((TEXT(_xll.BDP(AI64,"MATURITY"),"DD/MM/YYYY")="#N/A Field Not Applicable"),"Perp",TEXT(_xll.BDP(AI64,"MATURITY"),"DD/MM/YYYY"))</f>
        <v>#N/A Connection</v>
      </c>
      <c r="M64" s="8" t="str">
        <f>(IF(_xll.BDP($AI64&amp;" ISIN","DU003")="#n/a n/a"," ",_xll.BDP($AI64&amp;" ISIN","DU003")))</f>
        <v>#N/A Connection</v>
      </c>
      <c r="N64" s="4" t="str">
        <f>IF(_xll.BDP(AI64,"CALLABLE")="Y",_xll.BDP(AI64,"NXT_CALL_DT")," ")</f>
        <v xml:space="preserve"> </v>
      </c>
      <c r="O64" s="9">
        <v>300000</v>
      </c>
      <c r="P64" s="5">
        <v>100.0543</v>
      </c>
      <c r="Q64" s="10" t="str">
        <f>_xll.BDP(AI64,"px_bid")</f>
        <v>#N/A Connection</v>
      </c>
      <c r="R64" s="11" t="e">
        <f>IF(F64="USD",AG64,(((_xll.BDP(F64&amp;"USD CURNCY","PX_LAST")))*AG64))</f>
        <v>#VALUE!</v>
      </c>
      <c r="S64" s="11" t="e">
        <f>IF(F64="USD",AH64,(((_xll.BDP(F64&amp;"USD CURNCY","PX_LAST")))*AH64))+AP64</f>
        <v>#VALUE!</v>
      </c>
      <c r="T64" s="12" t="e">
        <f t="shared" si="23"/>
        <v>#VALUE!</v>
      </c>
      <c r="U64" s="13" t="e">
        <f t="shared" si="24"/>
        <v>#VALUE!</v>
      </c>
      <c r="V64" s="13" t="str" cm="1">
        <f t="array" ref="V64">IFERROR(_xll.BDP($G64&amp;" ISIN","CHG_PCT_1D")/100,"")</f>
        <v/>
      </c>
      <c r="W64" s="13" t="str" cm="1">
        <f t="array" ref="W64">IFERROR(_xll.BDP($G64&amp;" ISIN","CHG_PCT_5D")/100,"")</f>
        <v/>
      </c>
      <c r="X64" s="13" t="e" cm="1">
        <f t="array" ref="X64">_xll.BDP($G64&amp;" ISIN","CHG_PCT_1M")/100</f>
        <v>#VALUE!</v>
      </c>
      <c r="Y64" s="13" t="e" cm="1">
        <f t="array" ref="Y64">_xll.BDP($G64&amp;" ISIN","CHG_PCT_3M")/100</f>
        <v>#VALUE!</v>
      </c>
      <c r="Z64" s="13" t="e" cm="1">
        <f t="array" ref="Z64">_xll.BDP($G64&amp;" ISIN","CHG_PCT_6M")/100</f>
        <v>#VALUE!</v>
      </c>
      <c r="AA64" s="13" t="e" cm="1">
        <f t="array" ref="AA64">_xll.BDP($G64&amp;" ISIN","CHG_PCT_YTD")/100</f>
        <v>#VALUE!</v>
      </c>
      <c r="AB64" s="13" t="e">
        <f t="shared" si="32"/>
        <v>#VALUE!</v>
      </c>
      <c r="AC64" s="14" t="e">
        <f t="shared" ca="1" si="25"/>
        <v>#VALUE!</v>
      </c>
      <c r="AD64" s="4" t="str">
        <f>_xll.BDP(AI64,"DS199")</f>
        <v>#N/A Connection</v>
      </c>
      <c r="AE64" s="10" t="str">
        <f>_xll.BDP(AI64,"px_ask")</f>
        <v>#N/A Connection</v>
      </c>
      <c r="AF64" s="14" t="e">
        <f>IF(F64="USD",O64,(((_xll.BDP(F64&amp;"USD CURNCY","PX_LAST")))*O64))</f>
        <v>#VALUE!</v>
      </c>
      <c r="AG64" s="11">
        <f t="shared" si="26"/>
        <v>300162.90000000002</v>
      </c>
      <c r="AH64" s="11" t="e">
        <f t="shared" si="27"/>
        <v>#VALUE!</v>
      </c>
      <c r="AI64" s="4" t="str">
        <f t="shared" si="28"/>
        <v>XS2401571448 ISIN</v>
      </c>
      <c r="AJ64" s="4" t="e" cm="1">
        <f t="array" ref="AJ64">VLOOKUP(IF(NOT(_xll.BDP($G64&amp;" CORP",$CA$5)="#N/A N/A"),(_xll.BDP($G64&amp;" CORP",$CA$5)),"-"), '[1]Country Codes'!$A$2:$B$253,2,0)</f>
        <v>#N/A</v>
      </c>
      <c r="AK64" s="4" t="str" cm="1">
        <f t="array" ref="AK64">IF(OR(_xll.BDP($AI64,"EX028")= "#N/A N/A", _xll.BDP($AI64,"EX028")="#N/A FIELD NOT APPLICABLE"), " ", _xll.BDP($AI64,"EX028"))</f>
        <v>#N/A Connection</v>
      </c>
      <c r="AL64" s="15" t="str">
        <f>(IF(_xll.BDP($AI64&amp;" ISIN","DZ282")="Y","Single line Bonds Cocos","Single line Bonds ex Cocos"))</f>
        <v>Single line Bonds ex Cocos</v>
      </c>
      <c r="AM64" s="8" t="str">
        <f>(IF(_xll.BDP($G64&amp;" ISIN","SP153")="#n/a n/a"," ",_xll.BDP($G64&amp;" ISIN","SP153")))</f>
        <v>#N/A Connection</v>
      </c>
      <c r="AN64" s="16">
        <f t="shared" ca="1" si="29"/>
        <v>45783</v>
      </c>
      <c r="AO64" s="11" t="e">
        <f>(((_xll.BDP(AI64,"DS032"))/360)*I64)*O64</f>
        <v>#VALUE!</v>
      </c>
      <c r="AP64" s="11" t="e">
        <f>IF(F64="USD",AO64,(((_xll.BDP(F64&amp;"USD CURNCY","PX_LAST")))*AO64))</f>
        <v>#VALUE!</v>
      </c>
      <c r="AQ64" s="13" t="e">
        <f>S64/$S$108</f>
        <v>#VALUE!</v>
      </c>
      <c r="AR64" s="11" t="e">
        <f t="shared" si="30"/>
        <v>#VALUE!</v>
      </c>
      <c r="AS64" s="10" t="str">
        <f>IF((TEXT(_xll.BDP(AI64,"MATURITY"),"DD/MM/YYYY")="#N/A Field Not Applicable"),"Perp",_xll.BDP(AI64,"DS252"))</f>
        <v>#N/A Connection</v>
      </c>
      <c r="AT64" s="15" t="str">
        <f>(IF(_xll.BDP($AI64&amp;" ISIN","DT247")="Y","Yes","No"))</f>
        <v>No</v>
      </c>
      <c r="AU64" s="15" t="str">
        <f>PROPER(IF(OR(_xll.BDP($AI64,"CPN_TYP")="#n/a N/A",_xll.BDP($AI64,"CPN_TYP")= "#N/A FIELD NOT APPLICABLE"), " ", _xll.BDP($AI64,"CPN_TYP")))</f>
        <v>#N/A Connection</v>
      </c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17" t="str">
        <f t="shared" si="31"/>
        <v>XS2401571448</v>
      </c>
      <c r="BH64" s="17">
        <f>VLOOKUP(BG64,'[2]Portefeuille 4379150'!$B$3:$G$42,6,0)</f>
        <v>0</v>
      </c>
      <c r="BI64" s="18">
        <v>5</v>
      </c>
      <c r="BJ64" s="19">
        <v>44495</v>
      </c>
      <c r="BK64" s="20">
        <v>1</v>
      </c>
      <c r="BL64" s="21"/>
    </row>
    <row r="65" spans="1:64" s="21" customFormat="1" ht="14.45" customHeight="1" x14ac:dyDescent="0.25">
      <c r="A65" s="49" t="s">
        <v>242</v>
      </c>
      <c r="B65" s="49" t="s">
        <v>260</v>
      </c>
      <c r="C65" s="49" t="s">
        <v>261</v>
      </c>
      <c r="D65" s="49" t="s">
        <v>248</v>
      </c>
      <c r="E65" s="4" t="str">
        <f>_xll.BDP(AI65,"ds520")</f>
        <v>#N/A Connection</v>
      </c>
      <c r="F65" s="4" t="str">
        <f>_xll.BDP(AI65,"crncy")</f>
        <v>#N/A Connection</v>
      </c>
      <c r="G65" s="5" t="s">
        <v>149</v>
      </c>
      <c r="H65" s="4" t="str">
        <f>IF(_xll.BDP(AI65,"RTG_MOODY")="#N/A N/A","N/A",_xll.BDP(AI65,"RTG_MOODY"))&amp;","&amp;IF(_xll.BDP(AI65,"RTG_FITCH")="#N/A N/A","N/A",_xll.BDP(AI65,"RTG_FITCH"))&amp;","&amp;IF(_xll.BDP(AI65,"RTG_SP")="#N/A N/A","N/A",_xll.BDP(AI65,"RTG_SP"))</f>
        <v>#N/A Connection,#N/A Connection,#N/A Connection</v>
      </c>
      <c r="I65" s="7" t="e">
        <f>_xll.BDP(AI65,"cpn")/100</f>
        <v>#VALUE!</v>
      </c>
      <c r="J65" s="7" t="e">
        <f ca="1">_xll.BDP($G65&amp;" isin","YAS_BOND_YLD", "YAS_YLD_FLAG=15", "user_local_trade_date",AN65,"Yas_bond_px",$Q65)/100</f>
        <v>#VALUE!</v>
      </c>
      <c r="K65" s="4" t="str">
        <f>_xll.BDP(AI65,"PAYMENT_RANK")</f>
        <v>#N/A Connection</v>
      </c>
      <c r="L65" s="4" t="str">
        <f>IF((TEXT(_xll.BDP(AI65,"MATURITY"),"DD/MM/YYYY")="#N/A Field Not Applicable"),"Perp",TEXT(_xll.BDP(AI65,"MATURITY"),"DD/MM/YYYY"))</f>
        <v>#N/A Connection</v>
      </c>
      <c r="M65" s="8" t="str">
        <f>(IF(_xll.BDP($AI65&amp;" ISIN","DU003")="#n/a n/a"," ",_xll.BDP($AI65&amp;" ISIN","DU003")))</f>
        <v>#N/A Connection</v>
      </c>
      <c r="N65" s="4" t="str">
        <f>IF(_xll.BDP(AI65,"CALLABLE")="Y",_xll.BDP(AI65,"NXT_CALL_DT")," ")</f>
        <v xml:space="preserve"> </v>
      </c>
      <c r="O65" s="9">
        <v>200000</v>
      </c>
      <c r="P65" s="5">
        <v>100.098</v>
      </c>
      <c r="Q65" s="10" t="str">
        <f>_xll.BDP(AI65,"px_bid")</f>
        <v>#N/A Connection</v>
      </c>
      <c r="R65" s="11" t="e">
        <f>IF(F65="USD",AG65,(((_xll.BDP(F65&amp;"USD CURNCY","PX_LAST")))*AG65))</f>
        <v>#VALUE!</v>
      </c>
      <c r="S65" s="11" t="e">
        <f>IF(F65="USD",AH65,(((_xll.BDP(F65&amp;"USD CURNCY","PX_LAST")))*AH65))+AP65</f>
        <v>#VALUE!</v>
      </c>
      <c r="T65" s="12" t="e">
        <f t="shared" si="23"/>
        <v>#VALUE!</v>
      </c>
      <c r="U65" s="13" t="e">
        <f t="shared" si="24"/>
        <v>#VALUE!</v>
      </c>
      <c r="V65" s="13" t="str" cm="1">
        <f t="array" ref="V65">IFERROR(_xll.BDP($G65&amp;" ISIN","CHG_PCT_1D")/100,"")</f>
        <v/>
      </c>
      <c r="W65" s="13" t="str" cm="1">
        <f t="array" ref="W65">IFERROR(_xll.BDP($G65&amp;" ISIN","CHG_PCT_5D")/100,"")</f>
        <v/>
      </c>
      <c r="X65" s="13" t="e" cm="1">
        <f t="array" ref="X65">_xll.BDP($G65&amp;" ISIN","CHG_PCT_1M")/100</f>
        <v>#VALUE!</v>
      </c>
      <c r="Y65" s="13" t="e" cm="1">
        <f t="array" ref="Y65">_xll.BDP($G65&amp;" ISIN","CHG_PCT_3M")/100</f>
        <v>#VALUE!</v>
      </c>
      <c r="Z65" s="13" t="e" cm="1">
        <f t="array" ref="Z65">_xll.BDP($G65&amp;" ISIN","CHG_PCT_6M")/100</f>
        <v>#VALUE!</v>
      </c>
      <c r="AA65" s="13" t="e" cm="1">
        <f t="array" ref="AA65">_xll.BDP($G65&amp;" ISIN","CHG_PCT_YTD")/100</f>
        <v>#VALUE!</v>
      </c>
      <c r="AB65" s="13" t="e">
        <f t="shared" si="32"/>
        <v>#VALUE!</v>
      </c>
      <c r="AC65" s="14" t="e">
        <f t="shared" ca="1" si="25"/>
        <v>#VALUE!</v>
      </c>
      <c r="AD65" s="4" t="str">
        <f>_xll.BDP(AI65,"DS199")</f>
        <v>#N/A Connection</v>
      </c>
      <c r="AE65" s="10" t="str">
        <f>_xll.BDP(AI65,"px_ask")</f>
        <v>#N/A Connection</v>
      </c>
      <c r="AF65" s="14" t="e">
        <f>IF(F65="USD",O65,(((_xll.BDP(F65&amp;"USD CURNCY","PX_LAST")))*O65))</f>
        <v>#VALUE!</v>
      </c>
      <c r="AG65" s="11">
        <f t="shared" si="26"/>
        <v>200196</v>
      </c>
      <c r="AH65" s="11" t="e">
        <f t="shared" si="27"/>
        <v>#VALUE!</v>
      </c>
      <c r="AI65" s="4" t="str">
        <f t="shared" si="28"/>
        <v>XS2630917107 ISIN</v>
      </c>
      <c r="AJ65" s="4" t="e" cm="1">
        <f t="array" ref="AJ65">VLOOKUP(IF(NOT(_xll.BDP($G65&amp;" CORP",$CA$5)="#N/A N/A"),(_xll.BDP($G65&amp;" CORP",$CA$5)),"-"), '[1]Country Codes'!$A$2:$B$253,2,0)</f>
        <v>#N/A</v>
      </c>
      <c r="AK65" s="4" t="str" cm="1">
        <f t="array" ref="AK65">IF(OR(_xll.BDP($AI65,"EX028")= "#N/A N/A", _xll.BDP($AI65,"EX028")="#N/A FIELD NOT APPLICABLE"), " ", _xll.BDP($AI65,"EX028"))</f>
        <v>#N/A Connection</v>
      </c>
      <c r="AL65" s="15" t="str">
        <f>(IF(_xll.BDP($AI65&amp;" ISIN","DZ282")="Y","Single line Bonds Cocos","Single line Bonds ex Cocos"))</f>
        <v>Single line Bonds ex Cocos</v>
      </c>
      <c r="AM65" s="8" t="str">
        <f>(IF(_xll.BDP($G65&amp;" ISIN","SP153")="#n/a n/a"," ",_xll.BDP($G65&amp;" ISIN","SP153")))</f>
        <v>#N/A Connection</v>
      </c>
      <c r="AN65" s="16">
        <f t="shared" ca="1" si="29"/>
        <v>45783</v>
      </c>
      <c r="AO65" s="11" t="e">
        <f>(((_xll.BDP(AI65,"DS032"))/360)*I65)*O65</f>
        <v>#VALUE!</v>
      </c>
      <c r="AP65" s="11" t="e">
        <f>IF(F65="USD",AO65,(((_xll.BDP(F65&amp;"USD CURNCY","PX_LAST")))*AO65))</f>
        <v>#VALUE!</v>
      </c>
      <c r="AQ65" s="13" t="e">
        <f>S65/$S$108</f>
        <v>#VALUE!</v>
      </c>
      <c r="AR65" s="11" t="e">
        <f t="shared" si="30"/>
        <v>#VALUE!</v>
      </c>
      <c r="AS65" s="10" t="str">
        <f>IF((TEXT(_xll.BDP(AI65,"MATURITY"),"DD/MM/YYYY")="#N/A Field Not Applicable"),"Perp",_xll.BDP(AI65,"DS252"))</f>
        <v>#N/A Connection</v>
      </c>
      <c r="AT65" s="15" t="str">
        <f>(IF(_xll.BDP($AI65&amp;" ISIN","DT247")="Y","Yes","No"))</f>
        <v>No</v>
      </c>
      <c r="AU65" s="15" t="str">
        <f>PROPER(IF(OR(_xll.BDP($AI65,"CPN_TYP")="#n/a N/A",_xll.BDP($AI65,"CPN_TYP")= "#N/A FIELD NOT APPLICABLE"), " ", _xll.BDP($AI65,"CPN_TYP")))</f>
        <v>#N/A Connection</v>
      </c>
      <c r="BG65" s="17" t="str">
        <f t="shared" si="31"/>
        <v>XS2630917107</v>
      </c>
      <c r="BH65" s="17">
        <f>VLOOKUP(BG65,'[2]Portefeuille 4379150'!$B$3:$G$42,6,0)</f>
        <v>0.75019999999999998</v>
      </c>
      <c r="BI65" s="18">
        <v>4</v>
      </c>
      <c r="BJ65" s="19">
        <v>44972</v>
      </c>
      <c r="BK65" s="20">
        <v>1</v>
      </c>
    </row>
    <row r="66" spans="1:64" s="21" customFormat="1" ht="14.45" customHeight="1" x14ac:dyDescent="0.25">
      <c r="A66" s="49" t="s">
        <v>242</v>
      </c>
      <c r="B66" s="49" t="s">
        <v>260</v>
      </c>
      <c r="C66" s="49" t="s">
        <v>261</v>
      </c>
      <c r="D66" s="49" t="s">
        <v>248</v>
      </c>
      <c r="E66" s="4" t="str">
        <f>_xll.BDP(AI66,"ds520")</f>
        <v>#N/A Connection</v>
      </c>
      <c r="F66" s="4" t="str">
        <f>_xll.BDP(AI66,"crncy")</f>
        <v>#N/A Connection</v>
      </c>
      <c r="G66" s="5" t="s">
        <v>184</v>
      </c>
      <c r="H66" s="4" t="str">
        <f>IF(_xll.BDP(AI66,"RTG_MOODY")="#N/A N/A","N/A",_xll.BDP(AI66,"RTG_MOODY"))&amp;","&amp;IF(_xll.BDP(AI66,"RTG_FITCH")="#N/A N/A","N/A",_xll.BDP(AI66,"RTG_FITCH"))&amp;","&amp;IF(_xll.BDP(AI66,"RTG_SP")="#N/A N/A","N/A",_xll.BDP(AI66,"RTG_SP"))</f>
        <v>#N/A Connection,#N/A Connection,#N/A Connection</v>
      </c>
      <c r="I66" s="7" t="e">
        <f>_xll.BDP(AI66,"cpn")/100</f>
        <v>#VALUE!</v>
      </c>
      <c r="J66" s="7" t="e">
        <f ca="1">_xll.BDP($G66&amp;" isin","YAS_BOND_YLD", "YAS_YLD_FLAG=15", "user_local_trade_date",AN66,"Yas_bond_px",$Q66)/100</f>
        <v>#VALUE!</v>
      </c>
      <c r="K66" s="4" t="str">
        <f>_xll.BDP(AI66,"PAYMENT_RANK")</f>
        <v>#N/A Connection</v>
      </c>
      <c r="L66" s="4" t="str">
        <f>IF((TEXT(_xll.BDP(AI66,"MATURITY"),"DD/MM/YYYY")="#N/A Field Not Applicable"),"Perp",TEXT(_xll.BDP(AI66,"MATURITY"),"DD/MM/YYYY"))</f>
        <v>#N/A Connection</v>
      </c>
      <c r="M66" s="8" t="str">
        <f>(IF(_xll.BDP($AI66&amp;" ISIN","DU003")="#n/a n/a"," ",_xll.BDP($AI66&amp;" ISIN","DU003")))</f>
        <v>#N/A Connection</v>
      </c>
      <c r="N66" s="4" t="str">
        <f>IF(_xll.BDP(AI66,"CALLABLE")="Y",_xll.BDP(AI66,"NXT_CALL_DT")," ")</f>
        <v xml:space="preserve"> </v>
      </c>
      <c r="O66" s="9">
        <v>300000</v>
      </c>
      <c r="P66" s="5">
        <v>100.0395</v>
      </c>
      <c r="Q66" s="10" t="str">
        <f>_xll.BDP(AI66,"px_bid")</f>
        <v>#N/A Connection</v>
      </c>
      <c r="R66" s="11" t="e">
        <f>IF(F66="USD",AG66,(((_xll.BDP(F66&amp;"USD CURNCY","PX_LAST")))*AG66))</f>
        <v>#VALUE!</v>
      </c>
      <c r="S66" s="11" t="e">
        <f>IF(F66="USD",AH66,(((_xll.BDP(F66&amp;"USD CURNCY","PX_LAST")))*AH66))+AP66</f>
        <v>#VALUE!</v>
      </c>
      <c r="T66" s="12" t="e">
        <f t="shared" si="23"/>
        <v>#VALUE!</v>
      </c>
      <c r="U66" s="13" t="e">
        <f t="shared" si="24"/>
        <v>#VALUE!</v>
      </c>
      <c r="V66" s="13" t="str" cm="1">
        <f t="array" ref="V66">IFERROR(_xll.BDP($G66&amp;" ISIN","CHG_PCT_1D")/100,"")</f>
        <v/>
      </c>
      <c r="W66" s="13" t="str" cm="1">
        <f t="array" ref="W66">IFERROR(_xll.BDP($G66&amp;" ISIN","CHG_PCT_5D")/100,"")</f>
        <v/>
      </c>
      <c r="X66" s="13" t="e" cm="1">
        <f t="array" ref="X66">_xll.BDP($G66&amp;" ISIN","CHG_PCT_1M")/100</f>
        <v>#VALUE!</v>
      </c>
      <c r="Y66" s="13" t="e" cm="1">
        <f t="array" ref="Y66">_xll.BDP($G66&amp;" ISIN","CHG_PCT_3M")/100</f>
        <v>#VALUE!</v>
      </c>
      <c r="Z66" s="13" t="e" cm="1">
        <f t="array" ref="Z66">_xll.BDP($G66&amp;" ISIN","CHG_PCT_6M")/100</f>
        <v>#VALUE!</v>
      </c>
      <c r="AA66" s="13" t="e" cm="1">
        <f t="array" ref="AA66">_xll.BDP($G66&amp;" ISIN","CHG_PCT_YTD")/100</f>
        <v>#VALUE!</v>
      </c>
      <c r="AB66" s="13" t="e">
        <f t="shared" si="32"/>
        <v>#VALUE!</v>
      </c>
      <c r="AC66" s="14" t="e">
        <f t="shared" ca="1" si="25"/>
        <v>#VALUE!</v>
      </c>
      <c r="AD66" s="4" t="str">
        <f>_xll.BDP(AI66,"DS199")</f>
        <v>#N/A Connection</v>
      </c>
      <c r="AE66" s="10" t="str">
        <f>_xll.BDP(AI66,"px_ask")</f>
        <v>#N/A Connection</v>
      </c>
      <c r="AF66" s="14" t="e">
        <f>IF(F66="USD",O66,(((_xll.BDP(F66&amp;"USD CURNCY","PX_LAST")))*O66))</f>
        <v>#VALUE!</v>
      </c>
      <c r="AG66" s="11">
        <f t="shared" si="26"/>
        <v>300118.5</v>
      </c>
      <c r="AH66" s="11" t="e">
        <f t="shared" si="27"/>
        <v>#VALUE!</v>
      </c>
      <c r="AI66" s="4" t="str">
        <f t="shared" si="28"/>
        <v>XS2393498204 ISIN</v>
      </c>
      <c r="AJ66" s="4" t="e" cm="1">
        <f t="array" ref="AJ66">VLOOKUP(IF(NOT(_xll.BDP($G66&amp;" CORP",$CA$5)="#N/A N/A"),(_xll.BDP($G66&amp;" CORP",$CA$5)),"-"), '[1]Country Codes'!$A$2:$B$253,2,0)</f>
        <v>#N/A</v>
      </c>
      <c r="AK66" s="4" t="str" cm="1">
        <f t="array" ref="AK66">IF(OR(_xll.BDP($AI66,"EX028")= "#N/A N/A", _xll.BDP($AI66,"EX028")="#N/A FIELD NOT APPLICABLE"), " ", _xll.BDP($AI66,"EX028"))</f>
        <v>#N/A Connection</v>
      </c>
      <c r="AL66" s="15" t="str">
        <f>(IF(_xll.BDP($AI66&amp;" ISIN","DZ282")="Y","Single line Bonds Cocos","Single line Bonds ex Cocos"))</f>
        <v>Single line Bonds ex Cocos</v>
      </c>
      <c r="AM66" s="8" t="str">
        <f>(IF(_xll.BDP($G66&amp;" ISIN","SP153")="#n/a n/a"," ",_xll.BDP($G66&amp;" ISIN","SP153")))</f>
        <v>#N/A Connection</v>
      </c>
      <c r="AN66" s="16">
        <f t="shared" ca="1" si="29"/>
        <v>45783</v>
      </c>
      <c r="AO66" s="11" t="e">
        <f>(((_xll.BDP(AI66,"DS032"))/360)*I66)*O66</f>
        <v>#VALUE!</v>
      </c>
      <c r="AP66" s="11" t="e">
        <f>IF(F66="USD",AO66,(((_xll.BDP(F66&amp;"USD CURNCY","PX_LAST")))*AO66))</f>
        <v>#VALUE!</v>
      </c>
      <c r="AQ66" s="13" t="e">
        <f>S66/$S$108</f>
        <v>#VALUE!</v>
      </c>
      <c r="AR66" s="11" t="e">
        <f t="shared" si="30"/>
        <v>#VALUE!</v>
      </c>
      <c r="AS66" s="10" t="str">
        <f>IF((TEXT(_xll.BDP(AI66,"MATURITY"),"DD/MM/YYYY")="#N/A Field Not Applicable"),"Perp",_xll.BDP(AI66,"DS252"))</f>
        <v>#N/A Connection</v>
      </c>
      <c r="AT66" s="15" t="str">
        <f>(IF(_xll.BDP($AI66&amp;" ISIN","DT247")="Y","Yes","No"))</f>
        <v>No</v>
      </c>
      <c r="AU66" s="15" t="str">
        <f>PROPER(IF(OR(_xll.BDP($AI66,"CPN_TYP")="#n/a N/A",_xll.BDP($AI66,"CPN_TYP")= "#N/A FIELD NOT APPLICABLE"), " ", _xll.BDP($AI66,"CPN_TYP")))</f>
        <v>#N/A Connection</v>
      </c>
      <c r="BG66" s="17" t="str">
        <f t="shared" si="31"/>
        <v>XS2393498204</v>
      </c>
      <c r="BH66" s="17">
        <f>VLOOKUP(BG66,'[2]Portefeuille 4379150'!$B$3:$G$42,6,0)</f>
        <v>0.51559999999999995</v>
      </c>
      <c r="BI66" s="18">
        <v>3</v>
      </c>
      <c r="BJ66" s="19">
        <v>44482</v>
      </c>
      <c r="BK66" s="20">
        <v>1</v>
      </c>
    </row>
    <row r="67" spans="1:64" s="101" customFormat="1" ht="14.45" customHeight="1" x14ac:dyDescent="0.25">
      <c r="A67" s="114" t="s">
        <v>241</v>
      </c>
      <c r="B67" s="114" t="s">
        <v>262</v>
      </c>
      <c r="C67" s="114" t="s">
        <v>263</v>
      </c>
      <c r="D67" s="114" t="s">
        <v>240</v>
      </c>
      <c r="E67" s="115" t="str">
        <f>_xll.BDP(AI67,"ds520")</f>
        <v>#N/A Connection</v>
      </c>
      <c r="F67" s="115" t="str">
        <f>_xll.BDP(AI67,"crncy")</f>
        <v>#N/A Connection</v>
      </c>
      <c r="G67" s="115" t="s">
        <v>44</v>
      </c>
      <c r="H67" s="115" t="str">
        <f>IF(_xll.BDP(AI67,"RTG_MOODY")="#N/A N/A","N/A",_xll.BDP(AI67,"RTG_MOODY"))&amp;","&amp;IF(_xll.BDP(AI67,"RTG_FITCH")="#N/A N/A","N/A",_xll.BDP(AI67,"RTG_FITCH"))&amp;","&amp;IF(_xll.BDP(AI67,"RTG_SP")="#N/A N/A","N/A",_xll.BDP(AI67,"RTG_SP"))</f>
        <v>#N/A Connection,#N/A Connection,#N/A Connection</v>
      </c>
      <c r="I67" s="116" t="e">
        <f>_xll.BDP(AI67,"cpn")/100</f>
        <v>#VALUE!</v>
      </c>
      <c r="J67" s="116" t="e">
        <f ca="1">_xll.BDP($G67&amp;" isin","YAS_BOND_YLD", "YAS_YLD_FLAG=15", "user_local_trade_date",AN67,"Yas_bond_px",$Q67)/100</f>
        <v>#VALUE!</v>
      </c>
      <c r="K67" s="115" t="str">
        <f>_xll.BDP(AI67,"PAYMENT_RANK")</f>
        <v>#N/A Connection</v>
      </c>
      <c r="L67" s="115" t="str">
        <f>IF((TEXT(_xll.BDP(AI67,"MATURITY"),"DD/MM/YYYY")="#N/A Field Not Applicable"),"Perp",TEXT(_xll.BDP(AI67,"MATURITY"),"DD/MM/YYYY"))</f>
        <v>#N/A Connection</v>
      </c>
      <c r="M67" s="117" t="str">
        <f>(IF(_xll.BDP($AI67&amp;" ISIN","DU003")="#n/a n/a"," ",_xll.BDP($AI67&amp;" ISIN","DU003")))</f>
        <v>#N/A Connection</v>
      </c>
      <c r="N67" s="115" t="str">
        <f>IF(_xll.BDP(AI67,"CALLABLE")="Y",_xll.BDP(AI67,"NXT_CALL_DT")," ")</f>
        <v xml:space="preserve"> </v>
      </c>
      <c r="O67" s="118">
        <v>345656</v>
      </c>
      <c r="P67" s="115">
        <v>31.674800000000001</v>
      </c>
      <c r="Q67" s="119" t="str">
        <f>_xll.BDP(AI67,"px_bid")</f>
        <v>#N/A Connection</v>
      </c>
      <c r="R67" s="120" t="e">
        <f>IF(F67="USD",AG67,(((_xll.BDP(F67&amp;"USD CURNCY","PX_LAST")))*AG67))</f>
        <v>#VALUE!</v>
      </c>
      <c r="S67" s="120" t="e">
        <f>IF(F67="USD",AH67,(((_xll.BDP(F67&amp;"USD CURNCY","PX_LAST")))*AH67))+AP67</f>
        <v>#VALUE!</v>
      </c>
      <c r="T67" s="121" t="e">
        <f t="shared" si="23"/>
        <v>#VALUE!</v>
      </c>
      <c r="U67" s="122" t="e">
        <f t="shared" si="24"/>
        <v>#VALUE!</v>
      </c>
      <c r="V67" s="122" t="str" cm="1">
        <f t="array" ref="V67">IFERROR(_xll.BDP($G67&amp;" ISIN","CHG_PCT_1D")/100,"")</f>
        <v/>
      </c>
      <c r="W67" s="122" t="str" cm="1">
        <f t="array" ref="W67">IFERROR(_xll.BDP($G67&amp;" ISIN","CHG_PCT_5D")/100,"")</f>
        <v/>
      </c>
      <c r="X67" s="122" t="e" cm="1">
        <f t="array" ref="X67">_xll.BDP($G67&amp;" ISIN","CHG_PCT_1M")/100</f>
        <v>#VALUE!</v>
      </c>
      <c r="Y67" s="122" t="e" cm="1">
        <f t="array" ref="Y67">_xll.BDP($G67&amp;" ISIN","CHG_PCT_3M")/100</f>
        <v>#VALUE!</v>
      </c>
      <c r="Z67" s="122" t="e" cm="1">
        <f t="array" ref="Z67">_xll.BDP($G67&amp;" ISIN","CHG_PCT_6M")/100</f>
        <v>#VALUE!</v>
      </c>
      <c r="AA67" s="13" t="e" cm="1">
        <f t="array" ref="AA67">_xll.BDP($G67&amp;" ISIN","CHG_PCT_YTD")/100</f>
        <v>#VALUE!</v>
      </c>
      <c r="AB67" s="13" t="e">
        <f t="shared" si="32"/>
        <v>#VALUE!</v>
      </c>
      <c r="AC67" s="118" t="e">
        <f t="shared" ca="1" si="25"/>
        <v>#VALUE!</v>
      </c>
      <c r="AD67" s="115" t="str">
        <f>_xll.BDP(AI67,"DS199")</f>
        <v>#N/A Connection</v>
      </c>
      <c r="AE67" s="119" t="str">
        <f>_xll.BDP(AI67,"px_ask")</f>
        <v>#N/A Connection</v>
      </c>
      <c r="AF67" s="118" t="e">
        <f>IF(F67="USD",O67,(((_xll.BDP(F67&amp;"USD CURNCY","PX_LAST")))*O67))</f>
        <v>#VALUE!</v>
      </c>
      <c r="AG67" s="120">
        <f t="shared" si="26"/>
        <v>109485.84668800001</v>
      </c>
      <c r="AH67" s="120" t="e">
        <f t="shared" si="27"/>
        <v>#VALUE!</v>
      </c>
      <c r="AI67" s="115" t="str">
        <f t="shared" si="28"/>
        <v>GB00BMBL1D50 ISIN</v>
      </c>
      <c r="AJ67" s="115" t="e" cm="1">
        <f t="array" ref="AJ67">VLOOKUP(IF(NOT(_xll.BDP($G67&amp;" CORP",$CA$5)="#N/A N/A"),(_xll.BDP($G67&amp;" CORP",$CA$5)),"-"), '[1]Country Codes'!$A$2:$B$253,2,0)</f>
        <v>#N/A</v>
      </c>
      <c r="AK67" s="115" t="str" cm="1">
        <f t="array" ref="AK67">IF(OR(_xll.BDP($AI67,"EX028")= "#N/A N/A", _xll.BDP($AI67,"EX028")="#N/A FIELD NOT APPLICABLE"), " ", _xll.BDP($AI67,"EX028"))</f>
        <v>#N/A Connection</v>
      </c>
      <c r="AL67" s="116" t="str">
        <f>(IF(_xll.BDP($AI67&amp;" ISIN","DZ282")="Y","Single line Bonds Cocos","Single line Bonds ex Cocos"))</f>
        <v>Single line Bonds ex Cocos</v>
      </c>
      <c r="AM67" s="117" t="str">
        <f>(IF(_xll.BDP($G67&amp;" ISIN","SP153")="#n/a n/a"," ",_xll.BDP($G67&amp;" ISIN","SP153")))</f>
        <v>#N/A Connection</v>
      </c>
      <c r="AN67" s="123">
        <f t="shared" ca="1" si="29"/>
        <v>45783</v>
      </c>
      <c r="AO67" s="120" t="e">
        <f>(((_xll.BDP(AI67,"DS032"))/360)*I67)*O67</f>
        <v>#VALUE!</v>
      </c>
      <c r="AP67" s="120" t="e">
        <f>IF(F67="USD",AO67,(((_xll.BDP(F67&amp;"USD CURNCY","PX_LAST")))*AO67))</f>
        <v>#VALUE!</v>
      </c>
      <c r="AQ67" s="122" t="e">
        <f>S67/#REF!</f>
        <v>#VALUE!</v>
      </c>
      <c r="AR67" s="120" t="e">
        <f t="shared" si="30"/>
        <v>#VALUE!</v>
      </c>
      <c r="AS67" s="119" t="str">
        <f>IF((TEXT(_xll.BDP(AI67,"MATURITY"),"DD/MM/YYYY")="#N/A Field Not Applicable"),"Perp",_xll.BDP(AI67,"DS252"))</f>
        <v>#N/A Connection</v>
      </c>
      <c r="AT67" s="116" t="str">
        <f>(IF(_xll.BDP($AI67&amp;" ISIN","DT247")="Y","Yes","No"))</f>
        <v>No</v>
      </c>
      <c r="AU67" s="116" t="str">
        <f>PROPER(IF(OR(_xll.BDP($AI67,"CPN_TYP")="#n/a N/A",_xll.BDP($AI67,"CPN_TYP")= "#N/A FIELD NOT APPLICABLE"), " ", _xll.BDP($AI67,"CPN_TYP")))</f>
        <v>#N/A Connection</v>
      </c>
      <c r="AV67" s="124"/>
      <c r="AW67" s="124"/>
      <c r="AX67" s="124"/>
      <c r="AY67" s="124"/>
      <c r="AZ67" s="124"/>
      <c r="BA67" s="124"/>
      <c r="BB67" s="124"/>
      <c r="BC67" s="124"/>
      <c r="BD67" s="124"/>
      <c r="BE67" s="124"/>
      <c r="BF67" s="124"/>
      <c r="BG67" s="116" t="str">
        <f t="shared" si="31"/>
        <v>GB00BMBL1D50</v>
      </c>
      <c r="BH67" s="116">
        <v>0.72</v>
      </c>
      <c r="BI67" s="125">
        <v>4</v>
      </c>
      <c r="BJ67" s="123">
        <v>45509</v>
      </c>
      <c r="BK67" s="126">
        <v>1</v>
      </c>
      <c r="BL67" s="124"/>
    </row>
    <row r="68" spans="1:64" s="101" customFormat="1" ht="14.45" customHeight="1" x14ac:dyDescent="0.25">
      <c r="A68" s="81" t="s">
        <v>241</v>
      </c>
      <c r="B68" s="81" t="s">
        <v>262</v>
      </c>
      <c r="C68" s="81" t="s">
        <v>263</v>
      </c>
      <c r="D68" s="81" t="s">
        <v>240</v>
      </c>
      <c r="E68" s="88" t="str">
        <f>_xll.BDP(AI68,"ds520")</f>
        <v>#N/A Connection</v>
      </c>
      <c r="F68" s="88" t="str">
        <f>_xll.BDP(AI68,"crncy")</f>
        <v>#N/A Connection</v>
      </c>
      <c r="G68" s="88" t="s">
        <v>160</v>
      </c>
      <c r="H68" s="88" t="str">
        <f>IF(_xll.BDP(AI68,"RTG_MOODY")="#N/A N/A","N/A",_xll.BDP(AI68,"RTG_MOODY"))&amp;","&amp;IF(_xll.BDP(AI68,"RTG_FITCH")="#N/A N/A","N/A",_xll.BDP(AI68,"RTG_FITCH"))&amp;","&amp;IF(_xll.BDP(AI68,"RTG_SP")="#N/A N/A","N/A",_xll.BDP(AI68,"RTG_SP"))</f>
        <v>#N/A Connection,#N/A Connection,#N/A Connection</v>
      </c>
      <c r="I68" s="38" t="e">
        <f>_xll.BDP(AI68,"cpn")/100</f>
        <v>#VALUE!</v>
      </c>
      <c r="J68" s="38" t="e">
        <f ca="1">_xll.BDP($G68&amp;" isin","YAS_BOND_YLD", "YAS_YLD_FLAG=15", "user_local_trade_date",AN68,"Yas_bond_px",$Q68)/100</f>
        <v>#VALUE!</v>
      </c>
      <c r="K68" s="88" t="str">
        <f>_xll.BDP(AI68,"PAYMENT_RANK")</f>
        <v>#N/A Connection</v>
      </c>
      <c r="L68" s="88" t="str">
        <f>IF((TEXT(_xll.BDP(AI68,"MATURITY"),"DD/MM/YYYY")="#N/A Field Not Applicable"),"Perp",TEXT(_xll.BDP(AI68,"MATURITY"),"DD/MM/YYYY"))</f>
        <v>#N/A Connection</v>
      </c>
      <c r="M68" s="97" t="str">
        <f>(IF(_xll.BDP($AI68&amp;" ISIN","DU003")="#n/a n/a"," ",_xll.BDP($AI68&amp;" ISIN","DU003")))</f>
        <v>#N/A Connection</v>
      </c>
      <c r="N68" s="88" t="str">
        <f>IF(_xll.BDP(AI68,"CALLABLE")="Y",_xll.BDP(AI68,"NXT_CALL_DT")," ")</f>
        <v xml:space="preserve"> </v>
      </c>
      <c r="O68" s="98">
        <v>150000</v>
      </c>
      <c r="P68" s="88">
        <v>84.95</v>
      </c>
      <c r="Q68" s="99" t="str">
        <f>_xll.BDP(AI68,"px_bid")</f>
        <v>#N/A Connection</v>
      </c>
      <c r="R68" s="100" t="e">
        <f>IF(F68="USD",AG68,(((_xll.BDP(F68&amp;"USD CURNCY","PX_LAST")))*AG68))</f>
        <v>#VALUE!</v>
      </c>
      <c r="S68" s="100" t="e">
        <f>IF(F68="USD",AH68,(((_xll.BDP(F68&amp;"USD CURNCY","PX_LAST")))*AH68))+AP68</f>
        <v>#VALUE!</v>
      </c>
      <c r="T68" s="86" t="e">
        <f t="shared" si="23"/>
        <v>#VALUE!</v>
      </c>
      <c r="U68" s="87" t="e">
        <f t="shared" si="24"/>
        <v>#VALUE!</v>
      </c>
      <c r="V68" s="87" t="str" cm="1">
        <f t="array" ref="V68">IFERROR(_xll.BDP($G68&amp;" ISIN","CHG_PCT_1D")/100,"")</f>
        <v/>
      </c>
      <c r="W68" s="87" t="str" cm="1">
        <f t="array" ref="W68">IFERROR(_xll.BDP($G68&amp;" ISIN","CHG_PCT_5D")/100,"")</f>
        <v/>
      </c>
      <c r="X68" s="87" t="e" cm="1">
        <f t="array" ref="X68">_xll.BDP($G68&amp;" ISIN","CHG_PCT_1M")/100</f>
        <v>#VALUE!</v>
      </c>
      <c r="Y68" s="87" t="e" cm="1">
        <f t="array" ref="Y68">_xll.BDP($G68&amp;" ISIN","CHG_PCT_3M")/100</f>
        <v>#VALUE!</v>
      </c>
      <c r="Z68" s="87" t="e" cm="1">
        <f t="array" ref="Z68">_xll.BDP($G68&amp;" ISIN","CHG_PCT_6M")/100</f>
        <v>#VALUE!</v>
      </c>
      <c r="AA68" s="87" t="e" cm="1">
        <f t="array" ref="AA68">_xll.BDP($G68&amp;" ISIN","CHG_PCT_YTD")/100</f>
        <v>#VALUE!</v>
      </c>
      <c r="AB68" s="87" t="e">
        <f t="shared" si="32"/>
        <v>#VALUE!</v>
      </c>
      <c r="AC68" s="98" t="e">
        <f t="shared" ca="1" si="25"/>
        <v>#VALUE!</v>
      </c>
      <c r="AD68" s="88" t="str">
        <f>_xll.BDP(AI68,"DS199")</f>
        <v>#N/A Connection</v>
      </c>
      <c r="AE68" s="99" t="str">
        <f>_xll.BDP(AI68,"px_ask")</f>
        <v>#N/A Connection</v>
      </c>
      <c r="AF68" s="98" t="e">
        <f>IF(F68="USD",O68,(((_xll.BDP(F68&amp;"USD CURNCY","PX_LAST")))*O68))</f>
        <v>#VALUE!</v>
      </c>
      <c r="AG68" s="100">
        <f t="shared" si="26"/>
        <v>127425</v>
      </c>
      <c r="AH68" s="100" t="e">
        <f t="shared" si="27"/>
        <v>#VALUE!</v>
      </c>
      <c r="AI68" s="88" t="str">
        <f t="shared" si="28"/>
        <v>XS2585988145 ISIN</v>
      </c>
      <c r="AJ68" s="88" t="e" cm="1">
        <f t="array" ref="AJ68">VLOOKUP(IF(NOT(_xll.BDP($G68&amp;" CORP",$CA$5)="#N/A N/A"),(_xll.BDP($G68&amp;" CORP",$CA$5)),"-"), '[1]Country Codes'!$A$2:$B$253,2,0)</f>
        <v>#N/A</v>
      </c>
      <c r="AK68" s="88" t="str" cm="1">
        <f t="array" ref="AK68">IF(OR(_xll.BDP($AI68,"EX028")= "#N/A N/A", _xll.BDP($AI68,"EX028")="#N/A FIELD NOT APPLICABLE"), " ", _xll.BDP($AI68,"EX028"))</f>
        <v>#N/A Connection</v>
      </c>
      <c r="AL68" s="38" t="str">
        <f>(IF(_xll.BDP($AI68&amp;" ISIN","DZ282")="Y","Single line Bonds Cocos","Single line Bonds ex Cocos"))</f>
        <v>Single line Bonds ex Cocos</v>
      </c>
      <c r="AM68" s="97" t="str">
        <f>(IF(_xll.BDP($G68&amp;" ISIN","SP153")="#n/a n/a"," ",_xll.BDP($G68&amp;" ISIN","SP153")))</f>
        <v>#N/A Connection</v>
      </c>
      <c r="AN68" s="95">
        <f t="shared" ca="1" si="29"/>
        <v>45783</v>
      </c>
      <c r="AO68" s="100" t="e">
        <f>(((_xll.BDP(AI68,"DS032"))/360)*I68)*O68</f>
        <v>#VALUE!</v>
      </c>
      <c r="AP68" s="100" t="e">
        <f>IF(F68="USD",AO68,(((_xll.BDP(F68&amp;"USD CURNCY","PX_LAST")))*AO68))</f>
        <v>#VALUE!</v>
      </c>
      <c r="AQ68" s="87" t="e">
        <f>S68/#REF!</f>
        <v>#VALUE!</v>
      </c>
      <c r="AR68" s="100" t="e">
        <f t="shared" si="30"/>
        <v>#VALUE!</v>
      </c>
      <c r="AS68" s="99" t="str">
        <f>IF((TEXT(_xll.BDP(AI68,"MATURITY"),"DD/MM/YYYY")="#N/A Field Not Applicable"),"Perp",_xll.BDP(AI68,"DS252"))</f>
        <v>#N/A Connection</v>
      </c>
      <c r="AT68" s="38" t="str">
        <f>(IF(_xll.BDP($AI68&amp;" ISIN","DT247")="Y","Yes","No"))</f>
        <v>No</v>
      </c>
      <c r="AU68" s="38" t="str">
        <f>PROPER(IF(OR(_xll.BDP($AI68,"CPN_TYP")="#n/a N/A",_xll.BDP($AI68,"CPN_TYP")= "#N/A FIELD NOT APPLICABLE"), " ", _xll.BDP($AI68,"CPN_TYP")))</f>
        <v>#N/A Connection</v>
      </c>
      <c r="BG68" s="38" t="str">
        <f t="shared" si="31"/>
        <v>XS2585988145</v>
      </c>
      <c r="BH68" s="38">
        <v>0.82</v>
      </c>
      <c r="BI68" s="94">
        <v>5</v>
      </c>
      <c r="BJ68" s="95">
        <v>45314</v>
      </c>
      <c r="BK68" s="96">
        <v>1</v>
      </c>
    </row>
    <row r="69" spans="1:64" s="21" customFormat="1" ht="14.45" customHeight="1" x14ac:dyDescent="0.25">
      <c r="A69" s="81" t="s">
        <v>241</v>
      </c>
      <c r="B69" s="81" t="s">
        <v>262</v>
      </c>
      <c r="C69" s="81" t="s">
        <v>263</v>
      </c>
      <c r="D69" s="81" t="s">
        <v>240</v>
      </c>
      <c r="E69" s="88" t="str">
        <f>_xll.BDP(AI69,"ds520")</f>
        <v>#N/A Connection</v>
      </c>
      <c r="F69" s="88" t="str">
        <f>_xll.BDP(AI69,"crncy")</f>
        <v>#N/A Connection</v>
      </c>
      <c r="G69" s="88" t="s">
        <v>320</v>
      </c>
      <c r="H69" s="88" t="str">
        <f>IF(_xll.BDP(AI69,"RTG_MOODY")="#N/A N/A","N/A",_xll.BDP(AI69,"RTG_MOODY"))&amp;","&amp;IF(_xll.BDP(AI69,"RTG_FITCH")="#N/A N/A","N/A",_xll.BDP(AI69,"RTG_FITCH"))&amp;","&amp;IF(_xll.BDP(AI69,"RTG_SP")="#N/A N/A","N/A",_xll.BDP(AI69,"RTG_SP"))</f>
        <v>#N/A Connection,#N/A Connection,#N/A Connection</v>
      </c>
      <c r="I69" s="38" t="e">
        <f>_xll.BDP(AI69,"cpn")/100</f>
        <v>#VALUE!</v>
      </c>
      <c r="J69" s="38" t="e">
        <f ca="1">_xll.BDP($G69&amp;" isin","YAS_BOND_YLD", "YAS_YLD_FLAG=15", "user_local_trade_date",AN69,"Yas_bond_px",$Q69)/100</f>
        <v>#VALUE!</v>
      </c>
      <c r="K69" s="88" t="str">
        <f>_xll.BDP(AI69,"PAYMENT_RANK")</f>
        <v>#N/A Connection</v>
      </c>
      <c r="L69" s="88" t="str">
        <f>IF((TEXT(_xll.BDP(AI69,"MATURITY"),"DD/MM/YYYY")="#N/A Field Not Applicable"),"Perp",TEXT(_xll.BDP(AI69,"MATURITY"),"DD/MM/YYYY"))</f>
        <v>#N/A Connection</v>
      </c>
      <c r="M69" s="97" t="str">
        <f>(IF(_xll.BDP($AI69&amp;" ISIN","DU003")="#n/a n/a"," ",_xll.BDP($AI69&amp;" ISIN","DU003")))</f>
        <v>#N/A Connection</v>
      </c>
      <c r="N69" s="88" t="str">
        <f>IF(_xll.BDP(AI69,"CALLABLE")="Y",_xll.BDP(AI69,"NXT_CALL_DT")," ")</f>
        <v xml:space="preserve"> </v>
      </c>
      <c r="O69" s="98">
        <v>300000</v>
      </c>
      <c r="P69" s="88">
        <v>98.798000000000002</v>
      </c>
      <c r="Q69" s="99" t="str">
        <f>_xll.BDP(AI69,"px_bid")</f>
        <v>#N/A Connection</v>
      </c>
      <c r="R69" s="100" t="e">
        <f>IF(F69="USD",AG69,(((_xll.BDP(F69&amp;"USD CURNCY","PX_LAST")))*AG69))</f>
        <v>#VALUE!</v>
      </c>
      <c r="S69" s="100" t="e">
        <f>IF(F69="USD",AH69,(((_xll.BDP(F69&amp;"USD CURNCY","PX_LAST")))*AH69))+AP69</f>
        <v>#VALUE!</v>
      </c>
      <c r="T69" s="86" t="e">
        <f t="shared" si="23"/>
        <v>#VALUE!</v>
      </c>
      <c r="U69" s="87" t="e">
        <f t="shared" si="24"/>
        <v>#VALUE!</v>
      </c>
      <c r="V69" s="87" t="str" cm="1">
        <f t="array" ref="V69">IFERROR(_xll.BDP($G69&amp;" ISIN","CHG_PCT_1D")/100,"")</f>
        <v/>
      </c>
      <c r="W69" s="87" t="str" cm="1">
        <f t="array" ref="W69">IFERROR(_xll.BDP($G69&amp;" ISIN","CHG_PCT_5D")/100,"")</f>
        <v/>
      </c>
      <c r="X69" s="87" t="e" cm="1">
        <f t="array" ref="X69">_xll.BDP($G69&amp;" ISIN","CHG_PCT_1M")/100</f>
        <v>#VALUE!</v>
      </c>
      <c r="Y69" s="87" t="e" cm="1">
        <f t="array" ref="Y69">_xll.BDP($G69&amp;" ISIN","CHG_PCT_3M")/100</f>
        <v>#VALUE!</v>
      </c>
      <c r="Z69" s="87" t="e" cm="1">
        <f t="array" ref="Z69">_xll.BDP($G69&amp;" ISIN","CHG_PCT_6M")/100</f>
        <v>#VALUE!</v>
      </c>
      <c r="AA69" s="87" t="e" cm="1">
        <f t="array" ref="AA69">_xll.BDP($G69&amp;" ISIN","CHG_PCT_YTD")/100</f>
        <v>#VALUE!</v>
      </c>
      <c r="AB69" s="87" t="e">
        <f t="shared" si="32"/>
        <v>#VALUE!</v>
      </c>
      <c r="AC69" s="98" t="e">
        <f t="shared" ca="1" si="25"/>
        <v>#VALUE!</v>
      </c>
      <c r="AD69" s="88" t="str">
        <f>_xll.BDP(AI69,"DS199")</f>
        <v>#N/A Connection</v>
      </c>
      <c r="AE69" s="99" t="str">
        <f>_xll.BDP(AI69,"px_ask")</f>
        <v>#N/A Connection</v>
      </c>
      <c r="AF69" s="98" t="e">
        <f>IF(F69="USD",O69,(((_xll.BDP(F69&amp;"USD CURNCY","PX_LAST")))*O69))</f>
        <v>#VALUE!</v>
      </c>
      <c r="AG69" s="100">
        <f t="shared" si="26"/>
        <v>296394</v>
      </c>
      <c r="AH69" s="100" t="e">
        <f t="shared" si="27"/>
        <v>#VALUE!</v>
      </c>
      <c r="AI69" s="88" t="str">
        <f t="shared" si="28"/>
        <v>XS3000457666 ISIN</v>
      </c>
      <c r="AJ69" s="88" t="e" cm="1">
        <f t="array" ref="AJ69">VLOOKUP(IF(NOT(_xll.BDP($G69&amp;" CORP",$CA$5)="#N/A N/A"),(_xll.BDP($G69&amp;" CORP",$CA$5)),"-"), '[1]Country Codes'!$A$2:$B$253,2,0)</f>
        <v>#N/A</v>
      </c>
      <c r="AK69" s="88" t="str" cm="1">
        <f t="array" ref="AK69">IF(OR(_xll.BDP($AI69,"EX028")= "#N/A N/A", _xll.BDP($AI69,"EX028")="#N/A FIELD NOT APPLICABLE"), " ", _xll.BDP($AI69,"EX028"))</f>
        <v>#N/A Connection</v>
      </c>
      <c r="AL69" s="38" t="str">
        <f>(IF(_xll.BDP($AI69&amp;" ISIN","DZ282")="Y","Single line Bonds Cocos","Single line Bonds ex Cocos"))</f>
        <v>Single line Bonds ex Cocos</v>
      </c>
      <c r="AM69" s="97" t="str">
        <f>(IF(_xll.BDP($G69&amp;" ISIN","SP153")="#n/a n/a"," ",_xll.BDP($G69&amp;" ISIN","SP153")))</f>
        <v>#N/A Connection</v>
      </c>
      <c r="AN69" s="95">
        <f t="shared" ca="1" si="29"/>
        <v>45783</v>
      </c>
      <c r="AO69" s="100" t="e">
        <f>(((_xll.BDP(AI69,"DS032"))/360)*I69)*O69</f>
        <v>#VALUE!</v>
      </c>
      <c r="AP69" s="100" t="e">
        <f>IF(F69="USD",AO69,(((_xll.BDP(F69&amp;"USD CURNCY","PX_LAST")))*AO69))</f>
        <v>#VALUE!</v>
      </c>
      <c r="AQ69" s="87" t="e">
        <f>S69/#REF!</f>
        <v>#VALUE!</v>
      </c>
      <c r="AR69" s="100" t="e">
        <f t="shared" si="30"/>
        <v>#VALUE!</v>
      </c>
      <c r="AS69" s="99" t="str">
        <f>IF((TEXT(_xll.BDP(AI69,"MATURITY"),"DD/MM/YYYY")="#N/A Field Not Applicable"),"Perp",_xll.BDP(AI69,"DS252"))</f>
        <v>#N/A Connection</v>
      </c>
      <c r="AT69" s="38" t="str">
        <f>(IF(_xll.BDP($AI69&amp;" ISIN","DT247")="Y","Yes","No"))</f>
        <v>No</v>
      </c>
      <c r="AU69" s="38" t="str">
        <f>PROPER(IF(OR(_xll.BDP($AI69,"CPN_TYP")="#n/a N/A",_xll.BDP($AI69,"CPN_TYP")= "#N/A FIELD NOT APPLICABLE"), " ", _xll.BDP($AI69,"CPN_TYP")))</f>
        <v>#N/A Connection</v>
      </c>
      <c r="AV69" s="101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  <c r="BG69" s="38" t="str">
        <f t="shared" si="31"/>
        <v>XS3000457666</v>
      </c>
      <c r="BH69" s="38">
        <v>0.72</v>
      </c>
      <c r="BI69" s="94">
        <v>4</v>
      </c>
      <c r="BJ69" s="95">
        <v>45694</v>
      </c>
      <c r="BK69" s="96">
        <v>1</v>
      </c>
      <c r="BL69" s="101"/>
    </row>
    <row r="70" spans="1:64" s="21" customFormat="1" ht="14.45" customHeight="1" x14ac:dyDescent="0.25">
      <c r="A70" s="81" t="s">
        <v>241</v>
      </c>
      <c r="B70" s="81" t="s">
        <v>262</v>
      </c>
      <c r="C70" s="81" t="s">
        <v>263</v>
      </c>
      <c r="D70" s="81" t="s">
        <v>240</v>
      </c>
      <c r="E70" s="88" t="str">
        <f>_xll.BDP(AI70,"ds520")</f>
        <v>Greensaif Pipelines Bidco Sarl</v>
      </c>
      <c r="F70" s="88" t="str">
        <f>_xll.BDP(AI70,"crncy")</f>
        <v>USD</v>
      </c>
      <c r="G70" s="88" t="s">
        <v>189</v>
      </c>
      <c r="H70" s="88" t="str">
        <f>IF(_xll.BDP(AI70,"RTG_MOODY")="#N/A N/A","N/A",_xll.BDP(AI70,"RTG_MOODY"))&amp;","&amp;IF(_xll.BDP(AI70,"RTG_FITCH")="#N/A N/A","N/A",_xll.BDP(AI70,"RTG_FITCH"))&amp;","&amp;IF(_xll.BDP(AI70,"RTG_SP")="#N/A N/A","N/A",_xll.BDP(AI70,"RTG_SP"))</f>
        <v>Aa3,A+,N/A</v>
      </c>
      <c r="I70" s="38">
        <f>_xll.BDP(AI70,"cpn")/100</f>
        <v>6.5099999999999991E-2</v>
      </c>
      <c r="J70" s="38">
        <f ca="1">_xll.BDP($G70&amp;" isin","YAS_BOND_YLD", "YAS_YLD_FLAG=15", "user_local_trade_date",AN70,"Yas_bond_px",$Q70)/100</f>
        <v>6.2911529999999993E-2</v>
      </c>
      <c r="K70" s="88" t="str">
        <f>_xll.BDP(AI70,"PAYMENT_RANK")</f>
        <v>Secured</v>
      </c>
      <c r="L70" s="88" t="str">
        <f>IF((TEXT(_xll.BDP(AI70,"MATURITY"),"DD/MM/YYYY")="#N/A Field Not Applicable"),"Perp",TEXT(_xll.BDP(AI70,"MATURITY"),"DD/MM/YYYY"))</f>
        <v>23/02/2042</v>
      </c>
      <c r="M70" s="97">
        <f>(IF(_xll.BDP($AI70&amp;" ISIN","DU003")="#n/a n/a"," ",_xll.BDP($AI70&amp;" ISIN","DU003")))</f>
        <v>9.9703143731156256</v>
      </c>
      <c r="N70" s="88" t="str">
        <f>IF(_xll.BDP(AI70,"CALLABLE")="Y",_xll.BDP(AI70,"NXT_CALL_DT")," ")</f>
        <v xml:space="preserve"> </v>
      </c>
      <c r="O70" s="98">
        <v>200000</v>
      </c>
      <c r="P70" s="88">
        <v>103.988</v>
      </c>
      <c r="Q70" s="99">
        <f>_xll.BDP(AI70,"px_bid")</f>
        <v>102.23699999999999</v>
      </c>
      <c r="R70" s="100">
        <f>IF(F70="USD",AG70,(((_xll.BDP(F70&amp;"USD CURNCY","PX_LAST")))*AG70))</f>
        <v>207976</v>
      </c>
      <c r="S70" s="100">
        <f>IF(F70="USD",AH70,(((_xll.BDP(F70&amp;"USD CURNCY","PX_LAST")))*AH70))+AP70</f>
        <v>206969.5</v>
      </c>
      <c r="T70" s="86">
        <f t="shared" si="23"/>
        <v>-3502.0000000000095</v>
      </c>
      <c r="U70" s="87">
        <f t="shared" si="24"/>
        <v>-1.6838481363234264E-2</v>
      </c>
      <c r="V70" s="87" t="str" cm="1">
        <f t="array" ref="V70">IFERROR(_xll.BDP($G70&amp;" ISIN","CHG_PCT_1D")/100,"")</f>
        <v/>
      </c>
      <c r="W70" s="87" t="str" cm="1">
        <f t="array" ref="W70">IFERROR(_xll.BDP($G70&amp;" ISIN","CHG_PCT_5D")/100,"")</f>
        <v/>
      </c>
      <c r="X70" s="87" t="e" cm="1">
        <f t="array" ref="X70">_xll.BDP($G70&amp;" ISIN","CHG_PCT_1M")/100</f>
        <v>#VALUE!</v>
      </c>
      <c r="Y70" s="87" t="e" cm="1">
        <f t="array" ref="Y70">_xll.BDP($G70&amp;" ISIN","CHG_PCT_3M")/100</f>
        <v>#VALUE!</v>
      </c>
      <c r="Z70" s="87" t="e" cm="1">
        <f t="array" ref="Z70">_xll.BDP($G70&amp;" ISIN","CHG_PCT_6M")/100</f>
        <v>#VALUE!</v>
      </c>
      <c r="AA70" s="87" t="e" cm="1">
        <f t="array" ref="AA70">_xll.BDP($G70&amp;" ISIN","CHG_PCT_YTD")/100</f>
        <v>#VALUE!</v>
      </c>
      <c r="AB70" s="87" t="e">
        <f t="shared" si="32"/>
        <v>#VALUE!</v>
      </c>
      <c r="AC70" s="98">
        <f t="shared" ca="1" si="25"/>
        <v>3261.166666666657</v>
      </c>
      <c r="AD70" s="88" t="str">
        <f>_xll.BDP(AI70,"DS199")</f>
        <v>Energy</v>
      </c>
      <c r="AE70" s="99">
        <f>_xll.BDP(AI70,"px_ask")</f>
        <v>103.30800000000001</v>
      </c>
      <c r="AF70" s="98">
        <f>IF(F70="USD",O70,(((_xll.BDP(F70&amp;"USD CURNCY","PX_LAST")))*O70))</f>
        <v>200000</v>
      </c>
      <c r="AG70" s="100">
        <f t="shared" si="26"/>
        <v>207976</v>
      </c>
      <c r="AH70" s="100">
        <f t="shared" si="27"/>
        <v>204474</v>
      </c>
      <c r="AI70" s="88" t="str">
        <f t="shared" si="28"/>
        <v>XS2542166744 ISIN</v>
      </c>
      <c r="AJ70" s="88" t="e" cm="1">
        <f t="array" ref="AJ70">VLOOKUP(IF(NOT(_xll.BDP($G70&amp;" CORP",$CA$5)="#N/A N/A"),(_xll.BDP($G70&amp;" CORP",$CA$5)),"-"), '[1]Country Codes'!$A$2:$B$253,2,0)</f>
        <v>#N/A</v>
      </c>
      <c r="AK70" s="88" t="str" cm="1">
        <f t="array" ref="AK70">IF(OR(_xll.BDP($AI70,"EX028")= "#N/A N/A", _xll.BDP($AI70,"EX028")="#N/A FIELD NOT APPLICABLE"), " ", _xll.BDP($AI70,"EX028"))</f>
        <v>FixedIncome</v>
      </c>
      <c r="AL70" s="38" t="str">
        <f>(IF(_xll.BDP($AI70&amp;" ISIN","DZ282")="Y","Single line Bonds Cocos","Single line Bonds ex Cocos"))</f>
        <v>Single line Bonds ex Cocos</v>
      </c>
      <c r="AM70" s="97">
        <f>(IF(_xll.BDP($G70&amp;" ISIN","SP153")="#n/a n/a"," ",_xll.BDP($G70&amp;" ISIN","SP153")))</f>
        <v>243.87853924854338</v>
      </c>
      <c r="AN70" s="95">
        <f t="shared" ca="1" si="29"/>
        <v>45783</v>
      </c>
      <c r="AO70" s="100">
        <f>(((_xll.BDP(AI70,"DS032"))/360)*I70)*O70</f>
        <v>2495.5</v>
      </c>
      <c r="AP70" s="100">
        <f>IF(F70="USD",AO70,(((_xll.BDP(F70&amp;"USD CURNCY","PX_LAST")))*AO70))</f>
        <v>2495.5</v>
      </c>
      <c r="AQ70" s="87" t="e">
        <f>S70/#REF!</f>
        <v>#REF!</v>
      </c>
      <c r="AR70" s="100">
        <f t="shared" si="30"/>
        <v>204474</v>
      </c>
      <c r="AS70" s="99">
        <f>IF((TEXT(_xll.BDP(AI70,"MATURITY"),"DD/MM/YYYY")="#N/A Field Not Applicable"),"Perp",_xll.BDP(AI70,"DS252"))</f>
        <v>16.8186173853525</v>
      </c>
      <c r="AT70" s="38" t="str">
        <f>(IF(_xll.BDP($AI70&amp;" ISIN","DT247")="Y","Yes","No"))</f>
        <v>No</v>
      </c>
      <c r="AU70" s="38" t="str">
        <f>PROPER(IF(OR(_xll.BDP($AI70,"CPN_TYP")="#n/a N/A",_xll.BDP($AI70,"CPN_TYP")= "#N/A FIELD NOT APPLICABLE"), " ", _xll.BDP($AI70,"CPN_TYP")))</f>
        <v>Fixed</v>
      </c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38" t="str">
        <f t="shared" si="31"/>
        <v>XS2542166744</v>
      </c>
      <c r="BH70" s="38">
        <v>0.62</v>
      </c>
      <c r="BI70" s="94">
        <v>4</v>
      </c>
      <c r="BJ70" s="95">
        <v>45596</v>
      </c>
      <c r="BK70" s="96">
        <v>1</v>
      </c>
      <c r="BL70" s="101"/>
    </row>
    <row r="71" spans="1:64" s="124" customFormat="1" ht="14.45" customHeight="1" x14ac:dyDescent="0.25">
      <c r="A71" s="81" t="s">
        <v>241</v>
      </c>
      <c r="B71" s="81" t="s">
        <v>262</v>
      </c>
      <c r="C71" s="81" t="s">
        <v>263</v>
      </c>
      <c r="D71" s="81" t="s">
        <v>240</v>
      </c>
      <c r="E71" s="88" t="str">
        <f>_xll.BDP(AI71,"ds520")</f>
        <v>#N/A Connection</v>
      </c>
      <c r="F71" s="88" t="str">
        <f>_xll.BDP(AI71,"crncy")</f>
        <v>#N/A Connection</v>
      </c>
      <c r="G71" s="88" t="s">
        <v>206</v>
      </c>
      <c r="H71" s="88" t="str">
        <f>IF(_xll.BDP(AI71,"RTG_MOODY")="#N/A N/A","N/A",_xll.BDP(AI71,"RTG_MOODY"))&amp;","&amp;IF(_xll.BDP(AI71,"RTG_FITCH")="#N/A N/A","N/A",_xll.BDP(AI71,"RTG_FITCH"))&amp;","&amp;IF(_xll.BDP(AI71,"RTG_SP")="#N/A N/A","N/A",_xll.BDP(AI71,"RTG_SP"))</f>
        <v>#N/A Connection,#N/A Connection,#N/A Connection</v>
      </c>
      <c r="I71" s="38" t="e">
        <f>_xll.BDP(AI71,"cpn")/100</f>
        <v>#VALUE!</v>
      </c>
      <c r="J71" s="38" t="e">
        <f ca="1">_xll.BDP($G71&amp;" isin","YAS_BOND_YLD", "YAS_YLD_FLAG=15", "user_local_trade_date",AN71,"Yas_bond_px",$Q71)/100</f>
        <v>#VALUE!</v>
      </c>
      <c r="K71" s="88" t="str">
        <f>_xll.BDP(AI71,"PAYMENT_RANK")</f>
        <v>#N/A Connection</v>
      </c>
      <c r="L71" s="88" t="str">
        <f>IF((TEXT(_xll.BDP(AI71,"MATURITY"),"DD/MM/YYYY")="#N/A Field Not Applicable"),"Perp",TEXT(_xll.BDP(AI71,"MATURITY"),"DD/MM/YYYY"))</f>
        <v>#N/A Connection</v>
      </c>
      <c r="M71" s="97" t="str">
        <f>(IF(_xll.BDP($AI71&amp;" ISIN","DU003")="#n/a n/a"," ",_xll.BDP($AI71&amp;" ISIN","DU003")))</f>
        <v>#N/A Connection</v>
      </c>
      <c r="N71" s="88" t="str">
        <f>IF(_xll.BDP(AI71,"CALLABLE")="Y",_xll.BDP(AI71,"NXT_CALL_DT")," ")</f>
        <v xml:space="preserve"> </v>
      </c>
      <c r="O71" s="98">
        <v>300000</v>
      </c>
      <c r="P71" s="88">
        <v>99.3</v>
      </c>
      <c r="Q71" s="99" t="str">
        <f>_xll.BDP(AI71,"px_bid")</f>
        <v>#N/A Connection</v>
      </c>
      <c r="R71" s="100" t="e">
        <f>IF(F71="USD",AG71,(((_xll.BDP(F71&amp;"USD CURNCY","PX_LAST")))*AG71))</f>
        <v>#VALUE!</v>
      </c>
      <c r="S71" s="100" t="e">
        <f>IF(F71="USD",AH71,(((_xll.BDP(F71&amp;"USD CURNCY","PX_LAST")))*AH71))+AP71</f>
        <v>#VALUE!</v>
      </c>
      <c r="T71" s="86" t="e">
        <f t="shared" si="23"/>
        <v>#VALUE!</v>
      </c>
      <c r="U71" s="87" t="e">
        <f t="shared" si="24"/>
        <v>#VALUE!</v>
      </c>
      <c r="V71" s="87" t="str" cm="1">
        <f t="array" ref="V71">IFERROR(_xll.BDP($G71&amp;" ISIN","CHG_PCT_1D")/100,"")</f>
        <v/>
      </c>
      <c r="W71" s="87" t="str" cm="1">
        <f t="array" ref="W71">IFERROR(_xll.BDP($G71&amp;" ISIN","CHG_PCT_5D")/100,"")</f>
        <v/>
      </c>
      <c r="X71" s="87" t="e" cm="1">
        <f t="array" ref="X71">_xll.BDP($G71&amp;" ISIN","CHG_PCT_1M")/100</f>
        <v>#VALUE!</v>
      </c>
      <c r="Y71" s="87" t="e" cm="1">
        <f t="array" ref="Y71">_xll.BDP($G71&amp;" ISIN","CHG_PCT_3M")/100</f>
        <v>#VALUE!</v>
      </c>
      <c r="Z71" s="87" t="e" cm="1">
        <f t="array" ref="Z71">_xll.BDP($G71&amp;" ISIN","CHG_PCT_6M")/100</f>
        <v>#VALUE!</v>
      </c>
      <c r="AA71" s="87" t="e" cm="1">
        <f t="array" ref="AA71">_xll.BDP($G71&amp;" ISIN","CHG_PCT_YTD")/100</f>
        <v>#VALUE!</v>
      </c>
      <c r="AB71" s="87" t="e">
        <f t="shared" si="32"/>
        <v>#VALUE!</v>
      </c>
      <c r="AC71" s="98" t="e">
        <f t="shared" ca="1" si="25"/>
        <v>#VALUE!</v>
      </c>
      <c r="AD71" s="88" t="str">
        <f>_xll.BDP(AI71,"DS199")</f>
        <v>#N/A Connection</v>
      </c>
      <c r="AE71" s="99" t="str">
        <f>_xll.BDP(AI71,"px_ask")</f>
        <v>#N/A Connection</v>
      </c>
      <c r="AF71" s="98" t="e">
        <f>IF(F71="USD",O71,(((_xll.BDP(F71&amp;"USD CURNCY","PX_LAST")))*O71))</f>
        <v>#VALUE!</v>
      </c>
      <c r="AG71" s="100">
        <f t="shared" si="26"/>
        <v>297900</v>
      </c>
      <c r="AH71" s="100" t="e">
        <f t="shared" si="27"/>
        <v>#VALUE!</v>
      </c>
      <c r="AI71" s="88" t="str">
        <f t="shared" si="28"/>
        <v>USY7141BAC73 ISIN</v>
      </c>
      <c r="AJ71" s="88" t="e" cm="1">
        <f t="array" ref="AJ71">VLOOKUP(IF(NOT(_xll.BDP($G71&amp;" CORP",$CA$5)="#N/A N/A"),(_xll.BDP($G71&amp;" CORP",$CA$5)),"-"), '[1]Country Codes'!$A$2:$B$253,2,0)</f>
        <v>#N/A</v>
      </c>
      <c r="AK71" s="88" t="str" cm="1">
        <f t="array" ref="AK71">IF(OR(_xll.BDP($AI71,"EX028")= "#N/A N/A", _xll.BDP($AI71,"EX028")="#N/A FIELD NOT APPLICABLE"), " ", _xll.BDP($AI71,"EX028"))</f>
        <v>#N/A Connection</v>
      </c>
      <c r="AL71" s="38" t="str">
        <f>(IF(_xll.BDP($AI71&amp;" ISIN","DZ282")="Y","Single line Bonds Cocos","Single line Bonds ex Cocos"))</f>
        <v>Single line Bonds ex Cocos</v>
      </c>
      <c r="AM71" s="97" t="str">
        <f>(IF(_xll.BDP($G71&amp;" ISIN","SP153")="#n/a n/a"," ",_xll.BDP($G71&amp;" ISIN","SP153")))</f>
        <v>#N/A Connection</v>
      </c>
      <c r="AN71" s="95">
        <f t="shared" ca="1" si="29"/>
        <v>45783</v>
      </c>
      <c r="AO71" s="100" t="e">
        <f>(((_xll.BDP(AI71,"DS032"))/360)*I71)*O71</f>
        <v>#VALUE!</v>
      </c>
      <c r="AP71" s="100" t="e">
        <f>IF(F71="USD",AO71,(((_xll.BDP(F71&amp;"USD CURNCY","PX_LAST")))*AO71))</f>
        <v>#VALUE!</v>
      </c>
      <c r="AQ71" s="87" t="e">
        <f>S71/#REF!</f>
        <v>#VALUE!</v>
      </c>
      <c r="AR71" s="100" t="e">
        <f t="shared" si="30"/>
        <v>#VALUE!</v>
      </c>
      <c r="AS71" s="99" t="str">
        <f>IF((TEXT(_xll.BDP(AI71,"MATURITY"),"DD/MM/YYYY")="#N/A Field Not Applicable"),"Perp",_xll.BDP(AI71,"DS252"))</f>
        <v>#N/A Connection</v>
      </c>
      <c r="AT71" s="38" t="str">
        <f>(IF(_xll.BDP($AI71&amp;" ISIN","DT247")="Y","Yes","No"))</f>
        <v>No</v>
      </c>
      <c r="AU71" s="38" t="str">
        <f>PROPER(IF(OR(_xll.BDP($AI71,"CPN_TYP")="#n/a N/A",_xll.BDP($AI71,"CPN_TYP")= "#N/A FIELD NOT APPLICABLE"), " ", _xll.BDP($AI71,"CPN_TYP")))</f>
        <v>#N/A Connection</v>
      </c>
      <c r="AV71" s="101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  <c r="BG71" s="38" t="str">
        <f t="shared" si="31"/>
        <v>USY7141BAC73</v>
      </c>
      <c r="BH71" s="38">
        <v>0.67</v>
      </c>
      <c r="BI71" s="94" t="s">
        <v>147</v>
      </c>
      <c r="BJ71" s="95">
        <v>45462</v>
      </c>
      <c r="BK71" s="96">
        <v>1</v>
      </c>
      <c r="BL71" s="101"/>
    </row>
    <row r="72" spans="1:64" s="21" customFormat="1" ht="14.45" customHeight="1" x14ac:dyDescent="0.25">
      <c r="A72" s="49" t="s">
        <v>241</v>
      </c>
      <c r="B72" s="49" t="s">
        <v>262</v>
      </c>
      <c r="C72" s="49" t="s">
        <v>263</v>
      </c>
      <c r="D72" s="49" t="s">
        <v>240</v>
      </c>
      <c r="E72" s="4" t="str">
        <f>_xll.BDP(AI72,"ds520")</f>
        <v>#N/A Connection</v>
      </c>
      <c r="F72" s="4" t="str">
        <f>_xll.BDP(AI72,"crncy")</f>
        <v>#N/A Connection</v>
      </c>
      <c r="G72" s="5" t="s">
        <v>159</v>
      </c>
      <c r="H72" s="4" t="str">
        <f>IF(_xll.BDP(AI72,"RTG_MOODY")="#N/A N/A","N/A",_xll.BDP(AI72,"RTG_MOODY"))&amp;","&amp;IF(_xll.BDP(AI72,"RTG_FITCH")="#N/A N/A","N/A",_xll.BDP(AI72,"RTG_FITCH"))&amp;","&amp;IF(_xll.BDP(AI72,"RTG_SP")="#N/A N/A","N/A",_xll.BDP(AI72,"RTG_SP"))</f>
        <v>#N/A Connection,#N/A Connection,#N/A Connection</v>
      </c>
      <c r="I72" s="7" t="e">
        <f>_xll.BDP(AI72,"cpn")/100</f>
        <v>#VALUE!</v>
      </c>
      <c r="J72" s="7" t="e">
        <f ca="1">_xll.BDP($G72&amp;" isin","YAS_BOND_YLD", "YAS_YLD_FLAG=15", "user_local_trade_date",AN72,"Yas_bond_px",$Q72)/100</f>
        <v>#VALUE!</v>
      </c>
      <c r="K72" s="4" t="str">
        <f>_xll.BDP(AI72,"PAYMENT_RANK")</f>
        <v>#N/A Connection</v>
      </c>
      <c r="L72" s="4" t="str">
        <f>IF((TEXT(_xll.BDP(AI72,"MATURITY"),"DD/MM/YYYY")="#N/A Field Not Applicable"),"Perp",TEXT(_xll.BDP(AI72,"MATURITY"),"DD/MM/YYYY"))</f>
        <v>#N/A Connection</v>
      </c>
      <c r="M72" s="8" t="str">
        <f>(IF(_xll.BDP($AI72&amp;" ISIN","DU003")="#n/a n/a"," ",_xll.BDP($AI72&amp;" ISIN","DU003")))</f>
        <v>#N/A Connection</v>
      </c>
      <c r="N72" s="4" t="str">
        <f>IF(_xll.BDP(AI72,"CALLABLE")="Y",_xll.BDP(AI72,"NXT_CALL_DT")," ")</f>
        <v xml:space="preserve"> </v>
      </c>
      <c r="O72" s="9">
        <v>200000</v>
      </c>
      <c r="P72" s="5">
        <v>99.72</v>
      </c>
      <c r="Q72" s="10" t="str">
        <f>_xll.BDP(AI72,"px_bid")</f>
        <v>#N/A Connection</v>
      </c>
      <c r="R72" s="11" t="e">
        <f>IF(F72="USD",AG72,(((_xll.BDP(F72&amp;"USD CURNCY","PX_LAST")))*AG72))</f>
        <v>#VALUE!</v>
      </c>
      <c r="S72" s="11" t="e">
        <f>IF(F72="USD",AH72,(((_xll.BDP(F72&amp;"USD CURNCY","PX_LAST")))*AH72))+AP72</f>
        <v>#VALUE!</v>
      </c>
      <c r="T72" s="12" t="e">
        <f t="shared" si="23"/>
        <v>#VALUE!</v>
      </c>
      <c r="U72" s="13" t="e">
        <f t="shared" si="24"/>
        <v>#VALUE!</v>
      </c>
      <c r="V72" s="13" t="str" cm="1">
        <f t="array" ref="V72">IFERROR(_xll.BDP($G72&amp;" ISIN","CHG_PCT_1D")/100,"")</f>
        <v/>
      </c>
      <c r="W72" s="13" t="str" cm="1">
        <f t="array" ref="W72">IFERROR(_xll.BDP($G72&amp;" ISIN","CHG_PCT_5D")/100,"")</f>
        <v/>
      </c>
      <c r="X72" s="13" t="e" cm="1">
        <f t="array" ref="X72">_xll.BDP($G72&amp;" ISIN","CHG_PCT_1M")/100</f>
        <v>#VALUE!</v>
      </c>
      <c r="Y72" s="13" t="e" cm="1">
        <f t="array" ref="Y72">_xll.BDP($G72&amp;" ISIN","CHG_PCT_3M")/100</f>
        <v>#VALUE!</v>
      </c>
      <c r="Z72" s="13" t="e" cm="1">
        <f t="array" ref="Z72">_xll.BDP($G72&amp;" ISIN","CHG_PCT_6M")/100</f>
        <v>#VALUE!</v>
      </c>
      <c r="AA72" s="13" t="e" cm="1">
        <f t="array" ref="AA72">_xll.BDP($G72&amp;" ISIN","CHG_PCT_YTD")/100</f>
        <v>#VALUE!</v>
      </c>
      <c r="AB72" s="13" t="e">
        <f t="shared" si="32"/>
        <v>#VALUE!</v>
      </c>
      <c r="AC72" s="14" t="e">
        <f t="shared" ca="1" si="25"/>
        <v>#VALUE!</v>
      </c>
      <c r="AD72" s="4" t="str">
        <f>_xll.BDP(AI72,"DS199")</f>
        <v>#N/A Connection</v>
      </c>
      <c r="AE72" s="10" t="str">
        <f>_xll.BDP(AI72,"px_ask")</f>
        <v>#N/A Connection</v>
      </c>
      <c r="AF72" s="14" t="e">
        <f>IF(F72="USD",O72,(((_xll.BDP(F72&amp;"USD CURNCY","PX_LAST")))*O72))</f>
        <v>#VALUE!</v>
      </c>
      <c r="AG72" s="11">
        <f t="shared" si="26"/>
        <v>199440</v>
      </c>
      <c r="AH72" s="11" t="e">
        <f t="shared" si="27"/>
        <v>#VALUE!</v>
      </c>
      <c r="AI72" s="4" t="str">
        <f t="shared" si="28"/>
        <v>XS2356571559 ISIN</v>
      </c>
      <c r="AJ72" s="4" t="e" cm="1">
        <f t="array" ref="AJ72">VLOOKUP(IF(NOT(_xll.BDP($G72&amp;" CORP",$CA$5)="#N/A N/A"),(_xll.BDP($G72&amp;" CORP",$CA$5)),"-"), '[1]Country Codes'!$A$2:$B$253,2,0)</f>
        <v>#N/A</v>
      </c>
      <c r="AK72" s="4" t="str" cm="1">
        <f t="array" ref="AK72">IF(OR(_xll.BDP($AI72,"EX028")= "#N/A N/A", _xll.BDP($AI72,"EX028")="#N/A FIELD NOT APPLICABLE"), " ", _xll.BDP($AI72,"EX028"))</f>
        <v>#N/A Connection</v>
      </c>
      <c r="AL72" s="15" t="str">
        <f>(IF(_xll.BDP($AI72&amp;" ISIN","DZ282")="Y","Single line Bonds Cocos","Single line Bonds ex Cocos"))</f>
        <v>Single line Bonds ex Cocos</v>
      </c>
      <c r="AM72" s="8" t="str">
        <f>(IF(_xll.BDP($G72&amp;" ISIN","SP153")="#n/a n/a"," ",_xll.BDP($G72&amp;" ISIN","SP153")))</f>
        <v>#N/A Connection</v>
      </c>
      <c r="AN72" s="16">
        <f t="shared" ca="1" si="29"/>
        <v>45783</v>
      </c>
      <c r="AO72" s="11" t="e">
        <f>(((_xll.BDP(AI72,"DS032"))/360)*I72)*O72</f>
        <v>#VALUE!</v>
      </c>
      <c r="AP72" s="11" t="e">
        <f>IF(F72="USD",AO72,(((_xll.BDP(F72&amp;"USD CURNCY","PX_LAST")))*AO72))</f>
        <v>#VALUE!</v>
      </c>
      <c r="AQ72" s="13" t="e">
        <f>S72/#REF!</f>
        <v>#VALUE!</v>
      </c>
      <c r="AR72" s="11" t="e">
        <f t="shared" si="30"/>
        <v>#VALUE!</v>
      </c>
      <c r="AS72" s="10" t="str">
        <f>IF((TEXT(_xll.BDP(AI72,"MATURITY"),"DD/MM/YYYY")="#N/A Field Not Applicable"),"Perp",_xll.BDP(AI72,"DS252"))</f>
        <v>#N/A Connection</v>
      </c>
      <c r="AT72" s="15" t="str">
        <f>(IF(_xll.BDP($AI72&amp;" ISIN","DT247")="Y","Yes","No"))</f>
        <v>No</v>
      </c>
      <c r="AU72" s="15" t="str">
        <f>PROPER(IF(OR(_xll.BDP($AI72,"CPN_TYP")="#n/a N/A",_xll.BDP($AI72,"CPN_TYP")= "#N/A FIELD NOT APPLICABLE"), " ", _xll.BDP($AI72,"CPN_TYP")))</f>
        <v>#N/A Connection</v>
      </c>
      <c r="BG72" s="17" t="str">
        <f t="shared" si="31"/>
        <v>XS2356571559</v>
      </c>
      <c r="BH72" s="17">
        <v>0.47</v>
      </c>
      <c r="BI72" s="18">
        <v>4</v>
      </c>
      <c r="BJ72" s="19">
        <v>44371</v>
      </c>
      <c r="BK72" s="20">
        <v>1</v>
      </c>
    </row>
    <row r="73" spans="1:64" s="21" customFormat="1" ht="14.45" customHeight="1" x14ac:dyDescent="0.25">
      <c r="A73" s="49" t="s">
        <v>241</v>
      </c>
      <c r="B73" s="49" t="s">
        <v>262</v>
      </c>
      <c r="C73" s="49" t="s">
        <v>263</v>
      </c>
      <c r="D73" s="49" t="s">
        <v>240</v>
      </c>
      <c r="E73" s="4" t="str">
        <f>_xll.BDP(AI73,"ds520")</f>
        <v>#N/A Connection</v>
      </c>
      <c r="F73" s="4" t="str">
        <f>_xll.BDP(AI73,"crncy")</f>
        <v>#N/A Connection</v>
      </c>
      <c r="G73" s="5" t="s">
        <v>205</v>
      </c>
      <c r="H73" s="4" t="str">
        <f>IF(_xll.BDP(AI73,"RTG_MOODY")="#N/A N/A","N/A",_xll.BDP(AI73,"RTG_MOODY"))&amp;","&amp;IF(_xll.BDP(AI73,"RTG_FITCH")="#N/A N/A","N/A",_xll.BDP(AI73,"RTG_FITCH"))&amp;","&amp;IF(_xll.BDP(AI73,"RTG_SP")="#N/A N/A","N/A",_xll.BDP(AI73,"RTG_SP"))</f>
        <v>#N/A Connection,#N/A Connection,#N/A Connection</v>
      </c>
      <c r="I73" s="7" t="e">
        <f>_xll.BDP(AI73,"cpn")/100</f>
        <v>#VALUE!</v>
      </c>
      <c r="J73" s="7" t="e">
        <f ca="1">_xll.BDP($G73&amp;" isin","YAS_BOND_YLD", "YAS_YLD_FLAG=15", "user_local_trade_date",AN73,"Yas_bond_px",$Q73)/100</f>
        <v>#VALUE!</v>
      </c>
      <c r="K73" s="4" t="str">
        <f>_xll.BDP(AI73,"PAYMENT_RANK")</f>
        <v>#N/A Connection</v>
      </c>
      <c r="L73" s="4" t="str">
        <f>IF((TEXT(_xll.BDP(AI73,"MATURITY"),"DD/MM/YYYY")="#N/A Field Not Applicable"),"Perp",TEXT(_xll.BDP(AI73,"MATURITY"),"DD/MM/YYYY"))</f>
        <v>#N/A Connection</v>
      </c>
      <c r="M73" s="8" t="str">
        <f>(IF(_xll.BDP($AI73&amp;" ISIN","DU003")="#n/a n/a"," ",_xll.BDP($AI73&amp;" ISIN","DU003")))</f>
        <v>#N/A Connection</v>
      </c>
      <c r="N73" s="4" t="str">
        <f>IF(_xll.BDP(AI73,"CALLABLE")="Y",_xll.BDP(AI73,"NXT_CALL_DT")," ")</f>
        <v xml:space="preserve"> </v>
      </c>
      <c r="O73" s="9">
        <v>200000</v>
      </c>
      <c r="P73" s="5">
        <v>100.59</v>
      </c>
      <c r="Q73" s="10" t="str">
        <f>_xll.BDP(AI73,"px_bid")</f>
        <v>#N/A Connection</v>
      </c>
      <c r="R73" s="11" t="e">
        <f>IF(F73="USD",AG73,(((_xll.BDP(F73&amp;"USD CURNCY","PX_LAST")))*AG73))</f>
        <v>#VALUE!</v>
      </c>
      <c r="S73" s="11" t="e">
        <f>IF(F73="USD",AH73,(((_xll.BDP(F73&amp;"USD CURNCY","PX_LAST")))*AH73))+AP73</f>
        <v>#VALUE!</v>
      </c>
      <c r="T73" s="12" t="e">
        <f t="shared" si="23"/>
        <v>#VALUE!</v>
      </c>
      <c r="U73" s="13" t="e">
        <f t="shared" si="24"/>
        <v>#VALUE!</v>
      </c>
      <c r="V73" s="13" t="str" cm="1">
        <f t="array" ref="V73">IFERROR(_xll.BDP($G73&amp;" ISIN","CHG_PCT_1D")/100,"")</f>
        <v/>
      </c>
      <c r="W73" s="13" t="str" cm="1">
        <f t="array" ref="W73">IFERROR(_xll.BDP($G73&amp;" ISIN","CHG_PCT_5D")/100,"")</f>
        <v/>
      </c>
      <c r="X73" s="13" t="e" cm="1">
        <f t="array" ref="X73">_xll.BDP($G73&amp;" ISIN","CHG_PCT_1M")/100</f>
        <v>#VALUE!</v>
      </c>
      <c r="Y73" s="13" t="e" cm="1">
        <f t="array" ref="Y73">_xll.BDP($G73&amp;" ISIN","CHG_PCT_3M")/100</f>
        <v>#VALUE!</v>
      </c>
      <c r="Z73" s="13" t="e" cm="1">
        <f t="array" ref="Z73">_xll.BDP($G73&amp;" ISIN","CHG_PCT_6M")/100</f>
        <v>#VALUE!</v>
      </c>
      <c r="AA73" s="13" t="e" cm="1">
        <f t="array" ref="AA73">_xll.BDP($G73&amp;" ISIN","CHG_PCT_YTD")/100</f>
        <v>#VALUE!</v>
      </c>
      <c r="AB73" s="13" t="e">
        <f t="shared" si="32"/>
        <v>#VALUE!</v>
      </c>
      <c r="AC73" s="14" t="e">
        <f t="shared" ca="1" si="25"/>
        <v>#VALUE!</v>
      </c>
      <c r="AD73" s="4" t="str">
        <f>_xll.BDP(AI73,"DS199")</f>
        <v>#N/A Connection</v>
      </c>
      <c r="AE73" s="10" t="str">
        <f>_xll.BDP(AI73,"px_ask")</f>
        <v>#N/A Connection</v>
      </c>
      <c r="AF73" s="14" t="e">
        <f>IF(F73="USD",O73,(((_xll.BDP(F73&amp;"USD CURNCY","PX_LAST")))*O73))</f>
        <v>#VALUE!</v>
      </c>
      <c r="AG73" s="11">
        <f t="shared" si="26"/>
        <v>201180</v>
      </c>
      <c r="AH73" s="11" t="e">
        <f t="shared" si="27"/>
        <v>#VALUE!</v>
      </c>
      <c r="AI73" s="4" t="str">
        <f t="shared" si="28"/>
        <v>XS2358483258 ISIN</v>
      </c>
      <c r="AJ73" s="4" t="e" cm="1">
        <f t="array" ref="AJ73">VLOOKUP(IF(NOT(_xll.BDP($G73&amp;" CORP",$CA$5)="#N/A N/A"),(_xll.BDP($G73&amp;" CORP",$CA$5)),"-"), '[1]Country Codes'!$A$2:$B$253,2,0)</f>
        <v>#N/A</v>
      </c>
      <c r="AK73" s="4" t="str" cm="1">
        <f t="array" ref="AK73">IF(OR(_xll.BDP($AI73,"EX028")= "#N/A N/A", _xll.BDP($AI73,"EX028")="#N/A FIELD NOT APPLICABLE"), " ", _xll.BDP($AI73,"EX028"))</f>
        <v>#N/A Connection</v>
      </c>
      <c r="AL73" s="15" t="str">
        <f>(IF(_xll.BDP($AI73&amp;" ISIN","DZ282")="Y","Single line Bonds Cocos","Single line Bonds ex Cocos"))</f>
        <v>Single line Bonds ex Cocos</v>
      </c>
      <c r="AM73" s="8" t="str">
        <f>(IF(_xll.BDP($G73&amp;" ISIN","SP153")="#n/a n/a"," ",_xll.BDP($G73&amp;" ISIN","SP153")))</f>
        <v>#N/A Connection</v>
      </c>
      <c r="AN73" s="16">
        <f t="shared" ca="1" si="29"/>
        <v>45783</v>
      </c>
      <c r="AO73" s="11" t="e">
        <f>(((_xll.BDP(AI73,"DS032"))/360)*I73)*O73</f>
        <v>#VALUE!</v>
      </c>
      <c r="AP73" s="11" t="e">
        <f>IF(F73="USD",AO73,(((_xll.BDP(F73&amp;"USD CURNCY","PX_LAST")))*AO73))</f>
        <v>#VALUE!</v>
      </c>
      <c r="AQ73" s="13" t="e">
        <f>S73/#REF!</f>
        <v>#VALUE!</v>
      </c>
      <c r="AR73" s="11" t="e">
        <f t="shared" si="30"/>
        <v>#VALUE!</v>
      </c>
      <c r="AS73" s="10" t="str">
        <f>IF((TEXT(_xll.BDP(AI73,"MATURITY"),"DD/MM/YYYY")="#N/A Field Not Applicable"),"Perp",_xll.BDP(AI73,"DS252"))</f>
        <v>#N/A Connection</v>
      </c>
      <c r="AT73" s="15" t="str">
        <f>(IF(_xll.BDP($AI73&amp;" ISIN","DT247")="Y","Yes","No"))</f>
        <v>No</v>
      </c>
      <c r="AU73" s="15" t="str">
        <f>PROPER(IF(OR(_xll.BDP($AI73,"CPN_TYP")="#n/a N/A",_xll.BDP($AI73,"CPN_TYP")= "#N/A FIELD NOT APPLICABLE"), " ", _xll.BDP($AI73,"CPN_TYP")))</f>
        <v>#N/A Connection</v>
      </c>
      <c r="BG73" s="17" t="str">
        <f t="shared" si="31"/>
        <v>XS2358483258</v>
      </c>
      <c r="BH73" s="17">
        <v>0.82</v>
      </c>
      <c r="BI73" s="18">
        <v>2</v>
      </c>
      <c r="BJ73" s="19">
        <v>44377</v>
      </c>
      <c r="BK73" s="20">
        <v>1</v>
      </c>
    </row>
    <row r="74" spans="1:64" s="21" customFormat="1" ht="14.45" customHeight="1" x14ac:dyDescent="0.25">
      <c r="A74" s="49" t="s">
        <v>241</v>
      </c>
      <c r="B74" s="49" t="s">
        <v>262</v>
      </c>
      <c r="C74" s="49" t="s">
        <v>263</v>
      </c>
      <c r="D74" s="49" t="s">
        <v>240</v>
      </c>
      <c r="E74" s="4" t="str">
        <f>_xll.BDP(AI74,"ds520")</f>
        <v>TVF Varlik Kiralama AS</v>
      </c>
      <c r="F74" s="4" t="str">
        <f>_xll.BDP(AI74,"crncy")</f>
        <v>USD</v>
      </c>
      <c r="G74" s="5" t="s">
        <v>136</v>
      </c>
      <c r="H74" s="4" t="str">
        <f>IF(_xll.BDP(AI74,"RTG_MOODY")="#N/A N/A","N/A",_xll.BDP(AI74,"RTG_MOODY"))&amp;","&amp;IF(_xll.BDP(AI74,"RTG_FITCH")="#N/A N/A","N/A",_xll.BDP(AI74,"RTG_FITCH"))&amp;","&amp;IF(_xll.BDP(AI74,"RTG_SP")="#N/A N/A","N/A",_xll.BDP(AI74,"RTG_SP"))</f>
        <v>N/A,BB-,N/A</v>
      </c>
      <c r="I74" s="7">
        <f>_xll.BDP(AI74,"cpn")/100</f>
        <v>6.9500000000000006E-2</v>
      </c>
      <c r="J74" s="7">
        <f ca="1">_xll.BDP($G74&amp;" isin","YAS_BOND_YLD", "YAS_YLD_FLAG=15", "user_local_trade_date",AN74,"Yas_bond_px",$Q74)/100</f>
        <v>7.1722910000000001E-2</v>
      </c>
      <c r="K74" s="4" t="str">
        <f>_xll.BDP(AI74,"PAYMENT_RANK")</f>
        <v>Sr Unsecured</v>
      </c>
      <c r="L74" s="4" t="str">
        <f>IF((TEXT(_xll.BDP(AI74,"MATURITY"),"DD/MM/YYYY")="#N/A Field Not Applicable"),"Perp",TEXT(_xll.BDP(AI74,"MATURITY"),"DD/MM/YYYY"))</f>
        <v>23/01/2030</v>
      </c>
      <c r="M74" s="8">
        <f>(IF(_xll.BDP($AI74&amp;" ISIN","DU003")="#n/a n/a"," ",_xll.BDP($AI74&amp;" ISIN","DU003")))</f>
        <v>4.0302780432457386</v>
      </c>
      <c r="N74" s="4" t="str">
        <f>IF(_xll.BDP(AI74,"CALLABLE")="Y",_xll.BDP(AI74,"NXT_CALL_DT")," ")</f>
        <v xml:space="preserve"> </v>
      </c>
      <c r="O74" s="9">
        <v>200000</v>
      </c>
      <c r="P74" s="5">
        <v>100.01</v>
      </c>
      <c r="Q74" s="10">
        <f>_xll.BDP(AI74,"px_bid")</f>
        <v>99.11</v>
      </c>
      <c r="R74" s="11">
        <f>IF(F74="USD",AG74,(((_xll.BDP(F74&amp;"USD CURNCY","PX_LAST")))*AG74))</f>
        <v>200020</v>
      </c>
      <c r="S74" s="11">
        <f>IF(F74="USD",AH74,(((_xll.BDP(F74&amp;"USD CURNCY","PX_LAST")))*AH74))+AP74</f>
        <v>202042.5</v>
      </c>
      <c r="T74" s="12">
        <f t="shared" si="23"/>
        <v>-1800.0000000000114</v>
      </c>
      <c r="U74" s="13">
        <f t="shared" si="24"/>
        <v>-8.9991000899910575E-3</v>
      </c>
      <c r="V74" s="13" t="str" cm="1">
        <f t="array" ref="V74">IFERROR(_xll.BDP($G74&amp;" ISIN","CHG_PCT_1D")/100,"")</f>
        <v/>
      </c>
      <c r="W74" s="13" t="str" cm="1">
        <f t="array" ref="W74">IFERROR(_xll.BDP($G74&amp;" ISIN","CHG_PCT_5D")/100,"")</f>
        <v/>
      </c>
      <c r="X74" s="13" t="e" cm="1">
        <f t="array" ref="X74">_xll.BDP($G74&amp;" ISIN","CHG_PCT_1M")/100</f>
        <v>#VALUE!</v>
      </c>
      <c r="Y74" s="13" t="e" cm="1">
        <f t="array" ref="Y74">_xll.BDP($G74&amp;" ISIN","CHG_PCT_3M")/100</f>
        <v>#VALUE!</v>
      </c>
      <c r="Z74" s="13" t="e" cm="1">
        <f t="array" ref="Z74">_xll.BDP($G74&amp;" ISIN","CHG_PCT_6M")/100</f>
        <v>#VALUE!</v>
      </c>
      <c r="AA74" s="13" t="e" cm="1">
        <f t="array" ref="AA74">_xll.BDP($G74&amp;" ISIN","CHG_PCT_YTD")/100</f>
        <v>#VALUE!</v>
      </c>
      <c r="AB74" s="13" t="e">
        <f t="shared" si="32"/>
        <v>#VALUE!</v>
      </c>
      <c r="AC74" s="14">
        <f t="shared" ca="1" si="25"/>
        <v>5999.4444444444343</v>
      </c>
      <c r="AD74" s="4" t="str">
        <f>_xll.BDP(AI74,"DS199")</f>
        <v>Financial</v>
      </c>
      <c r="AE74" s="10">
        <f>_xll.BDP(AI74,"px_ask")</f>
        <v>99.495999999999995</v>
      </c>
      <c r="AF74" s="14">
        <f>IF(F74="USD",O74,(((_xll.BDP(F74&amp;"USD CURNCY","PX_LAST")))*O74))</f>
        <v>200000</v>
      </c>
      <c r="AG74" s="11">
        <f t="shared" si="26"/>
        <v>200020</v>
      </c>
      <c r="AH74" s="11">
        <f t="shared" si="27"/>
        <v>198220</v>
      </c>
      <c r="AI74" s="4" t="str">
        <f t="shared" si="28"/>
        <v>XS2911679004 ISIN</v>
      </c>
      <c r="AJ74" s="4" t="e" cm="1">
        <f t="array" ref="AJ74">VLOOKUP(IF(NOT(_xll.BDP($G74&amp;" CORP",$CA$5)="#N/A N/A"),(_xll.BDP($G74&amp;" CORP",$CA$5)),"-"), '[1]Country Codes'!$A$2:$B$253,2,0)</f>
        <v>#N/A</v>
      </c>
      <c r="AK74" s="4" t="str" cm="1">
        <f t="array" ref="AK74">IF(OR(_xll.BDP($AI74,"EX028")= "#N/A N/A", _xll.BDP($AI74,"EX028")="#N/A FIELD NOT APPLICABLE"), " ", _xll.BDP($AI74,"EX028"))</f>
        <v>FixedIncome</v>
      </c>
      <c r="AL74" s="15" t="str">
        <f>(IF(_xll.BDP($AI74&amp;" ISIN","DZ282")="Y","Single line Bonds Cocos","Single line Bonds ex Cocos"))</f>
        <v>Single line Bonds ex Cocos</v>
      </c>
      <c r="AM74" s="8">
        <f>(IF(_xll.BDP($G74&amp;" ISIN","SP153")="#n/a n/a"," ",_xll.BDP($G74&amp;" ISIN","SP153")))</f>
        <v>370.64895526953268</v>
      </c>
      <c r="AN74" s="16">
        <f t="shared" ca="1" si="29"/>
        <v>45783</v>
      </c>
      <c r="AO74" s="11">
        <f>(((_xll.BDP(AI74,"DS032"))/360)*I74)*O74</f>
        <v>3822.5000000000009</v>
      </c>
      <c r="AP74" s="11">
        <f>IF(F74="USD",AO74,(((_xll.BDP(F74&amp;"USD CURNCY","PX_LAST")))*AO74))</f>
        <v>3822.5000000000009</v>
      </c>
      <c r="AQ74" s="13" t="e">
        <f>S74/#REF!</f>
        <v>#REF!</v>
      </c>
      <c r="AR74" s="11">
        <f t="shared" si="30"/>
        <v>198220</v>
      </c>
      <c r="AS74" s="10">
        <f>IF((TEXT(_xll.BDP(AI74,"MATURITY"),"DD/MM/YYYY")="#N/A Field Not Applicable"),"Perp",_xll.BDP(AI74,"DS252"))</f>
        <v>4.7337440109514031</v>
      </c>
      <c r="AT74" s="15" t="str">
        <f>(IF(_xll.BDP($AI74&amp;" ISIN","DT247")="Y","Yes","No"))</f>
        <v>No</v>
      </c>
      <c r="AU74" s="15" t="str">
        <f>PROPER(IF(OR(_xll.BDP($AI74,"CPN_TYP")="#n/a N/A",_xll.BDP($AI74,"CPN_TYP")= "#N/A FIELD NOT APPLICABLE"), " ", _xll.BDP($AI74,"CPN_TYP")))</f>
        <v>Fixed</v>
      </c>
      <c r="BG74" s="17" t="str">
        <f t="shared" si="31"/>
        <v>XS2911679004</v>
      </c>
      <c r="BH74" s="17">
        <v>0.82</v>
      </c>
      <c r="BI74" s="18">
        <v>3</v>
      </c>
      <c r="BJ74" s="19">
        <v>45581</v>
      </c>
      <c r="BK74" s="20">
        <v>1</v>
      </c>
    </row>
    <row r="75" spans="1:64" s="77" customFormat="1" ht="14.45" customHeight="1" x14ac:dyDescent="0.25">
      <c r="A75" s="49" t="s">
        <v>241</v>
      </c>
      <c r="B75" s="49" t="s">
        <v>262</v>
      </c>
      <c r="C75" s="49" t="s">
        <v>263</v>
      </c>
      <c r="D75" s="49" t="s">
        <v>240</v>
      </c>
      <c r="E75" s="4" t="str">
        <f>_xll.BDP(AI75,"ds520")</f>
        <v>#N/A Connection</v>
      </c>
      <c r="F75" s="4" t="str">
        <f>_xll.BDP(AI75,"crncy")</f>
        <v>#N/A Connection</v>
      </c>
      <c r="G75" s="5" t="s">
        <v>45</v>
      </c>
      <c r="H75" s="4" t="str">
        <f>IF(_xll.BDP(AI75,"RTG_MOODY")="#N/A N/A","N/A",_xll.BDP(AI75,"RTG_MOODY"))&amp;","&amp;IF(_xll.BDP(AI75,"RTG_FITCH")="#N/A N/A","N/A",_xll.BDP(AI75,"RTG_FITCH"))&amp;","&amp;IF(_xll.BDP(AI75,"RTG_SP")="#N/A N/A","N/A",_xll.BDP(AI75,"RTG_SP"))</f>
        <v>#N/A Connection,#N/A Connection,#N/A Connection</v>
      </c>
      <c r="I75" s="7" t="e">
        <f>_xll.BDP(AI75,"cpn")/100</f>
        <v>#VALUE!</v>
      </c>
      <c r="J75" s="7" t="e">
        <f ca="1">_xll.BDP($G75&amp;" isin","YAS_BOND_YLD", "YAS_YLD_FLAG=15", "user_local_trade_date",AN75,"Yas_bond_px",$Q75)/100</f>
        <v>#VALUE!</v>
      </c>
      <c r="K75" s="4" t="str">
        <f>_xll.BDP(AI75,"PAYMENT_RANK")</f>
        <v>#N/A Connection</v>
      </c>
      <c r="L75" s="4" t="str">
        <f>IF((TEXT(_xll.BDP(AI75,"MATURITY"),"DD/MM/YYYY")="#N/A Field Not Applicable"),"Perp",TEXT(_xll.BDP(AI75,"MATURITY"),"DD/MM/YYYY"))</f>
        <v>#N/A Connection</v>
      </c>
      <c r="M75" s="8" t="str">
        <f>(IF(_xll.BDP($AI75&amp;" ISIN","DU003")="#n/a n/a"," ",_xll.BDP($AI75&amp;" ISIN","DU003")))</f>
        <v>#N/A Connection</v>
      </c>
      <c r="N75" s="4" t="str">
        <f>IF(_xll.BDP(AI75,"CALLABLE")="Y",_xll.BDP(AI75,"NXT_CALL_DT")," ")</f>
        <v xml:space="preserve"> </v>
      </c>
      <c r="O75" s="9">
        <v>300000</v>
      </c>
      <c r="P75" s="5">
        <v>98.78</v>
      </c>
      <c r="Q75" s="10" t="str">
        <f>_xll.BDP(AI75,"px_bid")</f>
        <v>#N/A Connection</v>
      </c>
      <c r="R75" s="11" t="e">
        <f>IF(F75="USD",AG75,(((_xll.BDP(F75&amp;"USD CURNCY","PX_LAST")))*AG75))</f>
        <v>#VALUE!</v>
      </c>
      <c r="S75" s="11" t="e">
        <f>IF(F75="USD",AH75,(((_xll.BDP(F75&amp;"USD CURNCY","PX_LAST")))*AH75))+AP75</f>
        <v>#VALUE!</v>
      </c>
      <c r="T75" s="12" t="e">
        <f t="shared" si="23"/>
        <v>#VALUE!</v>
      </c>
      <c r="U75" s="13" t="e">
        <f t="shared" si="24"/>
        <v>#VALUE!</v>
      </c>
      <c r="V75" s="13" t="str" cm="1">
        <f t="array" ref="V75">IFERROR(_xll.BDP($G75&amp;" ISIN","CHG_PCT_1D")/100,"")</f>
        <v/>
      </c>
      <c r="W75" s="13" t="str" cm="1">
        <f t="array" ref="W75">IFERROR(_xll.BDP($G75&amp;" ISIN","CHG_PCT_5D")/100,"")</f>
        <v/>
      </c>
      <c r="X75" s="13" t="e" cm="1">
        <f t="array" ref="X75">_xll.BDP($G75&amp;" ISIN","CHG_PCT_1M")/100</f>
        <v>#VALUE!</v>
      </c>
      <c r="Y75" s="13" t="e" cm="1">
        <f t="array" ref="Y75">_xll.BDP($G75&amp;" ISIN","CHG_PCT_3M")/100</f>
        <v>#VALUE!</v>
      </c>
      <c r="Z75" s="13" t="e" cm="1">
        <f t="array" ref="Z75">_xll.BDP($G75&amp;" ISIN","CHG_PCT_6M")/100</f>
        <v>#VALUE!</v>
      </c>
      <c r="AA75" s="13" t="e" cm="1">
        <f t="array" ref="AA75">_xll.BDP($G75&amp;" ISIN","CHG_PCT_YTD")/100</f>
        <v>#VALUE!</v>
      </c>
      <c r="AB75" s="13" t="e">
        <f t="shared" si="32"/>
        <v>#VALUE!</v>
      </c>
      <c r="AC75" s="14" t="e">
        <f t="shared" ca="1" si="25"/>
        <v>#VALUE!</v>
      </c>
      <c r="AD75" s="4" t="str">
        <f>_xll.BDP(AI75,"DS199")</f>
        <v>#N/A Connection</v>
      </c>
      <c r="AE75" s="10" t="str">
        <f>_xll.BDP(AI75,"px_ask")</f>
        <v>#N/A Connection</v>
      </c>
      <c r="AF75" s="14" t="e">
        <f>IF(F75="USD",O75,(((_xll.BDP(F75&amp;"USD CURNCY","PX_LAST")))*O75))</f>
        <v>#VALUE!</v>
      </c>
      <c r="AG75" s="11">
        <f t="shared" si="26"/>
        <v>296340</v>
      </c>
      <c r="AH75" s="11" t="e">
        <f t="shared" si="27"/>
        <v>#VALUE!</v>
      </c>
      <c r="AI75" s="4" t="str">
        <f t="shared" si="28"/>
        <v>PAL63444B5A9 ISIN</v>
      </c>
      <c r="AJ75" s="4" t="e" cm="1">
        <f t="array" ref="AJ75">VLOOKUP(IF(NOT(_xll.BDP($G75&amp;" CORP",$CA$5)="#N/A N/A"),(_xll.BDP($G75&amp;" CORP",$CA$5)),"-"), '[1]Country Codes'!$A$2:$B$253,2,0)</f>
        <v>#N/A</v>
      </c>
      <c r="AK75" s="4" t="str" cm="1">
        <f t="array" ref="AK75">IF(OR(_xll.BDP($AI75,"EX028")= "#N/A N/A", _xll.BDP($AI75,"EX028")="#N/A FIELD NOT APPLICABLE"), " ", _xll.BDP($AI75,"EX028"))</f>
        <v>#N/A Connection</v>
      </c>
      <c r="AL75" s="15" t="str">
        <f>(IF(_xll.BDP($AI75&amp;" ISIN","DZ282")="Y","Single line Bonds Cocos","Single line Bonds ex Cocos"))</f>
        <v>Single line Bonds ex Cocos</v>
      </c>
      <c r="AM75" s="8" t="str">
        <f>(IF(_xll.BDP($G75&amp;" ISIN","SP153")="#n/a n/a"," ",_xll.BDP($G75&amp;" ISIN","SP153")))</f>
        <v>#N/A Connection</v>
      </c>
      <c r="AN75" s="16">
        <f t="shared" ca="1" si="29"/>
        <v>45783</v>
      </c>
      <c r="AO75" s="11" t="e">
        <f>(((_xll.BDP(AI75,"DS032"))/360)*I75)*O75</f>
        <v>#VALUE!</v>
      </c>
      <c r="AP75" s="11" t="e">
        <f>IF(F75="USD",AO75,(((_xll.BDP(F75&amp;"USD CURNCY","PX_LAST")))*AO75))</f>
        <v>#VALUE!</v>
      </c>
      <c r="AQ75" s="13" t="e">
        <f>S75/#REF!</f>
        <v>#VALUE!</v>
      </c>
      <c r="AR75" s="11" t="e">
        <f t="shared" si="30"/>
        <v>#VALUE!</v>
      </c>
      <c r="AS75" s="10" t="str">
        <f>IF((TEXT(_xll.BDP(AI75,"MATURITY"),"DD/MM/YYYY")="#N/A Field Not Applicable"),"Perp",_xll.BDP(AI75,"DS252"))</f>
        <v>#N/A Connection</v>
      </c>
      <c r="AT75" s="15" t="str">
        <f>(IF(_xll.BDP($AI75&amp;" ISIN","DT247")="Y","Yes","No"))</f>
        <v>No</v>
      </c>
      <c r="AU75" s="15" t="str">
        <f>PROPER(IF(OR(_xll.BDP($AI75,"CPN_TYP")="#n/a N/A",_xll.BDP($AI75,"CPN_TYP")= "#N/A FIELD NOT APPLICABLE"), " ", _xll.BDP($AI75,"CPN_TYP")))</f>
        <v>#N/A Connection</v>
      </c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17" t="str">
        <f t="shared" si="31"/>
        <v>PAL63444B5A9</v>
      </c>
      <c r="BH75" s="17">
        <v>0.72</v>
      </c>
      <c r="BI75" s="18">
        <v>4</v>
      </c>
      <c r="BJ75" s="19">
        <v>45125</v>
      </c>
      <c r="BK75" s="20">
        <v>1</v>
      </c>
      <c r="BL75" s="21"/>
    </row>
    <row r="76" spans="1:64" s="101" customFormat="1" ht="14.45" customHeight="1" x14ac:dyDescent="0.25">
      <c r="A76" s="49" t="s">
        <v>241</v>
      </c>
      <c r="B76" s="49" t="s">
        <v>262</v>
      </c>
      <c r="C76" s="49" t="s">
        <v>263</v>
      </c>
      <c r="D76" s="49" t="s">
        <v>240</v>
      </c>
      <c r="E76" s="4" t="str">
        <f>_xll.BDP(AI76,"ds520")</f>
        <v>#N/A Connection</v>
      </c>
      <c r="F76" s="4" t="str">
        <f>_xll.BDP(AI76,"crncy")</f>
        <v>#N/A Connection</v>
      </c>
      <c r="G76" s="5" t="s">
        <v>148</v>
      </c>
      <c r="H76" s="4" t="str">
        <f>IF(_xll.BDP(AI76,"RTG_MOODY")="#N/A N/A","N/A",_xll.BDP(AI76,"RTG_MOODY"))&amp;","&amp;IF(_xll.BDP(AI76,"RTG_FITCH")="#N/A N/A","N/A",_xll.BDP(AI76,"RTG_FITCH"))&amp;","&amp;IF(_xll.BDP(AI76,"RTG_SP")="#N/A N/A","N/A",_xll.BDP(AI76,"RTG_SP"))</f>
        <v>#N/A Connection,#N/A Connection,#N/A Connection</v>
      </c>
      <c r="I76" s="7" t="e">
        <f>_xll.BDP(AI76,"cpn")/100</f>
        <v>#VALUE!</v>
      </c>
      <c r="J76" s="7" t="e">
        <f ca="1">_xll.BDP($G76&amp;" isin","YAS_BOND_YLD", "YAS_YLD_FLAG=15", "user_local_trade_date",AN76,"Yas_bond_px",$Q76)/100</f>
        <v>#VALUE!</v>
      </c>
      <c r="K76" s="4" t="str">
        <f>_xll.BDP(AI76,"PAYMENT_RANK")</f>
        <v>#N/A Connection</v>
      </c>
      <c r="L76" s="4" t="str">
        <f>IF((TEXT(_xll.BDP(AI76,"MATURITY"),"DD/MM/YYYY")="#N/A Field Not Applicable"),"Perp",TEXT(_xll.BDP(AI76,"MATURITY"),"DD/MM/YYYY"))</f>
        <v>#N/A Connection</v>
      </c>
      <c r="M76" s="8" t="str">
        <f>(IF(_xll.BDP($AI76&amp;" ISIN","DU003")="#n/a n/a"," ",_xll.BDP($AI76&amp;" ISIN","DU003")))</f>
        <v>#N/A Connection</v>
      </c>
      <c r="N76" s="4" t="str">
        <f>IF(_xll.BDP(AI76,"CALLABLE")="Y",_xll.BDP(AI76,"NXT_CALL_DT")," ")</f>
        <v xml:space="preserve"> </v>
      </c>
      <c r="O76" s="9">
        <v>300000</v>
      </c>
      <c r="P76" s="5">
        <v>102.64</v>
      </c>
      <c r="Q76" s="10" t="str">
        <f>_xll.BDP(AI76,"px_bid")</f>
        <v>#N/A Connection</v>
      </c>
      <c r="R76" s="11" t="e">
        <f>IF(F76="USD",AG76,(((_xll.BDP(F76&amp;"USD CURNCY","PX_LAST")))*AG76))</f>
        <v>#VALUE!</v>
      </c>
      <c r="S76" s="11" t="e">
        <f>IF(F76="USD",AH76,(((_xll.BDP(F76&amp;"USD CURNCY","PX_LAST")))*AH76))+AP76</f>
        <v>#VALUE!</v>
      </c>
      <c r="T76" s="12" t="e">
        <f t="shared" si="23"/>
        <v>#VALUE!</v>
      </c>
      <c r="U76" s="13" t="e">
        <f t="shared" si="24"/>
        <v>#VALUE!</v>
      </c>
      <c r="V76" s="13" t="str" cm="1">
        <f t="array" ref="V76">IFERROR(_xll.BDP($G76&amp;" ISIN","CHG_PCT_1D")/100,"")</f>
        <v/>
      </c>
      <c r="W76" s="13" t="str" cm="1">
        <f t="array" ref="W76">IFERROR(_xll.BDP($G76&amp;" ISIN","CHG_PCT_5D")/100,"")</f>
        <v/>
      </c>
      <c r="X76" s="13" t="e" cm="1">
        <f t="array" ref="X76">_xll.BDP($G76&amp;" ISIN","CHG_PCT_1M")/100</f>
        <v>#VALUE!</v>
      </c>
      <c r="Y76" s="13" t="e" cm="1">
        <f t="array" ref="Y76">_xll.BDP($G76&amp;" ISIN","CHG_PCT_3M")/100</f>
        <v>#VALUE!</v>
      </c>
      <c r="Z76" s="13" t="e" cm="1">
        <f t="array" ref="Z76">_xll.BDP($G76&amp;" ISIN","CHG_PCT_6M")/100</f>
        <v>#VALUE!</v>
      </c>
      <c r="AA76" s="13" t="e" cm="1">
        <f t="array" ref="AA76">_xll.BDP($G76&amp;" ISIN","CHG_PCT_YTD")/100</f>
        <v>#VALUE!</v>
      </c>
      <c r="AB76" s="13" t="e">
        <f t="shared" si="32"/>
        <v>#VALUE!</v>
      </c>
      <c r="AC76" s="14" t="e">
        <f t="shared" ca="1" si="25"/>
        <v>#VALUE!</v>
      </c>
      <c r="AD76" s="4" t="str">
        <f>_xll.BDP(AI76,"DS199")</f>
        <v>#N/A Connection</v>
      </c>
      <c r="AE76" s="10" t="str">
        <f>_xll.BDP(AI76,"px_ask")</f>
        <v>#N/A Connection</v>
      </c>
      <c r="AF76" s="14" t="e">
        <f>IF(F76="USD",O76,(((_xll.BDP(F76&amp;"USD CURNCY","PX_LAST")))*O76))</f>
        <v>#VALUE!</v>
      </c>
      <c r="AG76" s="11">
        <f t="shared" si="26"/>
        <v>307920</v>
      </c>
      <c r="AH76" s="11" t="e">
        <f t="shared" si="27"/>
        <v>#VALUE!</v>
      </c>
      <c r="AI76" s="4" t="str">
        <f t="shared" si="28"/>
        <v>US251526CT41 ISIN</v>
      </c>
      <c r="AJ76" s="4" t="e" cm="1">
        <f t="array" ref="AJ76">VLOOKUP(IF(NOT(_xll.BDP($G76&amp;" CORP",$CA$5)="#N/A N/A"),(_xll.BDP($G76&amp;" CORP",$CA$5)),"-"), '[1]Country Codes'!$A$2:$B$253,2,0)</f>
        <v>#N/A</v>
      </c>
      <c r="AK76" s="4" t="str" cm="1">
        <f t="array" ref="AK76">IF(OR(_xll.BDP($AI76,"EX028")= "#N/A N/A", _xll.BDP($AI76,"EX028")="#N/A FIELD NOT APPLICABLE"), " ", _xll.BDP($AI76,"EX028"))</f>
        <v>#N/A Connection</v>
      </c>
      <c r="AL76" s="15" t="str">
        <f>(IF(_xll.BDP($AI76&amp;" ISIN","DZ282")="Y","Single line Bonds Cocos","Single line Bonds ex Cocos"))</f>
        <v>Single line Bonds ex Cocos</v>
      </c>
      <c r="AM76" s="8" t="str">
        <f>(IF(_xll.BDP($G76&amp;" ISIN","SP153")="#n/a n/a"," ",_xll.BDP($G76&amp;" ISIN","SP153")))</f>
        <v>#N/A Connection</v>
      </c>
      <c r="AN76" s="16">
        <f t="shared" ca="1" si="29"/>
        <v>45783</v>
      </c>
      <c r="AO76" s="11" t="e">
        <f>(((_xll.BDP(AI76,"DS032"))/360)*I76)*O76</f>
        <v>#VALUE!</v>
      </c>
      <c r="AP76" s="11" t="e">
        <f>IF(F76="USD",AO76,(((_xll.BDP(F76&amp;"USD CURNCY","PX_LAST")))*AO76))</f>
        <v>#VALUE!</v>
      </c>
      <c r="AQ76" s="13" t="e">
        <f>S76/#REF!</f>
        <v>#VALUE!</v>
      </c>
      <c r="AR76" s="11" t="e">
        <f t="shared" si="30"/>
        <v>#VALUE!</v>
      </c>
      <c r="AS76" s="10" t="str">
        <f>IF((TEXT(_xll.BDP(AI76,"MATURITY"),"DD/MM/YYYY")="#N/A Field Not Applicable"),"Perp",_xll.BDP(AI76,"DS252"))</f>
        <v>#N/A Connection</v>
      </c>
      <c r="AT76" s="15" t="str">
        <f>(IF(_xll.BDP($AI76&amp;" ISIN","DT247")="Y","Yes","No"))</f>
        <v>No</v>
      </c>
      <c r="AU76" s="15" t="str">
        <f>PROPER(IF(OR(_xll.BDP($AI76,"CPN_TYP")="#n/a N/A",_xll.BDP($AI76,"CPN_TYP")= "#N/A FIELD NOT APPLICABLE"), " ", _xll.BDP($AI76,"CPN_TYP")))</f>
        <v>#N/A Connection</v>
      </c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17" t="str">
        <f t="shared" si="31"/>
        <v>US251526CT41</v>
      </c>
      <c r="BH76" s="17">
        <v>0.72</v>
      </c>
      <c r="BI76" s="18">
        <v>3</v>
      </c>
      <c r="BJ76" s="19">
        <v>45463</v>
      </c>
      <c r="BK76" s="20">
        <v>1</v>
      </c>
      <c r="BL76" s="21"/>
    </row>
    <row r="77" spans="1:64" s="101" customFormat="1" ht="14.45" customHeight="1" x14ac:dyDescent="0.25">
      <c r="A77" s="49" t="s">
        <v>241</v>
      </c>
      <c r="B77" s="49" t="s">
        <v>262</v>
      </c>
      <c r="C77" s="49" t="s">
        <v>263</v>
      </c>
      <c r="D77" s="49" t="s">
        <v>240</v>
      </c>
      <c r="E77" s="4" t="str">
        <f>_xll.BDP(AI77,"ds520")</f>
        <v>#N/A Connection</v>
      </c>
      <c r="F77" s="4" t="str">
        <f>_xll.BDP(AI77,"crncy")</f>
        <v>#N/A Connection</v>
      </c>
      <c r="G77" s="5" t="s">
        <v>149</v>
      </c>
      <c r="H77" s="4" t="str">
        <f>IF(_xll.BDP(AI77,"RTG_MOODY")="#N/A N/A","N/A",_xll.BDP(AI77,"RTG_MOODY"))&amp;","&amp;IF(_xll.BDP(AI77,"RTG_FITCH")="#N/A N/A","N/A",_xll.BDP(AI77,"RTG_FITCH"))&amp;","&amp;IF(_xll.BDP(AI77,"RTG_SP")="#N/A N/A","N/A",_xll.BDP(AI77,"RTG_SP"))</f>
        <v>#N/A Connection,#N/A Connection,#N/A Connection</v>
      </c>
      <c r="I77" s="7" t="e">
        <f>_xll.BDP(AI77,"cpn")/100</f>
        <v>#VALUE!</v>
      </c>
      <c r="J77" s="7" t="e">
        <f ca="1">_xll.BDP($G77&amp;" isin","YAS_BOND_YLD", "YAS_YLD_FLAG=15", "user_local_trade_date",AN77,"Yas_bond_px",$Q77)/100</f>
        <v>#VALUE!</v>
      </c>
      <c r="K77" s="4" t="str">
        <f>_xll.BDP(AI77,"PAYMENT_RANK")</f>
        <v>#N/A Connection</v>
      </c>
      <c r="L77" s="4" t="str">
        <f>IF((TEXT(_xll.BDP(AI77,"MATURITY"),"DD/MM/YYYY")="#N/A Field Not Applicable"),"Perp",TEXT(_xll.BDP(AI77,"MATURITY"),"DD/MM/YYYY"))</f>
        <v>#N/A Connection</v>
      </c>
      <c r="M77" s="8" t="str">
        <f>(IF(_xll.BDP($AI77&amp;" ISIN","DU003")="#n/a n/a"," ",_xll.BDP($AI77&amp;" ISIN","DU003")))</f>
        <v>#N/A Connection</v>
      </c>
      <c r="N77" s="4" t="str">
        <f>IF(_xll.BDP(AI77,"CALLABLE")="Y",_xll.BDP(AI77,"NXT_CALL_DT")," ")</f>
        <v xml:space="preserve"> </v>
      </c>
      <c r="O77" s="9">
        <v>200000</v>
      </c>
      <c r="P77" s="5">
        <v>100.01</v>
      </c>
      <c r="Q77" s="10" t="str">
        <f>_xll.BDP(AI77,"px_bid")</f>
        <v>#N/A Connection</v>
      </c>
      <c r="R77" s="11" t="e">
        <f>IF(F77="USD",AG77,(((_xll.BDP(F77&amp;"USD CURNCY","PX_LAST")))*AG77))</f>
        <v>#VALUE!</v>
      </c>
      <c r="S77" s="11" t="e">
        <f>IF(F77="USD",AH77,(((_xll.BDP(F77&amp;"USD CURNCY","PX_LAST")))*AH77))+AP77</f>
        <v>#VALUE!</v>
      </c>
      <c r="T77" s="12" t="e">
        <f t="shared" si="23"/>
        <v>#VALUE!</v>
      </c>
      <c r="U77" s="13" t="e">
        <f t="shared" si="24"/>
        <v>#VALUE!</v>
      </c>
      <c r="V77" s="13" t="str" cm="1">
        <f t="array" ref="V77">IFERROR(_xll.BDP($G77&amp;" ISIN","CHG_PCT_1D")/100,"")</f>
        <v/>
      </c>
      <c r="W77" s="13" t="str" cm="1">
        <f t="array" ref="W77">IFERROR(_xll.BDP($G77&amp;" ISIN","CHG_PCT_5D")/100,"")</f>
        <v/>
      </c>
      <c r="X77" s="13" t="e" cm="1">
        <f t="array" ref="X77">_xll.BDP($G77&amp;" ISIN","CHG_PCT_1M")/100</f>
        <v>#VALUE!</v>
      </c>
      <c r="Y77" s="13" t="e" cm="1">
        <f t="array" ref="Y77">_xll.BDP($G77&amp;" ISIN","CHG_PCT_3M")/100</f>
        <v>#VALUE!</v>
      </c>
      <c r="Z77" s="13" t="e" cm="1">
        <f t="array" ref="Z77">_xll.BDP($G77&amp;" ISIN","CHG_PCT_6M")/100</f>
        <v>#VALUE!</v>
      </c>
      <c r="AA77" s="13" t="e" cm="1">
        <f t="array" ref="AA77">_xll.BDP($G77&amp;" ISIN","CHG_PCT_YTD")/100</f>
        <v>#VALUE!</v>
      </c>
      <c r="AB77" s="13" t="e">
        <f t="shared" si="32"/>
        <v>#VALUE!</v>
      </c>
      <c r="AC77" s="14" t="e">
        <f t="shared" ca="1" si="25"/>
        <v>#VALUE!</v>
      </c>
      <c r="AD77" s="4" t="str">
        <f>_xll.BDP(AI77,"DS199")</f>
        <v>#N/A Connection</v>
      </c>
      <c r="AE77" s="10" t="str">
        <f>_xll.BDP(AI77,"px_ask")</f>
        <v>#N/A Connection</v>
      </c>
      <c r="AF77" s="14" t="e">
        <f>IF(F77="USD",O77,(((_xll.BDP(F77&amp;"USD CURNCY","PX_LAST")))*O77))</f>
        <v>#VALUE!</v>
      </c>
      <c r="AG77" s="11">
        <f t="shared" si="26"/>
        <v>200020</v>
      </c>
      <c r="AH77" s="11" t="e">
        <f t="shared" si="27"/>
        <v>#VALUE!</v>
      </c>
      <c r="AI77" s="4" t="str">
        <f t="shared" si="28"/>
        <v>XS2630917107 ISIN</v>
      </c>
      <c r="AJ77" s="4" t="e" cm="1">
        <f t="array" ref="AJ77">VLOOKUP(IF(NOT(_xll.BDP($G77&amp;" CORP",$CA$5)="#N/A N/A"),(_xll.BDP($G77&amp;" CORP",$CA$5)),"-"), '[1]Country Codes'!$A$2:$B$253,2,0)</f>
        <v>#N/A</v>
      </c>
      <c r="AK77" s="4" t="str" cm="1">
        <f t="array" ref="AK77">IF(OR(_xll.BDP($AI77,"EX028")= "#N/A N/A", _xll.BDP($AI77,"EX028")="#N/A FIELD NOT APPLICABLE"), " ", _xll.BDP($AI77,"EX028"))</f>
        <v>#N/A Connection</v>
      </c>
      <c r="AL77" s="15" t="str">
        <f>(IF(_xll.BDP($AI77&amp;" ISIN","DZ282")="Y","Single line Bonds Cocos","Single line Bonds ex Cocos"))</f>
        <v>Single line Bonds ex Cocos</v>
      </c>
      <c r="AM77" s="8" t="str">
        <f>(IF(_xll.BDP($G77&amp;" ISIN","SP153")="#n/a n/a"," ",_xll.BDP($G77&amp;" ISIN","SP153")))</f>
        <v>#N/A Connection</v>
      </c>
      <c r="AN77" s="16">
        <f t="shared" ca="1" si="29"/>
        <v>45783</v>
      </c>
      <c r="AO77" s="11" t="e">
        <f>(((_xll.BDP(AI77,"DS032"))/360)*I77)*O77</f>
        <v>#VALUE!</v>
      </c>
      <c r="AP77" s="11" t="e">
        <f>IF(F77="USD",AO77,(((_xll.BDP(F77&amp;"USD CURNCY","PX_LAST")))*AO77))</f>
        <v>#VALUE!</v>
      </c>
      <c r="AQ77" s="13" t="e">
        <f>S77/#REF!</f>
        <v>#VALUE!</v>
      </c>
      <c r="AR77" s="11" t="e">
        <f t="shared" si="30"/>
        <v>#VALUE!</v>
      </c>
      <c r="AS77" s="10" t="str">
        <f>IF((TEXT(_xll.BDP(AI77,"MATURITY"),"DD/MM/YYYY")="#N/A Field Not Applicable"),"Perp",_xll.BDP(AI77,"DS252"))</f>
        <v>#N/A Connection</v>
      </c>
      <c r="AT77" s="15" t="str">
        <f>(IF(_xll.BDP($AI77&amp;" ISIN","DT247")="Y","Yes","No"))</f>
        <v>No</v>
      </c>
      <c r="AU77" s="15" t="str">
        <f>PROPER(IF(OR(_xll.BDP($AI77,"CPN_TYP")="#n/a N/A",_xll.BDP($AI77,"CPN_TYP")= "#N/A FIELD NOT APPLICABLE"), " ", _xll.BDP($AI77,"CPN_TYP")))</f>
        <v>#N/A Connection</v>
      </c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17" t="str">
        <f t="shared" si="31"/>
        <v>XS2630917107</v>
      </c>
      <c r="BH77" s="17">
        <v>0.77</v>
      </c>
      <c r="BI77" s="18">
        <v>3</v>
      </c>
      <c r="BJ77" s="19">
        <v>45539</v>
      </c>
      <c r="BK77" s="20">
        <v>1</v>
      </c>
      <c r="BL77" s="21"/>
    </row>
    <row r="78" spans="1:64" s="77" customFormat="1" ht="14.45" customHeight="1" x14ac:dyDescent="0.25">
      <c r="A78" s="49" t="s">
        <v>241</v>
      </c>
      <c r="B78" s="49" t="s">
        <v>262</v>
      </c>
      <c r="C78" s="49" t="s">
        <v>263</v>
      </c>
      <c r="D78" s="49" t="s">
        <v>240</v>
      </c>
      <c r="E78" s="4" t="str">
        <f>_xll.BDP(AI78,"ds520")</f>
        <v>#N/A Connection</v>
      </c>
      <c r="F78" s="4" t="str">
        <f>_xll.BDP(AI78,"crncy")</f>
        <v>#N/A Connection</v>
      </c>
      <c r="G78" s="5" t="s">
        <v>207</v>
      </c>
      <c r="H78" s="4" t="str">
        <f>IF(_xll.BDP(AI78,"RTG_MOODY")="#N/A N/A","N/A",_xll.BDP(AI78,"RTG_MOODY"))&amp;","&amp;IF(_xll.BDP(AI78,"RTG_FITCH")="#N/A N/A","N/A",_xll.BDP(AI78,"RTG_FITCH"))&amp;","&amp;IF(_xll.BDP(AI78,"RTG_SP")="#N/A N/A","N/A",_xll.BDP(AI78,"RTG_SP"))</f>
        <v>#N/A Connection,#N/A Connection,#N/A Connection</v>
      </c>
      <c r="I78" s="7" t="e">
        <f>_xll.BDP(AI78,"cpn")/100</f>
        <v>#VALUE!</v>
      </c>
      <c r="J78" s="7" t="e">
        <f ca="1">_xll.BDP($G78&amp;" isin","YAS_BOND_YLD", "YAS_YLD_FLAG=15", "user_local_trade_date",AN78,"Yas_bond_px",$Q78)/100</f>
        <v>#VALUE!</v>
      </c>
      <c r="K78" s="4" t="str">
        <f>_xll.BDP(AI78,"PAYMENT_RANK")</f>
        <v>#N/A Connection</v>
      </c>
      <c r="L78" s="4" t="str">
        <f>IF((TEXT(_xll.BDP(AI78,"MATURITY"),"DD/MM/YYYY")="#N/A Field Not Applicable"),"Perp",TEXT(_xll.BDP(AI78,"MATURITY"),"DD/MM/YYYY"))</f>
        <v>#N/A Connection</v>
      </c>
      <c r="M78" s="8" t="str">
        <f>(IF(_xll.BDP($AI78&amp;" ISIN","DU003")="#n/a n/a"," ",_xll.BDP($AI78&amp;" ISIN","DU003")))</f>
        <v>#N/A Connection</v>
      </c>
      <c r="N78" s="4" t="str">
        <f>IF(_xll.BDP(AI78,"CALLABLE")="Y",_xll.BDP(AI78,"NXT_CALL_DT")," ")</f>
        <v xml:space="preserve"> </v>
      </c>
      <c r="O78" s="9">
        <v>200000</v>
      </c>
      <c r="P78" s="5">
        <v>100.9</v>
      </c>
      <c r="Q78" s="10" t="str">
        <f>_xll.BDP(AI78,"px_bid")</f>
        <v>#N/A Connection</v>
      </c>
      <c r="R78" s="11" t="e">
        <f>IF(F78="USD",AG78,(((_xll.BDP(F78&amp;"USD CURNCY","PX_LAST")))*AG78))</f>
        <v>#VALUE!</v>
      </c>
      <c r="S78" s="11" t="e">
        <f>IF(F78="USD",AH78,(((_xll.BDP(F78&amp;"USD CURNCY","PX_LAST")))*AH78))+AP78</f>
        <v>#VALUE!</v>
      </c>
      <c r="T78" s="12" t="e">
        <f t="shared" si="23"/>
        <v>#VALUE!</v>
      </c>
      <c r="U78" s="13" t="e">
        <f t="shared" si="24"/>
        <v>#VALUE!</v>
      </c>
      <c r="V78" s="13" t="str" cm="1">
        <f t="array" ref="V78">IFERROR(_xll.BDP($G78&amp;" ISIN","CHG_PCT_1D")/100,"")</f>
        <v/>
      </c>
      <c r="W78" s="13" t="str" cm="1">
        <f t="array" ref="W78">IFERROR(_xll.BDP($G78&amp;" ISIN","CHG_PCT_5D")/100,"")</f>
        <v/>
      </c>
      <c r="X78" s="13" t="e" cm="1">
        <f t="array" ref="X78">_xll.BDP($G78&amp;" ISIN","CHG_PCT_1M")/100</f>
        <v>#VALUE!</v>
      </c>
      <c r="Y78" s="13" t="e" cm="1">
        <f t="array" ref="Y78">_xll.BDP($G78&amp;" ISIN","CHG_PCT_3M")/100</f>
        <v>#VALUE!</v>
      </c>
      <c r="Z78" s="13" t="e" cm="1">
        <f t="array" ref="Z78">_xll.BDP($G78&amp;" ISIN","CHG_PCT_6M")/100</f>
        <v>#VALUE!</v>
      </c>
      <c r="AA78" s="13" t="e" cm="1">
        <f t="array" ref="AA78">_xll.BDP($G78&amp;" ISIN","CHG_PCT_YTD")/100</f>
        <v>#VALUE!</v>
      </c>
      <c r="AB78" s="13" t="e">
        <f t="shared" si="32"/>
        <v>#VALUE!</v>
      </c>
      <c r="AC78" s="14" t="e">
        <f t="shared" ca="1" si="25"/>
        <v>#VALUE!</v>
      </c>
      <c r="AD78" s="4" t="str">
        <f>_xll.BDP(AI78,"DS199")</f>
        <v>#N/A Connection</v>
      </c>
      <c r="AE78" s="10" t="str">
        <f>_xll.BDP(AI78,"px_ask")</f>
        <v>#N/A Connection</v>
      </c>
      <c r="AF78" s="14" t="e">
        <f>IF(F78="USD",O78,(((_xll.BDP(F78&amp;"USD CURNCY","PX_LAST")))*O78))</f>
        <v>#VALUE!</v>
      </c>
      <c r="AG78" s="11">
        <f t="shared" si="26"/>
        <v>201800</v>
      </c>
      <c r="AH78" s="11" t="e">
        <f t="shared" si="27"/>
        <v>#VALUE!</v>
      </c>
      <c r="AI78" s="4" t="str">
        <f t="shared" si="28"/>
        <v>USF1067PAG12 ISIN</v>
      </c>
      <c r="AJ78" s="4" t="e" cm="1">
        <f t="array" ref="AJ78">VLOOKUP(IF(NOT(_xll.BDP($G78&amp;" CORP",$CA$5)="#N/A N/A"),(_xll.BDP($G78&amp;" CORP",$CA$5)),"-"), '[1]Country Codes'!$A$2:$B$253,2,0)</f>
        <v>#N/A</v>
      </c>
      <c r="AK78" s="4" t="str" cm="1">
        <f t="array" ref="AK78">IF(OR(_xll.BDP($AI78,"EX028")= "#N/A N/A", _xll.BDP($AI78,"EX028")="#N/A FIELD NOT APPLICABLE"), " ", _xll.BDP($AI78,"EX028"))</f>
        <v>#N/A Connection</v>
      </c>
      <c r="AL78" s="15" t="str">
        <f>(IF(_xll.BDP($AI78&amp;" ISIN","DZ282")="Y","Single line Bonds Cocos","Single line Bonds ex Cocos"))</f>
        <v>Single line Bonds ex Cocos</v>
      </c>
      <c r="AM78" s="8" t="str">
        <f>(IF(_xll.BDP($G78&amp;" ISIN","SP153")="#n/a n/a"," ",_xll.BDP($G78&amp;" ISIN","SP153")))</f>
        <v>#N/A Connection</v>
      </c>
      <c r="AN78" s="16">
        <f t="shared" ca="1" si="29"/>
        <v>45783</v>
      </c>
      <c r="AO78" s="11" t="e">
        <f>(((_xll.BDP(AI78,"DS032"))/360)*I78)*O78</f>
        <v>#VALUE!</v>
      </c>
      <c r="AP78" s="11" t="e">
        <f>IF(F78="USD",AO78,(((_xll.BDP(F78&amp;"USD CURNCY","PX_LAST")))*AO78))</f>
        <v>#VALUE!</v>
      </c>
      <c r="AQ78" s="13" t="e">
        <f>S78/#REF!</f>
        <v>#VALUE!</v>
      </c>
      <c r="AR78" s="11" t="e">
        <f t="shared" si="30"/>
        <v>#VALUE!</v>
      </c>
      <c r="AS78" s="10" t="str">
        <f>IF((TEXT(_xll.BDP(AI78,"MATURITY"),"DD/MM/YYYY")="#N/A Field Not Applicable"),"Perp",_xll.BDP(AI78,"DS252"))</f>
        <v>#N/A Connection</v>
      </c>
      <c r="AT78" s="15" t="str">
        <f>(IF(_xll.BDP($AI78&amp;" ISIN","DT247")="Y","Yes","No"))</f>
        <v>No</v>
      </c>
      <c r="AU78" s="15" t="str">
        <f>PROPER(IF(OR(_xll.BDP($AI78,"CPN_TYP")="#n/a N/A",_xll.BDP($AI78,"CPN_TYP")= "#N/A FIELD NOT APPLICABLE"), " ", _xll.BDP($AI78,"CPN_TYP")))</f>
        <v>#N/A Connection</v>
      </c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17" t="str">
        <f t="shared" si="31"/>
        <v>USF1067PAG12</v>
      </c>
      <c r="BH78" s="17">
        <v>0.77</v>
      </c>
      <c r="BI78" s="18" t="s">
        <v>147</v>
      </c>
      <c r="BJ78" s="19">
        <v>45539</v>
      </c>
      <c r="BK78" s="20">
        <v>1</v>
      </c>
      <c r="BL78" s="21"/>
    </row>
    <row r="79" spans="1:64" s="21" customFormat="1" ht="14.45" customHeight="1" x14ac:dyDescent="0.25">
      <c r="A79" s="49" t="s">
        <v>241</v>
      </c>
      <c r="B79" s="49" t="s">
        <v>262</v>
      </c>
      <c r="C79" s="49" t="s">
        <v>263</v>
      </c>
      <c r="D79" s="49" t="s">
        <v>240</v>
      </c>
      <c r="E79" s="4" t="str">
        <f>_xll.BDP(AI79,"ds520")</f>
        <v>#N/A Connection</v>
      </c>
      <c r="F79" s="4" t="str">
        <f>_xll.BDP(AI79,"crncy")</f>
        <v>#N/A Connection</v>
      </c>
      <c r="G79" s="5" t="s">
        <v>43</v>
      </c>
      <c r="H79" s="4" t="str">
        <f>IF(_xll.BDP(AI79,"RTG_MOODY")="#N/A N/A","N/A",_xll.BDP(AI79,"RTG_MOODY"))&amp;","&amp;IF(_xll.BDP(AI79,"RTG_FITCH")="#N/A N/A","N/A",_xll.BDP(AI79,"RTG_FITCH"))&amp;","&amp;IF(_xll.BDP(AI79,"RTG_SP")="#N/A N/A","N/A",_xll.BDP(AI79,"RTG_SP"))</f>
        <v>#N/A Connection,#N/A Connection,#N/A Connection</v>
      </c>
      <c r="I79" s="7" t="e">
        <f>_xll.BDP(AI79,"cpn")/100</f>
        <v>#VALUE!</v>
      </c>
      <c r="J79" s="7" t="e">
        <f ca="1">_xll.BDP($G79&amp;" isin","YAS_BOND_YLD", "YAS_YLD_FLAG=15", "user_local_trade_date",AN79,"Yas_bond_px",$Q79)/100</f>
        <v>#VALUE!</v>
      </c>
      <c r="K79" s="4" t="str">
        <f>_xll.BDP(AI79,"PAYMENT_RANK")</f>
        <v>#N/A Connection</v>
      </c>
      <c r="L79" s="4" t="str">
        <f>IF((TEXT(_xll.BDP(AI79,"MATURITY"),"DD/MM/YYYY")="#N/A Field Not Applicable"),"Perp",TEXT(_xll.BDP(AI79,"MATURITY"),"DD/MM/YYYY"))</f>
        <v>#N/A Connection</v>
      </c>
      <c r="M79" s="8" t="str">
        <f>(IF(_xll.BDP($AI79&amp;" ISIN","DU003")="#n/a n/a"," ",_xll.BDP($AI79&amp;" ISIN","DU003")))</f>
        <v>#N/A Connection</v>
      </c>
      <c r="N79" s="4" t="str">
        <f>IF(_xll.BDP(AI79,"CALLABLE")="Y",_xll.BDP(AI79,"NXT_CALL_DT")," ")</f>
        <v xml:space="preserve"> </v>
      </c>
      <c r="O79" s="9">
        <v>200000</v>
      </c>
      <c r="P79" s="5">
        <v>100.08</v>
      </c>
      <c r="Q79" s="10" t="str">
        <f>_xll.BDP(AI79,"px_bid")</f>
        <v>#N/A Connection</v>
      </c>
      <c r="R79" s="11" t="e">
        <f>IF(F79="USD",AG79,(((_xll.BDP(F79&amp;"USD CURNCY","PX_LAST")))*AG79))</f>
        <v>#VALUE!</v>
      </c>
      <c r="S79" s="11" t="e">
        <f>IF(F79="USD",AH79,(((_xll.BDP(F79&amp;"USD CURNCY","PX_LAST")))*AH79))+AP79</f>
        <v>#VALUE!</v>
      </c>
      <c r="T79" s="12" t="e">
        <f t="shared" si="23"/>
        <v>#VALUE!</v>
      </c>
      <c r="U79" s="13" t="e">
        <f t="shared" si="24"/>
        <v>#VALUE!</v>
      </c>
      <c r="V79" s="13" t="str" cm="1">
        <f t="array" ref="V79">IFERROR(_xll.BDP($G79&amp;" ISIN","CHG_PCT_1D")/100,"")</f>
        <v/>
      </c>
      <c r="W79" s="13" t="str" cm="1">
        <f t="array" ref="W79">IFERROR(_xll.BDP($G79&amp;" ISIN","CHG_PCT_5D")/100,"")</f>
        <v/>
      </c>
      <c r="X79" s="13" t="e" cm="1">
        <f t="array" ref="X79">_xll.BDP($G79&amp;" ISIN","CHG_PCT_1M")/100</f>
        <v>#VALUE!</v>
      </c>
      <c r="Y79" s="13" t="e" cm="1">
        <f t="array" ref="Y79">_xll.BDP($G79&amp;" ISIN","CHG_PCT_3M")/100</f>
        <v>#VALUE!</v>
      </c>
      <c r="Z79" s="13" t="e" cm="1">
        <f t="array" ref="Z79">_xll.BDP($G79&amp;" ISIN","CHG_PCT_6M")/100</f>
        <v>#VALUE!</v>
      </c>
      <c r="AA79" s="13" t="e" cm="1">
        <f t="array" ref="AA79">_xll.BDP($G79&amp;" ISIN","CHG_PCT_YTD")/100</f>
        <v>#VALUE!</v>
      </c>
      <c r="AB79" s="13" t="e">
        <f t="shared" si="32"/>
        <v>#VALUE!</v>
      </c>
      <c r="AC79" s="14" t="e">
        <f t="shared" ca="1" si="25"/>
        <v>#VALUE!</v>
      </c>
      <c r="AD79" s="4" t="str">
        <f>_xll.BDP(AI79,"DS199")</f>
        <v>#N/A Connection</v>
      </c>
      <c r="AE79" s="10" t="str">
        <f>_xll.BDP(AI79,"px_ask")</f>
        <v>#N/A Connection</v>
      </c>
      <c r="AF79" s="14" t="e">
        <f>IF(F79="USD",O79,(((_xll.BDP(F79&amp;"USD CURNCY","PX_LAST")))*O79))</f>
        <v>#VALUE!</v>
      </c>
      <c r="AG79" s="11">
        <f t="shared" si="26"/>
        <v>200160</v>
      </c>
      <c r="AH79" s="11" t="e">
        <f t="shared" si="27"/>
        <v>#VALUE!</v>
      </c>
      <c r="AI79" s="4" t="str">
        <f t="shared" si="28"/>
        <v>USF2280BAA47 ISIN</v>
      </c>
      <c r="AJ79" s="4" t="e" cm="1">
        <f t="array" ref="AJ79">VLOOKUP(IF(NOT(_xll.BDP($G79&amp;" CORP",$CA$5)="#N/A N/A"),(_xll.BDP($G79&amp;" CORP",$CA$5)),"-"), '[1]Country Codes'!$A$2:$B$253,2,0)</f>
        <v>#N/A</v>
      </c>
      <c r="AK79" s="4" t="str" cm="1">
        <f t="array" ref="AK79">IF(OR(_xll.BDP($AI79,"EX028")= "#N/A N/A", _xll.BDP($AI79,"EX028")="#N/A FIELD NOT APPLICABLE"), " ", _xll.BDP($AI79,"EX028"))</f>
        <v>#N/A Connection</v>
      </c>
      <c r="AL79" s="15" t="str">
        <f>(IF(_xll.BDP($AI79&amp;" ISIN","DZ282")="Y","Single line Bonds Cocos","Single line Bonds ex Cocos"))</f>
        <v>Single line Bonds ex Cocos</v>
      </c>
      <c r="AM79" s="8" t="str">
        <f>(IF(_xll.BDP($G79&amp;" ISIN","SP153")="#n/a n/a"," ",_xll.BDP($G79&amp;" ISIN","SP153")))</f>
        <v>#N/A Connection</v>
      </c>
      <c r="AN79" s="16">
        <f t="shared" ca="1" si="29"/>
        <v>45783</v>
      </c>
      <c r="AO79" s="11" t="e">
        <f>(((_xll.BDP(AI79,"DS032"))/360)*I79)*O79</f>
        <v>#VALUE!</v>
      </c>
      <c r="AP79" s="11" t="e">
        <f>IF(F79="USD",AO79,(((_xll.BDP(F79&amp;"USD CURNCY","PX_LAST")))*AO79))</f>
        <v>#VALUE!</v>
      </c>
      <c r="AQ79" s="13" t="e">
        <f>S79/#REF!</f>
        <v>#VALUE!</v>
      </c>
      <c r="AR79" s="11" t="e">
        <f t="shared" si="30"/>
        <v>#VALUE!</v>
      </c>
      <c r="AS79" s="10" t="str">
        <f>IF((TEXT(_xll.BDP(AI79,"MATURITY"),"DD/MM/YYYY")="#N/A Field Not Applicable"),"Perp",_xll.BDP(AI79,"DS252"))</f>
        <v>#N/A Connection</v>
      </c>
      <c r="AT79" s="15" t="str">
        <f>(IF(_xll.BDP($AI79&amp;" ISIN","DT247")="Y","Yes","No"))</f>
        <v>No</v>
      </c>
      <c r="AU79" s="15" t="str">
        <f>PROPER(IF(OR(_xll.BDP($AI79,"CPN_TYP")="#n/a N/A",_xll.BDP($AI79,"CPN_TYP")= "#N/A FIELD NOT APPLICABLE"), " ", _xll.BDP($AI79,"CPN_TYP")))</f>
        <v>#N/A Connection</v>
      </c>
      <c r="BG79" s="17" t="str">
        <f t="shared" si="31"/>
        <v>USF2280BAA47</v>
      </c>
      <c r="BH79" s="17">
        <v>0.56999999999999995</v>
      </c>
      <c r="BI79" s="18" t="s">
        <v>147</v>
      </c>
      <c r="BJ79" s="19">
        <v>45560</v>
      </c>
      <c r="BK79" s="20">
        <v>1</v>
      </c>
    </row>
    <row r="80" spans="1:64" s="21" customFormat="1" ht="14.45" customHeight="1" x14ac:dyDescent="0.25">
      <c r="A80" s="49" t="s">
        <v>241</v>
      </c>
      <c r="B80" s="49" t="s">
        <v>262</v>
      </c>
      <c r="C80" s="49" t="s">
        <v>263</v>
      </c>
      <c r="D80" s="49" t="s">
        <v>240</v>
      </c>
      <c r="E80" s="4" t="str">
        <f>_xll.BDP(AI80,"ds520")</f>
        <v>#N/A Connection</v>
      </c>
      <c r="F80" s="4" t="str">
        <f>_xll.BDP(AI80,"crncy")</f>
        <v>#N/A Connection</v>
      </c>
      <c r="G80" s="5" t="s">
        <v>150</v>
      </c>
      <c r="H80" s="4" t="str">
        <f>IF(_xll.BDP(AI80,"RTG_MOODY")="#N/A N/A","N/A",_xll.BDP(AI80,"RTG_MOODY"))&amp;","&amp;IF(_xll.BDP(AI80,"RTG_FITCH")="#N/A N/A","N/A",_xll.BDP(AI80,"RTG_FITCH"))&amp;","&amp;IF(_xll.BDP(AI80,"RTG_SP")="#N/A N/A","N/A",_xll.BDP(AI80,"RTG_SP"))</f>
        <v>#N/A Connection,#N/A Connection,#N/A Connection</v>
      </c>
      <c r="I80" s="7" t="e">
        <f>_xll.BDP(AI80,"cpn")/100</f>
        <v>#VALUE!</v>
      </c>
      <c r="J80" s="7" t="e">
        <f ca="1">_xll.BDP($G80&amp;" isin","YAS_BOND_YLD", "YAS_YLD_FLAG=15", "user_local_trade_date",AN80,"Yas_bond_px",$Q80)/100</f>
        <v>#VALUE!</v>
      </c>
      <c r="K80" s="4" t="str">
        <f>_xll.BDP(AI80,"PAYMENT_RANK")</f>
        <v>#N/A Connection</v>
      </c>
      <c r="L80" s="4" t="str">
        <f>IF((TEXT(_xll.BDP(AI80,"MATURITY"),"DD/MM/YYYY")="#N/A Field Not Applicable"),"Perp",TEXT(_xll.BDP(AI80,"MATURITY"),"DD/MM/YYYY"))</f>
        <v>#N/A Connection</v>
      </c>
      <c r="M80" s="8" t="str">
        <f>(IF(_xll.BDP($AI80&amp;" ISIN","DU003")="#n/a n/a"," ",_xll.BDP($AI80&amp;" ISIN","DU003")))</f>
        <v>#N/A Connection</v>
      </c>
      <c r="N80" s="4" t="str">
        <f>IF(_xll.BDP(AI80,"CALLABLE")="Y",_xll.BDP(AI80,"NXT_CALL_DT")," ")</f>
        <v xml:space="preserve"> </v>
      </c>
      <c r="O80" s="9">
        <v>200000</v>
      </c>
      <c r="P80" s="5">
        <v>100.03</v>
      </c>
      <c r="Q80" s="10" t="str">
        <f>_xll.BDP(AI80,"px_bid")</f>
        <v>#N/A Connection</v>
      </c>
      <c r="R80" s="11" t="e">
        <f>IF(F80="USD",AG80,(((_xll.BDP(F80&amp;"USD CURNCY","PX_LAST")))*AG80))</f>
        <v>#VALUE!</v>
      </c>
      <c r="S80" s="11" t="e">
        <f>IF(F80="USD",AH80,(((_xll.BDP(F80&amp;"USD CURNCY","PX_LAST")))*AH80))+AP80</f>
        <v>#VALUE!</v>
      </c>
      <c r="T80" s="12" t="e">
        <f t="shared" si="23"/>
        <v>#VALUE!</v>
      </c>
      <c r="U80" s="13" t="e">
        <f t="shared" si="24"/>
        <v>#VALUE!</v>
      </c>
      <c r="V80" s="13" t="str" cm="1">
        <f t="array" ref="V80">IFERROR(_xll.BDP($G80&amp;" ISIN","CHG_PCT_1D")/100,"")</f>
        <v/>
      </c>
      <c r="W80" s="13" t="str" cm="1">
        <f t="array" ref="W80">IFERROR(_xll.BDP($G80&amp;" ISIN","CHG_PCT_5D")/100,"")</f>
        <v/>
      </c>
      <c r="X80" s="13" t="e" cm="1">
        <f t="array" ref="X80">_xll.BDP($G80&amp;" ISIN","CHG_PCT_1M")/100</f>
        <v>#VALUE!</v>
      </c>
      <c r="Y80" s="13" t="e" cm="1">
        <f t="array" ref="Y80">_xll.BDP($G80&amp;" ISIN","CHG_PCT_3M")/100</f>
        <v>#VALUE!</v>
      </c>
      <c r="Z80" s="13" t="e" cm="1">
        <f t="array" ref="Z80">_xll.BDP($G80&amp;" ISIN","CHG_PCT_6M")/100</f>
        <v>#VALUE!</v>
      </c>
      <c r="AA80" s="13" t="e" cm="1">
        <f t="array" ref="AA80">_xll.BDP($G80&amp;" ISIN","CHG_PCT_YTD")/100</f>
        <v>#VALUE!</v>
      </c>
      <c r="AB80" s="13" t="e">
        <f t="shared" si="32"/>
        <v>#VALUE!</v>
      </c>
      <c r="AC80" s="14" t="e">
        <f t="shared" ca="1" si="25"/>
        <v>#VALUE!</v>
      </c>
      <c r="AD80" s="4" t="str">
        <f>_xll.BDP(AI80,"DS199")</f>
        <v>#N/A Connection</v>
      </c>
      <c r="AE80" s="10" t="str">
        <f>_xll.BDP(AI80,"px_ask")</f>
        <v>#N/A Connection</v>
      </c>
      <c r="AF80" s="14" t="e">
        <f>IF(F80="USD",O80,(((_xll.BDP(F80&amp;"USD CURNCY","PX_LAST")))*O80))</f>
        <v>#VALUE!</v>
      </c>
      <c r="AG80" s="11">
        <f t="shared" si="26"/>
        <v>200060</v>
      </c>
      <c r="AH80" s="11" t="e">
        <f t="shared" si="27"/>
        <v>#VALUE!</v>
      </c>
      <c r="AI80" s="4" t="str">
        <f t="shared" si="28"/>
        <v>XS2827680112 ISIN</v>
      </c>
      <c r="AJ80" s="4" t="e" cm="1">
        <f t="array" ref="AJ80">VLOOKUP(IF(NOT(_xll.BDP($G80&amp;" CORP",$CA$5)="#N/A N/A"),(_xll.BDP($G80&amp;" CORP",$CA$5)),"-"), '[1]Country Codes'!$A$2:$B$253,2,0)</f>
        <v>#N/A</v>
      </c>
      <c r="AK80" s="4" t="str" cm="1">
        <f t="array" ref="AK80">IF(OR(_xll.BDP($AI80,"EX028")= "#N/A N/A", _xll.BDP($AI80,"EX028")="#N/A FIELD NOT APPLICABLE"), " ", _xll.BDP($AI80,"EX028"))</f>
        <v>#N/A Connection</v>
      </c>
      <c r="AL80" s="15" t="str">
        <f>(IF(_xll.BDP($AI80&amp;" ISIN","DZ282")="Y","Single line Bonds Cocos","Single line Bonds ex Cocos"))</f>
        <v>Single line Bonds ex Cocos</v>
      </c>
      <c r="AM80" s="8" t="str">
        <f>(IF(_xll.BDP($G80&amp;" ISIN","SP153")="#n/a n/a"," ",_xll.BDP($G80&amp;" ISIN","SP153")))</f>
        <v>#N/A Connection</v>
      </c>
      <c r="AN80" s="16">
        <f t="shared" ca="1" si="29"/>
        <v>45783</v>
      </c>
      <c r="AO80" s="11" t="e">
        <f>(((_xll.BDP(AI80,"DS032"))/360)*I80)*O80</f>
        <v>#VALUE!</v>
      </c>
      <c r="AP80" s="11" t="e">
        <f>IF(F80="USD",AO80,(((_xll.BDP(F80&amp;"USD CURNCY","PX_LAST")))*AO80))</f>
        <v>#VALUE!</v>
      </c>
      <c r="AQ80" s="13" t="e">
        <f>S80/#REF!</f>
        <v>#VALUE!</v>
      </c>
      <c r="AR80" s="11" t="e">
        <f t="shared" si="30"/>
        <v>#VALUE!</v>
      </c>
      <c r="AS80" s="10" t="str">
        <f>IF((TEXT(_xll.BDP(AI80,"MATURITY"),"DD/MM/YYYY")="#N/A Field Not Applicable"),"Perp",_xll.BDP(AI80,"DS252"))</f>
        <v>#N/A Connection</v>
      </c>
      <c r="AT80" s="15" t="str">
        <f>(IF(_xll.BDP($AI80&amp;" ISIN","DT247")="Y","Yes","No"))</f>
        <v>No</v>
      </c>
      <c r="AU80" s="15" t="str">
        <f>PROPER(IF(OR(_xll.BDP($AI80,"CPN_TYP")="#n/a N/A",_xll.BDP($AI80,"CPN_TYP")= "#N/A FIELD NOT APPLICABLE"), " ", _xll.BDP($AI80,"CPN_TYP")))</f>
        <v>#N/A Connection</v>
      </c>
      <c r="BG80" s="17" t="str">
        <f t="shared" si="31"/>
        <v>XS2827680112</v>
      </c>
      <c r="BH80" s="17">
        <v>0.56999999999999995</v>
      </c>
      <c r="BI80" s="18" t="s">
        <v>147</v>
      </c>
      <c r="BJ80" s="19">
        <v>45448</v>
      </c>
      <c r="BK80" s="20">
        <v>1</v>
      </c>
    </row>
    <row r="81" spans="1:64" s="21" customFormat="1" ht="14.45" customHeight="1" x14ac:dyDescent="0.25">
      <c r="A81" s="49" t="s">
        <v>241</v>
      </c>
      <c r="B81" s="49" t="s">
        <v>262</v>
      </c>
      <c r="C81" s="49" t="s">
        <v>263</v>
      </c>
      <c r="D81" s="49" t="s">
        <v>240</v>
      </c>
      <c r="E81" s="4" t="str">
        <f>_xll.BDP(AI81,"ds520")</f>
        <v>#N/A Connection</v>
      </c>
      <c r="F81" s="4" t="str">
        <f>_xll.BDP(AI81,"crncy")</f>
        <v>#N/A Connection</v>
      </c>
      <c r="G81" s="5" t="s">
        <v>151</v>
      </c>
      <c r="H81" s="4" t="str">
        <f>IF(_xll.BDP(AI81,"RTG_MOODY")="#N/A N/A","N/A",_xll.BDP(AI81,"RTG_MOODY"))&amp;","&amp;IF(_xll.BDP(AI81,"RTG_FITCH")="#N/A N/A","N/A",_xll.BDP(AI81,"RTG_FITCH"))&amp;","&amp;IF(_xll.BDP(AI81,"RTG_SP")="#N/A N/A","N/A",_xll.BDP(AI81,"RTG_SP"))</f>
        <v>#N/A Connection,#N/A Connection,#N/A Connection</v>
      </c>
      <c r="I81" s="7" t="e">
        <f>_xll.BDP(AI81,"cpn")/100</f>
        <v>#VALUE!</v>
      </c>
      <c r="J81" s="7" t="e">
        <f ca="1">_xll.BDP($G81&amp;" isin","YAS_BOND_YLD", "YAS_YLD_FLAG=15", "user_local_trade_date",AN81,"Yas_bond_px",$Q81)/100</f>
        <v>#VALUE!</v>
      </c>
      <c r="K81" s="4" t="str">
        <f>_xll.BDP(AI81,"PAYMENT_RANK")</f>
        <v>#N/A Connection</v>
      </c>
      <c r="L81" s="4" t="str">
        <f>IF((TEXT(_xll.BDP(AI81,"MATURITY"),"DD/MM/YYYY")="#N/A Field Not Applicable"),"Perp",TEXT(_xll.BDP(AI81,"MATURITY"),"DD/MM/YYYY"))</f>
        <v>#N/A Connection</v>
      </c>
      <c r="M81" s="8" t="str">
        <f>(IF(_xll.BDP($AI81&amp;" ISIN","DU003")="#n/a n/a"," ",_xll.BDP($AI81&amp;" ISIN","DU003")))</f>
        <v>#N/A Connection</v>
      </c>
      <c r="N81" s="4" t="str">
        <f>IF(_xll.BDP(AI81,"CALLABLE")="Y",_xll.BDP(AI81,"NXT_CALL_DT")," ")</f>
        <v xml:space="preserve"> </v>
      </c>
      <c r="O81" s="9">
        <v>300000</v>
      </c>
      <c r="P81" s="5">
        <v>100.01</v>
      </c>
      <c r="Q81" s="10" t="str">
        <f>_xll.BDP(AI81,"px_bid")</f>
        <v>#N/A Connection</v>
      </c>
      <c r="R81" s="11" t="e">
        <f>IF(F81="USD",AG81,(((_xll.BDP(F81&amp;"USD CURNCY","PX_LAST")))*AG81))</f>
        <v>#VALUE!</v>
      </c>
      <c r="S81" s="11" t="e">
        <f>IF(F81="USD",AH81,(((_xll.BDP(F81&amp;"USD CURNCY","PX_LAST")))*AH81))+AP81</f>
        <v>#VALUE!</v>
      </c>
      <c r="T81" s="12" t="e">
        <f t="shared" si="23"/>
        <v>#VALUE!</v>
      </c>
      <c r="U81" s="13" t="e">
        <f t="shared" si="24"/>
        <v>#VALUE!</v>
      </c>
      <c r="V81" s="13" t="str" cm="1">
        <f t="array" ref="V81">IFERROR(_xll.BDP($G81&amp;" ISIN","CHG_PCT_1D")/100,"")</f>
        <v/>
      </c>
      <c r="W81" s="13" t="str" cm="1">
        <f t="array" ref="W81">IFERROR(_xll.BDP($G81&amp;" ISIN","CHG_PCT_5D")/100,"")</f>
        <v/>
      </c>
      <c r="X81" s="13" t="e" cm="1">
        <f t="array" ref="X81">_xll.BDP($G81&amp;" ISIN","CHG_PCT_1M")/100</f>
        <v>#VALUE!</v>
      </c>
      <c r="Y81" s="13" t="e" cm="1">
        <f t="array" ref="Y81">_xll.BDP($G81&amp;" ISIN","CHG_PCT_3M")/100</f>
        <v>#VALUE!</v>
      </c>
      <c r="Z81" s="13" t="e" cm="1">
        <f t="array" ref="Z81">_xll.BDP($G81&amp;" ISIN","CHG_PCT_6M")/100</f>
        <v>#VALUE!</v>
      </c>
      <c r="AA81" s="13" t="e" cm="1">
        <f t="array" ref="AA81">_xll.BDP($G81&amp;" ISIN","CHG_PCT_YTD")/100</f>
        <v>#VALUE!</v>
      </c>
      <c r="AB81" s="13" t="e">
        <f t="shared" si="32"/>
        <v>#VALUE!</v>
      </c>
      <c r="AC81" s="14" t="e">
        <f t="shared" ca="1" si="25"/>
        <v>#VALUE!</v>
      </c>
      <c r="AD81" s="4" t="str">
        <f>_xll.BDP(AI81,"DS199")</f>
        <v>#N/A Connection</v>
      </c>
      <c r="AE81" s="10" t="str">
        <f>_xll.BDP(AI81,"px_ask")</f>
        <v>#N/A Connection</v>
      </c>
      <c r="AF81" s="14" t="e">
        <f>IF(F81="USD",O81,(((_xll.BDP(F81&amp;"USD CURNCY","PX_LAST")))*O81))</f>
        <v>#VALUE!</v>
      </c>
      <c r="AG81" s="11">
        <f t="shared" si="26"/>
        <v>300030</v>
      </c>
      <c r="AH81" s="11" t="e">
        <f t="shared" si="27"/>
        <v>#VALUE!</v>
      </c>
      <c r="AI81" s="4" t="str">
        <f t="shared" si="28"/>
        <v>XS2451768720 ISIN</v>
      </c>
      <c r="AJ81" s="4" t="e" cm="1">
        <f t="array" ref="AJ81">VLOOKUP(IF(NOT(_xll.BDP($G81&amp;" CORP",$CA$5)="#N/A N/A"),(_xll.BDP($G81&amp;" CORP",$CA$5)),"-"), '[1]Country Codes'!$A$2:$B$253,2,0)</f>
        <v>#N/A</v>
      </c>
      <c r="AK81" s="4" t="str" cm="1">
        <f t="array" ref="AK81">IF(OR(_xll.BDP($AI81,"EX028")= "#N/A N/A", _xll.BDP($AI81,"EX028")="#N/A FIELD NOT APPLICABLE"), " ", _xll.BDP($AI81,"EX028"))</f>
        <v>#N/A Connection</v>
      </c>
      <c r="AL81" s="15" t="str">
        <f>(IF(_xll.BDP($AI81&amp;" ISIN","DZ282")="Y","Single line Bonds Cocos","Single line Bonds ex Cocos"))</f>
        <v>Single line Bonds ex Cocos</v>
      </c>
      <c r="AM81" s="8" t="str">
        <f>(IF(_xll.BDP($G81&amp;" ISIN","SP153")="#n/a n/a"," ",_xll.BDP($G81&amp;" ISIN","SP153")))</f>
        <v>#N/A Connection</v>
      </c>
      <c r="AN81" s="16">
        <f t="shared" ca="1" si="29"/>
        <v>45783</v>
      </c>
      <c r="AO81" s="11" t="e">
        <f>(((_xll.BDP(AI81,"DS032"))/360)*I81)*O81</f>
        <v>#VALUE!</v>
      </c>
      <c r="AP81" s="11" t="e">
        <f>IF(F81="USD",AO81,(((_xll.BDP(F81&amp;"USD CURNCY","PX_LAST")))*AO81))</f>
        <v>#VALUE!</v>
      </c>
      <c r="AQ81" s="13" t="e">
        <f>S81/#REF!</f>
        <v>#VALUE!</v>
      </c>
      <c r="AR81" s="11" t="e">
        <f t="shared" si="30"/>
        <v>#VALUE!</v>
      </c>
      <c r="AS81" s="10" t="str">
        <f>IF((TEXT(_xll.BDP(AI81,"MATURITY"),"DD/MM/YYYY")="#N/A Field Not Applicable"),"Perp",_xll.BDP(AI81,"DS252"))</f>
        <v>#N/A Connection</v>
      </c>
      <c r="AT81" s="15" t="str">
        <f>(IF(_xll.BDP($AI81&amp;" ISIN","DT247")="Y","Yes","No"))</f>
        <v>No</v>
      </c>
      <c r="AU81" s="15" t="str">
        <f>PROPER(IF(OR(_xll.BDP($AI81,"CPN_TYP")="#n/a N/A",_xll.BDP($AI81,"CPN_TYP")= "#N/A FIELD NOT APPLICABLE"), " ", _xll.BDP($AI81,"CPN_TYP")))</f>
        <v>#N/A Connection</v>
      </c>
      <c r="BG81" s="17" t="s">
        <v>320</v>
      </c>
      <c r="BH81" s="17"/>
      <c r="BI81" s="18"/>
      <c r="BJ81" s="19">
        <v>44741</v>
      </c>
      <c r="BK81" s="20"/>
    </row>
    <row r="82" spans="1:64" s="21" customFormat="1" ht="14.45" customHeight="1" x14ac:dyDescent="0.25">
      <c r="A82" s="49" t="s">
        <v>241</v>
      </c>
      <c r="B82" s="49" t="s">
        <v>262</v>
      </c>
      <c r="C82" s="49" t="s">
        <v>263</v>
      </c>
      <c r="D82" s="49" t="s">
        <v>240</v>
      </c>
      <c r="E82" s="4" t="str">
        <f>_xll.BDP(AI82,"ds520")</f>
        <v>#N/A Connection</v>
      </c>
      <c r="F82" s="4" t="str">
        <f>_xll.BDP(AI82,"crncy")</f>
        <v>#N/A Connection</v>
      </c>
      <c r="G82" s="5" t="s">
        <v>145</v>
      </c>
      <c r="H82" s="4" t="str">
        <f>IF(_xll.BDP(AI82,"RTG_MOODY")="#N/A N/A","N/A",_xll.BDP(AI82,"RTG_MOODY"))&amp;","&amp;IF(_xll.BDP(AI82,"RTG_FITCH")="#N/A N/A","N/A",_xll.BDP(AI82,"RTG_FITCH"))&amp;","&amp;IF(_xll.BDP(AI82,"RTG_SP")="#N/A N/A","N/A",_xll.BDP(AI82,"RTG_SP"))</f>
        <v>#N/A Connection,#N/A Connection,#N/A Connection</v>
      </c>
      <c r="I82" s="7" t="e">
        <f>_xll.BDP(AI82,"cpn")/100</f>
        <v>#VALUE!</v>
      </c>
      <c r="J82" s="7" t="e">
        <f ca="1">_xll.BDP($G82&amp;" isin","YAS_BOND_YLD", "YAS_YLD_FLAG=15", "user_local_trade_date",AN82,"Yas_bond_px",$Q82)/100</f>
        <v>#VALUE!</v>
      </c>
      <c r="K82" s="4" t="str">
        <f>_xll.BDP(AI82,"PAYMENT_RANK")</f>
        <v>#N/A Connection</v>
      </c>
      <c r="L82" s="4" t="str">
        <f>IF((TEXT(_xll.BDP(AI82,"MATURITY"),"DD/MM/YYYY")="#N/A Field Not Applicable"),"Perp",TEXT(_xll.BDP(AI82,"MATURITY"),"DD/MM/YYYY"))</f>
        <v>#N/A Connection</v>
      </c>
      <c r="M82" s="8" t="str">
        <f>(IF(_xll.BDP($AI82&amp;" ISIN","DU003")="#n/a n/a"," ",_xll.BDP($AI82&amp;" ISIN","DU003")))</f>
        <v>#N/A Connection</v>
      </c>
      <c r="N82" s="4" t="str">
        <f>IF(_xll.BDP(AI82,"CALLABLE")="Y",_xll.BDP(AI82,"NXT_CALL_DT")," ")</f>
        <v xml:space="preserve"> </v>
      </c>
      <c r="O82" s="9">
        <v>200000</v>
      </c>
      <c r="P82" s="5">
        <v>100.35</v>
      </c>
      <c r="Q82" s="10" t="str">
        <f>_xll.BDP(AI82,"px_bid")</f>
        <v>#N/A Connection</v>
      </c>
      <c r="R82" s="11" t="e">
        <f>IF(F82="USD",AG82,(((_xll.BDP(F82&amp;"USD CURNCY","PX_LAST")))*AG82))</f>
        <v>#VALUE!</v>
      </c>
      <c r="S82" s="11" t="e">
        <f>IF(F82="USD",AH82,(((_xll.BDP(F82&amp;"USD CURNCY","PX_LAST")))*AH82))+AP82</f>
        <v>#VALUE!</v>
      </c>
      <c r="T82" s="12" t="e">
        <f t="shared" si="23"/>
        <v>#VALUE!</v>
      </c>
      <c r="U82" s="13" t="e">
        <f t="shared" si="24"/>
        <v>#VALUE!</v>
      </c>
      <c r="V82" s="13" t="str" cm="1">
        <f t="array" ref="V82">IFERROR(_xll.BDP($G82&amp;" ISIN","CHG_PCT_1D")/100,"")</f>
        <v/>
      </c>
      <c r="W82" s="13" t="str" cm="1">
        <f t="array" ref="W82">IFERROR(_xll.BDP($G82&amp;" ISIN","CHG_PCT_5D")/100,"")</f>
        <v/>
      </c>
      <c r="X82" s="13" t="e" cm="1">
        <f t="array" ref="X82">_xll.BDP($G82&amp;" ISIN","CHG_PCT_1M")/100</f>
        <v>#VALUE!</v>
      </c>
      <c r="Y82" s="13" t="e" cm="1">
        <f t="array" ref="Y82">_xll.BDP($G82&amp;" ISIN","CHG_PCT_3M")/100</f>
        <v>#VALUE!</v>
      </c>
      <c r="Z82" s="13" t="e" cm="1">
        <f t="array" ref="Z82">_xll.BDP($G82&amp;" ISIN","CHG_PCT_6M")/100</f>
        <v>#VALUE!</v>
      </c>
      <c r="AA82" s="13" t="e" cm="1">
        <f t="array" ref="AA82">_xll.BDP($G82&amp;" ISIN","CHG_PCT_YTD")/100</f>
        <v>#VALUE!</v>
      </c>
      <c r="AB82" s="13" t="e">
        <f t="shared" si="32"/>
        <v>#VALUE!</v>
      </c>
      <c r="AC82" s="14" t="e">
        <f t="shared" ca="1" si="25"/>
        <v>#VALUE!</v>
      </c>
      <c r="AD82" s="4" t="str">
        <f>_xll.BDP(AI82,"DS199")</f>
        <v>#N/A Connection</v>
      </c>
      <c r="AE82" s="10" t="str">
        <f>_xll.BDP(AI82,"px_ask")</f>
        <v>#N/A Connection</v>
      </c>
      <c r="AF82" s="14" t="e">
        <f>IF(F82="USD",O82,(((_xll.BDP(F82&amp;"USD CURNCY","PX_LAST")))*O82))</f>
        <v>#VALUE!</v>
      </c>
      <c r="AG82" s="11">
        <f t="shared" si="26"/>
        <v>200700</v>
      </c>
      <c r="AH82" s="11" t="e">
        <f t="shared" si="27"/>
        <v>#VALUE!</v>
      </c>
      <c r="AI82" s="4" t="str">
        <f t="shared" si="28"/>
        <v>XS2010026727 ISIN</v>
      </c>
      <c r="AJ82" s="4" t="e" cm="1">
        <f t="array" ref="AJ82">VLOOKUP(IF(NOT(_xll.BDP($G82&amp;" CORP",$CA$5)="#N/A N/A"),(_xll.BDP($G82&amp;" CORP",$CA$5)),"-"), '[1]Country Codes'!$A$2:$B$253,2,0)</f>
        <v>#N/A</v>
      </c>
      <c r="AK82" s="4" t="str" cm="1">
        <f t="array" ref="AK82">IF(OR(_xll.BDP($AI82,"EX028")= "#N/A N/A", _xll.BDP($AI82,"EX028")="#N/A FIELD NOT APPLICABLE"), " ", _xll.BDP($AI82,"EX028"))</f>
        <v>#N/A Connection</v>
      </c>
      <c r="AL82" s="15" t="str">
        <f>(IF(_xll.BDP($AI82&amp;" ISIN","DZ282")="Y","Single line Bonds Cocos","Single line Bonds ex Cocos"))</f>
        <v>Single line Bonds ex Cocos</v>
      </c>
      <c r="AM82" s="8" t="str">
        <f>(IF(_xll.BDP($G82&amp;" ISIN","SP153")="#n/a n/a"," ",_xll.BDP($G82&amp;" ISIN","SP153")))</f>
        <v>#N/A Connection</v>
      </c>
      <c r="AN82" s="16">
        <f t="shared" ca="1" si="29"/>
        <v>45783</v>
      </c>
      <c r="AO82" s="11" t="e">
        <f>(((_xll.BDP(AI82,"DS032"))/360)*I82)*O82</f>
        <v>#VALUE!</v>
      </c>
      <c r="AP82" s="11" t="e">
        <f>IF(F82="USD",AO82,(((_xll.BDP(F82&amp;"USD CURNCY","PX_LAST")))*AO82))</f>
        <v>#VALUE!</v>
      </c>
      <c r="AQ82" s="13" t="e">
        <f>S82/#REF!</f>
        <v>#VALUE!</v>
      </c>
      <c r="AR82" s="11" t="e">
        <f t="shared" si="30"/>
        <v>#VALUE!</v>
      </c>
      <c r="AS82" s="10" t="str">
        <f>IF((TEXT(_xll.BDP(AI82,"MATURITY"),"DD/MM/YYYY")="#N/A Field Not Applicable"),"Perp",_xll.BDP(AI82,"DS252"))</f>
        <v>#N/A Connection</v>
      </c>
      <c r="AT82" s="15" t="str">
        <f>(IF(_xll.BDP($AI82&amp;" ISIN","DT247")="Y","Yes","No"))</f>
        <v>No</v>
      </c>
      <c r="AU82" s="15" t="str">
        <f>PROPER(IF(OR(_xll.BDP($AI82,"CPN_TYP")="#n/a N/A",_xll.BDP($AI82,"CPN_TYP")= "#N/A FIELD NOT APPLICABLE"), " ", _xll.BDP($AI82,"CPN_TYP")))</f>
        <v>#N/A Connection</v>
      </c>
      <c r="BG82" s="17" t="str">
        <f t="shared" ref="BG82:BG105" si="33">G82</f>
        <v>XS2010026727</v>
      </c>
      <c r="BH82" s="17">
        <v>0</v>
      </c>
      <c r="BI82" s="18">
        <v>5</v>
      </c>
      <c r="BJ82" s="19">
        <v>44510</v>
      </c>
      <c r="BK82" s="20">
        <v>1</v>
      </c>
    </row>
    <row r="83" spans="1:64" s="21" customFormat="1" ht="14.45" customHeight="1" x14ac:dyDescent="0.25">
      <c r="A83" s="81" t="s">
        <v>242</v>
      </c>
      <c r="B83" s="81" t="s">
        <v>264</v>
      </c>
      <c r="C83" s="81" t="s">
        <v>265</v>
      </c>
      <c r="D83" s="81" t="s">
        <v>248</v>
      </c>
      <c r="E83" s="88" t="str">
        <f>_xll.BDP(AI83,"ds520")</f>
        <v>#N/A Connection</v>
      </c>
      <c r="F83" s="88" t="str">
        <f>_xll.BDP(AI83,"crncy")</f>
        <v>#N/A Connection</v>
      </c>
      <c r="G83" s="88" t="s">
        <v>185</v>
      </c>
      <c r="H83" s="88" t="str">
        <f>IF(_xll.BDP(AI83,"RTG_MOODY")="#N/A N/A","N/A",_xll.BDP(AI83,"RTG_MOODY"))&amp;","&amp;IF(_xll.BDP(AI83,"RTG_FITCH")="#N/A N/A","N/A",_xll.BDP(AI83,"RTG_FITCH"))&amp;","&amp;IF(_xll.BDP(AI83,"RTG_SP")="#N/A N/A","N/A",_xll.BDP(AI83,"RTG_SP"))</f>
        <v>#N/A Connection,#N/A Connection,#N/A Connection</v>
      </c>
      <c r="I83" s="38" t="e">
        <f>_xll.BDP(AI83,"cpn")/100</f>
        <v>#VALUE!</v>
      </c>
      <c r="J83" s="38" t="e">
        <f ca="1">_xll.BDP($G83&amp;" isin","YAS_BOND_YLD", "YAS_YLD_FLAG=15", "user_local_trade_date",AN83,"Yas_bond_px",$Q83)/100</f>
        <v>#VALUE!</v>
      </c>
      <c r="K83" s="88" t="str">
        <f>_xll.BDP(AI83,"PAYMENT_RANK")</f>
        <v>#N/A Connection</v>
      </c>
      <c r="L83" s="88" t="str">
        <f>IF((TEXT(_xll.BDP(AI83,"MATURITY"),"DD/MM/YYYY")="#N/A Field Not Applicable"),"Perp",TEXT(_xll.BDP(AI83,"MATURITY"),"DD/MM/YYYY"))</f>
        <v>#N/A Connection</v>
      </c>
      <c r="M83" s="97" t="str">
        <f>(IF(_xll.BDP($AI83&amp;" ISIN","DU003")="#n/a n/a"," ",_xll.BDP($AI83&amp;" ISIN","DU003")))</f>
        <v>#N/A Connection</v>
      </c>
      <c r="N83" s="88" t="str">
        <f>IF(_xll.BDP(AI83,"CALLABLE")="Y",_xll.BDP(AI83,"NXT_CALL_DT")," ")</f>
        <v xml:space="preserve"> </v>
      </c>
      <c r="O83" s="98">
        <v>300000</v>
      </c>
      <c r="P83" s="88">
        <v>94.17</v>
      </c>
      <c r="Q83" s="99" t="str">
        <f>_xll.BDP(AI83,"px_bid")</f>
        <v>#N/A Connection</v>
      </c>
      <c r="R83" s="100" t="e">
        <f>IF(F83="USD",AG83,(((_xll.BDP(F83&amp;"USD CURNCY","PX_LAST")))*AG83))</f>
        <v>#VALUE!</v>
      </c>
      <c r="S83" s="100" t="e">
        <f>IF(F83="USD",AH83,(((_xll.BDP(F83&amp;"USD CURNCY","PX_LAST")))*AH83))+AP83</f>
        <v>#VALUE!</v>
      </c>
      <c r="T83" s="86" t="e">
        <f t="shared" ref="T83:T106" si="34">U83*R83</f>
        <v>#VALUE!</v>
      </c>
      <c r="U83" s="87" t="e">
        <f t="shared" ref="U83:U106" si="35">(Q83-P83)/P83</f>
        <v>#VALUE!</v>
      </c>
      <c r="V83" s="87" t="str" cm="1">
        <f t="array" ref="V83">IFERROR(_xll.BDP($G83&amp;" ISIN","CHG_PCT_1D")/100,"")</f>
        <v/>
      </c>
      <c r="W83" s="87" t="str" cm="1">
        <f t="array" ref="W83">IFERROR(_xll.BDP($G83&amp;" ISIN","CHG_PCT_5D")/100,"")</f>
        <v/>
      </c>
      <c r="X83" s="87" t="e" cm="1">
        <f t="array" ref="X83">_xll.BDP($G83&amp;" ISIN","CHG_PCT_1M")/100</f>
        <v>#VALUE!</v>
      </c>
      <c r="Y83" s="87" t="e" cm="1">
        <f t="array" ref="Y83">_xll.BDP($G83&amp;" ISIN","CHG_PCT_3M")/100</f>
        <v>#VALUE!</v>
      </c>
      <c r="Z83" s="87" t="e" cm="1">
        <f t="array" ref="Z83">_xll.BDP($G83&amp;" ISIN","CHG_PCT_6M")/100</f>
        <v>#VALUE!</v>
      </c>
      <c r="AA83" s="87" t="e" cm="1">
        <f t="array" ref="AA83">_xll.BDP($G83&amp;" ISIN","CHG_PCT_YTD")/100</f>
        <v>#VALUE!</v>
      </c>
      <c r="AB83" s="87" t="e">
        <f t="shared" si="32"/>
        <v>#VALUE!</v>
      </c>
      <c r="AC83" s="98" t="e">
        <f t="shared" ref="AC83:AC106" ca="1" si="36">((AF83*I83)* ((TODAY()-BJ83)/360))+(Q83-P83)%*AF83</f>
        <v>#VALUE!</v>
      </c>
      <c r="AD83" s="88" t="str">
        <f>_xll.BDP(AI83,"DS199")</f>
        <v>#N/A Connection</v>
      </c>
      <c r="AE83" s="99" t="str">
        <f>_xll.BDP(AI83,"px_ask")</f>
        <v>#N/A Connection</v>
      </c>
      <c r="AF83" s="98" t="e">
        <f>IF(F83="USD",O83,(((_xll.BDP(F83&amp;"USD CURNCY","PX_LAST")))*O83))</f>
        <v>#VALUE!</v>
      </c>
      <c r="AG83" s="100">
        <f t="shared" ref="AG83:AG106" si="37">O83*P83/100</f>
        <v>282510</v>
      </c>
      <c r="AH83" s="100" t="e">
        <f t="shared" ref="AH83:AH106" si="38">Q83*O83/100</f>
        <v>#VALUE!</v>
      </c>
      <c r="AI83" s="88" t="str">
        <f t="shared" ref="AI83:AI106" si="39">G83&amp; " ISIN"</f>
        <v>XS2907245208 ISIN</v>
      </c>
      <c r="AJ83" s="88" t="e" cm="1">
        <f t="array" ref="AJ83">VLOOKUP(IF(NOT(_xll.BDP($G83&amp;" CORP",$CA$5)="#N/A N/A"),(_xll.BDP($G83&amp;" CORP",$CA$5)),"-"), '[1]Country Codes'!$A$2:$B$253,2,0)</f>
        <v>#N/A</v>
      </c>
      <c r="AK83" s="88" t="str" cm="1">
        <f t="array" ref="AK83">IF(OR(_xll.BDP($AI83,"EX028")= "#N/A N/A", _xll.BDP($AI83,"EX028")="#N/A FIELD NOT APPLICABLE"), " ", _xll.BDP($AI83,"EX028"))</f>
        <v>#N/A Connection</v>
      </c>
      <c r="AL83" s="38" t="str">
        <f>(IF(_xll.BDP($AI83&amp;" ISIN","DZ282")="Y","Single line Bonds Cocos","Single line Bonds ex Cocos"))</f>
        <v>Single line Bonds ex Cocos</v>
      </c>
      <c r="AM83" s="97" t="str">
        <f>(IF(_xll.BDP($G83&amp;" ISIN","SP153")="#n/a n/a"," ",_xll.BDP($G83&amp;" ISIN","SP153")))</f>
        <v>#N/A Connection</v>
      </c>
      <c r="AN83" s="95">
        <f t="shared" ref="AN83:AN106" ca="1" si="40">TODAY()</f>
        <v>45783</v>
      </c>
      <c r="AO83" s="100" t="e">
        <f>(((_xll.BDP(AI83,"DS032"))/360)*I83)*O83</f>
        <v>#VALUE!</v>
      </c>
      <c r="AP83" s="100" t="e">
        <f>IF(F83="USD",AO83,(((_xll.BDP(F83&amp;"USD CURNCY","PX_LAST")))*AO83))</f>
        <v>#VALUE!</v>
      </c>
      <c r="AQ83" s="87" t="e">
        <f>S83/#REF!</f>
        <v>#VALUE!</v>
      </c>
      <c r="AR83" s="100" t="e">
        <f t="shared" ref="AR83:AR106" si="41">S83-AP83</f>
        <v>#VALUE!</v>
      </c>
      <c r="AS83" s="99" t="str">
        <f>IF((TEXT(_xll.BDP(AI83,"MATURITY"),"DD/MM/YYYY")="#N/A Field Not Applicable"),"Perp",_xll.BDP(AI83,"DS252"))</f>
        <v>#N/A Connection</v>
      </c>
      <c r="AT83" s="38" t="str">
        <f>(IF(_xll.BDP($AI83&amp;" ISIN","DT247")="Y","Yes","No"))</f>
        <v>No</v>
      </c>
      <c r="AU83" s="38" t="str">
        <f>PROPER(IF(OR(_xll.BDP($AI83,"CPN_TYP")="#n/a N/A",_xll.BDP($AI83,"CPN_TYP")= "#N/A FIELD NOT APPLICABLE"), " ", _xll.BDP($AI83,"CPN_TYP")))</f>
        <v>#N/A Connection</v>
      </c>
      <c r="AV83" s="101"/>
      <c r="AW83" s="101"/>
      <c r="AX83" s="101"/>
      <c r="AY83" s="101"/>
      <c r="AZ83" s="101"/>
      <c r="BA83" s="101"/>
      <c r="BB83" s="101"/>
      <c r="BC83" s="101"/>
      <c r="BD83" s="101"/>
      <c r="BE83" s="101"/>
      <c r="BF83" s="101"/>
      <c r="BG83" s="38" t="str">
        <f t="shared" si="33"/>
        <v>XS2907245208</v>
      </c>
      <c r="BH83" s="38">
        <f>VLOOKUP(BG83,'[2]Portefeuille 4380430'!$B$3:$G$38,6,0)</f>
        <v>0.67610000000000003</v>
      </c>
      <c r="BI83" s="94">
        <v>2</v>
      </c>
      <c r="BJ83" s="95">
        <v>45596</v>
      </c>
      <c r="BK83" s="96"/>
      <c r="BL83" s="101"/>
    </row>
    <row r="84" spans="1:64" s="101" customFormat="1" ht="14.45" customHeight="1" x14ac:dyDescent="0.25">
      <c r="A84" s="81" t="s">
        <v>242</v>
      </c>
      <c r="B84" s="81" t="s">
        <v>264</v>
      </c>
      <c r="C84" s="81" t="s">
        <v>265</v>
      </c>
      <c r="D84" s="81" t="s">
        <v>248</v>
      </c>
      <c r="E84" s="88" t="str">
        <f>_xll.BDP(AI84,"ds520")</f>
        <v>Greensaif Pipelines Bidco Sarl</v>
      </c>
      <c r="F84" s="88" t="str">
        <f>_xll.BDP(AI84,"crncy")</f>
        <v>USD</v>
      </c>
      <c r="G84" s="88" t="s">
        <v>189</v>
      </c>
      <c r="H84" s="88" t="str">
        <f>IF(_xll.BDP(AI84,"RTG_MOODY")="#N/A N/A","N/A",_xll.BDP(AI84,"RTG_MOODY"))&amp;","&amp;IF(_xll.BDP(AI84,"RTG_FITCH")="#N/A N/A","N/A",_xll.BDP(AI84,"RTG_FITCH"))&amp;","&amp;IF(_xll.BDP(AI84,"RTG_SP")="#N/A N/A","N/A",_xll.BDP(AI84,"RTG_SP"))</f>
        <v>Aa3,A+,N/A</v>
      </c>
      <c r="I84" s="38">
        <f>_xll.BDP(AI84,"cpn")/100</f>
        <v>6.5099999999999991E-2</v>
      </c>
      <c r="J84" s="38">
        <f ca="1">_xll.BDP($G84&amp;" isin","YAS_BOND_YLD", "YAS_YLD_FLAG=15", "user_local_trade_date",AN84,"Yas_bond_px",$Q84)/100</f>
        <v>6.2911529999999993E-2</v>
      </c>
      <c r="K84" s="88" t="str">
        <f>_xll.BDP(AI84,"PAYMENT_RANK")</f>
        <v>Secured</v>
      </c>
      <c r="L84" s="88" t="str">
        <f>IF((TEXT(_xll.BDP(AI84,"MATURITY"),"DD/MM/YYYY")="#N/A Field Not Applicable"),"Perp",TEXT(_xll.BDP(AI84,"MATURITY"),"DD/MM/YYYY"))</f>
        <v>23/02/2042</v>
      </c>
      <c r="M84" s="97">
        <f>(IF(_xll.BDP($AI84&amp;" ISIN","DU003")="#n/a n/a"," ",_xll.BDP($AI84&amp;" ISIN","DU003")))</f>
        <v>9.9703143731156256</v>
      </c>
      <c r="N84" s="88" t="str">
        <f>IF(_xll.BDP(AI84,"CALLABLE")="Y",_xll.BDP(AI84,"NXT_CALL_DT")," ")</f>
        <v xml:space="preserve"> </v>
      </c>
      <c r="O84" s="98">
        <v>300000</v>
      </c>
      <c r="P84" s="88">
        <v>103.753</v>
      </c>
      <c r="Q84" s="99">
        <f>_xll.BDP(AI84,"px_bid")</f>
        <v>102.23699999999999</v>
      </c>
      <c r="R84" s="100">
        <f>IF(F84="USD",AG84,(((_xll.BDP(F84&amp;"USD CURNCY","PX_LAST")))*AG84))</f>
        <v>311259</v>
      </c>
      <c r="S84" s="100">
        <f>IF(F84="USD",AH84,(((_xll.BDP(F84&amp;"USD CURNCY","PX_LAST")))*AH84))+AP84</f>
        <v>310454.25</v>
      </c>
      <c r="T84" s="86">
        <f t="shared" si="34"/>
        <v>-4548.0000000000155</v>
      </c>
      <c r="U84" s="87">
        <f t="shared" si="35"/>
        <v>-1.4611625687931966E-2</v>
      </c>
      <c r="V84" s="87" t="str" cm="1">
        <f t="array" ref="V84">IFERROR(_xll.BDP($G84&amp;" ISIN","CHG_PCT_1D")/100,"")</f>
        <v/>
      </c>
      <c r="W84" s="87" t="str" cm="1">
        <f t="array" ref="W84">IFERROR(_xll.BDP($G84&amp;" ISIN","CHG_PCT_5D")/100,"")</f>
        <v/>
      </c>
      <c r="X84" s="87" t="e" cm="1">
        <f t="array" ref="X84">_xll.BDP($G84&amp;" ISIN","CHG_PCT_1M")/100</f>
        <v>#VALUE!</v>
      </c>
      <c r="Y84" s="87" t="e" cm="1">
        <f t="array" ref="Y84">_xll.BDP($G84&amp;" ISIN","CHG_PCT_3M")/100</f>
        <v>#VALUE!</v>
      </c>
      <c r="Z84" s="87" t="e" cm="1">
        <f t="array" ref="Z84">_xll.BDP($G84&amp;" ISIN","CHG_PCT_6M")/100</f>
        <v>#VALUE!</v>
      </c>
      <c r="AA84" s="87" t="e" cm="1">
        <f t="array" ref="AA84">_xll.BDP($G84&amp;" ISIN","CHG_PCT_YTD")/100</f>
        <v>#VALUE!</v>
      </c>
      <c r="AB84" s="87" t="e">
        <f t="shared" ref="AB84:AB109" si="42">S84/$H$36</f>
        <v>#VALUE!</v>
      </c>
      <c r="AC84" s="98">
        <f t="shared" ca="1" si="36"/>
        <v>5596.7499999999818</v>
      </c>
      <c r="AD84" s="88" t="str">
        <f>_xll.BDP(AI84,"DS199")</f>
        <v>Energy</v>
      </c>
      <c r="AE84" s="99">
        <f>_xll.BDP(AI84,"px_ask")</f>
        <v>103.30800000000001</v>
      </c>
      <c r="AF84" s="98">
        <f>IF(F84="USD",O84,(((_xll.BDP(F84&amp;"USD CURNCY","PX_LAST")))*O84))</f>
        <v>300000</v>
      </c>
      <c r="AG84" s="100">
        <f t="shared" si="37"/>
        <v>311259</v>
      </c>
      <c r="AH84" s="100">
        <f t="shared" si="38"/>
        <v>306711</v>
      </c>
      <c r="AI84" s="88" t="str">
        <f t="shared" si="39"/>
        <v>XS2542166744 ISIN</v>
      </c>
      <c r="AJ84" s="88" t="e" cm="1">
        <f t="array" ref="AJ84">VLOOKUP(IF(NOT(_xll.BDP($G84&amp;" CORP",$CA$5)="#N/A N/A"),(_xll.BDP($G84&amp;" CORP",$CA$5)),"-"), '[1]Country Codes'!$A$2:$B$253,2,0)</f>
        <v>#N/A</v>
      </c>
      <c r="AK84" s="88" t="str" cm="1">
        <f t="array" ref="AK84">IF(OR(_xll.BDP($AI84,"EX028")= "#N/A N/A", _xll.BDP($AI84,"EX028")="#N/A FIELD NOT APPLICABLE"), " ", _xll.BDP($AI84,"EX028"))</f>
        <v>FixedIncome</v>
      </c>
      <c r="AL84" s="38" t="str">
        <f>(IF(_xll.BDP($AI84&amp;" ISIN","DZ282")="Y","Single line Bonds Cocos","Single line Bonds ex Cocos"))</f>
        <v>Single line Bonds ex Cocos</v>
      </c>
      <c r="AM84" s="97">
        <f>(IF(_xll.BDP($G84&amp;" ISIN","SP153")="#n/a n/a"," ",_xll.BDP($G84&amp;" ISIN","SP153")))</f>
        <v>243.87853924854338</v>
      </c>
      <c r="AN84" s="95">
        <f t="shared" ca="1" si="40"/>
        <v>45783</v>
      </c>
      <c r="AO84" s="100">
        <f>(((_xll.BDP(AI84,"DS032"))/360)*I84)*O84</f>
        <v>3743.2499999999995</v>
      </c>
      <c r="AP84" s="100">
        <f>IF(F84="USD",AO84,(((_xll.BDP(F84&amp;"USD CURNCY","PX_LAST")))*AO84))</f>
        <v>3743.2499999999995</v>
      </c>
      <c r="AQ84" s="87" t="e">
        <f>S84/#REF!</f>
        <v>#REF!</v>
      </c>
      <c r="AR84" s="100">
        <f t="shared" si="41"/>
        <v>306711</v>
      </c>
      <c r="AS84" s="99">
        <f>IF((TEXT(_xll.BDP(AI84,"MATURITY"),"DD/MM/YYYY")="#N/A Field Not Applicable"),"Perp",_xll.BDP(AI84,"DS252"))</f>
        <v>16.8186173853525</v>
      </c>
      <c r="AT84" s="38" t="str">
        <f>(IF(_xll.BDP($AI84&amp;" ISIN","DT247")="Y","Yes","No"))</f>
        <v>No</v>
      </c>
      <c r="AU84" s="38" t="str">
        <f>PROPER(IF(OR(_xll.BDP($AI84,"CPN_TYP")="#n/a N/A",_xll.BDP($AI84,"CPN_TYP")= "#N/A FIELD NOT APPLICABLE"), " ", _xll.BDP($AI84,"CPN_TYP")))</f>
        <v>Fixed</v>
      </c>
      <c r="BG84" s="38" t="str">
        <f t="shared" si="33"/>
        <v>XS2542166744</v>
      </c>
      <c r="BH84" s="38">
        <f>VLOOKUP(BG84,'[2]Portefeuille 4380430'!$B$3:$G$38,6,0)</f>
        <v>0.56000000000000005</v>
      </c>
      <c r="BI84" s="94">
        <v>3</v>
      </c>
      <c r="BJ84" s="95">
        <v>45596</v>
      </c>
      <c r="BK84" s="96"/>
    </row>
    <row r="85" spans="1:64" s="21" customFormat="1" ht="14.45" customHeight="1" x14ac:dyDescent="0.25">
      <c r="A85" s="49" t="s">
        <v>242</v>
      </c>
      <c r="B85" s="49" t="s">
        <v>264</v>
      </c>
      <c r="C85" s="49" t="s">
        <v>265</v>
      </c>
      <c r="D85" s="49" t="s">
        <v>248</v>
      </c>
      <c r="E85" s="4" t="str">
        <f>_xll.BDP(AI85,"ds520")</f>
        <v>#N/A Connection</v>
      </c>
      <c r="F85" s="4" t="str">
        <f>_xll.BDP(AI85,"crncy")</f>
        <v>#N/A Connection</v>
      </c>
      <c r="G85" s="5" t="s">
        <v>210</v>
      </c>
      <c r="H85" s="4" t="str">
        <f>IF(_xll.BDP(AI85,"RTG_MOODY")="#N/A N/A","N/A",_xll.BDP(AI85,"RTG_MOODY"))&amp;","&amp;IF(_xll.BDP(AI85,"RTG_FITCH")="#N/A N/A","N/A",_xll.BDP(AI85,"RTG_FITCH"))&amp;","&amp;IF(_xll.BDP(AI85,"RTG_SP")="#N/A N/A","N/A",_xll.BDP(AI85,"RTG_SP"))</f>
        <v>#N/A Connection,#N/A Connection,#N/A Connection</v>
      </c>
      <c r="I85" s="7" t="e">
        <f>_xll.BDP(AI85,"cpn")/100</f>
        <v>#VALUE!</v>
      </c>
      <c r="J85" s="7" t="e">
        <f ca="1">_xll.BDP($G85&amp;" isin","YAS_BOND_YLD", "YAS_YLD_FLAG=15", "user_local_trade_date",AN85,"Yas_bond_px",$Q85)/100</f>
        <v>#VALUE!</v>
      </c>
      <c r="K85" s="4" t="str">
        <f>_xll.BDP(AI85,"PAYMENT_RANK")</f>
        <v>#N/A Connection</v>
      </c>
      <c r="L85" s="4" t="str">
        <f>IF((TEXT(_xll.BDP(AI85,"MATURITY"),"DD/MM/YYYY")="#N/A Field Not Applicable"),"Perp",TEXT(_xll.BDP(AI85,"MATURITY"),"DD/MM/YYYY"))</f>
        <v>#N/A Connection</v>
      </c>
      <c r="M85" s="8" t="str">
        <f>(IF(_xll.BDP($AI85&amp;" ISIN","DU003")="#n/a n/a"," ",_xll.BDP($AI85&amp;" ISIN","DU003")))</f>
        <v>#N/A Connection</v>
      </c>
      <c r="N85" s="4" t="str">
        <f>IF(_xll.BDP(AI85,"CALLABLE")="Y",_xll.BDP(AI85,"NXT_CALL_DT")," ")</f>
        <v xml:space="preserve"> </v>
      </c>
      <c r="O85" s="9">
        <v>300000</v>
      </c>
      <c r="P85" s="5">
        <v>94.748999999999995</v>
      </c>
      <c r="Q85" s="10" t="str">
        <f>_xll.BDP(AI85,"px_bid")</f>
        <v>#N/A Connection</v>
      </c>
      <c r="R85" s="11" t="e">
        <f>IF(F85="USD",AG85,(((_xll.BDP(F85&amp;"USD CURNCY","PX_LAST")))*AG85))</f>
        <v>#VALUE!</v>
      </c>
      <c r="S85" s="11" t="e">
        <f>IF(F85="USD",AH85,(((_xll.BDP(F85&amp;"USD CURNCY","PX_LAST")))*AH85))+AP85</f>
        <v>#VALUE!</v>
      </c>
      <c r="T85" s="12" t="e">
        <f t="shared" si="34"/>
        <v>#VALUE!</v>
      </c>
      <c r="U85" s="13" t="e">
        <f t="shared" si="35"/>
        <v>#VALUE!</v>
      </c>
      <c r="V85" s="13" t="str" cm="1">
        <f t="array" ref="V85">IFERROR(_xll.BDP($G85&amp;" ISIN","CHG_PCT_1D")/100,"")</f>
        <v/>
      </c>
      <c r="W85" s="13" t="str" cm="1">
        <f t="array" ref="W85">IFERROR(_xll.BDP($G85&amp;" ISIN","CHG_PCT_5D")/100,"")</f>
        <v/>
      </c>
      <c r="X85" s="13" t="e" cm="1">
        <f t="array" ref="X85">_xll.BDP($G85&amp;" ISIN","CHG_PCT_1M")/100</f>
        <v>#VALUE!</v>
      </c>
      <c r="Y85" s="13" t="e" cm="1">
        <f t="array" ref="Y85">_xll.BDP($G85&amp;" ISIN","CHG_PCT_3M")/100</f>
        <v>#VALUE!</v>
      </c>
      <c r="Z85" s="13" t="e" cm="1">
        <f t="array" ref="Z85">_xll.BDP($G85&amp;" ISIN","CHG_PCT_6M")/100</f>
        <v>#VALUE!</v>
      </c>
      <c r="AA85" s="13" t="e" cm="1">
        <f t="array" ref="AA85">_xll.BDP($G85&amp;" ISIN","CHG_PCT_YTD")/100</f>
        <v>#VALUE!</v>
      </c>
      <c r="AB85" s="13" t="e">
        <f t="shared" si="42"/>
        <v>#VALUE!</v>
      </c>
      <c r="AC85" s="14" t="e">
        <f t="shared" ca="1" si="36"/>
        <v>#VALUE!</v>
      </c>
      <c r="AD85" s="4" t="str">
        <f>_xll.BDP(AI85,"DS199")</f>
        <v>#N/A Connection</v>
      </c>
      <c r="AE85" s="10" t="str">
        <f>_xll.BDP(AI85,"px_ask")</f>
        <v>#N/A Connection</v>
      </c>
      <c r="AF85" s="14" t="e">
        <f>IF(F85="USD",O85,(((_xll.BDP(F85&amp;"USD CURNCY","PX_LAST")))*O85))</f>
        <v>#VALUE!</v>
      </c>
      <c r="AG85" s="11">
        <f t="shared" si="37"/>
        <v>284247</v>
      </c>
      <c r="AH85" s="11" t="e">
        <f t="shared" si="38"/>
        <v>#VALUE!</v>
      </c>
      <c r="AI85" s="4" t="str">
        <f t="shared" si="39"/>
        <v>XS2131567138 ISIN</v>
      </c>
      <c r="AJ85" s="4" t="e" cm="1">
        <f t="array" ref="AJ85">VLOOKUP(IF(NOT(_xll.BDP($G85&amp;" CORP",$CA$5)="#N/A N/A"),(_xll.BDP($G85&amp;" CORP",$CA$5)),"-"), '[1]Country Codes'!$A$2:$B$253,2,0)</f>
        <v>#N/A</v>
      </c>
      <c r="AK85" s="4" t="str" cm="1">
        <f t="array" ref="AK85">IF(OR(_xll.BDP($AI85,"EX028")= "#N/A N/A", _xll.BDP($AI85,"EX028")="#N/A FIELD NOT APPLICABLE"), " ", _xll.BDP($AI85,"EX028"))</f>
        <v>#N/A Connection</v>
      </c>
      <c r="AL85" s="15" t="str">
        <f>(IF(_xll.BDP($AI85&amp;" ISIN","DZ282")="Y","Single line Bonds Cocos","Single line Bonds ex Cocos"))</f>
        <v>Single line Bonds ex Cocos</v>
      </c>
      <c r="AM85" s="8" t="str">
        <f>(IF(_xll.BDP($G85&amp;" ISIN","SP153")="#n/a n/a"," ",_xll.BDP($G85&amp;" ISIN","SP153")))</f>
        <v>#N/A Connection</v>
      </c>
      <c r="AN85" s="16">
        <f t="shared" ca="1" si="40"/>
        <v>45783</v>
      </c>
      <c r="AO85" s="11" t="e">
        <f>(((_xll.BDP(AI85,"DS032"))/360)*I85)*O85</f>
        <v>#VALUE!</v>
      </c>
      <c r="AP85" s="11" t="e">
        <f>IF(F85="USD",AO85,(((_xll.BDP(F85&amp;"USD CURNCY","PX_LAST")))*AO85))</f>
        <v>#VALUE!</v>
      </c>
      <c r="AQ85" s="13" t="e">
        <f>S85/#REF!</f>
        <v>#VALUE!</v>
      </c>
      <c r="AR85" s="11" t="e">
        <f t="shared" si="41"/>
        <v>#VALUE!</v>
      </c>
      <c r="AS85" s="10" t="str">
        <f>IF((TEXT(_xll.BDP(AI85,"MATURITY"),"DD/MM/YYYY")="#N/A Field Not Applicable"),"Perp",_xll.BDP(AI85,"DS252"))</f>
        <v>#N/A Connection</v>
      </c>
      <c r="AT85" s="15" t="str">
        <f>(IF(_xll.BDP($AI85&amp;" ISIN","DT247")="Y","Yes","No"))</f>
        <v>No</v>
      </c>
      <c r="AU85" s="15" t="str">
        <f>PROPER(IF(OR(_xll.BDP($AI85,"CPN_TYP")="#n/a N/A",_xll.BDP($AI85,"CPN_TYP")= "#N/A FIELD NOT APPLICABLE"), " ", _xll.BDP($AI85,"CPN_TYP")))</f>
        <v>#N/A Connection</v>
      </c>
      <c r="BG85" s="17" t="str">
        <f t="shared" si="33"/>
        <v>XS2131567138</v>
      </c>
      <c r="BH85" s="17">
        <f>VLOOKUP(BG85,'[2]Portefeuille 4380430'!$B$3:$G$38,6,0)</f>
        <v>0.51790000000000003</v>
      </c>
      <c r="BI85" s="18" t="s">
        <v>147</v>
      </c>
      <c r="BJ85" s="19">
        <v>44942</v>
      </c>
      <c r="BK85" s="20"/>
    </row>
    <row r="86" spans="1:64" s="101" customFormat="1" ht="14.45" customHeight="1" x14ac:dyDescent="0.25">
      <c r="A86" s="49" t="s">
        <v>242</v>
      </c>
      <c r="B86" s="49" t="s">
        <v>264</v>
      </c>
      <c r="C86" s="49" t="s">
        <v>265</v>
      </c>
      <c r="D86" s="49" t="s">
        <v>248</v>
      </c>
      <c r="E86" s="4" t="str">
        <f>_xll.BDP(AI86,"ds520")</f>
        <v>#N/A Connection</v>
      </c>
      <c r="F86" s="4" t="str">
        <f>_xll.BDP(AI86,"crncy")</f>
        <v>#N/A Connection</v>
      </c>
      <c r="G86" s="5" t="s">
        <v>215</v>
      </c>
      <c r="H86" s="4" t="str">
        <f>IF(_xll.BDP(AI86,"RTG_MOODY")="#N/A N/A","N/A",_xll.BDP(AI86,"RTG_MOODY"))&amp;","&amp;IF(_xll.BDP(AI86,"RTG_FITCH")="#N/A N/A","N/A",_xll.BDP(AI86,"RTG_FITCH"))&amp;","&amp;IF(_xll.BDP(AI86,"RTG_SP")="#N/A N/A","N/A",_xll.BDP(AI86,"RTG_SP"))</f>
        <v>#N/A Connection,#N/A Connection,#N/A Connection</v>
      </c>
      <c r="I86" s="7" t="e">
        <f>_xll.BDP(AI86,"cpn")/100</f>
        <v>#VALUE!</v>
      </c>
      <c r="J86" s="7" t="e">
        <f ca="1">_xll.BDP($G86&amp;" isin","YAS_BOND_YLD", "YAS_YLD_FLAG=15", "user_local_trade_date",AN86,"Yas_bond_px",$Q86)/100</f>
        <v>#VALUE!</v>
      </c>
      <c r="K86" s="4" t="str">
        <f>_xll.BDP(AI86,"PAYMENT_RANK")</f>
        <v>#N/A Connection</v>
      </c>
      <c r="L86" s="4" t="str">
        <f>IF((TEXT(_xll.BDP(AI86,"MATURITY"),"DD/MM/YYYY")="#N/A Field Not Applicable"),"Perp",TEXT(_xll.BDP(AI86,"MATURITY"),"DD/MM/YYYY"))</f>
        <v>#N/A Connection</v>
      </c>
      <c r="M86" s="8" t="str">
        <f>(IF(_xll.BDP($AI86&amp;" ISIN","DU003")="#n/a n/a"," ",_xll.BDP($AI86&amp;" ISIN","DU003")))</f>
        <v>#N/A Connection</v>
      </c>
      <c r="N86" s="4" t="str">
        <f>IF(_xll.BDP(AI86,"CALLABLE")="Y",_xll.BDP(AI86,"NXT_CALL_DT")," ")</f>
        <v xml:space="preserve"> </v>
      </c>
      <c r="O86" s="9">
        <v>200000</v>
      </c>
      <c r="P86" s="5">
        <v>100.462</v>
      </c>
      <c r="Q86" s="10" t="str">
        <f>_xll.BDP(AI86,"px_bid")</f>
        <v>#N/A Connection</v>
      </c>
      <c r="R86" s="11" t="e">
        <f>IF(F86="USD",AG86,(((_xll.BDP(F86&amp;"USD CURNCY","PX_LAST")))*AG86))</f>
        <v>#VALUE!</v>
      </c>
      <c r="S86" s="11" t="e">
        <f>IF(F86="USD",AH86,(((_xll.BDP(F86&amp;"USD CURNCY","PX_LAST")))*AH86))+AP86</f>
        <v>#VALUE!</v>
      </c>
      <c r="T86" s="12" t="e">
        <f t="shared" si="34"/>
        <v>#VALUE!</v>
      </c>
      <c r="U86" s="13" t="e">
        <f t="shared" si="35"/>
        <v>#VALUE!</v>
      </c>
      <c r="V86" s="13" t="str" cm="1">
        <f t="array" ref="V86">IFERROR(_xll.BDP($G86&amp;" ISIN","CHG_PCT_1D")/100,"")</f>
        <v/>
      </c>
      <c r="W86" s="13" t="str" cm="1">
        <f t="array" ref="W86">IFERROR(_xll.BDP($G86&amp;" ISIN","CHG_PCT_5D")/100,"")</f>
        <v/>
      </c>
      <c r="X86" s="13" t="e" cm="1">
        <f t="array" ref="X86">_xll.BDP($G86&amp;" ISIN","CHG_PCT_1M")/100</f>
        <v>#VALUE!</v>
      </c>
      <c r="Y86" s="13" t="e" cm="1">
        <f t="array" ref="Y86">_xll.BDP($G86&amp;" ISIN","CHG_PCT_3M")/100</f>
        <v>#VALUE!</v>
      </c>
      <c r="Z86" s="13" t="e" cm="1">
        <f t="array" ref="Z86">_xll.BDP($G86&amp;" ISIN","CHG_PCT_6M")/100</f>
        <v>#VALUE!</v>
      </c>
      <c r="AA86" s="13" t="e" cm="1">
        <f t="array" ref="AA86">_xll.BDP($G86&amp;" ISIN","CHG_PCT_YTD")/100</f>
        <v>#VALUE!</v>
      </c>
      <c r="AB86" s="13" t="e">
        <f t="shared" si="42"/>
        <v>#VALUE!</v>
      </c>
      <c r="AC86" s="14" t="e">
        <f t="shared" ca="1" si="36"/>
        <v>#VALUE!</v>
      </c>
      <c r="AD86" s="4" t="str">
        <f>_xll.BDP(AI86,"DS199")</f>
        <v>#N/A Connection</v>
      </c>
      <c r="AE86" s="10" t="str">
        <f>_xll.BDP(AI86,"px_ask")</f>
        <v>#N/A Connection</v>
      </c>
      <c r="AF86" s="14" t="e">
        <f>IF(F86="USD",O86,(((_xll.BDP(F86&amp;"USD CURNCY","PX_LAST")))*O86))</f>
        <v>#VALUE!</v>
      </c>
      <c r="AG86" s="11">
        <f t="shared" si="37"/>
        <v>200924</v>
      </c>
      <c r="AH86" s="11" t="e">
        <f t="shared" si="38"/>
        <v>#VALUE!</v>
      </c>
      <c r="AI86" s="4" t="str">
        <f t="shared" si="39"/>
        <v>XS2775892065 ISIN</v>
      </c>
      <c r="AJ86" s="4" t="e" cm="1">
        <f t="array" ref="AJ86">VLOOKUP(IF(NOT(_xll.BDP($G86&amp;" CORP",$CA$5)="#N/A N/A"),(_xll.BDP($G86&amp;" CORP",$CA$5)),"-"), '[1]Country Codes'!$A$2:$B$253,2,0)</f>
        <v>#N/A</v>
      </c>
      <c r="AK86" s="4" t="str" cm="1">
        <f t="array" ref="AK86">IF(OR(_xll.BDP($AI86,"EX028")= "#N/A N/A", _xll.BDP($AI86,"EX028")="#N/A FIELD NOT APPLICABLE"), " ", _xll.BDP($AI86,"EX028"))</f>
        <v>#N/A Connection</v>
      </c>
      <c r="AL86" s="15" t="str">
        <f>(IF(_xll.BDP($AI86&amp;" ISIN","DZ282")="Y","Single line Bonds Cocos","Single line Bonds ex Cocos"))</f>
        <v>Single line Bonds ex Cocos</v>
      </c>
      <c r="AM86" s="8" t="str">
        <f>(IF(_xll.BDP($G86&amp;" ISIN","SP153")="#n/a n/a"," ",_xll.BDP($G86&amp;" ISIN","SP153")))</f>
        <v>#N/A Connection</v>
      </c>
      <c r="AN86" s="16">
        <f t="shared" ca="1" si="40"/>
        <v>45783</v>
      </c>
      <c r="AO86" s="11" t="e">
        <f>(((_xll.BDP(AI86,"DS032"))/360)*I86)*O86</f>
        <v>#VALUE!</v>
      </c>
      <c r="AP86" s="11" t="e">
        <f>IF(F86="USD",AO86,(((_xll.BDP(F86&amp;"USD CURNCY","PX_LAST")))*AO86))</f>
        <v>#VALUE!</v>
      </c>
      <c r="AQ86" s="13" t="e">
        <f>S86/#REF!</f>
        <v>#VALUE!</v>
      </c>
      <c r="AR86" s="11" t="e">
        <f t="shared" si="41"/>
        <v>#VALUE!</v>
      </c>
      <c r="AS86" s="10" t="str">
        <f>IF((TEXT(_xll.BDP(AI86,"MATURITY"),"DD/MM/YYYY")="#N/A Field Not Applicable"),"Perp",_xll.BDP(AI86,"DS252"))</f>
        <v>#N/A Connection</v>
      </c>
      <c r="AT86" s="15" t="str">
        <f>(IF(_xll.BDP($AI86&amp;" ISIN","DT247")="Y","Yes","No"))</f>
        <v>No</v>
      </c>
      <c r="AU86" s="15" t="str">
        <f>PROPER(IF(OR(_xll.BDP($AI86,"CPN_TYP")="#n/a N/A",_xll.BDP($AI86,"CPN_TYP")= "#N/A FIELD NOT APPLICABLE"), " ", _xll.BDP($AI86,"CPN_TYP")))</f>
        <v>#N/A Connection</v>
      </c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17" t="str">
        <f t="shared" si="33"/>
        <v>XS2775892065</v>
      </c>
      <c r="BH86" s="17">
        <f>VLOOKUP(BG86,'[2]Portefeuille 4380430'!$B$3:$G$38,6,0)</f>
        <v>0.73609999999999998</v>
      </c>
      <c r="BI86" s="18">
        <v>4</v>
      </c>
      <c r="BJ86" s="19">
        <v>45462</v>
      </c>
      <c r="BK86" s="20"/>
      <c r="BL86" s="21"/>
    </row>
    <row r="87" spans="1:64" s="21" customFormat="1" ht="14.45" customHeight="1" x14ac:dyDescent="0.25">
      <c r="A87" s="49" t="s">
        <v>242</v>
      </c>
      <c r="B87" s="49" t="s">
        <v>264</v>
      </c>
      <c r="C87" s="49" t="s">
        <v>265</v>
      </c>
      <c r="D87" s="49" t="s">
        <v>248</v>
      </c>
      <c r="E87" s="4" t="str">
        <f>_xll.BDP(AI87,"ds520")</f>
        <v>#N/A Connection</v>
      </c>
      <c r="F87" s="4" t="str">
        <f>_xll.BDP(AI87,"crncy")</f>
        <v>#N/A Connection</v>
      </c>
      <c r="G87" s="5" t="s">
        <v>217</v>
      </c>
      <c r="H87" s="4" t="str">
        <f>IF(_xll.BDP(AI87,"RTG_MOODY")="#N/A N/A","N/A",_xll.BDP(AI87,"RTG_MOODY"))&amp;","&amp;IF(_xll.BDP(AI87,"RTG_FITCH")="#N/A N/A","N/A",_xll.BDP(AI87,"RTG_FITCH"))&amp;","&amp;IF(_xll.BDP(AI87,"RTG_SP")="#N/A N/A","N/A",_xll.BDP(AI87,"RTG_SP"))</f>
        <v>#N/A Connection,#N/A Connection,#N/A Connection</v>
      </c>
      <c r="I87" s="7" t="e">
        <f>_xll.BDP(AI87,"cpn")/100</f>
        <v>#VALUE!</v>
      </c>
      <c r="J87" s="7" t="e">
        <f ca="1">_xll.BDP($G87&amp;" isin","YAS_BOND_YLD", "YAS_YLD_FLAG=15", "user_local_trade_date",AN87,"Yas_bond_px",$Q87)/100</f>
        <v>#VALUE!</v>
      </c>
      <c r="K87" s="4" t="str">
        <f>_xll.BDP(AI87,"PAYMENT_RANK")</f>
        <v>#N/A Connection</v>
      </c>
      <c r="L87" s="4" t="str">
        <f>IF((TEXT(_xll.BDP(AI87,"MATURITY"),"DD/MM/YYYY")="#N/A Field Not Applicable"),"Perp",TEXT(_xll.BDP(AI87,"MATURITY"),"DD/MM/YYYY"))</f>
        <v>#N/A Connection</v>
      </c>
      <c r="M87" s="8" t="str">
        <f>(IF(_xll.BDP($AI87&amp;" ISIN","DU003")="#n/a n/a"," ",_xll.BDP($AI87&amp;" ISIN","DU003")))</f>
        <v>#N/A Connection</v>
      </c>
      <c r="N87" s="4" t="str">
        <f>IF(_xll.BDP(AI87,"CALLABLE")="Y",_xll.BDP(AI87,"NXT_CALL_DT")," ")</f>
        <v xml:space="preserve"> </v>
      </c>
      <c r="O87" s="9">
        <v>200000</v>
      </c>
      <c r="P87" s="5">
        <v>100.11799999999999</v>
      </c>
      <c r="Q87" s="10" t="str">
        <f>_xll.BDP(AI87,"px_bid")</f>
        <v>#N/A Connection</v>
      </c>
      <c r="R87" s="11" t="e">
        <f>IF(F87="USD",AG87,(((_xll.BDP(F87&amp;"USD CURNCY","PX_LAST")))*AG87))</f>
        <v>#VALUE!</v>
      </c>
      <c r="S87" s="11" t="e">
        <f>IF(F87="USD",AH87,(((_xll.BDP(F87&amp;"USD CURNCY","PX_LAST")))*AH87))+AP87</f>
        <v>#VALUE!</v>
      </c>
      <c r="T87" s="12" t="e">
        <f t="shared" si="34"/>
        <v>#VALUE!</v>
      </c>
      <c r="U87" s="13" t="e">
        <f t="shared" si="35"/>
        <v>#VALUE!</v>
      </c>
      <c r="V87" s="13" t="str" cm="1">
        <f t="array" ref="V87">IFERROR(_xll.BDP($G87&amp;" ISIN","CHG_PCT_1D")/100,"")</f>
        <v/>
      </c>
      <c r="W87" s="13" t="str" cm="1">
        <f t="array" ref="W87">IFERROR(_xll.BDP($G87&amp;" ISIN","CHG_PCT_5D")/100,"")</f>
        <v/>
      </c>
      <c r="X87" s="13" t="e" cm="1">
        <f t="array" ref="X87">_xll.BDP($G87&amp;" ISIN","CHG_PCT_1M")/100</f>
        <v>#VALUE!</v>
      </c>
      <c r="Y87" s="13" t="e" cm="1">
        <f t="array" ref="Y87">_xll.BDP($G87&amp;" ISIN","CHG_PCT_3M")/100</f>
        <v>#VALUE!</v>
      </c>
      <c r="Z87" s="13" t="e" cm="1">
        <f t="array" ref="Z87">_xll.BDP($G87&amp;" ISIN","CHG_PCT_6M")/100</f>
        <v>#VALUE!</v>
      </c>
      <c r="AA87" s="13" t="e" cm="1">
        <f t="array" ref="AA87">_xll.BDP($G87&amp;" ISIN","CHG_PCT_YTD")/100</f>
        <v>#VALUE!</v>
      </c>
      <c r="AB87" s="13" t="e">
        <f t="shared" si="42"/>
        <v>#VALUE!</v>
      </c>
      <c r="AC87" s="14" t="e">
        <f t="shared" ca="1" si="36"/>
        <v>#VALUE!</v>
      </c>
      <c r="AD87" s="4" t="str">
        <f>_xll.BDP(AI87,"DS199")</f>
        <v>#N/A Connection</v>
      </c>
      <c r="AE87" s="10" t="str">
        <f>_xll.BDP(AI87,"px_ask")</f>
        <v>#N/A Connection</v>
      </c>
      <c r="AF87" s="14" t="e">
        <f>IF(F87="USD",O87,(((_xll.BDP(F87&amp;"USD CURNCY","PX_LAST")))*O87))</f>
        <v>#VALUE!</v>
      </c>
      <c r="AG87" s="11">
        <f t="shared" si="37"/>
        <v>200236</v>
      </c>
      <c r="AH87" s="11" t="e">
        <f t="shared" si="38"/>
        <v>#VALUE!</v>
      </c>
      <c r="AI87" s="4" t="str">
        <f t="shared" si="39"/>
        <v>USY775M1CJ07 ISIN</v>
      </c>
      <c r="AJ87" s="4" t="e" cm="1">
        <f t="array" ref="AJ87">VLOOKUP(IF(NOT(_xll.BDP($G87&amp;" CORP",$CA$5)="#N/A N/A"),(_xll.BDP($G87&amp;" CORP",$CA$5)),"-"), '[1]Country Codes'!$A$2:$B$253,2,0)</f>
        <v>#N/A</v>
      </c>
      <c r="AK87" s="4" t="str" cm="1">
        <f t="array" ref="AK87">IF(OR(_xll.BDP($AI87,"EX028")= "#N/A N/A", _xll.BDP($AI87,"EX028")="#N/A FIELD NOT APPLICABLE"), " ", _xll.BDP($AI87,"EX028"))</f>
        <v>#N/A Connection</v>
      </c>
      <c r="AL87" s="15" t="str">
        <f>(IF(_xll.BDP($AI87&amp;" ISIN","DZ282")="Y","Single line Bonds Cocos","Single line Bonds ex Cocos"))</f>
        <v>Single line Bonds ex Cocos</v>
      </c>
      <c r="AM87" s="8" t="str">
        <f>(IF(_xll.BDP($G87&amp;" ISIN","SP153")="#n/a n/a"," ",_xll.BDP($G87&amp;" ISIN","SP153")))</f>
        <v>#N/A Connection</v>
      </c>
      <c r="AN87" s="16">
        <f t="shared" ca="1" si="40"/>
        <v>45783</v>
      </c>
      <c r="AO87" s="11" t="e">
        <f>(((_xll.BDP(AI87,"DS032"))/360)*I87)*O87</f>
        <v>#VALUE!</v>
      </c>
      <c r="AP87" s="11" t="e">
        <f>IF(F87="USD",AO87,(((_xll.BDP(F87&amp;"USD CURNCY","PX_LAST")))*AO87))</f>
        <v>#VALUE!</v>
      </c>
      <c r="AQ87" s="13" t="e">
        <f>S87/#REF!</f>
        <v>#VALUE!</v>
      </c>
      <c r="AR87" s="11" t="e">
        <f t="shared" si="41"/>
        <v>#VALUE!</v>
      </c>
      <c r="AS87" s="10" t="str">
        <f>IF((TEXT(_xll.BDP(AI87,"MATURITY"),"DD/MM/YYYY")="#N/A Field Not Applicable"),"Perp",_xll.BDP(AI87,"DS252"))</f>
        <v>#N/A Connection</v>
      </c>
      <c r="AT87" s="15" t="str">
        <f>(IF(_xll.BDP($AI87&amp;" ISIN","DT247")="Y","Yes","No"))</f>
        <v>No</v>
      </c>
      <c r="AU87" s="15" t="str">
        <f>PROPER(IF(OR(_xll.BDP($AI87,"CPN_TYP")="#n/a N/A",_xll.BDP($AI87,"CPN_TYP")= "#N/A FIELD NOT APPLICABLE"), " ", _xll.BDP($AI87,"CPN_TYP")))</f>
        <v>#N/A Connection</v>
      </c>
      <c r="BG87" s="17" t="str">
        <f t="shared" si="33"/>
        <v>USY775M1CJ07</v>
      </c>
      <c r="BH87" s="17">
        <f>VLOOKUP(BG87,'[2]Portefeuille 4380430'!$B$3:$G$38,6,0)</f>
        <v>0.82530000000000003</v>
      </c>
      <c r="BI87" s="18">
        <v>3</v>
      </c>
      <c r="BJ87" s="19">
        <v>45560</v>
      </c>
      <c r="BK87" s="20"/>
    </row>
    <row r="88" spans="1:64" s="21" customFormat="1" ht="14.45" customHeight="1" x14ac:dyDescent="0.25">
      <c r="A88" s="49" t="s">
        <v>242</v>
      </c>
      <c r="B88" s="49" t="s">
        <v>264</v>
      </c>
      <c r="C88" s="49" t="s">
        <v>265</v>
      </c>
      <c r="D88" s="49" t="s">
        <v>248</v>
      </c>
      <c r="E88" s="4" t="str">
        <f>_xll.BDP(AI88,"ds520")</f>
        <v>#N/A Connection</v>
      </c>
      <c r="F88" s="4" t="str">
        <f>_xll.BDP(AI88,"crncy")</f>
        <v>#N/A Connection</v>
      </c>
      <c r="G88" s="5" t="s">
        <v>214</v>
      </c>
      <c r="H88" s="4" t="str">
        <f>IF(_xll.BDP(AI88,"RTG_MOODY")="#N/A N/A","N/A",_xll.BDP(AI88,"RTG_MOODY"))&amp;","&amp;IF(_xll.BDP(AI88,"RTG_FITCH")="#N/A N/A","N/A",_xll.BDP(AI88,"RTG_FITCH"))&amp;","&amp;IF(_xll.BDP(AI88,"RTG_SP")="#N/A N/A","N/A",_xll.BDP(AI88,"RTG_SP"))</f>
        <v>#N/A Connection,#N/A Connection,#N/A Connection</v>
      </c>
      <c r="I88" s="7" t="e">
        <f>_xll.BDP(AI88,"cpn")/100</f>
        <v>#VALUE!</v>
      </c>
      <c r="J88" s="7" t="e">
        <f ca="1">_xll.BDP($G88&amp;" isin","YAS_BOND_YLD", "YAS_YLD_FLAG=15", "user_local_trade_date",AN88,"Yas_bond_px",$Q88)/100</f>
        <v>#VALUE!</v>
      </c>
      <c r="K88" s="4" t="str">
        <f>_xll.BDP(AI88,"PAYMENT_RANK")</f>
        <v>#N/A Connection</v>
      </c>
      <c r="L88" s="4" t="str">
        <f>IF((TEXT(_xll.BDP(AI88,"MATURITY"),"DD/MM/YYYY")="#N/A Field Not Applicable"),"Perp",TEXT(_xll.BDP(AI88,"MATURITY"),"DD/MM/YYYY"))</f>
        <v>#N/A Connection</v>
      </c>
      <c r="M88" s="8" t="str">
        <f>(IF(_xll.BDP($AI88&amp;" ISIN","DU003")="#n/a n/a"," ",_xll.BDP($AI88&amp;" ISIN","DU003")))</f>
        <v>#N/A Connection</v>
      </c>
      <c r="N88" s="4" t="str">
        <f>IF(_xll.BDP(AI88,"CALLABLE")="Y",_xll.BDP(AI88,"NXT_CALL_DT")," ")</f>
        <v xml:space="preserve"> </v>
      </c>
      <c r="O88" s="9">
        <v>200000</v>
      </c>
      <c r="P88" s="5">
        <v>99.998999999999995</v>
      </c>
      <c r="Q88" s="10" t="str">
        <f>_xll.BDP(AI88,"px_bid")</f>
        <v>#N/A Connection</v>
      </c>
      <c r="R88" s="11" t="e">
        <f>IF(F88="USD",AG88,(((_xll.BDP(F88&amp;"USD CURNCY","PX_LAST")))*AG88))</f>
        <v>#VALUE!</v>
      </c>
      <c r="S88" s="11" t="e">
        <f>IF(F88="USD",AH88,(((_xll.BDP(F88&amp;"USD CURNCY","PX_LAST")))*AH88))+AP88</f>
        <v>#VALUE!</v>
      </c>
      <c r="T88" s="12" t="e">
        <f t="shared" si="34"/>
        <v>#VALUE!</v>
      </c>
      <c r="U88" s="13" t="e">
        <f t="shared" si="35"/>
        <v>#VALUE!</v>
      </c>
      <c r="V88" s="13" t="str" cm="1">
        <f t="array" ref="V88">IFERROR(_xll.BDP($G88&amp;" ISIN","CHG_PCT_1D")/100,"")</f>
        <v/>
      </c>
      <c r="W88" s="13" t="str" cm="1">
        <f t="array" ref="W88">IFERROR(_xll.BDP($G88&amp;" ISIN","CHG_PCT_5D")/100,"")</f>
        <v/>
      </c>
      <c r="X88" s="13" t="e" cm="1">
        <f t="array" ref="X88">_xll.BDP($G88&amp;" ISIN","CHG_PCT_1M")/100</f>
        <v>#VALUE!</v>
      </c>
      <c r="Y88" s="13" t="e" cm="1">
        <f t="array" ref="Y88">_xll.BDP($G88&amp;" ISIN","CHG_PCT_3M")/100</f>
        <v>#VALUE!</v>
      </c>
      <c r="Z88" s="13" t="e" cm="1">
        <f t="array" ref="Z88">_xll.BDP($G88&amp;" ISIN","CHG_PCT_6M")/100</f>
        <v>#VALUE!</v>
      </c>
      <c r="AA88" s="13" t="e" cm="1">
        <f t="array" ref="AA88">_xll.BDP($G88&amp;" ISIN","CHG_PCT_YTD")/100</f>
        <v>#VALUE!</v>
      </c>
      <c r="AB88" s="13" t="e">
        <f t="shared" si="42"/>
        <v>#VALUE!</v>
      </c>
      <c r="AC88" s="14" t="e">
        <f t="shared" ca="1" si="36"/>
        <v>#VALUE!</v>
      </c>
      <c r="AD88" s="4" t="str">
        <f>_xll.BDP(AI88,"DS199")</f>
        <v>#N/A Connection</v>
      </c>
      <c r="AE88" s="10" t="str">
        <f>_xll.BDP(AI88,"px_ask")</f>
        <v>#N/A Connection</v>
      </c>
      <c r="AF88" s="14" t="e">
        <f>IF(F88="USD",O88,(((_xll.BDP(F88&amp;"USD CURNCY","PX_LAST")))*O88))</f>
        <v>#VALUE!</v>
      </c>
      <c r="AG88" s="11">
        <f t="shared" si="37"/>
        <v>199998</v>
      </c>
      <c r="AH88" s="11" t="e">
        <f t="shared" si="38"/>
        <v>#VALUE!</v>
      </c>
      <c r="AI88" s="4" t="str">
        <f t="shared" si="39"/>
        <v>XS2586873379 ISIN</v>
      </c>
      <c r="AJ88" s="4" t="e" cm="1">
        <f t="array" ref="AJ88">VLOOKUP(IF(NOT(_xll.BDP($G88&amp;" CORP",$CA$5)="#N/A N/A"),(_xll.BDP($G88&amp;" CORP",$CA$5)),"-"), '[1]Country Codes'!$A$2:$B$253,2,0)</f>
        <v>#N/A</v>
      </c>
      <c r="AK88" s="4" t="str" cm="1">
        <f t="array" ref="AK88">IF(OR(_xll.BDP($AI88,"EX028")= "#N/A N/A", _xll.BDP($AI88,"EX028")="#N/A FIELD NOT APPLICABLE"), " ", _xll.BDP($AI88,"EX028"))</f>
        <v>#N/A Connection</v>
      </c>
      <c r="AL88" s="15" t="str">
        <f>(IF(_xll.BDP($AI88&amp;" ISIN","DZ282")="Y","Single line Bonds Cocos","Single line Bonds ex Cocos"))</f>
        <v>Single line Bonds ex Cocos</v>
      </c>
      <c r="AM88" s="8" t="str">
        <f>(IF(_xll.BDP($G88&amp;" ISIN","SP153")="#n/a n/a"," ",_xll.BDP($G88&amp;" ISIN","SP153")))</f>
        <v>#N/A Connection</v>
      </c>
      <c r="AN88" s="16">
        <f t="shared" ca="1" si="40"/>
        <v>45783</v>
      </c>
      <c r="AO88" s="11" t="e">
        <f>(((_xll.BDP(AI88,"DS032"))/360)*I88)*O88</f>
        <v>#VALUE!</v>
      </c>
      <c r="AP88" s="11" t="e">
        <f>IF(F88="USD",AO88,(((_xll.BDP(F88&amp;"USD CURNCY","PX_LAST")))*AO88))</f>
        <v>#VALUE!</v>
      </c>
      <c r="AQ88" s="13" t="e">
        <f>S88/#REF!</f>
        <v>#VALUE!</v>
      </c>
      <c r="AR88" s="11" t="e">
        <f t="shared" si="41"/>
        <v>#VALUE!</v>
      </c>
      <c r="AS88" s="10" t="str">
        <f>IF((TEXT(_xll.BDP(AI88,"MATURITY"),"DD/MM/YYYY")="#N/A Field Not Applicable"),"Perp",_xll.BDP(AI88,"DS252"))</f>
        <v>#N/A Connection</v>
      </c>
      <c r="AT88" s="15" t="str">
        <f>(IF(_xll.BDP($AI88&amp;" ISIN","DT247")="Y","Yes","No"))</f>
        <v>No</v>
      </c>
      <c r="AU88" s="15" t="str">
        <f>PROPER(IF(OR(_xll.BDP($AI88,"CPN_TYP")="#n/a N/A",_xll.BDP($AI88,"CPN_TYP")= "#N/A FIELD NOT APPLICABLE"), " ", _xll.BDP($AI88,"CPN_TYP")))</f>
        <v>#N/A Connection</v>
      </c>
      <c r="BG88" s="17" t="str">
        <f t="shared" si="33"/>
        <v>XS2586873379</v>
      </c>
      <c r="BH88" s="17">
        <f>VLOOKUP(BG88,'[2]Portefeuille 4380430'!$B$3:$G$38,6,0)</f>
        <v>0.51790000000000003</v>
      </c>
      <c r="BI88" s="18" t="s">
        <v>147</v>
      </c>
      <c r="BJ88" s="19">
        <v>44990</v>
      </c>
      <c r="BK88" s="20"/>
    </row>
    <row r="89" spans="1:64" s="21" customFormat="1" ht="14.45" customHeight="1" x14ac:dyDescent="0.25">
      <c r="A89" s="49" t="s">
        <v>242</v>
      </c>
      <c r="B89" s="49" t="s">
        <v>264</v>
      </c>
      <c r="C89" s="49" t="s">
        <v>265</v>
      </c>
      <c r="D89" s="49" t="s">
        <v>248</v>
      </c>
      <c r="E89" s="4" t="str">
        <f>_xll.BDP(AI89,"ds520")</f>
        <v>#N/A Connection</v>
      </c>
      <c r="F89" s="4" t="str">
        <f>_xll.BDP(AI89,"crncy")</f>
        <v>#N/A Connection</v>
      </c>
      <c r="G89" s="5" t="s">
        <v>151</v>
      </c>
      <c r="H89" s="4" t="str">
        <f>IF(_xll.BDP(AI89,"RTG_MOODY")="#N/A N/A","N/A",_xll.BDP(AI89,"RTG_MOODY"))&amp;","&amp;IF(_xll.BDP(AI89,"RTG_FITCH")="#N/A N/A","N/A",_xll.BDP(AI89,"RTG_FITCH"))&amp;","&amp;IF(_xll.BDP(AI89,"RTG_SP")="#N/A N/A","N/A",_xll.BDP(AI89,"RTG_SP"))</f>
        <v>#N/A Connection,#N/A Connection,#N/A Connection</v>
      </c>
      <c r="I89" s="7" t="e">
        <f>_xll.BDP(AI89,"cpn")/100</f>
        <v>#VALUE!</v>
      </c>
      <c r="J89" s="7" t="e">
        <f ca="1">_xll.BDP($G89&amp;" isin","YAS_BOND_YLD", "YAS_YLD_FLAG=15", "user_local_trade_date",AN89,"Yas_bond_px",$Q89)/100</f>
        <v>#VALUE!</v>
      </c>
      <c r="K89" s="4" t="str">
        <f>_xll.BDP(AI89,"PAYMENT_RANK")</f>
        <v>#N/A Connection</v>
      </c>
      <c r="L89" s="4" t="str">
        <f>IF((TEXT(_xll.BDP(AI89,"MATURITY"),"DD/MM/YYYY")="#N/A Field Not Applicable"),"Perp",TEXT(_xll.BDP(AI89,"MATURITY"),"DD/MM/YYYY"))</f>
        <v>#N/A Connection</v>
      </c>
      <c r="M89" s="8" t="str">
        <f>(IF(_xll.BDP($AI89&amp;" ISIN","DU003")="#n/a n/a"," ",_xll.BDP($AI89&amp;" ISIN","DU003")))</f>
        <v>#N/A Connection</v>
      </c>
      <c r="N89" s="4" t="str">
        <f>IF(_xll.BDP(AI89,"CALLABLE")="Y",_xll.BDP(AI89,"NXT_CALL_DT")," ")</f>
        <v xml:space="preserve"> </v>
      </c>
      <c r="O89" s="9">
        <v>200000</v>
      </c>
      <c r="P89" s="5">
        <v>100.08799999999999</v>
      </c>
      <c r="Q89" s="10" t="str">
        <f>_xll.BDP(AI89,"px_bid")</f>
        <v>#N/A Connection</v>
      </c>
      <c r="R89" s="11" t="e">
        <f>IF(F89="USD",AG89,(((_xll.BDP(F89&amp;"USD CURNCY","PX_LAST")))*AG89))</f>
        <v>#VALUE!</v>
      </c>
      <c r="S89" s="11" t="e">
        <f>IF(F89="USD",AH89,(((_xll.BDP(F89&amp;"USD CURNCY","PX_LAST")))*AH89))+AP89</f>
        <v>#VALUE!</v>
      </c>
      <c r="T89" s="12" t="e">
        <f t="shared" si="34"/>
        <v>#VALUE!</v>
      </c>
      <c r="U89" s="13" t="e">
        <f t="shared" si="35"/>
        <v>#VALUE!</v>
      </c>
      <c r="V89" s="13" t="str" cm="1">
        <f t="array" ref="V89">IFERROR(_xll.BDP($G89&amp;" ISIN","CHG_PCT_1D")/100,"")</f>
        <v/>
      </c>
      <c r="W89" s="13" t="str" cm="1">
        <f t="array" ref="W89">IFERROR(_xll.BDP($G89&amp;" ISIN","CHG_PCT_5D")/100,"")</f>
        <v/>
      </c>
      <c r="X89" s="13" t="e" cm="1">
        <f t="array" ref="X89">_xll.BDP($G89&amp;" ISIN","CHG_PCT_1M")/100</f>
        <v>#VALUE!</v>
      </c>
      <c r="Y89" s="13" t="e" cm="1">
        <f t="array" ref="Y89">_xll.BDP($G89&amp;" ISIN","CHG_PCT_3M")/100</f>
        <v>#VALUE!</v>
      </c>
      <c r="Z89" s="13" t="e" cm="1">
        <f t="array" ref="Z89">_xll.BDP($G89&amp;" ISIN","CHG_PCT_6M")/100</f>
        <v>#VALUE!</v>
      </c>
      <c r="AA89" s="13" t="e" cm="1">
        <f t="array" ref="AA89">_xll.BDP($G89&amp;" ISIN","CHG_PCT_YTD")/100</f>
        <v>#VALUE!</v>
      </c>
      <c r="AB89" s="13" t="e">
        <f t="shared" si="42"/>
        <v>#VALUE!</v>
      </c>
      <c r="AC89" s="14" t="e">
        <f t="shared" ca="1" si="36"/>
        <v>#VALUE!</v>
      </c>
      <c r="AD89" s="4" t="str">
        <f>_xll.BDP(AI89,"DS199")</f>
        <v>#N/A Connection</v>
      </c>
      <c r="AE89" s="10" t="str">
        <f>_xll.BDP(AI89,"px_ask")</f>
        <v>#N/A Connection</v>
      </c>
      <c r="AF89" s="14" t="e">
        <f>IF(F89="USD",O89,(((_xll.BDP(F89&amp;"USD CURNCY","PX_LAST")))*O89))</f>
        <v>#VALUE!</v>
      </c>
      <c r="AG89" s="11">
        <f t="shared" si="37"/>
        <v>200176</v>
      </c>
      <c r="AH89" s="11" t="e">
        <f t="shared" si="38"/>
        <v>#VALUE!</v>
      </c>
      <c r="AI89" s="4" t="str">
        <f t="shared" si="39"/>
        <v>XS2451768720 ISIN</v>
      </c>
      <c r="AJ89" s="4" t="e" cm="1">
        <f t="array" ref="AJ89">VLOOKUP(IF(NOT(_xll.BDP($G89&amp;" CORP",$CA$5)="#N/A N/A"),(_xll.BDP($G89&amp;" CORP",$CA$5)),"-"), '[1]Country Codes'!$A$2:$B$253,2,0)</f>
        <v>#N/A</v>
      </c>
      <c r="AK89" s="4" t="str" cm="1">
        <f t="array" ref="AK89">IF(OR(_xll.BDP($AI89,"EX028")= "#N/A N/A", _xll.BDP($AI89,"EX028")="#N/A FIELD NOT APPLICABLE"), " ", _xll.BDP($AI89,"EX028"))</f>
        <v>#N/A Connection</v>
      </c>
      <c r="AL89" s="15" t="str">
        <f>(IF(_xll.BDP($AI89&amp;" ISIN","DZ282")="Y","Single line Bonds Cocos","Single line Bonds ex Cocos"))</f>
        <v>Single line Bonds ex Cocos</v>
      </c>
      <c r="AM89" s="8" t="str">
        <f>(IF(_xll.BDP($G89&amp;" ISIN","SP153")="#n/a n/a"," ",_xll.BDP($G89&amp;" ISIN","SP153")))</f>
        <v>#N/A Connection</v>
      </c>
      <c r="AN89" s="16">
        <f t="shared" ca="1" si="40"/>
        <v>45783</v>
      </c>
      <c r="AO89" s="11" t="e">
        <f>(((_xll.BDP(AI89,"DS032"))/360)*I89)*O89</f>
        <v>#VALUE!</v>
      </c>
      <c r="AP89" s="11" t="e">
        <f>IF(F89="USD",AO89,(((_xll.BDP(F89&amp;"USD CURNCY","PX_LAST")))*AO89))</f>
        <v>#VALUE!</v>
      </c>
      <c r="AQ89" s="13" t="e">
        <f>S89/#REF!</f>
        <v>#VALUE!</v>
      </c>
      <c r="AR89" s="11" t="e">
        <f t="shared" si="41"/>
        <v>#VALUE!</v>
      </c>
      <c r="AS89" s="10" t="str">
        <f>IF((TEXT(_xll.BDP(AI89,"MATURITY"),"DD/MM/YYYY")="#N/A Field Not Applicable"),"Perp",_xll.BDP(AI89,"DS252"))</f>
        <v>#N/A Connection</v>
      </c>
      <c r="AT89" s="15" t="str">
        <f>(IF(_xll.BDP($AI89&amp;" ISIN","DT247")="Y","Yes","No"))</f>
        <v>No</v>
      </c>
      <c r="AU89" s="15" t="str">
        <f>PROPER(IF(OR(_xll.BDP($AI89,"CPN_TYP")="#n/a N/A",_xll.BDP($AI89,"CPN_TYP")= "#N/A FIELD NOT APPLICABLE"), " ", _xll.BDP($AI89,"CPN_TYP")))</f>
        <v>#N/A Connection</v>
      </c>
      <c r="BG89" s="17" t="str">
        <f t="shared" si="33"/>
        <v>XS2451768720</v>
      </c>
      <c r="BH89" s="17">
        <f>VLOOKUP(BG89,'[2]Portefeuille 4380430'!$B$3:$G$38,6,0)</f>
        <v>0.55559999999999998</v>
      </c>
      <c r="BI89" s="18">
        <v>5</v>
      </c>
      <c r="BJ89" s="19">
        <v>44749</v>
      </c>
      <c r="BK89" s="20"/>
    </row>
    <row r="90" spans="1:64" s="21" customFormat="1" ht="14.45" customHeight="1" x14ac:dyDescent="0.25">
      <c r="A90" s="49" t="s">
        <v>242</v>
      </c>
      <c r="B90" s="49" t="s">
        <v>264</v>
      </c>
      <c r="C90" s="49" t="s">
        <v>265</v>
      </c>
      <c r="D90" s="49" t="s">
        <v>248</v>
      </c>
      <c r="E90" s="4" t="str">
        <f>_xll.BDP(AI90,"ds520")</f>
        <v>#N/A Connection</v>
      </c>
      <c r="F90" s="4" t="str">
        <f>_xll.BDP(AI90,"crncy")</f>
        <v>#N/A Connection</v>
      </c>
      <c r="G90" s="5" t="s">
        <v>211</v>
      </c>
      <c r="H90" s="4" t="str">
        <f>IF(_xll.BDP(AI90,"RTG_MOODY")="#N/A N/A","N/A",_xll.BDP(AI90,"RTG_MOODY"))&amp;","&amp;IF(_xll.BDP(AI90,"RTG_FITCH")="#N/A N/A","N/A",_xll.BDP(AI90,"RTG_FITCH"))&amp;","&amp;IF(_xll.BDP(AI90,"RTG_SP")="#N/A N/A","N/A",_xll.BDP(AI90,"RTG_SP"))</f>
        <v>#N/A Connection,#N/A Connection,#N/A Connection</v>
      </c>
      <c r="I90" s="7" t="e">
        <f>_xll.BDP(AI90,"cpn")/100</f>
        <v>#VALUE!</v>
      </c>
      <c r="J90" s="7" t="e">
        <f ca="1">_xll.BDP($G90&amp;" isin","YAS_BOND_YLD", "YAS_YLD_FLAG=15", "user_local_trade_date",AN90,"Yas_bond_px",$Q90)/100</f>
        <v>#VALUE!</v>
      </c>
      <c r="K90" s="4" t="str">
        <f>_xll.BDP(AI90,"PAYMENT_RANK")</f>
        <v>#N/A Connection</v>
      </c>
      <c r="L90" s="4" t="str">
        <f>IF((TEXT(_xll.BDP(AI90,"MATURITY"),"DD/MM/YYYY")="#N/A Field Not Applicable"),"Perp",TEXT(_xll.BDP(AI90,"MATURITY"),"DD/MM/YYYY"))</f>
        <v>#N/A Connection</v>
      </c>
      <c r="M90" s="8" t="str">
        <f>(IF(_xll.BDP($AI90&amp;" ISIN","DU003")="#n/a n/a"," ",_xll.BDP($AI90&amp;" ISIN","DU003")))</f>
        <v>#N/A Connection</v>
      </c>
      <c r="N90" s="4" t="str">
        <f>IF(_xll.BDP(AI90,"CALLABLE")="Y",_xll.BDP(AI90,"NXT_CALL_DT")," ")</f>
        <v xml:space="preserve"> </v>
      </c>
      <c r="O90" s="9">
        <v>200000</v>
      </c>
      <c r="P90" s="5">
        <v>100.90900000000001</v>
      </c>
      <c r="Q90" s="10" t="str">
        <f>_xll.BDP(AI90,"px_bid")</f>
        <v>#N/A Connection</v>
      </c>
      <c r="R90" s="11" t="e">
        <f>IF(F90="USD",AG90,(((_xll.BDP(F90&amp;"USD CURNCY","PX_LAST")))*AG90))</f>
        <v>#VALUE!</v>
      </c>
      <c r="S90" s="11" t="e">
        <f>IF(F90="USD",AH90,(((_xll.BDP(F90&amp;"USD CURNCY","PX_LAST")))*AH90))+AP90</f>
        <v>#VALUE!</v>
      </c>
      <c r="T90" s="12" t="e">
        <f t="shared" si="34"/>
        <v>#VALUE!</v>
      </c>
      <c r="U90" s="13" t="e">
        <f t="shared" si="35"/>
        <v>#VALUE!</v>
      </c>
      <c r="V90" s="13" t="str" cm="1">
        <f t="array" ref="V90">IFERROR(_xll.BDP($G90&amp;" ISIN","CHG_PCT_1D")/100,"")</f>
        <v/>
      </c>
      <c r="W90" s="13" t="str" cm="1">
        <f t="array" ref="W90">IFERROR(_xll.BDP($G90&amp;" ISIN","CHG_PCT_5D")/100,"")</f>
        <v/>
      </c>
      <c r="X90" s="13" t="e" cm="1">
        <f t="array" ref="X90">_xll.BDP($G90&amp;" ISIN","CHG_PCT_1M")/100</f>
        <v>#VALUE!</v>
      </c>
      <c r="Y90" s="13" t="e" cm="1">
        <f t="array" ref="Y90">_xll.BDP($G90&amp;" ISIN","CHG_PCT_3M")/100</f>
        <v>#VALUE!</v>
      </c>
      <c r="Z90" s="13" t="e" cm="1">
        <f t="array" ref="Z90">_xll.BDP($G90&amp;" ISIN","CHG_PCT_6M")/100</f>
        <v>#VALUE!</v>
      </c>
      <c r="AA90" s="13" t="e" cm="1">
        <f t="array" ref="AA90">_xll.BDP($G90&amp;" ISIN","CHG_PCT_YTD")/100</f>
        <v>#VALUE!</v>
      </c>
      <c r="AB90" s="13" t="e">
        <f t="shared" si="42"/>
        <v>#VALUE!</v>
      </c>
      <c r="AC90" s="14" t="e">
        <f t="shared" ca="1" si="36"/>
        <v>#VALUE!</v>
      </c>
      <c r="AD90" s="4" t="str">
        <f>_xll.BDP(AI90,"DS199")</f>
        <v>#N/A Connection</v>
      </c>
      <c r="AE90" s="10" t="str">
        <f>_xll.BDP(AI90,"px_ask")</f>
        <v>#N/A Connection</v>
      </c>
      <c r="AF90" s="14" t="e">
        <f>IF(F90="USD",O90,(((_xll.BDP(F90&amp;"USD CURNCY","PX_LAST")))*O90))</f>
        <v>#VALUE!</v>
      </c>
      <c r="AG90" s="11">
        <f t="shared" si="37"/>
        <v>201818</v>
      </c>
      <c r="AH90" s="11" t="e">
        <f t="shared" si="38"/>
        <v>#VALUE!</v>
      </c>
      <c r="AI90" s="4" t="str">
        <f t="shared" si="39"/>
        <v>FR001400BBL2 ISIN</v>
      </c>
      <c r="AJ90" s="4" t="e" cm="1">
        <f t="array" ref="AJ90">VLOOKUP(IF(NOT(_xll.BDP($G90&amp;" CORP",$CA$5)="#N/A N/A"),(_xll.BDP($G90&amp;" CORP",$CA$5)),"-"), '[1]Country Codes'!$A$2:$B$253,2,0)</f>
        <v>#N/A</v>
      </c>
      <c r="AK90" s="4" t="str" cm="1">
        <f t="array" ref="AK90">IF(OR(_xll.BDP($AI90,"EX028")= "#N/A N/A", _xll.BDP($AI90,"EX028")="#N/A FIELD NOT APPLICABLE"), " ", _xll.BDP($AI90,"EX028"))</f>
        <v>#N/A Connection</v>
      </c>
      <c r="AL90" s="15" t="str">
        <f>(IF(_xll.BDP($AI90&amp;" ISIN","DZ282")="Y","Single line Bonds Cocos","Single line Bonds ex Cocos"))</f>
        <v>Single line Bonds ex Cocos</v>
      </c>
      <c r="AM90" s="8" t="str">
        <f>(IF(_xll.BDP($G90&amp;" ISIN","SP153")="#n/a n/a"," ",_xll.BDP($G90&amp;" ISIN","SP153")))</f>
        <v>#N/A Connection</v>
      </c>
      <c r="AN90" s="16">
        <f t="shared" ca="1" si="40"/>
        <v>45783</v>
      </c>
      <c r="AO90" s="11" t="e">
        <f>(((_xll.BDP(AI90,"DS032"))/360)*I90)*O90</f>
        <v>#VALUE!</v>
      </c>
      <c r="AP90" s="11" t="e">
        <f>IF(F90="USD",AO90,(((_xll.BDP(F90&amp;"USD CURNCY","PX_LAST")))*AO90))</f>
        <v>#VALUE!</v>
      </c>
      <c r="AQ90" s="13" t="e">
        <f>S90/#REF!</f>
        <v>#VALUE!</v>
      </c>
      <c r="AR90" s="11" t="e">
        <f t="shared" si="41"/>
        <v>#VALUE!</v>
      </c>
      <c r="AS90" s="10" t="str">
        <f>IF((TEXT(_xll.BDP(AI90,"MATURITY"),"DD/MM/YYYY")="#N/A Field Not Applicable"),"Perp",_xll.BDP(AI90,"DS252"))</f>
        <v>#N/A Connection</v>
      </c>
      <c r="AT90" s="15" t="str">
        <f>(IF(_xll.BDP($AI90&amp;" ISIN","DT247")="Y","Yes","No"))</f>
        <v>No</v>
      </c>
      <c r="AU90" s="15" t="str">
        <f>PROPER(IF(OR(_xll.BDP($AI90,"CPN_TYP")="#n/a N/A",_xll.BDP($AI90,"CPN_TYP")= "#N/A FIELD NOT APPLICABLE"), " ", _xll.BDP($AI90,"CPN_TYP")))</f>
        <v>#N/A Connection</v>
      </c>
      <c r="BG90" s="17" t="str">
        <f t="shared" si="33"/>
        <v>FR001400BBL2</v>
      </c>
      <c r="BH90" s="17">
        <f>VLOOKUP(BG90,'[2]Portefeuille 4380430'!$B$3:$G$38,6,0)</f>
        <v>0.55559999999999998</v>
      </c>
      <c r="BI90" s="18" t="s">
        <v>147</v>
      </c>
      <c r="BJ90" s="19">
        <v>44943</v>
      </c>
      <c r="BK90" s="20"/>
    </row>
    <row r="91" spans="1:64" s="21" customFormat="1" ht="14.45" customHeight="1" x14ac:dyDescent="0.25">
      <c r="A91" s="49" t="s">
        <v>242</v>
      </c>
      <c r="B91" s="49" t="s">
        <v>264</v>
      </c>
      <c r="C91" s="49" t="s">
        <v>265</v>
      </c>
      <c r="D91" s="49" t="s">
        <v>248</v>
      </c>
      <c r="E91" s="4" t="str">
        <f>_xll.BDP(AI91,"ds520")</f>
        <v>#N/A Connection</v>
      </c>
      <c r="F91" s="4" t="str">
        <f>_xll.BDP(AI91,"crncy")</f>
        <v>#N/A Connection</v>
      </c>
      <c r="G91" s="5" t="s">
        <v>148</v>
      </c>
      <c r="H91" s="4" t="str">
        <f>IF(_xll.BDP(AI91,"RTG_MOODY")="#N/A N/A","N/A",_xll.BDP(AI91,"RTG_MOODY"))&amp;","&amp;IF(_xll.BDP(AI91,"RTG_FITCH")="#N/A N/A","N/A",_xll.BDP(AI91,"RTG_FITCH"))&amp;","&amp;IF(_xll.BDP(AI91,"RTG_SP")="#N/A N/A","N/A",_xll.BDP(AI91,"RTG_SP"))</f>
        <v>#N/A Connection,#N/A Connection,#N/A Connection</v>
      </c>
      <c r="I91" s="7" t="e">
        <f>_xll.BDP(AI91,"cpn")/100</f>
        <v>#VALUE!</v>
      </c>
      <c r="J91" s="7" t="e">
        <f ca="1">_xll.BDP($G91&amp;" isin","YAS_BOND_YLD", "YAS_YLD_FLAG=15", "user_local_trade_date",AN91,"Yas_bond_px",$Q91)/100</f>
        <v>#VALUE!</v>
      </c>
      <c r="K91" s="4" t="str">
        <f>_xll.BDP(AI91,"PAYMENT_RANK")</f>
        <v>#N/A Connection</v>
      </c>
      <c r="L91" s="4" t="str">
        <f>IF((TEXT(_xll.BDP(AI91,"MATURITY"),"DD/MM/YYYY")="#N/A Field Not Applicable"),"Perp",TEXT(_xll.BDP(AI91,"MATURITY"),"DD/MM/YYYY"))</f>
        <v>#N/A Connection</v>
      </c>
      <c r="M91" s="8" t="str">
        <f>(IF(_xll.BDP($AI91&amp;" ISIN","DU003")="#n/a n/a"," ",_xll.BDP($AI91&amp;" ISIN","DU003")))</f>
        <v>#N/A Connection</v>
      </c>
      <c r="N91" s="4" t="str">
        <f>IF(_xll.BDP(AI91,"CALLABLE")="Y",_xll.BDP(AI91,"NXT_CALL_DT")," ")</f>
        <v xml:space="preserve"> </v>
      </c>
      <c r="O91" s="9">
        <v>200000</v>
      </c>
      <c r="P91" s="5">
        <v>102.85899999999999</v>
      </c>
      <c r="Q91" s="10" t="str">
        <f>_xll.BDP(AI91,"px_bid")</f>
        <v>#N/A Connection</v>
      </c>
      <c r="R91" s="11" t="e">
        <f>IF(F91="USD",AG91,(((_xll.BDP(F91&amp;"USD CURNCY","PX_LAST")))*AG91))</f>
        <v>#VALUE!</v>
      </c>
      <c r="S91" s="11" t="e">
        <f>IF(F91="USD",AH91,(((_xll.BDP(F91&amp;"USD CURNCY","PX_LAST")))*AH91))+AP91</f>
        <v>#VALUE!</v>
      </c>
      <c r="T91" s="12" t="e">
        <f t="shared" si="34"/>
        <v>#VALUE!</v>
      </c>
      <c r="U91" s="13" t="e">
        <f t="shared" si="35"/>
        <v>#VALUE!</v>
      </c>
      <c r="V91" s="13" t="str" cm="1">
        <f t="array" ref="V91">IFERROR(_xll.BDP($G91&amp;" ISIN","CHG_PCT_1D")/100,"")</f>
        <v/>
      </c>
      <c r="W91" s="13" t="str" cm="1">
        <f t="array" ref="W91">IFERROR(_xll.BDP($G91&amp;" ISIN","CHG_PCT_5D")/100,"")</f>
        <v/>
      </c>
      <c r="X91" s="13" t="e" cm="1">
        <f t="array" ref="X91">_xll.BDP($G91&amp;" ISIN","CHG_PCT_1M")/100</f>
        <v>#VALUE!</v>
      </c>
      <c r="Y91" s="13" t="e" cm="1">
        <f t="array" ref="Y91">_xll.BDP($G91&amp;" ISIN","CHG_PCT_3M")/100</f>
        <v>#VALUE!</v>
      </c>
      <c r="Z91" s="13" t="e" cm="1">
        <f t="array" ref="Z91">_xll.BDP($G91&amp;" ISIN","CHG_PCT_6M")/100</f>
        <v>#VALUE!</v>
      </c>
      <c r="AA91" s="13" t="e" cm="1">
        <f t="array" ref="AA91">_xll.BDP($G91&amp;" ISIN","CHG_PCT_YTD")/100</f>
        <v>#VALUE!</v>
      </c>
      <c r="AB91" s="13" t="e">
        <f t="shared" si="42"/>
        <v>#VALUE!</v>
      </c>
      <c r="AC91" s="14" t="e">
        <f t="shared" ca="1" si="36"/>
        <v>#VALUE!</v>
      </c>
      <c r="AD91" s="4" t="str">
        <f>_xll.BDP(AI91,"DS199")</f>
        <v>#N/A Connection</v>
      </c>
      <c r="AE91" s="10" t="str">
        <f>_xll.BDP(AI91,"px_ask")</f>
        <v>#N/A Connection</v>
      </c>
      <c r="AF91" s="14" t="e">
        <f>IF(F91="USD",O91,(((_xll.BDP(F91&amp;"USD CURNCY","PX_LAST")))*O91))</f>
        <v>#VALUE!</v>
      </c>
      <c r="AG91" s="11">
        <f t="shared" si="37"/>
        <v>205718</v>
      </c>
      <c r="AH91" s="11" t="e">
        <f t="shared" si="38"/>
        <v>#VALUE!</v>
      </c>
      <c r="AI91" s="4" t="str">
        <f t="shared" si="39"/>
        <v>US251526CT41 ISIN</v>
      </c>
      <c r="AJ91" s="4" t="e" cm="1">
        <f t="array" ref="AJ91">VLOOKUP(IF(NOT(_xll.BDP($G91&amp;" CORP",$CA$5)="#N/A N/A"),(_xll.BDP($G91&amp;" CORP",$CA$5)),"-"), '[1]Country Codes'!$A$2:$B$253,2,0)</f>
        <v>#N/A</v>
      </c>
      <c r="AK91" s="4" t="str" cm="1">
        <f t="array" ref="AK91">IF(OR(_xll.BDP($AI91,"EX028")= "#N/A N/A", _xll.BDP($AI91,"EX028")="#N/A FIELD NOT APPLICABLE"), " ", _xll.BDP($AI91,"EX028"))</f>
        <v>#N/A Connection</v>
      </c>
      <c r="AL91" s="15" t="str">
        <f>(IF(_xll.BDP($AI91&amp;" ISIN","DZ282")="Y","Single line Bonds Cocos","Single line Bonds ex Cocos"))</f>
        <v>Single line Bonds ex Cocos</v>
      </c>
      <c r="AM91" s="8" t="str">
        <f>(IF(_xll.BDP($G91&amp;" ISIN","SP153")="#n/a n/a"," ",_xll.BDP($G91&amp;" ISIN","SP153")))</f>
        <v>#N/A Connection</v>
      </c>
      <c r="AN91" s="16">
        <f t="shared" ca="1" si="40"/>
        <v>45783</v>
      </c>
      <c r="AO91" s="11" t="e">
        <f>(((_xll.BDP(AI91,"DS032"))/360)*I91)*O91</f>
        <v>#VALUE!</v>
      </c>
      <c r="AP91" s="11" t="e">
        <f>IF(F91="USD",AO91,(((_xll.BDP(F91&amp;"USD CURNCY","PX_LAST")))*AO91))</f>
        <v>#VALUE!</v>
      </c>
      <c r="AQ91" s="13" t="e">
        <f>S91/#REF!</f>
        <v>#VALUE!</v>
      </c>
      <c r="AR91" s="11" t="e">
        <f t="shared" si="41"/>
        <v>#VALUE!</v>
      </c>
      <c r="AS91" s="10" t="str">
        <f>IF((TEXT(_xll.BDP(AI91,"MATURITY"),"DD/MM/YYYY")="#N/A Field Not Applicable"),"Perp",_xll.BDP(AI91,"DS252"))</f>
        <v>#N/A Connection</v>
      </c>
      <c r="AT91" s="15" t="str">
        <f>(IF(_xll.BDP($AI91&amp;" ISIN","DT247")="Y","Yes","No"))</f>
        <v>No</v>
      </c>
      <c r="AU91" s="15" t="str">
        <f>PROPER(IF(OR(_xll.BDP($AI91,"CPN_TYP")="#n/a N/A",_xll.BDP($AI91,"CPN_TYP")= "#N/A FIELD NOT APPLICABLE"), " ", _xll.BDP($AI91,"CPN_TYP")))</f>
        <v>#N/A Connection</v>
      </c>
      <c r="BG91" s="17" t="str">
        <f t="shared" si="33"/>
        <v>US251526CT41</v>
      </c>
      <c r="BH91" s="17">
        <f>VLOOKUP(BG91,'[2]Portefeuille 4380430'!$B$3:$G$38,6,0)</f>
        <v>0.7671</v>
      </c>
      <c r="BI91" s="18" t="s">
        <v>147</v>
      </c>
      <c r="BJ91" s="19">
        <v>45463</v>
      </c>
      <c r="BK91" s="20"/>
    </row>
    <row r="92" spans="1:64" s="21" customFormat="1" ht="14.45" customHeight="1" x14ac:dyDescent="0.25">
      <c r="A92" s="49" t="s">
        <v>242</v>
      </c>
      <c r="B92" s="49" t="s">
        <v>264</v>
      </c>
      <c r="C92" s="49" t="s">
        <v>265</v>
      </c>
      <c r="D92" s="49" t="s">
        <v>248</v>
      </c>
      <c r="E92" s="4" t="str">
        <f>_xll.BDP(AI92,"ds520")</f>
        <v>#N/A Connection</v>
      </c>
      <c r="F92" s="4" t="str">
        <f>_xll.BDP(AI92,"crncy")</f>
        <v>#N/A Connection</v>
      </c>
      <c r="G92" s="5" t="s">
        <v>213</v>
      </c>
      <c r="H92" s="4" t="str">
        <f>IF(_xll.BDP(AI92,"RTG_MOODY")="#N/A N/A","N/A",_xll.BDP(AI92,"RTG_MOODY"))&amp;","&amp;IF(_xll.BDP(AI92,"RTG_FITCH")="#N/A N/A","N/A",_xll.BDP(AI92,"RTG_FITCH"))&amp;","&amp;IF(_xll.BDP(AI92,"RTG_SP")="#N/A N/A","N/A",_xll.BDP(AI92,"RTG_SP"))</f>
        <v>#N/A Connection,#N/A Connection,#N/A Connection</v>
      </c>
      <c r="I92" s="7" t="e">
        <f>_xll.BDP(AI92,"cpn")/100</f>
        <v>#VALUE!</v>
      </c>
      <c r="J92" s="7" t="e">
        <f ca="1">_xll.BDP($G92&amp;" isin","YAS_BOND_YLD", "YAS_YLD_FLAG=15", "user_local_trade_date",AN92,"Yas_bond_px",$Q92)/100</f>
        <v>#VALUE!</v>
      </c>
      <c r="K92" s="4" t="str">
        <f>_xll.BDP(AI92,"PAYMENT_RANK")</f>
        <v>#N/A Connection</v>
      </c>
      <c r="L92" s="4" t="str">
        <f>IF((TEXT(_xll.BDP(AI92,"MATURITY"),"DD/MM/YYYY")="#N/A Field Not Applicable"),"Perp",TEXT(_xll.BDP(AI92,"MATURITY"),"DD/MM/YYYY"))</f>
        <v>#N/A Connection</v>
      </c>
      <c r="M92" s="8" t="str">
        <f>(IF(_xll.BDP($AI92&amp;" ISIN","DU003")="#n/a n/a"," ",_xll.BDP($AI92&amp;" ISIN","DU003")))</f>
        <v>#N/A Connection</v>
      </c>
      <c r="N92" s="4" t="str">
        <f>IF(_xll.BDP(AI92,"CALLABLE")="Y",_xll.BDP(AI92,"NXT_CALL_DT")," ")</f>
        <v xml:space="preserve"> </v>
      </c>
      <c r="O92" s="9">
        <v>300000</v>
      </c>
      <c r="P92" s="5">
        <v>102.925</v>
      </c>
      <c r="Q92" s="10" t="str">
        <f>_xll.BDP(AI92,"px_bid")</f>
        <v>#N/A Connection</v>
      </c>
      <c r="R92" s="11" t="e">
        <f>IF(F92="USD",AG92,(((_xll.BDP(F92&amp;"USD CURNCY","PX_LAST")))*AG92))</f>
        <v>#VALUE!</v>
      </c>
      <c r="S92" s="11" t="e">
        <f>IF(F92="USD",AH92,(((_xll.BDP(F92&amp;"USD CURNCY","PX_LAST")))*AH92))+AP92</f>
        <v>#VALUE!</v>
      </c>
      <c r="T92" s="12" t="e">
        <f t="shared" si="34"/>
        <v>#VALUE!</v>
      </c>
      <c r="U92" s="13" t="e">
        <f t="shared" si="35"/>
        <v>#VALUE!</v>
      </c>
      <c r="V92" s="13" t="str" cm="1">
        <f t="array" ref="V92">IFERROR(_xll.BDP($G92&amp;" ISIN","CHG_PCT_1D")/100,"")</f>
        <v/>
      </c>
      <c r="W92" s="13" t="str" cm="1">
        <f t="array" ref="W92">IFERROR(_xll.BDP($G92&amp;" ISIN","CHG_PCT_5D")/100,"")</f>
        <v/>
      </c>
      <c r="X92" s="13" t="e" cm="1">
        <f t="array" ref="X92">_xll.BDP($G92&amp;" ISIN","CHG_PCT_1M")/100</f>
        <v>#VALUE!</v>
      </c>
      <c r="Y92" s="13" t="e" cm="1">
        <f t="array" ref="Y92">_xll.BDP($G92&amp;" ISIN","CHG_PCT_3M")/100</f>
        <v>#VALUE!</v>
      </c>
      <c r="Z92" s="13" t="e" cm="1">
        <f t="array" ref="Z92">_xll.BDP($G92&amp;" ISIN","CHG_PCT_6M")/100</f>
        <v>#VALUE!</v>
      </c>
      <c r="AA92" s="13" t="e" cm="1">
        <f t="array" ref="AA92">_xll.BDP($G92&amp;" ISIN","CHG_PCT_YTD")/100</f>
        <v>#VALUE!</v>
      </c>
      <c r="AB92" s="13" t="e">
        <f t="shared" si="42"/>
        <v>#VALUE!</v>
      </c>
      <c r="AC92" s="14" t="e">
        <f t="shared" ca="1" si="36"/>
        <v>#VALUE!</v>
      </c>
      <c r="AD92" s="4" t="str">
        <f>_xll.BDP(AI92,"DS199")</f>
        <v>#N/A Connection</v>
      </c>
      <c r="AE92" s="10" t="str">
        <f>_xll.BDP(AI92,"px_ask")</f>
        <v>#N/A Connection</v>
      </c>
      <c r="AF92" s="14" t="e">
        <f>IF(F92="USD",O92,(((_xll.BDP(F92&amp;"USD CURNCY","PX_LAST")))*O92))</f>
        <v>#VALUE!</v>
      </c>
      <c r="AG92" s="11">
        <f t="shared" si="37"/>
        <v>308775</v>
      </c>
      <c r="AH92" s="11" t="e">
        <f t="shared" si="38"/>
        <v>#VALUE!</v>
      </c>
      <c r="AI92" s="4" t="str">
        <f t="shared" si="39"/>
        <v>FR001400F067 ISIN</v>
      </c>
      <c r="AJ92" s="4" t="e" cm="1">
        <f t="array" ref="AJ92">VLOOKUP(IF(NOT(_xll.BDP($G92&amp;" CORP",$CA$5)="#N/A N/A"),(_xll.BDP($G92&amp;" CORP",$CA$5)),"-"), '[1]Country Codes'!$A$2:$B$253,2,0)</f>
        <v>#N/A</v>
      </c>
      <c r="AK92" s="4" t="str" cm="1">
        <f t="array" ref="AK92">IF(OR(_xll.BDP($AI92,"EX028")= "#N/A N/A", _xll.BDP($AI92,"EX028")="#N/A FIELD NOT APPLICABLE"), " ", _xll.BDP($AI92,"EX028"))</f>
        <v>#N/A Connection</v>
      </c>
      <c r="AL92" s="15" t="str">
        <f>(IF(_xll.BDP($AI92&amp;" ISIN","DZ282")="Y","Single line Bonds Cocos","Single line Bonds ex Cocos"))</f>
        <v>Single line Bonds ex Cocos</v>
      </c>
      <c r="AM92" s="8" t="str">
        <f>(IF(_xll.BDP($G92&amp;" ISIN","SP153")="#n/a n/a"," ",_xll.BDP($G92&amp;" ISIN","SP153")))</f>
        <v>#N/A Connection</v>
      </c>
      <c r="AN92" s="16">
        <f t="shared" ca="1" si="40"/>
        <v>45783</v>
      </c>
      <c r="AO92" s="11" t="e">
        <f>(((_xll.BDP(AI92,"DS032"))/360)*I92)*O92</f>
        <v>#VALUE!</v>
      </c>
      <c r="AP92" s="11" t="e">
        <f>IF(F92="USD",AO92,(((_xll.BDP(F92&amp;"USD CURNCY","PX_LAST")))*AO92))</f>
        <v>#VALUE!</v>
      </c>
      <c r="AQ92" s="13" t="e">
        <f>S92/#REF!</f>
        <v>#VALUE!</v>
      </c>
      <c r="AR92" s="11" t="e">
        <f t="shared" si="41"/>
        <v>#VALUE!</v>
      </c>
      <c r="AS92" s="10" t="str">
        <f>IF((TEXT(_xll.BDP(AI92,"MATURITY"),"DD/MM/YYYY")="#N/A Field Not Applicable"),"Perp",_xll.BDP(AI92,"DS252"))</f>
        <v>#N/A Connection</v>
      </c>
      <c r="AT92" s="15" t="str">
        <f>(IF(_xll.BDP($AI92&amp;" ISIN","DT247")="Y","Yes","No"))</f>
        <v>No</v>
      </c>
      <c r="AU92" s="15" t="str">
        <f>PROPER(IF(OR(_xll.BDP($AI92,"CPN_TYP")="#n/a N/A",_xll.BDP($AI92,"CPN_TYP")= "#N/A FIELD NOT APPLICABLE"), " ", _xll.BDP($AI92,"CPN_TYP")))</f>
        <v>#N/A Connection</v>
      </c>
      <c r="BG92" s="17" t="str">
        <f t="shared" si="33"/>
        <v>FR001400F067</v>
      </c>
      <c r="BH92" s="17">
        <f>VLOOKUP(BG92,'[2]Portefeuille 4380430'!$B$3:$G$38,6,0)</f>
        <v>0.55559999999999998</v>
      </c>
      <c r="BI92" s="18" t="s">
        <v>147</v>
      </c>
      <c r="BJ92" s="19">
        <v>44943</v>
      </c>
      <c r="BK92" s="20"/>
    </row>
    <row r="93" spans="1:64" s="21" customFormat="1" ht="14.45" customHeight="1" x14ac:dyDescent="0.25">
      <c r="A93" s="49" t="s">
        <v>242</v>
      </c>
      <c r="B93" s="49" t="s">
        <v>264</v>
      </c>
      <c r="C93" s="49" t="s">
        <v>265</v>
      </c>
      <c r="D93" s="49" t="s">
        <v>248</v>
      </c>
      <c r="E93" s="4" t="str">
        <f>_xll.BDP(AI93,"ds520")</f>
        <v>#N/A Connection</v>
      </c>
      <c r="F93" s="4" t="str">
        <f>_xll.BDP(AI93,"crncy")</f>
        <v>#N/A Connection</v>
      </c>
      <c r="G93" s="5" t="s">
        <v>212</v>
      </c>
      <c r="H93" s="4" t="str">
        <f>IF(_xll.BDP(AI93,"RTG_MOODY")="#N/A N/A","N/A",_xll.BDP(AI93,"RTG_MOODY"))&amp;","&amp;IF(_xll.BDP(AI93,"RTG_FITCH")="#N/A N/A","N/A",_xll.BDP(AI93,"RTG_FITCH"))&amp;","&amp;IF(_xll.BDP(AI93,"RTG_SP")="#N/A N/A","N/A",_xll.BDP(AI93,"RTG_SP"))</f>
        <v>#N/A Connection,#N/A Connection,#N/A Connection</v>
      </c>
      <c r="I93" s="7" t="e">
        <f>_xll.BDP(AI93,"cpn")/100</f>
        <v>#VALUE!</v>
      </c>
      <c r="J93" s="7" t="e">
        <f ca="1">_xll.BDP($G93&amp;" isin","YAS_BOND_YLD", "YAS_YLD_FLAG=15", "user_local_trade_date",AN93,"Yas_bond_px",$Q93)/100</f>
        <v>#VALUE!</v>
      </c>
      <c r="K93" s="4" t="str">
        <f>_xll.BDP(AI93,"PAYMENT_RANK")</f>
        <v>#N/A Connection</v>
      </c>
      <c r="L93" s="4" t="str">
        <f>IF((TEXT(_xll.BDP(AI93,"MATURITY"),"DD/MM/YYYY")="#N/A Field Not Applicable"),"Perp",TEXT(_xll.BDP(AI93,"MATURITY"),"DD/MM/YYYY"))</f>
        <v>#N/A Connection</v>
      </c>
      <c r="M93" s="8" t="str">
        <f>(IF(_xll.BDP($AI93&amp;" ISIN","DU003")="#n/a n/a"," ",_xll.BDP($AI93&amp;" ISIN","DU003")))</f>
        <v>#N/A Connection</v>
      </c>
      <c r="N93" s="4" t="str">
        <f>IF(_xll.BDP(AI93,"CALLABLE")="Y",_xll.BDP(AI93,"NXT_CALL_DT")," ")</f>
        <v xml:space="preserve"> </v>
      </c>
      <c r="O93" s="9">
        <v>400000</v>
      </c>
      <c r="P93" s="5">
        <v>101.41500000000001</v>
      </c>
      <c r="Q93" s="10" t="str">
        <f>_xll.BDP(AI93,"px_bid")</f>
        <v>#N/A Connection</v>
      </c>
      <c r="R93" s="11" t="e">
        <f>IF(F93="USD",AG93,(((_xll.BDP(F93&amp;"USD CURNCY","PX_LAST")))*AG93))</f>
        <v>#VALUE!</v>
      </c>
      <c r="S93" s="11" t="e">
        <f>IF(F93="USD",AH93,(((_xll.BDP(F93&amp;"USD CURNCY","PX_LAST")))*AH93))+AP93</f>
        <v>#VALUE!</v>
      </c>
      <c r="T93" s="12" t="e">
        <f t="shared" si="34"/>
        <v>#VALUE!</v>
      </c>
      <c r="U93" s="13" t="e">
        <f t="shared" si="35"/>
        <v>#VALUE!</v>
      </c>
      <c r="V93" s="13" t="str" cm="1">
        <f t="array" ref="V93">IFERROR(_xll.BDP($G93&amp;" ISIN","CHG_PCT_1D")/100,"")</f>
        <v/>
      </c>
      <c r="W93" s="13" t="str" cm="1">
        <f t="array" ref="W93">IFERROR(_xll.BDP($G93&amp;" ISIN","CHG_PCT_5D")/100,"")</f>
        <v/>
      </c>
      <c r="X93" s="13" t="e" cm="1">
        <f t="array" ref="X93">_xll.BDP($G93&amp;" ISIN","CHG_PCT_1M")/100</f>
        <v>#VALUE!</v>
      </c>
      <c r="Y93" s="13" t="e" cm="1">
        <f t="array" ref="Y93">_xll.BDP($G93&amp;" ISIN","CHG_PCT_3M")/100</f>
        <v>#VALUE!</v>
      </c>
      <c r="Z93" s="13" t="e" cm="1">
        <f t="array" ref="Z93">_xll.BDP($G93&amp;" ISIN","CHG_PCT_6M")/100</f>
        <v>#VALUE!</v>
      </c>
      <c r="AA93" s="13" t="e" cm="1">
        <f t="array" ref="AA93">_xll.BDP($G93&amp;" ISIN","CHG_PCT_YTD")/100</f>
        <v>#VALUE!</v>
      </c>
      <c r="AB93" s="13" t="e">
        <f t="shared" si="42"/>
        <v>#VALUE!</v>
      </c>
      <c r="AC93" s="14" t="e">
        <f t="shared" ca="1" si="36"/>
        <v>#VALUE!</v>
      </c>
      <c r="AD93" s="4" t="str">
        <f>_xll.BDP(AI93,"DS199")</f>
        <v>#N/A Connection</v>
      </c>
      <c r="AE93" s="10" t="str">
        <f>_xll.BDP(AI93,"px_ask")</f>
        <v>#N/A Connection</v>
      </c>
      <c r="AF93" s="14" t="e">
        <f>IF(F93="USD",O93,(((_xll.BDP(F93&amp;"USD CURNCY","PX_LAST")))*O93))</f>
        <v>#VALUE!</v>
      </c>
      <c r="AG93" s="11">
        <f t="shared" si="37"/>
        <v>405660</v>
      </c>
      <c r="AH93" s="11" t="e">
        <f t="shared" si="38"/>
        <v>#VALUE!</v>
      </c>
      <c r="AI93" s="4" t="str">
        <f t="shared" si="39"/>
        <v>FR001400F2H9 ISIN</v>
      </c>
      <c r="AJ93" s="4" t="e" cm="1">
        <f t="array" ref="AJ93">VLOOKUP(IF(NOT(_xll.BDP($G93&amp;" CORP",$CA$5)="#N/A N/A"),(_xll.BDP($G93&amp;" CORP",$CA$5)),"-"), '[1]Country Codes'!$A$2:$B$253,2,0)</f>
        <v>#N/A</v>
      </c>
      <c r="AK93" s="4" t="str" cm="1">
        <f t="array" ref="AK93">IF(OR(_xll.BDP($AI93,"EX028")= "#N/A N/A", _xll.BDP($AI93,"EX028")="#N/A FIELD NOT APPLICABLE"), " ", _xll.BDP($AI93,"EX028"))</f>
        <v>#N/A Connection</v>
      </c>
      <c r="AL93" s="15" t="str">
        <f>(IF(_xll.BDP($AI93&amp;" ISIN","DZ282")="Y","Single line Bonds Cocos","Single line Bonds ex Cocos"))</f>
        <v>Single line Bonds ex Cocos</v>
      </c>
      <c r="AM93" s="8" t="str">
        <f>(IF(_xll.BDP($G93&amp;" ISIN","SP153")="#n/a n/a"," ",_xll.BDP($G93&amp;" ISIN","SP153")))</f>
        <v>#N/A Connection</v>
      </c>
      <c r="AN93" s="16">
        <f t="shared" ca="1" si="40"/>
        <v>45783</v>
      </c>
      <c r="AO93" s="11" t="e">
        <f>(((_xll.BDP(AI93,"DS032"))/360)*I93)*O93</f>
        <v>#VALUE!</v>
      </c>
      <c r="AP93" s="11" t="e">
        <f>IF(F93="USD",AO93,(((_xll.BDP(F93&amp;"USD CURNCY","PX_LAST")))*AO93))</f>
        <v>#VALUE!</v>
      </c>
      <c r="AQ93" s="13" t="e">
        <f>S93/#REF!</f>
        <v>#VALUE!</v>
      </c>
      <c r="AR93" s="11" t="e">
        <f t="shared" si="41"/>
        <v>#VALUE!</v>
      </c>
      <c r="AS93" s="10" t="str">
        <f>IF((TEXT(_xll.BDP(AI93,"MATURITY"),"DD/MM/YYYY")="#N/A Field Not Applicable"),"Perp",_xll.BDP(AI93,"DS252"))</f>
        <v>#N/A Connection</v>
      </c>
      <c r="AT93" s="15" t="str">
        <f>(IF(_xll.BDP($AI93&amp;" ISIN","DT247")="Y","Yes","No"))</f>
        <v>No</v>
      </c>
      <c r="AU93" s="15" t="str">
        <f>PROPER(IF(OR(_xll.BDP($AI93,"CPN_TYP")="#n/a N/A",_xll.BDP($AI93,"CPN_TYP")= "#N/A FIELD NOT APPLICABLE"), " ", _xll.BDP($AI93,"CPN_TYP")))</f>
        <v>#N/A Connection</v>
      </c>
      <c r="BG93" s="17" t="str">
        <f t="shared" si="33"/>
        <v>FR001400F2H9</v>
      </c>
      <c r="BH93" s="17">
        <f>VLOOKUP(BG93,'[2]Portefeuille 4380430'!$B$3:$G$38,6,0)</f>
        <v>0.70109999999999995</v>
      </c>
      <c r="BI93" s="18" t="s">
        <v>147</v>
      </c>
      <c r="BJ93" s="19">
        <v>44943</v>
      </c>
      <c r="BK93" s="20"/>
    </row>
    <row r="94" spans="1:64" s="101" customFormat="1" ht="14.45" customHeight="1" x14ac:dyDescent="0.25">
      <c r="A94" s="49" t="s">
        <v>242</v>
      </c>
      <c r="B94" s="49" t="s">
        <v>264</v>
      </c>
      <c r="C94" s="49" t="s">
        <v>265</v>
      </c>
      <c r="D94" s="49" t="s">
        <v>248</v>
      </c>
      <c r="E94" s="4" t="str">
        <f>_xll.BDP(AI94,"ds520")</f>
        <v>#N/A Connection</v>
      </c>
      <c r="F94" s="4" t="str">
        <f>_xll.BDP(AI94,"crncy")</f>
        <v>#N/A Connection</v>
      </c>
      <c r="G94" s="5" t="s">
        <v>216</v>
      </c>
      <c r="H94" s="4" t="str">
        <f>IF(_xll.BDP(AI94,"RTG_MOODY")="#N/A N/A","N/A",_xll.BDP(AI94,"RTG_MOODY"))&amp;","&amp;IF(_xll.BDP(AI94,"RTG_FITCH")="#N/A N/A","N/A",_xll.BDP(AI94,"RTG_FITCH"))&amp;","&amp;IF(_xll.BDP(AI94,"RTG_SP")="#N/A N/A","N/A",_xll.BDP(AI94,"RTG_SP"))</f>
        <v>#N/A Connection,#N/A Connection,#N/A Connection</v>
      </c>
      <c r="I94" s="7" t="e">
        <f>_xll.BDP(AI94,"cpn")/100</f>
        <v>#VALUE!</v>
      </c>
      <c r="J94" s="7" t="e">
        <f ca="1">_xll.BDP($G94&amp;" isin","YAS_BOND_YLD", "YAS_YLD_FLAG=15", "user_local_trade_date",AN94,"Yas_bond_px",$Q94)/100</f>
        <v>#VALUE!</v>
      </c>
      <c r="K94" s="4" t="str">
        <f>_xll.BDP(AI94,"PAYMENT_RANK")</f>
        <v>#N/A Connection</v>
      </c>
      <c r="L94" s="4" t="str">
        <f>IF((TEXT(_xll.BDP(AI94,"MATURITY"),"DD/MM/YYYY")="#N/A Field Not Applicable"),"Perp",TEXT(_xll.BDP(AI94,"MATURITY"),"DD/MM/YYYY"))</f>
        <v>#N/A Connection</v>
      </c>
      <c r="M94" s="8" t="str">
        <f>(IF(_xll.BDP($AI94&amp;" ISIN","DU003")="#n/a n/a"," ",_xll.BDP($AI94&amp;" ISIN","DU003")))</f>
        <v>#N/A Connection</v>
      </c>
      <c r="N94" s="4" t="str">
        <f>IF(_xll.BDP(AI94,"CALLABLE")="Y",_xll.BDP(AI94,"NXT_CALL_DT")," ")</f>
        <v xml:space="preserve"> </v>
      </c>
      <c r="O94" s="9">
        <v>200000</v>
      </c>
      <c r="P94" s="5">
        <v>102.71299999999999</v>
      </c>
      <c r="Q94" s="10" t="str">
        <f>_xll.BDP(AI94,"px_bid")</f>
        <v>#N/A Connection</v>
      </c>
      <c r="R94" s="11" t="e">
        <f>IF(F94="USD",AG94,(((_xll.BDP(F94&amp;"USD CURNCY","PX_LAST")))*AG94))</f>
        <v>#VALUE!</v>
      </c>
      <c r="S94" s="11" t="e">
        <f>IF(F94="USD",AH94,(((_xll.BDP(F94&amp;"USD CURNCY","PX_LAST")))*AH94))+AP94</f>
        <v>#VALUE!</v>
      </c>
      <c r="T94" s="12" t="e">
        <f t="shared" si="34"/>
        <v>#VALUE!</v>
      </c>
      <c r="U94" s="13" t="e">
        <f t="shared" si="35"/>
        <v>#VALUE!</v>
      </c>
      <c r="V94" s="13" t="str" cm="1">
        <f t="array" ref="V94">IFERROR(_xll.BDP($G94&amp;" ISIN","CHG_PCT_1D")/100,"")</f>
        <v/>
      </c>
      <c r="W94" s="13" t="str" cm="1">
        <f t="array" ref="W94">IFERROR(_xll.BDP($G94&amp;" ISIN","CHG_PCT_5D")/100,"")</f>
        <v/>
      </c>
      <c r="X94" s="13" t="e" cm="1">
        <f t="array" ref="X94">_xll.BDP($G94&amp;" ISIN","CHG_PCT_1M")/100</f>
        <v>#VALUE!</v>
      </c>
      <c r="Y94" s="13" t="e" cm="1">
        <f t="array" ref="Y94">_xll.BDP($G94&amp;" ISIN","CHG_PCT_3M")/100</f>
        <v>#VALUE!</v>
      </c>
      <c r="Z94" s="13" t="e" cm="1">
        <f t="array" ref="Z94">_xll.BDP($G94&amp;" ISIN","CHG_PCT_6M")/100</f>
        <v>#VALUE!</v>
      </c>
      <c r="AA94" s="13" t="e" cm="1">
        <f t="array" ref="AA94">_xll.BDP($G94&amp;" ISIN","CHG_PCT_YTD")/100</f>
        <v>#VALUE!</v>
      </c>
      <c r="AB94" s="13" t="e">
        <f t="shared" si="42"/>
        <v>#VALUE!</v>
      </c>
      <c r="AC94" s="14" t="e">
        <f t="shared" ca="1" si="36"/>
        <v>#VALUE!</v>
      </c>
      <c r="AD94" s="4" t="str">
        <f>_xll.BDP(AI94,"DS199")</f>
        <v>#N/A Connection</v>
      </c>
      <c r="AE94" s="10" t="str">
        <f>_xll.BDP(AI94,"px_ask")</f>
        <v>#N/A Connection</v>
      </c>
      <c r="AF94" s="14" t="e">
        <f>IF(F94="USD",O94,(((_xll.BDP(F94&amp;"USD CURNCY","PX_LAST")))*O94))</f>
        <v>#VALUE!</v>
      </c>
      <c r="AG94" s="11">
        <f t="shared" si="37"/>
        <v>205426</v>
      </c>
      <c r="AH94" s="11" t="e">
        <f t="shared" si="38"/>
        <v>#VALUE!</v>
      </c>
      <c r="AI94" s="4" t="str">
        <f t="shared" si="39"/>
        <v>XS2821647364 ISIN</v>
      </c>
      <c r="AJ94" s="4" t="e" cm="1">
        <f t="array" ref="AJ94">VLOOKUP(IF(NOT(_xll.BDP($G94&amp;" CORP",$CA$5)="#N/A N/A"),(_xll.BDP($G94&amp;" CORP",$CA$5)),"-"), '[1]Country Codes'!$A$2:$B$253,2,0)</f>
        <v>#N/A</v>
      </c>
      <c r="AK94" s="4" t="str" cm="1">
        <f t="array" ref="AK94">IF(OR(_xll.BDP($AI94,"EX028")= "#N/A N/A", _xll.BDP($AI94,"EX028")="#N/A FIELD NOT APPLICABLE"), " ", _xll.BDP($AI94,"EX028"))</f>
        <v>#N/A Connection</v>
      </c>
      <c r="AL94" s="15" t="str">
        <f>(IF(_xll.BDP($AI94&amp;" ISIN","DZ282")="Y","Single line Bonds Cocos","Single line Bonds ex Cocos"))</f>
        <v>Single line Bonds ex Cocos</v>
      </c>
      <c r="AM94" s="8" t="str">
        <f>(IF(_xll.BDP($G94&amp;" ISIN","SP153")="#n/a n/a"," ",_xll.BDP($G94&amp;" ISIN","SP153")))</f>
        <v>#N/A Connection</v>
      </c>
      <c r="AN94" s="16">
        <f t="shared" ca="1" si="40"/>
        <v>45783</v>
      </c>
      <c r="AO94" s="11" t="e">
        <f>(((_xll.BDP(AI94,"DS032"))/360)*I94)*O94</f>
        <v>#VALUE!</v>
      </c>
      <c r="AP94" s="11" t="e">
        <f>IF(F94="USD",AO94,(((_xll.BDP(F94&amp;"USD CURNCY","PX_LAST")))*AO94))</f>
        <v>#VALUE!</v>
      </c>
      <c r="AQ94" s="13" t="e">
        <f>S94/#REF!</f>
        <v>#VALUE!</v>
      </c>
      <c r="AR94" s="11" t="e">
        <f t="shared" si="41"/>
        <v>#VALUE!</v>
      </c>
      <c r="AS94" s="10" t="str">
        <f>IF((TEXT(_xll.BDP(AI94,"MATURITY"),"DD/MM/YYYY")="#N/A Field Not Applicable"),"Perp",_xll.BDP(AI94,"DS252"))</f>
        <v>#N/A Connection</v>
      </c>
      <c r="AT94" s="15" t="str">
        <f>(IF(_xll.BDP($AI94&amp;" ISIN","DT247")="Y","Yes","No"))</f>
        <v>No</v>
      </c>
      <c r="AU94" s="15" t="str">
        <f>PROPER(IF(OR(_xll.BDP($AI94,"CPN_TYP")="#n/a N/A",_xll.BDP($AI94,"CPN_TYP")= "#N/A FIELD NOT APPLICABLE"), " ", _xll.BDP($AI94,"CPN_TYP")))</f>
        <v>#N/A Connection</v>
      </c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17" t="str">
        <f t="shared" si="33"/>
        <v>XS2821647364</v>
      </c>
      <c r="BH94" s="17">
        <f>VLOOKUP(BG94,'[2]Portefeuille 4380430'!$B$3:$G$38,6,0)</f>
        <v>0.82240000000000002</v>
      </c>
      <c r="BI94" s="18" t="s">
        <v>147</v>
      </c>
      <c r="BJ94" s="19">
        <v>45560</v>
      </c>
      <c r="BK94" s="20"/>
      <c r="BL94" s="21"/>
    </row>
    <row r="95" spans="1:64" s="21" customFormat="1" ht="14.45" customHeight="1" x14ac:dyDescent="0.25">
      <c r="A95" s="81" t="s">
        <v>241</v>
      </c>
      <c r="B95" s="81" t="s">
        <v>266</v>
      </c>
      <c r="C95" s="81" t="s">
        <v>267</v>
      </c>
      <c r="D95" s="81" t="s">
        <v>240</v>
      </c>
      <c r="E95" s="88" t="str">
        <f>_xll.BDP(AI95,"ds520")</f>
        <v>#N/A Connection</v>
      </c>
      <c r="F95" s="88" t="str">
        <f>_xll.BDP(AI95,"crncy")</f>
        <v>#N/A Connection</v>
      </c>
      <c r="G95" s="88" t="s">
        <v>206</v>
      </c>
      <c r="H95" s="88" t="str">
        <f>IF(_xll.BDP(AI95,"RTG_MOODY")="#N/A N/A","N/A",_xll.BDP(AI95,"RTG_MOODY"))&amp;","&amp;IF(_xll.BDP(AI95,"RTG_FITCH")="#N/A N/A","N/A",_xll.BDP(AI95,"RTG_FITCH"))&amp;","&amp;IF(_xll.BDP(AI95,"RTG_SP")="#N/A N/A","N/A",_xll.BDP(AI95,"RTG_SP"))</f>
        <v>#N/A Connection,#N/A Connection,#N/A Connection</v>
      </c>
      <c r="I95" s="38" t="e">
        <f>_xll.BDP(AI95,"cpn")/100</f>
        <v>#VALUE!</v>
      </c>
      <c r="J95" s="38" t="e">
        <f ca="1">_xll.BDP($G95&amp;" isin","YAS_BOND_YLD", "YAS_YLD_FLAG=15", "user_local_trade_date",AN95,"Yas_bond_px",$Q95)/100</f>
        <v>#VALUE!</v>
      </c>
      <c r="K95" s="88" t="str">
        <f>_xll.BDP(AI95,"PAYMENT_RANK")</f>
        <v>#N/A Connection</v>
      </c>
      <c r="L95" s="88" t="str">
        <f>IF((TEXT(_xll.BDP(AI95,"MATURITY"),"DD/MM/YYYY")="#N/A Field Not Applicable"),"Perp",TEXT(_xll.BDP(AI95,"MATURITY"),"DD/MM/YYYY"))</f>
        <v>#N/A Connection</v>
      </c>
      <c r="M95" s="97" t="str">
        <f>(IF(_xll.BDP($AI95&amp;" ISIN","DU003")="#n/a n/a"," ",_xll.BDP($AI95&amp;" ISIN","DU003")))</f>
        <v>#N/A Connection</v>
      </c>
      <c r="N95" s="88" t="str">
        <f>IF(_xll.BDP(AI95,"CALLABLE")="Y",_xll.BDP(AI95,"NXT_CALL_DT")," ")</f>
        <v xml:space="preserve"> </v>
      </c>
      <c r="O95" s="98">
        <v>200000</v>
      </c>
      <c r="P95" s="88">
        <v>99.3</v>
      </c>
      <c r="Q95" s="99" t="str">
        <f>_xll.BDP(AI95,"px_bid")</f>
        <v>#N/A Connection</v>
      </c>
      <c r="R95" s="100" t="e">
        <f>IF(F95="USD",AG95,(((_xll.BDP(F95&amp;"USD CURNCY","PX_LAST")))*AG95))</f>
        <v>#VALUE!</v>
      </c>
      <c r="S95" s="100" t="e">
        <f>IF(F95="USD",AH95,(((_xll.BDP(F95&amp;"USD CURNCY","PX_LAST")))*AH95))+AP95</f>
        <v>#VALUE!</v>
      </c>
      <c r="T95" s="86" t="e">
        <f t="shared" si="34"/>
        <v>#VALUE!</v>
      </c>
      <c r="U95" s="87" t="e">
        <f t="shared" si="35"/>
        <v>#VALUE!</v>
      </c>
      <c r="V95" s="87" t="str" cm="1">
        <f t="array" ref="V95">IFERROR(_xll.BDP($G95&amp;" ISIN","CHG_PCT_1D")/100,"")</f>
        <v/>
      </c>
      <c r="W95" s="87" t="str" cm="1">
        <f t="array" ref="W95">IFERROR(_xll.BDP($G95&amp;" ISIN","CHG_PCT_5D")/100,"")</f>
        <v/>
      </c>
      <c r="X95" s="87" t="e" cm="1">
        <f t="array" ref="X95">_xll.BDP($G95&amp;" ISIN","CHG_PCT_1M")/100</f>
        <v>#VALUE!</v>
      </c>
      <c r="Y95" s="87" t="e" cm="1">
        <f t="array" ref="Y95">_xll.BDP($G95&amp;" ISIN","CHG_PCT_3M")/100</f>
        <v>#VALUE!</v>
      </c>
      <c r="Z95" s="87" t="e" cm="1">
        <f t="array" ref="Z95">_xll.BDP($G95&amp;" ISIN","CHG_PCT_6M")/100</f>
        <v>#VALUE!</v>
      </c>
      <c r="AA95" s="87" t="e" cm="1">
        <f t="array" ref="AA95">_xll.BDP($G95&amp;" ISIN","CHG_PCT_YTD")/100</f>
        <v>#VALUE!</v>
      </c>
      <c r="AB95" s="87" t="e">
        <f t="shared" si="42"/>
        <v>#VALUE!</v>
      </c>
      <c r="AC95" s="98" t="e">
        <f t="shared" ca="1" si="36"/>
        <v>#VALUE!</v>
      </c>
      <c r="AD95" s="88" t="str">
        <f>_xll.BDP(AI95,"DS199")</f>
        <v>#N/A Connection</v>
      </c>
      <c r="AE95" s="99" t="str">
        <f>_xll.BDP(AI95,"px_ask")</f>
        <v>#N/A Connection</v>
      </c>
      <c r="AF95" s="98" t="e">
        <f>IF(F95="USD",O95,(((_xll.BDP(F95&amp;"USD CURNCY","PX_LAST")))*O95))</f>
        <v>#VALUE!</v>
      </c>
      <c r="AG95" s="100">
        <f t="shared" si="37"/>
        <v>198600</v>
      </c>
      <c r="AH95" s="100" t="e">
        <f t="shared" si="38"/>
        <v>#VALUE!</v>
      </c>
      <c r="AI95" s="88" t="str">
        <f t="shared" si="39"/>
        <v>USY7141BAC73 ISIN</v>
      </c>
      <c r="AJ95" s="88" t="e" cm="1">
        <f t="array" ref="AJ95">VLOOKUP(IF(NOT(_xll.BDP($G95&amp;" CORP",$CA$5)="#N/A N/A"),(_xll.BDP($G95&amp;" CORP",$CA$5)),"-"), '[1]Country Codes'!$A$2:$B$253,2,0)</f>
        <v>#N/A</v>
      </c>
      <c r="AK95" s="88" t="str" cm="1">
        <f t="array" ref="AK95">IF(OR(_xll.BDP($AI95,"EX028")= "#N/A N/A", _xll.BDP($AI95,"EX028")="#N/A FIELD NOT APPLICABLE"), " ", _xll.BDP($AI95,"EX028"))</f>
        <v>#N/A Connection</v>
      </c>
      <c r="AL95" s="38" t="str">
        <f>(IF(_xll.BDP($AI95&amp;" ISIN","DZ282")="Y","Single line Bonds Cocos","Single line Bonds ex Cocos"))</f>
        <v>Single line Bonds ex Cocos</v>
      </c>
      <c r="AM95" s="97" t="str">
        <f>(IF(_xll.BDP($G95&amp;" ISIN","SP153")="#n/a n/a"," ",_xll.BDP($G95&amp;" ISIN","SP153")))</f>
        <v>#N/A Connection</v>
      </c>
      <c r="AN95" s="95">
        <f t="shared" ca="1" si="40"/>
        <v>45783</v>
      </c>
      <c r="AO95" s="100" t="e">
        <f>(((_xll.BDP(AI95,"DS032"))/365)*I95)*O95</f>
        <v>#VALUE!</v>
      </c>
      <c r="AP95" s="100" t="e">
        <f>IF(F95="USD",AO95,(((_xll.BDP(F95&amp;"USD CURNCY","PX_LAST")))*AO95))</f>
        <v>#VALUE!</v>
      </c>
      <c r="AQ95" s="87" t="e">
        <f t="shared" ref="AQ95:AQ101" si="43">S95/$S$111</f>
        <v>#VALUE!</v>
      </c>
      <c r="AR95" s="100" t="e">
        <f t="shared" si="41"/>
        <v>#VALUE!</v>
      </c>
      <c r="AS95" s="99" t="str">
        <f>IF((TEXT(_xll.BDP(AI95,"MATURITY"),"DD/MM/YYYY")="#N/A Field Not Applicable"),"Perp",_xll.BDP(AI95,"DS252"))</f>
        <v>#N/A Connection</v>
      </c>
      <c r="AT95" s="38" t="str">
        <f>(IF(_xll.BDP($AI95&amp;" ISIN","DT247")="Y","Yes","No"))</f>
        <v>No</v>
      </c>
      <c r="AU95" s="38" t="str">
        <f>PROPER(IF(OR(_xll.BDP($AI95,"CPN_TYP")="#n/a N/A",_xll.BDP($AI95,"CPN_TYP")= "#N/A FIELD NOT APPLICABLE"), " ", _xll.BDP($AI95,"CPN_TYP")))</f>
        <v>#N/A Connection</v>
      </c>
      <c r="AV95" s="101"/>
      <c r="AW95" s="101"/>
      <c r="AX95" s="101"/>
      <c r="AY95" s="101"/>
      <c r="AZ95" s="101"/>
      <c r="BA95" s="101"/>
      <c r="BB95" s="101"/>
      <c r="BC95" s="101"/>
      <c r="BD95" s="101"/>
      <c r="BE95" s="101"/>
      <c r="BF95" s="101"/>
      <c r="BG95" s="38" t="str">
        <f t="shared" si="33"/>
        <v>USY7141BAC73</v>
      </c>
      <c r="BH95" s="38">
        <v>0.65</v>
      </c>
      <c r="BI95" s="94">
        <v>3</v>
      </c>
      <c r="BJ95" s="95">
        <v>45462</v>
      </c>
      <c r="BK95" s="96">
        <v>1</v>
      </c>
      <c r="BL95" s="101"/>
    </row>
    <row r="96" spans="1:64" s="101" customFormat="1" ht="14.45" customHeight="1" x14ac:dyDescent="0.25">
      <c r="A96" s="49" t="s">
        <v>241</v>
      </c>
      <c r="B96" s="49" t="s">
        <v>266</v>
      </c>
      <c r="C96" s="49" t="s">
        <v>267</v>
      </c>
      <c r="D96" s="49" t="s">
        <v>240</v>
      </c>
      <c r="E96" s="4" t="str">
        <f>_xll.BDP(AI96,"ds520")</f>
        <v>#N/A Connection</v>
      </c>
      <c r="F96" s="4" t="str">
        <f>_xll.BDP(AI96,"crncy")</f>
        <v>#N/A Connection</v>
      </c>
      <c r="G96" s="5" t="s">
        <v>149</v>
      </c>
      <c r="H96" s="4" t="str">
        <f>IF(_xll.BDP(AI96,"RTG_MOODY")="#N/A N/A","N/A",_xll.BDP(AI96,"RTG_MOODY"))&amp;","&amp;IF(_xll.BDP(AI96,"RTG_FITCH")="#N/A N/A","N/A",_xll.BDP(AI96,"RTG_FITCH"))&amp;","&amp;IF(_xll.BDP(AI96,"RTG_SP")="#N/A N/A","N/A",_xll.BDP(AI96,"RTG_SP"))</f>
        <v>#N/A Connection,#N/A Connection,#N/A Connection</v>
      </c>
      <c r="I96" s="7" t="e">
        <f>_xll.BDP(AI96,"cpn")/100</f>
        <v>#VALUE!</v>
      </c>
      <c r="J96" s="7" t="e">
        <f ca="1">_xll.BDP($G96&amp;" isin","YAS_BOND_YLD", "YAS_YLD_FLAG=15", "user_local_trade_date",AN96,"Yas_bond_px",$Q96)/100</f>
        <v>#VALUE!</v>
      </c>
      <c r="K96" s="4" t="str">
        <f>_xll.BDP(AI96,"PAYMENT_RANK")</f>
        <v>#N/A Connection</v>
      </c>
      <c r="L96" s="4" t="str">
        <f>IF((TEXT(_xll.BDP(AI96,"MATURITY"),"DD/MM/YYYY")="#N/A Field Not Applicable"),"Perp",TEXT(_xll.BDP(AI96,"MATURITY"),"DD/MM/YYYY"))</f>
        <v>#N/A Connection</v>
      </c>
      <c r="M96" s="8" t="str">
        <f>(IF(_xll.BDP($AI96&amp;" ISIN","DU003")="#n/a n/a"," ",_xll.BDP($AI96&amp;" ISIN","DU003")))</f>
        <v>#N/A Connection</v>
      </c>
      <c r="N96" s="4" t="str">
        <f>IF(_xll.BDP(AI96,"CALLABLE")="Y",_xll.BDP(AI96,"NXT_CALL_DT")," ")</f>
        <v xml:space="preserve"> </v>
      </c>
      <c r="O96" s="9">
        <v>200000</v>
      </c>
      <c r="P96" s="5">
        <v>100.01</v>
      </c>
      <c r="Q96" s="10" t="str">
        <f>_xll.BDP(AI96,"px_bid")</f>
        <v>#N/A Connection</v>
      </c>
      <c r="R96" s="11" t="e">
        <f>IF(F96="USD",AG96,(((_xll.BDP(F96&amp;"USD CURNCY","PX_LAST")))*AG96))</f>
        <v>#VALUE!</v>
      </c>
      <c r="S96" s="11" t="e">
        <f>IF(F96="USD",AH96,(((_xll.BDP(F96&amp;"USD CURNCY","PX_LAST")))*AH96))+AP96</f>
        <v>#VALUE!</v>
      </c>
      <c r="T96" s="12" t="e">
        <f t="shared" si="34"/>
        <v>#VALUE!</v>
      </c>
      <c r="U96" s="13" t="e">
        <f t="shared" si="35"/>
        <v>#VALUE!</v>
      </c>
      <c r="V96" s="13" t="str" cm="1">
        <f t="array" ref="V96">IFERROR(_xll.BDP($G96&amp;" ISIN","CHG_PCT_1D")/100,"")</f>
        <v/>
      </c>
      <c r="W96" s="13" t="str" cm="1">
        <f t="array" ref="W96">IFERROR(_xll.BDP($G96&amp;" ISIN","CHG_PCT_5D")/100,"")</f>
        <v/>
      </c>
      <c r="X96" s="13" t="e" cm="1">
        <f t="array" ref="X96">_xll.BDP($G96&amp;" ISIN","CHG_PCT_1M")/100</f>
        <v>#VALUE!</v>
      </c>
      <c r="Y96" s="13" t="e" cm="1">
        <f t="array" ref="Y96">_xll.BDP($G96&amp;" ISIN","CHG_PCT_3M")/100</f>
        <v>#VALUE!</v>
      </c>
      <c r="Z96" s="13" t="e" cm="1">
        <f t="array" ref="Z96">_xll.BDP($G96&amp;" ISIN","CHG_PCT_6M")/100</f>
        <v>#VALUE!</v>
      </c>
      <c r="AA96" s="13" t="e" cm="1">
        <f t="array" ref="AA96">_xll.BDP($G96&amp;" ISIN","CHG_PCT_YTD")/100</f>
        <v>#VALUE!</v>
      </c>
      <c r="AB96" s="13" t="e">
        <f t="shared" si="42"/>
        <v>#VALUE!</v>
      </c>
      <c r="AC96" s="14" t="e">
        <f t="shared" ca="1" si="36"/>
        <v>#VALUE!</v>
      </c>
      <c r="AD96" s="4" t="str">
        <f>_xll.BDP(AI96,"DS199")</f>
        <v>#N/A Connection</v>
      </c>
      <c r="AE96" s="10" t="str">
        <f>_xll.BDP(AI96,"px_ask")</f>
        <v>#N/A Connection</v>
      </c>
      <c r="AF96" s="14" t="e">
        <f>IF(F96="USD",O96,(((_xll.BDP(F96&amp;"USD CURNCY","PX_LAST")))*O96))</f>
        <v>#VALUE!</v>
      </c>
      <c r="AG96" s="11">
        <f t="shared" si="37"/>
        <v>200020</v>
      </c>
      <c r="AH96" s="11" t="e">
        <f t="shared" si="38"/>
        <v>#VALUE!</v>
      </c>
      <c r="AI96" s="4" t="str">
        <f t="shared" si="39"/>
        <v>XS2630917107 ISIN</v>
      </c>
      <c r="AJ96" s="4" t="e" cm="1">
        <f t="array" ref="AJ96">VLOOKUP(IF(NOT(_xll.BDP($G96&amp;" CORP",$CA$5)="#N/A N/A"),(_xll.BDP($G96&amp;" CORP",$CA$5)),"-"), '[1]Country Codes'!$A$2:$B$253,2,0)</f>
        <v>#N/A</v>
      </c>
      <c r="AK96" s="4" t="str" cm="1">
        <f t="array" ref="AK96">IF(OR(_xll.BDP($AI96,"EX028")= "#N/A N/A", _xll.BDP($AI96,"EX028")="#N/A FIELD NOT APPLICABLE"), " ", _xll.BDP($AI96,"EX028"))</f>
        <v>#N/A Connection</v>
      </c>
      <c r="AL96" s="15" t="str">
        <f>(IF(_xll.BDP($AI96&amp;" ISIN","DZ282")="Y","Single line Bonds Cocos","Single line Bonds ex Cocos"))</f>
        <v>Single line Bonds ex Cocos</v>
      </c>
      <c r="AM96" s="8" t="str">
        <f>(IF(_xll.BDP($G96&amp;" ISIN","SP153")="#n/a n/a"," ",_xll.BDP($G96&amp;" ISIN","SP153")))</f>
        <v>#N/A Connection</v>
      </c>
      <c r="AN96" s="16">
        <f t="shared" ca="1" si="40"/>
        <v>45783</v>
      </c>
      <c r="AO96" s="11" t="e">
        <f>(((_xll.BDP(AI96,"DS032"))/365)*I96)*O96</f>
        <v>#VALUE!</v>
      </c>
      <c r="AP96" s="11" t="e">
        <f>IF(F96="USD",AO96,(((_xll.BDP(F96&amp;"USD CURNCY","PX_LAST")))*AO96))</f>
        <v>#VALUE!</v>
      </c>
      <c r="AQ96" s="13" t="e">
        <f t="shared" si="43"/>
        <v>#VALUE!</v>
      </c>
      <c r="AR96" s="11" t="e">
        <f t="shared" si="41"/>
        <v>#VALUE!</v>
      </c>
      <c r="AS96" s="10" t="str">
        <f>IF((TEXT(_xll.BDP(AI96,"MATURITY"),"DD/MM/YYYY")="#N/A Field Not Applicable"),"Perp",_xll.BDP(AI96,"DS252"))</f>
        <v>#N/A Connection</v>
      </c>
      <c r="AT96" s="15" t="str">
        <f>(IF(_xll.BDP($AI96&amp;" ISIN","DT247")="Y","Yes","No"))</f>
        <v>No</v>
      </c>
      <c r="AU96" s="15" t="str">
        <f>PROPER(IF(OR(_xll.BDP($AI96,"CPN_TYP")="#n/a N/A",_xll.BDP($AI96,"CPN_TYP")= "#N/A FIELD NOT APPLICABLE"), " ", _xll.BDP($AI96,"CPN_TYP")))</f>
        <v>#N/A Connection</v>
      </c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17" t="str">
        <f t="shared" si="33"/>
        <v>XS2630917107</v>
      </c>
      <c r="BH96" s="17">
        <v>0.65</v>
      </c>
      <c r="BI96" s="18">
        <v>5</v>
      </c>
      <c r="BJ96" s="19">
        <v>45538</v>
      </c>
      <c r="BK96" s="20">
        <v>1</v>
      </c>
      <c r="BL96" s="21"/>
    </row>
    <row r="97" spans="1:64" s="77" customFormat="1" ht="14.45" customHeight="1" x14ac:dyDescent="0.25">
      <c r="A97" s="49" t="s">
        <v>241</v>
      </c>
      <c r="B97" s="49" t="s">
        <v>266</v>
      </c>
      <c r="C97" s="49" t="s">
        <v>267</v>
      </c>
      <c r="D97" s="49" t="s">
        <v>240</v>
      </c>
      <c r="E97" s="4" t="str">
        <f>_xll.BDP(AI97,"ds520")</f>
        <v>#N/A Connection</v>
      </c>
      <c r="F97" s="4" t="str">
        <f>_xll.BDP(AI97,"crncy")</f>
        <v>#N/A Connection</v>
      </c>
      <c r="G97" s="5" t="s">
        <v>45</v>
      </c>
      <c r="H97" s="4" t="str">
        <f>IF(_xll.BDP(AI97,"RTG_MOODY")="#N/A N/A","N/A",_xll.BDP(AI97,"RTG_MOODY"))&amp;","&amp;IF(_xll.BDP(AI97,"RTG_FITCH")="#N/A N/A","N/A",_xll.BDP(AI97,"RTG_FITCH"))&amp;","&amp;IF(_xll.BDP(AI97,"RTG_SP")="#N/A N/A","N/A",_xll.BDP(AI97,"RTG_SP"))</f>
        <v>#N/A Connection,#N/A Connection,#N/A Connection</v>
      </c>
      <c r="I97" s="7" t="e">
        <f>_xll.BDP(AI97,"cpn")/100</f>
        <v>#VALUE!</v>
      </c>
      <c r="J97" s="7" t="e">
        <f ca="1">_xll.BDP($G97&amp;" isin","YAS_BOND_YLD", "YAS_YLD_FLAG=15", "user_local_trade_date",AN97,"Yas_bond_px",$Q97)/100</f>
        <v>#VALUE!</v>
      </c>
      <c r="K97" s="4" t="str">
        <f>_xll.BDP(AI97,"PAYMENT_RANK")</f>
        <v>#N/A Connection</v>
      </c>
      <c r="L97" s="4" t="str">
        <f>IF((TEXT(_xll.BDP(AI97,"MATURITY"),"DD/MM/YYYY")="#N/A Field Not Applicable"),"Perp",TEXT(_xll.BDP(AI97,"MATURITY"),"DD/MM/YYYY"))</f>
        <v>#N/A Connection</v>
      </c>
      <c r="M97" s="8" t="str">
        <f>(IF(_xll.BDP($AI97&amp;" ISIN","DU003")="#n/a n/a"," ",_xll.BDP($AI97&amp;" ISIN","DU003")))</f>
        <v>#N/A Connection</v>
      </c>
      <c r="N97" s="4" t="str">
        <f>IF(_xll.BDP(AI97,"CALLABLE")="Y",_xll.BDP(AI97,"NXT_CALL_DT")," ")</f>
        <v xml:space="preserve"> </v>
      </c>
      <c r="O97" s="9">
        <v>200000</v>
      </c>
      <c r="P97" s="5">
        <v>98.78</v>
      </c>
      <c r="Q97" s="10" t="str">
        <f>_xll.BDP(AI97,"px_bid")</f>
        <v>#N/A Connection</v>
      </c>
      <c r="R97" s="11" t="e">
        <f>IF(F97="USD",AG97,(((_xll.BDP(F97&amp;"USD CURNCY","PX_LAST")))*AG97))</f>
        <v>#VALUE!</v>
      </c>
      <c r="S97" s="11" t="e">
        <f>IF(F97="USD",AH97,(((_xll.BDP(F97&amp;"USD CURNCY","PX_LAST")))*AH97))+AP97</f>
        <v>#VALUE!</v>
      </c>
      <c r="T97" s="12" t="e">
        <f t="shared" si="34"/>
        <v>#VALUE!</v>
      </c>
      <c r="U97" s="13" t="e">
        <f t="shared" si="35"/>
        <v>#VALUE!</v>
      </c>
      <c r="V97" s="13" t="str" cm="1">
        <f t="array" ref="V97">IFERROR(_xll.BDP($G97&amp;" ISIN","CHG_PCT_1D")/100,"")</f>
        <v/>
      </c>
      <c r="W97" s="13" t="str" cm="1">
        <f t="array" ref="W97">IFERROR(_xll.BDP($G97&amp;" ISIN","CHG_PCT_5D")/100,"")</f>
        <v/>
      </c>
      <c r="X97" s="13" t="e" cm="1">
        <f t="array" ref="X97">_xll.BDP($G97&amp;" ISIN","CHG_PCT_1M")/100</f>
        <v>#VALUE!</v>
      </c>
      <c r="Y97" s="13" t="e" cm="1">
        <f t="array" ref="Y97">_xll.BDP($G97&amp;" ISIN","CHG_PCT_3M")/100</f>
        <v>#VALUE!</v>
      </c>
      <c r="Z97" s="13" t="e" cm="1">
        <f t="array" ref="Z97">_xll.BDP($G97&amp;" ISIN","CHG_PCT_6M")/100</f>
        <v>#VALUE!</v>
      </c>
      <c r="AA97" s="13" t="e" cm="1">
        <f t="array" ref="AA97">_xll.BDP($G97&amp;" ISIN","CHG_PCT_YTD")/100</f>
        <v>#VALUE!</v>
      </c>
      <c r="AB97" s="13" t="e">
        <f t="shared" si="42"/>
        <v>#VALUE!</v>
      </c>
      <c r="AC97" s="14" t="e">
        <f t="shared" ca="1" si="36"/>
        <v>#VALUE!</v>
      </c>
      <c r="AD97" s="4" t="str">
        <f>_xll.BDP(AI97,"DS199")</f>
        <v>#N/A Connection</v>
      </c>
      <c r="AE97" s="10" t="str">
        <f>_xll.BDP(AI97,"px_ask")</f>
        <v>#N/A Connection</v>
      </c>
      <c r="AF97" s="14" t="e">
        <f>IF(F97="USD",O97,(((_xll.BDP(F97&amp;"USD CURNCY","PX_LAST")))*O97))</f>
        <v>#VALUE!</v>
      </c>
      <c r="AG97" s="11">
        <f t="shared" si="37"/>
        <v>197560</v>
      </c>
      <c r="AH97" s="11" t="e">
        <f t="shared" si="38"/>
        <v>#VALUE!</v>
      </c>
      <c r="AI97" s="4" t="str">
        <f t="shared" si="39"/>
        <v>PAL63444B5A9 ISIN</v>
      </c>
      <c r="AJ97" s="4" t="e" cm="1">
        <f t="array" ref="AJ97">VLOOKUP(IF(NOT(_xll.BDP($G97&amp;" CORP",$CA$5)="#N/A N/A"),(_xll.BDP($G97&amp;" CORP",$CA$5)),"-"), '[1]Country Codes'!$A$2:$B$253,2,0)</f>
        <v>#N/A</v>
      </c>
      <c r="AK97" s="4" t="str" cm="1">
        <f t="array" ref="AK97">IF(OR(_xll.BDP($AI97,"EX028")= "#N/A N/A", _xll.BDP($AI97,"EX028")="#N/A FIELD NOT APPLICABLE"), " ", _xll.BDP($AI97,"EX028"))</f>
        <v>#N/A Connection</v>
      </c>
      <c r="AL97" s="15" t="str">
        <f>(IF(_xll.BDP($AI97&amp;" ISIN","DZ282")="Y","Single line Bonds Cocos","Single line Bonds ex Cocos"))</f>
        <v>Single line Bonds ex Cocos</v>
      </c>
      <c r="AM97" s="8" t="str">
        <f>(IF(_xll.BDP($G97&amp;" ISIN","SP153")="#n/a n/a"," ",_xll.BDP($G97&amp;" ISIN","SP153")))</f>
        <v>#N/A Connection</v>
      </c>
      <c r="AN97" s="16">
        <f t="shared" ca="1" si="40"/>
        <v>45783</v>
      </c>
      <c r="AO97" s="11" t="e">
        <f>(((_xll.BDP(AI97,"DS032"))/365)*I97)*O97</f>
        <v>#VALUE!</v>
      </c>
      <c r="AP97" s="11" t="e">
        <f>IF(F97="USD",AO97,(((_xll.BDP(F97&amp;"USD CURNCY","PX_LAST")))*AO97))</f>
        <v>#VALUE!</v>
      </c>
      <c r="AQ97" s="13" t="e">
        <f t="shared" si="43"/>
        <v>#VALUE!</v>
      </c>
      <c r="AR97" s="11" t="e">
        <f t="shared" si="41"/>
        <v>#VALUE!</v>
      </c>
      <c r="AS97" s="10" t="str">
        <f>IF((TEXT(_xll.BDP(AI97,"MATURITY"),"DD/MM/YYYY")="#N/A Field Not Applicable"),"Perp",_xll.BDP(AI97,"DS252"))</f>
        <v>#N/A Connection</v>
      </c>
      <c r="AT97" s="15" t="str">
        <f>(IF(_xll.BDP($AI97&amp;" ISIN","DT247")="Y","Yes","No"))</f>
        <v>No</v>
      </c>
      <c r="AU97" s="15" t="str">
        <f>PROPER(IF(OR(_xll.BDP($AI97,"CPN_TYP")="#n/a N/A",_xll.BDP($AI97,"CPN_TYP")= "#N/A FIELD NOT APPLICABLE"), " ", _xll.BDP($AI97,"CPN_TYP")))</f>
        <v>#N/A Connection</v>
      </c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17" t="str">
        <f t="shared" si="33"/>
        <v>PAL63444B5A9</v>
      </c>
      <c r="BH97" s="17">
        <v>0.7</v>
      </c>
      <c r="BI97" s="18">
        <v>3</v>
      </c>
      <c r="BJ97" s="19">
        <v>45125</v>
      </c>
      <c r="BK97" s="20">
        <v>1</v>
      </c>
      <c r="BL97" s="21"/>
    </row>
    <row r="98" spans="1:64" s="21" customFormat="1" ht="14.45" customHeight="1" x14ac:dyDescent="0.25">
      <c r="A98" s="49" t="s">
        <v>241</v>
      </c>
      <c r="B98" s="49" t="s">
        <v>266</v>
      </c>
      <c r="C98" s="49" t="s">
        <v>267</v>
      </c>
      <c r="D98" s="49" t="s">
        <v>240</v>
      </c>
      <c r="E98" s="4" t="str">
        <f>_xll.BDP(AI98,"ds520")</f>
        <v>#N/A Connection</v>
      </c>
      <c r="F98" s="4" t="str">
        <f>_xll.BDP(AI98,"crncy")</f>
        <v>#N/A Connection</v>
      </c>
      <c r="G98" s="5" t="s">
        <v>43</v>
      </c>
      <c r="H98" s="4" t="str">
        <f>IF(_xll.BDP(AI98,"RTG_MOODY")="#N/A N/A","N/A",_xll.BDP(AI98,"RTG_MOODY"))&amp;","&amp;IF(_xll.BDP(AI98,"RTG_FITCH")="#N/A N/A","N/A",_xll.BDP(AI98,"RTG_FITCH"))&amp;","&amp;IF(_xll.BDP(AI98,"RTG_SP")="#N/A N/A","N/A",_xll.BDP(AI98,"RTG_SP"))</f>
        <v>#N/A Connection,#N/A Connection,#N/A Connection</v>
      </c>
      <c r="I98" s="7" t="e">
        <f>_xll.BDP(AI98,"cpn")/100</f>
        <v>#VALUE!</v>
      </c>
      <c r="J98" s="7" t="e">
        <f ca="1">_xll.BDP($G98&amp;" isin","YAS_BOND_YLD", "YAS_YLD_FLAG=15", "user_local_trade_date",AN98,"Yas_bond_px",$Q98)/100</f>
        <v>#VALUE!</v>
      </c>
      <c r="K98" s="4" t="str">
        <f>_xll.BDP(AI98,"PAYMENT_RANK")</f>
        <v>#N/A Connection</v>
      </c>
      <c r="L98" s="4" t="str">
        <f>IF((TEXT(_xll.BDP(AI98,"MATURITY"),"DD/MM/YYYY")="#N/A Field Not Applicable"),"Perp",TEXT(_xll.BDP(AI98,"MATURITY"),"DD/MM/YYYY"))</f>
        <v>#N/A Connection</v>
      </c>
      <c r="M98" s="8" t="str">
        <f>(IF(_xll.BDP($AI98&amp;" ISIN","DU003")="#n/a n/a"," ",_xll.BDP($AI98&amp;" ISIN","DU003")))</f>
        <v>#N/A Connection</v>
      </c>
      <c r="N98" s="4" t="str">
        <f>IF(_xll.BDP(AI98,"CALLABLE")="Y",_xll.BDP(AI98,"NXT_CALL_DT")," ")</f>
        <v xml:space="preserve"> </v>
      </c>
      <c r="O98" s="9">
        <v>200000</v>
      </c>
      <c r="P98" s="5">
        <v>100.08</v>
      </c>
      <c r="Q98" s="10" t="str">
        <f>_xll.BDP(AI98,"px_bid")</f>
        <v>#N/A Connection</v>
      </c>
      <c r="R98" s="11" t="e">
        <f>IF(F98="USD",AG98,(((_xll.BDP(F98&amp;"USD CURNCY","PX_LAST")))*AG98))</f>
        <v>#VALUE!</v>
      </c>
      <c r="S98" s="11" t="e">
        <f>IF(F98="USD",AH98,(((_xll.BDP(F98&amp;"USD CURNCY","PX_LAST")))*AH98))+AP98</f>
        <v>#VALUE!</v>
      </c>
      <c r="T98" s="12" t="e">
        <f t="shared" si="34"/>
        <v>#VALUE!</v>
      </c>
      <c r="U98" s="13" t="e">
        <f t="shared" si="35"/>
        <v>#VALUE!</v>
      </c>
      <c r="V98" s="13" t="str" cm="1">
        <f t="array" ref="V98">IFERROR(_xll.BDP($G98&amp;" ISIN","CHG_PCT_1D")/100,"")</f>
        <v/>
      </c>
      <c r="W98" s="13" t="str" cm="1">
        <f t="array" ref="W98">IFERROR(_xll.BDP($G98&amp;" ISIN","CHG_PCT_5D")/100,"")</f>
        <v/>
      </c>
      <c r="X98" s="13" t="e" cm="1">
        <f t="array" ref="X98">_xll.BDP($G98&amp;" ISIN","CHG_PCT_1M")/100</f>
        <v>#VALUE!</v>
      </c>
      <c r="Y98" s="13" t="e" cm="1">
        <f t="array" ref="Y98">_xll.BDP($G98&amp;" ISIN","CHG_PCT_3M")/100</f>
        <v>#VALUE!</v>
      </c>
      <c r="Z98" s="13" t="e" cm="1">
        <f t="array" ref="Z98">_xll.BDP($G98&amp;" ISIN","CHG_PCT_6M")/100</f>
        <v>#VALUE!</v>
      </c>
      <c r="AA98" s="13" t="e" cm="1">
        <f t="array" ref="AA98">_xll.BDP($G98&amp;" ISIN","CHG_PCT_YTD")/100</f>
        <v>#VALUE!</v>
      </c>
      <c r="AB98" s="13" t="e">
        <f t="shared" si="42"/>
        <v>#VALUE!</v>
      </c>
      <c r="AC98" s="14" t="e">
        <f t="shared" ca="1" si="36"/>
        <v>#VALUE!</v>
      </c>
      <c r="AD98" s="4" t="str">
        <f>_xll.BDP(AI98,"DS199")</f>
        <v>#N/A Connection</v>
      </c>
      <c r="AE98" s="10" t="str">
        <f>_xll.BDP(AI98,"px_ask")</f>
        <v>#N/A Connection</v>
      </c>
      <c r="AF98" s="14" t="e">
        <f>IF(F98="USD",O98,(((_xll.BDP(F98&amp;"USD CURNCY","PX_LAST")))*O98))</f>
        <v>#VALUE!</v>
      </c>
      <c r="AG98" s="11">
        <f t="shared" si="37"/>
        <v>200160</v>
      </c>
      <c r="AH98" s="11" t="e">
        <f t="shared" si="38"/>
        <v>#VALUE!</v>
      </c>
      <c r="AI98" s="4" t="str">
        <f t="shared" si="39"/>
        <v>USF2280BAA47 ISIN</v>
      </c>
      <c r="AJ98" s="4" t="e" cm="1">
        <f t="array" ref="AJ98">VLOOKUP(IF(NOT(_xll.BDP($G98&amp;" CORP",$CA$5)="#N/A N/A"),(_xll.BDP($G98&amp;" CORP",$CA$5)),"-"), '[1]Country Codes'!$A$2:$B$253,2,0)</f>
        <v>#N/A</v>
      </c>
      <c r="AK98" s="4" t="str" cm="1">
        <f t="array" ref="AK98">IF(OR(_xll.BDP($AI98,"EX028")= "#N/A N/A", _xll.BDP($AI98,"EX028")="#N/A FIELD NOT APPLICABLE"), " ", _xll.BDP($AI98,"EX028"))</f>
        <v>#N/A Connection</v>
      </c>
      <c r="AL98" s="15" t="str">
        <f>(IF(_xll.BDP($AI98&amp;" ISIN","DZ282")="Y","Single line Bonds Cocos","Single line Bonds ex Cocos"))</f>
        <v>Single line Bonds ex Cocos</v>
      </c>
      <c r="AM98" s="8" t="str">
        <f>(IF(_xll.BDP($G98&amp;" ISIN","SP153")="#n/a n/a"," ",_xll.BDP($G98&amp;" ISIN","SP153")))</f>
        <v>#N/A Connection</v>
      </c>
      <c r="AN98" s="16">
        <f t="shared" ca="1" si="40"/>
        <v>45783</v>
      </c>
      <c r="AO98" s="11" t="e">
        <f>(((_xll.BDP(AI98,"DS032"))/365)*I98)*O98</f>
        <v>#VALUE!</v>
      </c>
      <c r="AP98" s="11" t="e">
        <f>IF(F98="USD",AO98,(((_xll.BDP(F98&amp;"USD CURNCY","PX_LAST")))*AO98))</f>
        <v>#VALUE!</v>
      </c>
      <c r="AQ98" s="13" t="e">
        <f t="shared" si="43"/>
        <v>#VALUE!</v>
      </c>
      <c r="AR98" s="11" t="e">
        <f t="shared" si="41"/>
        <v>#VALUE!</v>
      </c>
      <c r="AS98" s="10" t="str">
        <f>IF((TEXT(_xll.BDP(AI98,"MATURITY"),"DD/MM/YYYY")="#N/A Field Not Applicable"),"Perp",_xll.BDP(AI98,"DS252"))</f>
        <v>#N/A Connection</v>
      </c>
      <c r="AT98" s="15" t="str">
        <f>(IF(_xll.BDP($AI98&amp;" ISIN","DT247")="Y","Yes","No"))</f>
        <v>No</v>
      </c>
      <c r="AU98" s="15" t="str">
        <f>PROPER(IF(OR(_xll.BDP($AI98,"CPN_TYP")="#n/a N/A",_xll.BDP($AI98,"CPN_TYP")= "#N/A FIELD NOT APPLICABLE"), " ", _xll.BDP($AI98,"CPN_TYP")))</f>
        <v>#N/A Connection</v>
      </c>
      <c r="BG98" s="17" t="str">
        <f t="shared" si="33"/>
        <v>USF2280BAA47</v>
      </c>
      <c r="BH98" s="17">
        <v>0.6</v>
      </c>
      <c r="BI98" s="18" t="s">
        <v>147</v>
      </c>
      <c r="BJ98" s="19">
        <v>45560</v>
      </c>
      <c r="BK98" s="20">
        <v>1</v>
      </c>
    </row>
    <row r="99" spans="1:64" s="21" customFormat="1" ht="14.45" customHeight="1" x14ac:dyDescent="0.25">
      <c r="A99" s="49" t="s">
        <v>241</v>
      </c>
      <c r="B99" s="49" t="s">
        <v>266</v>
      </c>
      <c r="C99" s="49" t="s">
        <v>267</v>
      </c>
      <c r="D99" s="49" t="s">
        <v>240</v>
      </c>
      <c r="E99" s="4" t="str">
        <f>_xll.BDP(AI99,"ds520")</f>
        <v>TVF Varlik Kiralama AS</v>
      </c>
      <c r="F99" s="4" t="str">
        <f>_xll.BDP(AI99,"crncy")</f>
        <v>USD</v>
      </c>
      <c r="G99" s="5" t="s">
        <v>136</v>
      </c>
      <c r="H99" s="4" t="str">
        <f>IF(_xll.BDP(AI99,"RTG_MOODY")="#N/A N/A","N/A",_xll.BDP(AI99,"RTG_MOODY"))&amp;","&amp;IF(_xll.BDP(AI99,"RTG_FITCH")="#N/A N/A","N/A",_xll.BDP(AI99,"RTG_FITCH"))&amp;","&amp;IF(_xll.BDP(AI99,"RTG_SP")="#N/A N/A","N/A",_xll.BDP(AI99,"RTG_SP"))</f>
        <v>N/A,BB-,N/A</v>
      </c>
      <c r="I99" s="7">
        <f>_xll.BDP(AI99,"cpn")/100</f>
        <v>6.9500000000000006E-2</v>
      </c>
      <c r="J99" s="7">
        <f ca="1">_xll.BDP($G99&amp;" isin","YAS_BOND_YLD", "YAS_YLD_FLAG=15", "user_local_trade_date",AN99,"Yas_bond_px",$Q99)/100</f>
        <v>7.1722910000000001E-2</v>
      </c>
      <c r="K99" s="4" t="str">
        <f>_xll.BDP(AI99,"PAYMENT_RANK")</f>
        <v>Sr Unsecured</v>
      </c>
      <c r="L99" s="4" t="str">
        <f>IF((TEXT(_xll.BDP(AI99,"MATURITY"),"DD/MM/YYYY")="#N/A Field Not Applicable"),"Perp",TEXT(_xll.BDP(AI99,"MATURITY"),"DD/MM/YYYY"))</f>
        <v>23/01/2030</v>
      </c>
      <c r="M99" s="8">
        <f>(IF(_xll.BDP($AI99&amp;" ISIN","DU003")="#n/a n/a"," ",_xll.BDP($AI99&amp;" ISIN","DU003")))</f>
        <v>4.0302780432457386</v>
      </c>
      <c r="N99" s="4" t="str">
        <f>IF(_xll.BDP(AI99,"CALLABLE")="Y",_xll.BDP(AI99,"NXT_CALL_DT")," ")</f>
        <v xml:space="preserve"> </v>
      </c>
      <c r="O99" s="9">
        <v>200000</v>
      </c>
      <c r="P99" s="5">
        <v>100.01</v>
      </c>
      <c r="Q99" s="10">
        <f>_xll.BDP(AI99,"px_bid")</f>
        <v>99.11</v>
      </c>
      <c r="R99" s="11">
        <f>IF(F99="USD",AG99,(((_xll.BDP(F99&amp;"USD CURNCY","PX_LAST")))*AG99))</f>
        <v>200020</v>
      </c>
      <c r="S99" s="11">
        <f>IF(F99="USD",AH99,(((_xll.BDP(F99&amp;"USD CURNCY","PX_LAST")))*AH99))+AP99</f>
        <v>201990.13698630137</v>
      </c>
      <c r="T99" s="12">
        <f t="shared" si="34"/>
        <v>-1800.0000000000114</v>
      </c>
      <c r="U99" s="13">
        <f t="shared" si="35"/>
        <v>-8.9991000899910575E-3</v>
      </c>
      <c r="V99" s="13" t="str" cm="1">
        <f t="array" ref="V99">IFERROR(_xll.BDP($G99&amp;" ISIN","CHG_PCT_1D")/100,"")</f>
        <v/>
      </c>
      <c r="W99" s="13" t="str" cm="1">
        <f t="array" ref="W99">IFERROR(_xll.BDP($G99&amp;" ISIN","CHG_PCT_5D")/100,"")</f>
        <v/>
      </c>
      <c r="X99" s="13" t="e" cm="1">
        <f t="array" ref="X99">_xll.BDP($G99&amp;" ISIN","CHG_PCT_1M")/100</f>
        <v>#VALUE!</v>
      </c>
      <c r="Y99" s="13" t="e" cm="1">
        <f t="array" ref="Y99">_xll.BDP($G99&amp;" ISIN","CHG_PCT_3M")/100</f>
        <v>#VALUE!</v>
      </c>
      <c r="Z99" s="13" t="e" cm="1">
        <f t="array" ref="Z99">_xll.BDP($G99&amp;" ISIN","CHG_PCT_6M")/100</f>
        <v>#VALUE!</v>
      </c>
      <c r="AA99" s="13" t="e" cm="1">
        <f t="array" ref="AA99">_xll.BDP($G99&amp;" ISIN","CHG_PCT_YTD")/100</f>
        <v>#VALUE!</v>
      </c>
      <c r="AB99" s="13" t="e">
        <f t="shared" si="42"/>
        <v>#VALUE!</v>
      </c>
      <c r="AC99" s="14">
        <f t="shared" ca="1" si="36"/>
        <v>5999.4444444444343</v>
      </c>
      <c r="AD99" s="4" t="str">
        <f>_xll.BDP(AI99,"DS199")</f>
        <v>Financial</v>
      </c>
      <c r="AE99" s="10">
        <f>_xll.BDP(AI99,"px_ask")</f>
        <v>99.495999999999995</v>
      </c>
      <c r="AF99" s="14">
        <f>IF(F99="USD",O99,(((_xll.BDP(F99&amp;"USD CURNCY","PX_LAST")))*O99))</f>
        <v>200000</v>
      </c>
      <c r="AG99" s="11">
        <f t="shared" si="37"/>
        <v>200020</v>
      </c>
      <c r="AH99" s="11">
        <f t="shared" si="38"/>
        <v>198220</v>
      </c>
      <c r="AI99" s="4" t="str">
        <f t="shared" si="39"/>
        <v>XS2911679004 ISIN</v>
      </c>
      <c r="AJ99" s="4" t="e" cm="1">
        <f t="array" ref="AJ99">VLOOKUP(IF(NOT(_xll.BDP($G99&amp;" CORP",$CA$5)="#N/A N/A"),(_xll.BDP($G99&amp;" CORP",$CA$5)),"-"), '[1]Country Codes'!$A$2:$B$253,2,0)</f>
        <v>#N/A</v>
      </c>
      <c r="AK99" s="4" t="str" cm="1">
        <f t="array" ref="AK99">IF(OR(_xll.BDP($AI99,"EX028")= "#N/A N/A", _xll.BDP($AI99,"EX028")="#N/A FIELD NOT APPLICABLE"), " ", _xll.BDP($AI99,"EX028"))</f>
        <v>FixedIncome</v>
      </c>
      <c r="AL99" s="15" t="str">
        <f>(IF(_xll.BDP($AI99&amp;" ISIN","DZ282")="Y","Single line Bonds Cocos","Single line Bonds ex Cocos"))</f>
        <v>Single line Bonds ex Cocos</v>
      </c>
      <c r="AM99" s="8">
        <f>(IF(_xll.BDP($G99&amp;" ISIN","SP153")="#n/a n/a"," ",_xll.BDP($G99&amp;" ISIN","SP153")))</f>
        <v>370.64895526953268</v>
      </c>
      <c r="AN99" s="16">
        <f t="shared" ca="1" si="40"/>
        <v>45783</v>
      </c>
      <c r="AO99" s="11">
        <f>(((_xll.BDP(AI99,"DS032"))/365)*I99)*O99</f>
        <v>3770.1369863013701</v>
      </c>
      <c r="AP99" s="11">
        <f>IF(F99="USD",AO99,(((_xll.BDP(F99&amp;"USD CURNCY","PX_LAST")))*AO99))</f>
        <v>3770.1369863013701</v>
      </c>
      <c r="AQ99" s="13">
        <f t="shared" si="43"/>
        <v>0.39989633267515767</v>
      </c>
      <c r="AR99" s="11">
        <f t="shared" si="41"/>
        <v>198220</v>
      </c>
      <c r="AS99" s="10">
        <f>IF((TEXT(_xll.BDP(AI99,"MATURITY"),"DD/MM/YYYY")="#N/A Field Not Applicable"),"Perp",_xll.BDP(AI99,"DS252"))</f>
        <v>4.7337440109514031</v>
      </c>
      <c r="AT99" s="15" t="str">
        <f>(IF(_xll.BDP($AI99&amp;" ISIN","DT247")="Y","Yes","No"))</f>
        <v>No</v>
      </c>
      <c r="AU99" s="15" t="str">
        <f>PROPER(IF(OR(_xll.BDP($AI99,"CPN_TYP")="#n/a N/A",_xll.BDP($AI99,"CPN_TYP")= "#N/A FIELD NOT APPLICABLE"), " ", _xll.BDP($AI99,"CPN_TYP")))</f>
        <v>Fixed</v>
      </c>
      <c r="BG99" s="17" t="str">
        <f t="shared" si="33"/>
        <v>XS2911679004</v>
      </c>
      <c r="BH99" s="17">
        <v>0.65</v>
      </c>
      <c r="BI99" s="18">
        <v>4</v>
      </c>
      <c r="BJ99" s="19">
        <v>45581</v>
      </c>
      <c r="BK99" s="20">
        <v>1</v>
      </c>
    </row>
    <row r="100" spans="1:64" s="21" customFormat="1" ht="14.45" customHeight="1" x14ac:dyDescent="0.25">
      <c r="A100" s="49" t="s">
        <v>241</v>
      </c>
      <c r="B100" s="49" t="s">
        <v>266</v>
      </c>
      <c r="C100" s="49" t="s">
        <v>267</v>
      </c>
      <c r="D100" s="49" t="s">
        <v>240</v>
      </c>
      <c r="E100" s="4" t="str">
        <f>_xll.BDP(AI100,"ds520")</f>
        <v>#N/A Connection</v>
      </c>
      <c r="F100" s="4" t="str">
        <f>_xll.BDP(AI100,"crncy")</f>
        <v>#N/A Connection</v>
      </c>
      <c r="G100" s="5" t="s">
        <v>148</v>
      </c>
      <c r="H100" s="4" t="str">
        <f>IF(_xll.BDP(AI100,"RTG_MOODY")="#N/A N/A","N/A",_xll.BDP(AI100,"RTG_MOODY"))&amp;","&amp;IF(_xll.BDP(AI100,"RTG_FITCH")="#N/A N/A","N/A",_xll.BDP(AI100,"RTG_FITCH"))&amp;","&amp;IF(_xll.BDP(AI100,"RTG_SP")="#N/A N/A","N/A",_xll.BDP(AI100,"RTG_SP"))</f>
        <v>#N/A Connection,#N/A Connection,#N/A Connection</v>
      </c>
      <c r="I100" s="7" t="e">
        <f>_xll.BDP(AI100,"cpn")/100</f>
        <v>#VALUE!</v>
      </c>
      <c r="J100" s="7" t="e">
        <f ca="1">_xll.BDP($G100&amp;" isin","YAS_BOND_YLD", "YAS_YLD_FLAG=15", "user_local_trade_date",AN100,"Yas_bond_px",$Q100)/100</f>
        <v>#VALUE!</v>
      </c>
      <c r="K100" s="4" t="str">
        <f>_xll.BDP(AI100,"PAYMENT_RANK")</f>
        <v>#N/A Connection</v>
      </c>
      <c r="L100" s="4" t="str">
        <f>IF((TEXT(_xll.BDP(AI100,"MATURITY"),"DD/MM/YYYY")="#N/A Field Not Applicable"),"Perp",TEXT(_xll.BDP(AI100,"MATURITY"),"DD/MM/YYYY"))</f>
        <v>#N/A Connection</v>
      </c>
      <c r="M100" s="8" t="str">
        <f>(IF(_xll.BDP($AI100&amp;" ISIN","DU003")="#n/a n/a"," ",_xll.BDP($AI100&amp;" ISIN","DU003")))</f>
        <v>#N/A Connection</v>
      </c>
      <c r="N100" s="4" t="str">
        <f>IF(_xll.BDP(AI100,"CALLABLE")="Y",_xll.BDP(AI100,"NXT_CALL_DT")," ")</f>
        <v xml:space="preserve"> </v>
      </c>
      <c r="O100" s="9">
        <v>200000</v>
      </c>
      <c r="P100" s="5">
        <v>102.64</v>
      </c>
      <c r="Q100" s="10" t="str">
        <f>_xll.BDP(AI100,"px_bid")</f>
        <v>#N/A Connection</v>
      </c>
      <c r="R100" s="11" t="e">
        <f>IF(F100="USD",AG100,(((_xll.BDP(F100&amp;"USD CURNCY","PX_LAST")))*AG100))</f>
        <v>#VALUE!</v>
      </c>
      <c r="S100" s="11" t="e">
        <f>IF(F100="USD",AH100,(((_xll.BDP(F100&amp;"USD CURNCY","PX_LAST")))*AH100))+AP100</f>
        <v>#VALUE!</v>
      </c>
      <c r="T100" s="12" t="e">
        <f t="shared" si="34"/>
        <v>#VALUE!</v>
      </c>
      <c r="U100" s="13" t="e">
        <f t="shared" si="35"/>
        <v>#VALUE!</v>
      </c>
      <c r="V100" s="13" t="str" cm="1">
        <f t="array" ref="V100">IFERROR(_xll.BDP($G100&amp;" ISIN","CHG_PCT_1D")/100,"")</f>
        <v/>
      </c>
      <c r="W100" s="13" t="str" cm="1">
        <f t="array" ref="W100">IFERROR(_xll.BDP($G100&amp;" ISIN","CHG_PCT_5D")/100,"")</f>
        <v/>
      </c>
      <c r="X100" s="13" t="e" cm="1">
        <f t="array" ref="X100">_xll.BDP($G100&amp;" ISIN","CHG_PCT_1M")/100</f>
        <v>#VALUE!</v>
      </c>
      <c r="Y100" s="13" t="e" cm="1">
        <f t="array" ref="Y100">_xll.BDP($G100&amp;" ISIN","CHG_PCT_3M")/100</f>
        <v>#VALUE!</v>
      </c>
      <c r="Z100" s="13" t="e" cm="1">
        <f t="array" ref="Z100">_xll.BDP($G100&amp;" ISIN","CHG_PCT_6M")/100</f>
        <v>#VALUE!</v>
      </c>
      <c r="AA100" s="13" t="e" cm="1">
        <f t="array" ref="AA100">_xll.BDP($G100&amp;" ISIN","CHG_PCT_YTD")/100</f>
        <v>#VALUE!</v>
      </c>
      <c r="AB100" s="13" t="e">
        <f t="shared" si="42"/>
        <v>#VALUE!</v>
      </c>
      <c r="AC100" s="14" t="e">
        <f t="shared" ca="1" si="36"/>
        <v>#VALUE!</v>
      </c>
      <c r="AD100" s="4" t="str">
        <f>_xll.BDP(AI100,"DS199")</f>
        <v>#N/A Connection</v>
      </c>
      <c r="AE100" s="10" t="str">
        <f>_xll.BDP(AI100,"px_ask")</f>
        <v>#N/A Connection</v>
      </c>
      <c r="AF100" s="14" t="e">
        <f>IF(F100="USD",O100,(((_xll.BDP(F100&amp;"USD CURNCY","PX_LAST")))*O100))</f>
        <v>#VALUE!</v>
      </c>
      <c r="AG100" s="11">
        <f t="shared" si="37"/>
        <v>205280</v>
      </c>
      <c r="AH100" s="11" t="e">
        <f t="shared" si="38"/>
        <v>#VALUE!</v>
      </c>
      <c r="AI100" s="4" t="str">
        <f t="shared" si="39"/>
        <v>US251526CT41 ISIN</v>
      </c>
      <c r="AJ100" s="4" t="e" cm="1">
        <f t="array" ref="AJ100">VLOOKUP(IF(NOT(_xll.BDP($G100&amp;" CORP",$CA$5)="#N/A N/A"),(_xll.BDP($G100&amp;" CORP",$CA$5)),"-"), '[1]Country Codes'!$A$2:$B$253,2,0)</f>
        <v>#N/A</v>
      </c>
      <c r="AK100" s="4" t="str" cm="1">
        <f t="array" ref="AK100">IF(OR(_xll.BDP($AI100,"EX028")= "#N/A N/A", _xll.BDP($AI100,"EX028")="#N/A FIELD NOT APPLICABLE"), " ", _xll.BDP($AI100,"EX028"))</f>
        <v>#N/A Connection</v>
      </c>
      <c r="AL100" s="15" t="str">
        <f>(IF(_xll.BDP($AI100&amp;" ISIN","DZ282")="Y","Single line Bonds Cocos","Single line Bonds ex Cocos"))</f>
        <v>Single line Bonds ex Cocos</v>
      </c>
      <c r="AM100" s="8" t="str">
        <f>(IF(_xll.BDP($G100&amp;" ISIN","SP153")="#n/a n/a"," ",_xll.BDP($G100&amp;" ISIN","SP153")))</f>
        <v>#N/A Connection</v>
      </c>
      <c r="AN100" s="16">
        <f t="shared" ca="1" si="40"/>
        <v>45783</v>
      </c>
      <c r="AO100" s="11" t="e">
        <f>(((_xll.BDP(AI100,"DS032"))/365)*I100)*O100</f>
        <v>#VALUE!</v>
      </c>
      <c r="AP100" s="11" t="e">
        <f>IF(F100="USD",AO100,(((_xll.BDP(F100&amp;"USD CURNCY","PX_LAST")))*AO100))</f>
        <v>#VALUE!</v>
      </c>
      <c r="AQ100" s="13" t="e">
        <f t="shared" si="43"/>
        <v>#VALUE!</v>
      </c>
      <c r="AR100" s="11" t="e">
        <f t="shared" si="41"/>
        <v>#VALUE!</v>
      </c>
      <c r="AS100" s="10" t="str">
        <f>IF((TEXT(_xll.BDP(AI100,"MATURITY"),"DD/MM/YYYY")="#N/A Field Not Applicable"),"Perp",_xll.BDP(AI100,"DS252"))</f>
        <v>#N/A Connection</v>
      </c>
      <c r="AT100" s="15" t="str">
        <f>(IF(_xll.BDP($AI100&amp;" ISIN","DT247")="Y","Yes","No"))</f>
        <v>No</v>
      </c>
      <c r="AU100" s="15" t="str">
        <f>PROPER(IF(OR(_xll.BDP($AI100,"CPN_TYP")="#n/a N/A",_xll.BDP($AI100,"CPN_TYP")= "#N/A FIELD NOT APPLICABLE"), " ", _xll.BDP($AI100,"CPN_TYP")))</f>
        <v>#N/A Connection</v>
      </c>
      <c r="BG100" s="17" t="str">
        <f t="shared" si="33"/>
        <v>US251526CT41</v>
      </c>
      <c r="BH100" s="17">
        <v>0.7</v>
      </c>
      <c r="BI100" s="18" t="s">
        <v>147</v>
      </c>
      <c r="BJ100" s="19">
        <v>45463</v>
      </c>
      <c r="BK100" s="20">
        <v>1</v>
      </c>
    </row>
    <row r="101" spans="1:64" s="21" customFormat="1" ht="14.45" customHeight="1" x14ac:dyDescent="0.25">
      <c r="A101" s="49" t="s">
        <v>241</v>
      </c>
      <c r="B101" s="49" t="s">
        <v>266</v>
      </c>
      <c r="C101" s="49" t="s">
        <v>267</v>
      </c>
      <c r="D101" s="49" t="s">
        <v>240</v>
      </c>
      <c r="E101" s="4" t="str">
        <f>_xll.BDP(AI101,"ds520")</f>
        <v>#N/A Connection</v>
      </c>
      <c r="F101" s="4" t="str">
        <f>_xll.BDP(AI101,"crncy")</f>
        <v>#N/A Connection</v>
      </c>
      <c r="G101" s="5" t="s">
        <v>216</v>
      </c>
      <c r="H101" s="4" t="str">
        <f>IF(_xll.BDP(AI101,"RTG_MOODY")="#N/A N/A","N/A",_xll.BDP(AI101,"RTG_MOODY"))&amp;","&amp;IF(_xll.BDP(AI101,"RTG_FITCH")="#N/A N/A","N/A",_xll.BDP(AI101,"RTG_FITCH"))&amp;","&amp;IF(_xll.BDP(AI101,"RTG_SP")="#N/A N/A","N/A",_xll.BDP(AI101,"RTG_SP"))</f>
        <v>#N/A Connection,#N/A Connection,#N/A Connection</v>
      </c>
      <c r="I101" s="7" t="e">
        <f>_xll.BDP(AI101,"cpn")/100</f>
        <v>#VALUE!</v>
      </c>
      <c r="J101" s="7" t="e">
        <f ca="1">_xll.BDP($G101&amp;" isin","YAS_BOND_YLD", "YAS_YLD_FLAG=15", "user_local_trade_date",AN101,"Yas_bond_px",$Q101)/100</f>
        <v>#VALUE!</v>
      </c>
      <c r="K101" s="4" t="str">
        <f>_xll.BDP(AI101,"PAYMENT_RANK")</f>
        <v>#N/A Connection</v>
      </c>
      <c r="L101" s="4" t="str">
        <f>IF((TEXT(_xll.BDP(AI101,"MATURITY"),"DD/MM/YYYY")="#N/A Field Not Applicable"),"Perp",TEXT(_xll.BDP(AI101,"MATURITY"),"DD/MM/YYYY"))</f>
        <v>#N/A Connection</v>
      </c>
      <c r="M101" s="8" t="str">
        <f>(IF(_xll.BDP($AI101&amp;" ISIN","DU003")="#n/a n/a"," ",_xll.BDP($AI101&amp;" ISIN","DU003")))</f>
        <v>#N/A Connection</v>
      </c>
      <c r="N101" s="4" t="str">
        <f>IF(_xll.BDP(AI101,"CALLABLE")="Y",_xll.BDP(AI101,"NXT_CALL_DT")," ")</f>
        <v xml:space="preserve"> </v>
      </c>
      <c r="O101" s="9">
        <v>200000</v>
      </c>
      <c r="P101" s="5">
        <v>102.863</v>
      </c>
      <c r="Q101" s="10" t="str">
        <f>_xll.BDP(AI101,"px_bid")</f>
        <v>#N/A Connection</v>
      </c>
      <c r="R101" s="11" t="e">
        <f>IF(F101="USD",AG101,(((_xll.BDP(F101&amp;"USD CURNCY","PX_LAST")))*AG101))</f>
        <v>#VALUE!</v>
      </c>
      <c r="S101" s="11" t="e">
        <f>IF(F101="USD",AH101,(((_xll.BDP(F101&amp;"USD CURNCY","PX_LAST")))*AH101))+AP101</f>
        <v>#VALUE!</v>
      </c>
      <c r="T101" s="12" t="e">
        <f t="shared" si="34"/>
        <v>#VALUE!</v>
      </c>
      <c r="U101" s="13" t="e">
        <f t="shared" si="35"/>
        <v>#VALUE!</v>
      </c>
      <c r="V101" s="13" t="str" cm="1">
        <f t="array" ref="V101">IFERROR(_xll.BDP($G101&amp;" ISIN","CHG_PCT_1D")/100,"")</f>
        <v/>
      </c>
      <c r="W101" s="13" t="str" cm="1">
        <f t="array" ref="W101">IFERROR(_xll.BDP($G101&amp;" ISIN","CHG_PCT_5D")/100,"")</f>
        <v/>
      </c>
      <c r="X101" s="13" t="e" cm="1">
        <f t="array" ref="X101">_xll.BDP($G101&amp;" ISIN","CHG_PCT_1M")/100</f>
        <v>#VALUE!</v>
      </c>
      <c r="Y101" s="13" t="e" cm="1">
        <f t="array" ref="Y101">_xll.BDP($G101&amp;" ISIN","CHG_PCT_3M")/100</f>
        <v>#VALUE!</v>
      </c>
      <c r="Z101" s="13" t="e" cm="1">
        <f t="array" ref="Z101">_xll.BDP($G101&amp;" ISIN","CHG_PCT_6M")/100</f>
        <v>#VALUE!</v>
      </c>
      <c r="AA101" s="13" t="e" cm="1">
        <f t="array" ref="AA101">_xll.BDP($G101&amp;" ISIN","CHG_PCT_YTD")/100</f>
        <v>#VALUE!</v>
      </c>
      <c r="AB101" s="13" t="e">
        <f t="shared" si="42"/>
        <v>#VALUE!</v>
      </c>
      <c r="AC101" s="14" t="e">
        <f t="shared" ca="1" si="36"/>
        <v>#VALUE!</v>
      </c>
      <c r="AD101" s="4" t="str">
        <f>_xll.BDP(AI101,"DS199")</f>
        <v>#N/A Connection</v>
      </c>
      <c r="AE101" s="10" t="str">
        <f>_xll.BDP(AI101,"px_ask")</f>
        <v>#N/A Connection</v>
      </c>
      <c r="AF101" s="14" t="e">
        <f>IF(F101="USD",O101,(((_xll.BDP(F101&amp;"USD CURNCY","PX_LAST")))*O101))</f>
        <v>#VALUE!</v>
      </c>
      <c r="AG101" s="11">
        <f t="shared" si="37"/>
        <v>205726</v>
      </c>
      <c r="AH101" s="11" t="e">
        <f t="shared" si="38"/>
        <v>#VALUE!</v>
      </c>
      <c r="AI101" s="4" t="str">
        <f t="shared" si="39"/>
        <v>XS2821647364 ISIN</v>
      </c>
      <c r="AJ101" s="4" t="e" cm="1">
        <f t="array" ref="AJ101">VLOOKUP(IF(NOT(_xll.BDP($G101&amp;" CORP",$CA$5)="#N/A N/A"),(_xll.BDP($G101&amp;" CORP",$CA$5)),"-"), '[1]Country Codes'!$A$2:$B$253,2,0)</f>
        <v>#N/A</v>
      </c>
      <c r="AK101" s="4" t="str" cm="1">
        <f t="array" ref="AK101">IF(OR(_xll.BDP($AI101,"EX028")= "#N/A N/A", _xll.BDP($AI101,"EX028")="#N/A FIELD NOT APPLICABLE"), " ", _xll.BDP($AI101,"EX028"))</f>
        <v>#N/A Connection</v>
      </c>
      <c r="AL101" s="15" t="str">
        <f>(IF(_xll.BDP($AI101&amp;" ISIN","DZ282")="Y","Single line Bonds Cocos","Single line Bonds ex Cocos"))</f>
        <v>Single line Bonds ex Cocos</v>
      </c>
      <c r="AM101" s="8" t="str">
        <f>(IF(_xll.BDP($G101&amp;" ISIN","SP153")="#n/a n/a"," ",_xll.BDP($G101&amp;" ISIN","SP153")))</f>
        <v>#N/A Connection</v>
      </c>
      <c r="AN101" s="16">
        <f t="shared" ca="1" si="40"/>
        <v>45783</v>
      </c>
      <c r="AO101" s="11" t="e">
        <f>(((_xll.BDP(AI101,"DS032"))/365)*I101)*O101</f>
        <v>#VALUE!</v>
      </c>
      <c r="AP101" s="11" t="e">
        <f>IF(F101="USD",AO101,(((_xll.BDP(F101&amp;"USD CURNCY","PX_LAST")))*AO101))</f>
        <v>#VALUE!</v>
      </c>
      <c r="AQ101" s="13" t="e">
        <f t="shared" si="43"/>
        <v>#VALUE!</v>
      </c>
      <c r="AR101" s="11" t="e">
        <f t="shared" si="41"/>
        <v>#VALUE!</v>
      </c>
      <c r="AS101" s="10" t="str">
        <f>IF((TEXT(_xll.BDP(AI101,"MATURITY"),"DD/MM/YYYY")="#N/A Field Not Applicable"),"Perp",_xll.BDP(AI101,"DS252"))</f>
        <v>#N/A Connection</v>
      </c>
      <c r="AT101" s="15" t="str">
        <f>(IF(_xll.BDP($AI101&amp;" ISIN","DT247")="Y","Yes","No"))</f>
        <v>No</v>
      </c>
      <c r="AU101" s="15" t="str">
        <f>PROPER(IF(OR(_xll.BDP($AI101,"CPN_TYP")="#n/a N/A",_xll.BDP($AI101,"CPN_TYP")= "#N/A FIELD NOT APPLICABLE"), " ", _xll.BDP($AI101,"CPN_TYP")))</f>
        <v>#N/A Connection</v>
      </c>
      <c r="BG101" s="17" t="str">
        <f t="shared" si="33"/>
        <v>XS2821647364</v>
      </c>
      <c r="BH101" s="17">
        <v>0.65</v>
      </c>
      <c r="BI101" s="18">
        <v>4</v>
      </c>
      <c r="BJ101" s="19">
        <v>45560</v>
      </c>
      <c r="BK101" s="20">
        <v>1</v>
      </c>
    </row>
    <row r="102" spans="1:64" s="21" customFormat="1" ht="14.45" customHeight="1" x14ac:dyDescent="0.25">
      <c r="A102" s="49" t="s">
        <v>242</v>
      </c>
      <c r="B102" s="49" t="s">
        <v>268</v>
      </c>
      <c r="C102" s="49" t="s">
        <v>269</v>
      </c>
      <c r="D102" s="49" t="s">
        <v>248</v>
      </c>
      <c r="E102" s="4" t="str">
        <f>_xll.BDP(AI102,"ds520")</f>
        <v>#N/A Connection</v>
      </c>
      <c r="F102" s="4" t="str">
        <f>_xll.BDP(AI102,"crncy")</f>
        <v>#N/A Connection</v>
      </c>
      <c r="G102" s="5" t="s">
        <v>129</v>
      </c>
      <c r="H102" s="4" t="str">
        <f>IF(_xll.BDP(AI102,"RTG_MOODY")="#N/A N/A","N/A",_xll.BDP(AI102,"RTG_MOODY"))&amp;","&amp;IF(_xll.BDP(AI102,"RTG_FITCH")="#N/A N/A","N/A",_xll.BDP(AI102,"RTG_FITCH"))&amp;","&amp;IF(_xll.BDP(AI102,"RTG_SP")="#N/A N/A","N/A",_xll.BDP(AI102,"RTG_SP"))</f>
        <v>#N/A Connection,#N/A Connection,#N/A Connection</v>
      </c>
      <c r="I102" s="7" t="e">
        <f>_xll.BDP(AI102,"cpn")/100</f>
        <v>#VALUE!</v>
      </c>
      <c r="J102" s="7" t="e">
        <f ca="1">_xll.BDP($G102&amp;" isin","YAS_BOND_YLD", "YAS_YLD_FLAG=15", "user_local_trade_date",AN102,"Yas_bond_px",$Q102)/100</f>
        <v>#VALUE!</v>
      </c>
      <c r="K102" s="4" t="str">
        <f>_xll.BDP(AI102,"PAYMENT_RANK")</f>
        <v>#N/A Connection</v>
      </c>
      <c r="L102" s="4" t="str">
        <f>IF((TEXT(_xll.BDP(AI102,"MATURITY"),"DD/MM/YYYY")="#N/A Field Not Applicable"),"Perp",TEXT(_xll.BDP(AI102,"MATURITY"),"DD/MM/YYYY"))</f>
        <v>#N/A Connection</v>
      </c>
      <c r="M102" s="8" t="str">
        <f>(IF(_xll.BDP($AI102&amp;" ISIN","DU003")="#n/a n/a"," ",_xll.BDP($AI102&amp;" ISIN","DU003")))</f>
        <v>#N/A Connection</v>
      </c>
      <c r="N102" s="4" t="str">
        <f>IF(_xll.BDP(AI102,"CALLABLE")="Y",_xll.BDP(AI102,"NXT_CALL_DT")," ")</f>
        <v xml:space="preserve"> </v>
      </c>
      <c r="O102" s="9">
        <v>800000</v>
      </c>
      <c r="P102" s="5">
        <v>100.3</v>
      </c>
      <c r="Q102" s="10" t="str">
        <f>_xll.BDP(AI102,"px_bid")</f>
        <v>#N/A Connection</v>
      </c>
      <c r="R102" s="11" t="e">
        <f>IF(F102="USD",AG102,(((_xll.BDP(F102&amp;"USD CURNCY","PX_LAST")))*AG102))</f>
        <v>#VALUE!</v>
      </c>
      <c r="S102" s="11" t="e">
        <f>IF(F102="USD",AH102,(((_xll.BDP(F102&amp;"USD CURNCY","PX_LAST")))*AH102))+AP102</f>
        <v>#VALUE!</v>
      </c>
      <c r="T102" s="12" t="e">
        <f t="shared" si="34"/>
        <v>#VALUE!</v>
      </c>
      <c r="U102" s="13" t="e">
        <f t="shared" si="35"/>
        <v>#VALUE!</v>
      </c>
      <c r="V102" s="13" t="str" cm="1">
        <f t="array" ref="V102">IFERROR(_xll.BDP($G102&amp;" ISIN","CHG_PCT_1D")/100,"")</f>
        <v/>
      </c>
      <c r="W102" s="13" t="str" cm="1">
        <f t="array" ref="W102">IFERROR(_xll.BDP($G102&amp;" ISIN","CHG_PCT_5D")/100,"")</f>
        <v/>
      </c>
      <c r="X102" s="13" t="e" cm="1">
        <f t="array" ref="X102">_xll.BDP($G102&amp;" ISIN","CHG_PCT_1M")/100</f>
        <v>#VALUE!</v>
      </c>
      <c r="Y102" s="13" t="e" cm="1">
        <f t="array" ref="Y102">_xll.BDP($G102&amp;" ISIN","CHG_PCT_3M")/100</f>
        <v>#VALUE!</v>
      </c>
      <c r="Z102" s="13" t="e" cm="1">
        <f t="array" ref="Z102">_xll.BDP($G102&amp;" ISIN","CHG_PCT_6M")/100</f>
        <v>#VALUE!</v>
      </c>
      <c r="AA102" s="13" t="e" cm="1">
        <f t="array" ref="AA102">_xll.BDP($G102&amp;" ISIN","CHG_PCT_YTD")/100</f>
        <v>#VALUE!</v>
      </c>
      <c r="AB102" s="13" t="e">
        <f t="shared" si="42"/>
        <v>#VALUE!</v>
      </c>
      <c r="AC102" s="14" t="e">
        <f t="shared" ca="1" si="36"/>
        <v>#VALUE!</v>
      </c>
      <c r="AD102" s="4" t="str">
        <f>_xll.BDP(AI102,"DS199")</f>
        <v>#N/A Connection</v>
      </c>
      <c r="AE102" s="10" t="str">
        <f>_xll.BDP(AI102,"px_ask")</f>
        <v>#N/A Connection</v>
      </c>
      <c r="AF102" s="14" t="e">
        <f>IF(F102="USD",O102,(((_xll.BDP(F102&amp;"USD CURNCY","PX_LAST")))*O102))</f>
        <v>#VALUE!</v>
      </c>
      <c r="AG102" s="11">
        <f t="shared" si="37"/>
        <v>802400</v>
      </c>
      <c r="AH102" s="11" t="e">
        <f t="shared" si="38"/>
        <v>#VALUE!</v>
      </c>
      <c r="AI102" s="4" t="str">
        <f t="shared" si="39"/>
        <v>XS2408002769 ISIN</v>
      </c>
      <c r="AJ102" s="4" t="e" cm="1">
        <f t="array" ref="AJ102">VLOOKUP(IF(NOT(_xll.BDP($G102&amp;" CORP",$CA$5)="#N/A N/A"),(_xll.BDP($G102&amp;" CORP",$CA$5)),"-"), '[1]Country Codes'!$A$2:$B$253,2,0)</f>
        <v>#N/A</v>
      </c>
      <c r="AK102" s="4" t="str" cm="1">
        <f t="array" ref="AK102">IF(OR(_xll.BDP($AI102,"EX028")= "#N/A N/A", _xll.BDP($AI102,"EX028")="#N/A FIELD NOT APPLICABLE"), " ", _xll.BDP($AI102,"EX028"))</f>
        <v>#N/A Connection</v>
      </c>
      <c r="AL102" s="15" t="str">
        <f>(IF(_xll.BDP($AI102&amp;" ISIN","DZ282")="Y","Single line Bonds Cocos","Single line Bonds ex Cocos"))</f>
        <v>Single line Bonds ex Cocos</v>
      </c>
      <c r="AM102" s="8" t="str">
        <f>(IF(_xll.BDP($G102&amp;" ISIN","SP153")="#n/a n/a"," ",_xll.BDP($G102&amp;" ISIN","SP153")))</f>
        <v>#N/A Connection</v>
      </c>
      <c r="AN102" s="16">
        <f t="shared" ca="1" si="40"/>
        <v>45783</v>
      </c>
      <c r="AO102" s="11" t="e">
        <f>(((_xll.BDP(AI102,"DS032"))/360)*I102)*O102</f>
        <v>#VALUE!</v>
      </c>
      <c r="AP102" s="11" t="e">
        <f>IF(F102="USD",AO102,(((_xll.BDP(F102&amp;"USD CURNCY","PX_LAST")))*AO102))</f>
        <v>#VALUE!</v>
      </c>
      <c r="AQ102" s="13" t="e">
        <f t="shared" ref="AQ102:AQ113" si="44">S102/$S$115</f>
        <v>#VALUE!</v>
      </c>
      <c r="AR102" s="11" t="e">
        <f t="shared" si="41"/>
        <v>#VALUE!</v>
      </c>
      <c r="AS102" s="10" t="str">
        <f>IF((TEXT(_xll.BDP(AI102,"MATURITY"),"DD/MM/YYYY")="#N/A Field Not Applicable"),"Perp",_xll.BDP(AI102,"DS252"))</f>
        <v>#N/A Connection</v>
      </c>
      <c r="AT102" s="15" t="str">
        <f>(IF(_xll.BDP($AI102&amp;" ISIN","DT247")="Y","Yes","No"))</f>
        <v>No</v>
      </c>
      <c r="AU102" s="15" t="str">
        <f>PROPER(IF(OR(_xll.BDP($AI102,"CPN_TYP")="#n/a N/A",_xll.BDP($AI102,"CPN_TYP")= "#N/A FIELD NOT APPLICABLE"), " ", _xll.BDP($AI102,"CPN_TYP")))</f>
        <v>#N/A Connection</v>
      </c>
      <c r="BG102" s="17" t="str">
        <f t="shared" si="33"/>
        <v>XS2408002769</v>
      </c>
      <c r="BH102" s="17">
        <v>0.64270000000000005</v>
      </c>
      <c r="BI102" s="18">
        <v>5</v>
      </c>
      <c r="BJ102" s="19">
        <v>44518</v>
      </c>
      <c r="BK102" s="20"/>
    </row>
    <row r="103" spans="1:64" s="21" customFormat="1" ht="14.45" customHeight="1" x14ac:dyDescent="0.25">
      <c r="A103" s="49" t="s">
        <v>242</v>
      </c>
      <c r="B103" s="49" t="s">
        <v>268</v>
      </c>
      <c r="C103" s="49" t="s">
        <v>269</v>
      </c>
      <c r="D103" s="49" t="s">
        <v>248</v>
      </c>
      <c r="E103" s="4" t="str">
        <f>_xll.BDP(AI103,"ds520")</f>
        <v>Ahli United Sukuk Ltd</v>
      </c>
      <c r="F103" s="4" t="str">
        <f>_xll.BDP(AI103,"crncy")</f>
        <v>USD</v>
      </c>
      <c r="G103" s="5" t="s">
        <v>218</v>
      </c>
      <c r="H103" s="4" t="str">
        <f>IF(_xll.BDP(AI103,"RTG_MOODY")="#N/A N/A","N/A",_xll.BDP(AI103,"RTG_MOODY"))&amp;","&amp;IF(_xll.BDP(AI103,"RTG_FITCH")="#N/A N/A","N/A",_xll.BDP(AI103,"RTG_FITCH"))&amp;","&amp;IF(_xll.BDP(AI103,"RTG_SP")="#N/A N/A","N/A",_xll.BDP(AI103,"RTG_SP"))</f>
        <v>N/A,N/A,N/A</v>
      </c>
      <c r="I103" s="7">
        <f>_xll.BDP(AI103,"cpn")/100</f>
        <v>3.875E-2</v>
      </c>
      <c r="J103" s="7">
        <f ca="1">_xll.BDP($G103&amp;" isin","YAS_BOND_YLD", "YAS_YLD_FLAG=15", "user_local_trade_date",AN103,"Yas_bond_px",$Q103)/100</f>
        <v>6.1060730000000001E-2</v>
      </c>
      <c r="K103" s="4" t="str">
        <f>_xll.BDP(AI103,"PAYMENT_RANK")</f>
        <v>Jr Subordinated</v>
      </c>
      <c r="L103" s="4" t="str">
        <f>IF((TEXT(_xll.BDP(AI103,"MATURITY"),"DD/MM/YYYY")="#N/A Field Not Applicable"),"Perp",TEXT(_xll.BDP(AI103,"MATURITY"),"DD/MM/YYYY"))</f>
        <v>Perp</v>
      </c>
      <c r="M103" s="8">
        <f>(IF(_xll.BDP($AI103&amp;" ISIN","DU003")="#n/a n/a"," ",_xll.BDP($AI103&amp;" ISIN","DU003")))</f>
        <v>1.096038566969445</v>
      </c>
      <c r="N103" s="4" t="str">
        <f>IF(_xll.BDP(AI103,"CALLABLE")="Y",_xll.BDP(AI103,"NXT_CALL_DT")," ")</f>
        <v>17/06/2026</v>
      </c>
      <c r="O103" s="9">
        <v>500000</v>
      </c>
      <c r="P103" s="5">
        <v>100.032</v>
      </c>
      <c r="Q103" s="10">
        <f>_xll.BDP(AI103,"px_bid")</f>
        <v>96.626000000000005</v>
      </c>
      <c r="R103" s="11">
        <f>IF(F103="USD",AG103,(((_xll.BDP(F103&amp;"USD CURNCY","PX_LAST")))*AG103))</f>
        <v>500160</v>
      </c>
      <c r="S103" s="11">
        <f>IF(F103="USD",AH103,(((_xll.BDP(F103&amp;"USD CURNCY","PX_LAST")))*AH103))+AP103</f>
        <v>490395.625</v>
      </c>
      <c r="T103" s="12">
        <f t="shared" si="34"/>
        <v>-17029.99999999996</v>
      </c>
      <c r="U103" s="13">
        <f t="shared" si="35"/>
        <v>-3.4049104286628197E-2</v>
      </c>
      <c r="V103" s="13" t="str" cm="1">
        <f t="array" ref="V103">IFERROR(_xll.BDP($G103&amp;" ISIN","CHG_PCT_1D")/100,"")</f>
        <v/>
      </c>
      <c r="W103" s="13" t="str" cm="1">
        <f t="array" ref="W103">IFERROR(_xll.BDP($G103&amp;" ISIN","CHG_PCT_5D")/100,"")</f>
        <v/>
      </c>
      <c r="X103" s="13" t="e" cm="1">
        <f t="array" ref="X103">_xll.BDP($G103&amp;" ISIN","CHG_PCT_1M")/100</f>
        <v>#VALUE!</v>
      </c>
      <c r="Y103" s="13" t="e" cm="1">
        <f t="array" ref="Y103">_xll.BDP($G103&amp;" ISIN","CHG_PCT_3M")/100</f>
        <v>#VALUE!</v>
      </c>
      <c r="Z103" s="13" t="e" cm="1">
        <f t="array" ref="Z103">_xll.BDP($G103&amp;" ISIN","CHG_PCT_6M")/100</f>
        <v>#VALUE!</v>
      </c>
      <c r="AA103" s="13" t="e" cm="1">
        <f t="array" ref="AA103">_xll.BDP($G103&amp;" ISIN","CHG_PCT_YTD")/100</f>
        <v>#VALUE!</v>
      </c>
      <c r="AB103" s="13" t="e">
        <f t="shared" si="42"/>
        <v>#VALUE!</v>
      </c>
      <c r="AC103" s="14">
        <f t="shared" ca="1" si="36"/>
        <v>49706.111111111153</v>
      </c>
      <c r="AD103" s="4" t="str">
        <f>_xll.BDP(AI103,"DS199")</f>
        <v>Financial</v>
      </c>
      <c r="AE103" s="10">
        <f>_xll.BDP(AI103,"px_ask")</f>
        <v>97.38</v>
      </c>
      <c r="AF103" s="14">
        <f>IF(F103="USD",O103,(((_xll.BDP(F103&amp;"USD CURNCY","PX_LAST")))*O103))</f>
        <v>500000</v>
      </c>
      <c r="AG103" s="11">
        <f t="shared" si="37"/>
        <v>500160</v>
      </c>
      <c r="AH103" s="11">
        <f t="shared" si="38"/>
        <v>483130</v>
      </c>
      <c r="AI103" s="4" t="str">
        <f t="shared" si="39"/>
        <v>XS2342243875 ISIN</v>
      </c>
      <c r="AJ103" s="4" t="e" cm="1">
        <f t="array" ref="AJ103">VLOOKUP(IF(NOT(_xll.BDP($G103&amp;" CORP",$CA$5)="#N/A N/A"),(_xll.BDP($G103&amp;" CORP",$CA$5)),"-"), '[1]Country Codes'!$A$2:$B$253,2,0)</f>
        <v>#N/A</v>
      </c>
      <c r="AK103" s="4" t="str" cm="1">
        <f t="array" ref="AK103">IF(OR(_xll.BDP($AI103,"EX028")= "#N/A N/A", _xll.BDP($AI103,"EX028")="#N/A FIELD NOT APPLICABLE"), " ", _xll.BDP($AI103,"EX028"))</f>
        <v>FixedIncome</v>
      </c>
      <c r="AL103" s="15" t="str">
        <f>(IF(_xll.BDP($AI103&amp;" ISIN","DZ282")="Y","Single line Bonds Cocos","Single line Bonds ex Cocos"))</f>
        <v>Single line Bonds ex Cocos</v>
      </c>
      <c r="AM103" s="8">
        <f>(IF(_xll.BDP($G103&amp;" ISIN","SP153")="#n/a n/a"," ",_xll.BDP($G103&amp;" ISIN","SP153")))</f>
        <v>294.89154132466984</v>
      </c>
      <c r="AN103" s="16">
        <f t="shared" ca="1" si="40"/>
        <v>45783</v>
      </c>
      <c r="AO103" s="11">
        <f>(((_xll.BDP(AI103,"DS032"))/360)*I103)*O103</f>
        <v>7265.6249999999991</v>
      </c>
      <c r="AP103" s="11">
        <f>IF(F103="USD",AO103,(((_xll.BDP(F103&amp;"USD CURNCY","PX_LAST")))*AO103))</f>
        <v>7265.6249999999991</v>
      </c>
      <c r="AQ103" s="13">
        <f t="shared" si="44"/>
        <v>2.7375744375403848</v>
      </c>
      <c r="AR103" s="11">
        <f t="shared" si="41"/>
        <v>483130</v>
      </c>
      <c r="AS103" s="10" t="str">
        <f>IF((TEXT(_xll.BDP(AI103,"MATURITY"),"DD/MM/YYYY")="#N/A Field Not Applicable"),"Perp",_xll.BDP(AI103,"DS252"))</f>
        <v>Perp</v>
      </c>
      <c r="AT103" s="15" t="str">
        <f>(IF(_xll.BDP($AI103&amp;" ISIN","DT247")="Y","Yes","No"))</f>
        <v>Yes</v>
      </c>
      <c r="AU103" s="15" t="str">
        <f>PROPER(IF(OR(_xll.BDP($AI103,"CPN_TYP")="#n/a N/A",_xll.BDP($AI103,"CPN_TYP")= "#N/A FIELD NOT APPLICABLE"), " ", _xll.BDP($AI103,"CPN_TYP")))</f>
        <v>Variable</v>
      </c>
      <c r="BG103" s="17" t="str">
        <f t="shared" si="33"/>
        <v>XS2342243875</v>
      </c>
      <c r="BH103" s="17">
        <v>0.55710000000000004</v>
      </c>
      <c r="BI103" s="18">
        <v>5</v>
      </c>
      <c r="BJ103" s="19">
        <v>44543</v>
      </c>
      <c r="BK103" s="20"/>
    </row>
    <row r="104" spans="1:64" s="21" customFormat="1" ht="14.45" customHeight="1" x14ac:dyDescent="0.25">
      <c r="A104" s="49" t="s">
        <v>242</v>
      </c>
      <c r="B104" s="49" t="s">
        <v>268</v>
      </c>
      <c r="C104" s="49" t="s">
        <v>269</v>
      </c>
      <c r="D104" s="49" t="s">
        <v>248</v>
      </c>
      <c r="E104" s="4" t="str">
        <f>_xll.BDP(AI104,"ds520")</f>
        <v>Dukhan Tier 1 Sukuk Ltd</v>
      </c>
      <c r="F104" s="4" t="str">
        <f>_xll.BDP(AI104,"crncy")</f>
        <v>USD</v>
      </c>
      <c r="G104" s="5" t="s">
        <v>221</v>
      </c>
      <c r="H104" s="4" t="str">
        <f>IF(_xll.BDP(AI104,"RTG_MOODY")="#N/A N/A","N/A",_xll.BDP(AI104,"RTG_MOODY"))&amp;","&amp;IF(_xll.BDP(AI104,"RTG_FITCH")="#N/A N/A","N/A",_xll.BDP(AI104,"RTG_FITCH"))&amp;","&amp;IF(_xll.BDP(AI104,"RTG_SP")="#N/A N/A","N/A",_xll.BDP(AI104,"RTG_SP"))</f>
        <v>N/A,N/A,N/A</v>
      </c>
      <c r="I104" s="7">
        <f>_xll.BDP(AI104,"cpn")/100</f>
        <v>3.95E-2</v>
      </c>
      <c r="J104" s="7">
        <f ca="1">_xll.BDP($G104&amp;" isin","YAS_BOND_YLD", "YAS_YLD_FLAG=15", "user_local_trade_date",AN104,"Yas_bond_px",$Q104)/100</f>
        <v>5.3819249999999999E-2</v>
      </c>
      <c r="K104" s="4" t="str">
        <f>_xll.BDP(AI104,"PAYMENT_RANK")</f>
        <v>Jr Subordinated</v>
      </c>
      <c r="L104" s="4" t="str">
        <f>IF((TEXT(_xll.BDP(AI104,"MATURITY"),"DD/MM/YYYY")="#N/A Field Not Applicable"),"Perp",TEXT(_xll.BDP(AI104,"MATURITY"),"DD/MM/YYYY"))</f>
        <v>Perp</v>
      </c>
      <c r="M104" s="8">
        <f>(IF(_xll.BDP($AI104&amp;" ISIN","DU003")="#n/a n/a"," ",_xll.BDP($AI104&amp;" ISIN","DU003")))</f>
        <v>1.1706345429978204</v>
      </c>
      <c r="N104" s="4" t="str">
        <f>IF(_xll.BDP(AI104,"CALLABLE")="Y",_xll.BDP(AI104,"NXT_CALL_DT")," ")</f>
        <v>14/07/2026</v>
      </c>
      <c r="O104" s="9">
        <v>500000</v>
      </c>
      <c r="P104" s="5">
        <v>100.3</v>
      </c>
      <c r="Q104" s="10">
        <f>_xll.BDP(AI104,"px_bid")</f>
        <v>97.081000000000003</v>
      </c>
      <c r="R104" s="11">
        <f>IF(F104="USD",AG104,(((_xll.BDP(F104&amp;"USD CURNCY","PX_LAST")))*AG104))</f>
        <v>501500</v>
      </c>
      <c r="S104" s="11">
        <f>IF(F104="USD",AH104,(((_xll.BDP(F104&amp;"USD CURNCY","PX_LAST")))*AH104))+AP104</f>
        <v>491330</v>
      </c>
      <c r="T104" s="12">
        <f t="shared" si="34"/>
        <v>-16094.999999999969</v>
      </c>
      <c r="U104" s="13">
        <f t="shared" si="35"/>
        <v>-3.2093718843469531E-2</v>
      </c>
      <c r="V104" s="13" t="str" cm="1">
        <f t="array" ref="V104">IFERROR(_xll.BDP($G104&amp;" ISIN","CHG_PCT_1D")/100,"")</f>
        <v/>
      </c>
      <c r="W104" s="13" t="str" cm="1">
        <f t="array" ref="W104">IFERROR(_xll.BDP($G104&amp;" ISIN","CHG_PCT_5D")/100,"")</f>
        <v/>
      </c>
      <c r="X104" s="13" t="e" cm="1">
        <f t="array" ref="X104">_xll.BDP($G104&amp;" ISIN","CHG_PCT_1M")/100</f>
        <v>#VALUE!</v>
      </c>
      <c r="Y104" s="13" t="e" cm="1">
        <f t="array" ref="Y104">_xll.BDP($G104&amp;" ISIN","CHG_PCT_3M")/100</f>
        <v>#VALUE!</v>
      </c>
      <c r="Z104" s="13" t="e" cm="1">
        <f t="array" ref="Z104">_xll.BDP($G104&amp;" ISIN","CHG_PCT_6M")/100</f>
        <v>#VALUE!</v>
      </c>
      <c r="AA104" s="13" t="e" cm="1">
        <f t="array" ref="AA104">_xll.BDP($G104&amp;" ISIN","CHG_PCT_YTD")/100</f>
        <v>#VALUE!</v>
      </c>
      <c r="AB104" s="13" t="e">
        <f t="shared" si="42"/>
        <v>#VALUE!</v>
      </c>
      <c r="AC104" s="14">
        <f t="shared" ca="1" si="36"/>
        <v>77168.88888888892</v>
      </c>
      <c r="AD104" s="4" t="str">
        <f>_xll.BDP(AI104,"DS199")</f>
        <v>Financial</v>
      </c>
      <c r="AE104" s="10">
        <f>_xll.BDP(AI104,"px_ask")</f>
        <v>97.912000000000006</v>
      </c>
      <c r="AF104" s="14">
        <f>IF(F104="USD",O104,(((_xll.BDP(F104&amp;"USD CURNCY","PX_LAST")))*O104))</f>
        <v>500000</v>
      </c>
      <c r="AG104" s="11">
        <f t="shared" si="37"/>
        <v>501500</v>
      </c>
      <c r="AH104" s="11">
        <f t="shared" si="38"/>
        <v>485405</v>
      </c>
      <c r="AI104" s="4" t="str">
        <f t="shared" si="39"/>
        <v>XS2348422424 ISIN</v>
      </c>
      <c r="AJ104" s="4" t="e" cm="1">
        <f t="array" ref="AJ104">VLOOKUP(IF(NOT(_xll.BDP($G104&amp;" CORP",$CA$5)="#N/A N/A"),(_xll.BDP($G104&amp;" CORP",$CA$5)),"-"), '[1]Country Codes'!$A$2:$B$253,2,0)</f>
        <v>#N/A</v>
      </c>
      <c r="AK104" s="4" t="str" cm="1">
        <f t="array" ref="AK104">IF(OR(_xll.BDP($AI104,"EX028")= "#N/A N/A", _xll.BDP($AI104,"EX028")="#N/A FIELD NOT APPLICABLE"), " ", _xll.BDP($AI104,"EX028"))</f>
        <v>FixedIncome</v>
      </c>
      <c r="AL104" s="15" t="str">
        <f>(IF(_xll.BDP($AI104&amp;" ISIN","DZ282")="Y","Single line Bonds Cocos","Single line Bonds ex Cocos"))</f>
        <v>Single line Bonds ex Cocos</v>
      </c>
      <c r="AM104" s="8">
        <f>(IF(_xll.BDP($G104&amp;" ISIN","SP153")="#n/a n/a"," ",_xll.BDP($G104&amp;" ISIN","SP153")))</f>
        <v>245.18642265034072</v>
      </c>
      <c r="AN104" s="16">
        <f t="shared" ca="1" si="40"/>
        <v>45783</v>
      </c>
      <c r="AO104" s="11">
        <f>(((_xll.BDP(AI104,"DS032"))/360)*I104)*O104</f>
        <v>5925</v>
      </c>
      <c r="AP104" s="11">
        <f>IF(F104="USD",AO104,(((_xll.BDP(F104&amp;"USD CURNCY","PX_LAST")))*AO104))</f>
        <v>5925</v>
      </c>
      <c r="AQ104" s="13">
        <f t="shared" si="44"/>
        <v>2.7427904732973856</v>
      </c>
      <c r="AR104" s="11">
        <f t="shared" si="41"/>
        <v>485405</v>
      </c>
      <c r="AS104" s="10" t="str">
        <f>IF((TEXT(_xll.BDP(AI104,"MATURITY"),"DD/MM/YYYY")="#N/A Field Not Applicable"),"Perp",_xll.BDP(AI104,"DS252"))</f>
        <v>Perp</v>
      </c>
      <c r="AT104" s="15" t="str">
        <f>(IF(_xll.BDP($AI104&amp;" ISIN","DT247")="Y","Yes","No"))</f>
        <v>Yes</v>
      </c>
      <c r="AU104" s="15" t="str">
        <f>PROPER(IF(OR(_xll.BDP($AI104,"CPN_TYP")="#n/a N/A",_xll.BDP($AI104,"CPN_TYP")= "#N/A FIELD NOT APPLICABLE"), " ", _xll.BDP($AI104,"CPN_TYP")))</f>
        <v>Variable</v>
      </c>
      <c r="BG104" s="17" t="str">
        <f t="shared" si="33"/>
        <v>XS2348422424</v>
      </c>
      <c r="BH104" s="17">
        <v>0.55710000000000004</v>
      </c>
      <c r="BI104" s="18">
        <v>5</v>
      </c>
      <c r="BJ104" s="19">
        <v>44083</v>
      </c>
      <c r="BK104" s="20"/>
    </row>
    <row r="105" spans="1:64" s="101" customFormat="1" ht="14.45" customHeight="1" x14ac:dyDescent="0.25">
      <c r="A105" s="49" t="s">
        <v>242</v>
      </c>
      <c r="B105" s="49" t="s">
        <v>268</v>
      </c>
      <c r="C105" s="49" t="s">
        <v>269</v>
      </c>
      <c r="D105" s="49" t="s">
        <v>248</v>
      </c>
      <c r="E105" s="4" t="str">
        <f>_xll.BDP(AI105,"ds520")</f>
        <v>#N/A Connection</v>
      </c>
      <c r="F105" s="4" t="str">
        <f>_xll.BDP(AI105,"crncy")</f>
        <v>#N/A Connection</v>
      </c>
      <c r="G105" s="5" t="s">
        <v>222</v>
      </c>
      <c r="H105" s="4" t="str">
        <f>IF(_xll.BDP(AI105,"RTG_MOODY")="#N/A N/A","N/A",_xll.BDP(AI105,"RTG_MOODY"))&amp;","&amp;IF(_xll.BDP(AI105,"RTG_FITCH")="#N/A N/A","N/A",_xll.BDP(AI105,"RTG_FITCH"))&amp;","&amp;IF(_xll.BDP(AI105,"RTG_SP")="#N/A N/A","N/A",_xll.BDP(AI105,"RTG_SP"))</f>
        <v>#N/A Connection,#N/A Connection,#N/A Connection</v>
      </c>
      <c r="I105" s="7" t="e">
        <f>_xll.BDP(AI105,"cpn")/100</f>
        <v>#VALUE!</v>
      </c>
      <c r="J105" s="7" t="e">
        <f ca="1">_xll.BDP($G105&amp;" isin","YAS_BOND_YLD", "YAS_YLD_FLAG=15", "user_local_trade_date",AN105,"Yas_bond_px",$Q105)/100</f>
        <v>#VALUE!</v>
      </c>
      <c r="K105" s="4" t="str">
        <f>_xll.BDP(AI105,"PAYMENT_RANK")</f>
        <v>#N/A Connection</v>
      </c>
      <c r="L105" s="4" t="str">
        <f>IF((TEXT(_xll.BDP(AI105,"MATURITY"),"DD/MM/YYYY")="#N/A Field Not Applicable"),"Perp",TEXT(_xll.BDP(AI105,"MATURITY"),"DD/MM/YYYY"))</f>
        <v>#N/A Connection</v>
      </c>
      <c r="M105" s="8" t="str">
        <f>(IF(_xll.BDP($AI105&amp;" ISIN","DU003")="#n/a n/a"," ",_xll.BDP($AI105&amp;" ISIN","DU003")))</f>
        <v>#N/A Connection</v>
      </c>
      <c r="N105" s="4" t="str">
        <f>IF(_xll.BDP(AI105,"CALLABLE")="Y",_xll.BDP(AI105,"NXT_CALL_DT")," ")</f>
        <v xml:space="preserve"> </v>
      </c>
      <c r="O105" s="9">
        <v>200000</v>
      </c>
      <c r="P105" s="5">
        <v>99.545000000000002</v>
      </c>
      <c r="Q105" s="10" t="str">
        <f>_xll.BDP(AI105,"px_bid")</f>
        <v>#N/A Connection</v>
      </c>
      <c r="R105" s="11" t="e">
        <f>IF(F105="USD",AG105,(((_xll.BDP(F105&amp;"USD CURNCY","PX_LAST")))*AG105))</f>
        <v>#VALUE!</v>
      </c>
      <c r="S105" s="11" t="e">
        <f>IF(F105="USD",AH105,(((_xll.BDP(F105&amp;"USD CURNCY","PX_LAST")))*AH105))+AP105</f>
        <v>#VALUE!</v>
      </c>
      <c r="T105" s="12" t="e">
        <f t="shared" si="34"/>
        <v>#VALUE!</v>
      </c>
      <c r="U105" s="13" t="e">
        <f t="shared" si="35"/>
        <v>#VALUE!</v>
      </c>
      <c r="V105" s="13" t="str" cm="1">
        <f t="array" ref="V105">IFERROR(_xll.BDP($G105&amp;" ISIN","CHG_PCT_1D")/100,"")</f>
        <v/>
      </c>
      <c r="W105" s="13" t="str" cm="1">
        <f t="array" ref="W105">IFERROR(_xll.BDP($G105&amp;" ISIN","CHG_PCT_5D")/100,"")</f>
        <v/>
      </c>
      <c r="X105" s="13" t="e" cm="1">
        <f t="array" ref="X105">_xll.BDP($G105&amp;" ISIN","CHG_PCT_1M")/100</f>
        <v>#VALUE!</v>
      </c>
      <c r="Y105" s="13" t="e" cm="1">
        <f t="array" ref="Y105">_xll.BDP($G105&amp;" ISIN","CHG_PCT_3M")/100</f>
        <v>#VALUE!</v>
      </c>
      <c r="Z105" s="13" t="e" cm="1">
        <f t="array" ref="Z105">_xll.BDP($G105&amp;" ISIN","CHG_PCT_6M")/100</f>
        <v>#VALUE!</v>
      </c>
      <c r="AA105" s="13" t="e" cm="1">
        <f t="array" ref="AA105">_xll.BDP($G105&amp;" ISIN","CHG_PCT_YTD")/100</f>
        <v>#VALUE!</v>
      </c>
      <c r="AB105" s="13" t="e">
        <f t="shared" si="42"/>
        <v>#VALUE!</v>
      </c>
      <c r="AC105" s="14" t="e">
        <f t="shared" ca="1" si="36"/>
        <v>#VALUE!</v>
      </c>
      <c r="AD105" s="4" t="str">
        <f>_xll.BDP(AI105,"DS199")</f>
        <v>#N/A Connection</v>
      </c>
      <c r="AE105" s="10" t="str">
        <f>_xll.BDP(AI105,"px_ask")</f>
        <v>#N/A Connection</v>
      </c>
      <c r="AF105" s="14" t="e">
        <f>IF(F105="USD",O105,(((_xll.BDP(F105&amp;"USD CURNCY","PX_LAST")))*O105))</f>
        <v>#VALUE!</v>
      </c>
      <c r="AG105" s="11">
        <f t="shared" si="37"/>
        <v>199090</v>
      </c>
      <c r="AH105" s="11" t="e">
        <f t="shared" si="38"/>
        <v>#VALUE!</v>
      </c>
      <c r="AI105" s="4" t="str">
        <f t="shared" si="39"/>
        <v>XS2908722783 ISIN</v>
      </c>
      <c r="AJ105" s="4" t="e" cm="1">
        <f t="array" ref="AJ105">VLOOKUP(IF(NOT(_xll.BDP($G105&amp;" CORP",$CA$5)="#N/A N/A"),(_xll.BDP($G105&amp;" CORP",$CA$5)),"-"), '[1]Country Codes'!$A$2:$B$253,2,0)</f>
        <v>#N/A</v>
      </c>
      <c r="AK105" s="4" t="str" cm="1">
        <f t="array" ref="AK105">IF(OR(_xll.BDP($AI105,"EX028")= "#N/A N/A", _xll.BDP($AI105,"EX028")="#N/A FIELD NOT APPLICABLE"), " ", _xll.BDP($AI105,"EX028"))</f>
        <v>#N/A Connection</v>
      </c>
      <c r="AL105" s="15" t="str">
        <f>(IF(_xll.BDP($AI105&amp;" ISIN","DZ282")="Y","Single line Bonds Cocos","Single line Bonds ex Cocos"))</f>
        <v>Single line Bonds ex Cocos</v>
      </c>
      <c r="AM105" s="8" t="str">
        <f>(IF(_xll.BDP($G105&amp;" ISIN","SP153")="#n/a n/a"," ",_xll.BDP($G105&amp;" ISIN","SP153")))</f>
        <v>#N/A Connection</v>
      </c>
      <c r="AN105" s="16">
        <f t="shared" ca="1" si="40"/>
        <v>45783</v>
      </c>
      <c r="AO105" s="11" t="e">
        <f>(((_xll.BDP(AI105,"DS032"))/360)*I105)*O105</f>
        <v>#VALUE!</v>
      </c>
      <c r="AP105" s="11" t="e">
        <f>IF(F105="USD",AO105,(((_xll.BDP(F105&amp;"USD CURNCY","PX_LAST")))*AO105))</f>
        <v>#VALUE!</v>
      </c>
      <c r="AQ105" s="13" t="e">
        <f t="shared" si="44"/>
        <v>#VALUE!</v>
      </c>
      <c r="AR105" s="11" t="e">
        <f t="shared" si="41"/>
        <v>#VALUE!</v>
      </c>
      <c r="AS105" s="10" t="str">
        <f>IF((TEXT(_xll.BDP(AI105,"MATURITY"),"DD/MM/YYYY")="#N/A Field Not Applicable"),"Perp",_xll.BDP(AI105,"DS252"))</f>
        <v>#N/A Connection</v>
      </c>
      <c r="AT105" s="15" t="str">
        <f>(IF(_xll.BDP($AI105&amp;" ISIN","DT247")="Y","Yes","No"))</f>
        <v>No</v>
      </c>
      <c r="AU105" s="15" t="str">
        <f>PROPER(IF(OR(_xll.BDP($AI105,"CPN_TYP")="#n/a N/A",_xll.BDP($AI105,"CPN_TYP")= "#N/A FIELD NOT APPLICABLE"), " ", _xll.BDP($AI105,"CPN_TYP")))</f>
        <v>#N/A Connection</v>
      </c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17" t="str">
        <f t="shared" si="33"/>
        <v>XS2908722783</v>
      </c>
      <c r="BH105" s="17">
        <v>0.9073</v>
      </c>
      <c r="BI105" s="18">
        <v>3</v>
      </c>
      <c r="BJ105" s="19">
        <v>45566</v>
      </c>
      <c r="BK105" s="20"/>
      <c r="BL105" s="21"/>
    </row>
    <row r="106" spans="1:64" s="21" customFormat="1" ht="14.45" customHeight="1" x14ac:dyDescent="0.25">
      <c r="A106" s="49" t="s">
        <v>242</v>
      </c>
      <c r="B106" s="49" t="s">
        <v>268</v>
      </c>
      <c r="C106" s="49" t="s">
        <v>269</v>
      </c>
      <c r="D106" s="49" t="s">
        <v>248</v>
      </c>
      <c r="E106" s="4" t="str">
        <f>_xll.BDP(AI106,"ds520")</f>
        <v>#N/A Connection</v>
      </c>
      <c r="F106" s="4" t="str">
        <f>_xll.BDP(AI106,"crncy")</f>
        <v>#N/A Connection</v>
      </c>
      <c r="G106" s="5" t="s">
        <v>115</v>
      </c>
      <c r="H106" s="4" t="str">
        <f>IF(_xll.BDP(AI106,"RTG_MOODY")="#N/A N/A","N/A",_xll.BDP(AI106,"RTG_MOODY"))&amp;","&amp;IF(_xll.BDP(AI106,"RTG_FITCH")="#N/A N/A","N/A",_xll.BDP(AI106,"RTG_FITCH"))&amp;","&amp;IF(_xll.BDP(AI106,"RTG_SP")="#N/A N/A","N/A",_xll.BDP(AI106,"RTG_SP"))</f>
        <v>#N/A Connection,#N/A Connection,#N/A Connection</v>
      </c>
      <c r="I106" s="7" t="e">
        <f>_xll.BDP(AI106,"cpn")/100</f>
        <v>#VALUE!</v>
      </c>
      <c r="J106" s="7" t="e">
        <f ca="1">_xll.BDP($G106&amp;" isin","YAS_BOND_YLD", "YAS_YLD_FLAG=15", "user_local_trade_date",AN106,"Yas_bond_px",$Q106)/100</f>
        <v>#VALUE!</v>
      </c>
      <c r="K106" s="4" t="str">
        <f>_xll.BDP(AI106,"PAYMENT_RANK")</f>
        <v>#N/A Connection</v>
      </c>
      <c r="L106" s="4" t="str">
        <f>IF((TEXT(_xll.BDP(AI106,"MATURITY"),"DD/MM/YYYY")="#N/A Field Not Applicable"),"Perp",TEXT(_xll.BDP(AI106,"MATURITY"),"DD/MM/YYYY"))</f>
        <v>#N/A Connection</v>
      </c>
      <c r="M106" s="8" t="str">
        <f>(IF(_xll.BDP($AI106&amp;" ISIN","DU003")="#n/a n/a"," ",_xll.BDP($AI106&amp;" ISIN","DU003")))</f>
        <v>#N/A Connection</v>
      </c>
      <c r="N106" s="4" t="str">
        <f>IF(_xll.BDP(AI106,"CALLABLE")="Y",_xll.BDP(AI106,"NXT_CALL_DT")," ")</f>
        <v xml:space="preserve"> </v>
      </c>
      <c r="O106" s="9">
        <v>300000</v>
      </c>
      <c r="P106" s="5">
        <v>102.18600000000001</v>
      </c>
      <c r="Q106" s="10" t="str">
        <f>_xll.BDP(AI106,"px_bid")</f>
        <v>#N/A Connection</v>
      </c>
      <c r="R106" s="11" t="e">
        <f>IF(F106="USD",AG106,(((_xll.BDP(F106&amp;"USD CURNCY","PX_LAST")))*AG106))</f>
        <v>#VALUE!</v>
      </c>
      <c r="S106" s="11" t="e">
        <f>IF(F106="USD",AH106,(((_xll.BDP(F106&amp;"USD CURNCY","PX_LAST")))*AH106))+AP106</f>
        <v>#VALUE!</v>
      </c>
      <c r="T106" s="12" t="e">
        <f t="shared" si="34"/>
        <v>#VALUE!</v>
      </c>
      <c r="U106" s="13" t="e">
        <f t="shared" si="35"/>
        <v>#VALUE!</v>
      </c>
      <c r="V106" s="13" t="str" cm="1">
        <f t="array" ref="V106">IFERROR(_xll.BDP($G106&amp;" ISIN","CHG_PCT_1D")/100,"")</f>
        <v/>
      </c>
      <c r="W106" s="13" t="str" cm="1">
        <f t="array" ref="W106">IFERROR(_xll.BDP($G106&amp;" ISIN","CHG_PCT_5D")/100,"")</f>
        <v/>
      </c>
      <c r="X106" s="13" t="e" cm="1">
        <f t="array" ref="X106">_xll.BDP($G106&amp;" ISIN","CHG_PCT_1M")/100</f>
        <v>#VALUE!</v>
      </c>
      <c r="Y106" s="13" t="e" cm="1">
        <f t="array" ref="Y106">_xll.BDP($G106&amp;" ISIN","CHG_PCT_3M")/100</f>
        <v>#VALUE!</v>
      </c>
      <c r="Z106" s="13" t="e" cm="1">
        <f t="array" ref="Z106">_xll.BDP($G106&amp;" ISIN","CHG_PCT_6M")/100</f>
        <v>#VALUE!</v>
      </c>
      <c r="AA106" s="13" t="e" cm="1">
        <f t="array" ref="AA106">_xll.BDP($G106&amp;" ISIN","CHG_PCT_YTD")/100</f>
        <v>#VALUE!</v>
      </c>
      <c r="AB106" s="13" t="e">
        <f t="shared" si="42"/>
        <v>#VALUE!</v>
      </c>
      <c r="AC106" s="14" t="e">
        <f t="shared" ca="1" si="36"/>
        <v>#VALUE!</v>
      </c>
      <c r="AD106" s="4" t="str">
        <f>_xll.BDP(AI106,"DS199")</f>
        <v>#N/A Connection</v>
      </c>
      <c r="AE106" s="10" t="str">
        <f>_xll.BDP(AI106,"px_ask")</f>
        <v>#N/A Connection</v>
      </c>
      <c r="AF106" s="14" t="e">
        <f>IF(F106="USD",O106,(((_xll.BDP(F106&amp;"USD CURNCY","PX_LAST")))*O106))</f>
        <v>#VALUE!</v>
      </c>
      <c r="AG106" s="11">
        <f t="shared" si="37"/>
        <v>306558.00000000006</v>
      </c>
      <c r="AH106" s="11" t="e">
        <f t="shared" si="38"/>
        <v>#VALUE!</v>
      </c>
      <c r="AI106" s="4" t="str">
        <f t="shared" si="39"/>
        <v>XS2258453443 ISIN</v>
      </c>
      <c r="AJ106" s="4" t="e" cm="1">
        <f t="array" ref="AJ106">VLOOKUP(IF(NOT(_xll.BDP($G106&amp;" CORP",$CA$5)="#N/A N/A"),(_xll.BDP($G106&amp;" CORP",$CA$5)),"-"), '[1]Country Codes'!$A$2:$B$253,2,0)</f>
        <v>#N/A</v>
      </c>
      <c r="AK106" s="4" t="str" cm="1">
        <f t="array" ref="AK106">IF(OR(_xll.BDP($AI106,"EX028")= "#N/A N/A", _xll.BDP($AI106,"EX028")="#N/A FIELD NOT APPLICABLE"), " ", _xll.BDP($AI106,"EX028"))</f>
        <v>#N/A Connection</v>
      </c>
      <c r="AL106" s="15" t="str">
        <f>(IF(_xll.BDP($AI106&amp;" ISIN","DZ282")="Y","Single line Bonds Cocos","Single line Bonds ex Cocos"))</f>
        <v>Single line Bonds ex Cocos</v>
      </c>
      <c r="AM106" s="8" t="str">
        <f>(IF(_xll.BDP($G106&amp;" ISIN","SP153")="#n/a n/a"," ",_xll.BDP($G106&amp;" ISIN","SP153")))</f>
        <v>#N/A Connection</v>
      </c>
      <c r="AN106" s="16">
        <f t="shared" ca="1" si="40"/>
        <v>45783</v>
      </c>
      <c r="AO106" s="11" t="e">
        <f>(((_xll.BDP(AI106,"DS032"))/360)*I106)*O106</f>
        <v>#VALUE!</v>
      </c>
      <c r="AP106" s="11" t="e">
        <f>IF(F106="USD",AO106,(((_xll.BDP(F106&amp;"USD CURNCY","PX_LAST")))*AO106))</f>
        <v>#VALUE!</v>
      </c>
      <c r="AQ106" s="13" t="e">
        <f t="shared" si="44"/>
        <v>#VALUE!</v>
      </c>
      <c r="AR106" s="11" t="e">
        <f t="shared" si="41"/>
        <v>#VALUE!</v>
      </c>
      <c r="AS106" s="10" t="str">
        <f>IF((TEXT(_xll.BDP(AI106,"MATURITY"),"DD/MM/YYYY")="#N/A Field Not Applicable"),"Perp",_xll.BDP(AI106,"DS252"))</f>
        <v>#N/A Connection</v>
      </c>
      <c r="AT106" s="15" t="str">
        <f>(IF(_xll.BDP($AI106&amp;" ISIN","DT247")="Y","Yes","No"))</f>
        <v>No</v>
      </c>
      <c r="AU106" s="15" t="str">
        <f>PROPER(IF(OR(_xll.BDP($AI106,"CPN_TYP")="#n/a N/A",_xll.BDP($AI106,"CPN_TYP")= "#N/A FIELD NOT APPLICABLE"), " ", _xll.BDP($AI106,"CPN_TYP")))</f>
        <v>#N/A Connection</v>
      </c>
      <c r="BG106" s="17" t="str">
        <f t="shared" ref="BG106:BG133" si="45">G106</f>
        <v>XS2258453443</v>
      </c>
      <c r="BH106" s="17">
        <v>0.55710000000000004</v>
      </c>
      <c r="BI106" s="18">
        <v>5</v>
      </c>
      <c r="BJ106" s="19">
        <v>44543</v>
      </c>
      <c r="BK106" s="20"/>
    </row>
    <row r="107" spans="1:64" s="101" customFormat="1" ht="14.45" customHeight="1" x14ac:dyDescent="0.25">
      <c r="A107" s="49" t="s">
        <v>242</v>
      </c>
      <c r="B107" s="49" t="s">
        <v>268</v>
      </c>
      <c r="C107" s="49" t="s">
        <v>269</v>
      </c>
      <c r="D107" s="49" t="s">
        <v>248</v>
      </c>
      <c r="E107" s="4" t="str">
        <f>_xll.BDP(AI107,"ds520")</f>
        <v>#N/A Connection</v>
      </c>
      <c r="F107" s="4" t="str">
        <f>_xll.BDP(AI107,"crncy")</f>
        <v>#N/A Connection</v>
      </c>
      <c r="G107" s="5" t="s">
        <v>220</v>
      </c>
      <c r="H107" s="4" t="str">
        <f>IF(_xll.BDP(AI107,"RTG_MOODY")="#N/A N/A","N/A",_xll.BDP(AI107,"RTG_MOODY"))&amp;","&amp;IF(_xll.BDP(AI107,"RTG_FITCH")="#N/A N/A","N/A",_xll.BDP(AI107,"RTG_FITCH"))&amp;","&amp;IF(_xll.BDP(AI107,"RTG_SP")="#N/A N/A","N/A",_xll.BDP(AI107,"RTG_SP"))</f>
        <v>#N/A Connection,#N/A Connection,#N/A Connection</v>
      </c>
      <c r="I107" s="7" t="e">
        <f>_xll.BDP(AI107,"cpn")/100</f>
        <v>#VALUE!</v>
      </c>
      <c r="J107" s="7" t="e">
        <f ca="1">_xll.BDP($G107&amp;" isin","YAS_BOND_YLD", "YAS_YLD_FLAG=15", "user_local_trade_date",AN107,"Yas_bond_px",$Q107)/100</f>
        <v>#VALUE!</v>
      </c>
      <c r="K107" s="4" t="str">
        <f>_xll.BDP(AI107,"PAYMENT_RANK")</f>
        <v>#N/A Connection</v>
      </c>
      <c r="L107" s="4" t="str">
        <f>IF((TEXT(_xll.BDP(AI107,"MATURITY"),"DD/MM/YYYY")="#N/A Field Not Applicable"),"Perp",TEXT(_xll.BDP(AI107,"MATURITY"),"DD/MM/YYYY"))</f>
        <v>#N/A Connection</v>
      </c>
      <c r="M107" s="8" t="str">
        <f>(IF(_xll.BDP($AI107&amp;" ISIN","DU003")="#n/a n/a"," ",_xll.BDP($AI107&amp;" ISIN","DU003")))</f>
        <v>#N/A Connection</v>
      </c>
      <c r="N107" s="4" t="str">
        <f>IF(_xll.BDP(AI107,"CALLABLE")="Y",_xll.BDP(AI107,"NXT_CALL_DT")," ")</f>
        <v xml:space="preserve"> </v>
      </c>
      <c r="O107" s="9">
        <v>250000</v>
      </c>
      <c r="P107" s="5">
        <v>100.3</v>
      </c>
      <c r="Q107" s="10" t="str">
        <f>_xll.BDP(AI107,"px_bid")</f>
        <v>#N/A Connection</v>
      </c>
      <c r="R107" s="11" t="e">
        <f>IF(F107="USD",AG107,(((_xll.BDP(F107&amp;"USD CURNCY","PX_LAST")))*AG107))</f>
        <v>#VALUE!</v>
      </c>
      <c r="S107" s="11" t="e">
        <f>IF(F107="USD",AH107,(((_xll.BDP(F107&amp;"USD CURNCY","PX_LAST")))*AH107))+AP107</f>
        <v>#VALUE!</v>
      </c>
      <c r="T107" s="12" t="e">
        <f t="shared" ref="T107:T134" si="46">U107*R107</f>
        <v>#VALUE!</v>
      </c>
      <c r="U107" s="13" t="e">
        <f t="shared" ref="U107:U134" si="47">(Q107-P107)/P107</f>
        <v>#VALUE!</v>
      </c>
      <c r="V107" s="13" t="str" cm="1">
        <f t="array" ref="V107">IFERROR(_xll.BDP($G107&amp;" ISIN","CHG_PCT_1D")/100,"")</f>
        <v/>
      </c>
      <c r="W107" s="13" t="str" cm="1">
        <f t="array" ref="W107">IFERROR(_xll.BDP($G107&amp;" ISIN","CHG_PCT_5D")/100,"")</f>
        <v/>
      </c>
      <c r="X107" s="13" t="e" cm="1">
        <f t="array" ref="X107">_xll.BDP($G107&amp;" ISIN","CHG_PCT_1M")/100</f>
        <v>#VALUE!</v>
      </c>
      <c r="Y107" s="13" t="e" cm="1">
        <f t="array" ref="Y107">_xll.BDP($G107&amp;" ISIN","CHG_PCT_3M")/100</f>
        <v>#VALUE!</v>
      </c>
      <c r="Z107" s="13" t="e" cm="1">
        <f t="array" ref="Z107">_xll.BDP($G107&amp;" ISIN","CHG_PCT_6M")/100</f>
        <v>#VALUE!</v>
      </c>
      <c r="AA107" s="13" t="e" cm="1">
        <f t="array" ref="AA107">_xll.BDP($G107&amp;" ISIN","CHG_PCT_YTD")/100</f>
        <v>#VALUE!</v>
      </c>
      <c r="AB107" s="13" t="e">
        <f t="shared" si="42"/>
        <v>#VALUE!</v>
      </c>
      <c r="AC107" s="14" t="e">
        <f t="shared" ref="AC107:AC134" ca="1" si="48">((AF107*I107)* ((TODAY()-BJ107)/360))+(Q107-P107)%*AF107</f>
        <v>#VALUE!</v>
      </c>
      <c r="AD107" s="4" t="str">
        <f>_xll.BDP(AI107,"DS199")</f>
        <v>#N/A Connection</v>
      </c>
      <c r="AE107" s="10" t="str">
        <f>_xll.BDP(AI107,"px_ask")</f>
        <v>#N/A Connection</v>
      </c>
      <c r="AF107" s="14" t="e">
        <f>IF(F107="USD",O107,(((_xll.BDP(F107&amp;"USD CURNCY","PX_LAST")))*O107))</f>
        <v>#VALUE!</v>
      </c>
      <c r="AG107" s="11">
        <f t="shared" ref="AG107:AG134" si="49">O107*P107/100</f>
        <v>250750</v>
      </c>
      <c r="AH107" s="11" t="e">
        <f t="shared" ref="AH107:AH134" si="50">Q107*O107/100</f>
        <v>#VALUE!</v>
      </c>
      <c r="AI107" s="4" t="str">
        <f t="shared" ref="AI107:AI134" si="51">G107&amp; " ISIN"</f>
        <v>XS2311313378 ISIN</v>
      </c>
      <c r="AJ107" s="4" t="e" cm="1">
        <f t="array" ref="AJ107">VLOOKUP(IF(NOT(_xll.BDP($G107&amp;" CORP",$CA$5)="#N/A N/A"),(_xll.BDP($G107&amp;" CORP",$CA$5)),"-"), '[1]Country Codes'!$A$2:$B$253,2,0)</f>
        <v>#N/A</v>
      </c>
      <c r="AK107" s="4" t="str" cm="1">
        <f t="array" ref="AK107">IF(OR(_xll.BDP($AI107,"EX028")= "#N/A N/A", _xll.BDP($AI107,"EX028")="#N/A FIELD NOT APPLICABLE"), " ", _xll.BDP($AI107,"EX028"))</f>
        <v>#N/A Connection</v>
      </c>
      <c r="AL107" s="15" t="str">
        <f>(IF(_xll.BDP($AI107&amp;" ISIN","DZ282")="Y","Single line Bonds Cocos","Single line Bonds ex Cocos"))</f>
        <v>Single line Bonds ex Cocos</v>
      </c>
      <c r="AM107" s="8" t="str">
        <f>(IF(_xll.BDP($G107&amp;" ISIN","SP153")="#n/a n/a"," ",_xll.BDP($G107&amp;" ISIN","SP153")))</f>
        <v>#N/A Connection</v>
      </c>
      <c r="AN107" s="16">
        <f t="shared" ref="AN107:AN134" ca="1" si="52">TODAY()</f>
        <v>45783</v>
      </c>
      <c r="AO107" s="11" t="e">
        <f>(((_xll.BDP(AI107,"DS032"))/360)*I107)*O107</f>
        <v>#VALUE!</v>
      </c>
      <c r="AP107" s="11" t="e">
        <f>IF(F107="USD",AO107,(((_xll.BDP(F107&amp;"USD CURNCY","PX_LAST")))*AO107))</f>
        <v>#VALUE!</v>
      </c>
      <c r="AQ107" s="13" t="e">
        <f t="shared" si="44"/>
        <v>#VALUE!</v>
      </c>
      <c r="AR107" s="11" t="e">
        <f t="shared" ref="AR107:AR134" si="53">S107-AP107</f>
        <v>#VALUE!</v>
      </c>
      <c r="AS107" s="10" t="str">
        <f>IF((TEXT(_xll.BDP(AI107,"MATURITY"),"DD/MM/YYYY")="#N/A Field Not Applicable"),"Perp",_xll.BDP(AI107,"DS252"))</f>
        <v>#N/A Connection</v>
      </c>
      <c r="AT107" s="15" t="str">
        <f>(IF(_xll.BDP($AI107&amp;" ISIN","DT247")="Y","Yes","No"))</f>
        <v>No</v>
      </c>
      <c r="AU107" s="15" t="str">
        <f>PROPER(IF(OR(_xll.BDP($AI107,"CPN_TYP")="#n/a N/A",_xll.BDP($AI107,"CPN_TYP")= "#N/A FIELD NOT APPLICABLE"), " ", _xll.BDP($AI107,"CPN_TYP")))</f>
        <v>#N/A Connection</v>
      </c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17" t="str">
        <f t="shared" si="45"/>
        <v>XS2311313378</v>
      </c>
      <c r="BH107" s="17">
        <v>0.88829999999999998</v>
      </c>
      <c r="BI107" s="18">
        <v>4</v>
      </c>
      <c r="BJ107" s="19">
        <v>44293</v>
      </c>
      <c r="BK107" s="20"/>
      <c r="BL107" s="21"/>
    </row>
    <row r="108" spans="1:64" s="21" customFormat="1" ht="14.45" customHeight="1" x14ac:dyDescent="0.25">
      <c r="A108" s="49" t="s">
        <v>242</v>
      </c>
      <c r="B108" s="49" t="s">
        <v>268</v>
      </c>
      <c r="C108" s="49" t="s">
        <v>269</v>
      </c>
      <c r="D108" s="49" t="s">
        <v>248</v>
      </c>
      <c r="E108" s="4" t="str">
        <f>_xll.BDP(AI108,"ds520")</f>
        <v>#N/A Connection</v>
      </c>
      <c r="F108" s="4" t="str">
        <f>_xll.BDP(AI108,"crncy")</f>
        <v>#N/A Connection</v>
      </c>
      <c r="G108" s="5" t="s">
        <v>117</v>
      </c>
      <c r="H108" s="4" t="str">
        <f>IF(_xll.BDP(AI108,"RTG_MOODY")="#N/A N/A","N/A",_xll.BDP(AI108,"RTG_MOODY"))&amp;","&amp;IF(_xll.BDP(AI108,"RTG_FITCH")="#N/A N/A","N/A",_xll.BDP(AI108,"RTG_FITCH"))&amp;","&amp;IF(_xll.BDP(AI108,"RTG_SP")="#N/A N/A","N/A",_xll.BDP(AI108,"RTG_SP"))</f>
        <v>#N/A Connection,#N/A Connection,#N/A Connection</v>
      </c>
      <c r="I108" s="7" t="e">
        <f>_xll.BDP(AI108,"cpn")/100</f>
        <v>#VALUE!</v>
      </c>
      <c r="J108" s="7" t="e">
        <f ca="1">_xll.BDP($G108&amp;" isin","YAS_BOND_YLD", "YAS_YLD_FLAG=15", "user_local_trade_date",AN108,"Yas_bond_px",$Q108)/100</f>
        <v>#VALUE!</v>
      </c>
      <c r="K108" s="4" t="str">
        <f>_xll.BDP(AI108,"PAYMENT_RANK")</f>
        <v>#N/A Connection</v>
      </c>
      <c r="L108" s="4" t="str">
        <f>IF((TEXT(_xll.BDP(AI108,"MATURITY"),"DD/MM/YYYY")="#N/A Field Not Applicable"),"Perp",TEXT(_xll.BDP(AI108,"MATURITY"),"DD/MM/YYYY"))</f>
        <v>#N/A Connection</v>
      </c>
      <c r="M108" s="8" t="str">
        <f>(IF(_xll.BDP($AI108&amp;" ISIN","DU003")="#n/a n/a"," ",_xll.BDP($AI108&amp;" ISIN","DU003")))</f>
        <v>#N/A Connection</v>
      </c>
      <c r="N108" s="4" t="str">
        <f>IF(_xll.BDP(AI108,"CALLABLE")="Y",_xll.BDP(AI108,"NXT_CALL_DT")," ")</f>
        <v xml:space="preserve"> </v>
      </c>
      <c r="O108" s="9">
        <v>400000</v>
      </c>
      <c r="P108" s="5">
        <v>101.503</v>
      </c>
      <c r="Q108" s="10" t="str">
        <f>_xll.BDP(AI108,"px_bid")</f>
        <v>#N/A Connection</v>
      </c>
      <c r="R108" s="11" t="e">
        <f>IF(F108="USD",AG108,(((_xll.BDP(F108&amp;"USD CURNCY","PX_LAST")))*AG108))</f>
        <v>#VALUE!</v>
      </c>
      <c r="S108" s="11" t="e">
        <f>IF(F108="USD",AH108,(((_xll.BDP(F108&amp;"USD CURNCY","PX_LAST")))*AH108))+AP108</f>
        <v>#VALUE!</v>
      </c>
      <c r="T108" s="12" t="e">
        <f t="shared" si="46"/>
        <v>#VALUE!</v>
      </c>
      <c r="U108" s="13" t="e">
        <f t="shared" si="47"/>
        <v>#VALUE!</v>
      </c>
      <c r="V108" s="13" t="str" cm="1">
        <f t="array" ref="V108">IFERROR(_xll.BDP($G108&amp;" ISIN","CHG_PCT_1D")/100,"")</f>
        <v/>
      </c>
      <c r="W108" s="13" t="str" cm="1">
        <f t="array" ref="W108">IFERROR(_xll.BDP($G108&amp;" ISIN","CHG_PCT_5D")/100,"")</f>
        <v/>
      </c>
      <c r="X108" s="13" t="e" cm="1">
        <f t="array" ref="X108">_xll.BDP($G108&amp;" ISIN","CHG_PCT_1M")/100</f>
        <v>#VALUE!</v>
      </c>
      <c r="Y108" s="13" t="e" cm="1">
        <f t="array" ref="Y108">_xll.BDP($G108&amp;" ISIN","CHG_PCT_3M")/100</f>
        <v>#VALUE!</v>
      </c>
      <c r="Z108" s="13" t="e" cm="1">
        <f t="array" ref="Z108">_xll.BDP($G108&amp;" ISIN","CHG_PCT_6M")/100</f>
        <v>#VALUE!</v>
      </c>
      <c r="AA108" s="13" t="e" cm="1">
        <f t="array" ref="AA108">_xll.BDP($G108&amp;" ISIN","CHG_PCT_YTD")/100</f>
        <v>#VALUE!</v>
      </c>
      <c r="AB108" s="13" t="e">
        <f t="shared" si="42"/>
        <v>#VALUE!</v>
      </c>
      <c r="AC108" s="14" t="e">
        <f t="shared" ca="1" si="48"/>
        <v>#VALUE!</v>
      </c>
      <c r="AD108" s="4" t="str">
        <f>_xll.BDP(AI108,"DS199")</f>
        <v>#N/A Connection</v>
      </c>
      <c r="AE108" s="10" t="str">
        <f>_xll.BDP(AI108,"px_ask")</f>
        <v>#N/A Connection</v>
      </c>
      <c r="AF108" s="14" t="e">
        <f>IF(F108="USD",O108,(((_xll.BDP(F108&amp;"USD CURNCY","PX_LAST")))*O108))</f>
        <v>#VALUE!</v>
      </c>
      <c r="AG108" s="11">
        <f t="shared" si="49"/>
        <v>406012</v>
      </c>
      <c r="AH108" s="11" t="e">
        <f t="shared" si="50"/>
        <v>#VALUE!</v>
      </c>
      <c r="AI108" s="4" t="str">
        <f t="shared" si="51"/>
        <v>XS2384355520 ISIN</v>
      </c>
      <c r="AJ108" s="4" t="e" cm="1">
        <f t="array" ref="AJ108">VLOOKUP(IF(NOT(_xll.BDP($G108&amp;" CORP",$CA$5)="#N/A N/A"),(_xll.BDP($G108&amp;" CORP",$CA$5)),"-"), '[1]Country Codes'!$A$2:$B$253,2,0)</f>
        <v>#N/A</v>
      </c>
      <c r="AK108" s="4" t="str" cm="1">
        <f t="array" ref="AK108">IF(OR(_xll.BDP($AI108,"EX028")= "#N/A N/A", _xll.BDP($AI108,"EX028")="#N/A FIELD NOT APPLICABLE"), " ", _xll.BDP($AI108,"EX028"))</f>
        <v>#N/A Connection</v>
      </c>
      <c r="AL108" s="15" t="str">
        <f>(IF(_xll.BDP($AI108&amp;" ISIN","DZ282")="Y","Single line Bonds Cocos","Single line Bonds ex Cocos"))</f>
        <v>Single line Bonds ex Cocos</v>
      </c>
      <c r="AM108" s="8" t="str">
        <f>(IF(_xll.BDP($G108&amp;" ISIN","SP153")="#n/a n/a"," ",_xll.BDP($G108&amp;" ISIN","SP153")))</f>
        <v>#N/A Connection</v>
      </c>
      <c r="AN108" s="16">
        <f t="shared" ca="1" si="52"/>
        <v>45783</v>
      </c>
      <c r="AO108" s="11" t="e">
        <f>(((_xll.BDP(AI108,"DS032"))/360)*I108)*O108</f>
        <v>#VALUE!</v>
      </c>
      <c r="AP108" s="11" t="e">
        <f>IF(F108="USD",AO108,(((_xll.BDP(F108&amp;"USD CURNCY","PX_LAST")))*AO108))</f>
        <v>#VALUE!</v>
      </c>
      <c r="AQ108" s="13" t="e">
        <f t="shared" si="44"/>
        <v>#VALUE!</v>
      </c>
      <c r="AR108" s="11" t="e">
        <f t="shared" si="53"/>
        <v>#VALUE!</v>
      </c>
      <c r="AS108" s="10" t="str">
        <f>IF((TEXT(_xll.BDP(AI108,"MATURITY"),"DD/MM/YYYY")="#N/A Field Not Applicable"),"Perp",_xll.BDP(AI108,"DS252"))</f>
        <v>#N/A Connection</v>
      </c>
      <c r="AT108" s="15" t="str">
        <f>(IF(_xll.BDP($AI108&amp;" ISIN","DT247")="Y","Yes","No"))</f>
        <v>No</v>
      </c>
      <c r="AU108" s="15" t="str">
        <f>PROPER(IF(OR(_xll.BDP($AI108,"CPN_TYP")="#n/a N/A",_xll.BDP($AI108,"CPN_TYP")= "#N/A FIELD NOT APPLICABLE"), " ", _xll.BDP($AI108,"CPN_TYP")))</f>
        <v>#N/A Connection</v>
      </c>
      <c r="BG108" s="17" t="str">
        <f t="shared" si="45"/>
        <v>XS2384355520</v>
      </c>
      <c r="BH108" s="17">
        <v>0.73280000000000001</v>
      </c>
      <c r="BI108" s="18">
        <v>5</v>
      </c>
      <c r="BJ108" s="19">
        <v>44455</v>
      </c>
      <c r="BK108" s="20"/>
    </row>
    <row r="109" spans="1:64" s="21" customFormat="1" ht="14.45" customHeight="1" x14ac:dyDescent="0.25">
      <c r="A109" s="49" t="s">
        <v>242</v>
      </c>
      <c r="B109" s="49" t="s">
        <v>268</v>
      </c>
      <c r="C109" s="49" t="s">
        <v>269</v>
      </c>
      <c r="D109" s="49" t="s">
        <v>248</v>
      </c>
      <c r="E109" s="4" t="str">
        <f>_xll.BDP(AI109,"ds520")</f>
        <v>#N/A Connection</v>
      </c>
      <c r="F109" s="4" t="str">
        <f>_xll.BDP(AI109,"crncy")</f>
        <v>#N/A Connection</v>
      </c>
      <c r="G109" s="5" t="s">
        <v>316</v>
      </c>
      <c r="H109" s="4" t="str">
        <f>IF(_xll.BDP(AI109,"RTG_MOODY")="#N/A N/A","N/A",_xll.BDP(AI109,"RTG_MOODY"))&amp;","&amp;IF(_xll.BDP(AI109,"RTG_FITCH")="#N/A N/A","N/A",_xll.BDP(AI109,"RTG_FITCH"))&amp;","&amp;IF(_xll.BDP(AI109,"RTG_SP")="#N/A N/A","N/A",_xll.BDP(AI109,"RTG_SP"))</f>
        <v>#N/A Connection,#N/A Connection,#N/A Connection</v>
      </c>
      <c r="I109" s="7" t="e">
        <f>_xll.BDP(AI109,"cpn")/100</f>
        <v>#VALUE!</v>
      </c>
      <c r="J109" s="7" t="e">
        <f ca="1">_xll.BDP($G109&amp;" isin","YAS_BOND_YLD", "YAS_YLD_FLAG=15", "user_local_trade_date",AN109,"Yas_bond_px",$Q109)/100</f>
        <v>#VALUE!</v>
      </c>
      <c r="K109" s="4" t="str">
        <f>_xll.BDP(AI109,"PAYMENT_RANK")</f>
        <v>#N/A Connection</v>
      </c>
      <c r="L109" s="4" t="str">
        <f>IF((TEXT(_xll.BDP(AI109,"MATURITY"),"DD/MM/YYYY")="#N/A Field Not Applicable"),"Perp",TEXT(_xll.BDP(AI109,"MATURITY"),"DD/MM/YYYY"))</f>
        <v>#N/A Connection</v>
      </c>
      <c r="M109" s="8" t="str">
        <f>(IF(_xll.BDP($AI109&amp;" ISIN","DU003")="#n/a n/a"," ",_xll.BDP($AI109&amp;" ISIN","DU003")))</f>
        <v>#N/A Connection</v>
      </c>
      <c r="N109" s="4" t="str">
        <f>IF(_xll.BDP(AI109,"CALLABLE")="Y",_xll.BDP(AI109,"NXT_CALL_DT")," ")</f>
        <v xml:space="preserve"> </v>
      </c>
      <c r="O109" s="9">
        <v>500000</v>
      </c>
      <c r="P109" s="5">
        <v>100.01</v>
      </c>
      <c r="Q109" s="10" t="str">
        <f>_xll.BDP(AI109,"px_bid")</f>
        <v>#N/A Connection</v>
      </c>
      <c r="R109" s="11" t="e">
        <f>IF(F109="USD",AG109,(((_xll.BDP(F109&amp;"USD CURNCY","PX_LAST")))*AG109))</f>
        <v>#VALUE!</v>
      </c>
      <c r="S109" s="11" t="e">
        <f>IF(F109="USD",AH109,(((_xll.BDP(F109&amp;"USD CURNCY","PX_LAST")))*AH109))+AP109</f>
        <v>#VALUE!</v>
      </c>
      <c r="T109" s="12" t="e">
        <f t="shared" si="46"/>
        <v>#VALUE!</v>
      </c>
      <c r="U109" s="13" t="e">
        <f t="shared" si="47"/>
        <v>#VALUE!</v>
      </c>
      <c r="V109" s="13" t="str" cm="1">
        <f t="array" ref="V109">IFERROR(_xll.BDP($G109&amp;" ISIN","CHG_PCT_1D")/100,"")</f>
        <v/>
      </c>
      <c r="W109" s="13" t="str" cm="1">
        <f t="array" ref="W109">IFERROR(_xll.BDP($G109&amp;" ISIN","CHG_PCT_5D")/100,"")</f>
        <v/>
      </c>
      <c r="X109" s="13" t="e" cm="1">
        <f t="array" ref="X109">_xll.BDP($G109&amp;" ISIN","CHG_PCT_1M")/100</f>
        <v>#VALUE!</v>
      </c>
      <c r="Y109" s="13" t="e" cm="1">
        <f t="array" ref="Y109">_xll.BDP($G109&amp;" ISIN","CHG_PCT_3M")/100</f>
        <v>#VALUE!</v>
      </c>
      <c r="Z109" s="13" t="e" cm="1">
        <f t="array" ref="Z109">_xll.BDP($G109&amp;" ISIN","CHG_PCT_6M")/100</f>
        <v>#VALUE!</v>
      </c>
      <c r="AA109" s="13" t="e" cm="1">
        <f t="array" ref="AA109">_xll.BDP($G109&amp;" ISIN","CHG_PCT_YTD")/100</f>
        <v>#VALUE!</v>
      </c>
      <c r="AB109" s="13" t="e">
        <f t="shared" si="42"/>
        <v>#VALUE!</v>
      </c>
      <c r="AC109" s="14" t="e">
        <f t="shared" ca="1" si="48"/>
        <v>#VALUE!</v>
      </c>
      <c r="AD109" s="4" t="str">
        <f>_xll.BDP(AI109,"DS199")</f>
        <v>#N/A Connection</v>
      </c>
      <c r="AE109" s="10" t="str">
        <f>_xll.BDP(AI109,"px_ask")</f>
        <v>#N/A Connection</v>
      </c>
      <c r="AF109" s="14" t="e">
        <f>IF(F109="USD",O109,(((_xll.BDP(F109&amp;"USD CURNCY","PX_LAST")))*O109))</f>
        <v>#VALUE!</v>
      </c>
      <c r="AG109" s="11">
        <f t="shared" si="49"/>
        <v>500050</v>
      </c>
      <c r="AH109" s="11" t="e">
        <f t="shared" si="50"/>
        <v>#VALUE!</v>
      </c>
      <c r="AI109" s="4" t="str">
        <f t="shared" si="51"/>
        <v>XS2976035316 ISIN</v>
      </c>
      <c r="AJ109" s="4" t="e" cm="1">
        <f t="array" ref="AJ109">VLOOKUP(IF(NOT(_xll.BDP($G109&amp;" CORP",$CA$5)="#N/A N/A"),(_xll.BDP($G109&amp;" CORP",$CA$5)),"-"), '[1]Country Codes'!$A$2:$B$253,2,0)</f>
        <v>#N/A</v>
      </c>
      <c r="AK109" s="4" t="str" cm="1">
        <f t="array" ref="AK109">IF(OR(_xll.BDP($AI109,"EX028")= "#N/A N/A", _xll.BDP($AI109,"EX028")="#N/A FIELD NOT APPLICABLE"), " ", _xll.BDP($AI109,"EX028"))</f>
        <v>#N/A Connection</v>
      </c>
      <c r="AL109" s="15" t="str">
        <f>(IF(_xll.BDP($AI109&amp;" ISIN","DZ282")="Y","Single line Bonds Cocos","Single line Bonds ex Cocos"))</f>
        <v>Single line Bonds ex Cocos</v>
      </c>
      <c r="AM109" s="8" t="str">
        <f>(IF(_xll.BDP($G109&amp;" ISIN","SP153")="#n/a n/a"," ",_xll.BDP($G109&amp;" ISIN","SP153")))</f>
        <v>#N/A Connection</v>
      </c>
      <c r="AN109" s="16">
        <f t="shared" ca="1" si="52"/>
        <v>45783</v>
      </c>
      <c r="AO109" s="11" t="e">
        <f>(((_xll.BDP(AI109,"DS032"))/360)*I109)*O109</f>
        <v>#VALUE!</v>
      </c>
      <c r="AP109" s="11" t="e">
        <f>IF(F109="USD",AO109,(((_xll.BDP(F109&amp;"USD CURNCY","PX_LAST")))*AO109))</f>
        <v>#VALUE!</v>
      </c>
      <c r="AQ109" s="13" t="e">
        <f t="shared" si="44"/>
        <v>#VALUE!</v>
      </c>
      <c r="AR109" s="11" t="e">
        <f t="shared" si="53"/>
        <v>#VALUE!</v>
      </c>
      <c r="AS109" s="10" t="str">
        <f>IF((TEXT(_xll.BDP(AI109,"MATURITY"),"DD/MM/YYYY")="#N/A Field Not Applicable"),"Perp",_xll.BDP(AI109,"DS252"))</f>
        <v>#N/A Connection</v>
      </c>
      <c r="AT109" s="15" t="str">
        <f>(IF(_xll.BDP($AI109&amp;" ISIN","DT247")="Y","Yes","No"))</f>
        <v>No</v>
      </c>
      <c r="AU109" s="15" t="str">
        <f>PROPER(IF(OR(_xll.BDP($AI109,"CPN_TYP")="#n/a N/A",_xll.BDP($AI109,"CPN_TYP")= "#N/A FIELD NOT APPLICABLE"), " ", _xll.BDP($AI109,"CPN_TYP")))</f>
        <v>#N/A Connection</v>
      </c>
      <c r="BG109" s="17" t="str">
        <f t="shared" si="45"/>
        <v>XS2976035316</v>
      </c>
      <c r="BH109" s="17">
        <v>0.69410000000000005</v>
      </c>
      <c r="BI109" s="18">
        <v>5</v>
      </c>
      <c r="BJ109" s="19">
        <v>45677</v>
      </c>
      <c r="BK109" s="20"/>
    </row>
    <row r="110" spans="1:64" s="21" customFormat="1" ht="14.45" customHeight="1" x14ac:dyDescent="0.25">
      <c r="A110" s="49" t="s">
        <v>242</v>
      </c>
      <c r="B110" s="49" t="s">
        <v>268</v>
      </c>
      <c r="C110" s="49" t="s">
        <v>269</v>
      </c>
      <c r="D110" s="49" t="s">
        <v>248</v>
      </c>
      <c r="E110" s="4" t="str">
        <f>_xll.BDP(AI110,"ds520")</f>
        <v>#N/A Connection</v>
      </c>
      <c r="F110" s="4" t="str">
        <f>_xll.BDP(AI110,"crncy")</f>
        <v>#N/A Connection</v>
      </c>
      <c r="G110" s="5" t="s">
        <v>219</v>
      </c>
      <c r="H110" s="4" t="str">
        <f>IF(_xll.BDP(AI110,"RTG_MOODY")="#N/A N/A","N/A",_xll.BDP(AI110,"RTG_MOODY"))&amp;","&amp;IF(_xll.BDP(AI110,"RTG_FITCH")="#N/A N/A","N/A",_xll.BDP(AI110,"RTG_FITCH"))&amp;","&amp;IF(_xll.BDP(AI110,"RTG_SP")="#N/A N/A","N/A",_xll.BDP(AI110,"RTG_SP"))</f>
        <v>#N/A Connection,#N/A Connection,#N/A Connection</v>
      </c>
      <c r="I110" s="7" t="e">
        <f>_xll.BDP(AI110,"cpn")/100</f>
        <v>#VALUE!</v>
      </c>
      <c r="J110" s="7" t="e">
        <f ca="1">_xll.BDP($G110&amp;" isin","YAS_BOND_YLD", "YAS_YLD_FLAG=15", "user_local_trade_date",AN110,"Yas_bond_px",$Q110)/100</f>
        <v>#VALUE!</v>
      </c>
      <c r="K110" s="4" t="str">
        <f>_xll.BDP(AI110,"PAYMENT_RANK")</f>
        <v>#N/A Connection</v>
      </c>
      <c r="L110" s="4" t="str">
        <f>IF((TEXT(_xll.BDP(AI110,"MATURITY"),"DD/MM/YYYY")="#N/A Field Not Applicable"),"Perp",TEXT(_xll.BDP(AI110,"MATURITY"),"DD/MM/YYYY"))</f>
        <v>#N/A Connection</v>
      </c>
      <c r="M110" s="8" t="str">
        <f>(IF(_xll.BDP($AI110&amp;" ISIN","DU003")="#n/a n/a"," ",_xll.BDP($AI110&amp;" ISIN","DU003")))</f>
        <v>#N/A Connection</v>
      </c>
      <c r="N110" s="4" t="str">
        <f>IF(_xll.BDP(AI110,"CALLABLE")="Y",_xll.BDP(AI110,"NXT_CALL_DT")," ")</f>
        <v xml:space="preserve"> </v>
      </c>
      <c r="O110" s="9">
        <v>500000</v>
      </c>
      <c r="P110" s="5">
        <v>100.044</v>
      </c>
      <c r="Q110" s="10" t="str">
        <f>_xll.BDP(AI110,"px_bid")</f>
        <v>#N/A Connection</v>
      </c>
      <c r="R110" s="11" t="e">
        <f>IF(F110="USD",AG110,(((_xll.BDP(F110&amp;"USD CURNCY","PX_LAST")))*AG110))</f>
        <v>#VALUE!</v>
      </c>
      <c r="S110" s="11" t="e">
        <f>IF(F110="USD",AH110,(((_xll.BDP(F110&amp;"USD CURNCY","PX_LAST")))*AH110))+AP110</f>
        <v>#VALUE!</v>
      </c>
      <c r="T110" s="12" t="e">
        <f t="shared" si="46"/>
        <v>#VALUE!</v>
      </c>
      <c r="U110" s="13" t="e">
        <f t="shared" si="47"/>
        <v>#VALUE!</v>
      </c>
      <c r="V110" s="13" t="str" cm="1">
        <f t="array" ref="V110">IFERROR(_xll.BDP($G110&amp;" ISIN","CHG_PCT_1D")/100,"")</f>
        <v/>
      </c>
      <c r="W110" s="13" t="str" cm="1">
        <f t="array" ref="W110">IFERROR(_xll.BDP($G110&amp;" ISIN","CHG_PCT_5D")/100,"")</f>
        <v/>
      </c>
      <c r="X110" s="13" t="e" cm="1">
        <f t="array" ref="X110">_xll.BDP($G110&amp;" ISIN","CHG_PCT_1M")/100</f>
        <v>#VALUE!</v>
      </c>
      <c r="Y110" s="13" t="e" cm="1">
        <f t="array" ref="Y110">_xll.BDP($G110&amp;" ISIN","CHG_PCT_3M")/100</f>
        <v>#VALUE!</v>
      </c>
      <c r="Z110" s="13" t="e" cm="1">
        <f t="array" ref="Z110">_xll.BDP($G110&amp;" ISIN","CHG_PCT_6M")/100</f>
        <v>#VALUE!</v>
      </c>
      <c r="AA110" s="13" t="e" cm="1">
        <f t="array" ref="AA110">_xll.BDP($G110&amp;" ISIN","CHG_PCT_YTD")/100</f>
        <v>#VALUE!</v>
      </c>
      <c r="AB110" s="13" t="e">
        <f t="shared" ref="AB110:AB133" si="54">S110/$H$36</f>
        <v>#VALUE!</v>
      </c>
      <c r="AC110" s="14" t="e">
        <f t="shared" ca="1" si="48"/>
        <v>#VALUE!</v>
      </c>
      <c r="AD110" s="4" t="str">
        <f>_xll.BDP(AI110,"DS199")</f>
        <v>#N/A Connection</v>
      </c>
      <c r="AE110" s="10" t="str">
        <f>_xll.BDP(AI110,"px_ask")</f>
        <v>#N/A Connection</v>
      </c>
      <c r="AF110" s="14" t="e">
        <f>IF(F110="USD",O110,(((_xll.BDP(F110&amp;"USD CURNCY","PX_LAST")))*O110))</f>
        <v>#VALUE!</v>
      </c>
      <c r="AG110" s="11">
        <f t="shared" si="49"/>
        <v>500220</v>
      </c>
      <c r="AH110" s="11" t="e">
        <f t="shared" si="50"/>
        <v>#VALUE!</v>
      </c>
      <c r="AI110" s="4" t="str">
        <f t="shared" si="51"/>
        <v>XS2753907554 ISIN</v>
      </c>
      <c r="AJ110" s="4" t="e" cm="1">
        <f t="array" ref="AJ110">VLOOKUP(IF(NOT(_xll.BDP($G110&amp;" CORP",$CA$5)="#N/A N/A"),(_xll.BDP($G110&amp;" CORP",$CA$5)),"-"), '[1]Country Codes'!$A$2:$B$253,2,0)</f>
        <v>#N/A</v>
      </c>
      <c r="AK110" s="4" t="str" cm="1">
        <f t="array" ref="AK110">IF(OR(_xll.BDP($AI110,"EX028")= "#N/A N/A", _xll.BDP($AI110,"EX028")="#N/A FIELD NOT APPLICABLE"), " ", _xll.BDP($AI110,"EX028"))</f>
        <v>#N/A Connection</v>
      </c>
      <c r="AL110" s="15" t="str">
        <f>(IF(_xll.BDP($AI110&amp;" ISIN","DZ282")="Y","Single line Bonds Cocos","Single line Bonds ex Cocos"))</f>
        <v>Single line Bonds ex Cocos</v>
      </c>
      <c r="AM110" s="8" t="str">
        <f>(IF(_xll.BDP($G110&amp;" ISIN","SP153")="#n/a n/a"," ",_xll.BDP($G110&amp;" ISIN","SP153")))</f>
        <v>#N/A Connection</v>
      </c>
      <c r="AN110" s="16">
        <f t="shared" ca="1" si="52"/>
        <v>45783</v>
      </c>
      <c r="AO110" s="11" t="e">
        <f>(((_xll.BDP(AI110,"DS032"))/360)*I110)*O110</f>
        <v>#VALUE!</v>
      </c>
      <c r="AP110" s="11" t="e">
        <f>IF(F110="USD",AO110,(((_xll.BDP(F110&amp;"USD CURNCY","PX_LAST")))*AO110))</f>
        <v>#VALUE!</v>
      </c>
      <c r="AQ110" s="13" t="e">
        <f t="shared" si="44"/>
        <v>#VALUE!</v>
      </c>
      <c r="AR110" s="11" t="e">
        <f t="shared" si="53"/>
        <v>#VALUE!</v>
      </c>
      <c r="AS110" s="10" t="str">
        <f>IF((TEXT(_xll.BDP(AI110,"MATURITY"),"DD/MM/YYYY")="#N/A Field Not Applicable"),"Perp",_xll.BDP(AI110,"DS252"))</f>
        <v>#N/A Connection</v>
      </c>
      <c r="AT110" s="15" t="str">
        <f>(IF(_xll.BDP($AI110&amp;" ISIN","DT247")="Y","Yes","No"))</f>
        <v>No</v>
      </c>
      <c r="AU110" s="15" t="str">
        <f>PROPER(IF(OR(_xll.BDP($AI110,"CPN_TYP")="#n/a N/A",_xll.BDP($AI110,"CPN_TYP")= "#N/A FIELD NOT APPLICABLE"), " ", _xll.BDP($AI110,"CPN_TYP")))</f>
        <v>#N/A Connection</v>
      </c>
      <c r="BG110" s="17" t="str">
        <f t="shared" si="45"/>
        <v>XS2753907554</v>
      </c>
      <c r="BH110" s="17">
        <v>0.55710000000000004</v>
      </c>
      <c r="BI110" s="18">
        <v>5</v>
      </c>
      <c r="BJ110" s="19">
        <v>45351</v>
      </c>
      <c r="BK110" s="20"/>
    </row>
    <row r="111" spans="1:64" s="21" customFormat="1" ht="14.45" customHeight="1" x14ac:dyDescent="0.25">
      <c r="A111" s="49" t="s">
        <v>242</v>
      </c>
      <c r="B111" s="49" t="s">
        <v>268</v>
      </c>
      <c r="C111" s="49" t="s">
        <v>269</v>
      </c>
      <c r="D111" s="49" t="s">
        <v>248</v>
      </c>
      <c r="E111" s="4" t="str">
        <f>_xll.BDP(AI111,"ds520")</f>
        <v>TVF Varlik Kiralama AS</v>
      </c>
      <c r="F111" s="4" t="str">
        <f>_xll.BDP(AI111,"crncy")</f>
        <v>USD</v>
      </c>
      <c r="G111" s="5" t="s">
        <v>136</v>
      </c>
      <c r="H111" s="4" t="str">
        <f>IF(_xll.BDP(AI111,"RTG_MOODY")="#N/A N/A","N/A",_xll.BDP(AI111,"RTG_MOODY"))&amp;","&amp;IF(_xll.BDP(AI111,"RTG_FITCH")="#N/A N/A","N/A",_xll.BDP(AI111,"RTG_FITCH"))&amp;","&amp;IF(_xll.BDP(AI111,"RTG_SP")="#N/A N/A","N/A",_xll.BDP(AI111,"RTG_SP"))</f>
        <v>N/A,BB-,N/A</v>
      </c>
      <c r="I111" s="7">
        <f>_xll.BDP(AI111,"cpn")/100</f>
        <v>6.9500000000000006E-2</v>
      </c>
      <c r="J111" s="7">
        <f ca="1">_xll.BDP($G111&amp;" isin","YAS_BOND_YLD", "YAS_YLD_FLAG=15", "user_local_trade_date",AN111,"Yas_bond_px",$Q111)/100</f>
        <v>7.1722910000000001E-2</v>
      </c>
      <c r="K111" s="4" t="str">
        <f>_xll.BDP(AI111,"PAYMENT_RANK")</f>
        <v>Sr Unsecured</v>
      </c>
      <c r="L111" s="4" t="str">
        <f>IF((TEXT(_xll.BDP(AI111,"MATURITY"),"DD/MM/YYYY")="#N/A Field Not Applicable"),"Perp",TEXT(_xll.BDP(AI111,"MATURITY"),"DD/MM/YYYY"))</f>
        <v>23/01/2030</v>
      </c>
      <c r="M111" s="8">
        <f>(IF(_xll.BDP($AI111&amp;" ISIN","DU003")="#n/a n/a"," ",_xll.BDP($AI111&amp;" ISIN","DU003")))</f>
        <v>4.0302780432457386</v>
      </c>
      <c r="N111" s="4" t="str">
        <f>IF(_xll.BDP(AI111,"CALLABLE")="Y",_xll.BDP(AI111,"NXT_CALL_DT")," ")</f>
        <v xml:space="preserve"> </v>
      </c>
      <c r="O111" s="9">
        <v>500000</v>
      </c>
      <c r="P111" s="5">
        <v>100.044</v>
      </c>
      <c r="Q111" s="10">
        <f>_xll.BDP(AI111,"px_bid")</f>
        <v>99.11</v>
      </c>
      <c r="R111" s="11">
        <f>IF(F111="USD",AG111,(((_xll.BDP(F111&amp;"USD CURNCY","PX_LAST")))*AG111))</f>
        <v>500220</v>
      </c>
      <c r="S111" s="11">
        <f>IF(F111="USD",AH111,(((_xll.BDP(F111&amp;"USD CURNCY","PX_LAST")))*AH111))+AP111</f>
        <v>505106.25</v>
      </c>
      <c r="T111" s="12">
        <f t="shared" si="46"/>
        <v>-4669.9999999999873</v>
      </c>
      <c r="U111" s="13">
        <f t="shared" si="47"/>
        <v>-9.3358922074287063E-3</v>
      </c>
      <c r="V111" s="13" t="str" cm="1">
        <f t="array" ref="V111">IFERROR(_xll.BDP($G111&amp;" ISIN","CHG_PCT_1D")/100,"")</f>
        <v/>
      </c>
      <c r="W111" s="13" t="str" cm="1">
        <f t="array" ref="W111">IFERROR(_xll.BDP($G111&amp;" ISIN","CHG_PCT_5D")/100,"")</f>
        <v/>
      </c>
      <c r="X111" s="13" t="e" cm="1">
        <f t="array" ref="X111">_xll.BDP($G111&amp;" ISIN","CHG_PCT_1M")/100</f>
        <v>#VALUE!</v>
      </c>
      <c r="Y111" s="13" t="e" cm="1">
        <f t="array" ref="Y111">_xll.BDP($G111&amp;" ISIN","CHG_PCT_3M")/100</f>
        <v>#VALUE!</v>
      </c>
      <c r="Z111" s="13" t="e" cm="1">
        <f t="array" ref="Z111">_xll.BDP($G111&amp;" ISIN","CHG_PCT_6M")/100</f>
        <v>#VALUE!</v>
      </c>
      <c r="AA111" s="13" t="e" cm="1">
        <f t="array" ref="AA111">_xll.BDP($G111&amp;" ISIN","CHG_PCT_YTD")/100</f>
        <v>#VALUE!</v>
      </c>
      <c r="AB111" s="13" t="e">
        <f t="shared" si="54"/>
        <v>#VALUE!</v>
      </c>
      <c r="AC111" s="14">
        <f t="shared" ca="1" si="48"/>
        <v>14828.611111111122</v>
      </c>
      <c r="AD111" s="4" t="str">
        <f>_xll.BDP(AI111,"DS199")</f>
        <v>Financial</v>
      </c>
      <c r="AE111" s="10">
        <f>_xll.BDP(AI111,"px_ask")</f>
        <v>99.495999999999995</v>
      </c>
      <c r="AF111" s="14">
        <f>IF(F111="USD",O111,(((_xll.BDP(F111&amp;"USD CURNCY","PX_LAST")))*O111))</f>
        <v>500000</v>
      </c>
      <c r="AG111" s="11">
        <f t="shared" si="49"/>
        <v>500220</v>
      </c>
      <c r="AH111" s="11">
        <f t="shared" si="50"/>
        <v>495550</v>
      </c>
      <c r="AI111" s="4" t="str">
        <f t="shared" si="51"/>
        <v>XS2911679004 ISIN</v>
      </c>
      <c r="AJ111" s="4" t="e" cm="1">
        <f t="array" ref="AJ111">VLOOKUP(IF(NOT(_xll.BDP($G111&amp;" CORP",$CA$5)="#N/A N/A"),(_xll.BDP($G111&amp;" CORP",$CA$5)),"-"), '[1]Country Codes'!$A$2:$B$253,2,0)</f>
        <v>#N/A</v>
      </c>
      <c r="AK111" s="4" t="str" cm="1">
        <f t="array" ref="AK111">IF(OR(_xll.BDP($AI111,"EX028")= "#N/A N/A", _xll.BDP($AI111,"EX028")="#N/A FIELD NOT APPLICABLE"), " ", _xll.BDP($AI111,"EX028"))</f>
        <v>FixedIncome</v>
      </c>
      <c r="AL111" s="15" t="str">
        <f>(IF(_xll.BDP($AI111&amp;" ISIN","DZ282")="Y","Single line Bonds Cocos","Single line Bonds ex Cocos"))</f>
        <v>Single line Bonds ex Cocos</v>
      </c>
      <c r="AM111" s="8">
        <f>(IF(_xll.BDP($G111&amp;" ISIN","SP153")="#n/a n/a"," ",_xll.BDP($G111&amp;" ISIN","SP153")))</f>
        <v>370.64895526953268</v>
      </c>
      <c r="AN111" s="16">
        <f t="shared" ca="1" si="52"/>
        <v>45783</v>
      </c>
      <c r="AO111" s="11">
        <f>(((_xll.BDP(AI111,"DS032"))/360)*I111)*O111</f>
        <v>9556.2500000000018</v>
      </c>
      <c r="AP111" s="11">
        <f>IF(F111="USD",AO111,(((_xll.BDP(F111&amp;"USD CURNCY","PX_LAST")))*AO111))</f>
        <v>9556.2500000000018</v>
      </c>
      <c r="AQ111" s="13">
        <f t="shared" si="44"/>
        <v>2.8196947275822111</v>
      </c>
      <c r="AR111" s="11">
        <f t="shared" si="53"/>
        <v>495550</v>
      </c>
      <c r="AS111" s="10">
        <f>IF((TEXT(_xll.BDP(AI111,"MATURITY"),"DD/MM/YYYY")="#N/A Field Not Applicable"),"Perp",_xll.BDP(AI111,"DS252"))</f>
        <v>4.7337440109514031</v>
      </c>
      <c r="AT111" s="15" t="str">
        <f>(IF(_xll.BDP($AI111&amp;" ISIN","DT247")="Y","Yes","No"))</f>
        <v>No</v>
      </c>
      <c r="AU111" s="15" t="str">
        <f>PROPER(IF(OR(_xll.BDP($AI111,"CPN_TYP")="#n/a N/A",_xll.BDP($AI111,"CPN_TYP")= "#N/A FIELD NOT APPLICABLE"), " ", _xll.BDP($AI111,"CPN_TYP")))</f>
        <v>Fixed</v>
      </c>
      <c r="BG111" s="17" t="str">
        <f t="shared" si="45"/>
        <v>XS2911679004</v>
      </c>
      <c r="BH111" s="17">
        <v>0.66969999999999996</v>
      </c>
      <c r="BI111" s="18">
        <v>3</v>
      </c>
      <c r="BJ111" s="19">
        <v>45581</v>
      </c>
      <c r="BK111" s="20"/>
    </row>
    <row r="112" spans="1:64" s="21" customFormat="1" ht="14.45" customHeight="1" x14ac:dyDescent="0.25">
      <c r="A112" s="49" t="s">
        <v>242</v>
      </c>
      <c r="B112" s="49" t="s">
        <v>268</v>
      </c>
      <c r="C112" s="49" t="s">
        <v>269</v>
      </c>
      <c r="D112" s="49" t="s">
        <v>248</v>
      </c>
      <c r="E112" s="4" t="str">
        <f>_xll.BDP(AI112,"ds520")</f>
        <v>#N/A Connection</v>
      </c>
      <c r="F112" s="4" t="str">
        <f>_xll.BDP(AI112,"crncy")</f>
        <v>#N/A Connection</v>
      </c>
      <c r="G112" s="5" t="s">
        <v>134</v>
      </c>
      <c r="H112" s="4" t="str">
        <f>IF(_xll.BDP(AI112,"RTG_MOODY")="#N/A N/A","N/A",_xll.BDP(AI112,"RTG_MOODY"))&amp;","&amp;IF(_xll.BDP(AI112,"RTG_FITCH")="#N/A N/A","N/A",_xll.BDP(AI112,"RTG_FITCH"))&amp;","&amp;IF(_xll.BDP(AI112,"RTG_SP")="#N/A N/A","N/A",_xll.BDP(AI112,"RTG_SP"))</f>
        <v>#N/A Connection,#N/A Connection,#N/A Connection</v>
      </c>
      <c r="I112" s="7" t="e">
        <f>_xll.BDP(AI112,"cpn")/100</f>
        <v>#VALUE!</v>
      </c>
      <c r="J112" s="7" t="e">
        <f ca="1">_xll.BDP($G112&amp;" isin","YAS_BOND_YLD", "YAS_YLD_FLAG=15", "user_local_trade_date",AN112,"Yas_bond_px",$Q112)/100</f>
        <v>#VALUE!</v>
      </c>
      <c r="K112" s="4" t="str">
        <f>_xll.BDP(AI112,"PAYMENT_RANK")</f>
        <v>#N/A Connection</v>
      </c>
      <c r="L112" s="4" t="str">
        <f>IF((TEXT(_xll.BDP(AI112,"MATURITY"),"DD/MM/YYYY")="#N/A Field Not Applicable"),"Perp",TEXT(_xll.BDP(AI112,"MATURITY"),"DD/MM/YYYY"))</f>
        <v>#N/A Connection</v>
      </c>
      <c r="M112" s="8" t="str">
        <f>(IF(_xll.BDP($AI112&amp;" ISIN","DU003")="#n/a n/a"," ",_xll.BDP($AI112&amp;" ISIN","DU003")))</f>
        <v>#N/A Connection</v>
      </c>
      <c r="N112" s="4" t="str">
        <f>IF(_xll.BDP(AI112,"CALLABLE")="Y",_xll.BDP(AI112,"NXT_CALL_DT")," ")</f>
        <v xml:space="preserve"> </v>
      </c>
      <c r="O112" s="9">
        <v>500000</v>
      </c>
      <c r="P112" s="5">
        <v>100.042</v>
      </c>
      <c r="Q112" s="10" t="str">
        <f>_xll.BDP(AI112,"px_bid")</f>
        <v>#N/A Connection</v>
      </c>
      <c r="R112" s="11" t="e">
        <f>IF(F112="USD",AG112,(((_xll.BDP(F112&amp;"USD CURNCY","PX_LAST")))*AG112))</f>
        <v>#VALUE!</v>
      </c>
      <c r="S112" s="11" t="e">
        <f>IF(F112="USD",AH112,(((_xll.BDP(F112&amp;"USD CURNCY","PX_LAST")))*AH112))+AP112</f>
        <v>#VALUE!</v>
      </c>
      <c r="T112" s="12" t="e">
        <f t="shared" si="46"/>
        <v>#VALUE!</v>
      </c>
      <c r="U112" s="13" t="e">
        <f t="shared" si="47"/>
        <v>#VALUE!</v>
      </c>
      <c r="V112" s="13" t="str" cm="1">
        <f t="array" ref="V112">IFERROR(_xll.BDP($G112&amp;" ISIN","CHG_PCT_1D")/100,"")</f>
        <v/>
      </c>
      <c r="W112" s="13" t="str" cm="1">
        <f t="array" ref="W112">IFERROR(_xll.BDP($G112&amp;" ISIN","CHG_PCT_5D")/100,"")</f>
        <v/>
      </c>
      <c r="X112" s="13" t="e" cm="1">
        <f t="array" ref="X112">_xll.BDP($G112&amp;" ISIN","CHG_PCT_1M")/100</f>
        <v>#VALUE!</v>
      </c>
      <c r="Y112" s="13" t="e" cm="1">
        <f t="array" ref="Y112">_xll.BDP($G112&amp;" ISIN","CHG_PCT_3M")/100</f>
        <v>#VALUE!</v>
      </c>
      <c r="Z112" s="13" t="e" cm="1">
        <f t="array" ref="Z112">_xll.BDP($G112&amp;" ISIN","CHG_PCT_6M")/100</f>
        <v>#VALUE!</v>
      </c>
      <c r="AA112" s="13" t="e" cm="1">
        <f t="array" ref="AA112">_xll.BDP($G112&amp;" ISIN","CHG_PCT_YTD")/100</f>
        <v>#VALUE!</v>
      </c>
      <c r="AB112" s="13" t="e">
        <f t="shared" si="54"/>
        <v>#VALUE!</v>
      </c>
      <c r="AC112" s="14" t="e">
        <f t="shared" ca="1" si="48"/>
        <v>#VALUE!</v>
      </c>
      <c r="AD112" s="4" t="str">
        <f>_xll.BDP(AI112,"DS199")</f>
        <v>#N/A Connection</v>
      </c>
      <c r="AE112" s="10" t="str">
        <f>_xll.BDP(AI112,"px_ask")</f>
        <v>#N/A Connection</v>
      </c>
      <c r="AF112" s="14" t="e">
        <f>IF(F112="USD",O112,(((_xll.BDP(F112&amp;"USD CURNCY","PX_LAST")))*O112))</f>
        <v>#VALUE!</v>
      </c>
      <c r="AG112" s="11">
        <f t="shared" si="49"/>
        <v>500210</v>
      </c>
      <c r="AH112" s="11" t="e">
        <f t="shared" si="50"/>
        <v>#VALUE!</v>
      </c>
      <c r="AI112" s="4" t="str">
        <f t="shared" si="51"/>
        <v>XS2419405274 ISIN</v>
      </c>
      <c r="AJ112" s="4" t="e" cm="1">
        <f t="array" ref="AJ112">VLOOKUP(IF(NOT(_xll.BDP($G112&amp;" CORP",$CA$5)="#N/A N/A"),(_xll.BDP($G112&amp;" CORP",$CA$5)),"-"), '[1]Country Codes'!$A$2:$B$253,2,0)</f>
        <v>#N/A</v>
      </c>
      <c r="AK112" s="4" t="str" cm="1">
        <f t="array" ref="AK112">IF(OR(_xll.BDP($AI112,"EX028")= "#N/A N/A", _xll.BDP($AI112,"EX028")="#N/A FIELD NOT APPLICABLE"), " ", _xll.BDP($AI112,"EX028"))</f>
        <v>#N/A Connection</v>
      </c>
      <c r="AL112" s="15" t="str">
        <f>(IF(_xll.BDP($AI112&amp;" ISIN","DZ282")="Y","Single line Bonds Cocos","Single line Bonds ex Cocos"))</f>
        <v>Single line Bonds ex Cocos</v>
      </c>
      <c r="AM112" s="8" t="str">
        <f>(IF(_xll.BDP($G112&amp;" ISIN","SP153")="#n/a n/a"," ",_xll.BDP($G112&amp;" ISIN","SP153")))</f>
        <v>#N/A Connection</v>
      </c>
      <c r="AN112" s="16">
        <f t="shared" ca="1" si="52"/>
        <v>45783</v>
      </c>
      <c r="AO112" s="11" t="e">
        <f>(((_xll.BDP(AI112,"DS032"))/360)*I112)*O112</f>
        <v>#VALUE!</v>
      </c>
      <c r="AP112" s="11" t="e">
        <f>IF(F112="USD",AO112,(((_xll.BDP(F112&amp;"USD CURNCY","PX_LAST")))*AO112))</f>
        <v>#VALUE!</v>
      </c>
      <c r="AQ112" s="13" t="e">
        <f t="shared" si="44"/>
        <v>#VALUE!</v>
      </c>
      <c r="AR112" s="11" t="e">
        <f t="shared" si="53"/>
        <v>#VALUE!</v>
      </c>
      <c r="AS112" s="10" t="str">
        <f>IF((TEXT(_xll.BDP(AI112,"MATURITY"),"DD/MM/YYYY")="#N/A Field Not Applicable"),"Perp",_xll.BDP(AI112,"DS252"))</f>
        <v>#N/A Connection</v>
      </c>
      <c r="AT112" s="15" t="str">
        <f>(IF(_xll.BDP($AI112&amp;" ISIN","DT247")="Y","Yes","No"))</f>
        <v>No</v>
      </c>
      <c r="AU112" s="15" t="str">
        <f>PROPER(IF(OR(_xll.BDP($AI112,"CPN_TYP")="#n/a N/A",_xll.BDP($AI112,"CPN_TYP")= "#N/A FIELD NOT APPLICABLE"), " ", _xll.BDP($AI112,"CPN_TYP")))</f>
        <v>#N/A Connection</v>
      </c>
      <c r="BG112" s="17" t="str">
        <f t="shared" si="45"/>
        <v>XS2419405274</v>
      </c>
      <c r="BH112" s="17">
        <v>0</v>
      </c>
      <c r="BI112" s="18">
        <v>5</v>
      </c>
      <c r="BJ112" s="19">
        <v>44592</v>
      </c>
      <c r="BK112" s="20"/>
    </row>
    <row r="113" spans="1:64" s="21" customFormat="1" ht="14.45" customHeight="1" x14ac:dyDescent="0.25">
      <c r="A113" s="49" t="s">
        <v>242</v>
      </c>
      <c r="B113" s="49" t="s">
        <v>268</v>
      </c>
      <c r="C113" s="49" t="s">
        <v>269</v>
      </c>
      <c r="D113" s="49" t="s">
        <v>248</v>
      </c>
      <c r="E113" s="4" t="str">
        <f>_xll.BDP(AI113,"ds520")</f>
        <v>Dar Al-Arkan Sukuk Co Ltd</v>
      </c>
      <c r="F113" s="4" t="str">
        <f>_xll.BDP(AI113,"crncy")</f>
        <v>USD</v>
      </c>
      <c r="G113" s="5" t="s">
        <v>130</v>
      </c>
      <c r="H113" s="4" t="str">
        <f>IF(_xll.BDP(AI113,"RTG_MOODY")="#N/A N/A","N/A",_xll.BDP(AI113,"RTG_MOODY"))&amp;","&amp;IF(_xll.BDP(AI113,"RTG_FITCH")="#N/A N/A","N/A",_xll.BDP(AI113,"RTG_FITCH"))&amp;","&amp;IF(_xll.BDP(AI113,"RTG_SP")="#N/A N/A","N/A",_xll.BDP(AI113,"RTG_SP"))</f>
        <v>B1,N/A,N/A</v>
      </c>
      <c r="I113" s="7">
        <f>_xll.BDP(AI113,"cpn")/100</f>
        <v>0.08</v>
      </c>
      <c r="J113" s="7">
        <f ca="1">_xll.BDP($G113&amp;" isin","YAS_BOND_YLD", "YAS_YLD_FLAG=15", "user_local_trade_date",AN113,"Yas_bond_px",$Q113)/100</f>
        <v>7.025961E-2</v>
      </c>
      <c r="K113" s="4" t="str">
        <f>_xll.BDP(AI113,"PAYMENT_RANK")</f>
        <v>Sr Unsecured</v>
      </c>
      <c r="L113" s="4" t="str">
        <f>IF((TEXT(_xll.BDP(AI113,"MATURITY"),"DD/MM/YYYY")="#N/A Field Not Applicable"),"Perp",TEXT(_xll.BDP(AI113,"MATURITY"),"DD/MM/YYYY"))</f>
        <v>25/02/2029</v>
      </c>
      <c r="M113" s="8">
        <f>(IF(_xll.BDP($AI113&amp;" ISIN","DU003")="#n/a n/a"," ",_xll.BDP($AI113&amp;" ISIN","DU003")))</f>
        <v>3.3247609351266902</v>
      </c>
      <c r="N113" s="4" t="str">
        <f>IF(_xll.BDP(AI113,"CALLABLE")="Y",_xll.BDP(AI113,"NXT_CALL_DT")," ")</f>
        <v xml:space="preserve"> </v>
      </c>
      <c r="O113" s="9">
        <v>500000</v>
      </c>
      <c r="P113" s="5">
        <v>98.927999999999997</v>
      </c>
      <c r="Q113" s="10">
        <f>_xll.BDP(AI113,"px_bid")</f>
        <v>103.181</v>
      </c>
      <c r="R113" s="11">
        <f>IF(F113="USD",AG113,(((_xll.BDP(F113&amp;"USD CURNCY","PX_LAST")))*AG113))</f>
        <v>494640</v>
      </c>
      <c r="S113" s="11">
        <f>IF(F113="USD",AH113,(((_xll.BDP(F113&amp;"USD CURNCY","PX_LAST")))*AH113))+AP113</f>
        <v>523349.44444444444</v>
      </c>
      <c r="T113" s="12">
        <f t="shared" si="46"/>
        <v>21265.000000000004</v>
      </c>
      <c r="U113" s="13">
        <f t="shared" si="47"/>
        <v>4.2990862041080387E-2</v>
      </c>
      <c r="V113" s="13" t="str" cm="1">
        <f t="array" ref="V113">IFERROR(_xll.BDP($G113&amp;" ISIN","CHG_PCT_1D")/100,"")</f>
        <v/>
      </c>
      <c r="W113" s="13" t="str" cm="1">
        <f t="array" ref="W113">IFERROR(_xll.BDP($G113&amp;" ISIN","CHG_PCT_5D")/100,"")</f>
        <v/>
      </c>
      <c r="X113" s="13" t="e" cm="1">
        <f t="array" ref="X113">_xll.BDP($G113&amp;" ISIN","CHG_PCT_1M")/100</f>
        <v>#VALUE!</v>
      </c>
      <c r="Y113" s="13" t="e" cm="1">
        <f t="array" ref="Y113">_xll.BDP($G113&amp;" ISIN","CHG_PCT_3M")/100</f>
        <v>#VALUE!</v>
      </c>
      <c r="Z113" s="13" t="e" cm="1">
        <f t="array" ref="Z113">_xll.BDP($G113&amp;" ISIN","CHG_PCT_6M")/100</f>
        <v>#VALUE!</v>
      </c>
      <c r="AA113" s="13" t="e" cm="1">
        <f t="array" ref="AA113">_xll.BDP($G113&amp;" ISIN","CHG_PCT_YTD")/100</f>
        <v>#VALUE!</v>
      </c>
      <c r="AB113" s="13" t="e">
        <f t="shared" si="54"/>
        <v>#VALUE!</v>
      </c>
      <c r="AC113" s="14">
        <f t="shared" ca="1" si="48"/>
        <v>94265</v>
      </c>
      <c r="AD113" s="4" t="str">
        <f>_xll.BDP(AI113,"DS199")</f>
        <v>Financial</v>
      </c>
      <c r="AE113" s="10">
        <f>_xll.BDP(AI113,"px_ask")</f>
        <v>103.405</v>
      </c>
      <c r="AF113" s="14">
        <f>IF(F113="USD",O113,(((_xll.BDP(F113&amp;"USD CURNCY","PX_LAST")))*O113))</f>
        <v>500000</v>
      </c>
      <c r="AG113" s="11">
        <f t="shared" si="49"/>
        <v>494640</v>
      </c>
      <c r="AH113" s="11">
        <f t="shared" si="50"/>
        <v>515905</v>
      </c>
      <c r="AI113" s="4" t="str">
        <f t="shared" si="51"/>
        <v>XS2648078322 ISIN</v>
      </c>
      <c r="AJ113" s="4" t="e" cm="1">
        <f t="array" ref="AJ113">VLOOKUP(IF(NOT(_xll.BDP($G113&amp;" CORP",$CA$5)="#N/A N/A"),(_xll.BDP($G113&amp;" CORP",$CA$5)),"-"), '[1]Country Codes'!$A$2:$B$253,2,0)</f>
        <v>#N/A</v>
      </c>
      <c r="AK113" s="4" t="str" cm="1">
        <f t="array" ref="AK113">IF(OR(_xll.BDP($AI113,"EX028")= "#N/A N/A", _xll.BDP($AI113,"EX028")="#N/A FIELD NOT APPLICABLE"), " ", _xll.BDP($AI113,"EX028"))</f>
        <v>FixedIncome</v>
      </c>
      <c r="AL113" s="15" t="str">
        <f>(IF(_xll.BDP($AI113&amp;" ISIN","DZ282")="Y","Single line Bonds Cocos","Single line Bonds ex Cocos"))</f>
        <v>Single line Bonds ex Cocos</v>
      </c>
      <c r="AM113" s="8">
        <f>(IF(_xll.BDP($G113&amp;" ISIN","SP153")="#n/a n/a"," ",_xll.BDP($G113&amp;" ISIN","SP153")))</f>
        <v>360.53223653638111</v>
      </c>
      <c r="AN113" s="16">
        <f t="shared" ca="1" si="52"/>
        <v>45783</v>
      </c>
      <c r="AO113" s="11">
        <f>(((_xll.BDP(AI113,"DS032"))/360)*I113)*O113</f>
        <v>7444.4444444444443</v>
      </c>
      <c r="AP113" s="11">
        <f>IF(F113="USD",AO113,(((_xll.BDP(F113&amp;"USD CURNCY","PX_LAST")))*AO113))</f>
        <v>7444.4444444444443</v>
      </c>
      <c r="AQ113" s="13">
        <f t="shared" si="44"/>
        <v>2.9215351605391522</v>
      </c>
      <c r="AR113" s="11">
        <f t="shared" si="53"/>
        <v>515905</v>
      </c>
      <c r="AS113" s="10">
        <f>IF((TEXT(_xll.BDP(AI113,"MATURITY"),"DD/MM/YYYY")="#N/A Field Not Applicable"),"Perp",_xll.BDP(AI113,"DS252"))</f>
        <v>3.8247775496235454</v>
      </c>
      <c r="AT113" s="15" t="str">
        <f>(IF(_xll.BDP($AI113&amp;" ISIN","DT247")="Y","Yes","No"))</f>
        <v>No</v>
      </c>
      <c r="AU113" s="15" t="str">
        <f>PROPER(IF(OR(_xll.BDP($AI113,"CPN_TYP")="#n/a N/A",_xll.BDP($AI113,"CPN_TYP")= "#N/A FIELD NOT APPLICABLE"), " ", _xll.BDP($AI113,"CPN_TYP")))</f>
        <v>Fixed</v>
      </c>
      <c r="BG113" s="17" t="str">
        <f t="shared" si="45"/>
        <v>XS2648078322</v>
      </c>
      <c r="BH113" s="17">
        <v>0.69969999999999999</v>
      </c>
      <c r="BI113" s="18">
        <v>5</v>
      </c>
      <c r="BJ113" s="19">
        <v>45126</v>
      </c>
      <c r="BK113" s="20"/>
    </row>
    <row r="114" spans="1:64" s="101" customFormat="1" ht="14.45" customHeight="1" x14ac:dyDescent="0.25">
      <c r="A114" s="114" t="s">
        <v>241</v>
      </c>
      <c r="B114" s="114" t="s">
        <v>270</v>
      </c>
      <c r="C114" s="114" t="s">
        <v>271</v>
      </c>
      <c r="D114" s="114" t="s">
        <v>240</v>
      </c>
      <c r="E114" s="115" t="str">
        <f>_xll.BDP(AI114,"ds520")</f>
        <v>#N/A Connection</v>
      </c>
      <c r="F114" s="115" t="str">
        <f>_xll.BDP(AI114,"crncy")</f>
        <v>#N/A Connection</v>
      </c>
      <c r="G114" s="115" t="s">
        <v>44</v>
      </c>
      <c r="H114" s="115" t="str">
        <f>IF(_xll.BDP(AI114,"RTG_MOODY")="#N/A N/A","N/A",_xll.BDP(AI114,"RTG_MOODY"))&amp;","&amp;IF(_xll.BDP(AI114,"RTG_FITCH")="#N/A N/A","N/A",_xll.BDP(AI114,"RTG_FITCH"))&amp;","&amp;IF(_xll.BDP(AI114,"RTG_SP")="#N/A N/A","N/A",_xll.BDP(AI114,"RTG_SP"))</f>
        <v>#N/A Connection,#N/A Connection,#N/A Connection</v>
      </c>
      <c r="I114" s="116" t="e">
        <f>_xll.BDP(AI114,"cpn")/100</f>
        <v>#VALUE!</v>
      </c>
      <c r="J114" s="116" t="e">
        <f ca="1">_xll.BDP($G114&amp;" isin","YAS_BOND_YLD", "YAS_YLD_FLAG=15", "user_local_trade_date",AN114,"Yas_bond_px",$Q114)/100</f>
        <v>#VALUE!</v>
      </c>
      <c r="K114" s="115" t="str">
        <f>_xll.BDP(AI114,"PAYMENT_RANK")</f>
        <v>#N/A Connection</v>
      </c>
      <c r="L114" s="115" t="str">
        <f>IF((TEXT(_xll.BDP(AI114,"MATURITY"),"DD/MM/YYYY")="#N/A Field Not Applicable"),"Perp",TEXT(_xll.BDP(AI114,"MATURITY"),"DD/MM/YYYY"))</f>
        <v>#N/A Connection</v>
      </c>
      <c r="M114" s="117" t="str">
        <f>(IF(_xll.BDP($AI114&amp;" ISIN","DU003")="#n/a n/a"," ",_xll.BDP($AI114&amp;" ISIN","DU003")))</f>
        <v>#N/A Connection</v>
      </c>
      <c r="N114" s="115" t="str">
        <f>IF(_xll.BDP(AI114,"CALLABLE")="Y",_xll.BDP(AI114,"NXT_CALL_DT")," ")</f>
        <v xml:space="preserve"> </v>
      </c>
      <c r="O114" s="118">
        <v>172877</v>
      </c>
      <c r="P114" s="115">
        <v>31.665959999999998</v>
      </c>
      <c r="Q114" s="119" t="str">
        <f>_xll.BDP(AI114,"px_bid")</f>
        <v>#N/A Connection</v>
      </c>
      <c r="R114" s="120" t="e">
        <f>IF(F114="USD",AG114,(((_xll.BDP(F114&amp;"USD CURNCY","PX_LAST")))*AG114))</f>
        <v>#VALUE!</v>
      </c>
      <c r="S114" s="120" t="e">
        <f>IF(F114="USD",AH114,(((_xll.BDP(F114&amp;"USD CURNCY","PX_LAST")))*AH114))+AP114</f>
        <v>#VALUE!</v>
      </c>
      <c r="T114" s="121" t="e">
        <f t="shared" si="46"/>
        <v>#VALUE!</v>
      </c>
      <c r="U114" s="122" t="e">
        <f t="shared" si="47"/>
        <v>#VALUE!</v>
      </c>
      <c r="V114" s="122" t="str" cm="1">
        <f t="array" ref="V114">IFERROR(_xll.BDP($G114&amp;" ISIN","CHG_PCT_1D")/100,"")</f>
        <v/>
      </c>
      <c r="W114" s="122" t="str" cm="1">
        <f t="array" ref="W114">IFERROR(_xll.BDP($G114&amp;" ISIN","CHG_PCT_5D")/100,"")</f>
        <v/>
      </c>
      <c r="X114" s="122" t="e" cm="1">
        <f t="array" ref="X114">_xll.BDP($G114&amp;" ISIN","CHG_PCT_1M")/100</f>
        <v>#VALUE!</v>
      </c>
      <c r="Y114" s="122" t="e" cm="1">
        <f t="array" ref="Y114">_xll.BDP($G114&amp;" ISIN","CHG_PCT_3M")/100</f>
        <v>#VALUE!</v>
      </c>
      <c r="Z114" s="122" t="e" cm="1">
        <f t="array" ref="Z114">_xll.BDP($G114&amp;" ISIN","CHG_PCT_6M")/100</f>
        <v>#VALUE!</v>
      </c>
      <c r="AA114" s="13" t="e" cm="1">
        <f t="array" ref="AA114">_xll.BDP($G114&amp;" ISIN","CHG_PCT_YTD")/100</f>
        <v>#VALUE!</v>
      </c>
      <c r="AB114" s="13" t="e">
        <f t="shared" si="54"/>
        <v>#VALUE!</v>
      </c>
      <c r="AC114" s="118" t="e">
        <f t="shared" ca="1" si="48"/>
        <v>#VALUE!</v>
      </c>
      <c r="AD114" s="115" t="str">
        <f>_xll.BDP(AI114,"DS199")</f>
        <v>#N/A Connection</v>
      </c>
      <c r="AE114" s="119" t="str">
        <f>_xll.BDP(AI114,"px_ask")</f>
        <v>#N/A Connection</v>
      </c>
      <c r="AF114" s="118" t="e">
        <f>IF(F114="USD",O114,(((_xll.BDP(F114&amp;"USD CURNCY","PX_LAST")))*O114))</f>
        <v>#VALUE!</v>
      </c>
      <c r="AG114" s="120">
        <f t="shared" si="49"/>
        <v>54743.161669199995</v>
      </c>
      <c r="AH114" s="120" t="e">
        <f t="shared" si="50"/>
        <v>#VALUE!</v>
      </c>
      <c r="AI114" s="115" t="str">
        <f t="shared" si="51"/>
        <v>GB00BMBL1D50 ISIN</v>
      </c>
      <c r="AJ114" s="115" t="e" cm="1">
        <f t="array" ref="AJ114">VLOOKUP(IF(NOT(_xll.BDP($G114&amp;" CORP",$CA$5)="#N/A N/A"),(_xll.BDP($G114&amp;" CORP",$CA$5)),"-"), '[1]Country Codes'!$A$2:$B$253,2,0)</f>
        <v>#N/A</v>
      </c>
      <c r="AK114" s="115" t="str" cm="1">
        <f t="array" ref="AK114">IF(OR(_xll.BDP($AI114,"EX028")= "#N/A N/A", _xll.BDP($AI114,"EX028")="#N/A FIELD NOT APPLICABLE"), " ", _xll.BDP($AI114,"EX028"))</f>
        <v>#N/A Connection</v>
      </c>
      <c r="AL114" s="116" t="str">
        <f>(IF(_xll.BDP($AI114&amp;" ISIN","DZ282")="Y","Single line Bonds Cocos","Single line Bonds ex Cocos"))</f>
        <v>Single line Bonds ex Cocos</v>
      </c>
      <c r="AM114" s="117" t="str">
        <f>(IF(_xll.BDP($G114&amp;" ISIN","SP153")="#n/a n/a"," ",_xll.BDP($G114&amp;" ISIN","SP153")))</f>
        <v>#N/A Connection</v>
      </c>
      <c r="AN114" s="123">
        <f t="shared" ca="1" si="52"/>
        <v>45783</v>
      </c>
      <c r="AO114" s="120" t="e">
        <f>(((_xll.BDP(AI114,"DS032"))/360)*I114)*O114</f>
        <v>#VALUE!</v>
      </c>
      <c r="AP114" s="120" t="e">
        <f>IF(F114="USD",AO114,(((_xll.BDP(F114&amp;"USD CURNCY","PX_LAST")))*AO114))</f>
        <v>#VALUE!</v>
      </c>
      <c r="AQ114" s="122" t="e">
        <f t="shared" ref="AQ114:AQ124" si="55">S114/$S$113</f>
        <v>#VALUE!</v>
      </c>
      <c r="AR114" s="120" t="e">
        <f t="shared" si="53"/>
        <v>#VALUE!</v>
      </c>
      <c r="AS114" s="119" t="str">
        <f>IF((TEXT(_xll.BDP(AI114,"MATURITY"),"DD/MM/YYYY")="#N/A Field Not Applicable"),"Perp",_xll.BDP(AI114,"DS252"))</f>
        <v>#N/A Connection</v>
      </c>
      <c r="AT114" s="116" t="str">
        <f>(IF(_xll.BDP($AI114&amp;" ISIN","DT247")="Y","Yes","No"))</f>
        <v>No</v>
      </c>
      <c r="AU114" s="116" t="str">
        <f>PROPER(IF(OR(_xll.BDP($AI114,"CPN_TYP")="#n/a N/A",_xll.BDP($AI114,"CPN_TYP")= "#N/A FIELD NOT APPLICABLE"), " ", _xll.BDP($AI114,"CPN_TYP")))</f>
        <v>#N/A Connection</v>
      </c>
      <c r="AV114" s="124"/>
      <c r="AW114" s="124"/>
      <c r="AX114" s="124"/>
      <c r="AY114" s="124"/>
      <c r="AZ114" s="124"/>
      <c r="BA114" s="124"/>
      <c r="BB114" s="124"/>
      <c r="BC114" s="124"/>
      <c r="BD114" s="124"/>
      <c r="BE114" s="124"/>
      <c r="BF114" s="124"/>
      <c r="BG114" s="116" t="str">
        <f t="shared" si="45"/>
        <v>GB00BMBL1D50</v>
      </c>
      <c r="BH114" s="116">
        <v>0.82</v>
      </c>
      <c r="BI114" s="125">
        <v>2</v>
      </c>
      <c r="BJ114" s="123">
        <v>45509</v>
      </c>
      <c r="BK114" s="126">
        <v>1</v>
      </c>
      <c r="BL114" s="124"/>
    </row>
    <row r="115" spans="1:64" s="101" customFormat="1" ht="14.45" customHeight="1" x14ac:dyDescent="0.25">
      <c r="A115" s="81" t="s">
        <v>241</v>
      </c>
      <c r="B115" s="81" t="s">
        <v>270</v>
      </c>
      <c r="C115" s="81" t="s">
        <v>271</v>
      </c>
      <c r="D115" s="81" t="s">
        <v>240</v>
      </c>
      <c r="E115" s="88" t="str">
        <f>_xll.BDP(AI115,"ds520")</f>
        <v>Gaci First Investment Co</v>
      </c>
      <c r="F115" s="88" t="str">
        <f>_xll.BDP(AI115,"crncy")</f>
        <v>USD</v>
      </c>
      <c r="G115" s="88" t="s">
        <v>188</v>
      </c>
      <c r="H115" s="88" t="str">
        <f>IF(_xll.BDP(AI115,"RTG_MOODY")="#N/A N/A","N/A",_xll.BDP(AI115,"RTG_MOODY"))&amp;","&amp;IF(_xll.BDP(AI115,"RTG_FITCH")="#N/A N/A","N/A",_xll.BDP(AI115,"RTG_FITCH"))&amp;","&amp;IF(_xll.BDP(AI115,"RTG_SP")="#N/A N/A","N/A",_xll.BDP(AI115,"RTG_SP"))</f>
        <v>Aa3,A+,N/A</v>
      </c>
      <c r="I115" s="38">
        <f>_xll.BDP(AI115,"cpn")/100</f>
        <v>5.3749999999999999E-2</v>
      </c>
      <c r="J115" s="38">
        <f ca="1">_xll.BDP($G115&amp;" isin","YAS_BOND_YLD", "YAS_YLD_FLAG=15", "user_local_trade_date",AN115,"Yas_bond_px",$Q115)/100</f>
        <v>6.2666369999999999E-2</v>
      </c>
      <c r="K115" s="88" t="str">
        <f>_xll.BDP(AI115,"PAYMENT_RANK")</f>
        <v>Sr Unsecured</v>
      </c>
      <c r="L115" s="88" t="str">
        <f>IF((TEXT(_xll.BDP(AI115,"MATURITY"),"DD/MM/YYYY")="#N/A Field Not Applicable"),"Perp",TEXT(_xll.BDP(AI115,"MATURITY"),"DD/MM/YYYY"))</f>
        <v>29/01/2054</v>
      </c>
      <c r="M115" s="97">
        <f>(IF(_xll.BDP($AI115&amp;" ISIN","DU003")="#n/a n/a"," ",_xll.BDP($AI115&amp;" ISIN","DU003")))</f>
        <v>13.894283969589681</v>
      </c>
      <c r="N115" s="88" t="str">
        <f>IF(_xll.BDP(AI115,"CALLABLE")="Y",_xll.BDP(AI115,"NXT_CALL_DT")," ")</f>
        <v>29/07/2053</v>
      </c>
      <c r="O115" s="98">
        <v>200000</v>
      </c>
      <c r="P115" s="88">
        <v>88.25</v>
      </c>
      <c r="Q115" s="99">
        <f>_xll.BDP(AI115,"px_bid")</f>
        <v>88.179000000000002</v>
      </c>
      <c r="R115" s="100">
        <f>IF(F115="USD",AG115,(((_xll.BDP(F115&amp;"USD CURNCY","PX_LAST")))*AG115))</f>
        <v>176500</v>
      </c>
      <c r="S115" s="100">
        <f>IF(F115="USD",AH115,(((_xll.BDP(F115&amp;"USD CURNCY","PX_LAST")))*AH115))+AP115</f>
        <v>179135.08333333334</v>
      </c>
      <c r="T115" s="86">
        <f t="shared" si="46"/>
        <v>-141.99999999999591</v>
      </c>
      <c r="U115" s="87">
        <f t="shared" si="47"/>
        <v>-8.0453257790365955E-4</v>
      </c>
      <c r="V115" s="87" t="str" cm="1">
        <f t="array" ref="V115">IFERROR(_xll.BDP($G115&amp;" ISIN","CHG_PCT_1D")/100,"")</f>
        <v/>
      </c>
      <c r="W115" s="87" t="str" cm="1">
        <f t="array" ref="W115">IFERROR(_xll.BDP($G115&amp;" ISIN","CHG_PCT_5D")/100,"")</f>
        <v/>
      </c>
      <c r="X115" s="87" t="e" cm="1">
        <f t="array" ref="X115">_xll.BDP($G115&amp;" ISIN","CHG_PCT_1M")/100</f>
        <v>#VALUE!</v>
      </c>
      <c r="Y115" s="87" t="e" cm="1">
        <f t="array" ref="Y115">_xll.BDP($G115&amp;" ISIN","CHG_PCT_3M")/100</f>
        <v>#VALUE!</v>
      </c>
      <c r="Z115" s="87" t="e" cm="1">
        <f t="array" ref="Z115">_xll.BDP($G115&amp;" ISIN","CHG_PCT_6M")/100</f>
        <v>#VALUE!</v>
      </c>
      <c r="AA115" s="87" t="e" cm="1">
        <f t="array" ref="AA115">_xll.BDP($G115&amp;" ISIN","CHG_PCT_YTD")/100</f>
        <v>#VALUE!</v>
      </c>
      <c r="AB115" s="87" t="e">
        <f t="shared" si="54"/>
        <v>#VALUE!</v>
      </c>
      <c r="AC115" s="98">
        <f t="shared" ca="1" si="48"/>
        <v>12130.91666666667</v>
      </c>
      <c r="AD115" s="88" t="str">
        <f>_xll.BDP(AI115,"DS199")</f>
        <v>Financial</v>
      </c>
      <c r="AE115" s="99">
        <f>_xll.BDP(AI115,"px_ask")</f>
        <v>88.968000000000004</v>
      </c>
      <c r="AF115" s="98">
        <f>IF(F115="USD",O115,(((_xll.BDP(F115&amp;"USD CURNCY","PX_LAST")))*O115))</f>
        <v>200000</v>
      </c>
      <c r="AG115" s="100">
        <f t="shared" si="49"/>
        <v>176500</v>
      </c>
      <c r="AH115" s="100">
        <f t="shared" si="50"/>
        <v>176358</v>
      </c>
      <c r="AI115" s="88" t="str">
        <f t="shared" si="51"/>
        <v>XS2755904872 ISIN</v>
      </c>
      <c r="AJ115" s="88" t="e" cm="1">
        <f t="array" ref="AJ115">VLOOKUP(IF(NOT(_xll.BDP($G115&amp;" CORP",$CA$5)="#N/A N/A"),(_xll.BDP($G115&amp;" CORP",$CA$5)),"-"), '[1]Country Codes'!$A$2:$B$253,2,0)</f>
        <v>#N/A</v>
      </c>
      <c r="AK115" s="88" t="str" cm="1">
        <f t="array" ref="AK115">IF(OR(_xll.BDP($AI115,"EX028")= "#N/A N/A", _xll.BDP($AI115,"EX028")="#N/A FIELD NOT APPLICABLE"), " ", _xll.BDP($AI115,"EX028"))</f>
        <v>FixedIncome</v>
      </c>
      <c r="AL115" s="38" t="str">
        <f>(IF(_xll.BDP($AI115&amp;" ISIN","DZ282")="Y","Single line Bonds Cocos","Single line Bonds ex Cocos"))</f>
        <v>Single line Bonds ex Cocos</v>
      </c>
      <c r="AM115" s="97">
        <f>(IF(_xll.BDP($G115&amp;" ISIN","SP153")="#n/a n/a"," ",_xll.BDP($G115&amp;" ISIN","SP153")))</f>
        <v>244.54207102273691</v>
      </c>
      <c r="AN115" s="95">
        <f t="shared" ca="1" si="52"/>
        <v>45783</v>
      </c>
      <c r="AO115" s="100">
        <f>(((_xll.BDP(AI115,"DS032"))/360)*I115)*O115</f>
        <v>2777.0833333333335</v>
      </c>
      <c r="AP115" s="100">
        <f>IF(F115="USD",AO115,(((_xll.BDP(F115&amp;"USD CURNCY","PX_LAST")))*AO115))</f>
        <v>2777.0833333333335</v>
      </c>
      <c r="AQ115" s="87">
        <f t="shared" si="55"/>
        <v>0.34228580011868004</v>
      </c>
      <c r="AR115" s="100">
        <f t="shared" si="53"/>
        <v>176358</v>
      </c>
      <c r="AS115" s="99">
        <f>IF((TEXT(_xll.BDP(AI115,"MATURITY"),"DD/MM/YYYY")="#N/A Field Not Applicable"),"Perp",_xll.BDP(AI115,"DS252"))</f>
        <v>28.750171115674195</v>
      </c>
      <c r="AT115" s="38" t="str">
        <f>(IF(_xll.BDP($AI115&amp;" ISIN","DT247")="Y","Yes","No"))</f>
        <v>No</v>
      </c>
      <c r="AU115" s="38" t="str">
        <f>PROPER(IF(OR(_xll.BDP($AI115,"CPN_TYP")="#n/a N/A",_xll.BDP($AI115,"CPN_TYP")= "#N/A FIELD NOT APPLICABLE"), " ", _xll.BDP($AI115,"CPN_TYP")))</f>
        <v>Fixed</v>
      </c>
      <c r="BG115" s="38" t="str">
        <f t="shared" si="45"/>
        <v>XS2755904872</v>
      </c>
      <c r="BH115" s="38">
        <v>0.77</v>
      </c>
      <c r="BI115" s="94">
        <v>3</v>
      </c>
      <c r="BJ115" s="95">
        <v>45372</v>
      </c>
      <c r="BK115" s="96">
        <v>1</v>
      </c>
    </row>
    <row r="116" spans="1:64" s="77" customFormat="1" ht="14.45" customHeight="1" x14ac:dyDescent="0.25">
      <c r="A116" s="81" t="s">
        <v>241</v>
      </c>
      <c r="B116" s="81" t="s">
        <v>270</v>
      </c>
      <c r="C116" s="81" t="s">
        <v>271</v>
      </c>
      <c r="D116" s="81" t="s">
        <v>240</v>
      </c>
      <c r="E116" s="88" t="str">
        <f>_xll.BDP(AI116,"ds520")</f>
        <v>Greensaif Pipelines Bidco Sarl</v>
      </c>
      <c r="F116" s="88" t="str">
        <f>_xll.BDP(AI116,"crncy")</f>
        <v>USD</v>
      </c>
      <c r="G116" s="88" t="s">
        <v>189</v>
      </c>
      <c r="H116" s="88" t="str">
        <f>IF(_xll.BDP(AI116,"RTG_MOODY")="#N/A N/A","N/A",_xll.BDP(AI116,"RTG_MOODY"))&amp;","&amp;IF(_xll.BDP(AI116,"RTG_FITCH")="#N/A N/A","N/A",_xll.BDP(AI116,"RTG_FITCH"))&amp;","&amp;IF(_xll.BDP(AI116,"RTG_SP")="#N/A N/A","N/A",_xll.BDP(AI116,"RTG_SP"))</f>
        <v>Aa3,A+,N/A</v>
      </c>
      <c r="I116" s="38">
        <f>_xll.BDP(AI116,"cpn")/100</f>
        <v>6.5099999999999991E-2</v>
      </c>
      <c r="J116" s="38">
        <f ca="1">_xll.BDP($G116&amp;" isin","YAS_BOND_YLD", "YAS_YLD_FLAG=15", "user_local_trade_date",AN116,"Yas_bond_px",$Q116)/100</f>
        <v>6.2911529999999993E-2</v>
      </c>
      <c r="K116" s="88" t="str">
        <f>_xll.BDP(AI116,"PAYMENT_RANK")</f>
        <v>Secured</v>
      </c>
      <c r="L116" s="88" t="str">
        <f>IF((TEXT(_xll.BDP(AI116,"MATURITY"),"DD/MM/YYYY")="#N/A Field Not Applicable"),"Perp",TEXT(_xll.BDP(AI116,"MATURITY"),"DD/MM/YYYY"))</f>
        <v>23/02/2042</v>
      </c>
      <c r="M116" s="97">
        <f>(IF(_xll.BDP($AI116&amp;" ISIN","DU003")="#n/a n/a"," ",_xll.BDP($AI116&amp;" ISIN","DU003")))</f>
        <v>9.9703143731156256</v>
      </c>
      <c r="N116" s="88" t="str">
        <f>IF(_xll.BDP(AI116,"CALLABLE")="Y",_xll.BDP(AI116,"NXT_CALL_DT")," ")</f>
        <v xml:space="preserve"> </v>
      </c>
      <c r="O116" s="98">
        <v>200000</v>
      </c>
      <c r="P116" s="88">
        <v>103.988</v>
      </c>
      <c r="Q116" s="99">
        <f>_xll.BDP(AI116,"px_bid")</f>
        <v>102.23699999999999</v>
      </c>
      <c r="R116" s="100">
        <f>IF(F116="USD",AG116,(((_xll.BDP(F116&amp;"USD CURNCY","PX_LAST")))*AG116))</f>
        <v>207976</v>
      </c>
      <c r="S116" s="100">
        <f>IF(F116="USD",AH116,(((_xll.BDP(F116&amp;"USD CURNCY","PX_LAST")))*AH116))+AP116</f>
        <v>206969.5</v>
      </c>
      <c r="T116" s="86">
        <f t="shared" si="46"/>
        <v>-3502.0000000000095</v>
      </c>
      <c r="U116" s="87">
        <f t="shared" si="47"/>
        <v>-1.6838481363234264E-2</v>
      </c>
      <c r="V116" s="87" t="str" cm="1">
        <f t="array" ref="V116">IFERROR(_xll.BDP($G116&amp;" ISIN","CHG_PCT_1D")/100,"")</f>
        <v/>
      </c>
      <c r="W116" s="87" t="str" cm="1">
        <f t="array" ref="W116">IFERROR(_xll.BDP($G116&amp;" ISIN","CHG_PCT_5D")/100,"")</f>
        <v/>
      </c>
      <c r="X116" s="87" t="e" cm="1">
        <f t="array" ref="X116">_xll.BDP($G116&amp;" ISIN","CHG_PCT_1M")/100</f>
        <v>#VALUE!</v>
      </c>
      <c r="Y116" s="87" t="e" cm="1">
        <f t="array" ref="Y116">_xll.BDP($G116&amp;" ISIN","CHG_PCT_3M")/100</f>
        <v>#VALUE!</v>
      </c>
      <c r="Z116" s="87" t="e" cm="1">
        <f t="array" ref="Z116">_xll.BDP($G116&amp;" ISIN","CHG_PCT_6M")/100</f>
        <v>#VALUE!</v>
      </c>
      <c r="AA116" s="87" t="e" cm="1">
        <f t="array" ref="AA116">_xll.BDP($G116&amp;" ISIN","CHG_PCT_YTD")/100</f>
        <v>#VALUE!</v>
      </c>
      <c r="AB116" s="87" t="e">
        <f t="shared" si="54"/>
        <v>#VALUE!</v>
      </c>
      <c r="AC116" s="98">
        <f t="shared" ca="1" si="48"/>
        <v>3261.166666666657</v>
      </c>
      <c r="AD116" s="88" t="str">
        <f>_xll.BDP(AI116,"DS199")</f>
        <v>Energy</v>
      </c>
      <c r="AE116" s="99">
        <f>_xll.BDP(AI116,"px_ask")</f>
        <v>103.30800000000001</v>
      </c>
      <c r="AF116" s="98">
        <f>IF(F116="USD",O116,(((_xll.BDP(F116&amp;"USD CURNCY","PX_LAST")))*O116))</f>
        <v>200000</v>
      </c>
      <c r="AG116" s="100">
        <f t="shared" si="49"/>
        <v>207976</v>
      </c>
      <c r="AH116" s="100">
        <f t="shared" si="50"/>
        <v>204474</v>
      </c>
      <c r="AI116" s="88" t="str">
        <f t="shared" si="51"/>
        <v>XS2542166744 ISIN</v>
      </c>
      <c r="AJ116" s="88" t="e" cm="1">
        <f t="array" ref="AJ116">VLOOKUP(IF(NOT(_xll.BDP($G116&amp;" CORP",$CA$5)="#N/A N/A"),(_xll.BDP($G116&amp;" CORP",$CA$5)),"-"), '[1]Country Codes'!$A$2:$B$253,2,0)</f>
        <v>#N/A</v>
      </c>
      <c r="AK116" s="88" t="str" cm="1">
        <f t="array" ref="AK116">IF(OR(_xll.BDP($AI116,"EX028")= "#N/A N/A", _xll.BDP($AI116,"EX028")="#N/A FIELD NOT APPLICABLE"), " ", _xll.BDP($AI116,"EX028"))</f>
        <v>FixedIncome</v>
      </c>
      <c r="AL116" s="38" t="str">
        <f>(IF(_xll.BDP($AI116&amp;" ISIN","DZ282")="Y","Single line Bonds Cocos","Single line Bonds ex Cocos"))</f>
        <v>Single line Bonds ex Cocos</v>
      </c>
      <c r="AM116" s="97">
        <f>(IF(_xll.BDP($G116&amp;" ISIN","SP153")="#n/a n/a"," ",_xll.BDP($G116&amp;" ISIN","SP153")))</f>
        <v>243.87853924854338</v>
      </c>
      <c r="AN116" s="95">
        <f t="shared" ca="1" si="52"/>
        <v>45783</v>
      </c>
      <c r="AO116" s="100">
        <f>(((_xll.BDP(AI116,"DS032"))/360)*I116)*O116</f>
        <v>2495.5</v>
      </c>
      <c r="AP116" s="100">
        <f>IF(F116="USD",AO116,(((_xll.BDP(F116&amp;"USD CURNCY","PX_LAST")))*AO116))</f>
        <v>2495.5</v>
      </c>
      <c r="AQ116" s="87">
        <f t="shared" si="55"/>
        <v>0.39547094622352391</v>
      </c>
      <c r="AR116" s="100">
        <f t="shared" si="53"/>
        <v>204474</v>
      </c>
      <c r="AS116" s="99">
        <f>IF((TEXT(_xll.BDP(AI116,"MATURITY"),"DD/MM/YYYY")="#N/A Field Not Applicable"),"Perp",_xll.BDP(AI116,"DS252"))</f>
        <v>16.8186173853525</v>
      </c>
      <c r="AT116" s="38" t="str">
        <f>(IF(_xll.BDP($AI116&amp;" ISIN","DT247")="Y","Yes","No"))</f>
        <v>No</v>
      </c>
      <c r="AU116" s="38" t="str">
        <f>PROPER(IF(OR(_xll.BDP($AI116,"CPN_TYP")="#n/a N/A",_xll.BDP($AI116,"CPN_TYP")= "#N/A FIELD NOT APPLICABLE"), " ", _xll.BDP($AI116,"CPN_TYP")))</f>
        <v>Fixed</v>
      </c>
      <c r="AV116" s="101"/>
      <c r="AW116" s="101"/>
      <c r="AX116" s="101"/>
      <c r="AY116" s="101"/>
      <c r="AZ116" s="101"/>
      <c r="BA116" s="101"/>
      <c r="BB116" s="101"/>
      <c r="BC116" s="101"/>
      <c r="BD116" s="101"/>
      <c r="BE116" s="101"/>
      <c r="BF116" s="101"/>
      <c r="BG116" s="38" t="str">
        <f t="shared" si="45"/>
        <v>XS2542166744</v>
      </c>
      <c r="BH116" s="38">
        <v>0.82</v>
      </c>
      <c r="BI116" s="94">
        <v>3</v>
      </c>
      <c r="BJ116" s="95">
        <v>45596</v>
      </c>
      <c r="BK116" s="96">
        <v>1</v>
      </c>
      <c r="BL116" s="101"/>
    </row>
    <row r="117" spans="1:64" s="101" customFormat="1" ht="14.45" customHeight="1" x14ac:dyDescent="0.25">
      <c r="A117" s="49" t="s">
        <v>241</v>
      </c>
      <c r="B117" s="49" t="s">
        <v>270</v>
      </c>
      <c r="C117" s="49" t="s">
        <v>271</v>
      </c>
      <c r="D117" s="49" t="s">
        <v>240</v>
      </c>
      <c r="E117" s="4" t="str">
        <f>_xll.BDP(AI117,"ds520")</f>
        <v>#N/A Connection</v>
      </c>
      <c r="F117" s="4" t="str">
        <f>_xll.BDP(AI117,"crncy")</f>
        <v>#N/A Connection</v>
      </c>
      <c r="G117" s="5" t="s">
        <v>45</v>
      </c>
      <c r="H117" s="4" t="str">
        <f>IF(_xll.BDP(AI117,"RTG_MOODY")="#N/A N/A","N/A",_xll.BDP(AI117,"RTG_MOODY"))&amp;","&amp;IF(_xll.BDP(AI117,"RTG_FITCH")="#N/A N/A","N/A",_xll.BDP(AI117,"RTG_FITCH"))&amp;","&amp;IF(_xll.BDP(AI117,"RTG_SP")="#N/A N/A","N/A",_xll.BDP(AI117,"RTG_SP"))</f>
        <v>#N/A Connection,#N/A Connection,#N/A Connection</v>
      </c>
      <c r="I117" s="7" t="e">
        <f>_xll.BDP(AI117,"cpn")/100</f>
        <v>#VALUE!</v>
      </c>
      <c r="J117" s="7" t="e">
        <f ca="1">_xll.BDP($G117&amp;" isin","YAS_BOND_YLD", "YAS_YLD_FLAG=15", "user_local_trade_date",AN117,"Yas_bond_px",$Q117)/100</f>
        <v>#VALUE!</v>
      </c>
      <c r="K117" s="4" t="str">
        <f>_xll.BDP(AI117,"PAYMENT_RANK")</f>
        <v>#N/A Connection</v>
      </c>
      <c r="L117" s="4" t="str">
        <f>IF((TEXT(_xll.BDP(AI117,"MATURITY"),"DD/MM/YYYY")="#N/A Field Not Applicable"),"Perp",TEXT(_xll.BDP(AI117,"MATURITY"),"DD/MM/YYYY"))</f>
        <v>#N/A Connection</v>
      </c>
      <c r="M117" s="8" t="str">
        <f>(IF(_xll.BDP($AI117&amp;" ISIN","DU003")="#n/a n/a"," ",_xll.BDP($AI117&amp;" ISIN","DU003")))</f>
        <v>#N/A Connection</v>
      </c>
      <c r="N117" s="4" t="str">
        <f>IF(_xll.BDP(AI117,"CALLABLE")="Y",_xll.BDP(AI117,"NXT_CALL_DT")," ")</f>
        <v xml:space="preserve"> </v>
      </c>
      <c r="O117" s="9">
        <v>300000</v>
      </c>
      <c r="P117" s="5">
        <v>98.78</v>
      </c>
      <c r="Q117" s="10" t="str">
        <f>_xll.BDP(AI117,"px_bid")</f>
        <v>#N/A Connection</v>
      </c>
      <c r="R117" s="11" t="e">
        <f>IF(F117="USD",AG117,(((_xll.BDP(F117&amp;"USD CURNCY","PX_LAST")))*AG117))</f>
        <v>#VALUE!</v>
      </c>
      <c r="S117" s="11" t="e">
        <f>IF(F117="USD",AH117,(((_xll.BDP(F117&amp;"USD CURNCY","PX_LAST")))*AH117))+AP117</f>
        <v>#VALUE!</v>
      </c>
      <c r="T117" s="12" t="e">
        <f t="shared" si="46"/>
        <v>#VALUE!</v>
      </c>
      <c r="U117" s="13" t="e">
        <f t="shared" si="47"/>
        <v>#VALUE!</v>
      </c>
      <c r="V117" s="13" t="str" cm="1">
        <f t="array" ref="V117">IFERROR(_xll.BDP($G117&amp;" ISIN","CHG_PCT_1D")/100,"")</f>
        <v/>
      </c>
      <c r="W117" s="13" t="str" cm="1">
        <f t="array" ref="W117">IFERROR(_xll.BDP($G117&amp;" ISIN","CHG_PCT_5D")/100,"")</f>
        <v/>
      </c>
      <c r="X117" s="13" t="e" cm="1">
        <f t="array" ref="X117">_xll.BDP($G117&amp;" ISIN","CHG_PCT_1M")/100</f>
        <v>#VALUE!</v>
      </c>
      <c r="Y117" s="13" t="e" cm="1">
        <f t="array" ref="Y117">_xll.BDP($G117&amp;" ISIN","CHG_PCT_3M")/100</f>
        <v>#VALUE!</v>
      </c>
      <c r="Z117" s="13" t="e" cm="1">
        <f t="array" ref="Z117">_xll.BDP($G117&amp;" ISIN","CHG_PCT_6M")/100</f>
        <v>#VALUE!</v>
      </c>
      <c r="AA117" s="13" t="e" cm="1">
        <f t="array" ref="AA117">_xll.BDP($G117&amp;" ISIN","CHG_PCT_YTD")/100</f>
        <v>#VALUE!</v>
      </c>
      <c r="AB117" s="13" t="e">
        <f t="shared" si="54"/>
        <v>#VALUE!</v>
      </c>
      <c r="AC117" s="14" t="e">
        <f t="shared" ca="1" si="48"/>
        <v>#VALUE!</v>
      </c>
      <c r="AD117" s="4" t="str">
        <f>_xll.BDP(AI117,"DS199")</f>
        <v>#N/A Connection</v>
      </c>
      <c r="AE117" s="10" t="str">
        <f>_xll.BDP(AI117,"px_ask")</f>
        <v>#N/A Connection</v>
      </c>
      <c r="AF117" s="14" t="e">
        <f>IF(F117="USD",O117,(((_xll.BDP(F117&amp;"USD CURNCY","PX_LAST")))*O117))</f>
        <v>#VALUE!</v>
      </c>
      <c r="AG117" s="11">
        <f t="shared" si="49"/>
        <v>296340</v>
      </c>
      <c r="AH117" s="11" t="e">
        <f t="shared" si="50"/>
        <v>#VALUE!</v>
      </c>
      <c r="AI117" s="4" t="str">
        <f t="shared" si="51"/>
        <v>PAL63444B5A9 ISIN</v>
      </c>
      <c r="AJ117" s="4" t="e" cm="1">
        <f t="array" ref="AJ117">VLOOKUP(IF(NOT(_xll.BDP($G117&amp;" CORP",$CA$5)="#N/A N/A"),(_xll.BDP($G117&amp;" CORP",$CA$5)),"-"), '[1]Country Codes'!$A$2:$B$253,2,0)</f>
        <v>#N/A</v>
      </c>
      <c r="AK117" s="4" t="str" cm="1">
        <f t="array" ref="AK117">IF(OR(_xll.BDP($AI117,"EX028")= "#N/A N/A", _xll.BDP($AI117,"EX028")="#N/A FIELD NOT APPLICABLE"), " ", _xll.BDP($AI117,"EX028"))</f>
        <v>#N/A Connection</v>
      </c>
      <c r="AL117" s="15" t="str">
        <f>(IF(_xll.BDP($AI117&amp;" ISIN","DZ282")="Y","Single line Bonds Cocos","Single line Bonds ex Cocos"))</f>
        <v>Single line Bonds ex Cocos</v>
      </c>
      <c r="AM117" s="8" t="str">
        <f>(IF(_xll.BDP($G117&amp;" ISIN","SP153")="#n/a n/a"," ",_xll.BDP($G117&amp;" ISIN","SP153")))</f>
        <v>#N/A Connection</v>
      </c>
      <c r="AN117" s="16">
        <f t="shared" ca="1" si="52"/>
        <v>45783</v>
      </c>
      <c r="AO117" s="11" t="e">
        <f>(((_xll.BDP(AI117,"DS032"))/360)*I117)*O117</f>
        <v>#VALUE!</v>
      </c>
      <c r="AP117" s="11" t="e">
        <f>IF(F117="USD",AO117,(((_xll.BDP(F117&amp;"USD CURNCY","PX_LAST")))*AO117))</f>
        <v>#VALUE!</v>
      </c>
      <c r="AQ117" s="13" t="e">
        <f t="shared" si="55"/>
        <v>#VALUE!</v>
      </c>
      <c r="AR117" s="11" t="e">
        <f t="shared" si="53"/>
        <v>#VALUE!</v>
      </c>
      <c r="AS117" s="10" t="str">
        <f>IF((TEXT(_xll.BDP(AI117,"MATURITY"),"DD/MM/YYYY")="#N/A Field Not Applicable"),"Perp",_xll.BDP(AI117,"DS252"))</f>
        <v>#N/A Connection</v>
      </c>
      <c r="AT117" s="15" t="str">
        <f>(IF(_xll.BDP($AI117&amp;" ISIN","DT247")="Y","Yes","No"))</f>
        <v>No</v>
      </c>
      <c r="AU117" s="15" t="str">
        <f>PROPER(IF(OR(_xll.BDP($AI117,"CPN_TYP")="#n/a N/A",_xll.BDP($AI117,"CPN_TYP")= "#N/A FIELD NOT APPLICABLE"), " ", _xll.BDP($AI117,"CPN_TYP")))</f>
        <v>#N/A Connection</v>
      </c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17" t="str">
        <f t="shared" si="45"/>
        <v>PAL63444B5A9</v>
      </c>
      <c r="BH117" s="17">
        <v>0.77</v>
      </c>
      <c r="BI117" s="18">
        <v>3</v>
      </c>
      <c r="BJ117" s="19">
        <v>45125</v>
      </c>
      <c r="BK117" s="20">
        <v>1</v>
      </c>
      <c r="BL117" s="21"/>
    </row>
    <row r="118" spans="1:64" s="21" customFormat="1" ht="14.45" customHeight="1" x14ac:dyDescent="0.25">
      <c r="A118" s="49" t="s">
        <v>241</v>
      </c>
      <c r="B118" s="49" t="s">
        <v>270</v>
      </c>
      <c r="C118" s="49" t="s">
        <v>271</v>
      </c>
      <c r="D118" s="49" t="s">
        <v>240</v>
      </c>
      <c r="E118" s="4" t="str">
        <f>_xll.BDP(AI118,"ds520")</f>
        <v>#N/A Connection</v>
      </c>
      <c r="F118" s="4" t="str">
        <f>_xll.BDP(AI118,"crncy")</f>
        <v>#N/A Connection</v>
      </c>
      <c r="G118" s="5" t="s">
        <v>43</v>
      </c>
      <c r="H118" s="4" t="str">
        <f>IF(_xll.BDP(AI118,"RTG_MOODY")="#N/A N/A","N/A",_xll.BDP(AI118,"RTG_MOODY"))&amp;","&amp;IF(_xll.BDP(AI118,"RTG_FITCH")="#N/A N/A","N/A",_xll.BDP(AI118,"RTG_FITCH"))&amp;","&amp;IF(_xll.BDP(AI118,"RTG_SP")="#N/A N/A","N/A",_xll.BDP(AI118,"RTG_SP"))</f>
        <v>#N/A Connection,#N/A Connection,#N/A Connection</v>
      </c>
      <c r="I118" s="7" t="e">
        <f>_xll.BDP(AI118,"cpn")/100</f>
        <v>#VALUE!</v>
      </c>
      <c r="J118" s="7" t="e">
        <f ca="1">_xll.BDP($G118&amp;" isin","YAS_BOND_YLD", "YAS_YLD_FLAG=15", "user_local_trade_date",AN118,"Yas_bond_px",$Q118)/100</f>
        <v>#VALUE!</v>
      </c>
      <c r="K118" s="4" t="str">
        <f>_xll.BDP(AI118,"PAYMENT_RANK")</f>
        <v>#N/A Connection</v>
      </c>
      <c r="L118" s="4" t="str">
        <f>IF((TEXT(_xll.BDP(AI118,"MATURITY"),"DD/MM/YYYY")="#N/A Field Not Applicable"),"Perp",TEXT(_xll.BDP(AI118,"MATURITY"),"DD/MM/YYYY"))</f>
        <v>#N/A Connection</v>
      </c>
      <c r="M118" s="8" t="str">
        <f>(IF(_xll.BDP($AI118&amp;" ISIN","DU003")="#n/a n/a"," ",_xll.BDP($AI118&amp;" ISIN","DU003")))</f>
        <v>#N/A Connection</v>
      </c>
      <c r="N118" s="4" t="str">
        <f>IF(_xll.BDP(AI118,"CALLABLE")="Y",_xll.BDP(AI118,"NXT_CALL_DT")," ")</f>
        <v xml:space="preserve"> </v>
      </c>
      <c r="O118" s="9">
        <v>340000</v>
      </c>
      <c r="P118" s="5">
        <v>100</v>
      </c>
      <c r="Q118" s="10" t="str">
        <f>_xll.BDP(AI118,"px_bid")</f>
        <v>#N/A Connection</v>
      </c>
      <c r="R118" s="11" t="e">
        <f>IF(F118="USD",AG118,(((_xll.BDP(F118&amp;"USD CURNCY","PX_LAST")))*AG118))</f>
        <v>#VALUE!</v>
      </c>
      <c r="S118" s="11" t="e">
        <f>IF(F118="USD",AH118,(((_xll.BDP(F118&amp;"USD CURNCY","PX_LAST")))*AH118))+AP118</f>
        <v>#VALUE!</v>
      </c>
      <c r="T118" s="12" t="e">
        <f t="shared" si="46"/>
        <v>#VALUE!</v>
      </c>
      <c r="U118" s="13" t="e">
        <f t="shared" si="47"/>
        <v>#VALUE!</v>
      </c>
      <c r="V118" s="13" t="str" cm="1">
        <f t="array" ref="V118">IFERROR(_xll.BDP($G118&amp;" ISIN","CHG_PCT_1D")/100,"")</f>
        <v/>
      </c>
      <c r="W118" s="13" t="str" cm="1">
        <f t="array" ref="W118">IFERROR(_xll.BDP($G118&amp;" ISIN","CHG_PCT_5D")/100,"")</f>
        <v/>
      </c>
      <c r="X118" s="13" t="e" cm="1">
        <f t="array" ref="X118">_xll.BDP($G118&amp;" ISIN","CHG_PCT_1M")/100</f>
        <v>#VALUE!</v>
      </c>
      <c r="Y118" s="13" t="e" cm="1">
        <f t="array" ref="Y118">_xll.BDP($G118&amp;" ISIN","CHG_PCT_3M")/100</f>
        <v>#VALUE!</v>
      </c>
      <c r="Z118" s="13" t="e" cm="1">
        <f t="array" ref="Z118">_xll.BDP($G118&amp;" ISIN","CHG_PCT_6M")/100</f>
        <v>#VALUE!</v>
      </c>
      <c r="AA118" s="13" t="e" cm="1">
        <f t="array" ref="AA118">_xll.BDP($G118&amp;" ISIN","CHG_PCT_YTD")/100</f>
        <v>#VALUE!</v>
      </c>
      <c r="AB118" s="13" t="e">
        <f t="shared" si="54"/>
        <v>#VALUE!</v>
      </c>
      <c r="AC118" s="14" t="e">
        <f t="shared" ca="1" si="48"/>
        <v>#VALUE!</v>
      </c>
      <c r="AD118" s="4" t="str">
        <f>_xll.BDP(AI118,"DS199")</f>
        <v>#N/A Connection</v>
      </c>
      <c r="AE118" s="10" t="str">
        <f>_xll.BDP(AI118,"px_ask")</f>
        <v>#N/A Connection</v>
      </c>
      <c r="AF118" s="14" t="e">
        <f>IF(F118="USD",O118,(((_xll.BDP(F118&amp;"USD CURNCY","PX_LAST")))*O118))</f>
        <v>#VALUE!</v>
      </c>
      <c r="AG118" s="11">
        <f t="shared" si="49"/>
        <v>340000</v>
      </c>
      <c r="AH118" s="11" t="e">
        <f t="shared" si="50"/>
        <v>#VALUE!</v>
      </c>
      <c r="AI118" s="4" t="str">
        <f t="shared" si="51"/>
        <v>USF2280BAA47 ISIN</v>
      </c>
      <c r="AJ118" s="4" t="e" cm="1">
        <f t="array" ref="AJ118">VLOOKUP(IF(NOT(_xll.BDP($G118&amp;" CORP",$CA$5)="#N/A N/A"),(_xll.BDP($G118&amp;" CORP",$CA$5)),"-"), '[1]Country Codes'!$A$2:$B$253,2,0)</f>
        <v>#N/A</v>
      </c>
      <c r="AK118" s="4" t="str" cm="1">
        <f t="array" ref="AK118">IF(OR(_xll.BDP($AI118,"EX028")= "#N/A N/A", _xll.BDP($AI118,"EX028")="#N/A FIELD NOT APPLICABLE"), " ", _xll.BDP($AI118,"EX028"))</f>
        <v>#N/A Connection</v>
      </c>
      <c r="AL118" s="15" t="str">
        <f>(IF(_xll.BDP($AI118&amp;" ISIN","DZ282")="Y","Single line Bonds Cocos","Single line Bonds ex Cocos"))</f>
        <v>Single line Bonds ex Cocos</v>
      </c>
      <c r="AM118" s="8" t="str">
        <f>(IF(_xll.BDP($G118&amp;" ISIN","SP153")="#n/a n/a"," ",_xll.BDP($G118&amp;" ISIN","SP153")))</f>
        <v>#N/A Connection</v>
      </c>
      <c r="AN118" s="16">
        <f t="shared" ca="1" si="52"/>
        <v>45783</v>
      </c>
      <c r="AO118" s="11" t="e">
        <f>(((_xll.BDP(AI118,"DS032"))/360)*I118)*O118</f>
        <v>#VALUE!</v>
      </c>
      <c r="AP118" s="11" t="e">
        <f>IF(F118="USD",AO118,(((_xll.BDP(F118&amp;"USD CURNCY","PX_LAST")))*AO118))</f>
        <v>#VALUE!</v>
      </c>
      <c r="AQ118" s="13" t="e">
        <f t="shared" si="55"/>
        <v>#VALUE!</v>
      </c>
      <c r="AR118" s="11" t="e">
        <f t="shared" si="53"/>
        <v>#VALUE!</v>
      </c>
      <c r="AS118" s="10" t="str">
        <f>IF((TEXT(_xll.BDP(AI118,"MATURITY"),"DD/MM/YYYY")="#N/A Field Not Applicable"),"Perp",_xll.BDP(AI118,"DS252"))</f>
        <v>#N/A Connection</v>
      </c>
      <c r="AT118" s="15" t="str">
        <f>(IF(_xll.BDP($AI118&amp;" ISIN","DT247")="Y","Yes","No"))</f>
        <v>No</v>
      </c>
      <c r="AU118" s="15" t="str">
        <f>PROPER(IF(OR(_xll.BDP($AI118,"CPN_TYP")="#n/a N/A",_xll.BDP($AI118,"CPN_TYP")= "#N/A FIELD NOT APPLICABLE"), " ", _xll.BDP($AI118,"CPN_TYP")))</f>
        <v>#N/A Connection</v>
      </c>
      <c r="BG118" s="17" t="str">
        <f t="shared" si="45"/>
        <v>USF2280BAA47</v>
      </c>
      <c r="BH118" s="17">
        <v>0.67</v>
      </c>
      <c r="BI118" s="18" t="s">
        <v>147</v>
      </c>
      <c r="BJ118" s="19">
        <v>45559</v>
      </c>
      <c r="BK118" s="20">
        <v>1</v>
      </c>
    </row>
    <row r="119" spans="1:64" s="21" customFormat="1" ht="14.45" customHeight="1" x14ac:dyDescent="0.25">
      <c r="A119" s="49" t="s">
        <v>241</v>
      </c>
      <c r="B119" s="49" t="s">
        <v>270</v>
      </c>
      <c r="C119" s="49" t="s">
        <v>271</v>
      </c>
      <c r="D119" s="49" t="s">
        <v>240</v>
      </c>
      <c r="E119" s="4" t="str">
        <f>_xll.BDP(AI119,"ds520")</f>
        <v>TVF Varlik Kiralama AS</v>
      </c>
      <c r="F119" s="4" t="str">
        <f>_xll.BDP(AI119,"crncy")</f>
        <v>USD</v>
      </c>
      <c r="G119" s="5" t="s">
        <v>136</v>
      </c>
      <c r="H119" s="4" t="str">
        <f>IF(_xll.BDP(AI119,"RTG_MOODY")="#N/A N/A","N/A",_xll.BDP(AI119,"RTG_MOODY"))&amp;","&amp;IF(_xll.BDP(AI119,"RTG_FITCH")="#N/A N/A","N/A",_xll.BDP(AI119,"RTG_FITCH"))&amp;","&amp;IF(_xll.BDP(AI119,"RTG_SP")="#N/A N/A","N/A",_xll.BDP(AI119,"RTG_SP"))</f>
        <v>N/A,BB-,N/A</v>
      </c>
      <c r="I119" s="7">
        <f>_xll.BDP(AI119,"cpn")/100</f>
        <v>6.9500000000000006E-2</v>
      </c>
      <c r="J119" s="7">
        <f ca="1">_xll.BDP($G119&amp;" isin","YAS_BOND_YLD", "YAS_YLD_FLAG=15", "user_local_trade_date",AN119,"Yas_bond_px",$Q119)/100</f>
        <v>7.1722910000000001E-2</v>
      </c>
      <c r="K119" s="4" t="str">
        <f>_xll.BDP(AI119,"PAYMENT_RANK")</f>
        <v>Sr Unsecured</v>
      </c>
      <c r="L119" s="4" t="str">
        <f>IF((TEXT(_xll.BDP(AI119,"MATURITY"),"DD/MM/YYYY")="#N/A Field Not Applicable"),"Perp",TEXT(_xll.BDP(AI119,"MATURITY"),"DD/MM/YYYY"))</f>
        <v>23/01/2030</v>
      </c>
      <c r="M119" s="8">
        <f>(IF(_xll.BDP($AI119&amp;" ISIN","DU003")="#n/a n/a"," ",_xll.BDP($AI119&amp;" ISIN","DU003")))</f>
        <v>4.0302780432457386</v>
      </c>
      <c r="N119" s="4" t="str">
        <f>IF(_xll.BDP(AI119,"CALLABLE")="Y",_xll.BDP(AI119,"NXT_CALL_DT")," ")</f>
        <v xml:space="preserve"> </v>
      </c>
      <c r="O119" s="9">
        <v>200000</v>
      </c>
      <c r="P119" s="5">
        <v>100.01</v>
      </c>
      <c r="Q119" s="10">
        <f>_xll.BDP(AI119,"px_bid")</f>
        <v>99.11</v>
      </c>
      <c r="R119" s="11">
        <f>IF(F119="USD",AG119,(((_xll.BDP(F119&amp;"USD CURNCY","PX_LAST")))*AG119))</f>
        <v>200020</v>
      </c>
      <c r="S119" s="11">
        <f>IF(F119="USD",AH119,(((_xll.BDP(F119&amp;"USD CURNCY","PX_LAST")))*AH119))+AP119</f>
        <v>202042.5</v>
      </c>
      <c r="T119" s="12">
        <f t="shared" si="46"/>
        <v>-1800.0000000000114</v>
      </c>
      <c r="U119" s="13">
        <f t="shared" si="47"/>
        <v>-8.9991000899910575E-3</v>
      </c>
      <c r="V119" s="13" t="str" cm="1">
        <f t="array" ref="V119">IFERROR(_xll.BDP($G119&amp;" ISIN","CHG_PCT_1D")/100,"")</f>
        <v/>
      </c>
      <c r="W119" s="13" t="str" cm="1">
        <f t="array" ref="W119">IFERROR(_xll.BDP($G119&amp;" ISIN","CHG_PCT_5D")/100,"")</f>
        <v/>
      </c>
      <c r="X119" s="13" t="e" cm="1">
        <f t="array" ref="X119">_xll.BDP($G119&amp;" ISIN","CHG_PCT_1M")/100</f>
        <v>#VALUE!</v>
      </c>
      <c r="Y119" s="13" t="e" cm="1">
        <f t="array" ref="Y119">_xll.BDP($G119&amp;" ISIN","CHG_PCT_3M")/100</f>
        <v>#VALUE!</v>
      </c>
      <c r="Z119" s="13" t="e" cm="1">
        <f t="array" ref="Z119">_xll.BDP($G119&amp;" ISIN","CHG_PCT_6M")/100</f>
        <v>#VALUE!</v>
      </c>
      <c r="AA119" s="13" t="e" cm="1">
        <f t="array" ref="AA119">_xll.BDP($G119&amp;" ISIN","CHG_PCT_YTD")/100</f>
        <v>#VALUE!</v>
      </c>
      <c r="AB119" s="13" t="e">
        <f t="shared" si="54"/>
        <v>#VALUE!</v>
      </c>
      <c r="AC119" s="14">
        <f t="shared" ca="1" si="48"/>
        <v>5999.4444444444343</v>
      </c>
      <c r="AD119" s="4" t="str">
        <f>_xll.BDP(AI119,"DS199")</f>
        <v>Financial</v>
      </c>
      <c r="AE119" s="10">
        <f>_xll.BDP(AI119,"px_ask")</f>
        <v>99.495999999999995</v>
      </c>
      <c r="AF119" s="14">
        <f>IF(F119="USD",O119,(((_xll.BDP(F119&amp;"USD CURNCY","PX_LAST")))*O119))</f>
        <v>200000</v>
      </c>
      <c r="AG119" s="11">
        <f t="shared" si="49"/>
        <v>200020</v>
      </c>
      <c r="AH119" s="11">
        <f t="shared" si="50"/>
        <v>198220</v>
      </c>
      <c r="AI119" s="4" t="str">
        <f t="shared" si="51"/>
        <v>XS2911679004 ISIN</v>
      </c>
      <c r="AJ119" s="4" t="e" cm="1">
        <f t="array" ref="AJ119">VLOOKUP(IF(NOT(_xll.BDP($G119&amp;" CORP",$CA$5)="#N/A N/A"),(_xll.BDP($G119&amp;" CORP",$CA$5)),"-"), '[1]Country Codes'!$A$2:$B$253,2,0)</f>
        <v>#N/A</v>
      </c>
      <c r="AK119" s="4" t="str" cm="1">
        <f t="array" ref="AK119">IF(OR(_xll.BDP($AI119,"EX028")= "#N/A N/A", _xll.BDP($AI119,"EX028")="#N/A FIELD NOT APPLICABLE"), " ", _xll.BDP($AI119,"EX028"))</f>
        <v>FixedIncome</v>
      </c>
      <c r="AL119" s="15" t="str">
        <f>(IF(_xll.BDP($AI119&amp;" ISIN","DZ282")="Y","Single line Bonds Cocos","Single line Bonds ex Cocos"))</f>
        <v>Single line Bonds ex Cocos</v>
      </c>
      <c r="AM119" s="8">
        <f>(IF(_xll.BDP($G119&amp;" ISIN","SP153")="#n/a n/a"," ",_xll.BDP($G119&amp;" ISIN","SP153")))</f>
        <v>370.64895526953268</v>
      </c>
      <c r="AN119" s="16">
        <f t="shared" ca="1" si="52"/>
        <v>45783</v>
      </c>
      <c r="AO119" s="11">
        <f>(((_xll.BDP(AI119,"DS032"))/360)*I119)*O119</f>
        <v>3822.5000000000009</v>
      </c>
      <c r="AP119" s="11">
        <f>IF(F119="USD",AO119,(((_xll.BDP(F119&amp;"USD CURNCY","PX_LAST")))*AO119))</f>
        <v>3822.5000000000009</v>
      </c>
      <c r="AQ119" s="13">
        <f t="shared" si="55"/>
        <v>0.38605658636836021</v>
      </c>
      <c r="AR119" s="11">
        <f t="shared" si="53"/>
        <v>198220</v>
      </c>
      <c r="AS119" s="10">
        <f>IF((TEXT(_xll.BDP(AI119,"MATURITY"),"DD/MM/YYYY")="#N/A Field Not Applicable"),"Perp",_xll.BDP(AI119,"DS252"))</f>
        <v>4.7337440109514031</v>
      </c>
      <c r="AT119" s="15" t="str">
        <f>(IF(_xll.BDP($AI119&amp;" ISIN","DT247")="Y","Yes","No"))</f>
        <v>No</v>
      </c>
      <c r="AU119" s="15" t="str">
        <f>PROPER(IF(OR(_xll.BDP($AI119,"CPN_TYP")="#n/a N/A",_xll.BDP($AI119,"CPN_TYP")= "#N/A FIELD NOT APPLICABLE"), " ", _xll.BDP($AI119,"CPN_TYP")))</f>
        <v>Fixed</v>
      </c>
      <c r="BG119" s="17" t="str">
        <f t="shared" si="45"/>
        <v>XS2911679004</v>
      </c>
      <c r="BH119" s="17">
        <v>0.72</v>
      </c>
      <c r="BI119" s="18">
        <v>4</v>
      </c>
      <c r="BJ119" s="19">
        <v>45581</v>
      </c>
      <c r="BK119" s="20">
        <v>1</v>
      </c>
    </row>
    <row r="120" spans="1:64" s="21" customFormat="1" ht="14.45" customHeight="1" x14ac:dyDescent="0.25">
      <c r="A120" s="49" t="s">
        <v>241</v>
      </c>
      <c r="B120" s="49" t="s">
        <v>270</v>
      </c>
      <c r="C120" s="49" t="s">
        <v>271</v>
      </c>
      <c r="D120" s="49" t="s">
        <v>240</v>
      </c>
      <c r="E120" s="4" t="str">
        <f>_xll.BDP(AI120,"ds520")</f>
        <v>#N/A Connection</v>
      </c>
      <c r="F120" s="4" t="str">
        <f>_xll.BDP(AI120,"crncy")</f>
        <v>#N/A Connection</v>
      </c>
      <c r="G120" s="5" t="s">
        <v>148</v>
      </c>
      <c r="H120" s="4" t="str">
        <f>IF(_xll.BDP(AI120,"RTG_MOODY")="#N/A N/A","N/A",_xll.BDP(AI120,"RTG_MOODY"))&amp;","&amp;IF(_xll.BDP(AI120,"RTG_FITCH")="#N/A N/A","N/A",_xll.BDP(AI120,"RTG_FITCH"))&amp;","&amp;IF(_xll.BDP(AI120,"RTG_SP")="#N/A N/A","N/A",_xll.BDP(AI120,"RTG_SP"))</f>
        <v>#N/A Connection,#N/A Connection,#N/A Connection</v>
      </c>
      <c r="I120" s="7" t="e">
        <f>_xll.BDP(AI120,"cpn")/100</f>
        <v>#VALUE!</v>
      </c>
      <c r="J120" s="7" t="e">
        <f ca="1">_xll.BDP($G120&amp;" isin","YAS_BOND_YLD", "YAS_YLD_FLAG=15", "user_local_trade_date",AN120,"Yas_bond_px",$Q120)/100</f>
        <v>#VALUE!</v>
      </c>
      <c r="K120" s="4" t="str">
        <f>_xll.BDP(AI120,"PAYMENT_RANK")</f>
        <v>#N/A Connection</v>
      </c>
      <c r="L120" s="4" t="str">
        <f>IF((TEXT(_xll.BDP(AI120,"MATURITY"),"DD/MM/YYYY")="#N/A Field Not Applicable"),"Perp",TEXT(_xll.BDP(AI120,"MATURITY"),"DD/MM/YYYY"))</f>
        <v>#N/A Connection</v>
      </c>
      <c r="M120" s="8" t="str">
        <f>(IF(_xll.BDP($AI120&amp;" ISIN","DU003")="#n/a n/a"," ",_xll.BDP($AI120&amp;" ISIN","DU003")))</f>
        <v>#N/A Connection</v>
      </c>
      <c r="N120" s="4" t="str">
        <f>IF(_xll.BDP(AI120,"CALLABLE")="Y",_xll.BDP(AI120,"NXT_CALL_DT")," ")</f>
        <v xml:space="preserve"> </v>
      </c>
      <c r="O120" s="9">
        <v>200000</v>
      </c>
      <c r="P120" s="5">
        <v>102.64</v>
      </c>
      <c r="Q120" s="10" t="str">
        <f>_xll.BDP(AI120,"px_bid")</f>
        <v>#N/A Connection</v>
      </c>
      <c r="R120" s="11" t="e">
        <f>IF(F120="USD",AG120,(((_xll.BDP(F120&amp;"USD CURNCY","PX_LAST")))*AG120))</f>
        <v>#VALUE!</v>
      </c>
      <c r="S120" s="11" t="e">
        <f>IF(F120="USD",AH120,(((_xll.BDP(F120&amp;"USD CURNCY","PX_LAST")))*AH120))+AP120</f>
        <v>#VALUE!</v>
      </c>
      <c r="T120" s="12" t="e">
        <f t="shared" si="46"/>
        <v>#VALUE!</v>
      </c>
      <c r="U120" s="13" t="e">
        <f t="shared" si="47"/>
        <v>#VALUE!</v>
      </c>
      <c r="V120" s="13" t="str" cm="1">
        <f t="array" ref="V120">IFERROR(_xll.BDP($G120&amp;" ISIN","CHG_PCT_1D")/100,"")</f>
        <v/>
      </c>
      <c r="W120" s="13" t="str" cm="1">
        <f t="array" ref="W120">IFERROR(_xll.BDP($G120&amp;" ISIN","CHG_PCT_5D")/100,"")</f>
        <v/>
      </c>
      <c r="X120" s="13" t="e" cm="1">
        <f t="array" ref="X120">_xll.BDP($G120&amp;" ISIN","CHG_PCT_1M")/100</f>
        <v>#VALUE!</v>
      </c>
      <c r="Y120" s="13" t="e" cm="1">
        <f t="array" ref="Y120">_xll.BDP($G120&amp;" ISIN","CHG_PCT_3M")/100</f>
        <v>#VALUE!</v>
      </c>
      <c r="Z120" s="13" t="e" cm="1">
        <f t="array" ref="Z120">_xll.BDP($G120&amp;" ISIN","CHG_PCT_6M")/100</f>
        <v>#VALUE!</v>
      </c>
      <c r="AA120" s="13" t="e" cm="1">
        <f t="array" ref="AA120">_xll.BDP($G120&amp;" ISIN","CHG_PCT_YTD")/100</f>
        <v>#VALUE!</v>
      </c>
      <c r="AB120" s="13" t="e">
        <f t="shared" si="54"/>
        <v>#VALUE!</v>
      </c>
      <c r="AC120" s="14" t="e">
        <f t="shared" ca="1" si="48"/>
        <v>#VALUE!</v>
      </c>
      <c r="AD120" s="4" t="str">
        <f>_xll.BDP(AI120,"DS199")</f>
        <v>#N/A Connection</v>
      </c>
      <c r="AE120" s="10" t="str">
        <f>_xll.BDP(AI120,"px_ask")</f>
        <v>#N/A Connection</v>
      </c>
      <c r="AF120" s="14" t="e">
        <f>IF(F120="USD",O120,(((_xll.BDP(F120&amp;"USD CURNCY","PX_LAST")))*O120))</f>
        <v>#VALUE!</v>
      </c>
      <c r="AG120" s="11">
        <f t="shared" si="49"/>
        <v>205280</v>
      </c>
      <c r="AH120" s="11" t="e">
        <f t="shared" si="50"/>
        <v>#VALUE!</v>
      </c>
      <c r="AI120" s="4" t="str">
        <f t="shared" si="51"/>
        <v>US251526CT41 ISIN</v>
      </c>
      <c r="AJ120" s="4" t="e" cm="1">
        <f t="array" ref="AJ120">VLOOKUP(IF(NOT(_xll.BDP($G120&amp;" CORP",$CA$5)="#N/A N/A"),(_xll.BDP($G120&amp;" CORP",$CA$5)),"-"), '[1]Country Codes'!$A$2:$B$253,2,0)</f>
        <v>#N/A</v>
      </c>
      <c r="AK120" s="4" t="str" cm="1">
        <f t="array" ref="AK120">IF(OR(_xll.BDP($AI120,"EX028")= "#N/A N/A", _xll.BDP($AI120,"EX028")="#N/A FIELD NOT APPLICABLE"), " ", _xll.BDP($AI120,"EX028"))</f>
        <v>#N/A Connection</v>
      </c>
      <c r="AL120" s="15" t="str">
        <f>(IF(_xll.BDP($AI120&amp;" ISIN","DZ282")="Y","Single line Bonds Cocos","Single line Bonds ex Cocos"))</f>
        <v>Single line Bonds ex Cocos</v>
      </c>
      <c r="AM120" s="8" t="str">
        <f>(IF(_xll.BDP($G120&amp;" ISIN","SP153")="#n/a n/a"," ",_xll.BDP($G120&amp;" ISIN","SP153")))</f>
        <v>#N/A Connection</v>
      </c>
      <c r="AN120" s="16">
        <f t="shared" ca="1" si="52"/>
        <v>45783</v>
      </c>
      <c r="AO120" s="11" t="e">
        <f>(((_xll.BDP(AI120,"DS032"))/360)*I120)*O120</f>
        <v>#VALUE!</v>
      </c>
      <c r="AP120" s="11" t="e">
        <f>IF(F120="USD",AO120,(((_xll.BDP(F120&amp;"USD CURNCY","PX_LAST")))*AO120))</f>
        <v>#VALUE!</v>
      </c>
      <c r="AQ120" s="13" t="e">
        <f t="shared" si="55"/>
        <v>#VALUE!</v>
      </c>
      <c r="AR120" s="11" t="e">
        <f t="shared" si="53"/>
        <v>#VALUE!</v>
      </c>
      <c r="AS120" s="10" t="str">
        <f>IF((TEXT(_xll.BDP(AI120,"MATURITY"),"DD/MM/YYYY")="#N/A Field Not Applicable"),"Perp",_xll.BDP(AI120,"DS252"))</f>
        <v>#N/A Connection</v>
      </c>
      <c r="AT120" s="15" t="str">
        <f>(IF(_xll.BDP($AI120&amp;" ISIN","DT247")="Y","Yes","No"))</f>
        <v>No</v>
      </c>
      <c r="AU120" s="15" t="str">
        <f>PROPER(IF(OR(_xll.BDP($AI120,"CPN_TYP")="#n/a N/A",_xll.BDP($AI120,"CPN_TYP")= "#N/A FIELD NOT APPLICABLE"), " ", _xll.BDP($AI120,"CPN_TYP")))</f>
        <v>#N/A Connection</v>
      </c>
      <c r="BG120" s="17" t="str">
        <f t="shared" si="45"/>
        <v>US251526CT41</v>
      </c>
      <c r="BH120" s="17">
        <v>0.77</v>
      </c>
      <c r="BI120" s="18" t="s">
        <v>147</v>
      </c>
      <c r="BJ120" s="19">
        <v>45463</v>
      </c>
      <c r="BK120" s="20">
        <v>1</v>
      </c>
    </row>
    <row r="121" spans="1:64" s="21" customFormat="1" ht="14.45" customHeight="1" x14ac:dyDescent="0.25">
      <c r="A121" s="49" t="s">
        <v>241</v>
      </c>
      <c r="B121" s="49" t="s">
        <v>270</v>
      </c>
      <c r="C121" s="49" t="s">
        <v>271</v>
      </c>
      <c r="D121" s="49" t="s">
        <v>240</v>
      </c>
      <c r="E121" s="4" t="str">
        <f>_xll.BDP(AI121,"ds520")</f>
        <v>#N/A Connection</v>
      </c>
      <c r="F121" s="4" t="str">
        <f>_xll.BDP(AI121,"crncy")</f>
        <v>#N/A Connection</v>
      </c>
      <c r="G121" s="5" t="s">
        <v>150</v>
      </c>
      <c r="H121" s="4" t="str">
        <f>IF(_xll.BDP(AI121,"RTG_MOODY")="#N/A N/A","N/A",_xll.BDP(AI121,"RTG_MOODY"))&amp;","&amp;IF(_xll.BDP(AI121,"RTG_FITCH")="#N/A N/A","N/A",_xll.BDP(AI121,"RTG_FITCH"))&amp;","&amp;IF(_xll.BDP(AI121,"RTG_SP")="#N/A N/A","N/A",_xll.BDP(AI121,"RTG_SP"))</f>
        <v>#N/A Connection,#N/A Connection,#N/A Connection</v>
      </c>
      <c r="I121" s="7" t="e">
        <f>_xll.BDP(AI121,"cpn")/100</f>
        <v>#VALUE!</v>
      </c>
      <c r="J121" s="7" t="e">
        <f ca="1">_xll.BDP($G121&amp;" isin","YAS_BOND_YLD", "YAS_YLD_FLAG=15", "user_local_trade_date",AN121,"Yas_bond_px",$Q121)/100</f>
        <v>#VALUE!</v>
      </c>
      <c r="K121" s="4" t="str">
        <f>_xll.BDP(AI121,"PAYMENT_RANK")</f>
        <v>#N/A Connection</v>
      </c>
      <c r="L121" s="4" t="str">
        <f>IF((TEXT(_xll.BDP(AI121,"MATURITY"),"DD/MM/YYYY")="#N/A Field Not Applicable"),"Perp",TEXT(_xll.BDP(AI121,"MATURITY"),"DD/MM/YYYY"))</f>
        <v>#N/A Connection</v>
      </c>
      <c r="M121" s="8" t="str">
        <f>(IF(_xll.BDP($AI121&amp;" ISIN","DU003")="#n/a n/a"," ",_xll.BDP($AI121&amp;" ISIN","DU003")))</f>
        <v>#N/A Connection</v>
      </c>
      <c r="N121" s="4" t="str">
        <f>IF(_xll.BDP(AI121,"CALLABLE")="Y",_xll.BDP(AI121,"NXT_CALL_DT")," ")</f>
        <v xml:space="preserve"> </v>
      </c>
      <c r="O121" s="9">
        <v>200000</v>
      </c>
      <c r="P121" s="5">
        <v>100.03</v>
      </c>
      <c r="Q121" s="10" t="str">
        <f>_xll.BDP(AI121,"px_bid")</f>
        <v>#N/A Connection</v>
      </c>
      <c r="R121" s="11" t="e">
        <f>IF(F121="USD",AG121,(((_xll.BDP(F121&amp;"USD CURNCY","PX_LAST")))*AG121))</f>
        <v>#VALUE!</v>
      </c>
      <c r="S121" s="11" t="e">
        <f>IF(F121="USD",AH121,(((_xll.BDP(F121&amp;"USD CURNCY","PX_LAST")))*AH121))+AP121</f>
        <v>#VALUE!</v>
      </c>
      <c r="T121" s="12" t="e">
        <f t="shared" si="46"/>
        <v>#VALUE!</v>
      </c>
      <c r="U121" s="13" t="e">
        <f t="shared" si="47"/>
        <v>#VALUE!</v>
      </c>
      <c r="V121" s="13" t="str" cm="1">
        <f t="array" ref="V121">IFERROR(_xll.BDP($G121&amp;" ISIN","CHG_PCT_1D")/100,"")</f>
        <v/>
      </c>
      <c r="W121" s="13" t="str" cm="1">
        <f t="array" ref="W121">IFERROR(_xll.BDP($G121&amp;" ISIN","CHG_PCT_5D")/100,"")</f>
        <v/>
      </c>
      <c r="X121" s="13" t="e" cm="1">
        <f t="array" ref="X121">_xll.BDP($G121&amp;" ISIN","CHG_PCT_1M")/100</f>
        <v>#VALUE!</v>
      </c>
      <c r="Y121" s="13" t="e" cm="1">
        <f t="array" ref="Y121">_xll.BDP($G121&amp;" ISIN","CHG_PCT_3M")/100</f>
        <v>#VALUE!</v>
      </c>
      <c r="Z121" s="13" t="e" cm="1">
        <f t="array" ref="Z121">_xll.BDP($G121&amp;" ISIN","CHG_PCT_6M")/100</f>
        <v>#VALUE!</v>
      </c>
      <c r="AA121" s="13" t="e" cm="1">
        <f t="array" ref="AA121">_xll.BDP($G121&amp;" ISIN","CHG_PCT_YTD")/100</f>
        <v>#VALUE!</v>
      </c>
      <c r="AB121" s="13" t="e">
        <f t="shared" si="54"/>
        <v>#VALUE!</v>
      </c>
      <c r="AC121" s="14" t="e">
        <f t="shared" ca="1" si="48"/>
        <v>#VALUE!</v>
      </c>
      <c r="AD121" s="4" t="str">
        <f>_xll.BDP(AI121,"DS199")</f>
        <v>#N/A Connection</v>
      </c>
      <c r="AE121" s="10" t="str">
        <f>_xll.BDP(AI121,"px_ask")</f>
        <v>#N/A Connection</v>
      </c>
      <c r="AF121" s="14" t="e">
        <f>IF(F121="USD",O121,(((_xll.BDP(F121&amp;"USD CURNCY","PX_LAST")))*O121))</f>
        <v>#VALUE!</v>
      </c>
      <c r="AG121" s="11">
        <f t="shared" si="49"/>
        <v>200060</v>
      </c>
      <c r="AH121" s="11" t="e">
        <f t="shared" si="50"/>
        <v>#VALUE!</v>
      </c>
      <c r="AI121" s="4" t="str">
        <f t="shared" si="51"/>
        <v>XS2827680112 ISIN</v>
      </c>
      <c r="AJ121" s="4" t="e" cm="1">
        <f t="array" ref="AJ121">VLOOKUP(IF(NOT(_xll.BDP($G121&amp;" CORP",$CA$5)="#N/A N/A"),(_xll.BDP($G121&amp;" CORP",$CA$5)),"-"), '[1]Country Codes'!$A$2:$B$253,2,0)</f>
        <v>#N/A</v>
      </c>
      <c r="AK121" s="4" t="str" cm="1">
        <f t="array" ref="AK121">IF(OR(_xll.BDP($AI121,"EX028")= "#N/A N/A", _xll.BDP($AI121,"EX028")="#N/A FIELD NOT APPLICABLE"), " ", _xll.BDP($AI121,"EX028"))</f>
        <v>#N/A Connection</v>
      </c>
      <c r="AL121" s="15" t="str">
        <f>(IF(_xll.BDP($AI121&amp;" ISIN","DZ282")="Y","Single line Bonds Cocos","Single line Bonds ex Cocos"))</f>
        <v>Single line Bonds ex Cocos</v>
      </c>
      <c r="AM121" s="8" t="str">
        <f>(IF(_xll.BDP($G121&amp;" ISIN","SP153")="#n/a n/a"," ",_xll.BDP($G121&amp;" ISIN","SP153")))</f>
        <v>#N/A Connection</v>
      </c>
      <c r="AN121" s="16">
        <f t="shared" ca="1" si="52"/>
        <v>45783</v>
      </c>
      <c r="AO121" s="11" t="e">
        <f>(((_xll.BDP(AI121,"DS032"))/360)*I121)*O121</f>
        <v>#VALUE!</v>
      </c>
      <c r="AP121" s="11" t="e">
        <f>IF(F121="USD",AO121,(((_xll.BDP(F121&amp;"USD CURNCY","PX_LAST")))*AO121))</f>
        <v>#VALUE!</v>
      </c>
      <c r="AQ121" s="13" t="e">
        <f t="shared" si="55"/>
        <v>#VALUE!</v>
      </c>
      <c r="AR121" s="11" t="e">
        <f t="shared" si="53"/>
        <v>#VALUE!</v>
      </c>
      <c r="AS121" s="10" t="str">
        <f>IF((TEXT(_xll.BDP(AI121,"MATURITY"),"DD/MM/YYYY")="#N/A Field Not Applicable"),"Perp",_xll.BDP(AI121,"DS252"))</f>
        <v>#N/A Connection</v>
      </c>
      <c r="AT121" s="15" t="str">
        <f>(IF(_xll.BDP($AI121&amp;" ISIN","DT247")="Y","Yes","No"))</f>
        <v>No</v>
      </c>
      <c r="AU121" s="15" t="str">
        <f>PROPER(IF(OR(_xll.BDP($AI121,"CPN_TYP")="#n/a N/A",_xll.BDP($AI121,"CPN_TYP")= "#N/A FIELD NOT APPLICABLE"), " ", _xll.BDP($AI121,"CPN_TYP")))</f>
        <v>#N/A Connection</v>
      </c>
      <c r="BG121" s="17" t="str">
        <f t="shared" si="45"/>
        <v>XS2827680112</v>
      </c>
      <c r="BH121" s="17">
        <v>0.56999999999999995</v>
      </c>
      <c r="BI121" s="18" t="s">
        <v>147</v>
      </c>
      <c r="BJ121" s="19">
        <v>45448</v>
      </c>
      <c r="BK121" s="20">
        <v>1</v>
      </c>
    </row>
    <row r="122" spans="1:64" s="21" customFormat="1" ht="14.45" customHeight="1" x14ac:dyDescent="0.25">
      <c r="A122" s="49" t="s">
        <v>241</v>
      </c>
      <c r="B122" s="49" t="s">
        <v>270</v>
      </c>
      <c r="C122" s="49" t="s">
        <v>271</v>
      </c>
      <c r="D122" s="49" t="s">
        <v>240</v>
      </c>
      <c r="E122" s="4" t="str">
        <f>_xll.BDP(AI122,"ds520")</f>
        <v>#N/A Connection</v>
      </c>
      <c r="F122" s="4" t="str">
        <f>_xll.BDP(AI122,"crncy")</f>
        <v>#N/A Connection</v>
      </c>
      <c r="G122" s="5" t="s">
        <v>224</v>
      </c>
      <c r="H122" s="4" t="str">
        <f>IF(_xll.BDP(AI122,"RTG_MOODY")="#N/A N/A","N/A",_xll.BDP(AI122,"RTG_MOODY"))&amp;","&amp;IF(_xll.BDP(AI122,"RTG_FITCH")="#N/A N/A","N/A",_xll.BDP(AI122,"RTG_FITCH"))&amp;","&amp;IF(_xll.BDP(AI122,"RTG_SP")="#N/A N/A","N/A",_xll.BDP(AI122,"RTG_SP"))</f>
        <v>#N/A Connection,#N/A Connection,#N/A Connection</v>
      </c>
      <c r="I122" s="7" t="e">
        <f>_xll.BDP(AI122,"cpn")/100</f>
        <v>#VALUE!</v>
      </c>
      <c r="J122" s="7" t="e">
        <f ca="1">_xll.BDP($G122&amp;" isin","YAS_BOND_YLD", "YAS_YLD_FLAG=15", "user_local_trade_date",AN122,"Yas_bond_px",$Q122)/100</f>
        <v>#VALUE!</v>
      </c>
      <c r="K122" s="4" t="str">
        <f>_xll.BDP(AI122,"PAYMENT_RANK")</f>
        <v>#N/A Connection</v>
      </c>
      <c r="L122" s="4" t="str">
        <f>IF((TEXT(_xll.BDP(AI122,"MATURITY"),"DD/MM/YYYY")="#N/A Field Not Applicable"),"Perp",TEXT(_xll.BDP(AI122,"MATURITY"),"DD/MM/YYYY"))</f>
        <v>#N/A Connection</v>
      </c>
      <c r="M122" s="8" t="str">
        <f>(IF(_xll.BDP($AI122&amp;" ISIN","DU003")="#n/a n/a"," ",_xll.BDP($AI122&amp;" ISIN","DU003")))</f>
        <v>#N/A Connection</v>
      </c>
      <c r="N122" s="4" t="str">
        <f>IF(_xll.BDP(AI122,"CALLABLE")="Y",_xll.BDP(AI122,"NXT_CALL_DT")," ")</f>
        <v xml:space="preserve"> </v>
      </c>
      <c r="O122" s="9">
        <v>200000</v>
      </c>
      <c r="P122" s="5">
        <v>100.65</v>
      </c>
      <c r="Q122" s="10" t="str">
        <f>_xll.BDP(AI122,"px_bid")</f>
        <v>#N/A Connection</v>
      </c>
      <c r="R122" s="11" t="e">
        <f>IF(F122="USD",AG122,(((_xll.BDP(F122&amp;"USD CURNCY","PX_LAST")))*AG122))</f>
        <v>#VALUE!</v>
      </c>
      <c r="S122" s="11" t="e">
        <f>IF(F122="USD",AH122,(((_xll.BDP(F122&amp;"USD CURNCY","PX_LAST")))*AH122))+AP122</f>
        <v>#VALUE!</v>
      </c>
      <c r="T122" s="12" t="e">
        <f t="shared" si="46"/>
        <v>#VALUE!</v>
      </c>
      <c r="U122" s="13" t="e">
        <f t="shared" si="47"/>
        <v>#VALUE!</v>
      </c>
      <c r="V122" s="13" t="str" cm="1">
        <f t="array" ref="V122">IFERROR(_xll.BDP($G122&amp;" ISIN","CHG_PCT_1D")/100,"")</f>
        <v/>
      </c>
      <c r="W122" s="13" t="str" cm="1">
        <f t="array" ref="W122">IFERROR(_xll.BDP($G122&amp;" ISIN","CHG_PCT_5D")/100,"")</f>
        <v/>
      </c>
      <c r="X122" s="13" t="e" cm="1">
        <f t="array" ref="X122">_xll.BDP($G122&amp;" ISIN","CHG_PCT_1M")/100</f>
        <v>#VALUE!</v>
      </c>
      <c r="Y122" s="13" t="e" cm="1">
        <f t="array" ref="Y122">_xll.BDP($G122&amp;" ISIN","CHG_PCT_3M")/100</f>
        <v>#VALUE!</v>
      </c>
      <c r="Z122" s="13" t="e" cm="1">
        <f t="array" ref="Z122">_xll.BDP($G122&amp;" ISIN","CHG_PCT_6M")/100</f>
        <v>#VALUE!</v>
      </c>
      <c r="AA122" s="13" t="e" cm="1">
        <f t="array" ref="AA122">_xll.BDP($G122&amp;" ISIN","CHG_PCT_YTD")/100</f>
        <v>#VALUE!</v>
      </c>
      <c r="AB122" s="13" t="e">
        <f t="shared" si="54"/>
        <v>#VALUE!</v>
      </c>
      <c r="AC122" s="14" t="e">
        <f t="shared" ca="1" si="48"/>
        <v>#VALUE!</v>
      </c>
      <c r="AD122" s="4" t="str">
        <f>_xll.BDP(AI122,"DS199")</f>
        <v>#N/A Connection</v>
      </c>
      <c r="AE122" s="10" t="str">
        <f>_xll.BDP(AI122,"px_ask")</f>
        <v>#N/A Connection</v>
      </c>
      <c r="AF122" s="14" t="e">
        <f>IF(F122="USD",O122,(((_xll.BDP(F122&amp;"USD CURNCY","PX_LAST")))*O122))</f>
        <v>#VALUE!</v>
      </c>
      <c r="AG122" s="11">
        <f t="shared" si="49"/>
        <v>201300</v>
      </c>
      <c r="AH122" s="11" t="e">
        <f t="shared" si="50"/>
        <v>#VALUE!</v>
      </c>
      <c r="AI122" s="4" t="str">
        <f t="shared" si="51"/>
        <v>XS2885225966 ISIN</v>
      </c>
      <c r="AJ122" s="4" t="e" cm="1">
        <f t="array" ref="AJ122">VLOOKUP(IF(NOT(_xll.BDP($G122&amp;" CORP",$CA$5)="#N/A N/A"),(_xll.BDP($G122&amp;" CORP",$CA$5)),"-"), '[1]Country Codes'!$A$2:$B$253,2,0)</f>
        <v>#N/A</v>
      </c>
      <c r="AK122" s="4" t="str" cm="1">
        <f t="array" ref="AK122">IF(OR(_xll.BDP($AI122,"EX028")= "#N/A N/A", _xll.BDP($AI122,"EX028")="#N/A FIELD NOT APPLICABLE"), " ", _xll.BDP($AI122,"EX028"))</f>
        <v>#N/A Connection</v>
      </c>
      <c r="AL122" s="15" t="str">
        <f>(IF(_xll.BDP($AI122&amp;" ISIN","DZ282")="Y","Single line Bonds Cocos","Single line Bonds ex Cocos"))</f>
        <v>Single line Bonds ex Cocos</v>
      </c>
      <c r="AM122" s="8" t="str">
        <f>(IF(_xll.BDP($G122&amp;" ISIN","SP153")="#n/a n/a"," ",_xll.BDP($G122&amp;" ISIN","SP153")))</f>
        <v>#N/A Connection</v>
      </c>
      <c r="AN122" s="16">
        <f t="shared" ca="1" si="52"/>
        <v>45783</v>
      </c>
      <c r="AO122" s="11" t="e">
        <f>(((_xll.BDP(AI122,"DS032"))/360)*I122)*O122</f>
        <v>#VALUE!</v>
      </c>
      <c r="AP122" s="11" t="e">
        <f>IF(F122="USD",AO122,(((_xll.BDP(F122&amp;"USD CURNCY","PX_LAST")))*AO122))</f>
        <v>#VALUE!</v>
      </c>
      <c r="AQ122" s="13" t="e">
        <f t="shared" si="55"/>
        <v>#VALUE!</v>
      </c>
      <c r="AR122" s="11" t="e">
        <f t="shared" si="53"/>
        <v>#VALUE!</v>
      </c>
      <c r="AS122" s="10" t="str">
        <f>IF((TEXT(_xll.BDP(AI122,"MATURITY"),"DD/MM/YYYY")="#N/A Field Not Applicable"),"Perp",_xll.BDP(AI122,"DS252"))</f>
        <v>#N/A Connection</v>
      </c>
      <c r="AT122" s="15" t="str">
        <f>(IF(_xll.BDP($AI122&amp;" ISIN","DT247")="Y","Yes","No"))</f>
        <v>No</v>
      </c>
      <c r="AU122" s="15" t="str">
        <f>PROPER(IF(OR(_xll.BDP($AI122,"CPN_TYP")="#n/a N/A",_xll.BDP($AI122,"CPN_TYP")= "#N/A FIELD NOT APPLICABLE"), " ", _xll.BDP($AI122,"CPN_TYP")))</f>
        <v>#N/A Connection</v>
      </c>
      <c r="BG122" s="17" t="str">
        <f t="shared" si="45"/>
        <v>XS2885225966</v>
      </c>
      <c r="BH122" s="17">
        <v>0.67</v>
      </c>
      <c r="BI122" s="18" t="s">
        <v>147</v>
      </c>
      <c r="BJ122" s="19">
        <v>45541</v>
      </c>
      <c r="BK122" s="20">
        <v>1</v>
      </c>
    </row>
    <row r="123" spans="1:64" s="21" customFormat="1" ht="14.45" customHeight="1" x14ac:dyDescent="0.25">
      <c r="A123" s="49" t="s">
        <v>241</v>
      </c>
      <c r="B123" s="49" t="s">
        <v>270</v>
      </c>
      <c r="C123" s="49" t="s">
        <v>271</v>
      </c>
      <c r="D123" s="49" t="s">
        <v>240</v>
      </c>
      <c r="E123" s="4" t="str">
        <f>_xll.BDP(AI123,"ds520")</f>
        <v>#N/A Connection</v>
      </c>
      <c r="F123" s="4" t="str">
        <f>_xll.BDP(AI123,"crncy")</f>
        <v>#N/A Connection</v>
      </c>
      <c r="G123" s="5" t="s">
        <v>216</v>
      </c>
      <c r="H123" s="4" t="str">
        <f>IF(_xll.BDP(AI123,"RTG_MOODY")="#N/A N/A","N/A",_xll.BDP(AI123,"RTG_MOODY"))&amp;","&amp;IF(_xll.BDP(AI123,"RTG_FITCH")="#N/A N/A","N/A",_xll.BDP(AI123,"RTG_FITCH"))&amp;","&amp;IF(_xll.BDP(AI123,"RTG_SP")="#N/A N/A","N/A",_xll.BDP(AI123,"RTG_SP"))</f>
        <v>#N/A Connection,#N/A Connection,#N/A Connection</v>
      </c>
      <c r="I123" s="7" t="e">
        <f>_xll.BDP(AI123,"cpn")/100</f>
        <v>#VALUE!</v>
      </c>
      <c r="J123" s="7" t="e">
        <f ca="1">_xll.BDP($G123&amp;" isin","YAS_BOND_YLD", "YAS_YLD_FLAG=15", "user_local_trade_date",AN123,"Yas_bond_px",$Q123)/100</f>
        <v>#VALUE!</v>
      </c>
      <c r="K123" s="4" t="str">
        <f>_xll.BDP(AI123,"PAYMENT_RANK")</f>
        <v>#N/A Connection</v>
      </c>
      <c r="L123" s="4" t="str">
        <f>IF((TEXT(_xll.BDP(AI123,"MATURITY"),"DD/MM/YYYY")="#N/A Field Not Applicable"),"Perp",TEXT(_xll.BDP(AI123,"MATURITY"),"DD/MM/YYYY"))</f>
        <v>#N/A Connection</v>
      </c>
      <c r="M123" s="8" t="str">
        <f>(IF(_xll.BDP($AI123&amp;" ISIN","DU003")="#n/a n/a"," ",_xll.BDP($AI123&amp;" ISIN","DU003")))</f>
        <v>#N/A Connection</v>
      </c>
      <c r="N123" s="4" t="str">
        <f>IF(_xll.BDP(AI123,"CALLABLE")="Y",_xll.BDP(AI123,"NXT_CALL_DT")," ")</f>
        <v xml:space="preserve"> </v>
      </c>
      <c r="O123" s="9">
        <v>200000</v>
      </c>
      <c r="P123" s="5">
        <v>102.363</v>
      </c>
      <c r="Q123" s="10" t="str">
        <f>_xll.BDP(AI123,"px_bid")</f>
        <v>#N/A Connection</v>
      </c>
      <c r="R123" s="11" t="e">
        <f>IF(F123="USD",AG123,(((_xll.BDP(F123&amp;"USD CURNCY","PX_LAST")))*AG123))</f>
        <v>#VALUE!</v>
      </c>
      <c r="S123" s="11" t="e">
        <f>IF(F123="USD",AH123,(((_xll.BDP(F123&amp;"USD CURNCY","PX_LAST")))*AH123))+AP123</f>
        <v>#VALUE!</v>
      </c>
      <c r="T123" s="12" t="e">
        <f t="shared" si="46"/>
        <v>#VALUE!</v>
      </c>
      <c r="U123" s="13" t="e">
        <f t="shared" si="47"/>
        <v>#VALUE!</v>
      </c>
      <c r="V123" s="13" t="str" cm="1">
        <f t="array" ref="V123">IFERROR(_xll.BDP($G123&amp;" ISIN","CHG_PCT_1D")/100,"")</f>
        <v/>
      </c>
      <c r="W123" s="13" t="str" cm="1">
        <f t="array" ref="W123">IFERROR(_xll.BDP($G123&amp;" ISIN","CHG_PCT_5D")/100,"")</f>
        <v/>
      </c>
      <c r="X123" s="13" t="e" cm="1">
        <f t="array" ref="X123">_xll.BDP($G123&amp;" ISIN","CHG_PCT_1M")/100</f>
        <v>#VALUE!</v>
      </c>
      <c r="Y123" s="13" t="e" cm="1">
        <f t="array" ref="Y123">_xll.BDP($G123&amp;" ISIN","CHG_PCT_3M")/100</f>
        <v>#VALUE!</v>
      </c>
      <c r="Z123" s="13" t="e" cm="1">
        <f t="array" ref="Z123">_xll.BDP($G123&amp;" ISIN","CHG_PCT_6M")/100</f>
        <v>#VALUE!</v>
      </c>
      <c r="AA123" s="13" t="e" cm="1">
        <f t="array" ref="AA123">_xll.BDP($G123&amp;" ISIN","CHG_PCT_YTD")/100</f>
        <v>#VALUE!</v>
      </c>
      <c r="AB123" s="13" t="e">
        <f t="shared" si="54"/>
        <v>#VALUE!</v>
      </c>
      <c r="AC123" s="14" t="e">
        <f t="shared" ca="1" si="48"/>
        <v>#VALUE!</v>
      </c>
      <c r="AD123" s="4" t="str">
        <f>_xll.BDP(AI123,"DS199")</f>
        <v>#N/A Connection</v>
      </c>
      <c r="AE123" s="10" t="str">
        <f>_xll.BDP(AI123,"px_ask")</f>
        <v>#N/A Connection</v>
      </c>
      <c r="AF123" s="14" t="e">
        <f>IF(F123="USD",O123,(((_xll.BDP(F123&amp;"USD CURNCY","PX_LAST")))*O123))</f>
        <v>#VALUE!</v>
      </c>
      <c r="AG123" s="11">
        <f t="shared" si="49"/>
        <v>204726</v>
      </c>
      <c r="AH123" s="11" t="e">
        <f t="shared" si="50"/>
        <v>#VALUE!</v>
      </c>
      <c r="AI123" s="4" t="str">
        <f t="shared" si="51"/>
        <v>XS2821647364 ISIN</v>
      </c>
      <c r="AJ123" s="4" t="e" cm="1">
        <f t="array" ref="AJ123">VLOOKUP(IF(NOT(_xll.BDP($G123&amp;" CORP",$CA$5)="#N/A N/A"),(_xll.BDP($G123&amp;" CORP",$CA$5)),"-"), '[1]Country Codes'!$A$2:$B$253,2,0)</f>
        <v>#N/A</v>
      </c>
      <c r="AK123" s="4" t="str" cm="1">
        <f t="array" ref="AK123">IF(OR(_xll.BDP($AI123,"EX028")= "#N/A N/A", _xll.BDP($AI123,"EX028")="#N/A FIELD NOT APPLICABLE"), " ", _xll.BDP($AI123,"EX028"))</f>
        <v>#N/A Connection</v>
      </c>
      <c r="AL123" s="15" t="str">
        <f>(IF(_xll.BDP($AI123&amp;" ISIN","DZ282")="Y","Single line Bonds Cocos","Single line Bonds ex Cocos"))</f>
        <v>Single line Bonds ex Cocos</v>
      </c>
      <c r="AM123" s="8" t="str">
        <f>(IF(_xll.BDP($G123&amp;" ISIN","SP153")="#n/a n/a"," ",_xll.BDP($G123&amp;" ISIN","SP153")))</f>
        <v>#N/A Connection</v>
      </c>
      <c r="AN123" s="16">
        <f t="shared" ca="1" si="52"/>
        <v>45783</v>
      </c>
      <c r="AO123" s="11" t="e">
        <f>(((_xll.BDP(AI123,"DS032"))/360)*I123)*O123</f>
        <v>#VALUE!</v>
      </c>
      <c r="AP123" s="11" t="e">
        <f>IF(F123="USD",AO123,(((_xll.BDP(F123&amp;"USD CURNCY","PX_LAST")))*AO123))</f>
        <v>#VALUE!</v>
      </c>
      <c r="AQ123" s="13" t="e">
        <f t="shared" si="55"/>
        <v>#VALUE!</v>
      </c>
      <c r="AR123" s="11" t="e">
        <f t="shared" si="53"/>
        <v>#VALUE!</v>
      </c>
      <c r="AS123" s="10" t="str">
        <f>IF((TEXT(_xll.BDP(AI123,"MATURITY"),"DD/MM/YYYY")="#N/A Field Not Applicable"),"Perp",_xll.BDP(AI123,"DS252"))</f>
        <v>#N/A Connection</v>
      </c>
      <c r="AT123" s="15" t="str">
        <f>(IF(_xll.BDP($AI123&amp;" ISIN","DT247")="Y","Yes","No"))</f>
        <v>No</v>
      </c>
      <c r="AU123" s="15" t="str">
        <f>PROPER(IF(OR(_xll.BDP($AI123,"CPN_TYP")="#n/a N/A",_xll.BDP($AI123,"CPN_TYP")= "#N/A FIELD NOT APPLICABLE"), " ", _xll.BDP($AI123,"CPN_TYP")))</f>
        <v>#N/A Connection</v>
      </c>
      <c r="BG123" s="17" t="str">
        <f t="shared" si="45"/>
        <v>XS2821647364</v>
      </c>
      <c r="BH123" s="17">
        <v>0.72</v>
      </c>
      <c r="BI123" s="18">
        <v>4</v>
      </c>
      <c r="BJ123" s="19">
        <v>45559</v>
      </c>
      <c r="BK123" s="20">
        <v>1</v>
      </c>
    </row>
    <row r="124" spans="1:64" s="21" customFormat="1" ht="14.45" customHeight="1" x14ac:dyDescent="0.25">
      <c r="A124" s="49" t="s">
        <v>241</v>
      </c>
      <c r="B124" s="49" t="s">
        <v>270</v>
      </c>
      <c r="C124" s="49" t="s">
        <v>271</v>
      </c>
      <c r="D124" s="49" t="s">
        <v>240</v>
      </c>
      <c r="E124" s="4" t="str">
        <f>_xll.BDP(AI124,"ds520")</f>
        <v>#N/A Connection</v>
      </c>
      <c r="F124" s="4" t="str">
        <f>_xll.BDP(AI124,"crncy")</f>
        <v>#N/A Connection</v>
      </c>
      <c r="G124" s="5" t="s">
        <v>207</v>
      </c>
      <c r="H124" s="4" t="str">
        <f>IF(_xll.BDP(AI124,"RTG_MOODY")="#N/A N/A","N/A",_xll.BDP(AI124,"RTG_MOODY"))&amp;","&amp;IF(_xll.BDP(AI124,"RTG_FITCH")="#N/A N/A","N/A",_xll.BDP(AI124,"RTG_FITCH"))&amp;","&amp;IF(_xll.BDP(AI124,"RTG_SP")="#N/A N/A","N/A",_xll.BDP(AI124,"RTG_SP"))</f>
        <v>#N/A Connection,#N/A Connection,#N/A Connection</v>
      </c>
      <c r="I124" s="7" t="e">
        <f>_xll.BDP(AI124,"cpn")/100</f>
        <v>#VALUE!</v>
      </c>
      <c r="J124" s="7" t="e">
        <f ca="1">_xll.BDP($G124&amp;" isin","YAS_BOND_YLD", "YAS_YLD_FLAG=15", "user_local_trade_date",AN124,"Yas_bond_px",$Q124)/100</f>
        <v>#VALUE!</v>
      </c>
      <c r="K124" s="4" t="str">
        <f>_xll.BDP(AI124,"PAYMENT_RANK")</f>
        <v>#N/A Connection</v>
      </c>
      <c r="L124" s="4" t="str">
        <f>IF((TEXT(_xll.BDP(AI124,"MATURITY"),"DD/MM/YYYY")="#N/A Field Not Applicable"),"Perp",TEXT(_xll.BDP(AI124,"MATURITY"),"DD/MM/YYYY"))</f>
        <v>#N/A Connection</v>
      </c>
      <c r="M124" s="8" t="str">
        <f>(IF(_xll.BDP($AI124&amp;" ISIN","DU003")="#n/a n/a"," ",_xll.BDP($AI124&amp;" ISIN","DU003")))</f>
        <v>#N/A Connection</v>
      </c>
      <c r="N124" s="4" t="str">
        <f>IF(_xll.BDP(AI124,"CALLABLE")="Y",_xll.BDP(AI124,"NXT_CALL_DT")," ")</f>
        <v xml:space="preserve"> </v>
      </c>
      <c r="O124" s="9">
        <v>200000</v>
      </c>
      <c r="P124" s="5">
        <v>100.9</v>
      </c>
      <c r="Q124" s="10" t="str">
        <f>_xll.BDP(AI124,"px_bid")</f>
        <v>#N/A Connection</v>
      </c>
      <c r="R124" s="11" t="e">
        <f>IF(F124="USD",AG124,(((_xll.BDP(F124&amp;"USD CURNCY","PX_LAST")))*AG124))</f>
        <v>#VALUE!</v>
      </c>
      <c r="S124" s="11" t="e">
        <f>IF(F124="USD",AH124,(((_xll.BDP(F124&amp;"USD CURNCY","PX_LAST")))*AH124))+AP124</f>
        <v>#VALUE!</v>
      </c>
      <c r="T124" s="12" t="e">
        <f t="shared" si="46"/>
        <v>#VALUE!</v>
      </c>
      <c r="U124" s="13" t="e">
        <f t="shared" si="47"/>
        <v>#VALUE!</v>
      </c>
      <c r="V124" s="13" t="str" cm="1">
        <f t="array" ref="V124">IFERROR(_xll.BDP($G124&amp;" ISIN","CHG_PCT_1D")/100,"")</f>
        <v/>
      </c>
      <c r="W124" s="13" t="str" cm="1">
        <f t="array" ref="W124">IFERROR(_xll.BDP($G124&amp;" ISIN","CHG_PCT_5D")/100,"")</f>
        <v/>
      </c>
      <c r="X124" s="13" t="e" cm="1">
        <f t="array" ref="X124">_xll.BDP($G124&amp;" ISIN","CHG_PCT_1M")/100</f>
        <v>#VALUE!</v>
      </c>
      <c r="Y124" s="13" t="e" cm="1">
        <f t="array" ref="Y124">_xll.BDP($G124&amp;" ISIN","CHG_PCT_3M")/100</f>
        <v>#VALUE!</v>
      </c>
      <c r="Z124" s="13" t="e" cm="1">
        <f t="array" ref="Z124">_xll.BDP($G124&amp;" ISIN","CHG_PCT_6M")/100</f>
        <v>#VALUE!</v>
      </c>
      <c r="AA124" s="13" t="e" cm="1">
        <f t="array" ref="AA124">_xll.BDP($G124&amp;" ISIN","CHG_PCT_YTD")/100</f>
        <v>#VALUE!</v>
      </c>
      <c r="AB124" s="13" t="e">
        <f t="shared" si="54"/>
        <v>#VALUE!</v>
      </c>
      <c r="AC124" s="14" t="e">
        <f t="shared" ca="1" si="48"/>
        <v>#VALUE!</v>
      </c>
      <c r="AD124" s="4" t="str">
        <f>_xll.BDP(AI124,"DS199")</f>
        <v>#N/A Connection</v>
      </c>
      <c r="AE124" s="10" t="str">
        <f>_xll.BDP(AI124,"px_ask")</f>
        <v>#N/A Connection</v>
      </c>
      <c r="AF124" s="14" t="e">
        <f>IF(F124="USD",O124,(((_xll.BDP(F124&amp;"USD CURNCY","PX_LAST")))*O124))</f>
        <v>#VALUE!</v>
      </c>
      <c r="AG124" s="11">
        <f t="shared" si="49"/>
        <v>201800</v>
      </c>
      <c r="AH124" s="11" t="e">
        <f t="shared" si="50"/>
        <v>#VALUE!</v>
      </c>
      <c r="AI124" s="4" t="str">
        <f t="shared" si="51"/>
        <v>USF1067PAG12 ISIN</v>
      </c>
      <c r="AJ124" s="4" t="e" cm="1">
        <f t="array" ref="AJ124">VLOOKUP(IF(NOT(_xll.BDP($G124&amp;" CORP",$CA$5)="#N/A N/A"),(_xll.BDP($G124&amp;" CORP",$CA$5)),"-"), '[1]Country Codes'!$A$2:$B$253,2,0)</f>
        <v>#N/A</v>
      </c>
      <c r="AK124" s="4" t="str" cm="1">
        <f t="array" ref="AK124">IF(OR(_xll.BDP($AI124,"EX028")= "#N/A N/A", _xll.BDP($AI124,"EX028")="#N/A FIELD NOT APPLICABLE"), " ", _xll.BDP($AI124,"EX028"))</f>
        <v>#N/A Connection</v>
      </c>
      <c r="AL124" s="15" t="str">
        <f>(IF(_xll.BDP($AI124&amp;" ISIN","DZ282")="Y","Single line Bonds Cocos","Single line Bonds ex Cocos"))</f>
        <v>Single line Bonds ex Cocos</v>
      </c>
      <c r="AM124" s="8" t="str">
        <f>(IF(_xll.BDP($G124&amp;" ISIN","SP153")="#n/a n/a"," ",_xll.BDP($G124&amp;" ISIN","SP153")))</f>
        <v>#N/A Connection</v>
      </c>
      <c r="AN124" s="16">
        <f t="shared" ca="1" si="52"/>
        <v>45783</v>
      </c>
      <c r="AO124" s="11" t="e">
        <f>(((_xll.BDP(AI124,"DS032"))/360)*I124)*O124</f>
        <v>#VALUE!</v>
      </c>
      <c r="AP124" s="11" t="e">
        <f>IF(F124="USD",AO124,(((_xll.BDP(F124&amp;"USD CURNCY","PX_LAST")))*AO124))</f>
        <v>#VALUE!</v>
      </c>
      <c r="AQ124" s="13" t="e">
        <f t="shared" si="55"/>
        <v>#VALUE!</v>
      </c>
      <c r="AR124" s="11" t="e">
        <f t="shared" si="53"/>
        <v>#VALUE!</v>
      </c>
      <c r="AS124" s="10" t="str">
        <f>IF((TEXT(_xll.BDP(AI124,"MATURITY"),"DD/MM/YYYY")="#N/A Field Not Applicable"),"Perp",_xll.BDP(AI124,"DS252"))</f>
        <v>#N/A Connection</v>
      </c>
      <c r="AT124" s="15" t="str">
        <f>(IF(_xll.BDP($AI124&amp;" ISIN","DT247")="Y","Yes","No"))</f>
        <v>No</v>
      </c>
      <c r="AU124" s="15" t="str">
        <f>PROPER(IF(OR(_xll.BDP($AI124,"CPN_TYP")="#n/a N/A",_xll.BDP($AI124,"CPN_TYP")= "#N/A FIELD NOT APPLICABLE"), " ", _xll.BDP($AI124,"CPN_TYP")))</f>
        <v>#N/A Connection</v>
      </c>
      <c r="BG124" s="17" t="str">
        <f t="shared" si="45"/>
        <v>USF1067PAG12</v>
      </c>
      <c r="BH124" s="17">
        <v>0.56999999999999995</v>
      </c>
      <c r="BI124" s="18">
        <v>5</v>
      </c>
      <c r="BJ124" s="19">
        <v>45539</v>
      </c>
      <c r="BK124" s="20">
        <v>1</v>
      </c>
    </row>
    <row r="125" spans="1:64" s="101" customFormat="1" ht="14.45" customHeight="1" x14ac:dyDescent="0.25">
      <c r="A125" s="114" t="s">
        <v>241</v>
      </c>
      <c r="B125" s="114" t="s">
        <v>272</v>
      </c>
      <c r="C125" s="114">
        <v>2620061.0010000002</v>
      </c>
      <c r="D125" s="114" t="s">
        <v>240</v>
      </c>
      <c r="E125" s="115" t="str">
        <f>_xll.BDP(AI125,"ds520")</f>
        <v>#N/A Connection</v>
      </c>
      <c r="F125" s="115" t="str">
        <f>_xll.BDP(AI125,"crncy")</f>
        <v>#N/A Connection</v>
      </c>
      <c r="G125" s="115" t="s">
        <v>44</v>
      </c>
      <c r="H125" s="115" t="str">
        <f>IF(_xll.BDP(AI125,"RTG_MOODY")="#N/A N/A","N/A",_xll.BDP(AI125,"RTG_MOODY"))&amp;","&amp;IF(_xll.BDP(AI125,"RTG_FITCH")="#N/A N/A","N/A",_xll.BDP(AI125,"RTG_FITCH"))&amp;","&amp;IF(_xll.BDP(AI125,"RTG_SP")="#N/A N/A","N/A",_xll.BDP(AI125,"RTG_SP"))</f>
        <v>#N/A Connection,#N/A Connection,#N/A Connection</v>
      </c>
      <c r="I125" s="116" t="e">
        <f>_xll.BDP(AI125,"cpn")/100</f>
        <v>#VALUE!</v>
      </c>
      <c r="J125" s="116" t="e">
        <f ca="1">_xll.BDP($G125&amp;" isin","YAS_BOND_YLD", "YAS_YLD_FLAG=15", "user_local_trade_date",AN125,"Yas_bond_px",$Q125)/100</f>
        <v>#VALUE!</v>
      </c>
      <c r="K125" s="115" t="str">
        <f>_xll.BDP(AI125,"PAYMENT_RANK")</f>
        <v>#N/A Connection</v>
      </c>
      <c r="L125" s="115" t="str">
        <f>IF((TEXT(_xll.BDP(AI125,"MATURITY"),"DD/MM/YYYY")="#N/A Field Not Applicable"),"Perp",TEXT(_xll.BDP(AI125,"MATURITY"),"DD/MM/YYYY"))</f>
        <v>#N/A Connection</v>
      </c>
      <c r="M125" s="117" t="str">
        <f>(IF(_xll.BDP($AI125&amp;" ISIN","DU003")="#n/a n/a"," ",_xll.BDP($AI125&amp;" ISIN","DU003")))</f>
        <v>#N/A Connection</v>
      </c>
      <c r="N125" s="115" t="str">
        <f>IF(_xll.BDP(AI125,"CALLABLE")="Y",_xll.BDP(AI125,"NXT_CALL_DT")," ")</f>
        <v xml:space="preserve"> </v>
      </c>
      <c r="O125" s="118">
        <v>191826</v>
      </c>
      <c r="P125" s="115">
        <v>31.67953</v>
      </c>
      <c r="Q125" s="119" t="str">
        <f>_xll.BDP(AI125,"px_bid")</f>
        <v>#N/A Connection</v>
      </c>
      <c r="R125" s="120" t="e">
        <f>IF(F125="USD",AG125,(((_xll.BDP(F125&amp;"USD CURNCY","PX_LAST")))*AG125))</f>
        <v>#VALUE!</v>
      </c>
      <c r="S125" s="120" t="e">
        <f>IF(F125="USD",AH125,(((_xll.BDP(F125&amp;"USD CURNCY","PX_LAST")))*AH125))+AP125</f>
        <v>#VALUE!</v>
      </c>
      <c r="T125" s="121" t="e">
        <f t="shared" si="46"/>
        <v>#VALUE!</v>
      </c>
      <c r="U125" s="122" t="e">
        <f t="shared" si="47"/>
        <v>#VALUE!</v>
      </c>
      <c r="V125" s="122" t="str" cm="1">
        <f t="array" ref="V125">IFERROR(_xll.BDP($G125&amp;" ISIN","CHG_PCT_1D")/100,"")</f>
        <v/>
      </c>
      <c r="W125" s="122" t="str" cm="1">
        <f t="array" ref="W125">IFERROR(_xll.BDP($G125&amp;" ISIN","CHG_PCT_5D")/100,"")</f>
        <v/>
      </c>
      <c r="X125" s="122" t="e" cm="1">
        <f t="array" ref="X125">_xll.BDP($G125&amp;" ISIN","CHG_PCT_1M")/100</f>
        <v>#VALUE!</v>
      </c>
      <c r="Y125" s="122" t="e" cm="1">
        <f t="array" ref="Y125">_xll.BDP($G125&amp;" ISIN","CHG_PCT_3M")/100</f>
        <v>#VALUE!</v>
      </c>
      <c r="Z125" s="122" t="e" cm="1">
        <f t="array" ref="Z125">_xll.BDP($G125&amp;" ISIN","CHG_PCT_6M")/100</f>
        <v>#VALUE!</v>
      </c>
      <c r="AA125" s="13" t="e" cm="1">
        <f t="array" ref="AA125">_xll.BDP($G125&amp;" ISIN","CHG_PCT_YTD")/100</f>
        <v>#VALUE!</v>
      </c>
      <c r="AB125" s="13" t="e">
        <f t="shared" si="54"/>
        <v>#VALUE!</v>
      </c>
      <c r="AC125" s="118" t="e">
        <f t="shared" ca="1" si="48"/>
        <v>#VALUE!</v>
      </c>
      <c r="AD125" s="115" t="str">
        <f>_xll.BDP(AI125,"DS199")</f>
        <v>#N/A Connection</v>
      </c>
      <c r="AE125" s="119" t="str">
        <f>_xll.BDP(AI125,"px_ask")</f>
        <v>#N/A Connection</v>
      </c>
      <c r="AF125" s="118" t="e">
        <f>IF(F125="USD",O125,(((_xll.BDP(F125&amp;"USD CURNCY","PX_LAST")))*O125))</f>
        <v>#VALUE!</v>
      </c>
      <c r="AG125" s="120">
        <f t="shared" si="49"/>
        <v>60769.575217800004</v>
      </c>
      <c r="AH125" s="120" t="e">
        <f t="shared" si="50"/>
        <v>#VALUE!</v>
      </c>
      <c r="AI125" s="115" t="str">
        <f t="shared" si="51"/>
        <v>GB00BMBL1D50 ISIN</v>
      </c>
      <c r="AJ125" s="115" t="e" cm="1">
        <f t="array" ref="AJ125">VLOOKUP(IF(NOT(_xll.BDP($G125&amp;" CORP",$CA$5)="#N/A N/A"),(_xll.BDP($G125&amp;" CORP",$CA$5)),"-"), '[1]Country Codes'!$A$2:$B$253,2,0)</f>
        <v>#N/A</v>
      </c>
      <c r="AK125" s="115" t="str" cm="1">
        <f t="array" ref="AK125">IF(OR(_xll.BDP($AI125,"EX028")= "#N/A N/A", _xll.BDP($AI125,"EX028")="#N/A FIELD NOT APPLICABLE"), " ", _xll.BDP($AI125,"EX028"))</f>
        <v>#N/A Connection</v>
      </c>
      <c r="AL125" s="116" t="str">
        <f>(IF(_xll.BDP($AI125&amp;" ISIN","DZ282")="Y","Single line Bonds Cocos","Single line Bonds ex Cocos"))</f>
        <v>Single line Bonds ex Cocos</v>
      </c>
      <c r="AM125" s="117" t="str">
        <f>(IF(_xll.BDP($G125&amp;" ISIN","SP153")="#n/a n/a"," ",_xll.BDP($G125&amp;" ISIN","SP153")))</f>
        <v>#N/A Connection</v>
      </c>
      <c r="AN125" s="123">
        <f t="shared" ca="1" si="52"/>
        <v>45783</v>
      </c>
      <c r="AO125" s="120" t="e">
        <f>(((_xll.BDP(AI125,"DS032"))/365)*I125)*O125</f>
        <v>#VALUE!</v>
      </c>
      <c r="AP125" s="120" t="e">
        <f>IF(F125="USD",AO125,(((_xll.BDP(F125&amp;"USD CURNCY","PX_LAST")))*AO125))</f>
        <v>#VALUE!</v>
      </c>
      <c r="AQ125" s="122" t="e">
        <f t="shared" ref="AQ125:AQ138" si="56">S125/$S$115</f>
        <v>#VALUE!</v>
      </c>
      <c r="AR125" s="120" t="e">
        <f t="shared" si="53"/>
        <v>#VALUE!</v>
      </c>
      <c r="AS125" s="119" t="str">
        <f>IF((TEXT(_xll.BDP(AI125,"MATURITY"),"DD/MM/YYYY")="#N/A Field Not Applicable"),"Perp",_xll.BDP(AI125,"DS252"))</f>
        <v>#N/A Connection</v>
      </c>
      <c r="AT125" s="116" t="str">
        <f>(IF(_xll.BDP($AI125&amp;" ISIN","DT247")="Y","Yes","No"))</f>
        <v>No</v>
      </c>
      <c r="AU125" s="116" t="str">
        <f>PROPER(IF(OR(_xll.BDP($AI125,"CPN_TYP")="#n/a N/A",_xll.BDP($AI125,"CPN_TYP")= "#N/A FIELD NOT APPLICABLE"), " ", _xll.BDP($AI125,"CPN_TYP")))</f>
        <v>#N/A Connection</v>
      </c>
      <c r="AV125" s="124"/>
      <c r="AW125" s="124"/>
      <c r="AX125" s="124"/>
      <c r="AY125" s="124"/>
      <c r="AZ125" s="124"/>
      <c r="BA125" s="124"/>
      <c r="BB125" s="124"/>
      <c r="BC125" s="124"/>
      <c r="BD125" s="124"/>
      <c r="BE125" s="124"/>
      <c r="BF125" s="124"/>
      <c r="BG125" s="116" t="str">
        <f t="shared" si="45"/>
        <v>GB00BMBL1D50</v>
      </c>
      <c r="BH125" s="116">
        <v>0.82</v>
      </c>
      <c r="BI125" s="125">
        <v>2</v>
      </c>
      <c r="BJ125" s="123">
        <v>45509</v>
      </c>
      <c r="BK125" s="126">
        <v>1</v>
      </c>
      <c r="BL125" s="124"/>
    </row>
    <row r="126" spans="1:64" s="21" customFormat="1" ht="14.45" customHeight="1" x14ac:dyDescent="0.25">
      <c r="A126" s="81" t="s">
        <v>241</v>
      </c>
      <c r="B126" s="81" t="s">
        <v>272</v>
      </c>
      <c r="C126" s="81">
        <v>2620061.0010000002</v>
      </c>
      <c r="D126" s="81" t="s">
        <v>240</v>
      </c>
      <c r="E126" s="88" t="str">
        <f>_xll.BDP(AI126,"ds520")</f>
        <v>#N/A Connection</v>
      </c>
      <c r="F126" s="88" t="str">
        <f>_xll.BDP(AI126,"crncy")</f>
        <v>#N/A Connection</v>
      </c>
      <c r="G126" s="88" t="s">
        <v>231</v>
      </c>
      <c r="H126" s="88" t="str">
        <f>IF(_xll.BDP(AI126,"RTG_MOODY")="#N/A N/A","N/A",_xll.BDP(AI126,"RTG_MOODY"))&amp;","&amp;IF(_xll.BDP(AI126,"RTG_FITCH")="#N/A N/A","N/A",_xll.BDP(AI126,"RTG_FITCH"))&amp;","&amp;IF(_xll.BDP(AI126,"RTG_SP")="#N/A N/A","N/A",_xll.BDP(AI126,"RTG_SP"))</f>
        <v>#N/A Connection,#N/A Connection,#N/A Connection</v>
      </c>
      <c r="I126" s="38" t="e">
        <f>_xll.BDP(AI126,"cpn")/100</f>
        <v>#VALUE!</v>
      </c>
      <c r="J126" s="38" t="e">
        <f ca="1">_xll.BDP($G126&amp;" isin","YAS_BOND_YLD", "YAS_YLD_FLAG=15", "user_local_trade_date",AN126,"Yas_bond_px",$Q126)/100</f>
        <v>#VALUE!</v>
      </c>
      <c r="K126" s="88" t="str">
        <f>_xll.BDP(AI126,"PAYMENT_RANK")</f>
        <v>#N/A Connection</v>
      </c>
      <c r="L126" s="88" t="str">
        <f>IF((TEXT(_xll.BDP(AI126,"MATURITY"),"DD/MM/YYYY")="#N/A Field Not Applicable"),"Perp",TEXT(_xll.BDP(AI126,"MATURITY"),"DD/MM/YYYY"))</f>
        <v>#N/A Connection</v>
      </c>
      <c r="M126" s="97" t="str">
        <f>(IF(_xll.BDP($AI126&amp;" ISIN","DU003")="#n/a n/a"," ",_xll.BDP($AI126&amp;" ISIN","DU003")))</f>
        <v>#N/A Connection</v>
      </c>
      <c r="N126" s="88" t="str">
        <f>IF(_xll.BDP(AI126,"CALLABLE")="Y",_xll.BDP(AI126,"NXT_CALL_DT")," ")</f>
        <v xml:space="preserve"> </v>
      </c>
      <c r="O126" s="98">
        <v>200000</v>
      </c>
      <c r="P126" s="88">
        <v>108.922</v>
      </c>
      <c r="Q126" s="99" t="str">
        <f>_xll.BDP(AI126,"px_bid")</f>
        <v>#N/A Connection</v>
      </c>
      <c r="R126" s="100" t="e">
        <f>IF(F126="USD",AG126,(((_xll.BDP(F126&amp;"USD CURNCY","PX_LAST")))*AG126))</f>
        <v>#VALUE!</v>
      </c>
      <c r="S126" s="100" t="e">
        <f>IF(F126="USD",AH126,(((_xll.BDP(F126&amp;"USD CURNCY","PX_LAST")))*AH126))+AP126</f>
        <v>#VALUE!</v>
      </c>
      <c r="T126" s="86" t="e">
        <f t="shared" si="46"/>
        <v>#VALUE!</v>
      </c>
      <c r="U126" s="87" t="e">
        <f t="shared" si="47"/>
        <v>#VALUE!</v>
      </c>
      <c r="V126" s="87" t="str" cm="1">
        <f t="array" ref="V126">IFERROR(_xll.BDP($G126&amp;" ISIN","CHG_PCT_1D")/100,"")</f>
        <v/>
      </c>
      <c r="W126" s="87" t="str" cm="1">
        <f t="array" ref="W126">IFERROR(_xll.BDP($G126&amp;" ISIN","CHG_PCT_5D")/100,"")</f>
        <v/>
      </c>
      <c r="X126" s="87" t="e" cm="1">
        <f t="array" ref="X126">_xll.BDP($G126&amp;" ISIN","CHG_PCT_1M")/100</f>
        <v>#VALUE!</v>
      </c>
      <c r="Y126" s="87" t="e" cm="1">
        <f t="array" ref="Y126">_xll.BDP($G126&amp;" ISIN","CHG_PCT_3M")/100</f>
        <v>#VALUE!</v>
      </c>
      <c r="Z126" s="87" t="e" cm="1">
        <f t="array" ref="Z126">_xll.BDP($G126&amp;" ISIN","CHG_PCT_6M")/100</f>
        <v>#VALUE!</v>
      </c>
      <c r="AA126" s="87" t="e" cm="1">
        <f t="array" ref="AA126">_xll.BDP($G126&amp;" ISIN","CHG_PCT_YTD")/100</f>
        <v>#VALUE!</v>
      </c>
      <c r="AB126" s="87" t="e">
        <f t="shared" si="54"/>
        <v>#VALUE!</v>
      </c>
      <c r="AC126" s="98" t="e">
        <f t="shared" ca="1" si="48"/>
        <v>#VALUE!</v>
      </c>
      <c r="AD126" s="88" t="str">
        <f>_xll.BDP(AI126,"DS199")</f>
        <v>#N/A Connection</v>
      </c>
      <c r="AE126" s="99" t="str">
        <f>_xll.BDP(AI126,"px_ask")</f>
        <v>#N/A Connection</v>
      </c>
      <c r="AF126" s="98" t="e">
        <f>IF(F126="USD",O126,(((_xll.BDP(F126&amp;"USD CURNCY","PX_LAST")))*O126))</f>
        <v>#VALUE!</v>
      </c>
      <c r="AG126" s="100">
        <f t="shared" si="49"/>
        <v>217844</v>
      </c>
      <c r="AH126" s="100" t="e">
        <f t="shared" si="50"/>
        <v>#VALUE!</v>
      </c>
      <c r="AI126" s="88" t="str">
        <f t="shared" si="51"/>
        <v>US054989AC24 ISIN</v>
      </c>
      <c r="AJ126" s="88" t="e" cm="1">
        <f t="array" ref="AJ126">VLOOKUP(IF(NOT(_xll.BDP($G126&amp;" CORP",$CA$5)="#N/A N/A"),(_xll.BDP($G126&amp;" CORP",$CA$5)),"-"), '[1]Country Codes'!$A$2:$B$253,2,0)</f>
        <v>#N/A</v>
      </c>
      <c r="AK126" s="88" t="str" cm="1">
        <f t="array" ref="AK126">IF(OR(_xll.BDP($AI126,"EX028")= "#N/A N/A", _xll.BDP($AI126,"EX028")="#N/A FIELD NOT APPLICABLE"), " ", _xll.BDP($AI126,"EX028"))</f>
        <v>#N/A Connection</v>
      </c>
      <c r="AL126" s="38" t="str">
        <f>(IF(_xll.BDP($AI126&amp;" ISIN","DZ282")="Y","Single line Bonds Cocos","Single line Bonds ex Cocos"))</f>
        <v>Single line Bonds ex Cocos</v>
      </c>
      <c r="AM126" s="97" t="str">
        <f>(IF(_xll.BDP($G126&amp;" ISIN","SP153")="#n/a n/a"," ",_xll.BDP($G126&amp;" ISIN","SP153")))</f>
        <v>#N/A Connection</v>
      </c>
      <c r="AN126" s="95">
        <f t="shared" ca="1" si="52"/>
        <v>45783</v>
      </c>
      <c r="AO126" s="100" t="e">
        <f>(((_xll.BDP(AI126,"DS032"))/365)*I126)*O126</f>
        <v>#VALUE!</v>
      </c>
      <c r="AP126" s="100" t="e">
        <f>IF(F126="USD",AO126,(((_xll.BDP(F126&amp;"USD CURNCY","PX_LAST")))*AO126))</f>
        <v>#VALUE!</v>
      </c>
      <c r="AQ126" s="87" t="e">
        <f t="shared" si="56"/>
        <v>#VALUE!</v>
      </c>
      <c r="AR126" s="100" t="e">
        <f t="shared" si="53"/>
        <v>#VALUE!</v>
      </c>
      <c r="AS126" s="99" t="str">
        <f>IF((TEXT(_xll.BDP(AI126,"MATURITY"),"DD/MM/YYYY")="#N/A Field Not Applicable"),"Perp",_xll.BDP(AI126,"DS252"))</f>
        <v>#N/A Connection</v>
      </c>
      <c r="AT126" s="38" t="str">
        <f>(IF(_xll.BDP($AI126&amp;" ISIN","DT247")="Y","Yes","No"))</f>
        <v>No</v>
      </c>
      <c r="AU126" s="38" t="str">
        <f>PROPER(IF(OR(_xll.BDP($AI126,"CPN_TYP")="#n/a N/A",_xll.BDP($AI126,"CPN_TYP")= "#N/A FIELD NOT APPLICABLE"), " ", _xll.BDP($AI126,"CPN_TYP")))</f>
        <v>#N/A Connection</v>
      </c>
      <c r="AV126" s="101"/>
      <c r="AW126" s="101"/>
      <c r="AX126" s="101"/>
      <c r="AY126" s="101"/>
      <c r="AZ126" s="101"/>
      <c r="BA126" s="101"/>
      <c r="BB126" s="101"/>
      <c r="BC126" s="101"/>
      <c r="BD126" s="101"/>
      <c r="BE126" s="101"/>
      <c r="BF126" s="101"/>
      <c r="BG126" s="38" t="str">
        <f t="shared" si="45"/>
        <v>US054989AC24</v>
      </c>
      <c r="BH126" s="38">
        <v>0.72</v>
      </c>
      <c r="BI126" s="94">
        <v>3</v>
      </c>
      <c r="BJ126" s="95">
        <v>45491</v>
      </c>
      <c r="BK126" s="96">
        <v>1</v>
      </c>
      <c r="BL126" s="101"/>
    </row>
    <row r="127" spans="1:64" s="21" customFormat="1" ht="14.45" customHeight="1" x14ac:dyDescent="0.25">
      <c r="A127" s="49" t="s">
        <v>241</v>
      </c>
      <c r="B127" s="49" t="s">
        <v>272</v>
      </c>
      <c r="C127" s="49">
        <v>2620061.0010000002</v>
      </c>
      <c r="D127" s="49" t="s">
        <v>240</v>
      </c>
      <c r="E127" s="4" t="str">
        <f>_xll.BDP(AI127,"ds520")</f>
        <v>#N/A Connection</v>
      </c>
      <c r="F127" s="4" t="str">
        <f>_xll.BDP(AI127,"crncy")</f>
        <v>#N/A Connection</v>
      </c>
      <c r="G127" s="5" t="s">
        <v>232</v>
      </c>
      <c r="H127" s="4" t="str">
        <f>IF(_xll.BDP(AI127,"RTG_MOODY")="#N/A N/A","N/A",_xll.BDP(AI127,"RTG_MOODY"))&amp;","&amp;IF(_xll.BDP(AI127,"RTG_FITCH")="#N/A N/A","N/A",_xll.BDP(AI127,"RTG_FITCH"))&amp;","&amp;IF(_xll.BDP(AI127,"RTG_SP")="#N/A N/A","N/A",_xll.BDP(AI127,"RTG_SP"))</f>
        <v>#N/A Connection,#N/A Connection,#N/A Connection</v>
      </c>
      <c r="I127" s="7" t="e">
        <f>_xll.BDP(AI127,"cpn")/100</f>
        <v>#VALUE!</v>
      </c>
      <c r="J127" s="7" t="e">
        <f ca="1">_xll.BDP($G127&amp;" isin","YAS_BOND_YLD", "YAS_YLD_FLAG=15", "user_local_trade_date",AN127,"Yas_bond_px",$Q127)/100</f>
        <v>#VALUE!</v>
      </c>
      <c r="K127" s="4" t="str">
        <f>_xll.BDP(AI127,"PAYMENT_RANK")</f>
        <v>#N/A Connection</v>
      </c>
      <c r="L127" s="4" t="str">
        <f>IF((TEXT(_xll.BDP(AI127,"MATURITY"),"DD/MM/YYYY")="#N/A Field Not Applicable"),"Perp",TEXT(_xll.BDP(AI127,"MATURITY"),"DD/MM/YYYY"))</f>
        <v>#N/A Connection</v>
      </c>
      <c r="M127" s="8" t="str">
        <f>(IF(_xll.BDP($AI127&amp;" ISIN","DU003")="#n/a n/a"," ",_xll.BDP($AI127&amp;" ISIN","DU003")))</f>
        <v>#N/A Connection</v>
      </c>
      <c r="N127" s="4" t="str">
        <f>IF(_xll.BDP(AI127,"CALLABLE")="Y",_xll.BDP(AI127,"NXT_CALL_DT")," ")</f>
        <v xml:space="preserve"> </v>
      </c>
      <c r="O127" s="9">
        <v>200000</v>
      </c>
      <c r="P127" s="5">
        <v>103.84</v>
      </c>
      <c r="Q127" s="10" t="str">
        <f>_xll.BDP(AI127,"px_bid")</f>
        <v>#N/A Connection</v>
      </c>
      <c r="R127" s="11" t="e">
        <f>IF(F127="USD",AG127,(((_xll.BDP(F127&amp;"USD CURNCY","PX_LAST")))*AG127))</f>
        <v>#VALUE!</v>
      </c>
      <c r="S127" s="11" t="e">
        <f>IF(F127="USD",AH127,(((_xll.BDP(F127&amp;"USD CURNCY","PX_LAST")))*AH127))+AP127</f>
        <v>#VALUE!</v>
      </c>
      <c r="T127" s="12" t="e">
        <f t="shared" si="46"/>
        <v>#VALUE!</v>
      </c>
      <c r="U127" s="13" t="e">
        <f t="shared" si="47"/>
        <v>#VALUE!</v>
      </c>
      <c r="V127" s="13" t="str" cm="1">
        <f t="array" ref="V127">IFERROR(_xll.BDP($G127&amp;" ISIN","CHG_PCT_1D")/100,"")</f>
        <v/>
      </c>
      <c r="W127" s="13" t="str" cm="1">
        <f t="array" ref="W127">IFERROR(_xll.BDP($G127&amp;" ISIN","CHG_PCT_5D")/100,"")</f>
        <v/>
      </c>
      <c r="X127" s="13" t="e" cm="1">
        <f t="array" ref="X127">_xll.BDP($G127&amp;" ISIN","CHG_PCT_1M")/100</f>
        <v>#VALUE!</v>
      </c>
      <c r="Y127" s="13" t="e" cm="1">
        <f t="array" ref="Y127">_xll.BDP($G127&amp;" ISIN","CHG_PCT_3M")/100</f>
        <v>#VALUE!</v>
      </c>
      <c r="Z127" s="13" t="e" cm="1">
        <f t="array" ref="Z127">_xll.BDP($G127&amp;" ISIN","CHG_PCT_6M")/100</f>
        <v>#VALUE!</v>
      </c>
      <c r="AA127" s="13" t="e" cm="1">
        <f t="array" ref="AA127">_xll.BDP($G127&amp;" ISIN","CHG_PCT_YTD")/100</f>
        <v>#VALUE!</v>
      </c>
      <c r="AB127" s="13" t="e">
        <f t="shared" si="54"/>
        <v>#VALUE!</v>
      </c>
      <c r="AC127" s="14" t="e">
        <f t="shared" ca="1" si="48"/>
        <v>#VALUE!</v>
      </c>
      <c r="AD127" s="4" t="str">
        <f>_xll.BDP(AI127,"DS199")</f>
        <v>#N/A Connection</v>
      </c>
      <c r="AE127" s="10" t="str">
        <f>_xll.BDP(AI127,"px_ask")</f>
        <v>#N/A Connection</v>
      </c>
      <c r="AF127" s="14" t="e">
        <f>IF(F127="USD",O127,(((_xll.BDP(F127&amp;"USD CURNCY","PX_LAST")))*O127))</f>
        <v>#VALUE!</v>
      </c>
      <c r="AG127" s="11">
        <f t="shared" si="49"/>
        <v>207680</v>
      </c>
      <c r="AH127" s="11" t="e">
        <f t="shared" si="50"/>
        <v>#VALUE!</v>
      </c>
      <c r="AI127" s="4" t="str">
        <f t="shared" si="51"/>
        <v>US404280CN71 ISIN</v>
      </c>
      <c r="AJ127" s="4" t="e" cm="1">
        <f t="array" ref="AJ127">VLOOKUP(IF(NOT(_xll.BDP($G127&amp;" CORP",$CA$5)="#N/A N/A"),(_xll.BDP($G127&amp;" CORP",$CA$5)),"-"), '[1]Country Codes'!$A$2:$B$253,2,0)</f>
        <v>#N/A</v>
      </c>
      <c r="AK127" s="4" t="str" cm="1">
        <f t="array" ref="AK127">IF(OR(_xll.BDP($AI127,"EX028")= "#N/A N/A", _xll.BDP($AI127,"EX028")="#N/A FIELD NOT APPLICABLE"), " ", _xll.BDP($AI127,"EX028"))</f>
        <v>#N/A Connection</v>
      </c>
      <c r="AL127" s="15" t="str">
        <f>(IF(_xll.BDP($AI127&amp;" ISIN","DZ282")="Y","Single line Bonds Cocos","Single line Bonds ex Cocos"))</f>
        <v>Single line Bonds ex Cocos</v>
      </c>
      <c r="AM127" s="8" t="str">
        <f>(IF(_xll.BDP($G127&amp;" ISIN","SP153")="#n/a n/a"," ",_xll.BDP($G127&amp;" ISIN","SP153")))</f>
        <v>#N/A Connection</v>
      </c>
      <c r="AN127" s="16">
        <f t="shared" ca="1" si="52"/>
        <v>45783</v>
      </c>
      <c r="AO127" s="11" t="e">
        <f>(((_xll.BDP(AI127,"DS032"))/365)*I127)*O127</f>
        <v>#VALUE!</v>
      </c>
      <c r="AP127" s="11" t="e">
        <f>IF(F127="USD",AO127,(((_xll.BDP(F127&amp;"USD CURNCY","PX_LAST")))*AO127))</f>
        <v>#VALUE!</v>
      </c>
      <c r="AQ127" s="13" t="e">
        <f t="shared" si="56"/>
        <v>#VALUE!</v>
      </c>
      <c r="AR127" s="11" t="e">
        <f t="shared" si="53"/>
        <v>#VALUE!</v>
      </c>
      <c r="AS127" s="10" t="str">
        <f>IF((TEXT(_xll.BDP(AI127,"MATURITY"),"DD/MM/YYYY")="#N/A Field Not Applicable"),"Perp",_xll.BDP(AI127,"DS252"))</f>
        <v>#N/A Connection</v>
      </c>
      <c r="AT127" s="15" t="str">
        <f>(IF(_xll.BDP($AI127&amp;" ISIN","DT247")="Y","Yes","No"))</f>
        <v>No</v>
      </c>
      <c r="AU127" s="15" t="str">
        <f>PROPER(IF(OR(_xll.BDP($AI127,"CPN_TYP")="#n/a N/A",_xll.BDP($AI127,"CPN_TYP")= "#N/A FIELD NOT APPLICABLE"), " ", _xll.BDP($AI127,"CPN_TYP")))</f>
        <v>#N/A Connection</v>
      </c>
      <c r="BG127" s="17" t="str">
        <f t="shared" si="45"/>
        <v>US404280CN71</v>
      </c>
      <c r="BH127" s="17">
        <v>0.67</v>
      </c>
      <c r="BI127" s="18" t="s">
        <v>147</v>
      </c>
      <c r="BJ127" s="19">
        <v>44393</v>
      </c>
      <c r="BK127" s="20">
        <v>1</v>
      </c>
    </row>
    <row r="128" spans="1:64" s="21" customFormat="1" ht="14.45" customHeight="1" x14ac:dyDescent="0.25">
      <c r="A128" s="49" t="s">
        <v>241</v>
      </c>
      <c r="B128" s="49" t="s">
        <v>272</v>
      </c>
      <c r="C128" s="49">
        <v>2620061.0010000002</v>
      </c>
      <c r="D128" s="49" t="s">
        <v>240</v>
      </c>
      <c r="E128" s="4" t="str">
        <f>_xll.BDP(AI128,"ds520")</f>
        <v>#N/A Connection</v>
      </c>
      <c r="F128" s="4" t="str">
        <f>_xll.BDP(AI128,"crncy")</f>
        <v>#N/A Connection</v>
      </c>
      <c r="G128" s="5" t="s">
        <v>230</v>
      </c>
      <c r="H128" s="4" t="str">
        <f>IF(_xll.BDP(AI128,"RTG_MOODY")="#N/A N/A","N/A",_xll.BDP(AI128,"RTG_MOODY"))&amp;","&amp;IF(_xll.BDP(AI128,"RTG_FITCH")="#N/A N/A","N/A",_xll.BDP(AI128,"RTG_FITCH"))&amp;","&amp;IF(_xll.BDP(AI128,"RTG_SP")="#N/A N/A","N/A",_xll.BDP(AI128,"RTG_SP"))</f>
        <v>#N/A Connection,#N/A Connection,#N/A Connection</v>
      </c>
      <c r="I128" s="7" t="e">
        <f>_xll.BDP(AI128,"cpn")/100</f>
        <v>#VALUE!</v>
      </c>
      <c r="J128" s="7" t="e">
        <f ca="1">_xll.BDP($G128&amp;" isin","YAS_BOND_YLD", "YAS_YLD_FLAG=15", "user_local_trade_date",AN128,"Yas_bond_px",$Q128)/100</f>
        <v>#VALUE!</v>
      </c>
      <c r="K128" s="4" t="str">
        <f>_xll.BDP(AI128,"PAYMENT_RANK")</f>
        <v>#N/A Connection</v>
      </c>
      <c r="L128" s="4" t="str">
        <f>IF((TEXT(_xll.BDP(AI128,"MATURITY"),"DD/MM/YYYY")="#N/A Field Not Applicable"),"Perp",TEXT(_xll.BDP(AI128,"MATURITY"),"DD/MM/YYYY"))</f>
        <v>#N/A Connection</v>
      </c>
      <c r="M128" s="8" t="str">
        <f>(IF(_xll.BDP($AI128&amp;" ISIN","DU003")="#n/a n/a"," ",_xll.BDP($AI128&amp;" ISIN","DU003")))</f>
        <v>#N/A Connection</v>
      </c>
      <c r="N128" s="4" t="str">
        <f>IF(_xll.BDP(AI128,"CALLABLE")="Y",_xll.BDP(AI128,"NXT_CALL_DT")," ")</f>
        <v xml:space="preserve"> </v>
      </c>
      <c r="O128" s="9">
        <v>200000</v>
      </c>
      <c r="P128" s="5">
        <v>88.73</v>
      </c>
      <c r="Q128" s="10" t="str">
        <f>_xll.BDP(AI128,"px_bid")</f>
        <v>#N/A Connection</v>
      </c>
      <c r="R128" s="11" t="e">
        <f>IF(F128="USD",AG128,(((_xll.BDP(F128&amp;"USD CURNCY","PX_LAST")))*AG128))</f>
        <v>#VALUE!</v>
      </c>
      <c r="S128" s="11" t="e">
        <f>IF(F128="USD",AH128,(((_xll.BDP(F128&amp;"USD CURNCY","PX_LAST")))*AH128))+AP128</f>
        <v>#VALUE!</v>
      </c>
      <c r="T128" s="12" t="e">
        <f t="shared" si="46"/>
        <v>#VALUE!</v>
      </c>
      <c r="U128" s="13" t="e">
        <f t="shared" si="47"/>
        <v>#VALUE!</v>
      </c>
      <c r="V128" s="13" t="str" cm="1">
        <f t="array" ref="V128">IFERROR(_xll.BDP($G128&amp;" ISIN","CHG_PCT_1D")/100,"")</f>
        <v/>
      </c>
      <c r="W128" s="13" t="str" cm="1">
        <f t="array" ref="W128">IFERROR(_xll.BDP($G128&amp;" ISIN","CHG_PCT_5D")/100,"")</f>
        <v/>
      </c>
      <c r="X128" s="13" t="e" cm="1">
        <f t="array" ref="X128">_xll.BDP($G128&amp;" ISIN","CHG_PCT_1M")/100</f>
        <v>#VALUE!</v>
      </c>
      <c r="Y128" s="13" t="e" cm="1">
        <f t="array" ref="Y128">_xll.BDP($G128&amp;" ISIN","CHG_PCT_3M")/100</f>
        <v>#VALUE!</v>
      </c>
      <c r="Z128" s="13" t="e" cm="1">
        <f t="array" ref="Z128">_xll.BDP($G128&amp;" ISIN","CHG_PCT_6M")/100</f>
        <v>#VALUE!</v>
      </c>
      <c r="AA128" s="13" t="e" cm="1">
        <f t="array" ref="AA128">_xll.BDP($G128&amp;" ISIN","CHG_PCT_YTD")/100</f>
        <v>#VALUE!</v>
      </c>
      <c r="AB128" s="13" t="e">
        <f t="shared" si="54"/>
        <v>#VALUE!</v>
      </c>
      <c r="AC128" s="14" t="e">
        <f t="shared" ca="1" si="48"/>
        <v>#VALUE!</v>
      </c>
      <c r="AD128" s="4" t="str">
        <f>_xll.BDP(AI128,"DS199")</f>
        <v>#N/A Connection</v>
      </c>
      <c r="AE128" s="10" t="str">
        <f>_xll.BDP(AI128,"px_ask")</f>
        <v>#N/A Connection</v>
      </c>
      <c r="AF128" s="14" t="e">
        <f>IF(F128="USD",O128,(((_xll.BDP(F128&amp;"USD CURNCY","PX_LAST")))*O128))</f>
        <v>#VALUE!</v>
      </c>
      <c r="AG128" s="11">
        <f t="shared" si="49"/>
        <v>177460</v>
      </c>
      <c r="AH128" s="11" t="e">
        <f t="shared" si="50"/>
        <v>#VALUE!</v>
      </c>
      <c r="AI128" s="4" t="str">
        <f t="shared" si="51"/>
        <v>XS2063540038 ISIN</v>
      </c>
      <c r="AJ128" s="4" t="e" cm="1">
        <f t="array" ref="AJ128">VLOOKUP(IF(NOT(_xll.BDP($G128&amp;" CORP",$CA$5)="#N/A N/A"),(_xll.BDP($G128&amp;" CORP",$CA$5)),"-"), '[1]Country Codes'!$A$2:$B$253,2,0)</f>
        <v>#N/A</v>
      </c>
      <c r="AK128" s="4" t="str" cm="1">
        <f t="array" ref="AK128">IF(OR(_xll.BDP($AI128,"EX028")= "#N/A N/A", _xll.BDP($AI128,"EX028")="#N/A FIELD NOT APPLICABLE"), " ", _xll.BDP($AI128,"EX028"))</f>
        <v>#N/A Connection</v>
      </c>
      <c r="AL128" s="15" t="str">
        <f>(IF(_xll.BDP($AI128&amp;" ISIN","DZ282")="Y","Single line Bonds Cocos","Single line Bonds ex Cocos"))</f>
        <v>Single line Bonds ex Cocos</v>
      </c>
      <c r="AM128" s="8" t="str">
        <f>(IF(_xll.BDP($G128&amp;" ISIN","SP153")="#n/a n/a"," ",_xll.BDP($G128&amp;" ISIN","SP153")))</f>
        <v>#N/A Connection</v>
      </c>
      <c r="AN128" s="16">
        <f t="shared" ca="1" si="52"/>
        <v>45783</v>
      </c>
      <c r="AO128" s="11" t="e">
        <f>(((_xll.BDP(AI128,"DS032"))/365)*I128)*O128</f>
        <v>#VALUE!</v>
      </c>
      <c r="AP128" s="11" t="e">
        <f>IF(F128="USD",AO128,(((_xll.BDP(F128&amp;"USD CURNCY","PX_LAST")))*AO128))</f>
        <v>#VALUE!</v>
      </c>
      <c r="AQ128" s="13" t="e">
        <f t="shared" si="56"/>
        <v>#VALUE!</v>
      </c>
      <c r="AR128" s="11" t="e">
        <f t="shared" si="53"/>
        <v>#VALUE!</v>
      </c>
      <c r="AS128" s="10" t="str">
        <f>IF((TEXT(_xll.BDP(AI128,"MATURITY"),"DD/MM/YYYY")="#N/A Field Not Applicable"),"Perp",_xll.BDP(AI128,"DS252"))</f>
        <v>#N/A Connection</v>
      </c>
      <c r="AT128" s="15" t="str">
        <f>(IF(_xll.BDP($AI128&amp;" ISIN","DT247")="Y","Yes","No"))</f>
        <v>No</v>
      </c>
      <c r="AU128" s="15" t="str">
        <f>PROPER(IF(OR(_xll.BDP($AI128,"CPN_TYP")="#n/a N/A",_xll.BDP($AI128,"CPN_TYP")= "#N/A FIELD NOT APPLICABLE"), " ", _xll.BDP($AI128,"CPN_TYP")))</f>
        <v>#N/A Connection</v>
      </c>
      <c r="BG128" s="17" t="str">
        <f t="shared" si="45"/>
        <v>XS2063540038</v>
      </c>
      <c r="BH128" s="17">
        <v>0.77</v>
      </c>
      <c r="BI128" s="18">
        <v>3</v>
      </c>
      <c r="BJ128" s="19">
        <v>45491</v>
      </c>
      <c r="BK128" s="20">
        <v>1</v>
      </c>
    </row>
    <row r="129" spans="1:64" s="21" customFormat="1" ht="14.45" customHeight="1" x14ac:dyDescent="0.25">
      <c r="A129" s="49" t="s">
        <v>241</v>
      </c>
      <c r="B129" s="49" t="s">
        <v>272</v>
      </c>
      <c r="C129" s="49">
        <v>2620061.0010000002</v>
      </c>
      <c r="D129" s="49" t="s">
        <v>240</v>
      </c>
      <c r="E129" s="4" t="str">
        <f>_xll.BDP(AI129,"ds520")</f>
        <v>#N/A Connection</v>
      </c>
      <c r="F129" s="4" t="str">
        <f>_xll.BDP(AI129,"crncy")</f>
        <v>#N/A Connection</v>
      </c>
      <c r="G129" s="5" t="s">
        <v>227</v>
      </c>
      <c r="H129" s="4" t="str">
        <f>IF(_xll.BDP(AI129,"RTG_MOODY")="#N/A N/A","N/A",_xll.BDP(AI129,"RTG_MOODY"))&amp;","&amp;IF(_xll.BDP(AI129,"RTG_FITCH")="#N/A N/A","N/A",_xll.BDP(AI129,"RTG_FITCH"))&amp;","&amp;IF(_xll.BDP(AI129,"RTG_SP")="#N/A N/A","N/A",_xll.BDP(AI129,"RTG_SP"))</f>
        <v>#N/A Connection,#N/A Connection,#N/A Connection</v>
      </c>
      <c r="I129" s="7">
        <v>0</v>
      </c>
      <c r="J129" s="7">
        <v>0</v>
      </c>
      <c r="K129" s="4" t="str">
        <f>_xll.BDP(AI129,"PAYMENT_RANK")</f>
        <v>#N/A Connection</v>
      </c>
      <c r="L129" s="4" t="str">
        <f>IF((TEXT(_xll.BDP(AI129,"MATURITY"),"DD/MM/YYYY")="#N/A Field Not Applicable"),"Perp",TEXT(_xll.BDP(AI129,"MATURITY"),"DD/MM/YYYY"))</f>
        <v>#N/A Connection</v>
      </c>
      <c r="M129" s="8" t="str">
        <f>(IF(_xll.BDP($AI129&amp;" ISIN","DU003")="#n/a n/a"," ",_xll.BDP($AI129&amp;" ISIN","DU003")))</f>
        <v>#N/A Connection</v>
      </c>
      <c r="N129" s="4" t="str">
        <f>IF(_xll.BDP(AI129,"CALLABLE")="Y",_xll.BDP(AI129,"NXT_CALL_DT")," ")</f>
        <v xml:space="preserve"> </v>
      </c>
      <c r="O129" s="9">
        <v>200000</v>
      </c>
      <c r="P129" s="5">
        <v>102.8</v>
      </c>
      <c r="Q129" s="10" t="str">
        <f>_xll.BDP(AI129,"px_bid")</f>
        <v>#N/A Connection</v>
      </c>
      <c r="R129" s="11" t="e">
        <f>IF(F129="USD",AG129,(((_xll.BDP(F129&amp;"USD CURNCY","PX_LAST")))*AG129))</f>
        <v>#VALUE!</v>
      </c>
      <c r="S129" s="11" t="e">
        <f>IF(F129="USD",AH129,(((_xll.BDP(F129&amp;"USD CURNCY","PX_LAST")))*AH129))+AP129</f>
        <v>#VALUE!</v>
      </c>
      <c r="T129" s="12" t="e">
        <f t="shared" si="46"/>
        <v>#VALUE!</v>
      </c>
      <c r="U129" s="13" t="e">
        <f t="shared" si="47"/>
        <v>#VALUE!</v>
      </c>
      <c r="V129" s="13" t="str" cm="1">
        <f t="array" ref="V129">IFERROR(_xll.BDP($G129&amp;" ISIN","CHG_PCT_1D")/100,"")</f>
        <v/>
      </c>
      <c r="W129" s="13" t="str" cm="1">
        <f t="array" ref="W129">IFERROR(_xll.BDP($G129&amp;" ISIN","CHG_PCT_5D")/100,"")</f>
        <v/>
      </c>
      <c r="X129" s="13" t="e" cm="1">
        <f t="array" ref="X129">_xll.BDP($G129&amp;" ISIN","CHG_PCT_1M")/100</f>
        <v>#VALUE!</v>
      </c>
      <c r="Y129" s="13" t="e" cm="1">
        <f t="array" ref="Y129">_xll.BDP($G129&amp;" ISIN","CHG_PCT_3M")/100</f>
        <v>#VALUE!</v>
      </c>
      <c r="Z129" s="13" t="e" cm="1">
        <f t="array" ref="Z129">_xll.BDP($G129&amp;" ISIN","CHG_PCT_6M")/100</f>
        <v>#VALUE!</v>
      </c>
      <c r="AA129" s="13" t="e" cm="1">
        <f t="array" ref="AA129">_xll.BDP($G129&amp;" ISIN","CHG_PCT_YTD")/100</f>
        <v>#VALUE!</v>
      </c>
      <c r="AB129" s="13" t="e">
        <f t="shared" si="54"/>
        <v>#VALUE!</v>
      </c>
      <c r="AC129" s="14" t="e">
        <f t="shared" ca="1" si="48"/>
        <v>#VALUE!</v>
      </c>
      <c r="AD129" s="4" t="str">
        <f>_xll.BDP(AI129,"DS199")</f>
        <v>#N/A Connection</v>
      </c>
      <c r="AE129" s="10" t="str">
        <f>_xll.BDP(AI129,"px_ask")</f>
        <v>#N/A Connection</v>
      </c>
      <c r="AF129" s="14" t="e">
        <f>IF(F129="USD",O129,(((_xll.BDP(F129&amp;"USD CURNCY","PX_LAST")))*O129))</f>
        <v>#VALUE!</v>
      </c>
      <c r="AG129" s="11">
        <f t="shared" si="49"/>
        <v>205600</v>
      </c>
      <c r="AH129" s="11" t="e">
        <f t="shared" si="50"/>
        <v>#VALUE!</v>
      </c>
      <c r="AI129" s="4" t="str">
        <f t="shared" si="51"/>
        <v>XS2010030919 ISIN</v>
      </c>
      <c r="AJ129" s="4" t="e" cm="1">
        <f t="array" ref="AJ129">VLOOKUP(IF(NOT(_xll.BDP($G129&amp;" CORP",$CA$5)="#N/A N/A"),(_xll.BDP($G129&amp;" CORP",$CA$5)),"-"), '[1]Country Codes'!$A$2:$B$253,2,0)</f>
        <v>#N/A</v>
      </c>
      <c r="AK129" s="4" t="str" cm="1">
        <f t="array" ref="AK129">IF(OR(_xll.BDP($AI129,"EX028")= "#N/A N/A", _xll.BDP($AI129,"EX028")="#N/A FIELD NOT APPLICABLE"), " ", _xll.BDP($AI129,"EX028"))</f>
        <v>#N/A Connection</v>
      </c>
      <c r="AL129" s="15" t="str">
        <f>(IF(_xll.BDP($AI129&amp;" ISIN","DZ282")="Y","Single line Bonds Cocos","Single line Bonds ex Cocos"))</f>
        <v>Single line Bonds ex Cocos</v>
      </c>
      <c r="AM129" s="8" t="str">
        <f>(IF(_xll.BDP($G129&amp;" ISIN","SP153")="#n/a n/a"," ",_xll.BDP($G129&amp;" ISIN","SP153")))</f>
        <v>#N/A Connection</v>
      </c>
      <c r="AN129" s="16">
        <f t="shared" ca="1" si="52"/>
        <v>45783</v>
      </c>
      <c r="AO129" s="11" t="e">
        <f>(((_xll.BDP(AI129,"DS032"))/365)*I129)*O129</f>
        <v>#VALUE!</v>
      </c>
      <c r="AP129" s="11" t="e">
        <f>IF(F129="USD",AO129,(((_xll.BDP(F129&amp;"USD CURNCY","PX_LAST")))*AO129))</f>
        <v>#VALUE!</v>
      </c>
      <c r="AQ129" s="13" t="e">
        <f t="shared" si="56"/>
        <v>#VALUE!</v>
      </c>
      <c r="AR129" s="11" t="e">
        <f t="shared" si="53"/>
        <v>#VALUE!</v>
      </c>
      <c r="AS129" s="10" t="str">
        <f>IF((TEXT(_xll.BDP(AI129,"MATURITY"),"DD/MM/YYYY")="#N/A Field Not Applicable"),"Perp",_xll.BDP(AI129,"DS252"))</f>
        <v>#N/A Connection</v>
      </c>
      <c r="AT129" s="15" t="str">
        <f>(IF(_xll.BDP($AI129&amp;" ISIN","DT247")="Y","Yes","No"))</f>
        <v>No</v>
      </c>
      <c r="AU129" s="15" t="str">
        <f>PROPER(IF(OR(_xll.BDP($AI129,"CPN_TYP")="#n/a N/A",_xll.BDP($AI129,"CPN_TYP")= "#N/A FIELD NOT APPLICABLE"), " ", _xll.BDP($AI129,"CPN_TYP")))</f>
        <v>#N/A Connection</v>
      </c>
      <c r="BG129" s="17" t="str">
        <f t="shared" si="45"/>
        <v>XS2010030919</v>
      </c>
      <c r="BH129" s="17">
        <v>0</v>
      </c>
      <c r="BI129" s="18">
        <v>5</v>
      </c>
      <c r="BJ129" s="19">
        <v>44393</v>
      </c>
      <c r="BK129" s="20">
        <v>1</v>
      </c>
    </row>
    <row r="130" spans="1:64" s="21" customFormat="1" ht="14.45" customHeight="1" x14ac:dyDescent="0.25">
      <c r="A130" s="49" t="s">
        <v>241</v>
      </c>
      <c r="B130" s="49" t="s">
        <v>272</v>
      </c>
      <c r="C130" s="49">
        <v>2620061.0010000002</v>
      </c>
      <c r="D130" s="49" t="s">
        <v>240</v>
      </c>
      <c r="E130" s="4" t="str">
        <f>_xll.BDP(AI130,"ds520")</f>
        <v>#N/A Connection</v>
      </c>
      <c r="F130" s="4" t="str">
        <f>_xll.BDP(AI130,"crncy")</f>
        <v>#N/A Connection</v>
      </c>
      <c r="G130" s="5" t="s">
        <v>229</v>
      </c>
      <c r="H130" s="4" t="str">
        <f>IF(_xll.BDP(AI130,"RTG_MOODY")="#N/A N/A","N/A",_xll.BDP(AI130,"RTG_MOODY"))&amp;","&amp;IF(_xll.BDP(AI130,"RTG_FITCH")="#N/A N/A","N/A",_xll.BDP(AI130,"RTG_FITCH"))&amp;","&amp;IF(_xll.BDP(AI130,"RTG_SP")="#N/A N/A","N/A",_xll.BDP(AI130,"RTG_SP"))</f>
        <v>#N/A Connection,#N/A Connection,#N/A Connection</v>
      </c>
      <c r="I130" s="7" t="e">
        <f>_xll.BDP(AI130,"cpn")/100</f>
        <v>#VALUE!</v>
      </c>
      <c r="J130" s="7" t="e">
        <f ca="1">_xll.BDP($G130&amp;" isin","YAS_BOND_YLD", "YAS_YLD_FLAG=15", "user_local_trade_date",AN130,"Yas_bond_px",$Q130)/100</f>
        <v>#VALUE!</v>
      </c>
      <c r="K130" s="4" t="str">
        <f>_xll.BDP(AI130,"PAYMENT_RANK")</f>
        <v>#N/A Connection</v>
      </c>
      <c r="L130" s="4" t="str">
        <f>IF((TEXT(_xll.BDP(AI130,"MATURITY"),"DD/MM/YYYY")="#N/A Field Not Applicable"),"Perp",TEXT(_xll.BDP(AI130,"MATURITY"),"DD/MM/YYYY"))</f>
        <v>#N/A Connection</v>
      </c>
      <c r="M130" s="8" t="str">
        <f>(IF(_xll.BDP($AI130&amp;" ISIN","DU003")="#n/a n/a"," ",_xll.BDP($AI130&amp;" ISIN","DU003")))</f>
        <v>#N/A Connection</v>
      </c>
      <c r="N130" s="4" t="str">
        <f>IF(_xll.BDP(AI130,"CALLABLE")="Y",_xll.BDP(AI130,"NXT_CALL_DT")," ")</f>
        <v xml:space="preserve"> </v>
      </c>
      <c r="O130" s="9">
        <v>200000</v>
      </c>
      <c r="P130" s="5">
        <v>110.25</v>
      </c>
      <c r="Q130" s="10" t="str">
        <f>_xll.BDP(AI130,"px_bid")</f>
        <v>#N/A Connection</v>
      </c>
      <c r="R130" s="11" t="e">
        <f>IF(F130="USD",AG130,(((_xll.BDP(F130&amp;"USD CURNCY","PX_LAST")))*AG130))</f>
        <v>#VALUE!</v>
      </c>
      <c r="S130" s="11" t="e">
        <f>IF(F130="USD",AH130,(((_xll.BDP(F130&amp;"USD CURNCY","PX_LAST")))*AH130))+AP130</f>
        <v>#VALUE!</v>
      </c>
      <c r="T130" s="12" t="e">
        <f t="shared" si="46"/>
        <v>#VALUE!</v>
      </c>
      <c r="U130" s="13" t="e">
        <f t="shared" si="47"/>
        <v>#VALUE!</v>
      </c>
      <c r="V130" s="13" t="str" cm="1">
        <f t="array" ref="V130">IFERROR(_xll.BDP($G130&amp;" ISIN","CHG_PCT_1D")/100,"")</f>
        <v/>
      </c>
      <c r="W130" s="13" t="str" cm="1">
        <f t="array" ref="W130">IFERROR(_xll.BDP($G130&amp;" ISIN","CHG_PCT_5D")/100,"")</f>
        <v/>
      </c>
      <c r="X130" s="13" t="e" cm="1">
        <f t="array" ref="X130">_xll.BDP($G130&amp;" ISIN","CHG_PCT_1M")/100</f>
        <v>#VALUE!</v>
      </c>
      <c r="Y130" s="13" t="e" cm="1">
        <f t="array" ref="Y130">_xll.BDP($G130&amp;" ISIN","CHG_PCT_3M")/100</f>
        <v>#VALUE!</v>
      </c>
      <c r="Z130" s="13" t="e" cm="1">
        <f t="array" ref="Z130">_xll.BDP($G130&amp;" ISIN","CHG_PCT_6M")/100</f>
        <v>#VALUE!</v>
      </c>
      <c r="AA130" s="13" t="e" cm="1">
        <f t="array" ref="AA130">_xll.BDP($G130&amp;" ISIN","CHG_PCT_YTD")/100</f>
        <v>#VALUE!</v>
      </c>
      <c r="AB130" s="13" t="e">
        <f t="shared" si="54"/>
        <v>#VALUE!</v>
      </c>
      <c r="AC130" s="14" t="e">
        <f t="shared" ca="1" si="48"/>
        <v>#VALUE!</v>
      </c>
      <c r="AD130" s="4" t="str">
        <f>_xll.BDP(AI130,"DS199")</f>
        <v>#N/A Connection</v>
      </c>
      <c r="AE130" s="10" t="str">
        <f>_xll.BDP(AI130,"px_ask")</f>
        <v>#N/A Connection</v>
      </c>
      <c r="AF130" s="14" t="e">
        <f>IF(F130="USD",O130,(((_xll.BDP(F130&amp;"USD CURNCY","PX_LAST")))*O130))</f>
        <v>#VALUE!</v>
      </c>
      <c r="AG130" s="11">
        <f t="shared" si="49"/>
        <v>220500</v>
      </c>
      <c r="AH130" s="11" t="e">
        <f t="shared" si="50"/>
        <v>#VALUE!</v>
      </c>
      <c r="AI130" s="4" t="str">
        <f t="shared" si="51"/>
        <v>USP2253TJN02 ISIN</v>
      </c>
      <c r="AJ130" s="4" t="e" cm="1">
        <f t="array" ref="AJ130">VLOOKUP(IF(NOT(_xll.BDP($G130&amp;" CORP",$CA$5)="#N/A N/A"),(_xll.BDP($G130&amp;" CORP",$CA$5)),"-"), '[1]Country Codes'!$A$2:$B$253,2,0)</f>
        <v>#N/A</v>
      </c>
      <c r="AK130" s="4" t="str" cm="1">
        <f t="array" ref="AK130">IF(OR(_xll.BDP($AI130,"EX028")= "#N/A N/A", _xll.BDP($AI130,"EX028")="#N/A FIELD NOT APPLICABLE"), " ", _xll.BDP($AI130,"EX028"))</f>
        <v>#N/A Connection</v>
      </c>
      <c r="AL130" s="15" t="str">
        <f>(IF(_xll.BDP($AI130&amp;" ISIN","DZ282")="Y","Single line Bonds Cocos","Single line Bonds ex Cocos"))</f>
        <v>Single line Bonds ex Cocos</v>
      </c>
      <c r="AM130" s="8" t="str">
        <f>(IF(_xll.BDP($G130&amp;" ISIN","SP153")="#n/a n/a"," ",_xll.BDP($G130&amp;" ISIN","SP153")))</f>
        <v>#N/A Connection</v>
      </c>
      <c r="AN130" s="16">
        <f t="shared" ca="1" si="52"/>
        <v>45783</v>
      </c>
      <c r="AO130" s="11" t="e">
        <f>(((_xll.BDP(AI130,"DS032"))/365)*I130)*O130</f>
        <v>#VALUE!</v>
      </c>
      <c r="AP130" s="11" t="e">
        <f>IF(F130="USD",AO130,(((_xll.BDP(F130&amp;"USD CURNCY","PX_LAST")))*AO130))</f>
        <v>#VALUE!</v>
      </c>
      <c r="AQ130" s="13" t="e">
        <f t="shared" si="56"/>
        <v>#VALUE!</v>
      </c>
      <c r="AR130" s="11" t="e">
        <f t="shared" si="53"/>
        <v>#VALUE!</v>
      </c>
      <c r="AS130" s="10" t="str">
        <f>IF((TEXT(_xll.BDP(AI130,"MATURITY"),"DD/MM/YYYY")="#N/A Field Not Applicable"),"Perp",_xll.BDP(AI130,"DS252"))</f>
        <v>#N/A Connection</v>
      </c>
      <c r="AT130" s="15" t="str">
        <f>(IF(_xll.BDP($AI130&amp;" ISIN","DT247")="Y","Yes","No"))</f>
        <v>No</v>
      </c>
      <c r="AU130" s="15" t="str">
        <f>PROPER(IF(OR(_xll.BDP($AI130,"CPN_TYP")="#n/a N/A",_xll.BDP($AI130,"CPN_TYP")= "#N/A FIELD NOT APPLICABLE"), " ", _xll.BDP($AI130,"CPN_TYP")))</f>
        <v>#N/A Connection</v>
      </c>
      <c r="BG130" s="17" t="str">
        <f t="shared" si="45"/>
        <v>USP2253TJN02</v>
      </c>
      <c r="BH130" s="17">
        <v>0.82</v>
      </c>
      <c r="BI130" s="18">
        <v>3</v>
      </c>
      <c r="BJ130" s="19">
        <v>44393</v>
      </c>
      <c r="BK130" s="20">
        <v>1</v>
      </c>
    </row>
    <row r="131" spans="1:64" s="21" customFormat="1" ht="14.45" customHeight="1" x14ac:dyDescent="0.25">
      <c r="A131" s="49" t="s">
        <v>241</v>
      </c>
      <c r="B131" s="49" t="s">
        <v>272</v>
      </c>
      <c r="C131" s="49">
        <v>2620061.0010000002</v>
      </c>
      <c r="D131" s="49" t="s">
        <v>240</v>
      </c>
      <c r="E131" s="4" t="str">
        <f>_xll.BDP(AI131,"ds520")</f>
        <v>#N/A Connection</v>
      </c>
      <c r="F131" s="4" t="str">
        <f>_xll.BDP(AI131,"crncy")</f>
        <v>#N/A Connection</v>
      </c>
      <c r="G131" s="5" t="s">
        <v>226</v>
      </c>
      <c r="H131" s="4" t="str">
        <f>IF(_xll.BDP(AI131,"RTG_MOODY")="#N/A N/A","N/A",_xll.BDP(AI131,"RTG_MOODY"))&amp;","&amp;IF(_xll.BDP(AI131,"RTG_FITCH")="#N/A N/A","N/A",_xll.BDP(AI131,"RTG_FITCH"))&amp;","&amp;IF(_xll.BDP(AI131,"RTG_SP")="#N/A N/A","N/A",_xll.BDP(AI131,"RTG_SP"))</f>
        <v>#N/A Connection,#N/A Connection,#N/A Connection</v>
      </c>
      <c r="I131" s="7">
        <v>0</v>
      </c>
      <c r="J131" s="7">
        <v>0</v>
      </c>
      <c r="K131" s="4" t="str">
        <f>_xll.BDP(AI131,"PAYMENT_RANK")</f>
        <v>#N/A Connection</v>
      </c>
      <c r="L131" s="4" t="str">
        <f>IF((TEXT(_xll.BDP(AI131,"MATURITY"),"DD/MM/YYYY")="#N/A Field Not Applicable"),"Perp",TEXT(_xll.BDP(AI131,"MATURITY"),"DD/MM/YYYY"))</f>
        <v>#N/A Connection</v>
      </c>
      <c r="M131" s="8" t="str">
        <f>(IF(_xll.BDP($AI131&amp;" ISIN","DU003")="#n/a n/a"," ",_xll.BDP($AI131&amp;" ISIN","DU003")))</f>
        <v>#N/A Connection</v>
      </c>
      <c r="N131" s="4" t="str">
        <f>IF(_xll.BDP(AI131,"CALLABLE")="Y",_xll.BDP(AI131,"NXT_CALL_DT")," ")</f>
        <v xml:space="preserve"> </v>
      </c>
      <c r="O131" s="9">
        <v>200000</v>
      </c>
      <c r="P131" s="5">
        <v>107.5</v>
      </c>
      <c r="Q131" s="10" t="str">
        <f>_xll.BDP(AI131,"px_bid")</f>
        <v>#N/A Connection</v>
      </c>
      <c r="R131" s="11" t="e">
        <f>IF(F131="USD",AG131,(((_xll.BDP(F131&amp;"USD CURNCY","PX_LAST")))*AG131))</f>
        <v>#VALUE!</v>
      </c>
      <c r="S131" s="11" t="e">
        <f>IF(F131="USD",AH131,(((_xll.BDP(F131&amp;"USD CURNCY","PX_LAST")))*AH131))+AP131</f>
        <v>#VALUE!</v>
      </c>
      <c r="T131" s="12" t="e">
        <f t="shared" si="46"/>
        <v>#VALUE!</v>
      </c>
      <c r="U131" s="13" t="e">
        <f t="shared" si="47"/>
        <v>#VALUE!</v>
      </c>
      <c r="V131" s="13" t="str" cm="1">
        <f t="array" ref="V131">IFERROR(_xll.BDP($G131&amp;" ISIN","CHG_PCT_1D")/100,"")</f>
        <v/>
      </c>
      <c r="W131" s="13" t="str" cm="1">
        <f t="array" ref="W131">IFERROR(_xll.BDP($G131&amp;" ISIN","CHG_PCT_5D")/100,"")</f>
        <v/>
      </c>
      <c r="X131" s="13" t="e" cm="1">
        <f t="array" ref="X131">_xll.BDP($G131&amp;" ISIN","CHG_PCT_1M")/100</f>
        <v>#VALUE!</v>
      </c>
      <c r="Y131" s="13" t="e" cm="1">
        <f t="array" ref="Y131">_xll.BDP($G131&amp;" ISIN","CHG_PCT_3M")/100</f>
        <v>#VALUE!</v>
      </c>
      <c r="Z131" s="13" t="e" cm="1">
        <f t="array" ref="Z131">_xll.BDP($G131&amp;" ISIN","CHG_PCT_6M")/100</f>
        <v>#VALUE!</v>
      </c>
      <c r="AA131" s="13" t="e" cm="1">
        <f t="array" ref="AA131">_xll.BDP($G131&amp;" ISIN","CHG_PCT_YTD")/100</f>
        <v>#VALUE!</v>
      </c>
      <c r="AB131" s="13" t="e">
        <f t="shared" si="54"/>
        <v>#VALUE!</v>
      </c>
      <c r="AC131" s="14" t="e">
        <f t="shared" ca="1" si="48"/>
        <v>#VALUE!</v>
      </c>
      <c r="AD131" s="4" t="str">
        <f>_xll.BDP(AI131,"DS199")</f>
        <v>#N/A Connection</v>
      </c>
      <c r="AE131" s="10" t="str">
        <f>_xll.BDP(AI131,"px_ask")</f>
        <v>#N/A Connection</v>
      </c>
      <c r="AF131" s="14" t="e">
        <f>IF(F131="USD",O131,(((_xll.BDP(F131&amp;"USD CURNCY","PX_LAST")))*O131))</f>
        <v>#VALUE!</v>
      </c>
      <c r="AG131" s="11">
        <f t="shared" si="49"/>
        <v>215000</v>
      </c>
      <c r="AH131" s="11" t="e">
        <f t="shared" si="50"/>
        <v>#VALUE!</v>
      </c>
      <c r="AI131" s="4" t="str">
        <f t="shared" si="51"/>
        <v>XS2100725949 ISIN</v>
      </c>
      <c r="AJ131" s="4" t="e" cm="1">
        <f t="array" ref="AJ131">VLOOKUP(IF(NOT(_xll.BDP($G131&amp;" CORP",$CA$5)="#N/A N/A"),(_xll.BDP($G131&amp;" CORP",$CA$5)),"-"), '[1]Country Codes'!$A$2:$B$253,2,0)</f>
        <v>#N/A</v>
      </c>
      <c r="AK131" s="4" t="str" cm="1">
        <f t="array" ref="AK131">IF(OR(_xll.BDP($AI131,"EX028")= "#N/A N/A", _xll.BDP($AI131,"EX028")="#N/A FIELD NOT APPLICABLE"), " ", _xll.BDP($AI131,"EX028"))</f>
        <v>#N/A Connection</v>
      </c>
      <c r="AL131" s="15" t="str">
        <f>(IF(_xll.BDP($AI131&amp;" ISIN","DZ282")="Y","Single line Bonds Cocos","Single line Bonds ex Cocos"))</f>
        <v>Single line Bonds ex Cocos</v>
      </c>
      <c r="AM131" s="8" t="str">
        <f>(IF(_xll.BDP($G131&amp;" ISIN","SP153")="#n/a n/a"," ",_xll.BDP($G131&amp;" ISIN","SP153")))</f>
        <v>#N/A Connection</v>
      </c>
      <c r="AN131" s="16">
        <f t="shared" ca="1" si="52"/>
        <v>45783</v>
      </c>
      <c r="AO131" s="11" t="e">
        <f>(((_xll.BDP(AI131,"DS032"))/365)*I131)*O131</f>
        <v>#VALUE!</v>
      </c>
      <c r="AP131" s="11" t="e">
        <f>IF(F131="USD",AO131,(((_xll.BDP(F131&amp;"USD CURNCY","PX_LAST")))*AO131))</f>
        <v>#VALUE!</v>
      </c>
      <c r="AQ131" s="13" t="e">
        <f t="shared" si="56"/>
        <v>#VALUE!</v>
      </c>
      <c r="AR131" s="11" t="e">
        <f t="shared" si="53"/>
        <v>#VALUE!</v>
      </c>
      <c r="AS131" s="10" t="str">
        <f>IF((TEXT(_xll.BDP(AI131,"MATURITY"),"DD/MM/YYYY")="#N/A Field Not Applicable"),"Perp",_xll.BDP(AI131,"DS252"))</f>
        <v>#N/A Connection</v>
      </c>
      <c r="AT131" s="15" t="str">
        <f>(IF(_xll.BDP($AI131&amp;" ISIN","DT247")="Y","Yes","No"))</f>
        <v>No</v>
      </c>
      <c r="AU131" s="15" t="str">
        <f>PROPER(IF(OR(_xll.BDP($AI131,"CPN_TYP")="#n/a N/A",_xll.BDP($AI131,"CPN_TYP")= "#N/A FIELD NOT APPLICABLE"), " ", _xll.BDP($AI131,"CPN_TYP")))</f>
        <v>#N/A Connection</v>
      </c>
      <c r="BG131" s="17" t="str">
        <f t="shared" si="45"/>
        <v>XS2100725949</v>
      </c>
      <c r="BH131" s="17">
        <v>0</v>
      </c>
      <c r="BI131" s="18">
        <v>5</v>
      </c>
      <c r="BJ131" s="19">
        <v>44393</v>
      </c>
      <c r="BK131" s="20">
        <v>1</v>
      </c>
    </row>
    <row r="132" spans="1:64" s="21" customFormat="1" ht="14.45" customHeight="1" x14ac:dyDescent="0.25">
      <c r="A132" s="49" t="s">
        <v>241</v>
      </c>
      <c r="B132" s="49" t="s">
        <v>272</v>
      </c>
      <c r="C132" s="49">
        <v>2620061.0010000002</v>
      </c>
      <c r="D132" s="49" t="s">
        <v>240</v>
      </c>
      <c r="E132" s="4" t="str">
        <f>_xll.BDP(AI132,"ds520")</f>
        <v>#N/A Connection</v>
      </c>
      <c r="F132" s="4" t="str">
        <f>_xll.BDP(AI132,"crncy")</f>
        <v>#N/A Connection</v>
      </c>
      <c r="G132" s="5" t="s">
        <v>148</v>
      </c>
      <c r="H132" s="4" t="str">
        <f>IF(_xll.BDP(AI132,"RTG_MOODY")="#N/A N/A","N/A",_xll.BDP(AI132,"RTG_MOODY"))&amp;","&amp;IF(_xll.BDP(AI132,"RTG_FITCH")="#N/A N/A","N/A",_xll.BDP(AI132,"RTG_FITCH"))&amp;","&amp;IF(_xll.BDP(AI132,"RTG_SP")="#N/A N/A","N/A",_xll.BDP(AI132,"RTG_SP"))</f>
        <v>#N/A Connection,#N/A Connection,#N/A Connection</v>
      </c>
      <c r="I132" s="7" t="e">
        <f>_xll.BDP(AI132,"cpn")/100</f>
        <v>#VALUE!</v>
      </c>
      <c r="J132" s="7" t="e">
        <f ca="1">_xll.BDP($G132&amp;" isin","YAS_BOND_YLD", "YAS_YLD_FLAG=15", "user_local_trade_date",AN132,"Yas_bond_px",$Q132)/100</f>
        <v>#VALUE!</v>
      </c>
      <c r="K132" s="4" t="str">
        <f>_xll.BDP(AI132,"PAYMENT_RANK")</f>
        <v>#N/A Connection</v>
      </c>
      <c r="L132" s="4" t="str">
        <f>IF((TEXT(_xll.BDP(AI132,"MATURITY"),"DD/MM/YYYY")="#N/A Field Not Applicable"),"Perp",TEXT(_xll.BDP(AI132,"MATURITY"),"DD/MM/YYYY"))</f>
        <v>#N/A Connection</v>
      </c>
      <c r="M132" s="8" t="str">
        <f>(IF(_xll.BDP($AI132&amp;" ISIN","DU003")="#n/a n/a"," ",_xll.BDP($AI132&amp;" ISIN","DU003")))</f>
        <v>#N/A Connection</v>
      </c>
      <c r="N132" s="4" t="str">
        <f>IF(_xll.BDP(AI132,"CALLABLE")="Y",_xll.BDP(AI132,"NXT_CALL_DT")," ")</f>
        <v xml:space="preserve"> </v>
      </c>
      <c r="O132" s="9">
        <v>200000</v>
      </c>
      <c r="P132" s="5">
        <v>104.438</v>
      </c>
      <c r="Q132" s="10" t="str">
        <f>_xll.BDP(AI132,"px_bid")</f>
        <v>#N/A Connection</v>
      </c>
      <c r="R132" s="11" t="e">
        <f>IF(F132="USD",AG132,(((_xll.BDP(F132&amp;"USD CURNCY","PX_LAST")))*AG132))</f>
        <v>#VALUE!</v>
      </c>
      <c r="S132" s="11" t="e">
        <f>IF(F132="USD",AH132,(((_xll.BDP(F132&amp;"USD CURNCY","PX_LAST")))*AH132))+AP132</f>
        <v>#VALUE!</v>
      </c>
      <c r="T132" s="12" t="e">
        <f t="shared" si="46"/>
        <v>#VALUE!</v>
      </c>
      <c r="U132" s="13" t="e">
        <f t="shared" si="47"/>
        <v>#VALUE!</v>
      </c>
      <c r="V132" s="13" t="str" cm="1">
        <f t="array" ref="V132">IFERROR(_xll.BDP($G132&amp;" ISIN","CHG_PCT_1D")/100,"")</f>
        <v/>
      </c>
      <c r="W132" s="13" t="str" cm="1">
        <f t="array" ref="W132">IFERROR(_xll.BDP($G132&amp;" ISIN","CHG_PCT_5D")/100,"")</f>
        <v/>
      </c>
      <c r="X132" s="13" t="e" cm="1">
        <f t="array" ref="X132">_xll.BDP($G132&amp;" ISIN","CHG_PCT_1M")/100</f>
        <v>#VALUE!</v>
      </c>
      <c r="Y132" s="13" t="e" cm="1">
        <f t="array" ref="Y132">_xll.BDP($G132&amp;" ISIN","CHG_PCT_3M")/100</f>
        <v>#VALUE!</v>
      </c>
      <c r="Z132" s="13" t="e" cm="1">
        <f t="array" ref="Z132">_xll.BDP($G132&amp;" ISIN","CHG_PCT_6M")/100</f>
        <v>#VALUE!</v>
      </c>
      <c r="AA132" s="13" t="e" cm="1">
        <f t="array" ref="AA132">_xll.BDP($G132&amp;" ISIN","CHG_PCT_YTD")/100</f>
        <v>#VALUE!</v>
      </c>
      <c r="AB132" s="13" t="e">
        <f t="shared" si="54"/>
        <v>#VALUE!</v>
      </c>
      <c r="AC132" s="14" t="e">
        <f t="shared" ca="1" si="48"/>
        <v>#VALUE!</v>
      </c>
      <c r="AD132" s="4" t="str">
        <f>_xll.BDP(AI132,"DS199")</f>
        <v>#N/A Connection</v>
      </c>
      <c r="AE132" s="10" t="str">
        <f>_xll.BDP(AI132,"px_ask")</f>
        <v>#N/A Connection</v>
      </c>
      <c r="AF132" s="14" t="e">
        <f>IF(F132="USD",O132,(((_xll.BDP(F132&amp;"USD CURNCY","PX_LAST")))*O132))</f>
        <v>#VALUE!</v>
      </c>
      <c r="AG132" s="11">
        <f t="shared" si="49"/>
        <v>208876</v>
      </c>
      <c r="AH132" s="11" t="e">
        <f t="shared" si="50"/>
        <v>#VALUE!</v>
      </c>
      <c r="AI132" s="4" t="str">
        <f t="shared" si="51"/>
        <v>US251526CT41 ISIN</v>
      </c>
      <c r="AJ132" s="4" t="e" cm="1">
        <f t="array" ref="AJ132">VLOOKUP(IF(NOT(_xll.BDP($G132&amp;" CORP",$CA$5)="#N/A N/A"),(_xll.BDP($G132&amp;" CORP",$CA$5)),"-"), '[1]Country Codes'!$A$2:$B$253,2,0)</f>
        <v>#N/A</v>
      </c>
      <c r="AK132" s="4" t="str" cm="1">
        <f t="array" ref="AK132">IF(OR(_xll.BDP($AI132,"EX028")= "#N/A N/A", _xll.BDP($AI132,"EX028")="#N/A FIELD NOT APPLICABLE"), " ", _xll.BDP($AI132,"EX028"))</f>
        <v>#N/A Connection</v>
      </c>
      <c r="AL132" s="15" t="str">
        <f>(IF(_xll.BDP($AI132&amp;" ISIN","DZ282")="Y","Single line Bonds Cocos","Single line Bonds ex Cocos"))</f>
        <v>Single line Bonds ex Cocos</v>
      </c>
      <c r="AM132" s="8" t="str">
        <f>(IF(_xll.BDP($G132&amp;" ISIN","SP153")="#n/a n/a"," ",_xll.BDP($G132&amp;" ISIN","SP153")))</f>
        <v>#N/A Connection</v>
      </c>
      <c r="AN132" s="16">
        <f t="shared" ca="1" si="52"/>
        <v>45783</v>
      </c>
      <c r="AO132" s="11" t="e">
        <f>(((_xll.BDP(AI132,"DS032"))/365)*I132)*O132</f>
        <v>#VALUE!</v>
      </c>
      <c r="AP132" s="11" t="e">
        <f>IF(F132="USD",AO132,(((_xll.BDP(F132&amp;"USD CURNCY","PX_LAST")))*AO132))</f>
        <v>#VALUE!</v>
      </c>
      <c r="AQ132" s="13" t="e">
        <f t="shared" si="56"/>
        <v>#VALUE!</v>
      </c>
      <c r="AR132" s="11" t="e">
        <f t="shared" si="53"/>
        <v>#VALUE!</v>
      </c>
      <c r="AS132" s="10" t="str">
        <f>IF((TEXT(_xll.BDP(AI132,"MATURITY"),"DD/MM/YYYY")="#N/A Field Not Applicable"),"Perp",_xll.BDP(AI132,"DS252"))</f>
        <v>#N/A Connection</v>
      </c>
      <c r="AT132" s="15" t="str">
        <f>(IF(_xll.BDP($AI132&amp;" ISIN","DT247")="Y","Yes","No"))</f>
        <v>No</v>
      </c>
      <c r="AU132" s="15" t="str">
        <f>PROPER(IF(OR(_xll.BDP($AI132,"CPN_TYP")="#n/a N/A",_xll.BDP($AI132,"CPN_TYP")= "#N/A FIELD NOT APPLICABLE"), " ", _xll.BDP($AI132,"CPN_TYP")))</f>
        <v>#N/A Connection</v>
      </c>
      <c r="BG132" s="17" t="str">
        <f t="shared" si="45"/>
        <v>US251526CT41</v>
      </c>
      <c r="BH132" s="17">
        <v>0.77</v>
      </c>
      <c r="BI132" s="18" t="s">
        <v>147</v>
      </c>
      <c r="BJ132" s="19">
        <v>45491</v>
      </c>
      <c r="BK132" s="20">
        <v>1</v>
      </c>
    </row>
    <row r="133" spans="1:64" s="21" customFormat="1" ht="14.45" customHeight="1" x14ac:dyDescent="0.25">
      <c r="A133" s="49" t="s">
        <v>241</v>
      </c>
      <c r="B133" s="49" t="s">
        <v>272</v>
      </c>
      <c r="C133" s="49">
        <v>2620061.0010000002</v>
      </c>
      <c r="D133" s="49" t="s">
        <v>240</v>
      </c>
      <c r="E133" s="4" t="str">
        <f>_xll.BDP(AI133,"ds520")</f>
        <v>#N/A Connection</v>
      </c>
      <c r="F133" s="4" t="str">
        <f>_xll.BDP(AI133,"crncy")</f>
        <v>#N/A Connection</v>
      </c>
      <c r="G133" s="5" t="s">
        <v>215</v>
      </c>
      <c r="H133" s="4" t="str">
        <f>IF(_xll.BDP(AI133,"RTG_MOODY")="#N/A N/A","N/A",_xll.BDP(AI133,"RTG_MOODY"))&amp;","&amp;IF(_xll.BDP(AI133,"RTG_FITCH")="#N/A N/A","N/A",_xll.BDP(AI133,"RTG_FITCH"))&amp;","&amp;IF(_xll.BDP(AI133,"RTG_SP")="#N/A N/A","N/A",_xll.BDP(AI133,"RTG_SP"))</f>
        <v>#N/A Connection,#N/A Connection,#N/A Connection</v>
      </c>
      <c r="I133" s="7" t="e">
        <f>_xll.BDP(AI133,"cpn")/100</f>
        <v>#VALUE!</v>
      </c>
      <c r="J133" s="7" t="e">
        <f ca="1">_xll.BDP($G133&amp;" isin","YAS_BOND_YLD", "YAS_YLD_FLAG=15", "user_local_trade_date",AN133,"Yas_bond_px",$Q133)/100</f>
        <v>#VALUE!</v>
      </c>
      <c r="K133" s="4" t="str">
        <f>_xll.BDP(AI133,"PAYMENT_RANK")</f>
        <v>#N/A Connection</v>
      </c>
      <c r="L133" s="4" t="str">
        <f>IF((TEXT(_xll.BDP(AI133,"MATURITY"),"DD/MM/YYYY")="#N/A Field Not Applicable"),"Perp",TEXT(_xll.BDP(AI133,"MATURITY"),"DD/MM/YYYY"))</f>
        <v>#N/A Connection</v>
      </c>
      <c r="M133" s="8" t="str">
        <f>(IF(_xll.BDP($AI133&amp;" ISIN","DU003")="#n/a n/a"," ",_xll.BDP($AI133&amp;" ISIN","DU003")))</f>
        <v>#N/A Connection</v>
      </c>
      <c r="N133" s="4" t="str">
        <f>IF(_xll.BDP(AI133,"CALLABLE")="Y",_xll.BDP(AI133,"NXT_CALL_DT")," ")</f>
        <v xml:space="preserve"> </v>
      </c>
      <c r="O133" s="9">
        <v>200000</v>
      </c>
      <c r="P133" s="5">
        <v>100.5</v>
      </c>
      <c r="Q133" s="10" t="str">
        <f>_xll.BDP(AI133,"px_bid")</f>
        <v>#N/A Connection</v>
      </c>
      <c r="R133" s="11" t="e">
        <f>IF(F133="USD",AG133,(((_xll.BDP(F133&amp;"USD CURNCY","PX_LAST")))*AG133))</f>
        <v>#VALUE!</v>
      </c>
      <c r="S133" s="11" t="e">
        <f>IF(F133="USD",AH133,(((_xll.BDP(F133&amp;"USD CURNCY","PX_LAST")))*AH133))+AP133</f>
        <v>#VALUE!</v>
      </c>
      <c r="T133" s="12" t="e">
        <f t="shared" si="46"/>
        <v>#VALUE!</v>
      </c>
      <c r="U133" s="13" t="e">
        <f t="shared" si="47"/>
        <v>#VALUE!</v>
      </c>
      <c r="V133" s="13" t="str" cm="1">
        <f t="array" ref="V133">IFERROR(_xll.BDP($G133&amp;" ISIN","CHG_PCT_1D")/100,"")</f>
        <v/>
      </c>
      <c r="W133" s="13" t="str" cm="1">
        <f t="array" ref="W133">IFERROR(_xll.BDP($G133&amp;" ISIN","CHG_PCT_5D")/100,"")</f>
        <v/>
      </c>
      <c r="X133" s="13" t="e" cm="1">
        <f t="array" ref="X133">_xll.BDP($G133&amp;" ISIN","CHG_PCT_1M")/100</f>
        <v>#VALUE!</v>
      </c>
      <c r="Y133" s="13" t="e" cm="1">
        <f t="array" ref="Y133">_xll.BDP($G133&amp;" ISIN","CHG_PCT_3M")/100</f>
        <v>#VALUE!</v>
      </c>
      <c r="Z133" s="13" t="e" cm="1">
        <f t="array" ref="Z133">_xll.BDP($G133&amp;" ISIN","CHG_PCT_6M")/100</f>
        <v>#VALUE!</v>
      </c>
      <c r="AA133" s="13" t="e" cm="1">
        <f t="array" ref="AA133">_xll.BDP($G133&amp;" ISIN","CHG_PCT_YTD")/100</f>
        <v>#VALUE!</v>
      </c>
      <c r="AB133" s="13" t="e">
        <f t="shared" si="54"/>
        <v>#VALUE!</v>
      </c>
      <c r="AC133" s="14" t="e">
        <f t="shared" ca="1" si="48"/>
        <v>#VALUE!</v>
      </c>
      <c r="AD133" s="4" t="str">
        <f>_xll.BDP(AI133,"DS199")</f>
        <v>#N/A Connection</v>
      </c>
      <c r="AE133" s="10" t="str">
        <f>_xll.BDP(AI133,"px_ask")</f>
        <v>#N/A Connection</v>
      </c>
      <c r="AF133" s="14" t="e">
        <f>IF(F133="USD",O133,(((_xll.BDP(F133&amp;"USD CURNCY","PX_LAST")))*O133))</f>
        <v>#VALUE!</v>
      </c>
      <c r="AG133" s="11">
        <f t="shared" si="49"/>
        <v>201000</v>
      </c>
      <c r="AH133" s="11" t="e">
        <f t="shared" si="50"/>
        <v>#VALUE!</v>
      </c>
      <c r="AI133" s="4" t="str">
        <f t="shared" si="51"/>
        <v>XS2775892065 ISIN</v>
      </c>
      <c r="AJ133" s="4" t="e" cm="1">
        <f t="array" ref="AJ133">VLOOKUP(IF(NOT(_xll.BDP($G133&amp;" CORP",$CA$5)="#N/A N/A"),(_xll.BDP($G133&amp;" CORP",$CA$5)),"-"), '[1]Country Codes'!$A$2:$B$253,2,0)</f>
        <v>#N/A</v>
      </c>
      <c r="AK133" s="4" t="str" cm="1">
        <f t="array" ref="AK133">IF(OR(_xll.BDP($AI133,"EX028")= "#N/A N/A", _xll.BDP($AI133,"EX028")="#N/A FIELD NOT APPLICABLE"), " ", _xll.BDP($AI133,"EX028"))</f>
        <v>#N/A Connection</v>
      </c>
      <c r="AL133" s="15" t="str">
        <f>(IF(_xll.BDP($AI133&amp;" ISIN","DZ282")="Y","Single line Bonds Cocos","Single line Bonds ex Cocos"))</f>
        <v>Single line Bonds ex Cocos</v>
      </c>
      <c r="AM133" s="8" t="str">
        <f>(IF(_xll.BDP($G133&amp;" ISIN","SP153")="#n/a n/a"," ",_xll.BDP($G133&amp;" ISIN","SP153")))</f>
        <v>#N/A Connection</v>
      </c>
      <c r="AN133" s="16">
        <f t="shared" ca="1" si="52"/>
        <v>45783</v>
      </c>
      <c r="AO133" s="11" t="e">
        <f>(((_xll.BDP(AI133,"DS032"))/365)*I133)*O133</f>
        <v>#VALUE!</v>
      </c>
      <c r="AP133" s="11" t="e">
        <f>IF(F133="USD",AO133,(((_xll.BDP(F133&amp;"USD CURNCY","PX_LAST")))*AO133))</f>
        <v>#VALUE!</v>
      </c>
      <c r="AQ133" s="13" t="e">
        <f t="shared" si="56"/>
        <v>#VALUE!</v>
      </c>
      <c r="AR133" s="11" t="e">
        <f t="shared" si="53"/>
        <v>#VALUE!</v>
      </c>
      <c r="AS133" s="10" t="str">
        <f>IF((TEXT(_xll.BDP(AI133,"MATURITY"),"DD/MM/YYYY")="#N/A Field Not Applicable"),"Perp",_xll.BDP(AI133,"DS252"))</f>
        <v>#N/A Connection</v>
      </c>
      <c r="AT133" s="15" t="str">
        <f>(IF(_xll.BDP($AI133&amp;" ISIN","DT247")="Y","Yes","No"))</f>
        <v>No</v>
      </c>
      <c r="AU133" s="15" t="str">
        <f>PROPER(IF(OR(_xll.BDP($AI133,"CPN_TYP")="#n/a N/A",_xll.BDP($AI133,"CPN_TYP")= "#N/A FIELD NOT APPLICABLE"), " ", _xll.BDP($AI133,"CPN_TYP")))</f>
        <v>#N/A Connection</v>
      </c>
      <c r="BG133" s="17" t="str">
        <f t="shared" si="45"/>
        <v>XS2775892065</v>
      </c>
      <c r="BH133" s="17">
        <v>0.67</v>
      </c>
      <c r="BI133" s="18">
        <v>4</v>
      </c>
      <c r="BJ133" s="19">
        <v>45491</v>
      </c>
      <c r="BK133" s="20">
        <v>1</v>
      </c>
    </row>
    <row r="134" spans="1:64" s="21" customFormat="1" ht="14.45" customHeight="1" x14ac:dyDescent="0.25">
      <c r="A134" s="49" t="s">
        <v>241</v>
      </c>
      <c r="B134" s="49" t="s">
        <v>272</v>
      </c>
      <c r="C134" s="49">
        <v>2620061.0010000002</v>
      </c>
      <c r="D134" s="49" t="s">
        <v>240</v>
      </c>
      <c r="E134" s="4" t="str">
        <f>_xll.BDP(AI134,"ds520")</f>
        <v>#N/A Connection</v>
      </c>
      <c r="F134" s="4" t="str">
        <f>_xll.BDP(AI134,"crncy")</f>
        <v>#N/A Connection</v>
      </c>
      <c r="G134" s="5" t="s">
        <v>336</v>
      </c>
      <c r="H134" s="4" t="str">
        <f>IF(_xll.BDP(AI134,"RTG_MOODY")="#N/A N/A","N/A",_xll.BDP(AI134,"RTG_MOODY"))&amp;","&amp;IF(_xll.BDP(AI134,"RTG_FITCH")="#N/A N/A","N/A",_xll.BDP(AI134,"RTG_FITCH"))&amp;","&amp;IF(_xll.BDP(AI134,"RTG_SP")="#N/A N/A","N/A",_xll.BDP(AI134,"RTG_SP"))</f>
        <v>#N/A Connection,#N/A Connection,#N/A Connection</v>
      </c>
      <c r="I134" s="7" t="e">
        <f>_xll.BDP(AI134,"cpn")/100</f>
        <v>#VALUE!</v>
      </c>
      <c r="J134" s="7" t="e">
        <f ca="1">_xll.BDP($G134&amp;" isin","YAS_BOND_YLD", "YAS_YLD_FLAG=15", "user_local_trade_date",AN134,"Yas_bond_px",$Q134)/100</f>
        <v>#VALUE!</v>
      </c>
      <c r="K134" s="4" t="str">
        <f>_xll.BDP(AI134,"PAYMENT_RANK")</f>
        <v>#N/A Connection</v>
      </c>
      <c r="L134" s="4" t="str">
        <f>IF((TEXT(_xll.BDP(AI134,"MATURITY"),"DD/MM/YYYY")="#N/A Field Not Applicable"),"Perp",TEXT(_xll.BDP(AI134,"MATURITY"),"DD/MM/YYYY"))</f>
        <v>#N/A Connection</v>
      </c>
      <c r="M134" s="8" t="str">
        <f>(IF(_xll.BDP($AI134&amp;" ISIN","DU003")="#n/a n/a"," ",_xll.BDP($AI134&amp;" ISIN","DU003")))</f>
        <v>#N/A Connection</v>
      </c>
      <c r="N134" s="4" t="str">
        <f>IF(_xll.BDP(AI134,"CALLABLE")="Y",_xll.BDP(AI134,"NXT_CALL_DT")," ")</f>
        <v xml:space="preserve"> </v>
      </c>
      <c r="O134" s="9">
        <v>200000</v>
      </c>
      <c r="P134" s="5">
        <v>96.96</v>
      </c>
      <c r="Q134" s="10" t="str">
        <f>_xll.BDP(AI134,"px_bid")</f>
        <v>#N/A Connection</v>
      </c>
      <c r="R134" s="11" t="e">
        <f>IF(F134="USD",AG134,(((_xll.BDP(F134&amp;"USD CURNCY","PX_LAST")))*AG134))</f>
        <v>#VALUE!</v>
      </c>
      <c r="S134" s="11" t="e">
        <f>IF(F134="USD",AH134,(((_xll.BDP(F134&amp;"USD CURNCY","PX_LAST")))*AH134))+AP134</f>
        <v>#VALUE!</v>
      </c>
      <c r="T134" s="12" t="e">
        <f t="shared" si="46"/>
        <v>#VALUE!</v>
      </c>
      <c r="U134" s="13" t="e">
        <f t="shared" si="47"/>
        <v>#VALUE!</v>
      </c>
      <c r="V134" s="13" t="str" cm="1">
        <f t="array" ref="V134">IFERROR(_xll.BDP($G134&amp;" ISIN","CHG_PCT_1D")/100,"")</f>
        <v/>
      </c>
      <c r="W134" s="13" t="str" cm="1">
        <f t="array" ref="W134">IFERROR(_xll.BDP($G134&amp;" ISIN","CHG_PCT_5D")/100,"")</f>
        <v/>
      </c>
      <c r="X134" s="13" t="e" cm="1">
        <f t="array" ref="X134">_xll.BDP($G134&amp;" ISIN","CHG_PCT_1M")/100</f>
        <v>#VALUE!</v>
      </c>
      <c r="Y134" s="13" t="e" cm="1">
        <f t="array" ref="Y134">_xll.BDP($G134&amp;" ISIN","CHG_PCT_3M")/100</f>
        <v>#VALUE!</v>
      </c>
      <c r="Z134" s="13" t="e" cm="1">
        <f t="array" ref="Z134">_xll.BDP($G134&amp;" ISIN","CHG_PCT_6M")/100</f>
        <v>#VALUE!</v>
      </c>
      <c r="AA134" s="13"/>
      <c r="AB134" s="13"/>
      <c r="AC134" s="14" t="e">
        <f t="shared" ca="1" si="48"/>
        <v>#VALUE!</v>
      </c>
      <c r="AD134" s="4" t="str">
        <f>_xll.BDP(AI134,"DS199")</f>
        <v>#N/A Connection</v>
      </c>
      <c r="AE134" s="10" t="str">
        <f>_xll.BDP(AI134,"px_ask")</f>
        <v>#N/A Connection</v>
      </c>
      <c r="AF134" s="14" t="e">
        <f>IF(F134="USD",O134,(((_xll.BDP(F134&amp;"USD CURNCY","PX_LAST")))*O134))</f>
        <v>#VALUE!</v>
      </c>
      <c r="AG134" s="11">
        <f t="shared" si="49"/>
        <v>193920</v>
      </c>
      <c r="AH134" s="11" t="e">
        <f t="shared" si="50"/>
        <v>#VALUE!</v>
      </c>
      <c r="AI134" s="4" t="str">
        <f t="shared" si="51"/>
        <v>US53944YBB83 ISIN</v>
      </c>
      <c r="AJ134" s="4" t="e" cm="1">
        <f t="array" ref="AJ134">VLOOKUP(IF(NOT(_xll.BDP($G134&amp;" CORP",$CA$5)="#N/A N/A"),(_xll.BDP($G134&amp;" CORP",$CA$5)),"-"), '[1]Country Codes'!$A$2:$B$253,2,0)</f>
        <v>#N/A</v>
      </c>
      <c r="AK134" s="4" t="str" cm="1">
        <f t="array" ref="AK134">IF(OR(_xll.BDP($AI134,"EX028")= "#N/A N/A", _xll.BDP($AI134,"EX028")="#N/A FIELD NOT APPLICABLE"), " ", _xll.BDP($AI134,"EX028"))</f>
        <v>#N/A Connection</v>
      </c>
      <c r="AL134" s="15" t="str">
        <f>(IF(_xll.BDP($AI134&amp;" ISIN","DZ282")="Y","Single line Bonds Cocos","Single line Bonds ex Cocos"))</f>
        <v>Single line Bonds ex Cocos</v>
      </c>
      <c r="AM134" s="8" t="str">
        <f>(IF(_xll.BDP($G134&amp;" ISIN","SP153")="#n/a n/a"," ",_xll.BDP($G134&amp;" ISIN","SP153")))</f>
        <v>#N/A Connection</v>
      </c>
      <c r="AN134" s="16">
        <f t="shared" ca="1" si="52"/>
        <v>45783</v>
      </c>
      <c r="AO134" s="11" t="e">
        <f>(((_xll.BDP(AI134,"DS032"))/365)*I134)*O134</f>
        <v>#VALUE!</v>
      </c>
      <c r="AP134" s="11" t="e">
        <f>IF(F134="USD",AO134,(((_xll.BDP(F134&amp;"USD CURNCY","PX_LAST")))*AO134))</f>
        <v>#VALUE!</v>
      </c>
      <c r="AQ134" s="13" t="e">
        <f t="shared" si="56"/>
        <v>#VALUE!</v>
      </c>
      <c r="AR134" s="11" t="e">
        <f t="shared" si="53"/>
        <v>#VALUE!</v>
      </c>
      <c r="AS134" s="10" t="str">
        <f>IF((TEXT(_xll.BDP(AI134,"MATURITY"),"DD/MM/YYYY")="#N/A Field Not Applicable"),"Perp",_xll.BDP(AI134,"DS252"))</f>
        <v>#N/A Connection</v>
      </c>
      <c r="AT134" s="15" t="str">
        <f>(IF(_xll.BDP($AI134&amp;" ISIN","DT247")="Y","Yes","No"))</f>
        <v>No</v>
      </c>
      <c r="AU134" s="15" t="str">
        <f>PROPER(IF(OR(_xll.BDP($AI134,"CPN_TYP")="#n/a N/A",_xll.BDP($AI134,"CPN_TYP")= "#N/A FIELD NOT APPLICABLE"), " ", _xll.BDP($AI134,"CPN_TYP")))</f>
        <v>#N/A Connection</v>
      </c>
      <c r="BG134" s="17" t="str">
        <f t="shared" ref="BG134:BG138" si="57">G134</f>
        <v>US53944YBB83</v>
      </c>
      <c r="BH134" s="17">
        <v>0.67</v>
      </c>
      <c r="BI134" s="18" t="s">
        <v>147</v>
      </c>
      <c r="BJ134" s="19">
        <v>45713</v>
      </c>
      <c r="BK134" s="20">
        <v>1</v>
      </c>
    </row>
    <row r="135" spans="1:64" s="21" customFormat="1" ht="14.45" customHeight="1" x14ac:dyDescent="0.25">
      <c r="A135" s="49" t="s">
        <v>241</v>
      </c>
      <c r="B135" s="49" t="s">
        <v>272</v>
      </c>
      <c r="C135" s="49">
        <v>2620061.0010000002</v>
      </c>
      <c r="D135" s="49" t="s">
        <v>240</v>
      </c>
      <c r="E135" s="4" t="str">
        <f>_xll.BDP(AI135,"ds520")</f>
        <v>#N/A Connection</v>
      </c>
      <c r="F135" s="4" t="str">
        <f>_xll.BDP(AI135,"crncy")</f>
        <v>#N/A Connection</v>
      </c>
      <c r="G135" s="5" t="s">
        <v>151</v>
      </c>
      <c r="H135" s="4" t="str">
        <f>IF(_xll.BDP(AI135,"RTG_MOODY")="#N/A N/A","N/A",_xll.BDP(AI135,"RTG_MOODY"))&amp;","&amp;IF(_xll.BDP(AI135,"RTG_FITCH")="#N/A N/A","N/A",_xll.BDP(AI135,"RTG_FITCH"))&amp;","&amp;IF(_xll.BDP(AI135,"RTG_SP")="#N/A N/A","N/A",_xll.BDP(AI135,"RTG_SP"))</f>
        <v>#N/A Connection,#N/A Connection,#N/A Connection</v>
      </c>
      <c r="I135" s="7" t="e">
        <f>_xll.BDP(AI135,"cpn")/100</f>
        <v>#VALUE!</v>
      </c>
      <c r="J135" s="7" t="e">
        <f ca="1">_xll.BDP($G135&amp;" isin","YAS_BOND_YLD", "YAS_YLD_FLAG=15", "user_local_trade_date",AN135,"Yas_bond_px",$Q135)/100</f>
        <v>#VALUE!</v>
      </c>
      <c r="K135" s="4" t="str">
        <f>_xll.BDP(AI135,"PAYMENT_RANK")</f>
        <v>#N/A Connection</v>
      </c>
      <c r="L135" s="4" t="str">
        <f>IF((TEXT(_xll.BDP(AI135,"MATURITY"),"DD/MM/YYYY")="#N/A Field Not Applicable"),"Perp",TEXT(_xll.BDP(AI135,"MATURITY"),"DD/MM/YYYY"))</f>
        <v>#N/A Connection</v>
      </c>
      <c r="M135" s="8" t="str">
        <f>(IF(_xll.BDP($AI135&amp;" ISIN","DU003")="#n/a n/a"," ",_xll.BDP($AI135&amp;" ISIN","DU003")))</f>
        <v>#N/A Connection</v>
      </c>
      <c r="N135" s="4" t="str">
        <f>IF(_xll.BDP(AI135,"CALLABLE")="Y",_xll.BDP(AI135,"NXT_CALL_DT")," ")</f>
        <v xml:space="preserve"> </v>
      </c>
      <c r="O135" s="9">
        <v>200000</v>
      </c>
      <c r="P135" s="5">
        <v>100.75</v>
      </c>
      <c r="Q135" s="10" t="str">
        <f>_xll.BDP(AI135,"px_bid")</f>
        <v>#N/A Connection</v>
      </c>
      <c r="R135" s="11" t="e">
        <f>IF(F135="USD",AG135,(((_xll.BDP(F135&amp;"USD CURNCY","PX_LAST")))*AG135))</f>
        <v>#VALUE!</v>
      </c>
      <c r="S135" s="11" t="e">
        <f>IF(F135="USD",AH135,(((_xll.BDP(F135&amp;"USD CURNCY","PX_LAST")))*AH135))+AP135</f>
        <v>#VALUE!</v>
      </c>
      <c r="T135" s="12" t="e">
        <f t="shared" ref="T135:T152" si="58">U135*R135</f>
        <v>#VALUE!</v>
      </c>
      <c r="U135" s="13" t="e">
        <f t="shared" ref="U135:U152" si="59">(Q135-P135)/P135</f>
        <v>#VALUE!</v>
      </c>
      <c r="V135" s="13" t="str" cm="1">
        <f t="array" ref="V135">IFERROR(_xll.BDP($G135&amp;" ISIN","CHG_PCT_1D")/100,"")</f>
        <v/>
      </c>
      <c r="W135" s="13" t="str" cm="1">
        <f t="array" ref="W135">IFERROR(_xll.BDP($G135&amp;" ISIN","CHG_PCT_5D")/100,"")</f>
        <v/>
      </c>
      <c r="X135" s="13" t="e" cm="1">
        <f t="array" ref="X135">_xll.BDP($G135&amp;" ISIN","CHG_PCT_1M")/100</f>
        <v>#VALUE!</v>
      </c>
      <c r="Y135" s="13" t="e" cm="1">
        <f t="array" ref="Y135">_xll.BDP($G135&amp;" ISIN","CHG_PCT_3M")/100</f>
        <v>#VALUE!</v>
      </c>
      <c r="Z135" s="13" t="e" cm="1">
        <f t="array" ref="Z135">_xll.BDP($G135&amp;" ISIN","CHG_PCT_6M")/100</f>
        <v>#VALUE!</v>
      </c>
      <c r="AA135" s="13" t="e" cm="1">
        <f t="array" ref="AA135">_xll.BDP($G135&amp;" ISIN","CHG_PCT_YTD")/100</f>
        <v>#VALUE!</v>
      </c>
      <c r="AB135" s="13" t="e">
        <f t="shared" ref="AB135:AB138" si="60">S135/$H$36</f>
        <v>#VALUE!</v>
      </c>
      <c r="AC135" s="14" t="e">
        <f t="shared" ref="AC135:AC152" ca="1" si="61">((AF135*I135)* ((TODAY()-BJ135)/360))+(Q135-P135)%*AF135</f>
        <v>#VALUE!</v>
      </c>
      <c r="AD135" s="4" t="str">
        <f>_xll.BDP(AI135,"DS199")</f>
        <v>#N/A Connection</v>
      </c>
      <c r="AE135" s="10" t="str">
        <f>_xll.BDP(AI135,"px_ask")</f>
        <v>#N/A Connection</v>
      </c>
      <c r="AF135" s="14" t="e">
        <f>IF(F135="USD",O135,(((_xll.BDP(F135&amp;"USD CURNCY","PX_LAST")))*O135))</f>
        <v>#VALUE!</v>
      </c>
      <c r="AG135" s="11">
        <f t="shared" ref="AG135:AG152" si="62">O135*P135/100</f>
        <v>201500</v>
      </c>
      <c r="AH135" s="11" t="e">
        <f t="shared" ref="AH135:AH152" si="63">Q135*O135/100</f>
        <v>#VALUE!</v>
      </c>
      <c r="AI135" s="4" t="str">
        <f t="shared" ref="AI135:AI152" si="64">G135&amp; " ISIN"</f>
        <v>XS2451768720 ISIN</v>
      </c>
      <c r="AJ135" s="4" t="e" cm="1">
        <f t="array" ref="AJ135">VLOOKUP(IF(NOT(_xll.BDP($G135&amp;" CORP",$CA$5)="#N/A N/A"),(_xll.BDP($G135&amp;" CORP",$CA$5)),"-"), '[1]Country Codes'!$A$2:$B$253,2,0)</f>
        <v>#N/A</v>
      </c>
      <c r="AK135" s="4" t="str" cm="1">
        <f t="array" ref="AK135">IF(OR(_xll.BDP($AI135,"EX028")= "#N/A N/A", _xll.BDP($AI135,"EX028")="#N/A FIELD NOT APPLICABLE"), " ", _xll.BDP($AI135,"EX028"))</f>
        <v>#N/A Connection</v>
      </c>
      <c r="AL135" s="15" t="str">
        <f>(IF(_xll.BDP($AI135&amp;" ISIN","DZ282")="Y","Single line Bonds Cocos","Single line Bonds ex Cocos"))</f>
        <v>Single line Bonds ex Cocos</v>
      </c>
      <c r="AM135" s="8" t="str">
        <f>(IF(_xll.BDP($G135&amp;" ISIN","SP153")="#n/a n/a"," ",_xll.BDP($G135&amp;" ISIN","SP153")))</f>
        <v>#N/A Connection</v>
      </c>
      <c r="AN135" s="16">
        <f t="shared" ref="AN135:AN152" ca="1" si="65">TODAY()</f>
        <v>45783</v>
      </c>
      <c r="AO135" s="11" t="e">
        <f>(((_xll.BDP(AI135,"DS032"))/365)*I135)*O135</f>
        <v>#VALUE!</v>
      </c>
      <c r="AP135" s="11" t="e">
        <f>IF(F135="USD",AO135,(((_xll.BDP(F135&amp;"USD CURNCY","PX_LAST")))*AO135))</f>
        <v>#VALUE!</v>
      </c>
      <c r="AQ135" s="13" t="e">
        <f t="shared" si="56"/>
        <v>#VALUE!</v>
      </c>
      <c r="AR135" s="11" t="e">
        <f t="shared" ref="AR135:AR152" si="66">S135-AP135</f>
        <v>#VALUE!</v>
      </c>
      <c r="AS135" s="10" t="str">
        <f>IF((TEXT(_xll.BDP(AI135,"MATURITY"),"DD/MM/YYYY")="#N/A Field Not Applicable"),"Perp",_xll.BDP(AI135,"DS252"))</f>
        <v>#N/A Connection</v>
      </c>
      <c r="AT135" s="15" t="str">
        <f>(IF(_xll.BDP($AI135&amp;" ISIN","DT247")="Y","Yes","No"))</f>
        <v>No</v>
      </c>
      <c r="AU135" s="15" t="str">
        <f>PROPER(IF(OR(_xll.BDP($AI135,"CPN_TYP")="#n/a N/A",_xll.BDP($AI135,"CPN_TYP")= "#N/A FIELD NOT APPLICABLE"), " ", _xll.BDP($AI135,"CPN_TYP")))</f>
        <v>#N/A Connection</v>
      </c>
      <c r="BG135" s="17" t="str">
        <f t="shared" si="57"/>
        <v>XS2451768720</v>
      </c>
      <c r="BH135" s="17">
        <v>0.82</v>
      </c>
      <c r="BI135" s="18">
        <v>5</v>
      </c>
      <c r="BJ135" s="19">
        <v>45491</v>
      </c>
      <c r="BK135" s="20">
        <v>1</v>
      </c>
    </row>
    <row r="136" spans="1:64" s="21" customFormat="1" ht="14.45" customHeight="1" x14ac:dyDescent="0.25">
      <c r="A136" s="49" t="s">
        <v>241</v>
      </c>
      <c r="B136" s="49" t="s">
        <v>272</v>
      </c>
      <c r="C136" s="49">
        <v>2620061.0010000002</v>
      </c>
      <c r="D136" s="49" t="s">
        <v>240</v>
      </c>
      <c r="E136" s="4" t="str">
        <f>_xll.BDP(AI136,"ds520")</f>
        <v>#N/A Connection</v>
      </c>
      <c r="F136" s="4" t="str">
        <f>_xll.BDP(AI136,"crncy")</f>
        <v>#N/A Connection</v>
      </c>
      <c r="G136" s="5" t="s">
        <v>233</v>
      </c>
      <c r="H136" s="4" t="str">
        <f>IF(_xll.BDP(AI136,"RTG_MOODY")="#N/A N/A","N/A",_xll.BDP(AI136,"RTG_MOODY"))&amp;","&amp;IF(_xll.BDP(AI136,"RTG_FITCH")="#N/A N/A","N/A",_xll.BDP(AI136,"RTG_FITCH"))&amp;","&amp;IF(_xll.BDP(AI136,"RTG_SP")="#N/A N/A","N/A",_xll.BDP(AI136,"RTG_SP"))</f>
        <v>#N/A Connection,#N/A Connection,#N/A Connection</v>
      </c>
      <c r="I136" s="7" t="e">
        <f>_xll.BDP(AI136,"cpn")/100</f>
        <v>#VALUE!</v>
      </c>
      <c r="J136" s="7" t="e">
        <f ca="1">_xll.BDP($G136&amp;" isin","YAS_BOND_YLD", "YAS_YLD_FLAG=15", "user_local_trade_date",AN136,"Yas_bond_px",$Q136)/100</f>
        <v>#VALUE!</v>
      </c>
      <c r="K136" s="4" t="str">
        <f>_xll.BDP(AI136,"PAYMENT_RANK")</f>
        <v>#N/A Connection</v>
      </c>
      <c r="L136" s="4" t="str">
        <f>IF((TEXT(_xll.BDP(AI136,"MATURITY"),"DD/MM/YYYY")="#N/A Field Not Applicable"),"Perp",TEXT(_xll.BDP(AI136,"MATURITY"),"DD/MM/YYYY"))</f>
        <v>#N/A Connection</v>
      </c>
      <c r="M136" s="8" t="str">
        <f>(IF(_xll.BDP($AI136&amp;" ISIN","DU003")="#n/a n/a"," ",_xll.BDP($AI136&amp;" ISIN","DU003")))</f>
        <v>#N/A Connection</v>
      </c>
      <c r="N136" s="4" t="str">
        <f>IF(_xll.BDP(AI136,"CALLABLE")="Y",_xll.BDP(AI136,"NXT_CALL_DT")," ")</f>
        <v xml:space="preserve"> </v>
      </c>
      <c r="O136" s="9">
        <v>200000</v>
      </c>
      <c r="P136" s="5">
        <v>106.815</v>
      </c>
      <c r="Q136" s="10" t="str">
        <f>_xll.BDP(AI136,"px_bid")</f>
        <v>#N/A Connection</v>
      </c>
      <c r="R136" s="11" t="e">
        <f>IF(F136="USD",AG136,(((_xll.BDP(F136&amp;"USD CURNCY","PX_LAST")))*AG136))</f>
        <v>#VALUE!</v>
      </c>
      <c r="S136" s="11" t="e">
        <f>IF(F136="USD",AH136,(((_xll.BDP(F136&amp;"USD CURNCY","PX_LAST")))*AH136))+AP136</f>
        <v>#VALUE!</v>
      </c>
      <c r="T136" s="12" t="e">
        <f t="shared" si="58"/>
        <v>#VALUE!</v>
      </c>
      <c r="U136" s="13" t="e">
        <f t="shared" si="59"/>
        <v>#VALUE!</v>
      </c>
      <c r="V136" s="13" t="str" cm="1">
        <f t="array" ref="V136">IFERROR(_xll.BDP($G136&amp;" ISIN","CHG_PCT_1D")/100,"")</f>
        <v/>
      </c>
      <c r="W136" s="13" t="str" cm="1">
        <f t="array" ref="W136">IFERROR(_xll.BDP($G136&amp;" ISIN","CHG_PCT_5D")/100,"")</f>
        <v/>
      </c>
      <c r="X136" s="13" t="e" cm="1">
        <f t="array" ref="X136">_xll.BDP($G136&amp;" ISIN","CHG_PCT_1M")/100</f>
        <v>#VALUE!</v>
      </c>
      <c r="Y136" s="13" t="e" cm="1">
        <f t="array" ref="Y136">_xll.BDP($G136&amp;" ISIN","CHG_PCT_3M")/100</f>
        <v>#VALUE!</v>
      </c>
      <c r="Z136" s="13" t="e" cm="1">
        <f t="array" ref="Z136">_xll.BDP($G136&amp;" ISIN","CHG_PCT_6M")/100</f>
        <v>#VALUE!</v>
      </c>
      <c r="AA136" s="13" t="e" cm="1">
        <f t="array" ref="AA136">_xll.BDP($G136&amp;" ISIN","CHG_PCT_YTD")/100</f>
        <v>#VALUE!</v>
      </c>
      <c r="AB136" s="13" t="e">
        <f t="shared" si="60"/>
        <v>#VALUE!</v>
      </c>
      <c r="AC136" s="14" t="e">
        <f t="shared" ca="1" si="61"/>
        <v>#VALUE!</v>
      </c>
      <c r="AD136" s="4" t="str">
        <f>_xll.BDP(AI136,"DS199")</f>
        <v>#N/A Connection</v>
      </c>
      <c r="AE136" s="10" t="str">
        <f>_xll.BDP(AI136,"px_ask")</f>
        <v>#N/A Connection</v>
      </c>
      <c r="AF136" s="14" t="e">
        <f>IF(F136="USD",O136,(((_xll.BDP(F136&amp;"USD CURNCY","PX_LAST")))*O136))</f>
        <v>#VALUE!</v>
      </c>
      <c r="AG136" s="11">
        <f t="shared" si="62"/>
        <v>213630</v>
      </c>
      <c r="AH136" s="11" t="e">
        <f t="shared" si="63"/>
        <v>#VALUE!</v>
      </c>
      <c r="AI136" s="4" t="str">
        <f t="shared" si="64"/>
        <v>FR0013322823 ISIN</v>
      </c>
      <c r="AJ136" s="4" t="e" cm="1">
        <f t="array" ref="AJ136">VLOOKUP(IF(NOT(_xll.BDP($G136&amp;" CORP",$CA$5)="#N/A N/A"),(_xll.BDP($G136&amp;" CORP",$CA$5)),"-"), '[1]Country Codes'!$A$2:$B$253,2,0)</f>
        <v>#N/A</v>
      </c>
      <c r="AK136" s="4" t="str" cm="1">
        <f t="array" ref="AK136">IF(OR(_xll.BDP($AI136,"EX028")= "#N/A N/A", _xll.BDP($AI136,"EX028")="#N/A FIELD NOT APPLICABLE"), " ", _xll.BDP($AI136,"EX028"))</f>
        <v>#N/A Connection</v>
      </c>
      <c r="AL136" s="15" t="str">
        <f>(IF(_xll.BDP($AI136&amp;" ISIN","DZ282")="Y","Single line Bonds Cocos","Single line Bonds ex Cocos"))</f>
        <v>Single line Bonds ex Cocos</v>
      </c>
      <c r="AM136" s="8" t="str">
        <f>(IF(_xll.BDP($G136&amp;" ISIN","SP153")="#n/a n/a"," ",_xll.BDP($G136&amp;" ISIN","SP153")))</f>
        <v>#N/A Connection</v>
      </c>
      <c r="AN136" s="16">
        <f t="shared" ca="1" si="65"/>
        <v>45783</v>
      </c>
      <c r="AO136" s="11" t="e">
        <f>(((_xll.BDP(AI136,"DS032"))/365)*I136)*O136</f>
        <v>#VALUE!</v>
      </c>
      <c r="AP136" s="11" t="e">
        <f>IF(F136="USD",AO136,(((_xll.BDP(F136&amp;"USD CURNCY","PX_LAST")))*AO136))</f>
        <v>#VALUE!</v>
      </c>
      <c r="AQ136" s="13" t="e">
        <f t="shared" si="56"/>
        <v>#VALUE!</v>
      </c>
      <c r="AR136" s="11" t="e">
        <f t="shared" si="66"/>
        <v>#VALUE!</v>
      </c>
      <c r="AS136" s="10" t="str">
        <f>IF((TEXT(_xll.BDP(AI136,"MATURITY"),"DD/MM/YYYY")="#N/A Field Not Applicable"),"Perp",_xll.BDP(AI136,"DS252"))</f>
        <v>#N/A Connection</v>
      </c>
      <c r="AT136" s="15" t="str">
        <f>(IF(_xll.BDP($AI136&amp;" ISIN","DT247")="Y","Yes","No"))</f>
        <v>No</v>
      </c>
      <c r="AU136" s="15" t="str">
        <f>PROPER(IF(OR(_xll.BDP($AI136,"CPN_TYP")="#n/a N/A",_xll.BDP($AI136,"CPN_TYP")= "#N/A FIELD NOT APPLICABLE"), " ", _xll.BDP($AI136,"CPN_TYP")))</f>
        <v>#N/A Connection</v>
      </c>
      <c r="BG136" s="17" t="str">
        <f t="shared" si="57"/>
        <v>FR0013322823</v>
      </c>
      <c r="BH136" s="17">
        <v>0.82</v>
      </c>
      <c r="BI136" s="18">
        <v>3</v>
      </c>
      <c r="BJ136" s="19">
        <v>44393</v>
      </c>
      <c r="BK136" s="20">
        <v>1</v>
      </c>
    </row>
    <row r="137" spans="1:64" s="124" customFormat="1" ht="14.45" customHeight="1" x14ac:dyDescent="0.25">
      <c r="A137" s="49" t="s">
        <v>241</v>
      </c>
      <c r="B137" s="49" t="s">
        <v>272</v>
      </c>
      <c r="C137" s="49">
        <v>2620061.0010000002</v>
      </c>
      <c r="D137" s="49" t="s">
        <v>240</v>
      </c>
      <c r="E137" s="4" t="str">
        <f>_xll.BDP(AI137,"ds520")</f>
        <v>TVF Varlik Kiralama AS</v>
      </c>
      <c r="F137" s="4" t="str">
        <f>_xll.BDP(AI137,"crncy")</f>
        <v>USD</v>
      </c>
      <c r="G137" s="5" t="s">
        <v>136</v>
      </c>
      <c r="H137" s="4" t="str">
        <f>IF(_xll.BDP(AI137,"RTG_MOODY")="#N/A N/A","N/A",_xll.BDP(AI137,"RTG_MOODY"))&amp;","&amp;IF(_xll.BDP(AI137,"RTG_FITCH")="#N/A N/A","N/A",_xll.BDP(AI137,"RTG_FITCH"))&amp;","&amp;IF(_xll.BDP(AI137,"RTG_SP")="#N/A N/A","N/A",_xll.BDP(AI137,"RTG_SP"))</f>
        <v>N/A,BB-,N/A</v>
      </c>
      <c r="I137" s="7">
        <f>_xll.BDP(AI137,"cpn")/100</f>
        <v>6.9500000000000006E-2</v>
      </c>
      <c r="J137" s="7">
        <f ca="1">_xll.BDP($G137&amp;" isin","YAS_BOND_YLD", "YAS_YLD_FLAG=15", "user_local_trade_date",AN137,"Yas_bond_px",$Q137)/100</f>
        <v>7.1722910000000001E-2</v>
      </c>
      <c r="K137" s="4" t="str">
        <f>_xll.BDP(AI137,"PAYMENT_RANK")</f>
        <v>Sr Unsecured</v>
      </c>
      <c r="L137" s="4" t="str">
        <f>IF((TEXT(_xll.BDP(AI137,"MATURITY"),"DD/MM/YYYY")="#N/A Field Not Applicable"),"Perp",TEXT(_xll.BDP(AI137,"MATURITY"),"DD/MM/YYYY"))</f>
        <v>23/01/2030</v>
      </c>
      <c r="M137" s="8">
        <f>(IF(_xll.BDP($AI137&amp;" ISIN","DU003")="#n/a n/a"," ",_xll.BDP($AI137&amp;" ISIN","DU003")))</f>
        <v>4.0302780432457386</v>
      </c>
      <c r="N137" s="4" t="str">
        <f>IF(_xll.BDP(AI137,"CALLABLE")="Y",_xll.BDP(AI137,"NXT_CALL_DT")," ")</f>
        <v xml:space="preserve"> </v>
      </c>
      <c r="O137" s="9">
        <v>200000</v>
      </c>
      <c r="P137" s="5">
        <v>100.01</v>
      </c>
      <c r="Q137" s="10">
        <f>_xll.BDP(AI137,"px_bid")</f>
        <v>99.11</v>
      </c>
      <c r="R137" s="11">
        <f>IF(F137="USD",AG137,(((_xll.BDP(F137&amp;"USD CURNCY","PX_LAST")))*AG137))</f>
        <v>200020</v>
      </c>
      <c r="S137" s="11">
        <f>IF(F137="USD",AH137,(((_xll.BDP(F137&amp;"USD CURNCY","PX_LAST")))*AH137))+AP137</f>
        <v>201990.13698630137</v>
      </c>
      <c r="T137" s="12">
        <f t="shared" si="58"/>
        <v>-1800.0000000000114</v>
      </c>
      <c r="U137" s="13">
        <f t="shared" si="59"/>
        <v>-8.9991000899910575E-3</v>
      </c>
      <c r="V137" s="13" t="str" cm="1">
        <f t="array" ref="V137">IFERROR(_xll.BDP($G137&amp;" ISIN","CHG_PCT_1D")/100,"")</f>
        <v/>
      </c>
      <c r="W137" s="13" t="str" cm="1">
        <f t="array" ref="W137">IFERROR(_xll.BDP($G137&amp;" ISIN","CHG_PCT_5D")/100,"")</f>
        <v/>
      </c>
      <c r="X137" s="13" t="e" cm="1">
        <f t="array" ref="X137">_xll.BDP($G137&amp;" ISIN","CHG_PCT_1M")/100</f>
        <v>#VALUE!</v>
      </c>
      <c r="Y137" s="13" t="e" cm="1">
        <f t="array" ref="Y137">_xll.BDP($G137&amp;" ISIN","CHG_PCT_3M")/100</f>
        <v>#VALUE!</v>
      </c>
      <c r="Z137" s="13" t="e" cm="1">
        <f t="array" ref="Z137">_xll.BDP($G137&amp;" ISIN","CHG_PCT_6M")/100</f>
        <v>#VALUE!</v>
      </c>
      <c r="AA137" s="13" t="e" cm="1">
        <f t="array" ref="AA137">_xll.BDP($G137&amp;" ISIN","CHG_PCT_YTD")/100</f>
        <v>#VALUE!</v>
      </c>
      <c r="AB137" s="13" t="e">
        <f t="shared" si="60"/>
        <v>#VALUE!</v>
      </c>
      <c r="AC137" s="14">
        <f t="shared" ca="1" si="61"/>
        <v>5999.4444444444343</v>
      </c>
      <c r="AD137" s="4" t="str">
        <f>_xll.BDP(AI137,"DS199")</f>
        <v>Financial</v>
      </c>
      <c r="AE137" s="10">
        <f>_xll.BDP(AI137,"px_ask")</f>
        <v>99.495999999999995</v>
      </c>
      <c r="AF137" s="14">
        <f>IF(F137="USD",O137,(((_xll.BDP(F137&amp;"USD CURNCY","PX_LAST")))*O137))</f>
        <v>200000</v>
      </c>
      <c r="AG137" s="11">
        <f t="shared" si="62"/>
        <v>200020</v>
      </c>
      <c r="AH137" s="11">
        <f t="shared" si="63"/>
        <v>198220</v>
      </c>
      <c r="AI137" s="4" t="str">
        <f t="shared" si="64"/>
        <v>XS2911679004 ISIN</v>
      </c>
      <c r="AJ137" s="4" t="e" cm="1">
        <f t="array" ref="AJ137">VLOOKUP(IF(NOT(_xll.BDP($G137&amp;" CORP",$CA$5)="#N/A N/A"),(_xll.BDP($G137&amp;" CORP",$CA$5)),"-"), '[1]Country Codes'!$A$2:$B$253,2,0)</f>
        <v>#N/A</v>
      </c>
      <c r="AK137" s="4" t="str" cm="1">
        <f t="array" ref="AK137">IF(OR(_xll.BDP($AI137,"EX028")= "#N/A N/A", _xll.BDP($AI137,"EX028")="#N/A FIELD NOT APPLICABLE"), " ", _xll.BDP($AI137,"EX028"))</f>
        <v>FixedIncome</v>
      </c>
      <c r="AL137" s="15" t="str">
        <f>(IF(_xll.BDP($AI137&amp;" ISIN","DZ282")="Y","Single line Bonds Cocos","Single line Bonds ex Cocos"))</f>
        <v>Single line Bonds ex Cocos</v>
      </c>
      <c r="AM137" s="8">
        <f>(IF(_xll.BDP($G137&amp;" ISIN","SP153")="#n/a n/a"," ",_xll.BDP($G137&amp;" ISIN","SP153")))</f>
        <v>370.64895526953268</v>
      </c>
      <c r="AN137" s="16">
        <f t="shared" ca="1" si="65"/>
        <v>45783</v>
      </c>
      <c r="AO137" s="11">
        <f>(((_xll.BDP(AI137,"DS032"))/365)*I137)*O137</f>
        <v>3770.1369863013701</v>
      </c>
      <c r="AP137" s="11">
        <f>IF(F137="USD",AO137,(((_xll.BDP(F137&amp;"USD CURNCY","PX_LAST")))*AO137))</f>
        <v>3770.1369863013701</v>
      </c>
      <c r="AQ137" s="13">
        <f t="shared" si="56"/>
        <v>1.1275855808236039</v>
      </c>
      <c r="AR137" s="11">
        <f t="shared" si="66"/>
        <v>198220</v>
      </c>
      <c r="AS137" s="10">
        <f>IF((TEXT(_xll.BDP(AI137,"MATURITY"),"DD/MM/YYYY")="#N/A Field Not Applicable"),"Perp",_xll.BDP(AI137,"DS252"))</f>
        <v>4.7337440109514031</v>
      </c>
      <c r="AT137" s="15" t="str">
        <f>(IF(_xll.BDP($AI137&amp;" ISIN","DT247")="Y","Yes","No"))</f>
        <v>No</v>
      </c>
      <c r="AU137" s="15" t="str">
        <f>PROPER(IF(OR(_xll.BDP($AI137,"CPN_TYP")="#n/a N/A",_xll.BDP($AI137,"CPN_TYP")= "#N/A FIELD NOT APPLICABLE"), " ", _xll.BDP($AI137,"CPN_TYP")))</f>
        <v>Fixed</v>
      </c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17" t="str">
        <f t="shared" si="57"/>
        <v>XS2911679004</v>
      </c>
      <c r="BH137" s="17">
        <v>0.72</v>
      </c>
      <c r="BI137" s="18">
        <v>3</v>
      </c>
      <c r="BJ137" s="19">
        <v>45581</v>
      </c>
      <c r="BK137" s="20">
        <v>1</v>
      </c>
      <c r="BL137" s="21"/>
    </row>
    <row r="138" spans="1:64" s="21" customFormat="1" ht="14.45" customHeight="1" x14ac:dyDescent="0.25">
      <c r="A138" s="49" t="s">
        <v>241</v>
      </c>
      <c r="B138" s="49" t="s">
        <v>272</v>
      </c>
      <c r="C138" s="49">
        <v>2620061.0010000002</v>
      </c>
      <c r="D138" s="49" t="s">
        <v>240</v>
      </c>
      <c r="E138" s="4" t="str">
        <f>_xll.BDP(AI138,"ds520")</f>
        <v>#N/A Connection</v>
      </c>
      <c r="F138" s="4" t="str">
        <f>_xll.BDP(AI138,"crncy")</f>
        <v>#N/A Connection</v>
      </c>
      <c r="G138" s="5" t="s">
        <v>228</v>
      </c>
      <c r="H138" s="4" t="str">
        <f>IF(_xll.BDP(AI138,"RTG_MOODY")="#N/A N/A","N/A",_xll.BDP(AI138,"RTG_MOODY"))&amp;","&amp;IF(_xll.BDP(AI138,"RTG_FITCH")="#N/A N/A","N/A",_xll.BDP(AI138,"RTG_FITCH"))&amp;","&amp;IF(_xll.BDP(AI138,"RTG_SP")="#N/A N/A","N/A",_xll.BDP(AI138,"RTG_SP"))</f>
        <v>#N/A Connection,#N/A Connection,#N/A Connection</v>
      </c>
      <c r="I138" s="7" t="e">
        <f>_xll.BDP(AI138,"cpn")/100</f>
        <v>#VALUE!</v>
      </c>
      <c r="J138" s="7" t="e">
        <f ca="1">_xll.BDP($G138&amp;" isin","YAS_BOND_YLD", "YAS_YLD_FLAG=15", "user_local_trade_date",AN138,"Yas_bond_px",$Q138)/100</f>
        <v>#VALUE!</v>
      </c>
      <c r="K138" s="4" t="str">
        <f>_xll.BDP(AI138,"PAYMENT_RANK")</f>
        <v>#N/A Connection</v>
      </c>
      <c r="L138" s="4" t="str">
        <f>IF((TEXT(_xll.BDP(AI138,"MATURITY"),"DD/MM/YYYY")="#N/A Field Not Applicable"),"Perp",TEXT(_xll.BDP(AI138,"MATURITY"),"DD/MM/YYYY"))</f>
        <v>#N/A Connection</v>
      </c>
      <c r="M138" s="8" t="str">
        <f>(IF(_xll.BDP($AI138&amp;" ISIN","DU003")="#n/a n/a"," ",_xll.BDP($AI138&amp;" ISIN","DU003")))</f>
        <v>#N/A Connection</v>
      </c>
      <c r="N138" s="4" t="str">
        <f>IF(_xll.BDP(AI138,"CALLABLE")="Y",_xll.BDP(AI138,"NXT_CALL_DT")," ")</f>
        <v xml:space="preserve"> </v>
      </c>
      <c r="O138" s="9">
        <v>200000</v>
      </c>
      <c r="P138" s="5">
        <v>104.875</v>
      </c>
      <c r="Q138" s="10" t="str">
        <f>_xll.BDP(AI138,"px_bid")</f>
        <v>#N/A Connection</v>
      </c>
      <c r="R138" s="11" t="e">
        <f>IF(F138="USD",AG138,(((_xll.BDP(F138&amp;"USD CURNCY","PX_LAST")))*AG138))</f>
        <v>#VALUE!</v>
      </c>
      <c r="S138" s="11" t="e">
        <f>IF(F138="USD",AH138,(((_xll.BDP(F138&amp;"USD CURNCY","PX_LAST")))*AH138))+AP138</f>
        <v>#VALUE!</v>
      </c>
      <c r="T138" s="12" t="e">
        <f t="shared" si="58"/>
        <v>#VALUE!</v>
      </c>
      <c r="U138" s="13" t="e">
        <f t="shared" si="59"/>
        <v>#VALUE!</v>
      </c>
      <c r="V138" s="13" t="str" cm="1">
        <f t="array" ref="V138">IFERROR(_xll.BDP($G138&amp;" ISIN","CHG_PCT_1D")/100,"")</f>
        <v/>
      </c>
      <c r="W138" s="13" t="str" cm="1">
        <f t="array" ref="W138">IFERROR(_xll.BDP($G138&amp;" ISIN","CHG_PCT_5D")/100,"")</f>
        <v/>
      </c>
      <c r="X138" s="13" t="e" cm="1">
        <f t="array" ref="X138">_xll.BDP($G138&amp;" ISIN","CHG_PCT_1M")/100</f>
        <v>#VALUE!</v>
      </c>
      <c r="Y138" s="13" t="e" cm="1">
        <f t="array" ref="Y138">_xll.BDP($G138&amp;" ISIN","CHG_PCT_3M")/100</f>
        <v>#VALUE!</v>
      </c>
      <c r="Z138" s="13" t="e" cm="1">
        <f t="array" ref="Z138">_xll.BDP($G138&amp;" ISIN","CHG_PCT_6M")/100</f>
        <v>#VALUE!</v>
      </c>
      <c r="AA138" s="13" t="e" cm="1">
        <f t="array" ref="AA138">_xll.BDP($G138&amp;" ISIN","CHG_PCT_YTD")/100</f>
        <v>#VALUE!</v>
      </c>
      <c r="AB138" s="13" t="e">
        <f t="shared" si="60"/>
        <v>#VALUE!</v>
      </c>
      <c r="AC138" s="14" t="e">
        <f t="shared" ca="1" si="61"/>
        <v>#VALUE!</v>
      </c>
      <c r="AD138" s="4" t="str">
        <f>_xll.BDP(AI138,"DS199")</f>
        <v>#N/A Connection</v>
      </c>
      <c r="AE138" s="10" t="str">
        <f>_xll.BDP(AI138,"px_ask")</f>
        <v>#N/A Connection</v>
      </c>
      <c r="AF138" s="14" t="e">
        <f>IF(F138="USD",O138,(((_xll.BDP(F138&amp;"USD CURNCY","PX_LAST")))*O138))</f>
        <v>#VALUE!</v>
      </c>
      <c r="AG138" s="11">
        <f t="shared" si="62"/>
        <v>209750</v>
      </c>
      <c r="AH138" s="11" t="e">
        <f t="shared" si="63"/>
        <v>#VALUE!</v>
      </c>
      <c r="AI138" s="4" t="str">
        <f t="shared" si="64"/>
        <v>USU98401AB58 ISIN</v>
      </c>
      <c r="AJ138" s="4" t="e" cm="1">
        <f t="array" ref="AJ138">VLOOKUP(IF(NOT(_xll.BDP($G138&amp;" CORP",$CA$5)="#N/A N/A"),(_xll.BDP($G138&amp;" CORP",$CA$5)),"-"), '[1]Country Codes'!$A$2:$B$253,2,0)</f>
        <v>#N/A</v>
      </c>
      <c r="AK138" s="4" t="str" cm="1">
        <f t="array" ref="AK138">IF(OR(_xll.BDP($AI138,"EX028")= "#N/A N/A", _xll.BDP($AI138,"EX028")="#N/A FIELD NOT APPLICABLE"), " ", _xll.BDP($AI138,"EX028"))</f>
        <v>#N/A Connection</v>
      </c>
      <c r="AL138" s="15" t="str">
        <f>(IF(_xll.BDP($AI138&amp;" ISIN","DZ282")="Y","Single line Bonds Cocos","Single line Bonds ex Cocos"))</f>
        <v>Single line Bonds ex Cocos</v>
      </c>
      <c r="AM138" s="8" t="str">
        <f>(IF(_xll.BDP($G138&amp;" ISIN","SP153")="#n/a n/a"," ",_xll.BDP($G138&amp;" ISIN","SP153")))</f>
        <v>#N/A Connection</v>
      </c>
      <c r="AN138" s="16">
        <f t="shared" ca="1" si="65"/>
        <v>45783</v>
      </c>
      <c r="AO138" s="11" t="e">
        <f>(((_xll.BDP(AI138,"DS032"))/365)*I138)*O138</f>
        <v>#VALUE!</v>
      </c>
      <c r="AP138" s="11" t="e">
        <f>IF(F138="USD",AO138,(((_xll.BDP(F138&amp;"USD CURNCY","PX_LAST")))*AO138))</f>
        <v>#VALUE!</v>
      </c>
      <c r="AQ138" s="13" t="e">
        <f t="shared" si="56"/>
        <v>#VALUE!</v>
      </c>
      <c r="AR138" s="11" t="e">
        <f t="shared" si="66"/>
        <v>#VALUE!</v>
      </c>
      <c r="AS138" s="10" t="str">
        <f>IF((TEXT(_xll.BDP(AI138,"MATURITY"),"DD/MM/YYYY")="#N/A Field Not Applicable"),"Perp",_xll.BDP(AI138,"DS252"))</f>
        <v>#N/A Connection</v>
      </c>
      <c r="AT138" s="15" t="str">
        <f>(IF(_xll.BDP($AI138&amp;" ISIN","DT247")="Y","Yes","No"))</f>
        <v>No</v>
      </c>
      <c r="AU138" s="15" t="str">
        <f>PROPER(IF(OR(_xll.BDP($AI138,"CPN_TYP")="#n/a N/A",_xll.BDP($AI138,"CPN_TYP")= "#N/A FIELD NOT APPLICABLE"), " ", _xll.BDP($AI138,"CPN_TYP")))</f>
        <v>#N/A Connection</v>
      </c>
      <c r="BG138" s="17" t="str">
        <f t="shared" si="57"/>
        <v>USU98401AB58</v>
      </c>
      <c r="BH138" s="17">
        <v>0.52</v>
      </c>
      <c r="BI138" s="18">
        <v>4</v>
      </c>
      <c r="BJ138" s="19">
        <v>44393</v>
      </c>
      <c r="BK138" s="20">
        <v>1</v>
      </c>
    </row>
    <row r="139" spans="1:64" s="21" customFormat="1" ht="14.45" customHeight="1" x14ac:dyDescent="0.25">
      <c r="A139" s="49" t="s">
        <v>241</v>
      </c>
      <c r="B139" s="49" t="s">
        <v>273</v>
      </c>
      <c r="C139" s="49">
        <v>2620058.003</v>
      </c>
      <c r="D139" s="49" t="s">
        <v>240</v>
      </c>
      <c r="E139" s="4" t="str">
        <f>_xll.BDP(AI139,"ds520")</f>
        <v>#N/A Connection</v>
      </c>
      <c r="F139" s="4" t="str">
        <f>_xll.BDP(AI139,"crncy")</f>
        <v>#N/A Connection</v>
      </c>
      <c r="G139" s="5" t="s">
        <v>227</v>
      </c>
      <c r="H139" s="4" t="str">
        <f>IF(_xll.BDP(AI139,"RTG_MOODY")="#N/A N/A","N/A",_xll.BDP(AI139,"RTG_MOODY"))&amp;","&amp;IF(_xll.BDP(AI139,"RTG_FITCH")="#N/A N/A","N/A",_xll.BDP(AI139,"RTG_FITCH"))&amp;","&amp;IF(_xll.BDP(AI139,"RTG_SP")="#N/A N/A","N/A",_xll.BDP(AI139,"RTG_SP"))</f>
        <v>#N/A Connection,#N/A Connection,#N/A Connection</v>
      </c>
      <c r="I139" s="7">
        <v>0</v>
      </c>
      <c r="J139" s="7">
        <v>0</v>
      </c>
      <c r="K139" s="4" t="str">
        <f>_xll.BDP(AI139,"PAYMENT_RANK")</f>
        <v>#N/A Connection</v>
      </c>
      <c r="L139" s="4" t="str">
        <f>IF((TEXT(_xll.BDP(AI139,"MATURITY"),"DD/MM/YYYY")="#N/A Field Not Applicable"),"Perp",TEXT(_xll.BDP(AI139,"MATURITY"),"DD/MM/YYYY"))</f>
        <v>#N/A Connection</v>
      </c>
      <c r="M139" s="8" t="str">
        <f>(IF(_xll.BDP($AI139&amp;" ISIN","DU003")="#n/a n/a"," ",_xll.BDP($AI139&amp;" ISIN","DU003")))</f>
        <v>#N/A Connection</v>
      </c>
      <c r="N139" s="4" t="str">
        <f>IF(_xll.BDP(AI139,"CALLABLE")="Y",_xll.BDP(AI139,"NXT_CALL_DT")," ")</f>
        <v xml:space="preserve"> </v>
      </c>
      <c r="O139" s="9">
        <v>200000</v>
      </c>
      <c r="P139" s="5">
        <v>102.8</v>
      </c>
      <c r="Q139" s="10" t="str">
        <f>_xll.BDP(AI139,"px_bid")</f>
        <v>#N/A Connection</v>
      </c>
      <c r="R139" s="11" t="e">
        <f>IF(F139="USD",AG139,(((_xll.BDP(F139&amp;"USD CURNCY","PX_LAST")))*AG139))</f>
        <v>#VALUE!</v>
      </c>
      <c r="S139" s="11" t="e">
        <f>IF(F139="USD",AH139,(((_xll.BDP(F139&amp;"USD CURNCY","PX_LAST")))*AH139))+AP139</f>
        <v>#VALUE!</v>
      </c>
      <c r="T139" s="12" t="e">
        <f t="shared" ref="T139:T148" si="67">U139*R139</f>
        <v>#VALUE!</v>
      </c>
      <c r="U139" s="13" t="e">
        <f t="shared" ref="U139:U148" si="68">(Q139-P139)/P139</f>
        <v>#VALUE!</v>
      </c>
      <c r="V139" s="13" t="str" cm="1">
        <f t="array" ref="V139">IFERROR(_xll.BDP($G139&amp;" ISIN","CHG_PCT_1D")/100,"")</f>
        <v/>
      </c>
      <c r="W139" s="13" t="str" cm="1">
        <f t="array" ref="W139">IFERROR(_xll.BDP($G139&amp;" ISIN","CHG_PCT_5D")/100,"")</f>
        <v/>
      </c>
      <c r="X139" s="13" t="e" cm="1">
        <f t="array" ref="X139">_xll.BDP($G139&amp;" ISIN","CHG_PCT_1M")/100</f>
        <v>#VALUE!</v>
      </c>
      <c r="Y139" s="13" t="e" cm="1">
        <f t="array" ref="Y139">_xll.BDP($G139&amp;" ISIN","CHG_PCT_3M")/100</f>
        <v>#VALUE!</v>
      </c>
      <c r="Z139" s="13" t="e" cm="1">
        <f t="array" ref="Z139">_xll.BDP($G139&amp;" ISIN","CHG_PCT_6M")/100</f>
        <v>#VALUE!</v>
      </c>
      <c r="AA139" s="13" t="e" cm="1">
        <f t="array" ref="AA139">_xll.BDP($G139&amp;" ISIN","CHG_PCT_YTD")/100</f>
        <v>#VALUE!</v>
      </c>
      <c r="AB139" s="13" t="e">
        <f>S139/$H$36</f>
        <v>#VALUE!</v>
      </c>
      <c r="AC139" s="14" t="e">
        <f t="shared" ref="AC139:AC148" ca="1" si="69">((AF139*I139)* ((TODAY()-BJ139)/360))+(Q139-P139)%*AF139</f>
        <v>#VALUE!</v>
      </c>
      <c r="AD139" s="4" t="str">
        <f>_xll.BDP(AI139,"DS199")</f>
        <v>#N/A Connection</v>
      </c>
      <c r="AE139" s="10" t="str">
        <f>_xll.BDP(AI139,"px_ask")</f>
        <v>#N/A Connection</v>
      </c>
      <c r="AF139" s="14" t="e">
        <f>IF(F139="USD",O139,(((_xll.BDP(F139&amp;"USD CURNCY","PX_LAST")))*O139))</f>
        <v>#VALUE!</v>
      </c>
      <c r="AG139" s="11">
        <f t="shared" ref="AG139:AG148" si="70">O139*P139/100</f>
        <v>205600</v>
      </c>
      <c r="AH139" s="11" t="e">
        <f t="shared" ref="AH139:AH148" si="71">Q139*O139/100</f>
        <v>#VALUE!</v>
      </c>
      <c r="AI139" s="4" t="str">
        <f t="shared" ref="AI139:AI148" si="72">G139&amp; " ISIN"</f>
        <v>XS2010030919 ISIN</v>
      </c>
      <c r="AJ139" s="4" t="e" cm="1">
        <f t="array" ref="AJ139">VLOOKUP(IF(NOT(_xll.BDP($G139&amp;" CORP",$CA$5)="#N/A N/A"),(_xll.BDP($G139&amp;" CORP",$CA$5)),"-"), '[1]Country Codes'!$A$2:$B$253,2,0)</f>
        <v>#N/A</v>
      </c>
      <c r="AK139" s="4" t="str" cm="1">
        <f t="array" ref="AK139">IF(OR(_xll.BDP($AI139,"EX028")= "#N/A N/A", _xll.BDP($AI139,"EX028")="#N/A FIELD NOT APPLICABLE"), " ", _xll.BDP($AI139,"EX028"))</f>
        <v>#N/A Connection</v>
      </c>
      <c r="AL139" s="15" t="str">
        <f>(IF(_xll.BDP($AI139&amp;" ISIN","DZ282")="Y","Single line Bonds Cocos","Single line Bonds ex Cocos"))</f>
        <v>Single line Bonds ex Cocos</v>
      </c>
      <c r="AM139" s="8" t="str">
        <f>(IF(_xll.BDP($G139&amp;" ISIN","SP153")="#n/a n/a"," ",_xll.BDP($G139&amp;" ISIN","SP153")))</f>
        <v>#N/A Connection</v>
      </c>
      <c r="AN139" s="16">
        <f t="shared" ref="AN139:AN148" ca="1" si="73">TODAY()</f>
        <v>45783</v>
      </c>
      <c r="AO139" s="11" t="e">
        <f>(((_xll.BDP(AI139,"DS032"))/365)*I139)*O139</f>
        <v>#VALUE!</v>
      </c>
      <c r="AP139" s="11" t="e">
        <f>IF(F139="USD",AO139,(((_xll.BDP(F139&amp;"USD CURNCY","PX_LAST")))*AO139))</f>
        <v>#VALUE!</v>
      </c>
      <c r="AQ139" s="13" t="e">
        <f t="shared" ref="AQ139:AQ148" si="74">S139/$S$112</f>
        <v>#VALUE!</v>
      </c>
      <c r="AR139" s="11" t="e">
        <f t="shared" ref="AR139:AR148" si="75">S139-AP139</f>
        <v>#VALUE!</v>
      </c>
      <c r="AS139" s="10" t="str">
        <f>IF((TEXT(_xll.BDP(AI139,"MATURITY"),"DD/MM/YYYY")="#N/A Field Not Applicable"),"Perp",_xll.BDP(AI139,"DS252"))</f>
        <v>#N/A Connection</v>
      </c>
      <c r="AT139" s="15" t="str">
        <f>(IF(_xll.BDP($AI139&amp;" ISIN","DT247")="Y","Yes","No"))</f>
        <v>No</v>
      </c>
      <c r="AU139" s="15" t="str">
        <f>PROPER(IF(OR(_xll.BDP($AI139,"CPN_TYP")="#n/a N/A",_xll.BDP($AI139,"CPN_TYP")= "#N/A FIELD NOT APPLICABLE"), " ", _xll.BDP($AI139,"CPN_TYP")))</f>
        <v>#N/A Connection</v>
      </c>
      <c r="BG139" s="17" t="str">
        <f>G139</f>
        <v>XS2010030919</v>
      </c>
      <c r="BH139" s="17">
        <v>0</v>
      </c>
      <c r="BI139" s="18">
        <v>5</v>
      </c>
      <c r="BJ139" s="19">
        <v>44393</v>
      </c>
      <c r="BK139" s="20">
        <v>1</v>
      </c>
    </row>
    <row r="140" spans="1:64" s="21" customFormat="1" ht="14.45" customHeight="1" x14ac:dyDescent="0.25">
      <c r="A140" s="49" t="s">
        <v>241</v>
      </c>
      <c r="B140" s="49" t="s">
        <v>273</v>
      </c>
      <c r="C140" s="49">
        <v>2620058.003</v>
      </c>
      <c r="D140" s="49" t="s">
        <v>240</v>
      </c>
      <c r="E140" s="4" t="str">
        <f>_xll.BDP(AI140,"ds520")</f>
        <v>#N/A Connection</v>
      </c>
      <c r="F140" s="4" t="str">
        <f>_xll.BDP(AI140,"crncy")</f>
        <v>#N/A Connection</v>
      </c>
      <c r="G140" s="5" t="s">
        <v>230</v>
      </c>
      <c r="H140" s="4" t="str">
        <f>IF(_xll.BDP(AI140,"RTG_MOODY")="#N/A N/A","N/A",_xll.BDP(AI140,"RTG_MOODY"))&amp;","&amp;IF(_xll.BDP(AI140,"RTG_FITCH")="#N/A N/A","N/A",_xll.BDP(AI140,"RTG_FITCH"))&amp;","&amp;IF(_xll.BDP(AI140,"RTG_SP")="#N/A N/A","N/A",_xll.BDP(AI140,"RTG_SP"))</f>
        <v>#N/A Connection,#N/A Connection,#N/A Connection</v>
      </c>
      <c r="I140" s="7" t="e">
        <f>_xll.BDP(AI140,"cpn")/100</f>
        <v>#VALUE!</v>
      </c>
      <c r="J140" s="7" t="e">
        <f ca="1">_xll.BDP($G140&amp;" isin","YAS_BOND_YLD", "YAS_YLD_FLAG=15", "user_local_trade_date",AN140,"Yas_bond_px",$Q140)/100</f>
        <v>#VALUE!</v>
      </c>
      <c r="K140" s="4" t="str">
        <f>_xll.BDP(AI140,"PAYMENT_RANK")</f>
        <v>#N/A Connection</v>
      </c>
      <c r="L140" s="4" t="str">
        <f>IF((TEXT(_xll.BDP(AI140,"MATURITY"),"DD/MM/YYYY")="#N/A Field Not Applicable"),"Perp",TEXT(_xll.BDP(AI140,"MATURITY"),"DD/MM/YYYY"))</f>
        <v>#N/A Connection</v>
      </c>
      <c r="M140" s="8" t="str">
        <f>(IF(_xll.BDP($AI140&amp;" ISIN","DU003")="#n/a n/a"," ",_xll.BDP($AI140&amp;" ISIN","DU003")))</f>
        <v>#N/A Connection</v>
      </c>
      <c r="N140" s="4" t="str">
        <f>IF(_xll.BDP(AI140,"CALLABLE")="Y",_xll.BDP(AI140,"NXT_CALL_DT")," ")</f>
        <v xml:space="preserve"> </v>
      </c>
      <c r="O140" s="9">
        <v>200000</v>
      </c>
      <c r="P140" s="5">
        <v>88.73</v>
      </c>
      <c r="Q140" s="10" t="str">
        <f>_xll.BDP(AI140,"px_bid")</f>
        <v>#N/A Connection</v>
      </c>
      <c r="R140" s="11" t="e">
        <f>IF(F140="USD",AG140,(((_xll.BDP(F140&amp;"USD CURNCY","PX_LAST")))*AG140))</f>
        <v>#VALUE!</v>
      </c>
      <c r="S140" s="11" t="e">
        <f>IF(F140="USD",AH140,(((_xll.BDP(F140&amp;"USD CURNCY","PX_LAST")))*AH140))+AP140</f>
        <v>#VALUE!</v>
      </c>
      <c r="T140" s="12" t="e">
        <f t="shared" si="67"/>
        <v>#VALUE!</v>
      </c>
      <c r="U140" s="13" t="e">
        <f t="shared" si="68"/>
        <v>#VALUE!</v>
      </c>
      <c r="V140" s="13" t="str" cm="1">
        <f t="array" ref="V140">IFERROR(_xll.BDP($G140&amp;" ISIN","CHG_PCT_1D")/100,"")</f>
        <v/>
      </c>
      <c r="W140" s="13" t="str" cm="1">
        <f t="array" ref="W140">IFERROR(_xll.BDP($G140&amp;" ISIN","CHG_PCT_5D")/100,"")</f>
        <v/>
      </c>
      <c r="X140" s="13" t="e" cm="1">
        <f t="array" ref="X140">_xll.BDP($G140&amp;" ISIN","CHG_PCT_1M")/100</f>
        <v>#VALUE!</v>
      </c>
      <c r="Y140" s="13" t="e" cm="1">
        <f t="array" ref="Y140">_xll.BDP($G140&amp;" ISIN","CHG_PCT_3M")/100</f>
        <v>#VALUE!</v>
      </c>
      <c r="Z140" s="13" t="e" cm="1">
        <f t="array" ref="Z140">_xll.BDP($G140&amp;" ISIN","CHG_PCT_6M")/100</f>
        <v>#VALUE!</v>
      </c>
      <c r="AA140" s="13" t="e" cm="1">
        <f t="array" ref="AA140">_xll.BDP($G140&amp;" ISIN","CHG_PCT_YTD")/100</f>
        <v>#VALUE!</v>
      </c>
      <c r="AB140" s="13" t="e">
        <f>S140/$H$36</f>
        <v>#VALUE!</v>
      </c>
      <c r="AC140" s="14" t="e">
        <f t="shared" ca="1" si="69"/>
        <v>#VALUE!</v>
      </c>
      <c r="AD140" s="4" t="str">
        <f>_xll.BDP(AI140,"DS199")</f>
        <v>#N/A Connection</v>
      </c>
      <c r="AE140" s="10" t="str">
        <f>_xll.BDP(AI140,"px_ask")</f>
        <v>#N/A Connection</v>
      </c>
      <c r="AF140" s="14" t="e">
        <f>IF(F140="USD",O140,(((_xll.BDP(F140&amp;"USD CURNCY","PX_LAST")))*O140))</f>
        <v>#VALUE!</v>
      </c>
      <c r="AG140" s="11">
        <f t="shared" si="70"/>
        <v>177460</v>
      </c>
      <c r="AH140" s="11" t="e">
        <f t="shared" si="71"/>
        <v>#VALUE!</v>
      </c>
      <c r="AI140" s="4" t="str">
        <f t="shared" si="72"/>
        <v>XS2063540038 ISIN</v>
      </c>
      <c r="AJ140" s="4" t="e" cm="1">
        <f t="array" ref="AJ140">VLOOKUP(IF(NOT(_xll.BDP($G140&amp;" CORP",$CA$5)="#N/A N/A"),(_xll.BDP($G140&amp;" CORP",$CA$5)),"-"), '[1]Country Codes'!$A$2:$B$253,2,0)</f>
        <v>#N/A</v>
      </c>
      <c r="AK140" s="4" t="str" cm="1">
        <f t="array" ref="AK140">IF(OR(_xll.BDP($AI140,"EX028")= "#N/A N/A", _xll.BDP($AI140,"EX028")="#N/A FIELD NOT APPLICABLE"), " ", _xll.BDP($AI140,"EX028"))</f>
        <v>#N/A Connection</v>
      </c>
      <c r="AL140" s="15" t="str">
        <f>(IF(_xll.BDP($AI140&amp;" ISIN","DZ282")="Y","Single line Bonds Cocos","Single line Bonds ex Cocos"))</f>
        <v>Single line Bonds ex Cocos</v>
      </c>
      <c r="AM140" s="8" t="str">
        <f>(IF(_xll.BDP($G140&amp;" ISIN","SP153")="#n/a n/a"," ",_xll.BDP($G140&amp;" ISIN","SP153")))</f>
        <v>#N/A Connection</v>
      </c>
      <c r="AN140" s="16">
        <f t="shared" ca="1" si="73"/>
        <v>45783</v>
      </c>
      <c r="AO140" s="11" t="e">
        <f>(((_xll.BDP(AI140,"DS032"))/365)*I140)*O140</f>
        <v>#VALUE!</v>
      </c>
      <c r="AP140" s="11" t="e">
        <f>IF(F140="USD",AO140,(((_xll.BDP(F140&amp;"USD CURNCY","PX_LAST")))*AO140))</f>
        <v>#VALUE!</v>
      </c>
      <c r="AQ140" s="13" t="e">
        <f t="shared" si="74"/>
        <v>#VALUE!</v>
      </c>
      <c r="AR140" s="11" t="e">
        <f t="shared" si="75"/>
        <v>#VALUE!</v>
      </c>
      <c r="AS140" s="10" t="str">
        <f>IF((TEXT(_xll.BDP(AI140,"MATURITY"),"DD/MM/YYYY")="#N/A Field Not Applicable"),"Perp",_xll.BDP(AI140,"DS252"))</f>
        <v>#N/A Connection</v>
      </c>
      <c r="AT140" s="15" t="str">
        <f>(IF(_xll.BDP($AI140&amp;" ISIN","DT247")="Y","Yes","No"))</f>
        <v>No</v>
      </c>
      <c r="AU140" s="15" t="str">
        <f>PROPER(IF(OR(_xll.BDP($AI140,"CPN_TYP")="#n/a N/A",_xll.BDP($AI140,"CPN_TYP")= "#N/A FIELD NOT APPLICABLE"), " ", _xll.BDP($AI140,"CPN_TYP")))</f>
        <v>#N/A Connection</v>
      </c>
      <c r="BG140" s="17" t="str">
        <f>G140</f>
        <v>XS2063540038</v>
      </c>
      <c r="BH140" s="17">
        <v>0.75</v>
      </c>
      <c r="BI140" s="18">
        <v>3</v>
      </c>
      <c r="BJ140" s="19">
        <v>45491</v>
      </c>
      <c r="BK140" s="20">
        <v>1</v>
      </c>
    </row>
    <row r="141" spans="1:64" s="21" customFormat="1" ht="14.45" customHeight="1" x14ac:dyDescent="0.25">
      <c r="A141" s="49" t="s">
        <v>241</v>
      </c>
      <c r="B141" s="49" t="s">
        <v>273</v>
      </c>
      <c r="C141" s="49">
        <v>2620058.003</v>
      </c>
      <c r="D141" s="49" t="s">
        <v>240</v>
      </c>
      <c r="E141" s="4" t="str">
        <f>_xll.BDP(AI141,"ds520")</f>
        <v>#N/A Connection</v>
      </c>
      <c r="F141" s="4" t="str">
        <f>_xll.BDP(AI141,"crncy")</f>
        <v>#N/A Connection</v>
      </c>
      <c r="G141" s="5" t="s">
        <v>226</v>
      </c>
      <c r="H141" s="4" t="str">
        <f>IF(_xll.BDP(AI141,"RTG_MOODY")="#N/A N/A","N/A",_xll.BDP(AI141,"RTG_MOODY"))&amp;","&amp;IF(_xll.BDP(AI141,"RTG_FITCH")="#N/A N/A","N/A",_xll.BDP(AI141,"RTG_FITCH"))&amp;","&amp;IF(_xll.BDP(AI141,"RTG_SP")="#N/A N/A","N/A",_xll.BDP(AI141,"RTG_SP"))</f>
        <v>#N/A Connection,#N/A Connection,#N/A Connection</v>
      </c>
      <c r="I141" s="7">
        <v>0</v>
      </c>
      <c r="J141" s="7">
        <v>0</v>
      </c>
      <c r="K141" s="4" t="str">
        <f>_xll.BDP(AI141,"PAYMENT_RANK")</f>
        <v>#N/A Connection</v>
      </c>
      <c r="L141" s="4" t="str">
        <f>IF((TEXT(_xll.BDP(AI141,"MATURITY"),"DD/MM/YYYY")="#N/A Field Not Applicable"),"Perp",TEXT(_xll.BDP(AI141,"MATURITY"),"DD/MM/YYYY"))</f>
        <v>#N/A Connection</v>
      </c>
      <c r="M141" s="8" t="str">
        <f>(IF(_xll.BDP($AI141&amp;" ISIN","DU003")="#n/a n/a"," ",_xll.BDP($AI141&amp;" ISIN","DU003")))</f>
        <v>#N/A Connection</v>
      </c>
      <c r="N141" s="4" t="str">
        <f>IF(_xll.BDP(AI141,"CALLABLE")="Y",_xll.BDP(AI141,"NXT_CALL_DT")," ")</f>
        <v xml:space="preserve"> </v>
      </c>
      <c r="O141" s="9">
        <v>200000</v>
      </c>
      <c r="P141" s="5">
        <v>104.875</v>
      </c>
      <c r="Q141" s="10" t="str">
        <f>_xll.BDP(AI141,"px_bid")</f>
        <v>#N/A Connection</v>
      </c>
      <c r="R141" s="11" t="e">
        <f>IF(F141="USD",AG141,(((_xll.BDP(F141&amp;"USD CURNCY","PX_LAST")))*AG141))</f>
        <v>#VALUE!</v>
      </c>
      <c r="S141" s="11" t="e">
        <f>IF(F141="USD",AH141,(((_xll.BDP(F141&amp;"USD CURNCY","PX_LAST")))*AH141))+AP141</f>
        <v>#VALUE!</v>
      </c>
      <c r="T141" s="12" t="e">
        <f t="shared" si="67"/>
        <v>#VALUE!</v>
      </c>
      <c r="U141" s="13" t="e">
        <f t="shared" si="68"/>
        <v>#VALUE!</v>
      </c>
      <c r="V141" s="13" t="str" cm="1">
        <f t="array" ref="V141">IFERROR(_xll.BDP($G141&amp;" ISIN","CHG_PCT_1D")/100,"")</f>
        <v/>
      </c>
      <c r="W141" s="13" t="str" cm="1">
        <f t="array" ref="W141">IFERROR(_xll.BDP($G141&amp;" ISIN","CHG_PCT_5D")/100,"")</f>
        <v/>
      </c>
      <c r="X141" s="13" t="e" cm="1">
        <f t="array" ref="X141">_xll.BDP($G141&amp;" ISIN","CHG_PCT_1M")/100</f>
        <v>#VALUE!</v>
      </c>
      <c r="Y141" s="13" t="e" cm="1">
        <f t="array" ref="Y141">_xll.BDP($G141&amp;" ISIN","CHG_PCT_3M")/100</f>
        <v>#VALUE!</v>
      </c>
      <c r="Z141" s="13" t="e" cm="1">
        <f t="array" ref="Z141">_xll.BDP($G141&amp;" ISIN","CHG_PCT_6M")/100</f>
        <v>#VALUE!</v>
      </c>
      <c r="AA141" s="13" t="e" cm="1">
        <f t="array" ref="AA141">_xll.BDP($G141&amp;" ISIN","CHG_PCT_YTD")/100</f>
        <v>#VALUE!</v>
      </c>
      <c r="AB141" s="13" t="e">
        <f>S141/$H$36</f>
        <v>#VALUE!</v>
      </c>
      <c r="AC141" s="14" t="e">
        <f t="shared" ca="1" si="69"/>
        <v>#VALUE!</v>
      </c>
      <c r="AD141" s="4" t="str">
        <f>_xll.BDP(AI141,"DS199")</f>
        <v>#N/A Connection</v>
      </c>
      <c r="AE141" s="10" t="str">
        <f>_xll.BDP(AI141,"px_ask")</f>
        <v>#N/A Connection</v>
      </c>
      <c r="AF141" s="14" t="e">
        <f>IF(F141="USD",O141,(((_xll.BDP(F141&amp;"USD CURNCY","PX_LAST")))*O141))</f>
        <v>#VALUE!</v>
      </c>
      <c r="AG141" s="11">
        <f t="shared" si="70"/>
        <v>209750</v>
      </c>
      <c r="AH141" s="11" t="e">
        <f t="shared" si="71"/>
        <v>#VALUE!</v>
      </c>
      <c r="AI141" s="4" t="str">
        <f t="shared" si="72"/>
        <v>XS2100725949 ISIN</v>
      </c>
      <c r="AJ141" s="4" t="e" cm="1">
        <f t="array" ref="AJ141">VLOOKUP(IF(NOT(_xll.BDP($G141&amp;" CORP",$CA$5)="#N/A N/A"),(_xll.BDP($G141&amp;" CORP",$CA$5)),"-"), '[1]Country Codes'!$A$2:$B$253,2,0)</f>
        <v>#N/A</v>
      </c>
      <c r="AK141" s="4" t="str" cm="1">
        <f t="array" ref="AK141">IF(OR(_xll.BDP($AI141,"EX028")= "#N/A N/A", _xll.BDP($AI141,"EX028")="#N/A FIELD NOT APPLICABLE"), " ", _xll.BDP($AI141,"EX028"))</f>
        <v>#N/A Connection</v>
      </c>
      <c r="AL141" s="15" t="str">
        <f>(IF(_xll.BDP($AI141&amp;" ISIN","DZ282")="Y","Single line Bonds Cocos","Single line Bonds ex Cocos"))</f>
        <v>Single line Bonds ex Cocos</v>
      </c>
      <c r="AM141" s="8" t="str">
        <f>(IF(_xll.BDP($G141&amp;" ISIN","SP153")="#n/a n/a"," ",_xll.BDP($G141&amp;" ISIN","SP153")))</f>
        <v>#N/A Connection</v>
      </c>
      <c r="AN141" s="16">
        <f t="shared" ca="1" si="73"/>
        <v>45783</v>
      </c>
      <c r="AO141" s="11" t="e">
        <f>(((_xll.BDP(AI141,"DS032"))/365)*I141)*O141</f>
        <v>#VALUE!</v>
      </c>
      <c r="AP141" s="11" t="e">
        <f>IF(F141="USD",AO141,(((_xll.BDP(F141&amp;"USD CURNCY","PX_LAST")))*AO141))</f>
        <v>#VALUE!</v>
      </c>
      <c r="AQ141" s="13" t="e">
        <f t="shared" si="74"/>
        <v>#VALUE!</v>
      </c>
      <c r="AR141" s="11" t="e">
        <f t="shared" si="75"/>
        <v>#VALUE!</v>
      </c>
      <c r="AS141" s="10" t="str">
        <f>IF((TEXT(_xll.BDP(AI141,"MATURITY"),"DD/MM/YYYY")="#N/A Field Not Applicable"),"Perp",_xll.BDP(AI141,"DS252"))</f>
        <v>#N/A Connection</v>
      </c>
      <c r="AT141" s="15" t="str">
        <f>(IF(_xll.BDP($AI141&amp;" ISIN","DT247")="Y","Yes","No"))</f>
        <v>No</v>
      </c>
      <c r="AU141" s="15" t="str">
        <f>PROPER(IF(OR(_xll.BDP($AI141,"CPN_TYP")="#n/a N/A",_xll.BDP($AI141,"CPN_TYP")= "#N/A FIELD NOT APPLICABLE"), " ", _xll.BDP($AI141,"CPN_TYP")))</f>
        <v>#N/A Connection</v>
      </c>
      <c r="BG141" s="17" t="str">
        <f>G141</f>
        <v>XS2100725949</v>
      </c>
      <c r="BH141" s="17">
        <v>0</v>
      </c>
      <c r="BI141" s="18">
        <v>5</v>
      </c>
      <c r="BJ141" s="19">
        <v>44393</v>
      </c>
      <c r="BK141" s="20">
        <v>1</v>
      </c>
    </row>
    <row r="142" spans="1:64" s="21" customFormat="1" ht="14.45" customHeight="1" x14ac:dyDescent="0.25">
      <c r="A142" s="49" t="s">
        <v>241</v>
      </c>
      <c r="B142" s="49" t="s">
        <v>273</v>
      </c>
      <c r="C142" s="49">
        <v>2620058.003</v>
      </c>
      <c r="D142" s="49" t="s">
        <v>240</v>
      </c>
      <c r="E142" s="4" t="str">
        <f>_xll.BDP(AI142,"ds520")</f>
        <v>#N/A Connection</v>
      </c>
      <c r="F142" s="4" t="str">
        <f>_xll.BDP(AI142,"crncy")</f>
        <v>#N/A Connection</v>
      </c>
      <c r="G142" s="5" t="s">
        <v>148</v>
      </c>
      <c r="H142" s="4" t="str">
        <f>IF(_xll.BDP(AI142,"RTG_MOODY")="#N/A N/A","N/A",_xll.BDP(AI142,"RTG_MOODY"))&amp;","&amp;IF(_xll.BDP(AI142,"RTG_FITCH")="#N/A N/A","N/A",_xll.BDP(AI142,"RTG_FITCH"))&amp;","&amp;IF(_xll.BDP(AI142,"RTG_SP")="#N/A N/A","N/A",_xll.BDP(AI142,"RTG_SP"))</f>
        <v>#N/A Connection,#N/A Connection,#N/A Connection</v>
      </c>
      <c r="I142" s="7" t="e">
        <f>_xll.BDP(AI142,"cpn")/100</f>
        <v>#VALUE!</v>
      </c>
      <c r="J142" s="7" t="e">
        <f ca="1">_xll.BDP($G142&amp;" isin","YAS_BOND_YLD", "YAS_YLD_FLAG=15", "user_local_trade_date",AN142,"Yas_bond_px",$Q142)/100</f>
        <v>#VALUE!</v>
      </c>
      <c r="K142" s="4" t="str">
        <f>_xll.BDP(AI142,"PAYMENT_RANK")</f>
        <v>#N/A Connection</v>
      </c>
      <c r="L142" s="4" t="str">
        <f>IF((TEXT(_xll.BDP(AI142,"MATURITY"),"DD/MM/YYYY")="#N/A Field Not Applicable"),"Perp",TEXT(_xll.BDP(AI142,"MATURITY"),"DD/MM/YYYY"))</f>
        <v>#N/A Connection</v>
      </c>
      <c r="M142" s="8" t="str">
        <f>(IF(_xll.BDP($AI142&amp;" ISIN","DU003")="#n/a n/a"," ",_xll.BDP($AI142&amp;" ISIN","DU003")))</f>
        <v>#N/A Connection</v>
      </c>
      <c r="N142" s="4" t="str">
        <f>IF(_xll.BDP(AI142,"CALLABLE")="Y",_xll.BDP(AI142,"NXT_CALL_DT")," ")</f>
        <v xml:space="preserve"> </v>
      </c>
      <c r="O142" s="9">
        <v>200000</v>
      </c>
      <c r="P142" s="5">
        <v>104.438</v>
      </c>
      <c r="Q142" s="10" t="str">
        <f>_xll.BDP(AI142,"px_bid")</f>
        <v>#N/A Connection</v>
      </c>
      <c r="R142" s="11" t="e">
        <f>IF(F142="USD",AG142,(((_xll.BDP(F142&amp;"USD CURNCY","PX_LAST")))*AG142))</f>
        <v>#VALUE!</v>
      </c>
      <c r="S142" s="11" t="e">
        <f>IF(F142="USD",AH142,(((_xll.BDP(F142&amp;"USD CURNCY","PX_LAST")))*AH142))+AP142</f>
        <v>#VALUE!</v>
      </c>
      <c r="T142" s="12" t="e">
        <f t="shared" si="67"/>
        <v>#VALUE!</v>
      </c>
      <c r="U142" s="13" t="e">
        <f t="shared" si="68"/>
        <v>#VALUE!</v>
      </c>
      <c r="V142" s="13" t="str" cm="1">
        <f t="array" ref="V142">IFERROR(_xll.BDP($G142&amp;" ISIN","CHG_PCT_1D")/100,"")</f>
        <v/>
      </c>
      <c r="W142" s="13" t="str" cm="1">
        <f t="array" ref="W142">IFERROR(_xll.BDP($G142&amp;" ISIN","CHG_PCT_5D")/100,"")</f>
        <v/>
      </c>
      <c r="X142" s="13" t="e" cm="1">
        <f t="array" ref="X142">_xll.BDP($G142&amp;" ISIN","CHG_PCT_1M")/100</f>
        <v>#VALUE!</v>
      </c>
      <c r="Y142" s="13" t="e" cm="1">
        <f t="array" ref="Y142">_xll.BDP($G142&amp;" ISIN","CHG_PCT_3M")/100</f>
        <v>#VALUE!</v>
      </c>
      <c r="Z142" s="13" t="e" cm="1">
        <f t="array" ref="Z142">_xll.BDP($G142&amp;" ISIN","CHG_PCT_6M")/100</f>
        <v>#VALUE!</v>
      </c>
      <c r="AA142" s="13" t="e" cm="1">
        <f t="array" ref="AA142">_xll.BDP($G142&amp;" ISIN","CHG_PCT_YTD")/100</f>
        <v>#VALUE!</v>
      </c>
      <c r="AB142" s="13" t="e">
        <f>S142/$H$36</f>
        <v>#VALUE!</v>
      </c>
      <c r="AC142" s="14" t="e">
        <f t="shared" ca="1" si="69"/>
        <v>#VALUE!</v>
      </c>
      <c r="AD142" s="4" t="str">
        <f>_xll.BDP(AI142,"DS199")</f>
        <v>#N/A Connection</v>
      </c>
      <c r="AE142" s="10" t="str">
        <f>_xll.BDP(AI142,"px_ask")</f>
        <v>#N/A Connection</v>
      </c>
      <c r="AF142" s="14" t="e">
        <f>IF(F142="USD",O142,(((_xll.BDP(F142&amp;"USD CURNCY","PX_LAST")))*O142))</f>
        <v>#VALUE!</v>
      </c>
      <c r="AG142" s="11">
        <f t="shared" si="70"/>
        <v>208876</v>
      </c>
      <c r="AH142" s="11" t="e">
        <f t="shared" si="71"/>
        <v>#VALUE!</v>
      </c>
      <c r="AI142" s="4" t="str">
        <f t="shared" si="72"/>
        <v>US251526CT41 ISIN</v>
      </c>
      <c r="AJ142" s="4" t="e" cm="1">
        <f t="array" ref="AJ142">VLOOKUP(IF(NOT(_xll.BDP($G142&amp;" CORP",$CA$5)="#N/A N/A"),(_xll.BDP($G142&amp;" CORP",$CA$5)),"-"), '[1]Country Codes'!$A$2:$B$253,2,0)</f>
        <v>#N/A</v>
      </c>
      <c r="AK142" s="4" t="str" cm="1">
        <f t="array" ref="AK142">IF(OR(_xll.BDP($AI142,"EX028")= "#N/A N/A", _xll.BDP($AI142,"EX028")="#N/A FIELD NOT APPLICABLE"), " ", _xll.BDP($AI142,"EX028"))</f>
        <v>#N/A Connection</v>
      </c>
      <c r="AL142" s="15" t="str">
        <f>(IF(_xll.BDP($AI142&amp;" ISIN","DZ282")="Y","Single line Bonds Cocos","Single line Bonds ex Cocos"))</f>
        <v>Single line Bonds ex Cocos</v>
      </c>
      <c r="AM142" s="8" t="str">
        <f>(IF(_xll.BDP($G142&amp;" ISIN","SP153")="#n/a n/a"," ",_xll.BDP($G142&amp;" ISIN","SP153")))</f>
        <v>#N/A Connection</v>
      </c>
      <c r="AN142" s="16">
        <f t="shared" ca="1" si="73"/>
        <v>45783</v>
      </c>
      <c r="AO142" s="11" t="e">
        <f>(((_xll.BDP(AI142,"DS032"))/365)*I142)*O142</f>
        <v>#VALUE!</v>
      </c>
      <c r="AP142" s="11" t="e">
        <f>IF(F142="USD",AO142,(((_xll.BDP(F142&amp;"USD CURNCY","PX_LAST")))*AO142))</f>
        <v>#VALUE!</v>
      </c>
      <c r="AQ142" s="13" t="e">
        <f t="shared" si="74"/>
        <v>#VALUE!</v>
      </c>
      <c r="AR142" s="11" t="e">
        <f t="shared" si="75"/>
        <v>#VALUE!</v>
      </c>
      <c r="AS142" s="10" t="str">
        <f>IF((TEXT(_xll.BDP(AI142,"MATURITY"),"DD/MM/YYYY")="#N/A Field Not Applicable"),"Perp",_xll.BDP(AI142,"DS252"))</f>
        <v>#N/A Connection</v>
      </c>
      <c r="AT142" s="15" t="str">
        <f>(IF(_xll.BDP($AI142&amp;" ISIN","DT247")="Y","Yes","No"))</f>
        <v>No</v>
      </c>
      <c r="AU142" s="15" t="str">
        <f>PROPER(IF(OR(_xll.BDP($AI142,"CPN_TYP")="#n/a N/A",_xll.BDP($AI142,"CPN_TYP")= "#N/A FIELD NOT APPLICABLE"), " ", _xll.BDP($AI142,"CPN_TYP")))</f>
        <v>#N/A Connection</v>
      </c>
      <c r="BG142" s="17" t="str">
        <f>G142</f>
        <v>US251526CT41</v>
      </c>
      <c r="BH142" s="17">
        <v>0.75</v>
      </c>
      <c r="BI142" s="18" t="s">
        <v>147</v>
      </c>
      <c r="BJ142" s="19">
        <v>45491</v>
      </c>
      <c r="BK142" s="20">
        <v>1</v>
      </c>
    </row>
    <row r="143" spans="1:64" s="21" customFormat="1" ht="14.45" customHeight="1" x14ac:dyDescent="0.25">
      <c r="A143" s="49" t="s">
        <v>241</v>
      </c>
      <c r="B143" s="49" t="s">
        <v>273</v>
      </c>
      <c r="C143" s="49">
        <v>2620058.003</v>
      </c>
      <c r="D143" s="49" t="s">
        <v>240</v>
      </c>
      <c r="E143" s="4" t="str">
        <f>_xll.BDP(AI143,"ds520")</f>
        <v>#N/A Connection</v>
      </c>
      <c r="F143" s="4" t="str">
        <f>_xll.BDP(AI143,"crncy")</f>
        <v>#N/A Connection</v>
      </c>
      <c r="G143" s="5" t="s">
        <v>232</v>
      </c>
      <c r="H143" s="4" t="str">
        <f>IF(_xll.BDP(AI143,"RTG_MOODY")="#N/A N/A","N/A",_xll.BDP(AI143,"RTG_MOODY"))&amp;","&amp;IF(_xll.BDP(AI143,"RTG_FITCH")="#N/A N/A","N/A",_xll.BDP(AI143,"RTG_FITCH"))&amp;","&amp;IF(_xll.BDP(AI143,"RTG_SP")="#N/A N/A","N/A",_xll.BDP(AI143,"RTG_SP"))</f>
        <v>#N/A Connection,#N/A Connection,#N/A Connection</v>
      </c>
      <c r="I143" s="7" t="e">
        <f>_xll.BDP(AI143,"cpn")/100</f>
        <v>#VALUE!</v>
      </c>
      <c r="J143" s="7" t="e">
        <f ca="1">_xll.BDP($G143&amp;" isin","YAS_BOND_YLD", "YAS_YLD_FLAG=15", "user_local_trade_date",AN143,"Yas_bond_px",$Q143)/100</f>
        <v>#VALUE!</v>
      </c>
      <c r="K143" s="4" t="str">
        <f>_xll.BDP(AI143,"PAYMENT_RANK")</f>
        <v>#N/A Connection</v>
      </c>
      <c r="L143" s="4" t="str">
        <f>IF((TEXT(_xll.BDP(AI143,"MATURITY"),"DD/MM/YYYY")="#N/A Field Not Applicable"),"Perp",TEXT(_xll.BDP(AI143,"MATURITY"),"DD/MM/YYYY"))</f>
        <v>#N/A Connection</v>
      </c>
      <c r="M143" s="8" t="str">
        <f>(IF(_xll.BDP($AI143&amp;" ISIN","DU003")="#n/a n/a"," ",_xll.BDP($AI143&amp;" ISIN","DU003")))</f>
        <v>#N/A Connection</v>
      </c>
      <c r="N143" s="4" t="str">
        <f>IF(_xll.BDP(AI143,"CALLABLE")="Y",_xll.BDP(AI143,"NXT_CALL_DT")," ")</f>
        <v xml:space="preserve"> </v>
      </c>
      <c r="O143" s="9">
        <v>200000</v>
      </c>
      <c r="P143" s="5">
        <v>103.84</v>
      </c>
      <c r="Q143" s="10" t="str">
        <f>_xll.BDP(AI143,"px_bid")</f>
        <v>#N/A Connection</v>
      </c>
      <c r="R143" s="11" t="e">
        <f>IF(F143="USD",AG143,(((_xll.BDP(F143&amp;"USD CURNCY","PX_LAST")))*AG143))</f>
        <v>#VALUE!</v>
      </c>
      <c r="S143" s="11" t="e">
        <f>IF(F143="USD",AH143,(((_xll.BDP(F143&amp;"USD CURNCY","PX_LAST")))*AH143))+AP143</f>
        <v>#VALUE!</v>
      </c>
      <c r="T143" s="12" t="e">
        <f t="shared" si="67"/>
        <v>#VALUE!</v>
      </c>
      <c r="U143" s="13" t="e">
        <f t="shared" si="68"/>
        <v>#VALUE!</v>
      </c>
      <c r="V143" s="13" t="str" cm="1">
        <f t="array" ref="V143">IFERROR(_xll.BDP($G143&amp;" ISIN","CHG_PCT_1D")/100,"")</f>
        <v/>
      </c>
      <c r="W143" s="13" t="str" cm="1">
        <f t="array" ref="W143">IFERROR(_xll.BDP($G143&amp;" ISIN","CHG_PCT_5D")/100,"")</f>
        <v/>
      </c>
      <c r="X143" s="13" t="e" cm="1">
        <f t="array" ref="X143">_xll.BDP($G143&amp;" ISIN","CHG_PCT_1M")/100</f>
        <v>#VALUE!</v>
      </c>
      <c r="Y143" s="13" t="e" cm="1">
        <f t="array" ref="Y143">_xll.BDP($G143&amp;" ISIN","CHG_PCT_3M")/100</f>
        <v>#VALUE!</v>
      </c>
      <c r="Z143" s="13" t="e" cm="1">
        <f t="array" ref="Z143">_xll.BDP($G143&amp;" ISIN","CHG_PCT_6M")/100</f>
        <v>#VALUE!</v>
      </c>
      <c r="AA143" s="13" t="e" cm="1">
        <f t="array" ref="AA143">_xll.BDP($G143&amp;" ISIN","CHG_PCT_YTD")/100</f>
        <v>#VALUE!</v>
      </c>
      <c r="AB143" s="13" t="e">
        <f>S143/$H$36</f>
        <v>#VALUE!</v>
      </c>
      <c r="AC143" s="14" t="e">
        <f t="shared" ca="1" si="69"/>
        <v>#VALUE!</v>
      </c>
      <c r="AD143" s="4" t="str">
        <f>_xll.BDP(AI143,"DS199")</f>
        <v>#N/A Connection</v>
      </c>
      <c r="AE143" s="10" t="str">
        <f>_xll.BDP(AI143,"px_ask")</f>
        <v>#N/A Connection</v>
      </c>
      <c r="AF143" s="14" t="e">
        <f>IF(F143="USD",O143,(((_xll.BDP(F143&amp;"USD CURNCY","PX_LAST")))*O143))</f>
        <v>#VALUE!</v>
      </c>
      <c r="AG143" s="11">
        <f t="shared" si="70"/>
        <v>207680</v>
      </c>
      <c r="AH143" s="11" t="e">
        <f t="shared" si="71"/>
        <v>#VALUE!</v>
      </c>
      <c r="AI143" s="4" t="str">
        <f t="shared" si="72"/>
        <v>US404280CN71 ISIN</v>
      </c>
      <c r="AJ143" s="4" t="e" cm="1">
        <f t="array" ref="AJ143">VLOOKUP(IF(NOT(_xll.BDP($G143&amp;" CORP",$CA$5)="#N/A N/A"),(_xll.BDP($G143&amp;" CORP",$CA$5)),"-"), '[1]Country Codes'!$A$2:$B$253,2,0)</f>
        <v>#N/A</v>
      </c>
      <c r="AK143" s="4" t="str" cm="1">
        <f t="array" ref="AK143">IF(OR(_xll.BDP($AI143,"EX028")= "#N/A N/A", _xll.BDP($AI143,"EX028")="#N/A FIELD NOT APPLICABLE"), " ", _xll.BDP($AI143,"EX028"))</f>
        <v>#N/A Connection</v>
      </c>
      <c r="AL143" s="15" t="str">
        <f>(IF(_xll.BDP($AI143&amp;" ISIN","DZ282")="Y","Single line Bonds Cocos","Single line Bonds ex Cocos"))</f>
        <v>Single line Bonds ex Cocos</v>
      </c>
      <c r="AM143" s="8" t="str">
        <f>(IF(_xll.BDP($G143&amp;" ISIN","SP153")="#n/a n/a"," ",_xll.BDP($G143&amp;" ISIN","SP153")))</f>
        <v>#N/A Connection</v>
      </c>
      <c r="AN143" s="16">
        <f t="shared" ca="1" si="73"/>
        <v>45783</v>
      </c>
      <c r="AO143" s="11" t="e">
        <f>(((_xll.BDP(AI143,"DS032"))/365)*I143)*O143</f>
        <v>#VALUE!</v>
      </c>
      <c r="AP143" s="11" t="e">
        <f>IF(F143="USD",AO143,(((_xll.BDP(F143&amp;"USD CURNCY","PX_LAST")))*AO143))</f>
        <v>#VALUE!</v>
      </c>
      <c r="AQ143" s="13" t="e">
        <f t="shared" si="74"/>
        <v>#VALUE!</v>
      </c>
      <c r="AR143" s="11" t="e">
        <f t="shared" si="75"/>
        <v>#VALUE!</v>
      </c>
      <c r="AS143" s="10" t="str">
        <f>IF((TEXT(_xll.BDP(AI143,"MATURITY"),"DD/MM/YYYY")="#N/A Field Not Applicable"),"Perp",_xll.BDP(AI143,"DS252"))</f>
        <v>#N/A Connection</v>
      </c>
      <c r="AT143" s="15" t="str">
        <f>(IF(_xll.BDP($AI143&amp;" ISIN","DT247")="Y","Yes","No"))</f>
        <v>No</v>
      </c>
      <c r="AU143" s="15" t="str">
        <f>PROPER(IF(OR(_xll.BDP($AI143,"CPN_TYP")="#n/a N/A",_xll.BDP($AI143,"CPN_TYP")= "#N/A FIELD NOT APPLICABLE"), " ", _xll.BDP($AI143,"CPN_TYP")))</f>
        <v>#N/A Connection</v>
      </c>
      <c r="BG143" s="17" t="str">
        <f>G143</f>
        <v>US404280CN71</v>
      </c>
      <c r="BH143" s="17">
        <v>0.65</v>
      </c>
      <c r="BI143" s="18" t="s">
        <v>147</v>
      </c>
      <c r="BJ143" s="19">
        <v>44393</v>
      </c>
      <c r="BK143" s="20">
        <v>1</v>
      </c>
    </row>
    <row r="144" spans="1:64" s="101" customFormat="1" ht="14.45" customHeight="1" x14ac:dyDescent="0.25">
      <c r="A144" s="49" t="s">
        <v>241</v>
      </c>
      <c r="B144" s="49" t="s">
        <v>273</v>
      </c>
      <c r="C144" s="49">
        <v>2620058.003</v>
      </c>
      <c r="D144" s="49" t="s">
        <v>240</v>
      </c>
      <c r="E144" s="4" t="str">
        <f>_xll.BDP(AI144,"ds520")</f>
        <v>#N/A Connection</v>
      </c>
      <c r="F144" s="4" t="str">
        <f>_xll.BDP(AI144,"crncy")</f>
        <v>#N/A Connection</v>
      </c>
      <c r="G144" s="5" t="s">
        <v>336</v>
      </c>
      <c r="H144" s="4" t="str">
        <f>IF(_xll.BDP(AI144,"RTG_MOODY")="#N/A N/A","N/A",_xll.BDP(AI144,"RTG_MOODY"))&amp;","&amp;IF(_xll.BDP(AI144,"RTG_FITCH")="#N/A N/A","N/A",_xll.BDP(AI144,"RTG_FITCH"))&amp;","&amp;IF(_xll.BDP(AI144,"RTG_SP")="#N/A N/A","N/A",_xll.BDP(AI144,"RTG_SP"))</f>
        <v>#N/A Connection,#N/A Connection,#N/A Connection</v>
      </c>
      <c r="I144" s="7" t="e">
        <f>_xll.BDP(AI144,"cpn")/100</f>
        <v>#VALUE!</v>
      </c>
      <c r="J144" s="7" t="e">
        <f ca="1">_xll.BDP($G144&amp;" isin","YAS_BOND_YLD", "YAS_YLD_FLAG=15", "user_local_trade_date",AN144,"Yas_bond_px",$Q144)/100</f>
        <v>#VALUE!</v>
      </c>
      <c r="K144" s="4" t="str">
        <f>_xll.BDP(AI144,"PAYMENT_RANK")</f>
        <v>#N/A Connection</v>
      </c>
      <c r="L144" s="4" t="str">
        <f>IF((TEXT(_xll.BDP(AI144,"MATURITY"),"DD/MM/YYYY")="#N/A Field Not Applicable"),"Perp",TEXT(_xll.BDP(AI144,"MATURITY"),"DD/MM/YYYY"))</f>
        <v>#N/A Connection</v>
      </c>
      <c r="M144" s="8" t="str">
        <f>(IF(_xll.BDP($AI144&amp;" ISIN","DU003")="#n/a n/a"," ",_xll.BDP($AI144&amp;" ISIN","DU003")))</f>
        <v>#N/A Connection</v>
      </c>
      <c r="N144" s="4" t="str">
        <f>IF(_xll.BDP(AI144,"CALLABLE")="Y",_xll.BDP(AI144,"NXT_CALL_DT")," ")</f>
        <v xml:space="preserve"> </v>
      </c>
      <c r="O144" s="9">
        <v>200000</v>
      </c>
      <c r="P144" s="5">
        <v>96.95</v>
      </c>
      <c r="Q144" s="10" t="str">
        <f>_xll.BDP(AI144,"px_bid")</f>
        <v>#N/A Connection</v>
      </c>
      <c r="R144" s="11" t="e">
        <f>IF(F144="USD",AG144,(((_xll.BDP(F144&amp;"USD CURNCY","PX_LAST")))*AG144))</f>
        <v>#VALUE!</v>
      </c>
      <c r="S144" s="11" t="e">
        <f>IF(F144="USD",AH144,(((_xll.BDP(F144&amp;"USD CURNCY","PX_LAST")))*AH144))+AP144</f>
        <v>#VALUE!</v>
      </c>
      <c r="T144" s="12" t="e">
        <f t="shared" si="67"/>
        <v>#VALUE!</v>
      </c>
      <c r="U144" s="13" t="e">
        <f t="shared" si="68"/>
        <v>#VALUE!</v>
      </c>
      <c r="V144" s="13" t="str" cm="1">
        <f t="array" ref="V144">IFERROR(_xll.BDP($G144&amp;" ISIN","CHG_PCT_1D")/100,"")</f>
        <v/>
      </c>
      <c r="W144" s="13" t="str" cm="1">
        <f t="array" ref="W144">IFERROR(_xll.BDP($G144&amp;" ISIN","CHG_PCT_5D")/100,"")</f>
        <v/>
      </c>
      <c r="X144" s="13" t="e" cm="1">
        <f t="array" ref="X144">_xll.BDP($G144&amp;" ISIN","CHG_PCT_1M")/100</f>
        <v>#VALUE!</v>
      </c>
      <c r="Y144" s="13" t="e" cm="1">
        <f t="array" ref="Y144">_xll.BDP($G144&amp;" ISIN","CHG_PCT_3M")/100</f>
        <v>#VALUE!</v>
      </c>
      <c r="Z144" s="13" t="e" cm="1">
        <f t="array" ref="Z144">_xll.BDP($G144&amp;" ISIN","CHG_PCT_6M")/100</f>
        <v>#VALUE!</v>
      </c>
      <c r="AA144" s="13" t="e">
        <f ca="1">((AD144*G144)* ((TODAY()-BH144)/360))+(O144-N144)%*AD144</f>
        <v>#VALUE!</v>
      </c>
      <c r="AB144" s="13" t="str">
        <f>_xll.BDP(AG144,"DS199")</f>
        <v>#N/A Connection</v>
      </c>
      <c r="AC144" s="14" t="e">
        <f t="shared" ca="1" si="69"/>
        <v>#VALUE!</v>
      </c>
      <c r="AD144" s="4" t="str">
        <f>_xll.BDP(AI144,"DS199")</f>
        <v>#N/A Connection</v>
      </c>
      <c r="AE144" s="10" t="str">
        <f>_xll.BDP(AI144,"px_ask")</f>
        <v>#N/A Connection</v>
      </c>
      <c r="AF144" s="14" t="e">
        <f>IF(F144="USD",O144,(((_xll.BDP(F144&amp;"USD CURNCY","PX_LAST")))*O144))</f>
        <v>#VALUE!</v>
      </c>
      <c r="AG144" s="11">
        <f t="shared" si="70"/>
        <v>193900</v>
      </c>
      <c r="AH144" s="11" t="e">
        <f t="shared" si="71"/>
        <v>#VALUE!</v>
      </c>
      <c r="AI144" s="4" t="str">
        <f t="shared" si="72"/>
        <v>US53944YBB83 ISIN</v>
      </c>
      <c r="AJ144" s="4" t="e" cm="1">
        <f t="array" ref="AJ144">VLOOKUP(IF(NOT(_xll.BDP($G144&amp;" CORP",$CA$5)="#N/A N/A"),(_xll.BDP($G144&amp;" CORP",$CA$5)),"-"), '[1]Country Codes'!$A$2:$B$253,2,0)</f>
        <v>#N/A</v>
      </c>
      <c r="AK144" s="4" t="str" cm="1">
        <f t="array" ref="AK144">IF(OR(_xll.BDP($AI144,"EX028")= "#N/A N/A", _xll.BDP($AI144,"EX028")="#N/A FIELD NOT APPLICABLE"), " ", _xll.BDP($AI144,"EX028"))</f>
        <v>#N/A Connection</v>
      </c>
      <c r="AL144" s="15" t="str">
        <f>(IF(_xll.BDP($AI144&amp;" ISIN","DZ282")="Y","Single line Bonds Cocos","Single line Bonds ex Cocos"))</f>
        <v>Single line Bonds ex Cocos</v>
      </c>
      <c r="AM144" s="8" t="str">
        <f>(IF(_xll.BDP($G144&amp;" ISIN","SP153")="#n/a n/a"," ",_xll.BDP($G144&amp;" ISIN","SP153")))</f>
        <v>#N/A Connection</v>
      </c>
      <c r="AN144" s="16">
        <f t="shared" ca="1" si="73"/>
        <v>45783</v>
      </c>
      <c r="AO144" s="11" t="e">
        <f>(((_xll.BDP(AI144,"DS032"))/365)*I144)*O144</f>
        <v>#VALUE!</v>
      </c>
      <c r="AP144" s="11" t="e">
        <f>IF(F144="USD",AO144,(((_xll.BDP(F144&amp;"USD CURNCY","PX_LAST")))*AO144))</f>
        <v>#VALUE!</v>
      </c>
      <c r="AQ144" s="13" t="e">
        <f t="shared" si="74"/>
        <v>#VALUE!</v>
      </c>
      <c r="AR144" s="11" t="e">
        <f t="shared" si="75"/>
        <v>#VALUE!</v>
      </c>
      <c r="AS144" s="10" t="str">
        <f>IF((TEXT(_xll.BDP(AI144,"MATURITY"),"DD/MM/YYYY")="#N/A Field Not Applicable"),"Perp",_xll.BDP(AI144,"DS252"))</f>
        <v>#N/A Connection</v>
      </c>
      <c r="AT144" s="15" t="str">
        <f>(IF(_xll.BDP($AI144&amp;" ISIN","DT247")="Y","Yes","No"))</f>
        <v>No</v>
      </c>
      <c r="AU144" s="15" t="str">
        <f>PROPER(IF(OR(_xll.BDP($AI144,"CPN_TYP")="#n/a N/A",_xll.BDP($AI144,"CPN_TYP")= "#N/A FIELD NOT APPLICABLE"), " ", _xll.BDP($AI144,"CPN_TYP")))</f>
        <v>#N/A Connection</v>
      </c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17" t="str">
        <f>M144</f>
        <v>#N/A Connection</v>
      </c>
      <c r="BH144" s="17">
        <v>0.55000000000000004</v>
      </c>
      <c r="BI144" s="18" t="s">
        <v>147</v>
      </c>
      <c r="BJ144" s="19">
        <v>45713</v>
      </c>
      <c r="BK144" s="20">
        <v>1</v>
      </c>
      <c r="BL144" s="21"/>
    </row>
    <row r="145" spans="1:64" s="21" customFormat="1" ht="14.45" customHeight="1" x14ac:dyDescent="0.25">
      <c r="A145" s="49" t="s">
        <v>241</v>
      </c>
      <c r="B145" s="49" t="s">
        <v>273</v>
      </c>
      <c r="C145" s="49">
        <v>2620058.003</v>
      </c>
      <c r="D145" s="49" t="s">
        <v>240</v>
      </c>
      <c r="E145" s="4" t="str">
        <f>_xll.BDP(AI145,"ds520")</f>
        <v>#N/A Connection</v>
      </c>
      <c r="F145" s="4" t="str">
        <f>_xll.BDP(AI145,"crncy")</f>
        <v>#N/A Connection</v>
      </c>
      <c r="G145" s="5" t="s">
        <v>233</v>
      </c>
      <c r="H145" s="4" t="str">
        <f>IF(_xll.BDP(AI145,"RTG_MOODY")="#N/A N/A","N/A",_xll.BDP(AI145,"RTG_MOODY"))&amp;","&amp;IF(_xll.BDP(AI145,"RTG_FITCH")="#N/A N/A","N/A",_xll.BDP(AI145,"RTG_FITCH"))&amp;","&amp;IF(_xll.BDP(AI145,"RTG_SP")="#N/A N/A","N/A",_xll.BDP(AI145,"RTG_SP"))</f>
        <v>#N/A Connection,#N/A Connection,#N/A Connection</v>
      </c>
      <c r="I145" s="7" t="e">
        <f>_xll.BDP(AI145,"cpn")/100</f>
        <v>#VALUE!</v>
      </c>
      <c r="J145" s="7" t="e">
        <f ca="1">_xll.BDP($G145&amp;" isin","YAS_BOND_YLD", "YAS_YLD_FLAG=15", "user_local_trade_date",AN145,"Yas_bond_px",$Q145)/100</f>
        <v>#VALUE!</v>
      </c>
      <c r="K145" s="4" t="str">
        <f>_xll.BDP(AI145,"PAYMENT_RANK")</f>
        <v>#N/A Connection</v>
      </c>
      <c r="L145" s="4" t="str">
        <f>IF((TEXT(_xll.BDP(AI145,"MATURITY"),"DD/MM/YYYY")="#N/A Field Not Applicable"),"Perp",TEXT(_xll.BDP(AI145,"MATURITY"),"DD/MM/YYYY"))</f>
        <v>#N/A Connection</v>
      </c>
      <c r="M145" s="8" t="str">
        <f>(IF(_xll.BDP($AI145&amp;" ISIN","DU003")="#n/a n/a"," ",_xll.BDP($AI145&amp;" ISIN","DU003")))</f>
        <v>#N/A Connection</v>
      </c>
      <c r="N145" s="4" t="str">
        <f>IF(_xll.BDP(AI145,"CALLABLE")="Y",_xll.BDP(AI145,"NXT_CALL_DT")," ")</f>
        <v xml:space="preserve"> </v>
      </c>
      <c r="O145" s="9">
        <v>200000</v>
      </c>
      <c r="P145" s="5">
        <v>106.815</v>
      </c>
      <c r="Q145" s="10" t="str">
        <f>_xll.BDP(AI145,"px_bid")</f>
        <v>#N/A Connection</v>
      </c>
      <c r="R145" s="11" t="e">
        <f>IF(F145="USD",AG145,(((_xll.BDP(F145&amp;"USD CURNCY","PX_LAST")))*AG145))</f>
        <v>#VALUE!</v>
      </c>
      <c r="S145" s="11" t="e">
        <f>IF(F145="USD",AH145,(((_xll.BDP(F145&amp;"USD CURNCY","PX_LAST")))*AH145))+AP145</f>
        <v>#VALUE!</v>
      </c>
      <c r="T145" s="12" t="e">
        <f t="shared" si="67"/>
        <v>#VALUE!</v>
      </c>
      <c r="U145" s="13" t="e">
        <f t="shared" si="68"/>
        <v>#VALUE!</v>
      </c>
      <c r="V145" s="13" t="str" cm="1">
        <f t="array" ref="V145">IFERROR(_xll.BDP($G145&amp;" ISIN","CHG_PCT_1D")/100,"")</f>
        <v/>
      </c>
      <c r="W145" s="13" t="str" cm="1">
        <f t="array" ref="W145">IFERROR(_xll.BDP($G145&amp;" ISIN","CHG_PCT_5D")/100,"")</f>
        <v/>
      </c>
      <c r="X145" s="13" t="e" cm="1">
        <f t="array" ref="X145">_xll.BDP($G145&amp;" ISIN","CHG_PCT_1M")/100</f>
        <v>#VALUE!</v>
      </c>
      <c r="Y145" s="13" t="e" cm="1">
        <f t="array" ref="Y145">_xll.BDP($G145&amp;" ISIN","CHG_PCT_3M")/100</f>
        <v>#VALUE!</v>
      </c>
      <c r="Z145" s="13" t="e" cm="1">
        <f t="array" ref="Z145">_xll.BDP($G145&amp;" ISIN","CHG_PCT_6M")/100</f>
        <v>#VALUE!</v>
      </c>
      <c r="AA145" s="13" t="e" cm="1">
        <f t="array" ref="AA145">_xll.BDP($G145&amp;" ISIN","CHG_PCT_YTD")/100</f>
        <v>#VALUE!</v>
      </c>
      <c r="AB145" s="13" t="e">
        <f>S145/$H$36</f>
        <v>#VALUE!</v>
      </c>
      <c r="AC145" s="14" t="e">
        <f t="shared" ca="1" si="69"/>
        <v>#VALUE!</v>
      </c>
      <c r="AD145" s="4" t="str">
        <f>_xll.BDP(AI145,"DS199")</f>
        <v>#N/A Connection</v>
      </c>
      <c r="AE145" s="10" t="str">
        <f>_xll.BDP(AI145,"px_ask")</f>
        <v>#N/A Connection</v>
      </c>
      <c r="AF145" s="14" t="e">
        <f>IF(F145="USD",O145,(((_xll.BDP(F145&amp;"USD CURNCY","PX_LAST")))*O145))</f>
        <v>#VALUE!</v>
      </c>
      <c r="AG145" s="11">
        <f t="shared" si="70"/>
        <v>213630</v>
      </c>
      <c r="AH145" s="11" t="e">
        <f t="shared" si="71"/>
        <v>#VALUE!</v>
      </c>
      <c r="AI145" s="4" t="str">
        <f t="shared" si="72"/>
        <v>FR0013322823 ISIN</v>
      </c>
      <c r="AJ145" s="4" t="e" cm="1">
        <f t="array" ref="AJ145">VLOOKUP(IF(NOT(_xll.BDP($G145&amp;" CORP",$CA$5)="#N/A N/A"),(_xll.BDP($G145&amp;" CORP",$CA$5)),"-"), '[1]Country Codes'!$A$2:$B$253,2,0)</f>
        <v>#N/A</v>
      </c>
      <c r="AK145" s="4" t="str" cm="1">
        <f t="array" ref="AK145">IF(OR(_xll.BDP($AI145,"EX028")= "#N/A N/A", _xll.BDP($AI145,"EX028")="#N/A FIELD NOT APPLICABLE"), " ", _xll.BDP($AI145,"EX028"))</f>
        <v>#N/A Connection</v>
      </c>
      <c r="AL145" s="15" t="str">
        <f>(IF(_xll.BDP($AI145&amp;" ISIN","DZ282")="Y","Single line Bonds Cocos","Single line Bonds ex Cocos"))</f>
        <v>Single line Bonds ex Cocos</v>
      </c>
      <c r="AM145" s="8" t="str">
        <f>(IF(_xll.BDP($G145&amp;" ISIN","SP153")="#n/a n/a"," ",_xll.BDP($G145&amp;" ISIN","SP153")))</f>
        <v>#N/A Connection</v>
      </c>
      <c r="AN145" s="16">
        <f t="shared" ca="1" si="73"/>
        <v>45783</v>
      </c>
      <c r="AO145" s="11" t="e">
        <f>(((_xll.BDP(AI145,"DS032"))/365)*I145)*O145</f>
        <v>#VALUE!</v>
      </c>
      <c r="AP145" s="11" t="e">
        <f>IF(F145="USD",AO145,(((_xll.BDP(F145&amp;"USD CURNCY","PX_LAST")))*AO145))</f>
        <v>#VALUE!</v>
      </c>
      <c r="AQ145" s="13" t="e">
        <f t="shared" si="74"/>
        <v>#VALUE!</v>
      </c>
      <c r="AR145" s="11" t="e">
        <f t="shared" si="75"/>
        <v>#VALUE!</v>
      </c>
      <c r="AS145" s="10" t="str">
        <f>IF((TEXT(_xll.BDP(AI145,"MATURITY"),"DD/MM/YYYY")="#N/A Field Not Applicable"),"Perp",_xll.BDP(AI145,"DS252"))</f>
        <v>#N/A Connection</v>
      </c>
      <c r="AT145" s="15" t="str">
        <f>(IF(_xll.BDP($AI145&amp;" ISIN","DT247")="Y","Yes","No"))</f>
        <v>No</v>
      </c>
      <c r="AU145" s="15" t="str">
        <f>PROPER(IF(OR(_xll.BDP($AI145,"CPN_TYP")="#n/a N/A",_xll.BDP($AI145,"CPN_TYP")= "#N/A FIELD NOT APPLICABLE"), " ", _xll.BDP($AI145,"CPN_TYP")))</f>
        <v>#N/A Connection</v>
      </c>
      <c r="BG145" s="17" t="str">
        <f>G145</f>
        <v>FR0013322823</v>
      </c>
      <c r="BH145" s="17">
        <v>0.8</v>
      </c>
      <c r="BI145" s="18">
        <v>3</v>
      </c>
      <c r="BJ145" s="19">
        <v>44393</v>
      </c>
      <c r="BK145" s="20">
        <v>1</v>
      </c>
    </row>
    <row r="146" spans="1:64" s="21" customFormat="1" ht="14.45" customHeight="1" x14ac:dyDescent="0.25">
      <c r="A146" s="49" t="s">
        <v>241</v>
      </c>
      <c r="B146" s="49" t="s">
        <v>273</v>
      </c>
      <c r="C146" s="49">
        <v>2620058.003</v>
      </c>
      <c r="D146" s="49" t="s">
        <v>240</v>
      </c>
      <c r="E146" s="4" t="str">
        <f>_xll.BDP(AI146,"ds520")</f>
        <v>TVF Varlik Kiralama AS</v>
      </c>
      <c r="F146" s="4" t="str">
        <f>_xll.BDP(AI146,"crncy")</f>
        <v>USD</v>
      </c>
      <c r="G146" s="5" t="s">
        <v>136</v>
      </c>
      <c r="H146" s="4" t="str">
        <f>IF(_xll.BDP(AI146,"RTG_MOODY")="#N/A N/A","N/A",_xll.BDP(AI146,"RTG_MOODY"))&amp;","&amp;IF(_xll.BDP(AI146,"RTG_FITCH")="#N/A N/A","N/A",_xll.BDP(AI146,"RTG_FITCH"))&amp;","&amp;IF(_xll.BDP(AI146,"RTG_SP")="#N/A N/A","N/A",_xll.BDP(AI146,"RTG_SP"))</f>
        <v>N/A,BB-,N/A</v>
      </c>
      <c r="I146" s="7">
        <f>_xll.BDP(AI146,"cpn")/100</f>
        <v>6.9500000000000006E-2</v>
      </c>
      <c r="J146" s="7">
        <f ca="1">_xll.BDP($G146&amp;" isin","YAS_BOND_YLD", "YAS_YLD_FLAG=15", "user_local_trade_date",AN146,"Yas_bond_px",$Q146)/100</f>
        <v>7.1722910000000001E-2</v>
      </c>
      <c r="K146" s="4" t="str">
        <f>_xll.BDP(AI146,"PAYMENT_RANK")</f>
        <v>Sr Unsecured</v>
      </c>
      <c r="L146" s="4" t="str">
        <f>IF((TEXT(_xll.BDP(AI146,"MATURITY"),"DD/MM/YYYY")="#N/A Field Not Applicable"),"Perp",TEXT(_xll.BDP(AI146,"MATURITY"),"DD/MM/YYYY"))</f>
        <v>23/01/2030</v>
      </c>
      <c r="M146" s="8">
        <f>(IF(_xll.BDP($AI146&amp;" ISIN","DU003")="#n/a n/a"," ",_xll.BDP($AI146&amp;" ISIN","DU003")))</f>
        <v>4.0302780432457386</v>
      </c>
      <c r="N146" s="4" t="str">
        <f>IF(_xll.BDP(AI146,"CALLABLE")="Y",_xll.BDP(AI146,"NXT_CALL_DT")," ")</f>
        <v xml:space="preserve"> </v>
      </c>
      <c r="O146" s="9">
        <v>200000</v>
      </c>
      <c r="P146" s="5">
        <v>100.01</v>
      </c>
      <c r="Q146" s="10">
        <f>_xll.BDP(AI146,"px_bid")</f>
        <v>99.11</v>
      </c>
      <c r="R146" s="11">
        <f>IF(F146="USD",AG146,(((_xll.BDP(F146&amp;"USD CURNCY","PX_LAST")))*AG146))</f>
        <v>200020</v>
      </c>
      <c r="S146" s="11">
        <f>IF(F146="USD",AH146,(((_xll.BDP(F146&amp;"USD CURNCY","PX_LAST")))*AH146))+AP146</f>
        <v>201990.13698630137</v>
      </c>
      <c r="T146" s="12">
        <f t="shared" si="67"/>
        <v>-1800.0000000000114</v>
      </c>
      <c r="U146" s="13">
        <f t="shared" si="68"/>
        <v>-8.9991000899910575E-3</v>
      </c>
      <c r="V146" s="13" t="str" cm="1">
        <f t="array" ref="V146">IFERROR(_xll.BDP($G146&amp;" ISIN","CHG_PCT_1D")/100,"")</f>
        <v/>
      </c>
      <c r="W146" s="13" t="str" cm="1">
        <f t="array" ref="W146">IFERROR(_xll.BDP($G146&amp;" ISIN","CHG_PCT_5D")/100,"")</f>
        <v/>
      </c>
      <c r="X146" s="13" t="e" cm="1">
        <f t="array" ref="X146">_xll.BDP($G146&amp;" ISIN","CHG_PCT_1M")/100</f>
        <v>#VALUE!</v>
      </c>
      <c r="Y146" s="13" t="e" cm="1">
        <f t="array" ref="Y146">_xll.BDP($G146&amp;" ISIN","CHG_PCT_3M")/100</f>
        <v>#VALUE!</v>
      </c>
      <c r="Z146" s="13" t="e" cm="1">
        <f t="array" ref="Z146">_xll.BDP($G146&amp;" ISIN","CHG_PCT_6M")/100</f>
        <v>#VALUE!</v>
      </c>
      <c r="AA146" s="13" t="e" cm="1">
        <f t="array" ref="AA146">_xll.BDP($G146&amp;" ISIN","CHG_PCT_YTD")/100</f>
        <v>#VALUE!</v>
      </c>
      <c r="AB146" s="13" t="e">
        <f>S146/$H$36</f>
        <v>#VALUE!</v>
      </c>
      <c r="AC146" s="14">
        <f t="shared" ca="1" si="69"/>
        <v>5999.4444444444343</v>
      </c>
      <c r="AD146" s="4" t="str">
        <f>_xll.BDP(AI146,"DS199")</f>
        <v>Financial</v>
      </c>
      <c r="AE146" s="10">
        <f>_xll.BDP(AI146,"px_ask")</f>
        <v>99.495999999999995</v>
      </c>
      <c r="AF146" s="14">
        <f>IF(F146="USD",O146,(((_xll.BDP(F146&amp;"USD CURNCY","PX_LAST")))*O146))</f>
        <v>200000</v>
      </c>
      <c r="AG146" s="11">
        <f t="shared" si="70"/>
        <v>200020</v>
      </c>
      <c r="AH146" s="11">
        <f t="shared" si="71"/>
        <v>198220</v>
      </c>
      <c r="AI146" s="4" t="str">
        <f t="shared" si="72"/>
        <v>XS2911679004 ISIN</v>
      </c>
      <c r="AJ146" s="4" t="e" cm="1">
        <f t="array" ref="AJ146">VLOOKUP(IF(NOT(_xll.BDP($G146&amp;" CORP",$CA$5)="#N/A N/A"),(_xll.BDP($G146&amp;" CORP",$CA$5)),"-"), '[1]Country Codes'!$A$2:$B$253,2,0)</f>
        <v>#N/A</v>
      </c>
      <c r="AK146" s="4" t="str" cm="1">
        <f t="array" ref="AK146">IF(OR(_xll.BDP($AI146,"EX028")= "#N/A N/A", _xll.BDP($AI146,"EX028")="#N/A FIELD NOT APPLICABLE"), " ", _xll.BDP($AI146,"EX028"))</f>
        <v>FixedIncome</v>
      </c>
      <c r="AL146" s="15" t="str">
        <f>(IF(_xll.BDP($AI146&amp;" ISIN","DZ282")="Y","Single line Bonds Cocos","Single line Bonds ex Cocos"))</f>
        <v>Single line Bonds ex Cocos</v>
      </c>
      <c r="AM146" s="8">
        <f>(IF(_xll.BDP($G146&amp;" ISIN","SP153")="#n/a n/a"," ",_xll.BDP($G146&amp;" ISIN","SP153")))</f>
        <v>370.64895526953268</v>
      </c>
      <c r="AN146" s="16">
        <f t="shared" ca="1" si="73"/>
        <v>45783</v>
      </c>
      <c r="AO146" s="11">
        <f>(((_xll.BDP(AI146,"DS032"))/365)*I146)*O146</f>
        <v>3770.1369863013701</v>
      </c>
      <c r="AP146" s="11">
        <f>IF(F146="USD",AO146,(((_xll.BDP(F146&amp;"USD CURNCY","PX_LAST")))*AO146))</f>
        <v>3770.1369863013701</v>
      </c>
      <c r="AQ146" s="13" t="e">
        <f t="shared" si="74"/>
        <v>#VALUE!</v>
      </c>
      <c r="AR146" s="11">
        <f t="shared" si="75"/>
        <v>198220</v>
      </c>
      <c r="AS146" s="10">
        <f>IF((TEXT(_xll.BDP(AI146,"MATURITY"),"DD/MM/YYYY")="#N/A Field Not Applicable"),"Perp",_xll.BDP(AI146,"DS252"))</f>
        <v>4.7337440109514031</v>
      </c>
      <c r="AT146" s="15" t="str">
        <f>(IF(_xll.BDP($AI146&amp;" ISIN","DT247")="Y","Yes","No"))</f>
        <v>No</v>
      </c>
      <c r="AU146" s="15" t="str">
        <f>PROPER(IF(OR(_xll.BDP($AI146,"CPN_TYP")="#n/a N/A",_xll.BDP($AI146,"CPN_TYP")= "#N/A FIELD NOT APPLICABLE"), " ", _xll.BDP($AI146,"CPN_TYP")))</f>
        <v>Fixed</v>
      </c>
      <c r="BG146" s="17" t="str">
        <f>G146</f>
        <v>XS2911679004</v>
      </c>
      <c r="BH146" s="17">
        <v>0.7</v>
      </c>
      <c r="BI146" s="18">
        <v>4</v>
      </c>
      <c r="BJ146" s="19">
        <v>45581</v>
      </c>
      <c r="BK146" s="20">
        <v>1</v>
      </c>
    </row>
    <row r="147" spans="1:64" s="124" customFormat="1" ht="14.45" customHeight="1" x14ac:dyDescent="0.25">
      <c r="A147" s="114" t="s">
        <v>241</v>
      </c>
      <c r="B147" s="114" t="s">
        <v>273</v>
      </c>
      <c r="C147" s="114">
        <v>2620058.003</v>
      </c>
      <c r="D147" s="114" t="s">
        <v>240</v>
      </c>
      <c r="E147" s="115" t="str">
        <f>_xll.BDP(AI147,"ds520")</f>
        <v>#N/A Connection</v>
      </c>
      <c r="F147" s="115" t="str">
        <f>_xll.BDP(AI147,"crncy")</f>
        <v>#N/A Connection</v>
      </c>
      <c r="G147" s="115" t="s">
        <v>44</v>
      </c>
      <c r="H147" s="115" t="str">
        <f>IF(_xll.BDP(AI147,"RTG_MOODY")="#N/A N/A","N/A",_xll.BDP(AI147,"RTG_MOODY"))&amp;","&amp;IF(_xll.BDP(AI147,"RTG_FITCH")="#N/A N/A","N/A",_xll.BDP(AI147,"RTG_FITCH"))&amp;","&amp;IF(_xll.BDP(AI147,"RTG_SP")="#N/A N/A","N/A",_xll.BDP(AI147,"RTG_SP"))</f>
        <v>#N/A Connection,#N/A Connection,#N/A Connection</v>
      </c>
      <c r="I147" s="116" t="e">
        <f>_xll.BDP(AI147,"cpn")/100</f>
        <v>#VALUE!</v>
      </c>
      <c r="J147" s="116" t="e">
        <f ca="1">_xll.BDP($G147&amp;" isin","YAS_BOND_YLD", "YAS_YLD_FLAG=15", "user_local_trade_date",AN147,"Yas_bond_px",$Q147)/100</f>
        <v>#VALUE!</v>
      </c>
      <c r="K147" s="115" t="str">
        <f>_xll.BDP(AI147,"PAYMENT_RANK")</f>
        <v>#N/A Connection</v>
      </c>
      <c r="L147" s="115" t="str">
        <f>IF((TEXT(_xll.BDP(AI147,"MATURITY"),"DD/MM/YYYY")="#N/A Field Not Applicable"),"Perp",TEXT(_xll.BDP(AI147,"MATURITY"),"DD/MM/YYYY"))</f>
        <v>#N/A Connection</v>
      </c>
      <c r="M147" s="117" t="str">
        <f>(IF(_xll.BDP($AI147&amp;" ISIN","DU003")="#n/a n/a"," ",_xll.BDP($AI147&amp;" ISIN","DU003")))</f>
        <v>#N/A Connection</v>
      </c>
      <c r="N147" s="115" t="str">
        <f>IF(_xll.BDP(AI147,"CALLABLE")="Y",_xll.BDP(AI147,"NXT_CALL_DT")," ")</f>
        <v xml:space="preserve"> </v>
      </c>
      <c r="O147" s="118">
        <v>130010</v>
      </c>
      <c r="P147" s="115">
        <v>31.676690000000001</v>
      </c>
      <c r="Q147" s="119" t="str">
        <f>_xll.BDP(AI147,"px_bid")</f>
        <v>#N/A Connection</v>
      </c>
      <c r="R147" s="120" t="e">
        <f>IF(F147="USD",AG147,(((_xll.BDP(F147&amp;"USD CURNCY","PX_LAST")))*AG147))</f>
        <v>#VALUE!</v>
      </c>
      <c r="S147" s="120" t="e">
        <f>IF(F147="USD",AH147,(((_xll.BDP(F147&amp;"USD CURNCY","PX_LAST")))*AH147))+AP147</f>
        <v>#VALUE!</v>
      </c>
      <c r="T147" s="121" t="e">
        <f t="shared" si="67"/>
        <v>#VALUE!</v>
      </c>
      <c r="U147" s="122" t="e">
        <f t="shared" si="68"/>
        <v>#VALUE!</v>
      </c>
      <c r="V147" s="122" t="str" cm="1">
        <f t="array" ref="V147">IFERROR(_xll.BDP($G147&amp;" ISIN","CHG_PCT_1D")/100,"")</f>
        <v/>
      </c>
      <c r="W147" s="122" t="str" cm="1">
        <f t="array" ref="W147">IFERROR(_xll.BDP($G147&amp;" ISIN","CHG_PCT_5D")/100,"")</f>
        <v/>
      </c>
      <c r="X147" s="122" t="e" cm="1">
        <f t="array" ref="X147">_xll.BDP($G147&amp;" ISIN","CHG_PCT_1M")/100</f>
        <v>#VALUE!</v>
      </c>
      <c r="Y147" s="122" t="e" cm="1">
        <f t="array" ref="Y147">_xll.BDP($G147&amp;" ISIN","CHG_PCT_3M")/100</f>
        <v>#VALUE!</v>
      </c>
      <c r="Z147" s="122" t="e" cm="1">
        <f t="array" ref="Z147">_xll.BDP($G147&amp;" ISIN","CHG_PCT_6M")/100</f>
        <v>#VALUE!</v>
      </c>
      <c r="AA147" s="13" t="e" cm="1">
        <f t="array" ref="AA147">_xll.BDP($G147&amp;" ISIN","CHG_PCT_YTD")/100</f>
        <v>#VALUE!</v>
      </c>
      <c r="AB147" s="13" t="e">
        <f>S147/$H$36</f>
        <v>#VALUE!</v>
      </c>
      <c r="AC147" s="118" t="e">
        <f t="shared" ca="1" si="69"/>
        <v>#VALUE!</v>
      </c>
      <c r="AD147" s="115" t="str">
        <f>_xll.BDP(AI147,"DS199")</f>
        <v>#N/A Connection</v>
      </c>
      <c r="AE147" s="119" t="str">
        <f>_xll.BDP(AI147,"px_ask")</f>
        <v>#N/A Connection</v>
      </c>
      <c r="AF147" s="118" t="e">
        <f>IF(F147="USD",O147,(((_xll.BDP(F147&amp;"USD CURNCY","PX_LAST")))*O147))</f>
        <v>#VALUE!</v>
      </c>
      <c r="AG147" s="120">
        <f t="shared" si="70"/>
        <v>41182.864669000002</v>
      </c>
      <c r="AH147" s="120" t="e">
        <f t="shared" si="71"/>
        <v>#VALUE!</v>
      </c>
      <c r="AI147" s="115" t="str">
        <f t="shared" si="72"/>
        <v>GB00BMBL1D50 ISIN</v>
      </c>
      <c r="AJ147" s="115" t="e" cm="1">
        <f t="array" ref="AJ147">VLOOKUP(IF(NOT(_xll.BDP($G147&amp;" CORP",$CA$5)="#N/A N/A"),(_xll.BDP($G147&amp;" CORP",$CA$5)),"-"), '[1]Country Codes'!$A$2:$B$253,2,0)</f>
        <v>#N/A</v>
      </c>
      <c r="AK147" s="115" t="str" cm="1">
        <f t="array" ref="AK147">IF(OR(_xll.BDP($AI147,"EX028")= "#N/A N/A", _xll.BDP($AI147,"EX028")="#N/A FIELD NOT APPLICABLE"), " ", _xll.BDP($AI147,"EX028"))</f>
        <v>#N/A Connection</v>
      </c>
      <c r="AL147" s="116" t="str">
        <f>(IF(_xll.BDP($AI147&amp;" ISIN","DZ282")="Y","Single line Bonds Cocos","Single line Bonds ex Cocos"))</f>
        <v>Single line Bonds ex Cocos</v>
      </c>
      <c r="AM147" s="117" t="str">
        <f>(IF(_xll.BDP($G147&amp;" ISIN","SP153")="#n/a n/a"," ",_xll.BDP($G147&amp;" ISIN","SP153")))</f>
        <v>#N/A Connection</v>
      </c>
      <c r="AN147" s="123">
        <f t="shared" ca="1" si="73"/>
        <v>45783</v>
      </c>
      <c r="AO147" s="120" t="e">
        <f>(((_xll.BDP(AI147,"DS032"))/365)*I147)*O147</f>
        <v>#VALUE!</v>
      </c>
      <c r="AP147" s="120" t="e">
        <f>IF(F147="USD",AO147,(((_xll.BDP(F147&amp;"USD CURNCY","PX_LAST")))*AO147))</f>
        <v>#VALUE!</v>
      </c>
      <c r="AQ147" s="122" t="e">
        <f t="shared" si="74"/>
        <v>#VALUE!</v>
      </c>
      <c r="AR147" s="120" t="e">
        <f t="shared" si="75"/>
        <v>#VALUE!</v>
      </c>
      <c r="AS147" s="119" t="str">
        <f>IF((TEXT(_xll.BDP(AI147,"MATURITY"),"DD/MM/YYYY")="#N/A Field Not Applicable"),"Perp",_xll.BDP(AI147,"DS252"))</f>
        <v>#N/A Connection</v>
      </c>
      <c r="AT147" s="116" t="str">
        <f>(IF(_xll.BDP($AI147&amp;" ISIN","DT247")="Y","Yes","No"))</f>
        <v>No</v>
      </c>
      <c r="AU147" s="116" t="str">
        <f>PROPER(IF(OR(_xll.BDP($AI147,"CPN_TYP")="#n/a N/A",_xll.BDP($AI147,"CPN_TYP")= "#N/A FIELD NOT APPLICABLE"), " ", _xll.BDP($AI147,"CPN_TYP")))</f>
        <v>#N/A Connection</v>
      </c>
      <c r="BG147" s="116" t="str">
        <f>G147</f>
        <v>GB00BMBL1D50</v>
      </c>
      <c r="BH147" s="116">
        <v>0.8</v>
      </c>
      <c r="BI147" s="125">
        <v>2</v>
      </c>
      <c r="BJ147" s="123">
        <v>45509</v>
      </c>
      <c r="BK147" s="126">
        <v>1</v>
      </c>
    </row>
    <row r="148" spans="1:64" s="21" customFormat="1" ht="14.45" customHeight="1" x14ac:dyDescent="0.25">
      <c r="A148" s="49" t="s">
        <v>241</v>
      </c>
      <c r="B148" s="49" t="s">
        <v>273</v>
      </c>
      <c r="C148" s="49">
        <v>2620058.003</v>
      </c>
      <c r="D148" s="49" t="s">
        <v>240</v>
      </c>
      <c r="E148" s="4" t="str">
        <f>_xll.BDP(AI148,"ds520")</f>
        <v>#N/A Connection</v>
      </c>
      <c r="F148" s="4" t="str">
        <f>_xll.BDP(AI148,"crncy")</f>
        <v>#N/A Connection</v>
      </c>
      <c r="G148" s="5" t="s">
        <v>228</v>
      </c>
      <c r="H148" s="4" t="str">
        <f>IF(_xll.BDP(AI148,"RTG_MOODY")="#N/A N/A","N/A",_xll.BDP(AI148,"RTG_MOODY"))&amp;","&amp;IF(_xll.BDP(AI148,"RTG_FITCH")="#N/A N/A","N/A",_xll.BDP(AI148,"RTG_FITCH"))&amp;","&amp;IF(_xll.BDP(AI148,"RTG_SP")="#N/A N/A","N/A",_xll.BDP(AI148,"RTG_SP"))</f>
        <v>#N/A Connection,#N/A Connection,#N/A Connection</v>
      </c>
      <c r="I148" s="7" t="e">
        <f>_xll.BDP(AI148,"cpn")/100</f>
        <v>#VALUE!</v>
      </c>
      <c r="J148" s="7" t="e">
        <f ca="1">_xll.BDP($G148&amp;" isin","YAS_BOND_YLD", "YAS_YLD_FLAG=15", "user_local_trade_date",AN148,"Yas_bond_px",$Q148)/100</f>
        <v>#VALUE!</v>
      </c>
      <c r="K148" s="4" t="str">
        <f>_xll.BDP(AI148,"PAYMENT_RANK")</f>
        <v>#N/A Connection</v>
      </c>
      <c r="L148" s="4" t="str">
        <f>IF((TEXT(_xll.BDP(AI148,"MATURITY"),"DD/MM/YYYY")="#N/A Field Not Applicable"),"Perp",TEXT(_xll.BDP(AI148,"MATURITY"),"DD/MM/YYYY"))</f>
        <v>#N/A Connection</v>
      </c>
      <c r="M148" s="8" t="str">
        <f>(IF(_xll.BDP($AI148&amp;" ISIN","DU003")="#n/a n/a"," ",_xll.BDP($AI148&amp;" ISIN","DU003")))</f>
        <v>#N/A Connection</v>
      </c>
      <c r="N148" s="4" t="str">
        <f>IF(_xll.BDP(AI148,"CALLABLE")="Y",_xll.BDP(AI148,"NXT_CALL_DT")," ")</f>
        <v xml:space="preserve"> </v>
      </c>
      <c r="O148" s="9">
        <v>200000</v>
      </c>
      <c r="P148" s="5">
        <v>104.875</v>
      </c>
      <c r="Q148" s="10" t="str">
        <f>_xll.BDP(AI148,"px_bid")</f>
        <v>#N/A Connection</v>
      </c>
      <c r="R148" s="11" t="e">
        <f>IF(F148="USD",AG148,(((_xll.BDP(F148&amp;"USD CURNCY","PX_LAST")))*AG148))</f>
        <v>#VALUE!</v>
      </c>
      <c r="S148" s="11" t="e">
        <f>IF(F148="USD",AH148,(((_xll.BDP(F148&amp;"USD CURNCY","PX_LAST")))*AH148))+AP148</f>
        <v>#VALUE!</v>
      </c>
      <c r="T148" s="12" t="e">
        <f t="shared" si="67"/>
        <v>#VALUE!</v>
      </c>
      <c r="U148" s="13" t="e">
        <f t="shared" si="68"/>
        <v>#VALUE!</v>
      </c>
      <c r="V148" s="13" t="str" cm="1">
        <f t="array" ref="V148">IFERROR(_xll.BDP($G148&amp;" ISIN","CHG_PCT_1D")/100,"")</f>
        <v/>
      </c>
      <c r="W148" s="13" t="str" cm="1">
        <f t="array" ref="W148">IFERROR(_xll.BDP($G148&amp;" ISIN","CHG_PCT_5D")/100,"")</f>
        <v/>
      </c>
      <c r="X148" s="13" t="e" cm="1">
        <f t="array" ref="X148">_xll.BDP($G148&amp;" ISIN","CHG_PCT_1M")/100</f>
        <v>#VALUE!</v>
      </c>
      <c r="Y148" s="13" t="e" cm="1">
        <f t="array" ref="Y148">_xll.BDP($G148&amp;" ISIN","CHG_PCT_3M")/100</f>
        <v>#VALUE!</v>
      </c>
      <c r="Z148" s="13" t="e" cm="1">
        <f t="array" ref="Z148">_xll.BDP($G148&amp;" ISIN","CHG_PCT_6M")/100</f>
        <v>#VALUE!</v>
      </c>
      <c r="AA148" s="13" t="e" cm="1">
        <f t="array" ref="AA148">_xll.BDP($G148&amp;" ISIN","CHG_PCT_YTD")/100</f>
        <v>#VALUE!</v>
      </c>
      <c r="AB148" s="13" t="e">
        <f>S148/$H$36</f>
        <v>#VALUE!</v>
      </c>
      <c r="AC148" s="14" t="e">
        <f t="shared" ca="1" si="69"/>
        <v>#VALUE!</v>
      </c>
      <c r="AD148" s="4" t="str">
        <f>_xll.BDP(AI148,"DS199")</f>
        <v>#N/A Connection</v>
      </c>
      <c r="AE148" s="10" t="str">
        <f>_xll.BDP(AI148,"px_ask")</f>
        <v>#N/A Connection</v>
      </c>
      <c r="AF148" s="14" t="e">
        <f>IF(F148="USD",O148,(((_xll.BDP(F148&amp;"USD CURNCY","PX_LAST")))*O148))</f>
        <v>#VALUE!</v>
      </c>
      <c r="AG148" s="11">
        <f t="shared" si="70"/>
        <v>209750</v>
      </c>
      <c r="AH148" s="11" t="e">
        <f t="shared" si="71"/>
        <v>#VALUE!</v>
      </c>
      <c r="AI148" s="4" t="str">
        <f t="shared" si="72"/>
        <v>USU98401AB58 ISIN</v>
      </c>
      <c r="AJ148" s="4" t="e" cm="1">
        <f t="array" ref="AJ148">VLOOKUP(IF(NOT(_xll.BDP($G148&amp;" CORP",$CA$5)="#N/A N/A"),(_xll.BDP($G148&amp;" CORP",$CA$5)),"-"), '[1]Country Codes'!$A$2:$B$253,2,0)</f>
        <v>#N/A</v>
      </c>
      <c r="AK148" s="4" t="str" cm="1">
        <f t="array" ref="AK148">IF(OR(_xll.BDP($AI148,"EX028")= "#N/A N/A", _xll.BDP($AI148,"EX028")="#N/A FIELD NOT APPLICABLE"), " ", _xll.BDP($AI148,"EX028"))</f>
        <v>#N/A Connection</v>
      </c>
      <c r="AL148" s="15" t="str">
        <f>(IF(_xll.BDP($AI148&amp;" ISIN","DZ282")="Y","Single line Bonds Cocos","Single line Bonds ex Cocos"))</f>
        <v>Single line Bonds ex Cocos</v>
      </c>
      <c r="AM148" s="8" t="str">
        <f>(IF(_xll.BDP($G148&amp;" ISIN","SP153")="#n/a n/a"," ",_xll.BDP($G148&amp;" ISIN","SP153")))</f>
        <v>#N/A Connection</v>
      </c>
      <c r="AN148" s="16">
        <f t="shared" ca="1" si="73"/>
        <v>45783</v>
      </c>
      <c r="AO148" s="11" t="e">
        <f>(((_xll.BDP(AI148,"DS032"))/365)*I148)*O148</f>
        <v>#VALUE!</v>
      </c>
      <c r="AP148" s="11" t="e">
        <f>IF(F148="USD",AO148,(((_xll.BDP(F148&amp;"USD CURNCY","PX_LAST")))*AO148))</f>
        <v>#VALUE!</v>
      </c>
      <c r="AQ148" s="13" t="e">
        <f t="shared" si="74"/>
        <v>#VALUE!</v>
      </c>
      <c r="AR148" s="11" t="e">
        <f t="shared" si="75"/>
        <v>#VALUE!</v>
      </c>
      <c r="AS148" s="10" t="str">
        <f>IF((TEXT(_xll.BDP(AI148,"MATURITY"),"DD/MM/YYYY")="#N/A Field Not Applicable"),"Perp",_xll.BDP(AI148,"DS252"))</f>
        <v>#N/A Connection</v>
      </c>
      <c r="AT148" s="15" t="str">
        <f>(IF(_xll.BDP($AI148&amp;" ISIN","DT247")="Y","Yes","No"))</f>
        <v>No</v>
      </c>
      <c r="AU148" s="15" t="str">
        <f>PROPER(IF(OR(_xll.BDP($AI148,"CPN_TYP")="#n/a N/A",_xll.BDP($AI148,"CPN_TYP")= "#N/A FIELD NOT APPLICABLE"), " ", _xll.BDP($AI148,"CPN_TYP")))</f>
        <v>#N/A Connection</v>
      </c>
      <c r="BG148" s="17" t="str">
        <f>G148</f>
        <v>USU98401AB58</v>
      </c>
      <c r="BH148" s="17">
        <v>0.5</v>
      </c>
      <c r="BI148" s="18">
        <v>4</v>
      </c>
      <c r="BJ148" s="19">
        <v>44393</v>
      </c>
      <c r="BK148" s="20">
        <v>1</v>
      </c>
    </row>
    <row r="149" spans="1:64" s="21" customFormat="1" ht="14.45" customHeight="1" x14ac:dyDescent="0.25">
      <c r="A149" s="49" t="s">
        <v>257</v>
      </c>
      <c r="B149" s="49" t="s">
        <v>274</v>
      </c>
      <c r="C149" s="49">
        <v>1000015111</v>
      </c>
      <c r="D149" s="49" t="s">
        <v>275</v>
      </c>
      <c r="E149" s="4" t="str">
        <f>_xll.BDP(AI149,"ds520")</f>
        <v>#N/A Connection</v>
      </c>
      <c r="F149" s="4" t="str">
        <f>_xll.BDP(AI149,"crncy")</f>
        <v>#N/A Connection</v>
      </c>
      <c r="G149" s="5" t="s">
        <v>207</v>
      </c>
      <c r="H149" s="4" t="str">
        <f>IF(_xll.BDP(AI149,"RTG_MOODY")="#N/A N/A","N/A",_xll.BDP(AI149,"RTG_MOODY"))&amp;","&amp;IF(_xll.BDP(AI149,"RTG_FITCH")="#N/A N/A","N/A",_xll.BDP(AI149,"RTG_FITCH"))&amp;","&amp;IF(_xll.BDP(AI149,"RTG_SP")="#N/A N/A","N/A",_xll.BDP(AI149,"RTG_SP"))</f>
        <v>#N/A Connection,#N/A Connection,#N/A Connection</v>
      </c>
      <c r="I149" s="7" t="e">
        <f>_xll.BDP(AI149,"cpn")/100</f>
        <v>#VALUE!</v>
      </c>
      <c r="J149" s="7" t="e">
        <f ca="1">_xll.BDP($G149&amp;" isin","YAS_BOND_YLD", "YAS_YLD_FLAG=15", "user_local_trade_date",AN149,"Yas_bond_px",$Q149)/100</f>
        <v>#VALUE!</v>
      </c>
      <c r="K149" s="4" t="str">
        <f>_xll.BDP(AI149,"PAYMENT_RANK")</f>
        <v>#N/A Connection</v>
      </c>
      <c r="L149" s="4" t="str">
        <f>IF((TEXT(_xll.BDP(AI149,"MATURITY"),"DD/MM/YYYY")="#N/A Field Not Applicable"),"Perp",TEXT(_xll.BDP(AI149,"MATURITY"),"DD/MM/YYYY"))</f>
        <v>#N/A Connection</v>
      </c>
      <c r="M149" s="8" t="str">
        <f>(IF(_xll.BDP($AI149&amp;" ISIN","DU003")="#n/a n/a"," ",_xll.BDP($AI149&amp;" ISIN","DU003")))</f>
        <v>#N/A Connection</v>
      </c>
      <c r="N149" s="4" t="str">
        <f>IF(_xll.BDP(AI149,"CALLABLE")="Y",_xll.BDP(AI149,"NXT_CALL_DT")," ")</f>
        <v xml:space="preserve"> </v>
      </c>
      <c r="O149" s="9">
        <v>200000</v>
      </c>
      <c r="P149" s="5">
        <v>101.9</v>
      </c>
      <c r="Q149" s="10" t="str">
        <f>_xll.BDP(AI149,"px_bid")</f>
        <v>#N/A Connection</v>
      </c>
      <c r="R149" s="11" t="e">
        <f>IF(F149="USD",AG149,(((_xll.BDP(F149&amp;"USD CURNCY","PX_LAST")))*AG149))</f>
        <v>#VALUE!</v>
      </c>
      <c r="S149" s="11">
        <f>IFERROR(IF(F149="USD",AH149,(((_xll.BDP(F149&amp;"USD CURNCY","PX_LAST")))*AH149))+AP149,0)</f>
        <v>0</v>
      </c>
      <c r="T149" s="12" t="e">
        <f t="shared" si="58"/>
        <v>#VALUE!</v>
      </c>
      <c r="U149" s="13" t="e">
        <f t="shared" si="59"/>
        <v>#VALUE!</v>
      </c>
      <c r="V149" s="13" t="str" cm="1">
        <f t="array" ref="V149">IFERROR(_xll.BDP($G149&amp;" ISIN","CHG_PCT_1D")/100,"")</f>
        <v/>
      </c>
      <c r="W149" s="13" t="str" cm="1">
        <f t="array" ref="W149">IFERROR(_xll.BDP($G149&amp;" ISIN","CHG_PCT_5D")/100,"")</f>
        <v/>
      </c>
      <c r="X149" s="13" t="e" cm="1">
        <f t="array" ref="X149">_xll.BDP($G149&amp;" ISIN","CHG_PCT_1M")/100</f>
        <v>#VALUE!</v>
      </c>
      <c r="Y149" s="13" t="e" cm="1">
        <f t="array" ref="Y149">_xll.BDP($G149&amp;" ISIN","CHG_PCT_3M")/100</f>
        <v>#VALUE!</v>
      </c>
      <c r="Z149" s="13" t="e" cm="1">
        <f t="array" ref="Z149">_xll.BDP($G149&amp;" ISIN","CHG_PCT_6M")/100</f>
        <v>#VALUE!</v>
      </c>
      <c r="AA149" s="13" t="e" cm="1">
        <f t="array" ref="AA149">_xll.BDP($G149&amp;" ISIN","CHG_PCT_YTD")/100</f>
        <v>#VALUE!</v>
      </c>
      <c r="AB149" s="13" t="e">
        <f t="shared" ref="AB149:AB152" si="76">S149/$H$36</f>
        <v>#VALUE!</v>
      </c>
      <c r="AC149" s="14" t="e">
        <f t="shared" ca="1" si="61"/>
        <v>#VALUE!</v>
      </c>
      <c r="AD149" s="4" t="str">
        <f>_xll.BDP(AI149,"DS199")</f>
        <v>#N/A Connection</v>
      </c>
      <c r="AE149" s="10" t="str">
        <f>_xll.BDP(AI149,"px_ask")</f>
        <v>#N/A Connection</v>
      </c>
      <c r="AF149" s="14" t="e">
        <f>IF(F149="USD",O149,(((_xll.BDP(F149&amp;"USD CURNCY","PX_LAST")))*O149))</f>
        <v>#VALUE!</v>
      </c>
      <c r="AG149" s="11">
        <f t="shared" si="62"/>
        <v>203800</v>
      </c>
      <c r="AH149" s="11" t="e">
        <f t="shared" si="63"/>
        <v>#VALUE!</v>
      </c>
      <c r="AI149" s="4" t="str">
        <f t="shared" si="64"/>
        <v>USF1067PAG12 ISIN</v>
      </c>
      <c r="AJ149" s="4" t="e" cm="1">
        <f t="array" ref="AJ149">VLOOKUP(IF(NOT(_xll.BDP($G149&amp;" CORP",$CA$5)="#N/A N/A"),(_xll.BDP($G149&amp;" CORP",$CA$5)),"-"), '[1]Country Codes'!$A$2:$B$253,2,0)</f>
        <v>#N/A</v>
      </c>
      <c r="AK149" s="4" t="str" cm="1">
        <f t="array" ref="AK149">IF(OR(_xll.BDP($AI149,"EX028")= "#N/A N/A", _xll.BDP($AI149,"EX028")="#N/A FIELD NOT APPLICABLE"), " ", _xll.BDP($AI149,"EX028"))</f>
        <v>#N/A Connection</v>
      </c>
      <c r="AL149" s="15" t="str">
        <f>(IF(_xll.BDP($AI149&amp;" ISIN","DZ282")="Y","Single line Bonds Cocos","Single line Bonds ex Cocos"))</f>
        <v>Single line Bonds ex Cocos</v>
      </c>
      <c r="AM149" s="8" t="str">
        <f>(IF(_xll.BDP($G149&amp;" ISIN","SP153")="#n/a n/a"," ",_xll.BDP($G149&amp;" ISIN","SP153")))</f>
        <v>#N/A Connection</v>
      </c>
      <c r="AN149" s="16">
        <f t="shared" ca="1" si="65"/>
        <v>45783</v>
      </c>
      <c r="AO149" s="11" t="e">
        <f>(((_xll.BDP(AI149,"DS032"))/360)*I149)*O149</f>
        <v>#VALUE!</v>
      </c>
      <c r="AP149" s="11" t="e">
        <f>IF(F149="USD",AO149,(((_xll.BDP(F149&amp;"USD CURNCY","PX_LAST")))*AO149))</f>
        <v>#VALUE!</v>
      </c>
      <c r="AQ149" s="13" t="e">
        <f>S149/$S$106</f>
        <v>#VALUE!</v>
      </c>
      <c r="AR149" s="11" t="e">
        <f t="shared" si="66"/>
        <v>#VALUE!</v>
      </c>
      <c r="AS149" s="10" t="str">
        <f>IF((TEXT(_xll.BDP(AI149,"MATURITY"),"DD/MM/YYYY")="#N/A Field Not Applicable"),"Perp",_xll.BDP(AI149,"DS252"))</f>
        <v>#N/A Connection</v>
      </c>
      <c r="AT149" s="15" t="str">
        <f>(IF(_xll.BDP($AI149&amp;" ISIN","DT247")="Y","Yes","No"))</f>
        <v>No</v>
      </c>
      <c r="AU149" s="15" t="str">
        <f>PROPER(IF(OR(_xll.BDP($AI149,"CPN_TYP")="#n/a N/A",_xll.BDP($AI149,"CPN_TYP")= "#N/A FIELD NOT APPLICABLE"), " ", _xll.BDP($AI149,"CPN_TYP")))</f>
        <v>#N/A Connection</v>
      </c>
      <c r="BG149" s="17" t="str">
        <f t="shared" ref="BG149:BG152" si="77">G149</f>
        <v>USF1067PAG12</v>
      </c>
      <c r="BH149" s="17">
        <v>0.65</v>
      </c>
      <c r="BI149" s="18">
        <v>5</v>
      </c>
      <c r="BJ149" s="19">
        <v>45545</v>
      </c>
      <c r="BK149" s="20">
        <v>1</v>
      </c>
    </row>
    <row r="150" spans="1:64" s="21" customFormat="1" ht="14.45" customHeight="1" x14ac:dyDescent="0.25">
      <c r="A150" s="49" t="s">
        <v>257</v>
      </c>
      <c r="B150" s="49" t="s">
        <v>274</v>
      </c>
      <c r="C150" s="49">
        <v>1000015111</v>
      </c>
      <c r="D150" s="49" t="s">
        <v>275</v>
      </c>
      <c r="E150" s="4" t="str">
        <f>_xll.BDP(AI150,"ds520")</f>
        <v>#N/A Connection</v>
      </c>
      <c r="F150" s="4" t="str">
        <f>_xll.BDP(AI150,"crncy")</f>
        <v>#N/A Connection</v>
      </c>
      <c r="G150" s="5" t="s">
        <v>224</v>
      </c>
      <c r="H150" s="4" t="str">
        <f>IF(_xll.BDP(AI150,"RTG_MOODY")="#N/A N/A","N/A",_xll.BDP(AI150,"RTG_MOODY"))&amp;","&amp;IF(_xll.BDP(AI150,"RTG_FITCH")="#N/A N/A","N/A",_xll.BDP(AI150,"RTG_FITCH"))&amp;","&amp;IF(_xll.BDP(AI150,"RTG_SP")="#N/A N/A","N/A",_xll.BDP(AI150,"RTG_SP"))</f>
        <v>#N/A Connection,#N/A Connection,#N/A Connection</v>
      </c>
      <c r="I150" s="7" t="e">
        <f>_xll.BDP(AI150,"cpn")/100</f>
        <v>#VALUE!</v>
      </c>
      <c r="J150" s="7" t="e">
        <f ca="1">_xll.BDP($G150&amp;" isin","YAS_BOND_YLD", "YAS_YLD_FLAG=15", "user_local_trade_date",AN150,"Yas_bond_px",$Q150)/100</f>
        <v>#VALUE!</v>
      </c>
      <c r="K150" s="4" t="str">
        <f>_xll.BDP(AI150,"PAYMENT_RANK")</f>
        <v>#N/A Connection</v>
      </c>
      <c r="L150" s="4" t="str">
        <f>IF((TEXT(_xll.BDP(AI150,"MATURITY"),"DD/MM/YYYY")="#N/A Field Not Applicable"),"Perp",TEXT(_xll.BDP(AI150,"MATURITY"),"DD/MM/YYYY"))</f>
        <v>#N/A Connection</v>
      </c>
      <c r="M150" s="8" t="str">
        <f>(IF(_xll.BDP($AI150&amp;" ISIN","DU003")="#n/a n/a"," ",_xll.BDP($AI150&amp;" ISIN","DU003")))</f>
        <v>#N/A Connection</v>
      </c>
      <c r="N150" s="4" t="str">
        <f>IF(_xll.BDP(AI150,"CALLABLE")="Y",_xll.BDP(AI150,"NXT_CALL_DT")," ")</f>
        <v xml:space="preserve"> </v>
      </c>
      <c r="O150" s="9">
        <v>200000</v>
      </c>
      <c r="P150" s="5">
        <v>101.25</v>
      </c>
      <c r="Q150" s="10" t="str">
        <f>_xll.BDP(AI150,"px_bid")</f>
        <v>#N/A Connection</v>
      </c>
      <c r="R150" s="11" t="e">
        <f>IF(F150="USD",AG150,(((_xll.BDP(F150&amp;"USD CURNCY","PX_LAST")))*AG150))</f>
        <v>#VALUE!</v>
      </c>
      <c r="S150" s="11">
        <f>IFERROR(IF(F150="USD",AH150,(((_xll.BDP(F150&amp;"USD CURNCY","PX_LAST")))*AH150))+AP150,0)</f>
        <v>0</v>
      </c>
      <c r="T150" s="12" t="e">
        <f t="shared" si="58"/>
        <v>#VALUE!</v>
      </c>
      <c r="U150" s="13" t="e">
        <f t="shared" si="59"/>
        <v>#VALUE!</v>
      </c>
      <c r="V150" s="13" t="str" cm="1">
        <f t="array" ref="V150">IFERROR(_xll.BDP($G150&amp;" ISIN","CHG_PCT_1D")/100,"")</f>
        <v/>
      </c>
      <c r="W150" s="13" t="str" cm="1">
        <f t="array" ref="W150">IFERROR(_xll.BDP($G150&amp;" ISIN","CHG_PCT_5D")/100,"")</f>
        <v/>
      </c>
      <c r="X150" s="13" t="e" cm="1">
        <f t="array" ref="X150">_xll.BDP($G150&amp;" ISIN","CHG_PCT_1M")/100</f>
        <v>#VALUE!</v>
      </c>
      <c r="Y150" s="13" t="e" cm="1">
        <f t="array" ref="Y150">_xll.BDP($G150&amp;" ISIN","CHG_PCT_3M")/100</f>
        <v>#VALUE!</v>
      </c>
      <c r="Z150" s="13" t="e" cm="1">
        <f t="array" ref="Z150">_xll.BDP($G150&amp;" ISIN","CHG_PCT_6M")/100</f>
        <v>#VALUE!</v>
      </c>
      <c r="AA150" s="13" t="e" cm="1">
        <f t="array" ref="AA150">_xll.BDP($G150&amp;" ISIN","CHG_PCT_YTD")/100</f>
        <v>#VALUE!</v>
      </c>
      <c r="AB150" s="13" t="e">
        <f t="shared" si="76"/>
        <v>#VALUE!</v>
      </c>
      <c r="AC150" s="14" t="e">
        <f t="shared" ca="1" si="61"/>
        <v>#VALUE!</v>
      </c>
      <c r="AD150" s="4" t="str">
        <f>_xll.BDP(AI150,"DS199")</f>
        <v>#N/A Connection</v>
      </c>
      <c r="AE150" s="10" t="str">
        <f>_xll.BDP(AI150,"px_ask")</f>
        <v>#N/A Connection</v>
      </c>
      <c r="AF150" s="14" t="e">
        <f>IF(F150="USD",O150,(((_xll.BDP(F150&amp;"USD CURNCY","PX_LAST")))*O150))</f>
        <v>#VALUE!</v>
      </c>
      <c r="AG150" s="11">
        <f t="shared" si="62"/>
        <v>202500</v>
      </c>
      <c r="AH150" s="11" t="e">
        <f t="shared" si="63"/>
        <v>#VALUE!</v>
      </c>
      <c r="AI150" s="4" t="str">
        <f t="shared" si="64"/>
        <v>XS2885225966 ISIN</v>
      </c>
      <c r="AJ150" s="4" t="e" cm="1">
        <f t="array" ref="AJ150">VLOOKUP(IF(NOT(_xll.BDP($G150&amp;" CORP",$CA$5)="#N/A N/A"),(_xll.BDP($G150&amp;" CORP",$CA$5)),"-"), '[1]Country Codes'!$A$2:$B$253,2,0)</f>
        <v>#N/A</v>
      </c>
      <c r="AK150" s="4" t="str" cm="1">
        <f t="array" ref="AK150">IF(OR(_xll.BDP($AI150,"EX028")= "#N/A N/A", _xll.BDP($AI150,"EX028")="#N/A FIELD NOT APPLICABLE"), " ", _xll.BDP($AI150,"EX028"))</f>
        <v>#N/A Connection</v>
      </c>
      <c r="AL150" s="15" t="str">
        <f>(IF(_xll.BDP($AI150&amp;" ISIN","DZ282")="Y","Single line Bonds Cocos","Single line Bonds ex Cocos"))</f>
        <v>Single line Bonds ex Cocos</v>
      </c>
      <c r="AM150" s="8" t="str">
        <f>(IF(_xll.BDP($G150&amp;" ISIN","SP153")="#n/a n/a"," ",_xll.BDP($G150&amp;" ISIN","SP153")))</f>
        <v>#N/A Connection</v>
      </c>
      <c r="AN150" s="16">
        <f t="shared" ca="1" si="65"/>
        <v>45783</v>
      </c>
      <c r="AO150" s="11" t="e">
        <f>(((_xll.BDP(AI150,"DS032"))/360)*I150)*O150</f>
        <v>#VALUE!</v>
      </c>
      <c r="AP150" s="11" t="e">
        <f>IF(F150="USD",AO150,(((_xll.BDP(F150&amp;"USD CURNCY","PX_LAST")))*AO150))</f>
        <v>#VALUE!</v>
      </c>
      <c r="AQ150" s="13" t="e">
        <f>S150/$S$106</f>
        <v>#VALUE!</v>
      </c>
      <c r="AR150" s="11" t="e">
        <f t="shared" si="66"/>
        <v>#VALUE!</v>
      </c>
      <c r="AS150" s="10" t="str">
        <f>IF((TEXT(_xll.BDP(AI150,"MATURITY"),"DD/MM/YYYY")="#N/A Field Not Applicable"),"Perp",_xll.BDP(AI150,"DS252"))</f>
        <v>#N/A Connection</v>
      </c>
      <c r="AT150" s="15" t="str">
        <f>(IF(_xll.BDP($AI150&amp;" ISIN","DT247")="Y","Yes","No"))</f>
        <v>No</v>
      </c>
      <c r="AU150" s="15" t="str">
        <f>PROPER(IF(OR(_xll.BDP($AI150,"CPN_TYP")="#n/a N/A",_xll.BDP($AI150,"CPN_TYP")= "#N/A FIELD NOT APPLICABLE"), " ", _xll.BDP($AI150,"CPN_TYP")))</f>
        <v>#N/A Connection</v>
      </c>
      <c r="BG150" s="17" t="str">
        <f t="shared" si="77"/>
        <v>XS2885225966</v>
      </c>
      <c r="BH150" s="17">
        <v>0.65</v>
      </c>
      <c r="BI150" s="18">
        <v>5</v>
      </c>
      <c r="BJ150" s="19">
        <v>45547</v>
      </c>
      <c r="BK150" s="20">
        <v>1</v>
      </c>
    </row>
    <row r="151" spans="1:64" s="21" customFormat="1" ht="14.45" customHeight="1" x14ac:dyDescent="0.25">
      <c r="A151" s="49" t="s">
        <v>257</v>
      </c>
      <c r="B151" s="49" t="s">
        <v>274</v>
      </c>
      <c r="C151" s="49">
        <v>1000015111</v>
      </c>
      <c r="D151" s="49" t="s">
        <v>275</v>
      </c>
      <c r="E151" s="4" t="str">
        <f>_xll.BDP(AI151,"ds520")</f>
        <v>#N/A Connection</v>
      </c>
      <c r="F151" s="4" t="str">
        <f>_xll.BDP(AI151,"crncy")</f>
        <v>#N/A Connection</v>
      </c>
      <c r="G151" s="5" t="s">
        <v>216</v>
      </c>
      <c r="H151" s="4" t="str">
        <f>IF(_xll.BDP(AI151,"RTG_MOODY")="#N/A N/A","N/A",_xll.BDP(AI151,"RTG_MOODY"))&amp;","&amp;IF(_xll.BDP(AI151,"RTG_FITCH")="#N/A N/A","N/A",_xll.BDP(AI151,"RTG_FITCH"))&amp;","&amp;IF(_xll.BDP(AI151,"RTG_SP")="#N/A N/A","N/A",_xll.BDP(AI151,"RTG_SP"))</f>
        <v>#N/A Connection,#N/A Connection,#N/A Connection</v>
      </c>
      <c r="I151" s="7" t="e">
        <f>_xll.BDP(AI151,"cpn")/100</f>
        <v>#VALUE!</v>
      </c>
      <c r="J151" s="7" t="e">
        <f ca="1">_xll.BDP($G151&amp;" isin","YAS_BOND_YLD", "YAS_YLD_FLAG=15", "user_local_trade_date",AN151,"Yas_bond_px",$Q151)/100</f>
        <v>#VALUE!</v>
      </c>
      <c r="K151" s="4" t="str">
        <f>_xll.BDP(AI151,"PAYMENT_RANK")</f>
        <v>#N/A Connection</v>
      </c>
      <c r="L151" s="4" t="str">
        <f>IF((TEXT(_xll.BDP(AI151,"MATURITY"),"DD/MM/YYYY")="#N/A Field Not Applicable"),"Perp",TEXT(_xll.BDP(AI151,"MATURITY"),"DD/MM/YYYY"))</f>
        <v>#N/A Connection</v>
      </c>
      <c r="M151" s="8" t="str">
        <f>(IF(_xll.BDP($AI151&amp;" ISIN","DU003")="#n/a n/a"," ",_xll.BDP($AI151&amp;" ISIN","DU003")))</f>
        <v>#N/A Connection</v>
      </c>
      <c r="N151" s="4" t="str">
        <f>IF(_xll.BDP(AI151,"CALLABLE")="Y",_xll.BDP(AI151,"NXT_CALL_DT")," ")</f>
        <v xml:space="preserve"> </v>
      </c>
      <c r="O151" s="9">
        <v>200000</v>
      </c>
      <c r="P151" s="5">
        <v>103.68</v>
      </c>
      <c r="Q151" s="10" t="str">
        <f>_xll.BDP(AI151,"px_bid")</f>
        <v>#N/A Connection</v>
      </c>
      <c r="R151" s="11" t="e">
        <f>IF(F151="USD",AG151,(((_xll.BDP(F151&amp;"USD CURNCY","PX_LAST")))*AG151))</f>
        <v>#VALUE!</v>
      </c>
      <c r="S151" s="11">
        <f>IFERROR(IF(F151="USD",AH151,(((_xll.BDP(F151&amp;"USD CURNCY","PX_LAST")))*AH151))+AP151,0)</f>
        <v>0</v>
      </c>
      <c r="T151" s="12" t="e">
        <f t="shared" si="58"/>
        <v>#VALUE!</v>
      </c>
      <c r="U151" s="13" t="e">
        <f t="shared" si="59"/>
        <v>#VALUE!</v>
      </c>
      <c r="V151" s="13" t="str" cm="1">
        <f t="array" ref="V151">IFERROR(_xll.BDP($G151&amp;" ISIN","CHG_PCT_1D")/100,"")</f>
        <v/>
      </c>
      <c r="W151" s="13" t="str" cm="1">
        <f t="array" ref="W151">IFERROR(_xll.BDP($G151&amp;" ISIN","CHG_PCT_5D")/100,"")</f>
        <v/>
      </c>
      <c r="X151" s="13" t="e" cm="1">
        <f t="array" ref="X151">_xll.BDP($G151&amp;" ISIN","CHG_PCT_1M")/100</f>
        <v>#VALUE!</v>
      </c>
      <c r="Y151" s="13" t="e" cm="1">
        <f t="array" ref="Y151">_xll.BDP($G151&amp;" ISIN","CHG_PCT_3M")/100</f>
        <v>#VALUE!</v>
      </c>
      <c r="Z151" s="13" t="e" cm="1">
        <f t="array" ref="Z151">_xll.BDP($G151&amp;" ISIN","CHG_PCT_6M")/100</f>
        <v>#VALUE!</v>
      </c>
      <c r="AA151" s="13" t="e" cm="1">
        <f t="array" ref="AA151">_xll.BDP($G151&amp;" ISIN","CHG_PCT_YTD")/100</f>
        <v>#VALUE!</v>
      </c>
      <c r="AB151" s="13" t="e">
        <f t="shared" si="76"/>
        <v>#VALUE!</v>
      </c>
      <c r="AC151" s="14" t="e">
        <f t="shared" ca="1" si="61"/>
        <v>#VALUE!</v>
      </c>
      <c r="AD151" s="4" t="str">
        <f>_xll.BDP(AI151,"DS199")</f>
        <v>#N/A Connection</v>
      </c>
      <c r="AE151" s="10" t="str">
        <f>_xll.BDP(AI151,"px_ask")</f>
        <v>#N/A Connection</v>
      </c>
      <c r="AF151" s="14" t="e">
        <f>IF(F151="USD",O151,(((_xll.BDP(F151&amp;"USD CURNCY","PX_LAST")))*O151))</f>
        <v>#VALUE!</v>
      </c>
      <c r="AG151" s="11">
        <f t="shared" si="62"/>
        <v>207360</v>
      </c>
      <c r="AH151" s="11" t="e">
        <f t="shared" si="63"/>
        <v>#VALUE!</v>
      </c>
      <c r="AI151" s="4" t="str">
        <f t="shared" si="64"/>
        <v>XS2821647364 ISIN</v>
      </c>
      <c r="AJ151" s="4" t="e" cm="1">
        <f t="array" ref="AJ151">VLOOKUP(IF(NOT(_xll.BDP($G151&amp;" CORP",$CA$5)="#N/A N/A"),(_xll.BDP($G151&amp;" CORP",$CA$5)),"-"), '[1]Country Codes'!$A$2:$B$253,2,0)</f>
        <v>#N/A</v>
      </c>
      <c r="AK151" s="4" t="str" cm="1">
        <f t="array" ref="AK151">IF(OR(_xll.BDP($AI151,"EX028")= "#N/A N/A", _xll.BDP($AI151,"EX028")="#N/A FIELD NOT APPLICABLE"), " ", _xll.BDP($AI151,"EX028"))</f>
        <v>#N/A Connection</v>
      </c>
      <c r="AL151" s="15" t="str">
        <f>(IF(_xll.BDP($AI151&amp;" ISIN","DZ282")="Y","Single line Bonds Cocos","Single line Bonds ex Cocos"))</f>
        <v>Single line Bonds ex Cocos</v>
      </c>
      <c r="AM151" s="8" t="str">
        <f>(IF(_xll.BDP($G151&amp;" ISIN","SP153")="#n/a n/a"," ",_xll.BDP($G151&amp;" ISIN","SP153")))</f>
        <v>#N/A Connection</v>
      </c>
      <c r="AN151" s="16">
        <f t="shared" ca="1" si="65"/>
        <v>45783</v>
      </c>
      <c r="AO151" s="11" t="e">
        <f>(((_xll.BDP(AI151,"DS032"))/360)*I151)*O151</f>
        <v>#VALUE!</v>
      </c>
      <c r="AP151" s="11" t="e">
        <f>IF(F151="USD",AO151,(((_xll.BDP(F151&amp;"USD CURNCY","PX_LAST")))*AO151))</f>
        <v>#VALUE!</v>
      </c>
      <c r="AQ151" s="13" t="e">
        <f>S151/$S$106</f>
        <v>#VALUE!</v>
      </c>
      <c r="AR151" s="11" t="e">
        <f t="shared" si="66"/>
        <v>#VALUE!</v>
      </c>
      <c r="AS151" s="10" t="str">
        <f>IF((TEXT(_xll.BDP(AI151,"MATURITY"),"DD/MM/YYYY")="#N/A Field Not Applicable"),"Perp",_xll.BDP(AI151,"DS252"))</f>
        <v>#N/A Connection</v>
      </c>
      <c r="AT151" s="15" t="str">
        <f>(IF(_xll.BDP($AI151&amp;" ISIN","DT247")="Y","Yes","No"))</f>
        <v>No</v>
      </c>
      <c r="AU151" s="15" t="str">
        <f>PROPER(IF(OR(_xll.BDP($AI151,"CPN_TYP")="#n/a N/A",_xll.BDP($AI151,"CPN_TYP")= "#N/A FIELD NOT APPLICABLE"), " ", _xll.BDP($AI151,"CPN_TYP")))</f>
        <v>#N/A Connection</v>
      </c>
      <c r="BG151" s="17" t="str">
        <f t="shared" si="77"/>
        <v>XS2821647364</v>
      </c>
      <c r="BH151" s="17">
        <v>0.65</v>
      </c>
      <c r="BI151" s="18">
        <v>4</v>
      </c>
      <c r="BJ151" s="19">
        <v>45545</v>
      </c>
      <c r="BK151" s="20">
        <v>1</v>
      </c>
    </row>
    <row r="152" spans="1:64" s="21" customFormat="1" ht="14.45" customHeight="1" x14ac:dyDescent="0.25">
      <c r="A152" s="49" t="s">
        <v>257</v>
      </c>
      <c r="B152" s="49" t="s">
        <v>274</v>
      </c>
      <c r="C152" s="49">
        <v>1000015111</v>
      </c>
      <c r="D152" s="49" t="s">
        <v>275</v>
      </c>
      <c r="E152" s="4" t="str">
        <f>_xll.BDP(AI152,"ds520")</f>
        <v>TVF Varlik Kiralama AS</v>
      </c>
      <c r="F152" s="4" t="str">
        <f>_xll.BDP(AI152,"crncy")</f>
        <v>USD</v>
      </c>
      <c r="G152" s="5" t="s">
        <v>136</v>
      </c>
      <c r="H152" s="4" t="str">
        <f>IF(_xll.BDP(AI152,"RTG_MOODY")="#N/A N/A","N/A",_xll.BDP(AI152,"RTG_MOODY"))&amp;","&amp;IF(_xll.BDP(AI152,"RTG_FITCH")="#N/A N/A","N/A",_xll.BDP(AI152,"RTG_FITCH"))&amp;","&amp;IF(_xll.BDP(AI152,"RTG_SP")="#N/A N/A","N/A",_xll.BDP(AI152,"RTG_SP"))</f>
        <v>N/A,BB-,N/A</v>
      </c>
      <c r="I152" s="7">
        <f>_xll.BDP(AI152,"cpn")/100</f>
        <v>6.9500000000000006E-2</v>
      </c>
      <c r="J152" s="7">
        <f ca="1">_xll.BDP($G152&amp;" isin","YAS_BOND_YLD", "YAS_YLD_FLAG=15", "user_local_trade_date",AN152,"Yas_bond_px",$Q152)/100</f>
        <v>7.1722910000000001E-2</v>
      </c>
      <c r="K152" s="4" t="str">
        <f>_xll.BDP(AI152,"PAYMENT_RANK")</f>
        <v>Sr Unsecured</v>
      </c>
      <c r="L152" s="4" t="str">
        <f>IF((TEXT(_xll.BDP(AI152,"MATURITY"),"DD/MM/YYYY")="#N/A Field Not Applicable"),"Perp",TEXT(_xll.BDP(AI152,"MATURITY"),"DD/MM/YYYY"))</f>
        <v>23/01/2030</v>
      </c>
      <c r="M152" s="8">
        <f>(IF(_xll.BDP($AI152&amp;" ISIN","DU003")="#n/a n/a"," ",_xll.BDP($AI152&amp;" ISIN","DU003")))</f>
        <v>4.0302780432457386</v>
      </c>
      <c r="N152" s="4" t="str">
        <f>IF(_xll.BDP(AI152,"CALLABLE")="Y",_xll.BDP(AI152,"NXT_CALL_DT")," ")</f>
        <v xml:space="preserve"> </v>
      </c>
      <c r="O152" s="9">
        <v>200000</v>
      </c>
      <c r="P152" s="5">
        <v>100.01</v>
      </c>
      <c r="Q152" s="10">
        <f>_xll.BDP(AI152,"px_bid")</f>
        <v>99.11</v>
      </c>
      <c r="R152" s="11">
        <f>IF(F152="USD",AG152,(((_xll.BDP(F152&amp;"USD CURNCY","PX_LAST")))*AG152))</f>
        <v>200020</v>
      </c>
      <c r="S152" s="11">
        <f>IFERROR(IF(F152="USD",AH152,(((_xll.BDP(F152&amp;"USD CURNCY","PX_LAST")))*AH152))+AP152,0)</f>
        <v>202042.5</v>
      </c>
      <c r="T152" s="12">
        <f t="shared" si="58"/>
        <v>-1800.0000000000114</v>
      </c>
      <c r="U152" s="13">
        <f t="shared" si="59"/>
        <v>-8.9991000899910575E-3</v>
      </c>
      <c r="V152" s="13" t="str" cm="1">
        <f t="array" ref="V152">IFERROR(_xll.BDP($G152&amp;" ISIN","CHG_PCT_1D")/100,"")</f>
        <v/>
      </c>
      <c r="W152" s="13" t="str" cm="1">
        <f t="array" ref="W152">IFERROR(_xll.BDP($G152&amp;" ISIN","CHG_PCT_5D")/100,"")</f>
        <v/>
      </c>
      <c r="X152" s="13" t="e" cm="1">
        <f t="array" ref="X152">_xll.BDP($G152&amp;" ISIN","CHG_PCT_1M")/100</f>
        <v>#VALUE!</v>
      </c>
      <c r="Y152" s="13" t="e" cm="1">
        <f t="array" ref="Y152">_xll.BDP($G152&amp;" ISIN","CHG_PCT_3M")/100</f>
        <v>#VALUE!</v>
      </c>
      <c r="Z152" s="13" t="e" cm="1">
        <f t="array" ref="Z152">_xll.BDP($G152&amp;" ISIN","CHG_PCT_6M")/100</f>
        <v>#VALUE!</v>
      </c>
      <c r="AA152" s="13" t="e" cm="1">
        <f t="array" ref="AA152">_xll.BDP($G152&amp;" ISIN","CHG_PCT_YTD")/100</f>
        <v>#VALUE!</v>
      </c>
      <c r="AB152" s="13" t="e">
        <f t="shared" si="76"/>
        <v>#VALUE!</v>
      </c>
      <c r="AC152" s="14">
        <f t="shared" ca="1" si="61"/>
        <v>5729.1666666666551</v>
      </c>
      <c r="AD152" s="4" t="str">
        <f>_xll.BDP(AI152,"DS199")</f>
        <v>Financial</v>
      </c>
      <c r="AE152" s="10">
        <f>_xll.BDP(AI152,"px_ask")</f>
        <v>99.495999999999995</v>
      </c>
      <c r="AF152" s="14">
        <f>IF(F152="USD",O152,(((_xll.BDP(F152&amp;"USD CURNCY","PX_LAST")))*O152))</f>
        <v>200000</v>
      </c>
      <c r="AG152" s="11">
        <f t="shared" si="62"/>
        <v>200020</v>
      </c>
      <c r="AH152" s="11">
        <f t="shared" si="63"/>
        <v>198220</v>
      </c>
      <c r="AI152" s="4" t="str">
        <f t="shared" si="64"/>
        <v>XS2911679004 ISIN</v>
      </c>
      <c r="AJ152" s="4" t="e" cm="1">
        <f t="array" ref="AJ152">VLOOKUP(IF(NOT(_xll.BDP($G152&amp;" CORP",$CA$5)="#N/A N/A"),(_xll.BDP($G152&amp;" CORP",$CA$5)),"-"), '[1]Country Codes'!$A$2:$B$253,2,0)</f>
        <v>#N/A</v>
      </c>
      <c r="AK152" s="4" t="str" cm="1">
        <f t="array" ref="AK152">IF(OR(_xll.BDP($AI152,"EX028")= "#N/A N/A", _xll.BDP($AI152,"EX028")="#N/A FIELD NOT APPLICABLE"), " ", _xll.BDP($AI152,"EX028"))</f>
        <v>FixedIncome</v>
      </c>
      <c r="AL152" s="15" t="str">
        <f>(IF(_xll.BDP($AI152&amp;" ISIN","DZ282")="Y","Single line Bonds Cocos","Single line Bonds ex Cocos"))</f>
        <v>Single line Bonds ex Cocos</v>
      </c>
      <c r="AM152" s="8">
        <f>(IF(_xll.BDP($G152&amp;" ISIN","SP153")="#n/a n/a"," ",_xll.BDP($G152&amp;" ISIN","SP153")))</f>
        <v>370.64895526953268</v>
      </c>
      <c r="AN152" s="16">
        <f t="shared" ca="1" si="65"/>
        <v>45783</v>
      </c>
      <c r="AO152" s="11">
        <f>(((_xll.BDP(AI152,"DS032"))/360)*I152)*O152</f>
        <v>3822.5000000000009</v>
      </c>
      <c r="AP152" s="11">
        <f>IF(F152="USD",AO152,(((_xll.BDP(F152&amp;"USD CURNCY","PX_LAST")))*AO152))</f>
        <v>3822.5000000000009</v>
      </c>
      <c r="AQ152" s="13" t="e">
        <f>S152/$S$106</f>
        <v>#VALUE!</v>
      </c>
      <c r="AR152" s="11">
        <f t="shared" si="66"/>
        <v>198220</v>
      </c>
      <c r="AS152" s="10">
        <f>IF((TEXT(_xll.BDP(AI152,"MATURITY"),"DD/MM/YYYY")="#N/A Field Not Applicable"),"Perp",_xll.BDP(AI152,"DS252"))</f>
        <v>4.7337440109514031</v>
      </c>
      <c r="AT152" s="15" t="str">
        <f>(IF(_xll.BDP($AI152&amp;" ISIN","DT247")="Y","Yes","No"))</f>
        <v>No</v>
      </c>
      <c r="AU152" s="15" t="str">
        <f>PROPER(IF(OR(_xll.BDP($AI152,"CPN_TYP")="#n/a N/A",_xll.BDP($AI152,"CPN_TYP")= "#N/A FIELD NOT APPLICABLE"), " ", _xll.BDP($AI152,"CPN_TYP")))</f>
        <v>Fixed</v>
      </c>
      <c r="BG152" s="17" t="str">
        <f t="shared" si="77"/>
        <v>XS2911679004</v>
      </c>
      <c r="BH152" s="17">
        <v>0.65</v>
      </c>
      <c r="BI152" s="18">
        <v>5</v>
      </c>
      <c r="BJ152" s="19">
        <v>45588</v>
      </c>
      <c r="BK152" s="20">
        <v>1</v>
      </c>
    </row>
    <row r="153" spans="1:64" s="21" customFormat="1" ht="14.45" customHeight="1" x14ac:dyDescent="0.25">
      <c r="A153" s="49" t="s">
        <v>241</v>
      </c>
      <c r="B153" s="49" t="s">
        <v>276</v>
      </c>
      <c r="C153" s="49" t="s">
        <v>277</v>
      </c>
      <c r="D153" s="49" t="s">
        <v>240</v>
      </c>
      <c r="E153" s="4" t="str">
        <f>_xll.BDP(AI153,"ds520")</f>
        <v>#N/A Connection</v>
      </c>
      <c r="F153" s="4" t="str">
        <f>_xll.BDP(AI153,"crncy")</f>
        <v>#N/A Connection</v>
      </c>
      <c r="G153" s="5" t="s">
        <v>146</v>
      </c>
      <c r="H153" s="4" t="str">
        <f>IF(_xll.BDP(AI153,"RTG_MOODY")="#N/A N/A","N/A",_xll.BDP(AI153,"RTG_MOODY"))&amp;","&amp;IF(_xll.BDP(AI153,"RTG_FITCH")="#N/A N/A","N/A",_xll.BDP(AI153,"RTG_FITCH"))&amp;","&amp;IF(_xll.BDP(AI153,"RTG_SP")="#N/A N/A","N/A",_xll.BDP(AI153,"RTG_SP"))</f>
        <v>#N/A Connection,#N/A Connection,#N/A Connection</v>
      </c>
      <c r="I153" s="7">
        <v>0</v>
      </c>
      <c r="J153" s="7">
        <v>0</v>
      </c>
      <c r="K153" s="4" t="str">
        <f>_xll.BDP(AI153,"PAYMENT_RANK")</f>
        <v>#N/A Connection</v>
      </c>
      <c r="L153" s="4" t="str">
        <f>IF((TEXT(_xll.BDP(AI153,"MATURITY"),"DD/MM/YYYY")="#N/A Field Not Applicable"),"Perp",TEXT(_xll.BDP(AI153,"MATURITY"),"DD/MM/YYYY"))</f>
        <v>#N/A Connection</v>
      </c>
      <c r="M153" s="8" t="str">
        <f>(IF(_xll.BDP($AI153&amp;" ISIN","DU003")="#n/a n/a"," ",_xll.BDP($AI153&amp;" ISIN","DU003")))</f>
        <v>#N/A Connection</v>
      </c>
      <c r="N153" s="4" t="str">
        <f>IF(_xll.BDP(AI153,"CALLABLE")="Y",_xll.BDP(AI153,"NXT_CALL_DT")," ")</f>
        <v xml:space="preserve"> </v>
      </c>
      <c r="O153" s="9">
        <v>100000</v>
      </c>
      <c r="P153" s="5">
        <v>100.01</v>
      </c>
      <c r="Q153" s="10" t="str">
        <f>_xll.BDP(AI153,"px_bid")</f>
        <v>#N/A Connection</v>
      </c>
      <c r="R153" s="11" t="e">
        <f>IF(F153="USD",AG153,(((_xll.BDP(F153&amp;"USD CURNCY","PX_LAST")))*AG153))</f>
        <v>#VALUE!</v>
      </c>
      <c r="S153" s="11" t="e">
        <f>IF(F153="USD",AH153,(((_xll.BDP(F153&amp;"USD CURNCY","PX_LAST")))*AH153))+AP153</f>
        <v>#VALUE!</v>
      </c>
      <c r="T153" s="12" t="e">
        <f t="shared" ref="T153:T168" si="78">U153*R153</f>
        <v>#VALUE!</v>
      </c>
      <c r="U153" s="13" t="e">
        <f t="shared" ref="U153:U168" si="79">(Q153-P153)/P153</f>
        <v>#VALUE!</v>
      </c>
      <c r="V153" s="13" t="str" cm="1">
        <f t="array" ref="V153">IFERROR(_xll.BDP($G153&amp;" ISIN","CHG_PCT_1D")/100,"")</f>
        <v/>
      </c>
      <c r="W153" s="13" t="str" cm="1">
        <f t="array" ref="W153">IFERROR(_xll.BDP($G153&amp;" ISIN","CHG_PCT_5D")/100,"")</f>
        <v/>
      </c>
      <c r="X153" s="13" t="e" cm="1">
        <f t="array" ref="X153">_xll.BDP($G153&amp;" ISIN","CHG_PCT_1M")/100</f>
        <v>#VALUE!</v>
      </c>
      <c r="Y153" s="13" t="e" cm="1">
        <f t="array" ref="Y153">_xll.BDP($G153&amp;" ISIN","CHG_PCT_3M")/100</f>
        <v>#VALUE!</v>
      </c>
      <c r="Z153" s="13" t="e" cm="1">
        <f t="array" ref="Z153">_xll.BDP($G153&amp;" ISIN","CHG_PCT_6M")/100</f>
        <v>#VALUE!</v>
      </c>
      <c r="AA153" s="13" t="e" cm="1">
        <f t="array" ref="AA153">_xll.BDP($G153&amp;" ISIN","CHG_PCT_YTD")/100</f>
        <v>#VALUE!</v>
      </c>
      <c r="AB153" s="13" t="e">
        <f t="shared" ref="AB153:AB168" si="80">S153/$H$36</f>
        <v>#VALUE!</v>
      </c>
      <c r="AC153" s="14" t="e">
        <f t="shared" ref="AC153:AC168" ca="1" si="81">((AF153*I153)* ((TODAY()-BJ153)/360))+(Q153-P153)%*AF153</f>
        <v>#VALUE!</v>
      </c>
      <c r="AD153" s="4" t="str">
        <f>_xll.BDP(AI153,"DS199")</f>
        <v>#N/A Connection</v>
      </c>
      <c r="AE153" s="10" t="str">
        <f>_xll.BDP(AI153,"px_ask")</f>
        <v>#N/A Connection</v>
      </c>
      <c r="AF153" s="14" t="e">
        <f>IF(F153="USD",O153,(((_xll.BDP(F153&amp;"USD CURNCY","PX_LAST")))*O153))</f>
        <v>#VALUE!</v>
      </c>
      <c r="AG153" s="11">
        <f t="shared" ref="AG153:AG168" si="82">O153*P153/100</f>
        <v>100010</v>
      </c>
      <c r="AH153" s="11" t="e">
        <f t="shared" ref="AH153:AH168" si="83">Q153*O153/100</f>
        <v>#VALUE!</v>
      </c>
      <c r="AI153" s="4" t="str">
        <f t="shared" ref="AI153:AI168" si="84">G153&amp; " ISIN"</f>
        <v>XS2333280571 ISIN</v>
      </c>
      <c r="AJ153" s="4" t="e" cm="1">
        <f t="array" ref="AJ153">VLOOKUP(IF(NOT(_xll.BDP($G153&amp;" CORP",$CA$5)="#N/A N/A"),(_xll.BDP($G153&amp;" CORP",$CA$5)),"-"), '[1]Country Codes'!$A$2:$B$253,2,0)</f>
        <v>#N/A</v>
      </c>
      <c r="AK153" s="4" t="str" cm="1">
        <f t="array" ref="AK153">IF(OR(_xll.BDP($AI153,"EX028")= "#N/A N/A", _xll.BDP($AI153,"EX028")="#N/A FIELD NOT APPLICABLE"), " ", _xll.BDP($AI153,"EX028"))</f>
        <v>#N/A Connection</v>
      </c>
      <c r="AL153" s="15" t="str">
        <f>(IF(_xll.BDP($AI153&amp;" ISIN","DZ282")="Y","Single line Bonds Cocos","Single line Bonds ex Cocos"))</f>
        <v>Single line Bonds ex Cocos</v>
      </c>
      <c r="AM153" s="8" t="str">
        <f>(IF(_xll.BDP($G153&amp;" ISIN","SP153")="#n/a n/a"," ",_xll.BDP($G153&amp;" ISIN","SP153")))</f>
        <v>#N/A Connection</v>
      </c>
      <c r="AN153" s="16">
        <f t="shared" ref="AN153:AN168" ca="1" si="85">TODAY()</f>
        <v>45783</v>
      </c>
      <c r="AO153" s="11" t="e">
        <f>(((_xll.BDP(AI153,"DS032"))/360)*I153)*O153</f>
        <v>#VALUE!</v>
      </c>
      <c r="AP153" s="11" t="e">
        <f>IF(F153="USD",AO153,(((_xll.BDP(F153&amp;"USD CURNCY","PX_LAST")))*AO153))</f>
        <v>#VALUE!</v>
      </c>
      <c r="AQ153" s="13" t="e">
        <f>S153/#REF!</f>
        <v>#VALUE!</v>
      </c>
      <c r="AR153" s="11" t="e">
        <f t="shared" ref="AR153:AR168" si="86">S153-AP153</f>
        <v>#VALUE!</v>
      </c>
      <c r="AS153" s="10" t="str">
        <f>IF((TEXT(_xll.BDP(AI153,"MATURITY"),"DD/MM/YYYY")="#N/A Field Not Applicable"),"Perp",_xll.BDP(AI153,"DS252"))</f>
        <v>#N/A Connection</v>
      </c>
      <c r="AT153" s="15" t="str">
        <f>(IF(_xll.BDP($AI153&amp;" ISIN","DT247")="Y","Yes","No"))</f>
        <v>No</v>
      </c>
      <c r="AU153" s="15" t="str">
        <f>PROPER(IF(OR(_xll.BDP($AI153,"CPN_TYP")="#n/a N/A",_xll.BDP($AI153,"CPN_TYP")= "#N/A FIELD NOT APPLICABLE"), " ", _xll.BDP($AI153,"CPN_TYP")))</f>
        <v>#N/A Connection</v>
      </c>
      <c r="BG153" s="17" t="str">
        <f t="shared" ref="BG153:BG168" si="87">G153</f>
        <v>XS2333280571</v>
      </c>
      <c r="BH153" s="17">
        <v>0</v>
      </c>
      <c r="BI153" s="18">
        <v>5</v>
      </c>
      <c r="BJ153" s="19">
        <v>44305</v>
      </c>
      <c r="BK153" s="20">
        <v>1</v>
      </c>
    </row>
    <row r="154" spans="1:64" s="21" customFormat="1" ht="14.45" customHeight="1" x14ac:dyDescent="0.25">
      <c r="A154" s="49" t="s">
        <v>241</v>
      </c>
      <c r="B154" s="49" t="s">
        <v>276</v>
      </c>
      <c r="C154" s="49" t="s">
        <v>277</v>
      </c>
      <c r="D154" s="49" t="s">
        <v>240</v>
      </c>
      <c r="E154" s="4" t="str">
        <f>_xll.BDP(AI154,"ds520")</f>
        <v>#N/A Connection</v>
      </c>
      <c r="F154" s="4" t="str">
        <f>_xll.BDP(AI154,"crncy")</f>
        <v>#N/A Connection</v>
      </c>
      <c r="G154" s="5" t="s">
        <v>207</v>
      </c>
      <c r="H154" s="4" t="str">
        <f>IF(_xll.BDP(AI154,"RTG_MOODY")="#N/A N/A","N/A",_xll.BDP(AI154,"RTG_MOODY"))&amp;","&amp;IF(_xll.BDP(AI154,"RTG_FITCH")="#N/A N/A","N/A",_xll.BDP(AI154,"RTG_FITCH"))&amp;","&amp;IF(_xll.BDP(AI154,"RTG_SP")="#N/A N/A","N/A",_xll.BDP(AI154,"RTG_SP"))</f>
        <v>#N/A Connection,#N/A Connection,#N/A Connection</v>
      </c>
      <c r="I154" s="7" t="e">
        <f>_xll.BDP(AI154,"cpn")/100</f>
        <v>#VALUE!</v>
      </c>
      <c r="J154" s="7" t="e">
        <f ca="1">_xll.BDP($G154&amp;" isin","YAS_BOND_YLD", "YAS_YLD_FLAG=15", "user_local_trade_date",AN154,"Yas_bond_px",$Q154)/100</f>
        <v>#VALUE!</v>
      </c>
      <c r="K154" s="4" t="str">
        <f>_xll.BDP(AI154,"PAYMENT_RANK")</f>
        <v>#N/A Connection</v>
      </c>
      <c r="L154" s="4" t="str">
        <f>IF((TEXT(_xll.BDP(AI154,"MATURITY"),"DD/MM/YYYY")="#N/A Field Not Applicable"),"Perp",TEXT(_xll.BDP(AI154,"MATURITY"),"DD/MM/YYYY"))</f>
        <v>#N/A Connection</v>
      </c>
      <c r="M154" s="8" t="str">
        <f>(IF(_xll.BDP($AI154&amp;" ISIN","DU003")="#n/a n/a"," ",_xll.BDP($AI154&amp;" ISIN","DU003")))</f>
        <v>#N/A Connection</v>
      </c>
      <c r="N154" s="4" t="str">
        <f>IF(_xll.BDP(AI154,"CALLABLE")="Y",_xll.BDP(AI154,"NXT_CALL_DT")," ")</f>
        <v xml:space="preserve"> </v>
      </c>
      <c r="O154" s="9">
        <v>200000</v>
      </c>
      <c r="P154" s="5">
        <v>100.9</v>
      </c>
      <c r="Q154" s="10" t="str">
        <f>_xll.BDP(AI154,"px_bid")</f>
        <v>#N/A Connection</v>
      </c>
      <c r="R154" s="11" t="e">
        <f>IF(F154="USD",AG154,(((_xll.BDP(F154&amp;"USD CURNCY","PX_LAST")))*AG154))</f>
        <v>#VALUE!</v>
      </c>
      <c r="S154" s="11" t="e">
        <f>IF(F154="USD",AH154,(((_xll.BDP(F154&amp;"USD CURNCY","PX_LAST")))*AH154))+AP154</f>
        <v>#VALUE!</v>
      </c>
      <c r="T154" s="12" t="e">
        <f t="shared" si="78"/>
        <v>#VALUE!</v>
      </c>
      <c r="U154" s="13" t="e">
        <f t="shared" si="79"/>
        <v>#VALUE!</v>
      </c>
      <c r="V154" s="13" t="str" cm="1">
        <f t="array" ref="V154">IFERROR(_xll.BDP($G154&amp;" ISIN","CHG_PCT_1D")/100,"")</f>
        <v/>
      </c>
      <c r="W154" s="13" t="str" cm="1">
        <f t="array" ref="W154">IFERROR(_xll.BDP($G154&amp;" ISIN","CHG_PCT_5D")/100,"")</f>
        <v/>
      </c>
      <c r="X154" s="13" t="e" cm="1">
        <f t="array" ref="X154">_xll.BDP($G154&amp;" ISIN","CHG_PCT_1M")/100</f>
        <v>#VALUE!</v>
      </c>
      <c r="Y154" s="13" t="e" cm="1">
        <f t="array" ref="Y154">_xll.BDP($G154&amp;" ISIN","CHG_PCT_3M")/100</f>
        <v>#VALUE!</v>
      </c>
      <c r="Z154" s="13" t="e" cm="1">
        <f t="array" ref="Z154">_xll.BDP($G154&amp;" ISIN","CHG_PCT_6M")/100</f>
        <v>#VALUE!</v>
      </c>
      <c r="AA154" s="13" t="e" cm="1">
        <f t="array" ref="AA154">_xll.BDP($G154&amp;" ISIN","CHG_PCT_YTD")/100</f>
        <v>#VALUE!</v>
      </c>
      <c r="AB154" s="13" t="e">
        <f t="shared" si="80"/>
        <v>#VALUE!</v>
      </c>
      <c r="AC154" s="14" t="e">
        <f t="shared" ca="1" si="81"/>
        <v>#VALUE!</v>
      </c>
      <c r="AD154" s="4" t="str">
        <f>_xll.BDP(AI154,"DS199")</f>
        <v>#N/A Connection</v>
      </c>
      <c r="AE154" s="10" t="str">
        <f>_xll.BDP(AI154,"px_ask")</f>
        <v>#N/A Connection</v>
      </c>
      <c r="AF154" s="14" t="e">
        <f>IF(F154="USD",O154,(((_xll.BDP(F154&amp;"USD CURNCY","PX_LAST")))*O154))</f>
        <v>#VALUE!</v>
      </c>
      <c r="AG154" s="11">
        <f t="shared" si="82"/>
        <v>201800</v>
      </c>
      <c r="AH154" s="11" t="e">
        <f t="shared" si="83"/>
        <v>#VALUE!</v>
      </c>
      <c r="AI154" s="4" t="str">
        <f t="shared" si="84"/>
        <v>USF1067PAG12 ISIN</v>
      </c>
      <c r="AJ154" s="4" t="e" cm="1">
        <f t="array" ref="AJ154">VLOOKUP(IF(NOT(_xll.BDP($G154&amp;" CORP",$CA$5)="#N/A N/A"),(_xll.BDP($G154&amp;" CORP",$CA$5)),"-"), '[1]Country Codes'!$A$2:$B$253,2,0)</f>
        <v>#N/A</v>
      </c>
      <c r="AK154" s="4" t="str" cm="1">
        <f t="array" ref="AK154">IF(OR(_xll.BDP($AI154,"EX028")= "#N/A N/A", _xll.BDP($AI154,"EX028")="#N/A FIELD NOT APPLICABLE"), " ", _xll.BDP($AI154,"EX028"))</f>
        <v>#N/A Connection</v>
      </c>
      <c r="AL154" s="15" t="str">
        <f>(IF(_xll.BDP($AI154&amp;" ISIN","DZ282")="Y","Single line Bonds Cocos","Single line Bonds ex Cocos"))</f>
        <v>Single line Bonds ex Cocos</v>
      </c>
      <c r="AM154" s="8" t="str">
        <f>(IF(_xll.BDP($G154&amp;" ISIN","SP153")="#n/a n/a"," ",_xll.BDP($G154&amp;" ISIN","SP153")))</f>
        <v>#N/A Connection</v>
      </c>
      <c r="AN154" s="16">
        <f t="shared" ca="1" si="85"/>
        <v>45783</v>
      </c>
      <c r="AO154" s="11" t="e">
        <f>(((_xll.BDP(AI154,"DS032"))/360)*I154)*O154</f>
        <v>#VALUE!</v>
      </c>
      <c r="AP154" s="11" t="e">
        <f>IF(F154="USD",AO154,(((_xll.BDP(F154&amp;"USD CURNCY","PX_LAST")))*AO154))</f>
        <v>#VALUE!</v>
      </c>
      <c r="AQ154" s="13" t="e">
        <f>S154/#REF!</f>
        <v>#VALUE!</v>
      </c>
      <c r="AR154" s="11" t="e">
        <f t="shared" si="86"/>
        <v>#VALUE!</v>
      </c>
      <c r="AS154" s="10" t="str">
        <f>IF((TEXT(_xll.BDP(AI154,"MATURITY"),"DD/MM/YYYY")="#N/A Field Not Applicable"),"Perp",_xll.BDP(AI154,"DS252"))</f>
        <v>#N/A Connection</v>
      </c>
      <c r="AT154" s="15" t="str">
        <f>(IF(_xll.BDP($AI154&amp;" ISIN","DT247")="Y","Yes","No"))</f>
        <v>No</v>
      </c>
      <c r="AU154" s="15" t="str">
        <f>PROPER(IF(OR(_xll.BDP($AI154,"CPN_TYP")="#n/a N/A",_xll.BDP($AI154,"CPN_TYP")= "#N/A FIELD NOT APPLICABLE"), " ", _xll.BDP($AI154,"CPN_TYP")))</f>
        <v>#N/A Connection</v>
      </c>
      <c r="BG154" s="17" t="str">
        <f t="shared" si="87"/>
        <v>USF1067PAG12</v>
      </c>
      <c r="BH154" s="17">
        <v>0.56999999999999995</v>
      </c>
      <c r="BI154" s="18">
        <v>3</v>
      </c>
      <c r="BJ154" s="19">
        <v>45539</v>
      </c>
      <c r="BK154" s="20">
        <v>1</v>
      </c>
    </row>
    <row r="155" spans="1:64" s="21" customFormat="1" ht="14.45" customHeight="1" x14ac:dyDescent="0.25">
      <c r="A155" s="49" t="s">
        <v>241</v>
      </c>
      <c r="B155" s="49" t="s">
        <v>276</v>
      </c>
      <c r="C155" s="49" t="s">
        <v>277</v>
      </c>
      <c r="D155" s="49" t="s">
        <v>240</v>
      </c>
      <c r="E155" s="4" t="str">
        <f>_xll.BDP(AI155,"ds520")</f>
        <v>#N/A Connection</v>
      </c>
      <c r="F155" s="4" t="str">
        <f>_xll.BDP(AI155,"crncy")</f>
        <v>#N/A Connection</v>
      </c>
      <c r="G155" s="5" t="s">
        <v>43</v>
      </c>
      <c r="H155" s="4" t="str">
        <f>IF(_xll.BDP(AI155,"RTG_MOODY")="#N/A N/A","N/A",_xll.BDP(AI155,"RTG_MOODY"))&amp;","&amp;IF(_xll.BDP(AI155,"RTG_FITCH")="#N/A N/A","N/A",_xll.BDP(AI155,"RTG_FITCH"))&amp;","&amp;IF(_xll.BDP(AI155,"RTG_SP")="#N/A N/A","N/A",_xll.BDP(AI155,"RTG_SP"))</f>
        <v>#N/A Connection,#N/A Connection,#N/A Connection</v>
      </c>
      <c r="I155" s="7" t="e">
        <f>_xll.BDP(AI155,"cpn")/100</f>
        <v>#VALUE!</v>
      </c>
      <c r="J155" s="7" t="e">
        <f ca="1">_xll.BDP($G155&amp;" isin","YAS_BOND_YLD", "YAS_YLD_FLAG=15", "user_local_trade_date",AN155,"Yas_bond_px",$Q155)/100</f>
        <v>#VALUE!</v>
      </c>
      <c r="K155" s="4" t="str">
        <f>_xll.BDP(AI155,"PAYMENT_RANK")</f>
        <v>#N/A Connection</v>
      </c>
      <c r="L155" s="4" t="str">
        <f>IF((TEXT(_xll.BDP(AI155,"MATURITY"),"DD/MM/YYYY")="#N/A Field Not Applicable"),"Perp",TEXT(_xll.BDP(AI155,"MATURITY"),"DD/MM/YYYY"))</f>
        <v>#N/A Connection</v>
      </c>
      <c r="M155" s="8" t="str">
        <f>(IF(_xll.BDP($AI155&amp;" ISIN","DU003")="#n/a n/a"," ",_xll.BDP($AI155&amp;" ISIN","DU003")))</f>
        <v>#N/A Connection</v>
      </c>
      <c r="N155" s="4" t="str">
        <f>IF(_xll.BDP(AI155,"CALLABLE")="Y",_xll.BDP(AI155,"NXT_CALL_DT")," ")</f>
        <v xml:space="preserve"> </v>
      </c>
      <c r="O155" s="9">
        <v>340000</v>
      </c>
      <c r="P155" s="5">
        <v>100</v>
      </c>
      <c r="Q155" s="10" t="str">
        <f>_xll.BDP(AI155,"px_bid")</f>
        <v>#N/A Connection</v>
      </c>
      <c r="R155" s="11" t="e">
        <f>IF(F155="USD",AG155,(((_xll.BDP(F155&amp;"USD CURNCY","PX_LAST")))*AG155))</f>
        <v>#VALUE!</v>
      </c>
      <c r="S155" s="11" t="e">
        <f>IF(F155="USD",AH155,(((_xll.BDP(F155&amp;"USD CURNCY","PX_LAST")))*AH155))+AP155</f>
        <v>#VALUE!</v>
      </c>
      <c r="T155" s="12" t="e">
        <f t="shared" si="78"/>
        <v>#VALUE!</v>
      </c>
      <c r="U155" s="13" t="e">
        <f t="shared" si="79"/>
        <v>#VALUE!</v>
      </c>
      <c r="V155" s="13" t="str" cm="1">
        <f t="array" ref="V155">IFERROR(_xll.BDP($G155&amp;" ISIN","CHG_PCT_1D")/100,"")</f>
        <v/>
      </c>
      <c r="W155" s="13" t="str" cm="1">
        <f t="array" ref="W155">IFERROR(_xll.BDP($G155&amp;" ISIN","CHG_PCT_5D")/100,"")</f>
        <v/>
      </c>
      <c r="X155" s="13" t="e" cm="1">
        <f t="array" ref="X155">_xll.BDP($G155&amp;" ISIN","CHG_PCT_1M")/100</f>
        <v>#VALUE!</v>
      </c>
      <c r="Y155" s="13" t="e" cm="1">
        <f t="array" ref="Y155">_xll.BDP($G155&amp;" ISIN","CHG_PCT_3M")/100</f>
        <v>#VALUE!</v>
      </c>
      <c r="Z155" s="13" t="e" cm="1">
        <f t="array" ref="Z155">_xll.BDP($G155&amp;" ISIN","CHG_PCT_6M")/100</f>
        <v>#VALUE!</v>
      </c>
      <c r="AA155" s="13" t="e" cm="1">
        <f t="array" ref="AA155">_xll.BDP($G155&amp;" ISIN","CHG_PCT_YTD")/100</f>
        <v>#VALUE!</v>
      </c>
      <c r="AB155" s="13" t="e">
        <f t="shared" si="80"/>
        <v>#VALUE!</v>
      </c>
      <c r="AC155" s="14" t="e">
        <f t="shared" ca="1" si="81"/>
        <v>#VALUE!</v>
      </c>
      <c r="AD155" s="4" t="str">
        <f>_xll.BDP(AI155,"DS199")</f>
        <v>#N/A Connection</v>
      </c>
      <c r="AE155" s="10" t="str">
        <f>_xll.BDP(AI155,"px_ask")</f>
        <v>#N/A Connection</v>
      </c>
      <c r="AF155" s="14" t="e">
        <f>IF(F155="USD",O155,(((_xll.BDP(F155&amp;"USD CURNCY","PX_LAST")))*O155))</f>
        <v>#VALUE!</v>
      </c>
      <c r="AG155" s="11">
        <f t="shared" si="82"/>
        <v>340000</v>
      </c>
      <c r="AH155" s="11" t="e">
        <f t="shared" si="83"/>
        <v>#VALUE!</v>
      </c>
      <c r="AI155" s="4" t="str">
        <f t="shared" si="84"/>
        <v>USF2280BAA47 ISIN</v>
      </c>
      <c r="AJ155" s="4" t="e" cm="1">
        <f t="array" ref="AJ155">VLOOKUP(IF(NOT(_xll.BDP($G155&amp;" CORP",$CA$5)="#N/A N/A"),(_xll.BDP($G155&amp;" CORP",$CA$5)),"-"), '[1]Country Codes'!$A$2:$B$253,2,0)</f>
        <v>#N/A</v>
      </c>
      <c r="AK155" s="4" t="str" cm="1">
        <f t="array" ref="AK155">IF(OR(_xll.BDP($AI155,"EX028")= "#N/A N/A", _xll.BDP($AI155,"EX028")="#N/A FIELD NOT APPLICABLE"), " ", _xll.BDP($AI155,"EX028"))</f>
        <v>#N/A Connection</v>
      </c>
      <c r="AL155" s="15" t="str">
        <f>(IF(_xll.BDP($AI155&amp;" ISIN","DZ282")="Y","Single line Bonds Cocos","Single line Bonds ex Cocos"))</f>
        <v>Single line Bonds ex Cocos</v>
      </c>
      <c r="AM155" s="8" t="str">
        <f>(IF(_xll.BDP($G155&amp;" ISIN","SP153")="#n/a n/a"," ",_xll.BDP($G155&amp;" ISIN","SP153")))</f>
        <v>#N/A Connection</v>
      </c>
      <c r="AN155" s="16">
        <f t="shared" ca="1" si="85"/>
        <v>45783</v>
      </c>
      <c r="AO155" s="11" t="e">
        <f>(((_xll.BDP(AI155,"DS032"))/360)*I155)*O155</f>
        <v>#VALUE!</v>
      </c>
      <c r="AP155" s="11" t="e">
        <f>IF(F155="USD",AO155,(((_xll.BDP(F155&amp;"USD CURNCY","PX_LAST")))*AO155))</f>
        <v>#VALUE!</v>
      </c>
      <c r="AQ155" s="13" t="e">
        <f>S155/#REF!</f>
        <v>#VALUE!</v>
      </c>
      <c r="AR155" s="11" t="e">
        <f t="shared" si="86"/>
        <v>#VALUE!</v>
      </c>
      <c r="AS155" s="10" t="str">
        <f>IF((TEXT(_xll.BDP(AI155,"MATURITY"),"DD/MM/YYYY")="#N/A Field Not Applicable"),"Perp",_xll.BDP(AI155,"DS252"))</f>
        <v>#N/A Connection</v>
      </c>
      <c r="AT155" s="15" t="str">
        <f>(IF(_xll.BDP($AI155&amp;" ISIN","DT247")="Y","Yes","No"))</f>
        <v>No</v>
      </c>
      <c r="AU155" s="15" t="str">
        <f>PROPER(IF(OR(_xll.BDP($AI155,"CPN_TYP")="#n/a N/A",_xll.BDP($AI155,"CPN_TYP")= "#N/A FIELD NOT APPLICABLE"), " ", _xll.BDP($AI155,"CPN_TYP")))</f>
        <v>#N/A Connection</v>
      </c>
      <c r="BG155" s="17" t="str">
        <f t="shared" si="87"/>
        <v>USF2280BAA47</v>
      </c>
      <c r="BH155" s="17">
        <v>0.67</v>
      </c>
      <c r="BI155" s="18" t="s">
        <v>147</v>
      </c>
      <c r="BJ155" s="19">
        <v>45559</v>
      </c>
      <c r="BK155" s="20">
        <v>1</v>
      </c>
    </row>
    <row r="156" spans="1:64" s="21" customFormat="1" ht="14.45" customHeight="1" x14ac:dyDescent="0.25">
      <c r="A156" s="49" t="s">
        <v>241</v>
      </c>
      <c r="B156" s="49" t="s">
        <v>276</v>
      </c>
      <c r="C156" s="49" t="s">
        <v>277</v>
      </c>
      <c r="D156" s="49" t="s">
        <v>240</v>
      </c>
      <c r="E156" s="4" t="str">
        <f>_xll.BDP(AI156,"ds520")</f>
        <v>#N/A Connection</v>
      </c>
      <c r="F156" s="4" t="str">
        <f>_xll.BDP(AI156,"crncy")</f>
        <v>#N/A Connection</v>
      </c>
      <c r="G156" s="5" t="s">
        <v>158</v>
      </c>
      <c r="H156" s="4" t="str">
        <f>IF(_xll.BDP(AI156,"RTG_MOODY")="#N/A N/A","N/A",_xll.BDP(AI156,"RTG_MOODY"))&amp;","&amp;IF(_xll.BDP(AI156,"RTG_FITCH")="#N/A N/A","N/A",_xll.BDP(AI156,"RTG_FITCH"))&amp;","&amp;IF(_xll.BDP(AI156,"RTG_SP")="#N/A N/A","N/A",_xll.BDP(AI156,"RTG_SP"))</f>
        <v>#N/A Connection,#N/A Connection,#N/A Connection</v>
      </c>
      <c r="I156" s="7">
        <v>0</v>
      </c>
      <c r="J156" s="7">
        <v>0</v>
      </c>
      <c r="K156" s="4" t="str">
        <f>_xll.BDP(AI156,"PAYMENT_RANK")</f>
        <v>#N/A Connection</v>
      </c>
      <c r="L156" s="4" t="str">
        <f>IF((TEXT(_xll.BDP(AI156,"MATURITY"),"DD/MM/YYYY")="#N/A Field Not Applicable"),"Perp",TEXT(_xll.BDP(AI156,"MATURITY"),"DD/MM/YYYY"))</f>
        <v>#N/A Connection</v>
      </c>
      <c r="M156" s="8" t="str">
        <f>(IF(_xll.BDP($AI156&amp;" ISIN","DU003")="#n/a n/a"," ",_xll.BDP($AI156&amp;" ISIN","DU003")))</f>
        <v>#N/A Connection</v>
      </c>
      <c r="N156" s="4" t="str">
        <f>IF(_xll.BDP(AI156,"CALLABLE")="Y",_xll.BDP(AI156,"NXT_CALL_DT")," ")</f>
        <v xml:space="preserve"> </v>
      </c>
      <c r="O156" s="9">
        <v>50000</v>
      </c>
      <c r="P156" s="5">
        <v>100</v>
      </c>
      <c r="Q156" s="10">
        <v>0</v>
      </c>
      <c r="R156" s="11" t="e">
        <f>IF(F156="USD",AG156,(((_xll.BDP(F156&amp;"USD CURNCY","PX_LAST")))*AG156))</f>
        <v>#VALUE!</v>
      </c>
      <c r="S156" s="11" t="e">
        <f>IF(F156="USD",AH156,(((_xll.BDP(F156&amp;"USD CURNCY","PX_LAST")))*AH156))+AP156</f>
        <v>#VALUE!</v>
      </c>
      <c r="T156" s="12" t="e">
        <f t="shared" si="78"/>
        <v>#VALUE!</v>
      </c>
      <c r="U156" s="13">
        <f t="shared" si="79"/>
        <v>-1</v>
      </c>
      <c r="V156" s="13" t="str" cm="1">
        <f t="array" ref="V156">IFERROR(_xll.BDP($G156&amp;" ISIN","CHG_PCT_1D")/100,"")</f>
        <v/>
      </c>
      <c r="W156" s="13" t="str" cm="1">
        <f t="array" ref="W156">IFERROR(_xll.BDP($G156&amp;" ISIN","CHG_PCT_5D")/100,"")</f>
        <v/>
      </c>
      <c r="X156" s="13" t="e" cm="1">
        <f t="array" ref="X156">_xll.BDP($G156&amp;" ISIN","CHG_PCT_1M")/100</f>
        <v>#VALUE!</v>
      </c>
      <c r="Y156" s="13" t="e" cm="1">
        <f t="array" ref="Y156">_xll.BDP($G156&amp;" ISIN","CHG_PCT_3M")/100</f>
        <v>#VALUE!</v>
      </c>
      <c r="Z156" s="13" t="e" cm="1">
        <f t="array" ref="Z156">_xll.BDP($G156&amp;" ISIN","CHG_PCT_6M")/100</f>
        <v>#VALUE!</v>
      </c>
      <c r="AA156" s="13" t="e" cm="1">
        <f t="array" ref="AA156">_xll.BDP($G156&amp;" ISIN","CHG_PCT_YTD")/100</f>
        <v>#VALUE!</v>
      </c>
      <c r="AB156" s="13" t="e">
        <f t="shared" si="80"/>
        <v>#VALUE!</v>
      </c>
      <c r="AC156" s="14" t="e">
        <f t="shared" ca="1" si="81"/>
        <v>#VALUE!</v>
      </c>
      <c r="AD156" s="4" t="str">
        <f>_xll.BDP(AI156,"DS199")</f>
        <v>#N/A Connection</v>
      </c>
      <c r="AE156" s="10" t="str">
        <f>_xll.BDP(AI156,"px_ask")</f>
        <v>#N/A Connection</v>
      </c>
      <c r="AF156" s="14" t="e">
        <f>IF(F156="USD",O156,(((_xll.BDP(F156&amp;"USD CURNCY","PX_LAST")))*O156))</f>
        <v>#VALUE!</v>
      </c>
      <c r="AG156" s="11">
        <f t="shared" si="82"/>
        <v>50000</v>
      </c>
      <c r="AH156" s="11">
        <f t="shared" si="83"/>
        <v>0</v>
      </c>
      <c r="AI156" s="4" t="str">
        <f t="shared" si="84"/>
        <v>XS2099763075 ISIN</v>
      </c>
      <c r="AJ156" s="4" t="e" cm="1">
        <f t="array" ref="AJ156">VLOOKUP(IF(NOT(_xll.BDP($G156&amp;" CORP",$CA$5)="#N/A N/A"),(_xll.BDP($G156&amp;" CORP",$CA$5)),"-"), '[1]Country Codes'!$A$2:$B$253,2,0)</f>
        <v>#N/A</v>
      </c>
      <c r="AK156" s="4" t="str" cm="1">
        <f t="array" ref="AK156">IF(OR(_xll.BDP($AI156,"EX028")= "#N/A N/A", _xll.BDP($AI156,"EX028")="#N/A FIELD NOT APPLICABLE"), " ", _xll.BDP($AI156,"EX028"))</f>
        <v>#N/A Connection</v>
      </c>
      <c r="AL156" s="15" t="str">
        <f>(IF(_xll.BDP($AI156&amp;" ISIN","DZ282")="Y","Single line Bonds Cocos","Single line Bonds ex Cocos"))</f>
        <v>Single line Bonds ex Cocos</v>
      </c>
      <c r="AM156" s="8" t="str">
        <f>(IF(_xll.BDP($G156&amp;" ISIN","SP153")="#n/a n/a"," ",_xll.BDP($G156&amp;" ISIN","SP153")))</f>
        <v>#N/A Connection</v>
      </c>
      <c r="AN156" s="16">
        <f t="shared" ca="1" si="85"/>
        <v>45783</v>
      </c>
      <c r="AO156" s="11" t="e">
        <f>(((_xll.BDP(AI156,"DS032"))/360)*I156)*O156</f>
        <v>#VALUE!</v>
      </c>
      <c r="AP156" s="11" t="e">
        <f>IF(F156="USD",AO156,(((_xll.BDP(F156&amp;"USD CURNCY","PX_LAST")))*AO156))</f>
        <v>#VALUE!</v>
      </c>
      <c r="AQ156" s="13" t="e">
        <f>S156/#REF!</f>
        <v>#VALUE!</v>
      </c>
      <c r="AR156" s="11" t="e">
        <f t="shared" si="86"/>
        <v>#VALUE!</v>
      </c>
      <c r="AS156" s="10" t="str">
        <f>IF((TEXT(_xll.BDP(AI156,"MATURITY"),"DD/MM/YYYY")="#N/A Field Not Applicable"),"Perp",_xll.BDP(AI156,"DS252"))</f>
        <v>#N/A Connection</v>
      </c>
      <c r="AT156" s="15" t="str">
        <f>(IF(_xll.BDP($AI156&amp;" ISIN","DT247")="Y","Yes","No"))</f>
        <v>No</v>
      </c>
      <c r="AU156" s="15" t="str">
        <f>PROPER(IF(OR(_xll.BDP($AI156,"CPN_TYP")="#n/a N/A",_xll.BDP($AI156,"CPN_TYP")= "#N/A FIELD NOT APPLICABLE"), " ", _xll.BDP($AI156,"CPN_TYP")))</f>
        <v>#N/A Connection</v>
      </c>
      <c r="BG156" s="17" t="str">
        <f t="shared" si="87"/>
        <v>XS2099763075</v>
      </c>
      <c r="BH156" s="17">
        <v>0</v>
      </c>
      <c r="BI156" s="18">
        <v>5</v>
      </c>
      <c r="BJ156" s="19">
        <v>43852</v>
      </c>
      <c r="BK156" s="20">
        <v>1</v>
      </c>
    </row>
    <row r="157" spans="1:64" s="21" customFormat="1" ht="14.45" customHeight="1" x14ac:dyDescent="0.25">
      <c r="A157" s="49" t="s">
        <v>241</v>
      </c>
      <c r="B157" s="49" t="s">
        <v>276</v>
      </c>
      <c r="C157" s="49" t="s">
        <v>277</v>
      </c>
      <c r="D157" s="49" t="s">
        <v>240</v>
      </c>
      <c r="E157" s="4" t="str">
        <f>_xll.BDP(AI157,"ds520")</f>
        <v>#N/A Connection</v>
      </c>
      <c r="F157" s="4" t="str">
        <f>_xll.BDP(AI157,"crncy")</f>
        <v>#N/A Connection</v>
      </c>
      <c r="G157" s="5" t="s">
        <v>148</v>
      </c>
      <c r="H157" s="4" t="str">
        <f>IF(_xll.BDP(AI157,"RTG_MOODY")="#N/A N/A","N/A",_xll.BDP(AI157,"RTG_MOODY"))&amp;","&amp;IF(_xll.BDP(AI157,"RTG_FITCH")="#N/A N/A","N/A",_xll.BDP(AI157,"RTG_FITCH"))&amp;","&amp;IF(_xll.BDP(AI157,"RTG_SP")="#N/A N/A","N/A",_xll.BDP(AI157,"RTG_SP"))</f>
        <v>#N/A Connection,#N/A Connection,#N/A Connection</v>
      </c>
      <c r="I157" s="7" t="e">
        <f>_xll.BDP(AI157,"cpn")/100</f>
        <v>#VALUE!</v>
      </c>
      <c r="J157" s="7" t="e">
        <f ca="1">_xll.BDP($G157&amp;" isin","YAS_BOND_YLD", "YAS_YLD_FLAG=15", "user_local_trade_date",AN157,"Yas_bond_px",$Q157)/100</f>
        <v>#VALUE!</v>
      </c>
      <c r="K157" s="4" t="str">
        <f>_xll.BDP(AI157,"PAYMENT_RANK")</f>
        <v>#N/A Connection</v>
      </c>
      <c r="L157" s="4" t="str">
        <f>IF((TEXT(_xll.BDP(AI157,"MATURITY"),"DD/MM/YYYY")="#N/A Field Not Applicable"),"Perp",TEXT(_xll.BDP(AI157,"MATURITY"),"DD/MM/YYYY"))</f>
        <v>#N/A Connection</v>
      </c>
      <c r="M157" s="8" t="str">
        <f>(IF(_xll.BDP($AI157&amp;" ISIN","DU003")="#n/a n/a"," ",_xll.BDP($AI157&amp;" ISIN","DU003")))</f>
        <v>#N/A Connection</v>
      </c>
      <c r="N157" s="4" t="str">
        <f>IF(_xll.BDP(AI157,"CALLABLE")="Y",_xll.BDP(AI157,"NXT_CALL_DT")," ")</f>
        <v xml:space="preserve"> </v>
      </c>
      <c r="O157" s="9">
        <v>200000</v>
      </c>
      <c r="P157" s="5">
        <v>102.64</v>
      </c>
      <c r="Q157" s="10" t="str">
        <f>_xll.BDP(AI157,"px_bid")</f>
        <v>#N/A Connection</v>
      </c>
      <c r="R157" s="11" t="e">
        <f>IF(F157="USD",AG157,(((_xll.BDP(F157&amp;"USD CURNCY","PX_LAST")))*AG157))</f>
        <v>#VALUE!</v>
      </c>
      <c r="S157" s="11" t="e">
        <f>IF(F157="USD",AH157,(((_xll.BDP(F157&amp;"USD CURNCY","PX_LAST")))*AH157))+AP157</f>
        <v>#VALUE!</v>
      </c>
      <c r="T157" s="12" t="e">
        <f t="shared" si="78"/>
        <v>#VALUE!</v>
      </c>
      <c r="U157" s="13" t="e">
        <f t="shared" si="79"/>
        <v>#VALUE!</v>
      </c>
      <c r="V157" s="13" t="str" cm="1">
        <f t="array" ref="V157">IFERROR(_xll.BDP($G157&amp;" ISIN","CHG_PCT_1D")/100,"")</f>
        <v/>
      </c>
      <c r="W157" s="13" t="str" cm="1">
        <f t="array" ref="W157">IFERROR(_xll.BDP($G157&amp;" ISIN","CHG_PCT_5D")/100,"")</f>
        <v/>
      </c>
      <c r="X157" s="13" t="e" cm="1">
        <f t="array" ref="X157">_xll.BDP($G157&amp;" ISIN","CHG_PCT_1M")/100</f>
        <v>#VALUE!</v>
      </c>
      <c r="Y157" s="13" t="e" cm="1">
        <f t="array" ref="Y157">_xll.BDP($G157&amp;" ISIN","CHG_PCT_3M")/100</f>
        <v>#VALUE!</v>
      </c>
      <c r="Z157" s="13" t="e" cm="1">
        <f t="array" ref="Z157">_xll.BDP($G157&amp;" ISIN","CHG_PCT_6M")/100</f>
        <v>#VALUE!</v>
      </c>
      <c r="AA157" s="13" t="e" cm="1">
        <f t="array" ref="AA157">_xll.BDP($G157&amp;" ISIN","CHG_PCT_YTD")/100</f>
        <v>#VALUE!</v>
      </c>
      <c r="AB157" s="13" t="e">
        <f t="shared" si="80"/>
        <v>#VALUE!</v>
      </c>
      <c r="AC157" s="14" t="e">
        <f t="shared" ca="1" si="81"/>
        <v>#VALUE!</v>
      </c>
      <c r="AD157" s="4" t="str">
        <f>_xll.BDP(AI157,"DS199")</f>
        <v>#N/A Connection</v>
      </c>
      <c r="AE157" s="10" t="str">
        <f>_xll.BDP(AI157,"px_ask")</f>
        <v>#N/A Connection</v>
      </c>
      <c r="AF157" s="14" t="e">
        <f>IF(F157="USD",O157,(((_xll.BDP(F157&amp;"USD CURNCY","PX_LAST")))*O157))</f>
        <v>#VALUE!</v>
      </c>
      <c r="AG157" s="11">
        <f t="shared" si="82"/>
        <v>205280</v>
      </c>
      <c r="AH157" s="11" t="e">
        <f t="shared" si="83"/>
        <v>#VALUE!</v>
      </c>
      <c r="AI157" s="4" t="str">
        <f t="shared" si="84"/>
        <v>US251526CT41 ISIN</v>
      </c>
      <c r="AJ157" s="4" t="e" cm="1">
        <f t="array" ref="AJ157">VLOOKUP(IF(NOT(_xll.BDP($G157&amp;" CORP",$CA$5)="#N/A N/A"),(_xll.BDP($G157&amp;" CORP",$CA$5)),"-"), '[1]Country Codes'!$A$2:$B$253,2,0)</f>
        <v>#N/A</v>
      </c>
      <c r="AK157" s="4" t="str" cm="1">
        <f t="array" ref="AK157">IF(OR(_xll.BDP($AI157,"EX028")= "#N/A N/A", _xll.BDP($AI157,"EX028")="#N/A FIELD NOT APPLICABLE"), " ", _xll.BDP($AI157,"EX028"))</f>
        <v>#N/A Connection</v>
      </c>
      <c r="AL157" s="15" t="str">
        <f>(IF(_xll.BDP($AI157&amp;" ISIN","DZ282")="Y","Single line Bonds Cocos","Single line Bonds ex Cocos"))</f>
        <v>Single line Bonds ex Cocos</v>
      </c>
      <c r="AM157" s="8" t="str">
        <f>(IF(_xll.BDP($G157&amp;" ISIN","SP153")="#n/a n/a"," ",_xll.BDP($G157&amp;" ISIN","SP153")))</f>
        <v>#N/A Connection</v>
      </c>
      <c r="AN157" s="16">
        <f t="shared" ca="1" si="85"/>
        <v>45783</v>
      </c>
      <c r="AO157" s="11" t="e">
        <f>(((_xll.BDP(AI157,"DS032"))/360)*I157)*O157</f>
        <v>#VALUE!</v>
      </c>
      <c r="AP157" s="11" t="e">
        <f>IF(F157="USD",AO157,(((_xll.BDP(F157&amp;"USD CURNCY","PX_LAST")))*AO157))</f>
        <v>#VALUE!</v>
      </c>
      <c r="AQ157" s="13" t="e">
        <f>S157/#REF!</f>
        <v>#VALUE!</v>
      </c>
      <c r="AR157" s="11" t="e">
        <f t="shared" si="86"/>
        <v>#VALUE!</v>
      </c>
      <c r="AS157" s="10" t="str">
        <f>IF((TEXT(_xll.BDP(AI157,"MATURITY"),"DD/MM/YYYY")="#N/A Field Not Applicable"),"Perp",_xll.BDP(AI157,"DS252"))</f>
        <v>#N/A Connection</v>
      </c>
      <c r="AT157" s="15" t="str">
        <f>(IF(_xll.BDP($AI157&amp;" ISIN","DT247")="Y","Yes","No"))</f>
        <v>No</v>
      </c>
      <c r="AU157" s="15" t="str">
        <f>PROPER(IF(OR(_xll.BDP($AI157,"CPN_TYP")="#n/a N/A",_xll.BDP($AI157,"CPN_TYP")= "#N/A FIELD NOT APPLICABLE"), " ", _xll.BDP($AI157,"CPN_TYP")))</f>
        <v>#N/A Connection</v>
      </c>
      <c r="BG157" s="17" t="str">
        <f t="shared" si="87"/>
        <v>US251526CT41</v>
      </c>
      <c r="BH157" s="17">
        <v>0.77</v>
      </c>
      <c r="BI157" s="18" t="s">
        <v>147</v>
      </c>
      <c r="BJ157" s="19">
        <v>45463</v>
      </c>
      <c r="BK157" s="20">
        <v>1</v>
      </c>
    </row>
    <row r="158" spans="1:64" s="21" customFormat="1" ht="14.45" customHeight="1" x14ac:dyDescent="0.25">
      <c r="A158" s="49" t="s">
        <v>241</v>
      </c>
      <c r="B158" s="49" t="s">
        <v>276</v>
      </c>
      <c r="C158" s="49" t="s">
        <v>277</v>
      </c>
      <c r="D158" s="49" t="s">
        <v>240</v>
      </c>
      <c r="E158" s="4" t="str">
        <f>_xll.BDP(AI158,"ds520")</f>
        <v>#N/A Connection</v>
      </c>
      <c r="F158" s="4" t="str">
        <f>_xll.BDP(AI158,"crncy")</f>
        <v>#N/A Connection</v>
      </c>
      <c r="G158" s="5" t="s">
        <v>159</v>
      </c>
      <c r="H158" s="4" t="str">
        <f>IF(_xll.BDP(AI158,"RTG_MOODY")="#N/A N/A","N/A",_xll.BDP(AI158,"RTG_MOODY"))&amp;","&amp;IF(_xll.BDP(AI158,"RTG_FITCH")="#N/A N/A","N/A",_xll.BDP(AI158,"RTG_FITCH"))&amp;","&amp;IF(_xll.BDP(AI158,"RTG_SP")="#N/A N/A","N/A",_xll.BDP(AI158,"RTG_SP"))</f>
        <v>#N/A Connection,#N/A Connection,#N/A Connection</v>
      </c>
      <c r="I158" s="7" t="e">
        <f>_xll.BDP(AI158,"cpn")/100</f>
        <v>#VALUE!</v>
      </c>
      <c r="J158" s="7" t="e">
        <f ca="1">_xll.BDP($G158&amp;" isin","YAS_BOND_YLD", "YAS_YLD_FLAG=15", "user_local_trade_date",AN158,"Yas_bond_px",$Q158)/100</f>
        <v>#VALUE!</v>
      </c>
      <c r="K158" s="4" t="str">
        <f>_xll.BDP(AI158,"PAYMENT_RANK")</f>
        <v>#N/A Connection</v>
      </c>
      <c r="L158" s="4" t="str">
        <f>IF((TEXT(_xll.BDP(AI158,"MATURITY"),"DD/MM/YYYY")="#N/A Field Not Applicable"),"Perp",TEXT(_xll.BDP(AI158,"MATURITY"),"DD/MM/YYYY"))</f>
        <v>#N/A Connection</v>
      </c>
      <c r="M158" s="8" t="str">
        <f>(IF(_xll.BDP($AI158&amp;" ISIN","DU003")="#n/a n/a"," ",_xll.BDP($AI158&amp;" ISIN","DU003")))</f>
        <v>#N/A Connection</v>
      </c>
      <c r="N158" s="4" t="str">
        <f>IF(_xll.BDP(AI158,"CALLABLE")="Y",_xll.BDP(AI158,"NXT_CALL_DT")," ")</f>
        <v xml:space="preserve"> </v>
      </c>
      <c r="O158" s="9">
        <v>200000</v>
      </c>
      <c r="P158" s="5">
        <v>99.72</v>
      </c>
      <c r="Q158" s="10" t="str">
        <f>_xll.BDP(AI158,"px_bid")</f>
        <v>#N/A Connection</v>
      </c>
      <c r="R158" s="11" t="e">
        <f>IF(F158="USD",AG158,(((_xll.BDP(F158&amp;"USD CURNCY","PX_LAST")))*AG158))</f>
        <v>#VALUE!</v>
      </c>
      <c r="S158" s="11" t="e">
        <f>IF(F158="USD",AH158,(((_xll.BDP(F158&amp;"USD CURNCY","PX_LAST")))*AH158))+AP158</f>
        <v>#VALUE!</v>
      </c>
      <c r="T158" s="12" t="e">
        <f t="shared" si="78"/>
        <v>#VALUE!</v>
      </c>
      <c r="U158" s="13" t="e">
        <f t="shared" si="79"/>
        <v>#VALUE!</v>
      </c>
      <c r="V158" s="13" t="str" cm="1">
        <f t="array" ref="V158">IFERROR(_xll.BDP($G158&amp;" ISIN","CHG_PCT_1D")/100,"")</f>
        <v/>
      </c>
      <c r="W158" s="13" t="str" cm="1">
        <f t="array" ref="W158">IFERROR(_xll.BDP($G158&amp;" ISIN","CHG_PCT_5D")/100,"")</f>
        <v/>
      </c>
      <c r="X158" s="13" t="e" cm="1">
        <f t="array" ref="X158">_xll.BDP($G158&amp;" ISIN","CHG_PCT_1M")/100</f>
        <v>#VALUE!</v>
      </c>
      <c r="Y158" s="13" t="e" cm="1">
        <f t="array" ref="Y158">_xll.BDP($G158&amp;" ISIN","CHG_PCT_3M")/100</f>
        <v>#VALUE!</v>
      </c>
      <c r="Z158" s="13" t="e" cm="1">
        <f t="array" ref="Z158">_xll.BDP($G158&amp;" ISIN","CHG_PCT_6M")/100</f>
        <v>#VALUE!</v>
      </c>
      <c r="AA158" s="13" t="e" cm="1">
        <f t="array" ref="AA158">_xll.BDP($G158&amp;" ISIN","CHG_PCT_YTD")/100</f>
        <v>#VALUE!</v>
      </c>
      <c r="AB158" s="13" t="e">
        <f t="shared" si="80"/>
        <v>#VALUE!</v>
      </c>
      <c r="AC158" s="14" t="e">
        <f t="shared" ca="1" si="81"/>
        <v>#VALUE!</v>
      </c>
      <c r="AD158" s="4" t="str">
        <f>_xll.BDP(AI158,"DS199")</f>
        <v>#N/A Connection</v>
      </c>
      <c r="AE158" s="10" t="str">
        <f>_xll.BDP(AI158,"px_ask")</f>
        <v>#N/A Connection</v>
      </c>
      <c r="AF158" s="14" t="e">
        <f>IF(F158="USD",O158,(((_xll.BDP(F158&amp;"USD CURNCY","PX_LAST")))*O158))</f>
        <v>#VALUE!</v>
      </c>
      <c r="AG158" s="11">
        <f t="shared" si="82"/>
        <v>199440</v>
      </c>
      <c r="AH158" s="11" t="e">
        <f t="shared" si="83"/>
        <v>#VALUE!</v>
      </c>
      <c r="AI158" s="4" t="str">
        <f t="shared" si="84"/>
        <v>XS2356571559 ISIN</v>
      </c>
      <c r="AJ158" s="4" t="e" cm="1">
        <f t="array" ref="AJ158">VLOOKUP(IF(NOT(_xll.BDP($G158&amp;" CORP",$CA$5)="#N/A N/A"),(_xll.BDP($G158&amp;" CORP",$CA$5)),"-"), '[1]Country Codes'!$A$2:$B$253,2,0)</f>
        <v>#N/A</v>
      </c>
      <c r="AK158" s="4" t="str" cm="1">
        <f t="array" ref="AK158">IF(OR(_xll.BDP($AI158,"EX028")= "#N/A N/A", _xll.BDP($AI158,"EX028")="#N/A FIELD NOT APPLICABLE"), " ", _xll.BDP($AI158,"EX028"))</f>
        <v>#N/A Connection</v>
      </c>
      <c r="AL158" s="15" t="str">
        <f>(IF(_xll.BDP($AI158&amp;" ISIN","DZ282")="Y","Single line Bonds Cocos","Single line Bonds ex Cocos"))</f>
        <v>Single line Bonds ex Cocos</v>
      </c>
      <c r="AM158" s="8" t="str">
        <f>(IF(_xll.BDP($G158&amp;" ISIN","SP153")="#n/a n/a"," ",_xll.BDP($G158&amp;" ISIN","SP153")))</f>
        <v>#N/A Connection</v>
      </c>
      <c r="AN158" s="16">
        <f t="shared" ca="1" si="85"/>
        <v>45783</v>
      </c>
      <c r="AO158" s="11" t="e">
        <f>(((_xll.BDP(AI158,"DS032"))/360)*I158)*O158</f>
        <v>#VALUE!</v>
      </c>
      <c r="AP158" s="11" t="e">
        <f>IF(F158="USD",AO158,(((_xll.BDP(F158&amp;"USD CURNCY","PX_LAST")))*AO158))</f>
        <v>#VALUE!</v>
      </c>
      <c r="AQ158" s="13" t="e">
        <f>S158/#REF!</f>
        <v>#VALUE!</v>
      </c>
      <c r="AR158" s="11" t="e">
        <f t="shared" si="86"/>
        <v>#VALUE!</v>
      </c>
      <c r="AS158" s="10" t="str">
        <f>IF((TEXT(_xll.BDP(AI158,"MATURITY"),"DD/MM/YYYY")="#N/A Field Not Applicable"),"Perp",_xll.BDP(AI158,"DS252"))</f>
        <v>#N/A Connection</v>
      </c>
      <c r="AT158" s="15" t="str">
        <f>(IF(_xll.BDP($AI158&amp;" ISIN","DT247")="Y","Yes","No"))</f>
        <v>No</v>
      </c>
      <c r="AU158" s="15" t="str">
        <f>PROPER(IF(OR(_xll.BDP($AI158,"CPN_TYP")="#n/a N/A",_xll.BDP($AI158,"CPN_TYP")= "#N/A FIELD NOT APPLICABLE"), " ", _xll.BDP($AI158,"CPN_TYP")))</f>
        <v>#N/A Connection</v>
      </c>
      <c r="BG158" s="17" t="str">
        <f t="shared" si="87"/>
        <v>XS2356571559</v>
      </c>
      <c r="BH158" s="17">
        <v>0.72</v>
      </c>
      <c r="BI158" s="18">
        <v>4</v>
      </c>
      <c r="BJ158" s="19">
        <v>44371</v>
      </c>
      <c r="BK158" s="20">
        <v>1</v>
      </c>
    </row>
    <row r="159" spans="1:64" s="21" customFormat="1" ht="14.45" customHeight="1" x14ac:dyDescent="0.25">
      <c r="A159" s="81" t="s">
        <v>241</v>
      </c>
      <c r="B159" s="81" t="s">
        <v>276</v>
      </c>
      <c r="C159" s="81" t="s">
        <v>277</v>
      </c>
      <c r="D159" s="81" t="s">
        <v>240</v>
      </c>
      <c r="E159" s="88" t="str">
        <f>_xll.BDP(AI159,"ds520")</f>
        <v>Greensaif Pipelines Bidco Sarl</v>
      </c>
      <c r="F159" s="88" t="str">
        <f>_xll.BDP(AI159,"crncy")</f>
        <v>USD</v>
      </c>
      <c r="G159" s="88" t="s">
        <v>189</v>
      </c>
      <c r="H159" s="88" t="str">
        <f>IF(_xll.BDP(AI159,"RTG_MOODY")="#N/A N/A","N/A",_xll.BDP(AI159,"RTG_MOODY"))&amp;","&amp;IF(_xll.BDP(AI159,"RTG_FITCH")="#N/A N/A","N/A",_xll.BDP(AI159,"RTG_FITCH"))&amp;","&amp;IF(_xll.BDP(AI159,"RTG_SP")="#N/A N/A","N/A",_xll.BDP(AI159,"RTG_SP"))</f>
        <v>Aa3,A+,N/A</v>
      </c>
      <c r="I159" s="38">
        <f>_xll.BDP(AI159,"cpn")/100</f>
        <v>6.5099999999999991E-2</v>
      </c>
      <c r="J159" s="38">
        <f ca="1">_xll.BDP($G159&amp;" isin","YAS_BOND_YLD", "YAS_YLD_FLAG=15", "user_local_trade_date",AN159,"Yas_bond_px",$Q159)/100</f>
        <v>6.2911529999999993E-2</v>
      </c>
      <c r="K159" s="88" t="str">
        <f>_xll.BDP(AI159,"PAYMENT_RANK")</f>
        <v>Secured</v>
      </c>
      <c r="L159" s="88" t="str">
        <f>IF((TEXT(_xll.BDP(AI159,"MATURITY"),"DD/MM/YYYY")="#N/A Field Not Applicable"),"Perp",TEXT(_xll.BDP(AI159,"MATURITY"),"DD/MM/YYYY"))</f>
        <v>23/02/2042</v>
      </c>
      <c r="M159" s="97">
        <f>(IF(_xll.BDP($AI159&amp;" ISIN","DU003")="#n/a n/a"," ",_xll.BDP($AI159&amp;" ISIN","DU003")))</f>
        <v>9.9703143731156256</v>
      </c>
      <c r="N159" s="88" t="str">
        <f>IF(_xll.BDP(AI159,"CALLABLE")="Y",_xll.BDP(AI159,"NXT_CALL_DT")," ")</f>
        <v xml:space="preserve"> </v>
      </c>
      <c r="O159" s="98">
        <v>200000</v>
      </c>
      <c r="P159" s="88">
        <v>103.988</v>
      </c>
      <c r="Q159" s="99">
        <f>_xll.BDP(AI159,"px_bid")</f>
        <v>102.23699999999999</v>
      </c>
      <c r="R159" s="100">
        <f>IF(F159="USD",AG159,(((_xll.BDP(F159&amp;"USD CURNCY","PX_LAST")))*AG159))</f>
        <v>207976</v>
      </c>
      <c r="S159" s="100">
        <f>IF(F159="USD",AH159,(((_xll.BDP(F159&amp;"USD CURNCY","PX_LAST")))*AH159))+AP159</f>
        <v>206969.5</v>
      </c>
      <c r="T159" s="86">
        <f t="shared" si="78"/>
        <v>-3502.0000000000095</v>
      </c>
      <c r="U159" s="87">
        <f t="shared" si="79"/>
        <v>-1.6838481363234264E-2</v>
      </c>
      <c r="V159" s="87" t="str" cm="1">
        <f t="array" ref="V159">IFERROR(_xll.BDP($G159&amp;" ISIN","CHG_PCT_1D")/100,"")</f>
        <v/>
      </c>
      <c r="W159" s="87" t="str" cm="1">
        <f t="array" ref="W159">IFERROR(_xll.BDP($G159&amp;" ISIN","CHG_PCT_5D")/100,"")</f>
        <v/>
      </c>
      <c r="X159" s="87" t="e" cm="1">
        <f t="array" ref="X159">_xll.BDP($G159&amp;" ISIN","CHG_PCT_1M")/100</f>
        <v>#VALUE!</v>
      </c>
      <c r="Y159" s="87" t="e" cm="1">
        <f t="array" ref="Y159">_xll.BDP($G159&amp;" ISIN","CHG_PCT_3M")/100</f>
        <v>#VALUE!</v>
      </c>
      <c r="Z159" s="87" t="e" cm="1">
        <f t="array" ref="Z159">_xll.BDP($G159&amp;" ISIN","CHG_PCT_6M")/100</f>
        <v>#VALUE!</v>
      </c>
      <c r="AA159" s="87" t="e" cm="1">
        <f t="array" ref="AA159">_xll.BDP($G159&amp;" ISIN","CHG_PCT_YTD")/100</f>
        <v>#VALUE!</v>
      </c>
      <c r="AB159" s="87" t="e">
        <f t="shared" si="80"/>
        <v>#VALUE!</v>
      </c>
      <c r="AC159" s="98">
        <f t="shared" ca="1" si="81"/>
        <v>3261.166666666657</v>
      </c>
      <c r="AD159" s="88" t="str">
        <f>_xll.BDP(AI159,"DS199")</f>
        <v>Energy</v>
      </c>
      <c r="AE159" s="99">
        <f>_xll.BDP(AI159,"px_ask")</f>
        <v>103.30800000000001</v>
      </c>
      <c r="AF159" s="98">
        <f>IF(F159="USD",O159,(((_xll.BDP(F159&amp;"USD CURNCY","PX_LAST")))*O159))</f>
        <v>200000</v>
      </c>
      <c r="AG159" s="100">
        <f t="shared" si="82"/>
        <v>207976</v>
      </c>
      <c r="AH159" s="100">
        <f t="shared" si="83"/>
        <v>204474</v>
      </c>
      <c r="AI159" s="88" t="str">
        <f t="shared" si="84"/>
        <v>XS2542166744 ISIN</v>
      </c>
      <c r="AJ159" s="88" t="e" cm="1">
        <f t="array" ref="AJ159">VLOOKUP(IF(NOT(_xll.BDP($G159&amp;" CORP",$CA$5)="#N/A N/A"),(_xll.BDP($G159&amp;" CORP",$CA$5)),"-"), '[1]Country Codes'!$A$2:$B$253,2,0)</f>
        <v>#N/A</v>
      </c>
      <c r="AK159" s="88" t="str" cm="1">
        <f t="array" ref="AK159">IF(OR(_xll.BDP($AI159,"EX028")= "#N/A N/A", _xll.BDP($AI159,"EX028")="#N/A FIELD NOT APPLICABLE"), " ", _xll.BDP($AI159,"EX028"))</f>
        <v>FixedIncome</v>
      </c>
      <c r="AL159" s="38" t="str">
        <f>(IF(_xll.BDP($AI159&amp;" ISIN","DZ282")="Y","Single line Bonds Cocos","Single line Bonds ex Cocos"))</f>
        <v>Single line Bonds ex Cocos</v>
      </c>
      <c r="AM159" s="97">
        <f>(IF(_xll.BDP($G159&amp;" ISIN","SP153")="#n/a n/a"," ",_xll.BDP($G159&amp;" ISIN","SP153")))</f>
        <v>243.87853924854338</v>
      </c>
      <c r="AN159" s="95">
        <f t="shared" ca="1" si="85"/>
        <v>45783</v>
      </c>
      <c r="AO159" s="100">
        <f>(((_xll.BDP(AI159,"DS032"))/360)*I159)*O159</f>
        <v>2495.5</v>
      </c>
      <c r="AP159" s="100">
        <f>IF(F159="USD",AO159,(((_xll.BDP(F159&amp;"USD CURNCY","PX_LAST")))*AO159))</f>
        <v>2495.5</v>
      </c>
      <c r="AQ159" s="87" t="e">
        <f>S159/#REF!</f>
        <v>#REF!</v>
      </c>
      <c r="AR159" s="100">
        <f t="shared" si="86"/>
        <v>204474</v>
      </c>
      <c r="AS159" s="99">
        <f>IF((TEXT(_xll.BDP(AI159,"MATURITY"),"DD/MM/YYYY")="#N/A Field Not Applicable"),"Perp",_xll.BDP(AI159,"DS252"))</f>
        <v>16.8186173853525</v>
      </c>
      <c r="AT159" s="38" t="str">
        <f>(IF(_xll.BDP($AI159&amp;" ISIN","DT247")="Y","Yes","No"))</f>
        <v>No</v>
      </c>
      <c r="AU159" s="38" t="str">
        <f>PROPER(IF(OR(_xll.BDP($AI159,"CPN_TYP")="#n/a N/A",_xll.BDP($AI159,"CPN_TYP")= "#N/A FIELD NOT APPLICABLE"), " ", _xll.BDP($AI159,"CPN_TYP")))</f>
        <v>Fixed</v>
      </c>
      <c r="AV159" s="101"/>
      <c r="AW159" s="101"/>
      <c r="AX159" s="101"/>
      <c r="AY159" s="101"/>
      <c r="AZ159" s="101"/>
      <c r="BA159" s="101"/>
      <c r="BB159" s="101"/>
      <c r="BC159" s="101"/>
      <c r="BD159" s="101"/>
      <c r="BE159" s="101"/>
      <c r="BF159" s="101"/>
      <c r="BG159" s="38" t="str">
        <f t="shared" si="87"/>
        <v>XS2542166744</v>
      </c>
      <c r="BH159" s="38">
        <v>0.82</v>
      </c>
      <c r="BI159" s="94" t="s">
        <v>147</v>
      </c>
      <c r="BJ159" s="95">
        <v>45596</v>
      </c>
      <c r="BK159" s="96">
        <v>1</v>
      </c>
      <c r="BL159" s="101"/>
    </row>
    <row r="160" spans="1:64" s="21" customFormat="1" ht="14.45" customHeight="1" x14ac:dyDescent="0.25">
      <c r="A160" s="49" t="s">
        <v>241</v>
      </c>
      <c r="B160" s="49" t="s">
        <v>276</v>
      </c>
      <c r="C160" s="49" t="s">
        <v>277</v>
      </c>
      <c r="D160" s="49" t="s">
        <v>240</v>
      </c>
      <c r="E160" s="4" t="str">
        <f>_xll.BDP(AI160,"ds520")</f>
        <v>#N/A Connection</v>
      </c>
      <c r="F160" s="4" t="str">
        <f>_xll.BDP(AI160,"crncy")</f>
        <v>#N/A Connection</v>
      </c>
      <c r="G160" s="5" t="s">
        <v>234</v>
      </c>
      <c r="H160" s="4" t="str">
        <f>IF(_xll.BDP(AI160,"RTG_MOODY")="#N/A N/A","N/A",_xll.BDP(AI160,"RTG_MOODY"))&amp;","&amp;IF(_xll.BDP(AI160,"RTG_FITCH")="#N/A N/A","N/A",_xll.BDP(AI160,"RTG_FITCH"))&amp;","&amp;IF(_xll.BDP(AI160,"RTG_SP")="#N/A N/A","N/A",_xll.BDP(AI160,"RTG_SP"))</f>
        <v>#N/A Connection,#N/A Connection,#N/A Connection</v>
      </c>
      <c r="I160" s="7" t="e">
        <f>_xll.BDP(AI160,"cpn")/100</f>
        <v>#VALUE!</v>
      </c>
      <c r="J160" s="7" t="e">
        <f ca="1">_xll.BDP($G160&amp;" isin","YAS_BOND_YLD", "YAS_YLD_FLAG=15", "user_local_trade_date",AN160,"Yas_bond_px",$Q160)/100</f>
        <v>#VALUE!</v>
      </c>
      <c r="K160" s="4" t="str">
        <f>_xll.BDP(AI160,"PAYMENT_RANK")</f>
        <v>#N/A Connection</v>
      </c>
      <c r="L160" s="4" t="str">
        <f>IF((TEXT(_xll.BDP(AI160,"MATURITY"),"DD/MM/YYYY")="#N/A Field Not Applicable"),"Perp",TEXT(_xll.BDP(AI160,"MATURITY"),"DD/MM/YYYY"))</f>
        <v>#N/A Connection</v>
      </c>
      <c r="M160" s="8" t="str">
        <f>(IF(_xll.BDP($AI160&amp;" ISIN","DU003")="#n/a n/a"," ",_xll.BDP($AI160&amp;" ISIN","DU003")))</f>
        <v>#N/A Connection</v>
      </c>
      <c r="N160" s="4" t="str">
        <f>IF(_xll.BDP(AI160,"CALLABLE")="Y",_xll.BDP(AI160,"NXT_CALL_DT")," ")</f>
        <v xml:space="preserve"> </v>
      </c>
      <c r="O160" s="9">
        <v>100000</v>
      </c>
      <c r="P160" s="5">
        <v>102.12</v>
      </c>
      <c r="Q160" s="10" t="str">
        <f>_xll.BDP(AI160,"px_bid")</f>
        <v>#N/A Connection</v>
      </c>
      <c r="R160" s="11" t="e">
        <f>IF(F160="USD",AG160,(((_xll.BDP(F160&amp;"USD CURNCY","PX_LAST")))*AG160))</f>
        <v>#VALUE!</v>
      </c>
      <c r="S160" s="11" t="e">
        <f>IF(F160="USD",AH160,(((_xll.BDP(F160&amp;"USD CURNCY","PX_LAST")))*AH160))+AP160</f>
        <v>#VALUE!</v>
      </c>
      <c r="T160" s="12" t="e">
        <f t="shared" si="78"/>
        <v>#VALUE!</v>
      </c>
      <c r="U160" s="13" t="e">
        <f t="shared" si="79"/>
        <v>#VALUE!</v>
      </c>
      <c r="V160" s="13" t="str" cm="1">
        <f t="array" ref="V160">IFERROR(_xll.BDP($G160&amp;" ISIN","CHG_PCT_1D")/100,"")</f>
        <v/>
      </c>
      <c r="W160" s="13" t="str" cm="1">
        <f t="array" ref="W160">IFERROR(_xll.BDP($G160&amp;" ISIN","CHG_PCT_5D")/100,"")</f>
        <v/>
      </c>
      <c r="X160" s="13" t="e" cm="1">
        <f t="array" ref="X160">_xll.BDP($G160&amp;" ISIN","CHG_PCT_1M")/100</f>
        <v>#VALUE!</v>
      </c>
      <c r="Y160" s="13" t="e" cm="1">
        <f t="array" ref="Y160">_xll.BDP($G160&amp;" ISIN","CHG_PCT_3M")/100</f>
        <v>#VALUE!</v>
      </c>
      <c r="Z160" s="13" t="e" cm="1">
        <f t="array" ref="Z160">_xll.BDP($G160&amp;" ISIN","CHG_PCT_6M")/100</f>
        <v>#VALUE!</v>
      </c>
      <c r="AA160" s="13" t="e" cm="1">
        <f t="array" ref="AA160">_xll.BDP($G160&amp;" ISIN","CHG_PCT_YTD")/100</f>
        <v>#VALUE!</v>
      </c>
      <c r="AB160" s="13" t="e">
        <f t="shared" si="80"/>
        <v>#VALUE!</v>
      </c>
      <c r="AC160" s="14" t="e">
        <f t="shared" ca="1" si="81"/>
        <v>#VALUE!</v>
      </c>
      <c r="AD160" s="4" t="str">
        <f>_xll.BDP(AI160,"DS199")</f>
        <v>#N/A Connection</v>
      </c>
      <c r="AE160" s="10" t="str">
        <f>_xll.BDP(AI160,"px_ask")</f>
        <v>#N/A Connection</v>
      </c>
      <c r="AF160" s="14" t="e">
        <f>IF(F160="USD",O160,(((_xll.BDP(F160&amp;"USD CURNCY","PX_LAST")))*O160))</f>
        <v>#VALUE!</v>
      </c>
      <c r="AG160" s="11">
        <f t="shared" si="82"/>
        <v>102120</v>
      </c>
      <c r="AH160" s="11" t="e">
        <f t="shared" si="83"/>
        <v>#VALUE!</v>
      </c>
      <c r="AI160" s="4" t="str">
        <f t="shared" si="84"/>
        <v>XS2591847970 ISIN</v>
      </c>
      <c r="AJ160" s="4" t="e" cm="1">
        <f t="array" ref="AJ160">VLOOKUP(IF(NOT(_xll.BDP($G160&amp;" CORP",$CA$5)="#N/A N/A"),(_xll.BDP($G160&amp;" CORP",$CA$5)),"-"), '[1]Country Codes'!$A$2:$B$253,2,0)</f>
        <v>#N/A</v>
      </c>
      <c r="AK160" s="4" t="str" cm="1">
        <f t="array" ref="AK160">IF(OR(_xll.BDP($AI160,"EX028")= "#N/A N/A", _xll.BDP($AI160,"EX028")="#N/A FIELD NOT APPLICABLE"), " ", _xll.BDP($AI160,"EX028"))</f>
        <v>#N/A Connection</v>
      </c>
      <c r="AL160" s="15" t="str">
        <f>(IF(_xll.BDP($AI160&amp;" ISIN","DZ282")="Y","Single line Bonds Cocos","Single line Bonds ex Cocos"))</f>
        <v>Single line Bonds ex Cocos</v>
      </c>
      <c r="AM160" s="8" t="str">
        <f>(IF(_xll.BDP($G160&amp;" ISIN","SP153")="#n/a n/a"," ",_xll.BDP($G160&amp;" ISIN","SP153")))</f>
        <v>#N/A Connection</v>
      </c>
      <c r="AN160" s="16">
        <f t="shared" ca="1" si="85"/>
        <v>45783</v>
      </c>
      <c r="AO160" s="11" t="e">
        <f>(((_xll.BDP(AI160,"DS032"))/360)*I160)*O160</f>
        <v>#VALUE!</v>
      </c>
      <c r="AP160" s="11" t="e">
        <f>IF(F160="USD",AO160,(((_xll.BDP(F160&amp;"USD CURNCY","PX_LAST")))*AO160))</f>
        <v>#VALUE!</v>
      </c>
      <c r="AQ160" s="13" t="e">
        <f>S160/#REF!</f>
        <v>#VALUE!</v>
      </c>
      <c r="AR160" s="11" t="e">
        <f t="shared" si="86"/>
        <v>#VALUE!</v>
      </c>
      <c r="AS160" s="10" t="str">
        <f>IF((TEXT(_xll.BDP(AI160,"MATURITY"),"DD/MM/YYYY")="#N/A Field Not Applicable"),"Perp",_xll.BDP(AI160,"DS252"))</f>
        <v>#N/A Connection</v>
      </c>
      <c r="AT160" s="15" t="str">
        <f>(IF(_xll.BDP($AI160&amp;" ISIN","DT247")="Y","Yes","No"))</f>
        <v>No</v>
      </c>
      <c r="AU160" s="15" t="str">
        <f>PROPER(IF(OR(_xll.BDP($AI160,"CPN_TYP")="#n/a N/A",_xll.BDP($AI160,"CPN_TYP")= "#N/A FIELD NOT APPLICABLE"), " ", _xll.BDP($AI160,"CPN_TYP")))</f>
        <v>#N/A Connection</v>
      </c>
      <c r="BG160" s="17" t="str">
        <f t="shared" si="87"/>
        <v>XS2591847970</v>
      </c>
      <c r="BH160" s="17">
        <v>0.82</v>
      </c>
      <c r="BI160" s="18" t="s">
        <v>147</v>
      </c>
      <c r="BJ160" s="19">
        <v>45372</v>
      </c>
      <c r="BK160" s="20">
        <v>1</v>
      </c>
    </row>
    <row r="161" spans="1:64" s="101" customFormat="1" ht="14.45" customHeight="1" x14ac:dyDescent="0.25">
      <c r="A161" s="49" t="s">
        <v>241</v>
      </c>
      <c r="B161" s="49" t="s">
        <v>276</v>
      </c>
      <c r="C161" s="49" t="s">
        <v>277</v>
      </c>
      <c r="D161" s="49" t="s">
        <v>240</v>
      </c>
      <c r="E161" s="4" t="str">
        <f>_xll.BDP(AI161,"ds520")</f>
        <v>#N/A Connection</v>
      </c>
      <c r="F161" s="4" t="str">
        <f>_xll.BDP(AI161,"crncy")</f>
        <v>#N/A Connection</v>
      </c>
      <c r="G161" s="5" t="s">
        <v>150</v>
      </c>
      <c r="H161" s="4" t="str">
        <f>IF(_xll.BDP(AI161,"RTG_MOODY")="#N/A N/A","N/A",_xll.BDP(AI161,"RTG_MOODY"))&amp;","&amp;IF(_xll.BDP(AI161,"RTG_FITCH")="#N/A N/A","N/A",_xll.BDP(AI161,"RTG_FITCH"))&amp;","&amp;IF(_xll.BDP(AI161,"RTG_SP")="#N/A N/A","N/A",_xll.BDP(AI161,"RTG_SP"))</f>
        <v>#N/A Connection,#N/A Connection,#N/A Connection</v>
      </c>
      <c r="I161" s="7" t="e">
        <f>_xll.BDP(AI161,"cpn")/100</f>
        <v>#VALUE!</v>
      </c>
      <c r="J161" s="7" t="e">
        <f ca="1">_xll.BDP($G161&amp;" isin","YAS_BOND_YLD", "YAS_YLD_FLAG=15", "user_local_trade_date",AN161,"Yas_bond_px",$Q161)/100</f>
        <v>#VALUE!</v>
      </c>
      <c r="K161" s="4" t="str">
        <f>_xll.BDP(AI161,"PAYMENT_RANK")</f>
        <v>#N/A Connection</v>
      </c>
      <c r="L161" s="4" t="str">
        <f>IF((TEXT(_xll.BDP(AI161,"MATURITY"),"DD/MM/YYYY")="#N/A Field Not Applicable"),"Perp",TEXT(_xll.BDP(AI161,"MATURITY"),"DD/MM/YYYY"))</f>
        <v>#N/A Connection</v>
      </c>
      <c r="M161" s="8" t="str">
        <f>(IF(_xll.BDP($AI161&amp;" ISIN","DU003")="#n/a n/a"," ",_xll.BDP($AI161&amp;" ISIN","DU003")))</f>
        <v>#N/A Connection</v>
      </c>
      <c r="N161" s="4" t="str">
        <f>IF(_xll.BDP(AI161,"CALLABLE")="Y",_xll.BDP(AI161,"NXT_CALL_DT")," ")</f>
        <v xml:space="preserve"> </v>
      </c>
      <c r="O161" s="9">
        <v>200000</v>
      </c>
      <c r="P161" s="5">
        <v>100.03</v>
      </c>
      <c r="Q161" s="10" t="str">
        <f>_xll.BDP(AI161,"px_bid")</f>
        <v>#N/A Connection</v>
      </c>
      <c r="R161" s="11" t="e">
        <f>IF(F161="USD",AG161,(((_xll.BDP(F161&amp;"USD CURNCY","PX_LAST")))*AG161))</f>
        <v>#VALUE!</v>
      </c>
      <c r="S161" s="11" t="e">
        <f>IF(F161="USD",AH161,(((_xll.BDP(F161&amp;"USD CURNCY","PX_LAST")))*AH161))+AP161</f>
        <v>#VALUE!</v>
      </c>
      <c r="T161" s="12" t="e">
        <f t="shared" si="78"/>
        <v>#VALUE!</v>
      </c>
      <c r="U161" s="13" t="e">
        <f t="shared" si="79"/>
        <v>#VALUE!</v>
      </c>
      <c r="V161" s="13" t="str" cm="1">
        <f t="array" ref="V161">IFERROR(_xll.BDP($G161&amp;" ISIN","CHG_PCT_1D")/100,"")</f>
        <v/>
      </c>
      <c r="W161" s="13" t="str" cm="1">
        <f t="array" ref="W161">IFERROR(_xll.BDP($G161&amp;" ISIN","CHG_PCT_5D")/100,"")</f>
        <v/>
      </c>
      <c r="X161" s="13" t="e" cm="1">
        <f t="array" ref="X161">_xll.BDP($G161&amp;" ISIN","CHG_PCT_1M")/100</f>
        <v>#VALUE!</v>
      </c>
      <c r="Y161" s="13" t="e" cm="1">
        <f t="array" ref="Y161">_xll.BDP($G161&amp;" ISIN","CHG_PCT_3M")/100</f>
        <v>#VALUE!</v>
      </c>
      <c r="Z161" s="13" t="e" cm="1">
        <f t="array" ref="Z161">_xll.BDP($G161&amp;" ISIN","CHG_PCT_6M")/100</f>
        <v>#VALUE!</v>
      </c>
      <c r="AA161" s="13" t="e" cm="1">
        <f t="array" ref="AA161">_xll.BDP($G161&amp;" ISIN","CHG_PCT_YTD")/100</f>
        <v>#VALUE!</v>
      </c>
      <c r="AB161" s="13" t="e">
        <f t="shared" si="80"/>
        <v>#VALUE!</v>
      </c>
      <c r="AC161" s="14" t="e">
        <f t="shared" ca="1" si="81"/>
        <v>#VALUE!</v>
      </c>
      <c r="AD161" s="4" t="str">
        <f>_xll.BDP(AI161,"DS199")</f>
        <v>#N/A Connection</v>
      </c>
      <c r="AE161" s="10" t="str">
        <f>_xll.BDP(AI161,"px_ask")</f>
        <v>#N/A Connection</v>
      </c>
      <c r="AF161" s="14" t="e">
        <f>IF(F161="USD",O161,(((_xll.BDP(F161&amp;"USD CURNCY","PX_LAST")))*O161))</f>
        <v>#VALUE!</v>
      </c>
      <c r="AG161" s="11">
        <f t="shared" si="82"/>
        <v>200060</v>
      </c>
      <c r="AH161" s="11" t="e">
        <f t="shared" si="83"/>
        <v>#VALUE!</v>
      </c>
      <c r="AI161" s="4" t="str">
        <f t="shared" si="84"/>
        <v>XS2827680112 ISIN</v>
      </c>
      <c r="AJ161" s="4" t="e" cm="1">
        <f t="array" ref="AJ161">VLOOKUP(IF(NOT(_xll.BDP($G161&amp;" CORP",$CA$5)="#N/A N/A"),(_xll.BDP($G161&amp;" CORP",$CA$5)),"-"), '[1]Country Codes'!$A$2:$B$253,2,0)</f>
        <v>#N/A</v>
      </c>
      <c r="AK161" s="4" t="str" cm="1">
        <f t="array" ref="AK161">IF(OR(_xll.BDP($AI161,"EX028")= "#N/A N/A", _xll.BDP($AI161,"EX028")="#N/A FIELD NOT APPLICABLE"), " ", _xll.BDP($AI161,"EX028"))</f>
        <v>#N/A Connection</v>
      </c>
      <c r="AL161" s="15" t="str">
        <f>(IF(_xll.BDP($AI161&amp;" ISIN","DZ282")="Y","Single line Bonds Cocos","Single line Bonds ex Cocos"))</f>
        <v>Single line Bonds ex Cocos</v>
      </c>
      <c r="AM161" s="8" t="str">
        <f>(IF(_xll.BDP($G161&amp;" ISIN","SP153")="#n/a n/a"," ",_xll.BDP($G161&amp;" ISIN","SP153")))</f>
        <v>#N/A Connection</v>
      </c>
      <c r="AN161" s="16">
        <f t="shared" ca="1" si="85"/>
        <v>45783</v>
      </c>
      <c r="AO161" s="11" t="e">
        <f>(((_xll.BDP(AI161,"DS032"))/360)*I161)*O161</f>
        <v>#VALUE!</v>
      </c>
      <c r="AP161" s="11" t="e">
        <f>IF(F161="USD",AO161,(((_xll.BDP(F161&amp;"USD CURNCY","PX_LAST")))*AO161))</f>
        <v>#VALUE!</v>
      </c>
      <c r="AQ161" s="13" t="e">
        <f>S161/#REF!</f>
        <v>#VALUE!</v>
      </c>
      <c r="AR161" s="11" t="e">
        <f t="shared" si="86"/>
        <v>#VALUE!</v>
      </c>
      <c r="AS161" s="10" t="str">
        <f>IF((TEXT(_xll.BDP(AI161,"MATURITY"),"DD/MM/YYYY")="#N/A Field Not Applicable"),"Perp",_xll.BDP(AI161,"DS252"))</f>
        <v>#N/A Connection</v>
      </c>
      <c r="AT161" s="15" t="str">
        <f>(IF(_xll.BDP($AI161&amp;" ISIN","DT247")="Y","Yes","No"))</f>
        <v>No</v>
      </c>
      <c r="AU161" s="15" t="str">
        <f>PROPER(IF(OR(_xll.BDP($AI161,"CPN_TYP")="#n/a N/A",_xll.BDP($AI161,"CPN_TYP")= "#N/A FIELD NOT APPLICABLE"), " ", _xll.BDP($AI161,"CPN_TYP")))</f>
        <v>#N/A Connection</v>
      </c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17" t="str">
        <f t="shared" si="87"/>
        <v>XS2827680112</v>
      </c>
      <c r="BH161" s="17">
        <v>0.56999999999999995</v>
      </c>
      <c r="BI161" s="18" t="s">
        <v>147</v>
      </c>
      <c r="BJ161" s="19">
        <v>45448</v>
      </c>
      <c r="BK161" s="20">
        <v>1</v>
      </c>
      <c r="BL161" s="21"/>
    </row>
    <row r="162" spans="1:64" s="21" customFormat="1" ht="14.45" customHeight="1" x14ac:dyDescent="0.25">
      <c r="A162" s="49" t="s">
        <v>241</v>
      </c>
      <c r="B162" s="49" t="s">
        <v>276</v>
      </c>
      <c r="C162" s="49" t="s">
        <v>277</v>
      </c>
      <c r="D162" s="49" t="s">
        <v>240</v>
      </c>
      <c r="E162" s="4" t="str">
        <f>_xll.BDP(AI162,"ds520")</f>
        <v>#N/A Connection</v>
      </c>
      <c r="F162" s="4" t="str">
        <f>_xll.BDP(AI162,"crncy")</f>
        <v>#N/A Connection</v>
      </c>
      <c r="G162" s="5" t="s">
        <v>149</v>
      </c>
      <c r="H162" s="4" t="str">
        <f>IF(_xll.BDP(AI162,"RTG_MOODY")="#N/A N/A","N/A",_xll.BDP(AI162,"RTG_MOODY"))&amp;","&amp;IF(_xll.BDP(AI162,"RTG_FITCH")="#N/A N/A","N/A",_xll.BDP(AI162,"RTG_FITCH"))&amp;","&amp;IF(_xll.BDP(AI162,"RTG_SP")="#N/A N/A","N/A",_xll.BDP(AI162,"RTG_SP"))</f>
        <v>#N/A Connection,#N/A Connection,#N/A Connection</v>
      </c>
      <c r="I162" s="7" t="e">
        <f>_xll.BDP(AI162,"cpn")/100</f>
        <v>#VALUE!</v>
      </c>
      <c r="J162" s="7" t="e">
        <f ca="1">_xll.BDP($G162&amp;" isin","YAS_BOND_YLD", "YAS_YLD_FLAG=15", "user_local_trade_date",AN162,"Yas_bond_px",$Q162)/100</f>
        <v>#VALUE!</v>
      </c>
      <c r="K162" s="4" t="str">
        <f>_xll.BDP(AI162,"PAYMENT_RANK")</f>
        <v>#N/A Connection</v>
      </c>
      <c r="L162" s="4" t="str">
        <f>IF((TEXT(_xll.BDP(AI162,"MATURITY"),"DD/MM/YYYY")="#N/A Field Not Applicable"),"Perp",TEXT(_xll.BDP(AI162,"MATURITY"),"DD/MM/YYYY"))</f>
        <v>#N/A Connection</v>
      </c>
      <c r="M162" s="8" t="str">
        <f>(IF(_xll.BDP($AI162&amp;" ISIN","DU003")="#n/a n/a"," ",_xll.BDP($AI162&amp;" ISIN","DU003")))</f>
        <v>#N/A Connection</v>
      </c>
      <c r="N162" s="4" t="str">
        <f>IF(_xll.BDP(AI162,"CALLABLE")="Y",_xll.BDP(AI162,"NXT_CALL_DT")," ")</f>
        <v xml:space="preserve"> </v>
      </c>
      <c r="O162" s="9">
        <v>200000</v>
      </c>
      <c r="P162" s="5">
        <v>100.01</v>
      </c>
      <c r="Q162" s="10" t="str">
        <f>_xll.BDP(AI162,"px_bid")</f>
        <v>#N/A Connection</v>
      </c>
      <c r="R162" s="11" t="e">
        <f>IF(F162="USD",AG162,(((_xll.BDP(F162&amp;"USD CURNCY","PX_LAST")))*AG162))</f>
        <v>#VALUE!</v>
      </c>
      <c r="S162" s="11" t="e">
        <f>IF(F162="USD",AH162,(((_xll.BDP(F162&amp;"USD CURNCY","PX_LAST")))*AH162))+AP162</f>
        <v>#VALUE!</v>
      </c>
      <c r="T162" s="12" t="e">
        <f t="shared" si="78"/>
        <v>#VALUE!</v>
      </c>
      <c r="U162" s="13" t="e">
        <f t="shared" si="79"/>
        <v>#VALUE!</v>
      </c>
      <c r="V162" s="13" t="str" cm="1">
        <f t="array" ref="V162">IFERROR(_xll.BDP($G162&amp;" ISIN","CHG_PCT_1D")/100,"")</f>
        <v/>
      </c>
      <c r="W162" s="13" t="str" cm="1">
        <f t="array" ref="W162">IFERROR(_xll.BDP($G162&amp;" ISIN","CHG_PCT_5D")/100,"")</f>
        <v/>
      </c>
      <c r="X162" s="13" t="e" cm="1">
        <f t="array" ref="X162">_xll.BDP($G162&amp;" ISIN","CHG_PCT_1M")/100</f>
        <v>#VALUE!</v>
      </c>
      <c r="Y162" s="13" t="e" cm="1">
        <f t="array" ref="Y162">_xll.BDP($G162&amp;" ISIN","CHG_PCT_3M")/100</f>
        <v>#VALUE!</v>
      </c>
      <c r="Z162" s="13" t="e" cm="1">
        <f t="array" ref="Z162">_xll.BDP($G162&amp;" ISIN","CHG_PCT_6M")/100</f>
        <v>#VALUE!</v>
      </c>
      <c r="AA162" s="13" t="e" cm="1">
        <f t="array" ref="AA162">_xll.BDP($G162&amp;" ISIN","CHG_PCT_YTD")/100</f>
        <v>#VALUE!</v>
      </c>
      <c r="AB162" s="13" t="e">
        <f t="shared" si="80"/>
        <v>#VALUE!</v>
      </c>
      <c r="AC162" s="14" t="e">
        <f t="shared" ca="1" si="81"/>
        <v>#VALUE!</v>
      </c>
      <c r="AD162" s="4" t="str">
        <f>_xll.BDP(AI162,"DS199")</f>
        <v>#N/A Connection</v>
      </c>
      <c r="AE162" s="10" t="str">
        <f>_xll.BDP(AI162,"px_ask")</f>
        <v>#N/A Connection</v>
      </c>
      <c r="AF162" s="14" t="e">
        <f>IF(F162="USD",O162,(((_xll.BDP(F162&amp;"USD CURNCY","PX_LAST")))*O162))</f>
        <v>#VALUE!</v>
      </c>
      <c r="AG162" s="11">
        <f t="shared" si="82"/>
        <v>200020</v>
      </c>
      <c r="AH162" s="11" t="e">
        <f t="shared" si="83"/>
        <v>#VALUE!</v>
      </c>
      <c r="AI162" s="4" t="str">
        <f t="shared" si="84"/>
        <v>XS2630917107 ISIN</v>
      </c>
      <c r="AJ162" s="4" t="e" cm="1">
        <f t="array" ref="AJ162">VLOOKUP(IF(NOT(_xll.BDP($G162&amp;" CORP",$CA$5)="#N/A N/A"),(_xll.BDP($G162&amp;" CORP",$CA$5)),"-"), '[1]Country Codes'!$A$2:$B$253,2,0)</f>
        <v>#N/A</v>
      </c>
      <c r="AK162" s="4" t="str" cm="1">
        <f t="array" ref="AK162">IF(OR(_xll.BDP($AI162,"EX028")= "#N/A N/A", _xll.BDP($AI162,"EX028")="#N/A FIELD NOT APPLICABLE"), " ", _xll.BDP($AI162,"EX028"))</f>
        <v>#N/A Connection</v>
      </c>
      <c r="AL162" s="15" t="str">
        <f>(IF(_xll.BDP($AI162&amp;" ISIN","DZ282")="Y","Single line Bonds Cocos","Single line Bonds ex Cocos"))</f>
        <v>Single line Bonds ex Cocos</v>
      </c>
      <c r="AM162" s="8" t="str">
        <f>(IF(_xll.BDP($G162&amp;" ISIN","SP153")="#n/a n/a"," ",_xll.BDP($G162&amp;" ISIN","SP153")))</f>
        <v>#N/A Connection</v>
      </c>
      <c r="AN162" s="16">
        <f t="shared" ca="1" si="85"/>
        <v>45783</v>
      </c>
      <c r="AO162" s="11" t="e">
        <f>(((_xll.BDP(AI162,"DS032"))/360)*I162)*O162</f>
        <v>#VALUE!</v>
      </c>
      <c r="AP162" s="11" t="e">
        <f>IF(F162="USD",AO162,(((_xll.BDP(F162&amp;"USD CURNCY","PX_LAST")))*AO162))</f>
        <v>#VALUE!</v>
      </c>
      <c r="AQ162" s="13" t="e">
        <f>S162/#REF!</f>
        <v>#VALUE!</v>
      </c>
      <c r="AR162" s="11" t="e">
        <f t="shared" si="86"/>
        <v>#VALUE!</v>
      </c>
      <c r="AS162" s="10" t="str">
        <f>IF((TEXT(_xll.BDP(AI162,"MATURITY"),"DD/MM/YYYY")="#N/A Field Not Applicable"),"Perp",_xll.BDP(AI162,"DS252"))</f>
        <v>#N/A Connection</v>
      </c>
      <c r="AT162" s="15" t="str">
        <f>(IF(_xll.BDP($AI162&amp;" ISIN","DT247")="Y","Yes","No"))</f>
        <v>No</v>
      </c>
      <c r="AU162" s="15" t="str">
        <f>PROPER(IF(OR(_xll.BDP($AI162,"CPN_TYP")="#n/a N/A",_xll.BDP($AI162,"CPN_TYP")= "#N/A FIELD NOT APPLICABLE"), " ", _xll.BDP($AI162,"CPN_TYP")))</f>
        <v>#N/A Connection</v>
      </c>
      <c r="BG162" s="17" t="str">
        <f t="shared" si="87"/>
        <v>XS2630917107</v>
      </c>
      <c r="BH162" s="17">
        <v>0.72</v>
      </c>
      <c r="BI162" s="18" t="s">
        <v>147</v>
      </c>
      <c r="BJ162" s="19">
        <v>45539</v>
      </c>
      <c r="BK162" s="20">
        <v>1</v>
      </c>
    </row>
    <row r="163" spans="1:64" s="21" customFormat="1" ht="14.45" customHeight="1" x14ac:dyDescent="0.25">
      <c r="A163" s="49" t="s">
        <v>241</v>
      </c>
      <c r="B163" s="49" t="s">
        <v>276</v>
      </c>
      <c r="C163" s="49" t="s">
        <v>277</v>
      </c>
      <c r="D163" s="49" t="s">
        <v>240</v>
      </c>
      <c r="E163" s="4" t="str">
        <f>_xll.BDP(AI163,"ds520")</f>
        <v>#N/A Connection</v>
      </c>
      <c r="F163" s="4" t="str">
        <f>_xll.BDP(AI163,"crncy")</f>
        <v>#N/A Connection</v>
      </c>
      <c r="G163" s="5" t="s">
        <v>45</v>
      </c>
      <c r="H163" s="4" t="str">
        <f>IF(_xll.BDP(AI163,"RTG_MOODY")="#N/A N/A","N/A",_xll.BDP(AI163,"RTG_MOODY"))&amp;","&amp;IF(_xll.BDP(AI163,"RTG_FITCH")="#N/A N/A","N/A",_xll.BDP(AI163,"RTG_FITCH"))&amp;","&amp;IF(_xll.BDP(AI163,"RTG_SP")="#N/A N/A","N/A",_xll.BDP(AI163,"RTG_SP"))</f>
        <v>#N/A Connection,#N/A Connection,#N/A Connection</v>
      </c>
      <c r="I163" s="7" t="e">
        <f>_xll.BDP(AI163,"cpn")/100</f>
        <v>#VALUE!</v>
      </c>
      <c r="J163" s="7" t="e">
        <f ca="1">_xll.BDP($G163&amp;" isin","YAS_BOND_YLD", "YAS_YLD_FLAG=15", "user_local_trade_date",AN163,"Yas_bond_px",$Q163)/100</f>
        <v>#VALUE!</v>
      </c>
      <c r="K163" s="4" t="str">
        <f>_xll.BDP(AI163,"PAYMENT_RANK")</f>
        <v>#N/A Connection</v>
      </c>
      <c r="L163" s="4" t="str">
        <f>IF((TEXT(_xll.BDP(AI163,"MATURITY"),"DD/MM/YYYY")="#N/A Field Not Applicable"),"Perp",TEXT(_xll.BDP(AI163,"MATURITY"),"DD/MM/YYYY"))</f>
        <v>#N/A Connection</v>
      </c>
      <c r="M163" s="8" t="str">
        <f>(IF(_xll.BDP($AI163&amp;" ISIN","DU003")="#n/a n/a"," ",_xll.BDP($AI163&amp;" ISIN","DU003")))</f>
        <v>#N/A Connection</v>
      </c>
      <c r="N163" s="4" t="str">
        <f>IF(_xll.BDP(AI163,"CALLABLE")="Y",_xll.BDP(AI163,"NXT_CALL_DT")," ")</f>
        <v xml:space="preserve"> </v>
      </c>
      <c r="O163" s="9">
        <v>200000</v>
      </c>
      <c r="P163" s="5">
        <v>98.78</v>
      </c>
      <c r="Q163" s="10" t="str">
        <f>_xll.BDP(AI163,"px_bid")</f>
        <v>#N/A Connection</v>
      </c>
      <c r="R163" s="11" t="e">
        <f>IF(F163="USD",AG163,(((_xll.BDP(F163&amp;"USD CURNCY","PX_LAST")))*AG163))</f>
        <v>#VALUE!</v>
      </c>
      <c r="S163" s="11" t="e">
        <f>IF(F163="USD",AH163,(((_xll.BDP(F163&amp;"USD CURNCY","PX_LAST")))*AH163))+AP163</f>
        <v>#VALUE!</v>
      </c>
      <c r="T163" s="12" t="e">
        <f t="shared" si="78"/>
        <v>#VALUE!</v>
      </c>
      <c r="U163" s="13" t="e">
        <f t="shared" si="79"/>
        <v>#VALUE!</v>
      </c>
      <c r="V163" s="13" t="str" cm="1">
        <f t="array" ref="V163">IFERROR(_xll.BDP($G163&amp;" ISIN","CHG_PCT_1D")/100,"")</f>
        <v/>
      </c>
      <c r="W163" s="13" t="str" cm="1">
        <f t="array" ref="W163">IFERROR(_xll.BDP($G163&amp;" ISIN","CHG_PCT_5D")/100,"")</f>
        <v/>
      </c>
      <c r="X163" s="13" t="e" cm="1">
        <f t="array" ref="X163">_xll.BDP($G163&amp;" ISIN","CHG_PCT_1M")/100</f>
        <v>#VALUE!</v>
      </c>
      <c r="Y163" s="13" t="e" cm="1">
        <f t="array" ref="Y163">_xll.BDP($G163&amp;" ISIN","CHG_PCT_3M")/100</f>
        <v>#VALUE!</v>
      </c>
      <c r="Z163" s="13" t="e" cm="1">
        <f t="array" ref="Z163">_xll.BDP($G163&amp;" ISIN","CHG_PCT_6M")/100</f>
        <v>#VALUE!</v>
      </c>
      <c r="AA163" s="13" t="e" cm="1">
        <f t="array" ref="AA163">_xll.BDP($G163&amp;" ISIN","CHG_PCT_YTD")/100</f>
        <v>#VALUE!</v>
      </c>
      <c r="AB163" s="13" t="e">
        <f t="shared" si="80"/>
        <v>#VALUE!</v>
      </c>
      <c r="AC163" s="14" t="e">
        <f t="shared" ca="1" si="81"/>
        <v>#VALUE!</v>
      </c>
      <c r="AD163" s="4" t="str">
        <f>_xll.BDP(AI163,"DS199")</f>
        <v>#N/A Connection</v>
      </c>
      <c r="AE163" s="10" t="str">
        <f>_xll.BDP(AI163,"px_ask")</f>
        <v>#N/A Connection</v>
      </c>
      <c r="AF163" s="14" t="e">
        <f>IF(F163="USD",O163,(((_xll.BDP(F163&amp;"USD CURNCY","PX_LAST")))*O163))</f>
        <v>#VALUE!</v>
      </c>
      <c r="AG163" s="11">
        <f t="shared" si="82"/>
        <v>197560</v>
      </c>
      <c r="AH163" s="11" t="e">
        <f t="shared" si="83"/>
        <v>#VALUE!</v>
      </c>
      <c r="AI163" s="4" t="str">
        <f t="shared" si="84"/>
        <v>PAL63444B5A9 ISIN</v>
      </c>
      <c r="AJ163" s="4" t="e" cm="1">
        <f t="array" ref="AJ163">VLOOKUP(IF(NOT(_xll.BDP($G163&amp;" CORP",$CA$5)="#N/A N/A"),(_xll.BDP($G163&amp;" CORP",$CA$5)),"-"), '[1]Country Codes'!$A$2:$B$253,2,0)</f>
        <v>#N/A</v>
      </c>
      <c r="AK163" s="4" t="str" cm="1">
        <f t="array" ref="AK163">IF(OR(_xll.BDP($AI163,"EX028")= "#N/A N/A", _xll.BDP($AI163,"EX028")="#N/A FIELD NOT APPLICABLE"), " ", _xll.BDP($AI163,"EX028"))</f>
        <v>#N/A Connection</v>
      </c>
      <c r="AL163" s="15" t="str">
        <f>(IF(_xll.BDP($AI163&amp;" ISIN","DZ282")="Y","Single line Bonds Cocos","Single line Bonds ex Cocos"))</f>
        <v>Single line Bonds ex Cocos</v>
      </c>
      <c r="AM163" s="8" t="str">
        <f>(IF(_xll.BDP($G163&amp;" ISIN","SP153")="#n/a n/a"," ",_xll.BDP($G163&amp;" ISIN","SP153")))</f>
        <v>#N/A Connection</v>
      </c>
      <c r="AN163" s="16">
        <f t="shared" ca="1" si="85"/>
        <v>45783</v>
      </c>
      <c r="AO163" s="11" t="e">
        <f>(((_xll.BDP(AI163,"DS032"))/360)*I163)*O163</f>
        <v>#VALUE!</v>
      </c>
      <c r="AP163" s="11" t="e">
        <f>IF(F163="USD",AO163,(((_xll.BDP(F163&amp;"USD CURNCY","PX_LAST")))*AO163))</f>
        <v>#VALUE!</v>
      </c>
      <c r="AQ163" s="13" t="e">
        <f>S163/#REF!</f>
        <v>#VALUE!</v>
      </c>
      <c r="AR163" s="11" t="e">
        <f t="shared" si="86"/>
        <v>#VALUE!</v>
      </c>
      <c r="AS163" s="10" t="str">
        <f>IF((TEXT(_xll.BDP(AI163,"MATURITY"),"DD/MM/YYYY")="#N/A Field Not Applicable"),"Perp",_xll.BDP(AI163,"DS252"))</f>
        <v>#N/A Connection</v>
      </c>
      <c r="AT163" s="15" t="str">
        <f>(IF(_xll.BDP($AI163&amp;" ISIN","DT247")="Y","Yes","No"))</f>
        <v>No</v>
      </c>
      <c r="AU163" s="15" t="str">
        <f>PROPER(IF(OR(_xll.BDP($AI163,"CPN_TYP")="#n/a N/A",_xll.BDP($AI163,"CPN_TYP")= "#N/A FIELD NOT APPLICABLE"), " ", _xll.BDP($AI163,"CPN_TYP")))</f>
        <v>#N/A Connection</v>
      </c>
      <c r="BG163" s="17" t="str">
        <f t="shared" si="87"/>
        <v>PAL63444B5A9</v>
      </c>
      <c r="BH163" s="17">
        <v>0.77</v>
      </c>
      <c r="BI163" s="18">
        <v>3</v>
      </c>
      <c r="BJ163" s="19">
        <v>45125</v>
      </c>
      <c r="BK163" s="20">
        <v>1</v>
      </c>
    </row>
    <row r="164" spans="1:64" s="21" customFormat="1" ht="14.45" customHeight="1" x14ac:dyDescent="0.25">
      <c r="A164" s="49" t="s">
        <v>241</v>
      </c>
      <c r="B164" s="49" t="s">
        <v>276</v>
      </c>
      <c r="C164" s="49" t="s">
        <v>277</v>
      </c>
      <c r="D164" s="49" t="s">
        <v>240</v>
      </c>
      <c r="E164" s="4" t="str">
        <f>_xll.BDP(AI164,"ds520")</f>
        <v>#N/A Connection</v>
      </c>
      <c r="F164" s="4" t="str">
        <f>_xll.BDP(AI164,"crncy")</f>
        <v>#N/A Connection</v>
      </c>
      <c r="G164" s="5" t="s">
        <v>151</v>
      </c>
      <c r="H164" s="4" t="str">
        <f>IF(_xll.BDP(AI164,"RTG_MOODY")="#N/A N/A","N/A",_xll.BDP(AI164,"RTG_MOODY"))&amp;","&amp;IF(_xll.BDP(AI164,"RTG_FITCH")="#N/A N/A","N/A",_xll.BDP(AI164,"RTG_FITCH"))&amp;","&amp;IF(_xll.BDP(AI164,"RTG_SP")="#N/A N/A","N/A",_xll.BDP(AI164,"RTG_SP"))</f>
        <v>#N/A Connection,#N/A Connection,#N/A Connection</v>
      </c>
      <c r="I164" s="7" t="e">
        <f>_xll.BDP(AI164,"cpn")/100</f>
        <v>#VALUE!</v>
      </c>
      <c r="J164" s="7" t="e">
        <f ca="1">_xll.BDP($G164&amp;" isin","YAS_BOND_YLD", "YAS_YLD_FLAG=15", "user_local_trade_date",AN164,"Yas_bond_px",$Q164)/100</f>
        <v>#VALUE!</v>
      </c>
      <c r="K164" s="4" t="str">
        <f>_xll.BDP(AI164,"PAYMENT_RANK")</f>
        <v>#N/A Connection</v>
      </c>
      <c r="L164" s="4" t="str">
        <f>IF((TEXT(_xll.BDP(AI164,"MATURITY"),"DD/MM/YYYY")="#N/A Field Not Applicable"),"Perp",TEXT(_xll.BDP(AI164,"MATURITY"),"DD/MM/YYYY"))</f>
        <v>#N/A Connection</v>
      </c>
      <c r="M164" s="8" t="str">
        <f>(IF(_xll.BDP($AI164&amp;" ISIN","DU003")="#n/a n/a"," ",_xll.BDP($AI164&amp;" ISIN","DU003")))</f>
        <v>#N/A Connection</v>
      </c>
      <c r="N164" s="4" t="str">
        <f>IF(_xll.BDP(AI164,"CALLABLE")="Y",_xll.BDP(AI164,"NXT_CALL_DT")," ")</f>
        <v xml:space="preserve"> </v>
      </c>
      <c r="O164" s="9">
        <v>200000</v>
      </c>
      <c r="P164" s="5">
        <v>100.01</v>
      </c>
      <c r="Q164" s="10" t="str">
        <f>_xll.BDP(AI164,"px_bid")</f>
        <v>#N/A Connection</v>
      </c>
      <c r="R164" s="11" t="e">
        <f>IF(F164="USD",AG164,(((_xll.BDP(F164&amp;"USD CURNCY","PX_LAST")))*AG164))</f>
        <v>#VALUE!</v>
      </c>
      <c r="S164" s="11" t="e">
        <f>IF(F164="USD",AH164,(((_xll.BDP(F164&amp;"USD CURNCY","PX_LAST")))*AH164))+AP164</f>
        <v>#VALUE!</v>
      </c>
      <c r="T164" s="12" t="e">
        <f t="shared" si="78"/>
        <v>#VALUE!</v>
      </c>
      <c r="U164" s="13" t="e">
        <f t="shared" si="79"/>
        <v>#VALUE!</v>
      </c>
      <c r="V164" s="13" t="str" cm="1">
        <f t="array" ref="V164">IFERROR(_xll.BDP($G164&amp;" ISIN","CHG_PCT_1D")/100,"")</f>
        <v/>
      </c>
      <c r="W164" s="13" t="str" cm="1">
        <f t="array" ref="W164">IFERROR(_xll.BDP($G164&amp;" ISIN","CHG_PCT_5D")/100,"")</f>
        <v/>
      </c>
      <c r="X164" s="13" t="e" cm="1">
        <f t="array" ref="X164">_xll.BDP($G164&amp;" ISIN","CHG_PCT_1M")/100</f>
        <v>#VALUE!</v>
      </c>
      <c r="Y164" s="13" t="e" cm="1">
        <f t="array" ref="Y164">_xll.BDP($G164&amp;" ISIN","CHG_PCT_3M")/100</f>
        <v>#VALUE!</v>
      </c>
      <c r="Z164" s="13" t="e" cm="1">
        <f t="array" ref="Z164">_xll.BDP($G164&amp;" ISIN","CHG_PCT_6M")/100</f>
        <v>#VALUE!</v>
      </c>
      <c r="AA164" s="13" t="e" cm="1">
        <f t="array" ref="AA164">_xll.BDP($G164&amp;" ISIN","CHG_PCT_YTD")/100</f>
        <v>#VALUE!</v>
      </c>
      <c r="AB164" s="13" t="e">
        <f t="shared" si="80"/>
        <v>#VALUE!</v>
      </c>
      <c r="AC164" s="14" t="e">
        <f t="shared" ca="1" si="81"/>
        <v>#VALUE!</v>
      </c>
      <c r="AD164" s="4" t="str">
        <f>_xll.BDP(AI164,"DS199")</f>
        <v>#N/A Connection</v>
      </c>
      <c r="AE164" s="10" t="str">
        <f>_xll.BDP(AI164,"px_ask")</f>
        <v>#N/A Connection</v>
      </c>
      <c r="AF164" s="14" t="e">
        <f>IF(F164="USD",O164,(((_xll.BDP(F164&amp;"USD CURNCY","PX_LAST")))*O164))</f>
        <v>#VALUE!</v>
      </c>
      <c r="AG164" s="11">
        <f t="shared" si="82"/>
        <v>200020</v>
      </c>
      <c r="AH164" s="11" t="e">
        <f t="shared" si="83"/>
        <v>#VALUE!</v>
      </c>
      <c r="AI164" s="4" t="str">
        <f t="shared" si="84"/>
        <v>XS2451768720 ISIN</v>
      </c>
      <c r="AJ164" s="4" t="e" cm="1">
        <f t="array" ref="AJ164">VLOOKUP(IF(NOT(_xll.BDP($G164&amp;" CORP",$CA$5)="#N/A N/A"),(_xll.BDP($G164&amp;" CORP",$CA$5)),"-"), '[1]Country Codes'!$A$2:$B$253,2,0)</f>
        <v>#N/A</v>
      </c>
      <c r="AK164" s="4" t="str" cm="1">
        <f t="array" ref="AK164">IF(OR(_xll.BDP($AI164,"EX028")= "#N/A N/A", _xll.BDP($AI164,"EX028")="#N/A FIELD NOT APPLICABLE"), " ", _xll.BDP($AI164,"EX028"))</f>
        <v>#N/A Connection</v>
      </c>
      <c r="AL164" s="15" t="str">
        <f>(IF(_xll.BDP($AI164&amp;" ISIN","DZ282")="Y","Single line Bonds Cocos","Single line Bonds ex Cocos"))</f>
        <v>Single line Bonds ex Cocos</v>
      </c>
      <c r="AM164" s="8" t="str">
        <f>(IF(_xll.BDP($G164&amp;" ISIN","SP153")="#n/a n/a"," ",_xll.BDP($G164&amp;" ISIN","SP153")))</f>
        <v>#N/A Connection</v>
      </c>
      <c r="AN164" s="16">
        <f t="shared" ca="1" si="85"/>
        <v>45783</v>
      </c>
      <c r="AO164" s="11" t="e">
        <f>(((_xll.BDP(AI164,"DS032"))/360)*I164)*O164</f>
        <v>#VALUE!</v>
      </c>
      <c r="AP164" s="11" t="e">
        <f>IF(F164="USD",AO164,(((_xll.BDP(F164&amp;"USD CURNCY","PX_LAST")))*AO164))</f>
        <v>#VALUE!</v>
      </c>
      <c r="AQ164" s="13" t="e">
        <f>S164/#REF!</f>
        <v>#VALUE!</v>
      </c>
      <c r="AR164" s="11" t="e">
        <f t="shared" si="86"/>
        <v>#VALUE!</v>
      </c>
      <c r="AS164" s="10" t="str">
        <f>IF((TEXT(_xll.BDP(AI164,"MATURITY"),"DD/MM/YYYY")="#N/A Field Not Applicable"),"Perp",_xll.BDP(AI164,"DS252"))</f>
        <v>#N/A Connection</v>
      </c>
      <c r="AT164" s="15" t="str">
        <f>(IF(_xll.BDP($AI164&amp;" ISIN","DT247")="Y","Yes","No"))</f>
        <v>No</v>
      </c>
      <c r="AU164" s="15" t="str">
        <f>PROPER(IF(OR(_xll.BDP($AI164,"CPN_TYP")="#n/a N/A",_xll.BDP($AI164,"CPN_TYP")= "#N/A FIELD NOT APPLICABLE"), " ", _xll.BDP($AI164,"CPN_TYP")))</f>
        <v>#N/A Connection</v>
      </c>
      <c r="BG164" s="17" t="str">
        <f t="shared" si="87"/>
        <v>XS2451768720</v>
      </c>
      <c r="BH164" s="17">
        <v>0.82</v>
      </c>
      <c r="BI164" s="18">
        <v>5</v>
      </c>
      <c r="BJ164" s="19">
        <v>44741</v>
      </c>
      <c r="BK164" s="20">
        <v>1</v>
      </c>
    </row>
    <row r="165" spans="1:64" s="21" customFormat="1" ht="14.45" customHeight="1" x14ac:dyDescent="0.25">
      <c r="A165" s="49" t="s">
        <v>241</v>
      </c>
      <c r="B165" s="49" t="s">
        <v>276</v>
      </c>
      <c r="C165" s="49" t="s">
        <v>277</v>
      </c>
      <c r="D165" s="49" t="s">
        <v>240</v>
      </c>
      <c r="E165" s="4" t="str">
        <f>_xll.BDP(AI165,"ds520")</f>
        <v>TVF Varlik Kiralama AS</v>
      </c>
      <c r="F165" s="4" t="str">
        <f>_xll.BDP(AI165,"crncy")</f>
        <v>USD</v>
      </c>
      <c r="G165" s="5" t="s">
        <v>136</v>
      </c>
      <c r="H165" s="4" t="str">
        <f>IF(_xll.BDP(AI165,"RTG_MOODY")="#N/A N/A","N/A",_xll.BDP(AI165,"RTG_MOODY"))&amp;","&amp;IF(_xll.BDP(AI165,"RTG_FITCH")="#N/A N/A","N/A",_xll.BDP(AI165,"RTG_FITCH"))&amp;","&amp;IF(_xll.BDP(AI165,"RTG_SP")="#N/A N/A","N/A",_xll.BDP(AI165,"RTG_SP"))</f>
        <v>N/A,BB-,N/A</v>
      </c>
      <c r="I165" s="7">
        <f>_xll.BDP(AI165,"cpn")/100</f>
        <v>6.9500000000000006E-2</v>
      </c>
      <c r="J165" s="7">
        <f ca="1">_xll.BDP($G165&amp;" isin","YAS_BOND_YLD", "YAS_YLD_FLAG=15", "user_local_trade_date",AN165,"Yas_bond_px",$Q165)/100</f>
        <v>7.1722910000000001E-2</v>
      </c>
      <c r="K165" s="4" t="str">
        <f>_xll.BDP(AI165,"PAYMENT_RANK")</f>
        <v>Sr Unsecured</v>
      </c>
      <c r="L165" s="4" t="str">
        <f>IF((TEXT(_xll.BDP(AI165,"MATURITY"),"DD/MM/YYYY")="#N/A Field Not Applicable"),"Perp",TEXT(_xll.BDP(AI165,"MATURITY"),"DD/MM/YYYY"))</f>
        <v>23/01/2030</v>
      </c>
      <c r="M165" s="8">
        <f>(IF(_xll.BDP($AI165&amp;" ISIN","DU003")="#n/a n/a"," ",_xll.BDP($AI165&amp;" ISIN","DU003")))</f>
        <v>4.0302780432457386</v>
      </c>
      <c r="N165" s="4" t="str">
        <f>IF(_xll.BDP(AI165,"CALLABLE")="Y",_xll.BDP(AI165,"NXT_CALL_DT")," ")</f>
        <v xml:space="preserve"> </v>
      </c>
      <c r="O165" s="9">
        <v>200000</v>
      </c>
      <c r="P165" s="5">
        <v>100.01</v>
      </c>
      <c r="Q165" s="10">
        <f>_xll.BDP(AI165,"px_bid")</f>
        <v>99.11</v>
      </c>
      <c r="R165" s="11">
        <f>IF(F165="USD",AG165,(((_xll.BDP(F165&amp;"USD CURNCY","PX_LAST")))*AG165))</f>
        <v>200020</v>
      </c>
      <c r="S165" s="11">
        <f>IF(F165="USD",AH165,(((_xll.BDP(F165&amp;"USD CURNCY","PX_LAST")))*AH165))+AP165</f>
        <v>202042.5</v>
      </c>
      <c r="T165" s="12">
        <f t="shared" si="78"/>
        <v>-1800.0000000000114</v>
      </c>
      <c r="U165" s="13">
        <f t="shared" si="79"/>
        <v>-8.9991000899910575E-3</v>
      </c>
      <c r="V165" s="13" t="str" cm="1">
        <f t="array" ref="V165">IFERROR(_xll.BDP($G165&amp;" ISIN","CHG_PCT_1D")/100,"")</f>
        <v/>
      </c>
      <c r="W165" s="13" t="str" cm="1">
        <f t="array" ref="W165">IFERROR(_xll.BDP($G165&amp;" ISIN","CHG_PCT_5D")/100,"")</f>
        <v/>
      </c>
      <c r="X165" s="13" t="e" cm="1">
        <f t="array" ref="X165">_xll.BDP($G165&amp;" ISIN","CHG_PCT_1M")/100</f>
        <v>#VALUE!</v>
      </c>
      <c r="Y165" s="13" t="e" cm="1">
        <f t="array" ref="Y165">_xll.BDP($G165&amp;" ISIN","CHG_PCT_3M")/100</f>
        <v>#VALUE!</v>
      </c>
      <c r="Z165" s="13" t="e" cm="1">
        <f t="array" ref="Z165">_xll.BDP($G165&amp;" ISIN","CHG_PCT_6M")/100</f>
        <v>#VALUE!</v>
      </c>
      <c r="AA165" s="13" t="e" cm="1">
        <f t="array" ref="AA165">_xll.BDP($G165&amp;" ISIN","CHG_PCT_YTD")/100</f>
        <v>#VALUE!</v>
      </c>
      <c r="AB165" s="13" t="e">
        <f t="shared" si="80"/>
        <v>#VALUE!</v>
      </c>
      <c r="AC165" s="14">
        <f t="shared" ca="1" si="81"/>
        <v>5999.4444444444343</v>
      </c>
      <c r="AD165" s="4" t="str">
        <f>_xll.BDP(AI165,"DS199")</f>
        <v>Financial</v>
      </c>
      <c r="AE165" s="10">
        <f>_xll.BDP(AI165,"px_ask")</f>
        <v>99.495999999999995</v>
      </c>
      <c r="AF165" s="14">
        <f>IF(F165="USD",O165,(((_xll.BDP(F165&amp;"USD CURNCY","PX_LAST")))*O165))</f>
        <v>200000</v>
      </c>
      <c r="AG165" s="11">
        <f t="shared" si="82"/>
        <v>200020</v>
      </c>
      <c r="AH165" s="11">
        <f t="shared" si="83"/>
        <v>198220</v>
      </c>
      <c r="AI165" s="4" t="str">
        <f t="shared" si="84"/>
        <v>XS2911679004 ISIN</v>
      </c>
      <c r="AJ165" s="4" t="e" cm="1">
        <f t="array" ref="AJ165">VLOOKUP(IF(NOT(_xll.BDP($G165&amp;" CORP",$CA$5)="#N/A N/A"),(_xll.BDP($G165&amp;" CORP",$CA$5)),"-"), '[1]Country Codes'!$A$2:$B$253,2,0)</f>
        <v>#N/A</v>
      </c>
      <c r="AK165" s="4" t="str" cm="1">
        <f t="array" ref="AK165">IF(OR(_xll.BDP($AI165,"EX028")= "#N/A N/A", _xll.BDP($AI165,"EX028")="#N/A FIELD NOT APPLICABLE"), " ", _xll.BDP($AI165,"EX028"))</f>
        <v>FixedIncome</v>
      </c>
      <c r="AL165" s="15" t="str">
        <f>(IF(_xll.BDP($AI165&amp;" ISIN","DZ282")="Y","Single line Bonds Cocos","Single line Bonds ex Cocos"))</f>
        <v>Single line Bonds ex Cocos</v>
      </c>
      <c r="AM165" s="8">
        <f>(IF(_xll.BDP($G165&amp;" ISIN","SP153")="#n/a n/a"," ",_xll.BDP($G165&amp;" ISIN","SP153")))</f>
        <v>370.64895526953268</v>
      </c>
      <c r="AN165" s="16">
        <f t="shared" ca="1" si="85"/>
        <v>45783</v>
      </c>
      <c r="AO165" s="11">
        <f>(((_xll.BDP(AI165,"DS032"))/360)*I165)*O165</f>
        <v>3822.5000000000009</v>
      </c>
      <c r="AP165" s="11">
        <f>IF(F165="USD",AO165,(((_xll.BDP(F165&amp;"USD CURNCY","PX_LAST")))*AO165))</f>
        <v>3822.5000000000009</v>
      </c>
      <c r="AQ165" s="13" t="e">
        <f>S165/#REF!</f>
        <v>#REF!</v>
      </c>
      <c r="AR165" s="11">
        <f t="shared" si="86"/>
        <v>198220</v>
      </c>
      <c r="AS165" s="10">
        <f>IF((TEXT(_xll.BDP(AI165,"MATURITY"),"DD/MM/YYYY")="#N/A Field Not Applicable"),"Perp",_xll.BDP(AI165,"DS252"))</f>
        <v>4.7337440109514031</v>
      </c>
      <c r="AT165" s="15" t="str">
        <f>(IF(_xll.BDP($AI165&amp;" ISIN","DT247")="Y","Yes","No"))</f>
        <v>No</v>
      </c>
      <c r="AU165" s="15" t="str">
        <f>PROPER(IF(OR(_xll.BDP($AI165,"CPN_TYP")="#n/a N/A",_xll.BDP($AI165,"CPN_TYP")= "#N/A FIELD NOT APPLICABLE"), " ", _xll.BDP($AI165,"CPN_TYP")))</f>
        <v>Fixed</v>
      </c>
      <c r="BG165" s="17" t="str">
        <f t="shared" si="87"/>
        <v>XS2911679004</v>
      </c>
      <c r="BH165" s="17">
        <v>0.82</v>
      </c>
      <c r="BI165" s="18">
        <v>5</v>
      </c>
      <c r="BJ165" s="19">
        <v>45581</v>
      </c>
      <c r="BK165" s="20">
        <v>1</v>
      </c>
    </row>
    <row r="166" spans="1:64" s="21" customFormat="1" ht="14.45" customHeight="1" x14ac:dyDescent="0.25">
      <c r="A166" s="114" t="s">
        <v>241</v>
      </c>
      <c r="B166" s="114" t="s">
        <v>276</v>
      </c>
      <c r="C166" s="114" t="s">
        <v>277</v>
      </c>
      <c r="D166" s="114" t="s">
        <v>240</v>
      </c>
      <c r="E166" s="115" t="str">
        <f>_xll.BDP(AI166,"ds520")</f>
        <v>#N/A Connection</v>
      </c>
      <c r="F166" s="115" t="str">
        <f>_xll.BDP(AI166,"crncy")</f>
        <v>#N/A Connection</v>
      </c>
      <c r="G166" s="115" t="s">
        <v>44</v>
      </c>
      <c r="H166" s="115" t="str">
        <f>IF(_xll.BDP(AI166,"RTG_MOODY")="#N/A N/A","N/A",_xll.BDP(AI166,"RTG_MOODY"))&amp;","&amp;IF(_xll.BDP(AI166,"RTG_FITCH")="#N/A N/A","N/A",_xll.BDP(AI166,"RTG_FITCH"))&amp;","&amp;IF(_xll.BDP(AI166,"RTG_SP")="#N/A N/A","N/A",_xll.BDP(AI166,"RTG_SP"))</f>
        <v>#N/A Connection,#N/A Connection,#N/A Connection</v>
      </c>
      <c r="I166" s="116" t="e">
        <f>_xll.BDP(AI166,"cpn")/100</f>
        <v>#VALUE!</v>
      </c>
      <c r="J166" s="116" t="e">
        <f ca="1">_xll.BDP($G166&amp;" isin","YAS_BOND_YLD", "YAS_YLD_FLAG=15", "user_local_trade_date",AN166,"Yas_bond_px",$Q166)/100</f>
        <v>#VALUE!</v>
      </c>
      <c r="K166" s="115" t="str">
        <f>_xll.BDP(AI166,"PAYMENT_RANK")</f>
        <v>#N/A Connection</v>
      </c>
      <c r="L166" s="115" t="str">
        <f>IF((TEXT(_xll.BDP(AI166,"MATURITY"),"DD/MM/YYYY")="#N/A Field Not Applicable"),"Perp",TEXT(_xll.BDP(AI166,"MATURITY"),"DD/MM/YYYY"))</f>
        <v>#N/A Connection</v>
      </c>
      <c r="M166" s="117" t="str">
        <f>(IF(_xll.BDP($AI166&amp;" ISIN","DU003")="#n/a n/a"," ",_xll.BDP($AI166&amp;" ISIN","DU003")))</f>
        <v>#N/A Connection</v>
      </c>
      <c r="N166" s="115" t="str">
        <f>IF(_xll.BDP(AI166,"CALLABLE")="Y",_xll.BDP(AI166,"NXT_CALL_DT")," ")</f>
        <v xml:space="preserve"> </v>
      </c>
      <c r="O166" s="118">
        <v>247395</v>
      </c>
      <c r="P166" s="115">
        <v>31.669119999999999</v>
      </c>
      <c r="Q166" s="119" t="str">
        <f>_xll.BDP(AI166,"px_bid")</f>
        <v>#N/A Connection</v>
      </c>
      <c r="R166" s="120" t="e">
        <f>IF(F166="USD",AG166,(((_xll.BDP(F166&amp;"USD CURNCY","PX_LAST")))*AG166))</f>
        <v>#VALUE!</v>
      </c>
      <c r="S166" s="120" t="e">
        <f>IF(F166="USD",AH166,(((_xll.BDP(F166&amp;"USD CURNCY","PX_LAST")))*AH166))+AP166</f>
        <v>#VALUE!</v>
      </c>
      <c r="T166" s="121" t="e">
        <f t="shared" si="78"/>
        <v>#VALUE!</v>
      </c>
      <c r="U166" s="122" t="e">
        <f t="shared" si="79"/>
        <v>#VALUE!</v>
      </c>
      <c r="V166" s="122" t="str" cm="1">
        <f t="array" ref="V166">IFERROR(_xll.BDP($G166&amp;" ISIN","CHG_PCT_1D")/100,"")</f>
        <v/>
      </c>
      <c r="W166" s="122" t="str" cm="1">
        <f t="array" ref="W166">IFERROR(_xll.BDP($G166&amp;" ISIN","CHG_PCT_5D")/100,"")</f>
        <v/>
      </c>
      <c r="X166" s="122" t="e" cm="1">
        <f t="array" ref="X166">_xll.BDP($G166&amp;" ISIN","CHG_PCT_1M")/100</f>
        <v>#VALUE!</v>
      </c>
      <c r="Y166" s="122" t="e" cm="1">
        <f t="array" ref="Y166">_xll.BDP($G166&amp;" ISIN","CHG_PCT_3M")/100</f>
        <v>#VALUE!</v>
      </c>
      <c r="Z166" s="122" t="e" cm="1">
        <f t="array" ref="Z166">_xll.BDP($G166&amp;" ISIN","CHG_PCT_6M")/100</f>
        <v>#VALUE!</v>
      </c>
      <c r="AA166" s="13" t="e" cm="1">
        <f t="array" ref="AA166">_xll.BDP($G166&amp;" ISIN","CHG_PCT_YTD")/100</f>
        <v>#VALUE!</v>
      </c>
      <c r="AB166" s="13" t="e">
        <f t="shared" si="80"/>
        <v>#VALUE!</v>
      </c>
      <c r="AC166" s="118" t="e">
        <f t="shared" ca="1" si="81"/>
        <v>#VALUE!</v>
      </c>
      <c r="AD166" s="115" t="str">
        <f>_xll.BDP(AI166,"DS199")</f>
        <v>#N/A Connection</v>
      </c>
      <c r="AE166" s="119" t="str">
        <f>_xll.BDP(AI166,"px_ask")</f>
        <v>#N/A Connection</v>
      </c>
      <c r="AF166" s="118" t="e">
        <f>IF(F166="USD",O166,(((_xll.BDP(F166&amp;"USD CURNCY","PX_LAST")))*O166))</f>
        <v>#VALUE!</v>
      </c>
      <c r="AG166" s="120">
        <f t="shared" si="82"/>
        <v>78347.819424000001</v>
      </c>
      <c r="AH166" s="120" t="e">
        <f t="shared" si="83"/>
        <v>#VALUE!</v>
      </c>
      <c r="AI166" s="115" t="str">
        <f t="shared" si="84"/>
        <v>GB00BMBL1D50 ISIN</v>
      </c>
      <c r="AJ166" s="115" t="e" cm="1">
        <f t="array" ref="AJ166">VLOOKUP(IF(NOT(_xll.BDP($G166&amp;" CORP",$CA$5)="#N/A N/A"),(_xll.BDP($G166&amp;" CORP",$CA$5)),"-"), '[1]Country Codes'!$A$2:$B$253,2,0)</f>
        <v>#N/A</v>
      </c>
      <c r="AK166" s="115" t="str" cm="1">
        <f t="array" ref="AK166">IF(OR(_xll.BDP($AI166,"EX028")= "#N/A N/A", _xll.BDP($AI166,"EX028")="#N/A FIELD NOT APPLICABLE"), " ", _xll.BDP($AI166,"EX028"))</f>
        <v>#N/A Connection</v>
      </c>
      <c r="AL166" s="116" t="str">
        <f>(IF(_xll.BDP($AI166&amp;" ISIN","DZ282")="Y","Single line Bonds Cocos","Single line Bonds ex Cocos"))</f>
        <v>Single line Bonds ex Cocos</v>
      </c>
      <c r="AM166" s="117" t="str">
        <f>(IF(_xll.BDP($G166&amp;" ISIN","SP153")="#n/a n/a"," ",_xll.BDP($G166&amp;" ISIN","SP153")))</f>
        <v>#N/A Connection</v>
      </c>
      <c r="AN166" s="123">
        <f t="shared" ca="1" si="85"/>
        <v>45783</v>
      </c>
      <c r="AO166" s="120" t="e">
        <f>(((_xll.BDP(AI166,"DS032"))/360)*I166)*O166</f>
        <v>#VALUE!</v>
      </c>
      <c r="AP166" s="120" t="e">
        <f>IF(F166="USD",AO166,(((_xll.BDP(F166&amp;"USD CURNCY","PX_LAST")))*AO166))</f>
        <v>#VALUE!</v>
      </c>
      <c r="AQ166" s="122" t="e">
        <f>S166/#REF!</f>
        <v>#VALUE!</v>
      </c>
      <c r="AR166" s="120" t="e">
        <f t="shared" si="86"/>
        <v>#VALUE!</v>
      </c>
      <c r="AS166" s="119" t="str">
        <f>IF((TEXT(_xll.BDP(AI166,"MATURITY"),"DD/MM/YYYY")="#N/A Field Not Applicable"),"Perp",_xll.BDP(AI166,"DS252"))</f>
        <v>#N/A Connection</v>
      </c>
      <c r="AT166" s="116" t="str">
        <f>(IF(_xll.BDP($AI166&amp;" ISIN","DT247")="Y","Yes","No"))</f>
        <v>No</v>
      </c>
      <c r="AU166" s="116" t="str">
        <f>PROPER(IF(OR(_xll.BDP($AI166,"CPN_TYP")="#n/a N/A",_xll.BDP($AI166,"CPN_TYP")= "#N/A FIELD NOT APPLICABLE"), " ", _xll.BDP($AI166,"CPN_TYP")))</f>
        <v>#N/A Connection</v>
      </c>
      <c r="AV166" s="124"/>
      <c r="AW166" s="124"/>
      <c r="AX166" s="124"/>
      <c r="AY166" s="124"/>
      <c r="AZ166" s="124"/>
      <c r="BA166" s="124"/>
      <c r="BB166" s="124"/>
      <c r="BC166" s="124"/>
      <c r="BD166" s="124"/>
      <c r="BE166" s="124"/>
      <c r="BF166" s="124"/>
      <c r="BG166" s="116" t="str">
        <f t="shared" si="87"/>
        <v>GB00BMBL1D50</v>
      </c>
      <c r="BH166" s="116">
        <v>0.82</v>
      </c>
      <c r="BI166" s="125">
        <v>5</v>
      </c>
      <c r="BJ166" s="123">
        <v>45509</v>
      </c>
      <c r="BK166" s="126">
        <v>1</v>
      </c>
      <c r="BL166" s="124"/>
    </row>
    <row r="167" spans="1:64" s="21" customFormat="1" ht="14.45" customHeight="1" x14ac:dyDescent="0.25">
      <c r="A167" s="49" t="s">
        <v>241</v>
      </c>
      <c r="B167" s="49" t="s">
        <v>276</v>
      </c>
      <c r="C167" s="49" t="s">
        <v>277</v>
      </c>
      <c r="D167" s="49" t="s">
        <v>240</v>
      </c>
      <c r="E167" s="4" t="str">
        <f>_xll.BDP(AI167,"ds520")</f>
        <v>#N/A Connection</v>
      </c>
      <c r="F167" s="4" t="str">
        <f>_xll.BDP(AI167,"crncy")</f>
        <v>#N/A Connection</v>
      </c>
      <c r="G167" s="5" t="s">
        <v>145</v>
      </c>
      <c r="H167" s="4" t="str">
        <f>IF(_xll.BDP(AI167,"RTG_MOODY")="#N/A N/A","N/A",_xll.BDP(AI167,"RTG_MOODY"))&amp;","&amp;IF(_xll.BDP(AI167,"RTG_FITCH")="#N/A N/A","N/A",_xll.BDP(AI167,"RTG_FITCH"))&amp;","&amp;IF(_xll.BDP(AI167,"RTG_SP")="#N/A N/A","N/A",_xll.BDP(AI167,"RTG_SP"))</f>
        <v>#N/A Connection,#N/A Connection,#N/A Connection</v>
      </c>
      <c r="I167" s="7" t="e">
        <f>_xll.BDP(AI167,"cpn")/100</f>
        <v>#VALUE!</v>
      </c>
      <c r="J167" s="7" t="e">
        <f ca="1">_xll.BDP($G167&amp;" isin","YAS_BOND_YLD", "YAS_YLD_FLAG=15", "user_local_trade_date",AN167,"Yas_bond_px",$Q167)/100</f>
        <v>#VALUE!</v>
      </c>
      <c r="K167" s="4" t="str">
        <f>_xll.BDP(AI167,"PAYMENT_RANK")</f>
        <v>#N/A Connection</v>
      </c>
      <c r="L167" s="4" t="str">
        <f>IF((TEXT(_xll.BDP(AI167,"MATURITY"),"DD/MM/YYYY")="#N/A Field Not Applicable"),"Perp",TEXT(_xll.BDP(AI167,"MATURITY"),"DD/MM/YYYY"))</f>
        <v>#N/A Connection</v>
      </c>
      <c r="M167" s="8" t="str">
        <f>(IF(_xll.BDP($AI167&amp;" ISIN","DU003")="#n/a n/a"," ",_xll.BDP($AI167&amp;" ISIN","DU003")))</f>
        <v>#N/A Connection</v>
      </c>
      <c r="N167" s="4" t="str">
        <f>IF(_xll.BDP(AI167,"CALLABLE")="Y",_xll.BDP(AI167,"NXT_CALL_DT")," ")</f>
        <v xml:space="preserve"> </v>
      </c>
      <c r="O167" s="9">
        <v>200000</v>
      </c>
      <c r="P167" s="5">
        <v>100.35</v>
      </c>
      <c r="Q167" s="10" t="str">
        <f>_xll.BDP(AI167,"px_bid")</f>
        <v>#N/A Connection</v>
      </c>
      <c r="R167" s="11" t="e">
        <f>IF(F167="USD",AG167,(((_xll.BDP(F167&amp;"USD CURNCY","PX_LAST")))*AG167))</f>
        <v>#VALUE!</v>
      </c>
      <c r="S167" s="11" t="e">
        <f>IF(F167="USD",AH167,(((_xll.BDP(F167&amp;"USD CURNCY","PX_LAST")))*AH167))+AP167</f>
        <v>#VALUE!</v>
      </c>
      <c r="T167" s="12" t="e">
        <f t="shared" si="78"/>
        <v>#VALUE!</v>
      </c>
      <c r="U167" s="13" t="e">
        <f t="shared" si="79"/>
        <v>#VALUE!</v>
      </c>
      <c r="V167" s="13" t="str" cm="1">
        <f t="array" ref="V167">IFERROR(_xll.BDP($G167&amp;" ISIN","CHG_PCT_1D")/100,"")</f>
        <v/>
      </c>
      <c r="W167" s="13" t="str" cm="1">
        <f t="array" ref="W167">IFERROR(_xll.BDP($G167&amp;" ISIN","CHG_PCT_5D")/100,"")</f>
        <v/>
      </c>
      <c r="X167" s="13" t="e" cm="1">
        <f t="array" ref="X167">_xll.BDP($G167&amp;" ISIN","CHG_PCT_1M")/100</f>
        <v>#VALUE!</v>
      </c>
      <c r="Y167" s="13" t="e" cm="1">
        <f t="array" ref="Y167">_xll.BDP($G167&amp;" ISIN","CHG_PCT_3M")/100</f>
        <v>#VALUE!</v>
      </c>
      <c r="Z167" s="13" t="e" cm="1">
        <f t="array" ref="Z167">_xll.BDP($G167&amp;" ISIN","CHG_PCT_6M")/100</f>
        <v>#VALUE!</v>
      </c>
      <c r="AA167" s="13" t="e" cm="1">
        <f t="array" ref="AA167">_xll.BDP($G167&amp;" ISIN","CHG_PCT_YTD")/100</f>
        <v>#VALUE!</v>
      </c>
      <c r="AB167" s="13" t="e">
        <f t="shared" si="80"/>
        <v>#VALUE!</v>
      </c>
      <c r="AC167" s="14" t="e">
        <f t="shared" ca="1" si="81"/>
        <v>#VALUE!</v>
      </c>
      <c r="AD167" s="4" t="str">
        <f>_xll.BDP(AI167,"DS199")</f>
        <v>#N/A Connection</v>
      </c>
      <c r="AE167" s="10" t="str">
        <f>_xll.BDP(AI167,"px_ask")</f>
        <v>#N/A Connection</v>
      </c>
      <c r="AF167" s="14" t="e">
        <f>IF(F167="USD",O167,(((_xll.BDP(F167&amp;"USD CURNCY","PX_LAST")))*O167))</f>
        <v>#VALUE!</v>
      </c>
      <c r="AG167" s="11">
        <f t="shared" si="82"/>
        <v>200700</v>
      </c>
      <c r="AH167" s="11" t="e">
        <f t="shared" si="83"/>
        <v>#VALUE!</v>
      </c>
      <c r="AI167" s="4" t="str">
        <f t="shared" si="84"/>
        <v>XS2010026727 ISIN</v>
      </c>
      <c r="AJ167" s="4" t="e" cm="1">
        <f t="array" ref="AJ167">VLOOKUP(IF(NOT(_xll.BDP($G167&amp;" CORP",$CA$5)="#N/A N/A"),(_xll.BDP($G167&amp;" CORP",$CA$5)),"-"), '[1]Country Codes'!$A$2:$B$253,2,0)</f>
        <v>#N/A</v>
      </c>
      <c r="AK167" s="4" t="str" cm="1">
        <f t="array" ref="AK167">IF(OR(_xll.BDP($AI167,"EX028")= "#N/A N/A", _xll.BDP($AI167,"EX028")="#N/A FIELD NOT APPLICABLE"), " ", _xll.BDP($AI167,"EX028"))</f>
        <v>#N/A Connection</v>
      </c>
      <c r="AL167" s="15" t="str">
        <f>(IF(_xll.BDP($AI167&amp;" ISIN","DZ282")="Y","Single line Bonds Cocos","Single line Bonds ex Cocos"))</f>
        <v>Single line Bonds ex Cocos</v>
      </c>
      <c r="AM167" s="8" t="str">
        <f>(IF(_xll.BDP($G167&amp;" ISIN","SP153")="#n/a n/a"," ",_xll.BDP($G167&amp;" ISIN","SP153")))</f>
        <v>#N/A Connection</v>
      </c>
      <c r="AN167" s="16">
        <f t="shared" ca="1" si="85"/>
        <v>45783</v>
      </c>
      <c r="AO167" s="11" t="e">
        <f>(((_xll.BDP(AI167,"DS032"))/360)*I167)*O167</f>
        <v>#VALUE!</v>
      </c>
      <c r="AP167" s="11" t="e">
        <f>IF(F167="USD",AO167,(((_xll.BDP(F167&amp;"USD CURNCY","PX_LAST")))*AO167))</f>
        <v>#VALUE!</v>
      </c>
      <c r="AQ167" s="13" t="e">
        <f>S167/#REF!</f>
        <v>#VALUE!</v>
      </c>
      <c r="AR167" s="11" t="e">
        <f t="shared" si="86"/>
        <v>#VALUE!</v>
      </c>
      <c r="AS167" s="10" t="str">
        <f>IF((TEXT(_xll.BDP(AI167,"MATURITY"),"DD/MM/YYYY")="#N/A Field Not Applicable"),"Perp",_xll.BDP(AI167,"DS252"))</f>
        <v>#N/A Connection</v>
      </c>
      <c r="AT167" s="15" t="str">
        <f>(IF(_xll.BDP($AI167&amp;" ISIN","DT247")="Y","Yes","No"))</f>
        <v>No</v>
      </c>
      <c r="AU167" s="15" t="str">
        <f>PROPER(IF(OR(_xll.BDP($AI167,"CPN_TYP")="#n/a N/A",_xll.BDP($AI167,"CPN_TYP")= "#N/A FIELD NOT APPLICABLE"), " ", _xll.BDP($AI167,"CPN_TYP")))</f>
        <v>#N/A Connection</v>
      </c>
      <c r="BG167" s="17" t="str">
        <f t="shared" si="87"/>
        <v>XS2010026727</v>
      </c>
      <c r="BH167" s="17">
        <v>0</v>
      </c>
      <c r="BI167" s="18">
        <v>5</v>
      </c>
      <c r="BJ167" s="19">
        <v>44510</v>
      </c>
      <c r="BK167" s="20">
        <v>1</v>
      </c>
    </row>
    <row r="168" spans="1:64" s="21" customFormat="1" ht="14.45" customHeight="1" x14ac:dyDescent="0.25">
      <c r="A168" s="49" t="s">
        <v>241</v>
      </c>
      <c r="B168" s="49" t="s">
        <v>276</v>
      </c>
      <c r="C168" s="49" t="s">
        <v>277</v>
      </c>
      <c r="D168" s="49" t="s">
        <v>240</v>
      </c>
      <c r="E168" s="4" t="str">
        <f>_xll.BDP(AI168,"ds520")</f>
        <v>#N/A Connection</v>
      </c>
      <c r="F168" s="4" t="str">
        <f>_xll.BDP(AI168,"crncy")</f>
        <v>#N/A Connection</v>
      </c>
      <c r="G168" s="5" t="s">
        <v>205</v>
      </c>
      <c r="H168" s="4" t="str">
        <f>IF(_xll.BDP(AI168,"RTG_MOODY")="#N/A N/A","N/A",_xll.BDP(AI168,"RTG_MOODY"))&amp;","&amp;IF(_xll.BDP(AI168,"RTG_FITCH")="#N/A N/A","N/A",_xll.BDP(AI168,"RTG_FITCH"))&amp;","&amp;IF(_xll.BDP(AI168,"RTG_SP")="#N/A N/A","N/A",_xll.BDP(AI168,"RTG_SP"))</f>
        <v>#N/A Connection,#N/A Connection,#N/A Connection</v>
      </c>
      <c r="I168" s="7" t="e">
        <f>_xll.BDP(AI168,"cpn")/100</f>
        <v>#VALUE!</v>
      </c>
      <c r="J168" s="7" t="e">
        <f ca="1">_xll.BDP($G168&amp;" isin","YAS_BOND_YLD", "YAS_YLD_FLAG=15", "user_local_trade_date",AN168,"Yas_bond_px",$Q168)/100</f>
        <v>#VALUE!</v>
      </c>
      <c r="K168" s="4" t="str">
        <f>_xll.BDP(AI168,"PAYMENT_RANK")</f>
        <v>#N/A Connection</v>
      </c>
      <c r="L168" s="4" t="str">
        <f>IF((TEXT(_xll.BDP(AI168,"MATURITY"),"DD/MM/YYYY")="#N/A Field Not Applicable"),"Perp",TEXT(_xll.BDP(AI168,"MATURITY"),"DD/MM/YYYY"))</f>
        <v>#N/A Connection</v>
      </c>
      <c r="M168" s="8" t="str">
        <f>(IF(_xll.BDP($AI168&amp;" ISIN","DU003")="#n/a n/a"," ",_xll.BDP($AI168&amp;" ISIN","DU003")))</f>
        <v>#N/A Connection</v>
      </c>
      <c r="N168" s="4" t="str">
        <f>IF(_xll.BDP(AI168,"CALLABLE")="Y",_xll.BDP(AI168,"NXT_CALL_DT")," ")</f>
        <v xml:space="preserve"> </v>
      </c>
      <c r="O168" s="9">
        <v>200000</v>
      </c>
      <c r="P168" s="5">
        <v>100.59</v>
      </c>
      <c r="Q168" s="10" t="str">
        <f>_xll.BDP(AI168,"px_bid")</f>
        <v>#N/A Connection</v>
      </c>
      <c r="R168" s="11" t="e">
        <f>IF(F168="USD",AG168,(((_xll.BDP(F168&amp;"USD CURNCY","PX_LAST")))*AG168))</f>
        <v>#VALUE!</v>
      </c>
      <c r="S168" s="11" t="e">
        <f>IF(F168="USD",AH168,(((_xll.BDP(F168&amp;"USD CURNCY","PX_LAST")))*AH168))+AP168</f>
        <v>#VALUE!</v>
      </c>
      <c r="T168" s="12" t="e">
        <f t="shared" si="78"/>
        <v>#VALUE!</v>
      </c>
      <c r="U168" s="13" t="e">
        <f t="shared" si="79"/>
        <v>#VALUE!</v>
      </c>
      <c r="V168" s="13" t="str" cm="1">
        <f t="array" ref="V168">IFERROR(_xll.BDP($G168&amp;" ISIN","CHG_PCT_1D")/100,"")</f>
        <v/>
      </c>
      <c r="W168" s="13" t="str" cm="1">
        <f t="array" ref="W168">IFERROR(_xll.BDP($G168&amp;" ISIN","CHG_PCT_5D")/100,"")</f>
        <v/>
      </c>
      <c r="X168" s="13" t="e" cm="1">
        <f t="array" ref="X168">_xll.BDP($G168&amp;" ISIN","CHG_PCT_1M")/100</f>
        <v>#VALUE!</v>
      </c>
      <c r="Y168" s="13" t="e" cm="1">
        <f t="array" ref="Y168">_xll.BDP($G168&amp;" ISIN","CHG_PCT_3M")/100</f>
        <v>#VALUE!</v>
      </c>
      <c r="Z168" s="13" t="e" cm="1">
        <f t="array" ref="Z168">_xll.BDP($G168&amp;" ISIN","CHG_PCT_6M")/100</f>
        <v>#VALUE!</v>
      </c>
      <c r="AA168" s="13" t="e" cm="1">
        <f t="array" ref="AA168">_xll.BDP($G168&amp;" ISIN","CHG_PCT_YTD")/100</f>
        <v>#VALUE!</v>
      </c>
      <c r="AB168" s="13" t="e">
        <f t="shared" si="80"/>
        <v>#VALUE!</v>
      </c>
      <c r="AC168" s="14" t="e">
        <f t="shared" ca="1" si="81"/>
        <v>#VALUE!</v>
      </c>
      <c r="AD168" s="4" t="str">
        <f>_xll.BDP(AI168,"DS199")</f>
        <v>#N/A Connection</v>
      </c>
      <c r="AE168" s="10" t="str">
        <f>_xll.BDP(AI168,"px_ask")</f>
        <v>#N/A Connection</v>
      </c>
      <c r="AF168" s="14" t="e">
        <f>IF(F168="USD",O168,(((_xll.BDP(F168&amp;"USD CURNCY","PX_LAST")))*O168))</f>
        <v>#VALUE!</v>
      </c>
      <c r="AG168" s="11">
        <f t="shared" si="82"/>
        <v>201180</v>
      </c>
      <c r="AH168" s="11" t="e">
        <f t="shared" si="83"/>
        <v>#VALUE!</v>
      </c>
      <c r="AI168" s="4" t="str">
        <f t="shared" si="84"/>
        <v>XS2358483258 ISIN</v>
      </c>
      <c r="AJ168" s="4" t="e" cm="1">
        <f t="array" ref="AJ168">VLOOKUP(IF(NOT(_xll.BDP($G168&amp;" CORP",$CA$5)="#N/A N/A"),(_xll.BDP($G168&amp;" CORP",$CA$5)),"-"), '[1]Country Codes'!$A$2:$B$253,2,0)</f>
        <v>#N/A</v>
      </c>
      <c r="AK168" s="4" t="str" cm="1">
        <f t="array" ref="AK168">IF(OR(_xll.BDP($AI168,"EX028")= "#N/A N/A", _xll.BDP($AI168,"EX028")="#N/A FIELD NOT APPLICABLE"), " ", _xll.BDP($AI168,"EX028"))</f>
        <v>#N/A Connection</v>
      </c>
      <c r="AL168" s="15" t="str">
        <f>(IF(_xll.BDP($AI168&amp;" ISIN","DZ282")="Y","Single line Bonds Cocos","Single line Bonds ex Cocos"))</f>
        <v>Single line Bonds ex Cocos</v>
      </c>
      <c r="AM168" s="8" t="str">
        <f>(IF(_xll.BDP($G168&amp;" ISIN","SP153")="#n/a n/a"," ",_xll.BDP($G168&amp;" ISIN","SP153")))</f>
        <v>#N/A Connection</v>
      </c>
      <c r="AN168" s="16">
        <f t="shared" ca="1" si="85"/>
        <v>45783</v>
      </c>
      <c r="AO168" s="11" t="e">
        <f>(((_xll.BDP(AI168,"DS032"))/360)*I168)*O168</f>
        <v>#VALUE!</v>
      </c>
      <c r="AP168" s="11" t="e">
        <f>IF(F168="USD",AO168,(((_xll.BDP(F168&amp;"USD CURNCY","PX_LAST")))*AO168))</f>
        <v>#VALUE!</v>
      </c>
      <c r="AQ168" s="13" t="e">
        <f>S168/#REF!</f>
        <v>#VALUE!</v>
      </c>
      <c r="AR168" s="11" t="e">
        <f t="shared" si="86"/>
        <v>#VALUE!</v>
      </c>
      <c r="AS168" s="10" t="str">
        <f>IF((TEXT(_xll.BDP(AI168,"MATURITY"),"DD/MM/YYYY")="#N/A Field Not Applicable"),"Perp",_xll.BDP(AI168,"DS252"))</f>
        <v>#N/A Connection</v>
      </c>
      <c r="AT168" s="15" t="str">
        <f>(IF(_xll.BDP($AI168&amp;" ISIN","DT247")="Y","Yes","No"))</f>
        <v>No</v>
      </c>
      <c r="AU168" s="15" t="str">
        <f>PROPER(IF(OR(_xll.BDP($AI168,"CPN_TYP")="#n/a N/A",_xll.BDP($AI168,"CPN_TYP")= "#N/A FIELD NOT APPLICABLE"), " ", _xll.BDP($AI168,"CPN_TYP")))</f>
        <v>#N/A Connection</v>
      </c>
      <c r="BG168" s="17" t="str">
        <f t="shared" si="87"/>
        <v>XS2358483258</v>
      </c>
      <c r="BH168" s="17">
        <v>0.47</v>
      </c>
      <c r="BI168" s="18">
        <v>4</v>
      </c>
      <c r="BJ168" s="19">
        <v>44377</v>
      </c>
      <c r="BK168" s="20">
        <v>1</v>
      </c>
    </row>
    <row r="169" spans="1:64" s="21" customFormat="1" ht="14.45" hidden="1" customHeight="1" x14ac:dyDescent="0.25">
      <c r="A169" s="49"/>
      <c r="B169" s="49"/>
      <c r="C169" s="49"/>
      <c r="D169" s="49"/>
      <c r="E169" s="4"/>
      <c r="F169" s="4"/>
      <c r="G169" s="5"/>
      <c r="H169" s="4"/>
      <c r="I169" s="7"/>
      <c r="J169" s="7"/>
      <c r="K169" s="4"/>
      <c r="L169" s="4"/>
      <c r="M169" s="8"/>
      <c r="N169" s="4"/>
      <c r="O169" s="9"/>
      <c r="P169" s="5"/>
      <c r="Q169" s="10"/>
      <c r="R169" s="11"/>
      <c r="S169" s="11"/>
      <c r="T169" s="12"/>
      <c r="U169" s="13"/>
      <c r="V169" s="13"/>
      <c r="W169" s="13"/>
      <c r="X169" s="13"/>
      <c r="Y169" s="13"/>
      <c r="Z169" s="13"/>
      <c r="AA169" s="13"/>
      <c r="AB169" s="13"/>
      <c r="AC169" s="14"/>
      <c r="AD169" s="4"/>
      <c r="AE169" s="10"/>
      <c r="AF169" s="14"/>
      <c r="AG169" s="11"/>
      <c r="AH169" s="11"/>
      <c r="AI169" s="4"/>
      <c r="AJ169" s="4"/>
      <c r="AK169" s="4"/>
      <c r="AL169" s="15"/>
      <c r="AM169" s="8"/>
      <c r="AN169" s="16"/>
      <c r="AO169" s="11"/>
      <c r="AP169" s="11"/>
      <c r="AQ169" s="13"/>
      <c r="AR169" s="11"/>
      <c r="AS169" s="10"/>
      <c r="AT169" s="15"/>
      <c r="AU169" s="15"/>
      <c r="BG169" s="17"/>
      <c r="BH169" s="17"/>
      <c r="BI169" s="18"/>
      <c r="BJ169" s="19"/>
      <c r="BK169" s="20"/>
    </row>
  </sheetData>
  <autoFilter ref="A2:BL168" xr:uid="{29283421-505E-45C9-974F-B0776CCFC810}">
    <sortState xmlns:xlrd2="http://schemas.microsoft.com/office/spreadsheetml/2017/richdata2" ref="A3:BL168">
      <sortCondition ref="B2:B168"/>
    </sortState>
  </autoFilter>
  <sortState xmlns:xlrd2="http://schemas.microsoft.com/office/spreadsheetml/2017/richdata2" ref="A153:BL168">
    <sortCondition ref="E153:E168"/>
  </sortState>
  <conditionalFormatting sqref="L1:L1048576 N1:N1048576">
    <cfRule type="timePeriod" dxfId="26" priority="11" timePeriod="thisMonth">
      <formula>AND(MONTH(L1)=MONTH(TODAY()),YEAR(L1)=YEAR(TODAY()))</formula>
    </cfRule>
  </conditionalFormatting>
  <conditionalFormatting sqref="U3:U1048576">
    <cfRule type="cellIs" dxfId="25" priority="1" operator="greaterThan">
      <formula>0.05</formula>
    </cfRule>
    <cfRule type="cellIs" dxfId="24" priority="2" operator="lessThan">
      <formula>-0.05</formula>
    </cfRule>
  </conditionalFormatting>
  <conditionalFormatting sqref="V3:V1048576">
    <cfRule type="expression" dxfId="23" priority="5">
      <formula>AND(ISNUMBER(V3),V3&lt;-0.01)</formula>
    </cfRule>
    <cfRule type="expression" dxfId="22" priority="6">
      <formula>AND(ISNUMBER(V3),V3&gt;0.01)</formula>
    </cfRule>
  </conditionalFormatting>
  <conditionalFormatting sqref="W3:W1048576">
    <cfRule type="expression" dxfId="21" priority="3">
      <formula>AND(ISNUMBER(W3),W3&lt;-0.05)</formula>
    </cfRule>
    <cfRule type="expression" dxfId="20" priority="4">
      <formula>AND(ISNUMBER(W3),W3&gt;0.05)</formula>
    </cfRule>
  </conditionalFormatting>
  <pageMargins left="0.7" right="0.7" top="0.75" bottom="0.75" header="0.3" footer="0.3"/>
  <ignoredErrors>
    <ignoredError sqref="A2:C2 E2:AU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35713-B114-4455-AF7D-DE884FC0F93C}">
  <dimension ref="A1:BG302"/>
  <sheetViews>
    <sheetView showGridLines="0" tabSelected="1"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K37" sqref="K37"/>
    </sheetView>
  </sheetViews>
  <sheetFormatPr defaultRowHeight="15" outlineLevelCol="1" x14ac:dyDescent="0.25"/>
  <cols>
    <col min="2" max="2" width="16.42578125" customWidth="1"/>
    <col min="3" max="3" width="17.42578125" customWidth="1"/>
    <col min="4" max="4" width="15.7109375" customWidth="1"/>
    <col min="5" max="5" width="22.42578125" bestFit="1" customWidth="1"/>
    <col min="7" max="7" width="9.42578125" bestFit="1" customWidth="1"/>
    <col min="8" max="8" width="19.85546875" bestFit="1" customWidth="1"/>
    <col min="9" max="9" width="11.7109375" customWidth="1"/>
    <col min="11" max="11" width="9.28515625" customWidth="1"/>
    <col min="24" max="24" width="9.140625" hidden="1" customWidth="1" outlineLevel="1"/>
    <col min="25" max="39" width="9.140625" customWidth="1" outlineLevel="1"/>
    <col min="44" max="54" width="9.140625" customWidth="1" outlineLevel="1"/>
    <col min="55" max="55" width="14" customWidth="1" outlineLevel="1"/>
    <col min="56" max="57" width="9.140625" customWidth="1" outlineLevel="1"/>
    <col min="58" max="58" width="10.140625" customWidth="1" outlineLevel="1"/>
    <col min="59" max="59" width="9.140625" customWidth="1" outlineLevel="1"/>
  </cols>
  <sheetData>
    <row r="1" spans="1:59" ht="27" customHeight="1" x14ac:dyDescent="0.25">
      <c r="U1" s="55" t="s">
        <v>303</v>
      </c>
      <c r="V1" s="57" t="s">
        <v>300</v>
      </c>
      <c r="W1" s="55" t="s">
        <v>304</v>
      </c>
    </row>
    <row r="2" spans="1:59" s="3" customFormat="1" ht="30.75" customHeight="1" x14ac:dyDescent="0.25">
      <c r="A2" s="1" t="s">
        <v>0</v>
      </c>
      <c r="B2" s="1" t="s">
        <v>1</v>
      </c>
      <c r="C2" s="1" t="s">
        <v>237</v>
      </c>
      <c r="D2" s="1" t="s">
        <v>313</v>
      </c>
      <c r="E2" s="1" t="s">
        <v>2</v>
      </c>
      <c r="F2" s="1" t="s">
        <v>3</v>
      </c>
      <c r="G2" s="1" t="s">
        <v>46</v>
      </c>
      <c r="H2" s="1" t="s">
        <v>47</v>
      </c>
      <c r="I2" s="2" t="s">
        <v>48</v>
      </c>
      <c r="J2" s="2" t="s">
        <v>49</v>
      </c>
      <c r="K2" s="1" t="s">
        <v>50</v>
      </c>
      <c r="L2" s="1" t="s">
        <v>51</v>
      </c>
      <c r="M2" s="1" t="s">
        <v>52</v>
      </c>
      <c r="N2" s="1" t="s">
        <v>53</v>
      </c>
      <c r="O2" s="1" t="s">
        <v>54</v>
      </c>
      <c r="P2" s="1" t="s">
        <v>13</v>
      </c>
      <c r="Q2" s="1" t="s">
        <v>55</v>
      </c>
      <c r="R2" s="1" t="s">
        <v>15</v>
      </c>
      <c r="S2" s="1" t="s">
        <v>56</v>
      </c>
      <c r="T2" s="1" t="s">
        <v>17</v>
      </c>
      <c r="U2" s="2" t="s">
        <v>57</v>
      </c>
      <c r="V2" s="2" t="s">
        <v>278</v>
      </c>
      <c r="W2" s="2" t="s">
        <v>279</v>
      </c>
      <c r="X2" s="1" t="s">
        <v>19</v>
      </c>
      <c r="Y2" s="1" t="s">
        <v>58</v>
      </c>
      <c r="Z2" s="1" t="s">
        <v>23</v>
      </c>
      <c r="AA2" s="1" t="s">
        <v>24</v>
      </c>
      <c r="AB2" s="1" t="s">
        <v>25</v>
      </c>
      <c r="AC2" s="1" t="s">
        <v>27</v>
      </c>
      <c r="AD2" s="1" t="s">
        <v>28</v>
      </c>
      <c r="AE2" s="1" t="s">
        <v>29</v>
      </c>
      <c r="AF2" s="1" t="s">
        <v>59</v>
      </c>
      <c r="AG2" s="1" t="s">
        <v>60</v>
      </c>
      <c r="AH2" s="1" t="s">
        <v>61</v>
      </c>
      <c r="AI2" s="1" t="s">
        <v>62</v>
      </c>
      <c r="AJ2" s="1" t="s">
        <v>63</v>
      </c>
      <c r="AK2" s="1" t="s">
        <v>64</v>
      </c>
      <c r="AL2" s="1" t="s">
        <v>65</v>
      </c>
      <c r="AM2" s="1" t="s">
        <v>66</v>
      </c>
      <c r="AN2" s="1" t="s">
        <v>67</v>
      </c>
      <c r="AO2" s="2" t="s">
        <v>68</v>
      </c>
      <c r="AP2" s="1" t="s">
        <v>69</v>
      </c>
      <c r="AQ2" s="1" t="s">
        <v>70</v>
      </c>
      <c r="AR2" s="1" t="s">
        <v>71</v>
      </c>
      <c r="AS2" s="1" t="s">
        <v>72</v>
      </c>
      <c r="AT2" s="1" t="s">
        <v>73</v>
      </c>
      <c r="AU2" s="1" t="s">
        <v>74</v>
      </c>
      <c r="AV2" s="1" t="s">
        <v>75</v>
      </c>
      <c r="AW2" s="1" t="s">
        <v>76</v>
      </c>
      <c r="AX2" s="1" t="s">
        <v>77</v>
      </c>
      <c r="BC2" s="1" t="s">
        <v>4</v>
      </c>
      <c r="BD2" s="1" t="s">
        <v>39</v>
      </c>
      <c r="BE2" s="1" t="s">
        <v>40</v>
      </c>
      <c r="BF2" s="1" t="s">
        <v>41</v>
      </c>
      <c r="BG2" s="1" t="s">
        <v>42</v>
      </c>
    </row>
    <row r="3" spans="1:59" s="3" customFormat="1" ht="14.45" customHeight="1" x14ac:dyDescent="0.25">
      <c r="A3" s="49" t="s">
        <v>242</v>
      </c>
      <c r="B3" s="49" t="s">
        <v>243</v>
      </c>
      <c r="C3" s="49" t="s">
        <v>244</v>
      </c>
      <c r="D3" s="49" t="s">
        <v>245</v>
      </c>
      <c r="E3" s="22" t="str">
        <f>_xll.BDP(AX3,"SECURITY NAME")</f>
        <v>ANTA Sports Products Ltd</v>
      </c>
      <c r="F3" s="22" t="str">
        <f>_xll.BDP(AX3,"CRNCY")</f>
        <v>HKD</v>
      </c>
      <c r="G3" s="23" t="s">
        <v>321</v>
      </c>
      <c r="H3" s="22" t="str" cm="1">
        <f t="array" ref="H3">IF(OR(_xll.BDP($AX3,"DX202")= "#N/A N/A", _xll.BDP($AX3,"DX202")="#N/A FIELD NOT APPLICABLE"), " ", _xll.BDP($AX3,"DX202"))</f>
        <v>Consumer Discretionary</v>
      </c>
      <c r="I3" s="24">
        <f>_xll.BDP(AX3,"CRNCY_ADJ_MKT_CAP", "EQY_FUND_CRNCY=USD")/1000</f>
        <v>33.176022546812504</v>
      </c>
      <c r="J3" s="25">
        <f>IFERROR(_xll.BDP(AX3, "DV013")/100,0)</f>
        <v>2.5764190994495909E-2</v>
      </c>
      <c r="K3" s="26" cm="1">
        <f t="array" ref="K3">IF(OR(_xll.BDP($AX3,"RR900")= "#N/A N/A", _xll.BDP($AX3,"RR900")="#N/A FIELD NOT APPLICABLE"), " ", _xll.BDP($AX3,"RR900"))</f>
        <v>15.347629413364963</v>
      </c>
      <c r="L3" s="26" cm="1">
        <f t="array" ref="L3">IF(OR(_xll.BDP($AX3,"EE010")= "#N/A N/A", _xll.BDP($AX3,"EE010")="#N/A FIELD NOT APPLICABLE"), " ", _xll.BDP($AX3,"EE010"))</f>
        <v>15.785948217387208</v>
      </c>
      <c r="M3" s="26" cm="1">
        <f t="array" ref="M3">IF(OR(_xll.BDP($AX3,"RR903")= "#N/A N/A", _xll.BDP($AX3,"RR903")="#N/A FIELD NOT APPLICABLE"), " ", _xll.BDP($AX3,"RR903"))</f>
        <v>3.900874202206206</v>
      </c>
      <c r="N3" s="26" cm="1">
        <f t="array" ref="N3">IF(OR(_xll.BDP($AX3,"RR957")= "#N/A N/A", _xll.BDP($AX3,"RR957")="#N/A FIELD NOT APPLICABLE"), " ", _xll.BDP($AX3,"RR957"))</f>
        <v>10.800302508218737</v>
      </c>
      <c r="O3" s="27">
        <v>7200</v>
      </c>
      <c r="P3" s="28">
        <v>82.8</v>
      </c>
      <c r="Q3" s="22" cm="1">
        <f t="array" ref="Q3">IF(OR(_xll.BDP($AX3,"PX_last")="#N/A N/A",_xll.BDP($AX3,"PX_Last")="#N/A FIELD NOT APPLICABLE")," ",IF(F3="GBP",(_xll.BDP($AX3,"PX_LAST")/100),(_xll.BDP($AX3,"PX_LAST"))))</f>
        <v>91.6</v>
      </c>
      <c r="R3" s="29">
        <f>IF(F3="USD",AA3,(((_xll.BDP(F3&amp;"USD CURNCY","PX_LAST")))*AA3))</f>
        <v>76916.563200000004</v>
      </c>
      <c r="S3" s="29">
        <f>IF(F3="USD",AB3,(((_xll.BDP(F3&amp;"USD CURNCY","PX_LAST")))*AB3))</f>
        <v>85091.270399999994</v>
      </c>
      <c r="T3" s="12">
        <f>S3-R3</f>
        <v>8174.7071999999898</v>
      </c>
      <c r="U3" s="13">
        <f>T3/R3</f>
        <v>0.10628019323671484</v>
      </c>
      <c r="V3" s="13" cm="1">
        <f t="array" ref="V3">IFERROR(_xll.BDP($G3&amp;" Equity","CHG_PCT_1D")/100,"")</f>
        <v>-1.399354E-2</v>
      </c>
      <c r="W3" s="13" cm="1">
        <f t="array" ref="W3">IFERROR(_xll.BDP($G3&amp;" Equity","CHG_PCT_5D")/100,"")</f>
        <v>-8.6580089999999995E-3</v>
      </c>
      <c r="X3" s="13" t="e">
        <f>S3/#REF!</f>
        <v>#REF!</v>
      </c>
      <c r="Y3" s="24">
        <f>IFERROR(S3*J3,0)</f>
        <v>2192.3077425498959</v>
      </c>
      <c r="Z3" s="24">
        <f>S3</f>
        <v>85091.270399999994</v>
      </c>
      <c r="AA3" s="29">
        <f>P3*O3</f>
        <v>596160</v>
      </c>
      <c r="AB3" s="29">
        <f>IFERROR(O3*Q3,0)</f>
        <v>659520</v>
      </c>
      <c r="AC3" s="4" t="e" cm="1">
        <f t="array" ref="AC3">VLOOKUP(IF(NOT(_xll.BDP(AX3,$BW$8)="#N/A N/A"),(_xll.BDP(AX3,$BW$8)),"-"), '[1]Country Codes'!$A$2:$B$253,2,0)</f>
        <v>#N/A</v>
      </c>
      <c r="AD3" s="30" t="str" cm="1">
        <f t="array" ref="AD3">IF(OR(_xll.BDP($AX3,"EX028")= "#N/A N/A", _xll.BDP($AX3,"EX028")="#N/A FIELD NOT APPLICABLE"), " ", _xll.BDP($AX3,"EX028"))</f>
        <v>Equity</v>
      </c>
      <c r="AE3" s="31" t="str">
        <f>IF(("AS97"="Equity"), " ", "Single Line Equity")</f>
        <v>Single Line Equity</v>
      </c>
      <c r="AF3" s="26" cm="1">
        <f t="array" ref="AF3">IF(OR(_xll.BDP($AX3,"RR908")= "#N/A N/A", _xll.BDP($AX3,"RR908")="#N/A FIELD NOT APPLICABLE"), " ", _xll.BDP($AX3,"RR908"))</f>
        <v>14.483074054960671</v>
      </c>
      <c r="AG3" s="26" cm="1">
        <f t="array" ref="AG3">IF(OR(_xll.BDP($AX3,"RR041")= "#N/A N/A", _xll.BDP($AX3,"RR041")="#N/A FIELD NOT APPLICABLE"), " ", _xll.BDP($AX3,"RR041"))</f>
        <v>24.970030635350533</v>
      </c>
      <c r="AH3" s="22">
        <f>_xll.BDP(AX3,"TOT_BUY_REC")</f>
        <v>50</v>
      </c>
      <c r="AI3" s="22">
        <f>_xll.BDP(AX3,"TOT_HOLD_REC")</f>
        <v>4</v>
      </c>
      <c r="AJ3" s="22">
        <f>_xll.BDP(AX3,"TOT_SELL_REC")</f>
        <v>0</v>
      </c>
      <c r="AK3" s="26" cm="1">
        <f t="array" ref="AK3">IF(OR(_xll.BDP($AX3,"EE201")= "#N/A N/A", _xll.BDP($AX3,"EE201")="#N/A FIELD NOT APPLICABLE"), " ", _xll.BDP($AX3,"EE201"))</f>
        <v>4.8148150444030762</v>
      </c>
      <c r="AL3" s="24">
        <f>_xll.BDP(AX3,"BEST_TARGET_PRICE")</f>
        <v>114.20471954345703</v>
      </c>
      <c r="AM3" s="32">
        <f>(AL3/Q3)-1</f>
        <v>0.24677641422988028</v>
      </c>
      <c r="AN3" s="32">
        <f>_xll.BDP(AX3,"PR061")/100</f>
        <v>7.3856939999999996E-2</v>
      </c>
      <c r="AO3" s="32">
        <f>_xll.BDP(AX3,"PR064")/100</f>
        <v>9.2426969999999997E-2</v>
      </c>
      <c r="AP3" s="32">
        <f>_xll.BDP(AX3,"CHG_PCT_6M")/100</f>
        <v>6.7599030000000004E-2</v>
      </c>
      <c r="AQ3" s="25">
        <f>_xll.BDP(AX3,"PR079")/100</f>
        <v>0.17662169999999999</v>
      </c>
      <c r="AR3" s="33">
        <f>_xll.BDP(AX3,"hs001")</f>
        <v>107.5</v>
      </c>
      <c r="AS3" s="33">
        <f>_xll.BDP(AX3,"hs002")</f>
        <v>65.55</v>
      </c>
      <c r="AT3" s="22" t="str" cm="1">
        <f t="array" ref="AT3">IF(OR(_xll.BDP($AX3,"DX202")= "#N/A N/A", _xll.BDP($AX3,"DX202")="#N/A FIELD NOT APPLICABLE"), " ", _xll.BDP($AX3,"DX202"))</f>
        <v>Consumer Discretionary</v>
      </c>
      <c r="AU3" s="22" t="str" cm="1">
        <f t="array" ref="AU3">IF(OR(_xll.BDP($AX3,"DY997")= "#N/A N/A", _xll.BDP($AX3,"DY997")="#N/A FIELD NOT APPLICABLE"), " ", _xll.BDP($AX3,"DY997"))</f>
        <v>Y</v>
      </c>
      <c r="AV3" s="22" t="str" cm="1">
        <f t="array" ref="AV3">IF(OR(_xll.BDP($AX3,"DY784")= "#N/A N/A", _xll.BDP($AX3,"DY784")="#N/A FIELD NOT APPLICABLE"), " ", _xll.BDP($AX3,"DY784"))</f>
        <v>N</v>
      </c>
      <c r="AW3" s="22" t="str">
        <f>IF(OR(AU3="Y",AV3="Y"),"Y","N")</f>
        <v>Y</v>
      </c>
      <c r="AX3" s="22" t="str">
        <f>CONCATENATE(G3," ",$AX$2)</f>
        <v>2020 HK Equity</v>
      </c>
      <c r="BC3" s="17" t="str" cm="1">
        <f t="array" ref="BC3">_xll.BDP(AX3,"ID005")</f>
        <v>KYG040111059</v>
      </c>
      <c r="BD3" s="17">
        <v>0.75</v>
      </c>
      <c r="BE3" s="18">
        <v>4</v>
      </c>
      <c r="BF3" s="19">
        <v>45607</v>
      </c>
      <c r="BG3" s="20">
        <v>1</v>
      </c>
    </row>
    <row r="4" spans="1:59" s="3" customFormat="1" ht="14.45" customHeight="1" x14ac:dyDescent="0.25">
      <c r="A4" s="81" t="s">
        <v>242</v>
      </c>
      <c r="B4" s="81" t="s">
        <v>246</v>
      </c>
      <c r="C4" s="81" t="s">
        <v>247</v>
      </c>
      <c r="D4" s="81" t="s">
        <v>248</v>
      </c>
      <c r="E4" s="40" t="str">
        <f>_xll.BDP(AX4,"SECURITY NAME")</f>
        <v>ANTA Sports Products Ltd</v>
      </c>
      <c r="F4" s="40" t="str">
        <f>_xll.BDP(AX4,"CRNCY")</f>
        <v>HKD</v>
      </c>
      <c r="G4" s="23" t="s">
        <v>321</v>
      </c>
      <c r="H4" s="40" t="str" cm="1">
        <f t="array" ref="H4">IF(OR(_xll.BDP($AX4,"DX202")= "#N/A N/A", _xll.BDP($AX4,"DX202")="#N/A FIELD NOT APPLICABLE"), " ", _xll.BDP($AX4,"DX202"))</f>
        <v>Consumer Discretionary</v>
      </c>
      <c r="I4" s="82">
        <f>_xll.BDP(AX4,"CRNCY_ADJ_MKT_CAP", "EQY_FUND_CRNCY=USD")/1000</f>
        <v>33.176022546812504</v>
      </c>
      <c r="J4" s="83">
        <f>IFERROR(_xll.BDP(AX4, "DV013")/100,0)</f>
        <v>2.5764190994495909E-2</v>
      </c>
      <c r="K4" s="84" cm="1">
        <f t="array" ref="K4">IF(OR(_xll.BDP($AX4,"RR900")= "#N/A N/A", _xll.BDP($AX4,"RR900")="#N/A FIELD NOT APPLICABLE"), " ", _xll.BDP($AX4,"RR900"))</f>
        <v>15.347629413364963</v>
      </c>
      <c r="L4" s="84" cm="1">
        <f t="array" ref="L4">IF(OR(_xll.BDP($AX4,"EE010")= "#N/A N/A", _xll.BDP($AX4,"EE010")="#N/A FIELD NOT APPLICABLE"), " ", _xll.BDP($AX4,"EE010"))</f>
        <v>15.785948217387208</v>
      </c>
      <c r="M4" s="84" cm="1">
        <f t="array" ref="M4">IF(OR(_xll.BDP($AX4,"RR903")= "#N/A N/A", _xll.BDP($AX4,"RR903")="#N/A FIELD NOT APPLICABLE"), " ", _xll.BDP($AX4,"RR903"))</f>
        <v>3.900874202206206</v>
      </c>
      <c r="N4" s="84" cm="1">
        <f t="array" ref="N4">IF(OR(_xll.BDP($AX4,"RR957")= "#N/A N/A", _xll.BDP($AX4,"RR957")="#N/A FIELD NOT APPLICABLE"), " ", _xll.BDP($AX4,"RR957"))</f>
        <v>10.800302508218737</v>
      </c>
      <c r="O4" s="27">
        <v>9600</v>
      </c>
      <c r="P4" s="28">
        <v>83.19</v>
      </c>
      <c r="Q4" s="40" cm="1">
        <f t="array" ref="Q4">IF(OR(_xll.BDP($AX4,"PX_last")="#N/A N/A",_xll.BDP($AX4,"PX_Last")="#N/A FIELD NOT APPLICABLE")," ",IF(F4="GBP",(_xll.BDP($AX4,"PX_LAST")/100),(_xll.BDP($AX4,"PX_LAST"))))</f>
        <v>91.6</v>
      </c>
      <c r="R4" s="85">
        <f>IF(F4="USD",AA4,(((_xll.BDP(F4&amp;"USD CURNCY","PX_LAST")))*AA4))</f>
        <v>103038.46848</v>
      </c>
      <c r="S4" s="85">
        <f>IF(F4="USD",AB4,(((_xll.BDP(F4&amp;"USD CURNCY","PX_LAST")))*AB4))</f>
        <v>113455.0272</v>
      </c>
      <c r="T4" s="86">
        <f>S4-R4</f>
        <v>10416.558720000001</v>
      </c>
      <c r="U4" s="87">
        <f>T4/R4</f>
        <v>0.10109388147613897</v>
      </c>
      <c r="V4" s="87" cm="1">
        <f t="array" ref="V4">IFERROR(_xll.BDP($G4&amp;" Equity","CHG_PCT_1D")/100,"")</f>
        <v>-1.399354E-2</v>
      </c>
      <c r="W4" s="87" cm="1">
        <f t="array" ref="W4">IFERROR(_xll.BDP($G4&amp;" Equity","CHG_PCT_5D")/100,"")</f>
        <v>-8.6580089999999995E-3</v>
      </c>
      <c r="X4" s="87" t="e">
        <f>S4/#REF!</f>
        <v>#REF!</v>
      </c>
      <c r="Y4" s="82">
        <f>IFERROR(S4*J4,0)</f>
        <v>2923.0769900665282</v>
      </c>
      <c r="Z4" s="82">
        <f>S4</f>
        <v>113455.0272</v>
      </c>
      <c r="AA4" s="85">
        <f>P4*O4</f>
        <v>798624</v>
      </c>
      <c r="AB4" s="85">
        <f>IFERROR(O4*Q4,0)</f>
        <v>879360</v>
      </c>
      <c r="AC4" s="88" t="e" cm="1">
        <f t="array" ref="AC4">VLOOKUP(IF(NOT(_xll.BDP(AX4,$BW$8)="#N/A N/A"),(_xll.BDP(AX4,$BW$8)),"-"), '[1]Country Codes'!$A$2:$B$253,2,0)</f>
        <v>#N/A</v>
      </c>
      <c r="AD4" s="89" t="str" cm="1">
        <f t="array" ref="AD4">IF(OR(_xll.BDP($AX4,"EX028")= "#N/A N/A", _xll.BDP($AX4,"EX028")="#N/A FIELD NOT APPLICABLE"), " ", _xll.BDP($AX4,"EX028"))</f>
        <v>Equity</v>
      </c>
      <c r="AE4" s="90" t="str">
        <f>IF(("AS97"="Equity"), " ", "Single Line Equity")</f>
        <v>Single Line Equity</v>
      </c>
      <c r="AF4" s="84" cm="1">
        <f t="array" ref="AF4">IF(OR(_xll.BDP($AX4,"RR908")= "#N/A N/A", _xll.BDP($AX4,"RR908")="#N/A FIELD NOT APPLICABLE"), " ", _xll.BDP($AX4,"RR908"))</f>
        <v>14.483074054960671</v>
      </c>
      <c r="AG4" s="84" cm="1">
        <f t="array" ref="AG4">IF(OR(_xll.BDP($AX4,"RR041")= "#N/A N/A", _xll.BDP($AX4,"RR041")="#N/A FIELD NOT APPLICABLE"), " ", _xll.BDP($AX4,"RR041"))</f>
        <v>24.970030635350533</v>
      </c>
      <c r="AH4" s="40">
        <f>_xll.BDP(AX4,"TOT_BUY_REC")</f>
        <v>50</v>
      </c>
      <c r="AI4" s="40">
        <f>_xll.BDP(AX4,"TOT_HOLD_REC")</f>
        <v>4</v>
      </c>
      <c r="AJ4" s="40">
        <f>_xll.BDP(AX4,"TOT_SELL_REC")</f>
        <v>0</v>
      </c>
      <c r="AK4" s="84" cm="1">
        <f t="array" ref="AK4">IF(OR(_xll.BDP($AX4,"EE201")= "#N/A N/A", _xll.BDP($AX4,"EE201")="#N/A FIELD NOT APPLICABLE"), " ", _xll.BDP($AX4,"EE201"))</f>
        <v>4.8148150444030762</v>
      </c>
      <c r="AL4" s="82">
        <f>_xll.BDP(AX4,"BEST_TARGET_PRICE")</f>
        <v>114.20471954345703</v>
      </c>
      <c r="AM4" s="91">
        <f>(AL4/Q4)-1</f>
        <v>0.24677641422988028</v>
      </c>
      <c r="AN4" s="91">
        <f>_xll.BDP(AX4,"PR061")/100</f>
        <v>7.3856939999999996E-2</v>
      </c>
      <c r="AO4" s="91">
        <f>_xll.BDP(AX4,"PR064")/100</f>
        <v>9.2426969999999997E-2</v>
      </c>
      <c r="AP4" s="91">
        <f>_xll.BDP(AX4,"CHG_PCT_6M")/100</f>
        <v>6.7599030000000004E-2</v>
      </c>
      <c r="AQ4" s="83">
        <f>_xll.BDP(AX4,"PR079")/100</f>
        <v>0.17662169999999999</v>
      </c>
      <c r="AR4" s="92">
        <f>_xll.BDP(AX4,"hs001")</f>
        <v>107.5</v>
      </c>
      <c r="AS4" s="92">
        <f>_xll.BDP(AX4,"hs002")</f>
        <v>65.55</v>
      </c>
      <c r="AT4" s="40" t="str" cm="1">
        <f t="array" ref="AT4">IF(OR(_xll.BDP($AX4,"DX202")= "#N/A N/A", _xll.BDP($AX4,"DX202")="#N/A FIELD NOT APPLICABLE"), " ", _xll.BDP($AX4,"DX202"))</f>
        <v>Consumer Discretionary</v>
      </c>
      <c r="AU4" s="40" t="str" cm="1">
        <f t="array" ref="AU4">IF(OR(_xll.BDP($AX4,"DY997")= "#N/A N/A", _xll.BDP($AX4,"DY997")="#N/A FIELD NOT APPLICABLE"), " ", _xll.BDP($AX4,"DY997"))</f>
        <v>Y</v>
      </c>
      <c r="AV4" s="40" t="str" cm="1">
        <f t="array" ref="AV4">IF(OR(_xll.BDP($AX4,"DY784")= "#N/A N/A", _xll.BDP($AX4,"DY784")="#N/A FIELD NOT APPLICABLE"), " ", _xll.BDP($AX4,"DY784"))</f>
        <v>N</v>
      </c>
      <c r="AW4" s="40" t="str">
        <f>IF(OR(AU4="Y",AV4="Y"),"Y","N")</f>
        <v>Y</v>
      </c>
      <c r="AX4" s="40" t="str">
        <f>CONCATENATE(G4," ",$AX$2)</f>
        <v>2020 HK Equity</v>
      </c>
      <c r="BC4" s="17" t="str" cm="1">
        <f t="array" ref="BC4">_xll.BDP(AX4,"ID005")</f>
        <v>KYG040111059</v>
      </c>
      <c r="BD4" s="17">
        <v>0.7</v>
      </c>
      <c r="BE4" s="18">
        <v>4</v>
      </c>
      <c r="BF4" s="19">
        <v>45567</v>
      </c>
      <c r="BG4" s="20">
        <v>1</v>
      </c>
    </row>
    <row r="5" spans="1:59" s="3" customFormat="1" ht="14.45" customHeight="1" x14ac:dyDescent="0.25">
      <c r="A5" s="49" t="s">
        <v>242</v>
      </c>
      <c r="B5" s="49" t="s">
        <v>268</v>
      </c>
      <c r="C5" s="49" t="s">
        <v>269</v>
      </c>
      <c r="D5" s="49" t="s">
        <v>248</v>
      </c>
      <c r="E5" s="22" t="str">
        <f>_xll.BDP(AX5,"SECURITY NAME")</f>
        <v>ANTA Sports Products Ltd</v>
      </c>
      <c r="F5" s="22" t="str">
        <f>_xll.BDP(AX5,"CRNCY")</f>
        <v>HKD</v>
      </c>
      <c r="G5" s="23" t="s">
        <v>321</v>
      </c>
      <c r="H5" s="22" t="str" cm="1">
        <f t="array" ref="H5">IF(OR(_xll.BDP($AX5,"DX202")= "#N/A N/A", _xll.BDP($AX5,"DX202")="#N/A FIELD NOT APPLICABLE"), " ", _xll.BDP($AX5,"DX202"))</f>
        <v>Consumer Discretionary</v>
      </c>
      <c r="I5" s="24">
        <f>_xll.BDP(AX5,"CRNCY_ADJ_MKT_CAP", "EQY_FUND_CRNCY=USD")/1000</f>
        <v>33.176022546812504</v>
      </c>
      <c r="J5" s="25">
        <f>IFERROR(_xll.BDP(AX5, "DV013")/100,0)</f>
        <v>2.5764190994495909E-2</v>
      </c>
      <c r="K5" s="26" cm="1">
        <f t="array" ref="K5">IF(OR(_xll.BDP($AX5,"RR900")= "#N/A N/A", _xll.BDP($AX5,"RR900")="#N/A FIELD NOT APPLICABLE"), " ", _xll.BDP($AX5,"RR900"))</f>
        <v>15.347629413364963</v>
      </c>
      <c r="L5" s="26" cm="1">
        <f t="array" ref="L5">IF(OR(_xll.BDP($AX5,"EE010")= "#N/A N/A", _xll.BDP($AX5,"EE010")="#N/A FIELD NOT APPLICABLE"), " ", _xll.BDP($AX5,"EE010"))</f>
        <v>15.785948217387208</v>
      </c>
      <c r="M5" s="26" cm="1">
        <f t="array" ref="M5">IF(OR(_xll.BDP($AX5,"RR903")= "#N/A N/A", _xll.BDP($AX5,"RR903")="#N/A FIELD NOT APPLICABLE"), " ", _xll.BDP($AX5,"RR903"))</f>
        <v>3.900874202206206</v>
      </c>
      <c r="N5" s="26" cm="1">
        <f t="array" ref="N5">IF(OR(_xll.BDP($AX5,"RR957")= "#N/A N/A", _xll.BDP($AX5,"RR957")="#N/A FIELD NOT APPLICABLE"), " ", _xll.BDP($AX5,"RR957"))</f>
        <v>10.800302508218737</v>
      </c>
      <c r="O5" s="27">
        <v>7600</v>
      </c>
      <c r="P5" s="28">
        <v>82.99</v>
      </c>
      <c r="Q5" s="22" cm="1">
        <f t="array" ref="Q5">IF(OR(_xll.BDP($AX5,"PX_last")="#N/A N/A",_xll.BDP($AX5,"PX_Last")="#N/A FIELD NOT APPLICABLE")," ",IF(F5="GBP",(_xll.BDP($AX5,"PX_LAST")/100),(_xll.BDP($AX5,"PX_LAST"))))</f>
        <v>91.6</v>
      </c>
      <c r="R5" s="29">
        <f>IF(F5="USD",AA5,(((_xll.BDP(F5&amp;"USD CURNCY","PX_LAST")))*AA5))</f>
        <v>81376.010479999997</v>
      </c>
      <c r="S5" s="29">
        <f>IF(F5="USD",AB5,(((_xll.BDP(F5&amp;"USD CURNCY","PX_LAST")))*AB5))</f>
        <v>89818.563200000004</v>
      </c>
      <c r="T5" s="12">
        <f>S5-R5</f>
        <v>8442.552720000007</v>
      </c>
      <c r="U5" s="13">
        <f>T5/R5</f>
        <v>0.1037474394505363</v>
      </c>
      <c r="V5" s="13" cm="1">
        <f t="array" ref="V5">IFERROR(_xll.BDP($G5&amp;" Equity","CHG_PCT_1D")/100,"")</f>
        <v>-1.399354E-2</v>
      </c>
      <c r="W5" s="13" cm="1">
        <f t="array" ref="W5">IFERROR(_xll.BDP($G5&amp;" Equity","CHG_PCT_5D")/100,"")</f>
        <v>-8.6580089999999995E-3</v>
      </c>
      <c r="X5" s="13" t="e">
        <f>S5/#REF!</f>
        <v>#REF!</v>
      </c>
      <c r="Y5" s="24">
        <f>IFERROR(S5*J5,0)</f>
        <v>2314.1026171360018</v>
      </c>
      <c r="Z5" s="24">
        <f>S5</f>
        <v>89818.563200000004</v>
      </c>
      <c r="AA5" s="29">
        <f>P5*O5</f>
        <v>630724</v>
      </c>
      <c r="AB5" s="29">
        <f>IFERROR(O5*Q5,0)</f>
        <v>696160</v>
      </c>
      <c r="AC5" s="4" t="e" cm="1">
        <f t="array" ref="AC5">VLOOKUP(IF(NOT(_xll.BDP(AX5,$BW$8)="#N/A N/A"),(_xll.BDP(AX5,$BW$8)),"-"), '[1]Country Codes'!$A$2:$B$253,2,0)</f>
        <v>#N/A</v>
      </c>
      <c r="AD5" s="30" t="str" cm="1">
        <f t="array" ref="AD5">IF(OR(_xll.BDP($AX5,"EX028")= "#N/A N/A", _xll.BDP($AX5,"EX028")="#N/A FIELD NOT APPLICABLE"), " ", _xll.BDP($AX5,"EX028"))</f>
        <v>Equity</v>
      </c>
      <c r="AE5" s="31" t="str">
        <f>IF(("AS97"="Equity"), " ", "Single Line Equity")</f>
        <v>Single Line Equity</v>
      </c>
      <c r="AF5" s="26" cm="1">
        <f t="array" ref="AF5">IF(OR(_xll.BDP($AX5,"RR908")= "#N/A N/A", _xll.BDP($AX5,"RR908")="#N/A FIELD NOT APPLICABLE"), " ", _xll.BDP($AX5,"RR908"))</f>
        <v>14.483074054960671</v>
      </c>
      <c r="AG5" s="26" cm="1">
        <f t="array" ref="AG5">IF(OR(_xll.BDP($AX5,"RR041")= "#N/A N/A", _xll.BDP($AX5,"RR041")="#N/A FIELD NOT APPLICABLE"), " ", _xll.BDP($AX5,"RR041"))</f>
        <v>24.970030635350533</v>
      </c>
      <c r="AH5" s="22">
        <f>_xll.BDP(AX5,"TOT_BUY_REC")</f>
        <v>50</v>
      </c>
      <c r="AI5" s="22">
        <f>_xll.BDP(AX5,"TOT_HOLD_REC")</f>
        <v>4</v>
      </c>
      <c r="AJ5" s="22">
        <f>_xll.BDP(AX5,"TOT_SELL_REC")</f>
        <v>0</v>
      </c>
      <c r="AK5" s="26" cm="1">
        <f t="array" ref="AK5">IF(OR(_xll.BDP($AX5,"EE201")= "#N/A N/A", _xll.BDP($AX5,"EE201")="#N/A FIELD NOT APPLICABLE"), " ", _xll.BDP($AX5,"EE201"))</f>
        <v>4.8148150444030762</v>
      </c>
      <c r="AL5" s="24">
        <f>_xll.BDP(AX5,"BEST_TARGET_PRICE")</f>
        <v>114.20471954345703</v>
      </c>
      <c r="AM5" s="32">
        <f>(AL5/Q5)-1</f>
        <v>0.24677641422988028</v>
      </c>
      <c r="AN5" s="32">
        <f>_xll.BDP(AX5,"PR061")/100</f>
        <v>7.3856939999999996E-2</v>
      </c>
      <c r="AO5" s="32">
        <f>_xll.BDP(AX5,"PR064")/100</f>
        <v>9.2426969999999997E-2</v>
      </c>
      <c r="AP5" s="32">
        <f>_xll.BDP(AX5,"CHG_PCT_6M")/100</f>
        <v>6.7599030000000004E-2</v>
      </c>
      <c r="AQ5" s="25">
        <f>_xll.BDP(AX5,"PR079")/100</f>
        <v>0.17662169999999999</v>
      </c>
      <c r="AR5" s="33">
        <f>_xll.BDP(AX5,"hs001")</f>
        <v>107.5</v>
      </c>
      <c r="AS5" s="33">
        <f>_xll.BDP(AX5,"hs002")</f>
        <v>65.55</v>
      </c>
      <c r="AT5" s="22" t="str" cm="1">
        <f t="array" ref="AT5">IF(OR(_xll.BDP($AX5,"DX202")= "#N/A N/A", _xll.BDP($AX5,"DX202")="#N/A FIELD NOT APPLICABLE"), " ", _xll.BDP($AX5,"DX202"))</f>
        <v>Consumer Discretionary</v>
      </c>
      <c r="AU5" s="22" t="str" cm="1">
        <f t="array" ref="AU5">IF(OR(_xll.BDP($AX5,"DY997")= "#N/A N/A", _xll.BDP($AX5,"DY997")="#N/A FIELD NOT APPLICABLE"), " ", _xll.BDP($AX5,"DY997"))</f>
        <v>Y</v>
      </c>
      <c r="AV5" s="22" t="str" cm="1">
        <f t="array" ref="AV5">IF(OR(_xll.BDP($AX5,"DY784")= "#N/A N/A", _xll.BDP($AX5,"DY784")="#N/A FIELD NOT APPLICABLE"), " ", _xll.BDP($AX5,"DY784"))</f>
        <v>N</v>
      </c>
      <c r="AW5" s="22" t="str">
        <f>IF(OR(AU5="Y",AV5="Y"),"Y","N")</f>
        <v>Y</v>
      </c>
      <c r="AX5" s="22" t="str">
        <f>CONCATENATE(G5," ",$AX$2)</f>
        <v>2020 HK Equity</v>
      </c>
      <c r="BC5" s="17" t="str" cm="1">
        <f t="array" ref="BC5">_xll.BDP(AX5,"ID005")</f>
        <v>KYG040111059</v>
      </c>
      <c r="BD5" s="17">
        <v>0.7</v>
      </c>
      <c r="BE5" s="18">
        <v>4</v>
      </c>
      <c r="BF5" s="19">
        <v>45567</v>
      </c>
      <c r="BG5" s="20">
        <v>1</v>
      </c>
    </row>
    <row r="6" spans="1:59" s="3" customFormat="1" ht="14.45" customHeight="1" x14ac:dyDescent="0.25">
      <c r="A6" s="49" t="s">
        <v>241</v>
      </c>
      <c r="B6" s="49" t="s">
        <v>276</v>
      </c>
      <c r="C6" s="49" t="s">
        <v>277</v>
      </c>
      <c r="D6" s="49" t="s">
        <v>240</v>
      </c>
      <c r="E6" s="22" t="str">
        <f>_xll.BDP(AX6,"SECURITY NAME")</f>
        <v>ANTA Sports Products Ltd</v>
      </c>
      <c r="F6" s="22" t="str">
        <f>_xll.BDP(AX6,"CRNCY")</f>
        <v>HKD</v>
      </c>
      <c r="G6" s="23" t="s">
        <v>321</v>
      </c>
      <c r="H6" s="22" t="str" cm="1">
        <f t="array" ref="H6">IF(OR(_xll.BDP($AX6,"DX202")= "#N/A N/A", _xll.BDP($AX6,"DX202")="#N/A FIELD NOT APPLICABLE"), " ", _xll.BDP($AX6,"DX202"))</f>
        <v>Consumer Discretionary</v>
      </c>
      <c r="I6" s="24">
        <f>_xll.BDP(AX6,"CRNCY_ADJ_MKT_CAP", "EQY_FUND_CRNCY=USD")/1000</f>
        <v>33.176022546812504</v>
      </c>
      <c r="J6" s="25">
        <f>IFERROR(_xll.BDP(AX6, "DV013")/100,0)</f>
        <v>2.5764190994495909E-2</v>
      </c>
      <c r="K6" s="26" cm="1">
        <f t="array" ref="K6">IF(OR(_xll.BDP($AX6,"RR900")= "#N/A N/A", _xll.BDP($AX6,"RR900")="#N/A FIELD NOT APPLICABLE"), " ", _xll.BDP($AX6,"RR900"))</f>
        <v>15.347629413364963</v>
      </c>
      <c r="L6" s="26" cm="1">
        <f t="array" ref="L6">IF(OR(_xll.BDP($AX6,"EE010")= "#N/A N/A", _xll.BDP($AX6,"EE010")="#N/A FIELD NOT APPLICABLE"), " ", _xll.BDP($AX6,"EE010"))</f>
        <v>15.785948217387208</v>
      </c>
      <c r="M6" s="26" cm="1">
        <f t="array" ref="M6">IF(OR(_xll.BDP($AX6,"RR903")= "#N/A N/A", _xll.BDP($AX6,"RR903")="#N/A FIELD NOT APPLICABLE"), " ", _xll.BDP($AX6,"RR903"))</f>
        <v>3.900874202206206</v>
      </c>
      <c r="N6" s="26" cm="1">
        <f t="array" ref="N6">IF(OR(_xll.BDP($AX6,"RR957")= "#N/A N/A", _xll.BDP($AX6,"RR957")="#N/A FIELD NOT APPLICABLE"), " ", _xll.BDP($AX6,"RR957"))</f>
        <v>10.800302508218737</v>
      </c>
      <c r="O6" s="27">
        <v>9500</v>
      </c>
      <c r="P6" s="28">
        <v>82.4</v>
      </c>
      <c r="Q6" s="22" cm="1">
        <f t="array" ref="Q6">IF(OR(_xll.BDP($AX6,"PX_last")="#N/A N/A",_xll.BDP($AX6,"PX_Last")="#N/A FIELD NOT APPLICABLE")," ",IF(F6="GBP",(_xll.BDP($AX6,"PX_LAST")/100),(_xll.BDP($AX6,"PX_LAST"))))</f>
        <v>91.6</v>
      </c>
      <c r="R6" s="29">
        <f>IF(F6="USD",AA6,(((_xll.BDP(F6&amp;"USD CURNCY","PX_LAST")))*AA6))</f>
        <v>100996.856</v>
      </c>
      <c r="S6" s="29">
        <f>IF(F6="USD",AB6,(((_xll.BDP(F6&amp;"USD CURNCY","PX_LAST")))*AB6))</f>
        <v>112273.204</v>
      </c>
      <c r="T6" s="12">
        <f>S6-R6</f>
        <v>11276.347999999998</v>
      </c>
      <c r="U6" s="13">
        <f>T6/R6</f>
        <v>0.11165048543689318</v>
      </c>
      <c r="V6" s="13" cm="1">
        <f t="array" ref="V6">IFERROR(_xll.BDP($G6&amp;" Equity","CHG_PCT_1D")/100,"")</f>
        <v>-1.399354E-2</v>
      </c>
      <c r="W6" s="13" cm="1">
        <f t="array" ref="W6">IFERROR(_xll.BDP($G6&amp;" Equity","CHG_PCT_5D")/100,"")</f>
        <v>-8.6580089999999995E-3</v>
      </c>
      <c r="X6" s="13" t="e">
        <f>S6/#REF!</f>
        <v>#REF!</v>
      </c>
      <c r="Y6" s="24">
        <f>IFERROR(S6*J6,0)</f>
        <v>2892.628271420002</v>
      </c>
      <c r="Z6" s="24">
        <f>S6</f>
        <v>112273.204</v>
      </c>
      <c r="AA6" s="29">
        <f>P6*O6</f>
        <v>782800</v>
      </c>
      <c r="AB6" s="29">
        <f>IFERROR(O6*Q6,0)</f>
        <v>870200</v>
      </c>
      <c r="AC6" s="4" t="e" cm="1">
        <f t="array" ref="AC6">VLOOKUP(IF(NOT(_xll.BDP(AX6,$BW$8)="#N/A N/A"),(_xll.BDP(AX6,$BW$8)),"-"), '[1]Country Codes'!$A$2:$B$253,2,0)</f>
        <v>#N/A</v>
      </c>
      <c r="AD6" s="30" t="str" cm="1">
        <f t="array" ref="AD6">IF(OR(_xll.BDP($AX6,"EX028")= "#N/A N/A", _xll.BDP($AX6,"EX028")="#N/A FIELD NOT APPLICABLE"), " ", _xll.BDP($AX6,"EX028"))</f>
        <v>Equity</v>
      </c>
      <c r="AE6" s="31" t="str">
        <f>IF(("AS97"="Equity"), " ", "Single Line Equity")</f>
        <v>Single Line Equity</v>
      </c>
      <c r="AF6" s="26" cm="1">
        <f t="array" ref="AF6">IF(OR(_xll.BDP($AX6,"RR908")= "#N/A N/A", _xll.BDP($AX6,"RR908")="#N/A FIELD NOT APPLICABLE"), " ", _xll.BDP($AX6,"RR908"))</f>
        <v>14.483074054960671</v>
      </c>
      <c r="AG6" s="26" cm="1">
        <f t="array" ref="AG6">IF(OR(_xll.BDP($AX6,"RR041")= "#N/A N/A", _xll.BDP($AX6,"RR041")="#N/A FIELD NOT APPLICABLE"), " ", _xll.BDP($AX6,"RR041"))</f>
        <v>24.970030635350533</v>
      </c>
      <c r="AH6" s="22">
        <f>_xll.BDP(AX6,"TOT_BUY_REC")</f>
        <v>50</v>
      </c>
      <c r="AI6" s="22">
        <f>_xll.BDP(AX6,"TOT_HOLD_REC")</f>
        <v>4</v>
      </c>
      <c r="AJ6" s="22">
        <f>_xll.BDP(AX6,"TOT_SELL_REC")</f>
        <v>0</v>
      </c>
      <c r="AK6" s="26" cm="1">
        <f t="array" ref="AK6">IF(OR(_xll.BDP($AX6,"EE201")= "#N/A N/A", _xll.BDP($AX6,"EE201")="#N/A FIELD NOT APPLICABLE"), " ", _xll.BDP($AX6,"EE201"))</f>
        <v>4.8148150444030762</v>
      </c>
      <c r="AL6" s="24">
        <f>_xll.BDP(AX6,"BEST_TARGET_PRICE")</f>
        <v>114.20471954345703</v>
      </c>
      <c r="AM6" s="32">
        <f>(AL6/Q6)-1</f>
        <v>0.24677641422988028</v>
      </c>
      <c r="AN6" s="32">
        <f>_xll.BDP(AX6,"PR061")/100</f>
        <v>7.3856939999999996E-2</v>
      </c>
      <c r="AO6" s="32">
        <f>_xll.BDP(AX6,"PR064")/100</f>
        <v>9.2426969999999997E-2</v>
      </c>
      <c r="AP6" s="32">
        <f>_xll.BDP(AX6,"CHG_PCT_6M")/100</f>
        <v>6.7599030000000004E-2</v>
      </c>
      <c r="AQ6" s="25">
        <f>_xll.BDP(AX6,"PR079")/100</f>
        <v>0.17662169999999999</v>
      </c>
      <c r="AR6" s="33">
        <f>_xll.BDP(AX6,"hs001")</f>
        <v>107.5</v>
      </c>
      <c r="AS6" s="33">
        <f>_xll.BDP(AX6,"hs002")</f>
        <v>65.55</v>
      </c>
      <c r="AT6" s="22" t="str" cm="1">
        <f t="array" ref="AT6">IF(OR(_xll.BDP($AX6,"DX202")= "#N/A N/A", _xll.BDP($AX6,"DX202")="#N/A FIELD NOT APPLICABLE"), " ", _xll.BDP($AX6,"DX202"))</f>
        <v>Consumer Discretionary</v>
      </c>
      <c r="AU6" s="22" t="str" cm="1">
        <f t="array" ref="AU6">IF(OR(_xll.BDP($AX6,"DY997")= "#N/A N/A", _xll.BDP($AX6,"DY997")="#N/A FIELD NOT APPLICABLE"), " ", _xll.BDP($AX6,"DY997"))</f>
        <v>Y</v>
      </c>
      <c r="AV6" s="22" t="str" cm="1">
        <f t="array" ref="AV6">IF(OR(_xll.BDP($AX6,"DY784")= "#N/A N/A", _xll.BDP($AX6,"DY784")="#N/A FIELD NOT APPLICABLE"), " ", _xll.BDP($AX6,"DY784"))</f>
        <v>N</v>
      </c>
      <c r="AW6" s="22" t="str">
        <f>IF(OR(AU6="Y",AV6="Y"),"Y","N")</f>
        <v>Y</v>
      </c>
      <c r="AX6" s="22" t="str">
        <f>CONCATENATE(G6," ",$AX$2)</f>
        <v>2020 HK Equity</v>
      </c>
      <c r="BC6" s="17" t="str" cm="1">
        <f t="array" ref="BC6">_xll.BDP(AX6,"ID005")</f>
        <v>KYG040111059</v>
      </c>
      <c r="BD6" s="17">
        <v>0.7</v>
      </c>
      <c r="BE6" s="18">
        <v>4</v>
      </c>
      <c r="BF6" s="19">
        <v>45567</v>
      </c>
      <c r="BG6" s="20">
        <v>1</v>
      </c>
    </row>
    <row r="7" spans="1:59" s="3" customFormat="1" ht="14.45" customHeight="1" x14ac:dyDescent="0.25">
      <c r="A7" s="49" t="s">
        <v>241</v>
      </c>
      <c r="B7" s="49" t="s">
        <v>238</v>
      </c>
      <c r="C7" s="49" t="s">
        <v>239</v>
      </c>
      <c r="D7" s="49" t="s">
        <v>240</v>
      </c>
      <c r="E7" s="22" t="str">
        <f>_xll.BDP(AX7,"SECURITY NAME")</f>
        <v>Meituan</v>
      </c>
      <c r="F7" s="22" t="str">
        <f>_xll.BDP(AX7,"CRNCY")</f>
        <v>HKD</v>
      </c>
      <c r="G7" s="23" t="s">
        <v>319</v>
      </c>
      <c r="H7" s="22" t="str" cm="1">
        <f t="array" ref="H7">IF(OR(_xll.BDP($AX7,"DX202")= "#N/A N/A", _xll.BDP($AX7,"DX202")="#N/A FIELD NOT APPLICABLE"), " ", _xll.BDP($AX7,"DX202"))</f>
        <v>Consumer Discretionary</v>
      </c>
      <c r="I7" s="24">
        <f>_xll.BDP(AX7,"CRNCY_ADJ_MKT_CAP", "EQY_FUND_CRNCY=USD")/1000</f>
        <v>109.17482138964783</v>
      </c>
      <c r="J7" s="25">
        <f>IFERROR(_xll.BDP(AX7, "DV013")/100,0)</f>
        <v>0</v>
      </c>
      <c r="K7" s="26" cm="1">
        <f t="array" ref="K7">IF(OR(_xll.BDP($AX7,"RR900")= "#N/A N/A", _xll.BDP($AX7,"RR900")="#N/A FIELD NOT APPLICABLE"), " ", _xll.BDP($AX7,"RR900"))</f>
        <v>22.090172932439877</v>
      </c>
      <c r="L7" s="26" cm="1">
        <f t="array" ref="L7">IF(OR(_xll.BDP($AX7,"EE010")= "#N/A N/A", _xll.BDP($AX7,"EE010")="#N/A FIELD NOT APPLICABLE"), " ", _xll.BDP($AX7,"EE010"))</f>
        <v>12.709319007605902</v>
      </c>
      <c r="M7" s="26" cm="1">
        <f t="array" ref="M7">IF(OR(_xll.BDP($AX7,"RR903")= "#N/A N/A", _xll.BDP($AX7,"RR903")="#N/A FIELD NOT APPLICABLE"), " ", _xll.BDP($AX7,"RR903"))</f>
        <v>4.5159129994211069</v>
      </c>
      <c r="N7" s="26" cm="1">
        <f t="array" ref="N7">IF(OR(_xll.BDP($AX7,"RR957")= "#N/A N/A", _xll.BDP($AX7,"RR957")="#N/A FIELD NOT APPLICABLE"), " ", _xll.BDP($AX7,"RR957"))</f>
        <v>14.981599686066341</v>
      </c>
      <c r="O7" s="27">
        <v>2600</v>
      </c>
      <c r="P7" s="28">
        <v>150.92308</v>
      </c>
      <c r="Q7" s="22" cm="1">
        <f t="array" ref="Q7">IF(OR(_xll.BDP($AX7,"PX_last")="#N/A N/A",_xll.BDP($AX7,"PX_Last")="#N/A FIELD NOT APPLICABLE")," ",IF(F7="GBP",(_xll.BDP($AX7,"PX_LAST")/100),(_xll.BDP($AX7,"PX_LAST"))))</f>
        <v>138.5</v>
      </c>
      <c r="R7" s="29">
        <f>IF(F7="USD",AA7,(((_xll.BDP(F7&amp;"USD CURNCY","PX_LAST")))*AA7))</f>
        <v>50627.449032159995</v>
      </c>
      <c r="S7" s="29">
        <f>IF(F7="USD",AB7,(((_xll.BDP(F7&amp;"USD CURNCY","PX_LAST")))*AB7))</f>
        <v>46460.101999999999</v>
      </c>
      <c r="T7" s="12">
        <f>S7-R7</f>
        <v>-4167.3470321599962</v>
      </c>
      <c r="U7" s="13">
        <f>T7/R7</f>
        <v>-8.2313984050683228E-2</v>
      </c>
      <c r="V7" s="13" cm="1">
        <f t="array" ref="V7">IFERROR(_xll.BDP($G7&amp;" Equity","CHG_PCT_1D")/100,"")</f>
        <v>4.528302E-2</v>
      </c>
      <c r="W7" s="13" cm="1">
        <f t="array" ref="W7">IFERROR(_xll.BDP($G7&amp;" Equity","CHG_PCT_5D")/100,"")</f>
        <v>8.5423200000000005E-2</v>
      </c>
      <c r="X7" s="13" t="e">
        <f>S7/#REF!</f>
        <v>#REF!</v>
      </c>
      <c r="Y7" s="24">
        <f>IFERROR(S7*J7,0)</f>
        <v>0</v>
      </c>
      <c r="Z7" s="24">
        <f>S7</f>
        <v>46460.101999999999</v>
      </c>
      <c r="AA7" s="29">
        <f>P7*O7</f>
        <v>392400.00799999997</v>
      </c>
      <c r="AB7" s="29">
        <f>IFERROR(O7*Q7,0)</f>
        <v>360100</v>
      </c>
      <c r="AC7" s="4" t="e" cm="1">
        <f t="array" ref="AC7">VLOOKUP(IF(NOT(_xll.BDP(AX7,$BW$8)="#N/A N/A"),(_xll.BDP(AX7,$BW$8)),"-"), '[1]Country Codes'!$A$2:$B$253,2,0)</f>
        <v>#N/A</v>
      </c>
      <c r="AD7" s="30" t="str" cm="1">
        <f t="array" ref="AD7">IF(OR(_xll.BDP($AX7,"EX028")= "#N/A N/A", _xll.BDP($AX7,"EX028")="#N/A FIELD NOT APPLICABLE"), " ", _xll.BDP($AX7,"EX028"))</f>
        <v>Equity</v>
      </c>
      <c r="AE7" s="31" t="str">
        <f>IF(("AS97"="Equity"), " ", "Single Line Equity")</f>
        <v>Single Line Equity</v>
      </c>
      <c r="AF7" s="26" cm="1">
        <f t="array" ref="AF7">IF(OR(_xll.BDP($AX7,"RR908")= "#N/A N/A", _xll.BDP($AX7,"RR908")="#N/A FIELD NOT APPLICABLE"), " ", _xll.BDP($AX7,"RR908"))</f>
        <v>12.977426984165488</v>
      </c>
      <c r="AG7" s="26" cm="1">
        <f t="array" ref="AG7">IF(OR(_xll.BDP($AX7,"RR041")= "#N/A N/A", _xll.BDP($AX7,"RR041")="#N/A FIELD NOT APPLICABLE"), " ", _xll.BDP($AX7,"RR041"))</f>
        <v>18.963661031844321</v>
      </c>
      <c r="AH7" s="22">
        <f>_xll.BDP(AX7,"TOT_BUY_REC")</f>
        <v>58</v>
      </c>
      <c r="AI7" s="22">
        <f>_xll.BDP(AX7,"TOT_HOLD_REC")</f>
        <v>2</v>
      </c>
      <c r="AJ7" s="22">
        <f>_xll.BDP(AX7,"TOT_SELL_REC")</f>
        <v>2</v>
      </c>
      <c r="AK7" s="26" cm="1">
        <f t="array" ref="AK7">IF(OR(_xll.BDP($AX7,"EE201")= "#N/A N/A", _xll.BDP($AX7,"EE201")="#N/A FIELD NOT APPLICABLE"), " ", _xll.BDP($AX7,"EE201"))</f>
        <v>4.7580647468566895</v>
      </c>
      <c r="AL7" s="24">
        <f>_xll.BDP(AX7,"BEST_TARGET_PRICE")</f>
        <v>198.96818542480469</v>
      </c>
      <c r="AM7" s="32">
        <f>(AL7/Q7)-1</f>
        <v>0.43659339656898699</v>
      </c>
      <c r="AN7" s="32">
        <f>_xll.BDP(AX7,"PR061")/100</f>
        <v>-0.12286250000000001</v>
      </c>
      <c r="AO7" s="32">
        <f>_xll.BDP(AX7,"PR064")/100</f>
        <v>-7.7281849999999999E-2</v>
      </c>
      <c r="AP7" s="32">
        <f>_xll.BDP(AX7,"CHG_PCT_6M")/100</f>
        <v>-0.26835710000000002</v>
      </c>
      <c r="AQ7" s="25">
        <f>_xll.BDP(AX7,"PR079")/100</f>
        <v>-8.7013820000000006E-2</v>
      </c>
      <c r="AR7" s="33">
        <f>_xll.BDP(AX7,"hs001")</f>
        <v>217</v>
      </c>
      <c r="AS7" s="33">
        <f>_xll.BDP(AX7,"hs002")</f>
        <v>100.1</v>
      </c>
      <c r="AT7" s="22" t="str" cm="1">
        <f t="array" ref="AT7">IF(OR(_xll.BDP($AX7,"DX202")= "#N/A N/A", _xll.BDP($AX7,"DX202")="#N/A FIELD NOT APPLICABLE"), " ", _xll.BDP($AX7,"DX202"))</f>
        <v>Consumer Discretionary</v>
      </c>
      <c r="AU7" s="22" t="str" cm="1">
        <f t="array" ref="AU7">IF(OR(_xll.BDP($AX7,"DY997")= "#N/A N/A", _xll.BDP($AX7,"DY997")="#N/A FIELD NOT APPLICABLE"), " ", _xll.BDP($AX7,"DY997"))</f>
        <v>N</v>
      </c>
      <c r="AV7" s="22" t="str" cm="1">
        <f t="array" ref="AV7">IF(OR(_xll.BDP($AX7,"DY784")= "#N/A N/A", _xll.BDP($AX7,"DY784")="#N/A FIELD NOT APPLICABLE"), " ", _xll.BDP($AX7,"DY784"))</f>
        <v xml:space="preserve"> </v>
      </c>
      <c r="AW7" s="22" t="str">
        <f>IF(OR(AU7="Y",AV7="Y"),"Y","N")</f>
        <v>N</v>
      </c>
      <c r="AX7" s="22" t="str">
        <f>CONCATENATE(G7," ",$AX$2)</f>
        <v>3690 HK Equity</v>
      </c>
      <c r="BC7" s="17" t="str" cm="1">
        <f t="array" ref="BC7">_xll.BDP(AX7,"ID005")</f>
        <v>KYG596691041</v>
      </c>
      <c r="BD7" s="17">
        <v>0.7</v>
      </c>
      <c r="BE7" s="18">
        <v>4</v>
      </c>
      <c r="BF7" s="19">
        <v>45567</v>
      </c>
      <c r="BG7" s="20">
        <v>1</v>
      </c>
    </row>
    <row r="8" spans="1:59" s="3" customFormat="1" ht="14.45" customHeight="1" x14ac:dyDescent="0.25">
      <c r="A8" s="49" t="s">
        <v>242</v>
      </c>
      <c r="B8" s="49" t="s">
        <v>243</v>
      </c>
      <c r="C8" s="49" t="s">
        <v>244</v>
      </c>
      <c r="D8" s="49" t="s">
        <v>245</v>
      </c>
      <c r="E8" s="22" t="str">
        <f>_xll.BDP(AX8,"SECURITY NAME")</f>
        <v>Meituan</v>
      </c>
      <c r="F8" s="22" t="str">
        <f>_xll.BDP(AX8,"CRNCY")</f>
        <v>HKD</v>
      </c>
      <c r="G8" s="23" t="s">
        <v>319</v>
      </c>
      <c r="H8" s="22" t="str" cm="1">
        <f t="array" ref="H8">IF(OR(_xll.BDP($AX8,"DX202")= "#N/A N/A", _xll.BDP($AX8,"DX202")="#N/A FIELD NOT APPLICABLE"), " ", _xll.BDP($AX8,"DX202"))</f>
        <v>Consumer Discretionary</v>
      </c>
      <c r="I8" s="24">
        <f>_xll.BDP(AX8,"CRNCY_ADJ_MKT_CAP", "EQY_FUND_CRNCY=USD")/1000</f>
        <v>109.17482138964783</v>
      </c>
      <c r="J8" s="25">
        <f>IFERROR(_xll.BDP(AX8, "DV013")/100,0)</f>
        <v>0</v>
      </c>
      <c r="K8" s="26" cm="1">
        <f t="array" ref="K8">IF(OR(_xll.BDP($AX8,"RR900")= "#N/A N/A", _xll.BDP($AX8,"RR900")="#N/A FIELD NOT APPLICABLE"), " ", _xll.BDP($AX8,"RR900"))</f>
        <v>22.090172932439877</v>
      </c>
      <c r="L8" s="26" cm="1">
        <f t="array" ref="L8">IF(OR(_xll.BDP($AX8,"EE010")= "#N/A N/A", _xll.BDP($AX8,"EE010")="#N/A FIELD NOT APPLICABLE"), " ", _xll.BDP($AX8,"EE010"))</f>
        <v>12.709319007605902</v>
      </c>
      <c r="M8" s="26" cm="1">
        <f t="array" ref="M8">IF(OR(_xll.BDP($AX8,"RR903")= "#N/A N/A", _xll.BDP($AX8,"RR903")="#N/A FIELD NOT APPLICABLE"), " ", _xll.BDP($AX8,"RR903"))</f>
        <v>4.5159129994211069</v>
      </c>
      <c r="N8" s="26" cm="1">
        <f t="array" ref="N8">IF(OR(_xll.BDP($AX8,"RR957")= "#N/A N/A", _xll.BDP($AX8,"RR957")="#N/A FIELD NOT APPLICABLE"), " ", _xll.BDP($AX8,"RR957"))</f>
        <v>14.981599686066341</v>
      </c>
      <c r="O8" s="27">
        <v>5200</v>
      </c>
      <c r="P8" s="28">
        <v>152.80000000000001</v>
      </c>
      <c r="Q8" s="22" cm="1">
        <f t="array" ref="Q8">IF(OR(_xll.BDP($AX8,"PX_last")="#N/A N/A",_xll.BDP($AX8,"PX_Last")="#N/A FIELD NOT APPLICABLE")," ",IF(F8="GBP",(_xll.BDP($AX8,"PX_LAST")/100),(_xll.BDP($AX8,"PX_LAST"))))</f>
        <v>138.5</v>
      </c>
      <c r="R8" s="29">
        <f>IF(F8="USD",AA8,(((_xll.BDP(F8&amp;"USD CURNCY","PX_LAST")))*AA8))</f>
        <v>102514.13120000002</v>
      </c>
      <c r="S8" s="29">
        <f>IF(F8="USD",AB8,(((_xll.BDP(F8&amp;"USD CURNCY","PX_LAST")))*AB8))</f>
        <v>92920.203999999998</v>
      </c>
      <c r="T8" s="12">
        <f>S8-R8</f>
        <v>-9593.9272000000201</v>
      </c>
      <c r="U8" s="13">
        <f>T8/R8</f>
        <v>-9.3586387434555149E-2</v>
      </c>
      <c r="V8" s="13" cm="1">
        <f t="array" ref="V8">IFERROR(_xll.BDP($G8&amp;" Equity","CHG_PCT_1D")/100,"")</f>
        <v>4.528302E-2</v>
      </c>
      <c r="W8" s="13" cm="1">
        <f t="array" ref="W8">IFERROR(_xll.BDP($G8&amp;" Equity","CHG_PCT_5D")/100,"")</f>
        <v>8.5423200000000005E-2</v>
      </c>
      <c r="X8" s="13" t="e">
        <f>S8/#REF!</f>
        <v>#REF!</v>
      </c>
      <c r="Y8" s="24">
        <f>IFERROR(S8*J8,0)</f>
        <v>0</v>
      </c>
      <c r="Z8" s="24">
        <f>S8</f>
        <v>92920.203999999998</v>
      </c>
      <c r="AA8" s="29">
        <f>P8*O8</f>
        <v>794560.00000000012</v>
      </c>
      <c r="AB8" s="29">
        <f>IFERROR(O8*Q8,0)</f>
        <v>720200</v>
      </c>
      <c r="AC8" s="4" t="e" cm="1">
        <f t="array" ref="AC8">VLOOKUP(IF(NOT(_xll.BDP(AX8,$BW$8)="#N/A N/A"),(_xll.BDP(AX8,$BW$8)),"-"), '[1]Country Codes'!$A$2:$B$253,2,0)</f>
        <v>#N/A</v>
      </c>
      <c r="AD8" s="30" t="str" cm="1">
        <f t="array" ref="AD8">IF(OR(_xll.BDP($AX8,"EX028")= "#N/A N/A", _xll.BDP($AX8,"EX028")="#N/A FIELD NOT APPLICABLE"), " ", _xll.BDP($AX8,"EX028"))</f>
        <v>Equity</v>
      </c>
      <c r="AE8" s="31" t="str">
        <f>IF(("AS97"="Equity"), " ", "Single Line Equity")</f>
        <v>Single Line Equity</v>
      </c>
      <c r="AF8" s="26" cm="1">
        <f t="array" ref="AF8">IF(OR(_xll.BDP($AX8,"RR908")= "#N/A N/A", _xll.BDP($AX8,"RR908")="#N/A FIELD NOT APPLICABLE"), " ", _xll.BDP($AX8,"RR908"))</f>
        <v>12.977426984165488</v>
      </c>
      <c r="AG8" s="26" cm="1">
        <f t="array" ref="AG8">IF(OR(_xll.BDP($AX8,"RR041")= "#N/A N/A", _xll.BDP($AX8,"RR041")="#N/A FIELD NOT APPLICABLE"), " ", _xll.BDP($AX8,"RR041"))</f>
        <v>18.963661031844321</v>
      </c>
      <c r="AH8" s="22">
        <f>_xll.BDP(AX8,"TOT_BUY_REC")</f>
        <v>58</v>
      </c>
      <c r="AI8" s="22">
        <f>_xll.BDP(AX8,"TOT_HOLD_REC")</f>
        <v>2</v>
      </c>
      <c r="AJ8" s="22">
        <f>_xll.BDP(AX8,"TOT_SELL_REC")</f>
        <v>2</v>
      </c>
      <c r="AK8" s="26" cm="1">
        <f t="array" ref="AK8">IF(OR(_xll.BDP($AX8,"EE201")= "#N/A N/A", _xll.BDP($AX8,"EE201")="#N/A FIELD NOT APPLICABLE"), " ", _xll.BDP($AX8,"EE201"))</f>
        <v>4.7580647468566895</v>
      </c>
      <c r="AL8" s="24">
        <f>_xll.BDP(AX8,"BEST_TARGET_PRICE")</f>
        <v>198.96818542480469</v>
      </c>
      <c r="AM8" s="32">
        <f>(AL8/Q8)-1</f>
        <v>0.43659339656898699</v>
      </c>
      <c r="AN8" s="32">
        <f>_xll.BDP(AX8,"PR061")/100</f>
        <v>-0.12286250000000001</v>
      </c>
      <c r="AO8" s="32">
        <f>_xll.BDP(AX8,"PR064")/100</f>
        <v>-7.7281849999999999E-2</v>
      </c>
      <c r="AP8" s="32">
        <f>_xll.BDP(AX8,"CHG_PCT_6M")/100</f>
        <v>-0.26835710000000002</v>
      </c>
      <c r="AQ8" s="25">
        <f>_xll.BDP(AX8,"PR079")/100</f>
        <v>-8.7013820000000006E-2</v>
      </c>
      <c r="AR8" s="33">
        <f>_xll.BDP(AX8,"hs001")</f>
        <v>217</v>
      </c>
      <c r="AS8" s="33">
        <f>_xll.BDP(AX8,"hs002")</f>
        <v>100.1</v>
      </c>
      <c r="AT8" s="22" t="str" cm="1">
        <f t="array" ref="AT8">IF(OR(_xll.BDP($AX8,"DX202")= "#N/A N/A", _xll.BDP($AX8,"DX202")="#N/A FIELD NOT APPLICABLE"), " ", _xll.BDP($AX8,"DX202"))</f>
        <v>Consumer Discretionary</v>
      </c>
      <c r="AU8" s="22" t="str" cm="1">
        <f t="array" ref="AU8">IF(OR(_xll.BDP($AX8,"DY997")= "#N/A N/A", _xll.BDP($AX8,"DY997")="#N/A FIELD NOT APPLICABLE"), " ", _xll.BDP($AX8,"DY997"))</f>
        <v>N</v>
      </c>
      <c r="AV8" s="22" t="str" cm="1">
        <f t="array" ref="AV8">IF(OR(_xll.BDP($AX8,"DY784")= "#N/A N/A", _xll.BDP($AX8,"DY784")="#N/A FIELD NOT APPLICABLE"), " ", _xll.BDP($AX8,"DY784"))</f>
        <v xml:space="preserve"> </v>
      </c>
      <c r="AW8" s="22" t="str">
        <f>IF(OR(AU8="Y",AV8="Y"),"Y","N")</f>
        <v>N</v>
      </c>
      <c r="AX8" s="22" t="str">
        <f>CONCATENATE(G8," ",$AX$2)</f>
        <v>3690 HK Equity</v>
      </c>
      <c r="BC8" s="17" t="str" cm="1">
        <f t="array" ref="BC8">_xll.BDP(AX8,"ID005")</f>
        <v>KYG596691041</v>
      </c>
      <c r="BD8" s="17">
        <v>0.75</v>
      </c>
      <c r="BE8" s="18">
        <v>4</v>
      </c>
      <c r="BF8" s="19">
        <v>45540</v>
      </c>
      <c r="BG8" s="20">
        <v>1</v>
      </c>
    </row>
    <row r="9" spans="1:59" s="3" customFormat="1" ht="14.45" customHeight="1" x14ac:dyDescent="0.25">
      <c r="A9" s="49" t="s">
        <v>241</v>
      </c>
      <c r="B9" s="49" t="s">
        <v>249</v>
      </c>
      <c r="C9" s="49" t="s">
        <v>250</v>
      </c>
      <c r="D9" s="49" t="s">
        <v>240</v>
      </c>
      <c r="E9" s="22" t="str">
        <f>_xll.BDP(AX9,"SECURITY NAME")</f>
        <v>Meituan</v>
      </c>
      <c r="F9" s="22" t="str">
        <f>_xll.BDP(AX9,"CRNCY")</f>
        <v>HKD</v>
      </c>
      <c r="G9" s="23" t="s">
        <v>319</v>
      </c>
      <c r="H9" s="22" t="str" cm="1">
        <f t="array" ref="H9">IF(OR(_xll.BDP($AX9,"DX202")= "#N/A N/A", _xll.BDP($AX9,"DX202")="#N/A FIELD NOT APPLICABLE"), " ", _xll.BDP($AX9,"DX202"))</f>
        <v>Consumer Discretionary</v>
      </c>
      <c r="I9" s="24">
        <f>_xll.BDP(AX9,"CRNCY_ADJ_MKT_CAP", "EQY_FUND_CRNCY=USD")/1000</f>
        <v>109.17482138964783</v>
      </c>
      <c r="J9" s="25">
        <f>IFERROR(_xll.BDP(AX9, "DV013")/100,0)</f>
        <v>0</v>
      </c>
      <c r="K9" s="26" cm="1">
        <f t="array" ref="K9">IF(OR(_xll.BDP($AX9,"RR900")= "#N/A N/A", _xll.BDP($AX9,"RR900")="#N/A FIELD NOT APPLICABLE"), " ", _xll.BDP($AX9,"RR900"))</f>
        <v>22.090172932439877</v>
      </c>
      <c r="L9" s="26" cm="1">
        <f t="array" ref="L9">IF(OR(_xll.BDP($AX9,"EE010")= "#N/A N/A", _xll.BDP($AX9,"EE010")="#N/A FIELD NOT APPLICABLE"), " ", _xll.BDP($AX9,"EE010"))</f>
        <v>12.709319007605902</v>
      </c>
      <c r="M9" s="26" cm="1">
        <f t="array" ref="M9">IF(OR(_xll.BDP($AX9,"RR903")= "#N/A N/A", _xll.BDP($AX9,"RR903")="#N/A FIELD NOT APPLICABLE"), " ", _xll.BDP($AX9,"RR903"))</f>
        <v>4.5159129994211069</v>
      </c>
      <c r="N9" s="26" cm="1">
        <f t="array" ref="N9">IF(OR(_xll.BDP($AX9,"RR957")= "#N/A N/A", _xll.BDP($AX9,"RR957")="#N/A FIELD NOT APPLICABLE"), " ", _xll.BDP($AX9,"RR957"))</f>
        <v>14.981599686066341</v>
      </c>
      <c r="O9" s="27">
        <v>3100</v>
      </c>
      <c r="P9" s="28">
        <v>150.92581000000001</v>
      </c>
      <c r="Q9" s="22" cm="1">
        <f t="array" ref="Q9">IF(OR(_xll.BDP($AX9,"PX_last")="#N/A N/A",_xll.BDP($AX9,"PX_Last")="#N/A FIELD NOT APPLICABLE")," ",IF(F9="GBP",(_xll.BDP($AX9,"PX_LAST")/100),(_xll.BDP($AX9,"PX_LAST"))))</f>
        <v>138.5</v>
      </c>
      <c r="R9" s="29">
        <f>IF(F9="USD",AA9,(((_xll.BDP(F9&amp;"USD CURNCY","PX_LAST")))*AA9))</f>
        <v>60364.588819220007</v>
      </c>
      <c r="S9" s="29">
        <f>IF(F9="USD",AB9,(((_xll.BDP(F9&amp;"USD CURNCY","PX_LAST")))*AB9))</f>
        <v>55394.737000000001</v>
      </c>
      <c r="T9" s="12">
        <f>S9-R9</f>
        <v>-4969.8518192200063</v>
      </c>
      <c r="U9" s="13">
        <f>T9/R9</f>
        <v>-8.2330583483368511E-2</v>
      </c>
      <c r="V9" s="13" cm="1">
        <f t="array" ref="V9">IFERROR(_xll.BDP($G9&amp;" Equity","CHG_PCT_1D")/100,"")</f>
        <v>4.528302E-2</v>
      </c>
      <c r="W9" s="13" cm="1">
        <f t="array" ref="W9">IFERROR(_xll.BDP($G9&amp;" Equity","CHG_PCT_5D")/100,"")</f>
        <v>8.5423200000000005E-2</v>
      </c>
      <c r="X9" s="13" t="e">
        <f>S9/#REF!</f>
        <v>#REF!</v>
      </c>
      <c r="Y9" s="24">
        <f>IFERROR(S9*J9,0)</f>
        <v>0</v>
      </c>
      <c r="Z9" s="24">
        <f>S9</f>
        <v>55394.737000000001</v>
      </c>
      <c r="AA9" s="29">
        <f>P9*O9</f>
        <v>467870.01100000006</v>
      </c>
      <c r="AB9" s="29">
        <f>IFERROR(O9*Q9,0)</f>
        <v>429350</v>
      </c>
      <c r="AC9" s="4" t="e" cm="1">
        <f t="array" ref="AC9">VLOOKUP(IF(NOT(_xll.BDP(AX9,$BW$8)="#N/A N/A"),(_xll.BDP(AX9,$BW$8)),"-"), '[1]Country Codes'!$A$2:$B$253,2,0)</f>
        <v>#N/A</v>
      </c>
      <c r="AD9" s="30" t="str" cm="1">
        <f t="array" ref="AD9">IF(OR(_xll.BDP($AX9,"EX028")= "#N/A N/A", _xll.BDP($AX9,"EX028")="#N/A FIELD NOT APPLICABLE"), " ", _xll.BDP($AX9,"EX028"))</f>
        <v>Equity</v>
      </c>
      <c r="AE9" s="31" t="str">
        <f>IF(("AS97"="Equity"), " ", "Single Line Equity")</f>
        <v>Single Line Equity</v>
      </c>
      <c r="AF9" s="26" cm="1">
        <f t="array" ref="AF9">IF(OR(_xll.BDP($AX9,"RR908")= "#N/A N/A", _xll.BDP($AX9,"RR908")="#N/A FIELD NOT APPLICABLE"), " ", _xll.BDP($AX9,"RR908"))</f>
        <v>12.977426984165488</v>
      </c>
      <c r="AG9" s="26" cm="1">
        <f t="array" ref="AG9">IF(OR(_xll.BDP($AX9,"RR041")= "#N/A N/A", _xll.BDP($AX9,"RR041")="#N/A FIELD NOT APPLICABLE"), " ", _xll.BDP($AX9,"RR041"))</f>
        <v>18.963661031844321</v>
      </c>
      <c r="AH9" s="22">
        <f>_xll.BDP(AX9,"TOT_BUY_REC")</f>
        <v>58</v>
      </c>
      <c r="AI9" s="22">
        <f>_xll.BDP(AX9,"TOT_HOLD_REC")</f>
        <v>2</v>
      </c>
      <c r="AJ9" s="22">
        <f>_xll.BDP(AX9,"TOT_SELL_REC")</f>
        <v>2</v>
      </c>
      <c r="AK9" s="26" cm="1">
        <f t="array" ref="AK9">IF(OR(_xll.BDP($AX9,"EE201")= "#N/A N/A", _xll.BDP($AX9,"EE201")="#N/A FIELD NOT APPLICABLE"), " ", _xll.BDP($AX9,"EE201"))</f>
        <v>4.7580647468566895</v>
      </c>
      <c r="AL9" s="24">
        <f>_xll.BDP(AX9,"BEST_TARGET_PRICE")</f>
        <v>198.96818542480469</v>
      </c>
      <c r="AM9" s="32">
        <f>(AL9/Q9)-1</f>
        <v>0.43659339656898699</v>
      </c>
      <c r="AN9" s="32">
        <f>_xll.BDP(AX9,"PR061")/100</f>
        <v>-0.12286250000000001</v>
      </c>
      <c r="AO9" s="32">
        <f>_xll.BDP(AX9,"PR064")/100</f>
        <v>-7.7281849999999999E-2</v>
      </c>
      <c r="AP9" s="32">
        <f>_xll.BDP(AX9,"CHG_PCT_6M")/100</f>
        <v>-0.26835710000000002</v>
      </c>
      <c r="AQ9" s="25">
        <f>_xll.BDP(AX9,"PR079")/100</f>
        <v>-8.7013820000000006E-2</v>
      </c>
      <c r="AR9" s="33">
        <f>_xll.BDP(AX9,"hs001")</f>
        <v>217</v>
      </c>
      <c r="AS9" s="33">
        <f>_xll.BDP(AX9,"hs002")</f>
        <v>100.1</v>
      </c>
      <c r="AT9" s="22" t="str" cm="1">
        <f t="array" ref="AT9">IF(OR(_xll.BDP($AX9,"DX202")= "#N/A N/A", _xll.BDP($AX9,"DX202")="#N/A FIELD NOT APPLICABLE"), " ", _xll.BDP($AX9,"DX202"))</f>
        <v>Consumer Discretionary</v>
      </c>
      <c r="AU9" s="22" t="str" cm="1">
        <f t="array" ref="AU9">IF(OR(_xll.BDP($AX9,"DY997")= "#N/A N/A", _xll.BDP($AX9,"DY997")="#N/A FIELD NOT APPLICABLE"), " ", _xll.BDP($AX9,"DY997"))</f>
        <v>N</v>
      </c>
      <c r="AV9" s="22" t="str" cm="1">
        <f t="array" ref="AV9">IF(OR(_xll.BDP($AX9,"DY784")= "#N/A N/A", _xll.BDP($AX9,"DY784")="#N/A FIELD NOT APPLICABLE"), " ", _xll.BDP($AX9,"DY784"))</f>
        <v xml:space="preserve"> </v>
      </c>
      <c r="AW9" s="22" t="str">
        <f>IF(OR(AU9="Y",AV9="Y"),"Y","N")</f>
        <v>N</v>
      </c>
      <c r="AX9" s="22" t="str">
        <f>CONCATENATE(G9," ",$AX$2)</f>
        <v>3690 HK Equity</v>
      </c>
      <c r="BC9" s="17" t="str" cm="1">
        <f t="array" ref="BC9">_xll.BDP(AX9,"ID005")</f>
        <v>KYG596691041</v>
      </c>
      <c r="BD9" s="17">
        <v>0.75</v>
      </c>
      <c r="BE9" s="18">
        <v>4</v>
      </c>
      <c r="BF9" s="19">
        <v>45372</v>
      </c>
      <c r="BG9" s="20">
        <v>1</v>
      </c>
    </row>
    <row r="10" spans="1:59" s="3" customFormat="1" ht="14.45" customHeight="1" x14ac:dyDescent="0.25">
      <c r="A10" s="49" t="s">
        <v>241</v>
      </c>
      <c r="B10" s="49" t="s">
        <v>251</v>
      </c>
      <c r="C10" s="49" t="s">
        <v>252</v>
      </c>
      <c r="D10" s="49" t="s">
        <v>240</v>
      </c>
      <c r="E10" s="22" t="str">
        <f>_xll.BDP(AX10,"SECURITY NAME")</f>
        <v>Meituan</v>
      </c>
      <c r="F10" s="22" t="str">
        <f>_xll.BDP(AX10,"CRNCY")</f>
        <v>HKD</v>
      </c>
      <c r="G10" s="23" t="s">
        <v>319</v>
      </c>
      <c r="H10" s="22" t="str" cm="1">
        <f t="array" ref="H10">IF(OR(_xll.BDP($AX10,"DX202")= "#N/A N/A", _xll.BDP($AX10,"DX202")="#N/A FIELD NOT APPLICABLE"), " ", _xll.BDP($AX10,"DX202"))</f>
        <v>Consumer Discretionary</v>
      </c>
      <c r="I10" s="24">
        <f>_xll.BDP(AX10,"CRNCY_ADJ_MKT_CAP", "EQY_FUND_CRNCY=USD")/1000</f>
        <v>109.17482138964783</v>
      </c>
      <c r="J10" s="25">
        <f>IFERROR(_xll.BDP(AX10, "DV013")/100,0)</f>
        <v>0</v>
      </c>
      <c r="K10" s="26" cm="1">
        <f t="array" ref="K10">IF(OR(_xll.BDP($AX10,"RR900")= "#N/A N/A", _xll.BDP($AX10,"RR900")="#N/A FIELD NOT APPLICABLE"), " ", _xll.BDP($AX10,"RR900"))</f>
        <v>22.090172932439877</v>
      </c>
      <c r="L10" s="26" cm="1">
        <f t="array" ref="L10">IF(OR(_xll.BDP($AX10,"EE010")= "#N/A N/A", _xll.BDP($AX10,"EE010")="#N/A FIELD NOT APPLICABLE"), " ", _xll.BDP($AX10,"EE010"))</f>
        <v>12.709319007605902</v>
      </c>
      <c r="M10" s="26" cm="1">
        <f t="array" ref="M10">IF(OR(_xll.BDP($AX10,"RR903")= "#N/A N/A", _xll.BDP($AX10,"RR903")="#N/A FIELD NOT APPLICABLE"), " ", _xll.BDP($AX10,"RR903"))</f>
        <v>4.5159129994211069</v>
      </c>
      <c r="N10" s="26" cm="1">
        <f t="array" ref="N10">IF(OR(_xll.BDP($AX10,"RR957")= "#N/A N/A", _xll.BDP($AX10,"RR957")="#N/A FIELD NOT APPLICABLE"), " ", _xll.BDP($AX10,"RR957"))</f>
        <v>14.981599686066341</v>
      </c>
      <c r="O10" s="27">
        <v>3100</v>
      </c>
      <c r="P10" s="28">
        <v>150.92581000000001</v>
      </c>
      <c r="Q10" s="22" cm="1">
        <f t="array" ref="Q10">IF(OR(_xll.BDP($AX10,"PX_last")="#N/A N/A",_xll.BDP($AX10,"PX_Last")="#N/A FIELD NOT APPLICABLE")," ",IF(F10="GBP",(_xll.BDP($AX10,"PX_LAST")/100),(_xll.BDP($AX10,"PX_LAST"))))</f>
        <v>138.5</v>
      </c>
      <c r="R10" s="29">
        <f>IF(F10="USD",AA10,(((_xll.BDP(F10&amp;"USD CURNCY","PX_LAST")))*AA10))</f>
        <v>60364.588819220007</v>
      </c>
      <c r="S10" s="29">
        <f>IF(F10="USD",AB10,(((_xll.BDP(F10&amp;"USD CURNCY","PX_LAST")))*AB10))</f>
        <v>55394.737000000001</v>
      </c>
      <c r="T10" s="12">
        <f>S10-R10</f>
        <v>-4969.8518192200063</v>
      </c>
      <c r="U10" s="13">
        <f>T10/R10</f>
        <v>-8.2330583483368511E-2</v>
      </c>
      <c r="V10" s="13" cm="1">
        <f t="array" ref="V10">IFERROR(_xll.BDP($G10&amp;" Equity","CHG_PCT_1D")/100,"")</f>
        <v>4.528302E-2</v>
      </c>
      <c r="W10" s="13" cm="1">
        <f t="array" ref="W10">IFERROR(_xll.BDP($G10&amp;" Equity","CHG_PCT_5D")/100,"")</f>
        <v>8.5423200000000005E-2</v>
      </c>
      <c r="X10" s="13" t="e">
        <f>S10/#REF!</f>
        <v>#REF!</v>
      </c>
      <c r="Y10" s="24">
        <f>IFERROR(S10*J10,0)</f>
        <v>0</v>
      </c>
      <c r="Z10" s="24">
        <f>S10</f>
        <v>55394.737000000001</v>
      </c>
      <c r="AA10" s="29">
        <f>P10*O10</f>
        <v>467870.01100000006</v>
      </c>
      <c r="AB10" s="29">
        <f>IFERROR(O10*Q10,0)</f>
        <v>429350</v>
      </c>
      <c r="AC10" s="4" t="e" cm="1">
        <f t="array" ref="AC10">VLOOKUP(IF(NOT(_xll.BDP(AX10,$BW$8)="#N/A N/A"),(_xll.BDP(AX10,$BW$8)),"-"), '[1]Country Codes'!$A$2:$B$253,2,0)</f>
        <v>#N/A</v>
      </c>
      <c r="AD10" s="30" t="str" cm="1">
        <f t="array" ref="AD10">IF(OR(_xll.BDP($AX10,"EX028")= "#N/A N/A", _xll.BDP($AX10,"EX028")="#N/A FIELD NOT APPLICABLE"), " ", _xll.BDP($AX10,"EX028"))</f>
        <v>Equity</v>
      </c>
      <c r="AE10" s="31" t="str">
        <f>IF(("AS97"="Equity"), " ", "Single Line Equity")</f>
        <v>Single Line Equity</v>
      </c>
      <c r="AF10" s="26" cm="1">
        <f t="array" ref="AF10">IF(OR(_xll.BDP($AX10,"RR908")= "#N/A N/A", _xll.BDP($AX10,"RR908")="#N/A FIELD NOT APPLICABLE"), " ", _xll.BDP($AX10,"RR908"))</f>
        <v>12.977426984165488</v>
      </c>
      <c r="AG10" s="26" cm="1">
        <f t="array" ref="AG10">IF(OR(_xll.BDP($AX10,"RR041")= "#N/A N/A", _xll.BDP($AX10,"RR041")="#N/A FIELD NOT APPLICABLE"), " ", _xll.BDP($AX10,"RR041"))</f>
        <v>18.963661031844321</v>
      </c>
      <c r="AH10" s="22">
        <f>_xll.BDP(AX10,"TOT_BUY_REC")</f>
        <v>58</v>
      </c>
      <c r="AI10" s="22">
        <f>_xll.BDP(AX10,"TOT_HOLD_REC")</f>
        <v>2</v>
      </c>
      <c r="AJ10" s="22">
        <f>_xll.BDP(AX10,"TOT_SELL_REC")</f>
        <v>2</v>
      </c>
      <c r="AK10" s="26" cm="1">
        <f t="array" ref="AK10">IF(OR(_xll.BDP($AX10,"EE201")= "#N/A N/A", _xll.BDP($AX10,"EE201")="#N/A FIELD NOT APPLICABLE"), " ", _xll.BDP($AX10,"EE201"))</f>
        <v>4.7580647468566895</v>
      </c>
      <c r="AL10" s="24">
        <f>_xll.BDP(AX10,"BEST_TARGET_PRICE")</f>
        <v>198.96818542480469</v>
      </c>
      <c r="AM10" s="32">
        <f>(AL10/Q10)-1</f>
        <v>0.43659339656898699</v>
      </c>
      <c r="AN10" s="32">
        <f>_xll.BDP(AX10,"PR061")/100</f>
        <v>-0.12286250000000001</v>
      </c>
      <c r="AO10" s="32">
        <f>_xll.BDP(AX10,"PR064")/100</f>
        <v>-7.7281849999999999E-2</v>
      </c>
      <c r="AP10" s="32">
        <f>_xll.BDP(AX10,"CHG_PCT_6M")/100</f>
        <v>-0.26835710000000002</v>
      </c>
      <c r="AQ10" s="25">
        <f>_xll.BDP(AX10,"PR079")/100</f>
        <v>-8.7013820000000006E-2</v>
      </c>
      <c r="AR10" s="33">
        <f>_xll.BDP(AX10,"hs001")</f>
        <v>217</v>
      </c>
      <c r="AS10" s="33">
        <f>_xll.BDP(AX10,"hs002")</f>
        <v>100.1</v>
      </c>
      <c r="AT10" s="22" t="str" cm="1">
        <f t="array" ref="AT10">IF(OR(_xll.BDP($AX10,"DX202")= "#N/A N/A", _xll.BDP($AX10,"DX202")="#N/A FIELD NOT APPLICABLE"), " ", _xll.BDP($AX10,"DX202"))</f>
        <v>Consumer Discretionary</v>
      </c>
      <c r="AU10" s="22" t="str" cm="1">
        <f t="array" ref="AU10">IF(OR(_xll.BDP($AX10,"DY997")= "#N/A N/A", _xll.BDP($AX10,"DY997")="#N/A FIELD NOT APPLICABLE"), " ", _xll.BDP($AX10,"DY997"))</f>
        <v>N</v>
      </c>
      <c r="AV10" s="22" t="str" cm="1">
        <f t="array" ref="AV10">IF(OR(_xll.BDP($AX10,"DY784")= "#N/A N/A", _xll.BDP($AX10,"DY784")="#N/A FIELD NOT APPLICABLE"), " ", _xll.BDP($AX10,"DY784"))</f>
        <v xml:space="preserve"> </v>
      </c>
      <c r="AW10" s="22" t="str">
        <f>IF(OR(AU10="Y",AV10="Y"),"Y","N")</f>
        <v>N</v>
      </c>
      <c r="AX10" s="22" t="str">
        <f>CONCATENATE(G10," ",$AX$2)</f>
        <v>3690 HK Equity</v>
      </c>
      <c r="BC10" s="17" t="str" cm="1">
        <f t="array" ref="BC10">_xll.BDP(AX10,"ID005")</f>
        <v>KYG596691041</v>
      </c>
      <c r="BD10" s="17">
        <v>0.7</v>
      </c>
      <c r="BE10" s="18">
        <v>4</v>
      </c>
      <c r="BF10" s="19">
        <v>45611</v>
      </c>
      <c r="BG10" s="20">
        <v>1</v>
      </c>
    </row>
    <row r="11" spans="1:59" s="3" customFormat="1" ht="14.45" customHeight="1" x14ac:dyDescent="0.25">
      <c r="A11" s="49" t="s">
        <v>241</v>
      </c>
      <c r="B11" s="49" t="s">
        <v>253</v>
      </c>
      <c r="C11" s="49" t="s">
        <v>254</v>
      </c>
      <c r="D11" s="49" t="s">
        <v>240</v>
      </c>
      <c r="E11" s="22" t="str">
        <f>_xll.BDP(AX11,"SECURITY NAME")</f>
        <v>Meituan</v>
      </c>
      <c r="F11" s="22" t="str">
        <f>_xll.BDP(AX11,"CRNCY")</f>
        <v>HKD</v>
      </c>
      <c r="G11" s="23" t="s">
        <v>319</v>
      </c>
      <c r="H11" s="22" t="str" cm="1">
        <f t="array" ref="H11">IF(OR(_xll.BDP($AX11,"DX202")= "#N/A N/A", _xll.BDP($AX11,"DX202")="#N/A FIELD NOT APPLICABLE"), " ", _xll.BDP($AX11,"DX202"))</f>
        <v>Consumer Discretionary</v>
      </c>
      <c r="I11" s="24">
        <f>_xll.BDP(AX11,"CRNCY_ADJ_MKT_CAP", "EQY_FUND_CRNCY=USD")/1000</f>
        <v>109.17482138964783</v>
      </c>
      <c r="J11" s="25">
        <f>IFERROR(_xll.BDP(AX11, "DV013")/100,0)</f>
        <v>0</v>
      </c>
      <c r="K11" s="26" cm="1">
        <f t="array" ref="K11">IF(OR(_xll.BDP($AX11,"RR900")= "#N/A N/A", _xll.BDP($AX11,"RR900")="#N/A FIELD NOT APPLICABLE"), " ", _xll.BDP($AX11,"RR900"))</f>
        <v>22.090172932439877</v>
      </c>
      <c r="L11" s="26" cm="1">
        <f t="array" ref="L11">IF(OR(_xll.BDP($AX11,"EE010")= "#N/A N/A", _xll.BDP($AX11,"EE010")="#N/A FIELD NOT APPLICABLE"), " ", _xll.BDP($AX11,"EE010"))</f>
        <v>12.709319007605902</v>
      </c>
      <c r="M11" s="26" cm="1">
        <f t="array" ref="M11">IF(OR(_xll.BDP($AX11,"RR903")= "#N/A N/A", _xll.BDP($AX11,"RR903")="#N/A FIELD NOT APPLICABLE"), " ", _xll.BDP($AX11,"RR903"))</f>
        <v>4.5159129994211069</v>
      </c>
      <c r="N11" s="26" cm="1">
        <f t="array" ref="N11">IF(OR(_xll.BDP($AX11,"RR957")= "#N/A N/A", _xll.BDP($AX11,"RR957")="#N/A FIELD NOT APPLICABLE"), " ", _xll.BDP($AX11,"RR957"))</f>
        <v>14.981599686066341</v>
      </c>
      <c r="O11" s="27">
        <v>1600</v>
      </c>
      <c r="P11" s="28">
        <v>150.92500000000001</v>
      </c>
      <c r="Q11" s="22" cm="1">
        <f t="array" ref="Q11">IF(OR(_xll.BDP($AX11,"PX_last")="#N/A N/A",_xll.BDP($AX11,"PX_Last")="#N/A FIELD NOT APPLICABLE")," ",IF(F11="GBP",(_xll.BDP($AX11,"PX_LAST")/100),(_xll.BDP($AX11,"PX_LAST"))))</f>
        <v>138.5</v>
      </c>
      <c r="R11" s="29">
        <f>IF(F11="USD",AA11,(((_xll.BDP(F11&amp;"USD CURNCY","PX_LAST")))*AA11))</f>
        <v>31155.749600000003</v>
      </c>
      <c r="S11" s="29">
        <f>IF(F11="USD",AB11,(((_xll.BDP(F11&amp;"USD CURNCY","PX_LAST")))*AB11))</f>
        <v>28590.831999999999</v>
      </c>
      <c r="T11" s="12">
        <f>S11-R11</f>
        <v>-2564.9176000000043</v>
      </c>
      <c r="U11" s="13">
        <f>T11/R11</f>
        <v>-8.2325658439622459E-2</v>
      </c>
      <c r="V11" s="13" cm="1">
        <f t="array" ref="V11">IFERROR(_xll.BDP($G11&amp;" Equity","CHG_PCT_1D")/100,"")</f>
        <v>4.528302E-2</v>
      </c>
      <c r="W11" s="13" cm="1">
        <f t="array" ref="W11">IFERROR(_xll.BDP($G11&amp;" Equity","CHG_PCT_5D")/100,"")</f>
        <v>8.5423200000000005E-2</v>
      </c>
      <c r="X11" s="13" t="e">
        <f>S11/#REF!</f>
        <v>#REF!</v>
      </c>
      <c r="Y11" s="24">
        <f>IFERROR(S11*J11,0)</f>
        <v>0</v>
      </c>
      <c r="Z11" s="24">
        <f>S11</f>
        <v>28590.831999999999</v>
      </c>
      <c r="AA11" s="29">
        <f>P11*O11</f>
        <v>241480.00000000003</v>
      </c>
      <c r="AB11" s="29">
        <f>IFERROR(O11*Q11,0)</f>
        <v>221600</v>
      </c>
      <c r="AC11" s="4" t="e" cm="1">
        <f t="array" ref="AC11">VLOOKUP(IF(NOT(_xll.BDP(AX11,$BW$8)="#N/A N/A"),(_xll.BDP(AX11,$BW$8)),"-"), '[1]Country Codes'!$A$2:$B$253,2,0)</f>
        <v>#N/A</v>
      </c>
      <c r="AD11" s="30" t="str" cm="1">
        <f t="array" ref="AD11">IF(OR(_xll.BDP($AX11,"EX028")= "#N/A N/A", _xll.BDP($AX11,"EX028")="#N/A FIELD NOT APPLICABLE"), " ", _xll.BDP($AX11,"EX028"))</f>
        <v>Equity</v>
      </c>
      <c r="AE11" s="31" t="str">
        <f>IF(("AS97"="Equity"), " ", "Single Line Equity")</f>
        <v>Single Line Equity</v>
      </c>
      <c r="AF11" s="26" cm="1">
        <f t="array" ref="AF11">IF(OR(_xll.BDP($AX11,"RR908")= "#N/A N/A", _xll.BDP($AX11,"RR908")="#N/A FIELD NOT APPLICABLE"), " ", _xll.BDP($AX11,"RR908"))</f>
        <v>12.977426984165488</v>
      </c>
      <c r="AG11" s="26" cm="1">
        <f t="array" ref="AG11">IF(OR(_xll.BDP($AX11,"RR041")= "#N/A N/A", _xll.BDP($AX11,"RR041")="#N/A FIELD NOT APPLICABLE"), " ", _xll.BDP($AX11,"RR041"))</f>
        <v>18.963661031844321</v>
      </c>
      <c r="AH11" s="22">
        <f>_xll.BDP(AX11,"TOT_BUY_REC")</f>
        <v>58</v>
      </c>
      <c r="AI11" s="22">
        <f>_xll.BDP(AX11,"TOT_HOLD_REC")</f>
        <v>2</v>
      </c>
      <c r="AJ11" s="22">
        <f>_xll.BDP(AX11,"TOT_SELL_REC")</f>
        <v>2</v>
      </c>
      <c r="AK11" s="26" cm="1">
        <f t="array" ref="AK11">IF(OR(_xll.BDP($AX11,"EE201")= "#N/A N/A", _xll.BDP($AX11,"EE201")="#N/A FIELD NOT APPLICABLE"), " ", _xll.BDP($AX11,"EE201"))</f>
        <v>4.7580647468566895</v>
      </c>
      <c r="AL11" s="24">
        <f>_xll.BDP(AX11,"BEST_TARGET_PRICE")</f>
        <v>198.96818542480469</v>
      </c>
      <c r="AM11" s="32">
        <f>(AL11/Q11)-1</f>
        <v>0.43659339656898699</v>
      </c>
      <c r="AN11" s="32">
        <f>_xll.BDP(AX11,"PR061")/100</f>
        <v>-0.12286250000000001</v>
      </c>
      <c r="AO11" s="32">
        <f>_xll.BDP(AX11,"PR064")/100</f>
        <v>-7.7281849999999999E-2</v>
      </c>
      <c r="AP11" s="32">
        <f>_xll.BDP(AX11,"CHG_PCT_6M")/100</f>
        <v>-0.26835710000000002</v>
      </c>
      <c r="AQ11" s="25">
        <f>_xll.BDP(AX11,"PR079")/100</f>
        <v>-8.7013820000000006E-2</v>
      </c>
      <c r="AR11" s="33">
        <f>_xll.BDP(AX11,"hs001")</f>
        <v>217</v>
      </c>
      <c r="AS11" s="33">
        <f>_xll.BDP(AX11,"hs002")</f>
        <v>100.1</v>
      </c>
      <c r="AT11" s="22" t="str" cm="1">
        <f t="array" ref="AT11">IF(OR(_xll.BDP($AX11,"DX202")= "#N/A N/A", _xll.BDP($AX11,"DX202")="#N/A FIELD NOT APPLICABLE"), " ", _xll.BDP($AX11,"DX202"))</f>
        <v>Consumer Discretionary</v>
      </c>
      <c r="AU11" s="22" t="str" cm="1">
        <f t="array" ref="AU11">IF(OR(_xll.BDP($AX11,"DY997")= "#N/A N/A", _xll.BDP($AX11,"DY997")="#N/A FIELD NOT APPLICABLE"), " ", _xll.BDP($AX11,"DY997"))</f>
        <v>N</v>
      </c>
      <c r="AV11" s="22" t="str" cm="1">
        <f t="array" ref="AV11">IF(OR(_xll.BDP($AX11,"DY784")= "#N/A N/A", _xll.BDP($AX11,"DY784")="#N/A FIELD NOT APPLICABLE"), " ", _xll.BDP($AX11,"DY784"))</f>
        <v xml:space="preserve"> </v>
      </c>
      <c r="AW11" s="22" t="str">
        <f>IF(OR(AU11="Y",AV11="Y"),"Y","N")</f>
        <v>N</v>
      </c>
      <c r="AX11" s="22" t="str">
        <f>CONCATENATE(G11," ",$AX$2)</f>
        <v>3690 HK Equity</v>
      </c>
      <c r="BC11" s="17"/>
      <c r="BD11" s="17"/>
      <c r="BE11" s="18"/>
      <c r="BF11" s="19"/>
      <c r="BG11" s="20"/>
    </row>
    <row r="12" spans="1:59" s="3" customFormat="1" ht="14.45" customHeight="1" x14ac:dyDescent="0.25">
      <c r="A12" s="49" t="s">
        <v>241</v>
      </c>
      <c r="B12" s="49" t="s">
        <v>262</v>
      </c>
      <c r="C12" s="49" t="s">
        <v>263</v>
      </c>
      <c r="D12" s="49" t="s">
        <v>240</v>
      </c>
      <c r="E12" s="22" t="str">
        <f>_xll.BDP(AX12,"SECURITY NAME")</f>
        <v>Meituan</v>
      </c>
      <c r="F12" s="22" t="str">
        <f>_xll.BDP(AX12,"CRNCY")</f>
        <v>HKD</v>
      </c>
      <c r="G12" s="23" t="s">
        <v>319</v>
      </c>
      <c r="H12" s="22" t="str" cm="1">
        <f t="array" ref="H12">IF(OR(_xll.BDP($AX12,"DX202")= "#N/A N/A", _xll.BDP($AX12,"DX202")="#N/A FIELD NOT APPLICABLE"), " ", _xll.BDP($AX12,"DX202"))</f>
        <v>Consumer Discretionary</v>
      </c>
      <c r="I12" s="24">
        <f>_xll.BDP(AX12,"CRNCY_ADJ_MKT_CAP", "EQY_FUND_CRNCY=USD")/1000</f>
        <v>109.17482138964783</v>
      </c>
      <c r="J12" s="25">
        <f>IFERROR(_xll.BDP(AX12, "DV013")/100,0)</f>
        <v>0</v>
      </c>
      <c r="K12" s="26" cm="1">
        <f t="array" ref="K12">IF(OR(_xll.BDP($AX12,"RR900")= "#N/A N/A", _xll.BDP($AX12,"RR900")="#N/A FIELD NOT APPLICABLE"), " ", _xll.BDP($AX12,"RR900"))</f>
        <v>22.090172932439877</v>
      </c>
      <c r="L12" s="26" cm="1">
        <f t="array" ref="L12">IF(OR(_xll.BDP($AX12,"EE010")= "#N/A N/A", _xll.BDP($AX12,"EE010")="#N/A FIELD NOT APPLICABLE"), " ", _xll.BDP($AX12,"EE010"))</f>
        <v>12.709319007605902</v>
      </c>
      <c r="M12" s="26" cm="1">
        <f t="array" ref="M12">IF(OR(_xll.BDP($AX12,"RR903")= "#N/A N/A", _xll.BDP($AX12,"RR903")="#N/A FIELD NOT APPLICABLE"), " ", _xll.BDP($AX12,"RR903"))</f>
        <v>4.5159129994211069</v>
      </c>
      <c r="N12" s="26" cm="1">
        <f t="array" ref="N12">IF(OR(_xll.BDP($AX12,"RR957")= "#N/A N/A", _xll.BDP($AX12,"RR957")="#N/A FIELD NOT APPLICABLE"), " ", _xll.BDP($AX12,"RR957"))</f>
        <v>14.981599686066341</v>
      </c>
      <c r="O12" s="27">
        <v>3100</v>
      </c>
      <c r="P12" s="28">
        <v>150.92581000000001</v>
      </c>
      <c r="Q12" s="22" cm="1">
        <f t="array" ref="Q12">IF(OR(_xll.BDP($AX12,"PX_last")="#N/A N/A",_xll.BDP($AX12,"PX_Last")="#N/A FIELD NOT APPLICABLE")," ",IF(F12="GBP",(_xll.BDP($AX12,"PX_LAST")/100),(_xll.BDP($AX12,"PX_LAST"))))</f>
        <v>138.5</v>
      </c>
      <c r="R12" s="29">
        <f>IF(F12="USD",AA12,(((_xll.BDP(F12&amp;"USD CURNCY","PX_LAST")))*AA12))</f>
        <v>60364.588819220007</v>
      </c>
      <c r="S12" s="29">
        <f>IF(F12="USD",AB12,(((_xll.BDP(F12&amp;"USD CURNCY","PX_LAST")))*AB12))</f>
        <v>55394.737000000001</v>
      </c>
      <c r="T12" s="12">
        <f>S12-R12</f>
        <v>-4969.8518192200063</v>
      </c>
      <c r="U12" s="13">
        <f>T12/R12</f>
        <v>-8.2330583483368511E-2</v>
      </c>
      <c r="V12" s="13" cm="1">
        <f t="array" ref="V12">IFERROR(_xll.BDP($G12&amp;" Equity","CHG_PCT_1D")/100,"")</f>
        <v>4.528302E-2</v>
      </c>
      <c r="W12" s="13" cm="1">
        <f t="array" ref="W12">IFERROR(_xll.BDP($G12&amp;" Equity","CHG_PCT_5D")/100,"")</f>
        <v>8.5423200000000005E-2</v>
      </c>
      <c r="X12" s="13" t="e">
        <f>S12/#REF!</f>
        <v>#REF!</v>
      </c>
      <c r="Y12" s="24">
        <f>IFERROR(S12*J12,0)</f>
        <v>0</v>
      </c>
      <c r="Z12" s="24">
        <f>S12</f>
        <v>55394.737000000001</v>
      </c>
      <c r="AA12" s="29">
        <f>P12*O12</f>
        <v>467870.01100000006</v>
      </c>
      <c r="AB12" s="29">
        <f>IFERROR(O12*Q12,0)</f>
        <v>429350</v>
      </c>
      <c r="AC12" s="4" t="e" cm="1">
        <f t="array" ref="AC12">VLOOKUP(IF(NOT(_xll.BDP(AX12,$BW$8)="#N/A N/A"),(_xll.BDP(AX12,$BW$8)),"-"), '[1]Country Codes'!$A$2:$B$253,2,0)</f>
        <v>#N/A</v>
      </c>
      <c r="AD12" s="30" t="str" cm="1">
        <f t="array" ref="AD12">IF(OR(_xll.BDP($AX12,"EX028")= "#N/A N/A", _xll.BDP($AX12,"EX028")="#N/A FIELD NOT APPLICABLE"), " ", _xll.BDP($AX12,"EX028"))</f>
        <v>Equity</v>
      </c>
      <c r="AE12" s="31" t="str">
        <f>IF(("AS97"="Equity"), " ", "Single Line Equity")</f>
        <v>Single Line Equity</v>
      </c>
      <c r="AF12" s="26" cm="1">
        <f t="array" ref="AF12">IF(OR(_xll.BDP($AX12,"RR908")= "#N/A N/A", _xll.BDP($AX12,"RR908")="#N/A FIELD NOT APPLICABLE"), " ", _xll.BDP($AX12,"RR908"))</f>
        <v>12.977426984165488</v>
      </c>
      <c r="AG12" s="26" cm="1">
        <f t="array" ref="AG12">IF(OR(_xll.BDP($AX12,"RR041")= "#N/A N/A", _xll.BDP($AX12,"RR041")="#N/A FIELD NOT APPLICABLE"), " ", _xll.BDP($AX12,"RR041"))</f>
        <v>18.963661031844321</v>
      </c>
      <c r="AH12" s="22">
        <f>_xll.BDP(AX12,"TOT_BUY_REC")</f>
        <v>58</v>
      </c>
      <c r="AI12" s="22">
        <f>_xll.BDP(AX12,"TOT_HOLD_REC")</f>
        <v>2</v>
      </c>
      <c r="AJ12" s="22">
        <f>_xll.BDP(AX12,"TOT_SELL_REC")</f>
        <v>2</v>
      </c>
      <c r="AK12" s="26" cm="1">
        <f t="array" ref="AK12">IF(OR(_xll.BDP($AX12,"EE201")= "#N/A N/A", _xll.BDP($AX12,"EE201")="#N/A FIELD NOT APPLICABLE"), " ", _xll.BDP($AX12,"EE201"))</f>
        <v>4.7580647468566895</v>
      </c>
      <c r="AL12" s="24">
        <f>_xll.BDP(AX12,"BEST_TARGET_PRICE")</f>
        <v>198.96818542480469</v>
      </c>
      <c r="AM12" s="32">
        <f>(AL12/Q12)-1</f>
        <v>0.43659339656898699</v>
      </c>
      <c r="AN12" s="32">
        <f>_xll.BDP(AX12,"PR061")/100</f>
        <v>-0.12286250000000001</v>
      </c>
      <c r="AO12" s="32">
        <f>_xll.BDP(AX12,"PR064")/100</f>
        <v>-7.7281849999999999E-2</v>
      </c>
      <c r="AP12" s="32">
        <f>_xll.BDP(AX12,"CHG_PCT_6M")/100</f>
        <v>-0.26835710000000002</v>
      </c>
      <c r="AQ12" s="25">
        <f>_xll.BDP(AX12,"PR079")/100</f>
        <v>-8.7013820000000006E-2</v>
      </c>
      <c r="AR12" s="33">
        <f>_xll.BDP(AX12,"hs001")</f>
        <v>217</v>
      </c>
      <c r="AS12" s="33">
        <f>_xll.BDP(AX12,"hs002")</f>
        <v>100.1</v>
      </c>
      <c r="AT12" s="22" t="str" cm="1">
        <f t="array" ref="AT12">IF(OR(_xll.BDP($AX12,"DX202")= "#N/A N/A", _xll.BDP($AX12,"DX202")="#N/A FIELD NOT APPLICABLE"), " ", _xll.BDP($AX12,"DX202"))</f>
        <v>Consumer Discretionary</v>
      </c>
      <c r="AU12" s="22" t="str" cm="1">
        <f t="array" ref="AU12">IF(OR(_xll.BDP($AX12,"DY997")= "#N/A N/A", _xll.BDP($AX12,"DY997")="#N/A FIELD NOT APPLICABLE"), " ", _xll.BDP($AX12,"DY997"))</f>
        <v>N</v>
      </c>
      <c r="AV12" s="22" t="str" cm="1">
        <f t="array" ref="AV12">IF(OR(_xll.BDP($AX12,"DY784")= "#N/A N/A", _xll.BDP($AX12,"DY784")="#N/A FIELD NOT APPLICABLE"), " ", _xll.BDP($AX12,"DY784"))</f>
        <v xml:space="preserve"> </v>
      </c>
      <c r="AW12" s="22" t="str">
        <f>IF(OR(AU12="Y",AV12="Y"),"Y","N")</f>
        <v>N</v>
      </c>
      <c r="AX12" s="22" t="str">
        <f>CONCATENATE(G12," ",$AX$2)</f>
        <v>3690 HK Equity</v>
      </c>
      <c r="BC12" s="17" t="str" cm="1">
        <f t="array" ref="BC12">_xll.BDP(AX12,"ID005")</f>
        <v>KYG596691041</v>
      </c>
      <c r="BD12" s="17">
        <v>0.75</v>
      </c>
      <c r="BE12" s="18">
        <v>4</v>
      </c>
      <c r="BF12" s="19">
        <v>45611</v>
      </c>
      <c r="BG12" s="20">
        <v>1</v>
      </c>
    </row>
    <row r="13" spans="1:59" s="3" customFormat="1" ht="14.45" customHeight="1" x14ac:dyDescent="0.25">
      <c r="A13" s="49" t="s">
        <v>241</v>
      </c>
      <c r="B13" s="49" t="s">
        <v>270</v>
      </c>
      <c r="C13" s="49" t="s">
        <v>271</v>
      </c>
      <c r="D13" s="49" t="s">
        <v>240</v>
      </c>
      <c r="E13" s="22" t="str">
        <f>_xll.BDP(AX13,"SECURITY NAME")</f>
        <v>Meituan</v>
      </c>
      <c r="F13" s="22" t="str">
        <f>_xll.BDP(AX13,"CRNCY")</f>
        <v>HKD</v>
      </c>
      <c r="G13" s="23" t="s">
        <v>319</v>
      </c>
      <c r="H13" s="22" t="str" cm="1">
        <f t="array" ref="H13">IF(OR(_xll.BDP($AX13,"DX202")= "#N/A N/A", _xll.BDP($AX13,"DX202")="#N/A FIELD NOT APPLICABLE"), " ", _xll.BDP($AX13,"DX202"))</f>
        <v>Consumer Discretionary</v>
      </c>
      <c r="I13" s="24">
        <f>_xll.BDP(AX13,"CRNCY_ADJ_MKT_CAP", "EQY_FUND_CRNCY=USD")/1000</f>
        <v>109.17482138964783</v>
      </c>
      <c r="J13" s="25">
        <f>IFERROR(_xll.BDP(AX13, "DV013")/100,0)</f>
        <v>0</v>
      </c>
      <c r="K13" s="26" cm="1">
        <f t="array" ref="K13">IF(OR(_xll.BDP($AX13,"RR900")= "#N/A N/A", _xll.BDP($AX13,"RR900")="#N/A FIELD NOT APPLICABLE"), " ", _xll.BDP($AX13,"RR900"))</f>
        <v>22.090172932439877</v>
      </c>
      <c r="L13" s="26" cm="1">
        <f t="array" ref="L13">IF(OR(_xll.BDP($AX13,"EE010")= "#N/A N/A", _xll.BDP($AX13,"EE010")="#N/A FIELD NOT APPLICABLE"), " ", _xll.BDP($AX13,"EE010"))</f>
        <v>12.709319007605902</v>
      </c>
      <c r="M13" s="26" cm="1">
        <f t="array" ref="M13">IF(OR(_xll.BDP($AX13,"RR903")= "#N/A N/A", _xll.BDP($AX13,"RR903")="#N/A FIELD NOT APPLICABLE"), " ", _xll.BDP($AX13,"RR903"))</f>
        <v>4.5159129994211069</v>
      </c>
      <c r="N13" s="26" cm="1">
        <f t="array" ref="N13">IF(OR(_xll.BDP($AX13,"RR957")= "#N/A N/A", _xll.BDP($AX13,"RR957")="#N/A FIELD NOT APPLICABLE"), " ", _xll.BDP($AX13,"RR957"))</f>
        <v>14.981599686066341</v>
      </c>
      <c r="O13" s="27">
        <v>1600</v>
      </c>
      <c r="P13" s="28">
        <v>150.92500000000001</v>
      </c>
      <c r="Q13" s="22" cm="1">
        <f t="array" ref="Q13">IF(OR(_xll.BDP($AX13,"PX_last")="#N/A N/A",_xll.BDP($AX13,"PX_Last")="#N/A FIELD NOT APPLICABLE")," ",IF(F13="GBP",(_xll.BDP($AX13,"PX_LAST")/100),(_xll.BDP($AX13,"PX_LAST"))))</f>
        <v>138.5</v>
      </c>
      <c r="R13" s="29">
        <f>IF(F13="USD",AA13,(((_xll.BDP(F13&amp;"USD CURNCY","PX_LAST")))*AA13))</f>
        <v>31155.749600000003</v>
      </c>
      <c r="S13" s="29">
        <f>IF(F13="USD",AB13,(((_xll.BDP(F13&amp;"USD CURNCY","PX_LAST")))*AB13))</f>
        <v>28590.831999999999</v>
      </c>
      <c r="T13" s="12">
        <f>S13-R13</f>
        <v>-2564.9176000000043</v>
      </c>
      <c r="U13" s="13">
        <f>T13/R13</f>
        <v>-8.2325658439622459E-2</v>
      </c>
      <c r="V13" s="13" cm="1">
        <f t="array" ref="V13">IFERROR(_xll.BDP($G13&amp;" Equity","CHG_PCT_1D")/100,"")</f>
        <v>4.528302E-2</v>
      </c>
      <c r="W13" s="13" cm="1">
        <f t="array" ref="W13">IFERROR(_xll.BDP($G13&amp;" Equity","CHG_PCT_5D")/100,"")</f>
        <v>8.5423200000000005E-2</v>
      </c>
      <c r="X13" s="13" t="e">
        <f>S13/#REF!</f>
        <v>#REF!</v>
      </c>
      <c r="Y13" s="24">
        <f>IFERROR(S13*J13,0)</f>
        <v>0</v>
      </c>
      <c r="Z13" s="24">
        <f>S13</f>
        <v>28590.831999999999</v>
      </c>
      <c r="AA13" s="29">
        <f>P13*O13</f>
        <v>241480.00000000003</v>
      </c>
      <c r="AB13" s="29">
        <f>IFERROR(O13*Q13,0)</f>
        <v>221600</v>
      </c>
      <c r="AC13" s="4" t="e" cm="1">
        <f t="array" ref="AC13">VLOOKUP(IF(NOT(_xll.BDP(AX13,$BW$8)="#N/A N/A"),(_xll.BDP(AX13,$BW$8)),"-"), '[1]Country Codes'!$A$2:$B$253,2,0)</f>
        <v>#N/A</v>
      </c>
      <c r="AD13" s="30" t="str" cm="1">
        <f t="array" ref="AD13">IF(OR(_xll.BDP($AX13,"EX028")= "#N/A N/A", _xll.BDP($AX13,"EX028")="#N/A FIELD NOT APPLICABLE"), " ", _xll.BDP($AX13,"EX028"))</f>
        <v>Equity</v>
      </c>
      <c r="AE13" s="31" t="str">
        <f>IF(("AS97"="Equity"), " ", "Single Line Equity")</f>
        <v>Single Line Equity</v>
      </c>
      <c r="AF13" s="26" cm="1">
        <f t="array" ref="AF13">IF(OR(_xll.BDP($AX13,"RR908")= "#N/A N/A", _xll.BDP($AX13,"RR908")="#N/A FIELD NOT APPLICABLE"), " ", _xll.BDP($AX13,"RR908"))</f>
        <v>12.977426984165488</v>
      </c>
      <c r="AG13" s="26" cm="1">
        <f t="array" ref="AG13">IF(OR(_xll.BDP($AX13,"RR041")= "#N/A N/A", _xll.BDP($AX13,"RR041")="#N/A FIELD NOT APPLICABLE"), " ", _xll.BDP($AX13,"RR041"))</f>
        <v>18.963661031844321</v>
      </c>
      <c r="AH13" s="22">
        <f>_xll.BDP(AX13,"TOT_BUY_REC")</f>
        <v>58</v>
      </c>
      <c r="AI13" s="22">
        <f>_xll.BDP(AX13,"TOT_HOLD_REC")</f>
        <v>2</v>
      </c>
      <c r="AJ13" s="22">
        <f>_xll.BDP(AX13,"TOT_SELL_REC")</f>
        <v>2</v>
      </c>
      <c r="AK13" s="26" cm="1">
        <f t="array" ref="AK13">IF(OR(_xll.BDP($AX13,"EE201")= "#N/A N/A", _xll.BDP($AX13,"EE201")="#N/A FIELD NOT APPLICABLE"), " ", _xll.BDP($AX13,"EE201"))</f>
        <v>4.7580647468566895</v>
      </c>
      <c r="AL13" s="24">
        <f>_xll.BDP(AX13,"BEST_TARGET_PRICE")</f>
        <v>198.96818542480469</v>
      </c>
      <c r="AM13" s="32">
        <f>(AL13/Q13)-1</f>
        <v>0.43659339656898699</v>
      </c>
      <c r="AN13" s="32">
        <f>_xll.BDP(AX13,"PR061")/100</f>
        <v>-0.12286250000000001</v>
      </c>
      <c r="AO13" s="32">
        <f>_xll.BDP(AX13,"PR064")/100</f>
        <v>-7.7281849999999999E-2</v>
      </c>
      <c r="AP13" s="32">
        <f>_xll.BDP(AX13,"CHG_PCT_6M")/100</f>
        <v>-0.26835710000000002</v>
      </c>
      <c r="AQ13" s="25">
        <f>_xll.BDP(AX13,"PR079")/100</f>
        <v>-8.7013820000000006E-2</v>
      </c>
      <c r="AR13" s="33">
        <f>_xll.BDP(AX13,"hs001")</f>
        <v>217</v>
      </c>
      <c r="AS13" s="33">
        <f>_xll.BDP(AX13,"hs002")</f>
        <v>100.1</v>
      </c>
      <c r="AT13" s="22" t="str" cm="1">
        <f t="array" ref="AT13">IF(OR(_xll.BDP($AX13,"DX202")= "#N/A N/A", _xll.BDP($AX13,"DX202")="#N/A FIELD NOT APPLICABLE"), " ", _xll.BDP($AX13,"DX202"))</f>
        <v>Consumer Discretionary</v>
      </c>
      <c r="AU13" s="22" t="str" cm="1">
        <f t="array" ref="AU13">IF(OR(_xll.BDP($AX13,"DY997")= "#N/A N/A", _xll.BDP($AX13,"DY997")="#N/A FIELD NOT APPLICABLE"), " ", _xll.BDP($AX13,"DY997"))</f>
        <v>N</v>
      </c>
      <c r="AV13" s="22" t="str" cm="1">
        <f t="array" ref="AV13">IF(OR(_xll.BDP($AX13,"DY784")= "#N/A N/A", _xll.BDP($AX13,"DY784")="#N/A FIELD NOT APPLICABLE"), " ", _xll.BDP($AX13,"DY784"))</f>
        <v xml:space="preserve"> </v>
      </c>
      <c r="AW13" s="22" t="str">
        <f>IF(OR(AU13="Y",AV13="Y"),"Y","N")</f>
        <v>N</v>
      </c>
      <c r="AX13" s="22" t="str">
        <f>CONCATENATE(G13," ",$AX$2)</f>
        <v>3690 HK Equity</v>
      </c>
      <c r="BC13" s="17" t="str" cm="1">
        <f t="array" ref="BC13">_xll.BDP(AX13,"ID005")</f>
        <v>KYG596691041</v>
      </c>
      <c r="BD13" s="17">
        <v>0.75</v>
      </c>
      <c r="BE13" s="18">
        <v>4</v>
      </c>
      <c r="BF13" s="19">
        <v>45540</v>
      </c>
      <c r="BG13" s="20">
        <v>1</v>
      </c>
    </row>
    <row r="14" spans="1:59" s="3" customFormat="1" ht="14.45" customHeight="1" x14ac:dyDescent="0.25">
      <c r="A14" s="49" t="s">
        <v>241</v>
      </c>
      <c r="B14" s="49" t="s">
        <v>276</v>
      </c>
      <c r="C14" s="49" t="s">
        <v>277</v>
      </c>
      <c r="D14" s="49" t="s">
        <v>240</v>
      </c>
      <c r="E14" s="22" t="str">
        <f>_xll.BDP(AX14,"SECURITY NAME")</f>
        <v>Meituan</v>
      </c>
      <c r="F14" s="22" t="str">
        <f>_xll.BDP(AX14,"CRNCY")</f>
        <v>HKD</v>
      </c>
      <c r="G14" s="23" t="s">
        <v>319</v>
      </c>
      <c r="H14" s="22" t="str" cm="1">
        <f t="array" ref="H14">IF(OR(_xll.BDP($AX14,"DX202")= "#N/A N/A", _xll.BDP($AX14,"DX202")="#N/A FIELD NOT APPLICABLE"), " ", _xll.BDP($AX14,"DX202"))</f>
        <v>Consumer Discretionary</v>
      </c>
      <c r="I14" s="24">
        <f>_xll.BDP(AX14,"CRNCY_ADJ_MKT_CAP", "EQY_FUND_CRNCY=USD")/1000</f>
        <v>109.17482138964783</v>
      </c>
      <c r="J14" s="25">
        <f>IFERROR(_xll.BDP(AX14, "DV013")/100,0)</f>
        <v>0</v>
      </c>
      <c r="K14" s="26" cm="1">
        <f t="array" ref="K14">IF(OR(_xll.BDP($AX14,"RR900")= "#N/A N/A", _xll.BDP($AX14,"RR900")="#N/A FIELD NOT APPLICABLE"), " ", _xll.BDP($AX14,"RR900"))</f>
        <v>22.090172932439877</v>
      </c>
      <c r="L14" s="26" cm="1">
        <f t="array" ref="L14">IF(OR(_xll.BDP($AX14,"EE010")= "#N/A N/A", _xll.BDP($AX14,"EE010")="#N/A FIELD NOT APPLICABLE"), " ", _xll.BDP($AX14,"EE010"))</f>
        <v>12.709319007605902</v>
      </c>
      <c r="M14" s="26" cm="1">
        <f t="array" ref="M14">IF(OR(_xll.BDP($AX14,"RR903")= "#N/A N/A", _xll.BDP($AX14,"RR903")="#N/A FIELD NOT APPLICABLE"), " ", _xll.BDP($AX14,"RR903"))</f>
        <v>4.5159129994211069</v>
      </c>
      <c r="N14" s="26" cm="1">
        <f t="array" ref="N14">IF(OR(_xll.BDP($AX14,"RR957")= "#N/A N/A", _xll.BDP($AX14,"RR957")="#N/A FIELD NOT APPLICABLE"), " ", _xll.BDP($AX14,"RR957"))</f>
        <v>14.981599686066341</v>
      </c>
      <c r="O14" s="27">
        <v>5200</v>
      </c>
      <c r="P14" s="28">
        <v>150.92692</v>
      </c>
      <c r="Q14" s="22" cm="1">
        <f t="array" ref="Q14">IF(OR(_xll.BDP($AX14,"PX_last")="#N/A N/A",_xll.BDP($AX14,"PX_Last")="#N/A FIELD NOT APPLICABLE")," ",IF(F14="GBP",(_xll.BDP($AX14,"PX_LAST")/100),(_xll.BDP($AX14,"PX_LAST"))))</f>
        <v>138.5</v>
      </c>
      <c r="R14" s="29">
        <f>IF(F14="USD",AA14,(((_xll.BDP(F14&amp;"USD CURNCY","PX_LAST")))*AA14))</f>
        <v>101257.47433567999</v>
      </c>
      <c r="S14" s="29">
        <f>IF(F14="USD",AB14,(((_xll.BDP(F14&amp;"USD CURNCY","PX_LAST")))*AB14))</f>
        <v>92920.203999999998</v>
      </c>
      <c r="T14" s="12">
        <f>S14-R14</f>
        <v>-8337.2703356799902</v>
      </c>
      <c r="U14" s="13">
        <f>T14/R14</f>
        <v>-8.2337332531532387E-2</v>
      </c>
      <c r="V14" s="13" cm="1">
        <f t="array" ref="V14">IFERROR(_xll.BDP($G14&amp;" Equity","CHG_PCT_1D")/100,"")</f>
        <v>4.528302E-2</v>
      </c>
      <c r="W14" s="13" cm="1">
        <f t="array" ref="W14">IFERROR(_xll.BDP($G14&amp;" Equity","CHG_PCT_5D")/100,"")</f>
        <v>8.5423200000000005E-2</v>
      </c>
      <c r="X14" s="13" t="e">
        <f>S14/#REF!</f>
        <v>#REF!</v>
      </c>
      <c r="Y14" s="24">
        <f>IFERROR(S14*J14,0)</f>
        <v>0</v>
      </c>
      <c r="Z14" s="24">
        <f>S14</f>
        <v>92920.203999999998</v>
      </c>
      <c r="AA14" s="29">
        <f>P14*O14</f>
        <v>784819.98399999994</v>
      </c>
      <c r="AB14" s="29">
        <f>IFERROR(O14*Q14,0)</f>
        <v>720200</v>
      </c>
      <c r="AC14" s="4" t="e" cm="1">
        <f t="array" ref="AC14">VLOOKUP(IF(NOT(_xll.BDP(AX14,$BW$8)="#N/A N/A"),(_xll.BDP(AX14,$BW$8)),"-"), '[1]Country Codes'!$A$2:$B$253,2,0)</f>
        <v>#N/A</v>
      </c>
      <c r="AD14" s="30" t="str" cm="1">
        <f t="array" ref="AD14">IF(OR(_xll.BDP($AX14,"EX028")= "#N/A N/A", _xll.BDP($AX14,"EX028")="#N/A FIELD NOT APPLICABLE"), " ", _xll.BDP($AX14,"EX028"))</f>
        <v>Equity</v>
      </c>
      <c r="AE14" s="31" t="str">
        <f>IF(("AS97"="Equity"), " ", "Single Line Equity")</f>
        <v>Single Line Equity</v>
      </c>
      <c r="AF14" s="26" cm="1">
        <f t="array" ref="AF14">IF(OR(_xll.BDP($AX14,"RR908")= "#N/A N/A", _xll.BDP($AX14,"RR908")="#N/A FIELD NOT APPLICABLE"), " ", _xll.BDP($AX14,"RR908"))</f>
        <v>12.977426984165488</v>
      </c>
      <c r="AG14" s="26" cm="1">
        <f t="array" ref="AG14">IF(OR(_xll.BDP($AX14,"RR041")= "#N/A N/A", _xll.BDP($AX14,"RR041")="#N/A FIELD NOT APPLICABLE"), " ", _xll.BDP($AX14,"RR041"))</f>
        <v>18.963661031844321</v>
      </c>
      <c r="AH14" s="22">
        <f>_xll.BDP(AX14,"TOT_BUY_REC")</f>
        <v>58</v>
      </c>
      <c r="AI14" s="22">
        <f>_xll.BDP(AX14,"TOT_HOLD_REC")</f>
        <v>2</v>
      </c>
      <c r="AJ14" s="22">
        <f>_xll.BDP(AX14,"TOT_SELL_REC")</f>
        <v>2</v>
      </c>
      <c r="AK14" s="26" cm="1">
        <f t="array" ref="AK14">IF(OR(_xll.BDP($AX14,"EE201")= "#N/A N/A", _xll.BDP($AX14,"EE201")="#N/A FIELD NOT APPLICABLE"), " ", _xll.BDP($AX14,"EE201"))</f>
        <v>4.7580647468566895</v>
      </c>
      <c r="AL14" s="24">
        <f>_xll.BDP(AX14,"BEST_TARGET_PRICE")</f>
        <v>198.96818542480469</v>
      </c>
      <c r="AM14" s="32">
        <f>(AL14/Q14)-1</f>
        <v>0.43659339656898699</v>
      </c>
      <c r="AN14" s="32">
        <f>_xll.BDP(AX14,"PR061")/100</f>
        <v>-0.12286250000000001</v>
      </c>
      <c r="AO14" s="32">
        <f>_xll.BDP(AX14,"PR064")/100</f>
        <v>-7.7281849999999999E-2</v>
      </c>
      <c r="AP14" s="32">
        <f>_xll.BDP(AX14,"CHG_PCT_6M")/100</f>
        <v>-0.26835710000000002</v>
      </c>
      <c r="AQ14" s="25">
        <f>_xll.BDP(AX14,"PR079")/100</f>
        <v>-8.7013820000000006E-2</v>
      </c>
      <c r="AR14" s="33">
        <f>_xll.BDP(AX14,"hs001")</f>
        <v>217</v>
      </c>
      <c r="AS14" s="33">
        <f>_xll.BDP(AX14,"hs002")</f>
        <v>100.1</v>
      </c>
      <c r="AT14" s="22" t="str" cm="1">
        <f t="array" ref="AT14">IF(OR(_xll.BDP($AX14,"DX202")= "#N/A N/A", _xll.BDP($AX14,"DX202")="#N/A FIELD NOT APPLICABLE"), " ", _xll.BDP($AX14,"DX202"))</f>
        <v>Consumer Discretionary</v>
      </c>
      <c r="AU14" s="22" t="str" cm="1">
        <f t="array" ref="AU14">IF(OR(_xll.BDP($AX14,"DY997")= "#N/A N/A", _xll.BDP($AX14,"DY997")="#N/A FIELD NOT APPLICABLE"), " ", _xll.BDP($AX14,"DY997"))</f>
        <v>N</v>
      </c>
      <c r="AV14" s="22" t="str" cm="1">
        <f t="array" ref="AV14">IF(OR(_xll.BDP($AX14,"DY784")= "#N/A N/A", _xll.BDP($AX14,"DY784")="#N/A FIELD NOT APPLICABLE"), " ", _xll.BDP($AX14,"DY784"))</f>
        <v xml:space="preserve"> </v>
      </c>
      <c r="AW14" s="22" t="str">
        <f>IF(OR(AU14="Y",AV14="Y"),"Y","N")</f>
        <v>N</v>
      </c>
      <c r="AX14" s="22" t="str">
        <f>CONCATENATE(G14," ",$AX$2)</f>
        <v>3690 HK Equity</v>
      </c>
      <c r="BC14" s="17" t="str" cm="1">
        <f t="array" ref="BC14">_xll.BDP(AX14,"ID005")</f>
        <v>KYG596691041</v>
      </c>
      <c r="BD14" s="17">
        <v>0.75</v>
      </c>
      <c r="BE14" s="18">
        <v>4</v>
      </c>
      <c r="BF14" s="19">
        <v>45540</v>
      </c>
      <c r="BG14" s="20">
        <v>1</v>
      </c>
    </row>
    <row r="15" spans="1:59" s="3" customFormat="1" ht="14.45" customHeight="1" x14ac:dyDescent="0.25">
      <c r="A15" s="49" t="s">
        <v>241</v>
      </c>
      <c r="B15" s="49" t="s">
        <v>238</v>
      </c>
      <c r="C15" s="49" t="s">
        <v>239</v>
      </c>
      <c r="D15" s="49" t="s">
        <v>240</v>
      </c>
      <c r="E15" s="22" t="str">
        <f>_xll.BDP(AX15,"SECURITY NAME")</f>
        <v>Baidu Inc</v>
      </c>
      <c r="F15" s="22" t="str">
        <f>_xll.BDP(AX15,"CRNCY")</f>
        <v>HKD</v>
      </c>
      <c r="G15" s="23" t="s">
        <v>331</v>
      </c>
      <c r="H15" s="22" t="str" cm="1">
        <f t="array" ref="H15">IF(OR(_xll.BDP($AX15,"DX202")= "#N/A N/A", _xll.BDP($AX15,"DX202")="#N/A FIELD NOT APPLICABLE"), " ", _xll.BDP($AX15,"DX202"))</f>
        <v>Communication Services</v>
      </c>
      <c r="I15" s="24">
        <f>_xll.BDP(AX15,"CRNCY_ADJ_MKT_CAP", "EQY_FUND_CRNCY=USD")/1000</f>
        <v>31.77216003609939</v>
      </c>
      <c r="J15" s="25">
        <f>IFERROR(_xll.BDP(AX15, "DV013")/100,0)</f>
        <v>0</v>
      </c>
      <c r="K15" s="26" t="str" cm="1">
        <f t="array" ref="K15">IF(OR(_xll.BDP($AX15,"RR900")= "#N/A N/A", _xll.BDP($AX15,"RR900")="#N/A FIELD NOT APPLICABLE"), " ", _xll.BDP($AX15,"RR900"))</f>
        <v xml:space="preserve"> </v>
      </c>
      <c r="L15" s="26" cm="1">
        <f t="array" ref="L15">IF(OR(_xll.BDP($AX15,"EE010")= "#N/A N/A", _xll.BDP($AX15,"EE010")="#N/A FIELD NOT APPLICABLE"), " ", _xll.BDP($AX15,"EE010"))</f>
        <v>8.3023444149505838</v>
      </c>
      <c r="M15" s="26" t="str" cm="1">
        <f t="array" ref="M15">IF(OR(_xll.BDP($AX15,"RR903")= "#N/A N/A", _xll.BDP($AX15,"RR903")="#N/A FIELD NOT APPLICABLE"), " ", _xll.BDP($AX15,"RR903"))</f>
        <v xml:space="preserve"> </v>
      </c>
      <c r="N15" s="26" t="str" cm="1">
        <f t="array" ref="N15">IF(OR(_xll.BDP($AX15,"RR957")= "#N/A N/A", _xll.BDP($AX15,"RR957")="#N/A FIELD NOT APPLICABLE"), " ", _xll.BDP($AX15,"RR957"))</f>
        <v xml:space="preserve"> </v>
      </c>
      <c r="O15" s="27">
        <v>2500</v>
      </c>
      <c r="P15" s="28">
        <v>95</v>
      </c>
      <c r="Q15" s="22" cm="1">
        <f t="array" ref="Q15">IF(OR(_xll.BDP($AX15,"PX_last")="#N/A N/A",_xll.BDP($AX15,"PX_Last")="#N/A FIELD NOT APPLICABLE")," ",IF(F15="GBP",(_xll.BDP($AX15,"PX_LAST")/100),(_xll.BDP($AX15,"PX_LAST"))))</f>
        <v>87.8</v>
      </c>
      <c r="R15" s="29">
        <f>IF(F15="USD",AA15,(((_xll.BDP(F15&amp;"USD CURNCY","PX_LAST")))*AA15))</f>
        <v>30642.25</v>
      </c>
      <c r="S15" s="29">
        <f>IF(F15="USD",AB15,(((_xll.BDP(F15&amp;"USD CURNCY","PX_LAST")))*AB15))</f>
        <v>28319.89</v>
      </c>
      <c r="T15" s="12">
        <f>S15-R15</f>
        <v>-2322.3600000000006</v>
      </c>
      <c r="U15" s="13">
        <f>T15/R15</f>
        <v>-7.5789473684210545E-2</v>
      </c>
      <c r="V15" s="13" cm="1">
        <f t="array" ref="V15">IFERROR(_xll.BDP($G15&amp;" Equity","CHG_PCT_1D")/100,"")</f>
        <v>4.0022870000000002E-3</v>
      </c>
      <c r="W15" s="13" cm="1">
        <f t="array" ref="W15">IFERROR(_xll.BDP($G15&amp;" Equity","CHG_PCT_5D")/100,"")</f>
        <v>2.2831050000000001E-3</v>
      </c>
      <c r="X15" s="13" t="e">
        <f>S15/#REF!</f>
        <v>#REF!</v>
      </c>
      <c r="Y15" s="24">
        <f>IFERROR(S15*J15,0)</f>
        <v>0</v>
      </c>
      <c r="Z15" s="24">
        <f>S15</f>
        <v>28319.89</v>
      </c>
      <c r="AA15" s="29">
        <f>P15*O15</f>
        <v>237500</v>
      </c>
      <c r="AB15" s="29">
        <f>IFERROR(O15*Q15,0)</f>
        <v>219500</v>
      </c>
      <c r="AC15" s="4" t="e" cm="1">
        <f t="array" ref="AC15">VLOOKUP(IF(NOT(_xll.BDP(AX15,$BW$8)="#N/A N/A"),(_xll.BDP(AX15,$BW$8)),"-"), '[1]Country Codes'!$A$2:$B$253,2,0)</f>
        <v>#N/A</v>
      </c>
      <c r="AD15" s="30" t="str" cm="1">
        <f t="array" ref="AD15">IF(OR(_xll.BDP($AX15,"EX028")= "#N/A N/A", _xll.BDP($AX15,"EX028")="#N/A FIELD NOT APPLICABLE"), " ", _xll.BDP($AX15,"EX028"))</f>
        <v>Equity</v>
      </c>
      <c r="AE15" s="31" t="str">
        <f>IF(("AS97"="Equity"), " ", "Single Line Equity")</f>
        <v>Single Line Equity</v>
      </c>
      <c r="AF15" s="26" t="str" cm="1">
        <f t="array" ref="AF15">IF(OR(_xll.BDP($AX15,"RR908")= "#N/A N/A", _xll.BDP($AX15,"RR908")="#N/A FIELD NOT APPLICABLE"), " ", _xll.BDP($AX15,"RR908"))</f>
        <v xml:space="preserve"> </v>
      </c>
      <c r="AG15" s="26" cm="1">
        <f t="array" ref="AG15">IF(OR(_xll.BDP($AX15,"RR041")= "#N/A N/A", _xll.BDP($AX15,"RR041")="#N/A FIELD NOT APPLICABLE"), " ", _xll.BDP($AX15,"RR041"))</f>
        <v>18.543176399083642</v>
      </c>
      <c r="AH15" s="22">
        <f>_xll.BDP(AX15,"TOT_BUY_REC")</f>
        <v>25</v>
      </c>
      <c r="AI15" s="22">
        <f>_xll.BDP(AX15,"TOT_HOLD_REC")</f>
        <v>8</v>
      </c>
      <c r="AJ15" s="22">
        <f>_xll.BDP(AX15,"TOT_SELL_REC")</f>
        <v>0</v>
      </c>
      <c r="AK15" s="26" cm="1">
        <f t="array" ref="AK15">IF(OR(_xll.BDP($AX15,"EE201")= "#N/A N/A", _xll.BDP($AX15,"EE201")="#N/A FIELD NOT APPLICABLE"), " ", _xll.BDP($AX15,"EE201"))</f>
        <v>4.4242424964904785</v>
      </c>
      <c r="AL15" s="24">
        <f>_xll.BDP(AX15,"BEST_TARGET_PRICE")</f>
        <v>105.39727020263672</v>
      </c>
      <c r="AM15" s="32">
        <f>(AL15/Q15)-1</f>
        <v>0.20042448977946159</v>
      </c>
      <c r="AN15" s="32">
        <f>_xll.BDP(AX15,"PR061")/100</f>
        <v>0</v>
      </c>
      <c r="AO15" s="32">
        <f>_xll.BDP(AX15,"PR064")/100</f>
        <v>1.327177E-2</v>
      </c>
      <c r="AP15" s="32">
        <f>_xll.BDP(AX15,"CHG_PCT_6M")/100</f>
        <v>-6.787347E-3</v>
      </c>
      <c r="AQ15" s="25">
        <f>_xll.BDP(AX15,"PR079")/100</f>
        <v>6.1668719999999996E-2</v>
      </c>
      <c r="AR15" s="33">
        <f>_xll.BDP(AX15,"hs001")</f>
        <v>119.4</v>
      </c>
      <c r="AS15" s="33">
        <f>_xll.BDP(AX15,"hs002")</f>
        <v>73.25</v>
      </c>
      <c r="AT15" s="22" t="str" cm="1">
        <f t="array" ref="AT15">IF(OR(_xll.BDP($AX15,"DX202")= "#N/A N/A", _xll.BDP($AX15,"DX202")="#N/A FIELD NOT APPLICABLE"), " ", _xll.BDP($AX15,"DX202"))</f>
        <v>Communication Services</v>
      </c>
      <c r="AU15" s="22" t="str" cm="1">
        <f t="array" ref="AU15">IF(OR(_xll.BDP($AX15,"DY997")= "#N/A N/A", _xll.BDP($AX15,"DY997")="#N/A FIELD NOT APPLICABLE"), " ", _xll.BDP($AX15,"DY997"))</f>
        <v>N</v>
      </c>
      <c r="AV15" s="22" t="str" cm="1">
        <f t="array" ref="AV15">IF(OR(_xll.BDP($AX15,"DY784")= "#N/A N/A", _xll.BDP($AX15,"DY784")="#N/A FIELD NOT APPLICABLE"), " ", _xll.BDP($AX15,"DY784"))</f>
        <v xml:space="preserve"> </v>
      </c>
      <c r="AW15" s="22" t="str">
        <f>IF(OR(AU15="Y",AV15="Y"),"Y","N")</f>
        <v>N</v>
      </c>
      <c r="AX15" s="22" t="str">
        <f>CONCATENATE(G15," ",$AX$2)</f>
        <v>9888 HK Equity</v>
      </c>
      <c r="BC15" s="17" t="str" cm="1">
        <f t="array" ref="BC15">_xll.BDP(AX15,"ID005")</f>
        <v>KYG070341048</v>
      </c>
      <c r="BD15" s="17">
        <v>0.75</v>
      </c>
      <c r="BE15" s="18">
        <v>4</v>
      </c>
      <c r="BF15" s="19">
        <v>45540</v>
      </c>
      <c r="BG15" s="20">
        <v>1</v>
      </c>
    </row>
    <row r="16" spans="1:59" s="3" customFormat="1" ht="14.45" customHeight="1" x14ac:dyDescent="0.25">
      <c r="A16" s="81" t="s">
        <v>242</v>
      </c>
      <c r="B16" s="81" t="s">
        <v>243</v>
      </c>
      <c r="C16" s="81" t="s">
        <v>244</v>
      </c>
      <c r="D16" s="81" t="s">
        <v>245</v>
      </c>
      <c r="E16" s="40" t="str">
        <f>_xll.BDP(AX16,"SECURITY NAME")</f>
        <v>Baidu Inc</v>
      </c>
      <c r="F16" s="40" t="str">
        <f>_xll.BDP(AX16,"CRNCY")</f>
        <v>HKD</v>
      </c>
      <c r="G16" s="23" t="s">
        <v>331</v>
      </c>
      <c r="H16" s="40" t="str" cm="1">
        <f t="array" ref="H16">IF(OR(_xll.BDP($AX16,"DX202")= "#N/A N/A", _xll.BDP($AX16,"DX202")="#N/A FIELD NOT APPLICABLE"), " ", _xll.BDP($AX16,"DX202"))</f>
        <v>Communication Services</v>
      </c>
      <c r="I16" s="82">
        <f>_xll.BDP(AX16,"CRNCY_ADJ_MKT_CAP", "EQY_FUND_CRNCY=USD")/1000</f>
        <v>31.77216003609939</v>
      </c>
      <c r="J16" s="83">
        <f>IFERROR(_xll.BDP(AX16, "DV013")/100,0)</f>
        <v>0</v>
      </c>
      <c r="K16" s="84" t="str" cm="1">
        <f t="array" ref="K16">IF(OR(_xll.BDP($AX16,"RR900")= "#N/A N/A", _xll.BDP($AX16,"RR900")="#N/A FIELD NOT APPLICABLE"), " ", _xll.BDP($AX16,"RR900"))</f>
        <v xml:space="preserve"> </v>
      </c>
      <c r="L16" s="84" cm="1">
        <f t="array" ref="L16">IF(OR(_xll.BDP($AX16,"EE010")= "#N/A N/A", _xll.BDP($AX16,"EE010")="#N/A FIELD NOT APPLICABLE"), " ", _xll.BDP($AX16,"EE010"))</f>
        <v>8.3023444149505838</v>
      </c>
      <c r="M16" s="84" t="str" cm="1">
        <f t="array" ref="M16">IF(OR(_xll.BDP($AX16,"RR903")= "#N/A N/A", _xll.BDP($AX16,"RR903")="#N/A FIELD NOT APPLICABLE"), " ", _xll.BDP($AX16,"RR903"))</f>
        <v xml:space="preserve"> </v>
      </c>
      <c r="N16" s="84" t="str" cm="1">
        <f t="array" ref="N16">IF(OR(_xll.BDP($AX16,"RR957")= "#N/A N/A", _xll.BDP($AX16,"RR957")="#N/A FIELD NOT APPLICABLE"), " ", _xll.BDP($AX16,"RR957"))</f>
        <v xml:space="preserve"> </v>
      </c>
      <c r="O16" s="27">
        <v>8000</v>
      </c>
      <c r="P16" s="28">
        <v>94.61</v>
      </c>
      <c r="Q16" s="40" cm="1">
        <f t="array" ref="Q16">IF(OR(_xll.BDP($AX16,"PX_last")="#N/A N/A",_xll.BDP($AX16,"PX_Last")="#N/A FIELD NOT APPLICABLE")," ",IF(F16="GBP",(_xll.BDP($AX16,"PX_LAST")/100),(_xll.BDP($AX16,"PX_LAST"))))</f>
        <v>87.8</v>
      </c>
      <c r="R16" s="85">
        <f>IF(F16="USD",AA16,(((_xll.BDP(F16&amp;"USD CURNCY","PX_LAST")))*AA16))</f>
        <v>97652.657599999991</v>
      </c>
      <c r="S16" s="85">
        <f>IF(F16="USD",AB16,(((_xll.BDP(F16&amp;"USD CURNCY","PX_LAST")))*AB16))</f>
        <v>90623.648000000001</v>
      </c>
      <c r="T16" s="86">
        <f>S16-R16</f>
        <v>-7029.0095999999903</v>
      </c>
      <c r="U16" s="87">
        <f>T16/R16</f>
        <v>-7.1979706162139209E-2</v>
      </c>
      <c r="V16" s="87" cm="1">
        <f t="array" ref="V16">IFERROR(_xll.BDP($G16&amp;" Equity","CHG_PCT_1D")/100,"")</f>
        <v>4.0022870000000002E-3</v>
      </c>
      <c r="W16" s="87" cm="1">
        <f t="array" ref="W16">IFERROR(_xll.BDP($G16&amp;" Equity","CHG_PCT_5D")/100,"")</f>
        <v>2.2831050000000001E-3</v>
      </c>
      <c r="X16" s="87" t="e">
        <f>S16/#REF!</f>
        <v>#REF!</v>
      </c>
      <c r="Y16" s="82">
        <f>IFERROR(S16*J16,0)</f>
        <v>0</v>
      </c>
      <c r="Z16" s="82">
        <f>S16</f>
        <v>90623.648000000001</v>
      </c>
      <c r="AA16" s="85">
        <f>P16*O16</f>
        <v>756880</v>
      </c>
      <c r="AB16" s="85">
        <f>IFERROR(O16*Q16,0)</f>
        <v>702400</v>
      </c>
      <c r="AC16" s="88" t="e" cm="1">
        <f t="array" ref="AC16">VLOOKUP(IF(NOT(_xll.BDP(AX16,$BW$8)="#N/A N/A"),(_xll.BDP(AX16,$BW$8)),"-"), '[1]Country Codes'!$A$2:$B$253,2,0)</f>
        <v>#N/A</v>
      </c>
      <c r="AD16" s="89" t="str" cm="1">
        <f t="array" ref="AD16">IF(OR(_xll.BDP($AX16,"EX028")= "#N/A N/A", _xll.BDP($AX16,"EX028")="#N/A FIELD NOT APPLICABLE"), " ", _xll.BDP($AX16,"EX028"))</f>
        <v>Equity</v>
      </c>
      <c r="AE16" s="90" t="str">
        <f>IF(("AS97"="Equity"), " ", "Single Line Equity")</f>
        <v>Single Line Equity</v>
      </c>
      <c r="AF16" s="84" t="str" cm="1">
        <f t="array" ref="AF16">IF(OR(_xll.BDP($AX16,"RR908")= "#N/A N/A", _xll.BDP($AX16,"RR908")="#N/A FIELD NOT APPLICABLE"), " ", _xll.BDP($AX16,"RR908"))</f>
        <v xml:space="preserve"> </v>
      </c>
      <c r="AG16" s="84" cm="1">
        <f t="array" ref="AG16">IF(OR(_xll.BDP($AX16,"RR041")= "#N/A N/A", _xll.BDP($AX16,"RR041")="#N/A FIELD NOT APPLICABLE"), " ", _xll.BDP($AX16,"RR041"))</f>
        <v>18.543176399083642</v>
      </c>
      <c r="AH16" s="40">
        <f>_xll.BDP(AX16,"TOT_BUY_REC")</f>
        <v>25</v>
      </c>
      <c r="AI16" s="40">
        <f>_xll.BDP(AX16,"TOT_HOLD_REC")</f>
        <v>8</v>
      </c>
      <c r="AJ16" s="40">
        <f>_xll.BDP(AX16,"TOT_SELL_REC")</f>
        <v>0</v>
      </c>
      <c r="AK16" s="84" cm="1">
        <f t="array" ref="AK16">IF(OR(_xll.BDP($AX16,"EE201")= "#N/A N/A", _xll.BDP($AX16,"EE201")="#N/A FIELD NOT APPLICABLE"), " ", _xll.BDP($AX16,"EE201"))</f>
        <v>4.4242424964904785</v>
      </c>
      <c r="AL16" s="82">
        <f>_xll.BDP(AX16,"BEST_TARGET_PRICE")</f>
        <v>105.39727020263672</v>
      </c>
      <c r="AM16" s="91">
        <f>(AL16/Q16)-1</f>
        <v>0.20042448977946159</v>
      </c>
      <c r="AN16" s="91">
        <f>_xll.BDP(AX16,"PR061")/100</f>
        <v>0</v>
      </c>
      <c r="AO16" s="91">
        <f>_xll.BDP(AX16,"PR064")/100</f>
        <v>1.327177E-2</v>
      </c>
      <c r="AP16" s="91">
        <f>_xll.BDP(AX16,"CHG_PCT_6M")/100</f>
        <v>-6.787347E-3</v>
      </c>
      <c r="AQ16" s="83">
        <f>_xll.BDP(AX16,"PR079")/100</f>
        <v>6.1668719999999996E-2</v>
      </c>
      <c r="AR16" s="92">
        <f>_xll.BDP(AX16,"hs001")</f>
        <v>119.4</v>
      </c>
      <c r="AS16" s="92">
        <f>_xll.BDP(AX16,"hs002")</f>
        <v>73.25</v>
      </c>
      <c r="AT16" s="40" t="str" cm="1">
        <f t="array" ref="AT16">IF(OR(_xll.BDP($AX16,"DX202")= "#N/A N/A", _xll.BDP($AX16,"DX202")="#N/A FIELD NOT APPLICABLE"), " ", _xll.BDP($AX16,"DX202"))</f>
        <v>Communication Services</v>
      </c>
      <c r="AU16" s="40" t="str" cm="1">
        <f t="array" ref="AU16">IF(OR(_xll.BDP($AX16,"DY997")= "#N/A N/A", _xll.BDP($AX16,"DY997")="#N/A FIELD NOT APPLICABLE"), " ", _xll.BDP($AX16,"DY997"))</f>
        <v>N</v>
      </c>
      <c r="AV16" s="40" t="str" cm="1">
        <f t="array" ref="AV16">IF(OR(_xll.BDP($AX16,"DY784")= "#N/A N/A", _xll.BDP($AX16,"DY784")="#N/A FIELD NOT APPLICABLE"), " ", _xll.BDP($AX16,"DY784"))</f>
        <v xml:space="preserve"> </v>
      </c>
      <c r="AW16" s="40" t="str">
        <f>IF(OR(AU16="Y",AV16="Y"),"Y","N")</f>
        <v>N</v>
      </c>
      <c r="AX16" s="40" t="str">
        <f>CONCATENATE(G16," ",$AX$2)</f>
        <v>9888 HK Equity</v>
      </c>
      <c r="BC16" s="17" t="str" cm="1">
        <f t="array" ref="BC16">_xll.BDP(AX16,"ID005")</f>
        <v>KYG070341048</v>
      </c>
      <c r="BD16" s="17">
        <v>0.75</v>
      </c>
      <c r="BE16" s="18">
        <v>4</v>
      </c>
      <c r="BF16" s="19">
        <v>45540</v>
      </c>
      <c r="BG16" s="20">
        <v>1</v>
      </c>
    </row>
    <row r="17" spans="1:59" s="3" customFormat="1" ht="14.45" customHeight="1" x14ac:dyDescent="0.25">
      <c r="A17" s="49" t="s">
        <v>242</v>
      </c>
      <c r="B17" s="49" t="s">
        <v>327</v>
      </c>
      <c r="C17" s="49">
        <v>4371511</v>
      </c>
      <c r="D17" s="49" t="s">
        <v>248</v>
      </c>
      <c r="E17" s="22" t="str">
        <f>_xll.BDP(AX17,"SECURITY NAME")</f>
        <v>Baidu Inc</v>
      </c>
      <c r="F17" s="22" t="str">
        <f>_xll.BDP(AX17,"CRNCY")</f>
        <v>HKD</v>
      </c>
      <c r="G17" s="23" t="s">
        <v>331</v>
      </c>
      <c r="H17" s="22" t="str" cm="1">
        <f t="array" ref="H17">IF(OR(_xll.BDP($AX17,"DX202")= "#N/A N/A", _xll.BDP($AX17,"DX202")="#N/A FIELD NOT APPLICABLE"), " ", _xll.BDP($AX17,"DX202"))</f>
        <v>Communication Services</v>
      </c>
      <c r="I17" s="24">
        <f>_xll.BDP(AX17,"CRNCY_ADJ_MKT_CAP", "EQY_FUND_CRNCY=USD")/1000</f>
        <v>31.77216003609939</v>
      </c>
      <c r="J17" s="25">
        <f>IFERROR(_xll.BDP(AX17, "DV013")/100,0)</f>
        <v>0</v>
      </c>
      <c r="K17" s="26" t="str" cm="1">
        <f t="array" ref="K17">IF(OR(_xll.BDP($AX17,"RR900")= "#N/A N/A", _xll.BDP($AX17,"RR900")="#N/A FIELD NOT APPLICABLE"), " ", _xll.BDP($AX17,"RR900"))</f>
        <v xml:space="preserve"> </v>
      </c>
      <c r="L17" s="26" cm="1">
        <f t="array" ref="L17">IF(OR(_xll.BDP($AX17,"EE010")= "#N/A N/A", _xll.BDP($AX17,"EE010")="#N/A FIELD NOT APPLICABLE"), " ", _xll.BDP($AX17,"EE010"))</f>
        <v>8.3023444149505838</v>
      </c>
      <c r="M17" s="26" t="str" cm="1">
        <f t="array" ref="M17">IF(OR(_xll.BDP($AX17,"RR903")= "#N/A N/A", _xll.BDP($AX17,"RR903")="#N/A FIELD NOT APPLICABLE"), " ", _xll.BDP($AX17,"RR903"))</f>
        <v xml:space="preserve"> </v>
      </c>
      <c r="N17" s="26" t="str" cm="1">
        <f t="array" ref="N17">IF(OR(_xll.BDP($AX17,"RR957")= "#N/A N/A", _xll.BDP($AX17,"RR957")="#N/A FIELD NOT APPLICABLE"), " ", _xll.BDP($AX17,"RR957"))</f>
        <v xml:space="preserve"> </v>
      </c>
      <c r="O17" s="27">
        <v>8000</v>
      </c>
      <c r="P17" s="28">
        <v>95.11</v>
      </c>
      <c r="Q17" s="22" cm="1">
        <f t="array" ref="Q17">IF(OR(_xll.BDP($AX17,"PX_last")="#N/A N/A",_xll.BDP($AX17,"PX_Last")="#N/A FIELD NOT APPLICABLE")," ",IF(F17="GBP",(_xll.BDP($AX17,"PX_LAST")/100),(_xll.BDP($AX17,"PX_LAST"))))</f>
        <v>87.8</v>
      </c>
      <c r="R17" s="29">
        <f>IF(F17="USD",AA17,(((_xll.BDP(F17&amp;"USD CURNCY","PX_LAST")))*AA17))</f>
        <v>98168.737599999993</v>
      </c>
      <c r="S17" s="29">
        <f>IF(F17="USD",AB17,(((_xll.BDP(F17&amp;"USD CURNCY","PX_LAST")))*AB17))</f>
        <v>90623.648000000001</v>
      </c>
      <c r="T17" s="12">
        <f>S17-R17</f>
        <v>-7545.0895999999921</v>
      </c>
      <c r="U17" s="13">
        <f>T17/R17</f>
        <v>-7.6858374513720878E-2</v>
      </c>
      <c r="V17" s="13" cm="1">
        <f t="array" ref="V17">IFERROR(_xll.BDP($G17&amp;" Equity","CHG_PCT_1D")/100,"")</f>
        <v>4.0022870000000002E-3</v>
      </c>
      <c r="W17" s="13" cm="1">
        <f t="array" ref="W17">IFERROR(_xll.BDP($G17&amp;" Equity","CHG_PCT_5D")/100,"")</f>
        <v>2.2831050000000001E-3</v>
      </c>
      <c r="X17" s="13" t="e">
        <f>S17/#REF!</f>
        <v>#REF!</v>
      </c>
      <c r="Y17" s="24">
        <f>IFERROR(S17*J17,0)</f>
        <v>0</v>
      </c>
      <c r="Z17" s="24">
        <f>S17</f>
        <v>90623.648000000001</v>
      </c>
      <c r="AA17" s="29">
        <f>P17*O17</f>
        <v>760880</v>
      </c>
      <c r="AB17" s="29">
        <f>IFERROR(O17*Q17,0)</f>
        <v>702400</v>
      </c>
      <c r="AC17" s="4" t="e" cm="1">
        <f t="array" ref="AC17">VLOOKUP(IF(NOT(_xll.BDP(AX17,$BW$8)="#N/A N/A"),(_xll.BDP(AX17,$BW$8)),"-"), '[1]Country Codes'!$A$2:$B$253,2,0)</f>
        <v>#N/A</v>
      </c>
      <c r="AD17" s="30" t="str" cm="1">
        <f t="array" ref="AD17">IF(OR(_xll.BDP($AX17,"EX028")= "#N/A N/A", _xll.BDP($AX17,"EX028")="#N/A FIELD NOT APPLICABLE"), " ", _xll.BDP($AX17,"EX028"))</f>
        <v>Equity</v>
      </c>
      <c r="AE17" s="31" t="str">
        <f>IF(("AS97"="Equity"), " ", "Single Line Equity")</f>
        <v>Single Line Equity</v>
      </c>
      <c r="AF17" s="26" t="str" cm="1">
        <f t="array" ref="AF17">IF(OR(_xll.BDP($AX17,"RR908")= "#N/A N/A", _xll.BDP($AX17,"RR908")="#N/A FIELD NOT APPLICABLE"), " ", _xll.BDP($AX17,"RR908"))</f>
        <v xml:space="preserve"> </v>
      </c>
      <c r="AG17" s="26" cm="1">
        <f t="array" ref="AG17">IF(OR(_xll.BDP($AX17,"RR041")= "#N/A N/A", _xll.BDP($AX17,"RR041")="#N/A FIELD NOT APPLICABLE"), " ", _xll.BDP($AX17,"RR041"))</f>
        <v>18.543176399083642</v>
      </c>
      <c r="AH17" s="22">
        <f>_xll.BDP(AX17,"TOT_BUY_REC")</f>
        <v>25</v>
      </c>
      <c r="AI17" s="22">
        <f>_xll.BDP(AX17,"TOT_HOLD_REC")</f>
        <v>8</v>
      </c>
      <c r="AJ17" s="22">
        <f>_xll.BDP(AX17,"TOT_SELL_REC")</f>
        <v>0</v>
      </c>
      <c r="AK17" s="26" cm="1">
        <f t="array" ref="AK17">IF(OR(_xll.BDP($AX17,"EE201")= "#N/A N/A", _xll.BDP($AX17,"EE201")="#N/A FIELD NOT APPLICABLE"), " ", _xll.BDP($AX17,"EE201"))</f>
        <v>4.4242424964904785</v>
      </c>
      <c r="AL17" s="24">
        <f>_xll.BDP(AX17,"BEST_TARGET_PRICE")</f>
        <v>105.39727020263672</v>
      </c>
      <c r="AM17" s="32">
        <f>(AL17/Q17)-1</f>
        <v>0.20042448977946159</v>
      </c>
      <c r="AN17" s="32">
        <f>_xll.BDP(AX17,"PR061")/100</f>
        <v>0</v>
      </c>
      <c r="AO17" s="32">
        <f>_xll.BDP(AX17,"PR064")/100</f>
        <v>1.327177E-2</v>
      </c>
      <c r="AP17" s="32">
        <f>_xll.BDP(AX17,"CHG_PCT_6M")/100</f>
        <v>-6.787347E-3</v>
      </c>
      <c r="AQ17" s="25">
        <f>_xll.BDP(AX17,"PR079")/100</f>
        <v>6.1668719999999996E-2</v>
      </c>
      <c r="AR17" s="33">
        <f>_xll.BDP(AX17,"hs001")</f>
        <v>119.4</v>
      </c>
      <c r="AS17" s="33">
        <f>_xll.BDP(AX17,"hs002")</f>
        <v>73.25</v>
      </c>
      <c r="AT17" s="22" t="str" cm="1">
        <f t="array" ref="AT17">IF(OR(_xll.BDP($AX17,"DX202")= "#N/A N/A", _xll.BDP($AX17,"DX202")="#N/A FIELD NOT APPLICABLE"), " ", _xll.BDP($AX17,"DX202"))</f>
        <v>Communication Services</v>
      </c>
      <c r="AU17" s="22" t="str" cm="1">
        <f t="array" ref="AU17">IF(OR(_xll.BDP($AX17,"DY997")= "#N/A N/A", _xll.BDP($AX17,"DY997")="#N/A FIELD NOT APPLICABLE"), " ", _xll.BDP($AX17,"DY997"))</f>
        <v>N</v>
      </c>
      <c r="AV17" s="22" t="str" cm="1">
        <f t="array" ref="AV17">IF(OR(_xll.BDP($AX17,"DY784")= "#N/A N/A", _xll.BDP($AX17,"DY784")="#N/A FIELD NOT APPLICABLE"), " ", _xll.BDP($AX17,"DY784"))</f>
        <v xml:space="preserve"> </v>
      </c>
      <c r="AW17" s="22" t="str">
        <f>IF(OR(AU17="Y",AV17="Y"),"Y","N")</f>
        <v>N</v>
      </c>
      <c r="AX17" s="22" t="str">
        <f>CONCATENATE(G17," ",$AX$2)</f>
        <v>9888 HK Equity</v>
      </c>
      <c r="BC17" s="17" t="str" cm="1">
        <f t="array" ref="BC17">_xll.BDP(AX17,"ID005")</f>
        <v>KYG070341048</v>
      </c>
      <c r="BD17" s="17">
        <v>0.75</v>
      </c>
      <c r="BE17" s="18">
        <v>4</v>
      </c>
      <c r="BF17" s="19">
        <v>45540</v>
      </c>
      <c r="BG17" s="20">
        <v>1</v>
      </c>
    </row>
    <row r="18" spans="1:59" s="3" customFormat="1" ht="14.45" customHeight="1" x14ac:dyDescent="0.25">
      <c r="A18" s="49" t="s">
        <v>241</v>
      </c>
      <c r="B18" s="49" t="s">
        <v>249</v>
      </c>
      <c r="C18" s="49" t="s">
        <v>250</v>
      </c>
      <c r="D18" s="49" t="s">
        <v>240</v>
      </c>
      <c r="E18" s="22" t="str">
        <f>_xll.BDP(AX18,"SECURITY NAME")</f>
        <v>Baidu Inc</v>
      </c>
      <c r="F18" s="22" t="str">
        <f>_xll.BDP(AX18,"CRNCY")</f>
        <v>HKD</v>
      </c>
      <c r="G18" s="23" t="s">
        <v>331</v>
      </c>
      <c r="H18" s="22" t="str" cm="1">
        <f t="array" ref="H18">IF(OR(_xll.BDP($AX18,"DX202")= "#N/A N/A", _xll.BDP($AX18,"DX202")="#N/A FIELD NOT APPLICABLE"), " ", _xll.BDP($AX18,"DX202"))</f>
        <v>Communication Services</v>
      </c>
      <c r="I18" s="24">
        <f>_xll.BDP(AX18,"CRNCY_ADJ_MKT_CAP", "EQY_FUND_CRNCY=USD")/1000</f>
        <v>31.77216003609939</v>
      </c>
      <c r="J18" s="25">
        <f>IFERROR(_xll.BDP(AX18, "DV013")/100,0)</f>
        <v>0</v>
      </c>
      <c r="K18" s="26" t="str" cm="1">
        <f t="array" ref="K18">IF(OR(_xll.BDP($AX18,"RR900")= "#N/A N/A", _xll.BDP($AX18,"RR900")="#N/A FIELD NOT APPLICABLE"), " ", _xll.BDP($AX18,"RR900"))</f>
        <v xml:space="preserve"> </v>
      </c>
      <c r="L18" s="26" cm="1">
        <f t="array" ref="L18">IF(OR(_xll.BDP($AX18,"EE010")= "#N/A N/A", _xll.BDP($AX18,"EE010")="#N/A FIELD NOT APPLICABLE"), " ", _xll.BDP($AX18,"EE010"))</f>
        <v>8.3023444149505838</v>
      </c>
      <c r="M18" s="26" t="str" cm="1">
        <f t="array" ref="M18">IF(OR(_xll.BDP($AX18,"RR903")= "#N/A N/A", _xll.BDP($AX18,"RR903")="#N/A FIELD NOT APPLICABLE"), " ", _xll.BDP($AX18,"RR903"))</f>
        <v xml:space="preserve"> </v>
      </c>
      <c r="N18" s="26" t="str" cm="1">
        <f t="array" ref="N18">IF(OR(_xll.BDP($AX18,"RR957")= "#N/A N/A", _xll.BDP($AX18,"RR957")="#N/A FIELD NOT APPLICABLE"), " ", _xll.BDP($AX18,"RR957"))</f>
        <v xml:space="preserve"> </v>
      </c>
      <c r="O18" s="27">
        <v>4000</v>
      </c>
      <c r="P18" s="28">
        <v>94.6</v>
      </c>
      <c r="Q18" s="22" cm="1">
        <f t="array" ref="Q18">IF(OR(_xll.BDP($AX18,"PX_last")="#N/A N/A",_xll.BDP($AX18,"PX_Last")="#N/A FIELD NOT APPLICABLE")," ",IF(F18="GBP",(_xll.BDP($AX18,"PX_LAST")/100),(_xll.BDP($AX18,"PX_LAST"))))</f>
        <v>87.8</v>
      </c>
      <c r="R18" s="29">
        <f>IF(F18="USD",AA18,(((_xll.BDP(F18&amp;"USD CURNCY","PX_LAST")))*AA18))</f>
        <v>48821.167999999998</v>
      </c>
      <c r="S18" s="29">
        <f>IF(F18="USD",AB18,(((_xll.BDP(F18&amp;"USD CURNCY","PX_LAST")))*AB18))</f>
        <v>45311.824000000001</v>
      </c>
      <c r="T18" s="12">
        <f>S18-R18</f>
        <v>-3509.3439999999973</v>
      </c>
      <c r="U18" s="13">
        <f>T18/R18</f>
        <v>-7.1881606765327649E-2</v>
      </c>
      <c r="V18" s="13" cm="1">
        <f t="array" ref="V18">IFERROR(_xll.BDP($G18&amp;" Equity","CHG_PCT_1D")/100,"")</f>
        <v>4.0022870000000002E-3</v>
      </c>
      <c r="W18" s="13" cm="1">
        <f t="array" ref="W18">IFERROR(_xll.BDP($G18&amp;" Equity","CHG_PCT_5D")/100,"")</f>
        <v>2.2831050000000001E-3</v>
      </c>
      <c r="X18" s="13" t="e">
        <f>S18/#REF!</f>
        <v>#REF!</v>
      </c>
      <c r="Y18" s="24">
        <f>IFERROR(S18*J18,0)</f>
        <v>0</v>
      </c>
      <c r="Z18" s="24">
        <f>S18</f>
        <v>45311.824000000001</v>
      </c>
      <c r="AA18" s="29">
        <f>P18*O18</f>
        <v>378400</v>
      </c>
      <c r="AB18" s="29">
        <f>IFERROR(O18*Q18,0)</f>
        <v>351200</v>
      </c>
      <c r="AC18" s="4" t="e" cm="1">
        <f t="array" ref="AC18">VLOOKUP(IF(NOT(_xll.BDP(AX18,$BW$8)="#N/A N/A"),(_xll.BDP(AX18,$BW$8)),"-"), '[1]Country Codes'!$A$2:$B$253,2,0)</f>
        <v>#N/A</v>
      </c>
      <c r="AD18" s="30" t="str" cm="1">
        <f t="array" ref="AD18">IF(OR(_xll.BDP($AX18,"EX028")= "#N/A N/A", _xll.BDP($AX18,"EX028")="#N/A FIELD NOT APPLICABLE"), " ", _xll.BDP($AX18,"EX028"))</f>
        <v>Equity</v>
      </c>
      <c r="AE18" s="31" t="str">
        <f>IF(("AS97"="Equity"), " ", "Single Line Equity")</f>
        <v>Single Line Equity</v>
      </c>
      <c r="AF18" s="26" t="str" cm="1">
        <f t="array" ref="AF18">IF(OR(_xll.BDP($AX18,"RR908")= "#N/A N/A", _xll.BDP($AX18,"RR908")="#N/A FIELD NOT APPLICABLE"), " ", _xll.BDP($AX18,"RR908"))</f>
        <v xml:space="preserve"> </v>
      </c>
      <c r="AG18" s="26" cm="1">
        <f t="array" ref="AG18">IF(OR(_xll.BDP($AX18,"RR041")= "#N/A N/A", _xll.BDP($AX18,"RR041")="#N/A FIELD NOT APPLICABLE"), " ", _xll.BDP($AX18,"RR041"))</f>
        <v>18.543176399083642</v>
      </c>
      <c r="AH18" s="22">
        <f>_xll.BDP(AX18,"TOT_BUY_REC")</f>
        <v>25</v>
      </c>
      <c r="AI18" s="22">
        <f>_xll.BDP(AX18,"TOT_HOLD_REC")</f>
        <v>8</v>
      </c>
      <c r="AJ18" s="22">
        <f>_xll.BDP(AX18,"TOT_SELL_REC")</f>
        <v>0</v>
      </c>
      <c r="AK18" s="26" cm="1">
        <f t="array" ref="AK18">IF(OR(_xll.BDP($AX18,"EE201")= "#N/A N/A", _xll.BDP($AX18,"EE201")="#N/A FIELD NOT APPLICABLE"), " ", _xll.BDP($AX18,"EE201"))</f>
        <v>4.4242424964904785</v>
      </c>
      <c r="AL18" s="24">
        <f>_xll.BDP(AX18,"BEST_TARGET_PRICE")</f>
        <v>105.39727020263672</v>
      </c>
      <c r="AM18" s="32">
        <f>(AL18/Q18)-1</f>
        <v>0.20042448977946159</v>
      </c>
      <c r="AN18" s="32">
        <f>_xll.BDP(AX18,"PR061")/100</f>
        <v>0</v>
      </c>
      <c r="AO18" s="32">
        <f>_xll.BDP(AX18,"PR064")/100</f>
        <v>1.327177E-2</v>
      </c>
      <c r="AP18" s="32">
        <f>_xll.BDP(AX18,"CHG_PCT_6M")/100</f>
        <v>-6.787347E-3</v>
      </c>
      <c r="AQ18" s="25">
        <f>_xll.BDP(AX18,"PR079")/100</f>
        <v>6.1668719999999996E-2</v>
      </c>
      <c r="AR18" s="33">
        <f>_xll.BDP(AX18,"hs001")</f>
        <v>119.4</v>
      </c>
      <c r="AS18" s="33">
        <f>_xll.BDP(AX18,"hs002")</f>
        <v>73.25</v>
      </c>
      <c r="AT18" s="22" t="str" cm="1">
        <f t="array" ref="AT18">IF(OR(_xll.BDP($AX18,"DX202")= "#N/A N/A", _xll.BDP($AX18,"DX202")="#N/A FIELD NOT APPLICABLE"), " ", _xll.BDP($AX18,"DX202"))</f>
        <v>Communication Services</v>
      </c>
      <c r="AU18" s="22" t="str" cm="1">
        <f t="array" ref="AU18">IF(OR(_xll.BDP($AX18,"DY997")= "#N/A N/A", _xll.BDP($AX18,"DY997")="#N/A FIELD NOT APPLICABLE"), " ", _xll.BDP($AX18,"DY997"))</f>
        <v>N</v>
      </c>
      <c r="AV18" s="22" t="str" cm="1">
        <f t="array" ref="AV18">IF(OR(_xll.BDP($AX18,"DY784")= "#N/A N/A", _xll.BDP($AX18,"DY784")="#N/A FIELD NOT APPLICABLE"), " ", _xll.BDP($AX18,"DY784"))</f>
        <v xml:space="preserve"> </v>
      </c>
      <c r="AW18" s="22" t="str">
        <f>IF(OR(AU18="Y",AV18="Y"),"Y","N")</f>
        <v>N</v>
      </c>
      <c r="AX18" s="22" t="str">
        <f>CONCATENATE(G18," ",$AX$2)</f>
        <v>9888 HK Equity</v>
      </c>
      <c r="BC18" s="17" t="str" cm="1">
        <f t="array" ref="BC18">_xll.BDP(AX18,"ID005")</f>
        <v>KYG070341048</v>
      </c>
      <c r="BD18" s="17">
        <v>0.75</v>
      </c>
      <c r="BE18" s="18">
        <v>4</v>
      </c>
      <c r="BF18" s="19">
        <v>45540</v>
      </c>
      <c r="BG18" s="20">
        <v>1</v>
      </c>
    </row>
    <row r="19" spans="1:59" s="3" customFormat="1" ht="14.45" customHeight="1" x14ac:dyDescent="0.25">
      <c r="A19" s="49" t="s">
        <v>241</v>
      </c>
      <c r="B19" s="49" t="s">
        <v>251</v>
      </c>
      <c r="C19" s="49" t="s">
        <v>252</v>
      </c>
      <c r="D19" s="49" t="s">
        <v>240</v>
      </c>
      <c r="E19" s="22" t="str">
        <f>_xll.BDP(AX19,"SECURITY NAME")</f>
        <v>Baidu Inc</v>
      </c>
      <c r="F19" s="22" t="str">
        <f>_xll.BDP(AX19,"CRNCY")</f>
        <v>HKD</v>
      </c>
      <c r="G19" s="23" t="s">
        <v>331</v>
      </c>
      <c r="H19" s="22" t="str" cm="1">
        <f t="array" ref="H19">IF(OR(_xll.BDP($AX19,"DX202")= "#N/A N/A", _xll.BDP($AX19,"DX202")="#N/A FIELD NOT APPLICABLE"), " ", _xll.BDP($AX19,"DX202"))</f>
        <v>Communication Services</v>
      </c>
      <c r="I19" s="24">
        <f>_xll.BDP(AX19,"CRNCY_ADJ_MKT_CAP", "EQY_FUND_CRNCY=USD")/1000</f>
        <v>31.77216003609939</v>
      </c>
      <c r="J19" s="25">
        <f>IFERROR(_xll.BDP(AX19, "DV013")/100,0)</f>
        <v>0</v>
      </c>
      <c r="K19" s="26" t="str" cm="1">
        <f t="array" ref="K19">IF(OR(_xll.BDP($AX19,"RR900")= "#N/A N/A", _xll.BDP($AX19,"RR900")="#N/A FIELD NOT APPLICABLE"), " ", _xll.BDP($AX19,"RR900"))</f>
        <v xml:space="preserve"> </v>
      </c>
      <c r="L19" s="26" cm="1">
        <f t="array" ref="L19">IF(OR(_xll.BDP($AX19,"EE010")= "#N/A N/A", _xll.BDP($AX19,"EE010")="#N/A FIELD NOT APPLICABLE"), " ", _xll.BDP($AX19,"EE010"))</f>
        <v>8.3023444149505838</v>
      </c>
      <c r="M19" s="26" t="str" cm="1">
        <f t="array" ref="M19">IF(OR(_xll.BDP($AX19,"RR903")= "#N/A N/A", _xll.BDP($AX19,"RR903")="#N/A FIELD NOT APPLICABLE"), " ", _xll.BDP($AX19,"RR903"))</f>
        <v xml:space="preserve"> </v>
      </c>
      <c r="N19" s="26" t="str" cm="1">
        <f t="array" ref="N19">IF(OR(_xll.BDP($AX19,"RR957")= "#N/A N/A", _xll.BDP($AX19,"RR957")="#N/A FIELD NOT APPLICABLE"), " ", _xll.BDP($AX19,"RR957"))</f>
        <v xml:space="preserve"> </v>
      </c>
      <c r="O19" s="27">
        <v>4000</v>
      </c>
      <c r="P19" s="28">
        <v>94.7</v>
      </c>
      <c r="Q19" s="22" cm="1">
        <f t="array" ref="Q19">IF(OR(_xll.BDP($AX19,"PX_last")="#N/A N/A",_xll.BDP($AX19,"PX_Last")="#N/A FIELD NOT APPLICABLE")," ",IF(F19="GBP",(_xll.BDP($AX19,"PX_LAST")/100),(_xll.BDP($AX19,"PX_LAST"))))</f>
        <v>87.8</v>
      </c>
      <c r="R19" s="29">
        <f>IF(F19="USD",AA19,(((_xll.BDP(F19&amp;"USD CURNCY","PX_LAST")))*AA19))</f>
        <v>48872.775999999998</v>
      </c>
      <c r="S19" s="29">
        <f>IF(F19="USD",AB19,(((_xll.BDP(F19&amp;"USD CURNCY","PX_LAST")))*AB19))</f>
        <v>45311.824000000001</v>
      </c>
      <c r="T19" s="12">
        <f>S19-R19</f>
        <v>-3560.9519999999975</v>
      </c>
      <c r="U19" s="13">
        <f>T19/R19</f>
        <v>-7.2861668426610307E-2</v>
      </c>
      <c r="V19" s="13" cm="1">
        <f t="array" ref="V19">IFERROR(_xll.BDP($G19&amp;" Equity","CHG_PCT_1D")/100,"")</f>
        <v>4.0022870000000002E-3</v>
      </c>
      <c r="W19" s="13" cm="1">
        <f t="array" ref="W19">IFERROR(_xll.BDP($G19&amp;" Equity","CHG_PCT_5D")/100,"")</f>
        <v>2.2831050000000001E-3</v>
      </c>
      <c r="X19" s="13" t="e">
        <f>S19/#REF!</f>
        <v>#REF!</v>
      </c>
      <c r="Y19" s="24">
        <f>IFERROR(S19*J19,0)</f>
        <v>0</v>
      </c>
      <c r="Z19" s="24">
        <f>S19</f>
        <v>45311.824000000001</v>
      </c>
      <c r="AA19" s="29">
        <f>P19*O19</f>
        <v>378800</v>
      </c>
      <c r="AB19" s="29">
        <f>IFERROR(O19*Q19,0)</f>
        <v>351200</v>
      </c>
      <c r="AC19" s="4" t="e" cm="1">
        <f t="array" ref="AC19">VLOOKUP(IF(NOT(_xll.BDP(AX19,$BW$8)="#N/A N/A"),(_xll.BDP(AX19,$BW$8)),"-"), '[1]Country Codes'!$A$2:$B$253,2,0)</f>
        <v>#N/A</v>
      </c>
      <c r="AD19" s="30" t="str" cm="1">
        <f t="array" ref="AD19">IF(OR(_xll.BDP($AX19,"EX028")= "#N/A N/A", _xll.BDP($AX19,"EX028")="#N/A FIELD NOT APPLICABLE"), " ", _xll.BDP($AX19,"EX028"))</f>
        <v>Equity</v>
      </c>
      <c r="AE19" s="31" t="str">
        <f>IF(("AS97"="Equity"), " ", "Single Line Equity")</f>
        <v>Single Line Equity</v>
      </c>
      <c r="AF19" s="26" t="str" cm="1">
        <f t="array" ref="AF19">IF(OR(_xll.BDP($AX19,"RR908")= "#N/A N/A", _xll.BDP($AX19,"RR908")="#N/A FIELD NOT APPLICABLE"), " ", _xll.BDP($AX19,"RR908"))</f>
        <v xml:space="preserve"> </v>
      </c>
      <c r="AG19" s="26" cm="1">
        <f t="array" ref="AG19">IF(OR(_xll.BDP($AX19,"RR041")= "#N/A N/A", _xll.BDP($AX19,"RR041")="#N/A FIELD NOT APPLICABLE"), " ", _xll.BDP($AX19,"RR041"))</f>
        <v>18.543176399083642</v>
      </c>
      <c r="AH19" s="22">
        <f>_xll.BDP(AX19,"TOT_BUY_REC")</f>
        <v>25</v>
      </c>
      <c r="AI19" s="22">
        <f>_xll.BDP(AX19,"TOT_HOLD_REC")</f>
        <v>8</v>
      </c>
      <c r="AJ19" s="22">
        <f>_xll.BDP(AX19,"TOT_SELL_REC")</f>
        <v>0</v>
      </c>
      <c r="AK19" s="26" cm="1">
        <f t="array" ref="AK19">IF(OR(_xll.BDP($AX19,"EE201")= "#N/A N/A", _xll.BDP($AX19,"EE201")="#N/A FIELD NOT APPLICABLE"), " ", _xll.BDP($AX19,"EE201"))</f>
        <v>4.4242424964904785</v>
      </c>
      <c r="AL19" s="24">
        <f>_xll.BDP(AX19,"BEST_TARGET_PRICE")</f>
        <v>105.39727020263672</v>
      </c>
      <c r="AM19" s="32">
        <f>(AL19/Q19)-1</f>
        <v>0.20042448977946159</v>
      </c>
      <c r="AN19" s="32">
        <f>_xll.BDP(AX19,"PR061")/100</f>
        <v>0</v>
      </c>
      <c r="AO19" s="32">
        <f>_xll.BDP(AX19,"PR064")/100</f>
        <v>1.327177E-2</v>
      </c>
      <c r="AP19" s="32">
        <f>_xll.BDP(AX19,"CHG_PCT_6M")/100</f>
        <v>-6.787347E-3</v>
      </c>
      <c r="AQ19" s="25">
        <f>_xll.BDP(AX19,"PR079")/100</f>
        <v>6.1668719999999996E-2</v>
      </c>
      <c r="AR19" s="33">
        <f>_xll.BDP(AX19,"hs001")</f>
        <v>119.4</v>
      </c>
      <c r="AS19" s="33">
        <f>_xll.BDP(AX19,"hs002")</f>
        <v>73.25</v>
      </c>
      <c r="AT19" s="22" t="str" cm="1">
        <f t="array" ref="AT19">IF(OR(_xll.BDP($AX19,"DX202")= "#N/A N/A", _xll.BDP($AX19,"DX202")="#N/A FIELD NOT APPLICABLE"), " ", _xll.BDP($AX19,"DX202"))</f>
        <v>Communication Services</v>
      </c>
      <c r="AU19" s="22" t="str" cm="1">
        <f t="array" ref="AU19">IF(OR(_xll.BDP($AX19,"DY997")= "#N/A N/A", _xll.BDP($AX19,"DY997")="#N/A FIELD NOT APPLICABLE"), " ", _xll.BDP($AX19,"DY997"))</f>
        <v>N</v>
      </c>
      <c r="AV19" s="22" t="str" cm="1">
        <f t="array" ref="AV19">IF(OR(_xll.BDP($AX19,"DY784")= "#N/A N/A", _xll.BDP($AX19,"DY784")="#N/A FIELD NOT APPLICABLE"), " ", _xll.BDP($AX19,"DY784"))</f>
        <v xml:space="preserve"> </v>
      </c>
      <c r="AW19" s="22" t="str">
        <f>IF(OR(AU19="Y",AV19="Y"),"Y","N")</f>
        <v>N</v>
      </c>
      <c r="AX19" s="22" t="str">
        <f>CONCATENATE(G19," ",$AX$2)</f>
        <v>9888 HK Equity</v>
      </c>
      <c r="BC19" s="17" t="str" cm="1">
        <f t="array" ref="BC19">_xll.BDP(AX19,"ID005")</f>
        <v>KYG070341048</v>
      </c>
      <c r="BD19" s="17">
        <v>0.75</v>
      </c>
      <c r="BE19" s="18">
        <v>4</v>
      </c>
      <c r="BF19" s="19">
        <v>45540</v>
      </c>
      <c r="BG19" s="20">
        <v>1</v>
      </c>
    </row>
    <row r="20" spans="1:59" s="3" customFormat="1" ht="14.45" customHeight="1" x14ac:dyDescent="0.25">
      <c r="A20" s="49" t="s">
        <v>241</v>
      </c>
      <c r="B20" s="49" t="s">
        <v>253</v>
      </c>
      <c r="C20" s="49" t="s">
        <v>254</v>
      </c>
      <c r="D20" s="49" t="s">
        <v>240</v>
      </c>
      <c r="E20" s="22" t="str">
        <f>_xll.BDP(AX20,"SECURITY NAME")</f>
        <v>Baidu Inc</v>
      </c>
      <c r="F20" s="22" t="str">
        <f>_xll.BDP(AX20,"CRNCY")</f>
        <v>HKD</v>
      </c>
      <c r="G20" s="23" t="s">
        <v>331</v>
      </c>
      <c r="H20" s="22" t="str" cm="1">
        <f t="array" ref="H20">IF(OR(_xll.BDP($AX20,"DX202")= "#N/A N/A", _xll.BDP($AX20,"DX202")="#N/A FIELD NOT APPLICABLE"), " ", _xll.BDP($AX20,"DX202"))</f>
        <v>Communication Services</v>
      </c>
      <c r="I20" s="24">
        <f>_xll.BDP(AX20,"CRNCY_ADJ_MKT_CAP", "EQY_FUND_CRNCY=USD")/1000</f>
        <v>31.77216003609939</v>
      </c>
      <c r="J20" s="25">
        <f>IFERROR(_xll.BDP(AX20, "DV013")/100,0)</f>
        <v>0</v>
      </c>
      <c r="K20" s="26" t="str" cm="1">
        <f t="array" ref="K20">IF(OR(_xll.BDP($AX20,"RR900")= "#N/A N/A", _xll.BDP($AX20,"RR900")="#N/A FIELD NOT APPLICABLE"), " ", _xll.BDP($AX20,"RR900"))</f>
        <v xml:space="preserve"> </v>
      </c>
      <c r="L20" s="26" cm="1">
        <f t="array" ref="L20">IF(OR(_xll.BDP($AX20,"EE010")= "#N/A N/A", _xll.BDP($AX20,"EE010")="#N/A FIELD NOT APPLICABLE"), " ", _xll.BDP($AX20,"EE010"))</f>
        <v>8.3023444149505838</v>
      </c>
      <c r="M20" s="26" t="str" cm="1">
        <f t="array" ref="M20">IF(OR(_xll.BDP($AX20,"RR903")= "#N/A N/A", _xll.BDP($AX20,"RR903")="#N/A FIELD NOT APPLICABLE"), " ", _xll.BDP($AX20,"RR903"))</f>
        <v xml:space="preserve"> </v>
      </c>
      <c r="N20" s="26" t="str" cm="1">
        <f t="array" ref="N20">IF(OR(_xll.BDP($AX20,"RR957")= "#N/A N/A", _xll.BDP($AX20,"RR957")="#N/A FIELD NOT APPLICABLE"), " ", _xll.BDP($AX20,"RR957"))</f>
        <v xml:space="preserve"> </v>
      </c>
      <c r="O20" s="27">
        <v>2500</v>
      </c>
      <c r="P20" s="28">
        <v>94.65</v>
      </c>
      <c r="Q20" s="22" cm="1">
        <f t="array" ref="Q20">IF(OR(_xll.BDP($AX20,"PX_last")="#N/A N/A",_xll.BDP($AX20,"PX_Last")="#N/A FIELD NOT APPLICABLE")," ",IF(F20="GBP",(_xll.BDP($AX20,"PX_LAST")/100),(_xll.BDP($AX20,"PX_LAST"))))</f>
        <v>87.8</v>
      </c>
      <c r="R20" s="29">
        <f>IF(F20="USD",AA20,(((_xll.BDP(F20&amp;"USD CURNCY","PX_LAST")))*AA20))</f>
        <v>30529.357499999998</v>
      </c>
      <c r="S20" s="29">
        <f>IF(F20="USD",AB20,(((_xll.BDP(F20&amp;"USD CURNCY","PX_LAST")))*AB20))</f>
        <v>28319.89</v>
      </c>
      <c r="T20" s="12">
        <f>S20-R20</f>
        <v>-2209.4674999999988</v>
      </c>
      <c r="U20" s="13">
        <f>T20/R20</f>
        <v>-7.2371896460644444E-2</v>
      </c>
      <c r="V20" s="13" cm="1">
        <f t="array" ref="V20">IFERROR(_xll.BDP($G20&amp;" Equity","CHG_PCT_1D")/100,"")</f>
        <v>4.0022870000000002E-3</v>
      </c>
      <c r="W20" s="13" cm="1">
        <f t="array" ref="W20">IFERROR(_xll.BDP($G20&amp;" Equity","CHG_PCT_5D")/100,"")</f>
        <v>2.2831050000000001E-3</v>
      </c>
      <c r="X20" s="13" t="e">
        <f>S20/#REF!</f>
        <v>#REF!</v>
      </c>
      <c r="Y20" s="24">
        <f>IFERROR(S20*J20,0)</f>
        <v>0</v>
      </c>
      <c r="Z20" s="24">
        <f>S20</f>
        <v>28319.89</v>
      </c>
      <c r="AA20" s="29">
        <f>P20*O20</f>
        <v>236625</v>
      </c>
      <c r="AB20" s="29">
        <f>IFERROR(O20*Q20,0)</f>
        <v>219500</v>
      </c>
      <c r="AC20" s="4" t="e" cm="1">
        <f t="array" ref="AC20">VLOOKUP(IF(NOT(_xll.BDP(AX20,$BW$8)="#N/A N/A"),(_xll.BDP(AX20,$BW$8)),"-"), '[1]Country Codes'!$A$2:$B$253,2,0)</f>
        <v>#N/A</v>
      </c>
      <c r="AD20" s="30" t="str" cm="1">
        <f t="array" ref="AD20">IF(OR(_xll.BDP($AX20,"EX028")= "#N/A N/A", _xll.BDP($AX20,"EX028")="#N/A FIELD NOT APPLICABLE"), " ", _xll.BDP($AX20,"EX028"))</f>
        <v>Equity</v>
      </c>
      <c r="AE20" s="31" t="str">
        <f>IF(("AS97"="Equity"), " ", "Single Line Equity")</f>
        <v>Single Line Equity</v>
      </c>
      <c r="AF20" s="26" t="str" cm="1">
        <f t="array" ref="AF20">IF(OR(_xll.BDP($AX20,"RR908")= "#N/A N/A", _xll.BDP($AX20,"RR908")="#N/A FIELD NOT APPLICABLE"), " ", _xll.BDP($AX20,"RR908"))</f>
        <v xml:space="preserve"> </v>
      </c>
      <c r="AG20" s="26" cm="1">
        <f t="array" ref="AG20">IF(OR(_xll.BDP($AX20,"RR041")= "#N/A N/A", _xll.BDP($AX20,"RR041")="#N/A FIELD NOT APPLICABLE"), " ", _xll.BDP($AX20,"RR041"))</f>
        <v>18.543176399083642</v>
      </c>
      <c r="AH20" s="22">
        <f>_xll.BDP(AX20,"TOT_BUY_REC")</f>
        <v>25</v>
      </c>
      <c r="AI20" s="22">
        <f>_xll.BDP(AX20,"TOT_HOLD_REC")</f>
        <v>8</v>
      </c>
      <c r="AJ20" s="22">
        <f>_xll.BDP(AX20,"TOT_SELL_REC")</f>
        <v>0</v>
      </c>
      <c r="AK20" s="26" cm="1">
        <f t="array" ref="AK20">IF(OR(_xll.BDP($AX20,"EE201")= "#N/A N/A", _xll.BDP($AX20,"EE201")="#N/A FIELD NOT APPLICABLE"), " ", _xll.BDP($AX20,"EE201"))</f>
        <v>4.4242424964904785</v>
      </c>
      <c r="AL20" s="24">
        <f>_xll.BDP(AX20,"BEST_TARGET_PRICE")</f>
        <v>105.39727020263672</v>
      </c>
      <c r="AM20" s="32">
        <f>(AL20/Q20)-1</f>
        <v>0.20042448977946159</v>
      </c>
      <c r="AN20" s="32">
        <f>_xll.BDP(AX20,"PR061")/100</f>
        <v>0</v>
      </c>
      <c r="AO20" s="32">
        <f>_xll.BDP(AX20,"PR064")/100</f>
        <v>1.327177E-2</v>
      </c>
      <c r="AP20" s="32">
        <f>_xll.BDP(AX20,"CHG_PCT_6M")/100</f>
        <v>-6.787347E-3</v>
      </c>
      <c r="AQ20" s="25">
        <f>_xll.BDP(AX20,"PR079")/100</f>
        <v>6.1668719999999996E-2</v>
      </c>
      <c r="AR20" s="33">
        <f>_xll.BDP(AX20,"hs001")</f>
        <v>119.4</v>
      </c>
      <c r="AS20" s="33">
        <f>_xll.BDP(AX20,"hs002")</f>
        <v>73.25</v>
      </c>
      <c r="AT20" s="22" t="str" cm="1">
        <f t="array" ref="AT20">IF(OR(_xll.BDP($AX20,"DX202")= "#N/A N/A", _xll.BDP($AX20,"DX202")="#N/A FIELD NOT APPLICABLE"), " ", _xll.BDP($AX20,"DX202"))</f>
        <v>Communication Services</v>
      </c>
      <c r="AU20" s="22" t="str" cm="1">
        <f t="array" ref="AU20">IF(OR(_xll.BDP($AX20,"DY997")= "#N/A N/A", _xll.BDP($AX20,"DY997")="#N/A FIELD NOT APPLICABLE"), " ", _xll.BDP($AX20,"DY997"))</f>
        <v>N</v>
      </c>
      <c r="AV20" s="22" t="str" cm="1">
        <f t="array" ref="AV20">IF(OR(_xll.BDP($AX20,"DY784")= "#N/A N/A", _xll.BDP($AX20,"DY784")="#N/A FIELD NOT APPLICABLE"), " ", _xll.BDP($AX20,"DY784"))</f>
        <v xml:space="preserve"> </v>
      </c>
      <c r="AW20" s="22" t="str">
        <f>IF(OR(AU20="Y",AV20="Y"),"Y","N")</f>
        <v>N</v>
      </c>
      <c r="AX20" s="22" t="str">
        <f>CONCATENATE(G20," ",$AX$2)</f>
        <v>9888 HK Equity</v>
      </c>
      <c r="BC20" s="17" t="str" cm="1">
        <f t="array" ref="BC20">_xll.BDP(AX20,"ID005")</f>
        <v>KYG070341048</v>
      </c>
      <c r="BD20" s="17">
        <v>0.75</v>
      </c>
      <c r="BE20" s="18">
        <v>4</v>
      </c>
      <c r="BF20" s="19">
        <v>45540</v>
      </c>
      <c r="BG20" s="20">
        <v>1</v>
      </c>
    </row>
    <row r="21" spans="1:59" s="3" customFormat="1" ht="14.45" customHeight="1" x14ac:dyDescent="0.25">
      <c r="A21" s="49" t="s">
        <v>241</v>
      </c>
      <c r="B21" s="49" t="s">
        <v>262</v>
      </c>
      <c r="C21" s="49" t="s">
        <v>263</v>
      </c>
      <c r="D21" s="49" t="s">
        <v>240</v>
      </c>
      <c r="E21" s="22" t="str">
        <f>_xll.BDP(AX21,"SECURITY NAME")</f>
        <v>Baidu Inc</v>
      </c>
      <c r="F21" s="22" t="str">
        <f>_xll.BDP(AX21,"CRNCY")</f>
        <v>HKD</v>
      </c>
      <c r="G21" s="23" t="s">
        <v>331</v>
      </c>
      <c r="H21" s="22" t="str" cm="1">
        <f t="array" ref="H21">IF(OR(_xll.BDP($AX21,"DX202")= "#N/A N/A", _xll.BDP($AX21,"DX202")="#N/A FIELD NOT APPLICABLE"), " ", _xll.BDP($AX21,"DX202"))</f>
        <v>Communication Services</v>
      </c>
      <c r="I21" s="24">
        <f>_xll.BDP(AX21,"CRNCY_ADJ_MKT_CAP", "EQY_FUND_CRNCY=USD")/1000</f>
        <v>31.77216003609939</v>
      </c>
      <c r="J21" s="25">
        <f>IFERROR(_xll.BDP(AX21, "DV013")/100,0)</f>
        <v>0</v>
      </c>
      <c r="K21" s="26" t="str" cm="1">
        <f t="array" ref="K21">IF(OR(_xll.BDP($AX21,"RR900")= "#N/A N/A", _xll.BDP($AX21,"RR900")="#N/A FIELD NOT APPLICABLE"), " ", _xll.BDP($AX21,"RR900"))</f>
        <v xml:space="preserve"> </v>
      </c>
      <c r="L21" s="26" cm="1">
        <f t="array" ref="L21">IF(OR(_xll.BDP($AX21,"EE010")= "#N/A N/A", _xll.BDP($AX21,"EE010")="#N/A FIELD NOT APPLICABLE"), " ", _xll.BDP($AX21,"EE010"))</f>
        <v>8.3023444149505838</v>
      </c>
      <c r="M21" s="26" t="str" cm="1">
        <f t="array" ref="M21">IF(OR(_xll.BDP($AX21,"RR903")= "#N/A N/A", _xll.BDP($AX21,"RR903")="#N/A FIELD NOT APPLICABLE"), " ", _xll.BDP($AX21,"RR903"))</f>
        <v xml:space="preserve"> </v>
      </c>
      <c r="N21" s="26" t="str" cm="1">
        <f t="array" ref="N21">IF(OR(_xll.BDP($AX21,"RR957")= "#N/A N/A", _xll.BDP($AX21,"RR957")="#N/A FIELD NOT APPLICABLE"), " ", _xll.BDP($AX21,"RR957"))</f>
        <v xml:space="preserve"> </v>
      </c>
      <c r="O21" s="27">
        <v>8000</v>
      </c>
      <c r="P21" s="28">
        <v>94.674689999999998</v>
      </c>
      <c r="Q21" s="22" cm="1">
        <f t="array" ref="Q21">IF(OR(_xll.BDP($AX21,"PX_last")="#N/A N/A",_xll.BDP($AX21,"PX_Last")="#N/A FIELD NOT APPLICABLE")," ",IF(F21="GBP",(_xll.BDP($AX21,"PX_LAST")/100),(_xll.BDP($AX21,"PX_LAST"))))</f>
        <v>87.8</v>
      </c>
      <c r="R21" s="29">
        <f>IF(F21="USD",AA21,(((_xll.BDP(F21&amp;"USD CURNCY","PX_LAST")))*AA21))</f>
        <v>97719.428030399999</v>
      </c>
      <c r="S21" s="29">
        <f>IF(F21="USD",AB21,(((_xll.BDP(F21&amp;"USD CURNCY","PX_LAST")))*AB21))</f>
        <v>90623.648000000001</v>
      </c>
      <c r="T21" s="12">
        <f>S21-R21</f>
        <v>-7095.7800303999975</v>
      </c>
      <c r="U21" s="13">
        <f>T21/R21</f>
        <v>-7.2613810512608998E-2</v>
      </c>
      <c r="V21" s="13" cm="1">
        <f t="array" ref="V21">IFERROR(_xll.BDP($G21&amp;" Equity","CHG_PCT_1D")/100,"")</f>
        <v>4.0022870000000002E-3</v>
      </c>
      <c r="W21" s="13" cm="1">
        <f t="array" ref="W21">IFERROR(_xll.BDP($G21&amp;" Equity","CHG_PCT_5D")/100,"")</f>
        <v>2.2831050000000001E-3</v>
      </c>
      <c r="X21" s="13" t="e">
        <f>S21/#REF!</f>
        <v>#REF!</v>
      </c>
      <c r="Y21" s="24">
        <f>IFERROR(S21*J21,0)</f>
        <v>0</v>
      </c>
      <c r="Z21" s="24">
        <f>S21</f>
        <v>90623.648000000001</v>
      </c>
      <c r="AA21" s="29">
        <f>P21*O21</f>
        <v>757397.52</v>
      </c>
      <c r="AB21" s="29">
        <f>IFERROR(O21*Q21,0)</f>
        <v>702400</v>
      </c>
      <c r="AC21" s="4" t="e" cm="1">
        <f t="array" ref="AC21">VLOOKUP(IF(NOT(_xll.BDP(AX21,$BW$8)="#N/A N/A"),(_xll.BDP(AX21,$BW$8)),"-"), '[1]Country Codes'!$A$2:$B$253,2,0)</f>
        <v>#N/A</v>
      </c>
      <c r="AD21" s="30" t="str" cm="1">
        <f t="array" ref="AD21">IF(OR(_xll.BDP($AX21,"EX028")= "#N/A N/A", _xll.BDP($AX21,"EX028")="#N/A FIELD NOT APPLICABLE"), " ", _xll.BDP($AX21,"EX028"))</f>
        <v>Equity</v>
      </c>
      <c r="AE21" s="31" t="str">
        <f>IF(("AS97"="Equity"), " ", "Single Line Equity")</f>
        <v>Single Line Equity</v>
      </c>
      <c r="AF21" s="26" t="str" cm="1">
        <f t="array" ref="AF21">IF(OR(_xll.BDP($AX21,"RR908")= "#N/A N/A", _xll.BDP($AX21,"RR908")="#N/A FIELD NOT APPLICABLE"), " ", _xll.BDP($AX21,"RR908"))</f>
        <v xml:space="preserve"> </v>
      </c>
      <c r="AG21" s="26" cm="1">
        <f t="array" ref="AG21">IF(OR(_xll.BDP($AX21,"RR041")= "#N/A N/A", _xll.BDP($AX21,"RR041")="#N/A FIELD NOT APPLICABLE"), " ", _xll.BDP($AX21,"RR041"))</f>
        <v>18.543176399083642</v>
      </c>
      <c r="AH21" s="22">
        <f>_xll.BDP(AX21,"TOT_BUY_REC")</f>
        <v>25</v>
      </c>
      <c r="AI21" s="22">
        <f>_xll.BDP(AX21,"TOT_HOLD_REC")</f>
        <v>8</v>
      </c>
      <c r="AJ21" s="22">
        <f>_xll.BDP(AX21,"TOT_SELL_REC")</f>
        <v>0</v>
      </c>
      <c r="AK21" s="26" cm="1">
        <f t="array" ref="AK21">IF(OR(_xll.BDP($AX21,"EE201")= "#N/A N/A", _xll.BDP($AX21,"EE201")="#N/A FIELD NOT APPLICABLE"), " ", _xll.BDP($AX21,"EE201"))</f>
        <v>4.4242424964904785</v>
      </c>
      <c r="AL21" s="24">
        <f>_xll.BDP(AX21,"BEST_TARGET_PRICE")</f>
        <v>105.39727020263672</v>
      </c>
      <c r="AM21" s="32">
        <f>(AL21/Q21)-1</f>
        <v>0.20042448977946159</v>
      </c>
      <c r="AN21" s="32">
        <f>_xll.BDP(AX21,"PR061")/100</f>
        <v>0</v>
      </c>
      <c r="AO21" s="32">
        <f>_xll.BDP(AX21,"PR064")/100</f>
        <v>1.327177E-2</v>
      </c>
      <c r="AP21" s="32">
        <f>_xll.BDP(AX21,"CHG_PCT_6M")/100</f>
        <v>-6.787347E-3</v>
      </c>
      <c r="AQ21" s="25">
        <f>_xll.BDP(AX21,"PR079")/100</f>
        <v>6.1668719999999996E-2</v>
      </c>
      <c r="AR21" s="33">
        <f>_xll.BDP(AX21,"hs001")</f>
        <v>119.4</v>
      </c>
      <c r="AS21" s="33">
        <f>_xll.BDP(AX21,"hs002")</f>
        <v>73.25</v>
      </c>
      <c r="AT21" s="22" t="str" cm="1">
        <f t="array" ref="AT21">IF(OR(_xll.BDP($AX21,"DX202")= "#N/A N/A", _xll.BDP($AX21,"DX202")="#N/A FIELD NOT APPLICABLE"), " ", _xll.BDP($AX21,"DX202"))</f>
        <v>Communication Services</v>
      </c>
      <c r="AU21" s="22" t="str" cm="1">
        <f t="array" ref="AU21">IF(OR(_xll.BDP($AX21,"DY997")= "#N/A N/A", _xll.BDP($AX21,"DY997")="#N/A FIELD NOT APPLICABLE"), " ", _xll.BDP($AX21,"DY997"))</f>
        <v>N</v>
      </c>
      <c r="AV21" s="22" t="str" cm="1">
        <f t="array" ref="AV21">IF(OR(_xll.BDP($AX21,"DY784")= "#N/A N/A", _xll.BDP($AX21,"DY784")="#N/A FIELD NOT APPLICABLE"), " ", _xll.BDP($AX21,"DY784"))</f>
        <v xml:space="preserve"> </v>
      </c>
      <c r="AW21" s="22" t="str">
        <f>IF(OR(AU21="Y",AV21="Y"),"Y","N")</f>
        <v>N</v>
      </c>
      <c r="AX21" s="22" t="str">
        <f>CONCATENATE(G21," ",$AX$2)</f>
        <v>9888 HK Equity</v>
      </c>
      <c r="BC21" s="17" t="str" cm="1">
        <f t="array" ref="BC21">_xll.BDP(AX21,"ID005")</f>
        <v>KYG070341048</v>
      </c>
      <c r="BD21" s="17">
        <v>0.75</v>
      </c>
      <c r="BE21" s="18">
        <v>4</v>
      </c>
      <c r="BF21" s="19">
        <v>45540</v>
      </c>
      <c r="BG21" s="20">
        <v>1</v>
      </c>
    </row>
    <row r="22" spans="1:59" s="3" customFormat="1" ht="14.45" customHeight="1" x14ac:dyDescent="0.25">
      <c r="A22" s="49" t="s">
        <v>241</v>
      </c>
      <c r="B22" s="49" t="s">
        <v>266</v>
      </c>
      <c r="C22" s="49" t="s">
        <v>267</v>
      </c>
      <c r="D22" s="49" t="s">
        <v>240</v>
      </c>
      <c r="E22" s="22" t="str">
        <f>_xll.BDP(AX22,"SECURITY NAME")</f>
        <v>Baidu Inc</v>
      </c>
      <c r="F22" s="22" t="str">
        <f>_xll.BDP(AX22,"CRNCY")</f>
        <v>HKD</v>
      </c>
      <c r="G22" s="23" t="s">
        <v>331</v>
      </c>
      <c r="H22" s="22" t="str" cm="1">
        <f t="array" ref="H22">IF(OR(_xll.BDP($AX22,"DX202")= "#N/A N/A", _xll.BDP($AX22,"DX202")="#N/A FIELD NOT APPLICABLE"), " ", _xll.BDP($AX22,"DX202"))</f>
        <v>Communication Services</v>
      </c>
      <c r="I22" s="24">
        <f>_xll.BDP(AX22,"CRNCY_ADJ_MKT_CAP", "EQY_FUND_CRNCY=USD")/1000</f>
        <v>31.77216003609939</v>
      </c>
      <c r="J22" s="25">
        <f>IFERROR(_xll.BDP(AX22, "DV013")/100,0)</f>
        <v>0</v>
      </c>
      <c r="K22" s="26" t="str" cm="1">
        <f t="array" ref="K22">IF(OR(_xll.BDP($AX22,"RR900")= "#N/A N/A", _xll.BDP($AX22,"RR900")="#N/A FIELD NOT APPLICABLE"), " ", _xll.BDP($AX22,"RR900"))</f>
        <v xml:space="preserve"> </v>
      </c>
      <c r="L22" s="26" cm="1">
        <f t="array" ref="L22">IF(OR(_xll.BDP($AX22,"EE010")= "#N/A N/A", _xll.BDP($AX22,"EE010")="#N/A FIELD NOT APPLICABLE"), " ", _xll.BDP($AX22,"EE010"))</f>
        <v>8.3023444149505838</v>
      </c>
      <c r="M22" s="26" t="str" cm="1">
        <f t="array" ref="M22">IF(OR(_xll.BDP($AX22,"RR903")= "#N/A N/A", _xll.BDP($AX22,"RR903")="#N/A FIELD NOT APPLICABLE"), " ", _xll.BDP($AX22,"RR903"))</f>
        <v xml:space="preserve"> </v>
      </c>
      <c r="N22" s="26" t="str" cm="1">
        <f t="array" ref="N22">IF(OR(_xll.BDP($AX22,"RR957")= "#N/A N/A", _xll.BDP($AX22,"RR957")="#N/A FIELD NOT APPLICABLE"), " ", _xll.BDP($AX22,"RR957"))</f>
        <v xml:space="preserve"> </v>
      </c>
      <c r="O22" s="27">
        <v>4000</v>
      </c>
      <c r="P22" s="28">
        <v>94.885630000000006</v>
      </c>
      <c r="Q22" s="22" cm="1">
        <f t="array" ref="Q22">IF(OR(_xll.BDP($AX22,"PX_last")="#N/A N/A",_xll.BDP($AX22,"PX_Last")="#N/A FIELD NOT APPLICABLE")," ",IF(F22="GBP",(_xll.BDP($AX22,"PX_LAST")/100),(_xll.BDP($AX22,"PX_LAST"))))</f>
        <v>87.8</v>
      </c>
      <c r="R22" s="29">
        <f>IF(F22="USD",AA22,(((_xll.BDP(F22&amp;"USD CURNCY","PX_LAST")))*AA22))</f>
        <v>48968.575930400002</v>
      </c>
      <c r="S22" s="29">
        <f>IF(F22="USD",AB22,(((_xll.BDP(F22&amp;"USD CURNCY","PX_LAST")))*AB22))</f>
        <v>45311.824000000001</v>
      </c>
      <c r="T22" s="12">
        <f>S22-R22</f>
        <v>-3656.7519304000016</v>
      </c>
      <c r="U22" s="13">
        <f>T22/R22</f>
        <v>-7.4675480365151217E-2</v>
      </c>
      <c r="V22" s="13" cm="1">
        <f t="array" ref="V22">IFERROR(_xll.BDP($G22&amp;" Equity","CHG_PCT_1D")/100,"")</f>
        <v>4.0022870000000002E-3</v>
      </c>
      <c r="W22" s="13" cm="1">
        <f t="array" ref="W22">IFERROR(_xll.BDP($G22&amp;" Equity","CHG_PCT_5D")/100,"")</f>
        <v>2.2831050000000001E-3</v>
      </c>
      <c r="X22" s="13" t="e">
        <f>S22/#REF!</f>
        <v>#REF!</v>
      </c>
      <c r="Y22" s="24">
        <f>IFERROR(S22*J22,0)</f>
        <v>0</v>
      </c>
      <c r="Z22" s="24">
        <f>S22</f>
        <v>45311.824000000001</v>
      </c>
      <c r="AA22" s="29">
        <f>P22*O22</f>
        <v>379542.52</v>
      </c>
      <c r="AB22" s="29">
        <f>IFERROR(O22*Q22,0)</f>
        <v>351200</v>
      </c>
      <c r="AC22" s="4" t="e" cm="1">
        <f t="array" ref="AC22">VLOOKUP(IF(NOT(_xll.BDP(AX22,$BW$8)="#N/A N/A"),(_xll.BDP(AX22,$BW$8)),"-"), '[1]Country Codes'!$A$2:$B$253,2,0)</f>
        <v>#N/A</v>
      </c>
      <c r="AD22" s="30" t="str" cm="1">
        <f t="array" ref="AD22">IF(OR(_xll.BDP($AX22,"EX028")= "#N/A N/A", _xll.BDP($AX22,"EX028")="#N/A FIELD NOT APPLICABLE"), " ", _xll.BDP($AX22,"EX028"))</f>
        <v>Equity</v>
      </c>
      <c r="AE22" s="31" t="str">
        <f>IF(("AS97"="Equity"), " ", "Single Line Equity")</f>
        <v>Single Line Equity</v>
      </c>
      <c r="AF22" s="26" t="str" cm="1">
        <f t="array" ref="AF22">IF(OR(_xll.BDP($AX22,"RR908")= "#N/A N/A", _xll.BDP($AX22,"RR908")="#N/A FIELD NOT APPLICABLE"), " ", _xll.BDP($AX22,"RR908"))</f>
        <v xml:space="preserve"> </v>
      </c>
      <c r="AG22" s="26" cm="1">
        <f t="array" ref="AG22">IF(OR(_xll.BDP($AX22,"RR041")= "#N/A N/A", _xll.BDP($AX22,"RR041")="#N/A FIELD NOT APPLICABLE"), " ", _xll.BDP($AX22,"RR041"))</f>
        <v>18.543176399083642</v>
      </c>
      <c r="AH22" s="22">
        <f>_xll.BDP(AX22,"TOT_BUY_REC")</f>
        <v>25</v>
      </c>
      <c r="AI22" s="22">
        <f>_xll.BDP(AX22,"TOT_HOLD_REC")</f>
        <v>8</v>
      </c>
      <c r="AJ22" s="22">
        <f>_xll.BDP(AX22,"TOT_SELL_REC")</f>
        <v>0</v>
      </c>
      <c r="AK22" s="26" cm="1">
        <f t="array" ref="AK22">IF(OR(_xll.BDP($AX22,"EE201")= "#N/A N/A", _xll.BDP($AX22,"EE201")="#N/A FIELD NOT APPLICABLE"), " ", _xll.BDP($AX22,"EE201"))</f>
        <v>4.4242424964904785</v>
      </c>
      <c r="AL22" s="24">
        <f>_xll.BDP(AX22,"BEST_TARGET_PRICE")</f>
        <v>105.39727020263672</v>
      </c>
      <c r="AM22" s="32">
        <f>(AL22/Q22)-1</f>
        <v>0.20042448977946159</v>
      </c>
      <c r="AN22" s="32">
        <f>_xll.BDP(AX22,"PR061")/100</f>
        <v>0</v>
      </c>
      <c r="AO22" s="32">
        <f>_xll.BDP(AX22,"PR064")/100</f>
        <v>1.327177E-2</v>
      </c>
      <c r="AP22" s="32">
        <f>_xll.BDP(AX22,"CHG_PCT_6M")/100</f>
        <v>-6.787347E-3</v>
      </c>
      <c r="AQ22" s="25">
        <f>_xll.BDP(AX22,"PR079")/100</f>
        <v>6.1668719999999996E-2</v>
      </c>
      <c r="AR22" s="33">
        <f>_xll.BDP(AX22,"hs001")</f>
        <v>119.4</v>
      </c>
      <c r="AS22" s="33">
        <f>_xll.BDP(AX22,"hs002")</f>
        <v>73.25</v>
      </c>
      <c r="AT22" s="22" t="str" cm="1">
        <f t="array" ref="AT22">IF(OR(_xll.BDP($AX22,"DX202")= "#N/A N/A", _xll.BDP($AX22,"DX202")="#N/A FIELD NOT APPLICABLE"), " ", _xll.BDP($AX22,"DX202"))</f>
        <v>Communication Services</v>
      </c>
      <c r="AU22" s="22" t="str" cm="1">
        <f t="array" ref="AU22">IF(OR(_xll.BDP($AX22,"DY997")= "#N/A N/A", _xll.BDP($AX22,"DY997")="#N/A FIELD NOT APPLICABLE"), " ", _xll.BDP($AX22,"DY997"))</f>
        <v>N</v>
      </c>
      <c r="AV22" s="22" t="str" cm="1">
        <f t="array" ref="AV22">IF(OR(_xll.BDP($AX22,"DY784")= "#N/A N/A", _xll.BDP($AX22,"DY784")="#N/A FIELD NOT APPLICABLE"), " ", _xll.BDP($AX22,"DY784"))</f>
        <v xml:space="preserve"> </v>
      </c>
      <c r="AW22" s="22" t="str">
        <f>IF(OR(AU22="Y",AV22="Y"),"Y","N")</f>
        <v>N</v>
      </c>
      <c r="AX22" s="22" t="str">
        <f>CONCATENATE(G22," ",$AX$2)</f>
        <v>9888 HK Equity</v>
      </c>
      <c r="BC22" s="17" t="str" cm="1">
        <f t="array" ref="BC22">_xll.BDP(AX22,"ID005")</f>
        <v>KYG070341048</v>
      </c>
      <c r="BD22" s="17">
        <v>0.7</v>
      </c>
      <c r="BE22" s="18">
        <v>4</v>
      </c>
      <c r="BF22" s="19">
        <v>45596</v>
      </c>
      <c r="BG22" s="20">
        <v>1</v>
      </c>
    </row>
    <row r="23" spans="1:59" s="3" customFormat="1" ht="14.45" customHeight="1" x14ac:dyDescent="0.25">
      <c r="A23" s="49" t="s">
        <v>242</v>
      </c>
      <c r="B23" s="49" t="s">
        <v>268</v>
      </c>
      <c r="C23" s="49" t="s">
        <v>269</v>
      </c>
      <c r="D23" s="49" t="s">
        <v>248</v>
      </c>
      <c r="E23" s="22" t="str">
        <f>_xll.BDP(AX23,"SECURITY NAME")</f>
        <v>Baidu Inc</v>
      </c>
      <c r="F23" s="22" t="str">
        <f>_xll.BDP(AX23,"CRNCY")</f>
        <v>HKD</v>
      </c>
      <c r="G23" s="23" t="s">
        <v>331</v>
      </c>
      <c r="H23" s="22" t="str" cm="1">
        <f t="array" ref="H23">IF(OR(_xll.BDP($AX23,"DX202")= "#N/A N/A", _xll.BDP($AX23,"DX202")="#N/A FIELD NOT APPLICABLE"), " ", _xll.BDP($AX23,"DX202"))</f>
        <v>Communication Services</v>
      </c>
      <c r="I23" s="24">
        <f>_xll.BDP(AX23,"CRNCY_ADJ_MKT_CAP", "EQY_FUND_CRNCY=USD")/1000</f>
        <v>31.77216003609939</v>
      </c>
      <c r="J23" s="25">
        <f>IFERROR(_xll.BDP(AX23, "DV013")/100,0)</f>
        <v>0</v>
      </c>
      <c r="K23" s="26" t="str" cm="1">
        <f t="array" ref="K23">IF(OR(_xll.BDP($AX23,"RR900")= "#N/A N/A", _xll.BDP($AX23,"RR900")="#N/A FIELD NOT APPLICABLE"), " ", _xll.BDP($AX23,"RR900"))</f>
        <v xml:space="preserve"> </v>
      </c>
      <c r="L23" s="26" cm="1">
        <f t="array" ref="L23">IF(OR(_xll.BDP($AX23,"EE010")= "#N/A N/A", _xll.BDP($AX23,"EE010")="#N/A FIELD NOT APPLICABLE"), " ", _xll.BDP($AX23,"EE010"))</f>
        <v>8.3023444149505838</v>
      </c>
      <c r="M23" s="26" t="str" cm="1">
        <f t="array" ref="M23">IF(OR(_xll.BDP($AX23,"RR903")= "#N/A N/A", _xll.BDP($AX23,"RR903")="#N/A FIELD NOT APPLICABLE"), " ", _xll.BDP($AX23,"RR903"))</f>
        <v xml:space="preserve"> </v>
      </c>
      <c r="N23" s="26" t="str" cm="1">
        <f t="array" ref="N23">IF(OR(_xll.BDP($AX23,"RR957")= "#N/A N/A", _xll.BDP($AX23,"RR957")="#N/A FIELD NOT APPLICABLE"), " ", _xll.BDP($AX23,"RR957"))</f>
        <v xml:space="preserve"> </v>
      </c>
      <c r="O23" s="27">
        <v>17050</v>
      </c>
      <c r="P23" s="28">
        <v>91.15</v>
      </c>
      <c r="Q23" s="22" cm="1">
        <f t="array" ref="Q23">IF(OR(_xll.BDP($AX23,"PX_last")="#N/A N/A",_xll.BDP($AX23,"PX_Last")="#N/A FIELD NOT APPLICABLE")," ",IF(F23="GBP",(_xll.BDP($AX23,"PX_LAST")/100),(_xll.BDP($AX23,"PX_LAST"))))</f>
        <v>87.8</v>
      </c>
      <c r="R23" s="29">
        <f>IF(F23="USD",AA23,(((_xll.BDP(F23&amp;"USD CURNCY","PX_LAST")))*AA23))</f>
        <v>200510.94965</v>
      </c>
      <c r="S23" s="29">
        <f>IF(F23="USD",AB23,(((_xll.BDP(F23&amp;"USD CURNCY","PX_LAST")))*AB23))</f>
        <v>193141.64979999998</v>
      </c>
      <c r="T23" s="12">
        <f>S23-R23</f>
        <v>-7369.2998500000103</v>
      </c>
      <c r="U23" s="13">
        <f>T23/R23</f>
        <v>-3.6752605595172842E-2</v>
      </c>
      <c r="V23" s="13" cm="1">
        <f t="array" ref="V23">IFERROR(_xll.BDP($G23&amp;" Equity","CHG_PCT_1D")/100,"")</f>
        <v>4.0022870000000002E-3</v>
      </c>
      <c r="W23" s="13" cm="1">
        <f t="array" ref="W23">IFERROR(_xll.BDP($G23&amp;" Equity","CHG_PCT_5D")/100,"")</f>
        <v>2.2831050000000001E-3</v>
      </c>
      <c r="X23" s="13" t="e">
        <f>S23/#REF!</f>
        <v>#REF!</v>
      </c>
      <c r="Y23" s="24">
        <f>IFERROR(S23*J23,0)</f>
        <v>0</v>
      </c>
      <c r="Z23" s="24">
        <f>S23</f>
        <v>193141.64979999998</v>
      </c>
      <c r="AA23" s="29">
        <f>P23*O23</f>
        <v>1554107.5</v>
      </c>
      <c r="AB23" s="29">
        <f>IFERROR(O23*Q23,0)</f>
        <v>1496990</v>
      </c>
      <c r="AC23" s="4" t="e" cm="1">
        <f t="array" ref="AC23">VLOOKUP(IF(NOT(_xll.BDP(AX23,$BW$8)="#N/A N/A"),(_xll.BDP(AX23,$BW$8)),"-"), '[1]Country Codes'!$A$2:$B$253,2,0)</f>
        <v>#N/A</v>
      </c>
      <c r="AD23" s="30" t="str" cm="1">
        <f t="array" ref="AD23">IF(OR(_xll.BDP($AX23,"EX028")= "#N/A N/A", _xll.BDP($AX23,"EX028")="#N/A FIELD NOT APPLICABLE"), " ", _xll.BDP($AX23,"EX028"))</f>
        <v>Equity</v>
      </c>
      <c r="AE23" s="31" t="str">
        <f>IF(("AS97"="Equity"), " ", "Single Line Equity")</f>
        <v>Single Line Equity</v>
      </c>
      <c r="AF23" s="26" t="str" cm="1">
        <f t="array" ref="AF23">IF(OR(_xll.BDP($AX23,"RR908")= "#N/A N/A", _xll.BDP($AX23,"RR908")="#N/A FIELD NOT APPLICABLE"), " ", _xll.BDP($AX23,"RR908"))</f>
        <v xml:space="preserve"> </v>
      </c>
      <c r="AG23" s="26" cm="1">
        <f t="array" ref="AG23">IF(OR(_xll.BDP($AX23,"RR041")= "#N/A N/A", _xll.BDP($AX23,"RR041")="#N/A FIELD NOT APPLICABLE"), " ", _xll.BDP($AX23,"RR041"))</f>
        <v>18.543176399083642</v>
      </c>
      <c r="AH23" s="22">
        <f>_xll.BDP(AX23,"TOT_BUY_REC")</f>
        <v>25</v>
      </c>
      <c r="AI23" s="22">
        <f>_xll.BDP(AX23,"TOT_HOLD_REC")</f>
        <v>8</v>
      </c>
      <c r="AJ23" s="22">
        <f>_xll.BDP(AX23,"TOT_SELL_REC")</f>
        <v>0</v>
      </c>
      <c r="AK23" s="26" cm="1">
        <f t="array" ref="AK23">IF(OR(_xll.BDP($AX23,"EE201")= "#N/A N/A", _xll.BDP($AX23,"EE201")="#N/A FIELD NOT APPLICABLE"), " ", _xll.BDP($AX23,"EE201"))</f>
        <v>4.4242424964904785</v>
      </c>
      <c r="AL23" s="24">
        <f>_xll.BDP(AX23,"BEST_TARGET_PRICE")</f>
        <v>105.39727020263672</v>
      </c>
      <c r="AM23" s="32">
        <f>(AL23/Q23)-1</f>
        <v>0.20042448977946159</v>
      </c>
      <c r="AN23" s="32">
        <f>_xll.BDP(AX23,"PR061")/100</f>
        <v>0</v>
      </c>
      <c r="AO23" s="32">
        <f>_xll.BDP(AX23,"PR064")/100</f>
        <v>1.327177E-2</v>
      </c>
      <c r="AP23" s="32">
        <f>_xll.BDP(AX23,"CHG_PCT_6M")/100</f>
        <v>-6.787347E-3</v>
      </c>
      <c r="AQ23" s="25">
        <f>_xll.BDP(AX23,"PR079")/100</f>
        <v>6.1668719999999996E-2</v>
      </c>
      <c r="AR23" s="33">
        <f>_xll.BDP(AX23,"hs001")</f>
        <v>119.4</v>
      </c>
      <c r="AS23" s="33">
        <f>_xll.BDP(AX23,"hs002")</f>
        <v>73.25</v>
      </c>
      <c r="AT23" s="22" t="str" cm="1">
        <f t="array" ref="AT23">IF(OR(_xll.BDP($AX23,"DX202")= "#N/A N/A", _xll.BDP($AX23,"DX202")="#N/A FIELD NOT APPLICABLE"), " ", _xll.BDP($AX23,"DX202"))</f>
        <v>Communication Services</v>
      </c>
      <c r="AU23" s="22" t="str" cm="1">
        <f t="array" ref="AU23">IF(OR(_xll.BDP($AX23,"DY997")= "#N/A N/A", _xll.BDP($AX23,"DY997")="#N/A FIELD NOT APPLICABLE"), " ", _xll.BDP($AX23,"DY997"))</f>
        <v>N</v>
      </c>
      <c r="AV23" s="22" t="str" cm="1">
        <f t="array" ref="AV23">IF(OR(_xll.BDP($AX23,"DY784")= "#N/A N/A", _xll.BDP($AX23,"DY784")="#N/A FIELD NOT APPLICABLE"), " ", _xll.BDP($AX23,"DY784"))</f>
        <v xml:space="preserve"> </v>
      </c>
      <c r="AW23" s="22" t="str">
        <f>IF(OR(AU23="Y",AV23="Y"),"Y","N")</f>
        <v>N</v>
      </c>
      <c r="AX23" s="22" t="str">
        <f>CONCATENATE(G23," ",$AX$2)</f>
        <v>9888 HK Equity</v>
      </c>
      <c r="BC23" s="17" t="str" cm="1">
        <f t="array" ref="BC23">_xll.BDP(AX23,"ID005")</f>
        <v>KYG070341048</v>
      </c>
      <c r="BD23" s="17">
        <v>0.74999999999999989</v>
      </c>
      <c r="BE23" s="18">
        <v>4</v>
      </c>
      <c r="BF23" s="19">
        <v>45610</v>
      </c>
      <c r="BG23" s="20">
        <v>1</v>
      </c>
    </row>
    <row r="24" spans="1:59" s="3" customFormat="1" ht="14.45" customHeight="1" x14ac:dyDescent="0.25">
      <c r="A24" s="49" t="s">
        <v>241</v>
      </c>
      <c r="B24" s="49" t="s">
        <v>270</v>
      </c>
      <c r="C24" s="49" t="s">
        <v>271</v>
      </c>
      <c r="D24" s="49" t="s">
        <v>240</v>
      </c>
      <c r="E24" s="22" t="str">
        <f>_xll.BDP(AX24,"SECURITY NAME")</f>
        <v>Baidu Inc</v>
      </c>
      <c r="F24" s="22" t="str">
        <f>_xll.BDP(AX24,"CRNCY")</f>
        <v>HKD</v>
      </c>
      <c r="G24" s="23" t="s">
        <v>331</v>
      </c>
      <c r="H24" s="22" t="str" cm="1">
        <f t="array" ref="H24">IF(OR(_xll.BDP($AX24,"DX202")= "#N/A N/A", _xll.BDP($AX24,"DX202")="#N/A FIELD NOT APPLICABLE"), " ", _xll.BDP($AX24,"DX202"))</f>
        <v>Communication Services</v>
      </c>
      <c r="I24" s="24">
        <f>_xll.BDP(AX24,"CRNCY_ADJ_MKT_CAP", "EQY_FUND_CRNCY=USD")/1000</f>
        <v>31.77216003609939</v>
      </c>
      <c r="J24" s="25">
        <f>IFERROR(_xll.BDP(AX24, "DV013")/100,0)</f>
        <v>0</v>
      </c>
      <c r="K24" s="26" t="str" cm="1">
        <f t="array" ref="K24">IF(OR(_xll.BDP($AX24,"RR900")= "#N/A N/A", _xll.BDP($AX24,"RR900")="#N/A FIELD NOT APPLICABLE"), " ", _xll.BDP($AX24,"RR900"))</f>
        <v xml:space="preserve"> </v>
      </c>
      <c r="L24" s="26" cm="1">
        <f t="array" ref="L24">IF(OR(_xll.BDP($AX24,"EE010")= "#N/A N/A", _xll.BDP($AX24,"EE010")="#N/A FIELD NOT APPLICABLE"), " ", _xll.BDP($AX24,"EE010"))</f>
        <v>8.3023444149505838</v>
      </c>
      <c r="M24" s="26" t="str" cm="1">
        <f t="array" ref="M24">IF(OR(_xll.BDP($AX24,"RR903")= "#N/A N/A", _xll.BDP($AX24,"RR903")="#N/A FIELD NOT APPLICABLE"), " ", _xll.BDP($AX24,"RR903"))</f>
        <v xml:space="preserve"> </v>
      </c>
      <c r="N24" s="26" t="str" cm="1">
        <f t="array" ref="N24">IF(OR(_xll.BDP($AX24,"RR957")= "#N/A N/A", _xll.BDP($AX24,"RR957")="#N/A FIELD NOT APPLICABLE"), " ", _xll.BDP($AX24,"RR957"))</f>
        <v xml:space="preserve"> </v>
      </c>
      <c r="O24" s="27">
        <v>6000</v>
      </c>
      <c r="P24" s="28">
        <v>94.65</v>
      </c>
      <c r="Q24" s="22" cm="1">
        <f t="array" ref="Q24">IF(OR(_xll.BDP($AX24,"PX_last")="#N/A N/A",_xll.BDP($AX24,"PX_Last")="#N/A FIELD NOT APPLICABLE")," ",IF(F24="GBP",(_xll.BDP($AX24,"PX_LAST")/100),(_xll.BDP($AX24,"PX_LAST"))))</f>
        <v>87.8</v>
      </c>
      <c r="R24" s="29">
        <f>IF(F24="USD",AA24,(((_xll.BDP(F24&amp;"USD CURNCY","PX_LAST")))*AA24))</f>
        <v>73270.457999999999</v>
      </c>
      <c r="S24" s="29">
        <f>IF(F24="USD",AB24,(((_xll.BDP(F24&amp;"USD CURNCY","PX_LAST")))*AB24))</f>
        <v>67967.736000000004</v>
      </c>
      <c r="T24" s="12">
        <f>S24-R24</f>
        <v>-5302.7219999999943</v>
      </c>
      <c r="U24" s="13">
        <f>T24/R24</f>
        <v>-7.2371896460644403E-2</v>
      </c>
      <c r="V24" s="13" cm="1">
        <f t="array" ref="V24">IFERROR(_xll.BDP($G24&amp;" Equity","CHG_PCT_1D")/100,"")</f>
        <v>4.0022870000000002E-3</v>
      </c>
      <c r="W24" s="13" cm="1">
        <f t="array" ref="W24">IFERROR(_xll.BDP($G24&amp;" Equity","CHG_PCT_5D")/100,"")</f>
        <v>2.2831050000000001E-3</v>
      </c>
      <c r="X24" s="13" t="e">
        <f>S24/#REF!</f>
        <v>#REF!</v>
      </c>
      <c r="Y24" s="24">
        <f>IFERROR(S24*J24,0)</f>
        <v>0</v>
      </c>
      <c r="Z24" s="24">
        <f>S24</f>
        <v>67967.736000000004</v>
      </c>
      <c r="AA24" s="29">
        <f>P24*O24</f>
        <v>567900</v>
      </c>
      <c r="AB24" s="29">
        <f>IFERROR(O24*Q24,0)</f>
        <v>526800</v>
      </c>
      <c r="AC24" s="4" t="e" cm="1">
        <f t="array" ref="AC24">VLOOKUP(IF(NOT(_xll.BDP(AX24,$BW$8)="#N/A N/A"),(_xll.BDP(AX24,$BW$8)),"-"), '[1]Country Codes'!$A$2:$B$253,2,0)</f>
        <v>#N/A</v>
      </c>
      <c r="AD24" s="30" t="str" cm="1">
        <f t="array" ref="AD24">IF(OR(_xll.BDP($AX24,"EX028")= "#N/A N/A", _xll.BDP($AX24,"EX028")="#N/A FIELD NOT APPLICABLE"), " ", _xll.BDP($AX24,"EX028"))</f>
        <v>Equity</v>
      </c>
      <c r="AE24" s="31" t="str">
        <f>IF(("AS97"="Equity"), " ", "Single Line Equity")</f>
        <v>Single Line Equity</v>
      </c>
      <c r="AF24" s="26" t="str" cm="1">
        <f t="array" ref="AF24">IF(OR(_xll.BDP($AX24,"RR908")= "#N/A N/A", _xll.BDP($AX24,"RR908")="#N/A FIELD NOT APPLICABLE"), " ", _xll.BDP($AX24,"RR908"))</f>
        <v xml:space="preserve"> </v>
      </c>
      <c r="AG24" s="26" cm="1">
        <f t="array" ref="AG24">IF(OR(_xll.BDP($AX24,"RR041")= "#N/A N/A", _xll.BDP($AX24,"RR041")="#N/A FIELD NOT APPLICABLE"), " ", _xll.BDP($AX24,"RR041"))</f>
        <v>18.543176399083642</v>
      </c>
      <c r="AH24" s="22">
        <f>_xll.BDP(AX24,"TOT_BUY_REC")</f>
        <v>25</v>
      </c>
      <c r="AI24" s="22">
        <f>_xll.BDP(AX24,"TOT_HOLD_REC")</f>
        <v>8</v>
      </c>
      <c r="AJ24" s="22">
        <f>_xll.BDP(AX24,"TOT_SELL_REC")</f>
        <v>0</v>
      </c>
      <c r="AK24" s="26" cm="1">
        <f t="array" ref="AK24">IF(OR(_xll.BDP($AX24,"EE201")= "#N/A N/A", _xll.BDP($AX24,"EE201")="#N/A FIELD NOT APPLICABLE"), " ", _xll.BDP($AX24,"EE201"))</f>
        <v>4.4242424964904785</v>
      </c>
      <c r="AL24" s="24">
        <f>_xll.BDP(AX24,"BEST_TARGET_PRICE")</f>
        <v>105.39727020263672</v>
      </c>
      <c r="AM24" s="32">
        <f>(AL24/Q24)-1</f>
        <v>0.20042448977946159</v>
      </c>
      <c r="AN24" s="32">
        <f>_xll.BDP(AX24,"PR061")/100</f>
        <v>0</v>
      </c>
      <c r="AO24" s="32">
        <f>_xll.BDP(AX24,"PR064")/100</f>
        <v>1.327177E-2</v>
      </c>
      <c r="AP24" s="32">
        <f>_xll.BDP(AX24,"CHG_PCT_6M")/100</f>
        <v>-6.787347E-3</v>
      </c>
      <c r="AQ24" s="25">
        <f>_xll.BDP(AX24,"PR079")/100</f>
        <v>6.1668719999999996E-2</v>
      </c>
      <c r="AR24" s="33">
        <f>_xll.BDP(AX24,"hs001")</f>
        <v>119.4</v>
      </c>
      <c r="AS24" s="33">
        <f>_xll.BDP(AX24,"hs002")</f>
        <v>73.25</v>
      </c>
      <c r="AT24" s="22" t="str" cm="1">
        <f t="array" ref="AT24">IF(OR(_xll.BDP($AX24,"DX202")= "#N/A N/A", _xll.BDP($AX24,"DX202")="#N/A FIELD NOT APPLICABLE"), " ", _xll.BDP($AX24,"DX202"))</f>
        <v>Communication Services</v>
      </c>
      <c r="AU24" s="22" t="str" cm="1">
        <f t="array" ref="AU24">IF(OR(_xll.BDP($AX24,"DY997")= "#N/A N/A", _xll.BDP($AX24,"DY997")="#N/A FIELD NOT APPLICABLE"), " ", _xll.BDP($AX24,"DY997"))</f>
        <v>N</v>
      </c>
      <c r="AV24" s="22" t="str" cm="1">
        <f t="array" ref="AV24">IF(OR(_xll.BDP($AX24,"DY784")= "#N/A N/A", _xll.BDP($AX24,"DY784")="#N/A FIELD NOT APPLICABLE"), " ", _xll.BDP($AX24,"DY784"))</f>
        <v xml:space="preserve"> </v>
      </c>
      <c r="AW24" s="22" t="str">
        <f>IF(OR(AU24="Y",AV24="Y"),"Y","N")</f>
        <v>N</v>
      </c>
      <c r="AX24" s="22" t="str">
        <f>CONCATENATE(G24," ",$AX$2)</f>
        <v>9888 HK Equity</v>
      </c>
      <c r="BC24" s="17" t="str" cm="1">
        <f t="array" ref="BC24">_xll.BDP(AX24,"ID005")</f>
        <v>KYG070341048</v>
      </c>
      <c r="BD24" s="17">
        <v>0.70000000000000007</v>
      </c>
      <c r="BE24" s="18">
        <v>4</v>
      </c>
      <c r="BF24" s="19">
        <v>45567</v>
      </c>
      <c r="BG24" s="20">
        <v>1</v>
      </c>
    </row>
    <row r="25" spans="1:59" s="3" customFormat="1" ht="14.45" customHeight="1" x14ac:dyDescent="0.25">
      <c r="A25" s="49" t="s">
        <v>241</v>
      </c>
      <c r="B25" s="49" t="s">
        <v>272</v>
      </c>
      <c r="C25" s="49">
        <v>2620061.0010000002</v>
      </c>
      <c r="D25" s="49" t="s">
        <v>240</v>
      </c>
      <c r="E25" s="22" t="str">
        <f>_xll.BDP(AX25,"SECURITY NAME")</f>
        <v>Baidu Inc</v>
      </c>
      <c r="F25" s="22" t="str">
        <f>_xll.BDP(AX25,"CRNCY")</f>
        <v>HKD</v>
      </c>
      <c r="G25" s="23" t="s">
        <v>331</v>
      </c>
      <c r="H25" s="22" t="str" cm="1">
        <f t="array" ref="H25">IF(OR(_xll.BDP($AX25,"DX202")= "#N/A N/A", _xll.BDP($AX25,"DX202")="#N/A FIELD NOT APPLICABLE"), " ", _xll.BDP($AX25,"DX202"))</f>
        <v>Communication Services</v>
      </c>
      <c r="I25" s="24">
        <f>_xll.BDP(AX25,"CRNCY_ADJ_MKT_CAP", "EQY_FUND_CRNCY=USD")/1000</f>
        <v>31.77216003609939</v>
      </c>
      <c r="J25" s="25">
        <f>IFERROR(_xll.BDP(AX25, "DV013")/100,0)</f>
        <v>0</v>
      </c>
      <c r="K25" s="26" t="str" cm="1">
        <f t="array" ref="K25">IF(OR(_xll.BDP($AX25,"RR900")= "#N/A N/A", _xll.BDP($AX25,"RR900")="#N/A FIELD NOT APPLICABLE"), " ", _xll.BDP($AX25,"RR900"))</f>
        <v xml:space="preserve"> </v>
      </c>
      <c r="L25" s="26" cm="1">
        <f t="array" ref="L25">IF(OR(_xll.BDP($AX25,"EE010")= "#N/A N/A", _xll.BDP($AX25,"EE010")="#N/A FIELD NOT APPLICABLE"), " ", _xll.BDP($AX25,"EE010"))</f>
        <v>8.3023444149505838</v>
      </c>
      <c r="M25" s="26" t="str" cm="1">
        <f t="array" ref="M25">IF(OR(_xll.BDP($AX25,"RR903")= "#N/A N/A", _xll.BDP($AX25,"RR903")="#N/A FIELD NOT APPLICABLE"), " ", _xll.BDP($AX25,"RR903"))</f>
        <v xml:space="preserve"> </v>
      </c>
      <c r="N25" s="26" t="str" cm="1">
        <f t="array" ref="N25">IF(OR(_xll.BDP($AX25,"RR957")= "#N/A N/A", _xll.BDP($AX25,"RR957")="#N/A FIELD NOT APPLICABLE"), " ", _xll.BDP($AX25,"RR957"))</f>
        <v xml:space="preserve"> </v>
      </c>
      <c r="O25" s="27">
        <v>7300</v>
      </c>
      <c r="P25" s="28">
        <v>94.6995</v>
      </c>
      <c r="Q25" s="22" cm="1">
        <f t="array" ref="Q25">IF(OR(_xll.BDP($AX25,"PX_last")="#N/A N/A",_xll.BDP($AX25,"PX_Last")="#N/A FIELD NOT APPLICABLE")," ",IF(F25="GBP",(_xll.BDP($AX25,"PX_LAST")/100),(_xll.BDP($AX25,"PX_LAST"))))</f>
        <v>87.8</v>
      </c>
      <c r="R25" s="29">
        <f>IF(F25="USD",AA25,(((_xll.BDP(F25&amp;"USD CURNCY","PX_LAST")))*AA25))</f>
        <v>89192.345277</v>
      </c>
      <c r="S25" s="29">
        <f>IF(F25="USD",AB25,(((_xll.BDP(F25&amp;"USD CURNCY","PX_LAST")))*AB25))</f>
        <v>82694.078800000003</v>
      </c>
      <c r="T25" s="12">
        <f>S25-R25</f>
        <v>-6498.2664769999974</v>
      </c>
      <c r="U25" s="13">
        <f>IFERROR(T25/R25,0)</f>
        <v>-7.2856773267018282E-2</v>
      </c>
      <c r="V25" s="13" cm="1">
        <f t="array" ref="V25">IFERROR(_xll.BDP($G25&amp;" Equity","CHG_PCT_1D")/100,"")</f>
        <v>4.0022870000000002E-3</v>
      </c>
      <c r="W25" s="13" cm="1">
        <f t="array" ref="W25">IFERROR(_xll.BDP($G25&amp;" Equity","CHG_PCT_5D")/100,"")</f>
        <v>2.2831050000000001E-3</v>
      </c>
      <c r="X25" s="13" t="e">
        <f>S25/#REF!</f>
        <v>#REF!</v>
      </c>
      <c r="Y25" s="24">
        <f>IFERROR(S25*J25,0)</f>
        <v>0</v>
      </c>
      <c r="Z25" s="24">
        <f>S25</f>
        <v>82694.078800000003</v>
      </c>
      <c r="AA25" s="29">
        <f>P25*O25</f>
        <v>691306.35</v>
      </c>
      <c r="AB25" s="29">
        <f>IFERROR(O25*Q25,0)</f>
        <v>640940</v>
      </c>
      <c r="AC25" s="4" t="e" cm="1">
        <f t="array" ref="AC25">VLOOKUP(IF(NOT(_xll.BDP(AX25,$BW$8)="#N/A N/A"),(_xll.BDP(AX25,$BW$8)),"-"), '[1]Country Codes'!$A$2:$B$253,2,0)</f>
        <v>#N/A</v>
      </c>
      <c r="AD25" s="30" t="str" cm="1">
        <f t="array" ref="AD25">IF(OR(_xll.BDP($AX25,"EX028")= "#N/A N/A", _xll.BDP($AX25,"EX028")="#N/A FIELD NOT APPLICABLE"), " ", _xll.BDP($AX25,"EX028"))</f>
        <v>Equity</v>
      </c>
      <c r="AE25" s="31" t="str">
        <f>IF(("AS97"="Equity"), " ", "Single Line Equity")</f>
        <v>Single Line Equity</v>
      </c>
      <c r="AF25" s="26" t="str" cm="1">
        <f t="array" ref="AF25">IF(OR(_xll.BDP($AX25,"RR908")= "#N/A N/A", _xll.BDP($AX25,"RR908")="#N/A FIELD NOT APPLICABLE"), " ", _xll.BDP($AX25,"RR908"))</f>
        <v xml:space="preserve"> </v>
      </c>
      <c r="AG25" s="26" cm="1">
        <f t="array" ref="AG25">IF(OR(_xll.BDP($AX25,"RR041")= "#N/A N/A", _xll.BDP($AX25,"RR041")="#N/A FIELD NOT APPLICABLE"), " ", _xll.BDP($AX25,"RR041"))</f>
        <v>18.543176399083642</v>
      </c>
      <c r="AH25" s="22">
        <f>_xll.BDP(AX25,"TOT_BUY_REC")</f>
        <v>25</v>
      </c>
      <c r="AI25" s="22">
        <f>_xll.BDP(AX25,"TOT_HOLD_REC")</f>
        <v>8</v>
      </c>
      <c r="AJ25" s="22">
        <f>_xll.BDP(AX25,"TOT_SELL_REC")</f>
        <v>0</v>
      </c>
      <c r="AK25" s="26" cm="1">
        <f t="array" ref="AK25">IF(OR(_xll.BDP($AX25,"EE201")= "#N/A N/A", _xll.BDP($AX25,"EE201")="#N/A FIELD NOT APPLICABLE"), " ", _xll.BDP($AX25,"EE201"))</f>
        <v>4.4242424964904785</v>
      </c>
      <c r="AL25" s="24">
        <f>_xll.BDP(AX25,"BEST_TARGET_PRICE")</f>
        <v>105.39727020263672</v>
      </c>
      <c r="AM25" s="32">
        <f>(AL25/Q25)-1</f>
        <v>0.20042448977946159</v>
      </c>
      <c r="AN25" s="32">
        <f>_xll.BDP(AX25,"PR061")/100</f>
        <v>0</v>
      </c>
      <c r="AO25" s="32">
        <f>_xll.BDP(AX25,"PR064")/100</f>
        <v>1.327177E-2</v>
      </c>
      <c r="AP25" s="32">
        <f>_xll.BDP(AX25,"CHG_PCT_6M")/100</f>
        <v>-6.787347E-3</v>
      </c>
      <c r="AQ25" s="25">
        <f>_xll.BDP(AX25,"PR079")/100</f>
        <v>6.1668719999999996E-2</v>
      </c>
      <c r="AR25" s="33">
        <f>_xll.BDP(AX25,"hs001")</f>
        <v>119.4</v>
      </c>
      <c r="AS25" s="33">
        <f>_xll.BDP(AX25,"hs002")</f>
        <v>73.25</v>
      </c>
      <c r="AT25" s="22" t="str" cm="1">
        <f t="array" ref="AT25">IF(OR(_xll.BDP($AX25,"DX202")= "#N/A N/A", _xll.BDP($AX25,"DX202")="#N/A FIELD NOT APPLICABLE"), " ", _xll.BDP($AX25,"DX202"))</f>
        <v>Communication Services</v>
      </c>
      <c r="AU25" s="22" t="str" cm="1">
        <f t="array" ref="AU25">IF(OR(_xll.BDP($AX25,"DY997")= "#N/A N/A", _xll.BDP($AX25,"DY997")="#N/A FIELD NOT APPLICABLE"), " ", _xll.BDP($AX25,"DY997"))</f>
        <v>N</v>
      </c>
      <c r="AV25" s="22" t="str" cm="1">
        <f t="array" ref="AV25">IF(OR(_xll.BDP($AX25,"DY784")= "#N/A N/A", _xll.BDP($AX25,"DY784")="#N/A FIELD NOT APPLICABLE"), " ", _xll.BDP($AX25,"DY784"))</f>
        <v xml:space="preserve"> </v>
      </c>
      <c r="AW25" s="22" t="str">
        <f>IF(OR(AU25="Y",AV25="Y"),"Y","N")</f>
        <v>N</v>
      </c>
      <c r="AX25" s="22" t="str">
        <f>CONCATENATE(G25," ",$AX$2)</f>
        <v>9888 HK Equity</v>
      </c>
      <c r="BC25" s="17" t="str" cm="1">
        <f t="array" ref="BC25">_xll.BDP(AX25,"ID005")</f>
        <v>KYG070341048</v>
      </c>
      <c r="BD25" s="17">
        <v>0.64999998872425546</v>
      </c>
      <c r="BE25" s="18">
        <v>4</v>
      </c>
      <c r="BF25" s="19">
        <v>45217</v>
      </c>
      <c r="BG25" s="20">
        <v>1</v>
      </c>
    </row>
    <row r="26" spans="1:59" s="3" customFormat="1" ht="14.45" customHeight="1" x14ac:dyDescent="0.25">
      <c r="A26" s="49" t="s">
        <v>241</v>
      </c>
      <c r="B26" s="49" t="s">
        <v>273</v>
      </c>
      <c r="C26" s="49">
        <v>2620058.003</v>
      </c>
      <c r="D26" s="49" t="s">
        <v>240</v>
      </c>
      <c r="E26" s="22" t="str">
        <f>_xll.BDP(AX26,"SECURITY NAME")</f>
        <v>Baidu Inc</v>
      </c>
      <c r="F26" s="22" t="str">
        <f>_xll.BDP(AX26,"CRNCY")</f>
        <v>HKD</v>
      </c>
      <c r="G26" s="23" t="s">
        <v>331</v>
      </c>
      <c r="H26" s="22" t="str" cm="1">
        <f t="array" ref="H26">IF(OR(_xll.BDP($AX26,"DX202")= "#N/A N/A", _xll.BDP($AX26,"DX202")="#N/A FIELD NOT APPLICABLE"), " ", _xll.BDP($AX26,"DX202"))</f>
        <v>Communication Services</v>
      </c>
      <c r="I26" s="24"/>
      <c r="J26" s="25">
        <f>IFERROR(_xll.BDP(AX26, "DV013")/100,0)</f>
        <v>0</v>
      </c>
      <c r="K26" s="26" t="str" cm="1">
        <f t="array" ref="K26">IF(OR(_xll.BDP($AX26,"RR900")= "#N/A N/A", _xll.BDP($AX26,"RR900")="#N/A FIELD NOT APPLICABLE"), " ", _xll.BDP($AX26,"RR900"))</f>
        <v xml:space="preserve"> </v>
      </c>
      <c r="L26" s="26" cm="1">
        <f t="array" ref="L26">IF(OR(_xll.BDP($AX26,"EE010")= "#N/A N/A", _xll.BDP($AX26,"EE010")="#N/A FIELD NOT APPLICABLE"), " ", _xll.BDP($AX26,"EE010"))</f>
        <v>8.3023444149505838</v>
      </c>
      <c r="M26" s="26" t="str" cm="1">
        <f t="array" ref="M26">IF(OR(_xll.BDP($AX26,"RR903")= "#N/A N/A", _xll.BDP($AX26,"RR903")="#N/A FIELD NOT APPLICABLE"), " ", _xll.BDP($AX26,"RR903"))</f>
        <v xml:space="preserve"> </v>
      </c>
      <c r="N26" s="26" t="str" cm="1">
        <f t="array" ref="N26">IF(OR(_xll.BDP($AX26,"RR957")= "#N/A N/A", _xll.BDP($AX26,"RR957")="#N/A FIELD NOT APPLICABLE"), " ", _xll.BDP($AX26,"RR957"))</f>
        <v xml:space="preserve"> </v>
      </c>
      <c r="O26" s="27">
        <v>4000</v>
      </c>
      <c r="P26" s="28">
        <v>94.5</v>
      </c>
      <c r="Q26" s="22" cm="1">
        <f t="array" ref="Q26">IF(OR(_xll.BDP($AX26,"PX_last")="#N/A N/A",_xll.BDP($AX26,"PX_Last")="#N/A FIELD NOT APPLICABLE")," ",IF(F26="GBP",(_xll.BDP($AX26,"PX_LAST")/100),(_xll.BDP($AX26,"PX_LAST"))))</f>
        <v>87.8</v>
      </c>
      <c r="R26" s="29">
        <f>IF(F26="USD",AA26,(((_xll.BDP(F26&amp;"USD CURNCY","PX_LAST")))*AA26))</f>
        <v>48769.56</v>
      </c>
      <c r="S26" s="29">
        <f>IF(F26="USD",AB26,(((_xll.BDP(F26&amp;"USD CURNCY","PX_LAST")))*AB26))</f>
        <v>45311.824000000001</v>
      </c>
      <c r="T26" s="12">
        <f>S26-R26</f>
        <v>-3457.7359999999971</v>
      </c>
      <c r="U26" s="13">
        <f>T26/R26</f>
        <v>-7.0899470899470851E-2</v>
      </c>
      <c r="V26" s="13" cm="1">
        <f t="array" ref="V26">IFERROR(_xll.BDP($G26&amp;" Equity","CHG_PCT_1D")/100,"")</f>
        <v>4.0022870000000002E-3</v>
      </c>
      <c r="W26" s="13" cm="1">
        <f t="array" ref="W26">IFERROR(_xll.BDP($G26&amp;" Equity","CHG_PCT_5D")/100,"")</f>
        <v>2.2831050000000001E-3</v>
      </c>
      <c r="X26" s="13" t="e">
        <f>S26/#REF!</f>
        <v>#REF!</v>
      </c>
      <c r="Y26" s="24">
        <f>IFERROR(S26*J26,0)</f>
        <v>0</v>
      </c>
      <c r="Z26" s="24">
        <f>S26</f>
        <v>45311.824000000001</v>
      </c>
      <c r="AA26" s="29">
        <f>P26*O26</f>
        <v>378000</v>
      </c>
      <c r="AB26" s="29">
        <f>IFERROR(O26*Q26,0)</f>
        <v>351200</v>
      </c>
      <c r="AC26" s="4" t="e" cm="1">
        <f t="array" ref="AC26">VLOOKUP(IF(NOT(_xll.BDP(AX26,$BW$8)="#N/A N/A"),(_xll.BDP(AX26,$BW$8)),"-"), '[1]Country Codes'!$A$2:$B$253,2,0)</f>
        <v>#N/A</v>
      </c>
      <c r="AD26" s="30" t="str" cm="1">
        <f t="array" ref="AD26">IF(OR(_xll.BDP($AX26,"EX028")= "#N/A N/A", _xll.BDP($AX26,"EX028")="#N/A FIELD NOT APPLICABLE"), " ", _xll.BDP($AX26,"EX028"))</f>
        <v>Equity</v>
      </c>
      <c r="AE26" s="31" t="str">
        <f>IF(("AS97"="Equity"), " ", "Single Line Equity")</f>
        <v>Single Line Equity</v>
      </c>
      <c r="AF26" s="26" t="str" cm="1">
        <f t="array" ref="AF26">IF(OR(_xll.BDP($AX26,"RR908")= "#N/A N/A", _xll.BDP($AX26,"RR908")="#N/A FIELD NOT APPLICABLE"), " ", _xll.BDP($AX26,"RR908"))</f>
        <v xml:space="preserve"> </v>
      </c>
      <c r="AG26" s="26" cm="1">
        <f t="array" ref="AG26">IF(OR(_xll.BDP($AX26,"RR041")= "#N/A N/A", _xll.BDP($AX26,"RR041")="#N/A FIELD NOT APPLICABLE"), " ", _xll.BDP($AX26,"RR041"))</f>
        <v>18.543176399083642</v>
      </c>
      <c r="AH26" s="22">
        <f>_xll.BDP(AX26,"TOT_BUY_REC")</f>
        <v>25</v>
      </c>
      <c r="AI26" s="22">
        <f>_xll.BDP(AX26,"TOT_HOLD_REC")</f>
        <v>8</v>
      </c>
      <c r="AJ26" s="22">
        <f>_xll.BDP(AX26,"TOT_SELL_REC")</f>
        <v>0</v>
      </c>
      <c r="AK26" s="26" cm="1">
        <f t="array" ref="AK26">IF(OR(_xll.BDP($AX26,"EE201")= "#N/A N/A", _xll.BDP($AX26,"EE201")="#N/A FIELD NOT APPLICABLE"), " ", _xll.BDP($AX26,"EE201"))</f>
        <v>4.4242424964904785</v>
      </c>
      <c r="AL26" s="24">
        <f>_xll.BDP(AX26,"BEST_TARGET_PRICE")</f>
        <v>105.39727020263672</v>
      </c>
      <c r="AM26" s="32">
        <f>(AL26/Q26)-1</f>
        <v>0.20042448977946159</v>
      </c>
      <c r="AN26" s="32">
        <f>_xll.BDP(AX26,"PR061")/100</f>
        <v>0</v>
      </c>
      <c r="AO26" s="32">
        <f>_xll.BDP(AX26,"PR064")/100</f>
        <v>1.327177E-2</v>
      </c>
      <c r="AP26" s="32">
        <f>_xll.BDP(AX26,"CHG_PCT_6M")/100</f>
        <v>-6.787347E-3</v>
      </c>
      <c r="AQ26" s="25">
        <f>_xll.BDP(AX26,"PR079")/100</f>
        <v>6.1668719999999996E-2</v>
      </c>
      <c r="AR26" s="33">
        <f>_xll.BDP(AX26,"hs001")</f>
        <v>119.4</v>
      </c>
      <c r="AS26" s="33">
        <f>_xll.BDP(AX26,"hs002")</f>
        <v>73.25</v>
      </c>
      <c r="AT26" s="22" t="str" cm="1">
        <f t="array" ref="AT26">IF(OR(_xll.BDP($AX26,"DX202")= "#N/A N/A", _xll.BDP($AX26,"DX202")="#N/A FIELD NOT APPLICABLE"), " ", _xll.BDP($AX26,"DX202"))</f>
        <v>Communication Services</v>
      </c>
      <c r="AU26" s="22" t="str" cm="1">
        <f t="array" ref="AU26">IF(OR(_xll.BDP($AX26,"DY997")= "#N/A N/A", _xll.BDP($AX26,"DY997")="#N/A FIELD NOT APPLICABLE"), " ", _xll.BDP($AX26,"DY997"))</f>
        <v>N</v>
      </c>
      <c r="AV26" s="22" t="str" cm="1">
        <f t="array" ref="AV26">IF(OR(_xll.BDP($AX26,"DY784")= "#N/A N/A", _xll.BDP($AX26,"DY784")="#N/A FIELD NOT APPLICABLE"), " ", _xll.BDP($AX26,"DY784"))</f>
        <v xml:space="preserve"> </v>
      </c>
      <c r="AW26" s="22" t="str">
        <f>IF(OR(AU26="Y",AV26="Y"),"Y","N")</f>
        <v>N</v>
      </c>
      <c r="AX26" s="22" t="str">
        <f>CONCATENATE(G26," ",$AX$2)</f>
        <v>9888 HK Equity</v>
      </c>
      <c r="BC26" s="17" t="str" cm="1">
        <f t="array" ref="BC26">_xll.BDP(AX26,"ID005")</f>
        <v>KYG070341048</v>
      </c>
      <c r="BD26" s="17">
        <v>0.64999998872425546</v>
      </c>
      <c r="BE26" s="18">
        <v>4</v>
      </c>
      <c r="BF26" s="19">
        <v>45217</v>
      </c>
      <c r="BG26" s="20">
        <v>1</v>
      </c>
    </row>
    <row r="27" spans="1:59" s="3" customFormat="1" ht="14.45" customHeight="1" x14ac:dyDescent="0.25">
      <c r="A27" s="49" t="s">
        <v>241</v>
      </c>
      <c r="B27" s="49" t="s">
        <v>276</v>
      </c>
      <c r="C27" s="49" t="s">
        <v>277</v>
      </c>
      <c r="D27" s="49" t="s">
        <v>240</v>
      </c>
      <c r="E27" s="22" t="str">
        <f>_xll.BDP(AX27,"SECURITY NAME")</f>
        <v>Baidu Inc</v>
      </c>
      <c r="F27" s="22" t="str">
        <f>_xll.BDP(AX27,"CRNCY")</f>
        <v>HKD</v>
      </c>
      <c r="G27" s="23" t="s">
        <v>331</v>
      </c>
      <c r="H27" s="22" t="str" cm="1">
        <f t="array" ref="H27">IF(OR(_xll.BDP($AX27,"DX202")= "#N/A N/A", _xll.BDP($AX27,"DX202")="#N/A FIELD NOT APPLICABLE"), " ", _xll.BDP($AX27,"DX202"))</f>
        <v>Communication Services</v>
      </c>
      <c r="I27" s="24">
        <f>_xll.BDP(AX27,"CRNCY_ADJ_MKT_CAP", "EQY_FUND_CRNCY=USD")/1000</f>
        <v>31.77216003609939</v>
      </c>
      <c r="J27" s="25">
        <f>IFERROR(_xll.BDP(AX27, "DV013")/100,0)</f>
        <v>0</v>
      </c>
      <c r="K27" s="26" t="str" cm="1">
        <f t="array" ref="K27">IF(OR(_xll.BDP($AX27,"RR900")= "#N/A N/A", _xll.BDP($AX27,"RR900")="#N/A FIELD NOT APPLICABLE"), " ", _xll.BDP($AX27,"RR900"))</f>
        <v xml:space="preserve"> </v>
      </c>
      <c r="L27" s="26" cm="1">
        <f t="array" ref="L27">IF(OR(_xll.BDP($AX27,"EE010")= "#N/A N/A", _xll.BDP($AX27,"EE010")="#N/A FIELD NOT APPLICABLE"), " ", _xll.BDP($AX27,"EE010"))</f>
        <v>8.3023444149505838</v>
      </c>
      <c r="M27" s="26" t="str" cm="1">
        <f t="array" ref="M27">IF(OR(_xll.BDP($AX27,"RR903")= "#N/A N/A", _xll.BDP($AX27,"RR903")="#N/A FIELD NOT APPLICABLE"), " ", _xll.BDP($AX27,"RR903"))</f>
        <v xml:space="preserve"> </v>
      </c>
      <c r="N27" s="26" t="str" cm="1">
        <f t="array" ref="N27">IF(OR(_xll.BDP($AX27,"RR957")= "#N/A N/A", _xll.BDP($AX27,"RR957")="#N/A FIELD NOT APPLICABLE"), " ", _xll.BDP($AX27,"RR957"))</f>
        <v xml:space="preserve"> </v>
      </c>
      <c r="O27" s="27">
        <v>8000</v>
      </c>
      <c r="P27" s="28">
        <v>94.75</v>
      </c>
      <c r="Q27" s="22" cm="1">
        <f t="array" ref="Q27">IF(OR(_xll.BDP($AX27,"PX_last")="#N/A N/A",_xll.BDP($AX27,"PX_Last")="#N/A FIELD NOT APPLICABLE")," ",IF(F27="GBP",(_xll.BDP($AX27,"PX_LAST")/100),(_xll.BDP($AX27,"PX_LAST"))))</f>
        <v>87.8</v>
      </c>
      <c r="R27" s="29">
        <f>IF(F27="USD",AA27,(((_xll.BDP(F27&amp;"USD CURNCY","PX_LAST")))*AA27))</f>
        <v>97797.16</v>
      </c>
      <c r="S27" s="29">
        <f>IF(F27="USD",AB27,(((_xll.BDP(F27&amp;"USD CURNCY","PX_LAST")))*AB27))</f>
        <v>90623.648000000001</v>
      </c>
      <c r="T27" s="12">
        <f>S27-R27</f>
        <v>-7173.5120000000024</v>
      </c>
      <c r="U27" s="13">
        <f>T27/R27</f>
        <v>-7.335092348284962E-2</v>
      </c>
      <c r="V27" s="13" cm="1">
        <f t="array" ref="V27">IFERROR(_xll.BDP($G27&amp;" Equity","CHG_PCT_1D")/100,"")</f>
        <v>4.0022870000000002E-3</v>
      </c>
      <c r="W27" s="13" cm="1">
        <f t="array" ref="W27">IFERROR(_xll.BDP($G27&amp;" Equity","CHG_PCT_5D")/100,"")</f>
        <v>2.2831050000000001E-3</v>
      </c>
      <c r="X27" s="13" t="e">
        <f>S27/#REF!</f>
        <v>#REF!</v>
      </c>
      <c r="Y27" s="24">
        <f>IFERROR(S27*J27,0)</f>
        <v>0</v>
      </c>
      <c r="Z27" s="24">
        <f>S27</f>
        <v>90623.648000000001</v>
      </c>
      <c r="AA27" s="29">
        <f>P27*O27</f>
        <v>758000</v>
      </c>
      <c r="AB27" s="29">
        <f>IFERROR(O27*Q27,0)</f>
        <v>702400</v>
      </c>
      <c r="AC27" s="4" t="e" cm="1">
        <f t="array" ref="AC27">VLOOKUP(IF(NOT(_xll.BDP(AX27,$BW$8)="#N/A N/A"),(_xll.BDP(AX27,$BW$8)),"-"), '[1]Country Codes'!$A$2:$B$253,2,0)</f>
        <v>#N/A</v>
      </c>
      <c r="AD27" s="30" t="str" cm="1">
        <f t="array" ref="AD27">IF(OR(_xll.BDP($AX27,"EX028")= "#N/A N/A", _xll.BDP($AX27,"EX028")="#N/A FIELD NOT APPLICABLE"), " ", _xll.BDP($AX27,"EX028"))</f>
        <v>Equity</v>
      </c>
      <c r="AE27" s="31" t="str">
        <f>IF(("AS97"="Equity"), " ", "Single Line Equity")</f>
        <v>Single Line Equity</v>
      </c>
      <c r="AF27" s="26" t="str" cm="1">
        <f t="array" ref="AF27">IF(OR(_xll.BDP($AX27,"RR908")= "#N/A N/A", _xll.BDP($AX27,"RR908")="#N/A FIELD NOT APPLICABLE"), " ", _xll.BDP($AX27,"RR908"))</f>
        <v xml:space="preserve"> </v>
      </c>
      <c r="AG27" s="26" cm="1">
        <f t="array" ref="AG27">IF(OR(_xll.BDP($AX27,"RR041")= "#N/A N/A", _xll.BDP($AX27,"RR041")="#N/A FIELD NOT APPLICABLE"), " ", _xll.BDP($AX27,"RR041"))</f>
        <v>18.543176399083642</v>
      </c>
      <c r="AH27" s="22">
        <f>_xll.BDP(AX27,"TOT_BUY_REC")</f>
        <v>25</v>
      </c>
      <c r="AI27" s="22">
        <f>_xll.BDP(AX27,"TOT_HOLD_REC")</f>
        <v>8</v>
      </c>
      <c r="AJ27" s="22">
        <f>_xll.BDP(AX27,"TOT_SELL_REC")</f>
        <v>0</v>
      </c>
      <c r="AK27" s="26" cm="1">
        <f t="array" ref="AK27">IF(OR(_xll.BDP($AX27,"EE201")= "#N/A N/A", _xll.BDP($AX27,"EE201")="#N/A FIELD NOT APPLICABLE"), " ", _xll.BDP($AX27,"EE201"))</f>
        <v>4.4242424964904785</v>
      </c>
      <c r="AL27" s="24">
        <f>_xll.BDP(AX27,"BEST_TARGET_PRICE")</f>
        <v>105.39727020263672</v>
      </c>
      <c r="AM27" s="32">
        <f>(AL27/Q27)-1</f>
        <v>0.20042448977946159</v>
      </c>
      <c r="AN27" s="32">
        <f>_xll.BDP(AX27,"PR061")/100</f>
        <v>0</v>
      </c>
      <c r="AO27" s="32">
        <f>_xll.BDP(AX27,"PR064")/100</f>
        <v>1.327177E-2</v>
      </c>
      <c r="AP27" s="32">
        <f>_xll.BDP(AX27,"CHG_PCT_6M")/100</f>
        <v>-6.787347E-3</v>
      </c>
      <c r="AQ27" s="25">
        <f>_xll.BDP(AX27,"PR079")/100</f>
        <v>6.1668719999999996E-2</v>
      </c>
      <c r="AR27" s="33">
        <f>_xll.BDP(AX27,"hs001")</f>
        <v>119.4</v>
      </c>
      <c r="AS27" s="33">
        <f>_xll.BDP(AX27,"hs002")</f>
        <v>73.25</v>
      </c>
      <c r="AT27" s="22" t="str" cm="1">
        <f t="array" ref="AT27">IF(OR(_xll.BDP($AX27,"DX202")= "#N/A N/A", _xll.BDP($AX27,"DX202")="#N/A FIELD NOT APPLICABLE"), " ", _xll.BDP($AX27,"DX202"))</f>
        <v>Communication Services</v>
      </c>
      <c r="AU27" s="22" t="str" cm="1">
        <f t="array" ref="AU27">IF(OR(_xll.BDP($AX27,"DY997")= "#N/A N/A", _xll.BDP($AX27,"DY997")="#N/A FIELD NOT APPLICABLE"), " ", _xll.BDP($AX27,"DY997"))</f>
        <v>N</v>
      </c>
      <c r="AV27" s="22" t="str" cm="1">
        <f t="array" ref="AV27">IF(OR(_xll.BDP($AX27,"DY784")= "#N/A N/A", _xll.BDP($AX27,"DY784")="#N/A FIELD NOT APPLICABLE"), " ", _xll.BDP($AX27,"DY784"))</f>
        <v xml:space="preserve"> </v>
      </c>
      <c r="AW27" s="22" t="str">
        <f>IF(OR(AU27="Y",AV27="Y"),"Y","N")</f>
        <v>N</v>
      </c>
      <c r="AX27" s="22" t="str">
        <f>CONCATENATE(G27," ",$AX$2)</f>
        <v>9888 HK Equity</v>
      </c>
      <c r="BC27" s="17" t="str" cm="1">
        <f t="array" ref="BC27">_xll.BDP(AX27,"ID005")</f>
        <v>KYG070341048</v>
      </c>
      <c r="BD27" s="17">
        <v>0.75000010677714535</v>
      </c>
      <c r="BE27" s="18">
        <v>4</v>
      </c>
      <c r="BF27" s="19">
        <v>45217</v>
      </c>
      <c r="BG27" s="20">
        <v>1</v>
      </c>
    </row>
    <row r="28" spans="1:59" s="3" customFormat="1" ht="14.45" customHeight="1" x14ac:dyDescent="0.25">
      <c r="A28" s="49" t="s">
        <v>241</v>
      </c>
      <c r="B28" s="49" t="s">
        <v>249</v>
      </c>
      <c r="C28" s="49" t="s">
        <v>250</v>
      </c>
      <c r="D28" s="49" t="s">
        <v>240</v>
      </c>
      <c r="E28" s="22" t="str">
        <f>_xll.BDP(AX28,"SECURITY NAME")</f>
        <v>American Airlines Group Inc</v>
      </c>
      <c r="F28" s="22" t="str">
        <f>_xll.BDP(AX28,"CRNCY")</f>
        <v>USD</v>
      </c>
      <c r="G28" s="23" t="s">
        <v>154</v>
      </c>
      <c r="H28" s="22" t="str" cm="1">
        <f t="array" ref="H28">IF(OR(_xll.BDP($AX28,"DX202")= "#N/A N/A", _xll.BDP($AX28,"DX202")="#N/A FIELD NOT APPLICABLE"), " ", _xll.BDP($AX28,"DX202"))</f>
        <v>Industrials</v>
      </c>
      <c r="I28" s="24">
        <f>_xll.BDP(AX28,"CRNCY_ADJ_MKT_CAP", "EQY_FUND_CRNCY=USD")/1000</f>
        <v>6.9413673890250003</v>
      </c>
      <c r="J28" s="25">
        <f>IFERROR(_xll.BDP(AX28, "DV013")/100,0)</f>
        <v>0</v>
      </c>
      <c r="K28" s="26" cm="1">
        <f t="array" ref="K28">IF(OR(_xll.BDP($AX28,"RR900")= "#N/A N/A", _xll.BDP($AX28,"RR900")="#N/A FIELD NOT APPLICABLE"), " ", _xll.BDP($AX28,"RR900"))</f>
        <v>6.3163211455018029</v>
      </c>
      <c r="L28" s="26" cm="1">
        <f t="array" ref="L28">IF(OR(_xll.BDP($AX28,"EE010")= "#N/A N/A", _xll.BDP($AX28,"EE010")="#N/A FIELD NOT APPLICABLE"), " ", _xll.BDP($AX28,"EE010"))</f>
        <v>5.1492172211350296</v>
      </c>
      <c r="M28" s="26" t="str" cm="1">
        <f t="array" ref="M28">IF(OR(_xll.BDP($AX28,"RR903")= "#N/A N/A", _xll.BDP($AX28,"RR903")="#N/A FIELD NOT APPLICABLE"), " ", _xll.BDP($AX28,"RR903"))</f>
        <v xml:space="preserve"> </v>
      </c>
      <c r="N28" s="26" cm="1">
        <f t="array" ref="N28">IF(OR(_xll.BDP($AX28,"RR957")= "#N/A N/A", _xll.BDP($AX28,"RR957")="#N/A FIELD NOT APPLICABLE"), " ", _xll.BDP($AX28,"RR957"))</f>
        <v>7.8749983385778215</v>
      </c>
      <c r="O28" s="27">
        <v>2905</v>
      </c>
      <c r="P28" s="28">
        <v>16.983460000000001</v>
      </c>
      <c r="Q28" s="22" cm="1">
        <f t="array" ref="Q28">IF(OR(_xll.BDP($AX28,"PX_last")="#N/A N/A",_xll.BDP($AX28,"PX_Last")="#N/A FIELD NOT APPLICABLE")," ",IF(F28="GBP",(_xll.BDP($AX28,"PX_LAST")/100),(_xll.BDP($AX28,"PX_LAST"))))</f>
        <v>10.525</v>
      </c>
      <c r="R28" s="29">
        <f>IF(F28="USD",AA28,(((_xll.BDP(F28&amp;"USD CURNCY","PX_LAST")))*AA28))</f>
        <v>49336.951300000001</v>
      </c>
      <c r="S28" s="29">
        <f>IF(F28="USD",AB28,(((_xll.BDP(F28&amp;"USD CURNCY","PX_LAST")))*AB28))</f>
        <v>30575.125</v>
      </c>
      <c r="T28" s="12">
        <f>S28-R28</f>
        <v>-18761.826300000001</v>
      </c>
      <c r="U28" s="13">
        <f>T28/R28</f>
        <v>-0.38027940125274828</v>
      </c>
      <c r="V28" s="13" cm="1">
        <f t="array" ref="V28">IFERROR(_xll.BDP($G28&amp;" Equity","CHG_PCT_1D")/100,"")</f>
        <v>-1.2664169999999999E-2</v>
      </c>
      <c r="W28" s="13" cm="1">
        <f t="array" ref="W28">IFERROR(_xll.BDP($G28&amp;" Equity","CHG_PCT_5D")/100,"")</f>
        <v>6.3131309999999996E-2</v>
      </c>
      <c r="X28" s="13" t="e">
        <f>S28/#REF!</f>
        <v>#REF!</v>
      </c>
      <c r="Y28" s="24">
        <f>IFERROR(S28*J28,0)</f>
        <v>0</v>
      </c>
      <c r="Z28" s="24">
        <f>S28</f>
        <v>30575.125</v>
      </c>
      <c r="AA28" s="29">
        <f>P28*O28</f>
        <v>49336.951300000001</v>
      </c>
      <c r="AB28" s="29">
        <f>IFERROR(O28*Q28,0)</f>
        <v>30575.125</v>
      </c>
      <c r="AC28" s="4" t="e" cm="1">
        <f t="array" ref="AC28">VLOOKUP(IF(NOT(_xll.BDP(AX28,$BW$8)="#N/A N/A"),(_xll.BDP(AX28,$BW$8)),"-"), '[1]Country Codes'!$A$2:$B$253,2,0)</f>
        <v>#N/A</v>
      </c>
      <c r="AD28" s="30" t="str" cm="1">
        <f t="array" ref="AD28">IF(OR(_xll.BDP($AX28,"EX028")= "#N/A N/A", _xll.BDP($AX28,"EX028")="#N/A FIELD NOT APPLICABLE"), " ", _xll.BDP($AX28,"EX028"))</f>
        <v>Equity</v>
      </c>
      <c r="AE28" s="31" t="str">
        <f>IF(("AS97"="Equity"), " ", "Single Line Equity")</f>
        <v>Single Line Equity</v>
      </c>
      <c r="AF28" s="26" cm="1">
        <f t="array" ref="AF28">IF(OR(_xll.BDP($AX28,"RR908")= "#N/A N/A", _xll.BDP($AX28,"RR908")="#N/A FIELD NOT APPLICABLE"), " ", _xll.BDP($AX28,"RR908"))</f>
        <v>1.6264968064157774</v>
      </c>
      <c r="AG28" s="26" cm="1">
        <f t="array" ref="AG28">IF(OR(_xll.BDP($AX28,"RR041")= "#N/A N/A", _xll.BDP($AX28,"RR041")="#N/A FIELD NOT APPLICABLE"), " ", _xll.BDP($AX28,"RR041"))</f>
        <v>60.777236456630469</v>
      </c>
      <c r="AH28" s="22">
        <f>_xll.BDP(AX28,"TOT_BUY_REC")</f>
        <v>15</v>
      </c>
      <c r="AI28" s="22">
        <f>_xll.BDP(AX28,"TOT_HOLD_REC")</f>
        <v>11</v>
      </c>
      <c r="AJ28" s="22">
        <f>_xll.BDP(AX28,"TOT_SELL_REC")</f>
        <v>1</v>
      </c>
      <c r="AK28" s="26" cm="1">
        <f t="array" ref="AK28">IF(OR(_xll.BDP($AX28,"EE201")= "#N/A N/A", _xll.BDP($AX28,"EE201")="#N/A FIELD NOT APPLICABLE"), " ", _xll.BDP($AX28,"EE201"))</f>
        <v>4.0370368957519531</v>
      </c>
      <c r="AL28" s="24">
        <f>_xll.BDP(AX28,"BEST_TARGET_PRICE")</f>
        <v>12.881250381469727</v>
      </c>
      <c r="AM28" s="32">
        <f>(AL28/Q28)-1</f>
        <v>0.22387177021090032</v>
      </c>
      <c r="AN28" s="32">
        <f>_xll.BDP(AX28,"PR061")/100</f>
        <v>0.11257929999999999</v>
      </c>
      <c r="AO28" s="32">
        <f>_xll.BDP(AX28,"PR064")/100</f>
        <v>-0.38305980000000001</v>
      </c>
      <c r="AP28" s="32">
        <f>_xll.BDP(AX28,"CHG_PCT_6M")/100</f>
        <v>-0.2482143</v>
      </c>
      <c r="AQ28" s="25">
        <f>_xll.BDP(AX28,"PR079")/100</f>
        <v>-0.39615609999999996</v>
      </c>
      <c r="AR28" s="33">
        <f>_xll.BDP(AX28,"hs001")</f>
        <v>19.100000000000001</v>
      </c>
      <c r="AS28" s="33">
        <f>_xll.BDP(AX28,"hs002")</f>
        <v>8.5</v>
      </c>
      <c r="AT28" s="22" t="str" cm="1">
        <f t="array" ref="AT28">IF(OR(_xll.BDP($AX28,"DX202")= "#N/A N/A", _xll.BDP($AX28,"DX202")="#N/A FIELD NOT APPLICABLE"), " ", _xll.BDP($AX28,"DX202"))</f>
        <v>Industrials</v>
      </c>
      <c r="AU28" s="22" t="str" cm="1">
        <f t="array" ref="AU28">IF(OR(_xll.BDP($AX28,"DY997")= "#N/A N/A", _xll.BDP($AX28,"DY997")="#N/A FIELD NOT APPLICABLE"), " ", _xll.BDP($AX28,"DY997"))</f>
        <v>N</v>
      </c>
      <c r="AV28" s="22" t="str" cm="1">
        <f t="array" ref="AV28">IF(OR(_xll.BDP($AX28,"DY784")= "#N/A N/A", _xll.BDP($AX28,"DY784")="#N/A FIELD NOT APPLICABLE"), " ", _xll.BDP($AX28,"DY784"))</f>
        <v>N</v>
      </c>
      <c r="AW28" s="22" t="str">
        <f>IF(OR(AU28="Y",AV28="Y"),"Y","N")</f>
        <v>N</v>
      </c>
      <c r="AX28" s="22" t="str">
        <f>CONCATENATE(G28," ",$AX$2)</f>
        <v>AAL US Equity</v>
      </c>
      <c r="BC28" s="17" t="str" cm="1">
        <f t="array" ref="BC28">_xll.BDP(AX28,"ID005")</f>
        <v>US02376R1023</v>
      </c>
      <c r="BD28" s="17">
        <v>0.7499999021460162</v>
      </c>
      <c r="BE28" s="18">
        <v>4</v>
      </c>
      <c r="BF28" s="19">
        <v>45217</v>
      </c>
      <c r="BG28" s="20">
        <v>1</v>
      </c>
    </row>
    <row r="29" spans="1:59" s="3" customFormat="1" ht="14.45" customHeight="1" x14ac:dyDescent="0.25">
      <c r="A29" s="49" t="s">
        <v>241</v>
      </c>
      <c r="B29" s="49" t="s">
        <v>251</v>
      </c>
      <c r="C29" s="49" t="s">
        <v>252</v>
      </c>
      <c r="D29" s="49" t="s">
        <v>240</v>
      </c>
      <c r="E29" s="22" t="str">
        <f>_xll.BDP(AX29,"SECURITY NAME")</f>
        <v>American Airlines Group Inc</v>
      </c>
      <c r="F29" s="22" t="str">
        <f>_xll.BDP(AX29,"CRNCY")</f>
        <v>USD</v>
      </c>
      <c r="G29" s="23" t="s">
        <v>154</v>
      </c>
      <c r="H29" s="22" t="str" cm="1">
        <f t="array" ref="H29">IF(OR(_xll.BDP($AX29,"DX202")= "#N/A N/A", _xll.BDP($AX29,"DX202")="#N/A FIELD NOT APPLICABLE"), " ", _xll.BDP($AX29,"DX202"))</f>
        <v>Industrials</v>
      </c>
      <c r="I29" s="24">
        <f>_xll.BDP(AX29,"CRNCY_ADJ_MKT_CAP", "EQY_FUND_CRNCY=USD")/1000</f>
        <v>6.9413673890250003</v>
      </c>
      <c r="J29" s="25">
        <f>IFERROR(_xll.BDP(AX29, "DV013")/100,0)</f>
        <v>0</v>
      </c>
      <c r="K29" s="26" cm="1">
        <f t="array" ref="K29">IF(OR(_xll.BDP($AX29,"RR900")= "#N/A N/A", _xll.BDP($AX29,"RR900")="#N/A FIELD NOT APPLICABLE"), " ", _xll.BDP($AX29,"RR900"))</f>
        <v>6.3163211455018029</v>
      </c>
      <c r="L29" s="26" cm="1">
        <f t="array" ref="L29">IF(OR(_xll.BDP($AX29,"EE010")= "#N/A N/A", _xll.BDP($AX29,"EE010")="#N/A FIELD NOT APPLICABLE"), " ", _xll.BDP($AX29,"EE010"))</f>
        <v>5.1492172211350296</v>
      </c>
      <c r="M29" s="26" t="str" cm="1">
        <f t="array" ref="M29">IF(OR(_xll.BDP($AX29,"RR903")= "#N/A N/A", _xll.BDP($AX29,"RR903")="#N/A FIELD NOT APPLICABLE"), " ", _xll.BDP($AX29,"RR903"))</f>
        <v xml:space="preserve"> </v>
      </c>
      <c r="N29" s="26" cm="1">
        <f t="array" ref="N29">IF(OR(_xll.BDP($AX29,"RR957")= "#N/A N/A", _xll.BDP($AX29,"RR957")="#N/A FIELD NOT APPLICABLE"), " ", _xll.BDP($AX29,"RR957"))</f>
        <v>7.8749983385778215</v>
      </c>
      <c r="O29" s="27">
        <v>2905</v>
      </c>
      <c r="P29" s="28">
        <v>16.983460000000001</v>
      </c>
      <c r="Q29" s="22" cm="1">
        <f t="array" ref="Q29">IF(OR(_xll.BDP($AX29,"PX_last")="#N/A N/A",_xll.BDP($AX29,"PX_Last")="#N/A FIELD NOT APPLICABLE")," ",IF(F29="GBP",(_xll.BDP($AX29,"PX_LAST")/100),(_xll.BDP($AX29,"PX_LAST"))))</f>
        <v>10.525</v>
      </c>
      <c r="R29" s="29">
        <f>IF(F29="USD",AA29,(((_xll.BDP(F29&amp;"USD CURNCY","PX_LAST")))*AA29))</f>
        <v>49336.951300000001</v>
      </c>
      <c r="S29" s="29">
        <f>IF(F29="USD",AB29,(((_xll.BDP(F29&amp;"USD CURNCY","PX_LAST")))*AB29))</f>
        <v>30575.125</v>
      </c>
      <c r="T29" s="12">
        <f>S29-R29</f>
        <v>-18761.826300000001</v>
      </c>
      <c r="U29" s="13">
        <f>T29/R29</f>
        <v>-0.38027940125274828</v>
      </c>
      <c r="V29" s="13" cm="1">
        <f t="array" ref="V29">IFERROR(_xll.BDP($G29&amp;" Equity","CHG_PCT_1D")/100,"")</f>
        <v>-1.2664169999999999E-2</v>
      </c>
      <c r="W29" s="13" cm="1">
        <f t="array" ref="W29">IFERROR(_xll.BDP($G29&amp;" Equity","CHG_PCT_5D")/100,"")</f>
        <v>6.3131309999999996E-2</v>
      </c>
      <c r="X29" s="13" t="e">
        <f>S29/#REF!</f>
        <v>#REF!</v>
      </c>
      <c r="Y29" s="24">
        <f>IFERROR(S29*J29,0)</f>
        <v>0</v>
      </c>
      <c r="Z29" s="24">
        <f>S29</f>
        <v>30575.125</v>
      </c>
      <c r="AA29" s="29">
        <f>P29*O29</f>
        <v>49336.951300000001</v>
      </c>
      <c r="AB29" s="29">
        <f>IFERROR(O29*Q29,0)</f>
        <v>30575.125</v>
      </c>
      <c r="AC29" s="4" t="e" cm="1">
        <f t="array" ref="AC29">VLOOKUP(IF(NOT(_xll.BDP(AX29,$BW$8)="#N/A N/A"),(_xll.BDP(AX29,$BW$8)),"-"), '[1]Country Codes'!$A$2:$B$253,2,0)</f>
        <v>#N/A</v>
      </c>
      <c r="AD29" s="30" t="str" cm="1">
        <f t="array" ref="AD29">IF(OR(_xll.BDP($AX29,"EX028")= "#N/A N/A", _xll.BDP($AX29,"EX028")="#N/A FIELD NOT APPLICABLE"), " ", _xll.BDP($AX29,"EX028"))</f>
        <v>Equity</v>
      </c>
      <c r="AE29" s="31" t="str">
        <f>IF(("AS97"="Equity"), " ", "Single Line Equity")</f>
        <v>Single Line Equity</v>
      </c>
      <c r="AF29" s="26" cm="1">
        <f t="array" ref="AF29">IF(OR(_xll.BDP($AX29,"RR908")= "#N/A N/A", _xll.BDP($AX29,"RR908")="#N/A FIELD NOT APPLICABLE"), " ", _xll.BDP($AX29,"RR908"))</f>
        <v>1.6264968064157774</v>
      </c>
      <c r="AG29" s="26" cm="1">
        <f t="array" ref="AG29">IF(OR(_xll.BDP($AX29,"RR041")= "#N/A N/A", _xll.BDP($AX29,"RR041")="#N/A FIELD NOT APPLICABLE"), " ", _xll.BDP($AX29,"RR041"))</f>
        <v>60.777236456630469</v>
      </c>
      <c r="AH29" s="22">
        <f>_xll.BDP(AX29,"TOT_BUY_REC")</f>
        <v>15</v>
      </c>
      <c r="AI29" s="22">
        <f>_xll.BDP(AX29,"TOT_HOLD_REC")</f>
        <v>11</v>
      </c>
      <c r="AJ29" s="22">
        <f>_xll.BDP(AX29,"TOT_SELL_REC")</f>
        <v>1</v>
      </c>
      <c r="AK29" s="26" cm="1">
        <f t="array" ref="AK29">IF(OR(_xll.BDP($AX29,"EE201")= "#N/A N/A", _xll.BDP($AX29,"EE201")="#N/A FIELD NOT APPLICABLE"), " ", _xll.BDP($AX29,"EE201"))</f>
        <v>4.0370368957519531</v>
      </c>
      <c r="AL29" s="24">
        <f>_xll.BDP(AX29,"BEST_TARGET_PRICE")</f>
        <v>12.881250381469727</v>
      </c>
      <c r="AM29" s="32">
        <f>(AL29/Q29)-1</f>
        <v>0.22387177021090032</v>
      </c>
      <c r="AN29" s="32">
        <f>_xll.BDP(AX29,"PR061")/100</f>
        <v>0.11257929999999999</v>
      </c>
      <c r="AO29" s="32">
        <f>_xll.BDP(AX29,"PR064")/100</f>
        <v>-0.38305980000000001</v>
      </c>
      <c r="AP29" s="32">
        <f>_xll.BDP(AX29,"CHG_PCT_6M")/100</f>
        <v>-0.2482143</v>
      </c>
      <c r="AQ29" s="25">
        <f>_xll.BDP(AX29,"PR079")/100</f>
        <v>-0.39615609999999996</v>
      </c>
      <c r="AR29" s="33">
        <f>_xll.BDP(AX29,"hs001")</f>
        <v>19.100000000000001</v>
      </c>
      <c r="AS29" s="33">
        <f>_xll.BDP(AX29,"hs002")</f>
        <v>8.5</v>
      </c>
      <c r="AT29" s="22" t="str" cm="1">
        <f t="array" ref="AT29">IF(OR(_xll.BDP($AX29,"DX202")= "#N/A N/A", _xll.BDP($AX29,"DX202")="#N/A FIELD NOT APPLICABLE"), " ", _xll.BDP($AX29,"DX202"))</f>
        <v>Industrials</v>
      </c>
      <c r="AU29" s="22" t="str" cm="1">
        <f t="array" ref="AU29">IF(OR(_xll.BDP($AX29,"DY997")= "#N/A N/A", _xll.BDP($AX29,"DY997")="#N/A FIELD NOT APPLICABLE"), " ", _xll.BDP($AX29,"DY997"))</f>
        <v>N</v>
      </c>
      <c r="AV29" s="22" t="str" cm="1">
        <f t="array" ref="AV29">IF(OR(_xll.BDP($AX29,"DY784")= "#N/A N/A", _xll.BDP($AX29,"DY784")="#N/A FIELD NOT APPLICABLE"), " ", _xll.BDP($AX29,"DY784"))</f>
        <v>N</v>
      </c>
      <c r="AW29" s="22" t="str">
        <f>IF(OR(AU29="Y",AV29="Y"),"Y","N")</f>
        <v>N</v>
      </c>
      <c r="AX29" s="22" t="str">
        <f>CONCATENATE(G29," ",$AX$2)</f>
        <v>AAL US Equity</v>
      </c>
      <c r="BC29" s="17"/>
      <c r="BD29" s="17"/>
      <c r="BE29" s="18"/>
      <c r="BF29" s="19"/>
      <c r="BG29" s="20"/>
    </row>
    <row r="30" spans="1:59" s="3" customFormat="1" ht="14.45" customHeight="1" x14ac:dyDescent="0.25">
      <c r="A30" s="49" t="s">
        <v>241</v>
      </c>
      <c r="B30" s="49" t="s">
        <v>266</v>
      </c>
      <c r="C30" s="49" t="s">
        <v>267</v>
      </c>
      <c r="D30" s="49" t="s">
        <v>240</v>
      </c>
      <c r="E30" s="22" t="str">
        <f>_xll.BDP(AX30,"SECURITY NAME")</f>
        <v>American Airlines Group Inc</v>
      </c>
      <c r="F30" s="22" t="str">
        <f>_xll.BDP(AX30,"CRNCY")</f>
        <v>USD</v>
      </c>
      <c r="G30" s="23" t="s">
        <v>154</v>
      </c>
      <c r="H30" s="22" t="str" cm="1">
        <f t="array" ref="H30">IF(OR(_xll.BDP($AX30,"DX202")= "#N/A N/A", _xll.BDP($AX30,"DX202")="#N/A FIELD NOT APPLICABLE"), " ", _xll.BDP($AX30,"DX202"))</f>
        <v>Industrials</v>
      </c>
      <c r="I30" s="24">
        <f>_xll.BDP(AX30,"CRNCY_ADJ_MKT_CAP", "EQY_FUND_CRNCY=USD")/1000</f>
        <v>6.9413673890250003</v>
      </c>
      <c r="J30" s="25">
        <f>IFERROR(_xll.BDP(AX30, "DV013")/100,0)</f>
        <v>0</v>
      </c>
      <c r="K30" s="26" cm="1">
        <f t="array" ref="K30">IF(OR(_xll.BDP($AX30,"RR900")= "#N/A N/A", _xll.BDP($AX30,"RR900")="#N/A FIELD NOT APPLICABLE"), " ", _xll.BDP($AX30,"RR900"))</f>
        <v>6.3163211455018029</v>
      </c>
      <c r="L30" s="26" cm="1">
        <f t="array" ref="L30">IF(OR(_xll.BDP($AX30,"EE010")= "#N/A N/A", _xll.BDP($AX30,"EE010")="#N/A FIELD NOT APPLICABLE"), " ", _xll.BDP($AX30,"EE010"))</f>
        <v>5.1492172211350296</v>
      </c>
      <c r="M30" s="26" t="str" cm="1">
        <f t="array" ref="M30">IF(OR(_xll.BDP($AX30,"RR903")= "#N/A N/A", _xll.BDP($AX30,"RR903")="#N/A FIELD NOT APPLICABLE"), " ", _xll.BDP($AX30,"RR903"))</f>
        <v xml:space="preserve"> </v>
      </c>
      <c r="N30" s="26" cm="1">
        <f t="array" ref="N30">IF(OR(_xll.BDP($AX30,"RR957")= "#N/A N/A", _xll.BDP($AX30,"RR957")="#N/A FIELD NOT APPLICABLE"), " ", _xll.BDP($AX30,"RR957"))</f>
        <v>7.8749983385778215</v>
      </c>
      <c r="O30" s="27">
        <v>2905</v>
      </c>
      <c r="P30" s="28">
        <v>16.983460000000001</v>
      </c>
      <c r="Q30" s="22" cm="1">
        <f t="array" ref="Q30">IF(OR(_xll.BDP($AX30,"PX_last")="#N/A N/A",_xll.BDP($AX30,"PX_Last")="#N/A FIELD NOT APPLICABLE")," ",IF(F30="GBP",(_xll.BDP($AX30,"PX_LAST")/100),(_xll.BDP($AX30,"PX_LAST"))))</f>
        <v>10.525</v>
      </c>
      <c r="R30" s="29">
        <f>IF(F30="USD",AA30,(((_xll.BDP(F30&amp;"USD CURNCY","PX_LAST")))*AA30))</f>
        <v>49336.951300000001</v>
      </c>
      <c r="S30" s="29">
        <f>IF(F30="USD",AB30,(((_xll.BDP(F30&amp;"USD CURNCY","PX_LAST")))*AB30))</f>
        <v>30575.125</v>
      </c>
      <c r="T30" s="12">
        <f>S30-R30</f>
        <v>-18761.826300000001</v>
      </c>
      <c r="U30" s="13">
        <f>T30/R30</f>
        <v>-0.38027940125274828</v>
      </c>
      <c r="V30" s="13" cm="1">
        <f t="array" ref="V30">IFERROR(_xll.BDP($G30&amp;" Equity","CHG_PCT_1D")/100,"")</f>
        <v>-1.2664169999999999E-2</v>
      </c>
      <c r="W30" s="13" cm="1">
        <f t="array" ref="W30">IFERROR(_xll.BDP($G30&amp;" Equity","CHG_PCT_5D")/100,"")</f>
        <v>6.3131309999999996E-2</v>
      </c>
      <c r="X30" s="13" t="e">
        <f>S30/#REF!</f>
        <v>#REF!</v>
      </c>
      <c r="Y30" s="24">
        <f>IFERROR(S30*J30,0)</f>
        <v>0</v>
      </c>
      <c r="Z30" s="24">
        <f>S30</f>
        <v>30575.125</v>
      </c>
      <c r="AA30" s="29">
        <f>P30*O30</f>
        <v>49336.951300000001</v>
      </c>
      <c r="AB30" s="29">
        <f>IFERROR(O30*Q30,0)</f>
        <v>30575.125</v>
      </c>
      <c r="AC30" s="4" t="e" cm="1">
        <f t="array" ref="AC30">VLOOKUP(IF(NOT(_xll.BDP(AX30,$BW$8)="#N/A N/A"),(_xll.BDP(AX30,$BW$8)),"-"), '[1]Country Codes'!$A$2:$B$253,2,0)</f>
        <v>#N/A</v>
      </c>
      <c r="AD30" s="30" t="str" cm="1">
        <f t="array" ref="AD30">IF(OR(_xll.BDP($AX30,"EX028")= "#N/A N/A", _xll.BDP($AX30,"EX028")="#N/A FIELD NOT APPLICABLE"), " ", _xll.BDP($AX30,"EX028"))</f>
        <v>Equity</v>
      </c>
      <c r="AE30" s="31" t="str">
        <f>IF(("AS97"="Equity"), " ", "Single Line Equity")</f>
        <v>Single Line Equity</v>
      </c>
      <c r="AF30" s="26" cm="1">
        <f t="array" ref="AF30">IF(OR(_xll.BDP($AX30,"RR908")= "#N/A N/A", _xll.BDP($AX30,"RR908")="#N/A FIELD NOT APPLICABLE"), " ", _xll.BDP($AX30,"RR908"))</f>
        <v>1.6264968064157774</v>
      </c>
      <c r="AG30" s="26" cm="1">
        <f t="array" ref="AG30">IF(OR(_xll.BDP($AX30,"RR041")= "#N/A N/A", _xll.BDP($AX30,"RR041")="#N/A FIELD NOT APPLICABLE"), " ", _xll.BDP($AX30,"RR041"))</f>
        <v>60.777236456630469</v>
      </c>
      <c r="AH30" s="22">
        <f>_xll.BDP(AX30,"TOT_BUY_REC")</f>
        <v>15</v>
      </c>
      <c r="AI30" s="22">
        <f>_xll.BDP(AX30,"TOT_HOLD_REC")</f>
        <v>11</v>
      </c>
      <c r="AJ30" s="22">
        <f>_xll.BDP(AX30,"TOT_SELL_REC")</f>
        <v>1</v>
      </c>
      <c r="AK30" s="26" cm="1">
        <f t="array" ref="AK30">IF(OR(_xll.BDP($AX30,"EE201")= "#N/A N/A", _xll.BDP($AX30,"EE201")="#N/A FIELD NOT APPLICABLE"), " ", _xll.BDP($AX30,"EE201"))</f>
        <v>4.0370368957519531</v>
      </c>
      <c r="AL30" s="24">
        <f>_xll.BDP(AX30,"BEST_TARGET_PRICE")</f>
        <v>12.881250381469727</v>
      </c>
      <c r="AM30" s="32">
        <f>(AL30/Q30)-1</f>
        <v>0.22387177021090032</v>
      </c>
      <c r="AN30" s="32">
        <f>_xll.BDP(AX30,"PR061")/100</f>
        <v>0.11257929999999999</v>
      </c>
      <c r="AO30" s="32">
        <f>_xll.BDP(AX30,"PR064")/100</f>
        <v>-0.38305980000000001</v>
      </c>
      <c r="AP30" s="32">
        <f>_xll.BDP(AX30,"CHG_PCT_6M")/100</f>
        <v>-0.2482143</v>
      </c>
      <c r="AQ30" s="25">
        <f>_xll.BDP(AX30,"PR079")/100</f>
        <v>-0.39615609999999996</v>
      </c>
      <c r="AR30" s="33">
        <f>_xll.BDP(AX30,"hs001")</f>
        <v>19.100000000000001</v>
      </c>
      <c r="AS30" s="33">
        <f>_xll.BDP(AX30,"hs002")</f>
        <v>8.5</v>
      </c>
      <c r="AT30" s="22" t="str" cm="1">
        <f t="array" ref="AT30">IF(OR(_xll.BDP($AX30,"DX202")= "#N/A N/A", _xll.BDP($AX30,"DX202")="#N/A FIELD NOT APPLICABLE"), " ", _xll.BDP($AX30,"DX202"))</f>
        <v>Industrials</v>
      </c>
      <c r="AU30" s="22" t="str" cm="1">
        <f t="array" ref="AU30">IF(OR(_xll.BDP($AX30,"DY997")= "#N/A N/A", _xll.BDP($AX30,"DY997")="#N/A FIELD NOT APPLICABLE"), " ", _xll.BDP($AX30,"DY997"))</f>
        <v>N</v>
      </c>
      <c r="AV30" s="22" t="str" cm="1">
        <f t="array" ref="AV30">IF(OR(_xll.BDP($AX30,"DY784")= "#N/A N/A", _xll.BDP($AX30,"DY784")="#N/A FIELD NOT APPLICABLE"), " ", _xll.BDP($AX30,"DY784"))</f>
        <v>N</v>
      </c>
      <c r="AW30" s="22" t="str">
        <f>IF(OR(AU30="Y",AV30="Y"),"Y","N")</f>
        <v>N</v>
      </c>
      <c r="AX30" s="22" t="str">
        <f>CONCATENATE(G30," ",$AX$2)</f>
        <v>AAL US Equity</v>
      </c>
      <c r="BC30" s="17" t="str" cm="1">
        <f t="array" ref="BC30">_xll.BDP(AX30,"ID005")</f>
        <v>US02376R1023</v>
      </c>
      <c r="BD30" s="17">
        <v>0.75</v>
      </c>
      <c r="BE30" s="18">
        <v>4</v>
      </c>
      <c r="BF30" s="19">
        <v>45217</v>
      </c>
      <c r="BG30" s="20">
        <v>1</v>
      </c>
    </row>
    <row r="31" spans="1:59" s="3" customFormat="1" ht="14.45" customHeight="1" x14ac:dyDescent="0.25">
      <c r="A31" s="49" t="s">
        <v>241</v>
      </c>
      <c r="B31" s="49" t="s">
        <v>270</v>
      </c>
      <c r="C31" s="49" t="s">
        <v>271</v>
      </c>
      <c r="D31" s="49" t="s">
        <v>240</v>
      </c>
      <c r="E31" s="22" t="str">
        <f>_xll.BDP(AX31,"SECURITY NAME")</f>
        <v>American Airlines Group Inc</v>
      </c>
      <c r="F31" s="22" t="str">
        <f>_xll.BDP(AX31,"CRNCY")</f>
        <v>USD</v>
      </c>
      <c r="G31" s="23" t="s">
        <v>154</v>
      </c>
      <c r="H31" s="22" t="str" cm="1">
        <f t="array" ref="H31">IF(OR(_xll.BDP($AX31,"DX202")= "#N/A N/A", _xll.BDP($AX31,"DX202")="#N/A FIELD NOT APPLICABLE"), " ", _xll.BDP($AX31,"DX202"))</f>
        <v>Industrials</v>
      </c>
      <c r="I31" s="24">
        <f>_xll.BDP(AX31,"CRNCY_ADJ_MKT_CAP", "EQY_FUND_CRNCY=USD")/1000</f>
        <v>6.9413673890250003</v>
      </c>
      <c r="J31" s="25">
        <f>IFERROR(_xll.BDP(AX31, "DV013")/100,0)</f>
        <v>0</v>
      </c>
      <c r="K31" s="26" cm="1">
        <f t="array" ref="K31">IF(OR(_xll.BDP($AX31,"RR900")= "#N/A N/A", _xll.BDP($AX31,"RR900")="#N/A FIELD NOT APPLICABLE"), " ", _xll.BDP($AX31,"RR900"))</f>
        <v>6.3163211455018029</v>
      </c>
      <c r="L31" s="26" cm="1">
        <f t="array" ref="L31">IF(OR(_xll.BDP($AX31,"EE010")= "#N/A N/A", _xll.BDP($AX31,"EE010")="#N/A FIELD NOT APPLICABLE"), " ", _xll.BDP($AX31,"EE010"))</f>
        <v>5.1492172211350296</v>
      </c>
      <c r="M31" s="26" t="str" cm="1">
        <f t="array" ref="M31">IF(OR(_xll.BDP($AX31,"RR903")= "#N/A N/A", _xll.BDP($AX31,"RR903")="#N/A FIELD NOT APPLICABLE"), " ", _xll.BDP($AX31,"RR903"))</f>
        <v xml:space="preserve"> </v>
      </c>
      <c r="N31" s="26" cm="1">
        <f t="array" ref="N31">IF(OR(_xll.BDP($AX31,"RR957")= "#N/A N/A", _xll.BDP($AX31,"RR957")="#N/A FIELD NOT APPLICABLE"), " ", _xll.BDP($AX31,"RR957"))</f>
        <v>7.8749983385778215</v>
      </c>
      <c r="O31" s="27">
        <v>2905</v>
      </c>
      <c r="P31" s="28">
        <v>16.983460000000001</v>
      </c>
      <c r="Q31" s="22" cm="1">
        <f t="array" ref="Q31">IF(OR(_xll.BDP($AX31,"PX_last")="#N/A N/A",_xll.BDP($AX31,"PX_Last")="#N/A FIELD NOT APPLICABLE")," ",IF(F31="GBP",(_xll.BDP($AX31,"PX_LAST")/100),(_xll.BDP($AX31,"PX_LAST"))))</f>
        <v>10.525</v>
      </c>
      <c r="R31" s="29">
        <f>IF(F31="USD",AA31,(((_xll.BDP(F31&amp;"USD CURNCY","PX_LAST")))*AA31))</f>
        <v>49336.951300000001</v>
      </c>
      <c r="S31" s="29">
        <f>IF(F31="USD",AB31,(((_xll.BDP(F31&amp;"USD CURNCY","PX_LAST")))*AB31))</f>
        <v>30575.125</v>
      </c>
      <c r="T31" s="12">
        <f>S31-R31</f>
        <v>-18761.826300000001</v>
      </c>
      <c r="U31" s="13">
        <f>T31/R31</f>
        <v>-0.38027940125274828</v>
      </c>
      <c r="V31" s="13" cm="1">
        <f t="array" ref="V31">IFERROR(_xll.BDP($G31&amp;" Equity","CHG_PCT_1D")/100,"")</f>
        <v>-1.2664169999999999E-2</v>
      </c>
      <c r="W31" s="13" cm="1">
        <f t="array" ref="W31">IFERROR(_xll.BDP($G31&amp;" Equity","CHG_PCT_5D")/100,"")</f>
        <v>6.3131309999999996E-2</v>
      </c>
      <c r="X31" s="13" t="e">
        <f>S31/#REF!</f>
        <v>#REF!</v>
      </c>
      <c r="Y31" s="24">
        <f>IFERROR(S31*J31,0)</f>
        <v>0</v>
      </c>
      <c r="Z31" s="24">
        <f>S31</f>
        <v>30575.125</v>
      </c>
      <c r="AA31" s="29">
        <f>P31*O31</f>
        <v>49336.951300000001</v>
      </c>
      <c r="AB31" s="29">
        <f>IFERROR(O31*Q31,0)</f>
        <v>30575.125</v>
      </c>
      <c r="AC31" s="4" t="e" cm="1">
        <f t="array" ref="AC31">VLOOKUP(IF(NOT(_xll.BDP(AX31,$BW$8)="#N/A N/A"),(_xll.BDP(AX31,$BW$8)),"-"), '[1]Country Codes'!$A$2:$B$253,2,0)</f>
        <v>#N/A</v>
      </c>
      <c r="AD31" s="30" t="str" cm="1">
        <f t="array" ref="AD31">IF(OR(_xll.BDP($AX31,"EX028")= "#N/A N/A", _xll.BDP($AX31,"EX028")="#N/A FIELD NOT APPLICABLE"), " ", _xll.BDP($AX31,"EX028"))</f>
        <v>Equity</v>
      </c>
      <c r="AE31" s="31" t="str">
        <f>IF(("AS97"="Equity"), " ", "Single Line Equity")</f>
        <v>Single Line Equity</v>
      </c>
      <c r="AF31" s="26" cm="1">
        <f t="array" ref="AF31">IF(OR(_xll.BDP($AX31,"RR908")= "#N/A N/A", _xll.BDP($AX31,"RR908")="#N/A FIELD NOT APPLICABLE"), " ", _xll.BDP($AX31,"RR908"))</f>
        <v>1.6264968064157774</v>
      </c>
      <c r="AG31" s="26" cm="1">
        <f t="array" ref="AG31">IF(OR(_xll.BDP($AX31,"RR041")= "#N/A N/A", _xll.BDP($AX31,"RR041")="#N/A FIELD NOT APPLICABLE"), " ", _xll.BDP($AX31,"RR041"))</f>
        <v>60.777236456630469</v>
      </c>
      <c r="AH31" s="22">
        <f>_xll.BDP(AX31,"TOT_BUY_REC")</f>
        <v>15</v>
      </c>
      <c r="AI31" s="22">
        <f>_xll.BDP(AX31,"TOT_HOLD_REC")</f>
        <v>11</v>
      </c>
      <c r="AJ31" s="22">
        <f>_xll.BDP(AX31,"TOT_SELL_REC")</f>
        <v>1</v>
      </c>
      <c r="AK31" s="26" cm="1">
        <f t="array" ref="AK31">IF(OR(_xll.BDP($AX31,"EE201")= "#N/A N/A", _xll.BDP($AX31,"EE201")="#N/A FIELD NOT APPLICABLE"), " ", _xll.BDP($AX31,"EE201"))</f>
        <v>4.0370368957519531</v>
      </c>
      <c r="AL31" s="24">
        <f>_xll.BDP(AX31,"BEST_TARGET_PRICE")</f>
        <v>12.881250381469727</v>
      </c>
      <c r="AM31" s="32">
        <f>(AL31/Q31)-1</f>
        <v>0.22387177021090032</v>
      </c>
      <c r="AN31" s="32">
        <f>_xll.BDP(AX31,"PR061")/100</f>
        <v>0.11257929999999999</v>
      </c>
      <c r="AO31" s="32">
        <f>_xll.BDP(AX31,"PR064")/100</f>
        <v>-0.38305980000000001</v>
      </c>
      <c r="AP31" s="32">
        <f>_xll.BDP(AX31,"CHG_PCT_6M")/100</f>
        <v>-0.2482143</v>
      </c>
      <c r="AQ31" s="25">
        <f>_xll.BDP(AX31,"PR079")/100</f>
        <v>-0.39615609999999996</v>
      </c>
      <c r="AR31" s="33">
        <f>_xll.BDP(AX31,"hs001")</f>
        <v>19.100000000000001</v>
      </c>
      <c r="AS31" s="33">
        <f>_xll.BDP(AX31,"hs002")</f>
        <v>8.5</v>
      </c>
      <c r="AT31" s="22" t="str" cm="1">
        <f t="array" ref="AT31">IF(OR(_xll.BDP($AX31,"DX202")= "#N/A N/A", _xll.BDP($AX31,"DX202")="#N/A FIELD NOT APPLICABLE"), " ", _xll.BDP($AX31,"DX202"))</f>
        <v>Industrials</v>
      </c>
      <c r="AU31" s="22" t="str" cm="1">
        <f t="array" ref="AU31">IF(OR(_xll.BDP($AX31,"DY997")= "#N/A N/A", _xll.BDP($AX31,"DY997")="#N/A FIELD NOT APPLICABLE"), " ", _xll.BDP($AX31,"DY997"))</f>
        <v>N</v>
      </c>
      <c r="AV31" s="22" t="str" cm="1">
        <f t="array" ref="AV31">IF(OR(_xll.BDP($AX31,"DY784")= "#N/A N/A", _xll.BDP($AX31,"DY784")="#N/A FIELD NOT APPLICABLE"), " ", _xll.BDP($AX31,"DY784"))</f>
        <v>N</v>
      </c>
      <c r="AW31" s="22" t="str">
        <f>IF(OR(AU31="Y",AV31="Y"),"Y","N")</f>
        <v>N</v>
      </c>
      <c r="AX31" s="22" t="str">
        <f>CONCATENATE(G31," ",$AX$2)</f>
        <v>AAL US Equity</v>
      </c>
      <c r="BC31" s="17" t="str" cm="1">
        <f t="array" ref="BC31">_xll.BDP(AX31,"ID005")</f>
        <v>US02376R1023</v>
      </c>
      <c r="BD31" s="17">
        <v>0.74999996653537371</v>
      </c>
      <c r="BE31" s="18">
        <v>4</v>
      </c>
      <c r="BF31" s="19">
        <v>45217</v>
      </c>
      <c r="BG31" s="20">
        <v>1</v>
      </c>
    </row>
    <row r="32" spans="1:59" s="3" customFormat="1" ht="14.45" customHeight="1" x14ac:dyDescent="0.25">
      <c r="A32" s="49" t="s">
        <v>241</v>
      </c>
      <c r="B32" s="49" t="s">
        <v>272</v>
      </c>
      <c r="C32" s="49">
        <v>2620061.0010000002</v>
      </c>
      <c r="D32" s="49" t="s">
        <v>240</v>
      </c>
      <c r="E32" s="22" t="str">
        <f>_xll.BDP(AX32,"SECURITY NAME")</f>
        <v>American Airlines Group Inc</v>
      </c>
      <c r="F32" s="22" t="str">
        <f>_xll.BDP(AX32,"CRNCY")</f>
        <v>USD</v>
      </c>
      <c r="G32" s="23" t="s">
        <v>154</v>
      </c>
      <c r="H32" s="22" t="str" cm="1">
        <f t="array" ref="H32">IF(OR(_xll.BDP($AX32,"DX202")= "#N/A N/A", _xll.BDP($AX32,"DX202")="#N/A FIELD NOT APPLICABLE"), " ", _xll.BDP($AX32,"DX202"))</f>
        <v>Industrials</v>
      </c>
      <c r="I32" s="24">
        <f>_xll.BDP(AX32,"CRNCY_ADJ_MKT_CAP", "EQY_FUND_CRNCY=USD")/1000</f>
        <v>6.9413673890250003</v>
      </c>
      <c r="J32" s="25">
        <f>IFERROR(_xll.BDP(AX32, "DV013")/100,0)</f>
        <v>0</v>
      </c>
      <c r="K32" s="26" cm="1">
        <f t="array" ref="K32">IF(OR(_xll.BDP($AX32,"RR900")= "#N/A N/A", _xll.BDP($AX32,"RR900")="#N/A FIELD NOT APPLICABLE"), " ", _xll.BDP($AX32,"RR900"))</f>
        <v>6.3163211455018029</v>
      </c>
      <c r="L32" s="26" cm="1">
        <f t="array" ref="L32">IF(OR(_xll.BDP($AX32,"EE010")= "#N/A N/A", _xll.BDP($AX32,"EE010")="#N/A FIELD NOT APPLICABLE"), " ", _xll.BDP($AX32,"EE010"))</f>
        <v>5.1492172211350296</v>
      </c>
      <c r="M32" s="26" t="str" cm="1">
        <f t="array" ref="M32">IF(OR(_xll.BDP($AX32,"RR903")= "#N/A N/A", _xll.BDP($AX32,"RR903")="#N/A FIELD NOT APPLICABLE"), " ", _xll.BDP($AX32,"RR903"))</f>
        <v xml:space="preserve"> </v>
      </c>
      <c r="N32" s="26" cm="1">
        <f t="array" ref="N32">IF(OR(_xll.BDP($AX32,"RR957")= "#N/A N/A", _xll.BDP($AX32,"RR957")="#N/A FIELD NOT APPLICABLE"), " ", _xll.BDP($AX32,"RR957"))</f>
        <v>7.8749983385778215</v>
      </c>
      <c r="O32" s="27">
        <v>2905</v>
      </c>
      <c r="P32" s="28">
        <v>16.983460000000001</v>
      </c>
      <c r="Q32" s="22" cm="1">
        <f t="array" ref="Q32">IF(OR(_xll.BDP($AX32,"PX_last")="#N/A N/A",_xll.BDP($AX32,"PX_Last")="#N/A FIELD NOT APPLICABLE")," ",IF(F32="GBP",(_xll.BDP($AX32,"PX_LAST")/100),(_xll.BDP($AX32,"PX_LAST"))))</f>
        <v>10.525</v>
      </c>
      <c r="R32" s="29">
        <f>IF(F32="USD",AA32,(((_xll.BDP(F32&amp;"USD CURNCY","PX_LAST")))*AA32))</f>
        <v>49336.951300000001</v>
      </c>
      <c r="S32" s="29">
        <f>IF(F32="USD",AB32,(((_xll.BDP(F32&amp;"USD CURNCY","PX_LAST")))*AB32))</f>
        <v>30575.125</v>
      </c>
      <c r="T32" s="12">
        <f>S32-R32</f>
        <v>-18761.826300000001</v>
      </c>
      <c r="U32" s="13">
        <f>IFERROR(T32/R32,0)</f>
        <v>-0.38027940125274828</v>
      </c>
      <c r="V32" s="13" cm="1">
        <f t="array" ref="V32">IFERROR(_xll.BDP($G32&amp;" Equity","CHG_PCT_1D")/100,"")</f>
        <v>-1.2664169999999999E-2</v>
      </c>
      <c r="W32" s="13" cm="1">
        <f t="array" ref="W32">IFERROR(_xll.BDP($G32&amp;" Equity","CHG_PCT_5D")/100,"")</f>
        <v>6.3131309999999996E-2</v>
      </c>
      <c r="X32" s="13" t="e">
        <f>S32/#REF!</f>
        <v>#REF!</v>
      </c>
      <c r="Y32" s="24">
        <f>IFERROR(S32*J32,0)</f>
        <v>0</v>
      </c>
      <c r="Z32" s="24">
        <f>S32</f>
        <v>30575.125</v>
      </c>
      <c r="AA32" s="29">
        <f>P32*O32</f>
        <v>49336.951300000001</v>
      </c>
      <c r="AB32" s="29">
        <f>IFERROR(O32*Q32,0)</f>
        <v>30575.125</v>
      </c>
      <c r="AC32" s="4" t="e" cm="1">
        <f t="array" ref="AC32">VLOOKUP(IF(NOT(_xll.BDP(AX32,$BW$8)="#N/A N/A"),(_xll.BDP(AX32,$BW$8)),"-"), '[1]Country Codes'!$A$2:$B$253,2,0)</f>
        <v>#N/A</v>
      </c>
      <c r="AD32" s="30" t="str" cm="1">
        <f t="array" ref="AD32">IF(OR(_xll.BDP($AX32,"EX028")= "#N/A N/A", _xll.BDP($AX32,"EX028")="#N/A FIELD NOT APPLICABLE"), " ", _xll.BDP($AX32,"EX028"))</f>
        <v>Equity</v>
      </c>
      <c r="AE32" s="31" t="str">
        <f>IF(("AS97"="Equity"), " ", "Single Line Equity")</f>
        <v>Single Line Equity</v>
      </c>
      <c r="AF32" s="26" cm="1">
        <f t="array" ref="AF32">IF(OR(_xll.BDP($AX32,"RR908")= "#N/A N/A", _xll.BDP($AX32,"RR908")="#N/A FIELD NOT APPLICABLE"), " ", _xll.BDP($AX32,"RR908"))</f>
        <v>1.6264968064157774</v>
      </c>
      <c r="AG32" s="26" cm="1">
        <f t="array" ref="AG32">IF(OR(_xll.BDP($AX32,"RR041")= "#N/A N/A", _xll.BDP($AX32,"RR041")="#N/A FIELD NOT APPLICABLE"), " ", _xll.BDP($AX32,"RR041"))</f>
        <v>60.777236456630469</v>
      </c>
      <c r="AH32" s="22">
        <f>_xll.BDP(AX32,"TOT_BUY_REC")</f>
        <v>15</v>
      </c>
      <c r="AI32" s="22">
        <f>_xll.BDP(AX32,"TOT_HOLD_REC")</f>
        <v>11</v>
      </c>
      <c r="AJ32" s="22">
        <f>_xll.BDP(AX32,"TOT_SELL_REC")</f>
        <v>1</v>
      </c>
      <c r="AK32" s="26" cm="1">
        <f t="array" ref="AK32">IF(OR(_xll.BDP($AX32,"EE201")= "#N/A N/A", _xll.BDP($AX32,"EE201")="#N/A FIELD NOT APPLICABLE"), " ", _xll.BDP($AX32,"EE201"))</f>
        <v>4.0370368957519531</v>
      </c>
      <c r="AL32" s="24">
        <f>_xll.BDP(AX32,"BEST_TARGET_PRICE")</f>
        <v>12.881250381469727</v>
      </c>
      <c r="AM32" s="32">
        <f>(AL32/Q32)-1</f>
        <v>0.22387177021090032</v>
      </c>
      <c r="AN32" s="32">
        <f>_xll.BDP(AX32,"PR061")/100</f>
        <v>0.11257929999999999</v>
      </c>
      <c r="AO32" s="32">
        <f>_xll.BDP(AX32,"PR064")/100</f>
        <v>-0.38305980000000001</v>
      </c>
      <c r="AP32" s="32">
        <f>_xll.BDP(AX32,"CHG_PCT_6M")/100</f>
        <v>-0.2482143</v>
      </c>
      <c r="AQ32" s="25">
        <f>_xll.BDP(AX32,"PR079")/100</f>
        <v>-0.39615609999999996</v>
      </c>
      <c r="AR32" s="33">
        <f>_xll.BDP(AX32,"hs001")</f>
        <v>19.100000000000001</v>
      </c>
      <c r="AS32" s="33">
        <f>_xll.BDP(AX32,"hs002")</f>
        <v>8.5</v>
      </c>
      <c r="AT32" s="22" t="str" cm="1">
        <f t="array" ref="AT32">IF(OR(_xll.BDP($AX32,"DX202")= "#N/A N/A", _xll.BDP($AX32,"DX202")="#N/A FIELD NOT APPLICABLE"), " ", _xll.BDP($AX32,"DX202"))</f>
        <v>Industrials</v>
      </c>
      <c r="AU32" s="22" t="str" cm="1">
        <f t="array" ref="AU32">IF(OR(_xll.BDP($AX32,"DY997")= "#N/A N/A", _xll.BDP($AX32,"DY997")="#N/A FIELD NOT APPLICABLE"), " ", _xll.BDP($AX32,"DY997"))</f>
        <v>N</v>
      </c>
      <c r="AV32" s="22" t="str" cm="1">
        <f t="array" ref="AV32">IF(OR(_xll.BDP($AX32,"DY784")= "#N/A N/A", _xll.BDP($AX32,"DY784")="#N/A FIELD NOT APPLICABLE"), " ", _xll.BDP($AX32,"DY784"))</f>
        <v>N</v>
      </c>
      <c r="AW32" s="22" t="str">
        <f>IF(OR(AU32="Y",AV32="Y"),"Y","N")</f>
        <v>N</v>
      </c>
      <c r="AX32" s="22" t="str">
        <f>CONCATENATE(G32," ",$AX$2)</f>
        <v>AAL US Equity</v>
      </c>
      <c r="BC32" s="17" t="str" cm="1">
        <f t="array" ref="BC32">_xll.BDP(AX32,"ID005")</f>
        <v>US02376R1023</v>
      </c>
      <c r="BD32" s="17">
        <v>0.74999996653537371</v>
      </c>
      <c r="BE32" s="18">
        <v>4</v>
      </c>
      <c r="BF32" s="19">
        <v>45217</v>
      </c>
      <c r="BG32" s="20">
        <v>1</v>
      </c>
    </row>
    <row r="33" spans="1:59" s="3" customFormat="1" ht="14.45" customHeight="1" x14ac:dyDescent="0.25">
      <c r="A33" s="49" t="s">
        <v>241</v>
      </c>
      <c r="B33" s="49" t="s">
        <v>273</v>
      </c>
      <c r="C33" s="49">
        <v>2620058.003</v>
      </c>
      <c r="D33" s="49" t="s">
        <v>240</v>
      </c>
      <c r="E33" s="22" t="str">
        <f>_xll.BDP(AX33,"SECURITY NAME")</f>
        <v>American Airlines Group Inc</v>
      </c>
      <c r="F33" s="22" t="str">
        <f>_xll.BDP(AX33,"CRNCY")</f>
        <v>USD</v>
      </c>
      <c r="G33" s="23" t="s">
        <v>154</v>
      </c>
      <c r="H33" s="22" t="str" cm="1">
        <f t="array" ref="H33">IF(OR(_xll.BDP($AX33,"DX202")= "#N/A N/A", _xll.BDP($AX33,"DX202")="#N/A FIELD NOT APPLICABLE"), " ", _xll.BDP($AX33,"DX202"))</f>
        <v>Industrials</v>
      </c>
      <c r="I33" s="24"/>
      <c r="J33" s="25">
        <f>IFERROR(_xll.BDP(AX33, "DV013")/100,0)</f>
        <v>0</v>
      </c>
      <c r="K33" s="26" cm="1">
        <f t="array" ref="K33">IF(OR(_xll.BDP($AX33,"RR900")= "#N/A N/A", _xll.BDP($AX33,"RR900")="#N/A FIELD NOT APPLICABLE"), " ", _xll.BDP($AX33,"RR900"))</f>
        <v>6.3163211455018029</v>
      </c>
      <c r="L33" s="26" cm="1">
        <f t="array" ref="L33">IF(OR(_xll.BDP($AX33,"EE010")= "#N/A N/A", _xll.BDP($AX33,"EE010")="#N/A FIELD NOT APPLICABLE"), " ", _xll.BDP($AX33,"EE010"))</f>
        <v>5.1492172211350296</v>
      </c>
      <c r="M33" s="26" t="str" cm="1">
        <f t="array" ref="M33">IF(OR(_xll.BDP($AX33,"RR903")= "#N/A N/A", _xll.BDP($AX33,"RR903")="#N/A FIELD NOT APPLICABLE"), " ", _xll.BDP($AX33,"RR903"))</f>
        <v xml:space="preserve"> </v>
      </c>
      <c r="N33" s="26" cm="1">
        <f t="array" ref="N33">IF(OR(_xll.BDP($AX33,"RR957")= "#N/A N/A", _xll.BDP($AX33,"RR957")="#N/A FIELD NOT APPLICABLE"), " ", _xll.BDP($AX33,"RR957"))</f>
        <v>7.8749983385778215</v>
      </c>
      <c r="O33" s="27">
        <v>2905</v>
      </c>
      <c r="P33" s="28">
        <v>16.983460000000001</v>
      </c>
      <c r="Q33" s="22" cm="1">
        <f t="array" ref="Q33">IF(OR(_xll.BDP($AX33,"PX_last")="#N/A N/A",_xll.BDP($AX33,"PX_Last")="#N/A FIELD NOT APPLICABLE")," ",IF(F33="GBP",(_xll.BDP($AX33,"PX_LAST")/100),(_xll.BDP($AX33,"PX_LAST"))))</f>
        <v>10.525</v>
      </c>
      <c r="R33" s="29">
        <f>IF(F33="USD",AA33,(((_xll.BDP(F33&amp;"USD CURNCY","PX_LAST")))*AA33))</f>
        <v>49336.951300000001</v>
      </c>
      <c r="S33" s="29">
        <f>IF(F33="USD",AB33,(((_xll.BDP(F33&amp;"USD CURNCY","PX_LAST")))*AB33))</f>
        <v>30575.125</v>
      </c>
      <c r="T33" s="12">
        <f>S33-R33</f>
        <v>-18761.826300000001</v>
      </c>
      <c r="U33" s="13">
        <f>T33/R33</f>
        <v>-0.38027940125274828</v>
      </c>
      <c r="V33" s="13" cm="1">
        <f t="array" ref="V33">IFERROR(_xll.BDP($G33&amp;" Equity","CHG_PCT_1D")/100,"")</f>
        <v>-1.2664169999999999E-2</v>
      </c>
      <c r="W33" s="13" cm="1">
        <f t="array" ref="W33">IFERROR(_xll.BDP($G33&amp;" Equity","CHG_PCT_5D")/100,"")</f>
        <v>6.3131309999999996E-2</v>
      </c>
      <c r="X33" s="13" t="e">
        <f>S33/#REF!</f>
        <v>#REF!</v>
      </c>
      <c r="Y33" s="24">
        <f>IFERROR(S33*J33,0)</f>
        <v>0</v>
      </c>
      <c r="Z33" s="24">
        <f>S33</f>
        <v>30575.125</v>
      </c>
      <c r="AA33" s="29">
        <f>P33*O33</f>
        <v>49336.951300000001</v>
      </c>
      <c r="AB33" s="29">
        <f>IFERROR(O33*Q33,0)</f>
        <v>30575.125</v>
      </c>
      <c r="AC33" s="4" t="e" cm="1">
        <f t="array" ref="AC33">VLOOKUP(IF(NOT(_xll.BDP(AX33,$BW$8)="#N/A N/A"),(_xll.BDP(AX33,$BW$8)),"-"), '[1]Country Codes'!$A$2:$B$253,2,0)</f>
        <v>#N/A</v>
      </c>
      <c r="AD33" s="30" t="str" cm="1">
        <f t="array" ref="AD33">IF(OR(_xll.BDP($AX33,"EX028")= "#N/A N/A", _xll.BDP($AX33,"EX028")="#N/A FIELD NOT APPLICABLE"), " ", _xll.BDP($AX33,"EX028"))</f>
        <v>Equity</v>
      </c>
      <c r="AE33" s="31" t="str">
        <f>IF(("AS97"="Equity"), " ", "Single Line Equity")</f>
        <v>Single Line Equity</v>
      </c>
      <c r="AF33" s="26" cm="1">
        <f t="array" ref="AF33">IF(OR(_xll.BDP($AX33,"RR908")= "#N/A N/A", _xll.BDP($AX33,"RR908")="#N/A FIELD NOT APPLICABLE"), " ", _xll.BDP($AX33,"RR908"))</f>
        <v>1.6264968064157774</v>
      </c>
      <c r="AG33" s="26" cm="1">
        <f t="array" ref="AG33">IF(OR(_xll.BDP($AX33,"RR041")= "#N/A N/A", _xll.BDP($AX33,"RR041")="#N/A FIELD NOT APPLICABLE"), " ", _xll.BDP($AX33,"RR041"))</f>
        <v>60.777236456630469</v>
      </c>
      <c r="AH33" s="22">
        <f>_xll.BDP(AX33,"TOT_BUY_REC")</f>
        <v>15</v>
      </c>
      <c r="AI33" s="22">
        <f>_xll.BDP(AX33,"TOT_HOLD_REC")</f>
        <v>11</v>
      </c>
      <c r="AJ33" s="22">
        <f>_xll.BDP(AX33,"TOT_SELL_REC")</f>
        <v>1</v>
      </c>
      <c r="AK33" s="26" cm="1">
        <f t="array" ref="AK33">IF(OR(_xll.BDP($AX33,"EE201")= "#N/A N/A", _xll.BDP($AX33,"EE201")="#N/A FIELD NOT APPLICABLE"), " ", _xll.BDP($AX33,"EE201"))</f>
        <v>4.0370368957519531</v>
      </c>
      <c r="AL33" s="24">
        <f>_xll.BDP(AX33,"BEST_TARGET_PRICE")</f>
        <v>12.881250381469727</v>
      </c>
      <c r="AM33" s="32">
        <f>(AL33/Q33)-1</f>
        <v>0.22387177021090032</v>
      </c>
      <c r="AN33" s="32">
        <f>_xll.BDP(AX33,"PR061")/100</f>
        <v>0.11257929999999999</v>
      </c>
      <c r="AO33" s="32">
        <f>_xll.BDP(AX33,"PR064")/100</f>
        <v>-0.38305980000000001</v>
      </c>
      <c r="AP33" s="32">
        <f>_xll.BDP(AX33,"CHG_PCT_6M")/100</f>
        <v>-0.2482143</v>
      </c>
      <c r="AQ33" s="25">
        <f>_xll.BDP(AX33,"PR079")/100</f>
        <v>-0.39615609999999996</v>
      </c>
      <c r="AR33" s="33">
        <f>_xll.BDP(AX33,"hs001")</f>
        <v>19.100000000000001</v>
      </c>
      <c r="AS33" s="33">
        <f>_xll.BDP(AX33,"hs002")</f>
        <v>8.5</v>
      </c>
      <c r="AT33" s="22" t="str" cm="1">
        <f t="array" ref="AT33">IF(OR(_xll.BDP($AX33,"DX202")= "#N/A N/A", _xll.BDP($AX33,"DX202")="#N/A FIELD NOT APPLICABLE"), " ", _xll.BDP($AX33,"DX202"))</f>
        <v>Industrials</v>
      </c>
      <c r="AU33" s="22" t="str" cm="1">
        <f t="array" ref="AU33">IF(OR(_xll.BDP($AX33,"DY997")= "#N/A N/A", _xll.BDP($AX33,"DY997")="#N/A FIELD NOT APPLICABLE"), " ", _xll.BDP($AX33,"DY997"))</f>
        <v>N</v>
      </c>
      <c r="AV33" s="22" t="str" cm="1">
        <f t="array" ref="AV33">IF(OR(_xll.BDP($AX33,"DY784")= "#N/A N/A", _xll.BDP($AX33,"DY784")="#N/A FIELD NOT APPLICABLE"), " ", _xll.BDP($AX33,"DY784"))</f>
        <v>N</v>
      </c>
      <c r="AW33" s="22" t="str">
        <f>IF(OR(AU33="Y",AV33="Y"),"Y","N")</f>
        <v>N</v>
      </c>
      <c r="AX33" s="22" t="str">
        <f>CONCATENATE(G33," ",$AX$2)</f>
        <v>AAL US Equity</v>
      </c>
      <c r="BC33" s="17"/>
      <c r="BD33" s="17"/>
      <c r="BE33" s="18"/>
      <c r="BF33" s="19"/>
      <c r="BG33" s="20"/>
    </row>
    <row r="34" spans="1:59" s="3" customFormat="1" ht="14.45" customHeight="1" x14ac:dyDescent="0.25">
      <c r="A34" s="81" t="s">
        <v>242</v>
      </c>
      <c r="B34" s="81" t="s">
        <v>246</v>
      </c>
      <c r="C34" s="81" t="s">
        <v>247</v>
      </c>
      <c r="D34" s="81" t="s">
        <v>248</v>
      </c>
      <c r="E34" s="40" t="str">
        <f>_xll.BDP(AX34,"SECURITY NAME")</f>
        <v>Apple Inc</v>
      </c>
      <c r="F34" s="40" t="str">
        <f>_xll.BDP(AX34,"CRNCY")</f>
        <v>USD</v>
      </c>
      <c r="G34" s="23" t="s">
        <v>139</v>
      </c>
      <c r="H34" s="40" t="str" cm="1">
        <f t="array" ref="H34">IF(OR(_xll.BDP($AX34,"DX202")= "#N/A N/A", _xll.BDP($AX34,"DX202")="#N/A FIELD NOT APPLICABLE"), " ", _xll.BDP($AX34,"DX202"))</f>
        <v>Information Technology</v>
      </c>
      <c r="I34" s="82">
        <f>_xll.BDP(AX34,"CRNCY_ADJ_MKT_CAP", "EQY_FUND_CRNCY=USD")/1000</f>
        <v>2956.9948314800004</v>
      </c>
      <c r="J34" s="83">
        <f>IFERROR(_xll.BDP(AX34, "DV013")/100,0)</f>
        <v>5.2530556715477692E-3</v>
      </c>
      <c r="K34" s="84" cm="1">
        <f t="array" ref="K34">IF(OR(_xll.BDP($AX34,"RR900")= "#N/A N/A", _xll.BDP($AX34,"RR900")="#N/A FIELD NOT APPLICABLE"), " ", _xll.BDP($AX34,"RR900"))</f>
        <v>27.915236791309852</v>
      </c>
      <c r="L34" s="84" cm="1">
        <f t="array" ref="L34">IF(OR(_xll.BDP($AX34,"EE010")= "#N/A N/A", _xll.BDP($AX34,"EE010")="#N/A FIELD NOT APPLICABLE"), " ", _xll.BDP($AX34,"EE010"))</f>
        <v>25.226809378185525</v>
      </c>
      <c r="M34" s="84" cm="1">
        <f t="array" ref="M34">IF(OR(_xll.BDP($AX34,"RR903")= "#N/A N/A", _xll.BDP($AX34,"RR903")="#N/A FIELD NOT APPLICABLE"), " ", _xll.BDP($AX34,"RR903"))</f>
        <v>44.279380799334696</v>
      </c>
      <c r="N34" s="84" cm="1">
        <f t="array" ref="N34">IF(OR(_xll.BDP($AX34,"RR957")= "#N/A N/A", _xll.BDP($AX34,"RR957")="#N/A FIELD NOT APPLICABLE"), " ", _xll.BDP($AX34,"RR957"))</f>
        <v>21.043731593622631</v>
      </c>
      <c r="O34" s="27">
        <v>248</v>
      </c>
      <c r="P34" s="28">
        <v>180.09</v>
      </c>
      <c r="Q34" s="40" cm="1">
        <f t="array" ref="Q34">IF(OR(_xll.BDP($AX34,"PX_last")="#N/A N/A",_xll.BDP($AX34,"PX_Last")="#N/A FIELD NOT APPLICABLE")," ",IF(F34="GBP",(_xll.BDP($AX34,"PX_LAST")/100),(_xll.BDP($AX34,"PX_LAST"))))</f>
        <v>197.98</v>
      </c>
      <c r="R34" s="85">
        <f>IF(F34="USD",AA34,(((_xll.BDP(F34&amp;"USD CURNCY","PX_LAST")))*AA34))</f>
        <v>44662.32</v>
      </c>
      <c r="S34" s="85">
        <f>IF(F34="USD",AB34,(((_xll.BDP(F34&amp;"USD CURNCY","PX_LAST")))*AB34))</f>
        <v>49099.040000000001</v>
      </c>
      <c r="T34" s="86">
        <f>S34-R34</f>
        <v>4436.7200000000012</v>
      </c>
      <c r="U34" s="87">
        <f>T34/R34</f>
        <v>9.9339219279249297E-2</v>
      </c>
      <c r="V34" s="87" cm="1">
        <f t="array" ref="V34">IFERROR(_xll.BDP($G34&amp;" Equity","CHG_PCT_1D")/100,"")</f>
        <v>-4.5753929999999996E-3</v>
      </c>
      <c r="W34" s="87" cm="1">
        <f t="array" ref="W34">IFERROR(_xll.BDP($G34&amp;" Equity","CHG_PCT_5D")/100,"")</f>
        <v>-6.263908E-2</v>
      </c>
      <c r="X34" s="87" t="e">
        <f>S34/#REF!</f>
        <v>#REF!</v>
      </c>
      <c r="Y34" s="82">
        <f>IFERROR(S34*J34,0)</f>
        <v>257.91999053955078</v>
      </c>
      <c r="Z34" s="82">
        <f>S34</f>
        <v>49099.040000000001</v>
      </c>
      <c r="AA34" s="85">
        <f>P34*O34</f>
        <v>44662.32</v>
      </c>
      <c r="AB34" s="85">
        <f>IFERROR(O34*Q34,0)</f>
        <v>49099.040000000001</v>
      </c>
      <c r="AC34" s="88" t="e" cm="1">
        <f t="array" ref="AC34">VLOOKUP(IF(NOT(_xll.BDP(AX34,$BW$8)="#N/A N/A"),(_xll.BDP(AX34,$BW$8)),"-"), '[1]Country Codes'!$A$2:$B$253,2,0)</f>
        <v>#N/A</v>
      </c>
      <c r="AD34" s="89" t="str" cm="1">
        <f t="array" ref="AD34">IF(OR(_xll.BDP($AX34,"EX028")= "#N/A N/A", _xll.BDP($AX34,"EX028")="#N/A FIELD NOT APPLICABLE"), " ", _xll.BDP($AX34,"EX028"))</f>
        <v>Equity</v>
      </c>
      <c r="AE34" s="90" t="str">
        <f>IF(("AS97"="Equity"), " ", "Single Line Equity")</f>
        <v>Single Line Equity</v>
      </c>
      <c r="AF34" s="84" cm="1">
        <f t="array" ref="AF34">IF(OR(_xll.BDP($AX34,"RR908")= "#N/A N/A", _xll.BDP($AX34,"RR908")="#N/A FIELD NOT APPLICABLE"), " ", _xll.BDP($AX34,"RR908"))</f>
        <v>27.356244565123738</v>
      </c>
      <c r="AG34" s="84" cm="1">
        <f t="array" ref="AG34">IF(OR(_xll.BDP($AX34,"RR041")= "#N/A N/A", _xll.BDP($AX34,"RR041")="#N/A FIELD NOT APPLICABLE"), " ", _xll.BDP($AX34,"RR041"))</f>
        <v>32.620691544742172</v>
      </c>
      <c r="AH34" s="40">
        <f>_xll.BDP(AX34,"TOT_BUY_REC")</f>
        <v>35</v>
      </c>
      <c r="AI34" s="40">
        <f>_xll.BDP(AX34,"TOT_HOLD_REC")</f>
        <v>21</v>
      </c>
      <c r="AJ34" s="40">
        <f>_xll.BDP(AX34,"TOT_SELL_REC")</f>
        <v>4</v>
      </c>
      <c r="AK34" s="84" cm="1">
        <f t="array" ref="AK34">IF(OR(_xll.BDP($AX34,"EE201")= "#N/A N/A", _xll.BDP($AX34,"EE201")="#N/A FIELD NOT APPLICABLE"), " ", _xll.BDP($AX34,"EE201"))</f>
        <v>3.9833333492279053</v>
      </c>
      <c r="AL34" s="82">
        <f>_xll.BDP(AX34,"BEST_TARGET_PRICE")</f>
        <v>227.79154968261719</v>
      </c>
      <c r="AM34" s="91">
        <f>(AL34/Q34)-1</f>
        <v>0.15057859219424796</v>
      </c>
      <c r="AN34" s="91">
        <f>_xll.BDP(AX34,"PR061")/100</f>
        <v>5.0960800000000001E-2</v>
      </c>
      <c r="AO34" s="91">
        <f>_xll.BDP(AX34,"PR064")/100</f>
        <v>-0.15110200000000001</v>
      </c>
      <c r="AP34" s="91">
        <f>_xll.BDP(AX34,"CHG_PCT_6M")/100</f>
        <v>-0.11108119999999999</v>
      </c>
      <c r="AQ34" s="83">
        <f>_xll.BDP(AX34,"PR079")/100</f>
        <v>-0.20940819999999999</v>
      </c>
      <c r="AR34" s="92">
        <f>_xll.BDP(AX34,"hs001")</f>
        <v>260.10000000000002</v>
      </c>
      <c r="AS34" s="92">
        <f>_xll.BDP(AX34,"hs002")</f>
        <v>169.21</v>
      </c>
      <c r="AT34" s="40" t="str" cm="1">
        <f t="array" ref="AT34">IF(OR(_xll.BDP($AX34,"DX202")= "#N/A N/A", _xll.BDP($AX34,"DX202")="#N/A FIELD NOT APPLICABLE"), " ", _xll.BDP($AX34,"DX202"))</f>
        <v>Information Technology</v>
      </c>
      <c r="AU34" s="40" t="str" cm="1">
        <f t="array" ref="AU34">IF(OR(_xll.BDP($AX34,"DY997")= "#N/A N/A", _xll.BDP($AX34,"DY997")="#N/A FIELD NOT APPLICABLE"), " ", _xll.BDP($AX34,"DY997"))</f>
        <v>Y</v>
      </c>
      <c r="AV34" s="40" t="str" cm="1">
        <f t="array" ref="AV34">IF(OR(_xll.BDP($AX34,"DY784")= "#N/A N/A", _xll.BDP($AX34,"DY784")="#N/A FIELD NOT APPLICABLE"), " ", _xll.BDP($AX34,"DY784"))</f>
        <v>N</v>
      </c>
      <c r="AW34" s="40" t="str">
        <f>IF(OR(AU34="Y",AV34="Y"),"Y","N")</f>
        <v>Y</v>
      </c>
      <c r="AX34" s="40" t="str">
        <f>CONCATENATE(G34," ",$AX$2)</f>
        <v>AAPL US Equity</v>
      </c>
      <c r="BC34" s="17" t="str" cm="1">
        <f t="array" ref="BC34">_xll.BDP(AX34,"ID005")</f>
        <v>US0378331005</v>
      </c>
      <c r="BD34" s="17">
        <v>0.74999999999999989</v>
      </c>
      <c r="BE34" s="18">
        <v>5</v>
      </c>
      <c r="BF34" s="19">
        <v>45217</v>
      </c>
      <c r="BG34" s="20">
        <v>1</v>
      </c>
    </row>
    <row r="35" spans="1:59" s="3" customFormat="1" ht="14.45" customHeight="1" x14ac:dyDescent="0.25">
      <c r="A35" s="49" t="s">
        <v>242</v>
      </c>
      <c r="B35" s="49" t="s">
        <v>327</v>
      </c>
      <c r="C35" s="49">
        <v>4371511</v>
      </c>
      <c r="D35" s="49" t="s">
        <v>248</v>
      </c>
      <c r="E35" s="22" t="str">
        <f>_xll.BDP(AX35,"SECURITY NAME")</f>
        <v>Associated British Foods PLC</v>
      </c>
      <c r="F35" s="22" t="str">
        <f>_xll.BDP(AX35,"CRNCY")</f>
        <v>GBp</v>
      </c>
      <c r="G35" s="23" t="s">
        <v>346</v>
      </c>
      <c r="H35" s="22" t="str" cm="1">
        <f t="array" ref="H35">IF(OR(_xll.BDP($AX35,"DX202")= "#N/A N/A", _xll.BDP($AX35,"DX202")="#N/A FIELD NOT APPLICABLE"), " ", _xll.BDP($AX35,"DX202"))</f>
        <v>Consumer Staples</v>
      </c>
      <c r="I35" s="24">
        <f>_xll.BDP(AX35,"CRNCY_ADJ_MKT_CAP", "EQY_FUND_CRNCY=USD")/1000</f>
        <v>19.579626828829387</v>
      </c>
      <c r="J35" s="25">
        <f>IFERROR(_xll.BDP(AX35, "DV013")/100,0)</f>
        <v>3.111111111111111E-2</v>
      </c>
      <c r="K35" s="26" cm="1">
        <f t="array" ref="K35">IF(OR(_xll.BDP($AX35,"RR900")= "#N/A N/A", _xll.BDP($AX35,"RR900")="#N/A FIELD NOT APPLICABLE"), " ", _xll.BDP($AX35,"RR900"))</f>
        <v>11.406214443590779</v>
      </c>
      <c r="L35" s="26" cm="1">
        <f t="array" ref="L35">IF(OR(_xll.BDP($AX35,"EE010")= "#N/A N/A", _xll.BDP($AX35,"EE010")="#N/A FIELD NOT APPLICABLE"), " ", _xll.BDP($AX35,"EE010"))</f>
        <v>9.9704579025110771</v>
      </c>
      <c r="M35" s="26" cm="1">
        <f t="array" ref="M35">IF(OR(_xll.BDP($AX35,"RR903")= "#N/A N/A", _xll.BDP($AX35,"RR903")="#N/A FIELD NOT APPLICABLE"), " ", _xll.BDP($AX35,"RR903"))</f>
        <v>1.3334751491132333</v>
      </c>
      <c r="N35" s="26" cm="1">
        <f t="array" ref="N35">IF(OR(_xll.BDP($AX35,"RR957")= "#N/A N/A", _xll.BDP($AX35,"RR957")="#N/A FIELD NOT APPLICABLE"), " ", _xll.BDP($AX35,"RR957"))</f>
        <v>6.8102353523124748</v>
      </c>
      <c r="O35" s="27">
        <v>3908</v>
      </c>
      <c r="P35" s="28">
        <v>19.309999999999999</v>
      </c>
      <c r="Q35" s="22" cm="1">
        <f t="array" ref="Q35">IF(OR(_xll.BDP($AX35,"PX_last")="#N/A N/A",_xll.BDP($AX35,"PX_Last")="#N/A FIELD NOT APPLICABLE")," ",IF(F35="GBP",(_xll.BDP($AX35,"PX_LAST")/100),(_xll.BDP($AX35,"PX_LAST"))))</f>
        <v>20.25</v>
      </c>
      <c r="R35" s="29">
        <f>IF(F35="USD",AA35,(((_xll.BDP(F35&amp;"USD CURNCY","PX_LAST")))*AA35))</f>
        <v>100872.03371599999</v>
      </c>
      <c r="S35" s="29">
        <f>IF(F35="USD",AB35,(((_xll.BDP(F35&amp;"USD CURNCY","PX_LAST")))*AB35))</f>
        <v>105782.4279</v>
      </c>
      <c r="T35" s="12">
        <f>S35-R35</f>
        <v>4910.3941840000043</v>
      </c>
      <c r="U35" s="13">
        <f>T35/R35</f>
        <v>4.8679440704298339E-2</v>
      </c>
      <c r="V35" s="13" cm="1">
        <f t="array" ref="V35">IFERROR(_xll.BDP($G35&amp;" Equity","CHG_PCT_1D")/100,"")</f>
        <v>-1.2195119999999999E-2</v>
      </c>
      <c r="W35" s="13" cm="1">
        <f t="array" ref="W35">IFERROR(_xll.BDP($G35&amp;" Equity","CHG_PCT_5D")/100,"")</f>
        <v>-9.5578380000000004E-2</v>
      </c>
      <c r="X35" s="13" t="e">
        <f>S35/#REF!</f>
        <v>#REF!</v>
      </c>
      <c r="Y35" s="24">
        <f>IFERROR(S35*J35,0)</f>
        <v>3291.0088679999999</v>
      </c>
      <c r="Z35" s="24">
        <f>S35</f>
        <v>105782.4279</v>
      </c>
      <c r="AA35" s="29">
        <f>P35*O35</f>
        <v>75463.48</v>
      </c>
      <c r="AB35" s="29">
        <f>IFERROR(O35*Q35,0)</f>
        <v>79137</v>
      </c>
      <c r="AC35" s="4" t="e" cm="1">
        <f t="array" ref="AC35">VLOOKUP(IF(NOT(_xll.BDP(AX35,$BW$8)="#N/A N/A"),(_xll.BDP(AX35,$BW$8)),"-"), '[1]Country Codes'!$A$2:$B$253,2,0)</f>
        <v>#N/A</v>
      </c>
      <c r="AD35" s="30" t="str" cm="1">
        <f t="array" ref="AD35">IF(OR(_xll.BDP($AX35,"EX028")= "#N/A N/A", _xll.BDP($AX35,"EX028")="#N/A FIELD NOT APPLICABLE"), " ", _xll.BDP($AX35,"EX028"))</f>
        <v>Equity</v>
      </c>
      <c r="AE35" s="31" t="str">
        <f>IF(("AS97"="Equity"), " ", "Single Line Equity")</f>
        <v>Single Line Equity</v>
      </c>
      <c r="AF35" s="26" cm="1">
        <f t="array" ref="AF35">IF(OR(_xll.BDP($AX35,"RR908")= "#N/A N/A", _xll.BDP($AX35,"RR908")="#N/A FIELD NOT APPLICABLE"), " ", _xll.BDP($AX35,"RR908"))</f>
        <v>6.0178635258572672</v>
      </c>
      <c r="AG35" s="26" cm="1">
        <f t="array" ref="AG35">IF(OR(_xll.BDP($AX35,"RR041")= "#N/A N/A", _xll.BDP($AX35,"RR041")="#N/A FIELD NOT APPLICABLE"), " ", _xll.BDP($AX35,"RR041"))</f>
        <v>19.343641527295677</v>
      </c>
      <c r="AH35" s="22">
        <f>_xll.BDP(AX35,"TOT_BUY_REC")</f>
        <v>5</v>
      </c>
      <c r="AI35" s="22">
        <f>_xll.BDP(AX35,"TOT_HOLD_REC")</f>
        <v>11</v>
      </c>
      <c r="AJ35" s="22">
        <f>_xll.BDP(AX35,"TOT_SELL_REC")</f>
        <v>3</v>
      </c>
      <c r="AK35" s="26" cm="1">
        <f t="array" ref="AK35">IF(OR(_xll.BDP($AX35,"EE201")= "#N/A N/A", _xll.BDP($AX35,"EE201")="#N/A FIELD NOT APPLICABLE"), " ", _xll.BDP($AX35,"EE201"))</f>
        <v>3.2105262279510498</v>
      </c>
      <c r="AL35" s="24">
        <f>_xll.BDP(AX35,"BEST_TARGET_PRICE")</f>
        <v>2225.27783203125</v>
      </c>
      <c r="AM35" s="32">
        <f>(AL35/Q35)-1</f>
        <v>108.89026331018519</v>
      </c>
      <c r="AN35" s="32">
        <f>_xll.BDP(AX35,"PR061")/100</f>
        <v>4.3545480000000004E-2</v>
      </c>
      <c r="AO35" s="32">
        <f>_xll.BDP(AX35,"PR064")/100</f>
        <v>8.3467090000000008E-2</v>
      </c>
      <c r="AP35" s="32">
        <f>_xll.BDP(AX35,"CHG_PCT_6M")/100</f>
        <v>-0.115677</v>
      </c>
      <c r="AQ35" s="25">
        <f>_xll.BDP(AX35,"PR079")/100</f>
        <v>-8.8105730000000004E-3</v>
      </c>
      <c r="AR35" s="33">
        <f>_xll.BDP(AX35,"hs001")</f>
        <v>2716.4639999999999</v>
      </c>
      <c r="AS35" s="33">
        <f>_xll.BDP(AX35,"hs002")</f>
        <v>1819</v>
      </c>
      <c r="AT35" s="22" t="str" cm="1">
        <f t="array" ref="AT35">IF(OR(_xll.BDP($AX35,"DX202")= "#N/A N/A", _xll.BDP($AX35,"DX202")="#N/A FIELD NOT APPLICABLE"), " ", _xll.BDP($AX35,"DX202"))</f>
        <v>Consumer Staples</v>
      </c>
      <c r="AU35" s="22" t="str" cm="1">
        <f t="array" ref="AU35">IF(OR(_xll.BDP($AX35,"DY997")= "#N/A N/A", _xll.BDP($AX35,"DY997")="#N/A FIELD NOT APPLICABLE"), " ", _xll.BDP($AX35,"DY997"))</f>
        <v>Y</v>
      </c>
      <c r="AV35" s="22" t="str" cm="1">
        <f t="array" ref="AV35">IF(OR(_xll.BDP($AX35,"DY784")= "#N/A N/A", _xll.BDP($AX35,"DY784")="#N/A FIELD NOT APPLICABLE"), " ", _xll.BDP($AX35,"DY784"))</f>
        <v>Y</v>
      </c>
      <c r="AW35" s="22" t="str">
        <f>IF(OR(AU35="Y",AV35="Y"),"Y","N")</f>
        <v>Y</v>
      </c>
      <c r="AX35" s="22" t="str">
        <f>CONCATENATE(G35," ",$AX$2)</f>
        <v>ABF LN Equity</v>
      </c>
      <c r="BC35" s="17"/>
      <c r="BD35" s="17"/>
      <c r="BE35" s="18"/>
      <c r="BF35" s="19"/>
      <c r="BG35" s="20"/>
    </row>
    <row r="36" spans="1:59" s="3" customFormat="1" ht="14.45" customHeight="1" x14ac:dyDescent="0.25">
      <c r="A36" s="49" t="s">
        <v>241</v>
      </c>
      <c r="B36" s="49" t="s">
        <v>238</v>
      </c>
      <c r="C36" s="49" t="s">
        <v>239</v>
      </c>
      <c r="D36" s="49" t="s">
        <v>240</v>
      </c>
      <c r="E36" s="22" t="str">
        <f>_xll.BDP(AX36,"SECURITY NAME")</f>
        <v>Adobe Inc</v>
      </c>
      <c r="F36" s="22" t="str">
        <f>_xll.BDP(AX36,"CRNCY")</f>
        <v>USD</v>
      </c>
      <c r="G36" s="23" t="s">
        <v>330</v>
      </c>
      <c r="H36" s="22" t="str" cm="1">
        <f t="array" ref="H36">IF(OR(_xll.BDP($AX36,"DX202")= "#N/A N/A", _xll.BDP($AX36,"DX202")="#N/A FIELD NOT APPLICABLE"), " ", _xll.BDP($AX36,"DX202"))</f>
        <v>Information Technology</v>
      </c>
      <c r="I36" s="24">
        <f>_xll.BDP(AX36,"CRNCY_ADJ_MKT_CAP", "EQY_FUND_CRNCY=USD")/1000</f>
        <v>164.10831000000002</v>
      </c>
      <c r="J36" s="25">
        <f>IFERROR(_xll.BDP(AX36, "DV013")/100,0)</f>
        <v>0</v>
      </c>
      <c r="K36" s="26" cm="1">
        <f t="array" ref="K36">IF(OR(_xll.BDP($AX36,"RR900")= "#N/A N/A", _xll.BDP($AX36,"RR900")="#N/A FIELD NOT APPLICABLE"), " ", _xll.BDP($AX36,"RR900"))</f>
        <v>25.391923765072026</v>
      </c>
      <c r="L36" s="26" cm="1">
        <f t="array" ref="L36">IF(OR(_xll.BDP($AX36,"EE010")= "#N/A N/A", _xll.BDP($AX36,"EE010")="#N/A FIELD NOT APPLICABLE"), " ", _xll.BDP($AX36,"EE010"))</f>
        <v>16.836466987319632</v>
      </c>
      <c r="M36" s="26" cm="1">
        <f t="array" ref="M36">IF(OR(_xll.BDP($AX36,"RR903")= "#N/A N/A", _xll.BDP($AX36,"RR903")="#N/A FIELD NOT APPLICABLE"), " ", _xll.BDP($AX36,"RR903"))</f>
        <v>12.790893065287623</v>
      </c>
      <c r="N36" s="26" cm="1">
        <f t="array" ref="N36">IF(OR(_xll.BDP($AX36,"RR957")= "#N/A N/A", _xll.BDP($AX36,"RR957")="#N/A FIELD NOT APPLICABLE"), " ", _xll.BDP($AX36,"RR957"))</f>
        <v>18.2550111831805</v>
      </c>
      <c r="O36" s="27">
        <v>110</v>
      </c>
      <c r="P36" s="28">
        <v>461.56763999999998</v>
      </c>
      <c r="Q36" s="22" cm="1">
        <f t="array" ref="Q36">IF(OR(_xll.BDP($AX36,"PX_last")="#N/A N/A",_xll.BDP($AX36,"PX_Last")="#N/A FIELD NOT APPLICABLE")," ",IF(F36="GBP",(_xll.BDP($AX36,"PX_LAST")/100),(_xll.BDP($AX36,"PX_LAST"))))</f>
        <v>384.79</v>
      </c>
      <c r="R36" s="29">
        <f>IF(F36="USD",AA36,(((_xll.BDP(F36&amp;"USD CURNCY","PX_LAST")))*AA36))</f>
        <v>50772.440399999999</v>
      </c>
      <c r="S36" s="29">
        <f>IF(F36="USD",AB36,(((_xll.BDP(F36&amp;"USD CURNCY","PX_LAST")))*AB36))</f>
        <v>42326.9</v>
      </c>
      <c r="T36" s="12">
        <f>S36-R36</f>
        <v>-8445.540399999998</v>
      </c>
      <c r="U36" s="13">
        <f>T36/R36</f>
        <v>-0.16634103725295815</v>
      </c>
      <c r="V36" s="13" cm="1">
        <f t="array" ref="V36">IFERROR(_xll.BDP($G36&amp;" Equity","CHG_PCT_1D")/100,"")</f>
        <v>1.0470790000000001E-2</v>
      </c>
      <c r="W36" s="13" cm="1">
        <f t="array" ref="W36">IFERROR(_xll.BDP($G36&amp;" Equity","CHG_PCT_5D")/100,"")</f>
        <v>3.792657E-2</v>
      </c>
      <c r="X36" s="13" t="e">
        <f>S36/#REF!</f>
        <v>#REF!</v>
      </c>
      <c r="Y36" s="24">
        <f>IFERROR(S36*J36,0)</f>
        <v>0</v>
      </c>
      <c r="Z36" s="24">
        <f>S36</f>
        <v>42326.9</v>
      </c>
      <c r="AA36" s="29">
        <f>P36*O36</f>
        <v>50772.440399999999</v>
      </c>
      <c r="AB36" s="29">
        <f>IFERROR(O36*Q36,0)</f>
        <v>42326.9</v>
      </c>
      <c r="AC36" s="4" t="e" cm="1">
        <f t="array" ref="AC36">VLOOKUP(IF(NOT(_xll.BDP(AX36,$BW$8)="#N/A N/A"),(_xll.BDP(AX36,$BW$8)),"-"), '[1]Country Codes'!$A$2:$B$253,2,0)</f>
        <v>#N/A</v>
      </c>
      <c r="AD36" s="30" t="str" cm="1">
        <f t="array" ref="AD36">IF(OR(_xll.BDP($AX36,"EX028")= "#N/A N/A", _xll.BDP($AX36,"EX028")="#N/A FIELD NOT APPLICABLE"), " ", _xll.BDP($AX36,"EX028"))</f>
        <v>Equity</v>
      </c>
      <c r="AE36" s="31" t="str">
        <f>IF(("AS97"="Equity"), " ", "Single Line Equity")</f>
        <v>Single Line Equity</v>
      </c>
      <c r="AF36" s="26" cm="1">
        <f t="array" ref="AF36">IF(OR(_xll.BDP($AX36,"RR908")= "#N/A N/A", _xll.BDP($AX36,"RR908")="#N/A FIELD NOT APPLICABLE"), " ", _xll.BDP($AX36,"RR908"))</f>
        <v>18.181148793007175</v>
      </c>
      <c r="AG36" s="26" cm="1">
        <f t="array" ref="AG36">IF(OR(_xll.BDP($AX36,"RR041")= "#N/A N/A", _xll.BDP($AX36,"RR041")="#N/A FIELD NOT APPLICABLE"), " ", _xll.BDP($AX36,"RR041"))</f>
        <v>20.033079722130335</v>
      </c>
      <c r="AH36" s="22">
        <f>_xll.BDP(AX36,"TOT_BUY_REC")</f>
        <v>33</v>
      </c>
      <c r="AI36" s="22">
        <f>_xll.BDP(AX36,"TOT_HOLD_REC")</f>
        <v>15</v>
      </c>
      <c r="AJ36" s="22">
        <f>_xll.BDP(AX36,"TOT_SELL_REC")</f>
        <v>1</v>
      </c>
      <c r="AK36" s="26" cm="1">
        <f t="array" ref="AK36">IF(OR(_xll.BDP($AX36,"EE201")= "#N/A N/A", _xll.BDP($AX36,"EE201")="#N/A FIELD NOT APPLICABLE"), " ", _xll.BDP($AX36,"EE201"))</f>
        <v>4.3265304565429688</v>
      </c>
      <c r="AL36" s="24">
        <f>_xll.BDP(AX36,"BEST_TARGET_PRICE")</f>
        <v>504.35513305664063</v>
      </c>
      <c r="AM36" s="32">
        <f>(AL36/Q36)-1</f>
        <v>0.31072827531027469</v>
      </c>
      <c r="AN36" s="32">
        <f>_xll.BDP(AX36,"PR061")/100</f>
        <v>0.1030739</v>
      </c>
      <c r="AO36" s="32">
        <f>_xll.BDP(AX36,"PR064")/100</f>
        <v>-0.1156408</v>
      </c>
      <c r="AP36" s="32">
        <f>_xll.BDP(AX36,"CHG_PCT_6M")/100</f>
        <v>-0.23726800000000001</v>
      </c>
      <c r="AQ36" s="25">
        <f>_xll.BDP(AX36,"PR079")/100</f>
        <v>-0.1340964</v>
      </c>
      <c r="AR36" s="33">
        <f>_xll.BDP(AX36,"hs001")</f>
        <v>587.75</v>
      </c>
      <c r="AS36" s="33">
        <f>_xll.BDP(AX36,"hs002")</f>
        <v>332.01</v>
      </c>
      <c r="AT36" s="22" t="str" cm="1">
        <f t="array" ref="AT36">IF(OR(_xll.BDP($AX36,"DX202")= "#N/A N/A", _xll.BDP($AX36,"DX202")="#N/A FIELD NOT APPLICABLE"), " ", _xll.BDP($AX36,"DX202"))</f>
        <v>Information Technology</v>
      </c>
      <c r="AU36" s="22" t="str" cm="1">
        <f t="array" ref="AU36">IF(OR(_xll.BDP($AX36,"DY997")= "#N/A N/A", _xll.BDP($AX36,"DY997")="#N/A FIELD NOT APPLICABLE"), " ", _xll.BDP($AX36,"DY997"))</f>
        <v>Y</v>
      </c>
      <c r="AV36" s="22" t="str" cm="1">
        <f t="array" ref="AV36">IF(OR(_xll.BDP($AX36,"DY784")= "#N/A N/A", _xll.BDP($AX36,"DY784")="#N/A FIELD NOT APPLICABLE"), " ", _xll.BDP($AX36,"DY784"))</f>
        <v>Y</v>
      </c>
      <c r="AW36" s="22" t="str">
        <f>IF(OR(AU36="Y",AV36="Y"),"Y","N")</f>
        <v>Y</v>
      </c>
      <c r="AX36" s="22" t="str">
        <f>CONCATENATE(G36," ",$AX$2)</f>
        <v>ADBE US Equity</v>
      </c>
      <c r="BC36" s="17"/>
      <c r="BD36" s="17"/>
      <c r="BE36" s="18"/>
      <c r="BF36" s="19"/>
      <c r="BG36" s="20"/>
    </row>
    <row r="37" spans="1:59" s="3" customFormat="1" ht="14.45" customHeight="1" x14ac:dyDescent="0.25">
      <c r="A37" s="49" t="s">
        <v>242</v>
      </c>
      <c r="B37" s="49" t="s">
        <v>243</v>
      </c>
      <c r="C37" s="49" t="s">
        <v>244</v>
      </c>
      <c r="D37" s="49" t="s">
        <v>245</v>
      </c>
      <c r="E37" s="22" t="str">
        <f>_xll.BDP(AX37,"SECURITY NAME")</f>
        <v>Adobe Inc</v>
      </c>
      <c r="F37" s="22" t="str">
        <f>_xll.BDP(AX37,"CRNCY")</f>
        <v>USD</v>
      </c>
      <c r="G37" s="23" t="s">
        <v>330</v>
      </c>
      <c r="H37" s="22" t="str" cm="1">
        <f t="array" ref="H37">IF(OR(_xll.BDP($AX37,"DX202")= "#N/A N/A", _xll.BDP($AX37,"DX202")="#N/A FIELD NOT APPLICABLE"), " ", _xll.BDP($AX37,"DX202"))</f>
        <v>Information Technology</v>
      </c>
      <c r="I37" s="24">
        <f>_xll.BDP(AX37,"CRNCY_ADJ_MKT_CAP", "EQY_FUND_CRNCY=USD")/1000</f>
        <v>164.10831000000002</v>
      </c>
      <c r="J37" s="25">
        <f>IFERROR(_xll.BDP(AX37, "DV013")/100,0)</f>
        <v>0</v>
      </c>
      <c r="K37" s="26" cm="1">
        <f t="array" ref="K37">IF(OR(_xll.BDP($AX37,"RR900")= "#N/A N/A", _xll.BDP($AX37,"RR900")="#N/A FIELD NOT APPLICABLE"), " ", _xll.BDP($AX37,"RR900"))</f>
        <v>25.391923765072026</v>
      </c>
      <c r="L37" s="26" cm="1">
        <f t="array" ref="L37">IF(OR(_xll.BDP($AX37,"EE010")= "#N/A N/A", _xll.BDP($AX37,"EE010")="#N/A FIELD NOT APPLICABLE"), " ", _xll.BDP($AX37,"EE010"))</f>
        <v>16.836466987319632</v>
      </c>
      <c r="M37" s="26" cm="1">
        <f t="array" ref="M37">IF(OR(_xll.BDP($AX37,"RR903")= "#N/A N/A", _xll.BDP($AX37,"RR903")="#N/A FIELD NOT APPLICABLE"), " ", _xll.BDP($AX37,"RR903"))</f>
        <v>12.790893065287623</v>
      </c>
      <c r="N37" s="26" cm="1">
        <f t="array" ref="N37">IF(OR(_xll.BDP($AX37,"RR957")= "#N/A N/A", _xll.BDP($AX37,"RR957")="#N/A FIELD NOT APPLICABLE"), " ", _xll.BDP($AX37,"RR957"))</f>
        <v>18.2550111831805</v>
      </c>
      <c r="O37" s="27">
        <v>215</v>
      </c>
      <c r="P37" s="28">
        <v>461.65</v>
      </c>
      <c r="Q37" s="22" cm="1">
        <f t="array" ref="Q37">IF(OR(_xll.BDP($AX37,"PX_last")="#N/A N/A",_xll.BDP($AX37,"PX_Last")="#N/A FIELD NOT APPLICABLE")," ",IF(F37="GBP",(_xll.BDP($AX37,"PX_LAST")/100),(_xll.BDP($AX37,"PX_LAST"))))</f>
        <v>384.79</v>
      </c>
      <c r="R37" s="29">
        <f>IF(F37="USD",AA37,(((_xll.BDP(F37&amp;"USD CURNCY","PX_LAST")))*AA37))</f>
        <v>99254.75</v>
      </c>
      <c r="S37" s="29">
        <f>IF(F37="USD",AB37,(((_xll.BDP(F37&amp;"USD CURNCY","PX_LAST")))*AB37))</f>
        <v>82729.850000000006</v>
      </c>
      <c r="T37" s="12">
        <f>S37-R37</f>
        <v>-16524.899999999994</v>
      </c>
      <c r="U37" s="13">
        <f>T37/R37</f>
        <v>-0.16648976497346468</v>
      </c>
      <c r="V37" s="13" cm="1">
        <f t="array" ref="V37">IFERROR(_xll.BDP($G37&amp;" Equity","CHG_PCT_1D")/100,"")</f>
        <v>1.0470790000000001E-2</v>
      </c>
      <c r="W37" s="13" cm="1">
        <f t="array" ref="W37">IFERROR(_xll.BDP($G37&amp;" Equity","CHG_PCT_5D")/100,"")</f>
        <v>3.792657E-2</v>
      </c>
      <c r="X37" s="13" t="e">
        <f>S37/#REF!</f>
        <v>#REF!</v>
      </c>
      <c r="Y37" s="24">
        <f>IFERROR(S37*J37,0)</f>
        <v>0</v>
      </c>
      <c r="Z37" s="24">
        <f>S37</f>
        <v>82729.850000000006</v>
      </c>
      <c r="AA37" s="29">
        <f>P37*O37</f>
        <v>99254.75</v>
      </c>
      <c r="AB37" s="29">
        <f>IFERROR(O37*Q37,0)</f>
        <v>82729.850000000006</v>
      </c>
      <c r="AC37" s="4" t="e" cm="1">
        <f t="array" ref="AC37">VLOOKUP(IF(NOT(_xll.BDP(AX37,$BW$8)="#N/A N/A"),(_xll.BDP(AX37,$BW$8)),"-"), '[1]Country Codes'!$A$2:$B$253,2,0)</f>
        <v>#N/A</v>
      </c>
      <c r="AD37" s="30" t="str" cm="1">
        <f t="array" ref="AD37">IF(OR(_xll.BDP($AX37,"EX028")= "#N/A N/A", _xll.BDP($AX37,"EX028")="#N/A FIELD NOT APPLICABLE"), " ", _xll.BDP($AX37,"EX028"))</f>
        <v>Equity</v>
      </c>
      <c r="AE37" s="31" t="str">
        <f>IF(("AS97"="Equity"), " ", "Single Line Equity")</f>
        <v>Single Line Equity</v>
      </c>
      <c r="AF37" s="26" cm="1">
        <f t="array" ref="AF37">IF(OR(_xll.BDP($AX37,"RR908")= "#N/A N/A", _xll.BDP($AX37,"RR908")="#N/A FIELD NOT APPLICABLE"), " ", _xll.BDP($AX37,"RR908"))</f>
        <v>18.181148793007175</v>
      </c>
      <c r="AG37" s="26" cm="1">
        <f t="array" ref="AG37">IF(OR(_xll.BDP($AX37,"RR041")= "#N/A N/A", _xll.BDP($AX37,"RR041")="#N/A FIELD NOT APPLICABLE"), " ", _xll.BDP($AX37,"RR041"))</f>
        <v>20.033079722130335</v>
      </c>
      <c r="AH37" s="22">
        <f>_xll.BDP(AX37,"TOT_BUY_REC")</f>
        <v>33</v>
      </c>
      <c r="AI37" s="22">
        <f>_xll.BDP(AX37,"TOT_HOLD_REC")</f>
        <v>15</v>
      </c>
      <c r="AJ37" s="22">
        <f>_xll.BDP(AX37,"TOT_SELL_REC")</f>
        <v>1</v>
      </c>
      <c r="AK37" s="26" cm="1">
        <f t="array" ref="AK37">IF(OR(_xll.BDP($AX37,"EE201")= "#N/A N/A", _xll.BDP($AX37,"EE201")="#N/A FIELD NOT APPLICABLE"), " ", _xll.BDP($AX37,"EE201"))</f>
        <v>4.3265304565429688</v>
      </c>
      <c r="AL37" s="24">
        <f>_xll.BDP(AX37,"BEST_TARGET_PRICE")</f>
        <v>504.35513305664063</v>
      </c>
      <c r="AM37" s="32">
        <f>(AL37/Q37)-1</f>
        <v>0.31072827531027469</v>
      </c>
      <c r="AN37" s="32">
        <f>_xll.BDP(AX37,"PR061")/100</f>
        <v>0.1030739</v>
      </c>
      <c r="AO37" s="32">
        <f>_xll.BDP(AX37,"PR064")/100</f>
        <v>-0.1156408</v>
      </c>
      <c r="AP37" s="32">
        <f>_xll.BDP(AX37,"CHG_PCT_6M")/100</f>
        <v>-0.23726800000000001</v>
      </c>
      <c r="AQ37" s="25">
        <f>_xll.BDP(AX37,"PR079")/100</f>
        <v>-0.1340964</v>
      </c>
      <c r="AR37" s="33">
        <f>_xll.BDP(AX37,"hs001")</f>
        <v>587.75</v>
      </c>
      <c r="AS37" s="33">
        <f>_xll.BDP(AX37,"hs002")</f>
        <v>332.01</v>
      </c>
      <c r="AT37" s="22" t="str" cm="1">
        <f t="array" ref="AT37">IF(OR(_xll.BDP($AX37,"DX202")= "#N/A N/A", _xll.BDP($AX37,"DX202")="#N/A FIELD NOT APPLICABLE"), " ", _xll.BDP($AX37,"DX202"))</f>
        <v>Information Technology</v>
      </c>
      <c r="AU37" s="22" t="str" cm="1">
        <f t="array" ref="AU37">IF(OR(_xll.BDP($AX37,"DY997")= "#N/A N/A", _xll.BDP($AX37,"DY997")="#N/A FIELD NOT APPLICABLE"), " ", _xll.BDP($AX37,"DY997"))</f>
        <v>Y</v>
      </c>
      <c r="AV37" s="22" t="str" cm="1">
        <f t="array" ref="AV37">IF(OR(_xll.BDP($AX37,"DY784")= "#N/A N/A", _xll.BDP($AX37,"DY784")="#N/A FIELD NOT APPLICABLE"), " ", _xll.BDP($AX37,"DY784"))</f>
        <v>Y</v>
      </c>
      <c r="AW37" s="22" t="str">
        <f>IF(OR(AU37="Y",AV37="Y"),"Y","N")</f>
        <v>Y</v>
      </c>
      <c r="AX37" s="22" t="str">
        <f>CONCATENATE(G37," ",$AX$2)</f>
        <v>ADBE US Equity</v>
      </c>
      <c r="BC37" s="17"/>
      <c r="BD37" s="17"/>
      <c r="BE37" s="18"/>
      <c r="BF37" s="19"/>
      <c r="BG37" s="20"/>
    </row>
    <row r="38" spans="1:59" s="3" customFormat="1" ht="14.45" customHeight="1" x14ac:dyDescent="0.25">
      <c r="A38" s="49" t="s">
        <v>242</v>
      </c>
      <c r="B38" s="49" t="s">
        <v>327</v>
      </c>
      <c r="C38" s="49">
        <v>4371511</v>
      </c>
      <c r="D38" s="49" t="s">
        <v>248</v>
      </c>
      <c r="E38" s="22" t="str">
        <f>_xll.BDP(AX38,"SECURITY NAME")</f>
        <v>Adobe Inc</v>
      </c>
      <c r="F38" s="22" t="str">
        <f>_xll.BDP(AX38,"CRNCY")</f>
        <v>USD</v>
      </c>
      <c r="G38" s="23" t="s">
        <v>330</v>
      </c>
      <c r="H38" s="22" t="str" cm="1">
        <f t="array" ref="H38">IF(OR(_xll.BDP($AX38,"DX202")= "#N/A N/A", _xll.BDP($AX38,"DX202")="#N/A FIELD NOT APPLICABLE"), " ", _xll.BDP($AX38,"DX202"))</f>
        <v>Information Technology</v>
      </c>
      <c r="I38" s="24">
        <f>_xll.BDP(AX38,"CRNCY_ADJ_MKT_CAP", "EQY_FUND_CRNCY=USD")/1000</f>
        <v>164.10831000000002</v>
      </c>
      <c r="J38" s="25">
        <f>IFERROR(_xll.BDP(AX38, "DV013")/100,0)</f>
        <v>0</v>
      </c>
      <c r="K38" s="26" cm="1">
        <f t="array" ref="K38">IF(OR(_xll.BDP($AX38,"RR900")= "#N/A N/A", _xll.BDP($AX38,"RR900")="#N/A FIELD NOT APPLICABLE"), " ", _xll.BDP($AX38,"RR900"))</f>
        <v>25.391923765072026</v>
      </c>
      <c r="L38" s="26" cm="1">
        <f t="array" ref="L38">IF(OR(_xll.BDP($AX38,"EE010")= "#N/A N/A", _xll.BDP($AX38,"EE010")="#N/A FIELD NOT APPLICABLE"), " ", _xll.BDP($AX38,"EE010"))</f>
        <v>16.836466987319632</v>
      </c>
      <c r="M38" s="26" cm="1">
        <f t="array" ref="M38">IF(OR(_xll.BDP($AX38,"RR903")= "#N/A N/A", _xll.BDP($AX38,"RR903")="#N/A FIELD NOT APPLICABLE"), " ", _xll.BDP($AX38,"RR903"))</f>
        <v>12.790893065287623</v>
      </c>
      <c r="N38" s="26" cm="1">
        <f t="array" ref="N38">IF(OR(_xll.BDP($AX38,"RR957")= "#N/A N/A", _xll.BDP($AX38,"RR957")="#N/A FIELD NOT APPLICABLE"), " ", _xll.BDP($AX38,"RR957"))</f>
        <v>18.2550111831805</v>
      </c>
      <c r="O38" s="27">
        <v>215</v>
      </c>
      <c r="P38" s="28">
        <v>461.2</v>
      </c>
      <c r="Q38" s="22" cm="1">
        <f t="array" ref="Q38">IF(OR(_xll.BDP($AX38,"PX_last")="#N/A N/A",_xll.BDP($AX38,"PX_Last")="#N/A FIELD NOT APPLICABLE")," ",IF(F38="GBP",(_xll.BDP($AX38,"PX_LAST")/100),(_xll.BDP($AX38,"PX_LAST"))))</f>
        <v>384.79</v>
      </c>
      <c r="R38" s="29">
        <f>IF(F38="USD",AA38,(((_xll.BDP(F38&amp;"USD CURNCY","PX_LAST")))*AA38))</f>
        <v>99158</v>
      </c>
      <c r="S38" s="29">
        <f>IF(F38="USD",AB38,(((_xll.BDP(F38&amp;"USD CURNCY","PX_LAST")))*AB38))</f>
        <v>82729.850000000006</v>
      </c>
      <c r="T38" s="12">
        <f>S38-R38</f>
        <v>-16428.149999999994</v>
      </c>
      <c r="U38" s="13">
        <f>T38/R38</f>
        <v>-0.16567649609713783</v>
      </c>
      <c r="V38" s="13" cm="1">
        <f t="array" ref="V38">IFERROR(_xll.BDP($G38&amp;" Equity","CHG_PCT_1D")/100,"")</f>
        <v>1.0470790000000001E-2</v>
      </c>
      <c r="W38" s="13" cm="1">
        <f t="array" ref="W38">IFERROR(_xll.BDP($G38&amp;" Equity","CHG_PCT_5D")/100,"")</f>
        <v>3.792657E-2</v>
      </c>
      <c r="X38" s="13" t="e">
        <f>S38/#REF!</f>
        <v>#REF!</v>
      </c>
      <c r="Y38" s="24">
        <f>IFERROR(S38*J38,0)</f>
        <v>0</v>
      </c>
      <c r="Z38" s="24">
        <f>S38</f>
        <v>82729.850000000006</v>
      </c>
      <c r="AA38" s="29">
        <f>P38*O38</f>
        <v>99158</v>
      </c>
      <c r="AB38" s="29">
        <f>IFERROR(O38*Q38,0)</f>
        <v>82729.850000000006</v>
      </c>
      <c r="AC38" s="4" t="e" cm="1">
        <f t="array" ref="AC38">VLOOKUP(IF(NOT(_xll.BDP(AX38,$BW$8)="#N/A N/A"),(_xll.BDP(AX38,$BW$8)),"-"), '[1]Country Codes'!$A$2:$B$253,2,0)</f>
        <v>#N/A</v>
      </c>
      <c r="AD38" s="30" t="str" cm="1">
        <f t="array" ref="AD38">IF(OR(_xll.BDP($AX38,"EX028")= "#N/A N/A", _xll.BDP($AX38,"EX028")="#N/A FIELD NOT APPLICABLE"), " ", _xll.BDP($AX38,"EX028"))</f>
        <v>Equity</v>
      </c>
      <c r="AE38" s="31" t="str">
        <f>IF(("AS97"="Equity"), " ", "Single Line Equity")</f>
        <v>Single Line Equity</v>
      </c>
      <c r="AF38" s="26" cm="1">
        <f t="array" ref="AF38">IF(OR(_xll.BDP($AX38,"RR908")= "#N/A N/A", _xll.BDP($AX38,"RR908")="#N/A FIELD NOT APPLICABLE"), " ", _xll.BDP($AX38,"RR908"))</f>
        <v>18.181148793007175</v>
      </c>
      <c r="AG38" s="26" cm="1">
        <f t="array" ref="AG38">IF(OR(_xll.BDP($AX38,"RR041")= "#N/A N/A", _xll.BDP($AX38,"RR041")="#N/A FIELD NOT APPLICABLE"), " ", _xll.BDP($AX38,"RR041"))</f>
        <v>20.033079722130335</v>
      </c>
      <c r="AH38" s="22">
        <f>_xll.BDP(AX38,"TOT_BUY_REC")</f>
        <v>33</v>
      </c>
      <c r="AI38" s="22">
        <f>_xll.BDP(AX38,"TOT_HOLD_REC")</f>
        <v>15</v>
      </c>
      <c r="AJ38" s="22">
        <f>_xll.BDP(AX38,"TOT_SELL_REC")</f>
        <v>1</v>
      </c>
      <c r="AK38" s="26" cm="1">
        <f t="array" ref="AK38">IF(OR(_xll.BDP($AX38,"EE201")= "#N/A N/A", _xll.BDP($AX38,"EE201")="#N/A FIELD NOT APPLICABLE"), " ", _xll.BDP($AX38,"EE201"))</f>
        <v>4.3265304565429688</v>
      </c>
      <c r="AL38" s="24">
        <f>_xll.BDP(AX38,"BEST_TARGET_PRICE")</f>
        <v>504.35513305664063</v>
      </c>
      <c r="AM38" s="32">
        <f>(AL38/Q38)-1</f>
        <v>0.31072827531027469</v>
      </c>
      <c r="AN38" s="32">
        <f>_xll.BDP(AX38,"PR061")/100</f>
        <v>0.1030739</v>
      </c>
      <c r="AO38" s="32">
        <f>_xll.BDP(AX38,"PR064")/100</f>
        <v>-0.1156408</v>
      </c>
      <c r="AP38" s="32">
        <f>_xll.BDP(AX38,"CHG_PCT_6M")/100</f>
        <v>-0.23726800000000001</v>
      </c>
      <c r="AQ38" s="25">
        <f>_xll.BDP(AX38,"PR079")/100</f>
        <v>-0.1340964</v>
      </c>
      <c r="AR38" s="33">
        <f>_xll.BDP(AX38,"hs001")</f>
        <v>587.75</v>
      </c>
      <c r="AS38" s="33">
        <f>_xll.BDP(AX38,"hs002")</f>
        <v>332.01</v>
      </c>
      <c r="AT38" s="22" t="str" cm="1">
        <f t="array" ref="AT38">IF(OR(_xll.BDP($AX38,"DX202")= "#N/A N/A", _xll.BDP($AX38,"DX202")="#N/A FIELD NOT APPLICABLE"), " ", _xll.BDP($AX38,"DX202"))</f>
        <v>Information Technology</v>
      </c>
      <c r="AU38" s="22" t="str" cm="1">
        <f t="array" ref="AU38">IF(OR(_xll.BDP($AX38,"DY997")= "#N/A N/A", _xll.BDP($AX38,"DY997")="#N/A FIELD NOT APPLICABLE"), " ", _xll.BDP($AX38,"DY997"))</f>
        <v>Y</v>
      </c>
      <c r="AV38" s="22" t="str" cm="1">
        <f t="array" ref="AV38">IF(OR(_xll.BDP($AX38,"DY784")= "#N/A N/A", _xll.BDP($AX38,"DY784")="#N/A FIELD NOT APPLICABLE"), " ", _xll.BDP($AX38,"DY784"))</f>
        <v>Y</v>
      </c>
      <c r="AW38" s="22" t="str">
        <f>IF(OR(AU38="Y",AV38="Y"),"Y","N")</f>
        <v>Y</v>
      </c>
      <c r="AX38" s="22" t="str">
        <f>CONCATENATE(G38," ",$AX$2)</f>
        <v>ADBE US Equity</v>
      </c>
      <c r="BC38" s="17"/>
      <c r="BD38" s="17"/>
      <c r="BE38" s="18"/>
      <c r="BF38" s="19"/>
      <c r="BG38" s="20"/>
    </row>
    <row r="39" spans="1:59" s="3" customFormat="1" ht="14.45" customHeight="1" x14ac:dyDescent="0.25">
      <c r="A39" s="49" t="s">
        <v>242</v>
      </c>
      <c r="B39" s="49" t="s">
        <v>246</v>
      </c>
      <c r="C39" s="49" t="s">
        <v>247</v>
      </c>
      <c r="D39" s="49" t="s">
        <v>248</v>
      </c>
      <c r="E39" s="22" t="str">
        <f>_xll.BDP(AX39,"SECURITY NAME")</f>
        <v>Adobe Inc</v>
      </c>
      <c r="F39" s="22" t="str">
        <f>_xll.BDP(AX39,"CRNCY")</f>
        <v>USD</v>
      </c>
      <c r="G39" s="23" t="s">
        <v>330</v>
      </c>
      <c r="H39" s="22" t="str" cm="1">
        <f t="array" ref="H39">IF(OR(_xll.BDP($AX39,"DX202")= "#N/A N/A", _xll.BDP($AX39,"DX202")="#N/A FIELD NOT APPLICABLE"), " ", _xll.BDP($AX39,"DX202"))</f>
        <v>Information Technology</v>
      </c>
      <c r="I39" s="24">
        <f>_xll.BDP(AX39,"CRNCY_ADJ_MKT_CAP", "EQY_FUND_CRNCY=USD")/1000</f>
        <v>164.10831000000002</v>
      </c>
      <c r="J39" s="25">
        <f>IFERROR(_xll.BDP(AX39, "DV013")/100,0)</f>
        <v>0</v>
      </c>
      <c r="K39" s="26" cm="1">
        <f t="array" ref="K39">IF(OR(_xll.BDP($AX39,"RR900")= "#N/A N/A", _xll.BDP($AX39,"RR900")="#N/A FIELD NOT APPLICABLE"), " ", _xll.BDP($AX39,"RR900"))</f>
        <v>25.391923765072026</v>
      </c>
      <c r="L39" s="26" cm="1">
        <f t="array" ref="L39">IF(OR(_xll.BDP($AX39,"EE010")= "#N/A N/A", _xll.BDP($AX39,"EE010")="#N/A FIELD NOT APPLICABLE"), " ", _xll.BDP($AX39,"EE010"))</f>
        <v>16.836466987319632</v>
      </c>
      <c r="M39" s="26" cm="1">
        <f t="array" ref="M39">IF(OR(_xll.BDP($AX39,"RR903")= "#N/A N/A", _xll.BDP($AX39,"RR903")="#N/A FIELD NOT APPLICABLE"), " ", _xll.BDP($AX39,"RR903"))</f>
        <v>12.790893065287623</v>
      </c>
      <c r="N39" s="26" cm="1">
        <f t="array" ref="N39">IF(OR(_xll.BDP($AX39,"RR957")= "#N/A N/A", _xll.BDP($AX39,"RR957")="#N/A FIELD NOT APPLICABLE"), " ", _xll.BDP($AX39,"RR957"))</f>
        <v>18.2550111831805</v>
      </c>
      <c r="O39" s="27">
        <v>218</v>
      </c>
      <c r="P39" s="28">
        <v>461.87</v>
      </c>
      <c r="Q39" s="22" cm="1">
        <f t="array" ref="Q39">IF(OR(_xll.BDP($AX39,"PX_last")="#N/A N/A",_xll.BDP($AX39,"PX_Last")="#N/A FIELD NOT APPLICABLE")," ",IF(F39="GBP",(_xll.BDP($AX39,"PX_LAST")/100),(_xll.BDP($AX39,"PX_LAST"))))</f>
        <v>384.79</v>
      </c>
      <c r="R39" s="29">
        <f>IF(F39="USD",AA39,(((_xll.BDP(F39&amp;"USD CURNCY","PX_LAST")))*AA39))</f>
        <v>100687.66</v>
      </c>
      <c r="S39" s="29">
        <f>IF(F39="USD",AB39,(((_xll.BDP(F39&amp;"USD CURNCY","PX_LAST")))*AB39))</f>
        <v>83884.22</v>
      </c>
      <c r="T39" s="12">
        <f>S39-R39</f>
        <v>-16803.440000000002</v>
      </c>
      <c r="U39" s="13">
        <f>T39/R39</f>
        <v>-0.16688678632515644</v>
      </c>
      <c r="V39" s="13" cm="1">
        <f t="array" ref="V39">IFERROR(_xll.BDP($G39&amp;" Equity","CHG_PCT_1D")/100,"")</f>
        <v>1.0470790000000001E-2</v>
      </c>
      <c r="W39" s="13" cm="1">
        <f t="array" ref="W39">IFERROR(_xll.BDP($G39&amp;" Equity","CHG_PCT_5D")/100,"")</f>
        <v>3.792657E-2</v>
      </c>
      <c r="X39" s="13" t="e">
        <f>S39/#REF!</f>
        <v>#REF!</v>
      </c>
      <c r="Y39" s="24">
        <f>IFERROR(S39*J39,0)</f>
        <v>0</v>
      </c>
      <c r="Z39" s="24">
        <f>S39</f>
        <v>83884.22</v>
      </c>
      <c r="AA39" s="29">
        <f>P39*O39</f>
        <v>100687.66</v>
      </c>
      <c r="AB39" s="29">
        <f>IFERROR(O39*Q39,0)</f>
        <v>83884.22</v>
      </c>
      <c r="AC39" s="4" t="e" cm="1">
        <f t="array" ref="AC39">VLOOKUP(IF(NOT(_xll.BDP(AX39,$BW$8)="#N/A N/A"),(_xll.BDP(AX39,$BW$8)),"-"), '[1]Country Codes'!$A$2:$B$253,2,0)</f>
        <v>#N/A</v>
      </c>
      <c r="AD39" s="30" t="str" cm="1">
        <f t="array" ref="AD39">IF(OR(_xll.BDP($AX39,"EX028")= "#N/A N/A", _xll.BDP($AX39,"EX028")="#N/A FIELD NOT APPLICABLE"), " ", _xll.BDP($AX39,"EX028"))</f>
        <v>Equity</v>
      </c>
      <c r="AE39" s="31" t="str">
        <f>IF(("AS97"="Equity"), " ", "Single Line Equity")</f>
        <v>Single Line Equity</v>
      </c>
      <c r="AF39" s="26" cm="1">
        <f t="array" ref="AF39">IF(OR(_xll.BDP($AX39,"RR908")= "#N/A N/A", _xll.BDP($AX39,"RR908")="#N/A FIELD NOT APPLICABLE"), " ", _xll.BDP($AX39,"RR908"))</f>
        <v>18.181148793007175</v>
      </c>
      <c r="AG39" s="26" cm="1">
        <f t="array" ref="AG39">IF(OR(_xll.BDP($AX39,"RR041")= "#N/A N/A", _xll.BDP($AX39,"RR041")="#N/A FIELD NOT APPLICABLE"), " ", _xll.BDP($AX39,"RR041"))</f>
        <v>20.033079722130335</v>
      </c>
      <c r="AH39" s="22">
        <f>_xll.BDP(AX39,"TOT_BUY_REC")</f>
        <v>33</v>
      </c>
      <c r="AI39" s="22">
        <f>_xll.BDP(AX39,"TOT_HOLD_REC")</f>
        <v>15</v>
      </c>
      <c r="AJ39" s="22">
        <f>_xll.BDP(AX39,"TOT_SELL_REC")</f>
        <v>1</v>
      </c>
      <c r="AK39" s="26" cm="1">
        <f t="array" ref="AK39">IF(OR(_xll.BDP($AX39,"EE201")= "#N/A N/A", _xll.BDP($AX39,"EE201")="#N/A FIELD NOT APPLICABLE"), " ", _xll.BDP($AX39,"EE201"))</f>
        <v>4.3265304565429688</v>
      </c>
      <c r="AL39" s="24">
        <f>_xll.BDP(AX39,"BEST_TARGET_PRICE")</f>
        <v>504.35513305664063</v>
      </c>
      <c r="AM39" s="32">
        <f>(AL39/Q39)-1</f>
        <v>0.31072827531027469</v>
      </c>
      <c r="AN39" s="32">
        <f>_xll.BDP(AX39,"PR061")/100</f>
        <v>0.1030739</v>
      </c>
      <c r="AO39" s="32">
        <f>_xll.BDP(AX39,"PR064")/100</f>
        <v>-0.1156408</v>
      </c>
      <c r="AP39" s="32">
        <f>_xll.BDP(AX39,"CHG_PCT_6M")/100</f>
        <v>-0.23726800000000001</v>
      </c>
      <c r="AQ39" s="25">
        <f>_xll.BDP(AX39,"PR079")/100</f>
        <v>-0.1340964</v>
      </c>
      <c r="AR39" s="33">
        <f>_xll.BDP(AX39,"hs001")</f>
        <v>587.75</v>
      </c>
      <c r="AS39" s="33">
        <f>_xll.BDP(AX39,"hs002")</f>
        <v>332.01</v>
      </c>
      <c r="AT39" s="22" t="str" cm="1">
        <f t="array" ref="AT39">IF(OR(_xll.BDP($AX39,"DX202")= "#N/A N/A", _xll.BDP($AX39,"DX202")="#N/A FIELD NOT APPLICABLE"), " ", _xll.BDP($AX39,"DX202"))</f>
        <v>Information Technology</v>
      </c>
      <c r="AU39" s="22" t="str" cm="1">
        <f t="array" ref="AU39">IF(OR(_xll.BDP($AX39,"DY997")= "#N/A N/A", _xll.BDP($AX39,"DY997")="#N/A FIELD NOT APPLICABLE"), " ", _xll.BDP($AX39,"DY997"))</f>
        <v>Y</v>
      </c>
      <c r="AV39" s="22" t="str" cm="1">
        <f t="array" ref="AV39">IF(OR(_xll.BDP($AX39,"DY784")= "#N/A N/A", _xll.BDP($AX39,"DY784")="#N/A FIELD NOT APPLICABLE"), " ", _xll.BDP($AX39,"DY784"))</f>
        <v>Y</v>
      </c>
      <c r="AW39" s="22" t="str">
        <f>IF(OR(AU39="Y",AV39="Y"),"Y","N")</f>
        <v>Y</v>
      </c>
      <c r="AX39" s="22" t="str">
        <f>CONCATENATE(G39," ",$AX$2)</f>
        <v>ADBE US Equity</v>
      </c>
      <c r="BC39" s="17"/>
      <c r="BD39" s="17"/>
      <c r="BE39" s="18"/>
      <c r="BF39" s="19"/>
      <c r="BG39" s="20"/>
    </row>
    <row r="40" spans="1:59" s="3" customFormat="1" ht="14.45" customHeight="1" x14ac:dyDescent="0.25">
      <c r="A40" s="49" t="s">
        <v>241</v>
      </c>
      <c r="B40" s="49" t="s">
        <v>249</v>
      </c>
      <c r="C40" s="49" t="s">
        <v>250</v>
      </c>
      <c r="D40" s="49" t="s">
        <v>240</v>
      </c>
      <c r="E40" s="22" t="str">
        <f>_xll.BDP(AX40,"SECURITY NAME")</f>
        <v>Adobe Inc</v>
      </c>
      <c r="F40" s="22" t="str">
        <f>_xll.BDP(AX40,"CRNCY")</f>
        <v>USD</v>
      </c>
      <c r="G40" s="23" t="s">
        <v>330</v>
      </c>
      <c r="H40" s="22" t="str" cm="1">
        <f t="array" ref="H40">IF(OR(_xll.BDP($AX40,"DX202")= "#N/A N/A", _xll.BDP($AX40,"DX202")="#N/A FIELD NOT APPLICABLE"), " ", _xll.BDP($AX40,"DX202"))</f>
        <v>Information Technology</v>
      </c>
      <c r="I40" s="24">
        <f>_xll.BDP(AX40,"CRNCY_ADJ_MKT_CAP", "EQY_FUND_CRNCY=USD")/1000</f>
        <v>164.10831000000002</v>
      </c>
      <c r="J40" s="25">
        <f>IFERROR(_xll.BDP(AX40, "DV013")/100,0)</f>
        <v>0</v>
      </c>
      <c r="K40" s="26" cm="1">
        <f t="array" ref="K40">IF(OR(_xll.BDP($AX40,"RR900")= "#N/A N/A", _xll.BDP($AX40,"RR900")="#N/A FIELD NOT APPLICABLE"), " ", _xll.BDP($AX40,"RR900"))</f>
        <v>25.391923765072026</v>
      </c>
      <c r="L40" s="26" cm="1">
        <f t="array" ref="L40">IF(OR(_xll.BDP($AX40,"EE010")= "#N/A N/A", _xll.BDP($AX40,"EE010")="#N/A FIELD NOT APPLICABLE"), " ", _xll.BDP($AX40,"EE010"))</f>
        <v>16.836466987319632</v>
      </c>
      <c r="M40" s="26" cm="1">
        <f t="array" ref="M40">IF(OR(_xll.BDP($AX40,"RR903")= "#N/A N/A", _xll.BDP($AX40,"RR903")="#N/A FIELD NOT APPLICABLE"), " ", _xll.BDP($AX40,"RR903"))</f>
        <v>12.790893065287623</v>
      </c>
      <c r="N40" s="26" cm="1">
        <f t="array" ref="N40">IF(OR(_xll.BDP($AX40,"RR957")= "#N/A N/A", _xll.BDP($AX40,"RR957")="#N/A FIELD NOT APPLICABLE"), " ", _xll.BDP($AX40,"RR957"))</f>
        <v>18.2550111831805</v>
      </c>
      <c r="O40" s="27">
        <v>110</v>
      </c>
      <c r="P40" s="28">
        <v>461.56763999999998</v>
      </c>
      <c r="Q40" s="22" cm="1">
        <f t="array" ref="Q40">IF(OR(_xll.BDP($AX40,"PX_last")="#N/A N/A",_xll.BDP($AX40,"PX_Last")="#N/A FIELD NOT APPLICABLE")," ",IF(F40="GBP",(_xll.BDP($AX40,"PX_LAST")/100),(_xll.BDP($AX40,"PX_LAST"))))</f>
        <v>384.79</v>
      </c>
      <c r="R40" s="29">
        <f>IF(F40="USD",AA40,(((_xll.BDP(F40&amp;"USD CURNCY","PX_LAST")))*AA40))</f>
        <v>50772.440399999999</v>
      </c>
      <c r="S40" s="29">
        <f>IF(F40="USD",AB40,(((_xll.BDP(F40&amp;"USD CURNCY","PX_LAST")))*AB40))</f>
        <v>42326.9</v>
      </c>
      <c r="T40" s="12">
        <f>S40-R40</f>
        <v>-8445.540399999998</v>
      </c>
      <c r="U40" s="13">
        <f>T40/R40</f>
        <v>-0.16634103725295815</v>
      </c>
      <c r="V40" s="13" cm="1">
        <f t="array" ref="V40">IFERROR(_xll.BDP($G40&amp;" Equity","CHG_PCT_1D")/100,"")</f>
        <v>1.0470790000000001E-2</v>
      </c>
      <c r="W40" s="13" cm="1">
        <f t="array" ref="W40">IFERROR(_xll.BDP($G40&amp;" Equity","CHG_PCT_5D")/100,"")</f>
        <v>3.792657E-2</v>
      </c>
      <c r="X40" s="13" t="e">
        <f>S40/#REF!</f>
        <v>#REF!</v>
      </c>
      <c r="Y40" s="24">
        <f>IFERROR(S40*J40,0)</f>
        <v>0</v>
      </c>
      <c r="Z40" s="24">
        <f>S40</f>
        <v>42326.9</v>
      </c>
      <c r="AA40" s="29">
        <f>P40*O40</f>
        <v>50772.440399999999</v>
      </c>
      <c r="AB40" s="29">
        <f>IFERROR(O40*Q40,0)</f>
        <v>42326.9</v>
      </c>
      <c r="AC40" s="4" t="e" cm="1">
        <f t="array" ref="AC40">VLOOKUP(IF(NOT(_xll.BDP(AX40,$BW$8)="#N/A N/A"),(_xll.BDP(AX40,$BW$8)),"-"), '[1]Country Codes'!$A$2:$B$253,2,0)</f>
        <v>#N/A</v>
      </c>
      <c r="AD40" s="30" t="str" cm="1">
        <f t="array" ref="AD40">IF(OR(_xll.BDP($AX40,"EX028")= "#N/A N/A", _xll.BDP($AX40,"EX028")="#N/A FIELD NOT APPLICABLE"), " ", _xll.BDP($AX40,"EX028"))</f>
        <v>Equity</v>
      </c>
      <c r="AE40" s="31" t="str">
        <f>IF(("AS97"="Equity"), " ", "Single Line Equity")</f>
        <v>Single Line Equity</v>
      </c>
      <c r="AF40" s="26" cm="1">
        <f t="array" ref="AF40">IF(OR(_xll.BDP($AX40,"RR908")= "#N/A N/A", _xll.BDP($AX40,"RR908")="#N/A FIELD NOT APPLICABLE"), " ", _xll.BDP($AX40,"RR908"))</f>
        <v>18.181148793007175</v>
      </c>
      <c r="AG40" s="26" cm="1">
        <f t="array" ref="AG40">IF(OR(_xll.BDP($AX40,"RR041")= "#N/A N/A", _xll.BDP($AX40,"RR041")="#N/A FIELD NOT APPLICABLE"), " ", _xll.BDP($AX40,"RR041"))</f>
        <v>20.033079722130335</v>
      </c>
      <c r="AH40" s="22">
        <f>_xll.BDP(AX40,"TOT_BUY_REC")</f>
        <v>33</v>
      </c>
      <c r="AI40" s="22">
        <f>_xll.BDP(AX40,"TOT_HOLD_REC")</f>
        <v>15</v>
      </c>
      <c r="AJ40" s="22">
        <f>_xll.BDP(AX40,"TOT_SELL_REC")</f>
        <v>1</v>
      </c>
      <c r="AK40" s="26" cm="1">
        <f t="array" ref="AK40">IF(OR(_xll.BDP($AX40,"EE201")= "#N/A N/A", _xll.BDP($AX40,"EE201")="#N/A FIELD NOT APPLICABLE"), " ", _xll.BDP($AX40,"EE201"))</f>
        <v>4.3265304565429688</v>
      </c>
      <c r="AL40" s="24">
        <f>_xll.BDP(AX40,"BEST_TARGET_PRICE")</f>
        <v>504.35513305664063</v>
      </c>
      <c r="AM40" s="32">
        <f>(AL40/Q40)-1</f>
        <v>0.31072827531027469</v>
      </c>
      <c r="AN40" s="32">
        <f>_xll.BDP(AX40,"PR061")/100</f>
        <v>0.1030739</v>
      </c>
      <c r="AO40" s="32">
        <f>_xll.BDP(AX40,"PR064")/100</f>
        <v>-0.1156408</v>
      </c>
      <c r="AP40" s="32">
        <f>_xll.BDP(AX40,"CHG_PCT_6M")/100</f>
        <v>-0.23726800000000001</v>
      </c>
      <c r="AQ40" s="25">
        <f>_xll.BDP(AX40,"PR079")/100</f>
        <v>-0.1340964</v>
      </c>
      <c r="AR40" s="33">
        <f>_xll.BDP(AX40,"hs001")</f>
        <v>587.75</v>
      </c>
      <c r="AS40" s="33">
        <f>_xll.BDP(AX40,"hs002")</f>
        <v>332.01</v>
      </c>
      <c r="AT40" s="22" t="str" cm="1">
        <f t="array" ref="AT40">IF(OR(_xll.BDP($AX40,"DX202")= "#N/A N/A", _xll.BDP($AX40,"DX202")="#N/A FIELD NOT APPLICABLE"), " ", _xll.BDP($AX40,"DX202"))</f>
        <v>Information Technology</v>
      </c>
      <c r="AU40" s="22" t="str" cm="1">
        <f t="array" ref="AU40">IF(OR(_xll.BDP($AX40,"DY997")= "#N/A N/A", _xll.BDP($AX40,"DY997")="#N/A FIELD NOT APPLICABLE"), " ", _xll.BDP($AX40,"DY997"))</f>
        <v>Y</v>
      </c>
      <c r="AV40" s="22" t="str" cm="1">
        <f t="array" ref="AV40">IF(OR(_xll.BDP($AX40,"DY784")= "#N/A N/A", _xll.BDP($AX40,"DY784")="#N/A FIELD NOT APPLICABLE"), " ", _xll.BDP($AX40,"DY784"))</f>
        <v>Y</v>
      </c>
      <c r="AW40" s="22" t="str">
        <f>IF(OR(AU40="Y",AV40="Y"),"Y","N")</f>
        <v>Y</v>
      </c>
      <c r="AX40" s="22" t="str">
        <f>CONCATENATE(G40," ",$AX$2)</f>
        <v>ADBE US Equity</v>
      </c>
      <c r="BC40" s="17"/>
      <c r="BD40" s="17"/>
      <c r="BE40" s="18"/>
      <c r="BF40" s="19"/>
      <c r="BG40" s="20"/>
    </row>
    <row r="41" spans="1:59" s="3" customFormat="1" ht="14.45" customHeight="1" x14ac:dyDescent="0.25">
      <c r="A41" s="81" t="s">
        <v>241</v>
      </c>
      <c r="B41" s="81" t="s">
        <v>251</v>
      </c>
      <c r="C41" s="81" t="s">
        <v>252</v>
      </c>
      <c r="D41" s="81" t="s">
        <v>240</v>
      </c>
      <c r="E41" s="40" t="str">
        <f>_xll.BDP(AX41,"SECURITY NAME")</f>
        <v>Adobe Inc</v>
      </c>
      <c r="F41" s="40" t="str">
        <f>_xll.BDP(AX41,"CRNCY")</f>
        <v>USD</v>
      </c>
      <c r="G41" s="23" t="s">
        <v>330</v>
      </c>
      <c r="H41" s="40" t="str" cm="1">
        <f t="array" ref="H41">IF(OR(_xll.BDP($AX41,"DX202")= "#N/A N/A", _xll.BDP($AX41,"DX202")="#N/A FIELD NOT APPLICABLE"), " ", _xll.BDP($AX41,"DX202"))</f>
        <v>Information Technology</v>
      </c>
      <c r="I41" s="82">
        <f>_xll.BDP(AX41,"CRNCY_ADJ_MKT_CAP", "EQY_FUND_CRNCY=USD")/1000</f>
        <v>164.10831000000002</v>
      </c>
      <c r="J41" s="83">
        <f>IFERROR(_xll.BDP(AX41, "DV013")/100,0)</f>
        <v>0</v>
      </c>
      <c r="K41" s="84" cm="1">
        <f t="array" ref="K41">IF(OR(_xll.BDP($AX41,"RR900")= "#N/A N/A", _xll.BDP($AX41,"RR900")="#N/A FIELD NOT APPLICABLE"), " ", _xll.BDP($AX41,"RR900"))</f>
        <v>25.391923765072026</v>
      </c>
      <c r="L41" s="84" cm="1">
        <f t="array" ref="L41">IF(OR(_xll.BDP($AX41,"EE010")= "#N/A N/A", _xll.BDP($AX41,"EE010")="#N/A FIELD NOT APPLICABLE"), " ", _xll.BDP($AX41,"EE010"))</f>
        <v>16.836466987319632</v>
      </c>
      <c r="M41" s="84" cm="1">
        <f t="array" ref="M41">IF(OR(_xll.BDP($AX41,"RR903")= "#N/A N/A", _xll.BDP($AX41,"RR903")="#N/A FIELD NOT APPLICABLE"), " ", _xll.BDP($AX41,"RR903"))</f>
        <v>12.790893065287623</v>
      </c>
      <c r="N41" s="84" cm="1">
        <f t="array" ref="N41">IF(OR(_xll.BDP($AX41,"RR957")= "#N/A N/A", _xll.BDP($AX41,"RR957")="#N/A FIELD NOT APPLICABLE"), " ", _xll.BDP($AX41,"RR957"))</f>
        <v>18.2550111831805</v>
      </c>
      <c r="O41" s="27">
        <v>110</v>
      </c>
      <c r="P41" s="28">
        <v>461.56763999999998</v>
      </c>
      <c r="Q41" s="40" cm="1">
        <f t="array" ref="Q41">IF(OR(_xll.BDP($AX41,"PX_last")="#N/A N/A",_xll.BDP($AX41,"PX_Last")="#N/A FIELD NOT APPLICABLE")," ",IF(F41="GBP",(_xll.BDP($AX41,"PX_LAST")/100),(_xll.BDP($AX41,"PX_LAST"))))</f>
        <v>384.79</v>
      </c>
      <c r="R41" s="85">
        <f>IF(F41="USD",AA41,(((_xll.BDP(F41&amp;"USD CURNCY","PX_LAST")))*AA41))</f>
        <v>50772.440399999999</v>
      </c>
      <c r="S41" s="85">
        <f>IF(F41="USD",AB41,(((_xll.BDP(F41&amp;"USD CURNCY","PX_LAST")))*AB41))</f>
        <v>42326.9</v>
      </c>
      <c r="T41" s="86">
        <f>S41-R41</f>
        <v>-8445.540399999998</v>
      </c>
      <c r="U41" s="87">
        <f>T41/R41</f>
        <v>-0.16634103725295815</v>
      </c>
      <c r="V41" s="87" cm="1">
        <f t="array" ref="V41">IFERROR(_xll.BDP($G41&amp;" Equity","CHG_PCT_1D")/100,"")</f>
        <v>1.0470790000000001E-2</v>
      </c>
      <c r="W41" s="87" cm="1">
        <f t="array" ref="W41">IFERROR(_xll.BDP($G41&amp;" Equity","CHG_PCT_5D")/100,"")</f>
        <v>3.792657E-2</v>
      </c>
      <c r="X41" s="87" t="e">
        <f>S41/#REF!</f>
        <v>#REF!</v>
      </c>
      <c r="Y41" s="82">
        <f>IFERROR(S41*J41,0)</f>
        <v>0</v>
      </c>
      <c r="Z41" s="82">
        <f>S41</f>
        <v>42326.9</v>
      </c>
      <c r="AA41" s="85">
        <f>P41*O41</f>
        <v>50772.440399999999</v>
      </c>
      <c r="AB41" s="85">
        <f>IFERROR(O41*Q41,0)</f>
        <v>42326.9</v>
      </c>
      <c r="AC41" s="88" t="e" cm="1">
        <f t="array" ref="AC41">VLOOKUP(IF(NOT(_xll.BDP(AX41,$BW$8)="#N/A N/A"),(_xll.BDP(AX41,$BW$8)),"-"), '[1]Country Codes'!$A$2:$B$253,2,0)</f>
        <v>#N/A</v>
      </c>
      <c r="AD41" s="89" t="str" cm="1">
        <f t="array" ref="AD41">IF(OR(_xll.BDP($AX41,"EX028")= "#N/A N/A", _xll.BDP($AX41,"EX028")="#N/A FIELD NOT APPLICABLE"), " ", _xll.BDP($AX41,"EX028"))</f>
        <v>Equity</v>
      </c>
      <c r="AE41" s="90" t="str">
        <f>IF(("AS97"="Equity"), " ", "Single Line Equity")</f>
        <v>Single Line Equity</v>
      </c>
      <c r="AF41" s="84" cm="1">
        <f t="array" ref="AF41">IF(OR(_xll.BDP($AX41,"RR908")= "#N/A N/A", _xll.BDP($AX41,"RR908")="#N/A FIELD NOT APPLICABLE"), " ", _xll.BDP($AX41,"RR908"))</f>
        <v>18.181148793007175</v>
      </c>
      <c r="AG41" s="84" cm="1">
        <f t="array" ref="AG41">IF(OR(_xll.BDP($AX41,"RR041")= "#N/A N/A", _xll.BDP($AX41,"RR041")="#N/A FIELD NOT APPLICABLE"), " ", _xll.BDP($AX41,"RR041"))</f>
        <v>20.033079722130335</v>
      </c>
      <c r="AH41" s="40">
        <f>_xll.BDP(AX41,"TOT_BUY_REC")</f>
        <v>33</v>
      </c>
      <c r="AI41" s="40">
        <f>_xll.BDP(AX41,"TOT_HOLD_REC")</f>
        <v>15</v>
      </c>
      <c r="AJ41" s="40">
        <f>_xll.BDP(AX41,"TOT_SELL_REC")</f>
        <v>1</v>
      </c>
      <c r="AK41" s="84" cm="1">
        <f t="array" ref="AK41">IF(OR(_xll.BDP($AX41,"EE201")= "#N/A N/A", _xll.BDP($AX41,"EE201")="#N/A FIELD NOT APPLICABLE"), " ", _xll.BDP($AX41,"EE201"))</f>
        <v>4.3265304565429688</v>
      </c>
      <c r="AL41" s="82">
        <f>_xll.BDP(AX41,"BEST_TARGET_PRICE")</f>
        <v>504.35513305664063</v>
      </c>
      <c r="AM41" s="91">
        <f>(AL41/Q41)-1</f>
        <v>0.31072827531027469</v>
      </c>
      <c r="AN41" s="91">
        <f>_xll.BDP(AX41,"PR061")/100</f>
        <v>0.1030739</v>
      </c>
      <c r="AO41" s="91">
        <f>_xll.BDP(AX41,"PR064")/100</f>
        <v>-0.1156408</v>
      </c>
      <c r="AP41" s="91">
        <f>_xll.BDP(AX41,"CHG_PCT_6M")/100</f>
        <v>-0.23726800000000001</v>
      </c>
      <c r="AQ41" s="83">
        <f>_xll.BDP(AX41,"PR079")/100</f>
        <v>-0.1340964</v>
      </c>
      <c r="AR41" s="92">
        <f>_xll.BDP(AX41,"hs001")</f>
        <v>587.75</v>
      </c>
      <c r="AS41" s="92">
        <f>_xll.BDP(AX41,"hs002")</f>
        <v>332.01</v>
      </c>
      <c r="AT41" s="40" t="str" cm="1">
        <f t="array" ref="AT41">IF(OR(_xll.BDP($AX41,"DX202")= "#N/A N/A", _xll.BDP($AX41,"DX202")="#N/A FIELD NOT APPLICABLE"), " ", _xll.BDP($AX41,"DX202"))</f>
        <v>Information Technology</v>
      </c>
      <c r="AU41" s="40" t="str" cm="1">
        <f t="array" ref="AU41">IF(OR(_xll.BDP($AX41,"DY997")= "#N/A N/A", _xll.BDP($AX41,"DY997")="#N/A FIELD NOT APPLICABLE"), " ", _xll.BDP($AX41,"DY997"))</f>
        <v>Y</v>
      </c>
      <c r="AV41" s="40" t="str" cm="1">
        <f t="array" ref="AV41">IF(OR(_xll.BDP($AX41,"DY784")= "#N/A N/A", _xll.BDP($AX41,"DY784")="#N/A FIELD NOT APPLICABLE"), " ", _xll.BDP($AX41,"DY784"))</f>
        <v>Y</v>
      </c>
      <c r="AW41" s="40" t="str">
        <f>IF(OR(AU41="Y",AV41="Y"),"Y","N")</f>
        <v>Y</v>
      </c>
      <c r="AX41" s="40" t="str">
        <f>CONCATENATE(G41," ",$AX$2)</f>
        <v>ADBE US Equity</v>
      </c>
      <c r="BC41" s="17"/>
      <c r="BD41" s="17"/>
      <c r="BE41" s="18"/>
      <c r="BF41" s="19"/>
      <c r="BG41" s="20"/>
    </row>
    <row r="42" spans="1:59" s="3" customFormat="1" ht="14.45" customHeight="1" x14ac:dyDescent="0.25">
      <c r="A42" s="49" t="s">
        <v>241</v>
      </c>
      <c r="B42" s="49" t="s">
        <v>253</v>
      </c>
      <c r="C42" s="49" t="s">
        <v>254</v>
      </c>
      <c r="D42" s="49" t="s">
        <v>240</v>
      </c>
      <c r="E42" s="22" t="str">
        <f>_xll.BDP(AX42,"SECURITY NAME")</f>
        <v>Adobe Inc</v>
      </c>
      <c r="F42" s="22" t="str">
        <f>_xll.BDP(AX42,"CRNCY")</f>
        <v>USD</v>
      </c>
      <c r="G42" s="23" t="s">
        <v>330</v>
      </c>
      <c r="H42" s="22" t="str" cm="1">
        <f t="array" ref="H42">IF(OR(_xll.BDP($AX42,"DX202")= "#N/A N/A", _xll.BDP($AX42,"DX202")="#N/A FIELD NOT APPLICABLE"), " ", _xll.BDP($AX42,"DX202"))</f>
        <v>Information Technology</v>
      </c>
      <c r="I42" s="24">
        <f>_xll.BDP(AX42,"CRNCY_ADJ_MKT_CAP", "EQY_FUND_CRNCY=USD")/1000</f>
        <v>164.10831000000002</v>
      </c>
      <c r="J42" s="25">
        <f>IFERROR(_xll.BDP(AX42, "DV013")/100,0)</f>
        <v>0</v>
      </c>
      <c r="K42" s="26" cm="1">
        <f t="array" ref="K42">IF(OR(_xll.BDP($AX42,"RR900")= "#N/A N/A", _xll.BDP($AX42,"RR900")="#N/A FIELD NOT APPLICABLE"), " ", _xll.BDP($AX42,"RR900"))</f>
        <v>25.391923765072026</v>
      </c>
      <c r="L42" s="26" cm="1">
        <f t="array" ref="L42">IF(OR(_xll.BDP($AX42,"EE010")= "#N/A N/A", _xll.BDP($AX42,"EE010")="#N/A FIELD NOT APPLICABLE"), " ", _xll.BDP($AX42,"EE010"))</f>
        <v>16.836466987319632</v>
      </c>
      <c r="M42" s="26" cm="1">
        <f t="array" ref="M42">IF(OR(_xll.BDP($AX42,"RR903")= "#N/A N/A", _xll.BDP($AX42,"RR903")="#N/A FIELD NOT APPLICABLE"), " ", _xll.BDP($AX42,"RR903"))</f>
        <v>12.790893065287623</v>
      </c>
      <c r="N42" s="26" cm="1">
        <f t="array" ref="N42">IF(OR(_xll.BDP($AX42,"RR957")= "#N/A N/A", _xll.BDP($AX42,"RR957")="#N/A FIELD NOT APPLICABLE"), " ", _xll.BDP($AX42,"RR957"))</f>
        <v>18.2550111831805</v>
      </c>
      <c r="O42" s="27">
        <v>70</v>
      </c>
      <c r="P42" s="28">
        <v>461.56770999999998</v>
      </c>
      <c r="Q42" s="22" cm="1">
        <f t="array" ref="Q42">IF(OR(_xll.BDP($AX42,"PX_last")="#N/A N/A",_xll.BDP($AX42,"PX_Last")="#N/A FIELD NOT APPLICABLE")," ",IF(F42="GBP",(_xll.BDP($AX42,"PX_LAST")/100),(_xll.BDP($AX42,"PX_LAST"))))</f>
        <v>384.79</v>
      </c>
      <c r="R42" s="29">
        <f>IF(F42="USD",AA42,(((_xll.BDP(F42&amp;"USD CURNCY","PX_LAST")))*AA42))</f>
        <v>32309.739699999998</v>
      </c>
      <c r="S42" s="29">
        <f>IF(F42="USD",AB42,(((_xll.BDP(F42&amp;"USD CURNCY","PX_LAST")))*AB42))</f>
        <v>26935.300000000003</v>
      </c>
      <c r="T42" s="12">
        <f>S42-R42</f>
        <v>-5374.4396999999954</v>
      </c>
      <c r="U42" s="13">
        <f>T42/R42</f>
        <v>-0.16634116368322199</v>
      </c>
      <c r="V42" s="13" cm="1">
        <f t="array" ref="V42">IFERROR(_xll.BDP($G42&amp;" Equity","CHG_PCT_1D")/100,"")</f>
        <v>1.0470790000000001E-2</v>
      </c>
      <c r="W42" s="13" cm="1">
        <f t="array" ref="W42">IFERROR(_xll.BDP($G42&amp;" Equity","CHG_PCT_5D")/100,"")</f>
        <v>3.792657E-2</v>
      </c>
      <c r="X42" s="13" t="e">
        <f>S42/#REF!</f>
        <v>#REF!</v>
      </c>
      <c r="Y42" s="24">
        <f>IFERROR(S42*J42,0)</f>
        <v>0</v>
      </c>
      <c r="Z42" s="24">
        <f>S42</f>
        <v>26935.300000000003</v>
      </c>
      <c r="AA42" s="29">
        <f>P42*O42</f>
        <v>32309.739699999998</v>
      </c>
      <c r="AB42" s="29">
        <f>IFERROR(O42*Q42,0)</f>
        <v>26935.300000000003</v>
      </c>
      <c r="AC42" s="4" t="e" cm="1">
        <f t="array" ref="AC42">VLOOKUP(IF(NOT(_xll.BDP(AX42,$BW$8)="#N/A N/A"),(_xll.BDP(AX42,$BW$8)),"-"), '[1]Country Codes'!$A$2:$B$253,2,0)</f>
        <v>#N/A</v>
      </c>
      <c r="AD42" s="30" t="str" cm="1">
        <f t="array" ref="AD42">IF(OR(_xll.BDP($AX42,"EX028")= "#N/A N/A", _xll.BDP($AX42,"EX028")="#N/A FIELD NOT APPLICABLE"), " ", _xll.BDP($AX42,"EX028"))</f>
        <v>Equity</v>
      </c>
      <c r="AE42" s="31" t="str">
        <f>IF(("AS97"="Equity"), " ", "Single Line Equity")</f>
        <v>Single Line Equity</v>
      </c>
      <c r="AF42" s="26" cm="1">
        <f t="array" ref="AF42">IF(OR(_xll.BDP($AX42,"RR908")= "#N/A N/A", _xll.BDP($AX42,"RR908")="#N/A FIELD NOT APPLICABLE"), " ", _xll.BDP($AX42,"RR908"))</f>
        <v>18.181148793007175</v>
      </c>
      <c r="AG42" s="26" cm="1">
        <f t="array" ref="AG42">IF(OR(_xll.BDP($AX42,"RR041")= "#N/A N/A", _xll.BDP($AX42,"RR041")="#N/A FIELD NOT APPLICABLE"), " ", _xll.BDP($AX42,"RR041"))</f>
        <v>20.033079722130335</v>
      </c>
      <c r="AH42" s="22">
        <f>_xll.BDP(AX42,"TOT_BUY_REC")</f>
        <v>33</v>
      </c>
      <c r="AI42" s="22">
        <f>_xll.BDP(AX42,"TOT_HOLD_REC")</f>
        <v>15</v>
      </c>
      <c r="AJ42" s="22">
        <f>_xll.BDP(AX42,"TOT_SELL_REC")</f>
        <v>1</v>
      </c>
      <c r="AK42" s="26" cm="1">
        <f t="array" ref="AK42">IF(OR(_xll.BDP($AX42,"EE201")= "#N/A N/A", _xll.BDP($AX42,"EE201")="#N/A FIELD NOT APPLICABLE"), " ", _xll.BDP($AX42,"EE201"))</f>
        <v>4.3265304565429688</v>
      </c>
      <c r="AL42" s="24">
        <f>_xll.BDP(AX42,"BEST_TARGET_PRICE")</f>
        <v>504.35513305664063</v>
      </c>
      <c r="AM42" s="32">
        <f>(AL42/Q42)-1</f>
        <v>0.31072827531027469</v>
      </c>
      <c r="AN42" s="32">
        <f>_xll.BDP(AX42,"PR061")/100</f>
        <v>0.1030739</v>
      </c>
      <c r="AO42" s="32">
        <f>_xll.BDP(AX42,"PR064")/100</f>
        <v>-0.1156408</v>
      </c>
      <c r="AP42" s="32">
        <f>_xll.BDP(AX42,"CHG_PCT_6M")/100</f>
        <v>-0.23726800000000001</v>
      </c>
      <c r="AQ42" s="25">
        <f>_xll.BDP(AX42,"PR079")/100</f>
        <v>-0.1340964</v>
      </c>
      <c r="AR42" s="33">
        <f>_xll.BDP(AX42,"hs001")</f>
        <v>587.75</v>
      </c>
      <c r="AS42" s="33">
        <f>_xll.BDP(AX42,"hs002")</f>
        <v>332.01</v>
      </c>
      <c r="AT42" s="22" t="str" cm="1">
        <f t="array" ref="AT42">IF(OR(_xll.BDP($AX42,"DX202")= "#N/A N/A", _xll.BDP($AX42,"DX202")="#N/A FIELD NOT APPLICABLE"), " ", _xll.BDP($AX42,"DX202"))</f>
        <v>Information Technology</v>
      </c>
      <c r="AU42" s="22" t="str" cm="1">
        <f t="array" ref="AU42">IF(OR(_xll.BDP($AX42,"DY997")= "#N/A N/A", _xll.BDP($AX42,"DY997")="#N/A FIELD NOT APPLICABLE"), " ", _xll.BDP($AX42,"DY997"))</f>
        <v>Y</v>
      </c>
      <c r="AV42" s="22" t="str" cm="1">
        <f t="array" ref="AV42">IF(OR(_xll.BDP($AX42,"DY784")= "#N/A N/A", _xll.BDP($AX42,"DY784")="#N/A FIELD NOT APPLICABLE"), " ", _xll.BDP($AX42,"DY784"))</f>
        <v>Y</v>
      </c>
      <c r="AW42" s="22" t="str">
        <f>IF(OR(AU42="Y",AV42="Y"),"Y","N")</f>
        <v>Y</v>
      </c>
      <c r="AX42" s="22" t="str">
        <f>CONCATENATE(G42," ",$AX$2)</f>
        <v>ADBE US Equity</v>
      </c>
      <c r="BC42" s="17"/>
      <c r="BD42" s="17"/>
      <c r="BE42" s="18"/>
      <c r="BF42" s="19"/>
      <c r="BG42" s="20"/>
    </row>
    <row r="43" spans="1:59" s="3" customFormat="1" ht="14.45" customHeight="1" x14ac:dyDescent="0.25">
      <c r="A43" s="81" t="s">
        <v>241</v>
      </c>
      <c r="B43" s="81" t="s">
        <v>262</v>
      </c>
      <c r="C43" s="81" t="s">
        <v>263</v>
      </c>
      <c r="D43" s="81" t="s">
        <v>240</v>
      </c>
      <c r="E43" s="40" t="str">
        <f>_xll.BDP(AX43,"SECURITY NAME")</f>
        <v>Adobe Inc</v>
      </c>
      <c r="F43" s="40" t="str">
        <f>_xll.BDP(AX43,"CRNCY")</f>
        <v>USD</v>
      </c>
      <c r="G43" s="23" t="s">
        <v>330</v>
      </c>
      <c r="H43" s="40" t="str" cm="1">
        <f t="array" ref="H43">IF(OR(_xll.BDP($AX43,"DX202")= "#N/A N/A", _xll.BDP($AX43,"DX202")="#N/A FIELD NOT APPLICABLE"), " ", _xll.BDP($AX43,"DX202"))</f>
        <v>Information Technology</v>
      </c>
      <c r="I43" s="82">
        <f>_xll.BDP(AX43,"CRNCY_ADJ_MKT_CAP", "EQY_FUND_CRNCY=USD")/1000</f>
        <v>164.10831000000002</v>
      </c>
      <c r="J43" s="83">
        <f>IFERROR(_xll.BDP(AX43, "DV013")/100,0)</f>
        <v>0</v>
      </c>
      <c r="K43" s="84" cm="1">
        <f t="array" ref="K43">IF(OR(_xll.BDP($AX43,"RR900")= "#N/A N/A", _xll.BDP($AX43,"RR900")="#N/A FIELD NOT APPLICABLE"), " ", _xll.BDP($AX43,"RR900"))</f>
        <v>25.391923765072026</v>
      </c>
      <c r="L43" s="84" cm="1">
        <f t="array" ref="L43">IF(OR(_xll.BDP($AX43,"EE010")= "#N/A N/A", _xll.BDP($AX43,"EE010")="#N/A FIELD NOT APPLICABLE"), " ", _xll.BDP($AX43,"EE010"))</f>
        <v>16.836466987319632</v>
      </c>
      <c r="M43" s="84" cm="1">
        <f t="array" ref="M43">IF(OR(_xll.BDP($AX43,"RR903")= "#N/A N/A", _xll.BDP($AX43,"RR903")="#N/A FIELD NOT APPLICABLE"), " ", _xll.BDP($AX43,"RR903"))</f>
        <v>12.790893065287623</v>
      </c>
      <c r="N43" s="84" cm="1">
        <f t="array" ref="N43">IF(OR(_xll.BDP($AX43,"RR957")= "#N/A N/A", _xll.BDP($AX43,"RR957")="#N/A FIELD NOT APPLICABLE"), " ", _xll.BDP($AX43,"RR957"))</f>
        <v>18.2550111831805</v>
      </c>
      <c r="O43" s="27">
        <v>215</v>
      </c>
      <c r="P43" s="28">
        <v>461.56767000000002</v>
      </c>
      <c r="Q43" s="40" cm="1">
        <f t="array" ref="Q43">IF(OR(_xll.BDP($AX43,"PX_last")="#N/A N/A",_xll.BDP($AX43,"PX_Last")="#N/A FIELD NOT APPLICABLE")," ",IF(F43="GBP",(_xll.BDP($AX43,"PX_LAST")/100),(_xll.BDP($AX43,"PX_LAST"))))</f>
        <v>384.79</v>
      </c>
      <c r="R43" s="85">
        <f>IF(F43="USD",AA43,(((_xll.BDP(F43&amp;"USD CURNCY","PX_LAST")))*AA43))</f>
        <v>99237.049050000001</v>
      </c>
      <c r="S43" s="85">
        <f>IF(F43="USD",AB43,(((_xll.BDP(F43&amp;"USD CURNCY","PX_LAST")))*AB43))</f>
        <v>82729.850000000006</v>
      </c>
      <c r="T43" s="86">
        <f>S43-R43</f>
        <v>-16507.199049999996</v>
      </c>
      <c r="U43" s="87">
        <f>T43/R43</f>
        <v>-0.16634109143736167</v>
      </c>
      <c r="V43" s="87" cm="1">
        <f t="array" ref="V43">IFERROR(_xll.BDP($G43&amp;" Equity","CHG_PCT_1D")/100,"")</f>
        <v>1.0470790000000001E-2</v>
      </c>
      <c r="W43" s="87" cm="1">
        <f t="array" ref="W43">IFERROR(_xll.BDP($G43&amp;" Equity","CHG_PCT_5D")/100,"")</f>
        <v>3.792657E-2</v>
      </c>
      <c r="X43" s="87" t="e">
        <f>S43/#REF!</f>
        <v>#REF!</v>
      </c>
      <c r="Y43" s="82">
        <f>IFERROR(S43*J43,0)</f>
        <v>0</v>
      </c>
      <c r="Z43" s="82">
        <f>S43</f>
        <v>82729.850000000006</v>
      </c>
      <c r="AA43" s="85">
        <f>P43*O43</f>
        <v>99237.049050000001</v>
      </c>
      <c r="AB43" s="85">
        <f>IFERROR(O43*Q43,0)</f>
        <v>82729.850000000006</v>
      </c>
      <c r="AC43" s="88" t="e" cm="1">
        <f t="array" ref="AC43">VLOOKUP(IF(NOT(_xll.BDP(AX43,$BW$8)="#N/A N/A"),(_xll.BDP(AX43,$BW$8)),"-"), '[1]Country Codes'!$A$2:$B$253,2,0)</f>
        <v>#N/A</v>
      </c>
      <c r="AD43" s="89" t="str" cm="1">
        <f t="array" ref="AD43">IF(OR(_xll.BDP($AX43,"EX028")= "#N/A N/A", _xll.BDP($AX43,"EX028")="#N/A FIELD NOT APPLICABLE"), " ", _xll.BDP($AX43,"EX028"))</f>
        <v>Equity</v>
      </c>
      <c r="AE43" s="90" t="str">
        <f>IF(("AS97"="Equity"), " ", "Single Line Equity")</f>
        <v>Single Line Equity</v>
      </c>
      <c r="AF43" s="84" cm="1">
        <f t="array" ref="AF43">IF(OR(_xll.BDP($AX43,"RR908")= "#N/A N/A", _xll.BDP($AX43,"RR908")="#N/A FIELD NOT APPLICABLE"), " ", _xll.BDP($AX43,"RR908"))</f>
        <v>18.181148793007175</v>
      </c>
      <c r="AG43" s="84" cm="1">
        <f t="array" ref="AG43">IF(OR(_xll.BDP($AX43,"RR041")= "#N/A N/A", _xll.BDP($AX43,"RR041")="#N/A FIELD NOT APPLICABLE"), " ", _xll.BDP($AX43,"RR041"))</f>
        <v>20.033079722130335</v>
      </c>
      <c r="AH43" s="40">
        <f>_xll.BDP(AX43,"TOT_BUY_REC")</f>
        <v>33</v>
      </c>
      <c r="AI43" s="40">
        <f>_xll.BDP(AX43,"TOT_HOLD_REC")</f>
        <v>15</v>
      </c>
      <c r="AJ43" s="40">
        <f>_xll.BDP(AX43,"TOT_SELL_REC")</f>
        <v>1</v>
      </c>
      <c r="AK43" s="84" cm="1">
        <f t="array" ref="AK43">IF(OR(_xll.BDP($AX43,"EE201")= "#N/A N/A", _xll.BDP($AX43,"EE201")="#N/A FIELD NOT APPLICABLE"), " ", _xll.BDP($AX43,"EE201"))</f>
        <v>4.3265304565429688</v>
      </c>
      <c r="AL43" s="82">
        <f>_xll.BDP(AX43,"BEST_TARGET_PRICE")</f>
        <v>504.35513305664063</v>
      </c>
      <c r="AM43" s="91">
        <f>(AL43/Q43)-1</f>
        <v>0.31072827531027469</v>
      </c>
      <c r="AN43" s="91">
        <f>_xll.BDP(AX43,"PR061")/100</f>
        <v>0.1030739</v>
      </c>
      <c r="AO43" s="91">
        <f>_xll.BDP(AX43,"PR064")/100</f>
        <v>-0.1156408</v>
      </c>
      <c r="AP43" s="91">
        <f>_xll.BDP(AX43,"CHG_PCT_6M")/100</f>
        <v>-0.23726800000000001</v>
      </c>
      <c r="AQ43" s="83">
        <f>_xll.BDP(AX43,"PR079")/100</f>
        <v>-0.1340964</v>
      </c>
      <c r="AR43" s="92">
        <f>_xll.BDP(AX43,"hs001")</f>
        <v>587.75</v>
      </c>
      <c r="AS43" s="92">
        <f>_xll.BDP(AX43,"hs002")</f>
        <v>332.01</v>
      </c>
      <c r="AT43" s="40" t="str" cm="1">
        <f t="array" ref="AT43">IF(OR(_xll.BDP($AX43,"DX202")= "#N/A N/A", _xll.BDP($AX43,"DX202")="#N/A FIELD NOT APPLICABLE"), " ", _xll.BDP($AX43,"DX202"))</f>
        <v>Information Technology</v>
      </c>
      <c r="AU43" s="40" t="str" cm="1">
        <f t="array" ref="AU43">IF(OR(_xll.BDP($AX43,"DY997")= "#N/A N/A", _xll.BDP($AX43,"DY997")="#N/A FIELD NOT APPLICABLE"), " ", _xll.BDP($AX43,"DY997"))</f>
        <v>Y</v>
      </c>
      <c r="AV43" s="40" t="str" cm="1">
        <f t="array" ref="AV43">IF(OR(_xll.BDP($AX43,"DY784")= "#N/A N/A", _xll.BDP($AX43,"DY784")="#N/A FIELD NOT APPLICABLE"), " ", _xll.BDP($AX43,"DY784"))</f>
        <v>Y</v>
      </c>
      <c r="AW43" s="40" t="str">
        <f>IF(OR(AU43="Y",AV43="Y"),"Y","N")</f>
        <v>Y</v>
      </c>
      <c r="AX43" s="40" t="str">
        <f>CONCATENATE(G43," ",$AX$2)</f>
        <v>ADBE US Equity</v>
      </c>
      <c r="BC43" s="17" t="str" cm="1">
        <f t="array" ref="BC43">_xll.BDP(AX43,"ID005")</f>
        <v>US00724F1012</v>
      </c>
      <c r="BD43" s="17">
        <v>0.7499999649681105</v>
      </c>
      <c r="BE43" s="18">
        <v>4</v>
      </c>
      <c r="BF43" s="19">
        <v>45217</v>
      </c>
      <c r="BG43" s="20">
        <v>1</v>
      </c>
    </row>
    <row r="44" spans="1:59" s="3" customFormat="1" ht="14.45" customHeight="1" x14ac:dyDescent="0.25">
      <c r="A44" s="49" t="s">
        <v>241</v>
      </c>
      <c r="B44" s="49" t="s">
        <v>266</v>
      </c>
      <c r="C44" s="49" t="s">
        <v>267</v>
      </c>
      <c r="D44" s="49" t="s">
        <v>240</v>
      </c>
      <c r="E44" s="22" t="str">
        <f>_xll.BDP(AX44,"SECURITY NAME")</f>
        <v>Adobe Inc</v>
      </c>
      <c r="F44" s="22" t="str">
        <f>_xll.BDP(AX44,"CRNCY")</f>
        <v>USD</v>
      </c>
      <c r="G44" s="23" t="s">
        <v>330</v>
      </c>
      <c r="H44" s="22" t="str" cm="1">
        <f t="array" ref="H44">IF(OR(_xll.BDP($AX44,"DX202")= "#N/A N/A", _xll.BDP($AX44,"DX202")="#N/A FIELD NOT APPLICABLE"), " ", _xll.BDP($AX44,"DX202"))</f>
        <v>Information Technology</v>
      </c>
      <c r="I44" s="24">
        <f>_xll.BDP(AX44,"CRNCY_ADJ_MKT_CAP", "EQY_FUND_CRNCY=USD")/1000</f>
        <v>164.10831000000002</v>
      </c>
      <c r="J44" s="25">
        <f>IFERROR(_xll.BDP(AX44, "DV013")/100,0)</f>
        <v>0</v>
      </c>
      <c r="K44" s="26" cm="1">
        <f t="array" ref="K44">IF(OR(_xll.BDP($AX44,"RR900")= "#N/A N/A", _xll.BDP($AX44,"RR900")="#N/A FIELD NOT APPLICABLE"), " ", _xll.BDP($AX44,"RR900"))</f>
        <v>25.391923765072026</v>
      </c>
      <c r="L44" s="26" cm="1">
        <f t="array" ref="L44">IF(OR(_xll.BDP($AX44,"EE010")= "#N/A N/A", _xll.BDP($AX44,"EE010")="#N/A FIELD NOT APPLICABLE"), " ", _xll.BDP($AX44,"EE010"))</f>
        <v>16.836466987319632</v>
      </c>
      <c r="M44" s="26" cm="1">
        <f t="array" ref="M44">IF(OR(_xll.BDP($AX44,"RR903")= "#N/A N/A", _xll.BDP($AX44,"RR903")="#N/A FIELD NOT APPLICABLE"), " ", _xll.BDP($AX44,"RR903"))</f>
        <v>12.790893065287623</v>
      </c>
      <c r="N44" s="26" cm="1">
        <f t="array" ref="N44">IF(OR(_xll.BDP($AX44,"RR957")= "#N/A N/A", _xll.BDP($AX44,"RR957")="#N/A FIELD NOT APPLICABLE"), " ", _xll.BDP($AX44,"RR957"))</f>
        <v>18.2550111831805</v>
      </c>
      <c r="O44" s="27">
        <v>110</v>
      </c>
      <c r="P44" s="28">
        <v>461.56763999999998</v>
      </c>
      <c r="Q44" s="22" cm="1">
        <f t="array" ref="Q44">IF(OR(_xll.BDP($AX44,"PX_last")="#N/A N/A",_xll.BDP($AX44,"PX_Last")="#N/A FIELD NOT APPLICABLE")," ",IF(F44="GBP",(_xll.BDP($AX44,"PX_LAST")/100),(_xll.BDP($AX44,"PX_LAST"))))</f>
        <v>384.79</v>
      </c>
      <c r="R44" s="29">
        <f>IF(F44="USD",AA44,(((_xll.BDP(F44&amp;"USD CURNCY","PX_LAST")))*AA44))</f>
        <v>50772.440399999999</v>
      </c>
      <c r="S44" s="29">
        <f>IF(F44="USD",AB44,(((_xll.BDP(F44&amp;"USD CURNCY","PX_LAST")))*AB44))</f>
        <v>42326.9</v>
      </c>
      <c r="T44" s="12">
        <f>S44-R44</f>
        <v>-8445.540399999998</v>
      </c>
      <c r="U44" s="13">
        <f>T44/R44</f>
        <v>-0.16634103725295815</v>
      </c>
      <c r="V44" s="13" cm="1">
        <f t="array" ref="V44">IFERROR(_xll.BDP($G44&amp;" Equity","CHG_PCT_1D")/100,"")</f>
        <v>1.0470790000000001E-2</v>
      </c>
      <c r="W44" s="13" cm="1">
        <f t="array" ref="W44">IFERROR(_xll.BDP($G44&amp;" Equity","CHG_PCT_5D")/100,"")</f>
        <v>3.792657E-2</v>
      </c>
      <c r="X44" s="13" t="e">
        <f>S44/#REF!</f>
        <v>#REF!</v>
      </c>
      <c r="Y44" s="24">
        <f>IFERROR(S44*J44,0)</f>
        <v>0</v>
      </c>
      <c r="Z44" s="24">
        <f>S44</f>
        <v>42326.9</v>
      </c>
      <c r="AA44" s="29">
        <f>P44*O44</f>
        <v>50772.440399999999</v>
      </c>
      <c r="AB44" s="29">
        <f>IFERROR(O44*Q44,0)</f>
        <v>42326.9</v>
      </c>
      <c r="AC44" s="4" t="e" cm="1">
        <f t="array" ref="AC44">VLOOKUP(IF(NOT(_xll.BDP(AX44,$BW$8)="#N/A N/A"),(_xll.BDP(AX44,$BW$8)),"-"), '[1]Country Codes'!$A$2:$B$253,2,0)</f>
        <v>#N/A</v>
      </c>
      <c r="AD44" s="30" t="str" cm="1">
        <f t="array" ref="AD44">IF(OR(_xll.BDP($AX44,"EX028")= "#N/A N/A", _xll.BDP($AX44,"EX028")="#N/A FIELD NOT APPLICABLE"), " ", _xll.BDP($AX44,"EX028"))</f>
        <v>Equity</v>
      </c>
      <c r="AE44" s="31" t="str">
        <f>IF(("AS97"="Equity"), " ", "Single Line Equity")</f>
        <v>Single Line Equity</v>
      </c>
      <c r="AF44" s="26" cm="1">
        <f t="array" ref="AF44">IF(OR(_xll.BDP($AX44,"RR908")= "#N/A N/A", _xll.BDP($AX44,"RR908")="#N/A FIELD NOT APPLICABLE"), " ", _xll.BDP($AX44,"RR908"))</f>
        <v>18.181148793007175</v>
      </c>
      <c r="AG44" s="26" cm="1">
        <f t="array" ref="AG44">IF(OR(_xll.BDP($AX44,"RR041")= "#N/A N/A", _xll.BDP($AX44,"RR041")="#N/A FIELD NOT APPLICABLE"), " ", _xll.BDP($AX44,"RR041"))</f>
        <v>20.033079722130335</v>
      </c>
      <c r="AH44" s="22">
        <f>_xll.BDP(AX44,"TOT_BUY_REC")</f>
        <v>33</v>
      </c>
      <c r="AI44" s="22">
        <f>_xll.BDP(AX44,"TOT_HOLD_REC")</f>
        <v>15</v>
      </c>
      <c r="AJ44" s="22">
        <f>_xll.BDP(AX44,"TOT_SELL_REC")</f>
        <v>1</v>
      </c>
      <c r="AK44" s="26" cm="1">
        <f t="array" ref="AK44">IF(OR(_xll.BDP($AX44,"EE201")= "#N/A N/A", _xll.BDP($AX44,"EE201")="#N/A FIELD NOT APPLICABLE"), " ", _xll.BDP($AX44,"EE201"))</f>
        <v>4.3265304565429688</v>
      </c>
      <c r="AL44" s="24">
        <f>_xll.BDP(AX44,"BEST_TARGET_PRICE")</f>
        <v>504.35513305664063</v>
      </c>
      <c r="AM44" s="32">
        <f>(AL44/Q44)-1</f>
        <v>0.31072827531027469</v>
      </c>
      <c r="AN44" s="32">
        <f>_xll.BDP(AX44,"PR061")/100</f>
        <v>0.1030739</v>
      </c>
      <c r="AO44" s="32">
        <f>_xll.BDP(AX44,"PR064")/100</f>
        <v>-0.1156408</v>
      </c>
      <c r="AP44" s="32">
        <f>_xll.BDP(AX44,"CHG_PCT_6M")/100</f>
        <v>-0.23726800000000001</v>
      </c>
      <c r="AQ44" s="25">
        <f>_xll.BDP(AX44,"PR079")/100</f>
        <v>-0.1340964</v>
      </c>
      <c r="AR44" s="33">
        <f>_xll.BDP(AX44,"hs001")</f>
        <v>587.75</v>
      </c>
      <c r="AS44" s="33">
        <f>_xll.BDP(AX44,"hs002")</f>
        <v>332.01</v>
      </c>
      <c r="AT44" s="22" t="str" cm="1">
        <f t="array" ref="AT44">IF(OR(_xll.BDP($AX44,"DX202")= "#N/A N/A", _xll.BDP($AX44,"DX202")="#N/A FIELD NOT APPLICABLE"), " ", _xll.BDP($AX44,"DX202"))</f>
        <v>Information Technology</v>
      </c>
      <c r="AU44" s="22" t="str" cm="1">
        <f t="array" ref="AU44">IF(OR(_xll.BDP($AX44,"DY997")= "#N/A N/A", _xll.BDP($AX44,"DY997")="#N/A FIELD NOT APPLICABLE"), " ", _xll.BDP($AX44,"DY997"))</f>
        <v>Y</v>
      </c>
      <c r="AV44" s="22" t="str" cm="1">
        <f t="array" ref="AV44">IF(OR(_xll.BDP($AX44,"DY784")= "#N/A N/A", _xll.BDP($AX44,"DY784")="#N/A FIELD NOT APPLICABLE"), " ", _xll.BDP($AX44,"DY784"))</f>
        <v>Y</v>
      </c>
      <c r="AW44" s="22" t="str">
        <f>IF(OR(AU44="Y",AV44="Y"),"Y","N")</f>
        <v>Y</v>
      </c>
      <c r="AX44" s="22" t="str">
        <f>CONCATENATE(G44," ",$AX$2)</f>
        <v>ADBE US Equity</v>
      </c>
      <c r="BC44" s="17"/>
      <c r="BD44" s="17"/>
      <c r="BE44" s="18"/>
      <c r="BF44" s="19"/>
      <c r="BG44" s="20"/>
    </row>
    <row r="45" spans="1:59" s="3" customFormat="1" ht="14.45" customHeight="1" x14ac:dyDescent="0.25">
      <c r="A45" s="81" t="s">
        <v>242</v>
      </c>
      <c r="B45" s="81" t="s">
        <v>268</v>
      </c>
      <c r="C45" s="81" t="s">
        <v>269</v>
      </c>
      <c r="D45" s="81" t="s">
        <v>248</v>
      </c>
      <c r="E45" s="40" t="str">
        <f>_xll.BDP(AX45,"SECURITY NAME")</f>
        <v>Adobe Inc</v>
      </c>
      <c r="F45" s="40" t="str">
        <f>_xll.BDP(AX45,"CRNCY")</f>
        <v>USD</v>
      </c>
      <c r="G45" s="23" t="s">
        <v>330</v>
      </c>
      <c r="H45" s="40" t="str" cm="1">
        <f t="array" ref="H45">IF(OR(_xll.BDP($AX45,"DX202")= "#N/A N/A", _xll.BDP($AX45,"DX202")="#N/A FIELD NOT APPLICABLE"), " ", _xll.BDP($AX45,"DX202"))</f>
        <v>Information Technology</v>
      </c>
      <c r="I45" s="82">
        <f>_xll.BDP(AX45,"CRNCY_ADJ_MKT_CAP", "EQY_FUND_CRNCY=USD")/1000</f>
        <v>164.10831000000002</v>
      </c>
      <c r="J45" s="83">
        <f>IFERROR(_xll.BDP(AX45, "DV013")/100,0)</f>
        <v>0</v>
      </c>
      <c r="K45" s="84" cm="1">
        <f t="array" ref="K45">IF(OR(_xll.BDP($AX45,"RR900")= "#N/A N/A", _xll.BDP($AX45,"RR900")="#N/A FIELD NOT APPLICABLE"), " ", _xll.BDP($AX45,"RR900"))</f>
        <v>25.391923765072026</v>
      </c>
      <c r="L45" s="84" cm="1">
        <f t="array" ref="L45">IF(OR(_xll.BDP($AX45,"EE010")= "#N/A N/A", _xll.BDP($AX45,"EE010")="#N/A FIELD NOT APPLICABLE"), " ", _xll.BDP($AX45,"EE010"))</f>
        <v>16.836466987319632</v>
      </c>
      <c r="M45" s="84" cm="1">
        <f t="array" ref="M45">IF(OR(_xll.BDP($AX45,"RR903")= "#N/A N/A", _xll.BDP($AX45,"RR903")="#N/A FIELD NOT APPLICABLE"), " ", _xll.BDP($AX45,"RR903"))</f>
        <v>12.790893065287623</v>
      </c>
      <c r="N45" s="84" cm="1">
        <f t="array" ref="N45">IF(OR(_xll.BDP($AX45,"RR957")= "#N/A N/A", _xll.BDP($AX45,"RR957")="#N/A FIELD NOT APPLICABLE"), " ", _xll.BDP($AX45,"RR957"))</f>
        <v>18.2550111831805</v>
      </c>
      <c r="O45" s="27">
        <v>328</v>
      </c>
      <c r="P45" s="28">
        <v>455.34</v>
      </c>
      <c r="Q45" s="40" cm="1">
        <f t="array" ref="Q45">IF(OR(_xll.BDP($AX45,"PX_last")="#N/A N/A",_xll.BDP($AX45,"PX_Last")="#N/A FIELD NOT APPLICABLE")," ",IF(F45="GBP",(_xll.BDP($AX45,"PX_LAST")/100),(_xll.BDP($AX45,"PX_LAST"))))</f>
        <v>384.79</v>
      </c>
      <c r="R45" s="85">
        <f>IF(F45="USD",AA45,(((_xll.BDP(F45&amp;"USD CURNCY","PX_LAST")))*AA45))</f>
        <v>149351.51999999999</v>
      </c>
      <c r="S45" s="85">
        <f>IF(F45="USD",AB45,(((_xll.BDP(F45&amp;"USD CURNCY","PX_LAST")))*AB45))</f>
        <v>126211.12000000001</v>
      </c>
      <c r="T45" s="86">
        <f>S45-R45</f>
        <v>-23140.39999999998</v>
      </c>
      <c r="U45" s="87">
        <f>T45/R45</f>
        <v>-0.15493916633724236</v>
      </c>
      <c r="V45" s="87" cm="1">
        <f t="array" ref="V45">IFERROR(_xll.BDP($G45&amp;" Equity","CHG_PCT_1D")/100,"")</f>
        <v>1.0470790000000001E-2</v>
      </c>
      <c r="W45" s="87" cm="1">
        <f t="array" ref="W45">IFERROR(_xll.BDP($G45&amp;" Equity","CHG_PCT_5D")/100,"")</f>
        <v>3.792657E-2</v>
      </c>
      <c r="X45" s="87" t="e">
        <f>S45/#REF!</f>
        <v>#REF!</v>
      </c>
      <c r="Y45" s="82">
        <f>IFERROR(S45*J45,0)</f>
        <v>0</v>
      </c>
      <c r="Z45" s="82">
        <f>S45</f>
        <v>126211.12000000001</v>
      </c>
      <c r="AA45" s="85">
        <f>P45*O45</f>
        <v>149351.51999999999</v>
      </c>
      <c r="AB45" s="85">
        <f>IFERROR(O45*Q45,0)</f>
        <v>126211.12000000001</v>
      </c>
      <c r="AC45" s="88" t="e" cm="1">
        <f t="array" ref="AC45">VLOOKUP(IF(NOT(_xll.BDP(AX45,$BW$8)="#N/A N/A"),(_xll.BDP(AX45,$BW$8)),"-"), '[1]Country Codes'!$A$2:$B$253,2,0)</f>
        <v>#N/A</v>
      </c>
      <c r="AD45" s="89" t="str" cm="1">
        <f t="array" ref="AD45">IF(OR(_xll.BDP($AX45,"EX028")= "#N/A N/A", _xll.BDP($AX45,"EX028")="#N/A FIELD NOT APPLICABLE"), " ", _xll.BDP($AX45,"EX028"))</f>
        <v>Equity</v>
      </c>
      <c r="AE45" s="90" t="str">
        <f>IF(("AS97"="Equity"), " ", "Single Line Equity")</f>
        <v>Single Line Equity</v>
      </c>
      <c r="AF45" s="84" cm="1">
        <f t="array" ref="AF45">IF(OR(_xll.BDP($AX45,"RR908")= "#N/A N/A", _xll.BDP($AX45,"RR908")="#N/A FIELD NOT APPLICABLE"), " ", _xll.BDP($AX45,"RR908"))</f>
        <v>18.181148793007175</v>
      </c>
      <c r="AG45" s="84" cm="1">
        <f t="array" ref="AG45">IF(OR(_xll.BDP($AX45,"RR041")= "#N/A N/A", _xll.BDP($AX45,"RR041")="#N/A FIELD NOT APPLICABLE"), " ", _xll.BDP($AX45,"RR041"))</f>
        <v>20.033079722130335</v>
      </c>
      <c r="AH45" s="40">
        <f>_xll.BDP(AX45,"TOT_BUY_REC")</f>
        <v>33</v>
      </c>
      <c r="AI45" s="40">
        <f>_xll.BDP(AX45,"TOT_HOLD_REC")</f>
        <v>15</v>
      </c>
      <c r="AJ45" s="40">
        <f>_xll.BDP(AX45,"TOT_SELL_REC")</f>
        <v>1</v>
      </c>
      <c r="AK45" s="84" cm="1">
        <f t="array" ref="AK45">IF(OR(_xll.BDP($AX45,"EE201")= "#N/A N/A", _xll.BDP($AX45,"EE201")="#N/A FIELD NOT APPLICABLE"), " ", _xll.BDP($AX45,"EE201"))</f>
        <v>4.3265304565429688</v>
      </c>
      <c r="AL45" s="82">
        <f>_xll.BDP(AX45,"BEST_TARGET_PRICE")</f>
        <v>504.35513305664063</v>
      </c>
      <c r="AM45" s="91">
        <f>(AL45/Q45)-1</f>
        <v>0.31072827531027469</v>
      </c>
      <c r="AN45" s="91">
        <f>_xll.BDP(AX45,"PR061")/100</f>
        <v>0.1030739</v>
      </c>
      <c r="AO45" s="91">
        <f>_xll.BDP(AX45,"PR064")/100</f>
        <v>-0.1156408</v>
      </c>
      <c r="AP45" s="91">
        <f>_xll.BDP(AX45,"CHG_PCT_6M")/100</f>
        <v>-0.23726800000000001</v>
      </c>
      <c r="AQ45" s="83">
        <f>_xll.BDP(AX45,"PR079")/100</f>
        <v>-0.1340964</v>
      </c>
      <c r="AR45" s="92">
        <f>_xll.BDP(AX45,"hs001")</f>
        <v>587.75</v>
      </c>
      <c r="AS45" s="92">
        <f>_xll.BDP(AX45,"hs002")</f>
        <v>332.01</v>
      </c>
      <c r="AT45" s="40" t="str" cm="1">
        <f t="array" ref="AT45">IF(OR(_xll.BDP($AX45,"DX202")= "#N/A N/A", _xll.BDP($AX45,"DX202")="#N/A FIELD NOT APPLICABLE"), " ", _xll.BDP($AX45,"DX202"))</f>
        <v>Information Technology</v>
      </c>
      <c r="AU45" s="40" t="str" cm="1">
        <f t="array" ref="AU45">IF(OR(_xll.BDP($AX45,"DY997")= "#N/A N/A", _xll.BDP($AX45,"DY997")="#N/A FIELD NOT APPLICABLE"), " ", _xll.BDP($AX45,"DY997"))</f>
        <v>Y</v>
      </c>
      <c r="AV45" s="40" t="str" cm="1">
        <f t="array" ref="AV45">IF(OR(_xll.BDP($AX45,"DY784")= "#N/A N/A", _xll.BDP($AX45,"DY784")="#N/A FIELD NOT APPLICABLE"), " ", _xll.BDP($AX45,"DY784"))</f>
        <v>Y</v>
      </c>
      <c r="AW45" s="40" t="str">
        <f>IF(OR(AU45="Y",AV45="Y"),"Y","N")</f>
        <v>Y</v>
      </c>
      <c r="AX45" s="40" t="str">
        <f>CONCATENATE(G45," ",$AX$2)</f>
        <v>ADBE US Equity</v>
      </c>
      <c r="BC45" s="17"/>
      <c r="BD45" s="17"/>
      <c r="BE45" s="18"/>
      <c r="BF45" s="19"/>
      <c r="BG45" s="20"/>
    </row>
    <row r="46" spans="1:59" s="3" customFormat="1" ht="14.45" customHeight="1" x14ac:dyDescent="0.25">
      <c r="A46" s="49" t="s">
        <v>241</v>
      </c>
      <c r="B46" s="49" t="s">
        <v>270</v>
      </c>
      <c r="C46" s="49" t="s">
        <v>271</v>
      </c>
      <c r="D46" s="49" t="s">
        <v>240</v>
      </c>
      <c r="E46" s="22" t="str">
        <f>_xll.BDP(AX46,"SECURITY NAME")</f>
        <v>Adobe Inc</v>
      </c>
      <c r="F46" s="22" t="str">
        <f>_xll.BDP(AX46,"CRNCY")</f>
        <v>USD</v>
      </c>
      <c r="G46" s="23" t="s">
        <v>330</v>
      </c>
      <c r="H46" s="22" t="str" cm="1">
        <f t="array" ref="H46">IF(OR(_xll.BDP($AX46,"DX202")= "#N/A N/A", _xll.BDP($AX46,"DX202")="#N/A FIELD NOT APPLICABLE"), " ", _xll.BDP($AX46,"DX202"))</f>
        <v>Information Technology</v>
      </c>
      <c r="I46" s="24">
        <f>_xll.BDP(AX46,"CRNCY_ADJ_MKT_CAP", "EQY_FUND_CRNCY=USD")/1000</f>
        <v>164.10831000000002</v>
      </c>
      <c r="J46" s="25">
        <f>IFERROR(_xll.BDP(AX46, "DV013")/100,0)</f>
        <v>0</v>
      </c>
      <c r="K46" s="26" cm="1">
        <f t="array" ref="K46">IF(OR(_xll.BDP($AX46,"RR900")= "#N/A N/A", _xll.BDP($AX46,"RR900")="#N/A FIELD NOT APPLICABLE"), " ", _xll.BDP($AX46,"RR900"))</f>
        <v>25.391923765072026</v>
      </c>
      <c r="L46" s="26" cm="1">
        <f t="array" ref="L46">IF(OR(_xll.BDP($AX46,"EE010")= "#N/A N/A", _xll.BDP($AX46,"EE010")="#N/A FIELD NOT APPLICABLE"), " ", _xll.BDP($AX46,"EE010"))</f>
        <v>16.836466987319632</v>
      </c>
      <c r="M46" s="26" cm="1">
        <f t="array" ref="M46">IF(OR(_xll.BDP($AX46,"RR903")= "#N/A N/A", _xll.BDP($AX46,"RR903")="#N/A FIELD NOT APPLICABLE"), " ", _xll.BDP($AX46,"RR903"))</f>
        <v>12.790893065287623</v>
      </c>
      <c r="N46" s="26" cm="1">
        <f t="array" ref="N46">IF(OR(_xll.BDP($AX46,"RR957")= "#N/A N/A", _xll.BDP($AX46,"RR957")="#N/A FIELD NOT APPLICABLE"), " ", _xll.BDP($AX46,"RR957"))</f>
        <v>18.2550111831805</v>
      </c>
      <c r="O46" s="27">
        <v>160</v>
      </c>
      <c r="P46" s="28">
        <v>461.56769000000003</v>
      </c>
      <c r="Q46" s="22" cm="1">
        <f t="array" ref="Q46">IF(OR(_xll.BDP($AX46,"PX_last")="#N/A N/A",_xll.BDP($AX46,"PX_Last")="#N/A FIELD NOT APPLICABLE")," ",IF(F46="GBP",(_xll.BDP($AX46,"PX_LAST")/100),(_xll.BDP($AX46,"PX_LAST"))))</f>
        <v>384.79</v>
      </c>
      <c r="R46" s="29">
        <f>IF(F46="USD",AA46,(((_xll.BDP(F46&amp;"USD CURNCY","PX_LAST")))*AA46))</f>
        <v>73850.830400000006</v>
      </c>
      <c r="S46" s="29">
        <f>IF(F46="USD",AB46,(((_xll.BDP(F46&amp;"USD CURNCY","PX_LAST")))*AB46))</f>
        <v>61566.400000000001</v>
      </c>
      <c r="T46" s="12">
        <f>S46-R46</f>
        <v>-12284.430400000005</v>
      </c>
      <c r="U46" s="13">
        <f>T46/R46</f>
        <v>-0.16634112756029354</v>
      </c>
      <c r="V46" s="13" cm="1">
        <f t="array" ref="V46">IFERROR(_xll.BDP($G46&amp;" Equity","CHG_PCT_1D")/100,"")</f>
        <v>1.0470790000000001E-2</v>
      </c>
      <c r="W46" s="13" cm="1">
        <f t="array" ref="W46">IFERROR(_xll.BDP($G46&amp;" Equity","CHG_PCT_5D")/100,"")</f>
        <v>3.792657E-2</v>
      </c>
      <c r="X46" s="13" t="e">
        <f>S46/#REF!</f>
        <v>#REF!</v>
      </c>
      <c r="Y46" s="24">
        <f>IFERROR(S46*J46,0)</f>
        <v>0</v>
      </c>
      <c r="Z46" s="24">
        <f>S46</f>
        <v>61566.400000000001</v>
      </c>
      <c r="AA46" s="29">
        <f>P46*O46</f>
        <v>73850.830400000006</v>
      </c>
      <c r="AB46" s="29">
        <f>IFERROR(O46*Q46,0)</f>
        <v>61566.400000000001</v>
      </c>
      <c r="AC46" s="4" t="e" cm="1">
        <f t="array" ref="AC46">VLOOKUP(IF(NOT(_xll.BDP(AX46,$BW$8)="#N/A N/A"),(_xll.BDP(AX46,$BW$8)),"-"), '[1]Country Codes'!$A$2:$B$253,2,0)</f>
        <v>#N/A</v>
      </c>
      <c r="AD46" s="30" t="str" cm="1">
        <f t="array" ref="AD46">IF(OR(_xll.BDP($AX46,"EX028")= "#N/A N/A", _xll.BDP($AX46,"EX028")="#N/A FIELD NOT APPLICABLE"), " ", _xll.BDP($AX46,"EX028"))</f>
        <v>Equity</v>
      </c>
      <c r="AE46" s="31" t="str">
        <f>IF(("AS97"="Equity"), " ", "Single Line Equity")</f>
        <v>Single Line Equity</v>
      </c>
      <c r="AF46" s="26" cm="1">
        <f t="array" ref="AF46">IF(OR(_xll.BDP($AX46,"RR908")= "#N/A N/A", _xll.BDP($AX46,"RR908")="#N/A FIELD NOT APPLICABLE"), " ", _xll.BDP($AX46,"RR908"))</f>
        <v>18.181148793007175</v>
      </c>
      <c r="AG46" s="26" cm="1">
        <f t="array" ref="AG46">IF(OR(_xll.BDP($AX46,"RR041")= "#N/A N/A", _xll.BDP($AX46,"RR041")="#N/A FIELD NOT APPLICABLE"), " ", _xll.BDP($AX46,"RR041"))</f>
        <v>20.033079722130335</v>
      </c>
      <c r="AH46" s="22">
        <f>_xll.BDP(AX46,"TOT_BUY_REC")</f>
        <v>33</v>
      </c>
      <c r="AI46" s="22">
        <f>_xll.BDP(AX46,"TOT_HOLD_REC")</f>
        <v>15</v>
      </c>
      <c r="AJ46" s="22">
        <f>_xll.BDP(AX46,"TOT_SELL_REC")</f>
        <v>1</v>
      </c>
      <c r="AK46" s="26" cm="1">
        <f t="array" ref="AK46">IF(OR(_xll.BDP($AX46,"EE201")= "#N/A N/A", _xll.BDP($AX46,"EE201")="#N/A FIELD NOT APPLICABLE"), " ", _xll.BDP($AX46,"EE201"))</f>
        <v>4.3265304565429688</v>
      </c>
      <c r="AL46" s="24">
        <f>_xll.BDP(AX46,"BEST_TARGET_PRICE")</f>
        <v>504.35513305664063</v>
      </c>
      <c r="AM46" s="32">
        <f>(AL46/Q46)-1</f>
        <v>0.31072827531027469</v>
      </c>
      <c r="AN46" s="32">
        <f>_xll.BDP(AX46,"PR061")/100</f>
        <v>0.1030739</v>
      </c>
      <c r="AO46" s="32">
        <f>_xll.BDP(AX46,"PR064")/100</f>
        <v>-0.1156408</v>
      </c>
      <c r="AP46" s="32">
        <f>_xll.BDP(AX46,"CHG_PCT_6M")/100</f>
        <v>-0.23726800000000001</v>
      </c>
      <c r="AQ46" s="25">
        <f>_xll.BDP(AX46,"PR079")/100</f>
        <v>-0.1340964</v>
      </c>
      <c r="AR46" s="33">
        <f>_xll.BDP(AX46,"hs001")</f>
        <v>587.75</v>
      </c>
      <c r="AS46" s="33">
        <f>_xll.BDP(AX46,"hs002")</f>
        <v>332.01</v>
      </c>
      <c r="AT46" s="22" t="str" cm="1">
        <f t="array" ref="AT46">IF(OR(_xll.BDP($AX46,"DX202")= "#N/A N/A", _xll.BDP($AX46,"DX202")="#N/A FIELD NOT APPLICABLE"), " ", _xll.BDP($AX46,"DX202"))</f>
        <v>Information Technology</v>
      </c>
      <c r="AU46" s="22" t="str" cm="1">
        <f t="array" ref="AU46">IF(OR(_xll.BDP($AX46,"DY997")= "#N/A N/A", _xll.BDP($AX46,"DY997")="#N/A FIELD NOT APPLICABLE"), " ", _xll.BDP($AX46,"DY997"))</f>
        <v>Y</v>
      </c>
      <c r="AV46" s="22" t="str" cm="1">
        <f t="array" ref="AV46">IF(OR(_xll.BDP($AX46,"DY784")= "#N/A N/A", _xll.BDP($AX46,"DY784")="#N/A FIELD NOT APPLICABLE"), " ", _xll.BDP($AX46,"DY784"))</f>
        <v>Y</v>
      </c>
      <c r="AW46" s="22" t="str">
        <f>IF(OR(AU46="Y",AV46="Y"),"Y","N")</f>
        <v>Y</v>
      </c>
      <c r="AX46" s="22" t="str">
        <f>CONCATENATE(G46," ",$AX$2)</f>
        <v>ADBE US Equity</v>
      </c>
      <c r="BC46" s="17"/>
      <c r="BD46" s="17"/>
      <c r="BE46" s="18"/>
      <c r="BF46" s="19"/>
      <c r="BG46" s="20"/>
    </row>
    <row r="47" spans="1:59" s="3" customFormat="1" ht="14.45" customHeight="1" x14ac:dyDescent="0.25">
      <c r="A47" s="49" t="s">
        <v>241</v>
      </c>
      <c r="B47" s="49" t="s">
        <v>272</v>
      </c>
      <c r="C47" s="49">
        <v>2620061.0010000002</v>
      </c>
      <c r="D47" s="49" t="s">
        <v>240</v>
      </c>
      <c r="E47" s="22" t="str">
        <f>_xll.BDP(AX47,"SECURITY NAME")</f>
        <v>Adobe Inc</v>
      </c>
      <c r="F47" s="22" t="str">
        <f>_xll.BDP(AX47,"CRNCY")</f>
        <v>USD</v>
      </c>
      <c r="G47" s="23" t="s">
        <v>330</v>
      </c>
      <c r="H47" s="22" t="str" cm="1">
        <f t="array" ref="H47">IF(OR(_xll.BDP($AX47,"DX202")= "#N/A N/A", _xll.BDP($AX47,"DX202")="#N/A FIELD NOT APPLICABLE"), " ", _xll.BDP($AX47,"DX202"))</f>
        <v>Information Technology</v>
      </c>
      <c r="I47" s="24">
        <f>_xll.BDP(AX47,"CRNCY_ADJ_MKT_CAP", "EQY_FUND_CRNCY=USD")/1000</f>
        <v>164.10831000000002</v>
      </c>
      <c r="J47" s="25">
        <f>IFERROR(_xll.BDP(AX47, "DV013")/100,0)</f>
        <v>0</v>
      </c>
      <c r="K47" s="26" cm="1">
        <f t="array" ref="K47">IF(OR(_xll.BDP($AX47,"RR900")= "#N/A N/A", _xll.BDP($AX47,"RR900")="#N/A FIELD NOT APPLICABLE"), " ", _xll.BDP($AX47,"RR900"))</f>
        <v>25.391923765072026</v>
      </c>
      <c r="L47" s="26" cm="1">
        <f t="array" ref="L47">IF(OR(_xll.BDP($AX47,"EE010")= "#N/A N/A", _xll.BDP($AX47,"EE010")="#N/A FIELD NOT APPLICABLE"), " ", _xll.BDP($AX47,"EE010"))</f>
        <v>16.836466987319632</v>
      </c>
      <c r="M47" s="26" cm="1">
        <f t="array" ref="M47">IF(OR(_xll.BDP($AX47,"RR903")= "#N/A N/A", _xll.BDP($AX47,"RR903")="#N/A FIELD NOT APPLICABLE"), " ", _xll.BDP($AX47,"RR903"))</f>
        <v>12.790893065287623</v>
      </c>
      <c r="N47" s="26" cm="1">
        <f t="array" ref="N47">IF(OR(_xll.BDP($AX47,"RR957")= "#N/A N/A", _xll.BDP($AX47,"RR957")="#N/A FIELD NOT APPLICABLE"), " ", _xll.BDP($AX47,"RR957"))</f>
        <v>18.2550111831805</v>
      </c>
      <c r="O47" s="27">
        <v>160</v>
      </c>
      <c r="P47" s="28">
        <v>461.56769000000003</v>
      </c>
      <c r="Q47" s="22" cm="1">
        <f t="array" ref="Q47">IF(OR(_xll.BDP($AX47,"PX_last")="#N/A N/A",_xll.BDP($AX47,"PX_Last")="#N/A FIELD NOT APPLICABLE")," ",IF(F47="GBP",(_xll.BDP($AX47,"PX_LAST")/100),(_xll.BDP($AX47,"PX_LAST"))))</f>
        <v>384.79</v>
      </c>
      <c r="R47" s="29">
        <f>IF(F47="USD",AA47,(((_xll.BDP(F47&amp;"USD CURNCY","PX_LAST")))*AA47))</f>
        <v>73850.830400000006</v>
      </c>
      <c r="S47" s="29">
        <f>IF(F47="USD",AB47,(((_xll.BDP(F47&amp;"USD CURNCY","PX_LAST")))*AB47))</f>
        <v>61566.400000000001</v>
      </c>
      <c r="T47" s="12">
        <f>S47-R47</f>
        <v>-12284.430400000005</v>
      </c>
      <c r="U47" s="13">
        <f>IFERROR(T47/R47,0)</f>
        <v>-0.16634112756029354</v>
      </c>
      <c r="V47" s="13" cm="1">
        <f t="array" ref="V47">IFERROR(_xll.BDP($G47&amp;" Equity","CHG_PCT_1D")/100,"")</f>
        <v>1.0470790000000001E-2</v>
      </c>
      <c r="W47" s="13" cm="1">
        <f t="array" ref="W47">IFERROR(_xll.BDP($G47&amp;" Equity","CHG_PCT_5D")/100,"")</f>
        <v>3.792657E-2</v>
      </c>
      <c r="X47" s="13" t="e">
        <f>S47/#REF!</f>
        <v>#REF!</v>
      </c>
      <c r="Y47" s="24">
        <f>IFERROR(S47*J47,0)</f>
        <v>0</v>
      </c>
      <c r="Z47" s="24">
        <f>S47</f>
        <v>61566.400000000001</v>
      </c>
      <c r="AA47" s="29">
        <f>P47*O47</f>
        <v>73850.830400000006</v>
      </c>
      <c r="AB47" s="29">
        <f>IFERROR(O47*Q47,0)</f>
        <v>61566.400000000001</v>
      </c>
      <c r="AC47" s="4" t="e" cm="1">
        <f t="array" ref="AC47">VLOOKUP(IF(NOT(_xll.BDP(AX47,$BW$8)="#N/A N/A"),(_xll.BDP(AX47,$BW$8)),"-"), '[1]Country Codes'!$A$2:$B$253,2,0)</f>
        <v>#N/A</v>
      </c>
      <c r="AD47" s="30" t="str" cm="1">
        <f t="array" ref="AD47">IF(OR(_xll.BDP($AX47,"EX028")= "#N/A N/A", _xll.BDP($AX47,"EX028")="#N/A FIELD NOT APPLICABLE"), " ", _xll.BDP($AX47,"EX028"))</f>
        <v>Equity</v>
      </c>
      <c r="AE47" s="31" t="str">
        <f>IF(("AS97"="Equity"), " ", "Single Line Equity")</f>
        <v>Single Line Equity</v>
      </c>
      <c r="AF47" s="26" cm="1">
        <f t="array" ref="AF47">IF(OR(_xll.BDP($AX47,"RR908")= "#N/A N/A", _xll.BDP($AX47,"RR908")="#N/A FIELD NOT APPLICABLE"), " ", _xll.BDP($AX47,"RR908"))</f>
        <v>18.181148793007175</v>
      </c>
      <c r="AG47" s="26" cm="1">
        <f t="array" ref="AG47">IF(OR(_xll.BDP($AX47,"RR041")= "#N/A N/A", _xll.BDP($AX47,"RR041")="#N/A FIELD NOT APPLICABLE"), " ", _xll.BDP($AX47,"RR041"))</f>
        <v>20.033079722130335</v>
      </c>
      <c r="AH47" s="22">
        <f>_xll.BDP(AX47,"TOT_BUY_REC")</f>
        <v>33</v>
      </c>
      <c r="AI47" s="22">
        <f>_xll.BDP(AX47,"TOT_HOLD_REC")</f>
        <v>15</v>
      </c>
      <c r="AJ47" s="22">
        <f>_xll.BDP(AX47,"TOT_SELL_REC")</f>
        <v>1</v>
      </c>
      <c r="AK47" s="26" cm="1">
        <f t="array" ref="AK47">IF(OR(_xll.BDP($AX47,"EE201")= "#N/A N/A", _xll.BDP($AX47,"EE201")="#N/A FIELD NOT APPLICABLE"), " ", _xll.BDP($AX47,"EE201"))</f>
        <v>4.3265304565429688</v>
      </c>
      <c r="AL47" s="24">
        <f>_xll.BDP(AX47,"BEST_TARGET_PRICE")</f>
        <v>504.35513305664063</v>
      </c>
      <c r="AM47" s="32">
        <f>(AL47/Q47)-1</f>
        <v>0.31072827531027469</v>
      </c>
      <c r="AN47" s="32">
        <f>_xll.BDP(AX47,"PR061")/100</f>
        <v>0.1030739</v>
      </c>
      <c r="AO47" s="32">
        <f>_xll.BDP(AX47,"PR064")/100</f>
        <v>-0.1156408</v>
      </c>
      <c r="AP47" s="32">
        <f>_xll.BDP(AX47,"CHG_PCT_6M")/100</f>
        <v>-0.23726800000000001</v>
      </c>
      <c r="AQ47" s="25">
        <f>_xll.BDP(AX47,"PR079")/100</f>
        <v>-0.1340964</v>
      </c>
      <c r="AR47" s="33">
        <f>_xll.BDP(AX47,"hs001")</f>
        <v>587.75</v>
      </c>
      <c r="AS47" s="33">
        <f>_xll.BDP(AX47,"hs002")</f>
        <v>332.01</v>
      </c>
      <c r="AT47" s="22" t="str" cm="1">
        <f t="array" ref="AT47">IF(OR(_xll.BDP($AX47,"DX202")= "#N/A N/A", _xll.BDP($AX47,"DX202")="#N/A FIELD NOT APPLICABLE"), " ", _xll.BDP($AX47,"DX202"))</f>
        <v>Information Technology</v>
      </c>
      <c r="AU47" s="22" t="str" cm="1">
        <f t="array" ref="AU47">IF(OR(_xll.BDP($AX47,"DY997")= "#N/A N/A", _xll.BDP($AX47,"DY997")="#N/A FIELD NOT APPLICABLE"), " ", _xll.BDP($AX47,"DY997"))</f>
        <v>Y</v>
      </c>
      <c r="AV47" s="22" t="str" cm="1">
        <f t="array" ref="AV47">IF(OR(_xll.BDP($AX47,"DY784")= "#N/A N/A", _xll.BDP($AX47,"DY784")="#N/A FIELD NOT APPLICABLE"), " ", _xll.BDP($AX47,"DY784"))</f>
        <v>Y</v>
      </c>
      <c r="AW47" s="22" t="str">
        <f>IF(OR(AU47="Y",AV47="Y"),"Y","N")</f>
        <v>Y</v>
      </c>
      <c r="AX47" s="22" t="str">
        <f>CONCATENATE(G47," ",$AX$2)</f>
        <v>ADBE US Equity</v>
      </c>
      <c r="BC47" s="17"/>
      <c r="BD47" s="17"/>
      <c r="BE47" s="18"/>
      <c r="BF47" s="19"/>
      <c r="BG47" s="20"/>
    </row>
    <row r="48" spans="1:59" s="3" customFormat="1" ht="14.45" customHeight="1" x14ac:dyDescent="0.25">
      <c r="A48" s="49" t="s">
        <v>241</v>
      </c>
      <c r="B48" s="49" t="s">
        <v>273</v>
      </c>
      <c r="C48" s="49">
        <v>2620058.003</v>
      </c>
      <c r="D48" s="49" t="s">
        <v>240</v>
      </c>
      <c r="E48" s="22" t="str">
        <f>_xll.BDP(AX48,"SECURITY NAME")</f>
        <v>Adobe Inc</v>
      </c>
      <c r="F48" s="22" t="str">
        <f>_xll.BDP(AX48,"CRNCY")</f>
        <v>USD</v>
      </c>
      <c r="G48" s="23" t="s">
        <v>330</v>
      </c>
      <c r="H48" s="22" t="str" cm="1">
        <f t="array" ref="H48">IF(OR(_xll.BDP($AX48,"DX202")= "#N/A N/A", _xll.BDP($AX48,"DX202")="#N/A FIELD NOT APPLICABLE"), " ", _xll.BDP($AX48,"DX202"))</f>
        <v>Information Technology</v>
      </c>
      <c r="I48" s="24"/>
      <c r="J48" s="25">
        <f>IFERROR(_xll.BDP(AX48, "DV013")/100,0)</f>
        <v>0</v>
      </c>
      <c r="K48" s="26" cm="1">
        <f t="array" ref="K48">IF(OR(_xll.BDP($AX48,"RR900")= "#N/A N/A", _xll.BDP($AX48,"RR900")="#N/A FIELD NOT APPLICABLE"), " ", _xll.BDP($AX48,"RR900"))</f>
        <v>25.391923765072026</v>
      </c>
      <c r="L48" s="26" cm="1">
        <f t="array" ref="L48">IF(OR(_xll.BDP($AX48,"EE010")= "#N/A N/A", _xll.BDP($AX48,"EE010")="#N/A FIELD NOT APPLICABLE"), " ", _xll.BDP($AX48,"EE010"))</f>
        <v>16.836466987319632</v>
      </c>
      <c r="M48" s="26" cm="1">
        <f t="array" ref="M48">IF(OR(_xll.BDP($AX48,"RR903")= "#N/A N/A", _xll.BDP($AX48,"RR903")="#N/A FIELD NOT APPLICABLE"), " ", _xll.BDP($AX48,"RR903"))</f>
        <v>12.790893065287623</v>
      </c>
      <c r="N48" s="26" cm="1">
        <f t="array" ref="N48">IF(OR(_xll.BDP($AX48,"RR957")= "#N/A N/A", _xll.BDP($AX48,"RR957")="#N/A FIELD NOT APPLICABLE"), " ", _xll.BDP($AX48,"RR957"))</f>
        <v>18.2550111831805</v>
      </c>
      <c r="O48" s="27">
        <v>110</v>
      </c>
      <c r="P48" s="28">
        <v>461.56763999999998</v>
      </c>
      <c r="Q48" s="22" cm="1">
        <f t="array" ref="Q48">IF(OR(_xll.BDP($AX48,"PX_last")="#N/A N/A",_xll.BDP($AX48,"PX_Last")="#N/A FIELD NOT APPLICABLE")," ",IF(F48="GBP",(_xll.BDP($AX48,"PX_LAST")/100),(_xll.BDP($AX48,"PX_LAST"))))</f>
        <v>384.79</v>
      </c>
      <c r="R48" s="29">
        <f>IF(F48="USD",AA48,(((_xll.BDP(F48&amp;"USD CURNCY","PX_LAST")))*AA48))</f>
        <v>50772.440399999999</v>
      </c>
      <c r="S48" s="29">
        <f>IF(F48="USD",AB48,(((_xll.BDP(F48&amp;"USD CURNCY","PX_LAST")))*AB48))</f>
        <v>42326.9</v>
      </c>
      <c r="T48" s="12">
        <f>S48-R48</f>
        <v>-8445.540399999998</v>
      </c>
      <c r="U48" s="13">
        <f>T48/R48</f>
        <v>-0.16634103725295815</v>
      </c>
      <c r="V48" s="13" cm="1">
        <f t="array" ref="V48">IFERROR(_xll.BDP($G48&amp;" Equity","CHG_PCT_1D")/100,"")</f>
        <v>1.0470790000000001E-2</v>
      </c>
      <c r="W48" s="13" cm="1">
        <f t="array" ref="W48">IFERROR(_xll.BDP($G48&amp;" Equity","CHG_PCT_5D")/100,"")</f>
        <v>3.792657E-2</v>
      </c>
      <c r="X48" s="13" t="e">
        <f>S48/#REF!</f>
        <v>#REF!</v>
      </c>
      <c r="Y48" s="24">
        <f>IFERROR(S48*J48,0)</f>
        <v>0</v>
      </c>
      <c r="Z48" s="24">
        <f>S48</f>
        <v>42326.9</v>
      </c>
      <c r="AA48" s="29">
        <f>P48*O48</f>
        <v>50772.440399999999</v>
      </c>
      <c r="AB48" s="29">
        <f>IFERROR(O48*Q48,0)</f>
        <v>42326.9</v>
      </c>
      <c r="AC48" s="4" t="e" cm="1">
        <f t="array" ref="AC48">VLOOKUP(IF(NOT(_xll.BDP(AX48,$BW$8)="#N/A N/A"),(_xll.BDP(AX48,$BW$8)),"-"), '[1]Country Codes'!$A$2:$B$253,2,0)</f>
        <v>#N/A</v>
      </c>
      <c r="AD48" s="30" t="str" cm="1">
        <f t="array" ref="AD48">IF(OR(_xll.BDP($AX48,"EX028")= "#N/A N/A", _xll.BDP($AX48,"EX028")="#N/A FIELD NOT APPLICABLE"), " ", _xll.BDP($AX48,"EX028"))</f>
        <v>Equity</v>
      </c>
      <c r="AE48" s="31" t="str">
        <f>IF(("AS97"="Equity"), " ", "Single Line Equity")</f>
        <v>Single Line Equity</v>
      </c>
      <c r="AF48" s="26" cm="1">
        <f t="array" ref="AF48">IF(OR(_xll.BDP($AX48,"RR908")= "#N/A N/A", _xll.BDP($AX48,"RR908")="#N/A FIELD NOT APPLICABLE"), " ", _xll.BDP($AX48,"RR908"))</f>
        <v>18.181148793007175</v>
      </c>
      <c r="AG48" s="26" cm="1">
        <f t="array" ref="AG48">IF(OR(_xll.BDP($AX48,"RR041")= "#N/A N/A", _xll.BDP($AX48,"RR041")="#N/A FIELD NOT APPLICABLE"), " ", _xll.BDP($AX48,"RR041"))</f>
        <v>20.033079722130335</v>
      </c>
      <c r="AH48" s="22">
        <f>_xll.BDP(AX48,"TOT_BUY_REC")</f>
        <v>33</v>
      </c>
      <c r="AI48" s="22">
        <f>_xll.BDP(AX48,"TOT_HOLD_REC")</f>
        <v>15</v>
      </c>
      <c r="AJ48" s="22">
        <f>_xll.BDP(AX48,"TOT_SELL_REC")</f>
        <v>1</v>
      </c>
      <c r="AK48" s="26" cm="1">
        <f t="array" ref="AK48">IF(OR(_xll.BDP($AX48,"EE201")= "#N/A N/A", _xll.BDP($AX48,"EE201")="#N/A FIELD NOT APPLICABLE"), " ", _xll.BDP($AX48,"EE201"))</f>
        <v>4.3265304565429688</v>
      </c>
      <c r="AL48" s="24">
        <f>_xll.BDP(AX48,"BEST_TARGET_PRICE")</f>
        <v>504.35513305664063</v>
      </c>
      <c r="AM48" s="32">
        <f>(AL48/Q48)-1</f>
        <v>0.31072827531027469</v>
      </c>
      <c r="AN48" s="32">
        <f>_xll.BDP(AX48,"PR061")/100</f>
        <v>0.1030739</v>
      </c>
      <c r="AO48" s="32">
        <f>_xll.BDP(AX48,"PR064")/100</f>
        <v>-0.1156408</v>
      </c>
      <c r="AP48" s="32">
        <f>_xll.BDP(AX48,"CHG_PCT_6M")/100</f>
        <v>-0.23726800000000001</v>
      </c>
      <c r="AQ48" s="25">
        <f>_xll.BDP(AX48,"PR079")/100</f>
        <v>-0.1340964</v>
      </c>
      <c r="AR48" s="33">
        <f>_xll.BDP(AX48,"hs001")</f>
        <v>587.75</v>
      </c>
      <c r="AS48" s="33">
        <f>_xll.BDP(AX48,"hs002")</f>
        <v>332.01</v>
      </c>
      <c r="AT48" s="22" t="str" cm="1">
        <f t="array" ref="AT48">IF(OR(_xll.BDP($AX48,"DX202")= "#N/A N/A", _xll.BDP($AX48,"DX202")="#N/A FIELD NOT APPLICABLE"), " ", _xll.BDP($AX48,"DX202"))</f>
        <v>Information Technology</v>
      </c>
      <c r="AU48" s="22" t="str" cm="1">
        <f t="array" ref="AU48">IF(OR(_xll.BDP($AX48,"DY997")= "#N/A N/A", _xll.BDP($AX48,"DY997")="#N/A FIELD NOT APPLICABLE"), " ", _xll.BDP($AX48,"DY997"))</f>
        <v>Y</v>
      </c>
      <c r="AV48" s="22" t="str" cm="1">
        <f t="array" ref="AV48">IF(OR(_xll.BDP($AX48,"DY784")= "#N/A N/A", _xll.BDP($AX48,"DY784")="#N/A FIELD NOT APPLICABLE"), " ", _xll.BDP($AX48,"DY784"))</f>
        <v>Y</v>
      </c>
      <c r="AW48" s="22" t="str">
        <f>IF(OR(AU48="Y",AV48="Y"),"Y","N")</f>
        <v>Y</v>
      </c>
      <c r="AX48" s="22" t="str">
        <f>CONCATENATE(G48," ",$AX$2)</f>
        <v>ADBE US Equity</v>
      </c>
      <c r="BC48" s="17"/>
      <c r="BD48" s="17"/>
      <c r="BE48" s="18"/>
      <c r="BF48" s="19"/>
      <c r="BG48" s="20"/>
    </row>
    <row r="49" spans="1:59" s="3" customFormat="1" ht="14.45" customHeight="1" x14ac:dyDescent="0.25">
      <c r="A49" s="49" t="s">
        <v>241</v>
      </c>
      <c r="B49" s="49" t="s">
        <v>276</v>
      </c>
      <c r="C49" s="49" t="s">
        <v>277</v>
      </c>
      <c r="D49" s="49" t="s">
        <v>240</v>
      </c>
      <c r="E49" s="22" t="str">
        <f>_xll.BDP(AX49,"SECURITY NAME")</f>
        <v>Adobe Inc</v>
      </c>
      <c r="F49" s="22" t="str">
        <f>_xll.BDP(AX49,"CRNCY")</f>
        <v>USD</v>
      </c>
      <c r="G49" s="23" t="s">
        <v>330</v>
      </c>
      <c r="H49" s="22" t="str" cm="1">
        <f t="array" ref="H49">IF(OR(_xll.BDP($AX49,"DX202")= "#N/A N/A", _xll.BDP($AX49,"DX202")="#N/A FIELD NOT APPLICABLE"), " ", _xll.BDP($AX49,"DX202"))</f>
        <v>Information Technology</v>
      </c>
      <c r="I49" s="24">
        <f>_xll.BDP(AX49,"CRNCY_ADJ_MKT_CAP", "EQY_FUND_CRNCY=USD")/1000</f>
        <v>164.10831000000002</v>
      </c>
      <c r="J49" s="25">
        <f>IFERROR(_xll.BDP(AX49, "DV013")/100,0)</f>
        <v>0</v>
      </c>
      <c r="K49" s="26" cm="1">
        <f t="array" ref="K49">IF(OR(_xll.BDP($AX49,"RR900")= "#N/A N/A", _xll.BDP($AX49,"RR900")="#N/A FIELD NOT APPLICABLE"), " ", _xll.BDP($AX49,"RR900"))</f>
        <v>25.391923765072026</v>
      </c>
      <c r="L49" s="26" cm="1">
        <f t="array" ref="L49">IF(OR(_xll.BDP($AX49,"EE010")= "#N/A N/A", _xll.BDP($AX49,"EE010")="#N/A FIELD NOT APPLICABLE"), " ", _xll.BDP($AX49,"EE010"))</f>
        <v>16.836466987319632</v>
      </c>
      <c r="M49" s="26" cm="1">
        <f t="array" ref="M49">IF(OR(_xll.BDP($AX49,"RR903")= "#N/A N/A", _xll.BDP($AX49,"RR903")="#N/A FIELD NOT APPLICABLE"), " ", _xll.BDP($AX49,"RR903"))</f>
        <v>12.790893065287623</v>
      </c>
      <c r="N49" s="26" cm="1">
        <f t="array" ref="N49">IF(OR(_xll.BDP($AX49,"RR957")= "#N/A N/A", _xll.BDP($AX49,"RR957")="#N/A FIELD NOT APPLICABLE"), " ", _xll.BDP($AX49,"RR957"))</f>
        <v>18.2550111831805</v>
      </c>
      <c r="O49" s="27">
        <v>215</v>
      </c>
      <c r="P49" s="28">
        <v>461.56767000000002</v>
      </c>
      <c r="Q49" s="22" cm="1">
        <f t="array" ref="Q49">IF(OR(_xll.BDP($AX49,"PX_last")="#N/A N/A",_xll.BDP($AX49,"PX_Last")="#N/A FIELD NOT APPLICABLE")," ",IF(F49="GBP",(_xll.BDP($AX49,"PX_LAST")/100),(_xll.BDP($AX49,"PX_LAST"))))</f>
        <v>384.79</v>
      </c>
      <c r="R49" s="29">
        <f>IF(F49="USD",AA49,(((_xll.BDP(F49&amp;"USD CURNCY","PX_LAST")))*AA49))</f>
        <v>99237.049050000001</v>
      </c>
      <c r="S49" s="29">
        <f>IF(F49="USD",AB49,(((_xll.BDP(F49&amp;"USD CURNCY","PX_LAST")))*AB49))</f>
        <v>82729.850000000006</v>
      </c>
      <c r="T49" s="12">
        <f>S49-R49</f>
        <v>-16507.199049999996</v>
      </c>
      <c r="U49" s="13">
        <f>T49/R49</f>
        <v>-0.16634109143736167</v>
      </c>
      <c r="V49" s="13" cm="1">
        <f t="array" ref="V49">IFERROR(_xll.BDP($G49&amp;" Equity","CHG_PCT_1D")/100,"")</f>
        <v>1.0470790000000001E-2</v>
      </c>
      <c r="W49" s="13" cm="1">
        <f t="array" ref="W49">IFERROR(_xll.BDP($G49&amp;" Equity","CHG_PCT_5D")/100,"")</f>
        <v>3.792657E-2</v>
      </c>
      <c r="X49" s="13" t="e">
        <f>S49/#REF!</f>
        <v>#REF!</v>
      </c>
      <c r="Y49" s="24">
        <f>IFERROR(S49*J49,0)</f>
        <v>0</v>
      </c>
      <c r="Z49" s="24">
        <f>S49</f>
        <v>82729.850000000006</v>
      </c>
      <c r="AA49" s="29">
        <f>P49*O49</f>
        <v>99237.049050000001</v>
      </c>
      <c r="AB49" s="29">
        <f>IFERROR(O49*Q49,0)</f>
        <v>82729.850000000006</v>
      </c>
      <c r="AC49" s="4" t="e" cm="1">
        <f t="array" ref="AC49">VLOOKUP(IF(NOT(_xll.BDP(AX49,$BW$8)="#N/A N/A"),(_xll.BDP(AX49,$BW$8)),"-"), '[1]Country Codes'!$A$2:$B$253,2,0)</f>
        <v>#N/A</v>
      </c>
      <c r="AD49" s="30" t="str" cm="1">
        <f t="array" ref="AD49">IF(OR(_xll.BDP($AX49,"EX028")= "#N/A N/A", _xll.BDP($AX49,"EX028")="#N/A FIELD NOT APPLICABLE"), " ", _xll.BDP($AX49,"EX028"))</f>
        <v>Equity</v>
      </c>
      <c r="AE49" s="31" t="str">
        <f>IF(("AS97"="Equity"), " ", "Single Line Equity")</f>
        <v>Single Line Equity</v>
      </c>
      <c r="AF49" s="26" cm="1">
        <f t="array" ref="AF49">IF(OR(_xll.BDP($AX49,"RR908")= "#N/A N/A", _xll.BDP($AX49,"RR908")="#N/A FIELD NOT APPLICABLE"), " ", _xll.BDP($AX49,"RR908"))</f>
        <v>18.181148793007175</v>
      </c>
      <c r="AG49" s="26" cm="1">
        <f t="array" ref="AG49">IF(OR(_xll.BDP($AX49,"RR041")= "#N/A N/A", _xll.BDP($AX49,"RR041")="#N/A FIELD NOT APPLICABLE"), " ", _xll.BDP($AX49,"RR041"))</f>
        <v>20.033079722130335</v>
      </c>
      <c r="AH49" s="22">
        <f>_xll.BDP(AX49,"TOT_BUY_REC")</f>
        <v>33</v>
      </c>
      <c r="AI49" s="22">
        <f>_xll.BDP(AX49,"TOT_HOLD_REC")</f>
        <v>15</v>
      </c>
      <c r="AJ49" s="22">
        <f>_xll.BDP(AX49,"TOT_SELL_REC")</f>
        <v>1</v>
      </c>
      <c r="AK49" s="26" cm="1">
        <f t="array" ref="AK49">IF(OR(_xll.BDP($AX49,"EE201")= "#N/A N/A", _xll.BDP($AX49,"EE201")="#N/A FIELD NOT APPLICABLE"), " ", _xll.BDP($AX49,"EE201"))</f>
        <v>4.3265304565429688</v>
      </c>
      <c r="AL49" s="24">
        <f>_xll.BDP(AX49,"BEST_TARGET_PRICE")</f>
        <v>504.35513305664063</v>
      </c>
      <c r="AM49" s="32">
        <f>(AL49/Q49)-1</f>
        <v>0.31072827531027469</v>
      </c>
      <c r="AN49" s="32">
        <f>_xll.BDP(AX49,"PR061")/100</f>
        <v>0.1030739</v>
      </c>
      <c r="AO49" s="32">
        <f>_xll.BDP(AX49,"PR064")/100</f>
        <v>-0.1156408</v>
      </c>
      <c r="AP49" s="32">
        <f>_xll.BDP(AX49,"CHG_PCT_6M")/100</f>
        <v>-0.23726800000000001</v>
      </c>
      <c r="AQ49" s="25">
        <f>_xll.BDP(AX49,"PR079")/100</f>
        <v>-0.1340964</v>
      </c>
      <c r="AR49" s="33">
        <f>_xll.BDP(AX49,"hs001")</f>
        <v>587.75</v>
      </c>
      <c r="AS49" s="33">
        <f>_xll.BDP(AX49,"hs002")</f>
        <v>332.01</v>
      </c>
      <c r="AT49" s="22" t="str" cm="1">
        <f t="array" ref="AT49">IF(OR(_xll.BDP($AX49,"DX202")= "#N/A N/A", _xll.BDP($AX49,"DX202")="#N/A FIELD NOT APPLICABLE"), " ", _xll.BDP($AX49,"DX202"))</f>
        <v>Information Technology</v>
      </c>
      <c r="AU49" s="22" t="str" cm="1">
        <f t="array" ref="AU49">IF(OR(_xll.BDP($AX49,"DY997")= "#N/A N/A", _xll.BDP($AX49,"DY997")="#N/A FIELD NOT APPLICABLE"), " ", _xll.BDP($AX49,"DY997"))</f>
        <v>Y</v>
      </c>
      <c r="AV49" s="22" t="str" cm="1">
        <f t="array" ref="AV49">IF(OR(_xll.BDP($AX49,"DY784")= "#N/A N/A", _xll.BDP($AX49,"DY784")="#N/A FIELD NOT APPLICABLE"), " ", _xll.BDP($AX49,"DY784"))</f>
        <v>Y</v>
      </c>
      <c r="AW49" s="22" t="str">
        <f>IF(OR(AU49="Y",AV49="Y"),"Y","N")</f>
        <v>Y</v>
      </c>
      <c r="AX49" s="22" t="str">
        <f>CONCATENATE(G49," ",$AX$2)</f>
        <v>ADBE US Equity</v>
      </c>
      <c r="BC49" s="17"/>
      <c r="BD49" s="17"/>
      <c r="BE49" s="18"/>
      <c r="BF49" s="19"/>
      <c r="BG49" s="20"/>
    </row>
    <row r="50" spans="1:59" s="3" customFormat="1" ht="14.45" customHeight="1" x14ac:dyDescent="0.25">
      <c r="A50" s="49" t="s">
        <v>242</v>
      </c>
      <c r="B50" s="49" t="s">
        <v>246</v>
      </c>
      <c r="C50" s="49" t="s">
        <v>247</v>
      </c>
      <c r="D50" s="49" t="s">
        <v>248</v>
      </c>
      <c r="E50" s="22" t="str">
        <f>_xll.BDP(AX50,"SECURITY NAME")</f>
        <v>Amazon.com Inc</v>
      </c>
      <c r="F50" s="22" t="str">
        <f>_xll.BDP(AX50,"CRNCY")</f>
        <v>USD</v>
      </c>
      <c r="G50" s="23" t="s">
        <v>138</v>
      </c>
      <c r="H50" s="22" t="str" cm="1">
        <f t="array" ref="H50">IF(OR(_xll.BDP($AX50,"DX202")= "#N/A N/A", _xll.BDP($AX50,"DX202")="#N/A FIELD NOT APPLICABLE"), " ", _xll.BDP($AX50,"DX202"))</f>
        <v>Consumer Discretionary</v>
      </c>
      <c r="I50" s="24">
        <f>_xll.BDP(AX50,"CRNCY_ADJ_MKT_CAP", "EQY_FUND_CRNCY=USD")/1000</f>
        <v>1979.4189062851499</v>
      </c>
      <c r="J50" s="25">
        <f>IFERROR(_xll.BDP(AX50, "DV013")/100,0)</f>
        <v>0</v>
      </c>
      <c r="K50" s="26" cm="1">
        <f t="array" ref="K50">IF(OR(_xll.BDP($AX50,"RR900")= "#N/A N/A", _xll.BDP($AX50,"RR900")="#N/A FIELD NOT APPLICABLE"), " ", _xll.BDP($AX50,"RR900"))</f>
        <v>30.623718507884238</v>
      </c>
      <c r="L50" s="26" cm="1">
        <f t="array" ref="L50">IF(OR(_xll.BDP($AX50,"EE010")= "#N/A N/A", _xll.BDP($AX50,"EE010")="#N/A FIELD NOT APPLICABLE"), " ", _xll.BDP($AX50,"EE010"))</f>
        <v>23.218555417185556</v>
      </c>
      <c r="M50" s="26" cm="1">
        <f t="array" ref="M50">IF(OR(_xll.BDP($AX50,"RR903")= "#N/A N/A", _xll.BDP($AX50,"RR903")="#N/A FIELD NOT APPLICABLE"), " ", _xll.BDP($AX50,"RR903"))</f>
        <v>6.4692852211318437</v>
      </c>
      <c r="N50" s="26" cm="1">
        <f t="array" ref="N50">IF(OR(_xll.BDP($AX50,"RR957")= "#N/A N/A", _xll.BDP($AX50,"RR957")="#N/A FIELD NOT APPLICABLE"), " ", _xll.BDP($AX50,"RR957"))</f>
        <v>14.596681090415066</v>
      </c>
      <c r="O50" s="27">
        <v>400</v>
      </c>
      <c r="P50" s="28">
        <v>156.49</v>
      </c>
      <c r="Q50" s="22" cm="1">
        <f t="array" ref="Q50">IF(OR(_xll.BDP($AX50,"PX_last")="#N/A N/A",_xll.BDP($AX50,"PX_Last")="#N/A FIELD NOT APPLICABLE")," ",IF(F50="GBP",(_xll.BDP($AX50,"PX_LAST")/100),(_xll.BDP($AX50,"PX_LAST"))))</f>
        <v>186.44499999999999</v>
      </c>
      <c r="R50" s="29">
        <f>IF(F50="USD",AA50,(((_xll.BDP(F50&amp;"USD CURNCY","PX_LAST")))*AA50))</f>
        <v>62596</v>
      </c>
      <c r="S50" s="29">
        <f>IF(F50="USD",AB50,(((_xll.BDP(F50&amp;"USD CURNCY","PX_LAST")))*AB50))</f>
        <v>74578</v>
      </c>
      <c r="T50" s="12">
        <f>S50-R50</f>
        <v>11982</v>
      </c>
      <c r="U50" s="13">
        <f>T50/R50</f>
        <v>0.19141798197967921</v>
      </c>
      <c r="V50" s="13" cm="1">
        <f t="array" ref="V50">IFERROR(_xll.BDP($G50&amp;" Equity","CHG_PCT_1D")/100,"")</f>
        <v>5.0979339999999995E-4</v>
      </c>
      <c r="W50" s="13" cm="1">
        <f t="array" ref="W50">IFERROR(_xll.BDP($G50&amp;" Equity","CHG_PCT_5D")/100,"")</f>
        <v>-5.0429590000000005E-3</v>
      </c>
      <c r="X50" s="13" t="e">
        <f>S50/#REF!</f>
        <v>#REF!</v>
      </c>
      <c r="Y50" s="24">
        <f>IFERROR(S50*J50,0)</f>
        <v>0</v>
      </c>
      <c r="Z50" s="24">
        <f>S50</f>
        <v>74578</v>
      </c>
      <c r="AA50" s="29">
        <f>P50*O50</f>
        <v>62596</v>
      </c>
      <c r="AB50" s="29">
        <f>IFERROR(O50*Q50,0)</f>
        <v>74578</v>
      </c>
      <c r="AC50" s="4" t="e" cm="1">
        <f t="array" ref="AC50">VLOOKUP(IF(NOT(_xll.BDP(AX50,$BW$8)="#N/A N/A"),(_xll.BDP(AX50,$BW$8)),"-"), '[1]Country Codes'!$A$2:$B$253,2,0)</f>
        <v>#N/A</v>
      </c>
      <c r="AD50" s="30" t="str" cm="1">
        <f t="array" ref="AD50">IF(OR(_xll.BDP($AX50,"EX028")= "#N/A N/A", _xll.BDP($AX50,"EX028")="#N/A FIELD NOT APPLICABLE"), " ", _xll.BDP($AX50,"EX028"))</f>
        <v>Equity</v>
      </c>
      <c r="AE50" s="31" t="str">
        <f>IF(("AS97"="Equity"), " ", "Single Line Equity")</f>
        <v>Single Line Equity</v>
      </c>
      <c r="AF50" s="26" cm="1">
        <f t="array" ref="AF50">IF(OR(_xll.BDP($AX50,"RR908")= "#N/A N/A", _xll.BDP($AX50,"RR908")="#N/A FIELD NOT APPLICABLE"), " ", _xll.BDP($AX50,"RR908"))</f>
        <v>17.22717929756837</v>
      </c>
      <c r="AG50" s="26" cm="1">
        <f t="array" ref="AG50">IF(OR(_xll.BDP($AX50,"RR041")= "#N/A N/A", _xll.BDP($AX50,"RR041")="#N/A FIELD NOT APPLICABLE"), " ", _xll.BDP($AX50,"RR041"))</f>
        <v>23.658092412473156</v>
      </c>
      <c r="AH50" s="22">
        <f>_xll.BDP(AX50,"TOT_BUY_REC")</f>
        <v>77</v>
      </c>
      <c r="AI50" s="22">
        <f>_xll.BDP(AX50,"TOT_HOLD_REC")</f>
        <v>6</v>
      </c>
      <c r="AJ50" s="22">
        <f>_xll.BDP(AX50,"TOT_SELL_REC")</f>
        <v>0</v>
      </c>
      <c r="AK50" s="26" cm="1">
        <f t="array" ref="AK50">IF(OR(_xll.BDP($AX50,"EE201")= "#N/A N/A", _xll.BDP($AX50,"EE201")="#N/A FIELD NOT APPLICABLE"), " ", _xll.BDP($AX50,"EE201"))</f>
        <v>4.8072290420532227</v>
      </c>
      <c r="AL50" s="24">
        <f>_xll.BDP(AX50,"BEST_TARGET_PRICE")</f>
        <v>241.54289245605469</v>
      </c>
      <c r="AM50" s="32">
        <f>(AL50/Q50)-1</f>
        <v>0.29551820888763269</v>
      </c>
      <c r="AN50" s="32">
        <f>_xll.BDP(AX50,"PR061")/100</f>
        <v>9.0321639999999995E-2</v>
      </c>
      <c r="AO50" s="32">
        <f>_xll.BDP(AX50,"PR064")/100</f>
        <v>-0.21934010000000001</v>
      </c>
      <c r="AP50" s="32">
        <f>_xll.BDP(AX50,"CHG_PCT_6M")/100</f>
        <v>-9.9690940000000006E-2</v>
      </c>
      <c r="AQ50" s="25">
        <f>_xll.BDP(AX50,"PR079")/100</f>
        <v>-0.15016640000000001</v>
      </c>
      <c r="AR50" s="33">
        <f>_xll.BDP(AX50,"hs001")</f>
        <v>242.52</v>
      </c>
      <c r="AS50" s="33">
        <f>_xll.BDP(AX50,"hs002")</f>
        <v>151.61000000000001</v>
      </c>
      <c r="AT50" s="22" t="str" cm="1">
        <f t="array" ref="AT50">IF(OR(_xll.BDP($AX50,"DX202")= "#N/A N/A", _xll.BDP($AX50,"DX202")="#N/A FIELD NOT APPLICABLE"), " ", _xll.BDP($AX50,"DX202"))</f>
        <v>Consumer Discretionary</v>
      </c>
      <c r="AU50" s="22" t="str" cm="1">
        <f t="array" ref="AU50">IF(OR(_xll.BDP($AX50,"DY997")= "#N/A N/A", _xll.BDP($AX50,"DY997")="#N/A FIELD NOT APPLICABLE"), " ", _xll.BDP($AX50,"DY997"))</f>
        <v>N</v>
      </c>
      <c r="AV50" s="22" t="str" cm="1">
        <f t="array" ref="AV50">IF(OR(_xll.BDP($AX50,"DY784")= "#N/A N/A", _xll.BDP($AX50,"DY784")="#N/A FIELD NOT APPLICABLE"), " ", _xll.BDP($AX50,"DY784"))</f>
        <v>N</v>
      </c>
      <c r="AW50" s="22" t="str">
        <f>IF(OR(AU50="Y",AV50="Y"),"Y","N")</f>
        <v>N</v>
      </c>
      <c r="AX50" s="22" t="str">
        <f>CONCATENATE(G50," ",$AX$2)</f>
        <v>AMZN  US Equity</v>
      </c>
      <c r="BC50" s="17"/>
      <c r="BD50" s="17"/>
      <c r="BE50" s="18"/>
      <c r="BF50" s="19"/>
      <c r="BG50" s="20"/>
    </row>
    <row r="51" spans="1:59" s="3" customFormat="1" ht="14.45" customHeight="1" x14ac:dyDescent="0.25">
      <c r="A51" s="49" t="s">
        <v>241</v>
      </c>
      <c r="B51" s="49" t="s">
        <v>238</v>
      </c>
      <c r="C51" s="49" t="s">
        <v>239</v>
      </c>
      <c r="D51" s="49" t="s">
        <v>240</v>
      </c>
      <c r="E51" s="22" t="str">
        <f>_xll.BDP(AX51,"SECURITY NAME")</f>
        <v>AstraZeneca PLC</v>
      </c>
      <c r="F51" s="22" t="str">
        <f>_xll.BDP(AX51,"CRNCY")</f>
        <v>GBp</v>
      </c>
      <c r="G51" s="23" t="s">
        <v>79</v>
      </c>
      <c r="H51" s="22" t="str" cm="1">
        <f t="array" ref="H51">IF(OR(_xll.BDP($AX51,"DX202")= "#N/A N/A", _xll.BDP($AX51,"DX202")="#N/A FIELD NOT APPLICABLE"), " ", _xll.BDP($AX51,"DX202"))</f>
        <v>Health Care</v>
      </c>
      <c r="I51" s="24">
        <f>_xll.BDP(AX51,"CRNCY_ADJ_MKT_CAP", "EQY_FUND_CRNCY=USD")/1000</f>
        <v>221.94881519021132</v>
      </c>
      <c r="J51" s="25">
        <f>IFERROR(_xll.BDP(AX51, "DV013")/100,0)</f>
        <v>2.2828071830786563E-2</v>
      </c>
      <c r="K51" s="26" cm="1">
        <f t="array" ref="K51">IF(OR(_xll.BDP($AX51,"RR900")= "#N/A N/A", _xll.BDP($AX51,"RR900")="#N/A FIELD NOT APPLICABLE"), " ", _xll.BDP($AX51,"RR900"))</f>
        <v>28.56962794411178</v>
      </c>
      <c r="L51" s="26" cm="1">
        <f t="array" ref="L51">IF(OR(_xll.BDP($AX51,"EE010")= "#N/A N/A", _xll.BDP($AX51,"EE010")="#N/A FIELD NOT APPLICABLE"), " ", _xll.BDP($AX51,"EE010"))</f>
        <v>13.982009038207346</v>
      </c>
      <c r="M51" s="26" cm="1">
        <f t="array" ref="M51">IF(OR(_xll.BDP($AX51,"RR903")= "#N/A N/A", _xll.BDP($AX51,"RR903")="#N/A FIELD NOT APPLICABLE"), " ", _xll.BDP($AX51,"RR903"))</f>
        <v>5.4082352627258246</v>
      </c>
      <c r="N51" s="26" cm="1">
        <f t="array" ref="N51">IF(OR(_xll.BDP($AX51,"RR957")= "#N/A N/A", _xll.BDP($AX51,"RR957")="#N/A FIELD NOT APPLICABLE"), " ", _xll.BDP($AX51,"RR957"))</f>
        <v>14.369571727754028</v>
      </c>
      <c r="O51" s="27">
        <v>388</v>
      </c>
      <c r="P51" s="28">
        <v>100.10680000000001</v>
      </c>
      <c r="Q51" s="22" cm="1">
        <f t="array" ref="Q51">IF(OR(_xll.BDP($AX51,"PX_last")="#N/A N/A",_xll.BDP($AX51,"PX_Last")="#N/A FIELD NOT APPLICABLE")," ",IF(F51="GBP",(_xll.BDP($AX51,"PX_LAST")/100),(_xll.BDP($AX51,"PX_LAST"))))</f>
        <v>107.08</v>
      </c>
      <c r="R51" s="29">
        <f>IF(F51="USD",AA51,(((_xll.BDP(F51&amp;"USD CURNCY","PX_LAST")))*AA51))</f>
        <v>51919.350709279999</v>
      </c>
      <c r="S51" s="29">
        <f>IF(F51="USD",AB51,(((_xll.BDP(F51&amp;"USD CURNCY","PX_LAST")))*AB51))</f>
        <v>55535.928368000001</v>
      </c>
      <c r="T51" s="12">
        <f>S51-R51</f>
        <v>3616.5776587200016</v>
      </c>
      <c r="U51" s="13">
        <f>T51/R51</f>
        <v>6.9657605677136844E-2</v>
      </c>
      <c r="V51" s="13" cm="1">
        <f t="array" ref="V51">IFERROR(_xll.BDP($G51&amp;" Equity","CHG_PCT_1D")/100,"")</f>
        <v>-4.2774780000000004E-3</v>
      </c>
      <c r="W51" s="13" cm="1">
        <f t="array" ref="W51">IFERROR(_xll.BDP($G51&amp;" Equity","CHG_PCT_5D")/100,"")</f>
        <v>1.729052E-2</v>
      </c>
      <c r="X51" s="13" t="e">
        <f>S51/#REF!</f>
        <v>#REF!</v>
      </c>
      <c r="Y51" s="24">
        <f>IFERROR(S51*J51,0)</f>
        <v>1267.7781619741213</v>
      </c>
      <c r="Z51" s="24">
        <f>S51</f>
        <v>55535.928368000001</v>
      </c>
      <c r="AA51" s="29">
        <f>P51*O51</f>
        <v>38841.438399999999</v>
      </c>
      <c r="AB51" s="29">
        <f>IFERROR(O51*Q51,0)</f>
        <v>41547.040000000001</v>
      </c>
      <c r="AC51" s="4" t="e" cm="1">
        <f t="array" ref="AC51">VLOOKUP(IF(NOT(_xll.BDP(AX51,$BW$8)="#N/A N/A"),(_xll.BDP(AX51,$BW$8)),"-"), '[1]Country Codes'!$A$2:$B$253,2,0)</f>
        <v>#N/A</v>
      </c>
      <c r="AD51" s="30" t="str" cm="1">
        <f t="array" ref="AD51">IF(OR(_xll.BDP($AX51,"EX028")= "#N/A N/A", _xll.BDP($AX51,"EX028")="#N/A FIELD NOT APPLICABLE"), " ", _xll.BDP($AX51,"EX028"))</f>
        <v>Equity</v>
      </c>
      <c r="AE51" s="31" t="str">
        <f>IF(("AS97"="Equity"), " ", "Single Line Equity")</f>
        <v>Single Line Equity</v>
      </c>
      <c r="AF51" s="26" cm="1">
        <f t="array" ref="AF51">IF(OR(_xll.BDP($AX51,"RR908")= "#N/A N/A", _xll.BDP($AX51,"RR908")="#N/A FIELD NOT APPLICABLE"), " ", _xll.BDP($AX51,"RR908"))</f>
        <v>16.550350302126077</v>
      </c>
      <c r="AG51" s="26" cm="1">
        <f t="array" ref="AG51">IF(OR(_xll.BDP($AX51,"RR041")= "#N/A N/A", _xll.BDP($AX51,"RR041")="#N/A FIELD NOT APPLICABLE"), " ", _xll.BDP($AX51,"RR041"))</f>
        <v>29.120007689719806</v>
      </c>
      <c r="AH51" s="22">
        <f>_xll.BDP(AX51,"TOT_BUY_REC")</f>
        <v>27</v>
      </c>
      <c r="AI51" s="22">
        <f>_xll.BDP(AX51,"TOT_HOLD_REC")</f>
        <v>5</v>
      </c>
      <c r="AJ51" s="22">
        <f>_xll.BDP(AX51,"TOT_SELL_REC")</f>
        <v>0</v>
      </c>
      <c r="AK51" s="26" cm="1">
        <f t="array" ref="AK51">IF(OR(_xll.BDP($AX51,"EE201")= "#N/A N/A", _xll.BDP($AX51,"EE201")="#N/A FIELD NOT APPLICABLE"), " ", _xll.BDP($AX51,"EE201"))</f>
        <v>4.65625</v>
      </c>
      <c r="AL51" s="24">
        <f>_xll.BDP(AX51,"BEST_TARGET_PRICE")</f>
        <v>13771.337890625</v>
      </c>
      <c r="AM51" s="32">
        <f>(AL51/Q51)-1</f>
        <v>127.60793696885506</v>
      </c>
      <c r="AN51" s="32">
        <f>_xll.BDP(AX51,"PR061")/100</f>
        <v>-9.2524059999999995E-3</v>
      </c>
      <c r="AO51" s="32">
        <f>_xll.BDP(AX51,"PR064")/100</f>
        <v>-9.1464450000000003E-2</v>
      </c>
      <c r="AP51" s="32">
        <f>_xll.BDP(AX51,"CHG_PCT_6M")/100</f>
        <v>7.9217899999999994E-2</v>
      </c>
      <c r="AQ51" s="25">
        <f>_xll.BDP(AX51,"PR079")/100</f>
        <v>2.2927019999999999E-2</v>
      </c>
      <c r="AR51" s="33">
        <f>_xll.BDP(AX51,"hs001")</f>
        <v>13338</v>
      </c>
      <c r="AS51" s="33">
        <f>_xll.BDP(AX51,"hs002")</f>
        <v>9574</v>
      </c>
      <c r="AT51" s="22" t="str" cm="1">
        <f t="array" ref="AT51">IF(OR(_xll.BDP($AX51,"DX202")= "#N/A N/A", _xll.BDP($AX51,"DX202")="#N/A FIELD NOT APPLICABLE"), " ", _xll.BDP($AX51,"DX202"))</f>
        <v>Health Care</v>
      </c>
      <c r="AU51" s="22" t="str" cm="1">
        <f t="array" ref="AU51">IF(OR(_xll.BDP($AX51,"DY997")= "#N/A N/A", _xll.BDP($AX51,"DY997")="#N/A FIELD NOT APPLICABLE"), " ", _xll.BDP($AX51,"DY997"))</f>
        <v>Y</v>
      </c>
      <c r="AV51" s="22" t="str" cm="1">
        <f t="array" ref="AV51">IF(OR(_xll.BDP($AX51,"DY784")= "#N/A N/A", _xll.BDP($AX51,"DY784")="#N/A FIELD NOT APPLICABLE"), " ", _xll.BDP($AX51,"DY784"))</f>
        <v>Y</v>
      </c>
      <c r="AW51" s="22" t="str">
        <f>IF(OR(AU51="Y",AV51="Y"),"Y","N")</f>
        <v>Y</v>
      </c>
      <c r="AX51" s="22" t="str">
        <f>CONCATENATE(G51," ",$AX$2)</f>
        <v>AZN LN Equity</v>
      </c>
      <c r="BC51" s="17"/>
      <c r="BD51" s="17"/>
      <c r="BE51" s="18"/>
      <c r="BF51" s="19"/>
      <c r="BG51" s="20"/>
    </row>
    <row r="52" spans="1:59" s="3" customFormat="1" ht="14.45" customHeight="1" x14ac:dyDescent="0.25">
      <c r="A52" s="49" t="s">
        <v>242</v>
      </c>
      <c r="B52" s="49" t="s">
        <v>243</v>
      </c>
      <c r="C52" s="49" t="s">
        <v>244</v>
      </c>
      <c r="D52" s="49" t="s">
        <v>245</v>
      </c>
      <c r="E52" s="22" t="str">
        <f>_xll.BDP(AX52,"SECURITY NAME")</f>
        <v>AstraZeneca PLC</v>
      </c>
      <c r="F52" s="22" t="str">
        <f>_xll.BDP(AX52,"CRNCY")</f>
        <v>GBp</v>
      </c>
      <c r="G52" s="23" t="s">
        <v>79</v>
      </c>
      <c r="H52" s="22" t="str" cm="1">
        <f t="array" ref="H52">IF(OR(_xll.BDP($AX52,"DX202")= "#N/A N/A", _xll.BDP($AX52,"DX202")="#N/A FIELD NOT APPLICABLE"), " ", _xll.BDP($AX52,"DX202"))</f>
        <v>Health Care</v>
      </c>
      <c r="I52" s="24">
        <f>_xll.BDP(AX52,"CRNCY_ADJ_MKT_CAP", "EQY_FUND_CRNCY=USD")/1000</f>
        <v>221.94881519021132</v>
      </c>
      <c r="J52" s="25">
        <f>IFERROR(_xll.BDP(AX52, "DV013")/100,0)</f>
        <v>2.2828071830786563E-2</v>
      </c>
      <c r="K52" s="26" cm="1">
        <f t="array" ref="K52">IF(OR(_xll.BDP($AX52,"RR900")= "#N/A N/A", _xll.BDP($AX52,"RR900")="#N/A FIELD NOT APPLICABLE"), " ", _xll.BDP($AX52,"RR900"))</f>
        <v>28.56962794411178</v>
      </c>
      <c r="L52" s="26" cm="1">
        <f t="array" ref="L52">IF(OR(_xll.BDP($AX52,"EE010")= "#N/A N/A", _xll.BDP($AX52,"EE010")="#N/A FIELD NOT APPLICABLE"), " ", _xll.BDP($AX52,"EE010"))</f>
        <v>13.982009038207346</v>
      </c>
      <c r="M52" s="26" cm="1">
        <f t="array" ref="M52">IF(OR(_xll.BDP($AX52,"RR903")= "#N/A N/A", _xll.BDP($AX52,"RR903")="#N/A FIELD NOT APPLICABLE"), " ", _xll.BDP($AX52,"RR903"))</f>
        <v>5.4082352627258246</v>
      </c>
      <c r="N52" s="26" cm="1">
        <f t="array" ref="N52">IF(OR(_xll.BDP($AX52,"RR957")= "#N/A N/A", _xll.BDP($AX52,"RR957")="#N/A FIELD NOT APPLICABLE"), " ", _xll.BDP($AX52,"RR957"))</f>
        <v>14.369571727754028</v>
      </c>
      <c r="O52" s="27">
        <v>388</v>
      </c>
      <c r="P52" s="28">
        <v>100.2</v>
      </c>
      <c r="Q52" s="22" cm="1">
        <f t="array" ref="Q52">IF(OR(_xll.BDP($AX52,"PX_last")="#N/A N/A",_xll.BDP($AX52,"PX_Last")="#N/A FIELD NOT APPLICABLE")," ",IF(F52="GBP",(_xll.BDP($AX52,"PX_LAST")/100),(_xll.BDP($AX52,"PX_LAST"))))</f>
        <v>107.08</v>
      </c>
      <c r="R52" s="29">
        <f>IF(F52="USD",AA52,(((_xll.BDP(F52&amp;"USD CURNCY","PX_LAST")))*AA52))</f>
        <v>51967.687919999997</v>
      </c>
      <c r="S52" s="29">
        <f>IF(F52="USD",AB52,(((_xll.BDP(F52&amp;"USD CURNCY","PX_LAST")))*AB52))</f>
        <v>55535.928368000001</v>
      </c>
      <c r="T52" s="12">
        <f>S52-R52</f>
        <v>3568.2404480000041</v>
      </c>
      <c r="U52" s="13">
        <f>T52/R52</f>
        <v>6.8662674650698682E-2</v>
      </c>
      <c r="V52" s="13" cm="1">
        <f t="array" ref="V52">IFERROR(_xll.BDP($G52&amp;" Equity","CHG_PCT_1D")/100,"")</f>
        <v>-4.2774780000000004E-3</v>
      </c>
      <c r="W52" s="13" cm="1">
        <f t="array" ref="W52">IFERROR(_xll.BDP($G52&amp;" Equity","CHG_PCT_5D")/100,"")</f>
        <v>1.729052E-2</v>
      </c>
      <c r="X52" s="13" t="e">
        <f>S52/#REF!</f>
        <v>#REF!</v>
      </c>
      <c r="Y52" s="24">
        <f>IFERROR(S52*J52,0)</f>
        <v>1267.7781619741213</v>
      </c>
      <c r="Z52" s="24">
        <f>S52</f>
        <v>55535.928368000001</v>
      </c>
      <c r="AA52" s="29">
        <f>P52*O52</f>
        <v>38877.599999999999</v>
      </c>
      <c r="AB52" s="29">
        <f>IFERROR(O52*Q52,0)</f>
        <v>41547.040000000001</v>
      </c>
      <c r="AC52" s="4" t="e" cm="1">
        <f t="array" ref="AC52">VLOOKUP(IF(NOT(_xll.BDP(AX52,$BW$8)="#N/A N/A"),(_xll.BDP(AX52,$BW$8)),"-"), '[1]Country Codes'!$A$2:$B$253,2,0)</f>
        <v>#N/A</v>
      </c>
      <c r="AD52" s="30" t="str" cm="1">
        <f t="array" ref="AD52">IF(OR(_xll.BDP($AX52,"EX028")= "#N/A N/A", _xll.BDP($AX52,"EX028")="#N/A FIELD NOT APPLICABLE"), " ", _xll.BDP($AX52,"EX028"))</f>
        <v>Equity</v>
      </c>
      <c r="AE52" s="31" t="str">
        <f>IF(("AS97"="Equity"), " ", "Single Line Equity")</f>
        <v>Single Line Equity</v>
      </c>
      <c r="AF52" s="26" cm="1">
        <f t="array" ref="AF52">IF(OR(_xll.BDP($AX52,"RR908")= "#N/A N/A", _xll.BDP($AX52,"RR908")="#N/A FIELD NOT APPLICABLE"), " ", _xll.BDP($AX52,"RR908"))</f>
        <v>16.550350302126077</v>
      </c>
      <c r="AG52" s="26" cm="1">
        <f t="array" ref="AG52">IF(OR(_xll.BDP($AX52,"RR041")= "#N/A N/A", _xll.BDP($AX52,"RR041")="#N/A FIELD NOT APPLICABLE"), " ", _xll.BDP($AX52,"RR041"))</f>
        <v>29.120007689719806</v>
      </c>
      <c r="AH52" s="22">
        <f>_xll.BDP(AX52,"TOT_BUY_REC")</f>
        <v>27</v>
      </c>
      <c r="AI52" s="22">
        <f>_xll.BDP(AX52,"TOT_HOLD_REC")</f>
        <v>5</v>
      </c>
      <c r="AJ52" s="22">
        <f>_xll.BDP(AX52,"TOT_SELL_REC")</f>
        <v>0</v>
      </c>
      <c r="AK52" s="26" cm="1">
        <f t="array" ref="AK52">IF(OR(_xll.BDP($AX52,"EE201")= "#N/A N/A", _xll.BDP($AX52,"EE201")="#N/A FIELD NOT APPLICABLE"), " ", _xll.BDP($AX52,"EE201"))</f>
        <v>4.65625</v>
      </c>
      <c r="AL52" s="24">
        <f>_xll.BDP(AX52,"BEST_TARGET_PRICE")</f>
        <v>13771.337890625</v>
      </c>
      <c r="AM52" s="32">
        <f>(AL52/Q52)-1</f>
        <v>127.60793696885506</v>
      </c>
      <c r="AN52" s="32">
        <f>_xll.BDP(AX52,"PR061")/100</f>
        <v>-9.2524059999999995E-3</v>
      </c>
      <c r="AO52" s="32">
        <f>_xll.BDP(AX52,"PR064")/100</f>
        <v>-9.1464450000000003E-2</v>
      </c>
      <c r="AP52" s="32">
        <f>_xll.BDP(AX52,"CHG_PCT_6M")/100</f>
        <v>7.9217899999999994E-2</v>
      </c>
      <c r="AQ52" s="25">
        <f>_xll.BDP(AX52,"PR079")/100</f>
        <v>2.2927019999999999E-2</v>
      </c>
      <c r="AR52" s="33">
        <f>_xll.BDP(AX52,"hs001")</f>
        <v>13338</v>
      </c>
      <c r="AS52" s="33">
        <f>_xll.BDP(AX52,"hs002")</f>
        <v>9574</v>
      </c>
      <c r="AT52" s="22" t="str" cm="1">
        <f t="array" ref="AT52">IF(OR(_xll.BDP($AX52,"DX202")= "#N/A N/A", _xll.BDP($AX52,"DX202")="#N/A FIELD NOT APPLICABLE"), " ", _xll.BDP($AX52,"DX202"))</f>
        <v>Health Care</v>
      </c>
      <c r="AU52" s="22" t="str" cm="1">
        <f t="array" ref="AU52">IF(OR(_xll.BDP($AX52,"DY997")= "#N/A N/A", _xll.BDP($AX52,"DY997")="#N/A FIELD NOT APPLICABLE"), " ", _xll.BDP($AX52,"DY997"))</f>
        <v>Y</v>
      </c>
      <c r="AV52" s="22" t="str" cm="1">
        <f t="array" ref="AV52">IF(OR(_xll.BDP($AX52,"DY784")= "#N/A N/A", _xll.BDP($AX52,"DY784")="#N/A FIELD NOT APPLICABLE"), " ", _xll.BDP($AX52,"DY784"))</f>
        <v>Y</v>
      </c>
      <c r="AW52" s="22" t="str">
        <f>IF(OR(AU52="Y",AV52="Y"),"Y","N")</f>
        <v>Y</v>
      </c>
      <c r="AX52" s="22" t="str">
        <f>CONCATENATE(G52," ",$AX$2)</f>
        <v>AZN LN Equity</v>
      </c>
      <c r="BC52" s="17" t="str" cm="1">
        <f t="array" ref="BC52">_xll.BDP(AX52,"ID005")</f>
        <v>GB0009895292</v>
      </c>
      <c r="BD52" s="17">
        <v>0.7499999649681105</v>
      </c>
      <c r="BE52" s="18">
        <v>4</v>
      </c>
      <c r="BF52" s="19">
        <v>45217</v>
      </c>
      <c r="BG52" s="20">
        <v>1</v>
      </c>
    </row>
    <row r="53" spans="1:59" s="3" customFormat="1" ht="14.45" customHeight="1" x14ac:dyDescent="0.25">
      <c r="A53" s="49" t="s">
        <v>242</v>
      </c>
      <c r="B53" s="49" t="s">
        <v>246</v>
      </c>
      <c r="C53" s="49" t="s">
        <v>247</v>
      </c>
      <c r="D53" s="49" t="s">
        <v>248</v>
      </c>
      <c r="E53" s="22" t="str">
        <f>_xll.BDP(AX53,"SECURITY NAME")</f>
        <v>AstraZeneca PLC</v>
      </c>
      <c r="F53" s="22" t="str">
        <f>_xll.BDP(AX53,"CRNCY")</f>
        <v>GBp</v>
      </c>
      <c r="G53" s="23" t="s">
        <v>79</v>
      </c>
      <c r="H53" s="22" t="str" cm="1">
        <f t="array" ref="H53">IF(OR(_xll.BDP($AX53,"DX202")= "#N/A N/A", _xll.BDP($AX53,"DX202")="#N/A FIELD NOT APPLICABLE"), " ", _xll.BDP($AX53,"DX202"))</f>
        <v>Health Care</v>
      </c>
      <c r="I53" s="24">
        <f>_xll.BDP(AX53,"CRNCY_ADJ_MKT_CAP", "EQY_FUND_CRNCY=USD")/1000</f>
        <v>221.94881519021132</v>
      </c>
      <c r="J53" s="25">
        <f>IFERROR(_xll.BDP(AX53, "DV013")/100,0)</f>
        <v>2.2828071830786563E-2</v>
      </c>
      <c r="K53" s="26" cm="1">
        <f t="array" ref="K53">IF(OR(_xll.BDP($AX53,"RR900")= "#N/A N/A", _xll.BDP($AX53,"RR900")="#N/A FIELD NOT APPLICABLE"), " ", _xll.BDP($AX53,"RR900"))</f>
        <v>28.56962794411178</v>
      </c>
      <c r="L53" s="26" cm="1">
        <f t="array" ref="L53">IF(OR(_xll.BDP($AX53,"EE010")= "#N/A N/A", _xll.BDP($AX53,"EE010")="#N/A FIELD NOT APPLICABLE"), " ", _xll.BDP($AX53,"EE010"))</f>
        <v>13.982009038207346</v>
      </c>
      <c r="M53" s="26" cm="1">
        <f t="array" ref="M53">IF(OR(_xll.BDP($AX53,"RR903")= "#N/A N/A", _xll.BDP($AX53,"RR903")="#N/A FIELD NOT APPLICABLE"), " ", _xll.BDP($AX53,"RR903"))</f>
        <v>5.4082352627258246</v>
      </c>
      <c r="N53" s="26" cm="1">
        <f t="array" ref="N53">IF(OR(_xll.BDP($AX53,"RR957")= "#N/A N/A", _xll.BDP($AX53,"RR957")="#N/A FIELD NOT APPLICABLE"), " ", _xll.BDP($AX53,"RR957"))</f>
        <v>14.369571727754028</v>
      </c>
      <c r="O53" s="27">
        <v>790</v>
      </c>
      <c r="P53" s="28">
        <v>101.96</v>
      </c>
      <c r="Q53" s="22" cm="1">
        <f t="array" ref="Q53">IF(OR(_xll.BDP($AX53,"PX_last")="#N/A N/A",_xll.BDP($AX53,"PX_Last")="#N/A FIELD NOT APPLICABLE")," ",IF(F53="GBP",(_xll.BDP($AX53,"PX_LAST")/100),(_xll.BDP($AX53,"PX_LAST"))))</f>
        <v>107.08</v>
      </c>
      <c r="R53" s="29">
        <f>IF(F53="USD",AA53,(((_xll.BDP(F53&amp;"USD CURNCY","PX_LAST")))*AA53))</f>
        <v>107669.04628</v>
      </c>
      <c r="S53" s="29">
        <f>IF(F53="USD",AB53,(((_xll.BDP(F53&amp;"USD CURNCY","PX_LAST")))*AB53))</f>
        <v>113075.73044</v>
      </c>
      <c r="T53" s="12">
        <f>S53-R53</f>
        <v>5406.6841600000043</v>
      </c>
      <c r="U53" s="13">
        <f>T53/R53</f>
        <v>5.0215770890545353E-2</v>
      </c>
      <c r="V53" s="13" cm="1">
        <f t="array" ref="V53">IFERROR(_xll.BDP($G53&amp;" Equity","CHG_PCT_1D")/100,"")</f>
        <v>-4.2774780000000004E-3</v>
      </c>
      <c r="W53" s="13" cm="1">
        <f t="array" ref="W53">IFERROR(_xll.BDP($G53&amp;" Equity","CHG_PCT_5D")/100,"")</f>
        <v>1.729052E-2</v>
      </c>
      <c r="X53" s="13" t="e">
        <f>S53/#REF!</f>
        <v>#REF!</v>
      </c>
      <c r="Y53" s="24">
        <f>IFERROR(S53*J53,0)</f>
        <v>2581.3008968029785</v>
      </c>
      <c r="Z53" s="24">
        <f>S53</f>
        <v>113075.73044</v>
      </c>
      <c r="AA53" s="29">
        <f>P53*O53</f>
        <v>80548.399999999994</v>
      </c>
      <c r="AB53" s="29">
        <f>IFERROR(O53*Q53,0)</f>
        <v>84593.2</v>
      </c>
      <c r="AC53" s="4" t="e" cm="1">
        <f t="array" ref="AC53">VLOOKUP(IF(NOT(_xll.BDP(AX53,$BW$8)="#N/A N/A"),(_xll.BDP(AX53,$BW$8)),"-"), '[1]Country Codes'!$A$2:$B$253,2,0)</f>
        <v>#N/A</v>
      </c>
      <c r="AD53" s="30" t="str" cm="1">
        <f t="array" ref="AD53">IF(OR(_xll.BDP($AX53,"EX028")= "#N/A N/A", _xll.BDP($AX53,"EX028")="#N/A FIELD NOT APPLICABLE"), " ", _xll.BDP($AX53,"EX028"))</f>
        <v>Equity</v>
      </c>
      <c r="AE53" s="31" t="str">
        <f>IF(("AS97"="Equity"), " ", "Single Line Equity")</f>
        <v>Single Line Equity</v>
      </c>
      <c r="AF53" s="26" cm="1">
        <f t="array" ref="AF53">IF(OR(_xll.BDP($AX53,"RR908")= "#N/A N/A", _xll.BDP($AX53,"RR908")="#N/A FIELD NOT APPLICABLE"), " ", _xll.BDP($AX53,"RR908"))</f>
        <v>16.550350302126077</v>
      </c>
      <c r="AG53" s="26" cm="1">
        <f t="array" ref="AG53">IF(OR(_xll.BDP($AX53,"RR041")= "#N/A N/A", _xll.BDP($AX53,"RR041")="#N/A FIELD NOT APPLICABLE"), " ", _xll.BDP($AX53,"RR041"))</f>
        <v>29.120007689719806</v>
      </c>
      <c r="AH53" s="22">
        <f>_xll.BDP(AX53,"TOT_BUY_REC")</f>
        <v>27</v>
      </c>
      <c r="AI53" s="22">
        <f>_xll.BDP(AX53,"TOT_HOLD_REC")</f>
        <v>5</v>
      </c>
      <c r="AJ53" s="22">
        <f>_xll.BDP(AX53,"TOT_SELL_REC")</f>
        <v>0</v>
      </c>
      <c r="AK53" s="26" cm="1">
        <f t="array" ref="AK53">IF(OR(_xll.BDP($AX53,"EE201")= "#N/A N/A", _xll.BDP($AX53,"EE201")="#N/A FIELD NOT APPLICABLE"), " ", _xll.BDP($AX53,"EE201"))</f>
        <v>4.65625</v>
      </c>
      <c r="AL53" s="24">
        <f>_xll.BDP(AX53,"BEST_TARGET_PRICE")</f>
        <v>13771.337890625</v>
      </c>
      <c r="AM53" s="32">
        <f>(AL53/Q53)-1</f>
        <v>127.60793696885506</v>
      </c>
      <c r="AN53" s="32">
        <f>_xll.BDP(AX53,"PR061")/100</f>
        <v>-9.2524059999999995E-3</v>
      </c>
      <c r="AO53" s="32">
        <f>_xll.BDP(AX53,"PR064")/100</f>
        <v>-9.1464450000000003E-2</v>
      </c>
      <c r="AP53" s="32">
        <f>_xll.BDP(AX53,"CHG_PCT_6M")/100</f>
        <v>7.9217899999999994E-2</v>
      </c>
      <c r="AQ53" s="25">
        <f>_xll.BDP(AX53,"PR079")/100</f>
        <v>2.2927019999999999E-2</v>
      </c>
      <c r="AR53" s="33">
        <f>_xll.BDP(AX53,"hs001")</f>
        <v>13338</v>
      </c>
      <c r="AS53" s="33">
        <f>_xll.BDP(AX53,"hs002")</f>
        <v>9574</v>
      </c>
      <c r="AT53" s="22" t="str" cm="1">
        <f t="array" ref="AT53">IF(OR(_xll.BDP($AX53,"DX202")= "#N/A N/A", _xll.BDP($AX53,"DX202")="#N/A FIELD NOT APPLICABLE"), " ", _xll.BDP($AX53,"DX202"))</f>
        <v>Health Care</v>
      </c>
      <c r="AU53" s="22" t="str" cm="1">
        <f t="array" ref="AU53">IF(OR(_xll.BDP($AX53,"DY997")= "#N/A N/A", _xll.BDP($AX53,"DY997")="#N/A FIELD NOT APPLICABLE"), " ", _xll.BDP($AX53,"DY997"))</f>
        <v>Y</v>
      </c>
      <c r="AV53" s="22" t="str" cm="1">
        <f t="array" ref="AV53">IF(OR(_xll.BDP($AX53,"DY784")= "#N/A N/A", _xll.BDP($AX53,"DY784")="#N/A FIELD NOT APPLICABLE"), " ", _xll.BDP($AX53,"DY784"))</f>
        <v>Y</v>
      </c>
      <c r="AW53" s="22" t="str">
        <f>IF(OR(AU53="Y",AV53="Y"),"Y","N")</f>
        <v>Y</v>
      </c>
      <c r="AX53" s="22" t="str">
        <f>CONCATENATE(G53," ",$AX$2)</f>
        <v>AZN LN Equity</v>
      </c>
      <c r="BC53" s="17" t="str" cm="1">
        <f t="array" ref="BC53">_xll.BDP(AX53,"ID005")</f>
        <v>GB0009895292</v>
      </c>
      <c r="BD53" s="17">
        <v>0.7499999649681105</v>
      </c>
      <c r="BE53" s="18">
        <v>4</v>
      </c>
      <c r="BF53" s="19">
        <v>45217</v>
      </c>
      <c r="BG53" s="20">
        <v>1</v>
      </c>
    </row>
    <row r="54" spans="1:59" s="3" customFormat="1" ht="14.45" customHeight="1" x14ac:dyDescent="0.25">
      <c r="A54" s="49" t="s">
        <v>241</v>
      </c>
      <c r="B54" s="49" t="s">
        <v>251</v>
      </c>
      <c r="C54" s="49" t="s">
        <v>252</v>
      </c>
      <c r="D54" s="49" t="s">
        <v>240</v>
      </c>
      <c r="E54" s="22" t="str">
        <f>_xll.BDP(AX54,"SECURITY NAME")</f>
        <v>AstraZeneca PLC</v>
      </c>
      <c r="F54" s="22" t="str">
        <f>_xll.BDP(AX54,"CRNCY")</f>
        <v>GBp</v>
      </c>
      <c r="G54" s="23" t="s">
        <v>79</v>
      </c>
      <c r="H54" s="22" t="str" cm="1">
        <f t="array" ref="H54">IF(OR(_xll.BDP($AX54,"DX202")= "#N/A N/A", _xll.BDP($AX54,"DX202")="#N/A FIELD NOT APPLICABLE"), " ", _xll.BDP($AX54,"DX202"))</f>
        <v>Health Care</v>
      </c>
      <c r="I54" s="24">
        <f>_xll.BDP(AX54,"CRNCY_ADJ_MKT_CAP", "EQY_FUND_CRNCY=USD")/1000</f>
        <v>221.94881519021132</v>
      </c>
      <c r="J54" s="25">
        <f>IFERROR(_xll.BDP(AX54, "DV013")/100,0)</f>
        <v>2.2828071830786563E-2</v>
      </c>
      <c r="K54" s="26" cm="1">
        <f t="array" ref="K54">IF(OR(_xll.BDP($AX54,"RR900")= "#N/A N/A", _xll.BDP($AX54,"RR900")="#N/A FIELD NOT APPLICABLE"), " ", _xll.BDP($AX54,"RR900"))</f>
        <v>28.56962794411178</v>
      </c>
      <c r="L54" s="26" cm="1">
        <f t="array" ref="L54">IF(OR(_xll.BDP($AX54,"EE010")= "#N/A N/A", _xll.BDP($AX54,"EE010")="#N/A FIELD NOT APPLICABLE"), " ", _xll.BDP($AX54,"EE010"))</f>
        <v>13.982009038207346</v>
      </c>
      <c r="M54" s="26" cm="1">
        <f t="array" ref="M54">IF(OR(_xll.BDP($AX54,"RR903")= "#N/A N/A", _xll.BDP($AX54,"RR903")="#N/A FIELD NOT APPLICABLE"), " ", _xll.BDP($AX54,"RR903"))</f>
        <v>5.4082352627258246</v>
      </c>
      <c r="N54" s="26" cm="1">
        <f t="array" ref="N54">IF(OR(_xll.BDP($AX54,"RR957")= "#N/A N/A", _xll.BDP($AX54,"RR957")="#N/A FIELD NOT APPLICABLE"), " ", _xll.BDP($AX54,"RR957"))</f>
        <v>14.369571727754028</v>
      </c>
      <c r="O54" s="27">
        <v>393</v>
      </c>
      <c r="P54" s="28">
        <v>100.14</v>
      </c>
      <c r="Q54" s="22" cm="1">
        <f t="array" ref="Q54">IF(OR(_xll.BDP($AX54,"PX_last")="#N/A N/A",_xll.BDP($AX54,"PX_Last")="#N/A FIELD NOT APPLICABLE")," ",IF(F54="GBP",(_xll.BDP($AX54,"PX_LAST")/100),(_xll.BDP($AX54,"PX_LAST"))))</f>
        <v>107.08</v>
      </c>
      <c r="R54" s="29">
        <f>IF(F54="USD",AA54,(((_xll.BDP(F54&amp;"USD CURNCY","PX_LAST")))*AA54))</f>
        <v>52605.855233999995</v>
      </c>
      <c r="S54" s="29">
        <f>IF(F54="USD",AB54,(((_xll.BDP(F54&amp;"USD CURNCY","PX_LAST")))*AB54))</f>
        <v>56251.597548000005</v>
      </c>
      <c r="T54" s="12">
        <f>S54-R54</f>
        <v>3645.7423140000101</v>
      </c>
      <c r="U54" s="13">
        <f>T54/R54</f>
        <v>6.9302975833832839E-2</v>
      </c>
      <c r="V54" s="13" cm="1">
        <f t="array" ref="V54">IFERROR(_xll.BDP($G54&amp;" Equity","CHG_PCT_1D")/100,"")</f>
        <v>-4.2774780000000004E-3</v>
      </c>
      <c r="W54" s="13" cm="1">
        <f t="array" ref="W54">IFERROR(_xll.BDP($G54&amp;" Equity","CHG_PCT_5D")/100,"")</f>
        <v>1.729052E-2</v>
      </c>
      <c r="X54" s="13" t="e">
        <f>S54/#REF!</f>
        <v>#REF!</v>
      </c>
      <c r="Y54" s="24">
        <f>IFERROR(S54*J54,0)</f>
        <v>1284.1155094222413</v>
      </c>
      <c r="Z54" s="24">
        <f>S54</f>
        <v>56251.597548000005</v>
      </c>
      <c r="AA54" s="29">
        <f>P54*O54</f>
        <v>39355.019999999997</v>
      </c>
      <c r="AB54" s="29">
        <f>IFERROR(O54*Q54,0)</f>
        <v>42082.44</v>
      </c>
      <c r="AC54" s="4" t="e" cm="1">
        <f t="array" ref="AC54">VLOOKUP(IF(NOT(_xll.BDP(AX54,$BW$8)="#N/A N/A"),(_xll.BDP(AX54,$BW$8)),"-"), '[1]Country Codes'!$A$2:$B$253,2,0)</f>
        <v>#N/A</v>
      </c>
      <c r="AD54" s="30" t="str" cm="1">
        <f t="array" ref="AD54">IF(OR(_xll.BDP($AX54,"EX028")= "#N/A N/A", _xll.BDP($AX54,"EX028")="#N/A FIELD NOT APPLICABLE"), " ", _xll.BDP($AX54,"EX028"))</f>
        <v>Equity</v>
      </c>
      <c r="AE54" s="31" t="str">
        <f>IF(("AS97"="Equity"), " ", "Single Line Equity")</f>
        <v>Single Line Equity</v>
      </c>
      <c r="AF54" s="26" cm="1">
        <f t="array" ref="AF54">IF(OR(_xll.BDP($AX54,"RR908")= "#N/A N/A", _xll.BDP($AX54,"RR908")="#N/A FIELD NOT APPLICABLE"), " ", _xll.BDP($AX54,"RR908"))</f>
        <v>16.550350302126077</v>
      </c>
      <c r="AG54" s="26" cm="1">
        <f t="array" ref="AG54">IF(OR(_xll.BDP($AX54,"RR041")= "#N/A N/A", _xll.BDP($AX54,"RR041")="#N/A FIELD NOT APPLICABLE"), " ", _xll.BDP($AX54,"RR041"))</f>
        <v>29.120007689719806</v>
      </c>
      <c r="AH54" s="22">
        <f>_xll.BDP(AX54,"TOT_BUY_REC")</f>
        <v>27</v>
      </c>
      <c r="AI54" s="22">
        <f>_xll.BDP(AX54,"TOT_HOLD_REC")</f>
        <v>5</v>
      </c>
      <c r="AJ54" s="22">
        <f>_xll.BDP(AX54,"TOT_SELL_REC")</f>
        <v>0</v>
      </c>
      <c r="AK54" s="26" cm="1">
        <f t="array" ref="AK54">IF(OR(_xll.BDP($AX54,"EE201")= "#N/A N/A", _xll.BDP($AX54,"EE201")="#N/A FIELD NOT APPLICABLE"), " ", _xll.BDP($AX54,"EE201"))</f>
        <v>4.65625</v>
      </c>
      <c r="AL54" s="24">
        <f>_xll.BDP(AX54,"BEST_TARGET_PRICE")</f>
        <v>13771.337890625</v>
      </c>
      <c r="AM54" s="32">
        <f>(AL54/Q54)-1</f>
        <v>127.60793696885506</v>
      </c>
      <c r="AN54" s="32">
        <f>_xll.BDP(AX54,"PR061")/100</f>
        <v>-9.2524059999999995E-3</v>
      </c>
      <c r="AO54" s="32">
        <f>_xll.BDP(AX54,"PR064")/100</f>
        <v>-9.1464450000000003E-2</v>
      </c>
      <c r="AP54" s="32">
        <f>_xll.BDP(AX54,"CHG_PCT_6M")/100</f>
        <v>7.9217899999999994E-2</v>
      </c>
      <c r="AQ54" s="25">
        <f>_xll.BDP(AX54,"PR079")/100</f>
        <v>2.2927019999999999E-2</v>
      </c>
      <c r="AR54" s="33">
        <f>_xll.BDP(AX54,"hs001")</f>
        <v>13338</v>
      </c>
      <c r="AS54" s="33">
        <f>_xll.BDP(AX54,"hs002")</f>
        <v>9574</v>
      </c>
      <c r="AT54" s="22" t="str" cm="1">
        <f t="array" ref="AT54">IF(OR(_xll.BDP($AX54,"DX202")= "#N/A N/A", _xll.BDP($AX54,"DX202")="#N/A FIELD NOT APPLICABLE"), " ", _xll.BDP($AX54,"DX202"))</f>
        <v>Health Care</v>
      </c>
      <c r="AU54" s="22" t="str" cm="1">
        <f t="array" ref="AU54">IF(OR(_xll.BDP($AX54,"DY997")= "#N/A N/A", _xll.BDP($AX54,"DY997")="#N/A FIELD NOT APPLICABLE"), " ", _xll.BDP($AX54,"DY997"))</f>
        <v>Y</v>
      </c>
      <c r="AV54" s="22" t="str" cm="1">
        <f t="array" ref="AV54">IF(OR(_xll.BDP($AX54,"DY784")= "#N/A N/A", _xll.BDP($AX54,"DY784")="#N/A FIELD NOT APPLICABLE"), " ", _xll.BDP($AX54,"DY784"))</f>
        <v>Y</v>
      </c>
      <c r="AW54" s="22" t="str">
        <f>IF(OR(AU54="Y",AV54="Y"),"Y","N")</f>
        <v>Y</v>
      </c>
      <c r="AX54" s="22" t="str">
        <f>CONCATENATE(G54," ",$AX$2)</f>
        <v>AZN LN Equity</v>
      </c>
      <c r="BC54" s="17" t="str" cm="1">
        <f t="array" ref="BC54">_xll.BDP(AX54,"ID005")</f>
        <v>GB0009895292</v>
      </c>
      <c r="BD54" s="17">
        <v>0.80210000000000004</v>
      </c>
      <c r="BE54" s="18">
        <v>4</v>
      </c>
      <c r="BF54" s="19"/>
      <c r="BG54" s="20"/>
    </row>
    <row r="55" spans="1:59" s="3" customFormat="1" ht="14.45" customHeight="1" x14ac:dyDescent="0.25">
      <c r="A55" s="49" t="s">
        <v>241</v>
      </c>
      <c r="B55" s="49" t="s">
        <v>253</v>
      </c>
      <c r="C55" s="49" t="s">
        <v>254</v>
      </c>
      <c r="D55" s="49" t="s">
        <v>240</v>
      </c>
      <c r="E55" s="22" t="str">
        <f>_xll.BDP(AX55,"SECURITY NAME")</f>
        <v>AstraZeneca PLC</v>
      </c>
      <c r="F55" s="22" t="str">
        <f>_xll.BDP(AX55,"CRNCY")</f>
        <v>GBp</v>
      </c>
      <c r="G55" s="23" t="s">
        <v>79</v>
      </c>
      <c r="H55" s="22" t="str" cm="1">
        <f t="array" ref="H55">IF(OR(_xll.BDP($AX55,"DX202")= "#N/A N/A", _xll.BDP($AX55,"DX202")="#N/A FIELD NOT APPLICABLE"), " ", _xll.BDP($AX55,"DX202"))</f>
        <v>Health Care</v>
      </c>
      <c r="I55" s="24">
        <f>_xll.BDP(AX55,"CRNCY_ADJ_MKT_CAP", "EQY_FUND_CRNCY=USD")/1000</f>
        <v>221.94881519021132</v>
      </c>
      <c r="J55" s="25">
        <f>IFERROR(_xll.BDP(AX55, "DV013")/100,0)</f>
        <v>2.2828071830786563E-2</v>
      </c>
      <c r="K55" s="26" cm="1">
        <f t="array" ref="K55">IF(OR(_xll.BDP($AX55,"RR900")= "#N/A N/A", _xll.BDP($AX55,"RR900")="#N/A FIELD NOT APPLICABLE"), " ", _xll.BDP($AX55,"RR900"))</f>
        <v>28.56962794411178</v>
      </c>
      <c r="L55" s="26" cm="1">
        <f t="array" ref="L55">IF(OR(_xll.BDP($AX55,"EE010")= "#N/A N/A", _xll.BDP($AX55,"EE010")="#N/A FIELD NOT APPLICABLE"), " ", _xll.BDP($AX55,"EE010"))</f>
        <v>13.982009038207346</v>
      </c>
      <c r="M55" s="26" cm="1">
        <f t="array" ref="M55">IF(OR(_xll.BDP($AX55,"RR903")= "#N/A N/A", _xll.BDP($AX55,"RR903")="#N/A FIELD NOT APPLICABLE"), " ", _xll.BDP($AX55,"RR903"))</f>
        <v>5.4082352627258246</v>
      </c>
      <c r="N55" s="26" cm="1">
        <f t="array" ref="N55">IF(OR(_xll.BDP($AX55,"RR957")= "#N/A N/A", _xll.BDP($AX55,"RR957")="#N/A FIELD NOT APPLICABLE"), " ", _xll.BDP($AX55,"RR957"))</f>
        <v>14.369571727754028</v>
      </c>
      <c r="O55" s="27">
        <v>393</v>
      </c>
      <c r="P55" s="28">
        <v>100.14</v>
      </c>
      <c r="Q55" s="22" cm="1">
        <f t="array" ref="Q55">IF(OR(_xll.BDP($AX55,"PX_last")="#N/A N/A",_xll.BDP($AX55,"PX_Last")="#N/A FIELD NOT APPLICABLE")," ",IF(F55="GBP",(_xll.BDP($AX55,"PX_LAST")/100),(_xll.BDP($AX55,"PX_LAST"))))</f>
        <v>107.08</v>
      </c>
      <c r="R55" s="29">
        <f>IF(F55="USD",AA55,(((_xll.BDP(F55&amp;"USD CURNCY","PX_LAST")))*AA55))</f>
        <v>52605.855233999995</v>
      </c>
      <c r="S55" s="29">
        <f>IF(F55="USD",AB55,(((_xll.BDP(F55&amp;"USD CURNCY","PX_LAST")))*AB55))</f>
        <v>56251.597548000005</v>
      </c>
      <c r="T55" s="12">
        <f>S55-R55</f>
        <v>3645.7423140000101</v>
      </c>
      <c r="U55" s="13">
        <f>T55/R55</f>
        <v>6.9302975833832839E-2</v>
      </c>
      <c r="V55" s="13" cm="1">
        <f t="array" ref="V55">IFERROR(_xll.BDP($G55&amp;" Equity","CHG_PCT_1D")/100,"")</f>
        <v>-4.2774780000000004E-3</v>
      </c>
      <c r="W55" s="13" cm="1">
        <f t="array" ref="W55">IFERROR(_xll.BDP($G55&amp;" Equity","CHG_PCT_5D")/100,"")</f>
        <v>1.729052E-2</v>
      </c>
      <c r="X55" s="13" t="e">
        <f>S55/#REF!</f>
        <v>#REF!</v>
      </c>
      <c r="Y55" s="24">
        <f>IFERROR(S55*J55,0)</f>
        <v>1284.1155094222413</v>
      </c>
      <c r="Z55" s="24">
        <f>S55</f>
        <v>56251.597548000005</v>
      </c>
      <c r="AA55" s="29">
        <f>P55*O55</f>
        <v>39355.019999999997</v>
      </c>
      <c r="AB55" s="29">
        <f>IFERROR(O55*Q55,0)</f>
        <v>42082.44</v>
      </c>
      <c r="AC55" s="4" t="e" cm="1">
        <f t="array" ref="AC55">VLOOKUP(IF(NOT(_xll.BDP(AX55,$BW$8)="#N/A N/A"),(_xll.BDP(AX55,$BW$8)),"-"), '[1]Country Codes'!$A$2:$B$253,2,0)</f>
        <v>#N/A</v>
      </c>
      <c r="AD55" s="30" t="str" cm="1">
        <f t="array" ref="AD55">IF(OR(_xll.BDP($AX55,"EX028")= "#N/A N/A", _xll.BDP($AX55,"EX028")="#N/A FIELD NOT APPLICABLE"), " ", _xll.BDP($AX55,"EX028"))</f>
        <v>Equity</v>
      </c>
      <c r="AE55" s="31" t="str">
        <f>IF(("AS97"="Equity"), " ", "Single Line Equity")</f>
        <v>Single Line Equity</v>
      </c>
      <c r="AF55" s="26" cm="1">
        <f t="array" ref="AF55">IF(OR(_xll.BDP($AX55,"RR908")= "#N/A N/A", _xll.BDP($AX55,"RR908")="#N/A FIELD NOT APPLICABLE"), " ", _xll.BDP($AX55,"RR908"))</f>
        <v>16.550350302126077</v>
      </c>
      <c r="AG55" s="26" cm="1">
        <f t="array" ref="AG55">IF(OR(_xll.BDP($AX55,"RR041")= "#N/A N/A", _xll.BDP($AX55,"RR041")="#N/A FIELD NOT APPLICABLE"), " ", _xll.BDP($AX55,"RR041"))</f>
        <v>29.120007689719806</v>
      </c>
      <c r="AH55" s="22">
        <f>_xll.BDP(AX55,"TOT_BUY_REC")</f>
        <v>27</v>
      </c>
      <c r="AI55" s="22">
        <f>_xll.BDP(AX55,"TOT_HOLD_REC")</f>
        <v>5</v>
      </c>
      <c r="AJ55" s="22">
        <f>_xll.BDP(AX55,"TOT_SELL_REC")</f>
        <v>0</v>
      </c>
      <c r="AK55" s="26" cm="1">
        <f t="array" ref="AK55">IF(OR(_xll.BDP($AX55,"EE201")= "#N/A N/A", _xll.BDP($AX55,"EE201")="#N/A FIELD NOT APPLICABLE"), " ", _xll.BDP($AX55,"EE201"))</f>
        <v>4.65625</v>
      </c>
      <c r="AL55" s="24">
        <f>_xll.BDP(AX55,"BEST_TARGET_PRICE")</f>
        <v>13771.337890625</v>
      </c>
      <c r="AM55" s="32">
        <f>(AL55/Q55)-1</f>
        <v>127.60793696885506</v>
      </c>
      <c r="AN55" s="32">
        <f>_xll.BDP(AX55,"PR061")/100</f>
        <v>-9.2524059999999995E-3</v>
      </c>
      <c r="AO55" s="32">
        <f>_xll.BDP(AX55,"PR064")/100</f>
        <v>-9.1464450000000003E-2</v>
      </c>
      <c r="AP55" s="32">
        <f>_xll.BDP(AX55,"CHG_PCT_6M")/100</f>
        <v>7.9217899999999994E-2</v>
      </c>
      <c r="AQ55" s="25">
        <f>_xll.BDP(AX55,"PR079")/100</f>
        <v>2.2927019999999999E-2</v>
      </c>
      <c r="AR55" s="33">
        <f>_xll.BDP(AX55,"hs001")</f>
        <v>13338</v>
      </c>
      <c r="AS55" s="33">
        <f>_xll.BDP(AX55,"hs002")</f>
        <v>9574</v>
      </c>
      <c r="AT55" s="22" t="str" cm="1">
        <f t="array" ref="AT55">IF(OR(_xll.BDP($AX55,"DX202")= "#N/A N/A", _xll.BDP($AX55,"DX202")="#N/A FIELD NOT APPLICABLE"), " ", _xll.BDP($AX55,"DX202"))</f>
        <v>Health Care</v>
      </c>
      <c r="AU55" s="22" t="str" cm="1">
        <f t="array" ref="AU55">IF(OR(_xll.BDP($AX55,"DY997")= "#N/A N/A", _xll.BDP($AX55,"DY997")="#N/A FIELD NOT APPLICABLE"), " ", _xll.BDP($AX55,"DY997"))</f>
        <v>Y</v>
      </c>
      <c r="AV55" s="22" t="str" cm="1">
        <f t="array" ref="AV55">IF(OR(_xll.BDP($AX55,"DY784")= "#N/A N/A", _xll.BDP($AX55,"DY784")="#N/A FIELD NOT APPLICABLE"), " ", _xll.BDP($AX55,"DY784"))</f>
        <v>Y</v>
      </c>
      <c r="AW55" s="22" t="str">
        <f>IF(OR(AU55="Y",AV55="Y"),"Y","N")</f>
        <v>Y</v>
      </c>
      <c r="AX55" s="22" t="str">
        <f>CONCATENATE(G55," ",$AX$2)</f>
        <v>AZN LN Equity</v>
      </c>
      <c r="BC55" s="17" t="str" cm="1">
        <f t="array" ref="BC55">_xll.BDP(AX55,"ID005")</f>
        <v>GB0009895292</v>
      </c>
      <c r="BD55" s="17">
        <v>0.80210000000000004</v>
      </c>
      <c r="BE55" s="18">
        <v>4</v>
      </c>
      <c r="BF55" s="19"/>
      <c r="BG55" s="20"/>
    </row>
    <row r="56" spans="1:59" s="93" customFormat="1" ht="14.45" customHeight="1" x14ac:dyDescent="0.25">
      <c r="A56" s="49" t="s">
        <v>242</v>
      </c>
      <c r="B56" s="49" t="s">
        <v>255</v>
      </c>
      <c r="C56" s="49" t="s">
        <v>256</v>
      </c>
      <c r="D56" s="49" t="s">
        <v>248</v>
      </c>
      <c r="E56" s="22" t="str">
        <f>_xll.BDP(AX56,"SECURITY NAME")</f>
        <v>AstraZeneca PLC</v>
      </c>
      <c r="F56" s="22" t="str">
        <f>_xll.BDP(AX56,"CRNCY")</f>
        <v>GBp</v>
      </c>
      <c r="G56" s="23" t="s">
        <v>79</v>
      </c>
      <c r="H56" s="22" t="str" cm="1">
        <f t="array" ref="H56">IF(OR(_xll.BDP($AX56,"DX202")= "#N/A N/A", _xll.BDP($AX56,"DX202")="#N/A FIELD NOT APPLICABLE"), " ", _xll.BDP($AX56,"DX202"))</f>
        <v>Health Care</v>
      </c>
      <c r="I56" s="24">
        <f>_xll.BDP(AX56,"CRNCY_ADJ_MKT_CAP", "EQY_FUND_CRNCY=USD")/1000</f>
        <v>221.94881519021132</v>
      </c>
      <c r="J56" s="25">
        <f>IFERROR(_xll.BDP(AX56, "DV013")/100,0)</f>
        <v>2.2828071830786563E-2</v>
      </c>
      <c r="K56" s="26" cm="1">
        <f t="array" ref="K56">IF(OR(_xll.BDP($AX56,"RR900")= "#N/A N/A", _xll.BDP($AX56,"RR900")="#N/A FIELD NOT APPLICABLE"), " ", _xll.BDP($AX56,"RR900"))</f>
        <v>28.56962794411178</v>
      </c>
      <c r="L56" s="26" cm="1">
        <f t="array" ref="L56">IF(OR(_xll.BDP($AX56,"EE010")= "#N/A N/A", _xll.BDP($AX56,"EE010")="#N/A FIELD NOT APPLICABLE"), " ", _xll.BDP($AX56,"EE010"))</f>
        <v>13.982009038207346</v>
      </c>
      <c r="M56" s="26" cm="1">
        <f t="array" ref="M56">IF(OR(_xll.BDP($AX56,"RR903")= "#N/A N/A", _xll.BDP($AX56,"RR903")="#N/A FIELD NOT APPLICABLE"), " ", _xll.BDP($AX56,"RR903"))</f>
        <v>5.4082352627258246</v>
      </c>
      <c r="N56" s="26" cm="1">
        <f t="array" ref="N56">IF(OR(_xll.BDP($AX56,"RR957")= "#N/A N/A", _xll.BDP($AX56,"RR957")="#N/A FIELD NOT APPLICABLE"), " ", _xll.BDP($AX56,"RR957"))</f>
        <v>14.369571727754028</v>
      </c>
      <c r="O56" s="27">
        <v>775</v>
      </c>
      <c r="P56" s="28">
        <v>100.88</v>
      </c>
      <c r="Q56" s="22" cm="1">
        <f t="array" ref="Q56">IF(OR(_xll.BDP($AX56,"PX_last")="#N/A N/A",_xll.BDP($AX56,"PX_Last")="#N/A FIELD NOT APPLICABLE")," ",IF(F56="GBP",(_xll.BDP($AX56,"PX_LAST")/100),(_xll.BDP($AX56,"PX_LAST"))))</f>
        <v>107.08</v>
      </c>
      <c r="R56" s="29">
        <f>IF(F56="USD",AA56,(((_xll.BDP(F56&amp;"USD CURNCY","PX_LAST")))*AA56))</f>
        <v>104505.87940000001</v>
      </c>
      <c r="S56" s="29">
        <f>IF(F56="USD",AB56,(((_xll.BDP(F56&amp;"USD CURNCY","PX_LAST")))*AB56))</f>
        <v>110928.72289999999</v>
      </c>
      <c r="T56" s="12">
        <f>S56-R56</f>
        <v>6422.8434999999881</v>
      </c>
      <c r="U56" s="13">
        <f>T56/R56</f>
        <v>6.1459159397303613E-2</v>
      </c>
      <c r="V56" s="13" cm="1">
        <f t="array" ref="V56">IFERROR(_xll.BDP($G56&amp;" Equity","CHG_PCT_1D")/100,"")</f>
        <v>-4.2774780000000004E-3</v>
      </c>
      <c r="W56" s="13" cm="1">
        <f t="array" ref="W56">IFERROR(_xll.BDP($G56&amp;" Equity","CHG_PCT_5D")/100,"")</f>
        <v>1.729052E-2</v>
      </c>
      <c r="X56" s="13" t="e">
        <f>S56/#REF!</f>
        <v>#REF!</v>
      </c>
      <c r="Y56" s="24">
        <f>IFERROR(S56*J56,0)</f>
        <v>2532.2888544586181</v>
      </c>
      <c r="Z56" s="24">
        <f>S56</f>
        <v>110928.72289999999</v>
      </c>
      <c r="AA56" s="29">
        <f>P56*O56</f>
        <v>78182</v>
      </c>
      <c r="AB56" s="29">
        <f>IFERROR(O56*Q56,0)</f>
        <v>82987</v>
      </c>
      <c r="AC56" s="4" t="e" cm="1">
        <f t="array" ref="AC56">VLOOKUP(IF(NOT(_xll.BDP(AX56,$BW$8)="#N/A N/A"),(_xll.BDP(AX56,$BW$8)),"-"), '[1]Country Codes'!$A$2:$B$253,2,0)</f>
        <v>#N/A</v>
      </c>
      <c r="AD56" s="30" t="str" cm="1">
        <f t="array" ref="AD56">IF(OR(_xll.BDP($AX56,"EX028")= "#N/A N/A", _xll.BDP($AX56,"EX028")="#N/A FIELD NOT APPLICABLE"), " ", _xll.BDP($AX56,"EX028"))</f>
        <v>Equity</v>
      </c>
      <c r="AE56" s="31" t="str">
        <f>IF(("AS97"="Equity"), " ", "Single Line Equity")</f>
        <v>Single Line Equity</v>
      </c>
      <c r="AF56" s="26" cm="1">
        <f t="array" ref="AF56">IF(OR(_xll.BDP($AX56,"RR908")= "#N/A N/A", _xll.BDP($AX56,"RR908")="#N/A FIELD NOT APPLICABLE"), " ", _xll.BDP($AX56,"RR908"))</f>
        <v>16.550350302126077</v>
      </c>
      <c r="AG56" s="26" cm="1">
        <f t="array" ref="AG56">IF(OR(_xll.BDP($AX56,"RR041")= "#N/A N/A", _xll.BDP($AX56,"RR041")="#N/A FIELD NOT APPLICABLE"), " ", _xll.BDP($AX56,"RR041"))</f>
        <v>29.120007689719806</v>
      </c>
      <c r="AH56" s="22">
        <f>_xll.BDP(AX56,"TOT_BUY_REC")</f>
        <v>27</v>
      </c>
      <c r="AI56" s="22">
        <f>_xll.BDP(AX56,"TOT_HOLD_REC")</f>
        <v>5</v>
      </c>
      <c r="AJ56" s="22">
        <f>_xll.BDP(AX56,"TOT_SELL_REC")</f>
        <v>0</v>
      </c>
      <c r="AK56" s="26" cm="1">
        <f t="array" ref="AK56">IF(OR(_xll.BDP($AX56,"EE201")= "#N/A N/A", _xll.BDP($AX56,"EE201")="#N/A FIELD NOT APPLICABLE"), " ", _xll.BDP($AX56,"EE201"))</f>
        <v>4.65625</v>
      </c>
      <c r="AL56" s="24">
        <f>_xll.BDP(AX56,"BEST_TARGET_PRICE")</f>
        <v>13771.337890625</v>
      </c>
      <c r="AM56" s="32">
        <f>(AL56/Q56)-1</f>
        <v>127.60793696885506</v>
      </c>
      <c r="AN56" s="32">
        <f>_xll.BDP(AX56,"PR061")/100</f>
        <v>-9.2524059999999995E-3</v>
      </c>
      <c r="AO56" s="32">
        <f>_xll.BDP(AX56,"PR064")/100</f>
        <v>-9.1464450000000003E-2</v>
      </c>
      <c r="AP56" s="32">
        <f>_xll.BDP(AX56,"CHG_PCT_6M")/100</f>
        <v>7.9217899999999994E-2</v>
      </c>
      <c r="AQ56" s="25">
        <f>_xll.BDP(AX56,"PR079")/100</f>
        <v>2.2927019999999999E-2</v>
      </c>
      <c r="AR56" s="33">
        <f>_xll.BDP(AX56,"hs001")</f>
        <v>13338</v>
      </c>
      <c r="AS56" s="33">
        <f>_xll.BDP(AX56,"hs002")</f>
        <v>9574</v>
      </c>
      <c r="AT56" s="22" t="str" cm="1">
        <f t="array" ref="AT56">IF(OR(_xll.BDP($AX56,"DX202")= "#N/A N/A", _xll.BDP($AX56,"DX202")="#N/A FIELD NOT APPLICABLE"), " ", _xll.BDP($AX56,"DX202"))</f>
        <v>Health Care</v>
      </c>
      <c r="AU56" s="22" t="str" cm="1">
        <f t="array" ref="AU56">IF(OR(_xll.BDP($AX56,"DY997")= "#N/A N/A", _xll.BDP($AX56,"DY997")="#N/A FIELD NOT APPLICABLE"), " ", _xll.BDP($AX56,"DY997"))</f>
        <v>Y</v>
      </c>
      <c r="AV56" s="22" t="str" cm="1">
        <f t="array" ref="AV56">IF(OR(_xll.BDP($AX56,"DY784")= "#N/A N/A", _xll.BDP($AX56,"DY784")="#N/A FIELD NOT APPLICABLE"), " ", _xll.BDP($AX56,"DY784"))</f>
        <v>Y</v>
      </c>
      <c r="AW56" s="22" t="str">
        <f>IF(OR(AU56="Y",AV56="Y"),"Y","N")</f>
        <v>Y</v>
      </c>
      <c r="AX56" s="22" t="str">
        <f>CONCATENATE(G56," ",$AX$2)</f>
        <v>AZN LN Equity</v>
      </c>
      <c r="BC56" s="38" t="str" cm="1">
        <f t="array" ref="BC56">_xll.BDP(AX56,"ID005")</f>
        <v>GB0009895292</v>
      </c>
      <c r="BD56" s="38">
        <v>0.80210000000000004</v>
      </c>
      <c r="BE56" s="94">
        <v>4</v>
      </c>
      <c r="BF56" s="95"/>
      <c r="BG56" s="96"/>
    </row>
    <row r="57" spans="1:59" s="3" customFormat="1" ht="14.45" customHeight="1" x14ac:dyDescent="0.25">
      <c r="A57" s="49" t="s">
        <v>242</v>
      </c>
      <c r="B57" s="49" t="s">
        <v>332</v>
      </c>
      <c r="C57" s="72" t="s">
        <v>333</v>
      </c>
      <c r="D57" s="49" t="s">
        <v>248</v>
      </c>
      <c r="E57" s="22" t="str">
        <f>_xll.BDP(AX57,"SECURITY NAME")</f>
        <v>AstraZeneca PLC</v>
      </c>
      <c r="F57" s="22" t="str">
        <f>_xll.BDP(AX57,"CRNCY")</f>
        <v>GBp</v>
      </c>
      <c r="G57" s="23" t="s">
        <v>79</v>
      </c>
      <c r="H57" s="22" t="str" cm="1">
        <f t="array" ref="H57">IF(OR(_xll.BDP($AX57,"DX202")= "#N/A N/A", _xll.BDP($AX57,"DX202")="#N/A FIELD NOT APPLICABLE"), " ", _xll.BDP($AX57,"DX202"))</f>
        <v>Health Care</v>
      </c>
      <c r="I57" s="24">
        <f>_xll.BDP(AX57,"CRNCY_ADJ_MKT_CAP", "EQY_FUND_CRNCY=USD")/1000</f>
        <v>221.94881519021132</v>
      </c>
      <c r="J57" s="25">
        <f>IFERROR(_xll.BDP(AX57, "DV013")/100,0)</f>
        <v>2.2828071830786563E-2</v>
      </c>
      <c r="K57" s="26" cm="1">
        <f t="array" ref="K57">IF(OR(_xll.BDP($AX57,"RR900")= "#N/A N/A", _xll.BDP($AX57,"RR900")="#N/A FIELD NOT APPLICABLE"), " ", _xll.BDP($AX57,"RR900"))</f>
        <v>28.56962794411178</v>
      </c>
      <c r="L57" s="26" cm="1">
        <f t="array" ref="L57">IF(OR(_xll.BDP($AX57,"EE010")= "#N/A N/A", _xll.BDP($AX57,"EE010")="#N/A FIELD NOT APPLICABLE"), " ", _xll.BDP($AX57,"EE010"))</f>
        <v>13.982009038207346</v>
      </c>
      <c r="M57" s="26" cm="1">
        <f t="array" ref="M57">IF(OR(_xll.BDP($AX57,"RR903")= "#N/A N/A", _xll.BDP($AX57,"RR903")="#N/A FIELD NOT APPLICABLE"), " ", _xll.BDP($AX57,"RR903"))</f>
        <v>5.4082352627258246</v>
      </c>
      <c r="N57" s="26" cm="1">
        <f t="array" ref="N57">IF(OR(_xll.BDP($AX57,"RR957")= "#N/A N/A", _xll.BDP($AX57,"RR957")="#N/A FIELD NOT APPLICABLE"), " ", _xll.BDP($AX57,"RR957"))</f>
        <v>14.369571727754028</v>
      </c>
      <c r="O57" s="27">
        <v>388</v>
      </c>
      <c r="P57" s="28">
        <v>101.11</v>
      </c>
      <c r="Q57" s="22" cm="1">
        <f t="array" ref="Q57">IF(OR(_xll.BDP($AX57,"PX_last")="#N/A N/A",_xll.BDP($AX57,"PX_Last")="#N/A FIELD NOT APPLICABLE")," ",IF(F57="GBP",(_xll.BDP($AX57,"PX_LAST")/100),(_xll.BDP($AX57,"PX_LAST"))))</f>
        <v>107.08</v>
      </c>
      <c r="R57" s="29">
        <f>IF(F57="USD",AA57,(((_xll.BDP(F57&amp;"USD CURNCY","PX_LAST")))*AA57))</f>
        <v>52439.649956000001</v>
      </c>
      <c r="S57" s="29">
        <f>IF(F57="USD",AB57,(((_xll.BDP(F57&amp;"USD CURNCY","PX_LAST")))*AB57))</f>
        <v>55535.928368000001</v>
      </c>
      <c r="T57" s="12">
        <f>S57-R57</f>
        <v>3096.2784119999997</v>
      </c>
      <c r="U57" s="13">
        <f>T57/R57</f>
        <v>5.9044604885767966E-2</v>
      </c>
      <c r="V57" s="13" cm="1">
        <f t="array" ref="V57">IFERROR(_xll.BDP($G57&amp;" Equity","CHG_PCT_1D")/100,"")</f>
        <v>-4.2774780000000004E-3</v>
      </c>
      <c r="W57" s="13" cm="1">
        <f t="array" ref="W57">IFERROR(_xll.BDP($G57&amp;" Equity","CHG_PCT_5D")/100,"")</f>
        <v>1.729052E-2</v>
      </c>
      <c r="X57" s="13" t="e">
        <f>S57/#REF!</f>
        <v>#REF!</v>
      </c>
      <c r="Y57" s="24">
        <f>IFERROR(S57*J57,0)</f>
        <v>1267.7781619741213</v>
      </c>
      <c r="Z57" s="24">
        <f>S57</f>
        <v>55535.928368000001</v>
      </c>
      <c r="AA57" s="29">
        <f>P57*O57</f>
        <v>39230.68</v>
      </c>
      <c r="AB57" s="29">
        <f>IFERROR(O57*Q57,0)</f>
        <v>41547.040000000001</v>
      </c>
      <c r="AC57" s="4" t="e" cm="1">
        <f t="array" ref="AC57">VLOOKUP(IF(NOT(_xll.BDP(AX57,$BW$8)="#N/A N/A"),(_xll.BDP(AX57,$BW$8)),"-"), '[1]Country Codes'!$A$2:$B$253,2,0)</f>
        <v>#N/A</v>
      </c>
      <c r="AD57" s="30" t="str" cm="1">
        <f t="array" ref="AD57">IF(OR(_xll.BDP($AX57,"EX028")= "#N/A N/A", _xll.BDP($AX57,"EX028")="#N/A FIELD NOT APPLICABLE"), " ", _xll.BDP($AX57,"EX028"))</f>
        <v>Equity</v>
      </c>
      <c r="AE57" s="31" t="str">
        <f>IF(("AS97"="Equity"), " ", "Single Line Equity")</f>
        <v>Single Line Equity</v>
      </c>
      <c r="AF57" s="26" cm="1">
        <f t="array" ref="AF57">IF(OR(_xll.BDP($AX57,"RR908")= "#N/A N/A", _xll.BDP($AX57,"RR908")="#N/A FIELD NOT APPLICABLE"), " ", _xll.BDP($AX57,"RR908"))</f>
        <v>16.550350302126077</v>
      </c>
      <c r="AG57" s="26" cm="1">
        <f t="array" ref="AG57">IF(OR(_xll.BDP($AX57,"RR041")= "#N/A N/A", _xll.BDP($AX57,"RR041")="#N/A FIELD NOT APPLICABLE"), " ", _xll.BDP($AX57,"RR041"))</f>
        <v>29.120007689719806</v>
      </c>
      <c r="AH57" s="22">
        <f>_xll.BDP(AX57,"TOT_BUY_REC")</f>
        <v>27</v>
      </c>
      <c r="AI57" s="22">
        <f>_xll.BDP(AX57,"TOT_HOLD_REC")</f>
        <v>5</v>
      </c>
      <c r="AJ57" s="22">
        <f>_xll.BDP(AX57,"TOT_SELL_REC")</f>
        <v>0</v>
      </c>
      <c r="AK57" s="26" cm="1">
        <f t="array" ref="AK57">IF(OR(_xll.BDP($AX57,"EE201")= "#N/A N/A", _xll.BDP($AX57,"EE201")="#N/A FIELD NOT APPLICABLE"), " ", _xll.BDP($AX57,"EE201"))</f>
        <v>4.65625</v>
      </c>
      <c r="AL57" s="24">
        <f>_xll.BDP(AX57,"BEST_TARGET_PRICE")</f>
        <v>13771.337890625</v>
      </c>
      <c r="AM57" s="32">
        <f>(AL57/Q57)-1</f>
        <v>127.60793696885506</v>
      </c>
      <c r="AN57" s="32">
        <f>_xll.BDP(AX57,"PR061")/100</f>
        <v>-9.2524059999999995E-3</v>
      </c>
      <c r="AO57" s="32">
        <f>_xll.BDP(AX57,"PR064")/100</f>
        <v>-9.1464450000000003E-2</v>
      </c>
      <c r="AP57" s="32">
        <f>_xll.BDP(AX57,"CHG_PCT_6M")/100</f>
        <v>7.9217899999999994E-2</v>
      </c>
      <c r="AQ57" s="25">
        <f>_xll.BDP(AX57,"PR079")/100</f>
        <v>2.2927019999999999E-2</v>
      </c>
      <c r="AR57" s="33">
        <f>_xll.BDP(AX57,"hs001")</f>
        <v>13338</v>
      </c>
      <c r="AS57" s="33">
        <f>_xll.BDP(AX57,"hs002")</f>
        <v>9574</v>
      </c>
      <c r="AT57" s="22" t="str" cm="1">
        <f t="array" ref="AT57">IF(OR(_xll.BDP($AX57,"DX202")= "#N/A N/A", _xll.BDP($AX57,"DX202")="#N/A FIELD NOT APPLICABLE"), " ", _xll.BDP($AX57,"DX202"))</f>
        <v>Health Care</v>
      </c>
      <c r="AU57" s="22" t="str" cm="1">
        <f t="array" ref="AU57">IF(OR(_xll.BDP($AX57,"DY997")= "#N/A N/A", _xll.BDP($AX57,"DY997")="#N/A FIELD NOT APPLICABLE"), " ", _xll.BDP($AX57,"DY997"))</f>
        <v>Y</v>
      </c>
      <c r="AV57" s="22" t="str" cm="1">
        <f t="array" ref="AV57">IF(OR(_xll.BDP($AX57,"DY784")= "#N/A N/A", _xll.BDP($AX57,"DY784")="#N/A FIELD NOT APPLICABLE"), " ", _xll.BDP($AX57,"DY784"))</f>
        <v>Y</v>
      </c>
      <c r="AW57" s="22" t="str">
        <f>IF(OR(AU57="Y",AV57="Y"),"Y","N")</f>
        <v>Y</v>
      </c>
      <c r="AX57" s="22" t="str">
        <f>CONCATENATE(G57," ",$AX$2)</f>
        <v>AZN LN Equity</v>
      </c>
      <c r="BC57" s="17" t="str" cm="1">
        <f t="array" ref="BC57">_xll.BDP(AX57,"ID005")</f>
        <v>GB0009895292</v>
      </c>
      <c r="BD57" s="17">
        <v>0.80210000000000004</v>
      </c>
      <c r="BE57" s="18">
        <v>4</v>
      </c>
      <c r="BF57" s="19"/>
      <c r="BG57" s="20"/>
    </row>
    <row r="58" spans="1:59" s="3" customFormat="1" ht="14.45" customHeight="1" x14ac:dyDescent="0.25">
      <c r="A58" s="49" t="s">
        <v>242</v>
      </c>
      <c r="B58" s="49" t="s">
        <v>260</v>
      </c>
      <c r="C58" s="49" t="s">
        <v>261</v>
      </c>
      <c r="D58" s="49" t="s">
        <v>248</v>
      </c>
      <c r="E58" s="22" t="str">
        <f>_xll.BDP(AX58,"SECURITY NAME")</f>
        <v>AstraZeneca PLC</v>
      </c>
      <c r="F58" s="22" t="str">
        <f>_xll.BDP(AX58,"CRNCY")</f>
        <v>GBp</v>
      </c>
      <c r="G58" s="73" t="s">
        <v>79</v>
      </c>
      <c r="H58" s="22" t="str" cm="1">
        <f t="array" ref="H58">IF(OR(_xll.BDP($AX58,"DX202")= "#N/A N/A", _xll.BDP($AX58,"DX202")="#N/A FIELD NOT APPLICABLE"), " ", _xll.BDP($AX58,"DX202"))</f>
        <v>Health Care</v>
      </c>
      <c r="I58" s="24">
        <f>_xll.BDP(AX58,"CRNCY_ADJ_MKT_CAP", "EQY_FUND_CRNCY=USD")/1000</f>
        <v>221.94881519021132</v>
      </c>
      <c r="J58" s="25">
        <f>IFERROR(_xll.BDP(AX58, "DV013")/100,0)</f>
        <v>2.2828071830786563E-2</v>
      </c>
      <c r="K58" s="26" cm="1">
        <f t="array" ref="K58">IF(OR(_xll.BDP($AX58,"RR900")= "#N/A N/A", _xll.BDP($AX58,"RR900")="#N/A FIELD NOT APPLICABLE"), " ", _xll.BDP($AX58,"RR900"))</f>
        <v>28.56962794411178</v>
      </c>
      <c r="L58" s="26" cm="1">
        <f t="array" ref="L58">IF(OR(_xll.BDP($AX58,"EE010")= "#N/A N/A", _xll.BDP($AX58,"EE010")="#N/A FIELD NOT APPLICABLE"), " ", _xll.BDP($AX58,"EE010"))</f>
        <v>13.982009038207346</v>
      </c>
      <c r="M58" s="26" cm="1">
        <f t="array" ref="M58">IF(OR(_xll.BDP($AX58,"RR903")= "#N/A N/A", _xll.BDP($AX58,"RR903")="#N/A FIELD NOT APPLICABLE"), " ", _xll.BDP($AX58,"RR903"))</f>
        <v>5.4082352627258246</v>
      </c>
      <c r="N58" s="26" cm="1">
        <f t="array" ref="N58">IF(OR(_xll.BDP($AX58,"RR957")= "#N/A N/A", _xll.BDP($AX58,"RR957")="#N/A FIELD NOT APPLICABLE"), " ", _xll.BDP($AX58,"RR957"))</f>
        <v>14.369571727754028</v>
      </c>
      <c r="O58" s="74">
        <v>393</v>
      </c>
      <c r="P58" s="75">
        <v>101.19</v>
      </c>
      <c r="Q58" s="22" cm="1">
        <f t="array" ref="Q58">IF(OR(_xll.BDP($AX58,"PX_last")="#N/A N/A",_xll.BDP($AX58,"PX_Last")="#N/A FIELD NOT APPLICABLE")," ",IF(F58="GBP",(_xll.BDP($AX58,"PX_LAST")/100),(_xll.BDP($AX58,"PX_LAST"))))</f>
        <v>107.08</v>
      </c>
      <c r="R58" s="29">
        <f>IF(F58="USD",AA58,(((_xll.BDP(F58&amp;"USD CURNCY","PX_LAST")))*AA58))</f>
        <v>53157.444488999994</v>
      </c>
      <c r="S58" s="29">
        <f>IF(F58="USD",AB58,(((_xll.BDP(F58&amp;"USD CURNCY","PX_LAST")))*AB58))</f>
        <v>56251.597548000005</v>
      </c>
      <c r="T58" s="12">
        <f>S58-R58</f>
        <v>3094.1530590000111</v>
      </c>
      <c r="U58" s="13">
        <f>T58/R58</f>
        <v>5.8207332740389583E-2</v>
      </c>
      <c r="V58" s="13" cm="1">
        <f t="array" ref="V58">IFERROR(_xll.BDP($G58&amp;" Equity","CHG_PCT_1D")/100,"")</f>
        <v>-4.2774780000000004E-3</v>
      </c>
      <c r="W58" s="13" cm="1">
        <f t="array" ref="W58">IFERROR(_xll.BDP($G58&amp;" Equity","CHG_PCT_5D")/100,"")</f>
        <v>1.729052E-2</v>
      </c>
      <c r="X58" s="13" t="e">
        <f>S58/#REF!</f>
        <v>#REF!</v>
      </c>
      <c r="Y58" s="24">
        <f>IFERROR(S58*J58,0)</f>
        <v>1284.1155094222413</v>
      </c>
      <c r="Z58" s="24">
        <f>S58</f>
        <v>56251.597548000005</v>
      </c>
      <c r="AA58" s="29">
        <f>P58*O58</f>
        <v>39767.67</v>
      </c>
      <c r="AB58" s="29">
        <f>IFERROR(O58*Q58,0)</f>
        <v>42082.44</v>
      </c>
      <c r="AC58" s="4" t="e" cm="1">
        <f t="array" ref="AC58">VLOOKUP(IF(NOT(_xll.BDP(AX58,$BW$8)="#N/A N/A"),(_xll.BDP(AX58,$BW$8)),"-"), '[1]Country Codes'!$A$2:$B$253,2,0)</f>
        <v>#N/A</v>
      </c>
      <c r="AD58" s="30" t="str" cm="1">
        <f t="array" ref="AD58">IF(OR(_xll.BDP($AX58,"EX028")= "#N/A N/A", _xll.BDP($AX58,"EX028")="#N/A FIELD NOT APPLICABLE"), " ", _xll.BDP($AX58,"EX028"))</f>
        <v>Equity</v>
      </c>
      <c r="AE58" s="31" t="str">
        <f>IF(("AS97"="Equity"), " ", "Single Line Equity")</f>
        <v>Single Line Equity</v>
      </c>
      <c r="AF58" s="26" cm="1">
        <f t="array" ref="AF58">IF(OR(_xll.BDP($AX58,"RR908")= "#N/A N/A", _xll.BDP($AX58,"RR908")="#N/A FIELD NOT APPLICABLE"), " ", _xll.BDP($AX58,"RR908"))</f>
        <v>16.550350302126077</v>
      </c>
      <c r="AG58" s="26" cm="1">
        <f t="array" ref="AG58">IF(OR(_xll.BDP($AX58,"RR041")= "#N/A N/A", _xll.BDP($AX58,"RR041")="#N/A FIELD NOT APPLICABLE"), " ", _xll.BDP($AX58,"RR041"))</f>
        <v>29.120007689719806</v>
      </c>
      <c r="AH58" s="22">
        <f>_xll.BDP(AX58,"TOT_BUY_REC")</f>
        <v>27</v>
      </c>
      <c r="AI58" s="22">
        <f>_xll.BDP(AX58,"TOT_HOLD_REC")</f>
        <v>5</v>
      </c>
      <c r="AJ58" s="22">
        <f>_xll.BDP(AX58,"TOT_SELL_REC")</f>
        <v>0</v>
      </c>
      <c r="AK58" s="26" cm="1">
        <f t="array" ref="AK58">IF(OR(_xll.BDP($AX58,"EE201")= "#N/A N/A", _xll.BDP($AX58,"EE201")="#N/A FIELD NOT APPLICABLE"), " ", _xll.BDP($AX58,"EE201"))</f>
        <v>4.65625</v>
      </c>
      <c r="AL58" s="24">
        <f>_xll.BDP(AX58,"BEST_TARGET_PRICE")</f>
        <v>13771.337890625</v>
      </c>
      <c r="AM58" s="32">
        <f>(AL58/Q58)-1</f>
        <v>127.60793696885506</v>
      </c>
      <c r="AN58" s="32">
        <f>_xll.BDP(AX58,"PR061")/100</f>
        <v>-9.2524059999999995E-3</v>
      </c>
      <c r="AO58" s="32">
        <f>_xll.BDP(AX58,"PR064")/100</f>
        <v>-9.1464450000000003E-2</v>
      </c>
      <c r="AP58" s="32">
        <f>_xll.BDP(AX58,"CHG_PCT_6M")/100</f>
        <v>7.9217899999999994E-2</v>
      </c>
      <c r="AQ58" s="25">
        <f>_xll.BDP(AX58,"PR079")/100</f>
        <v>2.2927019999999999E-2</v>
      </c>
      <c r="AR58" s="33">
        <f>_xll.BDP(AX58,"hs001")</f>
        <v>13338</v>
      </c>
      <c r="AS58" s="33">
        <f>_xll.BDP(AX58,"hs002")</f>
        <v>9574</v>
      </c>
      <c r="AT58" s="22" t="str" cm="1">
        <f t="array" ref="AT58">IF(OR(_xll.BDP($AX58,"DX202")= "#N/A N/A", _xll.BDP($AX58,"DX202")="#N/A FIELD NOT APPLICABLE"), " ", _xll.BDP($AX58,"DX202"))</f>
        <v>Health Care</v>
      </c>
      <c r="AU58" s="22" t="str" cm="1">
        <f t="array" ref="AU58">IF(OR(_xll.BDP($AX58,"DY997")= "#N/A N/A", _xll.BDP($AX58,"DY997")="#N/A FIELD NOT APPLICABLE"), " ", _xll.BDP($AX58,"DY997"))</f>
        <v>Y</v>
      </c>
      <c r="AV58" s="22" t="str" cm="1">
        <f t="array" ref="AV58">IF(OR(_xll.BDP($AX58,"DY784")= "#N/A N/A", _xll.BDP($AX58,"DY784")="#N/A FIELD NOT APPLICABLE"), " ", _xll.BDP($AX58,"DY784"))</f>
        <v>Y</v>
      </c>
      <c r="AW58" s="22" t="str">
        <f>IF(OR(AU58="Y",AV58="Y"),"Y","N")</f>
        <v>Y</v>
      </c>
      <c r="AX58" s="22" t="str">
        <f>CONCATENATE(G58," ",$AX$2)</f>
        <v>AZN LN Equity</v>
      </c>
      <c r="BC58" s="17" t="str" cm="1">
        <f t="array" ref="BC58">_xll.BDP(AX58,"ID005")</f>
        <v>GB0009895292</v>
      </c>
      <c r="BD58" s="17">
        <v>0.80210000000000004</v>
      </c>
      <c r="BE58" s="18">
        <v>4</v>
      </c>
      <c r="BF58" s="19"/>
      <c r="BG58" s="20"/>
    </row>
    <row r="59" spans="1:59" s="3" customFormat="1" ht="14.45" customHeight="1" x14ac:dyDescent="0.25">
      <c r="A59" s="49" t="s">
        <v>242</v>
      </c>
      <c r="B59" s="49" t="s">
        <v>264</v>
      </c>
      <c r="C59" s="49" t="s">
        <v>265</v>
      </c>
      <c r="D59" s="49" t="s">
        <v>248</v>
      </c>
      <c r="E59" s="22" t="str">
        <f>_xll.BDP(AX59,"SECURITY NAME")</f>
        <v>AstraZeneca PLC</v>
      </c>
      <c r="F59" s="22" t="str">
        <f>_xll.BDP(AX59,"CRNCY")</f>
        <v>GBp</v>
      </c>
      <c r="G59" s="23" t="s">
        <v>79</v>
      </c>
      <c r="H59" s="22" t="str" cm="1">
        <f t="array" ref="H59">IF(OR(_xll.BDP($AX59,"DX202")= "#N/A N/A", _xll.BDP($AX59,"DX202")="#N/A FIELD NOT APPLICABLE"), " ", _xll.BDP($AX59,"DX202"))</f>
        <v>Health Care</v>
      </c>
      <c r="I59" s="24">
        <f>_xll.BDP(AX59,"CRNCY_ADJ_MKT_CAP", "EQY_FUND_CRNCY=USD")/1000</f>
        <v>221.94881519021132</v>
      </c>
      <c r="J59" s="25">
        <f>IFERROR(_xll.BDP(AX59, "DV013")/100,0)</f>
        <v>2.2828071830786563E-2</v>
      </c>
      <c r="K59" s="26" cm="1">
        <f t="array" ref="K59">IF(OR(_xll.BDP($AX59,"RR900")= "#N/A N/A", _xll.BDP($AX59,"RR900")="#N/A FIELD NOT APPLICABLE"), " ", _xll.BDP($AX59,"RR900"))</f>
        <v>28.56962794411178</v>
      </c>
      <c r="L59" s="26" cm="1">
        <f t="array" ref="L59">IF(OR(_xll.BDP($AX59,"EE010")= "#N/A N/A", _xll.BDP($AX59,"EE010")="#N/A FIELD NOT APPLICABLE"), " ", _xll.BDP($AX59,"EE010"))</f>
        <v>13.982009038207346</v>
      </c>
      <c r="M59" s="26" cm="1">
        <f t="array" ref="M59">IF(OR(_xll.BDP($AX59,"RR903")= "#N/A N/A", _xll.BDP($AX59,"RR903")="#N/A FIELD NOT APPLICABLE"), " ", _xll.BDP($AX59,"RR903"))</f>
        <v>5.4082352627258246</v>
      </c>
      <c r="N59" s="26" cm="1">
        <f t="array" ref="N59">IF(OR(_xll.BDP($AX59,"RR957")= "#N/A N/A", _xll.BDP($AX59,"RR957")="#N/A FIELD NOT APPLICABLE"), " ", _xll.BDP($AX59,"RR957"))</f>
        <v>14.369571727754028</v>
      </c>
      <c r="O59" s="27">
        <v>393</v>
      </c>
      <c r="P59" s="28">
        <v>101.19</v>
      </c>
      <c r="Q59" s="22" cm="1">
        <f t="array" ref="Q59">IF(OR(_xll.BDP($AX59,"PX_last")="#N/A N/A",_xll.BDP($AX59,"PX_Last")="#N/A FIELD NOT APPLICABLE")," ",IF(F59="GBP",(_xll.BDP($AX59,"PX_LAST")/100),(_xll.BDP($AX59,"PX_LAST"))))</f>
        <v>107.08</v>
      </c>
      <c r="R59" s="29">
        <f>IF(F59="USD",AA59,(((_xll.BDP(F59&amp;"USD CURNCY","PX_LAST")))*AA59))</f>
        <v>53157.444488999994</v>
      </c>
      <c r="S59" s="29">
        <f>IF(F59="USD",AB59,(((_xll.BDP(F59&amp;"USD CURNCY","PX_LAST")))*AB59))</f>
        <v>56251.597548000005</v>
      </c>
      <c r="T59" s="12">
        <f>S59-R59</f>
        <v>3094.1530590000111</v>
      </c>
      <c r="U59" s="13">
        <f>T59/R59</f>
        <v>5.8207332740389583E-2</v>
      </c>
      <c r="V59" s="13" cm="1">
        <f t="array" ref="V59">IFERROR(_xll.BDP($G59&amp;" Equity","CHG_PCT_1D")/100,"")</f>
        <v>-4.2774780000000004E-3</v>
      </c>
      <c r="W59" s="13" cm="1">
        <f t="array" ref="W59">IFERROR(_xll.BDP($G59&amp;" Equity","CHG_PCT_5D")/100,"")</f>
        <v>1.729052E-2</v>
      </c>
      <c r="X59" s="13" t="e">
        <f>S59/#REF!</f>
        <v>#REF!</v>
      </c>
      <c r="Y59" s="24">
        <f>IFERROR(S59*J59,0)</f>
        <v>1284.1155094222413</v>
      </c>
      <c r="Z59" s="24">
        <f>S59</f>
        <v>56251.597548000005</v>
      </c>
      <c r="AA59" s="29">
        <f>P59*O59</f>
        <v>39767.67</v>
      </c>
      <c r="AB59" s="29">
        <f>IFERROR(O59*Q59,0)</f>
        <v>42082.44</v>
      </c>
      <c r="AC59" s="4" t="e" cm="1">
        <f t="array" ref="AC59">VLOOKUP(IF(NOT(_xll.BDP(AX59,$BW$8)="#N/A N/A"),(_xll.BDP(AX59,$BW$8)),"-"), '[1]Country Codes'!$A$2:$B$253,2,0)</f>
        <v>#N/A</v>
      </c>
      <c r="AD59" s="30" t="str" cm="1">
        <f t="array" ref="AD59">IF(OR(_xll.BDP($AX59,"EX028")= "#N/A N/A", _xll.BDP($AX59,"EX028")="#N/A FIELD NOT APPLICABLE"), " ", _xll.BDP($AX59,"EX028"))</f>
        <v>Equity</v>
      </c>
      <c r="AE59" s="31" t="str">
        <f>IF(("AS97"="Equity"), " ", "Single Line Equity")</f>
        <v>Single Line Equity</v>
      </c>
      <c r="AF59" s="26" cm="1">
        <f t="array" ref="AF59">IF(OR(_xll.BDP($AX59,"RR908")= "#N/A N/A", _xll.BDP($AX59,"RR908")="#N/A FIELD NOT APPLICABLE"), " ", _xll.BDP($AX59,"RR908"))</f>
        <v>16.550350302126077</v>
      </c>
      <c r="AG59" s="26" cm="1">
        <f t="array" ref="AG59">IF(OR(_xll.BDP($AX59,"RR041")= "#N/A N/A", _xll.BDP($AX59,"RR041")="#N/A FIELD NOT APPLICABLE"), " ", _xll.BDP($AX59,"RR041"))</f>
        <v>29.120007689719806</v>
      </c>
      <c r="AH59" s="22">
        <f>_xll.BDP(AX59,"TOT_BUY_REC")</f>
        <v>27</v>
      </c>
      <c r="AI59" s="22">
        <f>_xll.BDP(AX59,"TOT_HOLD_REC")</f>
        <v>5</v>
      </c>
      <c r="AJ59" s="22">
        <f>_xll.BDP(AX59,"TOT_SELL_REC")</f>
        <v>0</v>
      </c>
      <c r="AK59" s="26" cm="1">
        <f t="array" ref="AK59">IF(OR(_xll.BDP($AX59,"EE201")= "#N/A N/A", _xll.BDP($AX59,"EE201")="#N/A FIELD NOT APPLICABLE"), " ", _xll.BDP($AX59,"EE201"))</f>
        <v>4.65625</v>
      </c>
      <c r="AL59" s="24">
        <f>_xll.BDP(AX59,"BEST_TARGET_PRICE")</f>
        <v>13771.337890625</v>
      </c>
      <c r="AM59" s="32">
        <f>(AL59/Q59)-1</f>
        <v>127.60793696885506</v>
      </c>
      <c r="AN59" s="32">
        <f>_xll.BDP(AX59,"PR061")/100</f>
        <v>-9.2524059999999995E-3</v>
      </c>
      <c r="AO59" s="32">
        <f>_xll.BDP(AX59,"PR064")/100</f>
        <v>-9.1464450000000003E-2</v>
      </c>
      <c r="AP59" s="32">
        <f>_xll.BDP(AX59,"CHG_PCT_6M")/100</f>
        <v>7.9217899999999994E-2</v>
      </c>
      <c r="AQ59" s="25">
        <f>_xll.BDP(AX59,"PR079")/100</f>
        <v>2.2927019999999999E-2</v>
      </c>
      <c r="AR59" s="33">
        <f>_xll.BDP(AX59,"hs001")</f>
        <v>13338</v>
      </c>
      <c r="AS59" s="33">
        <f>_xll.BDP(AX59,"hs002")</f>
        <v>9574</v>
      </c>
      <c r="AT59" s="22" t="str" cm="1">
        <f t="array" ref="AT59">IF(OR(_xll.BDP($AX59,"DX202")= "#N/A N/A", _xll.BDP($AX59,"DX202")="#N/A FIELD NOT APPLICABLE"), " ", _xll.BDP($AX59,"DX202"))</f>
        <v>Health Care</v>
      </c>
      <c r="AU59" s="22" t="str" cm="1">
        <f t="array" ref="AU59">IF(OR(_xll.BDP($AX59,"DY997")= "#N/A N/A", _xll.BDP($AX59,"DY997")="#N/A FIELD NOT APPLICABLE"), " ", _xll.BDP($AX59,"DY997"))</f>
        <v>Y</v>
      </c>
      <c r="AV59" s="22" t="str" cm="1">
        <f t="array" ref="AV59">IF(OR(_xll.BDP($AX59,"DY784")= "#N/A N/A", _xll.BDP($AX59,"DY784")="#N/A FIELD NOT APPLICABLE"), " ", _xll.BDP($AX59,"DY784"))</f>
        <v>Y</v>
      </c>
      <c r="AW59" s="22" t="str">
        <f>IF(OR(AU59="Y",AV59="Y"),"Y","N")</f>
        <v>Y</v>
      </c>
      <c r="AX59" s="22" t="str">
        <f>CONCATENATE(G59," ",$AX$2)</f>
        <v>AZN LN Equity</v>
      </c>
      <c r="BC59" s="17" t="str" cm="1">
        <f t="array" ref="BC59">_xll.BDP(AX59,"ID005")</f>
        <v>GB0009895292</v>
      </c>
      <c r="BD59" s="17">
        <v>0.80210000000000004</v>
      </c>
      <c r="BE59" s="18">
        <v>4</v>
      </c>
      <c r="BF59" s="19"/>
      <c r="BG59" s="20"/>
    </row>
    <row r="60" spans="1:59" s="3" customFormat="1" ht="14.45" customHeight="1" x14ac:dyDescent="0.25">
      <c r="A60" s="49" t="s">
        <v>241</v>
      </c>
      <c r="B60" s="49" t="s">
        <v>270</v>
      </c>
      <c r="C60" s="49" t="s">
        <v>271</v>
      </c>
      <c r="D60" s="49" t="s">
        <v>240</v>
      </c>
      <c r="E60" s="22" t="str">
        <f>_xll.BDP(AX60,"SECURITY NAME")</f>
        <v>AstraZeneca PLC</v>
      </c>
      <c r="F60" s="22" t="str">
        <f>_xll.BDP(AX60,"CRNCY")</f>
        <v>GBp</v>
      </c>
      <c r="G60" s="23" t="s">
        <v>79</v>
      </c>
      <c r="H60" s="22" t="str" cm="1">
        <f t="array" ref="H60">IF(OR(_xll.BDP($AX60,"DX202")= "#N/A N/A", _xll.BDP($AX60,"DX202")="#N/A FIELD NOT APPLICABLE"), " ", _xll.BDP($AX60,"DX202"))</f>
        <v>Health Care</v>
      </c>
      <c r="I60" s="24">
        <f>_xll.BDP(AX60,"CRNCY_ADJ_MKT_CAP", "EQY_FUND_CRNCY=USD")/1000</f>
        <v>221.94881519021132</v>
      </c>
      <c r="J60" s="25">
        <f>IFERROR(_xll.BDP(AX60, "DV013")/100,0)</f>
        <v>2.2828071830786563E-2</v>
      </c>
      <c r="K60" s="26" cm="1">
        <f t="array" ref="K60">IF(OR(_xll.BDP($AX60,"RR900")= "#N/A N/A", _xll.BDP($AX60,"RR900")="#N/A FIELD NOT APPLICABLE"), " ", _xll.BDP($AX60,"RR900"))</f>
        <v>28.56962794411178</v>
      </c>
      <c r="L60" s="26" cm="1">
        <f t="array" ref="L60">IF(OR(_xll.BDP($AX60,"EE010")= "#N/A N/A", _xll.BDP($AX60,"EE010")="#N/A FIELD NOT APPLICABLE"), " ", _xll.BDP($AX60,"EE010"))</f>
        <v>13.982009038207346</v>
      </c>
      <c r="M60" s="26" cm="1">
        <f t="array" ref="M60">IF(OR(_xll.BDP($AX60,"RR903")= "#N/A N/A", _xll.BDP($AX60,"RR903")="#N/A FIELD NOT APPLICABLE"), " ", _xll.BDP($AX60,"RR903"))</f>
        <v>5.4082352627258246</v>
      </c>
      <c r="N60" s="26" cm="1">
        <f t="array" ref="N60">IF(OR(_xll.BDP($AX60,"RR957")= "#N/A N/A", _xll.BDP($AX60,"RR957")="#N/A FIELD NOT APPLICABLE"), " ", _xll.BDP($AX60,"RR957"))</f>
        <v>14.369571727754028</v>
      </c>
      <c r="O60" s="27">
        <v>310</v>
      </c>
      <c r="P60" s="28">
        <v>100.05655</v>
      </c>
      <c r="Q60" s="22" cm="1">
        <f t="array" ref="Q60">IF(OR(_xll.BDP($AX60,"PX_last")="#N/A N/A",_xll.BDP($AX60,"PX_Last")="#N/A FIELD NOT APPLICABLE")," ",IF(F60="GBP",(_xll.BDP($AX60,"PX_LAST")/100),(_xll.BDP($AX60,"PX_LAST"))))</f>
        <v>107.08</v>
      </c>
      <c r="R60" s="29">
        <f>IF(F60="USD",AA60,(((_xll.BDP(F60&amp;"USD CURNCY","PX_LAST")))*AA60))</f>
        <v>41461.133019350003</v>
      </c>
      <c r="S60" s="29">
        <f>IF(F60="USD",AB60,(((_xll.BDP(F60&amp;"USD CURNCY","PX_LAST")))*AB60))</f>
        <v>44371.489160000005</v>
      </c>
      <c r="T60" s="12">
        <f>S60-R60</f>
        <v>2910.3561406500012</v>
      </c>
      <c r="U60" s="13">
        <f>T60/R60</f>
        <v>7.0194804837864208E-2</v>
      </c>
      <c r="V60" s="13" cm="1">
        <f t="array" ref="V60">IFERROR(_xll.BDP($G60&amp;" Equity","CHG_PCT_1D")/100,"")</f>
        <v>-4.2774780000000004E-3</v>
      </c>
      <c r="W60" s="13" cm="1">
        <f t="array" ref="W60">IFERROR(_xll.BDP($G60&amp;" Equity","CHG_PCT_5D")/100,"")</f>
        <v>1.729052E-2</v>
      </c>
      <c r="X60" s="13" t="e">
        <f>S60/#REF!</f>
        <v>#REF!</v>
      </c>
      <c r="Y60" s="24">
        <f>IFERROR(S60*J60,0)</f>
        <v>1012.9155417834475</v>
      </c>
      <c r="Z60" s="24">
        <f>S60</f>
        <v>44371.489160000005</v>
      </c>
      <c r="AA60" s="29">
        <f>P60*O60</f>
        <v>31017.530500000001</v>
      </c>
      <c r="AB60" s="29">
        <f>IFERROR(O60*Q60,0)</f>
        <v>33194.800000000003</v>
      </c>
      <c r="AC60" s="4" t="e" cm="1">
        <f t="array" ref="AC60">VLOOKUP(IF(NOT(_xll.BDP(AX60,$BW$8)="#N/A N/A"),(_xll.BDP(AX60,$BW$8)),"-"), '[1]Country Codes'!$A$2:$B$253,2,0)</f>
        <v>#N/A</v>
      </c>
      <c r="AD60" s="30" t="str" cm="1">
        <f t="array" ref="AD60">IF(OR(_xll.BDP($AX60,"EX028")= "#N/A N/A", _xll.BDP($AX60,"EX028")="#N/A FIELD NOT APPLICABLE"), " ", _xll.BDP($AX60,"EX028"))</f>
        <v>Equity</v>
      </c>
      <c r="AE60" s="31" t="str">
        <f>IF(("AS97"="Equity"), " ", "Single Line Equity")</f>
        <v>Single Line Equity</v>
      </c>
      <c r="AF60" s="26" cm="1">
        <f t="array" ref="AF60">IF(OR(_xll.BDP($AX60,"RR908")= "#N/A N/A", _xll.BDP($AX60,"RR908")="#N/A FIELD NOT APPLICABLE"), " ", _xll.BDP($AX60,"RR908"))</f>
        <v>16.550350302126077</v>
      </c>
      <c r="AG60" s="26" cm="1">
        <f t="array" ref="AG60">IF(OR(_xll.BDP($AX60,"RR041")= "#N/A N/A", _xll.BDP($AX60,"RR041")="#N/A FIELD NOT APPLICABLE"), " ", _xll.BDP($AX60,"RR041"))</f>
        <v>29.120007689719806</v>
      </c>
      <c r="AH60" s="22">
        <f>_xll.BDP(AX60,"TOT_BUY_REC")</f>
        <v>27</v>
      </c>
      <c r="AI60" s="22">
        <f>_xll.BDP(AX60,"TOT_HOLD_REC")</f>
        <v>5</v>
      </c>
      <c r="AJ60" s="22">
        <f>_xll.BDP(AX60,"TOT_SELL_REC")</f>
        <v>0</v>
      </c>
      <c r="AK60" s="26" cm="1">
        <f t="array" ref="AK60">IF(OR(_xll.BDP($AX60,"EE201")= "#N/A N/A", _xll.BDP($AX60,"EE201")="#N/A FIELD NOT APPLICABLE"), " ", _xll.BDP($AX60,"EE201"))</f>
        <v>4.65625</v>
      </c>
      <c r="AL60" s="24">
        <f>_xll.BDP(AX60,"BEST_TARGET_PRICE")</f>
        <v>13771.337890625</v>
      </c>
      <c r="AM60" s="32">
        <f>(AL60/Q60)-1</f>
        <v>127.60793696885506</v>
      </c>
      <c r="AN60" s="32">
        <f>_xll.BDP(AX60,"PR061")/100</f>
        <v>-9.2524059999999995E-3</v>
      </c>
      <c r="AO60" s="32">
        <f>_xll.BDP(AX60,"PR064")/100</f>
        <v>-9.1464450000000003E-2</v>
      </c>
      <c r="AP60" s="32">
        <f>_xll.BDP(AX60,"CHG_PCT_6M")/100</f>
        <v>7.9217899999999994E-2</v>
      </c>
      <c r="AQ60" s="25">
        <f>_xll.BDP(AX60,"PR079")/100</f>
        <v>2.2927019999999999E-2</v>
      </c>
      <c r="AR60" s="33">
        <f>_xll.BDP(AX60,"hs001")</f>
        <v>13338</v>
      </c>
      <c r="AS60" s="33">
        <f>_xll.BDP(AX60,"hs002")</f>
        <v>9574</v>
      </c>
      <c r="AT60" s="22" t="str" cm="1">
        <f t="array" ref="AT60">IF(OR(_xll.BDP($AX60,"DX202")= "#N/A N/A", _xll.BDP($AX60,"DX202")="#N/A FIELD NOT APPLICABLE"), " ", _xll.BDP($AX60,"DX202"))</f>
        <v>Health Care</v>
      </c>
      <c r="AU60" s="22" t="str" cm="1">
        <f t="array" ref="AU60">IF(OR(_xll.BDP($AX60,"DY997")= "#N/A N/A", _xll.BDP($AX60,"DY997")="#N/A FIELD NOT APPLICABLE"), " ", _xll.BDP($AX60,"DY997"))</f>
        <v>Y</v>
      </c>
      <c r="AV60" s="22" t="str" cm="1">
        <f t="array" ref="AV60">IF(OR(_xll.BDP($AX60,"DY784")= "#N/A N/A", _xll.BDP($AX60,"DY784")="#N/A FIELD NOT APPLICABLE"), " ", _xll.BDP($AX60,"DY784"))</f>
        <v>Y</v>
      </c>
      <c r="AW60" s="22" t="str">
        <f>IF(OR(AU60="Y",AV60="Y"),"Y","N")</f>
        <v>Y</v>
      </c>
      <c r="AX60" s="22" t="str">
        <f>CONCATENATE(G60," ",$AX$2)</f>
        <v>AZN LN Equity</v>
      </c>
      <c r="BC60" s="17" t="str" cm="1">
        <f t="array" ref="BC60">_xll.BDP(AX60,"ID005")</f>
        <v>GB0009895292</v>
      </c>
      <c r="BD60" s="17">
        <v>0.80210000000000004</v>
      </c>
      <c r="BE60" s="18">
        <v>4</v>
      </c>
      <c r="BF60" s="19">
        <v>45541</v>
      </c>
      <c r="BG60" s="20"/>
    </row>
    <row r="61" spans="1:59" s="3" customFormat="1" ht="14.45" customHeight="1" x14ac:dyDescent="0.25">
      <c r="A61" s="49" t="s">
        <v>241</v>
      </c>
      <c r="B61" s="49" t="s">
        <v>272</v>
      </c>
      <c r="C61" s="49">
        <v>2620061.0010000002</v>
      </c>
      <c r="D61" s="49" t="s">
        <v>240</v>
      </c>
      <c r="E61" s="22" t="str">
        <f>_xll.BDP(AX61,"SECURITY NAME")</f>
        <v>AstraZeneca PLC</v>
      </c>
      <c r="F61" s="22" t="str">
        <f>_xll.BDP(AX61,"CRNCY")</f>
        <v>GBp</v>
      </c>
      <c r="G61" s="23" t="s">
        <v>79</v>
      </c>
      <c r="H61" s="22" t="str" cm="1">
        <f t="array" ref="H61">IF(OR(_xll.BDP($AX61,"DX202")= "#N/A N/A", _xll.BDP($AX61,"DX202")="#N/A FIELD NOT APPLICABLE"), " ", _xll.BDP($AX61,"DX202"))</f>
        <v>Health Care</v>
      </c>
      <c r="I61" s="24">
        <f>_xll.BDP(AX61,"CRNCY_ADJ_MKT_CAP", "EQY_FUND_CRNCY=USD")/1000</f>
        <v>221.94881519021132</v>
      </c>
      <c r="J61" s="25">
        <f>IFERROR(_xll.BDP(AX61, "DV013")/100,0)</f>
        <v>2.2828071830786563E-2</v>
      </c>
      <c r="K61" s="26" cm="1">
        <f t="array" ref="K61">IF(OR(_xll.BDP($AX61,"RR900")= "#N/A N/A", _xll.BDP($AX61,"RR900")="#N/A FIELD NOT APPLICABLE"), " ", _xll.BDP($AX61,"RR900"))</f>
        <v>28.56962794411178</v>
      </c>
      <c r="L61" s="26" cm="1">
        <f t="array" ref="L61">IF(OR(_xll.BDP($AX61,"EE010")= "#N/A N/A", _xll.BDP($AX61,"EE010")="#N/A FIELD NOT APPLICABLE"), " ", _xll.BDP($AX61,"EE010"))</f>
        <v>13.982009038207346</v>
      </c>
      <c r="M61" s="26" cm="1">
        <f t="array" ref="M61">IF(OR(_xll.BDP($AX61,"RR903")= "#N/A N/A", _xll.BDP($AX61,"RR903")="#N/A FIELD NOT APPLICABLE"), " ", _xll.BDP($AX61,"RR903"))</f>
        <v>5.4082352627258246</v>
      </c>
      <c r="N61" s="26" cm="1">
        <f t="array" ref="N61">IF(OR(_xll.BDP($AX61,"RR957")= "#N/A N/A", _xll.BDP($AX61,"RR957")="#N/A FIELD NOT APPLICABLE"), " ", _xll.BDP($AX61,"RR957"))</f>
        <v>14.369571727754028</v>
      </c>
      <c r="O61" s="27">
        <v>388</v>
      </c>
      <c r="P61" s="28">
        <v>100.04</v>
      </c>
      <c r="Q61" s="22" cm="1">
        <f t="array" ref="Q61">IF(OR(_xll.BDP($AX61,"PX_last")="#N/A N/A",_xll.BDP($AX61,"PX_Last")="#N/A FIELD NOT APPLICABLE")," ",IF(F61="GBP",(_xll.BDP($AX61,"PX_LAST")/100),(_xll.BDP($AX61,"PX_LAST"))))</f>
        <v>107.08</v>
      </c>
      <c r="R61" s="29">
        <f>IF(F61="USD",AA61,(((_xll.BDP(F61&amp;"USD CURNCY","PX_LAST")))*AA61))</f>
        <v>51884.705584000003</v>
      </c>
      <c r="S61" s="29">
        <f>IF(F61="USD",AB61,(((_xll.BDP(F61&amp;"USD CURNCY","PX_LAST")))*AB61))</f>
        <v>55535.928368000001</v>
      </c>
      <c r="T61" s="12">
        <f>S61-R61</f>
        <v>3651.2227839999978</v>
      </c>
      <c r="U61" s="13">
        <f>IFERROR(T61/R61,0)</f>
        <v>7.037185125949616E-2</v>
      </c>
      <c r="V61" s="13" cm="1">
        <f t="array" ref="V61">IFERROR(_xll.BDP($G61&amp;" Equity","CHG_PCT_1D")/100,"")</f>
        <v>-4.2774780000000004E-3</v>
      </c>
      <c r="W61" s="13" cm="1">
        <f t="array" ref="W61">IFERROR(_xll.BDP($G61&amp;" Equity","CHG_PCT_5D")/100,"")</f>
        <v>1.729052E-2</v>
      </c>
      <c r="X61" s="13" t="e">
        <f>S61/#REF!</f>
        <v>#REF!</v>
      </c>
      <c r="Y61" s="24">
        <f>IFERROR(S61*J61,0)</f>
        <v>1267.7781619741213</v>
      </c>
      <c r="Z61" s="24">
        <f>S61</f>
        <v>55535.928368000001</v>
      </c>
      <c r="AA61" s="29">
        <f>P61*O61</f>
        <v>38815.520000000004</v>
      </c>
      <c r="AB61" s="29">
        <f>IFERROR(O61*Q61,0)</f>
        <v>41547.040000000001</v>
      </c>
      <c r="AC61" s="4" t="e" cm="1">
        <f t="array" ref="AC61">VLOOKUP(IF(NOT(_xll.BDP(AX61,$BW$8)="#N/A N/A"),(_xll.BDP(AX61,$BW$8)),"-"), '[1]Country Codes'!$A$2:$B$253,2,0)</f>
        <v>#N/A</v>
      </c>
      <c r="AD61" s="30" t="str" cm="1">
        <f t="array" ref="AD61">IF(OR(_xll.BDP($AX61,"EX028")= "#N/A N/A", _xll.BDP($AX61,"EX028")="#N/A FIELD NOT APPLICABLE"), " ", _xll.BDP($AX61,"EX028"))</f>
        <v>Equity</v>
      </c>
      <c r="AE61" s="31" t="str">
        <f>IF(("AS97"="Equity"), " ", "Single Line Equity")</f>
        <v>Single Line Equity</v>
      </c>
      <c r="AF61" s="26" cm="1">
        <f t="array" ref="AF61">IF(OR(_xll.BDP($AX61,"RR908")= "#N/A N/A", _xll.BDP($AX61,"RR908")="#N/A FIELD NOT APPLICABLE"), " ", _xll.BDP($AX61,"RR908"))</f>
        <v>16.550350302126077</v>
      </c>
      <c r="AG61" s="26" cm="1">
        <f t="array" ref="AG61">IF(OR(_xll.BDP($AX61,"RR041")= "#N/A N/A", _xll.BDP($AX61,"RR041")="#N/A FIELD NOT APPLICABLE"), " ", _xll.BDP($AX61,"RR041"))</f>
        <v>29.120007689719806</v>
      </c>
      <c r="AH61" s="22">
        <f>_xll.BDP(AX61,"TOT_BUY_REC")</f>
        <v>27</v>
      </c>
      <c r="AI61" s="22">
        <f>_xll.BDP(AX61,"TOT_HOLD_REC")</f>
        <v>5</v>
      </c>
      <c r="AJ61" s="22">
        <f>_xll.BDP(AX61,"TOT_SELL_REC")</f>
        <v>0</v>
      </c>
      <c r="AK61" s="26" cm="1">
        <f t="array" ref="AK61">IF(OR(_xll.BDP($AX61,"EE201")= "#N/A N/A", _xll.BDP($AX61,"EE201")="#N/A FIELD NOT APPLICABLE"), " ", _xll.BDP($AX61,"EE201"))</f>
        <v>4.65625</v>
      </c>
      <c r="AL61" s="24">
        <f>_xll.BDP(AX61,"BEST_TARGET_PRICE")</f>
        <v>13771.337890625</v>
      </c>
      <c r="AM61" s="32">
        <f>(AL61/Q61)-1</f>
        <v>127.60793696885506</v>
      </c>
      <c r="AN61" s="32">
        <f>_xll.BDP(AX61,"PR061")/100</f>
        <v>-9.2524059999999995E-3</v>
      </c>
      <c r="AO61" s="32">
        <f>_xll.BDP(AX61,"PR064")/100</f>
        <v>-9.1464450000000003E-2</v>
      </c>
      <c r="AP61" s="32">
        <f>_xll.BDP(AX61,"CHG_PCT_6M")/100</f>
        <v>7.9217899999999994E-2</v>
      </c>
      <c r="AQ61" s="25">
        <f>_xll.BDP(AX61,"PR079")/100</f>
        <v>2.2927019999999999E-2</v>
      </c>
      <c r="AR61" s="33">
        <f>_xll.BDP(AX61,"hs001")</f>
        <v>13338</v>
      </c>
      <c r="AS61" s="33">
        <f>_xll.BDP(AX61,"hs002")</f>
        <v>9574</v>
      </c>
      <c r="AT61" s="22" t="str" cm="1">
        <f t="array" ref="AT61">IF(OR(_xll.BDP($AX61,"DX202")= "#N/A N/A", _xll.BDP($AX61,"DX202")="#N/A FIELD NOT APPLICABLE"), " ", _xll.BDP($AX61,"DX202"))</f>
        <v>Health Care</v>
      </c>
      <c r="AU61" s="22" t="str" cm="1">
        <f t="array" ref="AU61">IF(OR(_xll.BDP($AX61,"DY997")= "#N/A N/A", _xll.BDP($AX61,"DY997")="#N/A FIELD NOT APPLICABLE"), " ", _xll.BDP($AX61,"DY997"))</f>
        <v>Y</v>
      </c>
      <c r="AV61" s="22" t="str" cm="1">
        <f t="array" ref="AV61">IF(OR(_xll.BDP($AX61,"DY784")= "#N/A N/A", _xll.BDP($AX61,"DY784")="#N/A FIELD NOT APPLICABLE"), " ", _xll.BDP($AX61,"DY784"))</f>
        <v>Y</v>
      </c>
      <c r="AW61" s="22" t="str">
        <f>IF(OR(AU61="Y",AV61="Y"),"Y","N")</f>
        <v>Y</v>
      </c>
      <c r="AX61" s="22" t="str">
        <f>CONCATENATE(G61," ",$AX$2)</f>
        <v>AZN LN Equity</v>
      </c>
      <c r="BC61" s="17" t="str" cm="1">
        <f t="array" ref="BC61">_xll.BDP(AX61,"ID005")</f>
        <v>GB0009895292</v>
      </c>
      <c r="BD61" s="17">
        <v>0.80210000000000004</v>
      </c>
      <c r="BE61" s="18">
        <v>4</v>
      </c>
      <c r="BF61" s="19"/>
      <c r="BG61" s="20"/>
    </row>
    <row r="62" spans="1:59" s="3" customFormat="1" ht="14.45" customHeight="1" x14ac:dyDescent="0.25">
      <c r="A62" s="49" t="s">
        <v>241</v>
      </c>
      <c r="B62" s="49" t="s">
        <v>270</v>
      </c>
      <c r="C62" s="49" t="s">
        <v>271</v>
      </c>
      <c r="D62" s="49" t="s">
        <v>240</v>
      </c>
      <c r="E62" s="22" t="str">
        <f>_xll.BDP(AX62,"SECURITY NAME")</f>
        <v>Biogen Inc</v>
      </c>
      <c r="F62" s="22" t="str">
        <f>_xll.BDP(AX62,"CRNCY")</f>
        <v>USD</v>
      </c>
      <c r="G62" s="23" t="s">
        <v>225</v>
      </c>
      <c r="H62" s="22" t="str" cm="1">
        <f t="array" ref="H62">IF(OR(_xll.BDP($AX62,"DX202")= "#N/A N/A", _xll.BDP($AX62,"DX202")="#N/A FIELD NOT APPLICABLE"), " ", _xll.BDP($AX62,"DX202"))</f>
        <v>Health Care</v>
      </c>
      <c r="I62" s="24">
        <f>_xll.BDP(AX62,"CRNCY_ADJ_MKT_CAP", "EQY_FUND_CRNCY=USD")/1000</f>
        <v>17.543777325360001</v>
      </c>
      <c r="J62" s="25">
        <f>IFERROR(_xll.BDP(AX62, "DV013")/100,0)</f>
        <v>0</v>
      </c>
      <c r="K62" s="26" cm="1">
        <f t="array" ref="K62">IF(OR(_xll.BDP($AX62,"RR900")= "#N/A N/A", _xll.BDP($AX62,"RR900")="#N/A FIELD NOT APPLICABLE"), " ", _xll.BDP($AX62,"RR900"))</f>
        <v>10.326938851632638</v>
      </c>
      <c r="L62" s="26" cm="1">
        <f t="array" ref="L62">IF(OR(_xll.BDP($AX62,"EE010")= "#N/A N/A", _xll.BDP($AX62,"EE010")="#N/A FIELD NOT APPLICABLE"), " ", _xll.BDP($AX62,"EE010"))</f>
        <v>7.8447880495315472</v>
      </c>
      <c r="M62" s="26" cm="1">
        <f t="array" ref="M62">IF(OR(_xll.BDP($AX62,"RR903")= "#N/A N/A", _xll.BDP($AX62,"RR903")="#N/A FIELD NOT APPLICABLE"), " ", _xll.BDP($AX62,"RR903"))</f>
        <v>1.0331284249922847</v>
      </c>
      <c r="N62" s="26" cm="1">
        <f t="array" ref="N62">IF(OR(_xll.BDP($AX62,"RR957")= "#N/A N/A", _xll.BDP($AX62,"RR957")="#N/A FIELD NOT APPLICABLE"), " ", _xll.BDP($AX62,"RR957"))</f>
        <v>7.7591775667434177</v>
      </c>
      <c r="O62" s="27">
        <v>437</v>
      </c>
      <c r="P62" s="28">
        <v>230.71</v>
      </c>
      <c r="Q62" s="22" cm="1">
        <f t="array" ref="Q62">IF(OR(_xll.BDP($AX62,"PX_last")="#N/A N/A",_xll.BDP($AX62,"PX_Last")="#N/A FIELD NOT APPLICABLE")," ",IF(F62="GBP",(_xll.BDP($AX62,"PX_LAST")/100),(_xll.BDP($AX62,"PX_LAST"))))</f>
        <v>119.735</v>
      </c>
      <c r="R62" s="29">
        <f>IF(F62="USD",AA62,(((_xll.BDP(F62&amp;"USD CURNCY","PX_LAST")))*AA62))</f>
        <v>100820.27</v>
      </c>
      <c r="S62" s="29">
        <f>IF(F62="USD",AB62,(((_xll.BDP(F62&amp;"USD CURNCY","PX_LAST")))*AB62))</f>
        <v>52324.195</v>
      </c>
      <c r="T62" s="12">
        <f>S62-R62</f>
        <v>-48496.075000000004</v>
      </c>
      <c r="U62" s="13">
        <f>T62/R62</f>
        <v>-0.48101512721598544</v>
      </c>
      <c r="V62" s="13" cm="1">
        <f t="array" ref="V62">IFERROR(_xll.BDP($G62&amp;" Equity","CHG_PCT_1D")/100,"")</f>
        <v>-1.695402E-2</v>
      </c>
      <c r="W62" s="13" cm="1">
        <f t="array" ref="W62">IFERROR(_xll.BDP($G62&amp;" Equity","CHG_PCT_5D")/100,"")</f>
        <v>-3.6198720000000001E-3</v>
      </c>
      <c r="X62" s="13" t="e">
        <f>S62/#REF!</f>
        <v>#REF!</v>
      </c>
      <c r="Y62" s="24">
        <f>IFERROR(S62*J62,0)</f>
        <v>0</v>
      </c>
      <c r="Z62" s="24">
        <f>S62</f>
        <v>52324.195</v>
      </c>
      <c r="AA62" s="29">
        <f>P62*O62</f>
        <v>100820.27</v>
      </c>
      <c r="AB62" s="29">
        <f>IFERROR(O62*Q62,0)</f>
        <v>52324.195</v>
      </c>
      <c r="AC62" s="4" t="e" cm="1">
        <f t="array" ref="AC62">VLOOKUP(IF(NOT(_xll.BDP(AX62,$BW$8)="#N/A N/A"),(_xll.BDP(AX62,$BW$8)),"-"), '[1]Country Codes'!$A$2:$B$253,2,0)</f>
        <v>#N/A</v>
      </c>
      <c r="AD62" s="30" t="str" cm="1">
        <f t="array" ref="AD62">IF(OR(_xll.BDP($AX62,"EX028")= "#N/A N/A", _xll.BDP($AX62,"EX028")="#N/A FIELD NOT APPLICABLE"), " ", _xll.BDP($AX62,"EX028"))</f>
        <v>Equity</v>
      </c>
      <c r="AE62" s="31" t="str">
        <f>IF(("AS97"="Equity"), " ", "Single Line Equity")</f>
        <v>Single Line Equity</v>
      </c>
      <c r="AF62" s="26" cm="1">
        <f t="array" ref="AF62">IF(OR(_xll.BDP($AX62,"RR908")= "#N/A N/A", _xll.BDP($AX62,"RR908")="#N/A FIELD NOT APPLICABLE"), " ", _xll.BDP($AX62,"RR908"))</f>
        <v>6.75832147109438</v>
      </c>
      <c r="AG62" s="26" cm="1">
        <f t="array" ref="AG62">IF(OR(_xll.BDP($AX62,"RR041")= "#N/A N/A", _xll.BDP($AX62,"RR041")="#N/A FIELD NOT APPLICABLE"), " ", _xll.BDP($AX62,"RR041"))</f>
        <v>23.946052129643164</v>
      </c>
      <c r="AH62" s="22">
        <f>_xll.BDP(AX62,"TOT_BUY_REC")</f>
        <v>16</v>
      </c>
      <c r="AI62" s="22">
        <f>_xll.BDP(AX62,"TOT_HOLD_REC")</f>
        <v>20</v>
      </c>
      <c r="AJ62" s="22">
        <f>_xll.BDP(AX62,"TOT_SELL_REC")</f>
        <v>0</v>
      </c>
      <c r="AK62" s="26" cm="1">
        <f t="array" ref="AK62">IF(OR(_xll.BDP($AX62,"EE201")= "#N/A N/A", _xll.BDP($AX62,"EE201")="#N/A FIELD NOT APPLICABLE"), " ", _xll.BDP($AX62,"EE201"))</f>
        <v>3.8888888359069824</v>
      </c>
      <c r="AL62" s="24">
        <f>_xll.BDP(AX62,"BEST_TARGET_PRICE")</f>
        <v>170.30000305175781</v>
      </c>
      <c r="AM62" s="32">
        <f>(AL62/Q62)-1</f>
        <v>0.42230762142863676</v>
      </c>
      <c r="AN62" s="32">
        <f>_xll.BDP(AX62,"PR061")/100</f>
        <v>-2.6386430000000002E-2</v>
      </c>
      <c r="AO62" s="32">
        <f>_xll.BDP(AX62,"PR064")/100</f>
        <v>-0.15898709999999999</v>
      </c>
      <c r="AP62" s="32">
        <f>_xll.BDP(AX62,"CHG_PCT_6M")/100</f>
        <v>-0.31344610000000001</v>
      </c>
      <c r="AQ62" s="25">
        <f>_xll.BDP(AX62,"PR079")/100</f>
        <v>-0.2170089</v>
      </c>
      <c r="AR62" s="33">
        <f>_xll.BDP(AX62,"hs001")</f>
        <v>238</v>
      </c>
      <c r="AS62" s="33">
        <f>_xll.BDP(AX62,"hs002")</f>
        <v>110.035</v>
      </c>
      <c r="AT62" s="22" t="str" cm="1">
        <f t="array" ref="AT62">IF(OR(_xll.BDP($AX62,"DX202")= "#N/A N/A", _xll.BDP($AX62,"DX202")="#N/A FIELD NOT APPLICABLE"), " ", _xll.BDP($AX62,"DX202"))</f>
        <v>Health Care</v>
      </c>
      <c r="AU62" s="22" t="str" cm="1">
        <f t="array" ref="AU62">IF(OR(_xll.BDP($AX62,"DY997")= "#N/A N/A", _xll.BDP($AX62,"DY997")="#N/A FIELD NOT APPLICABLE"), " ", _xll.BDP($AX62,"DY997"))</f>
        <v>Y</v>
      </c>
      <c r="AV62" s="22" t="str" cm="1">
        <f t="array" ref="AV62">IF(OR(_xll.BDP($AX62,"DY784")= "#N/A N/A", _xll.BDP($AX62,"DY784")="#N/A FIELD NOT APPLICABLE"), " ", _xll.BDP($AX62,"DY784"))</f>
        <v>Y</v>
      </c>
      <c r="AW62" s="22" t="str">
        <f>IF(OR(AU62="Y",AV62="Y"),"Y","N")</f>
        <v>Y</v>
      </c>
      <c r="AX62" s="22" t="str">
        <f>CONCATENATE(G62," ",$AX$2)</f>
        <v>BIIB US Equity</v>
      </c>
      <c r="BC62" s="17" t="str" cm="1">
        <f t="array" ref="BC62">_xll.BDP(AX62,"ID005")</f>
        <v>US09062X1037</v>
      </c>
      <c r="BD62" s="17">
        <v>0.80210000000000004</v>
      </c>
      <c r="BE62" s="18">
        <v>4</v>
      </c>
      <c r="BF62" s="19"/>
      <c r="BG62" s="20"/>
    </row>
    <row r="63" spans="1:59" s="3" customFormat="1" ht="14.45" customHeight="1" x14ac:dyDescent="0.25">
      <c r="A63" s="49" t="s">
        <v>241</v>
      </c>
      <c r="B63" s="49" t="s">
        <v>238</v>
      </c>
      <c r="C63" s="49" t="s">
        <v>239</v>
      </c>
      <c r="D63" s="49" t="s">
        <v>240</v>
      </c>
      <c r="E63" s="22" t="str">
        <f>_xll.BDP(AX63,"SECURITY NAME")</f>
        <v>BioMarin Pharmaceutical Inc</v>
      </c>
      <c r="F63" s="22" t="str">
        <f>_xll.BDP(AX63,"CRNCY")</f>
        <v>USD</v>
      </c>
      <c r="G63" s="23" t="s">
        <v>82</v>
      </c>
      <c r="H63" s="22" t="str" cm="1">
        <f t="array" ref="H63">IF(OR(_xll.BDP($AX63,"DX202")= "#N/A N/A", _xll.BDP($AX63,"DX202")="#N/A FIELD NOT APPLICABLE"), " ", _xll.BDP($AX63,"DX202"))</f>
        <v>Health Care</v>
      </c>
      <c r="I63" s="24">
        <f>_xll.BDP(AX63,"CRNCY_ADJ_MKT_CAP", "EQY_FUND_CRNCY=USD")/1000</f>
        <v>11.635988473874999</v>
      </c>
      <c r="J63" s="25">
        <f>IFERROR(_xll.BDP(AX63, "DV013")/100,0)</f>
        <v>0</v>
      </c>
      <c r="K63" s="26" cm="1">
        <f t="array" ref="K63">IF(OR(_xll.BDP($AX63,"RR900")= "#N/A N/A", _xll.BDP($AX63,"RR900")="#N/A FIELD NOT APPLICABLE"), " ", _xll.BDP($AX63,"RR900"))</f>
        <v>19.674979145352147</v>
      </c>
      <c r="L63" s="26" cm="1">
        <f t="array" ref="L63">IF(OR(_xll.BDP($AX63,"EE010")= "#N/A N/A", _xll.BDP($AX63,"EE010")="#N/A FIELD NOT APPLICABLE"), " ", _xll.BDP($AX63,"EE010"))</f>
        <v>11.319962686567163</v>
      </c>
      <c r="M63" s="26" cm="1">
        <f t="array" ref="M63">IF(OR(_xll.BDP($AX63,"RR903")= "#N/A N/A", _xll.BDP($AX63,"RR903")="#N/A FIELD NOT APPLICABLE"), " ", _xll.BDP($AX63,"RR903"))</f>
        <v>1.9978470038427201</v>
      </c>
      <c r="N63" s="26" cm="1">
        <f t="array" ref="N63">IF(OR(_xll.BDP($AX63,"RR957")= "#N/A N/A", _xll.BDP($AX63,"RR957")="#N/A FIELD NOT APPLICABLE"), " ", _xll.BDP($AX63,"RR957"))</f>
        <v>15.427358958166264</v>
      </c>
      <c r="O63" s="27">
        <v>710</v>
      </c>
      <c r="P63" s="28">
        <v>69.511210000000005</v>
      </c>
      <c r="Q63" s="22" cm="1">
        <f t="array" ref="Q63">IF(OR(_xll.BDP($AX63,"PX_last")="#N/A N/A",_xll.BDP($AX63,"PX_Last")="#N/A FIELD NOT APPLICABLE")," ",IF(F63="GBP",(_xll.BDP($AX63,"PX_LAST")/100),(_xll.BDP($AX63,"PX_LAST"))))</f>
        <v>60.674999999999997</v>
      </c>
      <c r="R63" s="29">
        <f>IF(F63="USD",AA63,(((_xll.BDP(F63&amp;"USD CURNCY","PX_LAST")))*AA63))</f>
        <v>49352.959100000007</v>
      </c>
      <c r="S63" s="29">
        <f>IF(F63="USD",AB63,(((_xll.BDP(F63&amp;"USD CURNCY","PX_LAST")))*AB63))</f>
        <v>43079.25</v>
      </c>
      <c r="T63" s="12">
        <f>S63-R63</f>
        <v>-6273.7091000000073</v>
      </c>
      <c r="U63" s="13">
        <f>T63/R63</f>
        <v>-0.12711920854204681</v>
      </c>
      <c r="V63" s="13" cm="1">
        <f t="array" ref="V63">IFERROR(_xll.BDP($G63&amp;" Equity","CHG_PCT_1D")/100,"")</f>
        <v>-2.2317109999999998E-2</v>
      </c>
      <c r="W63" s="13" cm="1">
        <f t="array" ref="W63">IFERROR(_xll.BDP($G63&amp;" Equity","CHG_PCT_5D")/100,"")</f>
        <v>-4.1166250000000001E-2</v>
      </c>
      <c r="X63" s="13" t="e">
        <f>S63/#REF!</f>
        <v>#REF!</v>
      </c>
      <c r="Y63" s="24">
        <f>IFERROR(S63*J63,0)</f>
        <v>0</v>
      </c>
      <c r="Z63" s="24">
        <f>S63</f>
        <v>43079.25</v>
      </c>
      <c r="AA63" s="29">
        <f>P63*O63</f>
        <v>49352.959100000007</v>
      </c>
      <c r="AB63" s="29">
        <f>IFERROR(O63*Q63,0)</f>
        <v>43079.25</v>
      </c>
      <c r="AC63" s="4" t="e" cm="1">
        <f t="array" ref="AC63">VLOOKUP(IF(NOT(_xll.BDP(AX63,$BW$8)="#N/A N/A"),(_xll.BDP(AX63,$BW$8)),"-"), '[1]Country Codes'!$A$2:$B$253,2,0)</f>
        <v>#N/A</v>
      </c>
      <c r="AD63" s="30" t="str" cm="1">
        <f t="array" ref="AD63">IF(OR(_xll.BDP($AX63,"EX028")= "#N/A N/A", _xll.BDP($AX63,"EX028")="#N/A FIELD NOT APPLICABLE"), " ", _xll.BDP($AX63,"EX028"))</f>
        <v>Equity</v>
      </c>
      <c r="AE63" s="31" t="str">
        <f>IF(("AS97"="Equity"), " ", "Single Line Equity")</f>
        <v>Single Line Equity</v>
      </c>
      <c r="AF63" s="26" cm="1">
        <f t="array" ref="AF63">IF(OR(_xll.BDP($AX63,"RR908")= "#N/A N/A", _xll.BDP($AX63,"RR908")="#N/A FIELD NOT APPLICABLE"), " ", _xll.BDP($AX63,"RR908"))</f>
        <v>16.51278130830697</v>
      </c>
      <c r="AG63" s="26" cm="1">
        <f t="array" ref="AG63">IF(OR(_xll.BDP($AX63,"RR041")= "#N/A N/A", _xll.BDP($AX63,"RR041")="#N/A FIELD NOT APPLICABLE"), " ", _xll.BDP($AX63,"RR041"))</f>
        <v>9.0661530933160108</v>
      </c>
      <c r="AH63" s="22">
        <f>_xll.BDP(AX63,"TOT_BUY_REC")</f>
        <v>23</v>
      </c>
      <c r="AI63" s="22">
        <f>_xll.BDP(AX63,"TOT_HOLD_REC")</f>
        <v>6</v>
      </c>
      <c r="AJ63" s="22">
        <f>_xll.BDP(AX63,"TOT_SELL_REC")</f>
        <v>0</v>
      </c>
      <c r="AK63" s="26" cm="1">
        <f t="array" ref="AK63">IF(OR(_xll.BDP($AX63,"EE201")= "#N/A N/A", _xll.BDP($AX63,"EE201")="#N/A FIELD NOT APPLICABLE"), " ", _xll.BDP($AX63,"EE201"))</f>
        <v>4.5862069129943848</v>
      </c>
      <c r="AL63" s="24">
        <f>_xll.BDP(AX63,"BEST_TARGET_PRICE")</f>
        <v>95.714286804199219</v>
      </c>
      <c r="AM63" s="32">
        <f>(AL63/Q63)-1</f>
        <v>0.57749133587472978</v>
      </c>
      <c r="AN63" s="32">
        <f>_xll.BDP(AX63,"PR061")/100</f>
        <v>6.8868519999999997E-3</v>
      </c>
      <c r="AO63" s="32">
        <f>_xll.BDP(AX63,"PR064")/100</f>
        <v>-5.696296E-2</v>
      </c>
      <c r="AP63" s="32">
        <f>_xll.BDP(AX63,"CHG_PCT_6M")/100</f>
        <v>-8.276646E-2</v>
      </c>
      <c r="AQ63" s="25">
        <f>_xll.BDP(AX63,"PR079")/100</f>
        <v>-7.6905570000000006E-2</v>
      </c>
      <c r="AR63" s="33">
        <f>_xll.BDP(AX63,"hs001")</f>
        <v>94.85</v>
      </c>
      <c r="AS63" s="33">
        <f>_xll.BDP(AX63,"hs002")</f>
        <v>52.93</v>
      </c>
      <c r="AT63" s="22" t="str" cm="1">
        <f t="array" ref="AT63">IF(OR(_xll.BDP($AX63,"DX202")= "#N/A N/A", _xll.BDP($AX63,"DX202")="#N/A FIELD NOT APPLICABLE"), " ", _xll.BDP($AX63,"DX202"))</f>
        <v>Health Care</v>
      </c>
      <c r="AU63" s="22" t="str" cm="1">
        <f t="array" ref="AU63">IF(OR(_xll.BDP($AX63,"DY997")= "#N/A N/A", _xll.BDP($AX63,"DY997")="#N/A FIELD NOT APPLICABLE"), " ", _xll.BDP($AX63,"DY997"))</f>
        <v>Y</v>
      </c>
      <c r="AV63" s="22" t="str" cm="1">
        <f t="array" ref="AV63">IF(OR(_xll.BDP($AX63,"DY784")= "#N/A N/A", _xll.BDP($AX63,"DY784")="#N/A FIELD NOT APPLICABLE"), " ", _xll.BDP($AX63,"DY784"))</f>
        <v>Y</v>
      </c>
      <c r="AW63" s="22" t="str">
        <f>IF(OR(AU63="Y",AV63="Y"),"Y","N")</f>
        <v>Y</v>
      </c>
      <c r="AX63" s="22" t="str">
        <f>CONCATENATE(G63," ",$AX$2)</f>
        <v>BMRN US Equity</v>
      </c>
      <c r="BC63" s="17" t="str" cm="1">
        <f t="array" ref="BC63">_xll.BDP(AX63,"ID005")</f>
        <v>US09061G1013</v>
      </c>
      <c r="BD63" s="17">
        <v>0.80210000000000004</v>
      </c>
      <c r="BE63" s="18">
        <v>4</v>
      </c>
      <c r="BF63" s="19"/>
      <c r="BG63" s="20"/>
    </row>
    <row r="64" spans="1:59" s="3" customFormat="1" ht="14.45" customHeight="1" x14ac:dyDescent="0.25">
      <c r="A64" s="49" t="s">
        <v>242</v>
      </c>
      <c r="B64" s="49" t="s">
        <v>243</v>
      </c>
      <c r="C64" s="49" t="s">
        <v>244</v>
      </c>
      <c r="D64" s="49" t="s">
        <v>245</v>
      </c>
      <c r="E64" s="22" t="str">
        <f>_xll.BDP(AX64,"SECURITY NAME")</f>
        <v>BioMarin Pharmaceutical Inc</v>
      </c>
      <c r="F64" s="22" t="str">
        <f>_xll.BDP(AX64,"CRNCY")</f>
        <v>USD</v>
      </c>
      <c r="G64" s="23" t="s">
        <v>82</v>
      </c>
      <c r="H64" s="22" t="str" cm="1">
        <f t="array" ref="H64">IF(OR(_xll.BDP($AX64,"DX202")= "#N/A N/A", _xll.BDP($AX64,"DX202")="#N/A FIELD NOT APPLICABLE"), " ", _xll.BDP($AX64,"DX202"))</f>
        <v>Health Care</v>
      </c>
      <c r="I64" s="24">
        <f>_xll.BDP(AX64,"CRNCY_ADJ_MKT_CAP", "EQY_FUND_CRNCY=USD")/1000</f>
        <v>11.635988473874999</v>
      </c>
      <c r="J64" s="25">
        <f>IFERROR(_xll.BDP(AX64, "DV013")/100,0)</f>
        <v>0</v>
      </c>
      <c r="K64" s="26" cm="1">
        <f t="array" ref="K64">IF(OR(_xll.BDP($AX64,"RR900")= "#N/A N/A", _xll.BDP($AX64,"RR900")="#N/A FIELD NOT APPLICABLE"), " ", _xll.BDP($AX64,"RR900"))</f>
        <v>19.674979145352147</v>
      </c>
      <c r="L64" s="26" cm="1">
        <f t="array" ref="L64">IF(OR(_xll.BDP($AX64,"EE010")= "#N/A N/A", _xll.BDP($AX64,"EE010")="#N/A FIELD NOT APPLICABLE"), " ", _xll.BDP($AX64,"EE010"))</f>
        <v>11.319962686567163</v>
      </c>
      <c r="M64" s="26" cm="1">
        <f t="array" ref="M64">IF(OR(_xll.BDP($AX64,"RR903")= "#N/A N/A", _xll.BDP($AX64,"RR903")="#N/A FIELD NOT APPLICABLE"), " ", _xll.BDP($AX64,"RR903"))</f>
        <v>1.9978470038427201</v>
      </c>
      <c r="N64" s="26" cm="1">
        <f t="array" ref="N64">IF(OR(_xll.BDP($AX64,"RR957")= "#N/A N/A", _xll.BDP($AX64,"RR957")="#N/A FIELD NOT APPLICABLE"), " ", _xll.BDP($AX64,"RR957"))</f>
        <v>15.427358958166264</v>
      </c>
      <c r="O64" s="27">
        <v>710</v>
      </c>
      <c r="P64" s="28">
        <v>69.650000000000006</v>
      </c>
      <c r="Q64" s="22" cm="1">
        <f t="array" ref="Q64">IF(OR(_xll.BDP($AX64,"PX_last")="#N/A N/A",_xll.BDP($AX64,"PX_Last")="#N/A FIELD NOT APPLICABLE")," ",IF(F64="GBP",(_xll.BDP($AX64,"PX_LAST")/100),(_xll.BDP($AX64,"PX_LAST"))))</f>
        <v>60.674999999999997</v>
      </c>
      <c r="R64" s="29">
        <f>IF(F64="USD",AA64,(((_xll.BDP(F64&amp;"USD CURNCY","PX_LAST")))*AA64))</f>
        <v>49451.500000000007</v>
      </c>
      <c r="S64" s="29">
        <f>IF(F64="USD",AB64,(((_xll.BDP(F64&amp;"USD CURNCY","PX_LAST")))*AB64))</f>
        <v>43079.25</v>
      </c>
      <c r="T64" s="12">
        <f>S64-R64</f>
        <v>-6372.2500000000073</v>
      </c>
      <c r="U64" s="13">
        <f>T64/R64</f>
        <v>-0.12885857860732244</v>
      </c>
      <c r="V64" s="13" cm="1">
        <f t="array" ref="V64">IFERROR(_xll.BDP($G64&amp;" Equity","CHG_PCT_1D")/100,"")</f>
        <v>-2.2317109999999998E-2</v>
      </c>
      <c r="W64" s="13" cm="1">
        <f t="array" ref="W64">IFERROR(_xll.BDP($G64&amp;" Equity","CHG_PCT_5D")/100,"")</f>
        <v>-4.1166250000000001E-2</v>
      </c>
      <c r="X64" s="13" t="e">
        <f>S64/#REF!</f>
        <v>#REF!</v>
      </c>
      <c r="Y64" s="24">
        <f>IFERROR(S64*J64,0)</f>
        <v>0</v>
      </c>
      <c r="Z64" s="24">
        <f>S64</f>
        <v>43079.25</v>
      </c>
      <c r="AA64" s="29">
        <f>P64*O64</f>
        <v>49451.500000000007</v>
      </c>
      <c r="AB64" s="29">
        <f>IFERROR(O64*Q64,0)</f>
        <v>43079.25</v>
      </c>
      <c r="AC64" s="4" t="e" cm="1">
        <f t="array" ref="AC64">VLOOKUP(IF(NOT(_xll.BDP(AX64,$BW$8)="#N/A N/A"),(_xll.BDP(AX64,$BW$8)),"-"), '[1]Country Codes'!$A$2:$B$253,2,0)</f>
        <v>#N/A</v>
      </c>
      <c r="AD64" s="30" t="str" cm="1">
        <f t="array" ref="AD64">IF(OR(_xll.BDP($AX64,"EX028")= "#N/A N/A", _xll.BDP($AX64,"EX028")="#N/A FIELD NOT APPLICABLE"), " ", _xll.BDP($AX64,"EX028"))</f>
        <v>Equity</v>
      </c>
      <c r="AE64" s="31" t="str">
        <f>IF(("AS97"="Equity"), " ", "Single Line Equity")</f>
        <v>Single Line Equity</v>
      </c>
      <c r="AF64" s="26" cm="1">
        <f t="array" ref="AF64">IF(OR(_xll.BDP($AX64,"RR908")= "#N/A N/A", _xll.BDP($AX64,"RR908")="#N/A FIELD NOT APPLICABLE"), " ", _xll.BDP($AX64,"RR908"))</f>
        <v>16.51278130830697</v>
      </c>
      <c r="AG64" s="26" cm="1">
        <f t="array" ref="AG64">IF(OR(_xll.BDP($AX64,"RR041")= "#N/A N/A", _xll.BDP($AX64,"RR041")="#N/A FIELD NOT APPLICABLE"), " ", _xll.BDP($AX64,"RR041"))</f>
        <v>9.0661530933160108</v>
      </c>
      <c r="AH64" s="22">
        <f>_xll.BDP(AX64,"TOT_BUY_REC")</f>
        <v>23</v>
      </c>
      <c r="AI64" s="22">
        <f>_xll.BDP(AX64,"TOT_HOLD_REC")</f>
        <v>6</v>
      </c>
      <c r="AJ64" s="22">
        <f>_xll.BDP(AX64,"TOT_SELL_REC")</f>
        <v>0</v>
      </c>
      <c r="AK64" s="26" cm="1">
        <f t="array" ref="AK64">IF(OR(_xll.BDP($AX64,"EE201")= "#N/A N/A", _xll.BDP($AX64,"EE201")="#N/A FIELD NOT APPLICABLE"), " ", _xll.BDP($AX64,"EE201"))</f>
        <v>4.5862069129943848</v>
      </c>
      <c r="AL64" s="24">
        <f>_xll.BDP(AX64,"BEST_TARGET_PRICE")</f>
        <v>95.714286804199219</v>
      </c>
      <c r="AM64" s="32">
        <f>(AL64/Q64)-1</f>
        <v>0.57749133587472978</v>
      </c>
      <c r="AN64" s="32">
        <f>_xll.BDP(AX64,"PR061")/100</f>
        <v>6.8868519999999997E-3</v>
      </c>
      <c r="AO64" s="32">
        <f>_xll.BDP(AX64,"PR064")/100</f>
        <v>-5.696296E-2</v>
      </c>
      <c r="AP64" s="32">
        <f>_xll.BDP(AX64,"CHG_PCT_6M")/100</f>
        <v>-8.276646E-2</v>
      </c>
      <c r="AQ64" s="25">
        <f>_xll.BDP(AX64,"PR079")/100</f>
        <v>-7.6905570000000006E-2</v>
      </c>
      <c r="AR64" s="33">
        <f>_xll.BDP(AX64,"hs001")</f>
        <v>94.85</v>
      </c>
      <c r="AS64" s="33">
        <f>_xll.BDP(AX64,"hs002")</f>
        <v>52.93</v>
      </c>
      <c r="AT64" s="22" t="str" cm="1">
        <f t="array" ref="AT64">IF(OR(_xll.BDP($AX64,"DX202")= "#N/A N/A", _xll.BDP($AX64,"DX202")="#N/A FIELD NOT APPLICABLE"), " ", _xll.BDP($AX64,"DX202"))</f>
        <v>Health Care</v>
      </c>
      <c r="AU64" s="22" t="str" cm="1">
        <f t="array" ref="AU64">IF(OR(_xll.BDP($AX64,"DY997")= "#N/A N/A", _xll.BDP($AX64,"DY997")="#N/A FIELD NOT APPLICABLE"), " ", _xll.BDP($AX64,"DY997"))</f>
        <v>Y</v>
      </c>
      <c r="AV64" s="22" t="str" cm="1">
        <f t="array" ref="AV64">IF(OR(_xll.BDP($AX64,"DY784")= "#N/A N/A", _xll.BDP($AX64,"DY784")="#N/A FIELD NOT APPLICABLE"), " ", _xll.BDP($AX64,"DY784"))</f>
        <v>Y</v>
      </c>
      <c r="AW64" s="22" t="str">
        <f>IF(OR(AU64="Y",AV64="Y"),"Y","N")</f>
        <v>Y</v>
      </c>
      <c r="AX64" s="22" t="str">
        <f>CONCATENATE(G64," ",$AX$2)</f>
        <v>BMRN US Equity</v>
      </c>
      <c r="BC64" s="17" t="str" cm="1">
        <f t="array" ref="BC64">_xll.BDP(AX64,"ID005")</f>
        <v>US09061G1013</v>
      </c>
      <c r="BD64" s="17">
        <v>0.80210000000000004</v>
      </c>
      <c r="BE64" s="18">
        <v>4</v>
      </c>
      <c r="BF64" s="19"/>
      <c r="BG64" s="20"/>
    </row>
    <row r="65" spans="1:59" s="3" customFormat="1" ht="14.45" customHeight="1" x14ac:dyDescent="0.25">
      <c r="A65" s="49" t="s">
        <v>242</v>
      </c>
      <c r="B65" s="49" t="s">
        <v>246</v>
      </c>
      <c r="C65" s="49" t="s">
        <v>247</v>
      </c>
      <c r="D65" s="49" t="s">
        <v>248</v>
      </c>
      <c r="E65" s="22" t="str">
        <f>_xll.BDP(AX65,"SECURITY NAME")</f>
        <v>BioMarin Pharmaceutical Inc</v>
      </c>
      <c r="F65" s="22" t="str">
        <f>_xll.BDP(AX65,"CRNCY")</f>
        <v>USD</v>
      </c>
      <c r="G65" s="23" t="s">
        <v>82</v>
      </c>
      <c r="H65" s="22" t="str" cm="1">
        <f t="array" ref="H65">IF(OR(_xll.BDP($AX65,"DX202")= "#N/A N/A", _xll.BDP($AX65,"DX202")="#N/A FIELD NOT APPLICABLE"), " ", _xll.BDP($AX65,"DX202"))</f>
        <v>Health Care</v>
      </c>
      <c r="I65" s="24">
        <f>_xll.BDP(AX65,"CRNCY_ADJ_MKT_CAP", "EQY_FUND_CRNCY=USD")/1000</f>
        <v>11.635988473874999</v>
      </c>
      <c r="J65" s="25">
        <f>IFERROR(_xll.BDP(AX65, "DV013")/100,0)</f>
        <v>0</v>
      </c>
      <c r="K65" s="26" cm="1">
        <f t="array" ref="K65">IF(OR(_xll.BDP($AX65,"RR900")= "#N/A N/A", _xll.BDP($AX65,"RR900")="#N/A FIELD NOT APPLICABLE"), " ", _xll.BDP($AX65,"RR900"))</f>
        <v>19.674979145352147</v>
      </c>
      <c r="L65" s="26" cm="1">
        <f t="array" ref="L65">IF(OR(_xll.BDP($AX65,"EE010")= "#N/A N/A", _xll.BDP($AX65,"EE010")="#N/A FIELD NOT APPLICABLE"), " ", _xll.BDP($AX65,"EE010"))</f>
        <v>11.319962686567163</v>
      </c>
      <c r="M65" s="26" cm="1">
        <f t="array" ref="M65">IF(OR(_xll.BDP($AX65,"RR903")= "#N/A N/A", _xll.BDP($AX65,"RR903")="#N/A FIELD NOT APPLICABLE"), " ", _xll.BDP($AX65,"RR903"))</f>
        <v>1.9978470038427201</v>
      </c>
      <c r="N65" s="26" cm="1">
        <f t="array" ref="N65">IF(OR(_xll.BDP($AX65,"RR957")= "#N/A N/A", _xll.BDP($AX65,"RR957")="#N/A FIELD NOT APPLICABLE"), " ", _xll.BDP($AX65,"RR957"))</f>
        <v>15.427358958166264</v>
      </c>
      <c r="O65" s="27">
        <v>1065</v>
      </c>
      <c r="P65" s="28">
        <v>70.08</v>
      </c>
      <c r="Q65" s="22" cm="1">
        <f t="array" ref="Q65">IF(OR(_xll.BDP($AX65,"PX_last")="#N/A N/A",_xll.BDP($AX65,"PX_Last")="#N/A FIELD NOT APPLICABLE")," ",IF(F65="GBP",(_xll.BDP($AX65,"PX_LAST")/100),(_xll.BDP($AX65,"PX_LAST"))))</f>
        <v>60.674999999999997</v>
      </c>
      <c r="R65" s="29">
        <f>IF(F65="USD",AA65,(((_xll.BDP(F65&amp;"USD CURNCY","PX_LAST")))*AA65))</f>
        <v>74635.199999999997</v>
      </c>
      <c r="S65" s="29">
        <f>IF(F65="USD",AB65,(((_xll.BDP(F65&amp;"USD CURNCY","PX_LAST")))*AB65))</f>
        <v>64618.875</v>
      </c>
      <c r="T65" s="12">
        <f>S65-R65</f>
        <v>-10016.324999999997</v>
      </c>
      <c r="U65" s="13">
        <f>T65/R65</f>
        <v>-0.13420376712328763</v>
      </c>
      <c r="V65" s="13" cm="1">
        <f t="array" ref="V65">IFERROR(_xll.BDP($G65&amp;" Equity","CHG_PCT_1D")/100,"")</f>
        <v>-2.2317109999999998E-2</v>
      </c>
      <c r="W65" s="13" cm="1">
        <f t="array" ref="W65">IFERROR(_xll.BDP($G65&amp;" Equity","CHG_PCT_5D")/100,"")</f>
        <v>-4.1166250000000001E-2</v>
      </c>
      <c r="X65" s="13" t="e">
        <f>S65/#REF!</f>
        <v>#REF!</v>
      </c>
      <c r="Y65" s="24">
        <f>IFERROR(S65*J65,0)</f>
        <v>0</v>
      </c>
      <c r="Z65" s="24">
        <f>S65</f>
        <v>64618.875</v>
      </c>
      <c r="AA65" s="29">
        <f>P65*O65</f>
        <v>74635.199999999997</v>
      </c>
      <c r="AB65" s="29">
        <f>IFERROR(O65*Q65,0)</f>
        <v>64618.875</v>
      </c>
      <c r="AC65" s="4" t="e" cm="1">
        <f t="array" ref="AC65">VLOOKUP(IF(NOT(_xll.BDP(AX65,$BW$8)="#N/A N/A"),(_xll.BDP(AX65,$BW$8)),"-"), '[1]Country Codes'!$A$2:$B$253,2,0)</f>
        <v>#N/A</v>
      </c>
      <c r="AD65" s="30" t="str" cm="1">
        <f t="array" ref="AD65">IF(OR(_xll.BDP($AX65,"EX028")= "#N/A N/A", _xll.BDP($AX65,"EX028")="#N/A FIELD NOT APPLICABLE"), " ", _xll.BDP($AX65,"EX028"))</f>
        <v>Equity</v>
      </c>
      <c r="AE65" s="31" t="str">
        <f>IF(("AS97"="Equity"), " ", "Single Line Equity")</f>
        <v>Single Line Equity</v>
      </c>
      <c r="AF65" s="26" cm="1">
        <f t="array" ref="AF65">IF(OR(_xll.BDP($AX65,"RR908")= "#N/A N/A", _xll.BDP($AX65,"RR908")="#N/A FIELD NOT APPLICABLE"), " ", _xll.BDP($AX65,"RR908"))</f>
        <v>16.51278130830697</v>
      </c>
      <c r="AG65" s="26" cm="1">
        <f t="array" ref="AG65">IF(OR(_xll.BDP($AX65,"RR041")= "#N/A N/A", _xll.BDP($AX65,"RR041")="#N/A FIELD NOT APPLICABLE"), " ", _xll.BDP($AX65,"RR041"))</f>
        <v>9.0661530933160108</v>
      </c>
      <c r="AH65" s="22">
        <f>_xll.BDP(AX65,"TOT_BUY_REC")</f>
        <v>23</v>
      </c>
      <c r="AI65" s="22">
        <f>_xll.BDP(AX65,"TOT_HOLD_REC")</f>
        <v>6</v>
      </c>
      <c r="AJ65" s="22">
        <f>_xll.BDP(AX65,"TOT_SELL_REC")</f>
        <v>0</v>
      </c>
      <c r="AK65" s="26" cm="1">
        <f t="array" ref="AK65">IF(OR(_xll.BDP($AX65,"EE201")= "#N/A N/A", _xll.BDP($AX65,"EE201")="#N/A FIELD NOT APPLICABLE"), " ", _xll.BDP($AX65,"EE201"))</f>
        <v>4.5862069129943848</v>
      </c>
      <c r="AL65" s="24">
        <f>_xll.BDP(AX65,"BEST_TARGET_PRICE")</f>
        <v>95.714286804199219</v>
      </c>
      <c r="AM65" s="32">
        <f>(AL65/Q65)-1</f>
        <v>0.57749133587472978</v>
      </c>
      <c r="AN65" s="32">
        <f>_xll.BDP(AX65,"PR061")/100</f>
        <v>6.8868519999999997E-3</v>
      </c>
      <c r="AO65" s="32">
        <f>_xll.BDP(AX65,"PR064")/100</f>
        <v>-5.696296E-2</v>
      </c>
      <c r="AP65" s="32">
        <f>_xll.BDP(AX65,"CHG_PCT_6M")/100</f>
        <v>-8.276646E-2</v>
      </c>
      <c r="AQ65" s="25">
        <f>_xll.BDP(AX65,"PR079")/100</f>
        <v>-7.6905570000000006E-2</v>
      </c>
      <c r="AR65" s="33">
        <f>_xll.BDP(AX65,"hs001")</f>
        <v>94.85</v>
      </c>
      <c r="AS65" s="33">
        <f>_xll.BDP(AX65,"hs002")</f>
        <v>52.93</v>
      </c>
      <c r="AT65" s="22" t="str" cm="1">
        <f t="array" ref="AT65">IF(OR(_xll.BDP($AX65,"DX202")= "#N/A N/A", _xll.BDP($AX65,"DX202")="#N/A FIELD NOT APPLICABLE"), " ", _xll.BDP($AX65,"DX202"))</f>
        <v>Health Care</v>
      </c>
      <c r="AU65" s="22" t="str" cm="1">
        <f t="array" ref="AU65">IF(OR(_xll.BDP($AX65,"DY997")= "#N/A N/A", _xll.BDP($AX65,"DY997")="#N/A FIELD NOT APPLICABLE"), " ", _xll.BDP($AX65,"DY997"))</f>
        <v>Y</v>
      </c>
      <c r="AV65" s="22" t="str" cm="1">
        <f t="array" ref="AV65">IF(OR(_xll.BDP($AX65,"DY784")= "#N/A N/A", _xll.BDP($AX65,"DY784")="#N/A FIELD NOT APPLICABLE"), " ", _xll.BDP($AX65,"DY784"))</f>
        <v>Y</v>
      </c>
      <c r="AW65" s="22" t="str">
        <f>IF(OR(AU65="Y",AV65="Y"),"Y","N")</f>
        <v>Y</v>
      </c>
      <c r="AX65" s="22" t="str">
        <f>CONCATENATE(G65," ",$AX$2)</f>
        <v>BMRN US Equity</v>
      </c>
      <c r="BC65" s="17" t="str" cm="1">
        <f t="array" ref="BC65">_xll.BDP(AX65,"ID005")</f>
        <v>US09061G1013</v>
      </c>
      <c r="BD65" s="17">
        <v>0.67849999999999999</v>
      </c>
      <c r="BE65" s="18">
        <v>5</v>
      </c>
      <c r="BF65" s="19"/>
      <c r="BG65" s="20"/>
    </row>
    <row r="66" spans="1:59" s="3" customFormat="1" ht="14.45" customHeight="1" x14ac:dyDescent="0.25">
      <c r="A66" s="81" t="s">
        <v>241</v>
      </c>
      <c r="B66" s="81" t="s">
        <v>249</v>
      </c>
      <c r="C66" s="81" t="s">
        <v>250</v>
      </c>
      <c r="D66" s="81" t="s">
        <v>240</v>
      </c>
      <c r="E66" s="40" t="str">
        <f>_xll.BDP(AX66,"SECURITY NAME")</f>
        <v>BioMarin Pharmaceutical Inc</v>
      </c>
      <c r="F66" s="40" t="str">
        <f>_xll.BDP(AX66,"CRNCY")</f>
        <v>USD</v>
      </c>
      <c r="G66" s="23" t="s">
        <v>82</v>
      </c>
      <c r="H66" s="40" t="str" cm="1">
        <f t="array" ref="H66">IF(OR(_xll.BDP($AX66,"DX202")= "#N/A N/A", _xll.BDP($AX66,"DX202")="#N/A FIELD NOT APPLICABLE"), " ", _xll.BDP($AX66,"DX202"))</f>
        <v>Health Care</v>
      </c>
      <c r="I66" s="82">
        <f>_xll.BDP(AX66,"CRNCY_ADJ_MKT_CAP", "EQY_FUND_CRNCY=USD")/1000</f>
        <v>11.635988473874999</v>
      </c>
      <c r="J66" s="83">
        <f>IFERROR(_xll.BDP(AX66, "DV013")/100,0)</f>
        <v>0</v>
      </c>
      <c r="K66" s="84" cm="1">
        <f t="array" ref="K66">IF(OR(_xll.BDP($AX66,"RR900")= "#N/A N/A", _xll.BDP($AX66,"RR900")="#N/A FIELD NOT APPLICABLE"), " ", _xll.BDP($AX66,"RR900"))</f>
        <v>19.674979145352147</v>
      </c>
      <c r="L66" s="84" cm="1">
        <f t="array" ref="L66">IF(OR(_xll.BDP($AX66,"EE010")= "#N/A N/A", _xll.BDP($AX66,"EE010")="#N/A FIELD NOT APPLICABLE"), " ", _xll.BDP($AX66,"EE010"))</f>
        <v>11.319962686567163</v>
      </c>
      <c r="M66" s="84" cm="1">
        <f t="array" ref="M66">IF(OR(_xll.BDP($AX66,"RR903")= "#N/A N/A", _xll.BDP($AX66,"RR903")="#N/A FIELD NOT APPLICABLE"), " ", _xll.BDP($AX66,"RR903"))</f>
        <v>1.9978470038427201</v>
      </c>
      <c r="N66" s="84" cm="1">
        <f t="array" ref="N66">IF(OR(_xll.BDP($AX66,"RR957")= "#N/A N/A", _xll.BDP($AX66,"RR957")="#N/A FIELD NOT APPLICABLE"), " ", _xll.BDP($AX66,"RR957"))</f>
        <v>15.427358958166264</v>
      </c>
      <c r="O66" s="27">
        <v>710</v>
      </c>
      <c r="P66" s="28">
        <v>69.511210000000005</v>
      </c>
      <c r="Q66" s="40" cm="1">
        <f t="array" ref="Q66">IF(OR(_xll.BDP($AX66,"PX_last")="#N/A N/A",_xll.BDP($AX66,"PX_Last")="#N/A FIELD NOT APPLICABLE")," ",IF(F66="GBP",(_xll.BDP($AX66,"PX_LAST")/100),(_xll.BDP($AX66,"PX_LAST"))))</f>
        <v>60.674999999999997</v>
      </c>
      <c r="R66" s="85">
        <f>IF(F66="USD",AA66,(((_xll.BDP(F66&amp;"USD CURNCY","PX_LAST")))*AA66))</f>
        <v>49352.959100000007</v>
      </c>
      <c r="S66" s="85">
        <f>IF(F66="USD",AB66,(((_xll.BDP(F66&amp;"USD CURNCY","PX_LAST")))*AB66))</f>
        <v>43079.25</v>
      </c>
      <c r="T66" s="86">
        <f>S66-R66</f>
        <v>-6273.7091000000073</v>
      </c>
      <c r="U66" s="87">
        <f>T66/R66</f>
        <v>-0.12711920854204681</v>
      </c>
      <c r="V66" s="87" cm="1">
        <f t="array" ref="V66">IFERROR(_xll.BDP($G66&amp;" Equity","CHG_PCT_1D")/100,"")</f>
        <v>-2.2317109999999998E-2</v>
      </c>
      <c r="W66" s="87" cm="1">
        <f t="array" ref="W66">IFERROR(_xll.BDP($G66&amp;" Equity","CHG_PCT_5D")/100,"")</f>
        <v>-4.1166250000000001E-2</v>
      </c>
      <c r="X66" s="87" t="e">
        <f>S66/#REF!</f>
        <v>#REF!</v>
      </c>
      <c r="Y66" s="82">
        <f>IFERROR(S66*J66,0)</f>
        <v>0</v>
      </c>
      <c r="Z66" s="82">
        <f>S66</f>
        <v>43079.25</v>
      </c>
      <c r="AA66" s="85">
        <f>P66*O66</f>
        <v>49352.959100000007</v>
      </c>
      <c r="AB66" s="85">
        <f>IFERROR(O66*Q66,0)</f>
        <v>43079.25</v>
      </c>
      <c r="AC66" s="88" t="e" cm="1">
        <f t="array" ref="AC66">VLOOKUP(IF(NOT(_xll.BDP(AX66,$BW$8)="#N/A N/A"),(_xll.BDP(AX66,$BW$8)),"-"), '[1]Country Codes'!$A$2:$B$253,2,0)</f>
        <v>#N/A</v>
      </c>
      <c r="AD66" s="89" t="str" cm="1">
        <f t="array" ref="AD66">IF(OR(_xll.BDP($AX66,"EX028")= "#N/A N/A", _xll.BDP($AX66,"EX028")="#N/A FIELD NOT APPLICABLE"), " ", _xll.BDP($AX66,"EX028"))</f>
        <v>Equity</v>
      </c>
      <c r="AE66" s="90" t="str">
        <f>IF(("AS97"="Equity"), " ", "Single Line Equity")</f>
        <v>Single Line Equity</v>
      </c>
      <c r="AF66" s="84" cm="1">
        <f t="array" ref="AF66">IF(OR(_xll.BDP($AX66,"RR908")= "#N/A N/A", _xll.BDP($AX66,"RR908")="#N/A FIELD NOT APPLICABLE"), " ", _xll.BDP($AX66,"RR908"))</f>
        <v>16.51278130830697</v>
      </c>
      <c r="AG66" s="84" cm="1">
        <f t="array" ref="AG66">IF(OR(_xll.BDP($AX66,"RR041")= "#N/A N/A", _xll.BDP($AX66,"RR041")="#N/A FIELD NOT APPLICABLE"), " ", _xll.BDP($AX66,"RR041"))</f>
        <v>9.0661530933160108</v>
      </c>
      <c r="AH66" s="40">
        <f>_xll.BDP(AX66,"TOT_BUY_REC")</f>
        <v>23</v>
      </c>
      <c r="AI66" s="40">
        <f>_xll.BDP(AX66,"TOT_HOLD_REC")</f>
        <v>6</v>
      </c>
      <c r="AJ66" s="40">
        <f>_xll.BDP(AX66,"TOT_SELL_REC")</f>
        <v>0</v>
      </c>
      <c r="AK66" s="84" cm="1">
        <f t="array" ref="AK66">IF(OR(_xll.BDP($AX66,"EE201")= "#N/A N/A", _xll.BDP($AX66,"EE201")="#N/A FIELD NOT APPLICABLE"), " ", _xll.BDP($AX66,"EE201"))</f>
        <v>4.5862069129943848</v>
      </c>
      <c r="AL66" s="82">
        <f>_xll.BDP(AX66,"BEST_TARGET_PRICE")</f>
        <v>95.714286804199219</v>
      </c>
      <c r="AM66" s="91">
        <f>(AL66/Q66)-1</f>
        <v>0.57749133587472978</v>
      </c>
      <c r="AN66" s="91">
        <f>_xll.BDP(AX66,"PR061")/100</f>
        <v>6.8868519999999997E-3</v>
      </c>
      <c r="AO66" s="91">
        <f>_xll.BDP(AX66,"PR064")/100</f>
        <v>-5.696296E-2</v>
      </c>
      <c r="AP66" s="91">
        <f>_xll.BDP(AX66,"CHG_PCT_6M")/100</f>
        <v>-8.276646E-2</v>
      </c>
      <c r="AQ66" s="83">
        <f>_xll.BDP(AX66,"PR079")/100</f>
        <v>-7.6905570000000006E-2</v>
      </c>
      <c r="AR66" s="92">
        <f>_xll.BDP(AX66,"hs001")</f>
        <v>94.85</v>
      </c>
      <c r="AS66" s="92">
        <f>_xll.BDP(AX66,"hs002")</f>
        <v>52.93</v>
      </c>
      <c r="AT66" s="40" t="str" cm="1">
        <f t="array" ref="AT66">IF(OR(_xll.BDP($AX66,"DX202")= "#N/A N/A", _xll.BDP($AX66,"DX202")="#N/A FIELD NOT APPLICABLE"), " ", _xll.BDP($AX66,"DX202"))</f>
        <v>Health Care</v>
      </c>
      <c r="AU66" s="40" t="str" cm="1">
        <f t="array" ref="AU66">IF(OR(_xll.BDP($AX66,"DY997")= "#N/A N/A", _xll.BDP($AX66,"DY997")="#N/A FIELD NOT APPLICABLE"), " ", _xll.BDP($AX66,"DY997"))</f>
        <v>Y</v>
      </c>
      <c r="AV66" s="40" t="str" cm="1">
        <f t="array" ref="AV66">IF(OR(_xll.BDP($AX66,"DY784")= "#N/A N/A", _xll.BDP($AX66,"DY784")="#N/A FIELD NOT APPLICABLE"), " ", _xll.BDP($AX66,"DY784"))</f>
        <v>Y</v>
      </c>
      <c r="AW66" s="40" t="str">
        <f>IF(OR(AU66="Y",AV66="Y"),"Y","N")</f>
        <v>Y</v>
      </c>
      <c r="AX66" s="40" t="str">
        <f>CONCATENATE(G66," ",$AX$2)</f>
        <v>BMRN US Equity</v>
      </c>
      <c r="BC66" s="17" t="str" cm="1">
        <f t="array" ref="BC66">_xll.BDP(AX66,"ID005")</f>
        <v>US09061G1013</v>
      </c>
      <c r="BD66" s="17">
        <v>0.56999999999999995</v>
      </c>
      <c r="BE66" s="18">
        <v>4</v>
      </c>
      <c r="BF66" s="19">
        <v>45540</v>
      </c>
      <c r="BG66" s="20">
        <v>1</v>
      </c>
    </row>
    <row r="67" spans="1:59" s="93" customFormat="1" ht="14.45" customHeight="1" x14ac:dyDescent="0.25">
      <c r="A67" s="49" t="s">
        <v>241</v>
      </c>
      <c r="B67" s="49" t="s">
        <v>251</v>
      </c>
      <c r="C67" s="49" t="s">
        <v>252</v>
      </c>
      <c r="D67" s="49" t="s">
        <v>240</v>
      </c>
      <c r="E67" s="22" t="str">
        <f>_xll.BDP(AX67,"SECURITY NAME")</f>
        <v>BioMarin Pharmaceutical Inc</v>
      </c>
      <c r="F67" s="22" t="str">
        <f>_xll.BDP(AX67,"CRNCY")</f>
        <v>USD</v>
      </c>
      <c r="G67" s="23" t="s">
        <v>82</v>
      </c>
      <c r="H67" s="22" t="str" cm="1">
        <f t="array" ref="H67">IF(OR(_xll.BDP($AX67,"DX202")= "#N/A N/A", _xll.BDP($AX67,"DX202")="#N/A FIELD NOT APPLICABLE"), " ", _xll.BDP($AX67,"DX202"))</f>
        <v>Health Care</v>
      </c>
      <c r="I67" s="24">
        <f>_xll.BDP(AX67,"CRNCY_ADJ_MKT_CAP", "EQY_FUND_CRNCY=USD")/1000</f>
        <v>11.635988473874999</v>
      </c>
      <c r="J67" s="25">
        <f>IFERROR(_xll.BDP(AX67, "DV013")/100,0)</f>
        <v>0</v>
      </c>
      <c r="K67" s="26" cm="1">
        <f t="array" ref="K67">IF(OR(_xll.BDP($AX67,"RR900")= "#N/A N/A", _xll.BDP($AX67,"RR900")="#N/A FIELD NOT APPLICABLE"), " ", _xll.BDP($AX67,"RR900"))</f>
        <v>19.674979145352147</v>
      </c>
      <c r="L67" s="26" cm="1">
        <f t="array" ref="L67">IF(OR(_xll.BDP($AX67,"EE010")= "#N/A N/A", _xll.BDP($AX67,"EE010")="#N/A FIELD NOT APPLICABLE"), " ", _xll.BDP($AX67,"EE010"))</f>
        <v>11.319962686567163</v>
      </c>
      <c r="M67" s="26" cm="1">
        <f t="array" ref="M67">IF(OR(_xll.BDP($AX67,"RR903")= "#N/A N/A", _xll.BDP($AX67,"RR903")="#N/A FIELD NOT APPLICABLE"), " ", _xll.BDP($AX67,"RR903"))</f>
        <v>1.9978470038427201</v>
      </c>
      <c r="N67" s="26" cm="1">
        <f t="array" ref="N67">IF(OR(_xll.BDP($AX67,"RR957")= "#N/A N/A", _xll.BDP($AX67,"RR957")="#N/A FIELD NOT APPLICABLE"), " ", _xll.BDP($AX67,"RR957"))</f>
        <v>15.427358958166264</v>
      </c>
      <c r="O67" s="27">
        <v>850</v>
      </c>
      <c r="P67" s="28">
        <v>69.511210000000005</v>
      </c>
      <c r="Q67" s="22" cm="1">
        <f t="array" ref="Q67">IF(OR(_xll.BDP($AX67,"PX_last")="#N/A N/A",_xll.BDP($AX67,"PX_Last")="#N/A FIELD NOT APPLICABLE")," ",IF(F67="GBP",(_xll.BDP($AX67,"PX_LAST")/100),(_xll.BDP($AX67,"PX_LAST"))))</f>
        <v>60.674999999999997</v>
      </c>
      <c r="R67" s="29">
        <f>IF(F67="USD",AA67,(((_xll.BDP(F67&amp;"USD CURNCY","PX_LAST")))*AA67))</f>
        <v>59084.528500000008</v>
      </c>
      <c r="S67" s="29">
        <f>IF(F67="USD",AB67,(((_xll.BDP(F67&amp;"USD CURNCY","PX_LAST")))*AB67))</f>
        <v>51573.75</v>
      </c>
      <c r="T67" s="12">
        <f>S67-R67</f>
        <v>-7510.7785000000076</v>
      </c>
      <c r="U67" s="13">
        <f>T67/R67</f>
        <v>-0.12711920854204678</v>
      </c>
      <c r="V67" s="13" cm="1">
        <f t="array" ref="V67">IFERROR(_xll.BDP($G67&amp;" Equity","CHG_PCT_1D")/100,"")</f>
        <v>-2.2317109999999998E-2</v>
      </c>
      <c r="W67" s="13" cm="1">
        <f t="array" ref="W67">IFERROR(_xll.BDP($G67&amp;" Equity","CHG_PCT_5D")/100,"")</f>
        <v>-4.1166250000000001E-2</v>
      </c>
      <c r="X67" s="13" t="e">
        <f>S67/#REF!</f>
        <v>#REF!</v>
      </c>
      <c r="Y67" s="24">
        <f>IFERROR(S67*J67,0)</f>
        <v>0</v>
      </c>
      <c r="Z67" s="24">
        <f>S67</f>
        <v>51573.75</v>
      </c>
      <c r="AA67" s="29">
        <f>P67*O67</f>
        <v>59084.528500000008</v>
      </c>
      <c r="AB67" s="29">
        <f>IFERROR(O67*Q67,0)</f>
        <v>51573.75</v>
      </c>
      <c r="AC67" s="4" t="e" cm="1">
        <f t="array" ref="AC67">VLOOKUP(IF(NOT(_xll.BDP(AX67,$BW$8)="#N/A N/A"),(_xll.BDP(AX67,$BW$8)),"-"), '[1]Country Codes'!$A$2:$B$253,2,0)</f>
        <v>#N/A</v>
      </c>
      <c r="AD67" s="30" t="str" cm="1">
        <f t="array" ref="AD67">IF(OR(_xll.BDP($AX67,"EX028")= "#N/A N/A", _xll.BDP($AX67,"EX028")="#N/A FIELD NOT APPLICABLE"), " ", _xll.BDP($AX67,"EX028"))</f>
        <v>Equity</v>
      </c>
      <c r="AE67" s="31" t="str">
        <f>IF(("AS97"="Equity"), " ", "Single Line Equity")</f>
        <v>Single Line Equity</v>
      </c>
      <c r="AF67" s="26" cm="1">
        <f t="array" ref="AF67">IF(OR(_xll.BDP($AX67,"RR908")= "#N/A N/A", _xll.BDP($AX67,"RR908")="#N/A FIELD NOT APPLICABLE"), " ", _xll.BDP($AX67,"RR908"))</f>
        <v>16.51278130830697</v>
      </c>
      <c r="AG67" s="26" cm="1">
        <f t="array" ref="AG67">IF(OR(_xll.BDP($AX67,"RR041")= "#N/A N/A", _xll.BDP($AX67,"RR041")="#N/A FIELD NOT APPLICABLE"), " ", _xll.BDP($AX67,"RR041"))</f>
        <v>9.0661530933160108</v>
      </c>
      <c r="AH67" s="22">
        <f>_xll.BDP(AX67,"TOT_BUY_REC")</f>
        <v>23</v>
      </c>
      <c r="AI67" s="22">
        <f>_xll.BDP(AX67,"TOT_HOLD_REC")</f>
        <v>6</v>
      </c>
      <c r="AJ67" s="22">
        <f>_xll.BDP(AX67,"TOT_SELL_REC")</f>
        <v>0</v>
      </c>
      <c r="AK67" s="26" cm="1">
        <f t="array" ref="AK67">IF(OR(_xll.BDP($AX67,"EE201")= "#N/A N/A", _xll.BDP($AX67,"EE201")="#N/A FIELD NOT APPLICABLE"), " ", _xll.BDP($AX67,"EE201"))</f>
        <v>4.5862069129943848</v>
      </c>
      <c r="AL67" s="24">
        <f>_xll.BDP(AX67,"BEST_TARGET_PRICE")</f>
        <v>95.714286804199219</v>
      </c>
      <c r="AM67" s="32">
        <f>(AL67/Q67)-1</f>
        <v>0.57749133587472978</v>
      </c>
      <c r="AN67" s="32">
        <f>_xll.BDP(AX67,"PR061")/100</f>
        <v>6.8868519999999997E-3</v>
      </c>
      <c r="AO67" s="32">
        <f>_xll.BDP(AX67,"PR064")/100</f>
        <v>-5.696296E-2</v>
      </c>
      <c r="AP67" s="32">
        <f>_xll.BDP(AX67,"CHG_PCT_6M")/100</f>
        <v>-8.276646E-2</v>
      </c>
      <c r="AQ67" s="25">
        <f>_xll.BDP(AX67,"PR079")/100</f>
        <v>-7.6905570000000006E-2</v>
      </c>
      <c r="AR67" s="33">
        <f>_xll.BDP(AX67,"hs001")</f>
        <v>94.85</v>
      </c>
      <c r="AS67" s="33">
        <f>_xll.BDP(AX67,"hs002")</f>
        <v>52.93</v>
      </c>
      <c r="AT67" s="22" t="str" cm="1">
        <f t="array" ref="AT67">IF(OR(_xll.BDP($AX67,"DX202")= "#N/A N/A", _xll.BDP($AX67,"DX202")="#N/A FIELD NOT APPLICABLE"), " ", _xll.BDP($AX67,"DX202"))</f>
        <v>Health Care</v>
      </c>
      <c r="AU67" s="22" t="str" cm="1">
        <f t="array" ref="AU67">IF(OR(_xll.BDP($AX67,"DY997")= "#N/A N/A", _xll.BDP($AX67,"DY997")="#N/A FIELD NOT APPLICABLE"), " ", _xll.BDP($AX67,"DY997"))</f>
        <v>Y</v>
      </c>
      <c r="AV67" s="22" t="str" cm="1">
        <f t="array" ref="AV67">IF(OR(_xll.BDP($AX67,"DY784")= "#N/A N/A", _xll.BDP($AX67,"DY784")="#N/A FIELD NOT APPLICABLE"), " ", _xll.BDP($AX67,"DY784"))</f>
        <v>Y</v>
      </c>
      <c r="AW67" s="22" t="str">
        <f>IF(OR(AU67="Y",AV67="Y"),"Y","N")</f>
        <v>Y</v>
      </c>
      <c r="AX67" s="22" t="str">
        <f>CONCATENATE(G67," ",$AX$2)</f>
        <v>BMRN US Equity</v>
      </c>
      <c r="BC67" s="38"/>
      <c r="BD67" s="38"/>
      <c r="BE67" s="94"/>
      <c r="BF67" s="95"/>
      <c r="BG67" s="96"/>
    </row>
    <row r="68" spans="1:59" s="3" customFormat="1" ht="14.45" customHeight="1" x14ac:dyDescent="0.25">
      <c r="A68" s="49" t="s">
        <v>242</v>
      </c>
      <c r="B68" s="49" t="s">
        <v>332</v>
      </c>
      <c r="C68" s="72" t="s">
        <v>333</v>
      </c>
      <c r="D68" s="49" t="s">
        <v>248</v>
      </c>
      <c r="E68" s="22" t="str">
        <f>_xll.BDP(AX68,"SECURITY NAME")</f>
        <v>BioMarin Pharmaceutical Inc</v>
      </c>
      <c r="F68" s="22" t="str">
        <f>_xll.BDP(AX68,"CRNCY")</f>
        <v>USD</v>
      </c>
      <c r="G68" s="23" t="s">
        <v>82</v>
      </c>
      <c r="H68" s="22" t="str" cm="1">
        <f t="array" ref="H68">IF(OR(_xll.BDP($AX68,"DX202")= "#N/A N/A", _xll.BDP($AX68,"DX202")="#N/A FIELD NOT APPLICABLE"), " ", _xll.BDP($AX68,"DX202"))</f>
        <v>Health Care</v>
      </c>
      <c r="I68" s="24">
        <f>_xll.BDP(AX68,"CRNCY_ADJ_MKT_CAP", "EQY_FUND_CRNCY=USD")/1000</f>
        <v>11.635988473874999</v>
      </c>
      <c r="J68" s="25">
        <f>IFERROR(_xll.BDP(AX68, "DV013")/100,0)</f>
        <v>0</v>
      </c>
      <c r="K68" s="26" cm="1">
        <f t="array" ref="K68">IF(OR(_xll.BDP($AX68,"RR900")= "#N/A N/A", _xll.BDP($AX68,"RR900")="#N/A FIELD NOT APPLICABLE"), " ", _xll.BDP($AX68,"RR900"))</f>
        <v>19.674979145352147</v>
      </c>
      <c r="L68" s="26" cm="1">
        <f t="array" ref="L68">IF(OR(_xll.BDP($AX68,"EE010")= "#N/A N/A", _xll.BDP($AX68,"EE010")="#N/A FIELD NOT APPLICABLE"), " ", _xll.BDP($AX68,"EE010"))</f>
        <v>11.319962686567163</v>
      </c>
      <c r="M68" s="26" cm="1">
        <f t="array" ref="M68">IF(OR(_xll.BDP($AX68,"RR903")= "#N/A N/A", _xll.BDP($AX68,"RR903")="#N/A FIELD NOT APPLICABLE"), " ", _xll.BDP($AX68,"RR903"))</f>
        <v>1.9978470038427201</v>
      </c>
      <c r="N68" s="26" cm="1">
        <f t="array" ref="N68">IF(OR(_xll.BDP($AX68,"RR957")= "#N/A N/A", _xll.BDP($AX68,"RR957")="#N/A FIELD NOT APPLICABLE"), " ", _xll.BDP($AX68,"RR957"))</f>
        <v>15.427358958166264</v>
      </c>
      <c r="O68" s="27">
        <v>995</v>
      </c>
      <c r="P68" s="28">
        <v>70.09</v>
      </c>
      <c r="Q68" s="22" cm="1">
        <f t="array" ref="Q68">IF(OR(_xll.BDP($AX68,"PX_last")="#N/A N/A",_xll.BDP($AX68,"PX_Last")="#N/A FIELD NOT APPLICABLE")," ",IF(F68="GBP",(_xll.BDP($AX68,"PX_LAST")/100),(_xll.BDP($AX68,"PX_LAST"))))</f>
        <v>60.674999999999997</v>
      </c>
      <c r="R68" s="29">
        <f>IF(F68="USD",AA68,(((_xll.BDP(F68&amp;"USD CURNCY","PX_LAST")))*AA68))</f>
        <v>69739.55</v>
      </c>
      <c r="S68" s="29">
        <f>IF(F68="USD",AB68,(((_xll.BDP(F68&amp;"USD CURNCY","PX_LAST")))*AB68))</f>
        <v>60371.625</v>
      </c>
      <c r="T68" s="12">
        <f>S68-R68</f>
        <v>-9367.9250000000029</v>
      </c>
      <c r="U68" s="13">
        <f>T68/R68</f>
        <v>-0.1343272934798117</v>
      </c>
      <c r="V68" s="13" cm="1">
        <f t="array" ref="V68">IFERROR(_xll.BDP($G68&amp;" Equity","CHG_PCT_1D")/100,"")</f>
        <v>-2.2317109999999998E-2</v>
      </c>
      <c r="W68" s="13" cm="1">
        <f t="array" ref="W68">IFERROR(_xll.BDP($G68&amp;" Equity","CHG_PCT_5D")/100,"")</f>
        <v>-4.1166250000000001E-2</v>
      </c>
      <c r="X68" s="13" t="e">
        <f>S68/#REF!</f>
        <v>#REF!</v>
      </c>
      <c r="Y68" s="24">
        <f>IFERROR(S68*J68,0)</f>
        <v>0</v>
      </c>
      <c r="Z68" s="24">
        <f>S68</f>
        <v>60371.625</v>
      </c>
      <c r="AA68" s="29">
        <f>P68*O68</f>
        <v>69739.55</v>
      </c>
      <c r="AB68" s="29">
        <f>IFERROR(O68*Q68,0)</f>
        <v>60371.625</v>
      </c>
      <c r="AC68" s="4" t="e" cm="1">
        <f t="array" ref="AC68">VLOOKUP(IF(NOT(_xll.BDP(AX68,$BW$8)="#N/A N/A"),(_xll.BDP(AX68,$BW$8)),"-"), '[1]Country Codes'!$A$2:$B$253,2,0)</f>
        <v>#N/A</v>
      </c>
      <c r="AD68" s="30" t="str" cm="1">
        <f t="array" ref="AD68">IF(OR(_xll.BDP($AX68,"EX028")= "#N/A N/A", _xll.BDP($AX68,"EX028")="#N/A FIELD NOT APPLICABLE"), " ", _xll.BDP($AX68,"EX028"))</f>
        <v>Equity</v>
      </c>
      <c r="AE68" s="31" t="str">
        <f>IF(("AS97"="Equity"), " ", "Single Line Equity")</f>
        <v>Single Line Equity</v>
      </c>
      <c r="AF68" s="26" cm="1">
        <f t="array" ref="AF68">IF(OR(_xll.BDP($AX68,"RR908")= "#N/A N/A", _xll.BDP($AX68,"RR908")="#N/A FIELD NOT APPLICABLE"), " ", _xll.BDP($AX68,"RR908"))</f>
        <v>16.51278130830697</v>
      </c>
      <c r="AG68" s="26" cm="1">
        <f t="array" ref="AG68">IF(OR(_xll.BDP($AX68,"RR041")= "#N/A N/A", _xll.BDP($AX68,"RR041")="#N/A FIELD NOT APPLICABLE"), " ", _xll.BDP($AX68,"RR041"))</f>
        <v>9.0661530933160108</v>
      </c>
      <c r="AH68" s="22">
        <f>_xll.BDP(AX68,"TOT_BUY_REC")</f>
        <v>23</v>
      </c>
      <c r="AI68" s="22">
        <f>_xll.BDP(AX68,"TOT_HOLD_REC")</f>
        <v>6</v>
      </c>
      <c r="AJ68" s="22">
        <f>_xll.BDP(AX68,"TOT_SELL_REC")</f>
        <v>0</v>
      </c>
      <c r="AK68" s="26" cm="1">
        <f t="array" ref="AK68">IF(OR(_xll.BDP($AX68,"EE201")= "#N/A N/A", _xll.BDP($AX68,"EE201")="#N/A FIELD NOT APPLICABLE"), " ", _xll.BDP($AX68,"EE201"))</f>
        <v>4.5862069129943848</v>
      </c>
      <c r="AL68" s="24">
        <f>_xll.BDP(AX68,"BEST_TARGET_PRICE")</f>
        <v>95.714286804199219</v>
      </c>
      <c r="AM68" s="32">
        <f>(AL68/Q68)-1</f>
        <v>0.57749133587472978</v>
      </c>
      <c r="AN68" s="32">
        <f>_xll.BDP(AX68,"PR061")/100</f>
        <v>6.8868519999999997E-3</v>
      </c>
      <c r="AO68" s="32">
        <f>_xll.BDP(AX68,"PR064")/100</f>
        <v>-5.696296E-2</v>
      </c>
      <c r="AP68" s="32">
        <f>_xll.BDP(AX68,"CHG_PCT_6M")/100</f>
        <v>-8.276646E-2</v>
      </c>
      <c r="AQ68" s="25">
        <f>_xll.BDP(AX68,"PR079")/100</f>
        <v>-7.6905570000000006E-2</v>
      </c>
      <c r="AR68" s="33">
        <f>_xll.BDP(AX68,"hs001")</f>
        <v>94.85</v>
      </c>
      <c r="AS68" s="33">
        <f>_xll.BDP(AX68,"hs002")</f>
        <v>52.93</v>
      </c>
      <c r="AT68" s="22" t="str" cm="1">
        <f t="array" ref="AT68">IF(OR(_xll.BDP($AX68,"DX202")= "#N/A N/A", _xll.BDP($AX68,"DX202")="#N/A FIELD NOT APPLICABLE"), " ", _xll.BDP($AX68,"DX202"))</f>
        <v>Health Care</v>
      </c>
      <c r="AU68" s="22" t="str" cm="1">
        <f t="array" ref="AU68">IF(OR(_xll.BDP($AX68,"DY997")= "#N/A N/A", _xll.BDP($AX68,"DY997")="#N/A FIELD NOT APPLICABLE"), " ", _xll.BDP($AX68,"DY997"))</f>
        <v>Y</v>
      </c>
      <c r="AV68" s="22" t="str" cm="1">
        <f t="array" ref="AV68">IF(OR(_xll.BDP($AX68,"DY784")= "#N/A N/A", _xll.BDP($AX68,"DY784")="#N/A FIELD NOT APPLICABLE"), " ", _xll.BDP($AX68,"DY784"))</f>
        <v>Y</v>
      </c>
      <c r="AW68" s="22" t="str">
        <f>IF(OR(AU68="Y",AV68="Y"),"Y","N")</f>
        <v>Y</v>
      </c>
      <c r="AX68" s="22" t="str">
        <f>CONCATENATE(G68," ",$AX$2)</f>
        <v>BMRN US Equity</v>
      </c>
      <c r="BC68" s="17"/>
      <c r="BD68" s="17"/>
      <c r="BE68" s="18"/>
      <c r="BF68" s="19"/>
      <c r="BG68" s="20"/>
    </row>
    <row r="69" spans="1:59" s="3" customFormat="1" ht="14.45" customHeight="1" x14ac:dyDescent="0.25">
      <c r="A69" s="49" t="s">
        <v>257</v>
      </c>
      <c r="B69" s="49" t="s">
        <v>258</v>
      </c>
      <c r="C69" s="49" t="s">
        <v>259</v>
      </c>
      <c r="D69" s="49" t="s">
        <v>248</v>
      </c>
      <c r="E69" s="22" t="str">
        <f>_xll.BDP(AX69,"SECURITY NAME")</f>
        <v>BioMarin Pharmaceutical Inc</v>
      </c>
      <c r="F69" s="22" t="str">
        <f>_xll.BDP(AX69,"CRNCY")</f>
        <v>USD</v>
      </c>
      <c r="G69" s="23" t="s">
        <v>82</v>
      </c>
      <c r="H69" s="22" t="str" cm="1">
        <f t="array" ref="H69">IF(OR(_xll.BDP($AX69,"DX202")= "#N/A N/A", _xll.BDP($AX69,"DX202")="#N/A FIELD NOT APPLICABLE"), " ", _xll.BDP($AX69,"DX202"))</f>
        <v>Health Care</v>
      </c>
      <c r="I69" s="24">
        <f>_xll.BDP(AX69,"CRNCY_ADJ_MKT_CAP", "EQY_FUND_CRNCY=USD")/1000</f>
        <v>11.635988473874999</v>
      </c>
      <c r="J69" s="25">
        <f>IFERROR(_xll.BDP(AX69, "DV013")/100,0)</f>
        <v>0</v>
      </c>
      <c r="K69" s="26" cm="1">
        <f t="array" ref="K69">IF(OR(_xll.BDP($AX69,"RR900")= "#N/A N/A", _xll.BDP($AX69,"RR900")="#N/A FIELD NOT APPLICABLE"), " ", _xll.BDP($AX69,"RR900"))</f>
        <v>19.674979145352147</v>
      </c>
      <c r="L69" s="26" cm="1">
        <f t="array" ref="L69">IF(OR(_xll.BDP($AX69,"EE010")= "#N/A N/A", _xll.BDP($AX69,"EE010")="#N/A FIELD NOT APPLICABLE"), " ", _xll.BDP($AX69,"EE010"))</f>
        <v>11.319962686567163</v>
      </c>
      <c r="M69" s="26" cm="1">
        <f t="array" ref="M69">IF(OR(_xll.BDP($AX69,"RR903")= "#N/A N/A", _xll.BDP($AX69,"RR903")="#N/A FIELD NOT APPLICABLE"), " ", _xll.BDP($AX69,"RR903"))</f>
        <v>1.9978470038427201</v>
      </c>
      <c r="N69" s="26" cm="1">
        <f t="array" ref="N69">IF(OR(_xll.BDP($AX69,"RR957")= "#N/A N/A", _xll.BDP($AX69,"RR957")="#N/A FIELD NOT APPLICABLE"), " ", _xll.BDP($AX69,"RR957"))</f>
        <v>15.427358958166264</v>
      </c>
      <c r="O69" s="27">
        <v>425</v>
      </c>
      <c r="P69" s="28">
        <v>70.33</v>
      </c>
      <c r="Q69" s="22" cm="1">
        <f t="array" ref="Q69">IF(OR(_xll.BDP($AX69,"PX_last")="#N/A N/A",_xll.BDP($AX69,"PX_Last")="#N/A FIELD NOT APPLICABLE")," ",IF(F69="GBP",(_xll.BDP($AX69,"PX_LAST")/100),(_xll.BDP($AX69,"PX_LAST"))))</f>
        <v>60.674999999999997</v>
      </c>
      <c r="R69" s="29">
        <f>IF(F69="USD",AA69,(((_xll.BDP(F69&amp;"USD CURNCY","PX_LAST")))*AA69))</f>
        <v>29890.25</v>
      </c>
      <c r="S69" s="29">
        <f>IF(F69="USD",AB69,(((_xll.BDP(F69&amp;"USD CURNCY","PX_LAST")))*AB69))</f>
        <v>25786.875</v>
      </c>
      <c r="T69" s="12">
        <f>S69-R69</f>
        <v>-4103.375</v>
      </c>
      <c r="U69" s="13">
        <f>T69/R69</f>
        <v>-0.13728138774349496</v>
      </c>
      <c r="V69" s="13" cm="1">
        <f t="array" ref="V69">IFERROR(_xll.BDP($G69&amp;" Equity","CHG_PCT_1D")/100,"")</f>
        <v>-2.2317109999999998E-2</v>
      </c>
      <c r="W69" s="13" cm="1">
        <f t="array" ref="W69">IFERROR(_xll.BDP($G69&amp;" Equity","CHG_PCT_5D")/100,"")</f>
        <v>-4.1166250000000001E-2</v>
      </c>
      <c r="X69" s="13" t="e">
        <f>S69/#REF!</f>
        <v>#REF!</v>
      </c>
      <c r="Y69" s="24">
        <f>IFERROR(S69*J69,0)</f>
        <v>0</v>
      </c>
      <c r="Z69" s="24">
        <f>S69</f>
        <v>25786.875</v>
      </c>
      <c r="AA69" s="29">
        <f>P69*O69</f>
        <v>29890.25</v>
      </c>
      <c r="AB69" s="29">
        <f>IFERROR(O69*Q69,0)</f>
        <v>25786.875</v>
      </c>
      <c r="AC69" s="4" t="e" cm="1">
        <f t="array" ref="AC69">VLOOKUP(IF(NOT(_xll.BDP(AX69,$BW$8)="#N/A N/A"),(_xll.BDP(AX69,$BW$8)),"-"), '[1]Country Codes'!$A$2:$B$253,2,0)</f>
        <v>#N/A</v>
      </c>
      <c r="AD69" s="30" t="str" cm="1">
        <f t="array" ref="AD69">IF(OR(_xll.BDP($AX69,"EX028")= "#N/A N/A", _xll.BDP($AX69,"EX028")="#N/A FIELD NOT APPLICABLE"), " ", _xll.BDP($AX69,"EX028"))</f>
        <v>Equity</v>
      </c>
      <c r="AE69" s="31" t="str">
        <f>IF(("AS97"="Equity"), " ", "Single Line Equity")</f>
        <v>Single Line Equity</v>
      </c>
      <c r="AF69" s="26" cm="1">
        <f t="array" ref="AF69">IF(OR(_xll.BDP($AX69,"RR908")= "#N/A N/A", _xll.BDP($AX69,"RR908")="#N/A FIELD NOT APPLICABLE"), " ", _xll.BDP($AX69,"RR908"))</f>
        <v>16.51278130830697</v>
      </c>
      <c r="AG69" s="26" cm="1">
        <f t="array" ref="AG69">IF(OR(_xll.BDP($AX69,"RR041")= "#N/A N/A", _xll.BDP($AX69,"RR041")="#N/A FIELD NOT APPLICABLE"), " ", _xll.BDP($AX69,"RR041"))</f>
        <v>9.0661530933160108</v>
      </c>
      <c r="AH69" s="22">
        <f>_xll.BDP(AX69,"TOT_BUY_REC")</f>
        <v>23</v>
      </c>
      <c r="AI69" s="22">
        <f>_xll.BDP(AX69,"TOT_HOLD_REC")</f>
        <v>6</v>
      </c>
      <c r="AJ69" s="22">
        <f>_xll.BDP(AX69,"TOT_SELL_REC")</f>
        <v>0</v>
      </c>
      <c r="AK69" s="26" cm="1">
        <f t="array" ref="AK69">IF(OR(_xll.BDP($AX69,"EE201")= "#N/A N/A", _xll.BDP($AX69,"EE201")="#N/A FIELD NOT APPLICABLE"), " ", _xll.BDP($AX69,"EE201"))</f>
        <v>4.5862069129943848</v>
      </c>
      <c r="AL69" s="24">
        <f>_xll.BDP(AX69,"BEST_TARGET_PRICE")</f>
        <v>95.714286804199219</v>
      </c>
      <c r="AM69" s="32">
        <f>(AL69/Q69)-1</f>
        <v>0.57749133587472978</v>
      </c>
      <c r="AN69" s="32">
        <f>_xll.BDP(AX69,"PR061")/100</f>
        <v>6.8868519999999997E-3</v>
      </c>
      <c r="AO69" s="32">
        <f>_xll.BDP(AX69,"PR064")/100</f>
        <v>-5.696296E-2</v>
      </c>
      <c r="AP69" s="32">
        <f>_xll.BDP(AX69,"CHG_PCT_6M")/100</f>
        <v>-8.276646E-2</v>
      </c>
      <c r="AQ69" s="25">
        <f>_xll.BDP(AX69,"PR079")/100</f>
        <v>-7.6905570000000006E-2</v>
      </c>
      <c r="AR69" s="33">
        <f>_xll.BDP(AX69,"hs001")</f>
        <v>94.85</v>
      </c>
      <c r="AS69" s="33">
        <f>_xll.BDP(AX69,"hs002")</f>
        <v>52.93</v>
      </c>
      <c r="AT69" s="22" t="str" cm="1">
        <f t="array" ref="AT69">IF(OR(_xll.BDP($AX69,"DX202")= "#N/A N/A", _xll.BDP($AX69,"DX202")="#N/A FIELD NOT APPLICABLE"), " ", _xll.BDP($AX69,"DX202"))</f>
        <v>Health Care</v>
      </c>
      <c r="AU69" s="22" t="str" cm="1">
        <f t="array" ref="AU69">IF(OR(_xll.BDP($AX69,"DY997")= "#N/A N/A", _xll.BDP($AX69,"DY997")="#N/A FIELD NOT APPLICABLE"), " ", _xll.BDP($AX69,"DY997"))</f>
        <v>Y</v>
      </c>
      <c r="AV69" s="22" t="str" cm="1">
        <f t="array" ref="AV69">IF(OR(_xll.BDP($AX69,"DY784")= "#N/A N/A", _xll.BDP($AX69,"DY784")="#N/A FIELD NOT APPLICABLE"), " ", _xll.BDP($AX69,"DY784"))</f>
        <v>Y</v>
      </c>
      <c r="AW69" s="22" t="str">
        <f>IF(OR(AU69="Y",AV69="Y"),"Y","N")</f>
        <v>Y</v>
      </c>
      <c r="AX69" s="22" t="str">
        <f>CONCATENATE(G69," ",$AX$2)</f>
        <v>BMRN US Equity</v>
      </c>
      <c r="BC69" s="17" t="str" cm="1">
        <f t="array" ref="BC69">_xll.BDP(AX69,"ID005")</f>
        <v>US09061G1013</v>
      </c>
      <c r="BD69" s="17">
        <v>0</v>
      </c>
      <c r="BE69" s="18">
        <v>5</v>
      </c>
      <c r="BF69" s="19">
        <v>45567</v>
      </c>
      <c r="BG69" s="20">
        <v>1</v>
      </c>
    </row>
    <row r="70" spans="1:59" s="3" customFormat="1" ht="14.45" customHeight="1" x14ac:dyDescent="0.25">
      <c r="A70" s="49" t="s">
        <v>242</v>
      </c>
      <c r="B70" s="49" t="s">
        <v>260</v>
      </c>
      <c r="C70" s="49" t="s">
        <v>261</v>
      </c>
      <c r="D70" s="49" t="s">
        <v>248</v>
      </c>
      <c r="E70" s="22" t="str">
        <f>_xll.BDP(AX70,"SECURITY NAME")</f>
        <v>BioMarin Pharmaceutical Inc</v>
      </c>
      <c r="F70" s="22" t="str">
        <f>_xll.BDP(AX70,"CRNCY")</f>
        <v>USD</v>
      </c>
      <c r="G70" s="73" t="s">
        <v>82</v>
      </c>
      <c r="H70" s="22" t="str" cm="1">
        <f t="array" ref="H70">IF(OR(_xll.BDP($AX70,"DX202")= "#N/A N/A", _xll.BDP($AX70,"DX202")="#N/A FIELD NOT APPLICABLE"), " ", _xll.BDP($AX70,"DX202"))</f>
        <v>Health Care</v>
      </c>
      <c r="I70" s="24">
        <f>_xll.BDP(AX70,"CRNCY_ADJ_MKT_CAP", "EQY_FUND_CRNCY=USD")/1000</f>
        <v>11.635988473874999</v>
      </c>
      <c r="J70" s="25">
        <f>IFERROR(_xll.BDP(AX70, "DV013")/100,0)</f>
        <v>0</v>
      </c>
      <c r="K70" s="26" cm="1">
        <f t="array" ref="K70">IF(OR(_xll.BDP($AX70,"RR900")= "#N/A N/A", _xll.BDP($AX70,"RR900")="#N/A FIELD NOT APPLICABLE"), " ", _xll.BDP($AX70,"RR900"))</f>
        <v>19.674979145352147</v>
      </c>
      <c r="L70" s="26" cm="1">
        <f t="array" ref="L70">IF(OR(_xll.BDP($AX70,"EE010")= "#N/A N/A", _xll.BDP($AX70,"EE010")="#N/A FIELD NOT APPLICABLE"), " ", _xll.BDP($AX70,"EE010"))</f>
        <v>11.319962686567163</v>
      </c>
      <c r="M70" s="26" cm="1">
        <f t="array" ref="M70">IF(OR(_xll.BDP($AX70,"RR903")= "#N/A N/A", _xll.BDP($AX70,"RR903")="#N/A FIELD NOT APPLICABLE"), " ", _xll.BDP($AX70,"RR903"))</f>
        <v>1.9978470038427201</v>
      </c>
      <c r="N70" s="26" cm="1">
        <f t="array" ref="N70">IF(OR(_xll.BDP($AX70,"RR957")= "#N/A N/A", _xll.BDP($AX70,"RR957")="#N/A FIELD NOT APPLICABLE"), " ", _xll.BDP($AX70,"RR957"))</f>
        <v>15.427358958166264</v>
      </c>
      <c r="O70" s="74">
        <v>710</v>
      </c>
      <c r="P70" s="75">
        <v>70.17</v>
      </c>
      <c r="Q70" s="22" cm="1">
        <f t="array" ref="Q70">IF(OR(_xll.BDP($AX70,"PX_last")="#N/A N/A",_xll.BDP($AX70,"PX_Last")="#N/A FIELD NOT APPLICABLE")," ",IF(F70="GBP",(_xll.BDP($AX70,"PX_LAST")/100),(_xll.BDP($AX70,"PX_LAST"))))</f>
        <v>60.674999999999997</v>
      </c>
      <c r="R70" s="29">
        <f>IF(F70="USD",AA70,(((_xll.BDP(F70&amp;"USD CURNCY","PX_LAST")))*AA70))</f>
        <v>49820.700000000004</v>
      </c>
      <c r="S70" s="29">
        <f>IF(F70="USD",AB70,(((_xll.BDP(F70&amp;"USD CURNCY","PX_LAST")))*AB70))</f>
        <v>43079.25</v>
      </c>
      <c r="T70" s="12">
        <f>S70-R70</f>
        <v>-6741.4500000000044</v>
      </c>
      <c r="U70" s="13">
        <f>T70/R70</f>
        <v>-0.13531423685335622</v>
      </c>
      <c r="V70" s="13" cm="1">
        <f t="array" ref="V70">IFERROR(_xll.BDP($G70&amp;" Equity","CHG_PCT_1D")/100,"")</f>
        <v>-2.2317109999999998E-2</v>
      </c>
      <c r="W70" s="13" cm="1">
        <f t="array" ref="W70">IFERROR(_xll.BDP($G70&amp;" Equity","CHG_PCT_5D")/100,"")</f>
        <v>-4.1166250000000001E-2</v>
      </c>
      <c r="X70" s="13" t="e">
        <f>S70/#REF!</f>
        <v>#REF!</v>
      </c>
      <c r="Y70" s="24">
        <f>IFERROR(S70*J70,0)</f>
        <v>0</v>
      </c>
      <c r="Z70" s="24">
        <f>S70</f>
        <v>43079.25</v>
      </c>
      <c r="AA70" s="29">
        <f>P70*O70</f>
        <v>49820.700000000004</v>
      </c>
      <c r="AB70" s="29">
        <f>IFERROR(O70*Q70,0)</f>
        <v>43079.25</v>
      </c>
      <c r="AC70" s="4" t="e" cm="1">
        <f t="array" ref="AC70">VLOOKUP(IF(NOT(_xll.BDP(AX70,$BW$8)="#N/A N/A"),(_xll.BDP(AX70,$BW$8)),"-"), '[1]Country Codes'!$A$2:$B$253,2,0)</f>
        <v>#N/A</v>
      </c>
      <c r="AD70" s="30" t="str" cm="1">
        <f t="array" ref="AD70">IF(OR(_xll.BDP($AX70,"EX028")= "#N/A N/A", _xll.BDP($AX70,"EX028")="#N/A FIELD NOT APPLICABLE"), " ", _xll.BDP($AX70,"EX028"))</f>
        <v>Equity</v>
      </c>
      <c r="AE70" s="31" t="str">
        <f>IF(("AS97"="Equity"), " ", "Single Line Equity")</f>
        <v>Single Line Equity</v>
      </c>
      <c r="AF70" s="26" cm="1">
        <f t="array" ref="AF70">IF(OR(_xll.BDP($AX70,"RR908")= "#N/A N/A", _xll.BDP($AX70,"RR908")="#N/A FIELD NOT APPLICABLE"), " ", _xll.BDP($AX70,"RR908"))</f>
        <v>16.51278130830697</v>
      </c>
      <c r="AG70" s="26" cm="1">
        <f t="array" ref="AG70">IF(OR(_xll.BDP($AX70,"RR041")= "#N/A N/A", _xll.BDP($AX70,"RR041")="#N/A FIELD NOT APPLICABLE"), " ", _xll.BDP($AX70,"RR041"))</f>
        <v>9.0661530933160108</v>
      </c>
      <c r="AH70" s="22">
        <f>_xll.BDP(AX70,"TOT_BUY_REC")</f>
        <v>23</v>
      </c>
      <c r="AI70" s="22">
        <f>_xll.BDP(AX70,"TOT_HOLD_REC")</f>
        <v>6</v>
      </c>
      <c r="AJ70" s="22">
        <f>_xll.BDP(AX70,"TOT_SELL_REC")</f>
        <v>0</v>
      </c>
      <c r="AK70" s="26" cm="1">
        <f t="array" ref="AK70">IF(OR(_xll.BDP($AX70,"EE201")= "#N/A N/A", _xll.BDP($AX70,"EE201")="#N/A FIELD NOT APPLICABLE"), " ", _xll.BDP($AX70,"EE201"))</f>
        <v>4.5862069129943848</v>
      </c>
      <c r="AL70" s="24">
        <f>_xll.BDP(AX70,"BEST_TARGET_PRICE")</f>
        <v>95.714286804199219</v>
      </c>
      <c r="AM70" s="32">
        <f>(AL70/Q70)-1</f>
        <v>0.57749133587472978</v>
      </c>
      <c r="AN70" s="32">
        <f>_xll.BDP(AX70,"PR061")/100</f>
        <v>6.8868519999999997E-3</v>
      </c>
      <c r="AO70" s="32">
        <f>_xll.BDP(AX70,"PR064")/100</f>
        <v>-5.696296E-2</v>
      </c>
      <c r="AP70" s="32">
        <f>_xll.BDP(AX70,"CHG_PCT_6M")/100</f>
        <v>-8.276646E-2</v>
      </c>
      <c r="AQ70" s="25">
        <f>_xll.BDP(AX70,"PR079")/100</f>
        <v>-7.6905570000000006E-2</v>
      </c>
      <c r="AR70" s="33">
        <f>_xll.BDP(AX70,"hs001")</f>
        <v>94.85</v>
      </c>
      <c r="AS70" s="33">
        <f>_xll.BDP(AX70,"hs002")</f>
        <v>52.93</v>
      </c>
      <c r="AT70" s="22" t="str" cm="1">
        <f t="array" ref="AT70">IF(OR(_xll.BDP($AX70,"DX202")= "#N/A N/A", _xll.BDP($AX70,"DX202")="#N/A FIELD NOT APPLICABLE"), " ", _xll.BDP($AX70,"DX202"))</f>
        <v>Health Care</v>
      </c>
      <c r="AU70" s="22" t="str" cm="1">
        <f t="array" ref="AU70">IF(OR(_xll.BDP($AX70,"DY997")= "#N/A N/A", _xll.BDP($AX70,"DY997")="#N/A FIELD NOT APPLICABLE"), " ", _xll.BDP($AX70,"DY997"))</f>
        <v>Y</v>
      </c>
      <c r="AV70" s="22" t="str" cm="1">
        <f t="array" ref="AV70">IF(OR(_xll.BDP($AX70,"DY784")= "#N/A N/A", _xll.BDP($AX70,"DY784")="#N/A FIELD NOT APPLICABLE"), " ", _xll.BDP($AX70,"DY784"))</f>
        <v>Y</v>
      </c>
      <c r="AW70" s="22" t="str">
        <f>IF(OR(AU70="Y",AV70="Y"),"Y","N")</f>
        <v>Y</v>
      </c>
      <c r="AX70" s="22" t="str">
        <f>CONCATENATE(G70," ",$AX$2)</f>
        <v>BMRN US Equity</v>
      </c>
      <c r="BC70" s="17" t="str" cm="1">
        <f t="array" ref="BC70">_xll.BDP(AX70,"ID005")</f>
        <v>US09061G1013</v>
      </c>
      <c r="BD70" s="17">
        <v>0.72</v>
      </c>
      <c r="BE70" s="18">
        <v>5</v>
      </c>
      <c r="BF70" s="19">
        <v>45567</v>
      </c>
      <c r="BG70" s="20">
        <v>1</v>
      </c>
    </row>
    <row r="71" spans="1:59" s="3" customFormat="1" ht="14.45" customHeight="1" x14ac:dyDescent="0.25">
      <c r="A71" s="49" t="s">
        <v>241</v>
      </c>
      <c r="B71" s="49" t="s">
        <v>262</v>
      </c>
      <c r="C71" s="49" t="s">
        <v>263</v>
      </c>
      <c r="D71" s="49" t="s">
        <v>240</v>
      </c>
      <c r="E71" s="22" t="str">
        <f>_xll.BDP(AX71,"SECURITY NAME")</f>
        <v>BioMarin Pharmaceutical Inc</v>
      </c>
      <c r="F71" s="22" t="str">
        <f>_xll.BDP(AX71,"CRNCY")</f>
        <v>USD</v>
      </c>
      <c r="G71" s="23" t="s">
        <v>82</v>
      </c>
      <c r="H71" s="22" t="str" cm="1">
        <f t="array" ref="H71">IF(OR(_xll.BDP($AX71,"DX202")= "#N/A N/A", _xll.BDP($AX71,"DX202")="#N/A FIELD NOT APPLICABLE"), " ", _xll.BDP($AX71,"DX202"))</f>
        <v>Health Care</v>
      </c>
      <c r="I71" s="24">
        <f>_xll.BDP(AX71,"CRNCY_ADJ_MKT_CAP", "EQY_FUND_CRNCY=USD")/1000</f>
        <v>11.635988473874999</v>
      </c>
      <c r="J71" s="25">
        <f>IFERROR(_xll.BDP(AX71, "DV013")/100,0)</f>
        <v>0</v>
      </c>
      <c r="K71" s="26" cm="1">
        <f t="array" ref="K71">IF(OR(_xll.BDP($AX71,"RR900")= "#N/A N/A", _xll.BDP($AX71,"RR900")="#N/A FIELD NOT APPLICABLE"), " ", _xll.BDP($AX71,"RR900"))</f>
        <v>19.674979145352147</v>
      </c>
      <c r="L71" s="26" cm="1">
        <f t="array" ref="L71">IF(OR(_xll.BDP($AX71,"EE010")= "#N/A N/A", _xll.BDP($AX71,"EE010")="#N/A FIELD NOT APPLICABLE"), " ", _xll.BDP($AX71,"EE010"))</f>
        <v>11.319962686567163</v>
      </c>
      <c r="M71" s="26" cm="1">
        <f t="array" ref="M71">IF(OR(_xll.BDP($AX71,"RR903")= "#N/A N/A", _xll.BDP($AX71,"RR903")="#N/A FIELD NOT APPLICABLE"), " ", _xll.BDP($AX71,"RR903"))</f>
        <v>1.9978470038427201</v>
      </c>
      <c r="N71" s="26" cm="1">
        <f t="array" ref="N71">IF(OR(_xll.BDP($AX71,"RR957")= "#N/A N/A", _xll.BDP($AX71,"RR957")="#N/A FIELD NOT APPLICABLE"), " ", _xll.BDP($AX71,"RR957"))</f>
        <v>15.427358958166264</v>
      </c>
      <c r="O71" s="27">
        <v>1425</v>
      </c>
      <c r="P71" s="28">
        <v>69.511210000000005</v>
      </c>
      <c r="Q71" s="22" cm="1">
        <f t="array" ref="Q71">IF(OR(_xll.BDP($AX71,"PX_last")="#N/A N/A",_xll.BDP($AX71,"PX_Last")="#N/A FIELD NOT APPLICABLE")," ",IF(F71="GBP",(_xll.BDP($AX71,"PX_LAST")/100),(_xll.BDP($AX71,"PX_LAST"))))</f>
        <v>60.674999999999997</v>
      </c>
      <c r="R71" s="29">
        <f>IF(F71="USD",AA71,(((_xll.BDP(F71&amp;"USD CURNCY","PX_LAST")))*AA71))</f>
        <v>99053.474250000014</v>
      </c>
      <c r="S71" s="29">
        <f>IF(F71="USD",AB71,(((_xll.BDP(F71&amp;"USD CURNCY","PX_LAST")))*AB71))</f>
        <v>86461.875</v>
      </c>
      <c r="T71" s="12">
        <f>S71-R71</f>
        <v>-12591.599250000014</v>
      </c>
      <c r="U71" s="13">
        <f>T71/R71</f>
        <v>-0.12711920854204678</v>
      </c>
      <c r="V71" s="13" cm="1">
        <f t="array" ref="V71">IFERROR(_xll.BDP($G71&amp;" Equity","CHG_PCT_1D")/100,"")</f>
        <v>-2.2317109999999998E-2</v>
      </c>
      <c r="W71" s="13" cm="1">
        <f t="array" ref="W71">IFERROR(_xll.BDP($G71&amp;" Equity","CHG_PCT_5D")/100,"")</f>
        <v>-4.1166250000000001E-2</v>
      </c>
      <c r="X71" s="13" t="e">
        <f>S71/#REF!</f>
        <v>#REF!</v>
      </c>
      <c r="Y71" s="24">
        <f>IFERROR(S71*J71,0)</f>
        <v>0</v>
      </c>
      <c r="Z71" s="24">
        <f>S71</f>
        <v>86461.875</v>
      </c>
      <c r="AA71" s="29">
        <f>P71*O71</f>
        <v>99053.474250000014</v>
      </c>
      <c r="AB71" s="29">
        <f>IFERROR(O71*Q71,0)</f>
        <v>86461.875</v>
      </c>
      <c r="AC71" s="4" t="e" cm="1">
        <f t="array" ref="AC71">VLOOKUP(IF(NOT(_xll.BDP(AX71,$BW$8)="#N/A N/A"),(_xll.BDP(AX71,$BW$8)),"-"), '[1]Country Codes'!$A$2:$B$253,2,0)</f>
        <v>#N/A</v>
      </c>
      <c r="AD71" s="30" t="str" cm="1">
        <f t="array" ref="AD71">IF(OR(_xll.BDP($AX71,"EX028")= "#N/A N/A", _xll.BDP($AX71,"EX028")="#N/A FIELD NOT APPLICABLE"), " ", _xll.BDP($AX71,"EX028"))</f>
        <v>Equity</v>
      </c>
      <c r="AE71" s="31" t="str">
        <f>IF(("AS97"="Equity"), " ", "Single Line Equity")</f>
        <v>Single Line Equity</v>
      </c>
      <c r="AF71" s="26" cm="1">
        <f t="array" ref="AF71">IF(OR(_xll.BDP($AX71,"RR908")= "#N/A N/A", _xll.BDP($AX71,"RR908")="#N/A FIELD NOT APPLICABLE"), " ", _xll.BDP($AX71,"RR908"))</f>
        <v>16.51278130830697</v>
      </c>
      <c r="AG71" s="26" cm="1">
        <f t="array" ref="AG71">IF(OR(_xll.BDP($AX71,"RR041")= "#N/A N/A", _xll.BDP($AX71,"RR041")="#N/A FIELD NOT APPLICABLE"), " ", _xll.BDP($AX71,"RR041"))</f>
        <v>9.0661530933160108</v>
      </c>
      <c r="AH71" s="22">
        <f>_xll.BDP(AX71,"TOT_BUY_REC")</f>
        <v>23</v>
      </c>
      <c r="AI71" s="22">
        <f>_xll.BDP(AX71,"TOT_HOLD_REC")</f>
        <v>6</v>
      </c>
      <c r="AJ71" s="22">
        <f>_xll.BDP(AX71,"TOT_SELL_REC")</f>
        <v>0</v>
      </c>
      <c r="AK71" s="26" cm="1">
        <f t="array" ref="AK71">IF(OR(_xll.BDP($AX71,"EE201")= "#N/A N/A", _xll.BDP($AX71,"EE201")="#N/A FIELD NOT APPLICABLE"), " ", _xll.BDP($AX71,"EE201"))</f>
        <v>4.5862069129943848</v>
      </c>
      <c r="AL71" s="24">
        <f>_xll.BDP(AX71,"BEST_TARGET_PRICE")</f>
        <v>95.714286804199219</v>
      </c>
      <c r="AM71" s="32">
        <f>(AL71/Q71)-1</f>
        <v>0.57749133587472978</v>
      </c>
      <c r="AN71" s="32">
        <f>_xll.BDP(AX71,"PR061")/100</f>
        <v>6.8868519999999997E-3</v>
      </c>
      <c r="AO71" s="32">
        <f>_xll.BDP(AX71,"PR064")/100</f>
        <v>-5.696296E-2</v>
      </c>
      <c r="AP71" s="32">
        <f>_xll.BDP(AX71,"CHG_PCT_6M")/100</f>
        <v>-8.276646E-2</v>
      </c>
      <c r="AQ71" s="25">
        <f>_xll.BDP(AX71,"PR079")/100</f>
        <v>-7.6905570000000006E-2</v>
      </c>
      <c r="AR71" s="33">
        <f>_xll.BDP(AX71,"hs001")</f>
        <v>94.85</v>
      </c>
      <c r="AS71" s="33">
        <f>_xll.BDP(AX71,"hs002")</f>
        <v>52.93</v>
      </c>
      <c r="AT71" s="22" t="str" cm="1">
        <f t="array" ref="AT71">IF(OR(_xll.BDP($AX71,"DX202")= "#N/A N/A", _xll.BDP($AX71,"DX202")="#N/A FIELD NOT APPLICABLE"), " ", _xll.BDP($AX71,"DX202"))</f>
        <v>Health Care</v>
      </c>
      <c r="AU71" s="22" t="str" cm="1">
        <f t="array" ref="AU71">IF(OR(_xll.BDP($AX71,"DY997")= "#N/A N/A", _xll.BDP($AX71,"DY997")="#N/A FIELD NOT APPLICABLE"), " ", _xll.BDP($AX71,"DY997"))</f>
        <v>Y</v>
      </c>
      <c r="AV71" s="22" t="str" cm="1">
        <f t="array" ref="AV71">IF(OR(_xll.BDP($AX71,"DY784")= "#N/A N/A", _xll.BDP($AX71,"DY784")="#N/A FIELD NOT APPLICABLE"), " ", _xll.BDP($AX71,"DY784"))</f>
        <v>Y</v>
      </c>
      <c r="AW71" s="22" t="str">
        <f>IF(OR(AU71="Y",AV71="Y"),"Y","N")</f>
        <v>Y</v>
      </c>
      <c r="AX71" s="22" t="str">
        <f>CONCATENATE(G71," ",$AX$2)</f>
        <v>BMRN US Equity</v>
      </c>
      <c r="BC71" s="17" t="str" cm="1">
        <f t="array" ref="BC71">_xll.BDP(AX71,"ID005")</f>
        <v>US09061G1013</v>
      </c>
      <c r="BD71" s="17">
        <v>0.75</v>
      </c>
      <c r="BE71" s="18">
        <v>4</v>
      </c>
      <c r="BF71" s="19">
        <v>45540</v>
      </c>
      <c r="BG71" s="20">
        <v>1</v>
      </c>
    </row>
    <row r="72" spans="1:59" s="3" customFormat="1" ht="14.45" customHeight="1" x14ac:dyDescent="0.25">
      <c r="A72" s="49" t="s">
        <v>242</v>
      </c>
      <c r="B72" s="49" t="s">
        <v>264</v>
      </c>
      <c r="C72" s="49" t="s">
        <v>265</v>
      </c>
      <c r="D72" s="49" t="s">
        <v>248</v>
      </c>
      <c r="E72" s="22" t="str">
        <f>_xll.BDP(AX72,"SECURITY NAME")</f>
        <v>BioMarin Pharmaceutical Inc</v>
      </c>
      <c r="F72" s="22" t="str">
        <f>_xll.BDP(AX72,"CRNCY")</f>
        <v>USD</v>
      </c>
      <c r="G72" s="23" t="s">
        <v>82</v>
      </c>
      <c r="H72" s="22" t="str" cm="1">
        <f t="array" ref="H72">IF(OR(_xll.BDP($AX72,"DX202")= "#N/A N/A", _xll.BDP($AX72,"DX202")="#N/A FIELD NOT APPLICABLE"), " ", _xll.BDP($AX72,"DX202"))</f>
        <v>Health Care</v>
      </c>
      <c r="I72" s="24">
        <f>_xll.BDP(AX72,"CRNCY_ADJ_MKT_CAP", "EQY_FUND_CRNCY=USD")/1000</f>
        <v>11.635988473874999</v>
      </c>
      <c r="J72" s="25">
        <f>IFERROR(_xll.BDP(AX72, "DV013")/100,0)</f>
        <v>0</v>
      </c>
      <c r="K72" s="26" cm="1">
        <f t="array" ref="K72">IF(OR(_xll.BDP($AX72,"RR900")= "#N/A N/A", _xll.BDP($AX72,"RR900")="#N/A FIELD NOT APPLICABLE"), " ", _xll.BDP($AX72,"RR900"))</f>
        <v>19.674979145352147</v>
      </c>
      <c r="L72" s="26" cm="1">
        <f t="array" ref="L72">IF(OR(_xll.BDP($AX72,"EE010")= "#N/A N/A", _xll.BDP($AX72,"EE010")="#N/A FIELD NOT APPLICABLE"), " ", _xll.BDP($AX72,"EE010"))</f>
        <v>11.319962686567163</v>
      </c>
      <c r="M72" s="26" cm="1">
        <f t="array" ref="M72">IF(OR(_xll.BDP($AX72,"RR903")= "#N/A N/A", _xll.BDP($AX72,"RR903")="#N/A FIELD NOT APPLICABLE"), " ", _xll.BDP($AX72,"RR903"))</f>
        <v>1.9978470038427201</v>
      </c>
      <c r="N72" s="26" cm="1">
        <f t="array" ref="N72">IF(OR(_xll.BDP($AX72,"RR957")= "#N/A N/A", _xll.BDP($AX72,"RR957")="#N/A FIELD NOT APPLICABLE"), " ", _xll.BDP($AX72,"RR957"))</f>
        <v>15.427358958166264</v>
      </c>
      <c r="O72" s="27">
        <v>1425</v>
      </c>
      <c r="P72" s="28">
        <v>70.040000000000006</v>
      </c>
      <c r="Q72" s="22" cm="1">
        <f t="array" ref="Q72">IF(OR(_xll.BDP($AX72,"PX_last")="#N/A N/A",_xll.BDP($AX72,"PX_Last")="#N/A FIELD NOT APPLICABLE")," ",IF(F72="GBP",(_xll.BDP($AX72,"PX_LAST")/100),(_xll.BDP($AX72,"PX_LAST"))))</f>
        <v>60.674999999999997</v>
      </c>
      <c r="R72" s="29">
        <f>IF(F72="USD",AA72,(((_xll.BDP(F72&amp;"USD CURNCY","PX_LAST")))*AA72))</f>
        <v>99807.000000000015</v>
      </c>
      <c r="S72" s="29">
        <f>IF(F72="USD",AB72,(((_xll.BDP(F72&amp;"USD CURNCY","PX_LAST")))*AB72))</f>
        <v>86461.875</v>
      </c>
      <c r="T72" s="12">
        <f>S72-R72</f>
        <v>-13345.125000000015</v>
      </c>
      <c r="U72" s="13">
        <f>T72/R72</f>
        <v>-0.13370930896630509</v>
      </c>
      <c r="V72" s="13" cm="1">
        <f t="array" ref="V72">IFERROR(_xll.BDP($G72&amp;" Equity","CHG_PCT_1D")/100,"")</f>
        <v>-2.2317109999999998E-2</v>
      </c>
      <c r="W72" s="13" cm="1">
        <f t="array" ref="W72">IFERROR(_xll.BDP($G72&amp;" Equity","CHG_PCT_5D")/100,"")</f>
        <v>-4.1166250000000001E-2</v>
      </c>
      <c r="X72" s="13" t="e">
        <f>S72/#REF!</f>
        <v>#REF!</v>
      </c>
      <c r="Y72" s="24">
        <f>IFERROR(S72*J72,0)</f>
        <v>0</v>
      </c>
      <c r="Z72" s="24">
        <f>S72</f>
        <v>86461.875</v>
      </c>
      <c r="AA72" s="29">
        <f>P72*O72</f>
        <v>99807.000000000015</v>
      </c>
      <c r="AB72" s="29">
        <f>IFERROR(O72*Q72,0)</f>
        <v>86461.875</v>
      </c>
      <c r="AC72" s="4" t="e" cm="1">
        <f t="array" ref="AC72">VLOOKUP(IF(NOT(_xll.BDP(AX72,$BW$8)="#N/A N/A"),(_xll.BDP(AX72,$BW$8)),"-"), '[1]Country Codes'!$A$2:$B$253,2,0)</f>
        <v>#N/A</v>
      </c>
      <c r="AD72" s="30" t="str" cm="1">
        <f t="array" ref="AD72">IF(OR(_xll.BDP($AX72,"EX028")= "#N/A N/A", _xll.BDP($AX72,"EX028")="#N/A FIELD NOT APPLICABLE"), " ", _xll.BDP($AX72,"EX028"))</f>
        <v>Equity</v>
      </c>
      <c r="AE72" s="31" t="str">
        <f>IF(("AS97"="Equity"), " ", "Single Line Equity")</f>
        <v>Single Line Equity</v>
      </c>
      <c r="AF72" s="26" cm="1">
        <f t="array" ref="AF72">IF(OR(_xll.BDP($AX72,"RR908")= "#N/A N/A", _xll.BDP($AX72,"RR908")="#N/A FIELD NOT APPLICABLE"), " ", _xll.BDP($AX72,"RR908"))</f>
        <v>16.51278130830697</v>
      </c>
      <c r="AG72" s="26" cm="1">
        <f t="array" ref="AG72">IF(OR(_xll.BDP($AX72,"RR041")= "#N/A N/A", _xll.BDP($AX72,"RR041")="#N/A FIELD NOT APPLICABLE"), " ", _xll.BDP($AX72,"RR041"))</f>
        <v>9.0661530933160108</v>
      </c>
      <c r="AH72" s="22">
        <f>_xll.BDP(AX72,"TOT_BUY_REC")</f>
        <v>23</v>
      </c>
      <c r="AI72" s="22">
        <f>_xll.BDP(AX72,"TOT_HOLD_REC")</f>
        <v>6</v>
      </c>
      <c r="AJ72" s="22">
        <f>_xll.BDP(AX72,"TOT_SELL_REC")</f>
        <v>0</v>
      </c>
      <c r="AK72" s="26" cm="1">
        <f t="array" ref="AK72">IF(OR(_xll.BDP($AX72,"EE201")= "#N/A N/A", _xll.BDP($AX72,"EE201")="#N/A FIELD NOT APPLICABLE"), " ", _xll.BDP($AX72,"EE201"))</f>
        <v>4.5862069129943848</v>
      </c>
      <c r="AL72" s="24">
        <f>_xll.BDP(AX72,"BEST_TARGET_PRICE")</f>
        <v>95.714286804199219</v>
      </c>
      <c r="AM72" s="32">
        <f>(AL72/Q72)-1</f>
        <v>0.57749133587472978</v>
      </c>
      <c r="AN72" s="32">
        <f>_xll.BDP(AX72,"PR061")/100</f>
        <v>6.8868519999999997E-3</v>
      </c>
      <c r="AO72" s="32">
        <f>_xll.BDP(AX72,"PR064")/100</f>
        <v>-5.696296E-2</v>
      </c>
      <c r="AP72" s="32">
        <f>_xll.BDP(AX72,"CHG_PCT_6M")/100</f>
        <v>-8.276646E-2</v>
      </c>
      <c r="AQ72" s="25">
        <f>_xll.BDP(AX72,"PR079")/100</f>
        <v>-7.6905570000000006E-2</v>
      </c>
      <c r="AR72" s="33">
        <f>_xll.BDP(AX72,"hs001")</f>
        <v>94.85</v>
      </c>
      <c r="AS72" s="33">
        <f>_xll.BDP(AX72,"hs002")</f>
        <v>52.93</v>
      </c>
      <c r="AT72" s="22" t="str" cm="1">
        <f t="array" ref="AT72">IF(OR(_xll.BDP($AX72,"DX202")= "#N/A N/A", _xll.BDP($AX72,"DX202")="#N/A FIELD NOT APPLICABLE"), " ", _xll.BDP($AX72,"DX202"))</f>
        <v>Health Care</v>
      </c>
      <c r="AU72" s="22" t="str" cm="1">
        <f t="array" ref="AU72">IF(OR(_xll.BDP($AX72,"DY997")= "#N/A N/A", _xll.BDP($AX72,"DY997")="#N/A FIELD NOT APPLICABLE"), " ", _xll.BDP($AX72,"DY997"))</f>
        <v>Y</v>
      </c>
      <c r="AV72" s="22" t="str" cm="1">
        <f t="array" ref="AV72">IF(OR(_xll.BDP($AX72,"DY784")= "#N/A N/A", _xll.BDP($AX72,"DY784")="#N/A FIELD NOT APPLICABLE"), " ", _xll.BDP($AX72,"DY784"))</f>
        <v>Y</v>
      </c>
      <c r="AW72" s="22" t="str">
        <f>IF(OR(AU72="Y",AV72="Y"),"Y","N")</f>
        <v>Y</v>
      </c>
      <c r="AX72" s="22" t="str">
        <f>CONCATENATE(G72," ",$AX$2)</f>
        <v>BMRN US Equity</v>
      </c>
      <c r="BC72" s="17" t="str" cm="1">
        <f t="array" ref="BC72">_xll.BDP(AX72,"ID005")</f>
        <v>US09061G1013</v>
      </c>
      <c r="BD72" s="17">
        <v>0.75</v>
      </c>
      <c r="BE72" s="18">
        <v>4</v>
      </c>
      <c r="BF72" s="19">
        <v>45540</v>
      </c>
      <c r="BG72" s="20">
        <v>1</v>
      </c>
    </row>
    <row r="73" spans="1:59" s="3" customFormat="1" ht="14.45" customHeight="1" x14ac:dyDescent="0.25">
      <c r="A73" s="49" t="s">
        <v>242</v>
      </c>
      <c r="B73" s="49" t="s">
        <v>268</v>
      </c>
      <c r="C73" s="49" t="s">
        <v>269</v>
      </c>
      <c r="D73" s="49" t="s">
        <v>248</v>
      </c>
      <c r="E73" s="22" t="str">
        <f>_xll.BDP(AX73,"SECURITY NAME")</f>
        <v>BioMarin Pharmaceutical Inc</v>
      </c>
      <c r="F73" s="22" t="str">
        <f>_xll.BDP(AX73,"CRNCY")</f>
        <v>USD</v>
      </c>
      <c r="G73" s="23" t="s">
        <v>82</v>
      </c>
      <c r="H73" s="22" t="str" cm="1">
        <f t="array" ref="H73">IF(OR(_xll.BDP($AX73,"DX202")= "#N/A N/A", _xll.BDP($AX73,"DX202")="#N/A FIELD NOT APPLICABLE"), " ", _xll.BDP($AX73,"DX202"))</f>
        <v>Health Care</v>
      </c>
      <c r="I73" s="24">
        <f>_xll.BDP(AX73,"CRNCY_ADJ_MKT_CAP", "EQY_FUND_CRNCY=USD")/1000</f>
        <v>11.635988473874999</v>
      </c>
      <c r="J73" s="25">
        <f>IFERROR(_xll.BDP(AX73, "DV013")/100,0)</f>
        <v>0</v>
      </c>
      <c r="K73" s="26" cm="1">
        <f t="array" ref="K73">IF(OR(_xll.BDP($AX73,"RR900")= "#N/A N/A", _xll.BDP($AX73,"RR900")="#N/A FIELD NOT APPLICABLE"), " ", _xll.BDP($AX73,"RR900"))</f>
        <v>19.674979145352147</v>
      </c>
      <c r="L73" s="26" cm="1">
        <f t="array" ref="L73">IF(OR(_xll.BDP($AX73,"EE010")= "#N/A N/A", _xll.BDP($AX73,"EE010")="#N/A FIELD NOT APPLICABLE"), " ", _xll.BDP($AX73,"EE010"))</f>
        <v>11.319962686567163</v>
      </c>
      <c r="M73" s="26" cm="1">
        <f t="array" ref="M73">IF(OR(_xll.BDP($AX73,"RR903")= "#N/A N/A", _xll.BDP($AX73,"RR903")="#N/A FIELD NOT APPLICABLE"), " ", _xll.BDP($AX73,"RR903"))</f>
        <v>1.9978470038427201</v>
      </c>
      <c r="N73" s="26" cm="1">
        <f t="array" ref="N73">IF(OR(_xll.BDP($AX73,"RR957")= "#N/A N/A", _xll.BDP($AX73,"RR957")="#N/A FIELD NOT APPLICABLE"), " ", _xll.BDP($AX73,"RR957"))</f>
        <v>15.427358958166264</v>
      </c>
      <c r="O73" s="27">
        <v>540</v>
      </c>
      <c r="P73" s="28">
        <v>70.239999999999995</v>
      </c>
      <c r="Q73" s="22" cm="1">
        <f t="array" ref="Q73">IF(OR(_xll.BDP($AX73,"PX_last")="#N/A N/A",_xll.BDP($AX73,"PX_Last")="#N/A FIELD NOT APPLICABLE")," ",IF(F73="GBP",(_xll.BDP($AX73,"PX_LAST")/100),(_xll.BDP($AX73,"PX_LAST"))))</f>
        <v>60.674999999999997</v>
      </c>
      <c r="R73" s="29">
        <f>IF(F73="USD",AA73,(((_xll.BDP(F73&amp;"USD CURNCY","PX_LAST")))*AA73))</f>
        <v>37929.599999999999</v>
      </c>
      <c r="S73" s="29">
        <f>IF(F73="USD",AB73,(((_xll.BDP(F73&amp;"USD CURNCY","PX_LAST")))*AB73))</f>
        <v>32764.5</v>
      </c>
      <c r="T73" s="12">
        <f>S73-R73</f>
        <v>-5165.0999999999985</v>
      </c>
      <c r="U73" s="13">
        <f>T73/R73</f>
        <v>-0.13617596810933938</v>
      </c>
      <c r="V73" s="13" cm="1">
        <f t="array" ref="V73">IFERROR(_xll.BDP($G73&amp;" Equity","CHG_PCT_1D")/100,"")</f>
        <v>-2.2317109999999998E-2</v>
      </c>
      <c r="W73" s="13" cm="1">
        <f t="array" ref="W73">IFERROR(_xll.BDP($G73&amp;" Equity","CHG_PCT_5D")/100,"")</f>
        <v>-4.1166250000000001E-2</v>
      </c>
      <c r="X73" s="13" t="e">
        <f>S73/#REF!</f>
        <v>#REF!</v>
      </c>
      <c r="Y73" s="24">
        <f>IFERROR(S73*J73,0)</f>
        <v>0</v>
      </c>
      <c r="Z73" s="24">
        <f>S73</f>
        <v>32764.5</v>
      </c>
      <c r="AA73" s="29">
        <f>P73*O73</f>
        <v>37929.599999999999</v>
      </c>
      <c r="AB73" s="29">
        <f>IFERROR(O73*Q73,0)</f>
        <v>32764.5</v>
      </c>
      <c r="AC73" s="4" t="e" cm="1">
        <f t="array" ref="AC73">VLOOKUP(IF(NOT(_xll.BDP(AX73,$BW$8)="#N/A N/A"),(_xll.BDP(AX73,$BW$8)),"-"), '[1]Country Codes'!$A$2:$B$253,2,0)</f>
        <v>#N/A</v>
      </c>
      <c r="AD73" s="30" t="str" cm="1">
        <f t="array" ref="AD73">IF(OR(_xll.BDP($AX73,"EX028")= "#N/A N/A", _xll.BDP($AX73,"EX028")="#N/A FIELD NOT APPLICABLE"), " ", _xll.BDP($AX73,"EX028"))</f>
        <v>Equity</v>
      </c>
      <c r="AE73" s="31" t="str">
        <f>IF(("AS97"="Equity"), " ", "Single Line Equity")</f>
        <v>Single Line Equity</v>
      </c>
      <c r="AF73" s="26" cm="1">
        <f t="array" ref="AF73">IF(OR(_xll.BDP($AX73,"RR908")= "#N/A N/A", _xll.BDP($AX73,"RR908")="#N/A FIELD NOT APPLICABLE"), " ", _xll.BDP($AX73,"RR908"))</f>
        <v>16.51278130830697</v>
      </c>
      <c r="AG73" s="26" cm="1">
        <f t="array" ref="AG73">IF(OR(_xll.BDP($AX73,"RR041")= "#N/A N/A", _xll.BDP($AX73,"RR041")="#N/A FIELD NOT APPLICABLE"), " ", _xll.BDP($AX73,"RR041"))</f>
        <v>9.0661530933160108</v>
      </c>
      <c r="AH73" s="22">
        <f>_xll.BDP(AX73,"TOT_BUY_REC")</f>
        <v>23</v>
      </c>
      <c r="AI73" s="22">
        <f>_xll.BDP(AX73,"TOT_HOLD_REC")</f>
        <v>6</v>
      </c>
      <c r="AJ73" s="22">
        <f>_xll.BDP(AX73,"TOT_SELL_REC")</f>
        <v>0</v>
      </c>
      <c r="AK73" s="26" cm="1">
        <f t="array" ref="AK73">IF(OR(_xll.BDP($AX73,"EE201")= "#N/A N/A", _xll.BDP($AX73,"EE201")="#N/A FIELD NOT APPLICABLE"), " ", _xll.BDP($AX73,"EE201"))</f>
        <v>4.5862069129943848</v>
      </c>
      <c r="AL73" s="24">
        <f>_xll.BDP(AX73,"BEST_TARGET_PRICE")</f>
        <v>95.714286804199219</v>
      </c>
      <c r="AM73" s="32">
        <f>(AL73/Q73)-1</f>
        <v>0.57749133587472978</v>
      </c>
      <c r="AN73" s="32">
        <f>_xll.BDP(AX73,"PR061")/100</f>
        <v>6.8868519999999997E-3</v>
      </c>
      <c r="AO73" s="32">
        <f>_xll.BDP(AX73,"PR064")/100</f>
        <v>-5.696296E-2</v>
      </c>
      <c r="AP73" s="32">
        <f>_xll.BDP(AX73,"CHG_PCT_6M")/100</f>
        <v>-8.276646E-2</v>
      </c>
      <c r="AQ73" s="25">
        <f>_xll.BDP(AX73,"PR079")/100</f>
        <v>-7.6905570000000006E-2</v>
      </c>
      <c r="AR73" s="33">
        <f>_xll.BDP(AX73,"hs001")</f>
        <v>94.85</v>
      </c>
      <c r="AS73" s="33">
        <f>_xll.BDP(AX73,"hs002")</f>
        <v>52.93</v>
      </c>
      <c r="AT73" s="22" t="str" cm="1">
        <f t="array" ref="AT73">IF(OR(_xll.BDP($AX73,"DX202")= "#N/A N/A", _xll.BDP($AX73,"DX202")="#N/A FIELD NOT APPLICABLE"), " ", _xll.BDP($AX73,"DX202"))</f>
        <v>Health Care</v>
      </c>
      <c r="AU73" s="22" t="str" cm="1">
        <f t="array" ref="AU73">IF(OR(_xll.BDP($AX73,"DY997")= "#N/A N/A", _xll.BDP($AX73,"DY997")="#N/A FIELD NOT APPLICABLE"), " ", _xll.BDP($AX73,"DY997"))</f>
        <v>Y</v>
      </c>
      <c r="AV73" s="22" t="str" cm="1">
        <f t="array" ref="AV73">IF(OR(_xll.BDP($AX73,"DY784")= "#N/A N/A", _xll.BDP($AX73,"DY784")="#N/A FIELD NOT APPLICABLE"), " ", _xll.BDP($AX73,"DY784"))</f>
        <v>Y</v>
      </c>
      <c r="AW73" s="22" t="str">
        <f>IF(OR(AU73="Y",AV73="Y"),"Y","N")</f>
        <v>Y</v>
      </c>
      <c r="AX73" s="22" t="str">
        <f>CONCATENATE(G73," ",$AX$2)</f>
        <v>BMRN US Equity</v>
      </c>
      <c r="BC73" s="17" t="str" cm="1">
        <f t="array" ref="BC73">_xll.BDP(AX73,"ID005")</f>
        <v>US09061G1013</v>
      </c>
      <c r="BD73" s="17">
        <v>0.75</v>
      </c>
      <c r="BE73" s="18">
        <v>4</v>
      </c>
      <c r="BF73" s="19">
        <v>45560</v>
      </c>
      <c r="BG73" s="20">
        <v>1</v>
      </c>
    </row>
    <row r="74" spans="1:59" s="3" customFormat="1" ht="14.45" customHeight="1" x14ac:dyDescent="0.25">
      <c r="A74" s="49" t="s">
        <v>257</v>
      </c>
      <c r="B74" s="49" t="s">
        <v>274</v>
      </c>
      <c r="C74" s="49">
        <v>1000015111</v>
      </c>
      <c r="D74" s="49" t="s">
        <v>275</v>
      </c>
      <c r="E74" s="22" t="str">
        <f>_xll.BDP(AX74,"SECURITY NAME")</f>
        <v>BioMarin Pharmaceutical Inc</v>
      </c>
      <c r="F74" s="22" t="str">
        <f>_xll.BDP(AX74,"CRNCY")</f>
        <v>USD</v>
      </c>
      <c r="G74" s="23" t="s">
        <v>82</v>
      </c>
      <c r="H74" s="22" t="str" cm="1">
        <f t="array" ref="H74">IF(OR(_xll.BDP($AX74,"DX202")= "#N/A N/A", _xll.BDP($AX74,"DX202")="#N/A FIELD NOT APPLICABLE"), " ", _xll.BDP($AX74,"DX202"))</f>
        <v>Health Care</v>
      </c>
      <c r="I74" s="24">
        <f>_xll.BDP(AX74,"CRNCY_ADJ_MKT_CAP", "EQY_FUND_CRNCY=USD")/1000</f>
        <v>11.635988473874999</v>
      </c>
      <c r="J74" s="25">
        <f>IFERROR(_xll.BDP(AX74, "DV013")/100,0)</f>
        <v>0</v>
      </c>
      <c r="K74" s="26" cm="1">
        <f t="array" ref="K74">IF(OR(_xll.BDP($AX74,"RR900")= "#N/A N/A", _xll.BDP($AX74,"RR900")="#N/A FIELD NOT APPLICABLE"), " ", _xll.BDP($AX74,"RR900"))</f>
        <v>19.674979145352147</v>
      </c>
      <c r="L74" s="26" cm="1">
        <f t="array" ref="L74">IF(OR(_xll.BDP($AX74,"EE010")= "#N/A N/A", _xll.BDP($AX74,"EE010")="#N/A FIELD NOT APPLICABLE"), " ", _xll.BDP($AX74,"EE010"))</f>
        <v>11.319962686567163</v>
      </c>
      <c r="M74" s="26" cm="1">
        <f t="array" ref="M74">IF(OR(_xll.BDP($AX74,"RR903")= "#N/A N/A", _xll.BDP($AX74,"RR903")="#N/A FIELD NOT APPLICABLE"), " ", _xll.BDP($AX74,"RR903"))</f>
        <v>1.9978470038427201</v>
      </c>
      <c r="N74" s="26" cm="1">
        <f t="array" ref="N74">IF(OR(_xll.BDP($AX74,"RR957")= "#N/A N/A", _xll.BDP($AX74,"RR957")="#N/A FIELD NOT APPLICABLE"), " ", _xll.BDP($AX74,"RR957"))</f>
        <v>15.427358958166264</v>
      </c>
      <c r="O74" s="27">
        <v>710</v>
      </c>
      <c r="P74" s="28">
        <v>68.56</v>
      </c>
      <c r="Q74" s="22" cm="1">
        <f t="array" ref="Q74">IF(OR(_xll.BDP($AX74,"PX_last")="#N/A N/A",_xll.BDP($AX74,"PX_Last")="#N/A FIELD NOT APPLICABLE")," ",IF(F74="GBP",(_xll.BDP($AX74,"PX_LAST")/100),(_xll.BDP($AX74,"PX_LAST"))))</f>
        <v>60.674999999999997</v>
      </c>
      <c r="R74" s="29">
        <f>IF(F74="USD",AA74,(((_xll.BDP(F74&amp;"USD CURNCY","PX_LAST")))*AA74))</f>
        <v>48677.599999999999</v>
      </c>
      <c r="S74" s="29">
        <f>IFERROR(IF(F74="USD",AB74,(((_xll.BDP(F74&amp;"USD CURNCY","PX_LAST")))*AB74)),0)</f>
        <v>43079.25</v>
      </c>
      <c r="T74" s="12">
        <f>S74-R74</f>
        <v>-5598.3499999999985</v>
      </c>
      <c r="U74" s="13">
        <f>T74/R74</f>
        <v>-0.11500875145857641</v>
      </c>
      <c r="V74" s="13" cm="1">
        <f t="array" ref="V74">IFERROR(_xll.BDP($G74&amp;" Equity","CHG_PCT_1D")/100,"")</f>
        <v>-2.2317109999999998E-2</v>
      </c>
      <c r="W74" s="13" cm="1">
        <f t="array" ref="W74">IFERROR(_xll.BDP($G74&amp;" Equity","CHG_PCT_5D")/100,"")</f>
        <v>-4.1166250000000001E-2</v>
      </c>
      <c r="X74" s="13" t="e">
        <f>S74/#REF!</f>
        <v>#REF!</v>
      </c>
      <c r="Y74" s="24">
        <f>IFERROR(S74*J74,0)</f>
        <v>0</v>
      </c>
      <c r="Z74" s="24">
        <f>S74</f>
        <v>43079.25</v>
      </c>
      <c r="AA74" s="29">
        <f>P74*O74</f>
        <v>48677.599999999999</v>
      </c>
      <c r="AB74" s="29">
        <f>IFERROR(O74*Q74,0)</f>
        <v>43079.25</v>
      </c>
      <c r="AC74" s="4" t="e" cm="1">
        <f t="array" ref="AC74">VLOOKUP(IF(NOT(_xll.BDP(AX74,$BW$8)="#N/A N/A"),(_xll.BDP(AX74,$BW$8)),"-"), '[1]Country Codes'!$A$2:$B$253,2,0)</f>
        <v>#N/A</v>
      </c>
      <c r="AD74" s="30" t="str" cm="1">
        <f t="array" ref="AD74">IF(OR(_xll.BDP($AX74,"EX028")= "#N/A N/A", _xll.BDP($AX74,"EX028")="#N/A FIELD NOT APPLICABLE"), " ", _xll.BDP($AX74,"EX028"))</f>
        <v>Equity</v>
      </c>
      <c r="AE74" s="31" t="str">
        <f>IF(("AS97"="Equity"), " ", "Single Line Equity")</f>
        <v>Single Line Equity</v>
      </c>
      <c r="AF74" s="26" cm="1">
        <f t="array" ref="AF74">IF(OR(_xll.BDP($AX74,"RR908")= "#N/A N/A", _xll.BDP($AX74,"RR908")="#N/A FIELD NOT APPLICABLE"), " ", _xll.BDP($AX74,"RR908"))</f>
        <v>16.51278130830697</v>
      </c>
      <c r="AG74" s="26" cm="1">
        <f t="array" ref="AG74">IF(OR(_xll.BDP($AX74,"RR041")= "#N/A N/A", _xll.BDP($AX74,"RR041")="#N/A FIELD NOT APPLICABLE"), " ", _xll.BDP($AX74,"RR041"))</f>
        <v>9.0661530933160108</v>
      </c>
      <c r="AH74" s="22">
        <f>_xll.BDP(AX74,"TOT_BUY_REC")</f>
        <v>23</v>
      </c>
      <c r="AI74" s="22">
        <f>_xll.BDP(AX74,"TOT_HOLD_REC")</f>
        <v>6</v>
      </c>
      <c r="AJ74" s="22">
        <f>_xll.BDP(AX74,"TOT_SELL_REC")</f>
        <v>0</v>
      </c>
      <c r="AK74" s="26" cm="1">
        <f t="array" ref="AK74">IF(OR(_xll.BDP($AX74,"EE201")= "#N/A N/A", _xll.BDP($AX74,"EE201")="#N/A FIELD NOT APPLICABLE"), " ", _xll.BDP($AX74,"EE201"))</f>
        <v>4.5862069129943848</v>
      </c>
      <c r="AL74" s="24">
        <f>_xll.BDP(AX74,"BEST_TARGET_PRICE")</f>
        <v>95.714286804199219</v>
      </c>
      <c r="AM74" s="32">
        <f>(AL74/Q74)-1</f>
        <v>0.57749133587472978</v>
      </c>
      <c r="AN74" s="32">
        <f>_xll.BDP(AX74,"PR061")/100</f>
        <v>6.8868519999999997E-3</v>
      </c>
      <c r="AO74" s="32">
        <f>_xll.BDP(AX74,"PR064")/100</f>
        <v>-5.696296E-2</v>
      </c>
      <c r="AP74" s="32">
        <f>_xll.BDP(AX74,"CHG_PCT_6M")/100</f>
        <v>-8.276646E-2</v>
      </c>
      <c r="AQ74" s="25">
        <f>_xll.BDP(AX74,"PR079")/100</f>
        <v>-7.6905570000000006E-2</v>
      </c>
      <c r="AR74" s="33">
        <f>_xll.BDP(AX74,"hs001")</f>
        <v>94.85</v>
      </c>
      <c r="AS74" s="33">
        <f>_xll.BDP(AX74,"hs002")</f>
        <v>52.93</v>
      </c>
      <c r="AT74" s="22" t="str" cm="1">
        <f t="array" ref="AT74">IF(OR(_xll.BDP($AX74,"DX202")= "#N/A N/A", _xll.BDP($AX74,"DX202")="#N/A FIELD NOT APPLICABLE"), " ", _xll.BDP($AX74,"DX202"))</f>
        <v>Health Care</v>
      </c>
      <c r="AU74" s="22" t="str" cm="1">
        <f t="array" ref="AU74">IF(OR(_xll.BDP($AX74,"DY997")= "#N/A N/A", _xll.BDP($AX74,"DY997")="#N/A FIELD NOT APPLICABLE"), " ", _xll.BDP($AX74,"DY997"))</f>
        <v>Y</v>
      </c>
      <c r="AV74" s="22" t="str" cm="1">
        <f t="array" ref="AV74">IF(OR(_xll.BDP($AX74,"DY784")= "#N/A N/A", _xll.BDP($AX74,"DY784")="#N/A FIELD NOT APPLICABLE"), " ", _xll.BDP($AX74,"DY784"))</f>
        <v>Y</v>
      </c>
      <c r="AW74" s="22" t="str">
        <f>IF(OR(AU74="Y",AV74="Y"),"Y","N")</f>
        <v>Y</v>
      </c>
      <c r="AX74" s="22" t="str">
        <f>CONCATENATE(G74," ",$AX$2)</f>
        <v>BMRN US Equity</v>
      </c>
      <c r="BC74" s="17" t="str" cm="1">
        <f t="array" ref="BC74">_xll.BDP(AX74,"ID005")</f>
        <v>US09061G1013</v>
      </c>
      <c r="BD74" s="17">
        <v>0.75</v>
      </c>
      <c r="BE74" s="18">
        <v>4</v>
      </c>
      <c r="BF74" s="19">
        <v>45560</v>
      </c>
      <c r="BG74" s="20">
        <v>1</v>
      </c>
    </row>
    <row r="75" spans="1:59" s="3" customFormat="1" ht="14.45" customHeight="1" x14ac:dyDescent="0.25">
      <c r="A75" s="81" t="s">
        <v>241</v>
      </c>
      <c r="B75" s="81" t="s">
        <v>276</v>
      </c>
      <c r="C75" s="81" t="s">
        <v>277</v>
      </c>
      <c r="D75" s="81" t="s">
        <v>240</v>
      </c>
      <c r="E75" s="40" t="str">
        <f>_xll.BDP(AX75,"SECURITY NAME")</f>
        <v>BioMarin Pharmaceutical Inc</v>
      </c>
      <c r="F75" s="40" t="str">
        <f>_xll.BDP(AX75,"CRNCY")</f>
        <v>USD</v>
      </c>
      <c r="G75" s="23" t="s">
        <v>82</v>
      </c>
      <c r="H75" s="40" t="str" cm="1">
        <f t="array" ref="H75">IF(OR(_xll.BDP($AX75,"DX202")= "#N/A N/A", _xll.BDP($AX75,"DX202")="#N/A FIELD NOT APPLICABLE"), " ", _xll.BDP($AX75,"DX202"))</f>
        <v>Health Care</v>
      </c>
      <c r="I75" s="82">
        <f>_xll.BDP(AX75,"CRNCY_ADJ_MKT_CAP", "EQY_FUND_CRNCY=USD")/1000</f>
        <v>11.635988473874999</v>
      </c>
      <c r="J75" s="83">
        <f>IFERROR(_xll.BDP(AX75, "DV013")/100,0)</f>
        <v>0</v>
      </c>
      <c r="K75" s="84" cm="1">
        <f t="array" ref="K75">IF(OR(_xll.BDP($AX75,"RR900")= "#N/A N/A", _xll.BDP($AX75,"RR900")="#N/A FIELD NOT APPLICABLE"), " ", _xll.BDP($AX75,"RR900"))</f>
        <v>19.674979145352147</v>
      </c>
      <c r="L75" s="84" cm="1">
        <f t="array" ref="L75">IF(OR(_xll.BDP($AX75,"EE010")= "#N/A N/A", _xll.BDP($AX75,"EE010")="#N/A FIELD NOT APPLICABLE"), " ", _xll.BDP($AX75,"EE010"))</f>
        <v>11.319962686567163</v>
      </c>
      <c r="M75" s="84" cm="1">
        <f t="array" ref="M75">IF(OR(_xll.BDP($AX75,"RR903")= "#N/A N/A", _xll.BDP($AX75,"RR903")="#N/A FIELD NOT APPLICABLE"), " ", _xll.BDP($AX75,"RR903"))</f>
        <v>1.9978470038427201</v>
      </c>
      <c r="N75" s="84" cm="1">
        <f t="array" ref="N75">IF(OR(_xll.BDP($AX75,"RR957")= "#N/A N/A", _xll.BDP($AX75,"RR957")="#N/A FIELD NOT APPLICABLE"), " ", _xll.BDP($AX75,"RR957"))</f>
        <v>15.427358958166264</v>
      </c>
      <c r="O75" s="27">
        <v>995</v>
      </c>
      <c r="P75" s="28">
        <v>69.511210000000005</v>
      </c>
      <c r="Q75" s="40" cm="1">
        <f t="array" ref="Q75">IF(OR(_xll.BDP($AX75,"PX_last")="#N/A N/A",_xll.BDP($AX75,"PX_Last")="#N/A FIELD NOT APPLICABLE")," ",IF(F75="GBP",(_xll.BDP($AX75,"PX_LAST")/100),(_xll.BDP($AX75,"PX_LAST"))))</f>
        <v>60.674999999999997</v>
      </c>
      <c r="R75" s="85">
        <f>IF(F75="USD",AA75,(((_xll.BDP(F75&amp;"USD CURNCY","PX_LAST")))*AA75))</f>
        <v>69163.653950000007</v>
      </c>
      <c r="S75" s="85">
        <f>IF(F75="USD",AB75,(((_xll.BDP(F75&amp;"USD CURNCY","PX_LAST")))*AB75))</f>
        <v>60371.625</v>
      </c>
      <c r="T75" s="86">
        <f>S75-R75</f>
        <v>-8792.0289500000072</v>
      </c>
      <c r="U75" s="87">
        <f>T75/R75</f>
        <v>-0.12711920854204675</v>
      </c>
      <c r="V75" s="87" cm="1">
        <f t="array" ref="V75">IFERROR(_xll.BDP($G75&amp;" Equity","CHG_PCT_1D")/100,"")</f>
        <v>-2.2317109999999998E-2</v>
      </c>
      <c r="W75" s="87" cm="1">
        <f t="array" ref="W75">IFERROR(_xll.BDP($G75&amp;" Equity","CHG_PCT_5D")/100,"")</f>
        <v>-4.1166250000000001E-2</v>
      </c>
      <c r="X75" s="87" t="e">
        <f>S75/#REF!</f>
        <v>#REF!</v>
      </c>
      <c r="Y75" s="82">
        <f>IFERROR(S75*J75,0)</f>
        <v>0</v>
      </c>
      <c r="Z75" s="82">
        <f>S75</f>
        <v>60371.625</v>
      </c>
      <c r="AA75" s="85">
        <f>P75*O75</f>
        <v>69163.653950000007</v>
      </c>
      <c r="AB75" s="85">
        <f>IFERROR(O75*Q75,0)</f>
        <v>60371.625</v>
      </c>
      <c r="AC75" s="88" t="e" cm="1">
        <f t="array" ref="AC75">VLOOKUP(IF(NOT(_xll.BDP(AX75,$BW$8)="#N/A N/A"),(_xll.BDP(AX75,$BW$8)),"-"), '[1]Country Codes'!$A$2:$B$253,2,0)</f>
        <v>#N/A</v>
      </c>
      <c r="AD75" s="89" t="str" cm="1">
        <f t="array" ref="AD75">IF(OR(_xll.BDP($AX75,"EX028")= "#N/A N/A", _xll.BDP($AX75,"EX028")="#N/A FIELD NOT APPLICABLE"), " ", _xll.BDP($AX75,"EX028"))</f>
        <v>Equity</v>
      </c>
      <c r="AE75" s="90" t="str">
        <f>IF(("AS97"="Equity"), " ", "Single Line Equity")</f>
        <v>Single Line Equity</v>
      </c>
      <c r="AF75" s="84" cm="1">
        <f t="array" ref="AF75">IF(OR(_xll.BDP($AX75,"RR908")= "#N/A N/A", _xll.BDP($AX75,"RR908")="#N/A FIELD NOT APPLICABLE"), " ", _xll.BDP($AX75,"RR908"))</f>
        <v>16.51278130830697</v>
      </c>
      <c r="AG75" s="84" cm="1">
        <f t="array" ref="AG75">IF(OR(_xll.BDP($AX75,"RR041")= "#N/A N/A", _xll.BDP($AX75,"RR041")="#N/A FIELD NOT APPLICABLE"), " ", _xll.BDP($AX75,"RR041"))</f>
        <v>9.0661530933160108</v>
      </c>
      <c r="AH75" s="40">
        <f>_xll.BDP(AX75,"TOT_BUY_REC")</f>
        <v>23</v>
      </c>
      <c r="AI75" s="40">
        <f>_xll.BDP(AX75,"TOT_HOLD_REC")</f>
        <v>6</v>
      </c>
      <c r="AJ75" s="40">
        <f>_xll.BDP(AX75,"TOT_SELL_REC")</f>
        <v>0</v>
      </c>
      <c r="AK75" s="84" cm="1">
        <f t="array" ref="AK75">IF(OR(_xll.BDP($AX75,"EE201")= "#N/A N/A", _xll.BDP($AX75,"EE201")="#N/A FIELD NOT APPLICABLE"), " ", _xll.BDP($AX75,"EE201"))</f>
        <v>4.5862069129943848</v>
      </c>
      <c r="AL75" s="82">
        <f>_xll.BDP(AX75,"BEST_TARGET_PRICE")</f>
        <v>95.714286804199219</v>
      </c>
      <c r="AM75" s="91">
        <f>(AL75/Q75)-1</f>
        <v>0.57749133587472978</v>
      </c>
      <c r="AN75" s="91">
        <f>_xll.BDP(AX75,"PR061")/100</f>
        <v>6.8868519999999997E-3</v>
      </c>
      <c r="AO75" s="91">
        <f>_xll.BDP(AX75,"PR064")/100</f>
        <v>-5.696296E-2</v>
      </c>
      <c r="AP75" s="91">
        <f>_xll.BDP(AX75,"CHG_PCT_6M")/100</f>
        <v>-8.276646E-2</v>
      </c>
      <c r="AQ75" s="83">
        <f>_xll.BDP(AX75,"PR079")/100</f>
        <v>-7.6905570000000006E-2</v>
      </c>
      <c r="AR75" s="92">
        <f>_xll.BDP(AX75,"hs001")</f>
        <v>94.85</v>
      </c>
      <c r="AS75" s="92">
        <f>_xll.BDP(AX75,"hs002")</f>
        <v>52.93</v>
      </c>
      <c r="AT75" s="40" t="str" cm="1">
        <f t="array" ref="AT75">IF(OR(_xll.BDP($AX75,"DX202")= "#N/A N/A", _xll.BDP($AX75,"DX202")="#N/A FIELD NOT APPLICABLE"), " ", _xll.BDP($AX75,"DX202"))</f>
        <v>Health Care</v>
      </c>
      <c r="AU75" s="40" t="str" cm="1">
        <f t="array" ref="AU75">IF(OR(_xll.BDP($AX75,"DY997")= "#N/A N/A", _xll.BDP($AX75,"DY997")="#N/A FIELD NOT APPLICABLE"), " ", _xll.BDP($AX75,"DY997"))</f>
        <v>Y</v>
      </c>
      <c r="AV75" s="40" t="str" cm="1">
        <f t="array" ref="AV75">IF(OR(_xll.BDP($AX75,"DY784")= "#N/A N/A", _xll.BDP($AX75,"DY784")="#N/A FIELD NOT APPLICABLE"), " ", _xll.BDP($AX75,"DY784"))</f>
        <v>Y</v>
      </c>
      <c r="AW75" s="40" t="str">
        <f>IF(OR(AU75="Y",AV75="Y"),"Y","N")</f>
        <v>Y</v>
      </c>
      <c r="AX75" s="40" t="str">
        <f>CONCATENATE(G75," ",$AX$2)</f>
        <v>BMRN US Equity</v>
      </c>
      <c r="BC75" s="17" t="str" cm="1">
        <f t="array" ref="BC75">_xll.BDP(AX75,"ID005")</f>
        <v>US09061G1013</v>
      </c>
      <c r="BD75" s="17">
        <v>0.75</v>
      </c>
      <c r="BE75" s="18">
        <v>4</v>
      </c>
      <c r="BF75" s="19">
        <v>45560</v>
      </c>
      <c r="BG75" s="20">
        <v>1</v>
      </c>
    </row>
    <row r="76" spans="1:59" s="3" customFormat="1" ht="14.45" customHeight="1" x14ac:dyDescent="0.25">
      <c r="A76" s="49" t="s">
        <v>242</v>
      </c>
      <c r="B76" s="49" t="s">
        <v>255</v>
      </c>
      <c r="C76" s="49" t="s">
        <v>256</v>
      </c>
      <c r="D76" s="49" t="s">
        <v>248</v>
      </c>
      <c r="E76" s="22" t="str">
        <f>_xll.BDP(AX76,"SECURITY NAME")</f>
        <v>Bristol-Myers Squibb Co</v>
      </c>
      <c r="F76" s="22" t="str">
        <f>_xll.BDP(AX76,"CRNCY")</f>
        <v>USD</v>
      </c>
      <c r="G76" s="23" t="s">
        <v>194</v>
      </c>
      <c r="H76" s="22" t="str" cm="1">
        <f t="array" ref="H76">IF(OR(_xll.BDP($AX76,"DX202")= "#N/A N/A", _xll.BDP($AX76,"DX202")="#N/A FIELD NOT APPLICABLE"), " ", _xll.BDP($AX76,"DX202"))</f>
        <v>Health Care</v>
      </c>
      <c r="I76" s="24">
        <f>_xll.BDP(AX76,"CRNCY_ADJ_MKT_CAP", "EQY_FUND_CRNCY=USD")/1000</f>
        <v>98.967811363029</v>
      </c>
      <c r="J76" s="25">
        <f>IFERROR(_xll.BDP(AX76, "DV013")/100,0)</f>
        <v>5.0996383350369552E-2</v>
      </c>
      <c r="K76" s="26" cm="1">
        <f t="array" ref="K76">IF(OR(_xll.BDP($AX76,"RR900")= "#N/A N/A", _xll.BDP($AX76,"RR900")="#N/A FIELD NOT APPLICABLE"), " ", _xll.BDP($AX76,"RR900"))</f>
        <v>9.5295102351019487</v>
      </c>
      <c r="L76" s="26" cm="1">
        <f t="array" ref="L76">IF(OR(_xll.BDP($AX76,"EE010")= "#N/A N/A", _xll.BDP($AX76,"EE010")="#N/A FIELD NOT APPLICABLE"), " ", _xll.BDP($AX76,"EE010"))</f>
        <v>7.9840584468888514</v>
      </c>
      <c r="M76" s="26" cm="1">
        <f t="array" ref="M76">IF(OR(_xll.BDP($AX76,"RR903")= "#N/A N/A", _xll.BDP($AX76,"RR903")="#N/A FIELD NOT APPLICABLE"), " ", _xll.BDP($AX76,"RR903"))</f>
        <v>5.6911774236657253</v>
      </c>
      <c r="N76" s="26" cm="1">
        <f t="array" ref="N76">IF(OR(_xll.BDP($AX76,"RR957")= "#N/A N/A", _xll.BDP($AX76,"RR957")="#N/A FIELD NOT APPLICABLE"), " ", _xll.BDP($AX76,"RR957"))</f>
        <v>9.0063770610919942</v>
      </c>
      <c r="O76" s="27">
        <v>800</v>
      </c>
      <c r="P76" s="28">
        <v>62.87</v>
      </c>
      <c r="Q76" s="22" cm="1">
        <f t="array" ref="Q76">IF(OR(_xll.BDP($AX76,"PX_last")="#N/A N/A",_xll.BDP($AX76,"PX_Last")="#N/A FIELD NOT APPLICABLE")," ",IF(F76="GBP",(_xll.BDP($AX76,"PX_LAST")/100),(_xll.BDP($AX76,"PX_LAST"))))</f>
        <v>48.630899999999997</v>
      </c>
      <c r="R76" s="29">
        <f>IF(F76="USD",AA76,(((_xll.BDP(F76&amp;"USD CURNCY","PX_LAST")))*AA76))</f>
        <v>50296</v>
      </c>
      <c r="S76" s="29">
        <f>IF(F76="USD",AB76,(((_xll.BDP(F76&amp;"USD CURNCY","PX_LAST")))*AB76))</f>
        <v>38904.720000000001</v>
      </c>
      <c r="T76" s="12">
        <f>S76-R76</f>
        <v>-11391.279999999999</v>
      </c>
      <c r="U76" s="13">
        <f>T76/R76</f>
        <v>-0.22648480992524253</v>
      </c>
      <c r="V76" s="13" cm="1">
        <f t="array" ref="V76">IFERROR(_xll.BDP($G76&amp;" Equity","CHG_PCT_1D")/100,"")</f>
        <v>-2.8547739999999999E-2</v>
      </c>
      <c r="W76" s="13" cm="1">
        <f t="array" ref="W76">IFERROR(_xll.BDP($G76&amp;" Equity","CHG_PCT_5D")/100,"")</f>
        <v>-1.196871E-2</v>
      </c>
      <c r="X76" s="13" t="e">
        <f>S76/#REF!</f>
        <v>#REF!</v>
      </c>
      <c r="Y76" s="24">
        <f>IFERROR(S76*J76,0)</f>
        <v>1984.0000152587893</v>
      </c>
      <c r="Z76" s="24">
        <f>S76</f>
        <v>38904.720000000001</v>
      </c>
      <c r="AA76" s="29">
        <f>P76*O76</f>
        <v>50296</v>
      </c>
      <c r="AB76" s="29">
        <f>IFERROR(O76*Q76,0)</f>
        <v>38904.720000000001</v>
      </c>
      <c r="AC76" s="4" t="e" cm="1">
        <f t="array" ref="AC76">VLOOKUP(IF(NOT(_xll.BDP(AX76,$BW$8)="#N/A N/A"),(_xll.BDP(AX76,$BW$8)),"-"), '[1]Country Codes'!$A$2:$B$253,2,0)</f>
        <v>#N/A</v>
      </c>
      <c r="AD76" s="30" t="str" cm="1">
        <f t="array" ref="AD76">IF(OR(_xll.BDP($AX76,"EX028")= "#N/A N/A", _xll.BDP($AX76,"EX028")="#N/A FIELD NOT APPLICABLE"), " ", _xll.BDP($AX76,"EX028"))</f>
        <v>Equity</v>
      </c>
      <c r="AE76" s="31" t="str">
        <f>IF(("AS97"="Equity"), " ", "Single Line Equity")</f>
        <v>Single Line Equity</v>
      </c>
      <c r="AF76" s="26" cm="1">
        <f t="array" ref="AF76">IF(OR(_xll.BDP($AX76,"RR908")= "#N/A N/A", _xll.BDP($AX76,"RR908")="#N/A FIELD NOT APPLICABLE"), " ", _xll.BDP($AX76,"RR908"))</f>
        <v>6.8938180785992236</v>
      </c>
      <c r="AG76" s="26" cm="1">
        <f t="array" ref="AG76">IF(OR(_xll.BDP($AX76,"RR041")= "#N/A N/A", _xll.BDP($AX76,"RR041")="#N/A FIELD NOT APPLICABLE"), " ", _xll.BDP($AX76,"RR041"))</f>
        <v>55.289785428117874</v>
      </c>
      <c r="AH76" s="22">
        <f>_xll.BDP(AX76,"TOT_BUY_REC")</f>
        <v>8</v>
      </c>
      <c r="AI76" s="22">
        <f>_xll.BDP(AX76,"TOT_HOLD_REC")</f>
        <v>20</v>
      </c>
      <c r="AJ76" s="22">
        <f>_xll.BDP(AX76,"TOT_SELL_REC")</f>
        <v>2</v>
      </c>
      <c r="AK76" s="26" cm="1">
        <f t="array" ref="AK76">IF(OR(_xll.BDP($AX76,"EE201")= "#N/A N/A", _xll.BDP($AX76,"EE201")="#N/A FIELD NOT APPLICABLE"), " ", _xll.BDP($AX76,"EE201"))</f>
        <v>3.4000000953674316</v>
      </c>
      <c r="AL76" s="24">
        <f>_xll.BDP(AX76,"BEST_TARGET_PRICE")</f>
        <v>55.462501525878906</v>
      </c>
      <c r="AM76" s="32">
        <f>(AL76/Q76)-1</f>
        <v>0.14047861598035216</v>
      </c>
      <c r="AN76" s="32">
        <f>_xll.BDP(AX76,"PR061")/100</f>
        <v>-0.12059850000000001</v>
      </c>
      <c r="AO76" s="32">
        <f>_xll.BDP(AX76,"PR064")/100</f>
        <v>-0.1530668</v>
      </c>
      <c r="AP76" s="32">
        <f>_xll.BDP(AX76,"CHG_PCT_6M")/100</f>
        <v>-0.12028040000000001</v>
      </c>
      <c r="AQ76" s="25">
        <f>_xll.BDP(AX76,"PR079")/100</f>
        <v>-0.14018919999999999</v>
      </c>
      <c r="AR76" s="33">
        <f>_xll.BDP(AX76,"hs001")</f>
        <v>63.33</v>
      </c>
      <c r="AS76" s="33">
        <f>_xll.BDP(AX76,"hs002")</f>
        <v>39.35</v>
      </c>
      <c r="AT76" s="22" t="str" cm="1">
        <f t="array" ref="AT76">IF(OR(_xll.BDP($AX76,"DX202")= "#N/A N/A", _xll.BDP($AX76,"DX202")="#N/A FIELD NOT APPLICABLE"), " ", _xll.BDP($AX76,"DX202"))</f>
        <v>Health Care</v>
      </c>
      <c r="AU76" s="22" t="str" cm="1">
        <f t="array" ref="AU76">IF(OR(_xll.BDP($AX76,"DY997")= "#N/A N/A", _xll.BDP($AX76,"DY997")="#N/A FIELD NOT APPLICABLE"), " ", _xll.BDP($AX76,"DY997"))</f>
        <v>N</v>
      </c>
      <c r="AV76" s="22" t="str" cm="1">
        <f t="array" ref="AV76">IF(OR(_xll.BDP($AX76,"DY784")= "#N/A N/A", _xll.BDP($AX76,"DY784")="#N/A FIELD NOT APPLICABLE"), " ", _xll.BDP($AX76,"DY784"))</f>
        <v>Y</v>
      </c>
      <c r="AW76" s="22" t="str">
        <f>IF(OR(AU76="Y",AV76="Y"),"Y","N")</f>
        <v>Y</v>
      </c>
      <c r="AX76" s="22" t="str">
        <f>CONCATENATE(G76," ",$AX$2)</f>
        <v>BMY US Equity</v>
      </c>
      <c r="BC76" s="17" t="str" cm="1">
        <f t="array" ref="BC76">_xll.BDP(AX76,"ID005")</f>
        <v>US1101221083</v>
      </c>
      <c r="BD76" s="17">
        <v>0.72</v>
      </c>
      <c r="BE76" s="18">
        <v>4</v>
      </c>
      <c r="BF76" s="19">
        <v>45217</v>
      </c>
      <c r="BG76" s="20">
        <v>1</v>
      </c>
    </row>
    <row r="77" spans="1:59" s="3" customFormat="1" ht="14.45" customHeight="1" x14ac:dyDescent="0.25">
      <c r="A77" s="49" t="s">
        <v>241</v>
      </c>
      <c r="B77" s="49" t="s">
        <v>238</v>
      </c>
      <c r="C77" s="49" t="s">
        <v>239</v>
      </c>
      <c r="D77" s="49" t="s">
        <v>240</v>
      </c>
      <c r="E77" s="22" t="str">
        <f>_xll.BDP(AX77,"SECURITY NAME")</f>
        <v>BP PLC</v>
      </c>
      <c r="F77" s="22" t="str">
        <f>_xll.BDP(AX77,"CRNCY")</f>
        <v>GBp</v>
      </c>
      <c r="G77" s="23" t="s">
        <v>80</v>
      </c>
      <c r="H77" s="22" t="str" cm="1">
        <f t="array" ref="H77">IF(OR(_xll.BDP($AX77,"DX202")= "#N/A N/A", _xll.BDP($AX77,"DX202")="#N/A FIELD NOT APPLICABLE"), " ", _xll.BDP($AX77,"DX202"))</f>
        <v>Energy</v>
      </c>
      <c r="I77" s="24">
        <f>_xll.BDP(AX77,"CRNCY_ADJ_MKT_CAP", "EQY_FUND_CRNCY=USD")/1000</f>
        <v>75.805470996967998</v>
      </c>
      <c r="J77" s="25">
        <f>IFERROR(_xll.BDP(AX77, "DV013")/100,0)</f>
        <v>6.7644032114051192E-2</v>
      </c>
      <c r="K77" s="26" t="str" cm="1">
        <f t="array" ref="K77">IF(OR(_xll.BDP($AX77,"RR900")= "#N/A N/A", _xll.BDP($AX77,"RR900")="#N/A FIELD NOT APPLICABLE"), " ", _xll.BDP($AX77,"RR900"))</f>
        <v xml:space="preserve"> </v>
      </c>
      <c r="L77" s="26" cm="1">
        <f t="array" ref="L77">IF(OR(_xll.BDP($AX77,"EE010")= "#N/A N/A", _xll.BDP($AX77,"EE010")="#N/A FIELD NOT APPLICABLE"), " ", _xll.BDP($AX77,"EE010"))</f>
        <v>9.0737434832615236</v>
      </c>
      <c r="M77" s="26" cm="1">
        <f t="array" ref="M77">IF(OR(_xll.BDP($AX77,"RR903")= "#N/A N/A", _xll.BDP($AX77,"RR903")="#N/A FIELD NOT APPLICABLE"), " ", _xll.BDP($AX77,"RR903"))</f>
        <v>1.2893008069955465</v>
      </c>
      <c r="N77" s="26" cm="1">
        <f t="array" ref="N77">IF(OR(_xll.BDP($AX77,"RR957")= "#N/A N/A", _xll.BDP($AX77,"RR957")="#N/A FIELD NOT APPLICABLE"), " ", _xll.BDP($AX77,"RR957"))</f>
        <v>5.9034009281036388</v>
      </c>
      <c r="O77" s="27">
        <v>9200</v>
      </c>
      <c r="P77" s="28">
        <v>4.1154999999999999</v>
      </c>
      <c r="Q77" s="22" cm="1">
        <f t="array" ref="Q77">IF(OR(_xll.BDP($AX77,"PX_last")="#N/A N/A",_xll.BDP($AX77,"PX_Last")="#N/A FIELD NOT APPLICABLE")," ",IF(F77="GBP",(_xll.BDP($AX77,"PX_LAST")/100),(_xll.BDP($AX77,"PX_LAST"))))</f>
        <v>3.5569999999999999</v>
      </c>
      <c r="R77" s="29">
        <f>IF(F77="USD",AA77,(((_xll.BDP(F77&amp;"USD CURNCY","PX_LAST")))*AA77))</f>
        <v>50610.937419999995</v>
      </c>
      <c r="S77" s="29">
        <f>IF(F77="USD",AB77,(((_xll.BDP(F77&amp;"USD CURNCY","PX_LAST")))*AB77))</f>
        <v>43742.705479999997</v>
      </c>
      <c r="T77" s="12">
        <f>S77-R77</f>
        <v>-6868.2319399999978</v>
      </c>
      <c r="U77" s="13">
        <f>T77/R77</f>
        <v>-0.13570647551937792</v>
      </c>
      <c r="V77" s="13" cm="1">
        <f t="array" ref="V77">IFERROR(_xll.BDP($G77&amp;" Equity","CHG_PCT_1D")/100,"")</f>
        <v>1.5415359999999999E-2</v>
      </c>
      <c r="W77" s="13" cm="1">
        <f t="array" ref="W77">IFERROR(_xll.BDP($G77&amp;" Equity","CHG_PCT_5D")/100,"")</f>
        <v>-1.7403310000000002E-2</v>
      </c>
      <c r="X77" s="13" t="e">
        <f>S77/#REF!</f>
        <v>#REF!</v>
      </c>
      <c r="Y77" s="24">
        <f>IFERROR(S77*J77,0)</f>
        <v>2958.932974244603</v>
      </c>
      <c r="Z77" s="24">
        <f>S77</f>
        <v>43742.705479999997</v>
      </c>
      <c r="AA77" s="29">
        <f>P77*O77</f>
        <v>37862.6</v>
      </c>
      <c r="AB77" s="29">
        <f>IFERROR(O77*Q77,0)</f>
        <v>32724.399999999998</v>
      </c>
      <c r="AC77" s="4" t="e" cm="1">
        <f t="array" ref="AC77">VLOOKUP(IF(NOT(_xll.BDP(AX77,$BW$8)="#N/A N/A"),(_xll.BDP(AX77,$BW$8)),"-"), '[1]Country Codes'!$A$2:$B$253,2,0)</f>
        <v>#N/A</v>
      </c>
      <c r="AD77" s="30" t="str" cm="1">
        <f t="array" ref="AD77">IF(OR(_xll.BDP($AX77,"EX028")= "#N/A N/A", _xll.BDP($AX77,"EX028")="#N/A FIELD NOT APPLICABLE"), " ", _xll.BDP($AX77,"EX028"))</f>
        <v>Equity</v>
      </c>
      <c r="AE77" s="31" t="str">
        <f>IF(("AS97"="Equity"), " ", "Single Line Equity")</f>
        <v>Single Line Equity</v>
      </c>
      <c r="AF77" s="26" cm="1">
        <f t="array" ref="AF77">IF(OR(_xll.BDP($AX77,"RR908")= "#N/A N/A", _xll.BDP($AX77,"RR908")="#N/A FIELD NOT APPLICABLE"), " ", _xll.BDP($AX77,"RR908"))</f>
        <v>3.0682236991315448</v>
      </c>
      <c r="AG77" s="26" cm="1">
        <f t="array" ref="AG77">IF(OR(_xll.BDP($AX77,"RR041")= "#N/A N/A", _xll.BDP($AX77,"RR041")="#N/A FIELD NOT APPLICABLE"), " ", _xll.BDP($AX77,"RR041"))</f>
        <v>25.350780220247458</v>
      </c>
      <c r="AH77" s="22">
        <f>_xll.BDP(AX77,"TOT_BUY_REC")</f>
        <v>7</v>
      </c>
      <c r="AI77" s="22">
        <f>_xll.BDP(AX77,"TOT_HOLD_REC")</f>
        <v>17</v>
      </c>
      <c r="AJ77" s="22">
        <f>_xll.BDP(AX77,"TOT_SELL_REC")</f>
        <v>2</v>
      </c>
      <c r="AK77" s="26" cm="1">
        <f t="array" ref="AK77">IF(OR(_xll.BDP($AX77,"EE201")= "#N/A N/A", _xll.BDP($AX77,"EE201")="#N/A FIELD NOT APPLICABLE"), " ", _xll.BDP($AX77,"EE201"))</f>
        <v>3.346153736114502</v>
      </c>
      <c r="AL77" s="24">
        <f>_xll.BDP(AX77,"BEST_TARGET_PRICE")</f>
        <v>432.41665649414063</v>
      </c>
      <c r="AM77" s="32">
        <f>(AL77/Q77)-1</f>
        <v>120.56779772115283</v>
      </c>
      <c r="AN77" s="32">
        <f>_xll.BDP(AX77,"PR061")/100</f>
        <v>-4.0464019999999996E-2</v>
      </c>
      <c r="AO77" s="32">
        <f>_xll.BDP(AX77,"PR064")/100</f>
        <v>-0.1708625</v>
      </c>
      <c r="AP77" s="32">
        <f>_xll.BDP(AX77,"CHG_PCT_6M")/100</f>
        <v>-7.968952E-2</v>
      </c>
      <c r="AQ77" s="25">
        <f>_xll.BDP(AX77,"PR079")/100</f>
        <v>-9.4910939999999999E-2</v>
      </c>
      <c r="AR77" s="33">
        <f>_xll.BDP(AX77,"hs001")</f>
        <v>515.29999999999995</v>
      </c>
      <c r="AS77" s="33">
        <f>_xll.BDP(AX77,"hs002")</f>
        <v>329.25</v>
      </c>
      <c r="AT77" s="22" t="str" cm="1">
        <f t="array" ref="AT77">IF(OR(_xll.BDP($AX77,"DX202")= "#N/A N/A", _xll.BDP($AX77,"DX202")="#N/A FIELD NOT APPLICABLE"), " ", _xll.BDP($AX77,"DX202"))</f>
        <v>Energy</v>
      </c>
      <c r="AU77" s="22" t="str" cm="1">
        <f t="array" ref="AU77">IF(OR(_xll.BDP($AX77,"DY997")= "#N/A N/A", _xll.BDP($AX77,"DY997")="#N/A FIELD NOT APPLICABLE"), " ", _xll.BDP($AX77,"DY997"))</f>
        <v>Y</v>
      </c>
      <c r="AV77" s="22" t="str" cm="1">
        <f t="array" ref="AV77">IF(OR(_xll.BDP($AX77,"DY784")= "#N/A N/A", _xll.BDP($AX77,"DY784")="#N/A FIELD NOT APPLICABLE"), " ", _xll.BDP($AX77,"DY784"))</f>
        <v>N</v>
      </c>
      <c r="AW77" s="22" t="str">
        <f>IF(OR(AU77="Y",AV77="Y"),"Y","N")</f>
        <v>Y</v>
      </c>
      <c r="AX77" s="22" t="str">
        <f>CONCATENATE(G77," ",$AX$2)</f>
        <v>BP/ LN Equity</v>
      </c>
      <c r="BC77" s="17" t="str" cm="1">
        <f t="array" ref="BC77">_xll.BDP(AX77,"ID005")</f>
        <v>GB0007980591</v>
      </c>
      <c r="BD77" s="17">
        <v>0.72</v>
      </c>
      <c r="BE77" s="18">
        <v>4</v>
      </c>
      <c r="BF77" s="19">
        <v>45217</v>
      </c>
      <c r="BG77" s="20">
        <v>1</v>
      </c>
    </row>
    <row r="78" spans="1:59" s="3" customFormat="1" ht="14.45" customHeight="1" x14ac:dyDescent="0.25">
      <c r="A78" s="49" t="s">
        <v>242</v>
      </c>
      <c r="B78" s="49" t="s">
        <v>243</v>
      </c>
      <c r="C78" s="49" t="s">
        <v>244</v>
      </c>
      <c r="D78" s="49" t="s">
        <v>245</v>
      </c>
      <c r="E78" s="22" t="str">
        <f>_xll.BDP(AX78,"SECURITY NAME")</f>
        <v>BP PLC</v>
      </c>
      <c r="F78" s="22" t="str">
        <f>_xll.BDP(AX78,"CRNCY")</f>
        <v>GBp</v>
      </c>
      <c r="G78" s="23" t="s">
        <v>80</v>
      </c>
      <c r="H78" s="22" t="str" cm="1">
        <f t="array" ref="H78">IF(OR(_xll.BDP($AX78,"DX202")= "#N/A N/A", _xll.BDP($AX78,"DX202")="#N/A FIELD NOT APPLICABLE"), " ", _xll.BDP($AX78,"DX202"))</f>
        <v>Energy</v>
      </c>
      <c r="I78" s="24">
        <f>_xll.BDP(AX78,"CRNCY_ADJ_MKT_CAP", "EQY_FUND_CRNCY=USD")/1000</f>
        <v>75.805470996967998</v>
      </c>
      <c r="J78" s="25">
        <f>IFERROR(_xll.BDP(AX78, "DV013")/100,0)</f>
        <v>6.7644032114051192E-2</v>
      </c>
      <c r="K78" s="26" t="str" cm="1">
        <f t="array" ref="K78">IF(OR(_xll.BDP($AX78,"RR900")= "#N/A N/A", _xll.BDP($AX78,"RR900")="#N/A FIELD NOT APPLICABLE"), " ", _xll.BDP($AX78,"RR900"))</f>
        <v xml:space="preserve"> </v>
      </c>
      <c r="L78" s="26" cm="1">
        <f t="array" ref="L78">IF(OR(_xll.BDP($AX78,"EE010")= "#N/A N/A", _xll.BDP($AX78,"EE010")="#N/A FIELD NOT APPLICABLE"), " ", _xll.BDP($AX78,"EE010"))</f>
        <v>9.0737434832615236</v>
      </c>
      <c r="M78" s="26" cm="1">
        <f t="array" ref="M78">IF(OR(_xll.BDP($AX78,"RR903")= "#N/A N/A", _xll.BDP($AX78,"RR903")="#N/A FIELD NOT APPLICABLE"), " ", _xll.BDP($AX78,"RR903"))</f>
        <v>1.2893008069955465</v>
      </c>
      <c r="N78" s="26" cm="1">
        <f t="array" ref="N78">IF(OR(_xll.BDP($AX78,"RR957")= "#N/A N/A", _xll.BDP($AX78,"RR957")="#N/A FIELD NOT APPLICABLE"), " ", _xll.BDP($AX78,"RR957"))</f>
        <v>5.9034009281036388</v>
      </c>
      <c r="O78" s="27">
        <v>9200</v>
      </c>
      <c r="P78" s="28">
        <v>4.1154999999999999</v>
      </c>
      <c r="Q78" s="22" cm="1">
        <f t="array" ref="Q78">IF(OR(_xll.BDP($AX78,"PX_last")="#N/A N/A",_xll.BDP($AX78,"PX_Last")="#N/A FIELD NOT APPLICABLE")," ",IF(F78="GBP",(_xll.BDP($AX78,"PX_LAST")/100),(_xll.BDP($AX78,"PX_LAST"))))</f>
        <v>3.5569999999999999</v>
      </c>
      <c r="R78" s="29">
        <f>IF(F78="USD",AA78,(((_xll.BDP(F78&amp;"USD CURNCY","PX_LAST")))*AA78))</f>
        <v>50610.937419999995</v>
      </c>
      <c r="S78" s="29">
        <f>IF(F78="USD",AB78,(((_xll.BDP(F78&amp;"USD CURNCY","PX_LAST")))*AB78))</f>
        <v>43742.705479999997</v>
      </c>
      <c r="T78" s="12">
        <f>S78-R78</f>
        <v>-6868.2319399999978</v>
      </c>
      <c r="U78" s="13">
        <f>T78/R78</f>
        <v>-0.13570647551937792</v>
      </c>
      <c r="V78" s="13" cm="1">
        <f t="array" ref="V78">IFERROR(_xll.BDP($G78&amp;" Equity","CHG_PCT_1D")/100,"")</f>
        <v>1.5415359999999999E-2</v>
      </c>
      <c r="W78" s="13" cm="1">
        <f t="array" ref="W78">IFERROR(_xll.BDP($G78&amp;" Equity","CHG_PCT_5D")/100,"")</f>
        <v>-1.7403310000000002E-2</v>
      </c>
      <c r="X78" s="13" t="e">
        <f>S78/#REF!</f>
        <v>#REF!</v>
      </c>
      <c r="Y78" s="24">
        <f>IFERROR(S78*J78,0)</f>
        <v>2958.932974244603</v>
      </c>
      <c r="Z78" s="24">
        <f>S78</f>
        <v>43742.705479999997</v>
      </c>
      <c r="AA78" s="29">
        <f>P78*O78</f>
        <v>37862.6</v>
      </c>
      <c r="AB78" s="29">
        <f>IFERROR(O78*Q78,0)</f>
        <v>32724.399999999998</v>
      </c>
      <c r="AC78" s="4" t="e" cm="1">
        <f t="array" ref="AC78">VLOOKUP(IF(NOT(_xll.BDP(AX78,$BW$8)="#N/A N/A"),(_xll.BDP(AX78,$BW$8)),"-"), '[1]Country Codes'!$A$2:$B$253,2,0)</f>
        <v>#N/A</v>
      </c>
      <c r="AD78" s="30" t="str" cm="1">
        <f t="array" ref="AD78">IF(OR(_xll.BDP($AX78,"EX028")= "#N/A N/A", _xll.BDP($AX78,"EX028")="#N/A FIELD NOT APPLICABLE"), " ", _xll.BDP($AX78,"EX028"))</f>
        <v>Equity</v>
      </c>
      <c r="AE78" s="31" t="str">
        <f>IF(("AS97"="Equity"), " ", "Single Line Equity")</f>
        <v>Single Line Equity</v>
      </c>
      <c r="AF78" s="26" cm="1">
        <f t="array" ref="AF78">IF(OR(_xll.BDP($AX78,"RR908")= "#N/A N/A", _xll.BDP($AX78,"RR908")="#N/A FIELD NOT APPLICABLE"), " ", _xll.BDP($AX78,"RR908"))</f>
        <v>3.0682236991315448</v>
      </c>
      <c r="AG78" s="26" cm="1">
        <f t="array" ref="AG78">IF(OR(_xll.BDP($AX78,"RR041")= "#N/A N/A", _xll.BDP($AX78,"RR041")="#N/A FIELD NOT APPLICABLE"), " ", _xll.BDP($AX78,"RR041"))</f>
        <v>25.350780220247458</v>
      </c>
      <c r="AH78" s="22">
        <f>_xll.BDP(AX78,"TOT_BUY_REC")</f>
        <v>7</v>
      </c>
      <c r="AI78" s="22">
        <f>_xll.BDP(AX78,"TOT_HOLD_REC")</f>
        <v>17</v>
      </c>
      <c r="AJ78" s="22">
        <f>_xll.BDP(AX78,"TOT_SELL_REC")</f>
        <v>2</v>
      </c>
      <c r="AK78" s="26" cm="1">
        <f t="array" ref="AK78">IF(OR(_xll.BDP($AX78,"EE201")= "#N/A N/A", _xll.BDP($AX78,"EE201")="#N/A FIELD NOT APPLICABLE"), " ", _xll.BDP($AX78,"EE201"))</f>
        <v>3.346153736114502</v>
      </c>
      <c r="AL78" s="24">
        <f>_xll.BDP(AX78,"BEST_TARGET_PRICE")</f>
        <v>432.41665649414063</v>
      </c>
      <c r="AM78" s="32">
        <f>(AL78/Q78)-1</f>
        <v>120.56779772115283</v>
      </c>
      <c r="AN78" s="32">
        <f>_xll.BDP(AX78,"PR061")/100</f>
        <v>-4.0464019999999996E-2</v>
      </c>
      <c r="AO78" s="32">
        <f>_xll.BDP(AX78,"PR064")/100</f>
        <v>-0.1708625</v>
      </c>
      <c r="AP78" s="32">
        <f>_xll.BDP(AX78,"CHG_PCT_6M")/100</f>
        <v>-7.968952E-2</v>
      </c>
      <c r="AQ78" s="25">
        <f>_xll.BDP(AX78,"PR079")/100</f>
        <v>-9.4910939999999999E-2</v>
      </c>
      <c r="AR78" s="33">
        <f>_xll.BDP(AX78,"hs001")</f>
        <v>515.29999999999995</v>
      </c>
      <c r="AS78" s="33">
        <f>_xll.BDP(AX78,"hs002")</f>
        <v>329.25</v>
      </c>
      <c r="AT78" s="22" t="str" cm="1">
        <f t="array" ref="AT78">IF(OR(_xll.BDP($AX78,"DX202")= "#N/A N/A", _xll.BDP($AX78,"DX202")="#N/A FIELD NOT APPLICABLE"), " ", _xll.BDP($AX78,"DX202"))</f>
        <v>Energy</v>
      </c>
      <c r="AU78" s="22" t="str" cm="1">
        <f t="array" ref="AU78">IF(OR(_xll.BDP($AX78,"DY997")= "#N/A N/A", _xll.BDP($AX78,"DY997")="#N/A FIELD NOT APPLICABLE"), " ", _xll.BDP($AX78,"DY997"))</f>
        <v>Y</v>
      </c>
      <c r="AV78" s="22" t="str" cm="1">
        <f t="array" ref="AV78">IF(OR(_xll.BDP($AX78,"DY784")= "#N/A N/A", _xll.BDP($AX78,"DY784")="#N/A FIELD NOT APPLICABLE"), " ", _xll.BDP($AX78,"DY784"))</f>
        <v>N</v>
      </c>
      <c r="AW78" s="22" t="str">
        <f>IF(OR(AU78="Y",AV78="Y"),"Y","N")</f>
        <v>Y</v>
      </c>
      <c r="AX78" s="22" t="str">
        <f>CONCATENATE(G78," ",$AX$2)</f>
        <v>BP/ LN Equity</v>
      </c>
      <c r="BC78" s="17" t="str" cm="1">
        <f t="array" ref="BC78">_xll.BDP(AX78,"ID005")</f>
        <v>GB0007980591</v>
      </c>
      <c r="BD78" s="17">
        <v>0.72</v>
      </c>
      <c r="BE78" s="18">
        <v>4</v>
      </c>
      <c r="BF78" s="19">
        <v>45217</v>
      </c>
      <c r="BG78" s="20">
        <v>1</v>
      </c>
    </row>
    <row r="79" spans="1:59" s="3" customFormat="1" ht="14.45" customHeight="1" x14ac:dyDescent="0.25">
      <c r="A79" s="49" t="s">
        <v>242</v>
      </c>
      <c r="B79" s="49" t="s">
        <v>246</v>
      </c>
      <c r="C79" s="49" t="s">
        <v>247</v>
      </c>
      <c r="D79" s="49" t="s">
        <v>248</v>
      </c>
      <c r="E79" s="22" t="str">
        <f>_xll.BDP(AX79,"SECURITY NAME")</f>
        <v>BP PLC</v>
      </c>
      <c r="F79" s="22" t="str">
        <f>_xll.BDP(AX79,"CRNCY")</f>
        <v>GBp</v>
      </c>
      <c r="G79" s="23" t="s">
        <v>80</v>
      </c>
      <c r="H79" s="22" t="str" cm="1">
        <f t="array" ref="H79">IF(OR(_xll.BDP($AX79,"DX202")= "#N/A N/A", _xll.BDP($AX79,"DX202")="#N/A FIELD NOT APPLICABLE"), " ", _xll.BDP($AX79,"DX202"))</f>
        <v>Energy</v>
      </c>
      <c r="I79" s="24">
        <f>_xll.BDP(AX79,"CRNCY_ADJ_MKT_CAP", "EQY_FUND_CRNCY=USD")/1000</f>
        <v>75.805470996967998</v>
      </c>
      <c r="J79" s="25">
        <f>IFERROR(_xll.BDP(AX79, "DV013")/100,0)</f>
        <v>6.7644032114051192E-2</v>
      </c>
      <c r="K79" s="26" t="str" cm="1">
        <f t="array" ref="K79">IF(OR(_xll.BDP($AX79,"RR900")= "#N/A N/A", _xll.BDP($AX79,"RR900")="#N/A FIELD NOT APPLICABLE"), " ", _xll.BDP($AX79,"RR900"))</f>
        <v xml:space="preserve"> </v>
      </c>
      <c r="L79" s="26" cm="1">
        <f t="array" ref="L79">IF(OR(_xll.BDP($AX79,"EE010")= "#N/A N/A", _xll.BDP($AX79,"EE010")="#N/A FIELD NOT APPLICABLE"), " ", _xll.BDP($AX79,"EE010"))</f>
        <v>9.0737434832615236</v>
      </c>
      <c r="M79" s="26" cm="1">
        <f t="array" ref="M79">IF(OR(_xll.BDP($AX79,"RR903")= "#N/A N/A", _xll.BDP($AX79,"RR903")="#N/A FIELD NOT APPLICABLE"), " ", _xll.BDP($AX79,"RR903"))</f>
        <v>1.2893008069955465</v>
      </c>
      <c r="N79" s="26" cm="1">
        <f t="array" ref="N79">IF(OR(_xll.BDP($AX79,"RR957")= "#N/A N/A", _xll.BDP($AX79,"RR957")="#N/A FIELD NOT APPLICABLE"), " ", _xll.BDP($AX79,"RR957"))</f>
        <v>5.9034009281036388</v>
      </c>
      <c r="O79" s="27">
        <v>18400</v>
      </c>
      <c r="P79" s="28">
        <v>4.1500000000000004</v>
      </c>
      <c r="Q79" s="22" cm="1">
        <f t="array" ref="Q79">IF(OR(_xll.BDP($AX79,"PX_last")="#N/A N/A",_xll.BDP($AX79,"PX_Last")="#N/A FIELD NOT APPLICABLE")," ",IF(F79="GBP",(_xll.BDP($AX79,"PX_LAST")/100),(_xll.BDP($AX79,"PX_LAST"))))</f>
        <v>3.5569999999999999</v>
      </c>
      <c r="R79" s="29">
        <f>IF(F79="USD",AA79,(((_xll.BDP(F79&amp;"USD CURNCY","PX_LAST")))*AA79))</f>
        <v>102070.412</v>
      </c>
      <c r="S79" s="29">
        <f>IF(F79="USD",AB79,(((_xll.BDP(F79&amp;"USD CURNCY","PX_LAST")))*AB79))</f>
        <v>87485.410959999994</v>
      </c>
      <c r="T79" s="12">
        <f>S79-R79</f>
        <v>-14585.001040000003</v>
      </c>
      <c r="U79" s="13">
        <f>T79/R79</f>
        <v>-0.14289156626506028</v>
      </c>
      <c r="V79" s="13" cm="1">
        <f t="array" ref="V79">IFERROR(_xll.BDP($G79&amp;" Equity","CHG_PCT_1D")/100,"")</f>
        <v>1.5415359999999999E-2</v>
      </c>
      <c r="W79" s="13" cm="1">
        <f t="array" ref="W79">IFERROR(_xll.BDP($G79&amp;" Equity","CHG_PCT_5D")/100,"")</f>
        <v>-1.7403310000000002E-2</v>
      </c>
      <c r="X79" s="13" t="e">
        <f>S79/#REF!</f>
        <v>#REF!</v>
      </c>
      <c r="Y79" s="24">
        <f>IFERROR(S79*J79,0)</f>
        <v>5917.8659484892059</v>
      </c>
      <c r="Z79" s="24">
        <f>S79</f>
        <v>87485.410959999994</v>
      </c>
      <c r="AA79" s="29">
        <f>P79*O79</f>
        <v>76360</v>
      </c>
      <c r="AB79" s="29">
        <f>IFERROR(O79*Q79,0)</f>
        <v>65448.799999999996</v>
      </c>
      <c r="AC79" s="4" t="e" cm="1">
        <f t="array" ref="AC79">VLOOKUP(IF(NOT(_xll.BDP(AX79,$BW$8)="#N/A N/A"),(_xll.BDP(AX79,$BW$8)),"-"), '[1]Country Codes'!$A$2:$B$253,2,0)</f>
        <v>#N/A</v>
      </c>
      <c r="AD79" s="30" t="str" cm="1">
        <f t="array" ref="AD79">IF(OR(_xll.BDP($AX79,"EX028")= "#N/A N/A", _xll.BDP($AX79,"EX028")="#N/A FIELD NOT APPLICABLE"), " ", _xll.BDP($AX79,"EX028"))</f>
        <v>Equity</v>
      </c>
      <c r="AE79" s="31" t="str">
        <f>IF(("AS97"="Equity"), " ", "Single Line Equity")</f>
        <v>Single Line Equity</v>
      </c>
      <c r="AF79" s="26" cm="1">
        <f t="array" ref="AF79">IF(OR(_xll.BDP($AX79,"RR908")= "#N/A N/A", _xll.BDP($AX79,"RR908")="#N/A FIELD NOT APPLICABLE"), " ", _xll.BDP($AX79,"RR908"))</f>
        <v>3.0682236991315448</v>
      </c>
      <c r="AG79" s="26" cm="1">
        <f t="array" ref="AG79">IF(OR(_xll.BDP($AX79,"RR041")= "#N/A N/A", _xll.BDP($AX79,"RR041")="#N/A FIELD NOT APPLICABLE"), " ", _xll.BDP($AX79,"RR041"))</f>
        <v>25.350780220247458</v>
      </c>
      <c r="AH79" s="22">
        <f>_xll.BDP(AX79,"TOT_BUY_REC")</f>
        <v>7</v>
      </c>
      <c r="AI79" s="22">
        <f>_xll.BDP(AX79,"TOT_HOLD_REC")</f>
        <v>17</v>
      </c>
      <c r="AJ79" s="22">
        <f>_xll.BDP(AX79,"TOT_SELL_REC")</f>
        <v>2</v>
      </c>
      <c r="AK79" s="26" cm="1">
        <f t="array" ref="AK79">IF(OR(_xll.BDP($AX79,"EE201")= "#N/A N/A", _xll.BDP($AX79,"EE201")="#N/A FIELD NOT APPLICABLE"), " ", _xll.BDP($AX79,"EE201"))</f>
        <v>3.346153736114502</v>
      </c>
      <c r="AL79" s="24">
        <f>_xll.BDP(AX79,"BEST_TARGET_PRICE")</f>
        <v>432.41665649414063</v>
      </c>
      <c r="AM79" s="32">
        <f>(AL79/Q79)-1</f>
        <v>120.56779772115283</v>
      </c>
      <c r="AN79" s="32">
        <f>_xll.BDP(AX79,"PR061")/100</f>
        <v>-4.0464019999999996E-2</v>
      </c>
      <c r="AO79" s="32">
        <f>_xll.BDP(AX79,"PR064")/100</f>
        <v>-0.1708625</v>
      </c>
      <c r="AP79" s="32">
        <f>_xll.BDP(AX79,"CHG_PCT_6M")/100</f>
        <v>-7.968952E-2</v>
      </c>
      <c r="AQ79" s="25">
        <f>_xll.BDP(AX79,"PR079")/100</f>
        <v>-9.4910939999999999E-2</v>
      </c>
      <c r="AR79" s="33">
        <f>_xll.BDP(AX79,"hs001")</f>
        <v>515.29999999999995</v>
      </c>
      <c r="AS79" s="33">
        <f>_xll.BDP(AX79,"hs002")</f>
        <v>329.25</v>
      </c>
      <c r="AT79" s="22" t="str" cm="1">
        <f t="array" ref="AT79">IF(OR(_xll.BDP($AX79,"DX202")= "#N/A N/A", _xll.BDP($AX79,"DX202")="#N/A FIELD NOT APPLICABLE"), " ", _xll.BDP($AX79,"DX202"))</f>
        <v>Energy</v>
      </c>
      <c r="AU79" s="22" t="str" cm="1">
        <f t="array" ref="AU79">IF(OR(_xll.BDP($AX79,"DY997")= "#N/A N/A", _xll.BDP($AX79,"DY997")="#N/A FIELD NOT APPLICABLE"), " ", _xll.BDP($AX79,"DY997"))</f>
        <v>Y</v>
      </c>
      <c r="AV79" s="22" t="str" cm="1">
        <f t="array" ref="AV79">IF(OR(_xll.BDP($AX79,"DY784")= "#N/A N/A", _xll.BDP($AX79,"DY784")="#N/A FIELD NOT APPLICABLE"), " ", _xll.BDP($AX79,"DY784"))</f>
        <v>N</v>
      </c>
      <c r="AW79" s="22" t="str">
        <f>IF(OR(AU79="Y",AV79="Y"),"Y","N")</f>
        <v>Y</v>
      </c>
      <c r="AX79" s="22" t="str">
        <f>CONCATENATE(G79," ",$AX$2)</f>
        <v>BP/ LN Equity</v>
      </c>
      <c r="BC79" s="17" t="str" cm="1">
        <f t="array" ref="BC79">_xll.BDP(AX79,"ID005")</f>
        <v>GB0007980591</v>
      </c>
      <c r="BD79" s="17">
        <v>0.72</v>
      </c>
      <c r="BE79" s="18">
        <v>4</v>
      </c>
      <c r="BF79" s="19">
        <v>45217</v>
      </c>
      <c r="BG79" s="20">
        <v>1</v>
      </c>
    </row>
    <row r="80" spans="1:59" s="3" customFormat="1" ht="14.45" customHeight="1" x14ac:dyDescent="0.25">
      <c r="A80" s="81" t="s">
        <v>241</v>
      </c>
      <c r="B80" s="81" t="s">
        <v>249</v>
      </c>
      <c r="C80" s="81" t="s">
        <v>250</v>
      </c>
      <c r="D80" s="81" t="s">
        <v>240</v>
      </c>
      <c r="E80" s="40" t="str">
        <f>_xll.BDP(AX80,"SECURITY NAME")</f>
        <v>BP PLC</v>
      </c>
      <c r="F80" s="40" t="str">
        <f>_xll.BDP(AX80,"CRNCY")</f>
        <v>GBp</v>
      </c>
      <c r="G80" s="23" t="s">
        <v>80</v>
      </c>
      <c r="H80" s="40" t="str" cm="1">
        <f t="array" ref="H80">IF(OR(_xll.BDP($AX80,"DX202")= "#N/A N/A", _xll.BDP($AX80,"DX202")="#N/A FIELD NOT APPLICABLE"), " ", _xll.BDP($AX80,"DX202"))</f>
        <v>Energy</v>
      </c>
      <c r="I80" s="82">
        <f>_xll.BDP(AX80,"CRNCY_ADJ_MKT_CAP", "EQY_FUND_CRNCY=USD")/1000</f>
        <v>75.805470996967998</v>
      </c>
      <c r="J80" s="83">
        <f>IFERROR(_xll.BDP(AX80, "DV013")/100,0)</f>
        <v>6.7644032114051192E-2</v>
      </c>
      <c r="K80" s="84" t="str" cm="1">
        <f t="array" ref="K80">IF(OR(_xll.BDP($AX80,"RR900")= "#N/A N/A", _xll.BDP($AX80,"RR900")="#N/A FIELD NOT APPLICABLE"), " ", _xll.BDP($AX80,"RR900"))</f>
        <v xml:space="preserve"> </v>
      </c>
      <c r="L80" s="84" cm="1">
        <f t="array" ref="L80">IF(OR(_xll.BDP($AX80,"EE010")= "#N/A N/A", _xll.BDP($AX80,"EE010")="#N/A FIELD NOT APPLICABLE"), " ", _xll.BDP($AX80,"EE010"))</f>
        <v>9.0737434832615236</v>
      </c>
      <c r="M80" s="84" cm="1">
        <f t="array" ref="M80">IF(OR(_xll.BDP($AX80,"RR903")= "#N/A N/A", _xll.BDP($AX80,"RR903")="#N/A FIELD NOT APPLICABLE"), " ", _xll.BDP($AX80,"RR903"))</f>
        <v>1.2893008069955465</v>
      </c>
      <c r="N80" s="84" cm="1">
        <f t="array" ref="N80">IF(OR(_xll.BDP($AX80,"RR957")= "#N/A N/A", _xll.BDP($AX80,"RR957")="#N/A FIELD NOT APPLICABLE"), " ", _xll.BDP($AX80,"RR957"))</f>
        <v>5.9034009281036388</v>
      </c>
      <c r="O80" s="27">
        <v>9200</v>
      </c>
      <c r="P80" s="28">
        <v>4.1154999999999999</v>
      </c>
      <c r="Q80" s="40" cm="1">
        <f t="array" ref="Q80">IF(OR(_xll.BDP($AX80,"PX_last")="#N/A N/A",_xll.BDP($AX80,"PX_Last")="#N/A FIELD NOT APPLICABLE")," ",IF(F80="GBP",(_xll.BDP($AX80,"PX_LAST")/100),(_xll.BDP($AX80,"PX_LAST"))))</f>
        <v>3.5569999999999999</v>
      </c>
      <c r="R80" s="85">
        <f>IF(F80="USD",AA80,(((_xll.BDP(F80&amp;"USD CURNCY","PX_LAST")))*AA80))</f>
        <v>50610.937419999995</v>
      </c>
      <c r="S80" s="85">
        <f>IF(F80="USD",AB80,(((_xll.BDP(F80&amp;"USD CURNCY","PX_LAST")))*AB80))</f>
        <v>43742.705479999997</v>
      </c>
      <c r="T80" s="86">
        <f>S80-R80</f>
        <v>-6868.2319399999978</v>
      </c>
      <c r="U80" s="87">
        <f>T80/R80</f>
        <v>-0.13570647551937792</v>
      </c>
      <c r="V80" s="87" cm="1">
        <f t="array" ref="V80">IFERROR(_xll.BDP($G80&amp;" Equity","CHG_PCT_1D")/100,"")</f>
        <v>1.5415359999999999E-2</v>
      </c>
      <c r="W80" s="87" cm="1">
        <f t="array" ref="W80">IFERROR(_xll.BDP($G80&amp;" Equity","CHG_PCT_5D")/100,"")</f>
        <v>-1.7403310000000002E-2</v>
      </c>
      <c r="X80" s="87" t="e">
        <f>S80/#REF!</f>
        <v>#REF!</v>
      </c>
      <c r="Y80" s="82">
        <f>IFERROR(S80*J80,0)</f>
        <v>2958.932974244603</v>
      </c>
      <c r="Z80" s="82">
        <f>S80</f>
        <v>43742.705479999997</v>
      </c>
      <c r="AA80" s="85">
        <f>P80*O80</f>
        <v>37862.6</v>
      </c>
      <c r="AB80" s="85">
        <f>IFERROR(O80*Q80,0)</f>
        <v>32724.399999999998</v>
      </c>
      <c r="AC80" s="88" t="e" cm="1">
        <f t="array" ref="AC80">VLOOKUP(IF(NOT(_xll.BDP(AX80,$BW$8)="#N/A N/A"),(_xll.BDP(AX80,$BW$8)),"-"), '[1]Country Codes'!$A$2:$B$253,2,0)</f>
        <v>#N/A</v>
      </c>
      <c r="AD80" s="89" t="str" cm="1">
        <f t="array" ref="AD80">IF(OR(_xll.BDP($AX80,"EX028")= "#N/A N/A", _xll.BDP($AX80,"EX028")="#N/A FIELD NOT APPLICABLE"), " ", _xll.BDP($AX80,"EX028"))</f>
        <v>Equity</v>
      </c>
      <c r="AE80" s="90" t="str">
        <f>IF(("AS97"="Equity"), " ", "Single Line Equity")</f>
        <v>Single Line Equity</v>
      </c>
      <c r="AF80" s="84" cm="1">
        <f t="array" ref="AF80">IF(OR(_xll.BDP($AX80,"RR908")= "#N/A N/A", _xll.BDP($AX80,"RR908")="#N/A FIELD NOT APPLICABLE"), " ", _xll.BDP($AX80,"RR908"))</f>
        <v>3.0682236991315448</v>
      </c>
      <c r="AG80" s="84" cm="1">
        <f t="array" ref="AG80">IF(OR(_xll.BDP($AX80,"RR041")= "#N/A N/A", _xll.BDP($AX80,"RR041")="#N/A FIELD NOT APPLICABLE"), " ", _xll.BDP($AX80,"RR041"))</f>
        <v>25.350780220247458</v>
      </c>
      <c r="AH80" s="40">
        <f>_xll.BDP(AX80,"TOT_BUY_REC")</f>
        <v>7</v>
      </c>
      <c r="AI80" s="40">
        <f>_xll.BDP(AX80,"TOT_HOLD_REC")</f>
        <v>17</v>
      </c>
      <c r="AJ80" s="40">
        <f>_xll.BDP(AX80,"TOT_SELL_REC")</f>
        <v>2</v>
      </c>
      <c r="AK80" s="84" cm="1">
        <f t="array" ref="AK80">IF(OR(_xll.BDP($AX80,"EE201")= "#N/A N/A", _xll.BDP($AX80,"EE201")="#N/A FIELD NOT APPLICABLE"), " ", _xll.BDP($AX80,"EE201"))</f>
        <v>3.346153736114502</v>
      </c>
      <c r="AL80" s="82">
        <f>_xll.BDP(AX80,"BEST_TARGET_PRICE")</f>
        <v>432.41665649414063</v>
      </c>
      <c r="AM80" s="91">
        <f>(AL80/Q80)-1</f>
        <v>120.56779772115283</v>
      </c>
      <c r="AN80" s="91">
        <f>_xll.BDP(AX80,"PR061")/100</f>
        <v>-4.0464019999999996E-2</v>
      </c>
      <c r="AO80" s="91">
        <f>_xll.BDP(AX80,"PR064")/100</f>
        <v>-0.1708625</v>
      </c>
      <c r="AP80" s="91">
        <f>_xll.BDP(AX80,"CHG_PCT_6M")/100</f>
        <v>-7.968952E-2</v>
      </c>
      <c r="AQ80" s="83">
        <f>_xll.BDP(AX80,"PR079")/100</f>
        <v>-9.4910939999999999E-2</v>
      </c>
      <c r="AR80" s="92">
        <f>_xll.BDP(AX80,"hs001")</f>
        <v>515.29999999999995</v>
      </c>
      <c r="AS80" s="92">
        <f>_xll.BDP(AX80,"hs002")</f>
        <v>329.25</v>
      </c>
      <c r="AT80" s="40" t="str" cm="1">
        <f t="array" ref="AT80">IF(OR(_xll.BDP($AX80,"DX202")= "#N/A N/A", _xll.BDP($AX80,"DX202")="#N/A FIELD NOT APPLICABLE"), " ", _xll.BDP($AX80,"DX202"))</f>
        <v>Energy</v>
      </c>
      <c r="AU80" s="40" t="str" cm="1">
        <f t="array" ref="AU80">IF(OR(_xll.BDP($AX80,"DY997")= "#N/A N/A", _xll.BDP($AX80,"DY997")="#N/A FIELD NOT APPLICABLE"), " ", _xll.BDP($AX80,"DY997"))</f>
        <v>Y</v>
      </c>
      <c r="AV80" s="40" t="str" cm="1">
        <f t="array" ref="AV80">IF(OR(_xll.BDP($AX80,"DY784")= "#N/A N/A", _xll.BDP($AX80,"DY784")="#N/A FIELD NOT APPLICABLE"), " ", _xll.BDP($AX80,"DY784"))</f>
        <v>N</v>
      </c>
      <c r="AW80" s="40" t="str">
        <f>IF(OR(AU80="Y",AV80="Y"),"Y","N")</f>
        <v>Y</v>
      </c>
      <c r="AX80" s="40" t="str">
        <f>CONCATENATE(G80," ",$AX$2)</f>
        <v>BP/ LN Equity</v>
      </c>
      <c r="BC80" s="17" t="str" cm="1">
        <f t="array" ref="BC80">_xll.BDP(AX80,"ID005")</f>
        <v>GB0007980591</v>
      </c>
      <c r="BD80" s="17">
        <v>0.72</v>
      </c>
      <c r="BE80" s="18">
        <v>4</v>
      </c>
      <c r="BF80" s="19">
        <v>45217</v>
      </c>
      <c r="BG80" s="20">
        <v>1</v>
      </c>
    </row>
    <row r="81" spans="1:59" s="3" customFormat="1" ht="14.45" customHeight="1" x14ac:dyDescent="0.25">
      <c r="A81" s="49" t="s">
        <v>241</v>
      </c>
      <c r="B81" s="49" t="s">
        <v>251</v>
      </c>
      <c r="C81" s="49" t="s">
        <v>252</v>
      </c>
      <c r="D81" s="49" t="s">
        <v>240</v>
      </c>
      <c r="E81" s="22" t="str">
        <f>_xll.BDP(AX81,"SECURITY NAME")</f>
        <v>BP PLC</v>
      </c>
      <c r="F81" s="22" t="str">
        <f>_xll.BDP(AX81,"CRNCY")</f>
        <v>GBp</v>
      </c>
      <c r="G81" s="23" t="s">
        <v>80</v>
      </c>
      <c r="H81" s="22" t="str" cm="1">
        <f t="array" ref="H81">IF(OR(_xll.BDP($AX81,"DX202")= "#N/A N/A", _xll.BDP($AX81,"DX202")="#N/A FIELD NOT APPLICABLE"), " ", _xll.BDP($AX81,"DX202"))</f>
        <v>Energy</v>
      </c>
      <c r="I81" s="24">
        <f>_xll.BDP(AX81,"CRNCY_ADJ_MKT_CAP", "EQY_FUND_CRNCY=USD")/1000</f>
        <v>75.805470996967998</v>
      </c>
      <c r="J81" s="25">
        <f>IFERROR(_xll.BDP(AX81, "DV013")/100,0)</f>
        <v>6.7644032114051192E-2</v>
      </c>
      <c r="K81" s="26" t="str" cm="1">
        <f t="array" ref="K81">IF(OR(_xll.BDP($AX81,"RR900")= "#N/A N/A", _xll.BDP($AX81,"RR900")="#N/A FIELD NOT APPLICABLE"), " ", _xll.BDP($AX81,"RR900"))</f>
        <v xml:space="preserve"> </v>
      </c>
      <c r="L81" s="26" cm="1">
        <f t="array" ref="L81">IF(OR(_xll.BDP($AX81,"EE010")= "#N/A N/A", _xll.BDP($AX81,"EE010")="#N/A FIELD NOT APPLICABLE"), " ", _xll.BDP($AX81,"EE010"))</f>
        <v>9.0737434832615236</v>
      </c>
      <c r="M81" s="26" cm="1">
        <f t="array" ref="M81">IF(OR(_xll.BDP($AX81,"RR903")= "#N/A N/A", _xll.BDP($AX81,"RR903")="#N/A FIELD NOT APPLICABLE"), " ", _xll.BDP($AX81,"RR903"))</f>
        <v>1.2893008069955465</v>
      </c>
      <c r="N81" s="26" cm="1">
        <f t="array" ref="N81">IF(OR(_xll.BDP($AX81,"RR957")= "#N/A N/A", _xll.BDP($AX81,"RR957")="#N/A FIELD NOT APPLICABLE"), " ", _xll.BDP($AX81,"RR957"))</f>
        <v>5.9034009281036388</v>
      </c>
      <c r="O81" s="27">
        <v>9200</v>
      </c>
      <c r="P81" s="28">
        <v>4.1154999999999999</v>
      </c>
      <c r="Q81" s="22" cm="1">
        <f t="array" ref="Q81">IF(OR(_xll.BDP($AX81,"PX_last")="#N/A N/A",_xll.BDP($AX81,"PX_Last")="#N/A FIELD NOT APPLICABLE")," ",IF(F81="GBP",(_xll.BDP($AX81,"PX_LAST")/100),(_xll.BDP($AX81,"PX_LAST"))))</f>
        <v>3.5569999999999999</v>
      </c>
      <c r="R81" s="29">
        <f>IF(F81="USD",AA81,(((_xll.BDP(F81&amp;"USD CURNCY","PX_LAST")))*AA81))</f>
        <v>50610.937419999995</v>
      </c>
      <c r="S81" s="29">
        <f>IF(F81="USD",AB81,(((_xll.BDP(F81&amp;"USD CURNCY","PX_LAST")))*AB81))</f>
        <v>43742.705479999997</v>
      </c>
      <c r="T81" s="12">
        <f>S81-R81</f>
        <v>-6868.2319399999978</v>
      </c>
      <c r="U81" s="13">
        <f>T81/R81</f>
        <v>-0.13570647551937792</v>
      </c>
      <c r="V81" s="13" cm="1">
        <f t="array" ref="V81">IFERROR(_xll.BDP($G81&amp;" Equity","CHG_PCT_1D")/100,"")</f>
        <v>1.5415359999999999E-2</v>
      </c>
      <c r="W81" s="13" cm="1">
        <f t="array" ref="W81">IFERROR(_xll.BDP($G81&amp;" Equity","CHG_PCT_5D")/100,"")</f>
        <v>-1.7403310000000002E-2</v>
      </c>
      <c r="X81" s="13" t="e">
        <f>S81/#REF!</f>
        <v>#REF!</v>
      </c>
      <c r="Y81" s="24">
        <f>IFERROR(S81*J81,0)</f>
        <v>2958.932974244603</v>
      </c>
      <c r="Z81" s="24">
        <f>S81</f>
        <v>43742.705479999997</v>
      </c>
      <c r="AA81" s="29">
        <f>P81*O81</f>
        <v>37862.6</v>
      </c>
      <c r="AB81" s="29">
        <f>IFERROR(O81*Q81,0)</f>
        <v>32724.399999999998</v>
      </c>
      <c r="AC81" s="4" t="e" cm="1">
        <f t="array" ref="AC81">VLOOKUP(IF(NOT(_xll.BDP(AX81,$BW$8)="#N/A N/A"),(_xll.BDP(AX81,$BW$8)),"-"), '[1]Country Codes'!$A$2:$B$253,2,0)</f>
        <v>#N/A</v>
      </c>
      <c r="AD81" s="30" t="str" cm="1">
        <f t="array" ref="AD81">IF(OR(_xll.BDP($AX81,"EX028")= "#N/A N/A", _xll.BDP($AX81,"EX028")="#N/A FIELD NOT APPLICABLE"), " ", _xll.BDP($AX81,"EX028"))</f>
        <v>Equity</v>
      </c>
      <c r="AE81" s="31" t="str">
        <f>IF(("AS97"="Equity"), " ", "Single Line Equity")</f>
        <v>Single Line Equity</v>
      </c>
      <c r="AF81" s="26" cm="1">
        <f t="array" ref="AF81">IF(OR(_xll.BDP($AX81,"RR908")= "#N/A N/A", _xll.BDP($AX81,"RR908")="#N/A FIELD NOT APPLICABLE"), " ", _xll.BDP($AX81,"RR908"))</f>
        <v>3.0682236991315448</v>
      </c>
      <c r="AG81" s="26" cm="1">
        <f t="array" ref="AG81">IF(OR(_xll.BDP($AX81,"RR041")= "#N/A N/A", _xll.BDP($AX81,"RR041")="#N/A FIELD NOT APPLICABLE"), " ", _xll.BDP($AX81,"RR041"))</f>
        <v>25.350780220247458</v>
      </c>
      <c r="AH81" s="22">
        <f>_xll.BDP(AX81,"TOT_BUY_REC")</f>
        <v>7</v>
      </c>
      <c r="AI81" s="22">
        <f>_xll.BDP(AX81,"TOT_HOLD_REC")</f>
        <v>17</v>
      </c>
      <c r="AJ81" s="22">
        <f>_xll.BDP(AX81,"TOT_SELL_REC")</f>
        <v>2</v>
      </c>
      <c r="AK81" s="26" cm="1">
        <f t="array" ref="AK81">IF(OR(_xll.BDP($AX81,"EE201")= "#N/A N/A", _xll.BDP($AX81,"EE201")="#N/A FIELD NOT APPLICABLE"), " ", _xll.BDP($AX81,"EE201"))</f>
        <v>3.346153736114502</v>
      </c>
      <c r="AL81" s="24">
        <f>_xll.BDP(AX81,"BEST_TARGET_PRICE")</f>
        <v>432.41665649414063</v>
      </c>
      <c r="AM81" s="32">
        <f>(AL81/Q81)-1</f>
        <v>120.56779772115283</v>
      </c>
      <c r="AN81" s="32">
        <f>_xll.BDP(AX81,"PR061")/100</f>
        <v>-4.0464019999999996E-2</v>
      </c>
      <c r="AO81" s="32">
        <f>_xll.BDP(AX81,"PR064")/100</f>
        <v>-0.1708625</v>
      </c>
      <c r="AP81" s="32">
        <f>_xll.BDP(AX81,"CHG_PCT_6M")/100</f>
        <v>-7.968952E-2</v>
      </c>
      <c r="AQ81" s="25">
        <f>_xll.BDP(AX81,"PR079")/100</f>
        <v>-9.4910939999999999E-2</v>
      </c>
      <c r="AR81" s="33">
        <f>_xll.BDP(AX81,"hs001")</f>
        <v>515.29999999999995</v>
      </c>
      <c r="AS81" s="33">
        <f>_xll.BDP(AX81,"hs002")</f>
        <v>329.25</v>
      </c>
      <c r="AT81" s="22" t="str" cm="1">
        <f t="array" ref="AT81">IF(OR(_xll.BDP($AX81,"DX202")= "#N/A N/A", _xll.BDP($AX81,"DX202")="#N/A FIELD NOT APPLICABLE"), " ", _xll.BDP($AX81,"DX202"))</f>
        <v>Energy</v>
      </c>
      <c r="AU81" s="22" t="str" cm="1">
        <f t="array" ref="AU81">IF(OR(_xll.BDP($AX81,"DY997")= "#N/A N/A", _xll.BDP($AX81,"DY997")="#N/A FIELD NOT APPLICABLE"), " ", _xll.BDP($AX81,"DY997"))</f>
        <v>Y</v>
      </c>
      <c r="AV81" s="22" t="str" cm="1">
        <f t="array" ref="AV81">IF(OR(_xll.BDP($AX81,"DY784")= "#N/A N/A", _xll.BDP($AX81,"DY784")="#N/A FIELD NOT APPLICABLE"), " ", _xll.BDP($AX81,"DY784"))</f>
        <v>N</v>
      </c>
      <c r="AW81" s="22" t="str">
        <f>IF(OR(AU81="Y",AV81="Y"),"Y","N")</f>
        <v>Y</v>
      </c>
      <c r="AX81" s="22" t="str">
        <f>CONCATENATE(G81," ",$AX$2)</f>
        <v>BP/ LN Equity</v>
      </c>
      <c r="BC81" s="17" t="str" cm="1">
        <f t="array" ref="BC81">_xll.BDP(AX81,"ID005")</f>
        <v>GB0007980591</v>
      </c>
      <c r="BD81" s="17">
        <v>0.72</v>
      </c>
      <c r="BE81" s="18">
        <v>4</v>
      </c>
      <c r="BF81" s="19">
        <v>45217</v>
      </c>
      <c r="BG81" s="20">
        <v>1</v>
      </c>
    </row>
    <row r="82" spans="1:59" s="3" customFormat="1" ht="14.45" customHeight="1" x14ac:dyDescent="0.25">
      <c r="A82" s="49" t="s">
        <v>242</v>
      </c>
      <c r="B82" s="49" t="s">
        <v>255</v>
      </c>
      <c r="C82" s="49" t="s">
        <v>256</v>
      </c>
      <c r="D82" s="49" t="s">
        <v>248</v>
      </c>
      <c r="E82" s="22" t="str">
        <f>_xll.BDP(AX82,"SECURITY NAME")</f>
        <v>BP PLC</v>
      </c>
      <c r="F82" s="22" t="str">
        <f>_xll.BDP(AX82,"CRNCY")</f>
        <v>GBp</v>
      </c>
      <c r="G82" s="23" t="s">
        <v>80</v>
      </c>
      <c r="H82" s="22" t="str" cm="1">
        <f t="array" ref="H82">IF(OR(_xll.BDP($AX82,"DX202")= "#N/A N/A", _xll.BDP($AX82,"DX202")="#N/A FIELD NOT APPLICABLE"), " ", _xll.BDP($AX82,"DX202"))</f>
        <v>Energy</v>
      </c>
      <c r="I82" s="24">
        <f>_xll.BDP(AX82,"CRNCY_ADJ_MKT_CAP", "EQY_FUND_CRNCY=USD")/1000</f>
        <v>75.805470996967998</v>
      </c>
      <c r="J82" s="25">
        <f>IFERROR(_xll.BDP(AX82, "DV013")/100,0)</f>
        <v>6.7644032114051192E-2</v>
      </c>
      <c r="K82" s="26" t="str" cm="1">
        <f t="array" ref="K82">IF(OR(_xll.BDP($AX82,"RR900")= "#N/A N/A", _xll.BDP($AX82,"RR900")="#N/A FIELD NOT APPLICABLE"), " ", _xll.BDP($AX82,"RR900"))</f>
        <v xml:space="preserve"> </v>
      </c>
      <c r="L82" s="26" cm="1">
        <f t="array" ref="L82">IF(OR(_xll.BDP($AX82,"EE010")= "#N/A N/A", _xll.BDP($AX82,"EE010")="#N/A FIELD NOT APPLICABLE"), " ", _xll.BDP($AX82,"EE010"))</f>
        <v>9.0737434832615236</v>
      </c>
      <c r="M82" s="26" cm="1">
        <f t="array" ref="M82">IF(OR(_xll.BDP($AX82,"RR903")= "#N/A N/A", _xll.BDP($AX82,"RR903")="#N/A FIELD NOT APPLICABLE"), " ", _xll.BDP($AX82,"RR903"))</f>
        <v>1.2893008069955465</v>
      </c>
      <c r="N82" s="26" cm="1">
        <f t="array" ref="N82">IF(OR(_xll.BDP($AX82,"RR957")= "#N/A N/A", _xll.BDP($AX82,"RR957")="#N/A FIELD NOT APPLICABLE"), " ", _xll.BDP($AX82,"RR957"))</f>
        <v>5.9034009281036388</v>
      </c>
      <c r="O82" s="27">
        <v>20750</v>
      </c>
      <c r="P82" s="28">
        <v>3.78</v>
      </c>
      <c r="Q82" s="22" cm="1">
        <f t="array" ref="Q82">IF(OR(_xll.BDP($AX82,"PX_last")="#N/A N/A",_xll.BDP($AX82,"PX_Last")="#N/A FIELD NOT APPLICABLE")," ",IF(F82="GBP",(_xll.BDP($AX82,"PX_LAST")/100),(_xll.BDP($AX82,"PX_LAST"))))</f>
        <v>3.5569999999999999</v>
      </c>
      <c r="R82" s="29">
        <f>IF(F82="USD",AA82,(((_xll.BDP(F82&amp;"USD CURNCY","PX_LAST")))*AA82))</f>
        <v>104844.06449999999</v>
      </c>
      <c r="S82" s="29">
        <f>IF(F82="USD",AB82,(((_xll.BDP(F82&amp;"USD CURNCY","PX_LAST")))*AB82))</f>
        <v>98658.819424999994</v>
      </c>
      <c r="T82" s="12">
        <f>S82-R82</f>
        <v>-6185.2450749999989</v>
      </c>
      <c r="U82" s="13">
        <f>T82/R82</f>
        <v>-5.8994708994708989E-2</v>
      </c>
      <c r="V82" s="13" cm="1">
        <f t="array" ref="V82">IFERROR(_xll.BDP($G82&amp;" Equity","CHG_PCT_1D")/100,"")</f>
        <v>1.5415359999999999E-2</v>
      </c>
      <c r="W82" s="13" cm="1">
        <f t="array" ref="W82">IFERROR(_xll.BDP($G82&amp;" Equity","CHG_PCT_5D")/100,"")</f>
        <v>-1.7403310000000002E-2</v>
      </c>
      <c r="X82" s="13" t="e">
        <f>S82/#REF!</f>
        <v>#REF!</v>
      </c>
      <c r="Y82" s="24">
        <f>IFERROR(S82*J82,0)</f>
        <v>6673.680349519077</v>
      </c>
      <c r="Z82" s="24">
        <f>S82</f>
        <v>98658.819424999994</v>
      </c>
      <c r="AA82" s="29">
        <f>P82*O82</f>
        <v>78435</v>
      </c>
      <c r="AB82" s="29">
        <f>IFERROR(O82*Q82,0)</f>
        <v>73807.75</v>
      </c>
      <c r="AC82" s="4" t="e" cm="1">
        <f t="array" ref="AC82">VLOOKUP(IF(NOT(_xll.BDP(AX82,$BW$8)="#N/A N/A"),(_xll.BDP(AX82,$BW$8)),"-"), '[1]Country Codes'!$A$2:$B$253,2,0)</f>
        <v>#N/A</v>
      </c>
      <c r="AD82" s="30" t="str" cm="1">
        <f t="array" ref="AD82">IF(OR(_xll.BDP($AX82,"EX028")= "#N/A N/A", _xll.BDP($AX82,"EX028")="#N/A FIELD NOT APPLICABLE"), " ", _xll.BDP($AX82,"EX028"))</f>
        <v>Equity</v>
      </c>
      <c r="AE82" s="31" t="str">
        <f>IF(("AS97"="Equity"), " ", "Single Line Equity")</f>
        <v>Single Line Equity</v>
      </c>
      <c r="AF82" s="26" cm="1">
        <f t="array" ref="AF82">IF(OR(_xll.BDP($AX82,"RR908")= "#N/A N/A", _xll.BDP($AX82,"RR908")="#N/A FIELD NOT APPLICABLE"), " ", _xll.BDP($AX82,"RR908"))</f>
        <v>3.0682236991315448</v>
      </c>
      <c r="AG82" s="26" cm="1">
        <f t="array" ref="AG82">IF(OR(_xll.BDP($AX82,"RR041")= "#N/A N/A", _xll.BDP($AX82,"RR041")="#N/A FIELD NOT APPLICABLE"), " ", _xll.BDP($AX82,"RR041"))</f>
        <v>25.350780220247458</v>
      </c>
      <c r="AH82" s="22">
        <f>_xll.BDP(AX82,"TOT_BUY_REC")</f>
        <v>7</v>
      </c>
      <c r="AI82" s="22">
        <f>_xll.BDP(AX82,"TOT_HOLD_REC")</f>
        <v>17</v>
      </c>
      <c r="AJ82" s="22">
        <f>_xll.BDP(AX82,"TOT_SELL_REC")</f>
        <v>2</v>
      </c>
      <c r="AK82" s="26" cm="1">
        <f t="array" ref="AK82">IF(OR(_xll.BDP($AX82,"EE201")= "#N/A N/A", _xll.BDP($AX82,"EE201")="#N/A FIELD NOT APPLICABLE"), " ", _xll.BDP($AX82,"EE201"))</f>
        <v>3.346153736114502</v>
      </c>
      <c r="AL82" s="24">
        <f>_xll.BDP(AX82,"BEST_TARGET_PRICE")</f>
        <v>432.41665649414063</v>
      </c>
      <c r="AM82" s="32">
        <f>(AL82/Q82)-1</f>
        <v>120.56779772115283</v>
      </c>
      <c r="AN82" s="32">
        <f>_xll.BDP(AX82,"PR061")/100</f>
        <v>-4.0464019999999996E-2</v>
      </c>
      <c r="AO82" s="32">
        <f>_xll.BDP(AX82,"PR064")/100</f>
        <v>-0.1708625</v>
      </c>
      <c r="AP82" s="32">
        <f>_xll.BDP(AX82,"CHG_PCT_6M")/100</f>
        <v>-7.968952E-2</v>
      </c>
      <c r="AQ82" s="25">
        <f>_xll.BDP(AX82,"PR079")/100</f>
        <v>-9.4910939999999999E-2</v>
      </c>
      <c r="AR82" s="33">
        <f>_xll.BDP(AX82,"hs001")</f>
        <v>515.29999999999995</v>
      </c>
      <c r="AS82" s="33">
        <f>_xll.BDP(AX82,"hs002")</f>
        <v>329.25</v>
      </c>
      <c r="AT82" s="22" t="str" cm="1">
        <f t="array" ref="AT82">IF(OR(_xll.BDP($AX82,"DX202")= "#N/A N/A", _xll.BDP($AX82,"DX202")="#N/A FIELD NOT APPLICABLE"), " ", _xll.BDP($AX82,"DX202"))</f>
        <v>Energy</v>
      </c>
      <c r="AU82" s="22" t="str" cm="1">
        <f t="array" ref="AU82">IF(OR(_xll.BDP($AX82,"DY997")= "#N/A N/A", _xll.BDP($AX82,"DY997")="#N/A FIELD NOT APPLICABLE"), " ", _xll.BDP($AX82,"DY997"))</f>
        <v>Y</v>
      </c>
      <c r="AV82" s="22" t="str" cm="1">
        <f t="array" ref="AV82">IF(OR(_xll.BDP($AX82,"DY784")= "#N/A N/A", _xll.BDP($AX82,"DY784")="#N/A FIELD NOT APPLICABLE"), " ", _xll.BDP($AX82,"DY784"))</f>
        <v>N</v>
      </c>
      <c r="AW82" s="22" t="str">
        <f>IF(OR(AU82="Y",AV82="Y"),"Y","N")</f>
        <v>Y</v>
      </c>
      <c r="AX82" s="22" t="str">
        <f>CONCATENATE(G82," ",$AX$2)</f>
        <v>BP/ LN Equity</v>
      </c>
      <c r="BC82" s="17" t="str" cm="1">
        <f t="array" ref="BC82">_xll.BDP(AX82,"ID005")</f>
        <v>GB0007980591</v>
      </c>
      <c r="BD82" s="17">
        <v>0.75</v>
      </c>
      <c r="BE82" s="18">
        <v>4</v>
      </c>
      <c r="BF82" s="19">
        <v>45540</v>
      </c>
      <c r="BG82" s="20">
        <v>1</v>
      </c>
    </row>
    <row r="83" spans="1:59" s="93" customFormat="1" ht="14.45" customHeight="1" x14ac:dyDescent="0.25">
      <c r="A83" s="49" t="s">
        <v>242</v>
      </c>
      <c r="B83" s="49" t="s">
        <v>332</v>
      </c>
      <c r="C83" s="72" t="s">
        <v>333</v>
      </c>
      <c r="D83" s="49" t="s">
        <v>248</v>
      </c>
      <c r="E83" s="22" t="str">
        <f>_xll.BDP(AX83,"SECURITY NAME")</f>
        <v>BP PLC</v>
      </c>
      <c r="F83" s="22" t="str">
        <f>_xll.BDP(AX83,"CRNCY")</f>
        <v>GBp</v>
      </c>
      <c r="G83" s="23" t="s">
        <v>80</v>
      </c>
      <c r="H83" s="22" t="str" cm="1">
        <f t="array" ref="H83">IF(OR(_xll.BDP($AX83,"DX202")= "#N/A N/A", _xll.BDP($AX83,"DX202")="#N/A FIELD NOT APPLICABLE"), " ", _xll.BDP($AX83,"DX202"))</f>
        <v>Energy</v>
      </c>
      <c r="I83" s="24">
        <f>_xll.BDP(AX83,"CRNCY_ADJ_MKT_CAP", "EQY_FUND_CRNCY=USD")/1000</f>
        <v>75.805470996967998</v>
      </c>
      <c r="J83" s="25">
        <f>IFERROR(_xll.BDP(AX83, "DV013")/100,0)</f>
        <v>6.7644032114051192E-2</v>
      </c>
      <c r="K83" s="26" t="str" cm="1">
        <f t="array" ref="K83">IF(OR(_xll.BDP($AX83,"RR900")= "#N/A N/A", _xll.BDP($AX83,"RR900")="#N/A FIELD NOT APPLICABLE"), " ", _xll.BDP($AX83,"RR900"))</f>
        <v xml:space="preserve"> </v>
      </c>
      <c r="L83" s="26" cm="1">
        <f t="array" ref="L83">IF(OR(_xll.BDP($AX83,"EE010")= "#N/A N/A", _xll.BDP($AX83,"EE010")="#N/A FIELD NOT APPLICABLE"), " ", _xll.BDP($AX83,"EE010"))</f>
        <v>9.0737434832615236</v>
      </c>
      <c r="M83" s="26" cm="1">
        <f t="array" ref="M83">IF(OR(_xll.BDP($AX83,"RR903")= "#N/A N/A", _xll.BDP($AX83,"RR903")="#N/A FIELD NOT APPLICABLE"), " ", _xll.BDP($AX83,"RR903"))</f>
        <v>1.2893008069955465</v>
      </c>
      <c r="N83" s="26" cm="1">
        <f t="array" ref="N83">IF(OR(_xll.BDP($AX83,"RR957")= "#N/A N/A", _xll.BDP($AX83,"RR957")="#N/A FIELD NOT APPLICABLE"), " ", _xll.BDP($AX83,"RR957"))</f>
        <v>5.9034009281036388</v>
      </c>
      <c r="O83" s="27">
        <v>9200</v>
      </c>
      <c r="P83" s="28">
        <v>4.1500000000000004</v>
      </c>
      <c r="Q83" s="22" cm="1">
        <f t="array" ref="Q83">IF(OR(_xll.BDP($AX83,"PX_last")="#N/A N/A",_xll.BDP($AX83,"PX_Last")="#N/A FIELD NOT APPLICABLE")," ",IF(F83="GBP",(_xll.BDP($AX83,"PX_LAST")/100),(_xll.BDP($AX83,"PX_LAST"))))</f>
        <v>3.5569999999999999</v>
      </c>
      <c r="R83" s="29">
        <f>IF(F83="USD",AA83,(((_xll.BDP(F83&amp;"USD CURNCY","PX_LAST")))*AA83))</f>
        <v>51035.205999999998</v>
      </c>
      <c r="S83" s="29">
        <f>IF(F83="USD",AB83,(((_xll.BDP(F83&amp;"USD CURNCY","PX_LAST")))*AB83))</f>
        <v>43742.705479999997</v>
      </c>
      <c r="T83" s="12">
        <f>S83-R83</f>
        <v>-7292.5005200000014</v>
      </c>
      <c r="U83" s="13">
        <f>T83/R83</f>
        <v>-0.14289156626506028</v>
      </c>
      <c r="V83" s="13" cm="1">
        <f t="array" ref="V83">IFERROR(_xll.BDP($G83&amp;" Equity","CHG_PCT_1D")/100,"")</f>
        <v>1.5415359999999999E-2</v>
      </c>
      <c r="W83" s="13" cm="1">
        <f t="array" ref="W83">IFERROR(_xll.BDP($G83&amp;" Equity","CHG_PCT_5D")/100,"")</f>
        <v>-1.7403310000000002E-2</v>
      </c>
      <c r="X83" s="13" t="e">
        <f>S83/#REF!</f>
        <v>#REF!</v>
      </c>
      <c r="Y83" s="24">
        <f>IFERROR(S83*J83,0)</f>
        <v>2958.932974244603</v>
      </c>
      <c r="Z83" s="24">
        <f>S83</f>
        <v>43742.705479999997</v>
      </c>
      <c r="AA83" s="29">
        <f>P83*O83</f>
        <v>38180</v>
      </c>
      <c r="AB83" s="29">
        <f>IFERROR(O83*Q83,0)</f>
        <v>32724.399999999998</v>
      </c>
      <c r="AC83" s="4" t="e" cm="1">
        <f t="array" ref="AC83">VLOOKUP(IF(NOT(_xll.BDP(AX83,$BW$8)="#N/A N/A"),(_xll.BDP(AX83,$BW$8)),"-"), '[1]Country Codes'!$A$2:$B$253,2,0)</f>
        <v>#N/A</v>
      </c>
      <c r="AD83" s="30" t="str" cm="1">
        <f t="array" ref="AD83">IF(OR(_xll.BDP($AX83,"EX028")= "#N/A N/A", _xll.BDP($AX83,"EX028")="#N/A FIELD NOT APPLICABLE"), " ", _xll.BDP($AX83,"EX028"))</f>
        <v>Equity</v>
      </c>
      <c r="AE83" s="31" t="str">
        <f>IF(("AS97"="Equity"), " ", "Single Line Equity")</f>
        <v>Single Line Equity</v>
      </c>
      <c r="AF83" s="26" cm="1">
        <f t="array" ref="AF83">IF(OR(_xll.BDP($AX83,"RR908")= "#N/A N/A", _xll.BDP($AX83,"RR908")="#N/A FIELD NOT APPLICABLE"), " ", _xll.BDP($AX83,"RR908"))</f>
        <v>3.0682236991315448</v>
      </c>
      <c r="AG83" s="26" cm="1">
        <f t="array" ref="AG83">IF(OR(_xll.BDP($AX83,"RR041")= "#N/A N/A", _xll.BDP($AX83,"RR041")="#N/A FIELD NOT APPLICABLE"), " ", _xll.BDP($AX83,"RR041"))</f>
        <v>25.350780220247458</v>
      </c>
      <c r="AH83" s="22">
        <f>_xll.BDP(AX83,"TOT_BUY_REC")</f>
        <v>7</v>
      </c>
      <c r="AI83" s="22">
        <f>_xll.BDP(AX83,"TOT_HOLD_REC")</f>
        <v>17</v>
      </c>
      <c r="AJ83" s="22">
        <f>_xll.BDP(AX83,"TOT_SELL_REC")</f>
        <v>2</v>
      </c>
      <c r="AK83" s="26" cm="1">
        <f t="array" ref="AK83">IF(OR(_xll.BDP($AX83,"EE201")= "#N/A N/A", _xll.BDP($AX83,"EE201")="#N/A FIELD NOT APPLICABLE"), " ", _xll.BDP($AX83,"EE201"))</f>
        <v>3.346153736114502</v>
      </c>
      <c r="AL83" s="24">
        <f>_xll.BDP(AX83,"BEST_TARGET_PRICE")</f>
        <v>432.41665649414063</v>
      </c>
      <c r="AM83" s="32">
        <f>(AL83/Q83)-1</f>
        <v>120.56779772115283</v>
      </c>
      <c r="AN83" s="32">
        <f>_xll.BDP(AX83,"PR061")/100</f>
        <v>-4.0464019999999996E-2</v>
      </c>
      <c r="AO83" s="32">
        <f>_xll.BDP(AX83,"PR064")/100</f>
        <v>-0.1708625</v>
      </c>
      <c r="AP83" s="32">
        <f>_xll.BDP(AX83,"CHG_PCT_6M")/100</f>
        <v>-7.968952E-2</v>
      </c>
      <c r="AQ83" s="25">
        <f>_xll.BDP(AX83,"PR079")/100</f>
        <v>-9.4910939999999999E-2</v>
      </c>
      <c r="AR83" s="33">
        <f>_xll.BDP(AX83,"hs001")</f>
        <v>515.29999999999995</v>
      </c>
      <c r="AS83" s="33">
        <f>_xll.BDP(AX83,"hs002")</f>
        <v>329.25</v>
      </c>
      <c r="AT83" s="22" t="str" cm="1">
        <f t="array" ref="AT83">IF(OR(_xll.BDP($AX83,"DX202")= "#N/A N/A", _xll.BDP($AX83,"DX202")="#N/A FIELD NOT APPLICABLE"), " ", _xll.BDP($AX83,"DX202"))</f>
        <v>Energy</v>
      </c>
      <c r="AU83" s="22" t="str" cm="1">
        <f t="array" ref="AU83">IF(OR(_xll.BDP($AX83,"DY997")= "#N/A N/A", _xll.BDP($AX83,"DY997")="#N/A FIELD NOT APPLICABLE"), " ", _xll.BDP($AX83,"DY997"))</f>
        <v>Y</v>
      </c>
      <c r="AV83" s="22" t="str" cm="1">
        <f t="array" ref="AV83">IF(OR(_xll.BDP($AX83,"DY784")= "#N/A N/A", _xll.BDP($AX83,"DY784")="#N/A FIELD NOT APPLICABLE"), " ", _xll.BDP($AX83,"DY784"))</f>
        <v>N</v>
      </c>
      <c r="AW83" s="22" t="str">
        <f>IF(OR(AU83="Y",AV83="Y"),"Y","N")</f>
        <v>Y</v>
      </c>
      <c r="AX83" s="22" t="str">
        <f>CONCATENATE(G83," ",$AX$2)</f>
        <v>BP/ LN Equity</v>
      </c>
      <c r="BC83" s="38" t="str" cm="1">
        <f t="array" ref="BC83">_xll.BDP(AX83,"ID005")</f>
        <v>GB0007980591</v>
      </c>
      <c r="BD83" s="38">
        <v>0.75</v>
      </c>
      <c r="BE83" s="94">
        <v>4</v>
      </c>
      <c r="BF83" s="95">
        <v>45540</v>
      </c>
      <c r="BG83" s="96">
        <v>1</v>
      </c>
    </row>
    <row r="84" spans="1:59" s="3" customFormat="1" ht="14.45" customHeight="1" x14ac:dyDescent="0.25">
      <c r="A84" s="49" t="s">
        <v>242</v>
      </c>
      <c r="B84" s="49" t="s">
        <v>260</v>
      </c>
      <c r="C84" s="49" t="s">
        <v>261</v>
      </c>
      <c r="D84" s="49" t="s">
        <v>248</v>
      </c>
      <c r="E84" s="22" t="str">
        <f>_xll.BDP(AX84,"SECURITY NAME")</f>
        <v>BP PLC</v>
      </c>
      <c r="F84" s="22" t="str">
        <f>_xll.BDP(AX84,"CRNCY")</f>
        <v>GBp</v>
      </c>
      <c r="G84" s="73" t="s">
        <v>80</v>
      </c>
      <c r="H84" s="22" t="str" cm="1">
        <f t="array" ref="H84">IF(OR(_xll.BDP($AX84,"DX202")= "#N/A N/A", _xll.BDP($AX84,"DX202")="#N/A FIELD NOT APPLICABLE"), " ", _xll.BDP($AX84,"DX202"))</f>
        <v>Energy</v>
      </c>
      <c r="I84" s="24">
        <f>_xll.BDP(AX84,"CRNCY_ADJ_MKT_CAP", "EQY_FUND_CRNCY=USD")/1000</f>
        <v>75.805470996967998</v>
      </c>
      <c r="J84" s="25">
        <f>IFERROR(_xll.BDP(AX84, "DV013")/100,0)</f>
        <v>6.7644032114051192E-2</v>
      </c>
      <c r="K84" s="26" t="str" cm="1">
        <f t="array" ref="K84">IF(OR(_xll.BDP($AX84,"RR900")= "#N/A N/A", _xll.BDP($AX84,"RR900")="#N/A FIELD NOT APPLICABLE"), " ", _xll.BDP($AX84,"RR900"))</f>
        <v xml:space="preserve"> </v>
      </c>
      <c r="L84" s="26" cm="1">
        <f t="array" ref="L84">IF(OR(_xll.BDP($AX84,"EE010")= "#N/A N/A", _xll.BDP($AX84,"EE010")="#N/A FIELD NOT APPLICABLE"), " ", _xll.BDP($AX84,"EE010"))</f>
        <v>9.0737434832615236</v>
      </c>
      <c r="M84" s="26" cm="1">
        <f t="array" ref="M84">IF(OR(_xll.BDP($AX84,"RR903")= "#N/A N/A", _xll.BDP($AX84,"RR903")="#N/A FIELD NOT APPLICABLE"), " ", _xll.BDP($AX84,"RR903"))</f>
        <v>1.2893008069955465</v>
      </c>
      <c r="N84" s="26" cm="1">
        <f t="array" ref="N84">IF(OR(_xll.BDP($AX84,"RR957")= "#N/A N/A", _xll.BDP($AX84,"RR957")="#N/A FIELD NOT APPLICABLE"), " ", _xll.BDP($AX84,"RR957"))</f>
        <v>5.9034009281036388</v>
      </c>
      <c r="O84" s="74">
        <v>9200</v>
      </c>
      <c r="P84" s="75">
        <v>4.1500000000000004</v>
      </c>
      <c r="Q84" s="22" cm="1">
        <f t="array" ref="Q84">IF(OR(_xll.BDP($AX84,"PX_last")="#N/A N/A",_xll.BDP($AX84,"PX_Last")="#N/A FIELD NOT APPLICABLE")," ",IF(F84="GBP",(_xll.BDP($AX84,"PX_LAST")/100),(_xll.BDP($AX84,"PX_LAST"))))</f>
        <v>3.5569999999999999</v>
      </c>
      <c r="R84" s="29">
        <f>IF(F84="USD",AA84,(((_xll.BDP(F84&amp;"USD CURNCY","PX_LAST")))*AA84))</f>
        <v>51035.205999999998</v>
      </c>
      <c r="S84" s="29">
        <f>IF(F84="USD",AB84,(((_xll.BDP(F84&amp;"USD CURNCY","PX_LAST")))*AB84))</f>
        <v>43742.705479999997</v>
      </c>
      <c r="T84" s="12">
        <f>S84-R84</f>
        <v>-7292.5005200000014</v>
      </c>
      <c r="U84" s="13">
        <f>T84/R84</f>
        <v>-0.14289156626506028</v>
      </c>
      <c r="V84" s="13" cm="1">
        <f t="array" ref="V84">IFERROR(_xll.BDP($G84&amp;" Equity","CHG_PCT_1D")/100,"")</f>
        <v>1.5415359999999999E-2</v>
      </c>
      <c r="W84" s="13" cm="1">
        <f t="array" ref="W84">IFERROR(_xll.BDP($G84&amp;" Equity","CHG_PCT_5D")/100,"")</f>
        <v>-1.7403310000000002E-2</v>
      </c>
      <c r="X84" s="13" t="e">
        <f>S84/#REF!</f>
        <v>#REF!</v>
      </c>
      <c r="Y84" s="24">
        <f>IFERROR(S84*J84,0)</f>
        <v>2958.932974244603</v>
      </c>
      <c r="Z84" s="24">
        <f>S84</f>
        <v>43742.705479999997</v>
      </c>
      <c r="AA84" s="29">
        <f>P84*O84</f>
        <v>38180</v>
      </c>
      <c r="AB84" s="29">
        <f>IFERROR(O84*Q84,0)</f>
        <v>32724.399999999998</v>
      </c>
      <c r="AC84" s="4" t="e" cm="1">
        <f t="array" ref="AC84">VLOOKUP(IF(NOT(_xll.BDP(AX84,$BW$8)="#N/A N/A"),(_xll.BDP(AX84,$BW$8)),"-"), '[1]Country Codes'!$A$2:$B$253,2,0)</f>
        <v>#N/A</v>
      </c>
      <c r="AD84" s="30" t="str" cm="1">
        <f t="array" ref="AD84">IF(OR(_xll.BDP($AX84,"EX028")= "#N/A N/A", _xll.BDP($AX84,"EX028")="#N/A FIELD NOT APPLICABLE"), " ", _xll.BDP($AX84,"EX028"))</f>
        <v>Equity</v>
      </c>
      <c r="AE84" s="31" t="str">
        <f>IF(("AS97"="Equity"), " ", "Single Line Equity")</f>
        <v>Single Line Equity</v>
      </c>
      <c r="AF84" s="26" cm="1">
        <f t="array" ref="AF84">IF(OR(_xll.BDP($AX84,"RR908")= "#N/A N/A", _xll.BDP($AX84,"RR908")="#N/A FIELD NOT APPLICABLE"), " ", _xll.BDP($AX84,"RR908"))</f>
        <v>3.0682236991315448</v>
      </c>
      <c r="AG84" s="26" cm="1">
        <f t="array" ref="AG84">IF(OR(_xll.BDP($AX84,"RR041")= "#N/A N/A", _xll.BDP($AX84,"RR041")="#N/A FIELD NOT APPLICABLE"), " ", _xll.BDP($AX84,"RR041"))</f>
        <v>25.350780220247458</v>
      </c>
      <c r="AH84" s="22">
        <f>_xll.BDP(AX84,"TOT_BUY_REC")</f>
        <v>7</v>
      </c>
      <c r="AI84" s="22">
        <f>_xll.BDP(AX84,"TOT_HOLD_REC")</f>
        <v>17</v>
      </c>
      <c r="AJ84" s="22">
        <f>_xll.BDP(AX84,"TOT_SELL_REC")</f>
        <v>2</v>
      </c>
      <c r="AK84" s="26" cm="1">
        <f t="array" ref="AK84">IF(OR(_xll.BDP($AX84,"EE201")= "#N/A N/A", _xll.BDP($AX84,"EE201")="#N/A FIELD NOT APPLICABLE"), " ", _xll.BDP($AX84,"EE201"))</f>
        <v>3.346153736114502</v>
      </c>
      <c r="AL84" s="24">
        <f>_xll.BDP(AX84,"BEST_TARGET_PRICE")</f>
        <v>432.41665649414063</v>
      </c>
      <c r="AM84" s="32">
        <f>(AL84/Q84)-1</f>
        <v>120.56779772115283</v>
      </c>
      <c r="AN84" s="32">
        <f>_xll.BDP(AX84,"PR061")/100</f>
        <v>-4.0464019999999996E-2</v>
      </c>
      <c r="AO84" s="32">
        <f>_xll.BDP(AX84,"PR064")/100</f>
        <v>-0.1708625</v>
      </c>
      <c r="AP84" s="32">
        <f>_xll.BDP(AX84,"CHG_PCT_6M")/100</f>
        <v>-7.968952E-2</v>
      </c>
      <c r="AQ84" s="25">
        <f>_xll.BDP(AX84,"PR079")/100</f>
        <v>-9.4910939999999999E-2</v>
      </c>
      <c r="AR84" s="33">
        <f>_xll.BDP(AX84,"hs001")</f>
        <v>515.29999999999995</v>
      </c>
      <c r="AS84" s="33">
        <f>_xll.BDP(AX84,"hs002")</f>
        <v>329.25</v>
      </c>
      <c r="AT84" s="22" t="str" cm="1">
        <f t="array" ref="AT84">IF(OR(_xll.BDP($AX84,"DX202")= "#N/A N/A", _xll.BDP($AX84,"DX202")="#N/A FIELD NOT APPLICABLE"), " ", _xll.BDP($AX84,"DX202"))</f>
        <v>Energy</v>
      </c>
      <c r="AU84" s="22" t="str" cm="1">
        <f t="array" ref="AU84">IF(OR(_xll.BDP($AX84,"DY997")= "#N/A N/A", _xll.BDP($AX84,"DY997")="#N/A FIELD NOT APPLICABLE"), " ", _xll.BDP($AX84,"DY997"))</f>
        <v>Y</v>
      </c>
      <c r="AV84" s="22" t="str" cm="1">
        <f t="array" ref="AV84">IF(OR(_xll.BDP($AX84,"DY784")= "#N/A N/A", _xll.BDP($AX84,"DY784")="#N/A FIELD NOT APPLICABLE"), " ", _xll.BDP($AX84,"DY784"))</f>
        <v>N</v>
      </c>
      <c r="AW84" s="22" t="str">
        <f>IF(OR(AU84="Y",AV84="Y"),"Y","N")</f>
        <v>Y</v>
      </c>
      <c r="AX84" s="22" t="str">
        <f>CONCATENATE(G84," ",$AX$2)</f>
        <v>BP/ LN Equity</v>
      </c>
      <c r="BC84" s="17" t="str" cm="1">
        <f t="array" ref="BC84">_xll.BDP(AX84,"ID005")</f>
        <v>GB0007980591</v>
      </c>
      <c r="BD84" s="17">
        <v>0.75</v>
      </c>
      <c r="BE84" s="18">
        <v>4</v>
      </c>
      <c r="BF84" s="19">
        <v>45540</v>
      </c>
      <c r="BG84" s="20">
        <v>1</v>
      </c>
    </row>
    <row r="85" spans="1:59" s="3" customFormat="1" ht="14.45" customHeight="1" x14ac:dyDescent="0.25">
      <c r="A85" s="49" t="s">
        <v>241</v>
      </c>
      <c r="B85" s="49" t="s">
        <v>262</v>
      </c>
      <c r="C85" s="49" t="s">
        <v>263</v>
      </c>
      <c r="D85" s="49" t="s">
        <v>240</v>
      </c>
      <c r="E85" s="22" t="str">
        <f>_xll.BDP(AX85,"SECURITY NAME")</f>
        <v>BP PLC</v>
      </c>
      <c r="F85" s="22" t="str">
        <f>_xll.BDP(AX85,"CRNCY")</f>
        <v>GBp</v>
      </c>
      <c r="G85" s="23" t="s">
        <v>80</v>
      </c>
      <c r="H85" s="22" t="str" cm="1">
        <f t="array" ref="H85">IF(OR(_xll.BDP($AX85,"DX202")= "#N/A N/A", _xll.BDP($AX85,"DX202")="#N/A FIELD NOT APPLICABLE"), " ", _xll.BDP($AX85,"DX202"))</f>
        <v>Energy</v>
      </c>
      <c r="I85" s="24">
        <f>_xll.BDP(AX85,"CRNCY_ADJ_MKT_CAP", "EQY_FUND_CRNCY=USD")/1000</f>
        <v>75.805470996967998</v>
      </c>
      <c r="J85" s="25">
        <f>IFERROR(_xll.BDP(AX85, "DV013")/100,0)</f>
        <v>6.7644032114051192E-2</v>
      </c>
      <c r="K85" s="26" t="str" cm="1">
        <f t="array" ref="K85">IF(OR(_xll.BDP($AX85,"RR900")= "#N/A N/A", _xll.BDP($AX85,"RR900")="#N/A FIELD NOT APPLICABLE"), " ", _xll.BDP($AX85,"RR900"))</f>
        <v xml:space="preserve"> </v>
      </c>
      <c r="L85" s="26" cm="1">
        <f t="array" ref="L85">IF(OR(_xll.BDP($AX85,"EE010")= "#N/A N/A", _xll.BDP($AX85,"EE010")="#N/A FIELD NOT APPLICABLE"), " ", _xll.BDP($AX85,"EE010"))</f>
        <v>9.0737434832615236</v>
      </c>
      <c r="M85" s="26" cm="1">
        <f t="array" ref="M85">IF(OR(_xll.BDP($AX85,"RR903")= "#N/A N/A", _xll.BDP($AX85,"RR903")="#N/A FIELD NOT APPLICABLE"), " ", _xll.BDP($AX85,"RR903"))</f>
        <v>1.2893008069955465</v>
      </c>
      <c r="N85" s="26" cm="1">
        <f t="array" ref="N85">IF(OR(_xll.BDP($AX85,"RR957")= "#N/A N/A", _xll.BDP($AX85,"RR957")="#N/A FIELD NOT APPLICABLE"), " ", _xll.BDP($AX85,"RR957"))</f>
        <v>5.9034009281036388</v>
      </c>
      <c r="O85" s="27">
        <v>9200</v>
      </c>
      <c r="P85" s="28">
        <v>4.1154999999999999</v>
      </c>
      <c r="Q85" s="22" cm="1">
        <f t="array" ref="Q85">IF(OR(_xll.BDP($AX85,"PX_last")="#N/A N/A",_xll.BDP($AX85,"PX_Last")="#N/A FIELD NOT APPLICABLE")," ",IF(F85="GBP",(_xll.BDP($AX85,"PX_LAST")/100),(_xll.BDP($AX85,"PX_LAST"))))</f>
        <v>3.5569999999999999</v>
      </c>
      <c r="R85" s="29">
        <f>IF(F85="USD",AA85,(((_xll.BDP(F85&amp;"USD CURNCY","PX_LAST")))*AA85))</f>
        <v>50610.937419999995</v>
      </c>
      <c r="S85" s="29">
        <f>IF(F85="USD",AB85,(((_xll.BDP(F85&amp;"USD CURNCY","PX_LAST")))*AB85))</f>
        <v>43742.705479999997</v>
      </c>
      <c r="T85" s="12">
        <f>S85-R85</f>
        <v>-6868.2319399999978</v>
      </c>
      <c r="U85" s="13">
        <f>T85/R85</f>
        <v>-0.13570647551937792</v>
      </c>
      <c r="V85" s="13" cm="1">
        <f t="array" ref="V85">IFERROR(_xll.BDP($G85&amp;" Equity","CHG_PCT_1D")/100,"")</f>
        <v>1.5415359999999999E-2</v>
      </c>
      <c r="W85" s="13" cm="1">
        <f t="array" ref="W85">IFERROR(_xll.BDP($G85&amp;" Equity","CHG_PCT_5D")/100,"")</f>
        <v>-1.7403310000000002E-2</v>
      </c>
      <c r="X85" s="13" t="e">
        <f>S85/#REF!</f>
        <v>#REF!</v>
      </c>
      <c r="Y85" s="24">
        <f>IFERROR(S85*J85,0)</f>
        <v>2958.932974244603</v>
      </c>
      <c r="Z85" s="24">
        <f>S85</f>
        <v>43742.705479999997</v>
      </c>
      <c r="AA85" s="29">
        <f>P85*O85</f>
        <v>37862.6</v>
      </c>
      <c r="AB85" s="29">
        <f>IFERROR(O85*Q85,0)</f>
        <v>32724.399999999998</v>
      </c>
      <c r="AC85" s="4" t="e" cm="1">
        <f t="array" ref="AC85">VLOOKUP(IF(NOT(_xll.BDP(AX85,$BW$8)="#N/A N/A"),(_xll.BDP(AX85,$BW$8)),"-"), '[1]Country Codes'!$A$2:$B$253,2,0)</f>
        <v>#N/A</v>
      </c>
      <c r="AD85" s="30" t="str" cm="1">
        <f t="array" ref="AD85">IF(OR(_xll.BDP($AX85,"EX028")= "#N/A N/A", _xll.BDP($AX85,"EX028")="#N/A FIELD NOT APPLICABLE"), " ", _xll.BDP($AX85,"EX028"))</f>
        <v>Equity</v>
      </c>
      <c r="AE85" s="31" t="str">
        <f>IF(("AS97"="Equity"), " ", "Single Line Equity")</f>
        <v>Single Line Equity</v>
      </c>
      <c r="AF85" s="26" cm="1">
        <f t="array" ref="AF85">IF(OR(_xll.BDP($AX85,"RR908")= "#N/A N/A", _xll.BDP($AX85,"RR908")="#N/A FIELD NOT APPLICABLE"), " ", _xll.BDP($AX85,"RR908"))</f>
        <v>3.0682236991315448</v>
      </c>
      <c r="AG85" s="26" cm="1">
        <f t="array" ref="AG85">IF(OR(_xll.BDP($AX85,"RR041")= "#N/A N/A", _xll.BDP($AX85,"RR041")="#N/A FIELD NOT APPLICABLE"), " ", _xll.BDP($AX85,"RR041"))</f>
        <v>25.350780220247458</v>
      </c>
      <c r="AH85" s="22">
        <f>_xll.BDP(AX85,"TOT_BUY_REC")</f>
        <v>7</v>
      </c>
      <c r="AI85" s="22">
        <f>_xll.BDP(AX85,"TOT_HOLD_REC")</f>
        <v>17</v>
      </c>
      <c r="AJ85" s="22">
        <f>_xll.BDP(AX85,"TOT_SELL_REC")</f>
        <v>2</v>
      </c>
      <c r="AK85" s="26" cm="1">
        <f t="array" ref="AK85">IF(OR(_xll.BDP($AX85,"EE201")= "#N/A N/A", _xll.BDP($AX85,"EE201")="#N/A FIELD NOT APPLICABLE"), " ", _xll.BDP($AX85,"EE201"))</f>
        <v>3.346153736114502</v>
      </c>
      <c r="AL85" s="24">
        <f>_xll.BDP(AX85,"BEST_TARGET_PRICE")</f>
        <v>432.41665649414063</v>
      </c>
      <c r="AM85" s="32">
        <f>(AL85/Q85)-1</f>
        <v>120.56779772115283</v>
      </c>
      <c r="AN85" s="32">
        <f>_xll.BDP(AX85,"PR061")/100</f>
        <v>-4.0464019999999996E-2</v>
      </c>
      <c r="AO85" s="32">
        <f>_xll.BDP(AX85,"PR064")/100</f>
        <v>-0.1708625</v>
      </c>
      <c r="AP85" s="32">
        <f>_xll.BDP(AX85,"CHG_PCT_6M")/100</f>
        <v>-7.968952E-2</v>
      </c>
      <c r="AQ85" s="25">
        <f>_xll.BDP(AX85,"PR079")/100</f>
        <v>-9.4910939999999999E-2</v>
      </c>
      <c r="AR85" s="33">
        <f>_xll.BDP(AX85,"hs001")</f>
        <v>515.29999999999995</v>
      </c>
      <c r="AS85" s="33">
        <f>_xll.BDP(AX85,"hs002")</f>
        <v>329.25</v>
      </c>
      <c r="AT85" s="22" t="str" cm="1">
        <f t="array" ref="AT85">IF(OR(_xll.BDP($AX85,"DX202")= "#N/A N/A", _xll.BDP($AX85,"DX202")="#N/A FIELD NOT APPLICABLE"), " ", _xll.BDP($AX85,"DX202"))</f>
        <v>Energy</v>
      </c>
      <c r="AU85" s="22" t="str" cm="1">
        <f t="array" ref="AU85">IF(OR(_xll.BDP($AX85,"DY997")= "#N/A N/A", _xll.BDP($AX85,"DY997")="#N/A FIELD NOT APPLICABLE"), " ", _xll.BDP($AX85,"DY997"))</f>
        <v>Y</v>
      </c>
      <c r="AV85" s="22" t="str" cm="1">
        <f t="array" ref="AV85">IF(OR(_xll.BDP($AX85,"DY784")= "#N/A N/A", _xll.BDP($AX85,"DY784")="#N/A FIELD NOT APPLICABLE"), " ", _xll.BDP($AX85,"DY784"))</f>
        <v>N</v>
      </c>
      <c r="AW85" s="22" t="str">
        <f>IF(OR(AU85="Y",AV85="Y"),"Y","N")</f>
        <v>Y</v>
      </c>
      <c r="AX85" s="22" t="str">
        <f>CONCATENATE(G85," ",$AX$2)</f>
        <v>BP/ LN Equity</v>
      </c>
      <c r="BC85" s="17" t="str" cm="1">
        <f t="array" ref="BC85">_xll.BDP(AX85,"ID005")</f>
        <v>GB0007980591</v>
      </c>
      <c r="BD85" s="17">
        <v>0.72</v>
      </c>
      <c r="BE85" s="18">
        <v>4</v>
      </c>
      <c r="BF85" s="19">
        <v>44463</v>
      </c>
      <c r="BG85" s="20">
        <v>1</v>
      </c>
    </row>
    <row r="86" spans="1:59" s="3" customFormat="1" ht="14.45" customHeight="1" x14ac:dyDescent="0.25">
      <c r="A86" s="81" t="s">
        <v>242</v>
      </c>
      <c r="B86" s="81" t="s">
        <v>264</v>
      </c>
      <c r="C86" s="81" t="s">
        <v>265</v>
      </c>
      <c r="D86" s="81" t="s">
        <v>248</v>
      </c>
      <c r="E86" s="40" t="str">
        <f>_xll.BDP(AX86,"SECURITY NAME")</f>
        <v>BP PLC</v>
      </c>
      <c r="F86" s="40" t="str">
        <f>_xll.BDP(AX86,"CRNCY")</f>
        <v>GBp</v>
      </c>
      <c r="G86" s="23" t="s">
        <v>80</v>
      </c>
      <c r="H86" s="40" t="str" cm="1">
        <f t="array" ref="H86">IF(OR(_xll.BDP($AX86,"DX202")= "#N/A N/A", _xll.BDP($AX86,"DX202")="#N/A FIELD NOT APPLICABLE"), " ", _xll.BDP($AX86,"DX202"))</f>
        <v>Energy</v>
      </c>
      <c r="I86" s="82">
        <f>_xll.BDP(AX86,"CRNCY_ADJ_MKT_CAP", "EQY_FUND_CRNCY=USD")/1000</f>
        <v>75.805470996967998</v>
      </c>
      <c r="J86" s="83">
        <f>IFERROR(_xll.BDP(AX86, "DV013")/100,0)</f>
        <v>6.7644032114051192E-2</v>
      </c>
      <c r="K86" s="84" t="str" cm="1">
        <f t="array" ref="K86">IF(OR(_xll.BDP($AX86,"RR900")= "#N/A N/A", _xll.BDP($AX86,"RR900")="#N/A FIELD NOT APPLICABLE"), " ", _xll.BDP($AX86,"RR900"))</f>
        <v xml:space="preserve"> </v>
      </c>
      <c r="L86" s="84" cm="1">
        <f t="array" ref="L86">IF(OR(_xll.BDP($AX86,"EE010")= "#N/A N/A", _xll.BDP($AX86,"EE010")="#N/A FIELD NOT APPLICABLE"), " ", _xll.BDP($AX86,"EE010"))</f>
        <v>9.0737434832615236</v>
      </c>
      <c r="M86" s="84" cm="1">
        <f t="array" ref="M86">IF(OR(_xll.BDP($AX86,"RR903")= "#N/A N/A", _xll.BDP($AX86,"RR903")="#N/A FIELD NOT APPLICABLE"), " ", _xll.BDP($AX86,"RR903"))</f>
        <v>1.2893008069955465</v>
      </c>
      <c r="N86" s="84" cm="1">
        <f t="array" ref="N86">IF(OR(_xll.BDP($AX86,"RR957")= "#N/A N/A", _xll.BDP($AX86,"RR957")="#N/A FIELD NOT APPLICABLE"), " ", _xll.BDP($AX86,"RR957"))</f>
        <v>5.9034009281036388</v>
      </c>
      <c r="O86" s="27">
        <v>9200</v>
      </c>
      <c r="P86" s="28">
        <v>4.1500000000000004</v>
      </c>
      <c r="Q86" s="40" cm="1">
        <f t="array" ref="Q86">IF(OR(_xll.BDP($AX86,"PX_last")="#N/A N/A",_xll.BDP($AX86,"PX_Last")="#N/A FIELD NOT APPLICABLE")," ",IF(F86="GBP",(_xll.BDP($AX86,"PX_LAST")/100),(_xll.BDP($AX86,"PX_LAST"))))</f>
        <v>3.5569999999999999</v>
      </c>
      <c r="R86" s="85">
        <f>IF(F86="USD",AA86,(((_xll.BDP(F86&amp;"USD CURNCY","PX_LAST")))*AA86))</f>
        <v>51035.205999999998</v>
      </c>
      <c r="S86" s="85">
        <f>IF(F86="USD",AB86,(((_xll.BDP(F86&amp;"USD CURNCY","PX_LAST")))*AB86))</f>
        <v>43742.705479999997</v>
      </c>
      <c r="T86" s="86">
        <f>S86-R86</f>
        <v>-7292.5005200000014</v>
      </c>
      <c r="U86" s="87">
        <f>T86/R86</f>
        <v>-0.14289156626506028</v>
      </c>
      <c r="V86" s="87" cm="1">
        <f t="array" ref="V86">IFERROR(_xll.BDP($G86&amp;" Equity","CHG_PCT_1D")/100,"")</f>
        <v>1.5415359999999999E-2</v>
      </c>
      <c r="W86" s="87" cm="1">
        <f t="array" ref="W86">IFERROR(_xll.BDP($G86&amp;" Equity","CHG_PCT_5D")/100,"")</f>
        <v>-1.7403310000000002E-2</v>
      </c>
      <c r="X86" s="87" t="e">
        <f>S86/#REF!</f>
        <v>#REF!</v>
      </c>
      <c r="Y86" s="82">
        <f>IFERROR(S86*J86,0)</f>
        <v>2958.932974244603</v>
      </c>
      <c r="Z86" s="82">
        <f>S86</f>
        <v>43742.705479999997</v>
      </c>
      <c r="AA86" s="85">
        <f>P86*O86</f>
        <v>38180</v>
      </c>
      <c r="AB86" s="85">
        <f>IFERROR(O86*Q86,0)</f>
        <v>32724.399999999998</v>
      </c>
      <c r="AC86" s="88" t="e" cm="1">
        <f t="array" ref="AC86">VLOOKUP(IF(NOT(_xll.BDP(AX86,$BW$8)="#N/A N/A"),(_xll.BDP(AX86,$BW$8)),"-"), '[1]Country Codes'!$A$2:$B$253,2,0)</f>
        <v>#N/A</v>
      </c>
      <c r="AD86" s="89" t="str" cm="1">
        <f t="array" ref="AD86">IF(OR(_xll.BDP($AX86,"EX028")= "#N/A N/A", _xll.BDP($AX86,"EX028")="#N/A FIELD NOT APPLICABLE"), " ", _xll.BDP($AX86,"EX028"))</f>
        <v>Equity</v>
      </c>
      <c r="AE86" s="90" t="str">
        <f>IF(("AS97"="Equity"), " ", "Single Line Equity")</f>
        <v>Single Line Equity</v>
      </c>
      <c r="AF86" s="84" cm="1">
        <f t="array" ref="AF86">IF(OR(_xll.BDP($AX86,"RR908")= "#N/A N/A", _xll.BDP($AX86,"RR908")="#N/A FIELD NOT APPLICABLE"), " ", _xll.BDP($AX86,"RR908"))</f>
        <v>3.0682236991315448</v>
      </c>
      <c r="AG86" s="84" cm="1">
        <f t="array" ref="AG86">IF(OR(_xll.BDP($AX86,"RR041")= "#N/A N/A", _xll.BDP($AX86,"RR041")="#N/A FIELD NOT APPLICABLE"), " ", _xll.BDP($AX86,"RR041"))</f>
        <v>25.350780220247458</v>
      </c>
      <c r="AH86" s="40">
        <f>_xll.BDP(AX86,"TOT_BUY_REC")</f>
        <v>7</v>
      </c>
      <c r="AI86" s="40">
        <f>_xll.BDP(AX86,"TOT_HOLD_REC")</f>
        <v>17</v>
      </c>
      <c r="AJ86" s="40">
        <f>_xll.BDP(AX86,"TOT_SELL_REC")</f>
        <v>2</v>
      </c>
      <c r="AK86" s="84" cm="1">
        <f t="array" ref="AK86">IF(OR(_xll.BDP($AX86,"EE201")= "#N/A N/A", _xll.BDP($AX86,"EE201")="#N/A FIELD NOT APPLICABLE"), " ", _xll.BDP($AX86,"EE201"))</f>
        <v>3.346153736114502</v>
      </c>
      <c r="AL86" s="82">
        <f>_xll.BDP(AX86,"BEST_TARGET_PRICE")</f>
        <v>432.41665649414063</v>
      </c>
      <c r="AM86" s="91">
        <f>(AL86/Q86)-1</f>
        <v>120.56779772115283</v>
      </c>
      <c r="AN86" s="91">
        <f>_xll.BDP(AX86,"PR061")/100</f>
        <v>-4.0464019999999996E-2</v>
      </c>
      <c r="AO86" s="91">
        <f>_xll.BDP(AX86,"PR064")/100</f>
        <v>-0.1708625</v>
      </c>
      <c r="AP86" s="91">
        <f>_xll.BDP(AX86,"CHG_PCT_6M")/100</f>
        <v>-7.968952E-2</v>
      </c>
      <c r="AQ86" s="83">
        <f>_xll.BDP(AX86,"PR079")/100</f>
        <v>-9.4910939999999999E-2</v>
      </c>
      <c r="AR86" s="92">
        <f>_xll.BDP(AX86,"hs001")</f>
        <v>515.29999999999995</v>
      </c>
      <c r="AS86" s="92">
        <f>_xll.BDP(AX86,"hs002")</f>
        <v>329.25</v>
      </c>
      <c r="AT86" s="40" t="str" cm="1">
        <f t="array" ref="AT86">IF(OR(_xll.BDP($AX86,"DX202")= "#N/A N/A", _xll.BDP($AX86,"DX202")="#N/A FIELD NOT APPLICABLE"), " ", _xll.BDP($AX86,"DX202"))</f>
        <v>Energy</v>
      </c>
      <c r="AU86" s="40" t="str" cm="1">
        <f t="array" ref="AU86">IF(OR(_xll.BDP($AX86,"DY997")= "#N/A N/A", _xll.BDP($AX86,"DY997")="#N/A FIELD NOT APPLICABLE"), " ", _xll.BDP($AX86,"DY997"))</f>
        <v>Y</v>
      </c>
      <c r="AV86" s="40" t="str" cm="1">
        <f t="array" ref="AV86">IF(OR(_xll.BDP($AX86,"DY784")= "#N/A N/A", _xll.BDP($AX86,"DY784")="#N/A FIELD NOT APPLICABLE"), " ", _xll.BDP($AX86,"DY784"))</f>
        <v>N</v>
      </c>
      <c r="AW86" s="40" t="str">
        <f>IF(OR(AU86="Y",AV86="Y"),"Y","N")</f>
        <v>Y</v>
      </c>
      <c r="AX86" s="40" t="str">
        <f>CONCATENATE(G86," ",$AX$2)</f>
        <v>BP/ LN Equity</v>
      </c>
      <c r="BC86" s="17" t="str" cm="1">
        <f t="array" ref="BC86">_xll.BDP(AX86,"ID005")</f>
        <v>GB0007980591</v>
      </c>
      <c r="BD86" s="17">
        <v>0.56999999999999995</v>
      </c>
      <c r="BE86" s="18">
        <v>4</v>
      </c>
      <c r="BF86" s="19">
        <v>45540</v>
      </c>
      <c r="BG86" s="20">
        <v>1</v>
      </c>
    </row>
    <row r="87" spans="1:59" s="3" customFormat="1" ht="14.45" customHeight="1" x14ac:dyDescent="0.25">
      <c r="A87" s="49" t="s">
        <v>241</v>
      </c>
      <c r="B87" s="49" t="s">
        <v>266</v>
      </c>
      <c r="C87" s="49" t="s">
        <v>267</v>
      </c>
      <c r="D87" s="49" t="s">
        <v>240</v>
      </c>
      <c r="E87" s="22" t="str">
        <f>_xll.BDP(AX87,"SECURITY NAME")</f>
        <v>BP PLC</v>
      </c>
      <c r="F87" s="22" t="str">
        <f>_xll.BDP(AX87,"CRNCY")</f>
        <v>GBp</v>
      </c>
      <c r="G87" s="23" t="s">
        <v>80</v>
      </c>
      <c r="H87" s="22" t="str" cm="1">
        <f t="array" ref="H87">IF(OR(_xll.BDP($AX87,"DX202")= "#N/A N/A", _xll.BDP($AX87,"DX202")="#N/A FIELD NOT APPLICABLE"), " ", _xll.BDP($AX87,"DX202"))</f>
        <v>Energy</v>
      </c>
      <c r="I87" s="24">
        <f>_xll.BDP(AX87,"CRNCY_ADJ_MKT_CAP", "EQY_FUND_CRNCY=USD")/1000</f>
        <v>75.805470996967998</v>
      </c>
      <c r="J87" s="25">
        <f>IFERROR(_xll.BDP(AX87, "DV013")/100,0)</f>
        <v>6.7644032114051192E-2</v>
      </c>
      <c r="K87" s="26" t="str" cm="1">
        <f t="array" ref="K87">IF(OR(_xll.BDP($AX87,"RR900")= "#N/A N/A", _xll.BDP($AX87,"RR900")="#N/A FIELD NOT APPLICABLE"), " ", _xll.BDP($AX87,"RR900"))</f>
        <v xml:space="preserve"> </v>
      </c>
      <c r="L87" s="26" cm="1">
        <f t="array" ref="L87">IF(OR(_xll.BDP($AX87,"EE010")= "#N/A N/A", _xll.BDP($AX87,"EE010")="#N/A FIELD NOT APPLICABLE"), " ", _xll.BDP($AX87,"EE010"))</f>
        <v>9.0737434832615236</v>
      </c>
      <c r="M87" s="26" cm="1">
        <f t="array" ref="M87">IF(OR(_xll.BDP($AX87,"RR903")= "#N/A N/A", _xll.BDP($AX87,"RR903")="#N/A FIELD NOT APPLICABLE"), " ", _xll.BDP($AX87,"RR903"))</f>
        <v>1.2893008069955465</v>
      </c>
      <c r="N87" s="26" cm="1">
        <f t="array" ref="N87">IF(OR(_xll.BDP($AX87,"RR957")= "#N/A N/A", _xll.BDP($AX87,"RR957")="#N/A FIELD NOT APPLICABLE"), " ", _xll.BDP($AX87,"RR957"))</f>
        <v>5.9034009281036388</v>
      </c>
      <c r="O87" s="27">
        <v>9200</v>
      </c>
      <c r="P87" s="76">
        <v>4.1154999999999999</v>
      </c>
      <c r="Q87" s="22" cm="1">
        <f t="array" ref="Q87">IF(OR(_xll.BDP($AX87,"PX_last")="#N/A N/A",_xll.BDP($AX87,"PX_Last")="#N/A FIELD NOT APPLICABLE")," ",IF(F87="GBP",(_xll.BDP($AX87,"PX_LAST")/100),(_xll.BDP($AX87,"PX_LAST"))))</f>
        <v>3.5569999999999999</v>
      </c>
      <c r="R87" s="29">
        <f>IF(F87="USD",AA87,(((_xll.BDP(F87&amp;"USD CURNCY","PX_LAST")))*AA87))</f>
        <v>50610.937419999995</v>
      </c>
      <c r="S87" s="29">
        <f>IF(F87="USD",AB87,(((_xll.BDP(F87&amp;"USD CURNCY","PX_LAST")))*AB87))</f>
        <v>43742.705479999997</v>
      </c>
      <c r="T87" s="12">
        <f>S87-R87</f>
        <v>-6868.2319399999978</v>
      </c>
      <c r="U87" s="13">
        <f>T87/R87</f>
        <v>-0.13570647551937792</v>
      </c>
      <c r="V87" s="13" cm="1">
        <f t="array" ref="V87">IFERROR(_xll.BDP($G87&amp;" Equity","CHG_PCT_1D")/100,"")</f>
        <v>1.5415359999999999E-2</v>
      </c>
      <c r="W87" s="13" cm="1">
        <f t="array" ref="W87">IFERROR(_xll.BDP($G87&amp;" Equity","CHG_PCT_5D")/100,"")</f>
        <v>-1.7403310000000002E-2</v>
      </c>
      <c r="X87" s="13" t="e">
        <f>S87/#REF!</f>
        <v>#REF!</v>
      </c>
      <c r="Y87" s="24">
        <f>IFERROR(S87*J87,0)</f>
        <v>2958.932974244603</v>
      </c>
      <c r="Z87" s="24">
        <f>S87</f>
        <v>43742.705479999997</v>
      </c>
      <c r="AA87" s="29">
        <f>P87*O87</f>
        <v>37862.6</v>
      </c>
      <c r="AB87" s="29">
        <f>IFERROR(O87*Q87,0)</f>
        <v>32724.399999999998</v>
      </c>
      <c r="AC87" s="4" t="e" cm="1">
        <f t="array" ref="AC87">VLOOKUP(IF(NOT(_xll.BDP(AX87,$BW$8)="#N/A N/A"),(_xll.BDP(AX87,$BW$8)),"-"), '[1]Country Codes'!$A$2:$B$253,2,0)</f>
        <v>#N/A</v>
      </c>
      <c r="AD87" s="30" t="str" cm="1">
        <f t="array" ref="AD87">IF(OR(_xll.BDP($AX87,"EX028")= "#N/A N/A", _xll.BDP($AX87,"EX028")="#N/A FIELD NOT APPLICABLE"), " ", _xll.BDP($AX87,"EX028"))</f>
        <v>Equity</v>
      </c>
      <c r="AE87" s="31" t="str">
        <f>IF(("AS97"="Equity"), " ", "Single Line Equity")</f>
        <v>Single Line Equity</v>
      </c>
      <c r="AF87" s="26" cm="1">
        <f t="array" ref="AF87">IF(OR(_xll.BDP($AX87,"RR908")= "#N/A N/A", _xll.BDP($AX87,"RR908")="#N/A FIELD NOT APPLICABLE"), " ", _xll.BDP($AX87,"RR908"))</f>
        <v>3.0682236991315448</v>
      </c>
      <c r="AG87" s="26" cm="1">
        <f t="array" ref="AG87">IF(OR(_xll.BDP($AX87,"RR041")= "#N/A N/A", _xll.BDP($AX87,"RR041")="#N/A FIELD NOT APPLICABLE"), " ", _xll.BDP($AX87,"RR041"))</f>
        <v>25.350780220247458</v>
      </c>
      <c r="AH87" s="22">
        <f>_xll.BDP(AX87,"TOT_BUY_REC")</f>
        <v>7</v>
      </c>
      <c r="AI87" s="22">
        <f>_xll.BDP(AX87,"TOT_HOLD_REC")</f>
        <v>17</v>
      </c>
      <c r="AJ87" s="22">
        <f>_xll.BDP(AX87,"TOT_SELL_REC")</f>
        <v>2</v>
      </c>
      <c r="AK87" s="26" cm="1">
        <f t="array" ref="AK87">IF(OR(_xll.BDP($AX87,"EE201")= "#N/A N/A", _xll.BDP($AX87,"EE201")="#N/A FIELD NOT APPLICABLE"), " ", _xll.BDP($AX87,"EE201"))</f>
        <v>3.346153736114502</v>
      </c>
      <c r="AL87" s="24">
        <f>_xll.BDP(AX87,"BEST_TARGET_PRICE")</f>
        <v>432.41665649414063</v>
      </c>
      <c r="AM87" s="32">
        <f>(AL87/Q87)-1</f>
        <v>120.56779772115283</v>
      </c>
      <c r="AN87" s="32">
        <f>_xll.BDP(AX87,"PR061")/100</f>
        <v>-4.0464019999999996E-2</v>
      </c>
      <c r="AO87" s="32">
        <f>_xll.BDP(AX87,"PR064")/100</f>
        <v>-0.1708625</v>
      </c>
      <c r="AP87" s="32">
        <f>_xll.BDP(AX87,"CHG_PCT_6M")/100</f>
        <v>-7.968952E-2</v>
      </c>
      <c r="AQ87" s="25">
        <f>_xll.BDP(AX87,"PR079")/100</f>
        <v>-9.4910939999999999E-2</v>
      </c>
      <c r="AR87" s="33">
        <f>_xll.BDP(AX87,"hs001")</f>
        <v>515.29999999999995</v>
      </c>
      <c r="AS87" s="33">
        <f>_xll.BDP(AX87,"hs002")</f>
        <v>329.25</v>
      </c>
      <c r="AT87" s="22" t="str" cm="1">
        <f t="array" ref="AT87">IF(OR(_xll.BDP($AX87,"DX202")= "#N/A N/A", _xll.BDP($AX87,"DX202")="#N/A FIELD NOT APPLICABLE"), " ", _xll.BDP($AX87,"DX202"))</f>
        <v>Energy</v>
      </c>
      <c r="AU87" s="22" t="str" cm="1">
        <f t="array" ref="AU87">IF(OR(_xll.BDP($AX87,"DY997")= "#N/A N/A", _xll.BDP($AX87,"DY997")="#N/A FIELD NOT APPLICABLE"), " ", _xll.BDP($AX87,"DY997"))</f>
        <v>Y</v>
      </c>
      <c r="AV87" s="22" t="str" cm="1">
        <f t="array" ref="AV87">IF(OR(_xll.BDP($AX87,"DY784")= "#N/A N/A", _xll.BDP($AX87,"DY784")="#N/A FIELD NOT APPLICABLE"), " ", _xll.BDP($AX87,"DY784"))</f>
        <v>N</v>
      </c>
      <c r="AW87" s="22" t="str">
        <f>IF(OR(AU87="Y",AV87="Y"),"Y","N")</f>
        <v>Y</v>
      </c>
      <c r="AX87" s="22" t="str">
        <f>CONCATENATE(G87," ",$AX$2)</f>
        <v>BP/ LN Equity</v>
      </c>
      <c r="BC87" s="17" t="str" cm="1">
        <f t="array" ref="BC87">_xll.BDP(AX87,"ID005")</f>
        <v>GB0007980591</v>
      </c>
      <c r="BD87" s="17">
        <v>0.56999999999999995</v>
      </c>
      <c r="BE87" s="18">
        <v>4</v>
      </c>
      <c r="BF87" s="19">
        <v>45540</v>
      </c>
      <c r="BG87" s="20">
        <v>1</v>
      </c>
    </row>
    <row r="88" spans="1:59" s="3" customFormat="1" ht="14.45" customHeight="1" x14ac:dyDescent="0.25">
      <c r="A88" s="49" t="s">
        <v>241</v>
      </c>
      <c r="B88" s="49" t="s">
        <v>270</v>
      </c>
      <c r="C88" s="49" t="s">
        <v>271</v>
      </c>
      <c r="D88" s="49" t="s">
        <v>240</v>
      </c>
      <c r="E88" s="22" t="str">
        <f>_xll.BDP(AX88,"SECURITY NAME")</f>
        <v>BP PLC</v>
      </c>
      <c r="F88" s="22" t="str">
        <f>_xll.BDP(AX88,"CRNCY")</f>
        <v>GBp</v>
      </c>
      <c r="G88" s="23" t="s">
        <v>80</v>
      </c>
      <c r="H88" s="22" t="str" cm="1">
        <f t="array" ref="H88">IF(OR(_xll.BDP($AX88,"DX202")= "#N/A N/A", _xll.BDP($AX88,"DX202")="#N/A FIELD NOT APPLICABLE"), " ", _xll.BDP($AX88,"DX202"))</f>
        <v>Energy</v>
      </c>
      <c r="I88" s="24">
        <f>_xll.BDP(AX88,"CRNCY_ADJ_MKT_CAP", "EQY_FUND_CRNCY=USD")/1000</f>
        <v>75.805470996967998</v>
      </c>
      <c r="J88" s="25">
        <f>IFERROR(_xll.BDP(AX88, "DV013")/100,0)</f>
        <v>6.7644032114051192E-2</v>
      </c>
      <c r="K88" s="26" t="str" cm="1">
        <f t="array" ref="K88">IF(OR(_xll.BDP($AX88,"RR900")= "#N/A N/A", _xll.BDP($AX88,"RR900")="#N/A FIELD NOT APPLICABLE"), " ", _xll.BDP($AX88,"RR900"))</f>
        <v xml:space="preserve"> </v>
      </c>
      <c r="L88" s="26" cm="1">
        <f t="array" ref="L88">IF(OR(_xll.BDP($AX88,"EE010")= "#N/A N/A", _xll.BDP($AX88,"EE010")="#N/A FIELD NOT APPLICABLE"), " ", _xll.BDP($AX88,"EE010"))</f>
        <v>9.0737434832615236</v>
      </c>
      <c r="M88" s="26" cm="1">
        <f t="array" ref="M88">IF(OR(_xll.BDP($AX88,"RR903")= "#N/A N/A", _xll.BDP($AX88,"RR903")="#N/A FIELD NOT APPLICABLE"), " ", _xll.BDP($AX88,"RR903"))</f>
        <v>1.2893008069955465</v>
      </c>
      <c r="N88" s="26" cm="1">
        <f t="array" ref="N88">IF(OR(_xll.BDP($AX88,"RR957")= "#N/A N/A", _xll.BDP($AX88,"RR957")="#N/A FIELD NOT APPLICABLE"), " ", _xll.BDP($AX88,"RR957"))</f>
        <v>5.9034009281036388</v>
      </c>
      <c r="O88" s="27">
        <v>9200</v>
      </c>
      <c r="P88" s="28">
        <v>4.1154999999999999</v>
      </c>
      <c r="Q88" s="22" cm="1">
        <f t="array" ref="Q88">IF(OR(_xll.BDP($AX88,"PX_last")="#N/A N/A",_xll.BDP($AX88,"PX_Last")="#N/A FIELD NOT APPLICABLE")," ",IF(F88="GBP",(_xll.BDP($AX88,"PX_LAST")/100),(_xll.BDP($AX88,"PX_LAST"))))</f>
        <v>3.5569999999999999</v>
      </c>
      <c r="R88" s="29">
        <f>IF(F88="USD",AA88,(((_xll.BDP(F88&amp;"USD CURNCY","PX_LAST")))*AA88))</f>
        <v>50610.937419999995</v>
      </c>
      <c r="S88" s="29">
        <f>IF(F88="USD",AB88,(((_xll.BDP(F88&amp;"USD CURNCY","PX_LAST")))*AB88))</f>
        <v>43742.705479999997</v>
      </c>
      <c r="T88" s="12">
        <f>S88-R88</f>
        <v>-6868.2319399999978</v>
      </c>
      <c r="U88" s="13">
        <f>T88/R88</f>
        <v>-0.13570647551937792</v>
      </c>
      <c r="V88" s="13" cm="1">
        <f t="array" ref="V88">IFERROR(_xll.BDP($G88&amp;" Equity","CHG_PCT_1D")/100,"")</f>
        <v>1.5415359999999999E-2</v>
      </c>
      <c r="W88" s="13" cm="1">
        <f t="array" ref="W88">IFERROR(_xll.BDP($G88&amp;" Equity","CHG_PCT_5D")/100,"")</f>
        <v>-1.7403310000000002E-2</v>
      </c>
      <c r="X88" s="13" t="e">
        <f>S88/#REF!</f>
        <v>#REF!</v>
      </c>
      <c r="Y88" s="24">
        <f>IFERROR(S88*J88,0)</f>
        <v>2958.932974244603</v>
      </c>
      <c r="Z88" s="24">
        <f>S88</f>
        <v>43742.705479999997</v>
      </c>
      <c r="AA88" s="29">
        <f>P88*O88</f>
        <v>37862.6</v>
      </c>
      <c r="AB88" s="29">
        <f>IFERROR(O88*Q88,0)</f>
        <v>32724.399999999998</v>
      </c>
      <c r="AC88" s="4" t="e" cm="1">
        <f t="array" ref="AC88">VLOOKUP(IF(NOT(_xll.BDP(AX88,$BW$8)="#N/A N/A"),(_xll.BDP(AX88,$BW$8)),"-"), '[1]Country Codes'!$A$2:$B$253,2,0)</f>
        <v>#N/A</v>
      </c>
      <c r="AD88" s="30" t="str" cm="1">
        <f t="array" ref="AD88">IF(OR(_xll.BDP($AX88,"EX028")= "#N/A N/A", _xll.BDP($AX88,"EX028")="#N/A FIELD NOT APPLICABLE"), " ", _xll.BDP($AX88,"EX028"))</f>
        <v>Equity</v>
      </c>
      <c r="AE88" s="31" t="str">
        <f>IF(("AS97"="Equity"), " ", "Single Line Equity")</f>
        <v>Single Line Equity</v>
      </c>
      <c r="AF88" s="26" cm="1">
        <f t="array" ref="AF88">IF(OR(_xll.BDP($AX88,"RR908")= "#N/A N/A", _xll.BDP($AX88,"RR908")="#N/A FIELD NOT APPLICABLE"), " ", _xll.BDP($AX88,"RR908"))</f>
        <v>3.0682236991315448</v>
      </c>
      <c r="AG88" s="26" cm="1">
        <f t="array" ref="AG88">IF(OR(_xll.BDP($AX88,"RR041")= "#N/A N/A", _xll.BDP($AX88,"RR041")="#N/A FIELD NOT APPLICABLE"), " ", _xll.BDP($AX88,"RR041"))</f>
        <v>25.350780220247458</v>
      </c>
      <c r="AH88" s="22">
        <f>_xll.BDP(AX88,"TOT_BUY_REC")</f>
        <v>7</v>
      </c>
      <c r="AI88" s="22">
        <f>_xll.BDP(AX88,"TOT_HOLD_REC")</f>
        <v>17</v>
      </c>
      <c r="AJ88" s="22">
        <f>_xll.BDP(AX88,"TOT_SELL_REC")</f>
        <v>2</v>
      </c>
      <c r="AK88" s="26" cm="1">
        <f t="array" ref="AK88">IF(OR(_xll.BDP($AX88,"EE201")= "#N/A N/A", _xll.BDP($AX88,"EE201")="#N/A FIELD NOT APPLICABLE"), " ", _xll.BDP($AX88,"EE201"))</f>
        <v>3.346153736114502</v>
      </c>
      <c r="AL88" s="24">
        <f>_xll.BDP(AX88,"BEST_TARGET_PRICE")</f>
        <v>432.41665649414063</v>
      </c>
      <c r="AM88" s="32">
        <f>(AL88/Q88)-1</f>
        <v>120.56779772115283</v>
      </c>
      <c r="AN88" s="32">
        <f>_xll.BDP(AX88,"PR061")/100</f>
        <v>-4.0464019999999996E-2</v>
      </c>
      <c r="AO88" s="32">
        <f>_xll.BDP(AX88,"PR064")/100</f>
        <v>-0.1708625</v>
      </c>
      <c r="AP88" s="32">
        <f>_xll.BDP(AX88,"CHG_PCT_6M")/100</f>
        <v>-7.968952E-2</v>
      </c>
      <c r="AQ88" s="25">
        <f>_xll.BDP(AX88,"PR079")/100</f>
        <v>-9.4910939999999999E-2</v>
      </c>
      <c r="AR88" s="33">
        <f>_xll.BDP(AX88,"hs001")</f>
        <v>515.29999999999995</v>
      </c>
      <c r="AS88" s="33">
        <f>_xll.BDP(AX88,"hs002")</f>
        <v>329.25</v>
      </c>
      <c r="AT88" s="22" t="str" cm="1">
        <f t="array" ref="AT88">IF(OR(_xll.BDP($AX88,"DX202")= "#N/A N/A", _xll.BDP($AX88,"DX202")="#N/A FIELD NOT APPLICABLE"), " ", _xll.BDP($AX88,"DX202"))</f>
        <v>Energy</v>
      </c>
      <c r="AU88" s="22" t="str" cm="1">
        <f t="array" ref="AU88">IF(OR(_xll.BDP($AX88,"DY997")= "#N/A N/A", _xll.BDP($AX88,"DY997")="#N/A FIELD NOT APPLICABLE"), " ", _xll.BDP($AX88,"DY997"))</f>
        <v>Y</v>
      </c>
      <c r="AV88" s="22" t="str" cm="1">
        <f t="array" ref="AV88">IF(OR(_xll.BDP($AX88,"DY784")= "#N/A N/A", _xll.BDP($AX88,"DY784")="#N/A FIELD NOT APPLICABLE"), " ", _xll.BDP($AX88,"DY784"))</f>
        <v>N</v>
      </c>
      <c r="AW88" s="22" t="str">
        <f>IF(OR(AU88="Y",AV88="Y"),"Y","N")</f>
        <v>Y</v>
      </c>
      <c r="AX88" s="22" t="str">
        <f>CONCATENATE(G88," ",$AX$2)</f>
        <v>BP/ LN Equity</v>
      </c>
      <c r="BC88" s="17" t="str" cm="1">
        <f t="array" ref="BC88">_xll.BDP(AX88,"ID005")</f>
        <v>GB0007980591</v>
      </c>
      <c r="BD88" s="17">
        <v>0.56999999999999995</v>
      </c>
      <c r="BE88" s="18">
        <v>4</v>
      </c>
      <c r="BF88" s="19">
        <v>45540</v>
      </c>
      <c r="BG88" s="20">
        <v>1</v>
      </c>
    </row>
    <row r="89" spans="1:59" s="3" customFormat="1" ht="14.45" customHeight="1" x14ac:dyDescent="0.25">
      <c r="A89" s="49" t="s">
        <v>241</v>
      </c>
      <c r="B89" s="49" t="s">
        <v>272</v>
      </c>
      <c r="C89" s="49">
        <v>2620061.0010000002</v>
      </c>
      <c r="D89" s="49" t="s">
        <v>240</v>
      </c>
      <c r="E89" s="22" t="str">
        <f>_xll.BDP(AX89,"SECURITY NAME")</f>
        <v>BP PLC</v>
      </c>
      <c r="F89" s="22" t="str">
        <f>_xll.BDP(AX89,"CRNCY")</f>
        <v>GBp</v>
      </c>
      <c r="G89" s="23" t="s">
        <v>80</v>
      </c>
      <c r="H89" s="22" t="str" cm="1">
        <f t="array" ref="H89">IF(OR(_xll.BDP($AX89,"DX202")= "#N/A N/A", _xll.BDP($AX89,"DX202")="#N/A FIELD NOT APPLICABLE"), " ", _xll.BDP($AX89,"DX202"))</f>
        <v>Energy</v>
      </c>
      <c r="I89" s="24">
        <f>_xll.BDP(AX89,"CRNCY_ADJ_MKT_CAP", "EQY_FUND_CRNCY=USD")/1000</f>
        <v>75.805470996967998</v>
      </c>
      <c r="J89" s="25">
        <f>IFERROR(_xll.BDP(AX89, "DV013")/100,0)</f>
        <v>6.7644032114051192E-2</v>
      </c>
      <c r="K89" s="26" t="str" cm="1">
        <f t="array" ref="K89">IF(OR(_xll.BDP($AX89,"RR900")= "#N/A N/A", _xll.BDP($AX89,"RR900")="#N/A FIELD NOT APPLICABLE"), " ", _xll.BDP($AX89,"RR900"))</f>
        <v xml:space="preserve"> </v>
      </c>
      <c r="L89" s="26" cm="1">
        <f t="array" ref="L89">IF(OR(_xll.BDP($AX89,"EE010")= "#N/A N/A", _xll.BDP($AX89,"EE010")="#N/A FIELD NOT APPLICABLE"), " ", _xll.BDP($AX89,"EE010"))</f>
        <v>9.0737434832615236</v>
      </c>
      <c r="M89" s="26" cm="1">
        <f t="array" ref="M89">IF(OR(_xll.BDP($AX89,"RR903")= "#N/A N/A", _xll.BDP($AX89,"RR903")="#N/A FIELD NOT APPLICABLE"), " ", _xll.BDP($AX89,"RR903"))</f>
        <v>1.2893008069955465</v>
      </c>
      <c r="N89" s="26" cm="1">
        <f t="array" ref="N89">IF(OR(_xll.BDP($AX89,"RR957")= "#N/A N/A", _xll.BDP($AX89,"RR957")="#N/A FIELD NOT APPLICABLE"), " ", _xll.BDP($AX89,"RR957"))</f>
        <v>5.9034009281036388</v>
      </c>
      <c r="O89" s="27">
        <v>10250</v>
      </c>
      <c r="P89" s="28">
        <v>3.7589999999999999</v>
      </c>
      <c r="Q89" s="22" cm="1">
        <f t="array" ref="Q89">IF(OR(_xll.BDP($AX89,"PX_last")="#N/A N/A",_xll.BDP($AX89,"PX_Last")="#N/A FIELD NOT APPLICABLE")," ",IF(F89="GBP",(_xll.BDP($AX89,"PX_LAST")/100),(_xll.BDP($AX89,"PX_LAST"))))</f>
        <v>3.5569999999999999</v>
      </c>
      <c r="R89" s="29">
        <f>IF(F89="USD",AA89,(((_xll.BDP(F89&amp;"USD CURNCY","PX_LAST")))*AA89))</f>
        <v>51502.716825000003</v>
      </c>
      <c r="S89" s="29">
        <f>IF(F89="USD",AB89,(((_xll.BDP(F89&amp;"USD CURNCY","PX_LAST")))*AB89))</f>
        <v>48735.079474999999</v>
      </c>
      <c r="T89" s="12">
        <f>S89-R89</f>
        <v>-2767.6373500000045</v>
      </c>
      <c r="U89" s="13">
        <f>IFERROR(T89/R89,0)</f>
        <v>-5.3737696195796839E-2</v>
      </c>
      <c r="V89" s="13" cm="1">
        <f t="array" ref="V89">IFERROR(_xll.BDP($G89&amp;" Equity","CHG_PCT_1D")/100,"")</f>
        <v>1.5415359999999999E-2</v>
      </c>
      <c r="W89" s="13" cm="1">
        <f t="array" ref="W89">IFERROR(_xll.BDP($G89&amp;" Equity","CHG_PCT_5D")/100,"")</f>
        <v>-1.7403310000000002E-2</v>
      </c>
      <c r="X89" s="13" t="e">
        <f>S89/#REF!</f>
        <v>#REF!</v>
      </c>
      <c r="Y89" s="24">
        <f>IFERROR(S89*J89,0)</f>
        <v>3296.6372810877369</v>
      </c>
      <c r="Z89" s="24">
        <f>S89</f>
        <v>48735.079474999999</v>
      </c>
      <c r="AA89" s="29">
        <f>P89*O89</f>
        <v>38529.75</v>
      </c>
      <c r="AB89" s="29">
        <f>IFERROR(O89*Q89,0)</f>
        <v>36459.25</v>
      </c>
      <c r="AC89" s="4" t="e" cm="1">
        <f t="array" ref="AC89">VLOOKUP(IF(NOT(_xll.BDP(AX89,$BW$8)="#N/A N/A"),(_xll.BDP(AX89,$BW$8)),"-"), '[1]Country Codes'!$A$2:$B$253,2,0)</f>
        <v>#N/A</v>
      </c>
      <c r="AD89" s="30" t="str" cm="1">
        <f t="array" ref="AD89">IF(OR(_xll.BDP($AX89,"EX028")= "#N/A N/A", _xll.BDP($AX89,"EX028")="#N/A FIELD NOT APPLICABLE"), " ", _xll.BDP($AX89,"EX028"))</f>
        <v>Equity</v>
      </c>
      <c r="AE89" s="31" t="str">
        <f>IF(("AS97"="Equity"), " ", "Single Line Equity")</f>
        <v>Single Line Equity</v>
      </c>
      <c r="AF89" s="26" cm="1">
        <f t="array" ref="AF89">IF(OR(_xll.BDP($AX89,"RR908")= "#N/A N/A", _xll.BDP($AX89,"RR908")="#N/A FIELD NOT APPLICABLE"), " ", _xll.BDP($AX89,"RR908"))</f>
        <v>3.0682236991315448</v>
      </c>
      <c r="AG89" s="26" cm="1">
        <f t="array" ref="AG89">IF(OR(_xll.BDP($AX89,"RR041")= "#N/A N/A", _xll.BDP($AX89,"RR041")="#N/A FIELD NOT APPLICABLE"), " ", _xll.BDP($AX89,"RR041"))</f>
        <v>25.350780220247458</v>
      </c>
      <c r="AH89" s="22">
        <f>_xll.BDP(AX89,"TOT_BUY_REC")</f>
        <v>7</v>
      </c>
      <c r="AI89" s="22">
        <f>_xll.BDP(AX89,"TOT_HOLD_REC")</f>
        <v>17</v>
      </c>
      <c r="AJ89" s="22">
        <f>_xll.BDP(AX89,"TOT_SELL_REC")</f>
        <v>2</v>
      </c>
      <c r="AK89" s="26" cm="1">
        <f t="array" ref="AK89">IF(OR(_xll.BDP($AX89,"EE201")= "#N/A N/A", _xll.BDP($AX89,"EE201")="#N/A FIELD NOT APPLICABLE"), " ", _xll.BDP($AX89,"EE201"))</f>
        <v>3.346153736114502</v>
      </c>
      <c r="AL89" s="24">
        <f>_xll.BDP(AX89,"BEST_TARGET_PRICE")</f>
        <v>432.41665649414063</v>
      </c>
      <c r="AM89" s="32">
        <f>(AL89/Q89)-1</f>
        <v>120.56779772115283</v>
      </c>
      <c r="AN89" s="32">
        <f>_xll.BDP(AX89,"PR061")/100</f>
        <v>-4.0464019999999996E-2</v>
      </c>
      <c r="AO89" s="32">
        <f>_xll.BDP(AX89,"PR064")/100</f>
        <v>-0.1708625</v>
      </c>
      <c r="AP89" s="32">
        <f>_xll.BDP(AX89,"CHG_PCT_6M")/100</f>
        <v>-7.968952E-2</v>
      </c>
      <c r="AQ89" s="25">
        <f>_xll.BDP(AX89,"PR079")/100</f>
        <v>-9.4910939999999999E-2</v>
      </c>
      <c r="AR89" s="33">
        <f>_xll.BDP(AX89,"hs001")</f>
        <v>515.29999999999995</v>
      </c>
      <c r="AS89" s="33">
        <f>_xll.BDP(AX89,"hs002")</f>
        <v>329.25</v>
      </c>
      <c r="AT89" s="22" t="str" cm="1">
        <f t="array" ref="AT89">IF(OR(_xll.BDP($AX89,"DX202")= "#N/A N/A", _xll.BDP($AX89,"DX202")="#N/A FIELD NOT APPLICABLE"), " ", _xll.BDP($AX89,"DX202"))</f>
        <v>Energy</v>
      </c>
      <c r="AU89" s="22" t="str" cm="1">
        <f t="array" ref="AU89">IF(OR(_xll.BDP($AX89,"DY997")= "#N/A N/A", _xll.BDP($AX89,"DY997")="#N/A FIELD NOT APPLICABLE"), " ", _xll.BDP($AX89,"DY997"))</f>
        <v>Y</v>
      </c>
      <c r="AV89" s="22" t="str" cm="1">
        <f t="array" ref="AV89">IF(OR(_xll.BDP($AX89,"DY784")= "#N/A N/A", _xll.BDP($AX89,"DY784")="#N/A FIELD NOT APPLICABLE"), " ", _xll.BDP($AX89,"DY784"))</f>
        <v>N</v>
      </c>
      <c r="AW89" s="22" t="str">
        <f>IF(OR(AU89="Y",AV89="Y"),"Y","N")</f>
        <v>Y</v>
      </c>
      <c r="AX89" s="22" t="str">
        <f>CONCATENATE(G89," ",$AX$2)</f>
        <v>BP/ LN Equity</v>
      </c>
      <c r="BC89" s="17" t="str" cm="1">
        <f t="array" ref="BC89">_xll.BDP(AX89,"ID005")</f>
        <v>GB0007980591</v>
      </c>
      <c r="BD89" s="17">
        <v>0.56999999999999995</v>
      </c>
      <c r="BE89" s="18">
        <v>4</v>
      </c>
      <c r="BF89" s="19">
        <v>45540</v>
      </c>
      <c r="BG89" s="20">
        <v>1</v>
      </c>
    </row>
    <row r="90" spans="1:59" s="3" customFormat="1" ht="14.45" customHeight="1" x14ac:dyDescent="0.25">
      <c r="A90" s="49" t="s">
        <v>241</v>
      </c>
      <c r="B90" s="49" t="s">
        <v>276</v>
      </c>
      <c r="C90" s="49" t="s">
        <v>277</v>
      </c>
      <c r="D90" s="49" t="s">
        <v>240</v>
      </c>
      <c r="E90" s="22" t="str">
        <f>_xll.BDP(AX90,"SECURITY NAME")</f>
        <v>BP PLC</v>
      </c>
      <c r="F90" s="22" t="str">
        <f>_xll.BDP(AX90,"CRNCY")</f>
        <v>GBp</v>
      </c>
      <c r="G90" s="23" t="s">
        <v>80</v>
      </c>
      <c r="H90" s="22" t="str" cm="1">
        <f t="array" ref="H90">IF(OR(_xll.BDP($AX90,"DX202")= "#N/A N/A", _xll.BDP($AX90,"DX202")="#N/A FIELD NOT APPLICABLE"), " ", _xll.BDP($AX90,"DX202"))</f>
        <v>Energy</v>
      </c>
      <c r="I90" s="24">
        <f>_xll.BDP(AX90,"CRNCY_ADJ_MKT_CAP", "EQY_FUND_CRNCY=USD")/1000</f>
        <v>75.805470996967998</v>
      </c>
      <c r="J90" s="25">
        <f>IFERROR(_xll.BDP(AX90, "DV013")/100,0)</f>
        <v>6.7644032114051192E-2</v>
      </c>
      <c r="K90" s="26" t="str" cm="1">
        <f t="array" ref="K90">IF(OR(_xll.BDP($AX90,"RR900")= "#N/A N/A", _xll.BDP($AX90,"RR900")="#N/A FIELD NOT APPLICABLE"), " ", _xll.BDP($AX90,"RR900"))</f>
        <v xml:space="preserve"> </v>
      </c>
      <c r="L90" s="26" cm="1">
        <f t="array" ref="L90">IF(OR(_xll.BDP($AX90,"EE010")= "#N/A N/A", _xll.BDP($AX90,"EE010")="#N/A FIELD NOT APPLICABLE"), " ", _xll.BDP($AX90,"EE010"))</f>
        <v>9.0737434832615236</v>
      </c>
      <c r="M90" s="26" cm="1">
        <f t="array" ref="M90">IF(OR(_xll.BDP($AX90,"RR903")= "#N/A N/A", _xll.BDP($AX90,"RR903")="#N/A FIELD NOT APPLICABLE"), " ", _xll.BDP($AX90,"RR903"))</f>
        <v>1.2893008069955465</v>
      </c>
      <c r="N90" s="26" cm="1">
        <f t="array" ref="N90">IF(OR(_xll.BDP($AX90,"RR957")= "#N/A N/A", _xll.BDP($AX90,"RR957")="#N/A FIELD NOT APPLICABLE"), " ", _xll.BDP($AX90,"RR957"))</f>
        <v>5.9034009281036388</v>
      </c>
      <c r="O90" s="27">
        <v>9200</v>
      </c>
      <c r="P90" s="28">
        <v>4.1154999999999999</v>
      </c>
      <c r="Q90" s="22" cm="1">
        <f t="array" ref="Q90">IF(OR(_xll.BDP($AX90,"PX_last")="#N/A N/A",_xll.BDP($AX90,"PX_Last")="#N/A FIELD NOT APPLICABLE")," ",IF(F90="GBP",(_xll.BDP($AX90,"PX_LAST")/100),(_xll.BDP($AX90,"PX_LAST"))))</f>
        <v>3.5569999999999999</v>
      </c>
      <c r="R90" s="29">
        <f>IF(F90="USD",AA90,(((_xll.BDP(F90&amp;"USD CURNCY","PX_LAST")))*AA90))</f>
        <v>50610.937419999995</v>
      </c>
      <c r="S90" s="29">
        <f>IF(F90="USD",AB90,(((_xll.BDP(F90&amp;"USD CURNCY","PX_LAST")))*AB90))</f>
        <v>43742.705479999997</v>
      </c>
      <c r="T90" s="12">
        <f>S90-R90</f>
        <v>-6868.2319399999978</v>
      </c>
      <c r="U90" s="13">
        <f>T90/R90</f>
        <v>-0.13570647551937792</v>
      </c>
      <c r="V90" s="13" cm="1">
        <f t="array" ref="V90">IFERROR(_xll.BDP($G90&amp;" Equity","CHG_PCT_1D")/100,"")</f>
        <v>1.5415359999999999E-2</v>
      </c>
      <c r="W90" s="13" cm="1">
        <f t="array" ref="W90">IFERROR(_xll.BDP($G90&amp;" Equity","CHG_PCT_5D")/100,"")</f>
        <v>-1.7403310000000002E-2</v>
      </c>
      <c r="X90" s="13" t="e">
        <f>S90/#REF!</f>
        <v>#REF!</v>
      </c>
      <c r="Y90" s="24">
        <f>IFERROR(S90*J90,0)</f>
        <v>2958.932974244603</v>
      </c>
      <c r="Z90" s="24">
        <f>S90</f>
        <v>43742.705479999997</v>
      </c>
      <c r="AA90" s="29">
        <f>P90*O90</f>
        <v>37862.6</v>
      </c>
      <c r="AB90" s="29">
        <f>IFERROR(O90*Q90,0)</f>
        <v>32724.399999999998</v>
      </c>
      <c r="AC90" s="4" t="e" cm="1">
        <f t="array" ref="AC90">VLOOKUP(IF(NOT(_xll.BDP(AX90,$BW$8)="#N/A N/A"),(_xll.BDP(AX90,$BW$8)),"-"), '[1]Country Codes'!$A$2:$B$253,2,0)</f>
        <v>#N/A</v>
      </c>
      <c r="AD90" s="30" t="str" cm="1">
        <f t="array" ref="AD90">IF(OR(_xll.BDP($AX90,"EX028")= "#N/A N/A", _xll.BDP($AX90,"EX028")="#N/A FIELD NOT APPLICABLE"), " ", _xll.BDP($AX90,"EX028"))</f>
        <v>Equity</v>
      </c>
      <c r="AE90" s="31" t="str">
        <f>IF(("AS97"="Equity"), " ", "Single Line Equity")</f>
        <v>Single Line Equity</v>
      </c>
      <c r="AF90" s="26" cm="1">
        <f t="array" ref="AF90">IF(OR(_xll.BDP($AX90,"RR908")= "#N/A N/A", _xll.BDP($AX90,"RR908")="#N/A FIELD NOT APPLICABLE"), " ", _xll.BDP($AX90,"RR908"))</f>
        <v>3.0682236991315448</v>
      </c>
      <c r="AG90" s="26" cm="1">
        <f t="array" ref="AG90">IF(OR(_xll.BDP($AX90,"RR041")= "#N/A N/A", _xll.BDP($AX90,"RR041")="#N/A FIELD NOT APPLICABLE"), " ", _xll.BDP($AX90,"RR041"))</f>
        <v>25.350780220247458</v>
      </c>
      <c r="AH90" s="22">
        <f>_xll.BDP(AX90,"TOT_BUY_REC")</f>
        <v>7</v>
      </c>
      <c r="AI90" s="22">
        <f>_xll.BDP(AX90,"TOT_HOLD_REC")</f>
        <v>17</v>
      </c>
      <c r="AJ90" s="22">
        <f>_xll.BDP(AX90,"TOT_SELL_REC")</f>
        <v>2</v>
      </c>
      <c r="AK90" s="26" cm="1">
        <f t="array" ref="AK90">IF(OR(_xll.BDP($AX90,"EE201")= "#N/A N/A", _xll.BDP($AX90,"EE201")="#N/A FIELD NOT APPLICABLE"), " ", _xll.BDP($AX90,"EE201"))</f>
        <v>3.346153736114502</v>
      </c>
      <c r="AL90" s="24">
        <f>_xll.BDP(AX90,"BEST_TARGET_PRICE")</f>
        <v>432.41665649414063</v>
      </c>
      <c r="AM90" s="32">
        <f>(AL90/Q90)-1</f>
        <v>120.56779772115283</v>
      </c>
      <c r="AN90" s="32">
        <f>_xll.BDP(AX90,"PR061")/100</f>
        <v>-4.0464019999999996E-2</v>
      </c>
      <c r="AO90" s="32">
        <f>_xll.BDP(AX90,"PR064")/100</f>
        <v>-0.1708625</v>
      </c>
      <c r="AP90" s="32">
        <f>_xll.BDP(AX90,"CHG_PCT_6M")/100</f>
        <v>-7.968952E-2</v>
      </c>
      <c r="AQ90" s="25">
        <f>_xll.BDP(AX90,"PR079")/100</f>
        <v>-9.4910939999999999E-2</v>
      </c>
      <c r="AR90" s="33">
        <f>_xll.BDP(AX90,"hs001")</f>
        <v>515.29999999999995</v>
      </c>
      <c r="AS90" s="33">
        <f>_xll.BDP(AX90,"hs002")</f>
        <v>329.25</v>
      </c>
      <c r="AT90" s="22" t="str" cm="1">
        <f t="array" ref="AT90">IF(OR(_xll.BDP($AX90,"DX202")= "#N/A N/A", _xll.BDP($AX90,"DX202")="#N/A FIELD NOT APPLICABLE"), " ", _xll.BDP($AX90,"DX202"))</f>
        <v>Energy</v>
      </c>
      <c r="AU90" s="22" t="str" cm="1">
        <f t="array" ref="AU90">IF(OR(_xll.BDP($AX90,"DY997")= "#N/A N/A", _xll.BDP($AX90,"DY997")="#N/A FIELD NOT APPLICABLE"), " ", _xll.BDP($AX90,"DY997"))</f>
        <v>Y</v>
      </c>
      <c r="AV90" s="22" t="str" cm="1">
        <f t="array" ref="AV90">IF(OR(_xll.BDP($AX90,"DY784")= "#N/A N/A", _xll.BDP($AX90,"DY784")="#N/A FIELD NOT APPLICABLE"), " ", _xll.BDP($AX90,"DY784"))</f>
        <v>N</v>
      </c>
      <c r="AW90" s="22" t="str">
        <f>IF(OR(AU90="Y",AV90="Y"),"Y","N")</f>
        <v>Y</v>
      </c>
      <c r="AX90" s="22" t="str">
        <f>CONCATENATE(G90," ",$AX$2)</f>
        <v>BP/ LN Equity</v>
      </c>
      <c r="BC90" s="17" t="str" cm="1">
        <f t="array" ref="BC90">_xll.BDP(AX90,"ID005")</f>
        <v>GB0007980591</v>
      </c>
      <c r="BD90" s="17">
        <v>0.56999999999999995</v>
      </c>
      <c r="BE90" s="18">
        <v>4</v>
      </c>
      <c r="BF90" s="19">
        <v>45540</v>
      </c>
      <c r="BG90" s="20">
        <v>1</v>
      </c>
    </row>
    <row r="91" spans="1:59" s="3" customFormat="1" ht="14.45" customHeight="1" x14ac:dyDescent="0.25">
      <c r="A91" s="49" t="s">
        <v>242</v>
      </c>
      <c r="B91" s="49" t="s">
        <v>246</v>
      </c>
      <c r="C91" s="49" t="s">
        <v>247</v>
      </c>
      <c r="D91" s="49" t="s">
        <v>248</v>
      </c>
      <c r="E91" s="22" t="str">
        <f>_xll.BDP(AX91,"SECURITY NAME")</f>
        <v>DuPont de Nemours Inc</v>
      </c>
      <c r="F91" s="22" t="str">
        <f>_xll.BDP(AX91,"CRNCY")</f>
        <v>USD</v>
      </c>
      <c r="G91" s="23" t="s">
        <v>140</v>
      </c>
      <c r="H91" s="22" t="str" cm="1">
        <f t="array" ref="H91">IF(OR(_xll.BDP($AX91,"DX202")= "#N/A N/A", _xll.BDP($AX91,"DX202")="#N/A FIELD NOT APPLICABLE"), " ", _xll.BDP($AX91,"DX202"))</f>
        <v>Materials</v>
      </c>
      <c r="I91" s="24">
        <f>_xll.BDP(AX91,"CRNCY_ADJ_MKT_CAP", "EQY_FUND_CRNCY=USD")/1000</f>
        <v>27.319595462399995</v>
      </c>
      <c r="J91" s="25">
        <f>IFERROR(_xll.BDP(AX91, "DV013")/100,0)</f>
        <v>2.512254880047312E-2</v>
      </c>
      <c r="K91" s="26" cm="1">
        <f t="array" ref="K91">IF(OR(_xll.BDP($AX91,"RR900")= "#N/A N/A", _xll.BDP($AX91,"RR900")="#N/A FIELD NOT APPLICABLE"), " ", _xll.BDP($AX91,"RR900"))</f>
        <v>21.969959169562742</v>
      </c>
      <c r="L91" s="26" cm="1">
        <f t="array" ref="L91">IF(OR(_xll.BDP($AX91,"EE010")= "#N/A N/A", _xll.BDP($AX91,"EE010")="#N/A FIELD NOT APPLICABLE"), " ", _xll.BDP($AX91,"EE010"))</f>
        <v>13.904153354632587</v>
      </c>
      <c r="M91" s="26" cm="1">
        <f t="array" ref="M91">IF(OR(_xll.BDP($AX91,"RR903")= "#N/A N/A", _xll.BDP($AX91,"RR903")="#N/A FIELD NOT APPLICABLE"), " ", _xll.BDP($AX91,"RR903"))</f>
        <v>1.1964430865629139</v>
      </c>
      <c r="N91" s="26" cm="1">
        <f t="array" ref="N91">IF(OR(_xll.BDP($AX91,"RR957")= "#N/A N/A", _xll.BDP($AX91,"RR957")="#N/A FIELD NOT APPLICABLE"), " ", _xll.BDP($AX91,"RR957"))</f>
        <v>15.739144614345992</v>
      </c>
      <c r="O91" s="27">
        <v>1000</v>
      </c>
      <c r="P91" s="28">
        <v>80.400000000000006</v>
      </c>
      <c r="Q91" s="22" cm="1">
        <f t="array" ref="Q91">IF(OR(_xll.BDP($AX91,"PX_last")="#N/A N/A",_xll.BDP($AX91,"PX_Last")="#N/A FIELD NOT APPLICABLE")," ",IF(F91="GBP",(_xll.BDP($AX91,"PX_LAST")/100),(_xll.BDP($AX91,"PX_LAST"))))</f>
        <v>65.28</v>
      </c>
      <c r="R91" s="29">
        <f>IF(F91="USD",AA91,(((_xll.BDP(F91&amp;"USD CURNCY","PX_LAST")))*AA91))</f>
        <v>80400</v>
      </c>
      <c r="S91" s="29">
        <f>IF(F91="USD",AB91,(((_xll.BDP(F91&amp;"USD CURNCY","PX_LAST")))*AB91))</f>
        <v>65280</v>
      </c>
      <c r="T91" s="12">
        <f>S91-R91</f>
        <v>-15120</v>
      </c>
      <c r="U91" s="13">
        <f>T91/R91</f>
        <v>-0.18805970149253731</v>
      </c>
      <c r="V91" s="13" cm="1">
        <f t="array" ref="V91">IFERROR(_xll.BDP($G91&amp;" Equity","CHG_PCT_1D")/100,"")</f>
        <v>-4.593477E-4</v>
      </c>
      <c r="W91" s="13" cm="1">
        <f t="array" ref="W91">IFERROR(_xll.BDP($G91&amp;" Equity","CHG_PCT_5D")/100,"")</f>
        <v>-8.6560360000000006E-3</v>
      </c>
      <c r="X91" s="13" t="e">
        <f>S91/#REF!</f>
        <v>#REF!</v>
      </c>
      <c r="Y91" s="24">
        <f>IFERROR(S91*J91,0)</f>
        <v>1639.9999856948853</v>
      </c>
      <c r="Z91" s="24">
        <f>S91</f>
        <v>65280</v>
      </c>
      <c r="AA91" s="29">
        <f>P91*O91</f>
        <v>80400</v>
      </c>
      <c r="AB91" s="29">
        <f>IFERROR(O91*Q91,0)</f>
        <v>65280</v>
      </c>
      <c r="AC91" s="4" t="e" cm="1">
        <f t="array" ref="AC91">VLOOKUP(IF(NOT(_xll.BDP(AX91,$BW$8)="#N/A N/A"),(_xll.BDP(AX91,$BW$8)),"-"), '[1]Country Codes'!$A$2:$B$253,2,0)</f>
        <v>#N/A</v>
      </c>
      <c r="AD91" s="30" t="str" cm="1">
        <f t="array" ref="AD91">IF(OR(_xll.BDP($AX91,"EX028")= "#N/A N/A", _xll.BDP($AX91,"EX028")="#N/A FIELD NOT APPLICABLE"), " ", _xll.BDP($AX91,"EX028"))</f>
        <v>Equity</v>
      </c>
      <c r="AE91" s="31" t="str">
        <f>IF(("AS97"="Equity"), " ", "Single Line Equity")</f>
        <v>Single Line Equity</v>
      </c>
      <c r="AF91" s="26" cm="1">
        <f t="array" ref="AF91">IF(OR(_xll.BDP($AX91,"RR908")= "#N/A N/A", _xll.BDP($AX91,"RR908")="#N/A FIELD NOT APPLICABLE"), " ", _xll.BDP($AX91,"RR908"))</f>
        <v>15.723721919113153</v>
      </c>
      <c r="AG91" s="26" cm="1">
        <f t="array" ref="AG91">IF(OR(_xll.BDP($AX91,"RR041")= "#N/A N/A", _xll.BDP($AX91,"RR041")="#N/A FIELD NOT APPLICABLE"), " ", _xll.BDP($AX91,"RR041"))</f>
        <v>20.68184299596026</v>
      </c>
      <c r="AH91" s="22">
        <f>_xll.BDP(AX91,"TOT_BUY_REC")</f>
        <v>16</v>
      </c>
      <c r="AI91" s="22">
        <f>_xll.BDP(AX91,"TOT_HOLD_REC")</f>
        <v>4</v>
      </c>
      <c r="AJ91" s="22">
        <f>_xll.BDP(AX91,"TOT_SELL_REC")</f>
        <v>0</v>
      </c>
      <c r="AK91" s="26" cm="1">
        <f t="array" ref="AK91">IF(OR(_xll.BDP($AX91,"EE201")= "#N/A N/A", _xll.BDP($AX91,"EE201")="#N/A FIELD NOT APPLICABLE"), " ", _xll.BDP($AX91,"EE201"))</f>
        <v>4.5999999046325684</v>
      </c>
      <c r="AL91" s="24">
        <f>_xll.BDP(AX91,"BEST_TARGET_PRICE")</f>
        <v>85.150001525878906</v>
      </c>
      <c r="AM91" s="32">
        <f>(AL91/Q91)-1</f>
        <v>0.30438115082535089</v>
      </c>
      <c r="AN91" s="32">
        <f>_xll.BDP(AX91,"PR061")/100</f>
        <v>0.1038215</v>
      </c>
      <c r="AO91" s="32">
        <f>_xll.BDP(AX91,"PR064")/100</f>
        <v>-0.15746000000000002</v>
      </c>
      <c r="AP91" s="32">
        <f>_xll.BDP(AX91,"CHG_PCT_6M")/100</f>
        <v>-0.2258983</v>
      </c>
      <c r="AQ91" s="25">
        <f>_xll.BDP(AX91,"PR079")/100</f>
        <v>-0.14386889999999999</v>
      </c>
      <c r="AR91" s="33">
        <f>_xll.BDP(AX91,"hs001")</f>
        <v>90.06</v>
      </c>
      <c r="AS91" s="33">
        <f>_xll.BDP(AX91,"hs002")</f>
        <v>53.77</v>
      </c>
      <c r="AT91" s="22" t="str" cm="1">
        <f t="array" ref="AT91">IF(OR(_xll.BDP($AX91,"DX202")= "#N/A N/A", _xll.BDP($AX91,"DX202")="#N/A FIELD NOT APPLICABLE"), " ", _xll.BDP($AX91,"DX202"))</f>
        <v>Materials</v>
      </c>
      <c r="AU91" s="22" t="str" cm="1">
        <f t="array" ref="AU91">IF(OR(_xll.BDP($AX91,"DY997")= "#N/A N/A", _xll.BDP($AX91,"DY997")="#N/A FIELD NOT APPLICABLE"), " ", _xll.BDP($AX91,"DY997"))</f>
        <v>Y</v>
      </c>
      <c r="AV91" s="22" t="str" cm="1">
        <f t="array" ref="AV91">IF(OR(_xll.BDP($AX91,"DY784")= "#N/A N/A", _xll.BDP($AX91,"DY784")="#N/A FIELD NOT APPLICABLE"), " ", _xll.BDP($AX91,"DY784"))</f>
        <v xml:space="preserve"> </v>
      </c>
      <c r="AW91" s="22" t="str">
        <f>IF(OR(AU91="Y",AV91="Y"),"Y","N")</f>
        <v>Y</v>
      </c>
      <c r="AX91" s="22" t="str">
        <f>CONCATENATE(G91," ",$AX$2)</f>
        <v>DD US Equity</v>
      </c>
      <c r="BC91" s="17" t="str" cm="1">
        <f t="array" ref="BC91">_xll.BDP(AX91,"ID005")</f>
        <v>US26614N1028</v>
      </c>
      <c r="BD91" s="17">
        <v>0.56999999999999995</v>
      </c>
      <c r="BE91" s="18">
        <v>4</v>
      </c>
      <c r="BF91" s="19">
        <v>45540</v>
      </c>
      <c r="BG91" s="20">
        <v>1</v>
      </c>
    </row>
    <row r="92" spans="1:59" s="3" customFormat="1" ht="14.45" customHeight="1" x14ac:dyDescent="0.25">
      <c r="A92" s="49" t="s">
        <v>241</v>
      </c>
      <c r="B92" s="49" t="s">
        <v>238</v>
      </c>
      <c r="C92" s="49" t="s">
        <v>239</v>
      </c>
      <c r="D92" s="49" t="s">
        <v>240</v>
      </c>
      <c r="E92" s="22" t="str">
        <f>_xll.BDP(AX92,"SECURITY NAME")</f>
        <v>Dell Technologies Inc</v>
      </c>
      <c r="F92" s="22" t="str">
        <f>_xll.BDP(AX92,"CRNCY")</f>
        <v>USD</v>
      </c>
      <c r="G92" s="23" t="s">
        <v>338</v>
      </c>
      <c r="H92" s="22" t="str" cm="1">
        <f t="array" ref="H92">IF(OR(_xll.BDP($AX92,"DX202")= "#N/A N/A", _xll.BDP($AX92,"DX202")="#N/A FIELD NOT APPLICABLE"), " ", _xll.BDP($AX92,"DX202"))</f>
        <v>Information Technology</v>
      </c>
      <c r="I92" s="24">
        <f>_xll.BDP(AX92,"CRNCY_ADJ_MKT_CAP", "EQY_FUND_CRNCY=USD")/1000</f>
        <v>65.171354273190005</v>
      </c>
      <c r="J92" s="25">
        <f>IFERROR(_xll.BDP(AX92, "DV013")/100,0)</f>
        <v>2.2486346553512882E-2</v>
      </c>
      <c r="K92" s="26" cm="1">
        <f t="array" ref="K92">IF(OR(_xll.BDP($AX92,"RR900")= "#N/A N/A", _xll.BDP($AX92,"RR900")="#N/A FIELD NOT APPLICABLE"), " ", _xll.BDP($AX92,"RR900"))</f>
        <v>13.337480589980856</v>
      </c>
      <c r="L92" s="26" cm="1">
        <f t="array" ref="L92">IF(OR(_xll.BDP($AX92,"EE010")= "#N/A N/A", _xll.BDP($AX92,"EE010")="#N/A FIELD NOT APPLICABLE"), " ", _xll.BDP($AX92,"EE010"))</f>
        <v>9.0292951754810016</v>
      </c>
      <c r="M92" s="26" t="str" cm="1">
        <f t="array" ref="M92">IF(OR(_xll.BDP($AX92,"RR903")= "#N/A N/A", _xll.BDP($AX92,"RR903")="#N/A FIELD NOT APPLICABLE"), " ", _xll.BDP($AX92,"RR903"))</f>
        <v xml:space="preserve"> </v>
      </c>
      <c r="N92" s="26" cm="1">
        <f t="array" ref="N92">IF(OR(_xll.BDP($AX92,"RR957")= "#N/A N/A", _xll.BDP($AX92,"RR957")="#N/A FIELD NOT APPLICABLE"), " ", _xll.BDP($AX92,"RR957"))</f>
        <v>9.0084278745664559</v>
      </c>
      <c r="O92" s="27">
        <v>319</v>
      </c>
      <c r="P92" s="28">
        <v>96.99</v>
      </c>
      <c r="Q92" s="22" cm="1">
        <f t="array" ref="Q92">IF(OR(_xll.BDP($AX92,"PX_last")="#N/A N/A",_xll.BDP($AX92,"PX_Last")="#N/A FIELD NOT APPLICABLE")," ",IF(F92="GBP",(_xll.BDP($AX92,"PX_LAST")/100),(_xll.BDP($AX92,"PX_LAST"))))</f>
        <v>93.39</v>
      </c>
      <c r="R92" s="29">
        <f>IF(F92="USD",AA92,(((_xll.BDP(F92&amp;"USD CURNCY","PX_LAST")))*AA92))</f>
        <v>30939.809999999998</v>
      </c>
      <c r="S92" s="29">
        <f>IF(F92="USD",AB92,(((_xll.BDP(F92&amp;"USD CURNCY","PX_LAST")))*AB92))</f>
        <v>29791.41</v>
      </c>
      <c r="T92" s="12">
        <f>S92-R92</f>
        <v>-1148.3999999999978</v>
      </c>
      <c r="U92" s="13">
        <f>T92/R92</f>
        <v>-3.7117228580265942E-2</v>
      </c>
      <c r="V92" s="13" cm="1">
        <f t="array" ref="V92">IFERROR(_xll.BDP($G92&amp;" Equity","CHG_PCT_1D")/100,"")</f>
        <v>-1.0279780000000001E-2</v>
      </c>
      <c r="W92" s="13" cm="1">
        <f t="array" ref="W92">IFERROR(_xll.BDP($G92&amp;" Equity","CHG_PCT_5D")/100,"")</f>
        <v>-4.1586690000000003E-3</v>
      </c>
      <c r="X92" s="13" t="e">
        <f>S92/#REF!</f>
        <v>#REF!</v>
      </c>
      <c r="Y92" s="24">
        <f>IFERROR(S92*J92,0)</f>
        <v>669.89996957778919</v>
      </c>
      <c r="Z92" s="24">
        <f>S92</f>
        <v>29791.41</v>
      </c>
      <c r="AA92" s="29">
        <f>P92*O92</f>
        <v>30939.809999999998</v>
      </c>
      <c r="AB92" s="29">
        <f>IFERROR(O92*Q92,0)</f>
        <v>29791.41</v>
      </c>
      <c r="AC92" s="4" t="e" cm="1">
        <f t="array" ref="AC92">VLOOKUP(IF(NOT(_xll.BDP(AX92,$BW$8)="#N/A N/A"),(_xll.BDP(AX92,$BW$8)),"-"), '[1]Country Codes'!$A$2:$B$253,2,0)</f>
        <v>#N/A</v>
      </c>
      <c r="AD92" s="30" t="str" cm="1">
        <f t="array" ref="AD92">IF(OR(_xll.BDP($AX92,"EX028")= "#N/A N/A", _xll.BDP($AX92,"EX028")="#N/A FIELD NOT APPLICABLE"), " ", _xll.BDP($AX92,"EX028"))</f>
        <v>Equity</v>
      </c>
      <c r="AE92" s="31" t="str">
        <f>IF(("AS97"="Equity"), " ", "Single Line Equity")</f>
        <v>Single Line Equity</v>
      </c>
      <c r="AF92" s="26" cm="1">
        <f t="array" ref="AF92">IF(OR(_xll.BDP($AX92,"RR908")= "#N/A N/A", _xll.BDP($AX92,"RR908")="#N/A FIELD NOT APPLICABLE"), " ", _xll.BDP($AX92,"RR908"))</f>
        <v>14.565257788339915</v>
      </c>
      <c r="AG92" s="26" cm="1">
        <f t="array" ref="AG92">IF(OR(_xll.BDP($AX92,"RR041")= "#N/A N/A", _xll.BDP($AX92,"RR041")="#N/A FIELD NOT APPLICABLE"), " ", _xll.BDP($AX92,"RR041"))</f>
        <v>31.757078724951722</v>
      </c>
      <c r="AH92" s="22">
        <f>_xll.BDP(AX92,"TOT_BUY_REC")</f>
        <v>24</v>
      </c>
      <c r="AI92" s="22">
        <f>_xll.BDP(AX92,"TOT_HOLD_REC")</f>
        <v>4</v>
      </c>
      <c r="AJ92" s="22">
        <f>_xll.BDP(AX92,"TOT_SELL_REC")</f>
        <v>0</v>
      </c>
      <c r="AK92" s="26" cm="1">
        <f t="array" ref="AK92">IF(OR(_xll.BDP($AX92,"EE201")= "#N/A N/A", _xll.BDP($AX92,"EE201")="#N/A FIELD NOT APPLICABLE"), " ", _xll.BDP($AX92,"EE201"))</f>
        <v>4.6428570747375488</v>
      </c>
      <c r="AL92" s="24">
        <f>_xll.BDP(AX92,"BEST_TARGET_PRICE")</f>
        <v>126.90000152587891</v>
      </c>
      <c r="AM92" s="32">
        <f>(AL92/Q92)-1</f>
        <v>0.35881787692342759</v>
      </c>
      <c r="AN92" s="32">
        <f>_xll.BDP(AX92,"PR061")/100</f>
        <v>0.30378340000000004</v>
      </c>
      <c r="AO92" s="32">
        <f>_xll.BDP(AX92,"PR064")/100</f>
        <v>-0.11829679999999999</v>
      </c>
      <c r="AP92" s="32">
        <f>_xll.BDP(AX92,"CHG_PCT_6M")/100</f>
        <v>-0.32497290000000001</v>
      </c>
      <c r="AQ92" s="25">
        <f>_xll.BDP(AX92,"PR079")/100</f>
        <v>-0.18960429999999998</v>
      </c>
      <c r="AR92" s="33">
        <f>_xll.BDP(AX92,"hs001")</f>
        <v>179.7</v>
      </c>
      <c r="AS92" s="33">
        <f>_xll.BDP(AX92,"hs002")</f>
        <v>66.245000000000005</v>
      </c>
      <c r="AT92" s="22" t="str" cm="1">
        <f t="array" ref="AT92">IF(OR(_xll.BDP($AX92,"DX202")= "#N/A N/A", _xll.BDP($AX92,"DX202")="#N/A FIELD NOT APPLICABLE"), " ", _xll.BDP($AX92,"DX202"))</f>
        <v>Information Technology</v>
      </c>
      <c r="AU92" s="22" t="str" cm="1">
        <f t="array" ref="AU92">IF(OR(_xll.BDP($AX92,"DY997")= "#N/A N/A", _xll.BDP($AX92,"DY997")="#N/A FIELD NOT APPLICABLE"), " ", _xll.BDP($AX92,"DY997"))</f>
        <v>Y</v>
      </c>
      <c r="AV92" s="22" t="str" cm="1">
        <f t="array" ref="AV92">IF(OR(_xll.BDP($AX92,"DY784")= "#N/A N/A", _xll.BDP($AX92,"DY784")="#N/A FIELD NOT APPLICABLE"), " ", _xll.BDP($AX92,"DY784"))</f>
        <v xml:space="preserve"> </v>
      </c>
      <c r="AW92" s="22" t="str">
        <f>IF(OR(AU92="Y",AV92="Y"),"Y","N")</f>
        <v>Y</v>
      </c>
      <c r="AX92" s="22" t="str">
        <f>CONCATENATE(G92," ",$AX$2)</f>
        <v>DELL US Equity</v>
      </c>
      <c r="BC92" s="17" t="str" cm="1">
        <f t="array" ref="BC92">_xll.BDP(AX92,"ID005")</f>
        <v>US24703L2025</v>
      </c>
      <c r="BD92" s="17">
        <v>0.75</v>
      </c>
      <c r="BE92" s="18">
        <v>4</v>
      </c>
      <c r="BF92" s="19">
        <v>44463</v>
      </c>
      <c r="BG92" s="20">
        <v>1</v>
      </c>
    </row>
    <row r="93" spans="1:59" s="3" customFormat="1" ht="14.45" customHeight="1" x14ac:dyDescent="0.25">
      <c r="A93" s="49" t="s">
        <v>242</v>
      </c>
      <c r="B93" s="49" t="s">
        <v>243</v>
      </c>
      <c r="C93" s="49" t="s">
        <v>244</v>
      </c>
      <c r="D93" s="49" t="s">
        <v>245</v>
      </c>
      <c r="E93" s="22" t="str">
        <f>_xll.BDP(AX93,"SECURITY NAME")</f>
        <v>Dell Technologies Inc</v>
      </c>
      <c r="F93" s="22" t="str">
        <f>_xll.BDP(AX93,"CRNCY")</f>
        <v>USD</v>
      </c>
      <c r="G93" s="23" t="s">
        <v>338</v>
      </c>
      <c r="H93" s="22" t="str" cm="1">
        <f t="array" ref="H93">IF(OR(_xll.BDP($AX93,"DX202")= "#N/A N/A", _xll.BDP($AX93,"DX202")="#N/A FIELD NOT APPLICABLE"), " ", _xll.BDP($AX93,"DX202"))</f>
        <v>Information Technology</v>
      </c>
      <c r="I93" s="24">
        <f>_xll.BDP(AX93,"CRNCY_ADJ_MKT_CAP", "EQY_FUND_CRNCY=USD")/1000</f>
        <v>65.171354273190005</v>
      </c>
      <c r="J93" s="25">
        <f>IFERROR(_xll.BDP(AX93, "DV013")/100,0)</f>
        <v>2.2486346553512882E-2</v>
      </c>
      <c r="K93" s="26" cm="1">
        <f t="array" ref="K93">IF(OR(_xll.BDP($AX93,"RR900")= "#N/A N/A", _xll.BDP($AX93,"RR900")="#N/A FIELD NOT APPLICABLE"), " ", _xll.BDP($AX93,"RR900"))</f>
        <v>13.337480589980856</v>
      </c>
      <c r="L93" s="26" cm="1">
        <f t="array" ref="L93">IF(OR(_xll.BDP($AX93,"EE010")= "#N/A N/A", _xll.BDP($AX93,"EE010")="#N/A FIELD NOT APPLICABLE"), " ", _xll.BDP($AX93,"EE010"))</f>
        <v>9.0292951754810016</v>
      </c>
      <c r="M93" s="26" t="str" cm="1">
        <f t="array" ref="M93">IF(OR(_xll.BDP($AX93,"RR903")= "#N/A N/A", _xll.BDP($AX93,"RR903")="#N/A FIELD NOT APPLICABLE"), " ", _xll.BDP($AX93,"RR903"))</f>
        <v xml:space="preserve"> </v>
      </c>
      <c r="N93" s="26" cm="1">
        <f t="array" ref="N93">IF(OR(_xll.BDP($AX93,"RR957")= "#N/A N/A", _xll.BDP($AX93,"RR957")="#N/A FIELD NOT APPLICABLE"), " ", _xll.BDP($AX93,"RR957"))</f>
        <v>9.0084278745664559</v>
      </c>
      <c r="O93" s="27">
        <v>923</v>
      </c>
      <c r="P93" s="28">
        <v>96.99</v>
      </c>
      <c r="Q93" s="22" cm="1">
        <f t="array" ref="Q93">IF(OR(_xll.BDP($AX93,"PX_last")="#N/A N/A",_xll.BDP($AX93,"PX_Last")="#N/A FIELD NOT APPLICABLE")," ",IF(F93="GBP",(_xll.BDP($AX93,"PX_LAST")/100),(_xll.BDP($AX93,"PX_LAST"))))</f>
        <v>93.39</v>
      </c>
      <c r="R93" s="29">
        <f>IF(F93="USD",AA93,(((_xll.BDP(F93&amp;"USD CURNCY","PX_LAST")))*AA93))</f>
        <v>89521.76999999999</v>
      </c>
      <c r="S93" s="29">
        <f>IF(F93="USD",AB93,(((_xll.BDP(F93&amp;"USD CURNCY","PX_LAST")))*AB93))</f>
        <v>86198.97</v>
      </c>
      <c r="T93" s="12">
        <f>S93-R93</f>
        <v>-3322.7999999999884</v>
      </c>
      <c r="U93" s="13">
        <f>T93/R93</f>
        <v>-3.7117228580265879E-2</v>
      </c>
      <c r="V93" s="13" cm="1">
        <f t="array" ref="V93">IFERROR(_xll.BDP($G93&amp;" Equity","CHG_PCT_1D")/100,"")</f>
        <v>-1.0279780000000001E-2</v>
      </c>
      <c r="W93" s="13" cm="1">
        <f t="array" ref="W93">IFERROR(_xll.BDP($G93&amp;" Equity","CHG_PCT_5D")/100,"")</f>
        <v>-4.1586690000000003E-3</v>
      </c>
      <c r="X93" s="13" t="e">
        <f>S93/#REF!</f>
        <v>#REF!</v>
      </c>
      <c r="Y93" s="24">
        <f>IFERROR(S93*J93,0)</f>
        <v>1938.2999119758604</v>
      </c>
      <c r="Z93" s="24">
        <f>S93</f>
        <v>86198.97</v>
      </c>
      <c r="AA93" s="29">
        <f>P93*O93</f>
        <v>89521.76999999999</v>
      </c>
      <c r="AB93" s="29">
        <f>IFERROR(O93*Q93,0)</f>
        <v>86198.97</v>
      </c>
      <c r="AC93" s="4" t="e" cm="1">
        <f t="array" ref="AC93">VLOOKUP(IF(NOT(_xll.BDP(AX93,$BW$8)="#N/A N/A"),(_xll.BDP(AX93,$BW$8)),"-"), '[1]Country Codes'!$A$2:$B$253,2,0)</f>
        <v>#N/A</v>
      </c>
      <c r="AD93" s="30" t="str" cm="1">
        <f t="array" ref="AD93">IF(OR(_xll.BDP($AX93,"EX028")= "#N/A N/A", _xll.BDP($AX93,"EX028")="#N/A FIELD NOT APPLICABLE"), " ", _xll.BDP($AX93,"EX028"))</f>
        <v>Equity</v>
      </c>
      <c r="AE93" s="31" t="str">
        <f>IF(("AS97"="Equity"), " ", "Single Line Equity")</f>
        <v>Single Line Equity</v>
      </c>
      <c r="AF93" s="26" cm="1">
        <f t="array" ref="AF93">IF(OR(_xll.BDP($AX93,"RR908")= "#N/A N/A", _xll.BDP($AX93,"RR908")="#N/A FIELD NOT APPLICABLE"), " ", _xll.BDP($AX93,"RR908"))</f>
        <v>14.565257788339915</v>
      </c>
      <c r="AG93" s="26" cm="1">
        <f t="array" ref="AG93">IF(OR(_xll.BDP($AX93,"RR041")= "#N/A N/A", _xll.BDP($AX93,"RR041")="#N/A FIELD NOT APPLICABLE"), " ", _xll.BDP($AX93,"RR041"))</f>
        <v>31.757078724951722</v>
      </c>
      <c r="AH93" s="22">
        <f>_xll.BDP(AX93,"TOT_BUY_REC")</f>
        <v>24</v>
      </c>
      <c r="AI93" s="22">
        <f>_xll.BDP(AX93,"TOT_HOLD_REC")</f>
        <v>4</v>
      </c>
      <c r="AJ93" s="22">
        <f>_xll.BDP(AX93,"TOT_SELL_REC")</f>
        <v>0</v>
      </c>
      <c r="AK93" s="26" cm="1">
        <f t="array" ref="AK93">IF(OR(_xll.BDP($AX93,"EE201")= "#N/A N/A", _xll.BDP($AX93,"EE201")="#N/A FIELD NOT APPLICABLE"), " ", _xll.BDP($AX93,"EE201"))</f>
        <v>4.6428570747375488</v>
      </c>
      <c r="AL93" s="24">
        <f>_xll.BDP(AX93,"BEST_TARGET_PRICE")</f>
        <v>126.90000152587891</v>
      </c>
      <c r="AM93" s="32">
        <f>(AL93/Q93)-1</f>
        <v>0.35881787692342759</v>
      </c>
      <c r="AN93" s="32">
        <f>_xll.BDP(AX93,"PR061")/100</f>
        <v>0.30378340000000004</v>
      </c>
      <c r="AO93" s="32">
        <f>_xll.BDP(AX93,"PR064")/100</f>
        <v>-0.11829679999999999</v>
      </c>
      <c r="AP93" s="32">
        <f>_xll.BDP(AX93,"CHG_PCT_6M")/100</f>
        <v>-0.32497290000000001</v>
      </c>
      <c r="AQ93" s="25">
        <f>_xll.BDP(AX93,"PR079")/100</f>
        <v>-0.18960429999999998</v>
      </c>
      <c r="AR93" s="33">
        <f>_xll.BDP(AX93,"hs001")</f>
        <v>179.7</v>
      </c>
      <c r="AS93" s="33">
        <f>_xll.BDP(AX93,"hs002")</f>
        <v>66.245000000000005</v>
      </c>
      <c r="AT93" s="22" t="str" cm="1">
        <f t="array" ref="AT93">IF(OR(_xll.BDP($AX93,"DX202")= "#N/A N/A", _xll.BDP($AX93,"DX202")="#N/A FIELD NOT APPLICABLE"), " ", _xll.BDP($AX93,"DX202"))</f>
        <v>Information Technology</v>
      </c>
      <c r="AU93" s="22" t="str" cm="1">
        <f t="array" ref="AU93">IF(OR(_xll.BDP($AX93,"DY997")= "#N/A N/A", _xll.BDP($AX93,"DY997")="#N/A FIELD NOT APPLICABLE"), " ", _xll.BDP($AX93,"DY997"))</f>
        <v>Y</v>
      </c>
      <c r="AV93" s="22" t="str" cm="1">
        <f t="array" ref="AV93">IF(OR(_xll.BDP($AX93,"DY784")= "#N/A N/A", _xll.BDP($AX93,"DY784")="#N/A FIELD NOT APPLICABLE"), " ", _xll.BDP($AX93,"DY784"))</f>
        <v xml:space="preserve"> </v>
      </c>
      <c r="AW93" s="22" t="str">
        <f>IF(OR(AU93="Y",AV93="Y"),"Y","N")</f>
        <v>Y</v>
      </c>
      <c r="AX93" s="22" t="str">
        <f>CONCATENATE(G93," ",$AX$2)</f>
        <v>DELL US Equity</v>
      </c>
      <c r="BC93" s="17" t="str" cm="1">
        <f t="array" ref="BC93">_xll.BDP(AX93,"ID005")</f>
        <v>US24703L2025</v>
      </c>
      <c r="BD93" s="17">
        <v>0</v>
      </c>
      <c r="BE93" s="18">
        <v>4</v>
      </c>
      <c r="BF93" s="19">
        <v>45596</v>
      </c>
      <c r="BG93" s="20">
        <v>1</v>
      </c>
    </row>
    <row r="94" spans="1:59" s="3" customFormat="1" ht="14.45" customHeight="1" x14ac:dyDescent="0.25">
      <c r="A94" s="49" t="s">
        <v>242</v>
      </c>
      <c r="B94" s="49" t="s">
        <v>327</v>
      </c>
      <c r="C94" s="49">
        <v>4371511</v>
      </c>
      <c r="D94" s="49" t="s">
        <v>248</v>
      </c>
      <c r="E94" s="22" t="str">
        <f>_xll.BDP(AX94,"SECURITY NAME")</f>
        <v>Dell Technologies Inc</v>
      </c>
      <c r="F94" s="22" t="str">
        <f>_xll.BDP(AX94,"CRNCY")</f>
        <v>USD</v>
      </c>
      <c r="G94" s="23" t="s">
        <v>338</v>
      </c>
      <c r="H94" s="22" t="str" cm="1">
        <f t="array" ref="H94">IF(OR(_xll.BDP($AX94,"DX202")= "#N/A N/A", _xll.BDP($AX94,"DX202")="#N/A FIELD NOT APPLICABLE"), " ", _xll.BDP($AX94,"DX202"))</f>
        <v>Information Technology</v>
      </c>
      <c r="I94" s="24">
        <f>_xll.BDP(AX94,"CRNCY_ADJ_MKT_CAP", "EQY_FUND_CRNCY=USD")/1000</f>
        <v>65.171354273190005</v>
      </c>
      <c r="J94" s="25">
        <f>IFERROR(_xll.BDP(AX94, "DV013")/100,0)</f>
        <v>2.2486346553512882E-2</v>
      </c>
      <c r="K94" s="26" cm="1">
        <f t="array" ref="K94">IF(OR(_xll.BDP($AX94,"RR900")= "#N/A N/A", _xll.BDP($AX94,"RR900")="#N/A FIELD NOT APPLICABLE"), " ", _xll.BDP($AX94,"RR900"))</f>
        <v>13.337480589980856</v>
      </c>
      <c r="L94" s="26" cm="1">
        <f t="array" ref="L94">IF(OR(_xll.BDP($AX94,"EE010")= "#N/A N/A", _xll.BDP($AX94,"EE010")="#N/A FIELD NOT APPLICABLE"), " ", _xll.BDP($AX94,"EE010"))</f>
        <v>9.0292951754810016</v>
      </c>
      <c r="M94" s="26" t="str" cm="1">
        <f t="array" ref="M94">IF(OR(_xll.BDP($AX94,"RR903")= "#N/A N/A", _xll.BDP($AX94,"RR903")="#N/A FIELD NOT APPLICABLE"), " ", _xll.BDP($AX94,"RR903"))</f>
        <v xml:space="preserve"> </v>
      </c>
      <c r="N94" s="26" cm="1">
        <f t="array" ref="N94">IF(OR(_xll.BDP($AX94,"RR957")= "#N/A N/A", _xll.BDP($AX94,"RR957")="#N/A FIELD NOT APPLICABLE"), " ", _xll.BDP($AX94,"RR957"))</f>
        <v>9.0084278745664559</v>
      </c>
      <c r="O94" s="27">
        <v>1375</v>
      </c>
      <c r="P94" s="28">
        <v>73.67</v>
      </c>
      <c r="Q94" s="22" cm="1">
        <f t="array" ref="Q94">IF(OR(_xll.BDP($AX94,"PX_last")="#N/A N/A",_xll.BDP($AX94,"PX_Last")="#N/A FIELD NOT APPLICABLE")," ",IF(F94="GBP",(_xll.BDP($AX94,"PX_LAST")/100),(_xll.BDP($AX94,"PX_LAST"))))</f>
        <v>93.39</v>
      </c>
      <c r="R94" s="29">
        <f>IF(F94="USD",AA94,(((_xll.BDP(F94&amp;"USD CURNCY","PX_LAST")))*AA94))</f>
        <v>101296.25</v>
      </c>
      <c r="S94" s="29">
        <f>IF(F94="USD",AB94,(((_xll.BDP(F94&amp;"USD CURNCY","PX_LAST")))*AB94))</f>
        <v>128411.25</v>
      </c>
      <c r="T94" s="12">
        <f>S94-R94</f>
        <v>27115</v>
      </c>
      <c r="U94" s="13">
        <f>T94/R94</f>
        <v>0.26768019546626848</v>
      </c>
      <c r="V94" s="13" cm="1">
        <f t="array" ref="V94">IFERROR(_xll.BDP($G94&amp;" Equity","CHG_PCT_1D")/100,"")</f>
        <v>-1.0279780000000001E-2</v>
      </c>
      <c r="W94" s="13" cm="1">
        <f t="array" ref="W94">IFERROR(_xll.BDP($G94&amp;" Equity","CHG_PCT_5D")/100,"")</f>
        <v>-4.1586690000000003E-3</v>
      </c>
      <c r="X94" s="13" t="e">
        <f>S94/#REF!</f>
        <v>#REF!</v>
      </c>
      <c r="Y94" s="24">
        <f>IFERROR(S94*J94,0)</f>
        <v>2887.499868869781</v>
      </c>
      <c r="Z94" s="24">
        <f>S94</f>
        <v>128411.25</v>
      </c>
      <c r="AA94" s="29">
        <f>P94*O94</f>
        <v>101296.25</v>
      </c>
      <c r="AB94" s="29">
        <f>IFERROR(O94*Q94,0)</f>
        <v>128411.25</v>
      </c>
      <c r="AC94" s="4" t="e" cm="1">
        <f t="array" ref="AC94">VLOOKUP(IF(NOT(_xll.BDP(AX94,$BW$8)="#N/A N/A"),(_xll.BDP(AX94,$BW$8)),"-"), '[1]Country Codes'!$A$2:$B$253,2,0)</f>
        <v>#N/A</v>
      </c>
      <c r="AD94" s="30" t="str" cm="1">
        <f t="array" ref="AD94">IF(OR(_xll.BDP($AX94,"EX028")= "#N/A N/A", _xll.BDP($AX94,"EX028")="#N/A FIELD NOT APPLICABLE"), " ", _xll.BDP($AX94,"EX028"))</f>
        <v>Equity</v>
      </c>
      <c r="AE94" s="31" t="str">
        <f>IF(("AS97"="Equity"), " ", "Single Line Equity")</f>
        <v>Single Line Equity</v>
      </c>
      <c r="AF94" s="26" cm="1">
        <f t="array" ref="AF94">IF(OR(_xll.BDP($AX94,"RR908")= "#N/A N/A", _xll.BDP($AX94,"RR908")="#N/A FIELD NOT APPLICABLE"), " ", _xll.BDP($AX94,"RR908"))</f>
        <v>14.565257788339915</v>
      </c>
      <c r="AG94" s="26" cm="1">
        <f t="array" ref="AG94">IF(OR(_xll.BDP($AX94,"RR041")= "#N/A N/A", _xll.BDP($AX94,"RR041")="#N/A FIELD NOT APPLICABLE"), " ", _xll.BDP($AX94,"RR041"))</f>
        <v>31.757078724951722</v>
      </c>
      <c r="AH94" s="22">
        <f>_xll.BDP(AX94,"TOT_BUY_REC")</f>
        <v>24</v>
      </c>
      <c r="AI94" s="22">
        <f>_xll.BDP(AX94,"TOT_HOLD_REC")</f>
        <v>4</v>
      </c>
      <c r="AJ94" s="22">
        <f>_xll.BDP(AX94,"TOT_SELL_REC")</f>
        <v>0</v>
      </c>
      <c r="AK94" s="26" cm="1">
        <f t="array" ref="AK94">IF(OR(_xll.BDP($AX94,"EE201")= "#N/A N/A", _xll.BDP($AX94,"EE201")="#N/A FIELD NOT APPLICABLE"), " ", _xll.BDP($AX94,"EE201"))</f>
        <v>4.6428570747375488</v>
      </c>
      <c r="AL94" s="24">
        <f>_xll.BDP(AX94,"BEST_TARGET_PRICE")</f>
        <v>126.90000152587891</v>
      </c>
      <c r="AM94" s="32">
        <f>(AL94/Q94)-1</f>
        <v>0.35881787692342759</v>
      </c>
      <c r="AN94" s="32">
        <f>_xll.BDP(AX94,"PR061")/100</f>
        <v>0.30378340000000004</v>
      </c>
      <c r="AO94" s="32">
        <f>_xll.BDP(AX94,"PR064")/100</f>
        <v>-0.11829679999999999</v>
      </c>
      <c r="AP94" s="32">
        <f>_xll.BDP(AX94,"CHG_PCT_6M")/100</f>
        <v>-0.32497290000000001</v>
      </c>
      <c r="AQ94" s="25">
        <f>_xll.BDP(AX94,"PR079")/100</f>
        <v>-0.18960429999999998</v>
      </c>
      <c r="AR94" s="33">
        <f>_xll.BDP(AX94,"hs001")</f>
        <v>179.7</v>
      </c>
      <c r="AS94" s="33">
        <f>_xll.BDP(AX94,"hs002")</f>
        <v>66.245000000000005</v>
      </c>
      <c r="AT94" s="22" t="str" cm="1">
        <f t="array" ref="AT94">IF(OR(_xll.BDP($AX94,"DX202")= "#N/A N/A", _xll.BDP($AX94,"DX202")="#N/A FIELD NOT APPLICABLE"), " ", _xll.BDP($AX94,"DX202"))</f>
        <v>Information Technology</v>
      </c>
      <c r="AU94" s="22" t="str" cm="1">
        <f t="array" ref="AU94">IF(OR(_xll.BDP($AX94,"DY997")= "#N/A N/A", _xll.BDP($AX94,"DY997")="#N/A FIELD NOT APPLICABLE"), " ", _xll.BDP($AX94,"DY997"))</f>
        <v>Y</v>
      </c>
      <c r="AV94" s="22" t="str" cm="1">
        <f t="array" ref="AV94">IF(OR(_xll.BDP($AX94,"DY784")= "#N/A N/A", _xll.BDP($AX94,"DY784")="#N/A FIELD NOT APPLICABLE"), " ", _xll.BDP($AX94,"DY784"))</f>
        <v xml:space="preserve"> </v>
      </c>
      <c r="AW94" s="22" t="str">
        <f>IF(OR(AU94="Y",AV94="Y"),"Y","N")</f>
        <v>Y</v>
      </c>
      <c r="AX94" s="22" t="str">
        <f>CONCATENATE(G94," ",$AX$2)</f>
        <v>DELL US Equity</v>
      </c>
      <c r="BC94" s="17" t="str" cm="1">
        <f t="array" ref="BC94">_xll.BDP(AX94,"ID005")</f>
        <v>US24703L2025</v>
      </c>
      <c r="BD94" s="17">
        <v>0.72</v>
      </c>
      <c r="BE94" s="18">
        <v>4</v>
      </c>
      <c r="BF94" s="19">
        <v>45567</v>
      </c>
      <c r="BG94" s="20">
        <v>1</v>
      </c>
    </row>
    <row r="95" spans="1:59" s="3" customFormat="1" ht="14.45" customHeight="1" x14ac:dyDescent="0.25">
      <c r="A95" s="49" t="s">
        <v>242</v>
      </c>
      <c r="B95" s="49" t="s">
        <v>246</v>
      </c>
      <c r="C95" s="49" t="s">
        <v>247</v>
      </c>
      <c r="D95" s="49" t="s">
        <v>248</v>
      </c>
      <c r="E95" s="22" t="str">
        <f>_xll.BDP(AX95,"SECURITY NAME")</f>
        <v>Dell Technologies Inc</v>
      </c>
      <c r="F95" s="22" t="str">
        <f>_xll.BDP(AX95,"CRNCY")</f>
        <v>USD</v>
      </c>
      <c r="G95" s="23" t="s">
        <v>338</v>
      </c>
      <c r="H95" s="22" t="str" cm="1">
        <f t="array" ref="H95">IF(OR(_xll.BDP($AX95,"DX202")= "#N/A N/A", _xll.BDP($AX95,"DX202")="#N/A FIELD NOT APPLICABLE"), " ", _xll.BDP($AX95,"DX202"))</f>
        <v>Information Technology</v>
      </c>
      <c r="I95" s="24">
        <f>_xll.BDP(AX95,"CRNCY_ADJ_MKT_CAP", "EQY_FUND_CRNCY=USD")/1000</f>
        <v>65.171354273190005</v>
      </c>
      <c r="J95" s="25">
        <f>IFERROR(_xll.BDP(AX95, "DV013")/100,0)</f>
        <v>2.2486346553512882E-2</v>
      </c>
      <c r="K95" s="26" cm="1">
        <f t="array" ref="K95">IF(OR(_xll.BDP($AX95,"RR900")= "#N/A N/A", _xll.BDP($AX95,"RR900")="#N/A FIELD NOT APPLICABLE"), " ", _xll.BDP($AX95,"RR900"))</f>
        <v>13.337480589980856</v>
      </c>
      <c r="L95" s="26" cm="1">
        <f t="array" ref="L95">IF(OR(_xll.BDP($AX95,"EE010")= "#N/A N/A", _xll.BDP($AX95,"EE010")="#N/A FIELD NOT APPLICABLE"), " ", _xll.BDP($AX95,"EE010"))</f>
        <v>9.0292951754810016</v>
      </c>
      <c r="M95" s="26" t="str" cm="1">
        <f t="array" ref="M95">IF(OR(_xll.BDP($AX95,"RR903")= "#N/A N/A", _xll.BDP($AX95,"RR903")="#N/A FIELD NOT APPLICABLE"), " ", _xll.BDP($AX95,"RR903"))</f>
        <v xml:space="preserve"> </v>
      </c>
      <c r="N95" s="26" cm="1">
        <f t="array" ref="N95">IF(OR(_xll.BDP($AX95,"RR957")= "#N/A N/A", _xll.BDP($AX95,"RR957")="#N/A FIELD NOT APPLICABLE"), " ", _xll.BDP($AX95,"RR957"))</f>
        <v>9.0084278745664559</v>
      </c>
      <c r="O95" s="27">
        <v>1342</v>
      </c>
      <c r="P95" s="28">
        <v>97.27</v>
      </c>
      <c r="Q95" s="22" cm="1">
        <f t="array" ref="Q95">IF(OR(_xll.BDP($AX95,"PX_last")="#N/A N/A",_xll.BDP($AX95,"PX_Last")="#N/A FIELD NOT APPLICABLE")," ",IF(F95="GBP",(_xll.BDP($AX95,"PX_LAST")/100),(_xll.BDP($AX95,"PX_LAST"))))</f>
        <v>93.39</v>
      </c>
      <c r="R95" s="29">
        <f>IF(F95="USD",AA95,(((_xll.BDP(F95&amp;"USD CURNCY","PX_LAST")))*AA95))</f>
        <v>130536.34</v>
      </c>
      <c r="S95" s="29">
        <f>IF(F95="USD",AB95,(((_xll.BDP(F95&amp;"USD CURNCY","PX_LAST")))*AB95))</f>
        <v>125329.38</v>
      </c>
      <c r="T95" s="12">
        <f>S95-R95</f>
        <v>-5206.9599999999919</v>
      </c>
      <c r="U95" s="13">
        <f>T95/R95</f>
        <v>-3.988896884959385E-2</v>
      </c>
      <c r="V95" s="13" cm="1">
        <f t="array" ref="V95">IFERROR(_xll.BDP($G95&amp;" Equity","CHG_PCT_1D")/100,"")</f>
        <v>-1.0279780000000001E-2</v>
      </c>
      <c r="W95" s="13" cm="1">
        <f t="array" ref="W95">IFERROR(_xll.BDP($G95&amp;" Equity","CHG_PCT_5D")/100,"")</f>
        <v>-4.1586690000000003E-3</v>
      </c>
      <c r="X95" s="13" t="e">
        <f>S95/#REF!</f>
        <v>#REF!</v>
      </c>
      <c r="Y95" s="24">
        <f>IFERROR(S95*J95,0)</f>
        <v>2818.1998720169063</v>
      </c>
      <c r="Z95" s="24">
        <f>S95</f>
        <v>125329.38</v>
      </c>
      <c r="AA95" s="29">
        <f>P95*O95</f>
        <v>130536.34</v>
      </c>
      <c r="AB95" s="29">
        <f>IFERROR(O95*Q95,0)</f>
        <v>125329.38</v>
      </c>
      <c r="AC95" s="4" t="e" cm="1">
        <f t="array" ref="AC95">VLOOKUP(IF(NOT(_xll.BDP(AX95,$BW$8)="#N/A N/A"),(_xll.BDP(AX95,$BW$8)),"-"), '[1]Country Codes'!$A$2:$B$253,2,0)</f>
        <v>#N/A</v>
      </c>
      <c r="AD95" s="30" t="str" cm="1">
        <f t="array" ref="AD95">IF(OR(_xll.BDP($AX95,"EX028")= "#N/A N/A", _xll.BDP($AX95,"EX028")="#N/A FIELD NOT APPLICABLE"), " ", _xll.BDP($AX95,"EX028"))</f>
        <v>Equity</v>
      </c>
      <c r="AE95" s="31" t="str">
        <f>IF(("AS97"="Equity"), " ", "Single Line Equity")</f>
        <v>Single Line Equity</v>
      </c>
      <c r="AF95" s="26" cm="1">
        <f t="array" ref="AF95">IF(OR(_xll.BDP($AX95,"RR908")= "#N/A N/A", _xll.BDP($AX95,"RR908")="#N/A FIELD NOT APPLICABLE"), " ", _xll.BDP($AX95,"RR908"))</f>
        <v>14.565257788339915</v>
      </c>
      <c r="AG95" s="26" cm="1">
        <f t="array" ref="AG95">IF(OR(_xll.BDP($AX95,"RR041")= "#N/A N/A", _xll.BDP($AX95,"RR041")="#N/A FIELD NOT APPLICABLE"), " ", _xll.BDP($AX95,"RR041"))</f>
        <v>31.757078724951722</v>
      </c>
      <c r="AH95" s="22">
        <f>_xll.BDP(AX95,"TOT_BUY_REC")</f>
        <v>24</v>
      </c>
      <c r="AI95" s="22">
        <f>_xll.BDP(AX95,"TOT_HOLD_REC")</f>
        <v>4</v>
      </c>
      <c r="AJ95" s="22">
        <f>_xll.BDP(AX95,"TOT_SELL_REC")</f>
        <v>0</v>
      </c>
      <c r="AK95" s="26" cm="1">
        <f t="array" ref="AK95">IF(OR(_xll.BDP($AX95,"EE201")= "#N/A N/A", _xll.BDP($AX95,"EE201")="#N/A FIELD NOT APPLICABLE"), " ", _xll.BDP($AX95,"EE201"))</f>
        <v>4.6428570747375488</v>
      </c>
      <c r="AL95" s="24">
        <f>_xll.BDP(AX95,"BEST_TARGET_PRICE")</f>
        <v>126.90000152587891</v>
      </c>
      <c r="AM95" s="32">
        <f>(AL95/Q95)-1</f>
        <v>0.35881787692342759</v>
      </c>
      <c r="AN95" s="32">
        <f>_xll.BDP(AX95,"PR061")/100</f>
        <v>0.30378340000000004</v>
      </c>
      <c r="AO95" s="32">
        <f>_xll.BDP(AX95,"PR064")/100</f>
        <v>-0.11829679999999999</v>
      </c>
      <c r="AP95" s="32">
        <f>_xll.BDP(AX95,"CHG_PCT_6M")/100</f>
        <v>-0.32497290000000001</v>
      </c>
      <c r="AQ95" s="25">
        <f>_xll.BDP(AX95,"PR079")/100</f>
        <v>-0.18960429999999998</v>
      </c>
      <c r="AR95" s="33">
        <f>_xll.BDP(AX95,"hs001")</f>
        <v>179.7</v>
      </c>
      <c r="AS95" s="33">
        <f>_xll.BDP(AX95,"hs002")</f>
        <v>66.245000000000005</v>
      </c>
      <c r="AT95" s="22" t="str" cm="1">
        <f t="array" ref="AT95">IF(OR(_xll.BDP($AX95,"DX202")= "#N/A N/A", _xll.BDP($AX95,"DX202")="#N/A FIELD NOT APPLICABLE"), " ", _xll.BDP($AX95,"DX202"))</f>
        <v>Information Technology</v>
      </c>
      <c r="AU95" s="22" t="str" cm="1">
        <f t="array" ref="AU95">IF(OR(_xll.BDP($AX95,"DY997")= "#N/A N/A", _xll.BDP($AX95,"DY997")="#N/A FIELD NOT APPLICABLE"), " ", _xll.BDP($AX95,"DY997"))</f>
        <v>Y</v>
      </c>
      <c r="AV95" s="22" t="str" cm="1">
        <f t="array" ref="AV95">IF(OR(_xll.BDP($AX95,"DY784")= "#N/A N/A", _xll.BDP($AX95,"DY784")="#N/A FIELD NOT APPLICABLE"), " ", _xll.BDP($AX95,"DY784"))</f>
        <v xml:space="preserve"> </v>
      </c>
      <c r="AW95" s="22" t="str">
        <f>IF(OR(AU95="Y",AV95="Y"),"Y","N")</f>
        <v>Y</v>
      </c>
      <c r="AX95" s="22" t="str">
        <f>CONCATENATE(G95," ",$AX$2)</f>
        <v>DELL US Equity</v>
      </c>
      <c r="BC95" s="17" t="str" cm="1">
        <f t="array" ref="BC95">_xll.BDP(AX95,"ID005")</f>
        <v>US24703L2025</v>
      </c>
      <c r="BD95" s="17">
        <v>0.75</v>
      </c>
      <c r="BE95" s="18">
        <v>4</v>
      </c>
      <c r="BF95" s="19">
        <v>45540</v>
      </c>
      <c r="BG95" s="20">
        <v>1</v>
      </c>
    </row>
    <row r="96" spans="1:59" s="3" customFormat="1" ht="14.45" customHeight="1" x14ac:dyDescent="0.25">
      <c r="A96" s="49" t="s">
        <v>241</v>
      </c>
      <c r="B96" s="49" t="s">
        <v>249</v>
      </c>
      <c r="C96" s="49" t="s">
        <v>250</v>
      </c>
      <c r="D96" s="49" t="s">
        <v>240</v>
      </c>
      <c r="E96" s="22" t="str">
        <f>_xll.BDP(AX96,"SECURITY NAME")</f>
        <v>Dell Technologies Inc</v>
      </c>
      <c r="F96" s="22" t="str">
        <f>_xll.BDP(AX96,"CRNCY")</f>
        <v>USD</v>
      </c>
      <c r="G96" s="23" t="s">
        <v>338</v>
      </c>
      <c r="H96" s="22" t="str" cm="1">
        <f t="array" ref="H96">IF(OR(_xll.BDP($AX96,"DX202")= "#N/A N/A", _xll.BDP($AX96,"DX202")="#N/A FIELD NOT APPLICABLE"), " ", _xll.BDP($AX96,"DX202"))</f>
        <v>Information Technology</v>
      </c>
      <c r="I96" s="24">
        <f>_xll.BDP(AX96,"CRNCY_ADJ_MKT_CAP", "EQY_FUND_CRNCY=USD")/1000</f>
        <v>65.171354273190005</v>
      </c>
      <c r="J96" s="25">
        <f>IFERROR(_xll.BDP(AX96, "DV013")/100,0)</f>
        <v>2.2486346553512882E-2</v>
      </c>
      <c r="K96" s="26" cm="1">
        <f t="array" ref="K96">IF(OR(_xll.BDP($AX96,"RR900")= "#N/A N/A", _xll.BDP($AX96,"RR900")="#N/A FIELD NOT APPLICABLE"), " ", _xll.BDP($AX96,"RR900"))</f>
        <v>13.337480589980856</v>
      </c>
      <c r="L96" s="26" cm="1">
        <f t="array" ref="L96">IF(OR(_xll.BDP($AX96,"EE010")= "#N/A N/A", _xll.BDP($AX96,"EE010")="#N/A FIELD NOT APPLICABLE"), " ", _xll.BDP($AX96,"EE010"))</f>
        <v>9.0292951754810016</v>
      </c>
      <c r="M96" s="26" t="str" cm="1">
        <f t="array" ref="M96">IF(OR(_xll.BDP($AX96,"RR903")= "#N/A N/A", _xll.BDP($AX96,"RR903")="#N/A FIELD NOT APPLICABLE"), " ", _xll.BDP($AX96,"RR903"))</f>
        <v xml:space="preserve"> </v>
      </c>
      <c r="N96" s="26" cm="1">
        <f t="array" ref="N96">IF(OR(_xll.BDP($AX96,"RR957")= "#N/A N/A", _xll.BDP($AX96,"RR957")="#N/A FIELD NOT APPLICABLE"), " ", _xll.BDP($AX96,"RR957"))</f>
        <v>9.0084278745664559</v>
      </c>
      <c r="O96" s="27">
        <v>674</v>
      </c>
      <c r="P96" s="28">
        <v>96.99</v>
      </c>
      <c r="Q96" s="22" cm="1">
        <f t="array" ref="Q96">IF(OR(_xll.BDP($AX96,"PX_last")="#N/A N/A",_xll.BDP($AX96,"PX_Last")="#N/A FIELD NOT APPLICABLE")," ",IF(F96="GBP",(_xll.BDP($AX96,"PX_LAST")/100),(_xll.BDP($AX96,"PX_LAST"))))</f>
        <v>93.39</v>
      </c>
      <c r="R96" s="29">
        <f>IF(F96="USD",AA96,(((_xll.BDP(F96&amp;"USD CURNCY","PX_LAST")))*AA96))</f>
        <v>65371.259999999995</v>
      </c>
      <c r="S96" s="29">
        <f>IF(F96="USD",AB96,(((_xll.BDP(F96&amp;"USD CURNCY","PX_LAST")))*AB96))</f>
        <v>62944.86</v>
      </c>
      <c r="T96" s="12">
        <f>S96-R96</f>
        <v>-2426.3999999999942</v>
      </c>
      <c r="U96" s="13">
        <f>T96/R96</f>
        <v>-3.7117228580265921E-2</v>
      </c>
      <c r="V96" s="13" cm="1">
        <f t="array" ref="V96">IFERROR(_xll.BDP($G96&amp;" Equity","CHG_PCT_1D")/100,"")</f>
        <v>-1.0279780000000001E-2</v>
      </c>
      <c r="W96" s="13" cm="1">
        <f t="array" ref="W96">IFERROR(_xll.BDP($G96&amp;" Equity","CHG_PCT_5D")/100,"")</f>
        <v>-4.1586690000000003E-3</v>
      </c>
      <c r="X96" s="13" t="e">
        <f>S96/#REF!</f>
        <v>#REF!</v>
      </c>
      <c r="Y96" s="24">
        <f>IFERROR(S96*J96,0)</f>
        <v>1415.3999357223508</v>
      </c>
      <c r="Z96" s="24">
        <f>S96</f>
        <v>62944.86</v>
      </c>
      <c r="AA96" s="29">
        <f>P96*O96</f>
        <v>65371.259999999995</v>
      </c>
      <c r="AB96" s="29">
        <f>IFERROR(O96*Q96,0)</f>
        <v>62944.86</v>
      </c>
      <c r="AC96" s="4" t="e" cm="1">
        <f t="array" ref="AC96">VLOOKUP(IF(NOT(_xll.BDP(AX96,$BW$8)="#N/A N/A"),(_xll.BDP(AX96,$BW$8)),"-"), '[1]Country Codes'!$A$2:$B$253,2,0)</f>
        <v>#N/A</v>
      </c>
      <c r="AD96" s="30" t="str" cm="1">
        <f t="array" ref="AD96">IF(OR(_xll.BDP($AX96,"EX028")= "#N/A N/A", _xll.BDP($AX96,"EX028")="#N/A FIELD NOT APPLICABLE"), " ", _xll.BDP($AX96,"EX028"))</f>
        <v>Equity</v>
      </c>
      <c r="AE96" s="31" t="str">
        <f>IF(("AS97"="Equity"), " ", "Single Line Equity")</f>
        <v>Single Line Equity</v>
      </c>
      <c r="AF96" s="26" cm="1">
        <f t="array" ref="AF96">IF(OR(_xll.BDP($AX96,"RR908")= "#N/A N/A", _xll.BDP($AX96,"RR908")="#N/A FIELD NOT APPLICABLE"), " ", _xll.BDP($AX96,"RR908"))</f>
        <v>14.565257788339915</v>
      </c>
      <c r="AG96" s="26" cm="1">
        <f t="array" ref="AG96">IF(OR(_xll.BDP($AX96,"RR041")= "#N/A N/A", _xll.BDP($AX96,"RR041")="#N/A FIELD NOT APPLICABLE"), " ", _xll.BDP($AX96,"RR041"))</f>
        <v>31.757078724951722</v>
      </c>
      <c r="AH96" s="22">
        <f>_xll.BDP(AX96,"TOT_BUY_REC")</f>
        <v>24</v>
      </c>
      <c r="AI96" s="22">
        <f>_xll.BDP(AX96,"TOT_HOLD_REC")</f>
        <v>4</v>
      </c>
      <c r="AJ96" s="22">
        <f>_xll.BDP(AX96,"TOT_SELL_REC")</f>
        <v>0</v>
      </c>
      <c r="AK96" s="26" cm="1">
        <f t="array" ref="AK96">IF(OR(_xll.BDP($AX96,"EE201")= "#N/A N/A", _xll.BDP($AX96,"EE201")="#N/A FIELD NOT APPLICABLE"), " ", _xll.BDP($AX96,"EE201"))</f>
        <v>4.6428570747375488</v>
      </c>
      <c r="AL96" s="24">
        <f>_xll.BDP(AX96,"BEST_TARGET_PRICE")</f>
        <v>126.90000152587891</v>
      </c>
      <c r="AM96" s="32">
        <f>(AL96/Q96)-1</f>
        <v>0.35881787692342759</v>
      </c>
      <c r="AN96" s="32">
        <f>_xll.BDP(AX96,"PR061")/100</f>
        <v>0.30378340000000004</v>
      </c>
      <c r="AO96" s="32">
        <f>_xll.BDP(AX96,"PR064")/100</f>
        <v>-0.11829679999999999</v>
      </c>
      <c r="AP96" s="32">
        <f>_xll.BDP(AX96,"CHG_PCT_6M")/100</f>
        <v>-0.32497290000000001</v>
      </c>
      <c r="AQ96" s="25">
        <f>_xll.BDP(AX96,"PR079")/100</f>
        <v>-0.18960429999999998</v>
      </c>
      <c r="AR96" s="33">
        <f>_xll.BDP(AX96,"hs001")</f>
        <v>179.7</v>
      </c>
      <c r="AS96" s="33">
        <f>_xll.BDP(AX96,"hs002")</f>
        <v>66.245000000000005</v>
      </c>
      <c r="AT96" s="22" t="str" cm="1">
        <f t="array" ref="AT96">IF(OR(_xll.BDP($AX96,"DX202")= "#N/A N/A", _xll.BDP($AX96,"DX202")="#N/A FIELD NOT APPLICABLE"), " ", _xll.BDP($AX96,"DX202"))</f>
        <v>Information Technology</v>
      </c>
      <c r="AU96" s="22" t="str" cm="1">
        <f t="array" ref="AU96">IF(OR(_xll.BDP($AX96,"DY997")= "#N/A N/A", _xll.BDP($AX96,"DY997")="#N/A FIELD NOT APPLICABLE"), " ", _xll.BDP($AX96,"DY997"))</f>
        <v>Y</v>
      </c>
      <c r="AV96" s="22" t="str" cm="1">
        <f t="array" ref="AV96">IF(OR(_xll.BDP($AX96,"DY784")= "#N/A N/A", _xll.BDP($AX96,"DY784")="#N/A FIELD NOT APPLICABLE"), " ", _xll.BDP($AX96,"DY784"))</f>
        <v xml:space="preserve"> </v>
      </c>
      <c r="AW96" s="22" t="str">
        <f>IF(OR(AU96="Y",AV96="Y"),"Y","N")</f>
        <v>Y</v>
      </c>
      <c r="AX96" s="22" t="str">
        <f>CONCATENATE(G96," ",$AX$2)</f>
        <v>DELL US Equity</v>
      </c>
      <c r="BC96" s="17" t="str" cm="1">
        <f t="array" ref="BC96">_xll.BDP(AX96,"ID005")</f>
        <v>US24703L2025</v>
      </c>
      <c r="BD96" s="17">
        <v>0.75</v>
      </c>
      <c r="BE96" s="18">
        <v>4</v>
      </c>
      <c r="BF96" s="19">
        <v>45540</v>
      </c>
      <c r="BG96" s="20">
        <v>1</v>
      </c>
    </row>
    <row r="97" spans="1:59" s="3" customFormat="1" ht="14.45" customHeight="1" x14ac:dyDescent="0.25">
      <c r="A97" s="49" t="s">
        <v>241</v>
      </c>
      <c r="B97" s="49" t="s">
        <v>251</v>
      </c>
      <c r="C97" s="49" t="s">
        <v>252</v>
      </c>
      <c r="D97" s="49" t="s">
        <v>240</v>
      </c>
      <c r="E97" s="22" t="str">
        <f>_xll.BDP(AX97,"SECURITY NAME")</f>
        <v>Dell Technologies Inc</v>
      </c>
      <c r="F97" s="22" t="str">
        <f>_xll.BDP(AX97,"CRNCY")</f>
        <v>USD</v>
      </c>
      <c r="G97" s="23" t="s">
        <v>338</v>
      </c>
      <c r="H97" s="22" t="str" cm="1">
        <f t="array" ref="H97">IF(OR(_xll.BDP($AX97,"DX202")= "#N/A N/A", _xll.BDP($AX97,"DX202")="#N/A FIELD NOT APPLICABLE"), " ", _xll.BDP($AX97,"DX202"))</f>
        <v>Information Technology</v>
      </c>
      <c r="I97" s="24">
        <f>_xll.BDP(AX97,"CRNCY_ADJ_MKT_CAP", "EQY_FUND_CRNCY=USD")/1000</f>
        <v>65.171354273190005</v>
      </c>
      <c r="J97" s="25">
        <f>IFERROR(_xll.BDP(AX97, "DV013")/100,0)</f>
        <v>2.2486346553512882E-2</v>
      </c>
      <c r="K97" s="26" cm="1">
        <f t="array" ref="K97">IF(OR(_xll.BDP($AX97,"RR900")= "#N/A N/A", _xll.BDP($AX97,"RR900")="#N/A FIELD NOT APPLICABLE"), " ", _xll.BDP($AX97,"RR900"))</f>
        <v>13.337480589980856</v>
      </c>
      <c r="L97" s="26" cm="1">
        <f t="array" ref="L97">IF(OR(_xll.BDP($AX97,"EE010")= "#N/A N/A", _xll.BDP($AX97,"EE010")="#N/A FIELD NOT APPLICABLE"), " ", _xll.BDP($AX97,"EE010"))</f>
        <v>9.0292951754810016</v>
      </c>
      <c r="M97" s="26" t="str" cm="1">
        <f t="array" ref="M97">IF(OR(_xll.BDP($AX97,"RR903")= "#N/A N/A", _xll.BDP($AX97,"RR903")="#N/A FIELD NOT APPLICABLE"), " ", _xll.BDP($AX97,"RR903"))</f>
        <v xml:space="preserve"> </v>
      </c>
      <c r="N97" s="26" cm="1">
        <f t="array" ref="N97">IF(OR(_xll.BDP($AX97,"RR957")= "#N/A N/A", _xll.BDP($AX97,"RR957")="#N/A FIELD NOT APPLICABLE"), " ", _xll.BDP($AX97,"RR957"))</f>
        <v>9.0084278745664559</v>
      </c>
      <c r="O97" s="27">
        <v>778</v>
      </c>
      <c r="P97" s="28">
        <v>96.99</v>
      </c>
      <c r="Q97" s="22" cm="1">
        <f t="array" ref="Q97">IF(OR(_xll.BDP($AX97,"PX_last")="#N/A N/A",_xll.BDP($AX97,"PX_Last")="#N/A FIELD NOT APPLICABLE")," ",IF(F97="GBP",(_xll.BDP($AX97,"PX_LAST")/100),(_xll.BDP($AX97,"PX_LAST"))))</f>
        <v>93.39</v>
      </c>
      <c r="R97" s="29">
        <f>IF(F97="USD",AA97,(((_xll.BDP(F97&amp;"USD CURNCY","PX_LAST")))*AA97))</f>
        <v>75458.22</v>
      </c>
      <c r="S97" s="29">
        <f>IF(F97="USD",AB97,(((_xll.BDP(F97&amp;"USD CURNCY","PX_LAST")))*AB97))</f>
        <v>72657.42</v>
      </c>
      <c r="T97" s="12">
        <f>S97-R97</f>
        <v>-2800.8000000000029</v>
      </c>
      <c r="U97" s="13">
        <f>T97/R97</f>
        <v>-3.7117228580266046E-2</v>
      </c>
      <c r="V97" s="13" cm="1">
        <f t="array" ref="V97">IFERROR(_xll.BDP($G97&amp;" Equity","CHG_PCT_1D")/100,"")</f>
        <v>-1.0279780000000001E-2</v>
      </c>
      <c r="W97" s="13" cm="1">
        <f t="array" ref="W97">IFERROR(_xll.BDP($G97&amp;" Equity","CHG_PCT_5D")/100,"")</f>
        <v>-4.1586690000000003E-3</v>
      </c>
      <c r="X97" s="13" t="e">
        <f>S97/#REF!</f>
        <v>#REF!</v>
      </c>
      <c r="Y97" s="24">
        <f>IFERROR(S97*J97,0)</f>
        <v>1633.799925804138</v>
      </c>
      <c r="Z97" s="24">
        <f>S97</f>
        <v>72657.42</v>
      </c>
      <c r="AA97" s="29">
        <f>P97*O97</f>
        <v>75458.22</v>
      </c>
      <c r="AB97" s="29">
        <f>IFERROR(O97*Q97,0)</f>
        <v>72657.42</v>
      </c>
      <c r="AC97" s="4" t="e" cm="1">
        <f t="array" ref="AC97">VLOOKUP(IF(NOT(_xll.BDP(AX97,$BW$8)="#N/A N/A"),(_xll.BDP(AX97,$BW$8)),"-"), '[1]Country Codes'!$A$2:$B$253,2,0)</f>
        <v>#N/A</v>
      </c>
      <c r="AD97" s="30" t="str" cm="1">
        <f t="array" ref="AD97">IF(OR(_xll.BDP($AX97,"EX028")= "#N/A N/A", _xll.BDP($AX97,"EX028")="#N/A FIELD NOT APPLICABLE"), " ", _xll.BDP($AX97,"EX028"))</f>
        <v>Equity</v>
      </c>
      <c r="AE97" s="31" t="str">
        <f>IF(("AS97"="Equity"), " ", "Single Line Equity")</f>
        <v>Single Line Equity</v>
      </c>
      <c r="AF97" s="26" cm="1">
        <f t="array" ref="AF97">IF(OR(_xll.BDP($AX97,"RR908")= "#N/A N/A", _xll.BDP($AX97,"RR908")="#N/A FIELD NOT APPLICABLE"), " ", _xll.BDP($AX97,"RR908"))</f>
        <v>14.565257788339915</v>
      </c>
      <c r="AG97" s="26" cm="1">
        <f t="array" ref="AG97">IF(OR(_xll.BDP($AX97,"RR041")= "#N/A N/A", _xll.BDP($AX97,"RR041")="#N/A FIELD NOT APPLICABLE"), " ", _xll.BDP($AX97,"RR041"))</f>
        <v>31.757078724951722</v>
      </c>
      <c r="AH97" s="22">
        <f>_xll.BDP(AX97,"TOT_BUY_REC")</f>
        <v>24</v>
      </c>
      <c r="AI97" s="22">
        <f>_xll.BDP(AX97,"TOT_HOLD_REC")</f>
        <v>4</v>
      </c>
      <c r="AJ97" s="22">
        <f>_xll.BDP(AX97,"TOT_SELL_REC")</f>
        <v>0</v>
      </c>
      <c r="AK97" s="26" cm="1">
        <f t="array" ref="AK97">IF(OR(_xll.BDP($AX97,"EE201")= "#N/A N/A", _xll.BDP($AX97,"EE201")="#N/A FIELD NOT APPLICABLE"), " ", _xll.BDP($AX97,"EE201"))</f>
        <v>4.6428570747375488</v>
      </c>
      <c r="AL97" s="24">
        <f>_xll.BDP(AX97,"BEST_TARGET_PRICE")</f>
        <v>126.90000152587891</v>
      </c>
      <c r="AM97" s="32">
        <f>(AL97/Q97)-1</f>
        <v>0.35881787692342759</v>
      </c>
      <c r="AN97" s="32">
        <f>_xll.BDP(AX97,"PR061")/100</f>
        <v>0.30378340000000004</v>
      </c>
      <c r="AO97" s="32">
        <f>_xll.BDP(AX97,"PR064")/100</f>
        <v>-0.11829679999999999</v>
      </c>
      <c r="AP97" s="32">
        <f>_xll.BDP(AX97,"CHG_PCT_6M")/100</f>
        <v>-0.32497290000000001</v>
      </c>
      <c r="AQ97" s="25">
        <f>_xll.BDP(AX97,"PR079")/100</f>
        <v>-0.18960429999999998</v>
      </c>
      <c r="AR97" s="33">
        <f>_xll.BDP(AX97,"hs001")</f>
        <v>179.7</v>
      </c>
      <c r="AS97" s="33">
        <f>_xll.BDP(AX97,"hs002")</f>
        <v>66.245000000000005</v>
      </c>
      <c r="AT97" s="22" t="str" cm="1">
        <f t="array" ref="AT97">IF(OR(_xll.BDP($AX97,"DX202")= "#N/A N/A", _xll.BDP($AX97,"DX202")="#N/A FIELD NOT APPLICABLE"), " ", _xll.BDP($AX97,"DX202"))</f>
        <v>Information Technology</v>
      </c>
      <c r="AU97" s="22" t="str" cm="1">
        <f t="array" ref="AU97">IF(OR(_xll.BDP($AX97,"DY997")= "#N/A N/A", _xll.BDP($AX97,"DY997")="#N/A FIELD NOT APPLICABLE"), " ", _xll.BDP($AX97,"DY997"))</f>
        <v>Y</v>
      </c>
      <c r="AV97" s="22" t="str" cm="1">
        <f t="array" ref="AV97">IF(OR(_xll.BDP($AX97,"DY784")= "#N/A N/A", _xll.BDP($AX97,"DY784")="#N/A FIELD NOT APPLICABLE"), " ", _xll.BDP($AX97,"DY784"))</f>
        <v xml:space="preserve"> </v>
      </c>
      <c r="AW97" s="22" t="str">
        <f>IF(OR(AU97="Y",AV97="Y"),"Y","N")</f>
        <v>Y</v>
      </c>
      <c r="AX97" s="22" t="str">
        <f>CONCATENATE(G97," ",$AX$2)</f>
        <v>DELL US Equity</v>
      </c>
      <c r="BC97" s="17" t="str" cm="1">
        <f t="array" ref="BC97">_xll.BDP(AX97,"ID005")</f>
        <v>US24703L2025</v>
      </c>
      <c r="BD97" s="17">
        <v>0.72</v>
      </c>
      <c r="BE97" s="18">
        <v>4</v>
      </c>
      <c r="BF97" s="19">
        <v>45565</v>
      </c>
      <c r="BG97" s="20">
        <v>1</v>
      </c>
    </row>
    <row r="98" spans="1:59" s="3" customFormat="1" ht="14.45" customHeight="1" x14ac:dyDescent="0.25">
      <c r="A98" s="49" t="s">
        <v>241</v>
      </c>
      <c r="B98" s="49" t="s">
        <v>253</v>
      </c>
      <c r="C98" s="49" t="s">
        <v>254</v>
      </c>
      <c r="D98" s="49" t="s">
        <v>240</v>
      </c>
      <c r="E98" s="22" t="str">
        <f>_xll.BDP(AX98,"SECURITY NAME")</f>
        <v>Dell Technologies Inc</v>
      </c>
      <c r="F98" s="22" t="str">
        <f>_xll.BDP(AX98,"CRNCY")</f>
        <v>USD</v>
      </c>
      <c r="G98" s="23" t="s">
        <v>338</v>
      </c>
      <c r="H98" s="22" t="str" cm="1">
        <f t="array" ref="H98">IF(OR(_xll.BDP($AX98,"DX202")= "#N/A N/A", _xll.BDP($AX98,"DX202")="#N/A FIELD NOT APPLICABLE"), " ", _xll.BDP($AX98,"DX202"))</f>
        <v>Information Technology</v>
      </c>
      <c r="I98" s="24">
        <f>_xll.BDP(AX98,"CRNCY_ADJ_MKT_CAP", "EQY_FUND_CRNCY=USD")/1000</f>
        <v>65.171354273190005</v>
      </c>
      <c r="J98" s="25">
        <f>IFERROR(_xll.BDP(AX98, "DV013")/100,0)</f>
        <v>2.2486346553512882E-2</v>
      </c>
      <c r="K98" s="26" cm="1">
        <f t="array" ref="K98">IF(OR(_xll.BDP($AX98,"RR900")= "#N/A N/A", _xll.BDP($AX98,"RR900")="#N/A FIELD NOT APPLICABLE"), " ", _xll.BDP($AX98,"RR900"))</f>
        <v>13.337480589980856</v>
      </c>
      <c r="L98" s="26" cm="1">
        <f t="array" ref="L98">IF(OR(_xll.BDP($AX98,"EE010")= "#N/A N/A", _xll.BDP($AX98,"EE010")="#N/A FIELD NOT APPLICABLE"), " ", _xll.BDP($AX98,"EE010"))</f>
        <v>9.0292951754810016</v>
      </c>
      <c r="M98" s="26" t="str" cm="1">
        <f t="array" ref="M98">IF(OR(_xll.BDP($AX98,"RR903")= "#N/A N/A", _xll.BDP($AX98,"RR903")="#N/A FIELD NOT APPLICABLE"), " ", _xll.BDP($AX98,"RR903"))</f>
        <v xml:space="preserve"> </v>
      </c>
      <c r="N98" s="26" cm="1">
        <f t="array" ref="N98">IF(OR(_xll.BDP($AX98,"RR957")= "#N/A N/A", _xll.BDP($AX98,"RR957")="#N/A FIELD NOT APPLICABLE"), " ", _xll.BDP($AX98,"RR957"))</f>
        <v>9.0084278745664559</v>
      </c>
      <c r="O98" s="27">
        <v>214</v>
      </c>
      <c r="P98" s="28">
        <v>96.99</v>
      </c>
      <c r="Q98" s="22" cm="1">
        <f t="array" ref="Q98">IF(OR(_xll.BDP($AX98,"PX_last")="#N/A N/A",_xll.BDP($AX98,"PX_Last")="#N/A FIELD NOT APPLICABLE")," ",IF(F98="GBP",(_xll.BDP($AX98,"PX_LAST")/100),(_xll.BDP($AX98,"PX_LAST"))))</f>
        <v>93.39</v>
      </c>
      <c r="R98" s="29">
        <f>IF(F98="USD",AA98,(((_xll.BDP(F98&amp;"USD CURNCY","PX_LAST")))*AA98))</f>
        <v>20755.86</v>
      </c>
      <c r="S98" s="29">
        <f>IF(F98="USD",AB98,(((_xll.BDP(F98&amp;"USD CURNCY","PX_LAST")))*AB98))</f>
        <v>19985.46</v>
      </c>
      <c r="T98" s="12">
        <f>S98-R98</f>
        <v>-770.40000000000146</v>
      </c>
      <c r="U98" s="13">
        <f>T98/R98</f>
        <v>-3.7117228580266073E-2</v>
      </c>
      <c r="V98" s="13" cm="1">
        <f t="array" ref="V98">IFERROR(_xll.BDP($G98&amp;" Equity","CHG_PCT_1D")/100,"")</f>
        <v>-1.0279780000000001E-2</v>
      </c>
      <c r="W98" s="13" cm="1">
        <f t="array" ref="W98">IFERROR(_xll.BDP($G98&amp;" Equity","CHG_PCT_5D")/100,"")</f>
        <v>-4.1586690000000003E-3</v>
      </c>
      <c r="X98" s="13" t="e">
        <f>S98/#REF!</f>
        <v>#REF!</v>
      </c>
      <c r="Y98" s="24">
        <f>IFERROR(S98*J98,0)</f>
        <v>449.39997959136957</v>
      </c>
      <c r="Z98" s="24">
        <f>S98</f>
        <v>19985.46</v>
      </c>
      <c r="AA98" s="29">
        <f>P98*O98</f>
        <v>20755.86</v>
      </c>
      <c r="AB98" s="29">
        <f>IFERROR(O98*Q98,0)</f>
        <v>19985.46</v>
      </c>
      <c r="AC98" s="4" t="e" cm="1">
        <f t="array" ref="AC98">VLOOKUP(IF(NOT(_xll.BDP(AX98,$BW$8)="#N/A N/A"),(_xll.BDP(AX98,$BW$8)),"-"), '[1]Country Codes'!$A$2:$B$253,2,0)</f>
        <v>#N/A</v>
      </c>
      <c r="AD98" s="30" t="str" cm="1">
        <f t="array" ref="AD98">IF(OR(_xll.BDP($AX98,"EX028")= "#N/A N/A", _xll.BDP($AX98,"EX028")="#N/A FIELD NOT APPLICABLE"), " ", _xll.BDP($AX98,"EX028"))</f>
        <v>Equity</v>
      </c>
      <c r="AE98" s="31" t="str">
        <f>IF(("AS97"="Equity"), " ", "Single Line Equity")</f>
        <v>Single Line Equity</v>
      </c>
      <c r="AF98" s="26" cm="1">
        <f t="array" ref="AF98">IF(OR(_xll.BDP($AX98,"RR908")= "#N/A N/A", _xll.BDP($AX98,"RR908")="#N/A FIELD NOT APPLICABLE"), " ", _xll.BDP($AX98,"RR908"))</f>
        <v>14.565257788339915</v>
      </c>
      <c r="AG98" s="26" cm="1">
        <f t="array" ref="AG98">IF(OR(_xll.BDP($AX98,"RR041")= "#N/A N/A", _xll.BDP($AX98,"RR041")="#N/A FIELD NOT APPLICABLE"), " ", _xll.BDP($AX98,"RR041"))</f>
        <v>31.757078724951722</v>
      </c>
      <c r="AH98" s="22">
        <f>_xll.BDP(AX98,"TOT_BUY_REC")</f>
        <v>24</v>
      </c>
      <c r="AI98" s="22">
        <f>_xll.BDP(AX98,"TOT_HOLD_REC")</f>
        <v>4</v>
      </c>
      <c r="AJ98" s="22">
        <f>_xll.BDP(AX98,"TOT_SELL_REC")</f>
        <v>0</v>
      </c>
      <c r="AK98" s="26" cm="1">
        <f t="array" ref="AK98">IF(OR(_xll.BDP($AX98,"EE201")= "#N/A N/A", _xll.BDP($AX98,"EE201")="#N/A FIELD NOT APPLICABLE"), " ", _xll.BDP($AX98,"EE201"))</f>
        <v>4.6428570747375488</v>
      </c>
      <c r="AL98" s="24">
        <f>_xll.BDP(AX98,"BEST_TARGET_PRICE")</f>
        <v>126.90000152587891</v>
      </c>
      <c r="AM98" s="32">
        <f>(AL98/Q98)-1</f>
        <v>0.35881787692342759</v>
      </c>
      <c r="AN98" s="32">
        <f>_xll.BDP(AX98,"PR061")/100</f>
        <v>0.30378340000000004</v>
      </c>
      <c r="AO98" s="32">
        <f>_xll.BDP(AX98,"PR064")/100</f>
        <v>-0.11829679999999999</v>
      </c>
      <c r="AP98" s="32">
        <f>_xll.BDP(AX98,"CHG_PCT_6M")/100</f>
        <v>-0.32497290000000001</v>
      </c>
      <c r="AQ98" s="25">
        <f>_xll.BDP(AX98,"PR079")/100</f>
        <v>-0.18960429999999998</v>
      </c>
      <c r="AR98" s="33">
        <f>_xll.BDP(AX98,"hs001")</f>
        <v>179.7</v>
      </c>
      <c r="AS98" s="33">
        <f>_xll.BDP(AX98,"hs002")</f>
        <v>66.245000000000005</v>
      </c>
      <c r="AT98" s="22" t="str" cm="1">
        <f t="array" ref="AT98">IF(OR(_xll.BDP($AX98,"DX202")= "#N/A N/A", _xll.BDP($AX98,"DX202")="#N/A FIELD NOT APPLICABLE"), " ", _xll.BDP($AX98,"DX202"))</f>
        <v>Information Technology</v>
      </c>
      <c r="AU98" s="22" t="str" cm="1">
        <f t="array" ref="AU98">IF(OR(_xll.BDP($AX98,"DY997")= "#N/A N/A", _xll.BDP($AX98,"DY997")="#N/A FIELD NOT APPLICABLE"), " ", _xll.BDP($AX98,"DY997"))</f>
        <v>Y</v>
      </c>
      <c r="AV98" s="22" t="str" cm="1">
        <f t="array" ref="AV98">IF(OR(_xll.BDP($AX98,"DY784")= "#N/A N/A", _xll.BDP($AX98,"DY784")="#N/A FIELD NOT APPLICABLE"), " ", _xll.BDP($AX98,"DY784"))</f>
        <v xml:space="preserve"> </v>
      </c>
      <c r="AW98" s="22" t="str">
        <f>IF(OR(AU98="Y",AV98="Y"),"Y","N")</f>
        <v>Y</v>
      </c>
      <c r="AX98" s="22" t="str">
        <f>CONCATENATE(G98," ",$AX$2)</f>
        <v>DELL US Equity</v>
      </c>
      <c r="BC98" s="17" t="str" cm="1">
        <f t="array" ref="BC98">_xll.BDP(AX98,"ID005")</f>
        <v>US24703L2025</v>
      </c>
      <c r="BD98" s="17">
        <v>0.72</v>
      </c>
      <c r="BE98" s="18">
        <v>4</v>
      </c>
      <c r="BF98" s="19">
        <v>45565</v>
      </c>
      <c r="BG98" s="20">
        <v>1</v>
      </c>
    </row>
    <row r="99" spans="1:59" s="3" customFormat="1" ht="14.45" customHeight="1" x14ac:dyDescent="0.25">
      <c r="A99" s="49" t="s">
        <v>242</v>
      </c>
      <c r="B99" s="49" t="s">
        <v>255</v>
      </c>
      <c r="C99" s="49" t="s">
        <v>256</v>
      </c>
      <c r="D99" s="49" t="s">
        <v>248</v>
      </c>
      <c r="E99" s="22" t="str">
        <f>_xll.BDP(AX99,"SECURITY NAME")</f>
        <v>Dell Technologies Inc</v>
      </c>
      <c r="F99" s="22" t="str">
        <f>_xll.BDP(AX99,"CRNCY")</f>
        <v>USD</v>
      </c>
      <c r="G99" s="23" t="s">
        <v>338</v>
      </c>
      <c r="H99" s="22" t="str" cm="1">
        <f t="array" ref="H99">IF(OR(_xll.BDP($AX99,"DX202")= "#N/A N/A", _xll.BDP($AX99,"DX202")="#N/A FIELD NOT APPLICABLE"), " ", _xll.BDP($AX99,"DX202"))</f>
        <v>Information Technology</v>
      </c>
      <c r="I99" s="24">
        <f>_xll.BDP(AX99,"CRNCY_ADJ_MKT_CAP", "EQY_FUND_CRNCY=USD")/1000</f>
        <v>65.171354273190005</v>
      </c>
      <c r="J99" s="25">
        <f>IFERROR(_xll.BDP(AX99, "DV013")/100,0)</f>
        <v>2.2486346553512882E-2</v>
      </c>
      <c r="K99" s="26" cm="1">
        <f t="array" ref="K99">IF(OR(_xll.BDP($AX99,"RR900")= "#N/A N/A", _xll.BDP($AX99,"RR900")="#N/A FIELD NOT APPLICABLE"), " ", _xll.BDP($AX99,"RR900"))</f>
        <v>13.337480589980856</v>
      </c>
      <c r="L99" s="26" cm="1">
        <f t="array" ref="L99">IF(OR(_xll.BDP($AX99,"EE010")= "#N/A N/A", _xll.BDP($AX99,"EE010")="#N/A FIELD NOT APPLICABLE"), " ", _xll.BDP($AX99,"EE010"))</f>
        <v>9.0292951754810016</v>
      </c>
      <c r="M99" s="26" t="str" cm="1">
        <f t="array" ref="M99">IF(OR(_xll.BDP($AX99,"RR903")= "#N/A N/A", _xll.BDP($AX99,"RR903")="#N/A FIELD NOT APPLICABLE"), " ", _xll.BDP($AX99,"RR903"))</f>
        <v xml:space="preserve"> </v>
      </c>
      <c r="N99" s="26" cm="1">
        <f t="array" ref="N99">IF(OR(_xll.BDP($AX99,"RR957")= "#N/A N/A", _xll.BDP($AX99,"RR957")="#N/A FIELD NOT APPLICABLE"), " ", _xll.BDP($AX99,"RR957"))</f>
        <v>9.0084278745664559</v>
      </c>
      <c r="O99" s="27">
        <v>867</v>
      </c>
      <c r="P99" s="28">
        <v>97.34</v>
      </c>
      <c r="Q99" s="22" cm="1">
        <f t="array" ref="Q99">IF(OR(_xll.BDP($AX99,"PX_last")="#N/A N/A",_xll.BDP($AX99,"PX_Last")="#N/A FIELD NOT APPLICABLE")," ",IF(F99="GBP",(_xll.BDP($AX99,"PX_LAST")/100),(_xll.BDP($AX99,"PX_LAST"))))</f>
        <v>93.39</v>
      </c>
      <c r="R99" s="29">
        <f>IF(F99="USD",AA99,(((_xll.BDP(F99&amp;"USD CURNCY","PX_LAST")))*AA99))</f>
        <v>84393.78</v>
      </c>
      <c r="S99" s="29">
        <f>IF(F99="USD",AB99,(((_xll.BDP(F99&amp;"USD CURNCY","PX_LAST")))*AB99))</f>
        <v>80969.13</v>
      </c>
      <c r="T99" s="12">
        <f>S99-R99</f>
        <v>-3424.6499999999942</v>
      </c>
      <c r="U99" s="13">
        <f>T99/R99</f>
        <v>-4.0579412369015751E-2</v>
      </c>
      <c r="V99" s="13" cm="1">
        <f t="array" ref="V99">IFERROR(_xll.BDP($G99&amp;" Equity","CHG_PCT_1D")/100,"")</f>
        <v>-1.0279780000000001E-2</v>
      </c>
      <c r="W99" s="13" cm="1">
        <f t="array" ref="W99">IFERROR(_xll.BDP($G99&amp;" Equity","CHG_PCT_5D")/100,"")</f>
        <v>-4.1586690000000003E-3</v>
      </c>
      <c r="X99" s="13" t="e">
        <f>S99/#REF!</f>
        <v>#REF!</v>
      </c>
      <c r="Y99" s="24">
        <f>IFERROR(S99*J99,0)</f>
        <v>1820.6999173164365</v>
      </c>
      <c r="Z99" s="24">
        <f>S99</f>
        <v>80969.13</v>
      </c>
      <c r="AA99" s="29">
        <f>P99*O99</f>
        <v>84393.78</v>
      </c>
      <c r="AB99" s="29">
        <f>IFERROR(O99*Q99,0)</f>
        <v>80969.13</v>
      </c>
      <c r="AC99" s="4" t="e" cm="1">
        <f t="array" ref="AC99">VLOOKUP(IF(NOT(_xll.BDP(AX99,$BW$8)="#N/A N/A"),(_xll.BDP(AX99,$BW$8)),"-"), '[1]Country Codes'!$A$2:$B$253,2,0)</f>
        <v>#N/A</v>
      </c>
      <c r="AD99" s="30" t="str" cm="1">
        <f t="array" ref="AD99">IF(OR(_xll.BDP($AX99,"EX028")= "#N/A N/A", _xll.BDP($AX99,"EX028")="#N/A FIELD NOT APPLICABLE"), " ", _xll.BDP($AX99,"EX028"))</f>
        <v>Equity</v>
      </c>
      <c r="AE99" s="31" t="str">
        <f>IF(("AS97"="Equity"), " ", "Single Line Equity")</f>
        <v>Single Line Equity</v>
      </c>
      <c r="AF99" s="26" cm="1">
        <f t="array" ref="AF99">IF(OR(_xll.BDP($AX99,"RR908")= "#N/A N/A", _xll.BDP($AX99,"RR908")="#N/A FIELD NOT APPLICABLE"), " ", _xll.BDP($AX99,"RR908"))</f>
        <v>14.565257788339915</v>
      </c>
      <c r="AG99" s="26" cm="1">
        <f t="array" ref="AG99">IF(OR(_xll.BDP($AX99,"RR041")= "#N/A N/A", _xll.BDP($AX99,"RR041")="#N/A FIELD NOT APPLICABLE"), " ", _xll.BDP($AX99,"RR041"))</f>
        <v>31.757078724951722</v>
      </c>
      <c r="AH99" s="22">
        <f>_xll.BDP(AX99,"TOT_BUY_REC")</f>
        <v>24</v>
      </c>
      <c r="AI99" s="22">
        <f>_xll.BDP(AX99,"TOT_HOLD_REC")</f>
        <v>4</v>
      </c>
      <c r="AJ99" s="22">
        <f>_xll.BDP(AX99,"TOT_SELL_REC")</f>
        <v>0</v>
      </c>
      <c r="AK99" s="26" cm="1">
        <f t="array" ref="AK99">IF(OR(_xll.BDP($AX99,"EE201")= "#N/A N/A", _xll.BDP($AX99,"EE201")="#N/A FIELD NOT APPLICABLE"), " ", _xll.BDP($AX99,"EE201"))</f>
        <v>4.6428570747375488</v>
      </c>
      <c r="AL99" s="24">
        <f>_xll.BDP(AX99,"BEST_TARGET_PRICE")</f>
        <v>126.90000152587891</v>
      </c>
      <c r="AM99" s="32">
        <f>(AL99/Q99)-1</f>
        <v>0.35881787692342759</v>
      </c>
      <c r="AN99" s="32">
        <f>_xll.BDP(AX99,"PR061")/100</f>
        <v>0.30378340000000004</v>
      </c>
      <c r="AO99" s="32">
        <f>_xll.BDP(AX99,"PR064")/100</f>
        <v>-0.11829679999999999</v>
      </c>
      <c r="AP99" s="32">
        <f>_xll.BDP(AX99,"CHG_PCT_6M")/100</f>
        <v>-0.32497290000000001</v>
      </c>
      <c r="AQ99" s="25">
        <f>_xll.BDP(AX99,"PR079")/100</f>
        <v>-0.18960429999999998</v>
      </c>
      <c r="AR99" s="33">
        <f>_xll.BDP(AX99,"hs001")</f>
        <v>179.7</v>
      </c>
      <c r="AS99" s="33">
        <f>_xll.BDP(AX99,"hs002")</f>
        <v>66.245000000000005</v>
      </c>
      <c r="AT99" s="22" t="str" cm="1">
        <f t="array" ref="AT99">IF(OR(_xll.BDP($AX99,"DX202")= "#N/A N/A", _xll.BDP($AX99,"DX202")="#N/A FIELD NOT APPLICABLE"), " ", _xll.BDP($AX99,"DX202"))</f>
        <v>Information Technology</v>
      </c>
      <c r="AU99" s="22" t="str" cm="1">
        <f t="array" ref="AU99">IF(OR(_xll.BDP($AX99,"DY997")= "#N/A N/A", _xll.BDP($AX99,"DY997")="#N/A FIELD NOT APPLICABLE"), " ", _xll.BDP($AX99,"DY997"))</f>
        <v>Y</v>
      </c>
      <c r="AV99" s="22" t="str" cm="1">
        <f t="array" ref="AV99">IF(OR(_xll.BDP($AX99,"DY784")= "#N/A N/A", _xll.BDP($AX99,"DY784")="#N/A FIELD NOT APPLICABLE"), " ", _xll.BDP($AX99,"DY784"))</f>
        <v xml:space="preserve"> </v>
      </c>
      <c r="AW99" s="22" t="str">
        <f>IF(OR(AU99="Y",AV99="Y"),"Y","N")</f>
        <v>Y</v>
      </c>
      <c r="AX99" s="22" t="str">
        <f>CONCATENATE(G99," ",$AX$2)</f>
        <v>DELL US Equity</v>
      </c>
      <c r="BC99" s="17" t="str" cm="1">
        <f t="array" ref="BC99">_xll.BDP(AX99,"ID005")</f>
        <v>US24703L2025</v>
      </c>
      <c r="BD99" s="17">
        <v>0.75</v>
      </c>
      <c r="BE99" s="18">
        <v>4</v>
      </c>
      <c r="BF99" s="19">
        <v>45596</v>
      </c>
      <c r="BG99" s="20">
        <v>1</v>
      </c>
    </row>
    <row r="100" spans="1:59" s="3" customFormat="1" ht="14.45" customHeight="1" x14ac:dyDescent="0.25">
      <c r="A100" s="49" t="s">
        <v>242</v>
      </c>
      <c r="B100" s="49" t="s">
        <v>260</v>
      </c>
      <c r="C100" s="49" t="s">
        <v>261</v>
      </c>
      <c r="D100" s="49" t="s">
        <v>248</v>
      </c>
      <c r="E100" s="22" t="str">
        <f>_xll.BDP(AX100,"SECURITY NAME")</f>
        <v>Dell Technologies Inc</v>
      </c>
      <c r="F100" s="22" t="str">
        <f>_xll.BDP(AX100,"CRNCY")</f>
        <v>USD</v>
      </c>
      <c r="G100" s="73" t="s">
        <v>338</v>
      </c>
      <c r="H100" s="22" t="str" cm="1">
        <f t="array" ref="H100">IF(OR(_xll.BDP($AX100,"DX202")= "#N/A N/A", _xll.BDP($AX100,"DX202")="#N/A FIELD NOT APPLICABLE"), " ", _xll.BDP($AX100,"DX202"))</f>
        <v>Information Technology</v>
      </c>
      <c r="I100" s="24">
        <f>_xll.BDP(AX100,"CRNCY_ADJ_MKT_CAP", "EQY_FUND_CRNCY=USD")/1000</f>
        <v>65.171354273190005</v>
      </c>
      <c r="J100" s="25">
        <f>IFERROR(_xll.BDP(AX100, "DV013")/100,0)</f>
        <v>2.2486346553512882E-2</v>
      </c>
      <c r="K100" s="26" cm="1">
        <f t="array" ref="K100">IF(OR(_xll.BDP($AX100,"RR900")= "#N/A N/A", _xll.BDP($AX100,"RR900")="#N/A FIELD NOT APPLICABLE"), " ", _xll.BDP($AX100,"RR900"))</f>
        <v>13.337480589980856</v>
      </c>
      <c r="L100" s="26" cm="1">
        <f t="array" ref="L100">IF(OR(_xll.BDP($AX100,"EE010")= "#N/A N/A", _xll.BDP($AX100,"EE010")="#N/A FIELD NOT APPLICABLE"), " ", _xll.BDP($AX100,"EE010"))</f>
        <v>9.0292951754810016</v>
      </c>
      <c r="M100" s="26" t="str" cm="1">
        <f t="array" ref="M100">IF(OR(_xll.BDP($AX100,"RR903")= "#N/A N/A", _xll.BDP($AX100,"RR903")="#N/A FIELD NOT APPLICABLE"), " ", _xll.BDP($AX100,"RR903"))</f>
        <v xml:space="preserve"> </v>
      </c>
      <c r="N100" s="26" cm="1">
        <f t="array" ref="N100">IF(OR(_xll.BDP($AX100,"RR957")= "#N/A N/A", _xll.BDP($AX100,"RR957")="#N/A FIELD NOT APPLICABLE"), " ", _xll.BDP($AX100,"RR957"))</f>
        <v>9.0084278745664559</v>
      </c>
      <c r="O100" s="74">
        <v>644</v>
      </c>
      <c r="P100" s="75">
        <v>97.4</v>
      </c>
      <c r="Q100" s="22" cm="1">
        <f t="array" ref="Q100">IF(OR(_xll.BDP($AX100,"PX_last")="#N/A N/A",_xll.BDP($AX100,"PX_Last")="#N/A FIELD NOT APPLICABLE")," ",IF(F100="GBP",(_xll.BDP($AX100,"PX_LAST")/100),(_xll.BDP($AX100,"PX_LAST"))))</f>
        <v>93.39</v>
      </c>
      <c r="R100" s="29">
        <f>IF(F100="USD",AA100,(((_xll.BDP(F100&amp;"USD CURNCY","PX_LAST")))*AA100))</f>
        <v>62725.600000000006</v>
      </c>
      <c r="S100" s="29">
        <f>IF(F100="USD",AB100,(((_xll.BDP(F100&amp;"USD CURNCY","PX_LAST")))*AB100))</f>
        <v>60143.16</v>
      </c>
      <c r="T100" s="12">
        <f>S100-R100</f>
        <v>-2582.4400000000023</v>
      </c>
      <c r="U100" s="13">
        <f>T100/R100</f>
        <v>-4.1170431211499006E-2</v>
      </c>
      <c r="V100" s="13" cm="1">
        <f t="array" ref="V100">IFERROR(_xll.BDP($G100&amp;" Equity","CHG_PCT_1D")/100,"")</f>
        <v>-1.0279780000000001E-2</v>
      </c>
      <c r="W100" s="13" cm="1">
        <f t="array" ref="W100">IFERROR(_xll.BDP($G100&amp;" Equity","CHG_PCT_5D")/100,"")</f>
        <v>-4.1586690000000003E-3</v>
      </c>
      <c r="X100" s="13" t="e">
        <f>S100/#REF!</f>
        <v>#REF!</v>
      </c>
      <c r="Y100" s="24">
        <f>IFERROR(S100*J100,0)</f>
        <v>1352.399938583374</v>
      </c>
      <c r="Z100" s="24">
        <f>S100</f>
        <v>60143.16</v>
      </c>
      <c r="AA100" s="29">
        <f>P100*O100</f>
        <v>62725.600000000006</v>
      </c>
      <c r="AB100" s="29">
        <f>IFERROR(O100*Q100,0)</f>
        <v>60143.16</v>
      </c>
      <c r="AC100" s="4" t="e" cm="1">
        <f t="array" ref="AC100">VLOOKUP(IF(NOT(_xll.BDP(AX100,$BW$8)="#N/A N/A"),(_xll.BDP(AX100,$BW$8)),"-"), '[1]Country Codes'!$A$2:$B$253,2,0)</f>
        <v>#N/A</v>
      </c>
      <c r="AD100" s="30" t="str" cm="1">
        <f t="array" ref="AD100">IF(OR(_xll.BDP($AX100,"EX028")= "#N/A N/A", _xll.BDP($AX100,"EX028")="#N/A FIELD NOT APPLICABLE"), " ", _xll.BDP($AX100,"EX028"))</f>
        <v>Equity</v>
      </c>
      <c r="AE100" s="31" t="str">
        <f>IF(("AS97"="Equity"), " ", "Single Line Equity")</f>
        <v>Single Line Equity</v>
      </c>
      <c r="AF100" s="26" cm="1">
        <f t="array" ref="AF100">IF(OR(_xll.BDP($AX100,"RR908")= "#N/A N/A", _xll.BDP($AX100,"RR908")="#N/A FIELD NOT APPLICABLE"), " ", _xll.BDP($AX100,"RR908"))</f>
        <v>14.565257788339915</v>
      </c>
      <c r="AG100" s="26" cm="1">
        <f t="array" ref="AG100">IF(OR(_xll.BDP($AX100,"RR041")= "#N/A N/A", _xll.BDP($AX100,"RR041")="#N/A FIELD NOT APPLICABLE"), " ", _xll.BDP($AX100,"RR041"))</f>
        <v>31.757078724951722</v>
      </c>
      <c r="AH100" s="22">
        <f>_xll.BDP(AX100,"TOT_BUY_REC")</f>
        <v>24</v>
      </c>
      <c r="AI100" s="22">
        <f>_xll.BDP(AX100,"TOT_HOLD_REC")</f>
        <v>4</v>
      </c>
      <c r="AJ100" s="22">
        <f>_xll.BDP(AX100,"TOT_SELL_REC")</f>
        <v>0</v>
      </c>
      <c r="AK100" s="26" cm="1">
        <f t="array" ref="AK100">IF(OR(_xll.BDP($AX100,"EE201")= "#N/A N/A", _xll.BDP($AX100,"EE201")="#N/A FIELD NOT APPLICABLE"), " ", _xll.BDP($AX100,"EE201"))</f>
        <v>4.6428570747375488</v>
      </c>
      <c r="AL100" s="24">
        <f>_xll.BDP(AX100,"BEST_TARGET_PRICE")</f>
        <v>126.90000152587891</v>
      </c>
      <c r="AM100" s="32">
        <f>(AL100/Q100)-1</f>
        <v>0.35881787692342759</v>
      </c>
      <c r="AN100" s="32">
        <f>_xll.BDP(AX100,"PR061")/100</f>
        <v>0.30378340000000004</v>
      </c>
      <c r="AO100" s="32">
        <f>_xll.BDP(AX100,"PR064")/100</f>
        <v>-0.11829679999999999</v>
      </c>
      <c r="AP100" s="32">
        <f>_xll.BDP(AX100,"CHG_PCT_6M")/100</f>
        <v>-0.32497290000000001</v>
      </c>
      <c r="AQ100" s="25">
        <f>_xll.BDP(AX100,"PR079")/100</f>
        <v>-0.18960429999999998</v>
      </c>
      <c r="AR100" s="33">
        <f>_xll.BDP(AX100,"hs001")</f>
        <v>179.7</v>
      </c>
      <c r="AS100" s="33">
        <f>_xll.BDP(AX100,"hs002")</f>
        <v>66.245000000000005</v>
      </c>
      <c r="AT100" s="22" t="str" cm="1">
        <f t="array" ref="AT100">IF(OR(_xll.BDP($AX100,"DX202")= "#N/A N/A", _xll.BDP($AX100,"DX202")="#N/A FIELD NOT APPLICABLE"), " ", _xll.BDP($AX100,"DX202"))</f>
        <v>Information Technology</v>
      </c>
      <c r="AU100" s="22" t="str" cm="1">
        <f t="array" ref="AU100">IF(OR(_xll.BDP($AX100,"DY997")= "#N/A N/A", _xll.BDP($AX100,"DY997")="#N/A FIELD NOT APPLICABLE"), " ", _xll.BDP($AX100,"DY997"))</f>
        <v>Y</v>
      </c>
      <c r="AV100" s="22" t="str" cm="1">
        <f t="array" ref="AV100">IF(OR(_xll.BDP($AX100,"DY784")= "#N/A N/A", _xll.BDP($AX100,"DY784")="#N/A FIELD NOT APPLICABLE"), " ", _xll.BDP($AX100,"DY784"))</f>
        <v xml:space="preserve"> </v>
      </c>
      <c r="AW100" s="22" t="str">
        <f>IF(OR(AU100="Y",AV100="Y"),"Y","N")</f>
        <v>Y</v>
      </c>
      <c r="AX100" s="22" t="str">
        <f>CONCATENATE(G100," ",$AX$2)</f>
        <v>DELL US Equity</v>
      </c>
      <c r="BC100" s="17" t="str" cm="1">
        <f t="array" ref="BC100">_xll.BDP(AX100,"ID005")</f>
        <v>US24703L2025</v>
      </c>
      <c r="BD100" s="17">
        <v>0.75</v>
      </c>
      <c r="BE100" s="18">
        <v>4</v>
      </c>
      <c r="BF100" s="19">
        <v>45596</v>
      </c>
      <c r="BG100" s="20">
        <v>1</v>
      </c>
    </row>
    <row r="101" spans="1:59" s="3" customFormat="1" ht="14.45" customHeight="1" x14ac:dyDescent="0.25">
      <c r="A101" s="49" t="s">
        <v>242</v>
      </c>
      <c r="B101" s="49" t="s">
        <v>264</v>
      </c>
      <c r="C101" s="49" t="s">
        <v>265</v>
      </c>
      <c r="D101" s="49" t="s">
        <v>248</v>
      </c>
      <c r="E101" s="22" t="str">
        <f>_xll.BDP(AX101,"SECURITY NAME")</f>
        <v>Dell Technologies Inc</v>
      </c>
      <c r="F101" s="22" t="str">
        <f>_xll.BDP(AX101,"CRNCY")</f>
        <v>USD</v>
      </c>
      <c r="G101" s="23" t="s">
        <v>338</v>
      </c>
      <c r="H101" s="22" t="str" cm="1">
        <f t="array" ref="H101">IF(OR(_xll.BDP($AX101,"DX202")= "#N/A N/A", _xll.BDP($AX101,"DX202")="#N/A FIELD NOT APPLICABLE"), " ", _xll.BDP($AX101,"DX202"))</f>
        <v>Information Technology</v>
      </c>
      <c r="I101" s="24">
        <f>_xll.BDP(AX101,"CRNCY_ADJ_MKT_CAP", "EQY_FUND_CRNCY=USD")/1000</f>
        <v>65.171354273190005</v>
      </c>
      <c r="J101" s="25">
        <f>IFERROR(_xll.BDP(AX101, "DV013")/100,0)</f>
        <v>2.2486346553512882E-2</v>
      </c>
      <c r="K101" s="26" cm="1">
        <f t="array" ref="K101">IF(OR(_xll.BDP($AX101,"RR900")= "#N/A N/A", _xll.BDP($AX101,"RR900")="#N/A FIELD NOT APPLICABLE"), " ", _xll.BDP($AX101,"RR900"))</f>
        <v>13.337480589980856</v>
      </c>
      <c r="L101" s="26" cm="1">
        <f t="array" ref="L101">IF(OR(_xll.BDP($AX101,"EE010")= "#N/A N/A", _xll.BDP($AX101,"EE010")="#N/A FIELD NOT APPLICABLE"), " ", _xll.BDP($AX101,"EE010"))</f>
        <v>9.0292951754810016</v>
      </c>
      <c r="M101" s="26" t="str" cm="1">
        <f t="array" ref="M101">IF(OR(_xll.BDP($AX101,"RR903")= "#N/A N/A", _xll.BDP($AX101,"RR903")="#N/A FIELD NOT APPLICABLE"), " ", _xll.BDP($AX101,"RR903"))</f>
        <v xml:space="preserve"> </v>
      </c>
      <c r="N101" s="26" cm="1">
        <f t="array" ref="N101">IF(OR(_xll.BDP($AX101,"RR957")= "#N/A N/A", _xll.BDP($AX101,"RR957")="#N/A FIELD NOT APPLICABLE"), " ", _xll.BDP($AX101,"RR957"))</f>
        <v>9.0084278745664559</v>
      </c>
      <c r="O101" s="27">
        <v>1194</v>
      </c>
      <c r="P101" s="28">
        <v>97.28</v>
      </c>
      <c r="Q101" s="22" cm="1">
        <f t="array" ref="Q101">IF(OR(_xll.BDP($AX101,"PX_last")="#N/A N/A",_xll.BDP($AX101,"PX_Last")="#N/A FIELD NOT APPLICABLE")," ",IF(F101="GBP",(_xll.BDP($AX101,"PX_LAST")/100),(_xll.BDP($AX101,"PX_LAST"))))</f>
        <v>93.39</v>
      </c>
      <c r="R101" s="29">
        <f>IF(F101="USD",AA101,(((_xll.BDP(F101&amp;"USD CURNCY","PX_LAST")))*AA101))</f>
        <v>116152.32000000001</v>
      </c>
      <c r="S101" s="29">
        <f>IF(F101="USD",AB101,(((_xll.BDP(F101&amp;"USD CURNCY","PX_LAST")))*AB101))</f>
        <v>111507.66</v>
      </c>
      <c r="T101" s="12">
        <f>S101-R101</f>
        <v>-4644.6600000000035</v>
      </c>
      <c r="U101" s="13">
        <f>T101/R101</f>
        <v>-3.9987664473684237E-2</v>
      </c>
      <c r="V101" s="13" cm="1">
        <f t="array" ref="V101">IFERROR(_xll.BDP($G101&amp;" Equity","CHG_PCT_1D")/100,"")</f>
        <v>-1.0279780000000001E-2</v>
      </c>
      <c r="W101" s="13" cm="1">
        <f t="array" ref="W101">IFERROR(_xll.BDP($G101&amp;" Equity","CHG_PCT_5D")/100,"")</f>
        <v>-4.1586690000000003E-3</v>
      </c>
      <c r="X101" s="13" t="e">
        <f>S101/#REF!</f>
        <v>#REF!</v>
      </c>
      <c r="Y101" s="24">
        <f>IFERROR(S101*J101,0)</f>
        <v>2507.3998861312862</v>
      </c>
      <c r="Z101" s="24">
        <f>S101</f>
        <v>111507.66</v>
      </c>
      <c r="AA101" s="29">
        <f>P101*O101</f>
        <v>116152.32000000001</v>
      </c>
      <c r="AB101" s="29">
        <f>IFERROR(O101*Q101,0)</f>
        <v>111507.66</v>
      </c>
      <c r="AC101" s="4" t="e" cm="1">
        <f t="array" ref="AC101">VLOOKUP(IF(NOT(_xll.BDP(AX101,$BW$8)="#N/A N/A"),(_xll.BDP(AX101,$BW$8)),"-"), '[1]Country Codes'!$A$2:$B$253,2,0)</f>
        <v>#N/A</v>
      </c>
      <c r="AD101" s="30" t="str" cm="1">
        <f t="array" ref="AD101">IF(OR(_xll.BDP($AX101,"EX028")= "#N/A N/A", _xll.BDP($AX101,"EX028")="#N/A FIELD NOT APPLICABLE"), " ", _xll.BDP($AX101,"EX028"))</f>
        <v>Equity</v>
      </c>
      <c r="AE101" s="31" t="str">
        <f>IF(("AS97"="Equity"), " ", "Single Line Equity")</f>
        <v>Single Line Equity</v>
      </c>
      <c r="AF101" s="26" cm="1">
        <f t="array" ref="AF101">IF(OR(_xll.BDP($AX101,"RR908")= "#N/A N/A", _xll.BDP($AX101,"RR908")="#N/A FIELD NOT APPLICABLE"), " ", _xll.BDP($AX101,"RR908"))</f>
        <v>14.565257788339915</v>
      </c>
      <c r="AG101" s="26" cm="1">
        <f t="array" ref="AG101">IF(OR(_xll.BDP($AX101,"RR041")= "#N/A N/A", _xll.BDP($AX101,"RR041")="#N/A FIELD NOT APPLICABLE"), " ", _xll.BDP($AX101,"RR041"))</f>
        <v>31.757078724951722</v>
      </c>
      <c r="AH101" s="22">
        <f>_xll.BDP(AX101,"TOT_BUY_REC")</f>
        <v>24</v>
      </c>
      <c r="AI101" s="22">
        <f>_xll.BDP(AX101,"TOT_HOLD_REC")</f>
        <v>4</v>
      </c>
      <c r="AJ101" s="22">
        <f>_xll.BDP(AX101,"TOT_SELL_REC")</f>
        <v>0</v>
      </c>
      <c r="AK101" s="26" cm="1">
        <f t="array" ref="AK101">IF(OR(_xll.BDP($AX101,"EE201")= "#N/A N/A", _xll.BDP($AX101,"EE201")="#N/A FIELD NOT APPLICABLE"), " ", _xll.BDP($AX101,"EE201"))</f>
        <v>4.6428570747375488</v>
      </c>
      <c r="AL101" s="24">
        <f>_xll.BDP(AX101,"BEST_TARGET_PRICE")</f>
        <v>126.90000152587891</v>
      </c>
      <c r="AM101" s="32">
        <f>(AL101/Q101)-1</f>
        <v>0.35881787692342759</v>
      </c>
      <c r="AN101" s="32">
        <f>_xll.BDP(AX101,"PR061")/100</f>
        <v>0.30378340000000004</v>
      </c>
      <c r="AO101" s="32">
        <f>_xll.BDP(AX101,"PR064")/100</f>
        <v>-0.11829679999999999</v>
      </c>
      <c r="AP101" s="32">
        <f>_xll.BDP(AX101,"CHG_PCT_6M")/100</f>
        <v>-0.32497290000000001</v>
      </c>
      <c r="AQ101" s="25">
        <f>_xll.BDP(AX101,"PR079")/100</f>
        <v>-0.18960429999999998</v>
      </c>
      <c r="AR101" s="33">
        <f>_xll.BDP(AX101,"hs001")</f>
        <v>179.7</v>
      </c>
      <c r="AS101" s="33">
        <f>_xll.BDP(AX101,"hs002")</f>
        <v>66.245000000000005</v>
      </c>
      <c r="AT101" s="22" t="str" cm="1">
        <f t="array" ref="AT101">IF(OR(_xll.BDP($AX101,"DX202")= "#N/A N/A", _xll.BDP($AX101,"DX202")="#N/A FIELD NOT APPLICABLE"), " ", _xll.BDP($AX101,"DX202"))</f>
        <v>Information Technology</v>
      </c>
      <c r="AU101" s="22" t="str" cm="1">
        <f t="array" ref="AU101">IF(OR(_xll.BDP($AX101,"DY997")= "#N/A N/A", _xll.BDP($AX101,"DY997")="#N/A FIELD NOT APPLICABLE"), " ", _xll.BDP($AX101,"DY997"))</f>
        <v>Y</v>
      </c>
      <c r="AV101" s="22" t="str" cm="1">
        <f t="array" ref="AV101">IF(OR(_xll.BDP($AX101,"DY784")= "#N/A N/A", _xll.BDP($AX101,"DY784")="#N/A FIELD NOT APPLICABLE"), " ", _xll.BDP($AX101,"DY784"))</f>
        <v xml:space="preserve"> </v>
      </c>
      <c r="AW101" s="22" t="str">
        <f>IF(OR(AU101="Y",AV101="Y"),"Y","N")</f>
        <v>Y</v>
      </c>
      <c r="AX101" s="22" t="str">
        <f>CONCATENATE(G101," ",$AX$2)</f>
        <v>DELL US Equity</v>
      </c>
      <c r="BC101" s="17" t="str" cm="1">
        <f t="array" ref="BC101">_xll.BDP(AX101,"ID005")</f>
        <v>US24703L2025</v>
      </c>
      <c r="BD101" s="17">
        <v>0.72</v>
      </c>
      <c r="BE101" s="18">
        <v>4</v>
      </c>
      <c r="BF101" s="19">
        <v>45217</v>
      </c>
      <c r="BG101" s="20">
        <v>1</v>
      </c>
    </row>
    <row r="102" spans="1:59" s="3" customFormat="1" ht="14.45" customHeight="1" x14ac:dyDescent="0.25">
      <c r="A102" s="49" t="s">
        <v>241</v>
      </c>
      <c r="B102" s="49" t="s">
        <v>266</v>
      </c>
      <c r="C102" s="49" t="s">
        <v>267</v>
      </c>
      <c r="D102" s="49" t="s">
        <v>240</v>
      </c>
      <c r="E102" s="22" t="str">
        <f>_xll.BDP(AX102,"SECURITY NAME")</f>
        <v>Dell Technologies Inc</v>
      </c>
      <c r="F102" s="22" t="str">
        <f>_xll.BDP(AX102,"CRNCY")</f>
        <v>USD</v>
      </c>
      <c r="G102" s="23" t="s">
        <v>338</v>
      </c>
      <c r="H102" s="22" t="str" cm="1">
        <f t="array" ref="H102">IF(OR(_xll.BDP($AX102,"DX202")= "#N/A N/A", _xll.BDP($AX102,"DX202")="#N/A FIELD NOT APPLICABLE"), " ", _xll.BDP($AX102,"DX202"))</f>
        <v>Information Technology</v>
      </c>
      <c r="I102" s="24">
        <f>_xll.BDP(AX102,"CRNCY_ADJ_MKT_CAP", "EQY_FUND_CRNCY=USD")/1000</f>
        <v>65.171354273190005</v>
      </c>
      <c r="J102" s="25">
        <f>IFERROR(_xll.BDP(AX102, "DV013")/100,0)</f>
        <v>2.2486346553512882E-2</v>
      </c>
      <c r="K102" s="26" cm="1">
        <f t="array" ref="K102">IF(OR(_xll.BDP($AX102,"RR900")= "#N/A N/A", _xll.BDP($AX102,"RR900")="#N/A FIELD NOT APPLICABLE"), " ", _xll.BDP($AX102,"RR900"))</f>
        <v>13.337480589980856</v>
      </c>
      <c r="L102" s="26" cm="1">
        <f t="array" ref="L102">IF(OR(_xll.BDP($AX102,"EE010")= "#N/A N/A", _xll.BDP($AX102,"EE010")="#N/A FIELD NOT APPLICABLE"), " ", _xll.BDP($AX102,"EE010"))</f>
        <v>9.0292951754810016</v>
      </c>
      <c r="M102" s="26" t="str" cm="1">
        <f t="array" ref="M102">IF(OR(_xll.BDP($AX102,"RR903")= "#N/A N/A", _xll.BDP($AX102,"RR903")="#N/A FIELD NOT APPLICABLE"), " ", _xll.BDP($AX102,"RR903"))</f>
        <v xml:space="preserve"> </v>
      </c>
      <c r="N102" s="26" cm="1">
        <f t="array" ref="N102">IF(OR(_xll.BDP($AX102,"RR957")= "#N/A N/A", _xll.BDP($AX102,"RR957")="#N/A FIELD NOT APPLICABLE"), " ", _xll.BDP($AX102,"RR957"))</f>
        <v>9.0084278745664559</v>
      </c>
      <c r="O102" s="27">
        <v>586</v>
      </c>
      <c r="P102" s="28">
        <v>96.99</v>
      </c>
      <c r="Q102" s="22" cm="1">
        <f t="array" ref="Q102">IF(OR(_xll.BDP($AX102,"PX_last")="#N/A N/A",_xll.BDP($AX102,"PX_Last")="#N/A FIELD NOT APPLICABLE")," ",IF(F102="GBP",(_xll.BDP($AX102,"PX_LAST")/100),(_xll.BDP($AX102,"PX_LAST"))))</f>
        <v>93.39</v>
      </c>
      <c r="R102" s="29">
        <f>IF(F102="USD",AA102,(((_xll.BDP(F102&amp;"USD CURNCY","PX_LAST")))*AA102))</f>
        <v>56836.14</v>
      </c>
      <c r="S102" s="29">
        <f>IF(F102="USD",AB102,(((_xll.BDP(F102&amp;"USD CURNCY","PX_LAST")))*AB102))</f>
        <v>54726.54</v>
      </c>
      <c r="T102" s="12">
        <f>S102-R102</f>
        <v>-2109.5999999999985</v>
      </c>
      <c r="U102" s="13">
        <f>T102/R102</f>
        <v>-3.7117228580265983E-2</v>
      </c>
      <c r="V102" s="13" cm="1">
        <f t="array" ref="V102">IFERROR(_xll.BDP($G102&amp;" Equity","CHG_PCT_1D")/100,"")</f>
        <v>-1.0279780000000001E-2</v>
      </c>
      <c r="W102" s="13" cm="1">
        <f t="array" ref="W102">IFERROR(_xll.BDP($G102&amp;" Equity","CHG_PCT_5D")/100,"")</f>
        <v>-4.1586690000000003E-3</v>
      </c>
      <c r="X102" s="13" t="e">
        <f>S102/#REF!</f>
        <v>#REF!</v>
      </c>
      <c r="Y102" s="24">
        <f>IFERROR(S102*J102,0)</f>
        <v>1230.5999441146848</v>
      </c>
      <c r="Z102" s="24">
        <f>S102</f>
        <v>54726.54</v>
      </c>
      <c r="AA102" s="29">
        <f>P102*O102</f>
        <v>56836.14</v>
      </c>
      <c r="AB102" s="29">
        <f>IFERROR(O102*Q102,0)</f>
        <v>54726.54</v>
      </c>
      <c r="AC102" s="4" t="e" cm="1">
        <f t="array" ref="AC102">VLOOKUP(IF(NOT(_xll.BDP(AX102,$BW$8)="#N/A N/A"),(_xll.BDP(AX102,$BW$8)),"-"), '[1]Country Codes'!$A$2:$B$253,2,0)</f>
        <v>#N/A</v>
      </c>
      <c r="AD102" s="30" t="str" cm="1">
        <f t="array" ref="AD102">IF(OR(_xll.BDP($AX102,"EX028")= "#N/A N/A", _xll.BDP($AX102,"EX028")="#N/A FIELD NOT APPLICABLE"), " ", _xll.BDP($AX102,"EX028"))</f>
        <v>Equity</v>
      </c>
      <c r="AE102" s="31" t="str">
        <f>IF(("AS97"="Equity"), " ", "Single Line Equity")</f>
        <v>Single Line Equity</v>
      </c>
      <c r="AF102" s="26" cm="1">
        <f t="array" ref="AF102">IF(OR(_xll.BDP($AX102,"RR908")= "#N/A N/A", _xll.BDP($AX102,"RR908")="#N/A FIELD NOT APPLICABLE"), " ", _xll.BDP($AX102,"RR908"))</f>
        <v>14.565257788339915</v>
      </c>
      <c r="AG102" s="26" cm="1">
        <f t="array" ref="AG102">IF(OR(_xll.BDP($AX102,"RR041")= "#N/A N/A", _xll.BDP($AX102,"RR041")="#N/A FIELD NOT APPLICABLE"), " ", _xll.BDP($AX102,"RR041"))</f>
        <v>31.757078724951722</v>
      </c>
      <c r="AH102" s="22">
        <f>_xll.BDP(AX102,"TOT_BUY_REC")</f>
        <v>24</v>
      </c>
      <c r="AI102" s="22">
        <f>_xll.BDP(AX102,"TOT_HOLD_REC")</f>
        <v>4</v>
      </c>
      <c r="AJ102" s="22">
        <f>_xll.BDP(AX102,"TOT_SELL_REC")</f>
        <v>0</v>
      </c>
      <c r="AK102" s="26" cm="1">
        <f t="array" ref="AK102">IF(OR(_xll.BDP($AX102,"EE201")= "#N/A N/A", _xll.BDP($AX102,"EE201")="#N/A FIELD NOT APPLICABLE"), " ", _xll.BDP($AX102,"EE201"))</f>
        <v>4.6428570747375488</v>
      </c>
      <c r="AL102" s="24">
        <f>_xll.BDP(AX102,"BEST_TARGET_PRICE")</f>
        <v>126.90000152587891</v>
      </c>
      <c r="AM102" s="32">
        <f>(AL102/Q102)-1</f>
        <v>0.35881787692342759</v>
      </c>
      <c r="AN102" s="32">
        <f>_xll.BDP(AX102,"PR061")/100</f>
        <v>0.30378340000000004</v>
      </c>
      <c r="AO102" s="32">
        <f>_xll.BDP(AX102,"PR064")/100</f>
        <v>-0.11829679999999999</v>
      </c>
      <c r="AP102" s="32">
        <f>_xll.BDP(AX102,"CHG_PCT_6M")/100</f>
        <v>-0.32497290000000001</v>
      </c>
      <c r="AQ102" s="25">
        <f>_xll.BDP(AX102,"PR079")/100</f>
        <v>-0.18960429999999998</v>
      </c>
      <c r="AR102" s="33">
        <f>_xll.BDP(AX102,"hs001")</f>
        <v>179.7</v>
      </c>
      <c r="AS102" s="33">
        <f>_xll.BDP(AX102,"hs002")</f>
        <v>66.245000000000005</v>
      </c>
      <c r="AT102" s="22" t="str" cm="1">
        <f t="array" ref="AT102">IF(OR(_xll.BDP($AX102,"DX202")= "#N/A N/A", _xll.BDP($AX102,"DX202")="#N/A FIELD NOT APPLICABLE"), " ", _xll.BDP($AX102,"DX202"))</f>
        <v>Information Technology</v>
      </c>
      <c r="AU102" s="22" t="str" cm="1">
        <f t="array" ref="AU102">IF(OR(_xll.BDP($AX102,"DY997")= "#N/A N/A", _xll.BDP($AX102,"DY997")="#N/A FIELD NOT APPLICABLE"), " ", _xll.BDP($AX102,"DY997"))</f>
        <v>Y</v>
      </c>
      <c r="AV102" s="22" t="str" cm="1">
        <f t="array" ref="AV102">IF(OR(_xll.BDP($AX102,"DY784")= "#N/A N/A", _xll.BDP($AX102,"DY784")="#N/A FIELD NOT APPLICABLE"), " ", _xll.BDP($AX102,"DY784"))</f>
        <v xml:space="preserve"> </v>
      </c>
      <c r="AW102" s="22" t="str">
        <f>IF(OR(AU102="Y",AV102="Y"),"Y","N")</f>
        <v>Y</v>
      </c>
      <c r="AX102" s="22" t="str">
        <f>CONCATENATE(G102," ",$AX$2)</f>
        <v>DELL US Equity</v>
      </c>
      <c r="BC102" s="17" t="str" cm="1">
        <f t="array" ref="BC102">_xll.BDP(AX102,"ID005")</f>
        <v>US24703L2025</v>
      </c>
      <c r="BD102" s="17">
        <v>0.75</v>
      </c>
      <c r="BE102" s="18">
        <v>4</v>
      </c>
      <c r="BF102" s="19">
        <v>45540</v>
      </c>
      <c r="BG102" s="20">
        <v>1</v>
      </c>
    </row>
    <row r="103" spans="1:59" s="3" customFormat="1" ht="14.45" customHeight="1" x14ac:dyDescent="0.25">
      <c r="A103" s="49" t="s">
        <v>242</v>
      </c>
      <c r="B103" s="49" t="s">
        <v>268</v>
      </c>
      <c r="C103" s="49" t="s">
        <v>269</v>
      </c>
      <c r="D103" s="49" t="s">
        <v>248</v>
      </c>
      <c r="E103" s="22" t="str">
        <f>_xll.BDP(AX103,"SECURITY NAME")</f>
        <v>Dell Technologies Inc</v>
      </c>
      <c r="F103" s="22" t="str">
        <f>_xll.BDP(AX103,"CRNCY")</f>
        <v>USD</v>
      </c>
      <c r="G103" s="23" t="s">
        <v>338</v>
      </c>
      <c r="H103" s="22" t="str" cm="1">
        <f t="array" ref="H103">IF(OR(_xll.BDP($AX103,"DX202")= "#N/A N/A", _xll.BDP($AX103,"DX202")="#N/A FIELD NOT APPLICABLE"), " ", _xll.BDP($AX103,"DX202"))</f>
        <v>Information Technology</v>
      </c>
      <c r="I103" s="24">
        <f>_xll.BDP(AX103,"CRNCY_ADJ_MKT_CAP", "EQY_FUND_CRNCY=USD")/1000</f>
        <v>65.171354273190005</v>
      </c>
      <c r="J103" s="25">
        <f>IFERROR(_xll.BDP(AX103, "DV013")/100,0)</f>
        <v>2.2486346553512882E-2</v>
      </c>
      <c r="K103" s="26" cm="1">
        <f t="array" ref="K103">IF(OR(_xll.BDP($AX103,"RR900")= "#N/A N/A", _xll.BDP($AX103,"RR900")="#N/A FIELD NOT APPLICABLE"), " ", _xll.BDP($AX103,"RR900"))</f>
        <v>13.337480589980856</v>
      </c>
      <c r="L103" s="26" cm="1">
        <f t="array" ref="L103">IF(OR(_xll.BDP($AX103,"EE010")= "#N/A N/A", _xll.BDP($AX103,"EE010")="#N/A FIELD NOT APPLICABLE"), " ", _xll.BDP($AX103,"EE010"))</f>
        <v>9.0292951754810016</v>
      </c>
      <c r="M103" s="26" t="str" cm="1">
        <f t="array" ref="M103">IF(OR(_xll.BDP($AX103,"RR903")= "#N/A N/A", _xll.BDP($AX103,"RR903")="#N/A FIELD NOT APPLICABLE"), " ", _xll.BDP($AX103,"RR903"))</f>
        <v xml:space="preserve"> </v>
      </c>
      <c r="N103" s="26" cm="1">
        <f t="array" ref="N103">IF(OR(_xll.BDP($AX103,"RR957")= "#N/A N/A", _xll.BDP($AX103,"RR957")="#N/A FIELD NOT APPLICABLE"), " ", _xll.BDP($AX103,"RR957"))</f>
        <v>9.0084278745664559</v>
      </c>
      <c r="O103" s="27">
        <v>2158</v>
      </c>
      <c r="P103" s="28">
        <v>97.22</v>
      </c>
      <c r="Q103" s="22" cm="1">
        <f t="array" ref="Q103">IF(OR(_xll.BDP($AX103,"PX_last")="#N/A N/A",_xll.BDP($AX103,"PX_Last")="#N/A FIELD NOT APPLICABLE")," ",IF(F103="GBP",(_xll.BDP($AX103,"PX_LAST")/100),(_xll.BDP($AX103,"PX_LAST"))))</f>
        <v>93.39</v>
      </c>
      <c r="R103" s="29">
        <f>IF(F103="USD",AA103,(((_xll.BDP(F103&amp;"USD CURNCY","PX_LAST")))*AA103))</f>
        <v>209800.76</v>
      </c>
      <c r="S103" s="29">
        <f>IF(F103="USD",AB103,(((_xll.BDP(F103&amp;"USD CURNCY","PX_LAST")))*AB103))</f>
        <v>201535.62</v>
      </c>
      <c r="T103" s="12">
        <f>S103-R103</f>
        <v>-8265.140000000014</v>
      </c>
      <c r="U103" s="13">
        <f>T103/R103</f>
        <v>-3.9395186175684077E-2</v>
      </c>
      <c r="V103" s="13" cm="1">
        <f t="array" ref="V103">IFERROR(_xll.BDP($G103&amp;" Equity","CHG_PCT_1D")/100,"")</f>
        <v>-1.0279780000000001E-2</v>
      </c>
      <c r="W103" s="13" cm="1">
        <f t="array" ref="W103">IFERROR(_xll.BDP($G103&amp;" Equity","CHG_PCT_5D")/100,"")</f>
        <v>-4.1586690000000003E-3</v>
      </c>
      <c r="X103" s="13" t="e">
        <f>S103/#REF!</f>
        <v>#REF!</v>
      </c>
      <c r="Y103" s="24">
        <f>IFERROR(S103*J103,0)</f>
        <v>4531.7997941970816</v>
      </c>
      <c r="Z103" s="24">
        <f>S103</f>
        <v>201535.62</v>
      </c>
      <c r="AA103" s="29">
        <f>P103*O103</f>
        <v>209800.76</v>
      </c>
      <c r="AB103" s="29">
        <f>IFERROR(O103*Q103,0)</f>
        <v>201535.62</v>
      </c>
      <c r="AC103" s="4" t="e" cm="1">
        <f t="array" ref="AC103">VLOOKUP(IF(NOT(_xll.BDP(AX103,$BW$8)="#N/A N/A"),(_xll.BDP(AX103,$BW$8)),"-"), '[1]Country Codes'!$A$2:$B$253,2,0)</f>
        <v>#N/A</v>
      </c>
      <c r="AD103" s="30" t="str" cm="1">
        <f t="array" ref="AD103">IF(OR(_xll.BDP($AX103,"EX028")= "#N/A N/A", _xll.BDP($AX103,"EX028")="#N/A FIELD NOT APPLICABLE"), " ", _xll.BDP($AX103,"EX028"))</f>
        <v>Equity</v>
      </c>
      <c r="AE103" s="31" t="str">
        <f>IF(("AS97"="Equity"), " ", "Single Line Equity")</f>
        <v>Single Line Equity</v>
      </c>
      <c r="AF103" s="26" cm="1">
        <f t="array" ref="AF103">IF(OR(_xll.BDP($AX103,"RR908")= "#N/A N/A", _xll.BDP($AX103,"RR908")="#N/A FIELD NOT APPLICABLE"), " ", _xll.BDP($AX103,"RR908"))</f>
        <v>14.565257788339915</v>
      </c>
      <c r="AG103" s="26" cm="1">
        <f t="array" ref="AG103">IF(OR(_xll.BDP($AX103,"RR041")= "#N/A N/A", _xll.BDP($AX103,"RR041")="#N/A FIELD NOT APPLICABLE"), " ", _xll.BDP($AX103,"RR041"))</f>
        <v>31.757078724951722</v>
      </c>
      <c r="AH103" s="22">
        <f>_xll.BDP(AX103,"TOT_BUY_REC")</f>
        <v>24</v>
      </c>
      <c r="AI103" s="22">
        <f>_xll.BDP(AX103,"TOT_HOLD_REC")</f>
        <v>4</v>
      </c>
      <c r="AJ103" s="22">
        <f>_xll.BDP(AX103,"TOT_SELL_REC")</f>
        <v>0</v>
      </c>
      <c r="AK103" s="26" cm="1">
        <f t="array" ref="AK103">IF(OR(_xll.BDP($AX103,"EE201")= "#N/A N/A", _xll.BDP($AX103,"EE201")="#N/A FIELD NOT APPLICABLE"), " ", _xll.BDP($AX103,"EE201"))</f>
        <v>4.6428570747375488</v>
      </c>
      <c r="AL103" s="24">
        <f>_xll.BDP(AX103,"BEST_TARGET_PRICE")</f>
        <v>126.90000152587891</v>
      </c>
      <c r="AM103" s="32">
        <f>(AL103/Q103)-1</f>
        <v>0.35881787692342759</v>
      </c>
      <c r="AN103" s="32">
        <f>_xll.BDP(AX103,"PR061")/100</f>
        <v>0.30378340000000004</v>
      </c>
      <c r="AO103" s="32">
        <f>_xll.BDP(AX103,"PR064")/100</f>
        <v>-0.11829679999999999</v>
      </c>
      <c r="AP103" s="32">
        <f>_xll.BDP(AX103,"CHG_PCT_6M")/100</f>
        <v>-0.32497290000000001</v>
      </c>
      <c r="AQ103" s="25">
        <f>_xll.BDP(AX103,"PR079")/100</f>
        <v>-0.18960429999999998</v>
      </c>
      <c r="AR103" s="33">
        <f>_xll.BDP(AX103,"hs001")</f>
        <v>179.7</v>
      </c>
      <c r="AS103" s="33">
        <f>_xll.BDP(AX103,"hs002")</f>
        <v>66.245000000000005</v>
      </c>
      <c r="AT103" s="22" t="str" cm="1">
        <f t="array" ref="AT103">IF(OR(_xll.BDP($AX103,"DX202")= "#N/A N/A", _xll.BDP($AX103,"DX202")="#N/A FIELD NOT APPLICABLE"), " ", _xll.BDP($AX103,"DX202"))</f>
        <v>Information Technology</v>
      </c>
      <c r="AU103" s="22" t="str" cm="1">
        <f t="array" ref="AU103">IF(OR(_xll.BDP($AX103,"DY997")= "#N/A N/A", _xll.BDP($AX103,"DY997")="#N/A FIELD NOT APPLICABLE"), " ", _xll.BDP($AX103,"DY997"))</f>
        <v>Y</v>
      </c>
      <c r="AV103" s="22" t="str" cm="1">
        <f t="array" ref="AV103">IF(OR(_xll.BDP($AX103,"DY784")= "#N/A N/A", _xll.BDP($AX103,"DY784")="#N/A FIELD NOT APPLICABLE"), " ", _xll.BDP($AX103,"DY784"))</f>
        <v xml:space="preserve"> </v>
      </c>
      <c r="AW103" s="22" t="str">
        <f>IF(OR(AU103="Y",AV103="Y"),"Y","N")</f>
        <v>Y</v>
      </c>
      <c r="AX103" s="22" t="str">
        <f>CONCATENATE(G103," ",$AX$2)</f>
        <v>DELL US Equity</v>
      </c>
      <c r="BC103" s="17" t="str" cm="1">
        <f t="array" ref="BC103">_xll.BDP(AX103,"ID005")</f>
        <v>US24703L2025</v>
      </c>
      <c r="BD103" s="17">
        <v>0.75</v>
      </c>
      <c r="BE103" s="18">
        <v>4</v>
      </c>
      <c r="BF103" s="19">
        <v>45540</v>
      </c>
      <c r="BG103" s="20">
        <v>1</v>
      </c>
    </row>
    <row r="104" spans="1:59" s="3" customFormat="1" ht="14.45" customHeight="1" x14ac:dyDescent="0.25">
      <c r="A104" s="49" t="s">
        <v>241</v>
      </c>
      <c r="B104" s="49" t="s">
        <v>270</v>
      </c>
      <c r="C104" s="49" t="s">
        <v>271</v>
      </c>
      <c r="D104" s="49" t="s">
        <v>240</v>
      </c>
      <c r="E104" s="22" t="str">
        <f>_xll.BDP(AX104,"SECURITY NAME")</f>
        <v>Dell Technologies Inc</v>
      </c>
      <c r="F104" s="22" t="str">
        <f>_xll.BDP(AX104,"CRNCY")</f>
        <v>USD</v>
      </c>
      <c r="G104" s="23" t="s">
        <v>338</v>
      </c>
      <c r="H104" s="22" t="str" cm="1">
        <f t="array" ref="H104">IF(OR(_xll.BDP($AX104,"DX202")= "#N/A N/A", _xll.BDP($AX104,"DX202")="#N/A FIELD NOT APPLICABLE"), " ", _xll.BDP($AX104,"DX202"))</f>
        <v>Information Technology</v>
      </c>
      <c r="I104" s="24">
        <f>_xll.BDP(AX104,"CRNCY_ADJ_MKT_CAP", "EQY_FUND_CRNCY=USD")/1000</f>
        <v>65.171354273190005</v>
      </c>
      <c r="J104" s="25">
        <f>IFERROR(_xll.BDP(AX104, "DV013")/100,0)</f>
        <v>2.2486346553512882E-2</v>
      </c>
      <c r="K104" s="26" cm="1">
        <f t="array" ref="K104">IF(OR(_xll.BDP($AX104,"RR900")= "#N/A N/A", _xll.BDP($AX104,"RR900")="#N/A FIELD NOT APPLICABLE"), " ", _xll.BDP($AX104,"RR900"))</f>
        <v>13.337480589980856</v>
      </c>
      <c r="L104" s="26" cm="1">
        <f t="array" ref="L104">IF(OR(_xll.BDP($AX104,"EE010")= "#N/A N/A", _xll.BDP($AX104,"EE010")="#N/A FIELD NOT APPLICABLE"), " ", _xll.BDP($AX104,"EE010"))</f>
        <v>9.0292951754810016</v>
      </c>
      <c r="M104" s="26" t="str" cm="1">
        <f t="array" ref="M104">IF(OR(_xll.BDP($AX104,"RR903")= "#N/A N/A", _xll.BDP($AX104,"RR903")="#N/A FIELD NOT APPLICABLE"), " ", _xll.BDP($AX104,"RR903"))</f>
        <v xml:space="preserve"> </v>
      </c>
      <c r="N104" s="26" cm="1">
        <f t="array" ref="N104">IF(OR(_xll.BDP($AX104,"RR957")= "#N/A N/A", _xll.BDP($AX104,"RR957")="#N/A FIELD NOT APPLICABLE"), " ", _xll.BDP($AX104,"RR957"))</f>
        <v>9.0084278745664559</v>
      </c>
      <c r="O104" s="27">
        <v>859</v>
      </c>
      <c r="P104" s="28">
        <v>96.99</v>
      </c>
      <c r="Q104" s="22" cm="1">
        <f t="array" ref="Q104">IF(OR(_xll.BDP($AX104,"PX_last")="#N/A N/A",_xll.BDP($AX104,"PX_Last")="#N/A FIELD NOT APPLICABLE")," ",IF(F104="GBP",(_xll.BDP($AX104,"PX_LAST")/100),(_xll.BDP($AX104,"PX_LAST"))))</f>
        <v>93.39</v>
      </c>
      <c r="R104" s="29">
        <f>IF(F104="USD",AA104,(((_xll.BDP(F104&amp;"USD CURNCY","PX_LAST")))*AA104))</f>
        <v>83314.409999999989</v>
      </c>
      <c r="S104" s="29">
        <f>IF(F104="USD",AB104,(((_xll.BDP(F104&amp;"USD CURNCY","PX_LAST")))*AB104))</f>
        <v>80222.009999999995</v>
      </c>
      <c r="T104" s="12">
        <f>S104-R104</f>
        <v>-3092.3999999999942</v>
      </c>
      <c r="U104" s="13">
        <f>T104/R104</f>
        <v>-3.7117228580265942E-2</v>
      </c>
      <c r="V104" s="13" cm="1">
        <f t="array" ref="V104">IFERROR(_xll.BDP($G104&amp;" Equity","CHG_PCT_1D")/100,"")</f>
        <v>-1.0279780000000001E-2</v>
      </c>
      <c r="W104" s="13" cm="1">
        <f t="array" ref="W104">IFERROR(_xll.BDP($G104&amp;" Equity","CHG_PCT_5D")/100,"")</f>
        <v>-4.1586690000000003E-3</v>
      </c>
      <c r="X104" s="13" t="e">
        <f>S104/#REF!</f>
        <v>#REF!</v>
      </c>
      <c r="Y104" s="24">
        <f>IFERROR(S104*J104,0)</f>
        <v>1803.8999180793758</v>
      </c>
      <c r="Z104" s="24">
        <f>S104</f>
        <v>80222.009999999995</v>
      </c>
      <c r="AA104" s="29">
        <f>P104*O104</f>
        <v>83314.409999999989</v>
      </c>
      <c r="AB104" s="29">
        <f>IFERROR(O104*Q104,0)</f>
        <v>80222.009999999995</v>
      </c>
      <c r="AC104" s="4" t="e" cm="1">
        <f t="array" ref="AC104">VLOOKUP(IF(NOT(_xll.BDP(AX104,$BW$8)="#N/A N/A"),(_xll.BDP(AX104,$BW$8)),"-"), '[1]Country Codes'!$A$2:$B$253,2,0)</f>
        <v>#N/A</v>
      </c>
      <c r="AD104" s="30" t="str" cm="1">
        <f t="array" ref="AD104">IF(OR(_xll.BDP($AX104,"EX028")= "#N/A N/A", _xll.BDP($AX104,"EX028")="#N/A FIELD NOT APPLICABLE"), " ", _xll.BDP($AX104,"EX028"))</f>
        <v>Equity</v>
      </c>
      <c r="AE104" s="31" t="str">
        <f>IF(("AS97"="Equity"), " ", "Single Line Equity")</f>
        <v>Single Line Equity</v>
      </c>
      <c r="AF104" s="26" cm="1">
        <f t="array" ref="AF104">IF(OR(_xll.BDP($AX104,"RR908")= "#N/A N/A", _xll.BDP($AX104,"RR908")="#N/A FIELD NOT APPLICABLE"), " ", _xll.BDP($AX104,"RR908"))</f>
        <v>14.565257788339915</v>
      </c>
      <c r="AG104" s="26" cm="1">
        <f t="array" ref="AG104">IF(OR(_xll.BDP($AX104,"RR041")= "#N/A N/A", _xll.BDP($AX104,"RR041")="#N/A FIELD NOT APPLICABLE"), " ", _xll.BDP($AX104,"RR041"))</f>
        <v>31.757078724951722</v>
      </c>
      <c r="AH104" s="22">
        <f>_xll.BDP(AX104,"TOT_BUY_REC")</f>
        <v>24</v>
      </c>
      <c r="AI104" s="22">
        <f>_xll.BDP(AX104,"TOT_HOLD_REC")</f>
        <v>4</v>
      </c>
      <c r="AJ104" s="22">
        <f>_xll.BDP(AX104,"TOT_SELL_REC")</f>
        <v>0</v>
      </c>
      <c r="AK104" s="26" cm="1">
        <f t="array" ref="AK104">IF(OR(_xll.BDP($AX104,"EE201")= "#N/A N/A", _xll.BDP($AX104,"EE201")="#N/A FIELD NOT APPLICABLE"), " ", _xll.BDP($AX104,"EE201"))</f>
        <v>4.6428570747375488</v>
      </c>
      <c r="AL104" s="24">
        <f>_xll.BDP(AX104,"BEST_TARGET_PRICE")</f>
        <v>126.90000152587891</v>
      </c>
      <c r="AM104" s="32">
        <f>(AL104/Q104)-1</f>
        <v>0.35881787692342759</v>
      </c>
      <c r="AN104" s="32">
        <f>_xll.BDP(AX104,"PR061")/100</f>
        <v>0.30378340000000004</v>
      </c>
      <c r="AO104" s="32">
        <f>_xll.BDP(AX104,"PR064")/100</f>
        <v>-0.11829679999999999</v>
      </c>
      <c r="AP104" s="32">
        <f>_xll.BDP(AX104,"CHG_PCT_6M")/100</f>
        <v>-0.32497290000000001</v>
      </c>
      <c r="AQ104" s="25">
        <f>_xll.BDP(AX104,"PR079")/100</f>
        <v>-0.18960429999999998</v>
      </c>
      <c r="AR104" s="33">
        <f>_xll.BDP(AX104,"hs001")</f>
        <v>179.7</v>
      </c>
      <c r="AS104" s="33">
        <f>_xll.BDP(AX104,"hs002")</f>
        <v>66.245000000000005</v>
      </c>
      <c r="AT104" s="22" t="str" cm="1">
        <f t="array" ref="AT104">IF(OR(_xll.BDP($AX104,"DX202")= "#N/A N/A", _xll.BDP($AX104,"DX202")="#N/A FIELD NOT APPLICABLE"), " ", _xll.BDP($AX104,"DX202"))</f>
        <v>Information Technology</v>
      </c>
      <c r="AU104" s="22" t="str" cm="1">
        <f t="array" ref="AU104">IF(OR(_xll.BDP($AX104,"DY997")= "#N/A N/A", _xll.BDP($AX104,"DY997")="#N/A FIELD NOT APPLICABLE"), " ", _xll.BDP($AX104,"DY997"))</f>
        <v>Y</v>
      </c>
      <c r="AV104" s="22" t="str" cm="1">
        <f t="array" ref="AV104">IF(OR(_xll.BDP($AX104,"DY784")= "#N/A N/A", _xll.BDP($AX104,"DY784")="#N/A FIELD NOT APPLICABLE"), " ", _xll.BDP($AX104,"DY784"))</f>
        <v xml:space="preserve"> </v>
      </c>
      <c r="AW104" s="22" t="str">
        <f>IF(OR(AU104="Y",AV104="Y"),"Y","N")</f>
        <v>Y</v>
      </c>
      <c r="AX104" s="22" t="str">
        <f>CONCATENATE(G104," ",$AX$2)</f>
        <v>DELL US Equity</v>
      </c>
      <c r="BC104" s="17" t="str" cm="1">
        <f t="array" ref="BC104">_xll.BDP(AX104,"ID005")</f>
        <v>US24703L2025</v>
      </c>
      <c r="BD104" s="17">
        <v>0.72</v>
      </c>
      <c r="BE104" s="18">
        <v>4</v>
      </c>
      <c r="BF104" s="19">
        <v>44463</v>
      </c>
      <c r="BG104" s="20">
        <v>1</v>
      </c>
    </row>
    <row r="105" spans="1:59" s="3" customFormat="1" ht="14.45" customHeight="1" x14ac:dyDescent="0.25">
      <c r="A105" s="49" t="s">
        <v>241</v>
      </c>
      <c r="B105" s="49" t="s">
        <v>272</v>
      </c>
      <c r="C105" s="49">
        <v>2620061.0010000002</v>
      </c>
      <c r="D105" s="49" t="s">
        <v>240</v>
      </c>
      <c r="E105" s="22" t="str">
        <f>_xll.BDP(AX105,"SECURITY NAME")</f>
        <v>Dell Technologies Inc</v>
      </c>
      <c r="F105" s="22" t="str">
        <f>_xll.BDP(AX105,"CRNCY")</f>
        <v>USD</v>
      </c>
      <c r="G105" s="23" t="s">
        <v>338</v>
      </c>
      <c r="H105" s="22" t="str" cm="1">
        <f t="array" ref="H105">IF(OR(_xll.BDP($AX105,"DX202")= "#N/A N/A", _xll.BDP($AX105,"DX202")="#N/A FIELD NOT APPLICABLE"), " ", _xll.BDP($AX105,"DX202"))</f>
        <v>Information Technology</v>
      </c>
      <c r="I105" s="24">
        <f>_xll.BDP(AX105,"CRNCY_ADJ_MKT_CAP", "EQY_FUND_CRNCY=USD")/1000</f>
        <v>65.171354273190005</v>
      </c>
      <c r="J105" s="25">
        <f>IFERROR(_xll.BDP(AX105, "DV013")/100,0)</f>
        <v>2.2486346553512882E-2</v>
      </c>
      <c r="K105" s="26" cm="1">
        <f t="array" ref="K105">IF(OR(_xll.BDP($AX105,"RR900")= "#N/A N/A", _xll.BDP($AX105,"RR900")="#N/A FIELD NOT APPLICABLE"), " ", _xll.BDP($AX105,"RR900"))</f>
        <v>13.337480589980856</v>
      </c>
      <c r="L105" s="26" cm="1">
        <f t="array" ref="L105">IF(OR(_xll.BDP($AX105,"EE010")= "#N/A N/A", _xll.BDP($AX105,"EE010")="#N/A FIELD NOT APPLICABLE"), " ", _xll.BDP($AX105,"EE010"))</f>
        <v>9.0292951754810016</v>
      </c>
      <c r="M105" s="26" t="str" cm="1">
        <f t="array" ref="M105">IF(OR(_xll.BDP($AX105,"RR903")= "#N/A N/A", _xll.BDP($AX105,"RR903")="#N/A FIELD NOT APPLICABLE"), " ", _xll.BDP($AX105,"RR903"))</f>
        <v xml:space="preserve"> </v>
      </c>
      <c r="N105" s="26" cm="1">
        <f t="array" ref="N105">IF(OR(_xll.BDP($AX105,"RR957")= "#N/A N/A", _xll.BDP($AX105,"RR957")="#N/A FIELD NOT APPLICABLE"), " ", _xll.BDP($AX105,"RR957"))</f>
        <v>9.0084278745664559</v>
      </c>
      <c r="O105" s="27">
        <v>799</v>
      </c>
      <c r="P105" s="28">
        <v>96.99</v>
      </c>
      <c r="Q105" s="22" cm="1">
        <f t="array" ref="Q105">IF(OR(_xll.BDP($AX105,"PX_last")="#N/A N/A",_xll.BDP($AX105,"PX_Last")="#N/A FIELD NOT APPLICABLE")," ",IF(F105="GBP",(_xll.BDP($AX105,"PX_LAST")/100),(_xll.BDP($AX105,"PX_LAST"))))</f>
        <v>93.39</v>
      </c>
      <c r="R105" s="29">
        <f>IF(F105="USD",AA105,(((_xll.BDP(F105&amp;"USD CURNCY","PX_LAST")))*AA105))</f>
        <v>77495.009999999995</v>
      </c>
      <c r="S105" s="29">
        <f>IF(F105="USD",AB105,(((_xll.BDP(F105&amp;"USD CURNCY","PX_LAST")))*AB105))</f>
        <v>74618.61</v>
      </c>
      <c r="T105" s="12">
        <f>S105-R105</f>
        <v>-2876.3999999999942</v>
      </c>
      <c r="U105" s="13">
        <f>IFERROR(T105/R105,0)</f>
        <v>-3.7117228580265935E-2</v>
      </c>
      <c r="V105" s="13" cm="1">
        <f t="array" ref="V105">IFERROR(_xll.BDP($G105&amp;" Equity","CHG_PCT_1D")/100,"")</f>
        <v>-1.0279780000000001E-2</v>
      </c>
      <c r="W105" s="13" cm="1">
        <f t="array" ref="W105">IFERROR(_xll.BDP($G105&amp;" Equity","CHG_PCT_5D")/100,"")</f>
        <v>-4.1586690000000003E-3</v>
      </c>
      <c r="X105" s="13" t="e">
        <f>S105/#REF!</f>
        <v>#REF!</v>
      </c>
      <c r="Y105" s="24">
        <f>IFERROR(S105*J105,0)</f>
        <v>1677.8999238014219</v>
      </c>
      <c r="Z105" s="24">
        <f>S105</f>
        <v>74618.61</v>
      </c>
      <c r="AA105" s="29">
        <f>P105*O105</f>
        <v>77495.009999999995</v>
      </c>
      <c r="AB105" s="29">
        <f>IFERROR(O105*Q105,0)</f>
        <v>74618.61</v>
      </c>
      <c r="AC105" s="4" t="e" cm="1">
        <f t="array" ref="AC105">VLOOKUP(IF(NOT(_xll.BDP(AX105,$BW$8)="#N/A N/A"),(_xll.BDP(AX105,$BW$8)),"-"), '[1]Country Codes'!$A$2:$B$253,2,0)</f>
        <v>#N/A</v>
      </c>
      <c r="AD105" s="30" t="str" cm="1">
        <f t="array" ref="AD105">IF(OR(_xll.BDP($AX105,"EX028")= "#N/A N/A", _xll.BDP($AX105,"EX028")="#N/A FIELD NOT APPLICABLE"), " ", _xll.BDP($AX105,"EX028"))</f>
        <v>Equity</v>
      </c>
      <c r="AE105" s="31" t="str">
        <f>IF(("AS97"="Equity"), " ", "Single Line Equity")</f>
        <v>Single Line Equity</v>
      </c>
      <c r="AF105" s="26" cm="1">
        <f t="array" ref="AF105">IF(OR(_xll.BDP($AX105,"RR908")= "#N/A N/A", _xll.BDP($AX105,"RR908")="#N/A FIELD NOT APPLICABLE"), " ", _xll.BDP($AX105,"RR908"))</f>
        <v>14.565257788339915</v>
      </c>
      <c r="AG105" s="26" cm="1">
        <f t="array" ref="AG105">IF(OR(_xll.BDP($AX105,"RR041")= "#N/A N/A", _xll.BDP($AX105,"RR041")="#N/A FIELD NOT APPLICABLE"), " ", _xll.BDP($AX105,"RR041"))</f>
        <v>31.757078724951722</v>
      </c>
      <c r="AH105" s="22">
        <f>_xll.BDP(AX105,"TOT_BUY_REC")</f>
        <v>24</v>
      </c>
      <c r="AI105" s="22">
        <f>_xll.BDP(AX105,"TOT_HOLD_REC")</f>
        <v>4</v>
      </c>
      <c r="AJ105" s="22">
        <f>_xll.BDP(AX105,"TOT_SELL_REC")</f>
        <v>0</v>
      </c>
      <c r="AK105" s="26" cm="1">
        <f t="array" ref="AK105">IF(OR(_xll.BDP($AX105,"EE201")= "#N/A N/A", _xll.BDP($AX105,"EE201")="#N/A FIELD NOT APPLICABLE"), " ", _xll.BDP($AX105,"EE201"))</f>
        <v>4.6428570747375488</v>
      </c>
      <c r="AL105" s="24">
        <f>_xll.BDP(AX105,"BEST_TARGET_PRICE")</f>
        <v>126.90000152587891</v>
      </c>
      <c r="AM105" s="32">
        <f>(AL105/Q105)-1</f>
        <v>0.35881787692342759</v>
      </c>
      <c r="AN105" s="32">
        <f>_xll.BDP(AX105,"PR061")/100</f>
        <v>0.30378340000000004</v>
      </c>
      <c r="AO105" s="32">
        <f>_xll.BDP(AX105,"PR064")/100</f>
        <v>-0.11829679999999999</v>
      </c>
      <c r="AP105" s="32">
        <f>_xll.BDP(AX105,"CHG_PCT_6M")/100</f>
        <v>-0.32497290000000001</v>
      </c>
      <c r="AQ105" s="25">
        <f>_xll.BDP(AX105,"PR079")/100</f>
        <v>-0.18960429999999998</v>
      </c>
      <c r="AR105" s="33">
        <f>_xll.BDP(AX105,"hs001")</f>
        <v>179.7</v>
      </c>
      <c r="AS105" s="33">
        <f>_xll.BDP(AX105,"hs002")</f>
        <v>66.245000000000005</v>
      </c>
      <c r="AT105" s="22" t="str" cm="1">
        <f t="array" ref="AT105">IF(OR(_xll.BDP($AX105,"DX202")= "#N/A N/A", _xll.BDP($AX105,"DX202")="#N/A FIELD NOT APPLICABLE"), " ", _xll.BDP($AX105,"DX202"))</f>
        <v>Information Technology</v>
      </c>
      <c r="AU105" s="22" t="str" cm="1">
        <f t="array" ref="AU105">IF(OR(_xll.BDP($AX105,"DY997")= "#N/A N/A", _xll.BDP($AX105,"DY997")="#N/A FIELD NOT APPLICABLE"), " ", _xll.BDP($AX105,"DY997"))</f>
        <v>Y</v>
      </c>
      <c r="AV105" s="22" t="str" cm="1">
        <f t="array" ref="AV105">IF(OR(_xll.BDP($AX105,"DY784")= "#N/A N/A", _xll.BDP($AX105,"DY784")="#N/A FIELD NOT APPLICABLE"), " ", _xll.BDP($AX105,"DY784"))</f>
        <v xml:space="preserve"> </v>
      </c>
      <c r="AW105" s="22" t="str">
        <f>IF(OR(AU105="Y",AV105="Y"),"Y","N")</f>
        <v>Y</v>
      </c>
      <c r="AX105" s="22" t="str">
        <f>CONCATENATE(G105," ",$AX$2)</f>
        <v>DELL US Equity</v>
      </c>
      <c r="BC105" s="17" t="str" cm="1">
        <f t="array" ref="BC105">_xll.BDP(AX105,"ID005")</f>
        <v>US24703L2025</v>
      </c>
      <c r="BD105" s="17">
        <v>0.72</v>
      </c>
      <c r="BE105" s="18">
        <v>4</v>
      </c>
      <c r="BF105" s="19">
        <v>45596</v>
      </c>
      <c r="BG105" s="20">
        <v>1</v>
      </c>
    </row>
    <row r="106" spans="1:59" s="3" customFormat="1" ht="14.45" customHeight="1" x14ac:dyDescent="0.25">
      <c r="A106" s="49" t="s">
        <v>241</v>
      </c>
      <c r="B106" s="49" t="s">
        <v>273</v>
      </c>
      <c r="C106" s="49">
        <v>2620058.003</v>
      </c>
      <c r="D106" s="49" t="s">
        <v>240</v>
      </c>
      <c r="E106" s="22" t="str">
        <f>_xll.BDP(AX106,"SECURITY NAME")</f>
        <v>Dell Technologies Inc</v>
      </c>
      <c r="F106" s="22" t="str">
        <f>_xll.BDP(AX106,"CRNCY")</f>
        <v>USD</v>
      </c>
      <c r="G106" s="23" t="s">
        <v>338</v>
      </c>
      <c r="H106" s="22" t="str" cm="1">
        <f t="array" ref="H106">IF(OR(_xll.BDP($AX106,"DX202")= "#N/A N/A", _xll.BDP($AX106,"DX202")="#N/A FIELD NOT APPLICABLE"), " ", _xll.BDP($AX106,"DX202"))</f>
        <v>Information Technology</v>
      </c>
      <c r="I106" s="24"/>
      <c r="J106" s="25">
        <f>IFERROR(_xll.BDP(AX106, "DV013")/100,0)</f>
        <v>2.2486346553512882E-2</v>
      </c>
      <c r="K106" s="26" cm="1">
        <f t="array" ref="K106">IF(OR(_xll.BDP($AX106,"RR900")= "#N/A N/A", _xll.BDP($AX106,"RR900")="#N/A FIELD NOT APPLICABLE"), " ", _xll.BDP($AX106,"RR900"))</f>
        <v>13.337480589980856</v>
      </c>
      <c r="L106" s="26" cm="1">
        <f t="array" ref="L106">IF(OR(_xll.BDP($AX106,"EE010")= "#N/A N/A", _xll.BDP($AX106,"EE010")="#N/A FIELD NOT APPLICABLE"), " ", _xll.BDP($AX106,"EE010"))</f>
        <v>9.0292951754810016</v>
      </c>
      <c r="M106" s="26" t="str" cm="1">
        <f t="array" ref="M106">IF(OR(_xll.BDP($AX106,"RR903")= "#N/A N/A", _xll.BDP($AX106,"RR903")="#N/A FIELD NOT APPLICABLE"), " ", _xll.BDP($AX106,"RR903"))</f>
        <v xml:space="preserve"> </v>
      </c>
      <c r="N106" s="26" cm="1">
        <f t="array" ref="N106">IF(OR(_xll.BDP($AX106,"RR957")= "#N/A N/A", _xll.BDP($AX106,"RR957")="#N/A FIELD NOT APPLICABLE"), " ", _xll.BDP($AX106,"RR957"))</f>
        <v>9.0084278745664559</v>
      </c>
      <c r="O106" s="27">
        <v>536</v>
      </c>
      <c r="P106" s="28">
        <v>96.99</v>
      </c>
      <c r="Q106" s="22" cm="1">
        <f t="array" ref="Q106">IF(OR(_xll.BDP($AX106,"PX_last")="#N/A N/A",_xll.BDP($AX106,"PX_Last")="#N/A FIELD NOT APPLICABLE")," ",IF(F106="GBP",(_xll.BDP($AX106,"PX_LAST")/100),(_xll.BDP($AX106,"PX_LAST"))))</f>
        <v>93.39</v>
      </c>
      <c r="R106" s="29">
        <f>IF(F106="USD",AA106,(((_xll.BDP(F106&amp;"USD CURNCY","PX_LAST")))*AA106))</f>
        <v>51986.64</v>
      </c>
      <c r="S106" s="29">
        <f>IF(F106="USD",AB106,(((_xll.BDP(F106&amp;"USD CURNCY","PX_LAST")))*AB106))</f>
        <v>50057.04</v>
      </c>
      <c r="T106" s="12">
        <f>S106-R106</f>
        <v>-1929.5999999999985</v>
      </c>
      <c r="U106" s="13">
        <f>T106/R106</f>
        <v>-3.7117228580265976E-2</v>
      </c>
      <c r="V106" s="13" cm="1">
        <f t="array" ref="V106">IFERROR(_xll.BDP($G106&amp;" Equity","CHG_PCT_1D")/100,"")</f>
        <v>-1.0279780000000001E-2</v>
      </c>
      <c r="W106" s="13" cm="1">
        <f t="array" ref="W106">IFERROR(_xll.BDP($G106&amp;" Equity","CHG_PCT_5D")/100,"")</f>
        <v>-4.1586690000000003E-3</v>
      </c>
      <c r="X106" s="13" t="e">
        <f>S106/#REF!</f>
        <v>#REF!</v>
      </c>
      <c r="Y106" s="24">
        <f>IFERROR(S106*J106,0)</f>
        <v>1125.5999488830564</v>
      </c>
      <c r="Z106" s="24">
        <f>S106</f>
        <v>50057.04</v>
      </c>
      <c r="AA106" s="29">
        <f>P106*O106</f>
        <v>51986.64</v>
      </c>
      <c r="AB106" s="29">
        <f>IFERROR(O106*Q106,0)</f>
        <v>50057.04</v>
      </c>
      <c r="AC106" s="4" t="e" cm="1">
        <f t="array" ref="AC106">VLOOKUP(IF(NOT(_xll.BDP(AX106,$BW$8)="#N/A N/A"),(_xll.BDP(AX106,$BW$8)),"-"), '[1]Country Codes'!$A$2:$B$253,2,0)</f>
        <v>#N/A</v>
      </c>
      <c r="AD106" s="30" t="str" cm="1">
        <f t="array" ref="AD106">IF(OR(_xll.BDP($AX106,"EX028")= "#N/A N/A", _xll.BDP($AX106,"EX028")="#N/A FIELD NOT APPLICABLE"), " ", _xll.BDP($AX106,"EX028"))</f>
        <v>Equity</v>
      </c>
      <c r="AE106" s="31" t="str">
        <f>IF(("AS97"="Equity"), " ", "Single Line Equity")</f>
        <v>Single Line Equity</v>
      </c>
      <c r="AF106" s="26" cm="1">
        <f t="array" ref="AF106">IF(OR(_xll.BDP($AX106,"RR908")= "#N/A N/A", _xll.BDP($AX106,"RR908")="#N/A FIELD NOT APPLICABLE"), " ", _xll.BDP($AX106,"RR908"))</f>
        <v>14.565257788339915</v>
      </c>
      <c r="AG106" s="26" cm="1">
        <f t="array" ref="AG106">IF(OR(_xll.BDP($AX106,"RR041")= "#N/A N/A", _xll.BDP($AX106,"RR041")="#N/A FIELD NOT APPLICABLE"), " ", _xll.BDP($AX106,"RR041"))</f>
        <v>31.757078724951722</v>
      </c>
      <c r="AH106" s="22">
        <f>_xll.BDP(AX106,"TOT_BUY_REC")</f>
        <v>24</v>
      </c>
      <c r="AI106" s="22">
        <f>_xll.BDP(AX106,"TOT_HOLD_REC")</f>
        <v>4</v>
      </c>
      <c r="AJ106" s="22">
        <f>_xll.BDP(AX106,"TOT_SELL_REC")</f>
        <v>0</v>
      </c>
      <c r="AK106" s="26" cm="1">
        <f t="array" ref="AK106">IF(OR(_xll.BDP($AX106,"EE201")= "#N/A N/A", _xll.BDP($AX106,"EE201")="#N/A FIELD NOT APPLICABLE"), " ", _xll.BDP($AX106,"EE201"))</f>
        <v>4.6428570747375488</v>
      </c>
      <c r="AL106" s="24">
        <f>_xll.BDP(AX106,"BEST_TARGET_PRICE")</f>
        <v>126.90000152587891</v>
      </c>
      <c r="AM106" s="32">
        <f>(AL106/Q106)-1</f>
        <v>0.35881787692342759</v>
      </c>
      <c r="AN106" s="32">
        <f>_xll.BDP(AX106,"PR061")/100</f>
        <v>0.30378340000000004</v>
      </c>
      <c r="AO106" s="32">
        <f>_xll.BDP(AX106,"PR064")/100</f>
        <v>-0.11829679999999999</v>
      </c>
      <c r="AP106" s="32">
        <f>_xll.BDP(AX106,"CHG_PCT_6M")/100</f>
        <v>-0.32497290000000001</v>
      </c>
      <c r="AQ106" s="25">
        <f>_xll.BDP(AX106,"PR079")/100</f>
        <v>-0.18960429999999998</v>
      </c>
      <c r="AR106" s="33">
        <f>_xll.BDP(AX106,"hs001")</f>
        <v>179.7</v>
      </c>
      <c r="AS106" s="33">
        <f>_xll.BDP(AX106,"hs002")</f>
        <v>66.245000000000005</v>
      </c>
      <c r="AT106" s="22" t="str" cm="1">
        <f t="array" ref="AT106">IF(OR(_xll.BDP($AX106,"DX202")= "#N/A N/A", _xll.BDP($AX106,"DX202")="#N/A FIELD NOT APPLICABLE"), " ", _xll.BDP($AX106,"DX202"))</f>
        <v>Information Technology</v>
      </c>
      <c r="AU106" s="22" t="str" cm="1">
        <f t="array" ref="AU106">IF(OR(_xll.BDP($AX106,"DY997")= "#N/A N/A", _xll.BDP($AX106,"DY997")="#N/A FIELD NOT APPLICABLE"), " ", _xll.BDP($AX106,"DY997"))</f>
        <v>Y</v>
      </c>
      <c r="AV106" s="22" t="str" cm="1">
        <f t="array" ref="AV106">IF(OR(_xll.BDP($AX106,"DY784")= "#N/A N/A", _xll.BDP($AX106,"DY784")="#N/A FIELD NOT APPLICABLE"), " ", _xll.BDP($AX106,"DY784"))</f>
        <v xml:space="preserve"> </v>
      </c>
      <c r="AW106" s="22" t="str">
        <f>IF(OR(AU106="Y",AV106="Y"),"Y","N")</f>
        <v>Y</v>
      </c>
      <c r="AX106" s="22" t="str">
        <f>CONCATENATE(G106," ",$AX$2)</f>
        <v>DELL US Equity</v>
      </c>
      <c r="BC106" s="17" t="str" cm="1">
        <f t="array" ref="BC106">_xll.BDP(AX106,"ID005")</f>
        <v>US24703L2025</v>
      </c>
      <c r="BD106" s="17">
        <v>0.78990000000000005</v>
      </c>
      <c r="BE106" s="18">
        <v>4</v>
      </c>
      <c r="BF106" s="19"/>
      <c r="BG106" s="20"/>
    </row>
    <row r="107" spans="1:59" s="3" customFormat="1" ht="14.45" customHeight="1" x14ac:dyDescent="0.25">
      <c r="A107" s="49" t="s">
        <v>241</v>
      </c>
      <c r="B107" s="49" t="s">
        <v>276</v>
      </c>
      <c r="C107" s="49" t="s">
        <v>277</v>
      </c>
      <c r="D107" s="49" t="s">
        <v>240</v>
      </c>
      <c r="E107" s="22" t="str">
        <f>_xll.BDP(AX107,"SECURITY NAME")</f>
        <v>Dell Technologies Inc</v>
      </c>
      <c r="F107" s="22" t="str">
        <f>_xll.BDP(AX107,"CRNCY")</f>
        <v>USD</v>
      </c>
      <c r="G107" s="23" t="s">
        <v>338</v>
      </c>
      <c r="H107" s="22" t="str" cm="1">
        <f t="array" ref="H107">IF(OR(_xll.BDP($AX107,"DX202")= "#N/A N/A", _xll.BDP($AX107,"DX202")="#N/A FIELD NOT APPLICABLE"), " ", _xll.BDP($AX107,"DX202"))</f>
        <v>Information Technology</v>
      </c>
      <c r="I107" s="24">
        <f>_xll.BDP(AX107,"CRNCY_ADJ_MKT_CAP", "EQY_FUND_CRNCY=USD")/1000</f>
        <v>65.171354273190005</v>
      </c>
      <c r="J107" s="25">
        <f>IFERROR(_xll.BDP(AX107, "DV013")/100,0)</f>
        <v>2.2486346553512882E-2</v>
      </c>
      <c r="K107" s="26" cm="1">
        <f t="array" ref="K107">IF(OR(_xll.BDP($AX107,"RR900")= "#N/A N/A", _xll.BDP($AX107,"RR900")="#N/A FIELD NOT APPLICABLE"), " ", _xll.BDP($AX107,"RR900"))</f>
        <v>13.337480589980856</v>
      </c>
      <c r="L107" s="26" cm="1">
        <f t="array" ref="L107">IF(OR(_xll.BDP($AX107,"EE010")= "#N/A N/A", _xll.BDP($AX107,"EE010")="#N/A FIELD NOT APPLICABLE"), " ", _xll.BDP($AX107,"EE010"))</f>
        <v>9.0292951754810016</v>
      </c>
      <c r="M107" s="26" t="str" cm="1">
        <f t="array" ref="M107">IF(OR(_xll.BDP($AX107,"RR903")= "#N/A N/A", _xll.BDP($AX107,"RR903")="#N/A FIELD NOT APPLICABLE"), " ", _xll.BDP($AX107,"RR903"))</f>
        <v xml:space="preserve"> </v>
      </c>
      <c r="N107" s="26" cm="1">
        <f t="array" ref="N107">IF(OR(_xll.BDP($AX107,"RR957")= "#N/A N/A", _xll.BDP($AX107,"RR957")="#N/A FIELD NOT APPLICABLE"), " ", _xll.BDP($AX107,"RR957"))</f>
        <v>9.0084278745664559</v>
      </c>
      <c r="O107" s="27">
        <v>1229</v>
      </c>
      <c r="P107" s="28">
        <v>96.99</v>
      </c>
      <c r="Q107" s="22" cm="1">
        <f t="array" ref="Q107">IF(OR(_xll.BDP($AX107,"PX_last")="#N/A N/A",_xll.BDP($AX107,"PX_Last")="#N/A FIELD NOT APPLICABLE")," ",IF(F107="GBP",(_xll.BDP($AX107,"PX_LAST")/100),(_xll.BDP($AX107,"PX_LAST"))))</f>
        <v>93.39</v>
      </c>
      <c r="R107" s="29">
        <f>IF(F107="USD",AA107,(((_xll.BDP(F107&amp;"USD CURNCY","PX_LAST")))*AA107))</f>
        <v>119200.70999999999</v>
      </c>
      <c r="S107" s="29">
        <f>IF(F107="USD",AB107,(((_xll.BDP(F107&amp;"USD CURNCY","PX_LAST")))*AB107))</f>
        <v>114776.31</v>
      </c>
      <c r="T107" s="12">
        <f>S107-R107</f>
        <v>-4424.3999999999942</v>
      </c>
      <c r="U107" s="13">
        <f>T107/R107</f>
        <v>-3.7117228580265962E-2</v>
      </c>
      <c r="V107" s="13" cm="1">
        <f t="array" ref="V107">IFERROR(_xll.BDP($G107&amp;" Equity","CHG_PCT_1D")/100,"")</f>
        <v>-1.0279780000000001E-2</v>
      </c>
      <c r="W107" s="13" cm="1">
        <f t="array" ref="W107">IFERROR(_xll.BDP($G107&amp;" Equity","CHG_PCT_5D")/100,"")</f>
        <v>-4.1586690000000003E-3</v>
      </c>
      <c r="X107" s="13" t="e">
        <f>S107/#REF!</f>
        <v>#REF!</v>
      </c>
      <c r="Y107" s="24">
        <f>IFERROR(S107*J107,0)</f>
        <v>2580.8998827934261</v>
      </c>
      <c r="Z107" s="24">
        <f>S107</f>
        <v>114776.31</v>
      </c>
      <c r="AA107" s="29">
        <f>P107*O107</f>
        <v>119200.70999999999</v>
      </c>
      <c r="AB107" s="29">
        <f>IFERROR(O107*Q107,0)</f>
        <v>114776.31</v>
      </c>
      <c r="AC107" s="4" t="e" cm="1">
        <f t="array" ref="AC107">VLOOKUP(IF(NOT(_xll.BDP(AX107,$BW$8)="#N/A N/A"),(_xll.BDP(AX107,$BW$8)),"-"), '[1]Country Codes'!$A$2:$B$253,2,0)</f>
        <v>#N/A</v>
      </c>
      <c r="AD107" s="30" t="str" cm="1">
        <f t="array" ref="AD107">IF(OR(_xll.BDP($AX107,"EX028")= "#N/A N/A", _xll.BDP($AX107,"EX028")="#N/A FIELD NOT APPLICABLE"), " ", _xll.BDP($AX107,"EX028"))</f>
        <v>Equity</v>
      </c>
      <c r="AE107" s="31" t="str">
        <f>IF(("AS97"="Equity"), " ", "Single Line Equity")</f>
        <v>Single Line Equity</v>
      </c>
      <c r="AF107" s="26" cm="1">
        <f t="array" ref="AF107">IF(OR(_xll.BDP($AX107,"RR908")= "#N/A N/A", _xll.BDP($AX107,"RR908")="#N/A FIELD NOT APPLICABLE"), " ", _xll.BDP($AX107,"RR908"))</f>
        <v>14.565257788339915</v>
      </c>
      <c r="AG107" s="26" cm="1">
        <f t="array" ref="AG107">IF(OR(_xll.BDP($AX107,"RR041")= "#N/A N/A", _xll.BDP($AX107,"RR041")="#N/A FIELD NOT APPLICABLE"), " ", _xll.BDP($AX107,"RR041"))</f>
        <v>31.757078724951722</v>
      </c>
      <c r="AH107" s="22">
        <f>_xll.BDP(AX107,"TOT_BUY_REC")</f>
        <v>24</v>
      </c>
      <c r="AI107" s="22">
        <f>_xll.BDP(AX107,"TOT_HOLD_REC")</f>
        <v>4</v>
      </c>
      <c r="AJ107" s="22">
        <f>_xll.BDP(AX107,"TOT_SELL_REC")</f>
        <v>0</v>
      </c>
      <c r="AK107" s="26" cm="1">
        <f t="array" ref="AK107">IF(OR(_xll.BDP($AX107,"EE201")= "#N/A N/A", _xll.BDP($AX107,"EE201")="#N/A FIELD NOT APPLICABLE"), " ", _xll.BDP($AX107,"EE201"))</f>
        <v>4.6428570747375488</v>
      </c>
      <c r="AL107" s="24">
        <f>_xll.BDP(AX107,"BEST_TARGET_PRICE")</f>
        <v>126.90000152587891</v>
      </c>
      <c r="AM107" s="32">
        <f>(AL107/Q107)-1</f>
        <v>0.35881787692342759</v>
      </c>
      <c r="AN107" s="32">
        <f>_xll.BDP(AX107,"PR061")/100</f>
        <v>0.30378340000000004</v>
      </c>
      <c r="AO107" s="32">
        <f>_xll.BDP(AX107,"PR064")/100</f>
        <v>-0.11829679999999999</v>
      </c>
      <c r="AP107" s="32">
        <f>_xll.BDP(AX107,"CHG_PCT_6M")/100</f>
        <v>-0.32497290000000001</v>
      </c>
      <c r="AQ107" s="25">
        <f>_xll.BDP(AX107,"PR079")/100</f>
        <v>-0.18960429999999998</v>
      </c>
      <c r="AR107" s="33">
        <f>_xll.BDP(AX107,"hs001")</f>
        <v>179.7</v>
      </c>
      <c r="AS107" s="33">
        <f>_xll.BDP(AX107,"hs002")</f>
        <v>66.245000000000005</v>
      </c>
      <c r="AT107" s="22" t="str" cm="1">
        <f t="array" ref="AT107">IF(OR(_xll.BDP($AX107,"DX202")= "#N/A N/A", _xll.BDP($AX107,"DX202")="#N/A FIELD NOT APPLICABLE"), " ", _xll.BDP($AX107,"DX202"))</f>
        <v>Information Technology</v>
      </c>
      <c r="AU107" s="22" t="str" cm="1">
        <f t="array" ref="AU107">IF(OR(_xll.BDP($AX107,"DY997")= "#N/A N/A", _xll.BDP($AX107,"DY997")="#N/A FIELD NOT APPLICABLE"), " ", _xll.BDP($AX107,"DY997"))</f>
        <v>Y</v>
      </c>
      <c r="AV107" s="22" t="str" cm="1">
        <f t="array" ref="AV107">IF(OR(_xll.BDP($AX107,"DY784")= "#N/A N/A", _xll.BDP($AX107,"DY784")="#N/A FIELD NOT APPLICABLE"), " ", _xll.BDP($AX107,"DY784"))</f>
        <v xml:space="preserve"> </v>
      </c>
      <c r="AW107" s="22" t="str">
        <f>IF(OR(AU107="Y",AV107="Y"),"Y","N")</f>
        <v>Y</v>
      </c>
      <c r="AX107" s="22" t="str">
        <f>CONCATENATE(G107," ",$AX$2)</f>
        <v>DELL US Equity</v>
      </c>
      <c r="BC107" s="17" t="str" cm="1">
        <f t="array" ref="BC107">_xll.BDP(AX107,"ID005")</f>
        <v>US24703L2025</v>
      </c>
      <c r="BD107" s="17">
        <v>0.78990000000000005</v>
      </c>
      <c r="BE107" s="18">
        <v>4</v>
      </c>
      <c r="BF107" s="19">
        <v>45567</v>
      </c>
      <c r="BG107" s="20"/>
    </row>
    <row r="108" spans="1:59" s="3" customFormat="1" ht="14.45" customHeight="1" x14ac:dyDescent="0.25">
      <c r="A108" s="49" t="s">
        <v>241</v>
      </c>
      <c r="B108" s="49" t="s">
        <v>251</v>
      </c>
      <c r="C108" s="49" t="s">
        <v>252</v>
      </c>
      <c r="D108" s="49" t="s">
        <v>240</v>
      </c>
      <c r="E108" s="22" t="str">
        <f>_xll.BDP(AX108,"SECURITY NAME")</f>
        <v>Diageo PLC</v>
      </c>
      <c r="F108" s="22" t="str">
        <f>_xll.BDP(AX108,"CRNCY")</f>
        <v>GBp</v>
      </c>
      <c r="G108" s="23" t="s">
        <v>162</v>
      </c>
      <c r="H108" s="22" t="str" cm="1">
        <f t="array" ref="H108">IF(OR(_xll.BDP($AX108,"DX202")= "#N/A N/A", _xll.BDP($AX108,"DX202")="#N/A FIELD NOT APPLICABLE"), " ", _xll.BDP($AX108,"DX202"))</f>
        <v>Consumer Staples</v>
      </c>
      <c r="I108" s="24">
        <f>_xll.BDP(AX108,"CRNCY_ADJ_MKT_CAP", "EQY_FUND_CRNCY=USD")/1000</f>
        <v>64.19043373585798</v>
      </c>
      <c r="J108" s="25">
        <f>IFERROR(_xll.BDP(AX108, "DV013")/100,0)</f>
        <v>3.7018083885270649E-2</v>
      </c>
      <c r="K108" s="26" cm="1">
        <f t="array" ref="K108">IF(OR(_xll.BDP($AX108,"RR900")= "#N/A N/A", _xll.BDP($AX108,"RR900")="#N/A FIELD NOT APPLICABLE"), " ", _xll.BDP($AX108,"RR900"))</f>
        <v>17.842156894278087</v>
      </c>
      <c r="L108" s="26" cm="1">
        <f t="array" ref="L108">IF(OR(_xll.BDP($AX108,"EE010")= "#N/A N/A", _xll.BDP($AX108,"EE010")="#N/A FIELD NOT APPLICABLE"), " ", _xll.BDP($AX108,"EE010"))</f>
        <v>16.898643286650735</v>
      </c>
      <c r="M108" s="26" cm="1">
        <f t="array" ref="M108">IF(OR(_xll.BDP($AX108,"RR903")= "#N/A N/A", _xll.BDP($AX108,"RR903")="#N/A FIELD NOT APPLICABLE"), " ", _xll.BDP($AX108,"RR903"))</f>
        <v>6.2414754551182581</v>
      </c>
      <c r="N108" s="26" cm="1">
        <f t="array" ref="N108">IF(OR(_xll.BDP($AX108,"RR957")= "#N/A N/A", _xll.BDP($AX108,"RR957")="#N/A FIELD NOT APPLICABLE"), " ", _xll.BDP($AX108,"RR957"))</f>
        <v>13.617511551986308</v>
      </c>
      <c r="O108" s="27">
        <v>3499</v>
      </c>
      <c r="P108" s="28">
        <v>22.673079999999999</v>
      </c>
      <c r="Q108" s="22" cm="1">
        <f t="array" ref="Q108">IF(OR(_xll.BDP($AX108,"PX_last")="#N/A N/A",_xll.BDP($AX108,"PX_Last")="#N/A FIELD NOT APPLICABLE")," ",IF(F108="GBP",(_xll.BDP($AX108,"PX_LAST")/100),(_xll.BDP($AX108,"PX_LAST"))))</f>
        <v>21.58</v>
      </c>
      <c r="R108" s="29">
        <f>IF(F108="USD",AA108,(((_xll.BDP(F108&amp;"USD CURNCY","PX_LAST")))*AA108))</f>
        <v>106044.56401996399</v>
      </c>
      <c r="S108" s="29">
        <f>IF(F108="USD",AB108,(((_xll.BDP(F108&amp;"USD CURNCY","PX_LAST")))*AB108))</f>
        <v>100932.105014</v>
      </c>
      <c r="T108" s="12">
        <f>S108-R108</f>
        <v>-5112.4590059639886</v>
      </c>
      <c r="U108" s="13">
        <f>T108/R108</f>
        <v>-4.8210476918001337E-2</v>
      </c>
      <c r="V108" s="13" cm="1">
        <f t="array" ref="V108">IFERROR(_xll.BDP($G108&amp;" Equity","CHG_PCT_1D")/100,"")</f>
        <v>1.7924530000000001E-2</v>
      </c>
      <c r="W108" s="13" cm="1">
        <f t="array" ref="W108">IFERROR(_xll.BDP($G108&amp;" Equity","CHG_PCT_5D")/100,"")</f>
        <v>4.2512080000000001E-2</v>
      </c>
      <c r="X108" s="13" t="e">
        <f>S108/#REF!</f>
        <v>#REF!</v>
      </c>
      <c r="Y108" s="24">
        <f>IFERROR(S108*J108,0)</f>
        <v>3736.3131301251983</v>
      </c>
      <c r="Z108" s="24">
        <f>S108</f>
        <v>100932.105014</v>
      </c>
      <c r="AA108" s="29">
        <f>P108*O108</f>
        <v>79333.106919999991</v>
      </c>
      <c r="AB108" s="29">
        <f>IFERROR(O108*Q108,0)</f>
        <v>75508.42</v>
      </c>
      <c r="AC108" s="4" t="e" cm="1">
        <f t="array" ref="AC108">VLOOKUP(IF(NOT(_xll.BDP(AX108,$BW$8)="#N/A N/A"),(_xll.BDP(AX108,$BW$8)),"-"), '[1]Country Codes'!$A$2:$B$253,2,0)</f>
        <v>#N/A</v>
      </c>
      <c r="AD108" s="30" t="str" cm="1">
        <f t="array" ref="AD108">IF(OR(_xll.BDP($AX108,"EX028")= "#N/A N/A", _xll.BDP($AX108,"EX028")="#N/A FIELD NOT APPLICABLE"), " ", _xll.BDP($AX108,"EX028"))</f>
        <v>Equity</v>
      </c>
      <c r="AE108" s="31" t="str">
        <f>IF(("AS97"="Equity"), " ", "Single Line Equity")</f>
        <v>Single Line Equity</v>
      </c>
      <c r="AF108" s="26" cm="1">
        <f t="array" ref="AF108">IF(OR(_xll.BDP($AX108,"RR908")= "#N/A N/A", _xll.BDP($AX108,"RR908")="#N/A FIELD NOT APPLICABLE"), " ", _xll.BDP($AX108,"RR908"))</f>
        <v>14.97031006195065</v>
      </c>
      <c r="AG108" s="26" cm="1">
        <f t="array" ref="AG108">IF(OR(_xll.BDP($AX108,"RR041")= "#N/A N/A", _xll.BDP($AX108,"RR041")="#N/A FIELD NOT APPLICABLE"), " ", _xll.BDP($AX108,"RR041"))</f>
        <v>47.281963319699166</v>
      </c>
      <c r="AH108" s="22">
        <f>_xll.BDP(AX108,"TOT_BUY_REC")</f>
        <v>15</v>
      </c>
      <c r="AI108" s="22">
        <f>_xll.BDP(AX108,"TOT_HOLD_REC")</f>
        <v>8</v>
      </c>
      <c r="AJ108" s="22">
        <f>_xll.BDP(AX108,"TOT_SELL_REC")</f>
        <v>4</v>
      </c>
      <c r="AK108" s="26" cm="1">
        <f t="array" ref="AK108">IF(OR(_xll.BDP($AX108,"EE201")= "#N/A N/A", _xll.BDP($AX108,"EE201")="#N/A FIELD NOT APPLICABLE"), " ", _xll.BDP($AX108,"EE201"))</f>
        <v>3.8148148059844971</v>
      </c>
      <c r="AL108" s="24">
        <f>_xll.BDP(AX108,"BEST_TARGET_PRICE")</f>
        <v>2474.181884765625</v>
      </c>
      <c r="AM108" s="32">
        <f>(AL108/Q108)-1</f>
        <v>113.65161653223471</v>
      </c>
      <c r="AN108" s="32">
        <f>_xll.BDP(AX108,"PR061")/100</f>
        <v>7.2564610000000002E-2</v>
      </c>
      <c r="AO108" s="32">
        <f>_xll.BDP(AX108,"PR064")/100</f>
        <v>-4.195339E-2</v>
      </c>
      <c r="AP108" s="32">
        <f>_xll.BDP(AX108,"CHG_PCT_6M")/100</f>
        <v>-6.4180399999999999E-2</v>
      </c>
      <c r="AQ108" s="25">
        <f>_xll.BDP(AX108,"PR079")/100</f>
        <v>-0.14955669999999999</v>
      </c>
      <c r="AR108" s="33">
        <f>_xll.BDP(AX108,"hs001")</f>
        <v>2863.5</v>
      </c>
      <c r="AS108" s="33">
        <f>_xll.BDP(AX108,"hs002")</f>
        <v>1908</v>
      </c>
      <c r="AT108" s="22" t="str" cm="1">
        <f t="array" ref="AT108">IF(OR(_xll.BDP($AX108,"DX202")= "#N/A N/A", _xll.BDP($AX108,"DX202")="#N/A FIELD NOT APPLICABLE"), " ", _xll.BDP($AX108,"DX202"))</f>
        <v>Consumer Staples</v>
      </c>
      <c r="AU108" s="22" t="str" cm="1">
        <f t="array" ref="AU108">IF(OR(_xll.BDP($AX108,"DY997")= "#N/A N/A", _xll.BDP($AX108,"DY997")="#N/A FIELD NOT APPLICABLE"), " ", _xll.BDP($AX108,"DY997"))</f>
        <v>N</v>
      </c>
      <c r="AV108" s="22" t="str" cm="1">
        <f t="array" ref="AV108">IF(OR(_xll.BDP($AX108,"DY784")= "#N/A N/A", _xll.BDP($AX108,"DY784")="#N/A FIELD NOT APPLICABLE"), " ", _xll.BDP($AX108,"DY784"))</f>
        <v>N</v>
      </c>
      <c r="AW108" s="22" t="str">
        <f>IF(OR(AU108="Y",AV108="Y"),"Y","N")</f>
        <v>N</v>
      </c>
      <c r="AX108" s="22" t="str">
        <f>CONCATENATE(G108," ",$AX$2)</f>
        <v>DGE LN Equity</v>
      </c>
      <c r="BC108" s="17" t="str" cm="1">
        <f t="array" ref="BC108">_xll.BDP(AX108,"ID005")</f>
        <v>GB0002374006</v>
      </c>
      <c r="BD108" s="17">
        <v>0.78990000000000005</v>
      </c>
      <c r="BE108" s="18">
        <v>4</v>
      </c>
      <c r="BF108" s="19"/>
      <c r="BG108" s="20"/>
    </row>
    <row r="109" spans="1:59" s="3" customFormat="1" ht="14.45" customHeight="1" x14ac:dyDescent="0.25">
      <c r="A109" s="81" t="s">
        <v>242</v>
      </c>
      <c r="B109" s="81" t="s">
        <v>255</v>
      </c>
      <c r="C109" s="81" t="s">
        <v>256</v>
      </c>
      <c r="D109" s="81" t="s">
        <v>248</v>
      </c>
      <c r="E109" s="40" t="str">
        <f>_xll.BDP(AX109,"SECURITY NAME")</f>
        <v>Diageo PLC</v>
      </c>
      <c r="F109" s="40" t="str">
        <f>_xll.BDP(AX109,"CRNCY")</f>
        <v>GBp</v>
      </c>
      <c r="G109" s="23" t="s">
        <v>162</v>
      </c>
      <c r="H109" s="40" t="str" cm="1">
        <f t="array" ref="H109">IF(OR(_xll.BDP($AX109,"DX202")= "#N/A N/A", _xll.BDP($AX109,"DX202")="#N/A FIELD NOT APPLICABLE"), " ", _xll.BDP($AX109,"DX202"))</f>
        <v>Consumer Staples</v>
      </c>
      <c r="I109" s="82">
        <f>_xll.BDP(AX109,"CRNCY_ADJ_MKT_CAP", "EQY_FUND_CRNCY=USD")/1000</f>
        <v>64.19043373585798</v>
      </c>
      <c r="J109" s="83">
        <f>IFERROR(_xll.BDP(AX109, "DV013")/100,0)</f>
        <v>3.7018083885270649E-2</v>
      </c>
      <c r="K109" s="84" cm="1">
        <f t="array" ref="K109">IF(OR(_xll.BDP($AX109,"RR900")= "#N/A N/A", _xll.BDP($AX109,"RR900")="#N/A FIELD NOT APPLICABLE"), " ", _xll.BDP($AX109,"RR900"))</f>
        <v>17.842156894278087</v>
      </c>
      <c r="L109" s="84" cm="1">
        <f t="array" ref="L109">IF(OR(_xll.BDP($AX109,"EE010")= "#N/A N/A", _xll.BDP($AX109,"EE010")="#N/A FIELD NOT APPLICABLE"), " ", _xll.BDP($AX109,"EE010"))</f>
        <v>16.898643286650735</v>
      </c>
      <c r="M109" s="84" cm="1">
        <f t="array" ref="M109">IF(OR(_xll.BDP($AX109,"RR903")= "#N/A N/A", _xll.BDP($AX109,"RR903")="#N/A FIELD NOT APPLICABLE"), " ", _xll.BDP($AX109,"RR903"))</f>
        <v>6.2414754551182581</v>
      </c>
      <c r="N109" s="84" cm="1">
        <f t="array" ref="N109">IF(OR(_xll.BDP($AX109,"RR957")= "#N/A N/A", _xll.BDP($AX109,"RR957")="#N/A FIELD NOT APPLICABLE"), " ", _xll.BDP($AX109,"RR957"))</f>
        <v>13.617511551986308</v>
      </c>
      <c r="O109" s="27">
        <v>3310</v>
      </c>
      <c r="P109" s="28">
        <v>23.68</v>
      </c>
      <c r="Q109" s="40" cm="1">
        <f t="array" ref="Q109">IF(OR(_xll.BDP($AX109,"PX_last")="#N/A N/A",_xll.BDP($AX109,"PX_Last")="#N/A FIELD NOT APPLICABLE")," ",IF(F109="GBP",(_xll.BDP($AX109,"PX_LAST")/100),(_xll.BDP($AX109,"PX_LAST"))))</f>
        <v>21.58</v>
      </c>
      <c r="R109" s="85">
        <f>IF(F109="USD",AA109,(((_xll.BDP(F109&amp;"USD CURNCY","PX_LAST")))*AA109))</f>
        <v>104771.61536000001</v>
      </c>
      <c r="S109" s="85">
        <f>IF(F109="USD",AB109,(((_xll.BDP(F109&amp;"USD CURNCY","PX_LAST")))*AB109))</f>
        <v>95480.213659999979</v>
      </c>
      <c r="T109" s="86">
        <f>S109-R109</f>
        <v>-9291.4017000000313</v>
      </c>
      <c r="U109" s="87">
        <f>T109/R109</f>
        <v>-8.868243243243272E-2</v>
      </c>
      <c r="V109" s="87" cm="1">
        <f t="array" ref="V109">IFERROR(_xll.BDP($G109&amp;" Equity","CHG_PCT_1D")/100,"")</f>
        <v>1.7924530000000001E-2</v>
      </c>
      <c r="W109" s="87" cm="1">
        <f t="array" ref="W109">IFERROR(_xll.BDP($G109&amp;" Equity","CHG_PCT_5D")/100,"")</f>
        <v>4.2512080000000001E-2</v>
      </c>
      <c r="X109" s="87" t="e">
        <f>S109/#REF!</f>
        <v>#REF!</v>
      </c>
      <c r="Y109" s="82">
        <f>IFERROR(S109*J109,0)</f>
        <v>3534.4945586494437</v>
      </c>
      <c r="Z109" s="82">
        <f>S109</f>
        <v>95480.213659999979</v>
      </c>
      <c r="AA109" s="85">
        <f>P109*O109</f>
        <v>78380.800000000003</v>
      </c>
      <c r="AB109" s="85">
        <f>IFERROR(O109*Q109,0)</f>
        <v>71429.799999999988</v>
      </c>
      <c r="AC109" s="88" t="e" cm="1">
        <f t="array" ref="AC109">VLOOKUP(IF(NOT(_xll.BDP(AX109,$BW$8)="#N/A N/A"),(_xll.BDP(AX109,$BW$8)),"-"), '[1]Country Codes'!$A$2:$B$253,2,0)</f>
        <v>#N/A</v>
      </c>
      <c r="AD109" s="89" t="str" cm="1">
        <f t="array" ref="AD109">IF(OR(_xll.BDP($AX109,"EX028")= "#N/A N/A", _xll.BDP($AX109,"EX028")="#N/A FIELD NOT APPLICABLE"), " ", _xll.BDP($AX109,"EX028"))</f>
        <v>Equity</v>
      </c>
      <c r="AE109" s="90" t="str">
        <f>IF(("AS97"="Equity"), " ", "Single Line Equity")</f>
        <v>Single Line Equity</v>
      </c>
      <c r="AF109" s="84" cm="1">
        <f t="array" ref="AF109">IF(OR(_xll.BDP($AX109,"RR908")= "#N/A N/A", _xll.BDP($AX109,"RR908")="#N/A FIELD NOT APPLICABLE"), " ", _xll.BDP($AX109,"RR908"))</f>
        <v>14.97031006195065</v>
      </c>
      <c r="AG109" s="84" cm="1">
        <f t="array" ref="AG109">IF(OR(_xll.BDP($AX109,"RR041")= "#N/A N/A", _xll.BDP($AX109,"RR041")="#N/A FIELD NOT APPLICABLE"), " ", _xll.BDP($AX109,"RR041"))</f>
        <v>47.281963319699166</v>
      </c>
      <c r="AH109" s="40">
        <f>_xll.BDP(AX109,"TOT_BUY_REC")</f>
        <v>15</v>
      </c>
      <c r="AI109" s="40">
        <f>_xll.BDP(AX109,"TOT_HOLD_REC")</f>
        <v>8</v>
      </c>
      <c r="AJ109" s="40">
        <f>_xll.BDP(AX109,"TOT_SELL_REC")</f>
        <v>4</v>
      </c>
      <c r="AK109" s="84" cm="1">
        <f t="array" ref="AK109">IF(OR(_xll.BDP($AX109,"EE201")= "#N/A N/A", _xll.BDP($AX109,"EE201")="#N/A FIELD NOT APPLICABLE"), " ", _xll.BDP($AX109,"EE201"))</f>
        <v>3.8148148059844971</v>
      </c>
      <c r="AL109" s="82">
        <f>_xll.BDP(AX109,"BEST_TARGET_PRICE")</f>
        <v>2474.181884765625</v>
      </c>
      <c r="AM109" s="91">
        <f>(AL109/Q109)-1</f>
        <v>113.65161653223471</v>
      </c>
      <c r="AN109" s="91">
        <f>_xll.BDP(AX109,"PR061")/100</f>
        <v>7.2564610000000002E-2</v>
      </c>
      <c r="AO109" s="91">
        <f>_xll.BDP(AX109,"PR064")/100</f>
        <v>-4.195339E-2</v>
      </c>
      <c r="AP109" s="91">
        <f>_xll.BDP(AX109,"CHG_PCT_6M")/100</f>
        <v>-6.4180399999999999E-2</v>
      </c>
      <c r="AQ109" s="83">
        <f>_xll.BDP(AX109,"PR079")/100</f>
        <v>-0.14955669999999999</v>
      </c>
      <c r="AR109" s="92">
        <f>_xll.BDP(AX109,"hs001")</f>
        <v>2863.5</v>
      </c>
      <c r="AS109" s="92">
        <f>_xll.BDP(AX109,"hs002")</f>
        <v>1908</v>
      </c>
      <c r="AT109" s="40" t="str" cm="1">
        <f t="array" ref="AT109">IF(OR(_xll.BDP($AX109,"DX202")= "#N/A N/A", _xll.BDP($AX109,"DX202")="#N/A FIELD NOT APPLICABLE"), " ", _xll.BDP($AX109,"DX202"))</f>
        <v>Consumer Staples</v>
      </c>
      <c r="AU109" s="40" t="str" cm="1">
        <f t="array" ref="AU109">IF(OR(_xll.BDP($AX109,"DY997")= "#N/A N/A", _xll.BDP($AX109,"DY997")="#N/A FIELD NOT APPLICABLE"), " ", _xll.BDP($AX109,"DY997"))</f>
        <v>N</v>
      </c>
      <c r="AV109" s="40" t="str" cm="1">
        <f t="array" ref="AV109">IF(OR(_xll.BDP($AX109,"DY784")= "#N/A N/A", _xll.BDP($AX109,"DY784")="#N/A FIELD NOT APPLICABLE"), " ", _xll.BDP($AX109,"DY784"))</f>
        <v>N</v>
      </c>
      <c r="AW109" s="40" t="str">
        <f>IF(OR(AU109="Y",AV109="Y"),"Y","N")</f>
        <v>N</v>
      </c>
      <c r="AX109" s="40" t="str">
        <f>CONCATENATE(G109," ",$AX$2)</f>
        <v>DGE LN Equity</v>
      </c>
      <c r="BC109" s="17" t="str" cm="1">
        <f t="array" ref="BC109">_xll.BDP(AX109,"ID005")</f>
        <v>GB0002374006</v>
      </c>
      <c r="BD109" s="17">
        <v>0.78990000000000005</v>
      </c>
      <c r="BE109" s="18">
        <v>4</v>
      </c>
      <c r="BF109" s="19">
        <v>45611</v>
      </c>
      <c r="BG109" s="20"/>
    </row>
    <row r="110" spans="1:59" s="3" customFormat="1" ht="14.45" customHeight="1" x14ac:dyDescent="0.25">
      <c r="A110" s="49" t="s">
        <v>242</v>
      </c>
      <c r="B110" s="49" t="s">
        <v>332</v>
      </c>
      <c r="C110" s="72" t="s">
        <v>333</v>
      </c>
      <c r="D110" s="49" t="s">
        <v>248</v>
      </c>
      <c r="E110" s="22" t="str">
        <f>_xll.BDP(AX110,"SECURITY NAME")</f>
        <v>Diageo PLC</v>
      </c>
      <c r="F110" s="22" t="str">
        <f>_xll.BDP(AX110,"CRNCY")</f>
        <v>GBp</v>
      </c>
      <c r="G110" s="23" t="s">
        <v>162</v>
      </c>
      <c r="H110" s="22" t="str" cm="1">
        <f t="array" ref="H110">IF(OR(_xll.BDP($AX110,"DX202")= "#N/A N/A", _xll.BDP($AX110,"DX202")="#N/A FIELD NOT APPLICABLE"), " ", _xll.BDP($AX110,"DX202"))</f>
        <v>Consumer Staples</v>
      </c>
      <c r="I110" s="24">
        <f>_xll.BDP(AX110,"CRNCY_ADJ_MKT_CAP", "EQY_FUND_CRNCY=USD")/1000</f>
        <v>64.19043373585798</v>
      </c>
      <c r="J110" s="25">
        <f>IFERROR(_xll.BDP(AX110, "DV013")/100,0)</f>
        <v>3.7018083885270649E-2</v>
      </c>
      <c r="K110" s="26" cm="1">
        <f t="array" ref="K110">IF(OR(_xll.BDP($AX110,"RR900")= "#N/A N/A", _xll.BDP($AX110,"RR900")="#N/A FIELD NOT APPLICABLE"), " ", _xll.BDP($AX110,"RR900"))</f>
        <v>17.842156894278087</v>
      </c>
      <c r="L110" s="26" cm="1">
        <f t="array" ref="L110">IF(OR(_xll.BDP($AX110,"EE010")= "#N/A N/A", _xll.BDP($AX110,"EE010")="#N/A FIELD NOT APPLICABLE"), " ", _xll.BDP($AX110,"EE010"))</f>
        <v>16.898643286650735</v>
      </c>
      <c r="M110" s="26" cm="1">
        <f t="array" ref="M110">IF(OR(_xll.BDP($AX110,"RR903")= "#N/A N/A", _xll.BDP($AX110,"RR903")="#N/A FIELD NOT APPLICABLE"), " ", _xll.BDP($AX110,"RR903"))</f>
        <v>6.2414754551182581</v>
      </c>
      <c r="N110" s="26" cm="1">
        <f t="array" ref="N110">IF(OR(_xll.BDP($AX110,"RR957")= "#N/A N/A", _xll.BDP($AX110,"RR957")="#N/A FIELD NOT APPLICABLE"), " ", _xll.BDP($AX110,"RR957"))</f>
        <v>13.617511551986308</v>
      </c>
      <c r="O110" s="27">
        <v>1670</v>
      </c>
      <c r="P110" s="28">
        <v>23.81</v>
      </c>
      <c r="Q110" s="22" cm="1">
        <f t="array" ref="Q110">IF(OR(_xll.BDP($AX110,"PX_last")="#N/A N/A",_xll.BDP($AX110,"PX_Last")="#N/A FIELD NOT APPLICABLE")," ",IF(F110="GBP",(_xll.BDP($AX110,"PX_LAST")/100),(_xll.BDP($AX110,"PX_LAST"))))</f>
        <v>21.58</v>
      </c>
      <c r="R110" s="29">
        <f>IF(F110="USD",AA110,(((_xll.BDP(F110&amp;"USD CURNCY","PX_LAST")))*AA110))</f>
        <v>53150.801089999994</v>
      </c>
      <c r="S110" s="29">
        <f>IF(F110="USD",AB110,(((_xll.BDP(F110&amp;"USD CURNCY","PX_LAST")))*AB110))</f>
        <v>48172.796620000001</v>
      </c>
      <c r="T110" s="12">
        <f>S110-R110</f>
        <v>-4978.0044699999926</v>
      </c>
      <c r="U110" s="13">
        <f>T110/R110</f>
        <v>-9.3658126837463121E-2</v>
      </c>
      <c r="V110" s="13" cm="1">
        <f t="array" ref="V110">IFERROR(_xll.BDP($G110&amp;" Equity","CHG_PCT_1D")/100,"")</f>
        <v>1.7924530000000001E-2</v>
      </c>
      <c r="W110" s="13" cm="1">
        <f t="array" ref="W110">IFERROR(_xll.BDP($G110&amp;" Equity","CHG_PCT_5D")/100,"")</f>
        <v>4.2512080000000001E-2</v>
      </c>
      <c r="X110" s="13" t="e">
        <f>S110/#REF!</f>
        <v>#REF!</v>
      </c>
      <c r="Y110" s="24">
        <f>IFERROR(S110*J110,0)</f>
        <v>1783.2646262672424</v>
      </c>
      <c r="Z110" s="24">
        <f>S110</f>
        <v>48172.796620000001</v>
      </c>
      <c r="AA110" s="29">
        <f>P110*O110</f>
        <v>39762.699999999997</v>
      </c>
      <c r="AB110" s="29">
        <f>IFERROR(O110*Q110,0)</f>
        <v>36038.6</v>
      </c>
      <c r="AC110" s="4" t="e" cm="1">
        <f t="array" ref="AC110">VLOOKUP(IF(NOT(_xll.BDP(AX110,$BW$8)="#N/A N/A"),(_xll.BDP(AX110,$BW$8)),"-"), '[1]Country Codes'!$A$2:$B$253,2,0)</f>
        <v>#N/A</v>
      </c>
      <c r="AD110" s="30" t="str" cm="1">
        <f t="array" ref="AD110">IF(OR(_xll.BDP($AX110,"EX028")= "#N/A N/A", _xll.BDP($AX110,"EX028")="#N/A FIELD NOT APPLICABLE"), " ", _xll.BDP($AX110,"EX028"))</f>
        <v>Equity</v>
      </c>
      <c r="AE110" s="31" t="str">
        <f>IF(("AS97"="Equity"), " ", "Single Line Equity")</f>
        <v>Single Line Equity</v>
      </c>
      <c r="AF110" s="26" cm="1">
        <f t="array" ref="AF110">IF(OR(_xll.BDP($AX110,"RR908")= "#N/A N/A", _xll.BDP($AX110,"RR908")="#N/A FIELD NOT APPLICABLE"), " ", _xll.BDP($AX110,"RR908"))</f>
        <v>14.97031006195065</v>
      </c>
      <c r="AG110" s="26" cm="1">
        <f t="array" ref="AG110">IF(OR(_xll.BDP($AX110,"RR041")= "#N/A N/A", _xll.BDP($AX110,"RR041")="#N/A FIELD NOT APPLICABLE"), " ", _xll.BDP($AX110,"RR041"))</f>
        <v>47.281963319699166</v>
      </c>
      <c r="AH110" s="22">
        <f>_xll.BDP(AX110,"TOT_BUY_REC")</f>
        <v>15</v>
      </c>
      <c r="AI110" s="22">
        <f>_xll.BDP(AX110,"TOT_HOLD_REC")</f>
        <v>8</v>
      </c>
      <c r="AJ110" s="22">
        <f>_xll.BDP(AX110,"TOT_SELL_REC")</f>
        <v>4</v>
      </c>
      <c r="AK110" s="26" cm="1">
        <f t="array" ref="AK110">IF(OR(_xll.BDP($AX110,"EE201")= "#N/A N/A", _xll.BDP($AX110,"EE201")="#N/A FIELD NOT APPLICABLE"), " ", _xll.BDP($AX110,"EE201"))</f>
        <v>3.8148148059844971</v>
      </c>
      <c r="AL110" s="24">
        <f>_xll.BDP(AX110,"BEST_TARGET_PRICE")</f>
        <v>2474.181884765625</v>
      </c>
      <c r="AM110" s="32">
        <f>(AL110/Q110)-1</f>
        <v>113.65161653223471</v>
      </c>
      <c r="AN110" s="32">
        <f>_xll.BDP(AX110,"PR061")/100</f>
        <v>7.2564610000000002E-2</v>
      </c>
      <c r="AO110" s="32">
        <f>_xll.BDP(AX110,"PR064")/100</f>
        <v>-4.195339E-2</v>
      </c>
      <c r="AP110" s="32">
        <f>_xll.BDP(AX110,"CHG_PCT_6M")/100</f>
        <v>-6.4180399999999999E-2</v>
      </c>
      <c r="AQ110" s="25">
        <f>_xll.BDP(AX110,"PR079")/100</f>
        <v>-0.14955669999999999</v>
      </c>
      <c r="AR110" s="33">
        <f>_xll.BDP(AX110,"hs001")</f>
        <v>2863.5</v>
      </c>
      <c r="AS110" s="33">
        <f>_xll.BDP(AX110,"hs002")</f>
        <v>1908</v>
      </c>
      <c r="AT110" s="22" t="str" cm="1">
        <f t="array" ref="AT110">IF(OR(_xll.BDP($AX110,"DX202")= "#N/A N/A", _xll.BDP($AX110,"DX202")="#N/A FIELD NOT APPLICABLE"), " ", _xll.BDP($AX110,"DX202"))</f>
        <v>Consumer Staples</v>
      </c>
      <c r="AU110" s="22" t="str" cm="1">
        <f t="array" ref="AU110">IF(OR(_xll.BDP($AX110,"DY997")= "#N/A N/A", _xll.BDP($AX110,"DY997")="#N/A FIELD NOT APPLICABLE"), " ", _xll.BDP($AX110,"DY997"))</f>
        <v>N</v>
      </c>
      <c r="AV110" s="22" t="str" cm="1">
        <f t="array" ref="AV110">IF(OR(_xll.BDP($AX110,"DY784")= "#N/A N/A", _xll.BDP($AX110,"DY784")="#N/A FIELD NOT APPLICABLE"), " ", _xll.BDP($AX110,"DY784"))</f>
        <v>N</v>
      </c>
      <c r="AW110" s="22" t="str">
        <f>IF(OR(AU110="Y",AV110="Y"),"Y","N")</f>
        <v>N</v>
      </c>
      <c r="AX110" s="22" t="str">
        <f>CONCATENATE(G110," ",$AX$2)</f>
        <v>DGE LN Equity</v>
      </c>
      <c r="BC110" s="17" t="str" cm="1">
        <f t="array" ref="BC110">_xll.BDP(AX110,"ID005")</f>
        <v>GB0002374006</v>
      </c>
      <c r="BD110" s="17">
        <v>0.78990000000000005</v>
      </c>
      <c r="BE110" s="18">
        <v>4</v>
      </c>
      <c r="BF110" s="19">
        <v>45611</v>
      </c>
      <c r="BG110" s="20"/>
    </row>
    <row r="111" spans="1:59" s="3" customFormat="1" ht="14.45" customHeight="1" x14ac:dyDescent="0.25">
      <c r="A111" s="49" t="s">
        <v>242</v>
      </c>
      <c r="B111" s="49" t="s">
        <v>260</v>
      </c>
      <c r="C111" s="49" t="s">
        <v>261</v>
      </c>
      <c r="D111" s="49" t="s">
        <v>248</v>
      </c>
      <c r="E111" s="22" t="str">
        <f>_xll.BDP(AX111,"SECURITY NAME")</f>
        <v>Diageo PLC</v>
      </c>
      <c r="F111" s="22" t="str">
        <f>_xll.BDP(AX111,"CRNCY")</f>
        <v>GBp</v>
      </c>
      <c r="G111" s="73" t="s">
        <v>162</v>
      </c>
      <c r="H111" s="22" t="str" cm="1">
        <f t="array" ref="H111">IF(OR(_xll.BDP($AX111,"DX202")= "#N/A N/A", _xll.BDP($AX111,"DX202")="#N/A FIELD NOT APPLICABLE"), " ", _xll.BDP($AX111,"DX202"))</f>
        <v>Consumer Staples</v>
      </c>
      <c r="I111" s="24">
        <f>_xll.BDP(AX111,"CRNCY_ADJ_MKT_CAP", "EQY_FUND_CRNCY=USD")/1000</f>
        <v>64.19043373585798</v>
      </c>
      <c r="J111" s="25">
        <f>IFERROR(_xll.BDP(AX111, "DV013")/100,0)</f>
        <v>3.7018083885270649E-2</v>
      </c>
      <c r="K111" s="26" cm="1">
        <f t="array" ref="K111">IF(OR(_xll.BDP($AX111,"RR900")= "#N/A N/A", _xll.BDP($AX111,"RR900")="#N/A FIELD NOT APPLICABLE"), " ", _xll.BDP($AX111,"RR900"))</f>
        <v>17.842156894278087</v>
      </c>
      <c r="L111" s="26" cm="1">
        <f t="array" ref="L111">IF(OR(_xll.BDP($AX111,"EE010")= "#N/A N/A", _xll.BDP($AX111,"EE010")="#N/A FIELD NOT APPLICABLE"), " ", _xll.BDP($AX111,"EE010"))</f>
        <v>16.898643286650735</v>
      </c>
      <c r="M111" s="26" cm="1">
        <f t="array" ref="M111">IF(OR(_xll.BDP($AX111,"RR903")= "#N/A N/A", _xll.BDP($AX111,"RR903")="#N/A FIELD NOT APPLICABLE"), " ", _xll.BDP($AX111,"RR903"))</f>
        <v>6.2414754551182581</v>
      </c>
      <c r="N111" s="26" cm="1">
        <f t="array" ref="N111">IF(OR(_xll.BDP($AX111,"RR957")= "#N/A N/A", _xll.BDP($AX111,"RR957")="#N/A FIELD NOT APPLICABLE"), " ", _xll.BDP($AX111,"RR957"))</f>
        <v>13.617511551986308</v>
      </c>
      <c r="O111" s="74">
        <v>2813</v>
      </c>
      <c r="P111" s="75">
        <v>23.11</v>
      </c>
      <c r="Q111" s="22" cm="1">
        <f t="array" ref="Q111">IF(OR(_xll.BDP($AX111,"PX_last")="#N/A N/A",_xll.BDP($AX111,"PX_Last")="#N/A FIELD NOT APPLICABLE")," ",IF(F111="GBP",(_xll.BDP($AX111,"PX_LAST")/100),(_xll.BDP($AX111,"PX_LAST"))))</f>
        <v>21.58</v>
      </c>
      <c r="R111" s="29">
        <f>IF(F111="USD",AA111,(((_xll.BDP(F111&amp;"USD CURNCY","PX_LAST")))*AA111))</f>
        <v>86896.768381000002</v>
      </c>
      <c r="S111" s="29">
        <f>IF(F111="USD",AB111,(((_xll.BDP(F111&amp;"USD CURNCY","PX_LAST")))*AB111))</f>
        <v>81143.758617999993</v>
      </c>
      <c r="T111" s="12">
        <f>S111-R111</f>
        <v>-5753.0097630000091</v>
      </c>
      <c r="U111" s="13">
        <f>T111/R111</f>
        <v>-6.6205106014712356E-2</v>
      </c>
      <c r="V111" s="13" cm="1">
        <f t="array" ref="V111">IFERROR(_xll.BDP($G111&amp;" Equity","CHG_PCT_1D")/100,"")</f>
        <v>1.7924530000000001E-2</v>
      </c>
      <c r="W111" s="13" cm="1">
        <f t="array" ref="W111">IFERROR(_xll.BDP($G111&amp;" Equity","CHG_PCT_5D")/100,"")</f>
        <v>4.2512080000000001E-2</v>
      </c>
      <c r="X111" s="13" t="e">
        <f>S111/#REF!</f>
        <v>#REF!</v>
      </c>
      <c r="Y111" s="24">
        <f>IFERROR(S111*J111,0)</f>
        <v>3003.786463287277</v>
      </c>
      <c r="Z111" s="24">
        <f>S111</f>
        <v>81143.758617999993</v>
      </c>
      <c r="AA111" s="29">
        <f>P111*O111</f>
        <v>65008.43</v>
      </c>
      <c r="AB111" s="29">
        <f>IFERROR(O111*Q111,0)</f>
        <v>60704.539999999994</v>
      </c>
      <c r="AC111" s="4" t="e" cm="1">
        <f t="array" ref="AC111">VLOOKUP(IF(NOT(_xll.BDP(AX111,$BW$8)="#N/A N/A"),(_xll.BDP(AX111,$BW$8)),"-"), '[1]Country Codes'!$A$2:$B$253,2,0)</f>
        <v>#N/A</v>
      </c>
      <c r="AD111" s="30" t="str" cm="1">
        <f t="array" ref="AD111">IF(OR(_xll.BDP($AX111,"EX028")= "#N/A N/A", _xll.BDP($AX111,"EX028")="#N/A FIELD NOT APPLICABLE"), " ", _xll.BDP($AX111,"EX028"))</f>
        <v>Equity</v>
      </c>
      <c r="AE111" s="31" t="str">
        <f>IF(("AS97"="Equity"), " ", "Single Line Equity")</f>
        <v>Single Line Equity</v>
      </c>
      <c r="AF111" s="26" cm="1">
        <f t="array" ref="AF111">IF(OR(_xll.BDP($AX111,"RR908")= "#N/A N/A", _xll.BDP($AX111,"RR908")="#N/A FIELD NOT APPLICABLE"), " ", _xll.BDP($AX111,"RR908"))</f>
        <v>14.97031006195065</v>
      </c>
      <c r="AG111" s="26" cm="1">
        <f t="array" ref="AG111">IF(OR(_xll.BDP($AX111,"RR041")= "#N/A N/A", _xll.BDP($AX111,"RR041")="#N/A FIELD NOT APPLICABLE"), " ", _xll.BDP($AX111,"RR041"))</f>
        <v>47.281963319699166</v>
      </c>
      <c r="AH111" s="22">
        <f>_xll.BDP(AX111,"TOT_BUY_REC")</f>
        <v>15</v>
      </c>
      <c r="AI111" s="22">
        <f>_xll.BDP(AX111,"TOT_HOLD_REC")</f>
        <v>8</v>
      </c>
      <c r="AJ111" s="22">
        <f>_xll.BDP(AX111,"TOT_SELL_REC")</f>
        <v>4</v>
      </c>
      <c r="AK111" s="26" cm="1">
        <f t="array" ref="AK111">IF(OR(_xll.BDP($AX111,"EE201")= "#N/A N/A", _xll.BDP($AX111,"EE201")="#N/A FIELD NOT APPLICABLE"), " ", _xll.BDP($AX111,"EE201"))</f>
        <v>3.8148148059844971</v>
      </c>
      <c r="AL111" s="24">
        <f>_xll.BDP(AX111,"BEST_TARGET_PRICE")</f>
        <v>2474.181884765625</v>
      </c>
      <c r="AM111" s="32">
        <f>(AL111/Q111)-1</f>
        <v>113.65161653223471</v>
      </c>
      <c r="AN111" s="32">
        <f>_xll.BDP(AX111,"PR061")/100</f>
        <v>7.2564610000000002E-2</v>
      </c>
      <c r="AO111" s="32">
        <f>_xll.BDP(AX111,"PR064")/100</f>
        <v>-4.195339E-2</v>
      </c>
      <c r="AP111" s="32">
        <f>_xll.BDP(AX111,"CHG_PCT_6M")/100</f>
        <v>-6.4180399999999999E-2</v>
      </c>
      <c r="AQ111" s="25">
        <f>_xll.BDP(AX111,"PR079")/100</f>
        <v>-0.14955669999999999</v>
      </c>
      <c r="AR111" s="33">
        <f>_xll.BDP(AX111,"hs001")</f>
        <v>2863.5</v>
      </c>
      <c r="AS111" s="33">
        <f>_xll.BDP(AX111,"hs002")</f>
        <v>1908</v>
      </c>
      <c r="AT111" s="22" t="str" cm="1">
        <f t="array" ref="AT111">IF(OR(_xll.BDP($AX111,"DX202")= "#N/A N/A", _xll.BDP($AX111,"DX202")="#N/A FIELD NOT APPLICABLE"), " ", _xll.BDP($AX111,"DX202"))</f>
        <v>Consumer Staples</v>
      </c>
      <c r="AU111" s="22" t="str" cm="1">
        <f t="array" ref="AU111">IF(OR(_xll.BDP($AX111,"DY997")= "#N/A N/A", _xll.BDP($AX111,"DY997")="#N/A FIELD NOT APPLICABLE"), " ", _xll.BDP($AX111,"DY997"))</f>
        <v>N</v>
      </c>
      <c r="AV111" s="22" t="str" cm="1">
        <f t="array" ref="AV111">IF(OR(_xll.BDP($AX111,"DY784")= "#N/A N/A", _xll.BDP($AX111,"DY784")="#N/A FIELD NOT APPLICABLE"), " ", _xll.BDP($AX111,"DY784"))</f>
        <v>N</v>
      </c>
      <c r="AW111" s="22" t="str">
        <f>IF(OR(AU111="Y",AV111="Y"),"Y","N")</f>
        <v>N</v>
      </c>
      <c r="AX111" s="22" t="str">
        <f>CONCATENATE(G111," ",$AX$2)</f>
        <v>DGE LN Equity</v>
      </c>
      <c r="BC111" s="17" t="str" cm="1">
        <f t="array" ref="BC111">_xll.BDP(AX111,"ID005")</f>
        <v>GB0002374006</v>
      </c>
      <c r="BD111" s="17">
        <v>0.78990000000000005</v>
      </c>
      <c r="BE111" s="18">
        <v>4</v>
      </c>
      <c r="BF111" s="19">
        <v>45611</v>
      </c>
      <c r="BG111" s="20"/>
    </row>
    <row r="112" spans="1:59" s="3" customFormat="1" ht="14.45" customHeight="1" x14ac:dyDescent="0.25">
      <c r="A112" s="49" t="s">
        <v>242</v>
      </c>
      <c r="B112" s="49" t="s">
        <v>243</v>
      </c>
      <c r="C112" s="49" t="s">
        <v>244</v>
      </c>
      <c r="D112" s="49" t="s">
        <v>245</v>
      </c>
      <c r="E112" s="22" t="str">
        <f>_xll.BDP(AX112,"SECURITY NAME")</f>
        <v>Walt Disney Co/The</v>
      </c>
      <c r="F112" s="22" t="str">
        <f>_xll.BDP(AX112,"CRNCY")</f>
        <v>USD</v>
      </c>
      <c r="G112" s="23" t="s">
        <v>143</v>
      </c>
      <c r="H112" s="22" t="str" cm="1">
        <f t="array" ref="H112">IF(OR(_xll.BDP($AX112,"DX202")= "#N/A N/A", _xll.BDP($AX112,"DX202")="#N/A FIELD NOT APPLICABLE"), " ", _xll.BDP($AX112,"DX202"))</f>
        <v>Communication Services</v>
      </c>
      <c r="I112" s="24">
        <f>_xll.BDP(AX112,"CRNCY_ADJ_MKT_CAP", "EQY_FUND_CRNCY=USD")/1000</f>
        <v>166.8227564622</v>
      </c>
      <c r="J112" s="25">
        <f>IFERROR(_xll.BDP(AX112, "DV013")/100,0)</f>
        <v>1.0831889081455805E-2</v>
      </c>
      <c r="K112" s="26" cm="1">
        <f t="array" ref="K112">IF(OR(_xll.BDP($AX112,"RR900")= "#N/A N/A", _xll.BDP($AX112,"RR900")="#N/A FIELD NOT APPLICABLE"), " ", _xll.BDP($AX112,"RR900"))</f>
        <v>18.938713955223694</v>
      </c>
      <c r="L112" s="26" cm="1">
        <f t="array" ref="L112">IF(OR(_xll.BDP($AX112,"EE010")= "#N/A N/A", _xll.BDP($AX112,"EE010")="#N/A FIELD NOT APPLICABLE"), " ", _xll.BDP($AX112,"EE010"))</f>
        <v>15.615696887686061</v>
      </c>
      <c r="M112" s="26" cm="1">
        <f t="array" ref="M112">IF(OR(_xll.BDP($AX112,"RR903")= "#N/A N/A", _xll.BDP($AX112,"RR903")="#N/A FIELD NOT APPLICABLE"), " ", _xll.BDP($AX112,"RR903"))</f>
        <v>1.6719091897289937</v>
      </c>
      <c r="N112" s="26" cm="1">
        <f t="array" ref="N112">IF(OR(_xll.BDP($AX112,"RR957")= "#N/A N/A", _xll.BDP($AX112,"RR957")="#N/A FIELD NOT APPLICABLE"), " ", _xll.BDP($AX112,"RR957"))</f>
        <v>14.816690110451106</v>
      </c>
      <c r="O112" s="27">
        <v>883</v>
      </c>
      <c r="P112" s="28">
        <v>112.81</v>
      </c>
      <c r="Q112" s="22" cm="1">
        <f t="array" ref="Q112">IF(OR(_xll.BDP($AX112,"PX_last")="#N/A N/A",_xll.BDP($AX112,"PX_Last")="#N/A FIELD NOT APPLICABLE")," ",IF(F112="GBP",(_xll.BDP($AX112,"PX_LAST")/100),(_xll.BDP($AX112,"PX_LAST"))))</f>
        <v>92.32</v>
      </c>
      <c r="R112" s="29">
        <f>IF(F112="USD",AA112,(((_xll.BDP(F112&amp;"USD CURNCY","PX_LAST")))*AA112))</f>
        <v>99611.23</v>
      </c>
      <c r="S112" s="29">
        <f>IF(F112="USD",AB112,(((_xll.BDP(F112&amp;"USD CURNCY","PX_LAST")))*AB112))</f>
        <v>81518.559999999998</v>
      </c>
      <c r="T112" s="12">
        <f>S112-R112</f>
        <v>-18092.669999999998</v>
      </c>
      <c r="U112" s="13">
        <f>T112/R112</f>
        <v>-0.18163283396861979</v>
      </c>
      <c r="V112" s="13" cm="1">
        <f t="array" ref="V112">IFERROR(_xll.BDP($G112&amp;" Equity","CHG_PCT_1D")/100,"")</f>
        <v>2.2798829999999999E-3</v>
      </c>
      <c r="W112" s="13" cm="1">
        <f t="array" ref="W112">IFERROR(_xll.BDP($G112&amp;" Equity","CHG_PCT_5D")/100,"")</f>
        <v>1.26138E-2</v>
      </c>
      <c r="X112" s="13" t="e">
        <f>S112/#REF!</f>
        <v>#REF!</v>
      </c>
      <c r="Y112" s="24">
        <f>IFERROR(S112*J112,0)</f>
        <v>882.99999999999989</v>
      </c>
      <c r="Z112" s="24">
        <f>S112</f>
        <v>81518.559999999998</v>
      </c>
      <c r="AA112" s="29">
        <f>P112*O112</f>
        <v>99611.23</v>
      </c>
      <c r="AB112" s="29">
        <f>IFERROR(O112*Q112,0)</f>
        <v>81518.559999999998</v>
      </c>
      <c r="AC112" s="4" t="e" cm="1">
        <f t="array" ref="AC112">VLOOKUP(IF(NOT(_xll.BDP(AX112,$BW$8)="#N/A N/A"),(_xll.BDP(AX112,$BW$8)),"-"), '[1]Country Codes'!$A$2:$B$253,2,0)</f>
        <v>#N/A</v>
      </c>
      <c r="AD112" s="30" t="str" cm="1">
        <f t="array" ref="AD112">IF(OR(_xll.BDP($AX112,"EX028")= "#N/A N/A", _xll.BDP($AX112,"EX028")="#N/A FIELD NOT APPLICABLE"), " ", _xll.BDP($AX112,"EX028"))</f>
        <v>Equity</v>
      </c>
      <c r="AE112" s="31" t="str">
        <f>IF(("AS97"="Equity"), " ", "Single Line Equity")</f>
        <v>Single Line Equity</v>
      </c>
      <c r="AF112" s="26" cm="1">
        <f t="array" ref="AF112">IF(OR(_xll.BDP($AX112,"RR908")= "#N/A N/A", _xll.BDP($AX112,"RR908")="#N/A FIELD NOT APPLICABLE"), " ", _xll.BDP($AX112,"RR908"))</f>
        <v>11.205984751744261</v>
      </c>
      <c r="AG112" s="26" cm="1">
        <f t="array" ref="AG112">IF(OR(_xll.BDP($AX112,"RR041")= "#N/A N/A", _xll.BDP($AX112,"RR041")="#N/A FIELD NOT APPLICABLE"), " ", _xll.BDP($AX112,"RR041"))</f>
        <v>25.235578613691846</v>
      </c>
      <c r="AH112" s="22">
        <f>_xll.BDP(AX112,"TOT_BUY_REC")</f>
        <v>30</v>
      </c>
      <c r="AI112" s="22">
        <f>_xll.BDP(AX112,"TOT_HOLD_REC")</f>
        <v>8</v>
      </c>
      <c r="AJ112" s="22">
        <f>_xll.BDP(AX112,"TOT_SELL_REC")</f>
        <v>1</v>
      </c>
      <c r="AK112" s="26" cm="1">
        <f t="array" ref="AK112">IF(OR(_xll.BDP($AX112,"EE201")= "#N/A N/A", _xll.BDP($AX112,"EE201")="#N/A FIELD NOT APPLICABLE"), " ", _xll.BDP($AX112,"EE201"))</f>
        <v>4.4871792793273926</v>
      </c>
      <c r="AL112" s="24">
        <f>_xll.BDP(AX112,"BEST_TARGET_PRICE")</f>
        <v>120.72000122070313</v>
      </c>
      <c r="AM112" s="32">
        <f>(AL112/Q112)-1</f>
        <v>0.30762566313586581</v>
      </c>
      <c r="AN112" s="32">
        <f>_xll.BDP(AX112,"PR061")/100</f>
        <v>0.1052317</v>
      </c>
      <c r="AO112" s="32">
        <f>_xll.BDP(AX112,"PR064")/100</f>
        <v>-0.17637609999999998</v>
      </c>
      <c r="AP112" s="32">
        <f>_xll.BDP(AX112,"CHG_PCT_6M")/100</f>
        <v>-6.6437449999999995E-2</v>
      </c>
      <c r="AQ112" s="25">
        <f>_xll.BDP(AX112,"PR079")/100</f>
        <v>-0.17090250000000001</v>
      </c>
      <c r="AR112" s="33">
        <f>_xll.BDP(AX112,"hs001")</f>
        <v>118.63</v>
      </c>
      <c r="AS112" s="33">
        <f>_xll.BDP(AX112,"hs002")</f>
        <v>80.099999999999994</v>
      </c>
      <c r="AT112" s="22" t="str" cm="1">
        <f t="array" ref="AT112">IF(OR(_xll.BDP($AX112,"DX202")= "#N/A N/A", _xll.BDP($AX112,"DX202")="#N/A FIELD NOT APPLICABLE"), " ", _xll.BDP($AX112,"DX202"))</f>
        <v>Communication Services</v>
      </c>
      <c r="AU112" s="22" t="str" cm="1">
        <f t="array" ref="AU112">IF(OR(_xll.BDP($AX112,"DY997")= "#N/A N/A", _xll.BDP($AX112,"DY997")="#N/A FIELD NOT APPLICABLE"), " ", _xll.BDP($AX112,"DY997"))</f>
        <v>N</v>
      </c>
      <c r="AV112" s="22" t="str" cm="1">
        <f t="array" ref="AV112">IF(OR(_xll.BDP($AX112,"DY784")= "#N/A N/A", _xll.BDP($AX112,"DY784")="#N/A FIELD NOT APPLICABLE"), " ", _xll.BDP($AX112,"DY784"))</f>
        <v>N</v>
      </c>
      <c r="AW112" s="22" t="str">
        <f>IF(OR(AU112="Y",AV112="Y"),"Y","N")</f>
        <v>N</v>
      </c>
      <c r="AX112" s="22" t="str">
        <f>CONCATENATE(G112," ",$AX$2)</f>
        <v>DIS US Equity</v>
      </c>
      <c r="BC112" s="17" t="str" cm="1">
        <f t="array" ref="BC112">_xll.BDP(AX112,"ID005")</f>
        <v>US2546871060</v>
      </c>
      <c r="BD112" s="17">
        <v>0.78990000000000005</v>
      </c>
      <c r="BE112" s="18">
        <v>4</v>
      </c>
      <c r="BF112" s="19">
        <v>45611</v>
      </c>
      <c r="BG112" s="20"/>
    </row>
    <row r="113" spans="1:59" s="3" customFormat="1" ht="14.45" customHeight="1" x14ac:dyDescent="0.25">
      <c r="A113" s="49" t="s">
        <v>242</v>
      </c>
      <c r="B113" s="49" t="s">
        <v>246</v>
      </c>
      <c r="C113" s="49" t="s">
        <v>247</v>
      </c>
      <c r="D113" s="49" t="s">
        <v>248</v>
      </c>
      <c r="E113" s="22" t="str">
        <f>_xll.BDP(AX113,"SECURITY NAME")</f>
        <v>Walt Disney Co/The</v>
      </c>
      <c r="F113" s="22" t="str">
        <f>_xll.BDP(AX113,"CRNCY")</f>
        <v>USD</v>
      </c>
      <c r="G113" s="23" t="s">
        <v>143</v>
      </c>
      <c r="H113" s="22" t="str" cm="1">
        <f t="array" ref="H113">IF(OR(_xll.BDP($AX113,"DX202")= "#N/A N/A", _xll.BDP($AX113,"DX202")="#N/A FIELD NOT APPLICABLE"), " ", _xll.BDP($AX113,"DX202"))</f>
        <v>Communication Services</v>
      </c>
      <c r="I113" s="24">
        <f>_xll.BDP(AX113,"CRNCY_ADJ_MKT_CAP", "EQY_FUND_CRNCY=USD")/1000</f>
        <v>166.8227564622</v>
      </c>
      <c r="J113" s="25">
        <f>IFERROR(_xll.BDP(AX113, "DV013")/100,0)</f>
        <v>1.0831889081455805E-2</v>
      </c>
      <c r="K113" s="26" cm="1">
        <f t="array" ref="K113">IF(OR(_xll.BDP($AX113,"RR900")= "#N/A N/A", _xll.BDP($AX113,"RR900")="#N/A FIELD NOT APPLICABLE"), " ", _xll.BDP($AX113,"RR900"))</f>
        <v>18.938713955223694</v>
      </c>
      <c r="L113" s="26" cm="1">
        <f t="array" ref="L113">IF(OR(_xll.BDP($AX113,"EE010")= "#N/A N/A", _xll.BDP($AX113,"EE010")="#N/A FIELD NOT APPLICABLE"), " ", _xll.BDP($AX113,"EE010"))</f>
        <v>15.615696887686061</v>
      </c>
      <c r="M113" s="26" cm="1">
        <f t="array" ref="M113">IF(OR(_xll.BDP($AX113,"RR903")= "#N/A N/A", _xll.BDP($AX113,"RR903")="#N/A FIELD NOT APPLICABLE"), " ", _xll.BDP($AX113,"RR903"))</f>
        <v>1.6719091897289937</v>
      </c>
      <c r="N113" s="26" cm="1">
        <f t="array" ref="N113">IF(OR(_xll.BDP($AX113,"RR957")= "#N/A N/A", _xll.BDP($AX113,"RR957")="#N/A FIELD NOT APPLICABLE"), " ", _xll.BDP($AX113,"RR957"))</f>
        <v>14.816690110451106</v>
      </c>
      <c r="O113" s="27">
        <v>811</v>
      </c>
      <c r="P113" s="28">
        <v>155.27000000000001</v>
      </c>
      <c r="Q113" s="22" cm="1">
        <f t="array" ref="Q113">IF(OR(_xll.BDP($AX113,"PX_last")="#N/A N/A",_xll.BDP($AX113,"PX_Last")="#N/A FIELD NOT APPLICABLE")," ",IF(F113="GBP",(_xll.BDP($AX113,"PX_LAST")/100),(_xll.BDP($AX113,"PX_LAST"))))</f>
        <v>92.32</v>
      </c>
      <c r="R113" s="29">
        <f>IF(F113="USD",AA113,(((_xll.BDP(F113&amp;"USD CURNCY","PX_LAST")))*AA113))</f>
        <v>125923.97</v>
      </c>
      <c r="S113" s="29">
        <f>IF(F113="USD",AB113,(((_xll.BDP(F113&amp;"USD CURNCY","PX_LAST")))*AB113))</f>
        <v>74871.51999999999</v>
      </c>
      <c r="T113" s="12">
        <f>S113-R113</f>
        <v>-51052.450000000012</v>
      </c>
      <c r="U113" s="13">
        <f>T113/R113</f>
        <v>-0.40542281187608692</v>
      </c>
      <c r="V113" s="13" cm="1">
        <f t="array" ref="V113">IFERROR(_xll.BDP($G113&amp;" Equity","CHG_PCT_1D")/100,"")</f>
        <v>2.2798829999999999E-3</v>
      </c>
      <c r="W113" s="13" cm="1">
        <f t="array" ref="W113">IFERROR(_xll.BDP($G113&amp;" Equity","CHG_PCT_5D")/100,"")</f>
        <v>1.26138E-2</v>
      </c>
      <c r="X113" s="13" t="e">
        <f>S113/#REF!</f>
        <v>#REF!</v>
      </c>
      <c r="Y113" s="24">
        <f>IFERROR(S113*J113,0)</f>
        <v>810.99999999999977</v>
      </c>
      <c r="Z113" s="24">
        <f>S113</f>
        <v>74871.51999999999</v>
      </c>
      <c r="AA113" s="29">
        <f>P113*O113</f>
        <v>125923.97</v>
      </c>
      <c r="AB113" s="29">
        <f>IFERROR(O113*Q113,0)</f>
        <v>74871.51999999999</v>
      </c>
      <c r="AC113" s="4" t="e" cm="1">
        <f t="array" ref="AC113">VLOOKUP(IF(NOT(_xll.BDP(AX113,$BW$8)="#N/A N/A"),(_xll.BDP(AX113,$BW$8)),"-"), '[1]Country Codes'!$A$2:$B$253,2,0)</f>
        <v>#N/A</v>
      </c>
      <c r="AD113" s="30" t="str" cm="1">
        <f t="array" ref="AD113">IF(OR(_xll.BDP($AX113,"EX028")= "#N/A N/A", _xll.BDP($AX113,"EX028")="#N/A FIELD NOT APPLICABLE"), " ", _xll.BDP($AX113,"EX028"))</f>
        <v>Equity</v>
      </c>
      <c r="AE113" s="31" t="str">
        <f>IF(("AS97"="Equity"), " ", "Single Line Equity")</f>
        <v>Single Line Equity</v>
      </c>
      <c r="AF113" s="26" cm="1">
        <f t="array" ref="AF113">IF(OR(_xll.BDP($AX113,"RR908")= "#N/A N/A", _xll.BDP($AX113,"RR908")="#N/A FIELD NOT APPLICABLE"), " ", _xll.BDP($AX113,"RR908"))</f>
        <v>11.205984751744261</v>
      </c>
      <c r="AG113" s="26" cm="1">
        <f t="array" ref="AG113">IF(OR(_xll.BDP($AX113,"RR041")= "#N/A N/A", _xll.BDP($AX113,"RR041")="#N/A FIELD NOT APPLICABLE"), " ", _xll.BDP($AX113,"RR041"))</f>
        <v>25.235578613691846</v>
      </c>
      <c r="AH113" s="22">
        <f>_xll.BDP(AX113,"TOT_BUY_REC")</f>
        <v>30</v>
      </c>
      <c r="AI113" s="22">
        <f>_xll.BDP(AX113,"TOT_HOLD_REC")</f>
        <v>8</v>
      </c>
      <c r="AJ113" s="22">
        <f>_xll.BDP(AX113,"TOT_SELL_REC")</f>
        <v>1</v>
      </c>
      <c r="AK113" s="26" cm="1">
        <f t="array" ref="AK113">IF(OR(_xll.BDP($AX113,"EE201")= "#N/A N/A", _xll.BDP($AX113,"EE201")="#N/A FIELD NOT APPLICABLE"), " ", _xll.BDP($AX113,"EE201"))</f>
        <v>4.4871792793273926</v>
      </c>
      <c r="AL113" s="24">
        <f>_xll.BDP(AX113,"BEST_TARGET_PRICE")</f>
        <v>120.72000122070313</v>
      </c>
      <c r="AM113" s="32">
        <f>(AL113/Q113)-1</f>
        <v>0.30762566313586581</v>
      </c>
      <c r="AN113" s="32">
        <f>_xll.BDP(AX113,"PR061")/100</f>
        <v>0.1052317</v>
      </c>
      <c r="AO113" s="32">
        <f>_xll.BDP(AX113,"PR064")/100</f>
        <v>-0.17637609999999998</v>
      </c>
      <c r="AP113" s="32">
        <f>_xll.BDP(AX113,"CHG_PCT_6M")/100</f>
        <v>-6.6437449999999995E-2</v>
      </c>
      <c r="AQ113" s="25">
        <f>_xll.BDP(AX113,"PR079")/100</f>
        <v>-0.17090250000000001</v>
      </c>
      <c r="AR113" s="33">
        <f>_xll.BDP(AX113,"hs001")</f>
        <v>118.63</v>
      </c>
      <c r="AS113" s="33">
        <f>_xll.BDP(AX113,"hs002")</f>
        <v>80.099999999999994</v>
      </c>
      <c r="AT113" s="22" t="str" cm="1">
        <f t="array" ref="AT113">IF(OR(_xll.BDP($AX113,"DX202")= "#N/A N/A", _xll.BDP($AX113,"DX202")="#N/A FIELD NOT APPLICABLE"), " ", _xll.BDP($AX113,"DX202"))</f>
        <v>Communication Services</v>
      </c>
      <c r="AU113" s="22" t="str" cm="1">
        <f t="array" ref="AU113">IF(OR(_xll.BDP($AX113,"DY997")= "#N/A N/A", _xll.BDP($AX113,"DY997")="#N/A FIELD NOT APPLICABLE"), " ", _xll.BDP($AX113,"DY997"))</f>
        <v>N</v>
      </c>
      <c r="AV113" s="22" t="str" cm="1">
        <f t="array" ref="AV113">IF(OR(_xll.BDP($AX113,"DY784")= "#N/A N/A", _xll.BDP($AX113,"DY784")="#N/A FIELD NOT APPLICABLE"), " ", _xll.BDP($AX113,"DY784"))</f>
        <v>N</v>
      </c>
      <c r="AW113" s="22" t="str">
        <f>IF(OR(AU113="Y",AV113="Y"),"Y","N")</f>
        <v>N</v>
      </c>
      <c r="AX113" s="22" t="str">
        <f>CONCATENATE(G113," ",$AX$2)</f>
        <v>DIS US Equity</v>
      </c>
      <c r="BC113" s="17" t="str" cm="1">
        <f t="array" ref="BC113">_xll.BDP(AX113,"ID005")</f>
        <v>US2546871060</v>
      </c>
      <c r="BD113" s="17">
        <v>0.78990000000000005</v>
      </c>
      <c r="BE113" s="18">
        <v>4</v>
      </c>
      <c r="BF113" s="19">
        <v>45611</v>
      </c>
      <c r="BG113" s="20"/>
    </row>
    <row r="114" spans="1:59" s="3" customFormat="1" ht="14.45" customHeight="1" x14ac:dyDescent="0.25">
      <c r="A114" s="49" t="s">
        <v>242</v>
      </c>
      <c r="B114" s="49" t="s">
        <v>268</v>
      </c>
      <c r="C114" s="49" t="s">
        <v>269</v>
      </c>
      <c r="D114" s="49" t="s">
        <v>248</v>
      </c>
      <c r="E114" s="22" t="str">
        <f>_xll.BDP(AX114,"SECURITY NAME")</f>
        <v>Walt Disney Co/The</v>
      </c>
      <c r="F114" s="22" t="str">
        <f>_xll.BDP(AX114,"CRNCY")</f>
        <v>USD</v>
      </c>
      <c r="G114" s="23" t="s">
        <v>143</v>
      </c>
      <c r="H114" s="22" t="str" cm="1">
        <f t="array" ref="H114">IF(OR(_xll.BDP($AX114,"DX202")= "#N/A N/A", _xll.BDP($AX114,"DX202")="#N/A FIELD NOT APPLICABLE"), " ", _xll.BDP($AX114,"DX202"))</f>
        <v>Communication Services</v>
      </c>
      <c r="I114" s="24">
        <f>_xll.BDP(AX114,"CRNCY_ADJ_MKT_CAP", "EQY_FUND_CRNCY=USD")/1000</f>
        <v>166.8227564622</v>
      </c>
      <c r="J114" s="25">
        <f>IFERROR(_xll.BDP(AX114, "DV013")/100,0)</f>
        <v>1.0831889081455805E-2</v>
      </c>
      <c r="K114" s="26" cm="1">
        <f t="array" ref="K114">IF(OR(_xll.BDP($AX114,"RR900")= "#N/A N/A", _xll.BDP($AX114,"RR900")="#N/A FIELD NOT APPLICABLE"), " ", _xll.BDP($AX114,"RR900"))</f>
        <v>18.938713955223694</v>
      </c>
      <c r="L114" s="26" cm="1">
        <f t="array" ref="L114">IF(OR(_xll.BDP($AX114,"EE010")= "#N/A N/A", _xll.BDP($AX114,"EE010")="#N/A FIELD NOT APPLICABLE"), " ", _xll.BDP($AX114,"EE010"))</f>
        <v>15.615696887686061</v>
      </c>
      <c r="M114" s="26" cm="1">
        <f t="array" ref="M114">IF(OR(_xll.BDP($AX114,"RR903")= "#N/A N/A", _xll.BDP($AX114,"RR903")="#N/A FIELD NOT APPLICABLE"), " ", _xll.BDP($AX114,"RR903"))</f>
        <v>1.6719091897289937</v>
      </c>
      <c r="N114" s="26" cm="1">
        <f t="array" ref="N114">IF(OR(_xll.BDP($AX114,"RR957")= "#N/A N/A", _xll.BDP($AX114,"RR957")="#N/A FIELD NOT APPLICABLE"), " ", _xll.BDP($AX114,"RR957"))</f>
        <v>14.816690110451106</v>
      </c>
      <c r="O114" s="27">
        <v>1067</v>
      </c>
      <c r="P114" s="28">
        <v>129.51</v>
      </c>
      <c r="Q114" s="22" cm="1">
        <f t="array" ref="Q114">IF(OR(_xll.BDP($AX114,"PX_last")="#N/A N/A",_xll.BDP($AX114,"PX_Last")="#N/A FIELD NOT APPLICABLE")," ",IF(F114="GBP",(_xll.BDP($AX114,"PX_LAST")/100),(_xll.BDP($AX114,"PX_LAST"))))</f>
        <v>92.32</v>
      </c>
      <c r="R114" s="29">
        <f>IF(F114="USD",AA114,(((_xll.BDP(F114&amp;"USD CURNCY","PX_LAST")))*AA114))</f>
        <v>138187.16999999998</v>
      </c>
      <c r="S114" s="29">
        <f>IF(F114="USD",AB114,(((_xll.BDP(F114&amp;"USD CURNCY","PX_LAST")))*AB114))</f>
        <v>98505.439999999988</v>
      </c>
      <c r="T114" s="12">
        <f>S114-R114</f>
        <v>-39681.729999999996</v>
      </c>
      <c r="U114" s="13">
        <f>T114/R114</f>
        <v>-0.28715929271870899</v>
      </c>
      <c r="V114" s="13" cm="1">
        <f t="array" ref="V114">IFERROR(_xll.BDP($G114&amp;" Equity","CHG_PCT_1D")/100,"")</f>
        <v>2.2798829999999999E-3</v>
      </c>
      <c r="W114" s="13" cm="1">
        <f t="array" ref="W114">IFERROR(_xll.BDP($G114&amp;" Equity","CHG_PCT_5D")/100,"")</f>
        <v>1.26138E-2</v>
      </c>
      <c r="X114" s="13" t="e">
        <f>S114/#REF!</f>
        <v>#REF!</v>
      </c>
      <c r="Y114" s="24">
        <f>IFERROR(S114*J114,0)</f>
        <v>1066.9999999999998</v>
      </c>
      <c r="Z114" s="24">
        <f>S114</f>
        <v>98505.439999999988</v>
      </c>
      <c r="AA114" s="29">
        <f>P114*O114</f>
        <v>138187.16999999998</v>
      </c>
      <c r="AB114" s="29">
        <f>IFERROR(O114*Q114,0)</f>
        <v>98505.439999999988</v>
      </c>
      <c r="AC114" s="4" t="e" cm="1">
        <f t="array" ref="AC114">VLOOKUP(IF(NOT(_xll.BDP(AX114,$BW$8)="#N/A N/A"),(_xll.BDP(AX114,$BW$8)),"-"), '[1]Country Codes'!$A$2:$B$253,2,0)</f>
        <v>#N/A</v>
      </c>
      <c r="AD114" s="30" t="str" cm="1">
        <f t="array" ref="AD114">IF(OR(_xll.BDP($AX114,"EX028")= "#N/A N/A", _xll.BDP($AX114,"EX028")="#N/A FIELD NOT APPLICABLE"), " ", _xll.BDP($AX114,"EX028"))</f>
        <v>Equity</v>
      </c>
      <c r="AE114" s="31" t="str">
        <f>IF(("AS97"="Equity"), " ", "Single Line Equity")</f>
        <v>Single Line Equity</v>
      </c>
      <c r="AF114" s="26" cm="1">
        <f t="array" ref="AF114">IF(OR(_xll.BDP($AX114,"RR908")= "#N/A N/A", _xll.BDP($AX114,"RR908")="#N/A FIELD NOT APPLICABLE"), " ", _xll.BDP($AX114,"RR908"))</f>
        <v>11.205984751744261</v>
      </c>
      <c r="AG114" s="26" cm="1">
        <f t="array" ref="AG114">IF(OR(_xll.BDP($AX114,"RR041")= "#N/A N/A", _xll.BDP($AX114,"RR041")="#N/A FIELD NOT APPLICABLE"), " ", _xll.BDP($AX114,"RR041"))</f>
        <v>25.235578613691846</v>
      </c>
      <c r="AH114" s="22">
        <f>_xll.BDP(AX114,"TOT_BUY_REC")</f>
        <v>30</v>
      </c>
      <c r="AI114" s="22">
        <f>_xll.BDP(AX114,"TOT_HOLD_REC")</f>
        <v>8</v>
      </c>
      <c r="AJ114" s="22">
        <f>_xll.BDP(AX114,"TOT_SELL_REC")</f>
        <v>1</v>
      </c>
      <c r="AK114" s="26" cm="1">
        <f t="array" ref="AK114">IF(OR(_xll.BDP($AX114,"EE201")= "#N/A N/A", _xll.BDP($AX114,"EE201")="#N/A FIELD NOT APPLICABLE"), " ", _xll.BDP($AX114,"EE201"))</f>
        <v>4.4871792793273926</v>
      </c>
      <c r="AL114" s="24">
        <f>_xll.BDP(AX114,"BEST_TARGET_PRICE")</f>
        <v>120.72000122070313</v>
      </c>
      <c r="AM114" s="32">
        <f>(AL114/Q114)-1</f>
        <v>0.30762566313586581</v>
      </c>
      <c r="AN114" s="32">
        <f>_xll.BDP(AX114,"PR061")/100</f>
        <v>0.1052317</v>
      </c>
      <c r="AO114" s="32">
        <f>_xll.BDP(AX114,"PR064")/100</f>
        <v>-0.17637609999999998</v>
      </c>
      <c r="AP114" s="32">
        <f>_xll.BDP(AX114,"CHG_PCT_6M")/100</f>
        <v>-6.6437449999999995E-2</v>
      </c>
      <c r="AQ114" s="25">
        <f>_xll.BDP(AX114,"PR079")/100</f>
        <v>-0.17090250000000001</v>
      </c>
      <c r="AR114" s="33">
        <f>_xll.BDP(AX114,"hs001")</f>
        <v>118.63</v>
      </c>
      <c r="AS114" s="33">
        <f>_xll.BDP(AX114,"hs002")</f>
        <v>80.099999999999994</v>
      </c>
      <c r="AT114" s="22" t="str" cm="1">
        <f t="array" ref="AT114">IF(OR(_xll.BDP($AX114,"DX202")= "#N/A N/A", _xll.BDP($AX114,"DX202")="#N/A FIELD NOT APPLICABLE"), " ", _xll.BDP($AX114,"DX202"))</f>
        <v>Communication Services</v>
      </c>
      <c r="AU114" s="22" t="str" cm="1">
        <f t="array" ref="AU114">IF(OR(_xll.BDP($AX114,"DY997")= "#N/A N/A", _xll.BDP($AX114,"DY997")="#N/A FIELD NOT APPLICABLE"), " ", _xll.BDP($AX114,"DY997"))</f>
        <v>N</v>
      </c>
      <c r="AV114" s="22" t="str" cm="1">
        <f t="array" ref="AV114">IF(OR(_xll.BDP($AX114,"DY784")= "#N/A N/A", _xll.BDP($AX114,"DY784")="#N/A FIELD NOT APPLICABLE"), " ", _xll.BDP($AX114,"DY784"))</f>
        <v>N</v>
      </c>
      <c r="AW114" s="22" t="str">
        <f>IF(OR(AU114="Y",AV114="Y"),"Y","N")</f>
        <v>N</v>
      </c>
      <c r="AX114" s="22" t="str">
        <f>CONCATENATE(G114," ",$AX$2)</f>
        <v>DIS US Equity</v>
      </c>
      <c r="BC114" s="17" t="str" cm="1">
        <f t="array" ref="BC114">_xll.BDP(AX114,"ID005")</f>
        <v>US2546871060</v>
      </c>
      <c r="BD114" s="17">
        <v>0.78990000000000005</v>
      </c>
      <c r="BE114" s="18">
        <v>4</v>
      </c>
      <c r="BF114" s="19">
        <v>45611</v>
      </c>
      <c r="BG114" s="20"/>
    </row>
    <row r="115" spans="1:59" s="3" customFormat="1" ht="14.45" customHeight="1" x14ac:dyDescent="0.25">
      <c r="A115" s="49" t="s">
        <v>257</v>
      </c>
      <c r="B115" s="49" t="s">
        <v>274</v>
      </c>
      <c r="C115" s="49">
        <v>1000015111</v>
      </c>
      <c r="D115" s="49" t="s">
        <v>275</v>
      </c>
      <c r="E115" s="22" t="str">
        <f>_xll.BDP(AX115,"SECURITY NAME")</f>
        <v>Walt Disney Co/The</v>
      </c>
      <c r="F115" s="22" t="str">
        <f>_xll.BDP(AX115,"CRNCY")</f>
        <v>USD</v>
      </c>
      <c r="G115" s="23" t="s">
        <v>143</v>
      </c>
      <c r="H115" s="22" t="str" cm="1">
        <f t="array" ref="H115">IF(OR(_xll.BDP($AX115,"DX202")= "#N/A N/A", _xll.BDP($AX115,"DX202")="#N/A FIELD NOT APPLICABLE"), " ", _xll.BDP($AX115,"DX202"))</f>
        <v>Communication Services</v>
      </c>
      <c r="I115" s="24">
        <f>_xll.BDP(AX115,"CRNCY_ADJ_MKT_CAP", "EQY_FUND_CRNCY=USD")/1000</f>
        <v>166.8227564622</v>
      </c>
      <c r="J115" s="25">
        <f>IFERROR(_xll.BDP(AX115, "DV013")/100,0)</f>
        <v>1.0831889081455805E-2</v>
      </c>
      <c r="K115" s="26" cm="1">
        <f t="array" ref="K115">IF(OR(_xll.BDP($AX115,"RR900")= "#N/A N/A", _xll.BDP($AX115,"RR900")="#N/A FIELD NOT APPLICABLE"), " ", _xll.BDP($AX115,"RR900"))</f>
        <v>18.938713955223694</v>
      </c>
      <c r="L115" s="26" cm="1">
        <f t="array" ref="L115">IF(OR(_xll.BDP($AX115,"EE010")= "#N/A N/A", _xll.BDP($AX115,"EE010")="#N/A FIELD NOT APPLICABLE"), " ", _xll.BDP($AX115,"EE010"))</f>
        <v>15.615696887686061</v>
      </c>
      <c r="M115" s="26" cm="1">
        <f t="array" ref="M115">IF(OR(_xll.BDP($AX115,"RR903")= "#N/A N/A", _xll.BDP($AX115,"RR903")="#N/A FIELD NOT APPLICABLE"), " ", _xll.BDP($AX115,"RR903"))</f>
        <v>1.6719091897289937</v>
      </c>
      <c r="N115" s="26" cm="1">
        <f t="array" ref="N115">IF(OR(_xll.BDP($AX115,"RR957")= "#N/A N/A", _xll.BDP($AX115,"RR957")="#N/A FIELD NOT APPLICABLE"), " ", _xll.BDP($AX115,"RR957"))</f>
        <v>14.816690110451106</v>
      </c>
      <c r="O115" s="27">
        <v>530</v>
      </c>
      <c r="P115" s="28">
        <v>94.25</v>
      </c>
      <c r="Q115" s="22" cm="1">
        <f t="array" ref="Q115">IF(OR(_xll.BDP($AX115,"PX_last")="#N/A N/A",_xll.BDP($AX115,"PX_Last")="#N/A FIELD NOT APPLICABLE")," ",IF(F115="GBP",(_xll.BDP($AX115,"PX_LAST")/100),(_xll.BDP($AX115,"PX_LAST"))))</f>
        <v>92.32</v>
      </c>
      <c r="R115" s="29">
        <f>IF(F115="USD",AA115,(((_xll.BDP(F115&amp;"USD CURNCY","PX_LAST")))*AA115))</f>
        <v>49952.5</v>
      </c>
      <c r="S115" s="29">
        <f>IFERROR(IF(F115="USD",AB115,(((_xll.BDP(F115&amp;"USD CURNCY","PX_LAST")))*AB115)),0)</f>
        <v>48929.599999999999</v>
      </c>
      <c r="T115" s="12">
        <f>S115-R115</f>
        <v>-1022.9000000000015</v>
      </c>
      <c r="U115" s="13">
        <f>T115/R115</f>
        <v>-2.0477453580901885E-2</v>
      </c>
      <c r="V115" s="13" cm="1">
        <f t="array" ref="V115">IFERROR(_xll.BDP($G115&amp;" Equity","CHG_PCT_1D")/100,"")</f>
        <v>2.2798829999999999E-3</v>
      </c>
      <c r="W115" s="13" cm="1">
        <f t="array" ref="W115">IFERROR(_xll.BDP($G115&amp;" Equity","CHG_PCT_5D")/100,"")</f>
        <v>1.26138E-2</v>
      </c>
      <c r="X115" s="13" t="e">
        <f>S115/#REF!</f>
        <v>#REF!</v>
      </c>
      <c r="Y115" s="24">
        <f>IFERROR(S115*J115,0)</f>
        <v>529.99999999999989</v>
      </c>
      <c r="Z115" s="24">
        <f>S115</f>
        <v>48929.599999999999</v>
      </c>
      <c r="AA115" s="29">
        <f>P115*O115</f>
        <v>49952.5</v>
      </c>
      <c r="AB115" s="29">
        <f>IFERROR(O115*Q115,0)</f>
        <v>48929.599999999999</v>
      </c>
      <c r="AC115" s="4" t="e" cm="1">
        <f t="array" ref="AC115">VLOOKUP(IF(NOT(_xll.BDP(AX115,$BW$8)="#N/A N/A"),(_xll.BDP(AX115,$BW$8)),"-"), '[1]Country Codes'!$A$2:$B$253,2,0)</f>
        <v>#N/A</v>
      </c>
      <c r="AD115" s="30" t="str" cm="1">
        <f t="array" ref="AD115">IF(OR(_xll.BDP($AX115,"EX028")= "#N/A N/A", _xll.BDP($AX115,"EX028")="#N/A FIELD NOT APPLICABLE"), " ", _xll.BDP($AX115,"EX028"))</f>
        <v>Equity</v>
      </c>
      <c r="AE115" s="31" t="str">
        <f>IF(("AS97"="Equity"), " ", "Single Line Equity")</f>
        <v>Single Line Equity</v>
      </c>
      <c r="AF115" s="26" cm="1">
        <f t="array" ref="AF115">IF(OR(_xll.BDP($AX115,"RR908")= "#N/A N/A", _xll.BDP($AX115,"RR908")="#N/A FIELD NOT APPLICABLE"), " ", _xll.BDP($AX115,"RR908"))</f>
        <v>11.205984751744261</v>
      </c>
      <c r="AG115" s="26" cm="1">
        <f t="array" ref="AG115">IF(OR(_xll.BDP($AX115,"RR041")= "#N/A N/A", _xll.BDP($AX115,"RR041")="#N/A FIELD NOT APPLICABLE"), " ", _xll.BDP($AX115,"RR041"))</f>
        <v>25.235578613691846</v>
      </c>
      <c r="AH115" s="22">
        <f>_xll.BDP(AX115,"TOT_BUY_REC")</f>
        <v>30</v>
      </c>
      <c r="AI115" s="22">
        <f>_xll.BDP(AX115,"TOT_HOLD_REC")</f>
        <v>8</v>
      </c>
      <c r="AJ115" s="22">
        <f>_xll.BDP(AX115,"TOT_SELL_REC")</f>
        <v>1</v>
      </c>
      <c r="AK115" s="26" cm="1">
        <f t="array" ref="AK115">IF(OR(_xll.BDP($AX115,"EE201")= "#N/A N/A", _xll.BDP($AX115,"EE201")="#N/A FIELD NOT APPLICABLE"), " ", _xll.BDP($AX115,"EE201"))</f>
        <v>4.4871792793273926</v>
      </c>
      <c r="AL115" s="24">
        <f>_xll.BDP(AX115,"BEST_TARGET_PRICE")</f>
        <v>120.72000122070313</v>
      </c>
      <c r="AM115" s="32">
        <f>(AL115/Q115)-1</f>
        <v>0.30762566313586581</v>
      </c>
      <c r="AN115" s="32">
        <f>_xll.BDP(AX115,"PR061")/100</f>
        <v>0.1052317</v>
      </c>
      <c r="AO115" s="32">
        <f>_xll.BDP(AX115,"PR064")/100</f>
        <v>-0.17637609999999998</v>
      </c>
      <c r="AP115" s="32">
        <f>_xll.BDP(AX115,"CHG_PCT_6M")/100</f>
        <v>-6.6437449999999995E-2</v>
      </c>
      <c r="AQ115" s="25">
        <f>_xll.BDP(AX115,"PR079")/100</f>
        <v>-0.17090250000000001</v>
      </c>
      <c r="AR115" s="33">
        <f>_xll.BDP(AX115,"hs001")</f>
        <v>118.63</v>
      </c>
      <c r="AS115" s="33">
        <f>_xll.BDP(AX115,"hs002")</f>
        <v>80.099999999999994</v>
      </c>
      <c r="AT115" s="22" t="str" cm="1">
        <f t="array" ref="AT115">IF(OR(_xll.BDP($AX115,"DX202")= "#N/A N/A", _xll.BDP($AX115,"DX202")="#N/A FIELD NOT APPLICABLE"), " ", _xll.BDP($AX115,"DX202"))</f>
        <v>Communication Services</v>
      </c>
      <c r="AU115" s="22" t="str" cm="1">
        <f t="array" ref="AU115">IF(OR(_xll.BDP($AX115,"DY997")= "#N/A N/A", _xll.BDP($AX115,"DY997")="#N/A FIELD NOT APPLICABLE"), " ", _xll.BDP($AX115,"DY997"))</f>
        <v>N</v>
      </c>
      <c r="AV115" s="22" t="str" cm="1">
        <f t="array" ref="AV115">IF(OR(_xll.BDP($AX115,"DY784")= "#N/A N/A", _xll.BDP($AX115,"DY784")="#N/A FIELD NOT APPLICABLE"), " ", _xll.BDP($AX115,"DY784"))</f>
        <v>N</v>
      </c>
      <c r="AW115" s="22" t="str">
        <f>IF(OR(AU115="Y",AV115="Y"),"Y","N")</f>
        <v>N</v>
      </c>
      <c r="AX115" s="22" t="str">
        <f>CONCATENATE(G115," ",$AX$2)</f>
        <v>DIS US Equity</v>
      </c>
      <c r="BC115" s="17" t="str" cm="1">
        <f t="array" ref="BC115">_xll.BDP(AX115,"ID005")</f>
        <v>US2546871060</v>
      </c>
      <c r="BD115" s="17">
        <v>0.78990000000000005</v>
      </c>
      <c r="BE115" s="18">
        <v>4</v>
      </c>
      <c r="BF115" s="19">
        <v>45611</v>
      </c>
      <c r="BG115" s="20"/>
    </row>
    <row r="116" spans="1:59" s="3" customFormat="1" ht="14.45" customHeight="1" x14ac:dyDescent="0.25">
      <c r="A116" s="49" t="s">
        <v>241</v>
      </c>
      <c r="B116" s="49" t="s">
        <v>238</v>
      </c>
      <c r="C116" s="49" t="s">
        <v>239</v>
      </c>
      <c r="D116" s="49" t="s">
        <v>240</v>
      </c>
      <c r="E116" s="22" t="str">
        <f>_xll.BDP(AX116,"SECURITY NAME")</f>
        <v>Drax Group PLC</v>
      </c>
      <c r="F116" s="22" t="str">
        <f>_xll.BDP(AX116,"CRNCY")</f>
        <v>GBp</v>
      </c>
      <c r="G116" s="23" t="s">
        <v>335</v>
      </c>
      <c r="H116" s="22" t="str" cm="1">
        <f t="array" ref="H116">IF(OR(_xll.BDP($AX116,"DX202")= "#N/A N/A", _xll.BDP($AX116,"DX202")="#N/A FIELD NOT APPLICABLE"), " ", _xll.BDP($AX116,"DX202"))</f>
        <v>Utilities</v>
      </c>
      <c r="I116" s="24">
        <f>_xll.BDP(AX116,"CRNCY_ADJ_MKT_CAP", "EQY_FUND_CRNCY=USD")/1000</f>
        <v>2.9393196205402137</v>
      </c>
      <c r="J116" s="25">
        <f>IFERROR(_xll.BDP(AX116, "DV013")/100,0)</f>
        <v>4.2105263157894736E-2</v>
      </c>
      <c r="K116" s="26" cm="1">
        <f t="array" ref="K116">IF(OR(_xll.BDP($AX116,"RR900")= "#N/A N/A", _xll.BDP($AX116,"RR900")="#N/A FIELD NOT APPLICABLE"), " ", _xll.BDP($AX116,"RR900"))</f>
        <v>4.4996629807079227</v>
      </c>
      <c r="L116" s="26" cm="1">
        <f t="array" ref="L116">IF(OR(_xll.BDP($AX116,"EE010")= "#N/A N/A", _xll.BDP($AX116,"EE010")="#N/A FIELD NOT APPLICABLE"), " ", _xll.BDP($AX116,"EE010"))</f>
        <v>8.4705075445816185</v>
      </c>
      <c r="M116" s="26" cm="1">
        <f t="array" ref="M116">IF(OR(_xll.BDP($AX116,"RR903")= "#N/A N/A", _xll.BDP($AX116,"RR903")="#N/A FIELD NOT APPLICABLE"), " ", _xll.BDP($AX116,"RR903"))</f>
        <v>1.0704806310475139</v>
      </c>
      <c r="N116" s="26" cm="1">
        <f t="array" ref="N116">IF(OR(_xll.BDP($AX116,"RR957")= "#N/A N/A", _xll.BDP($AX116,"RR957")="#N/A FIELD NOT APPLICABLE"), " ", _xll.BDP($AX116,"RR957"))</f>
        <v>2.8808951868589743</v>
      </c>
      <c r="O116" s="27">
        <v>3858</v>
      </c>
      <c r="P116" s="28">
        <v>6.4834199999999997</v>
      </c>
      <c r="Q116" s="22" cm="1">
        <f t="array" ref="Q116">IF(OR(_xll.BDP($AX116,"PX_last")="#N/A N/A",_xll.BDP($AX116,"PX_Last")="#N/A FIELD NOT APPLICABLE")," ",IF(F116="GBP",(_xll.BDP($AX116,"PX_LAST")/100),(_xll.BDP($AX116,"PX_LAST"))))</f>
        <v>6.1749999999999998</v>
      </c>
      <c r="R116" s="29">
        <f>IF(F116="USD",AA116,(((_xll.BDP(F116&amp;"USD CURNCY","PX_LAST")))*AA116))</f>
        <v>33434.923029011996</v>
      </c>
      <c r="S116" s="29">
        <f>IF(F116="USD",AB116,(((_xll.BDP(F116&amp;"USD CURNCY","PX_LAST")))*AB116))</f>
        <v>31844.404604999996</v>
      </c>
      <c r="T116" s="12">
        <f>S116-R116</f>
        <v>-1590.5184240119997</v>
      </c>
      <c r="U116" s="13">
        <f>T116/R116</f>
        <v>-4.7570572321398275E-2</v>
      </c>
      <c r="V116" s="13" cm="1">
        <f t="array" ref="V116">IFERROR(_xll.BDP($G116&amp;" Equity","CHG_PCT_1D")/100,"")</f>
        <v>1.9818329999999999E-2</v>
      </c>
      <c r="W116" s="13" cm="1">
        <f t="array" ref="W116">IFERROR(_xll.BDP($G116&amp;" Equity","CHG_PCT_5D")/100,"")</f>
        <v>2.4046430000000001E-2</v>
      </c>
      <c r="X116" s="13" t="e">
        <f>S116/#REF!</f>
        <v>#REF!</v>
      </c>
      <c r="Y116" s="24">
        <f>IFERROR(S116*J116,0)</f>
        <v>1340.8170359999999</v>
      </c>
      <c r="Z116" s="24">
        <f>S116</f>
        <v>31844.404604999996</v>
      </c>
      <c r="AA116" s="29">
        <f>P116*O116</f>
        <v>25013.034359999998</v>
      </c>
      <c r="AB116" s="29">
        <f>IFERROR(O116*Q116,0)</f>
        <v>23823.149999999998</v>
      </c>
      <c r="AC116" s="4" t="e" cm="1">
        <f t="array" ref="AC116">VLOOKUP(IF(NOT(_xll.BDP(AX116,$BW$8)="#N/A N/A"),(_xll.BDP(AX116,$BW$8)),"-"), '[1]Country Codes'!$A$2:$B$253,2,0)</f>
        <v>#N/A</v>
      </c>
      <c r="AD116" s="30" t="str" cm="1">
        <f t="array" ref="AD116">IF(OR(_xll.BDP($AX116,"EX028")= "#N/A N/A", _xll.BDP($AX116,"EX028")="#N/A FIELD NOT APPLICABLE"), " ", _xll.BDP($AX116,"EX028"))</f>
        <v>Equity</v>
      </c>
      <c r="AE116" s="31" t="str">
        <f>IF(("AS97"="Equity"), " ", "Single Line Equity")</f>
        <v>Single Line Equity</v>
      </c>
      <c r="AF116" s="26" cm="1">
        <f t="array" ref="AF116">IF(OR(_xll.BDP($AX116,"RR908")= "#N/A N/A", _xll.BDP($AX116,"RR908")="#N/A FIELD NOT APPLICABLE"), " ", _xll.BDP($AX116,"RR908"))</f>
        <v>2.746709803658788</v>
      </c>
      <c r="AG116" s="26" cm="1">
        <f t="array" ref="AG116">IF(OR(_xll.BDP($AX116,"RR041")= "#N/A N/A", _xll.BDP($AX116,"RR041")="#N/A FIELD NOT APPLICABLE"), " ", _xll.BDP($AX116,"RR041"))</f>
        <v>23.998812307463904</v>
      </c>
      <c r="AH116" s="22">
        <f>_xll.BDP(AX116,"TOT_BUY_REC")</f>
        <v>2</v>
      </c>
      <c r="AI116" s="22">
        <f>_xll.BDP(AX116,"TOT_HOLD_REC")</f>
        <v>2</v>
      </c>
      <c r="AJ116" s="22">
        <f>_xll.BDP(AX116,"TOT_SELL_REC")</f>
        <v>1</v>
      </c>
      <c r="AK116" s="26" cm="1">
        <f t="array" ref="AK116">IF(OR(_xll.BDP($AX116,"EE201")= "#N/A N/A", _xll.BDP($AX116,"EE201")="#N/A FIELD NOT APPLICABLE"), " ", _xll.BDP($AX116,"EE201"))</f>
        <v>3.4000000953674316</v>
      </c>
      <c r="AL116" s="24">
        <f>_xll.BDP(AX116,"BEST_TARGET_PRICE")</f>
        <v>773.79998779296875</v>
      </c>
      <c r="AM116" s="32">
        <f>(AL116/Q116)-1</f>
        <v>124.3117389138411</v>
      </c>
      <c r="AN116" s="32">
        <f>_xll.BDP(AX116,"PR061")/100</f>
        <v>7.3913039999999999E-2</v>
      </c>
      <c r="AO116" s="32">
        <f>_xll.BDP(AX116,"PR064")/100</f>
        <v>-5.6360710000000003E-3</v>
      </c>
      <c r="AP116" s="32">
        <f>_xll.BDP(AX116,"CHG_PCT_6M")/100</f>
        <v>-1.515152E-2</v>
      </c>
      <c r="AQ116" s="25">
        <f>_xll.BDP(AX116,"PR079")/100</f>
        <v>-4.7067899999999996E-2</v>
      </c>
      <c r="AR116" s="33">
        <f>_xll.BDP(AX116,"hs001")</f>
        <v>692</v>
      </c>
      <c r="AS116" s="33">
        <f>_xll.BDP(AX116,"hs002")</f>
        <v>481.4</v>
      </c>
      <c r="AT116" s="22" t="str" cm="1">
        <f t="array" ref="AT116">IF(OR(_xll.BDP($AX116,"DX202")= "#N/A N/A", _xll.BDP($AX116,"DX202")="#N/A FIELD NOT APPLICABLE"), " ", _xll.BDP($AX116,"DX202"))</f>
        <v>Utilities</v>
      </c>
      <c r="AU116" s="22" t="str" cm="1">
        <f t="array" ref="AU116">IF(OR(_xll.BDP($AX116,"DY997")= "#N/A N/A", _xll.BDP($AX116,"DY997")="#N/A FIELD NOT APPLICABLE"), " ", _xll.BDP($AX116,"DY997"))</f>
        <v>Y</v>
      </c>
      <c r="AV116" s="22" t="str" cm="1">
        <f t="array" ref="AV116">IF(OR(_xll.BDP($AX116,"DY784")= "#N/A N/A", _xll.BDP($AX116,"DY784")="#N/A FIELD NOT APPLICABLE"), " ", _xll.BDP($AX116,"DY784"))</f>
        <v>Y</v>
      </c>
      <c r="AW116" s="22" t="str">
        <f>IF(OR(AU116="Y",AV116="Y"),"Y","N")</f>
        <v>Y</v>
      </c>
      <c r="AX116" s="22" t="str">
        <f>CONCATENATE(G116," ",$AX$2)</f>
        <v>DRX LN Equity</v>
      </c>
      <c r="BC116" s="17" t="str" cm="1">
        <f t="array" ref="BC116">_xll.BDP(AX116,"ID005")</f>
        <v>GB00B1VNSX38</v>
      </c>
      <c r="BD116" s="17">
        <v>0.78990000000000005</v>
      </c>
      <c r="BE116" s="18">
        <v>4</v>
      </c>
      <c r="BF116" s="19"/>
      <c r="BG116" s="20"/>
    </row>
    <row r="117" spans="1:59" s="3" customFormat="1" ht="14.45" customHeight="1" x14ac:dyDescent="0.25">
      <c r="A117" s="49" t="s">
        <v>242</v>
      </c>
      <c r="B117" s="49" t="s">
        <v>243</v>
      </c>
      <c r="C117" s="49" t="s">
        <v>244</v>
      </c>
      <c r="D117" s="49" t="s">
        <v>245</v>
      </c>
      <c r="E117" s="22" t="str">
        <f>_xll.BDP(AX117,"SECURITY NAME")</f>
        <v>Drax Group PLC</v>
      </c>
      <c r="F117" s="22" t="str">
        <f>_xll.BDP(AX117,"CRNCY")</f>
        <v>GBp</v>
      </c>
      <c r="G117" s="23" t="s">
        <v>335</v>
      </c>
      <c r="H117" s="22" t="str" cm="1">
        <f t="array" ref="H117">IF(OR(_xll.BDP($AX117,"DX202")= "#N/A N/A", _xll.BDP($AX117,"DX202")="#N/A FIELD NOT APPLICABLE"), " ", _xll.BDP($AX117,"DX202"))</f>
        <v>Utilities</v>
      </c>
      <c r="I117" s="24">
        <f>_xll.BDP(AX117,"CRNCY_ADJ_MKT_CAP", "EQY_FUND_CRNCY=USD")/1000</f>
        <v>2.9393196205402137</v>
      </c>
      <c r="J117" s="25">
        <f>IFERROR(_xll.BDP(AX117, "DV013")/100,0)</f>
        <v>4.2105263157894736E-2</v>
      </c>
      <c r="K117" s="26" cm="1">
        <f t="array" ref="K117">IF(OR(_xll.BDP($AX117,"RR900")= "#N/A N/A", _xll.BDP($AX117,"RR900")="#N/A FIELD NOT APPLICABLE"), " ", _xll.BDP($AX117,"RR900"))</f>
        <v>4.4996629807079227</v>
      </c>
      <c r="L117" s="26" cm="1">
        <f t="array" ref="L117">IF(OR(_xll.BDP($AX117,"EE010")= "#N/A N/A", _xll.BDP($AX117,"EE010")="#N/A FIELD NOT APPLICABLE"), " ", _xll.BDP($AX117,"EE010"))</f>
        <v>8.4705075445816185</v>
      </c>
      <c r="M117" s="26" cm="1">
        <f t="array" ref="M117">IF(OR(_xll.BDP($AX117,"RR903")= "#N/A N/A", _xll.BDP($AX117,"RR903")="#N/A FIELD NOT APPLICABLE"), " ", _xll.BDP($AX117,"RR903"))</f>
        <v>1.0704806310475139</v>
      </c>
      <c r="N117" s="26" cm="1">
        <f t="array" ref="N117">IF(OR(_xll.BDP($AX117,"RR957")= "#N/A N/A", _xll.BDP($AX117,"RR957")="#N/A FIELD NOT APPLICABLE"), " ", _xll.BDP($AX117,"RR957"))</f>
        <v>2.8808951868589743</v>
      </c>
      <c r="O117" s="27">
        <v>7716</v>
      </c>
      <c r="P117" s="28">
        <v>6.4998500000000003</v>
      </c>
      <c r="Q117" s="22" cm="1">
        <f t="array" ref="Q117">IF(OR(_xll.BDP($AX117,"PX_last")="#N/A N/A",_xll.BDP($AX117,"PX_Last")="#N/A FIELD NOT APPLICABLE")," ",IF(F117="GBP",(_xll.BDP($AX117,"PX_LAST")/100),(_xll.BDP($AX117,"PX_LAST"))))</f>
        <v>6.1749999999999998</v>
      </c>
      <c r="R117" s="29">
        <f>IF(F117="USD",AA117,(((_xll.BDP(F117&amp;"USD CURNCY","PX_LAST")))*AA117))</f>
        <v>67039.304703419999</v>
      </c>
      <c r="S117" s="29">
        <f>IF(F117="USD",AB117,(((_xll.BDP(F117&amp;"USD CURNCY","PX_LAST")))*AB117))</f>
        <v>63688.809209999992</v>
      </c>
      <c r="T117" s="12">
        <f>S117-R117</f>
        <v>-3350.4954934200068</v>
      </c>
      <c r="U117" s="13">
        <f>T117/R117</f>
        <v>-4.9978076417148187E-2</v>
      </c>
      <c r="V117" s="13" cm="1">
        <f t="array" ref="V117">IFERROR(_xll.BDP($G117&amp;" Equity","CHG_PCT_1D")/100,"")</f>
        <v>1.9818329999999999E-2</v>
      </c>
      <c r="W117" s="13" cm="1">
        <f t="array" ref="W117">IFERROR(_xll.BDP($G117&amp;" Equity","CHG_PCT_5D")/100,"")</f>
        <v>2.4046430000000001E-2</v>
      </c>
      <c r="X117" s="13" t="e">
        <f>S117/#REF!</f>
        <v>#REF!</v>
      </c>
      <c r="Y117" s="24">
        <f>IFERROR(S117*J117,0)</f>
        <v>2681.6340719999998</v>
      </c>
      <c r="Z117" s="24">
        <f>S117</f>
        <v>63688.809209999992</v>
      </c>
      <c r="AA117" s="29">
        <f>P117*O117</f>
        <v>50152.842600000004</v>
      </c>
      <c r="AB117" s="29">
        <f>IFERROR(O117*Q117,0)</f>
        <v>47646.299999999996</v>
      </c>
      <c r="AC117" s="4" t="e" cm="1">
        <f t="array" ref="AC117">VLOOKUP(IF(NOT(_xll.BDP(AX117,$BW$8)="#N/A N/A"),(_xll.BDP(AX117,$BW$8)),"-"), '[1]Country Codes'!$A$2:$B$253,2,0)</f>
        <v>#N/A</v>
      </c>
      <c r="AD117" s="30" t="str" cm="1">
        <f t="array" ref="AD117">IF(OR(_xll.BDP($AX117,"EX028")= "#N/A N/A", _xll.BDP($AX117,"EX028")="#N/A FIELD NOT APPLICABLE"), " ", _xll.BDP($AX117,"EX028"))</f>
        <v>Equity</v>
      </c>
      <c r="AE117" s="31" t="str">
        <f>IF(("AS97"="Equity"), " ", "Single Line Equity")</f>
        <v>Single Line Equity</v>
      </c>
      <c r="AF117" s="26" cm="1">
        <f t="array" ref="AF117">IF(OR(_xll.BDP($AX117,"RR908")= "#N/A N/A", _xll.BDP($AX117,"RR908")="#N/A FIELD NOT APPLICABLE"), " ", _xll.BDP($AX117,"RR908"))</f>
        <v>2.746709803658788</v>
      </c>
      <c r="AG117" s="26" cm="1">
        <f t="array" ref="AG117">IF(OR(_xll.BDP($AX117,"RR041")= "#N/A N/A", _xll.BDP($AX117,"RR041")="#N/A FIELD NOT APPLICABLE"), " ", _xll.BDP($AX117,"RR041"))</f>
        <v>23.998812307463904</v>
      </c>
      <c r="AH117" s="22">
        <f>_xll.BDP(AX117,"TOT_BUY_REC")</f>
        <v>2</v>
      </c>
      <c r="AI117" s="22">
        <f>_xll.BDP(AX117,"TOT_HOLD_REC")</f>
        <v>2</v>
      </c>
      <c r="AJ117" s="22">
        <f>_xll.BDP(AX117,"TOT_SELL_REC")</f>
        <v>1</v>
      </c>
      <c r="AK117" s="26" cm="1">
        <f t="array" ref="AK117">IF(OR(_xll.BDP($AX117,"EE201")= "#N/A N/A", _xll.BDP($AX117,"EE201")="#N/A FIELD NOT APPLICABLE"), " ", _xll.BDP($AX117,"EE201"))</f>
        <v>3.4000000953674316</v>
      </c>
      <c r="AL117" s="24">
        <f>_xll.BDP(AX117,"BEST_TARGET_PRICE")</f>
        <v>773.79998779296875</v>
      </c>
      <c r="AM117" s="32">
        <f>(AL117/Q117)-1</f>
        <v>124.3117389138411</v>
      </c>
      <c r="AN117" s="32">
        <f>_xll.BDP(AX117,"PR061")/100</f>
        <v>7.3913039999999999E-2</v>
      </c>
      <c r="AO117" s="32">
        <f>_xll.BDP(AX117,"PR064")/100</f>
        <v>-5.6360710000000003E-3</v>
      </c>
      <c r="AP117" s="32">
        <f>_xll.BDP(AX117,"CHG_PCT_6M")/100</f>
        <v>-1.515152E-2</v>
      </c>
      <c r="AQ117" s="25">
        <f>_xll.BDP(AX117,"PR079")/100</f>
        <v>-4.7067899999999996E-2</v>
      </c>
      <c r="AR117" s="33">
        <f>_xll.BDP(AX117,"hs001")</f>
        <v>692</v>
      </c>
      <c r="AS117" s="33">
        <f>_xll.BDP(AX117,"hs002")</f>
        <v>481.4</v>
      </c>
      <c r="AT117" s="22" t="str" cm="1">
        <f t="array" ref="AT117">IF(OR(_xll.BDP($AX117,"DX202")= "#N/A N/A", _xll.BDP($AX117,"DX202")="#N/A FIELD NOT APPLICABLE"), " ", _xll.BDP($AX117,"DX202"))</f>
        <v>Utilities</v>
      </c>
      <c r="AU117" s="22" t="str" cm="1">
        <f t="array" ref="AU117">IF(OR(_xll.BDP($AX117,"DY997")= "#N/A N/A", _xll.BDP($AX117,"DY997")="#N/A FIELD NOT APPLICABLE"), " ", _xll.BDP($AX117,"DY997"))</f>
        <v>Y</v>
      </c>
      <c r="AV117" s="22" t="str" cm="1">
        <f t="array" ref="AV117">IF(OR(_xll.BDP($AX117,"DY784")= "#N/A N/A", _xll.BDP($AX117,"DY784")="#N/A FIELD NOT APPLICABLE"), " ", _xll.BDP($AX117,"DY784"))</f>
        <v>Y</v>
      </c>
      <c r="AW117" s="22" t="str">
        <f>IF(OR(AU117="Y",AV117="Y"),"Y","N")</f>
        <v>Y</v>
      </c>
      <c r="AX117" s="22" t="str">
        <f>CONCATENATE(G117," ",$AX$2)</f>
        <v>DRX LN Equity</v>
      </c>
      <c r="BC117" s="17" t="str" cm="1">
        <f t="array" ref="BC117">_xll.BDP(AX117,"ID005")</f>
        <v>GB00B1VNSX38</v>
      </c>
      <c r="BD117" s="17">
        <v>0.78990000000000005</v>
      </c>
      <c r="BE117" s="18">
        <v>4</v>
      </c>
      <c r="BF117" s="19"/>
      <c r="BG117" s="20"/>
    </row>
    <row r="118" spans="1:59" s="3" customFormat="1" ht="14.45" customHeight="1" x14ac:dyDescent="0.25">
      <c r="A118" s="49" t="s">
        <v>241</v>
      </c>
      <c r="B118" s="49" t="s">
        <v>249</v>
      </c>
      <c r="C118" s="49" t="s">
        <v>250</v>
      </c>
      <c r="D118" s="49" t="s">
        <v>240</v>
      </c>
      <c r="E118" s="22" t="str">
        <f>_xll.BDP(AX118,"SECURITY NAME")</f>
        <v>Drax Group PLC</v>
      </c>
      <c r="F118" s="22" t="str">
        <f>_xll.BDP(AX118,"CRNCY")</f>
        <v>GBp</v>
      </c>
      <c r="G118" s="23" t="s">
        <v>335</v>
      </c>
      <c r="H118" s="22" t="str" cm="1">
        <f t="array" ref="H118">IF(OR(_xll.BDP($AX118,"DX202")= "#N/A N/A", _xll.BDP($AX118,"DX202")="#N/A FIELD NOT APPLICABLE"), " ", _xll.BDP($AX118,"DX202"))</f>
        <v>Utilities</v>
      </c>
      <c r="I118" s="24">
        <f>_xll.BDP(AX118,"CRNCY_ADJ_MKT_CAP", "EQY_FUND_CRNCY=USD")/1000</f>
        <v>2.9393196205402137</v>
      </c>
      <c r="J118" s="25">
        <f>IFERROR(_xll.BDP(AX118, "DV013")/100,0)</f>
        <v>4.2105263157894736E-2</v>
      </c>
      <c r="K118" s="26" cm="1">
        <f t="array" ref="K118">IF(OR(_xll.BDP($AX118,"RR900")= "#N/A N/A", _xll.BDP($AX118,"RR900")="#N/A FIELD NOT APPLICABLE"), " ", _xll.BDP($AX118,"RR900"))</f>
        <v>4.4996629807079227</v>
      </c>
      <c r="L118" s="26" cm="1">
        <f t="array" ref="L118">IF(OR(_xll.BDP($AX118,"EE010")= "#N/A N/A", _xll.BDP($AX118,"EE010")="#N/A FIELD NOT APPLICABLE"), " ", _xll.BDP($AX118,"EE010"))</f>
        <v>8.4705075445816185</v>
      </c>
      <c r="M118" s="26" cm="1">
        <f t="array" ref="M118">IF(OR(_xll.BDP($AX118,"RR903")= "#N/A N/A", _xll.BDP($AX118,"RR903")="#N/A FIELD NOT APPLICABLE"), " ", _xll.BDP($AX118,"RR903"))</f>
        <v>1.0704806310475139</v>
      </c>
      <c r="N118" s="26" cm="1">
        <f t="array" ref="N118">IF(OR(_xll.BDP($AX118,"RR957")= "#N/A N/A", _xll.BDP($AX118,"RR957")="#N/A FIELD NOT APPLICABLE"), " ", _xll.BDP($AX118,"RR957"))</f>
        <v>2.8808951868589743</v>
      </c>
      <c r="O118" s="27">
        <v>6173</v>
      </c>
      <c r="P118" s="28">
        <v>6.4834199999999997</v>
      </c>
      <c r="Q118" s="22" cm="1">
        <f t="array" ref="Q118">IF(OR(_xll.BDP($AX118,"PX_last")="#N/A N/A",_xll.BDP($AX118,"PX_Last")="#N/A FIELD NOT APPLICABLE")," ",IF(F118="GBP",(_xll.BDP($AX118,"PX_LAST")/100),(_xll.BDP($AX118,"PX_LAST"))))</f>
        <v>6.1749999999999998</v>
      </c>
      <c r="R118" s="29">
        <f>IF(F118="USD",AA118,(((_xll.BDP(F118&amp;"USD CURNCY","PX_LAST")))*AA118))</f>
        <v>53497.610123921993</v>
      </c>
      <c r="S118" s="29">
        <f>IF(F118="USD",AB118,(((_xll.BDP(F118&amp;"USD CURNCY","PX_LAST")))*AB118))</f>
        <v>50952.6981925</v>
      </c>
      <c r="T118" s="12">
        <f>S118-R118</f>
        <v>-2544.9119314219934</v>
      </c>
      <c r="U118" s="13">
        <f>T118/R118</f>
        <v>-4.7570572321398157E-2</v>
      </c>
      <c r="V118" s="13" cm="1">
        <f t="array" ref="V118">IFERROR(_xll.BDP($G118&amp;" Equity","CHG_PCT_1D")/100,"")</f>
        <v>1.9818329999999999E-2</v>
      </c>
      <c r="W118" s="13" cm="1">
        <f t="array" ref="W118">IFERROR(_xll.BDP($G118&amp;" Equity","CHG_PCT_5D")/100,"")</f>
        <v>2.4046430000000001E-2</v>
      </c>
      <c r="X118" s="13" t="e">
        <f>S118/#REF!</f>
        <v>#REF!</v>
      </c>
      <c r="Y118" s="24">
        <f>IFERROR(S118*J118,0)</f>
        <v>2145.3767659999999</v>
      </c>
      <c r="Z118" s="24">
        <f>S118</f>
        <v>50952.6981925</v>
      </c>
      <c r="AA118" s="29">
        <f>P118*O118</f>
        <v>40022.151659999996</v>
      </c>
      <c r="AB118" s="29">
        <f>IFERROR(O118*Q118,0)</f>
        <v>38118.275000000001</v>
      </c>
      <c r="AC118" s="4" t="e" cm="1">
        <f t="array" ref="AC118">VLOOKUP(IF(NOT(_xll.BDP(AX118,$BW$8)="#N/A N/A"),(_xll.BDP(AX118,$BW$8)),"-"), '[1]Country Codes'!$A$2:$B$253,2,0)</f>
        <v>#N/A</v>
      </c>
      <c r="AD118" s="30" t="str" cm="1">
        <f t="array" ref="AD118">IF(OR(_xll.BDP($AX118,"EX028")= "#N/A N/A", _xll.BDP($AX118,"EX028")="#N/A FIELD NOT APPLICABLE"), " ", _xll.BDP($AX118,"EX028"))</f>
        <v>Equity</v>
      </c>
      <c r="AE118" s="31" t="str">
        <f>IF(("AS97"="Equity"), " ", "Single Line Equity")</f>
        <v>Single Line Equity</v>
      </c>
      <c r="AF118" s="26" cm="1">
        <f t="array" ref="AF118">IF(OR(_xll.BDP($AX118,"RR908")= "#N/A N/A", _xll.BDP($AX118,"RR908")="#N/A FIELD NOT APPLICABLE"), " ", _xll.BDP($AX118,"RR908"))</f>
        <v>2.746709803658788</v>
      </c>
      <c r="AG118" s="26" cm="1">
        <f t="array" ref="AG118">IF(OR(_xll.BDP($AX118,"RR041")= "#N/A N/A", _xll.BDP($AX118,"RR041")="#N/A FIELD NOT APPLICABLE"), " ", _xll.BDP($AX118,"RR041"))</f>
        <v>23.998812307463904</v>
      </c>
      <c r="AH118" s="22">
        <f>_xll.BDP(AX118,"TOT_BUY_REC")</f>
        <v>2</v>
      </c>
      <c r="AI118" s="22">
        <f>_xll.BDP(AX118,"TOT_HOLD_REC")</f>
        <v>2</v>
      </c>
      <c r="AJ118" s="22">
        <f>_xll.BDP(AX118,"TOT_SELL_REC")</f>
        <v>1</v>
      </c>
      <c r="AK118" s="26" cm="1">
        <f t="array" ref="AK118">IF(OR(_xll.BDP($AX118,"EE201")= "#N/A N/A", _xll.BDP($AX118,"EE201")="#N/A FIELD NOT APPLICABLE"), " ", _xll.BDP($AX118,"EE201"))</f>
        <v>3.4000000953674316</v>
      </c>
      <c r="AL118" s="24">
        <f>_xll.BDP(AX118,"BEST_TARGET_PRICE")</f>
        <v>773.79998779296875</v>
      </c>
      <c r="AM118" s="32">
        <f>(AL118/Q118)-1</f>
        <v>124.3117389138411</v>
      </c>
      <c r="AN118" s="32">
        <f>_xll.BDP(AX118,"PR061")/100</f>
        <v>7.3913039999999999E-2</v>
      </c>
      <c r="AO118" s="32">
        <f>_xll.BDP(AX118,"PR064")/100</f>
        <v>-5.6360710000000003E-3</v>
      </c>
      <c r="AP118" s="32">
        <f>_xll.BDP(AX118,"CHG_PCT_6M")/100</f>
        <v>-1.515152E-2</v>
      </c>
      <c r="AQ118" s="25">
        <f>_xll.BDP(AX118,"PR079")/100</f>
        <v>-4.7067899999999996E-2</v>
      </c>
      <c r="AR118" s="33">
        <f>_xll.BDP(AX118,"hs001")</f>
        <v>692</v>
      </c>
      <c r="AS118" s="33">
        <f>_xll.BDP(AX118,"hs002")</f>
        <v>481.4</v>
      </c>
      <c r="AT118" s="22" t="str" cm="1">
        <f t="array" ref="AT118">IF(OR(_xll.BDP($AX118,"DX202")= "#N/A N/A", _xll.BDP($AX118,"DX202")="#N/A FIELD NOT APPLICABLE"), " ", _xll.BDP($AX118,"DX202"))</f>
        <v>Utilities</v>
      </c>
      <c r="AU118" s="22" t="str" cm="1">
        <f t="array" ref="AU118">IF(OR(_xll.BDP($AX118,"DY997")= "#N/A N/A", _xll.BDP($AX118,"DY997")="#N/A FIELD NOT APPLICABLE"), " ", _xll.BDP($AX118,"DY997"))</f>
        <v>Y</v>
      </c>
      <c r="AV118" s="22" t="str" cm="1">
        <f t="array" ref="AV118">IF(OR(_xll.BDP($AX118,"DY784")= "#N/A N/A", _xll.BDP($AX118,"DY784")="#N/A FIELD NOT APPLICABLE"), " ", _xll.BDP($AX118,"DY784"))</f>
        <v>Y</v>
      </c>
      <c r="AW118" s="22" t="str">
        <f>IF(OR(AU118="Y",AV118="Y"),"Y","N")</f>
        <v>Y</v>
      </c>
      <c r="AX118" s="22" t="str">
        <f>CONCATENATE(G118," ",$AX$2)</f>
        <v>DRX LN Equity</v>
      </c>
      <c r="BC118" s="17" t="str" cm="1">
        <f t="array" ref="BC118">_xll.BDP(AX118,"ID005")</f>
        <v>GB00B1VNSX38</v>
      </c>
      <c r="BD118" s="17">
        <v>0.78990000000000005</v>
      </c>
      <c r="BE118" s="18">
        <v>4</v>
      </c>
      <c r="BF118" s="19"/>
      <c r="BG118" s="20"/>
    </row>
    <row r="119" spans="1:59" s="3" customFormat="1" ht="14.45" customHeight="1" x14ac:dyDescent="0.25">
      <c r="A119" s="49" t="s">
        <v>241</v>
      </c>
      <c r="B119" s="49" t="s">
        <v>251</v>
      </c>
      <c r="C119" s="49" t="s">
        <v>252</v>
      </c>
      <c r="D119" s="49" t="s">
        <v>240</v>
      </c>
      <c r="E119" s="22" t="str">
        <f>_xll.BDP(AX119,"SECURITY NAME")</f>
        <v>Drax Group PLC</v>
      </c>
      <c r="F119" s="22" t="str">
        <f>_xll.BDP(AX119,"CRNCY")</f>
        <v>GBp</v>
      </c>
      <c r="G119" s="23" t="s">
        <v>335</v>
      </c>
      <c r="H119" s="22" t="str" cm="1">
        <f t="array" ref="H119">IF(OR(_xll.BDP($AX119,"DX202")= "#N/A N/A", _xll.BDP($AX119,"DX202")="#N/A FIELD NOT APPLICABLE"), " ", _xll.BDP($AX119,"DX202"))</f>
        <v>Utilities</v>
      </c>
      <c r="I119" s="24">
        <f>_xll.BDP(AX119,"CRNCY_ADJ_MKT_CAP", "EQY_FUND_CRNCY=USD")/1000</f>
        <v>2.9393196205402137</v>
      </c>
      <c r="J119" s="25">
        <f>IFERROR(_xll.BDP(AX119, "DV013")/100,0)</f>
        <v>4.2105263157894736E-2</v>
      </c>
      <c r="K119" s="26" cm="1">
        <f t="array" ref="K119">IF(OR(_xll.BDP($AX119,"RR900")= "#N/A N/A", _xll.BDP($AX119,"RR900")="#N/A FIELD NOT APPLICABLE"), " ", _xll.BDP($AX119,"RR900"))</f>
        <v>4.4996629807079227</v>
      </c>
      <c r="L119" s="26" cm="1">
        <f t="array" ref="L119">IF(OR(_xll.BDP($AX119,"EE010")= "#N/A N/A", _xll.BDP($AX119,"EE010")="#N/A FIELD NOT APPLICABLE"), " ", _xll.BDP($AX119,"EE010"))</f>
        <v>8.4705075445816185</v>
      </c>
      <c r="M119" s="26" cm="1">
        <f t="array" ref="M119">IF(OR(_xll.BDP($AX119,"RR903")= "#N/A N/A", _xll.BDP($AX119,"RR903")="#N/A FIELD NOT APPLICABLE"), " ", _xll.BDP($AX119,"RR903"))</f>
        <v>1.0704806310475139</v>
      </c>
      <c r="N119" s="26" cm="1">
        <f t="array" ref="N119">IF(OR(_xll.BDP($AX119,"RR957")= "#N/A N/A", _xll.BDP($AX119,"RR957")="#N/A FIELD NOT APPLICABLE"), " ", _xll.BDP($AX119,"RR957"))</f>
        <v>2.8808951868589743</v>
      </c>
      <c r="O119" s="27">
        <v>7716</v>
      </c>
      <c r="P119" s="28">
        <v>6.4834199999999997</v>
      </c>
      <c r="Q119" s="22" cm="1">
        <f t="array" ref="Q119">IF(OR(_xll.BDP($AX119,"PX_last")="#N/A N/A",_xll.BDP($AX119,"PX_Last")="#N/A FIELD NOT APPLICABLE")," ",IF(F119="GBP",(_xll.BDP($AX119,"PX_LAST")/100),(_xll.BDP($AX119,"PX_LAST"))))</f>
        <v>6.1749999999999998</v>
      </c>
      <c r="R119" s="29">
        <f>IF(F119="USD",AA119,(((_xll.BDP(F119&amp;"USD CURNCY","PX_LAST")))*AA119))</f>
        <v>66869.846058023992</v>
      </c>
      <c r="S119" s="29">
        <f>IF(F119="USD",AB119,(((_xll.BDP(F119&amp;"USD CURNCY","PX_LAST")))*AB119))</f>
        <v>63688.809209999992</v>
      </c>
      <c r="T119" s="12">
        <f>S119-R119</f>
        <v>-3181.0368480239995</v>
      </c>
      <c r="U119" s="13">
        <f>T119/R119</f>
        <v>-4.7570572321398275E-2</v>
      </c>
      <c r="V119" s="13" cm="1">
        <f t="array" ref="V119">IFERROR(_xll.BDP($G119&amp;" Equity","CHG_PCT_1D")/100,"")</f>
        <v>1.9818329999999999E-2</v>
      </c>
      <c r="W119" s="13" cm="1">
        <f t="array" ref="W119">IFERROR(_xll.BDP($G119&amp;" Equity","CHG_PCT_5D")/100,"")</f>
        <v>2.4046430000000001E-2</v>
      </c>
      <c r="X119" s="13" t="e">
        <f>S119/#REF!</f>
        <v>#REF!</v>
      </c>
      <c r="Y119" s="24">
        <f>IFERROR(S119*J119,0)</f>
        <v>2681.6340719999998</v>
      </c>
      <c r="Z119" s="24">
        <f>S119</f>
        <v>63688.809209999992</v>
      </c>
      <c r="AA119" s="29">
        <f>P119*O119</f>
        <v>50026.068719999996</v>
      </c>
      <c r="AB119" s="29">
        <f>IFERROR(O119*Q119,0)</f>
        <v>47646.299999999996</v>
      </c>
      <c r="AC119" s="4" t="e" cm="1">
        <f t="array" ref="AC119">VLOOKUP(IF(NOT(_xll.BDP(AX119,$BW$8)="#N/A N/A"),(_xll.BDP(AX119,$BW$8)),"-"), '[1]Country Codes'!$A$2:$B$253,2,0)</f>
        <v>#N/A</v>
      </c>
      <c r="AD119" s="30" t="str" cm="1">
        <f t="array" ref="AD119">IF(OR(_xll.BDP($AX119,"EX028")= "#N/A N/A", _xll.BDP($AX119,"EX028")="#N/A FIELD NOT APPLICABLE"), " ", _xll.BDP($AX119,"EX028"))</f>
        <v>Equity</v>
      </c>
      <c r="AE119" s="31" t="str">
        <f>IF(("AS97"="Equity"), " ", "Single Line Equity")</f>
        <v>Single Line Equity</v>
      </c>
      <c r="AF119" s="26" cm="1">
        <f t="array" ref="AF119">IF(OR(_xll.BDP($AX119,"RR908")= "#N/A N/A", _xll.BDP($AX119,"RR908")="#N/A FIELD NOT APPLICABLE"), " ", _xll.BDP($AX119,"RR908"))</f>
        <v>2.746709803658788</v>
      </c>
      <c r="AG119" s="26" cm="1">
        <f t="array" ref="AG119">IF(OR(_xll.BDP($AX119,"RR041")= "#N/A N/A", _xll.BDP($AX119,"RR041")="#N/A FIELD NOT APPLICABLE"), " ", _xll.BDP($AX119,"RR041"))</f>
        <v>23.998812307463904</v>
      </c>
      <c r="AH119" s="22">
        <f>_xll.BDP(AX119,"TOT_BUY_REC")</f>
        <v>2</v>
      </c>
      <c r="AI119" s="22">
        <f>_xll.BDP(AX119,"TOT_HOLD_REC")</f>
        <v>2</v>
      </c>
      <c r="AJ119" s="22">
        <f>_xll.BDP(AX119,"TOT_SELL_REC")</f>
        <v>1</v>
      </c>
      <c r="AK119" s="26" cm="1">
        <f t="array" ref="AK119">IF(OR(_xll.BDP($AX119,"EE201")= "#N/A N/A", _xll.BDP($AX119,"EE201")="#N/A FIELD NOT APPLICABLE"), " ", _xll.BDP($AX119,"EE201"))</f>
        <v>3.4000000953674316</v>
      </c>
      <c r="AL119" s="24">
        <f>_xll.BDP(AX119,"BEST_TARGET_PRICE")</f>
        <v>773.79998779296875</v>
      </c>
      <c r="AM119" s="32">
        <f>(AL119/Q119)-1</f>
        <v>124.3117389138411</v>
      </c>
      <c r="AN119" s="32">
        <f>_xll.BDP(AX119,"PR061")/100</f>
        <v>7.3913039999999999E-2</v>
      </c>
      <c r="AO119" s="32">
        <f>_xll.BDP(AX119,"PR064")/100</f>
        <v>-5.6360710000000003E-3</v>
      </c>
      <c r="AP119" s="32">
        <f>_xll.BDP(AX119,"CHG_PCT_6M")/100</f>
        <v>-1.515152E-2</v>
      </c>
      <c r="AQ119" s="25">
        <f>_xll.BDP(AX119,"PR079")/100</f>
        <v>-4.7067899999999996E-2</v>
      </c>
      <c r="AR119" s="33">
        <f>_xll.BDP(AX119,"hs001")</f>
        <v>692</v>
      </c>
      <c r="AS119" s="33">
        <f>_xll.BDP(AX119,"hs002")</f>
        <v>481.4</v>
      </c>
      <c r="AT119" s="22" t="str" cm="1">
        <f t="array" ref="AT119">IF(OR(_xll.BDP($AX119,"DX202")= "#N/A N/A", _xll.BDP($AX119,"DX202")="#N/A FIELD NOT APPLICABLE"), " ", _xll.BDP($AX119,"DX202"))</f>
        <v>Utilities</v>
      </c>
      <c r="AU119" s="22" t="str" cm="1">
        <f t="array" ref="AU119">IF(OR(_xll.BDP($AX119,"DY997")= "#N/A N/A", _xll.BDP($AX119,"DY997")="#N/A FIELD NOT APPLICABLE"), " ", _xll.BDP($AX119,"DY997"))</f>
        <v>Y</v>
      </c>
      <c r="AV119" s="22" t="str" cm="1">
        <f t="array" ref="AV119">IF(OR(_xll.BDP($AX119,"DY784")= "#N/A N/A", _xll.BDP($AX119,"DY784")="#N/A FIELD NOT APPLICABLE"), " ", _xll.BDP($AX119,"DY784"))</f>
        <v>Y</v>
      </c>
      <c r="AW119" s="22" t="str">
        <f>IF(OR(AU119="Y",AV119="Y"),"Y","N")</f>
        <v>Y</v>
      </c>
      <c r="AX119" s="22" t="str">
        <f>CONCATENATE(G119," ",$AX$2)</f>
        <v>DRX LN Equity</v>
      </c>
      <c r="BC119" s="17" t="str" cm="1">
        <f t="array" ref="BC119">_xll.BDP(AX119,"ID005")</f>
        <v>GB00B1VNSX38</v>
      </c>
      <c r="BD119" s="17">
        <v>0.75</v>
      </c>
      <c r="BE119" s="18">
        <v>4</v>
      </c>
      <c r="BF119" s="19">
        <v>45611</v>
      </c>
      <c r="BG119" s="20">
        <v>1</v>
      </c>
    </row>
    <row r="120" spans="1:59" s="3" customFormat="1" ht="14.45" customHeight="1" x14ac:dyDescent="0.25">
      <c r="A120" s="49" t="s">
        <v>242</v>
      </c>
      <c r="B120" s="49" t="s">
        <v>264</v>
      </c>
      <c r="C120" s="49" t="s">
        <v>265</v>
      </c>
      <c r="D120" s="49" t="s">
        <v>248</v>
      </c>
      <c r="E120" s="22" t="str">
        <f>_xll.BDP(AX120,"SECURITY NAME")</f>
        <v>Drax Group PLC</v>
      </c>
      <c r="F120" s="22" t="str">
        <f>_xll.BDP(AX120,"CRNCY")</f>
        <v>GBp</v>
      </c>
      <c r="G120" s="23" t="s">
        <v>335</v>
      </c>
      <c r="H120" s="22" t="str" cm="1">
        <f t="array" ref="H120">IF(OR(_xll.BDP($AX120,"DX202")= "#N/A N/A", _xll.BDP($AX120,"DX202")="#N/A FIELD NOT APPLICABLE"), " ", _xll.BDP($AX120,"DX202"))</f>
        <v>Utilities</v>
      </c>
      <c r="I120" s="24">
        <f>_xll.BDP(AX120,"CRNCY_ADJ_MKT_CAP", "EQY_FUND_CRNCY=USD")/1000</f>
        <v>2.9393196205402137</v>
      </c>
      <c r="J120" s="25">
        <f>IFERROR(_xll.BDP(AX120, "DV013")/100,0)</f>
        <v>4.2105263157894736E-2</v>
      </c>
      <c r="K120" s="26" cm="1">
        <f t="array" ref="K120">IF(OR(_xll.BDP($AX120,"RR900")= "#N/A N/A", _xll.BDP($AX120,"RR900")="#N/A FIELD NOT APPLICABLE"), " ", _xll.BDP($AX120,"RR900"))</f>
        <v>4.4996629807079227</v>
      </c>
      <c r="L120" s="26" cm="1">
        <f t="array" ref="L120">IF(OR(_xll.BDP($AX120,"EE010")= "#N/A N/A", _xll.BDP($AX120,"EE010")="#N/A FIELD NOT APPLICABLE"), " ", _xll.BDP($AX120,"EE010"))</f>
        <v>8.4705075445816185</v>
      </c>
      <c r="M120" s="26" cm="1">
        <f t="array" ref="M120">IF(OR(_xll.BDP($AX120,"RR903")= "#N/A N/A", _xll.BDP($AX120,"RR903")="#N/A FIELD NOT APPLICABLE"), " ", _xll.BDP($AX120,"RR903"))</f>
        <v>1.0704806310475139</v>
      </c>
      <c r="N120" s="26" cm="1">
        <f t="array" ref="N120">IF(OR(_xll.BDP($AX120,"RR957")= "#N/A N/A", _xll.BDP($AX120,"RR957")="#N/A FIELD NOT APPLICABLE"), " ", _xll.BDP($AX120,"RR957"))</f>
        <v>2.8808951868589743</v>
      </c>
      <c r="O120" s="27">
        <v>11574</v>
      </c>
      <c r="P120" s="28">
        <v>6.54</v>
      </c>
      <c r="Q120" s="22" cm="1">
        <f t="array" ref="Q120">IF(OR(_xll.BDP($AX120,"PX_last")="#N/A N/A",_xll.BDP($AX120,"PX_Last")="#N/A FIELD NOT APPLICABLE")," ",IF(F120="GBP",(_xll.BDP($AX120,"PX_LAST")/100),(_xll.BDP($AX120,"PX_LAST"))))</f>
        <v>6.1749999999999998</v>
      </c>
      <c r="R120" s="29">
        <f>IF(F120="USD",AA120,(((_xll.BDP(F120&amp;"USD CURNCY","PX_LAST")))*AA120))</f>
        <v>101180.11633200001</v>
      </c>
      <c r="S120" s="29">
        <f>IF(F120="USD",AB120,(((_xll.BDP(F120&amp;"USD CURNCY","PX_LAST")))*AB120))</f>
        <v>95533.213814999996</v>
      </c>
      <c r="T120" s="12">
        <f>S120-R120</f>
        <v>-5646.9025170000095</v>
      </c>
      <c r="U120" s="13">
        <f>T120/R120</f>
        <v>-5.5810397553516911E-2</v>
      </c>
      <c r="V120" s="13" cm="1">
        <f t="array" ref="V120">IFERROR(_xll.BDP($G120&amp;" Equity","CHG_PCT_1D")/100,"")</f>
        <v>1.9818329999999999E-2</v>
      </c>
      <c r="W120" s="13" cm="1">
        <f t="array" ref="W120">IFERROR(_xll.BDP($G120&amp;" Equity","CHG_PCT_5D")/100,"")</f>
        <v>2.4046430000000001E-2</v>
      </c>
      <c r="X120" s="13" t="e">
        <f>S120/#REF!</f>
        <v>#REF!</v>
      </c>
      <c r="Y120" s="24">
        <f>IFERROR(S120*J120,0)</f>
        <v>4022.4511079999997</v>
      </c>
      <c r="Z120" s="24">
        <f>S120</f>
        <v>95533.213814999996</v>
      </c>
      <c r="AA120" s="29">
        <f>P120*O120</f>
        <v>75693.960000000006</v>
      </c>
      <c r="AB120" s="29">
        <f>IFERROR(O120*Q120,0)</f>
        <v>71469.45</v>
      </c>
      <c r="AC120" s="4" t="e" cm="1">
        <f t="array" ref="AC120">VLOOKUP(IF(NOT(_xll.BDP(AX120,$BW$8)="#N/A N/A"),(_xll.BDP(AX120,$BW$8)),"-"), '[1]Country Codes'!$A$2:$B$253,2,0)</f>
        <v>#N/A</v>
      </c>
      <c r="AD120" s="30" t="str" cm="1">
        <f t="array" ref="AD120">IF(OR(_xll.BDP($AX120,"EX028")= "#N/A N/A", _xll.BDP($AX120,"EX028")="#N/A FIELD NOT APPLICABLE"), " ", _xll.BDP($AX120,"EX028"))</f>
        <v>Equity</v>
      </c>
      <c r="AE120" s="31" t="str">
        <f>IF(("AS97"="Equity"), " ", "Single Line Equity")</f>
        <v>Single Line Equity</v>
      </c>
      <c r="AF120" s="26" cm="1">
        <f t="array" ref="AF120">IF(OR(_xll.BDP($AX120,"RR908")= "#N/A N/A", _xll.BDP($AX120,"RR908")="#N/A FIELD NOT APPLICABLE"), " ", _xll.BDP($AX120,"RR908"))</f>
        <v>2.746709803658788</v>
      </c>
      <c r="AG120" s="26" cm="1">
        <f t="array" ref="AG120">IF(OR(_xll.BDP($AX120,"RR041")= "#N/A N/A", _xll.BDP($AX120,"RR041")="#N/A FIELD NOT APPLICABLE"), " ", _xll.BDP($AX120,"RR041"))</f>
        <v>23.998812307463904</v>
      </c>
      <c r="AH120" s="22">
        <f>_xll.BDP(AX120,"TOT_BUY_REC")</f>
        <v>2</v>
      </c>
      <c r="AI120" s="22">
        <f>_xll.BDP(AX120,"TOT_HOLD_REC")</f>
        <v>2</v>
      </c>
      <c r="AJ120" s="22">
        <f>_xll.BDP(AX120,"TOT_SELL_REC")</f>
        <v>1</v>
      </c>
      <c r="AK120" s="26" cm="1">
        <f t="array" ref="AK120">IF(OR(_xll.BDP($AX120,"EE201")= "#N/A N/A", _xll.BDP($AX120,"EE201")="#N/A FIELD NOT APPLICABLE"), " ", _xll.BDP($AX120,"EE201"))</f>
        <v>3.4000000953674316</v>
      </c>
      <c r="AL120" s="24">
        <f>_xll.BDP(AX120,"BEST_TARGET_PRICE")</f>
        <v>773.79998779296875</v>
      </c>
      <c r="AM120" s="32">
        <f>(AL120/Q120)-1</f>
        <v>124.3117389138411</v>
      </c>
      <c r="AN120" s="32">
        <f>_xll.BDP(AX120,"PR061")/100</f>
        <v>7.3913039999999999E-2</v>
      </c>
      <c r="AO120" s="32">
        <f>_xll.BDP(AX120,"PR064")/100</f>
        <v>-5.6360710000000003E-3</v>
      </c>
      <c r="AP120" s="32">
        <f>_xll.BDP(AX120,"CHG_PCT_6M")/100</f>
        <v>-1.515152E-2</v>
      </c>
      <c r="AQ120" s="25">
        <f>_xll.BDP(AX120,"PR079")/100</f>
        <v>-4.7067899999999996E-2</v>
      </c>
      <c r="AR120" s="33">
        <f>_xll.BDP(AX120,"hs001")</f>
        <v>692</v>
      </c>
      <c r="AS120" s="33">
        <f>_xll.BDP(AX120,"hs002")</f>
        <v>481.4</v>
      </c>
      <c r="AT120" s="22" t="str" cm="1">
        <f t="array" ref="AT120">IF(OR(_xll.BDP($AX120,"DX202")= "#N/A N/A", _xll.BDP($AX120,"DX202")="#N/A FIELD NOT APPLICABLE"), " ", _xll.BDP($AX120,"DX202"))</f>
        <v>Utilities</v>
      </c>
      <c r="AU120" s="22" t="str" cm="1">
        <f t="array" ref="AU120">IF(OR(_xll.BDP($AX120,"DY997")= "#N/A N/A", _xll.BDP($AX120,"DY997")="#N/A FIELD NOT APPLICABLE"), " ", _xll.BDP($AX120,"DY997"))</f>
        <v>Y</v>
      </c>
      <c r="AV120" s="22" t="str" cm="1">
        <f t="array" ref="AV120">IF(OR(_xll.BDP($AX120,"DY784")= "#N/A N/A", _xll.BDP($AX120,"DY784")="#N/A FIELD NOT APPLICABLE"), " ", _xll.BDP($AX120,"DY784"))</f>
        <v>Y</v>
      </c>
      <c r="AW120" s="22" t="str">
        <f>IF(OR(AU120="Y",AV120="Y"),"Y","N")</f>
        <v>Y</v>
      </c>
      <c r="AX120" s="22" t="str">
        <f>CONCATENATE(G120," ",$AX$2)</f>
        <v>DRX LN Equity</v>
      </c>
      <c r="BC120" s="17" t="str" cm="1">
        <f t="array" ref="BC120">_xll.BDP(AX120,"ID005")</f>
        <v>GB00B1VNSX38</v>
      </c>
      <c r="BD120" s="17">
        <v>0.7</v>
      </c>
      <c r="BE120" s="18">
        <v>4</v>
      </c>
      <c r="BF120" s="19">
        <v>45562</v>
      </c>
      <c r="BG120" s="20">
        <v>1</v>
      </c>
    </row>
    <row r="121" spans="1:59" s="3" customFormat="1" ht="14.45" customHeight="1" x14ac:dyDescent="0.25">
      <c r="A121" s="49" t="s">
        <v>241</v>
      </c>
      <c r="B121" s="49" t="s">
        <v>266</v>
      </c>
      <c r="C121" s="49" t="s">
        <v>267</v>
      </c>
      <c r="D121" s="49" t="s">
        <v>240</v>
      </c>
      <c r="E121" s="22" t="str">
        <f>_xll.BDP(AX121,"SECURITY NAME")</f>
        <v>Drax Group PLC</v>
      </c>
      <c r="F121" s="22" t="str">
        <f>_xll.BDP(AX121,"CRNCY")</f>
        <v>GBp</v>
      </c>
      <c r="G121" s="23" t="s">
        <v>335</v>
      </c>
      <c r="H121" s="22" t="str" cm="1">
        <f t="array" ref="H121">IF(OR(_xll.BDP($AX121,"DX202")= "#N/A N/A", _xll.BDP($AX121,"DX202")="#N/A FIELD NOT APPLICABLE"), " ", _xll.BDP($AX121,"DX202"))</f>
        <v>Utilities</v>
      </c>
      <c r="I121" s="24">
        <f>_xll.BDP(AX121,"CRNCY_ADJ_MKT_CAP", "EQY_FUND_CRNCY=USD")/1000</f>
        <v>2.9393196205402137</v>
      </c>
      <c r="J121" s="25">
        <f>IFERROR(_xll.BDP(AX121, "DV013")/100,0)</f>
        <v>4.2105263157894736E-2</v>
      </c>
      <c r="K121" s="26" cm="1">
        <f t="array" ref="K121">IF(OR(_xll.BDP($AX121,"RR900")= "#N/A N/A", _xll.BDP($AX121,"RR900")="#N/A FIELD NOT APPLICABLE"), " ", _xll.BDP($AX121,"RR900"))</f>
        <v>4.4996629807079227</v>
      </c>
      <c r="L121" s="26" cm="1">
        <f t="array" ref="L121">IF(OR(_xll.BDP($AX121,"EE010")= "#N/A N/A", _xll.BDP($AX121,"EE010")="#N/A FIELD NOT APPLICABLE"), " ", _xll.BDP($AX121,"EE010"))</f>
        <v>8.4705075445816185</v>
      </c>
      <c r="M121" s="26" cm="1">
        <f t="array" ref="M121">IF(OR(_xll.BDP($AX121,"RR903")= "#N/A N/A", _xll.BDP($AX121,"RR903")="#N/A FIELD NOT APPLICABLE"), " ", _xll.BDP($AX121,"RR903"))</f>
        <v>1.0704806310475139</v>
      </c>
      <c r="N121" s="26" cm="1">
        <f t="array" ref="N121">IF(OR(_xll.BDP($AX121,"RR957")= "#N/A N/A", _xll.BDP($AX121,"RR957")="#N/A FIELD NOT APPLICABLE"), " ", _xll.BDP($AX121,"RR957"))</f>
        <v>2.8808951868589743</v>
      </c>
      <c r="O121" s="27">
        <v>6173</v>
      </c>
      <c r="P121" s="76">
        <v>6.4834199999999997</v>
      </c>
      <c r="Q121" s="22" cm="1">
        <f t="array" ref="Q121">IF(OR(_xll.BDP($AX121,"PX_last")="#N/A N/A",_xll.BDP($AX121,"PX_Last")="#N/A FIELD NOT APPLICABLE")," ",IF(F121="GBP",(_xll.BDP($AX121,"PX_LAST")/100),(_xll.BDP($AX121,"PX_LAST"))))</f>
        <v>6.1749999999999998</v>
      </c>
      <c r="R121" s="29">
        <f>IF(F121="USD",AA121,(((_xll.BDP(F121&amp;"USD CURNCY","PX_LAST")))*AA121))</f>
        <v>53497.610123921993</v>
      </c>
      <c r="S121" s="29">
        <f>IF(F121="USD",AB121,(((_xll.BDP(F121&amp;"USD CURNCY","PX_LAST")))*AB121))</f>
        <v>50952.6981925</v>
      </c>
      <c r="T121" s="12">
        <f>S121-R121</f>
        <v>-2544.9119314219934</v>
      </c>
      <c r="U121" s="13">
        <f>T121/R121</f>
        <v>-4.7570572321398157E-2</v>
      </c>
      <c r="V121" s="13" cm="1">
        <f t="array" ref="V121">IFERROR(_xll.BDP($G121&amp;" Equity","CHG_PCT_1D")/100,"")</f>
        <v>1.9818329999999999E-2</v>
      </c>
      <c r="W121" s="13" cm="1">
        <f t="array" ref="W121">IFERROR(_xll.BDP($G121&amp;" Equity","CHG_PCT_5D")/100,"")</f>
        <v>2.4046430000000001E-2</v>
      </c>
      <c r="X121" s="13" t="e">
        <f>S121/#REF!</f>
        <v>#REF!</v>
      </c>
      <c r="Y121" s="24">
        <f>IFERROR(S121*J121,0)</f>
        <v>2145.3767659999999</v>
      </c>
      <c r="Z121" s="24">
        <f>S121</f>
        <v>50952.6981925</v>
      </c>
      <c r="AA121" s="29">
        <f>P121*O121</f>
        <v>40022.151659999996</v>
      </c>
      <c r="AB121" s="29">
        <f>IFERROR(O121*Q121,0)</f>
        <v>38118.275000000001</v>
      </c>
      <c r="AC121" s="4" t="e" cm="1">
        <f t="array" ref="AC121">VLOOKUP(IF(NOT(_xll.BDP(AX121,$BW$8)="#N/A N/A"),(_xll.BDP(AX121,$BW$8)),"-"), '[1]Country Codes'!$A$2:$B$253,2,0)</f>
        <v>#N/A</v>
      </c>
      <c r="AD121" s="30" t="str" cm="1">
        <f t="array" ref="AD121">IF(OR(_xll.BDP($AX121,"EX028")= "#N/A N/A", _xll.BDP($AX121,"EX028")="#N/A FIELD NOT APPLICABLE"), " ", _xll.BDP($AX121,"EX028"))</f>
        <v>Equity</v>
      </c>
      <c r="AE121" s="31" t="str">
        <f>IF(("AS97"="Equity"), " ", "Single Line Equity")</f>
        <v>Single Line Equity</v>
      </c>
      <c r="AF121" s="26" cm="1">
        <f t="array" ref="AF121">IF(OR(_xll.BDP($AX121,"RR908")= "#N/A N/A", _xll.BDP($AX121,"RR908")="#N/A FIELD NOT APPLICABLE"), " ", _xll.BDP($AX121,"RR908"))</f>
        <v>2.746709803658788</v>
      </c>
      <c r="AG121" s="26" cm="1">
        <f t="array" ref="AG121">IF(OR(_xll.BDP($AX121,"RR041")= "#N/A N/A", _xll.BDP($AX121,"RR041")="#N/A FIELD NOT APPLICABLE"), " ", _xll.BDP($AX121,"RR041"))</f>
        <v>23.998812307463904</v>
      </c>
      <c r="AH121" s="22">
        <f>_xll.BDP(AX121,"TOT_BUY_REC")</f>
        <v>2</v>
      </c>
      <c r="AI121" s="22">
        <f>_xll.BDP(AX121,"TOT_HOLD_REC")</f>
        <v>2</v>
      </c>
      <c r="AJ121" s="22">
        <f>_xll.BDP(AX121,"TOT_SELL_REC")</f>
        <v>1</v>
      </c>
      <c r="AK121" s="26" cm="1">
        <f t="array" ref="AK121">IF(OR(_xll.BDP($AX121,"EE201")= "#N/A N/A", _xll.BDP($AX121,"EE201")="#N/A FIELD NOT APPLICABLE"), " ", _xll.BDP($AX121,"EE201"))</f>
        <v>3.4000000953674316</v>
      </c>
      <c r="AL121" s="24">
        <f>_xll.BDP(AX121,"BEST_TARGET_PRICE")</f>
        <v>773.79998779296875</v>
      </c>
      <c r="AM121" s="32">
        <f>(AL121/Q121)-1</f>
        <v>124.3117389138411</v>
      </c>
      <c r="AN121" s="32">
        <f>_xll.BDP(AX121,"PR061")/100</f>
        <v>7.3913039999999999E-2</v>
      </c>
      <c r="AO121" s="32">
        <f>_xll.BDP(AX121,"PR064")/100</f>
        <v>-5.6360710000000003E-3</v>
      </c>
      <c r="AP121" s="32">
        <f>_xll.BDP(AX121,"CHG_PCT_6M")/100</f>
        <v>-1.515152E-2</v>
      </c>
      <c r="AQ121" s="25">
        <f>_xll.BDP(AX121,"PR079")/100</f>
        <v>-4.7067899999999996E-2</v>
      </c>
      <c r="AR121" s="33">
        <f>_xll.BDP(AX121,"hs001")</f>
        <v>692</v>
      </c>
      <c r="AS121" s="33">
        <f>_xll.BDP(AX121,"hs002")</f>
        <v>481.4</v>
      </c>
      <c r="AT121" s="22" t="str" cm="1">
        <f t="array" ref="AT121">IF(OR(_xll.BDP($AX121,"DX202")= "#N/A N/A", _xll.BDP($AX121,"DX202")="#N/A FIELD NOT APPLICABLE"), " ", _xll.BDP($AX121,"DX202"))</f>
        <v>Utilities</v>
      </c>
      <c r="AU121" s="22" t="str" cm="1">
        <f t="array" ref="AU121">IF(OR(_xll.BDP($AX121,"DY997")= "#N/A N/A", _xll.BDP($AX121,"DY997")="#N/A FIELD NOT APPLICABLE"), " ", _xll.BDP($AX121,"DY997"))</f>
        <v>Y</v>
      </c>
      <c r="AV121" s="22" t="str" cm="1">
        <f t="array" ref="AV121">IF(OR(_xll.BDP($AX121,"DY784")= "#N/A N/A", _xll.BDP($AX121,"DY784")="#N/A FIELD NOT APPLICABLE"), " ", _xll.BDP($AX121,"DY784"))</f>
        <v>Y</v>
      </c>
      <c r="AW121" s="22" t="str">
        <f>IF(OR(AU121="Y",AV121="Y"),"Y","N")</f>
        <v>Y</v>
      </c>
      <c r="AX121" s="22" t="str">
        <f>CONCATENATE(G121," ",$AX$2)</f>
        <v>DRX LN Equity</v>
      </c>
      <c r="BC121" s="17" t="str" cm="1">
        <f t="array" ref="BC121">_xll.BDP(AX121,"ID005")</f>
        <v>GB00B1VNSX38</v>
      </c>
      <c r="BD121" s="17">
        <v>0.7</v>
      </c>
      <c r="BE121" s="18">
        <v>4</v>
      </c>
      <c r="BF121" s="19">
        <v>45562</v>
      </c>
      <c r="BG121" s="20">
        <v>1</v>
      </c>
    </row>
    <row r="122" spans="1:59" s="3" customFormat="1" ht="14.45" customHeight="1" x14ac:dyDescent="0.25">
      <c r="A122" s="49" t="s">
        <v>241</v>
      </c>
      <c r="B122" s="49" t="s">
        <v>270</v>
      </c>
      <c r="C122" s="49" t="s">
        <v>271</v>
      </c>
      <c r="D122" s="49" t="s">
        <v>240</v>
      </c>
      <c r="E122" s="22" t="str">
        <f>_xll.BDP(AX122,"SECURITY NAME")</f>
        <v>Drax Group PLC</v>
      </c>
      <c r="F122" s="22" t="str">
        <f>_xll.BDP(AX122,"CRNCY")</f>
        <v>GBp</v>
      </c>
      <c r="G122" s="23" t="s">
        <v>335</v>
      </c>
      <c r="H122" s="22" t="str" cm="1">
        <f t="array" ref="H122">IF(OR(_xll.BDP($AX122,"DX202")= "#N/A N/A", _xll.BDP($AX122,"DX202")="#N/A FIELD NOT APPLICABLE"), " ", _xll.BDP($AX122,"DX202"))</f>
        <v>Utilities</v>
      </c>
      <c r="I122" s="24">
        <f>_xll.BDP(AX122,"CRNCY_ADJ_MKT_CAP", "EQY_FUND_CRNCY=USD")/1000</f>
        <v>2.9393196205402137</v>
      </c>
      <c r="J122" s="25">
        <f>IFERROR(_xll.BDP(AX122, "DV013")/100,0)</f>
        <v>4.2105263157894736E-2</v>
      </c>
      <c r="K122" s="26" cm="1">
        <f t="array" ref="K122">IF(OR(_xll.BDP($AX122,"RR900")= "#N/A N/A", _xll.BDP($AX122,"RR900")="#N/A FIELD NOT APPLICABLE"), " ", _xll.BDP($AX122,"RR900"))</f>
        <v>4.4996629807079227</v>
      </c>
      <c r="L122" s="26" cm="1">
        <f t="array" ref="L122">IF(OR(_xll.BDP($AX122,"EE010")= "#N/A N/A", _xll.BDP($AX122,"EE010")="#N/A FIELD NOT APPLICABLE"), " ", _xll.BDP($AX122,"EE010"))</f>
        <v>8.4705075445816185</v>
      </c>
      <c r="M122" s="26" cm="1">
        <f t="array" ref="M122">IF(OR(_xll.BDP($AX122,"RR903")= "#N/A N/A", _xll.BDP($AX122,"RR903")="#N/A FIELD NOT APPLICABLE"), " ", _xll.BDP($AX122,"RR903"))</f>
        <v>1.0704806310475139</v>
      </c>
      <c r="N122" s="26" cm="1">
        <f t="array" ref="N122">IF(OR(_xll.BDP($AX122,"RR957")= "#N/A N/A", _xll.BDP($AX122,"RR957")="#N/A FIELD NOT APPLICABLE"), " ", _xll.BDP($AX122,"RR957"))</f>
        <v>2.8808951868589743</v>
      </c>
      <c r="O122" s="27">
        <v>7716</v>
      </c>
      <c r="P122" s="28">
        <v>6.4834199999999997</v>
      </c>
      <c r="Q122" s="22" cm="1">
        <f t="array" ref="Q122">IF(OR(_xll.BDP($AX122,"PX_last")="#N/A N/A",_xll.BDP($AX122,"PX_Last")="#N/A FIELD NOT APPLICABLE")," ",IF(F122="GBP",(_xll.BDP($AX122,"PX_LAST")/100),(_xll.BDP($AX122,"PX_LAST"))))</f>
        <v>6.1749999999999998</v>
      </c>
      <c r="R122" s="29">
        <f>IF(F122="USD",AA122,(((_xll.BDP(F122&amp;"USD CURNCY","PX_LAST")))*AA122))</f>
        <v>66869.846058023992</v>
      </c>
      <c r="S122" s="29">
        <f>IF(F122="USD",AB122,(((_xll.BDP(F122&amp;"USD CURNCY","PX_LAST")))*AB122))</f>
        <v>63688.809209999992</v>
      </c>
      <c r="T122" s="12">
        <f>S122-R122</f>
        <v>-3181.0368480239995</v>
      </c>
      <c r="U122" s="13">
        <f>T122/R122</f>
        <v>-4.7570572321398275E-2</v>
      </c>
      <c r="V122" s="13" cm="1">
        <f t="array" ref="V122">IFERROR(_xll.BDP($G122&amp;" Equity","CHG_PCT_1D")/100,"")</f>
        <v>1.9818329999999999E-2</v>
      </c>
      <c r="W122" s="13" cm="1">
        <f t="array" ref="W122">IFERROR(_xll.BDP($G122&amp;" Equity","CHG_PCT_5D")/100,"")</f>
        <v>2.4046430000000001E-2</v>
      </c>
      <c r="X122" s="13" t="e">
        <f>S122/#REF!</f>
        <v>#REF!</v>
      </c>
      <c r="Y122" s="24">
        <f>IFERROR(S122*J122,0)</f>
        <v>2681.6340719999998</v>
      </c>
      <c r="Z122" s="24">
        <f>S122</f>
        <v>63688.809209999992</v>
      </c>
      <c r="AA122" s="29">
        <f>P122*O122</f>
        <v>50026.068719999996</v>
      </c>
      <c r="AB122" s="29">
        <f>IFERROR(O122*Q122,0)</f>
        <v>47646.299999999996</v>
      </c>
      <c r="AC122" s="4" t="e" cm="1">
        <f t="array" ref="AC122">VLOOKUP(IF(NOT(_xll.BDP(AX122,$BW$8)="#N/A N/A"),(_xll.BDP(AX122,$BW$8)),"-"), '[1]Country Codes'!$A$2:$B$253,2,0)</f>
        <v>#N/A</v>
      </c>
      <c r="AD122" s="30" t="str" cm="1">
        <f t="array" ref="AD122">IF(OR(_xll.BDP($AX122,"EX028")= "#N/A N/A", _xll.BDP($AX122,"EX028")="#N/A FIELD NOT APPLICABLE"), " ", _xll.BDP($AX122,"EX028"))</f>
        <v>Equity</v>
      </c>
      <c r="AE122" s="31" t="str">
        <f>IF(("AS97"="Equity"), " ", "Single Line Equity")</f>
        <v>Single Line Equity</v>
      </c>
      <c r="AF122" s="26" cm="1">
        <f t="array" ref="AF122">IF(OR(_xll.BDP($AX122,"RR908")= "#N/A N/A", _xll.BDP($AX122,"RR908")="#N/A FIELD NOT APPLICABLE"), " ", _xll.BDP($AX122,"RR908"))</f>
        <v>2.746709803658788</v>
      </c>
      <c r="AG122" s="26" cm="1">
        <f t="array" ref="AG122">IF(OR(_xll.BDP($AX122,"RR041")= "#N/A N/A", _xll.BDP($AX122,"RR041")="#N/A FIELD NOT APPLICABLE"), " ", _xll.BDP($AX122,"RR041"))</f>
        <v>23.998812307463904</v>
      </c>
      <c r="AH122" s="22">
        <f>_xll.BDP(AX122,"TOT_BUY_REC")</f>
        <v>2</v>
      </c>
      <c r="AI122" s="22">
        <f>_xll.BDP(AX122,"TOT_HOLD_REC")</f>
        <v>2</v>
      </c>
      <c r="AJ122" s="22">
        <f>_xll.BDP(AX122,"TOT_SELL_REC")</f>
        <v>1</v>
      </c>
      <c r="AK122" s="26" cm="1">
        <f t="array" ref="AK122">IF(OR(_xll.BDP($AX122,"EE201")= "#N/A N/A", _xll.BDP($AX122,"EE201")="#N/A FIELD NOT APPLICABLE"), " ", _xll.BDP($AX122,"EE201"))</f>
        <v>3.4000000953674316</v>
      </c>
      <c r="AL122" s="24">
        <f>_xll.BDP(AX122,"BEST_TARGET_PRICE")</f>
        <v>773.79998779296875</v>
      </c>
      <c r="AM122" s="32">
        <f>(AL122/Q122)-1</f>
        <v>124.3117389138411</v>
      </c>
      <c r="AN122" s="32">
        <f>_xll.BDP(AX122,"PR061")/100</f>
        <v>7.3913039999999999E-2</v>
      </c>
      <c r="AO122" s="32">
        <f>_xll.BDP(AX122,"PR064")/100</f>
        <v>-5.6360710000000003E-3</v>
      </c>
      <c r="AP122" s="32">
        <f>_xll.BDP(AX122,"CHG_PCT_6M")/100</f>
        <v>-1.515152E-2</v>
      </c>
      <c r="AQ122" s="25">
        <f>_xll.BDP(AX122,"PR079")/100</f>
        <v>-4.7067899999999996E-2</v>
      </c>
      <c r="AR122" s="33">
        <f>_xll.BDP(AX122,"hs001")</f>
        <v>692</v>
      </c>
      <c r="AS122" s="33">
        <f>_xll.BDP(AX122,"hs002")</f>
        <v>481.4</v>
      </c>
      <c r="AT122" s="22" t="str" cm="1">
        <f t="array" ref="AT122">IF(OR(_xll.BDP($AX122,"DX202")= "#N/A N/A", _xll.BDP($AX122,"DX202")="#N/A FIELD NOT APPLICABLE"), " ", _xll.BDP($AX122,"DX202"))</f>
        <v>Utilities</v>
      </c>
      <c r="AU122" s="22" t="str" cm="1">
        <f t="array" ref="AU122">IF(OR(_xll.BDP($AX122,"DY997")= "#N/A N/A", _xll.BDP($AX122,"DY997")="#N/A FIELD NOT APPLICABLE"), " ", _xll.BDP($AX122,"DY997"))</f>
        <v>Y</v>
      </c>
      <c r="AV122" s="22" t="str" cm="1">
        <f t="array" ref="AV122">IF(OR(_xll.BDP($AX122,"DY784")= "#N/A N/A", _xll.BDP($AX122,"DY784")="#N/A FIELD NOT APPLICABLE"), " ", _xll.BDP($AX122,"DY784"))</f>
        <v>Y</v>
      </c>
      <c r="AW122" s="22" t="str">
        <f>IF(OR(AU122="Y",AV122="Y"),"Y","N")</f>
        <v>Y</v>
      </c>
      <c r="AX122" s="22" t="str">
        <f>CONCATENATE(G122," ",$AX$2)</f>
        <v>DRX LN Equity</v>
      </c>
      <c r="BC122" s="17" t="str" cm="1">
        <f t="array" ref="BC122">_xll.BDP(AX122,"ID005")</f>
        <v>GB00B1VNSX38</v>
      </c>
      <c r="BD122" s="17">
        <v>0.7</v>
      </c>
      <c r="BE122" s="18">
        <v>4</v>
      </c>
      <c r="BF122" s="19">
        <v>45562</v>
      </c>
      <c r="BG122" s="20">
        <v>1</v>
      </c>
    </row>
    <row r="123" spans="1:59" s="3" customFormat="1" ht="14.45" customHeight="1" x14ac:dyDescent="0.25">
      <c r="A123" s="49" t="s">
        <v>241</v>
      </c>
      <c r="B123" s="49" t="s">
        <v>272</v>
      </c>
      <c r="C123" s="49">
        <v>2620061.0010000002</v>
      </c>
      <c r="D123" s="49" t="s">
        <v>240</v>
      </c>
      <c r="E123" s="22" t="str">
        <f>_xll.BDP(AX123,"SECURITY NAME")</f>
        <v>Drax Group PLC</v>
      </c>
      <c r="F123" s="22" t="str">
        <f>_xll.BDP(AX123,"CRNCY")</f>
        <v>GBp</v>
      </c>
      <c r="G123" s="23" t="s">
        <v>335</v>
      </c>
      <c r="H123" s="22" t="str" cm="1">
        <f t="array" ref="H123">IF(OR(_xll.BDP($AX123,"DX202")= "#N/A N/A", _xll.BDP($AX123,"DX202")="#N/A FIELD NOT APPLICABLE"), " ", _xll.BDP($AX123,"DX202"))</f>
        <v>Utilities</v>
      </c>
      <c r="I123" s="24">
        <f>_xll.BDP(AX123,"CRNCY_ADJ_MKT_CAP", "EQY_FUND_CRNCY=USD")/1000</f>
        <v>2.9393196205402137</v>
      </c>
      <c r="J123" s="25">
        <f>IFERROR(_xll.BDP(AX123, "DV013")/100,0)</f>
        <v>4.2105263157894736E-2</v>
      </c>
      <c r="K123" s="26" cm="1">
        <f t="array" ref="K123">IF(OR(_xll.BDP($AX123,"RR900")= "#N/A N/A", _xll.BDP($AX123,"RR900")="#N/A FIELD NOT APPLICABLE"), " ", _xll.BDP($AX123,"RR900"))</f>
        <v>4.4996629807079227</v>
      </c>
      <c r="L123" s="26" cm="1">
        <f t="array" ref="L123">IF(OR(_xll.BDP($AX123,"EE010")= "#N/A N/A", _xll.BDP($AX123,"EE010")="#N/A FIELD NOT APPLICABLE"), " ", _xll.BDP($AX123,"EE010"))</f>
        <v>8.4705075445816185</v>
      </c>
      <c r="M123" s="26" cm="1">
        <f t="array" ref="M123">IF(OR(_xll.BDP($AX123,"RR903")= "#N/A N/A", _xll.BDP($AX123,"RR903")="#N/A FIELD NOT APPLICABLE"), " ", _xll.BDP($AX123,"RR903"))</f>
        <v>1.0704806310475139</v>
      </c>
      <c r="N123" s="26" cm="1">
        <f t="array" ref="N123">IF(OR(_xll.BDP($AX123,"RR957")= "#N/A N/A", _xll.BDP($AX123,"RR957")="#N/A FIELD NOT APPLICABLE"), " ", _xll.BDP($AX123,"RR957"))</f>
        <v>2.8808951868589743</v>
      </c>
      <c r="O123" s="27">
        <v>6173</v>
      </c>
      <c r="P123" s="28">
        <v>6.4834199999999997</v>
      </c>
      <c r="Q123" s="22" cm="1">
        <f t="array" ref="Q123">IF(OR(_xll.BDP($AX123,"PX_last")="#N/A N/A",_xll.BDP($AX123,"PX_Last")="#N/A FIELD NOT APPLICABLE")," ",IF(F123="GBP",(_xll.BDP($AX123,"PX_LAST")/100),(_xll.BDP($AX123,"PX_LAST"))))</f>
        <v>6.1749999999999998</v>
      </c>
      <c r="R123" s="29">
        <f>IF(F123="USD",AA123,(((_xll.BDP(F123&amp;"USD CURNCY","PX_LAST")))*AA123))</f>
        <v>53497.610123921993</v>
      </c>
      <c r="S123" s="29">
        <f>IF(F123="USD",AB123,(((_xll.BDP(F123&amp;"USD CURNCY","PX_LAST")))*AB123))</f>
        <v>50952.6981925</v>
      </c>
      <c r="T123" s="12">
        <f>S123-R123</f>
        <v>-2544.9119314219934</v>
      </c>
      <c r="U123" s="13">
        <f>IFERROR(T123/R123,0)</f>
        <v>-4.7570572321398157E-2</v>
      </c>
      <c r="V123" s="13" cm="1">
        <f t="array" ref="V123">IFERROR(_xll.BDP($G123&amp;" Equity","CHG_PCT_1D")/100,"")</f>
        <v>1.9818329999999999E-2</v>
      </c>
      <c r="W123" s="13" cm="1">
        <f t="array" ref="W123">IFERROR(_xll.BDP($G123&amp;" Equity","CHG_PCT_5D")/100,"")</f>
        <v>2.4046430000000001E-2</v>
      </c>
      <c r="X123" s="13" t="e">
        <f>S123/#REF!</f>
        <v>#REF!</v>
      </c>
      <c r="Y123" s="24">
        <f>IFERROR(S123*J123,0)</f>
        <v>2145.3767659999999</v>
      </c>
      <c r="Z123" s="24">
        <f>S123</f>
        <v>50952.6981925</v>
      </c>
      <c r="AA123" s="29">
        <f>P123*O123</f>
        <v>40022.151659999996</v>
      </c>
      <c r="AB123" s="29">
        <f>IFERROR(O123*Q123,0)</f>
        <v>38118.275000000001</v>
      </c>
      <c r="AC123" s="4" t="e" cm="1">
        <f t="array" ref="AC123">VLOOKUP(IF(NOT(_xll.BDP(AX123,$BW$8)="#N/A N/A"),(_xll.BDP(AX123,$BW$8)),"-"), '[1]Country Codes'!$A$2:$B$253,2,0)</f>
        <v>#N/A</v>
      </c>
      <c r="AD123" s="30" t="str" cm="1">
        <f t="array" ref="AD123">IF(OR(_xll.BDP($AX123,"EX028")= "#N/A N/A", _xll.BDP($AX123,"EX028")="#N/A FIELD NOT APPLICABLE"), " ", _xll.BDP($AX123,"EX028"))</f>
        <v>Equity</v>
      </c>
      <c r="AE123" s="31" t="str">
        <f>IF(("AS97"="Equity"), " ", "Single Line Equity")</f>
        <v>Single Line Equity</v>
      </c>
      <c r="AF123" s="26" cm="1">
        <f t="array" ref="AF123">IF(OR(_xll.BDP($AX123,"RR908")= "#N/A N/A", _xll.BDP($AX123,"RR908")="#N/A FIELD NOT APPLICABLE"), " ", _xll.BDP($AX123,"RR908"))</f>
        <v>2.746709803658788</v>
      </c>
      <c r="AG123" s="26" cm="1">
        <f t="array" ref="AG123">IF(OR(_xll.BDP($AX123,"RR041")= "#N/A N/A", _xll.BDP($AX123,"RR041")="#N/A FIELD NOT APPLICABLE"), " ", _xll.BDP($AX123,"RR041"))</f>
        <v>23.998812307463904</v>
      </c>
      <c r="AH123" s="22">
        <f>_xll.BDP(AX123,"TOT_BUY_REC")</f>
        <v>2</v>
      </c>
      <c r="AI123" s="22">
        <f>_xll.BDP(AX123,"TOT_HOLD_REC")</f>
        <v>2</v>
      </c>
      <c r="AJ123" s="22">
        <f>_xll.BDP(AX123,"TOT_SELL_REC")</f>
        <v>1</v>
      </c>
      <c r="AK123" s="26" cm="1">
        <f t="array" ref="AK123">IF(OR(_xll.BDP($AX123,"EE201")= "#N/A N/A", _xll.BDP($AX123,"EE201")="#N/A FIELD NOT APPLICABLE"), " ", _xll.BDP($AX123,"EE201"))</f>
        <v>3.4000000953674316</v>
      </c>
      <c r="AL123" s="24">
        <f>_xll.BDP(AX123,"BEST_TARGET_PRICE")</f>
        <v>773.79998779296875</v>
      </c>
      <c r="AM123" s="32">
        <f>(AL123/Q123)-1</f>
        <v>124.3117389138411</v>
      </c>
      <c r="AN123" s="32">
        <f>_xll.BDP(AX123,"PR061")/100</f>
        <v>7.3913039999999999E-2</v>
      </c>
      <c r="AO123" s="32">
        <f>_xll.BDP(AX123,"PR064")/100</f>
        <v>-5.6360710000000003E-3</v>
      </c>
      <c r="AP123" s="32">
        <f>_xll.BDP(AX123,"CHG_PCT_6M")/100</f>
        <v>-1.515152E-2</v>
      </c>
      <c r="AQ123" s="25">
        <f>_xll.BDP(AX123,"PR079")/100</f>
        <v>-4.7067899999999996E-2</v>
      </c>
      <c r="AR123" s="33">
        <f>_xll.BDP(AX123,"hs001")</f>
        <v>692</v>
      </c>
      <c r="AS123" s="33">
        <f>_xll.BDP(AX123,"hs002")</f>
        <v>481.4</v>
      </c>
      <c r="AT123" s="22" t="str" cm="1">
        <f t="array" ref="AT123">IF(OR(_xll.BDP($AX123,"DX202")= "#N/A N/A", _xll.BDP($AX123,"DX202")="#N/A FIELD NOT APPLICABLE"), " ", _xll.BDP($AX123,"DX202"))</f>
        <v>Utilities</v>
      </c>
      <c r="AU123" s="22" t="str" cm="1">
        <f t="array" ref="AU123">IF(OR(_xll.BDP($AX123,"DY997")= "#N/A N/A", _xll.BDP($AX123,"DY997")="#N/A FIELD NOT APPLICABLE"), " ", _xll.BDP($AX123,"DY997"))</f>
        <v>Y</v>
      </c>
      <c r="AV123" s="22" t="str" cm="1">
        <f t="array" ref="AV123">IF(OR(_xll.BDP($AX123,"DY784")= "#N/A N/A", _xll.BDP($AX123,"DY784")="#N/A FIELD NOT APPLICABLE"), " ", _xll.BDP($AX123,"DY784"))</f>
        <v>Y</v>
      </c>
      <c r="AW123" s="22" t="str">
        <f>IF(OR(AU123="Y",AV123="Y"),"Y","N")</f>
        <v>Y</v>
      </c>
      <c r="AX123" s="22" t="str">
        <f>CONCATENATE(G123," ",$AX$2)</f>
        <v>DRX LN Equity</v>
      </c>
      <c r="BC123" s="17" t="str" cm="1">
        <f t="array" ref="BC123">_xll.BDP(AX123,"ID005")</f>
        <v>GB00B1VNSX38</v>
      </c>
      <c r="BD123" s="17">
        <v>0.7</v>
      </c>
      <c r="BE123" s="18">
        <v>4</v>
      </c>
      <c r="BF123" s="19">
        <v>45562</v>
      </c>
      <c r="BG123" s="20">
        <v>1</v>
      </c>
    </row>
    <row r="124" spans="1:59" s="3" customFormat="1" ht="14.45" customHeight="1" x14ac:dyDescent="0.25">
      <c r="A124" s="49" t="s">
        <v>241</v>
      </c>
      <c r="B124" s="49" t="s">
        <v>276</v>
      </c>
      <c r="C124" s="49" t="s">
        <v>277</v>
      </c>
      <c r="D124" s="49" t="s">
        <v>240</v>
      </c>
      <c r="E124" s="22" t="str">
        <f>_xll.BDP(AX124,"SECURITY NAME")</f>
        <v>Drax Group PLC</v>
      </c>
      <c r="F124" s="22" t="str">
        <f>_xll.BDP(AX124,"CRNCY")</f>
        <v>GBp</v>
      </c>
      <c r="G124" s="23" t="s">
        <v>335</v>
      </c>
      <c r="H124" s="22" t="str" cm="1">
        <f t="array" ref="H124">IF(OR(_xll.BDP($AX124,"DX202")= "#N/A N/A", _xll.BDP($AX124,"DX202")="#N/A FIELD NOT APPLICABLE"), " ", _xll.BDP($AX124,"DX202"))</f>
        <v>Utilities</v>
      </c>
      <c r="I124" s="24">
        <f>_xll.BDP(AX124,"CRNCY_ADJ_MKT_CAP", "EQY_FUND_CRNCY=USD")/1000</f>
        <v>2.9393196205402137</v>
      </c>
      <c r="J124" s="25">
        <f>IFERROR(_xll.BDP(AX124, "DV013")/100,0)</f>
        <v>4.2105263157894736E-2</v>
      </c>
      <c r="K124" s="26" cm="1">
        <f t="array" ref="K124">IF(OR(_xll.BDP($AX124,"RR900")= "#N/A N/A", _xll.BDP($AX124,"RR900")="#N/A FIELD NOT APPLICABLE"), " ", _xll.BDP($AX124,"RR900"))</f>
        <v>4.4996629807079227</v>
      </c>
      <c r="L124" s="26" cm="1">
        <f t="array" ref="L124">IF(OR(_xll.BDP($AX124,"EE010")= "#N/A N/A", _xll.BDP($AX124,"EE010")="#N/A FIELD NOT APPLICABLE"), " ", _xll.BDP($AX124,"EE010"))</f>
        <v>8.4705075445816185</v>
      </c>
      <c r="M124" s="26" cm="1">
        <f t="array" ref="M124">IF(OR(_xll.BDP($AX124,"RR903")= "#N/A N/A", _xll.BDP($AX124,"RR903")="#N/A FIELD NOT APPLICABLE"), " ", _xll.BDP($AX124,"RR903"))</f>
        <v>1.0704806310475139</v>
      </c>
      <c r="N124" s="26" cm="1">
        <f t="array" ref="N124">IF(OR(_xll.BDP($AX124,"RR957")= "#N/A N/A", _xll.BDP($AX124,"RR957")="#N/A FIELD NOT APPLICABLE"), " ", _xll.BDP($AX124,"RR957"))</f>
        <v>2.8808951868589743</v>
      </c>
      <c r="O124" s="27">
        <v>7740</v>
      </c>
      <c r="P124" s="28">
        <v>6.4834199999999997</v>
      </c>
      <c r="Q124" s="22" cm="1">
        <f t="array" ref="Q124">IF(OR(_xll.BDP($AX124,"PX_last")="#N/A N/A",_xll.BDP($AX124,"PX_Last")="#N/A FIELD NOT APPLICABLE")," ",IF(F124="GBP",(_xll.BDP($AX124,"PX_LAST")/100),(_xll.BDP($AX124,"PX_LAST"))))</f>
        <v>6.1749999999999998</v>
      </c>
      <c r="R124" s="29">
        <f>IF(F124="USD",AA124,(((_xll.BDP(F124&amp;"USD CURNCY","PX_LAST")))*AA124))</f>
        <v>67077.839358359997</v>
      </c>
      <c r="S124" s="29">
        <f>IF(F124="USD",AB124,(((_xll.BDP(F124&amp;"USD CURNCY","PX_LAST")))*AB124))</f>
        <v>63886.908150000003</v>
      </c>
      <c r="T124" s="12">
        <f>S124-R124</f>
        <v>-3190.9312083599943</v>
      </c>
      <c r="U124" s="13">
        <f>T124/R124</f>
        <v>-4.7570572321398191E-2</v>
      </c>
      <c r="V124" s="13" cm="1">
        <f t="array" ref="V124">IFERROR(_xll.BDP($G124&amp;" Equity","CHG_PCT_1D")/100,"")</f>
        <v>1.9818329999999999E-2</v>
      </c>
      <c r="W124" s="13" cm="1">
        <f t="array" ref="W124">IFERROR(_xll.BDP($G124&amp;" Equity","CHG_PCT_5D")/100,"")</f>
        <v>2.4046430000000001E-2</v>
      </c>
      <c r="X124" s="13" t="e">
        <f>S124/#REF!</f>
        <v>#REF!</v>
      </c>
      <c r="Y124" s="24">
        <f>IFERROR(S124*J124,0)</f>
        <v>2689.9750800000002</v>
      </c>
      <c r="Z124" s="24">
        <f>S124</f>
        <v>63886.908150000003</v>
      </c>
      <c r="AA124" s="29">
        <f>P124*O124</f>
        <v>50181.6708</v>
      </c>
      <c r="AB124" s="29">
        <f>IFERROR(O124*Q124,0)</f>
        <v>47794.5</v>
      </c>
      <c r="AC124" s="4" t="e" cm="1">
        <f t="array" ref="AC124">VLOOKUP(IF(NOT(_xll.BDP(AX124,$BW$8)="#N/A N/A"),(_xll.BDP(AX124,$BW$8)),"-"), '[1]Country Codes'!$A$2:$B$253,2,0)</f>
        <v>#N/A</v>
      </c>
      <c r="AD124" s="30" t="str" cm="1">
        <f t="array" ref="AD124">IF(OR(_xll.BDP($AX124,"EX028")= "#N/A N/A", _xll.BDP($AX124,"EX028")="#N/A FIELD NOT APPLICABLE"), " ", _xll.BDP($AX124,"EX028"))</f>
        <v>Equity</v>
      </c>
      <c r="AE124" s="31" t="str">
        <f>IF(("AS97"="Equity"), " ", "Single Line Equity")</f>
        <v>Single Line Equity</v>
      </c>
      <c r="AF124" s="26" cm="1">
        <f t="array" ref="AF124">IF(OR(_xll.BDP($AX124,"RR908")= "#N/A N/A", _xll.BDP($AX124,"RR908")="#N/A FIELD NOT APPLICABLE"), " ", _xll.BDP($AX124,"RR908"))</f>
        <v>2.746709803658788</v>
      </c>
      <c r="AG124" s="26" cm="1">
        <f t="array" ref="AG124">IF(OR(_xll.BDP($AX124,"RR041")= "#N/A N/A", _xll.BDP($AX124,"RR041")="#N/A FIELD NOT APPLICABLE"), " ", _xll.BDP($AX124,"RR041"))</f>
        <v>23.998812307463904</v>
      </c>
      <c r="AH124" s="22">
        <f>_xll.BDP(AX124,"TOT_BUY_REC")</f>
        <v>2</v>
      </c>
      <c r="AI124" s="22">
        <f>_xll.BDP(AX124,"TOT_HOLD_REC")</f>
        <v>2</v>
      </c>
      <c r="AJ124" s="22">
        <f>_xll.BDP(AX124,"TOT_SELL_REC")</f>
        <v>1</v>
      </c>
      <c r="AK124" s="26" cm="1">
        <f t="array" ref="AK124">IF(OR(_xll.BDP($AX124,"EE201")= "#N/A N/A", _xll.BDP($AX124,"EE201")="#N/A FIELD NOT APPLICABLE"), " ", _xll.BDP($AX124,"EE201"))</f>
        <v>3.4000000953674316</v>
      </c>
      <c r="AL124" s="24">
        <f>_xll.BDP(AX124,"BEST_TARGET_PRICE")</f>
        <v>773.79998779296875</v>
      </c>
      <c r="AM124" s="32">
        <f>(AL124/Q124)-1</f>
        <v>124.3117389138411</v>
      </c>
      <c r="AN124" s="32">
        <f>_xll.BDP(AX124,"PR061")/100</f>
        <v>7.3913039999999999E-2</v>
      </c>
      <c r="AO124" s="32">
        <f>_xll.BDP(AX124,"PR064")/100</f>
        <v>-5.6360710000000003E-3</v>
      </c>
      <c r="AP124" s="32">
        <f>_xll.BDP(AX124,"CHG_PCT_6M")/100</f>
        <v>-1.515152E-2</v>
      </c>
      <c r="AQ124" s="25">
        <f>_xll.BDP(AX124,"PR079")/100</f>
        <v>-4.7067899999999996E-2</v>
      </c>
      <c r="AR124" s="33">
        <f>_xll.BDP(AX124,"hs001")</f>
        <v>692</v>
      </c>
      <c r="AS124" s="33">
        <f>_xll.BDP(AX124,"hs002")</f>
        <v>481.4</v>
      </c>
      <c r="AT124" s="22" t="str" cm="1">
        <f t="array" ref="AT124">IF(OR(_xll.BDP($AX124,"DX202")= "#N/A N/A", _xll.BDP($AX124,"DX202")="#N/A FIELD NOT APPLICABLE"), " ", _xll.BDP($AX124,"DX202"))</f>
        <v>Utilities</v>
      </c>
      <c r="AU124" s="22" t="str" cm="1">
        <f t="array" ref="AU124">IF(OR(_xll.BDP($AX124,"DY997")= "#N/A N/A", _xll.BDP($AX124,"DY997")="#N/A FIELD NOT APPLICABLE"), " ", _xll.BDP($AX124,"DY997"))</f>
        <v>Y</v>
      </c>
      <c r="AV124" s="22" t="str" cm="1">
        <f t="array" ref="AV124">IF(OR(_xll.BDP($AX124,"DY784")= "#N/A N/A", _xll.BDP($AX124,"DY784")="#N/A FIELD NOT APPLICABLE"), " ", _xll.BDP($AX124,"DY784"))</f>
        <v>Y</v>
      </c>
      <c r="AW124" s="22" t="str">
        <f>IF(OR(AU124="Y",AV124="Y"),"Y","N")</f>
        <v>Y</v>
      </c>
      <c r="AX124" s="22" t="str">
        <f>CONCATENATE(G124," ",$AX$2)</f>
        <v>DRX LN Equity</v>
      </c>
      <c r="BC124" s="17" t="str" cm="1">
        <f t="array" ref="BC124">_xll.BDP(AX124,"ID005")</f>
        <v>GB00B1VNSX38</v>
      </c>
      <c r="BD124" s="17">
        <v>0.7</v>
      </c>
      <c r="BE124" s="18">
        <v>4</v>
      </c>
      <c r="BF124" s="19">
        <v>45562</v>
      </c>
      <c r="BG124" s="20">
        <v>1</v>
      </c>
    </row>
    <row r="125" spans="1:59" s="3" customFormat="1" ht="14.45" customHeight="1" x14ac:dyDescent="0.25">
      <c r="A125" s="49" t="s">
        <v>242</v>
      </c>
      <c r="B125" s="49" t="s">
        <v>260</v>
      </c>
      <c r="C125" s="49" t="s">
        <v>261</v>
      </c>
      <c r="D125" s="49" t="s">
        <v>248</v>
      </c>
      <c r="E125" s="22" t="str">
        <f>_xll.BDP(AX125,"SECURITY NAME")</f>
        <v>Barrick Gold Corp</v>
      </c>
      <c r="F125" s="22" t="str">
        <f>_xll.BDP(AX125,"CRNCY")</f>
        <v>USD</v>
      </c>
      <c r="G125" s="73" t="s">
        <v>200</v>
      </c>
      <c r="H125" s="22" t="str" cm="1">
        <f t="array" ref="H125">IF(OR(_xll.BDP($AX125,"DX202")= "#N/A N/A", _xll.BDP($AX125,"DX202")="#N/A FIELD NOT APPLICABLE"), " ", _xll.BDP($AX125,"DX202"))</f>
        <v>Materials</v>
      </c>
      <c r="I125" s="24">
        <f>_xll.BDP(AX125,"CRNCY_ADJ_MKT_CAP", "EQY_FUND_CRNCY=USD")/1000</f>
        <v>32.506354624300009</v>
      </c>
      <c r="J125" s="25">
        <f>IFERROR(_xll.BDP(AX125, "DV013")/100,0)</f>
        <v>2.1158424012719623E-2</v>
      </c>
      <c r="K125" s="26" cm="1">
        <f t="array" ref="K125">IF(OR(_xll.BDP($AX125,"RR900")= "#N/A N/A", _xll.BDP($AX125,"RR900")="#N/A FIELD NOT APPLICABLE"), " ", _xll.BDP($AX125,"RR900"))</f>
        <v>9.1136283021634128</v>
      </c>
      <c r="L125" s="26" cm="1">
        <f t="array" ref="L125">IF(OR(_xll.BDP($AX125,"EE010")= "#N/A N/A", _xll.BDP($AX125,"EE010")="#N/A FIELD NOT APPLICABLE"), " ", _xll.BDP($AX125,"EE010"))</f>
        <v>8.8631036099390528</v>
      </c>
      <c r="M125" s="26" cm="1">
        <f t="array" ref="M125">IF(OR(_xll.BDP($AX125,"RR903")= "#N/A N/A", _xll.BDP($AX125,"RR903")="#N/A FIELD NOT APPLICABLE"), " ", _xll.BDP($AX125,"RR903"))</f>
        <v>1.3442085914329129</v>
      </c>
      <c r="N125" s="26" cm="1">
        <f t="array" ref="N125">IF(OR(_xll.BDP($AX125,"RR957")= "#N/A N/A", _xll.BDP($AX125,"RR957")="#N/A FIELD NOT APPLICABLE"), " ", _xll.BDP($AX125,"RR957"))</f>
        <v>6.428712745963681</v>
      </c>
      <c r="O125" s="74">
        <v>748</v>
      </c>
      <c r="P125" s="75">
        <v>23.552900000000001</v>
      </c>
      <c r="Q125" s="22" cm="1">
        <f t="array" ref="Q125">IF(OR(_xll.BDP($AX125,"PX_last")="#N/A N/A",_xll.BDP($AX125,"PX_Last")="#N/A FIELD NOT APPLICABLE")," ",IF(F125="GBP",(_xll.BDP($AX125,"PX_LAST")/100),(_xll.BDP($AX125,"PX_LAST"))))</f>
        <v>18.905000000000001</v>
      </c>
      <c r="R125" s="29">
        <f>IF(F125="USD",AA125,(((_xll.BDP(F125&amp;"USD CURNCY","PX_LAST")))*AA125))</f>
        <v>17617.569200000002</v>
      </c>
      <c r="S125" s="29">
        <f>IF(F125="USD",AB125,(((_xll.BDP(F125&amp;"USD CURNCY","PX_LAST")))*AB125))</f>
        <v>14140.94</v>
      </c>
      <c r="T125" s="12">
        <f>S125-R125</f>
        <v>-3476.6292000000012</v>
      </c>
      <c r="U125" s="13">
        <f>T125/R125</f>
        <v>-0.19733875658623784</v>
      </c>
      <c r="V125" s="13" cm="1">
        <f t="array" ref="V125">IFERROR(_xll.BDP($G125&amp;" Equity","CHG_PCT_1D")/100,"")</f>
        <v>1.421674E-2</v>
      </c>
      <c r="W125" s="13" cm="1">
        <f t="array" ref="W125">IFERROR(_xll.BDP($G125&amp;" Equity","CHG_PCT_5D")/100,"")</f>
        <v>2.645503E-4</v>
      </c>
      <c r="X125" s="13" t="e">
        <f>S125/#REF!</f>
        <v>#REF!</v>
      </c>
      <c r="Y125" s="24">
        <f>IFERROR(S125*J125,0)</f>
        <v>299.20000445842743</v>
      </c>
      <c r="Z125" s="24">
        <f>S125</f>
        <v>14140.94</v>
      </c>
      <c r="AA125" s="29">
        <f>P125*O125</f>
        <v>17617.569200000002</v>
      </c>
      <c r="AB125" s="29">
        <f>IFERROR(O125*Q125,0)</f>
        <v>14140.94</v>
      </c>
      <c r="AC125" s="4" t="e" cm="1">
        <f t="array" ref="AC125">VLOOKUP(IF(NOT(_xll.BDP(AX125,$BW$8)="#N/A N/A"),(_xll.BDP(AX125,$BW$8)),"-"), '[1]Country Codes'!$A$2:$B$253,2,0)</f>
        <v>#N/A</v>
      </c>
      <c r="AD125" s="30" t="str" cm="1">
        <f t="array" ref="AD125">IF(OR(_xll.BDP($AX125,"EX028")= "#N/A N/A", _xll.BDP($AX125,"EX028")="#N/A FIELD NOT APPLICABLE"), " ", _xll.BDP($AX125,"EX028"))</f>
        <v>Equity</v>
      </c>
      <c r="AE125" s="31" t="str">
        <f>IF(("AS97"="Equity"), " ", "Single Line Equity")</f>
        <v>Single Line Equity</v>
      </c>
      <c r="AF125" s="26" cm="1">
        <f t="array" ref="AF125">IF(OR(_xll.BDP($AX125,"RR908")= "#N/A N/A", _xll.BDP($AX125,"RR908")="#N/A FIELD NOT APPLICABLE"), " ", _xll.BDP($AX125,"RR908"))</f>
        <v>7.0556190166158022</v>
      </c>
      <c r="AG125" s="26" cm="1">
        <f t="array" ref="AG125">IF(OR(_xll.BDP($AX125,"RR041")= "#N/A N/A", _xll.BDP($AX125,"RR041")="#N/A FIELD NOT APPLICABLE"), " ", _xll.BDP($AX125,"RR041"))</f>
        <v>9.9294503002561623</v>
      </c>
      <c r="AH125" s="22">
        <f>_xll.BDP(AX125,"TOT_BUY_REC")</f>
        <v>13</v>
      </c>
      <c r="AI125" s="22">
        <f>_xll.BDP(AX125,"TOT_HOLD_REC")</f>
        <v>8</v>
      </c>
      <c r="AJ125" s="22">
        <f>_xll.BDP(AX125,"TOT_SELL_REC")</f>
        <v>0</v>
      </c>
      <c r="AK125" s="26" cm="1">
        <f t="array" ref="AK125">IF(OR(_xll.BDP($AX125,"EE201")= "#N/A N/A", _xll.BDP($AX125,"EE201")="#N/A FIELD NOT APPLICABLE"), " ", _xll.BDP($AX125,"EE201"))</f>
        <v>4.2380952835083008</v>
      </c>
      <c r="AL125" s="24">
        <f>_xll.BDP(AX125,"BEST_TARGET_PRICE")</f>
        <v>24.765785217285156</v>
      </c>
      <c r="AM125" s="32">
        <f>(AL125/Q125)-1</f>
        <v>0.3100124420674506</v>
      </c>
      <c r="AN125" s="32">
        <f>_xll.BDP(AX125,"PR061")/100</f>
        <v>6.9892469999999998E-2</v>
      </c>
      <c r="AO125" s="32">
        <f>_xll.BDP(AX125,"PR064")/100</f>
        <v>0.10040739999999999</v>
      </c>
      <c r="AP125" s="32">
        <f>_xll.BDP(AX125,"CHG_PCT_6M")/100</f>
        <v>2.577318E-2</v>
      </c>
      <c r="AQ125" s="25">
        <f>_xll.BDP(AX125,"PR079")/100</f>
        <v>0.21967739999999999</v>
      </c>
      <c r="AR125" s="33">
        <f>_xll.BDP(AX125,"hs001")</f>
        <v>21.35</v>
      </c>
      <c r="AS125" s="33">
        <f>_xll.BDP(AX125,"hs002")</f>
        <v>15.11</v>
      </c>
      <c r="AT125" s="22" t="str" cm="1">
        <f t="array" ref="AT125">IF(OR(_xll.BDP($AX125,"DX202")= "#N/A N/A", _xll.BDP($AX125,"DX202")="#N/A FIELD NOT APPLICABLE"), " ", _xll.BDP($AX125,"DX202"))</f>
        <v>Materials</v>
      </c>
      <c r="AU125" s="22" t="str" cm="1">
        <f t="array" ref="AU125">IF(OR(_xll.BDP($AX125,"DY997")= "#N/A N/A", _xll.BDP($AX125,"DY997")="#N/A FIELD NOT APPLICABLE"), " ", _xll.BDP($AX125,"DY997"))</f>
        <v xml:space="preserve"> </v>
      </c>
      <c r="AV125" s="22" t="str" cm="1">
        <f t="array" ref="AV125">IF(OR(_xll.BDP($AX125,"DY784")= "#N/A N/A", _xll.BDP($AX125,"DY784")="#N/A FIELD NOT APPLICABLE"), " ", _xll.BDP($AX125,"DY784"))</f>
        <v xml:space="preserve"> </v>
      </c>
      <c r="AW125" s="22" t="str">
        <f>IF(OR(AU125="Y",AV125="Y"),"Y","N")</f>
        <v>N</v>
      </c>
      <c r="AX125" s="22" t="str">
        <f>CONCATENATE(G125," ",$AX$2)</f>
        <v>GOLD US Equity</v>
      </c>
      <c r="BC125" s="17" t="str" cm="1">
        <f t="array" ref="BC125">_xll.BDP(AX125,"ID005")</f>
        <v>CA0679011084</v>
      </c>
      <c r="BD125" s="17">
        <v>0.7</v>
      </c>
      <c r="BE125" s="18">
        <v>4</v>
      </c>
      <c r="BF125" s="19">
        <v>45562</v>
      </c>
      <c r="BG125" s="20">
        <v>1</v>
      </c>
    </row>
    <row r="126" spans="1:59" s="3" customFormat="1" ht="14.45" customHeight="1" x14ac:dyDescent="0.25">
      <c r="A126" s="49" t="s">
        <v>241</v>
      </c>
      <c r="B126" s="49" t="s">
        <v>238</v>
      </c>
      <c r="C126" s="49" t="s">
        <v>239</v>
      </c>
      <c r="D126" s="49" t="s">
        <v>240</v>
      </c>
      <c r="E126" s="22" t="str">
        <f>_xll.BDP(AX126,"SECURITY NAME")</f>
        <v>Alphabet Inc</v>
      </c>
      <c r="F126" s="22" t="str">
        <f>_xll.BDP(AX126,"CRNCY")</f>
        <v>USD</v>
      </c>
      <c r="G126" s="23" t="s">
        <v>81</v>
      </c>
      <c r="H126" s="22" t="str" cm="1">
        <f t="array" ref="H126">IF(OR(_xll.BDP($AX126,"DX202")= "#N/A N/A", _xll.BDP($AX126,"DX202")="#N/A FIELD NOT APPLICABLE"), " ", _xll.BDP($AX126,"DX202"))</f>
        <v>Communication Services</v>
      </c>
      <c r="I126" s="24">
        <f>_xll.BDP(AX126,"CRNCY_ADJ_MKT_CAP", "EQY_FUND_CRNCY=USD")/1000</f>
        <v>1995.62185</v>
      </c>
      <c r="J126" s="25">
        <f>IFERROR(_xll.BDP(AX126, "DV013")/100,0)</f>
        <v>5.1366720098694803E-3</v>
      </c>
      <c r="K126" s="26" cm="1">
        <f t="array" ref="K126">IF(OR(_xll.BDP($AX126,"RR900")= "#N/A N/A", _xll.BDP($AX126,"RR900")="#N/A FIELD NOT APPLICABLE"), " ", _xll.BDP($AX126,"RR900"))</f>
        <v>19.750033246348103</v>
      </c>
      <c r="L126" s="26" cm="1">
        <f t="array" ref="L126">IF(OR(_xll.BDP($AX126,"EE010")= "#N/A N/A", _xll.BDP($AX126,"EE010")="#N/A FIELD NOT APPLICABLE"), " ", _xll.BDP($AX126,"EE010"))</f>
        <v>15.479931843998486</v>
      </c>
      <c r="M126" s="26" cm="1">
        <f t="array" ref="M126">IF(OR(_xll.BDP($AX126,"RR903")= "#N/A N/A", _xll.BDP($AX126,"RR903")="#N/A FIELD NOT APPLICABLE"), " ", _xll.BDP($AX126,"RR903"))</f>
        <v>5.7570145283573391</v>
      </c>
      <c r="N126" s="26" cm="1">
        <f t="array" ref="N126">IF(OR(_xll.BDP($AX126,"RR957")= "#N/A N/A", _xll.BDP($AX126,"RR957")="#N/A FIELD NOT APPLICABLE"), " ", _xll.BDP($AX126,"RR957"))</f>
        <v>13.922631137586027</v>
      </c>
      <c r="O126" s="27">
        <v>335</v>
      </c>
      <c r="P126" s="28">
        <v>149.77699999999999</v>
      </c>
      <c r="Q126" s="22" cm="1">
        <f t="array" ref="Q126">IF(OR(_xll.BDP($AX126,"PX_last")="#N/A N/A",_xll.BDP($AX126,"PX_Last")="#N/A FIELD NOT APPLICABLE")," ",IF(F126="GBP",(_xll.BDP($AX126,"PX_LAST")/100),(_xll.BDP($AX126,"PX_LAST"))))</f>
        <v>163.53</v>
      </c>
      <c r="R126" s="29">
        <f>IF(F126="USD",AA126,(((_xll.BDP(F126&amp;"USD CURNCY","PX_LAST")))*AA126))</f>
        <v>50175.294999999998</v>
      </c>
      <c r="S126" s="29">
        <f>IF(F126="USD",AB126,(((_xll.BDP(F126&amp;"USD CURNCY","PX_LAST")))*AB126))</f>
        <v>54782.55</v>
      </c>
      <c r="T126" s="12">
        <f>S126-R126</f>
        <v>4607.2550000000047</v>
      </c>
      <c r="U126" s="13">
        <f>T126/R126</f>
        <v>9.1823177123323441E-2</v>
      </c>
      <c r="V126" s="13" cm="1">
        <f t="array" ref="V126">IFERROR(_xll.BDP($G126&amp;" Equity","CHG_PCT_1D")/100,"")</f>
        <v>-4.141039E-3</v>
      </c>
      <c r="W126" s="13" cm="1">
        <f t="array" ref="W126">IFERROR(_xll.BDP($G126&amp;" Equity","CHG_PCT_5D")/100,"")</f>
        <v>2.1041460000000001E-2</v>
      </c>
      <c r="X126" s="13" t="e">
        <f>S126/#REF!</f>
        <v>#REF!</v>
      </c>
      <c r="Y126" s="24">
        <f>IFERROR(S126*J126,0)</f>
        <v>281.3999912142753</v>
      </c>
      <c r="Z126" s="24">
        <f>S126</f>
        <v>54782.55</v>
      </c>
      <c r="AA126" s="29">
        <f>P126*O126</f>
        <v>50175.294999999998</v>
      </c>
      <c r="AB126" s="29">
        <f>IFERROR(O126*Q126,0)</f>
        <v>54782.55</v>
      </c>
      <c r="AC126" s="4" t="e" cm="1">
        <f t="array" ref="AC126">VLOOKUP(IF(NOT(_xll.BDP(AX126,$BW$8)="#N/A N/A"),(_xll.BDP(AX126,$BW$8)),"-"), '[1]Country Codes'!$A$2:$B$253,2,0)</f>
        <v>#N/A</v>
      </c>
      <c r="AD126" s="30" t="str" cm="1">
        <f t="array" ref="AD126">IF(OR(_xll.BDP($AX126,"EX028")= "#N/A N/A", _xll.BDP($AX126,"EX028")="#N/A FIELD NOT APPLICABLE"), " ", _xll.BDP($AX126,"EX028"))</f>
        <v>Equity</v>
      </c>
      <c r="AE126" s="31" t="str">
        <f>IF(("AS97"="Equity"), " ", "Single Line Equity")</f>
        <v>Single Line Equity</v>
      </c>
      <c r="AF126" s="26" cm="1">
        <f t="array" ref="AF126">IF(OR(_xll.BDP($AX126,"RR908")= "#N/A N/A", _xll.BDP($AX126,"RR908")="#N/A FIELD NOT APPLICABLE"), " ", _xll.BDP($AX126,"RR908"))</f>
        <v>15.110880442316351</v>
      </c>
      <c r="AG126" s="26" cm="1">
        <f t="array" ref="AG126">IF(OR(_xll.BDP($AX126,"RR041")= "#N/A N/A", _xll.BDP($AX126,"RR041")="#N/A FIELD NOT APPLICABLE"), " ", _xll.BDP($AX126,"RR041"))</f>
        <v>5.7069755872214918</v>
      </c>
      <c r="AH126" s="22">
        <f>_xll.BDP(AX126,"TOT_BUY_REC")</f>
        <v>63</v>
      </c>
      <c r="AI126" s="22">
        <f>_xll.BDP(AX126,"TOT_HOLD_REC")</f>
        <v>14</v>
      </c>
      <c r="AJ126" s="22">
        <f>_xll.BDP(AX126,"TOT_SELL_REC")</f>
        <v>0</v>
      </c>
      <c r="AK126" s="26" cm="1">
        <f t="array" ref="AK126">IF(OR(_xll.BDP($AX126,"EE201")= "#N/A N/A", _xll.BDP($AX126,"EE201")="#N/A FIELD NOT APPLICABLE"), " ", _xll.BDP($AX126,"EE201"))</f>
        <v>4.6103897094726563</v>
      </c>
      <c r="AL126" s="24">
        <f>_xll.BDP(AX126,"BEST_TARGET_PRICE")</f>
        <v>203.3973388671875</v>
      </c>
      <c r="AM126" s="32">
        <f>(AL126/Q126)-1</f>
        <v>0.24379220245329591</v>
      </c>
      <c r="AN126" s="32">
        <f>_xll.BDP(AX126,"PR061")/100</f>
        <v>0.12314560000000001</v>
      </c>
      <c r="AO126" s="32">
        <f>_xll.BDP(AX126,"PR064")/100</f>
        <v>-0.1465032</v>
      </c>
      <c r="AP126" s="32">
        <f>_xll.BDP(AX126,"CHG_PCT_6M")/100</f>
        <v>-7.3536879999999999E-2</v>
      </c>
      <c r="AQ126" s="25">
        <f>_xll.BDP(AX126,"PR079")/100</f>
        <v>-0.13613310000000001</v>
      </c>
      <c r="AR126" s="33">
        <f>_xll.BDP(AX126,"hs001")</f>
        <v>207.05</v>
      </c>
      <c r="AS126" s="33">
        <f>_xll.BDP(AX126,"hs002")</f>
        <v>140.53</v>
      </c>
      <c r="AT126" s="22" t="str" cm="1">
        <f t="array" ref="AT126">IF(OR(_xll.BDP($AX126,"DX202")= "#N/A N/A", _xll.BDP($AX126,"DX202")="#N/A FIELD NOT APPLICABLE"), " ", _xll.BDP($AX126,"DX202"))</f>
        <v>Communication Services</v>
      </c>
      <c r="AU126" s="22" t="str" cm="1">
        <f t="array" ref="AU126">IF(OR(_xll.BDP($AX126,"DY997")= "#N/A N/A", _xll.BDP($AX126,"DY997")="#N/A FIELD NOT APPLICABLE"), " ", _xll.BDP($AX126,"DY997"))</f>
        <v>Y</v>
      </c>
      <c r="AV126" s="22" t="str" cm="1">
        <f t="array" ref="AV126">IF(OR(_xll.BDP($AX126,"DY784")= "#N/A N/A", _xll.BDP($AX126,"DY784")="#N/A FIELD NOT APPLICABLE"), " ", _xll.BDP($AX126,"DY784"))</f>
        <v xml:space="preserve"> </v>
      </c>
      <c r="AW126" s="22" t="str">
        <f>IF(OR(AU126="Y",AV126="Y"),"Y","N")</f>
        <v>Y</v>
      </c>
      <c r="AX126" s="22" t="str">
        <f>CONCATENATE(G126," ",$AX$2)</f>
        <v>GOOGL UQ Equity</v>
      </c>
      <c r="BC126" s="17" t="str" cm="1">
        <f t="array" ref="BC126">_xll.BDP(AX126,"ID005")</f>
        <v>US02079K3059</v>
      </c>
      <c r="BD126" s="17">
        <v>0.7</v>
      </c>
      <c r="BE126" s="18">
        <v>4</v>
      </c>
      <c r="BF126" s="19">
        <v>45562</v>
      </c>
      <c r="BG126" s="20">
        <v>1</v>
      </c>
    </row>
    <row r="127" spans="1:59" s="3" customFormat="1" ht="14.45" customHeight="1" x14ac:dyDescent="0.25">
      <c r="A127" s="81" t="s">
        <v>242</v>
      </c>
      <c r="B127" s="81" t="s">
        <v>243</v>
      </c>
      <c r="C127" s="81" t="s">
        <v>244</v>
      </c>
      <c r="D127" s="81" t="s">
        <v>245</v>
      </c>
      <c r="E127" s="40" t="str">
        <f>_xll.BDP(AX127,"SECURITY NAME")</f>
        <v>Alphabet Inc</v>
      </c>
      <c r="F127" s="40" t="str">
        <f>_xll.BDP(AX127,"CRNCY")</f>
        <v>USD</v>
      </c>
      <c r="G127" s="23" t="s">
        <v>137</v>
      </c>
      <c r="H127" s="40" t="str" cm="1">
        <f t="array" ref="H127">IF(OR(_xll.BDP($AX127,"DX202")= "#N/A N/A", _xll.BDP($AX127,"DX202")="#N/A FIELD NOT APPLICABLE"), " ", _xll.BDP($AX127,"DX202"))</f>
        <v>Communication Services</v>
      </c>
      <c r="I127" s="82">
        <f>_xll.BDP(AX127,"CRNCY_ADJ_MKT_CAP", "EQY_FUND_CRNCY=USD")/1000</f>
        <v>1995.6807200000001</v>
      </c>
      <c r="J127" s="83">
        <f>IFERROR(_xll.BDP(AX127, "DV013")/100,0)</f>
        <v>5.13541586949903E-3</v>
      </c>
      <c r="K127" s="84" cm="1">
        <f t="array" ref="K127">IF(OR(_xll.BDP($AX127,"RR900")= "#N/A N/A", _xll.BDP($AX127,"RR900")="#N/A FIELD NOT APPLICABLE"), " ", _xll.BDP($AX127,"RR900"))</f>
        <v>19.754865204387873</v>
      </c>
      <c r="L127" s="84" cm="1">
        <f t="array" ref="L127">IF(OR(_xll.BDP($AX127,"EE010")= "#N/A N/A", _xll.BDP($AX127,"EE010")="#N/A FIELD NOT APPLICABLE"), " ", _xll.BDP($AX127,"EE010"))</f>
        <v>15.48466489965922</v>
      </c>
      <c r="M127" s="84" cm="1">
        <f t="array" ref="M127">IF(OR(_xll.BDP($AX127,"RR903")= "#N/A N/A", _xll.BDP($AX127,"RR903")="#N/A FIELD NOT APPLICABLE"), " ", _xll.BDP($AX127,"RR903"))</f>
        <v>5.7584230147273816</v>
      </c>
      <c r="N127" s="84" cm="1">
        <f t="array" ref="N127">IF(OR(_xll.BDP($AX127,"RR957")= "#N/A N/A", _xll.BDP($AX127,"RR957")="#N/A FIELD NOT APPLICABLE"), " ", _xll.BDP($AX127,"RR957"))</f>
        <v>13.926140188537387</v>
      </c>
      <c r="O127" s="27">
        <v>654</v>
      </c>
      <c r="P127" s="28">
        <v>152.88999999999999</v>
      </c>
      <c r="Q127" s="40" cm="1">
        <f t="array" ref="Q127">IF(OR(_xll.BDP($AX127,"PX_last")="#N/A N/A",_xll.BDP($AX127,"PX_Last")="#N/A FIELD NOT APPLICABLE")," ",IF(F127="GBP",(_xll.BDP($AX127,"PX_LAST")/100),(_xll.BDP($AX127,"PX_LAST"))))</f>
        <v>163.57</v>
      </c>
      <c r="R127" s="85">
        <f>IF(F127="USD",AA127,(((_xll.BDP(F127&amp;"USD CURNCY","PX_LAST")))*AA127))</f>
        <v>99990.06</v>
      </c>
      <c r="S127" s="85">
        <f>IF(F127="USD",AB127,(((_xll.BDP(F127&amp;"USD CURNCY","PX_LAST")))*AB127))</f>
        <v>106974.78</v>
      </c>
      <c r="T127" s="86">
        <f>S127-R127</f>
        <v>6984.7200000000012</v>
      </c>
      <c r="U127" s="87">
        <f>T127/R127</f>
        <v>6.9854143501864099E-2</v>
      </c>
      <c r="V127" s="87" cm="1">
        <f t="array" ref="V127">IFERROR(_xll.BDP($G127&amp;" Equity","CHG_PCT_1D")/100,"")</f>
        <v>-3.897448E-3</v>
      </c>
      <c r="W127" s="87" cm="1">
        <f t="array" ref="W127">IFERROR(_xll.BDP($G127&amp;" Equity","CHG_PCT_5D")/100,"")</f>
        <v>2.1291210000000001E-2</v>
      </c>
      <c r="X127" s="87" t="e">
        <f>S127/#REF!</f>
        <v>#REF!</v>
      </c>
      <c r="Y127" s="82">
        <f>IFERROR(S127*J127,0)</f>
        <v>549.35998284816742</v>
      </c>
      <c r="Z127" s="82">
        <f>S127</f>
        <v>106974.78</v>
      </c>
      <c r="AA127" s="85">
        <f>P127*O127</f>
        <v>99990.06</v>
      </c>
      <c r="AB127" s="85">
        <f>IFERROR(O127*Q127,0)</f>
        <v>106974.78</v>
      </c>
      <c r="AC127" s="88" t="e" cm="1">
        <f t="array" ref="AC127">VLOOKUP(IF(NOT(_xll.BDP(AX127,$BW$8)="#N/A N/A"),(_xll.BDP(AX127,$BW$8)),"-"), '[1]Country Codes'!$A$2:$B$253,2,0)</f>
        <v>#N/A</v>
      </c>
      <c r="AD127" s="89" t="str" cm="1">
        <f t="array" ref="AD127">IF(OR(_xll.BDP($AX127,"EX028")= "#N/A N/A", _xll.BDP($AX127,"EX028")="#N/A FIELD NOT APPLICABLE"), " ", _xll.BDP($AX127,"EX028"))</f>
        <v>Equity</v>
      </c>
      <c r="AE127" s="90" t="str">
        <f>IF(("AS97"="Equity"), " ", "Single Line Equity")</f>
        <v>Single Line Equity</v>
      </c>
      <c r="AF127" s="84" cm="1">
        <f t="array" ref="AF127">IF(OR(_xll.BDP($AX127,"RR908")= "#N/A N/A", _xll.BDP($AX127,"RR908")="#N/A FIELD NOT APPLICABLE"), " ", _xll.BDP($AX127,"RR908"))</f>
        <v>15.114577405219173</v>
      </c>
      <c r="AG127" s="84" cm="1">
        <f t="array" ref="AG127">IF(OR(_xll.BDP($AX127,"RR041")= "#N/A N/A", _xll.BDP($AX127,"RR041")="#N/A FIELD NOT APPLICABLE"), " ", _xll.BDP($AX127,"RR041"))</f>
        <v>5.7069755872214918</v>
      </c>
      <c r="AH127" s="40">
        <f>_xll.BDP(AX127,"TOT_BUY_REC")</f>
        <v>63</v>
      </c>
      <c r="AI127" s="40">
        <f>_xll.BDP(AX127,"TOT_HOLD_REC")</f>
        <v>14</v>
      </c>
      <c r="AJ127" s="40">
        <f>_xll.BDP(AX127,"TOT_SELL_REC")</f>
        <v>0</v>
      </c>
      <c r="AK127" s="84" cm="1">
        <f t="array" ref="AK127">IF(OR(_xll.BDP($AX127,"EE201")= "#N/A N/A", _xll.BDP($AX127,"EE201")="#N/A FIELD NOT APPLICABLE"), " ", _xll.BDP($AX127,"EE201"))</f>
        <v>4.6103897094726563</v>
      </c>
      <c r="AL127" s="82">
        <f>_xll.BDP(AX127,"BEST_TARGET_PRICE")</f>
        <v>203.3973388671875</v>
      </c>
      <c r="AM127" s="91">
        <f>(AL127/Q127)-1</f>
        <v>0.24348804100499799</v>
      </c>
      <c r="AN127" s="91">
        <f>_xll.BDP(AX127,"PR061")/100</f>
        <v>0.1234203</v>
      </c>
      <c r="AO127" s="91">
        <f>_xll.BDP(AX127,"PR064")/100</f>
        <v>-0.14629440000000002</v>
      </c>
      <c r="AP127" s="91">
        <f>_xll.BDP(AX127,"CHG_PCT_6M")/100</f>
        <v>-7.3310269999999997E-2</v>
      </c>
      <c r="AQ127" s="83">
        <f>_xll.BDP(AX127,"PR079")/100</f>
        <v>-0.13592180000000001</v>
      </c>
      <c r="AR127" s="92">
        <f>_xll.BDP(AX127,"hs001")</f>
        <v>207.05</v>
      </c>
      <c r="AS127" s="92">
        <f>_xll.BDP(AX127,"hs002")</f>
        <v>140.53</v>
      </c>
      <c r="AT127" s="40" t="str" cm="1">
        <f t="array" ref="AT127">IF(OR(_xll.BDP($AX127,"DX202")= "#N/A N/A", _xll.BDP($AX127,"DX202")="#N/A FIELD NOT APPLICABLE"), " ", _xll.BDP($AX127,"DX202"))</f>
        <v>Communication Services</v>
      </c>
      <c r="AU127" s="40" t="str" cm="1">
        <f t="array" ref="AU127">IF(OR(_xll.BDP($AX127,"DY997")= "#N/A N/A", _xll.BDP($AX127,"DY997")="#N/A FIELD NOT APPLICABLE"), " ", _xll.BDP($AX127,"DY997"))</f>
        <v>Y</v>
      </c>
      <c r="AV127" s="40" t="str" cm="1">
        <f t="array" ref="AV127">IF(OR(_xll.BDP($AX127,"DY784")= "#N/A N/A", _xll.BDP($AX127,"DY784")="#N/A FIELD NOT APPLICABLE"), " ", _xll.BDP($AX127,"DY784"))</f>
        <v xml:space="preserve"> </v>
      </c>
      <c r="AW127" s="40" t="str">
        <f>IF(OR(AU127="Y",AV127="Y"),"Y","N")</f>
        <v>Y</v>
      </c>
      <c r="AX127" s="40" t="str">
        <f>CONCATENATE(G127," ",$AX$2)</f>
        <v>GOOGL US Equity</v>
      </c>
      <c r="BC127" s="17" t="str" cm="1">
        <f t="array" ref="BC127">_xll.BDP(AX127,"ID005")</f>
        <v>US02079K3059</v>
      </c>
      <c r="BD127" s="17">
        <v>0.7</v>
      </c>
      <c r="BE127" s="18">
        <v>4</v>
      </c>
      <c r="BF127" s="19">
        <v>45562</v>
      </c>
      <c r="BG127" s="20">
        <v>1</v>
      </c>
    </row>
    <row r="128" spans="1:59" s="3" customFormat="1" ht="14.45" customHeight="1" x14ac:dyDescent="0.25">
      <c r="A128" s="49" t="s">
        <v>242</v>
      </c>
      <c r="B128" s="49" t="s">
        <v>246</v>
      </c>
      <c r="C128" s="49" t="s">
        <v>247</v>
      </c>
      <c r="D128" s="49" t="s">
        <v>248</v>
      </c>
      <c r="E128" s="22" t="str">
        <f>_xll.BDP(AX128,"SECURITY NAME")</f>
        <v>Alphabet Inc</v>
      </c>
      <c r="F128" s="22" t="str">
        <f>_xll.BDP(AX128,"CRNCY")</f>
        <v>USD</v>
      </c>
      <c r="G128" s="23" t="s">
        <v>137</v>
      </c>
      <c r="H128" s="22" t="str" cm="1">
        <f t="array" ref="H128">IF(OR(_xll.BDP($AX128,"DX202")= "#N/A N/A", _xll.BDP($AX128,"DX202")="#N/A FIELD NOT APPLICABLE"), " ", _xll.BDP($AX128,"DX202"))</f>
        <v>Communication Services</v>
      </c>
      <c r="I128" s="24">
        <f>_xll.BDP(AX128,"CRNCY_ADJ_MKT_CAP", "EQY_FUND_CRNCY=USD")/1000</f>
        <v>1995.6807200000001</v>
      </c>
      <c r="J128" s="25">
        <f>IFERROR(_xll.BDP(AX128, "DV013")/100,0)</f>
        <v>5.13541586949903E-3</v>
      </c>
      <c r="K128" s="26" cm="1">
        <f t="array" ref="K128">IF(OR(_xll.BDP($AX128,"RR900")= "#N/A N/A", _xll.BDP($AX128,"RR900")="#N/A FIELD NOT APPLICABLE"), " ", _xll.BDP($AX128,"RR900"))</f>
        <v>19.754865204387873</v>
      </c>
      <c r="L128" s="26" cm="1">
        <f t="array" ref="L128">IF(OR(_xll.BDP($AX128,"EE010")= "#N/A N/A", _xll.BDP($AX128,"EE010")="#N/A FIELD NOT APPLICABLE"), " ", _xll.BDP($AX128,"EE010"))</f>
        <v>15.48466489965922</v>
      </c>
      <c r="M128" s="26" cm="1">
        <f t="array" ref="M128">IF(OR(_xll.BDP($AX128,"RR903")= "#N/A N/A", _xll.BDP($AX128,"RR903")="#N/A FIELD NOT APPLICABLE"), " ", _xll.BDP($AX128,"RR903"))</f>
        <v>5.7584230147273816</v>
      </c>
      <c r="N128" s="26" cm="1">
        <f t="array" ref="N128">IF(OR(_xll.BDP($AX128,"RR957")= "#N/A N/A", _xll.BDP($AX128,"RR957")="#N/A FIELD NOT APPLICABLE"), " ", _xll.BDP($AX128,"RR957"))</f>
        <v>13.926140188537387</v>
      </c>
      <c r="O128" s="27">
        <v>817</v>
      </c>
      <c r="P128" s="28">
        <v>143.65</v>
      </c>
      <c r="Q128" s="22" cm="1">
        <f t="array" ref="Q128">IF(OR(_xll.BDP($AX128,"PX_last")="#N/A N/A",_xll.BDP($AX128,"PX_Last")="#N/A FIELD NOT APPLICABLE")," ",IF(F128="GBP",(_xll.BDP($AX128,"PX_LAST")/100),(_xll.BDP($AX128,"PX_LAST"))))</f>
        <v>163.57</v>
      </c>
      <c r="R128" s="29">
        <f>IF(F128="USD",AA128,(((_xll.BDP(F128&amp;"USD CURNCY","PX_LAST")))*AA128))</f>
        <v>117362.05</v>
      </c>
      <c r="S128" s="29">
        <f>IF(F128="USD",AB128,(((_xll.BDP(F128&amp;"USD CURNCY","PX_LAST")))*AB128))</f>
        <v>133636.69</v>
      </c>
      <c r="T128" s="12">
        <f>S128-R128</f>
        <v>16274.64</v>
      </c>
      <c r="U128" s="13">
        <f>T128/R128</f>
        <v>0.13867037939436128</v>
      </c>
      <c r="V128" s="13" cm="1">
        <f t="array" ref="V128">IFERROR(_xll.BDP($G128&amp;" Equity","CHG_PCT_1D")/100,"")</f>
        <v>-3.897448E-3</v>
      </c>
      <c r="W128" s="13" cm="1">
        <f t="array" ref="W128">IFERROR(_xll.BDP($G128&amp;" Equity","CHG_PCT_5D")/100,"")</f>
        <v>2.1291210000000001E-2</v>
      </c>
      <c r="X128" s="13" t="e">
        <f>S128/#REF!</f>
        <v>#REF!</v>
      </c>
      <c r="Y128" s="24">
        <f>IFERROR(S128*J128,0)</f>
        <v>686.2799785733223</v>
      </c>
      <c r="Z128" s="24">
        <f>S128</f>
        <v>133636.69</v>
      </c>
      <c r="AA128" s="29">
        <f>P128*O128</f>
        <v>117362.05</v>
      </c>
      <c r="AB128" s="29">
        <f>IFERROR(O128*Q128,0)</f>
        <v>133636.69</v>
      </c>
      <c r="AC128" s="4" t="e" cm="1">
        <f t="array" ref="AC128">VLOOKUP(IF(NOT(_xll.BDP(AX128,$BW$8)="#N/A N/A"),(_xll.BDP(AX128,$BW$8)),"-"), '[1]Country Codes'!$A$2:$B$253,2,0)</f>
        <v>#N/A</v>
      </c>
      <c r="AD128" s="30" t="str" cm="1">
        <f t="array" ref="AD128">IF(OR(_xll.BDP($AX128,"EX028")= "#N/A N/A", _xll.BDP($AX128,"EX028")="#N/A FIELD NOT APPLICABLE"), " ", _xll.BDP($AX128,"EX028"))</f>
        <v>Equity</v>
      </c>
      <c r="AE128" s="31" t="str">
        <f>IF(("AS97"="Equity"), " ", "Single Line Equity")</f>
        <v>Single Line Equity</v>
      </c>
      <c r="AF128" s="26" cm="1">
        <f t="array" ref="AF128">IF(OR(_xll.BDP($AX128,"RR908")= "#N/A N/A", _xll.BDP($AX128,"RR908")="#N/A FIELD NOT APPLICABLE"), " ", _xll.BDP($AX128,"RR908"))</f>
        <v>15.114577405219173</v>
      </c>
      <c r="AG128" s="26" cm="1">
        <f t="array" ref="AG128">IF(OR(_xll.BDP($AX128,"RR041")= "#N/A N/A", _xll.BDP($AX128,"RR041")="#N/A FIELD NOT APPLICABLE"), " ", _xll.BDP($AX128,"RR041"))</f>
        <v>5.7069755872214918</v>
      </c>
      <c r="AH128" s="22">
        <f>_xll.BDP(AX128,"TOT_BUY_REC")</f>
        <v>63</v>
      </c>
      <c r="AI128" s="22">
        <f>_xll.BDP(AX128,"TOT_HOLD_REC")</f>
        <v>14</v>
      </c>
      <c r="AJ128" s="22">
        <f>_xll.BDP(AX128,"TOT_SELL_REC")</f>
        <v>0</v>
      </c>
      <c r="AK128" s="26" cm="1">
        <f t="array" ref="AK128">IF(OR(_xll.BDP($AX128,"EE201")= "#N/A N/A", _xll.BDP($AX128,"EE201")="#N/A FIELD NOT APPLICABLE"), " ", _xll.BDP($AX128,"EE201"))</f>
        <v>4.6103897094726563</v>
      </c>
      <c r="AL128" s="24">
        <f>_xll.BDP(AX128,"BEST_TARGET_PRICE")</f>
        <v>203.3973388671875</v>
      </c>
      <c r="AM128" s="32">
        <f>(AL128/Q128)-1</f>
        <v>0.24348804100499799</v>
      </c>
      <c r="AN128" s="32">
        <f>_xll.BDP(AX128,"PR061")/100</f>
        <v>0.1234203</v>
      </c>
      <c r="AO128" s="32">
        <f>_xll.BDP(AX128,"PR064")/100</f>
        <v>-0.14629440000000002</v>
      </c>
      <c r="AP128" s="32">
        <f>_xll.BDP(AX128,"CHG_PCT_6M")/100</f>
        <v>-7.3310269999999997E-2</v>
      </c>
      <c r="AQ128" s="25">
        <f>_xll.BDP(AX128,"PR079")/100</f>
        <v>-0.13592180000000001</v>
      </c>
      <c r="AR128" s="33">
        <f>_xll.BDP(AX128,"hs001")</f>
        <v>207.05</v>
      </c>
      <c r="AS128" s="33">
        <f>_xll.BDP(AX128,"hs002")</f>
        <v>140.53</v>
      </c>
      <c r="AT128" s="22" t="str" cm="1">
        <f t="array" ref="AT128">IF(OR(_xll.BDP($AX128,"DX202")= "#N/A N/A", _xll.BDP($AX128,"DX202")="#N/A FIELD NOT APPLICABLE"), " ", _xll.BDP($AX128,"DX202"))</f>
        <v>Communication Services</v>
      </c>
      <c r="AU128" s="22" t="str" cm="1">
        <f t="array" ref="AU128">IF(OR(_xll.BDP($AX128,"DY997")= "#N/A N/A", _xll.BDP($AX128,"DY997")="#N/A FIELD NOT APPLICABLE"), " ", _xll.BDP($AX128,"DY997"))</f>
        <v>Y</v>
      </c>
      <c r="AV128" s="22" t="str" cm="1">
        <f t="array" ref="AV128">IF(OR(_xll.BDP($AX128,"DY784")= "#N/A N/A", _xll.BDP($AX128,"DY784")="#N/A FIELD NOT APPLICABLE"), " ", _xll.BDP($AX128,"DY784"))</f>
        <v xml:space="preserve"> </v>
      </c>
      <c r="AW128" s="22" t="str">
        <f>IF(OR(AU128="Y",AV128="Y"),"Y","N")</f>
        <v>Y</v>
      </c>
      <c r="AX128" s="22" t="str">
        <f>CONCATENATE(G128," ",$AX$2)</f>
        <v>GOOGL US Equity</v>
      </c>
      <c r="BC128" s="17" t="str" cm="1">
        <f t="array" ref="BC128">_xll.BDP(AX128,"ID005")</f>
        <v>US02079K3059</v>
      </c>
      <c r="BD128" s="17">
        <v>0.7</v>
      </c>
      <c r="BE128" s="18">
        <v>4</v>
      </c>
      <c r="BF128" s="19">
        <v>45562</v>
      </c>
      <c r="BG128" s="20">
        <v>1</v>
      </c>
    </row>
    <row r="129" spans="1:59" s="3" customFormat="1" ht="14.45" customHeight="1" x14ac:dyDescent="0.25">
      <c r="A129" s="49" t="s">
        <v>241</v>
      </c>
      <c r="B129" s="49" t="s">
        <v>249</v>
      </c>
      <c r="C129" s="49" t="s">
        <v>250</v>
      </c>
      <c r="D129" s="49" t="s">
        <v>240</v>
      </c>
      <c r="E129" s="22" t="str">
        <f>_xll.BDP(AX129,"SECURITY NAME")</f>
        <v>Alphabet Inc</v>
      </c>
      <c r="F129" s="22" t="str">
        <f>_xll.BDP(AX129,"CRNCY")</f>
        <v>USD</v>
      </c>
      <c r="G129" s="23" t="s">
        <v>137</v>
      </c>
      <c r="H129" s="22" t="str" cm="1">
        <f t="array" ref="H129">IF(OR(_xll.BDP($AX129,"DX202")= "#N/A N/A", _xll.BDP($AX129,"DX202")="#N/A FIELD NOT APPLICABLE"), " ", _xll.BDP($AX129,"DX202"))</f>
        <v>Communication Services</v>
      </c>
      <c r="I129" s="24">
        <f>_xll.BDP(AX129,"CRNCY_ADJ_MKT_CAP", "EQY_FUND_CRNCY=USD")/1000</f>
        <v>1995.6807200000001</v>
      </c>
      <c r="J129" s="25">
        <f>IFERROR(_xll.BDP(AX129, "DV013")/100,0)</f>
        <v>5.13541586949903E-3</v>
      </c>
      <c r="K129" s="26" cm="1">
        <f t="array" ref="K129">IF(OR(_xll.BDP($AX129,"RR900")= "#N/A N/A", _xll.BDP($AX129,"RR900")="#N/A FIELD NOT APPLICABLE"), " ", _xll.BDP($AX129,"RR900"))</f>
        <v>19.754865204387873</v>
      </c>
      <c r="L129" s="26" cm="1">
        <f t="array" ref="L129">IF(OR(_xll.BDP($AX129,"EE010")= "#N/A N/A", _xll.BDP($AX129,"EE010")="#N/A FIELD NOT APPLICABLE"), " ", _xll.BDP($AX129,"EE010"))</f>
        <v>15.48466489965922</v>
      </c>
      <c r="M129" s="26" cm="1">
        <f t="array" ref="M129">IF(OR(_xll.BDP($AX129,"RR903")= "#N/A N/A", _xll.BDP($AX129,"RR903")="#N/A FIELD NOT APPLICABLE"), " ", _xll.BDP($AX129,"RR903"))</f>
        <v>5.7584230147273816</v>
      </c>
      <c r="N129" s="26" cm="1">
        <f t="array" ref="N129">IF(OR(_xll.BDP($AX129,"RR957")= "#N/A N/A", _xll.BDP($AX129,"RR957")="#N/A FIELD NOT APPLICABLE"), " ", _xll.BDP($AX129,"RR957"))</f>
        <v>13.926140188537387</v>
      </c>
      <c r="O129" s="27">
        <v>458</v>
      </c>
      <c r="P129" s="28">
        <v>152.88999999999999</v>
      </c>
      <c r="Q129" s="22" cm="1">
        <f t="array" ref="Q129">IF(OR(_xll.BDP($AX129,"PX_last")="#N/A N/A",_xll.BDP($AX129,"PX_Last")="#N/A FIELD NOT APPLICABLE")," ",IF(F129="GBP",(_xll.BDP($AX129,"PX_LAST")/100),(_xll.BDP($AX129,"PX_LAST"))))</f>
        <v>163.57</v>
      </c>
      <c r="R129" s="29">
        <f>IF(F129="USD",AA129,(((_xll.BDP(F129&amp;"USD CURNCY","PX_LAST")))*AA129))</f>
        <v>70023.62</v>
      </c>
      <c r="S129" s="29">
        <f>IF(F129="USD",AB129,(((_xll.BDP(F129&amp;"USD CURNCY","PX_LAST")))*AB129))</f>
        <v>74915.06</v>
      </c>
      <c r="T129" s="12">
        <f>S129-R129</f>
        <v>4891.4400000000023</v>
      </c>
      <c r="U129" s="13">
        <f>T129/R129</f>
        <v>6.9854143501864127E-2</v>
      </c>
      <c r="V129" s="13" cm="1">
        <f t="array" ref="V129">IFERROR(_xll.BDP($G129&amp;" Equity","CHG_PCT_1D")/100,"")</f>
        <v>-3.897448E-3</v>
      </c>
      <c r="W129" s="13" cm="1">
        <f t="array" ref="W129">IFERROR(_xll.BDP($G129&amp;" Equity","CHG_PCT_5D")/100,"")</f>
        <v>2.1291210000000001E-2</v>
      </c>
      <c r="X129" s="13" t="e">
        <f>S129/#REF!</f>
        <v>#REF!</v>
      </c>
      <c r="Y129" s="24">
        <f>IFERROR(S129*J129,0)</f>
        <v>384.71998798847198</v>
      </c>
      <c r="Z129" s="24">
        <f>S129</f>
        <v>74915.06</v>
      </c>
      <c r="AA129" s="29">
        <f>P129*O129</f>
        <v>70023.62</v>
      </c>
      <c r="AB129" s="29">
        <f>IFERROR(O129*Q129,0)</f>
        <v>74915.06</v>
      </c>
      <c r="AC129" s="4" t="e" cm="1">
        <f t="array" ref="AC129">VLOOKUP(IF(NOT(_xll.BDP(AX129,$BW$8)="#N/A N/A"),(_xll.BDP(AX129,$BW$8)),"-"), '[1]Country Codes'!$A$2:$B$253,2,0)</f>
        <v>#N/A</v>
      </c>
      <c r="AD129" s="30" t="str" cm="1">
        <f t="array" ref="AD129">IF(OR(_xll.BDP($AX129,"EX028")= "#N/A N/A", _xll.BDP($AX129,"EX028")="#N/A FIELD NOT APPLICABLE"), " ", _xll.BDP($AX129,"EX028"))</f>
        <v>Equity</v>
      </c>
      <c r="AE129" s="31" t="str">
        <f>IF(("AS97"="Equity"), " ", "Single Line Equity")</f>
        <v>Single Line Equity</v>
      </c>
      <c r="AF129" s="26" cm="1">
        <f t="array" ref="AF129">IF(OR(_xll.BDP($AX129,"RR908")= "#N/A N/A", _xll.BDP($AX129,"RR908")="#N/A FIELD NOT APPLICABLE"), " ", _xll.BDP($AX129,"RR908"))</f>
        <v>15.114577405219173</v>
      </c>
      <c r="AG129" s="26" cm="1">
        <f t="array" ref="AG129">IF(OR(_xll.BDP($AX129,"RR041")= "#N/A N/A", _xll.BDP($AX129,"RR041")="#N/A FIELD NOT APPLICABLE"), " ", _xll.BDP($AX129,"RR041"))</f>
        <v>5.7069755872214918</v>
      </c>
      <c r="AH129" s="22">
        <f>_xll.BDP(AX129,"TOT_BUY_REC")</f>
        <v>63</v>
      </c>
      <c r="AI129" s="22">
        <f>_xll.BDP(AX129,"TOT_HOLD_REC")</f>
        <v>14</v>
      </c>
      <c r="AJ129" s="22">
        <f>_xll.BDP(AX129,"TOT_SELL_REC")</f>
        <v>0</v>
      </c>
      <c r="AK129" s="26" cm="1">
        <f t="array" ref="AK129">IF(OR(_xll.BDP($AX129,"EE201")= "#N/A N/A", _xll.BDP($AX129,"EE201")="#N/A FIELD NOT APPLICABLE"), " ", _xll.BDP($AX129,"EE201"))</f>
        <v>4.6103897094726563</v>
      </c>
      <c r="AL129" s="24">
        <f>_xll.BDP(AX129,"BEST_TARGET_PRICE")</f>
        <v>203.3973388671875</v>
      </c>
      <c r="AM129" s="32">
        <f>(AL129/Q129)-1</f>
        <v>0.24348804100499799</v>
      </c>
      <c r="AN129" s="32">
        <f>_xll.BDP(AX129,"PR061")/100</f>
        <v>0.1234203</v>
      </c>
      <c r="AO129" s="32">
        <f>_xll.BDP(AX129,"PR064")/100</f>
        <v>-0.14629440000000002</v>
      </c>
      <c r="AP129" s="32">
        <f>_xll.BDP(AX129,"CHG_PCT_6M")/100</f>
        <v>-7.3310269999999997E-2</v>
      </c>
      <c r="AQ129" s="25">
        <f>_xll.BDP(AX129,"PR079")/100</f>
        <v>-0.13592180000000001</v>
      </c>
      <c r="AR129" s="33">
        <f>_xll.BDP(AX129,"hs001")</f>
        <v>207.05</v>
      </c>
      <c r="AS129" s="33">
        <f>_xll.BDP(AX129,"hs002")</f>
        <v>140.53</v>
      </c>
      <c r="AT129" s="22" t="str" cm="1">
        <f t="array" ref="AT129">IF(OR(_xll.BDP($AX129,"DX202")= "#N/A N/A", _xll.BDP($AX129,"DX202")="#N/A FIELD NOT APPLICABLE"), " ", _xll.BDP($AX129,"DX202"))</f>
        <v>Communication Services</v>
      </c>
      <c r="AU129" s="22" t="str" cm="1">
        <f t="array" ref="AU129">IF(OR(_xll.BDP($AX129,"DY997")= "#N/A N/A", _xll.BDP($AX129,"DY997")="#N/A FIELD NOT APPLICABLE"), " ", _xll.BDP($AX129,"DY997"))</f>
        <v>Y</v>
      </c>
      <c r="AV129" s="22" t="str" cm="1">
        <f t="array" ref="AV129">IF(OR(_xll.BDP($AX129,"DY784")= "#N/A N/A", _xll.BDP($AX129,"DY784")="#N/A FIELD NOT APPLICABLE"), " ", _xll.BDP($AX129,"DY784"))</f>
        <v xml:space="preserve"> </v>
      </c>
      <c r="AW129" s="22" t="str">
        <f>IF(OR(AU129="Y",AV129="Y"),"Y","N")</f>
        <v>Y</v>
      </c>
      <c r="AX129" s="22" t="str">
        <f>CONCATENATE(G129," ",$AX$2)</f>
        <v>GOOGL US Equity</v>
      </c>
      <c r="BC129" s="17" t="str" cm="1">
        <f t="array" ref="BC129">_xll.BDP(AX129,"ID005")</f>
        <v>US02079K3059</v>
      </c>
      <c r="BD129" s="17">
        <v>0.7</v>
      </c>
      <c r="BE129" s="18">
        <v>4</v>
      </c>
      <c r="BF129" s="19">
        <v>45562</v>
      </c>
      <c r="BG129" s="20">
        <v>1</v>
      </c>
    </row>
    <row r="130" spans="1:59" s="3" customFormat="1" ht="14.45" customHeight="1" x14ac:dyDescent="0.25">
      <c r="A130" s="49" t="s">
        <v>241</v>
      </c>
      <c r="B130" s="49" t="s">
        <v>251</v>
      </c>
      <c r="C130" s="49" t="s">
        <v>252</v>
      </c>
      <c r="D130" s="49" t="s">
        <v>240</v>
      </c>
      <c r="E130" s="22" t="str">
        <f>_xll.BDP(AX130,"SECURITY NAME")</f>
        <v>Alphabet Inc</v>
      </c>
      <c r="F130" s="22" t="str">
        <f>_xll.BDP(AX130,"CRNCY")</f>
        <v>USD</v>
      </c>
      <c r="G130" s="23" t="s">
        <v>137</v>
      </c>
      <c r="H130" s="22" t="str" cm="1">
        <f t="array" ref="H130">IF(OR(_xll.BDP($AX130,"DX202")= "#N/A N/A", _xll.BDP($AX130,"DX202")="#N/A FIELD NOT APPLICABLE"), " ", _xll.BDP($AX130,"DX202"))</f>
        <v>Communication Services</v>
      </c>
      <c r="I130" s="24">
        <f>_xll.BDP(AX130,"CRNCY_ADJ_MKT_CAP", "EQY_FUND_CRNCY=USD")/1000</f>
        <v>1995.6807200000001</v>
      </c>
      <c r="J130" s="25">
        <f>IFERROR(_xll.BDP(AX130, "DV013")/100,0)</f>
        <v>5.13541586949903E-3</v>
      </c>
      <c r="K130" s="26" cm="1">
        <f t="array" ref="K130">IF(OR(_xll.BDP($AX130,"RR900")= "#N/A N/A", _xll.BDP($AX130,"RR900")="#N/A FIELD NOT APPLICABLE"), " ", _xll.BDP($AX130,"RR900"))</f>
        <v>19.754865204387873</v>
      </c>
      <c r="L130" s="26" cm="1">
        <f t="array" ref="L130">IF(OR(_xll.BDP($AX130,"EE010")= "#N/A N/A", _xll.BDP($AX130,"EE010")="#N/A FIELD NOT APPLICABLE"), " ", _xll.BDP($AX130,"EE010"))</f>
        <v>15.48466489965922</v>
      </c>
      <c r="M130" s="26" cm="1">
        <f t="array" ref="M130">IF(OR(_xll.BDP($AX130,"RR903")= "#N/A N/A", _xll.BDP($AX130,"RR903")="#N/A FIELD NOT APPLICABLE"), " ", _xll.BDP($AX130,"RR903"))</f>
        <v>5.7584230147273816</v>
      </c>
      <c r="N130" s="26" cm="1">
        <f t="array" ref="N130">IF(OR(_xll.BDP($AX130,"RR957")= "#N/A N/A", _xll.BDP($AX130,"RR957")="#N/A FIELD NOT APPLICABLE"), " ", _xll.BDP($AX130,"RR957"))</f>
        <v>13.926140188537387</v>
      </c>
      <c r="O130" s="27">
        <v>523</v>
      </c>
      <c r="P130" s="28">
        <v>152.88999999999999</v>
      </c>
      <c r="Q130" s="22" cm="1">
        <f t="array" ref="Q130">IF(OR(_xll.BDP($AX130,"PX_last")="#N/A N/A",_xll.BDP($AX130,"PX_Last")="#N/A FIELD NOT APPLICABLE")," ",IF(F130="GBP",(_xll.BDP($AX130,"PX_LAST")/100),(_xll.BDP($AX130,"PX_LAST"))))</f>
        <v>163.57</v>
      </c>
      <c r="R130" s="29">
        <f>IF(F130="USD",AA130,(((_xll.BDP(F130&amp;"USD CURNCY","PX_LAST")))*AA130))</f>
        <v>79961.469999999987</v>
      </c>
      <c r="S130" s="29">
        <f>IF(F130="USD",AB130,(((_xll.BDP(F130&amp;"USD CURNCY","PX_LAST")))*AB130))</f>
        <v>85547.11</v>
      </c>
      <c r="T130" s="12">
        <f>S130-R130</f>
        <v>5585.640000000014</v>
      </c>
      <c r="U130" s="13">
        <f>T130/R130</f>
        <v>6.9854143501864266E-2</v>
      </c>
      <c r="V130" s="13" cm="1">
        <f t="array" ref="V130">IFERROR(_xll.BDP($G130&amp;" Equity","CHG_PCT_1D")/100,"")</f>
        <v>-3.897448E-3</v>
      </c>
      <c r="W130" s="13" cm="1">
        <f t="array" ref="W130">IFERROR(_xll.BDP($G130&amp;" Equity","CHG_PCT_5D")/100,"")</f>
        <v>2.1291210000000001E-2</v>
      </c>
      <c r="X130" s="13" t="e">
        <f>S130/#REF!</f>
        <v>#REF!</v>
      </c>
      <c r="Y130" s="24">
        <f>IFERROR(S130*J130,0)</f>
        <v>439.31998628377914</v>
      </c>
      <c r="Z130" s="24">
        <f>S130</f>
        <v>85547.11</v>
      </c>
      <c r="AA130" s="29">
        <f>P130*O130</f>
        <v>79961.469999999987</v>
      </c>
      <c r="AB130" s="29">
        <f>IFERROR(O130*Q130,0)</f>
        <v>85547.11</v>
      </c>
      <c r="AC130" s="4" t="e" cm="1">
        <f t="array" ref="AC130">VLOOKUP(IF(NOT(_xll.BDP(AX130,$BW$8)="#N/A N/A"),(_xll.BDP(AX130,$BW$8)),"-"), '[1]Country Codes'!$A$2:$B$253,2,0)</f>
        <v>#N/A</v>
      </c>
      <c r="AD130" s="30" t="str" cm="1">
        <f t="array" ref="AD130">IF(OR(_xll.BDP($AX130,"EX028")= "#N/A N/A", _xll.BDP($AX130,"EX028")="#N/A FIELD NOT APPLICABLE"), " ", _xll.BDP($AX130,"EX028"))</f>
        <v>Equity</v>
      </c>
      <c r="AE130" s="31" t="str">
        <f>IF(("AS97"="Equity"), " ", "Single Line Equity")</f>
        <v>Single Line Equity</v>
      </c>
      <c r="AF130" s="26" cm="1">
        <f t="array" ref="AF130">IF(OR(_xll.BDP($AX130,"RR908")= "#N/A N/A", _xll.BDP($AX130,"RR908")="#N/A FIELD NOT APPLICABLE"), " ", _xll.BDP($AX130,"RR908"))</f>
        <v>15.114577405219173</v>
      </c>
      <c r="AG130" s="26" cm="1">
        <f t="array" ref="AG130">IF(OR(_xll.BDP($AX130,"RR041")= "#N/A N/A", _xll.BDP($AX130,"RR041")="#N/A FIELD NOT APPLICABLE"), " ", _xll.BDP($AX130,"RR041"))</f>
        <v>5.7069755872214918</v>
      </c>
      <c r="AH130" s="22">
        <f>_xll.BDP(AX130,"TOT_BUY_REC")</f>
        <v>63</v>
      </c>
      <c r="AI130" s="22">
        <f>_xll.BDP(AX130,"TOT_HOLD_REC")</f>
        <v>14</v>
      </c>
      <c r="AJ130" s="22">
        <f>_xll.BDP(AX130,"TOT_SELL_REC")</f>
        <v>0</v>
      </c>
      <c r="AK130" s="26" cm="1">
        <f t="array" ref="AK130">IF(OR(_xll.BDP($AX130,"EE201")= "#N/A N/A", _xll.BDP($AX130,"EE201")="#N/A FIELD NOT APPLICABLE"), " ", _xll.BDP($AX130,"EE201"))</f>
        <v>4.6103897094726563</v>
      </c>
      <c r="AL130" s="24">
        <f>_xll.BDP(AX130,"BEST_TARGET_PRICE")</f>
        <v>203.3973388671875</v>
      </c>
      <c r="AM130" s="32">
        <f>(AL130/Q130)-1</f>
        <v>0.24348804100499799</v>
      </c>
      <c r="AN130" s="32">
        <f>_xll.BDP(AX130,"PR061")/100</f>
        <v>0.1234203</v>
      </c>
      <c r="AO130" s="32">
        <f>_xll.BDP(AX130,"PR064")/100</f>
        <v>-0.14629440000000002</v>
      </c>
      <c r="AP130" s="32">
        <f>_xll.BDP(AX130,"CHG_PCT_6M")/100</f>
        <v>-7.3310269999999997E-2</v>
      </c>
      <c r="AQ130" s="25">
        <f>_xll.BDP(AX130,"PR079")/100</f>
        <v>-0.13592180000000001</v>
      </c>
      <c r="AR130" s="33">
        <f>_xll.BDP(AX130,"hs001")</f>
        <v>207.05</v>
      </c>
      <c r="AS130" s="33">
        <f>_xll.BDP(AX130,"hs002")</f>
        <v>140.53</v>
      </c>
      <c r="AT130" s="22" t="str" cm="1">
        <f t="array" ref="AT130">IF(OR(_xll.BDP($AX130,"DX202")= "#N/A N/A", _xll.BDP($AX130,"DX202")="#N/A FIELD NOT APPLICABLE"), " ", _xll.BDP($AX130,"DX202"))</f>
        <v>Communication Services</v>
      </c>
      <c r="AU130" s="22" t="str" cm="1">
        <f t="array" ref="AU130">IF(OR(_xll.BDP($AX130,"DY997")= "#N/A N/A", _xll.BDP($AX130,"DY997")="#N/A FIELD NOT APPLICABLE"), " ", _xll.BDP($AX130,"DY997"))</f>
        <v>Y</v>
      </c>
      <c r="AV130" s="22" t="str" cm="1">
        <f t="array" ref="AV130">IF(OR(_xll.BDP($AX130,"DY784")= "#N/A N/A", _xll.BDP($AX130,"DY784")="#N/A FIELD NOT APPLICABLE"), " ", _xll.BDP($AX130,"DY784"))</f>
        <v xml:space="preserve"> </v>
      </c>
      <c r="AW130" s="22" t="str">
        <f>IF(OR(AU130="Y",AV130="Y"),"Y","N")</f>
        <v>Y</v>
      </c>
      <c r="AX130" s="22" t="str">
        <f>CONCATENATE(G130," ",$AX$2)</f>
        <v>GOOGL US Equity</v>
      </c>
      <c r="BC130" s="17" t="str" cm="1">
        <f t="array" ref="BC130">_xll.BDP(AX130,"ID005")</f>
        <v>US02079K3059</v>
      </c>
      <c r="BD130" s="17">
        <v>0.7</v>
      </c>
      <c r="BE130" s="18">
        <v>4</v>
      </c>
      <c r="BF130" s="19">
        <v>45562</v>
      </c>
      <c r="BG130" s="20">
        <v>1</v>
      </c>
    </row>
    <row r="131" spans="1:59" s="3" customFormat="1" ht="14.45" customHeight="1" x14ac:dyDescent="0.25">
      <c r="A131" s="49" t="s">
        <v>241</v>
      </c>
      <c r="B131" s="49" t="s">
        <v>253</v>
      </c>
      <c r="C131" s="49" t="s">
        <v>254</v>
      </c>
      <c r="D131" s="49" t="s">
        <v>240</v>
      </c>
      <c r="E131" s="22" t="str">
        <f>_xll.BDP(AX131,"SECURITY NAME")</f>
        <v>Alphabet Inc</v>
      </c>
      <c r="F131" s="22" t="str">
        <f>_xll.BDP(AX131,"CRNCY")</f>
        <v>USD</v>
      </c>
      <c r="G131" s="23" t="s">
        <v>137</v>
      </c>
      <c r="H131" s="22" t="str" cm="1">
        <f t="array" ref="H131">IF(OR(_xll.BDP($AX131,"DX202")= "#N/A N/A", _xll.BDP($AX131,"DX202")="#N/A FIELD NOT APPLICABLE"), " ", _xll.BDP($AX131,"DX202"))</f>
        <v>Communication Services</v>
      </c>
      <c r="I131" s="24">
        <f>_xll.BDP(AX131,"CRNCY_ADJ_MKT_CAP", "EQY_FUND_CRNCY=USD")/1000</f>
        <v>1995.6807200000001</v>
      </c>
      <c r="J131" s="25">
        <f>IFERROR(_xll.BDP(AX131, "DV013")/100,0)</f>
        <v>5.13541586949903E-3</v>
      </c>
      <c r="K131" s="26" cm="1">
        <f t="array" ref="K131">IF(OR(_xll.BDP($AX131,"RR900")= "#N/A N/A", _xll.BDP($AX131,"RR900")="#N/A FIELD NOT APPLICABLE"), " ", _xll.BDP($AX131,"RR900"))</f>
        <v>19.754865204387873</v>
      </c>
      <c r="L131" s="26" cm="1">
        <f t="array" ref="L131">IF(OR(_xll.BDP($AX131,"EE010")= "#N/A N/A", _xll.BDP($AX131,"EE010")="#N/A FIELD NOT APPLICABLE"), " ", _xll.BDP($AX131,"EE010"))</f>
        <v>15.48466489965922</v>
      </c>
      <c r="M131" s="26" cm="1">
        <f t="array" ref="M131">IF(OR(_xll.BDP($AX131,"RR903")= "#N/A N/A", _xll.BDP($AX131,"RR903")="#N/A FIELD NOT APPLICABLE"), " ", _xll.BDP($AX131,"RR903"))</f>
        <v>5.7584230147273816</v>
      </c>
      <c r="N131" s="26" cm="1">
        <f t="array" ref="N131">IF(OR(_xll.BDP($AX131,"RR957")= "#N/A N/A", _xll.BDP($AX131,"RR957")="#N/A FIELD NOT APPLICABLE"), " ", _xll.BDP($AX131,"RR957"))</f>
        <v>13.926140188537387</v>
      </c>
      <c r="O131" s="27">
        <v>164</v>
      </c>
      <c r="P131" s="28">
        <v>152.88999999999999</v>
      </c>
      <c r="Q131" s="22" cm="1">
        <f t="array" ref="Q131">IF(OR(_xll.BDP($AX131,"PX_last")="#N/A N/A",_xll.BDP($AX131,"PX_Last")="#N/A FIELD NOT APPLICABLE")," ",IF(F131="GBP",(_xll.BDP($AX131,"PX_LAST")/100),(_xll.BDP($AX131,"PX_LAST"))))</f>
        <v>163.57</v>
      </c>
      <c r="R131" s="29">
        <f>IF(F131="USD",AA131,(((_xll.BDP(F131&amp;"USD CURNCY","PX_LAST")))*AA131))</f>
        <v>25073.96</v>
      </c>
      <c r="S131" s="29">
        <f>IF(F131="USD",AB131,(((_xll.BDP(F131&amp;"USD CURNCY","PX_LAST")))*AB131))</f>
        <v>26825.48</v>
      </c>
      <c r="T131" s="12">
        <f>S131-R131</f>
        <v>1751.5200000000004</v>
      </c>
      <c r="U131" s="13">
        <f>T131/R131</f>
        <v>6.9854143501864099E-2</v>
      </c>
      <c r="V131" s="13" cm="1">
        <f t="array" ref="V131">IFERROR(_xll.BDP($G131&amp;" Equity","CHG_PCT_1D")/100,"")</f>
        <v>-3.897448E-3</v>
      </c>
      <c r="W131" s="13" cm="1">
        <f t="array" ref="W131">IFERROR(_xll.BDP($G131&amp;" Equity","CHG_PCT_5D")/100,"")</f>
        <v>2.1291210000000001E-2</v>
      </c>
      <c r="X131" s="13" t="e">
        <f>S131/#REF!</f>
        <v>#REF!</v>
      </c>
      <c r="Y131" s="24">
        <f>IFERROR(S131*J131,0)</f>
        <v>137.75999569892883</v>
      </c>
      <c r="Z131" s="24">
        <f>S131</f>
        <v>26825.48</v>
      </c>
      <c r="AA131" s="29">
        <f>P131*O131</f>
        <v>25073.96</v>
      </c>
      <c r="AB131" s="29">
        <f>IFERROR(O131*Q131,0)</f>
        <v>26825.48</v>
      </c>
      <c r="AC131" s="4" t="e" cm="1">
        <f t="array" ref="AC131">VLOOKUP(IF(NOT(_xll.BDP(AX131,$BW$8)="#N/A N/A"),(_xll.BDP(AX131,$BW$8)),"-"), '[1]Country Codes'!$A$2:$B$253,2,0)</f>
        <v>#N/A</v>
      </c>
      <c r="AD131" s="30" t="str" cm="1">
        <f t="array" ref="AD131">IF(OR(_xll.BDP($AX131,"EX028")= "#N/A N/A", _xll.BDP($AX131,"EX028")="#N/A FIELD NOT APPLICABLE"), " ", _xll.BDP($AX131,"EX028"))</f>
        <v>Equity</v>
      </c>
      <c r="AE131" s="31" t="str">
        <f>IF(("AS97"="Equity"), " ", "Single Line Equity")</f>
        <v>Single Line Equity</v>
      </c>
      <c r="AF131" s="26" cm="1">
        <f t="array" ref="AF131">IF(OR(_xll.BDP($AX131,"RR908")= "#N/A N/A", _xll.BDP($AX131,"RR908")="#N/A FIELD NOT APPLICABLE"), " ", _xll.BDP($AX131,"RR908"))</f>
        <v>15.114577405219173</v>
      </c>
      <c r="AG131" s="26" cm="1">
        <f t="array" ref="AG131">IF(OR(_xll.BDP($AX131,"RR041")= "#N/A N/A", _xll.BDP($AX131,"RR041")="#N/A FIELD NOT APPLICABLE"), " ", _xll.BDP($AX131,"RR041"))</f>
        <v>5.7069755872214918</v>
      </c>
      <c r="AH131" s="22">
        <f>_xll.BDP(AX131,"TOT_BUY_REC")</f>
        <v>63</v>
      </c>
      <c r="AI131" s="22">
        <f>_xll.BDP(AX131,"TOT_HOLD_REC")</f>
        <v>14</v>
      </c>
      <c r="AJ131" s="22">
        <f>_xll.BDP(AX131,"TOT_SELL_REC")</f>
        <v>0</v>
      </c>
      <c r="AK131" s="26" cm="1">
        <f t="array" ref="AK131">IF(OR(_xll.BDP($AX131,"EE201")= "#N/A N/A", _xll.BDP($AX131,"EE201")="#N/A FIELD NOT APPLICABLE"), " ", _xll.BDP($AX131,"EE201"))</f>
        <v>4.6103897094726563</v>
      </c>
      <c r="AL131" s="24">
        <f>_xll.BDP(AX131,"BEST_TARGET_PRICE")</f>
        <v>203.3973388671875</v>
      </c>
      <c r="AM131" s="32">
        <f>(AL131/Q131)-1</f>
        <v>0.24348804100499799</v>
      </c>
      <c r="AN131" s="32">
        <f>_xll.BDP(AX131,"PR061")/100</f>
        <v>0.1234203</v>
      </c>
      <c r="AO131" s="32">
        <f>_xll.BDP(AX131,"PR064")/100</f>
        <v>-0.14629440000000002</v>
      </c>
      <c r="AP131" s="32">
        <f>_xll.BDP(AX131,"CHG_PCT_6M")/100</f>
        <v>-7.3310269999999997E-2</v>
      </c>
      <c r="AQ131" s="25">
        <f>_xll.BDP(AX131,"PR079")/100</f>
        <v>-0.13592180000000001</v>
      </c>
      <c r="AR131" s="33">
        <f>_xll.BDP(AX131,"hs001")</f>
        <v>207.05</v>
      </c>
      <c r="AS131" s="33">
        <f>_xll.BDP(AX131,"hs002")</f>
        <v>140.53</v>
      </c>
      <c r="AT131" s="22" t="str" cm="1">
        <f t="array" ref="AT131">IF(OR(_xll.BDP($AX131,"DX202")= "#N/A N/A", _xll.BDP($AX131,"DX202")="#N/A FIELD NOT APPLICABLE"), " ", _xll.BDP($AX131,"DX202"))</f>
        <v>Communication Services</v>
      </c>
      <c r="AU131" s="22" t="str" cm="1">
        <f t="array" ref="AU131">IF(OR(_xll.BDP($AX131,"DY997")= "#N/A N/A", _xll.BDP($AX131,"DY997")="#N/A FIELD NOT APPLICABLE"), " ", _xll.BDP($AX131,"DY997"))</f>
        <v>Y</v>
      </c>
      <c r="AV131" s="22" t="str" cm="1">
        <f t="array" ref="AV131">IF(OR(_xll.BDP($AX131,"DY784")= "#N/A N/A", _xll.BDP($AX131,"DY784")="#N/A FIELD NOT APPLICABLE"), " ", _xll.BDP($AX131,"DY784"))</f>
        <v xml:space="preserve"> </v>
      </c>
      <c r="AW131" s="22" t="str">
        <f>IF(OR(AU131="Y",AV131="Y"),"Y","N")</f>
        <v>Y</v>
      </c>
      <c r="AX131" s="22" t="str">
        <f>CONCATENATE(G131," ",$AX$2)</f>
        <v>GOOGL US Equity</v>
      </c>
      <c r="BC131" s="17" t="str" cm="1">
        <f t="array" ref="BC131">_xll.BDP(AX131,"ID005")</f>
        <v>US02079K3059</v>
      </c>
      <c r="BD131" s="17">
        <v>0.7</v>
      </c>
      <c r="BE131" s="18">
        <v>4</v>
      </c>
      <c r="BF131" s="19">
        <v>45562</v>
      </c>
      <c r="BG131" s="20">
        <v>1</v>
      </c>
    </row>
    <row r="132" spans="1:59" s="3" customFormat="1" ht="14.45" customHeight="1" x14ac:dyDescent="0.25">
      <c r="A132" s="49" t="s">
        <v>242</v>
      </c>
      <c r="B132" s="49" t="s">
        <v>255</v>
      </c>
      <c r="C132" s="49" t="s">
        <v>256</v>
      </c>
      <c r="D132" s="49" t="s">
        <v>248</v>
      </c>
      <c r="E132" s="22" t="str">
        <f>_xll.BDP(AX132,"SECURITY NAME")</f>
        <v>Alphabet Inc</v>
      </c>
      <c r="F132" s="22" t="str">
        <f>_xll.BDP(AX132,"CRNCY")</f>
        <v>USD</v>
      </c>
      <c r="G132" s="23" t="s">
        <v>137</v>
      </c>
      <c r="H132" s="22" t="str" cm="1">
        <f t="array" ref="H132">IF(OR(_xll.BDP($AX132,"DX202")= "#N/A N/A", _xll.BDP($AX132,"DX202")="#N/A FIELD NOT APPLICABLE"), " ", _xll.BDP($AX132,"DX202"))</f>
        <v>Communication Services</v>
      </c>
      <c r="I132" s="24">
        <f>_xll.BDP(AX132,"CRNCY_ADJ_MKT_CAP", "EQY_FUND_CRNCY=USD")/1000</f>
        <v>1995.6807200000001</v>
      </c>
      <c r="J132" s="25">
        <f>IFERROR(_xll.BDP(AX132, "DV013")/100,0)</f>
        <v>5.13541586949903E-3</v>
      </c>
      <c r="K132" s="26" cm="1">
        <f t="array" ref="K132">IF(OR(_xll.BDP($AX132,"RR900")= "#N/A N/A", _xll.BDP($AX132,"RR900")="#N/A FIELD NOT APPLICABLE"), " ", _xll.BDP($AX132,"RR900"))</f>
        <v>19.754865204387873</v>
      </c>
      <c r="L132" s="26" cm="1">
        <f t="array" ref="L132">IF(OR(_xll.BDP($AX132,"EE010")= "#N/A N/A", _xll.BDP($AX132,"EE010")="#N/A FIELD NOT APPLICABLE"), " ", _xll.BDP($AX132,"EE010"))</f>
        <v>15.48466489965922</v>
      </c>
      <c r="M132" s="26" cm="1">
        <f t="array" ref="M132">IF(OR(_xll.BDP($AX132,"RR903")= "#N/A N/A", _xll.BDP($AX132,"RR903")="#N/A FIELD NOT APPLICABLE"), " ", _xll.BDP($AX132,"RR903"))</f>
        <v>5.7584230147273816</v>
      </c>
      <c r="N132" s="26" cm="1">
        <f t="array" ref="N132">IF(OR(_xll.BDP($AX132,"RR957")= "#N/A N/A", _xll.BDP($AX132,"RR957")="#N/A FIELD NOT APPLICABLE"), " ", _xll.BDP($AX132,"RR957"))</f>
        <v>13.926140188537387</v>
      </c>
      <c r="O132" s="27">
        <v>556</v>
      </c>
      <c r="P132" s="28">
        <v>153.44999999999999</v>
      </c>
      <c r="Q132" s="22" cm="1">
        <f t="array" ref="Q132">IF(OR(_xll.BDP($AX132,"PX_last")="#N/A N/A",_xll.BDP($AX132,"PX_Last")="#N/A FIELD NOT APPLICABLE")," ",IF(F132="GBP",(_xll.BDP($AX132,"PX_LAST")/100),(_xll.BDP($AX132,"PX_LAST"))))</f>
        <v>163.57</v>
      </c>
      <c r="R132" s="29">
        <f>IF(F132="USD",AA132,(((_xll.BDP(F132&amp;"USD CURNCY","PX_LAST")))*AA132))</f>
        <v>85318.2</v>
      </c>
      <c r="S132" s="29">
        <f>IF(F132="USD",AB132,(((_xll.BDP(F132&amp;"USD CURNCY","PX_LAST")))*AB132))</f>
        <v>90944.92</v>
      </c>
      <c r="T132" s="12">
        <f>S132-R132</f>
        <v>5626.7200000000012</v>
      </c>
      <c r="U132" s="13">
        <f>T132/R132</f>
        <v>6.5949820788530483E-2</v>
      </c>
      <c r="V132" s="13" cm="1">
        <f t="array" ref="V132">IFERROR(_xll.BDP($G132&amp;" Equity","CHG_PCT_1D")/100,"")</f>
        <v>-3.897448E-3</v>
      </c>
      <c r="W132" s="13" cm="1">
        <f t="array" ref="W132">IFERROR(_xll.BDP($G132&amp;" Equity","CHG_PCT_5D")/100,"")</f>
        <v>2.1291210000000001E-2</v>
      </c>
      <c r="X132" s="13" t="e">
        <f>S132/#REF!</f>
        <v>#REF!</v>
      </c>
      <c r="Y132" s="24">
        <f>IFERROR(S132*J132,0)</f>
        <v>467.0399854183197</v>
      </c>
      <c r="Z132" s="24">
        <f>S132</f>
        <v>90944.92</v>
      </c>
      <c r="AA132" s="29">
        <f>P132*O132</f>
        <v>85318.2</v>
      </c>
      <c r="AB132" s="29">
        <f>IFERROR(O132*Q132,0)</f>
        <v>90944.92</v>
      </c>
      <c r="AC132" s="4" t="e" cm="1">
        <f t="array" ref="AC132">VLOOKUP(IF(NOT(_xll.BDP(AX132,$BW$8)="#N/A N/A"),(_xll.BDP(AX132,$BW$8)),"-"), '[1]Country Codes'!$A$2:$B$253,2,0)</f>
        <v>#N/A</v>
      </c>
      <c r="AD132" s="30" t="str" cm="1">
        <f t="array" ref="AD132">IF(OR(_xll.BDP($AX132,"EX028")= "#N/A N/A", _xll.BDP($AX132,"EX028")="#N/A FIELD NOT APPLICABLE"), " ", _xll.BDP($AX132,"EX028"))</f>
        <v>Equity</v>
      </c>
      <c r="AE132" s="31" t="str">
        <f>IF(("AS97"="Equity"), " ", "Single Line Equity")</f>
        <v>Single Line Equity</v>
      </c>
      <c r="AF132" s="26" cm="1">
        <f t="array" ref="AF132">IF(OR(_xll.BDP($AX132,"RR908")= "#N/A N/A", _xll.BDP($AX132,"RR908")="#N/A FIELD NOT APPLICABLE"), " ", _xll.BDP($AX132,"RR908"))</f>
        <v>15.114577405219173</v>
      </c>
      <c r="AG132" s="26" cm="1">
        <f t="array" ref="AG132">IF(OR(_xll.BDP($AX132,"RR041")= "#N/A N/A", _xll.BDP($AX132,"RR041")="#N/A FIELD NOT APPLICABLE"), " ", _xll.BDP($AX132,"RR041"))</f>
        <v>5.7069755872214918</v>
      </c>
      <c r="AH132" s="22">
        <f>_xll.BDP(AX132,"TOT_BUY_REC")</f>
        <v>63</v>
      </c>
      <c r="AI132" s="22">
        <f>_xll.BDP(AX132,"TOT_HOLD_REC")</f>
        <v>14</v>
      </c>
      <c r="AJ132" s="22">
        <f>_xll.BDP(AX132,"TOT_SELL_REC")</f>
        <v>0</v>
      </c>
      <c r="AK132" s="26" cm="1">
        <f t="array" ref="AK132">IF(OR(_xll.BDP($AX132,"EE201")= "#N/A N/A", _xll.BDP($AX132,"EE201")="#N/A FIELD NOT APPLICABLE"), " ", _xll.BDP($AX132,"EE201"))</f>
        <v>4.6103897094726563</v>
      </c>
      <c r="AL132" s="24">
        <f>_xll.BDP(AX132,"BEST_TARGET_PRICE")</f>
        <v>203.3973388671875</v>
      </c>
      <c r="AM132" s="32">
        <f>(AL132/Q132)-1</f>
        <v>0.24348804100499799</v>
      </c>
      <c r="AN132" s="32">
        <f>_xll.BDP(AX132,"PR061")/100</f>
        <v>0.1234203</v>
      </c>
      <c r="AO132" s="32">
        <f>_xll.BDP(AX132,"PR064")/100</f>
        <v>-0.14629440000000002</v>
      </c>
      <c r="AP132" s="32">
        <f>_xll.BDP(AX132,"CHG_PCT_6M")/100</f>
        <v>-7.3310269999999997E-2</v>
      </c>
      <c r="AQ132" s="25">
        <f>_xll.BDP(AX132,"PR079")/100</f>
        <v>-0.13592180000000001</v>
      </c>
      <c r="AR132" s="33">
        <f>_xll.BDP(AX132,"hs001")</f>
        <v>207.05</v>
      </c>
      <c r="AS132" s="33">
        <f>_xll.BDP(AX132,"hs002")</f>
        <v>140.53</v>
      </c>
      <c r="AT132" s="22" t="str" cm="1">
        <f t="array" ref="AT132">IF(OR(_xll.BDP($AX132,"DX202")= "#N/A N/A", _xll.BDP($AX132,"DX202")="#N/A FIELD NOT APPLICABLE"), " ", _xll.BDP($AX132,"DX202"))</f>
        <v>Communication Services</v>
      </c>
      <c r="AU132" s="22" t="str" cm="1">
        <f t="array" ref="AU132">IF(OR(_xll.BDP($AX132,"DY997")= "#N/A N/A", _xll.BDP($AX132,"DY997")="#N/A FIELD NOT APPLICABLE"), " ", _xll.BDP($AX132,"DY997"))</f>
        <v>Y</v>
      </c>
      <c r="AV132" s="22" t="str" cm="1">
        <f t="array" ref="AV132">IF(OR(_xll.BDP($AX132,"DY784")= "#N/A N/A", _xll.BDP($AX132,"DY784")="#N/A FIELD NOT APPLICABLE"), " ", _xll.BDP($AX132,"DY784"))</f>
        <v xml:space="preserve"> </v>
      </c>
      <c r="AW132" s="22" t="str">
        <f>IF(OR(AU132="Y",AV132="Y"),"Y","N")</f>
        <v>Y</v>
      </c>
      <c r="AX132" s="22" t="str">
        <f>CONCATENATE(G132," ",$AX$2)</f>
        <v>GOOGL US Equity</v>
      </c>
      <c r="BC132" s="17" t="str" cm="1">
        <f t="array" ref="BC132">_xll.BDP(AX132,"ID005")</f>
        <v>US02079K3059</v>
      </c>
      <c r="BD132" s="17">
        <v>0.7</v>
      </c>
      <c r="BE132" s="18">
        <v>4</v>
      </c>
      <c r="BF132" s="19">
        <v>45562</v>
      </c>
      <c r="BG132" s="20">
        <v>1</v>
      </c>
    </row>
    <row r="133" spans="1:59" s="3" customFormat="1" ht="14.45" customHeight="1" x14ac:dyDescent="0.25">
      <c r="A133" s="49" t="s">
        <v>242</v>
      </c>
      <c r="B133" s="49" t="s">
        <v>332</v>
      </c>
      <c r="C133" s="72" t="s">
        <v>333</v>
      </c>
      <c r="D133" s="49" t="s">
        <v>248</v>
      </c>
      <c r="E133" s="22" t="str">
        <f>_xll.BDP(AX133,"SECURITY NAME")</f>
        <v>Alphabet Inc</v>
      </c>
      <c r="F133" s="22" t="str">
        <f>_xll.BDP(AX133,"CRNCY")</f>
        <v>USD</v>
      </c>
      <c r="G133" s="23" t="s">
        <v>137</v>
      </c>
      <c r="H133" s="22" t="str" cm="1">
        <f t="array" ref="H133">IF(OR(_xll.BDP($AX133,"DX202")= "#N/A N/A", _xll.BDP($AX133,"DX202")="#N/A FIELD NOT APPLICABLE"), " ", _xll.BDP($AX133,"DX202"))</f>
        <v>Communication Services</v>
      </c>
      <c r="I133" s="24">
        <f>_xll.BDP(AX133,"CRNCY_ADJ_MKT_CAP", "EQY_FUND_CRNCY=USD")/1000</f>
        <v>1995.6807200000001</v>
      </c>
      <c r="J133" s="25">
        <f>IFERROR(_xll.BDP(AX133, "DV013")/100,0)</f>
        <v>5.13541586949903E-3</v>
      </c>
      <c r="K133" s="26" cm="1">
        <f t="array" ref="K133">IF(OR(_xll.BDP($AX133,"RR900")= "#N/A N/A", _xll.BDP($AX133,"RR900")="#N/A FIELD NOT APPLICABLE"), " ", _xll.BDP($AX133,"RR900"))</f>
        <v>19.754865204387873</v>
      </c>
      <c r="L133" s="26" cm="1">
        <f t="array" ref="L133">IF(OR(_xll.BDP($AX133,"EE010")= "#N/A N/A", _xll.BDP($AX133,"EE010")="#N/A FIELD NOT APPLICABLE"), " ", _xll.BDP($AX133,"EE010"))</f>
        <v>15.48466489965922</v>
      </c>
      <c r="M133" s="26" cm="1">
        <f t="array" ref="M133">IF(OR(_xll.BDP($AX133,"RR903")= "#N/A N/A", _xll.BDP($AX133,"RR903")="#N/A FIELD NOT APPLICABLE"), " ", _xll.BDP($AX133,"RR903"))</f>
        <v>5.7584230147273816</v>
      </c>
      <c r="N133" s="26" cm="1">
        <f t="array" ref="N133">IF(OR(_xll.BDP($AX133,"RR957")= "#N/A N/A", _xll.BDP($AX133,"RR957")="#N/A FIELD NOT APPLICABLE"), " ", _xll.BDP($AX133,"RR957"))</f>
        <v>13.926140188537387</v>
      </c>
      <c r="O133" s="27">
        <v>458</v>
      </c>
      <c r="P133" s="28">
        <v>153.33000000000001</v>
      </c>
      <c r="Q133" s="22" cm="1">
        <f t="array" ref="Q133">IF(OR(_xll.BDP($AX133,"PX_last")="#N/A N/A",_xll.BDP($AX133,"PX_Last")="#N/A FIELD NOT APPLICABLE")," ",IF(F133="GBP",(_xll.BDP($AX133,"PX_LAST")/100),(_xll.BDP($AX133,"PX_LAST"))))</f>
        <v>163.57</v>
      </c>
      <c r="R133" s="29">
        <f>IF(F133="USD",AA133,(((_xll.BDP(F133&amp;"USD CURNCY","PX_LAST")))*AA133))</f>
        <v>70225.14</v>
      </c>
      <c r="S133" s="29">
        <f>IF(F133="USD",AB133,(((_xll.BDP(F133&amp;"USD CURNCY","PX_LAST")))*AB133))</f>
        <v>74915.06</v>
      </c>
      <c r="T133" s="12">
        <f>S133-R133</f>
        <v>4689.9199999999983</v>
      </c>
      <c r="U133" s="13">
        <f>T133/R133</f>
        <v>6.6784060523054828E-2</v>
      </c>
      <c r="V133" s="13" cm="1">
        <f t="array" ref="V133">IFERROR(_xll.BDP($G133&amp;" Equity","CHG_PCT_1D")/100,"")</f>
        <v>-3.897448E-3</v>
      </c>
      <c r="W133" s="13" cm="1">
        <f t="array" ref="W133">IFERROR(_xll.BDP($G133&amp;" Equity","CHG_PCT_5D")/100,"")</f>
        <v>2.1291210000000001E-2</v>
      </c>
      <c r="X133" s="13" t="e">
        <f>S133/#REF!</f>
        <v>#REF!</v>
      </c>
      <c r="Y133" s="24">
        <f>IFERROR(S133*J133,0)</f>
        <v>384.71998798847198</v>
      </c>
      <c r="Z133" s="24">
        <f>S133</f>
        <v>74915.06</v>
      </c>
      <c r="AA133" s="29">
        <f>P133*O133</f>
        <v>70225.14</v>
      </c>
      <c r="AB133" s="29">
        <f>IFERROR(O133*Q133,0)</f>
        <v>74915.06</v>
      </c>
      <c r="AC133" s="4" t="e" cm="1">
        <f t="array" ref="AC133">VLOOKUP(IF(NOT(_xll.BDP(AX133,$BW$8)="#N/A N/A"),(_xll.BDP(AX133,$BW$8)),"-"), '[1]Country Codes'!$A$2:$B$253,2,0)</f>
        <v>#N/A</v>
      </c>
      <c r="AD133" s="30" t="str" cm="1">
        <f t="array" ref="AD133">IF(OR(_xll.BDP($AX133,"EX028")= "#N/A N/A", _xll.BDP($AX133,"EX028")="#N/A FIELD NOT APPLICABLE"), " ", _xll.BDP($AX133,"EX028"))</f>
        <v>Equity</v>
      </c>
      <c r="AE133" s="31" t="str">
        <f>IF(("AS97"="Equity"), " ", "Single Line Equity")</f>
        <v>Single Line Equity</v>
      </c>
      <c r="AF133" s="26" cm="1">
        <f t="array" ref="AF133">IF(OR(_xll.BDP($AX133,"RR908")= "#N/A N/A", _xll.BDP($AX133,"RR908")="#N/A FIELD NOT APPLICABLE"), " ", _xll.BDP($AX133,"RR908"))</f>
        <v>15.114577405219173</v>
      </c>
      <c r="AG133" s="26" cm="1">
        <f t="array" ref="AG133">IF(OR(_xll.BDP($AX133,"RR041")= "#N/A N/A", _xll.BDP($AX133,"RR041")="#N/A FIELD NOT APPLICABLE"), " ", _xll.BDP($AX133,"RR041"))</f>
        <v>5.7069755872214918</v>
      </c>
      <c r="AH133" s="22">
        <f>_xll.BDP(AX133,"TOT_BUY_REC")</f>
        <v>63</v>
      </c>
      <c r="AI133" s="22">
        <f>_xll.BDP(AX133,"TOT_HOLD_REC")</f>
        <v>14</v>
      </c>
      <c r="AJ133" s="22">
        <f>_xll.BDP(AX133,"TOT_SELL_REC")</f>
        <v>0</v>
      </c>
      <c r="AK133" s="26" cm="1">
        <f t="array" ref="AK133">IF(OR(_xll.BDP($AX133,"EE201")= "#N/A N/A", _xll.BDP($AX133,"EE201")="#N/A FIELD NOT APPLICABLE"), " ", _xll.BDP($AX133,"EE201"))</f>
        <v>4.6103897094726563</v>
      </c>
      <c r="AL133" s="24">
        <f>_xll.BDP(AX133,"BEST_TARGET_PRICE")</f>
        <v>203.3973388671875</v>
      </c>
      <c r="AM133" s="32">
        <f>(AL133/Q133)-1</f>
        <v>0.24348804100499799</v>
      </c>
      <c r="AN133" s="32">
        <f>_xll.BDP(AX133,"PR061")/100</f>
        <v>0.1234203</v>
      </c>
      <c r="AO133" s="32">
        <f>_xll.BDP(AX133,"PR064")/100</f>
        <v>-0.14629440000000002</v>
      </c>
      <c r="AP133" s="32">
        <f>_xll.BDP(AX133,"CHG_PCT_6M")/100</f>
        <v>-7.3310269999999997E-2</v>
      </c>
      <c r="AQ133" s="25">
        <f>_xll.BDP(AX133,"PR079")/100</f>
        <v>-0.13592180000000001</v>
      </c>
      <c r="AR133" s="33">
        <f>_xll.BDP(AX133,"hs001")</f>
        <v>207.05</v>
      </c>
      <c r="AS133" s="33">
        <f>_xll.BDP(AX133,"hs002")</f>
        <v>140.53</v>
      </c>
      <c r="AT133" s="22" t="str" cm="1">
        <f t="array" ref="AT133">IF(OR(_xll.BDP($AX133,"DX202")= "#N/A N/A", _xll.BDP($AX133,"DX202")="#N/A FIELD NOT APPLICABLE"), " ", _xll.BDP($AX133,"DX202"))</f>
        <v>Communication Services</v>
      </c>
      <c r="AU133" s="22" t="str" cm="1">
        <f t="array" ref="AU133">IF(OR(_xll.BDP($AX133,"DY997")= "#N/A N/A", _xll.BDP($AX133,"DY997")="#N/A FIELD NOT APPLICABLE"), " ", _xll.BDP($AX133,"DY997"))</f>
        <v>Y</v>
      </c>
      <c r="AV133" s="22" t="str" cm="1">
        <f t="array" ref="AV133">IF(OR(_xll.BDP($AX133,"DY784")= "#N/A N/A", _xll.BDP($AX133,"DY784")="#N/A FIELD NOT APPLICABLE"), " ", _xll.BDP($AX133,"DY784"))</f>
        <v xml:space="preserve"> </v>
      </c>
      <c r="AW133" s="22" t="str">
        <f>IF(OR(AU133="Y",AV133="Y"),"Y","N")</f>
        <v>Y</v>
      </c>
      <c r="AX133" s="22" t="str">
        <f>CONCATENATE(G133," ",$AX$2)</f>
        <v>GOOGL US Equity</v>
      </c>
      <c r="BC133" s="17" t="str" cm="1">
        <f t="array" ref="BC133">_xll.BDP(AX133,"ID005")</f>
        <v>US02079K3059</v>
      </c>
      <c r="BD133" s="17">
        <v>0.75</v>
      </c>
      <c r="BE133" s="18">
        <v>4</v>
      </c>
      <c r="BF133" s="19">
        <v>45560</v>
      </c>
      <c r="BG133" s="20">
        <v>1</v>
      </c>
    </row>
    <row r="134" spans="1:59" s="3" customFormat="1" ht="14.45" customHeight="1" x14ac:dyDescent="0.25">
      <c r="A134" s="49" t="s">
        <v>242</v>
      </c>
      <c r="B134" s="49" t="s">
        <v>260</v>
      </c>
      <c r="C134" s="49" t="s">
        <v>261</v>
      </c>
      <c r="D134" s="49" t="s">
        <v>248</v>
      </c>
      <c r="E134" s="22" t="str">
        <f>_xll.BDP(AX134,"SECURITY NAME")</f>
        <v>Alphabet Inc</v>
      </c>
      <c r="F134" s="22" t="str">
        <f>_xll.BDP(AX134,"CRNCY")</f>
        <v>USD</v>
      </c>
      <c r="G134" s="73" t="s">
        <v>137</v>
      </c>
      <c r="H134" s="22" t="str" cm="1">
        <f t="array" ref="H134">IF(OR(_xll.BDP($AX134,"DX202")= "#N/A N/A", _xll.BDP($AX134,"DX202")="#N/A FIELD NOT APPLICABLE"), " ", _xll.BDP($AX134,"DX202"))</f>
        <v>Communication Services</v>
      </c>
      <c r="I134" s="24">
        <f>_xll.BDP(AX134,"CRNCY_ADJ_MKT_CAP", "EQY_FUND_CRNCY=USD")/1000</f>
        <v>1995.6807200000001</v>
      </c>
      <c r="J134" s="25">
        <f>IFERROR(_xll.BDP(AX134, "DV013")/100,0)</f>
        <v>5.13541586949903E-3</v>
      </c>
      <c r="K134" s="26" cm="1">
        <f t="array" ref="K134">IF(OR(_xll.BDP($AX134,"RR900")= "#N/A N/A", _xll.BDP($AX134,"RR900")="#N/A FIELD NOT APPLICABLE"), " ", _xll.BDP($AX134,"RR900"))</f>
        <v>19.754865204387873</v>
      </c>
      <c r="L134" s="26" cm="1">
        <f t="array" ref="L134">IF(OR(_xll.BDP($AX134,"EE010")= "#N/A N/A", _xll.BDP($AX134,"EE010")="#N/A FIELD NOT APPLICABLE"), " ", _xll.BDP($AX134,"EE010"))</f>
        <v>15.48466489965922</v>
      </c>
      <c r="M134" s="26" cm="1">
        <f t="array" ref="M134">IF(OR(_xll.BDP($AX134,"RR903")= "#N/A N/A", _xll.BDP($AX134,"RR903")="#N/A FIELD NOT APPLICABLE"), " ", _xll.BDP($AX134,"RR903"))</f>
        <v>5.7584230147273816</v>
      </c>
      <c r="N134" s="26" cm="1">
        <f t="array" ref="N134">IF(OR(_xll.BDP($AX134,"RR957")= "#N/A N/A", _xll.BDP($AX134,"RR957")="#N/A FIELD NOT APPLICABLE"), " ", _xll.BDP($AX134,"RR957"))</f>
        <v>13.926140188537387</v>
      </c>
      <c r="O134" s="74">
        <v>425</v>
      </c>
      <c r="P134" s="75">
        <v>151.16</v>
      </c>
      <c r="Q134" s="22" cm="1">
        <f t="array" ref="Q134">IF(OR(_xll.BDP($AX134,"PX_last")="#N/A N/A",_xll.BDP($AX134,"PX_Last")="#N/A FIELD NOT APPLICABLE")," ",IF(F134="GBP",(_xll.BDP($AX134,"PX_LAST")/100),(_xll.BDP($AX134,"PX_LAST"))))</f>
        <v>163.57</v>
      </c>
      <c r="R134" s="29">
        <f>IF(F134="USD",AA134,(((_xll.BDP(F134&amp;"USD CURNCY","PX_LAST")))*AA134))</f>
        <v>64243</v>
      </c>
      <c r="S134" s="29">
        <f>IF(F134="USD",AB134,(((_xll.BDP(F134&amp;"USD CURNCY","PX_LAST")))*AB134))</f>
        <v>69517.25</v>
      </c>
      <c r="T134" s="12">
        <f>S134-R134</f>
        <v>5274.25</v>
      </c>
      <c r="U134" s="13">
        <f>T134/R134</f>
        <v>8.2098438740407509E-2</v>
      </c>
      <c r="V134" s="13" cm="1">
        <f t="array" ref="V134">IFERROR(_xll.BDP($G134&amp;" Equity","CHG_PCT_1D")/100,"")</f>
        <v>-3.897448E-3</v>
      </c>
      <c r="W134" s="13" cm="1">
        <f t="array" ref="W134">IFERROR(_xll.BDP($G134&amp;" Equity","CHG_PCT_5D")/100,"")</f>
        <v>2.1291210000000001E-2</v>
      </c>
      <c r="X134" s="13" t="e">
        <f>S134/#REF!</f>
        <v>#REF!</v>
      </c>
      <c r="Y134" s="24">
        <f>IFERROR(S134*J134,0)</f>
        <v>356.99998885393143</v>
      </c>
      <c r="Z134" s="24">
        <f>S134</f>
        <v>69517.25</v>
      </c>
      <c r="AA134" s="29">
        <f>P134*O134</f>
        <v>64243</v>
      </c>
      <c r="AB134" s="29">
        <f>IFERROR(O134*Q134,0)</f>
        <v>69517.25</v>
      </c>
      <c r="AC134" s="4" t="e" cm="1">
        <f t="array" ref="AC134">VLOOKUP(IF(NOT(_xll.BDP(AX134,$BW$8)="#N/A N/A"),(_xll.BDP(AX134,$BW$8)),"-"), '[1]Country Codes'!$A$2:$B$253,2,0)</f>
        <v>#N/A</v>
      </c>
      <c r="AD134" s="30" t="str" cm="1">
        <f t="array" ref="AD134">IF(OR(_xll.BDP($AX134,"EX028")= "#N/A N/A", _xll.BDP($AX134,"EX028")="#N/A FIELD NOT APPLICABLE"), " ", _xll.BDP($AX134,"EX028"))</f>
        <v>Equity</v>
      </c>
      <c r="AE134" s="31" t="str">
        <f>IF(("AS97"="Equity"), " ", "Single Line Equity")</f>
        <v>Single Line Equity</v>
      </c>
      <c r="AF134" s="26" cm="1">
        <f t="array" ref="AF134">IF(OR(_xll.BDP($AX134,"RR908")= "#N/A N/A", _xll.BDP($AX134,"RR908")="#N/A FIELD NOT APPLICABLE"), " ", _xll.BDP($AX134,"RR908"))</f>
        <v>15.114577405219173</v>
      </c>
      <c r="AG134" s="26" cm="1">
        <f t="array" ref="AG134">IF(OR(_xll.BDP($AX134,"RR041")= "#N/A N/A", _xll.BDP($AX134,"RR041")="#N/A FIELD NOT APPLICABLE"), " ", _xll.BDP($AX134,"RR041"))</f>
        <v>5.7069755872214918</v>
      </c>
      <c r="AH134" s="22">
        <f>_xll.BDP(AX134,"TOT_BUY_REC")</f>
        <v>63</v>
      </c>
      <c r="AI134" s="22">
        <f>_xll.BDP(AX134,"TOT_HOLD_REC")</f>
        <v>14</v>
      </c>
      <c r="AJ134" s="22">
        <f>_xll.BDP(AX134,"TOT_SELL_REC")</f>
        <v>0</v>
      </c>
      <c r="AK134" s="26" cm="1">
        <f t="array" ref="AK134">IF(OR(_xll.BDP($AX134,"EE201")= "#N/A N/A", _xll.BDP($AX134,"EE201")="#N/A FIELD NOT APPLICABLE"), " ", _xll.BDP($AX134,"EE201"))</f>
        <v>4.6103897094726563</v>
      </c>
      <c r="AL134" s="24">
        <f>_xll.BDP(AX134,"BEST_TARGET_PRICE")</f>
        <v>203.3973388671875</v>
      </c>
      <c r="AM134" s="32">
        <f>(AL134/Q134)-1</f>
        <v>0.24348804100499799</v>
      </c>
      <c r="AN134" s="32">
        <f>_xll.BDP(AX134,"PR061")/100</f>
        <v>0.1234203</v>
      </c>
      <c r="AO134" s="32">
        <f>_xll.BDP(AX134,"PR064")/100</f>
        <v>-0.14629440000000002</v>
      </c>
      <c r="AP134" s="32">
        <f>_xll.BDP(AX134,"CHG_PCT_6M")/100</f>
        <v>-7.3310269999999997E-2</v>
      </c>
      <c r="AQ134" s="25">
        <f>_xll.BDP(AX134,"PR079")/100</f>
        <v>-0.13592180000000001</v>
      </c>
      <c r="AR134" s="33">
        <f>_xll.BDP(AX134,"hs001")</f>
        <v>207.05</v>
      </c>
      <c r="AS134" s="33">
        <f>_xll.BDP(AX134,"hs002")</f>
        <v>140.53</v>
      </c>
      <c r="AT134" s="22" t="str" cm="1">
        <f t="array" ref="AT134">IF(OR(_xll.BDP($AX134,"DX202")= "#N/A N/A", _xll.BDP($AX134,"DX202")="#N/A FIELD NOT APPLICABLE"), " ", _xll.BDP($AX134,"DX202"))</f>
        <v>Communication Services</v>
      </c>
      <c r="AU134" s="22" t="str" cm="1">
        <f t="array" ref="AU134">IF(OR(_xll.BDP($AX134,"DY997")= "#N/A N/A", _xll.BDP($AX134,"DY997")="#N/A FIELD NOT APPLICABLE"), " ", _xll.BDP($AX134,"DY997"))</f>
        <v>Y</v>
      </c>
      <c r="AV134" s="22" t="str" cm="1">
        <f t="array" ref="AV134">IF(OR(_xll.BDP($AX134,"DY784")= "#N/A N/A", _xll.BDP($AX134,"DY784")="#N/A FIELD NOT APPLICABLE"), " ", _xll.BDP($AX134,"DY784"))</f>
        <v xml:space="preserve"> </v>
      </c>
      <c r="AW134" s="22" t="str">
        <f>IF(OR(AU134="Y",AV134="Y"),"Y","N")</f>
        <v>Y</v>
      </c>
      <c r="AX134" s="22" t="str">
        <f>CONCATENATE(G134," ",$AX$2)</f>
        <v>GOOGL US Equity</v>
      </c>
      <c r="BC134" s="17" t="str" cm="1">
        <f t="array" ref="BC134">_xll.BDP(AX134,"ID005")</f>
        <v>US02079K3059</v>
      </c>
      <c r="BD134" s="17">
        <v>0.75</v>
      </c>
      <c r="BE134" s="18">
        <v>4</v>
      </c>
      <c r="BF134" s="19">
        <v>45560</v>
      </c>
      <c r="BG134" s="20">
        <v>1</v>
      </c>
    </row>
    <row r="135" spans="1:59" s="3" customFormat="1" ht="14.45" customHeight="1" x14ac:dyDescent="0.25">
      <c r="A135" s="49" t="s">
        <v>241</v>
      </c>
      <c r="B135" s="49" t="s">
        <v>262</v>
      </c>
      <c r="C135" s="49" t="s">
        <v>263</v>
      </c>
      <c r="D135" s="49" t="s">
        <v>240</v>
      </c>
      <c r="E135" s="22" t="str">
        <f>_xll.BDP(AX135,"SECURITY NAME")</f>
        <v>Alphabet Inc</v>
      </c>
      <c r="F135" s="22" t="str">
        <f>_xll.BDP(AX135,"CRNCY")</f>
        <v>USD</v>
      </c>
      <c r="G135" s="23" t="s">
        <v>137</v>
      </c>
      <c r="H135" s="22" t="str" cm="1">
        <f t="array" ref="H135">IF(OR(_xll.BDP($AX135,"DX202")= "#N/A N/A", _xll.BDP($AX135,"DX202")="#N/A FIELD NOT APPLICABLE"), " ", _xll.BDP($AX135,"DX202"))</f>
        <v>Communication Services</v>
      </c>
      <c r="I135" s="24">
        <f>_xll.BDP(AX135,"CRNCY_ADJ_MKT_CAP", "EQY_FUND_CRNCY=USD")/1000</f>
        <v>1995.6807200000001</v>
      </c>
      <c r="J135" s="25">
        <f>IFERROR(_xll.BDP(AX135, "DV013")/100,0)</f>
        <v>5.13541586949903E-3</v>
      </c>
      <c r="K135" s="26" cm="1">
        <f t="array" ref="K135">IF(OR(_xll.BDP($AX135,"RR900")= "#N/A N/A", _xll.BDP($AX135,"RR900")="#N/A FIELD NOT APPLICABLE"), " ", _xll.BDP($AX135,"RR900"))</f>
        <v>19.754865204387873</v>
      </c>
      <c r="L135" s="26" cm="1">
        <f t="array" ref="L135">IF(OR(_xll.BDP($AX135,"EE010")= "#N/A N/A", _xll.BDP($AX135,"EE010")="#N/A FIELD NOT APPLICABLE"), " ", _xll.BDP($AX135,"EE010"))</f>
        <v>15.48466489965922</v>
      </c>
      <c r="M135" s="26" cm="1">
        <f t="array" ref="M135">IF(OR(_xll.BDP($AX135,"RR903")= "#N/A N/A", _xll.BDP($AX135,"RR903")="#N/A FIELD NOT APPLICABLE"), " ", _xll.BDP($AX135,"RR903"))</f>
        <v>5.7584230147273816</v>
      </c>
      <c r="N135" s="26" cm="1">
        <f t="array" ref="N135">IF(OR(_xll.BDP($AX135,"RR957")= "#N/A N/A", _xll.BDP($AX135,"RR957")="#N/A FIELD NOT APPLICABLE"), " ", _xll.BDP($AX135,"RR957"))</f>
        <v>13.926140188537387</v>
      </c>
      <c r="O135" s="27">
        <v>851</v>
      </c>
      <c r="P135" s="28">
        <v>152.88999999999999</v>
      </c>
      <c r="Q135" s="22" cm="1">
        <f t="array" ref="Q135">IF(OR(_xll.BDP($AX135,"PX_last")="#N/A N/A",_xll.BDP($AX135,"PX_Last")="#N/A FIELD NOT APPLICABLE")," ",IF(F135="GBP",(_xll.BDP($AX135,"PX_LAST")/100),(_xll.BDP($AX135,"PX_LAST"))))</f>
        <v>163.57</v>
      </c>
      <c r="R135" s="29">
        <f>IF(F135="USD",AA135,(((_xll.BDP(F135&amp;"USD CURNCY","PX_LAST")))*AA135))</f>
        <v>130109.38999999998</v>
      </c>
      <c r="S135" s="29">
        <f>IF(F135="USD",AB135,(((_xll.BDP(F135&amp;"USD CURNCY","PX_LAST")))*AB135))</f>
        <v>139198.07</v>
      </c>
      <c r="T135" s="12">
        <f>S135-R135</f>
        <v>9088.6800000000221</v>
      </c>
      <c r="U135" s="13">
        <f>T135/R135</f>
        <v>6.9854143501864266E-2</v>
      </c>
      <c r="V135" s="13" cm="1">
        <f t="array" ref="V135">IFERROR(_xll.BDP($G135&amp;" Equity","CHG_PCT_1D")/100,"")</f>
        <v>-3.897448E-3</v>
      </c>
      <c r="W135" s="13" cm="1">
        <f t="array" ref="W135">IFERROR(_xll.BDP($G135&amp;" Equity","CHG_PCT_5D")/100,"")</f>
        <v>2.1291210000000001E-2</v>
      </c>
      <c r="X135" s="13" t="e">
        <f>S135/#REF!</f>
        <v>#REF!</v>
      </c>
      <c r="Y135" s="24">
        <f>IFERROR(S135*J135,0)</f>
        <v>714.83997768163692</v>
      </c>
      <c r="Z135" s="24">
        <f>S135</f>
        <v>139198.07</v>
      </c>
      <c r="AA135" s="29">
        <f>P135*O135</f>
        <v>130109.38999999998</v>
      </c>
      <c r="AB135" s="29">
        <f>IFERROR(O135*Q135,0)</f>
        <v>139198.07</v>
      </c>
      <c r="AC135" s="4" t="e" cm="1">
        <f t="array" ref="AC135">VLOOKUP(IF(NOT(_xll.BDP(AX135,$BW$8)="#N/A N/A"),(_xll.BDP(AX135,$BW$8)),"-"), '[1]Country Codes'!$A$2:$B$253,2,0)</f>
        <v>#N/A</v>
      </c>
      <c r="AD135" s="30" t="str" cm="1">
        <f t="array" ref="AD135">IF(OR(_xll.BDP($AX135,"EX028")= "#N/A N/A", _xll.BDP($AX135,"EX028")="#N/A FIELD NOT APPLICABLE"), " ", _xll.BDP($AX135,"EX028"))</f>
        <v>Equity</v>
      </c>
      <c r="AE135" s="31" t="str">
        <f>IF(("AS97"="Equity"), " ", "Single Line Equity")</f>
        <v>Single Line Equity</v>
      </c>
      <c r="AF135" s="26" cm="1">
        <f t="array" ref="AF135">IF(OR(_xll.BDP($AX135,"RR908")= "#N/A N/A", _xll.BDP($AX135,"RR908")="#N/A FIELD NOT APPLICABLE"), " ", _xll.BDP($AX135,"RR908"))</f>
        <v>15.114577405219173</v>
      </c>
      <c r="AG135" s="26" cm="1">
        <f t="array" ref="AG135">IF(OR(_xll.BDP($AX135,"RR041")= "#N/A N/A", _xll.BDP($AX135,"RR041")="#N/A FIELD NOT APPLICABLE"), " ", _xll.BDP($AX135,"RR041"))</f>
        <v>5.7069755872214918</v>
      </c>
      <c r="AH135" s="22">
        <f>_xll.BDP(AX135,"TOT_BUY_REC")</f>
        <v>63</v>
      </c>
      <c r="AI135" s="22">
        <f>_xll.BDP(AX135,"TOT_HOLD_REC")</f>
        <v>14</v>
      </c>
      <c r="AJ135" s="22">
        <f>_xll.BDP(AX135,"TOT_SELL_REC")</f>
        <v>0</v>
      </c>
      <c r="AK135" s="26" cm="1">
        <f t="array" ref="AK135">IF(OR(_xll.BDP($AX135,"EE201")= "#N/A N/A", _xll.BDP($AX135,"EE201")="#N/A FIELD NOT APPLICABLE"), " ", _xll.BDP($AX135,"EE201"))</f>
        <v>4.6103897094726563</v>
      </c>
      <c r="AL135" s="24">
        <f>_xll.BDP(AX135,"BEST_TARGET_PRICE")</f>
        <v>203.3973388671875</v>
      </c>
      <c r="AM135" s="32">
        <f>(AL135/Q135)-1</f>
        <v>0.24348804100499799</v>
      </c>
      <c r="AN135" s="32">
        <f>_xll.BDP(AX135,"PR061")/100</f>
        <v>0.1234203</v>
      </c>
      <c r="AO135" s="32">
        <f>_xll.BDP(AX135,"PR064")/100</f>
        <v>-0.14629440000000002</v>
      </c>
      <c r="AP135" s="32">
        <f>_xll.BDP(AX135,"CHG_PCT_6M")/100</f>
        <v>-7.3310269999999997E-2</v>
      </c>
      <c r="AQ135" s="25">
        <f>_xll.BDP(AX135,"PR079")/100</f>
        <v>-0.13592180000000001</v>
      </c>
      <c r="AR135" s="33">
        <f>_xll.BDP(AX135,"hs001")</f>
        <v>207.05</v>
      </c>
      <c r="AS135" s="33">
        <f>_xll.BDP(AX135,"hs002")</f>
        <v>140.53</v>
      </c>
      <c r="AT135" s="22" t="str" cm="1">
        <f t="array" ref="AT135">IF(OR(_xll.BDP($AX135,"DX202")= "#N/A N/A", _xll.BDP($AX135,"DX202")="#N/A FIELD NOT APPLICABLE"), " ", _xll.BDP($AX135,"DX202"))</f>
        <v>Communication Services</v>
      </c>
      <c r="AU135" s="22" t="str" cm="1">
        <f t="array" ref="AU135">IF(OR(_xll.BDP($AX135,"DY997")= "#N/A N/A", _xll.BDP($AX135,"DY997")="#N/A FIELD NOT APPLICABLE"), " ", _xll.BDP($AX135,"DY997"))</f>
        <v>Y</v>
      </c>
      <c r="AV135" s="22" t="str" cm="1">
        <f t="array" ref="AV135">IF(OR(_xll.BDP($AX135,"DY784")= "#N/A N/A", _xll.BDP($AX135,"DY784")="#N/A FIELD NOT APPLICABLE"), " ", _xll.BDP($AX135,"DY784"))</f>
        <v xml:space="preserve"> </v>
      </c>
      <c r="AW135" s="22" t="str">
        <f>IF(OR(AU135="Y",AV135="Y"),"Y","N")</f>
        <v>Y</v>
      </c>
      <c r="AX135" s="22" t="str">
        <f>CONCATENATE(G135," ",$AX$2)</f>
        <v>GOOGL US Equity</v>
      </c>
      <c r="BC135" s="17" t="str" cm="1">
        <f t="array" ref="BC135">_xll.BDP(AX135,"ID005")</f>
        <v>US02079K3059</v>
      </c>
      <c r="BD135" s="17">
        <v>0.79479999999999995</v>
      </c>
      <c r="BE135" s="18">
        <v>4</v>
      </c>
      <c r="BF135" s="19"/>
      <c r="BG135" s="20"/>
    </row>
    <row r="136" spans="1:59" s="3" customFormat="1" ht="14.45" customHeight="1" x14ac:dyDescent="0.25">
      <c r="A136" s="49" t="s">
        <v>242</v>
      </c>
      <c r="B136" s="49" t="s">
        <v>264</v>
      </c>
      <c r="C136" s="49" t="s">
        <v>265</v>
      </c>
      <c r="D136" s="49" t="s">
        <v>248</v>
      </c>
      <c r="E136" s="22" t="str">
        <f>_xll.BDP(AX136,"SECURITY NAME")</f>
        <v>Alphabet Inc</v>
      </c>
      <c r="F136" s="22" t="str">
        <f>_xll.BDP(AX136,"CRNCY")</f>
        <v>USD</v>
      </c>
      <c r="G136" s="23" t="s">
        <v>137</v>
      </c>
      <c r="H136" s="22" t="str" cm="1">
        <f t="array" ref="H136">IF(OR(_xll.BDP($AX136,"DX202")= "#N/A N/A", _xll.BDP($AX136,"DX202")="#N/A FIELD NOT APPLICABLE"), " ", _xll.BDP($AX136,"DX202"))</f>
        <v>Communication Services</v>
      </c>
      <c r="I136" s="24">
        <f>_xll.BDP(AX136,"CRNCY_ADJ_MKT_CAP", "EQY_FUND_CRNCY=USD")/1000</f>
        <v>1995.6807200000001</v>
      </c>
      <c r="J136" s="25">
        <f>IFERROR(_xll.BDP(AX136, "DV013")/100,0)</f>
        <v>5.13541586949903E-3</v>
      </c>
      <c r="K136" s="26" cm="1">
        <f t="array" ref="K136">IF(OR(_xll.BDP($AX136,"RR900")= "#N/A N/A", _xll.BDP($AX136,"RR900")="#N/A FIELD NOT APPLICABLE"), " ", _xll.BDP($AX136,"RR900"))</f>
        <v>19.754865204387873</v>
      </c>
      <c r="L136" s="26" cm="1">
        <f t="array" ref="L136">IF(OR(_xll.BDP($AX136,"EE010")= "#N/A N/A", _xll.BDP($AX136,"EE010")="#N/A FIELD NOT APPLICABLE"), " ", _xll.BDP($AX136,"EE010"))</f>
        <v>15.48466489965922</v>
      </c>
      <c r="M136" s="26" cm="1">
        <f t="array" ref="M136">IF(OR(_xll.BDP($AX136,"RR903")= "#N/A N/A", _xll.BDP($AX136,"RR903")="#N/A FIELD NOT APPLICABLE"), " ", _xll.BDP($AX136,"RR903"))</f>
        <v>5.7584230147273816</v>
      </c>
      <c r="N136" s="26" cm="1">
        <f t="array" ref="N136">IF(OR(_xll.BDP($AX136,"RR957")= "#N/A N/A", _xll.BDP($AX136,"RR957")="#N/A FIELD NOT APPLICABLE"), " ", _xll.BDP($AX136,"RR957"))</f>
        <v>13.926140188537387</v>
      </c>
      <c r="O136" s="27">
        <v>785</v>
      </c>
      <c r="P136" s="28">
        <v>153.36000000000001</v>
      </c>
      <c r="Q136" s="22" cm="1">
        <f t="array" ref="Q136">IF(OR(_xll.BDP($AX136,"PX_last")="#N/A N/A",_xll.BDP($AX136,"PX_Last")="#N/A FIELD NOT APPLICABLE")," ",IF(F136="GBP",(_xll.BDP($AX136,"PX_LAST")/100),(_xll.BDP($AX136,"PX_LAST"))))</f>
        <v>163.57</v>
      </c>
      <c r="R136" s="29">
        <f>IF(F136="USD",AA136,(((_xll.BDP(F136&amp;"USD CURNCY","PX_LAST")))*AA136))</f>
        <v>120387.6</v>
      </c>
      <c r="S136" s="29">
        <f>IF(F136="USD",AB136,(((_xll.BDP(F136&amp;"USD CURNCY","PX_LAST")))*AB136))</f>
        <v>128402.45</v>
      </c>
      <c r="T136" s="12">
        <f>S136-R136</f>
        <v>8014.8499999999913</v>
      </c>
      <c r="U136" s="13">
        <f>T136/R136</f>
        <v>6.657537819509643E-2</v>
      </c>
      <c r="V136" s="13" cm="1">
        <f t="array" ref="V136">IFERROR(_xll.BDP($G136&amp;" Equity","CHG_PCT_1D")/100,"")</f>
        <v>-3.897448E-3</v>
      </c>
      <c r="W136" s="13" cm="1">
        <f t="array" ref="W136">IFERROR(_xll.BDP($G136&amp;" Equity","CHG_PCT_5D")/100,"")</f>
        <v>2.1291210000000001E-2</v>
      </c>
      <c r="X136" s="13" t="e">
        <f>S136/#REF!</f>
        <v>#REF!</v>
      </c>
      <c r="Y136" s="24">
        <f>IFERROR(S136*J136,0)</f>
        <v>659.39997941255569</v>
      </c>
      <c r="Z136" s="24">
        <f>S136</f>
        <v>128402.45</v>
      </c>
      <c r="AA136" s="29">
        <f>P136*O136</f>
        <v>120387.6</v>
      </c>
      <c r="AB136" s="29">
        <f>IFERROR(O136*Q136,0)</f>
        <v>128402.45</v>
      </c>
      <c r="AC136" s="4" t="e" cm="1">
        <f t="array" ref="AC136">VLOOKUP(IF(NOT(_xll.BDP(AX136,$BW$8)="#N/A N/A"),(_xll.BDP(AX136,$BW$8)),"-"), '[1]Country Codes'!$A$2:$B$253,2,0)</f>
        <v>#N/A</v>
      </c>
      <c r="AD136" s="30" t="str" cm="1">
        <f t="array" ref="AD136">IF(OR(_xll.BDP($AX136,"EX028")= "#N/A N/A", _xll.BDP($AX136,"EX028")="#N/A FIELD NOT APPLICABLE"), " ", _xll.BDP($AX136,"EX028"))</f>
        <v>Equity</v>
      </c>
      <c r="AE136" s="31" t="str">
        <f>IF(("AS97"="Equity"), " ", "Single Line Equity")</f>
        <v>Single Line Equity</v>
      </c>
      <c r="AF136" s="26" cm="1">
        <f t="array" ref="AF136">IF(OR(_xll.BDP($AX136,"RR908")= "#N/A N/A", _xll.BDP($AX136,"RR908")="#N/A FIELD NOT APPLICABLE"), " ", _xll.BDP($AX136,"RR908"))</f>
        <v>15.114577405219173</v>
      </c>
      <c r="AG136" s="26" cm="1">
        <f t="array" ref="AG136">IF(OR(_xll.BDP($AX136,"RR041")= "#N/A N/A", _xll.BDP($AX136,"RR041")="#N/A FIELD NOT APPLICABLE"), " ", _xll.BDP($AX136,"RR041"))</f>
        <v>5.7069755872214918</v>
      </c>
      <c r="AH136" s="22">
        <f>_xll.BDP(AX136,"TOT_BUY_REC")</f>
        <v>63</v>
      </c>
      <c r="AI136" s="22">
        <f>_xll.BDP(AX136,"TOT_HOLD_REC")</f>
        <v>14</v>
      </c>
      <c r="AJ136" s="22">
        <f>_xll.BDP(AX136,"TOT_SELL_REC")</f>
        <v>0</v>
      </c>
      <c r="AK136" s="26" cm="1">
        <f t="array" ref="AK136">IF(OR(_xll.BDP($AX136,"EE201")= "#N/A N/A", _xll.BDP($AX136,"EE201")="#N/A FIELD NOT APPLICABLE"), " ", _xll.BDP($AX136,"EE201"))</f>
        <v>4.6103897094726563</v>
      </c>
      <c r="AL136" s="24">
        <f>_xll.BDP(AX136,"BEST_TARGET_PRICE")</f>
        <v>203.3973388671875</v>
      </c>
      <c r="AM136" s="32">
        <f>(AL136/Q136)-1</f>
        <v>0.24348804100499799</v>
      </c>
      <c r="AN136" s="32">
        <f>_xll.BDP(AX136,"PR061")/100</f>
        <v>0.1234203</v>
      </c>
      <c r="AO136" s="32">
        <f>_xll.BDP(AX136,"PR064")/100</f>
        <v>-0.14629440000000002</v>
      </c>
      <c r="AP136" s="32">
        <f>_xll.BDP(AX136,"CHG_PCT_6M")/100</f>
        <v>-7.3310269999999997E-2</v>
      </c>
      <c r="AQ136" s="25">
        <f>_xll.BDP(AX136,"PR079")/100</f>
        <v>-0.13592180000000001</v>
      </c>
      <c r="AR136" s="33">
        <f>_xll.BDP(AX136,"hs001")</f>
        <v>207.05</v>
      </c>
      <c r="AS136" s="33">
        <f>_xll.BDP(AX136,"hs002")</f>
        <v>140.53</v>
      </c>
      <c r="AT136" s="22" t="str" cm="1">
        <f t="array" ref="AT136">IF(OR(_xll.BDP($AX136,"DX202")= "#N/A N/A", _xll.BDP($AX136,"DX202")="#N/A FIELD NOT APPLICABLE"), " ", _xll.BDP($AX136,"DX202"))</f>
        <v>Communication Services</v>
      </c>
      <c r="AU136" s="22" t="str" cm="1">
        <f t="array" ref="AU136">IF(OR(_xll.BDP($AX136,"DY997")= "#N/A N/A", _xll.BDP($AX136,"DY997")="#N/A FIELD NOT APPLICABLE"), " ", _xll.BDP($AX136,"DY997"))</f>
        <v>Y</v>
      </c>
      <c r="AV136" s="22" t="str" cm="1">
        <f t="array" ref="AV136">IF(OR(_xll.BDP($AX136,"DY784")= "#N/A N/A", _xll.BDP($AX136,"DY784")="#N/A FIELD NOT APPLICABLE"), " ", _xll.BDP($AX136,"DY784"))</f>
        <v xml:space="preserve"> </v>
      </c>
      <c r="AW136" s="22" t="str">
        <f>IF(OR(AU136="Y",AV136="Y"),"Y","N")</f>
        <v>Y</v>
      </c>
      <c r="AX136" s="22" t="str">
        <f>CONCATENATE(G136," ",$AX$2)</f>
        <v>GOOGL US Equity</v>
      </c>
      <c r="BC136" s="17" t="str" cm="1">
        <f t="array" ref="BC136">_xll.BDP(AX136,"ID005")</f>
        <v>US02079K3059</v>
      </c>
      <c r="BD136" s="17">
        <v>0.79479999999999995</v>
      </c>
      <c r="BE136" s="18">
        <v>4</v>
      </c>
      <c r="BF136" s="19"/>
      <c r="BG136" s="20"/>
    </row>
    <row r="137" spans="1:59" s="3" customFormat="1" ht="14.45" customHeight="1" x14ac:dyDescent="0.25">
      <c r="A137" s="49" t="s">
        <v>241</v>
      </c>
      <c r="B137" s="49" t="s">
        <v>266</v>
      </c>
      <c r="C137" s="49" t="s">
        <v>267</v>
      </c>
      <c r="D137" s="49" t="s">
        <v>240</v>
      </c>
      <c r="E137" s="22" t="str">
        <f>_xll.BDP(AX137,"SECURITY NAME")</f>
        <v>Alphabet Inc</v>
      </c>
      <c r="F137" s="22" t="str">
        <f>_xll.BDP(AX137,"CRNCY")</f>
        <v>USD</v>
      </c>
      <c r="G137" s="23" t="s">
        <v>137</v>
      </c>
      <c r="H137" s="22" t="str" cm="1">
        <f t="array" ref="H137">IF(OR(_xll.BDP($AX137,"DX202")= "#N/A N/A", _xll.BDP($AX137,"DX202")="#N/A FIELD NOT APPLICABLE"), " ", _xll.BDP($AX137,"DX202"))</f>
        <v>Communication Services</v>
      </c>
      <c r="I137" s="24">
        <f>_xll.BDP(AX137,"CRNCY_ADJ_MKT_CAP", "EQY_FUND_CRNCY=USD")/1000</f>
        <v>1995.6807200000001</v>
      </c>
      <c r="J137" s="25">
        <f>IFERROR(_xll.BDP(AX137, "DV013")/100,0)</f>
        <v>5.13541586949903E-3</v>
      </c>
      <c r="K137" s="26" cm="1">
        <f t="array" ref="K137">IF(OR(_xll.BDP($AX137,"RR900")= "#N/A N/A", _xll.BDP($AX137,"RR900")="#N/A FIELD NOT APPLICABLE"), " ", _xll.BDP($AX137,"RR900"))</f>
        <v>19.754865204387873</v>
      </c>
      <c r="L137" s="26" cm="1">
        <f t="array" ref="L137">IF(OR(_xll.BDP($AX137,"EE010")= "#N/A N/A", _xll.BDP($AX137,"EE010")="#N/A FIELD NOT APPLICABLE"), " ", _xll.BDP($AX137,"EE010"))</f>
        <v>15.48466489965922</v>
      </c>
      <c r="M137" s="26" cm="1">
        <f t="array" ref="M137">IF(OR(_xll.BDP($AX137,"RR903")= "#N/A N/A", _xll.BDP($AX137,"RR903")="#N/A FIELD NOT APPLICABLE"), " ", _xll.BDP($AX137,"RR903"))</f>
        <v>5.7584230147273816</v>
      </c>
      <c r="N137" s="26" cm="1">
        <f t="array" ref="N137">IF(OR(_xll.BDP($AX137,"RR957")= "#N/A N/A", _xll.BDP($AX137,"RR957")="#N/A FIELD NOT APPLICABLE"), " ", _xll.BDP($AX137,"RR957"))</f>
        <v>13.926140188537387</v>
      </c>
      <c r="O137" s="27">
        <v>393</v>
      </c>
      <c r="P137" s="28">
        <v>152.88999999999999</v>
      </c>
      <c r="Q137" s="22" cm="1">
        <f t="array" ref="Q137">IF(OR(_xll.BDP($AX137,"PX_last")="#N/A N/A",_xll.BDP($AX137,"PX_Last")="#N/A FIELD NOT APPLICABLE")," ",IF(F137="GBP",(_xll.BDP($AX137,"PX_LAST")/100),(_xll.BDP($AX137,"PX_LAST"))))</f>
        <v>163.57</v>
      </c>
      <c r="R137" s="29">
        <f>IF(F137="USD",AA137,(((_xll.BDP(F137&amp;"USD CURNCY","PX_LAST")))*AA137))</f>
        <v>60085.77</v>
      </c>
      <c r="S137" s="29">
        <f>IF(F137="USD",AB137,(((_xll.BDP(F137&amp;"USD CURNCY","PX_LAST")))*AB137))</f>
        <v>64283.009999999995</v>
      </c>
      <c r="T137" s="12">
        <f>S137-R137</f>
        <v>4197.239999999998</v>
      </c>
      <c r="U137" s="13">
        <f>T137/R137</f>
        <v>6.9854143501864058E-2</v>
      </c>
      <c r="V137" s="13" cm="1">
        <f t="array" ref="V137">IFERROR(_xll.BDP($G137&amp;" Equity","CHG_PCT_1D")/100,"")</f>
        <v>-3.897448E-3</v>
      </c>
      <c r="W137" s="13" cm="1">
        <f t="array" ref="W137">IFERROR(_xll.BDP($G137&amp;" Equity","CHG_PCT_5D")/100,"")</f>
        <v>2.1291210000000001E-2</v>
      </c>
      <c r="X137" s="13" t="e">
        <f>S137/#REF!</f>
        <v>#REF!</v>
      </c>
      <c r="Y137" s="24">
        <f>IFERROR(S137*J137,0)</f>
        <v>330.11998969316483</v>
      </c>
      <c r="Z137" s="24">
        <f>S137</f>
        <v>64283.009999999995</v>
      </c>
      <c r="AA137" s="29">
        <f>P137*O137</f>
        <v>60085.77</v>
      </c>
      <c r="AB137" s="29">
        <f>IFERROR(O137*Q137,0)</f>
        <v>64283.009999999995</v>
      </c>
      <c r="AC137" s="4" t="e" cm="1">
        <f t="array" ref="AC137">VLOOKUP(IF(NOT(_xll.BDP(AX137,$BW$8)="#N/A N/A"),(_xll.BDP(AX137,$BW$8)),"-"), '[1]Country Codes'!$A$2:$B$253,2,0)</f>
        <v>#N/A</v>
      </c>
      <c r="AD137" s="30" t="str" cm="1">
        <f t="array" ref="AD137">IF(OR(_xll.BDP($AX137,"EX028")= "#N/A N/A", _xll.BDP($AX137,"EX028")="#N/A FIELD NOT APPLICABLE"), " ", _xll.BDP($AX137,"EX028"))</f>
        <v>Equity</v>
      </c>
      <c r="AE137" s="31" t="str">
        <f>IF(("AS97"="Equity"), " ", "Single Line Equity")</f>
        <v>Single Line Equity</v>
      </c>
      <c r="AF137" s="26" cm="1">
        <f t="array" ref="AF137">IF(OR(_xll.BDP($AX137,"RR908")= "#N/A N/A", _xll.BDP($AX137,"RR908")="#N/A FIELD NOT APPLICABLE"), " ", _xll.BDP($AX137,"RR908"))</f>
        <v>15.114577405219173</v>
      </c>
      <c r="AG137" s="26" cm="1">
        <f t="array" ref="AG137">IF(OR(_xll.BDP($AX137,"RR041")= "#N/A N/A", _xll.BDP($AX137,"RR041")="#N/A FIELD NOT APPLICABLE"), " ", _xll.BDP($AX137,"RR041"))</f>
        <v>5.7069755872214918</v>
      </c>
      <c r="AH137" s="22">
        <f>_xll.BDP(AX137,"TOT_BUY_REC")</f>
        <v>63</v>
      </c>
      <c r="AI137" s="22">
        <f>_xll.BDP(AX137,"TOT_HOLD_REC")</f>
        <v>14</v>
      </c>
      <c r="AJ137" s="22">
        <f>_xll.BDP(AX137,"TOT_SELL_REC")</f>
        <v>0</v>
      </c>
      <c r="AK137" s="26" cm="1">
        <f t="array" ref="AK137">IF(OR(_xll.BDP($AX137,"EE201")= "#N/A N/A", _xll.BDP($AX137,"EE201")="#N/A FIELD NOT APPLICABLE"), " ", _xll.BDP($AX137,"EE201"))</f>
        <v>4.6103897094726563</v>
      </c>
      <c r="AL137" s="24">
        <f>_xll.BDP(AX137,"BEST_TARGET_PRICE")</f>
        <v>203.3973388671875</v>
      </c>
      <c r="AM137" s="32">
        <f>(AL137/Q137)-1</f>
        <v>0.24348804100499799</v>
      </c>
      <c r="AN137" s="32">
        <f>_xll.BDP(AX137,"PR061")/100</f>
        <v>0.1234203</v>
      </c>
      <c r="AO137" s="32">
        <f>_xll.BDP(AX137,"PR064")/100</f>
        <v>-0.14629440000000002</v>
      </c>
      <c r="AP137" s="32">
        <f>_xll.BDP(AX137,"CHG_PCT_6M")/100</f>
        <v>-7.3310269999999997E-2</v>
      </c>
      <c r="AQ137" s="25">
        <f>_xll.BDP(AX137,"PR079")/100</f>
        <v>-0.13592180000000001</v>
      </c>
      <c r="AR137" s="33">
        <f>_xll.BDP(AX137,"hs001")</f>
        <v>207.05</v>
      </c>
      <c r="AS137" s="33">
        <f>_xll.BDP(AX137,"hs002")</f>
        <v>140.53</v>
      </c>
      <c r="AT137" s="22" t="str" cm="1">
        <f t="array" ref="AT137">IF(OR(_xll.BDP($AX137,"DX202")= "#N/A N/A", _xll.BDP($AX137,"DX202")="#N/A FIELD NOT APPLICABLE"), " ", _xll.BDP($AX137,"DX202"))</f>
        <v>Communication Services</v>
      </c>
      <c r="AU137" s="22" t="str" cm="1">
        <f t="array" ref="AU137">IF(OR(_xll.BDP($AX137,"DY997")= "#N/A N/A", _xll.BDP($AX137,"DY997")="#N/A FIELD NOT APPLICABLE"), " ", _xll.BDP($AX137,"DY997"))</f>
        <v>Y</v>
      </c>
      <c r="AV137" s="22" t="str" cm="1">
        <f t="array" ref="AV137">IF(OR(_xll.BDP($AX137,"DY784")= "#N/A N/A", _xll.BDP($AX137,"DY784")="#N/A FIELD NOT APPLICABLE"), " ", _xll.BDP($AX137,"DY784"))</f>
        <v xml:space="preserve"> </v>
      </c>
      <c r="AW137" s="22" t="str">
        <f>IF(OR(AU137="Y",AV137="Y"),"Y","N")</f>
        <v>Y</v>
      </c>
      <c r="AX137" s="22" t="str">
        <f>CONCATENATE(G137," ",$AX$2)</f>
        <v>GOOGL US Equity</v>
      </c>
      <c r="BC137" s="17" t="str" cm="1">
        <f t="array" ref="BC137">_xll.BDP(AX137,"ID005")</f>
        <v>US02079K3059</v>
      </c>
      <c r="BD137" s="17">
        <v>0.79479999999999995</v>
      </c>
      <c r="BE137" s="18">
        <v>4</v>
      </c>
      <c r="BF137" s="19"/>
      <c r="BG137" s="20"/>
    </row>
    <row r="138" spans="1:59" s="3" customFormat="1" ht="14.45" customHeight="1" x14ac:dyDescent="0.25">
      <c r="A138" s="49" t="s">
        <v>242</v>
      </c>
      <c r="B138" s="49" t="s">
        <v>268</v>
      </c>
      <c r="C138" s="49" t="s">
        <v>269</v>
      </c>
      <c r="D138" s="49" t="s">
        <v>248</v>
      </c>
      <c r="E138" s="22" t="str">
        <f>_xll.BDP(AX138,"SECURITY NAME")</f>
        <v>Alphabet Inc</v>
      </c>
      <c r="F138" s="22" t="str">
        <f>_xll.BDP(AX138,"CRNCY")</f>
        <v>USD</v>
      </c>
      <c r="G138" s="23" t="s">
        <v>137</v>
      </c>
      <c r="H138" s="22" t="str" cm="1">
        <f t="array" ref="H138">IF(OR(_xll.BDP($AX138,"DX202")= "#N/A N/A", _xll.BDP($AX138,"DX202")="#N/A FIELD NOT APPLICABLE"), " ", _xll.BDP($AX138,"DX202"))</f>
        <v>Communication Services</v>
      </c>
      <c r="I138" s="24">
        <f>_xll.BDP(AX138,"CRNCY_ADJ_MKT_CAP", "EQY_FUND_CRNCY=USD")/1000</f>
        <v>1995.6807200000001</v>
      </c>
      <c r="J138" s="25">
        <f>IFERROR(_xll.BDP(AX138, "DV013")/100,0)</f>
        <v>5.13541586949903E-3</v>
      </c>
      <c r="K138" s="26" cm="1">
        <f t="array" ref="K138">IF(OR(_xll.BDP($AX138,"RR900")= "#N/A N/A", _xll.BDP($AX138,"RR900")="#N/A FIELD NOT APPLICABLE"), " ", _xll.BDP($AX138,"RR900"))</f>
        <v>19.754865204387873</v>
      </c>
      <c r="L138" s="26" cm="1">
        <f t="array" ref="L138">IF(OR(_xll.BDP($AX138,"EE010")= "#N/A N/A", _xll.BDP($AX138,"EE010")="#N/A FIELD NOT APPLICABLE"), " ", _xll.BDP($AX138,"EE010"))</f>
        <v>15.48466489965922</v>
      </c>
      <c r="M138" s="26" cm="1">
        <f t="array" ref="M138">IF(OR(_xll.BDP($AX138,"RR903")= "#N/A N/A", _xll.BDP($AX138,"RR903")="#N/A FIELD NOT APPLICABLE"), " ", _xll.BDP($AX138,"RR903"))</f>
        <v>5.7584230147273816</v>
      </c>
      <c r="N138" s="26" cm="1">
        <f t="array" ref="N138">IF(OR(_xll.BDP($AX138,"RR957")= "#N/A N/A", _xll.BDP($AX138,"RR957")="#N/A FIELD NOT APPLICABLE"), " ", _xll.BDP($AX138,"RR957"))</f>
        <v>13.926140188537387</v>
      </c>
      <c r="O138" s="27">
        <v>1322</v>
      </c>
      <c r="P138" s="28">
        <v>148.07</v>
      </c>
      <c r="Q138" s="22" cm="1">
        <f t="array" ref="Q138">IF(OR(_xll.BDP($AX138,"PX_last")="#N/A N/A",_xll.BDP($AX138,"PX_Last")="#N/A FIELD NOT APPLICABLE")," ",IF(F138="GBP",(_xll.BDP($AX138,"PX_LAST")/100),(_xll.BDP($AX138,"PX_LAST"))))</f>
        <v>163.57</v>
      </c>
      <c r="R138" s="29">
        <f>IF(F138="USD",AA138,(((_xll.BDP(F138&amp;"USD CURNCY","PX_LAST")))*AA138))</f>
        <v>195748.53999999998</v>
      </c>
      <c r="S138" s="29">
        <f>IF(F138="USD",AB138,(((_xll.BDP(F138&amp;"USD CURNCY","PX_LAST")))*AB138))</f>
        <v>216239.53999999998</v>
      </c>
      <c r="T138" s="12">
        <f>S138-R138</f>
        <v>20491</v>
      </c>
      <c r="U138" s="13">
        <f>T138/R138</f>
        <v>0.10468021881542515</v>
      </c>
      <c r="V138" s="13" cm="1">
        <f t="array" ref="V138">IFERROR(_xll.BDP($G138&amp;" Equity","CHG_PCT_1D")/100,"")</f>
        <v>-3.897448E-3</v>
      </c>
      <c r="W138" s="13" cm="1">
        <f t="array" ref="W138">IFERROR(_xll.BDP($G138&amp;" Equity","CHG_PCT_5D")/100,"")</f>
        <v>2.1291210000000001E-2</v>
      </c>
      <c r="X138" s="13" t="e">
        <f>S138/#REF!</f>
        <v>#REF!</v>
      </c>
      <c r="Y138" s="24">
        <f>IFERROR(S138*J138,0)</f>
        <v>1110.4799653291702</v>
      </c>
      <c r="Z138" s="24">
        <f>S138</f>
        <v>216239.53999999998</v>
      </c>
      <c r="AA138" s="29">
        <f>P138*O138</f>
        <v>195748.53999999998</v>
      </c>
      <c r="AB138" s="29">
        <f>IFERROR(O138*Q138,0)</f>
        <v>216239.53999999998</v>
      </c>
      <c r="AC138" s="4" t="e" cm="1">
        <f t="array" ref="AC138">VLOOKUP(IF(NOT(_xll.BDP(AX138,$BW$8)="#N/A N/A"),(_xll.BDP(AX138,$BW$8)),"-"), '[1]Country Codes'!$A$2:$B$253,2,0)</f>
        <v>#N/A</v>
      </c>
      <c r="AD138" s="30" t="str" cm="1">
        <f t="array" ref="AD138">IF(OR(_xll.BDP($AX138,"EX028")= "#N/A N/A", _xll.BDP($AX138,"EX028")="#N/A FIELD NOT APPLICABLE"), " ", _xll.BDP($AX138,"EX028"))</f>
        <v>Equity</v>
      </c>
      <c r="AE138" s="31" t="str">
        <f>IF(("AS97"="Equity"), " ", "Single Line Equity")</f>
        <v>Single Line Equity</v>
      </c>
      <c r="AF138" s="26" cm="1">
        <f t="array" ref="AF138">IF(OR(_xll.BDP($AX138,"RR908")= "#N/A N/A", _xll.BDP($AX138,"RR908")="#N/A FIELD NOT APPLICABLE"), " ", _xll.BDP($AX138,"RR908"))</f>
        <v>15.114577405219173</v>
      </c>
      <c r="AG138" s="26" cm="1">
        <f t="array" ref="AG138">IF(OR(_xll.BDP($AX138,"RR041")= "#N/A N/A", _xll.BDP($AX138,"RR041")="#N/A FIELD NOT APPLICABLE"), " ", _xll.BDP($AX138,"RR041"))</f>
        <v>5.7069755872214918</v>
      </c>
      <c r="AH138" s="22">
        <f>_xll.BDP(AX138,"TOT_BUY_REC")</f>
        <v>63</v>
      </c>
      <c r="AI138" s="22">
        <f>_xll.BDP(AX138,"TOT_HOLD_REC")</f>
        <v>14</v>
      </c>
      <c r="AJ138" s="22">
        <f>_xll.BDP(AX138,"TOT_SELL_REC")</f>
        <v>0</v>
      </c>
      <c r="AK138" s="26" cm="1">
        <f t="array" ref="AK138">IF(OR(_xll.BDP($AX138,"EE201")= "#N/A N/A", _xll.BDP($AX138,"EE201")="#N/A FIELD NOT APPLICABLE"), " ", _xll.BDP($AX138,"EE201"))</f>
        <v>4.6103897094726563</v>
      </c>
      <c r="AL138" s="24">
        <f>_xll.BDP(AX138,"BEST_TARGET_PRICE")</f>
        <v>203.3973388671875</v>
      </c>
      <c r="AM138" s="32">
        <f>(AL138/Q138)-1</f>
        <v>0.24348804100499799</v>
      </c>
      <c r="AN138" s="32">
        <f>_xll.BDP(AX138,"PR061")/100</f>
        <v>0.1234203</v>
      </c>
      <c r="AO138" s="32">
        <f>_xll.BDP(AX138,"PR064")/100</f>
        <v>-0.14629440000000002</v>
      </c>
      <c r="AP138" s="32">
        <f>_xll.BDP(AX138,"CHG_PCT_6M")/100</f>
        <v>-7.3310269999999997E-2</v>
      </c>
      <c r="AQ138" s="25">
        <f>_xll.BDP(AX138,"PR079")/100</f>
        <v>-0.13592180000000001</v>
      </c>
      <c r="AR138" s="33">
        <f>_xll.BDP(AX138,"hs001")</f>
        <v>207.05</v>
      </c>
      <c r="AS138" s="33">
        <f>_xll.BDP(AX138,"hs002")</f>
        <v>140.53</v>
      </c>
      <c r="AT138" s="22" t="str" cm="1">
        <f t="array" ref="AT138">IF(OR(_xll.BDP($AX138,"DX202")= "#N/A N/A", _xll.BDP($AX138,"DX202")="#N/A FIELD NOT APPLICABLE"), " ", _xll.BDP($AX138,"DX202"))</f>
        <v>Communication Services</v>
      </c>
      <c r="AU138" s="22" t="str" cm="1">
        <f t="array" ref="AU138">IF(OR(_xll.BDP($AX138,"DY997")= "#N/A N/A", _xll.BDP($AX138,"DY997")="#N/A FIELD NOT APPLICABLE"), " ", _xll.BDP($AX138,"DY997"))</f>
        <v>Y</v>
      </c>
      <c r="AV138" s="22" t="str" cm="1">
        <f t="array" ref="AV138">IF(OR(_xll.BDP($AX138,"DY784")= "#N/A N/A", _xll.BDP($AX138,"DY784")="#N/A FIELD NOT APPLICABLE"), " ", _xll.BDP($AX138,"DY784"))</f>
        <v xml:space="preserve"> </v>
      </c>
      <c r="AW138" s="22" t="str">
        <f>IF(OR(AU138="Y",AV138="Y"),"Y","N")</f>
        <v>Y</v>
      </c>
      <c r="AX138" s="22" t="str">
        <f>CONCATENATE(G138," ",$AX$2)</f>
        <v>GOOGL US Equity</v>
      </c>
      <c r="BC138" s="17" t="str" cm="1">
        <f t="array" ref="BC138">_xll.BDP(AX138,"ID005")</f>
        <v>US02079K3059</v>
      </c>
      <c r="BD138" s="17">
        <v>0.79479999999999995</v>
      </c>
      <c r="BE138" s="18">
        <v>4</v>
      </c>
      <c r="BF138" s="19"/>
      <c r="BG138" s="20"/>
    </row>
    <row r="139" spans="1:59" s="3" customFormat="1" ht="14.45" customHeight="1" x14ac:dyDescent="0.25">
      <c r="A139" s="49" t="s">
        <v>241</v>
      </c>
      <c r="B139" s="49" t="s">
        <v>270</v>
      </c>
      <c r="C139" s="49" t="s">
        <v>271</v>
      </c>
      <c r="D139" s="49" t="s">
        <v>240</v>
      </c>
      <c r="E139" s="22" t="str">
        <f>_xll.BDP(AX139,"SECURITY NAME")</f>
        <v>Alphabet Inc</v>
      </c>
      <c r="F139" s="22" t="str">
        <f>_xll.BDP(AX139,"CRNCY")</f>
        <v>USD</v>
      </c>
      <c r="G139" s="23" t="s">
        <v>137</v>
      </c>
      <c r="H139" s="22" t="str" cm="1">
        <f t="array" ref="H139">IF(OR(_xll.BDP($AX139,"DX202")= "#N/A N/A", _xll.BDP($AX139,"DX202")="#N/A FIELD NOT APPLICABLE"), " ", _xll.BDP($AX139,"DX202"))</f>
        <v>Communication Services</v>
      </c>
      <c r="I139" s="24">
        <f>_xll.BDP(AX139,"CRNCY_ADJ_MKT_CAP", "EQY_FUND_CRNCY=USD")/1000</f>
        <v>1995.6807200000001</v>
      </c>
      <c r="J139" s="25">
        <f>IFERROR(_xll.BDP(AX139, "DV013")/100,0)</f>
        <v>5.13541586949903E-3</v>
      </c>
      <c r="K139" s="26" cm="1">
        <f t="array" ref="K139">IF(OR(_xll.BDP($AX139,"RR900")= "#N/A N/A", _xll.BDP($AX139,"RR900")="#N/A FIELD NOT APPLICABLE"), " ", _xll.BDP($AX139,"RR900"))</f>
        <v>19.754865204387873</v>
      </c>
      <c r="L139" s="26" cm="1">
        <f t="array" ref="L139">IF(OR(_xll.BDP($AX139,"EE010")= "#N/A N/A", _xll.BDP($AX139,"EE010")="#N/A FIELD NOT APPLICABLE"), " ", _xll.BDP($AX139,"EE010"))</f>
        <v>15.48466489965922</v>
      </c>
      <c r="M139" s="26" cm="1">
        <f t="array" ref="M139">IF(OR(_xll.BDP($AX139,"RR903")= "#N/A N/A", _xll.BDP($AX139,"RR903")="#N/A FIELD NOT APPLICABLE"), " ", _xll.BDP($AX139,"RR903"))</f>
        <v>5.7584230147273816</v>
      </c>
      <c r="N139" s="26" cm="1">
        <f t="array" ref="N139">IF(OR(_xll.BDP($AX139,"RR957")= "#N/A N/A", _xll.BDP($AX139,"RR957")="#N/A FIELD NOT APPLICABLE"), " ", _xll.BDP($AX139,"RR957"))</f>
        <v>13.926140188537387</v>
      </c>
      <c r="O139" s="27">
        <v>556</v>
      </c>
      <c r="P139" s="28">
        <v>152.88999999999999</v>
      </c>
      <c r="Q139" s="22" cm="1">
        <f t="array" ref="Q139">IF(OR(_xll.BDP($AX139,"PX_last")="#N/A N/A",_xll.BDP($AX139,"PX_Last")="#N/A FIELD NOT APPLICABLE")," ",IF(F139="GBP",(_xll.BDP($AX139,"PX_LAST")/100),(_xll.BDP($AX139,"PX_LAST"))))</f>
        <v>163.57</v>
      </c>
      <c r="R139" s="29">
        <f>IF(F139="USD",AA139,(((_xll.BDP(F139&amp;"USD CURNCY","PX_LAST")))*AA139))</f>
        <v>85006.84</v>
      </c>
      <c r="S139" s="29">
        <f>IF(F139="USD",AB139,(((_xll.BDP(F139&amp;"USD CURNCY","PX_LAST")))*AB139))</f>
        <v>90944.92</v>
      </c>
      <c r="T139" s="12">
        <f>S139-R139</f>
        <v>5938.0800000000017</v>
      </c>
      <c r="U139" s="13">
        <f>T139/R139</f>
        <v>6.9854143501864113E-2</v>
      </c>
      <c r="V139" s="13" cm="1">
        <f t="array" ref="V139">IFERROR(_xll.BDP($G139&amp;" Equity","CHG_PCT_1D")/100,"")</f>
        <v>-3.897448E-3</v>
      </c>
      <c r="W139" s="13" cm="1">
        <f t="array" ref="W139">IFERROR(_xll.BDP($G139&amp;" Equity","CHG_PCT_5D")/100,"")</f>
        <v>2.1291210000000001E-2</v>
      </c>
      <c r="X139" s="13" t="e">
        <f>S139/#REF!</f>
        <v>#REF!</v>
      </c>
      <c r="Y139" s="24">
        <f>IFERROR(S139*J139,0)</f>
        <v>467.0399854183197</v>
      </c>
      <c r="Z139" s="24">
        <f>S139</f>
        <v>90944.92</v>
      </c>
      <c r="AA139" s="29">
        <f>P139*O139</f>
        <v>85006.84</v>
      </c>
      <c r="AB139" s="29">
        <f>IFERROR(O139*Q139,0)</f>
        <v>90944.92</v>
      </c>
      <c r="AC139" s="4" t="e" cm="1">
        <f t="array" ref="AC139">VLOOKUP(IF(NOT(_xll.BDP(AX139,$BW$8)="#N/A N/A"),(_xll.BDP(AX139,$BW$8)),"-"), '[1]Country Codes'!$A$2:$B$253,2,0)</f>
        <v>#N/A</v>
      </c>
      <c r="AD139" s="30" t="str" cm="1">
        <f t="array" ref="AD139">IF(OR(_xll.BDP($AX139,"EX028")= "#N/A N/A", _xll.BDP($AX139,"EX028")="#N/A FIELD NOT APPLICABLE"), " ", _xll.BDP($AX139,"EX028"))</f>
        <v>Equity</v>
      </c>
      <c r="AE139" s="31" t="str">
        <f>IF(("AS97"="Equity"), " ", "Single Line Equity")</f>
        <v>Single Line Equity</v>
      </c>
      <c r="AF139" s="26" cm="1">
        <f t="array" ref="AF139">IF(OR(_xll.BDP($AX139,"RR908")= "#N/A N/A", _xll.BDP($AX139,"RR908")="#N/A FIELD NOT APPLICABLE"), " ", _xll.BDP($AX139,"RR908"))</f>
        <v>15.114577405219173</v>
      </c>
      <c r="AG139" s="26" cm="1">
        <f t="array" ref="AG139">IF(OR(_xll.BDP($AX139,"RR041")= "#N/A N/A", _xll.BDP($AX139,"RR041")="#N/A FIELD NOT APPLICABLE"), " ", _xll.BDP($AX139,"RR041"))</f>
        <v>5.7069755872214918</v>
      </c>
      <c r="AH139" s="22">
        <f>_xll.BDP(AX139,"TOT_BUY_REC")</f>
        <v>63</v>
      </c>
      <c r="AI139" s="22">
        <f>_xll.BDP(AX139,"TOT_HOLD_REC")</f>
        <v>14</v>
      </c>
      <c r="AJ139" s="22">
        <f>_xll.BDP(AX139,"TOT_SELL_REC")</f>
        <v>0</v>
      </c>
      <c r="AK139" s="26" cm="1">
        <f t="array" ref="AK139">IF(OR(_xll.BDP($AX139,"EE201")= "#N/A N/A", _xll.BDP($AX139,"EE201")="#N/A FIELD NOT APPLICABLE"), " ", _xll.BDP($AX139,"EE201"))</f>
        <v>4.6103897094726563</v>
      </c>
      <c r="AL139" s="24">
        <f>_xll.BDP(AX139,"BEST_TARGET_PRICE")</f>
        <v>203.3973388671875</v>
      </c>
      <c r="AM139" s="32">
        <f>(AL139/Q139)-1</f>
        <v>0.24348804100499799</v>
      </c>
      <c r="AN139" s="32">
        <f>_xll.BDP(AX139,"PR061")/100</f>
        <v>0.1234203</v>
      </c>
      <c r="AO139" s="32">
        <f>_xll.BDP(AX139,"PR064")/100</f>
        <v>-0.14629440000000002</v>
      </c>
      <c r="AP139" s="32">
        <f>_xll.BDP(AX139,"CHG_PCT_6M")/100</f>
        <v>-7.3310269999999997E-2</v>
      </c>
      <c r="AQ139" s="25">
        <f>_xll.BDP(AX139,"PR079")/100</f>
        <v>-0.13592180000000001</v>
      </c>
      <c r="AR139" s="33">
        <f>_xll.BDP(AX139,"hs001")</f>
        <v>207.05</v>
      </c>
      <c r="AS139" s="33">
        <f>_xll.BDP(AX139,"hs002")</f>
        <v>140.53</v>
      </c>
      <c r="AT139" s="22" t="str" cm="1">
        <f t="array" ref="AT139">IF(OR(_xll.BDP($AX139,"DX202")= "#N/A N/A", _xll.BDP($AX139,"DX202")="#N/A FIELD NOT APPLICABLE"), " ", _xll.BDP($AX139,"DX202"))</f>
        <v>Communication Services</v>
      </c>
      <c r="AU139" s="22" t="str" cm="1">
        <f t="array" ref="AU139">IF(OR(_xll.BDP($AX139,"DY997")= "#N/A N/A", _xll.BDP($AX139,"DY997")="#N/A FIELD NOT APPLICABLE"), " ", _xll.BDP($AX139,"DY997"))</f>
        <v>Y</v>
      </c>
      <c r="AV139" s="22" t="str" cm="1">
        <f t="array" ref="AV139">IF(OR(_xll.BDP($AX139,"DY784")= "#N/A N/A", _xll.BDP($AX139,"DY784")="#N/A FIELD NOT APPLICABLE"), " ", _xll.BDP($AX139,"DY784"))</f>
        <v xml:space="preserve"> </v>
      </c>
      <c r="AW139" s="22" t="str">
        <f>IF(OR(AU139="Y",AV139="Y"),"Y","N")</f>
        <v>Y</v>
      </c>
      <c r="AX139" s="22" t="str">
        <f>CONCATENATE(G139," ",$AX$2)</f>
        <v>GOOGL US Equity</v>
      </c>
      <c r="BC139" s="17" t="str" cm="1">
        <f t="array" ref="BC139">_xll.BDP(AX139,"ID005")</f>
        <v>US02079K3059</v>
      </c>
      <c r="BD139" s="17">
        <v>0.79479999999999995</v>
      </c>
      <c r="BE139" s="18">
        <v>4</v>
      </c>
      <c r="BF139" s="19"/>
      <c r="BG139" s="20"/>
    </row>
    <row r="140" spans="1:59" s="3" customFormat="1" ht="14.45" customHeight="1" x14ac:dyDescent="0.25">
      <c r="A140" s="49" t="s">
        <v>241</v>
      </c>
      <c r="B140" s="49" t="s">
        <v>273</v>
      </c>
      <c r="C140" s="49">
        <v>2620058.003</v>
      </c>
      <c r="D140" s="49" t="s">
        <v>240</v>
      </c>
      <c r="E140" s="22" t="str">
        <f>_xll.BDP(AX140,"SECURITY NAME")</f>
        <v>Alphabet Inc</v>
      </c>
      <c r="F140" s="22" t="str">
        <f>_xll.BDP(AX140,"CRNCY")</f>
        <v>USD</v>
      </c>
      <c r="G140" s="23" t="s">
        <v>137</v>
      </c>
      <c r="H140" s="22" t="str" cm="1">
        <f t="array" ref="H140">IF(OR(_xll.BDP($AX140,"DX202")= "#N/A N/A", _xll.BDP($AX140,"DX202")="#N/A FIELD NOT APPLICABLE"), " ", _xll.BDP($AX140,"DX202"))</f>
        <v>Communication Services</v>
      </c>
      <c r="I140" s="24"/>
      <c r="J140" s="25">
        <f>IFERROR(_xll.BDP(AX140, "DV013")/100,0)</f>
        <v>5.13541586949903E-3</v>
      </c>
      <c r="K140" s="26" cm="1">
        <f t="array" ref="K140">IF(OR(_xll.BDP($AX140,"RR900")= "#N/A N/A", _xll.BDP($AX140,"RR900")="#N/A FIELD NOT APPLICABLE"), " ", _xll.BDP($AX140,"RR900"))</f>
        <v>19.754865204387873</v>
      </c>
      <c r="L140" s="26" cm="1">
        <f t="array" ref="L140">IF(OR(_xll.BDP($AX140,"EE010")= "#N/A N/A", _xll.BDP($AX140,"EE010")="#N/A FIELD NOT APPLICABLE"), " ", _xll.BDP($AX140,"EE010"))</f>
        <v>15.48466489965922</v>
      </c>
      <c r="M140" s="26" cm="1">
        <f t="array" ref="M140">IF(OR(_xll.BDP($AX140,"RR903")= "#N/A N/A", _xll.BDP($AX140,"RR903")="#N/A FIELD NOT APPLICABLE"), " ", _xll.BDP($AX140,"RR903"))</f>
        <v>5.7584230147273816</v>
      </c>
      <c r="N140" s="26" cm="1">
        <f t="array" ref="N140">IF(OR(_xll.BDP($AX140,"RR957")= "#N/A N/A", _xll.BDP($AX140,"RR957")="#N/A FIELD NOT APPLICABLE"), " ", _xll.BDP($AX140,"RR957"))</f>
        <v>13.926140188537387</v>
      </c>
      <c r="O140" s="27">
        <v>327</v>
      </c>
      <c r="P140" s="28">
        <v>152.88999999999999</v>
      </c>
      <c r="Q140" s="22" cm="1">
        <f t="array" ref="Q140">IF(OR(_xll.BDP($AX140,"PX_last")="#N/A N/A",_xll.BDP($AX140,"PX_Last")="#N/A FIELD NOT APPLICABLE")," ",IF(F140="GBP",(_xll.BDP($AX140,"PX_LAST")/100),(_xll.BDP($AX140,"PX_LAST"))))</f>
        <v>163.57</v>
      </c>
      <c r="R140" s="29">
        <f>IF(F140="USD",AA140,(((_xll.BDP(F140&amp;"USD CURNCY","PX_LAST")))*AA140))</f>
        <v>49995.03</v>
      </c>
      <c r="S140" s="29">
        <f>IF(F140="USD",AB140,(((_xll.BDP(F140&amp;"USD CURNCY","PX_LAST")))*AB140))</f>
        <v>53487.39</v>
      </c>
      <c r="T140" s="12">
        <f>S140-R140</f>
        <v>3492.3600000000006</v>
      </c>
      <c r="U140" s="13">
        <f>T140/R140</f>
        <v>6.9854143501864099E-2</v>
      </c>
      <c r="V140" s="13" cm="1">
        <f t="array" ref="V140">IFERROR(_xll.BDP($G140&amp;" Equity","CHG_PCT_1D")/100,"")</f>
        <v>-3.897448E-3</v>
      </c>
      <c r="W140" s="13" cm="1">
        <f t="array" ref="W140">IFERROR(_xll.BDP($G140&amp;" Equity","CHG_PCT_5D")/100,"")</f>
        <v>2.1291210000000001E-2</v>
      </c>
      <c r="X140" s="13" t="e">
        <f>S140/#REF!</f>
        <v>#REF!</v>
      </c>
      <c r="Y140" s="24">
        <f>IFERROR(S140*J140,0)</f>
        <v>274.67999142408371</v>
      </c>
      <c r="Z140" s="24">
        <f>S140</f>
        <v>53487.39</v>
      </c>
      <c r="AA140" s="29">
        <f>P140*O140</f>
        <v>49995.03</v>
      </c>
      <c r="AB140" s="29">
        <f>IFERROR(O140*Q140,0)</f>
        <v>53487.39</v>
      </c>
      <c r="AC140" s="4" t="e" cm="1">
        <f t="array" ref="AC140">VLOOKUP(IF(NOT(_xll.BDP(AX140,$BW$8)="#N/A N/A"),(_xll.BDP(AX140,$BW$8)),"-"), '[1]Country Codes'!$A$2:$B$253,2,0)</f>
        <v>#N/A</v>
      </c>
      <c r="AD140" s="30" t="str" cm="1">
        <f t="array" ref="AD140">IF(OR(_xll.BDP($AX140,"EX028")= "#N/A N/A", _xll.BDP($AX140,"EX028")="#N/A FIELD NOT APPLICABLE"), " ", _xll.BDP($AX140,"EX028"))</f>
        <v>Equity</v>
      </c>
      <c r="AE140" s="31" t="str">
        <f>IF(("AS97"="Equity"), " ", "Single Line Equity")</f>
        <v>Single Line Equity</v>
      </c>
      <c r="AF140" s="26" cm="1">
        <f t="array" ref="AF140">IF(OR(_xll.BDP($AX140,"RR908")= "#N/A N/A", _xll.BDP($AX140,"RR908")="#N/A FIELD NOT APPLICABLE"), " ", _xll.BDP($AX140,"RR908"))</f>
        <v>15.114577405219173</v>
      </c>
      <c r="AG140" s="26" cm="1">
        <f t="array" ref="AG140">IF(OR(_xll.BDP($AX140,"RR041")= "#N/A N/A", _xll.BDP($AX140,"RR041")="#N/A FIELD NOT APPLICABLE"), " ", _xll.BDP($AX140,"RR041"))</f>
        <v>5.7069755872214918</v>
      </c>
      <c r="AH140" s="22">
        <f>_xll.BDP(AX140,"TOT_BUY_REC")</f>
        <v>63</v>
      </c>
      <c r="AI140" s="22">
        <f>_xll.BDP(AX140,"TOT_HOLD_REC")</f>
        <v>14</v>
      </c>
      <c r="AJ140" s="22">
        <f>_xll.BDP(AX140,"TOT_SELL_REC")</f>
        <v>0</v>
      </c>
      <c r="AK140" s="26" cm="1">
        <f t="array" ref="AK140">IF(OR(_xll.BDP($AX140,"EE201")= "#N/A N/A", _xll.BDP($AX140,"EE201")="#N/A FIELD NOT APPLICABLE"), " ", _xll.BDP($AX140,"EE201"))</f>
        <v>4.6103897094726563</v>
      </c>
      <c r="AL140" s="24">
        <f>_xll.BDP(AX140,"BEST_TARGET_PRICE")</f>
        <v>203.3973388671875</v>
      </c>
      <c r="AM140" s="32">
        <f>(AL140/Q140)-1</f>
        <v>0.24348804100499799</v>
      </c>
      <c r="AN140" s="32">
        <f>_xll.BDP(AX140,"PR061")/100</f>
        <v>0.1234203</v>
      </c>
      <c r="AO140" s="32">
        <f>_xll.BDP(AX140,"PR064")/100</f>
        <v>-0.14629440000000002</v>
      </c>
      <c r="AP140" s="32">
        <f>_xll.BDP(AX140,"CHG_PCT_6M")/100</f>
        <v>-7.3310269999999997E-2</v>
      </c>
      <c r="AQ140" s="25">
        <f>_xll.BDP(AX140,"PR079")/100</f>
        <v>-0.13592180000000001</v>
      </c>
      <c r="AR140" s="33">
        <f>_xll.BDP(AX140,"hs001")</f>
        <v>207.05</v>
      </c>
      <c r="AS140" s="33">
        <f>_xll.BDP(AX140,"hs002")</f>
        <v>140.53</v>
      </c>
      <c r="AT140" s="22" t="str" cm="1">
        <f t="array" ref="AT140">IF(OR(_xll.BDP($AX140,"DX202")= "#N/A N/A", _xll.BDP($AX140,"DX202")="#N/A FIELD NOT APPLICABLE"), " ", _xll.BDP($AX140,"DX202"))</f>
        <v>Communication Services</v>
      </c>
      <c r="AU140" s="22" t="str" cm="1">
        <f t="array" ref="AU140">IF(OR(_xll.BDP($AX140,"DY997")= "#N/A N/A", _xll.BDP($AX140,"DY997")="#N/A FIELD NOT APPLICABLE"), " ", _xll.BDP($AX140,"DY997"))</f>
        <v>Y</v>
      </c>
      <c r="AV140" s="22" t="str" cm="1">
        <f t="array" ref="AV140">IF(OR(_xll.BDP($AX140,"DY784")= "#N/A N/A", _xll.BDP($AX140,"DY784")="#N/A FIELD NOT APPLICABLE"), " ", _xll.BDP($AX140,"DY784"))</f>
        <v xml:space="preserve"> </v>
      </c>
      <c r="AW140" s="22" t="str">
        <f>IF(OR(AU140="Y",AV140="Y"),"Y","N")</f>
        <v>Y</v>
      </c>
      <c r="AX140" s="22" t="str">
        <f>CONCATENATE(G140," ",$AX$2)</f>
        <v>GOOGL US Equity</v>
      </c>
      <c r="BC140" s="17" t="str" cm="1">
        <f t="array" ref="BC140">_xll.BDP(AX140,"ID005")</f>
        <v>US02079K3059</v>
      </c>
      <c r="BD140" s="17">
        <v>0.79479999999999995</v>
      </c>
      <c r="BE140" s="18">
        <v>4</v>
      </c>
      <c r="BF140" s="19">
        <v>45607</v>
      </c>
      <c r="BG140" s="20"/>
    </row>
    <row r="141" spans="1:59" s="3" customFormat="1" ht="14.45" customHeight="1" x14ac:dyDescent="0.25">
      <c r="A141" s="49" t="s">
        <v>241</v>
      </c>
      <c r="B141" s="49" t="s">
        <v>276</v>
      </c>
      <c r="C141" s="49" t="s">
        <v>277</v>
      </c>
      <c r="D141" s="49" t="s">
        <v>240</v>
      </c>
      <c r="E141" s="22" t="str">
        <f>_xll.BDP(AX141,"SECURITY NAME")</f>
        <v>Alphabet Inc</v>
      </c>
      <c r="F141" s="22" t="str">
        <f>_xll.BDP(AX141,"CRNCY")</f>
        <v>USD</v>
      </c>
      <c r="G141" s="23" t="s">
        <v>137</v>
      </c>
      <c r="H141" s="22" t="str" cm="1">
        <f t="array" ref="H141">IF(OR(_xll.BDP($AX141,"DX202")= "#N/A N/A", _xll.BDP($AX141,"DX202")="#N/A FIELD NOT APPLICABLE"), " ", _xll.BDP($AX141,"DX202"))</f>
        <v>Communication Services</v>
      </c>
      <c r="I141" s="24">
        <f>_xll.BDP(AX141,"CRNCY_ADJ_MKT_CAP", "EQY_FUND_CRNCY=USD")/1000</f>
        <v>1995.6807200000001</v>
      </c>
      <c r="J141" s="25">
        <f>IFERROR(_xll.BDP(AX141, "DV013")/100,0)</f>
        <v>5.13541586949903E-3</v>
      </c>
      <c r="K141" s="26" cm="1">
        <f t="array" ref="K141">IF(OR(_xll.BDP($AX141,"RR900")= "#N/A N/A", _xll.BDP($AX141,"RR900")="#N/A FIELD NOT APPLICABLE"), " ", _xll.BDP($AX141,"RR900"))</f>
        <v>19.754865204387873</v>
      </c>
      <c r="L141" s="26" cm="1">
        <f t="array" ref="L141">IF(OR(_xll.BDP($AX141,"EE010")= "#N/A N/A", _xll.BDP($AX141,"EE010")="#N/A FIELD NOT APPLICABLE"), " ", _xll.BDP($AX141,"EE010"))</f>
        <v>15.48466489965922</v>
      </c>
      <c r="M141" s="26" cm="1">
        <f t="array" ref="M141">IF(OR(_xll.BDP($AX141,"RR903")= "#N/A N/A", _xll.BDP($AX141,"RR903")="#N/A FIELD NOT APPLICABLE"), " ", _xll.BDP($AX141,"RR903"))</f>
        <v>5.7584230147273816</v>
      </c>
      <c r="N141" s="26" cm="1">
        <f t="array" ref="N141">IF(OR(_xll.BDP($AX141,"RR957")= "#N/A N/A", _xll.BDP($AX141,"RR957")="#N/A FIELD NOT APPLICABLE"), " ", _xll.BDP($AX141,"RR957"))</f>
        <v>13.926140188537387</v>
      </c>
      <c r="O141" s="27">
        <v>785</v>
      </c>
      <c r="P141" s="28">
        <v>152.88999999999999</v>
      </c>
      <c r="Q141" s="22" cm="1">
        <f t="array" ref="Q141">IF(OR(_xll.BDP($AX141,"PX_last")="#N/A N/A",_xll.BDP($AX141,"PX_Last")="#N/A FIELD NOT APPLICABLE")," ",IF(F141="GBP",(_xll.BDP($AX141,"PX_LAST")/100),(_xll.BDP($AX141,"PX_LAST"))))</f>
        <v>163.57</v>
      </c>
      <c r="R141" s="29">
        <f>IF(F141="USD",AA141,(((_xll.BDP(F141&amp;"USD CURNCY","PX_LAST")))*AA141))</f>
        <v>120018.65</v>
      </c>
      <c r="S141" s="29">
        <f>IF(F141="USD",AB141,(((_xll.BDP(F141&amp;"USD CURNCY","PX_LAST")))*AB141))</f>
        <v>128402.45</v>
      </c>
      <c r="T141" s="12">
        <f>S141-R141</f>
        <v>8383.8000000000029</v>
      </c>
      <c r="U141" s="13">
        <f>T141/R141</f>
        <v>6.9854143501864113E-2</v>
      </c>
      <c r="V141" s="13" cm="1">
        <f t="array" ref="V141">IFERROR(_xll.BDP($G141&amp;" Equity","CHG_PCT_1D")/100,"")</f>
        <v>-3.897448E-3</v>
      </c>
      <c r="W141" s="13" cm="1">
        <f t="array" ref="W141">IFERROR(_xll.BDP($G141&amp;" Equity","CHG_PCT_5D")/100,"")</f>
        <v>2.1291210000000001E-2</v>
      </c>
      <c r="X141" s="13" t="e">
        <f>S141/#REF!</f>
        <v>#REF!</v>
      </c>
      <c r="Y141" s="24">
        <f>IFERROR(S141*J141,0)</f>
        <v>659.39997941255569</v>
      </c>
      <c r="Z141" s="24">
        <f>S141</f>
        <v>128402.45</v>
      </c>
      <c r="AA141" s="29">
        <f>P141*O141</f>
        <v>120018.65</v>
      </c>
      <c r="AB141" s="29">
        <f>IFERROR(O141*Q141,0)</f>
        <v>128402.45</v>
      </c>
      <c r="AC141" s="4" t="e" cm="1">
        <f t="array" ref="AC141">VLOOKUP(IF(NOT(_xll.BDP(AX141,$BW$8)="#N/A N/A"),(_xll.BDP(AX141,$BW$8)),"-"), '[1]Country Codes'!$A$2:$B$253,2,0)</f>
        <v>#N/A</v>
      </c>
      <c r="AD141" s="30" t="str" cm="1">
        <f t="array" ref="AD141">IF(OR(_xll.BDP($AX141,"EX028")= "#N/A N/A", _xll.BDP($AX141,"EX028")="#N/A FIELD NOT APPLICABLE"), " ", _xll.BDP($AX141,"EX028"))</f>
        <v>Equity</v>
      </c>
      <c r="AE141" s="31" t="str">
        <f>IF(("AS97"="Equity"), " ", "Single Line Equity")</f>
        <v>Single Line Equity</v>
      </c>
      <c r="AF141" s="26" cm="1">
        <f t="array" ref="AF141">IF(OR(_xll.BDP($AX141,"RR908")= "#N/A N/A", _xll.BDP($AX141,"RR908")="#N/A FIELD NOT APPLICABLE"), " ", _xll.BDP($AX141,"RR908"))</f>
        <v>15.114577405219173</v>
      </c>
      <c r="AG141" s="26" cm="1">
        <f t="array" ref="AG141">IF(OR(_xll.BDP($AX141,"RR041")= "#N/A N/A", _xll.BDP($AX141,"RR041")="#N/A FIELD NOT APPLICABLE"), " ", _xll.BDP($AX141,"RR041"))</f>
        <v>5.7069755872214918</v>
      </c>
      <c r="AH141" s="22">
        <f>_xll.BDP(AX141,"TOT_BUY_REC")</f>
        <v>63</v>
      </c>
      <c r="AI141" s="22">
        <f>_xll.BDP(AX141,"TOT_HOLD_REC")</f>
        <v>14</v>
      </c>
      <c r="AJ141" s="22">
        <f>_xll.BDP(AX141,"TOT_SELL_REC")</f>
        <v>0</v>
      </c>
      <c r="AK141" s="26" cm="1">
        <f t="array" ref="AK141">IF(OR(_xll.BDP($AX141,"EE201")= "#N/A N/A", _xll.BDP($AX141,"EE201")="#N/A FIELD NOT APPLICABLE"), " ", _xll.BDP($AX141,"EE201"))</f>
        <v>4.6103897094726563</v>
      </c>
      <c r="AL141" s="24">
        <f>_xll.BDP(AX141,"BEST_TARGET_PRICE")</f>
        <v>203.3973388671875</v>
      </c>
      <c r="AM141" s="32">
        <f>(AL141/Q141)-1</f>
        <v>0.24348804100499799</v>
      </c>
      <c r="AN141" s="32">
        <f>_xll.BDP(AX141,"PR061")/100</f>
        <v>0.1234203</v>
      </c>
      <c r="AO141" s="32">
        <f>_xll.BDP(AX141,"PR064")/100</f>
        <v>-0.14629440000000002</v>
      </c>
      <c r="AP141" s="32">
        <f>_xll.BDP(AX141,"CHG_PCT_6M")/100</f>
        <v>-7.3310269999999997E-2</v>
      </c>
      <c r="AQ141" s="25">
        <f>_xll.BDP(AX141,"PR079")/100</f>
        <v>-0.13592180000000001</v>
      </c>
      <c r="AR141" s="33">
        <f>_xll.BDP(AX141,"hs001")</f>
        <v>207.05</v>
      </c>
      <c r="AS141" s="33">
        <f>_xll.BDP(AX141,"hs002")</f>
        <v>140.53</v>
      </c>
      <c r="AT141" s="22" t="str" cm="1">
        <f t="array" ref="AT141">IF(OR(_xll.BDP($AX141,"DX202")= "#N/A N/A", _xll.BDP($AX141,"DX202")="#N/A FIELD NOT APPLICABLE"), " ", _xll.BDP($AX141,"DX202"))</f>
        <v>Communication Services</v>
      </c>
      <c r="AU141" s="22" t="str" cm="1">
        <f t="array" ref="AU141">IF(OR(_xll.BDP($AX141,"DY997")= "#N/A N/A", _xll.BDP($AX141,"DY997")="#N/A FIELD NOT APPLICABLE"), " ", _xll.BDP($AX141,"DY997"))</f>
        <v>Y</v>
      </c>
      <c r="AV141" s="22" t="str" cm="1">
        <f t="array" ref="AV141">IF(OR(_xll.BDP($AX141,"DY784")= "#N/A N/A", _xll.BDP($AX141,"DY784")="#N/A FIELD NOT APPLICABLE"), " ", _xll.BDP($AX141,"DY784"))</f>
        <v xml:space="preserve"> </v>
      </c>
      <c r="AW141" s="22" t="str">
        <f>IF(OR(AU141="Y",AV141="Y"),"Y","N")</f>
        <v>Y</v>
      </c>
      <c r="AX141" s="22" t="str">
        <f>CONCATENATE(G141," ",$AX$2)</f>
        <v>GOOGL US Equity</v>
      </c>
      <c r="BC141" s="17" t="str" cm="1">
        <f t="array" ref="BC141">_xll.BDP(AX141,"ID005")</f>
        <v>US02079K3059</v>
      </c>
      <c r="BD141" s="17">
        <v>0.79479999999999995</v>
      </c>
      <c r="BE141" s="18">
        <v>4</v>
      </c>
      <c r="BF141" s="19">
        <v>45607</v>
      </c>
      <c r="BG141" s="20"/>
    </row>
    <row r="142" spans="1:59" s="93" customFormat="1" ht="14.45" customHeight="1" x14ac:dyDescent="0.25">
      <c r="A142" s="49" t="s">
        <v>242</v>
      </c>
      <c r="B142" s="49" t="s">
        <v>243</v>
      </c>
      <c r="C142" s="49" t="s">
        <v>244</v>
      </c>
      <c r="D142" s="49" t="s">
        <v>245</v>
      </c>
      <c r="E142" s="22" t="str">
        <f>_xll.BDP(AX142,"SECURITY NAME")</f>
        <v>GSK PLC</v>
      </c>
      <c r="F142" s="22" t="str">
        <f>_xll.BDP(AX142,"CRNCY")</f>
        <v>GBp</v>
      </c>
      <c r="G142" s="23" t="s">
        <v>119</v>
      </c>
      <c r="H142" s="22" t="str" cm="1">
        <f t="array" ref="H142">IF(OR(_xll.BDP($AX142,"DX202")= "#N/A N/A", _xll.BDP($AX142,"DX202")="#N/A FIELD NOT APPLICABLE"), " ", _xll.BDP($AX142,"DX202"))</f>
        <v>Health Care</v>
      </c>
      <c r="I142" s="24">
        <f>_xll.BDP(AX142,"CRNCY_ADJ_MKT_CAP", "EQY_FUND_CRNCY=USD")/1000</f>
        <v>79.449728825082431</v>
      </c>
      <c r="J142" s="25">
        <f>IFERROR(_xll.BDP(AX142, "DV013")/100,0)</f>
        <v>4.2862080884894571E-2</v>
      </c>
      <c r="K142" s="26" cm="1">
        <f t="array" ref="K142">IF(OR(_xll.BDP($AX142,"RR900")= "#N/A N/A", _xll.BDP($AX142,"RR900")="#N/A FIELD NOT APPLICABLE"), " ", _xll.BDP($AX142,"RR900"))</f>
        <v>18.737046632124351</v>
      </c>
      <c r="L142" s="26" cm="1">
        <f t="array" ref="L142">IF(OR(_xll.BDP($AX142,"EE010")= "#N/A N/A", _xll.BDP($AX142,"EE010")="#N/A FIELD NOT APPLICABLE"), " ", _xll.BDP($AX142,"EE010"))</f>
        <v>7.8486163863266416</v>
      </c>
      <c r="M142" s="26" cm="1">
        <f t="array" ref="M142">IF(OR(_xll.BDP($AX142,"RR903")= "#N/A N/A", _xll.BDP($AX142,"RR903")="#N/A FIELD NOT APPLICABLE"), " ", _xll.BDP($AX142,"RR903"))</f>
        <v>4.1738733488733493</v>
      </c>
      <c r="N142" s="26" cm="1">
        <f t="array" ref="N142">IF(OR(_xll.BDP($AX142,"RR957")= "#N/A N/A", _xll.BDP($AX142,"RR957")="#N/A FIELD NOT APPLICABLE"), " ", _xll.BDP($AX142,"RR957"))</f>
        <v>9.6250952957177756</v>
      </c>
      <c r="O142" s="27">
        <v>7451</v>
      </c>
      <c r="P142" s="28">
        <v>13.4594</v>
      </c>
      <c r="Q142" s="22" cm="1">
        <f t="array" ref="Q142">IF(OR(_xll.BDP($AX142,"PX_last")="#N/A N/A",_xll.BDP($AX142,"PX_Last")="#N/A FIELD NOT APPLICABLE")," ",IF(F142="GBP",(_xll.BDP($AX142,"PX_LAST")/100),(_xll.BDP($AX142,"PX_LAST"))))</f>
        <v>14.465</v>
      </c>
      <c r="R142" s="29">
        <f>IF(F142="USD",AA142,(((_xll.BDP(F142&amp;"USD CURNCY","PX_LAST")))*AA142))</f>
        <v>134052.28203098002</v>
      </c>
      <c r="S142" s="29">
        <f>IF(F142="USD",AB142,(((_xll.BDP(F142&amp;"USD CURNCY","PX_LAST")))*AB142))</f>
        <v>144067.80834049999</v>
      </c>
      <c r="T142" s="12">
        <f>S142-R142</f>
        <v>10015.526309519977</v>
      </c>
      <c r="U142" s="13">
        <f>T142/R142</f>
        <v>7.4713583072053558E-2</v>
      </c>
      <c r="V142" s="13" cm="1">
        <f t="array" ref="V142">IFERROR(_xll.BDP($G142&amp;" Equity","CHG_PCT_1D")/100,"")</f>
        <v>-1.380739E-3</v>
      </c>
      <c r="W142" s="13" cm="1">
        <f t="array" ref="W142">IFERROR(_xll.BDP($G142&amp;" Equity","CHG_PCT_5D")/100,"")</f>
        <v>2.6614620000000002E-2</v>
      </c>
      <c r="X142" s="13" t="e">
        <f>S142/#REF!</f>
        <v>#REF!</v>
      </c>
      <c r="Y142" s="24">
        <f>IFERROR(S142*J142,0)</f>
        <v>6175.0460539999995</v>
      </c>
      <c r="Z142" s="24">
        <f>S142</f>
        <v>144067.80834049999</v>
      </c>
      <c r="AA142" s="29">
        <f>P142*O142</f>
        <v>100285.98940000001</v>
      </c>
      <c r="AB142" s="29">
        <f>IFERROR(O142*Q142,0)</f>
        <v>107778.715</v>
      </c>
      <c r="AC142" s="4" t="e" cm="1">
        <f t="array" ref="AC142">VLOOKUP(IF(NOT(_xll.BDP(AX142,$BW$8)="#N/A N/A"),(_xll.BDP(AX142,$BW$8)),"-"), '[1]Country Codes'!$A$2:$B$253,2,0)</f>
        <v>#N/A</v>
      </c>
      <c r="AD142" s="30" t="str" cm="1">
        <f t="array" ref="AD142">IF(OR(_xll.BDP($AX142,"EX028")= "#N/A N/A", _xll.BDP($AX142,"EX028")="#N/A FIELD NOT APPLICABLE"), " ", _xll.BDP($AX142,"EX028"))</f>
        <v>Equity</v>
      </c>
      <c r="AE142" s="31" t="str">
        <f>IF(("AS97"="Equity"), " ", "Single Line Equity")</f>
        <v>Single Line Equity</v>
      </c>
      <c r="AF142" s="26" cm="1">
        <f t="array" ref="AF142">IF(OR(_xll.BDP($AX142,"RR908")= "#N/A N/A", _xll.BDP($AX142,"RR908")="#N/A FIELD NOT APPLICABLE"), " ", _xll.BDP($AX142,"RR908"))</f>
        <v>9.3768974931144715</v>
      </c>
      <c r="AG142" s="26" cm="1">
        <f t="array" ref="AG142">IF(OR(_xll.BDP($AX142,"RR041")= "#N/A N/A", _xll.BDP($AX142,"RR041")="#N/A FIELD NOT APPLICABLE"), " ", _xll.BDP($AX142,"RR041"))</f>
        <v>28.565662680994901</v>
      </c>
      <c r="AH142" s="22">
        <f>_xll.BDP(AX142,"TOT_BUY_REC")</f>
        <v>7</v>
      </c>
      <c r="AI142" s="22">
        <f>_xll.BDP(AX142,"TOT_HOLD_REC")</f>
        <v>14</v>
      </c>
      <c r="AJ142" s="22">
        <f>_xll.BDP(AX142,"TOT_SELL_REC")</f>
        <v>5</v>
      </c>
      <c r="AK142" s="26" cm="1">
        <f t="array" ref="AK142">IF(OR(_xll.BDP($AX142,"EE201")= "#N/A N/A", _xll.BDP($AX142,"EE201")="#N/A FIELD NOT APPLICABLE"), " ", _xll.BDP($AX142,"EE201"))</f>
        <v>3.192307710647583</v>
      </c>
      <c r="AL142" s="24">
        <f>_xll.BDP(AX142,"BEST_TARGET_PRICE")</f>
        <v>1645.6817626953125</v>
      </c>
      <c r="AM142" s="32">
        <f>(AL142/Q142)-1</f>
        <v>112.7699110055522</v>
      </c>
      <c r="AN142" s="32">
        <f>_xll.BDP(AX142,"PR061")/100</f>
        <v>2.0458549999999999E-2</v>
      </c>
      <c r="AO142" s="32">
        <f>_xll.BDP(AX142,"PR064")/100</f>
        <v>-2.2304830000000001E-2</v>
      </c>
      <c r="AP142" s="32">
        <f>_xll.BDP(AX142,"CHG_PCT_6M")/100</f>
        <v>5.5454210000000004E-2</v>
      </c>
      <c r="AQ142" s="25">
        <f>_xll.BDP(AX142,"PR079")/100</f>
        <v>7.4266620000000005E-2</v>
      </c>
      <c r="AR142" s="33">
        <f>_xll.BDP(AX142,"hs001")</f>
        <v>1820</v>
      </c>
      <c r="AS142" s="33">
        <f>_xll.BDP(AX142,"hs002")</f>
        <v>1242.5</v>
      </c>
      <c r="AT142" s="22" t="str" cm="1">
        <f t="array" ref="AT142">IF(OR(_xll.BDP($AX142,"DX202")= "#N/A N/A", _xll.BDP($AX142,"DX202")="#N/A FIELD NOT APPLICABLE"), " ", _xll.BDP($AX142,"DX202"))</f>
        <v>Health Care</v>
      </c>
      <c r="AU142" s="22" t="str" cm="1">
        <f t="array" ref="AU142">IF(OR(_xll.BDP($AX142,"DY997")= "#N/A N/A", _xll.BDP($AX142,"DY997")="#N/A FIELD NOT APPLICABLE"), " ", _xll.BDP($AX142,"DY997"))</f>
        <v>Y</v>
      </c>
      <c r="AV142" s="22" t="str" cm="1">
        <f t="array" ref="AV142">IF(OR(_xll.BDP($AX142,"DY784")= "#N/A N/A", _xll.BDP($AX142,"DY784")="#N/A FIELD NOT APPLICABLE"), " ", _xll.BDP($AX142,"DY784"))</f>
        <v>Y</v>
      </c>
      <c r="AW142" s="22" t="str">
        <f>IF(OR(AU142="Y",AV142="Y"),"Y","N")</f>
        <v>Y</v>
      </c>
      <c r="AX142" s="22" t="str">
        <f>CONCATENATE(G142," ",$AX$2)</f>
        <v>GSK LN Equity</v>
      </c>
      <c r="BC142" s="38" t="str" cm="1">
        <f t="array" ref="BC142">_xll.BDP(AX142,"ID005")</f>
        <v>GB00BN7SWP63</v>
      </c>
      <c r="BD142" s="38">
        <v>0.79479999999999995</v>
      </c>
      <c r="BE142" s="94">
        <v>4</v>
      </c>
      <c r="BF142" s="95">
        <v>45607</v>
      </c>
      <c r="BG142" s="96"/>
    </row>
    <row r="143" spans="1:59" s="93" customFormat="1" ht="14.45" customHeight="1" x14ac:dyDescent="0.25">
      <c r="A143" s="49" t="s">
        <v>241</v>
      </c>
      <c r="B143" s="49" t="s">
        <v>249</v>
      </c>
      <c r="C143" s="49" t="s">
        <v>250</v>
      </c>
      <c r="D143" s="49" t="s">
        <v>240</v>
      </c>
      <c r="E143" s="22" t="str">
        <f>_xll.BDP(AX143,"SECURITY NAME")</f>
        <v>GSK PLC</v>
      </c>
      <c r="F143" s="22" t="str">
        <f>_xll.BDP(AX143,"CRNCY")</f>
        <v>GBp</v>
      </c>
      <c r="G143" s="23" t="s">
        <v>119</v>
      </c>
      <c r="H143" s="22" t="str" cm="1">
        <f t="array" ref="H143">IF(OR(_xll.BDP($AX143,"DX202")= "#N/A N/A", _xll.BDP($AX143,"DX202")="#N/A FIELD NOT APPLICABLE"), " ", _xll.BDP($AX143,"DX202"))</f>
        <v>Health Care</v>
      </c>
      <c r="I143" s="24">
        <f>_xll.BDP(AX143,"CRNCY_ADJ_MKT_CAP", "EQY_FUND_CRNCY=USD")/1000</f>
        <v>79.449728825082431</v>
      </c>
      <c r="J143" s="25">
        <f>IFERROR(_xll.BDP(AX143, "DV013")/100,0)</f>
        <v>4.2862080884894571E-2</v>
      </c>
      <c r="K143" s="26" cm="1">
        <f t="array" ref="K143">IF(OR(_xll.BDP($AX143,"RR900")= "#N/A N/A", _xll.BDP($AX143,"RR900")="#N/A FIELD NOT APPLICABLE"), " ", _xll.BDP($AX143,"RR900"))</f>
        <v>18.737046632124351</v>
      </c>
      <c r="L143" s="26" cm="1">
        <f t="array" ref="L143">IF(OR(_xll.BDP($AX143,"EE010")= "#N/A N/A", _xll.BDP($AX143,"EE010")="#N/A FIELD NOT APPLICABLE"), " ", _xll.BDP($AX143,"EE010"))</f>
        <v>7.8486163863266416</v>
      </c>
      <c r="M143" s="26" cm="1">
        <f t="array" ref="M143">IF(OR(_xll.BDP($AX143,"RR903")= "#N/A N/A", _xll.BDP($AX143,"RR903")="#N/A FIELD NOT APPLICABLE"), " ", _xll.BDP($AX143,"RR903"))</f>
        <v>4.1738733488733493</v>
      </c>
      <c r="N143" s="26" cm="1">
        <f t="array" ref="N143">IF(OR(_xll.BDP($AX143,"RR957")= "#N/A N/A", _xll.BDP($AX143,"RR957")="#N/A FIELD NOT APPLICABLE"), " ", _xll.BDP($AX143,"RR957"))</f>
        <v>9.6250952957177756</v>
      </c>
      <c r="O143" s="27">
        <v>3725</v>
      </c>
      <c r="P143" s="28">
        <v>13.43</v>
      </c>
      <c r="Q143" s="22" cm="1">
        <f t="array" ref="Q143">IF(OR(_xll.BDP($AX143,"PX_last")="#N/A N/A",_xll.BDP($AX143,"PX_Last")="#N/A FIELD NOT APPLICABLE")," ",IF(F143="GBP",(_xll.BDP($AX143,"PX_LAST")/100),(_xll.BDP($AX143,"PX_LAST"))))</f>
        <v>14.465</v>
      </c>
      <c r="R143" s="29">
        <f>IF(F143="USD",AA143,(((_xll.BDP(F143&amp;"USD CURNCY","PX_LAST")))*AA143))</f>
        <v>66870.756724999999</v>
      </c>
      <c r="S143" s="29">
        <f>IF(F143="USD",AB143,(((_xll.BDP(F143&amp;"USD CURNCY","PX_LAST")))*AB143))</f>
        <v>72024.236487500006</v>
      </c>
      <c r="T143" s="12">
        <f>S143-R143</f>
        <v>5153.4797625000065</v>
      </c>
      <c r="U143" s="13">
        <f>T143/R143</f>
        <v>7.7066269545793098E-2</v>
      </c>
      <c r="V143" s="13" cm="1">
        <f t="array" ref="V143">IFERROR(_xll.BDP($G143&amp;" Equity","CHG_PCT_1D")/100,"")</f>
        <v>-1.380739E-3</v>
      </c>
      <c r="W143" s="13" cm="1">
        <f t="array" ref="W143">IFERROR(_xll.BDP($G143&amp;" Equity","CHG_PCT_5D")/100,"")</f>
        <v>2.6614620000000002E-2</v>
      </c>
      <c r="X143" s="13" t="e">
        <f>S143/#REF!</f>
        <v>#REF!</v>
      </c>
      <c r="Y143" s="24">
        <f>IFERROR(S143*J143,0)</f>
        <v>3087.1086500000001</v>
      </c>
      <c r="Z143" s="24">
        <f>S143</f>
        <v>72024.236487500006</v>
      </c>
      <c r="AA143" s="29">
        <f>P143*O143</f>
        <v>50026.75</v>
      </c>
      <c r="AB143" s="29">
        <f>IFERROR(O143*Q143,0)</f>
        <v>53882.125</v>
      </c>
      <c r="AC143" s="4" t="e" cm="1">
        <f t="array" ref="AC143">VLOOKUP(IF(NOT(_xll.BDP(AX143,$BW$8)="#N/A N/A"),(_xll.BDP(AX143,$BW$8)),"-"), '[1]Country Codes'!$A$2:$B$253,2,0)</f>
        <v>#N/A</v>
      </c>
      <c r="AD143" s="30" t="str" cm="1">
        <f t="array" ref="AD143">IF(OR(_xll.BDP($AX143,"EX028")= "#N/A N/A", _xll.BDP($AX143,"EX028")="#N/A FIELD NOT APPLICABLE"), " ", _xll.BDP($AX143,"EX028"))</f>
        <v>Equity</v>
      </c>
      <c r="AE143" s="31" t="str">
        <f>IF(("AS97"="Equity"), " ", "Single Line Equity")</f>
        <v>Single Line Equity</v>
      </c>
      <c r="AF143" s="26" cm="1">
        <f t="array" ref="AF143">IF(OR(_xll.BDP($AX143,"RR908")= "#N/A N/A", _xll.BDP($AX143,"RR908")="#N/A FIELD NOT APPLICABLE"), " ", _xll.BDP($AX143,"RR908"))</f>
        <v>9.3768974931144715</v>
      </c>
      <c r="AG143" s="26" cm="1">
        <f t="array" ref="AG143">IF(OR(_xll.BDP($AX143,"RR041")= "#N/A N/A", _xll.BDP($AX143,"RR041")="#N/A FIELD NOT APPLICABLE"), " ", _xll.BDP($AX143,"RR041"))</f>
        <v>28.565662680994901</v>
      </c>
      <c r="AH143" s="22">
        <f>_xll.BDP(AX143,"TOT_BUY_REC")</f>
        <v>7</v>
      </c>
      <c r="AI143" s="22">
        <f>_xll.BDP(AX143,"TOT_HOLD_REC")</f>
        <v>14</v>
      </c>
      <c r="AJ143" s="22">
        <f>_xll.BDP(AX143,"TOT_SELL_REC")</f>
        <v>5</v>
      </c>
      <c r="AK143" s="26" cm="1">
        <f t="array" ref="AK143">IF(OR(_xll.BDP($AX143,"EE201")= "#N/A N/A", _xll.BDP($AX143,"EE201")="#N/A FIELD NOT APPLICABLE"), " ", _xll.BDP($AX143,"EE201"))</f>
        <v>3.192307710647583</v>
      </c>
      <c r="AL143" s="24">
        <f>_xll.BDP(AX143,"BEST_TARGET_PRICE")</f>
        <v>1645.6817626953125</v>
      </c>
      <c r="AM143" s="32">
        <f>(AL143/Q143)-1</f>
        <v>112.7699110055522</v>
      </c>
      <c r="AN143" s="32">
        <f>_xll.BDP(AX143,"PR061")/100</f>
        <v>2.0458549999999999E-2</v>
      </c>
      <c r="AO143" s="32">
        <f>_xll.BDP(AX143,"PR064")/100</f>
        <v>-2.2304830000000001E-2</v>
      </c>
      <c r="AP143" s="32">
        <f>_xll.BDP(AX143,"CHG_PCT_6M")/100</f>
        <v>5.5454210000000004E-2</v>
      </c>
      <c r="AQ143" s="25">
        <f>_xll.BDP(AX143,"PR079")/100</f>
        <v>7.4266620000000005E-2</v>
      </c>
      <c r="AR143" s="33">
        <f>_xll.BDP(AX143,"hs001")</f>
        <v>1820</v>
      </c>
      <c r="AS143" s="33">
        <f>_xll.BDP(AX143,"hs002")</f>
        <v>1242.5</v>
      </c>
      <c r="AT143" s="22" t="str" cm="1">
        <f t="array" ref="AT143">IF(OR(_xll.BDP($AX143,"DX202")= "#N/A N/A", _xll.BDP($AX143,"DX202")="#N/A FIELD NOT APPLICABLE"), " ", _xll.BDP($AX143,"DX202"))</f>
        <v>Health Care</v>
      </c>
      <c r="AU143" s="22" t="str" cm="1">
        <f t="array" ref="AU143">IF(OR(_xll.BDP($AX143,"DY997")= "#N/A N/A", _xll.BDP($AX143,"DY997")="#N/A FIELD NOT APPLICABLE"), " ", _xll.BDP($AX143,"DY997"))</f>
        <v>Y</v>
      </c>
      <c r="AV143" s="22" t="str" cm="1">
        <f t="array" ref="AV143">IF(OR(_xll.BDP($AX143,"DY784")= "#N/A N/A", _xll.BDP($AX143,"DY784")="#N/A FIELD NOT APPLICABLE"), " ", _xll.BDP($AX143,"DY784"))</f>
        <v>Y</v>
      </c>
      <c r="AW143" s="22" t="str">
        <f>IF(OR(AU143="Y",AV143="Y"),"Y","N")</f>
        <v>Y</v>
      </c>
      <c r="AX143" s="22" t="str">
        <f>CONCATENATE(G143," ",$AX$2)</f>
        <v>GSK LN Equity</v>
      </c>
      <c r="BC143" s="38" t="str" cm="1">
        <f t="array" ref="BC143">_xll.BDP(AX143,"ID005")</f>
        <v>GB00BN7SWP63</v>
      </c>
      <c r="BD143" s="38">
        <v>0.79479999999999995</v>
      </c>
      <c r="BE143" s="94">
        <v>4</v>
      </c>
      <c r="BF143" s="95">
        <v>45607</v>
      </c>
      <c r="BG143" s="96"/>
    </row>
    <row r="144" spans="1:59" s="3" customFormat="1" ht="14.45" customHeight="1" x14ac:dyDescent="0.25">
      <c r="A144" s="49" t="s">
        <v>242</v>
      </c>
      <c r="B144" s="49" t="s">
        <v>260</v>
      </c>
      <c r="C144" s="49" t="s">
        <v>261</v>
      </c>
      <c r="D144" s="49" t="s">
        <v>248</v>
      </c>
      <c r="E144" s="22" t="str">
        <f>_xll.BDP(AX144,"SECURITY NAME")</f>
        <v>GSK PLC</v>
      </c>
      <c r="F144" s="22" t="str">
        <f>_xll.BDP(AX144,"CRNCY")</f>
        <v>GBp</v>
      </c>
      <c r="G144" s="73" t="s">
        <v>119</v>
      </c>
      <c r="H144" s="22" t="str" cm="1">
        <f t="array" ref="H144">IF(OR(_xll.BDP($AX144,"DX202")= "#N/A N/A", _xll.BDP($AX144,"DX202")="#N/A FIELD NOT APPLICABLE"), " ", _xll.BDP($AX144,"DX202"))</f>
        <v>Health Care</v>
      </c>
      <c r="I144" s="24">
        <f>_xll.BDP(AX144,"CRNCY_ADJ_MKT_CAP", "EQY_FUND_CRNCY=USD")/1000</f>
        <v>79.449728825082431</v>
      </c>
      <c r="J144" s="25">
        <f>IFERROR(_xll.BDP(AX144, "DV013")/100,0)</f>
        <v>4.2862080884894571E-2</v>
      </c>
      <c r="K144" s="26" cm="1">
        <f t="array" ref="K144">IF(OR(_xll.BDP($AX144,"RR900")= "#N/A N/A", _xll.BDP($AX144,"RR900")="#N/A FIELD NOT APPLICABLE"), " ", _xll.BDP($AX144,"RR900"))</f>
        <v>18.737046632124351</v>
      </c>
      <c r="L144" s="26" cm="1">
        <f t="array" ref="L144">IF(OR(_xll.BDP($AX144,"EE010")= "#N/A N/A", _xll.BDP($AX144,"EE010")="#N/A FIELD NOT APPLICABLE"), " ", _xll.BDP($AX144,"EE010"))</f>
        <v>7.8486163863266416</v>
      </c>
      <c r="M144" s="26" cm="1">
        <f t="array" ref="M144">IF(OR(_xll.BDP($AX144,"RR903")= "#N/A N/A", _xll.BDP($AX144,"RR903")="#N/A FIELD NOT APPLICABLE"), " ", _xll.BDP($AX144,"RR903"))</f>
        <v>4.1738733488733493</v>
      </c>
      <c r="N144" s="26" cm="1">
        <f t="array" ref="N144">IF(OR(_xll.BDP($AX144,"RR957")= "#N/A N/A", _xll.BDP($AX144,"RR957")="#N/A FIELD NOT APPLICABLE"), " ", _xll.BDP($AX144,"RR957"))</f>
        <v>9.6250952957177756</v>
      </c>
      <c r="O144" s="74">
        <v>3725</v>
      </c>
      <c r="P144" s="75">
        <v>13.53</v>
      </c>
      <c r="Q144" s="22" cm="1">
        <f t="array" ref="Q144">IF(OR(_xll.BDP($AX144,"PX_last")="#N/A N/A",_xll.BDP($AX144,"PX_Last")="#N/A FIELD NOT APPLICABLE")," ",IF(F144="GBP",(_xll.BDP($AX144,"PX_LAST")/100),(_xll.BDP($AX144,"PX_LAST"))))</f>
        <v>14.465</v>
      </c>
      <c r="R144" s="29">
        <f>IF(F144="USD",AA144,(((_xll.BDP(F144&amp;"USD CURNCY","PX_LAST")))*AA144))</f>
        <v>67368.677475000004</v>
      </c>
      <c r="S144" s="29">
        <f>IF(F144="USD",AB144,(((_xll.BDP(F144&amp;"USD CURNCY","PX_LAST")))*AB144))</f>
        <v>72024.236487500006</v>
      </c>
      <c r="T144" s="12">
        <f>S144-R144</f>
        <v>4655.5590125000017</v>
      </c>
      <c r="U144" s="13">
        <f>T144/R144</f>
        <v>6.9105691056910584E-2</v>
      </c>
      <c r="V144" s="13" cm="1">
        <f t="array" ref="V144">IFERROR(_xll.BDP($G144&amp;" Equity","CHG_PCT_1D")/100,"")</f>
        <v>-1.380739E-3</v>
      </c>
      <c r="W144" s="13" cm="1">
        <f t="array" ref="W144">IFERROR(_xll.BDP($G144&amp;" Equity","CHG_PCT_5D")/100,"")</f>
        <v>2.6614620000000002E-2</v>
      </c>
      <c r="X144" s="13" t="e">
        <f>S144/#REF!</f>
        <v>#REF!</v>
      </c>
      <c r="Y144" s="24">
        <f>IFERROR(S144*J144,0)</f>
        <v>3087.1086500000001</v>
      </c>
      <c r="Z144" s="24">
        <f>S144</f>
        <v>72024.236487500006</v>
      </c>
      <c r="AA144" s="29">
        <f>P144*O144</f>
        <v>50399.25</v>
      </c>
      <c r="AB144" s="29">
        <f>IFERROR(O144*Q144,0)</f>
        <v>53882.125</v>
      </c>
      <c r="AC144" s="4" t="e" cm="1">
        <f t="array" ref="AC144">VLOOKUP(IF(NOT(_xll.BDP(AX144,$BW$8)="#N/A N/A"),(_xll.BDP(AX144,$BW$8)),"-"), '[1]Country Codes'!$A$2:$B$253,2,0)</f>
        <v>#N/A</v>
      </c>
      <c r="AD144" s="30" t="str" cm="1">
        <f t="array" ref="AD144">IF(OR(_xll.BDP($AX144,"EX028")= "#N/A N/A", _xll.BDP($AX144,"EX028")="#N/A FIELD NOT APPLICABLE"), " ", _xll.BDP($AX144,"EX028"))</f>
        <v>Equity</v>
      </c>
      <c r="AE144" s="31" t="str">
        <f>IF(("AS97"="Equity"), " ", "Single Line Equity")</f>
        <v>Single Line Equity</v>
      </c>
      <c r="AF144" s="26" cm="1">
        <f t="array" ref="AF144">IF(OR(_xll.BDP($AX144,"RR908")= "#N/A N/A", _xll.BDP($AX144,"RR908")="#N/A FIELD NOT APPLICABLE"), " ", _xll.BDP($AX144,"RR908"))</f>
        <v>9.3768974931144715</v>
      </c>
      <c r="AG144" s="26" cm="1">
        <f t="array" ref="AG144">IF(OR(_xll.BDP($AX144,"RR041")= "#N/A N/A", _xll.BDP($AX144,"RR041")="#N/A FIELD NOT APPLICABLE"), " ", _xll.BDP($AX144,"RR041"))</f>
        <v>28.565662680994901</v>
      </c>
      <c r="AH144" s="22">
        <f>_xll.BDP(AX144,"TOT_BUY_REC")</f>
        <v>7</v>
      </c>
      <c r="AI144" s="22">
        <f>_xll.BDP(AX144,"TOT_HOLD_REC")</f>
        <v>14</v>
      </c>
      <c r="AJ144" s="22">
        <f>_xll.BDP(AX144,"TOT_SELL_REC")</f>
        <v>5</v>
      </c>
      <c r="AK144" s="26" cm="1">
        <f t="array" ref="AK144">IF(OR(_xll.BDP($AX144,"EE201")= "#N/A N/A", _xll.BDP($AX144,"EE201")="#N/A FIELD NOT APPLICABLE"), " ", _xll.BDP($AX144,"EE201"))</f>
        <v>3.192307710647583</v>
      </c>
      <c r="AL144" s="24">
        <f>_xll.BDP(AX144,"BEST_TARGET_PRICE")</f>
        <v>1645.6817626953125</v>
      </c>
      <c r="AM144" s="32">
        <f>(AL144/Q144)-1</f>
        <v>112.7699110055522</v>
      </c>
      <c r="AN144" s="32">
        <f>_xll.BDP(AX144,"PR061")/100</f>
        <v>2.0458549999999999E-2</v>
      </c>
      <c r="AO144" s="32">
        <f>_xll.BDP(AX144,"PR064")/100</f>
        <v>-2.2304830000000001E-2</v>
      </c>
      <c r="AP144" s="32">
        <f>_xll.BDP(AX144,"CHG_PCT_6M")/100</f>
        <v>5.5454210000000004E-2</v>
      </c>
      <c r="AQ144" s="25">
        <f>_xll.BDP(AX144,"PR079")/100</f>
        <v>7.4266620000000005E-2</v>
      </c>
      <c r="AR144" s="33">
        <f>_xll.BDP(AX144,"hs001")</f>
        <v>1820</v>
      </c>
      <c r="AS144" s="33">
        <f>_xll.BDP(AX144,"hs002")</f>
        <v>1242.5</v>
      </c>
      <c r="AT144" s="22" t="str" cm="1">
        <f t="array" ref="AT144">IF(OR(_xll.BDP($AX144,"DX202")= "#N/A N/A", _xll.BDP($AX144,"DX202")="#N/A FIELD NOT APPLICABLE"), " ", _xll.BDP($AX144,"DX202"))</f>
        <v>Health Care</v>
      </c>
      <c r="AU144" s="22" t="str" cm="1">
        <f t="array" ref="AU144">IF(OR(_xll.BDP($AX144,"DY997")= "#N/A N/A", _xll.BDP($AX144,"DY997")="#N/A FIELD NOT APPLICABLE"), " ", _xll.BDP($AX144,"DY997"))</f>
        <v>Y</v>
      </c>
      <c r="AV144" s="22" t="str" cm="1">
        <f t="array" ref="AV144">IF(OR(_xll.BDP($AX144,"DY784")= "#N/A N/A", _xll.BDP($AX144,"DY784")="#N/A FIELD NOT APPLICABLE"), " ", _xll.BDP($AX144,"DY784"))</f>
        <v>Y</v>
      </c>
      <c r="AW144" s="22" t="str">
        <f>IF(OR(AU144="Y",AV144="Y"),"Y","N")</f>
        <v>Y</v>
      </c>
      <c r="AX144" s="22" t="str">
        <f>CONCATENATE(G144," ",$AX$2)</f>
        <v>GSK LN Equity</v>
      </c>
      <c r="BC144" s="17" t="str" cm="1">
        <f t="array" ref="BC144">_xll.BDP(AX144,"ID005")</f>
        <v>GB00BN7SWP63</v>
      </c>
      <c r="BD144" s="17">
        <v>0.79479999999999995</v>
      </c>
      <c r="BE144" s="18">
        <v>4</v>
      </c>
      <c r="BF144" s="19"/>
      <c r="BG144" s="20"/>
    </row>
    <row r="145" spans="1:59" s="3" customFormat="1" ht="14.45" customHeight="1" x14ac:dyDescent="0.25">
      <c r="A145" s="49" t="s">
        <v>241</v>
      </c>
      <c r="B145" s="49" t="s">
        <v>273</v>
      </c>
      <c r="C145" s="49">
        <v>2620058.003</v>
      </c>
      <c r="D145" s="49" t="s">
        <v>240</v>
      </c>
      <c r="E145" s="22" t="str">
        <f>_xll.BDP(AX145,"SECURITY NAME")</f>
        <v>GSK PLC</v>
      </c>
      <c r="F145" s="22" t="str">
        <f>_xll.BDP(AX145,"CRNCY")</f>
        <v>GBp</v>
      </c>
      <c r="G145" s="23" t="s">
        <v>119</v>
      </c>
      <c r="H145" s="22" t="str" cm="1">
        <f t="array" ref="H145">IF(OR(_xll.BDP($AX145,"DX202")= "#N/A N/A", _xll.BDP($AX145,"DX202")="#N/A FIELD NOT APPLICABLE"), " ", _xll.BDP($AX145,"DX202"))</f>
        <v>Health Care</v>
      </c>
      <c r="I145" s="24"/>
      <c r="J145" s="25">
        <f>IFERROR(_xll.BDP(AX145, "DV013")/100,0)</f>
        <v>4.2862080884894571E-2</v>
      </c>
      <c r="K145" s="26" cm="1">
        <f t="array" ref="K145">IF(OR(_xll.BDP($AX145,"RR900")= "#N/A N/A", _xll.BDP($AX145,"RR900")="#N/A FIELD NOT APPLICABLE"), " ", _xll.BDP($AX145,"RR900"))</f>
        <v>18.737046632124351</v>
      </c>
      <c r="L145" s="26" cm="1">
        <f t="array" ref="L145">IF(OR(_xll.BDP($AX145,"EE010")= "#N/A N/A", _xll.BDP($AX145,"EE010")="#N/A FIELD NOT APPLICABLE"), " ", _xll.BDP($AX145,"EE010"))</f>
        <v>7.8486163863266416</v>
      </c>
      <c r="M145" s="26" cm="1">
        <f t="array" ref="M145">IF(OR(_xll.BDP($AX145,"RR903")= "#N/A N/A", _xll.BDP($AX145,"RR903")="#N/A FIELD NOT APPLICABLE"), " ", _xll.BDP($AX145,"RR903"))</f>
        <v>4.1738733488733493</v>
      </c>
      <c r="N145" s="26" cm="1">
        <f t="array" ref="N145">IF(OR(_xll.BDP($AX145,"RR957")= "#N/A N/A", _xll.BDP($AX145,"RR957")="#N/A FIELD NOT APPLICABLE"), " ", _xll.BDP($AX145,"RR957"))</f>
        <v>9.6250952957177756</v>
      </c>
      <c r="O145" s="27">
        <v>3725</v>
      </c>
      <c r="P145" s="28">
        <v>13.445</v>
      </c>
      <c r="Q145" s="22" cm="1">
        <f t="array" ref="Q145">IF(OR(_xll.BDP($AX145,"PX_last")="#N/A N/A",_xll.BDP($AX145,"PX_Last")="#N/A FIELD NOT APPLICABLE")," ",IF(F145="GBP",(_xll.BDP($AX145,"PX_LAST")/100),(_xll.BDP($AX145,"PX_LAST"))))</f>
        <v>14.465</v>
      </c>
      <c r="R145" s="29">
        <f>IF(F145="USD",AA145,(((_xll.BDP(F145&amp;"USD CURNCY","PX_LAST")))*AA145))</f>
        <v>66945.444837500007</v>
      </c>
      <c r="S145" s="29">
        <f>IF(F145="USD",AB145,(((_xll.BDP(F145&amp;"USD CURNCY","PX_LAST")))*AB145))</f>
        <v>72024.236487500006</v>
      </c>
      <c r="T145" s="12">
        <f>S145-R145</f>
        <v>5078.7916499999992</v>
      </c>
      <c r="U145" s="13">
        <f>T145/R145</f>
        <v>7.5864633692822592E-2</v>
      </c>
      <c r="V145" s="13" cm="1">
        <f t="array" ref="V145">IFERROR(_xll.BDP($G145&amp;" Equity","CHG_PCT_1D")/100,"")</f>
        <v>-1.380739E-3</v>
      </c>
      <c r="W145" s="13" cm="1">
        <f t="array" ref="W145">IFERROR(_xll.BDP($G145&amp;" Equity","CHG_PCT_5D")/100,"")</f>
        <v>2.6614620000000002E-2</v>
      </c>
      <c r="X145" s="13" t="e">
        <f>S145/#REF!</f>
        <v>#REF!</v>
      </c>
      <c r="Y145" s="24">
        <f>IFERROR(S145*J145,0)</f>
        <v>3087.1086500000001</v>
      </c>
      <c r="Z145" s="24">
        <f>S145</f>
        <v>72024.236487500006</v>
      </c>
      <c r="AA145" s="29">
        <f>P145*O145</f>
        <v>50082.625</v>
      </c>
      <c r="AB145" s="29">
        <f>IFERROR(O145*Q145,0)</f>
        <v>53882.125</v>
      </c>
      <c r="AC145" s="4" t="e" cm="1">
        <f t="array" ref="AC145">VLOOKUP(IF(NOT(_xll.BDP(AX145,$BW$8)="#N/A N/A"),(_xll.BDP(AX145,$BW$8)),"-"), '[1]Country Codes'!$A$2:$B$253,2,0)</f>
        <v>#N/A</v>
      </c>
      <c r="AD145" s="30" t="str" cm="1">
        <f t="array" ref="AD145">IF(OR(_xll.BDP($AX145,"EX028")= "#N/A N/A", _xll.BDP($AX145,"EX028")="#N/A FIELD NOT APPLICABLE"), " ", _xll.BDP($AX145,"EX028"))</f>
        <v>Equity</v>
      </c>
      <c r="AE145" s="31" t="str">
        <f>IF(("AS97"="Equity"), " ", "Single Line Equity")</f>
        <v>Single Line Equity</v>
      </c>
      <c r="AF145" s="26" cm="1">
        <f t="array" ref="AF145">IF(OR(_xll.BDP($AX145,"RR908")= "#N/A N/A", _xll.BDP($AX145,"RR908")="#N/A FIELD NOT APPLICABLE"), " ", _xll.BDP($AX145,"RR908"))</f>
        <v>9.3768974931144715</v>
      </c>
      <c r="AG145" s="26" cm="1">
        <f t="array" ref="AG145">IF(OR(_xll.BDP($AX145,"RR041")= "#N/A N/A", _xll.BDP($AX145,"RR041")="#N/A FIELD NOT APPLICABLE"), " ", _xll.BDP($AX145,"RR041"))</f>
        <v>28.565662680994901</v>
      </c>
      <c r="AH145" s="22">
        <f>_xll.BDP(AX145,"TOT_BUY_REC")</f>
        <v>7</v>
      </c>
      <c r="AI145" s="22">
        <f>_xll.BDP(AX145,"TOT_HOLD_REC")</f>
        <v>14</v>
      </c>
      <c r="AJ145" s="22">
        <f>_xll.BDP(AX145,"TOT_SELL_REC")</f>
        <v>5</v>
      </c>
      <c r="AK145" s="26" cm="1">
        <f t="array" ref="AK145">IF(OR(_xll.BDP($AX145,"EE201")= "#N/A N/A", _xll.BDP($AX145,"EE201")="#N/A FIELD NOT APPLICABLE"), " ", _xll.BDP($AX145,"EE201"))</f>
        <v>3.192307710647583</v>
      </c>
      <c r="AL145" s="24">
        <f>_xll.BDP(AX145,"BEST_TARGET_PRICE")</f>
        <v>1645.6817626953125</v>
      </c>
      <c r="AM145" s="32">
        <f>(AL145/Q145)-1</f>
        <v>112.7699110055522</v>
      </c>
      <c r="AN145" s="32">
        <f>_xll.BDP(AX145,"PR061")/100</f>
        <v>2.0458549999999999E-2</v>
      </c>
      <c r="AO145" s="32">
        <f>_xll.BDP(AX145,"PR064")/100</f>
        <v>-2.2304830000000001E-2</v>
      </c>
      <c r="AP145" s="32">
        <f>_xll.BDP(AX145,"CHG_PCT_6M")/100</f>
        <v>5.5454210000000004E-2</v>
      </c>
      <c r="AQ145" s="25">
        <f>_xll.BDP(AX145,"PR079")/100</f>
        <v>7.4266620000000005E-2</v>
      </c>
      <c r="AR145" s="33">
        <f>_xll.BDP(AX145,"hs001")</f>
        <v>1820</v>
      </c>
      <c r="AS145" s="33">
        <f>_xll.BDP(AX145,"hs002")</f>
        <v>1242.5</v>
      </c>
      <c r="AT145" s="22" t="str" cm="1">
        <f t="array" ref="AT145">IF(OR(_xll.BDP($AX145,"DX202")= "#N/A N/A", _xll.BDP($AX145,"DX202")="#N/A FIELD NOT APPLICABLE"), " ", _xll.BDP($AX145,"DX202"))</f>
        <v>Health Care</v>
      </c>
      <c r="AU145" s="22" t="str" cm="1">
        <f t="array" ref="AU145">IF(OR(_xll.BDP($AX145,"DY997")= "#N/A N/A", _xll.BDP($AX145,"DY997")="#N/A FIELD NOT APPLICABLE"), " ", _xll.BDP($AX145,"DY997"))</f>
        <v>Y</v>
      </c>
      <c r="AV145" s="22" t="str" cm="1">
        <f t="array" ref="AV145">IF(OR(_xll.BDP($AX145,"DY784")= "#N/A N/A", _xll.BDP($AX145,"DY784")="#N/A FIELD NOT APPLICABLE"), " ", _xll.BDP($AX145,"DY784"))</f>
        <v>Y</v>
      </c>
      <c r="AW145" s="22" t="str">
        <f>IF(OR(AU145="Y",AV145="Y"),"Y","N")</f>
        <v>Y</v>
      </c>
      <c r="AX145" s="22" t="str">
        <f>CONCATENATE(G145," ",$AX$2)</f>
        <v>GSK LN Equity</v>
      </c>
      <c r="BC145" s="17" t="str" cm="1">
        <f t="array" ref="BC145">_xll.BDP(AX145,"ID005")</f>
        <v>GB00BN7SWP63</v>
      </c>
      <c r="BD145" s="17">
        <v>0.79479999999999995</v>
      </c>
      <c r="BE145" s="18">
        <v>4</v>
      </c>
      <c r="BF145" s="19"/>
      <c r="BG145" s="20"/>
    </row>
    <row r="146" spans="1:59" s="3" customFormat="1" ht="14.45" customHeight="1" x14ac:dyDescent="0.25">
      <c r="A146" s="49" t="s">
        <v>242</v>
      </c>
      <c r="B146" s="49" t="s">
        <v>327</v>
      </c>
      <c r="C146" s="49">
        <v>4371511</v>
      </c>
      <c r="D146" s="49" t="s">
        <v>248</v>
      </c>
      <c r="E146" s="22" t="str">
        <f>_xll.BDP(AX146,"SECURITY NAME")</f>
        <v>Intel Corp</v>
      </c>
      <c r="F146" s="22" t="str">
        <f>_xll.BDP(AX146,"CRNCY")</f>
        <v>USD</v>
      </c>
      <c r="G146" s="23" t="s">
        <v>141</v>
      </c>
      <c r="H146" s="22" t="str" cm="1">
        <f t="array" ref="H146">IF(OR(_xll.BDP($AX146,"DX202")= "#N/A N/A", _xll.BDP($AX146,"DX202")="#N/A FIELD NOT APPLICABLE"), " ", _xll.BDP($AX146,"DX202"))</f>
        <v>Information Technology</v>
      </c>
      <c r="I146" s="24">
        <f>_xll.BDP(AX146,"CRNCY_ADJ_MKT_CAP", "EQY_FUND_CRNCY=USD")/1000</f>
        <v>87.065520000000006</v>
      </c>
      <c r="J146" s="25">
        <f>IFERROR(_xll.BDP(AX146, "DV013")/100,0)</f>
        <v>0</v>
      </c>
      <c r="K146" s="26" t="str" cm="1">
        <f t="array" ref="K146">IF(OR(_xll.BDP($AX146,"RR900")= "#N/A N/A", _xll.BDP($AX146,"RR900")="#N/A FIELD NOT APPLICABLE"), " ", _xll.BDP($AX146,"RR900"))</f>
        <v xml:space="preserve"> </v>
      </c>
      <c r="L146" s="26" cm="1">
        <f t="array" ref="L146">IF(OR(_xll.BDP($AX146,"EE010")= "#N/A N/A", _xll.BDP($AX146,"EE010")="#N/A FIELD NOT APPLICABLE"), " ", _xll.BDP($AX146,"EE010"))</f>
        <v>23.107638888888889</v>
      </c>
      <c r="M146" s="26" cm="1">
        <f t="array" ref="M146">IF(OR(_xll.BDP($AX146,"RR903")= "#N/A N/A", _xll.BDP($AX146,"RR903")="#N/A FIELD NOT APPLICABLE"), " ", _xll.BDP($AX146,"RR903"))</f>
        <v>0.87300343503737499</v>
      </c>
      <c r="N146" s="26" cm="1">
        <f t="array" ref="N146">IF(OR(_xll.BDP($AX146,"RR957")= "#N/A N/A", _xll.BDP($AX146,"RR957")="#N/A FIELD NOT APPLICABLE"), " ", _xll.BDP($AX146,"RR957"))</f>
        <v>199.02082770270272</v>
      </c>
      <c r="O146" s="27">
        <v>4875</v>
      </c>
      <c r="P146" s="28">
        <v>30.65</v>
      </c>
      <c r="Q146" s="22" cm="1">
        <f t="array" ref="Q146">IF(OR(_xll.BDP($AX146,"PX_last")="#N/A N/A",_xll.BDP($AX146,"PX_Last")="#N/A FIELD NOT APPLICABLE")," ",IF(F146="GBP",(_xll.BDP($AX146,"PX_LAST")/100),(_xll.BDP($AX146,"PX_LAST"))))</f>
        <v>19.965</v>
      </c>
      <c r="R146" s="29">
        <f>IF(F146="USD",AA146,(((_xll.BDP(F146&amp;"USD CURNCY","PX_LAST")))*AA146))</f>
        <v>149418.75</v>
      </c>
      <c r="S146" s="29">
        <f>IF(F146="USD",AB146,(((_xll.BDP(F146&amp;"USD CURNCY","PX_LAST")))*AB146))</f>
        <v>97329.375</v>
      </c>
      <c r="T146" s="12">
        <f>S146-R146</f>
        <v>-52089.375</v>
      </c>
      <c r="U146" s="13">
        <f>T146/R146</f>
        <v>-0.34861337683523652</v>
      </c>
      <c r="V146" s="13" cm="1">
        <f t="array" ref="V146">IFERROR(_xll.BDP($G146&amp;" Equity","CHG_PCT_1D")/100,"")</f>
        <v>-1.504687E-2</v>
      </c>
      <c r="W146" s="13" cm="1">
        <f t="array" ref="W146">IFERROR(_xll.BDP($G146&amp;" Equity","CHG_PCT_5D")/100,"")</f>
        <v>-1.8436580000000001E-2</v>
      </c>
      <c r="X146" s="13" t="e">
        <f>S146/#REF!</f>
        <v>#REF!</v>
      </c>
      <c r="Y146" s="24">
        <f>IFERROR(S146*J146,0)</f>
        <v>0</v>
      </c>
      <c r="Z146" s="24">
        <f>S146</f>
        <v>97329.375</v>
      </c>
      <c r="AA146" s="29">
        <f>P146*O146</f>
        <v>149418.75</v>
      </c>
      <c r="AB146" s="29">
        <f>IFERROR(O146*Q146,0)</f>
        <v>97329.375</v>
      </c>
      <c r="AC146" s="4" t="e" cm="1">
        <f t="array" ref="AC146">VLOOKUP(IF(NOT(_xll.BDP(AX146,$BW$8)="#N/A N/A"),(_xll.BDP(AX146,$BW$8)),"-"), '[1]Country Codes'!$A$2:$B$253,2,0)</f>
        <v>#N/A</v>
      </c>
      <c r="AD146" s="30" t="str" cm="1">
        <f t="array" ref="AD146">IF(OR(_xll.BDP($AX146,"EX028")= "#N/A N/A", _xll.BDP($AX146,"EX028")="#N/A FIELD NOT APPLICABLE"), " ", _xll.BDP($AX146,"EX028"))</f>
        <v>Equity</v>
      </c>
      <c r="AE146" s="31" t="str">
        <f>IF(("AS97"="Equity"), " ", "Single Line Equity")</f>
        <v>Single Line Equity</v>
      </c>
      <c r="AF146" s="26" cm="1">
        <f t="array" ref="AF146">IF(OR(_xll.BDP($AX146,"RR908")= "#N/A N/A", _xll.BDP($AX146,"RR908")="#N/A FIELD NOT APPLICABLE"), " ", _xll.BDP($AX146,"RR908"))</f>
        <v>8.3128623339979217</v>
      </c>
      <c r="AG146" s="26" cm="1">
        <f t="array" ref="AG146">IF(OR(_xll.BDP($AX146,"RR041")= "#N/A N/A", _xll.BDP($AX146,"RR041")="#N/A FIELD NOT APPLICABLE"), " ", _xll.BDP($AX146,"RR041"))</f>
        <v>25.686948113087517</v>
      </c>
      <c r="AH146" s="22">
        <f>_xll.BDP(AX146,"TOT_BUY_REC")</f>
        <v>3</v>
      </c>
      <c r="AI146" s="22">
        <f>_xll.BDP(AX146,"TOT_HOLD_REC")</f>
        <v>40</v>
      </c>
      <c r="AJ146" s="22">
        <f>_xll.BDP(AX146,"TOT_SELL_REC")</f>
        <v>6</v>
      </c>
      <c r="AK146" s="26" cm="1">
        <f t="array" ref="AK146">IF(OR(_xll.BDP($AX146,"EE201")= "#N/A N/A", _xll.BDP($AX146,"EE201")="#N/A FIELD NOT APPLICABLE"), " ", _xll.BDP($AX146,"EE201"))</f>
        <v>2.8571429252624512</v>
      </c>
      <c r="AL146" s="24">
        <f>_xll.BDP(AX146,"BEST_TARGET_PRICE")</f>
        <v>21.102777481079102</v>
      </c>
      <c r="AM146" s="32">
        <f>(AL146/Q146)-1</f>
        <v>5.6988604111149588E-2</v>
      </c>
      <c r="AN146" s="32">
        <f>_xll.BDP(AX146,"PR061")/100</f>
        <v>5.7934319999999994E-3</v>
      </c>
      <c r="AO146" s="32">
        <f>_xll.BDP(AX146,"PR064")/100</f>
        <v>3.0185799999999999E-2</v>
      </c>
      <c r="AP146" s="32">
        <f>_xll.BDP(AX146,"CHG_PCT_6M")/100</f>
        <v>-0.20299399999999998</v>
      </c>
      <c r="AQ146" s="25">
        <f>_xll.BDP(AX146,"PR079")/100</f>
        <v>-4.2393639999999998E-3</v>
      </c>
      <c r="AR146" s="33">
        <f>_xll.BDP(AX146,"hs001")</f>
        <v>37.159999999999997</v>
      </c>
      <c r="AS146" s="33">
        <f>_xll.BDP(AX146,"hs002")</f>
        <v>17.664999999999999</v>
      </c>
      <c r="AT146" s="22" t="str" cm="1">
        <f t="array" ref="AT146">IF(OR(_xll.BDP($AX146,"DX202")= "#N/A N/A", _xll.BDP($AX146,"DX202")="#N/A FIELD NOT APPLICABLE"), " ", _xll.BDP($AX146,"DX202"))</f>
        <v>Information Technology</v>
      </c>
      <c r="AU146" s="22" t="str" cm="1">
        <f t="array" ref="AU146">IF(OR(_xll.BDP($AX146,"DY997")= "#N/A N/A", _xll.BDP($AX146,"DY997")="#N/A FIELD NOT APPLICABLE"), " ", _xll.BDP($AX146,"DY997"))</f>
        <v>Y</v>
      </c>
      <c r="AV146" s="22" t="str" cm="1">
        <f t="array" ref="AV146">IF(OR(_xll.BDP($AX146,"DY784")= "#N/A N/A", _xll.BDP($AX146,"DY784")="#N/A FIELD NOT APPLICABLE"), " ", _xll.BDP($AX146,"DY784"))</f>
        <v>Y</v>
      </c>
      <c r="AW146" s="22" t="str">
        <f>IF(OR(AU146="Y",AV146="Y"),"Y","N")</f>
        <v>Y</v>
      </c>
      <c r="AX146" s="22" t="str">
        <f>CONCATENATE(G146," ",$AX$2)</f>
        <v>INTC US Equity</v>
      </c>
      <c r="BC146" s="17" t="str" cm="1">
        <f t="array" ref="BC146">_xll.BDP(AX146,"ID005")</f>
        <v>US4581401001</v>
      </c>
      <c r="BD146" s="17">
        <v>0.79479999999999995</v>
      </c>
      <c r="BE146" s="18">
        <v>4</v>
      </c>
      <c r="BF146" s="19"/>
      <c r="BG146" s="20"/>
    </row>
    <row r="147" spans="1:59" s="3" customFormat="1" ht="14.45" customHeight="1" x14ac:dyDescent="0.25">
      <c r="A147" s="81" t="s">
        <v>242</v>
      </c>
      <c r="B147" s="81" t="s">
        <v>246</v>
      </c>
      <c r="C147" s="81" t="s">
        <v>247</v>
      </c>
      <c r="D147" s="81" t="s">
        <v>248</v>
      </c>
      <c r="E147" s="40" t="str">
        <f>_xll.BDP(AX147,"SECURITY NAME")</f>
        <v>Intel Corp</v>
      </c>
      <c r="F147" s="40" t="str">
        <f>_xll.BDP(AX147,"CRNCY")</f>
        <v>USD</v>
      </c>
      <c r="G147" s="23" t="s">
        <v>141</v>
      </c>
      <c r="H147" s="40" t="str" cm="1">
        <f t="array" ref="H147">IF(OR(_xll.BDP($AX147,"DX202")= "#N/A N/A", _xll.BDP($AX147,"DX202")="#N/A FIELD NOT APPLICABLE"), " ", _xll.BDP($AX147,"DX202"))</f>
        <v>Information Technology</v>
      </c>
      <c r="I147" s="82">
        <f>_xll.BDP(AX147,"CRNCY_ADJ_MKT_CAP", "EQY_FUND_CRNCY=USD")/1000</f>
        <v>87.065520000000006</v>
      </c>
      <c r="J147" s="83">
        <f>IFERROR(_xll.BDP(AX147, "DV013")/100,0)</f>
        <v>0</v>
      </c>
      <c r="K147" s="84" t="str" cm="1">
        <f t="array" ref="K147">IF(OR(_xll.BDP($AX147,"RR900")= "#N/A N/A", _xll.BDP($AX147,"RR900")="#N/A FIELD NOT APPLICABLE"), " ", _xll.BDP($AX147,"RR900"))</f>
        <v xml:space="preserve"> </v>
      </c>
      <c r="L147" s="84" cm="1">
        <f t="array" ref="L147">IF(OR(_xll.BDP($AX147,"EE010")= "#N/A N/A", _xll.BDP($AX147,"EE010")="#N/A FIELD NOT APPLICABLE"), " ", _xll.BDP($AX147,"EE010"))</f>
        <v>23.107638888888889</v>
      </c>
      <c r="M147" s="84" cm="1">
        <f t="array" ref="M147">IF(OR(_xll.BDP($AX147,"RR903")= "#N/A N/A", _xll.BDP($AX147,"RR903")="#N/A FIELD NOT APPLICABLE"), " ", _xll.BDP($AX147,"RR903"))</f>
        <v>0.87300343503737499</v>
      </c>
      <c r="N147" s="84" cm="1">
        <f t="array" ref="N147">IF(OR(_xll.BDP($AX147,"RR957")= "#N/A N/A", _xll.BDP($AX147,"RR957")="#N/A FIELD NOT APPLICABLE"), " ", _xll.BDP($AX147,"RR957"))</f>
        <v>199.02082770270272</v>
      </c>
      <c r="O147" s="27">
        <v>2420</v>
      </c>
      <c r="P147" s="28">
        <v>52.2</v>
      </c>
      <c r="Q147" s="40" cm="1">
        <f t="array" ref="Q147">IF(OR(_xll.BDP($AX147,"PX_last")="#N/A N/A",_xll.BDP($AX147,"PX_Last")="#N/A FIELD NOT APPLICABLE")," ",IF(F147="GBP",(_xll.BDP($AX147,"PX_LAST")/100),(_xll.BDP($AX147,"PX_LAST"))))</f>
        <v>19.965</v>
      </c>
      <c r="R147" s="85">
        <f>IF(F147="USD",AA147,(((_xll.BDP(F147&amp;"USD CURNCY","PX_LAST")))*AA147))</f>
        <v>126324</v>
      </c>
      <c r="S147" s="85">
        <f>IF(F147="USD",AB147,(((_xll.BDP(F147&amp;"USD CURNCY","PX_LAST")))*AB147))</f>
        <v>48315.3</v>
      </c>
      <c r="T147" s="86">
        <f>S147-R147</f>
        <v>-78008.7</v>
      </c>
      <c r="U147" s="87">
        <f>T147/R147</f>
        <v>-0.61752873563218391</v>
      </c>
      <c r="V147" s="87" cm="1">
        <f t="array" ref="V147">IFERROR(_xll.BDP($G147&amp;" Equity","CHG_PCT_1D")/100,"")</f>
        <v>-1.504687E-2</v>
      </c>
      <c r="W147" s="87" cm="1">
        <f t="array" ref="W147">IFERROR(_xll.BDP($G147&amp;" Equity","CHG_PCT_5D")/100,"")</f>
        <v>-1.8436580000000001E-2</v>
      </c>
      <c r="X147" s="87" t="e">
        <f>S147/#REF!</f>
        <v>#REF!</v>
      </c>
      <c r="Y147" s="82">
        <f>IFERROR(S147*J147,0)</f>
        <v>0</v>
      </c>
      <c r="Z147" s="82">
        <f>S147</f>
        <v>48315.3</v>
      </c>
      <c r="AA147" s="85">
        <f>P147*O147</f>
        <v>126324</v>
      </c>
      <c r="AB147" s="85">
        <f>IFERROR(O147*Q147,0)</f>
        <v>48315.3</v>
      </c>
      <c r="AC147" s="88" t="e" cm="1">
        <f t="array" ref="AC147">VLOOKUP(IF(NOT(_xll.BDP(AX147,$BW$8)="#N/A N/A"),(_xll.BDP(AX147,$BW$8)),"-"), '[1]Country Codes'!$A$2:$B$253,2,0)</f>
        <v>#N/A</v>
      </c>
      <c r="AD147" s="89" t="str" cm="1">
        <f t="array" ref="AD147">IF(OR(_xll.BDP($AX147,"EX028")= "#N/A N/A", _xll.BDP($AX147,"EX028")="#N/A FIELD NOT APPLICABLE"), " ", _xll.BDP($AX147,"EX028"))</f>
        <v>Equity</v>
      </c>
      <c r="AE147" s="90" t="str">
        <f>IF(("AS97"="Equity"), " ", "Single Line Equity")</f>
        <v>Single Line Equity</v>
      </c>
      <c r="AF147" s="84" cm="1">
        <f t="array" ref="AF147">IF(OR(_xll.BDP($AX147,"RR908")= "#N/A N/A", _xll.BDP($AX147,"RR908")="#N/A FIELD NOT APPLICABLE"), " ", _xll.BDP($AX147,"RR908"))</f>
        <v>8.3128623339979217</v>
      </c>
      <c r="AG147" s="84" cm="1">
        <f t="array" ref="AG147">IF(OR(_xll.BDP($AX147,"RR041")= "#N/A N/A", _xll.BDP($AX147,"RR041")="#N/A FIELD NOT APPLICABLE"), " ", _xll.BDP($AX147,"RR041"))</f>
        <v>25.686948113087517</v>
      </c>
      <c r="AH147" s="40">
        <f>_xll.BDP(AX147,"TOT_BUY_REC")</f>
        <v>3</v>
      </c>
      <c r="AI147" s="40">
        <f>_xll.BDP(AX147,"TOT_HOLD_REC")</f>
        <v>40</v>
      </c>
      <c r="AJ147" s="40">
        <f>_xll.BDP(AX147,"TOT_SELL_REC")</f>
        <v>6</v>
      </c>
      <c r="AK147" s="84" cm="1">
        <f t="array" ref="AK147">IF(OR(_xll.BDP($AX147,"EE201")= "#N/A N/A", _xll.BDP($AX147,"EE201")="#N/A FIELD NOT APPLICABLE"), " ", _xll.BDP($AX147,"EE201"))</f>
        <v>2.8571429252624512</v>
      </c>
      <c r="AL147" s="82">
        <f>_xll.BDP(AX147,"BEST_TARGET_PRICE")</f>
        <v>21.102777481079102</v>
      </c>
      <c r="AM147" s="91">
        <f>(AL147/Q147)-1</f>
        <v>5.6988604111149588E-2</v>
      </c>
      <c r="AN147" s="91">
        <f>_xll.BDP(AX147,"PR061")/100</f>
        <v>5.7934319999999994E-3</v>
      </c>
      <c r="AO147" s="91">
        <f>_xll.BDP(AX147,"PR064")/100</f>
        <v>3.0185799999999999E-2</v>
      </c>
      <c r="AP147" s="91">
        <f>_xll.BDP(AX147,"CHG_PCT_6M")/100</f>
        <v>-0.20299399999999998</v>
      </c>
      <c r="AQ147" s="83">
        <f>_xll.BDP(AX147,"PR079")/100</f>
        <v>-4.2393639999999998E-3</v>
      </c>
      <c r="AR147" s="92">
        <f>_xll.BDP(AX147,"hs001")</f>
        <v>37.159999999999997</v>
      </c>
      <c r="AS147" s="92">
        <f>_xll.BDP(AX147,"hs002")</f>
        <v>17.664999999999999</v>
      </c>
      <c r="AT147" s="40" t="str" cm="1">
        <f t="array" ref="AT147">IF(OR(_xll.BDP($AX147,"DX202")= "#N/A N/A", _xll.BDP($AX147,"DX202")="#N/A FIELD NOT APPLICABLE"), " ", _xll.BDP($AX147,"DX202"))</f>
        <v>Information Technology</v>
      </c>
      <c r="AU147" s="40" t="str" cm="1">
        <f t="array" ref="AU147">IF(OR(_xll.BDP($AX147,"DY997")= "#N/A N/A", _xll.BDP($AX147,"DY997")="#N/A FIELD NOT APPLICABLE"), " ", _xll.BDP($AX147,"DY997"))</f>
        <v>Y</v>
      </c>
      <c r="AV147" s="40" t="str" cm="1">
        <f t="array" ref="AV147">IF(OR(_xll.BDP($AX147,"DY784")= "#N/A N/A", _xll.BDP($AX147,"DY784")="#N/A FIELD NOT APPLICABLE"), " ", _xll.BDP($AX147,"DY784"))</f>
        <v>Y</v>
      </c>
      <c r="AW147" s="40" t="str">
        <f>IF(OR(AU147="Y",AV147="Y"),"Y","N")</f>
        <v>Y</v>
      </c>
      <c r="AX147" s="40" t="str">
        <f>CONCATENATE(G147," ",$AX$2)</f>
        <v>INTC US Equity</v>
      </c>
      <c r="BC147" s="17" t="str" cm="1">
        <f t="array" ref="BC147">_xll.BDP(AX147,"ID005")</f>
        <v>US4581401001</v>
      </c>
      <c r="BD147" s="17">
        <v>0.79479999999999995</v>
      </c>
      <c r="BE147" s="18">
        <v>4</v>
      </c>
      <c r="BF147" s="19"/>
      <c r="BG147" s="20"/>
    </row>
    <row r="148" spans="1:59" s="3" customFormat="1" ht="14.45" customHeight="1" x14ac:dyDescent="0.25">
      <c r="A148" s="49" t="s">
        <v>242</v>
      </c>
      <c r="B148" s="49" t="s">
        <v>264</v>
      </c>
      <c r="C148" s="49" t="s">
        <v>265</v>
      </c>
      <c r="D148" s="49" t="s">
        <v>248</v>
      </c>
      <c r="E148" s="22" t="str">
        <f>_xll.BDP(AX148,"SECURITY NAME")</f>
        <v>Intel Corp</v>
      </c>
      <c r="F148" s="22" t="str">
        <f>_xll.BDP(AX148,"CRNCY")</f>
        <v>USD</v>
      </c>
      <c r="G148" s="23" t="s">
        <v>141</v>
      </c>
      <c r="H148" s="22" t="str" cm="1">
        <f t="array" ref="H148">IF(OR(_xll.BDP($AX148,"DX202")= "#N/A N/A", _xll.BDP($AX148,"DX202")="#N/A FIELD NOT APPLICABLE"), " ", _xll.BDP($AX148,"DX202"))</f>
        <v>Information Technology</v>
      </c>
      <c r="I148" s="24">
        <f>_xll.BDP(AX148,"CRNCY_ADJ_MKT_CAP", "EQY_FUND_CRNCY=USD")/1000</f>
        <v>87.065520000000006</v>
      </c>
      <c r="J148" s="25">
        <f>IFERROR(_xll.BDP(AX148, "DV013")/100,0)</f>
        <v>0</v>
      </c>
      <c r="K148" s="26" t="str" cm="1">
        <f t="array" ref="K148">IF(OR(_xll.BDP($AX148,"RR900")= "#N/A N/A", _xll.BDP($AX148,"RR900")="#N/A FIELD NOT APPLICABLE"), " ", _xll.BDP($AX148,"RR900"))</f>
        <v xml:space="preserve"> </v>
      </c>
      <c r="L148" s="26" cm="1">
        <f t="array" ref="L148">IF(OR(_xll.BDP($AX148,"EE010")= "#N/A N/A", _xll.BDP($AX148,"EE010")="#N/A FIELD NOT APPLICABLE"), " ", _xll.BDP($AX148,"EE010"))</f>
        <v>23.107638888888889</v>
      </c>
      <c r="M148" s="26" cm="1">
        <f t="array" ref="M148">IF(OR(_xll.BDP($AX148,"RR903")= "#N/A N/A", _xll.BDP($AX148,"RR903")="#N/A FIELD NOT APPLICABLE"), " ", _xll.BDP($AX148,"RR903"))</f>
        <v>0.87300343503737499</v>
      </c>
      <c r="N148" s="26" cm="1">
        <f t="array" ref="N148">IF(OR(_xll.BDP($AX148,"RR957")= "#N/A N/A", _xll.BDP($AX148,"RR957")="#N/A FIELD NOT APPLICABLE"), " ", _xll.BDP($AX148,"RR957"))</f>
        <v>199.02082770270272</v>
      </c>
      <c r="O148" s="27">
        <v>5000</v>
      </c>
      <c r="P148" s="28">
        <v>39.47</v>
      </c>
      <c r="Q148" s="22" cm="1">
        <f t="array" ref="Q148">IF(OR(_xll.BDP($AX148,"PX_last")="#N/A N/A",_xll.BDP($AX148,"PX_Last")="#N/A FIELD NOT APPLICABLE")," ",IF(F148="GBP",(_xll.BDP($AX148,"PX_LAST")/100),(_xll.BDP($AX148,"PX_LAST"))))</f>
        <v>19.965</v>
      </c>
      <c r="R148" s="29">
        <f>IF(F148="USD",AA148,(((_xll.BDP(F148&amp;"USD CURNCY","PX_LAST")))*AA148))</f>
        <v>197350</v>
      </c>
      <c r="S148" s="29">
        <f>IF(F148="USD",AB148,(((_xll.BDP(F148&amp;"USD CURNCY","PX_LAST")))*AB148))</f>
        <v>99825</v>
      </c>
      <c r="T148" s="12">
        <f>S148-R148</f>
        <v>-97525</v>
      </c>
      <c r="U148" s="13">
        <f>T148/R148</f>
        <v>-0.49417278946034965</v>
      </c>
      <c r="V148" s="13" cm="1">
        <f t="array" ref="V148">IFERROR(_xll.BDP($G148&amp;" Equity","CHG_PCT_1D")/100,"")</f>
        <v>-1.504687E-2</v>
      </c>
      <c r="W148" s="13" cm="1">
        <f t="array" ref="W148">IFERROR(_xll.BDP($G148&amp;" Equity","CHG_PCT_5D")/100,"")</f>
        <v>-1.8436580000000001E-2</v>
      </c>
      <c r="X148" s="13" t="e">
        <f>S148/#REF!</f>
        <v>#REF!</v>
      </c>
      <c r="Y148" s="24">
        <f>IFERROR(S148*J148,0)</f>
        <v>0</v>
      </c>
      <c r="Z148" s="24">
        <f>S148</f>
        <v>99825</v>
      </c>
      <c r="AA148" s="29">
        <f>P148*O148</f>
        <v>197350</v>
      </c>
      <c r="AB148" s="29">
        <f>IFERROR(O148*Q148,0)</f>
        <v>99825</v>
      </c>
      <c r="AC148" s="4" t="e" cm="1">
        <f t="array" ref="AC148">VLOOKUP(IF(NOT(_xll.BDP(AX148,$BW$8)="#N/A N/A"),(_xll.BDP(AX148,$BW$8)),"-"), '[1]Country Codes'!$A$2:$B$253,2,0)</f>
        <v>#N/A</v>
      </c>
      <c r="AD148" s="30" t="str" cm="1">
        <f t="array" ref="AD148">IF(OR(_xll.BDP($AX148,"EX028")= "#N/A N/A", _xll.BDP($AX148,"EX028")="#N/A FIELD NOT APPLICABLE"), " ", _xll.BDP($AX148,"EX028"))</f>
        <v>Equity</v>
      </c>
      <c r="AE148" s="31" t="str">
        <f>IF(("AS97"="Equity"), " ", "Single Line Equity")</f>
        <v>Single Line Equity</v>
      </c>
      <c r="AF148" s="26" cm="1">
        <f t="array" ref="AF148">IF(OR(_xll.BDP($AX148,"RR908")= "#N/A N/A", _xll.BDP($AX148,"RR908")="#N/A FIELD NOT APPLICABLE"), " ", _xll.BDP($AX148,"RR908"))</f>
        <v>8.3128623339979217</v>
      </c>
      <c r="AG148" s="26" cm="1">
        <f t="array" ref="AG148">IF(OR(_xll.BDP($AX148,"RR041")= "#N/A N/A", _xll.BDP($AX148,"RR041")="#N/A FIELD NOT APPLICABLE"), " ", _xll.BDP($AX148,"RR041"))</f>
        <v>25.686948113087517</v>
      </c>
      <c r="AH148" s="22">
        <f>_xll.BDP(AX148,"TOT_BUY_REC")</f>
        <v>3</v>
      </c>
      <c r="AI148" s="22">
        <f>_xll.BDP(AX148,"TOT_HOLD_REC")</f>
        <v>40</v>
      </c>
      <c r="AJ148" s="22">
        <f>_xll.BDP(AX148,"TOT_SELL_REC")</f>
        <v>6</v>
      </c>
      <c r="AK148" s="26" cm="1">
        <f t="array" ref="AK148">IF(OR(_xll.BDP($AX148,"EE201")= "#N/A N/A", _xll.BDP($AX148,"EE201")="#N/A FIELD NOT APPLICABLE"), " ", _xll.BDP($AX148,"EE201"))</f>
        <v>2.8571429252624512</v>
      </c>
      <c r="AL148" s="24">
        <f>_xll.BDP(AX148,"BEST_TARGET_PRICE")</f>
        <v>21.102777481079102</v>
      </c>
      <c r="AM148" s="32">
        <f>(AL148/Q148)-1</f>
        <v>5.6988604111149588E-2</v>
      </c>
      <c r="AN148" s="32">
        <f>_xll.BDP(AX148,"PR061")/100</f>
        <v>5.7934319999999994E-3</v>
      </c>
      <c r="AO148" s="32">
        <f>_xll.BDP(AX148,"PR064")/100</f>
        <v>3.0185799999999999E-2</v>
      </c>
      <c r="AP148" s="32">
        <f>_xll.BDP(AX148,"CHG_PCT_6M")/100</f>
        <v>-0.20299399999999998</v>
      </c>
      <c r="AQ148" s="25">
        <f>_xll.BDP(AX148,"PR079")/100</f>
        <v>-4.2393639999999998E-3</v>
      </c>
      <c r="AR148" s="33">
        <f>_xll.BDP(AX148,"hs001")</f>
        <v>37.159999999999997</v>
      </c>
      <c r="AS148" s="33">
        <f>_xll.BDP(AX148,"hs002")</f>
        <v>17.664999999999999</v>
      </c>
      <c r="AT148" s="22" t="str" cm="1">
        <f t="array" ref="AT148">IF(OR(_xll.BDP($AX148,"DX202")= "#N/A N/A", _xll.BDP($AX148,"DX202")="#N/A FIELD NOT APPLICABLE"), " ", _xll.BDP($AX148,"DX202"))</f>
        <v>Information Technology</v>
      </c>
      <c r="AU148" s="22" t="str" cm="1">
        <f t="array" ref="AU148">IF(OR(_xll.BDP($AX148,"DY997")= "#N/A N/A", _xll.BDP($AX148,"DY997")="#N/A FIELD NOT APPLICABLE"), " ", _xll.BDP($AX148,"DY997"))</f>
        <v>Y</v>
      </c>
      <c r="AV148" s="22" t="str" cm="1">
        <f t="array" ref="AV148">IF(OR(_xll.BDP($AX148,"DY784")= "#N/A N/A", _xll.BDP($AX148,"DY784")="#N/A FIELD NOT APPLICABLE"), " ", _xll.BDP($AX148,"DY784"))</f>
        <v>Y</v>
      </c>
      <c r="AW148" s="22" t="str">
        <f>IF(OR(AU148="Y",AV148="Y"),"Y","N")</f>
        <v>Y</v>
      </c>
      <c r="AX148" s="22" t="str">
        <f>CONCATENATE(G148," ",$AX$2)</f>
        <v>INTC US Equity</v>
      </c>
      <c r="BC148" s="17" t="str" cm="1">
        <f t="array" ref="BC148">_xll.BDP(AX148,"ID005")</f>
        <v>US4581401001</v>
      </c>
      <c r="BD148" s="17">
        <v>0.6</v>
      </c>
      <c r="BE148" s="18">
        <v>4</v>
      </c>
      <c r="BF148" s="19">
        <v>45639</v>
      </c>
      <c r="BG148" s="20">
        <v>1</v>
      </c>
    </row>
    <row r="149" spans="1:59" s="3" customFormat="1" ht="14.45" customHeight="1" x14ac:dyDescent="0.25">
      <c r="A149" s="49" t="s">
        <v>241</v>
      </c>
      <c r="B149" s="49" t="s">
        <v>251</v>
      </c>
      <c r="C149" s="49" t="s">
        <v>252</v>
      </c>
      <c r="D149" s="49" t="s">
        <v>240</v>
      </c>
      <c r="E149" s="22" t="str">
        <f>_xll.BDP(AX149,"SECURITY NAME")</f>
        <v>Kering SA</v>
      </c>
      <c r="F149" s="22" t="str">
        <f>_xll.BDP(AX149,"CRNCY")</f>
        <v>EUR</v>
      </c>
      <c r="G149" s="23" t="s">
        <v>161</v>
      </c>
      <c r="H149" s="22" t="str" cm="1">
        <f t="array" ref="H149">IF(OR(_xll.BDP($AX149,"DX202")= "#N/A N/A", _xll.BDP($AX149,"DX202")="#N/A FIELD NOT APPLICABLE"), " ", _xll.BDP($AX149,"DX202"))</f>
        <v>Consumer Discretionary</v>
      </c>
      <c r="I149" s="24">
        <f>_xll.BDP(AX149,"CRNCY_ADJ_MKT_CAP", "EQY_FUND_CRNCY=USD")/1000</f>
        <v>24.514608555409239</v>
      </c>
      <c r="J149" s="25">
        <f>IFERROR(_xll.BDP(AX149, "DV013")/100,0)</f>
        <v>3.4258307639602609E-2</v>
      </c>
      <c r="K149" s="26" cm="1">
        <f t="array" ref="K149">IF(OR(_xll.BDP($AX149,"RR900")= "#N/A N/A", _xll.BDP($AX149,"RR900")="#N/A FIELD NOT APPLICABLE"), " ", _xll.BDP($AX149,"RR900"))</f>
        <v>18.956445136130355</v>
      </c>
      <c r="L149" s="26" cm="1">
        <f t="array" ref="L149">IF(OR(_xll.BDP($AX149,"EE010")= "#N/A N/A", _xll.BDP($AX149,"EE010")="#N/A FIELD NOT APPLICABLE"), " ", _xll.BDP($AX149,"EE010"))</f>
        <v>17.865959400183613</v>
      </c>
      <c r="M149" s="26" cm="1">
        <f t="array" ref="M149">IF(OR(_xll.BDP($AX149,"RR903")= "#N/A N/A", _xll.BDP($AX149,"RR903")="#N/A FIELD NOT APPLICABLE"), " ", _xll.BDP($AX149,"RR903"))</f>
        <v>1.4407179574067273</v>
      </c>
      <c r="N149" s="26" cm="1">
        <f t="array" ref="N149">IF(OR(_xll.BDP($AX149,"RR957")= "#N/A N/A", _xll.BDP($AX149,"RR957")="#N/A FIELD NOT APPLICABLE"), " ", _xll.BDP($AX149,"RR957"))</f>
        <v>8.8598764586080261</v>
      </c>
      <c r="O149" s="27">
        <v>383</v>
      </c>
      <c r="P149" s="28">
        <v>262.75135999999998</v>
      </c>
      <c r="Q149" s="22" cm="1">
        <f t="array" ref="Q149">IF(OR(_xll.BDP($AX149,"PX_last")="#N/A N/A",_xll.BDP($AX149,"PX_Last")="#N/A FIELD NOT APPLICABLE")," ",IF(F149="GBP",(_xll.BDP($AX149,"PX_LAST")/100),(_xll.BDP($AX149,"PX_LAST"))))</f>
        <v>175.14</v>
      </c>
      <c r="R149" s="29">
        <f>IF(F149="USD",AA149,(((_xll.BDP(F149&amp;"USD CURNCY","PX_LAST")))*AA149))</f>
        <v>114128.759555008</v>
      </c>
      <c r="S149" s="29">
        <f>IF(F149="USD",AB149,(((_xll.BDP(F149&amp;"USD CURNCY","PX_LAST")))*AB149))</f>
        <v>76073.862942000007</v>
      </c>
      <c r="T149" s="12">
        <f>S149-R149</f>
        <v>-38054.896613007993</v>
      </c>
      <c r="U149" s="13">
        <f>T149/R149</f>
        <v>-0.3334382741158789</v>
      </c>
      <c r="V149" s="13" cm="1">
        <f t="array" ref="V149">IFERROR(_xll.BDP($G149&amp;" Equity","CHG_PCT_1D")/100,"")</f>
        <v>-5.6773019999999995E-3</v>
      </c>
      <c r="W149" s="13" cm="1">
        <f t="array" ref="W149">IFERROR(_xll.BDP($G149&amp;" Equity","CHG_PCT_5D")/100,"")</f>
        <v>-1.8823529999999998E-2</v>
      </c>
      <c r="X149" s="13" t="e">
        <f>S149/#REF!</f>
        <v>#REF!</v>
      </c>
      <c r="Y149" s="24">
        <f>IFERROR(S149*J149,0)</f>
        <v>2606.1618000000008</v>
      </c>
      <c r="Z149" s="24">
        <f>S149</f>
        <v>76073.862942000007</v>
      </c>
      <c r="AA149" s="29">
        <f>P149*O149</f>
        <v>100633.77088</v>
      </c>
      <c r="AB149" s="29">
        <f>IFERROR(O149*Q149,0)</f>
        <v>67078.62</v>
      </c>
      <c r="AC149" s="4" t="e" cm="1">
        <f t="array" ref="AC149">VLOOKUP(IF(NOT(_xll.BDP(AX149,$BW$8)="#N/A N/A"),(_xll.BDP(AX149,$BW$8)),"-"), '[1]Country Codes'!$A$2:$B$253,2,0)</f>
        <v>#N/A</v>
      </c>
      <c r="AD149" s="30" t="str" cm="1">
        <f t="array" ref="AD149">IF(OR(_xll.BDP($AX149,"EX028")= "#N/A N/A", _xll.BDP($AX149,"EX028")="#N/A FIELD NOT APPLICABLE"), " ", _xll.BDP($AX149,"EX028"))</f>
        <v>Equity</v>
      </c>
      <c r="AE149" s="31" t="str">
        <f>IF(("AS97"="Equity"), " ", "Single Line Equity")</f>
        <v>Single Line Equity</v>
      </c>
      <c r="AF149" s="26" cm="1">
        <f t="array" ref="AF149">IF(OR(_xll.BDP($AX149,"RR908")= "#N/A N/A", _xll.BDP($AX149,"RR908")="#N/A FIELD NOT APPLICABLE"), " ", _xll.BDP($AX149,"RR908"))</f>
        <v>5.149846501041794</v>
      </c>
      <c r="AG149" s="26" cm="1">
        <f t="array" ref="AG149">IF(OR(_xll.BDP($AX149,"RR041")= "#N/A N/A", _xll.BDP($AX149,"RR041")="#N/A FIELD NOT APPLICABLE"), " ", _xll.BDP($AX149,"RR041"))</f>
        <v>46.518709915563143</v>
      </c>
      <c r="AH149" s="22">
        <f>_xll.BDP(AX149,"TOT_BUY_REC")</f>
        <v>5</v>
      </c>
      <c r="AI149" s="22">
        <f>_xll.BDP(AX149,"TOT_HOLD_REC")</f>
        <v>21</v>
      </c>
      <c r="AJ149" s="22">
        <f>_xll.BDP(AX149,"TOT_SELL_REC")</f>
        <v>8</v>
      </c>
      <c r="AK149" s="26" cm="1">
        <f t="array" ref="AK149">IF(OR(_xll.BDP($AX149,"EE201")= "#N/A N/A", _xll.BDP($AX149,"EE201")="#N/A FIELD NOT APPLICABLE"), " ", _xll.BDP($AX149,"EE201"))</f>
        <v>2.8235294818878174</v>
      </c>
      <c r="AL149" s="24">
        <f>_xll.BDP(AX149,"BEST_TARGET_PRICE")</f>
        <v>192.61538696289063</v>
      </c>
      <c r="AM149" s="32">
        <f>(AL149/Q149)-1</f>
        <v>9.9779530449301435E-2</v>
      </c>
      <c r="AN149" s="32">
        <f>_xll.BDP(AX149,"PR061")/100</f>
        <v>2.5049739999999997E-2</v>
      </c>
      <c r="AO149" s="32">
        <f>_xll.BDP(AX149,"PR064")/100</f>
        <v>-0.3047241</v>
      </c>
      <c r="AP149" s="32">
        <f>_xll.BDP(AX149,"CHG_PCT_6M")/100</f>
        <v>-0.2405031</v>
      </c>
      <c r="AQ149" s="25">
        <f>_xll.BDP(AX149,"PR079")/100</f>
        <v>-0.26488980000000001</v>
      </c>
      <c r="AR149" s="33">
        <f>_xll.BDP(AX149,"hs001")</f>
        <v>346.9</v>
      </c>
      <c r="AS149" s="33">
        <f>_xll.BDP(AX149,"hs002")</f>
        <v>149.78</v>
      </c>
      <c r="AT149" s="22" t="str" cm="1">
        <f t="array" ref="AT149">IF(OR(_xll.BDP($AX149,"DX202")= "#N/A N/A", _xll.BDP($AX149,"DX202")="#N/A FIELD NOT APPLICABLE"), " ", _xll.BDP($AX149,"DX202"))</f>
        <v>Consumer Discretionary</v>
      </c>
      <c r="AU149" s="22" t="str" cm="1">
        <f t="array" ref="AU149">IF(OR(_xll.BDP($AX149,"DY997")= "#N/A N/A", _xll.BDP($AX149,"DY997")="#N/A FIELD NOT APPLICABLE"), " ", _xll.BDP($AX149,"DY997"))</f>
        <v>Y</v>
      </c>
      <c r="AV149" s="22" t="str" cm="1">
        <f t="array" ref="AV149">IF(OR(_xll.BDP($AX149,"DY784")= "#N/A N/A", _xll.BDP($AX149,"DY784")="#N/A FIELD NOT APPLICABLE"), " ", _xll.BDP($AX149,"DY784"))</f>
        <v>N</v>
      </c>
      <c r="AW149" s="22" t="str">
        <f>IF(OR(AU149="Y",AV149="Y"),"Y","N")</f>
        <v>Y</v>
      </c>
      <c r="AX149" s="22" t="str">
        <f>CONCATENATE(G149," ",$AX$2)</f>
        <v>KER FP Equity</v>
      </c>
      <c r="BC149" s="17" t="str" cm="1">
        <f t="array" ref="BC149">_xll.BDP(AX149,"ID005")</f>
        <v>FR0000121485</v>
      </c>
      <c r="BD149" s="17">
        <v>0.6</v>
      </c>
      <c r="BE149" s="18">
        <v>4</v>
      </c>
      <c r="BF149" s="19">
        <v>45639</v>
      </c>
      <c r="BG149" s="20">
        <v>1</v>
      </c>
    </row>
    <row r="150" spans="1:59" s="3" customFormat="1" ht="14.45" customHeight="1" x14ac:dyDescent="0.25">
      <c r="A150" s="49" t="s">
        <v>241</v>
      </c>
      <c r="B150" s="49" t="s">
        <v>253</v>
      </c>
      <c r="C150" s="49" t="s">
        <v>254</v>
      </c>
      <c r="D150" s="49" t="s">
        <v>240</v>
      </c>
      <c r="E150" s="22" t="str">
        <f>_xll.BDP(AX150,"SECURITY NAME")</f>
        <v>Kering SA</v>
      </c>
      <c r="F150" s="22" t="str">
        <f>_xll.BDP(AX150,"CRNCY")</f>
        <v>EUR</v>
      </c>
      <c r="G150" s="23" t="s">
        <v>161</v>
      </c>
      <c r="H150" s="22" t="str" cm="1">
        <f t="array" ref="H150">IF(OR(_xll.BDP($AX150,"DX202")= "#N/A N/A", _xll.BDP($AX150,"DX202")="#N/A FIELD NOT APPLICABLE"), " ", _xll.BDP($AX150,"DX202"))</f>
        <v>Consumer Discretionary</v>
      </c>
      <c r="I150" s="24">
        <f>_xll.BDP(AX150,"CRNCY_ADJ_MKT_CAP", "EQY_FUND_CRNCY=USD")/1000</f>
        <v>24.514608555409239</v>
      </c>
      <c r="J150" s="25">
        <f>IFERROR(_xll.BDP(AX150, "DV013")/100,0)</f>
        <v>3.4258307639602609E-2</v>
      </c>
      <c r="K150" s="26" cm="1">
        <f t="array" ref="K150">IF(OR(_xll.BDP($AX150,"RR900")= "#N/A N/A", _xll.BDP($AX150,"RR900")="#N/A FIELD NOT APPLICABLE"), " ", _xll.BDP($AX150,"RR900"))</f>
        <v>18.956445136130355</v>
      </c>
      <c r="L150" s="26" cm="1">
        <f t="array" ref="L150">IF(OR(_xll.BDP($AX150,"EE010")= "#N/A N/A", _xll.BDP($AX150,"EE010")="#N/A FIELD NOT APPLICABLE"), " ", _xll.BDP($AX150,"EE010"))</f>
        <v>17.865959400183613</v>
      </c>
      <c r="M150" s="26" cm="1">
        <f t="array" ref="M150">IF(OR(_xll.BDP($AX150,"RR903")= "#N/A N/A", _xll.BDP($AX150,"RR903")="#N/A FIELD NOT APPLICABLE"), " ", _xll.BDP($AX150,"RR903"))</f>
        <v>1.4407179574067273</v>
      </c>
      <c r="N150" s="26" cm="1">
        <f t="array" ref="N150">IF(OR(_xll.BDP($AX150,"RR957")= "#N/A N/A", _xll.BDP($AX150,"RR957")="#N/A FIELD NOT APPLICABLE"), " ", _xll.BDP($AX150,"RR957"))</f>
        <v>8.8598764586080261</v>
      </c>
      <c r="O150" s="27">
        <v>125</v>
      </c>
      <c r="P150" s="28">
        <v>265.774722</v>
      </c>
      <c r="Q150" s="22" cm="1">
        <f t="array" ref="Q150">IF(OR(_xll.BDP($AX150,"PX_last")="#N/A N/A",_xll.BDP($AX150,"PX_Last")="#N/A FIELD NOT APPLICABLE")," ",IF(F150="GBP",(_xll.BDP($AX150,"PX_LAST")/100),(_xll.BDP($AX150,"PX_LAST"))))</f>
        <v>175.14</v>
      </c>
      <c r="R150" s="29">
        <f>IF(F150="USD",AA150,(((_xll.BDP(F150&amp;"USD CURNCY","PX_LAST")))*AA150))</f>
        <v>37676.889027525001</v>
      </c>
      <c r="S150" s="29">
        <f>IF(F150="USD",AB150,(((_xll.BDP(F150&amp;"USD CURNCY","PX_LAST")))*AB150))</f>
        <v>24828.284250000001</v>
      </c>
      <c r="T150" s="12">
        <f>S150-R150</f>
        <v>-12848.604777525001</v>
      </c>
      <c r="U150" s="13">
        <f>T150/R150</f>
        <v>-0.34102085148639533</v>
      </c>
      <c r="V150" s="13" cm="1">
        <f t="array" ref="V150">IFERROR(_xll.BDP($G150&amp;" Equity","CHG_PCT_1D")/100,"")</f>
        <v>-5.6773019999999995E-3</v>
      </c>
      <c r="W150" s="13" cm="1">
        <f t="array" ref="W150">IFERROR(_xll.BDP($G150&amp;" Equity","CHG_PCT_5D")/100,"")</f>
        <v>-1.8823529999999998E-2</v>
      </c>
      <c r="X150" s="13" t="e">
        <f>S150/#REF!</f>
        <v>#REF!</v>
      </c>
      <c r="Y150" s="24">
        <f>IFERROR(S150*J150,0)</f>
        <v>850.57500000000016</v>
      </c>
      <c r="Z150" s="24">
        <f>S150</f>
        <v>24828.284250000001</v>
      </c>
      <c r="AA150" s="29">
        <f>P150*O150</f>
        <v>33221.840250000001</v>
      </c>
      <c r="AB150" s="29">
        <f>IFERROR(O150*Q150,0)</f>
        <v>21892.5</v>
      </c>
      <c r="AC150" s="4" t="e" cm="1">
        <f t="array" ref="AC150">VLOOKUP(IF(NOT(_xll.BDP(AX150,$BW$8)="#N/A N/A"),(_xll.BDP(AX150,$BW$8)),"-"), '[1]Country Codes'!$A$2:$B$253,2,0)</f>
        <v>#N/A</v>
      </c>
      <c r="AD150" s="30" t="str" cm="1">
        <f t="array" ref="AD150">IF(OR(_xll.BDP($AX150,"EX028")= "#N/A N/A", _xll.BDP($AX150,"EX028")="#N/A FIELD NOT APPLICABLE"), " ", _xll.BDP($AX150,"EX028"))</f>
        <v>Equity</v>
      </c>
      <c r="AE150" s="31" t="str">
        <f>IF(("AS97"="Equity"), " ", "Single Line Equity")</f>
        <v>Single Line Equity</v>
      </c>
      <c r="AF150" s="26" cm="1">
        <f t="array" ref="AF150">IF(OR(_xll.BDP($AX150,"RR908")= "#N/A N/A", _xll.BDP($AX150,"RR908")="#N/A FIELD NOT APPLICABLE"), " ", _xll.BDP($AX150,"RR908"))</f>
        <v>5.149846501041794</v>
      </c>
      <c r="AG150" s="26" cm="1">
        <f t="array" ref="AG150">IF(OR(_xll.BDP($AX150,"RR041")= "#N/A N/A", _xll.BDP($AX150,"RR041")="#N/A FIELD NOT APPLICABLE"), " ", _xll.BDP($AX150,"RR041"))</f>
        <v>46.518709915563143</v>
      </c>
      <c r="AH150" s="22">
        <f>_xll.BDP(AX150,"TOT_BUY_REC")</f>
        <v>5</v>
      </c>
      <c r="AI150" s="22">
        <f>_xll.BDP(AX150,"TOT_HOLD_REC")</f>
        <v>21</v>
      </c>
      <c r="AJ150" s="22">
        <f>_xll.BDP(AX150,"TOT_SELL_REC")</f>
        <v>8</v>
      </c>
      <c r="AK150" s="26" cm="1">
        <f t="array" ref="AK150">IF(OR(_xll.BDP($AX150,"EE201")= "#N/A N/A", _xll.BDP($AX150,"EE201")="#N/A FIELD NOT APPLICABLE"), " ", _xll.BDP($AX150,"EE201"))</f>
        <v>2.8235294818878174</v>
      </c>
      <c r="AL150" s="24">
        <f>_xll.BDP(AX150,"BEST_TARGET_PRICE")</f>
        <v>192.61538696289063</v>
      </c>
      <c r="AM150" s="32">
        <f>(AL150/Q150)-1</f>
        <v>9.9779530449301435E-2</v>
      </c>
      <c r="AN150" s="32">
        <f>_xll.BDP(AX150,"PR061")/100</f>
        <v>2.5049739999999997E-2</v>
      </c>
      <c r="AO150" s="32">
        <f>_xll.BDP(AX150,"PR064")/100</f>
        <v>-0.3047241</v>
      </c>
      <c r="AP150" s="32">
        <f>_xll.BDP(AX150,"CHG_PCT_6M")/100</f>
        <v>-0.2405031</v>
      </c>
      <c r="AQ150" s="25">
        <f>_xll.BDP(AX150,"PR079")/100</f>
        <v>-0.26488980000000001</v>
      </c>
      <c r="AR150" s="33">
        <f>_xll.BDP(AX150,"hs001")</f>
        <v>346.9</v>
      </c>
      <c r="AS150" s="33">
        <f>_xll.BDP(AX150,"hs002")</f>
        <v>149.78</v>
      </c>
      <c r="AT150" s="22" t="str" cm="1">
        <f t="array" ref="AT150">IF(OR(_xll.BDP($AX150,"DX202")= "#N/A N/A", _xll.BDP($AX150,"DX202")="#N/A FIELD NOT APPLICABLE"), " ", _xll.BDP($AX150,"DX202"))</f>
        <v>Consumer Discretionary</v>
      </c>
      <c r="AU150" s="22" t="str" cm="1">
        <f t="array" ref="AU150">IF(OR(_xll.BDP($AX150,"DY997")= "#N/A N/A", _xll.BDP($AX150,"DY997")="#N/A FIELD NOT APPLICABLE"), " ", _xll.BDP($AX150,"DY997"))</f>
        <v>Y</v>
      </c>
      <c r="AV150" s="22" t="str" cm="1">
        <f t="array" ref="AV150">IF(OR(_xll.BDP($AX150,"DY784")= "#N/A N/A", _xll.BDP($AX150,"DY784")="#N/A FIELD NOT APPLICABLE"), " ", _xll.BDP($AX150,"DY784"))</f>
        <v>N</v>
      </c>
      <c r="AW150" s="22" t="str">
        <f>IF(OR(AU150="Y",AV150="Y"),"Y","N")</f>
        <v>Y</v>
      </c>
      <c r="AX150" s="22" t="str">
        <f>CONCATENATE(G150," ",$AX$2)</f>
        <v>KER FP Equity</v>
      </c>
      <c r="BC150" s="17" t="str" cm="1">
        <f t="array" ref="BC150">_xll.BDP(AX150,"ID005")</f>
        <v>FR0000121485</v>
      </c>
      <c r="BD150" s="17">
        <v>0.75990000000000002</v>
      </c>
      <c r="BE150" s="18">
        <v>4</v>
      </c>
      <c r="BF150" s="19">
        <v>45567</v>
      </c>
      <c r="BG150" s="20">
        <v>1</v>
      </c>
    </row>
    <row r="151" spans="1:59" s="3" customFormat="1" ht="14.45" customHeight="1" x14ac:dyDescent="0.25">
      <c r="A151" s="49" t="s">
        <v>242</v>
      </c>
      <c r="B151" s="49" t="s">
        <v>260</v>
      </c>
      <c r="C151" s="49" t="s">
        <v>261</v>
      </c>
      <c r="D151" s="49" t="s">
        <v>248</v>
      </c>
      <c r="E151" s="22" t="str">
        <f>_xll.BDP(AX151,"SECURITY NAME")</f>
        <v>Kering SA</v>
      </c>
      <c r="F151" s="22" t="str">
        <f>_xll.BDP(AX151,"CRNCY")</f>
        <v>EUR</v>
      </c>
      <c r="G151" s="73" t="s">
        <v>161</v>
      </c>
      <c r="H151" s="22" t="str" cm="1">
        <f t="array" ref="H151">IF(OR(_xll.BDP($AX151,"DX202")= "#N/A N/A", _xll.BDP($AX151,"DX202")="#N/A FIELD NOT APPLICABLE"), " ", _xll.BDP($AX151,"DX202"))</f>
        <v>Consumer Discretionary</v>
      </c>
      <c r="I151" s="24">
        <f>_xll.BDP(AX151,"CRNCY_ADJ_MKT_CAP", "EQY_FUND_CRNCY=USD")/1000</f>
        <v>24.514608555409239</v>
      </c>
      <c r="J151" s="25">
        <f>IFERROR(_xll.BDP(AX151, "DV013")/100,0)</f>
        <v>3.4258307639602609E-2</v>
      </c>
      <c r="K151" s="26" cm="1">
        <f t="array" ref="K151">IF(OR(_xll.BDP($AX151,"RR900")= "#N/A N/A", _xll.BDP($AX151,"RR900")="#N/A FIELD NOT APPLICABLE"), " ", _xll.BDP($AX151,"RR900"))</f>
        <v>18.956445136130355</v>
      </c>
      <c r="L151" s="26" cm="1">
        <f t="array" ref="L151">IF(OR(_xll.BDP($AX151,"EE010")= "#N/A N/A", _xll.BDP($AX151,"EE010")="#N/A FIELD NOT APPLICABLE"), " ", _xll.BDP($AX151,"EE010"))</f>
        <v>17.865959400183613</v>
      </c>
      <c r="M151" s="26" cm="1">
        <f t="array" ref="M151">IF(OR(_xll.BDP($AX151,"RR903")= "#N/A N/A", _xll.BDP($AX151,"RR903")="#N/A FIELD NOT APPLICABLE"), " ", _xll.BDP($AX151,"RR903"))</f>
        <v>1.4407179574067273</v>
      </c>
      <c r="N151" s="26" cm="1">
        <f t="array" ref="N151">IF(OR(_xll.BDP($AX151,"RR957")= "#N/A N/A", _xll.BDP($AX151,"RR957")="#N/A FIELD NOT APPLICABLE"), " ", _xll.BDP($AX151,"RR957"))</f>
        <v>8.8598764586080261</v>
      </c>
      <c r="O151" s="74">
        <v>250</v>
      </c>
      <c r="P151" s="75">
        <v>267.27999999999997</v>
      </c>
      <c r="Q151" s="22" cm="1">
        <f t="array" ref="Q151">IF(OR(_xll.BDP($AX151,"PX_last")="#N/A N/A",_xll.BDP($AX151,"PX_Last")="#N/A FIELD NOT APPLICABLE")," ",IF(F151="GBP",(_xll.BDP($AX151,"PX_LAST")/100),(_xll.BDP($AX151,"PX_LAST"))))</f>
        <v>175.14</v>
      </c>
      <c r="R151" s="29">
        <f>IF(F151="USD",AA151,(((_xll.BDP(F151&amp;"USD CURNCY","PX_LAST")))*AA151))</f>
        <v>75780.562000000005</v>
      </c>
      <c r="S151" s="29">
        <f>IF(F151="USD",AB151,(((_xll.BDP(F151&amp;"USD CURNCY","PX_LAST")))*AB151))</f>
        <v>49656.568500000001</v>
      </c>
      <c r="T151" s="12">
        <f>S151-R151</f>
        <v>-26123.993500000004</v>
      </c>
      <c r="U151" s="13">
        <f>T151/R151</f>
        <v>-0.3447321161328944</v>
      </c>
      <c r="V151" s="13" cm="1">
        <f t="array" ref="V151">IFERROR(_xll.BDP($G151&amp;" Equity","CHG_PCT_1D")/100,"")</f>
        <v>-5.6773019999999995E-3</v>
      </c>
      <c r="W151" s="13" cm="1">
        <f t="array" ref="W151">IFERROR(_xll.BDP($G151&amp;" Equity","CHG_PCT_5D")/100,"")</f>
        <v>-1.8823529999999998E-2</v>
      </c>
      <c r="X151" s="13" t="e">
        <f>S151/#REF!</f>
        <v>#REF!</v>
      </c>
      <c r="Y151" s="24">
        <f>IFERROR(S151*J151,0)</f>
        <v>1701.1500000000003</v>
      </c>
      <c r="Z151" s="24">
        <f>S151</f>
        <v>49656.568500000001</v>
      </c>
      <c r="AA151" s="29">
        <f>P151*O151</f>
        <v>66820</v>
      </c>
      <c r="AB151" s="29">
        <f>IFERROR(O151*Q151,0)</f>
        <v>43785</v>
      </c>
      <c r="AC151" s="4" t="e" cm="1">
        <f t="array" ref="AC151">VLOOKUP(IF(NOT(_xll.BDP(AX151,$BW$8)="#N/A N/A"),(_xll.BDP(AX151,$BW$8)),"-"), '[1]Country Codes'!$A$2:$B$253,2,0)</f>
        <v>#N/A</v>
      </c>
      <c r="AD151" s="30" t="str" cm="1">
        <f t="array" ref="AD151">IF(OR(_xll.BDP($AX151,"EX028")= "#N/A N/A", _xll.BDP($AX151,"EX028")="#N/A FIELD NOT APPLICABLE"), " ", _xll.BDP($AX151,"EX028"))</f>
        <v>Equity</v>
      </c>
      <c r="AE151" s="31" t="str">
        <f>IF(("AS97"="Equity"), " ", "Single Line Equity")</f>
        <v>Single Line Equity</v>
      </c>
      <c r="AF151" s="26" cm="1">
        <f t="array" ref="AF151">IF(OR(_xll.BDP($AX151,"RR908")= "#N/A N/A", _xll.BDP($AX151,"RR908")="#N/A FIELD NOT APPLICABLE"), " ", _xll.BDP($AX151,"RR908"))</f>
        <v>5.149846501041794</v>
      </c>
      <c r="AG151" s="26" cm="1">
        <f t="array" ref="AG151">IF(OR(_xll.BDP($AX151,"RR041")= "#N/A N/A", _xll.BDP($AX151,"RR041")="#N/A FIELD NOT APPLICABLE"), " ", _xll.BDP($AX151,"RR041"))</f>
        <v>46.518709915563143</v>
      </c>
      <c r="AH151" s="22">
        <f>_xll.BDP(AX151,"TOT_BUY_REC")</f>
        <v>5</v>
      </c>
      <c r="AI151" s="22">
        <f>_xll.BDP(AX151,"TOT_HOLD_REC")</f>
        <v>21</v>
      </c>
      <c r="AJ151" s="22">
        <f>_xll.BDP(AX151,"TOT_SELL_REC")</f>
        <v>8</v>
      </c>
      <c r="AK151" s="26" cm="1">
        <f t="array" ref="AK151">IF(OR(_xll.BDP($AX151,"EE201")= "#N/A N/A", _xll.BDP($AX151,"EE201")="#N/A FIELD NOT APPLICABLE"), " ", _xll.BDP($AX151,"EE201"))</f>
        <v>2.8235294818878174</v>
      </c>
      <c r="AL151" s="24">
        <f>_xll.BDP(AX151,"BEST_TARGET_PRICE")</f>
        <v>192.61538696289063</v>
      </c>
      <c r="AM151" s="32">
        <f>(AL151/Q151)-1</f>
        <v>9.9779530449301435E-2</v>
      </c>
      <c r="AN151" s="32">
        <f>_xll.BDP(AX151,"PR061")/100</f>
        <v>2.5049739999999997E-2</v>
      </c>
      <c r="AO151" s="32">
        <f>_xll.BDP(AX151,"PR064")/100</f>
        <v>-0.3047241</v>
      </c>
      <c r="AP151" s="32">
        <f>_xll.BDP(AX151,"CHG_PCT_6M")/100</f>
        <v>-0.2405031</v>
      </c>
      <c r="AQ151" s="25">
        <f>_xll.BDP(AX151,"PR079")/100</f>
        <v>-0.26488980000000001</v>
      </c>
      <c r="AR151" s="33">
        <f>_xll.BDP(AX151,"hs001")</f>
        <v>346.9</v>
      </c>
      <c r="AS151" s="33">
        <f>_xll.BDP(AX151,"hs002")</f>
        <v>149.78</v>
      </c>
      <c r="AT151" s="22" t="str" cm="1">
        <f t="array" ref="AT151">IF(OR(_xll.BDP($AX151,"DX202")= "#N/A N/A", _xll.BDP($AX151,"DX202")="#N/A FIELD NOT APPLICABLE"), " ", _xll.BDP($AX151,"DX202"))</f>
        <v>Consumer Discretionary</v>
      </c>
      <c r="AU151" s="22" t="str" cm="1">
        <f t="array" ref="AU151">IF(OR(_xll.BDP($AX151,"DY997")= "#N/A N/A", _xll.BDP($AX151,"DY997")="#N/A FIELD NOT APPLICABLE"), " ", _xll.BDP($AX151,"DY997"))</f>
        <v>Y</v>
      </c>
      <c r="AV151" s="22" t="str" cm="1">
        <f t="array" ref="AV151">IF(OR(_xll.BDP($AX151,"DY784")= "#N/A N/A", _xll.BDP($AX151,"DY784")="#N/A FIELD NOT APPLICABLE"), " ", _xll.BDP($AX151,"DY784"))</f>
        <v>N</v>
      </c>
      <c r="AW151" s="22" t="str">
        <f>IF(OR(AU151="Y",AV151="Y"),"Y","N")</f>
        <v>Y</v>
      </c>
      <c r="AX151" s="22" t="str">
        <f>CONCATENATE(G151," ",$AX$2)</f>
        <v>KER FP Equity</v>
      </c>
      <c r="BC151" s="17" t="str" cm="1">
        <f t="array" ref="BC151">_xll.BDP(AX151,"ID005")</f>
        <v>FR0000121485</v>
      </c>
      <c r="BD151" s="17">
        <v>0.75990000000000002</v>
      </c>
      <c r="BE151" s="18">
        <v>4</v>
      </c>
      <c r="BF151" s="19">
        <v>45623</v>
      </c>
      <c r="BG151" s="20">
        <v>1</v>
      </c>
    </row>
    <row r="152" spans="1:59" s="93" customFormat="1" ht="14.45" customHeight="1" x14ac:dyDescent="0.25">
      <c r="A152" s="49" t="s">
        <v>241</v>
      </c>
      <c r="B152" s="49" t="s">
        <v>262</v>
      </c>
      <c r="C152" s="49" t="s">
        <v>263</v>
      </c>
      <c r="D152" s="49" t="s">
        <v>240</v>
      </c>
      <c r="E152" s="22" t="str">
        <f>_xll.BDP(AX152,"SECURITY NAME")</f>
        <v>Kering SA</v>
      </c>
      <c r="F152" s="22" t="str">
        <f>_xll.BDP(AX152,"CRNCY")</f>
        <v>EUR</v>
      </c>
      <c r="G152" s="23" t="s">
        <v>161</v>
      </c>
      <c r="H152" s="22" t="str" cm="1">
        <f t="array" ref="H152">IF(OR(_xll.BDP($AX152,"DX202")= "#N/A N/A", _xll.BDP($AX152,"DX202")="#N/A FIELD NOT APPLICABLE"), " ", _xll.BDP($AX152,"DX202"))</f>
        <v>Consumer Discretionary</v>
      </c>
      <c r="I152" s="24">
        <f>_xll.BDP(AX152,"CRNCY_ADJ_MKT_CAP", "EQY_FUND_CRNCY=USD")/1000</f>
        <v>24.514608555409239</v>
      </c>
      <c r="J152" s="25">
        <f>IFERROR(_xll.BDP(AX152, "DV013")/100,0)</f>
        <v>3.4258307639602609E-2</v>
      </c>
      <c r="K152" s="26" cm="1">
        <f t="array" ref="K152">IF(OR(_xll.BDP($AX152,"RR900")= "#N/A N/A", _xll.BDP($AX152,"RR900")="#N/A FIELD NOT APPLICABLE"), " ", _xll.BDP($AX152,"RR900"))</f>
        <v>18.956445136130355</v>
      </c>
      <c r="L152" s="26" cm="1">
        <f t="array" ref="L152">IF(OR(_xll.BDP($AX152,"EE010")= "#N/A N/A", _xll.BDP($AX152,"EE010")="#N/A FIELD NOT APPLICABLE"), " ", _xll.BDP($AX152,"EE010"))</f>
        <v>17.865959400183613</v>
      </c>
      <c r="M152" s="26" cm="1">
        <f t="array" ref="M152">IF(OR(_xll.BDP($AX152,"RR903")= "#N/A N/A", _xll.BDP($AX152,"RR903")="#N/A FIELD NOT APPLICABLE"), " ", _xll.BDP($AX152,"RR903"))</f>
        <v>1.4407179574067273</v>
      </c>
      <c r="N152" s="26" cm="1">
        <f t="array" ref="N152">IF(OR(_xll.BDP($AX152,"RR957")= "#N/A N/A", _xll.BDP($AX152,"RR957")="#N/A FIELD NOT APPLICABLE"), " ", _xll.BDP($AX152,"RR957"))</f>
        <v>8.8598764586080261</v>
      </c>
      <c r="O152" s="27">
        <v>383</v>
      </c>
      <c r="P152" s="28">
        <v>262.75135999999998</v>
      </c>
      <c r="Q152" s="22" cm="1">
        <f t="array" ref="Q152">IF(OR(_xll.BDP($AX152,"PX_last")="#N/A N/A",_xll.BDP($AX152,"PX_Last")="#N/A FIELD NOT APPLICABLE")," ",IF(F152="GBP",(_xll.BDP($AX152,"PX_LAST")/100),(_xll.BDP($AX152,"PX_LAST"))))</f>
        <v>175.14</v>
      </c>
      <c r="R152" s="29">
        <f>IF(F152="USD",AA152,(((_xll.BDP(F152&amp;"USD CURNCY","PX_LAST")))*AA152))</f>
        <v>114128.759555008</v>
      </c>
      <c r="S152" s="29">
        <f>IF(F152="USD",AB152,(((_xll.BDP(F152&amp;"USD CURNCY","PX_LAST")))*AB152))</f>
        <v>76073.862942000007</v>
      </c>
      <c r="T152" s="12">
        <f>S152-R152</f>
        <v>-38054.896613007993</v>
      </c>
      <c r="U152" s="13">
        <f>T152/R152</f>
        <v>-0.3334382741158789</v>
      </c>
      <c r="V152" s="13" cm="1">
        <f t="array" ref="V152">IFERROR(_xll.BDP($G152&amp;" Equity","CHG_PCT_1D")/100,"")</f>
        <v>-5.6773019999999995E-3</v>
      </c>
      <c r="W152" s="13" cm="1">
        <f t="array" ref="W152">IFERROR(_xll.BDP($G152&amp;" Equity","CHG_PCT_5D")/100,"")</f>
        <v>-1.8823529999999998E-2</v>
      </c>
      <c r="X152" s="13" t="e">
        <f>S152/#REF!</f>
        <v>#REF!</v>
      </c>
      <c r="Y152" s="24">
        <f>IFERROR(S152*J152,0)</f>
        <v>2606.1618000000008</v>
      </c>
      <c r="Z152" s="24">
        <f>S152</f>
        <v>76073.862942000007</v>
      </c>
      <c r="AA152" s="29">
        <f>P152*O152</f>
        <v>100633.77088</v>
      </c>
      <c r="AB152" s="29">
        <f>IFERROR(O152*Q152,0)</f>
        <v>67078.62</v>
      </c>
      <c r="AC152" s="4" t="e" cm="1">
        <f t="array" ref="AC152">VLOOKUP(IF(NOT(_xll.BDP(AX152,$BW$8)="#N/A N/A"),(_xll.BDP(AX152,$BW$8)),"-"), '[1]Country Codes'!$A$2:$B$253,2,0)</f>
        <v>#N/A</v>
      </c>
      <c r="AD152" s="30" t="str" cm="1">
        <f t="array" ref="AD152">IF(OR(_xll.BDP($AX152,"EX028")= "#N/A N/A", _xll.BDP($AX152,"EX028")="#N/A FIELD NOT APPLICABLE"), " ", _xll.BDP($AX152,"EX028"))</f>
        <v>Equity</v>
      </c>
      <c r="AE152" s="31" t="str">
        <f>IF(("AS97"="Equity"), " ", "Single Line Equity")</f>
        <v>Single Line Equity</v>
      </c>
      <c r="AF152" s="26" cm="1">
        <f t="array" ref="AF152">IF(OR(_xll.BDP($AX152,"RR908")= "#N/A N/A", _xll.BDP($AX152,"RR908")="#N/A FIELD NOT APPLICABLE"), " ", _xll.BDP($AX152,"RR908"))</f>
        <v>5.149846501041794</v>
      </c>
      <c r="AG152" s="26" cm="1">
        <f t="array" ref="AG152">IF(OR(_xll.BDP($AX152,"RR041")= "#N/A N/A", _xll.BDP($AX152,"RR041")="#N/A FIELD NOT APPLICABLE"), " ", _xll.BDP($AX152,"RR041"))</f>
        <v>46.518709915563143</v>
      </c>
      <c r="AH152" s="22">
        <f>_xll.BDP(AX152,"TOT_BUY_REC")</f>
        <v>5</v>
      </c>
      <c r="AI152" s="22">
        <f>_xll.BDP(AX152,"TOT_HOLD_REC")</f>
        <v>21</v>
      </c>
      <c r="AJ152" s="22">
        <f>_xll.BDP(AX152,"TOT_SELL_REC")</f>
        <v>8</v>
      </c>
      <c r="AK152" s="26" cm="1">
        <f t="array" ref="AK152">IF(OR(_xll.BDP($AX152,"EE201")= "#N/A N/A", _xll.BDP($AX152,"EE201")="#N/A FIELD NOT APPLICABLE"), " ", _xll.BDP($AX152,"EE201"))</f>
        <v>2.8235294818878174</v>
      </c>
      <c r="AL152" s="24">
        <f>_xll.BDP(AX152,"BEST_TARGET_PRICE")</f>
        <v>192.61538696289063</v>
      </c>
      <c r="AM152" s="32">
        <f>(AL152/Q152)-1</f>
        <v>9.9779530449301435E-2</v>
      </c>
      <c r="AN152" s="32">
        <f>_xll.BDP(AX152,"PR061")/100</f>
        <v>2.5049739999999997E-2</v>
      </c>
      <c r="AO152" s="32">
        <f>_xll.BDP(AX152,"PR064")/100</f>
        <v>-0.3047241</v>
      </c>
      <c r="AP152" s="32">
        <f>_xll.BDP(AX152,"CHG_PCT_6M")/100</f>
        <v>-0.2405031</v>
      </c>
      <c r="AQ152" s="25">
        <f>_xll.BDP(AX152,"PR079")/100</f>
        <v>-0.26488980000000001</v>
      </c>
      <c r="AR152" s="33">
        <f>_xll.BDP(AX152,"hs001")</f>
        <v>346.9</v>
      </c>
      <c r="AS152" s="33">
        <f>_xll.BDP(AX152,"hs002")</f>
        <v>149.78</v>
      </c>
      <c r="AT152" s="22" t="str" cm="1">
        <f t="array" ref="AT152">IF(OR(_xll.BDP($AX152,"DX202")= "#N/A N/A", _xll.BDP($AX152,"DX202")="#N/A FIELD NOT APPLICABLE"), " ", _xll.BDP($AX152,"DX202"))</f>
        <v>Consumer Discretionary</v>
      </c>
      <c r="AU152" s="22" t="str" cm="1">
        <f t="array" ref="AU152">IF(OR(_xll.BDP($AX152,"DY997")= "#N/A N/A", _xll.BDP($AX152,"DY997")="#N/A FIELD NOT APPLICABLE"), " ", _xll.BDP($AX152,"DY997"))</f>
        <v>Y</v>
      </c>
      <c r="AV152" s="22" t="str" cm="1">
        <f t="array" ref="AV152">IF(OR(_xll.BDP($AX152,"DY784")= "#N/A N/A", _xll.BDP($AX152,"DY784")="#N/A FIELD NOT APPLICABLE"), " ", _xll.BDP($AX152,"DY784"))</f>
        <v>N</v>
      </c>
      <c r="AW152" s="22" t="str">
        <f>IF(OR(AU152="Y",AV152="Y"),"Y","N")</f>
        <v>Y</v>
      </c>
      <c r="AX152" s="22" t="str">
        <f>CONCATENATE(G152," ",$AX$2)</f>
        <v>KER FP Equity</v>
      </c>
      <c r="BC152" s="38" t="str" cm="1">
        <f t="array" ref="BC152">_xll.BDP(AX152,"ID005")</f>
        <v>FR0000121485</v>
      </c>
      <c r="BD152" s="38">
        <v>0.75990000000000002</v>
      </c>
      <c r="BE152" s="94">
        <v>4</v>
      </c>
      <c r="BF152" s="95">
        <v>45567</v>
      </c>
      <c r="BG152" s="96">
        <v>1</v>
      </c>
    </row>
    <row r="153" spans="1:59" s="93" customFormat="1" ht="14.45" customHeight="1" x14ac:dyDescent="0.25">
      <c r="A153" s="49" t="s">
        <v>241</v>
      </c>
      <c r="B153" s="49" t="s">
        <v>276</v>
      </c>
      <c r="C153" s="49" t="s">
        <v>277</v>
      </c>
      <c r="D153" s="49" t="s">
        <v>240</v>
      </c>
      <c r="E153" s="22" t="str">
        <f>_xll.BDP(AX153,"SECURITY NAME")</f>
        <v>Kering SA</v>
      </c>
      <c r="F153" s="22" t="str">
        <f>_xll.BDP(AX153,"CRNCY")</f>
        <v>EUR</v>
      </c>
      <c r="G153" s="23" t="s">
        <v>161</v>
      </c>
      <c r="H153" s="22" t="str" cm="1">
        <f t="array" ref="H153">IF(OR(_xll.BDP($AX153,"DX202")= "#N/A N/A", _xll.BDP($AX153,"DX202")="#N/A FIELD NOT APPLICABLE"), " ", _xll.BDP($AX153,"DX202"))</f>
        <v>Consumer Discretionary</v>
      </c>
      <c r="I153" s="24">
        <f>_xll.BDP(AX153,"CRNCY_ADJ_MKT_CAP", "EQY_FUND_CRNCY=USD")/1000</f>
        <v>24.514608555409239</v>
      </c>
      <c r="J153" s="25">
        <f>IFERROR(_xll.BDP(AX153, "DV013")/100,0)</f>
        <v>3.4258307639602609E-2</v>
      </c>
      <c r="K153" s="26" cm="1">
        <f t="array" ref="K153">IF(OR(_xll.BDP($AX153,"RR900")= "#N/A N/A", _xll.BDP($AX153,"RR900")="#N/A FIELD NOT APPLICABLE"), " ", _xll.BDP($AX153,"RR900"))</f>
        <v>18.956445136130355</v>
      </c>
      <c r="L153" s="26" cm="1">
        <f t="array" ref="L153">IF(OR(_xll.BDP($AX153,"EE010")= "#N/A N/A", _xll.BDP($AX153,"EE010")="#N/A FIELD NOT APPLICABLE"), " ", _xll.BDP($AX153,"EE010"))</f>
        <v>17.865959400183613</v>
      </c>
      <c r="M153" s="26" cm="1">
        <f t="array" ref="M153">IF(OR(_xll.BDP($AX153,"RR903")= "#N/A N/A", _xll.BDP($AX153,"RR903")="#N/A FIELD NOT APPLICABLE"), " ", _xll.BDP($AX153,"RR903"))</f>
        <v>1.4407179574067273</v>
      </c>
      <c r="N153" s="26" cm="1">
        <f t="array" ref="N153">IF(OR(_xll.BDP($AX153,"RR957")= "#N/A N/A", _xll.BDP($AX153,"RR957")="#N/A FIELD NOT APPLICABLE"), " ", _xll.BDP($AX153,"RR957"))</f>
        <v>8.8598764586080261</v>
      </c>
      <c r="O153" s="27">
        <v>383</v>
      </c>
      <c r="P153" s="28">
        <v>262.75135999999998</v>
      </c>
      <c r="Q153" s="22" cm="1">
        <f t="array" ref="Q153">IF(OR(_xll.BDP($AX153,"PX_last")="#N/A N/A",_xll.BDP($AX153,"PX_Last")="#N/A FIELD NOT APPLICABLE")," ",IF(F153="GBP",(_xll.BDP($AX153,"PX_LAST")/100),(_xll.BDP($AX153,"PX_LAST"))))</f>
        <v>175.14</v>
      </c>
      <c r="R153" s="29">
        <f>IF(F153="USD",AA153,(((_xll.BDP(F153&amp;"USD CURNCY","PX_LAST")))*AA153))</f>
        <v>114128.759555008</v>
      </c>
      <c r="S153" s="29">
        <f>IF(F153="USD",AB153,(((_xll.BDP(F153&amp;"USD CURNCY","PX_LAST")))*AB153))</f>
        <v>76073.862942000007</v>
      </c>
      <c r="T153" s="12">
        <f>S153-R153</f>
        <v>-38054.896613007993</v>
      </c>
      <c r="U153" s="13">
        <f>T153/R153</f>
        <v>-0.3334382741158789</v>
      </c>
      <c r="V153" s="13" cm="1">
        <f t="array" ref="V153">IFERROR(_xll.BDP($G153&amp;" Equity","CHG_PCT_1D")/100,"")</f>
        <v>-5.6773019999999995E-3</v>
      </c>
      <c r="W153" s="13" cm="1">
        <f t="array" ref="W153">IFERROR(_xll.BDP($G153&amp;" Equity","CHG_PCT_5D")/100,"")</f>
        <v>-1.8823529999999998E-2</v>
      </c>
      <c r="X153" s="13" t="e">
        <f>S153/#REF!</f>
        <v>#REF!</v>
      </c>
      <c r="Y153" s="24">
        <f>IFERROR(S153*J153,0)</f>
        <v>2606.1618000000008</v>
      </c>
      <c r="Z153" s="24">
        <f>S153</f>
        <v>76073.862942000007</v>
      </c>
      <c r="AA153" s="29">
        <f>P153*O153</f>
        <v>100633.77088</v>
      </c>
      <c r="AB153" s="29">
        <f>IFERROR(O153*Q153,0)</f>
        <v>67078.62</v>
      </c>
      <c r="AC153" s="4" t="e" cm="1">
        <f t="array" ref="AC153">VLOOKUP(IF(NOT(_xll.BDP(AX153,$BW$8)="#N/A N/A"),(_xll.BDP(AX153,$BW$8)),"-"), '[1]Country Codes'!$A$2:$B$253,2,0)</f>
        <v>#N/A</v>
      </c>
      <c r="AD153" s="30" t="str" cm="1">
        <f t="array" ref="AD153">IF(OR(_xll.BDP($AX153,"EX028")= "#N/A N/A", _xll.BDP($AX153,"EX028")="#N/A FIELD NOT APPLICABLE"), " ", _xll.BDP($AX153,"EX028"))</f>
        <v>Equity</v>
      </c>
      <c r="AE153" s="31" t="str">
        <f>IF(("AS97"="Equity"), " ", "Single Line Equity")</f>
        <v>Single Line Equity</v>
      </c>
      <c r="AF153" s="26" cm="1">
        <f t="array" ref="AF153">IF(OR(_xll.BDP($AX153,"RR908")= "#N/A N/A", _xll.BDP($AX153,"RR908")="#N/A FIELD NOT APPLICABLE"), " ", _xll.BDP($AX153,"RR908"))</f>
        <v>5.149846501041794</v>
      </c>
      <c r="AG153" s="26" cm="1">
        <f t="array" ref="AG153">IF(OR(_xll.BDP($AX153,"RR041")= "#N/A N/A", _xll.BDP($AX153,"RR041")="#N/A FIELD NOT APPLICABLE"), " ", _xll.BDP($AX153,"RR041"))</f>
        <v>46.518709915563143</v>
      </c>
      <c r="AH153" s="22">
        <f>_xll.BDP(AX153,"TOT_BUY_REC")</f>
        <v>5</v>
      </c>
      <c r="AI153" s="22">
        <f>_xll.BDP(AX153,"TOT_HOLD_REC")</f>
        <v>21</v>
      </c>
      <c r="AJ153" s="22">
        <f>_xll.BDP(AX153,"TOT_SELL_REC")</f>
        <v>8</v>
      </c>
      <c r="AK153" s="26" cm="1">
        <f t="array" ref="AK153">IF(OR(_xll.BDP($AX153,"EE201")= "#N/A N/A", _xll.BDP($AX153,"EE201")="#N/A FIELD NOT APPLICABLE"), " ", _xll.BDP($AX153,"EE201"))</f>
        <v>2.8235294818878174</v>
      </c>
      <c r="AL153" s="24">
        <f>_xll.BDP(AX153,"BEST_TARGET_PRICE")</f>
        <v>192.61538696289063</v>
      </c>
      <c r="AM153" s="32">
        <f>(AL153/Q153)-1</f>
        <v>9.9779530449301435E-2</v>
      </c>
      <c r="AN153" s="32">
        <f>_xll.BDP(AX153,"PR061")/100</f>
        <v>2.5049739999999997E-2</v>
      </c>
      <c r="AO153" s="32">
        <f>_xll.BDP(AX153,"PR064")/100</f>
        <v>-0.3047241</v>
      </c>
      <c r="AP153" s="32">
        <f>_xll.BDP(AX153,"CHG_PCT_6M")/100</f>
        <v>-0.2405031</v>
      </c>
      <c r="AQ153" s="25">
        <f>_xll.BDP(AX153,"PR079")/100</f>
        <v>-0.26488980000000001</v>
      </c>
      <c r="AR153" s="33">
        <f>_xll.BDP(AX153,"hs001")</f>
        <v>346.9</v>
      </c>
      <c r="AS153" s="33">
        <f>_xll.BDP(AX153,"hs002")</f>
        <v>149.78</v>
      </c>
      <c r="AT153" s="22" t="str" cm="1">
        <f t="array" ref="AT153">IF(OR(_xll.BDP($AX153,"DX202")= "#N/A N/A", _xll.BDP($AX153,"DX202")="#N/A FIELD NOT APPLICABLE"), " ", _xll.BDP($AX153,"DX202"))</f>
        <v>Consumer Discretionary</v>
      </c>
      <c r="AU153" s="22" t="str" cm="1">
        <f t="array" ref="AU153">IF(OR(_xll.BDP($AX153,"DY997")= "#N/A N/A", _xll.BDP($AX153,"DY997")="#N/A FIELD NOT APPLICABLE"), " ", _xll.BDP($AX153,"DY997"))</f>
        <v>Y</v>
      </c>
      <c r="AV153" s="22" t="str" cm="1">
        <f t="array" ref="AV153">IF(OR(_xll.BDP($AX153,"DY784")= "#N/A N/A", _xll.BDP($AX153,"DY784")="#N/A FIELD NOT APPLICABLE"), " ", _xll.BDP($AX153,"DY784"))</f>
        <v>N</v>
      </c>
      <c r="AW153" s="22" t="str">
        <f>IF(OR(AU153="Y",AV153="Y"),"Y","N")</f>
        <v>Y</v>
      </c>
      <c r="AX153" s="22" t="str">
        <f>CONCATENATE(G153," ",$AX$2)</f>
        <v>KER FP Equity</v>
      </c>
      <c r="BC153" s="38" t="str">
        <f>_xll.BDP(AX153, "ID_ISIN")</f>
        <v>FR0000121485</v>
      </c>
      <c r="BD153" s="38">
        <f>VLOOKUP(BC153,'[2]Portefeuille 4379150'!$B$3:$G$42,6,0)</f>
        <v>0.79449999999999998</v>
      </c>
      <c r="BE153" s="94">
        <v>4</v>
      </c>
      <c r="BF153" s="95"/>
      <c r="BG153" s="96">
        <v>1</v>
      </c>
    </row>
    <row r="154" spans="1:59" s="93" customFormat="1" ht="14.45" customHeight="1" x14ac:dyDescent="0.25">
      <c r="A154" s="49" t="s">
        <v>242</v>
      </c>
      <c r="B154" s="49" t="s">
        <v>260</v>
      </c>
      <c r="C154" s="49" t="s">
        <v>261</v>
      </c>
      <c r="D154" s="49" t="s">
        <v>248</v>
      </c>
      <c r="E154" s="22" t="str">
        <f>_xll.BDP(AX154,"SECURITY NAME")</f>
        <v>Southwest Airlines Co</v>
      </c>
      <c r="F154" s="22" t="str">
        <f>_xll.BDP(AX154,"CRNCY")</f>
        <v>USD</v>
      </c>
      <c r="G154" s="73" t="s">
        <v>199</v>
      </c>
      <c r="H154" s="22" t="str" cm="1">
        <f t="array" ref="H154">IF(OR(_xll.BDP($AX154,"DX202")= "#N/A N/A", _xll.BDP($AX154,"DX202")="#N/A FIELD NOT APPLICABLE"), " ", _xll.BDP($AX154,"DX202"))</f>
        <v>Industrials</v>
      </c>
      <c r="I154" s="24">
        <f>_xll.BDP(AX154,"CRNCY_ADJ_MKT_CAP", "EQY_FUND_CRNCY=USD")/1000</f>
        <v>17.087425983014995</v>
      </c>
      <c r="J154" s="25">
        <f>IFERROR(_xll.BDP(AX154, "DV013")/100,0)</f>
        <v>2.4012006957152898E-2</v>
      </c>
      <c r="K154" s="26" cm="1">
        <f t="array" ref="K154">IF(OR(_xll.BDP($AX154,"RR900")= "#N/A N/A", _xll.BDP($AX154,"RR900")="#N/A FIELD NOT APPLICABLE"), " ", _xll.BDP($AX154,"RR900"))</f>
        <v>25.555122368296786</v>
      </c>
      <c r="L154" s="26" cm="1">
        <f t="array" ref="L154">IF(OR(_xll.BDP($AX154,"EE010")= "#N/A N/A", _xll.BDP($AX154,"EE010")="#N/A FIELD NOT APPLICABLE"), " ", _xll.BDP($AX154,"EE010"))</f>
        <v>11.345062429057888</v>
      </c>
      <c r="M154" s="26" cm="1">
        <f t="array" ref="M154">IF(OR(_xll.BDP($AX154,"RR903")= "#N/A N/A", _xll.BDP($AX154,"RR903")="#N/A FIELD NOT APPLICABLE"), " ", _xll.BDP($AX154,"RR903"))</f>
        <v>1.8246050540131855</v>
      </c>
      <c r="N154" s="26" cm="1">
        <f t="array" ref="N154">IF(OR(_xll.BDP($AX154,"RR957")= "#N/A N/A", _xll.BDP($AX154,"RR957")="#N/A FIELD NOT APPLICABLE"), " ", _xll.BDP($AX154,"RR957"))</f>
        <v>7.8794129133965338</v>
      </c>
      <c r="O154" s="74">
        <v>2800</v>
      </c>
      <c r="P154" s="75">
        <v>34.729999999999997</v>
      </c>
      <c r="Q154" s="22" cm="1">
        <f t="array" ref="Q154">IF(OR(_xll.BDP($AX154,"PX_last")="#N/A N/A",_xll.BDP($AX154,"PX_Last")="#N/A FIELD NOT APPLICABLE")," ",IF(F154="GBP",(_xll.BDP($AX154,"PX_LAST")/100),(_xll.BDP($AX154,"PX_LAST"))))</f>
        <v>29.984999999999999</v>
      </c>
      <c r="R154" s="29">
        <f>IF(F154="USD",AA154,(((_xll.BDP(F154&amp;"USD CURNCY","PX_LAST")))*AA154))</f>
        <v>97243.999999999985</v>
      </c>
      <c r="S154" s="29">
        <f>IF(F154="USD",AB154,(((_xll.BDP(F154&amp;"USD CURNCY","PX_LAST")))*AB154))</f>
        <v>83958</v>
      </c>
      <c r="T154" s="12">
        <f>S154-R154</f>
        <v>-13285.999999999985</v>
      </c>
      <c r="U154" s="13">
        <f>T154/R154</f>
        <v>-0.13662539591131573</v>
      </c>
      <c r="V154" s="13" cm="1">
        <f t="array" ref="V154">IFERROR(_xll.BDP($G154&amp;" Equity","CHG_PCT_1D")/100,"")</f>
        <v>-3.1582450000000001E-3</v>
      </c>
      <c r="W154" s="13" cm="1">
        <f t="array" ref="W154">IFERROR(_xll.BDP($G154&amp;" Equity","CHG_PCT_5D")/100,"")</f>
        <v>9.9963320000000008E-2</v>
      </c>
      <c r="X154" s="13" t="e">
        <f>S154/#REF!</f>
        <v>#REF!</v>
      </c>
      <c r="Y154" s="24">
        <f>IFERROR(S154*J154,0)</f>
        <v>2016.000080108643</v>
      </c>
      <c r="Z154" s="24">
        <f>S154</f>
        <v>83958</v>
      </c>
      <c r="AA154" s="29">
        <f>P154*O154</f>
        <v>97243.999999999985</v>
      </c>
      <c r="AB154" s="29">
        <f>IFERROR(O154*Q154,0)</f>
        <v>83958</v>
      </c>
      <c r="AC154" s="4" t="e" cm="1">
        <f t="array" ref="AC154">VLOOKUP(IF(NOT(_xll.BDP(AX154,$BW$8)="#N/A N/A"),(_xll.BDP(AX154,$BW$8)),"-"), '[1]Country Codes'!$A$2:$B$253,2,0)</f>
        <v>#N/A</v>
      </c>
      <c r="AD154" s="30" t="str" cm="1">
        <f t="array" ref="AD154">IF(OR(_xll.BDP($AX154,"EX028")= "#N/A N/A", _xll.BDP($AX154,"EX028")="#N/A FIELD NOT APPLICABLE"), " ", _xll.BDP($AX154,"EX028"))</f>
        <v>Equity</v>
      </c>
      <c r="AE154" s="31" t="str">
        <f>IF(("AS97"="Equity"), " ", "Single Line Equity")</f>
        <v>Single Line Equity</v>
      </c>
      <c r="AF154" s="26" cm="1">
        <f t="array" ref="AF154">IF(OR(_xll.BDP($AX154,"RR908")= "#N/A N/A", _xll.BDP($AX154,"RR908")="#N/A FIELD NOT APPLICABLE"), " ", _xll.BDP($AX154,"RR908"))</f>
        <v>12.37590504510249</v>
      </c>
      <c r="AG154" s="26" cm="1">
        <f t="array" ref="AG154">IF(OR(_xll.BDP($AX154,"RR041")= "#N/A N/A", _xll.BDP($AX154,"RR041")="#N/A FIELD NOT APPLICABLE"), " ", _xll.BDP($AX154,"RR041"))</f>
        <v>23.94074074074074</v>
      </c>
      <c r="AH154" s="22">
        <f>_xll.BDP(AX154,"TOT_BUY_REC")</f>
        <v>7</v>
      </c>
      <c r="AI154" s="22">
        <f>_xll.BDP(AX154,"TOT_HOLD_REC")</f>
        <v>10</v>
      </c>
      <c r="AJ154" s="22">
        <f>_xll.BDP(AX154,"TOT_SELL_REC")</f>
        <v>7</v>
      </c>
      <c r="AK154" s="26" cm="1">
        <f t="array" ref="AK154">IF(OR(_xll.BDP($AX154,"EE201")= "#N/A N/A", _xll.BDP($AX154,"EE201")="#N/A FIELD NOT APPLICABLE"), " ", _xll.BDP($AX154,"EE201"))</f>
        <v>3</v>
      </c>
      <c r="AL154" s="24">
        <f>_xll.BDP(AX154,"BEST_TARGET_PRICE")</f>
        <v>28.473913192749023</v>
      </c>
      <c r="AM154" s="32">
        <f>(AL154/Q154)-1</f>
        <v>-5.0394757620509489E-2</v>
      </c>
      <c r="AN154" s="32">
        <f>_xll.BDP(AX154,"PR061")/100</f>
        <v>0.1590645</v>
      </c>
      <c r="AO154" s="32">
        <f>_xll.BDP(AX154,"PR064")/100</f>
        <v>-3.5541980000000001E-2</v>
      </c>
      <c r="AP154" s="32">
        <f>_xll.BDP(AX154,"CHG_PCT_6M")/100</f>
        <v>-4.4759460000000001E-2</v>
      </c>
      <c r="AQ154" s="25">
        <f>_xll.BDP(AX154,"PR079")/100</f>
        <v>-0.10812010000000001</v>
      </c>
      <c r="AR154" s="33">
        <f>_xll.BDP(AX154,"hs001")</f>
        <v>36.119999999999997</v>
      </c>
      <c r="AS154" s="33">
        <f>_xll.BDP(AX154,"hs002")</f>
        <v>23.58</v>
      </c>
      <c r="AT154" s="22" t="str" cm="1">
        <f t="array" ref="AT154">IF(OR(_xll.BDP($AX154,"DX202")= "#N/A N/A", _xll.BDP($AX154,"DX202")="#N/A FIELD NOT APPLICABLE"), " ", _xll.BDP($AX154,"DX202"))</f>
        <v>Industrials</v>
      </c>
      <c r="AU154" s="22" t="str" cm="1">
        <f t="array" ref="AU154">IF(OR(_xll.BDP($AX154,"DY997")= "#N/A N/A", _xll.BDP($AX154,"DY997")="#N/A FIELD NOT APPLICABLE"), " ", _xll.BDP($AX154,"DY997"))</f>
        <v>Y</v>
      </c>
      <c r="AV154" s="22" t="str" cm="1">
        <f t="array" ref="AV154">IF(OR(_xll.BDP($AX154,"DY784")= "#N/A N/A", _xll.BDP($AX154,"DY784")="#N/A FIELD NOT APPLICABLE"), " ", _xll.BDP($AX154,"DY784"))</f>
        <v>Y</v>
      </c>
      <c r="AW154" s="22" t="str">
        <f>IF(OR(AU154="Y",AV154="Y"),"Y","N")</f>
        <v>Y</v>
      </c>
      <c r="AX154" s="22" t="str">
        <f>CONCATENATE(G154," ",$AX$2)</f>
        <v>LUV US Equity</v>
      </c>
      <c r="BC154" s="38" t="str">
        <f>_xll.BDP(AX154, "ID_ISIN")</f>
        <v>US8447411088</v>
      </c>
      <c r="BD154" s="38"/>
      <c r="BE154" s="94">
        <v>4</v>
      </c>
      <c r="BF154" s="95"/>
      <c r="BG154" s="96">
        <v>1</v>
      </c>
    </row>
    <row r="155" spans="1:59" s="3" customFormat="1" ht="14.45" customHeight="1" x14ac:dyDescent="0.25">
      <c r="A155" s="49" t="s">
        <v>242</v>
      </c>
      <c r="B155" s="49" t="s">
        <v>243</v>
      </c>
      <c r="C155" s="49" t="s">
        <v>244</v>
      </c>
      <c r="D155" s="49" t="s">
        <v>245</v>
      </c>
      <c r="E155" s="22" t="str">
        <f>_xll.BDP(AX155,"SECURITY NAME")</f>
        <v>Medtronic PLC</v>
      </c>
      <c r="F155" s="22" t="str">
        <f>_xll.BDP(AX155,"CRNCY")</f>
        <v>USD</v>
      </c>
      <c r="G155" s="23" t="s">
        <v>118</v>
      </c>
      <c r="H155" s="22" t="str" cm="1">
        <f t="array" ref="H155">IF(OR(_xll.BDP($AX155,"DX202")= "#N/A N/A", _xll.BDP($AX155,"DX202")="#N/A FIELD NOT APPLICABLE"), " ", _xll.BDP($AX155,"DX202"))</f>
        <v>Health Care</v>
      </c>
      <c r="I155" s="24">
        <f>_xll.BDP(AX155,"CRNCY_ADJ_MKT_CAP", "EQY_FUND_CRNCY=USD")/1000</f>
        <v>106.17536406142499</v>
      </c>
      <c r="J155" s="25">
        <f>IFERROR(_xll.BDP(AX155, "DV013")/100,0)</f>
        <v>3.3822551818762869E-2</v>
      </c>
      <c r="K155" s="26" cm="1">
        <f t="array" ref="K155">IF(OR(_xll.BDP($AX155,"RR900")= "#N/A N/A", _xll.BDP($AX155,"RR900")="#N/A FIELD NOT APPLICABLE"), " ", _xll.BDP($AX155,"RR900"))</f>
        <v>19.37023712063769</v>
      </c>
      <c r="L155" s="26" cm="1">
        <f t="array" ref="L155">IF(OR(_xll.BDP($AX155,"EE010")= "#N/A N/A", _xll.BDP($AX155,"EE010")="#N/A FIELD NOT APPLICABLE"), " ", _xll.BDP($AX155,"EE010"))</f>
        <v>14.182799383244818</v>
      </c>
      <c r="M155" s="26" cm="1">
        <f t="array" ref="M155">IF(OR(_xll.BDP($AX155,"RR903")= "#N/A N/A", _xll.BDP($AX155,"RR903")="#N/A FIELD NOT APPLICABLE"), " ", _xll.BDP($AX155,"RR903"))</f>
        <v>2.1510760576336079</v>
      </c>
      <c r="N155" s="26" cm="1">
        <f t="array" ref="N155">IF(OR(_xll.BDP($AX155,"RR957")= "#N/A N/A", _xll.BDP($AX155,"RR957")="#N/A FIELD NOT APPLICABLE"), " ", _xll.BDP($AX155,"RR957"))</f>
        <v>15.167741489199102</v>
      </c>
      <c r="O155" s="27">
        <v>955</v>
      </c>
      <c r="P155" s="28">
        <v>105.255</v>
      </c>
      <c r="Q155" s="22" cm="1">
        <f t="array" ref="Q155">IF(OR(_xll.BDP($AX155,"PX_last")="#N/A N/A",_xll.BDP($AX155,"PX_Last")="#N/A FIELD NOT APPLICABLE")," ",IF(F155="GBP",(_xll.BDP($AX155,"PX_LAST")/100),(_xll.BDP($AX155,"PX_LAST"))))</f>
        <v>82.784999999999997</v>
      </c>
      <c r="R155" s="29">
        <f>IF(F155="USD",AA155,(((_xll.BDP(F155&amp;"USD CURNCY","PX_LAST")))*AA155))</f>
        <v>100518.52499999999</v>
      </c>
      <c r="S155" s="29">
        <f>IF(F155="USD",AB155,(((_xll.BDP(F155&amp;"USD CURNCY","PX_LAST")))*AB155))</f>
        <v>79059.675000000003</v>
      </c>
      <c r="T155" s="12">
        <f>S155-R155</f>
        <v>-21458.849999999991</v>
      </c>
      <c r="U155" s="13">
        <f>T155/R155</f>
        <v>-0.21348154481972345</v>
      </c>
      <c r="V155" s="13" cm="1">
        <f t="array" ref="V155">IFERROR(_xll.BDP($G155&amp;" Equity","CHG_PCT_1D")/100,"")</f>
        <v>-7.968844000000001E-3</v>
      </c>
      <c r="W155" s="13" cm="1">
        <f t="array" ref="W155">IFERROR(_xll.BDP($G155&amp;" Equity","CHG_PCT_5D")/100,"")</f>
        <v>-2.1453899999999998E-2</v>
      </c>
      <c r="X155" s="13" t="e">
        <f>S155/#REF!</f>
        <v>#REF!</v>
      </c>
      <c r="Y155" s="24">
        <f>IFERROR(S155*J155,0)</f>
        <v>2673.9999544620514</v>
      </c>
      <c r="Z155" s="24">
        <f>S155</f>
        <v>79059.675000000003</v>
      </c>
      <c r="AA155" s="29">
        <f>P155*O155</f>
        <v>100518.52499999999</v>
      </c>
      <c r="AB155" s="29">
        <f>IFERROR(O155*Q155,0)</f>
        <v>79059.675000000003</v>
      </c>
      <c r="AC155" s="4" t="e" cm="1">
        <f t="array" ref="AC155">VLOOKUP(IF(NOT(_xll.BDP(AX155,$BW$8)="#N/A N/A"),(_xll.BDP(AX155,$BW$8)),"-"), '[1]Country Codes'!$A$2:$B$253,2,0)</f>
        <v>#N/A</v>
      </c>
      <c r="AD155" s="30" t="str" cm="1">
        <f t="array" ref="AD155">IF(OR(_xll.BDP($AX155,"EX028")= "#N/A N/A", _xll.BDP($AX155,"EX028")="#N/A FIELD NOT APPLICABLE"), " ", _xll.BDP($AX155,"EX028"))</f>
        <v>Equity</v>
      </c>
      <c r="AE155" s="31" t="str">
        <f>IF(("AS97"="Equity"), " ", "Single Line Equity")</f>
        <v>Single Line Equity</v>
      </c>
      <c r="AF155" s="26" cm="1">
        <f t="array" ref="AF155">IF(OR(_xll.BDP($AX155,"RR908")= "#N/A N/A", _xll.BDP($AX155,"RR908")="#N/A FIELD NOT APPLICABLE"), " ", _xll.BDP($AX155,"RR908"))</f>
        <v>14.743096724256054</v>
      </c>
      <c r="AG155" s="26" cm="1">
        <f t="array" ref="AG155">IF(OR(_xll.BDP($AX155,"RR041")= "#N/A N/A", _xll.BDP($AX155,"RR041")="#N/A FIELD NOT APPLICABLE"), " ", _xll.BDP($AX155,"RR041"))</f>
        <v>28.947222191351507</v>
      </c>
      <c r="AH155" s="22">
        <f>_xll.BDP(AX155,"TOT_BUY_REC")</f>
        <v>16</v>
      </c>
      <c r="AI155" s="22">
        <f>_xll.BDP(AX155,"TOT_HOLD_REC")</f>
        <v>15</v>
      </c>
      <c r="AJ155" s="22">
        <f>_xll.BDP(AX155,"TOT_SELL_REC")</f>
        <v>2</v>
      </c>
      <c r="AK155" s="26" cm="1">
        <f t="array" ref="AK155">IF(OR(_xll.BDP($AX155,"EE201")= "#N/A N/A", _xll.BDP($AX155,"EE201")="#N/A FIELD NOT APPLICABLE"), " ", _xll.BDP($AX155,"EE201"))</f>
        <v>3.8484847545623779</v>
      </c>
      <c r="AL155" s="24">
        <f>_xll.BDP(AX155,"BEST_TARGET_PRICE")</f>
        <v>97.03448486328125</v>
      </c>
      <c r="AM155" s="32">
        <f>(AL155/Q155)-1</f>
        <v>0.17212641013808372</v>
      </c>
      <c r="AN155" s="32">
        <f>_xll.BDP(AX155,"PR061")/100</f>
        <v>-1.146202E-3</v>
      </c>
      <c r="AO155" s="32">
        <f>_xll.BDP(AX155,"PR064")/100</f>
        <v>-8.84717E-2</v>
      </c>
      <c r="AP155" s="32">
        <f>_xll.BDP(AX155,"CHG_PCT_6M")/100</f>
        <v>-8.1289540000000007E-2</v>
      </c>
      <c r="AQ155" s="25">
        <f>_xll.BDP(AX155,"PR079")/100</f>
        <v>3.6367090000000005E-2</v>
      </c>
      <c r="AR155" s="33">
        <f>_xll.BDP(AX155,"hs001")</f>
        <v>96.25</v>
      </c>
      <c r="AS155" s="33">
        <f>_xll.BDP(AX155,"hs002")</f>
        <v>75.959999999999994</v>
      </c>
      <c r="AT155" s="22" t="str" cm="1">
        <f t="array" ref="AT155">IF(OR(_xll.BDP($AX155,"DX202")= "#N/A N/A", _xll.BDP($AX155,"DX202")="#N/A FIELD NOT APPLICABLE"), " ", _xll.BDP($AX155,"DX202"))</f>
        <v>Health Care</v>
      </c>
      <c r="AU155" s="22" t="str" cm="1">
        <f t="array" ref="AU155">IF(OR(_xll.BDP($AX155,"DY997")= "#N/A N/A", _xll.BDP($AX155,"DY997")="#N/A FIELD NOT APPLICABLE"), " ", _xll.BDP($AX155,"DY997"))</f>
        <v>Y</v>
      </c>
      <c r="AV155" s="22" t="str" cm="1">
        <f t="array" ref="AV155">IF(OR(_xll.BDP($AX155,"DY784")= "#N/A N/A", _xll.BDP($AX155,"DY784")="#N/A FIELD NOT APPLICABLE"), " ", _xll.BDP($AX155,"DY784"))</f>
        <v xml:space="preserve"> </v>
      </c>
      <c r="AW155" s="22" t="str">
        <f>IF(OR(AU155="Y",AV155="Y"),"Y","N")</f>
        <v>Y</v>
      </c>
      <c r="AX155" s="22" t="str">
        <f>CONCATENATE(G155," ",$AX$2)</f>
        <v>MDT US Equity</v>
      </c>
      <c r="BC155" s="17" t="str">
        <f>_xll.BDP(AX155, "ID_ISIN")</f>
        <v>IE00BTN1Y115</v>
      </c>
      <c r="BD155" s="17" t="e">
        <f>VLOOKUP(BC155,'[2]Portefeuille 4379150'!$B$3:$G$42,6,0)</f>
        <v>#N/A</v>
      </c>
      <c r="BE155" s="18">
        <v>4</v>
      </c>
      <c r="BF155" s="19">
        <v>45567</v>
      </c>
      <c r="BG155" s="20">
        <v>1</v>
      </c>
    </row>
    <row r="156" spans="1:59" s="3" customFormat="1" ht="14.45" customHeight="1" x14ac:dyDescent="0.25">
      <c r="A156" s="49" t="s">
        <v>242</v>
      </c>
      <c r="B156" s="49" t="s">
        <v>268</v>
      </c>
      <c r="C156" s="49" t="s">
        <v>269</v>
      </c>
      <c r="D156" s="49" t="s">
        <v>248</v>
      </c>
      <c r="E156" s="22" t="str">
        <f>_xll.BDP(AX156,"SECURITY NAME")</f>
        <v>Meta Platforms Inc</v>
      </c>
      <c r="F156" s="22" t="str">
        <f>_xll.BDP(AX156,"CRNCY")</f>
        <v>USD</v>
      </c>
      <c r="G156" s="23" t="s">
        <v>223</v>
      </c>
      <c r="H156" s="22" t="str" cm="1">
        <f t="array" ref="H156">IF(OR(_xll.BDP($AX156,"DX202")= "#N/A N/A", _xll.BDP($AX156,"DX202")="#N/A FIELD NOT APPLICABLE"), " ", _xll.BDP($AX156,"DX202"))</f>
        <v>Communication Services</v>
      </c>
      <c r="I156" s="24">
        <f>_xll.BDP(AX156,"CRNCY_ADJ_MKT_CAP", "EQY_FUND_CRNCY=USD")/1000</f>
        <v>1485.5588259810374</v>
      </c>
      <c r="J156" s="25">
        <f>IFERROR(_xll.BDP(AX156, "DV013")/100,0)</f>
        <v>3.5526981976527973E-3</v>
      </c>
      <c r="K156" s="26" cm="1">
        <f t="array" ref="K156">IF(OR(_xll.BDP($AX156,"RR900")= "#N/A N/A", _xll.BDP($AX156,"RR900")="#N/A FIELD NOT APPLICABLE"), " ", _xll.BDP($AX156,"RR900"))</f>
        <v>22.987103910850383</v>
      </c>
      <c r="L156" s="26" cm="1">
        <f t="array" ref="L156">IF(OR(_xll.BDP($AX156,"EE010")= "#N/A N/A", _xll.BDP($AX156,"EE010")="#N/A FIELD NOT APPLICABLE"), " ", _xll.BDP($AX156,"EE010"))</f>
        <v>20.102667483243167</v>
      </c>
      <c r="M156" s="26" cm="1">
        <f t="array" ref="M156">IF(OR(_xll.BDP($AX156,"RR903")= "#N/A N/A", _xll.BDP($AX156,"RR903")="#N/A FIELD NOT APPLICABLE"), " ", _xll.BDP($AX156,"RR903"))</f>
        <v>8.0600621437900024</v>
      </c>
      <c r="N156" s="26" cm="1">
        <f t="array" ref="N156">IF(OR(_xll.BDP($AX156,"RR957")= "#N/A N/A", _xll.BDP($AX156,"RR957")="#N/A FIELD NOT APPLICABLE"), " ", _xll.BDP($AX156,"RR957"))</f>
        <v>16.11067813866762</v>
      </c>
      <c r="O156" s="27">
        <v>122</v>
      </c>
      <c r="P156" s="28">
        <v>459.97</v>
      </c>
      <c r="Q156" s="22" cm="1">
        <f t="array" ref="Q156">IF(OR(_xll.BDP($AX156,"PX_last")="#N/A N/A",_xll.BDP($AX156,"PX_Last")="#N/A FIELD NOT APPLICABLE")," ",IF(F156="GBP",(_xll.BDP($AX156,"PX_LAST")/100),(_xll.BDP($AX156,"PX_LAST"))))</f>
        <v>591.1</v>
      </c>
      <c r="R156" s="29">
        <f>IF(F156="USD",AA156,(((_xll.BDP(F156&amp;"USD CURNCY","PX_LAST")))*AA156))</f>
        <v>56116.340000000004</v>
      </c>
      <c r="S156" s="29">
        <f>IF(F156="USD",AB156,(((_xll.BDP(F156&amp;"USD CURNCY","PX_LAST")))*AB156))</f>
        <v>72114.2</v>
      </c>
      <c r="T156" s="12">
        <f>S156-R156</f>
        <v>15997.859999999993</v>
      </c>
      <c r="U156" s="13">
        <f>T156/R156</f>
        <v>0.28508380981368336</v>
      </c>
      <c r="V156" s="13" cm="1">
        <f t="array" ref="V156">IFERROR(_xll.BDP($G156&amp;" Equity","CHG_PCT_1D")/100,"")</f>
        <v>-1.363325E-2</v>
      </c>
      <c r="W156" s="13" cm="1">
        <f t="array" ref="W156">IFERROR(_xll.BDP($G156&amp;" Equity","CHG_PCT_5D")/100,"")</f>
        <v>6.6120769999999995E-2</v>
      </c>
      <c r="X156" s="13" t="e">
        <f>S156/#REF!</f>
        <v>#REF!</v>
      </c>
      <c r="Y156" s="24">
        <f>IFERROR(S156*J156,0)</f>
        <v>256.19998836517334</v>
      </c>
      <c r="Z156" s="24">
        <f>S156</f>
        <v>72114.2</v>
      </c>
      <c r="AA156" s="29">
        <f>P156*O156</f>
        <v>56116.340000000004</v>
      </c>
      <c r="AB156" s="29">
        <f>IFERROR(O156*Q156,0)</f>
        <v>72114.2</v>
      </c>
      <c r="AC156" s="4" t="e" cm="1">
        <f t="array" ref="AC156">VLOOKUP(IF(NOT(_xll.BDP(AX156,$BW$8)="#N/A N/A"),(_xll.BDP(AX156,$BW$8)),"-"), '[1]Country Codes'!$A$2:$B$253,2,0)</f>
        <v>#N/A</v>
      </c>
      <c r="AD156" s="30" t="str" cm="1">
        <f t="array" ref="AD156">IF(OR(_xll.BDP($AX156,"EX028")= "#N/A N/A", _xll.BDP($AX156,"EX028")="#N/A FIELD NOT APPLICABLE"), " ", _xll.BDP($AX156,"EX028"))</f>
        <v>Equity</v>
      </c>
      <c r="AE156" s="31" t="str">
        <f>IF(("AS97"="Equity"), " ", "Single Line Equity")</f>
        <v>Single Line Equity</v>
      </c>
      <c r="AF156" s="26" cm="1">
        <f t="array" ref="AF156">IF(OR(_xll.BDP($AX156,"RR908")= "#N/A N/A", _xll.BDP($AX156,"RR908")="#N/A FIELD NOT APPLICABLE"), " ", _xll.BDP($AX156,"RR908"))</f>
        <v>15.557400160008482</v>
      </c>
      <c r="AG156" s="26" cm="1">
        <f t="array" ref="AG156">IF(OR(_xll.BDP($AX156,"RR041")= "#N/A N/A", _xll.BDP($AX156,"RR041")="#N/A FIELD NOT APPLICABLE"), " ", _xll.BDP($AX156,"RR041"))</f>
        <v>18.028719018742709</v>
      </c>
      <c r="AH156" s="22">
        <f>_xll.BDP(AX156,"TOT_BUY_REC")</f>
        <v>73</v>
      </c>
      <c r="AI156" s="22">
        <f>_xll.BDP(AX156,"TOT_HOLD_REC")</f>
        <v>5</v>
      </c>
      <c r="AJ156" s="22">
        <f>_xll.BDP(AX156,"TOT_SELL_REC")</f>
        <v>3</v>
      </c>
      <c r="AK156" s="26" cm="1">
        <f t="array" ref="AK156">IF(OR(_xll.BDP($AX156,"EE201")= "#N/A N/A", _xll.BDP($AX156,"EE201")="#N/A FIELD NOT APPLICABLE"), " ", _xll.BDP($AX156,"EE201"))</f>
        <v>4.6790122985839844</v>
      </c>
      <c r="AL156" s="24">
        <f>_xll.BDP(AX156,"BEST_TARGET_PRICE")</f>
        <v>700.55828857421875</v>
      </c>
      <c r="AM156" s="32">
        <f>(AL156/Q156)-1</f>
        <v>0.18517727723603228</v>
      </c>
      <c r="AN156" s="32">
        <f>_xll.BDP(AX156,"PR061")/100</f>
        <v>0.1711212</v>
      </c>
      <c r="AO156" s="32">
        <f>_xll.BDP(AX156,"PR064")/100</f>
        <v>-0.16979169999999999</v>
      </c>
      <c r="AP156" s="32">
        <f>_xll.BDP(AX156,"CHG_PCT_6M")/100</f>
        <v>3.3301310000000001E-2</v>
      </c>
      <c r="AQ156" s="25">
        <f>_xll.BDP(AX156,"PR079")/100</f>
        <v>9.5472149999999995E-3</v>
      </c>
      <c r="AR156" s="33">
        <f>_xll.BDP(AX156,"hs001")</f>
        <v>740.91</v>
      </c>
      <c r="AS156" s="33">
        <f>_xll.BDP(AX156,"hs002")</f>
        <v>442.65</v>
      </c>
      <c r="AT156" s="22" t="str" cm="1">
        <f t="array" ref="AT156">IF(OR(_xll.BDP($AX156,"DX202")= "#N/A N/A", _xll.BDP($AX156,"DX202")="#N/A FIELD NOT APPLICABLE"), " ", _xll.BDP($AX156,"DX202"))</f>
        <v>Communication Services</v>
      </c>
      <c r="AU156" s="22" t="str" cm="1">
        <f t="array" ref="AU156">IF(OR(_xll.BDP($AX156,"DY997")= "#N/A N/A", _xll.BDP($AX156,"DY997")="#N/A FIELD NOT APPLICABLE"), " ", _xll.BDP($AX156,"DY997"))</f>
        <v>Y</v>
      </c>
      <c r="AV156" s="22" t="str" cm="1">
        <f t="array" ref="AV156">IF(OR(_xll.BDP($AX156,"DY784")= "#N/A N/A", _xll.BDP($AX156,"DY784")="#N/A FIELD NOT APPLICABLE"), " ", _xll.BDP($AX156,"DY784"))</f>
        <v>Y</v>
      </c>
      <c r="AW156" s="22" t="str">
        <f>IF(OR(AU156="Y",AV156="Y"),"Y","N")</f>
        <v>Y</v>
      </c>
      <c r="AX156" s="22" t="str">
        <f>CONCATENATE(G156," ",$AX$2)</f>
        <v>META US Equity</v>
      </c>
      <c r="BC156" s="17" t="str">
        <f>_xll.BDP(AX156, "ID_ISIN")</f>
        <v>US30303M1027</v>
      </c>
      <c r="BD156" s="17" t="e">
        <f>VLOOKUP(BC156,'[2]Portefeuille 4379150'!$B$3:$G$42,6,0)</f>
        <v>#N/A</v>
      </c>
      <c r="BE156" s="18">
        <v>4</v>
      </c>
      <c r="BF156" s="19"/>
      <c r="BG156" s="20">
        <v>1</v>
      </c>
    </row>
    <row r="157" spans="1:59" s="3" customFormat="1" ht="14.45" customHeight="1" x14ac:dyDescent="0.25">
      <c r="A157" s="49" t="s">
        <v>241</v>
      </c>
      <c r="B157" s="49" t="s">
        <v>238</v>
      </c>
      <c r="C157" s="49" t="s">
        <v>239</v>
      </c>
      <c r="D157" s="49" t="s">
        <v>240</v>
      </c>
      <c r="E157" s="22" t="str">
        <f>_xll.BDP(AX157,"SECURITY NAME")</f>
        <v>Merck &amp; Co Inc</v>
      </c>
      <c r="F157" s="22" t="str">
        <f>_xll.BDP(AX157,"CRNCY")</f>
        <v>USD</v>
      </c>
      <c r="G157" s="23" t="s">
        <v>83</v>
      </c>
      <c r="H157" s="22" t="str" cm="1">
        <f t="array" ref="H157">IF(OR(_xll.BDP($AX157,"DX202")= "#N/A N/A", _xll.BDP($AX157,"DX202")="#N/A FIELD NOT APPLICABLE"), " ", _xll.BDP($AX157,"DX202"))</f>
        <v>Health Care</v>
      </c>
      <c r="I157" s="24">
        <f>_xll.BDP(AX157,"CRNCY_ADJ_MKT_CAP", "EQY_FUND_CRNCY=USD")/1000</f>
        <v>202.61511180457001</v>
      </c>
      <c r="J157" s="25">
        <f>IFERROR(_xll.BDP(AX157, "DV013")/100,0)</f>
        <v>4.0158651580772718E-2</v>
      </c>
      <c r="K157" s="26" cm="1">
        <f t="array" ref="K157">IF(OR(_xll.BDP($AX157,"RR900")= "#N/A N/A", _xll.BDP($AX157,"RR900")="#N/A FIELD NOT APPLICABLE"), " ", _xll.BDP($AX157,"RR900"))</f>
        <v>11.164887495239672</v>
      </c>
      <c r="L157" s="26" cm="1">
        <f t="array" ref="L157">IF(OR(_xll.BDP($AX157,"EE010")= "#N/A N/A", _xll.BDP($AX157,"EE010")="#N/A FIELD NOT APPLICABLE"), " ", _xll.BDP($AX157,"EE010"))</f>
        <v>8.2646998565867662</v>
      </c>
      <c r="M157" s="26" cm="1">
        <f t="array" ref="M157">IF(OR(_xll.BDP($AX157,"RR903")= "#N/A N/A", _xll.BDP($AX157,"RR903")="#N/A FIELD NOT APPLICABLE"), " ", _xll.BDP($AX157,"RR903"))</f>
        <v>4.1998027622817249</v>
      </c>
      <c r="N157" s="26" cm="1">
        <f t="array" ref="N157">IF(OR(_xll.BDP($AX157,"RR957")= "#N/A N/A", _xll.BDP($AX157,"RR957")="#N/A FIELD NOT APPLICABLE"), " ", _xll.BDP($AX157,"RR957"))</f>
        <v>9.2215804109251049</v>
      </c>
      <c r="O157" s="27">
        <v>504</v>
      </c>
      <c r="P157" s="28">
        <v>100.32980000000001</v>
      </c>
      <c r="Q157" s="22" cm="1">
        <f t="array" ref="Q157">IF(OR(_xll.BDP($AX157,"PX_last")="#N/A N/A",_xll.BDP($AX157,"PX_Last")="#N/A FIELD NOT APPLICABLE")," ",IF(F157="GBP",(_xll.BDP($AX157,"PX_LAST")/100),(_xll.BDP($AX157,"PX_LAST"))))</f>
        <v>80.680000000000007</v>
      </c>
      <c r="R157" s="29">
        <f>IF(F157="USD",AA157,(((_xll.BDP(F157&amp;"USD CURNCY","PX_LAST")))*AA157))</f>
        <v>50566.2192</v>
      </c>
      <c r="S157" s="29">
        <f>IF(F157="USD",AB157,(((_xll.BDP(F157&amp;"USD CURNCY","PX_LAST")))*AB157))</f>
        <v>40662.720000000001</v>
      </c>
      <c r="T157" s="12">
        <f>S157-R157</f>
        <v>-9903.4991999999984</v>
      </c>
      <c r="U157" s="13">
        <f>T157/R157</f>
        <v>-0.19585207984068539</v>
      </c>
      <c r="V157" s="13" cm="1">
        <f t="array" ref="V157">IFERROR(_xll.BDP($G157&amp;" Equity","CHG_PCT_1D")/100,"")</f>
        <v>-2.6074359999999998E-2</v>
      </c>
      <c r="W157" s="13" cm="1">
        <f t="array" ref="W157">IFERROR(_xll.BDP($G157&amp;" Equity","CHG_PCT_5D")/100,"")</f>
        <v>-4.7574079999999998E-2</v>
      </c>
      <c r="X157" s="13" t="e">
        <f>S157/#REF!</f>
        <v>#REF!</v>
      </c>
      <c r="Y157" s="24">
        <f>IFERROR(S157*J157,0)</f>
        <v>1632.9600048065186</v>
      </c>
      <c r="Z157" s="24">
        <f>S157</f>
        <v>40662.720000000001</v>
      </c>
      <c r="AA157" s="29">
        <f>P157*O157</f>
        <v>50566.2192</v>
      </c>
      <c r="AB157" s="29">
        <f>IFERROR(O157*Q157,0)</f>
        <v>40662.720000000001</v>
      </c>
      <c r="AC157" s="4" t="e" cm="1">
        <f t="array" ref="AC157">VLOOKUP(IF(NOT(_xll.BDP(AX157,$BW$8)="#N/A N/A"),(_xll.BDP(AX157,$BW$8)),"-"), '[1]Country Codes'!$A$2:$B$253,2,0)</f>
        <v>#N/A</v>
      </c>
      <c r="AD157" s="30" t="str" cm="1">
        <f t="array" ref="AD157">IF(OR(_xll.BDP($AX157,"EX028")= "#N/A N/A", _xll.BDP($AX157,"EX028")="#N/A FIELD NOT APPLICABLE"), " ", _xll.BDP($AX157,"EX028"))</f>
        <v>Equity</v>
      </c>
      <c r="AE157" s="31" t="str">
        <f>IF(("AS97"="Equity"), " ", "Single Line Equity")</f>
        <v>Single Line Equity</v>
      </c>
      <c r="AF157" s="26" cm="1">
        <f t="array" ref="AF157">IF(OR(_xll.BDP($AX157,"RR908")= "#N/A N/A", _xll.BDP($AX157,"RR908")="#N/A FIELD NOT APPLICABLE"), " ", _xll.BDP($AX157,"RR908"))</f>
        <v>9.7877229397665761</v>
      </c>
      <c r="AG157" s="26" cm="1">
        <f t="array" ref="AG157">IF(OR(_xll.BDP($AX157,"RR041")= "#N/A N/A", _xll.BDP($AX157,"RR041")="#N/A FIELD NOT APPLICABLE"), " ", _xll.BDP($AX157,"RR041"))</f>
        <v>32.679794374327528</v>
      </c>
      <c r="AH157" s="22">
        <f>_xll.BDP(AX157,"TOT_BUY_REC")</f>
        <v>24</v>
      </c>
      <c r="AI157" s="22">
        <f>_xll.BDP(AX157,"TOT_HOLD_REC")</f>
        <v>9</v>
      </c>
      <c r="AJ157" s="22">
        <f>_xll.BDP(AX157,"TOT_SELL_REC")</f>
        <v>0</v>
      </c>
      <c r="AK157" s="26" cm="1">
        <f t="array" ref="AK157">IF(OR(_xll.BDP($AX157,"EE201")= "#N/A N/A", _xll.BDP($AX157,"EE201")="#N/A FIELD NOT APPLICABLE"), " ", _xll.BDP($AX157,"EE201"))</f>
        <v>4.4242424964904785</v>
      </c>
      <c r="AL157" s="24">
        <f>_xll.BDP(AX157,"BEST_TARGET_PRICE")</f>
        <v>105.53845977783203</v>
      </c>
      <c r="AM157" s="32">
        <f>(AL157/Q157)-1</f>
        <v>0.30811179694883517</v>
      </c>
      <c r="AN157" s="32">
        <f>_xll.BDP(AX157,"PR061")/100</f>
        <v>-9.6968360000000003E-3</v>
      </c>
      <c r="AO157" s="32">
        <f>_xll.BDP(AX157,"PR064")/100</f>
        <v>-8.3702470000000015E-2</v>
      </c>
      <c r="AP157" s="32">
        <f>_xll.BDP(AX157,"CHG_PCT_6M")/100</f>
        <v>-0.19904699999999997</v>
      </c>
      <c r="AQ157" s="25">
        <f>_xll.BDP(AX157,"PR079")/100</f>
        <v>-0.1889827</v>
      </c>
      <c r="AR157" s="33">
        <f>_xll.BDP(AX157,"hs001")</f>
        <v>134.63</v>
      </c>
      <c r="AS157" s="33">
        <f>_xll.BDP(AX157,"hs002")</f>
        <v>75.930000000000007</v>
      </c>
      <c r="AT157" s="22" t="str" cm="1">
        <f t="array" ref="AT157">IF(OR(_xll.BDP($AX157,"DX202")= "#N/A N/A", _xll.BDP($AX157,"DX202")="#N/A FIELD NOT APPLICABLE"), " ", _xll.BDP($AX157,"DX202"))</f>
        <v>Health Care</v>
      </c>
      <c r="AU157" s="22" t="str" cm="1">
        <f t="array" ref="AU157">IF(OR(_xll.BDP($AX157,"DY997")= "#N/A N/A", _xll.BDP($AX157,"DY997")="#N/A FIELD NOT APPLICABLE"), " ", _xll.BDP($AX157,"DY997"))</f>
        <v>Y</v>
      </c>
      <c r="AV157" s="22" t="str" cm="1">
        <f t="array" ref="AV157">IF(OR(_xll.BDP($AX157,"DY784")= "#N/A N/A", _xll.BDP($AX157,"DY784")="#N/A FIELD NOT APPLICABLE"), " ", _xll.BDP($AX157,"DY784"))</f>
        <v>Y</v>
      </c>
      <c r="AW157" s="22" t="str">
        <f>IF(OR(AU157="Y",AV157="Y"),"Y","N")</f>
        <v>Y</v>
      </c>
      <c r="AX157" s="22" t="str">
        <f>CONCATENATE(G157," ",$AX$2)</f>
        <v>MRK US Equity</v>
      </c>
      <c r="BC157" s="17" t="str">
        <f>_xll.BDP(AX157, "ID_ISIN")</f>
        <v>US58933Y1055</v>
      </c>
      <c r="BD157" s="17">
        <f>VLOOKUP(BC157,'[2]Portefeuille 4379150'!$B$3:$G$42,6,0)</f>
        <v>0.79449999999999998</v>
      </c>
      <c r="BE157" s="18">
        <v>4</v>
      </c>
      <c r="BF157" s="19"/>
      <c r="BG157" s="20">
        <v>1</v>
      </c>
    </row>
    <row r="158" spans="1:59" s="3" customFormat="1" ht="14.45" customHeight="1" x14ac:dyDescent="0.25">
      <c r="A158" s="49" t="s">
        <v>242</v>
      </c>
      <c r="B158" s="49" t="s">
        <v>243</v>
      </c>
      <c r="C158" s="49" t="s">
        <v>244</v>
      </c>
      <c r="D158" s="49" t="s">
        <v>245</v>
      </c>
      <c r="E158" s="22" t="str">
        <f>_xll.BDP(AX158,"SECURITY NAME")</f>
        <v>Merck &amp; Co Inc</v>
      </c>
      <c r="F158" s="22" t="str">
        <f>_xll.BDP(AX158,"CRNCY")</f>
        <v>USD</v>
      </c>
      <c r="G158" s="23" t="s">
        <v>83</v>
      </c>
      <c r="H158" s="22" t="str" cm="1">
        <f t="array" ref="H158">IF(OR(_xll.BDP($AX158,"DX202")= "#N/A N/A", _xll.BDP($AX158,"DX202")="#N/A FIELD NOT APPLICABLE"), " ", _xll.BDP($AX158,"DX202"))</f>
        <v>Health Care</v>
      </c>
      <c r="I158" s="24">
        <f>_xll.BDP(AX158,"CRNCY_ADJ_MKT_CAP", "EQY_FUND_CRNCY=USD")/1000</f>
        <v>202.61511180457001</v>
      </c>
      <c r="J158" s="25">
        <f>IFERROR(_xll.BDP(AX158, "DV013")/100,0)</f>
        <v>4.0158651580772718E-2</v>
      </c>
      <c r="K158" s="26" cm="1">
        <f t="array" ref="K158">IF(OR(_xll.BDP($AX158,"RR900")= "#N/A N/A", _xll.BDP($AX158,"RR900")="#N/A FIELD NOT APPLICABLE"), " ", _xll.BDP($AX158,"RR900"))</f>
        <v>11.164887495239672</v>
      </c>
      <c r="L158" s="26" cm="1">
        <f t="array" ref="L158">IF(OR(_xll.BDP($AX158,"EE010")= "#N/A N/A", _xll.BDP($AX158,"EE010")="#N/A FIELD NOT APPLICABLE"), " ", _xll.BDP($AX158,"EE010"))</f>
        <v>8.2646998565867662</v>
      </c>
      <c r="M158" s="26" cm="1">
        <f t="array" ref="M158">IF(OR(_xll.BDP($AX158,"RR903")= "#N/A N/A", _xll.BDP($AX158,"RR903")="#N/A FIELD NOT APPLICABLE"), " ", _xll.BDP($AX158,"RR903"))</f>
        <v>4.1998027622817249</v>
      </c>
      <c r="N158" s="26" cm="1">
        <f t="array" ref="N158">IF(OR(_xll.BDP($AX158,"RR957")= "#N/A N/A", _xll.BDP($AX158,"RR957")="#N/A FIELD NOT APPLICABLE"), " ", _xll.BDP($AX158,"RR957"))</f>
        <v>9.2215804109251049</v>
      </c>
      <c r="O158" s="27">
        <v>755</v>
      </c>
      <c r="P158" s="28">
        <v>100.63</v>
      </c>
      <c r="Q158" s="22" cm="1">
        <f t="array" ref="Q158">IF(OR(_xll.BDP($AX158,"PX_last")="#N/A N/A",_xll.BDP($AX158,"PX_Last")="#N/A FIELD NOT APPLICABLE")," ",IF(F158="GBP",(_xll.BDP($AX158,"PX_LAST")/100),(_xll.BDP($AX158,"PX_LAST"))))</f>
        <v>80.680000000000007</v>
      </c>
      <c r="R158" s="29">
        <f>IF(F158="USD",AA158,(((_xll.BDP(F158&amp;"USD CURNCY","PX_LAST")))*AA158))</f>
        <v>75975.649999999994</v>
      </c>
      <c r="S158" s="29">
        <f>IF(F158="USD",AB158,(((_xll.BDP(F158&amp;"USD CURNCY","PX_LAST")))*AB158))</f>
        <v>60913.400000000009</v>
      </c>
      <c r="T158" s="12">
        <f>S158-R158</f>
        <v>-15062.249999999985</v>
      </c>
      <c r="U158" s="13">
        <f>T158/R158</f>
        <v>-0.19825101858292737</v>
      </c>
      <c r="V158" s="13" cm="1">
        <f t="array" ref="V158">IFERROR(_xll.BDP($G158&amp;" Equity","CHG_PCT_1D")/100,"")</f>
        <v>-2.6074359999999998E-2</v>
      </c>
      <c r="W158" s="13" cm="1">
        <f t="array" ref="W158">IFERROR(_xll.BDP($G158&amp;" Equity","CHG_PCT_5D")/100,"")</f>
        <v>-4.7574079999999998E-2</v>
      </c>
      <c r="X158" s="13" t="e">
        <f>S158/#REF!</f>
        <v>#REF!</v>
      </c>
      <c r="Y158" s="24">
        <f>IFERROR(S158*J158,0)</f>
        <v>2446.2000072002411</v>
      </c>
      <c r="Z158" s="24">
        <f>S158</f>
        <v>60913.400000000009</v>
      </c>
      <c r="AA158" s="29">
        <f>P158*O158</f>
        <v>75975.649999999994</v>
      </c>
      <c r="AB158" s="29">
        <f>IFERROR(O158*Q158,0)</f>
        <v>60913.400000000009</v>
      </c>
      <c r="AC158" s="4" t="e" cm="1">
        <f t="array" ref="AC158">VLOOKUP(IF(NOT(_xll.BDP(AX158,$BW$8)="#N/A N/A"),(_xll.BDP(AX158,$BW$8)),"-"), '[1]Country Codes'!$A$2:$B$253,2,0)</f>
        <v>#N/A</v>
      </c>
      <c r="AD158" s="30" t="str" cm="1">
        <f t="array" ref="AD158">IF(OR(_xll.BDP($AX158,"EX028")= "#N/A N/A", _xll.BDP($AX158,"EX028")="#N/A FIELD NOT APPLICABLE"), " ", _xll.BDP($AX158,"EX028"))</f>
        <v>Equity</v>
      </c>
      <c r="AE158" s="31" t="str">
        <f>IF(("AS97"="Equity"), " ", "Single Line Equity")</f>
        <v>Single Line Equity</v>
      </c>
      <c r="AF158" s="26" cm="1">
        <f t="array" ref="AF158">IF(OR(_xll.BDP($AX158,"RR908")= "#N/A N/A", _xll.BDP($AX158,"RR908")="#N/A FIELD NOT APPLICABLE"), " ", _xll.BDP($AX158,"RR908"))</f>
        <v>9.7877229397665761</v>
      </c>
      <c r="AG158" s="26" cm="1">
        <f t="array" ref="AG158">IF(OR(_xll.BDP($AX158,"RR041")= "#N/A N/A", _xll.BDP($AX158,"RR041")="#N/A FIELD NOT APPLICABLE"), " ", _xll.BDP($AX158,"RR041"))</f>
        <v>32.679794374327528</v>
      </c>
      <c r="AH158" s="22">
        <f>_xll.BDP(AX158,"TOT_BUY_REC")</f>
        <v>24</v>
      </c>
      <c r="AI158" s="22">
        <f>_xll.BDP(AX158,"TOT_HOLD_REC")</f>
        <v>9</v>
      </c>
      <c r="AJ158" s="22">
        <f>_xll.BDP(AX158,"TOT_SELL_REC")</f>
        <v>0</v>
      </c>
      <c r="AK158" s="26" cm="1">
        <f t="array" ref="AK158">IF(OR(_xll.BDP($AX158,"EE201")= "#N/A N/A", _xll.BDP($AX158,"EE201")="#N/A FIELD NOT APPLICABLE"), " ", _xll.BDP($AX158,"EE201"))</f>
        <v>4.4242424964904785</v>
      </c>
      <c r="AL158" s="24">
        <f>_xll.BDP(AX158,"BEST_TARGET_PRICE")</f>
        <v>105.53845977783203</v>
      </c>
      <c r="AM158" s="32">
        <f>(AL158/Q158)-1</f>
        <v>0.30811179694883517</v>
      </c>
      <c r="AN158" s="32">
        <f>_xll.BDP(AX158,"PR061")/100</f>
        <v>-9.6968360000000003E-3</v>
      </c>
      <c r="AO158" s="32">
        <f>_xll.BDP(AX158,"PR064")/100</f>
        <v>-8.3702470000000015E-2</v>
      </c>
      <c r="AP158" s="32">
        <f>_xll.BDP(AX158,"CHG_PCT_6M")/100</f>
        <v>-0.19904699999999997</v>
      </c>
      <c r="AQ158" s="25">
        <f>_xll.BDP(AX158,"PR079")/100</f>
        <v>-0.1889827</v>
      </c>
      <c r="AR158" s="33">
        <f>_xll.BDP(AX158,"hs001")</f>
        <v>134.63</v>
      </c>
      <c r="AS158" s="33">
        <f>_xll.BDP(AX158,"hs002")</f>
        <v>75.930000000000007</v>
      </c>
      <c r="AT158" s="22" t="str" cm="1">
        <f t="array" ref="AT158">IF(OR(_xll.BDP($AX158,"DX202")= "#N/A N/A", _xll.BDP($AX158,"DX202")="#N/A FIELD NOT APPLICABLE"), " ", _xll.BDP($AX158,"DX202"))</f>
        <v>Health Care</v>
      </c>
      <c r="AU158" s="22" t="str" cm="1">
        <f t="array" ref="AU158">IF(OR(_xll.BDP($AX158,"DY997")= "#N/A N/A", _xll.BDP($AX158,"DY997")="#N/A FIELD NOT APPLICABLE"), " ", _xll.BDP($AX158,"DY997"))</f>
        <v>Y</v>
      </c>
      <c r="AV158" s="22" t="str" cm="1">
        <f t="array" ref="AV158">IF(OR(_xll.BDP($AX158,"DY784")= "#N/A N/A", _xll.BDP($AX158,"DY784")="#N/A FIELD NOT APPLICABLE"), " ", _xll.BDP($AX158,"DY784"))</f>
        <v>Y</v>
      </c>
      <c r="AW158" s="22" t="str">
        <f>IF(OR(AU158="Y",AV158="Y"),"Y","N")</f>
        <v>Y</v>
      </c>
      <c r="AX158" s="22" t="str">
        <f>CONCATENATE(G158," ",$AX$2)</f>
        <v>MRK US Equity</v>
      </c>
      <c r="BC158" s="17" t="str">
        <f>_xll.BDP(AX158, "ID_ISIN")</f>
        <v>US58933Y1055</v>
      </c>
      <c r="BD158" s="17">
        <f>VLOOKUP(BC158,'[2]Portefeuille 4379150'!$B$3:$G$42,6,0)</f>
        <v>0.79449999999999998</v>
      </c>
      <c r="BE158" s="18">
        <v>4</v>
      </c>
      <c r="BF158" s="19"/>
      <c r="BG158" s="20">
        <v>1</v>
      </c>
    </row>
    <row r="159" spans="1:59" s="3" customFormat="1" ht="14.45" customHeight="1" x14ac:dyDescent="0.25">
      <c r="A159" s="49" t="s">
        <v>241</v>
      </c>
      <c r="B159" s="49" t="s">
        <v>249</v>
      </c>
      <c r="C159" s="49" t="s">
        <v>250</v>
      </c>
      <c r="D159" s="49" t="s">
        <v>240</v>
      </c>
      <c r="E159" s="22" t="str">
        <f>_xll.BDP(AX159,"SECURITY NAME")</f>
        <v>Merck &amp; Co Inc</v>
      </c>
      <c r="F159" s="22" t="str">
        <f>_xll.BDP(AX159,"CRNCY")</f>
        <v>USD</v>
      </c>
      <c r="G159" s="23" t="s">
        <v>83</v>
      </c>
      <c r="H159" s="22" t="str" cm="1">
        <f t="array" ref="H159">IF(OR(_xll.BDP($AX159,"DX202")= "#N/A N/A", _xll.BDP($AX159,"DX202")="#N/A FIELD NOT APPLICABLE"), " ", _xll.BDP($AX159,"DX202"))</f>
        <v>Health Care</v>
      </c>
      <c r="I159" s="24">
        <f>_xll.BDP(AX159,"CRNCY_ADJ_MKT_CAP", "EQY_FUND_CRNCY=USD")/1000</f>
        <v>202.61511180457001</v>
      </c>
      <c r="J159" s="25">
        <f>IFERROR(_xll.BDP(AX159, "DV013")/100,0)</f>
        <v>4.0158651580772718E-2</v>
      </c>
      <c r="K159" s="26" cm="1">
        <f t="array" ref="K159">IF(OR(_xll.BDP($AX159,"RR900")= "#N/A N/A", _xll.BDP($AX159,"RR900")="#N/A FIELD NOT APPLICABLE"), " ", _xll.BDP($AX159,"RR900"))</f>
        <v>11.164887495239672</v>
      </c>
      <c r="L159" s="26" cm="1">
        <f t="array" ref="L159">IF(OR(_xll.BDP($AX159,"EE010")= "#N/A N/A", _xll.BDP($AX159,"EE010")="#N/A FIELD NOT APPLICABLE"), " ", _xll.BDP($AX159,"EE010"))</f>
        <v>8.2646998565867662</v>
      </c>
      <c r="M159" s="26" cm="1">
        <f t="array" ref="M159">IF(OR(_xll.BDP($AX159,"RR903")= "#N/A N/A", _xll.BDP($AX159,"RR903")="#N/A FIELD NOT APPLICABLE"), " ", _xll.BDP($AX159,"RR903"))</f>
        <v>4.1998027622817249</v>
      </c>
      <c r="N159" s="26" cm="1">
        <f t="array" ref="N159">IF(OR(_xll.BDP($AX159,"RR957")= "#N/A N/A", _xll.BDP($AX159,"RR957")="#N/A FIELD NOT APPLICABLE"), " ", _xll.BDP($AX159,"RR957"))</f>
        <v>9.2215804109251049</v>
      </c>
      <c r="O159" s="27">
        <v>604</v>
      </c>
      <c r="P159" s="28">
        <v>100.43711999999999</v>
      </c>
      <c r="Q159" s="22" cm="1">
        <f t="array" ref="Q159">IF(OR(_xll.BDP($AX159,"PX_last")="#N/A N/A",_xll.BDP($AX159,"PX_Last")="#N/A FIELD NOT APPLICABLE")," ",IF(F159="GBP",(_xll.BDP($AX159,"PX_LAST")/100),(_xll.BDP($AX159,"PX_LAST"))))</f>
        <v>80.680000000000007</v>
      </c>
      <c r="R159" s="29">
        <f>IF(F159="USD",AA159,(((_xll.BDP(F159&amp;"USD CURNCY","PX_LAST")))*AA159))</f>
        <v>60664.020479999999</v>
      </c>
      <c r="S159" s="29">
        <f>IF(F159="USD",AB159,(((_xll.BDP(F159&amp;"USD CURNCY","PX_LAST")))*AB159))</f>
        <v>48730.720000000001</v>
      </c>
      <c r="T159" s="12">
        <f>S159-R159</f>
        <v>-11933.300479999998</v>
      </c>
      <c r="U159" s="13">
        <f>T159/R159</f>
        <v>-0.19671133541065292</v>
      </c>
      <c r="V159" s="13" cm="1">
        <f t="array" ref="V159">IFERROR(_xll.BDP($G159&amp;" Equity","CHG_PCT_1D")/100,"")</f>
        <v>-2.6074359999999998E-2</v>
      </c>
      <c r="W159" s="13" cm="1">
        <f t="array" ref="W159">IFERROR(_xll.BDP($G159&amp;" Equity","CHG_PCT_5D")/100,"")</f>
        <v>-4.7574079999999998E-2</v>
      </c>
      <c r="X159" s="13" t="e">
        <f>S159/#REF!</f>
        <v>#REF!</v>
      </c>
      <c r="Y159" s="24">
        <f>IFERROR(S159*J159,0)</f>
        <v>1956.9600057601929</v>
      </c>
      <c r="Z159" s="24">
        <f>S159</f>
        <v>48730.720000000001</v>
      </c>
      <c r="AA159" s="29">
        <f>P159*O159</f>
        <v>60664.020479999999</v>
      </c>
      <c r="AB159" s="29">
        <f>IFERROR(O159*Q159,0)</f>
        <v>48730.720000000001</v>
      </c>
      <c r="AC159" s="4" t="e" cm="1">
        <f t="array" ref="AC159">VLOOKUP(IF(NOT(_xll.BDP(AX159,$BW$8)="#N/A N/A"),(_xll.BDP(AX159,$BW$8)),"-"), '[1]Country Codes'!$A$2:$B$253,2,0)</f>
        <v>#N/A</v>
      </c>
      <c r="AD159" s="30" t="str" cm="1">
        <f t="array" ref="AD159">IF(OR(_xll.BDP($AX159,"EX028")= "#N/A N/A", _xll.BDP($AX159,"EX028")="#N/A FIELD NOT APPLICABLE"), " ", _xll.BDP($AX159,"EX028"))</f>
        <v>Equity</v>
      </c>
      <c r="AE159" s="31" t="str">
        <f>IF(("AS97"="Equity"), " ", "Single Line Equity")</f>
        <v>Single Line Equity</v>
      </c>
      <c r="AF159" s="26" cm="1">
        <f t="array" ref="AF159">IF(OR(_xll.BDP($AX159,"RR908")= "#N/A N/A", _xll.BDP($AX159,"RR908")="#N/A FIELD NOT APPLICABLE"), " ", _xll.BDP($AX159,"RR908"))</f>
        <v>9.7877229397665761</v>
      </c>
      <c r="AG159" s="26" cm="1">
        <f t="array" ref="AG159">IF(OR(_xll.BDP($AX159,"RR041")= "#N/A N/A", _xll.BDP($AX159,"RR041")="#N/A FIELD NOT APPLICABLE"), " ", _xll.BDP($AX159,"RR041"))</f>
        <v>32.679794374327528</v>
      </c>
      <c r="AH159" s="22">
        <f>_xll.BDP(AX159,"TOT_BUY_REC")</f>
        <v>24</v>
      </c>
      <c r="AI159" s="22">
        <f>_xll.BDP(AX159,"TOT_HOLD_REC")</f>
        <v>9</v>
      </c>
      <c r="AJ159" s="22">
        <f>_xll.BDP(AX159,"TOT_SELL_REC")</f>
        <v>0</v>
      </c>
      <c r="AK159" s="26" cm="1">
        <f t="array" ref="AK159">IF(OR(_xll.BDP($AX159,"EE201")= "#N/A N/A", _xll.BDP($AX159,"EE201")="#N/A FIELD NOT APPLICABLE"), " ", _xll.BDP($AX159,"EE201"))</f>
        <v>4.4242424964904785</v>
      </c>
      <c r="AL159" s="24">
        <f>_xll.BDP(AX159,"BEST_TARGET_PRICE")</f>
        <v>105.53845977783203</v>
      </c>
      <c r="AM159" s="32">
        <f>(AL159/Q159)-1</f>
        <v>0.30811179694883517</v>
      </c>
      <c r="AN159" s="32">
        <f>_xll.BDP(AX159,"PR061")/100</f>
        <v>-9.6968360000000003E-3</v>
      </c>
      <c r="AO159" s="32">
        <f>_xll.BDP(AX159,"PR064")/100</f>
        <v>-8.3702470000000015E-2</v>
      </c>
      <c r="AP159" s="32">
        <f>_xll.BDP(AX159,"CHG_PCT_6M")/100</f>
        <v>-0.19904699999999997</v>
      </c>
      <c r="AQ159" s="25">
        <f>_xll.BDP(AX159,"PR079")/100</f>
        <v>-0.1889827</v>
      </c>
      <c r="AR159" s="33">
        <f>_xll.BDP(AX159,"hs001")</f>
        <v>134.63</v>
      </c>
      <c r="AS159" s="33">
        <f>_xll.BDP(AX159,"hs002")</f>
        <v>75.930000000000007</v>
      </c>
      <c r="AT159" s="22" t="str" cm="1">
        <f t="array" ref="AT159">IF(OR(_xll.BDP($AX159,"DX202")= "#N/A N/A", _xll.BDP($AX159,"DX202")="#N/A FIELD NOT APPLICABLE"), " ", _xll.BDP($AX159,"DX202"))</f>
        <v>Health Care</v>
      </c>
      <c r="AU159" s="22" t="str" cm="1">
        <f t="array" ref="AU159">IF(OR(_xll.BDP($AX159,"DY997")= "#N/A N/A", _xll.BDP($AX159,"DY997")="#N/A FIELD NOT APPLICABLE"), " ", _xll.BDP($AX159,"DY997"))</f>
        <v>Y</v>
      </c>
      <c r="AV159" s="22" t="str" cm="1">
        <f t="array" ref="AV159">IF(OR(_xll.BDP($AX159,"DY784")= "#N/A N/A", _xll.BDP($AX159,"DY784")="#N/A FIELD NOT APPLICABLE"), " ", _xll.BDP($AX159,"DY784"))</f>
        <v>Y</v>
      </c>
      <c r="AW159" s="22" t="str">
        <f>IF(OR(AU159="Y",AV159="Y"),"Y","N")</f>
        <v>Y</v>
      </c>
      <c r="AX159" s="22" t="str">
        <f>CONCATENATE(G159," ",$AX$2)</f>
        <v>MRK US Equity</v>
      </c>
      <c r="BC159" s="17" t="str">
        <f>_xll.BDP(AX159, "ID_ISIN")</f>
        <v>US58933Y1055</v>
      </c>
      <c r="BD159" s="17">
        <f>VLOOKUP(BC159,'[2]Portefeuille 4379150'!$B$3:$G$42,6,0)</f>
        <v>0.79449999999999998</v>
      </c>
      <c r="BE159" s="18">
        <v>4</v>
      </c>
      <c r="BF159" s="19"/>
      <c r="BG159" s="20">
        <v>1</v>
      </c>
    </row>
    <row r="160" spans="1:59" s="93" customFormat="1" ht="14.45" customHeight="1" x14ac:dyDescent="0.25">
      <c r="A160" s="49" t="s">
        <v>241</v>
      </c>
      <c r="B160" s="49" t="s">
        <v>251</v>
      </c>
      <c r="C160" s="49" t="s">
        <v>252</v>
      </c>
      <c r="D160" s="49" t="s">
        <v>240</v>
      </c>
      <c r="E160" s="22" t="str">
        <f>_xll.BDP(AX160,"SECURITY NAME")</f>
        <v>Merck &amp; Co Inc</v>
      </c>
      <c r="F160" s="22" t="str">
        <f>_xll.BDP(AX160,"CRNCY")</f>
        <v>USD</v>
      </c>
      <c r="G160" s="23" t="s">
        <v>83</v>
      </c>
      <c r="H160" s="22" t="str" cm="1">
        <f t="array" ref="H160">IF(OR(_xll.BDP($AX160,"DX202")= "#N/A N/A", _xll.BDP($AX160,"DX202")="#N/A FIELD NOT APPLICABLE"), " ", _xll.BDP($AX160,"DX202"))</f>
        <v>Health Care</v>
      </c>
      <c r="I160" s="24">
        <f>_xll.BDP(AX160,"CRNCY_ADJ_MKT_CAP", "EQY_FUND_CRNCY=USD")/1000</f>
        <v>202.61511180457001</v>
      </c>
      <c r="J160" s="25">
        <f>IFERROR(_xll.BDP(AX160, "DV013")/100,0)</f>
        <v>4.0158651580772718E-2</v>
      </c>
      <c r="K160" s="26" cm="1">
        <f t="array" ref="K160">IF(OR(_xll.BDP($AX160,"RR900")= "#N/A N/A", _xll.BDP($AX160,"RR900")="#N/A FIELD NOT APPLICABLE"), " ", _xll.BDP($AX160,"RR900"))</f>
        <v>11.164887495239672</v>
      </c>
      <c r="L160" s="26" cm="1">
        <f t="array" ref="L160">IF(OR(_xll.BDP($AX160,"EE010")= "#N/A N/A", _xll.BDP($AX160,"EE010")="#N/A FIELD NOT APPLICABLE"), " ", _xll.BDP($AX160,"EE010"))</f>
        <v>8.2646998565867662</v>
      </c>
      <c r="M160" s="26" cm="1">
        <f t="array" ref="M160">IF(OR(_xll.BDP($AX160,"RR903")= "#N/A N/A", _xll.BDP($AX160,"RR903")="#N/A FIELD NOT APPLICABLE"), " ", _xll.BDP($AX160,"RR903"))</f>
        <v>4.1998027622817249</v>
      </c>
      <c r="N160" s="26" cm="1">
        <f t="array" ref="N160">IF(OR(_xll.BDP($AX160,"RR957")= "#N/A N/A", _xll.BDP($AX160,"RR957")="#N/A FIELD NOT APPLICABLE"), " ", _xll.BDP($AX160,"RR957"))</f>
        <v>9.2215804109251049</v>
      </c>
      <c r="O160" s="27">
        <v>492</v>
      </c>
      <c r="P160" s="28">
        <v>101.74</v>
      </c>
      <c r="Q160" s="22" cm="1">
        <f t="array" ref="Q160">IF(OR(_xll.BDP($AX160,"PX_last")="#N/A N/A",_xll.BDP($AX160,"PX_Last")="#N/A FIELD NOT APPLICABLE")," ",IF(F160="GBP",(_xll.BDP($AX160,"PX_LAST")/100),(_xll.BDP($AX160,"PX_LAST"))))</f>
        <v>80.680000000000007</v>
      </c>
      <c r="R160" s="29">
        <f>IF(F160="USD",AA160,(((_xll.BDP(F160&amp;"USD CURNCY","PX_LAST")))*AA160))</f>
        <v>50056.079999999994</v>
      </c>
      <c r="S160" s="29">
        <f>IF(F160="USD",AB160,(((_xll.BDP(F160&amp;"USD CURNCY","PX_LAST")))*AB160))</f>
        <v>39694.560000000005</v>
      </c>
      <c r="T160" s="12">
        <f>S160-R160</f>
        <v>-10361.51999999999</v>
      </c>
      <c r="U160" s="13">
        <f>T160/R160</f>
        <v>-0.20699823078435209</v>
      </c>
      <c r="V160" s="13" cm="1">
        <f t="array" ref="V160">IFERROR(_xll.BDP($G160&amp;" Equity","CHG_PCT_1D")/100,"")</f>
        <v>-2.6074359999999998E-2</v>
      </c>
      <c r="W160" s="13" cm="1">
        <f t="array" ref="W160">IFERROR(_xll.BDP($G160&amp;" Equity","CHG_PCT_5D")/100,"")</f>
        <v>-4.7574079999999998E-2</v>
      </c>
      <c r="X160" s="13" t="e">
        <f>S160/#REF!</f>
        <v>#REF!</v>
      </c>
      <c r="Y160" s="24">
        <f>IFERROR(S160*J160,0)</f>
        <v>1594.0800046920776</v>
      </c>
      <c r="Z160" s="24">
        <f>S160</f>
        <v>39694.560000000005</v>
      </c>
      <c r="AA160" s="29">
        <f>P160*O160</f>
        <v>50056.079999999994</v>
      </c>
      <c r="AB160" s="29">
        <f>IFERROR(O160*Q160,0)</f>
        <v>39694.560000000005</v>
      </c>
      <c r="AC160" s="4" t="e" cm="1">
        <f t="array" ref="AC160">VLOOKUP(IF(NOT(_xll.BDP(AX160,$BW$8)="#N/A N/A"),(_xll.BDP(AX160,$BW$8)),"-"), '[1]Country Codes'!$A$2:$B$253,2,0)</f>
        <v>#N/A</v>
      </c>
      <c r="AD160" s="30" t="str" cm="1">
        <f t="array" ref="AD160">IF(OR(_xll.BDP($AX160,"EX028")= "#N/A N/A", _xll.BDP($AX160,"EX028")="#N/A FIELD NOT APPLICABLE"), " ", _xll.BDP($AX160,"EX028"))</f>
        <v>Equity</v>
      </c>
      <c r="AE160" s="31" t="str">
        <f>IF(("AS97"="Equity"), " ", "Single Line Equity")</f>
        <v>Single Line Equity</v>
      </c>
      <c r="AF160" s="26" cm="1">
        <f t="array" ref="AF160">IF(OR(_xll.BDP($AX160,"RR908")= "#N/A N/A", _xll.BDP($AX160,"RR908")="#N/A FIELD NOT APPLICABLE"), " ", _xll.BDP($AX160,"RR908"))</f>
        <v>9.7877229397665761</v>
      </c>
      <c r="AG160" s="26" cm="1">
        <f t="array" ref="AG160">IF(OR(_xll.BDP($AX160,"RR041")= "#N/A N/A", _xll.BDP($AX160,"RR041")="#N/A FIELD NOT APPLICABLE"), " ", _xll.BDP($AX160,"RR041"))</f>
        <v>32.679794374327528</v>
      </c>
      <c r="AH160" s="22">
        <f>_xll.BDP(AX160,"TOT_BUY_REC")</f>
        <v>24</v>
      </c>
      <c r="AI160" s="22">
        <f>_xll.BDP(AX160,"TOT_HOLD_REC")</f>
        <v>9</v>
      </c>
      <c r="AJ160" s="22">
        <f>_xll.BDP(AX160,"TOT_SELL_REC")</f>
        <v>0</v>
      </c>
      <c r="AK160" s="26" cm="1">
        <f t="array" ref="AK160">IF(OR(_xll.BDP($AX160,"EE201")= "#N/A N/A", _xll.BDP($AX160,"EE201")="#N/A FIELD NOT APPLICABLE"), " ", _xll.BDP($AX160,"EE201"))</f>
        <v>4.4242424964904785</v>
      </c>
      <c r="AL160" s="24">
        <f>_xll.BDP(AX160,"BEST_TARGET_PRICE")</f>
        <v>105.53845977783203</v>
      </c>
      <c r="AM160" s="32">
        <f>(AL160/Q160)-1</f>
        <v>0.30811179694883517</v>
      </c>
      <c r="AN160" s="32">
        <f>_xll.BDP(AX160,"PR061")/100</f>
        <v>-9.6968360000000003E-3</v>
      </c>
      <c r="AO160" s="32">
        <f>_xll.BDP(AX160,"PR064")/100</f>
        <v>-8.3702470000000015E-2</v>
      </c>
      <c r="AP160" s="32">
        <f>_xll.BDP(AX160,"CHG_PCT_6M")/100</f>
        <v>-0.19904699999999997</v>
      </c>
      <c r="AQ160" s="25">
        <f>_xll.BDP(AX160,"PR079")/100</f>
        <v>-0.1889827</v>
      </c>
      <c r="AR160" s="33">
        <f>_xll.BDP(AX160,"hs001")</f>
        <v>134.63</v>
      </c>
      <c r="AS160" s="33">
        <f>_xll.BDP(AX160,"hs002")</f>
        <v>75.930000000000007</v>
      </c>
      <c r="AT160" s="22" t="str" cm="1">
        <f t="array" ref="AT160">IF(OR(_xll.BDP($AX160,"DX202")= "#N/A N/A", _xll.BDP($AX160,"DX202")="#N/A FIELD NOT APPLICABLE"), " ", _xll.BDP($AX160,"DX202"))</f>
        <v>Health Care</v>
      </c>
      <c r="AU160" s="22" t="str" cm="1">
        <f t="array" ref="AU160">IF(OR(_xll.BDP($AX160,"DY997")= "#N/A N/A", _xll.BDP($AX160,"DY997")="#N/A FIELD NOT APPLICABLE"), " ", _xll.BDP($AX160,"DY997"))</f>
        <v>Y</v>
      </c>
      <c r="AV160" s="22" t="str" cm="1">
        <f t="array" ref="AV160">IF(OR(_xll.BDP($AX160,"DY784")= "#N/A N/A", _xll.BDP($AX160,"DY784")="#N/A FIELD NOT APPLICABLE"), " ", _xll.BDP($AX160,"DY784"))</f>
        <v>Y</v>
      </c>
      <c r="AW160" s="22" t="str">
        <f>IF(OR(AU160="Y",AV160="Y"),"Y","N")</f>
        <v>Y</v>
      </c>
      <c r="AX160" s="22" t="str">
        <f>CONCATENATE(G160," ",$AX$2)</f>
        <v>MRK US Equity</v>
      </c>
      <c r="BC160" s="38" t="str">
        <f>_xll.BDP(AX160, "ID_ISIN")</f>
        <v>US58933Y1055</v>
      </c>
      <c r="BD160" s="38">
        <f>VLOOKUP(BC160,'[2]Portefeuille 4379150'!$B$3:$G$42,6,0)</f>
        <v>0.79449999999999998</v>
      </c>
      <c r="BE160" s="94">
        <v>4</v>
      </c>
      <c r="BF160" s="95"/>
      <c r="BG160" s="96">
        <v>1</v>
      </c>
    </row>
    <row r="161" spans="1:59" s="3" customFormat="1" ht="14.45" customHeight="1" x14ac:dyDescent="0.25">
      <c r="A161" s="49" t="s">
        <v>241</v>
      </c>
      <c r="B161" s="49" t="s">
        <v>253</v>
      </c>
      <c r="C161" s="49" t="s">
        <v>254</v>
      </c>
      <c r="D161" s="49" t="s">
        <v>240</v>
      </c>
      <c r="E161" s="22" t="str">
        <f>_xll.BDP(AX161,"SECURITY NAME")</f>
        <v>Merck &amp; Co Inc</v>
      </c>
      <c r="F161" s="22" t="str">
        <f>_xll.BDP(AX161,"CRNCY")</f>
        <v>USD</v>
      </c>
      <c r="G161" s="23" t="s">
        <v>83</v>
      </c>
      <c r="H161" s="22" t="str" cm="1">
        <f t="array" ref="H161">IF(OR(_xll.BDP($AX161,"DX202")= "#N/A N/A", _xll.BDP($AX161,"DX202")="#N/A FIELD NOT APPLICABLE"), " ", _xll.BDP($AX161,"DX202"))</f>
        <v>Health Care</v>
      </c>
      <c r="I161" s="24">
        <f>_xll.BDP(AX161,"CRNCY_ADJ_MKT_CAP", "EQY_FUND_CRNCY=USD")/1000</f>
        <v>202.61511180457001</v>
      </c>
      <c r="J161" s="25">
        <f>IFERROR(_xll.BDP(AX161, "DV013")/100,0)</f>
        <v>4.0158651580772718E-2</v>
      </c>
      <c r="K161" s="26" cm="1">
        <f t="array" ref="K161">IF(OR(_xll.BDP($AX161,"RR900")= "#N/A N/A", _xll.BDP($AX161,"RR900")="#N/A FIELD NOT APPLICABLE"), " ", _xll.BDP($AX161,"RR900"))</f>
        <v>11.164887495239672</v>
      </c>
      <c r="L161" s="26" cm="1">
        <f t="array" ref="L161">IF(OR(_xll.BDP($AX161,"EE010")= "#N/A N/A", _xll.BDP($AX161,"EE010")="#N/A FIELD NOT APPLICABLE"), " ", _xll.BDP($AX161,"EE010"))</f>
        <v>8.2646998565867662</v>
      </c>
      <c r="M161" s="26" cm="1">
        <f t="array" ref="M161">IF(OR(_xll.BDP($AX161,"RR903")= "#N/A N/A", _xll.BDP($AX161,"RR903")="#N/A FIELD NOT APPLICABLE"), " ", _xll.BDP($AX161,"RR903"))</f>
        <v>4.1998027622817249</v>
      </c>
      <c r="N161" s="26" cm="1">
        <f t="array" ref="N161">IF(OR(_xll.BDP($AX161,"RR957")= "#N/A N/A", _xll.BDP($AX161,"RR957")="#N/A FIELD NOT APPLICABLE"), " ", _xll.BDP($AX161,"RR957"))</f>
        <v>9.2215804109251049</v>
      </c>
      <c r="O161" s="27">
        <v>302</v>
      </c>
      <c r="P161" s="28">
        <v>100.14503000000001</v>
      </c>
      <c r="Q161" s="22" cm="1">
        <f t="array" ref="Q161">IF(OR(_xll.BDP($AX161,"PX_last")="#N/A N/A",_xll.BDP($AX161,"PX_Last")="#N/A FIELD NOT APPLICABLE")," ",IF(F161="GBP",(_xll.BDP($AX161,"PX_LAST")/100),(_xll.BDP($AX161,"PX_LAST"))))</f>
        <v>80.680000000000007</v>
      </c>
      <c r="R161" s="29">
        <f>IF(F161="USD",AA161,(((_xll.BDP(F161&amp;"USD CURNCY","PX_LAST")))*AA161))</f>
        <v>30243.799060000001</v>
      </c>
      <c r="S161" s="29">
        <f>IF(F161="USD",AB161,(((_xll.BDP(F161&amp;"USD CURNCY","PX_LAST")))*AB161))</f>
        <v>24365.360000000001</v>
      </c>
      <c r="T161" s="12">
        <f>S161-R161</f>
        <v>-5878.4390600000006</v>
      </c>
      <c r="U161" s="13">
        <f>T161/R161</f>
        <v>-0.19436840749860479</v>
      </c>
      <c r="V161" s="13" cm="1">
        <f t="array" ref="V161">IFERROR(_xll.BDP($G161&amp;" Equity","CHG_PCT_1D")/100,"")</f>
        <v>-2.6074359999999998E-2</v>
      </c>
      <c r="W161" s="13" cm="1">
        <f t="array" ref="W161">IFERROR(_xll.BDP($G161&amp;" Equity","CHG_PCT_5D")/100,"")</f>
        <v>-4.7574079999999998E-2</v>
      </c>
      <c r="X161" s="13" t="e">
        <f>S161/#REF!</f>
        <v>#REF!</v>
      </c>
      <c r="Y161" s="24">
        <f>IFERROR(S161*J161,0)</f>
        <v>978.48000288009644</v>
      </c>
      <c r="Z161" s="24">
        <f>S161</f>
        <v>24365.360000000001</v>
      </c>
      <c r="AA161" s="29">
        <f>P161*O161</f>
        <v>30243.799060000001</v>
      </c>
      <c r="AB161" s="29">
        <f>IFERROR(O161*Q161,0)</f>
        <v>24365.360000000001</v>
      </c>
      <c r="AC161" s="4" t="e" cm="1">
        <f t="array" ref="AC161">VLOOKUP(IF(NOT(_xll.BDP(AX161,$BW$8)="#N/A N/A"),(_xll.BDP(AX161,$BW$8)),"-"), '[1]Country Codes'!$A$2:$B$253,2,0)</f>
        <v>#N/A</v>
      </c>
      <c r="AD161" s="30" t="str" cm="1">
        <f t="array" ref="AD161">IF(OR(_xll.BDP($AX161,"EX028")= "#N/A N/A", _xll.BDP($AX161,"EX028")="#N/A FIELD NOT APPLICABLE"), " ", _xll.BDP($AX161,"EX028"))</f>
        <v>Equity</v>
      </c>
      <c r="AE161" s="31" t="str">
        <f>IF(("AS97"="Equity"), " ", "Single Line Equity")</f>
        <v>Single Line Equity</v>
      </c>
      <c r="AF161" s="26" cm="1">
        <f t="array" ref="AF161">IF(OR(_xll.BDP($AX161,"RR908")= "#N/A N/A", _xll.BDP($AX161,"RR908")="#N/A FIELD NOT APPLICABLE"), " ", _xll.BDP($AX161,"RR908"))</f>
        <v>9.7877229397665761</v>
      </c>
      <c r="AG161" s="26" cm="1">
        <f t="array" ref="AG161">IF(OR(_xll.BDP($AX161,"RR041")= "#N/A N/A", _xll.BDP($AX161,"RR041")="#N/A FIELD NOT APPLICABLE"), " ", _xll.BDP($AX161,"RR041"))</f>
        <v>32.679794374327528</v>
      </c>
      <c r="AH161" s="22">
        <f>_xll.BDP(AX161,"TOT_BUY_REC")</f>
        <v>24</v>
      </c>
      <c r="AI161" s="22">
        <f>_xll.BDP(AX161,"TOT_HOLD_REC")</f>
        <v>9</v>
      </c>
      <c r="AJ161" s="22">
        <f>_xll.BDP(AX161,"TOT_SELL_REC")</f>
        <v>0</v>
      </c>
      <c r="AK161" s="26" cm="1">
        <f t="array" ref="AK161">IF(OR(_xll.BDP($AX161,"EE201")= "#N/A N/A", _xll.BDP($AX161,"EE201")="#N/A FIELD NOT APPLICABLE"), " ", _xll.BDP($AX161,"EE201"))</f>
        <v>4.4242424964904785</v>
      </c>
      <c r="AL161" s="24">
        <f>_xll.BDP(AX161,"BEST_TARGET_PRICE")</f>
        <v>105.53845977783203</v>
      </c>
      <c r="AM161" s="32">
        <f>(AL161/Q161)-1</f>
        <v>0.30811179694883517</v>
      </c>
      <c r="AN161" s="32">
        <f>_xll.BDP(AX161,"PR061")/100</f>
        <v>-9.6968360000000003E-3</v>
      </c>
      <c r="AO161" s="32">
        <f>_xll.BDP(AX161,"PR064")/100</f>
        <v>-8.3702470000000015E-2</v>
      </c>
      <c r="AP161" s="32">
        <f>_xll.BDP(AX161,"CHG_PCT_6M")/100</f>
        <v>-0.19904699999999997</v>
      </c>
      <c r="AQ161" s="25">
        <f>_xll.BDP(AX161,"PR079")/100</f>
        <v>-0.1889827</v>
      </c>
      <c r="AR161" s="33">
        <f>_xll.BDP(AX161,"hs001")</f>
        <v>134.63</v>
      </c>
      <c r="AS161" s="33">
        <f>_xll.BDP(AX161,"hs002")</f>
        <v>75.930000000000007</v>
      </c>
      <c r="AT161" s="22" t="str" cm="1">
        <f t="array" ref="AT161">IF(OR(_xll.BDP($AX161,"DX202")= "#N/A N/A", _xll.BDP($AX161,"DX202")="#N/A FIELD NOT APPLICABLE"), " ", _xll.BDP($AX161,"DX202"))</f>
        <v>Health Care</v>
      </c>
      <c r="AU161" s="22" t="str" cm="1">
        <f t="array" ref="AU161">IF(OR(_xll.BDP($AX161,"DY997")= "#N/A N/A", _xll.BDP($AX161,"DY997")="#N/A FIELD NOT APPLICABLE"), " ", _xll.BDP($AX161,"DY997"))</f>
        <v>Y</v>
      </c>
      <c r="AV161" s="22" t="str" cm="1">
        <f t="array" ref="AV161">IF(OR(_xll.BDP($AX161,"DY784")= "#N/A N/A", _xll.BDP($AX161,"DY784")="#N/A FIELD NOT APPLICABLE"), " ", _xll.BDP($AX161,"DY784"))</f>
        <v>Y</v>
      </c>
      <c r="AW161" s="22" t="str">
        <f>IF(OR(AU161="Y",AV161="Y"),"Y","N")</f>
        <v>Y</v>
      </c>
      <c r="AX161" s="22" t="str">
        <f>CONCATENATE(G161," ",$AX$2)</f>
        <v>MRK US Equity</v>
      </c>
      <c r="BC161" s="17" t="str">
        <f>_xll.BDP(AX161, "ID_ISIN")</f>
        <v>US58933Y1055</v>
      </c>
      <c r="BD161" s="17">
        <f>VLOOKUP(BC161,'[2]Portefeuille 4379150'!$B$3:$G$42,6,0)</f>
        <v>0.79449999999999998</v>
      </c>
      <c r="BE161" s="18">
        <v>4</v>
      </c>
      <c r="BF161" s="19"/>
      <c r="BG161" s="20">
        <v>1</v>
      </c>
    </row>
    <row r="162" spans="1:59" s="3" customFormat="1" ht="14.45" customHeight="1" x14ac:dyDescent="0.25">
      <c r="A162" s="49" t="s">
        <v>242</v>
      </c>
      <c r="B162" s="49" t="s">
        <v>255</v>
      </c>
      <c r="C162" s="49" t="s">
        <v>256</v>
      </c>
      <c r="D162" s="49" t="s">
        <v>248</v>
      </c>
      <c r="E162" s="22" t="str">
        <f>_xll.BDP(AX162,"SECURITY NAME")</f>
        <v>Merck &amp; Co Inc</v>
      </c>
      <c r="F162" s="22" t="str">
        <f>_xll.BDP(AX162,"CRNCY")</f>
        <v>USD</v>
      </c>
      <c r="G162" s="23" t="s">
        <v>83</v>
      </c>
      <c r="H162" s="22" t="str" cm="1">
        <f t="array" ref="H162">IF(OR(_xll.BDP($AX162,"DX202")= "#N/A N/A", _xll.BDP($AX162,"DX202")="#N/A FIELD NOT APPLICABLE"), " ", _xll.BDP($AX162,"DX202"))</f>
        <v>Health Care</v>
      </c>
      <c r="I162" s="24">
        <f>_xll.BDP(AX162,"CRNCY_ADJ_MKT_CAP", "EQY_FUND_CRNCY=USD")/1000</f>
        <v>202.61511180457001</v>
      </c>
      <c r="J162" s="25">
        <f>IFERROR(_xll.BDP(AX162, "DV013")/100,0)</f>
        <v>4.0158651580772718E-2</v>
      </c>
      <c r="K162" s="26" cm="1">
        <f t="array" ref="K162">IF(OR(_xll.BDP($AX162,"RR900")= "#N/A N/A", _xll.BDP($AX162,"RR900")="#N/A FIELD NOT APPLICABLE"), " ", _xll.BDP($AX162,"RR900"))</f>
        <v>11.164887495239672</v>
      </c>
      <c r="L162" s="26" cm="1">
        <f t="array" ref="L162">IF(OR(_xll.BDP($AX162,"EE010")= "#N/A N/A", _xll.BDP($AX162,"EE010")="#N/A FIELD NOT APPLICABLE"), " ", _xll.BDP($AX162,"EE010"))</f>
        <v>8.2646998565867662</v>
      </c>
      <c r="M162" s="26" cm="1">
        <f t="array" ref="M162">IF(OR(_xll.BDP($AX162,"RR903")= "#N/A N/A", _xll.BDP($AX162,"RR903")="#N/A FIELD NOT APPLICABLE"), " ", _xll.BDP($AX162,"RR903"))</f>
        <v>4.1998027622817249</v>
      </c>
      <c r="N162" s="26" cm="1">
        <f t="array" ref="N162">IF(OR(_xll.BDP($AX162,"RR957")= "#N/A N/A", _xll.BDP($AX162,"RR957")="#N/A FIELD NOT APPLICABLE"), " ", _xll.BDP($AX162,"RR957"))</f>
        <v>9.2215804109251049</v>
      </c>
      <c r="O162" s="27">
        <v>655</v>
      </c>
      <c r="P162" s="28">
        <v>100.45</v>
      </c>
      <c r="Q162" s="22" cm="1">
        <f t="array" ref="Q162">IF(OR(_xll.BDP($AX162,"PX_last")="#N/A N/A",_xll.BDP($AX162,"PX_Last")="#N/A FIELD NOT APPLICABLE")," ",IF(F162="GBP",(_xll.BDP($AX162,"PX_LAST")/100),(_xll.BDP($AX162,"PX_LAST"))))</f>
        <v>80.680000000000007</v>
      </c>
      <c r="R162" s="29">
        <f>IF(F162="USD",AA162,(((_xll.BDP(F162&amp;"USD CURNCY","PX_LAST")))*AA162))</f>
        <v>65794.75</v>
      </c>
      <c r="S162" s="29">
        <f>IF(F162="USD",AB162,(((_xll.BDP(F162&amp;"USD CURNCY","PX_LAST")))*AB162))</f>
        <v>52845.4</v>
      </c>
      <c r="T162" s="12">
        <f>S162-R162</f>
        <v>-12949.349999999999</v>
      </c>
      <c r="U162" s="13">
        <f>T162/R162</f>
        <v>-0.19681433549029365</v>
      </c>
      <c r="V162" s="13" cm="1">
        <f t="array" ref="V162">IFERROR(_xll.BDP($G162&amp;" Equity","CHG_PCT_1D")/100,"")</f>
        <v>-2.6074359999999998E-2</v>
      </c>
      <c r="W162" s="13" cm="1">
        <f t="array" ref="W162">IFERROR(_xll.BDP($G162&amp;" Equity","CHG_PCT_5D")/100,"")</f>
        <v>-4.7574079999999998E-2</v>
      </c>
      <c r="X162" s="13" t="e">
        <f>S162/#REF!</f>
        <v>#REF!</v>
      </c>
      <c r="Y162" s="24">
        <f>IFERROR(S162*J162,0)</f>
        <v>2122.2000062465668</v>
      </c>
      <c r="Z162" s="24">
        <f>S162</f>
        <v>52845.4</v>
      </c>
      <c r="AA162" s="29">
        <f>P162*O162</f>
        <v>65794.75</v>
      </c>
      <c r="AB162" s="29">
        <f>IFERROR(O162*Q162,0)</f>
        <v>52845.4</v>
      </c>
      <c r="AC162" s="4" t="e" cm="1">
        <f t="array" ref="AC162">VLOOKUP(IF(NOT(_xll.BDP(AX162,$BW$8)="#N/A N/A"),(_xll.BDP(AX162,$BW$8)),"-"), '[1]Country Codes'!$A$2:$B$253,2,0)</f>
        <v>#N/A</v>
      </c>
      <c r="AD162" s="30" t="str" cm="1">
        <f t="array" ref="AD162">IF(OR(_xll.BDP($AX162,"EX028")= "#N/A N/A", _xll.BDP($AX162,"EX028")="#N/A FIELD NOT APPLICABLE"), " ", _xll.BDP($AX162,"EX028"))</f>
        <v>Equity</v>
      </c>
      <c r="AE162" s="31" t="str">
        <f>IF(("AS97"="Equity"), " ", "Single Line Equity")</f>
        <v>Single Line Equity</v>
      </c>
      <c r="AF162" s="26" cm="1">
        <f t="array" ref="AF162">IF(OR(_xll.BDP($AX162,"RR908")= "#N/A N/A", _xll.BDP($AX162,"RR908")="#N/A FIELD NOT APPLICABLE"), " ", _xll.BDP($AX162,"RR908"))</f>
        <v>9.7877229397665761</v>
      </c>
      <c r="AG162" s="26" cm="1">
        <f t="array" ref="AG162">IF(OR(_xll.BDP($AX162,"RR041")= "#N/A N/A", _xll.BDP($AX162,"RR041")="#N/A FIELD NOT APPLICABLE"), " ", _xll.BDP($AX162,"RR041"))</f>
        <v>32.679794374327528</v>
      </c>
      <c r="AH162" s="22">
        <f>_xll.BDP(AX162,"TOT_BUY_REC")</f>
        <v>24</v>
      </c>
      <c r="AI162" s="22">
        <f>_xll.BDP(AX162,"TOT_HOLD_REC")</f>
        <v>9</v>
      </c>
      <c r="AJ162" s="22">
        <f>_xll.BDP(AX162,"TOT_SELL_REC")</f>
        <v>0</v>
      </c>
      <c r="AK162" s="26" cm="1">
        <f t="array" ref="AK162">IF(OR(_xll.BDP($AX162,"EE201")= "#N/A N/A", _xll.BDP($AX162,"EE201")="#N/A FIELD NOT APPLICABLE"), " ", _xll.BDP($AX162,"EE201"))</f>
        <v>4.4242424964904785</v>
      </c>
      <c r="AL162" s="24">
        <f>_xll.BDP(AX162,"BEST_TARGET_PRICE")</f>
        <v>105.53845977783203</v>
      </c>
      <c r="AM162" s="32">
        <f>(AL162/Q162)-1</f>
        <v>0.30811179694883517</v>
      </c>
      <c r="AN162" s="32">
        <f>_xll.BDP(AX162,"PR061")/100</f>
        <v>-9.6968360000000003E-3</v>
      </c>
      <c r="AO162" s="32">
        <f>_xll.BDP(AX162,"PR064")/100</f>
        <v>-8.3702470000000015E-2</v>
      </c>
      <c r="AP162" s="32">
        <f>_xll.BDP(AX162,"CHG_PCT_6M")/100</f>
        <v>-0.19904699999999997</v>
      </c>
      <c r="AQ162" s="25">
        <f>_xll.BDP(AX162,"PR079")/100</f>
        <v>-0.1889827</v>
      </c>
      <c r="AR162" s="33">
        <f>_xll.BDP(AX162,"hs001")</f>
        <v>134.63</v>
      </c>
      <c r="AS162" s="33">
        <f>_xll.BDP(AX162,"hs002")</f>
        <v>75.930000000000007</v>
      </c>
      <c r="AT162" s="22" t="str" cm="1">
        <f t="array" ref="AT162">IF(OR(_xll.BDP($AX162,"DX202")= "#N/A N/A", _xll.BDP($AX162,"DX202")="#N/A FIELD NOT APPLICABLE"), " ", _xll.BDP($AX162,"DX202"))</f>
        <v>Health Care</v>
      </c>
      <c r="AU162" s="22" t="str" cm="1">
        <f t="array" ref="AU162">IF(OR(_xll.BDP($AX162,"DY997")= "#N/A N/A", _xll.BDP($AX162,"DY997")="#N/A FIELD NOT APPLICABLE"), " ", _xll.BDP($AX162,"DY997"))</f>
        <v>Y</v>
      </c>
      <c r="AV162" s="22" t="str" cm="1">
        <f t="array" ref="AV162">IF(OR(_xll.BDP($AX162,"DY784")= "#N/A N/A", _xll.BDP($AX162,"DY784")="#N/A FIELD NOT APPLICABLE"), " ", _xll.BDP($AX162,"DY784"))</f>
        <v>Y</v>
      </c>
      <c r="AW162" s="22" t="str">
        <f>IF(OR(AU162="Y",AV162="Y"),"Y","N")</f>
        <v>Y</v>
      </c>
      <c r="AX162" s="22" t="str">
        <f>CONCATENATE(G162," ",$AX$2)</f>
        <v>MRK US Equity</v>
      </c>
      <c r="BC162" s="17" t="str">
        <f>_xll.BDP(AX162, "ID_ISIN")</f>
        <v>US58933Y1055</v>
      </c>
      <c r="BD162" s="17">
        <f>VLOOKUP(BC162,'[2]Portefeuille 4379150'!$B$3:$G$42,6,0)</f>
        <v>0.79449999999999998</v>
      </c>
      <c r="BE162" s="18">
        <v>4</v>
      </c>
      <c r="BF162" s="19"/>
      <c r="BG162" s="20">
        <v>1</v>
      </c>
    </row>
    <row r="163" spans="1:59" s="3" customFormat="1" ht="14.45" customHeight="1" x14ac:dyDescent="0.25">
      <c r="A163" s="49" t="s">
        <v>242</v>
      </c>
      <c r="B163" s="49" t="s">
        <v>332</v>
      </c>
      <c r="C163" s="72" t="s">
        <v>333</v>
      </c>
      <c r="D163" s="49" t="s">
        <v>248</v>
      </c>
      <c r="E163" s="22" t="str">
        <f>_xll.BDP(AX163,"SECURITY NAME")</f>
        <v>Merck &amp; Co Inc</v>
      </c>
      <c r="F163" s="22" t="str">
        <f>_xll.BDP(AX163,"CRNCY")</f>
        <v>USD</v>
      </c>
      <c r="G163" s="23" t="s">
        <v>83</v>
      </c>
      <c r="H163" s="22" t="str" cm="1">
        <f t="array" ref="H163">IF(OR(_xll.BDP($AX163,"DX202")= "#N/A N/A", _xll.BDP($AX163,"DX202")="#N/A FIELD NOT APPLICABLE"), " ", _xll.BDP($AX163,"DX202"))</f>
        <v>Health Care</v>
      </c>
      <c r="I163" s="24">
        <f>_xll.BDP(AX163,"CRNCY_ADJ_MKT_CAP", "EQY_FUND_CRNCY=USD")/1000</f>
        <v>202.61511180457001</v>
      </c>
      <c r="J163" s="25">
        <f>IFERROR(_xll.BDP(AX163, "DV013")/100,0)</f>
        <v>4.0158651580772718E-2</v>
      </c>
      <c r="K163" s="26" cm="1">
        <f t="array" ref="K163">IF(OR(_xll.BDP($AX163,"RR900")= "#N/A N/A", _xll.BDP($AX163,"RR900")="#N/A FIELD NOT APPLICABLE"), " ", _xll.BDP($AX163,"RR900"))</f>
        <v>11.164887495239672</v>
      </c>
      <c r="L163" s="26" cm="1">
        <f t="array" ref="L163">IF(OR(_xll.BDP($AX163,"EE010")= "#N/A N/A", _xll.BDP($AX163,"EE010")="#N/A FIELD NOT APPLICABLE"), " ", _xll.BDP($AX163,"EE010"))</f>
        <v>8.2646998565867662</v>
      </c>
      <c r="M163" s="26" cm="1">
        <f t="array" ref="M163">IF(OR(_xll.BDP($AX163,"RR903")= "#N/A N/A", _xll.BDP($AX163,"RR903")="#N/A FIELD NOT APPLICABLE"), " ", _xll.BDP($AX163,"RR903"))</f>
        <v>4.1998027622817249</v>
      </c>
      <c r="N163" s="26" cm="1">
        <f t="array" ref="N163">IF(OR(_xll.BDP($AX163,"RR957")= "#N/A N/A", _xll.BDP($AX163,"RR957")="#N/A FIELD NOT APPLICABLE"), " ", _xll.BDP($AX163,"RR957"))</f>
        <v>9.2215804109251049</v>
      </c>
      <c r="O163" s="27">
        <v>756</v>
      </c>
      <c r="P163" s="28">
        <v>100.49</v>
      </c>
      <c r="Q163" s="22" cm="1">
        <f t="array" ref="Q163">IF(OR(_xll.BDP($AX163,"PX_last")="#N/A N/A",_xll.BDP($AX163,"PX_Last")="#N/A FIELD NOT APPLICABLE")," ",IF(F163="GBP",(_xll.BDP($AX163,"PX_LAST")/100),(_xll.BDP($AX163,"PX_LAST"))))</f>
        <v>80.680000000000007</v>
      </c>
      <c r="R163" s="29">
        <f>IF(F163="USD",AA163,(((_xll.BDP(F163&amp;"USD CURNCY","PX_LAST")))*AA163))</f>
        <v>75970.44</v>
      </c>
      <c r="S163" s="29">
        <f>IF(F163="USD",AB163,(((_xll.BDP(F163&amp;"USD CURNCY","PX_LAST")))*AB163))</f>
        <v>60994.080000000002</v>
      </c>
      <c r="T163" s="12">
        <f>S163-R163</f>
        <v>-14976.36</v>
      </c>
      <c r="U163" s="13">
        <f>T163/R163</f>
        <v>-0.19713404318837696</v>
      </c>
      <c r="V163" s="13" cm="1">
        <f t="array" ref="V163">IFERROR(_xll.BDP($G163&amp;" Equity","CHG_PCT_1D")/100,"")</f>
        <v>-2.6074359999999998E-2</v>
      </c>
      <c r="W163" s="13" cm="1">
        <f t="array" ref="W163">IFERROR(_xll.BDP($G163&amp;" Equity","CHG_PCT_5D")/100,"")</f>
        <v>-4.7574079999999998E-2</v>
      </c>
      <c r="X163" s="13" t="e">
        <f>S163/#REF!</f>
        <v>#REF!</v>
      </c>
      <c r="Y163" s="24">
        <f>IFERROR(S163*J163,0)</f>
        <v>2449.4400072097778</v>
      </c>
      <c r="Z163" s="24">
        <f>S163</f>
        <v>60994.080000000002</v>
      </c>
      <c r="AA163" s="29">
        <f>P163*O163</f>
        <v>75970.44</v>
      </c>
      <c r="AB163" s="29">
        <f>IFERROR(O163*Q163,0)</f>
        <v>60994.080000000002</v>
      </c>
      <c r="AC163" s="4" t="e" cm="1">
        <f t="array" ref="AC163">VLOOKUP(IF(NOT(_xll.BDP(AX163,$BW$8)="#N/A N/A"),(_xll.BDP(AX163,$BW$8)),"-"), '[1]Country Codes'!$A$2:$B$253,2,0)</f>
        <v>#N/A</v>
      </c>
      <c r="AD163" s="30" t="str" cm="1">
        <f t="array" ref="AD163">IF(OR(_xll.BDP($AX163,"EX028")= "#N/A N/A", _xll.BDP($AX163,"EX028")="#N/A FIELD NOT APPLICABLE"), " ", _xll.BDP($AX163,"EX028"))</f>
        <v>Equity</v>
      </c>
      <c r="AE163" s="31" t="str">
        <f>IF(("AS97"="Equity"), " ", "Single Line Equity")</f>
        <v>Single Line Equity</v>
      </c>
      <c r="AF163" s="26" cm="1">
        <f t="array" ref="AF163">IF(OR(_xll.BDP($AX163,"RR908")= "#N/A N/A", _xll.BDP($AX163,"RR908")="#N/A FIELD NOT APPLICABLE"), " ", _xll.BDP($AX163,"RR908"))</f>
        <v>9.7877229397665761</v>
      </c>
      <c r="AG163" s="26" cm="1">
        <f t="array" ref="AG163">IF(OR(_xll.BDP($AX163,"RR041")= "#N/A N/A", _xll.BDP($AX163,"RR041")="#N/A FIELD NOT APPLICABLE"), " ", _xll.BDP($AX163,"RR041"))</f>
        <v>32.679794374327528</v>
      </c>
      <c r="AH163" s="22">
        <f>_xll.BDP(AX163,"TOT_BUY_REC")</f>
        <v>24</v>
      </c>
      <c r="AI163" s="22">
        <f>_xll.BDP(AX163,"TOT_HOLD_REC")</f>
        <v>9</v>
      </c>
      <c r="AJ163" s="22">
        <f>_xll.BDP(AX163,"TOT_SELL_REC")</f>
        <v>0</v>
      </c>
      <c r="AK163" s="26" cm="1">
        <f t="array" ref="AK163">IF(OR(_xll.BDP($AX163,"EE201")= "#N/A N/A", _xll.BDP($AX163,"EE201")="#N/A FIELD NOT APPLICABLE"), " ", _xll.BDP($AX163,"EE201"))</f>
        <v>4.4242424964904785</v>
      </c>
      <c r="AL163" s="24">
        <f>_xll.BDP(AX163,"BEST_TARGET_PRICE")</f>
        <v>105.53845977783203</v>
      </c>
      <c r="AM163" s="32">
        <f>(AL163/Q163)-1</f>
        <v>0.30811179694883517</v>
      </c>
      <c r="AN163" s="32">
        <f>_xll.BDP(AX163,"PR061")/100</f>
        <v>-9.6968360000000003E-3</v>
      </c>
      <c r="AO163" s="32">
        <f>_xll.BDP(AX163,"PR064")/100</f>
        <v>-8.3702470000000015E-2</v>
      </c>
      <c r="AP163" s="32">
        <f>_xll.BDP(AX163,"CHG_PCT_6M")/100</f>
        <v>-0.19904699999999997</v>
      </c>
      <c r="AQ163" s="25">
        <f>_xll.BDP(AX163,"PR079")/100</f>
        <v>-0.1889827</v>
      </c>
      <c r="AR163" s="33">
        <f>_xll.BDP(AX163,"hs001")</f>
        <v>134.63</v>
      </c>
      <c r="AS163" s="33">
        <f>_xll.BDP(AX163,"hs002")</f>
        <v>75.930000000000007</v>
      </c>
      <c r="AT163" s="22" t="str" cm="1">
        <f t="array" ref="AT163">IF(OR(_xll.BDP($AX163,"DX202")= "#N/A N/A", _xll.BDP($AX163,"DX202")="#N/A FIELD NOT APPLICABLE"), " ", _xll.BDP($AX163,"DX202"))</f>
        <v>Health Care</v>
      </c>
      <c r="AU163" s="22" t="str" cm="1">
        <f t="array" ref="AU163">IF(OR(_xll.BDP($AX163,"DY997")= "#N/A N/A", _xll.BDP($AX163,"DY997")="#N/A FIELD NOT APPLICABLE"), " ", _xll.BDP($AX163,"DY997"))</f>
        <v>Y</v>
      </c>
      <c r="AV163" s="22" t="str" cm="1">
        <f t="array" ref="AV163">IF(OR(_xll.BDP($AX163,"DY784")= "#N/A N/A", _xll.BDP($AX163,"DY784")="#N/A FIELD NOT APPLICABLE"), " ", _xll.BDP($AX163,"DY784"))</f>
        <v>Y</v>
      </c>
      <c r="AW163" s="22" t="str">
        <f>IF(OR(AU163="Y",AV163="Y"),"Y","N")</f>
        <v>Y</v>
      </c>
      <c r="AX163" s="22" t="str">
        <f>CONCATENATE(G163," ",$AX$2)</f>
        <v>MRK US Equity</v>
      </c>
      <c r="BC163" s="17" t="str">
        <f>_xll.BDP(AX163, "ID_ISIN")</f>
        <v>US58933Y1055</v>
      </c>
      <c r="BD163" s="17">
        <f>VLOOKUP(BC163,'[2]Portefeuille 4379150'!$B$3:$G$42,6,0)</f>
        <v>0.79449999999999998</v>
      </c>
      <c r="BE163" s="18">
        <v>4</v>
      </c>
      <c r="BF163" s="19"/>
      <c r="BG163" s="20">
        <v>1</v>
      </c>
    </row>
    <row r="164" spans="1:59" s="3" customFormat="1" ht="14.45" customHeight="1" x14ac:dyDescent="0.25">
      <c r="A164" s="49" t="s">
        <v>242</v>
      </c>
      <c r="B164" s="49" t="s">
        <v>260</v>
      </c>
      <c r="C164" s="49" t="s">
        <v>261</v>
      </c>
      <c r="D164" s="49" t="s">
        <v>248</v>
      </c>
      <c r="E164" s="22" t="str">
        <f>_xll.BDP(AX164,"SECURITY NAME")</f>
        <v>Merck &amp; Co Inc</v>
      </c>
      <c r="F164" s="22" t="str">
        <f>_xll.BDP(AX164,"CRNCY")</f>
        <v>USD</v>
      </c>
      <c r="G164" s="73" t="s">
        <v>83</v>
      </c>
      <c r="H164" s="22" t="str" cm="1">
        <f t="array" ref="H164">IF(OR(_xll.BDP($AX164,"DX202")= "#N/A N/A", _xll.BDP($AX164,"DX202")="#N/A FIELD NOT APPLICABLE"), " ", _xll.BDP($AX164,"DX202"))</f>
        <v>Health Care</v>
      </c>
      <c r="I164" s="24">
        <f>_xll.BDP(AX164,"CRNCY_ADJ_MKT_CAP", "EQY_FUND_CRNCY=USD")/1000</f>
        <v>202.61511180457001</v>
      </c>
      <c r="J164" s="25">
        <f>IFERROR(_xll.BDP(AX164, "DV013")/100,0)</f>
        <v>4.0158651580772718E-2</v>
      </c>
      <c r="K164" s="26" cm="1">
        <f t="array" ref="K164">IF(OR(_xll.BDP($AX164,"RR900")= "#N/A N/A", _xll.BDP($AX164,"RR900")="#N/A FIELD NOT APPLICABLE"), " ", _xll.BDP($AX164,"RR900"))</f>
        <v>11.164887495239672</v>
      </c>
      <c r="L164" s="26" cm="1">
        <f t="array" ref="L164">IF(OR(_xll.BDP($AX164,"EE010")= "#N/A N/A", _xll.BDP($AX164,"EE010")="#N/A FIELD NOT APPLICABLE"), " ", _xll.BDP($AX164,"EE010"))</f>
        <v>8.2646998565867662</v>
      </c>
      <c r="M164" s="26" cm="1">
        <f t="array" ref="M164">IF(OR(_xll.BDP($AX164,"RR903")= "#N/A N/A", _xll.BDP($AX164,"RR903")="#N/A FIELD NOT APPLICABLE"), " ", _xll.BDP($AX164,"RR903"))</f>
        <v>4.1998027622817249</v>
      </c>
      <c r="N164" s="26" cm="1">
        <f t="array" ref="N164">IF(OR(_xll.BDP($AX164,"RR957")= "#N/A N/A", _xll.BDP($AX164,"RR957")="#N/A FIELD NOT APPLICABLE"), " ", _xll.BDP($AX164,"RR957"))</f>
        <v>9.2215804109251049</v>
      </c>
      <c r="O164" s="74">
        <v>504</v>
      </c>
      <c r="P164" s="75">
        <v>100.54</v>
      </c>
      <c r="Q164" s="22" cm="1">
        <f t="array" ref="Q164">IF(OR(_xll.BDP($AX164,"PX_last")="#N/A N/A",_xll.BDP($AX164,"PX_Last")="#N/A FIELD NOT APPLICABLE")," ",IF(F164="GBP",(_xll.BDP($AX164,"PX_LAST")/100),(_xll.BDP($AX164,"PX_LAST"))))</f>
        <v>80.680000000000007</v>
      </c>
      <c r="R164" s="29">
        <f>IF(F164="USD",AA164,(((_xll.BDP(F164&amp;"USD CURNCY","PX_LAST")))*AA164))</f>
        <v>50672.160000000003</v>
      </c>
      <c r="S164" s="29">
        <f>IF(F164="USD",AB164,(((_xll.BDP(F164&amp;"USD CURNCY","PX_LAST")))*AB164))</f>
        <v>40662.720000000001</v>
      </c>
      <c r="T164" s="12">
        <f>S164-R164</f>
        <v>-10009.440000000002</v>
      </c>
      <c r="U164" s="13">
        <f>T164/R164</f>
        <v>-0.19753332007161331</v>
      </c>
      <c r="V164" s="13" cm="1">
        <f t="array" ref="V164">IFERROR(_xll.BDP($G164&amp;" Equity","CHG_PCT_1D")/100,"")</f>
        <v>-2.6074359999999998E-2</v>
      </c>
      <c r="W164" s="13" cm="1">
        <f t="array" ref="W164">IFERROR(_xll.BDP($G164&amp;" Equity","CHG_PCT_5D")/100,"")</f>
        <v>-4.7574079999999998E-2</v>
      </c>
      <c r="X164" s="13" t="e">
        <f>S164/#REF!</f>
        <v>#REF!</v>
      </c>
      <c r="Y164" s="24">
        <f>IFERROR(S164*J164,0)</f>
        <v>1632.9600048065186</v>
      </c>
      <c r="Z164" s="24">
        <f>S164</f>
        <v>40662.720000000001</v>
      </c>
      <c r="AA164" s="29">
        <f>P164*O164</f>
        <v>50672.160000000003</v>
      </c>
      <c r="AB164" s="29">
        <f>IFERROR(O164*Q164,0)</f>
        <v>40662.720000000001</v>
      </c>
      <c r="AC164" s="4" t="e" cm="1">
        <f t="array" ref="AC164">VLOOKUP(IF(NOT(_xll.BDP(AX164,$BW$8)="#N/A N/A"),(_xll.BDP(AX164,$BW$8)),"-"), '[1]Country Codes'!$A$2:$B$253,2,0)</f>
        <v>#N/A</v>
      </c>
      <c r="AD164" s="30" t="str" cm="1">
        <f t="array" ref="AD164">IF(OR(_xll.BDP($AX164,"EX028")= "#N/A N/A", _xll.BDP($AX164,"EX028")="#N/A FIELD NOT APPLICABLE"), " ", _xll.BDP($AX164,"EX028"))</f>
        <v>Equity</v>
      </c>
      <c r="AE164" s="31" t="str">
        <f>IF(("AS97"="Equity"), " ", "Single Line Equity")</f>
        <v>Single Line Equity</v>
      </c>
      <c r="AF164" s="26" cm="1">
        <f t="array" ref="AF164">IF(OR(_xll.BDP($AX164,"RR908")= "#N/A N/A", _xll.BDP($AX164,"RR908")="#N/A FIELD NOT APPLICABLE"), " ", _xll.BDP($AX164,"RR908"))</f>
        <v>9.7877229397665761</v>
      </c>
      <c r="AG164" s="26" cm="1">
        <f t="array" ref="AG164">IF(OR(_xll.BDP($AX164,"RR041")= "#N/A N/A", _xll.BDP($AX164,"RR041")="#N/A FIELD NOT APPLICABLE"), " ", _xll.BDP($AX164,"RR041"))</f>
        <v>32.679794374327528</v>
      </c>
      <c r="AH164" s="22">
        <f>_xll.BDP(AX164,"TOT_BUY_REC")</f>
        <v>24</v>
      </c>
      <c r="AI164" s="22">
        <f>_xll.BDP(AX164,"TOT_HOLD_REC")</f>
        <v>9</v>
      </c>
      <c r="AJ164" s="22">
        <f>_xll.BDP(AX164,"TOT_SELL_REC")</f>
        <v>0</v>
      </c>
      <c r="AK164" s="26" cm="1">
        <f t="array" ref="AK164">IF(OR(_xll.BDP($AX164,"EE201")= "#N/A N/A", _xll.BDP($AX164,"EE201")="#N/A FIELD NOT APPLICABLE"), " ", _xll.BDP($AX164,"EE201"))</f>
        <v>4.4242424964904785</v>
      </c>
      <c r="AL164" s="24">
        <f>_xll.BDP(AX164,"BEST_TARGET_PRICE")</f>
        <v>105.53845977783203</v>
      </c>
      <c r="AM164" s="32">
        <f>(AL164/Q164)-1</f>
        <v>0.30811179694883517</v>
      </c>
      <c r="AN164" s="32">
        <f>_xll.BDP(AX164,"PR061")/100</f>
        <v>-9.6968360000000003E-3</v>
      </c>
      <c r="AO164" s="32">
        <f>_xll.BDP(AX164,"PR064")/100</f>
        <v>-8.3702470000000015E-2</v>
      </c>
      <c r="AP164" s="32">
        <f>_xll.BDP(AX164,"CHG_PCT_6M")/100</f>
        <v>-0.19904699999999997</v>
      </c>
      <c r="AQ164" s="25">
        <f>_xll.BDP(AX164,"PR079")/100</f>
        <v>-0.1889827</v>
      </c>
      <c r="AR164" s="33">
        <f>_xll.BDP(AX164,"hs001")</f>
        <v>134.63</v>
      </c>
      <c r="AS164" s="33">
        <f>_xll.BDP(AX164,"hs002")</f>
        <v>75.930000000000007</v>
      </c>
      <c r="AT164" s="22" t="str" cm="1">
        <f t="array" ref="AT164">IF(OR(_xll.BDP($AX164,"DX202")= "#N/A N/A", _xll.BDP($AX164,"DX202")="#N/A FIELD NOT APPLICABLE"), " ", _xll.BDP($AX164,"DX202"))</f>
        <v>Health Care</v>
      </c>
      <c r="AU164" s="22" t="str" cm="1">
        <f t="array" ref="AU164">IF(OR(_xll.BDP($AX164,"DY997")= "#N/A N/A", _xll.BDP($AX164,"DY997")="#N/A FIELD NOT APPLICABLE"), " ", _xll.BDP($AX164,"DY997"))</f>
        <v>Y</v>
      </c>
      <c r="AV164" s="22" t="str" cm="1">
        <f t="array" ref="AV164">IF(OR(_xll.BDP($AX164,"DY784")= "#N/A N/A", _xll.BDP($AX164,"DY784")="#N/A FIELD NOT APPLICABLE"), " ", _xll.BDP($AX164,"DY784"))</f>
        <v>Y</v>
      </c>
      <c r="AW164" s="22" t="str">
        <f>IF(OR(AU164="Y",AV164="Y"),"Y","N")</f>
        <v>Y</v>
      </c>
      <c r="AX164" s="22" t="str">
        <f>CONCATENATE(G164," ",$AX$2)</f>
        <v>MRK US Equity</v>
      </c>
      <c r="BC164" s="17" t="str">
        <f>_xll.BDP(AX164, "ID_ISIN")</f>
        <v>US58933Y1055</v>
      </c>
      <c r="BD164" s="17">
        <f>VLOOKUP(BC164,'[2]Portefeuille 4379150'!$B$3:$G$42,6,0)</f>
        <v>0.79449999999999998</v>
      </c>
      <c r="BE164" s="18">
        <v>4</v>
      </c>
      <c r="BF164" s="19">
        <v>45607</v>
      </c>
      <c r="BG164" s="20">
        <v>1</v>
      </c>
    </row>
    <row r="165" spans="1:59" s="3" customFormat="1" ht="14.45" customHeight="1" x14ac:dyDescent="0.25">
      <c r="A165" s="49" t="s">
        <v>241</v>
      </c>
      <c r="B165" s="49" t="s">
        <v>262</v>
      </c>
      <c r="C165" s="49" t="s">
        <v>263</v>
      </c>
      <c r="D165" s="49" t="s">
        <v>240</v>
      </c>
      <c r="E165" s="22" t="str">
        <f>_xll.BDP(AX165,"SECURITY NAME")</f>
        <v>Merck &amp; Co Inc</v>
      </c>
      <c r="F165" s="22" t="str">
        <f>_xll.BDP(AX165,"CRNCY")</f>
        <v>USD</v>
      </c>
      <c r="G165" s="23" t="s">
        <v>83</v>
      </c>
      <c r="H165" s="22" t="str" cm="1">
        <f t="array" ref="H165">IF(OR(_xll.BDP($AX165,"DX202")= "#N/A N/A", _xll.BDP($AX165,"DX202")="#N/A FIELD NOT APPLICABLE"), " ", _xll.BDP($AX165,"DX202"))</f>
        <v>Health Care</v>
      </c>
      <c r="I165" s="24">
        <f>_xll.BDP(AX165,"CRNCY_ADJ_MKT_CAP", "EQY_FUND_CRNCY=USD")/1000</f>
        <v>202.61511180457001</v>
      </c>
      <c r="J165" s="25">
        <f>IFERROR(_xll.BDP(AX165, "DV013")/100,0)</f>
        <v>4.0158651580772718E-2</v>
      </c>
      <c r="K165" s="26" cm="1">
        <f t="array" ref="K165">IF(OR(_xll.BDP($AX165,"RR900")= "#N/A N/A", _xll.BDP($AX165,"RR900")="#N/A FIELD NOT APPLICABLE"), " ", _xll.BDP($AX165,"RR900"))</f>
        <v>11.164887495239672</v>
      </c>
      <c r="L165" s="26" cm="1">
        <f t="array" ref="L165">IF(OR(_xll.BDP($AX165,"EE010")= "#N/A N/A", _xll.BDP($AX165,"EE010")="#N/A FIELD NOT APPLICABLE"), " ", _xll.BDP($AX165,"EE010"))</f>
        <v>8.2646998565867662</v>
      </c>
      <c r="M165" s="26" cm="1">
        <f t="array" ref="M165">IF(OR(_xll.BDP($AX165,"RR903")= "#N/A N/A", _xll.BDP($AX165,"RR903")="#N/A FIELD NOT APPLICABLE"), " ", _xll.BDP($AX165,"RR903"))</f>
        <v>4.1998027622817249</v>
      </c>
      <c r="N165" s="26" cm="1">
        <f t="array" ref="N165">IF(OR(_xll.BDP($AX165,"RR957")= "#N/A N/A", _xll.BDP($AX165,"RR957")="#N/A FIELD NOT APPLICABLE"), " ", _xll.BDP($AX165,"RR957"))</f>
        <v>9.2215804109251049</v>
      </c>
      <c r="O165" s="27">
        <v>705</v>
      </c>
      <c r="P165" s="28">
        <v>100.09</v>
      </c>
      <c r="Q165" s="22" cm="1">
        <f t="array" ref="Q165">IF(OR(_xll.BDP($AX165,"PX_last")="#N/A N/A",_xll.BDP($AX165,"PX_Last")="#N/A FIELD NOT APPLICABLE")," ",IF(F165="GBP",(_xll.BDP($AX165,"PX_LAST")/100),(_xll.BDP($AX165,"PX_LAST"))))</f>
        <v>80.680000000000007</v>
      </c>
      <c r="R165" s="29">
        <f>IF(F165="USD",AA165,(((_xll.BDP(F165&amp;"USD CURNCY","PX_LAST")))*AA165))</f>
        <v>70563.45</v>
      </c>
      <c r="S165" s="29">
        <f>IF(F165="USD",AB165,(((_xll.BDP(F165&amp;"USD CURNCY","PX_LAST")))*AB165))</f>
        <v>56879.4</v>
      </c>
      <c r="T165" s="12">
        <f>S165-R165</f>
        <v>-13684.049999999996</v>
      </c>
      <c r="U165" s="13">
        <f>T165/R165</f>
        <v>-0.19392546707962829</v>
      </c>
      <c r="V165" s="13" cm="1">
        <f t="array" ref="V165">IFERROR(_xll.BDP($G165&amp;" Equity","CHG_PCT_1D")/100,"")</f>
        <v>-2.6074359999999998E-2</v>
      </c>
      <c r="W165" s="13" cm="1">
        <f t="array" ref="W165">IFERROR(_xll.BDP($G165&amp;" Equity","CHG_PCT_5D")/100,"")</f>
        <v>-4.7574079999999998E-2</v>
      </c>
      <c r="X165" s="13" t="e">
        <f>S165/#REF!</f>
        <v>#REF!</v>
      </c>
      <c r="Y165" s="24">
        <f>IFERROR(S165*J165,0)</f>
        <v>2284.2000067234039</v>
      </c>
      <c r="Z165" s="24">
        <f>S165</f>
        <v>56879.4</v>
      </c>
      <c r="AA165" s="29">
        <f>P165*O165</f>
        <v>70563.45</v>
      </c>
      <c r="AB165" s="29">
        <f>IFERROR(O165*Q165,0)</f>
        <v>56879.4</v>
      </c>
      <c r="AC165" s="4" t="e" cm="1">
        <f t="array" ref="AC165">VLOOKUP(IF(NOT(_xll.BDP(AX165,$BW$8)="#N/A N/A"),(_xll.BDP(AX165,$BW$8)),"-"), '[1]Country Codes'!$A$2:$B$253,2,0)</f>
        <v>#N/A</v>
      </c>
      <c r="AD165" s="30" t="str" cm="1">
        <f t="array" ref="AD165">IF(OR(_xll.BDP($AX165,"EX028")= "#N/A N/A", _xll.BDP($AX165,"EX028")="#N/A FIELD NOT APPLICABLE"), " ", _xll.BDP($AX165,"EX028"))</f>
        <v>Equity</v>
      </c>
      <c r="AE165" s="31" t="str">
        <f>IF(("AS97"="Equity"), " ", "Single Line Equity")</f>
        <v>Single Line Equity</v>
      </c>
      <c r="AF165" s="26" cm="1">
        <f t="array" ref="AF165">IF(OR(_xll.BDP($AX165,"RR908")= "#N/A N/A", _xll.BDP($AX165,"RR908")="#N/A FIELD NOT APPLICABLE"), " ", _xll.BDP($AX165,"RR908"))</f>
        <v>9.7877229397665761</v>
      </c>
      <c r="AG165" s="26" cm="1">
        <f t="array" ref="AG165">IF(OR(_xll.BDP($AX165,"RR041")= "#N/A N/A", _xll.BDP($AX165,"RR041")="#N/A FIELD NOT APPLICABLE"), " ", _xll.BDP($AX165,"RR041"))</f>
        <v>32.679794374327528</v>
      </c>
      <c r="AH165" s="22">
        <f>_xll.BDP(AX165,"TOT_BUY_REC")</f>
        <v>24</v>
      </c>
      <c r="AI165" s="22">
        <f>_xll.BDP(AX165,"TOT_HOLD_REC")</f>
        <v>9</v>
      </c>
      <c r="AJ165" s="22">
        <f>_xll.BDP(AX165,"TOT_SELL_REC")</f>
        <v>0</v>
      </c>
      <c r="AK165" s="26" cm="1">
        <f t="array" ref="AK165">IF(OR(_xll.BDP($AX165,"EE201")= "#N/A N/A", _xll.BDP($AX165,"EE201")="#N/A FIELD NOT APPLICABLE"), " ", _xll.BDP($AX165,"EE201"))</f>
        <v>4.4242424964904785</v>
      </c>
      <c r="AL165" s="24">
        <f>_xll.BDP(AX165,"BEST_TARGET_PRICE")</f>
        <v>105.53845977783203</v>
      </c>
      <c r="AM165" s="32">
        <f>(AL165/Q165)-1</f>
        <v>0.30811179694883517</v>
      </c>
      <c r="AN165" s="32">
        <f>_xll.BDP(AX165,"PR061")/100</f>
        <v>-9.6968360000000003E-3</v>
      </c>
      <c r="AO165" s="32">
        <f>_xll.BDP(AX165,"PR064")/100</f>
        <v>-8.3702470000000015E-2</v>
      </c>
      <c r="AP165" s="32">
        <f>_xll.BDP(AX165,"CHG_PCT_6M")/100</f>
        <v>-0.19904699999999997</v>
      </c>
      <c r="AQ165" s="25">
        <f>_xll.BDP(AX165,"PR079")/100</f>
        <v>-0.1889827</v>
      </c>
      <c r="AR165" s="33">
        <f>_xll.BDP(AX165,"hs001")</f>
        <v>134.63</v>
      </c>
      <c r="AS165" s="33">
        <f>_xll.BDP(AX165,"hs002")</f>
        <v>75.930000000000007</v>
      </c>
      <c r="AT165" s="22" t="str" cm="1">
        <f t="array" ref="AT165">IF(OR(_xll.BDP($AX165,"DX202")= "#N/A N/A", _xll.BDP($AX165,"DX202")="#N/A FIELD NOT APPLICABLE"), " ", _xll.BDP($AX165,"DX202"))</f>
        <v>Health Care</v>
      </c>
      <c r="AU165" s="22" t="str" cm="1">
        <f t="array" ref="AU165">IF(OR(_xll.BDP($AX165,"DY997")= "#N/A N/A", _xll.BDP($AX165,"DY997")="#N/A FIELD NOT APPLICABLE"), " ", _xll.BDP($AX165,"DY997"))</f>
        <v>Y</v>
      </c>
      <c r="AV165" s="22" t="str" cm="1">
        <f t="array" ref="AV165">IF(OR(_xll.BDP($AX165,"DY784")= "#N/A N/A", _xll.BDP($AX165,"DY784")="#N/A FIELD NOT APPLICABLE"), " ", _xll.BDP($AX165,"DY784"))</f>
        <v>Y</v>
      </c>
      <c r="AW165" s="22" t="str">
        <f>IF(OR(AU165="Y",AV165="Y"),"Y","N")</f>
        <v>Y</v>
      </c>
      <c r="AX165" s="22" t="str">
        <f>CONCATENATE(G165," ",$AX$2)</f>
        <v>MRK US Equity</v>
      </c>
      <c r="BC165" s="17" t="str">
        <f>_xll.BDP(AX165, "ID_ISIN")</f>
        <v>US58933Y1055</v>
      </c>
      <c r="BD165" s="17">
        <f>VLOOKUP(BC165,'[2]Portefeuille 4379150'!$B$3:$G$42,6,0)</f>
        <v>0.79449999999999998</v>
      </c>
      <c r="BE165" s="18">
        <v>5</v>
      </c>
      <c r="BF165" s="19"/>
      <c r="BG165" s="20">
        <v>1</v>
      </c>
    </row>
    <row r="166" spans="1:59" s="3" customFormat="1" ht="14.45" customHeight="1" x14ac:dyDescent="0.25">
      <c r="A166" s="49" t="s">
        <v>241</v>
      </c>
      <c r="B166" s="49" t="s">
        <v>266</v>
      </c>
      <c r="C166" s="49" t="s">
        <v>267</v>
      </c>
      <c r="D166" s="49" t="s">
        <v>240</v>
      </c>
      <c r="E166" s="22" t="str">
        <f>_xll.BDP(AX166,"SECURITY NAME")</f>
        <v>Merck &amp; Co Inc</v>
      </c>
      <c r="F166" s="22" t="str">
        <f>_xll.BDP(AX166,"CRNCY")</f>
        <v>USD</v>
      </c>
      <c r="G166" s="23" t="s">
        <v>83</v>
      </c>
      <c r="H166" s="22" t="str" cm="1">
        <f t="array" ref="H166">IF(OR(_xll.BDP($AX166,"DX202")= "#N/A N/A", _xll.BDP($AX166,"DX202")="#N/A FIELD NOT APPLICABLE"), " ", _xll.BDP($AX166,"DX202"))</f>
        <v>Health Care</v>
      </c>
      <c r="I166" s="24">
        <f>_xll.BDP(AX166,"CRNCY_ADJ_MKT_CAP", "EQY_FUND_CRNCY=USD")/1000</f>
        <v>202.61511180457001</v>
      </c>
      <c r="J166" s="25">
        <f>IFERROR(_xll.BDP(AX166, "DV013")/100,0)</f>
        <v>4.0158651580772718E-2</v>
      </c>
      <c r="K166" s="26" cm="1">
        <f t="array" ref="K166">IF(OR(_xll.BDP($AX166,"RR900")= "#N/A N/A", _xll.BDP($AX166,"RR900")="#N/A FIELD NOT APPLICABLE"), " ", _xll.BDP($AX166,"RR900"))</f>
        <v>11.164887495239672</v>
      </c>
      <c r="L166" s="26" cm="1">
        <f t="array" ref="L166">IF(OR(_xll.BDP($AX166,"EE010")= "#N/A N/A", _xll.BDP($AX166,"EE010")="#N/A FIELD NOT APPLICABLE"), " ", _xll.BDP($AX166,"EE010"))</f>
        <v>8.2646998565867662</v>
      </c>
      <c r="M166" s="26" cm="1">
        <f t="array" ref="M166">IF(OR(_xll.BDP($AX166,"RR903")= "#N/A N/A", _xll.BDP($AX166,"RR903")="#N/A FIELD NOT APPLICABLE"), " ", _xll.BDP($AX166,"RR903"))</f>
        <v>4.1998027622817249</v>
      </c>
      <c r="N166" s="26" cm="1">
        <f t="array" ref="N166">IF(OR(_xll.BDP($AX166,"RR957")= "#N/A N/A", _xll.BDP($AX166,"RR957")="#N/A FIELD NOT APPLICABLE"), " ", _xll.BDP($AX166,"RR957"))</f>
        <v>9.2215804109251049</v>
      </c>
      <c r="O166" s="27">
        <v>453</v>
      </c>
      <c r="P166" s="28">
        <v>100.03</v>
      </c>
      <c r="Q166" s="22" cm="1">
        <f t="array" ref="Q166">IF(OR(_xll.BDP($AX166,"PX_last")="#N/A N/A",_xll.BDP($AX166,"PX_Last")="#N/A FIELD NOT APPLICABLE")," ",IF(F166="GBP",(_xll.BDP($AX166,"PX_LAST")/100),(_xll.BDP($AX166,"PX_LAST"))))</f>
        <v>80.680000000000007</v>
      </c>
      <c r="R166" s="29">
        <f>IF(F166="USD",AA166,(((_xll.BDP(F166&amp;"USD CURNCY","PX_LAST")))*AA166))</f>
        <v>45313.590000000004</v>
      </c>
      <c r="S166" s="29">
        <f>IF(F166="USD",AB166,(((_xll.BDP(F166&amp;"USD CURNCY","PX_LAST")))*AB166))</f>
        <v>36548.04</v>
      </c>
      <c r="T166" s="12">
        <f>S166-R166</f>
        <v>-8765.5500000000029</v>
      </c>
      <c r="U166" s="13">
        <f>T166/R166</f>
        <v>-0.19344196740977712</v>
      </c>
      <c r="V166" s="13" cm="1">
        <f t="array" ref="V166">IFERROR(_xll.BDP($G166&amp;" Equity","CHG_PCT_1D")/100,"")</f>
        <v>-2.6074359999999998E-2</v>
      </c>
      <c r="W166" s="13" cm="1">
        <f t="array" ref="W166">IFERROR(_xll.BDP($G166&amp;" Equity","CHG_PCT_5D")/100,"")</f>
        <v>-4.7574079999999998E-2</v>
      </c>
      <c r="X166" s="13" t="e">
        <f>S166/#REF!</f>
        <v>#REF!</v>
      </c>
      <c r="Y166" s="24">
        <f>IFERROR(S166*J166,0)</f>
        <v>1467.7200043201447</v>
      </c>
      <c r="Z166" s="24">
        <f>S166</f>
        <v>36548.04</v>
      </c>
      <c r="AA166" s="29">
        <f>P166*O166</f>
        <v>45313.590000000004</v>
      </c>
      <c r="AB166" s="29">
        <f>IFERROR(O166*Q166,0)</f>
        <v>36548.04</v>
      </c>
      <c r="AC166" s="4" t="e" cm="1">
        <f t="array" ref="AC166">VLOOKUP(IF(NOT(_xll.BDP(AX166,$BW$8)="#N/A N/A"),(_xll.BDP(AX166,$BW$8)),"-"), '[1]Country Codes'!$A$2:$B$253,2,0)</f>
        <v>#N/A</v>
      </c>
      <c r="AD166" s="30" t="str" cm="1">
        <f t="array" ref="AD166">IF(OR(_xll.BDP($AX166,"EX028")= "#N/A N/A", _xll.BDP($AX166,"EX028")="#N/A FIELD NOT APPLICABLE"), " ", _xll.BDP($AX166,"EX028"))</f>
        <v>Equity</v>
      </c>
      <c r="AE166" s="31" t="str">
        <f>IF(("AS97"="Equity"), " ", "Single Line Equity")</f>
        <v>Single Line Equity</v>
      </c>
      <c r="AF166" s="26" cm="1">
        <f t="array" ref="AF166">IF(OR(_xll.BDP($AX166,"RR908")= "#N/A N/A", _xll.BDP($AX166,"RR908")="#N/A FIELD NOT APPLICABLE"), " ", _xll.BDP($AX166,"RR908"))</f>
        <v>9.7877229397665761</v>
      </c>
      <c r="AG166" s="26" cm="1">
        <f t="array" ref="AG166">IF(OR(_xll.BDP($AX166,"RR041")= "#N/A N/A", _xll.BDP($AX166,"RR041")="#N/A FIELD NOT APPLICABLE"), " ", _xll.BDP($AX166,"RR041"))</f>
        <v>32.679794374327528</v>
      </c>
      <c r="AH166" s="22">
        <f>_xll.BDP(AX166,"TOT_BUY_REC")</f>
        <v>24</v>
      </c>
      <c r="AI166" s="22">
        <f>_xll.BDP(AX166,"TOT_HOLD_REC")</f>
        <v>9</v>
      </c>
      <c r="AJ166" s="22">
        <f>_xll.BDP(AX166,"TOT_SELL_REC")</f>
        <v>0</v>
      </c>
      <c r="AK166" s="26" cm="1">
        <f t="array" ref="AK166">IF(OR(_xll.BDP($AX166,"EE201")= "#N/A N/A", _xll.BDP($AX166,"EE201")="#N/A FIELD NOT APPLICABLE"), " ", _xll.BDP($AX166,"EE201"))</f>
        <v>4.4242424964904785</v>
      </c>
      <c r="AL166" s="24">
        <f>_xll.BDP(AX166,"BEST_TARGET_PRICE")</f>
        <v>105.53845977783203</v>
      </c>
      <c r="AM166" s="32">
        <f>(AL166/Q166)-1</f>
        <v>0.30811179694883517</v>
      </c>
      <c r="AN166" s="32">
        <f>_xll.BDP(AX166,"PR061")/100</f>
        <v>-9.6968360000000003E-3</v>
      </c>
      <c r="AO166" s="32">
        <f>_xll.BDP(AX166,"PR064")/100</f>
        <v>-8.3702470000000015E-2</v>
      </c>
      <c r="AP166" s="32">
        <f>_xll.BDP(AX166,"CHG_PCT_6M")/100</f>
        <v>-0.19904699999999997</v>
      </c>
      <c r="AQ166" s="25">
        <f>_xll.BDP(AX166,"PR079")/100</f>
        <v>-0.1889827</v>
      </c>
      <c r="AR166" s="33">
        <f>_xll.BDP(AX166,"hs001")</f>
        <v>134.63</v>
      </c>
      <c r="AS166" s="33">
        <f>_xll.BDP(AX166,"hs002")</f>
        <v>75.930000000000007</v>
      </c>
      <c r="AT166" s="22" t="str" cm="1">
        <f t="array" ref="AT166">IF(OR(_xll.BDP($AX166,"DX202")= "#N/A N/A", _xll.BDP($AX166,"DX202")="#N/A FIELD NOT APPLICABLE"), " ", _xll.BDP($AX166,"DX202"))</f>
        <v>Health Care</v>
      </c>
      <c r="AU166" s="22" t="str" cm="1">
        <f t="array" ref="AU166">IF(OR(_xll.BDP($AX166,"DY997")= "#N/A N/A", _xll.BDP($AX166,"DY997")="#N/A FIELD NOT APPLICABLE"), " ", _xll.BDP($AX166,"DY997"))</f>
        <v>Y</v>
      </c>
      <c r="AV166" s="22" t="str" cm="1">
        <f t="array" ref="AV166">IF(OR(_xll.BDP($AX166,"DY784")= "#N/A N/A", _xll.BDP($AX166,"DY784")="#N/A FIELD NOT APPLICABLE"), " ", _xll.BDP($AX166,"DY784"))</f>
        <v>Y</v>
      </c>
      <c r="AW166" s="22" t="str">
        <f>IF(OR(AU166="Y",AV166="Y"),"Y","N")</f>
        <v>Y</v>
      </c>
      <c r="AX166" s="22" t="str">
        <f>CONCATENATE(G166," ",$AX$2)</f>
        <v>MRK US Equity</v>
      </c>
      <c r="BC166" s="17" t="str">
        <f>_xll.BDP(AX166, "ID_ISIN")</f>
        <v>US58933Y1055</v>
      </c>
      <c r="BD166" s="17">
        <f>VLOOKUP(BC166,'[2]Portefeuille 4379150'!$B$3:$G$42,6,0)</f>
        <v>0.79449999999999998</v>
      </c>
      <c r="BE166" s="18">
        <v>4</v>
      </c>
      <c r="BF166" s="19"/>
      <c r="BG166" s="20">
        <v>1</v>
      </c>
    </row>
    <row r="167" spans="1:59" s="3" customFormat="1" ht="14.45" customHeight="1" x14ac:dyDescent="0.25">
      <c r="A167" s="49" t="s">
        <v>242</v>
      </c>
      <c r="B167" s="49" t="s">
        <v>268</v>
      </c>
      <c r="C167" s="49" t="s">
        <v>269</v>
      </c>
      <c r="D167" s="49" t="s">
        <v>248</v>
      </c>
      <c r="E167" s="22" t="str">
        <f>_xll.BDP(AX167,"SECURITY NAME")</f>
        <v>Merck &amp; Co Inc</v>
      </c>
      <c r="F167" s="22" t="str">
        <f>_xll.BDP(AX167,"CRNCY")</f>
        <v>USD</v>
      </c>
      <c r="G167" s="23" t="s">
        <v>83</v>
      </c>
      <c r="H167" s="22" t="str" cm="1">
        <f t="array" ref="H167">IF(OR(_xll.BDP($AX167,"DX202")= "#N/A N/A", _xll.BDP($AX167,"DX202")="#N/A FIELD NOT APPLICABLE"), " ", _xll.BDP($AX167,"DX202"))</f>
        <v>Health Care</v>
      </c>
      <c r="I167" s="24">
        <f>_xll.BDP(AX167,"CRNCY_ADJ_MKT_CAP", "EQY_FUND_CRNCY=USD")/1000</f>
        <v>202.61511180457001</v>
      </c>
      <c r="J167" s="25">
        <f>IFERROR(_xll.BDP(AX167, "DV013")/100,0)</f>
        <v>4.0158651580772718E-2</v>
      </c>
      <c r="K167" s="26" cm="1">
        <f t="array" ref="K167">IF(OR(_xll.BDP($AX167,"RR900")= "#N/A N/A", _xll.BDP($AX167,"RR900")="#N/A FIELD NOT APPLICABLE"), " ", _xll.BDP($AX167,"RR900"))</f>
        <v>11.164887495239672</v>
      </c>
      <c r="L167" s="26" cm="1">
        <f t="array" ref="L167">IF(OR(_xll.BDP($AX167,"EE010")= "#N/A N/A", _xll.BDP($AX167,"EE010")="#N/A FIELD NOT APPLICABLE"), " ", _xll.BDP($AX167,"EE010"))</f>
        <v>8.2646998565867662</v>
      </c>
      <c r="M167" s="26" cm="1">
        <f t="array" ref="M167">IF(OR(_xll.BDP($AX167,"RR903")= "#N/A N/A", _xll.BDP($AX167,"RR903")="#N/A FIELD NOT APPLICABLE"), " ", _xll.BDP($AX167,"RR903"))</f>
        <v>4.1998027622817249</v>
      </c>
      <c r="N167" s="26" cm="1">
        <f t="array" ref="N167">IF(OR(_xll.BDP($AX167,"RR957")= "#N/A N/A", _xll.BDP($AX167,"RR957")="#N/A FIELD NOT APPLICABLE"), " ", _xll.BDP($AX167,"RR957"))</f>
        <v>9.2215804109251049</v>
      </c>
      <c r="O167" s="27">
        <v>1012</v>
      </c>
      <c r="P167" s="28">
        <v>99.15</v>
      </c>
      <c r="Q167" s="22" cm="1">
        <f t="array" ref="Q167">IF(OR(_xll.BDP($AX167,"PX_last")="#N/A N/A",_xll.BDP($AX167,"PX_Last")="#N/A FIELD NOT APPLICABLE")," ",IF(F167="GBP",(_xll.BDP($AX167,"PX_LAST")/100),(_xll.BDP($AX167,"PX_LAST"))))</f>
        <v>80.680000000000007</v>
      </c>
      <c r="R167" s="29">
        <f>IF(F167="USD",AA167,(((_xll.BDP(F167&amp;"USD CURNCY","PX_LAST")))*AA167))</f>
        <v>100339.8</v>
      </c>
      <c r="S167" s="29">
        <f>IF(F167="USD",AB167,(((_xll.BDP(F167&amp;"USD CURNCY","PX_LAST")))*AB167))</f>
        <v>81648.160000000003</v>
      </c>
      <c r="T167" s="12">
        <f>S167-R167</f>
        <v>-18691.64</v>
      </c>
      <c r="U167" s="13">
        <f>T167/R167</f>
        <v>-0.18628340897629853</v>
      </c>
      <c r="V167" s="13" cm="1">
        <f t="array" ref="V167">IFERROR(_xll.BDP($G167&amp;" Equity","CHG_PCT_1D")/100,"")</f>
        <v>-2.6074359999999998E-2</v>
      </c>
      <c r="W167" s="13" cm="1">
        <f t="array" ref="W167">IFERROR(_xll.BDP($G167&amp;" Equity","CHG_PCT_5D")/100,"")</f>
        <v>-4.7574079999999998E-2</v>
      </c>
      <c r="X167" s="13" t="e">
        <f>S167/#REF!</f>
        <v>#REF!</v>
      </c>
      <c r="Y167" s="24">
        <f>IFERROR(S167*J167,0)</f>
        <v>3278.8800096511841</v>
      </c>
      <c r="Z167" s="24">
        <f>S167</f>
        <v>81648.160000000003</v>
      </c>
      <c r="AA167" s="29">
        <f>P167*O167</f>
        <v>100339.8</v>
      </c>
      <c r="AB167" s="29">
        <f>IFERROR(O167*Q167,0)</f>
        <v>81648.160000000003</v>
      </c>
      <c r="AC167" s="4" t="e" cm="1">
        <f t="array" ref="AC167">VLOOKUP(IF(NOT(_xll.BDP(AX167,$BW$8)="#N/A N/A"),(_xll.BDP(AX167,$BW$8)),"-"), '[1]Country Codes'!$A$2:$B$253,2,0)</f>
        <v>#N/A</v>
      </c>
      <c r="AD167" s="30" t="str" cm="1">
        <f t="array" ref="AD167">IF(OR(_xll.BDP($AX167,"EX028")= "#N/A N/A", _xll.BDP($AX167,"EX028")="#N/A FIELD NOT APPLICABLE"), " ", _xll.BDP($AX167,"EX028"))</f>
        <v>Equity</v>
      </c>
      <c r="AE167" s="31" t="str">
        <f>IF(("AS97"="Equity"), " ", "Single Line Equity")</f>
        <v>Single Line Equity</v>
      </c>
      <c r="AF167" s="26" cm="1">
        <f t="array" ref="AF167">IF(OR(_xll.BDP($AX167,"RR908")= "#N/A N/A", _xll.BDP($AX167,"RR908")="#N/A FIELD NOT APPLICABLE"), " ", _xll.BDP($AX167,"RR908"))</f>
        <v>9.7877229397665761</v>
      </c>
      <c r="AG167" s="26" cm="1">
        <f t="array" ref="AG167">IF(OR(_xll.BDP($AX167,"RR041")= "#N/A N/A", _xll.BDP($AX167,"RR041")="#N/A FIELD NOT APPLICABLE"), " ", _xll.BDP($AX167,"RR041"))</f>
        <v>32.679794374327528</v>
      </c>
      <c r="AH167" s="22">
        <f>_xll.BDP(AX167,"TOT_BUY_REC")</f>
        <v>24</v>
      </c>
      <c r="AI167" s="22">
        <f>_xll.BDP(AX167,"TOT_HOLD_REC")</f>
        <v>9</v>
      </c>
      <c r="AJ167" s="22">
        <f>_xll.BDP(AX167,"TOT_SELL_REC")</f>
        <v>0</v>
      </c>
      <c r="AK167" s="26" cm="1">
        <f t="array" ref="AK167">IF(OR(_xll.BDP($AX167,"EE201")= "#N/A N/A", _xll.BDP($AX167,"EE201")="#N/A FIELD NOT APPLICABLE"), " ", _xll.BDP($AX167,"EE201"))</f>
        <v>4.4242424964904785</v>
      </c>
      <c r="AL167" s="24">
        <f>_xll.BDP(AX167,"BEST_TARGET_PRICE")</f>
        <v>105.53845977783203</v>
      </c>
      <c r="AM167" s="32">
        <f>(AL167/Q167)-1</f>
        <v>0.30811179694883517</v>
      </c>
      <c r="AN167" s="32">
        <f>_xll.BDP(AX167,"PR061")/100</f>
        <v>-9.6968360000000003E-3</v>
      </c>
      <c r="AO167" s="32">
        <f>_xll.BDP(AX167,"PR064")/100</f>
        <v>-8.3702470000000015E-2</v>
      </c>
      <c r="AP167" s="32">
        <f>_xll.BDP(AX167,"CHG_PCT_6M")/100</f>
        <v>-0.19904699999999997</v>
      </c>
      <c r="AQ167" s="25">
        <f>_xll.BDP(AX167,"PR079")/100</f>
        <v>-0.1889827</v>
      </c>
      <c r="AR167" s="33">
        <f>_xll.BDP(AX167,"hs001")</f>
        <v>134.63</v>
      </c>
      <c r="AS167" s="33">
        <f>_xll.BDP(AX167,"hs002")</f>
        <v>75.930000000000007</v>
      </c>
      <c r="AT167" s="22" t="str" cm="1">
        <f t="array" ref="AT167">IF(OR(_xll.BDP($AX167,"DX202")= "#N/A N/A", _xll.BDP($AX167,"DX202")="#N/A FIELD NOT APPLICABLE"), " ", _xll.BDP($AX167,"DX202"))</f>
        <v>Health Care</v>
      </c>
      <c r="AU167" s="22" t="str" cm="1">
        <f t="array" ref="AU167">IF(OR(_xll.BDP($AX167,"DY997")= "#N/A N/A", _xll.BDP($AX167,"DY997")="#N/A FIELD NOT APPLICABLE"), " ", _xll.BDP($AX167,"DY997"))</f>
        <v>Y</v>
      </c>
      <c r="AV167" s="22" t="str" cm="1">
        <f t="array" ref="AV167">IF(OR(_xll.BDP($AX167,"DY784")= "#N/A N/A", _xll.BDP($AX167,"DY784")="#N/A FIELD NOT APPLICABLE"), " ", _xll.BDP($AX167,"DY784"))</f>
        <v>Y</v>
      </c>
      <c r="AW167" s="22" t="str">
        <f>IF(OR(AU167="Y",AV167="Y"),"Y","N")</f>
        <v>Y</v>
      </c>
      <c r="AX167" s="22" t="str">
        <f>CONCATENATE(G167," ",$AX$2)</f>
        <v>MRK US Equity</v>
      </c>
      <c r="BC167" s="17" t="str">
        <f>_xll.BDP(AX167, "ID_ISIN")</f>
        <v>US58933Y1055</v>
      </c>
      <c r="BD167" s="17">
        <f>VLOOKUP(BC167,'[2]Portefeuille 4379150'!$B$3:$G$42,6,0)</f>
        <v>0.79449999999999998</v>
      </c>
      <c r="BE167" s="18">
        <v>4</v>
      </c>
      <c r="BF167" s="19"/>
      <c r="BG167" s="20">
        <v>1</v>
      </c>
    </row>
    <row r="168" spans="1:59" s="3" customFormat="1" ht="14.45" customHeight="1" x14ac:dyDescent="0.25">
      <c r="A168" s="49" t="s">
        <v>257</v>
      </c>
      <c r="B168" s="49" t="s">
        <v>274</v>
      </c>
      <c r="C168" s="49">
        <v>1000015111</v>
      </c>
      <c r="D168" s="49" t="s">
        <v>275</v>
      </c>
      <c r="E168" s="22" t="str">
        <f>_xll.BDP(AX168,"SECURITY NAME")</f>
        <v>Merck &amp; Co Inc</v>
      </c>
      <c r="F168" s="22" t="str">
        <f>_xll.BDP(AX168,"CRNCY")</f>
        <v>USD</v>
      </c>
      <c r="G168" s="23" t="s">
        <v>83</v>
      </c>
      <c r="H168" s="22" t="str" cm="1">
        <f t="array" ref="H168">IF(OR(_xll.BDP($AX168,"DX202")= "#N/A N/A", _xll.BDP($AX168,"DX202")="#N/A FIELD NOT APPLICABLE"), " ", _xll.BDP($AX168,"DX202"))</f>
        <v>Health Care</v>
      </c>
      <c r="I168" s="24">
        <f>_xll.BDP(AX168,"CRNCY_ADJ_MKT_CAP", "EQY_FUND_CRNCY=USD")/1000</f>
        <v>202.61511180457001</v>
      </c>
      <c r="J168" s="25">
        <f>IFERROR(_xll.BDP(AX168, "DV013")/100,0)</f>
        <v>4.0158651580772718E-2</v>
      </c>
      <c r="K168" s="26" cm="1">
        <f t="array" ref="K168">IF(OR(_xll.BDP($AX168,"RR900")= "#N/A N/A", _xll.BDP($AX168,"RR900")="#N/A FIELD NOT APPLICABLE"), " ", _xll.BDP($AX168,"RR900"))</f>
        <v>11.164887495239672</v>
      </c>
      <c r="L168" s="26" cm="1">
        <f t="array" ref="L168">IF(OR(_xll.BDP($AX168,"EE010")= "#N/A N/A", _xll.BDP($AX168,"EE010")="#N/A FIELD NOT APPLICABLE"), " ", _xll.BDP($AX168,"EE010"))</f>
        <v>8.2646998565867662</v>
      </c>
      <c r="M168" s="26" cm="1">
        <f t="array" ref="M168">IF(OR(_xll.BDP($AX168,"RR903")= "#N/A N/A", _xll.BDP($AX168,"RR903")="#N/A FIELD NOT APPLICABLE"), " ", _xll.BDP($AX168,"RR903"))</f>
        <v>4.1998027622817249</v>
      </c>
      <c r="N168" s="26" cm="1">
        <f t="array" ref="N168">IF(OR(_xll.BDP($AX168,"RR957")= "#N/A N/A", _xll.BDP($AX168,"RR957")="#N/A FIELD NOT APPLICABLE"), " ", _xll.BDP($AX168,"RR957"))</f>
        <v>9.2215804109251049</v>
      </c>
      <c r="O168" s="27">
        <v>504</v>
      </c>
      <c r="P168" s="28">
        <v>101.84</v>
      </c>
      <c r="Q168" s="22" cm="1">
        <f t="array" ref="Q168">IF(OR(_xll.BDP($AX168,"PX_last")="#N/A N/A",_xll.BDP($AX168,"PX_Last")="#N/A FIELD NOT APPLICABLE")," ",IF(F168="GBP",(_xll.BDP($AX168,"PX_LAST")/100),(_xll.BDP($AX168,"PX_LAST"))))</f>
        <v>80.680000000000007</v>
      </c>
      <c r="R168" s="29">
        <f>IF(F168="USD",AA168,(((_xll.BDP(F168&amp;"USD CURNCY","PX_LAST")))*AA168))</f>
        <v>51327.360000000001</v>
      </c>
      <c r="S168" s="29">
        <f>IFERROR(IF(F168="USD",AB168,(((_xll.BDP(F168&amp;"USD CURNCY","PX_LAST")))*AB168)),0)</f>
        <v>40662.720000000001</v>
      </c>
      <c r="T168" s="12">
        <f>S168-R168</f>
        <v>-10664.64</v>
      </c>
      <c r="U168" s="13">
        <f>T168/R168</f>
        <v>-0.20777690494893949</v>
      </c>
      <c r="V168" s="13" cm="1">
        <f t="array" ref="V168">IFERROR(_xll.BDP($G168&amp;" Equity","CHG_PCT_1D")/100,"")</f>
        <v>-2.6074359999999998E-2</v>
      </c>
      <c r="W168" s="13" cm="1">
        <f t="array" ref="W168">IFERROR(_xll.BDP($G168&amp;" Equity","CHG_PCT_5D")/100,"")</f>
        <v>-4.7574079999999998E-2</v>
      </c>
      <c r="X168" s="13" t="e">
        <f>S168/#REF!</f>
        <v>#REF!</v>
      </c>
      <c r="Y168" s="24">
        <f>IFERROR(S168*J168,0)</f>
        <v>1632.9600048065186</v>
      </c>
      <c r="Z168" s="24">
        <f>S168</f>
        <v>40662.720000000001</v>
      </c>
      <c r="AA168" s="29">
        <f>P168*O168</f>
        <v>51327.360000000001</v>
      </c>
      <c r="AB168" s="29">
        <f>IFERROR(O168*Q168,0)</f>
        <v>40662.720000000001</v>
      </c>
      <c r="AC168" s="4" t="e" cm="1">
        <f t="array" ref="AC168">VLOOKUP(IF(NOT(_xll.BDP(AX168,$BW$8)="#N/A N/A"),(_xll.BDP(AX168,$BW$8)),"-"), '[1]Country Codes'!$A$2:$B$253,2,0)</f>
        <v>#N/A</v>
      </c>
      <c r="AD168" s="30" t="str" cm="1">
        <f t="array" ref="AD168">IF(OR(_xll.BDP($AX168,"EX028")= "#N/A N/A", _xll.BDP($AX168,"EX028")="#N/A FIELD NOT APPLICABLE"), " ", _xll.BDP($AX168,"EX028"))</f>
        <v>Equity</v>
      </c>
      <c r="AE168" s="31" t="str">
        <f>IF(("AS97"="Equity"), " ", "Single Line Equity")</f>
        <v>Single Line Equity</v>
      </c>
      <c r="AF168" s="26" cm="1">
        <f t="array" ref="AF168">IF(OR(_xll.BDP($AX168,"RR908")= "#N/A N/A", _xll.BDP($AX168,"RR908")="#N/A FIELD NOT APPLICABLE"), " ", _xll.BDP($AX168,"RR908"))</f>
        <v>9.7877229397665761</v>
      </c>
      <c r="AG168" s="26" cm="1">
        <f t="array" ref="AG168">IF(OR(_xll.BDP($AX168,"RR041")= "#N/A N/A", _xll.BDP($AX168,"RR041")="#N/A FIELD NOT APPLICABLE"), " ", _xll.BDP($AX168,"RR041"))</f>
        <v>32.679794374327528</v>
      </c>
      <c r="AH168" s="22">
        <f>_xll.BDP(AX168,"TOT_BUY_REC")</f>
        <v>24</v>
      </c>
      <c r="AI168" s="22">
        <f>_xll.BDP(AX168,"TOT_HOLD_REC")</f>
        <v>9</v>
      </c>
      <c r="AJ168" s="22">
        <f>_xll.BDP(AX168,"TOT_SELL_REC")</f>
        <v>0</v>
      </c>
      <c r="AK168" s="26" cm="1">
        <f t="array" ref="AK168">IF(OR(_xll.BDP($AX168,"EE201")= "#N/A N/A", _xll.BDP($AX168,"EE201")="#N/A FIELD NOT APPLICABLE"), " ", _xll.BDP($AX168,"EE201"))</f>
        <v>4.4242424964904785</v>
      </c>
      <c r="AL168" s="24">
        <f>_xll.BDP(AX168,"BEST_TARGET_PRICE")</f>
        <v>105.53845977783203</v>
      </c>
      <c r="AM168" s="32">
        <f>(AL168/Q168)-1</f>
        <v>0.30811179694883517</v>
      </c>
      <c r="AN168" s="32">
        <f>_xll.BDP(AX168,"PR061")/100</f>
        <v>-9.6968360000000003E-3</v>
      </c>
      <c r="AO168" s="32">
        <f>_xll.BDP(AX168,"PR064")/100</f>
        <v>-8.3702470000000015E-2</v>
      </c>
      <c r="AP168" s="32">
        <f>_xll.BDP(AX168,"CHG_PCT_6M")/100</f>
        <v>-0.19904699999999997</v>
      </c>
      <c r="AQ168" s="25">
        <f>_xll.BDP(AX168,"PR079")/100</f>
        <v>-0.1889827</v>
      </c>
      <c r="AR168" s="33">
        <f>_xll.BDP(AX168,"hs001")</f>
        <v>134.63</v>
      </c>
      <c r="AS168" s="33">
        <f>_xll.BDP(AX168,"hs002")</f>
        <v>75.930000000000007</v>
      </c>
      <c r="AT168" s="22" t="str" cm="1">
        <f t="array" ref="AT168">IF(OR(_xll.BDP($AX168,"DX202")= "#N/A N/A", _xll.BDP($AX168,"DX202")="#N/A FIELD NOT APPLICABLE"), " ", _xll.BDP($AX168,"DX202"))</f>
        <v>Health Care</v>
      </c>
      <c r="AU168" s="22" t="str" cm="1">
        <f t="array" ref="AU168">IF(OR(_xll.BDP($AX168,"DY997")= "#N/A N/A", _xll.BDP($AX168,"DY997")="#N/A FIELD NOT APPLICABLE"), " ", _xll.BDP($AX168,"DY997"))</f>
        <v>Y</v>
      </c>
      <c r="AV168" s="22" t="str" cm="1">
        <f t="array" ref="AV168">IF(OR(_xll.BDP($AX168,"DY784")= "#N/A N/A", _xll.BDP($AX168,"DY784")="#N/A FIELD NOT APPLICABLE"), " ", _xll.BDP($AX168,"DY784"))</f>
        <v>Y</v>
      </c>
      <c r="AW168" s="22" t="str">
        <f>IF(OR(AU168="Y",AV168="Y"),"Y","N")</f>
        <v>Y</v>
      </c>
      <c r="AX168" s="22" t="str">
        <f>CONCATENATE(G168," ",$AX$2)</f>
        <v>MRK US Equity</v>
      </c>
      <c r="BC168" s="17" t="str">
        <f>_xll.BDP(AX168, "ID_ISIN")</f>
        <v>US58933Y1055</v>
      </c>
      <c r="BD168" s="17">
        <f>VLOOKUP(BC168,'[2]Portefeuille 4379150'!$B$3:$G$42,6,0)</f>
        <v>0.79449999999999998</v>
      </c>
      <c r="BE168" s="18">
        <v>4</v>
      </c>
      <c r="BF168" s="19"/>
      <c r="BG168" s="20">
        <v>1</v>
      </c>
    </row>
    <row r="169" spans="1:59" s="3" customFormat="1" ht="14.45" customHeight="1" x14ac:dyDescent="0.25">
      <c r="A169" s="49" t="s">
        <v>241</v>
      </c>
      <c r="B169" s="49" t="s">
        <v>276</v>
      </c>
      <c r="C169" s="49" t="s">
        <v>277</v>
      </c>
      <c r="D169" s="49" t="s">
        <v>240</v>
      </c>
      <c r="E169" s="22" t="str">
        <f>_xll.BDP(AX169,"SECURITY NAME")</f>
        <v>Merck &amp; Co Inc</v>
      </c>
      <c r="F169" s="22" t="str">
        <f>_xll.BDP(AX169,"CRNCY")</f>
        <v>USD</v>
      </c>
      <c r="G169" s="23" t="s">
        <v>83</v>
      </c>
      <c r="H169" s="22" t="str" cm="1">
        <f t="array" ref="H169">IF(OR(_xll.BDP($AX169,"DX202")= "#N/A N/A", _xll.BDP($AX169,"DX202")="#N/A FIELD NOT APPLICABLE"), " ", _xll.BDP($AX169,"DX202"))</f>
        <v>Health Care</v>
      </c>
      <c r="I169" s="24">
        <f>_xll.BDP(AX169,"CRNCY_ADJ_MKT_CAP", "EQY_FUND_CRNCY=USD")/1000</f>
        <v>202.61511180457001</v>
      </c>
      <c r="J169" s="25">
        <f>IFERROR(_xll.BDP(AX169, "DV013")/100,0)</f>
        <v>4.0158651580772718E-2</v>
      </c>
      <c r="K169" s="26" cm="1">
        <f t="array" ref="K169">IF(OR(_xll.BDP($AX169,"RR900")= "#N/A N/A", _xll.BDP($AX169,"RR900")="#N/A FIELD NOT APPLICABLE"), " ", _xll.BDP($AX169,"RR900"))</f>
        <v>11.164887495239672</v>
      </c>
      <c r="L169" s="26" cm="1">
        <f t="array" ref="L169">IF(OR(_xll.BDP($AX169,"EE010")= "#N/A N/A", _xll.BDP($AX169,"EE010")="#N/A FIELD NOT APPLICABLE"), " ", _xll.BDP($AX169,"EE010"))</f>
        <v>8.2646998565867662</v>
      </c>
      <c r="M169" s="26" cm="1">
        <f t="array" ref="M169">IF(OR(_xll.BDP($AX169,"RR903")= "#N/A N/A", _xll.BDP($AX169,"RR903")="#N/A FIELD NOT APPLICABLE"), " ", _xll.BDP($AX169,"RR903"))</f>
        <v>4.1998027622817249</v>
      </c>
      <c r="N169" s="26" cm="1">
        <f t="array" ref="N169">IF(OR(_xll.BDP($AX169,"RR957")= "#N/A N/A", _xll.BDP($AX169,"RR957")="#N/A FIELD NOT APPLICABLE"), " ", _xll.BDP($AX169,"RR957"))</f>
        <v>9.2215804109251049</v>
      </c>
      <c r="O169" s="27">
        <v>604</v>
      </c>
      <c r="P169" s="28">
        <v>100.38</v>
      </c>
      <c r="Q169" s="22" cm="1">
        <f t="array" ref="Q169">IF(OR(_xll.BDP($AX169,"PX_last")="#N/A N/A",_xll.BDP($AX169,"PX_Last")="#N/A FIELD NOT APPLICABLE")," ",IF(F169="GBP",(_xll.BDP($AX169,"PX_LAST")/100),(_xll.BDP($AX169,"PX_LAST"))))</f>
        <v>80.680000000000007</v>
      </c>
      <c r="R169" s="29">
        <f>IF(F169="USD",AA169,(((_xll.BDP(F169&amp;"USD CURNCY","PX_LAST")))*AA169))</f>
        <v>60629.52</v>
      </c>
      <c r="S169" s="29">
        <f>IF(F169="USD",AB169,(((_xll.BDP(F169&amp;"USD CURNCY","PX_LAST")))*AB169))</f>
        <v>48730.720000000001</v>
      </c>
      <c r="T169" s="12">
        <f>S169-R169</f>
        <v>-11898.799999999996</v>
      </c>
      <c r="U169" s="13">
        <f>T169/R169</f>
        <v>-0.19625423391113761</v>
      </c>
      <c r="V169" s="13" cm="1">
        <f t="array" ref="V169">IFERROR(_xll.BDP($G169&amp;" Equity","CHG_PCT_1D")/100,"")</f>
        <v>-2.6074359999999998E-2</v>
      </c>
      <c r="W169" s="13" cm="1">
        <f t="array" ref="W169">IFERROR(_xll.BDP($G169&amp;" Equity","CHG_PCT_5D")/100,"")</f>
        <v>-4.7574079999999998E-2</v>
      </c>
      <c r="X169" s="13" t="e">
        <f>S169/#REF!</f>
        <v>#REF!</v>
      </c>
      <c r="Y169" s="24">
        <f>IFERROR(S169*J169,0)</f>
        <v>1956.9600057601929</v>
      </c>
      <c r="Z169" s="24">
        <f>S169</f>
        <v>48730.720000000001</v>
      </c>
      <c r="AA169" s="29">
        <f>P169*O169</f>
        <v>60629.52</v>
      </c>
      <c r="AB169" s="29">
        <f>IFERROR(O169*Q169,0)</f>
        <v>48730.720000000001</v>
      </c>
      <c r="AC169" s="4" t="e" cm="1">
        <f t="array" ref="AC169">VLOOKUP(IF(NOT(_xll.BDP(AX169,$BW$8)="#N/A N/A"),(_xll.BDP(AX169,$BW$8)),"-"), '[1]Country Codes'!$A$2:$B$253,2,0)</f>
        <v>#N/A</v>
      </c>
      <c r="AD169" s="30" t="str" cm="1">
        <f t="array" ref="AD169">IF(OR(_xll.BDP($AX169,"EX028")= "#N/A N/A", _xll.BDP($AX169,"EX028")="#N/A FIELD NOT APPLICABLE"), " ", _xll.BDP($AX169,"EX028"))</f>
        <v>Equity</v>
      </c>
      <c r="AE169" s="31" t="str">
        <f>IF(("AS97"="Equity"), " ", "Single Line Equity")</f>
        <v>Single Line Equity</v>
      </c>
      <c r="AF169" s="26" cm="1">
        <f t="array" ref="AF169">IF(OR(_xll.BDP($AX169,"RR908")= "#N/A N/A", _xll.BDP($AX169,"RR908")="#N/A FIELD NOT APPLICABLE"), " ", _xll.BDP($AX169,"RR908"))</f>
        <v>9.7877229397665761</v>
      </c>
      <c r="AG169" s="26" cm="1">
        <f t="array" ref="AG169">IF(OR(_xll.BDP($AX169,"RR041")= "#N/A N/A", _xll.BDP($AX169,"RR041")="#N/A FIELD NOT APPLICABLE"), " ", _xll.BDP($AX169,"RR041"))</f>
        <v>32.679794374327528</v>
      </c>
      <c r="AH169" s="22">
        <f>_xll.BDP(AX169,"TOT_BUY_REC")</f>
        <v>24</v>
      </c>
      <c r="AI169" s="22">
        <f>_xll.BDP(AX169,"TOT_HOLD_REC")</f>
        <v>9</v>
      </c>
      <c r="AJ169" s="22">
        <f>_xll.BDP(AX169,"TOT_SELL_REC")</f>
        <v>0</v>
      </c>
      <c r="AK169" s="26" cm="1">
        <f t="array" ref="AK169">IF(OR(_xll.BDP($AX169,"EE201")= "#N/A N/A", _xll.BDP($AX169,"EE201")="#N/A FIELD NOT APPLICABLE"), " ", _xll.BDP($AX169,"EE201"))</f>
        <v>4.4242424964904785</v>
      </c>
      <c r="AL169" s="24">
        <f>_xll.BDP(AX169,"BEST_TARGET_PRICE")</f>
        <v>105.53845977783203</v>
      </c>
      <c r="AM169" s="32">
        <f>(AL169/Q169)-1</f>
        <v>0.30811179694883517</v>
      </c>
      <c r="AN169" s="32">
        <f>_xll.BDP(AX169,"PR061")/100</f>
        <v>-9.6968360000000003E-3</v>
      </c>
      <c r="AO169" s="32">
        <f>_xll.BDP(AX169,"PR064")/100</f>
        <v>-8.3702470000000015E-2</v>
      </c>
      <c r="AP169" s="32">
        <f>_xll.BDP(AX169,"CHG_PCT_6M")/100</f>
        <v>-0.19904699999999997</v>
      </c>
      <c r="AQ169" s="25">
        <f>_xll.BDP(AX169,"PR079")/100</f>
        <v>-0.1889827</v>
      </c>
      <c r="AR169" s="33">
        <f>_xll.BDP(AX169,"hs001")</f>
        <v>134.63</v>
      </c>
      <c r="AS169" s="33">
        <f>_xll.BDP(AX169,"hs002")</f>
        <v>75.930000000000007</v>
      </c>
      <c r="AT169" s="22" t="str" cm="1">
        <f t="array" ref="AT169">IF(OR(_xll.BDP($AX169,"DX202")= "#N/A N/A", _xll.BDP($AX169,"DX202")="#N/A FIELD NOT APPLICABLE"), " ", _xll.BDP($AX169,"DX202"))</f>
        <v>Health Care</v>
      </c>
      <c r="AU169" s="22" t="str" cm="1">
        <f t="array" ref="AU169">IF(OR(_xll.BDP($AX169,"DY997")= "#N/A N/A", _xll.BDP($AX169,"DY997")="#N/A FIELD NOT APPLICABLE"), " ", _xll.BDP($AX169,"DY997"))</f>
        <v>Y</v>
      </c>
      <c r="AV169" s="22" t="str" cm="1">
        <f t="array" ref="AV169">IF(OR(_xll.BDP($AX169,"DY784")= "#N/A N/A", _xll.BDP($AX169,"DY784")="#N/A FIELD NOT APPLICABLE"), " ", _xll.BDP($AX169,"DY784"))</f>
        <v>Y</v>
      </c>
      <c r="AW169" s="22" t="str">
        <f>IF(OR(AU169="Y",AV169="Y"),"Y","N")</f>
        <v>Y</v>
      </c>
      <c r="AX169" s="22" t="str">
        <f>CONCATENATE(G169," ",$AX$2)</f>
        <v>MRK US Equity</v>
      </c>
      <c r="BC169" s="17" t="str">
        <f>_xll.BDP(AX169, "ID_ISIN")</f>
        <v>US58933Y1055</v>
      </c>
      <c r="BD169" s="17">
        <f>VLOOKUP(BC169,'[2]Portefeuille 4379150'!$B$3:$G$42,6,0)</f>
        <v>0.79449999999999998</v>
      </c>
      <c r="BE169" s="18">
        <v>4</v>
      </c>
      <c r="BF169" s="19"/>
      <c r="BG169" s="20">
        <v>1</v>
      </c>
    </row>
    <row r="170" spans="1:59" s="3" customFormat="1" ht="14.45" customHeight="1" x14ac:dyDescent="0.25">
      <c r="A170" s="49" t="s">
        <v>241</v>
      </c>
      <c r="B170" s="49" t="s">
        <v>238</v>
      </c>
      <c r="C170" s="49" t="s">
        <v>239</v>
      </c>
      <c r="D170" s="49" t="s">
        <v>240</v>
      </c>
      <c r="E170" s="22" t="str">
        <f>_xll.BDP(AX170,"SECURITY NAME")</f>
        <v>Microsoft Corp</v>
      </c>
      <c r="F170" s="22" t="str">
        <f>_xll.BDP(AX170,"CRNCY")</f>
        <v>USD</v>
      </c>
      <c r="G170" s="23" t="s">
        <v>120</v>
      </c>
      <c r="H170" s="22" t="str" cm="1">
        <f t="array" ref="H170">IF(OR(_xll.BDP($AX170,"DX202")= "#N/A N/A", _xll.BDP($AX170,"DX202")="#N/A FIELD NOT APPLICABLE"), " ", _xll.BDP($AX170,"DX202"))</f>
        <v>Information Technology</v>
      </c>
      <c r="I170" s="24">
        <f>_xll.BDP(AX170,"CRNCY_ADJ_MKT_CAP", "EQY_FUND_CRNCY=USD")/1000</f>
        <v>3235.6093207504496</v>
      </c>
      <c r="J170" s="25">
        <f>IFERROR(_xll.BDP(AX170, "DV013")/100,0)</f>
        <v>7.6263982111106467E-3</v>
      </c>
      <c r="K170" s="26" cm="1">
        <f t="array" ref="K170">IF(OR(_xll.BDP($AX170,"RR900")= "#N/A N/A", _xll.BDP($AX170,"RR900")="#N/A FIELD NOT APPLICABLE"), " ", _xll.BDP($AX170,"RR900"))</f>
        <v>33.552835298470619</v>
      </c>
      <c r="L170" s="26" cm="1">
        <f t="array" ref="L170">IF(OR(_xll.BDP($AX170,"EE010")= "#N/A N/A", _xll.BDP($AX170,"EE010")="#N/A FIELD NOT APPLICABLE"), " ", _xll.BDP($AX170,"EE010"))</f>
        <v>28.691998418138674</v>
      </c>
      <c r="M170" s="26" cm="1">
        <f t="array" ref="M170">IF(OR(_xll.BDP($AX170,"RR903")= "#N/A N/A", _xll.BDP($AX170,"RR903")="#N/A FIELD NOT APPLICABLE"), " ", _xll.BDP($AX170,"RR903"))</f>
        <v>10.05384779375075</v>
      </c>
      <c r="N170" s="26" cm="1">
        <f t="array" ref="N170">IF(OR(_xll.BDP($AX170,"RR957")= "#N/A N/A", _xll.BDP($AX170,"RR957")="#N/A FIELD NOT APPLICABLE"), " ", _xll.BDP($AX170,"RR957"))</f>
        <v>20.840855365499579</v>
      </c>
      <c r="O170" s="27">
        <v>129</v>
      </c>
      <c r="P170" s="28">
        <v>408.44450000000001</v>
      </c>
      <c r="Q170" s="22" cm="1">
        <f t="array" ref="Q170">IF(OR(_xll.BDP($AX170,"PX_last")="#N/A N/A",_xll.BDP($AX170,"PX_Last")="#N/A FIELD NOT APPLICABLE")," ",IF(F170="GBP",(_xll.BDP($AX170,"PX_LAST")/100),(_xll.BDP($AX170,"PX_LAST"))))</f>
        <v>435.33</v>
      </c>
      <c r="R170" s="29">
        <f>IF(F170="USD",AA170,(((_xll.BDP(F170&amp;"USD CURNCY","PX_LAST")))*AA170))</f>
        <v>52689.340499999998</v>
      </c>
      <c r="S170" s="29">
        <f>IF(F170="USD",AB170,(((_xll.BDP(F170&amp;"USD CURNCY","PX_LAST")))*AB170))</f>
        <v>56157.57</v>
      </c>
      <c r="T170" s="12">
        <f>S170-R170</f>
        <v>3468.2295000000013</v>
      </c>
      <c r="U170" s="13">
        <f>T170/R170</f>
        <v>6.5824120535348155E-2</v>
      </c>
      <c r="V170" s="13" cm="1">
        <f t="array" ref="V170">IFERROR(_xll.BDP($G170&amp;" Equity","CHG_PCT_1D")/100,"")</f>
        <v>-1.925855E-3</v>
      </c>
      <c r="W170" s="13" cm="1">
        <f t="array" ref="W170">IFERROR(_xll.BDP($G170&amp;" Equity","CHG_PCT_5D")/100,"")</f>
        <v>0.10478630000000001</v>
      </c>
      <c r="X170" s="13" t="e">
        <f>S170/#REF!</f>
        <v>#REF!</v>
      </c>
      <c r="Y170" s="24">
        <f>IFERROR(S170*J170,0)</f>
        <v>428.27999138832092</v>
      </c>
      <c r="Z170" s="24">
        <f>S170</f>
        <v>56157.57</v>
      </c>
      <c r="AA170" s="29">
        <f>P170*O170</f>
        <v>52689.340499999998</v>
      </c>
      <c r="AB170" s="29">
        <f>IFERROR(O170*Q170,0)</f>
        <v>56157.57</v>
      </c>
      <c r="AC170" s="4" t="e" cm="1">
        <f t="array" ref="AC170">VLOOKUP(IF(NOT(_xll.BDP(AX170,$BW$8)="#N/A N/A"),(_xll.BDP(AX170,$BW$8)),"-"), '[1]Country Codes'!$A$2:$B$253,2,0)</f>
        <v>#N/A</v>
      </c>
      <c r="AD170" s="30" t="str" cm="1">
        <f t="array" ref="AD170">IF(OR(_xll.BDP($AX170,"EX028")= "#N/A N/A", _xll.BDP($AX170,"EX028")="#N/A FIELD NOT APPLICABLE"), " ", _xll.BDP($AX170,"EX028"))</f>
        <v>Equity</v>
      </c>
      <c r="AE170" s="31" t="str">
        <f>IF(("AS97"="Equity"), " ", "Single Line Equity")</f>
        <v>Single Line Equity</v>
      </c>
      <c r="AF170" s="26" cm="1">
        <f t="array" ref="AF170">IF(OR(_xll.BDP($AX170,"RR908")= "#N/A N/A", _xll.BDP($AX170,"RR908")="#N/A FIELD NOT APPLICABLE"), " ", _xll.BDP($AX170,"RR908"))</f>
        <v>24.757704935253638</v>
      </c>
      <c r="AG170" s="26" cm="1">
        <f t="array" ref="AG170">IF(OR(_xll.BDP($AX170,"RR041")= "#N/A N/A", _xll.BDP($AX170,"RR041")="#N/A FIELD NOT APPLICABLE"), " ", _xll.BDP($AX170,"RR041"))</f>
        <v>19.105636291571237</v>
      </c>
      <c r="AH170" s="22">
        <f>_xll.BDP(AX170,"TOT_BUY_REC")</f>
        <v>67</v>
      </c>
      <c r="AI170" s="22">
        <f>_xll.BDP(AX170,"TOT_HOLD_REC")</f>
        <v>5</v>
      </c>
      <c r="AJ170" s="22">
        <f>_xll.BDP(AX170,"TOT_SELL_REC")</f>
        <v>0</v>
      </c>
      <c r="AK170" s="26" cm="1">
        <f t="array" ref="AK170">IF(OR(_xll.BDP($AX170,"EE201")= "#N/A N/A", _xll.BDP($AX170,"EE201")="#N/A FIELD NOT APPLICABLE"), " ", _xll.BDP($AX170,"EE201"))</f>
        <v>4.8333334922790527</v>
      </c>
      <c r="AL170" s="24">
        <f>_xll.BDP(AX170,"BEST_TARGET_PRICE")</f>
        <v>508.44259643554688</v>
      </c>
      <c r="AM170" s="32">
        <f>(AL170/Q170)-1</f>
        <v>0.16794752586669159</v>
      </c>
      <c r="AN170" s="32">
        <f>_xll.BDP(AX170,"PR061")/100</f>
        <v>0.20978770000000002</v>
      </c>
      <c r="AO170" s="32">
        <f>_xll.BDP(AX170,"PR064")/100</f>
        <v>4.6919320000000007E-2</v>
      </c>
      <c r="AP170" s="32">
        <f>_xll.BDP(AX170,"CHG_PCT_6M")/100</f>
        <v>3.6055990000000003E-2</v>
      </c>
      <c r="AQ170" s="25">
        <f>_xll.BDP(AX170,"PR079")/100</f>
        <v>3.2811390000000003E-2</v>
      </c>
      <c r="AR170" s="33">
        <f>_xll.BDP(AX170,"hs001")</f>
        <v>468.35</v>
      </c>
      <c r="AS170" s="33">
        <f>_xll.BDP(AX170,"hs002")</f>
        <v>344.79</v>
      </c>
      <c r="AT170" s="22" t="str" cm="1">
        <f t="array" ref="AT170">IF(OR(_xll.BDP($AX170,"DX202")= "#N/A N/A", _xll.BDP($AX170,"DX202")="#N/A FIELD NOT APPLICABLE"), " ", _xll.BDP($AX170,"DX202"))</f>
        <v>Information Technology</v>
      </c>
      <c r="AU170" s="22" t="str" cm="1">
        <f t="array" ref="AU170">IF(OR(_xll.BDP($AX170,"DY997")= "#N/A N/A", _xll.BDP($AX170,"DY997")="#N/A FIELD NOT APPLICABLE"), " ", _xll.BDP($AX170,"DY997"))</f>
        <v>Y</v>
      </c>
      <c r="AV170" s="22" t="str" cm="1">
        <f t="array" ref="AV170">IF(OR(_xll.BDP($AX170,"DY784")= "#N/A N/A", _xll.BDP($AX170,"DY784")="#N/A FIELD NOT APPLICABLE"), " ", _xll.BDP($AX170,"DY784"))</f>
        <v xml:space="preserve"> </v>
      </c>
      <c r="AW170" s="22" t="str">
        <f>IF(OR(AU170="Y",AV170="Y"),"Y","N")</f>
        <v>Y</v>
      </c>
      <c r="AX170" s="22" t="str">
        <f>CONCATENATE(G170," ",$AX$2)</f>
        <v>MSFT US Equity</v>
      </c>
      <c r="BC170" s="17" t="str">
        <f>_xll.BDP(AX170, "ID_ISIN")</f>
        <v>US5949181045</v>
      </c>
      <c r="BD170" s="17" t="e">
        <f>VLOOKUP(BC170,'[2]Portefeuille 4379150'!$B$3:$G$42,6,0)</f>
        <v>#N/A</v>
      </c>
      <c r="BE170" s="18">
        <v>4</v>
      </c>
      <c r="BF170" s="19"/>
      <c r="BG170" s="20">
        <v>1</v>
      </c>
    </row>
    <row r="171" spans="1:59" s="93" customFormat="1" ht="14.45" customHeight="1" x14ac:dyDescent="0.25">
      <c r="A171" s="49" t="s">
        <v>242</v>
      </c>
      <c r="B171" s="49" t="s">
        <v>243</v>
      </c>
      <c r="C171" s="49" t="s">
        <v>244</v>
      </c>
      <c r="D171" s="49" t="s">
        <v>245</v>
      </c>
      <c r="E171" s="22" t="str">
        <f>_xll.BDP(AX171,"SECURITY NAME")</f>
        <v>Microsoft Corp</v>
      </c>
      <c r="F171" s="22" t="str">
        <f>_xll.BDP(AX171,"CRNCY")</f>
        <v>USD</v>
      </c>
      <c r="G171" s="23" t="s">
        <v>120</v>
      </c>
      <c r="H171" s="22" t="str" cm="1">
        <f t="array" ref="H171">IF(OR(_xll.BDP($AX171,"DX202")= "#N/A N/A", _xll.BDP($AX171,"DX202")="#N/A FIELD NOT APPLICABLE"), " ", _xll.BDP($AX171,"DX202"))</f>
        <v>Information Technology</v>
      </c>
      <c r="I171" s="24">
        <f>_xll.BDP(AX171,"CRNCY_ADJ_MKT_CAP", "EQY_FUND_CRNCY=USD")/1000</f>
        <v>3235.6093207504496</v>
      </c>
      <c r="J171" s="25">
        <f>IFERROR(_xll.BDP(AX171, "DV013")/100,0)</f>
        <v>7.6263982111106467E-3</v>
      </c>
      <c r="K171" s="26" cm="1">
        <f t="array" ref="K171">IF(OR(_xll.BDP($AX171,"RR900")= "#N/A N/A", _xll.BDP($AX171,"RR900")="#N/A FIELD NOT APPLICABLE"), " ", _xll.BDP($AX171,"RR900"))</f>
        <v>33.552835298470619</v>
      </c>
      <c r="L171" s="26" cm="1">
        <f t="array" ref="L171">IF(OR(_xll.BDP($AX171,"EE010")= "#N/A N/A", _xll.BDP($AX171,"EE010")="#N/A FIELD NOT APPLICABLE"), " ", _xll.BDP($AX171,"EE010"))</f>
        <v>28.691998418138674</v>
      </c>
      <c r="M171" s="26" cm="1">
        <f t="array" ref="M171">IF(OR(_xll.BDP($AX171,"RR903")= "#N/A N/A", _xll.BDP($AX171,"RR903")="#N/A FIELD NOT APPLICABLE"), " ", _xll.BDP($AX171,"RR903"))</f>
        <v>10.05384779375075</v>
      </c>
      <c r="N171" s="26" cm="1">
        <f t="array" ref="N171">IF(OR(_xll.BDP($AX171,"RR957")= "#N/A N/A", _xll.BDP($AX171,"RR957")="#N/A FIELD NOT APPLICABLE"), " ", _xll.BDP($AX171,"RR957"))</f>
        <v>20.840855365499579</v>
      </c>
      <c r="O171" s="27">
        <v>299</v>
      </c>
      <c r="P171" s="28">
        <v>333.89100000000002</v>
      </c>
      <c r="Q171" s="22" cm="1">
        <f t="array" ref="Q171">IF(OR(_xll.BDP($AX171,"PX_last")="#N/A N/A",_xll.BDP($AX171,"PX_Last")="#N/A FIELD NOT APPLICABLE")," ",IF(F171="GBP",(_xll.BDP($AX171,"PX_LAST")/100),(_xll.BDP($AX171,"PX_LAST"))))</f>
        <v>435.33</v>
      </c>
      <c r="R171" s="29">
        <f>IF(F171="USD",AA171,(((_xll.BDP(F171&amp;"USD CURNCY","PX_LAST")))*AA171))</f>
        <v>99833.409</v>
      </c>
      <c r="S171" s="29">
        <f>IF(F171="USD",AB171,(((_xll.BDP(F171&amp;"USD CURNCY","PX_LAST")))*AB171))</f>
        <v>130163.67</v>
      </c>
      <c r="T171" s="12">
        <f>S171-R171</f>
        <v>30330.260999999999</v>
      </c>
      <c r="U171" s="13">
        <f>T171/R171</f>
        <v>0.30380872799805925</v>
      </c>
      <c r="V171" s="13" cm="1">
        <f t="array" ref="V171">IFERROR(_xll.BDP($G171&amp;" Equity","CHG_PCT_1D")/100,"")</f>
        <v>-1.925855E-3</v>
      </c>
      <c r="W171" s="13" cm="1">
        <f t="array" ref="W171">IFERROR(_xll.BDP($G171&amp;" Equity","CHG_PCT_5D")/100,"")</f>
        <v>0.10478630000000001</v>
      </c>
      <c r="X171" s="13" t="e">
        <f>S171/#REF!</f>
        <v>#REF!</v>
      </c>
      <c r="Y171" s="24">
        <f>IFERROR(S171*J171,0)</f>
        <v>992.67998003959656</v>
      </c>
      <c r="Z171" s="24">
        <f>S171</f>
        <v>130163.67</v>
      </c>
      <c r="AA171" s="29">
        <f>P171*O171</f>
        <v>99833.409</v>
      </c>
      <c r="AB171" s="29">
        <f>IFERROR(O171*Q171,0)</f>
        <v>130163.67</v>
      </c>
      <c r="AC171" s="4" t="e" cm="1">
        <f t="array" ref="AC171">VLOOKUP(IF(NOT(_xll.BDP(AX171,$BW$8)="#N/A N/A"),(_xll.BDP(AX171,$BW$8)),"-"), '[1]Country Codes'!$A$2:$B$253,2,0)</f>
        <v>#N/A</v>
      </c>
      <c r="AD171" s="30" t="str" cm="1">
        <f t="array" ref="AD171">IF(OR(_xll.BDP($AX171,"EX028")= "#N/A N/A", _xll.BDP($AX171,"EX028")="#N/A FIELD NOT APPLICABLE"), " ", _xll.BDP($AX171,"EX028"))</f>
        <v>Equity</v>
      </c>
      <c r="AE171" s="31" t="str">
        <f>IF(("AS97"="Equity"), " ", "Single Line Equity")</f>
        <v>Single Line Equity</v>
      </c>
      <c r="AF171" s="26" cm="1">
        <f t="array" ref="AF171">IF(OR(_xll.BDP($AX171,"RR908")= "#N/A N/A", _xll.BDP($AX171,"RR908")="#N/A FIELD NOT APPLICABLE"), " ", _xll.BDP($AX171,"RR908"))</f>
        <v>24.757704935253638</v>
      </c>
      <c r="AG171" s="26" cm="1">
        <f t="array" ref="AG171">IF(OR(_xll.BDP($AX171,"RR041")= "#N/A N/A", _xll.BDP($AX171,"RR041")="#N/A FIELD NOT APPLICABLE"), " ", _xll.BDP($AX171,"RR041"))</f>
        <v>19.105636291571237</v>
      </c>
      <c r="AH171" s="22">
        <f>_xll.BDP(AX171,"TOT_BUY_REC")</f>
        <v>67</v>
      </c>
      <c r="AI171" s="22">
        <f>_xll.BDP(AX171,"TOT_HOLD_REC")</f>
        <v>5</v>
      </c>
      <c r="AJ171" s="22">
        <f>_xll.BDP(AX171,"TOT_SELL_REC")</f>
        <v>0</v>
      </c>
      <c r="AK171" s="26" cm="1">
        <f t="array" ref="AK171">IF(OR(_xll.BDP($AX171,"EE201")= "#N/A N/A", _xll.BDP($AX171,"EE201")="#N/A FIELD NOT APPLICABLE"), " ", _xll.BDP($AX171,"EE201"))</f>
        <v>4.8333334922790527</v>
      </c>
      <c r="AL171" s="24">
        <f>_xll.BDP(AX171,"BEST_TARGET_PRICE")</f>
        <v>508.44259643554688</v>
      </c>
      <c r="AM171" s="32">
        <f>(AL171/Q171)-1</f>
        <v>0.16794752586669159</v>
      </c>
      <c r="AN171" s="32">
        <f>_xll.BDP(AX171,"PR061")/100</f>
        <v>0.20978770000000002</v>
      </c>
      <c r="AO171" s="32">
        <f>_xll.BDP(AX171,"PR064")/100</f>
        <v>4.6919320000000007E-2</v>
      </c>
      <c r="AP171" s="32">
        <f>_xll.BDP(AX171,"CHG_PCT_6M")/100</f>
        <v>3.6055990000000003E-2</v>
      </c>
      <c r="AQ171" s="25">
        <f>_xll.BDP(AX171,"PR079")/100</f>
        <v>3.2811390000000003E-2</v>
      </c>
      <c r="AR171" s="33">
        <f>_xll.BDP(AX171,"hs001")</f>
        <v>468.35</v>
      </c>
      <c r="AS171" s="33">
        <f>_xll.BDP(AX171,"hs002")</f>
        <v>344.79</v>
      </c>
      <c r="AT171" s="22" t="str" cm="1">
        <f t="array" ref="AT171">IF(OR(_xll.BDP($AX171,"DX202")= "#N/A N/A", _xll.BDP($AX171,"DX202")="#N/A FIELD NOT APPLICABLE"), " ", _xll.BDP($AX171,"DX202"))</f>
        <v>Information Technology</v>
      </c>
      <c r="AU171" s="22" t="str" cm="1">
        <f t="array" ref="AU171">IF(OR(_xll.BDP($AX171,"DY997")= "#N/A N/A", _xll.BDP($AX171,"DY997")="#N/A FIELD NOT APPLICABLE"), " ", _xll.BDP($AX171,"DY997"))</f>
        <v>Y</v>
      </c>
      <c r="AV171" s="22" t="str" cm="1">
        <f t="array" ref="AV171">IF(OR(_xll.BDP($AX171,"DY784")= "#N/A N/A", _xll.BDP($AX171,"DY784")="#N/A FIELD NOT APPLICABLE"), " ", _xll.BDP($AX171,"DY784"))</f>
        <v xml:space="preserve"> </v>
      </c>
      <c r="AW171" s="22" t="str">
        <f>IF(OR(AU171="Y",AV171="Y"),"Y","N")</f>
        <v>Y</v>
      </c>
      <c r="AX171" s="22" t="str">
        <f>CONCATENATE(G171," ",$AX$2)</f>
        <v>MSFT US Equity</v>
      </c>
      <c r="BC171" s="38" t="str">
        <f>_xll.BDP(AX171, "ID_ISIN")</f>
        <v>US5949181045</v>
      </c>
      <c r="BD171" s="38" t="e">
        <f>VLOOKUP(BC171,'[2]Portefeuille 4379150'!$B$3:$G$42,6,0)</f>
        <v>#N/A</v>
      </c>
      <c r="BE171" s="94">
        <v>4</v>
      </c>
      <c r="BF171" s="95"/>
      <c r="BG171" s="96">
        <v>1</v>
      </c>
    </row>
    <row r="172" spans="1:59" s="3" customFormat="1" ht="14.45" customHeight="1" x14ac:dyDescent="0.25">
      <c r="A172" s="49" t="s">
        <v>242</v>
      </c>
      <c r="B172" s="49" t="s">
        <v>327</v>
      </c>
      <c r="C172" s="49">
        <v>4371511</v>
      </c>
      <c r="D172" s="49" t="s">
        <v>248</v>
      </c>
      <c r="E172" s="22" t="str">
        <f>_xll.BDP(AX172,"SECURITY NAME")</f>
        <v>Microsoft Corp</v>
      </c>
      <c r="F172" s="22" t="str">
        <f>_xll.BDP(AX172,"CRNCY")</f>
        <v>USD</v>
      </c>
      <c r="G172" s="23" t="s">
        <v>120</v>
      </c>
      <c r="H172" s="22" t="str" cm="1">
        <f t="array" ref="H172">IF(OR(_xll.BDP($AX172,"DX202")= "#N/A N/A", _xll.BDP($AX172,"DX202")="#N/A FIELD NOT APPLICABLE"), " ", _xll.BDP($AX172,"DX202"))</f>
        <v>Information Technology</v>
      </c>
      <c r="I172" s="24">
        <f>_xll.BDP(AX172,"CRNCY_ADJ_MKT_CAP", "EQY_FUND_CRNCY=USD")/1000</f>
        <v>3235.6093207504496</v>
      </c>
      <c r="J172" s="25">
        <f>IFERROR(_xll.BDP(AX172, "DV013")/100,0)</f>
        <v>7.6263982111106467E-3</v>
      </c>
      <c r="K172" s="26" cm="1">
        <f t="array" ref="K172">IF(OR(_xll.BDP($AX172,"RR900")= "#N/A N/A", _xll.BDP($AX172,"RR900")="#N/A FIELD NOT APPLICABLE"), " ", _xll.BDP($AX172,"RR900"))</f>
        <v>33.552835298470619</v>
      </c>
      <c r="L172" s="26" cm="1">
        <f t="array" ref="L172">IF(OR(_xll.BDP($AX172,"EE010")= "#N/A N/A", _xll.BDP($AX172,"EE010")="#N/A FIELD NOT APPLICABLE"), " ", _xll.BDP($AX172,"EE010"))</f>
        <v>28.691998418138674</v>
      </c>
      <c r="M172" s="26" cm="1">
        <f t="array" ref="M172">IF(OR(_xll.BDP($AX172,"RR903")= "#N/A N/A", _xll.BDP($AX172,"RR903")="#N/A FIELD NOT APPLICABLE"), " ", _xll.BDP($AX172,"RR903"))</f>
        <v>10.05384779375075</v>
      </c>
      <c r="N172" s="26" cm="1">
        <f t="array" ref="N172">IF(OR(_xll.BDP($AX172,"RR957")= "#N/A N/A", _xll.BDP($AX172,"RR957")="#N/A FIELD NOT APPLICABLE"), " ", _xll.BDP($AX172,"RR957"))</f>
        <v>20.840855365499579</v>
      </c>
      <c r="O172" s="27">
        <v>241</v>
      </c>
      <c r="P172" s="28">
        <v>416.82</v>
      </c>
      <c r="Q172" s="22" cm="1">
        <f t="array" ref="Q172">IF(OR(_xll.BDP($AX172,"PX_last")="#N/A N/A",_xll.BDP($AX172,"PX_Last")="#N/A FIELD NOT APPLICABLE")," ",IF(F172="GBP",(_xll.BDP($AX172,"PX_LAST")/100),(_xll.BDP($AX172,"PX_LAST"))))</f>
        <v>435.33</v>
      </c>
      <c r="R172" s="29">
        <f>IF(F172="USD",AA172,(((_xll.BDP(F172&amp;"USD CURNCY","PX_LAST")))*AA172))</f>
        <v>100453.62</v>
      </c>
      <c r="S172" s="29">
        <f>IF(F172="USD",AB172,(((_xll.BDP(F172&amp;"USD CURNCY","PX_LAST")))*AB172))</f>
        <v>104914.53</v>
      </c>
      <c r="T172" s="12">
        <f>S172-R172</f>
        <v>4460.9100000000035</v>
      </c>
      <c r="U172" s="13">
        <f>T172/R172</f>
        <v>4.4407657981862712E-2</v>
      </c>
      <c r="V172" s="13" cm="1">
        <f t="array" ref="V172">IFERROR(_xll.BDP($G172&amp;" Equity","CHG_PCT_1D")/100,"")</f>
        <v>-1.925855E-3</v>
      </c>
      <c r="W172" s="13" cm="1">
        <f t="array" ref="W172">IFERROR(_xll.BDP($G172&amp;" Equity","CHG_PCT_5D")/100,"")</f>
        <v>0.10478630000000001</v>
      </c>
      <c r="X172" s="13" t="e">
        <f>S172/#REF!</f>
        <v>#REF!</v>
      </c>
      <c r="Y172" s="24">
        <f>IFERROR(S172*J172,0)</f>
        <v>800.11998391151428</v>
      </c>
      <c r="Z172" s="24">
        <f>S172</f>
        <v>104914.53</v>
      </c>
      <c r="AA172" s="29">
        <f>P172*O172</f>
        <v>100453.62</v>
      </c>
      <c r="AB172" s="29">
        <f>IFERROR(O172*Q172,0)</f>
        <v>104914.53</v>
      </c>
      <c r="AC172" s="4" t="e" cm="1">
        <f t="array" ref="AC172">VLOOKUP(IF(NOT(_xll.BDP(AX172,$BW$8)="#N/A N/A"),(_xll.BDP(AX172,$BW$8)),"-"), '[1]Country Codes'!$A$2:$B$253,2,0)</f>
        <v>#N/A</v>
      </c>
      <c r="AD172" s="30" t="str" cm="1">
        <f t="array" ref="AD172">IF(OR(_xll.BDP($AX172,"EX028")= "#N/A N/A", _xll.BDP($AX172,"EX028")="#N/A FIELD NOT APPLICABLE"), " ", _xll.BDP($AX172,"EX028"))</f>
        <v>Equity</v>
      </c>
      <c r="AE172" s="31" t="str">
        <f>IF(("AS97"="Equity"), " ", "Single Line Equity")</f>
        <v>Single Line Equity</v>
      </c>
      <c r="AF172" s="26" cm="1">
        <f t="array" ref="AF172">IF(OR(_xll.BDP($AX172,"RR908")= "#N/A N/A", _xll.BDP($AX172,"RR908")="#N/A FIELD NOT APPLICABLE"), " ", _xll.BDP($AX172,"RR908"))</f>
        <v>24.757704935253638</v>
      </c>
      <c r="AG172" s="26" cm="1">
        <f t="array" ref="AG172">IF(OR(_xll.BDP($AX172,"RR041")= "#N/A N/A", _xll.BDP($AX172,"RR041")="#N/A FIELD NOT APPLICABLE"), " ", _xll.BDP($AX172,"RR041"))</f>
        <v>19.105636291571237</v>
      </c>
      <c r="AH172" s="22">
        <f>_xll.BDP(AX172,"TOT_BUY_REC")</f>
        <v>67</v>
      </c>
      <c r="AI172" s="22">
        <f>_xll.BDP(AX172,"TOT_HOLD_REC")</f>
        <v>5</v>
      </c>
      <c r="AJ172" s="22">
        <f>_xll.BDP(AX172,"TOT_SELL_REC")</f>
        <v>0</v>
      </c>
      <c r="AK172" s="26" cm="1">
        <f t="array" ref="AK172">IF(OR(_xll.BDP($AX172,"EE201")= "#N/A N/A", _xll.BDP($AX172,"EE201")="#N/A FIELD NOT APPLICABLE"), " ", _xll.BDP($AX172,"EE201"))</f>
        <v>4.8333334922790527</v>
      </c>
      <c r="AL172" s="24">
        <f>_xll.BDP(AX172,"BEST_TARGET_PRICE")</f>
        <v>508.44259643554688</v>
      </c>
      <c r="AM172" s="32">
        <f>(AL172/Q172)-1</f>
        <v>0.16794752586669159</v>
      </c>
      <c r="AN172" s="32">
        <f>_xll.BDP(AX172,"PR061")/100</f>
        <v>0.20978770000000002</v>
      </c>
      <c r="AO172" s="32">
        <f>_xll.BDP(AX172,"PR064")/100</f>
        <v>4.6919320000000007E-2</v>
      </c>
      <c r="AP172" s="32">
        <f>_xll.BDP(AX172,"CHG_PCT_6M")/100</f>
        <v>3.6055990000000003E-2</v>
      </c>
      <c r="AQ172" s="25">
        <f>_xll.BDP(AX172,"PR079")/100</f>
        <v>3.2811390000000003E-2</v>
      </c>
      <c r="AR172" s="33">
        <f>_xll.BDP(AX172,"hs001")</f>
        <v>468.35</v>
      </c>
      <c r="AS172" s="33">
        <f>_xll.BDP(AX172,"hs002")</f>
        <v>344.79</v>
      </c>
      <c r="AT172" s="22" t="str" cm="1">
        <f t="array" ref="AT172">IF(OR(_xll.BDP($AX172,"DX202")= "#N/A N/A", _xll.BDP($AX172,"DX202")="#N/A FIELD NOT APPLICABLE"), " ", _xll.BDP($AX172,"DX202"))</f>
        <v>Information Technology</v>
      </c>
      <c r="AU172" s="22" t="str" cm="1">
        <f t="array" ref="AU172">IF(OR(_xll.BDP($AX172,"DY997")= "#N/A N/A", _xll.BDP($AX172,"DY997")="#N/A FIELD NOT APPLICABLE"), " ", _xll.BDP($AX172,"DY997"))</f>
        <v>Y</v>
      </c>
      <c r="AV172" s="22" t="str" cm="1">
        <f t="array" ref="AV172">IF(OR(_xll.BDP($AX172,"DY784")= "#N/A N/A", _xll.BDP($AX172,"DY784")="#N/A FIELD NOT APPLICABLE"), " ", _xll.BDP($AX172,"DY784"))</f>
        <v xml:space="preserve"> </v>
      </c>
      <c r="AW172" s="22" t="str">
        <f>IF(OR(AU172="Y",AV172="Y"),"Y","N")</f>
        <v>Y</v>
      </c>
      <c r="AX172" s="22" t="str">
        <f>CONCATENATE(G172," ",$AX$2)</f>
        <v>MSFT US Equity</v>
      </c>
      <c r="BC172" s="17" t="str">
        <f>_xll.BDP(AX172, "ID_ISIN")</f>
        <v>US5949181045</v>
      </c>
      <c r="BD172" s="17" t="e">
        <f>VLOOKUP(BC172,'[2]Portefeuille 4379150'!$B$3:$G$42,6,0)</f>
        <v>#N/A</v>
      </c>
      <c r="BE172" s="18">
        <v>4</v>
      </c>
      <c r="BF172" s="19">
        <v>45596</v>
      </c>
      <c r="BG172" s="20">
        <v>1</v>
      </c>
    </row>
    <row r="173" spans="1:59" s="3" customFormat="1" ht="14.45" customHeight="1" x14ac:dyDescent="0.25">
      <c r="A173" s="49" t="s">
        <v>242</v>
      </c>
      <c r="B173" s="49" t="s">
        <v>246</v>
      </c>
      <c r="C173" s="49" t="s">
        <v>247</v>
      </c>
      <c r="D173" s="49" t="s">
        <v>248</v>
      </c>
      <c r="E173" s="22" t="str">
        <f>_xll.BDP(AX173,"SECURITY NAME")</f>
        <v>Microsoft Corp</v>
      </c>
      <c r="F173" s="22" t="str">
        <f>_xll.BDP(AX173,"CRNCY")</f>
        <v>USD</v>
      </c>
      <c r="G173" s="23" t="s">
        <v>120</v>
      </c>
      <c r="H173" s="22" t="str" cm="1">
        <f t="array" ref="H173">IF(OR(_xll.BDP($AX173,"DX202")= "#N/A N/A", _xll.BDP($AX173,"DX202")="#N/A FIELD NOT APPLICABLE"), " ", _xll.BDP($AX173,"DX202"))</f>
        <v>Information Technology</v>
      </c>
      <c r="I173" s="24">
        <f>_xll.BDP(AX173,"CRNCY_ADJ_MKT_CAP", "EQY_FUND_CRNCY=USD")/1000</f>
        <v>3235.6093207504496</v>
      </c>
      <c r="J173" s="25">
        <f>IFERROR(_xll.BDP(AX173, "DV013")/100,0)</f>
        <v>7.6263982111106467E-3</v>
      </c>
      <c r="K173" s="26" cm="1">
        <f t="array" ref="K173">IF(OR(_xll.BDP($AX173,"RR900")= "#N/A N/A", _xll.BDP($AX173,"RR900")="#N/A FIELD NOT APPLICABLE"), " ", _xll.BDP($AX173,"RR900"))</f>
        <v>33.552835298470619</v>
      </c>
      <c r="L173" s="26" cm="1">
        <f t="array" ref="L173">IF(OR(_xll.BDP($AX173,"EE010")= "#N/A N/A", _xll.BDP($AX173,"EE010")="#N/A FIELD NOT APPLICABLE"), " ", _xll.BDP($AX173,"EE010"))</f>
        <v>28.691998418138674</v>
      </c>
      <c r="M173" s="26" cm="1">
        <f t="array" ref="M173">IF(OR(_xll.BDP($AX173,"RR903")= "#N/A N/A", _xll.BDP($AX173,"RR903")="#N/A FIELD NOT APPLICABLE"), " ", _xll.BDP($AX173,"RR903"))</f>
        <v>10.05384779375075</v>
      </c>
      <c r="N173" s="26" cm="1">
        <f t="array" ref="N173">IF(OR(_xll.BDP($AX173,"RR957")= "#N/A N/A", _xll.BDP($AX173,"RR957")="#N/A FIELD NOT APPLICABLE"), " ", _xll.BDP($AX173,"RR957"))</f>
        <v>20.840855365499579</v>
      </c>
      <c r="O173" s="27">
        <v>321</v>
      </c>
      <c r="P173" s="28">
        <v>371.41</v>
      </c>
      <c r="Q173" s="22" cm="1">
        <f t="array" ref="Q173">IF(OR(_xll.BDP($AX173,"PX_last")="#N/A N/A",_xll.BDP($AX173,"PX_Last")="#N/A FIELD NOT APPLICABLE")," ",IF(F173="GBP",(_xll.BDP($AX173,"PX_LAST")/100),(_xll.BDP($AX173,"PX_LAST"))))</f>
        <v>435.33</v>
      </c>
      <c r="R173" s="29">
        <f>IF(F173="USD",AA173,(((_xll.BDP(F173&amp;"USD CURNCY","PX_LAST")))*AA173))</f>
        <v>119222.61000000002</v>
      </c>
      <c r="S173" s="29">
        <f>IF(F173="USD",AB173,(((_xll.BDP(F173&amp;"USD CURNCY","PX_LAST")))*AB173))</f>
        <v>139740.93</v>
      </c>
      <c r="T173" s="12">
        <f>S173-R173</f>
        <v>20518.319999999978</v>
      </c>
      <c r="U173" s="13">
        <f>T173/R173</f>
        <v>0.17210091273794439</v>
      </c>
      <c r="V173" s="13" cm="1">
        <f t="array" ref="V173">IFERROR(_xll.BDP($G173&amp;" Equity","CHG_PCT_1D")/100,"")</f>
        <v>-1.925855E-3</v>
      </c>
      <c r="W173" s="13" cm="1">
        <f t="array" ref="W173">IFERROR(_xll.BDP($G173&amp;" Equity","CHG_PCT_5D")/100,"")</f>
        <v>0.10478630000000001</v>
      </c>
      <c r="X173" s="13" t="e">
        <f>S173/#REF!</f>
        <v>#REF!</v>
      </c>
      <c r="Y173" s="24">
        <f>IFERROR(S173*J173,0)</f>
        <v>1065.7199785709381</v>
      </c>
      <c r="Z173" s="24">
        <f>S173</f>
        <v>139740.93</v>
      </c>
      <c r="AA173" s="29">
        <f>P173*O173</f>
        <v>119222.61000000002</v>
      </c>
      <c r="AB173" s="29">
        <f>IFERROR(O173*Q173,0)</f>
        <v>139740.93</v>
      </c>
      <c r="AC173" s="4" t="e" cm="1">
        <f t="array" ref="AC173">VLOOKUP(IF(NOT(_xll.BDP(AX173,$BW$8)="#N/A N/A"),(_xll.BDP(AX173,$BW$8)),"-"), '[1]Country Codes'!$A$2:$B$253,2,0)</f>
        <v>#N/A</v>
      </c>
      <c r="AD173" s="30" t="str" cm="1">
        <f t="array" ref="AD173">IF(OR(_xll.BDP($AX173,"EX028")= "#N/A N/A", _xll.BDP($AX173,"EX028")="#N/A FIELD NOT APPLICABLE"), " ", _xll.BDP($AX173,"EX028"))</f>
        <v>Equity</v>
      </c>
      <c r="AE173" s="31" t="str">
        <f>IF(("AS97"="Equity"), " ", "Single Line Equity")</f>
        <v>Single Line Equity</v>
      </c>
      <c r="AF173" s="26" cm="1">
        <f t="array" ref="AF173">IF(OR(_xll.BDP($AX173,"RR908")= "#N/A N/A", _xll.BDP($AX173,"RR908")="#N/A FIELD NOT APPLICABLE"), " ", _xll.BDP($AX173,"RR908"))</f>
        <v>24.757704935253638</v>
      </c>
      <c r="AG173" s="26" cm="1">
        <f t="array" ref="AG173">IF(OR(_xll.BDP($AX173,"RR041")= "#N/A N/A", _xll.BDP($AX173,"RR041")="#N/A FIELD NOT APPLICABLE"), " ", _xll.BDP($AX173,"RR041"))</f>
        <v>19.105636291571237</v>
      </c>
      <c r="AH173" s="22">
        <f>_xll.BDP(AX173,"TOT_BUY_REC")</f>
        <v>67</v>
      </c>
      <c r="AI173" s="22">
        <f>_xll.BDP(AX173,"TOT_HOLD_REC")</f>
        <v>5</v>
      </c>
      <c r="AJ173" s="22">
        <f>_xll.BDP(AX173,"TOT_SELL_REC")</f>
        <v>0</v>
      </c>
      <c r="AK173" s="26" cm="1">
        <f t="array" ref="AK173">IF(OR(_xll.BDP($AX173,"EE201")= "#N/A N/A", _xll.BDP($AX173,"EE201")="#N/A FIELD NOT APPLICABLE"), " ", _xll.BDP($AX173,"EE201"))</f>
        <v>4.8333334922790527</v>
      </c>
      <c r="AL173" s="24">
        <f>_xll.BDP(AX173,"BEST_TARGET_PRICE")</f>
        <v>508.44259643554688</v>
      </c>
      <c r="AM173" s="32">
        <f>(AL173/Q173)-1</f>
        <v>0.16794752586669159</v>
      </c>
      <c r="AN173" s="32">
        <f>_xll.BDP(AX173,"PR061")/100</f>
        <v>0.20978770000000002</v>
      </c>
      <c r="AO173" s="32">
        <f>_xll.BDP(AX173,"PR064")/100</f>
        <v>4.6919320000000007E-2</v>
      </c>
      <c r="AP173" s="32">
        <f>_xll.BDP(AX173,"CHG_PCT_6M")/100</f>
        <v>3.6055990000000003E-2</v>
      </c>
      <c r="AQ173" s="25">
        <f>_xll.BDP(AX173,"PR079")/100</f>
        <v>3.2811390000000003E-2</v>
      </c>
      <c r="AR173" s="33">
        <f>_xll.BDP(AX173,"hs001")</f>
        <v>468.35</v>
      </c>
      <c r="AS173" s="33">
        <f>_xll.BDP(AX173,"hs002")</f>
        <v>344.79</v>
      </c>
      <c r="AT173" s="22" t="str" cm="1">
        <f t="array" ref="AT173">IF(OR(_xll.BDP($AX173,"DX202")= "#N/A N/A", _xll.BDP($AX173,"DX202")="#N/A FIELD NOT APPLICABLE"), " ", _xll.BDP($AX173,"DX202"))</f>
        <v>Information Technology</v>
      </c>
      <c r="AU173" s="22" t="str" cm="1">
        <f t="array" ref="AU173">IF(OR(_xll.BDP($AX173,"DY997")= "#N/A N/A", _xll.BDP($AX173,"DY997")="#N/A FIELD NOT APPLICABLE"), " ", _xll.BDP($AX173,"DY997"))</f>
        <v>Y</v>
      </c>
      <c r="AV173" s="22" t="str" cm="1">
        <f t="array" ref="AV173">IF(OR(_xll.BDP($AX173,"DY784")= "#N/A N/A", _xll.BDP($AX173,"DY784")="#N/A FIELD NOT APPLICABLE"), " ", _xll.BDP($AX173,"DY784"))</f>
        <v xml:space="preserve"> </v>
      </c>
      <c r="AW173" s="22" t="str">
        <f>IF(OR(AU173="Y",AV173="Y"),"Y","N")</f>
        <v>Y</v>
      </c>
      <c r="AX173" s="22" t="str">
        <f>CONCATENATE(G173," ",$AX$2)</f>
        <v>MSFT US Equity</v>
      </c>
      <c r="BC173" s="17" t="str" cm="1">
        <f t="array" ref="BC173">_xll.BDP(AX173,"ID005")</f>
        <v>US5949181045</v>
      </c>
      <c r="BD173" s="17">
        <v>0</v>
      </c>
      <c r="BE173" s="18">
        <v>4</v>
      </c>
      <c r="BF173" s="19">
        <v>45567</v>
      </c>
      <c r="BG173" s="20">
        <v>1</v>
      </c>
    </row>
    <row r="174" spans="1:59" s="3" customFormat="1" ht="14.45" customHeight="1" x14ac:dyDescent="0.25">
      <c r="A174" s="49" t="s">
        <v>241</v>
      </c>
      <c r="B174" s="49" t="s">
        <v>249</v>
      </c>
      <c r="C174" s="49" t="s">
        <v>250</v>
      </c>
      <c r="D174" s="49" t="s">
        <v>240</v>
      </c>
      <c r="E174" s="22" t="str">
        <f>_xll.BDP(AX174,"SECURITY NAME")</f>
        <v>Microsoft Corp</v>
      </c>
      <c r="F174" s="22" t="str">
        <f>_xll.BDP(AX174,"CRNCY")</f>
        <v>USD</v>
      </c>
      <c r="G174" s="23" t="s">
        <v>120</v>
      </c>
      <c r="H174" s="22" t="str" cm="1">
        <f t="array" ref="H174">IF(OR(_xll.BDP($AX174,"DX202")= "#N/A N/A", _xll.BDP($AX174,"DX202")="#N/A FIELD NOT APPLICABLE"), " ", _xll.BDP($AX174,"DX202"))</f>
        <v>Information Technology</v>
      </c>
      <c r="I174" s="24">
        <f>_xll.BDP(AX174,"CRNCY_ADJ_MKT_CAP", "EQY_FUND_CRNCY=USD")/1000</f>
        <v>3235.6093207504496</v>
      </c>
      <c r="J174" s="25">
        <f>IFERROR(_xll.BDP(AX174, "DV013")/100,0)</f>
        <v>7.6263982111106467E-3</v>
      </c>
      <c r="K174" s="26" cm="1">
        <f t="array" ref="K174">IF(OR(_xll.BDP($AX174,"RR900")= "#N/A N/A", _xll.BDP($AX174,"RR900")="#N/A FIELD NOT APPLICABLE"), " ", _xll.BDP($AX174,"RR900"))</f>
        <v>33.552835298470619</v>
      </c>
      <c r="L174" s="26" cm="1">
        <f t="array" ref="L174">IF(OR(_xll.BDP($AX174,"EE010")= "#N/A N/A", _xll.BDP($AX174,"EE010")="#N/A FIELD NOT APPLICABLE"), " ", _xll.BDP($AX174,"EE010"))</f>
        <v>28.691998418138674</v>
      </c>
      <c r="M174" s="26" cm="1">
        <f t="array" ref="M174">IF(OR(_xll.BDP($AX174,"RR903")= "#N/A N/A", _xll.BDP($AX174,"RR903")="#N/A FIELD NOT APPLICABLE"), " ", _xll.BDP($AX174,"RR903"))</f>
        <v>10.05384779375075</v>
      </c>
      <c r="N174" s="26" cm="1">
        <f t="array" ref="N174">IF(OR(_xll.BDP($AX174,"RR957")= "#N/A N/A", _xll.BDP($AX174,"RR957")="#N/A FIELD NOT APPLICABLE"), " ", _xll.BDP($AX174,"RR957"))</f>
        <v>20.840855365499579</v>
      </c>
      <c r="O174" s="27">
        <v>143</v>
      </c>
      <c r="P174" s="28">
        <v>415.15</v>
      </c>
      <c r="Q174" s="22" cm="1">
        <f t="array" ref="Q174">IF(OR(_xll.BDP($AX174,"PX_last")="#N/A N/A",_xll.BDP($AX174,"PX_Last")="#N/A FIELD NOT APPLICABLE")," ",IF(F174="GBP",(_xll.BDP($AX174,"PX_LAST")/100),(_xll.BDP($AX174,"PX_LAST"))))</f>
        <v>435.33</v>
      </c>
      <c r="R174" s="29">
        <f>IF(F174="USD",AA174,(((_xll.BDP(F174&amp;"USD CURNCY","PX_LAST")))*AA174))</f>
        <v>59366.45</v>
      </c>
      <c r="S174" s="29">
        <f>IF(F174="USD",AB174,(((_xll.BDP(F174&amp;"USD CURNCY","PX_LAST")))*AB174))</f>
        <v>62252.189999999995</v>
      </c>
      <c r="T174" s="12">
        <f>S174-R174</f>
        <v>2885.739999999998</v>
      </c>
      <c r="U174" s="13">
        <f>T174/R174</f>
        <v>4.8608936528965405E-2</v>
      </c>
      <c r="V174" s="13" cm="1">
        <f t="array" ref="V174">IFERROR(_xll.BDP($G174&amp;" Equity","CHG_PCT_1D")/100,"")</f>
        <v>-1.925855E-3</v>
      </c>
      <c r="W174" s="13" cm="1">
        <f t="array" ref="W174">IFERROR(_xll.BDP($G174&amp;" Equity","CHG_PCT_5D")/100,"")</f>
        <v>0.10478630000000001</v>
      </c>
      <c r="X174" s="13" t="e">
        <f>S174/#REF!</f>
        <v>#REF!</v>
      </c>
      <c r="Y174" s="24">
        <f>IFERROR(S174*J174,0)</f>
        <v>474.75999045372004</v>
      </c>
      <c r="Z174" s="24">
        <f>S174</f>
        <v>62252.189999999995</v>
      </c>
      <c r="AA174" s="29">
        <f>P174*O174</f>
        <v>59366.45</v>
      </c>
      <c r="AB174" s="29">
        <f>IFERROR(O174*Q174,0)</f>
        <v>62252.189999999995</v>
      </c>
      <c r="AC174" s="4" t="e" cm="1">
        <f t="array" ref="AC174">VLOOKUP(IF(NOT(_xll.BDP(AX174,$BW$8)="#N/A N/A"),(_xll.BDP(AX174,$BW$8)),"-"), '[1]Country Codes'!$A$2:$B$253,2,0)</f>
        <v>#N/A</v>
      </c>
      <c r="AD174" s="30" t="str" cm="1">
        <f t="array" ref="AD174">IF(OR(_xll.BDP($AX174,"EX028")= "#N/A N/A", _xll.BDP($AX174,"EX028")="#N/A FIELD NOT APPLICABLE"), " ", _xll.BDP($AX174,"EX028"))</f>
        <v>Equity</v>
      </c>
      <c r="AE174" s="31" t="str">
        <f>IF(("AS97"="Equity"), " ", "Single Line Equity")</f>
        <v>Single Line Equity</v>
      </c>
      <c r="AF174" s="26" cm="1">
        <f t="array" ref="AF174">IF(OR(_xll.BDP($AX174,"RR908")= "#N/A N/A", _xll.BDP($AX174,"RR908")="#N/A FIELD NOT APPLICABLE"), " ", _xll.BDP($AX174,"RR908"))</f>
        <v>24.757704935253638</v>
      </c>
      <c r="AG174" s="26" cm="1">
        <f t="array" ref="AG174">IF(OR(_xll.BDP($AX174,"RR041")= "#N/A N/A", _xll.BDP($AX174,"RR041")="#N/A FIELD NOT APPLICABLE"), " ", _xll.BDP($AX174,"RR041"))</f>
        <v>19.105636291571237</v>
      </c>
      <c r="AH174" s="22">
        <f>_xll.BDP(AX174,"TOT_BUY_REC")</f>
        <v>67</v>
      </c>
      <c r="AI174" s="22">
        <f>_xll.BDP(AX174,"TOT_HOLD_REC")</f>
        <v>5</v>
      </c>
      <c r="AJ174" s="22">
        <f>_xll.BDP(AX174,"TOT_SELL_REC")</f>
        <v>0</v>
      </c>
      <c r="AK174" s="26" cm="1">
        <f t="array" ref="AK174">IF(OR(_xll.BDP($AX174,"EE201")= "#N/A N/A", _xll.BDP($AX174,"EE201")="#N/A FIELD NOT APPLICABLE"), " ", _xll.BDP($AX174,"EE201"))</f>
        <v>4.8333334922790527</v>
      </c>
      <c r="AL174" s="24">
        <f>_xll.BDP(AX174,"BEST_TARGET_PRICE")</f>
        <v>508.44259643554688</v>
      </c>
      <c r="AM174" s="32">
        <f>(AL174/Q174)-1</f>
        <v>0.16794752586669159</v>
      </c>
      <c r="AN174" s="32">
        <f>_xll.BDP(AX174,"PR061")/100</f>
        <v>0.20978770000000002</v>
      </c>
      <c r="AO174" s="32">
        <f>_xll.BDP(AX174,"PR064")/100</f>
        <v>4.6919320000000007E-2</v>
      </c>
      <c r="AP174" s="32">
        <f>_xll.BDP(AX174,"CHG_PCT_6M")/100</f>
        <v>3.6055990000000003E-2</v>
      </c>
      <c r="AQ174" s="25">
        <f>_xll.BDP(AX174,"PR079")/100</f>
        <v>3.2811390000000003E-2</v>
      </c>
      <c r="AR174" s="33">
        <f>_xll.BDP(AX174,"hs001")</f>
        <v>468.35</v>
      </c>
      <c r="AS174" s="33">
        <f>_xll.BDP(AX174,"hs002")</f>
        <v>344.79</v>
      </c>
      <c r="AT174" s="22" t="str" cm="1">
        <f t="array" ref="AT174">IF(OR(_xll.BDP($AX174,"DX202")= "#N/A N/A", _xll.BDP($AX174,"DX202")="#N/A FIELD NOT APPLICABLE"), " ", _xll.BDP($AX174,"DX202"))</f>
        <v>Information Technology</v>
      </c>
      <c r="AU174" s="22" t="str" cm="1">
        <f t="array" ref="AU174">IF(OR(_xll.BDP($AX174,"DY997")= "#N/A N/A", _xll.BDP($AX174,"DY997")="#N/A FIELD NOT APPLICABLE"), " ", _xll.BDP($AX174,"DY997"))</f>
        <v>Y</v>
      </c>
      <c r="AV174" s="22" t="str" cm="1">
        <f t="array" ref="AV174">IF(OR(_xll.BDP($AX174,"DY784")= "#N/A N/A", _xll.BDP($AX174,"DY784")="#N/A FIELD NOT APPLICABLE"), " ", _xll.BDP($AX174,"DY784"))</f>
        <v xml:space="preserve"> </v>
      </c>
      <c r="AW174" s="22" t="str">
        <f>IF(OR(AU174="Y",AV174="Y"),"Y","N")</f>
        <v>Y</v>
      </c>
      <c r="AX174" s="22" t="str">
        <f>CONCATENATE(G174," ",$AX$2)</f>
        <v>MSFT US Equity</v>
      </c>
      <c r="BC174" s="17" t="str" cm="1">
        <f t="array" ref="BC174">_xll.BDP(AX174,"ID005")</f>
        <v>US5949181045</v>
      </c>
      <c r="BD174" s="17">
        <v>0</v>
      </c>
      <c r="BE174" s="18">
        <v>4</v>
      </c>
      <c r="BF174" s="19">
        <v>45567</v>
      </c>
      <c r="BG174" s="20">
        <v>1</v>
      </c>
    </row>
    <row r="175" spans="1:59" s="3" customFormat="1" ht="14.45" customHeight="1" x14ac:dyDescent="0.25">
      <c r="A175" s="49" t="s">
        <v>241</v>
      </c>
      <c r="B175" s="49" t="s">
        <v>251</v>
      </c>
      <c r="C175" s="49" t="s">
        <v>252</v>
      </c>
      <c r="D175" s="49" t="s">
        <v>240</v>
      </c>
      <c r="E175" s="22" t="str">
        <f>_xll.BDP(AX175,"SECURITY NAME")</f>
        <v>Microsoft Corp</v>
      </c>
      <c r="F175" s="22" t="str">
        <f>_xll.BDP(AX175,"CRNCY")</f>
        <v>USD</v>
      </c>
      <c r="G175" s="23" t="s">
        <v>120</v>
      </c>
      <c r="H175" s="22" t="str" cm="1">
        <f t="array" ref="H175">IF(OR(_xll.BDP($AX175,"DX202")= "#N/A N/A", _xll.BDP($AX175,"DX202")="#N/A FIELD NOT APPLICABLE"), " ", _xll.BDP($AX175,"DX202"))</f>
        <v>Information Technology</v>
      </c>
      <c r="I175" s="24">
        <f>_xll.BDP(AX175,"CRNCY_ADJ_MKT_CAP", "EQY_FUND_CRNCY=USD")/1000</f>
        <v>3235.6093207504496</v>
      </c>
      <c r="J175" s="25">
        <f>IFERROR(_xll.BDP(AX175, "DV013")/100,0)</f>
        <v>7.6263982111106467E-3</v>
      </c>
      <c r="K175" s="26" cm="1">
        <f t="array" ref="K175">IF(OR(_xll.BDP($AX175,"RR900")= "#N/A N/A", _xll.BDP($AX175,"RR900")="#N/A FIELD NOT APPLICABLE"), " ", _xll.BDP($AX175,"RR900"))</f>
        <v>33.552835298470619</v>
      </c>
      <c r="L175" s="26" cm="1">
        <f t="array" ref="L175">IF(OR(_xll.BDP($AX175,"EE010")= "#N/A N/A", _xll.BDP($AX175,"EE010")="#N/A FIELD NOT APPLICABLE"), " ", _xll.BDP($AX175,"EE010"))</f>
        <v>28.691998418138674</v>
      </c>
      <c r="M175" s="26" cm="1">
        <f t="array" ref="M175">IF(OR(_xll.BDP($AX175,"RR903")= "#N/A N/A", _xll.BDP($AX175,"RR903")="#N/A FIELD NOT APPLICABLE"), " ", _xll.BDP($AX175,"RR903"))</f>
        <v>10.05384779375075</v>
      </c>
      <c r="N175" s="26" cm="1">
        <f t="array" ref="N175">IF(OR(_xll.BDP($AX175,"RR957")= "#N/A N/A", _xll.BDP($AX175,"RR957")="#N/A FIELD NOT APPLICABLE"), " ", _xll.BDP($AX175,"RR957"))</f>
        <v>20.840855365499579</v>
      </c>
      <c r="O175" s="27">
        <v>165</v>
      </c>
      <c r="P175" s="28">
        <v>415.5</v>
      </c>
      <c r="Q175" s="22" cm="1">
        <f t="array" ref="Q175">IF(OR(_xll.BDP($AX175,"PX_last")="#N/A N/A",_xll.BDP($AX175,"PX_Last")="#N/A FIELD NOT APPLICABLE")," ",IF(F175="GBP",(_xll.BDP($AX175,"PX_LAST")/100),(_xll.BDP($AX175,"PX_LAST"))))</f>
        <v>435.33</v>
      </c>
      <c r="R175" s="29">
        <f>IF(F175="USD",AA175,(((_xll.BDP(F175&amp;"USD CURNCY","PX_LAST")))*AA175))</f>
        <v>68557.5</v>
      </c>
      <c r="S175" s="29">
        <f>IF(F175="USD",AB175,(((_xll.BDP(F175&amp;"USD CURNCY","PX_LAST")))*AB175))</f>
        <v>71829.45</v>
      </c>
      <c r="T175" s="12">
        <f>S175-R175</f>
        <v>3271.9499999999971</v>
      </c>
      <c r="U175" s="13">
        <f>T175/R175</f>
        <v>4.7725631768953024E-2</v>
      </c>
      <c r="V175" s="13" cm="1">
        <f t="array" ref="V175">IFERROR(_xll.BDP($G175&amp;" Equity","CHG_PCT_1D")/100,"")</f>
        <v>-1.925855E-3</v>
      </c>
      <c r="W175" s="13" cm="1">
        <f t="array" ref="W175">IFERROR(_xll.BDP($G175&amp;" Equity","CHG_PCT_5D")/100,"")</f>
        <v>0.10478630000000001</v>
      </c>
      <c r="X175" s="13" t="e">
        <f>S175/#REF!</f>
        <v>#REF!</v>
      </c>
      <c r="Y175" s="24">
        <f>IFERROR(S175*J175,0)</f>
        <v>547.79998898506165</v>
      </c>
      <c r="Z175" s="24">
        <f>S175</f>
        <v>71829.45</v>
      </c>
      <c r="AA175" s="29">
        <f>P175*O175</f>
        <v>68557.5</v>
      </c>
      <c r="AB175" s="29">
        <f>IFERROR(O175*Q175,0)</f>
        <v>71829.45</v>
      </c>
      <c r="AC175" s="4" t="e" cm="1">
        <f t="array" ref="AC175">VLOOKUP(IF(NOT(_xll.BDP(AX175,$BW$8)="#N/A N/A"),(_xll.BDP(AX175,$BW$8)),"-"), '[1]Country Codes'!$A$2:$B$253,2,0)</f>
        <v>#N/A</v>
      </c>
      <c r="AD175" s="30" t="str" cm="1">
        <f t="array" ref="AD175">IF(OR(_xll.BDP($AX175,"EX028")= "#N/A N/A", _xll.BDP($AX175,"EX028")="#N/A FIELD NOT APPLICABLE"), " ", _xll.BDP($AX175,"EX028"))</f>
        <v>Equity</v>
      </c>
      <c r="AE175" s="31" t="str">
        <f>IF(("AS97"="Equity"), " ", "Single Line Equity")</f>
        <v>Single Line Equity</v>
      </c>
      <c r="AF175" s="26" cm="1">
        <f t="array" ref="AF175">IF(OR(_xll.BDP($AX175,"RR908")= "#N/A N/A", _xll.BDP($AX175,"RR908")="#N/A FIELD NOT APPLICABLE"), " ", _xll.BDP($AX175,"RR908"))</f>
        <v>24.757704935253638</v>
      </c>
      <c r="AG175" s="26" cm="1">
        <f t="array" ref="AG175">IF(OR(_xll.BDP($AX175,"RR041")= "#N/A N/A", _xll.BDP($AX175,"RR041")="#N/A FIELD NOT APPLICABLE"), " ", _xll.BDP($AX175,"RR041"))</f>
        <v>19.105636291571237</v>
      </c>
      <c r="AH175" s="22">
        <f>_xll.BDP(AX175,"TOT_BUY_REC")</f>
        <v>67</v>
      </c>
      <c r="AI175" s="22">
        <f>_xll.BDP(AX175,"TOT_HOLD_REC")</f>
        <v>5</v>
      </c>
      <c r="AJ175" s="22">
        <f>_xll.BDP(AX175,"TOT_SELL_REC")</f>
        <v>0</v>
      </c>
      <c r="AK175" s="26" cm="1">
        <f t="array" ref="AK175">IF(OR(_xll.BDP($AX175,"EE201")= "#N/A N/A", _xll.BDP($AX175,"EE201")="#N/A FIELD NOT APPLICABLE"), " ", _xll.BDP($AX175,"EE201"))</f>
        <v>4.8333334922790527</v>
      </c>
      <c r="AL175" s="24">
        <f>_xll.BDP(AX175,"BEST_TARGET_PRICE")</f>
        <v>508.44259643554688</v>
      </c>
      <c r="AM175" s="32">
        <f>(AL175/Q175)-1</f>
        <v>0.16794752586669159</v>
      </c>
      <c r="AN175" s="32">
        <f>_xll.BDP(AX175,"PR061")/100</f>
        <v>0.20978770000000002</v>
      </c>
      <c r="AO175" s="32">
        <f>_xll.BDP(AX175,"PR064")/100</f>
        <v>4.6919320000000007E-2</v>
      </c>
      <c r="AP175" s="32">
        <f>_xll.BDP(AX175,"CHG_PCT_6M")/100</f>
        <v>3.6055990000000003E-2</v>
      </c>
      <c r="AQ175" s="25">
        <f>_xll.BDP(AX175,"PR079")/100</f>
        <v>3.2811390000000003E-2</v>
      </c>
      <c r="AR175" s="33">
        <f>_xll.BDP(AX175,"hs001")</f>
        <v>468.35</v>
      </c>
      <c r="AS175" s="33">
        <f>_xll.BDP(AX175,"hs002")</f>
        <v>344.79</v>
      </c>
      <c r="AT175" s="22" t="str" cm="1">
        <f t="array" ref="AT175">IF(OR(_xll.BDP($AX175,"DX202")= "#N/A N/A", _xll.BDP($AX175,"DX202")="#N/A FIELD NOT APPLICABLE"), " ", _xll.BDP($AX175,"DX202"))</f>
        <v>Information Technology</v>
      </c>
      <c r="AU175" s="22" t="str" cm="1">
        <f t="array" ref="AU175">IF(OR(_xll.BDP($AX175,"DY997")= "#N/A N/A", _xll.BDP($AX175,"DY997")="#N/A FIELD NOT APPLICABLE"), " ", _xll.BDP($AX175,"DY997"))</f>
        <v>Y</v>
      </c>
      <c r="AV175" s="22" t="str" cm="1">
        <f t="array" ref="AV175">IF(OR(_xll.BDP($AX175,"DY784")= "#N/A N/A", _xll.BDP($AX175,"DY784")="#N/A FIELD NOT APPLICABLE"), " ", _xll.BDP($AX175,"DY784"))</f>
        <v xml:space="preserve"> </v>
      </c>
      <c r="AW175" s="22" t="str">
        <f>IF(OR(AU175="Y",AV175="Y"),"Y","N")</f>
        <v>Y</v>
      </c>
      <c r="AX175" s="22" t="str">
        <f>CONCATENATE(G175," ",$AX$2)</f>
        <v>MSFT US Equity</v>
      </c>
      <c r="BC175" s="17" t="str" cm="1">
        <f t="array" ref="BC175">_xll.BDP(AX175,"ID005")</f>
        <v>US5949181045</v>
      </c>
      <c r="BD175" s="17">
        <v>0</v>
      </c>
      <c r="BE175" s="18">
        <v>4</v>
      </c>
      <c r="BF175" s="19">
        <v>45567</v>
      </c>
      <c r="BG175" s="20">
        <v>1</v>
      </c>
    </row>
    <row r="176" spans="1:59" s="3" customFormat="1" ht="14.45" customHeight="1" x14ac:dyDescent="0.25">
      <c r="A176" s="49" t="s">
        <v>241</v>
      </c>
      <c r="B176" s="49" t="s">
        <v>253</v>
      </c>
      <c r="C176" s="49" t="s">
        <v>254</v>
      </c>
      <c r="D176" s="49" t="s">
        <v>240</v>
      </c>
      <c r="E176" s="22" t="str">
        <f>_xll.BDP(AX176,"SECURITY NAME")</f>
        <v>Microsoft Corp</v>
      </c>
      <c r="F176" s="22" t="str">
        <f>_xll.BDP(AX176,"CRNCY")</f>
        <v>USD</v>
      </c>
      <c r="G176" s="23" t="s">
        <v>120</v>
      </c>
      <c r="H176" s="22" t="str" cm="1">
        <f t="array" ref="H176">IF(OR(_xll.BDP($AX176,"DX202")= "#N/A N/A", _xll.BDP($AX176,"DX202")="#N/A FIELD NOT APPLICABLE"), " ", _xll.BDP($AX176,"DX202"))</f>
        <v>Information Technology</v>
      </c>
      <c r="I176" s="24">
        <f>_xll.BDP(AX176,"CRNCY_ADJ_MKT_CAP", "EQY_FUND_CRNCY=USD")/1000</f>
        <v>3235.6093207504496</v>
      </c>
      <c r="J176" s="25">
        <f>IFERROR(_xll.BDP(AX176, "DV013")/100,0)</f>
        <v>7.6263982111106467E-3</v>
      </c>
      <c r="K176" s="26" cm="1">
        <f t="array" ref="K176">IF(OR(_xll.BDP($AX176,"RR900")= "#N/A N/A", _xll.BDP($AX176,"RR900")="#N/A FIELD NOT APPLICABLE"), " ", _xll.BDP($AX176,"RR900"))</f>
        <v>33.552835298470619</v>
      </c>
      <c r="L176" s="26" cm="1">
        <f t="array" ref="L176">IF(OR(_xll.BDP($AX176,"EE010")= "#N/A N/A", _xll.BDP($AX176,"EE010")="#N/A FIELD NOT APPLICABLE"), " ", _xll.BDP($AX176,"EE010"))</f>
        <v>28.691998418138674</v>
      </c>
      <c r="M176" s="26" cm="1">
        <f t="array" ref="M176">IF(OR(_xll.BDP($AX176,"RR903")= "#N/A N/A", _xll.BDP($AX176,"RR903")="#N/A FIELD NOT APPLICABLE"), " ", _xll.BDP($AX176,"RR903"))</f>
        <v>10.05384779375075</v>
      </c>
      <c r="N176" s="26" cm="1">
        <f t="array" ref="N176">IF(OR(_xll.BDP($AX176,"RR957")= "#N/A N/A", _xll.BDP($AX176,"RR957")="#N/A FIELD NOT APPLICABLE"), " ", _xll.BDP($AX176,"RR957"))</f>
        <v>20.840855365499579</v>
      </c>
      <c r="O176" s="27">
        <v>50</v>
      </c>
      <c r="P176" s="28">
        <v>415.5</v>
      </c>
      <c r="Q176" s="22" cm="1">
        <f t="array" ref="Q176">IF(OR(_xll.BDP($AX176,"PX_last")="#N/A N/A",_xll.BDP($AX176,"PX_Last")="#N/A FIELD NOT APPLICABLE")," ",IF(F176="GBP",(_xll.BDP($AX176,"PX_LAST")/100),(_xll.BDP($AX176,"PX_LAST"))))</f>
        <v>435.33</v>
      </c>
      <c r="R176" s="29">
        <f>IF(F176="USD",AA176,(((_xll.BDP(F176&amp;"USD CURNCY","PX_LAST")))*AA176))</f>
        <v>20775</v>
      </c>
      <c r="S176" s="29">
        <f>IF(F176="USD",AB176,(((_xll.BDP(F176&amp;"USD CURNCY","PX_LAST")))*AB176))</f>
        <v>21766.5</v>
      </c>
      <c r="T176" s="12">
        <f>S176-R176</f>
        <v>991.5</v>
      </c>
      <c r="U176" s="13">
        <f>T176/R176</f>
        <v>4.7725631768953065E-2</v>
      </c>
      <c r="V176" s="13" cm="1">
        <f t="array" ref="V176">IFERROR(_xll.BDP($G176&amp;" Equity","CHG_PCT_1D")/100,"")</f>
        <v>-1.925855E-3</v>
      </c>
      <c r="W176" s="13" cm="1">
        <f t="array" ref="W176">IFERROR(_xll.BDP($G176&amp;" Equity","CHG_PCT_5D")/100,"")</f>
        <v>0.10478630000000001</v>
      </c>
      <c r="X176" s="13" t="e">
        <f>S176/#REF!</f>
        <v>#REF!</v>
      </c>
      <c r="Y176" s="24">
        <f>IFERROR(S176*J176,0)</f>
        <v>165.99999666213989</v>
      </c>
      <c r="Z176" s="24">
        <f>S176</f>
        <v>21766.5</v>
      </c>
      <c r="AA176" s="29">
        <f>P176*O176</f>
        <v>20775</v>
      </c>
      <c r="AB176" s="29">
        <f>IFERROR(O176*Q176,0)</f>
        <v>21766.5</v>
      </c>
      <c r="AC176" s="4" t="e" cm="1">
        <f t="array" ref="AC176">VLOOKUP(IF(NOT(_xll.BDP(AX176,$BW$8)="#N/A N/A"),(_xll.BDP(AX176,$BW$8)),"-"), '[1]Country Codes'!$A$2:$B$253,2,0)</f>
        <v>#N/A</v>
      </c>
      <c r="AD176" s="30" t="str" cm="1">
        <f t="array" ref="AD176">IF(OR(_xll.BDP($AX176,"EX028")= "#N/A N/A", _xll.BDP($AX176,"EX028")="#N/A FIELD NOT APPLICABLE"), " ", _xll.BDP($AX176,"EX028"))</f>
        <v>Equity</v>
      </c>
      <c r="AE176" s="31" t="str">
        <f>IF(("AS97"="Equity"), " ", "Single Line Equity")</f>
        <v>Single Line Equity</v>
      </c>
      <c r="AF176" s="26" cm="1">
        <f t="array" ref="AF176">IF(OR(_xll.BDP($AX176,"RR908")= "#N/A N/A", _xll.BDP($AX176,"RR908")="#N/A FIELD NOT APPLICABLE"), " ", _xll.BDP($AX176,"RR908"))</f>
        <v>24.757704935253638</v>
      </c>
      <c r="AG176" s="26" cm="1">
        <f t="array" ref="AG176">IF(OR(_xll.BDP($AX176,"RR041")= "#N/A N/A", _xll.BDP($AX176,"RR041")="#N/A FIELD NOT APPLICABLE"), " ", _xll.BDP($AX176,"RR041"))</f>
        <v>19.105636291571237</v>
      </c>
      <c r="AH176" s="22">
        <f>_xll.BDP(AX176,"TOT_BUY_REC")</f>
        <v>67</v>
      </c>
      <c r="AI176" s="22">
        <f>_xll.BDP(AX176,"TOT_HOLD_REC")</f>
        <v>5</v>
      </c>
      <c r="AJ176" s="22">
        <f>_xll.BDP(AX176,"TOT_SELL_REC")</f>
        <v>0</v>
      </c>
      <c r="AK176" s="26" cm="1">
        <f t="array" ref="AK176">IF(OR(_xll.BDP($AX176,"EE201")= "#N/A N/A", _xll.BDP($AX176,"EE201")="#N/A FIELD NOT APPLICABLE"), " ", _xll.BDP($AX176,"EE201"))</f>
        <v>4.8333334922790527</v>
      </c>
      <c r="AL176" s="24">
        <f>_xll.BDP(AX176,"BEST_TARGET_PRICE")</f>
        <v>508.44259643554688</v>
      </c>
      <c r="AM176" s="32">
        <f>(AL176/Q176)-1</f>
        <v>0.16794752586669159</v>
      </c>
      <c r="AN176" s="32">
        <f>_xll.BDP(AX176,"PR061")/100</f>
        <v>0.20978770000000002</v>
      </c>
      <c r="AO176" s="32">
        <f>_xll.BDP(AX176,"PR064")/100</f>
        <v>4.6919320000000007E-2</v>
      </c>
      <c r="AP176" s="32">
        <f>_xll.BDP(AX176,"CHG_PCT_6M")/100</f>
        <v>3.6055990000000003E-2</v>
      </c>
      <c r="AQ176" s="25">
        <f>_xll.BDP(AX176,"PR079")/100</f>
        <v>3.2811390000000003E-2</v>
      </c>
      <c r="AR176" s="33">
        <f>_xll.BDP(AX176,"hs001")</f>
        <v>468.35</v>
      </c>
      <c r="AS176" s="33">
        <f>_xll.BDP(AX176,"hs002")</f>
        <v>344.79</v>
      </c>
      <c r="AT176" s="22" t="str" cm="1">
        <f t="array" ref="AT176">IF(OR(_xll.BDP($AX176,"DX202")= "#N/A N/A", _xll.BDP($AX176,"DX202")="#N/A FIELD NOT APPLICABLE"), " ", _xll.BDP($AX176,"DX202"))</f>
        <v>Information Technology</v>
      </c>
      <c r="AU176" s="22" t="str" cm="1">
        <f t="array" ref="AU176">IF(OR(_xll.BDP($AX176,"DY997")= "#N/A N/A", _xll.BDP($AX176,"DY997")="#N/A FIELD NOT APPLICABLE"), " ", _xll.BDP($AX176,"DY997"))</f>
        <v>Y</v>
      </c>
      <c r="AV176" s="22" t="str" cm="1">
        <f t="array" ref="AV176">IF(OR(_xll.BDP($AX176,"DY784")= "#N/A N/A", _xll.BDP($AX176,"DY784")="#N/A FIELD NOT APPLICABLE"), " ", _xll.BDP($AX176,"DY784"))</f>
        <v xml:space="preserve"> </v>
      </c>
      <c r="AW176" s="22" t="str">
        <f>IF(OR(AU176="Y",AV176="Y"),"Y","N")</f>
        <v>Y</v>
      </c>
      <c r="AX176" s="22" t="str">
        <f>CONCATENATE(G176," ",$AX$2)</f>
        <v>MSFT US Equity</v>
      </c>
      <c r="BC176" s="17" t="str" cm="1">
        <f t="array" ref="BC176">_xll.BDP(AX176,"ID005")</f>
        <v>US5949181045</v>
      </c>
      <c r="BD176" s="17">
        <v>0</v>
      </c>
      <c r="BE176" s="18">
        <v>4</v>
      </c>
      <c r="BF176" s="19">
        <v>45567</v>
      </c>
      <c r="BG176" s="20">
        <v>1</v>
      </c>
    </row>
    <row r="177" spans="1:59" s="3" customFormat="1" ht="14.45" customHeight="1" x14ac:dyDescent="0.25">
      <c r="A177" s="49" t="s">
        <v>242</v>
      </c>
      <c r="B177" s="49" t="s">
        <v>255</v>
      </c>
      <c r="C177" s="49" t="s">
        <v>256</v>
      </c>
      <c r="D177" s="49" t="s">
        <v>248</v>
      </c>
      <c r="E177" s="22" t="str">
        <f>_xll.BDP(AX177,"SECURITY NAME")</f>
        <v>Microsoft Corp</v>
      </c>
      <c r="F177" s="22" t="str">
        <f>_xll.BDP(AX177,"CRNCY")</f>
        <v>USD</v>
      </c>
      <c r="G177" s="23" t="s">
        <v>120</v>
      </c>
      <c r="H177" s="22" t="str" cm="1">
        <f t="array" ref="H177">IF(OR(_xll.BDP($AX177,"DX202")= "#N/A N/A", _xll.BDP($AX177,"DX202")="#N/A FIELD NOT APPLICABLE"), " ", _xll.BDP($AX177,"DX202"))</f>
        <v>Information Technology</v>
      </c>
      <c r="I177" s="24">
        <f>_xll.BDP(AX177,"CRNCY_ADJ_MKT_CAP", "EQY_FUND_CRNCY=USD")/1000</f>
        <v>3235.6093207504496</v>
      </c>
      <c r="J177" s="25">
        <f>IFERROR(_xll.BDP(AX177, "DV013")/100,0)</f>
        <v>7.6263982111106467E-3</v>
      </c>
      <c r="K177" s="26" cm="1">
        <f t="array" ref="K177">IF(OR(_xll.BDP($AX177,"RR900")= "#N/A N/A", _xll.BDP($AX177,"RR900")="#N/A FIELD NOT APPLICABLE"), " ", _xll.BDP($AX177,"RR900"))</f>
        <v>33.552835298470619</v>
      </c>
      <c r="L177" s="26" cm="1">
        <f t="array" ref="L177">IF(OR(_xll.BDP($AX177,"EE010")= "#N/A N/A", _xll.BDP($AX177,"EE010")="#N/A FIELD NOT APPLICABLE"), " ", _xll.BDP($AX177,"EE010"))</f>
        <v>28.691998418138674</v>
      </c>
      <c r="M177" s="26" cm="1">
        <f t="array" ref="M177">IF(OR(_xll.BDP($AX177,"RR903")= "#N/A N/A", _xll.BDP($AX177,"RR903")="#N/A FIELD NOT APPLICABLE"), " ", _xll.BDP($AX177,"RR903"))</f>
        <v>10.05384779375075</v>
      </c>
      <c r="N177" s="26" cm="1">
        <f t="array" ref="N177">IF(OR(_xll.BDP($AX177,"RR957")= "#N/A N/A", _xll.BDP($AX177,"RR957")="#N/A FIELD NOT APPLICABLE"), " ", _xll.BDP($AX177,"RR957"))</f>
        <v>20.840855365499579</v>
      </c>
      <c r="O177" s="27">
        <v>186</v>
      </c>
      <c r="P177" s="28">
        <v>402.76</v>
      </c>
      <c r="Q177" s="22" cm="1">
        <f t="array" ref="Q177">IF(OR(_xll.BDP($AX177,"PX_last")="#N/A N/A",_xll.BDP($AX177,"PX_Last")="#N/A FIELD NOT APPLICABLE")," ",IF(F177="GBP",(_xll.BDP($AX177,"PX_LAST")/100),(_xll.BDP($AX177,"PX_LAST"))))</f>
        <v>435.33</v>
      </c>
      <c r="R177" s="29">
        <f>IF(F177="USD",AA177,(((_xll.BDP(F177&amp;"USD CURNCY","PX_LAST")))*AA177))</f>
        <v>74913.36</v>
      </c>
      <c r="S177" s="29">
        <f>IF(F177="USD",AB177,(((_xll.BDP(F177&amp;"USD CURNCY","PX_LAST")))*AB177))</f>
        <v>80971.37999999999</v>
      </c>
      <c r="T177" s="12">
        <f>S177-R177</f>
        <v>6058.0199999999895</v>
      </c>
      <c r="U177" s="13">
        <f>T177/R177</f>
        <v>8.0867017578706776E-2</v>
      </c>
      <c r="V177" s="13" cm="1">
        <f t="array" ref="V177">IFERROR(_xll.BDP($G177&amp;" Equity","CHG_PCT_1D")/100,"")</f>
        <v>-1.925855E-3</v>
      </c>
      <c r="W177" s="13" cm="1">
        <f t="array" ref="W177">IFERROR(_xll.BDP($G177&amp;" Equity","CHG_PCT_5D")/100,"")</f>
        <v>0.10478630000000001</v>
      </c>
      <c r="X177" s="13" t="e">
        <f>S177/#REF!</f>
        <v>#REF!</v>
      </c>
      <c r="Y177" s="24">
        <f>IFERROR(S177*J177,0)</f>
        <v>617.51998758316029</v>
      </c>
      <c r="Z177" s="24">
        <f>S177</f>
        <v>80971.37999999999</v>
      </c>
      <c r="AA177" s="29">
        <f>P177*O177</f>
        <v>74913.36</v>
      </c>
      <c r="AB177" s="29">
        <f>IFERROR(O177*Q177,0)</f>
        <v>80971.37999999999</v>
      </c>
      <c r="AC177" s="4" t="e" cm="1">
        <f t="array" ref="AC177">VLOOKUP(IF(NOT(_xll.BDP(AX177,$BW$8)="#N/A N/A"),(_xll.BDP(AX177,$BW$8)),"-"), '[1]Country Codes'!$A$2:$B$253,2,0)</f>
        <v>#N/A</v>
      </c>
      <c r="AD177" s="30" t="str" cm="1">
        <f t="array" ref="AD177">IF(OR(_xll.BDP($AX177,"EX028")= "#N/A N/A", _xll.BDP($AX177,"EX028")="#N/A FIELD NOT APPLICABLE"), " ", _xll.BDP($AX177,"EX028"))</f>
        <v>Equity</v>
      </c>
      <c r="AE177" s="31" t="str">
        <f>IF(("AS97"="Equity"), " ", "Single Line Equity")</f>
        <v>Single Line Equity</v>
      </c>
      <c r="AF177" s="26" cm="1">
        <f t="array" ref="AF177">IF(OR(_xll.BDP($AX177,"RR908")= "#N/A N/A", _xll.BDP($AX177,"RR908")="#N/A FIELD NOT APPLICABLE"), " ", _xll.BDP($AX177,"RR908"))</f>
        <v>24.757704935253638</v>
      </c>
      <c r="AG177" s="26" cm="1">
        <f t="array" ref="AG177">IF(OR(_xll.BDP($AX177,"RR041")= "#N/A N/A", _xll.BDP($AX177,"RR041")="#N/A FIELD NOT APPLICABLE"), " ", _xll.BDP($AX177,"RR041"))</f>
        <v>19.105636291571237</v>
      </c>
      <c r="AH177" s="22">
        <f>_xll.BDP(AX177,"TOT_BUY_REC")</f>
        <v>67</v>
      </c>
      <c r="AI177" s="22">
        <f>_xll.BDP(AX177,"TOT_HOLD_REC")</f>
        <v>5</v>
      </c>
      <c r="AJ177" s="22">
        <f>_xll.BDP(AX177,"TOT_SELL_REC")</f>
        <v>0</v>
      </c>
      <c r="AK177" s="26" cm="1">
        <f t="array" ref="AK177">IF(OR(_xll.BDP($AX177,"EE201")= "#N/A N/A", _xll.BDP($AX177,"EE201")="#N/A FIELD NOT APPLICABLE"), " ", _xll.BDP($AX177,"EE201"))</f>
        <v>4.8333334922790527</v>
      </c>
      <c r="AL177" s="24">
        <f>_xll.BDP(AX177,"BEST_TARGET_PRICE")</f>
        <v>508.44259643554688</v>
      </c>
      <c r="AM177" s="32">
        <f>(AL177/Q177)-1</f>
        <v>0.16794752586669159</v>
      </c>
      <c r="AN177" s="32">
        <f>_xll.BDP(AX177,"PR061")/100</f>
        <v>0.20978770000000002</v>
      </c>
      <c r="AO177" s="32">
        <f>_xll.BDP(AX177,"PR064")/100</f>
        <v>4.6919320000000007E-2</v>
      </c>
      <c r="AP177" s="32">
        <f>_xll.BDP(AX177,"CHG_PCT_6M")/100</f>
        <v>3.6055990000000003E-2</v>
      </c>
      <c r="AQ177" s="25">
        <f>_xll.BDP(AX177,"PR079")/100</f>
        <v>3.2811390000000003E-2</v>
      </c>
      <c r="AR177" s="33">
        <f>_xll.BDP(AX177,"hs001")</f>
        <v>468.35</v>
      </c>
      <c r="AS177" s="33">
        <f>_xll.BDP(AX177,"hs002")</f>
        <v>344.79</v>
      </c>
      <c r="AT177" s="22" t="str" cm="1">
        <f t="array" ref="AT177">IF(OR(_xll.BDP($AX177,"DX202")= "#N/A N/A", _xll.BDP($AX177,"DX202")="#N/A FIELD NOT APPLICABLE"), " ", _xll.BDP($AX177,"DX202"))</f>
        <v>Information Technology</v>
      </c>
      <c r="AU177" s="22" t="str" cm="1">
        <f t="array" ref="AU177">IF(OR(_xll.BDP($AX177,"DY997")= "#N/A N/A", _xll.BDP($AX177,"DY997")="#N/A FIELD NOT APPLICABLE"), " ", _xll.BDP($AX177,"DY997"))</f>
        <v>Y</v>
      </c>
      <c r="AV177" s="22" t="str" cm="1">
        <f t="array" ref="AV177">IF(OR(_xll.BDP($AX177,"DY784")= "#N/A N/A", _xll.BDP($AX177,"DY784")="#N/A FIELD NOT APPLICABLE"), " ", _xll.BDP($AX177,"DY784"))</f>
        <v xml:space="preserve"> </v>
      </c>
      <c r="AW177" s="22" t="str">
        <f>IF(OR(AU177="Y",AV177="Y"),"Y","N")</f>
        <v>Y</v>
      </c>
      <c r="AX177" s="22" t="str">
        <f>CONCATENATE(G177," ",$AX$2)</f>
        <v>MSFT US Equity</v>
      </c>
      <c r="BC177" s="17" t="str" cm="1">
        <f t="array" ref="BC177">_xll.BDP(AX177,"ID005")</f>
        <v>US5949181045</v>
      </c>
      <c r="BD177" s="17">
        <v>0</v>
      </c>
      <c r="BE177" s="18">
        <v>4</v>
      </c>
      <c r="BF177" s="19">
        <v>45567</v>
      </c>
      <c r="BG177" s="20">
        <v>1</v>
      </c>
    </row>
    <row r="178" spans="1:59" s="3" customFormat="1" ht="14.45" customHeight="1" x14ac:dyDescent="0.25">
      <c r="A178" s="49" t="s">
        <v>242</v>
      </c>
      <c r="B178" s="49" t="s">
        <v>332</v>
      </c>
      <c r="C178" s="72" t="s">
        <v>333</v>
      </c>
      <c r="D178" s="49" t="s">
        <v>248</v>
      </c>
      <c r="E178" s="22" t="str">
        <f>_xll.BDP(AX178,"SECURITY NAME")</f>
        <v>Microsoft Corp</v>
      </c>
      <c r="F178" s="22" t="str">
        <f>_xll.BDP(AX178,"CRNCY")</f>
        <v>USD</v>
      </c>
      <c r="G178" s="23" t="s">
        <v>120</v>
      </c>
      <c r="H178" s="22" t="str" cm="1">
        <f t="array" ref="H178">IF(OR(_xll.BDP($AX178,"DX202")= "#N/A N/A", _xll.BDP($AX178,"DX202")="#N/A FIELD NOT APPLICABLE"), " ", _xll.BDP($AX178,"DX202"))</f>
        <v>Information Technology</v>
      </c>
      <c r="I178" s="24">
        <f>_xll.BDP(AX178,"CRNCY_ADJ_MKT_CAP", "EQY_FUND_CRNCY=USD")/1000</f>
        <v>3235.6093207504496</v>
      </c>
      <c r="J178" s="25">
        <f>IFERROR(_xll.BDP(AX178, "DV013")/100,0)</f>
        <v>7.6263982111106467E-3</v>
      </c>
      <c r="K178" s="26" cm="1">
        <f t="array" ref="K178">IF(OR(_xll.BDP($AX178,"RR900")= "#N/A N/A", _xll.BDP($AX178,"RR900")="#N/A FIELD NOT APPLICABLE"), " ", _xll.BDP($AX178,"RR900"))</f>
        <v>33.552835298470619</v>
      </c>
      <c r="L178" s="26" cm="1">
        <f t="array" ref="L178">IF(OR(_xll.BDP($AX178,"EE010")= "#N/A N/A", _xll.BDP($AX178,"EE010")="#N/A FIELD NOT APPLICABLE"), " ", _xll.BDP($AX178,"EE010"))</f>
        <v>28.691998418138674</v>
      </c>
      <c r="M178" s="26" cm="1">
        <f t="array" ref="M178">IF(OR(_xll.BDP($AX178,"RR903")= "#N/A N/A", _xll.BDP($AX178,"RR903")="#N/A FIELD NOT APPLICABLE"), " ", _xll.BDP($AX178,"RR903"))</f>
        <v>10.05384779375075</v>
      </c>
      <c r="N178" s="26" cm="1">
        <f t="array" ref="N178">IF(OR(_xll.BDP($AX178,"RR957")= "#N/A N/A", _xll.BDP($AX178,"RR957")="#N/A FIELD NOT APPLICABLE"), " ", _xll.BDP($AX178,"RR957"))</f>
        <v>20.840855365499579</v>
      </c>
      <c r="O178" s="27">
        <v>186</v>
      </c>
      <c r="P178" s="28">
        <v>408.88</v>
      </c>
      <c r="Q178" s="22" cm="1">
        <f t="array" ref="Q178">IF(OR(_xll.BDP($AX178,"PX_last")="#N/A N/A",_xll.BDP($AX178,"PX_Last")="#N/A FIELD NOT APPLICABLE")," ",IF(F178="GBP",(_xll.BDP($AX178,"PX_LAST")/100),(_xll.BDP($AX178,"PX_LAST"))))</f>
        <v>435.33</v>
      </c>
      <c r="R178" s="29">
        <f>IF(F178="USD",AA178,(((_xll.BDP(F178&amp;"USD CURNCY","PX_LAST")))*AA178))</f>
        <v>76051.679999999993</v>
      </c>
      <c r="S178" s="29">
        <f>IF(F178="USD",AB178,(((_xll.BDP(F178&amp;"USD CURNCY","PX_LAST")))*AB178))</f>
        <v>80971.37999999999</v>
      </c>
      <c r="T178" s="12">
        <f>S178-R178</f>
        <v>4919.6999999999971</v>
      </c>
      <c r="U178" s="13">
        <f>T178/R178</f>
        <v>6.4688906280571279E-2</v>
      </c>
      <c r="V178" s="13" cm="1">
        <f t="array" ref="V178">IFERROR(_xll.BDP($G178&amp;" Equity","CHG_PCT_1D")/100,"")</f>
        <v>-1.925855E-3</v>
      </c>
      <c r="W178" s="13" cm="1">
        <f t="array" ref="W178">IFERROR(_xll.BDP($G178&amp;" Equity","CHG_PCT_5D")/100,"")</f>
        <v>0.10478630000000001</v>
      </c>
      <c r="X178" s="13" t="e">
        <f>S178/#REF!</f>
        <v>#REF!</v>
      </c>
      <c r="Y178" s="24">
        <f>IFERROR(S178*J178,0)</f>
        <v>617.51998758316029</v>
      </c>
      <c r="Z178" s="24">
        <f>S178</f>
        <v>80971.37999999999</v>
      </c>
      <c r="AA178" s="29">
        <f>P178*O178</f>
        <v>76051.679999999993</v>
      </c>
      <c r="AB178" s="29">
        <f>IFERROR(O178*Q178,0)</f>
        <v>80971.37999999999</v>
      </c>
      <c r="AC178" s="4" t="e" cm="1">
        <f t="array" ref="AC178">VLOOKUP(IF(NOT(_xll.BDP(AX178,$BW$8)="#N/A N/A"),(_xll.BDP(AX178,$BW$8)),"-"), '[1]Country Codes'!$A$2:$B$253,2,0)</f>
        <v>#N/A</v>
      </c>
      <c r="AD178" s="30" t="str" cm="1">
        <f t="array" ref="AD178">IF(OR(_xll.BDP($AX178,"EX028")= "#N/A N/A", _xll.BDP($AX178,"EX028")="#N/A FIELD NOT APPLICABLE"), " ", _xll.BDP($AX178,"EX028"))</f>
        <v>Equity</v>
      </c>
      <c r="AE178" s="31" t="str">
        <f>IF(("AS97"="Equity"), " ", "Single Line Equity")</f>
        <v>Single Line Equity</v>
      </c>
      <c r="AF178" s="26" cm="1">
        <f t="array" ref="AF178">IF(OR(_xll.BDP($AX178,"RR908")= "#N/A N/A", _xll.BDP($AX178,"RR908")="#N/A FIELD NOT APPLICABLE"), " ", _xll.BDP($AX178,"RR908"))</f>
        <v>24.757704935253638</v>
      </c>
      <c r="AG178" s="26" cm="1">
        <f t="array" ref="AG178">IF(OR(_xll.BDP($AX178,"RR041")= "#N/A N/A", _xll.BDP($AX178,"RR041")="#N/A FIELD NOT APPLICABLE"), " ", _xll.BDP($AX178,"RR041"))</f>
        <v>19.105636291571237</v>
      </c>
      <c r="AH178" s="22">
        <f>_xll.BDP(AX178,"TOT_BUY_REC")</f>
        <v>67</v>
      </c>
      <c r="AI178" s="22">
        <f>_xll.BDP(AX178,"TOT_HOLD_REC")</f>
        <v>5</v>
      </c>
      <c r="AJ178" s="22">
        <f>_xll.BDP(AX178,"TOT_SELL_REC")</f>
        <v>0</v>
      </c>
      <c r="AK178" s="26" cm="1">
        <f t="array" ref="AK178">IF(OR(_xll.BDP($AX178,"EE201")= "#N/A N/A", _xll.BDP($AX178,"EE201")="#N/A FIELD NOT APPLICABLE"), " ", _xll.BDP($AX178,"EE201"))</f>
        <v>4.8333334922790527</v>
      </c>
      <c r="AL178" s="24">
        <f>_xll.BDP(AX178,"BEST_TARGET_PRICE")</f>
        <v>508.44259643554688</v>
      </c>
      <c r="AM178" s="32">
        <f>(AL178/Q178)-1</f>
        <v>0.16794752586669159</v>
      </c>
      <c r="AN178" s="32">
        <f>_xll.BDP(AX178,"PR061")/100</f>
        <v>0.20978770000000002</v>
      </c>
      <c r="AO178" s="32">
        <f>_xll.BDP(AX178,"PR064")/100</f>
        <v>4.6919320000000007E-2</v>
      </c>
      <c r="AP178" s="32">
        <f>_xll.BDP(AX178,"CHG_PCT_6M")/100</f>
        <v>3.6055990000000003E-2</v>
      </c>
      <c r="AQ178" s="25">
        <f>_xll.BDP(AX178,"PR079")/100</f>
        <v>3.2811390000000003E-2</v>
      </c>
      <c r="AR178" s="33">
        <f>_xll.BDP(AX178,"hs001")</f>
        <v>468.35</v>
      </c>
      <c r="AS178" s="33">
        <f>_xll.BDP(AX178,"hs002")</f>
        <v>344.79</v>
      </c>
      <c r="AT178" s="22" t="str" cm="1">
        <f t="array" ref="AT178">IF(OR(_xll.BDP($AX178,"DX202")= "#N/A N/A", _xll.BDP($AX178,"DX202")="#N/A FIELD NOT APPLICABLE"), " ", _xll.BDP($AX178,"DX202"))</f>
        <v>Information Technology</v>
      </c>
      <c r="AU178" s="22" t="str" cm="1">
        <f t="array" ref="AU178">IF(OR(_xll.BDP($AX178,"DY997")= "#N/A N/A", _xll.BDP($AX178,"DY997")="#N/A FIELD NOT APPLICABLE"), " ", _xll.BDP($AX178,"DY997"))</f>
        <v>Y</v>
      </c>
      <c r="AV178" s="22" t="str" cm="1">
        <f t="array" ref="AV178">IF(OR(_xll.BDP($AX178,"DY784")= "#N/A N/A", _xll.BDP($AX178,"DY784")="#N/A FIELD NOT APPLICABLE"), " ", _xll.BDP($AX178,"DY784"))</f>
        <v xml:space="preserve"> </v>
      </c>
      <c r="AW178" s="22" t="str">
        <f>IF(OR(AU178="Y",AV178="Y"),"Y","N")</f>
        <v>Y</v>
      </c>
      <c r="AX178" s="22" t="str">
        <f>CONCATENATE(G178," ",$AX$2)</f>
        <v>MSFT US Equity</v>
      </c>
      <c r="BC178" s="17" t="str" cm="1">
        <f t="array" ref="BC178">_xll.BDP(AX178,"ID005")</f>
        <v>US5949181045</v>
      </c>
      <c r="BD178" s="17">
        <v>0</v>
      </c>
      <c r="BE178" s="18">
        <v>4</v>
      </c>
      <c r="BF178" s="19">
        <v>45567</v>
      </c>
      <c r="BG178" s="20">
        <v>1</v>
      </c>
    </row>
    <row r="179" spans="1:59" s="3" customFormat="1" ht="14.45" customHeight="1" x14ac:dyDescent="0.25">
      <c r="A179" s="49" t="s">
        <v>242</v>
      </c>
      <c r="B179" s="49" t="s">
        <v>260</v>
      </c>
      <c r="C179" s="49" t="s">
        <v>261</v>
      </c>
      <c r="D179" s="49" t="s">
        <v>248</v>
      </c>
      <c r="E179" s="22" t="str">
        <f>_xll.BDP(AX179,"SECURITY NAME")</f>
        <v>Microsoft Corp</v>
      </c>
      <c r="F179" s="22" t="str">
        <f>_xll.BDP(AX179,"CRNCY")</f>
        <v>USD</v>
      </c>
      <c r="G179" s="73" t="s">
        <v>120</v>
      </c>
      <c r="H179" s="22" t="str" cm="1">
        <f t="array" ref="H179">IF(OR(_xll.BDP($AX179,"DX202")= "#N/A N/A", _xll.BDP($AX179,"DX202")="#N/A FIELD NOT APPLICABLE"), " ", _xll.BDP($AX179,"DX202"))</f>
        <v>Information Technology</v>
      </c>
      <c r="I179" s="24">
        <f>_xll.BDP(AX179,"CRNCY_ADJ_MKT_CAP", "EQY_FUND_CRNCY=USD")/1000</f>
        <v>3235.6093207504496</v>
      </c>
      <c r="J179" s="25">
        <f>IFERROR(_xll.BDP(AX179, "DV013")/100,0)</f>
        <v>7.6263982111106467E-3</v>
      </c>
      <c r="K179" s="26" cm="1">
        <f t="array" ref="K179">IF(OR(_xll.BDP($AX179,"RR900")= "#N/A N/A", _xll.BDP($AX179,"RR900")="#N/A FIELD NOT APPLICABLE"), " ", _xll.BDP($AX179,"RR900"))</f>
        <v>33.552835298470619</v>
      </c>
      <c r="L179" s="26" cm="1">
        <f t="array" ref="L179">IF(OR(_xll.BDP($AX179,"EE010")= "#N/A N/A", _xll.BDP($AX179,"EE010")="#N/A FIELD NOT APPLICABLE"), " ", _xll.BDP($AX179,"EE010"))</f>
        <v>28.691998418138674</v>
      </c>
      <c r="M179" s="26" cm="1">
        <f t="array" ref="M179">IF(OR(_xll.BDP($AX179,"RR903")= "#N/A N/A", _xll.BDP($AX179,"RR903")="#N/A FIELD NOT APPLICABLE"), " ", _xll.BDP($AX179,"RR903"))</f>
        <v>10.05384779375075</v>
      </c>
      <c r="N179" s="26" cm="1">
        <f t="array" ref="N179">IF(OR(_xll.BDP($AX179,"RR957")= "#N/A N/A", _xll.BDP($AX179,"RR957")="#N/A FIELD NOT APPLICABLE"), " ", _xll.BDP($AX179,"RR957"))</f>
        <v>20.840855365499579</v>
      </c>
      <c r="O179" s="74">
        <v>186</v>
      </c>
      <c r="P179" s="75">
        <v>402.76</v>
      </c>
      <c r="Q179" s="22" cm="1">
        <f t="array" ref="Q179">IF(OR(_xll.BDP($AX179,"PX_last")="#N/A N/A",_xll.BDP($AX179,"PX_Last")="#N/A FIELD NOT APPLICABLE")," ",IF(F179="GBP",(_xll.BDP($AX179,"PX_LAST")/100),(_xll.BDP($AX179,"PX_LAST"))))</f>
        <v>435.33</v>
      </c>
      <c r="R179" s="29">
        <f>IF(F179="USD",AA179,(((_xll.BDP(F179&amp;"USD CURNCY","PX_LAST")))*AA179))</f>
        <v>74913.36</v>
      </c>
      <c r="S179" s="29">
        <f>IF(F179="USD",AB179,(((_xll.BDP(F179&amp;"USD CURNCY","PX_LAST")))*AB179))</f>
        <v>80971.37999999999</v>
      </c>
      <c r="T179" s="12">
        <f>S179-R179</f>
        <v>6058.0199999999895</v>
      </c>
      <c r="U179" s="13">
        <f>T179/R179</f>
        <v>8.0867017578706776E-2</v>
      </c>
      <c r="V179" s="13" cm="1">
        <f t="array" ref="V179">IFERROR(_xll.BDP($G179&amp;" Equity","CHG_PCT_1D")/100,"")</f>
        <v>-1.925855E-3</v>
      </c>
      <c r="W179" s="13" cm="1">
        <f t="array" ref="W179">IFERROR(_xll.BDP($G179&amp;" Equity","CHG_PCT_5D")/100,"")</f>
        <v>0.10478630000000001</v>
      </c>
      <c r="X179" s="13" t="e">
        <f>S179/#REF!</f>
        <v>#REF!</v>
      </c>
      <c r="Y179" s="24">
        <f>IFERROR(S179*J179,0)</f>
        <v>617.51998758316029</v>
      </c>
      <c r="Z179" s="24">
        <f>S179</f>
        <v>80971.37999999999</v>
      </c>
      <c r="AA179" s="29">
        <f>P179*O179</f>
        <v>74913.36</v>
      </c>
      <c r="AB179" s="29">
        <f>IFERROR(O179*Q179,0)</f>
        <v>80971.37999999999</v>
      </c>
      <c r="AC179" s="4" t="e" cm="1">
        <f t="array" ref="AC179">VLOOKUP(IF(NOT(_xll.BDP(AX179,$BW$8)="#N/A N/A"),(_xll.BDP(AX179,$BW$8)),"-"), '[1]Country Codes'!$A$2:$B$253,2,0)</f>
        <v>#N/A</v>
      </c>
      <c r="AD179" s="30" t="str" cm="1">
        <f t="array" ref="AD179">IF(OR(_xll.BDP($AX179,"EX028")= "#N/A N/A", _xll.BDP($AX179,"EX028")="#N/A FIELD NOT APPLICABLE"), " ", _xll.BDP($AX179,"EX028"))</f>
        <v>Equity</v>
      </c>
      <c r="AE179" s="31" t="str">
        <f>IF(("AS97"="Equity"), " ", "Single Line Equity")</f>
        <v>Single Line Equity</v>
      </c>
      <c r="AF179" s="26" cm="1">
        <f t="array" ref="AF179">IF(OR(_xll.BDP($AX179,"RR908")= "#N/A N/A", _xll.BDP($AX179,"RR908")="#N/A FIELD NOT APPLICABLE"), " ", _xll.BDP($AX179,"RR908"))</f>
        <v>24.757704935253638</v>
      </c>
      <c r="AG179" s="26" cm="1">
        <f t="array" ref="AG179">IF(OR(_xll.BDP($AX179,"RR041")= "#N/A N/A", _xll.BDP($AX179,"RR041")="#N/A FIELD NOT APPLICABLE"), " ", _xll.BDP($AX179,"RR041"))</f>
        <v>19.105636291571237</v>
      </c>
      <c r="AH179" s="22">
        <f>_xll.BDP(AX179,"TOT_BUY_REC")</f>
        <v>67</v>
      </c>
      <c r="AI179" s="22">
        <f>_xll.BDP(AX179,"TOT_HOLD_REC")</f>
        <v>5</v>
      </c>
      <c r="AJ179" s="22">
        <f>_xll.BDP(AX179,"TOT_SELL_REC")</f>
        <v>0</v>
      </c>
      <c r="AK179" s="26" cm="1">
        <f t="array" ref="AK179">IF(OR(_xll.BDP($AX179,"EE201")= "#N/A N/A", _xll.BDP($AX179,"EE201")="#N/A FIELD NOT APPLICABLE"), " ", _xll.BDP($AX179,"EE201"))</f>
        <v>4.8333334922790527</v>
      </c>
      <c r="AL179" s="24">
        <f>_xll.BDP(AX179,"BEST_TARGET_PRICE")</f>
        <v>508.44259643554688</v>
      </c>
      <c r="AM179" s="32">
        <f>(AL179/Q179)-1</f>
        <v>0.16794752586669159</v>
      </c>
      <c r="AN179" s="32">
        <f>_xll.BDP(AX179,"PR061")/100</f>
        <v>0.20978770000000002</v>
      </c>
      <c r="AO179" s="32">
        <f>_xll.BDP(AX179,"PR064")/100</f>
        <v>4.6919320000000007E-2</v>
      </c>
      <c r="AP179" s="32">
        <f>_xll.BDP(AX179,"CHG_PCT_6M")/100</f>
        <v>3.6055990000000003E-2</v>
      </c>
      <c r="AQ179" s="25">
        <f>_xll.BDP(AX179,"PR079")/100</f>
        <v>3.2811390000000003E-2</v>
      </c>
      <c r="AR179" s="33">
        <f>_xll.BDP(AX179,"hs001")</f>
        <v>468.35</v>
      </c>
      <c r="AS179" s="33">
        <f>_xll.BDP(AX179,"hs002")</f>
        <v>344.79</v>
      </c>
      <c r="AT179" s="22" t="str" cm="1">
        <f t="array" ref="AT179">IF(OR(_xll.BDP($AX179,"DX202")= "#N/A N/A", _xll.BDP($AX179,"DX202")="#N/A FIELD NOT APPLICABLE"), " ", _xll.BDP($AX179,"DX202"))</f>
        <v>Information Technology</v>
      </c>
      <c r="AU179" s="22" t="str" cm="1">
        <f t="array" ref="AU179">IF(OR(_xll.BDP($AX179,"DY997")= "#N/A N/A", _xll.BDP($AX179,"DY997")="#N/A FIELD NOT APPLICABLE"), " ", _xll.BDP($AX179,"DY997"))</f>
        <v>Y</v>
      </c>
      <c r="AV179" s="22" t="str" cm="1">
        <f t="array" ref="AV179">IF(OR(_xll.BDP($AX179,"DY784")= "#N/A N/A", _xll.BDP($AX179,"DY784")="#N/A FIELD NOT APPLICABLE"), " ", _xll.BDP($AX179,"DY784"))</f>
        <v xml:space="preserve"> </v>
      </c>
      <c r="AW179" s="22" t="str">
        <f>IF(OR(AU179="Y",AV179="Y"),"Y","N")</f>
        <v>Y</v>
      </c>
      <c r="AX179" s="22" t="str">
        <f>CONCATENATE(G179," ",$AX$2)</f>
        <v>MSFT US Equity</v>
      </c>
      <c r="BC179" s="17" t="str" cm="1">
        <f t="array" ref="BC179">_xll.BDP(AX179,"ID005")</f>
        <v>US5949181045</v>
      </c>
      <c r="BD179" s="17">
        <v>0.72</v>
      </c>
      <c r="BE179" s="18">
        <v>4</v>
      </c>
      <c r="BF179" s="19">
        <v>45567</v>
      </c>
      <c r="BG179" s="20">
        <v>1</v>
      </c>
    </row>
    <row r="180" spans="1:59" s="3" customFormat="1" ht="14.45" customHeight="1" x14ac:dyDescent="0.25">
      <c r="A180" s="49" t="s">
        <v>241</v>
      </c>
      <c r="B180" s="49" t="s">
        <v>262</v>
      </c>
      <c r="C180" s="49" t="s">
        <v>263</v>
      </c>
      <c r="D180" s="49" t="s">
        <v>240</v>
      </c>
      <c r="E180" s="22" t="str">
        <f>_xll.BDP(AX180,"SECURITY NAME")</f>
        <v>Microsoft Corp</v>
      </c>
      <c r="F180" s="22" t="str">
        <f>_xll.BDP(AX180,"CRNCY")</f>
        <v>USD</v>
      </c>
      <c r="G180" s="23" t="s">
        <v>120</v>
      </c>
      <c r="H180" s="22" t="str" cm="1">
        <f t="array" ref="H180">IF(OR(_xll.BDP($AX180,"DX202")= "#N/A N/A", _xll.BDP($AX180,"DX202")="#N/A FIELD NOT APPLICABLE"), " ", _xll.BDP($AX180,"DX202"))</f>
        <v>Information Technology</v>
      </c>
      <c r="I180" s="24">
        <f>_xll.BDP(AX180,"CRNCY_ADJ_MKT_CAP", "EQY_FUND_CRNCY=USD")/1000</f>
        <v>3235.6093207504496</v>
      </c>
      <c r="J180" s="25">
        <f>IFERROR(_xll.BDP(AX180, "DV013")/100,0)</f>
        <v>7.6263982111106467E-3</v>
      </c>
      <c r="K180" s="26" cm="1">
        <f t="array" ref="K180">IF(OR(_xll.BDP($AX180,"RR900")= "#N/A N/A", _xll.BDP($AX180,"RR900")="#N/A FIELD NOT APPLICABLE"), " ", _xll.BDP($AX180,"RR900"))</f>
        <v>33.552835298470619</v>
      </c>
      <c r="L180" s="26" cm="1">
        <f t="array" ref="L180">IF(OR(_xll.BDP($AX180,"EE010")= "#N/A N/A", _xll.BDP($AX180,"EE010")="#N/A FIELD NOT APPLICABLE"), " ", _xll.BDP($AX180,"EE010"))</f>
        <v>28.691998418138674</v>
      </c>
      <c r="M180" s="26" cm="1">
        <f t="array" ref="M180">IF(OR(_xll.BDP($AX180,"RR903")= "#N/A N/A", _xll.BDP($AX180,"RR903")="#N/A FIELD NOT APPLICABLE"), " ", _xll.BDP($AX180,"RR903"))</f>
        <v>10.05384779375075</v>
      </c>
      <c r="N180" s="26" cm="1">
        <f t="array" ref="N180">IF(OR(_xll.BDP($AX180,"RR957")= "#N/A N/A", _xll.BDP($AX180,"RR957")="#N/A FIELD NOT APPLICABLE"), " ", _xll.BDP($AX180,"RR957"))</f>
        <v>20.840855365499579</v>
      </c>
      <c r="O180" s="27">
        <v>322</v>
      </c>
      <c r="P180" s="28">
        <v>415.5</v>
      </c>
      <c r="Q180" s="22" cm="1">
        <f t="array" ref="Q180">IF(OR(_xll.BDP($AX180,"PX_last")="#N/A N/A",_xll.BDP($AX180,"PX_Last")="#N/A FIELD NOT APPLICABLE")," ",IF(F180="GBP",(_xll.BDP($AX180,"PX_LAST")/100),(_xll.BDP($AX180,"PX_LAST"))))</f>
        <v>435.33</v>
      </c>
      <c r="R180" s="29">
        <f>IF(F180="USD",AA180,(((_xll.BDP(F180&amp;"USD CURNCY","PX_LAST")))*AA180))</f>
        <v>133791</v>
      </c>
      <c r="S180" s="29">
        <f>IF(F180="USD",AB180,(((_xll.BDP(F180&amp;"USD CURNCY","PX_LAST")))*AB180))</f>
        <v>140176.26</v>
      </c>
      <c r="T180" s="12">
        <f>S180-R180</f>
        <v>6385.2600000000093</v>
      </c>
      <c r="U180" s="13">
        <f>T180/R180</f>
        <v>4.7725631768953135E-2</v>
      </c>
      <c r="V180" s="13" cm="1">
        <f t="array" ref="V180">IFERROR(_xll.BDP($G180&amp;" Equity","CHG_PCT_1D")/100,"")</f>
        <v>-1.925855E-3</v>
      </c>
      <c r="W180" s="13" cm="1">
        <f t="array" ref="W180">IFERROR(_xll.BDP($G180&amp;" Equity","CHG_PCT_5D")/100,"")</f>
        <v>0.10478630000000001</v>
      </c>
      <c r="X180" s="13" t="e">
        <f>S180/#REF!</f>
        <v>#REF!</v>
      </c>
      <c r="Y180" s="24">
        <f>IFERROR(S180*J180,0)</f>
        <v>1069.0399785041809</v>
      </c>
      <c r="Z180" s="24">
        <f>S180</f>
        <v>140176.26</v>
      </c>
      <c r="AA180" s="29">
        <f>P180*O180</f>
        <v>133791</v>
      </c>
      <c r="AB180" s="29">
        <f>IFERROR(O180*Q180,0)</f>
        <v>140176.26</v>
      </c>
      <c r="AC180" s="4" t="e" cm="1">
        <f t="array" ref="AC180">VLOOKUP(IF(NOT(_xll.BDP(AX180,$BW$8)="#N/A N/A"),(_xll.BDP(AX180,$BW$8)),"-"), '[1]Country Codes'!$A$2:$B$253,2,0)</f>
        <v>#N/A</v>
      </c>
      <c r="AD180" s="30" t="str" cm="1">
        <f t="array" ref="AD180">IF(OR(_xll.BDP($AX180,"EX028")= "#N/A N/A", _xll.BDP($AX180,"EX028")="#N/A FIELD NOT APPLICABLE"), " ", _xll.BDP($AX180,"EX028"))</f>
        <v>Equity</v>
      </c>
      <c r="AE180" s="31" t="str">
        <f>IF(("AS97"="Equity"), " ", "Single Line Equity")</f>
        <v>Single Line Equity</v>
      </c>
      <c r="AF180" s="26" cm="1">
        <f t="array" ref="AF180">IF(OR(_xll.BDP($AX180,"RR908")= "#N/A N/A", _xll.BDP($AX180,"RR908")="#N/A FIELD NOT APPLICABLE"), " ", _xll.BDP($AX180,"RR908"))</f>
        <v>24.757704935253638</v>
      </c>
      <c r="AG180" s="26" cm="1">
        <f t="array" ref="AG180">IF(OR(_xll.BDP($AX180,"RR041")= "#N/A N/A", _xll.BDP($AX180,"RR041")="#N/A FIELD NOT APPLICABLE"), " ", _xll.BDP($AX180,"RR041"))</f>
        <v>19.105636291571237</v>
      </c>
      <c r="AH180" s="22">
        <f>_xll.BDP(AX180,"TOT_BUY_REC")</f>
        <v>67</v>
      </c>
      <c r="AI180" s="22">
        <f>_xll.BDP(AX180,"TOT_HOLD_REC")</f>
        <v>5</v>
      </c>
      <c r="AJ180" s="22">
        <f>_xll.BDP(AX180,"TOT_SELL_REC")</f>
        <v>0</v>
      </c>
      <c r="AK180" s="26" cm="1">
        <f t="array" ref="AK180">IF(OR(_xll.BDP($AX180,"EE201")= "#N/A N/A", _xll.BDP($AX180,"EE201")="#N/A FIELD NOT APPLICABLE"), " ", _xll.BDP($AX180,"EE201"))</f>
        <v>4.8333334922790527</v>
      </c>
      <c r="AL180" s="24">
        <f>_xll.BDP(AX180,"BEST_TARGET_PRICE")</f>
        <v>508.44259643554688</v>
      </c>
      <c r="AM180" s="32">
        <f>(AL180/Q180)-1</f>
        <v>0.16794752586669159</v>
      </c>
      <c r="AN180" s="32">
        <f>_xll.BDP(AX180,"PR061")/100</f>
        <v>0.20978770000000002</v>
      </c>
      <c r="AO180" s="32">
        <f>_xll.BDP(AX180,"PR064")/100</f>
        <v>4.6919320000000007E-2</v>
      </c>
      <c r="AP180" s="32">
        <f>_xll.BDP(AX180,"CHG_PCT_6M")/100</f>
        <v>3.6055990000000003E-2</v>
      </c>
      <c r="AQ180" s="25">
        <f>_xll.BDP(AX180,"PR079")/100</f>
        <v>3.2811390000000003E-2</v>
      </c>
      <c r="AR180" s="33">
        <f>_xll.BDP(AX180,"hs001")</f>
        <v>468.35</v>
      </c>
      <c r="AS180" s="33">
        <f>_xll.BDP(AX180,"hs002")</f>
        <v>344.79</v>
      </c>
      <c r="AT180" s="22" t="str" cm="1">
        <f t="array" ref="AT180">IF(OR(_xll.BDP($AX180,"DX202")= "#N/A N/A", _xll.BDP($AX180,"DX202")="#N/A FIELD NOT APPLICABLE"), " ", _xll.BDP($AX180,"DX202"))</f>
        <v>Information Technology</v>
      </c>
      <c r="AU180" s="22" t="str" cm="1">
        <f t="array" ref="AU180">IF(OR(_xll.BDP($AX180,"DY997")= "#N/A N/A", _xll.BDP($AX180,"DY997")="#N/A FIELD NOT APPLICABLE"), " ", _xll.BDP($AX180,"DY997"))</f>
        <v>Y</v>
      </c>
      <c r="AV180" s="22" t="str" cm="1">
        <f t="array" ref="AV180">IF(OR(_xll.BDP($AX180,"DY784")= "#N/A N/A", _xll.BDP($AX180,"DY784")="#N/A FIELD NOT APPLICABLE"), " ", _xll.BDP($AX180,"DY784"))</f>
        <v xml:space="preserve"> </v>
      </c>
      <c r="AW180" s="22" t="str">
        <f>IF(OR(AU180="Y",AV180="Y"),"Y","N")</f>
        <v>Y</v>
      </c>
      <c r="AX180" s="22" t="str">
        <f>CONCATENATE(G180," ",$AX$2)</f>
        <v>MSFT US Equity</v>
      </c>
      <c r="BC180" s="17" t="str" cm="1">
        <f t="array" ref="BC180">_xll.BDP(AX180,"ID005")</f>
        <v>US5949181045</v>
      </c>
      <c r="BD180" s="17">
        <v>0.75</v>
      </c>
      <c r="BE180" s="18">
        <v>4</v>
      </c>
      <c r="BF180" s="19">
        <v>45540</v>
      </c>
      <c r="BG180" s="20">
        <v>1</v>
      </c>
    </row>
    <row r="181" spans="1:59" s="3" customFormat="1" ht="14.45" customHeight="1" x14ac:dyDescent="0.25">
      <c r="A181" s="49" t="s">
        <v>242</v>
      </c>
      <c r="B181" s="49" t="s">
        <v>264</v>
      </c>
      <c r="C181" s="49" t="s">
        <v>265</v>
      </c>
      <c r="D181" s="49" t="s">
        <v>248</v>
      </c>
      <c r="E181" s="22" t="str">
        <f>_xll.BDP(AX181,"SECURITY NAME")</f>
        <v>Microsoft Corp</v>
      </c>
      <c r="F181" s="22" t="str">
        <f>_xll.BDP(AX181,"CRNCY")</f>
        <v>USD</v>
      </c>
      <c r="G181" s="23" t="s">
        <v>120</v>
      </c>
      <c r="H181" s="22" t="str" cm="1">
        <f t="array" ref="H181">IF(OR(_xll.BDP($AX181,"DX202")= "#N/A N/A", _xll.BDP($AX181,"DX202")="#N/A FIELD NOT APPLICABLE"), " ", _xll.BDP($AX181,"DX202"))</f>
        <v>Information Technology</v>
      </c>
      <c r="I181" s="24">
        <f>_xll.BDP(AX181,"CRNCY_ADJ_MKT_CAP", "EQY_FUND_CRNCY=USD")/1000</f>
        <v>3235.6093207504496</v>
      </c>
      <c r="J181" s="25">
        <f>IFERROR(_xll.BDP(AX181, "DV013")/100,0)</f>
        <v>7.6263982111106467E-3</v>
      </c>
      <c r="K181" s="26" cm="1">
        <f t="array" ref="K181">IF(OR(_xll.BDP($AX181,"RR900")= "#N/A N/A", _xll.BDP($AX181,"RR900")="#N/A FIELD NOT APPLICABLE"), " ", _xll.BDP($AX181,"RR900"))</f>
        <v>33.552835298470619</v>
      </c>
      <c r="L181" s="26" cm="1">
        <f t="array" ref="L181">IF(OR(_xll.BDP($AX181,"EE010")= "#N/A N/A", _xll.BDP($AX181,"EE010")="#N/A FIELD NOT APPLICABLE"), " ", _xll.BDP($AX181,"EE010"))</f>
        <v>28.691998418138674</v>
      </c>
      <c r="M181" s="26" cm="1">
        <f t="array" ref="M181">IF(OR(_xll.BDP($AX181,"RR903")= "#N/A N/A", _xll.BDP($AX181,"RR903")="#N/A FIELD NOT APPLICABLE"), " ", _xll.BDP($AX181,"RR903"))</f>
        <v>10.05384779375075</v>
      </c>
      <c r="N181" s="26" cm="1">
        <f t="array" ref="N181">IF(OR(_xll.BDP($AX181,"RR957")= "#N/A N/A", _xll.BDP($AX181,"RR957")="#N/A FIELD NOT APPLICABLE"), " ", _xll.BDP($AX181,"RR957"))</f>
        <v>20.840855365499579</v>
      </c>
      <c r="O181" s="27">
        <v>248</v>
      </c>
      <c r="P181" s="28">
        <v>402.53199999999998</v>
      </c>
      <c r="Q181" s="22" cm="1">
        <f t="array" ref="Q181">IF(OR(_xll.BDP($AX181,"PX_last")="#N/A N/A",_xll.BDP($AX181,"PX_Last")="#N/A FIELD NOT APPLICABLE")," ",IF(F181="GBP",(_xll.BDP($AX181,"PX_LAST")/100),(_xll.BDP($AX181,"PX_LAST"))))</f>
        <v>435.33</v>
      </c>
      <c r="R181" s="29">
        <f>IF(F181="USD",AA181,(((_xll.BDP(F181&amp;"USD CURNCY","PX_LAST")))*AA181))</f>
        <v>99827.936000000002</v>
      </c>
      <c r="S181" s="29">
        <f>IF(F181="USD",AB181,(((_xll.BDP(F181&amp;"USD CURNCY","PX_LAST")))*AB181))</f>
        <v>107961.84</v>
      </c>
      <c r="T181" s="12">
        <f>S181-R181</f>
        <v>8133.903999999995</v>
      </c>
      <c r="U181" s="13">
        <f>T181/R181</f>
        <v>8.1479236433376678E-2</v>
      </c>
      <c r="V181" s="13" cm="1">
        <f t="array" ref="V181">IFERROR(_xll.BDP($G181&amp;" Equity","CHG_PCT_1D")/100,"")</f>
        <v>-1.925855E-3</v>
      </c>
      <c r="W181" s="13" cm="1">
        <f t="array" ref="W181">IFERROR(_xll.BDP($G181&amp;" Equity","CHG_PCT_5D")/100,"")</f>
        <v>0.10478630000000001</v>
      </c>
      <c r="X181" s="13" t="e">
        <f>S181/#REF!</f>
        <v>#REF!</v>
      </c>
      <c r="Y181" s="24">
        <f>IFERROR(S181*J181,0)</f>
        <v>823.35998344421387</v>
      </c>
      <c r="Z181" s="24">
        <f>S181</f>
        <v>107961.84</v>
      </c>
      <c r="AA181" s="29">
        <f>P181*O181</f>
        <v>99827.936000000002</v>
      </c>
      <c r="AB181" s="29">
        <f>IFERROR(O181*Q181,0)</f>
        <v>107961.84</v>
      </c>
      <c r="AC181" s="4" t="e" cm="1">
        <f t="array" ref="AC181">VLOOKUP(IF(NOT(_xll.BDP(AX181,$BW$8)="#N/A N/A"),(_xll.BDP(AX181,$BW$8)),"-"), '[1]Country Codes'!$A$2:$B$253,2,0)</f>
        <v>#N/A</v>
      </c>
      <c r="AD181" s="30" t="str" cm="1">
        <f t="array" ref="AD181">IF(OR(_xll.BDP($AX181,"EX028")= "#N/A N/A", _xll.BDP($AX181,"EX028")="#N/A FIELD NOT APPLICABLE"), " ", _xll.BDP($AX181,"EX028"))</f>
        <v>Equity</v>
      </c>
      <c r="AE181" s="31" t="str">
        <f>IF(("AS97"="Equity"), " ", "Single Line Equity")</f>
        <v>Single Line Equity</v>
      </c>
      <c r="AF181" s="26" cm="1">
        <f t="array" ref="AF181">IF(OR(_xll.BDP($AX181,"RR908")= "#N/A N/A", _xll.BDP($AX181,"RR908")="#N/A FIELD NOT APPLICABLE"), " ", _xll.BDP($AX181,"RR908"))</f>
        <v>24.757704935253638</v>
      </c>
      <c r="AG181" s="26" cm="1">
        <f t="array" ref="AG181">IF(OR(_xll.BDP($AX181,"RR041")= "#N/A N/A", _xll.BDP($AX181,"RR041")="#N/A FIELD NOT APPLICABLE"), " ", _xll.BDP($AX181,"RR041"))</f>
        <v>19.105636291571237</v>
      </c>
      <c r="AH181" s="22">
        <f>_xll.BDP(AX181,"TOT_BUY_REC")</f>
        <v>67</v>
      </c>
      <c r="AI181" s="22">
        <f>_xll.BDP(AX181,"TOT_HOLD_REC")</f>
        <v>5</v>
      </c>
      <c r="AJ181" s="22">
        <f>_xll.BDP(AX181,"TOT_SELL_REC")</f>
        <v>0</v>
      </c>
      <c r="AK181" s="26" cm="1">
        <f t="array" ref="AK181">IF(OR(_xll.BDP($AX181,"EE201")= "#N/A N/A", _xll.BDP($AX181,"EE201")="#N/A FIELD NOT APPLICABLE"), " ", _xll.BDP($AX181,"EE201"))</f>
        <v>4.8333334922790527</v>
      </c>
      <c r="AL181" s="24">
        <f>_xll.BDP(AX181,"BEST_TARGET_PRICE")</f>
        <v>508.44259643554688</v>
      </c>
      <c r="AM181" s="32">
        <f>(AL181/Q181)-1</f>
        <v>0.16794752586669159</v>
      </c>
      <c r="AN181" s="32">
        <f>_xll.BDP(AX181,"PR061")/100</f>
        <v>0.20978770000000002</v>
      </c>
      <c r="AO181" s="32">
        <f>_xll.BDP(AX181,"PR064")/100</f>
        <v>4.6919320000000007E-2</v>
      </c>
      <c r="AP181" s="32">
        <f>_xll.BDP(AX181,"CHG_PCT_6M")/100</f>
        <v>3.6055990000000003E-2</v>
      </c>
      <c r="AQ181" s="25">
        <f>_xll.BDP(AX181,"PR079")/100</f>
        <v>3.2811390000000003E-2</v>
      </c>
      <c r="AR181" s="33">
        <f>_xll.BDP(AX181,"hs001")</f>
        <v>468.35</v>
      </c>
      <c r="AS181" s="33">
        <f>_xll.BDP(AX181,"hs002")</f>
        <v>344.79</v>
      </c>
      <c r="AT181" s="22" t="str" cm="1">
        <f t="array" ref="AT181">IF(OR(_xll.BDP($AX181,"DX202")= "#N/A N/A", _xll.BDP($AX181,"DX202")="#N/A FIELD NOT APPLICABLE"), " ", _xll.BDP($AX181,"DX202"))</f>
        <v>Information Technology</v>
      </c>
      <c r="AU181" s="22" t="str" cm="1">
        <f t="array" ref="AU181">IF(OR(_xll.BDP($AX181,"DY997")= "#N/A N/A", _xll.BDP($AX181,"DY997")="#N/A FIELD NOT APPLICABLE"), " ", _xll.BDP($AX181,"DY997"))</f>
        <v>Y</v>
      </c>
      <c r="AV181" s="22" t="str" cm="1">
        <f t="array" ref="AV181">IF(OR(_xll.BDP($AX181,"DY784")= "#N/A N/A", _xll.BDP($AX181,"DY784")="#N/A FIELD NOT APPLICABLE"), " ", _xll.BDP($AX181,"DY784"))</f>
        <v xml:space="preserve"> </v>
      </c>
      <c r="AW181" s="22" t="str">
        <f>IF(OR(AU181="Y",AV181="Y"),"Y","N")</f>
        <v>Y</v>
      </c>
      <c r="AX181" s="22" t="str">
        <f>CONCATENATE(G181," ",$AX$2)</f>
        <v>MSFT US Equity</v>
      </c>
      <c r="BC181" s="17" t="str" cm="1">
        <f t="array" ref="BC181">_xll.BDP(AX181,"ID005")</f>
        <v>US5949181045</v>
      </c>
      <c r="BD181" s="17">
        <v>0.72</v>
      </c>
      <c r="BE181" s="18">
        <v>4</v>
      </c>
      <c r="BF181" s="19">
        <v>45562</v>
      </c>
      <c r="BG181" s="20">
        <v>1</v>
      </c>
    </row>
    <row r="182" spans="1:59" s="3" customFormat="1" ht="14.45" customHeight="1" x14ac:dyDescent="0.25">
      <c r="A182" s="49" t="s">
        <v>241</v>
      </c>
      <c r="B182" s="49" t="s">
        <v>266</v>
      </c>
      <c r="C182" s="49" t="s">
        <v>267</v>
      </c>
      <c r="D182" s="49" t="s">
        <v>240</v>
      </c>
      <c r="E182" s="22" t="str">
        <f>_xll.BDP(AX182,"SECURITY NAME")</f>
        <v>Microsoft Corp</v>
      </c>
      <c r="F182" s="22" t="str">
        <f>_xll.BDP(AX182,"CRNCY")</f>
        <v>USD</v>
      </c>
      <c r="G182" s="23" t="s">
        <v>120</v>
      </c>
      <c r="H182" s="22" t="str" cm="1">
        <f t="array" ref="H182">IF(OR(_xll.BDP($AX182,"DX202")= "#N/A N/A", _xll.BDP($AX182,"DX202")="#N/A FIELD NOT APPLICABLE"), " ", _xll.BDP($AX182,"DX202"))</f>
        <v>Information Technology</v>
      </c>
      <c r="I182" s="24">
        <f>_xll.BDP(AX182,"CRNCY_ADJ_MKT_CAP", "EQY_FUND_CRNCY=USD")/1000</f>
        <v>3235.6093207504496</v>
      </c>
      <c r="J182" s="25">
        <f>IFERROR(_xll.BDP(AX182, "DV013")/100,0)</f>
        <v>7.6263982111106467E-3</v>
      </c>
      <c r="K182" s="26" cm="1">
        <f t="array" ref="K182">IF(OR(_xll.BDP($AX182,"RR900")= "#N/A N/A", _xll.BDP($AX182,"RR900")="#N/A FIELD NOT APPLICABLE"), " ", _xll.BDP($AX182,"RR900"))</f>
        <v>33.552835298470619</v>
      </c>
      <c r="L182" s="26" cm="1">
        <f t="array" ref="L182">IF(OR(_xll.BDP($AX182,"EE010")= "#N/A N/A", _xll.BDP($AX182,"EE010")="#N/A FIELD NOT APPLICABLE"), " ", _xll.BDP($AX182,"EE010"))</f>
        <v>28.691998418138674</v>
      </c>
      <c r="M182" s="26" cm="1">
        <f t="array" ref="M182">IF(OR(_xll.BDP($AX182,"RR903")= "#N/A N/A", _xll.BDP($AX182,"RR903")="#N/A FIELD NOT APPLICABLE"), " ", _xll.BDP($AX182,"RR903"))</f>
        <v>10.05384779375075</v>
      </c>
      <c r="N182" s="26" cm="1">
        <f t="array" ref="N182">IF(OR(_xll.BDP($AX182,"RR957")= "#N/A N/A", _xll.BDP($AX182,"RR957")="#N/A FIELD NOT APPLICABLE"), " ", _xll.BDP($AX182,"RR957"))</f>
        <v>20.840855365499579</v>
      </c>
      <c r="O182" s="27">
        <v>192</v>
      </c>
      <c r="P182" s="28">
        <v>410.75958000000003</v>
      </c>
      <c r="Q182" s="22" cm="1">
        <f t="array" ref="Q182">IF(OR(_xll.BDP($AX182,"PX_last")="#N/A N/A",_xll.BDP($AX182,"PX_Last")="#N/A FIELD NOT APPLICABLE")," ",IF(F182="GBP",(_xll.BDP($AX182,"PX_LAST")/100),(_xll.BDP($AX182,"PX_LAST"))))</f>
        <v>435.33</v>
      </c>
      <c r="R182" s="29">
        <f>IF(F182="USD",AA182,(((_xll.BDP(F182&amp;"USD CURNCY","PX_LAST")))*AA182))</f>
        <v>78865.839360000013</v>
      </c>
      <c r="S182" s="29">
        <f>IF(F182="USD",AB182,(((_xll.BDP(F182&amp;"USD CURNCY","PX_LAST")))*AB182))</f>
        <v>83583.360000000001</v>
      </c>
      <c r="T182" s="12">
        <f>S182-R182</f>
        <v>4717.5206399999879</v>
      </c>
      <c r="U182" s="13">
        <f>T182/R182</f>
        <v>5.9817034577744801E-2</v>
      </c>
      <c r="V182" s="13" cm="1">
        <f t="array" ref="V182">IFERROR(_xll.BDP($G182&amp;" Equity","CHG_PCT_1D")/100,"")</f>
        <v>-1.925855E-3</v>
      </c>
      <c r="W182" s="13" cm="1">
        <f t="array" ref="W182">IFERROR(_xll.BDP($G182&amp;" Equity","CHG_PCT_5D")/100,"")</f>
        <v>0.10478630000000001</v>
      </c>
      <c r="X182" s="13" t="e">
        <f>S182/#REF!</f>
        <v>#REF!</v>
      </c>
      <c r="Y182" s="24">
        <f>IFERROR(S182*J182,0)</f>
        <v>637.43998718261719</v>
      </c>
      <c r="Z182" s="24">
        <f>S182</f>
        <v>83583.360000000001</v>
      </c>
      <c r="AA182" s="29">
        <f>P182*O182</f>
        <v>78865.839360000013</v>
      </c>
      <c r="AB182" s="29">
        <f>IFERROR(O182*Q182,0)</f>
        <v>83583.360000000001</v>
      </c>
      <c r="AC182" s="4" t="e" cm="1">
        <f t="array" ref="AC182">VLOOKUP(IF(NOT(_xll.BDP(AX182,$BW$8)="#N/A N/A"),(_xll.BDP(AX182,$BW$8)),"-"), '[1]Country Codes'!$A$2:$B$253,2,0)</f>
        <v>#N/A</v>
      </c>
      <c r="AD182" s="30" t="str" cm="1">
        <f t="array" ref="AD182">IF(OR(_xll.BDP($AX182,"EX028")= "#N/A N/A", _xll.BDP($AX182,"EX028")="#N/A FIELD NOT APPLICABLE"), " ", _xll.BDP($AX182,"EX028"))</f>
        <v>Equity</v>
      </c>
      <c r="AE182" s="31" t="str">
        <f>IF(("AS97"="Equity"), " ", "Single Line Equity")</f>
        <v>Single Line Equity</v>
      </c>
      <c r="AF182" s="26" cm="1">
        <f t="array" ref="AF182">IF(OR(_xll.BDP($AX182,"RR908")= "#N/A N/A", _xll.BDP($AX182,"RR908")="#N/A FIELD NOT APPLICABLE"), " ", _xll.BDP($AX182,"RR908"))</f>
        <v>24.757704935253638</v>
      </c>
      <c r="AG182" s="26" cm="1">
        <f t="array" ref="AG182">IF(OR(_xll.BDP($AX182,"RR041")= "#N/A N/A", _xll.BDP($AX182,"RR041")="#N/A FIELD NOT APPLICABLE"), " ", _xll.BDP($AX182,"RR041"))</f>
        <v>19.105636291571237</v>
      </c>
      <c r="AH182" s="22">
        <f>_xll.BDP(AX182,"TOT_BUY_REC")</f>
        <v>67</v>
      </c>
      <c r="AI182" s="22">
        <f>_xll.BDP(AX182,"TOT_HOLD_REC")</f>
        <v>5</v>
      </c>
      <c r="AJ182" s="22">
        <f>_xll.BDP(AX182,"TOT_SELL_REC")</f>
        <v>0</v>
      </c>
      <c r="AK182" s="26" cm="1">
        <f t="array" ref="AK182">IF(OR(_xll.BDP($AX182,"EE201")= "#N/A N/A", _xll.BDP($AX182,"EE201")="#N/A FIELD NOT APPLICABLE"), " ", _xll.BDP($AX182,"EE201"))</f>
        <v>4.8333334922790527</v>
      </c>
      <c r="AL182" s="24">
        <f>_xll.BDP(AX182,"BEST_TARGET_PRICE")</f>
        <v>508.44259643554688</v>
      </c>
      <c r="AM182" s="32">
        <f>(AL182/Q182)-1</f>
        <v>0.16794752586669159</v>
      </c>
      <c r="AN182" s="32">
        <f>_xll.BDP(AX182,"PR061")/100</f>
        <v>0.20978770000000002</v>
      </c>
      <c r="AO182" s="32">
        <f>_xll.BDP(AX182,"PR064")/100</f>
        <v>4.6919320000000007E-2</v>
      </c>
      <c r="AP182" s="32">
        <f>_xll.BDP(AX182,"CHG_PCT_6M")/100</f>
        <v>3.6055990000000003E-2</v>
      </c>
      <c r="AQ182" s="25">
        <f>_xll.BDP(AX182,"PR079")/100</f>
        <v>3.2811390000000003E-2</v>
      </c>
      <c r="AR182" s="33">
        <f>_xll.BDP(AX182,"hs001")</f>
        <v>468.35</v>
      </c>
      <c r="AS182" s="33">
        <f>_xll.BDP(AX182,"hs002")</f>
        <v>344.79</v>
      </c>
      <c r="AT182" s="22" t="str" cm="1">
        <f t="array" ref="AT182">IF(OR(_xll.BDP($AX182,"DX202")= "#N/A N/A", _xll.BDP($AX182,"DX202")="#N/A FIELD NOT APPLICABLE"), " ", _xll.BDP($AX182,"DX202"))</f>
        <v>Information Technology</v>
      </c>
      <c r="AU182" s="22" t="str" cm="1">
        <f t="array" ref="AU182">IF(OR(_xll.BDP($AX182,"DY997")= "#N/A N/A", _xll.BDP($AX182,"DY997")="#N/A FIELD NOT APPLICABLE"), " ", _xll.BDP($AX182,"DY997"))</f>
        <v>Y</v>
      </c>
      <c r="AV182" s="22" t="str" cm="1">
        <f t="array" ref="AV182">IF(OR(_xll.BDP($AX182,"DY784")= "#N/A N/A", _xll.BDP($AX182,"DY784")="#N/A FIELD NOT APPLICABLE"), " ", _xll.BDP($AX182,"DY784"))</f>
        <v xml:space="preserve"> </v>
      </c>
      <c r="AW182" s="22" t="str">
        <f>IF(OR(AU182="Y",AV182="Y"),"Y","N")</f>
        <v>Y</v>
      </c>
      <c r="AX182" s="22" t="str">
        <f>CONCATENATE(G182," ",$AX$2)</f>
        <v>MSFT US Equity</v>
      </c>
      <c r="BC182" s="17"/>
      <c r="BD182" s="17"/>
      <c r="BE182" s="18"/>
      <c r="BF182" s="19"/>
      <c r="BG182" s="20"/>
    </row>
    <row r="183" spans="1:59" s="3" customFormat="1" ht="14.45" customHeight="1" x14ac:dyDescent="0.25">
      <c r="A183" s="49" t="s">
        <v>242</v>
      </c>
      <c r="B183" s="49" t="s">
        <v>268</v>
      </c>
      <c r="C183" s="49" t="s">
        <v>269</v>
      </c>
      <c r="D183" s="49" t="s">
        <v>248</v>
      </c>
      <c r="E183" s="22" t="str">
        <f>_xll.BDP(AX183,"SECURITY NAME")</f>
        <v>Microsoft Corp</v>
      </c>
      <c r="F183" s="22" t="str">
        <f>_xll.BDP(AX183,"CRNCY")</f>
        <v>USD</v>
      </c>
      <c r="G183" s="23" t="s">
        <v>120</v>
      </c>
      <c r="H183" s="22" t="str" cm="1">
        <f t="array" ref="H183">IF(OR(_xll.BDP($AX183,"DX202")= "#N/A N/A", _xll.BDP($AX183,"DX202")="#N/A FIELD NOT APPLICABLE"), " ", _xll.BDP($AX183,"DX202"))</f>
        <v>Information Technology</v>
      </c>
      <c r="I183" s="24">
        <f>_xll.BDP(AX183,"CRNCY_ADJ_MKT_CAP", "EQY_FUND_CRNCY=USD")/1000</f>
        <v>3235.6093207504496</v>
      </c>
      <c r="J183" s="25">
        <f>IFERROR(_xll.BDP(AX183, "DV013")/100,0)</f>
        <v>7.6263982111106467E-3</v>
      </c>
      <c r="K183" s="26" cm="1">
        <f t="array" ref="K183">IF(OR(_xll.BDP($AX183,"RR900")= "#N/A N/A", _xll.BDP($AX183,"RR900")="#N/A FIELD NOT APPLICABLE"), " ", _xll.BDP($AX183,"RR900"))</f>
        <v>33.552835298470619</v>
      </c>
      <c r="L183" s="26" cm="1">
        <f t="array" ref="L183">IF(OR(_xll.BDP($AX183,"EE010")= "#N/A N/A", _xll.BDP($AX183,"EE010")="#N/A FIELD NOT APPLICABLE"), " ", _xll.BDP($AX183,"EE010"))</f>
        <v>28.691998418138674</v>
      </c>
      <c r="M183" s="26" cm="1">
        <f t="array" ref="M183">IF(OR(_xll.BDP($AX183,"RR903")= "#N/A N/A", _xll.BDP($AX183,"RR903")="#N/A FIELD NOT APPLICABLE"), " ", _xll.BDP($AX183,"RR903"))</f>
        <v>10.05384779375075</v>
      </c>
      <c r="N183" s="26" cm="1">
        <f t="array" ref="N183">IF(OR(_xll.BDP($AX183,"RR957")= "#N/A N/A", _xll.BDP($AX183,"RR957")="#N/A FIELD NOT APPLICABLE"), " ", _xll.BDP($AX183,"RR957"))</f>
        <v>20.840855365499579</v>
      </c>
      <c r="O183" s="27">
        <v>468</v>
      </c>
      <c r="P183" s="28">
        <v>379.18</v>
      </c>
      <c r="Q183" s="22" cm="1">
        <f t="array" ref="Q183">IF(OR(_xll.BDP($AX183,"PX_last")="#N/A N/A",_xll.BDP($AX183,"PX_Last")="#N/A FIELD NOT APPLICABLE")," ",IF(F183="GBP",(_xll.BDP($AX183,"PX_LAST")/100),(_xll.BDP($AX183,"PX_LAST"))))</f>
        <v>435.33</v>
      </c>
      <c r="R183" s="29">
        <f>IF(F183="USD",AA183,(((_xll.BDP(F183&amp;"USD CURNCY","PX_LAST")))*AA183))</f>
        <v>177456.24</v>
      </c>
      <c r="S183" s="29">
        <f>IF(F183="USD",AB183,(((_xll.BDP(F183&amp;"USD CURNCY","PX_LAST")))*AB183))</f>
        <v>203734.44</v>
      </c>
      <c r="T183" s="12">
        <f>S183-R183</f>
        <v>26278.200000000012</v>
      </c>
      <c r="U183" s="13">
        <f>T183/R183</f>
        <v>0.14808270478400767</v>
      </c>
      <c r="V183" s="13" cm="1">
        <f t="array" ref="V183">IFERROR(_xll.BDP($G183&amp;" Equity","CHG_PCT_1D")/100,"")</f>
        <v>-1.925855E-3</v>
      </c>
      <c r="W183" s="13" cm="1">
        <f t="array" ref="W183">IFERROR(_xll.BDP($G183&amp;" Equity","CHG_PCT_5D")/100,"")</f>
        <v>0.10478630000000001</v>
      </c>
      <c r="X183" s="13" t="e">
        <f>S183/#REF!</f>
        <v>#REF!</v>
      </c>
      <c r="Y183" s="24">
        <f>IFERROR(S183*J183,0)</f>
        <v>1553.7599687576294</v>
      </c>
      <c r="Z183" s="24">
        <f>S183</f>
        <v>203734.44</v>
      </c>
      <c r="AA183" s="29">
        <f>P183*O183</f>
        <v>177456.24</v>
      </c>
      <c r="AB183" s="29">
        <f>IFERROR(O183*Q183,0)</f>
        <v>203734.44</v>
      </c>
      <c r="AC183" s="4" t="e" cm="1">
        <f t="array" ref="AC183">VLOOKUP(IF(NOT(_xll.BDP(AX183,$BW$8)="#N/A N/A"),(_xll.BDP(AX183,$BW$8)),"-"), '[1]Country Codes'!$A$2:$B$253,2,0)</f>
        <v>#N/A</v>
      </c>
      <c r="AD183" s="30" t="str" cm="1">
        <f t="array" ref="AD183">IF(OR(_xll.BDP($AX183,"EX028")= "#N/A N/A", _xll.BDP($AX183,"EX028")="#N/A FIELD NOT APPLICABLE"), " ", _xll.BDP($AX183,"EX028"))</f>
        <v>Equity</v>
      </c>
      <c r="AE183" s="31" t="str">
        <f>IF(("AS97"="Equity"), " ", "Single Line Equity")</f>
        <v>Single Line Equity</v>
      </c>
      <c r="AF183" s="26" cm="1">
        <f t="array" ref="AF183">IF(OR(_xll.BDP($AX183,"RR908")= "#N/A N/A", _xll.BDP($AX183,"RR908")="#N/A FIELD NOT APPLICABLE"), " ", _xll.BDP($AX183,"RR908"))</f>
        <v>24.757704935253638</v>
      </c>
      <c r="AG183" s="26" cm="1">
        <f t="array" ref="AG183">IF(OR(_xll.BDP($AX183,"RR041")= "#N/A N/A", _xll.BDP($AX183,"RR041")="#N/A FIELD NOT APPLICABLE"), " ", _xll.BDP($AX183,"RR041"))</f>
        <v>19.105636291571237</v>
      </c>
      <c r="AH183" s="22">
        <f>_xll.BDP(AX183,"TOT_BUY_REC")</f>
        <v>67</v>
      </c>
      <c r="AI183" s="22">
        <f>_xll.BDP(AX183,"TOT_HOLD_REC")</f>
        <v>5</v>
      </c>
      <c r="AJ183" s="22">
        <f>_xll.BDP(AX183,"TOT_SELL_REC")</f>
        <v>0</v>
      </c>
      <c r="AK183" s="26" cm="1">
        <f t="array" ref="AK183">IF(OR(_xll.BDP($AX183,"EE201")= "#N/A N/A", _xll.BDP($AX183,"EE201")="#N/A FIELD NOT APPLICABLE"), " ", _xll.BDP($AX183,"EE201"))</f>
        <v>4.8333334922790527</v>
      </c>
      <c r="AL183" s="24">
        <f>_xll.BDP(AX183,"BEST_TARGET_PRICE")</f>
        <v>508.44259643554688</v>
      </c>
      <c r="AM183" s="32">
        <f>(AL183/Q183)-1</f>
        <v>0.16794752586669159</v>
      </c>
      <c r="AN183" s="32">
        <f>_xll.BDP(AX183,"PR061")/100</f>
        <v>0.20978770000000002</v>
      </c>
      <c r="AO183" s="32">
        <f>_xll.BDP(AX183,"PR064")/100</f>
        <v>4.6919320000000007E-2</v>
      </c>
      <c r="AP183" s="32">
        <f>_xll.BDP(AX183,"CHG_PCT_6M")/100</f>
        <v>3.6055990000000003E-2</v>
      </c>
      <c r="AQ183" s="25">
        <f>_xll.BDP(AX183,"PR079")/100</f>
        <v>3.2811390000000003E-2</v>
      </c>
      <c r="AR183" s="33">
        <f>_xll.BDP(AX183,"hs001")</f>
        <v>468.35</v>
      </c>
      <c r="AS183" s="33">
        <f>_xll.BDP(AX183,"hs002")</f>
        <v>344.79</v>
      </c>
      <c r="AT183" s="22" t="str" cm="1">
        <f t="array" ref="AT183">IF(OR(_xll.BDP($AX183,"DX202")= "#N/A N/A", _xll.BDP($AX183,"DX202")="#N/A FIELD NOT APPLICABLE"), " ", _xll.BDP($AX183,"DX202"))</f>
        <v>Information Technology</v>
      </c>
      <c r="AU183" s="22" t="str" cm="1">
        <f t="array" ref="AU183">IF(OR(_xll.BDP($AX183,"DY997")= "#N/A N/A", _xll.BDP($AX183,"DY997")="#N/A FIELD NOT APPLICABLE"), " ", _xll.BDP($AX183,"DY997"))</f>
        <v>Y</v>
      </c>
      <c r="AV183" s="22" t="str" cm="1">
        <f t="array" ref="AV183">IF(OR(_xll.BDP($AX183,"DY784")= "#N/A N/A", _xll.BDP($AX183,"DY784")="#N/A FIELD NOT APPLICABLE"), " ", _xll.BDP($AX183,"DY784"))</f>
        <v xml:space="preserve"> </v>
      </c>
      <c r="AW183" s="22" t="str">
        <f>IF(OR(AU183="Y",AV183="Y"),"Y","N")</f>
        <v>Y</v>
      </c>
      <c r="AX183" s="22" t="str">
        <f>CONCATENATE(G183," ",$AX$2)</f>
        <v>MSFT US Equity</v>
      </c>
      <c r="BC183" s="17" t="str" cm="1">
        <f t="array" ref="BC183">_xll.BDP(AX183,"ID005")</f>
        <v>US5949181045</v>
      </c>
      <c r="BD183" s="17">
        <v>0.75</v>
      </c>
      <c r="BE183" s="18">
        <v>4</v>
      </c>
      <c r="BF183" s="19">
        <v>45560</v>
      </c>
      <c r="BG183" s="20">
        <v>1</v>
      </c>
    </row>
    <row r="184" spans="1:59" s="3" customFormat="1" ht="14.45" customHeight="1" x14ac:dyDescent="0.25">
      <c r="A184" s="49" t="s">
        <v>241</v>
      </c>
      <c r="B184" s="49" t="s">
        <v>270</v>
      </c>
      <c r="C184" s="49" t="s">
        <v>271</v>
      </c>
      <c r="D184" s="49" t="s">
        <v>240</v>
      </c>
      <c r="E184" s="22" t="str">
        <f>_xll.BDP(AX184,"SECURITY NAME")</f>
        <v>Microsoft Corp</v>
      </c>
      <c r="F184" s="22" t="str">
        <f>_xll.BDP(AX184,"CRNCY")</f>
        <v>USD</v>
      </c>
      <c r="G184" s="23" t="s">
        <v>120</v>
      </c>
      <c r="H184" s="22" t="str" cm="1">
        <f t="array" ref="H184">IF(OR(_xll.BDP($AX184,"DX202")= "#N/A N/A", _xll.BDP($AX184,"DX202")="#N/A FIELD NOT APPLICABLE"), " ", _xll.BDP($AX184,"DX202"))</f>
        <v>Information Technology</v>
      </c>
      <c r="I184" s="24">
        <f>_xll.BDP(AX184,"CRNCY_ADJ_MKT_CAP", "EQY_FUND_CRNCY=USD")/1000</f>
        <v>3235.6093207504496</v>
      </c>
      <c r="J184" s="25">
        <f>IFERROR(_xll.BDP(AX184, "DV013")/100,0)</f>
        <v>7.6263982111106467E-3</v>
      </c>
      <c r="K184" s="26" cm="1">
        <f t="array" ref="K184">IF(OR(_xll.BDP($AX184,"RR900")= "#N/A N/A", _xll.BDP($AX184,"RR900")="#N/A FIELD NOT APPLICABLE"), " ", _xll.BDP($AX184,"RR900"))</f>
        <v>33.552835298470619</v>
      </c>
      <c r="L184" s="26" cm="1">
        <f t="array" ref="L184">IF(OR(_xll.BDP($AX184,"EE010")= "#N/A N/A", _xll.BDP($AX184,"EE010")="#N/A FIELD NOT APPLICABLE"), " ", _xll.BDP($AX184,"EE010"))</f>
        <v>28.691998418138674</v>
      </c>
      <c r="M184" s="26" cm="1">
        <f t="array" ref="M184">IF(OR(_xll.BDP($AX184,"RR903")= "#N/A N/A", _xll.BDP($AX184,"RR903")="#N/A FIELD NOT APPLICABLE"), " ", _xll.BDP($AX184,"RR903"))</f>
        <v>10.05384779375075</v>
      </c>
      <c r="N184" s="26" cm="1">
        <f t="array" ref="N184">IF(OR(_xll.BDP($AX184,"RR957")= "#N/A N/A", _xll.BDP($AX184,"RR957")="#N/A FIELD NOT APPLICABLE"), " ", _xll.BDP($AX184,"RR957"))</f>
        <v>20.840855365499579</v>
      </c>
      <c r="O184" s="27">
        <v>186</v>
      </c>
      <c r="P184" s="28">
        <v>415.5</v>
      </c>
      <c r="Q184" s="22" cm="1">
        <f t="array" ref="Q184">IF(OR(_xll.BDP($AX184,"PX_last")="#N/A N/A",_xll.BDP($AX184,"PX_Last")="#N/A FIELD NOT APPLICABLE")," ",IF(F184="GBP",(_xll.BDP($AX184,"PX_LAST")/100),(_xll.BDP($AX184,"PX_LAST"))))</f>
        <v>435.33</v>
      </c>
      <c r="R184" s="29">
        <f>IF(F184="USD",AA184,(((_xll.BDP(F184&amp;"USD CURNCY","PX_LAST")))*AA184))</f>
        <v>77283</v>
      </c>
      <c r="S184" s="29">
        <f>IF(F184="USD",AB184,(((_xll.BDP(F184&amp;"USD CURNCY","PX_LAST")))*AB184))</f>
        <v>80971.37999999999</v>
      </c>
      <c r="T184" s="12">
        <f>S184-R184</f>
        <v>3688.3799999999901</v>
      </c>
      <c r="U184" s="13">
        <f>T184/R184</f>
        <v>4.7725631768952941E-2</v>
      </c>
      <c r="V184" s="13" cm="1">
        <f t="array" ref="V184">IFERROR(_xll.BDP($G184&amp;" Equity","CHG_PCT_1D")/100,"")</f>
        <v>-1.925855E-3</v>
      </c>
      <c r="W184" s="13" cm="1">
        <f t="array" ref="W184">IFERROR(_xll.BDP($G184&amp;" Equity","CHG_PCT_5D")/100,"")</f>
        <v>0.10478630000000001</v>
      </c>
      <c r="X184" s="13" t="e">
        <f>S184/#REF!</f>
        <v>#REF!</v>
      </c>
      <c r="Y184" s="24">
        <f>IFERROR(S184*J184,0)</f>
        <v>617.51998758316029</v>
      </c>
      <c r="Z184" s="24">
        <f>S184</f>
        <v>80971.37999999999</v>
      </c>
      <c r="AA184" s="29">
        <f>P184*O184</f>
        <v>77283</v>
      </c>
      <c r="AB184" s="29">
        <f>IFERROR(O184*Q184,0)</f>
        <v>80971.37999999999</v>
      </c>
      <c r="AC184" s="4" t="e" cm="1">
        <f t="array" ref="AC184">VLOOKUP(IF(NOT(_xll.BDP(AX184,$BW$8)="#N/A N/A"),(_xll.BDP(AX184,$BW$8)),"-"), '[1]Country Codes'!$A$2:$B$253,2,0)</f>
        <v>#N/A</v>
      </c>
      <c r="AD184" s="30" t="str" cm="1">
        <f t="array" ref="AD184">IF(OR(_xll.BDP($AX184,"EX028")= "#N/A N/A", _xll.BDP($AX184,"EX028")="#N/A FIELD NOT APPLICABLE"), " ", _xll.BDP($AX184,"EX028"))</f>
        <v>Equity</v>
      </c>
      <c r="AE184" s="31" t="str">
        <f>IF(("AS97"="Equity"), " ", "Single Line Equity")</f>
        <v>Single Line Equity</v>
      </c>
      <c r="AF184" s="26" cm="1">
        <f t="array" ref="AF184">IF(OR(_xll.BDP($AX184,"RR908")= "#N/A N/A", _xll.BDP($AX184,"RR908")="#N/A FIELD NOT APPLICABLE"), " ", _xll.BDP($AX184,"RR908"))</f>
        <v>24.757704935253638</v>
      </c>
      <c r="AG184" s="26" cm="1">
        <f t="array" ref="AG184">IF(OR(_xll.BDP($AX184,"RR041")= "#N/A N/A", _xll.BDP($AX184,"RR041")="#N/A FIELD NOT APPLICABLE"), " ", _xll.BDP($AX184,"RR041"))</f>
        <v>19.105636291571237</v>
      </c>
      <c r="AH184" s="22">
        <f>_xll.BDP(AX184,"TOT_BUY_REC")</f>
        <v>67</v>
      </c>
      <c r="AI184" s="22">
        <f>_xll.BDP(AX184,"TOT_HOLD_REC")</f>
        <v>5</v>
      </c>
      <c r="AJ184" s="22">
        <f>_xll.BDP(AX184,"TOT_SELL_REC")</f>
        <v>0</v>
      </c>
      <c r="AK184" s="26" cm="1">
        <f t="array" ref="AK184">IF(OR(_xll.BDP($AX184,"EE201")= "#N/A N/A", _xll.BDP($AX184,"EE201")="#N/A FIELD NOT APPLICABLE"), " ", _xll.BDP($AX184,"EE201"))</f>
        <v>4.8333334922790527</v>
      </c>
      <c r="AL184" s="24">
        <f>_xll.BDP(AX184,"BEST_TARGET_PRICE")</f>
        <v>508.44259643554688</v>
      </c>
      <c r="AM184" s="32">
        <f>(AL184/Q184)-1</f>
        <v>0.16794752586669159</v>
      </c>
      <c r="AN184" s="32">
        <f>_xll.BDP(AX184,"PR061")/100</f>
        <v>0.20978770000000002</v>
      </c>
      <c r="AO184" s="32">
        <f>_xll.BDP(AX184,"PR064")/100</f>
        <v>4.6919320000000007E-2</v>
      </c>
      <c r="AP184" s="32">
        <f>_xll.BDP(AX184,"CHG_PCT_6M")/100</f>
        <v>3.6055990000000003E-2</v>
      </c>
      <c r="AQ184" s="25">
        <f>_xll.BDP(AX184,"PR079")/100</f>
        <v>3.2811390000000003E-2</v>
      </c>
      <c r="AR184" s="33">
        <f>_xll.BDP(AX184,"hs001")</f>
        <v>468.35</v>
      </c>
      <c r="AS184" s="33">
        <f>_xll.BDP(AX184,"hs002")</f>
        <v>344.79</v>
      </c>
      <c r="AT184" s="22" t="str" cm="1">
        <f t="array" ref="AT184">IF(OR(_xll.BDP($AX184,"DX202")= "#N/A N/A", _xll.BDP($AX184,"DX202")="#N/A FIELD NOT APPLICABLE"), " ", _xll.BDP($AX184,"DX202"))</f>
        <v>Information Technology</v>
      </c>
      <c r="AU184" s="22" t="str" cm="1">
        <f t="array" ref="AU184">IF(OR(_xll.BDP($AX184,"DY997")= "#N/A N/A", _xll.BDP($AX184,"DY997")="#N/A FIELD NOT APPLICABLE"), " ", _xll.BDP($AX184,"DY997"))</f>
        <v>Y</v>
      </c>
      <c r="AV184" s="22" t="str" cm="1">
        <f t="array" ref="AV184">IF(OR(_xll.BDP($AX184,"DY784")= "#N/A N/A", _xll.BDP($AX184,"DY784")="#N/A FIELD NOT APPLICABLE"), " ", _xll.BDP($AX184,"DY784"))</f>
        <v xml:space="preserve"> </v>
      </c>
      <c r="AW184" s="22" t="str">
        <f>IF(OR(AU184="Y",AV184="Y"),"Y","N")</f>
        <v>Y</v>
      </c>
      <c r="AX184" s="22" t="str">
        <f>CONCATENATE(G184," ",$AX$2)</f>
        <v>MSFT US Equity</v>
      </c>
      <c r="BC184" s="17" t="str" cm="1">
        <f t="array" ref="BC184">_xll.BDP(AX184,"ID005")</f>
        <v>US5949181045</v>
      </c>
      <c r="BD184" s="17">
        <v>0.75</v>
      </c>
      <c r="BE184" s="18">
        <v>4</v>
      </c>
      <c r="BF184" s="19">
        <v>45560</v>
      </c>
      <c r="BG184" s="20">
        <v>1</v>
      </c>
    </row>
    <row r="185" spans="1:59" s="3" customFormat="1" ht="14.45" customHeight="1" x14ac:dyDescent="0.25">
      <c r="A185" s="49" t="s">
        <v>241</v>
      </c>
      <c r="B185" s="49" t="s">
        <v>272</v>
      </c>
      <c r="C185" s="49">
        <v>2620061.0010000002</v>
      </c>
      <c r="D185" s="49" t="s">
        <v>240</v>
      </c>
      <c r="E185" s="22" t="str">
        <f>_xll.BDP(AX185,"SECURITY NAME")</f>
        <v>Microsoft Corp</v>
      </c>
      <c r="F185" s="22" t="str">
        <f>_xll.BDP(AX185,"CRNCY")</f>
        <v>USD</v>
      </c>
      <c r="G185" s="23" t="s">
        <v>120</v>
      </c>
      <c r="H185" s="22" t="str" cm="1">
        <f t="array" ref="H185">IF(OR(_xll.BDP($AX185,"DX202")= "#N/A N/A", _xll.BDP($AX185,"DX202")="#N/A FIELD NOT APPLICABLE"), " ", _xll.BDP($AX185,"DX202"))</f>
        <v>Information Technology</v>
      </c>
      <c r="I185" s="24">
        <f>_xll.BDP(AX185,"CRNCY_ADJ_MKT_CAP", "EQY_FUND_CRNCY=USD")/1000</f>
        <v>3235.6093207504496</v>
      </c>
      <c r="J185" s="25">
        <f>IFERROR(_xll.BDP(AX185, "DV013")/100,0)</f>
        <v>7.6263982111106467E-3</v>
      </c>
      <c r="K185" s="26" cm="1">
        <f t="array" ref="K185">IF(OR(_xll.BDP($AX185,"RR900")= "#N/A N/A", _xll.BDP($AX185,"RR900")="#N/A FIELD NOT APPLICABLE"), " ", _xll.BDP($AX185,"RR900"))</f>
        <v>33.552835298470619</v>
      </c>
      <c r="L185" s="26" cm="1">
        <f t="array" ref="L185">IF(OR(_xll.BDP($AX185,"EE010")= "#N/A N/A", _xll.BDP($AX185,"EE010")="#N/A FIELD NOT APPLICABLE"), " ", _xll.BDP($AX185,"EE010"))</f>
        <v>28.691998418138674</v>
      </c>
      <c r="M185" s="26" cm="1">
        <f t="array" ref="M185">IF(OR(_xll.BDP($AX185,"RR903")= "#N/A N/A", _xll.BDP($AX185,"RR903")="#N/A FIELD NOT APPLICABLE"), " ", _xll.BDP($AX185,"RR903"))</f>
        <v>10.05384779375075</v>
      </c>
      <c r="N185" s="26" cm="1">
        <f t="array" ref="N185">IF(OR(_xll.BDP($AX185,"RR957")= "#N/A N/A", _xll.BDP($AX185,"RR957")="#N/A FIELD NOT APPLICABLE"), " ", _xll.BDP($AX185,"RR957"))</f>
        <v>20.840855365499579</v>
      </c>
      <c r="O185" s="27">
        <v>171</v>
      </c>
      <c r="P185" s="28">
        <v>415.5</v>
      </c>
      <c r="Q185" s="22" cm="1">
        <f t="array" ref="Q185">IF(OR(_xll.BDP($AX185,"PX_last")="#N/A N/A",_xll.BDP($AX185,"PX_Last")="#N/A FIELD NOT APPLICABLE")," ",IF(F185="GBP",(_xll.BDP($AX185,"PX_LAST")/100),(_xll.BDP($AX185,"PX_LAST"))))</f>
        <v>435.33</v>
      </c>
      <c r="R185" s="29">
        <f>IF(F185="USD",AA185,(((_xll.BDP(F185&amp;"USD CURNCY","PX_LAST")))*AA185))</f>
        <v>71050.5</v>
      </c>
      <c r="S185" s="29">
        <f>IF(F185="USD",AB185,(((_xll.BDP(F185&amp;"USD CURNCY","PX_LAST")))*AB185))</f>
        <v>74441.429999999993</v>
      </c>
      <c r="T185" s="12">
        <f>S185-R185</f>
        <v>3390.929999999993</v>
      </c>
      <c r="U185" s="13">
        <f>IFERROR(T185/R185,0)</f>
        <v>4.7725631768952968E-2</v>
      </c>
      <c r="V185" s="13" cm="1">
        <f t="array" ref="V185">IFERROR(_xll.BDP($G185&amp;" Equity","CHG_PCT_1D")/100,"")</f>
        <v>-1.925855E-3</v>
      </c>
      <c r="W185" s="13" cm="1">
        <f t="array" ref="W185">IFERROR(_xll.BDP($G185&amp;" Equity","CHG_PCT_5D")/100,"")</f>
        <v>0.10478630000000001</v>
      </c>
      <c r="X185" s="13" t="e">
        <f>S185/#REF!</f>
        <v>#REF!</v>
      </c>
      <c r="Y185" s="24">
        <f>IFERROR(S185*J185,0)</f>
        <v>567.71998858451832</v>
      </c>
      <c r="Z185" s="24">
        <f>S185</f>
        <v>74441.429999999993</v>
      </c>
      <c r="AA185" s="29">
        <f>P185*O185</f>
        <v>71050.5</v>
      </c>
      <c r="AB185" s="29">
        <f>IFERROR(O185*Q185,0)</f>
        <v>74441.429999999993</v>
      </c>
      <c r="AC185" s="4" t="e" cm="1">
        <f t="array" ref="AC185">VLOOKUP(IF(NOT(_xll.BDP(AX185,$BW$8)="#N/A N/A"),(_xll.BDP(AX185,$BW$8)),"-"), '[1]Country Codes'!$A$2:$B$253,2,0)</f>
        <v>#N/A</v>
      </c>
      <c r="AD185" s="30" t="str" cm="1">
        <f t="array" ref="AD185">IF(OR(_xll.BDP($AX185,"EX028")= "#N/A N/A", _xll.BDP($AX185,"EX028")="#N/A FIELD NOT APPLICABLE"), " ", _xll.BDP($AX185,"EX028"))</f>
        <v>Equity</v>
      </c>
      <c r="AE185" s="31" t="str">
        <f>IF(("AS97"="Equity"), " ", "Single Line Equity")</f>
        <v>Single Line Equity</v>
      </c>
      <c r="AF185" s="26" cm="1">
        <f t="array" ref="AF185">IF(OR(_xll.BDP($AX185,"RR908")= "#N/A N/A", _xll.BDP($AX185,"RR908")="#N/A FIELD NOT APPLICABLE"), " ", _xll.BDP($AX185,"RR908"))</f>
        <v>24.757704935253638</v>
      </c>
      <c r="AG185" s="26" cm="1">
        <f t="array" ref="AG185">IF(OR(_xll.BDP($AX185,"RR041")= "#N/A N/A", _xll.BDP($AX185,"RR041")="#N/A FIELD NOT APPLICABLE"), " ", _xll.BDP($AX185,"RR041"))</f>
        <v>19.105636291571237</v>
      </c>
      <c r="AH185" s="22">
        <f>_xll.BDP(AX185,"TOT_BUY_REC")</f>
        <v>67</v>
      </c>
      <c r="AI185" s="22">
        <f>_xll.BDP(AX185,"TOT_HOLD_REC")</f>
        <v>5</v>
      </c>
      <c r="AJ185" s="22">
        <f>_xll.BDP(AX185,"TOT_SELL_REC")</f>
        <v>0</v>
      </c>
      <c r="AK185" s="26" cm="1">
        <f t="array" ref="AK185">IF(OR(_xll.BDP($AX185,"EE201")= "#N/A N/A", _xll.BDP($AX185,"EE201")="#N/A FIELD NOT APPLICABLE"), " ", _xll.BDP($AX185,"EE201"))</f>
        <v>4.8333334922790527</v>
      </c>
      <c r="AL185" s="24">
        <f>_xll.BDP(AX185,"BEST_TARGET_PRICE")</f>
        <v>508.44259643554688</v>
      </c>
      <c r="AM185" s="32">
        <f>(AL185/Q185)-1</f>
        <v>0.16794752586669159</v>
      </c>
      <c r="AN185" s="32">
        <f>_xll.BDP(AX185,"PR061")/100</f>
        <v>0.20978770000000002</v>
      </c>
      <c r="AO185" s="32">
        <f>_xll.BDP(AX185,"PR064")/100</f>
        <v>4.6919320000000007E-2</v>
      </c>
      <c r="AP185" s="32">
        <f>_xll.BDP(AX185,"CHG_PCT_6M")/100</f>
        <v>3.6055990000000003E-2</v>
      </c>
      <c r="AQ185" s="25">
        <f>_xll.BDP(AX185,"PR079")/100</f>
        <v>3.2811390000000003E-2</v>
      </c>
      <c r="AR185" s="33">
        <f>_xll.BDP(AX185,"hs001")</f>
        <v>468.35</v>
      </c>
      <c r="AS185" s="33">
        <f>_xll.BDP(AX185,"hs002")</f>
        <v>344.79</v>
      </c>
      <c r="AT185" s="22" t="str" cm="1">
        <f t="array" ref="AT185">IF(OR(_xll.BDP($AX185,"DX202")= "#N/A N/A", _xll.BDP($AX185,"DX202")="#N/A FIELD NOT APPLICABLE"), " ", _xll.BDP($AX185,"DX202"))</f>
        <v>Information Technology</v>
      </c>
      <c r="AU185" s="22" t="str" cm="1">
        <f t="array" ref="AU185">IF(OR(_xll.BDP($AX185,"DY997")= "#N/A N/A", _xll.BDP($AX185,"DY997")="#N/A FIELD NOT APPLICABLE"), " ", _xll.BDP($AX185,"DY997"))</f>
        <v>Y</v>
      </c>
      <c r="AV185" s="22" t="str" cm="1">
        <f t="array" ref="AV185">IF(OR(_xll.BDP($AX185,"DY784")= "#N/A N/A", _xll.BDP($AX185,"DY784")="#N/A FIELD NOT APPLICABLE"), " ", _xll.BDP($AX185,"DY784"))</f>
        <v xml:space="preserve"> </v>
      </c>
      <c r="AW185" s="22" t="str">
        <f>IF(OR(AU185="Y",AV185="Y"),"Y","N")</f>
        <v>Y</v>
      </c>
      <c r="AX185" s="22" t="str">
        <f>CONCATENATE(G185," ",$AX$2)</f>
        <v>MSFT US Equity</v>
      </c>
      <c r="BC185" s="17" t="str" cm="1">
        <f t="array" ref="BC185">_xll.BDP(AX185,"ID005")</f>
        <v>US5949181045</v>
      </c>
      <c r="BD185" s="17">
        <v>0.75</v>
      </c>
      <c r="BE185" s="18">
        <v>4</v>
      </c>
      <c r="BF185" s="19">
        <v>45540</v>
      </c>
      <c r="BG185" s="20">
        <v>1</v>
      </c>
    </row>
    <row r="186" spans="1:59" s="3" customFormat="1" ht="14.45" customHeight="1" x14ac:dyDescent="0.25">
      <c r="A186" s="49" t="s">
        <v>241</v>
      </c>
      <c r="B186" s="49" t="s">
        <v>273</v>
      </c>
      <c r="C186" s="49">
        <v>2620058.003</v>
      </c>
      <c r="D186" s="49" t="s">
        <v>240</v>
      </c>
      <c r="E186" s="22" t="str">
        <f>_xll.BDP(AX186,"SECURITY NAME")</f>
        <v>Microsoft Corp</v>
      </c>
      <c r="F186" s="22" t="str">
        <f>_xll.BDP(AX186,"CRNCY")</f>
        <v>USD</v>
      </c>
      <c r="G186" s="23" t="s">
        <v>120</v>
      </c>
      <c r="H186" s="22" t="str" cm="1">
        <f t="array" ref="H186">IF(OR(_xll.BDP($AX186,"DX202")= "#N/A N/A", _xll.BDP($AX186,"DX202")="#N/A FIELD NOT APPLICABLE"), " ", _xll.BDP($AX186,"DX202"))</f>
        <v>Information Technology</v>
      </c>
      <c r="I186" s="24"/>
      <c r="J186" s="25">
        <f>IFERROR(_xll.BDP(AX186, "DV013")/100,0)</f>
        <v>7.6263982111106467E-3</v>
      </c>
      <c r="K186" s="26" cm="1">
        <f t="array" ref="K186">IF(OR(_xll.BDP($AX186,"RR900")= "#N/A N/A", _xll.BDP($AX186,"RR900")="#N/A FIELD NOT APPLICABLE"), " ", _xll.BDP($AX186,"RR900"))</f>
        <v>33.552835298470619</v>
      </c>
      <c r="L186" s="26" cm="1">
        <f t="array" ref="L186">IF(OR(_xll.BDP($AX186,"EE010")= "#N/A N/A", _xll.BDP($AX186,"EE010")="#N/A FIELD NOT APPLICABLE"), " ", _xll.BDP($AX186,"EE010"))</f>
        <v>28.691998418138674</v>
      </c>
      <c r="M186" s="26" cm="1">
        <f t="array" ref="M186">IF(OR(_xll.BDP($AX186,"RR903")= "#N/A N/A", _xll.BDP($AX186,"RR903")="#N/A FIELD NOT APPLICABLE"), " ", _xll.BDP($AX186,"RR903"))</f>
        <v>10.05384779375075</v>
      </c>
      <c r="N186" s="26" cm="1">
        <f t="array" ref="N186">IF(OR(_xll.BDP($AX186,"RR957")= "#N/A N/A", _xll.BDP($AX186,"RR957")="#N/A FIELD NOT APPLICABLE"), " ", _xll.BDP($AX186,"RR957"))</f>
        <v>20.840855365499579</v>
      </c>
      <c r="O186" s="27">
        <v>116</v>
      </c>
      <c r="P186" s="28">
        <v>415.5</v>
      </c>
      <c r="Q186" s="22" cm="1">
        <f t="array" ref="Q186">IF(OR(_xll.BDP($AX186,"PX_last")="#N/A N/A",_xll.BDP($AX186,"PX_Last")="#N/A FIELD NOT APPLICABLE")," ",IF(F186="GBP",(_xll.BDP($AX186,"PX_LAST")/100),(_xll.BDP($AX186,"PX_LAST"))))</f>
        <v>435.33</v>
      </c>
      <c r="R186" s="29">
        <f>IF(F186="USD",AA186,(((_xll.BDP(F186&amp;"USD CURNCY","PX_LAST")))*AA186))</f>
        <v>48198</v>
      </c>
      <c r="S186" s="29">
        <f>IF(F186="USD",AB186,(((_xll.BDP(F186&amp;"USD CURNCY","PX_LAST")))*AB186))</f>
        <v>50498.28</v>
      </c>
      <c r="T186" s="12">
        <f>S186-R186</f>
        <v>2300.2799999999988</v>
      </c>
      <c r="U186" s="13">
        <f>T186/R186</f>
        <v>4.7725631768953045E-2</v>
      </c>
      <c r="V186" s="13" cm="1">
        <f t="array" ref="V186">IFERROR(_xll.BDP($G186&amp;" Equity","CHG_PCT_1D")/100,"")</f>
        <v>-1.925855E-3</v>
      </c>
      <c r="W186" s="13" cm="1">
        <f t="array" ref="W186">IFERROR(_xll.BDP($G186&amp;" Equity","CHG_PCT_5D")/100,"")</f>
        <v>0.10478630000000001</v>
      </c>
      <c r="X186" s="13" t="e">
        <f>S186/#REF!</f>
        <v>#REF!</v>
      </c>
      <c r="Y186" s="24">
        <f>IFERROR(S186*J186,0)</f>
        <v>385.11999225616455</v>
      </c>
      <c r="Z186" s="24">
        <f>S186</f>
        <v>50498.28</v>
      </c>
      <c r="AA186" s="29">
        <f>P186*O186</f>
        <v>48198</v>
      </c>
      <c r="AB186" s="29">
        <f>IFERROR(O186*Q186,0)</f>
        <v>50498.28</v>
      </c>
      <c r="AC186" s="4" t="e" cm="1">
        <f t="array" ref="AC186">VLOOKUP(IF(NOT(_xll.BDP(AX186,$BW$8)="#N/A N/A"),(_xll.BDP(AX186,$BW$8)),"-"), '[1]Country Codes'!$A$2:$B$253,2,0)</f>
        <v>#N/A</v>
      </c>
      <c r="AD186" s="30" t="str" cm="1">
        <f t="array" ref="AD186">IF(OR(_xll.BDP($AX186,"EX028")= "#N/A N/A", _xll.BDP($AX186,"EX028")="#N/A FIELD NOT APPLICABLE"), " ", _xll.BDP($AX186,"EX028"))</f>
        <v>Equity</v>
      </c>
      <c r="AE186" s="31" t="str">
        <f>IF(("AS97"="Equity"), " ", "Single Line Equity")</f>
        <v>Single Line Equity</v>
      </c>
      <c r="AF186" s="26" cm="1">
        <f t="array" ref="AF186">IF(OR(_xll.BDP($AX186,"RR908")= "#N/A N/A", _xll.BDP($AX186,"RR908")="#N/A FIELD NOT APPLICABLE"), " ", _xll.BDP($AX186,"RR908"))</f>
        <v>24.757704935253638</v>
      </c>
      <c r="AG186" s="26" cm="1">
        <f t="array" ref="AG186">IF(OR(_xll.BDP($AX186,"RR041")= "#N/A N/A", _xll.BDP($AX186,"RR041")="#N/A FIELD NOT APPLICABLE"), " ", _xll.BDP($AX186,"RR041"))</f>
        <v>19.105636291571237</v>
      </c>
      <c r="AH186" s="22">
        <f>_xll.BDP(AX186,"TOT_BUY_REC")</f>
        <v>67</v>
      </c>
      <c r="AI186" s="22">
        <f>_xll.BDP(AX186,"TOT_HOLD_REC")</f>
        <v>5</v>
      </c>
      <c r="AJ186" s="22">
        <f>_xll.BDP(AX186,"TOT_SELL_REC")</f>
        <v>0</v>
      </c>
      <c r="AK186" s="26" cm="1">
        <f t="array" ref="AK186">IF(OR(_xll.BDP($AX186,"EE201")= "#N/A N/A", _xll.BDP($AX186,"EE201")="#N/A FIELD NOT APPLICABLE"), " ", _xll.BDP($AX186,"EE201"))</f>
        <v>4.8333334922790527</v>
      </c>
      <c r="AL186" s="24">
        <f>_xll.BDP(AX186,"BEST_TARGET_PRICE")</f>
        <v>508.44259643554688</v>
      </c>
      <c r="AM186" s="32">
        <f>(AL186/Q186)-1</f>
        <v>0.16794752586669159</v>
      </c>
      <c r="AN186" s="32">
        <f>_xll.BDP(AX186,"PR061")/100</f>
        <v>0.20978770000000002</v>
      </c>
      <c r="AO186" s="32">
        <f>_xll.BDP(AX186,"PR064")/100</f>
        <v>4.6919320000000007E-2</v>
      </c>
      <c r="AP186" s="32">
        <f>_xll.BDP(AX186,"CHG_PCT_6M")/100</f>
        <v>3.6055990000000003E-2</v>
      </c>
      <c r="AQ186" s="25">
        <f>_xll.BDP(AX186,"PR079")/100</f>
        <v>3.2811390000000003E-2</v>
      </c>
      <c r="AR186" s="33">
        <f>_xll.BDP(AX186,"hs001")</f>
        <v>468.35</v>
      </c>
      <c r="AS186" s="33">
        <f>_xll.BDP(AX186,"hs002")</f>
        <v>344.79</v>
      </c>
      <c r="AT186" s="22" t="str" cm="1">
        <f t="array" ref="AT186">IF(OR(_xll.BDP($AX186,"DX202")= "#N/A N/A", _xll.BDP($AX186,"DX202")="#N/A FIELD NOT APPLICABLE"), " ", _xll.BDP($AX186,"DX202"))</f>
        <v>Information Technology</v>
      </c>
      <c r="AU186" s="22" t="str" cm="1">
        <f t="array" ref="AU186">IF(OR(_xll.BDP($AX186,"DY997")= "#N/A N/A", _xll.BDP($AX186,"DY997")="#N/A FIELD NOT APPLICABLE"), " ", _xll.BDP($AX186,"DY997"))</f>
        <v>Y</v>
      </c>
      <c r="AV186" s="22" t="str" cm="1">
        <f t="array" ref="AV186">IF(OR(_xll.BDP($AX186,"DY784")= "#N/A N/A", _xll.BDP($AX186,"DY784")="#N/A FIELD NOT APPLICABLE"), " ", _xll.BDP($AX186,"DY784"))</f>
        <v xml:space="preserve"> </v>
      </c>
      <c r="AW186" s="22" t="str">
        <f>IF(OR(AU186="Y",AV186="Y"),"Y","N")</f>
        <v>Y</v>
      </c>
      <c r="AX186" s="22" t="str">
        <f>CONCATENATE(G186," ",$AX$2)</f>
        <v>MSFT US Equity</v>
      </c>
      <c r="BC186" s="17" t="str" cm="1">
        <f t="array" ref="BC186">_xll.BDP(AX186,"ID005")</f>
        <v>US5949181045</v>
      </c>
      <c r="BD186" s="17">
        <v>0.75</v>
      </c>
      <c r="BE186" s="18">
        <v>4</v>
      </c>
      <c r="BF186" s="19">
        <v>45540</v>
      </c>
      <c r="BG186" s="20">
        <v>1</v>
      </c>
    </row>
    <row r="187" spans="1:59" s="3" customFormat="1" ht="14.45" customHeight="1" x14ac:dyDescent="0.25">
      <c r="A187" s="49" t="s">
        <v>257</v>
      </c>
      <c r="B187" s="49" t="s">
        <v>274</v>
      </c>
      <c r="C187" s="49">
        <v>1000015111</v>
      </c>
      <c r="D187" s="49" t="s">
        <v>275</v>
      </c>
      <c r="E187" s="22" t="str">
        <f>_xll.BDP(AX187,"SECURITY NAME")</f>
        <v>Microsoft Corp</v>
      </c>
      <c r="F187" s="22" t="str">
        <f>_xll.BDP(AX187,"CRNCY")</f>
        <v>USD</v>
      </c>
      <c r="G187" s="23" t="s">
        <v>120</v>
      </c>
      <c r="H187" s="22" t="str" cm="1">
        <f t="array" ref="H187">IF(OR(_xll.BDP($AX187,"DX202")= "#N/A N/A", _xll.BDP($AX187,"DX202")="#N/A FIELD NOT APPLICABLE"), " ", _xll.BDP($AX187,"DX202"))</f>
        <v>Information Technology</v>
      </c>
      <c r="I187" s="24">
        <f>_xll.BDP(AX187,"CRNCY_ADJ_MKT_CAP", "EQY_FUND_CRNCY=USD")/1000</f>
        <v>3235.6093207504496</v>
      </c>
      <c r="J187" s="25">
        <f>IFERROR(_xll.BDP(AX187, "DV013")/100,0)</f>
        <v>7.6263982111106467E-3</v>
      </c>
      <c r="K187" s="26" cm="1">
        <f t="array" ref="K187">IF(OR(_xll.BDP($AX187,"RR900")= "#N/A N/A", _xll.BDP($AX187,"RR900")="#N/A FIELD NOT APPLICABLE"), " ", _xll.BDP($AX187,"RR900"))</f>
        <v>33.552835298470619</v>
      </c>
      <c r="L187" s="26" cm="1">
        <f t="array" ref="L187">IF(OR(_xll.BDP($AX187,"EE010")= "#N/A N/A", _xll.BDP($AX187,"EE010")="#N/A FIELD NOT APPLICABLE"), " ", _xll.BDP($AX187,"EE010"))</f>
        <v>28.691998418138674</v>
      </c>
      <c r="M187" s="26" cm="1">
        <f t="array" ref="M187">IF(OR(_xll.BDP($AX187,"RR903")= "#N/A N/A", _xll.BDP($AX187,"RR903")="#N/A FIELD NOT APPLICABLE"), " ", _xll.BDP($AX187,"RR903"))</f>
        <v>10.05384779375075</v>
      </c>
      <c r="N187" s="26" cm="1">
        <f t="array" ref="N187">IF(OR(_xll.BDP($AX187,"RR957")= "#N/A N/A", _xll.BDP($AX187,"RR957")="#N/A FIELD NOT APPLICABLE"), " ", _xll.BDP($AX187,"RR957"))</f>
        <v>20.840855365499579</v>
      </c>
      <c r="O187" s="27">
        <v>118</v>
      </c>
      <c r="P187" s="28">
        <v>407.99</v>
      </c>
      <c r="Q187" s="22" cm="1">
        <f t="array" ref="Q187">IF(OR(_xll.BDP($AX187,"PX_last")="#N/A N/A",_xll.BDP($AX187,"PX_Last")="#N/A FIELD NOT APPLICABLE")," ",IF(F187="GBP",(_xll.BDP($AX187,"PX_LAST")/100),(_xll.BDP($AX187,"PX_LAST"))))</f>
        <v>435.33</v>
      </c>
      <c r="R187" s="29">
        <f>IF(F187="USD",AA187,(((_xll.BDP(F187&amp;"USD CURNCY","PX_LAST")))*AA187))</f>
        <v>48142.82</v>
      </c>
      <c r="S187" s="29">
        <f>IFERROR(IF(F187="USD",AB187,(((_xll.BDP(F187&amp;"USD CURNCY","PX_LAST")))*AB187)),0)</f>
        <v>51368.939999999995</v>
      </c>
      <c r="T187" s="12">
        <f>S187-R187</f>
        <v>3226.1199999999953</v>
      </c>
      <c r="U187" s="13">
        <f>T187/R187</f>
        <v>6.7011446358979293E-2</v>
      </c>
      <c r="V187" s="13" cm="1">
        <f t="array" ref="V187">IFERROR(_xll.BDP($G187&amp;" Equity","CHG_PCT_1D")/100,"")</f>
        <v>-1.925855E-3</v>
      </c>
      <c r="W187" s="13" cm="1">
        <f t="array" ref="W187">IFERROR(_xll.BDP($G187&amp;" Equity","CHG_PCT_5D")/100,"")</f>
        <v>0.10478630000000001</v>
      </c>
      <c r="X187" s="13" t="e">
        <f>S187/#REF!</f>
        <v>#REF!</v>
      </c>
      <c r="Y187" s="24">
        <f>IFERROR(S187*J187,0)</f>
        <v>391.75999212265009</v>
      </c>
      <c r="Z187" s="24">
        <f>S187</f>
        <v>51368.939999999995</v>
      </c>
      <c r="AA187" s="29">
        <f>P187*O187</f>
        <v>48142.82</v>
      </c>
      <c r="AB187" s="29">
        <f>IFERROR(O187*Q187,0)</f>
        <v>51368.939999999995</v>
      </c>
      <c r="AC187" s="4" t="e" cm="1">
        <f t="array" ref="AC187">VLOOKUP(IF(NOT(_xll.BDP(AX187,$BW$8)="#N/A N/A"),(_xll.BDP(AX187,$BW$8)),"-"), '[1]Country Codes'!$A$2:$B$253,2,0)</f>
        <v>#N/A</v>
      </c>
      <c r="AD187" s="30" t="str" cm="1">
        <f t="array" ref="AD187">IF(OR(_xll.BDP($AX187,"EX028")= "#N/A N/A", _xll.BDP($AX187,"EX028")="#N/A FIELD NOT APPLICABLE"), " ", _xll.BDP($AX187,"EX028"))</f>
        <v>Equity</v>
      </c>
      <c r="AE187" s="31" t="str">
        <f>IF(("AS97"="Equity"), " ", "Single Line Equity")</f>
        <v>Single Line Equity</v>
      </c>
      <c r="AF187" s="26" cm="1">
        <f t="array" ref="AF187">IF(OR(_xll.BDP($AX187,"RR908")= "#N/A N/A", _xll.BDP($AX187,"RR908")="#N/A FIELD NOT APPLICABLE"), " ", _xll.BDP($AX187,"RR908"))</f>
        <v>24.757704935253638</v>
      </c>
      <c r="AG187" s="26" cm="1">
        <f t="array" ref="AG187">IF(OR(_xll.BDP($AX187,"RR041")= "#N/A N/A", _xll.BDP($AX187,"RR041")="#N/A FIELD NOT APPLICABLE"), " ", _xll.BDP($AX187,"RR041"))</f>
        <v>19.105636291571237</v>
      </c>
      <c r="AH187" s="22">
        <f>_xll.BDP(AX187,"TOT_BUY_REC")</f>
        <v>67</v>
      </c>
      <c r="AI187" s="22">
        <f>_xll.BDP(AX187,"TOT_HOLD_REC")</f>
        <v>5</v>
      </c>
      <c r="AJ187" s="22">
        <f>_xll.BDP(AX187,"TOT_SELL_REC")</f>
        <v>0</v>
      </c>
      <c r="AK187" s="26" cm="1">
        <f t="array" ref="AK187">IF(OR(_xll.BDP($AX187,"EE201")= "#N/A N/A", _xll.BDP($AX187,"EE201")="#N/A FIELD NOT APPLICABLE"), " ", _xll.BDP($AX187,"EE201"))</f>
        <v>4.8333334922790527</v>
      </c>
      <c r="AL187" s="24">
        <f>_xll.BDP(AX187,"BEST_TARGET_PRICE")</f>
        <v>508.44259643554688</v>
      </c>
      <c r="AM187" s="32">
        <f>(AL187/Q187)-1</f>
        <v>0.16794752586669159</v>
      </c>
      <c r="AN187" s="32">
        <f>_xll.BDP(AX187,"PR061")/100</f>
        <v>0.20978770000000002</v>
      </c>
      <c r="AO187" s="32">
        <f>_xll.BDP(AX187,"PR064")/100</f>
        <v>4.6919320000000007E-2</v>
      </c>
      <c r="AP187" s="32">
        <f>_xll.BDP(AX187,"CHG_PCT_6M")/100</f>
        <v>3.6055990000000003E-2</v>
      </c>
      <c r="AQ187" s="25">
        <f>_xll.BDP(AX187,"PR079")/100</f>
        <v>3.2811390000000003E-2</v>
      </c>
      <c r="AR187" s="33">
        <f>_xll.BDP(AX187,"hs001")</f>
        <v>468.35</v>
      </c>
      <c r="AS187" s="33">
        <f>_xll.BDP(AX187,"hs002")</f>
        <v>344.79</v>
      </c>
      <c r="AT187" s="22" t="str" cm="1">
        <f t="array" ref="AT187">IF(OR(_xll.BDP($AX187,"DX202")= "#N/A N/A", _xll.BDP($AX187,"DX202")="#N/A FIELD NOT APPLICABLE"), " ", _xll.BDP($AX187,"DX202"))</f>
        <v>Information Technology</v>
      </c>
      <c r="AU187" s="22" t="str" cm="1">
        <f t="array" ref="AU187">IF(OR(_xll.BDP($AX187,"DY997")= "#N/A N/A", _xll.BDP($AX187,"DY997")="#N/A FIELD NOT APPLICABLE"), " ", _xll.BDP($AX187,"DY997"))</f>
        <v>Y</v>
      </c>
      <c r="AV187" s="22" t="str" cm="1">
        <f t="array" ref="AV187">IF(OR(_xll.BDP($AX187,"DY784")= "#N/A N/A", _xll.BDP($AX187,"DY784")="#N/A FIELD NOT APPLICABLE"), " ", _xll.BDP($AX187,"DY784"))</f>
        <v xml:space="preserve"> </v>
      </c>
      <c r="AW187" s="22" t="str">
        <f>IF(OR(AU187="Y",AV187="Y"),"Y","N")</f>
        <v>Y</v>
      </c>
      <c r="AX187" s="22" t="str">
        <f>CONCATENATE(G187," ",$AX$2)</f>
        <v>MSFT US Equity</v>
      </c>
      <c r="BC187" s="17" t="str" cm="1">
        <f t="array" ref="BC187">_xll.BDP(AX187,"ID005")</f>
        <v>US5949181045</v>
      </c>
      <c r="BD187" s="17">
        <v>0.75</v>
      </c>
      <c r="BE187" s="18">
        <v>4</v>
      </c>
      <c r="BF187" s="19">
        <v>45596</v>
      </c>
      <c r="BG187" s="20">
        <v>1</v>
      </c>
    </row>
    <row r="188" spans="1:59" s="3" customFormat="1" ht="14.45" customHeight="1" x14ac:dyDescent="0.25">
      <c r="A188" s="49" t="s">
        <v>241</v>
      </c>
      <c r="B188" s="49" t="s">
        <v>276</v>
      </c>
      <c r="C188" s="49" t="s">
        <v>277</v>
      </c>
      <c r="D188" s="49" t="s">
        <v>240</v>
      </c>
      <c r="E188" s="22" t="str">
        <f>_xll.BDP(AX188,"SECURITY NAME")</f>
        <v>Microsoft Corp</v>
      </c>
      <c r="F188" s="22" t="str">
        <f>_xll.BDP(AX188,"CRNCY")</f>
        <v>USD</v>
      </c>
      <c r="G188" s="23" t="s">
        <v>120</v>
      </c>
      <c r="H188" s="22" t="str" cm="1">
        <f t="array" ref="H188">IF(OR(_xll.BDP($AX188,"DX202")= "#N/A N/A", _xll.BDP($AX188,"DX202")="#N/A FIELD NOT APPLICABLE"), " ", _xll.BDP($AX188,"DX202"))</f>
        <v>Information Technology</v>
      </c>
      <c r="I188" s="24">
        <f>_xll.BDP(AX188,"CRNCY_ADJ_MKT_CAP", "EQY_FUND_CRNCY=USD")/1000</f>
        <v>3235.6093207504496</v>
      </c>
      <c r="J188" s="25">
        <f>IFERROR(_xll.BDP(AX188, "DV013")/100,0)</f>
        <v>7.6263982111106467E-3</v>
      </c>
      <c r="K188" s="26" cm="1">
        <f t="array" ref="K188">IF(OR(_xll.BDP($AX188,"RR900")= "#N/A N/A", _xll.BDP($AX188,"RR900")="#N/A FIELD NOT APPLICABLE"), " ", _xll.BDP($AX188,"RR900"))</f>
        <v>33.552835298470619</v>
      </c>
      <c r="L188" s="26" cm="1">
        <f t="array" ref="L188">IF(OR(_xll.BDP($AX188,"EE010")= "#N/A N/A", _xll.BDP($AX188,"EE010")="#N/A FIELD NOT APPLICABLE"), " ", _xll.BDP($AX188,"EE010"))</f>
        <v>28.691998418138674</v>
      </c>
      <c r="M188" s="26" cm="1">
        <f t="array" ref="M188">IF(OR(_xll.BDP($AX188,"RR903")= "#N/A N/A", _xll.BDP($AX188,"RR903")="#N/A FIELD NOT APPLICABLE"), " ", _xll.BDP($AX188,"RR903"))</f>
        <v>10.05384779375075</v>
      </c>
      <c r="N188" s="26" cm="1">
        <f t="array" ref="N188">IF(OR(_xll.BDP($AX188,"RR957")= "#N/A N/A", _xll.BDP($AX188,"RR957")="#N/A FIELD NOT APPLICABLE"), " ", _xll.BDP($AX188,"RR957"))</f>
        <v>20.840855365499579</v>
      </c>
      <c r="O188" s="27">
        <v>263</v>
      </c>
      <c r="P188" s="28">
        <v>415.5</v>
      </c>
      <c r="Q188" s="22" cm="1">
        <f t="array" ref="Q188">IF(OR(_xll.BDP($AX188,"PX_last")="#N/A N/A",_xll.BDP($AX188,"PX_Last")="#N/A FIELD NOT APPLICABLE")," ",IF(F188="GBP",(_xll.BDP($AX188,"PX_LAST")/100),(_xll.BDP($AX188,"PX_LAST"))))</f>
        <v>435.33</v>
      </c>
      <c r="R188" s="29">
        <f>IF(F188="USD",AA188,(((_xll.BDP(F188&amp;"USD CURNCY","PX_LAST")))*AA188))</f>
        <v>109276.5</v>
      </c>
      <c r="S188" s="29">
        <f>IF(F188="USD",AB188,(((_xll.BDP(F188&amp;"USD CURNCY","PX_LAST")))*AB188))</f>
        <v>114491.79</v>
      </c>
      <c r="T188" s="12">
        <f>S188-R188</f>
        <v>5215.2899999999936</v>
      </c>
      <c r="U188" s="13">
        <f>T188/R188</f>
        <v>4.772563176895301E-2</v>
      </c>
      <c r="V188" s="13" cm="1">
        <f t="array" ref="V188">IFERROR(_xll.BDP($G188&amp;" Equity","CHG_PCT_1D")/100,"")</f>
        <v>-1.925855E-3</v>
      </c>
      <c r="W188" s="13" cm="1">
        <f t="array" ref="W188">IFERROR(_xll.BDP($G188&amp;" Equity","CHG_PCT_5D")/100,"")</f>
        <v>0.10478630000000001</v>
      </c>
      <c r="X188" s="13" t="e">
        <f>S188/#REF!</f>
        <v>#REF!</v>
      </c>
      <c r="Y188" s="24">
        <f>IFERROR(S188*J188,0)</f>
        <v>873.15998244285583</v>
      </c>
      <c r="Z188" s="24">
        <f>S188</f>
        <v>114491.79</v>
      </c>
      <c r="AA188" s="29">
        <f>P188*O188</f>
        <v>109276.5</v>
      </c>
      <c r="AB188" s="29">
        <f>IFERROR(O188*Q188,0)</f>
        <v>114491.79</v>
      </c>
      <c r="AC188" s="4" t="e" cm="1">
        <f t="array" ref="AC188">VLOOKUP(IF(NOT(_xll.BDP(AX188,$BW$8)="#N/A N/A"),(_xll.BDP(AX188,$BW$8)),"-"), '[1]Country Codes'!$A$2:$B$253,2,0)</f>
        <v>#N/A</v>
      </c>
      <c r="AD188" s="30" t="str" cm="1">
        <f t="array" ref="AD188">IF(OR(_xll.BDP($AX188,"EX028")= "#N/A N/A", _xll.BDP($AX188,"EX028")="#N/A FIELD NOT APPLICABLE"), " ", _xll.BDP($AX188,"EX028"))</f>
        <v>Equity</v>
      </c>
      <c r="AE188" s="31" t="str">
        <f>IF(("AS97"="Equity"), " ", "Single Line Equity")</f>
        <v>Single Line Equity</v>
      </c>
      <c r="AF188" s="26" cm="1">
        <f t="array" ref="AF188">IF(OR(_xll.BDP($AX188,"RR908")= "#N/A N/A", _xll.BDP($AX188,"RR908")="#N/A FIELD NOT APPLICABLE"), " ", _xll.BDP($AX188,"RR908"))</f>
        <v>24.757704935253638</v>
      </c>
      <c r="AG188" s="26" cm="1">
        <f t="array" ref="AG188">IF(OR(_xll.BDP($AX188,"RR041")= "#N/A N/A", _xll.BDP($AX188,"RR041")="#N/A FIELD NOT APPLICABLE"), " ", _xll.BDP($AX188,"RR041"))</f>
        <v>19.105636291571237</v>
      </c>
      <c r="AH188" s="22">
        <f>_xll.BDP(AX188,"TOT_BUY_REC")</f>
        <v>67</v>
      </c>
      <c r="AI188" s="22">
        <f>_xll.BDP(AX188,"TOT_HOLD_REC")</f>
        <v>5</v>
      </c>
      <c r="AJ188" s="22">
        <f>_xll.BDP(AX188,"TOT_SELL_REC")</f>
        <v>0</v>
      </c>
      <c r="AK188" s="26" cm="1">
        <f t="array" ref="AK188">IF(OR(_xll.BDP($AX188,"EE201")= "#N/A N/A", _xll.BDP($AX188,"EE201")="#N/A FIELD NOT APPLICABLE"), " ", _xll.BDP($AX188,"EE201"))</f>
        <v>4.8333334922790527</v>
      </c>
      <c r="AL188" s="24">
        <f>_xll.BDP(AX188,"BEST_TARGET_PRICE")</f>
        <v>508.44259643554688</v>
      </c>
      <c r="AM188" s="32">
        <f>(AL188/Q188)-1</f>
        <v>0.16794752586669159</v>
      </c>
      <c r="AN188" s="32">
        <f>_xll.BDP(AX188,"PR061")/100</f>
        <v>0.20978770000000002</v>
      </c>
      <c r="AO188" s="32">
        <f>_xll.BDP(AX188,"PR064")/100</f>
        <v>4.6919320000000007E-2</v>
      </c>
      <c r="AP188" s="32">
        <f>_xll.BDP(AX188,"CHG_PCT_6M")/100</f>
        <v>3.6055990000000003E-2</v>
      </c>
      <c r="AQ188" s="25">
        <f>_xll.BDP(AX188,"PR079")/100</f>
        <v>3.2811390000000003E-2</v>
      </c>
      <c r="AR188" s="33">
        <f>_xll.BDP(AX188,"hs001")</f>
        <v>468.35</v>
      </c>
      <c r="AS188" s="33">
        <f>_xll.BDP(AX188,"hs002")</f>
        <v>344.79</v>
      </c>
      <c r="AT188" s="22" t="str" cm="1">
        <f t="array" ref="AT188">IF(OR(_xll.BDP($AX188,"DX202")= "#N/A N/A", _xll.BDP($AX188,"DX202")="#N/A FIELD NOT APPLICABLE"), " ", _xll.BDP($AX188,"DX202"))</f>
        <v>Information Technology</v>
      </c>
      <c r="AU188" s="22" t="str" cm="1">
        <f t="array" ref="AU188">IF(OR(_xll.BDP($AX188,"DY997")= "#N/A N/A", _xll.BDP($AX188,"DY997")="#N/A FIELD NOT APPLICABLE"), " ", _xll.BDP($AX188,"DY997"))</f>
        <v>Y</v>
      </c>
      <c r="AV188" s="22" t="str" cm="1">
        <f t="array" ref="AV188">IF(OR(_xll.BDP($AX188,"DY784")= "#N/A N/A", _xll.BDP($AX188,"DY784")="#N/A FIELD NOT APPLICABLE"), " ", _xll.BDP($AX188,"DY784"))</f>
        <v xml:space="preserve"> </v>
      </c>
      <c r="AW188" s="22" t="str">
        <f>IF(OR(AU188="Y",AV188="Y"),"Y","N")</f>
        <v>Y</v>
      </c>
      <c r="AX188" s="22" t="str">
        <f>CONCATENATE(G188," ",$AX$2)</f>
        <v>MSFT US Equity</v>
      </c>
      <c r="BC188" s="17" t="str" cm="1">
        <f t="array" ref="BC188">_xll.BDP(AX188,"ID005")</f>
        <v>US5949181045</v>
      </c>
      <c r="BD188" s="17">
        <v>0.75</v>
      </c>
      <c r="BE188" s="18">
        <v>4</v>
      </c>
      <c r="BF188" s="19">
        <v>45596</v>
      </c>
      <c r="BG188" s="20">
        <v>1</v>
      </c>
    </row>
    <row r="189" spans="1:59" s="3" customFormat="1" ht="14.45" customHeight="1" x14ac:dyDescent="0.25">
      <c r="A189" s="49" t="s">
        <v>241</v>
      </c>
      <c r="B189" s="49" t="s">
        <v>249</v>
      </c>
      <c r="C189" s="49" t="s">
        <v>250</v>
      </c>
      <c r="D189" s="49" t="s">
        <v>240</v>
      </c>
      <c r="E189" s="22" t="str">
        <f>_xll.BDP(AX189,"SECURITY NAME")</f>
        <v>Newmont Corp</v>
      </c>
      <c r="F189" s="22" t="str">
        <f>_xll.BDP(AX189,"CRNCY")</f>
        <v>AUD</v>
      </c>
      <c r="G189" s="23" t="s">
        <v>152</v>
      </c>
      <c r="H189" s="22" t="str" cm="1">
        <f t="array" ref="H189">IF(OR(_xll.BDP($AX189,"DX202")= "#N/A N/A", _xll.BDP($AX189,"DX202")="#N/A FIELD NOT APPLICABLE"), " ", _xll.BDP($AX189,"DX202"))</f>
        <v>Materials</v>
      </c>
      <c r="I189" s="24">
        <f>_xll.BDP(AX189,"CRNCY_ADJ_MKT_CAP", "EQY_FUND_CRNCY=USD")/1000</f>
        <v>59.960354759274686</v>
      </c>
      <c r="J189" s="25">
        <f>IFERROR(_xll.BDP(AX189, "DV013")/100,0)</f>
        <v>1.8633794010366505E-2</v>
      </c>
      <c r="K189" s="26" t="str" cm="1">
        <f t="array" ref="K189">IF(OR(_xll.BDP($AX189,"RR900")= "#N/A N/A", _xll.BDP($AX189,"RR900")="#N/A FIELD NOT APPLICABLE"), " ", _xll.BDP($AX189,"RR900"))</f>
        <v xml:space="preserve"> </v>
      </c>
      <c r="L189" s="26" cm="1">
        <f t="array" ref="L189">IF(OR(_xll.BDP($AX189,"EE010")= "#N/A N/A", _xll.BDP($AX189,"EE010")="#N/A FIELD NOT APPLICABLE"), " ", _xll.BDP($AX189,"EE010"))</f>
        <v>11.19087744855006</v>
      </c>
      <c r="M189" s="26" t="str" cm="1">
        <f t="array" ref="M189">IF(OR(_xll.BDP($AX189,"RR903")= "#N/A N/A", _xll.BDP($AX189,"RR903")="#N/A FIELD NOT APPLICABLE"), " ", _xll.BDP($AX189,"RR903"))</f>
        <v xml:space="preserve"> </v>
      </c>
      <c r="N189" s="26" t="str" cm="1">
        <f t="array" ref="N189">IF(OR(_xll.BDP($AX189,"RR957")= "#N/A N/A", _xll.BDP($AX189,"RR957")="#N/A FIELD NOT APPLICABLE"), " ", _xll.BDP($AX189,"RR957"))</f>
        <v xml:space="preserve"> </v>
      </c>
      <c r="O189" s="27">
        <v>1520</v>
      </c>
      <c r="P189" s="28">
        <v>91.65</v>
      </c>
      <c r="Q189" s="22" cm="1">
        <f t="array" ref="Q189">IF(OR(_xll.BDP($AX189,"PX_last")="#N/A N/A",_xll.BDP($AX189,"PX_Last")="#N/A FIELD NOT APPLICABLE")," ",IF(F189="GBP",(_xll.BDP($AX189,"PX_LAST")/100),(_xll.BDP($AX189,"PX_LAST"))))</f>
        <v>83.15</v>
      </c>
      <c r="R189" s="29">
        <f>IF(F189="USD",AA189,(((_xll.BDP(F189&amp;"USD CURNCY","PX_LAST")))*AA189))</f>
        <v>90257.653200000001</v>
      </c>
      <c r="S189" s="29">
        <f>IF(F189="USD",AB189,(((_xll.BDP(F189&amp;"USD CURNCY","PX_LAST")))*AB189))</f>
        <v>81886.785200000013</v>
      </c>
      <c r="T189" s="12">
        <f>S189-R189</f>
        <v>-8370.8679999999877</v>
      </c>
      <c r="U189" s="13">
        <f>T189/R189</f>
        <v>-9.2744135297326655E-2</v>
      </c>
      <c r="V189" s="13" cm="1">
        <f t="array" ref="V189">IFERROR(_xll.BDP($G189&amp;" Equity","CHG_PCT_1D")/100,"")</f>
        <v>2.250369E-2</v>
      </c>
      <c r="W189" s="13" cm="1">
        <f t="array" ref="W189">IFERROR(_xll.BDP($G189&amp;" Equity","CHG_PCT_5D")/100,"")</f>
        <v>-4.4300770000000001E-3</v>
      </c>
      <c r="X189" s="13" t="e">
        <f>S189/#REF!</f>
        <v>#REF!</v>
      </c>
      <c r="Y189" s="24">
        <f>IFERROR(S189*J189,0)</f>
        <v>1525.8614875879289</v>
      </c>
      <c r="Z189" s="24">
        <f>S189</f>
        <v>81886.785200000013</v>
      </c>
      <c r="AA189" s="29">
        <f>P189*O189</f>
        <v>139308</v>
      </c>
      <c r="AB189" s="29">
        <f>IFERROR(O189*Q189,0)</f>
        <v>126388.00000000001</v>
      </c>
      <c r="AC189" s="4" t="e" cm="1">
        <f t="array" ref="AC189">VLOOKUP(IF(NOT(_xll.BDP(AX189,$BW$8)="#N/A N/A"),(_xll.BDP(AX189,$BW$8)),"-"), '[1]Country Codes'!$A$2:$B$253,2,0)</f>
        <v>#N/A</v>
      </c>
      <c r="AD189" s="30" t="str" cm="1">
        <f t="array" ref="AD189">IF(OR(_xll.BDP($AX189,"EX028")= "#N/A N/A", _xll.BDP($AX189,"EX028")="#N/A FIELD NOT APPLICABLE"), " ", _xll.BDP($AX189,"EX028"))</f>
        <v>Equity</v>
      </c>
      <c r="AE189" s="31" t="str">
        <f>IF(("AS97"="Equity"), " ", "Single Line Equity")</f>
        <v>Single Line Equity</v>
      </c>
      <c r="AF189" s="26" t="str" cm="1">
        <f t="array" ref="AF189">IF(OR(_xll.BDP($AX189,"RR908")= "#N/A N/A", _xll.BDP($AX189,"RR908")="#N/A FIELD NOT APPLICABLE"), " ", _xll.BDP($AX189,"RR908"))</f>
        <v xml:space="preserve"> </v>
      </c>
      <c r="AG189" s="26" cm="1">
        <f t="array" ref="AG189">IF(OR(_xll.BDP($AX189,"RR041")= "#N/A N/A", _xll.BDP($AX189,"RR041")="#N/A FIELD NOT APPLICABLE"), " ", _xll.BDP($AX189,"RR041"))</f>
        <v>16.076594083302275</v>
      </c>
      <c r="AH189" s="22">
        <f>_xll.BDP(AX189,"TOT_BUY_REC")</f>
        <v>8</v>
      </c>
      <c r="AI189" s="22">
        <f>_xll.BDP(AX189,"TOT_HOLD_REC")</f>
        <v>1</v>
      </c>
      <c r="AJ189" s="22">
        <f>_xll.BDP(AX189,"TOT_SELL_REC")</f>
        <v>0</v>
      </c>
      <c r="AK189" s="26" cm="1">
        <f t="array" ref="AK189">IF(OR(_xll.BDP($AX189,"EE201")= "#N/A N/A", _xll.BDP($AX189,"EE201")="#N/A FIELD NOT APPLICABLE"), " ", _xll.BDP($AX189,"EE201"))</f>
        <v>4.6666665077209473</v>
      </c>
      <c r="AL189" s="24">
        <f>_xll.BDP(AX189,"BEST_TARGET_PRICE")</f>
        <v>96.855552673339844</v>
      </c>
      <c r="AM189" s="32">
        <f>(AL189/Q189)-1</f>
        <v>0.1648292564442555</v>
      </c>
      <c r="AN189" s="32">
        <f>_xll.BDP(AX189,"PR061")/100</f>
        <v>9.1923809999999995E-2</v>
      </c>
      <c r="AO189" s="32">
        <f>_xll.BDP(AX189,"PR064")/100</f>
        <v>0.1629371</v>
      </c>
      <c r="AP189" s="32">
        <f>_xll.BDP(AX189,"CHG_PCT_6M")/100</f>
        <v>0.19881779999999999</v>
      </c>
      <c r="AQ189" s="25">
        <f>_xll.BDP(AX189,"PR079")/100</f>
        <v>0.39654010000000001</v>
      </c>
      <c r="AR189" s="33">
        <f>_xll.BDP(AX189,"hs001")</f>
        <v>88.93</v>
      </c>
      <c r="AS189" s="33">
        <f>_xll.BDP(AX189,"hs002")</f>
        <v>58.92</v>
      </c>
      <c r="AT189" s="22" t="str" cm="1">
        <f t="array" ref="AT189">IF(OR(_xll.BDP($AX189,"DX202")= "#N/A N/A", _xll.BDP($AX189,"DX202")="#N/A FIELD NOT APPLICABLE"), " ", _xll.BDP($AX189,"DX202"))</f>
        <v>Materials</v>
      </c>
      <c r="AU189" s="22" t="str" cm="1">
        <f t="array" ref="AU189">IF(OR(_xll.BDP($AX189,"DY997")= "#N/A N/A", _xll.BDP($AX189,"DY997")="#N/A FIELD NOT APPLICABLE"), " ", _xll.BDP($AX189,"DY997"))</f>
        <v xml:space="preserve"> </v>
      </c>
      <c r="AV189" s="22" t="str" cm="1">
        <f t="array" ref="AV189">IF(OR(_xll.BDP($AX189,"DY784")= "#N/A N/A", _xll.BDP($AX189,"DY784")="#N/A FIELD NOT APPLICABLE"), " ", _xll.BDP($AX189,"DY784"))</f>
        <v xml:space="preserve"> </v>
      </c>
      <c r="AW189" s="22" t="str">
        <f>IF(OR(AU189="Y",AV189="Y"),"Y","N")</f>
        <v>N</v>
      </c>
      <c r="AX189" s="22" t="str">
        <f>CONCATENATE(G189," ",$AX$2)</f>
        <v>NEM AT Equity</v>
      </c>
      <c r="BC189" s="17" t="str" cm="1">
        <f t="array" ref="BC189">_xll.BDP(AX189,"ID005")</f>
        <v>AU0000297962</v>
      </c>
      <c r="BD189" s="17">
        <v>0.75</v>
      </c>
      <c r="BE189" s="18">
        <v>4</v>
      </c>
      <c r="BF189" s="19">
        <v>45596</v>
      </c>
      <c r="BG189" s="20">
        <v>1</v>
      </c>
    </row>
    <row r="190" spans="1:59" s="3" customFormat="1" ht="14.45" customHeight="1" x14ac:dyDescent="0.25">
      <c r="A190" s="49" t="s">
        <v>241</v>
      </c>
      <c r="B190" s="49" t="s">
        <v>251</v>
      </c>
      <c r="C190" s="49" t="s">
        <v>252</v>
      </c>
      <c r="D190" s="49" t="s">
        <v>240</v>
      </c>
      <c r="E190" s="22" t="str">
        <f>_xll.BDP(AX190,"SECURITY NAME")</f>
        <v>Newmont Corp</v>
      </c>
      <c r="F190" s="22" t="str">
        <f>_xll.BDP(AX190,"CRNCY")</f>
        <v>AUD</v>
      </c>
      <c r="G190" s="23" t="s">
        <v>152</v>
      </c>
      <c r="H190" s="22" t="str" cm="1">
        <f t="array" ref="H190">IF(OR(_xll.BDP($AX190,"DX202")= "#N/A N/A", _xll.BDP($AX190,"DX202")="#N/A FIELD NOT APPLICABLE"), " ", _xll.BDP($AX190,"DX202"))</f>
        <v>Materials</v>
      </c>
      <c r="I190" s="24">
        <f>_xll.BDP(AX190,"CRNCY_ADJ_MKT_CAP", "EQY_FUND_CRNCY=USD")/1000</f>
        <v>59.960354759274686</v>
      </c>
      <c r="J190" s="25">
        <f>IFERROR(_xll.BDP(AX190, "DV013")/100,0)</f>
        <v>1.8633794010366505E-2</v>
      </c>
      <c r="K190" s="26" t="str" cm="1">
        <f t="array" ref="K190">IF(OR(_xll.BDP($AX190,"RR900")= "#N/A N/A", _xll.BDP($AX190,"RR900")="#N/A FIELD NOT APPLICABLE"), " ", _xll.BDP($AX190,"RR900"))</f>
        <v xml:space="preserve"> </v>
      </c>
      <c r="L190" s="26" cm="1">
        <f t="array" ref="L190">IF(OR(_xll.BDP($AX190,"EE010")= "#N/A N/A", _xll.BDP($AX190,"EE010")="#N/A FIELD NOT APPLICABLE"), " ", _xll.BDP($AX190,"EE010"))</f>
        <v>11.19087744855006</v>
      </c>
      <c r="M190" s="26" t="str" cm="1">
        <f t="array" ref="M190">IF(OR(_xll.BDP($AX190,"RR903")= "#N/A N/A", _xll.BDP($AX190,"RR903")="#N/A FIELD NOT APPLICABLE"), " ", _xll.BDP($AX190,"RR903"))</f>
        <v xml:space="preserve"> </v>
      </c>
      <c r="N190" s="26" t="str" cm="1">
        <f t="array" ref="N190">IF(OR(_xll.BDP($AX190,"RR957")= "#N/A N/A", _xll.BDP($AX190,"RR957")="#N/A FIELD NOT APPLICABLE"), " ", _xll.BDP($AX190,"RR957"))</f>
        <v xml:space="preserve"> </v>
      </c>
      <c r="O190" s="27">
        <v>1520</v>
      </c>
      <c r="P190" s="28">
        <v>91.65</v>
      </c>
      <c r="Q190" s="22" cm="1">
        <f t="array" ref="Q190">IF(OR(_xll.BDP($AX190,"PX_last")="#N/A N/A",_xll.BDP($AX190,"PX_Last")="#N/A FIELD NOT APPLICABLE")," ",IF(F190="GBP",(_xll.BDP($AX190,"PX_LAST")/100),(_xll.BDP($AX190,"PX_LAST"))))</f>
        <v>83.15</v>
      </c>
      <c r="R190" s="29">
        <f>IF(F190="USD",AA190,(((_xll.BDP(F190&amp;"USD CURNCY","PX_LAST")))*AA190))</f>
        <v>90257.653200000001</v>
      </c>
      <c r="S190" s="29">
        <f>IF(F190="USD",AB190,(((_xll.BDP(F190&amp;"USD CURNCY","PX_LAST")))*AB190))</f>
        <v>81886.785200000013</v>
      </c>
      <c r="T190" s="12">
        <f>S190-R190</f>
        <v>-8370.8679999999877</v>
      </c>
      <c r="U190" s="13">
        <f>T190/R190</f>
        <v>-9.2744135297326655E-2</v>
      </c>
      <c r="V190" s="13" cm="1">
        <f t="array" ref="V190">IFERROR(_xll.BDP($G190&amp;" Equity","CHG_PCT_1D")/100,"")</f>
        <v>2.250369E-2</v>
      </c>
      <c r="W190" s="13" cm="1">
        <f t="array" ref="W190">IFERROR(_xll.BDP($G190&amp;" Equity","CHG_PCT_5D")/100,"")</f>
        <v>-4.4300770000000001E-3</v>
      </c>
      <c r="X190" s="13" t="e">
        <f>S190/#REF!</f>
        <v>#REF!</v>
      </c>
      <c r="Y190" s="24">
        <f>IFERROR(S190*J190,0)</f>
        <v>1525.8614875879289</v>
      </c>
      <c r="Z190" s="24">
        <f>S190</f>
        <v>81886.785200000013</v>
      </c>
      <c r="AA190" s="29">
        <f>P190*O190</f>
        <v>139308</v>
      </c>
      <c r="AB190" s="29">
        <f>IFERROR(O190*Q190,0)</f>
        <v>126388.00000000001</v>
      </c>
      <c r="AC190" s="4" t="e" cm="1">
        <f t="array" ref="AC190">VLOOKUP(IF(NOT(_xll.BDP(AX190,$BW$8)="#N/A N/A"),(_xll.BDP(AX190,$BW$8)),"-"), '[1]Country Codes'!$A$2:$B$253,2,0)</f>
        <v>#N/A</v>
      </c>
      <c r="AD190" s="30" t="str" cm="1">
        <f t="array" ref="AD190">IF(OR(_xll.BDP($AX190,"EX028")= "#N/A N/A", _xll.BDP($AX190,"EX028")="#N/A FIELD NOT APPLICABLE"), " ", _xll.BDP($AX190,"EX028"))</f>
        <v>Equity</v>
      </c>
      <c r="AE190" s="31" t="str">
        <f>IF(("AS97"="Equity"), " ", "Single Line Equity")</f>
        <v>Single Line Equity</v>
      </c>
      <c r="AF190" s="26" t="str" cm="1">
        <f t="array" ref="AF190">IF(OR(_xll.BDP($AX190,"RR908")= "#N/A N/A", _xll.BDP($AX190,"RR908")="#N/A FIELD NOT APPLICABLE"), " ", _xll.BDP($AX190,"RR908"))</f>
        <v xml:space="preserve"> </v>
      </c>
      <c r="AG190" s="26" cm="1">
        <f t="array" ref="AG190">IF(OR(_xll.BDP($AX190,"RR041")= "#N/A N/A", _xll.BDP($AX190,"RR041")="#N/A FIELD NOT APPLICABLE"), " ", _xll.BDP($AX190,"RR041"))</f>
        <v>16.076594083302275</v>
      </c>
      <c r="AH190" s="22">
        <f>_xll.BDP(AX190,"TOT_BUY_REC")</f>
        <v>8</v>
      </c>
      <c r="AI190" s="22">
        <f>_xll.BDP(AX190,"TOT_HOLD_REC")</f>
        <v>1</v>
      </c>
      <c r="AJ190" s="22">
        <f>_xll.BDP(AX190,"TOT_SELL_REC")</f>
        <v>0</v>
      </c>
      <c r="AK190" s="26" cm="1">
        <f t="array" ref="AK190">IF(OR(_xll.BDP($AX190,"EE201")= "#N/A N/A", _xll.BDP($AX190,"EE201")="#N/A FIELD NOT APPLICABLE"), " ", _xll.BDP($AX190,"EE201"))</f>
        <v>4.6666665077209473</v>
      </c>
      <c r="AL190" s="24">
        <f>_xll.BDP(AX190,"BEST_TARGET_PRICE")</f>
        <v>96.855552673339844</v>
      </c>
      <c r="AM190" s="32">
        <f>(AL190/Q190)-1</f>
        <v>0.1648292564442555</v>
      </c>
      <c r="AN190" s="32">
        <f>_xll.BDP(AX190,"PR061")/100</f>
        <v>9.1923809999999995E-2</v>
      </c>
      <c r="AO190" s="32">
        <f>_xll.BDP(AX190,"PR064")/100</f>
        <v>0.1629371</v>
      </c>
      <c r="AP190" s="32">
        <f>_xll.BDP(AX190,"CHG_PCT_6M")/100</f>
        <v>0.19881779999999999</v>
      </c>
      <c r="AQ190" s="25">
        <f>_xll.BDP(AX190,"PR079")/100</f>
        <v>0.39654010000000001</v>
      </c>
      <c r="AR190" s="33">
        <f>_xll.BDP(AX190,"hs001")</f>
        <v>88.93</v>
      </c>
      <c r="AS190" s="33">
        <f>_xll.BDP(AX190,"hs002")</f>
        <v>58.92</v>
      </c>
      <c r="AT190" s="22" t="str" cm="1">
        <f t="array" ref="AT190">IF(OR(_xll.BDP($AX190,"DX202")= "#N/A N/A", _xll.BDP($AX190,"DX202")="#N/A FIELD NOT APPLICABLE"), " ", _xll.BDP($AX190,"DX202"))</f>
        <v>Materials</v>
      </c>
      <c r="AU190" s="22" t="str" cm="1">
        <f t="array" ref="AU190">IF(OR(_xll.BDP($AX190,"DY997")= "#N/A N/A", _xll.BDP($AX190,"DY997")="#N/A FIELD NOT APPLICABLE"), " ", _xll.BDP($AX190,"DY997"))</f>
        <v xml:space="preserve"> </v>
      </c>
      <c r="AV190" s="22" t="str" cm="1">
        <f t="array" ref="AV190">IF(OR(_xll.BDP($AX190,"DY784")= "#N/A N/A", _xll.BDP($AX190,"DY784")="#N/A FIELD NOT APPLICABLE"), " ", _xll.BDP($AX190,"DY784"))</f>
        <v xml:space="preserve"> </v>
      </c>
      <c r="AW190" s="22" t="str">
        <f>IF(OR(AU190="Y",AV190="Y"),"Y","N")</f>
        <v>N</v>
      </c>
      <c r="AX190" s="22" t="str">
        <f>CONCATENATE(G190," ",$AX$2)</f>
        <v>NEM AT Equity</v>
      </c>
      <c r="BC190" s="17" t="str" cm="1">
        <f t="array" ref="BC190">_xll.BDP(AX190,"ID005")</f>
        <v>AU0000297962</v>
      </c>
      <c r="BD190" s="17">
        <v>0.72</v>
      </c>
      <c r="BE190" s="18">
        <v>4</v>
      </c>
      <c r="BF190" s="19">
        <v>44463</v>
      </c>
      <c r="BG190" s="20">
        <v>1</v>
      </c>
    </row>
    <row r="191" spans="1:59" s="3" customFormat="1" ht="14.45" customHeight="1" x14ac:dyDescent="0.25">
      <c r="A191" s="49" t="s">
        <v>241</v>
      </c>
      <c r="B191" s="49" t="s">
        <v>253</v>
      </c>
      <c r="C191" s="49" t="s">
        <v>254</v>
      </c>
      <c r="D191" s="49" t="s">
        <v>240</v>
      </c>
      <c r="E191" s="22" t="str">
        <f>_xll.BDP(AX191,"SECURITY NAME")</f>
        <v>Newmont Corp</v>
      </c>
      <c r="F191" s="22" t="str">
        <f>_xll.BDP(AX191,"CRNCY")</f>
        <v>AUD</v>
      </c>
      <c r="G191" s="23" t="s">
        <v>152</v>
      </c>
      <c r="H191" s="22" t="str" cm="1">
        <f t="array" ref="H191">IF(OR(_xll.BDP($AX191,"DX202")= "#N/A N/A", _xll.BDP($AX191,"DX202")="#N/A FIELD NOT APPLICABLE"), " ", _xll.BDP($AX191,"DX202"))</f>
        <v>Materials</v>
      </c>
      <c r="I191" s="24">
        <f>_xll.BDP(AX191,"CRNCY_ADJ_MKT_CAP", "EQY_FUND_CRNCY=USD")/1000</f>
        <v>59.960354759274686</v>
      </c>
      <c r="J191" s="25">
        <f>IFERROR(_xll.BDP(AX191, "DV013")/100,0)</f>
        <v>1.8633794010366505E-2</v>
      </c>
      <c r="K191" s="26" t="str" cm="1">
        <f t="array" ref="K191">IF(OR(_xll.BDP($AX191,"RR900")= "#N/A N/A", _xll.BDP($AX191,"RR900")="#N/A FIELD NOT APPLICABLE"), " ", _xll.BDP($AX191,"RR900"))</f>
        <v xml:space="preserve"> </v>
      </c>
      <c r="L191" s="26" cm="1">
        <f t="array" ref="L191">IF(OR(_xll.BDP($AX191,"EE010")= "#N/A N/A", _xll.BDP($AX191,"EE010")="#N/A FIELD NOT APPLICABLE"), " ", _xll.BDP($AX191,"EE010"))</f>
        <v>11.19087744855006</v>
      </c>
      <c r="M191" s="26" t="str" cm="1">
        <f t="array" ref="M191">IF(OR(_xll.BDP($AX191,"RR903")= "#N/A N/A", _xll.BDP($AX191,"RR903")="#N/A FIELD NOT APPLICABLE"), " ", _xll.BDP($AX191,"RR903"))</f>
        <v xml:space="preserve"> </v>
      </c>
      <c r="N191" s="26" t="str" cm="1">
        <f t="array" ref="N191">IF(OR(_xll.BDP($AX191,"RR957")= "#N/A N/A", _xll.BDP($AX191,"RR957")="#N/A FIELD NOT APPLICABLE"), " ", _xll.BDP($AX191,"RR957"))</f>
        <v xml:space="preserve"> </v>
      </c>
      <c r="O191" s="27">
        <v>760</v>
      </c>
      <c r="P191" s="28">
        <v>91.65</v>
      </c>
      <c r="Q191" s="22" cm="1">
        <f t="array" ref="Q191">IF(OR(_xll.BDP($AX191,"PX_last")="#N/A N/A",_xll.BDP($AX191,"PX_Last")="#N/A FIELD NOT APPLICABLE")," ",IF(F191="GBP",(_xll.BDP($AX191,"PX_LAST")/100),(_xll.BDP($AX191,"PX_LAST"))))</f>
        <v>83.15</v>
      </c>
      <c r="R191" s="29">
        <f>IF(F191="USD",AA191,(((_xll.BDP(F191&amp;"USD CURNCY","PX_LAST")))*AA191))</f>
        <v>45128.8266</v>
      </c>
      <c r="S191" s="29">
        <f>IF(F191="USD",AB191,(((_xll.BDP(F191&amp;"USD CURNCY","PX_LAST")))*AB191))</f>
        <v>40943.392600000006</v>
      </c>
      <c r="T191" s="12">
        <f>S191-R191</f>
        <v>-4185.4339999999938</v>
      </c>
      <c r="U191" s="13">
        <f>T191/R191</f>
        <v>-9.2744135297326655E-2</v>
      </c>
      <c r="V191" s="13" cm="1">
        <f t="array" ref="V191">IFERROR(_xll.BDP($G191&amp;" Equity","CHG_PCT_1D")/100,"")</f>
        <v>2.250369E-2</v>
      </c>
      <c r="W191" s="13" cm="1">
        <f t="array" ref="W191">IFERROR(_xll.BDP($G191&amp;" Equity","CHG_PCT_5D")/100,"")</f>
        <v>-4.4300770000000001E-3</v>
      </c>
      <c r="X191" s="13" t="e">
        <f>S191/#REF!</f>
        <v>#REF!</v>
      </c>
      <c r="Y191" s="24">
        <f>IFERROR(S191*J191,0)</f>
        <v>762.93074379396444</v>
      </c>
      <c r="Z191" s="24">
        <f>S191</f>
        <v>40943.392600000006</v>
      </c>
      <c r="AA191" s="29">
        <f>P191*O191</f>
        <v>69654</v>
      </c>
      <c r="AB191" s="29">
        <f>IFERROR(O191*Q191,0)</f>
        <v>63194.000000000007</v>
      </c>
      <c r="AC191" s="4" t="e" cm="1">
        <f t="array" ref="AC191">VLOOKUP(IF(NOT(_xll.BDP(AX191,$BW$8)="#N/A N/A"),(_xll.BDP(AX191,$BW$8)),"-"), '[1]Country Codes'!$A$2:$B$253,2,0)</f>
        <v>#N/A</v>
      </c>
      <c r="AD191" s="30" t="str" cm="1">
        <f t="array" ref="AD191">IF(OR(_xll.BDP($AX191,"EX028")= "#N/A N/A", _xll.BDP($AX191,"EX028")="#N/A FIELD NOT APPLICABLE"), " ", _xll.BDP($AX191,"EX028"))</f>
        <v>Equity</v>
      </c>
      <c r="AE191" s="31" t="str">
        <f>IF(("AS97"="Equity"), " ", "Single Line Equity")</f>
        <v>Single Line Equity</v>
      </c>
      <c r="AF191" s="26" t="str" cm="1">
        <f t="array" ref="AF191">IF(OR(_xll.BDP($AX191,"RR908")= "#N/A N/A", _xll.BDP($AX191,"RR908")="#N/A FIELD NOT APPLICABLE"), " ", _xll.BDP($AX191,"RR908"))</f>
        <v xml:space="preserve"> </v>
      </c>
      <c r="AG191" s="26" cm="1">
        <f t="array" ref="AG191">IF(OR(_xll.BDP($AX191,"RR041")= "#N/A N/A", _xll.BDP($AX191,"RR041")="#N/A FIELD NOT APPLICABLE"), " ", _xll.BDP($AX191,"RR041"))</f>
        <v>16.076594083302275</v>
      </c>
      <c r="AH191" s="22">
        <f>_xll.BDP(AX191,"TOT_BUY_REC")</f>
        <v>8</v>
      </c>
      <c r="AI191" s="22">
        <f>_xll.BDP(AX191,"TOT_HOLD_REC")</f>
        <v>1</v>
      </c>
      <c r="AJ191" s="22">
        <f>_xll.BDP(AX191,"TOT_SELL_REC")</f>
        <v>0</v>
      </c>
      <c r="AK191" s="26" cm="1">
        <f t="array" ref="AK191">IF(OR(_xll.BDP($AX191,"EE201")= "#N/A N/A", _xll.BDP($AX191,"EE201")="#N/A FIELD NOT APPLICABLE"), " ", _xll.BDP($AX191,"EE201"))</f>
        <v>4.6666665077209473</v>
      </c>
      <c r="AL191" s="24">
        <f>_xll.BDP(AX191,"BEST_TARGET_PRICE")</f>
        <v>96.855552673339844</v>
      </c>
      <c r="AM191" s="32">
        <f>(AL191/Q191)-1</f>
        <v>0.1648292564442555</v>
      </c>
      <c r="AN191" s="32">
        <f>_xll.BDP(AX191,"PR061")/100</f>
        <v>9.1923809999999995E-2</v>
      </c>
      <c r="AO191" s="32">
        <f>_xll.BDP(AX191,"PR064")/100</f>
        <v>0.1629371</v>
      </c>
      <c r="AP191" s="32">
        <f>_xll.BDP(AX191,"CHG_PCT_6M")/100</f>
        <v>0.19881779999999999</v>
      </c>
      <c r="AQ191" s="25">
        <f>_xll.BDP(AX191,"PR079")/100</f>
        <v>0.39654010000000001</v>
      </c>
      <c r="AR191" s="33">
        <f>_xll.BDP(AX191,"hs001")</f>
        <v>88.93</v>
      </c>
      <c r="AS191" s="33">
        <f>_xll.BDP(AX191,"hs002")</f>
        <v>58.92</v>
      </c>
      <c r="AT191" s="22" t="str" cm="1">
        <f t="array" ref="AT191">IF(OR(_xll.BDP($AX191,"DX202")= "#N/A N/A", _xll.BDP($AX191,"DX202")="#N/A FIELD NOT APPLICABLE"), " ", _xll.BDP($AX191,"DX202"))</f>
        <v>Materials</v>
      </c>
      <c r="AU191" s="22" t="str" cm="1">
        <f t="array" ref="AU191">IF(OR(_xll.BDP($AX191,"DY997")= "#N/A N/A", _xll.BDP($AX191,"DY997")="#N/A FIELD NOT APPLICABLE"), " ", _xll.BDP($AX191,"DY997"))</f>
        <v xml:space="preserve"> </v>
      </c>
      <c r="AV191" s="22" t="str" cm="1">
        <f t="array" ref="AV191">IF(OR(_xll.BDP($AX191,"DY784")= "#N/A N/A", _xll.BDP($AX191,"DY784")="#N/A FIELD NOT APPLICABLE"), " ", _xll.BDP($AX191,"DY784"))</f>
        <v xml:space="preserve"> </v>
      </c>
      <c r="AW191" s="22" t="str">
        <f>IF(OR(AU191="Y",AV191="Y"),"Y","N")</f>
        <v>N</v>
      </c>
      <c r="AX191" s="22" t="str">
        <f>CONCATENATE(G191," ",$AX$2)</f>
        <v>NEM AT Equity</v>
      </c>
      <c r="BC191" s="17" t="str" cm="1">
        <f t="array" ref="BC191">_xll.BDP(AX191,"ID005")</f>
        <v>AU0000297962</v>
      </c>
      <c r="BD191" s="17">
        <v>0.72</v>
      </c>
      <c r="BE191" s="18">
        <v>4</v>
      </c>
      <c r="BF191" s="19">
        <v>45596</v>
      </c>
      <c r="BG191" s="20">
        <v>1</v>
      </c>
    </row>
    <row r="192" spans="1:59" s="3" customFormat="1" ht="14.45" customHeight="1" x14ac:dyDescent="0.25">
      <c r="A192" s="49" t="s">
        <v>241</v>
      </c>
      <c r="B192" s="49" t="s">
        <v>276</v>
      </c>
      <c r="C192" s="49" t="s">
        <v>277</v>
      </c>
      <c r="D192" s="49" t="s">
        <v>240</v>
      </c>
      <c r="E192" s="22" t="str">
        <f>_xll.BDP(AX192,"SECURITY NAME")</f>
        <v>Newmont Corp</v>
      </c>
      <c r="F192" s="22" t="str">
        <f>_xll.BDP(AX192,"CRNCY")</f>
        <v>AUD</v>
      </c>
      <c r="G192" s="23" t="s">
        <v>152</v>
      </c>
      <c r="H192" s="22" t="str" cm="1">
        <f t="array" ref="H192">IF(OR(_xll.BDP($AX192,"DX202")= "#N/A N/A", _xll.BDP($AX192,"DX202")="#N/A FIELD NOT APPLICABLE"), " ", _xll.BDP($AX192,"DX202"))</f>
        <v>Materials</v>
      </c>
      <c r="I192" s="24">
        <f>_xll.BDP(AX192,"CRNCY_ADJ_MKT_CAP", "EQY_FUND_CRNCY=USD")/1000</f>
        <v>59.960354759274686</v>
      </c>
      <c r="J192" s="25">
        <f>IFERROR(_xll.BDP(AX192, "DV013")/100,0)</f>
        <v>1.8633794010366505E-2</v>
      </c>
      <c r="K192" s="26" t="str" cm="1">
        <f t="array" ref="K192">IF(OR(_xll.BDP($AX192,"RR900")= "#N/A N/A", _xll.BDP($AX192,"RR900")="#N/A FIELD NOT APPLICABLE"), " ", _xll.BDP($AX192,"RR900"))</f>
        <v xml:space="preserve"> </v>
      </c>
      <c r="L192" s="26" cm="1">
        <f t="array" ref="L192">IF(OR(_xll.BDP($AX192,"EE010")= "#N/A N/A", _xll.BDP($AX192,"EE010")="#N/A FIELD NOT APPLICABLE"), " ", _xll.BDP($AX192,"EE010"))</f>
        <v>11.19087744855006</v>
      </c>
      <c r="M192" s="26" t="str" cm="1">
        <f t="array" ref="M192">IF(OR(_xll.BDP($AX192,"RR903")= "#N/A N/A", _xll.BDP($AX192,"RR903")="#N/A FIELD NOT APPLICABLE"), " ", _xll.BDP($AX192,"RR903"))</f>
        <v xml:space="preserve"> </v>
      </c>
      <c r="N192" s="26" t="str" cm="1">
        <f t="array" ref="N192">IF(OR(_xll.BDP($AX192,"RR957")= "#N/A N/A", _xll.BDP($AX192,"RR957")="#N/A FIELD NOT APPLICABLE"), " ", _xll.BDP($AX192,"RR957"))</f>
        <v xml:space="preserve"> </v>
      </c>
      <c r="O192" s="27">
        <v>1520</v>
      </c>
      <c r="P192" s="28">
        <v>91.65</v>
      </c>
      <c r="Q192" s="22" cm="1">
        <f t="array" ref="Q192">IF(OR(_xll.BDP($AX192,"PX_last")="#N/A N/A",_xll.BDP($AX192,"PX_Last")="#N/A FIELD NOT APPLICABLE")," ",IF(F192="GBP",(_xll.BDP($AX192,"PX_LAST")/100),(_xll.BDP($AX192,"PX_LAST"))))</f>
        <v>83.15</v>
      </c>
      <c r="R192" s="29">
        <f>IF(F192="USD",AA192,(((_xll.BDP(F192&amp;"USD CURNCY","PX_LAST")))*AA192))</f>
        <v>90257.653200000001</v>
      </c>
      <c r="S192" s="29">
        <f>IF(F192="USD",AB192,(((_xll.BDP(F192&amp;"USD CURNCY","PX_LAST")))*AB192))</f>
        <v>81886.785200000013</v>
      </c>
      <c r="T192" s="12">
        <f>S192-R192</f>
        <v>-8370.8679999999877</v>
      </c>
      <c r="U192" s="13">
        <f>T192/R192</f>
        <v>-9.2744135297326655E-2</v>
      </c>
      <c r="V192" s="13" cm="1">
        <f t="array" ref="V192">IFERROR(_xll.BDP($G192&amp;" Equity","CHG_PCT_1D")/100,"")</f>
        <v>2.250369E-2</v>
      </c>
      <c r="W192" s="13" cm="1">
        <f t="array" ref="W192">IFERROR(_xll.BDP($G192&amp;" Equity","CHG_PCT_5D")/100,"")</f>
        <v>-4.4300770000000001E-3</v>
      </c>
      <c r="X192" s="13" t="e">
        <f>S192/#REF!</f>
        <v>#REF!</v>
      </c>
      <c r="Y192" s="24">
        <f>IFERROR(S192*J192,0)</f>
        <v>1525.8614875879289</v>
      </c>
      <c r="Z192" s="24">
        <f>S192</f>
        <v>81886.785200000013</v>
      </c>
      <c r="AA192" s="29">
        <f>P192*O192</f>
        <v>139308</v>
      </c>
      <c r="AB192" s="29">
        <f>IFERROR(O192*Q192,0)</f>
        <v>126388.00000000001</v>
      </c>
      <c r="AC192" s="4" t="e" cm="1">
        <f t="array" ref="AC192">VLOOKUP(IF(NOT(_xll.BDP(AX192,$BW$8)="#N/A N/A"),(_xll.BDP(AX192,$BW$8)),"-"), '[1]Country Codes'!$A$2:$B$253,2,0)</f>
        <v>#N/A</v>
      </c>
      <c r="AD192" s="30" t="str" cm="1">
        <f t="array" ref="AD192">IF(OR(_xll.BDP($AX192,"EX028")= "#N/A N/A", _xll.BDP($AX192,"EX028")="#N/A FIELD NOT APPLICABLE"), " ", _xll.BDP($AX192,"EX028"))</f>
        <v>Equity</v>
      </c>
      <c r="AE192" s="31" t="str">
        <f>IF(("AS97"="Equity"), " ", "Single Line Equity")</f>
        <v>Single Line Equity</v>
      </c>
      <c r="AF192" s="26" t="str" cm="1">
        <f t="array" ref="AF192">IF(OR(_xll.BDP($AX192,"RR908")= "#N/A N/A", _xll.BDP($AX192,"RR908")="#N/A FIELD NOT APPLICABLE"), " ", _xll.BDP($AX192,"RR908"))</f>
        <v xml:space="preserve"> </v>
      </c>
      <c r="AG192" s="26" cm="1">
        <f t="array" ref="AG192">IF(OR(_xll.BDP($AX192,"RR041")= "#N/A N/A", _xll.BDP($AX192,"RR041")="#N/A FIELD NOT APPLICABLE"), " ", _xll.BDP($AX192,"RR041"))</f>
        <v>16.076594083302275</v>
      </c>
      <c r="AH192" s="22">
        <f>_xll.BDP(AX192,"TOT_BUY_REC")</f>
        <v>8</v>
      </c>
      <c r="AI192" s="22">
        <f>_xll.BDP(AX192,"TOT_HOLD_REC")</f>
        <v>1</v>
      </c>
      <c r="AJ192" s="22">
        <f>_xll.BDP(AX192,"TOT_SELL_REC")</f>
        <v>0</v>
      </c>
      <c r="AK192" s="26" cm="1">
        <f t="array" ref="AK192">IF(OR(_xll.BDP($AX192,"EE201")= "#N/A N/A", _xll.BDP($AX192,"EE201")="#N/A FIELD NOT APPLICABLE"), " ", _xll.BDP($AX192,"EE201"))</f>
        <v>4.6666665077209473</v>
      </c>
      <c r="AL192" s="24">
        <f>_xll.BDP(AX192,"BEST_TARGET_PRICE")</f>
        <v>96.855552673339844</v>
      </c>
      <c r="AM192" s="32">
        <f>(AL192/Q192)-1</f>
        <v>0.1648292564442555</v>
      </c>
      <c r="AN192" s="32">
        <f>_xll.BDP(AX192,"PR061")/100</f>
        <v>9.1923809999999995E-2</v>
      </c>
      <c r="AO192" s="32">
        <f>_xll.BDP(AX192,"PR064")/100</f>
        <v>0.1629371</v>
      </c>
      <c r="AP192" s="32">
        <f>_xll.BDP(AX192,"CHG_PCT_6M")/100</f>
        <v>0.19881779999999999</v>
      </c>
      <c r="AQ192" s="25">
        <f>_xll.BDP(AX192,"PR079")/100</f>
        <v>0.39654010000000001</v>
      </c>
      <c r="AR192" s="33">
        <f>_xll.BDP(AX192,"hs001")</f>
        <v>88.93</v>
      </c>
      <c r="AS192" s="33">
        <f>_xll.BDP(AX192,"hs002")</f>
        <v>58.92</v>
      </c>
      <c r="AT192" s="22" t="str" cm="1">
        <f t="array" ref="AT192">IF(OR(_xll.BDP($AX192,"DX202")= "#N/A N/A", _xll.BDP($AX192,"DX202")="#N/A FIELD NOT APPLICABLE"), " ", _xll.BDP($AX192,"DX202"))</f>
        <v>Materials</v>
      </c>
      <c r="AU192" s="22" t="str" cm="1">
        <f t="array" ref="AU192">IF(OR(_xll.BDP($AX192,"DY997")= "#N/A N/A", _xll.BDP($AX192,"DY997")="#N/A FIELD NOT APPLICABLE"), " ", _xll.BDP($AX192,"DY997"))</f>
        <v xml:space="preserve"> </v>
      </c>
      <c r="AV192" s="22" t="str" cm="1">
        <f t="array" ref="AV192">IF(OR(_xll.BDP($AX192,"DY784")= "#N/A N/A", _xll.BDP($AX192,"DY784")="#N/A FIELD NOT APPLICABLE"), " ", _xll.BDP($AX192,"DY784"))</f>
        <v xml:space="preserve"> </v>
      </c>
      <c r="AW192" s="22" t="str">
        <f>IF(OR(AU192="Y",AV192="Y"),"Y","N")</f>
        <v>N</v>
      </c>
      <c r="AX192" s="22" t="str">
        <f>CONCATENATE(G192," ",$AX$2)</f>
        <v>NEM AT Equity</v>
      </c>
      <c r="BC192" s="17" t="str" cm="1">
        <f t="array" ref="BC192">_xll.BDP(AX192,"ID005")</f>
        <v>AU0000297962</v>
      </c>
      <c r="BD192" s="17">
        <v>0.72</v>
      </c>
      <c r="BE192" s="18">
        <v>4</v>
      </c>
      <c r="BF192" s="19">
        <v>45596</v>
      </c>
      <c r="BG192" s="20">
        <v>1</v>
      </c>
    </row>
    <row r="193" spans="1:59" s="3" customFormat="1" ht="14.45" customHeight="1" x14ac:dyDescent="0.25">
      <c r="A193" s="49" t="s">
        <v>241</v>
      </c>
      <c r="B193" s="49" t="s">
        <v>238</v>
      </c>
      <c r="C193" s="49" t="s">
        <v>239</v>
      </c>
      <c r="D193" s="49" t="s">
        <v>240</v>
      </c>
      <c r="E193" s="22" t="str">
        <f>_xll.BDP(AX193,"SECURITY NAME")</f>
        <v>Nestle SA</v>
      </c>
      <c r="F193" s="22" t="str">
        <f>_xll.BDP(AX193,"CRNCY")</f>
        <v>CHF</v>
      </c>
      <c r="G193" s="23" t="s">
        <v>78</v>
      </c>
      <c r="H193" s="22" t="str" cm="1">
        <f t="array" ref="H193">IF(OR(_xll.BDP($AX193,"DX202")= "#N/A N/A", _xll.BDP($AX193,"DX202")="#N/A FIELD NOT APPLICABLE"), " ", _xll.BDP($AX193,"DX202"))</f>
        <v>Consumer Staples</v>
      </c>
      <c r="I193" s="24">
        <f>_xll.BDP(AX193,"CRNCY_ADJ_MKT_CAP", "EQY_FUND_CRNCY=USD")/1000</f>
        <v>275.44374579771403</v>
      </c>
      <c r="J193" s="25">
        <f>IFERROR(_xll.BDP(AX193, "DV013")/100,0)</f>
        <v>3.4623679785631557E-2</v>
      </c>
      <c r="K193" s="26" cm="1">
        <f t="array" ref="K193">IF(OR(_xll.BDP($AX193,"RR900")= "#N/A N/A", _xll.BDP($AX193,"RR900")="#N/A FIELD NOT APPLICABLE"), " ", _xll.BDP($AX193,"RR900"))</f>
        <v>21.030646477632914</v>
      </c>
      <c r="L193" s="26" cm="1">
        <f t="array" ref="L193">IF(OR(_xll.BDP($AX193,"EE010")= "#N/A N/A", _xll.BDP($AX193,"EE010")="#N/A FIELD NOT APPLICABLE"), " ", _xll.BDP($AX193,"EE010"))</f>
        <v>18.750532141336738</v>
      </c>
      <c r="M193" s="26" cm="1">
        <f t="array" ref="M193">IF(OR(_xll.BDP($AX193,"RR903")= "#N/A N/A", _xll.BDP($AX193,"RR903")="#N/A FIELD NOT APPLICABLE"), " ", _xll.BDP($AX193,"RR903"))</f>
        <v>6.3098381926092424</v>
      </c>
      <c r="N193" s="26" cm="1">
        <f t="array" ref="N193">IF(OR(_xll.BDP($AX193,"RR957")= "#N/A N/A", _xll.BDP($AX193,"RR957")="#N/A FIELD NOT APPLICABLE"), " ", _xll.BDP($AX193,"RR957"))</f>
        <v>15.438197683819512</v>
      </c>
      <c r="O193" s="27">
        <v>475</v>
      </c>
      <c r="P193" s="28">
        <v>89.3</v>
      </c>
      <c r="Q193" s="22" cm="1">
        <f t="array" ref="Q193">IF(OR(_xll.BDP($AX193,"PX_last")="#N/A N/A",_xll.BDP($AX193,"PX_Last")="#N/A FIELD NOT APPLICABLE")," ",IF(F193="GBP",(_xll.BDP($AX193,"PX_LAST")/100),(_xll.BDP($AX193,"PX_LAST"))))</f>
        <v>88.09</v>
      </c>
      <c r="R193" s="29">
        <f>IF(F193="USD",AA193,(((_xll.BDP(F193&amp;"USD CURNCY","PX_LAST")))*AA193))</f>
        <v>51477.877999999997</v>
      </c>
      <c r="S193" s="29">
        <f>IF(F193="USD",AB193,(((_xll.BDP(F193&amp;"USD CURNCY","PX_LAST")))*AB193))</f>
        <v>50780.361400000002</v>
      </c>
      <c r="T193" s="12">
        <f>S193-R193</f>
        <v>-697.51659999999538</v>
      </c>
      <c r="U193" s="13">
        <f>T193/R193</f>
        <v>-1.3549832026875611E-2</v>
      </c>
      <c r="V193" s="13" cm="1">
        <f t="array" ref="V193">IFERROR(_xll.BDP($G193&amp;" Equity","CHG_PCT_1D")/100,"")</f>
        <v>8.5871309999999996E-3</v>
      </c>
      <c r="W193" s="13" cm="1">
        <f t="array" ref="W193">IFERROR(_xll.BDP($G193&amp;" Equity","CHG_PCT_5D")/100,"")</f>
        <v>1.5446690000000001E-2</v>
      </c>
      <c r="X193" s="13" t="e">
        <f>S193/#REF!</f>
        <v>#REF!</v>
      </c>
      <c r="Y193" s="24">
        <f>IFERROR(S193*J193,0)</f>
        <v>1758.202972512245</v>
      </c>
      <c r="Z193" s="24">
        <f>S193</f>
        <v>50780.361400000002</v>
      </c>
      <c r="AA193" s="29">
        <f>P193*O193</f>
        <v>42417.5</v>
      </c>
      <c r="AB193" s="29">
        <f>IFERROR(O193*Q193,0)</f>
        <v>41842.75</v>
      </c>
      <c r="AC193" s="4" t="e" cm="1">
        <f t="array" ref="AC193">VLOOKUP(IF(NOT(_xll.BDP(AX193,$BW$8)="#N/A N/A"),(_xll.BDP(AX193,$BW$8)),"-"), '[1]Country Codes'!$A$2:$B$253,2,0)</f>
        <v>#N/A</v>
      </c>
      <c r="AD193" s="30" t="str" cm="1">
        <f t="array" ref="AD193">IF(OR(_xll.BDP($AX193,"EX028")= "#N/A N/A", _xll.BDP($AX193,"EX028")="#N/A FIELD NOT APPLICABLE"), " ", _xll.BDP($AX193,"EX028"))</f>
        <v>Equity</v>
      </c>
      <c r="AE193" s="31" t="str">
        <f>IF(("AS97"="Equity"), " ", "Single Line Equity")</f>
        <v>Single Line Equity</v>
      </c>
      <c r="AF193" s="26" cm="1">
        <f t="array" ref="AF193">IF(OR(_xll.BDP($AX193,"RR908")= "#N/A N/A", _xll.BDP($AX193,"RR908")="#N/A FIELD NOT APPLICABLE"), " ", _xll.BDP($AX193,"RR908"))</f>
        <v>13.702442350775867</v>
      </c>
      <c r="AG193" s="26" cm="1">
        <f t="array" ref="AG193">IF(OR(_xll.BDP($AX193,"RR041")= "#N/A N/A", _xll.BDP($AX193,"RR041")="#N/A FIELD NOT APPLICABLE"), " ", _xll.BDP($AX193,"RR041"))</f>
        <v>45.051843979779413</v>
      </c>
      <c r="AH193" s="22">
        <f>_xll.BDP(AX193,"TOT_BUY_REC")</f>
        <v>12</v>
      </c>
      <c r="AI193" s="22">
        <f>_xll.BDP(AX193,"TOT_HOLD_REC")</f>
        <v>12</v>
      </c>
      <c r="AJ193" s="22">
        <f>_xll.BDP(AX193,"TOT_SELL_REC")</f>
        <v>2</v>
      </c>
      <c r="AK193" s="26" cm="1">
        <f t="array" ref="AK193">IF(OR(_xll.BDP($AX193,"EE201")= "#N/A N/A", _xll.BDP($AX193,"EE201")="#N/A FIELD NOT APPLICABLE"), " ", _xll.BDP($AX193,"EE201"))</f>
        <v>3.730769157409668</v>
      </c>
      <c r="AL193" s="24">
        <f>_xll.BDP(AX193,"BEST_TARGET_PRICE")</f>
        <v>89.400001525878906</v>
      </c>
      <c r="AM193" s="32">
        <f>(AL193/Q193)-1</f>
        <v>1.487117182289599E-2</v>
      </c>
      <c r="AN193" s="32">
        <f>_xll.BDP(AX193,"PR061")/100</f>
        <v>8.3562199999999993E-3</v>
      </c>
      <c r="AO193" s="32">
        <f>_xll.BDP(AX193,"PR064")/100</f>
        <v>0.13664519999999999</v>
      </c>
      <c r="AP193" s="32">
        <f>_xll.BDP(AX193,"CHG_PCT_6M")/100</f>
        <v>0.11000500000000001</v>
      </c>
      <c r="AQ193" s="25">
        <f>_xll.BDP(AX193,"PR079")/100</f>
        <v>0.17641559999999998</v>
      </c>
      <c r="AR193" s="33">
        <f>_xll.BDP(AX193,"hs001")</f>
        <v>98.62</v>
      </c>
      <c r="AS193" s="33">
        <f>_xll.BDP(AX193,"hs002")</f>
        <v>72.819999999999993</v>
      </c>
      <c r="AT193" s="22" t="str" cm="1">
        <f t="array" ref="AT193">IF(OR(_xll.BDP($AX193,"DX202")= "#N/A N/A", _xll.BDP($AX193,"DX202")="#N/A FIELD NOT APPLICABLE"), " ", _xll.BDP($AX193,"DX202"))</f>
        <v>Consumer Staples</v>
      </c>
      <c r="AU193" s="22" t="str" cm="1">
        <f t="array" ref="AU193">IF(OR(_xll.BDP($AX193,"DY997")= "#N/A N/A", _xll.BDP($AX193,"DY997")="#N/A FIELD NOT APPLICABLE"), " ", _xll.BDP($AX193,"DY997"))</f>
        <v>N</v>
      </c>
      <c r="AV193" s="22" t="str" cm="1">
        <f t="array" ref="AV193">IF(OR(_xll.BDP($AX193,"DY784")= "#N/A N/A", _xll.BDP($AX193,"DY784")="#N/A FIELD NOT APPLICABLE"), " ", _xll.BDP($AX193,"DY784"))</f>
        <v>Y</v>
      </c>
      <c r="AW193" s="22" t="str">
        <f>IF(OR(AU193="Y",AV193="Y"),"Y","N")</f>
        <v>Y</v>
      </c>
      <c r="AX193" s="22" t="str">
        <f>CONCATENATE(G193," ",$AX$2)</f>
        <v>NESN SW Equity</v>
      </c>
      <c r="BC193" s="17" t="str" cm="1">
        <f t="array" ref="BC193">_xll.BDP(AX193,"ID005")</f>
        <v>CH0038863350</v>
      </c>
      <c r="BD193" s="17">
        <v>0.72</v>
      </c>
      <c r="BE193" s="18">
        <v>4</v>
      </c>
      <c r="BF193" s="19">
        <v>45596</v>
      </c>
      <c r="BG193" s="20">
        <v>1</v>
      </c>
    </row>
    <row r="194" spans="1:59" s="3" customFormat="1" ht="14.45" customHeight="1" x14ac:dyDescent="0.25">
      <c r="A194" s="49" t="s">
        <v>242</v>
      </c>
      <c r="B194" s="49" t="s">
        <v>243</v>
      </c>
      <c r="C194" s="49" t="s">
        <v>244</v>
      </c>
      <c r="D194" s="49" t="s">
        <v>245</v>
      </c>
      <c r="E194" s="22" t="str">
        <f>_xll.BDP(AX194,"SECURITY NAME")</f>
        <v>Nestle SA</v>
      </c>
      <c r="F194" s="22" t="str">
        <f>_xll.BDP(AX194,"CRNCY")</f>
        <v>CHF</v>
      </c>
      <c r="G194" s="23" t="s">
        <v>78</v>
      </c>
      <c r="H194" s="22" t="str" cm="1">
        <f t="array" ref="H194">IF(OR(_xll.BDP($AX194,"DX202")= "#N/A N/A", _xll.BDP($AX194,"DX202")="#N/A FIELD NOT APPLICABLE"), " ", _xll.BDP($AX194,"DX202"))</f>
        <v>Consumer Staples</v>
      </c>
      <c r="I194" s="24">
        <f>_xll.BDP(AX194,"CRNCY_ADJ_MKT_CAP", "EQY_FUND_CRNCY=USD")/1000</f>
        <v>275.44374579771403</v>
      </c>
      <c r="J194" s="25">
        <f>IFERROR(_xll.BDP(AX194, "DV013")/100,0)</f>
        <v>3.4623679785631557E-2</v>
      </c>
      <c r="K194" s="26" cm="1">
        <f t="array" ref="K194">IF(OR(_xll.BDP($AX194,"RR900")= "#N/A N/A", _xll.BDP($AX194,"RR900")="#N/A FIELD NOT APPLICABLE"), " ", _xll.BDP($AX194,"RR900"))</f>
        <v>21.030646477632914</v>
      </c>
      <c r="L194" s="26" cm="1">
        <f t="array" ref="L194">IF(OR(_xll.BDP($AX194,"EE010")= "#N/A N/A", _xll.BDP($AX194,"EE010")="#N/A FIELD NOT APPLICABLE"), " ", _xll.BDP($AX194,"EE010"))</f>
        <v>18.750532141336738</v>
      </c>
      <c r="M194" s="26" cm="1">
        <f t="array" ref="M194">IF(OR(_xll.BDP($AX194,"RR903")= "#N/A N/A", _xll.BDP($AX194,"RR903")="#N/A FIELD NOT APPLICABLE"), " ", _xll.BDP($AX194,"RR903"))</f>
        <v>6.3098381926092424</v>
      </c>
      <c r="N194" s="26" cm="1">
        <f t="array" ref="N194">IF(OR(_xll.BDP($AX194,"RR957")= "#N/A N/A", _xll.BDP($AX194,"RR957")="#N/A FIELD NOT APPLICABLE"), " ", _xll.BDP($AX194,"RR957"))</f>
        <v>15.438197683819512</v>
      </c>
      <c r="O194" s="27">
        <v>1067</v>
      </c>
      <c r="P194" s="28">
        <v>81.92</v>
      </c>
      <c r="Q194" s="22" cm="1">
        <f t="array" ref="Q194">IF(OR(_xll.BDP($AX194,"PX_last")="#N/A N/A",_xll.BDP($AX194,"PX_Last")="#N/A FIELD NOT APPLICABLE")," ",IF(F194="GBP",(_xll.BDP($AX194,"PX_LAST")/100),(_xll.BDP($AX194,"PX_LAST"))))</f>
        <v>88.09</v>
      </c>
      <c r="R194" s="29">
        <f>IF(F194="USD",AA194,(((_xll.BDP(F194&amp;"USD CURNCY","PX_LAST")))*AA194))</f>
        <v>106079.125504</v>
      </c>
      <c r="S194" s="29">
        <f>IF(F194="USD",AB194,(((_xll.BDP(F194&amp;"USD CURNCY","PX_LAST")))*AB194))</f>
        <v>114068.727608</v>
      </c>
      <c r="T194" s="12">
        <f>S194-R194</f>
        <v>7989.6021040000051</v>
      </c>
      <c r="U194" s="13">
        <f>T194/R194</f>
        <v>7.5317382812500056E-2</v>
      </c>
      <c r="V194" s="13" cm="1">
        <f t="array" ref="V194">IFERROR(_xll.BDP($G194&amp;" Equity","CHG_PCT_1D")/100,"")</f>
        <v>8.5871309999999996E-3</v>
      </c>
      <c r="W194" s="13" cm="1">
        <f t="array" ref="W194">IFERROR(_xll.BDP($G194&amp;" Equity","CHG_PCT_5D")/100,"")</f>
        <v>1.5446690000000001E-2</v>
      </c>
      <c r="X194" s="13" t="e">
        <f>S194/#REF!</f>
        <v>#REF!</v>
      </c>
      <c r="Y194" s="24">
        <f>IFERROR(S194*J194,0)</f>
        <v>3949.479098253822</v>
      </c>
      <c r="Z194" s="24">
        <f>S194</f>
        <v>114068.727608</v>
      </c>
      <c r="AA194" s="29">
        <f>P194*O194</f>
        <v>87408.639999999999</v>
      </c>
      <c r="AB194" s="29">
        <f>IFERROR(O194*Q194,0)</f>
        <v>93992.03</v>
      </c>
      <c r="AC194" s="4" t="e" cm="1">
        <f t="array" ref="AC194">VLOOKUP(IF(NOT(_xll.BDP(AX194,$BW$8)="#N/A N/A"),(_xll.BDP(AX194,$BW$8)),"-"), '[1]Country Codes'!$A$2:$B$253,2,0)</f>
        <v>#N/A</v>
      </c>
      <c r="AD194" s="30" t="str" cm="1">
        <f t="array" ref="AD194">IF(OR(_xll.BDP($AX194,"EX028")= "#N/A N/A", _xll.BDP($AX194,"EX028")="#N/A FIELD NOT APPLICABLE"), " ", _xll.BDP($AX194,"EX028"))</f>
        <v>Equity</v>
      </c>
      <c r="AE194" s="31" t="str">
        <f>IF(("AS97"="Equity"), " ", "Single Line Equity")</f>
        <v>Single Line Equity</v>
      </c>
      <c r="AF194" s="26" cm="1">
        <f t="array" ref="AF194">IF(OR(_xll.BDP($AX194,"RR908")= "#N/A N/A", _xll.BDP($AX194,"RR908")="#N/A FIELD NOT APPLICABLE"), " ", _xll.BDP($AX194,"RR908"))</f>
        <v>13.702442350775867</v>
      </c>
      <c r="AG194" s="26" cm="1">
        <f t="array" ref="AG194">IF(OR(_xll.BDP($AX194,"RR041")= "#N/A N/A", _xll.BDP($AX194,"RR041")="#N/A FIELD NOT APPLICABLE"), " ", _xll.BDP($AX194,"RR041"))</f>
        <v>45.051843979779413</v>
      </c>
      <c r="AH194" s="22">
        <f>_xll.BDP(AX194,"TOT_BUY_REC")</f>
        <v>12</v>
      </c>
      <c r="AI194" s="22">
        <f>_xll.BDP(AX194,"TOT_HOLD_REC")</f>
        <v>12</v>
      </c>
      <c r="AJ194" s="22">
        <f>_xll.BDP(AX194,"TOT_SELL_REC")</f>
        <v>2</v>
      </c>
      <c r="AK194" s="26" cm="1">
        <f t="array" ref="AK194">IF(OR(_xll.BDP($AX194,"EE201")= "#N/A N/A", _xll.BDP($AX194,"EE201")="#N/A FIELD NOT APPLICABLE"), " ", _xll.BDP($AX194,"EE201"))</f>
        <v>3.730769157409668</v>
      </c>
      <c r="AL194" s="24">
        <f>_xll.BDP(AX194,"BEST_TARGET_PRICE")</f>
        <v>89.400001525878906</v>
      </c>
      <c r="AM194" s="32">
        <f>(AL194/Q194)-1</f>
        <v>1.487117182289599E-2</v>
      </c>
      <c r="AN194" s="32">
        <f>_xll.BDP(AX194,"PR061")/100</f>
        <v>8.3562199999999993E-3</v>
      </c>
      <c r="AO194" s="32">
        <f>_xll.BDP(AX194,"PR064")/100</f>
        <v>0.13664519999999999</v>
      </c>
      <c r="AP194" s="32">
        <f>_xll.BDP(AX194,"CHG_PCT_6M")/100</f>
        <v>0.11000500000000001</v>
      </c>
      <c r="AQ194" s="25">
        <f>_xll.BDP(AX194,"PR079")/100</f>
        <v>0.17641559999999998</v>
      </c>
      <c r="AR194" s="33">
        <f>_xll.BDP(AX194,"hs001")</f>
        <v>98.62</v>
      </c>
      <c r="AS194" s="33">
        <f>_xll.BDP(AX194,"hs002")</f>
        <v>72.819999999999993</v>
      </c>
      <c r="AT194" s="22" t="str" cm="1">
        <f t="array" ref="AT194">IF(OR(_xll.BDP($AX194,"DX202")= "#N/A N/A", _xll.BDP($AX194,"DX202")="#N/A FIELD NOT APPLICABLE"), " ", _xll.BDP($AX194,"DX202"))</f>
        <v>Consumer Staples</v>
      </c>
      <c r="AU194" s="22" t="str" cm="1">
        <f t="array" ref="AU194">IF(OR(_xll.BDP($AX194,"DY997")= "#N/A N/A", _xll.BDP($AX194,"DY997")="#N/A FIELD NOT APPLICABLE"), " ", _xll.BDP($AX194,"DY997"))</f>
        <v>N</v>
      </c>
      <c r="AV194" s="22" t="str" cm="1">
        <f t="array" ref="AV194">IF(OR(_xll.BDP($AX194,"DY784")= "#N/A N/A", _xll.BDP($AX194,"DY784")="#N/A FIELD NOT APPLICABLE"), " ", _xll.BDP($AX194,"DY784"))</f>
        <v>Y</v>
      </c>
      <c r="AW194" s="22" t="str">
        <f>IF(OR(AU194="Y",AV194="Y"),"Y","N")</f>
        <v>Y</v>
      </c>
      <c r="AX194" s="22" t="str">
        <f>CONCATENATE(G194," ",$AX$2)</f>
        <v>NESN SW Equity</v>
      </c>
      <c r="BC194" s="17" t="str" cm="1">
        <f t="array" ref="BC194">_xll.BDP(AX194,"ID005")</f>
        <v>CH0038863350</v>
      </c>
      <c r="BD194" s="17">
        <f>VLOOKUP(BC194,'[2]Portefeuille 4380430'!$B$3:$G$38,6,0)</f>
        <v>0.7974</v>
      </c>
      <c r="BE194" s="18">
        <v>4</v>
      </c>
      <c r="BF194" s="19">
        <v>45611</v>
      </c>
      <c r="BG194" s="20"/>
    </row>
    <row r="195" spans="1:59" s="3" customFormat="1" ht="14.45" customHeight="1" x14ac:dyDescent="0.25">
      <c r="A195" s="49" t="s">
        <v>242</v>
      </c>
      <c r="B195" s="49" t="s">
        <v>246</v>
      </c>
      <c r="C195" s="49" t="s">
        <v>247</v>
      </c>
      <c r="D195" s="49" t="s">
        <v>248</v>
      </c>
      <c r="E195" s="22" t="str">
        <f>_xll.BDP(AX195,"SECURITY NAME")</f>
        <v>Nestle SA</v>
      </c>
      <c r="F195" s="22" t="str">
        <f>_xll.BDP(AX195,"CRNCY")</f>
        <v>CHF</v>
      </c>
      <c r="G195" s="23" t="s">
        <v>78</v>
      </c>
      <c r="H195" s="22" t="str" cm="1">
        <f t="array" ref="H195">IF(OR(_xll.BDP($AX195,"DX202")= "#N/A N/A", _xll.BDP($AX195,"DX202")="#N/A FIELD NOT APPLICABLE"), " ", _xll.BDP($AX195,"DX202"))</f>
        <v>Consumer Staples</v>
      </c>
      <c r="I195" s="24">
        <f>_xll.BDP(AX195,"CRNCY_ADJ_MKT_CAP", "EQY_FUND_CRNCY=USD")/1000</f>
        <v>275.44374579771403</v>
      </c>
      <c r="J195" s="25">
        <f>IFERROR(_xll.BDP(AX195, "DV013")/100,0)</f>
        <v>3.4623679785631557E-2</v>
      </c>
      <c r="K195" s="26" cm="1">
        <f t="array" ref="K195">IF(OR(_xll.BDP($AX195,"RR900")= "#N/A N/A", _xll.BDP($AX195,"RR900")="#N/A FIELD NOT APPLICABLE"), " ", _xll.BDP($AX195,"RR900"))</f>
        <v>21.030646477632914</v>
      </c>
      <c r="L195" s="26" cm="1">
        <f t="array" ref="L195">IF(OR(_xll.BDP($AX195,"EE010")= "#N/A N/A", _xll.BDP($AX195,"EE010")="#N/A FIELD NOT APPLICABLE"), " ", _xll.BDP($AX195,"EE010"))</f>
        <v>18.750532141336738</v>
      </c>
      <c r="M195" s="26" cm="1">
        <f t="array" ref="M195">IF(OR(_xll.BDP($AX195,"RR903")= "#N/A N/A", _xll.BDP($AX195,"RR903")="#N/A FIELD NOT APPLICABLE"), " ", _xll.BDP($AX195,"RR903"))</f>
        <v>6.3098381926092424</v>
      </c>
      <c r="N195" s="26" cm="1">
        <f t="array" ref="N195">IF(OR(_xll.BDP($AX195,"RR957")= "#N/A N/A", _xll.BDP($AX195,"RR957")="#N/A FIELD NOT APPLICABLE"), " ", _xll.BDP($AX195,"RR957"))</f>
        <v>15.438197683819512</v>
      </c>
      <c r="O195" s="27">
        <v>1864</v>
      </c>
      <c r="P195" s="28">
        <v>87.03</v>
      </c>
      <c r="Q195" s="22" cm="1">
        <f t="array" ref="Q195">IF(OR(_xll.BDP($AX195,"PX_last")="#N/A N/A",_xll.BDP($AX195,"PX_Last")="#N/A FIELD NOT APPLICABLE")," ",IF(F195="GBP",(_xll.BDP($AX195,"PX_LAST")/100),(_xll.BDP($AX195,"PX_LAST"))))</f>
        <v>88.09</v>
      </c>
      <c r="R195" s="29">
        <f>IF(F195="USD",AA195,(((_xll.BDP(F195&amp;"USD CURNCY","PX_LAST")))*AA195))</f>
        <v>196874.94931200001</v>
      </c>
      <c r="S195" s="29">
        <f>IF(F195="USD",AB195,(((_xll.BDP(F195&amp;"USD CURNCY","PX_LAST")))*AB195))</f>
        <v>199272.82873600002</v>
      </c>
      <c r="T195" s="12">
        <f>S195-R195</f>
        <v>2397.8794240000134</v>
      </c>
      <c r="U195" s="13">
        <f>T195/R195</f>
        <v>1.2179708146616177E-2</v>
      </c>
      <c r="V195" s="13" cm="1">
        <f t="array" ref="V195">IFERROR(_xll.BDP($G195&amp;" Equity","CHG_PCT_1D")/100,"")</f>
        <v>8.5871309999999996E-3</v>
      </c>
      <c r="W195" s="13" cm="1">
        <f t="array" ref="W195">IFERROR(_xll.BDP($G195&amp;" Equity","CHG_PCT_5D")/100,"")</f>
        <v>1.5446690000000001E-2</v>
      </c>
      <c r="X195" s="13" t="e">
        <f>S195/#REF!</f>
        <v>#REF!</v>
      </c>
      <c r="Y195" s="24">
        <f>IFERROR(S195*J195,0)</f>
        <v>6899.5586121322631</v>
      </c>
      <c r="Z195" s="24">
        <f>S195</f>
        <v>199272.82873600002</v>
      </c>
      <c r="AA195" s="29">
        <f>P195*O195</f>
        <v>162223.92000000001</v>
      </c>
      <c r="AB195" s="29">
        <f>IFERROR(O195*Q195,0)</f>
        <v>164199.76</v>
      </c>
      <c r="AC195" s="4" t="e" cm="1">
        <f t="array" ref="AC195">VLOOKUP(IF(NOT(_xll.BDP(AX195,$BW$8)="#N/A N/A"),(_xll.BDP(AX195,$BW$8)),"-"), '[1]Country Codes'!$A$2:$B$253,2,0)</f>
        <v>#N/A</v>
      </c>
      <c r="AD195" s="30" t="str" cm="1">
        <f t="array" ref="AD195">IF(OR(_xll.BDP($AX195,"EX028")= "#N/A N/A", _xll.BDP($AX195,"EX028")="#N/A FIELD NOT APPLICABLE"), " ", _xll.BDP($AX195,"EX028"))</f>
        <v>Equity</v>
      </c>
      <c r="AE195" s="31" t="str">
        <f>IF(("AS97"="Equity"), " ", "Single Line Equity")</f>
        <v>Single Line Equity</v>
      </c>
      <c r="AF195" s="26" cm="1">
        <f t="array" ref="AF195">IF(OR(_xll.BDP($AX195,"RR908")= "#N/A N/A", _xll.BDP($AX195,"RR908")="#N/A FIELD NOT APPLICABLE"), " ", _xll.BDP($AX195,"RR908"))</f>
        <v>13.702442350775867</v>
      </c>
      <c r="AG195" s="26" cm="1">
        <f t="array" ref="AG195">IF(OR(_xll.BDP($AX195,"RR041")= "#N/A N/A", _xll.BDP($AX195,"RR041")="#N/A FIELD NOT APPLICABLE"), " ", _xll.BDP($AX195,"RR041"))</f>
        <v>45.051843979779413</v>
      </c>
      <c r="AH195" s="22">
        <f>_xll.BDP(AX195,"TOT_BUY_REC")</f>
        <v>12</v>
      </c>
      <c r="AI195" s="22">
        <f>_xll.BDP(AX195,"TOT_HOLD_REC")</f>
        <v>12</v>
      </c>
      <c r="AJ195" s="22">
        <f>_xll.BDP(AX195,"TOT_SELL_REC")</f>
        <v>2</v>
      </c>
      <c r="AK195" s="26" cm="1">
        <f t="array" ref="AK195">IF(OR(_xll.BDP($AX195,"EE201")= "#N/A N/A", _xll.BDP($AX195,"EE201")="#N/A FIELD NOT APPLICABLE"), " ", _xll.BDP($AX195,"EE201"))</f>
        <v>3.730769157409668</v>
      </c>
      <c r="AL195" s="24">
        <f>_xll.BDP(AX195,"BEST_TARGET_PRICE")</f>
        <v>89.400001525878906</v>
      </c>
      <c r="AM195" s="32">
        <f>(AL195/Q195)-1</f>
        <v>1.487117182289599E-2</v>
      </c>
      <c r="AN195" s="32">
        <f>_xll.BDP(AX195,"PR061")/100</f>
        <v>8.3562199999999993E-3</v>
      </c>
      <c r="AO195" s="32">
        <f>_xll.BDP(AX195,"PR064")/100</f>
        <v>0.13664519999999999</v>
      </c>
      <c r="AP195" s="32">
        <f>_xll.BDP(AX195,"CHG_PCT_6M")/100</f>
        <v>0.11000500000000001</v>
      </c>
      <c r="AQ195" s="25">
        <f>_xll.BDP(AX195,"PR079")/100</f>
        <v>0.17641559999999998</v>
      </c>
      <c r="AR195" s="33">
        <f>_xll.BDP(AX195,"hs001")</f>
        <v>98.62</v>
      </c>
      <c r="AS195" s="33">
        <f>_xll.BDP(AX195,"hs002")</f>
        <v>72.819999999999993</v>
      </c>
      <c r="AT195" s="22" t="str" cm="1">
        <f t="array" ref="AT195">IF(OR(_xll.BDP($AX195,"DX202")= "#N/A N/A", _xll.BDP($AX195,"DX202")="#N/A FIELD NOT APPLICABLE"), " ", _xll.BDP($AX195,"DX202"))</f>
        <v>Consumer Staples</v>
      </c>
      <c r="AU195" s="22" t="str" cm="1">
        <f t="array" ref="AU195">IF(OR(_xll.BDP($AX195,"DY997")= "#N/A N/A", _xll.BDP($AX195,"DY997")="#N/A FIELD NOT APPLICABLE"), " ", _xll.BDP($AX195,"DY997"))</f>
        <v>N</v>
      </c>
      <c r="AV195" s="22" t="str" cm="1">
        <f t="array" ref="AV195">IF(OR(_xll.BDP($AX195,"DY784")= "#N/A N/A", _xll.BDP($AX195,"DY784")="#N/A FIELD NOT APPLICABLE"), " ", _xll.BDP($AX195,"DY784"))</f>
        <v>Y</v>
      </c>
      <c r="AW195" s="22" t="str">
        <f>IF(OR(AU195="Y",AV195="Y"),"Y","N")</f>
        <v>Y</v>
      </c>
      <c r="AX195" s="22" t="str">
        <f>CONCATENATE(G195," ",$AX$2)</f>
        <v>NESN SW Equity</v>
      </c>
      <c r="BC195" s="17" t="str" cm="1">
        <f t="array" ref="BC195">_xll.BDP(AX195,"ID005")</f>
        <v>CH0038863350</v>
      </c>
      <c r="BD195" s="17"/>
      <c r="BE195" s="18">
        <v>4</v>
      </c>
      <c r="BF195" s="19"/>
      <c r="BG195" s="20"/>
    </row>
    <row r="196" spans="1:59" s="3" customFormat="1" ht="14.45" customHeight="1" x14ac:dyDescent="0.25">
      <c r="A196" s="49" t="s">
        <v>241</v>
      </c>
      <c r="B196" s="49" t="s">
        <v>249</v>
      </c>
      <c r="C196" s="49" t="s">
        <v>250</v>
      </c>
      <c r="D196" s="49" t="s">
        <v>240</v>
      </c>
      <c r="E196" s="22" t="str">
        <f>_xll.BDP(AX196,"SECURITY NAME")</f>
        <v>Nestle SA</v>
      </c>
      <c r="F196" s="22" t="str">
        <f>_xll.BDP(AX196,"CRNCY")</f>
        <v>CHF</v>
      </c>
      <c r="G196" s="23" t="s">
        <v>78</v>
      </c>
      <c r="H196" s="22" t="str" cm="1">
        <f t="array" ref="H196">IF(OR(_xll.BDP($AX196,"DX202")= "#N/A N/A", _xll.BDP($AX196,"DX202")="#N/A FIELD NOT APPLICABLE"), " ", _xll.BDP($AX196,"DX202"))</f>
        <v>Consumer Staples</v>
      </c>
      <c r="I196" s="24">
        <f>_xll.BDP(AX196,"CRNCY_ADJ_MKT_CAP", "EQY_FUND_CRNCY=USD")/1000</f>
        <v>275.44374579771403</v>
      </c>
      <c r="J196" s="25">
        <f>IFERROR(_xll.BDP(AX196, "DV013")/100,0)</f>
        <v>3.4623679785631557E-2</v>
      </c>
      <c r="K196" s="26" cm="1">
        <f t="array" ref="K196">IF(OR(_xll.BDP($AX196,"RR900")= "#N/A N/A", _xll.BDP($AX196,"RR900")="#N/A FIELD NOT APPLICABLE"), " ", _xll.BDP($AX196,"RR900"))</f>
        <v>21.030646477632914</v>
      </c>
      <c r="L196" s="26" cm="1">
        <f t="array" ref="L196">IF(OR(_xll.BDP($AX196,"EE010")= "#N/A N/A", _xll.BDP($AX196,"EE010")="#N/A FIELD NOT APPLICABLE"), " ", _xll.BDP($AX196,"EE010"))</f>
        <v>18.750532141336738</v>
      </c>
      <c r="M196" s="26" cm="1">
        <f t="array" ref="M196">IF(OR(_xll.BDP($AX196,"RR903")= "#N/A N/A", _xll.BDP($AX196,"RR903")="#N/A FIELD NOT APPLICABLE"), " ", _xll.BDP($AX196,"RR903"))</f>
        <v>6.3098381926092424</v>
      </c>
      <c r="N196" s="26" cm="1">
        <f t="array" ref="N196">IF(OR(_xll.BDP($AX196,"RR957")= "#N/A N/A", _xll.BDP($AX196,"RR957")="#N/A FIELD NOT APPLICABLE"), " ", _xll.BDP($AX196,"RR957"))</f>
        <v>15.438197683819512</v>
      </c>
      <c r="O196" s="27">
        <v>1350</v>
      </c>
      <c r="P196" s="28">
        <v>82.883330000000001</v>
      </c>
      <c r="Q196" s="22" cm="1">
        <f t="array" ref="Q196">IF(OR(_xll.BDP($AX196,"PX_last")="#N/A N/A",_xll.BDP($AX196,"PX_Last")="#N/A FIELD NOT APPLICABLE")," ",IF(F196="GBP",(_xll.BDP($AX196,"PX_LAST")/100),(_xll.BDP($AX196,"PX_LAST"))))</f>
        <v>88.09</v>
      </c>
      <c r="R196" s="29">
        <f>IF(F196="USD",AA196,(((_xll.BDP(F196&amp;"USD CURNCY","PX_LAST")))*AA196))</f>
        <v>135792.73253880002</v>
      </c>
      <c r="S196" s="29">
        <f>IF(F196="USD",AB196,(((_xll.BDP(F196&amp;"USD CURNCY","PX_LAST")))*AB196))</f>
        <v>144323.1324</v>
      </c>
      <c r="T196" s="12">
        <f>S196-R196</f>
        <v>8530.399861199985</v>
      </c>
      <c r="U196" s="13">
        <f>T196/R196</f>
        <v>6.281926655215217E-2</v>
      </c>
      <c r="V196" s="13" cm="1">
        <f t="array" ref="V196">IFERROR(_xll.BDP($G196&amp;" Equity","CHG_PCT_1D")/100,"")</f>
        <v>8.5871309999999996E-3</v>
      </c>
      <c r="W196" s="13" cm="1">
        <f t="array" ref="W196">IFERROR(_xll.BDP($G196&amp;" Equity","CHG_PCT_5D")/100,"")</f>
        <v>1.5446690000000001E-2</v>
      </c>
      <c r="X196" s="13" t="e">
        <f>S196/#REF!</f>
        <v>#REF!</v>
      </c>
      <c r="Y196" s="24">
        <f>IFERROR(S196*J196,0)</f>
        <v>4996.9979218769067</v>
      </c>
      <c r="Z196" s="24">
        <f>S196</f>
        <v>144323.1324</v>
      </c>
      <c r="AA196" s="29">
        <f>P196*O196</f>
        <v>111892.4955</v>
      </c>
      <c r="AB196" s="29">
        <f>IFERROR(O196*Q196,0)</f>
        <v>118921.5</v>
      </c>
      <c r="AC196" s="4" t="e" cm="1">
        <f t="array" ref="AC196">VLOOKUP(IF(NOT(_xll.BDP(AX196,$BW$8)="#N/A N/A"),(_xll.BDP(AX196,$BW$8)),"-"), '[1]Country Codes'!$A$2:$B$253,2,0)</f>
        <v>#N/A</v>
      </c>
      <c r="AD196" s="30" t="str" cm="1">
        <f t="array" ref="AD196">IF(OR(_xll.BDP($AX196,"EX028")= "#N/A N/A", _xll.BDP($AX196,"EX028")="#N/A FIELD NOT APPLICABLE"), " ", _xll.BDP($AX196,"EX028"))</f>
        <v>Equity</v>
      </c>
      <c r="AE196" s="31" t="str">
        <f>IF(("AS97"="Equity"), " ", "Single Line Equity")</f>
        <v>Single Line Equity</v>
      </c>
      <c r="AF196" s="26" cm="1">
        <f t="array" ref="AF196">IF(OR(_xll.BDP($AX196,"RR908")= "#N/A N/A", _xll.BDP($AX196,"RR908")="#N/A FIELD NOT APPLICABLE"), " ", _xll.BDP($AX196,"RR908"))</f>
        <v>13.702442350775867</v>
      </c>
      <c r="AG196" s="26" cm="1">
        <f t="array" ref="AG196">IF(OR(_xll.BDP($AX196,"RR041")= "#N/A N/A", _xll.BDP($AX196,"RR041")="#N/A FIELD NOT APPLICABLE"), " ", _xll.BDP($AX196,"RR041"))</f>
        <v>45.051843979779413</v>
      </c>
      <c r="AH196" s="22">
        <f>_xll.BDP(AX196,"TOT_BUY_REC")</f>
        <v>12</v>
      </c>
      <c r="AI196" s="22">
        <f>_xll.BDP(AX196,"TOT_HOLD_REC")</f>
        <v>12</v>
      </c>
      <c r="AJ196" s="22">
        <f>_xll.BDP(AX196,"TOT_SELL_REC")</f>
        <v>2</v>
      </c>
      <c r="AK196" s="26" cm="1">
        <f t="array" ref="AK196">IF(OR(_xll.BDP($AX196,"EE201")= "#N/A N/A", _xll.BDP($AX196,"EE201")="#N/A FIELD NOT APPLICABLE"), " ", _xll.BDP($AX196,"EE201"))</f>
        <v>3.730769157409668</v>
      </c>
      <c r="AL196" s="24">
        <f>_xll.BDP(AX196,"BEST_TARGET_PRICE")</f>
        <v>89.400001525878906</v>
      </c>
      <c r="AM196" s="32">
        <f>(AL196/Q196)-1</f>
        <v>1.487117182289599E-2</v>
      </c>
      <c r="AN196" s="32">
        <f>_xll.BDP(AX196,"PR061")/100</f>
        <v>8.3562199999999993E-3</v>
      </c>
      <c r="AO196" s="32">
        <f>_xll.BDP(AX196,"PR064")/100</f>
        <v>0.13664519999999999</v>
      </c>
      <c r="AP196" s="32">
        <f>_xll.BDP(AX196,"CHG_PCT_6M")/100</f>
        <v>0.11000500000000001</v>
      </c>
      <c r="AQ196" s="25">
        <f>_xll.BDP(AX196,"PR079")/100</f>
        <v>0.17641559999999998</v>
      </c>
      <c r="AR196" s="33">
        <f>_xll.BDP(AX196,"hs001")</f>
        <v>98.62</v>
      </c>
      <c r="AS196" s="33">
        <f>_xll.BDP(AX196,"hs002")</f>
        <v>72.819999999999993</v>
      </c>
      <c r="AT196" s="22" t="str" cm="1">
        <f t="array" ref="AT196">IF(OR(_xll.BDP($AX196,"DX202")= "#N/A N/A", _xll.BDP($AX196,"DX202")="#N/A FIELD NOT APPLICABLE"), " ", _xll.BDP($AX196,"DX202"))</f>
        <v>Consumer Staples</v>
      </c>
      <c r="AU196" s="22" t="str" cm="1">
        <f t="array" ref="AU196">IF(OR(_xll.BDP($AX196,"DY997")= "#N/A N/A", _xll.BDP($AX196,"DY997")="#N/A FIELD NOT APPLICABLE"), " ", _xll.BDP($AX196,"DY997"))</f>
        <v>N</v>
      </c>
      <c r="AV196" s="22" t="str" cm="1">
        <f t="array" ref="AV196">IF(OR(_xll.BDP($AX196,"DY784")= "#N/A N/A", _xll.BDP($AX196,"DY784")="#N/A FIELD NOT APPLICABLE"), " ", _xll.BDP($AX196,"DY784"))</f>
        <v>Y</v>
      </c>
      <c r="AW196" s="22" t="str">
        <f>IF(OR(AU196="Y",AV196="Y"),"Y","N")</f>
        <v>Y</v>
      </c>
      <c r="AX196" s="22" t="str">
        <f>CONCATENATE(G196," ",$AX$2)</f>
        <v>NESN SW Equity</v>
      </c>
      <c r="BC196" s="17" t="str" cm="1">
        <f t="array" ref="BC196">_xll.BDP(AX196,"ID005")</f>
        <v>CH0038863350</v>
      </c>
      <c r="BD196" s="17">
        <f>VLOOKUP(BC196,'[2]Portefeuille 4380430'!$B$3:$G$38,6,0)</f>
        <v>0.7974</v>
      </c>
      <c r="BE196" s="18">
        <v>4</v>
      </c>
      <c r="BF196" s="19">
        <v>45567</v>
      </c>
      <c r="BG196" s="20"/>
    </row>
    <row r="197" spans="1:59" s="3" customFormat="1" ht="14.45" customHeight="1" x14ac:dyDescent="0.25">
      <c r="A197" s="49" t="s">
        <v>241</v>
      </c>
      <c r="B197" s="49" t="s">
        <v>251</v>
      </c>
      <c r="C197" s="49" t="s">
        <v>252</v>
      </c>
      <c r="D197" s="49" t="s">
        <v>240</v>
      </c>
      <c r="E197" s="22" t="str">
        <f>_xll.BDP(AX197,"SECURITY NAME")</f>
        <v>Nestle SA</v>
      </c>
      <c r="F197" s="22" t="str">
        <f>_xll.BDP(AX197,"CRNCY")</f>
        <v>CHF</v>
      </c>
      <c r="G197" s="23" t="s">
        <v>78</v>
      </c>
      <c r="H197" s="22" t="str" cm="1">
        <f t="array" ref="H197">IF(OR(_xll.BDP($AX197,"DX202")= "#N/A N/A", _xll.BDP($AX197,"DX202")="#N/A FIELD NOT APPLICABLE"), " ", _xll.BDP($AX197,"DX202"))</f>
        <v>Consumer Staples</v>
      </c>
      <c r="I197" s="24">
        <f>_xll.BDP(AX197,"CRNCY_ADJ_MKT_CAP", "EQY_FUND_CRNCY=USD")/1000</f>
        <v>275.44374579771403</v>
      </c>
      <c r="J197" s="25">
        <f>IFERROR(_xll.BDP(AX197, "DV013")/100,0)</f>
        <v>3.4623679785631557E-2</v>
      </c>
      <c r="K197" s="26" cm="1">
        <f t="array" ref="K197">IF(OR(_xll.BDP($AX197,"RR900")= "#N/A N/A", _xll.BDP($AX197,"RR900")="#N/A FIELD NOT APPLICABLE"), " ", _xll.BDP($AX197,"RR900"))</f>
        <v>21.030646477632914</v>
      </c>
      <c r="L197" s="26" cm="1">
        <f t="array" ref="L197">IF(OR(_xll.BDP($AX197,"EE010")= "#N/A N/A", _xll.BDP($AX197,"EE010")="#N/A FIELD NOT APPLICABLE"), " ", _xll.BDP($AX197,"EE010"))</f>
        <v>18.750532141336738</v>
      </c>
      <c r="M197" s="26" cm="1">
        <f t="array" ref="M197">IF(OR(_xll.BDP($AX197,"RR903")= "#N/A N/A", _xll.BDP($AX197,"RR903")="#N/A FIELD NOT APPLICABLE"), " ", _xll.BDP($AX197,"RR903"))</f>
        <v>6.3098381926092424</v>
      </c>
      <c r="N197" s="26" cm="1">
        <f t="array" ref="N197">IF(OR(_xll.BDP($AX197,"RR957")= "#N/A N/A", _xll.BDP($AX197,"RR957")="#N/A FIELD NOT APPLICABLE"), " ", _xll.BDP($AX197,"RR957"))</f>
        <v>15.438197683819512</v>
      </c>
      <c r="O197" s="27">
        <v>1350</v>
      </c>
      <c r="P197" s="28">
        <v>82.896299999999997</v>
      </c>
      <c r="Q197" s="22" cm="1">
        <f t="array" ref="Q197">IF(OR(_xll.BDP($AX197,"PX_last")="#N/A N/A",_xll.BDP($AX197,"PX_Last")="#N/A FIELD NOT APPLICABLE")," ",IF(F197="GBP",(_xll.BDP($AX197,"PX_LAST")/100),(_xll.BDP($AX197,"PX_LAST"))))</f>
        <v>88.09</v>
      </c>
      <c r="R197" s="29">
        <f>IF(F197="USD",AA197,(((_xll.BDP(F197&amp;"USD CURNCY","PX_LAST")))*AA197))</f>
        <v>135813.98206799998</v>
      </c>
      <c r="S197" s="29">
        <f>IF(F197="USD",AB197,(((_xll.BDP(F197&amp;"USD CURNCY","PX_LAST")))*AB197))</f>
        <v>144323.1324</v>
      </c>
      <c r="T197" s="12">
        <f>S197-R197</f>
        <v>8509.1503320000193</v>
      </c>
      <c r="U197" s="13">
        <f>T197/R197</f>
        <v>6.2652977274016003E-2</v>
      </c>
      <c r="V197" s="13" cm="1">
        <f t="array" ref="V197">IFERROR(_xll.BDP($G197&amp;" Equity","CHG_PCT_1D")/100,"")</f>
        <v>8.5871309999999996E-3</v>
      </c>
      <c r="W197" s="13" cm="1">
        <f t="array" ref="W197">IFERROR(_xll.BDP($G197&amp;" Equity","CHG_PCT_5D")/100,"")</f>
        <v>1.5446690000000001E-2</v>
      </c>
      <c r="X197" s="13" t="e">
        <f>S197/#REF!</f>
        <v>#REF!</v>
      </c>
      <c r="Y197" s="24">
        <f>IFERROR(S197*J197,0)</f>
        <v>4996.9979218769067</v>
      </c>
      <c r="Z197" s="24">
        <f>S197</f>
        <v>144323.1324</v>
      </c>
      <c r="AA197" s="29">
        <f>P197*O197</f>
        <v>111910.00499999999</v>
      </c>
      <c r="AB197" s="29">
        <f>IFERROR(O197*Q197,0)</f>
        <v>118921.5</v>
      </c>
      <c r="AC197" s="4" t="e" cm="1">
        <f t="array" ref="AC197">VLOOKUP(IF(NOT(_xll.BDP(AX197,$BW$8)="#N/A N/A"),(_xll.BDP(AX197,$BW$8)),"-"), '[1]Country Codes'!$A$2:$B$253,2,0)</f>
        <v>#N/A</v>
      </c>
      <c r="AD197" s="30" t="str" cm="1">
        <f t="array" ref="AD197">IF(OR(_xll.BDP($AX197,"EX028")= "#N/A N/A", _xll.BDP($AX197,"EX028")="#N/A FIELD NOT APPLICABLE"), " ", _xll.BDP($AX197,"EX028"))</f>
        <v>Equity</v>
      </c>
      <c r="AE197" s="31" t="str">
        <f>IF(("AS97"="Equity"), " ", "Single Line Equity")</f>
        <v>Single Line Equity</v>
      </c>
      <c r="AF197" s="26" cm="1">
        <f t="array" ref="AF197">IF(OR(_xll.BDP($AX197,"RR908")= "#N/A N/A", _xll.BDP($AX197,"RR908")="#N/A FIELD NOT APPLICABLE"), " ", _xll.BDP($AX197,"RR908"))</f>
        <v>13.702442350775867</v>
      </c>
      <c r="AG197" s="26" cm="1">
        <f t="array" ref="AG197">IF(OR(_xll.BDP($AX197,"RR041")= "#N/A N/A", _xll.BDP($AX197,"RR041")="#N/A FIELD NOT APPLICABLE"), " ", _xll.BDP($AX197,"RR041"))</f>
        <v>45.051843979779413</v>
      </c>
      <c r="AH197" s="22">
        <f>_xll.BDP(AX197,"TOT_BUY_REC")</f>
        <v>12</v>
      </c>
      <c r="AI197" s="22">
        <f>_xll.BDP(AX197,"TOT_HOLD_REC")</f>
        <v>12</v>
      </c>
      <c r="AJ197" s="22">
        <f>_xll.BDP(AX197,"TOT_SELL_REC")</f>
        <v>2</v>
      </c>
      <c r="AK197" s="26" cm="1">
        <f t="array" ref="AK197">IF(OR(_xll.BDP($AX197,"EE201")= "#N/A N/A", _xll.BDP($AX197,"EE201")="#N/A FIELD NOT APPLICABLE"), " ", _xll.BDP($AX197,"EE201"))</f>
        <v>3.730769157409668</v>
      </c>
      <c r="AL197" s="24">
        <f>_xll.BDP(AX197,"BEST_TARGET_PRICE")</f>
        <v>89.400001525878906</v>
      </c>
      <c r="AM197" s="32">
        <f>(AL197/Q197)-1</f>
        <v>1.487117182289599E-2</v>
      </c>
      <c r="AN197" s="32">
        <f>_xll.BDP(AX197,"PR061")/100</f>
        <v>8.3562199999999993E-3</v>
      </c>
      <c r="AO197" s="32">
        <f>_xll.BDP(AX197,"PR064")/100</f>
        <v>0.13664519999999999</v>
      </c>
      <c r="AP197" s="32">
        <f>_xll.BDP(AX197,"CHG_PCT_6M")/100</f>
        <v>0.11000500000000001</v>
      </c>
      <c r="AQ197" s="25">
        <f>_xll.BDP(AX197,"PR079")/100</f>
        <v>0.17641559999999998</v>
      </c>
      <c r="AR197" s="33">
        <f>_xll.BDP(AX197,"hs001")</f>
        <v>98.62</v>
      </c>
      <c r="AS197" s="33">
        <f>_xll.BDP(AX197,"hs002")</f>
        <v>72.819999999999993</v>
      </c>
      <c r="AT197" s="22" t="str" cm="1">
        <f t="array" ref="AT197">IF(OR(_xll.BDP($AX197,"DX202")= "#N/A N/A", _xll.BDP($AX197,"DX202")="#N/A FIELD NOT APPLICABLE"), " ", _xll.BDP($AX197,"DX202"))</f>
        <v>Consumer Staples</v>
      </c>
      <c r="AU197" s="22" t="str" cm="1">
        <f t="array" ref="AU197">IF(OR(_xll.BDP($AX197,"DY997")= "#N/A N/A", _xll.BDP($AX197,"DY997")="#N/A FIELD NOT APPLICABLE"), " ", _xll.BDP($AX197,"DY997"))</f>
        <v>N</v>
      </c>
      <c r="AV197" s="22" t="str" cm="1">
        <f t="array" ref="AV197">IF(OR(_xll.BDP($AX197,"DY784")= "#N/A N/A", _xll.BDP($AX197,"DY784")="#N/A FIELD NOT APPLICABLE"), " ", _xll.BDP($AX197,"DY784"))</f>
        <v>Y</v>
      </c>
      <c r="AW197" s="22" t="str">
        <f>IF(OR(AU197="Y",AV197="Y"),"Y","N")</f>
        <v>Y</v>
      </c>
      <c r="AX197" s="22" t="str">
        <f>CONCATENATE(G197," ",$AX$2)</f>
        <v>NESN SW Equity</v>
      </c>
      <c r="BC197" s="17" t="str" cm="1">
        <f t="array" ref="BC197">_xll.BDP(AX197,"ID005")</f>
        <v>CH0038863350</v>
      </c>
      <c r="BD197" s="17">
        <f>VLOOKUP(BC197,'[2]Portefeuille 4380430'!$B$3:$G$38,6,0)</f>
        <v>0.7974</v>
      </c>
      <c r="BE197" s="18">
        <v>4</v>
      </c>
      <c r="BF197" s="19">
        <v>45567</v>
      </c>
      <c r="BG197" s="20"/>
    </row>
    <row r="198" spans="1:59" s="3" customFormat="1" ht="14.45" customHeight="1" x14ac:dyDescent="0.25">
      <c r="A198" s="49" t="s">
        <v>242</v>
      </c>
      <c r="B198" s="49" t="s">
        <v>332</v>
      </c>
      <c r="C198" s="72" t="s">
        <v>333</v>
      </c>
      <c r="D198" s="49" t="s">
        <v>248</v>
      </c>
      <c r="E198" s="22" t="str">
        <f>_xll.BDP(AX198,"SECURITY NAME")</f>
        <v>Nestle SA</v>
      </c>
      <c r="F198" s="22" t="str">
        <f>_xll.BDP(AX198,"CRNCY")</f>
        <v>CHF</v>
      </c>
      <c r="G198" s="23" t="s">
        <v>78</v>
      </c>
      <c r="H198" s="22" t="str" cm="1">
        <f t="array" ref="H198">IF(OR(_xll.BDP($AX198,"DX202")= "#N/A N/A", _xll.BDP($AX198,"DX202")="#N/A FIELD NOT APPLICABLE"), " ", _xll.BDP($AX198,"DX202"))</f>
        <v>Consumer Staples</v>
      </c>
      <c r="I198" s="24">
        <f>_xll.BDP(AX198,"CRNCY_ADJ_MKT_CAP", "EQY_FUND_CRNCY=USD")/1000</f>
        <v>275.44374579771403</v>
      </c>
      <c r="J198" s="25">
        <f>IFERROR(_xll.BDP(AX198, "DV013")/100,0)</f>
        <v>3.4623679785631557E-2</v>
      </c>
      <c r="K198" s="26" cm="1">
        <f t="array" ref="K198">IF(OR(_xll.BDP($AX198,"RR900")= "#N/A N/A", _xll.BDP($AX198,"RR900")="#N/A FIELD NOT APPLICABLE"), " ", _xll.BDP($AX198,"RR900"))</f>
        <v>21.030646477632914</v>
      </c>
      <c r="L198" s="26" cm="1">
        <f t="array" ref="L198">IF(OR(_xll.BDP($AX198,"EE010")= "#N/A N/A", _xll.BDP($AX198,"EE010")="#N/A FIELD NOT APPLICABLE"), " ", _xll.BDP($AX198,"EE010"))</f>
        <v>18.750532141336738</v>
      </c>
      <c r="M198" s="26" cm="1">
        <f t="array" ref="M198">IF(OR(_xll.BDP($AX198,"RR903")= "#N/A N/A", _xll.BDP($AX198,"RR903")="#N/A FIELD NOT APPLICABLE"), " ", _xll.BDP($AX198,"RR903"))</f>
        <v>6.3098381926092424</v>
      </c>
      <c r="N198" s="26" cm="1">
        <f t="array" ref="N198">IF(OR(_xll.BDP($AX198,"RR957")= "#N/A N/A", _xll.BDP($AX198,"RR957")="#N/A FIELD NOT APPLICABLE"), " ", _xll.BDP($AX198,"RR957"))</f>
        <v>15.438197683819512</v>
      </c>
      <c r="O198" s="27">
        <v>380</v>
      </c>
      <c r="P198" s="28">
        <v>89.78</v>
      </c>
      <c r="Q198" s="22" cm="1">
        <f t="array" ref="Q198">IF(OR(_xll.BDP($AX198,"PX_last")="#N/A N/A",_xll.BDP($AX198,"PX_Last")="#N/A FIELD NOT APPLICABLE")," ",IF(F198="GBP",(_xll.BDP($AX198,"PX_LAST")/100),(_xll.BDP($AX198,"PX_LAST"))))</f>
        <v>88.09</v>
      </c>
      <c r="R198" s="29">
        <f>IF(F198="USD",AA198,(((_xll.BDP(F198&amp;"USD CURNCY","PX_LAST")))*AA198))</f>
        <v>41403.663039999999</v>
      </c>
      <c r="S198" s="29">
        <f>IF(F198="USD",AB198,(((_xll.BDP(F198&amp;"USD CURNCY","PX_LAST")))*AB198))</f>
        <v>40624.289120000009</v>
      </c>
      <c r="T198" s="12">
        <f>S198-R198</f>
        <v>-779.3739199999909</v>
      </c>
      <c r="U198" s="13">
        <f>T198/R198</f>
        <v>-1.8823791490309428E-2</v>
      </c>
      <c r="V198" s="13" cm="1">
        <f t="array" ref="V198">IFERROR(_xll.BDP($G198&amp;" Equity","CHG_PCT_1D")/100,"")</f>
        <v>8.5871309999999996E-3</v>
      </c>
      <c r="W198" s="13" cm="1">
        <f t="array" ref="W198">IFERROR(_xll.BDP($G198&amp;" Equity","CHG_PCT_5D")/100,"")</f>
        <v>1.5446690000000001E-2</v>
      </c>
      <c r="X198" s="13" t="e">
        <f>S198/#REF!</f>
        <v>#REF!</v>
      </c>
      <c r="Y198" s="24">
        <f>IFERROR(S198*J198,0)</f>
        <v>1406.5623780097962</v>
      </c>
      <c r="Z198" s="24">
        <f>S198</f>
        <v>40624.289120000009</v>
      </c>
      <c r="AA198" s="29">
        <f>P198*O198</f>
        <v>34116.400000000001</v>
      </c>
      <c r="AB198" s="29">
        <f>IFERROR(O198*Q198,0)</f>
        <v>33474.200000000004</v>
      </c>
      <c r="AC198" s="4" t="e" cm="1">
        <f t="array" ref="AC198">VLOOKUP(IF(NOT(_xll.BDP(AX198,$BW$8)="#N/A N/A"),(_xll.BDP(AX198,$BW$8)),"-"), '[1]Country Codes'!$A$2:$B$253,2,0)</f>
        <v>#N/A</v>
      </c>
      <c r="AD198" s="30" t="str" cm="1">
        <f t="array" ref="AD198">IF(OR(_xll.BDP($AX198,"EX028")= "#N/A N/A", _xll.BDP($AX198,"EX028")="#N/A FIELD NOT APPLICABLE"), " ", _xll.BDP($AX198,"EX028"))</f>
        <v>Equity</v>
      </c>
      <c r="AE198" s="31" t="str">
        <f>IF(("AS97"="Equity"), " ", "Single Line Equity")</f>
        <v>Single Line Equity</v>
      </c>
      <c r="AF198" s="26" cm="1">
        <f t="array" ref="AF198">IF(OR(_xll.BDP($AX198,"RR908")= "#N/A N/A", _xll.BDP($AX198,"RR908")="#N/A FIELD NOT APPLICABLE"), " ", _xll.BDP($AX198,"RR908"))</f>
        <v>13.702442350775867</v>
      </c>
      <c r="AG198" s="26" cm="1">
        <f t="array" ref="AG198">IF(OR(_xll.BDP($AX198,"RR041")= "#N/A N/A", _xll.BDP($AX198,"RR041")="#N/A FIELD NOT APPLICABLE"), " ", _xll.BDP($AX198,"RR041"))</f>
        <v>45.051843979779413</v>
      </c>
      <c r="AH198" s="22">
        <f>_xll.BDP(AX198,"TOT_BUY_REC")</f>
        <v>12</v>
      </c>
      <c r="AI198" s="22">
        <f>_xll.BDP(AX198,"TOT_HOLD_REC")</f>
        <v>12</v>
      </c>
      <c r="AJ198" s="22">
        <f>_xll.BDP(AX198,"TOT_SELL_REC")</f>
        <v>2</v>
      </c>
      <c r="AK198" s="26" cm="1">
        <f t="array" ref="AK198">IF(OR(_xll.BDP($AX198,"EE201")= "#N/A N/A", _xll.BDP($AX198,"EE201")="#N/A FIELD NOT APPLICABLE"), " ", _xll.BDP($AX198,"EE201"))</f>
        <v>3.730769157409668</v>
      </c>
      <c r="AL198" s="24">
        <f>_xll.BDP(AX198,"BEST_TARGET_PRICE")</f>
        <v>89.400001525878906</v>
      </c>
      <c r="AM198" s="32">
        <f>(AL198/Q198)-1</f>
        <v>1.487117182289599E-2</v>
      </c>
      <c r="AN198" s="32">
        <f>_xll.BDP(AX198,"PR061")/100</f>
        <v>8.3562199999999993E-3</v>
      </c>
      <c r="AO198" s="32">
        <f>_xll.BDP(AX198,"PR064")/100</f>
        <v>0.13664519999999999</v>
      </c>
      <c r="AP198" s="32">
        <f>_xll.BDP(AX198,"CHG_PCT_6M")/100</f>
        <v>0.11000500000000001</v>
      </c>
      <c r="AQ198" s="25">
        <f>_xll.BDP(AX198,"PR079")/100</f>
        <v>0.17641559999999998</v>
      </c>
      <c r="AR198" s="33">
        <f>_xll.BDP(AX198,"hs001")</f>
        <v>98.62</v>
      </c>
      <c r="AS198" s="33">
        <f>_xll.BDP(AX198,"hs002")</f>
        <v>72.819999999999993</v>
      </c>
      <c r="AT198" s="22" t="str" cm="1">
        <f t="array" ref="AT198">IF(OR(_xll.BDP($AX198,"DX202")= "#N/A N/A", _xll.BDP($AX198,"DX202")="#N/A FIELD NOT APPLICABLE"), " ", _xll.BDP($AX198,"DX202"))</f>
        <v>Consumer Staples</v>
      </c>
      <c r="AU198" s="22" t="str" cm="1">
        <f t="array" ref="AU198">IF(OR(_xll.BDP($AX198,"DY997")= "#N/A N/A", _xll.BDP($AX198,"DY997")="#N/A FIELD NOT APPLICABLE"), " ", _xll.BDP($AX198,"DY997"))</f>
        <v>N</v>
      </c>
      <c r="AV198" s="22" t="str" cm="1">
        <f t="array" ref="AV198">IF(OR(_xll.BDP($AX198,"DY784")= "#N/A N/A", _xll.BDP($AX198,"DY784")="#N/A FIELD NOT APPLICABLE"), " ", _xll.BDP($AX198,"DY784"))</f>
        <v>Y</v>
      </c>
      <c r="AW198" s="22" t="str">
        <f>IF(OR(AU198="Y",AV198="Y"),"Y","N")</f>
        <v>Y</v>
      </c>
      <c r="AX198" s="22" t="str">
        <f>CONCATENATE(G198," ",$AX$2)</f>
        <v>NESN SW Equity</v>
      </c>
      <c r="BC198" s="17" t="str" cm="1">
        <f t="array" ref="BC198">_xll.BDP(AX198,"ID005")</f>
        <v>CH0038863350</v>
      </c>
      <c r="BD198" s="17">
        <f>VLOOKUP(BC198,'[2]Portefeuille 4380430'!$B$3:$G$38,6,0)</f>
        <v>0.7974</v>
      </c>
      <c r="BE198" s="18">
        <v>4</v>
      </c>
      <c r="BF198" s="19">
        <v>45567</v>
      </c>
      <c r="BG198" s="20"/>
    </row>
    <row r="199" spans="1:59" s="3" customFormat="1" ht="14.45" customHeight="1" x14ac:dyDescent="0.25">
      <c r="A199" s="49" t="s">
        <v>242</v>
      </c>
      <c r="B199" s="49" t="s">
        <v>260</v>
      </c>
      <c r="C199" s="49" t="s">
        <v>261</v>
      </c>
      <c r="D199" s="49" t="s">
        <v>248</v>
      </c>
      <c r="E199" s="22" t="str">
        <f>_xll.BDP(AX199,"SECURITY NAME")</f>
        <v>Nestle SA</v>
      </c>
      <c r="F199" s="22" t="str">
        <f>_xll.BDP(AX199,"CRNCY")</f>
        <v>CHF</v>
      </c>
      <c r="G199" s="73" t="s">
        <v>78</v>
      </c>
      <c r="H199" s="22" t="str" cm="1">
        <f t="array" ref="H199">IF(OR(_xll.BDP($AX199,"DX202")= "#N/A N/A", _xll.BDP($AX199,"DX202")="#N/A FIELD NOT APPLICABLE"), " ", _xll.BDP($AX199,"DX202"))</f>
        <v>Consumer Staples</v>
      </c>
      <c r="I199" s="24">
        <f>_xll.BDP(AX199,"CRNCY_ADJ_MKT_CAP", "EQY_FUND_CRNCY=USD")/1000</f>
        <v>275.44374579771403</v>
      </c>
      <c r="J199" s="25">
        <f>IFERROR(_xll.BDP(AX199, "DV013")/100,0)</f>
        <v>3.4623679785631557E-2</v>
      </c>
      <c r="K199" s="26" cm="1">
        <f t="array" ref="K199">IF(OR(_xll.BDP($AX199,"RR900")= "#N/A N/A", _xll.BDP($AX199,"RR900")="#N/A FIELD NOT APPLICABLE"), " ", _xll.BDP($AX199,"RR900"))</f>
        <v>21.030646477632914</v>
      </c>
      <c r="L199" s="26" cm="1">
        <f t="array" ref="L199">IF(OR(_xll.BDP($AX199,"EE010")= "#N/A N/A", _xll.BDP($AX199,"EE010")="#N/A FIELD NOT APPLICABLE"), " ", _xll.BDP($AX199,"EE010"))</f>
        <v>18.750532141336738</v>
      </c>
      <c r="M199" s="26" cm="1">
        <f t="array" ref="M199">IF(OR(_xll.BDP($AX199,"RR903")= "#N/A N/A", _xll.BDP($AX199,"RR903")="#N/A FIELD NOT APPLICABLE"), " ", _xll.BDP($AX199,"RR903"))</f>
        <v>6.3098381926092424</v>
      </c>
      <c r="N199" s="26" cm="1">
        <f t="array" ref="N199">IF(OR(_xll.BDP($AX199,"RR957")= "#N/A N/A", _xll.BDP($AX199,"RR957")="#N/A FIELD NOT APPLICABLE"), " ", _xll.BDP($AX199,"RR957"))</f>
        <v>15.438197683819512</v>
      </c>
      <c r="O199" s="74">
        <v>485</v>
      </c>
      <c r="P199" s="75">
        <v>79.78</v>
      </c>
      <c r="Q199" s="22" cm="1">
        <f t="array" ref="Q199">IF(OR(_xll.BDP($AX199,"PX_last")="#N/A N/A",_xll.BDP($AX199,"PX_Last")="#N/A FIELD NOT APPLICABLE")," ",IF(F199="GBP",(_xll.BDP($AX199,"PX_LAST")/100),(_xll.BDP($AX199,"PX_LAST"))))</f>
        <v>88.09</v>
      </c>
      <c r="R199" s="29">
        <f>IF(F199="USD",AA199,(((_xll.BDP(F199&amp;"USD CURNCY","PX_LAST")))*AA199))</f>
        <v>46958.188880000002</v>
      </c>
      <c r="S199" s="29">
        <f>IF(F199="USD",AB199,(((_xll.BDP(F199&amp;"USD CURNCY","PX_LAST")))*AB199))</f>
        <v>51849.42164</v>
      </c>
      <c r="T199" s="12">
        <f>S199-R199</f>
        <v>4891.232759999999</v>
      </c>
      <c r="U199" s="13">
        <f>T199/R199</f>
        <v>0.10416144397092</v>
      </c>
      <c r="V199" s="13" cm="1">
        <f t="array" ref="V199">IFERROR(_xll.BDP($G199&amp;" Equity","CHG_PCT_1D")/100,"")</f>
        <v>8.5871309999999996E-3</v>
      </c>
      <c r="W199" s="13" cm="1">
        <f t="array" ref="W199">IFERROR(_xll.BDP($G199&amp;" Equity","CHG_PCT_5D")/100,"")</f>
        <v>1.5446690000000001E-2</v>
      </c>
      <c r="X199" s="13" t="e">
        <f>S199/#REF!</f>
        <v>#REF!</v>
      </c>
      <c r="Y199" s="24">
        <f>IFERROR(S199*J199,0)</f>
        <v>1795.2177719335555</v>
      </c>
      <c r="Z199" s="24">
        <f>S199</f>
        <v>51849.42164</v>
      </c>
      <c r="AA199" s="29">
        <f>P199*O199</f>
        <v>38693.300000000003</v>
      </c>
      <c r="AB199" s="29">
        <f>IFERROR(O199*Q199,0)</f>
        <v>42723.65</v>
      </c>
      <c r="AC199" s="4" t="e" cm="1">
        <f t="array" ref="AC199">VLOOKUP(IF(NOT(_xll.BDP(AX199,$BW$8)="#N/A N/A"),(_xll.BDP(AX199,$BW$8)),"-"), '[1]Country Codes'!$A$2:$B$253,2,0)</f>
        <v>#N/A</v>
      </c>
      <c r="AD199" s="30" t="str" cm="1">
        <f t="array" ref="AD199">IF(OR(_xll.BDP($AX199,"EX028")= "#N/A N/A", _xll.BDP($AX199,"EX028")="#N/A FIELD NOT APPLICABLE"), " ", _xll.BDP($AX199,"EX028"))</f>
        <v>Equity</v>
      </c>
      <c r="AE199" s="31" t="str">
        <f>IF(("AS97"="Equity"), " ", "Single Line Equity")</f>
        <v>Single Line Equity</v>
      </c>
      <c r="AF199" s="26" cm="1">
        <f t="array" ref="AF199">IF(OR(_xll.BDP($AX199,"RR908")= "#N/A N/A", _xll.BDP($AX199,"RR908")="#N/A FIELD NOT APPLICABLE"), " ", _xll.BDP($AX199,"RR908"))</f>
        <v>13.702442350775867</v>
      </c>
      <c r="AG199" s="26" cm="1">
        <f t="array" ref="AG199">IF(OR(_xll.BDP($AX199,"RR041")= "#N/A N/A", _xll.BDP($AX199,"RR041")="#N/A FIELD NOT APPLICABLE"), " ", _xll.BDP($AX199,"RR041"))</f>
        <v>45.051843979779413</v>
      </c>
      <c r="AH199" s="22">
        <f>_xll.BDP(AX199,"TOT_BUY_REC")</f>
        <v>12</v>
      </c>
      <c r="AI199" s="22">
        <f>_xll.BDP(AX199,"TOT_HOLD_REC")</f>
        <v>12</v>
      </c>
      <c r="AJ199" s="22">
        <f>_xll.BDP(AX199,"TOT_SELL_REC")</f>
        <v>2</v>
      </c>
      <c r="AK199" s="26" cm="1">
        <f t="array" ref="AK199">IF(OR(_xll.BDP($AX199,"EE201")= "#N/A N/A", _xll.BDP($AX199,"EE201")="#N/A FIELD NOT APPLICABLE"), " ", _xll.BDP($AX199,"EE201"))</f>
        <v>3.730769157409668</v>
      </c>
      <c r="AL199" s="24">
        <f>_xll.BDP(AX199,"BEST_TARGET_PRICE")</f>
        <v>89.400001525878906</v>
      </c>
      <c r="AM199" s="32">
        <f>(AL199/Q199)-1</f>
        <v>1.487117182289599E-2</v>
      </c>
      <c r="AN199" s="32">
        <f>_xll.BDP(AX199,"PR061")/100</f>
        <v>8.3562199999999993E-3</v>
      </c>
      <c r="AO199" s="32">
        <f>_xll.BDP(AX199,"PR064")/100</f>
        <v>0.13664519999999999</v>
      </c>
      <c r="AP199" s="32">
        <f>_xll.BDP(AX199,"CHG_PCT_6M")/100</f>
        <v>0.11000500000000001</v>
      </c>
      <c r="AQ199" s="25">
        <f>_xll.BDP(AX199,"PR079")/100</f>
        <v>0.17641559999999998</v>
      </c>
      <c r="AR199" s="33">
        <f>_xll.BDP(AX199,"hs001")</f>
        <v>98.62</v>
      </c>
      <c r="AS199" s="33">
        <f>_xll.BDP(AX199,"hs002")</f>
        <v>72.819999999999993</v>
      </c>
      <c r="AT199" s="22" t="str" cm="1">
        <f t="array" ref="AT199">IF(OR(_xll.BDP($AX199,"DX202")= "#N/A N/A", _xll.BDP($AX199,"DX202")="#N/A FIELD NOT APPLICABLE"), " ", _xll.BDP($AX199,"DX202"))</f>
        <v>Consumer Staples</v>
      </c>
      <c r="AU199" s="22" t="str" cm="1">
        <f t="array" ref="AU199">IF(OR(_xll.BDP($AX199,"DY997")= "#N/A N/A", _xll.BDP($AX199,"DY997")="#N/A FIELD NOT APPLICABLE"), " ", _xll.BDP($AX199,"DY997"))</f>
        <v>N</v>
      </c>
      <c r="AV199" s="22" t="str" cm="1">
        <f t="array" ref="AV199">IF(OR(_xll.BDP($AX199,"DY784")= "#N/A N/A", _xll.BDP($AX199,"DY784")="#N/A FIELD NOT APPLICABLE"), " ", _xll.BDP($AX199,"DY784"))</f>
        <v>Y</v>
      </c>
      <c r="AW199" s="22" t="str">
        <f>IF(OR(AU199="Y",AV199="Y"),"Y","N")</f>
        <v>Y</v>
      </c>
      <c r="AX199" s="22" t="str">
        <f>CONCATENATE(G199," ",$AX$2)</f>
        <v>NESN SW Equity</v>
      </c>
      <c r="BC199" s="17" t="str" cm="1">
        <f t="array" ref="BC199">_xll.BDP(AX199,"ID005")</f>
        <v>CH0038863350</v>
      </c>
      <c r="BD199" s="17">
        <f>VLOOKUP(BC199,'[2]Portefeuille 4380430'!$B$3:$G$38,6,0)</f>
        <v>0.7974</v>
      </c>
      <c r="BE199" s="18">
        <v>4</v>
      </c>
      <c r="BF199" s="19">
        <v>45567</v>
      </c>
      <c r="BG199" s="20"/>
    </row>
    <row r="200" spans="1:59" s="3" customFormat="1" ht="14.45" customHeight="1" x14ac:dyDescent="0.25">
      <c r="A200" s="49" t="s">
        <v>241</v>
      </c>
      <c r="B200" s="49" t="s">
        <v>262</v>
      </c>
      <c r="C200" s="49" t="s">
        <v>263</v>
      </c>
      <c r="D200" s="49" t="s">
        <v>240</v>
      </c>
      <c r="E200" s="22" t="str">
        <f>_xll.BDP(AX200,"SECURITY NAME")</f>
        <v>Nestle SA</v>
      </c>
      <c r="F200" s="22" t="str">
        <f>_xll.BDP(AX200,"CRNCY")</f>
        <v>CHF</v>
      </c>
      <c r="G200" s="23" t="s">
        <v>78</v>
      </c>
      <c r="H200" s="22" t="str" cm="1">
        <f t="array" ref="H200">IF(OR(_xll.BDP($AX200,"DX202")= "#N/A N/A", _xll.BDP($AX200,"DX202")="#N/A FIELD NOT APPLICABLE"), " ", _xll.BDP($AX200,"DX202"))</f>
        <v>Consumer Staples</v>
      </c>
      <c r="I200" s="24">
        <f>_xll.BDP(AX200,"CRNCY_ADJ_MKT_CAP", "EQY_FUND_CRNCY=USD")/1000</f>
        <v>275.44374579771403</v>
      </c>
      <c r="J200" s="25">
        <f>IFERROR(_xll.BDP(AX200, "DV013")/100,0)</f>
        <v>3.4623679785631557E-2</v>
      </c>
      <c r="K200" s="26" cm="1">
        <f t="array" ref="K200">IF(OR(_xll.BDP($AX200,"RR900")= "#N/A N/A", _xll.BDP($AX200,"RR900")="#N/A FIELD NOT APPLICABLE"), " ", _xll.BDP($AX200,"RR900"))</f>
        <v>21.030646477632914</v>
      </c>
      <c r="L200" s="26" cm="1">
        <f t="array" ref="L200">IF(OR(_xll.BDP($AX200,"EE010")= "#N/A N/A", _xll.BDP($AX200,"EE010")="#N/A FIELD NOT APPLICABLE"), " ", _xll.BDP($AX200,"EE010"))</f>
        <v>18.750532141336738</v>
      </c>
      <c r="M200" s="26" cm="1">
        <f t="array" ref="M200">IF(OR(_xll.BDP($AX200,"RR903")= "#N/A N/A", _xll.BDP($AX200,"RR903")="#N/A FIELD NOT APPLICABLE"), " ", _xll.BDP($AX200,"RR903"))</f>
        <v>6.3098381926092424</v>
      </c>
      <c r="N200" s="26" cm="1">
        <f t="array" ref="N200">IF(OR(_xll.BDP($AX200,"RR957")= "#N/A N/A", _xll.BDP($AX200,"RR957")="#N/A FIELD NOT APPLICABLE"), " ", _xll.BDP($AX200,"RR957"))</f>
        <v>15.438197683819512</v>
      </c>
      <c r="O200" s="27">
        <v>475</v>
      </c>
      <c r="P200" s="28">
        <v>89.3</v>
      </c>
      <c r="Q200" s="22" cm="1">
        <f t="array" ref="Q200">IF(OR(_xll.BDP($AX200,"PX_last")="#N/A N/A",_xll.BDP($AX200,"PX_Last")="#N/A FIELD NOT APPLICABLE")," ",IF(F200="GBP",(_xll.BDP($AX200,"PX_LAST")/100),(_xll.BDP($AX200,"PX_LAST"))))</f>
        <v>88.09</v>
      </c>
      <c r="R200" s="29">
        <f>IF(F200="USD",AA200,(((_xll.BDP(F200&amp;"USD CURNCY","PX_LAST")))*AA200))</f>
        <v>51477.877999999997</v>
      </c>
      <c r="S200" s="29">
        <f>IF(F200="USD",AB200,(((_xll.BDP(F200&amp;"USD CURNCY","PX_LAST")))*AB200))</f>
        <v>50780.361400000002</v>
      </c>
      <c r="T200" s="12">
        <f>S200-R200</f>
        <v>-697.51659999999538</v>
      </c>
      <c r="U200" s="13">
        <f>T200/R200</f>
        <v>-1.3549832026875611E-2</v>
      </c>
      <c r="V200" s="13" cm="1">
        <f t="array" ref="V200">IFERROR(_xll.BDP($G200&amp;" Equity","CHG_PCT_1D")/100,"")</f>
        <v>8.5871309999999996E-3</v>
      </c>
      <c r="W200" s="13" cm="1">
        <f t="array" ref="W200">IFERROR(_xll.BDP($G200&amp;" Equity","CHG_PCT_5D")/100,"")</f>
        <v>1.5446690000000001E-2</v>
      </c>
      <c r="X200" s="13" t="e">
        <f>S200/#REF!</f>
        <v>#REF!</v>
      </c>
      <c r="Y200" s="24">
        <f>IFERROR(S200*J200,0)</f>
        <v>1758.202972512245</v>
      </c>
      <c r="Z200" s="24">
        <f>S200</f>
        <v>50780.361400000002</v>
      </c>
      <c r="AA200" s="29">
        <f>P200*O200</f>
        <v>42417.5</v>
      </c>
      <c r="AB200" s="29">
        <f>IFERROR(O200*Q200,0)</f>
        <v>41842.75</v>
      </c>
      <c r="AC200" s="4" t="e" cm="1">
        <f t="array" ref="AC200">VLOOKUP(IF(NOT(_xll.BDP(AX200,$BW$8)="#N/A N/A"),(_xll.BDP(AX200,$BW$8)),"-"), '[1]Country Codes'!$A$2:$B$253,2,0)</f>
        <v>#N/A</v>
      </c>
      <c r="AD200" s="30" t="str" cm="1">
        <f t="array" ref="AD200">IF(OR(_xll.BDP($AX200,"EX028")= "#N/A N/A", _xll.BDP($AX200,"EX028")="#N/A FIELD NOT APPLICABLE"), " ", _xll.BDP($AX200,"EX028"))</f>
        <v>Equity</v>
      </c>
      <c r="AE200" s="31" t="str">
        <f>IF(("AS97"="Equity"), " ", "Single Line Equity")</f>
        <v>Single Line Equity</v>
      </c>
      <c r="AF200" s="26" cm="1">
        <f t="array" ref="AF200">IF(OR(_xll.BDP($AX200,"RR908")= "#N/A N/A", _xll.BDP($AX200,"RR908")="#N/A FIELD NOT APPLICABLE"), " ", _xll.BDP($AX200,"RR908"))</f>
        <v>13.702442350775867</v>
      </c>
      <c r="AG200" s="26" cm="1">
        <f t="array" ref="AG200">IF(OR(_xll.BDP($AX200,"RR041")= "#N/A N/A", _xll.BDP($AX200,"RR041")="#N/A FIELD NOT APPLICABLE"), " ", _xll.BDP($AX200,"RR041"))</f>
        <v>45.051843979779413</v>
      </c>
      <c r="AH200" s="22">
        <f>_xll.BDP(AX200,"TOT_BUY_REC")</f>
        <v>12</v>
      </c>
      <c r="AI200" s="22">
        <f>_xll.BDP(AX200,"TOT_HOLD_REC")</f>
        <v>12</v>
      </c>
      <c r="AJ200" s="22">
        <f>_xll.BDP(AX200,"TOT_SELL_REC")</f>
        <v>2</v>
      </c>
      <c r="AK200" s="26" cm="1">
        <f t="array" ref="AK200">IF(OR(_xll.BDP($AX200,"EE201")= "#N/A N/A", _xll.BDP($AX200,"EE201")="#N/A FIELD NOT APPLICABLE"), " ", _xll.BDP($AX200,"EE201"))</f>
        <v>3.730769157409668</v>
      </c>
      <c r="AL200" s="24">
        <f>_xll.BDP(AX200,"BEST_TARGET_PRICE")</f>
        <v>89.400001525878906</v>
      </c>
      <c r="AM200" s="32">
        <f>(AL200/Q200)-1</f>
        <v>1.487117182289599E-2</v>
      </c>
      <c r="AN200" s="32">
        <f>_xll.BDP(AX200,"PR061")/100</f>
        <v>8.3562199999999993E-3</v>
      </c>
      <c r="AO200" s="32">
        <f>_xll.BDP(AX200,"PR064")/100</f>
        <v>0.13664519999999999</v>
      </c>
      <c r="AP200" s="32">
        <f>_xll.BDP(AX200,"CHG_PCT_6M")/100</f>
        <v>0.11000500000000001</v>
      </c>
      <c r="AQ200" s="25">
        <f>_xll.BDP(AX200,"PR079")/100</f>
        <v>0.17641559999999998</v>
      </c>
      <c r="AR200" s="33">
        <f>_xll.BDP(AX200,"hs001")</f>
        <v>98.62</v>
      </c>
      <c r="AS200" s="33">
        <f>_xll.BDP(AX200,"hs002")</f>
        <v>72.819999999999993</v>
      </c>
      <c r="AT200" s="22" t="str" cm="1">
        <f t="array" ref="AT200">IF(OR(_xll.BDP($AX200,"DX202")= "#N/A N/A", _xll.BDP($AX200,"DX202")="#N/A FIELD NOT APPLICABLE"), " ", _xll.BDP($AX200,"DX202"))</f>
        <v>Consumer Staples</v>
      </c>
      <c r="AU200" s="22" t="str" cm="1">
        <f t="array" ref="AU200">IF(OR(_xll.BDP($AX200,"DY997")= "#N/A N/A", _xll.BDP($AX200,"DY997")="#N/A FIELD NOT APPLICABLE"), " ", _xll.BDP($AX200,"DY997"))</f>
        <v>N</v>
      </c>
      <c r="AV200" s="22" t="str" cm="1">
        <f t="array" ref="AV200">IF(OR(_xll.BDP($AX200,"DY784")= "#N/A N/A", _xll.BDP($AX200,"DY784")="#N/A FIELD NOT APPLICABLE"), " ", _xll.BDP($AX200,"DY784"))</f>
        <v>Y</v>
      </c>
      <c r="AW200" s="22" t="str">
        <f>IF(OR(AU200="Y",AV200="Y"),"Y","N")</f>
        <v>Y</v>
      </c>
      <c r="AX200" s="22" t="str">
        <f>CONCATENATE(G200," ",$AX$2)</f>
        <v>NESN SW Equity</v>
      </c>
      <c r="BC200" s="17" t="str" cm="1">
        <f t="array" ref="BC200">_xll.BDP(AX200,"ID005")</f>
        <v>CH0038863350</v>
      </c>
      <c r="BD200" s="17">
        <f>VLOOKUP(BC200,'[2]Portefeuille 4380430'!$B$3:$G$38,6,0)</f>
        <v>0.7974</v>
      </c>
      <c r="BE200" s="18">
        <v>4</v>
      </c>
      <c r="BF200" s="19">
        <v>45567</v>
      </c>
      <c r="BG200" s="20"/>
    </row>
    <row r="201" spans="1:59" s="3" customFormat="1" ht="14.45" customHeight="1" x14ac:dyDescent="0.25">
      <c r="A201" s="49" t="s">
        <v>242</v>
      </c>
      <c r="B201" s="49" t="s">
        <v>264</v>
      </c>
      <c r="C201" s="49" t="s">
        <v>265</v>
      </c>
      <c r="D201" s="49" t="s">
        <v>248</v>
      </c>
      <c r="E201" s="22" t="str">
        <f>_xll.BDP(AX201,"SECURITY NAME")</f>
        <v>Nestle SA</v>
      </c>
      <c r="F201" s="22" t="str">
        <f>_xll.BDP(AX201,"CRNCY")</f>
        <v>CHF</v>
      </c>
      <c r="G201" s="23" t="s">
        <v>78</v>
      </c>
      <c r="H201" s="22" t="str" cm="1">
        <f t="array" ref="H201">IF(OR(_xll.BDP($AX201,"DX202")= "#N/A N/A", _xll.BDP($AX201,"DX202")="#N/A FIELD NOT APPLICABLE"), " ", _xll.BDP($AX201,"DX202"))</f>
        <v>Consumer Staples</v>
      </c>
      <c r="I201" s="24">
        <f>_xll.BDP(AX201,"CRNCY_ADJ_MKT_CAP", "EQY_FUND_CRNCY=USD")/1000</f>
        <v>275.44374579771403</v>
      </c>
      <c r="J201" s="25">
        <f>IFERROR(_xll.BDP(AX201, "DV013")/100,0)</f>
        <v>3.4623679785631557E-2</v>
      </c>
      <c r="K201" s="26" cm="1">
        <f t="array" ref="K201">IF(OR(_xll.BDP($AX201,"RR900")= "#N/A N/A", _xll.BDP($AX201,"RR900")="#N/A FIELD NOT APPLICABLE"), " ", _xll.BDP($AX201,"RR900"))</f>
        <v>21.030646477632914</v>
      </c>
      <c r="L201" s="26" cm="1">
        <f t="array" ref="L201">IF(OR(_xll.BDP($AX201,"EE010")= "#N/A N/A", _xll.BDP($AX201,"EE010")="#N/A FIELD NOT APPLICABLE"), " ", _xll.BDP($AX201,"EE010"))</f>
        <v>18.750532141336738</v>
      </c>
      <c r="M201" s="26" cm="1">
        <f t="array" ref="M201">IF(OR(_xll.BDP($AX201,"RR903")= "#N/A N/A", _xll.BDP($AX201,"RR903")="#N/A FIELD NOT APPLICABLE"), " ", _xll.BDP($AX201,"RR903"))</f>
        <v>6.3098381926092424</v>
      </c>
      <c r="N201" s="26" cm="1">
        <f t="array" ref="N201">IF(OR(_xll.BDP($AX201,"RR957")= "#N/A N/A", _xll.BDP($AX201,"RR957")="#N/A FIELD NOT APPLICABLE"), " ", _xll.BDP($AX201,"RR957"))</f>
        <v>15.438197683819512</v>
      </c>
      <c r="O201" s="27">
        <v>475</v>
      </c>
      <c r="P201" s="28">
        <v>89.68</v>
      </c>
      <c r="Q201" s="22" cm="1">
        <f t="array" ref="Q201">IF(OR(_xll.BDP($AX201,"PX_last")="#N/A N/A",_xll.BDP($AX201,"PX_Last")="#N/A FIELD NOT APPLICABLE")," ",IF(F201="GBP",(_xll.BDP($AX201,"PX_LAST")/100),(_xll.BDP($AX201,"PX_LAST"))))</f>
        <v>88.09</v>
      </c>
      <c r="R201" s="29">
        <f>IF(F201="USD",AA201,(((_xll.BDP(F201&amp;"USD CURNCY","PX_LAST")))*AA201))</f>
        <v>51696.932800000002</v>
      </c>
      <c r="S201" s="29">
        <f>IF(F201="USD",AB201,(((_xll.BDP(F201&amp;"USD CURNCY","PX_LAST")))*AB201))</f>
        <v>50780.361400000002</v>
      </c>
      <c r="T201" s="12">
        <f>S201-R201</f>
        <v>-916.57140000000072</v>
      </c>
      <c r="U201" s="13">
        <f>T201/R201</f>
        <v>-1.7729705619982172E-2</v>
      </c>
      <c r="V201" s="13" cm="1">
        <f t="array" ref="V201">IFERROR(_xll.BDP($G201&amp;" Equity","CHG_PCT_1D")/100,"")</f>
        <v>8.5871309999999996E-3</v>
      </c>
      <c r="W201" s="13" cm="1">
        <f t="array" ref="W201">IFERROR(_xll.BDP($G201&amp;" Equity","CHG_PCT_5D")/100,"")</f>
        <v>1.5446690000000001E-2</v>
      </c>
      <c r="X201" s="13" t="e">
        <f>S201/#REF!</f>
        <v>#REF!</v>
      </c>
      <c r="Y201" s="24">
        <f>IFERROR(S201*J201,0)</f>
        <v>1758.202972512245</v>
      </c>
      <c r="Z201" s="24">
        <f>S201</f>
        <v>50780.361400000002</v>
      </c>
      <c r="AA201" s="29">
        <f>P201*O201</f>
        <v>42598</v>
      </c>
      <c r="AB201" s="29">
        <f>IFERROR(O201*Q201,0)</f>
        <v>41842.75</v>
      </c>
      <c r="AC201" s="4" t="e" cm="1">
        <f t="array" ref="AC201">VLOOKUP(IF(NOT(_xll.BDP(AX201,$BW$8)="#N/A N/A"),(_xll.BDP(AX201,$BW$8)),"-"), '[1]Country Codes'!$A$2:$B$253,2,0)</f>
        <v>#N/A</v>
      </c>
      <c r="AD201" s="30" t="str" cm="1">
        <f t="array" ref="AD201">IF(OR(_xll.BDP($AX201,"EX028")= "#N/A N/A", _xll.BDP($AX201,"EX028")="#N/A FIELD NOT APPLICABLE"), " ", _xll.BDP($AX201,"EX028"))</f>
        <v>Equity</v>
      </c>
      <c r="AE201" s="31" t="str">
        <f>IF(("AS97"="Equity"), " ", "Single Line Equity")</f>
        <v>Single Line Equity</v>
      </c>
      <c r="AF201" s="26" cm="1">
        <f t="array" ref="AF201">IF(OR(_xll.BDP($AX201,"RR908")= "#N/A N/A", _xll.BDP($AX201,"RR908")="#N/A FIELD NOT APPLICABLE"), " ", _xll.BDP($AX201,"RR908"))</f>
        <v>13.702442350775867</v>
      </c>
      <c r="AG201" s="26" cm="1">
        <f t="array" ref="AG201">IF(OR(_xll.BDP($AX201,"RR041")= "#N/A N/A", _xll.BDP($AX201,"RR041")="#N/A FIELD NOT APPLICABLE"), " ", _xll.BDP($AX201,"RR041"))</f>
        <v>45.051843979779413</v>
      </c>
      <c r="AH201" s="22">
        <f>_xll.BDP(AX201,"TOT_BUY_REC")</f>
        <v>12</v>
      </c>
      <c r="AI201" s="22">
        <f>_xll.BDP(AX201,"TOT_HOLD_REC")</f>
        <v>12</v>
      </c>
      <c r="AJ201" s="22">
        <f>_xll.BDP(AX201,"TOT_SELL_REC")</f>
        <v>2</v>
      </c>
      <c r="AK201" s="26" cm="1">
        <f t="array" ref="AK201">IF(OR(_xll.BDP($AX201,"EE201")= "#N/A N/A", _xll.BDP($AX201,"EE201")="#N/A FIELD NOT APPLICABLE"), " ", _xll.BDP($AX201,"EE201"))</f>
        <v>3.730769157409668</v>
      </c>
      <c r="AL201" s="24">
        <f>_xll.BDP(AX201,"BEST_TARGET_PRICE")</f>
        <v>89.400001525878906</v>
      </c>
      <c r="AM201" s="32">
        <f>(AL201/Q201)-1</f>
        <v>1.487117182289599E-2</v>
      </c>
      <c r="AN201" s="32">
        <f>_xll.BDP(AX201,"PR061")/100</f>
        <v>8.3562199999999993E-3</v>
      </c>
      <c r="AO201" s="32">
        <f>_xll.BDP(AX201,"PR064")/100</f>
        <v>0.13664519999999999</v>
      </c>
      <c r="AP201" s="32">
        <f>_xll.BDP(AX201,"CHG_PCT_6M")/100</f>
        <v>0.11000500000000001</v>
      </c>
      <c r="AQ201" s="25">
        <f>_xll.BDP(AX201,"PR079")/100</f>
        <v>0.17641559999999998</v>
      </c>
      <c r="AR201" s="33">
        <f>_xll.BDP(AX201,"hs001")</f>
        <v>98.62</v>
      </c>
      <c r="AS201" s="33">
        <f>_xll.BDP(AX201,"hs002")</f>
        <v>72.819999999999993</v>
      </c>
      <c r="AT201" s="22" t="str" cm="1">
        <f t="array" ref="AT201">IF(OR(_xll.BDP($AX201,"DX202")= "#N/A N/A", _xll.BDP($AX201,"DX202")="#N/A FIELD NOT APPLICABLE"), " ", _xll.BDP($AX201,"DX202"))</f>
        <v>Consumer Staples</v>
      </c>
      <c r="AU201" s="22" t="str" cm="1">
        <f t="array" ref="AU201">IF(OR(_xll.BDP($AX201,"DY997")= "#N/A N/A", _xll.BDP($AX201,"DY997")="#N/A FIELD NOT APPLICABLE"), " ", _xll.BDP($AX201,"DY997"))</f>
        <v>N</v>
      </c>
      <c r="AV201" s="22" t="str" cm="1">
        <f t="array" ref="AV201">IF(OR(_xll.BDP($AX201,"DY784")= "#N/A N/A", _xll.BDP($AX201,"DY784")="#N/A FIELD NOT APPLICABLE"), " ", _xll.BDP($AX201,"DY784"))</f>
        <v>Y</v>
      </c>
      <c r="AW201" s="22" t="str">
        <f>IF(OR(AU201="Y",AV201="Y"),"Y","N")</f>
        <v>Y</v>
      </c>
      <c r="AX201" s="22" t="str">
        <f>CONCATENATE(G201," ",$AX$2)</f>
        <v>NESN SW Equity</v>
      </c>
      <c r="BC201" s="17" t="str" cm="1">
        <f t="array" ref="BC201">_xll.BDP(AX201,"ID005")</f>
        <v>CH0038863350</v>
      </c>
      <c r="BD201" s="17">
        <f>VLOOKUP(BC201,'[2]Portefeuille 4380430'!$B$3:$G$38,6,0)</f>
        <v>0.7974</v>
      </c>
      <c r="BE201" s="18">
        <v>4</v>
      </c>
      <c r="BF201" s="19">
        <v>45567</v>
      </c>
      <c r="BG201" s="20"/>
    </row>
    <row r="202" spans="1:59" s="3" customFormat="1" ht="14.45" customHeight="1" x14ac:dyDescent="0.25">
      <c r="A202" s="49" t="s">
        <v>241</v>
      </c>
      <c r="B202" s="49" t="s">
        <v>266</v>
      </c>
      <c r="C202" s="49" t="s">
        <v>267</v>
      </c>
      <c r="D202" s="49" t="s">
        <v>240</v>
      </c>
      <c r="E202" s="22" t="str">
        <f>_xll.BDP(AX202,"SECURITY NAME")</f>
        <v>Nestle SA</v>
      </c>
      <c r="F202" s="22" t="str">
        <f>_xll.BDP(AX202,"CRNCY")</f>
        <v>CHF</v>
      </c>
      <c r="G202" s="23" t="s">
        <v>78</v>
      </c>
      <c r="H202" s="22" t="str" cm="1">
        <f t="array" ref="H202">IF(OR(_xll.BDP($AX202,"DX202")= "#N/A N/A", _xll.BDP($AX202,"DX202")="#N/A FIELD NOT APPLICABLE"), " ", _xll.BDP($AX202,"DX202"))</f>
        <v>Consumer Staples</v>
      </c>
      <c r="I202" s="24">
        <f>_xll.BDP(AX202,"CRNCY_ADJ_MKT_CAP", "EQY_FUND_CRNCY=USD")/1000</f>
        <v>275.44374579771403</v>
      </c>
      <c r="J202" s="25">
        <f>IFERROR(_xll.BDP(AX202, "DV013")/100,0)</f>
        <v>3.4623679785631557E-2</v>
      </c>
      <c r="K202" s="26" cm="1">
        <f t="array" ref="K202">IF(OR(_xll.BDP($AX202,"RR900")= "#N/A N/A", _xll.BDP($AX202,"RR900")="#N/A FIELD NOT APPLICABLE"), " ", _xll.BDP($AX202,"RR900"))</f>
        <v>21.030646477632914</v>
      </c>
      <c r="L202" s="26" cm="1">
        <f t="array" ref="L202">IF(OR(_xll.BDP($AX202,"EE010")= "#N/A N/A", _xll.BDP($AX202,"EE010")="#N/A FIELD NOT APPLICABLE"), " ", _xll.BDP($AX202,"EE010"))</f>
        <v>18.750532141336738</v>
      </c>
      <c r="M202" s="26" cm="1">
        <f t="array" ref="M202">IF(OR(_xll.BDP($AX202,"RR903")= "#N/A N/A", _xll.BDP($AX202,"RR903")="#N/A FIELD NOT APPLICABLE"), " ", _xll.BDP($AX202,"RR903"))</f>
        <v>6.3098381926092424</v>
      </c>
      <c r="N202" s="26" cm="1">
        <f t="array" ref="N202">IF(OR(_xll.BDP($AX202,"RR957")= "#N/A N/A", _xll.BDP($AX202,"RR957")="#N/A FIELD NOT APPLICABLE"), " ", _xll.BDP($AX202,"RR957"))</f>
        <v>15.438197683819512</v>
      </c>
      <c r="O202" s="27">
        <v>475</v>
      </c>
      <c r="P202" s="28">
        <v>89.3</v>
      </c>
      <c r="Q202" s="22" cm="1">
        <f t="array" ref="Q202">IF(OR(_xll.BDP($AX202,"PX_last")="#N/A N/A",_xll.BDP($AX202,"PX_Last")="#N/A FIELD NOT APPLICABLE")," ",IF(F202="GBP",(_xll.BDP($AX202,"PX_LAST")/100),(_xll.BDP($AX202,"PX_LAST"))))</f>
        <v>88.09</v>
      </c>
      <c r="R202" s="29">
        <f>IF(F202="USD",AA202,(((_xll.BDP(F202&amp;"USD CURNCY","PX_LAST")))*AA202))</f>
        <v>51477.877999999997</v>
      </c>
      <c r="S202" s="29">
        <f>IF(F202="USD",AB202,(((_xll.BDP(F202&amp;"USD CURNCY","PX_LAST")))*AB202))</f>
        <v>50780.361400000002</v>
      </c>
      <c r="T202" s="12">
        <f>S202-R202</f>
        <v>-697.51659999999538</v>
      </c>
      <c r="U202" s="13">
        <f>T202/R202</f>
        <v>-1.3549832026875611E-2</v>
      </c>
      <c r="V202" s="13" cm="1">
        <f t="array" ref="V202">IFERROR(_xll.BDP($G202&amp;" Equity","CHG_PCT_1D")/100,"")</f>
        <v>8.5871309999999996E-3</v>
      </c>
      <c r="W202" s="13" cm="1">
        <f t="array" ref="W202">IFERROR(_xll.BDP($G202&amp;" Equity","CHG_PCT_5D")/100,"")</f>
        <v>1.5446690000000001E-2</v>
      </c>
      <c r="X202" s="13" t="e">
        <f>S202/#REF!</f>
        <v>#REF!</v>
      </c>
      <c r="Y202" s="24">
        <f>IFERROR(S202*J202,0)</f>
        <v>1758.202972512245</v>
      </c>
      <c r="Z202" s="24">
        <f>S202</f>
        <v>50780.361400000002</v>
      </c>
      <c r="AA202" s="29">
        <f>P202*O202</f>
        <v>42417.5</v>
      </c>
      <c r="AB202" s="29">
        <f>IFERROR(O202*Q202,0)</f>
        <v>41842.75</v>
      </c>
      <c r="AC202" s="4" t="e" cm="1">
        <f t="array" ref="AC202">VLOOKUP(IF(NOT(_xll.BDP(AX202,$BW$8)="#N/A N/A"),(_xll.BDP(AX202,$BW$8)),"-"), '[1]Country Codes'!$A$2:$B$253,2,0)</f>
        <v>#N/A</v>
      </c>
      <c r="AD202" s="30" t="str" cm="1">
        <f t="array" ref="AD202">IF(OR(_xll.BDP($AX202,"EX028")= "#N/A N/A", _xll.BDP($AX202,"EX028")="#N/A FIELD NOT APPLICABLE"), " ", _xll.BDP($AX202,"EX028"))</f>
        <v>Equity</v>
      </c>
      <c r="AE202" s="31" t="str">
        <f>IF(("AS97"="Equity"), " ", "Single Line Equity")</f>
        <v>Single Line Equity</v>
      </c>
      <c r="AF202" s="26" cm="1">
        <f t="array" ref="AF202">IF(OR(_xll.BDP($AX202,"RR908")= "#N/A N/A", _xll.BDP($AX202,"RR908")="#N/A FIELD NOT APPLICABLE"), " ", _xll.BDP($AX202,"RR908"))</f>
        <v>13.702442350775867</v>
      </c>
      <c r="AG202" s="26" cm="1">
        <f t="array" ref="AG202">IF(OR(_xll.BDP($AX202,"RR041")= "#N/A N/A", _xll.BDP($AX202,"RR041")="#N/A FIELD NOT APPLICABLE"), " ", _xll.BDP($AX202,"RR041"))</f>
        <v>45.051843979779413</v>
      </c>
      <c r="AH202" s="22">
        <f>_xll.BDP(AX202,"TOT_BUY_REC")</f>
        <v>12</v>
      </c>
      <c r="AI202" s="22">
        <f>_xll.BDP(AX202,"TOT_HOLD_REC")</f>
        <v>12</v>
      </c>
      <c r="AJ202" s="22">
        <f>_xll.BDP(AX202,"TOT_SELL_REC")</f>
        <v>2</v>
      </c>
      <c r="AK202" s="26" cm="1">
        <f t="array" ref="AK202">IF(OR(_xll.BDP($AX202,"EE201")= "#N/A N/A", _xll.BDP($AX202,"EE201")="#N/A FIELD NOT APPLICABLE"), " ", _xll.BDP($AX202,"EE201"))</f>
        <v>3.730769157409668</v>
      </c>
      <c r="AL202" s="24">
        <f>_xll.BDP(AX202,"BEST_TARGET_PRICE")</f>
        <v>89.400001525878906</v>
      </c>
      <c r="AM202" s="32">
        <f>(AL202/Q202)-1</f>
        <v>1.487117182289599E-2</v>
      </c>
      <c r="AN202" s="32">
        <f>_xll.BDP(AX202,"PR061")/100</f>
        <v>8.3562199999999993E-3</v>
      </c>
      <c r="AO202" s="32">
        <f>_xll.BDP(AX202,"PR064")/100</f>
        <v>0.13664519999999999</v>
      </c>
      <c r="AP202" s="32">
        <f>_xll.BDP(AX202,"CHG_PCT_6M")/100</f>
        <v>0.11000500000000001</v>
      </c>
      <c r="AQ202" s="25">
        <f>_xll.BDP(AX202,"PR079")/100</f>
        <v>0.17641559999999998</v>
      </c>
      <c r="AR202" s="33">
        <f>_xll.BDP(AX202,"hs001")</f>
        <v>98.62</v>
      </c>
      <c r="AS202" s="33">
        <f>_xll.BDP(AX202,"hs002")</f>
        <v>72.819999999999993</v>
      </c>
      <c r="AT202" s="22" t="str" cm="1">
        <f t="array" ref="AT202">IF(OR(_xll.BDP($AX202,"DX202")= "#N/A N/A", _xll.BDP($AX202,"DX202")="#N/A FIELD NOT APPLICABLE"), " ", _xll.BDP($AX202,"DX202"))</f>
        <v>Consumer Staples</v>
      </c>
      <c r="AU202" s="22" t="str" cm="1">
        <f t="array" ref="AU202">IF(OR(_xll.BDP($AX202,"DY997")= "#N/A N/A", _xll.BDP($AX202,"DY997")="#N/A FIELD NOT APPLICABLE"), " ", _xll.BDP($AX202,"DY997"))</f>
        <v>N</v>
      </c>
      <c r="AV202" s="22" t="str" cm="1">
        <f t="array" ref="AV202">IF(OR(_xll.BDP($AX202,"DY784")= "#N/A N/A", _xll.BDP($AX202,"DY784")="#N/A FIELD NOT APPLICABLE"), " ", _xll.BDP($AX202,"DY784"))</f>
        <v>Y</v>
      </c>
      <c r="AW202" s="22" t="str">
        <f>IF(OR(AU202="Y",AV202="Y"),"Y","N")</f>
        <v>Y</v>
      </c>
      <c r="AX202" s="22" t="str">
        <f>CONCATENATE(G202," ",$AX$2)</f>
        <v>NESN SW Equity</v>
      </c>
      <c r="BC202" s="17" t="str" cm="1">
        <f t="array" ref="BC202">_xll.BDP(AX202,"ID005")</f>
        <v>CH0038863350</v>
      </c>
      <c r="BD202" s="17">
        <f>VLOOKUP(BC202,'[2]Portefeuille 4380430'!$B$3:$G$38,6,0)</f>
        <v>0.7974</v>
      </c>
      <c r="BE202" s="18">
        <v>4</v>
      </c>
      <c r="BF202" s="19"/>
      <c r="BG202" s="20"/>
    </row>
    <row r="203" spans="1:59" s="3" customFormat="1" ht="14.45" customHeight="1" x14ac:dyDescent="0.25">
      <c r="A203" s="49" t="s">
        <v>242</v>
      </c>
      <c r="B203" s="49" t="s">
        <v>268</v>
      </c>
      <c r="C203" s="49" t="s">
        <v>269</v>
      </c>
      <c r="D203" s="49" t="s">
        <v>248</v>
      </c>
      <c r="E203" s="22" t="str">
        <f>_xll.BDP(AX203,"SECURITY NAME")</f>
        <v>Nestle SA</v>
      </c>
      <c r="F203" s="22" t="str">
        <f>_xll.BDP(AX203,"CRNCY")</f>
        <v>CHF</v>
      </c>
      <c r="G203" s="23" t="s">
        <v>78</v>
      </c>
      <c r="H203" s="22" t="str" cm="1">
        <f t="array" ref="H203">IF(OR(_xll.BDP($AX203,"DX202")= "#N/A N/A", _xll.BDP($AX203,"DX202")="#N/A FIELD NOT APPLICABLE"), " ", _xll.BDP($AX203,"DX202"))</f>
        <v>Consumer Staples</v>
      </c>
      <c r="I203" s="24">
        <f>_xll.BDP(AX203,"CRNCY_ADJ_MKT_CAP", "EQY_FUND_CRNCY=USD")/1000</f>
        <v>275.44374579771403</v>
      </c>
      <c r="J203" s="25">
        <f>IFERROR(_xll.BDP(AX203, "DV013")/100,0)</f>
        <v>3.4623679785631557E-2</v>
      </c>
      <c r="K203" s="26" cm="1">
        <f t="array" ref="K203">IF(OR(_xll.BDP($AX203,"RR900")= "#N/A N/A", _xll.BDP($AX203,"RR900")="#N/A FIELD NOT APPLICABLE"), " ", _xll.BDP($AX203,"RR900"))</f>
        <v>21.030646477632914</v>
      </c>
      <c r="L203" s="26" cm="1">
        <f t="array" ref="L203">IF(OR(_xll.BDP($AX203,"EE010")= "#N/A N/A", _xll.BDP($AX203,"EE010")="#N/A FIELD NOT APPLICABLE"), " ", _xll.BDP($AX203,"EE010"))</f>
        <v>18.750532141336738</v>
      </c>
      <c r="M203" s="26" cm="1">
        <f t="array" ref="M203">IF(OR(_xll.BDP($AX203,"RR903")= "#N/A N/A", _xll.BDP($AX203,"RR903")="#N/A FIELD NOT APPLICABLE"), " ", _xll.BDP($AX203,"RR903"))</f>
        <v>6.3098381926092424</v>
      </c>
      <c r="N203" s="26" cm="1">
        <f t="array" ref="N203">IF(OR(_xll.BDP($AX203,"RR957")= "#N/A N/A", _xll.BDP($AX203,"RR957")="#N/A FIELD NOT APPLICABLE"), " ", _xll.BDP($AX203,"RR957"))</f>
        <v>15.438197683819512</v>
      </c>
      <c r="O203" s="27">
        <v>2475</v>
      </c>
      <c r="P203" s="28">
        <v>84</v>
      </c>
      <c r="Q203" s="22" cm="1">
        <f t="array" ref="Q203">IF(OR(_xll.BDP($AX203,"PX_last")="#N/A N/A",_xll.BDP($AX203,"PX_Last")="#N/A FIELD NOT APPLICABLE")," ",IF(F203="GBP",(_xll.BDP($AX203,"PX_LAST")/100),(_xll.BDP($AX203,"PX_LAST"))))</f>
        <v>88.09</v>
      </c>
      <c r="R203" s="29">
        <f>IF(F203="USD",AA203,(((_xll.BDP(F203&amp;"USD CURNCY","PX_LAST")))*AA203))</f>
        <v>252307.44</v>
      </c>
      <c r="S203" s="29">
        <f>IF(F203="USD",AB203,(((_xll.BDP(F203&amp;"USD CURNCY","PX_LAST")))*AB203))</f>
        <v>264592.4094</v>
      </c>
      <c r="T203" s="12">
        <f>S203-R203</f>
        <v>12284.969400000002</v>
      </c>
      <c r="U203" s="13">
        <f>T203/R203</f>
        <v>4.8690476190476194E-2</v>
      </c>
      <c r="V203" s="13" cm="1">
        <f t="array" ref="V203">IFERROR(_xll.BDP($G203&amp;" Equity","CHG_PCT_1D")/100,"")</f>
        <v>8.5871309999999996E-3</v>
      </c>
      <c r="W203" s="13" cm="1">
        <f t="array" ref="W203">IFERROR(_xll.BDP($G203&amp;" Equity","CHG_PCT_5D")/100,"")</f>
        <v>1.5446690000000001E-2</v>
      </c>
      <c r="X203" s="13" t="e">
        <f>S203/#REF!</f>
        <v>#REF!</v>
      </c>
      <c r="Y203" s="24">
        <f>IFERROR(S203*J203,0)</f>
        <v>9161.1628567743301</v>
      </c>
      <c r="Z203" s="24">
        <f>S203</f>
        <v>264592.4094</v>
      </c>
      <c r="AA203" s="29">
        <f>P203*O203</f>
        <v>207900</v>
      </c>
      <c r="AB203" s="29">
        <f>IFERROR(O203*Q203,0)</f>
        <v>218022.75</v>
      </c>
      <c r="AC203" s="4" t="e" cm="1">
        <f t="array" ref="AC203">VLOOKUP(IF(NOT(_xll.BDP(AX203,$BW$8)="#N/A N/A"),(_xll.BDP(AX203,$BW$8)),"-"), '[1]Country Codes'!$A$2:$B$253,2,0)</f>
        <v>#N/A</v>
      </c>
      <c r="AD203" s="30" t="str" cm="1">
        <f t="array" ref="AD203">IF(OR(_xll.BDP($AX203,"EX028")= "#N/A N/A", _xll.BDP($AX203,"EX028")="#N/A FIELD NOT APPLICABLE"), " ", _xll.BDP($AX203,"EX028"))</f>
        <v>Equity</v>
      </c>
      <c r="AE203" s="31" t="str">
        <f>IF(("AS97"="Equity"), " ", "Single Line Equity")</f>
        <v>Single Line Equity</v>
      </c>
      <c r="AF203" s="26" cm="1">
        <f t="array" ref="AF203">IF(OR(_xll.BDP($AX203,"RR908")= "#N/A N/A", _xll.BDP($AX203,"RR908")="#N/A FIELD NOT APPLICABLE"), " ", _xll.BDP($AX203,"RR908"))</f>
        <v>13.702442350775867</v>
      </c>
      <c r="AG203" s="26" cm="1">
        <f t="array" ref="AG203">IF(OR(_xll.BDP($AX203,"RR041")= "#N/A N/A", _xll.BDP($AX203,"RR041")="#N/A FIELD NOT APPLICABLE"), " ", _xll.BDP($AX203,"RR041"))</f>
        <v>45.051843979779413</v>
      </c>
      <c r="AH203" s="22">
        <f>_xll.BDP(AX203,"TOT_BUY_REC")</f>
        <v>12</v>
      </c>
      <c r="AI203" s="22">
        <f>_xll.BDP(AX203,"TOT_HOLD_REC")</f>
        <v>12</v>
      </c>
      <c r="AJ203" s="22">
        <f>_xll.BDP(AX203,"TOT_SELL_REC")</f>
        <v>2</v>
      </c>
      <c r="AK203" s="26" cm="1">
        <f t="array" ref="AK203">IF(OR(_xll.BDP($AX203,"EE201")= "#N/A N/A", _xll.BDP($AX203,"EE201")="#N/A FIELD NOT APPLICABLE"), " ", _xll.BDP($AX203,"EE201"))</f>
        <v>3.730769157409668</v>
      </c>
      <c r="AL203" s="24">
        <f>_xll.BDP(AX203,"BEST_TARGET_PRICE")</f>
        <v>89.400001525878906</v>
      </c>
      <c r="AM203" s="32">
        <f>(AL203/Q203)-1</f>
        <v>1.487117182289599E-2</v>
      </c>
      <c r="AN203" s="32">
        <f>_xll.BDP(AX203,"PR061")/100</f>
        <v>8.3562199999999993E-3</v>
      </c>
      <c r="AO203" s="32">
        <f>_xll.BDP(AX203,"PR064")/100</f>
        <v>0.13664519999999999</v>
      </c>
      <c r="AP203" s="32">
        <f>_xll.BDP(AX203,"CHG_PCT_6M")/100</f>
        <v>0.11000500000000001</v>
      </c>
      <c r="AQ203" s="25">
        <f>_xll.BDP(AX203,"PR079")/100</f>
        <v>0.17641559999999998</v>
      </c>
      <c r="AR203" s="33">
        <f>_xll.BDP(AX203,"hs001")</f>
        <v>98.62</v>
      </c>
      <c r="AS203" s="33">
        <f>_xll.BDP(AX203,"hs002")</f>
        <v>72.819999999999993</v>
      </c>
      <c r="AT203" s="22" t="str" cm="1">
        <f t="array" ref="AT203">IF(OR(_xll.BDP($AX203,"DX202")= "#N/A N/A", _xll.BDP($AX203,"DX202")="#N/A FIELD NOT APPLICABLE"), " ", _xll.BDP($AX203,"DX202"))</f>
        <v>Consumer Staples</v>
      </c>
      <c r="AU203" s="22" t="str" cm="1">
        <f t="array" ref="AU203">IF(OR(_xll.BDP($AX203,"DY997")= "#N/A N/A", _xll.BDP($AX203,"DY997")="#N/A FIELD NOT APPLICABLE"), " ", _xll.BDP($AX203,"DY997"))</f>
        <v>N</v>
      </c>
      <c r="AV203" s="22" t="str" cm="1">
        <f t="array" ref="AV203">IF(OR(_xll.BDP($AX203,"DY784")= "#N/A N/A", _xll.BDP($AX203,"DY784")="#N/A FIELD NOT APPLICABLE"), " ", _xll.BDP($AX203,"DY784"))</f>
        <v>Y</v>
      </c>
      <c r="AW203" s="22" t="str">
        <f>IF(OR(AU203="Y",AV203="Y"),"Y","N")</f>
        <v>Y</v>
      </c>
      <c r="AX203" s="22" t="str">
        <f>CONCATENATE(G203," ",$AX$2)</f>
        <v>NESN SW Equity</v>
      </c>
      <c r="BC203" s="17" t="str" cm="1">
        <f t="array" ref="BC203">_xll.BDP(AX203,"ID005")</f>
        <v>CH0038863350</v>
      </c>
      <c r="BD203" s="17">
        <f>VLOOKUP(BC203,'[2]Portefeuille 4380430'!$B$3:$G$38,6,0)</f>
        <v>0.7974</v>
      </c>
      <c r="BE203" s="18">
        <v>4</v>
      </c>
      <c r="BF203" s="19">
        <v>45611</v>
      </c>
      <c r="BG203" s="20"/>
    </row>
    <row r="204" spans="1:59" s="3" customFormat="1" ht="14.45" customHeight="1" x14ac:dyDescent="0.25">
      <c r="A204" s="49" t="s">
        <v>241</v>
      </c>
      <c r="B204" s="49" t="s">
        <v>270</v>
      </c>
      <c r="C204" s="49" t="s">
        <v>271</v>
      </c>
      <c r="D204" s="49" t="s">
        <v>240</v>
      </c>
      <c r="E204" s="22" t="str">
        <f>_xll.BDP(AX204,"SECURITY NAME")</f>
        <v>Nestle SA</v>
      </c>
      <c r="F204" s="22" t="str">
        <f>_xll.BDP(AX204,"CRNCY")</f>
        <v>CHF</v>
      </c>
      <c r="G204" s="23" t="s">
        <v>78</v>
      </c>
      <c r="H204" s="22" t="str" cm="1">
        <f t="array" ref="H204">IF(OR(_xll.BDP($AX204,"DX202")= "#N/A N/A", _xll.BDP($AX204,"DX202")="#N/A FIELD NOT APPLICABLE"), " ", _xll.BDP($AX204,"DX202"))</f>
        <v>Consumer Staples</v>
      </c>
      <c r="I204" s="24">
        <f>_xll.BDP(AX204,"CRNCY_ADJ_MKT_CAP", "EQY_FUND_CRNCY=USD")/1000</f>
        <v>275.44374579771403</v>
      </c>
      <c r="J204" s="25">
        <f>IFERROR(_xll.BDP(AX204, "DV013")/100,0)</f>
        <v>3.4623679785631557E-2</v>
      </c>
      <c r="K204" s="26" cm="1">
        <f t="array" ref="K204">IF(OR(_xll.BDP($AX204,"RR900")= "#N/A N/A", _xll.BDP($AX204,"RR900")="#N/A FIELD NOT APPLICABLE"), " ", _xll.BDP($AX204,"RR900"))</f>
        <v>21.030646477632914</v>
      </c>
      <c r="L204" s="26" cm="1">
        <f t="array" ref="L204">IF(OR(_xll.BDP($AX204,"EE010")= "#N/A N/A", _xll.BDP($AX204,"EE010")="#N/A FIELD NOT APPLICABLE"), " ", _xll.BDP($AX204,"EE010"))</f>
        <v>18.750532141336738</v>
      </c>
      <c r="M204" s="26" cm="1">
        <f t="array" ref="M204">IF(OR(_xll.BDP($AX204,"RR903")= "#N/A N/A", _xll.BDP($AX204,"RR903")="#N/A FIELD NOT APPLICABLE"), " ", _xll.BDP($AX204,"RR903"))</f>
        <v>6.3098381926092424</v>
      </c>
      <c r="N204" s="26" cm="1">
        <f t="array" ref="N204">IF(OR(_xll.BDP($AX204,"RR957")= "#N/A N/A", _xll.BDP($AX204,"RR957")="#N/A FIELD NOT APPLICABLE"), " ", _xll.BDP($AX204,"RR957"))</f>
        <v>15.438197683819512</v>
      </c>
      <c r="O204" s="27">
        <v>475</v>
      </c>
      <c r="P204" s="28">
        <v>89.3</v>
      </c>
      <c r="Q204" s="22" cm="1">
        <f t="array" ref="Q204">IF(OR(_xll.BDP($AX204,"PX_last")="#N/A N/A",_xll.BDP($AX204,"PX_Last")="#N/A FIELD NOT APPLICABLE")," ",IF(F204="GBP",(_xll.BDP($AX204,"PX_LAST")/100),(_xll.BDP($AX204,"PX_LAST"))))</f>
        <v>88.09</v>
      </c>
      <c r="R204" s="29">
        <f>IF(F204="USD",AA204,(((_xll.BDP(F204&amp;"USD CURNCY","PX_LAST")))*AA204))</f>
        <v>51477.877999999997</v>
      </c>
      <c r="S204" s="29">
        <f>IF(F204="USD",AB204,(((_xll.BDP(F204&amp;"USD CURNCY","PX_LAST")))*AB204))</f>
        <v>50780.361400000002</v>
      </c>
      <c r="T204" s="12">
        <f>S204-R204</f>
        <v>-697.51659999999538</v>
      </c>
      <c r="U204" s="13">
        <f>T204/R204</f>
        <v>-1.3549832026875611E-2</v>
      </c>
      <c r="V204" s="13" cm="1">
        <f t="array" ref="V204">IFERROR(_xll.BDP($G204&amp;" Equity","CHG_PCT_1D")/100,"")</f>
        <v>8.5871309999999996E-3</v>
      </c>
      <c r="W204" s="13" cm="1">
        <f t="array" ref="W204">IFERROR(_xll.BDP($G204&amp;" Equity","CHG_PCT_5D")/100,"")</f>
        <v>1.5446690000000001E-2</v>
      </c>
      <c r="X204" s="13" t="e">
        <f>S204/#REF!</f>
        <v>#REF!</v>
      </c>
      <c r="Y204" s="24">
        <f>IFERROR(S204*J204,0)</f>
        <v>1758.202972512245</v>
      </c>
      <c r="Z204" s="24">
        <f>S204</f>
        <v>50780.361400000002</v>
      </c>
      <c r="AA204" s="29">
        <f>P204*O204</f>
        <v>42417.5</v>
      </c>
      <c r="AB204" s="29">
        <f>IFERROR(O204*Q204,0)</f>
        <v>41842.75</v>
      </c>
      <c r="AC204" s="4" t="e" cm="1">
        <f t="array" ref="AC204">VLOOKUP(IF(NOT(_xll.BDP(AX204,$BW$8)="#N/A N/A"),(_xll.BDP(AX204,$BW$8)),"-"), '[1]Country Codes'!$A$2:$B$253,2,0)</f>
        <v>#N/A</v>
      </c>
      <c r="AD204" s="30" t="str" cm="1">
        <f t="array" ref="AD204">IF(OR(_xll.BDP($AX204,"EX028")= "#N/A N/A", _xll.BDP($AX204,"EX028")="#N/A FIELD NOT APPLICABLE"), " ", _xll.BDP($AX204,"EX028"))</f>
        <v>Equity</v>
      </c>
      <c r="AE204" s="31" t="str">
        <f>IF(("AS97"="Equity"), " ", "Single Line Equity")</f>
        <v>Single Line Equity</v>
      </c>
      <c r="AF204" s="26" cm="1">
        <f t="array" ref="AF204">IF(OR(_xll.BDP($AX204,"RR908")= "#N/A N/A", _xll.BDP($AX204,"RR908")="#N/A FIELD NOT APPLICABLE"), " ", _xll.BDP($AX204,"RR908"))</f>
        <v>13.702442350775867</v>
      </c>
      <c r="AG204" s="26" cm="1">
        <f t="array" ref="AG204">IF(OR(_xll.BDP($AX204,"RR041")= "#N/A N/A", _xll.BDP($AX204,"RR041")="#N/A FIELD NOT APPLICABLE"), " ", _xll.BDP($AX204,"RR041"))</f>
        <v>45.051843979779413</v>
      </c>
      <c r="AH204" s="22">
        <f>_xll.BDP(AX204,"TOT_BUY_REC")</f>
        <v>12</v>
      </c>
      <c r="AI204" s="22">
        <f>_xll.BDP(AX204,"TOT_HOLD_REC")</f>
        <v>12</v>
      </c>
      <c r="AJ204" s="22">
        <f>_xll.BDP(AX204,"TOT_SELL_REC")</f>
        <v>2</v>
      </c>
      <c r="AK204" s="26" cm="1">
        <f t="array" ref="AK204">IF(OR(_xll.BDP($AX204,"EE201")= "#N/A N/A", _xll.BDP($AX204,"EE201")="#N/A FIELD NOT APPLICABLE"), " ", _xll.BDP($AX204,"EE201"))</f>
        <v>3.730769157409668</v>
      </c>
      <c r="AL204" s="24">
        <f>_xll.BDP(AX204,"BEST_TARGET_PRICE")</f>
        <v>89.400001525878906</v>
      </c>
      <c r="AM204" s="32">
        <f>(AL204/Q204)-1</f>
        <v>1.487117182289599E-2</v>
      </c>
      <c r="AN204" s="32">
        <f>_xll.BDP(AX204,"PR061")/100</f>
        <v>8.3562199999999993E-3</v>
      </c>
      <c r="AO204" s="32">
        <f>_xll.BDP(AX204,"PR064")/100</f>
        <v>0.13664519999999999</v>
      </c>
      <c r="AP204" s="32">
        <f>_xll.BDP(AX204,"CHG_PCT_6M")/100</f>
        <v>0.11000500000000001</v>
      </c>
      <c r="AQ204" s="25">
        <f>_xll.BDP(AX204,"PR079")/100</f>
        <v>0.17641559999999998</v>
      </c>
      <c r="AR204" s="33">
        <f>_xll.BDP(AX204,"hs001")</f>
        <v>98.62</v>
      </c>
      <c r="AS204" s="33">
        <f>_xll.BDP(AX204,"hs002")</f>
        <v>72.819999999999993</v>
      </c>
      <c r="AT204" s="22" t="str" cm="1">
        <f t="array" ref="AT204">IF(OR(_xll.BDP($AX204,"DX202")= "#N/A N/A", _xll.BDP($AX204,"DX202")="#N/A FIELD NOT APPLICABLE"), " ", _xll.BDP($AX204,"DX202"))</f>
        <v>Consumer Staples</v>
      </c>
      <c r="AU204" s="22" t="str" cm="1">
        <f t="array" ref="AU204">IF(OR(_xll.BDP($AX204,"DY997")= "#N/A N/A", _xll.BDP($AX204,"DY997")="#N/A FIELD NOT APPLICABLE"), " ", _xll.BDP($AX204,"DY997"))</f>
        <v>N</v>
      </c>
      <c r="AV204" s="22" t="str" cm="1">
        <f t="array" ref="AV204">IF(OR(_xll.BDP($AX204,"DY784")= "#N/A N/A", _xll.BDP($AX204,"DY784")="#N/A FIELD NOT APPLICABLE"), " ", _xll.BDP($AX204,"DY784"))</f>
        <v>Y</v>
      </c>
      <c r="AW204" s="22" t="str">
        <f>IF(OR(AU204="Y",AV204="Y"),"Y","N")</f>
        <v>Y</v>
      </c>
      <c r="AX204" s="22" t="str">
        <f>CONCATENATE(G204," ",$AX$2)</f>
        <v>NESN SW Equity</v>
      </c>
      <c r="BC204" s="17" t="str" cm="1">
        <f t="array" ref="BC204">_xll.BDP(AX204,"ID005")</f>
        <v>CH0038863350</v>
      </c>
      <c r="BD204" s="17">
        <f>VLOOKUP(BC204,'[2]Portefeuille 4380430'!$B$3:$G$38,6,0)</f>
        <v>0.7974</v>
      </c>
      <c r="BE204" s="18">
        <v>4</v>
      </c>
      <c r="BF204" s="19">
        <v>45539</v>
      </c>
      <c r="BG204" s="20"/>
    </row>
    <row r="205" spans="1:59" s="3" customFormat="1" ht="14.45" customHeight="1" x14ac:dyDescent="0.25">
      <c r="A205" s="49" t="s">
        <v>241</v>
      </c>
      <c r="B205" s="49" t="s">
        <v>276</v>
      </c>
      <c r="C205" s="49" t="s">
        <v>277</v>
      </c>
      <c r="D205" s="49" t="s">
        <v>240</v>
      </c>
      <c r="E205" s="22" t="str">
        <f>_xll.BDP(AX205,"SECURITY NAME")</f>
        <v>Nestle SA</v>
      </c>
      <c r="F205" s="22" t="str">
        <f>_xll.BDP(AX205,"CRNCY")</f>
        <v>CHF</v>
      </c>
      <c r="G205" s="23" t="s">
        <v>78</v>
      </c>
      <c r="H205" s="22" t="str" cm="1">
        <f t="array" ref="H205">IF(OR(_xll.BDP($AX205,"DX202")= "#N/A N/A", _xll.BDP($AX205,"DX202")="#N/A FIELD NOT APPLICABLE"), " ", _xll.BDP($AX205,"DX202"))</f>
        <v>Consumer Staples</v>
      </c>
      <c r="I205" s="24">
        <f>_xll.BDP(AX205,"CRNCY_ADJ_MKT_CAP", "EQY_FUND_CRNCY=USD")/1000</f>
        <v>275.44374579771403</v>
      </c>
      <c r="J205" s="25">
        <f>IFERROR(_xll.BDP(AX205, "DV013")/100,0)</f>
        <v>3.4623679785631557E-2</v>
      </c>
      <c r="K205" s="26" cm="1">
        <f t="array" ref="K205">IF(OR(_xll.BDP($AX205,"RR900")= "#N/A N/A", _xll.BDP($AX205,"RR900")="#N/A FIELD NOT APPLICABLE"), " ", _xll.BDP($AX205,"RR900"))</f>
        <v>21.030646477632914</v>
      </c>
      <c r="L205" s="26" cm="1">
        <f t="array" ref="L205">IF(OR(_xll.BDP($AX205,"EE010")= "#N/A N/A", _xll.BDP($AX205,"EE010")="#N/A FIELD NOT APPLICABLE"), " ", _xll.BDP($AX205,"EE010"))</f>
        <v>18.750532141336738</v>
      </c>
      <c r="M205" s="26" cm="1">
        <f t="array" ref="M205">IF(OR(_xll.BDP($AX205,"RR903")= "#N/A N/A", _xll.BDP($AX205,"RR903")="#N/A FIELD NOT APPLICABLE"), " ", _xll.BDP($AX205,"RR903"))</f>
        <v>6.3098381926092424</v>
      </c>
      <c r="N205" s="26" cm="1">
        <f t="array" ref="N205">IF(OR(_xll.BDP($AX205,"RR957")= "#N/A N/A", _xll.BDP($AX205,"RR957")="#N/A FIELD NOT APPLICABLE"), " ", _xll.BDP($AX205,"RR957"))</f>
        <v>15.438197683819512</v>
      </c>
      <c r="O205" s="27">
        <v>1650</v>
      </c>
      <c r="P205" s="28">
        <v>83.231080000000006</v>
      </c>
      <c r="Q205" s="22" cm="1">
        <f t="array" ref="Q205">IF(OR(_xll.BDP($AX205,"PX_last")="#N/A N/A",_xll.BDP($AX205,"PX_Last")="#N/A FIELD NOT APPLICABLE")," ",IF(F205="GBP",(_xll.BDP($AX205,"PX_LAST")/100),(_xll.BDP($AX205,"PX_LAST"))))</f>
        <v>88.09</v>
      </c>
      <c r="R205" s="29">
        <f>IF(F205="USD",AA205,(((_xll.BDP(F205&amp;"USD CURNCY","PX_LAST")))*AA205))</f>
        <v>166665.2438352</v>
      </c>
      <c r="S205" s="29">
        <f>IF(F205="USD",AB205,(((_xll.BDP(F205&amp;"USD CURNCY","PX_LAST")))*AB205))</f>
        <v>176394.93960000001</v>
      </c>
      <c r="T205" s="12">
        <f>S205-R205</f>
        <v>9729.6957648000098</v>
      </c>
      <c r="U205" s="13">
        <f>T205/R205</f>
        <v>5.8378672966877335E-2</v>
      </c>
      <c r="V205" s="13" cm="1">
        <f t="array" ref="V205">IFERROR(_xll.BDP($G205&amp;" Equity","CHG_PCT_1D")/100,"")</f>
        <v>8.5871309999999996E-3</v>
      </c>
      <c r="W205" s="13" cm="1">
        <f t="array" ref="W205">IFERROR(_xll.BDP($G205&amp;" Equity","CHG_PCT_5D")/100,"")</f>
        <v>1.5446690000000001E-2</v>
      </c>
      <c r="X205" s="13" t="e">
        <f>S205/#REF!</f>
        <v>#REF!</v>
      </c>
      <c r="Y205" s="24">
        <f>IFERROR(S205*J205,0)</f>
        <v>6107.4419045162203</v>
      </c>
      <c r="Z205" s="24">
        <f>S205</f>
        <v>176394.93960000001</v>
      </c>
      <c r="AA205" s="29">
        <f>P205*O205</f>
        <v>137331.28200000001</v>
      </c>
      <c r="AB205" s="29">
        <f>IFERROR(O205*Q205,0)</f>
        <v>145348.5</v>
      </c>
      <c r="AC205" s="4" t="e" cm="1">
        <f t="array" ref="AC205">VLOOKUP(IF(NOT(_xll.BDP(AX205,$BW$8)="#N/A N/A"),(_xll.BDP(AX205,$BW$8)),"-"), '[1]Country Codes'!$A$2:$B$253,2,0)</f>
        <v>#N/A</v>
      </c>
      <c r="AD205" s="30" t="str" cm="1">
        <f t="array" ref="AD205">IF(OR(_xll.BDP($AX205,"EX028")= "#N/A N/A", _xll.BDP($AX205,"EX028")="#N/A FIELD NOT APPLICABLE"), " ", _xll.BDP($AX205,"EX028"))</f>
        <v>Equity</v>
      </c>
      <c r="AE205" s="31" t="str">
        <f>IF(("AS97"="Equity"), " ", "Single Line Equity")</f>
        <v>Single Line Equity</v>
      </c>
      <c r="AF205" s="26" cm="1">
        <f t="array" ref="AF205">IF(OR(_xll.BDP($AX205,"RR908")= "#N/A N/A", _xll.BDP($AX205,"RR908")="#N/A FIELD NOT APPLICABLE"), " ", _xll.BDP($AX205,"RR908"))</f>
        <v>13.702442350775867</v>
      </c>
      <c r="AG205" s="26" cm="1">
        <f t="array" ref="AG205">IF(OR(_xll.BDP($AX205,"RR041")= "#N/A N/A", _xll.BDP($AX205,"RR041")="#N/A FIELD NOT APPLICABLE"), " ", _xll.BDP($AX205,"RR041"))</f>
        <v>45.051843979779413</v>
      </c>
      <c r="AH205" s="22">
        <f>_xll.BDP(AX205,"TOT_BUY_REC")</f>
        <v>12</v>
      </c>
      <c r="AI205" s="22">
        <f>_xll.BDP(AX205,"TOT_HOLD_REC")</f>
        <v>12</v>
      </c>
      <c r="AJ205" s="22">
        <f>_xll.BDP(AX205,"TOT_SELL_REC")</f>
        <v>2</v>
      </c>
      <c r="AK205" s="26" cm="1">
        <f t="array" ref="AK205">IF(OR(_xll.BDP($AX205,"EE201")= "#N/A N/A", _xll.BDP($AX205,"EE201")="#N/A FIELD NOT APPLICABLE"), " ", _xll.BDP($AX205,"EE201"))</f>
        <v>3.730769157409668</v>
      </c>
      <c r="AL205" s="24">
        <f>_xll.BDP(AX205,"BEST_TARGET_PRICE")</f>
        <v>89.400001525878906</v>
      </c>
      <c r="AM205" s="32">
        <f>(AL205/Q205)-1</f>
        <v>1.487117182289599E-2</v>
      </c>
      <c r="AN205" s="32">
        <f>_xll.BDP(AX205,"PR061")/100</f>
        <v>8.3562199999999993E-3</v>
      </c>
      <c r="AO205" s="32">
        <f>_xll.BDP(AX205,"PR064")/100</f>
        <v>0.13664519999999999</v>
      </c>
      <c r="AP205" s="32">
        <f>_xll.BDP(AX205,"CHG_PCT_6M")/100</f>
        <v>0.11000500000000001</v>
      </c>
      <c r="AQ205" s="25">
        <f>_xll.BDP(AX205,"PR079")/100</f>
        <v>0.17641559999999998</v>
      </c>
      <c r="AR205" s="33">
        <f>_xll.BDP(AX205,"hs001")</f>
        <v>98.62</v>
      </c>
      <c r="AS205" s="33">
        <f>_xll.BDP(AX205,"hs002")</f>
        <v>72.819999999999993</v>
      </c>
      <c r="AT205" s="22" t="str" cm="1">
        <f t="array" ref="AT205">IF(OR(_xll.BDP($AX205,"DX202")= "#N/A N/A", _xll.BDP($AX205,"DX202")="#N/A FIELD NOT APPLICABLE"), " ", _xll.BDP($AX205,"DX202"))</f>
        <v>Consumer Staples</v>
      </c>
      <c r="AU205" s="22" t="str" cm="1">
        <f t="array" ref="AU205">IF(OR(_xll.BDP($AX205,"DY997")= "#N/A N/A", _xll.BDP($AX205,"DY997")="#N/A FIELD NOT APPLICABLE"), " ", _xll.BDP($AX205,"DY997"))</f>
        <v>N</v>
      </c>
      <c r="AV205" s="22" t="str" cm="1">
        <f t="array" ref="AV205">IF(OR(_xll.BDP($AX205,"DY784")= "#N/A N/A", _xll.BDP($AX205,"DY784")="#N/A FIELD NOT APPLICABLE"), " ", _xll.BDP($AX205,"DY784"))</f>
        <v>Y</v>
      </c>
      <c r="AW205" s="22" t="str">
        <f>IF(OR(AU205="Y",AV205="Y"),"Y","N")</f>
        <v>Y</v>
      </c>
      <c r="AX205" s="22" t="str">
        <f>CONCATENATE(G205," ",$AX$2)</f>
        <v>NESN SW Equity</v>
      </c>
      <c r="BC205" s="17" t="str" cm="1">
        <f t="array" ref="BC205">_xll.BDP(AX205,"ID005")</f>
        <v>CH0038863350</v>
      </c>
      <c r="BD205" s="17">
        <f>VLOOKUP(BC205,'[2]Portefeuille 4380430'!$B$3:$G$38,6,0)</f>
        <v>0.7974</v>
      </c>
      <c r="BE205" s="18">
        <v>4</v>
      </c>
      <c r="BF205" s="19">
        <v>45539</v>
      </c>
      <c r="BG205" s="20"/>
    </row>
    <row r="206" spans="1:59" s="3" customFormat="1" ht="14.45" customHeight="1" x14ac:dyDescent="0.25">
      <c r="A206" s="49" t="s">
        <v>242</v>
      </c>
      <c r="B206" s="49" t="s">
        <v>260</v>
      </c>
      <c r="C206" s="49" t="s">
        <v>261</v>
      </c>
      <c r="D206" s="49" t="s">
        <v>248</v>
      </c>
      <c r="E206" s="22" t="str">
        <f>_xll.BDP(AX206,"SECURITY NAME")</f>
        <v>NIO Inc</v>
      </c>
      <c r="F206" s="22" t="str">
        <f>_xll.BDP(AX206,"CRNCY")</f>
        <v>USD</v>
      </c>
      <c r="G206" s="73" t="s">
        <v>201</v>
      </c>
      <c r="H206" s="22" t="str" cm="1">
        <f t="array" ref="H206">IF(OR(_xll.BDP($AX206,"DX202")= "#N/A N/A", _xll.BDP($AX206,"DX202")="#N/A FIELD NOT APPLICABLE"), " ", _xll.BDP($AX206,"DX202"))</f>
        <v>Consumer Discretionary</v>
      </c>
      <c r="I206" s="24">
        <f>_xll.BDP(AX206,"CRNCY_ADJ_MKT_CAP", "EQY_FUND_CRNCY=USD")/1000</f>
        <v>8.6962509963962003</v>
      </c>
      <c r="J206" s="25">
        <f>IFERROR(_xll.BDP(AX206, "DV013")/100,0)</f>
        <v>0</v>
      </c>
      <c r="K206" s="26" t="str" cm="1">
        <f t="array" ref="K206">IF(OR(_xll.BDP($AX206,"RR900")= "#N/A N/A", _xll.BDP($AX206,"RR900")="#N/A FIELD NOT APPLICABLE"), " ", _xll.BDP($AX206,"RR900"))</f>
        <v xml:space="preserve"> </v>
      </c>
      <c r="L206" s="26" t="str" cm="1">
        <f t="array" ref="L206">IF(OR(_xll.BDP($AX206,"EE010")= "#N/A N/A", _xll.BDP($AX206,"EE010")="#N/A FIELD NOT APPLICABLE"), " ", _xll.BDP($AX206,"EE010"))</f>
        <v xml:space="preserve"> </v>
      </c>
      <c r="M206" s="26" cm="1">
        <f t="array" ref="M206">IF(OR(_xll.BDP($AX206,"RR903")= "#N/A N/A", _xll.BDP($AX206,"RR903")="#N/A FIELD NOT APPLICABLE"), " ", _xll.BDP($AX206,"RR903"))</f>
        <v>9.7945668928563343</v>
      </c>
      <c r="N206" s="26" t="str" cm="1">
        <f t="array" ref="N206">IF(OR(_xll.BDP($AX206,"RR957")= "#N/A N/A", _xll.BDP($AX206,"RR957")="#N/A FIELD NOT APPLICABLE"), " ", _xll.BDP($AX206,"RR957"))</f>
        <v xml:space="preserve"> </v>
      </c>
      <c r="O206" s="74">
        <v>6405</v>
      </c>
      <c r="P206" s="75">
        <v>49.899500000000003</v>
      </c>
      <c r="Q206" s="22" cm="1">
        <f t="array" ref="Q206">IF(OR(_xll.BDP($AX206,"PX_last")="#N/A N/A",_xll.BDP($AX206,"PX_Last")="#N/A FIELD NOT APPLICABLE")," ",IF(F206="GBP",(_xll.BDP($AX206,"PX_LAST")/100),(_xll.BDP($AX206,"PX_LAST"))))</f>
        <v>3.8719000000000001</v>
      </c>
      <c r="R206" s="29">
        <f>IF(F206="USD",AA206,(((_xll.BDP(F206&amp;"USD CURNCY","PX_LAST")))*AA206))</f>
        <v>319606.29750000004</v>
      </c>
      <c r="S206" s="29">
        <f>IF(F206="USD",AB206,(((_xll.BDP(F206&amp;"USD CURNCY","PX_LAST")))*AB206))</f>
        <v>24799.519500000002</v>
      </c>
      <c r="T206" s="12">
        <f>S206-R206</f>
        <v>-294806.77800000005</v>
      </c>
      <c r="U206" s="13">
        <f>T206/R206</f>
        <v>-0.92240603613262662</v>
      </c>
      <c r="V206" s="13" cm="1">
        <f t="array" ref="V206">IFERROR(_xll.BDP($G206&amp;" Equity","CHG_PCT_1D")/100,"")</f>
        <v>-2.7160799999999999E-2</v>
      </c>
      <c r="W206" s="13" cm="1">
        <f t="array" ref="W206">IFERROR(_xll.BDP($G206&amp;" Equity","CHG_PCT_5D")/100,"")</f>
        <v>-8.6816039999999997E-2</v>
      </c>
      <c r="X206" s="13" t="e">
        <f>S206/#REF!</f>
        <v>#REF!</v>
      </c>
      <c r="Y206" s="24">
        <f>IFERROR(S206*J206,0)</f>
        <v>0</v>
      </c>
      <c r="Z206" s="24">
        <f>S206</f>
        <v>24799.519500000002</v>
      </c>
      <c r="AA206" s="29">
        <f>P206*O206</f>
        <v>319606.29750000004</v>
      </c>
      <c r="AB206" s="29">
        <f>IFERROR(O206*Q206,0)</f>
        <v>24799.519500000002</v>
      </c>
      <c r="AC206" s="4" t="e" cm="1">
        <f t="array" ref="AC206">VLOOKUP(IF(NOT(_xll.BDP(AX206,$BW$8)="#N/A N/A"),(_xll.BDP(AX206,$BW$8)),"-"), '[1]Country Codes'!$A$2:$B$253,2,0)</f>
        <v>#N/A</v>
      </c>
      <c r="AD206" s="30" t="str" cm="1">
        <f t="array" ref="AD206">IF(OR(_xll.BDP($AX206,"EX028")= "#N/A N/A", _xll.BDP($AX206,"EX028")="#N/A FIELD NOT APPLICABLE"), " ", _xll.BDP($AX206,"EX028"))</f>
        <v>Equity</v>
      </c>
      <c r="AE206" s="31" t="str">
        <f>IF(("AS97"="Equity"), " ", "Single Line Equity")</f>
        <v>Single Line Equity</v>
      </c>
      <c r="AF206" s="26" t="str" cm="1">
        <f t="array" ref="AF206">IF(OR(_xll.BDP($AX206,"RR908")= "#N/A N/A", _xll.BDP($AX206,"RR908")="#N/A FIELD NOT APPLICABLE"), " ", _xll.BDP($AX206,"RR908"))</f>
        <v xml:space="preserve"> </v>
      </c>
      <c r="AG206" s="26" cm="1">
        <f t="array" ref="AG206">IF(OR(_xll.BDP($AX206,"RR041")= "#N/A N/A", _xll.BDP($AX206,"RR041")="#N/A FIELD NOT APPLICABLE"), " ", _xll.BDP($AX206,"RR041"))</f>
        <v>31.387743863618045</v>
      </c>
      <c r="AH206" s="22">
        <f>_xll.BDP(AX206,"TOT_BUY_REC")</f>
        <v>16</v>
      </c>
      <c r="AI206" s="22">
        <f>_xll.BDP(AX206,"TOT_HOLD_REC")</f>
        <v>14</v>
      </c>
      <c r="AJ206" s="22">
        <f>_xll.BDP(AX206,"TOT_SELL_REC")</f>
        <v>2</v>
      </c>
      <c r="AK206" s="26" cm="1">
        <f t="array" ref="AK206">IF(OR(_xll.BDP($AX206,"EE201")= "#N/A N/A", _xll.BDP($AX206,"EE201")="#N/A FIELD NOT APPLICABLE"), " ", _xll.BDP($AX206,"EE201"))</f>
        <v>3.78125</v>
      </c>
      <c r="AL206" s="24">
        <f>_xll.BDP(AX206,"BEST_TARGET_PRICE")</f>
        <v>5.3516664505004883</v>
      </c>
      <c r="AM206" s="32">
        <f>(AL206/Q206)-1</f>
        <v>0.38218095779862282</v>
      </c>
      <c r="AN206" s="32">
        <f>_xll.BDP(AX206,"PR061")/100</f>
        <v>0.11904619999999999</v>
      </c>
      <c r="AO206" s="32">
        <f>_xll.BDP(AX206,"PR064")/100</f>
        <v>-7.8119010000000003E-2</v>
      </c>
      <c r="AP206" s="32">
        <f>_xll.BDP(AX206,"CHG_PCT_6M")/100</f>
        <v>-0.22562000000000001</v>
      </c>
      <c r="AQ206" s="25">
        <f>_xll.BDP(AX206,"PR079")/100</f>
        <v>-0.1119496</v>
      </c>
      <c r="AR206" s="33">
        <f>_xll.BDP(AX206,"hs001")</f>
        <v>7.71</v>
      </c>
      <c r="AS206" s="33">
        <f>_xll.BDP(AX206,"hs002")</f>
        <v>3.02</v>
      </c>
      <c r="AT206" s="22" t="str" cm="1">
        <f t="array" ref="AT206">IF(OR(_xll.BDP($AX206,"DX202")= "#N/A N/A", _xll.BDP($AX206,"DX202")="#N/A FIELD NOT APPLICABLE"), " ", _xll.BDP($AX206,"DX202"))</f>
        <v>Consumer Discretionary</v>
      </c>
      <c r="AU206" s="22" t="str" cm="1">
        <f t="array" ref="AU206">IF(OR(_xll.BDP($AX206,"DY997")= "#N/A N/A", _xll.BDP($AX206,"DY997")="#N/A FIELD NOT APPLICABLE"), " ", _xll.BDP($AX206,"DY997"))</f>
        <v>Y</v>
      </c>
      <c r="AV206" s="22" t="str" cm="1">
        <f t="array" ref="AV206">IF(OR(_xll.BDP($AX206,"DY784")= "#N/A N/A", _xll.BDP($AX206,"DY784")="#N/A FIELD NOT APPLICABLE"), " ", _xll.BDP($AX206,"DY784"))</f>
        <v xml:space="preserve"> </v>
      </c>
      <c r="AW206" s="22" t="str">
        <f>IF(OR(AU206="Y",AV206="Y"),"Y","N")</f>
        <v>Y</v>
      </c>
      <c r="AX206" s="22" t="str">
        <f>CONCATENATE(G206," ",$AX$2)</f>
        <v>NIO US Equity</v>
      </c>
      <c r="BC206" s="17" t="str" cm="1">
        <f t="array" ref="BC206">_xll.BDP(AX206,"ID005")</f>
        <v>US62914V1061</v>
      </c>
      <c r="BD206" s="17" t="e">
        <f>VLOOKUP(BC206,'[2]Portefeuille 4380430'!$B$3:$G$38,6,0)</f>
        <v>#N/A</v>
      </c>
      <c r="BE206" s="18">
        <v>4</v>
      </c>
      <c r="BF206" s="19">
        <v>45539</v>
      </c>
      <c r="BG206" s="20"/>
    </row>
    <row r="207" spans="1:59" s="3" customFormat="1" ht="14.45" customHeight="1" x14ac:dyDescent="0.25">
      <c r="A207" s="49" t="s">
        <v>241</v>
      </c>
      <c r="B207" s="49" t="s">
        <v>238</v>
      </c>
      <c r="C207" s="49" t="s">
        <v>239</v>
      </c>
      <c r="D207" s="49" t="s">
        <v>240</v>
      </c>
      <c r="E207" s="22" t="str">
        <f>_xll.BDP(AX207,"SECURITY NAME")</f>
        <v>NIKE Inc</v>
      </c>
      <c r="F207" s="22" t="str">
        <f>_xll.BDP(AX207,"CRNCY")</f>
        <v>USD</v>
      </c>
      <c r="G207" s="23" t="s">
        <v>198</v>
      </c>
      <c r="H207" s="22" t="str" cm="1">
        <f t="array" ref="H207">IF(OR(_xll.BDP($AX207,"DX202")= "#N/A N/A", _xll.BDP($AX207,"DX202")="#N/A FIELD NOT APPLICABLE"), " ", _xll.BDP($AX207,"DX202"))</f>
        <v>Consumer Discretionary</v>
      </c>
      <c r="I207" s="24">
        <f>_xll.BDP(AX207,"CRNCY_ADJ_MKT_CAP", "EQY_FUND_CRNCY=USD")/1000</f>
        <v>84.928492621979998</v>
      </c>
      <c r="J207" s="25">
        <f>IFERROR(_xll.BDP(AX207, "DV013")/100,0)</f>
        <v>2.780674354956305E-2</v>
      </c>
      <c r="K207" s="26" cm="1">
        <f t="array" ref="K207">IF(OR(_xll.BDP($AX207,"RR900")= "#N/A N/A", _xll.BDP($AX207,"RR900")="#N/A FIELD NOT APPLICABLE"), " ", _xll.BDP($AX207,"RR900"))</f>
        <v>18.990099312055229</v>
      </c>
      <c r="L207" s="26" cm="1">
        <f t="array" ref="L207">IF(OR(_xll.BDP($AX207,"EE010")= "#N/A N/A", _xll.BDP($AX207,"EE010")="#N/A FIELD NOT APPLICABLE"), " ", _xll.BDP($AX207,"EE010"))</f>
        <v>28.827655310621243</v>
      </c>
      <c r="M207" s="26" cm="1">
        <f t="array" ref="M207">IF(OR(_xll.BDP($AX207,"RR903")= "#N/A N/A", _xll.BDP($AX207,"RR903")="#N/A FIELD NOT APPLICABLE"), " ", _xll.BDP($AX207,"RR903"))</f>
        <v>6.0674363783989351</v>
      </c>
      <c r="N207" s="26" cm="1">
        <f t="array" ref="N207">IF(OR(_xll.BDP($AX207,"RR957")= "#N/A N/A", _xll.BDP($AX207,"RR957")="#N/A FIELD NOT APPLICABLE"), " ", _xll.BDP($AX207,"RR957"))</f>
        <v>15.139490826966725</v>
      </c>
      <c r="O207" s="27">
        <v>623</v>
      </c>
      <c r="P207" s="28">
        <v>80.28</v>
      </c>
      <c r="Q207" s="22" cm="1">
        <f t="array" ref="Q207">IF(OR(_xll.BDP($AX207,"PX_last")="#N/A N/A",_xll.BDP($AX207,"PX_Last")="#N/A FIELD NOT APPLICABLE")," ",IF(F207="GBP",(_xll.BDP($AX207,"PX_LAST")/100),(_xll.BDP($AX207,"PX_LAST"))))</f>
        <v>57.54</v>
      </c>
      <c r="R207" s="29">
        <f>IF(F207="USD",AA207,(((_xll.BDP(F207&amp;"USD CURNCY","PX_LAST")))*AA207))</f>
        <v>50014.44</v>
      </c>
      <c r="S207" s="29">
        <f>IF(F207="USD",AB207,(((_xll.BDP(F207&amp;"USD CURNCY","PX_LAST")))*AB207))</f>
        <v>35847.42</v>
      </c>
      <c r="T207" s="12">
        <f>S207-R207</f>
        <v>-14167.020000000004</v>
      </c>
      <c r="U207" s="13">
        <f>T207/R207</f>
        <v>-0.28325859491778782</v>
      </c>
      <c r="V207" s="13" cm="1">
        <f t="array" ref="V207">IFERROR(_xll.BDP($G207&amp;" Equity","CHG_PCT_1D")/100,"")</f>
        <v>3.31299E-3</v>
      </c>
      <c r="W207" s="13" cm="1">
        <f t="array" ref="W207">IFERROR(_xll.BDP($G207&amp;" Equity","CHG_PCT_5D")/100,"")</f>
        <v>0</v>
      </c>
      <c r="X207" s="13" t="e">
        <f>S207/#REF!</f>
        <v>#REF!</v>
      </c>
      <c r="Y207" s="24">
        <f>IFERROR(S207*J207,0)</f>
        <v>996.80001485347736</v>
      </c>
      <c r="Z207" s="24">
        <f>S207</f>
        <v>35847.42</v>
      </c>
      <c r="AA207" s="29">
        <f>P207*O207</f>
        <v>50014.44</v>
      </c>
      <c r="AB207" s="29">
        <f>IFERROR(O207*Q207,0)</f>
        <v>35847.42</v>
      </c>
      <c r="AC207" s="4" t="e" cm="1">
        <f t="array" ref="AC207">VLOOKUP(IF(NOT(_xll.BDP(AX207,$BW$8)="#N/A N/A"),(_xll.BDP(AX207,$BW$8)),"-"), '[1]Country Codes'!$A$2:$B$253,2,0)</f>
        <v>#N/A</v>
      </c>
      <c r="AD207" s="30" t="str" cm="1">
        <f t="array" ref="AD207">IF(OR(_xll.BDP($AX207,"EX028")= "#N/A N/A", _xll.BDP($AX207,"EX028")="#N/A FIELD NOT APPLICABLE"), " ", _xll.BDP($AX207,"EX028"))</f>
        <v>Equity</v>
      </c>
      <c r="AE207" s="31" t="str">
        <f>IF(("AS97"="Equity"), " ", "Single Line Equity")</f>
        <v>Single Line Equity</v>
      </c>
      <c r="AF207" s="26" cm="1">
        <f t="array" ref="AF207">IF(OR(_xll.BDP($AX207,"RR908")= "#N/A N/A", _xll.BDP($AX207,"RR908")="#N/A FIELD NOT APPLICABLE"), " ", _xll.BDP($AX207,"RR908"))</f>
        <v>14.687126263847768</v>
      </c>
      <c r="AG207" s="26" cm="1">
        <f t="array" ref="AG207">IF(OR(_xll.BDP($AX207,"RR041")= "#N/A N/A", _xll.BDP($AX207,"RR041")="#N/A FIELD NOT APPLICABLE"), " ", _xll.BDP($AX207,"RR041"))</f>
        <v>31.361847284177379</v>
      </c>
      <c r="AH207" s="22">
        <f>_xll.BDP(AX207,"TOT_BUY_REC")</f>
        <v>23</v>
      </c>
      <c r="AI207" s="22">
        <f>_xll.BDP(AX207,"TOT_HOLD_REC")</f>
        <v>20</v>
      </c>
      <c r="AJ207" s="22">
        <f>_xll.BDP(AX207,"TOT_SELL_REC")</f>
        <v>2</v>
      </c>
      <c r="AK207" s="26" cm="1">
        <f t="array" ref="AK207">IF(OR(_xll.BDP($AX207,"EE201")= "#N/A N/A", _xll.BDP($AX207,"EE201")="#N/A FIELD NOT APPLICABLE"), " ", _xll.BDP($AX207,"EE201"))</f>
        <v>3.9333333969116211</v>
      </c>
      <c r="AL207" s="24">
        <f>_xll.BDP(AX207,"BEST_TARGET_PRICE")</f>
        <v>74.608421325683594</v>
      </c>
      <c r="AM207" s="32">
        <f>(AL207/Q207)-1</f>
        <v>0.29663575470426817</v>
      </c>
      <c r="AN207" s="32">
        <f>_xll.BDP(AX207,"PR061")/100</f>
        <v>5.0655019999999995E-3</v>
      </c>
      <c r="AO207" s="32">
        <f>_xll.BDP(AX207,"PR064")/100</f>
        <v>-0.197937</v>
      </c>
      <c r="AP207" s="32">
        <f>_xll.BDP(AX207,"CHG_PCT_6M")/100</f>
        <v>-0.23605950000000001</v>
      </c>
      <c r="AQ207" s="25">
        <f>_xll.BDP(AX207,"PR079")/100</f>
        <v>-0.239593</v>
      </c>
      <c r="AR207" s="33">
        <f>_xll.BDP(AX207,"hs001")</f>
        <v>98.04</v>
      </c>
      <c r="AS207" s="33">
        <f>_xll.BDP(AX207,"hs002")</f>
        <v>52.28</v>
      </c>
      <c r="AT207" s="22" t="str" cm="1">
        <f t="array" ref="AT207">IF(OR(_xll.BDP($AX207,"DX202")= "#N/A N/A", _xll.BDP($AX207,"DX202")="#N/A FIELD NOT APPLICABLE"), " ", _xll.BDP($AX207,"DX202"))</f>
        <v>Consumer Discretionary</v>
      </c>
      <c r="AU207" s="22" t="str" cm="1">
        <f t="array" ref="AU207">IF(OR(_xll.BDP($AX207,"DY997")= "#N/A N/A", _xll.BDP($AX207,"DY997")="#N/A FIELD NOT APPLICABLE"), " ", _xll.BDP($AX207,"DY997"))</f>
        <v>Y</v>
      </c>
      <c r="AV207" s="22" t="str" cm="1">
        <f t="array" ref="AV207">IF(OR(_xll.BDP($AX207,"DY784")= "#N/A N/A", _xll.BDP($AX207,"DY784")="#N/A FIELD NOT APPLICABLE"), " ", _xll.BDP($AX207,"DY784"))</f>
        <v xml:space="preserve"> </v>
      </c>
      <c r="AW207" s="22" t="str">
        <f>IF(OR(AU207="Y",AV207="Y"),"Y","N")</f>
        <v>Y</v>
      </c>
      <c r="AX207" s="22" t="str">
        <f>CONCATENATE(G207," ",$AX$2)</f>
        <v>NKE US Equity</v>
      </c>
      <c r="BC207" s="17" t="str" cm="1">
        <f t="array" ref="BC207">_xll.BDP(AX207,"ID005")</f>
        <v>US6541061031</v>
      </c>
      <c r="BD207" s="17" t="e">
        <f>VLOOKUP(BC207,'[2]Portefeuille 4380430'!$B$3:$G$38,6,0)</f>
        <v>#N/A</v>
      </c>
      <c r="BE207" s="18">
        <v>4</v>
      </c>
      <c r="BF207" s="19">
        <v>45539</v>
      </c>
      <c r="BG207" s="20"/>
    </row>
    <row r="208" spans="1:59" s="3" customFormat="1" ht="14.45" customHeight="1" x14ac:dyDescent="0.25">
      <c r="A208" s="49" t="s">
        <v>242</v>
      </c>
      <c r="B208" s="49" t="s">
        <v>243</v>
      </c>
      <c r="C208" s="49" t="s">
        <v>244</v>
      </c>
      <c r="D208" s="49" t="s">
        <v>245</v>
      </c>
      <c r="E208" s="22" t="str">
        <f>_xll.BDP(AX208,"SECURITY NAME")</f>
        <v>NIKE Inc</v>
      </c>
      <c r="F208" s="22" t="str">
        <f>_xll.BDP(AX208,"CRNCY")</f>
        <v>USD</v>
      </c>
      <c r="G208" s="23" t="s">
        <v>198</v>
      </c>
      <c r="H208" s="22" t="str" cm="1">
        <f t="array" ref="H208">IF(OR(_xll.BDP($AX208,"DX202")= "#N/A N/A", _xll.BDP($AX208,"DX202")="#N/A FIELD NOT APPLICABLE"), " ", _xll.BDP($AX208,"DX202"))</f>
        <v>Consumer Discretionary</v>
      </c>
      <c r="I208" s="24">
        <f>_xll.BDP(AX208,"CRNCY_ADJ_MKT_CAP", "EQY_FUND_CRNCY=USD")/1000</f>
        <v>84.928492621979998</v>
      </c>
      <c r="J208" s="25">
        <f>IFERROR(_xll.BDP(AX208, "DV013")/100,0)</f>
        <v>2.780674354956305E-2</v>
      </c>
      <c r="K208" s="26" cm="1">
        <f t="array" ref="K208">IF(OR(_xll.BDP($AX208,"RR900")= "#N/A N/A", _xll.BDP($AX208,"RR900")="#N/A FIELD NOT APPLICABLE"), " ", _xll.BDP($AX208,"RR900"))</f>
        <v>18.990099312055229</v>
      </c>
      <c r="L208" s="26" cm="1">
        <f t="array" ref="L208">IF(OR(_xll.BDP($AX208,"EE010")= "#N/A N/A", _xll.BDP($AX208,"EE010")="#N/A FIELD NOT APPLICABLE"), " ", _xll.BDP($AX208,"EE010"))</f>
        <v>28.827655310621243</v>
      </c>
      <c r="M208" s="26" cm="1">
        <f t="array" ref="M208">IF(OR(_xll.BDP($AX208,"RR903")= "#N/A N/A", _xll.BDP($AX208,"RR903")="#N/A FIELD NOT APPLICABLE"), " ", _xll.BDP($AX208,"RR903"))</f>
        <v>6.0674363783989351</v>
      </c>
      <c r="N208" s="26" cm="1">
        <f t="array" ref="N208">IF(OR(_xll.BDP($AX208,"RR957")= "#N/A N/A", _xll.BDP($AX208,"RR957")="#N/A FIELD NOT APPLICABLE"), " ", _xll.BDP($AX208,"RR957"))</f>
        <v>15.139490826966725</v>
      </c>
      <c r="O208" s="27">
        <v>1246</v>
      </c>
      <c r="P208" s="28">
        <v>80.329800000000006</v>
      </c>
      <c r="Q208" s="22" cm="1">
        <f t="array" ref="Q208">IF(OR(_xll.BDP($AX208,"PX_last")="#N/A N/A",_xll.BDP($AX208,"PX_Last")="#N/A FIELD NOT APPLICABLE")," ",IF(F208="GBP",(_xll.BDP($AX208,"PX_LAST")/100),(_xll.BDP($AX208,"PX_LAST"))))</f>
        <v>57.54</v>
      </c>
      <c r="R208" s="29">
        <f>IF(F208="USD",AA208,(((_xll.BDP(F208&amp;"USD CURNCY","PX_LAST")))*AA208))</f>
        <v>100090.9308</v>
      </c>
      <c r="S208" s="29">
        <f>IF(F208="USD",AB208,(((_xll.BDP(F208&amp;"USD CURNCY","PX_LAST")))*AB208))</f>
        <v>71694.84</v>
      </c>
      <c r="T208" s="12">
        <f>S208-R208</f>
        <v>-28396.090800000005</v>
      </c>
      <c r="U208" s="13">
        <f>T208/R208</f>
        <v>-0.28370293465189761</v>
      </c>
      <c r="V208" s="13" cm="1">
        <f t="array" ref="V208">IFERROR(_xll.BDP($G208&amp;" Equity","CHG_PCT_1D")/100,"")</f>
        <v>3.31299E-3</v>
      </c>
      <c r="W208" s="13" cm="1">
        <f t="array" ref="W208">IFERROR(_xll.BDP($G208&amp;" Equity","CHG_PCT_5D")/100,"")</f>
        <v>0</v>
      </c>
      <c r="X208" s="13" t="e">
        <f>S208/#REF!</f>
        <v>#REF!</v>
      </c>
      <c r="Y208" s="24">
        <f>IFERROR(S208*J208,0)</f>
        <v>1993.6000297069547</v>
      </c>
      <c r="Z208" s="24">
        <f>S208</f>
        <v>71694.84</v>
      </c>
      <c r="AA208" s="29">
        <f>P208*O208</f>
        <v>100090.9308</v>
      </c>
      <c r="AB208" s="29">
        <f>IFERROR(O208*Q208,0)</f>
        <v>71694.84</v>
      </c>
      <c r="AC208" s="4" t="e" cm="1">
        <f t="array" ref="AC208">VLOOKUP(IF(NOT(_xll.BDP(AX208,$BW$8)="#N/A N/A"),(_xll.BDP(AX208,$BW$8)),"-"), '[1]Country Codes'!$A$2:$B$253,2,0)</f>
        <v>#N/A</v>
      </c>
      <c r="AD208" s="30" t="str" cm="1">
        <f t="array" ref="AD208">IF(OR(_xll.BDP($AX208,"EX028")= "#N/A N/A", _xll.BDP($AX208,"EX028")="#N/A FIELD NOT APPLICABLE"), " ", _xll.BDP($AX208,"EX028"))</f>
        <v>Equity</v>
      </c>
      <c r="AE208" s="31" t="str">
        <f>IF(("AS97"="Equity"), " ", "Single Line Equity")</f>
        <v>Single Line Equity</v>
      </c>
      <c r="AF208" s="26" cm="1">
        <f t="array" ref="AF208">IF(OR(_xll.BDP($AX208,"RR908")= "#N/A N/A", _xll.BDP($AX208,"RR908")="#N/A FIELD NOT APPLICABLE"), " ", _xll.BDP($AX208,"RR908"))</f>
        <v>14.687126263847768</v>
      </c>
      <c r="AG208" s="26" cm="1">
        <f t="array" ref="AG208">IF(OR(_xll.BDP($AX208,"RR041")= "#N/A N/A", _xll.BDP($AX208,"RR041")="#N/A FIELD NOT APPLICABLE"), " ", _xll.BDP($AX208,"RR041"))</f>
        <v>31.361847284177379</v>
      </c>
      <c r="AH208" s="22">
        <f>_xll.BDP(AX208,"TOT_BUY_REC")</f>
        <v>23</v>
      </c>
      <c r="AI208" s="22">
        <f>_xll.BDP(AX208,"TOT_HOLD_REC")</f>
        <v>20</v>
      </c>
      <c r="AJ208" s="22">
        <f>_xll.BDP(AX208,"TOT_SELL_REC")</f>
        <v>2</v>
      </c>
      <c r="AK208" s="26" cm="1">
        <f t="array" ref="AK208">IF(OR(_xll.BDP($AX208,"EE201")= "#N/A N/A", _xll.BDP($AX208,"EE201")="#N/A FIELD NOT APPLICABLE"), " ", _xll.BDP($AX208,"EE201"))</f>
        <v>3.9333333969116211</v>
      </c>
      <c r="AL208" s="24">
        <f>_xll.BDP(AX208,"BEST_TARGET_PRICE")</f>
        <v>74.608421325683594</v>
      </c>
      <c r="AM208" s="32">
        <f>(AL208/Q208)-1</f>
        <v>0.29663575470426817</v>
      </c>
      <c r="AN208" s="32">
        <f>_xll.BDP(AX208,"PR061")/100</f>
        <v>5.0655019999999995E-3</v>
      </c>
      <c r="AO208" s="32">
        <f>_xll.BDP(AX208,"PR064")/100</f>
        <v>-0.197937</v>
      </c>
      <c r="AP208" s="32">
        <f>_xll.BDP(AX208,"CHG_PCT_6M")/100</f>
        <v>-0.23605950000000001</v>
      </c>
      <c r="AQ208" s="25">
        <f>_xll.BDP(AX208,"PR079")/100</f>
        <v>-0.239593</v>
      </c>
      <c r="AR208" s="33">
        <f>_xll.BDP(AX208,"hs001")</f>
        <v>98.04</v>
      </c>
      <c r="AS208" s="33">
        <f>_xll.BDP(AX208,"hs002")</f>
        <v>52.28</v>
      </c>
      <c r="AT208" s="22" t="str" cm="1">
        <f t="array" ref="AT208">IF(OR(_xll.BDP($AX208,"DX202")= "#N/A N/A", _xll.BDP($AX208,"DX202")="#N/A FIELD NOT APPLICABLE"), " ", _xll.BDP($AX208,"DX202"))</f>
        <v>Consumer Discretionary</v>
      </c>
      <c r="AU208" s="22" t="str" cm="1">
        <f t="array" ref="AU208">IF(OR(_xll.BDP($AX208,"DY997")= "#N/A N/A", _xll.BDP($AX208,"DY997")="#N/A FIELD NOT APPLICABLE"), " ", _xll.BDP($AX208,"DY997"))</f>
        <v>Y</v>
      </c>
      <c r="AV208" s="22" t="str" cm="1">
        <f t="array" ref="AV208">IF(OR(_xll.BDP($AX208,"DY784")= "#N/A N/A", _xll.BDP($AX208,"DY784")="#N/A FIELD NOT APPLICABLE"), " ", _xll.BDP($AX208,"DY784"))</f>
        <v xml:space="preserve"> </v>
      </c>
      <c r="AW208" s="22" t="str">
        <f>IF(OR(AU208="Y",AV208="Y"),"Y","N")</f>
        <v>Y</v>
      </c>
      <c r="AX208" s="22" t="str">
        <f>CONCATENATE(G208," ",$AX$2)</f>
        <v>NKE US Equity</v>
      </c>
      <c r="BC208" s="17" t="str" cm="1">
        <f t="array" ref="BC208">_xll.BDP(AX208,"ID005")</f>
        <v>US6541061031</v>
      </c>
      <c r="BD208" s="17" t="e">
        <f>VLOOKUP(BC208,'[2]Portefeuille 4380430'!$B$3:$G$38,6,0)</f>
        <v>#N/A</v>
      </c>
      <c r="BE208" s="18">
        <v>4</v>
      </c>
      <c r="BF208" s="19">
        <v>45596</v>
      </c>
      <c r="BG208" s="20"/>
    </row>
    <row r="209" spans="1:59" s="3" customFormat="1" ht="14.45" customHeight="1" x14ac:dyDescent="0.25">
      <c r="A209" s="49" t="s">
        <v>241</v>
      </c>
      <c r="B209" s="49" t="s">
        <v>249</v>
      </c>
      <c r="C209" s="49" t="s">
        <v>250</v>
      </c>
      <c r="D209" s="49" t="s">
        <v>240</v>
      </c>
      <c r="E209" s="22" t="str">
        <f>_xll.BDP(AX209,"SECURITY NAME")</f>
        <v>NIKE Inc</v>
      </c>
      <c r="F209" s="22" t="str">
        <f>_xll.BDP(AX209,"CRNCY")</f>
        <v>USD</v>
      </c>
      <c r="G209" s="23" t="s">
        <v>198</v>
      </c>
      <c r="H209" s="22" t="str" cm="1">
        <f t="array" ref="H209">IF(OR(_xll.BDP($AX209,"DX202")= "#N/A N/A", _xll.BDP($AX209,"DX202")="#N/A FIELD NOT APPLICABLE"), " ", _xll.BDP($AX209,"DX202"))</f>
        <v>Consumer Discretionary</v>
      </c>
      <c r="I209" s="24">
        <f>_xll.BDP(AX209,"CRNCY_ADJ_MKT_CAP", "EQY_FUND_CRNCY=USD")/1000</f>
        <v>84.928492621979998</v>
      </c>
      <c r="J209" s="25">
        <f>IFERROR(_xll.BDP(AX209, "DV013")/100,0)</f>
        <v>2.780674354956305E-2</v>
      </c>
      <c r="K209" s="26" cm="1">
        <f t="array" ref="K209">IF(OR(_xll.BDP($AX209,"RR900")= "#N/A N/A", _xll.BDP($AX209,"RR900")="#N/A FIELD NOT APPLICABLE"), " ", _xll.BDP($AX209,"RR900"))</f>
        <v>18.990099312055229</v>
      </c>
      <c r="L209" s="26" cm="1">
        <f t="array" ref="L209">IF(OR(_xll.BDP($AX209,"EE010")= "#N/A N/A", _xll.BDP($AX209,"EE010")="#N/A FIELD NOT APPLICABLE"), " ", _xll.BDP($AX209,"EE010"))</f>
        <v>28.827655310621243</v>
      </c>
      <c r="M209" s="26" cm="1">
        <f t="array" ref="M209">IF(OR(_xll.BDP($AX209,"RR903")= "#N/A N/A", _xll.BDP($AX209,"RR903")="#N/A FIELD NOT APPLICABLE"), " ", _xll.BDP($AX209,"RR903"))</f>
        <v>6.0674363783989351</v>
      </c>
      <c r="N209" s="26" cm="1">
        <f t="array" ref="N209">IF(OR(_xll.BDP($AX209,"RR957")= "#N/A N/A", _xll.BDP($AX209,"RR957")="#N/A FIELD NOT APPLICABLE"), " ", _xll.BDP($AX209,"RR957"))</f>
        <v>15.139490826966725</v>
      </c>
      <c r="O209" s="27">
        <v>747</v>
      </c>
      <c r="P209" s="28">
        <v>80.28</v>
      </c>
      <c r="Q209" s="22" cm="1">
        <f t="array" ref="Q209">IF(OR(_xll.BDP($AX209,"PX_last")="#N/A N/A",_xll.BDP($AX209,"PX_Last")="#N/A FIELD NOT APPLICABLE")," ",IF(F209="GBP",(_xll.BDP($AX209,"PX_LAST")/100),(_xll.BDP($AX209,"PX_LAST"))))</f>
        <v>57.54</v>
      </c>
      <c r="R209" s="29">
        <f>IF(F209="USD",AA209,(((_xll.BDP(F209&amp;"USD CURNCY","PX_LAST")))*AA209))</f>
        <v>59969.16</v>
      </c>
      <c r="S209" s="29">
        <f>IF(F209="USD",AB209,(((_xll.BDP(F209&amp;"USD CURNCY","PX_LAST")))*AB209))</f>
        <v>42982.38</v>
      </c>
      <c r="T209" s="12">
        <f>S209-R209</f>
        <v>-16986.780000000006</v>
      </c>
      <c r="U209" s="13">
        <f>T209/R209</f>
        <v>-0.28325859491778782</v>
      </c>
      <c r="V209" s="13" cm="1">
        <f t="array" ref="V209">IFERROR(_xll.BDP($G209&amp;" Equity","CHG_PCT_1D")/100,"")</f>
        <v>3.31299E-3</v>
      </c>
      <c r="W209" s="13" cm="1">
        <f t="array" ref="W209">IFERROR(_xll.BDP($G209&amp;" Equity","CHG_PCT_5D")/100,"")</f>
        <v>0</v>
      </c>
      <c r="X209" s="13" t="e">
        <f>S209/#REF!</f>
        <v>#REF!</v>
      </c>
      <c r="Y209" s="24">
        <f>IFERROR(S209*J209,0)</f>
        <v>1195.2000178098679</v>
      </c>
      <c r="Z209" s="24">
        <f>S209</f>
        <v>42982.38</v>
      </c>
      <c r="AA209" s="29">
        <f>P209*O209</f>
        <v>59969.16</v>
      </c>
      <c r="AB209" s="29">
        <f>IFERROR(O209*Q209,0)</f>
        <v>42982.38</v>
      </c>
      <c r="AC209" s="4" t="e" cm="1">
        <f t="array" ref="AC209">VLOOKUP(IF(NOT(_xll.BDP(AX209,$BW$8)="#N/A N/A"),(_xll.BDP(AX209,$BW$8)),"-"), '[1]Country Codes'!$A$2:$B$253,2,0)</f>
        <v>#N/A</v>
      </c>
      <c r="AD209" s="30" t="str" cm="1">
        <f t="array" ref="AD209">IF(OR(_xll.BDP($AX209,"EX028")= "#N/A N/A", _xll.BDP($AX209,"EX028")="#N/A FIELD NOT APPLICABLE"), " ", _xll.BDP($AX209,"EX028"))</f>
        <v>Equity</v>
      </c>
      <c r="AE209" s="31" t="str">
        <f>IF(("AS97"="Equity"), " ", "Single Line Equity")</f>
        <v>Single Line Equity</v>
      </c>
      <c r="AF209" s="26" cm="1">
        <f t="array" ref="AF209">IF(OR(_xll.BDP($AX209,"RR908")= "#N/A N/A", _xll.BDP($AX209,"RR908")="#N/A FIELD NOT APPLICABLE"), " ", _xll.BDP($AX209,"RR908"))</f>
        <v>14.687126263847768</v>
      </c>
      <c r="AG209" s="26" cm="1">
        <f t="array" ref="AG209">IF(OR(_xll.BDP($AX209,"RR041")= "#N/A N/A", _xll.BDP($AX209,"RR041")="#N/A FIELD NOT APPLICABLE"), " ", _xll.BDP($AX209,"RR041"))</f>
        <v>31.361847284177379</v>
      </c>
      <c r="AH209" s="22">
        <f>_xll.BDP(AX209,"TOT_BUY_REC")</f>
        <v>23</v>
      </c>
      <c r="AI209" s="22">
        <f>_xll.BDP(AX209,"TOT_HOLD_REC")</f>
        <v>20</v>
      </c>
      <c r="AJ209" s="22">
        <f>_xll.BDP(AX209,"TOT_SELL_REC")</f>
        <v>2</v>
      </c>
      <c r="AK209" s="26" cm="1">
        <f t="array" ref="AK209">IF(OR(_xll.BDP($AX209,"EE201")= "#N/A N/A", _xll.BDP($AX209,"EE201")="#N/A FIELD NOT APPLICABLE"), " ", _xll.BDP($AX209,"EE201"))</f>
        <v>3.9333333969116211</v>
      </c>
      <c r="AL209" s="24">
        <f>_xll.BDP(AX209,"BEST_TARGET_PRICE")</f>
        <v>74.608421325683594</v>
      </c>
      <c r="AM209" s="32">
        <f>(AL209/Q209)-1</f>
        <v>0.29663575470426817</v>
      </c>
      <c r="AN209" s="32">
        <f>_xll.BDP(AX209,"PR061")/100</f>
        <v>5.0655019999999995E-3</v>
      </c>
      <c r="AO209" s="32">
        <f>_xll.BDP(AX209,"PR064")/100</f>
        <v>-0.197937</v>
      </c>
      <c r="AP209" s="32">
        <f>_xll.BDP(AX209,"CHG_PCT_6M")/100</f>
        <v>-0.23605950000000001</v>
      </c>
      <c r="AQ209" s="25">
        <f>_xll.BDP(AX209,"PR079")/100</f>
        <v>-0.239593</v>
      </c>
      <c r="AR209" s="33">
        <f>_xll.BDP(AX209,"hs001")</f>
        <v>98.04</v>
      </c>
      <c r="AS209" s="33">
        <f>_xll.BDP(AX209,"hs002")</f>
        <v>52.28</v>
      </c>
      <c r="AT209" s="22" t="str" cm="1">
        <f t="array" ref="AT209">IF(OR(_xll.BDP($AX209,"DX202")= "#N/A N/A", _xll.BDP($AX209,"DX202")="#N/A FIELD NOT APPLICABLE"), " ", _xll.BDP($AX209,"DX202"))</f>
        <v>Consumer Discretionary</v>
      </c>
      <c r="AU209" s="22" t="str" cm="1">
        <f t="array" ref="AU209">IF(OR(_xll.BDP($AX209,"DY997")= "#N/A N/A", _xll.BDP($AX209,"DY997")="#N/A FIELD NOT APPLICABLE"), " ", _xll.BDP($AX209,"DY997"))</f>
        <v>Y</v>
      </c>
      <c r="AV209" s="22" t="str" cm="1">
        <f t="array" ref="AV209">IF(OR(_xll.BDP($AX209,"DY784")= "#N/A N/A", _xll.BDP($AX209,"DY784")="#N/A FIELD NOT APPLICABLE"), " ", _xll.BDP($AX209,"DY784"))</f>
        <v xml:space="preserve"> </v>
      </c>
      <c r="AW209" s="22" t="str">
        <f>IF(OR(AU209="Y",AV209="Y"),"Y","N")</f>
        <v>Y</v>
      </c>
      <c r="AX209" s="22" t="str">
        <f>CONCATENATE(G209," ",$AX$2)</f>
        <v>NKE US Equity</v>
      </c>
      <c r="BC209" s="17" t="str" cm="1">
        <f t="array" ref="BC209">_xll.BDP(AX209,"ID005")</f>
        <v>US6541061031</v>
      </c>
      <c r="BD209" s="17">
        <v>0.5</v>
      </c>
      <c r="BE209" s="18">
        <v>4</v>
      </c>
      <c r="BF209" s="19">
        <v>45560</v>
      </c>
      <c r="BG209" s="20">
        <v>1</v>
      </c>
    </row>
    <row r="210" spans="1:59" s="3" customFormat="1" ht="14.45" customHeight="1" x14ac:dyDescent="0.25">
      <c r="A210" s="49" t="s">
        <v>241</v>
      </c>
      <c r="B210" s="49" t="s">
        <v>251</v>
      </c>
      <c r="C210" s="49" t="s">
        <v>252</v>
      </c>
      <c r="D210" s="49" t="s">
        <v>240</v>
      </c>
      <c r="E210" s="22" t="str">
        <f>_xll.BDP(AX210,"SECURITY NAME")</f>
        <v>NIKE Inc</v>
      </c>
      <c r="F210" s="22" t="str">
        <f>_xll.BDP(AX210,"CRNCY")</f>
        <v>USD</v>
      </c>
      <c r="G210" s="23" t="s">
        <v>198</v>
      </c>
      <c r="H210" s="22" t="str" cm="1">
        <f t="array" ref="H210">IF(OR(_xll.BDP($AX210,"DX202")= "#N/A N/A", _xll.BDP($AX210,"DX202")="#N/A FIELD NOT APPLICABLE"), " ", _xll.BDP($AX210,"DX202"))</f>
        <v>Consumer Discretionary</v>
      </c>
      <c r="I210" s="24">
        <f>_xll.BDP(AX210,"CRNCY_ADJ_MKT_CAP", "EQY_FUND_CRNCY=USD")/1000</f>
        <v>84.928492621979998</v>
      </c>
      <c r="J210" s="25">
        <f>IFERROR(_xll.BDP(AX210, "DV013")/100,0)</f>
        <v>2.780674354956305E-2</v>
      </c>
      <c r="K210" s="26" cm="1">
        <f t="array" ref="K210">IF(OR(_xll.BDP($AX210,"RR900")= "#N/A N/A", _xll.BDP($AX210,"RR900")="#N/A FIELD NOT APPLICABLE"), " ", _xll.BDP($AX210,"RR900"))</f>
        <v>18.990099312055229</v>
      </c>
      <c r="L210" s="26" cm="1">
        <f t="array" ref="L210">IF(OR(_xll.BDP($AX210,"EE010")= "#N/A N/A", _xll.BDP($AX210,"EE010")="#N/A FIELD NOT APPLICABLE"), " ", _xll.BDP($AX210,"EE010"))</f>
        <v>28.827655310621243</v>
      </c>
      <c r="M210" s="26" cm="1">
        <f t="array" ref="M210">IF(OR(_xll.BDP($AX210,"RR903")= "#N/A N/A", _xll.BDP($AX210,"RR903")="#N/A FIELD NOT APPLICABLE"), " ", _xll.BDP($AX210,"RR903"))</f>
        <v>6.0674363783989351</v>
      </c>
      <c r="N210" s="26" cm="1">
        <f t="array" ref="N210">IF(OR(_xll.BDP($AX210,"RR957")= "#N/A N/A", _xll.BDP($AX210,"RR957")="#N/A FIELD NOT APPLICABLE"), " ", _xll.BDP($AX210,"RR957"))</f>
        <v>15.139490826966725</v>
      </c>
      <c r="O210" s="27">
        <v>872</v>
      </c>
      <c r="P210" s="28">
        <v>80.28</v>
      </c>
      <c r="Q210" s="22" cm="1">
        <f t="array" ref="Q210">IF(OR(_xll.BDP($AX210,"PX_last")="#N/A N/A",_xll.BDP($AX210,"PX_Last")="#N/A FIELD NOT APPLICABLE")," ",IF(F210="GBP",(_xll.BDP($AX210,"PX_LAST")/100),(_xll.BDP($AX210,"PX_LAST"))))</f>
        <v>57.54</v>
      </c>
      <c r="R210" s="29">
        <f>IF(F210="USD",AA210,(((_xll.BDP(F210&amp;"USD CURNCY","PX_LAST")))*AA210))</f>
        <v>70004.160000000003</v>
      </c>
      <c r="S210" s="29">
        <f>IF(F210="USD",AB210,(((_xll.BDP(F210&amp;"USD CURNCY","PX_LAST")))*AB210))</f>
        <v>50174.879999999997</v>
      </c>
      <c r="T210" s="12">
        <f>S210-R210</f>
        <v>-19829.280000000006</v>
      </c>
      <c r="U210" s="13">
        <f>T210/R210</f>
        <v>-0.28325859491778782</v>
      </c>
      <c r="V210" s="13" cm="1">
        <f t="array" ref="V210">IFERROR(_xll.BDP($G210&amp;" Equity","CHG_PCT_1D")/100,"")</f>
        <v>3.31299E-3</v>
      </c>
      <c r="W210" s="13" cm="1">
        <f t="array" ref="W210">IFERROR(_xll.BDP($G210&amp;" Equity","CHG_PCT_5D")/100,"")</f>
        <v>0</v>
      </c>
      <c r="X210" s="13" t="e">
        <f>S210/#REF!</f>
        <v>#REF!</v>
      </c>
      <c r="Y210" s="24">
        <f>IFERROR(S210*J210,0)</f>
        <v>1395.2000207901001</v>
      </c>
      <c r="Z210" s="24">
        <f>S210</f>
        <v>50174.879999999997</v>
      </c>
      <c r="AA210" s="29">
        <f>P210*O210</f>
        <v>70004.160000000003</v>
      </c>
      <c r="AB210" s="29">
        <f>IFERROR(O210*Q210,0)</f>
        <v>50174.879999999997</v>
      </c>
      <c r="AC210" s="4" t="e" cm="1">
        <f t="array" ref="AC210">VLOOKUP(IF(NOT(_xll.BDP(AX210,$BW$8)="#N/A N/A"),(_xll.BDP(AX210,$BW$8)),"-"), '[1]Country Codes'!$A$2:$B$253,2,0)</f>
        <v>#N/A</v>
      </c>
      <c r="AD210" s="30" t="str" cm="1">
        <f t="array" ref="AD210">IF(OR(_xll.BDP($AX210,"EX028")= "#N/A N/A", _xll.BDP($AX210,"EX028")="#N/A FIELD NOT APPLICABLE"), " ", _xll.BDP($AX210,"EX028"))</f>
        <v>Equity</v>
      </c>
      <c r="AE210" s="31" t="str">
        <f>IF(("AS97"="Equity"), " ", "Single Line Equity")</f>
        <v>Single Line Equity</v>
      </c>
      <c r="AF210" s="26" cm="1">
        <f t="array" ref="AF210">IF(OR(_xll.BDP($AX210,"RR908")= "#N/A N/A", _xll.BDP($AX210,"RR908")="#N/A FIELD NOT APPLICABLE"), " ", _xll.BDP($AX210,"RR908"))</f>
        <v>14.687126263847768</v>
      </c>
      <c r="AG210" s="26" cm="1">
        <f t="array" ref="AG210">IF(OR(_xll.BDP($AX210,"RR041")= "#N/A N/A", _xll.BDP($AX210,"RR041")="#N/A FIELD NOT APPLICABLE"), " ", _xll.BDP($AX210,"RR041"))</f>
        <v>31.361847284177379</v>
      </c>
      <c r="AH210" s="22">
        <f>_xll.BDP(AX210,"TOT_BUY_REC")</f>
        <v>23</v>
      </c>
      <c r="AI210" s="22">
        <f>_xll.BDP(AX210,"TOT_HOLD_REC")</f>
        <v>20</v>
      </c>
      <c r="AJ210" s="22">
        <f>_xll.BDP(AX210,"TOT_SELL_REC")</f>
        <v>2</v>
      </c>
      <c r="AK210" s="26" cm="1">
        <f t="array" ref="AK210">IF(OR(_xll.BDP($AX210,"EE201")= "#N/A N/A", _xll.BDP($AX210,"EE201")="#N/A FIELD NOT APPLICABLE"), " ", _xll.BDP($AX210,"EE201"))</f>
        <v>3.9333333969116211</v>
      </c>
      <c r="AL210" s="24">
        <f>_xll.BDP(AX210,"BEST_TARGET_PRICE")</f>
        <v>74.608421325683594</v>
      </c>
      <c r="AM210" s="32">
        <f>(AL210/Q210)-1</f>
        <v>0.29663575470426817</v>
      </c>
      <c r="AN210" s="32">
        <f>_xll.BDP(AX210,"PR061")/100</f>
        <v>5.0655019999999995E-3</v>
      </c>
      <c r="AO210" s="32">
        <f>_xll.BDP(AX210,"PR064")/100</f>
        <v>-0.197937</v>
      </c>
      <c r="AP210" s="32">
        <f>_xll.BDP(AX210,"CHG_PCT_6M")/100</f>
        <v>-0.23605950000000001</v>
      </c>
      <c r="AQ210" s="25">
        <f>_xll.BDP(AX210,"PR079")/100</f>
        <v>-0.239593</v>
      </c>
      <c r="AR210" s="33">
        <f>_xll.BDP(AX210,"hs001")</f>
        <v>98.04</v>
      </c>
      <c r="AS210" s="33">
        <f>_xll.BDP(AX210,"hs002")</f>
        <v>52.28</v>
      </c>
      <c r="AT210" s="22" t="str" cm="1">
        <f t="array" ref="AT210">IF(OR(_xll.BDP($AX210,"DX202")= "#N/A N/A", _xll.BDP($AX210,"DX202")="#N/A FIELD NOT APPLICABLE"), " ", _xll.BDP($AX210,"DX202"))</f>
        <v>Consumer Discretionary</v>
      </c>
      <c r="AU210" s="22" t="str" cm="1">
        <f t="array" ref="AU210">IF(OR(_xll.BDP($AX210,"DY997")= "#N/A N/A", _xll.BDP($AX210,"DY997")="#N/A FIELD NOT APPLICABLE"), " ", _xll.BDP($AX210,"DY997"))</f>
        <v>Y</v>
      </c>
      <c r="AV210" s="22" t="str" cm="1">
        <f t="array" ref="AV210">IF(OR(_xll.BDP($AX210,"DY784")= "#N/A N/A", _xll.BDP($AX210,"DY784")="#N/A FIELD NOT APPLICABLE"), " ", _xll.BDP($AX210,"DY784"))</f>
        <v xml:space="preserve"> </v>
      </c>
      <c r="AW210" s="22" t="str">
        <f>IF(OR(AU210="Y",AV210="Y"),"Y","N")</f>
        <v>Y</v>
      </c>
      <c r="AX210" s="22" t="str">
        <f>CONCATENATE(G210," ",$AX$2)</f>
        <v>NKE US Equity</v>
      </c>
      <c r="BC210" s="17" t="str" cm="1">
        <f t="array" ref="BC210">_xll.BDP(AX210,"ID005")</f>
        <v>US6541061031</v>
      </c>
      <c r="BD210" s="17">
        <v>0.5</v>
      </c>
      <c r="BE210" s="18">
        <v>4</v>
      </c>
      <c r="BF210" s="19">
        <v>45560</v>
      </c>
      <c r="BG210" s="20">
        <v>1</v>
      </c>
    </row>
    <row r="211" spans="1:59" s="3" customFormat="1" ht="14.45" customHeight="1" x14ac:dyDescent="0.25">
      <c r="A211" s="49" t="s">
        <v>241</v>
      </c>
      <c r="B211" s="49" t="s">
        <v>253</v>
      </c>
      <c r="C211" s="49" t="s">
        <v>254</v>
      </c>
      <c r="D211" s="49" t="s">
        <v>240</v>
      </c>
      <c r="E211" s="22" t="str">
        <f>_xll.BDP(AX211,"SECURITY NAME")</f>
        <v>NIKE Inc</v>
      </c>
      <c r="F211" s="22" t="str">
        <f>_xll.BDP(AX211,"CRNCY")</f>
        <v>USD</v>
      </c>
      <c r="G211" s="23" t="s">
        <v>198</v>
      </c>
      <c r="H211" s="22" t="str" cm="1">
        <f t="array" ref="H211">IF(OR(_xll.BDP($AX211,"DX202")= "#N/A N/A", _xll.BDP($AX211,"DX202")="#N/A FIELD NOT APPLICABLE"), " ", _xll.BDP($AX211,"DX202"))</f>
        <v>Consumer Discretionary</v>
      </c>
      <c r="I211" s="24">
        <f>_xll.BDP(AX211,"CRNCY_ADJ_MKT_CAP", "EQY_FUND_CRNCY=USD")/1000</f>
        <v>84.928492621979998</v>
      </c>
      <c r="J211" s="25">
        <f>IFERROR(_xll.BDP(AX211, "DV013")/100,0)</f>
        <v>2.780674354956305E-2</v>
      </c>
      <c r="K211" s="26" cm="1">
        <f t="array" ref="K211">IF(OR(_xll.BDP($AX211,"RR900")= "#N/A N/A", _xll.BDP($AX211,"RR900")="#N/A FIELD NOT APPLICABLE"), " ", _xll.BDP($AX211,"RR900"))</f>
        <v>18.990099312055229</v>
      </c>
      <c r="L211" s="26" cm="1">
        <f t="array" ref="L211">IF(OR(_xll.BDP($AX211,"EE010")= "#N/A N/A", _xll.BDP($AX211,"EE010")="#N/A FIELD NOT APPLICABLE"), " ", _xll.BDP($AX211,"EE010"))</f>
        <v>28.827655310621243</v>
      </c>
      <c r="M211" s="26" cm="1">
        <f t="array" ref="M211">IF(OR(_xll.BDP($AX211,"RR903")= "#N/A N/A", _xll.BDP($AX211,"RR903")="#N/A FIELD NOT APPLICABLE"), " ", _xll.BDP($AX211,"RR903"))</f>
        <v>6.0674363783989351</v>
      </c>
      <c r="N211" s="26" cm="1">
        <f t="array" ref="N211">IF(OR(_xll.BDP($AX211,"RR957")= "#N/A N/A", _xll.BDP($AX211,"RR957")="#N/A FIELD NOT APPLICABLE"), " ", _xll.BDP($AX211,"RR957"))</f>
        <v>15.139490826966725</v>
      </c>
      <c r="O211" s="27">
        <v>374</v>
      </c>
      <c r="P211" s="28">
        <v>80.28</v>
      </c>
      <c r="Q211" s="22" cm="1">
        <f t="array" ref="Q211">IF(OR(_xll.BDP($AX211,"PX_last")="#N/A N/A",_xll.BDP($AX211,"PX_Last")="#N/A FIELD NOT APPLICABLE")," ",IF(F211="GBP",(_xll.BDP($AX211,"PX_LAST")/100),(_xll.BDP($AX211,"PX_LAST"))))</f>
        <v>57.54</v>
      </c>
      <c r="R211" s="29">
        <f>IF(F211="USD",AA211,(((_xll.BDP(F211&amp;"USD CURNCY","PX_LAST")))*AA211))</f>
        <v>30024.720000000001</v>
      </c>
      <c r="S211" s="29">
        <f>IF(F211="USD",AB211,(((_xll.BDP(F211&amp;"USD CURNCY","PX_LAST")))*AB211))</f>
        <v>21519.96</v>
      </c>
      <c r="T211" s="12">
        <f>S211-R211</f>
        <v>-8504.760000000002</v>
      </c>
      <c r="U211" s="13">
        <f>T211/R211</f>
        <v>-0.28325859491778782</v>
      </c>
      <c r="V211" s="13" cm="1">
        <f t="array" ref="V211">IFERROR(_xll.BDP($G211&amp;" Equity","CHG_PCT_1D")/100,"")</f>
        <v>3.31299E-3</v>
      </c>
      <c r="W211" s="13" cm="1">
        <f t="array" ref="W211">IFERROR(_xll.BDP($G211&amp;" Equity","CHG_PCT_5D")/100,"")</f>
        <v>0</v>
      </c>
      <c r="X211" s="13" t="e">
        <f>S211/#REF!</f>
        <v>#REF!</v>
      </c>
      <c r="Y211" s="24">
        <f>IFERROR(S211*J211,0)</f>
        <v>598.40000891685486</v>
      </c>
      <c r="Z211" s="24">
        <f>S211</f>
        <v>21519.96</v>
      </c>
      <c r="AA211" s="29">
        <f>P211*O211</f>
        <v>30024.720000000001</v>
      </c>
      <c r="AB211" s="29">
        <f>IFERROR(O211*Q211,0)</f>
        <v>21519.96</v>
      </c>
      <c r="AC211" s="4" t="e" cm="1">
        <f t="array" ref="AC211">VLOOKUP(IF(NOT(_xll.BDP(AX211,$BW$8)="#N/A N/A"),(_xll.BDP(AX211,$BW$8)),"-"), '[1]Country Codes'!$A$2:$B$253,2,0)</f>
        <v>#N/A</v>
      </c>
      <c r="AD211" s="30" t="str" cm="1">
        <f t="array" ref="AD211">IF(OR(_xll.BDP($AX211,"EX028")= "#N/A N/A", _xll.BDP($AX211,"EX028")="#N/A FIELD NOT APPLICABLE"), " ", _xll.BDP($AX211,"EX028"))</f>
        <v>Equity</v>
      </c>
      <c r="AE211" s="31" t="str">
        <f>IF(("AS97"="Equity"), " ", "Single Line Equity")</f>
        <v>Single Line Equity</v>
      </c>
      <c r="AF211" s="26" cm="1">
        <f t="array" ref="AF211">IF(OR(_xll.BDP($AX211,"RR908")= "#N/A N/A", _xll.BDP($AX211,"RR908")="#N/A FIELD NOT APPLICABLE"), " ", _xll.BDP($AX211,"RR908"))</f>
        <v>14.687126263847768</v>
      </c>
      <c r="AG211" s="26" cm="1">
        <f t="array" ref="AG211">IF(OR(_xll.BDP($AX211,"RR041")= "#N/A N/A", _xll.BDP($AX211,"RR041")="#N/A FIELD NOT APPLICABLE"), " ", _xll.BDP($AX211,"RR041"))</f>
        <v>31.361847284177379</v>
      </c>
      <c r="AH211" s="22">
        <f>_xll.BDP(AX211,"TOT_BUY_REC")</f>
        <v>23</v>
      </c>
      <c r="AI211" s="22">
        <f>_xll.BDP(AX211,"TOT_HOLD_REC")</f>
        <v>20</v>
      </c>
      <c r="AJ211" s="22">
        <f>_xll.BDP(AX211,"TOT_SELL_REC")</f>
        <v>2</v>
      </c>
      <c r="AK211" s="26" cm="1">
        <f t="array" ref="AK211">IF(OR(_xll.BDP($AX211,"EE201")= "#N/A N/A", _xll.BDP($AX211,"EE201")="#N/A FIELD NOT APPLICABLE"), " ", _xll.BDP($AX211,"EE201"))</f>
        <v>3.9333333969116211</v>
      </c>
      <c r="AL211" s="24">
        <f>_xll.BDP(AX211,"BEST_TARGET_PRICE")</f>
        <v>74.608421325683594</v>
      </c>
      <c r="AM211" s="32">
        <f>(AL211/Q211)-1</f>
        <v>0.29663575470426817</v>
      </c>
      <c r="AN211" s="32">
        <f>_xll.BDP(AX211,"PR061")/100</f>
        <v>5.0655019999999995E-3</v>
      </c>
      <c r="AO211" s="32">
        <f>_xll.BDP(AX211,"PR064")/100</f>
        <v>-0.197937</v>
      </c>
      <c r="AP211" s="32">
        <f>_xll.BDP(AX211,"CHG_PCT_6M")/100</f>
        <v>-0.23605950000000001</v>
      </c>
      <c r="AQ211" s="25">
        <f>_xll.BDP(AX211,"PR079")/100</f>
        <v>-0.239593</v>
      </c>
      <c r="AR211" s="33">
        <f>_xll.BDP(AX211,"hs001")</f>
        <v>98.04</v>
      </c>
      <c r="AS211" s="33">
        <f>_xll.BDP(AX211,"hs002")</f>
        <v>52.28</v>
      </c>
      <c r="AT211" s="22" t="str" cm="1">
        <f t="array" ref="AT211">IF(OR(_xll.BDP($AX211,"DX202")= "#N/A N/A", _xll.BDP($AX211,"DX202")="#N/A FIELD NOT APPLICABLE"), " ", _xll.BDP($AX211,"DX202"))</f>
        <v>Consumer Discretionary</v>
      </c>
      <c r="AU211" s="22" t="str" cm="1">
        <f t="array" ref="AU211">IF(OR(_xll.BDP($AX211,"DY997")= "#N/A N/A", _xll.BDP($AX211,"DY997")="#N/A FIELD NOT APPLICABLE"), " ", _xll.BDP($AX211,"DY997"))</f>
        <v>Y</v>
      </c>
      <c r="AV211" s="22" t="str" cm="1">
        <f t="array" ref="AV211">IF(OR(_xll.BDP($AX211,"DY784")= "#N/A N/A", _xll.BDP($AX211,"DY784")="#N/A FIELD NOT APPLICABLE"), " ", _xll.BDP($AX211,"DY784"))</f>
        <v xml:space="preserve"> </v>
      </c>
      <c r="AW211" s="22" t="str">
        <f>IF(OR(AU211="Y",AV211="Y"),"Y","N")</f>
        <v>Y</v>
      </c>
      <c r="AX211" s="22" t="str">
        <f>CONCATENATE(G211," ",$AX$2)</f>
        <v>NKE US Equity</v>
      </c>
      <c r="BC211" s="17" t="str" cm="1">
        <f t="array" ref="BC211">_xll.BDP(AX211,"ID005")</f>
        <v>US6541061031</v>
      </c>
      <c r="BD211" s="17">
        <v>0.5</v>
      </c>
      <c r="BE211" s="18">
        <v>4</v>
      </c>
      <c r="BF211" s="19">
        <v>45560</v>
      </c>
      <c r="BG211" s="20">
        <v>1</v>
      </c>
    </row>
    <row r="212" spans="1:59" s="3" customFormat="1" ht="14.45" customHeight="1" x14ac:dyDescent="0.25">
      <c r="A212" s="49" t="s">
        <v>242</v>
      </c>
      <c r="B212" s="49" t="s">
        <v>255</v>
      </c>
      <c r="C212" s="49" t="s">
        <v>256</v>
      </c>
      <c r="D212" s="49" t="s">
        <v>248</v>
      </c>
      <c r="E212" s="22" t="str">
        <f>_xll.BDP(AX212,"SECURITY NAME")</f>
        <v>NIKE Inc</v>
      </c>
      <c r="F212" s="22" t="str">
        <f>_xll.BDP(AX212,"CRNCY")</f>
        <v>USD</v>
      </c>
      <c r="G212" s="23" t="s">
        <v>198</v>
      </c>
      <c r="H212" s="22" t="str" cm="1">
        <f t="array" ref="H212">IF(OR(_xll.BDP($AX212,"DX202")= "#N/A N/A", _xll.BDP($AX212,"DX202")="#N/A FIELD NOT APPLICABLE"), " ", _xll.BDP($AX212,"DX202"))</f>
        <v>Consumer Discretionary</v>
      </c>
      <c r="I212" s="24">
        <f>_xll.BDP(AX212,"CRNCY_ADJ_MKT_CAP", "EQY_FUND_CRNCY=USD")/1000</f>
        <v>84.928492621979998</v>
      </c>
      <c r="J212" s="25">
        <f>IFERROR(_xll.BDP(AX212, "DV013")/100,0)</f>
        <v>2.780674354956305E-2</v>
      </c>
      <c r="K212" s="26" cm="1">
        <f t="array" ref="K212">IF(OR(_xll.BDP($AX212,"RR900")= "#N/A N/A", _xll.BDP($AX212,"RR900")="#N/A FIELD NOT APPLICABLE"), " ", _xll.BDP($AX212,"RR900"))</f>
        <v>18.990099312055229</v>
      </c>
      <c r="L212" s="26" cm="1">
        <f t="array" ref="L212">IF(OR(_xll.BDP($AX212,"EE010")= "#N/A N/A", _xll.BDP($AX212,"EE010")="#N/A FIELD NOT APPLICABLE"), " ", _xll.BDP($AX212,"EE010"))</f>
        <v>28.827655310621243</v>
      </c>
      <c r="M212" s="26" cm="1">
        <f t="array" ref="M212">IF(OR(_xll.BDP($AX212,"RR903")= "#N/A N/A", _xll.BDP($AX212,"RR903")="#N/A FIELD NOT APPLICABLE"), " ", _xll.BDP($AX212,"RR903"))</f>
        <v>6.0674363783989351</v>
      </c>
      <c r="N212" s="26" cm="1">
        <f t="array" ref="N212">IF(OR(_xll.BDP($AX212,"RR957")= "#N/A N/A", _xll.BDP($AX212,"RR957")="#N/A FIELD NOT APPLICABLE"), " ", _xll.BDP($AX212,"RR957"))</f>
        <v>15.139490826966725</v>
      </c>
      <c r="O212" s="27">
        <v>934</v>
      </c>
      <c r="P212" s="28">
        <v>80.69</v>
      </c>
      <c r="Q212" s="22" cm="1">
        <f t="array" ref="Q212">IF(OR(_xll.BDP($AX212,"PX_last")="#N/A N/A",_xll.BDP($AX212,"PX_Last")="#N/A FIELD NOT APPLICABLE")," ",IF(F212="GBP",(_xll.BDP($AX212,"PX_LAST")/100),(_xll.BDP($AX212,"PX_LAST"))))</f>
        <v>57.54</v>
      </c>
      <c r="R212" s="29">
        <f>IF(F212="USD",AA212,(((_xll.BDP(F212&amp;"USD CURNCY","PX_LAST")))*AA212))</f>
        <v>75364.459999999992</v>
      </c>
      <c r="S212" s="29">
        <f>IF(F212="USD",AB212,(((_xll.BDP(F212&amp;"USD CURNCY","PX_LAST")))*AB212))</f>
        <v>53742.36</v>
      </c>
      <c r="T212" s="12">
        <f>S212-R212</f>
        <v>-21622.099999999991</v>
      </c>
      <c r="U212" s="13">
        <f>T212/R212</f>
        <v>-0.28690048333126772</v>
      </c>
      <c r="V212" s="13" cm="1">
        <f t="array" ref="V212">IFERROR(_xll.BDP($G212&amp;" Equity","CHG_PCT_1D")/100,"")</f>
        <v>3.31299E-3</v>
      </c>
      <c r="W212" s="13" cm="1">
        <f t="array" ref="W212">IFERROR(_xll.BDP($G212&amp;" Equity","CHG_PCT_5D")/100,"")</f>
        <v>0</v>
      </c>
      <c r="X212" s="13" t="e">
        <f>S212/#REF!</f>
        <v>#REF!</v>
      </c>
      <c r="Y212" s="24">
        <f>IFERROR(S212*J212,0)</f>
        <v>1494.4000222682953</v>
      </c>
      <c r="Z212" s="24">
        <f>S212</f>
        <v>53742.36</v>
      </c>
      <c r="AA212" s="29">
        <f>P212*O212</f>
        <v>75364.459999999992</v>
      </c>
      <c r="AB212" s="29">
        <f>IFERROR(O212*Q212,0)</f>
        <v>53742.36</v>
      </c>
      <c r="AC212" s="4" t="e" cm="1">
        <f t="array" ref="AC212">VLOOKUP(IF(NOT(_xll.BDP(AX212,$BW$8)="#N/A N/A"),(_xll.BDP(AX212,$BW$8)),"-"), '[1]Country Codes'!$A$2:$B$253,2,0)</f>
        <v>#N/A</v>
      </c>
      <c r="AD212" s="30" t="str" cm="1">
        <f t="array" ref="AD212">IF(OR(_xll.BDP($AX212,"EX028")= "#N/A N/A", _xll.BDP($AX212,"EX028")="#N/A FIELD NOT APPLICABLE"), " ", _xll.BDP($AX212,"EX028"))</f>
        <v>Equity</v>
      </c>
      <c r="AE212" s="31" t="str">
        <f>IF(("AS97"="Equity"), " ", "Single Line Equity")</f>
        <v>Single Line Equity</v>
      </c>
      <c r="AF212" s="26" cm="1">
        <f t="array" ref="AF212">IF(OR(_xll.BDP($AX212,"RR908")= "#N/A N/A", _xll.BDP($AX212,"RR908")="#N/A FIELD NOT APPLICABLE"), " ", _xll.BDP($AX212,"RR908"))</f>
        <v>14.687126263847768</v>
      </c>
      <c r="AG212" s="26" cm="1">
        <f t="array" ref="AG212">IF(OR(_xll.BDP($AX212,"RR041")= "#N/A N/A", _xll.BDP($AX212,"RR041")="#N/A FIELD NOT APPLICABLE"), " ", _xll.BDP($AX212,"RR041"))</f>
        <v>31.361847284177379</v>
      </c>
      <c r="AH212" s="22">
        <f>_xll.BDP(AX212,"TOT_BUY_REC")</f>
        <v>23</v>
      </c>
      <c r="AI212" s="22">
        <f>_xll.BDP(AX212,"TOT_HOLD_REC")</f>
        <v>20</v>
      </c>
      <c r="AJ212" s="22">
        <f>_xll.BDP(AX212,"TOT_SELL_REC")</f>
        <v>2</v>
      </c>
      <c r="AK212" s="26" cm="1">
        <f t="array" ref="AK212">IF(OR(_xll.BDP($AX212,"EE201")= "#N/A N/A", _xll.BDP($AX212,"EE201")="#N/A FIELD NOT APPLICABLE"), " ", _xll.BDP($AX212,"EE201"))</f>
        <v>3.9333333969116211</v>
      </c>
      <c r="AL212" s="24">
        <f>_xll.BDP(AX212,"BEST_TARGET_PRICE")</f>
        <v>74.608421325683594</v>
      </c>
      <c r="AM212" s="32">
        <f>(AL212/Q212)-1</f>
        <v>0.29663575470426817</v>
      </c>
      <c r="AN212" s="32">
        <f>_xll.BDP(AX212,"PR061")/100</f>
        <v>5.0655019999999995E-3</v>
      </c>
      <c r="AO212" s="32">
        <f>_xll.BDP(AX212,"PR064")/100</f>
        <v>-0.197937</v>
      </c>
      <c r="AP212" s="32">
        <f>_xll.BDP(AX212,"CHG_PCT_6M")/100</f>
        <v>-0.23605950000000001</v>
      </c>
      <c r="AQ212" s="25">
        <f>_xll.BDP(AX212,"PR079")/100</f>
        <v>-0.239593</v>
      </c>
      <c r="AR212" s="33">
        <f>_xll.BDP(AX212,"hs001")</f>
        <v>98.04</v>
      </c>
      <c r="AS212" s="33">
        <f>_xll.BDP(AX212,"hs002")</f>
        <v>52.28</v>
      </c>
      <c r="AT212" s="22" t="str" cm="1">
        <f t="array" ref="AT212">IF(OR(_xll.BDP($AX212,"DX202")= "#N/A N/A", _xll.BDP($AX212,"DX202")="#N/A FIELD NOT APPLICABLE"), " ", _xll.BDP($AX212,"DX202"))</f>
        <v>Consumer Discretionary</v>
      </c>
      <c r="AU212" s="22" t="str" cm="1">
        <f t="array" ref="AU212">IF(OR(_xll.BDP($AX212,"DY997")= "#N/A N/A", _xll.BDP($AX212,"DY997")="#N/A FIELD NOT APPLICABLE"), " ", _xll.BDP($AX212,"DY997"))</f>
        <v>Y</v>
      </c>
      <c r="AV212" s="22" t="str" cm="1">
        <f t="array" ref="AV212">IF(OR(_xll.BDP($AX212,"DY784")= "#N/A N/A", _xll.BDP($AX212,"DY784")="#N/A FIELD NOT APPLICABLE"), " ", _xll.BDP($AX212,"DY784"))</f>
        <v xml:space="preserve"> </v>
      </c>
      <c r="AW212" s="22" t="str">
        <f>IF(OR(AU212="Y",AV212="Y"),"Y","N")</f>
        <v>Y</v>
      </c>
      <c r="AX212" s="22" t="str">
        <f>CONCATENATE(G212," ",$AX$2)</f>
        <v>NKE US Equity</v>
      </c>
      <c r="BC212" s="17" t="str" cm="1">
        <f t="array" ref="BC212">_xll.BDP(AX212,"ID005")</f>
        <v>US6541061031</v>
      </c>
      <c r="BD212" s="17">
        <v>0</v>
      </c>
      <c r="BE212" s="18">
        <v>4</v>
      </c>
      <c r="BF212" s="19">
        <v>45560</v>
      </c>
      <c r="BG212" s="20">
        <v>1</v>
      </c>
    </row>
    <row r="213" spans="1:59" s="93" customFormat="1" ht="14.45" customHeight="1" x14ac:dyDescent="0.25">
      <c r="A213" s="49" t="s">
        <v>242</v>
      </c>
      <c r="B213" s="49" t="s">
        <v>332</v>
      </c>
      <c r="C213" s="72" t="s">
        <v>333</v>
      </c>
      <c r="D213" s="49" t="s">
        <v>248</v>
      </c>
      <c r="E213" s="22" t="str">
        <f>_xll.BDP(AX213,"SECURITY NAME")</f>
        <v>NIKE Inc</v>
      </c>
      <c r="F213" s="22" t="str">
        <f>_xll.BDP(AX213,"CRNCY")</f>
        <v>USD</v>
      </c>
      <c r="G213" s="23" t="s">
        <v>198</v>
      </c>
      <c r="H213" s="22" t="str" cm="1">
        <f t="array" ref="H213">IF(OR(_xll.BDP($AX213,"DX202")= "#N/A N/A", _xll.BDP($AX213,"DX202")="#N/A FIELD NOT APPLICABLE"), " ", _xll.BDP($AX213,"DX202"))</f>
        <v>Consumer Discretionary</v>
      </c>
      <c r="I213" s="24">
        <f>_xll.BDP(AX213,"CRNCY_ADJ_MKT_CAP", "EQY_FUND_CRNCY=USD")/1000</f>
        <v>84.928492621979998</v>
      </c>
      <c r="J213" s="25">
        <f>IFERROR(_xll.BDP(AX213, "DV013")/100,0)</f>
        <v>2.780674354956305E-2</v>
      </c>
      <c r="K213" s="26" cm="1">
        <f t="array" ref="K213">IF(OR(_xll.BDP($AX213,"RR900")= "#N/A N/A", _xll.BDP($AX213,"RR900")="#N/A FIELD NOT APPLICABLE"), " ", _xll.BDP($AX213,"RR900"))</f>
        <v>18.990099312055229</v>
      </c>
      <c r="L213" s="26" cm="1">
        <f t="array" ref="L213">IF(OR(_xll.BDP($AX213,"EE010")= "#N/A N/A", _xll.BDP($AX213,"EE010")="#N/A FIELD NOT APPLICABLE"), " ", _xll.BDP($AX213,"EE010"))</f>
        <v>28.827655310621243</v>
      </c>
      <c r="M213" s="26" cm="1">
        <f t="array" ref="M213">IF(OR(_xll.BDP($AX213,"RR903")= "#N/A N/A", _xll.BDP($AX213,"RR903")="#N/A FIELD NOT APPLICABLE"), " ", _xll.BDP($AX213,"RR903"))</f>
        <v>6.0674363783989351</v>
      </c>
      <c r="N213" s="26" cm="1">
        <f t="array" ref="N213">IF(OR(_xll.BDP($AX213,"RR957")= "#N/A N/A", _xll.BDP($AX213,"RR957")="#N/A FIELD NOT APPLICABLE"), " ", _xll.BDP($AX213,"RR957"))</f>
        <v>15.139490826966725</v>
      </c>
      <c r="O213" s="27">
        <v>934</v>
      </c>
      <c r="P213" s="28">
        <v>81.92</v>
      </c>
      <c r="Q213" s="22" cm="1">
        <f t="array" ref="Q213">IF(OR(_xll.BDP($AX213,"PX_last")="#N/A N/A",_xll.BDP($AX213,"PX_Last")="#N/A FIELD NOT APPLICABLE")," ",IF(F213="GBP",(_xll.BDP($AX213,"PX_LAST")/100),(_xll.BDP($AX213,"PX_LAST"))))</f>
        <v>57.54</v>
      </c>
      <c r="R213" s="29">
        <f>IF(F213="USD",AA213,(((_xll.BDP(F213&amp;"USD CURNCY","PX_LAST")))*AA213))</f>
        <v>76513.279999999999</v>
      </c>
      <c r="S213" s="29">
        <f>IF(F213="USD",AB213,(((_xll.BDP(F213&amp;"USD CURNCY","PX_LAST")))*AB213))</f>
        <v>53742.36</v>
      </c>
      <c r="T213" s="12">
        <f>S213-R213</f>
        <v>-22770.92</v>
      </c>
      <c r="U213" s="13">
        <f>T213/R213</f>
        <v>-0.297607421875</v>
      </c>
      <c r="V213" s="13" cm="1">
        <f t="array" ref="V213">IFERROR(_xll.BDP($G213&amp;" Equity","CHG_PCT_1D")/100,"")</f>
        <v>3.31299E-3</v>
      </c>
      <c r="W213" s="13" cm="1">
        <f t="array" ref="W213">IFERROR(_xll.BDP($G213&amp;" Equity","CHG_PCT_5D")/100,"")</f>
        <v>0</v>
      </c>
      <c r="X213" s="13" t="e">
        <f>S213/#REF!</f>
        <v>#REF!</v>
      </c>
      <c r="Y213" s="24">
        <f>IFERROR(S213*J213,0)</f>
        <v>1494.4000222682953</v>
      </c>
      <c r="Z213" s="24">
        <f>S213</f>
        <v>53742.36</v>
      </c>
      <c r="AA213" s="29">
        <f>P213*O213</f>
        <v>76513.279999999999</v>
      </c>
      <c r="AB213" s="29">
        <f>IFERROR(O213*Q213,0)</f>
        <v>53742.36</v>
      </c>
      <c r="AC213" s="4" t="e" cm="1">
        <f t="array" ref="AC213">VLOOKUP(IF(NOT(_xll.BDP(AX213,$BW$8)="#N/A N/A"),(_xll.BDP(AX213,$BW$8)),"-"), '[1]Country Codes'!$A$2:$B$253,2,0)</f>
        <v>#N/A</v>
      </c>
      <c r="AD213" s="30" t="str" cm="1">
        <f t="array" ref="AD213">IF(OR(_xll.BDP($AX213,"EX028")= "#N/A N/A", _xll.BDP($AX213,"EX028")="#N/A FIELD NOT APPLICABLE"), " ", _xll.BDP($AX213,"EX028"))</f>
        <v>Equity</v>
      </c>
      <c r="AE213" s="31" t="str">
        <f>IF(("AS97"="Equity"), " ", "Single Line Equity")</f>
        <v>Single Line Equity</v>
      </c>
      <c r="AF213" s="26" cm="1">
        <f t="array" ref="AF213">IF(OR(_xll.BDP($AX213,"RR908")= "#N/A N/A", _xll.BDP($AX213,"RR908")="#N/A FIELD NOT APPLICABLE"), " ", _xll.BDP($AX213,"RR908"))</f>
        <v>14.687126263847768</v>
      </c>
      <c r="AG213" s="26" cm="1">
        <f t="array" ref="AG213">IF(OR(_xll.BDP($AX213,"RR041")= "#N/A N/A", _xll.BDP($AX213,"RR041")="#N/A FIELD NOT APPLICABLE"), " ", _xll.BDP($AX213,"RR041"))</f>
        <v>31.361847284177379</v>
      </c>
      <c r="AH213" s="22">
        <f>_xll.BDP(AX213,"TOT_BUY_REC")</f>
        <v>23</v>
      </c>
      <c r="AI213" s="22">
        <f>_xll.BDP(AX213,"TOT_HOLD_REC")</f>
        <v>20</v>
      </c>
      <c r="AJ213" s="22">
        <f>_xll.BDP(AX213,"TOT_SELL_REC")</f>
        <v>2</v>
      </c>
      <c r="AK213" s="26" cm="1">
        <f t="array" ref="AK213">IF(OR(_xll.BDP($AX213,"EE201")= "#N/A N/A", _xll.BDP($AX213,"EE201")="#N/A FIELD NOT APPLICABLE"), " ", _xll.BDP($AX213,"EE201"))</f>
        <v>3.9333333969116211</v>
      </c>
      <c r="AL213" s="24">
        <f>_xll.BDP(AX213,"BEST_TARGET_PRICE")</f>
        <v>74.608421325683594</v>
      </c>
      <c r="AM213" s="32">
        <f>(AL213/Q213)-1</f>
        <v>0.29663575470426817</v>
      </c>
      <c r="AN213" s="32">
        <f>_xll.BDP(AX213,"PR061")/100</f>
        <v>5.0655019999999995E-3</v>
      </c>
      <c r="AO213" s="32">
        <f>_xll.BDP(AX213,"PR064")/100</f>
        <v>-0.197937</v>
      </c>
      <c r="AP213" s="32">
        <f>_xll.BDP(AX213,"CHG_PCT_6M")/100</f>
        <v>-0.23605950000000001</v>
      </c>
      <c r="AQ213" s="25">
        <f>_xll.BDP(AX213,"PR079")/100</f>
        <v>-0.239593</v>
      </c>
      <c r="AR213" s="33">
        <f>_xll.BDP(AX213,"hs001")</f>
        <v>98.04</v>
      </c>
      <c r="AS213" s="33">
        <f>_xll.BDP(AX213,"hs002")</f>
        <v>52.28</v>
      </c>
      <c r="AT213" s="22" t="str" cm="1">
        <f t="array" ref="AT213">IF(OR(_xll.BDP($AX213,"DX202")= "#N/A N/A", _xll.BDP($AX213,"DX202")="#N/A FIELD NOT APPLICABLE"), " ", _xll.BDP($AX213,"DX202"))</f>
        <v>Consumer Discretionary</v>
      </c>
      <c r="AU213" s="22" t="str" cm="1">
        <f t="array" ref="AU213">IF(OR(_xll.BDP($AX213,"DY997")= "#N/A N/A", _xll.BDP($AX213,"DY997")="#N/A FIELD NOT APPLICABLE"), " ", _xll.BDP($AX213,"DY997"))</f>
        <v>Y</v>
      </c>
      <c r="AV213" s="22" t="str" cm="1">
        <f t="array" ref="AV213">IF(OR(_xll.BDP($AX213,"DY784")= "#N/A N/A", _xll.BDP($AX213,"DY784")="#N/A FIELD NOT APPLICABLE"), " ", _xll.BDP($AX213,"DY784"))</f>
        <v xml:space="preserve"> </v>
      </c>
      <c r="AW213" s="22" t="str">
        <f>IF(OR(AU213="Y",AV213="Y"),"Y","N")</f>
        <v>Y</v>
      </c>
      <c r="AX213" s="22" t="str">
        <f>CONCATENATE(G213," ",$AX$2)</f>
        <v>NKE US Equity</v>
      </c>
      <c r="BC213" s="38" t="str" cm="1">
        <f t="array" ref="BC213">_xll.BDP(AX213,"ID005")</f>
        <v>US6541061031</v>
      </c>
      <c r="BD213" s="38">
        <v>0.75</v>
      </c>
      <c r="BE213" s="94">
        <v>4</v>
      </c>
      <c r="BF213" s="95">
        <v>45540</v>
      </c>
      <c r="BG213" s="96">
        <v>1</v>
      </c>
    </row>
    <row r="214" spans="1:59" s="93" customFormat="1" ht="14.45" customHeight="1" x14ac:dyDescent="0.25">
      <c r="A214" s="49" t="s">
        <v>242</v>
      </c>
      <c r="B214" s="49" t="s">
        <v>260</v>
      </c>
      <c r="C214" s="49" t="s">
        <v>261</v>
      </c>
      <c r="D214" s="49" t="s">
        <v>248</v>
      </c>
      <c r="E214" s="22" t="str">
        <f>_xll.BDP(AX214,"SECURITY NAME")</f>
        <v>NIKE Inc</v>
      </c>
      <c r="F214" s="22" t="str">
        <f>_xll.BDP(AX214,"CRNCY")</f>
        <v>USD</v>
      </c>
      <c r="G214" s="73" t="s">
        <v>198</v>
      </c>
      <c r="H214" s="22" t="str" cm="1">
        <f t="array" ref="H214">IF(OR(_xll.BDP($AX214,"DX202")= "#N/A N/A", _xll.BDP($AX214,"DX202")="#N/A FIELD NOT APPLICABLE"), " ", _xll.BDP($AX214,"DX202"))</f>
        <v>Consumer Discretionary</v>
      </c>
      <c r="I214" s="24">
        <f>_xll.BDP(AX214,"CRNCY_ADJ_MKT_CAP", "EQY_FUND_CRNCY=USD")/1000</f>
        <v>84.928492621979998</v>
      </c>
      <c r="J214" s="25">
        <f>IFERROR(_xll.BDP(AX214, "DV013")/100,0)</f>
        <v>2.780674354956305E-2</v>
      </c>
      <c r="K214" s="26" cm="1">
        <f t="array" ref="K214">IF(OR(_xll.BDP($AX214,"RR900")= "#N/A N/A", _xll.BDP($AX214,"RR900")="#N/A FIELD NOT APPLICABLE"), " ", _xll.BDP($AX214,"RR900"))</f>
        <v>18.990099312055229</v>
      </c>
      <c r="L214" s="26" cm="1">
        <f t="array" ref="L214">IF(OR(_xll.BDP($AX214,"EE010")= "#N/A N/A", _xll.BDP($AX214,"EE010")="#N/A FIELD NOT APPLICABLE"), " ", _xll.BDP($AX214,"EE010"))</f>
        <v>28.827655310621243</v>
      </c>
      <c r="M214" s="26" cm="1">
        <f t="array" ref="M214">IF(OR(_xll.BDP($AX214,"RR903")= "#N/A N/A", _xll.BDP($AX214,"RR903")="#N/A FIELD NOT APPLICABLE"), " ", _xll.BDP($AX214,"RR903"))</f>
        <v>6.0674363783989351</v>
      </c>
      <c r="N214" s="26" cm="1">
        <f t="array" ref="N214">IF(OR(_xll.BDP($AX214,"RR957")= "#N/A N/A", _xll.BDP($AX214,"RR957")="#N/A FIELD NOT APPLICABLE"), " ", _xll.BDP($AX214,"RR957"))</f>
        <v>15.139490826966725</v>
      </c>
      <c r="O214" s="74">
        <v>800</v>
      </c>
      <c r="P214" s="75">
        <v>115.36</v>
      </c>
      <c r="Q214" s="22" cm="1">
        <f t="array" ref="Q214">IF(OR(_xll.BDP($AX214,"PX_last")="#N/A N/A",_xll.BDP($AX214,"PX_Last")="#N/A FIELD NOT APPLICABLE")," ",IF(F214="GBP",(_xll.BDP($AX214,"PX_LAST")/100),(_xll.BDP($AX214,"PX_LAST"))))</f>
        <v>57.54</v>
      </c>
      <c r="R214" s="29">
        <f>IF(F214="USD",AA214,(((_xll.BDP(F214&amp;"USD CURNCY","PX_LAST")))*AA214))</f>
        <v>92288</v>
      </c>
      <c r="S214" s="29">
        <f>IF(F214="USD",AB214,(((_xll.BDP(F214&amp;"USD CURNCY","PX_LAST")))*AB214))</f>
        <v>46032</v>
      </c>
      <c r="T214" s="12">
        <f>S214-R214</f>
        <v>-46256</v>
      </c>
      <c r="U214" s="13">
        <f>T214/R214</f>
        <v>-0.50121359223300976</v>
      </c>
      <c r="V214" s="13" cm="1">
        <f t="array" ref="V214">IFERROR(_xll.BDP($G214&amp;" Equity","CHG_PCT_1D")/100,"")</f>
        <v>3.31299E-3</v>
      </c>
      <c r="W214" s="13" cm="1">
        <f t="array" ref="W214">IFERROR(_xll.BDP($G214&amp;" Equity","CHG_PCT_5D")/100,"")</f>
        <v>0</v>
      </c>
      <c r="X214" s="13" t="e">
        <f>S214/#REF!</f>
        <v>#REF!</v>
      </c>
      <c r="Y214" s="24">
        <f>IFERROR(S214*J214,0)</f>
        <v>1280.0000190734863</v>
      </c>
      <c r="Z214" s="24">
        <f>S214</f>
        <v>46032</v>
      </c>
      <c r="AA214" s="29">
        <f>P214*O214</f>
        <v>92288</v>
      </c>
      <c r="AB214" s="29">
        <f>IFERROR(O214*Q214,0)</f>
        <v>46032</v>
      </c>
      <c r="AC214" s="4" t="e" cm="1">
        <f t="array" ref="AC214">VLOOKUP(IF(NOT(_xll.BDP(AX214,$BW$8)="#N/A N/A"),(_xll.BDP(AX214,$BW$8)),"-"), '[1]Country Codes'!$A$2:$B$253,2,0)</f>
        <v>#N/A</v>
      </c>
      <c r="AD214" s="30" t="str" cm="1">
        <f t="array" ref="AD214">IF(OR(_xll.BDP($AX214,"EX028")= "#N/A N/A", _xll.BDP($AX214,"EX028")="#N/A FIELD NOT APPLICABLE"), " ", _xll.BDP($AX214,"EX028"))</f>
        <v>Equity</v>
      </c>
      <c r="AE214" s="31" t="str">
        <f>IF(("AS97"="Equity"), " ", "Single Line Equity")</f>
        <v>Single Line Equity</v>
      </c>
      <c r="AF214" s="26" cm="1">
        <f t="array" ref="AF214">IF(OR(_xll.BDP($AX214,"RR908")= "#N/A N/A", _xll.BDP($AX214,"RR908")="#N/A FIELD NOT APPLICABLE"), " ", _xll.BDP($AX214,"RR908"))</f>
        <v>14.687126263847768</v>
      </c>
      <c r="AG214" s="26" cm="1">
        <f t="array" ref="AG214">IF(OR(_xll.BDP($AX214,"RR041")= "#N/A N/A", _xll.BDP($AX214,"RR041")="#N/A FIELD NOT APPLICABLE"), " ", _xll.BDP($AX214,"RR041"))</f>
        <v>31.361847284177379</v>
      </c>
      <c r="AH214" s="22">
        <f>_xll.BDP(AX214,"TOT_BUY_REC")</f>
        <v>23</v>
      </c>
      <c r="AI214" s="22">
        <f>_xll.BDP(AX214,"TOT_HOLD_REC")</f>
        <v>20</v>
      </c>
      <c r="AJ214" s="22">
        <f>_xll.BDP(AX214,"TOT_SELL_REC")</f>
        <v>2</v>
      </c>
      <c r="AK214" s="26" cm="1">
        <f t="array" ref="AK214">IF(OR(_xll.BDP($AX214,"EE201")= "#N/A N/A", _xll.BDP($AX214,"EE201")="#N/A FIELD NOT APPLICABLE"), " ", _xll.BDP($AX214,"EE201"))</f>
        <v>3.9333333969116211</v>
      </c>
      <c r="AL214" s="24">
        <f>_xll.BDP(AX214,"BEST_TARGET_PRICE")</f>
        <v>74.608421325683594</v>
      </c>
      <c r="AM214" s="32">
        <f>(AL214/Q214)-1</f>
        <v>0.29663575470426817</v>
      </c>
      <c r="AN214" s="32">
        <f>_xll.BDP(AX214,"PR061")/100</f>
        <v>5.0655019999999995E-3</v>
      </c>
      <c r="AO214" s="32">
        <f>_xll.BDP(AX214,"PR064")/100</f>
        <v>-0.197937</v>
      </c>
      <c r="AP214" s="32">
        <f>_xll.BDP(AX214,"CHG_PCT_6M")/100</f>
        <v>-0.23605950000000001</v>
      </c>
      <c r="AQ214" s="25">
        <f>_xll.BDP(AX214,"PR079")/100</f>
        <v>-0.239593</v>
      </c>
      <c r="AR214" s="33">
        <f>_xll.BDP(AX214,"hs001")</f>
        <v>98.04</v>
      </c>
      <c r="AS214" s="33">
        <f>_xll.BDP(AX214,"hs002")</f>
        <v>52.28</v>
      </c>
      <c r="AT214" s="22" t="str" cm="1">
        <f t="array" ref="AT214">IF(OR(_xll.BDP($AX214,"DX202")= "#N/A N/A", _xll.BDP($AX214,"DX202")="#N/A FIELD NOT APPLICABLE"), " ", _xll.BDP($AX214,"DX202"))</f>
        <v>Consumer Discretionary</v>
      </c>
      <c r="AU214" s="22" t="str" cm="1">
        <f t="array" ref="AU214">IF(OR(_xll.BDP($AX214,"DY997")= "#N/A N/A", _xll.BDP($AX214,"DY997")="#N/A FIELD NOT APPLICABLE"), " ", _xll.BDP($AX214,"DY997"))</f>
        <v>Y</v>
      </c>
      <c r="AV214" s="22" t="str" cm="1">
        <f t="array" ref="AV214">IF(OR(_xll.BDP($AX214,"DY784")= "#N/A N/A", _xll.BDP($AX214,"DY784")="#N/A FIELD NOT APPLICABLE"), " ", _xll.BDP($AX214,"DY784"))</f>
        <v xml:space="preserve"> </v>
      </c>
      <c r="AW214" s="22" t="str">
        <f>IF(OR(AU214="Y",AV214="Y"),"Y","N")</f>
        <v>Y</v>
      </c>
      <c r="AX214" s="22" t="str">
        <f>CONCATENATE(G214," ",$AX$2)</f>
        <v>NKE US Equity</v>
      </c>
      <c r="BC214" s="38" t="str" cm="1">
        <f t="array" ref="BC214">_xll.BDP(AX214,"ID005")</f>
        <v>US6541061031</v>
      </c>
      <c r="BD214" s="38">
        <v>0.75</v>
      </c>
      <c r="BE214" s="94">
        <v>4</v>
      </c>
      <c r="BF214" s="95">
        <v>45560</v>
      </c>
      <c r="BG214" s="96">
        <v>1</v>
      </c>
    </row>
    <row r="215" spans="1:59" s="93" customFormat="1" ht="14.45" customHeight="1" x14ac:dyDescent="0.25">
      <c r="A215" s="49" t="s">
        <v>242</v>
      </c>
      <c r="B215" s="49" t="s">
        <v>264</v>
      </c>
      <c r="C215" s="49" t="s">
        <v>265</v>
      </c>
      <c r="D215" s="49" t="s">
        <v>248</v>
      </c>
      <c r="E215" s="22" t="str">
        <f>_xll.BDP(AX215,"SECURITY NAME")</f>
        <v>NIKE Inc</v>
      </c>
      <c r="F215" s="22" t="str">
        <f>_xll.BDP(AX215,"CRNCY")</f>
        <v>USD</v>
      </c>
      <c r="G215" s="23" t="s">
        <v>198</v>
      </c>
      <c r="H215" s="22" t="str" cm="1">
        <f t="array" ref="H215">IF(OR(_xll.BDP($AX215,"DX202")= "#N/A N/A", _xll.BDP($AX215,"DX202")="#N/A FIELD NOT APPLICABLE"), " ", _xll.BDP($AX215,"DX202"))</f>
        <v>Consumer Discretionary</v>
      </c>
      <c r="I215" s="24">
        <f>_xll.BDP(AX215,"CRNCY_ADJ_MKT_CAP", "EQY_FUND_CRNCY=USD")/1000</f>
        <v>84.928492621979998</v>
      </c>
      <c r="J215" s="25">
        <f>IFERROR(_xll.BDP(AX215, "DV013")/100,0)</f>
        <v>2.780674354956305E-2</v>
      </c>
      <c r="K215" s="26" cm="1">
        <f t="array" ref="K215">IF(OR(_xll.BDP($AX215,"RR900")= "#N/A N/A", _xll.BDP($AX215,"RR900")="#N/A FIELD NOT APPLICABLE"), " ", _xll.BDP($AX215,"RR900"))</f>
        <v>18.990099312055229</v>
      </c>
      <c r="L215" s="26" cm="1">
        <f t="array" ref="L215">IF(OR(_xll.BDP($AX215,"EE010")= "#N/A N/A", _xll.BDP($AX215,"EE010")="#N/A FIELD NOT APPLICABLE"), " ", _xll.BDP($AX215,"EE010"))</f>
        <v>28.827655310621243</v>
      </c>
      <c r="M215" s="26" cm="1">
        <f t="array" ref="M215">IF(OR(_xll.BDP($AX215,"RR903")= "#N/A N/A", _xll.BDP($AX215,"RR903")="#N/A FIELD NOT APPLICABLE"), " ", _xll.BDP($AX215,"RR903"))</f>
        <v>6.0674363783989351</v>
      </c>
      <c r="N215" s="26" cm="1">
        <f t="array" ref="N215">IF(OR(_xll.BDP($AX215,"RR957")= "#N/A N/A", _xll.BDP($AX215,"RR957")="#N/A FIELD NOT APPLICABLE"), " ", _xll.BDP($AX215,"RR957"))</f>
        <v>15.139490826966725</v>
      </c>
      <c r="O215" s="27">
        <v>1246</v>
      </c>
      <c r="P215" s="28">
        <v>80.650000000000006</v>
      </c>
      <c r="Q215" s="22" cm="1">
        <f t="array" ref="Q215">IF(OR(_xll.BDP($AX215,"PX_last")="#N/A N/A",_xll.BDP($AX215,"PX_Last")="#N/A FIELD NOT APPLICABLE")," ",IF(F215="GBP",(_xll.BDP($AX215,"PX_LAST")/100),(_xll.BDP($AX215,"PX_LAST"))))</f>
        <v>57.54</v>
      </c>
      <c r="R215" s="29">
        <f>IF(F215="USD",AA215,(((_xll.BDP(F215&amp;"USD CURNCY","PX_LAST")))*AA215))</f>
        <v>100489.90000000001</v>
      </c>
      <c r="S215" s="29">
        <f>IF(F215="USD",AB215,(((_xll.BDP(F215&amp;"USD CURNCY","PX_LAST")))*AB215))</f>
        <v>71694.84</v>
      </c>
      <c r="T215" s="12">
        <f>S215-R215</f>
        <v>-28795.060000000012</v>
      </c>
      <c r="U215" s="13">
        <f>T215/R215</f>
        <v>-0.28654680719156861</v>
      </c>
      <c r="V215" s="13" cm="1">
        <f t="array" ref="V215">IFERROR(_xll.BDP($G215&amp;" Equity","CHG_PCT_1D")/100,"")</f>
        <v>3.31299E-3</v>
      </c>
      <c r="W215" s="13" cm="1">
        <f t="array" ref="W215">IFERROR(_xll.BDP($G215&amp;" Equity","CHG_PCT_5D")/100,"")</f>
        <v>0</v>
      </c>
      <c r="X215" s="13" t="e">
        <f>S215/#REF!</f>
        <v>#REF!</v>
      </c>
      <c r="Y215" s="24">
        <f>IFERROR(S215*J215,0)</f>
        <v>1993.6000297069547</v>
      </c>
      <c r="Z215" s="24">
        <f>S215</f>
        <v>71694.84</v>
      </c>
      <c r="AA215" s="29">
        <f>P215*O215</f>
        <v>100489.90000000001</v>
      </c>
      <c r="AB215" s="29">
        <f>IFERROR(O215*Q215,0)</f>
        <v>71694.84</v>
      </c>
      <c r="AC215" s="4" t="e" cm="1">
        <f t="array" ref="AC215">VLOOKUP(IF(NOT(_xll.BDP(AX215,$BW$8)="#N/A N/A"),(_xll.BDP(AX215,$BW$8)),"-"), '[1]Country Codes'!$A$2:$B$253,2,0)</f>
        <v>#N/A</v>
      </c>
      <c r="AD215" s="30" t="str" cm="1">
        <f t="array" ref="AD215">IF(OR(_xll.BDP($AX215,"EX028")= "#N/A N/A", _xll.BDP($AX215,"EX028")="#N/A FIELD NOT APPLICABLE"), " ", _xll.BDP($AX215,"EX028"))</f>
        <v>Equity</v>
      </c>
      <c r="AE215" s="31" t="str">
        <f>IF(("AS97"="Equity"), " ", "Single Line Equity")</f>
        <v>Single Line Equity</v>
      </c>
      <c r="AF215" s="26" cm="1">
        <f t="array" ref="AF215">IF(OR(_xll.BDP($AX215,"RR908")= "#N/A N/A", _xll.BDP($AX215,"RR908")="#N/A FIELD NOT APPLICABLE"), " ", _xll.BDP($AX215,"RR908"))</f>
        <v>14.687126263847768</v>
      </c>
      <c r="AG215" s="26" cm="1">
        <f t="array" ref="AG215">IF(OR(_xll.BDP($AX215,"RR041")= "#N/A N/A", _xll.BDP($AX215,"RR041")="#N/A FIELD NOT APPLICABLE"), " ", _xll.BDP($AX215,"RR041"))</f>
        <v>31.361847284177379</v>
      </c>
      <c r="AH215" s="22">
        <f>_xll.BDP(AX215,"TOT_BUY_REC")</f>
        <v>23</v>
      </c>
      <c r="AI215" s="22">
        <f>_xll.BDP(AX215,"TOT_HOLD_REC")</f>
        <v>20</v>
      </c>
      <c r="AJ215" s="22">
        <f>_xll.BDP(AX215,"TOT_SELL_REC")</f>
        <v>2</v>
      </c>
      <c r="AK215" s="26" cm="1">
        <f t="array" ref="AK215">IF(OR(_xll.BDP($AX215,"EE201")= "#N/A N/A", _xll.BDP($AX215,"EE201")="#N/A FIELD NOT APPLICABLE"), " ", _xll.BDP($AX215,"EE201"))</f>
        <v>3.9333333969116211</v>
      </c>
      <c r="AL215" s="24">
        <f>_xll.BDP(AX215,"BEST_TARGET_PRICE")</f>
        <v>74.608421325683594</v>
      </c>
      <c r="AM215" s="32">
        <f>(AL215/Q215)-1</f>
        <v>0.29663575470426817</v>
      </c>
      <c r="AN215" s="32">
        <f>_xll.BDP(AX215,"PR061")/100</f>
        <v>5.0655019999999995E-3</v>
      </c>
      <c r="AO215" s="32">
        <f>_xll.BDP(AX215,"PR064")/100</f>
        <v>-0.197937</v>
      </c>
      <c r="AP215" s="32">
        <f>_xll.BDP(AX215,"CHG_PCT_6M")/100</f>
        <v>-0.23605950000000001</v>
      </c>
      <c r="AQ215" s="25">
        <f>_xll.BDP(AX215,"PR079")/100</f>
        <v>-0.239593</v>
      </c>
      <c r="AR215" s="33">
        <f>_xll.BDP(AX215,"hs001")</f>
        <v>98.04</v>
      </c>
      <c r="AS215" s="33">
        <f>_xll.BDP(AX215,"hs002")</f>
        <v>52.28</v>
      </c>
      <c r="AT215" s="22" t="str" cm="1">
        <f t="array" ref="AT215">IF(OR(_xll.BDP($AX215,"DX202")= "#N/A N/A", _xll.BDP($AX215,"DX202")="#N/A FIELD NOT APPLICABLE"), " ", _xll.BDP($AX215,"DX202"))</f>
        <v>Consumer Discretionary</v>
      </c>
      <c r="AU215" s="22" t="str" cm="1">
        <f t="array" ref="AU215">IF(OR(_xll.BDP($AX215,"DY997")= "#N/A N/A", _xll.BDP($AX215,"DY997")="#N/A FIELD NOT APPLICABLE"), " ", _xll.BDP($AX215,"DY997"))</f>
        <v>Y</v>
      </c>
      <c r="AV215" s="22" t="str" cm="1">
        <f t="array" ref="AV215">IF(OR(_xll.BDP($AX215,"DY784")= "#N/A N/A", _xll.BDP($AX215,"DY784")="#N/A FIELD NOT APPLICABLE"), " ", _xll.BDP($AX215,"DY784"))</f>
        <v xml:space="preserve"> </v>
      </c>
      <c r="AW215" s="22" t="str">
        <f>IF(OR(AU215="Y",AV215="Y"),"Y","N")</f>
        <v>Y</v>
      </c>
      <c r="AX215" s="22" t="str">
        <f>CONCATENATE(G215," ",$AX$2)</f>
        <v>NKE US Equity</v>
      </c>
      <c r="BC215" s="38" t="str" cm="1">
        <f t="array" ref="BC215">_xll.BDP(AX215,"ID005")</f>
        <v>US6541061031</v>
      </c>
      <c r="BD215" s="38">
        <v>0.75</v>
      </c>
      <c r="BE215" s="94">
        <v>4</v>
      </c>
      <c r="BF215" s="95">
        <v>45560</v>
      </c>
      <c r="BG215" s="96">
        <v>1</v>
      </c>
    </row>
    <row r="216" spans="1:59" s="93" customFormat="1" ht="14.45" customHeight="1" x14ac:dyDescent="0.25">
      <c r="A216" s="49" t="s">
        <v>241</v>
      </c>
      <c r="B216" s="49" t="s">
        <v>266</v>
      </c>
      <c r="C216" s="49" t="s">
        <v>267</v>
      </c>
      <c r="D216" s="49" t="s">
        <v>240</v>
      </c>
      <c r="E216" s="22" t="str">
        <f>_xll.BDP(AX216,"SECURITY NAME")</f>
        <v>NIKE Inc</v>
      </c>
      <c r="F216" s="22" t="str">
        <f>_xll.BDP(AX216,"CRNCY")</f>
        <v>USD</v>
      </c>
      <c r="G216" s="23" t="s">
        <v>198</v>
      </c>
      <c r="H216" s="22" t="str" cm="1">
        <f t="array" ref="H216">IF(OR(_xll.BDP($AX216,"DX202")= "#N/A N/A", _xll.BDP($AX216,"DX202")="#N/A FIELD NOT APPLICABLE"), " ", _xll.BDP($AX216,"DX202"))</f>
        <v>Consumer Discretionary</v>
      </c>
      <c r="I216" s="24">
        <f>_xll.BDP(AX216,"CRNCY_ADJ_MKT_CAP", "EQY_FUND_CRNCY=USD")/1000</f>
        <v>84.928492621979998</v>
      </c>
      <c r="J216" s="25">
        <f>IFERROR(_xll.BDP(AX216, "DV013")/100,0)</f>
        <v>2.780674354956305E-2</v>
      </c>
      <c r="K216" s="26" cm="1">
        <f t="array" ref="K216">IF(OR(_xll.BDP($AX216,"RR900")= "#N/A N/A", _xll.BDP($AX216,"RR900")="#N/A FIELD NOT APPLICABLE"), " ", _xll.BDP($AX216,"RR900"))</f>
        <v>18.990099312055229</v>
      </c>
      <c r="L216" s="26" cm="1">
        <f t="array" ref="L216">IF(OR(_xll.BDP($AX216,"EE010")= "#N/A N/A", _xll.BDP($AX216,"EE010")="#N/A FIELD NOT APPLICABLE"), " ", _xll.BDP($AX216,"EE010"))</f>
        <v>28.827655310621243</v>
      </c>
      <c r="M216" s="26" cm="1">
        <f t="array" ref="M216">IF(OR(_xll.BDP($AX216,"RR903")= "#N/A N/A", _xll.BDP($AX216,"RR903")="#N/A FIELD NOT APPLICABLE"), " ", _xll.BDP($AX216,"RR903"))</f>
        <v>6.0674363783989351</v>
      </c>
      <c r="N216" s="26" cm="1">
        <f t="array" ref="N216">IF(OR(_xll.BDP($AX216,"RR957")= "#N/A N/A", _xll.BDP($AX216,"RR957")="#N/A FIELD NOT APPLICABLE"), " ", _xll.BDP($AX216,"RR957"))</f>
        <v>15.139490826966725</v>
      </c>
      <c r="O216" s="27">
        <v>747</v>
      </c>
      <c r="P216" s="28">
        <v>80.28</v>
      </c>
      <c r="Q216" s="22" cm="1">
        <f t="array" ref="Q216">IF(OR(_xll.BDP($AX216,"PX_last")="#N/A N/A",_xll.BDP($AX216,"PX_Last")="#N/A FIELD NOT APPLICABLE")," ",IF(F216="GBP",(_xll.BDP($AX216,"PX_LAST")/100),(_xll.BDP($AX216,"PX_LAST"))))</f>
        <v>57.54</v>
      </c>
      <c r="R216" s="29">
        <f>IF(F216="USD",AA216,(((_xll.BDP(F216&amp;"USD CURNCY","PX_LAST")))*AA216))</f>
        <v>59969.16</v>
      </c>
      <c r="S216" s="29">
        <f>IF(F216="USD",AB216,(((_xll.BDP(F216&amp;"USD CURNCY","PX_LAST")))*AB216))</f>
        <v>42982.38</v>
      </c>
      <c r="T216" s="12">
        <f>S216-R216</f>
        <v>-16986.780000000006</v>
      </c>
      <c r="U216" s="13">
        <f>T216/R216</f>
        <v>-0.28325859491778782</v>
      </c>
      <c r="V216" s="13" cm="1">
        <f t="array" ref="V216">IFERROR(_xll.BDP($G216&amp;" Equity","CHG_PCT_1D")/100,"")</f>
        <v>3.31299E-3</v>
      </c>
      <c r="W216" s="13" cm="1">
        <f t="array" ref="W216">IFERROR(_xll.BDP($G216&amp;" Equity","CHG_PCT_5D")/100,"")</f>
        <v>0</v>
      </c>
      <c r="X216" s="13" t="e">
        <f>S216/#REF!</f>
        <v>#REF!</v>
      </c>
      <c r="Y216" s="24">
        <f>IFERROR(S216*J216,0)</f>
        <v>1195.2000178098679</v>
      </c>
      <c r="Z216" s="24">
        <f>S216</f>
        <v>42982.38</v>
      </c>
      <c r="AA216" s="29">
        <f>P216*O216</f>
        <v>59969.16</v>
      </c>
      <c r="AB216" s="29">
        <f>IFERROR(O216*Q216,0)</f>
        <v>42982.38</v>
      </c>
      <c r="AC216" s="4" t="e" cm="1">
        <f t="array" ref="AC216">VLOOKUP(IF(NOT(_xll.BDP(AX216,$BW$8)="#N/A N/A"),(_xll.BDP(AX216,$BW$8)),"-"), '[1]Country Codes'!$A$2:$B$253,2,0)</f>
        <v>#N/A</v>
      </c>
      <c r="AD216" s="30" t="str" cm="1">
        <f t="array" ref="AD216">IF(OR(_xll.BDP($AX216,"EX028")= "#N/A N/A", _xll.BDP($AX216,"EX028")="#N/A FIELD NOT APPLICABLE"), " ", _xll.BDP($AX216,"EX028"))</f>
        <v>Equity</v>
      </c>
      <c r="AE216" s="31" t="str">
        <f>IF(("AS97"="Equity"), " ", "Single Line Equity")</f>
        <v>Single Line Equity</v>
      </c>
      <c r="AF216" s="26" cm="1">
        <f t="array" ref="AF216">IF(OR(_xll.BDP($AX216,"RR908")= "#N/A N/A", _xll.BDP($AX216,"RR908")="#N/A FIELD NOT APPLICABLE"), " ", _xll.BDP($AX216,"RR908"))</f>
        <v>14.687126263847768</v>
      </c>
      <c r="AG216" s="26" cm="1">
        <f t="array" ref="AG216">IF(OR(_xll.BDP($AX216,"RR041")= "#N/A N/A", _xll.BDP($AX216,"RR041")="#N/A FIELD NOT APPLICABLE"), " ", _xll.BDP($AX216,"RR041"))</f>
        <v>31.361847284177379</v>
      </c>
      <c r="AH216" s="22">
        <f>_xll.BDP(AX216,"TOT_BUY_REC")</f>
        <v>23</v>
      </c>
      <c r="AI216" s="22">
        <f>_xll.BDP(AX216,"TOT_HOLD_REC")</f>
        <v>20</v>
      </c>
      <c r="AJ216" s="22">
        <f>_xll.BDP(AX216,"TOT_SELL_REC")</f>
        <v>2</v>
      </c>
      <c r="AK216" s="26" cm="1">
        <f t="array" ref="AK216">IF(OR(_xll.BDP($AX216,"EE201")= "#N/A N/A", _xll.BDP($AX216,"EE201")="#N/A FIELD NOT APPLICABLE"), " ", _xll.BDP($AX216,"EE201"))</f>
        <v>3.9333333969116211</v>
      </c>
      <c r="AL216" s="24">
        <f>_xll.BDP(AX216,"BEST_TARGET_PRICE")</f>
        <v>74.608421325683594</v>
      </c>
      <c r="AM216" s="32">
        <f>(AL216/Q216)-1</f>
        <v>0.29663575470426817</v>
      </c>
      <c r="AN216" s="32">
        <f>_xll.BDP(AX216,"PR061")/100</f>
        <v>5.0655019999999995E-3</v>
      </c>
      <c r="AO216" s="32">
        <f>_xll.BDP(AX216,"PR064")/100</f>
        <v>-0.197937</v>
      </c>
      <c r="AP216" s="32">
        <f>_xll.BDP(AX216,"CHG_PCT_6M")/100</f>
        <v>-0.23605950000000001</v>
      </c>
      <c r="AQ216" s="25">
        <f>_xll.BDP(AX216,"PR079")/100</f>
        <v>-0.239593</v>
      </c>
      <c r="AR216" s="33">
        <f>_xll.BDP(AX216,"hs001")</f>
        <v>98.04</v>
      </c>
      <c r="AS216" s="33">
        <f>_xll.BDP(AX216,"hs002")</f>
        <v>52.28</v>
      </c>
      <c r="AT216" s="22" t="str" cm="1">
        <f t="array" ref="AT216">IF(OR(_xll.BDP($AX216,"DX202")= "#N/A N/A", _xll.BDP($AX216,"DX202")="#N/A FIELD NOT APPLICABLE"), " ", _xll.BDP($AX216,"DX202"))</f>
        <v>Consumer Discretionary</v>
      </c>
      <c r="AU216" s="22" t="str" cm="1">
        <f t="array" ref="AU216">IF(OR(_xll.BDP($AX216,"DY997")= "#N/A N/A", _xll.BDP($AX216,"DY997")="#N/A FIELD NOT APPLICABLE"), " ", _xll.BDP($AX216,"DY997"))</f>
        <v>Y</v>
      </c>
      <c r="AV216" s="22" t="str" cm="1">
        <f t="array" ref="AV216">IF(OR(_xll.BDP($AX216,"DY784")= "#N/A N/A", _xll.BDP($AX216,"DY784")="#N/A FIELD NOT APPLICABLE"), " ", _xll.BDP($AX216,"DY784"))</f>
        <v xml:space="preserve"> </v>
      </c>
      <c r="AW216" s="22" t="str">
        <f>IF(OR(AU216="Y",AV216="Y"),"Y","N")</f>
        <v>Y</v>
      </c>
      <c r="AX216" s="22" t="str">
        <f>CONCATENATE(G216," ",$AX$2)</f>
        <v>NKE US Equity</v>
      </c>
      <c r="BC216" s="38" t="str" cm="1">
        <f t="array" ref="BC216">_xll.BDP(AX216,"ID005")</f>
        <v>US6541061031</v>
      </c>
      <c r="BD216" s="38">
        <v>0.75</v>
      </c>
      <c r="BE216" s="94">
        <v>4</v>
      </c>
      <c r="BF216" s="95">
        <v>45560</v>
      </c>
      <c r="BG216" s="96">
        <v>1</v>
      </c>
    </row>
    <row r="217" spans="1:59" s="3" customFormat="1" ht="14.45" customHeight="1" x14ac:dyDescent="0.25">
      <c r="A217" s="49" t="s">
        <v>242</v>
      </c>
      <c r="B217" s="49" t="s">
        <v>268</v>
      </c>
      <c r="C217" s="49" t="s">
        <v>269</v>
      </c>
      <c r="D217" s="49" t="s">
        <v>248</v>
      </c>
      <c r="E217" s="22" t="str">
        <f>_xll.BDP(AX217,"SECURITY NAME")</f>
        <v>NIKE Inc</v>
      </c>
      <c r="F217" s="22" t="str">
        <f>_xll.BDP(AX217,"CRNCY")</f>
        <v>USD</v>
      </c>
      <c r="G217" s="23" t="s">
        <v>198</v>
      </c>
      <c r="H217" s="22" t="str" cm="1">
        <f t="array" ref="H217">IF(OR(_xll.BDP($AX217,"DX202")= "#N/A N/A", _xll.BDP($AX217,"DX202")="#N/A FIELD NOT APPLICABLE"), " ", _xll.BDP($AX217,"DX202"))</f>
        <v>Consumer Discretionary</v>
      </c>
      <c r="I217" s="24">
        <f>_xll.BDP(AX217,"CRNCY_ADJ_MKT_CAP", "EQY_FUND_CRNCY=USD")/1000</f>
        <v>84.928492621979998</v>
      </c>
      <c r="J217" s="25">
        <f>IFERROR(_xll.BDP(AX217, "DV013")/100,0)</f>
        <v>2.780674354956305E-2</v>
      </c>
      <c r="K217" s="26" cm="1">
        <f t="array" ref="K217">IF(OR(_xll.BDP($AX217,"RR900")= "#N/A N/A", _xll.BDP($AX217,"RR900")="#N/A FIELD NOT APPLICABLE"), " ", _xll.BDP($AX217,"RR900"))</f>
        <v>18.990099312055229</v>
      </c>
      <c r="L217" s="26" cm="1">
        <f t="array" ref="L217">IF(OR(_xll.BDP($AX217,"EE010")= "#N/A N/A", _xll.BDP($AX217,"EE010")="#N/A FIELD NOT APPLICABLE"), " ", _xll.BDP($AX217,"EE010"))</f>
        <v>28.827655310621243</v>
      </c>
      <c r="M217" s="26" cm="1">
        <f t="array" ref="M217">IF(OR(_xll.BDP($AX217,"RR903")= "#N/A N/A", _xll.BDP($AX217,"RR903")="#N/A FIELD NOT APPLICABLE"), " ", _xll.BDP($AX217,"RR903"))</f>
        <v>6.0674363783989351</v>
      </c>
      <c r="N217" s="26" cm="1">
        <f t="array" ref="N217">IF(OR(_xll.BDP($AX217,"RR957")= "#N/A N/A", _xll.BDP($AX217,"RR957")="#N/A FIELD NOT APPLICABLE"), " ", _xll.BDP($AX217,"RR957"))</f>
        <v>15.139490826966725</v>
      </c>
      <c r="O217" s="27">
        <v>1253</v>
      </c>
      <c r="P217" s="28">
        <v>79.75</v>
      </c>
      <c r="Q217" s="22" cm="1">
        <f t="array" ref="Q217">IF(OR(_xll.BDP($AX217,"PX_last")="#N/A N/A",_xll.BDP($AX217,"PX_Last")="#N/A FIELD NOT APPLICABLE")," ",IF(F217="GBP",(_xll.BDP($AX217,"PX_LAST")/100),(_xll.BDP($AX217,"PX_LAST"))))</f>
        <v>57.54</v>
      </c>
      <c r="R217" s="29">
        <f>IF(F217="USD",AA217,(((_xll.BDP(F217&amp;"USD CURNCY","PX_LAST")))*AA217))</f>
        <v>99926.75</v>
      </c>
      <c r="S217" s="29">
        <f>IF(F217="USD",AB217,(((_xll.BDP(F217&amp;"USD CURNCY","PX_LAST")))*AB217))</f>
        <v>72097.62</v>
      </c>
      <c r="T217" s="12">
        <f>S217-R217</f>
        <v>-27829.130000000005</v>
      </c>
      <c r="U217" s="13">
        <f>T217/R217</f>
        <v>-0.27849529780564269</v>
      </c>
      <c r="V217" s="13" cm="1">
        <f t="array" ref="V217">IFERROR(_xll.BDP($G217&amp;" Equity","CHG_PCT_1D")/100,"")</f>
        <v>3.31299E-3</v>
      </c>
      <c r="W217" s="13" cm="1">
        <f t="array" ref="W217">IFERROR(_xll.BDP($G217&amp;" Equity","CHG_PCT_5D")/100,"")</f>
        <v>0</v>
      </c>
      <c r="X217" s="13" t="e">
        <f>S217/#REF!</f>
        <v>#REF!</v>
      </c>
      <c r="Y217" s="24">
        <f>IFERROR(S217*J217,0)</f>
        <v>2004.8000298738477</v>
      </c>
      <c r="Z217" s="24">
        <f>S217</f>
        <v>72097.62</v>
      </c>
      <c r="AA217" s="29">
        <f>P217*O217</f>
        <v>99926.75</v>
      </c>
      <c r="AB217" s="29">
        <f>IFERROR(O217*Q217,0)</f>
        <v>72097.62</v>
      </c>
      <c r="AC217" s="4" t="e" cm="1">
        <f t="array" ref="AC217">VLOOKUP(IF(NOT(_xll.BDP(AX217,$BW$8)="#N/A N/A"),(_xll.BDP(AX217,$BW$8)),"-"), '[1]Country Codes'!$A$2:$B$253,2,0)</f>
        <v>#N/A</v>
      </c>
      <c r="AD217" s="30" t="str" cm="1">
        <f t="array" ref="AD217">IF(OR(_xll.BDP($AX217,"EX028")= "#N/A N/A", _xll.BDP($AX217,"EX028")="#N/A FIELD NOT APPLICABLE"), " ", _xll.BDP($AX217,"EX028"))</f>
        <v>Equity</v>
      </c>
      <c r="AE217" s="31" t="str">
        <f>IF(("AS97"="Equity"), " ", "Single Line Equity")</f>
        <v>Single Line Equity</v>
      </c>
      <c r="AF217" s="26" cm="1">
        <f t="array" ref="AF217">IF(OR(_xll.BDP($AX217,"RR908")= "#N/A N/A", _xll.BDP($AX217,"RR908")="#N/A FIELD NOT APPLICABLE"), " ", _xll.BDP($AX217,"RR908"))</f>
        <v>14.687126263847768</v>
      </c>
      <c r="AG217" s="26" cm="1">
        <f t="array" ref="AG217">IF(OR(_xll.BDP($AX217,"RR041")= "#N/A N/A", _xll.BDP($AX217,"RR041")="#N/A FIELD NOT APPLICABLE"), " ", _xll.BDP($AX217,"RR041"))</f>
        <v>31.361847284177379</v>
      </c>
      <c r="AH217" s="22">
        <f>_xll.BDP(AX217,"TOT_BUY_REC")</f>
        <v>23</v>
      </c>
      <c r="AI217" s="22">
        <f>_xll.BDP(AX217,"TOT_HOLD_REC")</f>
        <v>20</v>
      </c>
      <c r="AJ217" s="22">
        <f>_xll.BDP(AX217,"TOT_SELL_REC")</f>
        <v>2</v>
      </c>
      <c r="AK217" s="26" cm="1">
        <f t="array" ref="AK217">IF(OR(_xll.BDP($AX217,"EE201")= "#N/A N/A", _xll.BDP($AX217,"EE201")="#N/A FIELD NOT APPLICABLE"), " ", _xll.BDP($AX217,"EE201"))</f>
        <v>3.9333333969116211</v>
      </c>
      <c r="AL217" s="24">
        <f>_xll.BDP(AX217,"BEST_TARGET_PRICE")</f>
        <v>74.608421325683594</v>
      </c>
      <c r="AM217" s="32">
        <f>(AL217/Q217)-1</f>
        <v>0.29663575470426817</v>
      </c>
      <c r="AN217" s="32">
        <f>_xll.BDP(AX217,"PR061")/100</f>
        <v>5.0655019999999995E-3</v>
      </c>
      <c r="AO217" s="32">
        <f>_xll.BDP(AX217,"PR064")/100</f>
        <v>-0.197937</v>
      </c>
      <c r="AP217" s="32">
        <f>_xll.BDP(AX217,"CHG_PCT_6M")/100</f>
        <v>-0.23605950000000001</v>
      </c>
      <c r="AQ217" s="25">
        <f>_xll.BDP(AX217,"PR079")/100</f>
        <v>-0.239593</v>
      </c>
      <c r="AR217" s="33">
        <f>_xll.BDP(AX217,"hs001")</f>
        <v>98.04</v>
      </c>
      <c r="AS217" s="33">
        <f>_xll.BDP(AX217,"hs002")</f>
        <v>52.28</v>
      </c>
      <c r="AT217" s="22" t="str" cm="1">
        <f t="array" ref="AT217">IF(OR(_xll.BDP($AX217,"DX202")= "#N/A N/A", _xll.BDP($AX217,"DX202")="#N/A FIELD NOT APPLICABLE"), " ", _xll.BDP($AX217,"DX202"))</f>
        <v>Consumer Discretionary</v>
      </c>
      <c r="AU217" s="22" t="str" cm="1">
        <f t="array" ref="AU217">IF(OR(_xll.BDP($AX217,"DY997")= "#N/A N/A", _xll.BDP($AX217,"DY997")="#N/A FIELD NOT APPLICABLE"), " ", _xll.BDP($AX217,"DY997"))</f>
        <v>Y</v>
      </c>
      <c r="AV217" s="22" t="str" cm="1">
        <f t="array" ref="AV217">IF(OR(_xll.BDP($AX217,"DY784")= "#N/A N/A", _xll.BDP($AX217,"DY784")="#N/A FIELD NOT APPLICABLE"), " ", _xll.BDP($AX217,"DY784"))</f>
        <v xml:space="preserve"> </v>
      </c>
      <c r="AW217" s="22" t="str">
        <f>IF(OR(AU217="Y",AV217="Y"),"Y","N")</f>
        <v>Y</v>
      </c>
      <c r="AX217" s="22" t="str">
        <f>CONCATENATE(G217," ",$AX$2)</f>
        <v>NKE US Equity</v>
      </c>
      <c r="BC217" s="17" t="str" cm="1">
        <f t="array" ref="BC217">_xll.BDP(AX217,"ID005")</f>
        <v>US6541061031</v>
      </c>
      <c r="BD217" s="17">
        <v>0.75</v>
      </c>
      <c r="BE217" s="18">
        <v>4</v>
      </c>
      <c r="BF217" s="19">
        <v>45560</v>
      </c>
      <c r="BG217" s="20">
        <v>1</v>
      </c>
    </row>
    <row r="218" spans="1:59" s="3" customFormat="1" ht="14.45" customHeight="1" x14ac:dyDescent="0.25">
      <c r="A218" s="49" t="s">
        <v>241</v>
      </c>
      <c r="B218" s="49" t="s">
        <v>270</v>
      </c>
      <c r="C218" s="49" t="s">
        <v>271</v>
      </c>
      <c r="D218" s="49" t="s">
        <v>240</v>
      </c>
      <c r="E218" s="22" t="str">
        <f>_xll.BDP(AX218,"SECURITY NAME")</f>
        <v>NIKE Inc</v>
      </c>
      <c r="F218" s="22" t="str">
        <f>_xll.BDP(AX218,"CRNCY")</f>
        <v>USD</v>
      </c>
      <c r="G218" s="23" t="s">
        <v>198</v>
      </c>
      <c r="H218" s="22" t="str" cm="1">
        <f t="array" ref="H218">IF(OR(_xll.BDP($AX218,"DX202")= "#N/A N/A", _xll.BDP($AX218,"DX202")="#N/A FIELD NOT APPLICABLE"), " ", _xll.BDP($AX218,"DX202"))</f>
        <v>Consumer Discretionary</v>
      </c>
      <c r="I218" s="24">
        <f>_xll.BDP(AX218,"CRNCY_ADJ_MKT_CAP", "EQY_FUND_CRNCY=USD")/1000</f>
        <v>84.928492621979998</v>
      </c>
      <c r="J218" s="25">
        <f>IFERROR(_xll.BDP(AX218, "DV013")/100,0)</f>
        <v>2.780674354956305E-2</v>
      </c>
      <c r="K218" s="26" cm="1">
        <f t="array" ref="K218">IF(OR(_xll.BDP($AX218,"RR900")= "#N/A N/A", _xll.BDP($AX218,"RR900")="#N/A FIELD NOT APPLICABLE"), " ", _xll.BDP($AX218,"RR900"))</f>
        <v>18.990099312055229</v>
      </c>
      <c r="L218" s="26" cm="1">
        <f t="array" ref="L218">IF(OR(_xll.BDP($AX218,"EE010")= "#N/A N/A", _xll.BDP($AX218,"EE010")="#N/A FIELD NOT APPLICABLE"), " ", _xll.BDP($AX218,"EE010"))</f>
        <v>28.827655310621243</v>
      </c>
      <c r="M218" s="26" cm="1">
        <f t="array" ref="M218">IF(OR(_xll.BDP($AX218,"RR903")= "#N/A N/A", _xll.BDP($AX218,"RR903")="#N/A FIELD NOT APPLICABLE"), " ", _xll.BDP($AX218,"RR903"))</f>
        <v>6.0674363783989351</v>
      </c>
      <c r="N218" s="26" cm="1">
        <f t="array" ref="N218">IF(OR(_xll.BDP($AX218,"RR957")= "#N/A N/A", _xll.BDP($AX218,"RR957")="#N/A FIELD NOT APPLICABLE"), " ", _xll.BDP($AX218,"RR957"))</f>
        <v>15.139490826966725</v>
      </c>
      <c r="O218" s="27">
        <v>934</v>
      </c>
      <c r="P218" s="28">
        <v>80.28</v>
      </c>
      <c r="Q218" s="22" cm="1">
        <f t="array" ref="Q218">IF(OR(_xll.BDP($AX218,"PX_last")="#N/A N/A",_xll.BDP($AX218,"PX_Last")="#N/A FIELD NOT APPLICABLE")," ",IF(F218="GBP",(_xll.BDP($AX218,"PX_LAST")/100),(_xll.BDP($AX218,"PX_LAST"))))</f>
        <v>57.54</v>
      </c>
      <c r="R218" s="29">
        <f>IF(F218="USD",AA218,(((_xll.BDP(F218&amp;"USD CURNCY","PX_LAST")))*AA218))</f>
        <v>74981.52</v>
      </c>
      <c r="S218" s="29">
        <f>IF(F218="USD",AB218,(((_xll.BDP(F218&amp;"USD CURNCY","PX_LAST")))*AB218))</f>
        <v>53742.36</v>
      </c>
      <c r="T218" s="12">
        <f>S218-R218</f>
        <v>-21239.160000000003</v>
      </c>
      <c r="U218" s="13">
        <f>T218/R218</f>
        <v>-0.28325859491778776</v>
      </c>
      <c r="V218" s="13" cm="1">
        <f t="array" ref="V218">IFERROR(_xll.BDP($G218&amp;" Equity","CHG_PCT_1D")/100,"")</f>
        <v>3.31299E-3</v>
      </c>
      <c r="W218" s="13" cm="1">
        <f t="array" ref="W218">IFERROR(_xll.BDP($G218&amp;" Equity","CHG_PCT_5D")/100,"")</f>
        <v>0</v>
      </c>
      <c r="X218" s="13" t="e">
        <f>S218/#REF!</f>
        <v>#REF!</v>
      </c>
      <c r="Y218" s="24">
        <f>IFERROR(S218*J218,0)</f>
        <v>1494.4000222682953</v>
      </c>
      <c r="Z218" s="24">
        <f>S218</f>
        <v>53742.36</v>
      </c>
      <c r="AA218" s="29">
        <f>P218*O218</f>
        <v>74981.52</v>
      </c>
      <c r="AB218" s="29">
        <f>IFERROR(O218*Q218,0)</f>
        <v>53742.36</v>
      </c>
      <c r="AC218" s="4" t="e" cm="1">
        <f t="array" ref="AC218">VLOOKUP(IF(NOT(_xll.BDP(AX218,$BW$8)="#N/A N/A"),(_xll.BDP(AX218,$BW$8)),"-"), '[1]Country Codes'!$A$2:$B$253,2,0)</f>
        <v>#N/A</v>
      </c>
      <c r="AD218" s="30" t="str" cm="1">
        <f t="array" ref="AD218">IF(OR(_xll.BDP($AX218,"EX028")= "#N/A N/A", _xll.BDP($AX218,"EX028")="#N/A FIELD NOT APPLICABLE"), " ", _xll.BDP($AX218,"EX028"))</f>
        <v>Equity</v>
      </c>
      <c r="AE218" s="31" t="str">
        <f>IF(("AS97"="Equity"), " ", "Single Line Equity")</f>
        <v>Single Line Equity</v>
      </c>
      <c r="AF218" s="26" cm="1">
        <f t="array" ref="AF218">IF(OR(_xll.BDP($AX218,"RR908")= "#N/A N/A", _xll.BDP($AX218,"RR908")="#N/A FIELD NOT APPLICABLE"), " ", _xll.BDP($AX218,"RR908"))</f>
        <v>14.687126263847768</v>
      </c>
      <c r="AG218" s="26" cm="1">
        <f t="array" ref="AG218">IF(OR(_xll.BDP($AX218,"RR041")= "#N/A N/A", _xll.BDP($AX218,"RR041")="#N/A FIELD NOT APPLICABLE"), " ", _xll.BDP($AX218,"RR041"))</f>
        <v>31.361847284177379</v>
      </c>
      <c r="AH218" s="22">
        <f>_xll.BDP(AX218,"TOT_BUY_REC")</f>
        <v>23</v>
      </c>
      <c r="AI218" s="22">
        <f>_xll.BDP(AX218,"TOT_HOLD_REC")</f>
        <v>20</v>
      </c>
      <c r="AJ218" s="22">
        <f>_xll.BDP(AX218,"TOT_SELL_REC")</f>
        <v>2</v>
      </c>
      <c r="AK218" s="26" cm="1">
        <f t="array" ref="AK218">IF(OR(_xll.BDP($AX218,"EE201")= "#N/A N/A", _xll.BDP($AX218,"EE201")="#N/A FIELD NOT APPLICABLE"), " ", _xll.BDP($AX218,"EE201"))</f>
        <v>3.9333333969116211</v>
      </c>
      <c r="AL218" s="24">
        <f>_xll.BDP(AX218,"BEST_TARGET_PRICE")</f>
        <v>74.608421325683594</v>
      </c>
      <c r="AM218" s="32">
        <f>(AL218/Q218)-1</f>
        <v>0.29663575470426817</v>
      </c>
      <c r="AN218" s="32">
        <f>_xll.BDP(AX218,"PR061")/100</f>
        <v>5.0655019999999995E-3</v>
      </c>
      <c r="AO218" s="32">
        <f>_xll.BDP(AX218,"PR064")/100</f>
        <v>-0.197937</v>
      </c>
      <c r="AP218" s="32">
        <f>_xll.BDP(AX218,"CHG_PCT_6M")/100</f>
        <v>-0.23605950000000001</v>
      </c>
      <c r="AQ218" s="25">
        <f>_xll.BDP(AX218,"PR079")/100</f>
        <v>-0.239593</v>
      </c>
      <c r="AR218" s="33">
        <f>_xll.BDP(AX218,"hs001")</f>
        <v>98.04</v>
      </c>
      <c r="AS218" s="33">
        <f>_xll.BDP(AX218,"hs002")</f>
        <v>52.28</v>
      </c>
      <c r="AT218" s="22" t="str" cm="1">
        <f t="array" ref="AT218">IF(OR(_xll.BDP($AX218,"DX202")= "#N/A N/A", _xll.BDP($AX218,"DX202")="#N/A FIELD NOT APPLICABLE"), " ", _xll.BDP($AX218,"DX202"))</f>
        <v>Consumer Discretionary</v>
      </c>
      <c r="AU218" s="22" t="str" cm="1">
        <f t="array" ref="AU218">IF(OR(_xll.BDP($AX218,"DY997")= "#N/A N/A", _xll.BDP($AX218,"DY997")="#N/A FIELD NOT APPLICABLE"), " ", _xll.BDP($AX218,"DY997"))</f>
        <v>Y</v>
      </c>
      <c r="AV218" s="22" t="str" cm="1">
        <f t="array" ref="AV218">IF(OR(_xll.BDP($AX218,"DY784")= "#N/A N/A", _xll.BDP($AX218,"DY784")="#N/A FIELD NOT APPLICABLE"), " ", _xll.BDP($AX218,"DY784"))</f>
        <v xml:space="preserve"> </v>
      </c>
      <c r="AW218" s="22" t="str">
        <f>IF(OR(AU218="Y",AV218="Y"),"Y","N")</f>
        <v>Y</v>
      </c>
      <c r="AX218" s="22" t="str">
        <f>CONCATENATE(G218," ",$AX$2)</f>
        <v>NKE US Equity</v>
      </c>
      <c r="BC218" s="17" t="str" cm="1">
        <f t="array" ref="BC218">_xll.BDP(AX218,"ID005")</f>
        <v>US6541061031</v>
      </c>
      <c r="BD218" s="17">
        <v>0.75</v>
      </c>
      <c r="BE218" s="18">
        <v>4</v>
      </c>
      <c r="BF218" s="19">
        <v>45540</v>
      </c>
      <c r="BG218" s="20">
        <v>1</v>
      </c>
    </row>
    <row r="219" spans="1:59" s="3" customFormat="1" ht="14.45" customHeight="1" x14ac:dyDescent="0.25">
      <c r="A219" s="49" t="s">
        <v>241</v>
      </c>
      <c r="B219" s="49" t="s">
        <v>272</v>
      </c>
      <c r="C219" s="49">
        <v>2620061.0010000002</v>
      </c>
      <c r="D219" s="49" t="s">
        <v>240</v>
      </c>
      <c r="E219" s="22" t="str">
        <f>_xll.BDP(AX219,"SECURITY NAME")</f>
        <v>NIKE Inc</v>
      </c>
      <c r="F219" s="22" t="str">
        <f>_xll.BDP(AX219,"CRNCY")</f>
        <v>USD</v>
      </c>
      <c r="G219" s="23" t="s">
        <v>198</v>
      </c>
      <c r="H219" s="22" t="str" cm="1">
        <f t="array" ref="H219">IF(OR(_xll.BDP($AX219,"DX202")= "#N/A N/A", _xll.BDP($AX219,"DX202")="#N/A FIELD NOT APPLICABLE"), " ", _xll.BDP($AX219,"DX202"))</f>
        <v>Consumer Discretionary</v>
      </c>
      <c r="I219" s="24">
        <f>_xll.BDP(AX219,"CRNCY_ADJ_MKT_CAP", "EQY_FUND_CRNCY=USD")/1000</f>
        <v>84.928492621979998</v>
      </c>
      <c r="J219" s="25">
        <f>IFERROR(_xll.BDP(AX219, "DV013")/100,0)</f>
        <v>2.780674354956305E-2</v>
      </c>
      <c r="K219" s="26" cm="1">
        <f t="array" ref="K219">IF(OR(_xll.BDP($AX219,"RR900")= "#N/A N/A", _xll.BDP($AX219,"RR900")="#N/A FIELD NOT APPLICABLE"), " ", _xll.BDP($AX219,"RR900"))</f>
        <v>18.990099312055229</v>
      </c>
      <c r="L219" s="26" cm="1">
        <f t="array" ref="L219">IF(OR(_xll.BDP($AX219,"EE010")= "#N/A N/A", _xll.BDP($AX219,"EE010")="#N/A FIELD NOT APPLICABLE"), " ", _xll.BDP($AX219,"EE010"))</f>
        <v>28.827655310621243</v>
      </c>
      <c r="M219" s="26" cm="1">
        <f t="array" ref="M219">IF(OR(_xll.BDP($AX219,"RR903")= "#N/A N/A", _xll.BDP($AX219,"RR903")="#N/A FIELD NOT APPLICABLE"), " ", _xll.BDP($AX219,"RR903"))</f>
        <v>6.0674363783989351</v>
      </c>
      <c r="N219" s="26" cm="1">
        <f t="array" ref="N219">IF(OR(_xll.BDP($AX219,"RR957")= "#N/A N/A", _xll.BDP($AX219,"RR957")="#N/A FIELD NOT APPLICABLE"), " ", _xll.BDP($AX219,"RR957"))</f>
        <v>15.139490826966725</v>
      </c>
      <c r="O219" s="27">
        <v>934</v>
      </c>
      <c r="P219" s="28">
        <v>80.28</v>
      </c>
      <c r="Q219" s="22" cm="1">
        <f t="array" ref="Q219">IF(OR(_xll.BDP($AX219,"PX_last")="#N/A N/A",_xll.BDP($AX219,"PX_Last")="#N/A FIELD NOT APPLICABLE")," ",IF(F219="GBP",(_xll.BDP($AX219,"PX_LAST")/100),(_xll.BDP($AX219,"PX_LAST"))))</f>
        <v>57.54</v>
      </c>
      <c r="R219" s="29">
        <f>IF(F219="USD",AA219,(((_xll.BDP(F219&amp;"USD CURNCY","PX_LAST")))*AA219))</f>
        <v>74981.52</v>
      </c>
      <c r="S219" s="29">
        <f>IF(F219="USD",AB219,(((_xll.BDP(F219&amp;"USD CURNCY","PX_LAST")))*AB219))</f>
        <v>53742.36</v>
      </c>
      <c r="T219" s="12">
        <f>S219-R219</f>
        <v>-21239.160000000003</v>
      </c>
      <c r="U219" s="13">
        <f>IFERROR(T219/R219,0)</f>
        <v>-0.28325859491778776</v>
      </c>
      <c r="V219" s="13" cm="1">
        <f t="array" ref="V219">IFERROR(_xll.BDP($G219&amp;" Equity","CHG_PCT_1D")/100,"")</f>
        <v>3.31299E-3</v>
      </c>
      <c r="W219" s="13" cm="1">
        <f t="array" ref="W219">IFERROR(_xll.BDP($G219&amp;" Equity","CHG_PCT_5D")/100,"")</f>
        <v>0</v>
      </c>
      <c r="X219" s="13" t="e">
        <f>S219/#REF!</f>
        <v>#REF!</v>
      </c>
      <c r="Y219" s="24">
        <f>IFERROR(S219*J219,0)</f>
        <v>1494.4000222682953</v>
      </c>
      <c r="Z219" s="24">
        <f>S219</f>
        <v>53742.36</v>
      </c>
      <c r="AA219" s="29">
        <f>P219*O219</f>
        <v>74981.52</v>
      </c>
      <c r="AB219" s="29">
        <f>IFERROR(O219*Q219,0)</f>
        <v>53742.36</v>
      </c>
      <c r="AC219" s="4" t="e" cm="1">
        <f t="array" ref="AC219">VLOOKUP(IF(NOT(_xll.BDP(AX219,$BW$8)="#N/A N/A"),(_xll.BDP(AX219,$BW$8)),"-"), '[1]Country Codes'!$A$2:$B$253,2,0)</f>
        <v>#N/A</v>
      </c>
      <c r="AD219" s="30" t="str" cm="1">
        <f t="array" ref="AD219">IF(OR(_xll.BDP($AX219,"EX028")= "#N/A N/A", _xll.BDP($AX219,"EX028")="#N/A FIELD NOT APPLICABLE"), " ", _xll.BDP($AX219,"EX028"))</f>
        <v>Equity</v>
      </c>
      <c r="AE219" s="31" t="str">
        <f>IF(("AS97"="Equity"), " ", "Single Line Equity")</f>
        <v>Single Line Equity</v>
      </c>
      <c r="AF219" s="26" cm="1">
        <f t="array" ref="AF219">IF(OR(_xll.BDP($AX219,"RR908")= "#N/A N/A", _xll.BDP($AX219,"RR908")="#N/A FIELD NOT APPLICABLE"), " ", _xll.BDP($AX219,"RR908"))</f>
        <v>14.687126263847768</v>
      </c>
      <c r="AG219" s="26" cm="1">
        <f t="array" ref="AG219">IF(OR(_xll.BDP($AX219,"RR041")= "#N/A N/A", _xll.BDP($AX219,"RR041")="#N/A FIELD NOT APPLICABLE"), " ", _xll.BDP($AX219,"RR041"))</f>
        <v>31.361847284177379</v>
      </c>
      <c r="AH219" s="22">
        <f>_xll.BDP(AX219,"TOT_BUY_REC")</f>
        <v>23</v>
      </c>
      <c r="AI219" s="22">
        <f>_xll.BDP(AX219,"TOT_HOLD_REC")</f>
        <v>20</v>
      </c>
      <c r="AJ219" s="22">
        <f>_xll.BDP(AX219,"TOT_SELL_REC")</f>
        <v>2</v>
      </c>
      <c r="AK219" s="26" cm="1">
        <f t="array" ref="AK219">IF(OR(_xll.BDP($AX219,"EE201")= "#N/A N/A", _xll.BDP($AX219,"EE201")="#N/A FIELD NOT APPLICABLE"), " ", _xll.BDP($AX219,"EE201"))</f>
        <v>3.9333333969116211</v>
      </c>
      <c r="AL219" s="24">
        <f>_xll.BDP(AX219,"BEST_TARGET_PRICE")</f>
        <v>74.608421325683594</v>
      </c>
      <c r="AM219" s="32">
        <f>(AL219/Q219)-1</f>
        <v>0.29663575470426817</v>
      </c>
      <c r="AN219" s="32">
        <f>_xll.BDP(AX219,"PR061")/100</f>
        <v>5.0655019999999995E-3</v>
      </c>
      <c r="AO219" s="32">
        <f>_xll.BDP(AX219,"PR064")/100</f>
        <v>-0.197937</v>
      </c>
      <c r="AP219" s="32">
        <f>_xll.BDP(AX219,"CHG_PCT_6M")/100</f>
        <v>-0.23605950000000001</v>
      </c>
      <c r="AQ219" s="25">
        <f>_xll.BDP(AX219,"PR079")/100</f>
        <v>-0.239593</v>
      </c>
      <c r="AR219" s="33">
        <f>_xll.BDP(AX219,"hs001")</f>
        <v>98.04</v>
      </c>
      <c r="AS219" s="33">
        <f>_xll.BDP(AX219,"hs002")</f>
        <v>52.28</v>
      </c>
      <c r="AT219" s="22" t="str" cm="1">
        <f t="array" ref="AT219">IF(OR(_xll.BDP($AX219,"DX202")= "#N/A N/A", _xll.BDP($AX219,"DX202")="#N/A FIELD NOT APPLICABLE"), " ", _xll.BDP($AX219,"DX202"))</f>
        <v>Consumer Discretionary</v>
      </c>
      <c r="AU219" s="22" t="str" cm="1">
        <f t="array" ref="AU219">IF(OR(_xll.BDP($AX219,"DY997")= "#N/A N/A", _xll.BDP($AX219,"DY997")="#N/A FIELD NOT APPLICABLE"), " ", _xll.BDP($AX219,"DY997"))</f>
        <v>Y</v>
      </c>
      <c r="AV219" s="22" t="str" cm="1">
        <f t="array" ref="AV219">IF(OR(_xll.BDP($AX219,"DY784")= "#N/A N/A", _xll.BDP($AX219,"DY784")="#N/A FIELD NOT APPLICABLE"), " ", _xll.BDP($AX219,"DY784"))</f>
        <v xml:space="preserve"> </v>
      </c>
      <c r="AW219" s="22" t="str">
        <f>IF(OR(AU219="Y",AV219="Y"),"Y","N")</f>
        <v>Y</v>
      </c>
      <c r="AX219" s="22" t="str">
        <f>CONCATENATE(G219," ",$AX$2)</f>
        <v>NKE US Equity</v>
      </c>
      <c r="BC219" s="17" t="str" cm="1">
        <f t="array" ref="BC219">_xll.BDP(AX219,"ID005")</f>
        <v>US6541061031</v>
      </c>
      <c r="BD219" s="17">
        <v>0.75</v>
      </c>
      <c r="BE219" s="18">
        <v>4</v>
      </c>
      <c r="BF219" s="19">
        <v>45540</v>
      </c>
      <c r="BG219" s="20">
        <v>1</v>
      </c>
    </row>
    <row r="220" spans="1:59" s="3" customFormat="1" ht="14.45" customHeight="1" x14ac:dyDescent="0.25">
      <c r="A220" s="49" t="s">
        <v>241</v>
      </c>
      <c r="B220" s="49" t="s">
        <v>273</v>
      </c>
      <c r="C220" s="49">
        <v>2620058.003</v>
      </c>
      <c r="D220" s="49" t="s">
        <v>240</v>
      </c>
      <c r="E220" s="22" t="str">
        <f>_xll.BDP(AX220,"SECURITY NAME")</f>
        <v>NIKE Inc</v>
      </c>
      <c r="F220" s="22" t="str">
        <f>_xll.BDP(AX220,"CRNCY")</f>
        <v>USD</v>
      </c>
      <c r="G220" s="23" t="s">
        <v>198</v>
      </c>
      <c r="H220" s="22" t="str" cm="1">
        <f t="array" ref="H220">IF(OR(_xll.BDP($AX220,"DX202")= "#N/A N/A", _xll.BDP($AX220,"DX202")="#N/A FIELD NOT APPLICABLE"), " ", _xll.BDP($AX220,"DX202"))</f>
        <v>Consumer Discretionary</v>
      </c>
      <c r="I220" s="24"/>
      <c r="J220" s="25">
        <f>IFERROR(_xll.BDP(AX220, "DV013")/100,0)</f>
        <v>2.780674354956305E-2</v>
      </c>
      <c r="K220" s="26" cm="1">
        <f t="array" ref="K220">IF(OR(_xll.BDP($AX220,"RR900")= "#N/A N/A", _xll.BDP($AX220,"RR900")="#N/A FIELD NOT APPLICABLE"), " ", _xll.BDP($AX220,"RR900"))</f>
        <v>18.990099312055229</v>
      </c>
      <c r="L220" s="26" cm="1">
        <f t="array" ref="L220">IF(OR(_xll.BDP($AX220,"EE010")= "#N/A N/A", _xll.BDP($AX220,"EE010")="#N/A FIELD NOT APPLICABLE"), " ", _xll.BDP($AX220,"EE010"))</f>
        <v>28.827655310621243</v>
      </c>
      <c r="M220" s="26" cm="1">
        <f t="array" ref="M220">IF(OR(_xll.BDP($AX220,"RR903")= "#N/A N/A", _xll.BDP($AX220,"RR903")="#N/A FIELD NOT APPLICABLE"), " ", _xll.BDP($AX220,"RR903"))</f>
        <v>6.0674363783989351</v>
      </c>
      <c r="N220" s="26" cm="1">
        <f t="array" ref="N220">IF(OR(_xll.BDP($AX220,"RR957")= "#N/A N/A", _xll.BDP($AX220,"RR957")="#N/A FIELD NOT APPLICABLE"), " ", _xll.BDP($AX220,"RR957"))</f>
        <v>15.139490826966725</v>
      </c>
      <c r="O220" s="27">
        <v>623</v>
      </c>
      <c r="P220" s="28">
        <v>80.28</v>
      </c>
      <c r="Q220" s="22" cm="1">
        <f t="array" ref="Q220">IF(OR(_xll.BDP($AX220,"PX_last")="#N/A N/A",_xll.BDP($AX220,"PX_Last")="#N/A FIELD NOT APPLICABLE")," ",IF(F220="GBP",(_xll.BDP($AX220,"PX_LAST")/100),(_xll.BDP($AX220,"PX_LAST"))))</f>
        <v>57.54</v>
      </c>
      <c r="R220" s="29">
        <f>IF(F220="USD",AA220,(((_xll.BDP(F220&amp;"USD CURNCY","PX_LAST")))*AA220))</f>
        <v>50014.44</v>
      </c>
      <c r="S220" s="29">
        <f>IF(F220="USD",AB220,(((_xll.BDP(F220&amp;"USD CURNCY","PX_LAST")))*AB220))</f>
        <v>35847.42</v>
      </c>
      <c r="T220" s="12">
        <f>S220-R220</f>
        <v>-14167.020000000004</v>
      </c>
      <c r="U220" s="13">
        <f>T220/R220</f>
        <v>-0.28325859491778782</v>
      </c>
      <c r="V220" s="13" cm="1">
        <f t="array" ref="V220">IFERROR(_xll.BDP($G220&amp;" Equity","CHG_PCT_1D")/100,"")</f>
        <v>3.31299E-3</v>
      </c>
      <c r="W220" s="13" cm="1">
        <f t="array" ref="W220">IFERROR(_xll.BDP($G220&amp;" Equity","CHG_PCT_5D")/100,"")</f>
        <v>0</v>
      </c>
      <c r="X220" s="13" t="e">
        <f>S220/#REF!</f>
        <v>#REF!</v>
      </c>
      <c r="Y220" s="24">
        <f>IFERROR(S220*J220,0)</f>
        <v>996.80001485347736</v>
      </c>
      <c r="Z220" s="24">
        <f>S220</f>
        <v>35847.42</v>
      </c>
      <c r="AA220" s="29">
        <f>P220*O220</f>
        <v>50014.44</v>
      </c>
      <c r="AB220" s="29">
        <f>IFERROR(O220*Q220,0)</f>
        <v>35847.42</v>
      </c>
      <c r="AC220" s="4" t="e" cm="1">
        <f t="array" ref="AC220">VLOOKUP(IF(NOT(_xll.BDP(AX220,$BW$8)="#N/A N/A"),(_xll.BDP(AX220,$BW$8)),"-"), '[1]Country Codes'!$A$2:$B$253,2,0)</f>
        <v>#N/A</v>
      </c>
      <c r="AD220" s="30" t="str" cm="1">
        <f t="array" ref="AD220">IF(OR(_xll.BDP($AX220,"EX028")= "#N/A N/A", _xll.BDP($AX220,"EX028")="#N/A FIELD NOT APPLICABLE"), " ", _xll.BDP($AX220,"EX028"))</f>
        <v>Equity</v>
      </c>
      <c r="AE220" s="31" t="str">
        <f>IF(("AS97"="Equity"), " ", "Single Line Equity")</f>
        <v>Single Line Equity</v>
      </c>
      <c r="AF220" s="26" cm="1">
        <f t="array" ref="AF220">IF(OR(_xll.BDP($AX220,"RR908")= "#N/A N/A", _xll.BDP($AX220,"RR908")="#N/A FIELD NOT APPLICABLE"), " ", _xll.BDP($AX220,"RR908"))</f>
        <v>14.687126263847768</v>
      </c>
      <c r="AG220" s="26" cm="1">
        <f t="array" ref="AG220">IF(OR(_xll.BDP($AX220,"RR041")= "#N/A N/A", _xll.BDP($AX220,"RR041")="#N/A FIELD NOT APPLICABLE"), " ", _xll.BDP($AX220,"RR041"))</f>
        <v>31.361847284177379</v>
      </c>
      <c r="AH220" s="22">
        <f>_xll.BDP(AX220,"TOT_BUY_REC")</f>
        <v>23</v>
      </c>
      <c r="AI220" s="22">
        <f>_xll.BDP(AX220,"TOT_HOLD_REC")</f>
        <v>20</v>
      </c>
      <c r="AJ220" s="22">
        <f>_xll.BDP(AX220,"TOT_SELL_REC")</f>
        <v>2</v>
      </c>
      <c r="AK220" s="26" cm="1">
        <f t="array" ref="AK220">IF(OR(_xll.BDP($AX220,"EE201")= "#N/A N/A", _xll.BDP($AX220,"EE201")="#N/A FIELD NOT APPLICABLE"), " ", _xll.BDP($AX220,"EE201"))</f>
        <v>3.9333333969116211</v>
      </c>
      <c r="AL220" s="24">
        <f>_xll.BDP(AX220,"BEST_TARGET_PRICE")</f>
        <v>74.608421325683594</v>
      </c>
      <c r="AM220" s="32">
        <f>(AL220/Q220)-1</f>
        <v>0.29663575470426817</v>
      </c>
      <c r="AN220" s="32">
        <f>_xll.BDP(AX220,"PR061")/100</f>
        <v>5.0655019999999995E-3</v>
      </c>
      <c r="AO220" s="32">
        <f>_xll.BDP(AX220,"PR064")/100</f>
        <v>-0.197937</v>
      </c>
      <c r="AP220" s="32">
        <f>_xll.BDP(AX220,"CHG_PCT_6M")/100</f>
        <v>-0.23605950000000001</v>
      </c>
      <c r="AQ220" s="25">
        <f>_xll.BDP(AX220,"PR079")/100</f>
        <v>-0.239593</v>
      </c>
      <c r="AR220" s="33">
        <f>_xll.BDP(AX220,"hs001")</f>
        <v>98.04</v>
      </c>
      <c r="AS220" s="33">
        <f>_xll.BDP(AX220,"hs002")</f>
        <v>52.28</v>
      </c>
      <c r="AT220" s="22" t="str" cm="1">
        <f t="array" ref="AT220">IF(OR(_xll.BDP($AX220,"DX202")= "#N/A N/A", _xll.BDP($AX220,"DX202")="#N/A FIELD NOT APPLICABLE"), " ", _xll.BDP($AX220,"DX202"))</f>
        <v>Consumer Discretionary</v>
      </c>
      <c r="AU220" s="22" t="str" cm="1">
        <f t="array" ref="AU220">IF(OR(_xll.BDP($AX220,"DY997")= "#N/A N/A", _xll.BDP($AX220,"DY997")="#N/A FIELD NOT APPLICABLE"), " ", _xll.BDP($AX220,"DY997"))</f>
        <v>Y</v>
      </c>
      <c r="AV220" s="22" t="str" cm="1">
        <f t="array" ref="AV220">IF(OR(_xll.BDP($AX220,"DY784")= "#N/A N/A", _xll.BDP($AX220,"DY784")="#N/A FIELD NOT APPLICABLE"), " ", _xll.BDP($AX220,"DY784"))</f>
        <v xml:space="preserve"> </v>
      </c>
      <c r="AW220" s="22" t="str">
        <f>IF(OR(AU220="Y",AV220="Y"),"Y","N")</f>
        <v>Y</v>
      </c>
      <c r="AX220" s="22" t="str">
        <f>CONCATENATE(G220," ",$AX$2)</f>
        <v>NKE US Equity</v>
      </c>
      <c r="BC220" s="17" t="str" cm="1">
        <f t="array" ref="BC220">_xll.BDP(AX220,"ID005")</f>
        <v>US6541061031</v>
      </c>
      <c r="BD220" s="17">
        <v>0.75</v>
      </c>
      <c r="BE220" s="18">
        <v>4</v>
      </c>
      <c r="BF220" s="19">
        <v>45540</v>
      </c>
      <c r="BG220" s="20">
        <v>1</v>
      </c>
    </row>
    <row r="221" spans="1:59" s="3" customFormat="1" ht="14.45" customHeight="1" x14ac:dyDescent="0.25">
      <c r="A221" s="49" t="s">
        <v>257</v>
      </c>
      <c r="B221" s="49" t="s">
        <v>274</v>
      </c>
      <c r="C221" s="49">
        <v>1000015111</v>
      </c>
      <c r="D221" s="49" t="s">
        <v>275</v>
      </c>
      <c r="E221" s="22" t="str">
        <f>_xll.BDP(AX221,"SECURITY NAME")</f>
        <v>NIKE Inc</v>
      </c>
      <c r="F221" s="22" t="str">
        <f>_xll.BDP(AX221,"CRNCY")</f>
        <v>USD</v>
      </c>
      <c r="G221" s="23" t="s">
        <v>198</v>
      </c>
      <c r="H221" s="22" t="str" cm="1">
        <f t="array" ref="H221">IF(OR(_xll.BDP($AX221,"DX202")= "#N/A N/A", _xll.BDP($AX221,"DX202")="#N/A FIELD NOT APPLICABLE"), " ", _xll.BDP($AX221,"DX202"))</f>
        <v>Consumer Discretionary</v>
      </c>
      <c r="I221" s="24">
        <f>_xll.BDP(AX221,"CRNCY_ADJ_MKT_CAP", "EQY_FUND_CRNCY=USD")/1000</f>
        <v>84.928492621979998</v>
      </c>
      <c r="J221" s="25">
        <f>IFERROR(_xll.BDP(AX221, "DV013")/100,0)</f>
        <v>2.780674354956305E-2</v>
      </c>
      <c r="K221" s="26" cm="1">
        <f t="array" ref="K221">IF(OR(_xll.BDP($AX221,"RR900")= "#N/A N/A", _xll.BDP($AX221,"RR900")="#N/A FIELD NOT APPLICABLE"), " ", _xll.BDP($AX221,"RR900"))</f>
        <v>18.990099312055229</v>
      </c>
      <c r="L221" s="26" cm="1">
        <f t="array" ref="L221">IF(OR(_xll.BDP($AX221,"EE010")= "#N/A N/A", _xll.BDP($AX221,"EE010")="#N/A FIELD NOT APPLICABLE"), " ", _xll.BDP($AX221,"EE010"))</f>
        <v>28.827655310621243</v>
      </c>
      <c r="M221" s="26" cm="1">
        <f t="array" ref="M221">IF(OR(_xll.BDP($AX221,"RR903")= "#N/A N/A", _xll.BDP($AX221,"RR903")="#N/A FIELD NOT APPLICABLE"), " ", _xll.BDP($AX221,"RR903"))</f>
        <v>6.0674363783989351</v>
      </c>
      <c r="N221" s="26" cm="1">
        <f t="array" ref="N221">IF(OR(_xll.BDP($AX221,"RR957")= "#N/A N/A", _xll.BDP($AX221,"RR957")="#N/A FIELD NOT APPLICABLE"), " ", _xll.BDP($AX221,"RR957"))</f>
        <v>15.139490826966725</v>
      </c>
      <c r="O221" s="27">
        <v>311</v>
      </c>
      <c r="P221" s="28">
        <v>80.319999999999993</v>
      </c>
      <c r="Q221" s="22" cm="1">
        <f t="array" ref="Q221">IF(OR(_xll.BDP($AX221,"PX_last")="#N/A N/A",_xll.BDP($AX221,"PX_Last")="#N/A FIELD NOT APPLICABLE")," ",IF(F221="GBP",(_xll.BDP($AX221,"PX_LAST")/100),(_xll.BDP($AX221,"PX_LAST"))))</f>
        <v>57.54</v>
      </c>
      <c r="R221" s="29">
        <f>IF(F221="USD",AA221,(((_xll.BDP(F221&amp;"USD CURNCY","PX_LAST")))*AA221))</f>
        <v>24979.519999999997</v>
      </c>
      <c r="S221" s="29">
        <f>IFERROR(IF(F221="USD",AB221,(((_xll.BDP(F221&amp;"USD CURNCY","PX_LAST")))*AB221)),0)</f>
        <v>17894.939999999999</v>
      </c>
      <c r="T221" s="12">
        <f>S221-R221</f>
        <v>-7084.5799999999981</v>
      </c>
      <c r="U221" s="13">
        <f>T221/R221</f>
        <v>-0.28361553784860555</v>
      </c>
      <c r="V221" s="13" cm="1">
        <f t="array" ref="V221">IFERROR(_xll.BDP($G221&amp;" Equity","CHG_PCT_1D")/100,"")</f>
        <v>3.31299E-3</v>
      </c>
      <c r="W221" s="13" cm="1">
        <f t="array" ref="W221">IFERROR(_xll.BDP($G221&amp;" Equity","CHG_PCT_5D")/100,"")</f>
        <v>0</v>
      </c>
      <c r="X221" s="13" t="e">
        <f>S221/#REF!</f>
        <v>#REF!</v>
      </c>
      <c r="Y221" s="24">
        <f>IFERROR(S221*J221,0)</f>
        <v>497.60000741481775</v>
      </c>
      <c r="Z221" s="24">
        <f>S221</f>
        <v>17894.939999999999</v>
      </c>
      <c r="AA221" s="29">
        <f>P221*O221</f>
        <v>24979.519999999997</v>
      </c>
      <c r="AB221" s="29">
        <f>IFERROR(O221*Q221,0)</f>
        <v>17894.939999999999</v>
      </c>
      <c r="AC221" s="4" t="e" cm="1">
        <f t="array" ref="AC221">VLOOKUP(IF(NOT(_xll.BDP(AX221,$BW$8)="#N/A N/A"),(_xll.BDP(AX221,$BW$8)),"-"), '[1]Country Codes'!$A$2:$B$253,2,0)</f>
        <v>#N/A</v>
      </c>
      <c r="AD221" s="30" t="str" cm="1">
        <f t="array" ref="AD221">IF(OR(_xll.BDP($AX221,"EX028")= "#N/A N/A", _xll.BDP($AX221,"EX028")="#N/A FIELD NOT APPLICABLE"), " ", _xll.BDP($AX221,"EX028"))</f>
        <v>Equity</v>
      </c>
      <c r="AE221" s="31" t="str">
        <f>IF(("AS97"="Equity"), " ", "Single Line Equity")</f>
        <v>Single Line Equity</v>
      </c>
      <c r="AF221" s="26" cm="1">
        <f t="array" ref="AF221">IF(OR(_xll.BDP($AX221,"RR908")= "#N/A N/A", _xll.BDP($AX221,"RR908")="#N/A FIELD NOT APPLICABLE"), " ", _xll.BDP($AX221,"RR908"))</f>
        <v>14.687126263847768</v>
      </c>
      <c r="AG221" s="26" cm="1">
        <f t="array" ref="AG221">IF(OR(_xll.BDP($AX221,"RR041")= "#N/A N/A", _xll.BDP($AX221,"RR041")="#N/A FIELD NOT APPLICABLE"), " ", _xll.BDP($AX221,"RR041"))</f>
        <v>31.361847284177379</v>
      </c>
      <c r="AH221" s="22">
        <f>_xll.BDP(AX221,"TOT_BUY_REC")</f>
        <v>23</v>
      </c>
      <c r="AI221" s="22">
        <f>_xll.BDP(AX221,"TOT_HOLD_REC")</f>
        <v>20</v>
      </c>
      <c r="AJ221" s="22">
        <f>_xll.BDP(AX221,"TOT_SELL_REC")</f>
        <v>2</v>
      </c>
      <c r="AK221" s="26" cm="1">
        <f t="array" ref="AK221">IF(OR(_xll.BDP($AX221,"EE201")= "#N/A N/A", _xll.BDP($AX221,"EE201")="#N/A FIELD NOT APPLICABLE"), " ", _xll.BDP($AX221,"EE201"))</f>
        <v>3.9333333969116211</v>
      </c>
      <c r="AL221" s="24">
        <f>_xll.BDP(AX221,"BEST_TARGET_PRICE")</f>
        <v>74.608421325683594</v>
      </c>
      <c r="AM221" s="32">
        <f>(AL221/Q221)-1</f>
        <v>0.29663575470426817</v>
      </c>
      <c r="AN221" s="32">
        <f>_xll.BDP(AX221,"PR061")/100</f>
        <v>5.0655019999999995E-3</v>
      </c>
      <c r="AO221" s="32">
        <f>_xll.BDP(AX221,"PR064")/100</f>
        <v>-0.197937</v>
      </c>
      <c r="AP221" s="32">
        <f>_xll.BDP(AX221,"CHG_PCT_6M")/100</f>
        <v>-0.23605950000000001</v>
      </c>
      <c r="AQ221" s="25">
        <f>_xll.BDP(AX221,"PR079")/100</f>
        <v>-0.239593</v>
      </c>
      <c r="AR221" s="33">
        <f>_xll.BDP(AX221,"hs001")</f>
        <v>98.04</v>
      </c>
      <c r="AS221" s="33">
        <f>_xll.BDP(AX221,"hs002")</f>
        <v>52.28</v>
      </c>
      <c r="AT221" s="22" t="str" cm="1">
        <f t="array" ref="AT221">IF(OR(_xll.BDP($AX221,"DX202")= "#N/A N/A", _xll.BDP($AX221,"DX202")="#N/A FIELD NOT APPLICABLE"), " ", _xll.BDP($AX221,"DX202"))</f>
        <v>Consumer Discretionary</v>
      </c>
      <c r="AU221" s="22" t="str" cm="1">
        <f t="array" ref="AU221">IF(OR(_xll.BDP($AX221,"DY997")= "#N/A N/A", _xll.BDP($AX221,"DY997")="#N/A FIELD NOT APPLICABLE"), " ", _xll.BDP($AX221,"DY997"))</f>
        <v>Y</v>
      </c>
      <c r="AV221" s="22" t="str" cm="1">
        <f t="array" ref="AV221">IF(OR(_xll.BDP($AX221,"DY784")= "#N/A N/A", _xll.BDP($AX221,"DY784")="#N/A FIELD NOT APPLICABLE"), " ", _xll.BDP($AX221,"DY784"))</f>
        <v xml:space="preserve"> </v>
      </c>
      <c r="AW221" s="22" t="str">
        <f>IF(OR(AU221="Y",AV221="Y"),"Y","N")</f>
        <v>Y</v>
      </c>
      <c r="AX221" s="22" t="str">
        <f>CONCATENATE(G221," ",$AX$2)</f>
        <v>NKE US Equity</v>
      </c>
      <c r="BC221" s="17" t="str" cm="1">
        <f t="array" ref="BC221">_xll.BDP(AX221,"ID005")</f>
        <v>US6541061031</v>
      </c>
      <c r="BD221" s="17">
        <v>0.75</v>
      </c>
      <c r="BE221" s="18">
        <v>4</v>
      </c>
      <c r="BF221" s="19">
        <v>45540</v>
      </c>
      <c r="BG221" s="20">
        <v>1</v>
      </c>
    </row>
    <row r="222" spans="1:59" s="3" customFormat="1" ht="14.45" customHeight="1" x14ac:dyDescent="0.25">
      <c r="A222" s="49" t="s">
        <v>241</v>
      </c>
      <c r="B222" s="49" t="s">
        <v>276</v>
      </c>
      <c r="C222" s="49" t="s">
        <v>277</v>
      </c>
      <c r="D222" s="49" t="s">
        <v>240</v>
      </c>
      <c r="E222" s="22" t="str">
        <f>_xll.BDP(AX222,"SECURITY NAME")</f>
        <v>NIKE Inc</v>
      </c>
      <c r="F222" s="22" t="str">
        <f>_xll.BDP(AX222,"CRNCY")</f>
        <v>USD</v>
      </c>
      <c r="G222" s="23" t="s">
        <v>198</v>
      </c>
      <c r="H222" s="22" t="str" cm="1">
        <f t="array" ref="H222">IF(OR(_xll.BDP($AX222,"DX202")= "#N/A N/A", _xll.BDP($AX222,"DX202")="#N/A FIELD NOT APPLICABLE"), " ", _xll.BDP($AX222,"DX202"))</f>
        <v>Consumer Discretionary</v>
      </c>
      <c r="I222" s="24">
        <f>_xll.BDP(AX222,"CRNCY_ADJ_MKT_CAP", "EQY_FUND_CRNCY=USD")/1000</f>
        <v>84.928492621979998</v>
      </c>
      <c r="J222" s="25">
        <f>IFERROR(_xll.BDP(AX222, "DV013")/100,0)</f>
        <v>2.780674354956305E-2</v>
      </c>
      <c r="K222" s="26" cm="1">
        <f t="array" ref="K222">IF(OR(_xll.BDP($AX222,"RR900")= "#N/A N/A", _xll.BDP($AX222,"RR900")="#N/A FIELD NOT APPLICABLE"), " ", _xll.BDP($AX222,"RR900"))</f>
        <v>18.990099312055229</v>
      </c>
      <c r="L222" s="26" cm="1">
        <f t="array" ref="L222">IF(OR(_xll.BDP($AX222,"EE010")= "#N/A N/A", _xll.BDP($AX222,"EE010")="#N/A FIELD NOT APPLICABLE"), " ", _xll.BDP($AX222,"EE010"))</f>
        <v>28.827655310621243</v>
      </c>
      <c r="M222" s="26" cm="1">
        <f t="array" ref="M222">IF(OR(_xll.BDP($AX222,"RR903")= "#N/A N/A", _xll.BDP($AX222,"RR903")="#N/A FIELD NOT APPLICABLE"), " ", _xll.BDP($AX222,"RR903"))</f>
        <v>6.0674363783989351</v>
      </c>
      <c r="N222" s="26" cm="1">
        <f t="array" ref="N222">IF(OR(_xll.BDP($AX222,"RR957")= "#N/A N/A", _xll.BDP($AX222,"RR957")="#N/A FIELD NOT APPLICABLE"), " ", _xll.BDP($AX222,"RR957"))</f>
        <v>15.139490826966725</v>
      </c>
      <c r="O222" s="27">
        <v>1246</v>
      </c>
      <c r="P222" s="28">
        <v>80.28</v>
      </c>
      <c r="Q222" s="22" cm="1">
        <f t="array" ref="Q222">IF(OR(_xll.BDP($AX222,"PX_last")="#N/A N/A",_xll.BDP($AX222,"PX_Last")="#N/A FIELD NOT APPLICABLE")," ",IF(F222="GBP",(_xll.BDP($AX222,"PX_LAST")/100),(_xll.BDP($AX222,"PX_LAST"))))</f>
        <v>57.54</v>
      </c>
      <c r="R222" s="29">
        <f>IF(F222="USD",AA222,(((_xll.BDP(F222&amp;"USD CURNCY","PX_LAST")))*AA222))</f>
        <v>100028.88</v>
      </c>
      <c r="S222" s="29">
        <f>IF(F222="USD",AB222,(((_xll.BDP(F222&amp;"USD CURNCY","PX_LAST")))*AB222))</f>
        <v>71694.84</v>
      </c>
      <c r="T222" s="12">
        <f>S222-R222</f>
        <v>-28334.040000000008</v>
      </c>
      <c r="U222" s="13">
        <f>T222/R222</f>
        <v>-0.28325859491778782</v>
      </c>
      <c r="V222" s="13" cm="1">
        <f t="array" ref="V222">IFERROR(_xll.BDP($G222&amp;" Equity","CHG_PCT_1D")/100,"")</f>
        <v>3.31299E-3</v>
      </c>
      <c r="W222" s="13" cm="1">
        <f t="array" ref="W222">IFERROR(_xll.BDP($G222&amp;" Equity","CHG_PCT_5D")/100,"")</f>
        <v>0</v>
      </c>
      <c r="X222" s="13" t="e">
        <f>S222/#REF!</f>
        <v>#REF!</v>
      </c>
      <c r="Y222" s="24">
        <f>IFERROR(S222*J222,0)</f>
        <v>1993.6000297069547</v>
      </c>
      <c r="Z222" s="24">
        <f>S222</f>
        <v>71694.84</v>
      </c>
      <c r="AA222" s="29">
        <f>P222*O222</f>
        <v>100028.88</v>
      </c>
      <c r="AB222" s="29">
        <f>IFERROR(O222*Q222,0)</f>
        <v>71694.84</v>
      </c>
      <c r="AC222" s="4" t="e" cm="1">
        <f t="array" ref="AC222">VLOOKUP(IF(NOT(_xll.BDP(AX222,$BW$8)="#N/A N/A"),(_xll.BDP(AX222,$BW$8)),"-"), '[1]Country Codes'!$A$2:$B$253,2,0)</f>
        <v>#N/A</v>
      </c>
      <c r="AD222" s="30" t="str" cm="1">
        <f t="array" ref="AD222">IF(OR(_xll.BDP($AX222,"EX028")= "#N/A N/A", _xll.BDP($AX222,"EX028")="#N/A FIELD NOT APPLICABLE"), " ", _xll.BDP($AX222,"EX028"))</f>
        <v>Equity</v>
      </c>
      <c r="AE222" s="31" t="str">
        <f>IF(("AS97"="Equity"), " ", "Single Line Equity")</f>
        <v>Single Line Equity</v>
      </c>
      <c r="AF222" s="26" cm="1">
        <f t="array" ref="AF222">IF(OR(_xll.BDP($AX222,"RR908")= "#N/A N/A", _xll.BDP($AX222,"RR908")="#N/A FIELD NOT APPLICABLE"), " ", _xll.BDP($AX222,"RR908"))</f>
        <v>14.687126263847768</v>
      </c>
      <c r="AG222" s="26" cm="1">
        <f t="array" ref="AG222">IF(OR(_xll.BDP($AX222,"RR041")= "#N/A N/A", _xll.BDP($AX222,"RR041")="#N/A FIELD NOT APPLICABLE"), " ", _xll.BDP($AX222,"RR041"))</f>
        <v>31.361847284177379</v>
      </c>
      <c r="AH222" s="22">
        <f>_xll.BDP(AX222,"TOT_BUY_REC")</f>
        <v>23</v>
      </c>
      <c r="AI222" s="22">
        <f>_xll.BDP(AX222,"TOT_HOLD_REC")</f>
        <v>20</v>
      </c>
      <c r="AJ222" s="22">
        <f>_xll.BDP(AX222,"TOT_SELL_REC")</f>
        <v>2</v>
      </c>
      <c r="AK222" s="26" cm="1">
        <f t="array" ref="AK222">IF(OR(_xll.BDP($AX222,"EE201")= "#N/A N/A", _xll.BDP($AX222,"EE201")="#N/A FIELD NOT APPLICABLE"), " ", _xll.BDP($AX222,"EE201"))</f>
        <v>3.9333333969116211</v>
      </c>
      <c r="AL222" s="24">
        <f>_xll.BDP(AX222,"BEST_TARGET_PRICE")</f>
        <v>74.608421325683594</v>
      </c>
      <c r="AM222" s="32">
        <f>(AL222/Q222)-1</f>
        <v>0.29663575470426817</v>
      </c>
      <c r="AN222" s="32">
        <f>_xll.BDP(AX222,"PR061")/100</f>
        <v>5.0655019999999995E-3</v>
      </c>
      <c r="AO222" s="32">
        <f>_xll.BDP(AX222,"PR064")/100</f>
        <v>-0.197937</v>
      </c>
      <c r="AP222" s="32">
        <f>_xll.BDP(AX222,"CHG_PCT_6M")/100</f>
        <v>-0.23605950000000001</v>
      </c>
      <c r="AQ222" s="25">
        <f>_xll.BDP(AX222,"PR079")/100</f>
        <v>-0.239593</v>
      </c>
      <c r="AR222" s="33">
        <f>_xll.BDP(AX222,"hs001")</f>
        <v>98.04</v>
      </c>
      <c r="AS222" s="33">
        <f>_xll.BDP(AX222,"hs002")</f>
        <v>52.28</v>
      </c>
      <c r="AT222" s="22" t="str" cm="1">
        <f t="array" ref="AT222">IF(OR(_xll.BDP($AX222,"DX202")= "#N/A N/A", _xll.BDP($AX222,"DX202")="#N/A FIELD NOT APPLICABLE"), " ", _xll.BDP($AX222,"DX202"))</f>
        <v>Consumer Discretionary</v>
      </c>
      <c r="AU222" s="22" t="str" cm="1">
        <f t="array" ref="AU222">IF(OR(_xll.BDP($AX222,"DY997")= "#N/A N/A", _xll.BDP($AX222,"DY997")="#N/A FIELD NOT APPLICABLE"), " ", _xll.BDP($AX222,"DY997"))</f>
        <v>Y</v>
      </c>
      <c r="AV222" s="22" t="str" cm="1">
        <f t="array" ref="AV222">IF(OR(_xll.BDP($AX222,"DY784")= "#N/A N/A", _xll.BDP($AX222,"DY784")="#N/A FIELD NOT APPLICABLE"), " ", _xll.BDP($AX222,"DY784"))</f>
        <v xml:space="preserve"> </v>
      </c>
      <c r="AW222" s="22" t="str">
        <f>IF(OR(AU222="Y",AV222="Y"),"Y","N")</f>
        <v>Y</v>
      </c>
      <c r="AX222" s="22" t="str">
        <f>CONCATENATE(G222," ",$AX$2)</f>
        <v>NKE US Equity</v>
      </c>
      <c r="BC222" s="17" t="str" cm="1">
        <f t="array" ref="BC222">_xll.BDP(AX222,"ID005")</f>
        <v>US6541061031</v>
      </c>
      <c r="BD222" s="17">
        <v>0.75</v>
      </c>
      <c r="BE222" s="18">
        <v>4</v>
      </c>
      <c r="BF222" s="19">
        <v>45540</v>
      </c>
      <c r="BG222" s="20">
        <v>1</v>
      </c>
    </row>
    <row r="223" spans="1:59" s="3" customFormat="1" ht="14.45" customHeight="1" x14ac:dyDescent="0.25">
      <c r="A223" s="81" t="s">
        <v>242</v>
      </c>
      <c r="B223" s="81" t="s">
        <v>260</v>
      </c>
      <c r="C223" s="81" t="s">
        <v>261</v>
      </c>
      <c r="D223" s="81" t="s">
        <v>248</v>
      </c>
      <c r="E223" s="40" t="str">
        <f>_xll.BDP(AX223,"SECURITY NAME")</f>
        <v>Nestle SA</v>
      </c>
      <c r="F223" s="40" t="str">
        <f>_xll.BDP(AX223,"CRNCY")</f>
        <v>USD</v>
      </c>
      <c r="G223" s="73" t="s">
        <v>197</v>
      </c>
      <c r="H223" s="40" t="str" cm="1">
        <f t="array" ref="H223">IF(OR(_xll.BDP($AX223,"DX202")= "#N/A N/A", _xll.BDP($AX223,"DX202")="#N/A FIELD NOT APPLICABLE"), " ", _xll.BDP($AX223,"DX202"))</f>
        <v>Consumer Staples</v>
      </c>
      <c r="I223" s="82">
        <f>_xll.BDP(AX223,"CRNCY_ADJ_MKT_CAP", "EQY_FUND_CRNCY=USD")/1000</f>
        <v>275.68763999999999</v>
      </c>
      <c r="J223" s="83">
        <f>IFERROR(_xll.BDP(AX223, "DV013")/100,0)</f>
        <v>3.1741827110763308E-2</v>
      </c>
      <c r="K223" s="84" t="str" cm="1">
        <f t="array" ref="K223">IF(OR(_xll.BDP($AX223,"RR900")= "#N/A N/A", _xll.BDP($AX223,"RR900")="#N/A FIELD NOT APPLICABLE"), " ", _xll.BDP($AX223,"RR900"))</f>
        <v xml:space="preserve"> </v>
      </c>
      <c r="L223" s="84" cm="1">
        <f t="array" ref="L223">IF(OR(_xll.BDP($AX223,"EE010")= "#N/A N/A", _xll.BDP($AX223,"EE010")="#N/A FIELD NOT APPLICABLE"), " ", _xll.BDP($AX223,"EE010"))</f>
        <v>18.767134972763547</v>
      </c>
      <c r="M223" s="84" t="str" cm="1">
        <f t="array" ref="M223">IF(OR(_xll.BDP($AX223,"RR903")= "#N/A N/A", _xll.BDP($AX223,"RR903")="#N/A FIELD NOT APPLICABLE"), " ", _xll.BDP($AX223,"RR903"))</f>
        <v xml:space="preserve"> </v>
      </c>
      <c r="N223" s="84" t="str" cm="1">
        <f t="array" ref="N223">IF(OR(_xll.BDP($AX223,"RR957")= "#N/A N/A", _xll.BDP($AX223,"RR957")="#N/A FIELD NOT APPLICABLE"), " ", _xll.BDP($AX223,"RR957"))</f>
        <v xml:space="preserve"> </v>
      </c>
      <c r="O223" s="74">
        <v>84</v>
      </c>
      <c r="P223" s="75">
        <v>110.7937</v>
      </c>
      <c r="Q223" s="40" cm="1">
        <f t="array" ref="Q223">IF(OR(_xll.BDP($AX223,"PX_last")="#N/A N/A",_xll.BDP($AX223,"PX_Last")="#N/A FIELD NOT APPLICABLE")," ",IF(F223="GBP",(_xll.BDP($AX223,"PX_LAST")/100),(_xll.BDP($AX223,"PX_LAST"))))</f>
        <v>107</v>
      </c>
      <c r="R223" s="85">
        <f>IF(F223="USD",AA223,(((_xll.BDP(F223&amp;"USD CURNCY","PX_LAST")))*AA223))</f>
        <v>9306.6707999999999</v>
      </c>
      <c r="S223" s="85">
        <f>IF(F223="USD",AB223,(((_xll.BDP(F223&amp;"USD CURNCY","PX_LAST")))*AB223))</f>
        <v>8988</v>
      </c>
      <c r="T223" s="86">
        <f>S223-R223</f>
        <v>-318.67079999999987</v>
      </c>
      <c r="U223" s="87">
        <f>T223/R223</f>
        <v>-3.4241116597784879E-2</v>
      </c>
      <c r="V223" s="87" cm="1">
        <f t="array" ref="V223">IFERROR(_xll.BDP($G223&amp;" Equity","CHG_PCT_1D")/100,"")</f>
        <v>7.9125849999999998E-3</v>
      </c>
      <c r="W223" s="87" cm="1">
        <f t="array" ref="W223">IFERROR(_xll.BDP($G223&amp;" Equity","CHG_PCT_5D")/100,"")</f>
        <v>1.9047620000000001E-2</v>
      </c>
      <c r="X223" s="87" t="e">
        <f>S223/#REF!</f>
        <v>#REF!</v>
      </c>
      <c r="Y223" s="82">
        <f>IFERROR(S223*J223,0)</f>
        <v>285.29554207154064</v>
      </c>
      <c r="Z223" s="82">
        <f>S223</f>
        <v>8988</v>
      </c>
      <c r="AA223" s="85">
        <f>P223*O223</f>
        <v>9306.6707999999999</v>
      </c>
      <c r="AB223" s="85">
        <f>IFERROR(O223*Q223,0)</f>
        <v>8988</v>
      </c>
      <c r="AC223" s="88" t="e" cm="1">
        <f t="array" ref="AC223">VLOOKUP(IF(NOT(_xll.BDP(AX223,$BW$8)="#N/A N/A"),(_xll.BDP(AX223,$BW$8)),"-"), '[1]Country Codes'!$A$2:$B$253,2,0)</f>
        <v>#N/A</v>
      </c>
      <c r="AD223" s="89" t="str" cm="1">
        <f t="array" ref="AD223">IF(OR(_xll.BDP($AX223,"EX028")= "#N/A N/A", _xll.BDP($AX223,"EX028")="#N/A FIELD NOT APPLICABLE"), " ", _xll.BDP($AX223,"EX028"))</f>
        <v>Equity</v>
      </c>
      <c r="AE223" s="90" t="str">
        <f>IF(("AS97"="Equity"), " ", "Single Line Equity")</f>
        <v>Single Line Equity</v>
      </c>
      <c r="AF223" s="84" t="str" cm="1">
        <f t="array" ref="AF223">IF(OR(_xll.BDP($AX223,"RR908")= "#N/A N/A", _xll.BDP($AX223,"RR908")="#N/A FIELD NOT APPLICABLE"), " ", _xll.BDP($AX223,"RR908"))</f>
        <v xml:space="preserve"> </v>
      </c>
      <c r="AG223" s="84" cm="1">
        <f t="array" ref="AG223">IF(OR(_xll.BDP($AX223,"RR041")= "#N/A N/A", _xll.BDP($AX223,"RR041")="#N/A FIELD NOT APPLICABLE"), " ", _xll.BDP($AX223,"RR041"))</f>
        <v>45.051843979779413</v>
      </c>
      <c r="AH223" s="40">
        <f>_xll.BDP(AX223,"TOT_BUY_REC")</f>
        <v>1</v>
      </c>
      <c r="AI223" s="40">
        <f>_xll.BDP(AX223,"TOT_HOLD_REC")</f>
        <v>2</v>
      </c>
      <c r="AJ223" s="40">
        <f>_xll.BDP(AX223,"TOT_SELL_REC")</f>
        <v>1</v>
      </c>
      <c r="AK223" s="84" cm="1">
        <f t="array" ref="AK223">IF(OR(_xll.BDP($AX223,"EE201")= "#N/A N/A", _xll.BDP($AX223,"EE201")="#N/A FIELD NOT APPLICABLE"), " ", _xll.BDP($AX223,"EE201"))</f>
        <v>3</v>
      </c>
      <c r="AL223" s="82">
        <f>_xll.BDP(AX223,"BEST_TARGET_PRICE")</f>
        <v>103.25</v>
      </c>
      <c r="AM223" s="91">
        <f>(AL223/Q223)-1</f>
        <v>-3.5046728971962593E-2</v>
      </c>
      <c r="AN223" s="91">
        <f>_xll.BDP(AX223,"PR061")/100</f>
        <v>6.3512570000000004E-2</v>
      </c>
      <c r="AO223" s="91">
        <f>_xll.BDP(AX223,"PR064")/100</f>
        <v>0.25424920000000001</v>
      </c>
      <c r="AP223" s="91">
        <f>_xll.BDP(AX223,"CHG_PCT_6M")/100</f>
        <v>0.17608260000000001</v>
      </c>
      <c r="AQ223" s="83">
        <f>_xll.BDP(AX223,"PR079")/100</f>
        <v>0.30966959999999999</v>
      </c>
      <c r="AR223" s="92">
        <f>_xll.BDP(AX223,"hs001")</f>
        <v>110.46</v>
      </c>
      <c r="AS223" s="92">
        <f>_xll.BDP(AX223,"hs002")</f>
        <v>80.11</v>
      </c>
      <c r="AT223" s="40" t="str" cm="1">
        <f t="array" ref="AT223">IF(OR(_xll.BDP($AX223,"DX202")= "#N/A N/A", _xll.BDP($AX223,"DX202")="#N/A FIELD NOT APPLICABLE"), " ", _xll.BDP($AX223,"DX202"))</f>
        <v>Consumer Staples</v>
      </c>
      <c r="AU223" s="40" t="str" cm="1">
        <f t="array" ref="AU223">IF(OR(_xll.BDP($AX223,"DY997")= "#N/A N/A", _xll.BDP($AX223,"DY997")="#N/A FIELD NOT APPLICABLE"), " ", _xll.BDP($AX223,"DY997"))</f>
        <v>N</v>
      </c>
      <c r="AV223" s="40" t="str" cm="1">
        <f t="array" ref="AV223">IF(OR(_xll.BDP($AX223,"DY784")= "#N/A N/A", _xll.BDP($AX223,"DY784")="#N/A FIELD NOT APPLICABLE"), " ", _xll.BDP($AX223,"DY784"))</f>
        <v xml:space="preserve"> </v>
      </c>
      <c r="AW223" s="40" t="str">
        <f>IF(OR(AU223="Y",AV223="Y"),"Y","N")</f>
        <v>N</v>
      </c>
      <c r="AX223" s="40" t="str">
        <f>CONCATENATE(G223," ",$AX$2)</f>
        <v>NSRGY US Equity</v>
      </c>
      <c r="BC223" s="17" t="str" cm="1">
        <f t="array" ref="BC223">_xll.BDP(AX223,"ID005")</f>
        <v>US6410694060</v>
      </c>
      <c r="BD223" s="17">
        <v>0.75</v>
      </c>
      <c r="BE223" s="18">
        <v>4</v>
      </c>
      <c r="BF223" s="19">
        <v>45540</v>
      </c>
      <c r="BG223" s="20">
        <v>1</v>
      </c>
    </row>
    <row r="224" spans="1:59" s="3" customFormat="1" ht="14.45" customHeight="1" x14ac:dyDescent="0.25">
      <c r="A224" s="49" t="s">
        <v>242</v>
      </c>
      <c r="B224" s="49" t="s">
        <v>268</v>
      </c>
      <c r="C224" s="49" t="s">
        <v>269</v>
      </c>
      <c r="D224" s="49" t="s">
        <v>248</v>
      </c>
      <c r="E224" s="22" t="str">
        <f>_xll.BDP(AX224,"SECURITY NAME")</f>
        <v>NVIDIA Corp</v>
      </c>
      <c r="F224" s="22" t="str">
        <f>_xll.BDP(AX224,"CRNCY")</f>
        <v>USD</v>
      </c>
      <c r="G224" s="23" t="s">
        <v>315</v>
      </c>
      <c r="H224" s="22" t="str" cm="1">
        <f t="array" ref="H224">IF(OR(_xll.BDP($AX224,"DX202")= "#N/A N/A", _xll.BDP($AX224,"DX202")="#N/A FIELD NOT APPLICABLE"), " ", _xll.BDP($AX224,"DX202"))</f>
        <v>Information Technology</v>
      </c>
      <c r="I224" s="24">
        <f>_xll.BDP(AX224,"CRNCY_ADJ_MKT_CAP", "EQY_FUND_CRNCY=USD")/1000</f>
        <v>2756.5255750569495</v>
      </c>
      <c r="J224" s="25">
        <f>IFERROR(_xll.BDP(AX224, "DV013")/100,0)</f>
        <v>3.5391495517162955E-4</v>
      </c>
      <c r="K224" s="26" cm="1">
        <f t="array" ref="K224">IF(OR(_xll.BDP($AX224,"RR900")= "#N/A N/A", _xll.BDP($AX224,"RR900")="#N/A FIELD NOT APPLICABLE"), " ", _xll.BDP($AX224,"RR900"))</f>
        <v>38.423550976343371</v>
      </c>
      <c r="L224" s="26" cm="1">
        <f t="array" ref="L224">IF(OR(_xll.BDP($AX224,"EE010")= "#N/A N/A", _xll.BDP($AX224,"EE010")="#N/A FIELD NOT APPLICABLE"), " ", _xll.BDP($AX224,"EE010"))</f>
        <v>20.014432442004605</v>
      </c>
      <c r="M224" s="26" cm="1">
        <f t="array" ref="M224">IF(OR(_xll.BDP($AX224,"RR903")= "#N/A N/A", _xll.BDP($AX224,"RR903")="#N/A FIELD NOT APPLICABLE"), " ", _xll.BDP($AX224,"RR903"))</f>
        <v>34.873715715156948</v>
      </c>
      <c r="N224" s="26" cm="1">
        <f t="array" ref="N224">IF(OR(_xll.BDP($AX224,"RR957")= "#N/A N/A", _xll.BDP($AX224,"RR957")="#N/A FIELD NOT APPLICABLE"), " ", _xll.BDP($AX224,"RR957"))</f>
        <v>32.547874234483011</v>
      </c>
      <c r="O224" s="27">
        <v>206</v>
      </c>
      <c r="P224" s="28">
        <v>122.1</v>
      </c>
      <c r="Q224" s="22" cm="1">
        <f t="array" ref="Q224">IF(OR(_xll.BDP($AX224,"PX_last")="#N/A N/A",_xll.BDP($AX224,"PX_Last")="#N/A FIELD NOT APPLICABLE")," ",IF(F224="GBP",(_xll.BDP($AX224,"PX_LAST")/100),(_xll.BDP($AX224,"PX_LAST"))))</f>
        <v>113.0215</v>
      </c>
      <c r="R224" s="29">
        <f>IF(F224="USD",AA224,(((_xll.BDP(F224&amp;"USD CURNCY","PX_LAST")))*AA224))</f>
        <v>25152.6</v>
      </c>
      <c r="S224" s="29">
        <f>IF(F224="USD",AB224,(((_xll.BDP(F224&amp;"USD CURNCY","PX_LAST")))*AB224))</f>
        <v>23282.429</v>
      </c>
      <c r="T224" s="12">
        <f>S224-R224</f>
        <v>-1870.1709999999985</v>
      </c>
      <c r="U224" s="13">
        <f>T224/R224</f>
        <v>-7.4352989352989299E-2</v>
      </c>
      <c r="V224" s="13" cm="1">
        <f t="array" ref="V224">IFERROR(_xll.BDP($G224&amp;" Equity","CHG_PCT_1D")/100,"")</f>
        <v>-7.0154629999999996E-3</v>
      </c>
      <c r="W224" s="13" cm="1">
        <f t="array" ref="W224">IFERROR(_xll.BDP($G224&amp;" Equity","CHG_PCT_5D")/100,"")</f>
        <v>3.6704270000000004E-2</v>
      </c>
      <c r="X224" s="13" t="e">
        <f>S224/#REF!</f>
        <v>#REF!</v>
      </c>
      <c r="Y224" s="24">
        <f>IFERROR(S224*J224,0)</f>
        <v>8.2399998158216476</v>
      </c>
      <c r="Z224" s="24">
        <f>S224</f>
        <v>23282.429</v>
      </c>
      <c r="AA224" s="29">
        <f>P224*O224</f>
        <v>25152.6</v>
      </c>
      <c r="AB224" s="29">
        <f>IFERROR(O224*Q224,0)</f>
        <v>23282.429</v>
      </c>
      <c r="AC224" s="4" t="e" cm="1">
        <f t="array" ref="AC224">VLOOKUP(IF(NOT(_xll.BDP(AX224,$BW$8)="#N/A N/A"),(_xll.BDP(AX224,$BW$8)),"-"), '[1]Country Codes'!$A$2:$B$253,2,0)</f>
        <v>#N/A</v>
      </c>
      <c r="AD224" s="30" t="str" cm="1">
        <f t="array" ref="AD224">IF(OR(_xll.BDP($AX224,"EX028")= "#N/A N/A", _xll.BDP($AX224,"EX028")="#N/A FIELD NOT APPLICABLE"), " ", _xll.BDP($AX224,"EX028"))</f>
        <v>Equity</v>
      </c>
      <c r="AE224" s="31" t="str">
        <f>IF(("AS97"="Equity"), " ", "Single Line Equity")</f>
        <v>Single Line Equity</v>
      </c>
      <c r="AF224" s="26" cm="1">
        <f t="array" ref="AF224">IF(OR(_xll.BDP($AX224,"RR908")= "#N/A N/A", _xll.BDP($AX224,"RR908")="#N/A FIELD NOT APPLICABLE"), " ", _xll.BDP($AX224,"RR908"))</f>
        <v>43.298530162733535</v>
      </c>
      <c r="AG224" s="26" cm="1">
        <f t="array" ref="AG224">IF(OR(_xll.BDP($AX224,"RR041")= "#N/A N/A", _xll.BDP($AX224,"RR041")="#N/A FIELD NOT APPLICABLE"), " ", _xll.BDP($AX224,"RR041"))</f>
        <v>9.2024265015546458</v>
      </c>
      <c r="AH224" s="22">
        <f>_xll.BDP(AX224,"TOT_BUY_REC")</f>
        <v>70</v>
      </c>
      <c r="AI224" s="22">
        <f>_xll.BDP(AX224,"TOT_HOLD_REC")</f>
        <v>9</v>
      </c>
      <c r="AJ224" s="22">
        <f>_xll.BDP(AX224,"TOT_SELL_REC")</f>
        <v>1</v>
      </c>
      <c r="AK224" s="26" cm="1">
        <f t="array" ref="AK224">IF(OR(_xll.BDP($AX224,"EE201")= "#N/A N/A", _xll.BDP($AX224,"EE201")="#N/A FIELD NOT APPLICABLE"), " ", _xll.BDP($AX224,"EE201"))</f>
        <v>4.6750001907348633</v>
      </c>
      <c r="AL224" s="24">
        <f>_xll.BDP(AX224,"BEST_TARGET_PRICE")</f>
        <v>162.32069396972656</v>
      </c>
      <c r="AM224" s="32">
        <f>(AL224/Q224)-1</f>
        <v>0.43619306034450567</v>
      </c>
      <c r="AN224" s="32">
        <f>_xll.BDP(AX224,"PR061")/100</f>
        <v>0.19840420000000003</v>
      </c>
      <c r="AO224" s="32">
        <f>_xll.BDP(AX224,"PR064")/100</f>
        <v>-0.1216855</v>
      </c>
      <c r="AP224" s="32">
        <f>_xll.BDP(AX224,"CHG_PCT_6M")/100</f>
        <v>-0.2238067</v>
      </c>
      <c r="AQ224" s="25">
        <f>_xll.BDP(AX224,"PR079")/100</f>
        <v>-0.1583774</v>
      </c>
      <c r="AR224" s="33">
        <f>_xll.BDP(AX224,"hs001")</f>
        <v>153.13</v>
      </c>
      <c r="AS224" s="33">
        <f>_xll.BDP(AX224,"hs002")</f>
        <v>86.62</v>
      </c>
      <c r="AT224" s="22" t="str" cm="1">
        <f t="array" ref="AT224">IF(OR(_xll.BDP($AX224,"DX202")= "#N/A N/A", _xll.BDP($AX224,"DX202")="#N/A FIELD NOT APPLICABLE"), " ", _xll.BDP($AX224,"DX202"))</f>
        <v>Information Technology</v>
      </c>
      <c r="AU224" s="22" t="str" cm="1">
        <f t="array" ref="AU224">IF(OR(_xll.BDP($AX224,"DY997")= "#N/A N/A", _xll.BDP($AX224,"DY997")="#N/A FIELD NOT APPLICABLE"), " ", _xll.BDP($AX224,"DY997"))</f>
        <v>N</v>
      </c>
      <c r="AV224" s="22" t="str" cm="1">
        <f t="array" ref="AV224">IF(OR(_xll.BDP($AX224,"DY784")= "#N/A N/A", _xll.BDP($AX224,"DY784")="#N/A FIELD NOT APPLICABLE"), " ", _xll.BDP($AX224,"DY784"))</f>
        <v>N</v>
      </c>
      <c r="AW224" s="22" t="str">
        <f>IF(OR(AU224="Y",AV224="Y"),"Y","N")</f>
        <v>N</v>
      </c>
      <c r="AX224" s="22" t="str">
        <f>CONCATENATE(G224," ",$AX$2)</f>
        <v>NVDA US Equity</v>
      </c>
      <c r="BC224" s="17" t="str" cm="1">
        <f t="array" ref="BC224">_xll.BDP(AX224,"ID005")</f>
        <v>US67066G1040</v>
      </c>
      <c r="BD224" s="17">
        <v>0.75</v>
      </c>
      <c r="BE224" s="18">
        <v>4</v>
      </c>
      <c r="BF224" s="19">
        <v>45540</v>
      </c>
      <c r="BG224" s="20">
        <v>1</v>
      </c>
    </row>
    <row r="225" spans="1:59" s="3" customFormat="1" ht="14.45" customHeight="1" x14ac:dyDescent="0.25">
      <c r="A225" s="49" t="s">
        <v>242</v>
      </c>
      <c r="B225" s="49" t="s">
        <v>243</v>
      </c>
      <c r="C225" s="49" t="s">
        <v>244</v>
      </c>
      <c r="D225" s="49" t="s">
        <v>245</v>
      </c>
      <c r="E225" s="22" t="str">
        <f>_xll.BDP(AX225,"SECURITY NAME")</f>
        <v>Novo Nordisk A/S</v>
      </c>
      <c r="F225" s="22" t="str">
        <f>_xll.BDP(AX225,"CRNCY")</f>
        <v>USD</v>
      </c>
      <c r="G225" s="23" t="s">
        <v>323</v>
      </c>
      <c r="H225" s="22" t="str" cm="1">
        <f t="array" ref="H225">IF(OR(_xll.BDP($AX225,"DX202")= "#N/A N/A", _xll.BDP($AX225,"DX202")="#N/A FIELD NOT APPLICABLE"), " ", _xll.BDP($AX225,"DX202"))</f>
        <v>Health Care</v>
      </c>
      <c r="I225" s="24">
        <f>_xll.BDP(AX225,"CRNCY_ADJ_MKT_CAP", "EQY_FUND_CRNCY=USD")/1000</f>
        <v>299.15499999999997</v>
      </c>
      <c r="J225" s="25">
        <f>IFERROR(_xll.BDP(AX225, "DV013")/100,0)</f>
        <v>3.4111388531491413E-2</v>
      </c>
      <c r="K225" s="26" t="str" cm="1">
        <f t="array" ref="K225">IF(OR(_xll.BDP($AX225,"RR900")= "#N/A N/A", _xll.BDP($AX225,"RR900")="#N/A FIELD NOT APPLICABLE"), " ", _xll.BDP($AX225,"RR900"))</f>
        <v xml:space="preserve"> </v>
      </c>
      <c r="L225" s="26" cm="1">
        <f t="array" ref="L225">IF(OR(_xll.BDP($AX225,"EE010")= "#N/A N/A", _xll.BDP($AX225,"EE010")="#N/A FIELD NOT APPLICABLE"), " ", _xll.BDP($AX225,"EE010"))</f>
        <v>13.671923847815593</v>
      </c>
      <c r="M225" s="26" t="str" cm="1">
        <f t="array" ref="M225">IF(OR(_xll.BDP($AX225,"RR903")= "#N/A N/A", _xll.BDP($AX225,"RR903")="#N/A FIELD NOT APPLICABLE"), " ", _xll.BDP($AX225,"RR903"))</f>
        <v xml:space="preserve"> </v>
      </c>
      <c r="N225" s="26" t="str" cm="1">
        <f t="array" ref="N225">IF(OR(_xll.BDP($AX225,"RR957")= "#N/A N/A", _xll.BDP($AX225,"RR957")="#N/A FIELD NOT APPLICABLE"), " ", _xll.BDP($AX225,"RR957"))</f>
        <v xml:space="preserve"> </v>
      </c>
      <c r="O225" s="27">
        <v>1210</v>
      </c>
      <c r="P225" s="28">
        <v>86.11</v>
      </c>
      <c r="Q225" s="22" cm="1">
        <f t="array" ref="Q225">IF(OR(_xll.BDP($AX225,"PX_last")="#N/A N/A",_xll.BDP($AX225,"PX_Last")="#N/A FIELD NOT APPLICABLE")," ",IF(F225="GBP",(_xll.BDP($AX225,"PX_LAST")/100),(_xll.BDP($AX225,"PX_LAST"))))</f>
        <v>66.98</v>
      </c>
      <c r="R225" s="29">
        <f>IF(F225="USD",AA225,(((_xll.BDP(F225&amp;"USD CURNCY","PX_LAST")))*AA225))</f>
        <v>104193.1</v>
      </c>
      <c r="S225" s="29">
        <f>IF(F225="USD",AB225,(((_xll.BDP(F225&amp;"USD CURNCY","PX_LAST")))*AB225))</f>
        <v>81045.8</v>
      </c>
      <c r="T225" s="12">
        <f>S225-R225</f>
        <v>-23147.300000000003</v>
      </c>
      <c r="U225" s="13">
        <f>T225/R225</f>
        <v>-0.22215770526071305</v>
      </c>
      <c r="V225" s="13" cm="1">
        <f t="array" ref="V225">IFERROR(_xll.BDP($G225&amp;" Equity","CHG_PCT_1D")/100,"")</f>
        <v>-3.0960649999999999E-2</v>
      </c>
      <c r="W225" s="13" cm="1">
        <f t="array" ref="W225">IFERROR(_xll.BDP($G225&amp;" Equity","CHG_PCT_5D")/100,"")</f>
        <v>2.7931249999999998E-2</v>
      </c>
      <c r="X225" s="13" t="e">
        <f>S225/#REF!</f>
        <v>#REF!</v>
      </c>
      <c r="Y225" s="24">
        <f>IFERROR(S225*J225,0)</f>
        <v>2764.5847726455468</v>
      </c>
      <c r="Z225" s="24">
        <f>S225</f>
        <v>81045.8</v>
      </c>
      <c r="AA225" s="29">
        <f>P225*O225</f>
        <v>104193.1</v>
      </c>
      <c r="AB225" s="29">
        <f>IFERROR(O225*Q225,0)</f>
        <v>81045.8</v>
      </c>
      <c r="AC225" s="4" t="e" cm="1">
        <f t="array" ref="AC225">VLOOKUP(IF(NOT(_xll.BDP(AX225,$BW$8)="#N/A N/A"),(_xll.BDP(AX225,$BW$8)),"-"), '[1]Country Codes'!$A$2:$B$253,2,0)</f>
        <v>#N/A</v>
      </c>
      <c r="AD225" s="30" t="str" cm="1">
        <f t="array" ref="AD225">IF(OR(_xll.BDP($AX225,"EX028")= "#N/A N/A", _xll.BDP($AX225,"EX028")="#N/A FIELD NOT APPLICABLE"), " ", _xll.BDP($AX225,"EX028"))</f>
        <v>Equity</v>
      </c>
      <c r="AE225" s="31" t="str">
        <f>IF(("AS97"="Equity"), " ", "Single Line Equity")</f>
        <v>Single Line Equity</v>
      </c>
      <c r="AF225" s="26" t="str" cm="1">
        <f t="array" ref="AF225">IF(OR(_xll.BDP($AX225,"RR908")= "#N/A N/A", _xll.BDP($AX225,"RR908")="#N/A FIELD NOT APPLICABLE"), " ", _xll.BDP($AX225,"RR908"))</f>
        <v xml:space="preserve"> </v>
      </c>
      <c r="AG225" s="26" cm="1">
        <f t="array" ref="AG225">IF(OR(_xll.BDP($AX225,"RR041")= "#N/A N/A", _xll.BDP($AX225,"RR041")="#N/A FIELD NOT APPLICABLE"), " ", _xll.BDP($AX225,"RR041"))</f>
        <v>22.067003724814565</v>
      </c>
      <c r="AH225" s="22">
        <f>_xll.BDP(AX225,"TOT_BUY_REC")</f>
        <v>7</v>
      </c>
      <c r="AI225" s="22">
        <f>_xll.BDP(AX225,"TOT_HOLD_REC")</f>
        <v>4</v>
      </c>
      <c r="AJ225" s="22">
        <f>_xll.BDP(AX225,"TOT_SELL_REC")</f>
        <v>2</v>
      </c>
      <c r="AK225" s="26" cm="1">
        <f t="array" ref="AK225">IF(OR(_xll.BDP($AX225,"EE201")= "#N/A N/A", _xll.BDP($AX225,"EE201")="#N/A FIELD NOT APPLICABLE"), " ", _xll.BDP($AX225,"EE201"))</f>
        <v>3.769230842590332</v>
      </c>
      <c r="AL225" s="24">
        <f>_xll.BDP(AX225,"BEST_TARGET_PRICE")</f>
        <v>90.283332824707031</v>
      </c>
      <c r="AM225" s="32">
        <f>(AL225/Q225)-1</f>
        <v>0.34791479284423743</v>
      </c>
      <c r="AN225" s="32">
        <f>_xll.BDP(AX225,"PR061")/100</f>
        <v>7.0823349999999993E-2</v>
      </c>
      <c r="AO225" s="32">
        <f>_xll.BDP(AX225,"PR064")/100</f>
        <v>-0.23161639999999997</v>
      </c>
      <c r="AP225" s="32">
        <f>_xll.BDP(AX225,"CHG_PCT_6M")/100</f>
        <v>-0.36427490000000001</v>
      </c>
      <c r="AQ225" s="25">
        <f>_xll.BDP(AX225,"PR079")/100</f>
        <v>-0.22134380000000001</v>
      </c>
      <c r="AR225" s="33">
        <f>_xll.BDP(AX225,"hs001")</f>
        <v>148.15</v>
      </c>
      <c r="AS225" s="33">
        <f>_xll.BDP(AX225,"hs002")</f>
        <v>57</v>
      </c>
      <c r="AT225" s="22" t="str" cm="1">
        <f t="array" ref="AT225">IF(OR(_xll.BDP($AX225,"DX202")= "#N/A N/A", _xll.BDP($AX225,"DX202")="#N/A FIELD NOT APPLICABLE"), " ", _xll.BDP($AX225,"DX202"))</f>
        <v>Health Care</v>
      </c>
      <c r="AU225" s="22" t="str" cm="1">
        <f t="array" ref="AU225">IF(OR(_xll.BDP($AX225,"DY997")= "#N/A N/A", _xll.BDP($AX225,"DY997")="#N/A FIELD NOT APPLICABLE"), " ", _xll.BDP($AX225,"DY997"))</f>
        <v>Y</v>
      </c>
      <c r="AV225" s="22" t="str" cm="1">
        <f t="array" ref="AV225">IF(OR(_xll.BDP($AX225,"DY784")= "#N/A N/A", _xll.BDP($AX225,"DY784")="#N/A FIELD NOT APPLICABLE"), " ", _xll.BDP($AX225,"DY784"))</f>
        <v xml:space="preserve"> </v>
      </c>
      <c r="AW225" s="22" t="str">
        <f>IF(OR(AU225="Y",AV225="Y"),"Y","N")</f>
        <v>Y</v>
      </c>
      <c r="AX225" s="22" t="str">
        <f>CONCATENATE(G225," ",$AX$2)</f>
        <v>NVO US Equity</v>
      </c>
      <c r="BC225" s="17" t="str" cm="1">
        <f t="array" ref="BC225">_xll.BDP(AX225,"ID005")</f>
        <v>US6701002056</v>
      </c>
      <c r="BD225" s="17">
        <v>0.75</v>
      </c>
      <c r="BE225" s="18">
        <v>4</v>
      </c>
      <c r="BF225" s="19">
        <v>45540</v>
      </c>
      <c r="BG225" s="20">
        <v>1</v>
      </c>
    </row>
    <row r="226" spans="1:59" s="3" customFormat="1" ht="14.45" customHeight="1" x14ac:dyDescent="0.25">
      <c r="A226" s="49" t="s">
        <v>242</v>
      </c>
      <c r="B226" s="49" t="s">
        <v>246</v>
      </c>
      <c r="C226" s="49" t="s">
        <v>247</v>
      </c>
      <c r="D226" s="49" t="s">
        <v>248</v>
      </c>
      <c r="E226" s="22" t="str">
        <f>_xll.BDP(AX226,"SECURITY NAME")</f>
        <v>ON Semiconductor Corp</v>
      </c>
      <c r="F226" s="22" t="str">
        <f>_xll.BDP(AX226,"CRNCY")</f>
        <v>USD</v>
      </c>
      <c r="G226" s="23" t="s">
        <v>142</v>
      </c>
      <c r="H226" s="22" t="str" cm="1">
        <f t="array" ref="H226">IF(OR(_xll.BDP($AX226,"DX202")= "#N/A N/A", _xll.BDP($AX226,"DX202")="#N/A FIELD NOT APPLICABLE"), " ", _xll.BDP($AX226,"DX202"))</f>
        <v>Information Technology</v>
      </c>
      <c r="I226" s="24">
        <f>_xll.BDP(AX226,"CRNCY_ADJ_MKT_CAP", "EQY_FUND_CRNCY=USD")/1000</f>
        <v>15.990382764689999</v>
      </c>
      <c r="J226" s="25">
        <f>IFERROR(_xll.BDP(AX226, "DV013")/100,0)</f>
        <v>0</v>
      </c>
      <c r="K226" s="26" cm="1">
        <f t="array" ref="K226">IF(OR(_xll.BDP($AX226,"RR900")= "#N/A N/A", _xll.BDP($AX226,"RR900")="#N/A FIELD NOT APPLICABLE"), " ", _xll.BDP($AX226,"RR900"))</f>
        <v>11.150118622708547</v>
      </c>
      <c r="L226" s="26" cm="1">
        <f t="array" ref="L226">IF(OR(_xll.BDP($AX226,"EE010")= "#N/A N/A", _xll.BDP($AX226,"EE010")="#N/A FIELD NOT APPLICABLE"), " ", _xll.BDP($AX226,"EE010"))</f>
        <v>12.082412377644458</v>
      </c>
      <c r="M226" s="26" cm="1">
        <f t="array" ref="M226">IF(OR(_xll.BDP($AX226,"RR903")= "#N/A N/A", _xll.BDP($AX226,"RR903")="#N/A FIELD NOT APPLICABLE"), " ", _xll.BDP($AX226,"RR903"))</f>
        <v>1.9912659553623886</v>
      </c>
      <c r="N226" s="26" cm="1">
        <f t="array" ref="N226">IF(OR(_xll.BDP($AX226,"RR957")= "#N/A N/A", _xll.BDP($AX226,"RR957")="#N/A FIELD NOT APPLICABLE"), " ", _xll.BDP($AX226,"RR957"))</f>
        <v>12.060828159364824</v>
      </c>
      <c r="O226" s="27">
        <v>1383</v>
      </c>
      <c r="P226" s="28">
        <v>73.36</v>
      </c>
      <c r="Q226" s="22" cm="1">
        <f t="array" ref="Q226">IF(OR(_xll.BDP($AX226,"PX_last")="#N/A N/A",_xll.BDP($AX226,"PX_Last")="#N/A FIELD NOT APPLICABLE")," ",IF(F226="GBP",(_xll.BDP($AX226,"PX_LAST")/100),(_xll.BDP($AX226,"PX_LAST"))))</f>
        <v>38.265000000000001</v>
      </c>
      <c r="R226" s="29">
        <f>IF(F226="USD",AA226,(((_xll.BDP(F226&amp;"USD CURNCY","PX_LAST")))*AA226))</f>
        <v>101456.88</v>
      </c>
      <c r="S226" s="29">
        <f>IF(F226="USD",AB226,(((_xll.BDP(F226&amp;"USD CURNCY","PX_LAST")))*AB226))</f>
        <v>52920.495000000003</v>
      </c>
      <c r="T226" s="12">
        <f>S226-R226</f>
        <v>-48536.385000000002</v>
      </c>
      <c r="U226" s="13">
        <f>T226/R226</f>
        <v>-0.47839422028353323</v>
      </c>
      <c r="V226" s="13" cm="1">
        <f t="array" ref="V226">IFERROR(_xll.BDP($G226&amp;" Equity","CHG_PCT_1D")/100,"")</f>
        <v>-3.7750589999999999E-3</v>
      </c>
      <c r="W226" s="13" cm="1">
        <f t="array" ref="W226">IFERROR(_xll.BDP($G226&amp;" Equity","CHG_PCT_5D")/100,"")</f>
        <v>-1.5311369999999999E-2</v>
      </c>
      <c r="X226" s="13" t="e">
        <f>S226/#REF!</f>
        <v>#REF!</v>
      </c>
      <c r="Y226" s="24">
        <f>IFERROR(S226*J226,0)</f>
        <v>0</v>
      </c>
      <c r="Z226" s="24">
        <f>S226</f>
        <v>52920.495000000003</v>
      </c>
      <c r="AA226" s="29">
        <f>P226*O226</f>
        <v>101456.88</v>
      </c>
      <c r="AB226" s="29">
        <f>IFERROR(O226*Q226,0)</f>
        <v>52920.495000000003</v>
      </c>
      <c r="AC226" s="4" t="e" cm="1">
        <f t="array" ref="AC226">VLOOKUP(IF(NOT(_xll.BDP(AX226,$BW$8)="#N/A N/A"),(_xll.BDP(AX226,$BW$8)),"-"), '[1]Country Codes'!$A$2:$B$253,2,0)</f>
        <v>#N/A</v>
      </c>
      <c r="AD226" s="30" t="str" cm="1">
        <f t="array" ref="AD226">IF(OR(_xll.BDP($AX226,"EX028")= "#N/A N/A", _xll.BDP($AX226,"EX028")="#N/A FIELD NOT APPLICABLE"), " ", _xll.BDP($AX226,"EX028"))</f>
        <v>Equity</v>
      </c>
      <c r="AE226" s="31" t="str">
        <f>IF(("AS97"="Equity"), " ", "Single Line Equity")</f>
        <v>Single Line Equity</v>
      </c>
      <c r="AF226" s="26" cm="1">
        <f t="array" ref="AF226">IF(OR(_xll.BDP($AX226,"RR908")= "#N/A N/A", _xll.BDP($AX226,"RR908")="#N/A FIELD NOT APPLICABLE"), " ", _xll.BDP($AX226,"RR908"))</f>
        <v>8.0944743961301437</v>
      </c>
      <c r="AG226" s="26" cm="1">
        <f t="array" ref="AG226">IF(OR(_xll.BDP($AX226,"RR041")= "#N/A N/A", _xll.BDP($AX226,"RR041")="#N/A FIELD NOT APPLICABLE"), " ", _xll.BDP($AX226,"RR041"))</f>
        <v>25.858422404860253</v>
      </c>
      <c r="AH226" s="22">
        <f>_xll.BDP(AX226,"TOT_BUY_REC")</f>
        <v>16</v>
      </c>
      <c r="AI226" s="22">
        <f>_xll.BDP(AX226,"TOT_HOLD_REC")</f>
        <v>14</v>
      </c>
      <c r="AJ226" s="22">
        <f>_xll.BDP(AX226,"TOT_SELL_REC")</f>
        <v>1</v>
      </c>
      <c r="AK226" s="26" cm="1">
        <f t="array" ref="AK226">IF(OR(_xll.BDP($AX226,"EE201")= "#N/A N/A", _xll.BDP($AX226,"EE201")="#N/A FIELD NOT APPLICABLE"), " ", _xll.BDP($AX226,"EE201"))</f>
        <v>3.9032258987426758</v>
      </c>
      <c r="AL226" s="24">
        <f>_xll.BDP(AX226,"BEST_TARGET_PRICE")</f>
        <v>47.423076629638672</v>
      </c>
      <c r="AM226" s="32">
        <f>(AL226/Q226)-1</f>
        <v>0.23933298391842861</v>
      </c>
      <c r="AN226" s="32">
        <f>_xll.BDP(AX226,"PR061")/100</f>
        <v>0.13545989999999999</v>
      </c>
      <c r="AO226" s="32">
        <f>_xll.BDP(AX226,"PR064")/100</f>
        <v>-0.27030890000000002</v>
      </c>
      <c r="AP226" s="32">
        <f>_xll.BDP(AX226,"CHG_PCT_6M")/100</f>
        <v>-0.47052720000000003</v>
      </c>
      <c r="AQ226" s="25">
        <f>_xll.BDP(AX226,"PR079")/100</f>
        <v>-0.39310070000000003</v>
      </c>
      <c r="AR226" s="33">
        <f>_xll.BDP(AX226,"hs001")</f>
        <v>80.08</v>
      </c>
      <c r="AS226" s="33">
        <f>_xll.BDP(AX226,"hs002")</f>
        <v>31.04</v>
      </c>
      <c r="AT226" s="22" t="str" cm="1">
        <f t="array" ref="AT226">IF(OR(_xll.BDP($AX226,"DX202")= "#N/A N/A", _xll.BDP($AX226,"DX202")="#N/A FIELD NOT APPLICABLE"), " ", _xll.BDP($AX226,"DX202"))</f>
        <v>Information Technology</v>
      </c>
      <c r="AU226" s="22" t="str" cm="1">
        <f t="array" ref="AU226">IF(OR(_xll.BDP($AX226,"DY997")= "#N/A N/A", _xll.BDP($AX226,"DY997")="#N/A FIELD NOT APPLICABLE"), " ", _xll.BDP($AX226,"DY997"))</f>
        <v>Y</v>
      </c>
      <c r="AV226" s="22" t="str" cm="1">
        <f t="array" ref="AV226">IF(OR(_xll.BDP($AX226,"DY784")= "#N/A N/A", _xll.BDP($AX226,"DY784")="#N/A FIELD NOT APPLICABLE"), " ", _xll.BDP($AX226,"DY784"))</f>
        <v>Y</v>
      </c>
      <c r="AW226" s="22" t="str">
        <f>IF(OR(AU226="Y",AV226="Y"),"Y","N")</f>
        <v>Y</v>
      </c>
      <c r="AX226" s="22" t="str">
        <f>CONCATENATE(G226," ",$AX$2)</f>
        <v>ON US Equity</v>
      </c>
      <c r="BC226" s="17" t="str" cm="1">
        <f t="array" ref="BC226">_xll.BDP(AX226,"ID005")</f>
        <v>US6821891057</v>
      </c>
      <c r="BD226" s="17">
        <v>0.75</v>
      </c>
      <c r="BE226" s="18">
        <v>4</v>
      </c>
      <c r="BF226" s="19">
        <v>45560</v>
      </c>
      <c r="BG226" s="20">
        <v>1</v>
      </c>
    </row>
    <row r="227" spans="1:59" s="3" customFormat="1" ht="14.45" customHeight="1" x14ac:dyDescent="0.25">
      <c r="A227" s="49" t="s">
        <v>242</v>
      </c>
      <c r="B227" s="49" t="s">
        <v>243</v>
      </c>
      <c r="C227" s="49" t="s">
        <v>244</v>
      </c>
      <c r="D227" s="49" t="s">
        <v>245</v>
      </c>
      <c r="E227" s="22" t="str">
        <f>_xll.BDP(AX227,"SECURITY NAME")</f>
        <v>PepsiCo Inc</v>
      </c>
      <c r="F227" s="22" t="str">
        <f>_xll.BDP(AX227,"CRNCY")</f>
        <v>USD</v>
      </c>
      <c r="G227" s="23" t="s">
        <v>121</v>
      </c>
      <c r="H227" s="22" t="str" cm="1">
        <f t="array" ref="H227">IF(OR(_xll.BDP($AX227,"DX202")= "#N/A N/A", _xll.BDP($AX227,"DX202")="#N/A FIELD NOT APPLICABLE"), " ", _xll.BDP($AX227,"DX202"))</f>
        <v>Consumer Staples</v>
      </c>
      <c r="I227" s="24">
        <f>_xll.BDP(AX227,"CRNCY_ADJ_MKT_CAP", "EQY_FUND_CRNCY=USD")/1000</f>
        <v>179.57028735380004</v>
      </c>
      <c r="J227" s="25">
        <f>IFERROR(_xll.BDP(AX227, "DV013")/100,0)</f>
        <v>4.1383523526715621E-2</v>
      </c>
      <c r="K227" s="26" cm="1">
        <f t="array" ref="K227">IF(OR(_xll.BDP($AX227,"RR900")= "#N/A N/A", _xll.BDP($AX227,"RR900")="#N/A FIELD NOT APPLICABLE"), " ", _xll.BDP($AX227,"RR900"))</f>
        <v>16.341308789558219</v>
      </c>
      <c r="L227" s="26" cm="1">
        <f t="array" ref="L227">IF(OR(_xll.BDP($AX227,"EE010")= "#N/A N/A", _xll.BDP($AX227,"EE010")="#N/A FIELD NOT APPLICABLE"), " ", _xll.BDP($AX227,"EE010"))</f>
        <v>15.569424631478839</v>
      </c>
      <c r="M227" s="26" cm="1">
        <f t="array" ref="M227">IF(OR(_xll.BDP($AX227,"RR903")= "#N/A N/A", _xll.BDP($AX227,"RR903")="#N/A FIELD NOT APPLICABLE"), " ", _xll.BDP($AX227,"RR903"))</f>
        <v>9.7787705517442696</v>
      </c>
      <c r="N227" s="26" cm="1">
        <f t="array" ref="N227">IF(OR(_xll.BDP($AX227,"RR957")= "#N/A N/A", _xll.BDP($AX227,"RR957")="#N/A FIELD NOT APPLICABLE"), " ", _xll.BDP($AX227,"RR957"))</f>
        <v>13.7657487687265</v>
      </c>
      <c r="O227" s="27">
        <v>463</v>
      </c>
      <c r="P227" s="28">
        <v>162.68</v>
      </c>
      <c r="Q227" s="22" cm="1">
        <f t="array" ref="Q227">IF(OR(_xll.BDP($AX227,"PX_last")="#N/A N/A",_xll.BDP($AX227,"PX_Last")="#N/A FIELD NOT APPLICABLE")," ",IF(F227="GBP",(_xll.BDP($AX227,"PX_LAST")/100),(_xll.BDP($AX227,"PX_LAST"))))</f>
        <v>130.97</v>
      </c>
      <c r="R227" s="29">
        <f>IF(F227="USD",AA227,(((_xll.BDP(F227&amp;"USD CURNCY","PX_LAST")))*AA227))</f>
        <v>75320.84</v>
      </c>
      <c r="S227" s="29">
        <f>IF(F227="USD",AB227,(((_xll.BDP(F227&amp;"USD CURNCY","PX_LAST")))*AB227))</f>
        <v>60639.11</v>
      </c>
      <c r="T227" s="12">
        <f>S227-R227</f>
        <v>-14681.729999999996</v>
      </c>
      <c r="U227" s="13">
        <f>T227/R227</f>
        <v>-0.19492254733218584</v>
      </c>
      <c r="V227" s="13" cm="1">
        <f t="array" ref="V227">IFERROR(_xll.BDP($G227&amp;" Equity","CHG_PCT_1D")/100,"")</f>
        <v>-7.7278579999999998E-3</v>
      </c>
      <c r="W227" s="13" cm="1">
        <f t="array" ref="W227">IFERROR(_xll.BDP($G227&amp;" Equity","CHG_PCT_5D")/100,"")</f>
        <v>-2.4867840000000002E-2</v>
      </c>
      <c r="X227" s="13" t="e">
        <f>S227/#REF!</f>
        <v>#REF!</v>
      </c>
      <c r="Y227" s="24">
        <f>IFERROR(S227*J227,0)</f>
        <v>2509.4600353240967</v>
      </c>
      <c r="Z227" s="24">
        <f>S227</f>
        <v>60639.11</v>
      </c>
      <c r="AA227" s="29">
        <f>P227*O227</f>
        <v>75320.84</v>
      </c>
      <c r="AB227" s="29">
        <f>IFERROR(O227*Q227,0)</f>
        <v>60639.11</v>
      </c>
      <c r="AC227" s="4" t="e" cm="1">
        <f t="array" ref="AC227">VLOOKUP(IF(NOT(_xll.BDP(AX227,$BW$8)="#N/A N/A"),(_xll.BDP(AX227,$BW$8)),"-"), '[1]Country Codes'!$A$2:$B$253,2,0)</f>
        <v>#N/A</v>
      </c>
      <c r="AD227" s="30" t="str" cm="1">
        <f t="array" ref="AD227">IF(OR(_xll.BDP($AX227,"EX028")= "#N/A N/A", _xll.BDP($AX227,"EX028")="#N/A FIELD NOT APPLICABLE"), " ", _xll.BDP($AX227,"EX028"))</f>
        <v>Equity</v>
      </c>
      <c r="AE227" s="31" t="str">
        <f>IF(("AS97"="Equity"), " ", "Single Line Equity")</f>
        <v>Single Line Equity</v>
      </c>
      <c r="AF227" s="26" cm="1">
        <f t="array" ref="AF227">IF(OR(_xll.BDP($AX227,"RR908")= "#N/A N/A", _xll.BDP($AX227,"RR908")="#N/A FIELD NOT APPLICABLE"), " ", _xll.BDP($AX227,"RR908"))</f>
        <v>14.325462223646456</v>
      </c>
      <c r="AG227" s="26" cm="1">
        <f t="array" ref="AG227">IF(OR(_xll.BDP($AX227,"RR041")= "#N/A N/A", _xll.BDP($AX227,"RR041")="#N/A FIELD NOT APPLICABLE"), " ", _xll.BDP($AX227,"RR041"))</f>
        <v>48.006876652558134</v>
      </c>
      <c r="AH227" s="22">
        <f>_xll.BDP(AX227,"TOT_BUY_REC")</f>
        <v>8</v>
      </c>
      <c r="AI227" s="22">
        <f>_xll.BDP(AX227,"TOT_HOLD_REC")</f>
        <v>17</v>
      </c>
      <c r="AJ227" s="22">
        <f>_xll.BDP(AX227,"TOT_SELL_REC")</f>
        <v>1</v>
      </c>
      <c r="AK227" s="26" cm="1">
        <f t="array" ref="AK227">IF(OR(_xll.BDP($AX227,"EE201")= "#N/A N/A", _xll.BDP($AX227,"EE201")="#N/A FIELD NOT APPLICABLE"), " ", _xll.BDP($AX227,"EE201"))</f>
        <v>3.538461446762085</v>
      </c>
      <c r="AL227" s="24">
        <f>_xll.BDP(AX227,"BEST_TARGET_PRICE")</f>
        <v>150.08695983886719</v>
      </c>
      <c r="AM227" s="32">
        <f>(AL227/Q227)-1</f>
        <v>0.14596441810236849</v>
      </c>
      <c r="AN227" s="32">
        <f>_xll.BDP(AX227,"PR061")/100</f>
        <v>-0.1066776</v>
      </c>
      <c r="AO227" s="32">
        <f>_xll.BDP(AX227,"PR064")/100</f>
        <v>-9.8933649999999998E-2</v>
      </c>
      <c r="AP227" s="32">
        <f>_xll.BDP(AX227,"CHG_PCT_6M")/100</f>
        <v>-0.2048449</v>
      </c>
      <c r="AQ227" s="25">
        <f>_xll.BDP(AX227,"PR079")/100</f>
        <v>-0.13869519999999999</v>
      </c>
      <c r="AR227" s="33">
        <f>_xll.BDP(AX227,"hs001")</f>
        <v>183.41</v>
      </c>
      <c r="AS227" s="33">
        <f>_xll.BDP(AX227,"hs002")</f>
        <v>130.38</v>
      </c>
      <c r="AT227" s="22" t="str" cm="1">
        <f t="array" ref="AT227">IF(OR(_xll.BDP($AX227,"DX202")= "#N/A N/A", _xll.BDP($AX227,"DX202")="#N/A FIELD NOT APPLICABLE"), " ", _xll.BDP($AX227,"DX202"))</f>
        <v>Consumer Staples</v>
      </c>
      <c r="AU227" s="22" t="str" cm="1">
        <f t="array" ref="AU227">IF(OR(_xll.BDP($AX227,"DY997")= "#N/A N/A", _xll.BDP($AX227,"DY997")="#N/A FIELD NOT APPLICABLE"), " ", _xll.BDP($AX227,"DY997"))</f>
        <v>N</v>
      </c>
      <c r="AV227" s="22" t="str" cm="1">
        <f t="array" ref="AV227">IF(OR(_xll.BDP($AX227,"DY784")= "#N/A N/A", _xll.BDP($AX227,"DY784")="#N/A FIELD NOT APPLICABLE"), " ", _xll.BDP($AX227,"DY784"))</f>
        <v>Y</v>
      </c>
      <c r="AW227" s="22" t="str">
        <f>IF(OR(AU227="Y",AV227="Y"),"Y","N")</f>
        <v>Y</v>
      </c>
      <c r="AX227" s="22" t="str">
        <f>CONCATENATE(G227," ",$AX$2)</f>
        <v>PEP US Equity</v>
      </c>
      <c r="BC227" s="17" t="str" cm="1">
        <f t="array" ref="BC227">_xll.BDP(AX227,"ID005")</f>
        <v>US7134481081</v>
      </c>
      <c r="BD227" s="17">
        <v>0.7994</v>
      </c>
      <c r="BE227" s="18">
        <v>4</v>
      </c>
      <c r="BF227" s="19"/>
      <c r="BG227" s="20"/>
    </row>
    <row r="228" spans="1:59" s="3" customFormat="1" ht="14.45" customHeight="1" x14ac:dyDescent="0.25">
      <c r="A228" s="49" t="s">
        <v>242</v>
      </c>
      <c r="B228" s="49" t="s">
        <v>246</v>
      </c>
      <c r="C228" s="49" t="s">
        <v>247</v>
      </c>
      <c r="D228" s="49" t="s">
        <v>248</v>
      </c>
      <c r="E228" s="22" t="str">
        <f>_xll.BDP(AX228,"SECURITY NAME")</f>
        <v>PepsiCo Inc</v>
      </c>
      <c r="F228" s="22" t="str">
        <f>_xll.BDP(AX228,"CRNCY")</f>
        <v>USD</v>
      </c>
      <c r="G228" s="23" t="s">
        <v>121</v>
      </c>
      <c r="H228" s="22" t="str" cm="1">
        <f t="array" ref="H228">IF(OR(_xll.BDP($AX228,"DX202")= "#N/A N/A", _xll.BDP($AX228,"DX202")="#N/A FIELD NOT APPLICABLE"), " ", _xll.BDP($AX228,"DX202"))</f>
        <v>Consumer Staples</v>
      </c>
      <c r="I228" s="24">
        <f>_xll.BDP(AX228,"CRNCY_ADJ_MKT_CAP", "EQY_FUND_CRNCY=USD")/1000</f>
        <v>179.57028735380004</v>
      </c>
      <c r="J228" s="25">
        <f>IFERROR(_xll.BDP(AX228, "DV013")/100,0)</f>
        <v>4.1383523526715621E-2</v>
      </c>
      <c r="K228" s="26" cm="1">
        <f t="array" ref="K228">IF(OR(_xll.BDP($AX228,"RR900")= "#N/A N/A", _xll.BDP($AX228,"RR900")="#N/A FIELD NOT APPLICABLE"), " ", _xll.BDP($AX228,"RR900"))</f>
        <v>16.341308789558219</v>
      </c>
      <c r="L228" s="26" cm="1">
        <f t="array" ref="L228">IF(OR(_xll.BDP($AX228,"EE010")= "#N/A N/A", _xll.BDP($AX228,"EE010")="#N/A FIELD NOT APPLICABLE"), " ", _xll.BDP($AX228,"EE010"))</f>
        <v>15.569424631478839</v>
      </c>
      <c r="M228" s="26" cm="1">
        <f t="array" ref="M228">IF(OR(_xll.BDP($AX228,"RR903")= "#N/A N/A", _xll.BDP($AX228,"RR903")="#N/A FIELD NOT APPLICABLE"), " ", _xll.BDP($AX228,"RR903"))</f>
        <v>9.7787705517442696</v>
      </c>
      <c r="N228" s="26" cm="1">
        <f t="array" ref="N228">IF(OR(_xll.BDP($AX228,"RR957")= "#N/A N/A", _xll.BDP($AX228,"RR957")="#N/A FIELD NOT APPLICABLE"), " ", _xll.BDP($AX228,"RR957"))</f>
        <v>13.7657487687265</v>
      </c>
      <c r="O228" s="27">
        <v>617</v>
      </c>
      <c r="P228" s="28">
        <v>162.94999999999999</v>
      </c>
      <c r="Q228" s="22" cm="1">
        <f t="array" ref="Q228">IF(OR(_xll.BDP($AX228,"PX_last")="#N/A N/A",_xll.BDP($AX228,"PX_Last")="#N/A FIELD NOT APPLICABLE")," ",IF(F228="GBP",(_xll.BDP($AX228,"PX_LAST")/100),(_xll.BDP($AX228,"PX_LAST"))))</f>
        <v>130.97</v>
      </c>
      <c r="R228" s="29">
        <f>IF(F228="USD",AA228,(((_xll.BDP(F228&amp;"USD CURNCY","PX_LAST")))*AA228))</f>
        <v>100540.15</v>
      </c>
      <c r="S228" s="29">
        <f>IF(F228="USD",AB228,(((_xll.BDP(F228&amp;"USD CURNCY","PX_LAST")))*AB228))</f>
        <v>80808.490000000005</v>
      </c>
      <c r="T228" s="12">
        <f>S228-R228</f>
        <v>-19731.659999999989</v>
      </c>
      <c r="U228" s="13">
        <f>T228/R228</f>
        <v>-0.19625652040503211</v>
      </c>
      <c r="V228" s="13" cm="1">
        <f t="array" ref="V228">IFERROR(_xll.BDP($G228&amp;" Equity","CHG_PCT_1D")/100,"")</f>
        <v>-7.7278579999999998E-3</v>
      </c>
      <c r="W228" s="13" cm="1">
        <f t="array" ref="W228">IFERROR(_xll.BDP($G228&amp;" Equity","CHG_PCT_5D")/100,"")</f>
        <v>-2.4867840000000002E-2</v>
      </c>
      <c r="X228" s="13" t="e">
        <f>S228/#REF!</f>
        <v>#REF!</v>
      </c>
      <c r="Y228" s="24">
        <f>IFERROR(S228*J228,0)</f>
        <v>3344.1400470733643</v>
      </c>
      <c r="Z228" s="24">
        <f>S228</f>
        <v>80808.490000000005</v>
      </c>
      <c r="AA228" s="29">
        <f>P228*O228</f>
        <v>100540.15</v>
      </c>
      <c r="AB228" s="29">
        <f>IFERROR(O228*Q228,0)</f>
        <v>80808.490000000005</v>
      </c>
      <c r="AC228" s="4" t="e" cm="1">
        <f t="array" ref="AC228">VLOOKUP(IF(NOT(_xll.BDP(AX228,$BW$8)="#N/A N/A"),(_xll.BDP(AX228,$BW$8)),"-"), '[1]Country Codes'!$A$2:$B$253,2,0)</f>
        <v>#N/A</v>
      </c>
      <c r="AD228" s="30" t="str" cm="1">
        <f t="array" ref="AD228">IF(OR(_xll.BDP($AX228,"EX028")= "#N/A N/A", _xll.BDP($AX228,"EX028")="#N/A FIELD NOT APPLICABLE"), " ", _xll.BDP($AX228,"EX028"))</f>
        <v>Equity</v>
      </c>
      <c r="AE228" s="31" t="str">
        <f>IF(("AS97"="Equity"), " ", "Single Line Equity")</f>
        <v>Single Line Equity</v>
      </c>
      <c r="AF228" s="26" cm="1">
        <f t="array" ref="AF228">IF(OR(_xll.BDP($AX228,"RR908")= "#N/A N/A", _xll.BDP($AX228,"RR908")="#N/A FIELD NOT APPLICABLE"), " ", _xll.BDP($AX228,"RR908"))</f>
        <v>14.325462223646456</v>
      </c>
      <c r="AG228" s="26" cm="1">
        <f t="array" ref="AG228">IF(OR(_xll.BDP($AX228,"RR041")= "#N/A N/A", _xll.BDP($AX228,"RR041")="#N/A FIELD NOT APPLICABLE"), " ", _xll.BDP($AX228,"RR041"))</f>
        <v>48.006876652558134</v>
      </c>
      <c r="AH228" s="22">
        <f>_xll.BDP(AX228,"TOT_BUY_REC")</f>
        <v>8</v>
      </c>
      <c r="AI228" s="22">
        <f>_xll.BDP(AX228,"TOT_HOLD_REC")</f>
        <v>17</v>
      </c>
      <c r="AJ228" s="22">
        <f>_xll.BDP(AX228,"TOT_SELL_REC")</f>
        <v>1</v>
      </c>
      <c r="AK228" s="26" cm="1">
        <f t="array" ref="AK228">IF(OR(_xll.BDP($AX228,"EE201")= "#N/A N/A", _xll.BDP($AX228,"EE201")="#N/A FIELD NOT APPLICABLE"), " ", _xll.BDP($AX228,"EE201"))</f>
        <v>3.538461446762085</v>
      </c>
      <c r="AL228" s="24">
        <f>_xll.BDP(AX228,"BEST_TARGET_PRICE")</f>
        <v>150.08695983886719</v>
      </c>
      <c r="AM228" s="32">
        <f>(AL228/Q228)-1</f>
        <v>0.14596441810236849</v>
      </c>
      <c r="AN228" s="32">
        <f>_xll.BDP(AX228,"PR061")/100</f>
        <v>-0.1066776</v>
      </c>
      <c r="AO228" s="32">
        <f>_xll.BDP(AX228,"PR064")/100</f>
        <v>-9.8933649999999998E-2</v>
      </c>
      <c r="AP228" s="32">
        <f>_xll.BDP(AX228,"CHG_PCT_6M")/100</f>
        <v>-0.2048449</v>
      </c>
      <c r="AQ228" s="25">
        <f>_xll.BDP(AX228,"PR079")/100</f>
        <v>-0.13869519999999999</v>
      </c>
      <c r="AR228" s="33">
        <f>_xll.BDP(AX228,"hs001")</f>
        <v>183.41</v>
      </c>
      <c r="AS228" s="33">
        <f>_xll.BDP(AX228,"hs002")</f>
        <v>130.38</v>
      </c>
      <c r="AT228" s="22" t="str" cm="1">
        <f t="array" ref="AT228">IF(OR(_xll.BDP($AX228,"DX202")= "#N/A N/A", _xll.BDP($AX228,"DX202")="#N/A FIELD NOT APPLICABLE"), " ", _xll.BDP($AX228,"DX202"))</f>
        <v>Consumer Staples</v>
      </c>
      <c r="AU228" s="22" t="str" cm="1">
        <f t="array" ref="AU228">IF(OR(_xll.BDP($AX228,"DY997")= "#N/A N/A", _xll.BDP($AX228,"DY997")="#N/A FIELD NOT APPLICABLE"), " ", _xll.BDP($AX228,"DY997"))</f>
        <v>N</v>
      </c>
      <c r="AV228" s="22" t="str" cm="1">
        <f t="array" ref="AV228">IF(OR(_xll.BDP($AX228,"DY784")= "#N/A N/A", _xll.BDP($AX228,"DY784")="#N/A FIELD NOT APPLICABLE"), " ", _xll.BDP($AX228,"DY784"))</f>
        <v>Y</v>
      </c>
      <c r="AW228" s="22" t="str">
        <f>IF(OR(AU228="Y",AV228="Y"),"Y","N")</f>
        <v>Y</v>
      </c>
      <c r="AX228" s="22" t="str">
        <f>CONCATENATE(G228," ",$AX$2)</f>
        <v>PEP US Equity</v>
      </c>
      <c r="BC228" s="17" t="str" cm="1">
        <f t="array" ref="BC228">_xll.BDP(AX228,"ID005")</f>
        <v>US7134481081</v>
      </c>
      <c r="BD228" s="17">
        <v>0.7994</v>
      </c>
      <c r="BE228" s="18">
        <v>4</v>
      </c>
      <c r="BF228" s="19"/>
      <c r="BG228" s="20"/>
    </row>
    <row r="229" spans="1:59" s="3" customFormat="1" ht="14.45" customHeight="1" x14ac:dyDescent="0.25">
      <c r="A229" s="49" t="s">
        <v>257</v>
      </c>
      <c r="B229" s="49" t="s">
        <v>258</v>
      </c>
      <c r="C229" s="49" t="s">
        <v>259</v>
      </c>
      <c r="D229" s="49" t="s">
        <v>248</v>
      </c>
      <c r="E229" s="22" t="str">
        <f>_xll.BDP(AX229,"SECURITY NAME")</f>
        <v>PepsiCo Inc</v>
      </c>
      <c r="F229" s="22" t="str">
        <f>_xll.BDP(AX229,"CRNCY")</f>
        <v>USD</v>
      </c>
      <c r="G229" s="23" t="s">
        <v>121</v>
      </c>
      <c r="H229" s="22" t="str" cm="1">
        <f t="array" ref="H229">IF(OR(_xll.BDP($AX229,"DX202")= "#N/A N/A", _xll.BDP($AX229,"DX202")="#N/A FIELD NOT APPLICABLE"), " ", _xll.BDP($AX229,"DX202"))</f>
        <v>Consumer Staples</v>
      </c>
      <c r="I229" s="24">
        <f>_xll.BDP(AX229,"CRNCY_ADJ_MKT_CAP", "EQY_FUND_CRNCY=USD")/1000</f>
        <v>179.57028735380004</v>
      </c>
      <c r="J229" s="25">
        <f>IFERROR(_xll.BDP(AX229, "DV013")/100,0)</f>
        <v>4.1383523526715621E-2</v>
      </c>
      <c r="K229" s="26" cm="1">
        <f t="array" ref="K229">IF(OR(_xll.BDP($AX229,"RR900")= "#N/A N/A", _xll.BDP($AX229,"RR900")="#N/A FIELD NOT APPLICABLE"), " ", _xll.BDP($AX229,"RR900"))</f>
        <v>16.341308789558219</v>
      </c>
      <c r="L229" s="26" cm="1">
        <f t="array" ref="L229">IF(OR(_xll.BDP($AX229,"EE010")= "#N/A N/A", _xll.BDP($AX229,"EE010")="#N/A FIELD NOT APPLICABLE"), " ", _xll.BDP($AX229,"EE010"))</f>
        <v>15.569424631478839</v>
      </c>
      <c r="M229" s="26" cm="1">
        <f t="array" ref="M229">IF(OR(_xll.BDP($AX229,"RR903")= "#N/A N/A", _xll.BDP($AX229,"RR903")="#N/A FIELD NOT APPLICABLE"), " ", _xll.BDP($AX229,"RR903"))</f>
        <v>9.7787705517442696</v>
      </c>
      <c r="N229" s="26" cm="1">
        <f t="array" ref="N229">IF(OR(_xll.BDP($AX229,"RR957")= "#N/A N/A", _xll.BDP($AX229,"RR957")="#N/A FIELD NOT APPLICABLE"), " ", _xll.BDP($AX229,"RR957"))</f>
        <v>13.7657487687265</v>
      </c>
      <c r="O229" s="27">
        <v>370</v>
      </c>
      <c r="P229" s="28">
        <v>162.88999999999999</v>
      </c>
      <c r="Q229" s="22" cm="1">
        <f t="array" ref="Q229">IF(OR(_xll.BDP($AX229,"PX_last")="#N/A N/A",_xll.BDP($AX229,"PX_Last")="#N/A FIELD NOT APPLICABLE")," ",IF(F229="GBP",(_xll.BDP($AX229,"PX_LAST")/100),(_xll.BDP($AX229,"PX_LAST"))))</f>
        <v>130.97</v>
      </c>
      <c r="R229" s="29">
        <f>IF(F229="USD",AA229,(((_xll.BDP(F229&amp;"USD CURNCY","PX_LAST")))*AA229))</f>
        <v>60269.299999999996</v>
      </c>
      <c r="S229" s="29">
        <f>IF(F229="USD",AB229,(((_xll.BDP(F229&amp;"USD CURNCY","PX_LAST")))*AB229))</f>
        <v>48458.9</v>
      </c>
      <c r="T229" s="12">
        <f>S229-R229</f>
        <v>-11810.399999999994</v>
      </c>
      <c r="U229" s="13">
        <f>T229/R229</f>
        <v>-0.19596046411688861</v>
      </c>
      <c r="V229" s="13" cm="1">
        <f t="array" ref="V229">IFERROR(_xll.BDP($G229&amp;" Equity","CHG_PCT_1D")/100,"")</f>
        <v>-7.7278579999999998E-3</v>
      </c>
      <c r="W229" s="13" cm="1">
        <f t="array" ref="W229">IFERROR(_xll.BDP($G229&amp;" Equity","CHG_PCT_5D")/100,"")</f>
        <v>-2.4867840000000002E-2</v>
      </c>
      <c r="X229" s="13" t="e">
        <f>S229/#REF!</f>
        <v>#REF!</v>
      </c>
      <c r="Y229" s="24">
        <f>IFERROR(S229*J229,0)</f>
        <v>2005.4000282287598</v>
      </c>
      <c r="Z229" s="24">
        <f>S229</f>
        <v>48458.9</v>
      </c>
      <c r="AA229" s="29">
        <f>P229*O229</f>
        <v>60269.299999999996</v>
      </c>
      <c r="AB229" s="29">
        <f>IFERROR(O229*Q229,0)</f>
        <v>48458.9</v>
      </c>
      <c r="AC229" s="4" t="e" cm="1">
        <f t="array" ref="AC229">VLOOKUP(IF(NOT(_xll.BDP(AX229,$BW$8)="#N/A N/A"),(_xll.BDP(AX229,$BW$8)),"-"), '[1]Country Codes'!$A$2:$B$253,2,0)</f>
        <v>#N/A</v>
      </c>
      <c r="AD229" s="30" t="str" cm="1">
        <f t="array" ref="AD229">IF(OR(_xll.BDP($AX229,"EX028")= "#N/A N/A", _xll.BDP($AX229,"EX028")="#N/A FIELD NOT APPLICABLE"), " ", _xll.BDP($AX229,"EX028"))</f>
        <v>Equity</v>
      </c>
      <c r="AE229" s="31" t="str">
        <f>IF(("AS97"="Equity"), " ", "Single Line Equity")</f>
        <v>Single Line Equity</v>
      </c>
      <c r="AF229" s="26" cm="1">
        <f t="array" ref="AF229">IF(OR(_xll.BDP($AX229,"RR908")= "#N/A N/A", _xll.BDP($AX229,"RR908")="#N/A FIELD NOT APPLICABLE"), " ", _xll.BDP($AX229,"RR908"))</f>
        <v>14.325462223646456</v>
      </c>
      <c r="AG229" s="26" cm="1">
        <f t="array" ref="AG229">IF(OR(_xll.BDP($AX229,"RR041")= "#N/A N/A", _xll.BDP($AX229,"RR041")="#N/A FIELD NOT APPLICABLE"), " ", _xll.BDP($AX229,"RR041"))</f>
        <v>48.006876652558134</v>
      </c>
      <c r="AH229" s="22">
        <f>_xll.BDP(AX229,"TOT_BUY_REC")</f>
        <v>8</v>
      </c>
      <c r="AI229" s="22">
        <f>_xll.BDP(AX229,"TOT_HOLD_REC")</f>
        <v>17</v>
      </c>
      <c r="AJ229" s="22">
        <f>_xll.BDP(AX229,"TOT_SELL_REC")</f>
        <v>1</v>
      </c>
      <c r="AK229" s="26" cm="1">
        <f t="array" ref="AK229">IF(OR(_xll.BDP($AX229,"EE201")= "#N/A N/A", _xll.BDP($AX229,"EE201")="#N/A FIELD NOT APPLICABLE"), " ", _xll.BDP($AX229,"EE201"))</f>
        <v>3.538461446762085</v>
      </c>
      <c r="AL229" s="24">
        <f>_xll.BDP(AX229,"BEST_TARGET_PRICE")</f>
        <v>150.08695983886719</v>
      </c>
      <c r="AM229" s="32">
        <f>(AL229/Q229)-1</f>
        <v>0.14596441810236849</v>
      </c>
      <c r="AN229" s="32">
        <f>_xll.BDP(AX229,"PR061")/100</f>
        <v>-0.1066776</v>
      </c>
      <c r="AO229" s="32">
        <f>_xll.BDP(AX229,"PR064")/100</f>
        <v>-9.8933649999999998E-2</v>
      </c>
      <c r="AP229" s="32">
        <f>_xll.BDP(AX229,"CHG_PCT_6M")/100</f>
        <v>-0.2048449</v>
      </c>
      <c r="AQ229" s="25">
        <f>_xll.BDP(AX229,"PR079")/100</f>
        <v>-0.13869519999999999</v>
      </c>
      <c r="AR229" s="33">
        <f>_xll.BDP(AX229,"hs001")</f>
        <v>183.41</v>
      </c>
      <c r="AS229" s="33">
        <f>_xll.BDP(AX229,"hs002")</f>
        <v>130.38</v>
      </c>
      <c r="AT229" s="22" t="str" cm="1">
        <f t="array" ref="AT229">IF(OR(_xll.BDP($AX229,"DX202")= "#N/A N/A", _xll.BDP($AX229,"DX202")="#N/A FIELD NOT APPLICABLE"), " ", _xll.BDP($AX229,"DX202"))</f>
        <v>Consumer Staples</v>
      </c>
      <c r="AU229" s="22" t="str" cm="1">
        <f t="array" ref="AU229">IF(OR(_xll.BDP($AX229,"DY997")= "#N/A N/A", _xll.BDP($AX229,"DY997")="#N/A FIELD NOT APPLICABLE"), " ", _xll.BDP($AX229,"DY997"))</f>
        <v>N</v>
      </c>
      <c r="AV229" s="22" t="str" cm="1">
        <f t="array" ref="AV229">IF(OR(_xll.BDP($AX229,"DY784")= "#N/A N/A", _xll.BDP($AX229,"DY784")="#N/A FIELD NOT APPLICABLE"), " ", _xll.BDP($AX229,"DY784"))</f>
        <v>Y</v>
      </c>
      <c r="AW229" s="22" t="str">
        <f>IF(OR(AU229="Y",AV229="Y"),"Y","N")</f>
        <v>Y</v>
      </c>
      <c r="AX229" s="22" t="str">
        <f>CONCATENATE(G229," ",$AX$2)</f>
        <v>PEP US Equity</v>
      </c>
      <c r="BC229" s="17" t="str" cm="1">
        <f t="array" ref="BC229">_xll.BDP(AX229,"ID005")</f>
        <v>US7134481081</v>
      </c>
      <c r="BD229" s="17">
        <v>0.7994</v>
      </c>
      <c r="BE229" s="18">
        <v>4</v>
      </c>
      <c r="BF229" s="19"/>
      <c r="BG229" s="20"/>
    </row>
    <row r="230" spans="1:59" s="3" customFormat="1" ht="14.45" customHeight="1" x14ac:dyDescent="0.25">
      <c r="A230" s="49" t="s">
        <v>242</v>
      </c>
      <c r="B230" s="49" t="s">
        <v>260</v>
      </c>
      <c r="C230" s="49" t="s">
        <v>261</v>
      </c>
      <c r="D230" s="49" t="s">
        <v>248</v>
      </c>
      <c r="E230" s="22" t="str">
        <f>_xll.BDP(AX230,"SECURITY NAME")</f>
        <v>PepsiCo Inc</v>
      </c>
      <c r="F230" s="22" t="str">
        <f>_xll.BDP(AX230,"CRNCY")</f>
        <v>USD</v>
      </c>
      <c r="G230" s="73" t="s">
        <v>121</v>
      </c>
      <c r="H230" s="22" t="str" cm="1">
        <f t="array" ref="H230">IF(OR(_xll.BDP($AX230,"DX202")= "#N/A N/A", _xll.BDP($AX230,"DX202")="#N/A FIELD NOT APPLICABLE"), " ", _xll.BDP($AX230,"DX202"))</f>
        <v>Consumer Staples</v>
      </c>
      <c r="I230" s="24">
        <f>_xll.BDP(AX230,"CRNCY_ADJ_MKT_CAP", "EQY_FUND_CRNCY=USD")/1000</f>
        <v>179.57028735380004</v>
      </c>
      <c r="J230" s="25">
        <f>IFERROR(_xll.BDP(AX230, "DV013")/100,0)</f>
        <v>4.1383523526715621E-2</v>
      </c>
      <c r="K230" s="26" cm="1">
        <f t="array" ref="K230">IF(OR(_xll.BDP($AX230,"RR900")= "#N/A N/A", _xll.BDP($AX230,"RR900")="#N/A FIELD NOT APPLICABLE"), " ", _xll.BDP($AX230,"RR900"))</f>
        <v>16.341308789558219</v>
      </c>
      <c r="L230" s="26" cm="1">
        <f t="array" ref="L230">IF(OR(_xll.BDP($AX230,"EE010")= "#N/A N/A", _xll.BDP($AX230,"EE010")="#N/A FIELD NOT APPLICABLE"), " ", _xll.BDP($AX230,"EE010"))</f>
        <v>15.569424631478839</v>
      </c>
      <c r="M230" s="26" cm="1">
        <f t="array" ref="M230">IF(OR(_xll.BDP($AX230,"RR903")= "#N/A N/A", _xll.BDP($AX230,"RR903")="#N/A FIELD NOT APPLICABLE"), " ", _xll.BDP($AX230,"RR903"))</f>
        <v>9.7787705517442696</v>
      </c>
      <c r="N230" s="26" cm="1">
        <f t="array" ref="N230">IF(OR(_xll.BDP($AX230,"RR957")= "#N/A N/A", _xll.BDP($AX230,"RR957")="#N/A FIELD NOT APPLICABLE"), " ", _xll.BDP($AX230,"RR957"))</f>
        <v>13.7657487687265</v>
      </c>
      <c r="O230" s="74">
        <v>617</v>
      </c>
      <c r="P230" s="75">
        <v>162.99</v>
      </c>
      <c r="Q230" s="22" cm="1">
        <f t="array" ref="Q230">IF(OR(_xll.BDP($AX230,"PX_last")="#N/A N/A",_xll.BDP($AX230,"PX_Last")="#N/A FIELD NOT APPLICABLE")," ",IF(F230="GBP",(_xll.BDP($AX230,"PX_LAST")/100),(_xll.BDP($AX230,"PX_LAST"))))</f>
        <v>130.97</v>
      </c>
      <c r="R230" s="29">
        <f>IF(F230="USD",AA230,(((_xll.BDP(F230&amp;"USD CURNCY","PX_LAST")))*AA230))</f>
        <v>100564.83</v>
      </c>
      <c r="S230" s="29">
        <f>IF(F230="USD",AB230,(((_xll.BDP(F230&amp;"USD CURNCY","PX_LAST")))*AB230))</f>
        <v>80808.490000000005</v>
      </c>
      <c r="T230" s="12">
        <f>S230-R230</f>
        <v>-19756.339999999997</v>
      </c>
      <c r="U230" s="13">
        <f>T230/R230</f>
        <v>-0.19645377016994903</v>
      </c>
      <c r="V230" s="13" cm="1">
        <f t="array" ref="V230">IFERROR(_xll.BDP($G230&amp;" Equity","CHG_PCT_1D")/100,"")</f>
        <v>-7.7278579999999998E-3</v>
      </c>
      <c r="W230" s="13" cm="1">
        <f t="array" ref="W230">IFERROR(_xll.BDP($G230&amp;" Equity","CHG_PCT_5D")/100,"")</f>
        <v>-2.4867840000000002E-2</v>
      </c>
      <c r="X230" s="13" t="e">
        <f>S230/#REF!</f>
        <v>#REF!</v>
      </c>
      <c r="Y230" s="24">
        <f>IFERROR(S230*J230,0)</f>
        <v>3344.1400470733643</v>
      </c>
      <c r="Z230" s="24">
        <f>S230</f>
        <v>80808.490000000005</v>
      </c>
      <c r="AA230" s="29">
        <f>P230*O230</f>
        <v>100564.83</v>
      </c>
      <c r="AB230" s="29">
        <f>IFERROR(O230*Q230,0)</f>
        <v>80808.490000000005</v>
      </c>
      <c r="AC230" s="4" t="e" cm="1">
        <f t="array" ref="AC230">VLOOKUP(IF(NOT(_xll.BDP(AX230,$BW$8)="#N/A N/A"),(_xll.BDP(AX230,$BW$8)),"-"), '[1]Country Codes'!$A$2:$B$253,2,0)</f>
        <v>#N/A</v>
      </c>
      <c r="AD230" s="30" t="str" cm="1">
        <f t="array" ref="AD230">IF(OR(_xll.BDP($AX230,"EX028")= "#N/A N/A", _xll.BDP($AX230,"EX028")="#N/A FIELD NOT APPLICABLE"), " ", _xll.BDP($AX230,"EX028"))</f>
        <v>Equity</v>
      </c>
      <c r="AE230" s="31" t="str">
        <f>IF(("AS97"="Equity"), " ", "Single Line Equity")</f>
        <v>Single Line Equity</v>
      </c>
      <c r="AF230" s="26" cm="1">
        <f t="array" ref="AF230">IF(OR(_xll.BDP($AX230,"RR908")= "#N/A N/A", _xll.BDP($AX230,"RR908")="#N/A FIELD NOT APPLICABLE"), " ", _xll.BDP($AX230,"RR908"))</f>
        <v>14.325462223646456</v>
      </c>
      <c r="AG230" s="26" cm="1">
        <f t="array" ref="AG230">IF(OR(_xll.BDP($AX230,"RR041")= "#N/A N/A", _xll.BDP($AX230,"RR041")="#N/A FIELD NOT APPLICABLE"), " ", _xll.BDP($AX230,"RR041"))</f>
        <v>48.006876652558134</v>
      </c>
      <c r="AH230" s="22">
        <f>_xll.BDP(AX230,"TOT_BUY_REC")</f>
        <v>8</v>
      </c>
      <c r="AI230" s="22">
        <f>_xll.BDP(AX230,"TOT_HOLD_REC")</f>
        <v>17</v>
      </c>
      <c r="AJ230" s="22">
        <f>_xll.BDP(AX230,"TOT_SELL_REC")</f>
        <v>1</v>
      </c>
      <c r="AK230" s="26" cm="1">
        <f t="array" ref="AK230">IF(OR(_xll.BDP($AX230,"EE201")= "#N/A N/A", _xll.BDP($AX230,"EE201")="#N/A FIELD NOT APPLICABLE"), " ", _xll.BDP($AX230,"EE201"))</f>
        <v>3.538461446762085</v>
      </c>
      <c r="AL230" s="24">
        <f>_xll.BDP(AX230,"BEST_TARGET_PRICE")</f>
        <v>150.08695983886719</v>
      </c>
      <c r="AM230" s="32">
        <f>(AL230/Q230)-1</f>
        <v>0.14596441810236849</v>
      </c>
      <c r="AN230" s="32">
        <f>_xll.BDP(AX230,"PR061")/100</f>
        <v>-0.1066776</v>
      </c>
      <c r="AO230" s="32">
        <f>_xll.BDP(AX230,"PR064")/100</f>
        <v>-9.8933649999999998E-2</v>
      </c>
      <c r="AP230" s="32">
        <f>_xll.BDP(AX230,"CHG_PCT_6M")/100</f>
        <v>-0.2048449</v>
      </c>
      <c r="AQ230" s="25">
        <f>_xll.BDP(AX230,"PR079")/100</f>
        <v>-0.13869519999999999</v>
      </c>
      <c r="AR230" s="33">
        <f>_xll.BDP(AX230,"hs001")</f>
        <v>183.41</v>
      </c>
      <c r="AS230" s="33">
        <f>_xll.BDP(AX230,"hs002")</f>
        <v>130.38</v>
      </c>
      <c r="AT230" s="22" t="str" cm="1">
        <f t="array" ref="AT230">IF(OR(_xll.BDP($AX230,"DX202")= "#N/A N/A", _xll.BDP($AX230,"DX202")="#N/A FIELD NOT APPLICABLE"), " ", _xll.BDP($AX230,"DX202"))</f>
        <v>Consumer Staples</v>
      </c>
      <c r="AU230" s="22" t="str" cm="1">
        <f t="array" ref="AU230">IF(OR(_xll.BDP($AX230,"DY997")= "#N/A N/A", _xll.BDP($AX230,"DY997")="#N/A FIELD NOT APPLICABLE"), " ", _xll.BDP($AX230,"DY997"))</f>
        <v>N</v>
      </c>
      <c r="AV230" s="22" t="str" cm="1">
        <f t="array" ref="AV230">IF(OR(_xll.BDP($AX230,"DY784")= "#N/A N/A", _xll.BDP($AX230,"DY784")="#N/A FIELD NOT APPLICABLE"), " ", _xll.BDP($AX230,"DY784"))</f>
        <v>Y</v>
      </c>
      <c r="AW230" s="22" t="str">
        <f>IF(OR(AU230="Y",AV230="Y"),"Y","N")</f>
        <v>Y</v>
      </c>
      <c r="AX230" s="22" t="str">
        <f>CONCATENATE(G230," ",$AX$2)</f>
        <v>PEP US Equity</v>
      </c>
      <c r="BC230" s="17" t="str" cm="1">
        <f t="array" ref="BC230">_xll.BDP(AX230,"ID005")</f>
        <v>US7134481081</v>
      </c>
      <c r="BD230" s="17">
        <v>0.7994</v>
      </c>
      <c r="BE230" s="18">
        <v>4</v>
      </c>
      <c r="BF230" s="19"/>
      <c r="BG230" s="20"/>
    </row>
    <row r="231" spans="1:59" s="3" customFormat="1" ht="14.45" customHeight="1" x14ac:dyDescent="0.25">
      <c r="A231" s="49" t="s">
        <v>241</v>
      </c>
      <c r="B231" s="49" t="s">
        <v>262</v>
      </c>
      <c r="C231" s="49" t="s">
        <v>263</v>
      </c>
      <c r="D231" s="49" t="s">
        <v>240</v>
      </c>
      <c r="E231" s="22" t="str">
        <f>_xll.BDP(AX231,"SECURITY NAME")</f>
        <v>PepsiCo Inc</v>
      </c>
      <c r="F231" s="22" t="str">
        <f>_xll.BDP(AX231,"CRNCY")</f>
        <v>USD</v>
      </c>
      <c r="G231" s="23" t="s">
        <v>121</v>
      </c>
      <c r="H231" s="22" t="str" cm="1">
        <f t="array" ref="H231">IF(OR(_xll.BDP($AX231,"DX202")= "#N/A N/A", _xll.BDP($AX231,"DX202")="#N/A FIELD NOT APPLICABLE"), " ", _xll.BDP($AX231,"DX202"))</f>
        <v>Consumer Staples</v>
      </c>
      <c r="I231" s="24">
        <f>_xll.BDP(AX231,"CRNCY_ADJ_MKT_CAP", "EQY_FUND_CRNCY=USD")/1000</f>
        <v>179.57028735380004</v>
      </c>
      <c r="J231" s="25">
        <f>IFERROR(_xll.BDP(AX231, "DV013")/100,0)</f>
        <v>4.1383523526715621E-2</v>
      </c>
      <c r="K231" s="26" cm="1">
        <f t="array" ref="K231">IF(OR(_xll.BDP($AX231,"RR900")= "#N/A N/A", _xll.BDP($AX231,"RR900")="#N/A FIELD NOT APPLICABLE"), " ", _xll.BDP($AX231,"RR900"))</f>
        <v>16.341308789558219</v>
      </c>
      <c r="L231" s="26" cm="1">
        <f t="array" ref="L231">IF(OR(_xll.BDP($AX231,"EE010")= "#N/A N/A", _xll.BDP($AX231,"EE010")="#N/A FIELD NOT APPLICABLE"), " ", _xll.BDP($AX231,"EE010"))</f>
        <v>15.569424631478839</v>
      </c>
      <c r="M231" s="26" cm="1">
        <f t="array" ref="M231">IF(OR(_xll.BDP($AX231,"RR903")= "#N/A N/A", _xll.BDP($AX231,"RR903")="#N/A FIELD NOT APPLICABLE"), " ", _xll.BDP($AX231,"RR903"))</f>
        <v>9.7787705517442696</v>
      </c>
      <c r="N231" s="26" cm="1">
        <f t="array" ref="N231">IF(OR(_xll.BDP($AX231,"RR957")= "#N/A N/A", _xll.BDP($AX231,"RR957")="#N/A FIELD NOT APPLICABLE"), " ", _xll.BDP($AX231,"RR957"))</f>
        <v>13.7657487687265</v>
      </c>
      <c r="O231" s="27">
        <v>432</v>
      </c>
      <c r="P231" s="28">
        <v>162.12597</v>
      </c>
      <c r="Q231" s="22" cm="1">
        <f t="array" ref="Q231">IF(OR(_xll.BDP($AX231,"PX_last")="#N/A N/A",_xll.BDP($AX231,"PX_Last")="#N/A FIELD NOT APPLICABLE")," ",IF(F231="GBP",(_xll.BDP($AX231,"PX_LAST")/100),(_xll.BDP($AX231,"PX_LAST"))))</f>
        <v>130.97</v>
      </c>
      <c r="R231" s="29">
        <f>IF(F231="USD",AA231,(((_xll.BDP(F231&amp;"USD CURNCY","PX_LAST")))*AA231))</f>
        <v>70038.419039999993</v>
      </c>
      <c r="S231" s="29">
        <f>IF(F231="USD",AB231,(((_xll.BDP(F231&amp;"USD CURNCY","PX_LAST")))*AB231))</f>
        <v>56579.040000000001</v>
      </c>
      <c r="T231" s="12">
        <f>S231-R231</f>
        <v>-13459.379039999993</v>
      </c>
      <c r="U231" s="13">
        <f>T231/R231</f>
        <v>-0.19217137143420013</v>
      </c>
      <c r="V231" s="13" cm="1">
        <f t="array" ref="V231">IFERROR(_xll.BDP($G231&amp;" Equity","CHG_PCT_1D")/100,"")</f>
        <v>-7.7278579999999998E-3</v>
      </c>
      <c r="W231" s="13" cm="1">
        <f t="array" ref="W231">IFERROR(_xll.BDP($G231&amp;" Equity","CHG_PCT_5D")/100,"")</f>
        <v>-2.4867840000000002E-2</v>
      </c>
      <c r="X231" s="13" t="e">
        <f>S231/#REF!</f>
        <v>#REF!</v>
      </c>
      <c r="Y231" s="24">
        <f>IFERROR(S231*J231,0)</f>
        <v>2341.4400329589844</v>
      </c>
      <c r="Z231" s="24">
        <f>S231</f>
        <v>56579.040000000001</v>
      </c>
      <c r="AA231" s="29">
        <f>P231*O231</f>
        <v>70038.419039999993</v>
      </c>
      <c r="AB231" s="29">
        <f>IFERROR(O231*Q231,0)</f>
        <v>56579.040000000001</v>
      </c>
      <c r="AC231" s="4" t="e" cm="1">
        <f t="array" ref="AC231">VLOOKUP(IF(NOT(_xll.BDP(AX231,$BW$8)="#N/A N/A"),(_xll.BDP(AX231,$BW$8)),"-"), '[1]Country Codes'!$A$2:$B$253,2,0)</f>
        <v>#N/A</v>
      </c>
      <c r="AD231" s="30" t="str" cm="1">
        <f t="array" ref="AD231">IF(OR(_xll.BDP($AX231,"EX028")= "#N/A N/A", _xll.BDP($AX231,"EX028")="#N/A FIELD NOT APPLICABLE"), " ", _xll.BDP($AX231,"EX028"))</f>
        <v>Equity</v>
      </c>
      <c r="AE231" s="31" t="str">
        <f>IF(("AS97"="Equity"), " ", "Single Line Equity")</f>
        <v>Single Line Equity</v>
      </c>
      <c r="AF231" s="26" cm="1">
        <f t="array" ref="AF231">IF(OR(_xll.BDP($AX231,"RR908")= "#N/A N/A", _xll.BDP($AX231,"RR908")="#N/A FIELD NOT APPLICABLE"), " ", _xll.BDP($AX231,"RR908"))</f>
        <v>14.325462223646456</v>
      </c>
      <c r="AG231" s="26" cm="1">
        <f t="array" ref="AG231">IF(OR(_xll.BDP($AX231,"RR041")= "#N/A N/A", _xll.BDP($AX231,"RR041")="#N/A FIELD NOT APPLICABLE"), " ", _xll.BDP($AX231,"RR041"))</f>
        <v>48.006876652558134</v>
      </c>
      <c r="AH231" s="22">
        <f>_xll.BDP(AX231,"TOT_BUY_REC")</f>
        <v>8</v>
      </c>
      <c r="AI231" s="22">
        <f>_xll.BDP(AX231,"TOT_HOLD_REC")</f>
        <v>17</v>
      </c>
      <c r="AJ231" s="22">
        <f>_xll.BDP(AX231,"TOT_SELL_REC")</f>
        <v>1</v>
      </c>
      <c r="AK231" s="26" cm="1">
        <f t="array" ref="AK231">IF(OR(_xll.BDP($AX231,"EE201")= "#N/A N/A", _xll.BDP($AX231,"EE201")="#N/A FIELD NOT APPLICABLE"), " ", _xll.BDP($AX231,"EE201"))</f>
        <v>3.538461446762085</v>
      </c>
      <c r="AL231" s="24">
        <f>_xll.BDP(AX231,"BEST_TARGET_PRICE")</f>
        <v>150.08695983886719</v>
      </c>
      <c r="AM231" s="32">
        <f>(AL231/Q231)-1</f>
        <v>0.14596441810236849</v>
      </c>
      <c r="AN231" s="32">
        <f>_xll.BDP(AX231,"PR061")/100</f>
        <v>-0.1066776</v>
      </c>
      <c r="AO231" s="32">
        <f>_xll.BDP(AX231,"PR064")/100</f>
        <v>-9.8933649999999998E-2</v>
      </c>
      <c r="AP231" s="32">
        <f>_xll.BDP(AX231,"CHG_PCT_6M")/100</f>
        <v>-0.2048449</v>
      </c>
      <c r="AQ231" s="25">
        <f>_xll.BDP(AX231,"PR079")/100</f>
        <v>-0.13869519999999999</v>
      </c>
      <c r="AR231" s="33">
        <f>_xll.BDP(AX231,"hs001")</f>
        <v>183.41</v>
      </c>
      <c r="AS231" s="33">
        <f>_xll.BDP(AX231,"hs002")</f>
        <v>130.38</v>
      </c>
      <c r="AT231" s="22" t="str" cm="1">
        <f t="array" ref="AT231">IF(OR(_xll.BDP($AX231,"DX202")= "#N/A N/A", _xll.BDP($AX231,"DX202")="#N/A FIELD NOT APPLICABLE"), " ", _xll.BDP($AX231,"DX202"))</f>
        <v>Consumer Staples</v>
      </c>
      <c r="AU231" s="22" t="str" cm="1">
        <f t="array" ref="AU231">IF(OR(_xll.BDP($AX231,"DY997")= "#N/A N/A", _xll.BDP($AX231,"DY997")="#N/A FIELD NOT APPLICABLE"), " ", _xll.BDP($AX231,"DY997"))</f>
        <v>N</v>
      </c>
      <c r="AV231" s="22" t="str" cm="1">
        <f t="array" ref="AV231">IF(OR(_xll.BDP($AX231,"DY784")= "#N/A N/A", _xll.BDP($AX231,"DY784")="#N/A FIELD NOT APPLICABLE"), " ", _xll.BDP($AX231,"DY784"))</f>
        <v>Y</v>
      </c>
      <c r="AW231" s="22" t="str">
        <f>IF(OR(AU231="Y",AV231="Y"),"Y","N")</f>
        <v>Y</v>
      </c>
      <c r="AX231" s="22" t="str">
        <f>CONCATENATE(G231," ",$AX$2)</f>
        <v>PEP US Equity</v>
      </c>
      <c r="BC231" s="17" t="str" cm="1">
        <f t="array" ref="BC231">_xll.BDP(AX231,"ID005")</f>
        <v>US7134481081</v>
      </c>
      <c r="BD231" s="17">
        <v>0.7994</v>
      </c>
      <c r="BE231" s="18">
        <v>4</v>
      </c>
      <c r="BF231" s="19"/>
      <c r="BG231" s="20"/>
    </row>
    <row r="232" spans="1:59" s="3" customFormat="1" ht="14.45" customHeight="1" x14ac:dyDescent="0.25">
      <c r="A232" s="49" t="s">
        <v>241</v>
      </c>
      <c r="B232" s="49" t="s">
        <v>266</v>
      </c>
      <c r="C232" s="49" t="s">
        <v>267</v>
      </c>
      <c r="D232" s="49" t="s">
        <v>240</v>
      </c>
      <c r="E232" s="22" t="str">
        <f>_xll.BDP(AX232,"SECURITY NAME")</f>
        <v>PepsiCo Inc</v>
      </c>
      <c r="F232" s="22" t="str">
        <f>_xll.BDP(AX232,"CRNCY")</f>
        <v>USD</v>
      </c>
      <c r="G232" s="23" t="s">
        <v>121</v>
      </c>
      <c r="H232" s="22" t="str" cm="1">
        <f t="array" ref="H232">IF(OR(_xll.BDP($AX232,"DX202")= "#N/A N/A", _xll.BDP($AX232,"DX202")="#N/A FIELD NOT APPLICABLE"), " ", _xll.BDP($AX232,"DX202"))</f>
        <v>Consumer Staples</v>
      </c>
      <c r="I232" s="24">
        <f>_xll.BDP(AX232,"CRNCY_ADJ_MKT_CAP", "EQY_FUND_CRNCY=USD")/1000</f>
        <v>179.57028735380004</v>
      </c>
      <c r="J232" s="25">
        <f>IFERROR(_xll.BDP(AX232, "DV013")/100,0)</f>
        <v>4.1383523526715621E-2</v>
      </c>
      <c r="K232" s="26" cm="1">
        <f t="array" ref="K232">IF(OR(_xll.BDP($AX232,"RR900")= "#N/A N/A", _xll.BDP($AX232,"RR900")="#N/A FIELD NOT APPLICABLE"), " ", _xll.BDP($AX232,"RR900"))</f>
        <v>16.341308789558219</v>
      </c>
      <c r="L232" s="26" cm="1">
        <f t="array" ref="L232">IF(OR(_xll.BDP($AX232,"EE010")= "#N/A N/A", _xll.BDP($AX232,"EE010")="#N/A FIELD NOT APPLICABLE"), " ", _xll.BDP($AX232,"EE010"))</f>
        <v>15.569424631478839</v>
      </c>
      <c r="M232" s="26" cm="1">
        <f t="array" ref="M232">IF(OR(_xll.BDP($AX232,"RR903")= "#N/A N/A", _xll.BDP($AX232,"RR903")="#N/A FIELD NOT APPLICABLE"), " ", _xll.BDP($AX232,"RR903"))</f>
        <v>9.7787705517442696</v>
      </c>
      <c r="N232" s="26" cm="1">
        <f t="array" ref="N232">IF(OR(_xll.BDP($AX232,"RR957")= "#N/A N/A", _xll.BDP($AX232,"RR957")="#N/A FIELD NOT APPLICABLE"), " ", _xll.BDP($AX232,"RR957"))</f>
        <v>13.7657487687265</v>
      </c>
      <c r="O232" s="27">
        <v>277</v>
      </c>
      <c r="P232" s="28">
        <v>162.47811999999999</v>
      </c>
      <c r="Q232" s="22" cm="1">
        <f t="array" ref="Q232">IF(OR(_xll.BDP($AX232,"PX_last")="#N/A N/A",_xll.BDP($AX232,"PX_Last")="#N/A FIELD NOT APPLICABLE")," ",IF(F232="GBP",(_xll.BDP($AX232,"PX_LAST")/100),(_xll.BDP($AX232,"PX_LAST"))))</f>
        <v>130.97</v>
      </c>
      <c r="R232" s="29">
        <f>IF(F232="USD",AA232,(((_xll.BDP(F232&amp;"USD CURNCY","PX_LAST")))*AA232))</f>
        <v>45006.43924</v>
      </c>
      <c r="S232" s="29">
        <f>IF(F232="USD",AB232,(((_xll.BDP(F232&amp;"USD CURNCY","PX_LAST")))*AB232))</f>
        <v>36278.69</v>
      </c>
      <c r="T232" s="12">
        <f>S232-R232</f>
        <v>-8727.7492399999974</v>
      </c>
      <c r="U232" s="13">
        <f>T232/R232</f>
        <v>-0.19392223395987096</v>
      </c>
      <c r="V232" s="13" cm="1">
        <f t="array" ref="V232">IFERROR(_xll.BDP($G232&amp;" Equity","CHG_PCT_1D")/100,"")</f>
        <v>-7.7278579999999998E-3</v>
      </c>
      <c r="W232" s="13" cm="1">
        <f t="array" ref="W232">IFERROR(_xll.BDP($G232&amp;" Equity","CHG_PCT_5D")/100,"")</f>
        <v>-2.4867840000000002E-2</v>
      </c>
      <c r="X232" s="13" t="e">
        <f>S232/#REF!</f>
        <v>#REF!</v>
      </c>
      <c r="Y232" s="24">
        <f>IFERROR(S232*J232,0)</f>
        <v>1501.3400211334229</v>
      </c>
      <c r="Z232" s="24">
        <f>S232</f>
        <v>36278.69</v>
      </c>
      <c r="AA232" s="29">
        <f>P232*O232</f>
        <v>45006.43924</v>
      </c>
      <c r="AB232" s="29">
        <f>IFERROR(O232*Q232,0)</f>
        <v>36278.69</v>
      </c>
      <c r="AC232" s="4" t="e" cm="1">
        <f t="array" ref="AC232">VLOOKUP(IF(NOT(_xll.BDP(AX232,$BW$8)="#N/A N/A"),(_xll.BDP(AX232,$BW$8)),"-"), '[1]Country Codes'!$A$2:$B$253,2,0)</f>
        <v>#N/A</v>
      </c>
      <c r="AD232" s="30" t="str" cm="1">
        <f t="array" ref="AD232">IF(OR(_xll.BDP($AX232,"EX028")= "#N/A N/A", _xll.BDP($AX232,"EX028")="#N/A FIELD NOT APPLICABLE"), " ", _xll.BDP($AX232,"EX028"))</f>
        <v>Equity</v>
      </c>
      <c r="AE232" s="31" t="str">
        <f>IF(("AS97"="Equity"), " ", "Single Line Equity")</f>
        <v>Single Line Equity</v>
      </c>
      <c r="AF232" s="26" cm="1">
        <f t="array" ref="AF232">IF(OR(_xll.BDP($AX232,"RR908")= "#N/A N/A", _xll.BDP($AX232,"RR908")="#N/A FIELD NOT APPLICABLE"), " ", _xll.BDP($AX232,"RR908"))</f>
        <v>14.325462223646456</v>
      </c>
      <c r="AG232" s="26" cm="1">
        <f t="array" ref="AG232">IF(OR(_xll.BDP($AX232,"RR041")= "#N/A N/A", _xll.BDP($AX232,"RR041")="#N/A FIELD NOT APPLICABLE"), " ", _xll.BDP($AX232,"RR041"))</f>
        <v>48.006876652558134</v>
      </c>
      <c r="AH232" s="22">
        <f>_xll.BDP(AX232,"TOT_BUY_REC")</f>
        <v>8</v>
      </c>
      <c r="AI232" s="22">
        <f>_xll.BDP(AX232,"TOT_HOLD_REC")</f>
        <v>17</v>
      </c>
      <c r="AJ232" s="22">
        <f>_xll.BDP(AX232,"TOT_SELL_REC")</f>
        <v>1</v>
      </c>
      <c r="AK232" s="26" cm="1">
        <f t="array" ref="AK232">IF(OR(_xll.BDP($AX232,"EE201")= "#N/A N/A", _xll.BDP($AX232,"EE201")="#N/A FIELD NOT APPLICABLE"), " ", _xll.BDP($AX232,"EE201"))</f>
        <v>3.538461446762085</v>
      </c>
      <c r="AL232" s="24">
        <f>_xll.BDP(AX232,"BEST_TARGET_PRICE")</f>
        <v>150.08695983886719</v>
      </c>
      <c r="AM232" s="32">
        <f>(AL232/Q232)-1</f>
        <v>0.14596441810236849</v>
      </c>
      <c r="AN232" s="32">
        <f>_xll.BDP(AX232,"PR061")/100</f>
        <v>-0.1066776</v>
      </c>
      <c r="AO232" s="32">
        <f>_xll.BDP(AX232,"PR064")/100</f>
        <v>-9.8933649999999998E-2</v>
      </c>
      <c r="AP232" s="32">
        <f>_xll.BDP(AX232,"CHG_PCT_6M")/100</f>
        <v>-0.2048449</v>
      </c>
      <c r="AQ232" s="25">
        <f>_xll.BDP(AX232,"PR079")/100</f>
        <v>-0.13869519999999999</v>
      </c>
      <c r="AR232" s="33">
        <f>_xll.BDP(AX232,"hs001")</f>
        <v>183.41</v>
      </c>
      <c r="AS232" s="33">
        <f>_xll.BDP(AX232,"hs002")</f>
        <v>130.38</v>
      </c>
      <c r="AT232" s="22" t="str" cm="1">
        <f t="array" ref="AT232">IF(OR(_xll.BDP($AX232,"DX202")= "#N/A N/A", _xll.BDP($AX232,"DX202")="#N/A FIELD NOT APPLICABLE"), " ", _xll.BDP($AX232,"DX202"))</f>
        <v>Consumer Staples</v>
      </c>
      <c r="AU232" s="22" t="str" cm="1">
        <f t="array" ref="AU232">IF(OR(_xll.BDP($AX232,"DY997")= "#N/A N/A", _xll.BDP($AX232,"DY997")="#N/A FIELD NOT APPLICABLE"), " ", _xll.BDP($AX232,"DY997"))</f>
        <v>N</v>
      </c>
      <c r="AV232" s="22" t="str" cm="1">
        <f t="array" ref="AV232">IF(OR(_xll.BDP($AX232,"DY784")= "#N/A N/A", _xll.BDP($AX232,"DY784")="#N/A FIELD NOT APPLICABLE"), " ", _xll.BDP($AX232,"DY784"))</f>
        <v>Y</v>
      </c>
      <c r="AW232" s="22" t="str">
        <f>IF(OR(AU232="Y",AV232="Y"),"Y","N")</f>
        <v>Y</v>
      </c>
      <c r="AX232" s="22" t="str">
        <f>CONCATENATE(G232," ",$AX$2)</f>
        <v>PEP US Equity</v>
      </c>
      <c r="BC232" s="17" t="str" cm="1">
        <f t="array" ref="BC232">_xll.BDP(AX232,"ID005")</f>
        <v>US7134481081</v>
      </c>
      <c r="BD232" s="17">
        <v>0.7994</v>
      </c>
      <c r="BE232" s="18">
        <v>4</v>
      </c>
      <c r="BF232" s="19"/>
      <c r="BG232" s="20"/>
    </row>
    <row r="233" spans="1:59" s="3" customFormat="1" ht="14.45" customHeight="1" x14ac:dyDescent="0.25">
      <c r="A233" s="49" t="s">
        <v>242</v>
      </c>
      <c r="B233" s="49" t="s">
        <v>268</v>
      </c>
      <c r="C233" s="49" t="s">
        <v>269</v>
      </c>
      <c r="D233" s="49" t="s">
        <v>248</v>
      </c>
      <c r="E233" s="22" t="str">
        <f>_xll.BDP(AX233,"SECURITY NAME")</f>
        <v>PepsiCo Inc</v>
      </c>
      <c r="F233" s="22" t="str">
        <f>_xll.BDP(AX233,"CRNCY")</f>
        <v>USD</v>
      </c>
      <c r="G233" s="23" t="s">
        <v>121</v>
      </c>
      <c r="H233" s="22" t="str" cm="1">
        <f t="array" ref="H233">IF(OR(_xll.BDP($AX233,"DX202")= "#N/A N/A", _xll.BDP($AX233,"DX202")="#N/A FIELD NOT APPLICABLE"), " ", _xll.BDP($AX233,"DX202"))</f>
        <v>Consumer Staples</v>
      </c>
      <c r="I233" s="24">
        <f>_xll.BDP(AX233,"CRNCY_ADJ_MKT_CAP", "EQY_FUND_CRNCY=USD")/1000</f>
        <v>179.57028735380004</v>
      </c>
      <c r="J233" s="25">
        <f>IFERROR(_xll.BDP(AX233, "DV013")/100,0)</f>
        <v>4.1383523526715621E-2</v>
      </c>
      <c r="K233" s="26" cm="1">
        <f t="array" ref="K233">IF(OR(_xll.BDP($AX233,"RR900")= "#N/A N/A", _xll.BDP($AX233,"RR900")="#N/A FIELD NOT APPLICABLE"), " ", _xll.BDP($AX233,"RR900"))</f>
        <v>16.341308789558219</v>
      </c>
      <c r="L233" s="26" cm="1">
        <f t="array" ref="L233">IF(OR(_xll.BDP($AX233,"EE010")= "#N/A N/A", _xll.BDP($AX233,"EE010")="#N/A FIELD NOT APPLICABLE"), " ", _xll.BDP($AX233,"EE010"))</f>
        <v>15.569424631478839</v>
      </c>
      <c r="M233" s="26" cm="1">
        <f t="array" ref="M233">IF(OR(_xll.BDP($AX233,"RR903")= "#N/A N/A", _xll.BDP($AX233,"RR903")="#N/A FIELD NOT APPLICABLE"), " ", _xll.BDP($AX233,"RR903"))</f>
        <v>9.7787705517442696</v>
      </c>
      <c r="N233" s="26" cm="1">
        <f t="array" ref="N233">IF(OR(_xll.BDP($AX233,"RR957")= "#N/A N/A", _xll.BDP($AX233,"RR957")="#N/A FIELD NOT APPLICABLE"), " ", _xll.BDP($AX233,"RR957"))</f>
        <v>13.7657487687265</v>
      </c>
      <c r="O233" s="27">
        <v>617</v>
      </c>
      <c r="P233" s="28">
        <v>162.99</v>
      </c>
      <c r="Q233" s="22" cm="1">
        <f t="array" ref="Q233">IF(OR(_xll.BDP($AX233,"PX_last")="#N/A N/A",_xll.BDP($AX233,"PX_Last")="#N/A FIELD NOT APPLICABLE")," ",IF(F233="GBP",(_xll.BDP($AX233,"PX_LAST")/100),(_xll.BDP($AX233,"PX_LAST"))))</f>
        <v>130.97</v>
      </c>
      <c r="R233" s="29">
        <f>IF(F233="USD",AA233,(((_xll.BDP(F233&amp;"USD CURNCY","PX_LAST")))*AA233))</f>
        <v>100564.83</v>
      </c>
      <c r="S233" s="29">
        <f>IF(F233="USD",AB233,(((_xll.BDP(F233&amp;"USD CURNCY","PX_LAST")))*AB233))</f>
        <v>80808.490000000005</v>
      </c>
      <c r="T233" s="12">
        <f>S233-R233</f>
        <v>-19756.339999999997</v>
      </c>
      <c r="U233" s="13">
        <f>T233/R233</f>
        <v>-0.19645377016994903</v>
      </c>
      <c r="V233" s="13" cm="1">
        <f t="array" ref="V233">IFERROR(_xll.BDP($G233&amp;" Equity","CHG_PCT_1D")/100,"")</f>
        <v>-7.7278579999999998E-3</v>
      </c>
      <c r="W233" s="13" cm="1">
        <f t="array" ref="W233">IFERROR(_xll.BDP($G233&amp;" Equity","CHG_PCT_5D")/100,"")</f>
        <v>-2.4867840000000002E-2</v>
      </c>
      <c r="X233" s="13" t="e">
        <f>S233/#REF!</f>
        <v>#REF!</v>
      </c>
      <c r="Y233" s="24">
        <f>IFERROR(S233*J233,0)</f>
        <v>3344.1400470733643</v>
      </c>
      <c r="Z233" s="24">
        <f>S233</f>
        <v>80808.490000000005</v>
      </c>
      <c r="AA233" s="29">
        <f>P233*O233</f>
        <v>100564.83</v>
      </c>
      <c r="AB233" s="29">
        <f>IFERROR(O233*Q233,0)</f>
        <v>80808.490000000005</v>
      </c>
      <c r="AC233" s="4" t="e" cm="1">
        <f t="array" ref="AC233">VLOOKUP(IF(NOT(_xll.BDP(AX233,$BW$8)="#N/A N/A"),(_xll.BDP(AX233,$BW$8)),"-"), '[1]Country Codes'!$A$2:$B$253,2,0)</f>
        <v>#N/A</v>
      </c>
      <c r="AD233" s="30" t="str" cm="1">
        <f t="array" ref="AD233">IF(OR(_xll.BDP($AX233,"EX028")= "#N/A N/A", _xll.BDP($AX233,"EX028")="#N/A FIELD NOT APPLICABLE"), " ", _xll.BDP($AX233,"EX028"))</f>
        <v>Equity</v>
      </c>
      <c r="AE233" s="31" t="str">
        <f>IF(("AS97"="Equity"), " ", "Single Line Equity")</f>
        <v>Single Line Equity</v>
      </c>
      <c r="AF233" s="26" cm="1">
        <f t="array" ref="AF233">IF(OR(_xll.BDP($AX233,"RR908")= "#N/A N/A", _xll.BDP($AX233,"RR908")="#N/A FIELD NOT APPLICABLE"), " ", _xll.BDP($AX233,"RR908"))</f>
        <v>14.325462223646456</v>
      </c>
      <c r="AG233" s="26" cm="1">
        <f t="array" ref="AG233">IF(OR(_xll.BDP($AX233,"RR041")= "#N/A N/A", _xll.BDP($AX233,"RR041")="#N/A FIELD NOT APPLICABLE"), " ", _xll.BDP($AX233,"RR041"))</f>
        <v>48.006876652558134</v>
      </c>
      <c r="AH233" s="22">
        <f>_xll.BDP(AX233,"TOT_BUY_REC")</f>
        <v>8</v>
      </c>
      <c r="AI233" s="22">
        <f>_xll.BDP(AX233,"TOT_HOLD_REC")</f>
        <v>17</v>
      </c>
      <c r="AJ233" s="22">
        <f>_xll.BDP(AX233,"TOT_SELL_REC")</f>
        <v>1</v>
      </c>
      <c r="AK233" s="26" cm="1">
        <f t="array" ref="AK233">IF(OR(_xll.BDP($AX233,"EE201")= "#N/A N/A", _xll.BDP($AX233,"EE201")="#N/A FIELD NOT APPLICABLE"), " ", _xll.BDP($AX233,"EE201"))</f>
        <v>3.538461446762085</v>
      </c>
      <c r="AL233" s="24">
        <f>_xll.BDP(AX233,"BEST_TARGET_PRICE")</f>
        <v>150.08695983886719</v>
      </c>
      <c r="AM233" s="32">
        <f>(AL233/Q233)-1</f>
        <v>0.14596441810236849</v>
      </c>
      <c r="AN233" s="32">
        <f>_xll.BDP(AX233,"PR061")/100</f>
        <v>-0.1066776</v>
      </c>
      <c r="AO233" s="32">
        <f>_xll.BDP(AX233,"PR064")/100</f>
        <v>-9.8933649999999998E-2</v>
      </c>
      <c r="AP233" s="32">
        <f>_xll.BDP(AX233,"CHG_PCT_6M")/100</f>
        <v>-0.2048449</v>
      </c>
      <c r="AQ233" s="25">
        <f>_xll.BDP(AX233,"PR079")/100</f>
        <v>-0.13869519999999999</v>
      </c>
      <c r="AR233" s="33">
        <f>_xll.BDP(AX233,"hs001")</f>
        <v>183.41</v>
      </c>
      <c r="AS233" s="33">
        <f>_xll.BDP(AX233,"hs002")</f>
        <v>130.38</v>
      </c>
      <c r="AT233" s="22" t="str" cm="1">
        <f t="array" ref="AT233">IF(OR(_xll.BDP($AX233,"DX202")= "#N/A N/A", _xll.BDP($AX233,"DX202")="#N/A FIELD NOT APPLICABLE"), " ", _xll.BDP($AX233,"DX202"))</f>
        <v>Consumer Staples</v>
      </c>
      <c r="AU233" s="22" t="str" cm="1">
        <f t="array" ref="AU233">IF(OR(_xll.BDP($AX233,"DY997")= "#N/A N/A", _xll.BDP($AX233,"DY997")="#N/A FIELD NOT APPLICABLE"), " ", _xll.BDP($AX233,"DY997"))</f>
        <v>N</v>
      </c>
      <c r="AV233" s="22" t="str" cm="1">
        <f t="array" ref="AV233">IF(OR(_xll.BDP($AX233,"DY784")= "#N/A N/A", _xll.BDP($AX233,"DY784")="#N/A FIELD NOT APPLICABLE"), " ", _xll.BDP($AX233,"DY784"))</f>
        <v>Y</v>
      </c>
      <c r="AW233" s="22" t="str">
        <f>IF(OR(AU233="Y",AV233="Y"),"Y","N")</f>
        <v>Y</v>
      </c>
      <c r="AX233" s="22" t="str">
        <f>CONCATENATE(G233," ",$AX$2)</f>
        <v>PEP US Equity</v>
      </c>
      <c r="BC233" s="17" t="str" cm="1">
        <f t="array" ref="BC233">_xll.BDP(AX233,"ID005")</f>
        <v>US7134481081</v>
      </c>
      <c r="BD233" s="17">
        <v>0.7994</v>
      </c>
      <c r="BE233" s="18">
        <v>4</v>
      </c>
      <c r="BF233" s="19"/>
      <c r="BG233" s="20"/>
    </row>
    <row r="234" spans="1:59" s="3" customFormat="1" ht="14.45" customHeight="1" x14ac:dyDescent="0.25">
      <c r="A234" s="81" t="s">
        <v>241</v>
      </c>
      <c r="B234" s="81" t="s">
        <v>270</v>
      </c>
      <c r="C234" s="81" t="s">
        <v>271</v>
      </c>
      <c r="D234" s="81" t="s">
        <v>240</v>
      </c>
      <c r="E234" s="40" t="str">
        <f>_xll.BDP(AX234,"SECURITY NAME")</f>
        <v>PepsiCo Inc</v>
      </c>
      <c r="F234" s="40" t="str">
        <f>_xll.BDP(AX234,"CRNCY")</f>
        <v>USD</v>
      </c>
      <c r="G234" s="23" t="s">
        <v>121</v>
      </c>
      <c r="H234" s="40" t="str" cm="1">
        <f t="array" ref="H234">IF(OR(_xll.BDP($AX234,"DX202")= "#N/A N/A", _xll.BDP($AX234,"DX202")="#N/A FIELD NOT APPLICABLE"), " ", _xll.BDP($AX234,"DX202"))</f>
        <v>Consumer Staples</v>
      </c>
      <c r="I234" s="82">
        <f>_xll.BDP(AX234,"CRNCY_ADJ_MKT_CAP", "EQY_FUND_CRNCY=USD")/1000</f>
        <v>179.57028735380004</v>
      </c>
      <c r="J234" s="83">
        <f>IFERROR(_xll.BDP(AX234, "DV013")/100,0)</f>
        <v>4.1383523526715621E-2</v>
      </c>
      <c r="K234" s="84" cm="1">
        <f t="array" ref="K234">IF(OR(_xll.BDP($AX234,"RR900")= "#N/A N/A", _xll.BDP($AX234,"RR900")="#N/A FIELD NOT APPLICABLE"), " ", _xll.BDP($AX234,"RR900"))</f>
        <v>16.341308789558219</v>
      </c>
      <c r="L234" s="84" cm="1">
        <f t="array" ref="L234">IF(OR(_xll.BDP($AX234,"EE010")= "#N/A N/A", _xll.BDP($AX234,"EE010")="#N/A FIELD NOT APPLICABLE"), " ", _xll.BDP($AX234,"EE010"))</f>
        <v>15.569424631478839</v>
      </c>
      <c r="M234" s="84" cm="1">
        <f t="array" ref="M234">IF(OR(_xll.BDP($AX234,"RR903")= "#N/A N/A", _xll.BDP($AX234,"RR903")="#N/A FIELD NOT APPLICABLE"), " ", _xll.BDP($AX234,"RR903"))</f>
        <v>9.7787705517442696</v>
      </c>
      <c r="N234" s="84" cm="1">
        <f t="array" ref="N234">IF(OR(_xll.BDP($AX234,"RR957")= "#N/A N/A", _xll.BDP($AX234,"RR957")="#N/A FIELD NOT APPLICABLE"), " ", _xll.BDP($AX234,"RR957"))</f>
        <v>13.7657487687265</v>
      </c>
      <c r="O234" s="27">
        <v>370</v>
      </c>
      <c r="P234" s="28">
        <v>162.49521999999999</v>
      </c>
      <c r="Q234" s="40" cm="1">
        <f t="array" ref="Q234">IF(OR(_xll.BDP($AX234,"PX_last")="#N/A N/A",_xll.BDP($AX234,"PX_Last")="#N/A FIELD NOT APPLICABLE")," ",IF(F234="GBP",(_xll.BDP($AX234,"PX_LAST")/100),(_xll.BDP($AX234,"PX_LAST"))))</f>
        <v>130.97</v>
      </c>
      <c r="R234" s="85">
        <f>IF(F234="USD",AA234,(((_xll.BDP(F234&amp;"USD CURNCY","PX_LAST")))*AA234))</f>
        <v>60123.231399999997</v>
      </c>
      <c r="S234" s="85">
        <f>IF(F234="USD",AB234,(((_xll.BDP(F234&amp;"USD CURNCY","PX_LAST")))*AB234))</f>
        <v>48458.9</v>
      </c>
      <c r="T234" s="86">
        <f>S234-R234</f>
        <v>-11664.331399999995</v>
      </c>
      <c r="U234" s="87">
        <f>T234/R234</f>
        <v>-0.19400706063846057</v>
      </c>
      <c r="V234" s="87" cm="1">
        <f t="array" ref="V234">IFERROR(_xll.BDP($G234&amp;" Equity","CHG_PCT_1D")/100,"")</f>
        <v>-7.7278579999999998E-3</v>
      </c>
      <c r="W234" s="87" cm="1">
        <f t="array" ref="W234">IFERROR(_xll.BDP($G234&amp;" Equity","CHG_PCT_5D")/100,"")</f>
        <v>-2.4867840000000002E-2</v>
      </c>
      <c r="X234" s="87" t="e">
        <f>S234/#REF!</f>
        <v>#REF!</v>
      </c>
      <c r="Y234" s="82">
        <f>IFERROR(S234*J234,0)</f>
        <v>2005.4000282287598</v>
      </c>
      <c r="Z234" s="82">
        <f>S234</f>
        <v>48458.9</v>
      </c>
      <c r="AA234" s="85">
        <f>P234*O234</f>
        <v>60123.231399999997</v>
      </c>
      <c r="AB234" s="85">
        <f>IFERROR(O234*Q234,0)</f>
        <v>48458.9</v>
      </c>
      <c r="AC234" s="88" t="e" cm="1">
        <f t="array" ref="AC234">VLOOKUP(IF(NOT(_xll.BDP(AX234,$BW$8)="#N/A N/A"),(_xll.BDP(AX234,$BW$8)),"-"), '[1]Country Codes'!$A$2:$B$253,2,0)</f>
        <v>#N/A</v>
      </c>
      <c r="AD234" s="89" t="str" cm="1">
        <f t="array" ref="AD234">IF(OR(_xll.BDP($AX234,"EX028")= "#N/A N/A", _xll.BDP($AX234,"EX028")="#N/A FIELD NOT APPLICABLE"), " ", _xll.BDP($AX234,"EX028"))</f>
        <v>Equity</v>
      </c>
      <c r="AE234" s="90" t="str">
        <f>IF(("AS97"="Equity"), " ", "Single Line Equity")</f>
        <v>Single Line Equity</v>
      </c>
      <c r="AF234" s="84" cm="1">
        <f t="array" ref="AF234">IF(OR(_xll.BDP($AX234,"RR908")= "#N/A N/A", _xll.BDP($AX234,"RR908")="#N/A FIELD NOT APPLICABLE"), " ", _xll.BDP($AX234,"RR908"))</f>
        <v>14.325462223646456</v>
      </c>
      <c r="AG234" s="84" cm="1">
        <f t="array" ref="AG234">IF(OR(_xll.BDP($AX234,"RR041")= "#N/A N/A", _xll.BDP($AX234,"RR041")="#N/A FIELD NOT APPLICABLE"), " ", _xll.BDP($AX234,"RR041"))</f>
        <v>48.006876652558134</v>
      </c>
      <c r="AH234" s="40">
        <f>_xll.BDP(AX234,"TOT_BUY_REC")</f>
        <v>8</v>
      </c>
      <c r="AI234" s="40">
        <f>_xll.BDP(AX234,"TOT_HOLD_REC")</f>
        <v>17</v>
      </c>
      <c r="AJ234" s="40">
        <f>_xll.BDP(AX234,"TOT_SELL_REC")</f>
        <v>1</v>
      </c>
      <c r="AK234" s="84" cm="1">
        <f t="array" ref="AK234">IF(OR(_xll.BDP($AX234,"EE201")= "#N/A N/A", _xll.BDP($AX234,"EE201")="#N/A FIELD NOT APPLICABLE"), " ", _xll.BDP($AX234,"EE201"))</f>
        <v>3.538461446762085</v>
      </c>
      <c r="AL234" s="82">
        <f>_xll.BDP(AX234,"BEST_TARGET_PRICE")</f>
        <v>150.08695983886719</v>
      </c>
      <c r="AM234" s="91">
        <f>(AL234/Q234)-1</f>
        <v>0.14596441810236849</v>
      </c>
      <c r="AN234" s="91">
        <f>_xll.BDP(AX234,"PR061")/100</f>
        <v>-0.1066776</v>
      </c>
      <c r="AO234" s="91">
        <f>_xll.BDP(AX234,"PR064")/100</f>
        <v>-9.8933649999999998E-2</v>
      </c>
      <c r="AP234" s="91">
        <f>_xll.BDP(AX234,"CHG_PCT_6M")/100</f>
        <v>-0.2048449</v>
      </c>
      <c r="AQ234" s="83">
        <f>_xll.BDP(AX234,"PR079")/100</f>
        <v>-0.13869519999999999</v>
      </c>
      <c r="AR234" s="92">
        <f>_xll.BDP(AX234,"hs001")</f>
        <v>183.41</v>
      </c>
      <c r="AS234" s="92">
        <f>_xll.BDP(AX234,"hs002")</f>
        <v>130.38</v>
      </c>
      <c r="AT234" s="40" t="str" cm="1">
        <f t="array" ref="AT234">IF(OR(_xll.BDP($AX234,"DX202")= "#N/A N/A", _xll.BDP($AX234,"DX202")="#N/A FIELD NOT APPLICABLE"), " ", _xll.BDP($AX234,"DX202"))</f>
        <v>Consumer Staples</v>
      </c>
      <c r="AU234" s="40" t="str" cm="1">
        <f t="array" ref="AU234">IF(OR(_xll.BDP($AX234,"DY997")= "#N/A N/A", _xll.BDP($AX234,"DY997")="#N/A FIELD NOT APPLICABLE"), " ", _xll.BDP($AX234,"DY997"))</f>
        <v>N</v>
      </c>
      <c r="AV234" s="40" t="str" cm="1">
        <f t="array" ref="AV234">IF(OR(_xll.BDP($AX234,"DY784")= "#N/A N/A", _xll.BDP($AX234,"DY784")="#N/A FIELD NOT APPLICABLE"), " ", _xll.BDP($AX234,"DY784"))</f>
        <v>Y</v>
      </c>
      <c r="AW234" s="40" t="str">
        <f>IF(OR(AU234="Y",AV234="Y"),"Y","N")</f>
        <v>Y</v>
      </c>
      <c r="AX234" s="40" t="str">
        <f>CONCATENATE(G234," ",$AX$2)</f>
        <v>PEP US Equity</v>
      </c>
      <c r="BC234" s="17" t="str" cm="1">
        <f t="array" ref="BC234">_xll.BDP(AX234,"ID005")</f>
        <v>US7134481081</v>
      </c>
      <c r="BD234" s="17">
        <v>0.7994</v>
      </c>
      <c r="BE234" s="18">
        <v>4</v>
      </c>
      <c r="BF234" s="19">
        <v>45611</v>
      </c>
      <c r="BG234" s="20"/>
    </row>
    <row r="235" spans="1:59" s="3" customFormat="1" ht="14.45" customHeight="1" x14ac:dyDescent="0.25">
      <c r="A235" s="49" t="s">
        <v>241</v>
      </c>
      <c r="B235" s="49" t="s">
        <v>272</v>
      </c>
      <c r="C235" s="49">
        <v>2620061.0010000002</v>
      </c>
      <c r="D235" s="49" t="s">
        <v>240</v>
      </c>
      <c r="E235" s="22" t="str">
        <f>_xll.BDP(AX235,"SECURITY NAME")</f>
        <v>PepsiCo Inc</v>
      </c>
      <c r="F235" s="22" t="str">
        <f>_xll.BDP(AX235,"CRNCY")</f>
        <v>USD</v>
      </c>
      <c r="G235" s="23" t="s">
        <v>121</v>
      </c>
      <c r="H235" s="22" t="str" cm="1">
        <f t="array" ref="H235">IF(OR(_xll.BDP($AX235,"DX202")= "#N/A N/A", _xll.BDP($AX235,"DX202")="#N/A FIELD NOT APPLICABLE"), " ", _xll.BDP($AX235,"DX202"))</f>
        <v>Consumer Staples</v>
      </c>
      <c r="I235" s="24">
        <f>_xll.BDP(AX235,"CRNCY_ADJ_MKT_CAP", "EQY_FUND_CRNCY=USD")/1000</f>
        <v>179.57028735380004</v>
      </c>
      <c r="J235" s="25">
        <f>IFERROR(_xll.BDP(AX235, "DV013")/100,0)</f>
        <v>4.1383523526715621E-2</v>
      </c>
      <c r="K235" s="26" cm="1">
        <f t="array" ref="K235">IF(OR(_xll.BDP($AX235,"RR900")= "#N/A N/A", _xll.BDP($AX235,"RR900")="#N/A FIELD NOT APPLICABLE"), " ", _xll.BDP($AX235,"RR900"))</f>
        <v>16.341308789558219</v>
      </c>
      <c r="L235" s="26" cm="1">
        <f t="array" ref="L235">IF(OR(_xll.BDP($AX235,"EE010")= "#N/A N/A", _xll.BDP($AX235,"EE010")="#N/A FIELD NOT APPLICABLE"), " ", _xll.BDP($AX235,"EE010"))</f>
        <v>15.569424631478839</v>
      </c>
      <c r="M235" s="26" cm="1">
        <f t="array" ref="M235">IF(OR(_xll.BDP($AX235,"RR903")= "#N/A N/A", _xll.BDP($AX235,"RR903")="#N/A FIELD NOT APPLICABLE"), " ", _xll.BDP($AX235,"RR903"))</f>
        <v>9.7787705517442696</v>
      </c>
      <c r="N235" s="26" cm="1">
        <f t="array" ref="N235">IF(OR(_xll.BDP($AX235,"RR957")= "#N/A N/A", _xll.BDP($AX235,"RR957")="#N/A FIELD NOT APPLICABLE"), " ", _xll.BDP($AX235,"RR957"))</f>
        <v>13.7657487687265</v>
      </c>
      <c r="O235" s="27">
        <v>308</v>
      </c>
      <c r="P235" s="28">
        <v>162.37974</v>
      </c>
      <c r="Q235" s="22" cm="1">
        <f t="array" ref="Q235">IF(OR(_xll.BDP($AX235,"PX_last")="#N/A N/A",_xll.BDP($AX235,"PX_Last")="#N/A FIELD NOT APPLICABLE")," ",IF(F235="GBP",(_xll.BDP($AX235,"PX_LAST")/100),(_xll.BDP($AX235,"PX_LAST"))))</f>
        <v>130.97</v>
      </c>
      <c r="R235" s="29">
        <f>IF(F235="USD",AA235,(((_xll.BDP(F235&amp;"USD CURNCY","PX_LAST")))*AA235))</f>
        <v>50012.959920000001</v>
      </c>
      <c r="S235" s="29">
        <f>IF(F235="USD",AB235,(((_xll.BDP(F235&amp;"USD CURNCY","PX_LAST")))*AB235))</f>
        <v>40338.76</v>
      </c>
      <c r="T235" s="12">
        <f>S235-R235</f>
        <v>-9674.1999199999991</v>
      </c>
      <c r="U235" s="13">
        <f>IFERROR(T235/R235,0)</f>
        <v>-0.19343386065281296</v>
      </c>
      <c r="V235" s="13" cm="1">
        <f t="array" ref="V235">IFERROR(_xll.BDP($G235&amp;" Equity","CHG_PCT_1D")/100,"")</f>
        <v>-7.7278579999999998E-3</v>
      </c>
      <c r="W235" s="13" cm="1">
        <f t="array" ref="W235">IFERROR(_xll.BDP($G235&amp;" Equity","CHG_PCT_5D")/100,"")</f>
        <v>-2.4867840000000002E-2</v>
      </c>
      <c r="X235" s="13" t="e">
        <f>S235/#REF!</f>
        <v>#REF!</v>
      </c>
      <c r="Y235" s="24">
        <f>IFERROR(S235*J235,0)</f>
        <v>1669.3600234985352</v>
      </c>
      <c r="Z235" s="24">
        <f>S235</f>
        <v>40338.76</v>
      </c>
      <c r="AA235" s="29">
        <f>P235*O235</f>
        <v>50012.959920000001</v>
      </c>
      <c r="AB235" s="29">
        <f>IFERROR(O235*Q235,0)</f>
        <v>40338.76</v>
      </c>
      <c r="AC235" s="4" t="e" cm="1">
        <f t="array" ref="AC235">VLOOKUP(IF(NOT(_xll.BDP(AX235,$BW$8)="#N/A N/A"),(_xll.BDP(AX235,$BW$8)),"-"), '[1]Country Codes'!$A$2:$B$253,2,0)</f>
        <v>#N/A</v>
      </c>
      <c r="AD235" s="30" t="str" cm="1">
        <f t="array" ref="AD235">IF(OR(_xll.BDP($AX235,"EX028")= "#N/A N/A", _xll.BDP($AX235,"EX028")="#N/A FIELD NOT APPLICABLE"), " ", _xll.BDP($AX235,"EX028"))</f>
        <v>Equity</v>
      </c>
      <c r="AE235" s="31" t="str">
        <f>IF(("AS97"="Equity"), " ", "Single Line Equity")</f>
        <v>Single Line Equity</v>
      </c>
      <c r="AF235" s="26" cm="1">
        <f t="array" ref="AF235">IF(OR(_xll.BDP($AX235,"RR908")= "#N/A N/A", _xll.BDP($AX235,"RR908")="#N/A FIELD NOT APPLICABLE"), " ", _xll.BDP($AX235,"RR908"))</f>
        <v>14.325462223646456</v>
      </c>
      <c r="AG235" s="26" cm="1">
        <f t="array" ref="AG235">IF(OR(_xll.BDP($AX235,"RR041")= "#N/A N/A", _xll.BDP($AX235,"RR041")="#N/A FIELD NOT APPLICABLE"), " ", _xll.BDP($AX235,"RR041"))</f>
        <v>48.006876652558134</v>
      </c>
      <c r="AH235" s="22">
        <f>_xll.BDP(AX235,"TOT_BUY_REC")</f>
        <v>8</v>
      </c>
      <c r="AI235" s="22">
        <f>_xll.BDP(AX235,"TOT_HOLD_REC")</f>
        <v>17</v>
      </c>
      <c r="AJ235" s="22">
        <f>_xll.BDP(AX235,"TOT_SELL_REC")</f>
        <v>1</v>
      </c>
      <c r="AK235" s="26" cm="1">
        <f t="array" ref="AK235">IF(OR(_xll.BDP($AX235,"EE201")= "#N/A N/A", _xll.BDP($AX235,"EE201")="#N/A FIELD NOT APPLICABLE"), " ", _xll.BDP($AX235,"EE201"))</f>
        <v>3.538461446762085</v>
      </c>
      <c r="AL235" s="24">
        <f>_xll.BDP(AX235,"BEST_TARGET_PRICE")</f>
        <v>150.08695983886719</v>
      </c>
      <c r="AM235" s="32">
        <f>(AL235/Q235)-1</f>
        <v>0.14596441810236849</v>
      </c>
      <c r="AN235" s="32">
        <f>_xll.BDP(AX235,"PR061")/100</f>
        <v>-0.1066776</v>
      </c>
      <c r="AO235" s="32">
        <f>_xll.BDP(AX235,"PR064")/100</f>
        <v>-9.8933649999999998E-2</v>
      </c>
      <c r="AP235" s="32">
        <f>_xll.BDP(AX235,"CHG_PCT_6M")/100</f>
        <v>-0.2048449</v>
      </c>
      <c r="AQ235" s="25">
        <f>_xll.BDP(AX235,"PR079")/100</f>
        <v>-0.13869519999999999</v>
      </c>
      <c r="AR235" s="33">
        <f>_xll.BDP(AX235,"hs001")</f>
        <v>183.41</v>
      </c>
      <c r="AS235" s="33">
        <f>_xll.BDP(AX235,"hs002")</f>
        <v>130.38</v>
      </c>
      <c r="AT235" s="22" t="str" cm="1">
        <f t="array" ref="AT235">IF(OR(_xll.BDP($AX235,"DX202")= "#N/A N/A", _xll.BDP($AX235,"DX202")="#N/A FIELD NOT APPLICABLE"), " ", _xll.BDP($AX235,"DX202"))</f>
        <v>Consumer Staples</v>
      </c>
      <c r="AU235" s="22" t="str" cm="1">
        <f t="array" ref="AU235">IF(OR(_xll.BDP($AX235,"DY997")= "#N/A N/A", _xll.BDP($AX235,"DY997")="#N/A FIELD NOT APPLICABLE"), " ", _xll.BDP($AX235,"DY997"))</f>
        <v>N</v>
      </c>
      <c r="AV235" s="22" t="str" cm="1">
        <f t="array" ref="AV235">IF(OR(_xll.BDP($AX235,"DY784")= "#N/A N/A", _xll.BDP($AX235,"DY784")="#N/A FIELD NOT APPLICABLE"), " ", _xll.BDP($AX235,"DY784"))</f>
        <v>Y</v>
      </c>
      <c r="AW235" s="22" t="str">
        <f>IF(OR(AU235="Y",AV235="Y"),"Y","N")</f>
        <v>Y</v>
      </c>
      <c r="AX235" s="22" t="str">
        <f>CONCATENATE(G235," ",$AX$2)</f>
        <v>PEP US Equity</v>
      </c>
      <c r="BC235" s="17" t="str" cm="1">
        <f t="array" ref="BC235">_xll.BDP(AX235,"ID005")</f>
        <v>US7134481081</v>
      </c>
      <c r="BD235" s="17">
        <v>0.7994</v>
      </c>
      <c r="BE235" s="18">
        <v>4</v>
      </c>
      <c r="BF235" s="19"/>
      <c r="BG235" s="20"/>
    </row>
    <row r="236" spans="1:59" s="3" customFormat="1" ht="14.45" customHeight="1" x14ac:dyDescent="0.25">
      <c r="A236" s="49" t="s">
        <v>241</v>
      </c>
      <c r="B236" s="49" t="s">
        <v>273</v>
      </c>
      <c r="C236" s="49">
        <v>2620058.003</v>
      </c>
      <c r="D236" s="49" t="s">
        <v>240</v>
      </c>
      <c r="E236" s="22" t="str">
        <f>_xll.BDP(AX236,"SECURITY NAME")</f>
        <v>PepsiCo Inc</v>
      </c>
      <c r="F236" s="22" t="str">
        <f>_xll.BDP(AX236,"CRNCY")</f>
        <v>USD</v>
      </c>
      <c r="G236" s="23" t="s">
        <v>121</v>
      </c>
      <c r="H236" s="22" t="str" cm="1">
        <f t="array" ref="H236">IF(OR(_xll.BDP($AX236,"DX202")= "#N/A N/A", _xll.BDP($AX236,"DX202")="#N/A FIELD NOT APPLICABLE"), " ", _xll.BDP($AX236,"DX202"))</f>
        <v>Consumer Staples</v>
      </c>
      <c r="I236" s="24"/>
      <c r="J236" s="25">
        <f>IFERROR(_xll.BDP(AX236, "DV013")/100,0)</f>
        <v>4.1383523526715621E-2</v>
      </c>
      <c r="K236" s="26" cm="1">
        <f t="array" ref="K236">IF(OR(_xll.BDP($AX236,"RR900")= "#N/A N/A", _xll.BDP($AX236,"RR900")="#N/A FIELD NOT APPLICABLE"), " ", _xll.BDP($AX236,"RR900"))</f>
        <v>16.341308789558219</v>
      </c>
      <c r="L236" s="26" cm="1">
        <f t="array" ref="L236">IF(OR(_xll.BDP($AX236,"EE010")= "#N/A N/A", _xll.BDP($AX236,"EE010")="#N/A FIELD NOT APPLICABLE"), " ", _xll.BDP($AX236,"EE010"))</f>
        <v>15.569424631478839</v>
      </c>
      <c r="M236" s="26" cm="1">
        <f t="array" ref="M236">IF(OR(_xll.BDP($AX236,"RR903")= "#N/A N/A", _xll.BDP($AX236,"RR903")="#N/A FIELD NOT APPLICABLE"), " ", _xll.BDP($AX236,"RR903"))</f>
        <v>9.7787705517442696</v>
      </c>
      <c r="N236" s="26" cm="1">
        <f t="array" ref="N236">IF(OR(_xll.BDP($AX236,"RR957")= "#N/A N/A", _xll.BDP($AX236,"RR957")="#N/A FIELD NOT APPLICABLE"), " ", _xll.BDP($AX236,"RR957"))</f>
        <v>13.7657487687265</v>
      </c>
      <c r="O236" s="27">
        <v>308</v>
      </c>
      <c r="P236" s="28">
        <v>162.38973999999999</v>
      </c>
      <c r="Q236" s="22" cm="1">
        <f t="array" ref="Q236">IF(OR(_xll.BDP($AX236,"PX_last")="#N/A N/A",_xll.BDP($AX236,"PX_Last")="#N/A FIELD NOT APPLICABLE")," ",IF(F236="GBP",(_xll.BDP($AX236,"PX_LAST")/100),(_xll.BDP($AX236,"PX_LAST"))))</f>
        <v>130.97</v>
      </c>
      <c r="R236" s="29">
        <f>IF(F236="USD",AA236,(((_xll.BDP(F236&amp;"USD CURNCY","PX_LAST")))*AA236))</f>
        <v>50016.039919999996</v>
      </c>
      <c r="S236" s="29">
        <f>IF(F236="USD",AB236,(((_xll.BDP(F236&amp;"USD CURNCY","PX_LAST")))*AB236))</f>
        <v>40338.76</v>
      </c>
      <c r="T236" s="12">
        <f>S236-R236</f>
        <v>-9677.2799199999936</v>
      </c>
      <c r="U236" s="13">
        <f>T236/R236</f>
        <v>-0.19348352919340828</v>
      </c>
      <c r="V236" s="13" cm="1">
        <f t="array" ref="V236">IFERROR(_xll.BDP($G236&amp;" Equity","CHG_PCT_1D")/100,"")</f>
        <v>-7.7278579999999998E-3</v>
      </c>
      <c r="W236" s="13" cm="1">
        <f t="array" ref="W236">IFERROR(_xll.BDP($G236&amp;" Equity","CHG_PCT_5D")/100,"")</f>
        <v>-2.4867840000000002E-2</v>
      </c>
      <c r="X236" s="13" t="e">
        <f>S236/#REF!</f>
        <v>#REF!</v>
      </c>
      <c r="Y236" s="24">
        <f>IFERROR(S236*J236,0)</f>
        <v>1669.3600234985352</v>
      </c>
      <c r="Z236" s="24">
        <f>S236</f>
        <v>40338.76</v>
      </c>
      <c r="AA236" s="29">
        <f>P236*O236</f>
        <v>50016.039919999996</v>
      </c>
      <c r="AB236" s="29">
        <f>IFERROR(O236*Q236,0)</f>
        <v>40338.76</v>
      </c>
      <c r="AC236" s="4" t="e" cm="1">
        <f t="array" ref="AC236">VLOOKUP(IF(NOT(_xll.BDP(AX236,$BW$8)="#N/A N/A"),(_xll.BDP(AX236,$BW$8)),"-"), '[1]Country Codes'!$A$2:$B$253,2,0)</f>
        <v>#N/A</v>
      </c>
      <c r="AD236" s="30" t="str" cm="1">
        <f t="array" ref="AD236">IF(OR(_xll.BDP($AX236,"EX028")= "#N/A N/A", _xll.BDP($AX236,"EX028")="#N/A FIELD NOT APPLICABLE"), " ", _xll.BDP($AX236,"EX028"))</f>
        <v>Equity</v>
      </c>
      <c r="AE236" s="31" t="str">
        <f>IF(("AS97"="Equity"), " ", "Single Line Equity")</f>
        <v>Single Line Equity</v>
      </c>
      <c r="AF236" s="26" cm="1">
        <f t="array" ref="AF236">IF(OR(_xll.BDP($AX236,"RR908")= "#N/A N/A", _xll.BDP($AX236,"RR908")="#N/A FIELD NOT APPLICABLE"), " ", _xll.BDP($AX236,"RR908"))</f>
        <v>14.325462223646456</v>
      </c>
      <c r="AG236" s="26" cm="1">
        <f t="array" ref="AG236">IF(OR(_xll.BDP($AX236,"RR041")= "#N/A N/A", _xll.BDP($AX236,"RR041")="#N/A FIELD NOT APPLICABLE"), " ", _xll.BDP($AX236,"RR041"))</f>
        <v>48.006876652558134</v>
      </c>
      <c r="AH236" s="22">
        <f>_xll.BDP(AX236,"TOT_BUY_REC")</f>
        <v>8</v>
      </c>
      <c r="AI236" s="22">
        <f>_xll.BDP(AX236,"TOT_HOLD_REC")</f>
        <v>17</v>
      </c>
      <c r="AJ236" s="22">
        <f>_xll.BDP(AX236,"TOT_SELL_REC")</f>
        <v>1</v>
      </c>
      <c r="AK236" s="26" cm="1">
        <f t="array" ref="AK236">IF(OR(_xll.BDP($AX236,"EE201")= "#N/A N/A", _xll.BDP($AX236,"EE201")="#N/A FIELD NOT APPLICABLE"), " ", _xll.BDP($AX236,"EE201"))</f>
        <v>3.538461446762085</v>
      </c>
      <c r="AL236" s="24">
        <f>_xll.BDP(AX236,"BEST_TARGET_PRICE")</f>
        <v>150.08695983886719</v>
      </c>
      <c r="AM236" s="32">
        <f>(AL236/Q236)-1</f>
        <v>0.14596441810236849</v>
      </c>
      <c r="AN236" s="32">
        <f>_xll.BDP(AX236,"PR061")/100</f>
        <v>-0.1066776</v>
      </c>
      <c r="AO236" s="32">
        <f>_xll.BDP(AX236,"PR064")/100</f>
        <v>-9.8933649999999998E-2</v>
      </c>
      <c r="AP236" s="32">
        <f>_xll.BDP(AX236,"CHG_PCT_6M")/100</f>
        <v>-0.2048449</v>
      </c>
      <c r="AQ236" s="25">
        <f>_xll.BDP(AX236,"PR079")/100</f>
        <v>-0.13869519999999999</v>
      </c>
      <c r="AR236" s="33">
        <f>_xll.BDP(AX236,"hs001")</f>
        <v>183.41</v>
      </c>
      <c r="AS236" s="33">
        <f>_xll.BDP(AX236,"hs002")</f>
        <v>130.38</v>
      </c>
      <c r="AT236" s="22" t="str" cm="1">
        <f t="array" ref="AT236">IF(OR(_xll.BDP($AX236,"DX202")= "#N/A N/A", _xll.BDP($AX236,"DX202")="#N/A FIELD NOT APPLICABLE"), " ", _xll.BDP($AX236,"DX202"))</f>
        <v>Consumer Staples</v>
      </c>
      <c r="AU236" s="22" t="str" cm="1">
        <f t="array" ref="AU236">IF(OR(_xll.BDP($AX236,"DY997")= "#N/A N/A", _xll.BDP($AX236,"DY997")="#N/A FIELD NOT APPLICABLE"), " ", _xll.BDP($AX236,"DY997"))</f>
        <v>N</v>
      </c>
      <c r="AV236" s="22" t="str" cm="1">
        <f t="array" ref="AV236">IF(OR(_xll.BDP($AX236,"DY784")= "#N/A N/A", _xll.BDP($AX236,"DY784")="#N/A FIELD NOT APPLICABLE"), " ", _xll.BDP($AX236,"DY784"))</f>
        <v>Y</v>
      </c>
      <c r="AW236" s="22" t="str">
        <f>IF(OR(AU236="Y",AV236="Y"),"Y","N")</f>
        <v>Y</v>
      </c>
      <c r="AX236" s="22" t="str">
        <f>CONCATENATE(G236," ",$AX$2)</f>
        <v>PEP US Equity</v>
      </c>
      <c r="BC236" s="17" t="str" cm="1">
        <f t="array" ref="BC236">_xll.BDP(AX236,"ID005")</f>
        <v>US7134481081</v>
      </c>
      <c r="BD236" s="17">
        <v>0.7994</v>
      </c>
      <c r="BE236" s="18">
        <v>4</v>
      </c>
      <c r="BF236" s="19"/>
      <c r="BG236" s="20"/>
    </row>
    <row r="237" spans="1:59" s="3" customFormat="1" ht="14.45" customHeight="1" x14ac:dyDescent="0.25">
      <c r="A237" s="49" t="s">
        <v>242</v>
      </c>
      <c r="B237" s="49" t="s">
        <v>243</v>
      </c>
      <c r="C237" s="49" t="s">
        <v>244</v>
      </c>
      <c r="D237" s="49" t="s">
        <v>245</v>
      </c>
      <c r="E237" s="22" t="str">
        <f>_xll.BDP(AX237,"SECURITY NAME")</f>
        <v>PayPal Holdings Inc</v>
      </c>
      <c r="F237" s="22" t="str">
        <f>_xll.BDP(AX237,"CRNCY")</f>
        <v>USD</v>
      </c>
      <c r="G237" s="23" t="s">
        <v>192</v>
      </c>
      <c r="H237" s="22" t="str" cm="1">
        <f t="array" ref="H237">IF(OR(_xll.BDP($AX237,"DX202")= "#N/A N/A", _xll.BDP($AX237,"DX202")="#N/A FIELD NOT APPLICABLE"), " ", _xll.BDP($AX237,"DX202"))</f>
        <v>Financials</v>
      </c>
      <c r="I237" s="24">
        <f>_xll.BDP(AX237,"CRNCY_ADJ_MKT_CAP", "EQY_FUND_CRNCY=USD")/1000</f>
        <v>66.715752069399997</v>
      </c>
      <c r="J237" s="25">
        <f>IFERROR(_xll.BDP(AX237, "DV013")/100,0)</f>
        <v>0</v>
      </c>
      <c r="K237" s="26" cm="1">
        <f t="array" ref="K237">IF(OR(_xll.BDP($AX237,"RR900")= "#N/A N/A", _xll.BDP($AX237,"RR900")="#N/A FIELD NOT APPLICABLE"), " ", _xll.BDP($AX237,"RR900"))</f>
        <v>13.995663889048473</v>
      </c>
      <c r="L237" s="26" cm="1">
        <f t="array" ref="L237">IF(OR(_xll.BDP($AX237,"EE010")= "#N/A N/A", _xll.BDP($AX237,"EE010")="#N/A FIELD NOT APPLICABLE"), " ", _xll.BDP($AX237,"EE010"))</f>
        <v>12.202063322660974</v>
      </c>
      <c r="M237" s="26" cm="1">
        <f t="array" ref="M237">IF(OR(_xll.BDP($AX237,"RR903")= "#N/A N/A", _xll.BDP($AX237,"RR903")="#N/A FIELD NOT APPLICABLE"), " ", _xll.BDP($AX237,"RR903"))</f>
        <v>3.3158585220778392</v>
      </c>
      <c r="N237" s="26" cm="1">
        <f t="array" ref="N237">IF(OR(_xll.BDP($AX237,"RR957")= "#N/A N/A", _xll.BDP($AX237,"RR957")="#N/A FIELD NOT APPLICABLE"), " ", _xll.BDP($AX237,"RR957"))</f>
        <v>9.8674372458667445</v>
      </c>
      <c r="O237" s="27">
        <v>1287</v>
      </c>
      <c r="P237" s="28">
        <v>78.48</v>
      </c>
      <c r="Q237" s="22" cm="1">
        <f t="array" ref="Q237">IF(OR(_xll.BDP($AX237,"PX_last")="#N/A N/A",_xll.BDP($AX237,"PX_Last")="#N/A FIELD NOT APPLICABLE")," ",IF(F237="GBP",(_xll.BDP($AX237,"PX_LAST")/100),(_xll.BDP($AX237,"PX_LAST"))))</f>
        <v>68.599999999999994</v>
      </c>
      <c r="R237" s="29">
        <f>IF(F237="USD",AA237,(((_xll.BDP(F237&amp;"USD CURNCY","PX_LAST")))*AA237))</f>
        <v>101003.76000000001</v>
      </c>
      <c r="S237" s="29">
        <f>IF(F237="USD",AB237,(((_xll.BDP(F237&amp;"USD CURNCY","PX_LAST")))*AB237))</f>
        <v>88288.2</v>
      </c>
      <c r="T237" s="12">
        <f>S237-R237</f>
        <v>-12715.560000000012</v>
      </c>
      <c r="U237" s="13">
        <f>T237/R237</f>
        <v>-0.12589194699286455</v>
      </c>
      <c r="V237" s="13" cm="1">
        <f t="array" ref="V237">IFERROR(_xll.BDP($G237&amp;" Equity","CHG_PCT_1D")/100,"")</f>
        <v>8.754012E-4</v>
      </c>
      <c r="W237" s="13" cm="1">
        <f t="array" ref="W237">IFERROR(_xll.BDP($G237&amp;" Equity","CHG_PCT_5D")/100,"")</f>
        <v>3.4378769999999996E-2</v>
      </c>
      <c r="X237" s="13" t="e">
        <f>S237/#REF!</f>
        <v>#REF!</v>
      </c>
      <c r="Y237" s="24">
        <f>IFERROR(S237*J237,0)</f>
        <v>0</v>
      </c>
      <c r="Z237" s="24">
        <f>S237</f>
        <v>88288.2</v>
      </c>
      <c r="AA237" s="29">
        <f>P237*O237</f>
        <v>101003.76000000001</v>
      </c>
      <c r="AB237" s="29">
        <f>IFERROR(O237*Q237,0)</f>
        <v>88288.2</v>
      </c>
      <c r="AC237" s="4" t="e" cm="1">
        <f t="array" ref="AC237">VLOOKUP(IF(NOT(_xll.BDP(AX237,$BW$8)="#N/A N/A"),(_xll.BDP(AX237,$BW$8)),"-"), '[1]Country Codes'!$A$2:$B$253,2,0)</f>
        <v>#N/A</v>
      </c>
      <c r="AD237" s="30" t="str" cm="1">
        <f t="array" ref="AD237">IF(OR(_xll.BDP($AX237,"EX028")= "#N/A N/A", _xll.BDP($AX237,"EX028")="#N/A FIELD NOT APPLICABLE"), " ", _xll.BDP($AX237,"EX028"))</f>
        <v>Equity</v>
      </c>
      <c r="AE237" s="31" t="str">
        <f>IF(("AS97"="Equity"), " ", "Single Line Equity")</f>
        <v>Single Line Equity</v>
      </c>
      <c r="AF237" s="26" cm="1">
        <f t="array" ref="AF237">IF(OR(_xll.BDP($AX237,"RR908")= "#N/A N/A", _xll.BDP($AX237,"RR908")="#N/A FIELD NOT APPLICABLE"), " ", _xll.BDP($AX237,"RR908"))</f>
        <v>10.344795658955871</v>
      </c>
      <c r="AG237" s="26" cm="1">
        <f t="array" ref="AG237">IF(OR(_xll.BDP($AX237,"RR041")= "#N/A N/A", _xll.BDP($AX237,"RR041")="#N/A FIELD NOT APPLICABLE"), " ", _xll.BDP($AX237,"RR041"))</f>
        <v>13.041134160836162</v>
      </c>
      <c r="AH237" s="22">
        <f>_xll.BDP(AX237,"TOT_BUY_REC")</f>
        <v>26</v>
      </c>
      <c r="AI237" s="22">
        <f>_xll.BDP(AX237,"TOT_HOLD_REC")</f>
        <v>22</v>
      </c>
      <c r="AJ237" s="22">
        <f>_xll.BDP(AX237,"TOT_SELL_REC")</f>
        <v>4</v>
      </c>
      <c r="AK237" s="26" cm="1">
        <f t="array" ref="AK237">IF(OR(_xll.BDP($AX237,"EE201")= "#N/A N/A", _xll.BDP($AX237,"EE201")="#N/A FIELD NOT APPLICABLE"), " ", _xll.BDP($AX237,"EE201"))</f>
        <v>3.788461446762085</v>
      </c>
      <c r="AL237" s="24">
        <f>_xll.BDP(AX237,"BEST_TARGET_PRICE")</f>
        <v>80.875</v>
      </c>
      <c r="AM237" s="32">
        <f>(AL237/Q237)-1</f>
        <v>0.17893586005830908</v>
      </c>
      <c r="AN237" s="32">
        <f>_xll.BDP(AX237,"PR061")/100</f>
        <v>0.17526129999999998</v>
      </c>
      <c r="AO237" s="32">
        <f>_xll.BDP(AX237,"PR064")/100</f>
        <v>-0.12689320000000001</v>
      </c>
      <c r="AP237" s="32">
        <f>_xll.BDP(AX237,"CHG_PCT_6M")/100</f>
        <v>-0.15735170000000001</v>
      </c>
      <c r="AQ237" s="25">
        <f>_xll.BDP(AX237,"PR079")/100</f>
        <v>-0.1962507</v>
      </c>
      <c r="AR237" s="33">
        <f>_xll.BDP(AX237,"hs001")</f>
        <v>93.66</v>
      </c>
      <c r="AS237" s="33">
        <f>_xll.BDP(AX237,"hs002")</f>
        <v>55.85</v>
      </c>
      <c r="AT237" s="22" t="str" cm="1">
        <f t="array" ref="AT237">IF(OR(_xll.BDP($AX237,"DX202")= "#N/A N/A", _xll.BDP($AX237,"DX202")="#N/A FIELD NOT APPLICABLE"), " ", _xll.BDP($AX237,"DX202"))</f>
        <v>Financials</v>
      </c>
      <c r="AU237" s="22" t="str" cm="1">
        <f t="array" ref="AU237">IF(OR(_xll.BDP($AX237,"DY997")= "#N/A N/A", _xll.BDP($AX237,"DY997")="#N/A FIELD NOT APPLICABLE"), " ", _xll.BDP($AX237,"DY997"))</f>
        <v>N</v>
      </c>
      <c r="AV237" s="22" t="str" cm="1">
        <f t="array" ref="AV237">IF(OR(_xll.BDP($AX237,"DY784")= "#N/A N/A", _xll.BDP($AX237,"DY784")="#N/A FIELD NOT APPLICABLE"), " ", _xll.BDP($AX237,"DY784"))</f>
        <v xml:space="preserve"> </v>
      </c>
      <c r="AW237" s="22" t="str">
        <f>IF(OR(AU237="Y",AV237="Y"),"Y","N")</f>
        <v>N</v>
      </c>
      <c r="AX237" s="22" t="str">
        <f>CONCATENATE(G237," ",$AX$2)</f>
        <v>PYPL US Equity</v>
      </c>
      <c r="BC237" s="17" t="str" cm="1">
        <f t="array" ref="BC237">_xll.BDP(AX237,"ID005")</f>
        <v>US70450Y1038</v>
      </c>
      <c r="BD237" s="17">
        <v>0.7994</v>
      </c>
      <c r="BE237" s="18">
        <v>4</v>
      </c>
      <c r="BF237" s="19"/>
      <c r="BG237" s="20"/>
    </row>
    <row r="238" spans="1:59" s="3" customFormat="1" ht="14.45" customHeight="1" x14ac:dyDescent="0.25">
      <c r="A238" s="49" t="s">
        <v>242</v>
      </c>
      <c r="B238" s="49" t="s">
        <v>255</v>
      </c>
      <c r="C238" s="49" t="s">
        <v>256</v>
      </c>
      <c r="D238" s="49" t="s">
        <v>248</v>
      </c>
      <c r="E238" s="22" t="str">
        <f>_xll.BDP(AX238,"SECURITY NAME")</f>
        <v>PayPal Holdings Inc</v>
      </c>
      <c r="F238" s="22" t="str">
        <f>_xll.BDP(AX238,"CRNCY")</f>
        <v>USD</v>
      </c>
      <c r="G238" s="23" t="s">
        <v>192</v>
      </c>
      <c r="H238" s="22" t="str" cm="1">
        <f t="array" ref="H238">IF(OR(_xll.BDP($AX238,"DX202")= "#N/A N/A", _xll.BDP($AX238,"DX202")="#N/A FIELD NOT APPLICABLE"), " ", _xll.BDP($AX238,"DX202"))</f>
        <v>Financials</v>
      </c>
      <c r="I238" s="24">
        <f>_xll.BDP(AX238,"CRNCY_ADJ_MKT_CAP", "EQY_FUND_CRNCY=USD")/1000</f>
        <v>66.715752069399997</v>
      </c>
      <c r="J238" s="25">
        <f>IFERROR(_xll.BDP(AX238, "DV013")/100,0)</f>
        <v>0</v>
      </c>
      <c r="K238" s="26" cm="1">
        <f t="array" ref="K238">IF(OR(_xll.BDP($AX238,"RR900")= "#N/A N/A", _xll.BDP($AX238,"RR900")="#N/A FIELD NOT APPLICABLE"), " ", _xll.BDP($AX238,"RR900"))</f>
        <v>13.995663889048473</v>
      </c>
      <c r="L238" s="26" cm="1">
        <f t="array" ref="L238">IF(OR(_xll.BDP($AX238,"EE010")= "#N/A N/A", _xll.BDP($AX238,"EE010")="#N/A FIELD NOT APPLICABLE"), " ", _xll.BDP($AX238,"EE010"))</f>
        <v>12.202063322660974</v>
      </c>
      <c r="M238" s="26" cm="1">
        <f t="array" ref="M238">IF(OR(_xll.BDP($AX238,"RR903")= "#N/A N/A", _xll.BDP($AX238,"RR903")="#N/A FIELD NOT APPLICABLE"), " ", _xll.BDP($AX238,"RR903"))</f>
        <v>3.3158585220778392</v>
      </c>
      <c r="N238" s="26" cm="1">
        <f t="array" ref="N238">IF(OR(_xll.BDP($AX238,"RR957")= "#N/A N/A", _xll.BDP($AX238,"RR957")="#N/A FIELD NOT APPLICABLE"), " ", _xll.BDP($AX238,"RR957"))</f>
        <v>9.8674372458667445</v>
      </c>
      <c r="O238" s="27">
        <v>1250</v>
      </c>
      <c r="P238" s="28">
        <v>168.91</v>
      </c>
      <c r="Q238" s="22" cm="1">
        <f t="array" ref="Q238">IF(OR(_xll.BDP($AX238,"PX_last")="#N/A N/A",_xll.BDP($AX238,"PX_Last")="#N/A FIELD NOT APPLICABLE")," ",IF(F238="GBP",(_xll.BDP($AX238,"PX_LAST")/100),(_xll.BDP($AX238,"PX_LAST"))))</f>
        <v>68.599999999999994</v>
      </c>
      <c r="R238" s="29">
        <f>IF(F238="USD",AA238,(((_xll.BDP(F238&amp;"USD CURNCY","PX_LAST")))*AA238))</f>
        <v>211137.5</v>
      </c>
      <c r="S238" s="29">
        <f>IF(F238="USD",AB238,(((_xll.BDP(F238&amp;"USD CURNCY","PX_LAST")))*AB238))</f>
        <v>85750</v>
      </c>
      <c r="T238" s="12">
        <f>S238-R238</f>
        <v>-125387.5</v>
      </c>
      <c r="U238" s="13">
        <f>T238/R238</f>
        <v>-0.59386655615416495</v>
      </c>
      <c r="V238" s="13" cm="1">
        <f t="array" ref="V238">IFERROR(_xll.BDP($G238&amp;" Equity","CHG_PCT_1D")/100,"")</f>
        <v>8.754012E-4</v>
      </c>
      <c r="W238" s="13" cm="1">
        <f t="array" ref="W238">IFERROR(_xll.BDP($G238&amp;" Equity","CHG_PCT_5D")/100,"")</f>
        <v>3.4378769999999996E-2</v>
      </c>
      <c r="X238" s="13" t="e">
        <f>S238/#REF!</f>
        <v>#REF!</v>
      </c>
      <c r="Y238" s="24">
        <f>IFERROR(S238*J238,0)</f>
        <v>0</v>
      </c>
      <c r="Z238" s="24">
        <f>S238</f>
        <v>85750</v>
      </c>
      <c r="AA238" s="29">
        <f>P238*O238</f>
        <v>211137.5</v>
      </c>
      <c r="AB238" s="29">
        <f>IFERROR(O238*Q238,0)</f>
        <v>85750</v>
      </c>
      <c r="AC238" s="4" t="e" cm="1">
        <f t="array" ref="AC238">VLOOKUP(IF(NOT(_xll.BDP(AX238,$BW$8)="#N/A N/A"),(_xll.BDP(AX238,$BW$8)),"-"), '[1]Country Codes'!$A$2:$B$253,2,0)</f>
        <v>#N/A</v>
      </c>
      <c r="AD238" s="30" t="str" cm="1">
        <f t="array" ref="AD238">IF(OR(_xll.BDP($AX238,"EX028")= "#N/A N/A", _xll.BDP($AX238,"EX028")="#N/A FIELD NOT APPLICABLE"), " ", _xll.BDP($AX238,"EX028"))</f>
        <v>Equity</v>
      </c>
      <c r="AE238" s="31" t="str">
        <f>IF(("AS97"="Equity"), " ", "Single Line Equity")</f>
        <v>Single Line Equity</v>
      </c>
      <c r="AF238" s="26" cm="1">
        <f t="array" ref="AF238">IF(OR(_xll.BDP($AX238,"RR908")= "#N/A N/A", _xll.BDP($AX238,"RR908")="#N/A FIELD NOT APPLICABLE"), " ", _xll.BDP($AX238,"RR908"))</f>
        <v>10.344795658955871</v>
      </c>
      <c r="AG238" s="26" cm="1">
        <f t="array" ref="AG238">IF(OR(_xll.BDP($AX238,"RR041")= "#N/A N/A", _xll.BDP($AX238,"RR041")="#N/A FIELD NOT APPLICABLE"), " ", _xll.BDP($AX238,"RR041"))</f>
        <v>13.041134160836162</v>
      </c>
      <c r="AH238" s="22">
        <f>_xll.BDP(AX238,"TOT_BUY_REC")</f>
        <v>26</v>
      </c>
      <c r="AI238" s="22">
        <f>_xll.BDP(AX238,"TOT_HOLD_REC")</f>
        <v>22</v>
      </c>
      <c r="AJ238" s="22">
        <f>_xll.BDP(AX238,"TOT_SELL_REC")</f>
        <v>4</v>
      </c>
      <c r="AK238" s="26" cm="1">
        <f t="array" ref="AK238">IF(OR(_xll.BDP($AX238,"EE201")= "#N/A N/A", _xll.BDP($AX238,"EE201")="#N/A FIELD NOT APPLICABLE"), " ", _xll.BDP($AX238,"EE201"))</f>
        <v>3.788461446762085</v>
      </c>
      <c r="AL238" s="24">
        <f>_xll.BDP(AX238,"BEST_TARGET_PRICE")</f>
        <v>80.875</v>
      </c>
      <c r="AM238" s="32">
        <f>(AL238/Q238)-1</f>
        <v>0.17893586005830908</v>
      </c>
      <c r="AN238" s="32">
        <f>_xll.BDP(AX238,"PR061")/100</f>
        <v>0.17526129999999998</v>
      </c>
      <c r="AO238" s="32">
        <f>_xll.BDP(AX238,"PR064")/100</f>
        <v>-0.12689320000000001</v>
      </c>
      <c r="AP238" s="32">
        <f>_xll.BDP(AX238,"CHG_PCT_6M")/100</f>
        <v>-0.15735170000000001</v>
      </c>
      <c r="AQ238" s="25">
        <f>_xll.BDP(AX238,"PR079")/100</f>
        <v>-0.1962507</v>
      </c>
      <c r="AR238" s="33">
        <f>_xll.BDP(AX238,"hs001")</f>
        <v>93.66</v>
      </c>
      <c r="AS238" s="33">
        <f>_xll.BDP(AX238,"hs002")</f>
        <v>55.85</v>
      </c>
      <c r="AT238" s="22" t="str" cm="1">
        <f t="array" ref="AT238">IF(OR(_xll.BDP($AX238,"DX202")= "#N/A N/A", _xll.BDP($AX238,"DX202")="#N/A FIELD NOT APPLICABLE"), " ", _xll.BDP($AX238,"DX202"))</f>
        <v>Financials</v>
      </c>
      <c r="AU238" s="22" t="str" cm="1">
        <f t="array" ref="AU238">IF(OR(_xll.BDP($AX238,"DY997")= "#N/A N/A", _xll.BDP($AX238,"DY997")="#N/A FIELD NOT APPLICABLE"), " ", _xll.BDP($AX238,"DY997"))</f>
        <v>N</v>
      </c>
      <c r="AV238" s="22" t="str" cm="1">
        <f t="array" ref="AV238">IF(OR(_xll.BDP($AX238,"DY784")= "#N/A N/A", _xll.BDP($AX238,"DY784")="#N/A FIELD NOT APPLICABLE"), " ", _xll.BDP($AX238,"DY784"))</f>
        <v xml:space="preserve"> </v>
      </c>
      <c r="AW238" s="22" t="str">
        <f>IF(OR(AU238="Y",AV238="Y"),"Y","N")</f>
        <v>N</v>
      </c>
      <c r="AX238" s="22" t="str">
        <f>CONCATENATE(G238," ",$AX$2)</f>
        <v>PYPL US Equity</v>
      </c>
      <c r="BC238" s="17" t="str" cm="1">
        <f t="array" ref="BC238">_xll.BDP(AX238,"ID005")</f>
        <v>US70450Y1038</v>
      </c>
      <c r="BD238" s="17">
        <v>0.7994</v>
      </c>
      <c r="BE238" s="18">
        <v>4</v>
      </c>
      <c r="BF238" s="19"/>
      <c r="BG238" s="20"/>
    </row>
    <row r="239" spans="1:59" s="3" customFormat="1" ht="14.45" customHeight="1" x14ac:dyDescent="0.25">
      <c r="A239" s="49" t="s">
        <v>242</v>
      </c>
      <c r="B239" s="49" t="s">
        <v>332</v>
      </c>
      <c r="C239" s="72" t="s">
        <v>333</v>
      </c>
      <c r="D239" s="49" t="s">
        <v>248</v>
      </c>
      <c r="E239" s="22" t="str">
        <f>_xll.BDP(AX239,"SECURITY NAME")</f>
        <v>PayPal Holdings Inc</v>
      </c>
      <c r="F239" s="22" t="str">
        <f>_xll.BDP(AX239,"CRNCY")</f>
        <v>USD</v>
      </c>
      <c r="G239" s="23" t="s">
        <v>192</v>
      </c>
      <c r="H239" s="22" t="str" cm="1">
        <f t="array" ref="H239">IF(OR(_xll.BDP($AX239,"DX202")= "#N/A N/A", _xll.BDP($AX239,"DX202")="#N/A FIELD NOT APPLICABLE"), " ", _xll.BDP($AX239,"DX202"))</f>
        <v>Financials</v>
      </c>
      <c r="I239" s="24">
        <f>_xll.BDP(AX239,"CRNCY_ADJ_MKT_CAP", "EQY_FUND_CRNCY=USD")/1000</f>
        <v>66.715752069399997</v>
      </c>
      <c r="J239" s="25">
        <f>IFERROR(_xll.BDP(AX239, "DV013")/100,0)</f>
        <v>0</v>
      </c>
      <c r="K239" s="26" cm="1">
        <f t="array" ref="K239">IF(OR(_xll.BDP($AX239,"RR900")= "#N/A N/A", _xll.BDP($AX239,"RR900")="#N/A FIELD NOT APPLICABLE"), " ", _xll.BDP($AX239,"RR900"))</f>
        <v>13.995663889048473</v>
      </c>
      <c r="L239" s="26" cm="1">
        <f t="array" ref="L239">IF(OR(_xll.BDP($AX239,"EE010")= "#N/A N/A", _xll.BDP($AX239,"EE010")="#N/A FIELD NOT APPLICABLE"), " ", _xll.BDP($AX239,"EE010"))</f>
        <v>12.202063322660974</v>
      </c>
      <c r="M239" s="26" cm="1">
        <f t="array" ref="M239">IF(OR(_xll.BDP($AX239,"RR903")= "#N/A N/A", _xll.BDP($AX239,"RR903")="#N/A FIELD NOT APPLICABLE"), " ", _xll.BDP($AX239,"RR903"))</f>
        <v>3.3158585220778392</v>
      </c>
      <c r="N239" s="26" cm="1">
        <f t="array" ref="N239">IF(OR(_xll.BDP($AX239,"RR957")= "#N/A N/A", _xll.BDP($AX239,"RR957")="#N/A FIELD NOT APPLICABLE"), " ", _xll.BDP($AX239,"RR957"))</f>
        <v>9.8674372458667445</v>
      </c>
      <c r="O239" s="27">
        <v>750</v>
      </c>
      <c r="P239" s="28">
        <v>168.91</v>
      </c>
      <c r="Q239" s="22" cm="1">
        <f t="array" ref="Q239">IF(OR(_xll.BDP($AX239,"PX_last")="#N/A N/A",_xll.BDP($AX239,"PX_Last")="#N/A FIELD NOT APPLICABLE")," ",IF(F239="GBP",(_xll.BDP($AX239,"PX_LAST")/100),(_xll.BDP($AX239,"PX_LAST"))))</f>
        <v>68.599999999999994</v>
      </c>
      <c r="R239" s="29">
        <f>IF(F239="USD",AA239,(((_xll.BDP(F239&amp;"USD CURNCY","PX_LAST")))*AA239))</f>
        <v>126682.5</v>
      </c>
      <c r="S239" s="29">
        <f>IF(F239="USD",AB239,(((_xll.BDP(F239&amp;"USD CURNCY","PX_LAST")))*AB239))</f>
        <v>51449.999999999993</v>
      </c>
      <c r="T239" s="12">
        <f>S239-R239</f>
        <v>-75232.5</v>
      </c>
      <c r="U239" s="13">
        <f>T239/R239</f>
        <v>-0.59386655615416495</v>
      </c>
      <c r="V239" s="13" cm="1">
        <f t="array" ref="V239">IFERROR(_xll.BDP($G239&amp;" Equity","CHG_PCT_1D")/100,"")</f>
        <v>8.754012E-4</v>
      </c>
      <c r="W239" s="13" cm="1">
        <f t="array" ref="W239">IFERROR(_xll.BDP($G239&amp;" Equity","CHG_PCT_5D")/100,"")</f>
        <v>3.4378769999999996E-2</v>
      </c>
      <c r="X239" s="13" t="e">
        <f>S239/#REF!</f>
        <v>#REF!</v>
      </c>
      <c r="Y239" s="24">
        <f>IFERROR(S239*J239,0)</f>
        <v>0</v>
      </c>
      <c r="Z239" s="24">
        <f>S239</f>
        <v>51449.999999999993</v>
      </c>
      <c r="AA239" s="29">
        <f>P239*O239</f>
        <v>126682.5</v>
      </c>
      <c r="AB239" s="29">
        <f>IFERROR(O239*Q239,0)</f>
        <v>51449.999999999993</v>
      </c>
      <c r="AC239" s="4" t="e" cm="1">
        <f t="array" ref="AC239">VLOOKUP(IF(NOT(_xll.BDP(AX239,$BW$8)="#N/A N/A"),(_xll.BDP(AX239,$BW$8)),"-"), '[1]Country Codes'!$A$2:$B$253,2,0)</f>
        <v>#N/A</v>
      </c>
      <c r="AD239" s="30" t="str" cm="1">
        <f t="array" ref="AD239">IF(OR(_xll.BDP($AX239,"EX028")= "#N/A N/A", _xll.BDP($AX239,"EX028")="#N/A FIELD NOT APPLICABLE"), " ", _xll.BDP($AX239,"EX028"))</f>
        <v>Equity</v>
      </c>
      <c r="AE239" s="31" t="str">
        <f>IF(("AS97"="Equity"), " ", "Single Line Equity")</f>
        <v>Single Line Equity</v>
      </c>
      <c r="AF239" s="26" cm="1">
        <f t="array" ref="AF239">IF(OR(_xll.BDP($AX239,"RR908")= "#N/A N/A", _xll.BDP($AX239,"RR908")="#N/A FIELD NOT APPLICABLE"), " ", _xll.BDP($AX239,"RR908"))</f>
        <v>10.344795658955871</v>
      </c>
      <c r="AG239" s="26" cm="1">
        <f t="array" ref="AG239">IF(OR(_xll.BDP($AX239,"RR041")= "#N/A N/A", _xll.BDP($AX239,"RR041")="#N/A FIELD NOT APPLICABLE"), " ", _xll.BDP($AX239,"RR041"))</f>
        <v>13.041134160836162</v>
      </c>
      <c r="AH239" s="22">
        <f>_xll.BDP(AX239,"TOT_BUY_REC")</f>
        <v>26</v>
      </c>
      <c r="AI239" s="22">
        <f>_xll.BDP(AX239,"TOT_HOLD_REC")</f>
        <v>22</v>
      </c>
      <c r="AJ239" s="22">
        <f>_xll.BDP(AX239,"TOT_SELL_REC")</f>
        <v>4</v>
      </c>
      <c r="AK239" s="26" cm="1">
        <f t="array" ref="AK239">IF(OR(_xll.BDP($AX239,"EE201")= "#N/A N/A", _xll.BDP($AX239,"EE201")="#N/A FIELD NOT APPLICABLE"), " ", _xll.BDP($AX239,"EE201"))</f>
        <v>3.788461446762085</v>
      </c>
      <c r="AL239" s="24">
        <f>_xll.BDP(AX239,"BEST_TARGET_PRICE")</f>
        <v>80.875</v>
      </c>
      <c r="AM239" s="32">
        <f>(AL239/Q239)-1</f>
        <v>0.17893586005830908</v>
      </c>
      <c r="AN239" s="32">
        <f>_xll.BDP(AX239,"PR061")/100</f>
        <v>0.17526129999999998</v>
      </c>
      <c r="AO239" s="32">
        <f>_xll.BDP(AX239,"PR064")/100</f>
        <v>-0.12689320000000001</v>
      </c>
      <c r="AP239" s="32">
        <f>_xll.BDP(AX239,"CHG_PCT_6M")/100</f>
        <v>-0.15735170000000001</v>
      </c>
      <c r="AQ239" s="25">
        <f>_xll.BDP(AX239,"PR079")/100</f>
        <v>-0.1962507</v>
      </c>
      <c r="AR239" s="33">
        <f>_xll.BDP(AX239,"hs001")</f>
        <v>93.66</v>
      </c>
      <c r="AS239" s="33">
        <f>_xll.BDP(AX239,"hs002")</f>
        <v>55.85</v>
      </c>
      <c r="AT239" s="22" t="str" cm="1">
        <f t="array" ref="AT239">IF(OR(_xll.BDP($AX239,"DX202")= "#N/A N/A", _xll.BDP($AX239,"DX202")="#N/A FIELD NOT APPLICABLE"), " ", _xll.BDP($AX239,"DX202"))</f>
        <v>Financials</v>
      </c>
      <c r="AU239" s="22" t="str" cm="1">
        <f t="array" ref="AU239">IF(OR(_xll.BDP($AX239,"DY997")= "#N/A N/A", _xll.BDP($AX239,"DY997")="#N/A FIELD NOT APPLICABLE"), " ", _xll.BDP($AX239,"DY997"))</f>
        <v>N</v>
      </c>
      <c r="AV239" s="22" t="str" cm="1">
        <f t="array" ref="AV239">IF(OR(_xll.BDP($AX239,"DY784")= "#N/A N/A", _xll.BDP($AX239,"DY784")="#N/A FIELD NOT APPLICABLE"), " ", _xll.BDP($AX239,"DY784"))</f>
        <v xml:space="preserve"> </v>
      </c>
      <c r="AW239" s="22" t="str">
        <f>IF(OR(AU239="Y",AV239="Y"),"Y","N")</f>
        <v>N</v>
      </c>
      <c r="AX239" s="22" t="str">
        <f>CONCATENATE(G239," ",$AX$2)</f>
        <v>PYPL US Equity</v>
      </c>
      <c r="BC239" s="17" t="str" cm="1">
        <f t="array" ref="BC239">_xll.BDP(AX239,"ID005")</f>
        <v>US70450Y1038</v>
      </c>
      <c r="BD239" s="17">
        <v>0.7994</v>
      </c>
      <c r="BE239" s="18">
        <v>4</v>
      </c>
      <c r="BF239" s="19"/>
      <c r="BG239" s="20"/>
    </row>
    <row r="240" spans="1:59" s="3" customFormat="1" ht="14.45" customHeight="1" x14ac:dyDescent="0.25">
      <c r="A240" s="49" t="s">
        <v>242</v>
      </c>
      <c r="B240" s="49" t="s">
        <v>243</v>
      </c>
      <c r="C240" s="49" t="s">
        <v>244</v>
      </c>
      <c r="D240" s="49" t="s">
        <v>245</v>
      </c>
      <c r="E240" s="22" t="str">
        <f>_xll.BDP(AX240,"SECURITY NAME")</f>
        <v>Regeneron Pharmaceuticals Inc</v>
      </c>
      <c r="F240" s="22" t="str">
        <f>_xll.BDP(AX240,"CRNCY")</f>
        <v>USD</v>
      </c>
      <c r="G240" s="23" t="s">
        <v>341</v>
      </c>
      <c r="H240" s="22" t="str" cm="1">
        <f t="array" ref="H240">IF(OR(_xll.BDP($AX240,"DX202")= "#N/A N/A", _xll.BDP($AX240,"DX202")="#N/A FIELD NOT APPLICABLE"), " ", _xll.BDP($AX240,"DX202"))</f>
        <v>Health Care</v>
      </c>
      <c r="I240" s="24">
        <f>_xll.BDP(AX240,"CRNCY_ADJ_MKT_CAP", "EQY_FUND_CRNCY=USD")/1000</f>
        <v>62.612970502694992</v>
      </c>
      <c r="J240" s="25">
        <f>IFERROR(_xll.BDP(AX240, "DV013")/100,0)</f>
        <v>6.0696457032710805E-3</v>
      </c>
      <c r="K240" s="26" cm="1">
        <f t="array" ref="K240">IF(OR(_xll.BDP($AX240,"RR900")= "#N/A N/A", _xll.BDP($AX240,"RR900")="#N/A FIELD NOT APPLICABLE"), " ", _xll.BDP($AX240,"RR900"))</f>
        <v>15.278277130552674</v>
      </c>
      <c r="L240" s="26" cm="1">
        <f t="array" ref="L240">IF(OR(_xll.BDP($AX240,"EE010")= "#N/A N/A", _xll.BDP($AX240,"EE010")="#N/A FIELD NOT APPLICABLE"), " ", _xll.BDP($AX240,"EE010"))</f>
        <v>14.669272019021601</v>
      </c>
      <c r="M240" s="26" cm="1">
        <f t="array" ref="M240">IF(OR(_xll.BDP($AX240,"RR903")= "#N/A N/A", _xll.BDP($AX240,"RR903")="#N/A FIELD NOT APPLICABLE"), " ", _xll.BDP($AX240,"RR903"))</f>
        <v>2.1352191650845884</v>
      </c>
      <c r="N240" s="26" cm="1">
        <f t="array" ref="N240">IF(OR(_xll.BDP($AX240,"RR957")= "#N/A N/A", _xll.BDP($AX240,"RR957")="#N/A FIELD NOT APPLICABLE"), " ", _xll.BDP($AX240,"RR957"))</f>
        <v>11.022735688329439</v>
      </c>
      <c r="O240" s="27">
        <v>143</v>
      </c>
      <c r="P240" s="28">
        <v>720.11400000000003</v>
      </c>
      <c r="Q240" s="22" cm="1">
        <f t="array" ref="Q240">IF(OR(_xll.BDP($AX240,"PX_last")="#N/A N/A",_xll.BDP($AX240,"PX_Last")="#N/A FIELD NOT APPLICABLE")," ",IF(F240="GBP",(_xll.BDP($AX240,"PX_LAST")/100),(_xll.BDP($AX240,"PX_LAST"))))</f>
        <v>579.93499999999995</v>
      </c>
      <c r="R240" s="29">
        <f>IF(F240="USD",AA240,(((_xll.BDP(F240&amp;"USD CURNCY","PX_LAST")))*AA240))</f>
        <v>102976.30200000001</v>
      </c>
      <c r="S240" s="29">
        <f>IF(F240="USD",AB240,(((_xll.BDP(F240&amp;"USD CURNCY","PX_LAST")))*AB240))</f>
        <v>82930.704999999987</v>
      </c>
      <c r="T240" s="12">
        <f>S240-R240</f>
        <v>-20045.597000000023</v>
      </c>
      <c r="U240" s="13">
        <f>T240/R240</f>
        <v>-0.19466223403516686</v>
      </c>
      <c r="V240" s="13" cm="1">
        <f t="array" ref="V240">IFERROR(_xll.BDP($G240&amp;" Equity","CHG_PCT_1D")/100,"")</f>
        <v>-3.9174590000000002E-2</v>
      </c>
      <c r="W240" s="13" cm="1">
        <f t="array" ref="W240">IFERROR(_xll.BDP($G240&amp;" Equity","CHG_PCT_5D")/100,"")</f>
        <v>1.9379159999999999E-2</v>
      </c>
      <c r="X240" s="13" t="e">
        <f>S240/#REF!</f>
        <v>#REF!</v>
      </c>
      <c r="Y240" s="24">
        <f>IFERROR(S240*J240,0)</f>
        <v>503.35999727249146</v>
      </c>
      <c r="Z240" s="24">
        <f>S240</f>
        <v>82930.704999999987</v>
      </c>
      <c r="AA240" s="29">
        <f>P240*O240</f>
        <v>102976.30200000001</v>
      </c>
      <c r="AB240" s="29">
        <f>IFERROR(O240*Q240,0)</f>
        <v>82930.704999999987</v>
      </c>
      <c r="AC240" s="4" t="e" cm="1">
        <f t="array" ref="AC240">VLOOKUP(IF(NOT(_xll.BDP(AX240,$BW$8)="#N/A N/A"),(_xll.BDP(AX240,$BW$8)),"-"), '[1]Country Codes'!$A$2:$B$253,2,0)</f>
        <v>#N/A</v>
      </c>
      <c r="AD240" s="30" t="str" cm="1">
        <f t="array" ref="AD240">IF(OR(_xll.BDP($AX240,"EX028")= "#N/A N/A", _xll.BDP($AX240,"EX028")="#N/A FIELD NOT APPLICABLE"), " ", _xll.BDP($AX240,"EX028"))</f>
        <v>Equity</v>
      </c>
      <c r="AE240" s="31" t="str">
        <f>IF(("AS97"="Equity"), " ", "Single Line Equity")</f>
        <v>Single Line Equity</v>
      </c>
      <c r="AF240" s="26" cm="1">
        <f t="array" ref="AF240">IF(OR(_xll.BDP($AX240,"RR908")= "#N/A N/A", _xll.BDP($AX240,"RR908")="#N/A FIELD NOT APPLICABLE"), " ", _xll.BDP($AX240,"RR908"))</f>
        <v>15.780521580696458</v>
      </c>
      <c r="AG240" s="26" cm="1">
        <f t="array" ref="AG240">IF(OR(_xll.BDP($AX240,"RR041")= "#N/A N/A", _xll.BDP($AX240,"RR041")="#N/A FIELD NOT APPLICABLE"), " ", _xll.BDP($AX240,"RR041"))</f>
        <v>7.7829626530082576</v>
      </c>
      <c r="AH240" s="22">
        <f>_xll.BDP(AX240,"TOT_BUY_REC")</f>
        <v>22</v>
      </c>
      <c r="AI240" s="22">
        <f>_xll.BDP(AX240,"TOT_HOLD_REC")</f>
        <v>4</v>
      </c>
      <c r="AJ240" s="22">
        <f>_xll.BDP(AX240,"TOT_SELL_REC")</f>
        <v>2</v>
      </c>
      <c r="AK240" s="26" cm="1">
        <f t="array" ref="AK240">IF(OR(_xll.BDP($AX240,"EE201")= "#N/A N/A", _xll.BDP($AX240,"EE201")="#N/A FIELD NOT APPLICABLE"), " ", _xll.BDP($AX240,"EE201"))</f>
        <v>4.4285712242126465</v>
      </c>
      <c r="AL240" s="24">
        <f>_xll.BDP(AX240,"BEST_TARGET_PRICE")</f>
        <v>788.5</v>
      </c>
      <c r="AM240" s="32">
        <f>(AL240/Q240)-1</f>
        <v>0.35963513152336057</v>
      </c>
      <c r="AN240" s="32">
        <f>_xll.BDP(AX240,"PR061")/100</f>
        <v>1.1308720000000001E-2</v>
      </c>
      <c r="AO240" s="32">
        <f>_xll.BDP(AX240,"PR064")/100</f>
        <v>-0.19684380000000001</v>
      </c>
      <c r="AP240" s="32">
        <f>_xll.BDP(AX240,"CHG_PCT_6M")/100</f>
        <v>-0.28986099999999998</v>
      </c>
      <c r="AQ240" s="25">
        <f>_xll.BDP(AX240,"PR079")/100</f>
        <v>-0.1858619</v>
      </c>
      <c r="AR240" s="33">
        <f>_xll.BDP(AX240,"hs001")</f>
        <v>1211.2</v>
      </c>
      <c r="AS240" s="33">
        <f>_xll.BDP(AX240,"hs002")</f>
        <v>525.99</v>
      </c>
      <c r="AT240" s="22" t="str" cm="1">
        <f t="array" ref="AT240">IF(OR(_xll.BDP($AX240,"DX202")= "#N/A N/A", _xll.BDP($AX240,"DX202")="#N/A FIELD NOT APPLICABLE"), " ", _xll.BDP($AX240,"DX202"))</f>
        <v>Health Care</v>
      </c>
      <c r="AU240" s="22" t="str" cm="1">
        <f t="array" ref="AU240">IF(OR(_xll.BDP($AX240,"DY997")= "#N/A N/A", _xll.BDP($AX240,"DY997")="#N/A FIELD NOT APPLICABLE"), " ", _xll.BDP($AX240,"DY997"))</f>
        <v>Y</v>
      </c>
      <c r="AV240" s="22" t="str" cm="1">
        <f t="array" ref="AV240">IF(OR(_xll.BDP($AX240,"DY784")= "#N/A N/A", _xll.BDP($AX240,"DY784")="#N/A FIELD NOT APPLICABLE"), " ", _xll.BDP($AX240,"DY784"))</f>
        <v xml:space="preserve"> </v>
      </c>
      <c r="AW240" s="22" t="str">
        <f>IF(OR(AU240="Y",AV240="Y"),"Y","N")</f>
        <v>Y</v>
      </c>
      <c r="AX240" s="22" t="str">
        <f>CONCATENATE(G240," ",$AX$2)</f>
        <v>REGN Equity</v>
      </c>
      <c r="BC240" s="17" t="str" cm="1">
        <f t="array" ref="BC240">_xll.BDP(AX240,"ID005")</f>
        <v>US75886F1075</v>
      </c>
      <c r="BD240" s="17">
        <v>0.7994</v>
      </c>
      <c r="BE240" s="18">
        <v>4</v>
      </c>
      <c r="BF240" s="19"/>
      <c r="BG240" s="20"/>
    </row>
    <row r="241" spans="1:59" s="3" customFormat="1" ht="14.45" customHeight="1" x14ac:dyDescent="0.25">
      <c r="A241" s="49" t="s">
        <v>242</v>
      </c>
      <c r="B241" s="49" t="s">
        <v>268</v>
      </c>
      <c r="C241" s="49" t="s">
        <v>269</v>
      </c>
      <c r="D241" s="49" t="s">
        <v>248</v>
      </c>
      <c r="E241" s="22" t="str">
        <f>_xll.BDP(AX241,"SECURITY NAME")</f>
        <v>Regeneron Pharmaceuticals Inc</v>
      </c>
      <c r="F241" s="22" t="str">
        <f>_xll.BDP(AX241,"CRNCY")</f>
        <v>USD</v>
      </c>
      <c r="G241" s="23" t="s">
        <v>326</v>
      </c>
      <c r="H241" s="22" t="str" cm="1">
        <f t="array" ref="H241">IF(OR(_xll.BDP($AX241,"DX202")= "#N/A N/A", _xll.BDP($AX241,"DX202")="#N/A FIELD NOT APPLICABLE"), " ", _xll.BDP($AX241,"DX202"))</f>
        <v>Health Care</v>
      </c>
      <c r="I241" s="24">
        <f>_xll.BDP(AX241,"CRNCY_ADJ_MKT_CAP", "EQY_FUND_CRNCY=USD")/1000</f>
        <v>62.612970502694992</v>
      </c>
      <c r="J241" s="25">
        <f>IFERROR(_xll.BDP(AX241, "DV013")/100,0)</f>
        <v>6.0696457032710805E-3</v>
      </c>
      <c r="K241" s="26" cm="1">
        <f t="array" ref="K241">IF(OR(_xll.BDP($AX241,"RR900")= "#N/A N/A", _xll.BDP($AX241,"RR900")="#N/A FIELD NOT APPLICABLE"), " ", _xll.BDP($AX241,"RR900"))</f>
        <v>15.278277130552674</v>
      </c>
      <c r="L241" s="26" cm="1">
        <f t="array" ref="L241">IF(OR(_xll.BDP($AX241,"EE010")= "#N/A N/A", _xll.BDP($AX241,"EE010")="#N/A FIELD NOT APPLICABLE"), " ", _xll.BDP($AX241,"EE010"))</f>
        <v>14.669272019021601</v>
      </c>
      <c r="M241" s="26" cm="1">
        <f t="array" ref="M241">IF(OR(_xll.BDP($AX241,"RR903")= "#N/A N/A", _xll.BDP($AX241,"RR903")="#N/A FIELD NOT APPLICABLE"), " ", _xll.BDP($AX241,"RR903"))</f>
        <v>2.1352191650845884</v>
      </c>
      <c r="N241" s="26" cm="1">
        <f t="array" ref="N241">IF(OR(_xll.BDP($AX241,"RR957")= "#N/A N/A", _xll.BDP($AX241,"RR957")="#N/A FIELD NOT APPLICABLE"), " ", _xll.BDP($AX241,"RR957"))</f>
        <v>11.022735688329439</v>
      </c>
      <c r="O241" s="27">
        <v>216</v>
      </c>
      <c r="P241" s="28">
        <v>709.36</v>
      </c>
      <c r="Q241" s="22" cm="1">
        <f t="array" ref="Q241">IF(OR(_xll.BDP($AX241,"PX_last")="#N/A N/A",_xll.BDP($AX241,"PX_Last")="#N/A FIELD NOT APPLICABLE")," ",IF(F241="GBP",(_xll.BDP($AX241,"PX_LAST")/100),(_xll.BDP($AX241,"PX_LAST"))))</f>
        <v>579.93499999999995</v>
      </c>
      <c r="R241" s="29">
        <f>IF(F241="USD",AA241,(((_xll.BDP(F241&amp;"USD CURNCY","PX_LAST")))*AA241))</f>
        <v>153221.76000000001</v>
      </c>
      <c r="S241" s="29">
        <f>IF(F241="USD",AB241,(((_xll.BDP(F241&amp;"USD CURNCY","PX_LAST")))*AB241))</f>
        <v>125265.95999999999</v>
      </c>
      <c r="T241" s="12">
        <f>S241-R241</f>
        <v>-27955.800000000017</v>
      </c>
      <c r="U241" s="13">
        <f>T241/R241</f>
        <v>-0.18245319724822384</v>
      </c>
      <c r="V241" s="13" cm="1">
        <f t="array" ref="V241">IFERROR(_xll.BDP($G241&amp;" Equity","CHG_PCT_1D")/100,"")</f>
        <v>-3.9174590000000002E-2</v>
      </c>
      <c r="W241" s="13" cm="1">
        <f t="array" ref="W241">IFERROR(_xll.BDP($G241&amp;" Equity","CHG_PCT_5D")/100,"")</f>
        <v>1.9379159999999999E-2</v>
      </c>
      <c r="X241" s="13" t="e">
        <f>S241/#REF!</f>
        <v>#REF!</v>
      </c>
      <c r="Y241" s="24">
        <f>IFERROR(S241*J241,0)</f>
        <v>760.31999588012695</v>
      </c>
      <c r="Z241" s="24">
        <f>S241</f>
        <v>125265.95999999999</v>
      </c>
      <c r="AA241" s="29">
        <f>P241*O241</f>
        <v>153221.76000000001</v>
      </c>
      <c r="AB241" s="29">
        <f>IFERROR(O241*Q241,0)</f>
        <v>125265.95999999999</v>
      </c>
      <c r="AC241" s="4" t="e" cm="1">
        <f t="array" ref="AC241">VLOOKUP(IF(NOT(_xll.BDP(AX241,$BW$8)="#N/A N/A"),(_xll.BDP(AX241,$BW$8)),"-"), '[1]Country Codes'!$A$2:$B$253,2,0)</f>
        <v>#N/A</v>
      </c>
      <c r="AD241" s="30" t="str" cm="1">
        <f t="array" ref="AD241">IF(OR(_xll.BDP($AX241,"EX028")= "#N/A N/A", _xll.BDP($AX241,"EX028")="#N/A FIELD NOT APPLICABLE"), " ", _xll.BDP($AX241,"EX028"))</f>
        <v>Equity</v>
      </c>
      <c r="AE241" s="31" t="str">
        <f>IF(("AS97"="Equity"), " ", "Single Line Equity")</f>
        <v>Single Line Equity</v>
      </c>
      <c r="AF241" s="26" cm="1">
        <f t="array" ref="AF241">IF(OR(_xll.BDP($AX241,"RR908")= "#N/A N/A", _xll.BDP($AX241,"RR908")="#N/A FIELD NOT APPLICABLE"), " ", _xll.BDP($AX241,"RR908"))</f>
        <v>15.780521580696458</v>
      </c>
      <c r="AG241" s="26" cm="1">
        <f t="array" ref="AG241">IF(OR(_xll.BDP($AX241,"RR041")= "#N/A N/A", _xll.BDP($AX241,"RR041")="#N/A FIELD NOT APPLICABLE"), " ", _xll.BDP($AX241,"RR041"))</f>
        <v>7.7829626530082576</v>
      </c>
      <c r="AH241" s="22">
        <f>_xll.BDP(AX241,"TOT_BUY_REC")</f>
        <v>22</v>
      </c>
      <c r="AI241" s="22">
        <f>_xll.BDP(AX241,"TOT_HOLD_REC")</f>
        <v>4</v>
      </c>
      <c r="AJ241" s="22">
        <f>_xll.BDP(AX241,"TOT_SELL_REC")</f>
        <v>2</v>
      </c>
      <c r="AK241" s="26" cm="1">
        <f t="array" ref="AK241">IF(OR(_xll.BDP($AX241,"EE201")= "#N/A N/A", _xll.BDP($AX241,"EE201")="#N/A FIELD NOT APPLICABLE"), " ", _xll.BDP($AX241,"EE201"))</f>
        <v>4.4285712242126465</v>
      </c>
      <c r="AL241" s="24">
        <f>_xll.BDP(AX241,"BEST_TARGET_PRICE")</f>
        <v>788.5</v>
      </c>
      <c r="AM241" s="32">
        <f>(AL241/Q241)-1</f>
        <v>0.35963513152336057</v>
      </c>
      <c r="AN241" s="32">
        <f>_xll.BDP(AX241,"PR061")/100</f>
        <v>1.1308720000000001E-2</v>
      </c>
      <c r="AO241" s="32">
        <f>_xll.BDP(AX241,"PR064")/100</f>
        <v>-0.19684380000000001</v>
      </c>
      <c r="AP241" s="32">
        <f>_xll.BDP(AX241,"CHG_PCT_6M")/100</f>
        <v>-0.28986099999999998</v>
      </c>
      <c r="AQ241" s="25">
        <f>_xll.BDP(AX241,"PR079")/100</f>
        <v>-0.1858619</v>
      </c>
      <c r="AR241" s="33">
        <f>_xll.BDP(AX241,"hs001")</f>
        <v>1211.2</v>
      </c>
      <c r="AS241" s="33">
        <f>_xll.BDP(AX241,"hs002")</f>
        <v>525.99</v>
      </c>
      <c r="AT241" s="22" t="str" cm="1">
        <f t="array" ref="AT241">IF(OR(_xll.BDP($AX241,"DX202")= "#N/A N/A", _xll.BDP($AX241,"DX202")="#N/A FIELD NOT APPLICABLE"), " ", _xll.BDP($AX241,"DX202"))</f>
        <v>Health Care</v>
      </c>
      <c r="AU241" s="22" t="str" cm="1">
        <f t="array" ref="AU241">IF(OR(_xll.BDP($AX241,"DY997")= "#N/A N/A", _xll.BDP($AX241,"DY997")="#N/A FIELD NOT APPLICABLE"), " ", _xll.BDP($AX241,"DY997"))</f>
        <v>Y</v>
      </c>
      <c r="AV241" s="22" t="str" cm="1">
        <f t="array" ref="AV241">IF(OR(_xll.BDP($AX241,"DY784")= "#N/A N/A", _xll.BDP($AX241,"DY784")="#N/A FIELD NOT APPLICABLE"), " ", _xll.BDP($AX241,"DY784"))</f>
        <v xml:space="preserve"> </v>
      </c>
      <c r="AW241" s="22" t="str">
        <f>IF(OR(AU241="Y",AV241="Y"),"Y","N")</f>
        <v>Y</v>
      </c>
      <c r="AX241" s="22" t="str">
        <f>CONCATENATE(G241," ",$AX$2)</f>
        <v>REGN US Equity</v>
      </c>
      <c r="BC241" s="17" t="str" cm="1">
        <f t="array" ref="BC241">_xll.BDP(AX241,"ID005")</f>
        <v>US75886F1075</v>
      </c>
      <c r="BD241" s="17">
        <v>0.7994</v>
      </c>
      <c r="BE241" s="18">
        <v>4</v>
      </c>
      <c r="BF241" s="19"/>
      <c r="BG241" s="20"/>
    </row>
    <row r="242" spans="1:59" s="3" customFormat="1" ht="14.45" customHeight="1" x14ac:dyDescent="0.25">
      <c r="A242" s="49" t="s">
        <v>242</v>
      </c>
      <c r="B242" s="49" t="s">
        <v>243</v>
      </c>
      <c r="C242" s="49" t="s">
        <v>244</v>
      </c>
      <c r="D242" s="49" t="s">
        <v>245</v>
      </c>
      <c r="E242" s="22" t="str">
        <f>_xll.BDP(AX242,"SECURITY NAME")</f>
        <v>Rio Tinto PLC</v>
      </c>
      <c r="F242" s="22" t="str">
        <f>_xll.BDP(AX242,"CRNCY")</f>
        <v>GBp</v>
      </c>
      <c r="G242" s="23" t="s">
        <v>322</v>
      </c>
      <c r="H242" s="22" t="str" cm="1">
        <f t="array" ref="H242">IF(OR(_xll.BDP($AX242,"DX202")= "#N/A N/A", _xll.BDP($AX242,"DX202")="#N/A FIELD NOT APPLICABLE"), " ", _xll.BDP($AX242,"DX202"))</f>
        <v>Materials</v>
      </c>
      <c r="I242" s="24">
        <f>_xll.BDP(AX242,"CRNCY_ADJ_MKT_CAP", "EQY_FUND_CRNCY=USD")/1000</f>
        <v>102.63443442131633</v>
      </c>
      <c r="J242" s="25">
        <f>IFERROR(_xll.BDP(AX242, "DV013")/100,0)</f>
        <v>6.9415007322579853E-2</v>
      </c>
      <c r="K242" s="26" cm="1">
        <f t="array" ref="K242">IF(OR(_xll.BDP($AX242,"RR900")= "#N/A N/A", _xll.BDP($AX242,"RR900")="#N/A FIELD NOT APPLICABLE"), " ", _xll.BDP($AX242,"RR900"))</f>
        <v>8.3935407090171683</v>
      </c>
      <c r="L242" s="26" cm="1">
        <f t="array" ref="L242">IF(OR(_xll.BDP($AX242,"EE010")= "#N/A N/A", _xll.BDP($AX242,"EE010")="#N/A FIELD NOT APPLICABLE"), " ", _xll.BDP($AX242,"EE010"))</f>
        <v>9.714932354078833</v>
      </c>
      <c r="M242" s="26" cm="1">
        <f t="array" ref="M242">IF(OR(_xll.BDP($AX242,"RR903")= "#N/A N/A", _xll.BDP($AX242,"RR903")="#N/A FIELD NOT APPLICABLE"), " ", _xll.BDP($AX242,"RR903"))</f>
        <v>1.7561628543647687</v>
      </c>
      <c r="N242" s="26" cm="1">
        <f t="array" ref="N242">IF(OR(_xll.BDP($AX242,"RR957")= "#N/A N/A", _xll.BDP($AX242,"RR957")="#N/A FIELD NOT APPLICABLE"), " ", _xll.BDP($AX242,"RR957"))</f>
        <v>5.1153704108252853</v>
      </c>
      <c r="O242" s="27">
        <v>1485</v>
      </c>
      <c r="P242" s="28">
        <v>50.586799999999997</v>
      </c>
      <c r="Q242" s="22" cm="1">
        <f t="array" ref="Q242">IF(OR(_xll.BDP($AX242,"PX_last")="#N/A N/A",_xll.BDP($AX242,"PX_Last")="#N/A FIELD NOT APPLICABLE")," ",IF(F242="GBP",(_xll.BDP($AX242,"PX_LAST")/100),(_xll.BDP($AX242,"PX_LAST"))))</f>
        <v>44.69</v>
      </c>
      <c r="R242" s="29">
        <f>IF(F242="USD",AA242,(((_xll.BDP(F242&amp;"USD CURNCY","PX_LAST")))*AA242))</f>
        <v>100414.77270660001</v>
      </c>
      <c r="S242" s="29">
        <f>IF(F242="USD",AB242,(((_xll.BDP(F242&amp;"USD CURNCY","PX_LAST")))*AB242))</f>
        <v>88709.627654999989</v>
      </c>
      <c r="T242" s="12">
        <f>S242-R242</f>
        <v>-11705.145051600019</v>
      </c>
      <c r="U242" s="13">
        <f>T242/R242</f>
        <v>-0.11656795843975126</v>
      </c>
      <c r="V242" s="13" cm="1">
        <f t="array" ref="V242">IFERROR(_xll.BDP($G242&amp;" Equity","CHG_PCT_1D")/100,"")</f>
        <v>-7.3300759999999996E-3</v>
      </c>
      <c r="W242" s="13" cm="1">
        <f t="array" ref="W242">IFERROR(_xll.BDP($G242&amp;" Equity","CHG_PCT_5D")/100,"")</f>
        <v>-1.237569E-2</v>
      </c>
      <c r="X242" s="13" t="e">
        <f>S242/#REF!</f>
        <v>#REF!</v>
      </c>
      <c r="Y242" s="24">
        <f>IFERROR(S242*J242,0)</f>
        <v>6157.7794532551561</v>
      </c>
      <c r="Z242" s="24">
        <f>S242</f>
        <v>88709.627654999989</v>
      </c>
      <c r="AA242" s="29">
        <f>P242*O242</f>
        <v>75121.398000000001</v>
      </c>
      <c r="AB242" s="29">
        <f>IFERROR(O242*Q242,0)</f>
        <v>66364.649999999994</v>
      </c>
      <c r="AC242" s="4" t="e" cm="1">
        <f t="array" ref="AC242">VLOOKUP(IF(NOT(_xll.BDP(AX242,$BW$8)="#N/A N/A"),(_xll.BDP(AX242,$BW$8)),"-"), '[1]Country Codes'!$A$2:$B$253,2,0)</f>
        <v>#N/A</v>
      </c>
      <c r="AD242" s="30" t="str" cm="1">
        <f t="array" ref="AD242">IF(OR(_xll.BDP($AX242,"EX028")= "#N/A N/A", _xll.BDP($AX242,"EX028")="#N/A FIELD NOT APPLICABLE"), " ", _xll.BDP($AX242,"EX028"))</f>
        <v>Equity</v>
      </c>
      <c r="AE242" s="31" t="str">
        <f>IF(("AS97"="Equity"), " ", "Single Line Equity")</f>
        <v>Single Line Equity</v>
      </c>
      <c r="AF242" s="26" cm="1">
        <f t="array" ref="AF242">IF(OR(_xll.BDP($AX242,"RR908")= "#N/A N/A", _xll.BDP($AX242,"RR908")="#N/A FIELD NOT APPLICABLE"), " ", _xll.BDP($AX242,"RR908"))</f>
        <v>6.2158853978635484</v>
      </c>
      <c r="AG242" s="26" cm="1">
        <f t="array" ref="AG242">IF(OR(_xll.BDP($AX242,"RR041")= "#N/A N/A", _xll.BDP($AX242,"RR041")="#N/A FIELD NOT APPLICABLE"), " ", _xll.BDP($AX242,"RR041"))</f>
        <v>13.479462183565854</v>
      </c>
      <c r="AH242" s="22">
        <f>_xll.BDP(AX242,"TOT_BUY_REC")</f>
        <v>19</v>
      </c>
      <c r="AI242" s="22">
        <f>_xll.BDP(AX242,"TOT_HOLD_REC")</f>
        <v>7</v>
      </c>
      <c r="AJ242" s="22">
        <f>_xll.BDP(AX242,"TOT_SELL_REC")</f>
        <v>0</v>
      </c>
      <c r="AK242" s="26" cm="1">
        <f t="array" ref="AK242">IF(OR(_xll.BDP($AX242,"EE201")= "#N/A N/A", _xll.BDP($AX242,"EE201")="#N/A FIELD NOT APPLICABLE"), " ", _xll.BDP($AX242,"EE201"))</f>
        <v>4.4230771064758301</v>
      </c>
      <c r="AL242" s="24">
        <f>_xll.BDP(AX242,"BEST_TARGET_PRICE")</f>
        <v>5672.91650390625</v>
      </c>
      <c r="AM242" s="32">
        <f>(AL242/Q242)-1</f>
        <v>125.93928180591296</v>
      </c>
      <c r="AN242" s="32">
        <f>_xll.BDP(AX242,"PR061")/100</f>
        <v>5.425808E-2</v>
      </c>
      <c r="AO242" s="32">
        <f>_xll.BDP(AX242,"PR064")/100</f>
        <v>-0.1108237</v>
      </c>
      <c r="AP242" s="32">
        <f>_xll.BDP(AX242,"CHG_PCT_6M")/100</f>
        <v>-0.11382110000000001</v>
      </c>
      <c r="AQ242" s="25">
        <f>_xll.BDP(AX242,"PR079")/100</f>
        <v>-5.3779380000000002E-2</v>
      </c>
      <c r="AR242" s="33">
        <f>_xll.BDP(AX242,"hs001")</f>
        <v>5854</v>
      </c>
      <c r="AS242" s="33">
        <f>_xll.BDP(AX242,"hs002")</f>
        <v>4025</v>
      </c>
      <c r="AT242" s="22" t="str" cm="1">
        <f t="array" ref="AT242">IF(OR(_xll.BDP($AX242,"DX202")= "#N/A N/A", _xll.BDP($AX242,"DX202")="#N/A FIELD NOT APPLICABLE"), " ", _xll.BDP($AX242,"DX202"))</f>
        <v>Materials</v>
      </c>
      <c r="AU242" s="22" t="str" cm="1">
        <f t="array" ref="AU242">IF(OR(_xll.BDP($AX242,"DY997")= "#N/A N/A", _xll.BDP($AX242,"DY997")="#N/A FIELD NOT APPLICABLE"), " ", _xll.BDP($AX242,"DY997"))</f>
        <v>Y</v>
      </c>
      <c r="AV242" s="22" t="str" cm="1">
        <f t="array" ref="AV242">IF(OR(_xll.BDP($AX242,"DY784")= "#N/A N/A", _xll.BDP($AX242,"DY784")="#N/A FIELD NOT APPLICABLE"), " ", _xll.BDP($AX242,"DY784"))</f>
        <v>N</v>
      </c>
      <c r="AW242" s="22" t="str">
        <f>IF(OR(AU242="Y",AV242="Y"),"Y","N")</f>
        <v>Y</v>
      </c>
      <c r="AX242" s="22" t="str">
        <f>CONCATENATE(G242," ",$AX$2)</f>
        <v>RIO LN Equity</v>
      </c>
      <c r="BC242" s="17"/>
      <c r="BD242" s="17"/>
      <c r="BE242" s="18"/>
      <c r="BF242" s="19"/>
      <c r="BG242" s="20"/>
    </row>
    <row r="243" spans="1:59" s="3" customFormat="1" ht="14.45" customHeight="1" x14ac:dyDescent="0.25">
      <c r="A243" s="49" t="s">
        <v>242</v>
      </c>
      <c r="B243" s="49" t="s">
        <v>243</v>
      </c>
      <c r="C243" s="49" t="s">
        <v>244</v>
      </c>
      <c r="D243" s="49" t="s">
        <v>245</v>
      </c>
      <c r="E243" s="22" t="str">
        <f>_xll.BDP(AX243,"SECURITY NAME")</f>
        <v>Samsung Electronics Co Ltd</v>
      </c>
      <c r="F243" s="22" t="str">
        <f>_xll.BDP(AX243,"CRNCY")</f>
        <v>USD</v>
      </c>
      <c r="G243" s="23" t="s">
        <v>123</v>
      </c>
      <c r="H243" s="22" t="str" cm="1">
        <f t="array" ref="H243">IF(OR(_xll.BDP($AX243,"DX202")= "#N/A N/A", _xll.BDP($AX243,"DX202")="#N/A FIELD NOT APPLICABLE"), " ", _xll.BDP($AX243,"DX202"))</f>
        <v>Information Technology</v>
      </c>
      <c r="I243" s="24">
        <f>_xll.BDP(AX243,"CRNCY_ADJ_MKT_CAP", "EQY_FUND_CRNCY=USD")/1000</f>
        <v>229.5635587315</v>
      </c>
      <c r="J243" s="25">
        <f>IFERROR(_xll.BDP(AX243, "DV013")/100,0)</f>
        <v>2.628420307171234E-2</v>
      </c>
      <c r="K243" s="26" t="str" cm="1">
        <f t="array" ref="K243">IF(OR(_xll.BDP($AX243,"RR900")= "#N/A N/A", _xll.BDP($AX243,"RR900")="#N/A FIELD NOT APPLICABLE"), " ", _xll.BDP($AX243,"RR900"))</f>
        <v xml:space="preserve"> </v>
      </c>
      <c r="L243" s="26" cm="1">
        <f t="array" ref="L243">IF(OR(_xll.BDP($AX243,"EE010")= "#N/A N/A", _xll.BDP($AX243,"EE010")="#N/A FIELD NOT APPLICABLE"), " ", _xll.BDP($AX243,"EE010"))</f>
        <v>8.9939454166590949</v>
      </c>
      <c r="M243" s="26" t="str" cm="1">
        <f t="array" ref="M243">IF(OR(_xll.BDP($AX243,"RR903")= "#N/A N/A", _xll.BDP($AX243,"RR903")="#N/A FIELD NOT APPLICABLE"), " ", _xll.BDP($AX243,"RR903"))</f>
        <v xml:space="preserve"> </v>
      </c>
      <c r="N243" s="26" t="str" cm="1">
        <f t="array" ref="N243">IF(OR(_xll.BDP($AX243,"RR957")= "#N/A N/A", _xll.BDP($AX243,"RR957")="#N/A FIELD NOT APPLICABLE"), " ", _xll.BDP($AX243,"RR957"))</f>
        <v xml:space="preserve"> </v>
      </c>
      <c r="O243" s="27">
        <v>146</v>
      </c>
      <c r="P243" s="28">
        <v>1039.1600000000001</v>
      </c>
      <c r="Q243" s="22" cm="1">
        <f t="array" ref="Q243">IF(OR(_xll.BDP($AX243,"PX_last")="#N/A N/A",_xll.BDP($AX243,"PX_Last")="#N/A FIELD NOT APPLICABLE")," ",IF(F243="GBP",(_xll.BDP($AX243,"PX_LAST")/100),(_xll.BDP($AX243,"PX_LAST"))))</f>
        <v>969</v>
      </c>
      <c r="R243" s="29">
        <f>IF(F243="USD",AA243,(((_xll.BDP(F243&amp;"USD CURNCY","PX_LAST")))*AA243))</f>
        <v>151717.36000000002</v>
      </c>
      <c r="S243" s="29">
        <f>IF(F243="USD",AB243,(((_xll.BDP(F243&amp;"USD CURNCY","PX_LAST")))*AB243))</f>
        <v>141474</v>
      </c>
      <c r="T243" s="12">
        <f>S243-R243</f>
        <v>-10243.360000000015</v>
      </c>
      <c r="U243" s="13">
        <f>T243/R243</f>
        <v>-6.7516070672466316E-2</v>
      </c>
      <c r="V243" s="13" cm="1">
        <f t="array" ref="V243">IFERROR(_xll.BDP($G243&amp;" Equity","CHG_PCT_1D")/100,"")</f>
        <v>4.6656300000000005E-3</v>
      </c>
      <c r="W243" s="13" cm="1">
        <f t="array" ref="W243">IFERROR(_xll.BDP($G243&amp;" Equity","CHG_PCT_5D")/100,"")</f>
        <v>5.1867220000000004E-3</v>
      </c>
      <c r="X243" s="13" t="e">
        <f>S243/#REF!</f>
        <v>#REF!</v>
      </c>
      <c r="Y243" s="24">
        <f>IFERROR(S243*J243,0)</f>
        <v>3718.5313453674316</v>
      </c>
      <c r="Z243" s="24">
        <f>S243</f>
        <v>141474</v>
      </c>
      <c r="AA243" s="29">
        <f>P243*O243</f>
        <v>151717.36000000002</v>
      </c>
      <c r="AB243" s="29">
        <f>IFERROR(O243*Q243,0)</f>
        <v>141474</v>
      </c>
      <c r="AC243" s="4" t="e" cm="1">
        <f t="array" ref="AC243">VLOOKUP(IF(NOT(_xll.BDP(AX243,$BW$8)="#N/A N/A"),(_xll.BDP(AX243,$BW$8)),"-"), '[1]Country Codes'!$A$2:$B$253,2,0)</f>
        <v>#N/A</v>
      </c>
      <c r="AD243" s="30" t="str" cm="1">
        <f t="array" ref="AD243">IF(OR(_xll.BDP($AX243,"EX028")= "#N/A N/A", _xll.BDP($AX243,"EX028")="#N/A FIELD NOT APPLICABLE"), " ", _xll.BDP($AX243,"EX028"))</f>
        <v>Equity</v>
      </c>
      <c r="AE243" s="31" t="str">
        <f>IF(("AS97"="Equity"), " ", "Single Line Equity")</f>
        <v>Single Line Equity</v>
      </c>
      <c r="AF243" s="26" t="str" cm="1">
        <f t="array" ref="AF243">IF(OR(_xll.BDP($AX243,"RR908")= "#N/A N/A", _xll.BDP($AX243,"RR908")="#N/A FIELD NOT APPLICABLE"), " ", _xll.BDP($AX243,"RR908"))</f>
        <v xml:space="preserve"> </v>
      </c>
      <c r="AG243" s="26" cm="1">
        <f t="array" ref="AG243">IF(OR(_xll.BDP($AX243,"RR041")= "#N/A N/A", _xll.BDP($AX243,"RR041")="#N/A FIELD NOT APPLICABLE"), " ", _xll.BDP($AX243,"RR041"))</f>
        <v>3.7568481559088727</v>
      </c>
      <c r="AH243" s="22">
        <f>_xll.BDP(AX243,"TOT_BUY_REC")</f>
        <v>6</v>
      </c>
      <c r="AI243" s="22">
        <f>_xll.BDP(AX243,"TOT_HOLD_REC")</f>
        <v>0</v>
      </c>
      <c r="AJ243" s="22">
        <f>_xll.BDP(AX243,"TOT_SELL_REC")</f>
        <v>0</v>
      </c>
      <c r="AK243" s="26" cm="1">
        <f t="array" ref="AK243">IF(OR(_xll.BDP($AX243,"EE201")= "#N/A N/A", _xll.BDP($AX243,"EE201")="#N/A FIELD NOT APPLICABLE"), " ", _xll.BDP($AX243,"EE201"))</f>
        <v>5</v>
      </c>
      <c r="AL243" s="24">
        <f>_xll.BDP(AX243,"BEST_TARGET_PRICE")</f>
        <v>1324.3333740234375</v>
      </c>
      <c r="AM243" s="32">
        <f>(AL243/Q243)-1</f>
        <v>0.36670110838332048</v>
      </c>
      <c r="AN243" s="32">
        <f>_xll.BDP(AX243,"PR061")/100</f>
        <v>4.1935479999999997E-2</v>
      </c>
      <c r="AO243" s="32">
        <f>_xll.BDP(AX243,"PR064")/100</f>
        <v>4.3057049999999999E-2</v>
      </c>
      <c r="AP243" s="32">
        <f>_xll.BDP(AX243,"CHG_PCT_6M")/100</f>
        <v>-3.4860559999999999E-2</v>
      </c>
      <c r="AQ243" s="25">
        <f>_xll.BDP(AX243,"PR079")/100</f>
        <v>6.4835160000000003E-2</v>
      </c>
      <c r="AR243" s="33">
        <f>_xll.BDP(AX243,"hs001")</f>
        <v>1612</v>
      </c>
      <c r="AS243" s="33">
        <f>_xll.BDP(AX243,"hs002")</f>
        <v>866</v>
      </c>
      <c r="AT243" s="22" t="str" cm="1">
        <f t="array" ref="AT243">IF(OR(_xll.BDP($AX243,"DX202")= "#N/A N/A", _xll.BDP($AX243,"DX202")="#N/A FIELD NOT APPLICABLE"), " ", _xll.BDP($AX243,"DX202"))</f>
        <v>Information Technology</v>
      </c>
      <c r="AU243" s="22" t="str" cm="1">
        <f t="array" ref="AU243">IF(OR(_xll.BDP($AX243,"DY997")= "#N/A N/A", _xll.BDP($AX243,"DY997")="#N/A FIELD NOT APPLICABLE"), " ", _xll.BDP($AX243,"DY997"))</f>
        <v>Y</v>
      </c>
      <c r="AV243" s="22" t="str" cm="1">
        <f t="array" ref="AV243">IF(OR(_xll.BDP($AX243,"DY784")= "#N/A N/A", _xll.BDP($AX243,"DY784")="#N/A FIELD NOT APPLICABLE"), " ", _xll.BDP($AX243,"DY784"))</f>
        <v xml:space="preserve"> </v>
      </c>
      <c r="AW243" s="22" t="str">
        <f>IF(OR(AU243="Y",AV243="Y"),"Y","N")</f>
        <v>Y</v>
      </c>
      <c r="AX243" s="22" t="str">
        <f>CONCATENATE(G243," ",$AX$2)</f>
        <v>SMSN.LI Equity</v>
      </c>
      <c r="BC243" s="17" t="str" cm="1">
        <f t="array" ref="BC243">_xll.BDP(AX243,"ID005")</f>
        <v>US7960508882</v>
      </c>
      <c r="BD243" s="17">
        <v>0.7994</v>
      </c>
      <c r="BE243" s="18">
        <v>4</v>
      </c>
      <c r="BF243" s="19"/>
      <c r="BG243" s="20"/>
    </row>
    <row r="244" spans="1:59" s="3" customFormat="1" ht="14.45" customHeight="1" x14ac:dyDescent="0.25">
      <c r="A244" s="49" t="s">
        <v>241</v>
      </c>
      <c r="B244" s="49" t="s">
        <v>238</v>
      </c>
      <c r="C244" s="49" t="s">
        <v>239</v>
      </c>
      <c r="D244" s="49" t="s">
        <v>240</v>
      </c>
      <c r="E244" s="22" t="str">
        <f>_xll.BDP(AX244,"SECURITY NAME")</f>
        <v>SSE PLC</v>
      </c>
      <c r="F244" s="22" t="str">
        <f>_xll.BDP(AX244,"CRNCY")</f>
        <v>GBp</v>
      </c>
      <c r="G244" s="23" t="s">
        <v>343</v>
      </c>
      <c r="H244" s="22" t="str" cm="1">
        <f t="array" ref="H244">IF(OR(_xll.BDP($AX244,"DX202")= "#N/A N/A", _xll.BDP($AX244,"DX202")="#N/A FIELD NOT APPLICABLE"), " ", _xll.BDP($AX244,"DX202"))</f>
        <v>Utilities</v>
      </c>
      <c r="I244" s="24">
        <f>_xll.BDP(AX244,"CRNCY_ADJ_MKT_CAP", "EQY_FUND_CRNCY=USD")/1000</f>
        <v>25.27311788132911</v>
      </c>
      <c r="J244" s="25">
        <f>IFERROR(_xll.BDP(AX244, "DV013")/100,0)</f>
        <v>3.5810415894054683E-2</v>
      </c>
      <c r="K244" s="26" cm="1">
        <f t="array" ref="K244">IF(OR(_xll.BDP($AX244,"RR900")= "#N/A N/A", _xll.BDP($AX244,"RR900")="#N/A FIELD NOT APPLICABLE"), " ", _xll.BDP($AX244,"RR900"))</f>
        <v>9.7156592094671108</v>
      </c>
      <c r="L244" s="26" cm="1">
        <f t="array" ref="L244">IF(OR(_xll.BDP($AX244,"EE010")= "#N/A N/A", _xll.BDP($AX244,"EE010")="#N/A FIELD NOT APPLICABLE"), " ", _xll.BDP($AX244,"EE010"))</f>
        <v>10.714733542319749</v>
      </c>
      <c r="M244" s="26" cm="1">
        <f t="array" ref="M244">IF(OR(_xll.BDP($AX244,"RR903")= "#N/A N/A", _xll.BDP($AX244,"RR903")="#N/A FIELD NOT APPLICABLE"), " ", _xll.BDP($AX244,"RR903"))</f>
        <v>2.0136873996747071</v>
      </c>
      <c r="N244" s="26" cm="1">
        <f t="array" ref="N244">IF(OR(_xll.BDP($AX244,"RR957")= "#N/A N/A", _xll.BDP($AX244,"RR957")="#N/A FIELD NOT APPLICABLE"), " ", _xll.BDP($AX244,"RR957"))</f>
        <v>8.1131456257286114</v>
      </c>
      <c r="O244" s="27">
        <v>1641</v>
      </c>
      <c r="P244" s="28">
        <v>15.924609999999999</v>
      </c>
      <c r="Q244" s="22" cm="1">
        <f t="array" ref="Q244">IF(OR(_xll.BDP($AX244,"PX_last")="#N/A N/A",_xll.BDP($AX244,"PX_Last")="#N/A FIELD NOT APPLICABLE")," ",IF(F244="GBP",(_xll.BDP($AX244,"PX_LAST")/100),(_xll.BDP($AX244,"PX_LAST"))))</f>
        <v>17.09</v>
      </c>
      <c r="R244" s="29">
        <f>IF(F244="USD",AA244,(((_xll.BDP(F244&amp;"USD CURNCY","PX_LAST")))*AA244))</f>
        <v>34931.025372867</v>
      </c>
      <c r="S244" s="29">
        <f>IF(F244="USD",AB244,(((_xll.BDP(F244&amp;"USD CURNCY","PX_LAST")))*AB244))</f>
        <v>37487.337122999998</v>
      </c>
      <c r="T244" s="12">
        <f>S244-R244</f>
        <v>2556.311750132998</v>
      </c>
      <c r="U244" s="13">
        <f>T244/R244</f>
        <v>7.3181698013326482E-2</v>
      </c>
      <c r="V244" s="13" cm="1">
        <f t="array" ref="V244">IFERROR(_xll.BDP($G244&amp;" Equity","CHG_PCT_1D")/100,"")</f>
        <v>1.034585E-2</v>
      </c>
      <c r="W244" s="13" cm="1">
        <f t="array" ref="W244">IFERROR(_xll.BDP($G244&amp;" Equity","CHG_PCT_5D")/100,"")</f>
        <v>5.3962380000000004E-2</v>
      </c>
      <c r="X244" s="13" t="e">
        <f>S244/#REF!</f>
        <v>#REF!</v>
      </c>
      <c r="Y244" s="24">
        <f>IFERROR(S244*J244,0)</f>
        <v>1342.4371331352652</v>
      </c>
      <c r="Z244" s="24">
        <f>S244</f>
        <v>37487.337122999998</v>
      </c>
      <c r="AA244" s="29">
        <f>P244*O244</f>
        <v>26132.28501</v>
      </c>
      <c r="AB244" s="29">
        <f>IFERROR(O244*Q244,0)</f>
        <v>28044.69</v>
      </c>
      <c r="AC244" s="4" t="e" cm="1">
        <f t="array" ref="AC244">VLOOKUP(IF(NOT(_xll.BDP(AX244,$BW$8)="#N/A N/A"),(_xll.BDP(AX244,$BW$8)),"-"), '[1]Country Codes'!$A$2:$B$253,2,0)</f>
        <v>#N/A</v>
      </c>
      <c r="AD244" s="30" t="str" cm="1">
        <f t="array" ref="AD244">IF(OR(_xll.BDP($AX244,"EX028")= "#N/A N/A", _xll.BDP($AX244,"EX028")="#N/A FIELD NOT APPLICABLE"), " ", _xll.BDP($AX244,"EX028"))</f>
        <v>Equity</v>
      </c>
      <c r="AE244" s="31" t="str">
        <f>IF(("AS97"="Equity"), " ", "Single Line Equity")</f>
        <v>Single Line Equity</v>
      </c>
      <c r="AF244" s="26" cm="1">
        <f t="array" ref="AF244">IF(OR(_xll.BDP($AX244,"RR908")= "#N/A N/A", _xll.BDP($AX244,"RR908")="#N/A FIELD NOT APPLICABLE"), " ", _xll.BDP($AX244,"RR908"))</f>
        <v>6.4312134771326699</v>
      </c>
      <c r="AG244" s="26" cm="1">
        <f t="array" ref="AG244">IF(OR(_xll.BDP($AX244,"RR041")= "#N/A N/A", _xll.BDP($AX244,"RR041")="#N/A FIELD NOT APPLICABLE"), " ", _xll.BDP($AX244,"RR041"))</f>
        <v>32.308579352109291</v>
      </c>
      <c r="AH244" s="22">
        <f>_xll.BDP(AX244,"TOT_BUY_REC")</f>
        <v>16</v>
      </c>
      <c r="AI244" s="22">
        <f>_xll.BDP(AX244,"TOT_HOLD_REC")</f>
        <v>1</v>
      </c>
      <c r="AJ244" s="22">
        <f>_xll.BDP(AX244,"TOT_SELL_REC")</f>
        <v>0</v>
      </c>
      <c r="AK244" s="26" cm="1">
        <f t="array" ref="AK244">IF(OR(_xll.BDP($AX244,"EE201")= "#N/A N/A", _xll.BDP($AX244,"EE201")="#N/A FIELD NOT APPLICABLE"), " ", _xll.BDP($AX244,"EE201"))</f>
        <v>4.8235292434692383</v>
      </c>
      <c r="AL244" s="24">
        <f>_xll.BDP(AX244,"BEST_TARGET_PRICE")</f>
        <v>2061.800048828125</v>
      </c>
      <c r="AM244" s="32">
        <f>(AL244/Q244)-1</f>
        <v>119.64365411516238</v>
      </c>
      <c r="AN244" s="32">
        <f>_xll.BDP(AX244,"PR061")/100</f>
        <v>6.7457839999999991E-2</v>
      </c>
      <c r="AO244" s="32">
        <f>_xll.BDP(AX244,"PR064")/100</f>
        <v>8.9576030000000001E-2</v>
      </c>
      <c r="AP244" s="32">
        <f>_xll.BDP(AX244,"CHG_PCT_6M")/100</f>
        <v>-6.3953489999999998E-3</v>
      </c>
      <c r="AQ244" s="25">
        <f>_xll.BDP(AX244,"PR079")/100</f>
        <v>6.5461350000000001E-2</v>
      </c>
      <c r="AR244" s="33">
        <f>_xll.BDP(AX244,"hs001")</f>
        <v>2019</v>
      </c>
      <c r="AS244" s="33">
        <f>_xll.BDP(AX244,"hs002")</f>
        <v>1447.5</v>
      </c>
      <c r="AT244" s="22" t="str" cm="1">
        <f t="array" ref="AT244">IF(OR(_xll.BDP($AX244,"DX202")= "#N/A N/A", _xll.BDP($AX244,"DX202")="#N/A FIELD NOT APPLICABLE"), " ", _xll.BDP($AX244,"DX202"))</f>
        <v>Utilities</v>
      </c>
      <c r="AU244" s="22" t="str" cm="1">
        <f t="array" ref="AU244">IF(OR(_xll.BDP($AX244,"DY997")= "#N/A N/A", _xll.BDP($AX244,"DY997")="#N/A FIELD NOT APPLICABLE"), " ", _xll.BDP($AX244,"DY997"))</f>
        <v>N</v>
      </c>
      <c r="AV244" s="22" t="str" cm="1">
        <f t="array" ref="AV244">IF(OR(_xll.BDP($AX244,"DY784")= "#N/A N/A", _xll.BDP($AX244,"DY784")="#N/A FIELD NOT APPLICABLE"), " ", _xll.BDP($AX244,"DY784"))</f>
        <v>N</v>
      </c>
      <c r="AW244" s="22" t="str">
        <f>IF(OR(AU244="Y",AV244="Y"),"Y","N")</f>
        <v>N</v>
      </c>
      <c r="AX244" s="22" t="str">
        <f>CONCATENATE(G244," ",$AX$2)</f>
        <v>SSE LN Equity</v>
      </c>
      <c r="BC244" s="17" t="str" cm="1">
        <f t="array" ref="BC244">_xll.BDP(AX244,"ID005")</f>
        <v>GB0007908733</v>
      </c>
      <c r="BD244" s="17">
        <v>0.7994</v>
      </c>
      <c r="BE244" s="18">
        <v>4</v>
      </c>
      <c r="BF244" s="19"/>
      <c r="BG244" s="20"/>
    </row>
    <row r="245" spans="1:59" s="3" customFormat="1" ht="14.45" customHeight="1" x14ac:dyDescent="0.25">
      <c r="A245" s="49" t="s">
        <v>242</v>
      </c>
      <c r="B245" s="49" t="s">
        <v>243</v>
      </c>
      <c r="C245" s="49" t="s">
        <v>244</v>
      </c>
      <c r="D245" s="49" t="s">
        <v>245</v>
      </c>
      <c r="E245" s="22" t="str">
        <f>_xll.BDP(AX245,"SECURITY NAME")</f>
        <v>SSE PLC</v>
      </c>
      <c r="F245" s="22" t="str">
        <f>_xll.BDP(AX245,"CRNCY")</f>
        <v>GBp</v>
      </c>
      <c r="G245" s="23" t="s">
        <v>343</v>
      </c>
      <c r="H245" s="22" t="s">
        <v>324</v>
      </c>
      <c r="I245" s="24">
        <v>75.043234349287403</v>
      </c>
      <c r="J245" s="25">
        <v>4.1624019106107128E-2</v>
      </c>
      <c r="K245" s="26">
        <v>23.188291139240508</v>
      </c>
      <c r="L245" s="26">
        <v>7.8663446054750397</v>
      </c>
      <c r="M245" s="26">
        <v>4.3747388632872513</v>
      </c>
      <c r="N245" s="26">
        <v>10.45801185042178</v>
      </c>
      <c r="O245" s="27">
        <v>4624</v>
      </c>
      <c r="P245" s="28">
        <v>15.92</v>
      </c>
      <c r="Q245" s="22" cm="1">
        <f t="array" ref="Q245">IF(OR(_xll.BDP($AX245,"PX_last")="#N/A N/A",_xll.BDP($AX245,"PX_Last")="#N/A FIELD NOT APPLICABLE")," ",IF(F245="GBP",(_xll.BDP($AX245,"PX_LAST")/100),(_xll.BDP($AX245,"PX_LAST"))))</f>
        <v>17.09</v>
      </c>
      <c r="R245" s="29">
        <f>IF(F245="USD",AA245,(((_xll.BDP(F245&amp;"USD CURNCY","PX_LAST")))*AA245))</f>
        <v>98399.940736000004</v>
      </c>
      <c r="S245" s="29">
        <f>IF(F245="USD",AB245,(((_xll.BDP(F245&amp;"USD CURNCY","PX_LAST")))*AB245))</f>
        <v>105631.59467200001</v>
      </c>
      <c r="T245" s="12">
        <f>S245-R245</f>
        <v>7231.6539360000024</v>
      </c>
      <c r="U245" s="13">
        <f>T245/R245</f>
        <v>7.3492462311557816E-2</v>
      </c>
      <c r="V245" s="13" cm="1">
        <f t="array" ref="V245">IFERROR(_xll.BDP($G245&amp;" Equity","CHG_PCT_1D")/100,"")</f>
        <v>1.034585E-2</v>
      </c>
      <c r="W245" s="13" cm="1">
        <f t="array" ref="W245">IFERROR(_xll.BDP($G245&amp;" Equity","CHG_PCT_5D")/100,"")</f>
        <v>5.3962380000000004E-2</v>
      </c>
      <c r="X245" s="13" t="e">
        <f>S245/#REF!</f>
        <v>#REF!</v>
      </c>
      <c r="Y245" s="24">
        <f>IFERROR(S245*J245,0)</f>
        <v>4396.811514835892</v>
      </c>
      <c r="Z245" s="24">
        <f>S245</f>
        <v>105631.59467200001</v>
      </c>
      <c r="AA245" s="29">
        <f>P245*O245</f>
        <v>73614.080000000002</v>
      </c>
      <c r="AB245" s="29">
        <f>IFERROR(O245*Q245,0)</f>
        <v>79024.160000000003</v>
      </c>
      <c r="AC245" s="4" t="e" cm="1">
        <f t="array" ref="AC245">VLOOKUP(IF(NOT(_xll.BDP(AX245,$BW$8)="#N/A N/A"),(_xll.BDP(AX245,$BW$8)),"-"), '[1]Country Codes'!$A$2:$B$253,2,0)</f>
        <v>#N/A</v>
      </c>
      <c r="AD245" s="30" t="str" cm="1">
        <f t="array" ref="AD245">IF(OR(_xll.BDP($AX245,"EX028")= "#N/A N/A", _xll.BDP($AX245,"EX028")="#N/A FIELD NOT APPLICABLE"), " ", _xll.BDP($AX245,"EX028"))</f>
        <v>Equity</v>
      </c>
      <c r="AE245" s="31" t="str">
        <f>IF(("AS97"="Equity"), " ", "Single Line Equity")</f>
        <v>Single Line Equity</v>
      </c>
      <c r="AF245" s="26" cm="1">
        <f t="array" ref="AF245">IF(OR(_xll.BDP($AX245,"RR908")= "#N/A N/A", _xll.BDP($AX245,"RR908")="#N/A FIELD NOT APPLICABLE"), " ", _xll.BDP($AX245,"RR908"))</f>
        <v>6.4312134771326699</v>
      </c>
      <c r="AG245" s="26" cm="1">
        <f t="array" ref="AG245">IF(OR(_xll.BDP($AX245,"RR041")= "#N/A N/A", _xll.BDP($AX245,"RR041")="#N/A FIELD NOT APPLICABLE"), " ", _xll.BDP($AX245,"RR041"))</f>
        <v>32.308579352109291</v>
      </c>
      <c r="AH245" s="22">
        <f>_xll.BDP(AX245,"TOT_BUY_REC")</f>
        <v>16</v>
      </c>
      <c r="AI245" s="22">
        <f>_xll.BDP(AX245,"TOT_HOLD_REC")</f>
        <v>1</v>
      </c>
      <c r="AJ245" s="22">
        <f>_xll.BDP(AX245,"TOT_SELL_REC")</f>
        <v>0</v>
      </c>
      <c r="AK245" s="26" cm="1">
        <f t="array" ref="AK245">IF(OR(_xll.BDP($AX245,"EE201")= "#N/A N/A", _xll.BDP($AX245,"EE201")="#N/A FIELD NOT APPLICABLE"), " ", _xll.BDP($AX245,"EE201"))</f>
        <v>4.8235292434692383</v>
      </c>
      <c r="AL245" s="24">
        <f>_xll.BDP(AX245,"BEST_TARGET_PRICE")</f>
        <v>2061.800048828125</v>
      </c>
      <c r="AM245" s="32">
        <f>(AL245/Q245)-1</f>
        <v>119.64365411516238</v>
      </c>
      <c r="AN245" s="32">
        <f>_xll.BDP(AX245,"PR061")/100</f>
        <v>6.7457839999999991E-2</v>
      </c>
      <c r="AO245" s="32">
        <f>_xll.BDP(AX245,"PR064")/100</f>
        <v>8.9576030000000001E-2</v>
      </c>
      <c r="AP245" s="32">
        <f>_xll.BDP(AX245,"CHG_PCT_6M")/100</f>
        <v>-6.3953489999999998E-3</v>
      </c>
      <c r="AQ245" s="25">
        <f>_xll.BDP(AX245,"PR079")/100</f>
        <v>6.5461350000000001E-2</v>
      </c>
      <c r="AR245" s="33">
        <f>_xll.BDP(AX245,"hs001")</f>
        <v>2019</v>
      </c>
      <c r="AS245" s="33">
        <f>_xll.BDP(AX245,"hs002")</f>
        <v>1447.5</v>
      </c>
      <c r="AT245" s="22" t="str" cm="1">
        <f t="array" ref="AT245">IF(OR(_xll.BDP($AX245,"DX202")= "#N/A N/A", _xll.BDP($AX245,"DX202")="#N/A FIELD NOT APPLICABLE"), " ", _xll.BDP($AX245,"DX202"))</f>
        <v>Utilities</v>
      </c>
      <c r="AU245" s="22" t="str" cm="1">
        <f t="array" ref="AU245">IF(OR(_xll.BDP($AX245,"DY997")= "#N/A N/A", _xll.BDP($AX245,"DY997")="#N/A FIELD NOT APPLICABLE"), " ", _xll.BDP($AX245,"DY997"))</f>
        <v>N</v>
      </c>
      <c r="AV245" s="22" t="str" cm="1">
        <f t="array" ref="AV245">IF(OR(_xll.BDP($AX245,"DY784")= "#N/A N/A", _xll.BDP($AX245,"DY784")="#N/A FIELD NOT APPLICABLE"), " ", _xll.BDP($AX245,"DY784"))</f>
        <v>N</v>
      </c>
      <c r="AW245" s="22" t="str">
        <f>IF(OR(AU245="Y",AV245="Y"),"Y","N")</f>
        <v>N</v>
      </c>
      <c r="AX245" s="22" t="str">
        <f>CONCATENATE(G245," ",$AX$2)</f>
        <v>SSE LN Equity</v>
      </c>
      <c r="BC245" s="17" t="str" cm="1">
        <f t="array" ref="BC245">_xll.BDP(AX245,"ID005")</f>
        <v>GB0007908733</v>
      </c>
      <c r="BD245" s="17">
        <v>0.7994</v>
      </c>
      <c r="BE245" s="18">
        <v>4</v>
      </c>
      <c r="BF245" s="19"/>
      <c r="BG245" s="20"/>
    </row>
    <row r="246" spans="1:59" s="3" customFormat="1" ht="14.45" customHeight="1" x14ac:dyDescent="0.25">
      <c r="A246" s="49" t="s">
        <v>242</v>
      </c>
      <c r="B246" s="49" t="s">
        <v>327</v>
      </c>
      <c r="C246" s="49">
        <v>4371511</v>
      </c>
      <c r="D246" s="49" t="s">
        <v>248</v>
      </c>
      <c r="E246" s="22" t="str">
        <f>_xll.BDP(AX246,"SECURITY NAME")</f>
        <v>SSE PLC</v>
      </c>
      <c r="F246" s="22" t="str">
        <f>_xll.BDP(AX246,"CRNCY")</f>
        <v>GBp</v>
      </c>
      <c r="G246" s="23" t="s">
        <v>343</v>
      </c>
      <c r="H246" s="22" t="str" cm="1">
        <f t="array" ref="H246">IF(OR(_xll.BDP($AX246,"DX202")= "#N/A N/A", _xll.BDP($AX246,"DX202")="#N/A FIELD NOT APPLICABLE"), " ", _xll.BDP($AX246,"DX202"))</f>
        <v>Utilities</v>
      </c>
      <c r="I246" s="24">
        <f>_xll.BDP(AX246,"CRNCY_ADJ_MKT_CAP", "EQY_FUND_CRNCY=USD")/1000</f>
        <v>25.27311788132911</v>
      </c>
      <c r="J246" s="25">
        <f>IFERROR(_xll.BDP(AX246, "DV013")/100,0)</f>
        <v>3.5810415894054683E-2</v>
      </c>
      <c r="K246" s="26" cm="1">
        <f t="array" ref="K246">IF(OR(_xll.BDP($AX246,"RR900")= "#N/A N/A", _xll.BDP($AX246,"RR900")="#N/A FIELD NOT APPLICABLE"), " ", _xll.BDP($AX246,"RR900"))</f>
        <v>9.7156592094671108</v>
      </c>
      <c r="L246" s="26" cm="1">
        <f t="array" ref="L246">IF(OR(_xll.BDP($AX246,"EE010")= "#N/A N/A", _xll.BDP($AX246,"EE010")="#N/A FIELD NOT APPLICABLE"), " ", _xll.BDP($AX246,"EE010"))</f>
        <v>10.714733542319749</v>
      </c>
      <c r="M246" s="26" cm="1">
        <f t="array" ref="M246">IF(OR(_xll.BDP($AX246,"RR903")= "#N/A N/A", _xll.BDP($AX246,"RR903")="#N/A FIELD NOT APPLICABLE"), " ", _xll.BDP($AX246,"RR903"))</f>
        <v>2.0136873996747071</v>
      </c>
      <c r="N246" s="26" cm="1">
        <f t="array" ref="N246">IF(OR(_xll.BDP($AX246,"RR957")= "#N/A N/A", _xll.BDP($AX246,"RR957")="#N/A FIELD NOT APPLICABLE"), " ", _xll.BDP($AX246,"RR957"))</f>
        <v>8.1131456257286114</v>
      </c>
      <c r="O246" s="27">
        <v>6479</v>
      </c>
      <c r="P246" s="28">
        <v>15.65</v>
      </c>
      <c r="Q246" s="22" cm="1">
        <f t="array" ref="Q246">IF(OR(_xll.BDP($AX246,"PX_last")="#N/A N/A",_xll.BDP($AX246,"PX_Last")="#N/A FIELD NOT APPLICABLE")," ",IF(F246="GBP",(_xll.BDP($AX246,"PX_LAST")/100),(_xll.BDP($AX246,"PX_LAST"))))</f>
        <v>17.09</v>
      </c>
      <c r="R246" s="29">
        <f>IF(F246="USD",AA246,(((_xll.BDP(F246&amp;"USD CURNCY","PX_LAST")))*AA246))</f>
        <v>135536.50104500001</v>
      </c>
      <c r="S246" s="29">
        <f>IF(F246="USD",AB246,(((_xll.BDP(F246&amp;"USD CURNCY","PX_LAST")))*AB246))</f>
        <v>148007.59123700002</v>
      </c>
      <c r="T246" s="12">
        <f>S246-R246</f>
        <v>12471.090192000003</v>
      </c>
      <c r="U246" s="13">
        <f>T246/R246</f>
        <v>9.2012779552715668E-2</v>
      </c>
      <c r="V246" s="13" cm="1">
        <f t="array" ref="V246">IFERROR(_xll.BDP($G246&amp;" Equity","CHG_PCT_1D")/100,"")</f>
        <v>1.034585E-2</v>
      </c>
      <c r="W246" s="13" cm="1">
        <f t="array" ref="W246">IFERROR(_xll.BDP($G246&amp;" Equity","CHG_PCT_5D")/100,"")</f>
        <v>5.3962380000000004E-2</v>
      </c>
      <c r="X246" s="13" t="e">
        <f>S246/#REF!</f>
        <v>#REF!</v>
      </c>
      <c r="Y246" s="24">
        <f>IFERROR(S246*J246,0)</f>
        <v>5300.2133976742143</v>
      </c>
      <c r="Z246" s="24">
        <f>S246</f>
        <v>148007.59123700002</v>
      </c>
      <c r="AA246" s="29">
        <f>P246*O246</f>
        <v>101396.35</v>
      </c>
      <c r="AB246" s="29">
        <f>IFERROR(O246*Q246,0)</f>
        <v>110726.11</v>
      </c>
      <c r="AC246" s="4" t="e" cm="1">
        <f t="array" ref="AC246">VLOOKUP(IF(NOT(_xll.BDP(AX246,$BW$8)="#N/A N/A"),(_xll.BDP(AX246,$BW$8)),"-"), '[1]Country Codes'!$A$2:$B$253,2,0)</f>
        <v>#N/A</v>
      </c>
      <c r="AD246" s="30" t="str" cm="1">
        <f t="array" ref="AD246">IF(OR(_xll.BDP($AX246,"EX028")= "#N/A N/A", _xll.BDP($AX246,"EX028")="#N/A FIELD NOT APPLICABLE"), " ", _xll.BDP($AX246,"EX028"))</f>
        <v>Equity</v>
      </c>
      <c r="AE246" s="31" t="str">
        <f>IF(("AS97"="Equity"), " ", "Single Line Equity")</f>
        <v>Single Line Equity</v>
      </c>
      <c r="AF246" s="26" cm="1">
        <f t="array" ref="AF246">IF(OR(_xll.BDP($AX246,"RR908")= "#N/A N/A", _xll.BDP($AX246,"RR908")="#N/A FIELD NOT APPLICABLE"), " ", _xll.BDP($AX246,"RR908"))</f>
        <v>6.4312134771326699</v>
      </c>
      <c r="AG246" s="26" cm="1">
        <f t="array" ref="AG246">IF(OR(_xll.BDP($AX246,"RR041")= "#N/A N/A", _xll.BDP($AX246,"RR041")="#N/A FIELD NOT APPLICABLE"), " ", _xll.BDP($AX246,"RR041"))</f>
        <v>32.308579352109291</v>
      </c>
      <c r="AH246" s="22">
        <f>_xll.BDP(AX246,"TOT_BUY_REC")</f>
        <v>16</v>
      </c>
      <c r="AI246" s="22">
        <f>_xll.BDP(AX246,"TOT_HOLD_REC")</f>
        <v>1</v>
      </c>
      <c r="AJ246" s="22">
        <f>_xll.BDP(AX246,"TOT_SELL_REC")</f>
        <v>0</v>
      </c>
      <c r="AK246" s="26" cm="1">
        <f t="array" ref="AK246">IF(OR(_xll.BDP($AX246,"EE201")= "#N/A N/A", _xll.BDP($AX246,"EE201")="#N/A FIELD NOT APPLICABLE"), " ", _xll.BDP($AX246,"EE201"))</f>
        <v>4.8235292434692383</v>
      </c>
      <c r="AL246" s="24">
        <f>_xll.BDP(AX246,"BEST_TARGET_PRICE")</f>
        <v>2061.800048828125</v>
      </c>
      <c r="AM246" s="32">
        <f>(AL246/Q246)-1</f>
        <v>119.64365411516238</v>
      </c>
      <c r="AN246" s="32">
        <f>_xll.BDP(AX246,"PR061")/100</f>
        <v>6.7457839999999991E-2</v>
      </c>
      <c r="AO246" s="32">
        <f>_xll.BDP(AX246,"PR064")/100</f>
        <v>8.9576030000000001E-2</v>
      </c>
      <c r="AP246" s="32">
        <f>_xll.BDP(AX246,"CHG_PCT_6M")/100</f>
        <v>-6.3953489999999998E-3</v>
      </c>
      <c r="AQ246" s="25">
        <f>_xll.BDP(AX246,"PR079")/100</f>
        <v>6.5461350000000001E-2</v>
      </c>
      <c r="AR246" s="33">
        <f>_xll.BDP(AX246,"hs001")</f>
        <v>2019</v>
      </c>
      <c r="AS246" s="33">
        <f>_xll.BDP(AX246,"hs002")</f>
        <v>1447.5</v>
      </c>
      <c r="AT246" s="22" t="str" cm="1">
        <f t="array" ref="AT246">IF(OR(_xll.BDP($AX246,"DX202")= "#N/A N/A", _xll.BDP($AX246,"DX202")="#N/A FIELD NOT APPLICABLE"), " ", _xll.BDP($AX246,"DX202"))</f>
        <v>Utilities</v>
      </c>
      <c r="AU246" s="22" t="str" cm="1">
        <f t="array" ref="AU246">IF(OR(_xll.BDP($AX246,"DY997")= "#N/A N/A", _xll.BDP($AX246,"DY997")="#N/A FIELD NOT APPLICABLE"), " ", _xll.BDP($AX246,"DY997"))</f>
        <v>N</v>
      </c>
      <c r="AV246" s="22" t="str" cm="1">
        <f t="array" ref="AV246">IF(OR(_xll.BDP($AX246,"DY784")= "#N/A N/A", _xll.BDP($AX246,"DY784")="#N/A FIELD NOT APPLICABLE"), " ", _xll.BDP($AX246,"DY784"))</f>
        <v>N</v>
      </c>
      <c r="AW246" s="22" t="str">
        <f>IF(OR(AU246="Y",AV246="Y"),"Y","N")</f>
        <v>N</v>
      </c>
      <c r="AX246" s="22" t="str">
        <f>CONCATENATE(G246," ",$AX$2)</f>
        <v>SSE LN Equity</v>
      </c>
      <c r="BC246" s="17" t="str" cm="1">
        <f t="array" ref="BC246">_xll.BDP(AX246,"ID005")</f>
        <v>GB0007908733</v>
      </c>
      <c r="BD246" s="17">
        <v>0.67410000000000003</v>
      </c>
      <c r="BE246" s="18">
        <v>5</v>
      </c>
      <c r="BF246" s="19"/>
      <c r="BG246" s="20"/>
    </row>
    <row r="247" spans="1:59" s="3" customFormat="1" ht="14.45" customHeight="1" x14ac:dyDescent="0.25">
      <c r="A247" s="49" t="s">
        <v>241</v>
      </c>
      <c r="B247" s="49" t="s">
        <v>249</v>
      </c>
      <c r="C247" s="49" t="s">
        <v>250</v>
      </c>
      <c r="D247" s="49" t="s">
        <v>240</v>
      </c>
      <c r="E247" s="22" t="str">
        <f>_xll.BDP(AX247,"SECURITY NAME")</f>
        <v>SSE PLC</v>
      </c>
      <c r="F247" s="22" t="str">
        <f>_xll.BDP(AX247,"CRNCY")</f>
        <v>GBp</v>
      </c>
      <c r="G247" s="23" t="s">
        <v>343</v>
      </c>
      <c r="H247" s="22" t="str" cm="1">
        <f t="array" ref="H247">IF(OR(_xll.BDP($AX247,"DX202")= "#N/A N/A", _xll.BDP($AX247,"DX202")="#N/A FIELD NOT APPLICABLE"), " ", _xll.BDP($AX247,"DX202"))</f>
        <v>Utilities</v>
      </c>
      <c r="I247" s="24">
        <f>_xll.BDP(AX247,"CRNCY_ADJ_MKT_CAP", "EQY_FUND_CRNCY=USD")/1000</f>
        <v>25.27311788132911</v>
      </c>
      <c r="J247" s="25">
        <f>IFERROR(_xll.BDP(AX247, "DV013")/100,0)</f>
        <v>3.5810415894054683E-2</v>
      </c>
      <c r="K247" s="26" cm="1">
        <f t="array" ref="K247">IF(OR(_xll.BDP($AX247,"RR900")= "#N/A N/A", _xll.BDP($AX247,"RR900")="#N/A FIELD NOT APPLICABLE"), " ", _xll.BDP($AX247,"RR900"))</f>
        <v>9.7156592094671108</v>
      </c>
      <c r="L247" s="26" cm="1">
        <f t="array" ref="L247">IF(OR(_xll.BDP($AX247,"EE010")= "#N/A N/A", _xll.BDP($AX247,"EE010")="#N/A FIELD NOT APPLICABLE"), " ", _xll.BDP($AX247,"EE010"))</f>
        <v>10.714733542319749</v>
      </c>
      <c r="M247" s="26" cm="1">
        <f t="array" ref="M247">IF(OR(_xll.BDP($AX247,"RR903")= "#N/A N/A", _xll.BDP($AX247,"RR903")="#N/A FIELD NOT APPLICABLE"), " ", _xll.BDP($AX247,"RR903"))</f>
        <v>2.0136873996747071</v>
      </c>
      <c r="N247" s="26" cm="1">
        <f t="array" ref="N247">IF(OR(_xll.BDP($AX247,"RR957")= "#N/A N/A", _xll.BDP($AX247,"RR957")="#N/A FIELD NOT APPLICABLE"), " ", _xll.BDP($AX247,"RR957"))</f>
        <v>8.1131456257286114</v>
      </c>
      <c r="O247" s="27">
        <v>3418</v>
      </c>
      <c r="P247" s="28">
        <v>15.924609999999999</v>
      </c>
      <c r="Q247" s="22" cm="1">
        <f t="array" ref="Q247">IF(OR(_xll.BDP($AX247,"PX_last")="#N/A N/A",_xll.BDP($AX247,"PX_Last")="#N/A FIELD NOT APPLICABLE")," ",IF(F247="GBP",(_xll.BDP($AX247,"PX_LAST")/100),(_xll.BDP($AX247,"PX_LAST"))))</f>
        <v>17.09</v>
      </c>
      <c r="R247" s="29">
        <f>IF(F247="USD",AA247,(((_xll.BDP(F247&amp;"USD CURNCY","PX_LAST")))*AA247))</f>
        <v>72757.004707165994</v>
      </c>
      <c r="S247" s="29">
        <f>IF(F247="USD",AB247,(((_xll.BDP(F247&amp;"USD CURNCY","PX_LAST")))*AB247))</f>
        <v>78081.485853999999</v>
      </c>
      <c r="T247" s="12">
        <f>S247-R247</f>
        <v>5324.4811468340049</v>
      </c>
      <c r="U247" s="13">
        <f>T247/R247</f>
        <v>7.3181698013326621E-2</v>
      </c>
      <c r="V247" s="13" cm="1">
        <f t="array" ref="V247">IFERROR(_xll.BDP($G247&amp;" Equity","CHG_PCT_1D")/100,"")</f>
        <v>1.034585E-2</v>
      </c>
      <c r="W247" s="13" cm="1">
        <f t="array" ref="W247">IFERROR(_xll.BDP($G247&amp;" Equity","CHG_PCT_5D")/100,"")</f>
        <v>5.3962380000000004E-2</v>
      </c>
      <c r="X247" s="13" t="e">
        <f>S247/#REF!</f>
        <v>#REF!</v>
      </c>
      <c r="Y247" s="24">
        <f>IFERROR(S247*J247,0)</f>
        <v>2796.1304820574874</v>
      </c>
      <c r="Z247" s="24">
        <f>S247</f>
        <v>78081.485853999999</v>
      </c>
      <c r="AA247" s="29">
        <f>P247*O247</f>
        <v>54430.316979999996</v>
      </c>
      <c r="AB247" s="29">
        <f>IFERROR(O247*Q247,0)</f>
        <v>58413.62</v>
      </c>
      <c r="AC247" s="4" t="e" cm="1">
        <f t="array" ref="AC247">VLOOKUP(IF(NOT(_xll.BDP(AX247,$BW$8)="#N/A N/A"),(_xll.BDP(AX247,$BW$8)),"-"), '[1]Country Codes'!$A$2:$B$253,2,0)</f>
        <v>#N/A</v>
      </c>
      <c r="AD247" s="30" t="str" cm="1">
        <f t="array" ref="AD247">IF(OR(_xll.BDP($AX247,"EX028")= "#N/A N/A", _xll.BDP($AX247,"EX028")="#N/A FIELD NOT APPLICABLE"), " ", _xll.BDP($AX247,"EX028"))</f>
        <v>Equity</v>
      </c>
      <c r="AE247" s="31" t="str">
        <f>IF(("AS97"="Equity"), " ", "Single Line Equity")</f>
        <v>Single Line Equity</v>
      </c>
      <c r="AF247" s="26" cm="1">
        <f t="array" ref="AF247">IF(OR(_xll.BDP($AX247,"RR908")= "#N/A N/A", _xll.BDP($AX247,"RR908")="#N/A FIELD NOT APPLICABLE"), " ", _xll.BDP($AX247,"RR908"))</f>
        <v>6.4312134771326699</v>
      </c>
      <c r="AG247" s="26" cm="1">
        <f t="array" ref="AG247">IF(OR(_xll.BDP($AX247,"RR041")= "#N/A N/A", _xll.BDP($AX247,"RR041")="#N/A FIELD NOT APPLICABLE"), " ", _xll.BDP($AX247,"RR041"))</f>
        <v>32.308579352109291</v>
      </c>
      <c r="AH247" s="22">
        <f>_xll.BDP(AX247,"TOT_BUY_REC")</f>
        <v>16</v>
      </c>
      <c r="AI247" s="22">
        <f>_xll.BDP(AX247,"TOT_HOLD_REC")</f>
        <v>1</v>
      </c>
      <c r="AJ247" s="22">
        <f>_xll.BDP(AX247,"TOT_SELL_REC")</f>
        <v>0</v>
      </c>
      <c r="AK247" s="26" cm="1">
        <f t="array" ref="AK247">IF(OR(_xll.BDP($AX247,"EE201")= "#N/A N/A", _xll.BDP($AX247,"EE201")="#N/A FIELD NOT APPLICABLE"), " ", _xll.BDP($AX247,"EE201"))</f>
        <v>4.8235292434692383</v>
      </c>
      <c r="AL247" s="24">
        <f>_xll.BDP(AX247,"BEST_TARGET_PRICE")</f>
        <v>2061.800048828125</v>
      </c>
      <c r="AM247" s="32">
        <f>(AL247/Q247)-1</f>
        <v>119.64365411516238</v>
      </c>
      <c r="AN247" s="32">
        <f>_xll.BDP(AX247,"PR061")/100</f>
        <v>6.7457839999999991E-2</v>
      </c>
      <c r="AO247" s="32">
        <f>_xll.BDP(AX247,"PR064")/100</f>
        <v>8.9576030000000001E-2</v>
      </c>
      <c r="AP247" s="32">
        <f>_xll.BDP(AX247,"CHG_PCT_6M")/100</f>
        <v>-6.3953489999999998E-3</v>
      </c>
      <c r="AQ247" s="25">
        <f>_xll.BDP(AX247,"PR079")/100</f>
        <v>6.5461350000000001E-2</v>
      </c>
      <c r="AR247" s="33">
        <f>_xll.BDP(AX247,"hs001")</f>
        <v>2019</v>
      </c>
      <c r="AS247" s="33">
        <f>_xll.BDP(AX247,"hs002")</f>
        <v>1447.5</v>
      </c>
      <c r="AT247" s="22" t="str" cm="1">
        <f t="array" ref="AT247">IF(OR(_xll.BDP($AX247,"DX202")= "#N/A N/A", _xll.BDP($AX247,"DX202")="#N/A FIELD NOT APPLICABLE"), " ", _xll.BDP($AX247,"DX202"))</f>
        <v>Utilities</v>
      </c>
      <c r="AU247" s="22" t="str" cm="1">
        <f t="array" ref="AU247">IF(OR(_xll.BDP($AX247,"DY997")= "#N/A N/A", _xll.BDP($AX247,"DY997")="#N/A FIELD NOT APPLICABLE"), " ", _xll.BDP($AX247,"DY997"))</f>
        <v>N</v>
      </c>
      <c r="AV247" s="22" t="str" cm="1">
        <f t="array" ref="AV247">IF(OR(_xll.BDP($AX247,"DY784")= "#N/A N/A", _xll.BDP($AX247,"DY784")="#N/A FIELD NOT APPLICABLE"), " ", _xll.BDP($AX247,"DY784"))</f>
        <v>N</v>
      </c>
      <c r="AW247" s="22" t="str">
        <f>IF(OR(AU247="Y",AV247="Y"),"Y","N")</f>
        <v>N</v>
      </c>
      <c r="AX247" s="22" t="str">
        <f>CONCATENATE(G247," ",$AX$2)</f>
        <v>SSE LN Equity</v>
      </c>
      <c r="BC247" s="17" t="str" cm="1">
        <f t="array" ref="BC247">_xll.BDP(AX247,"ID005")</f>
        <v>GB0007908733</v>
      </c>
      <c r="BD247" s="17">
        <v>0.56999999999999995</v>
      </c>
      <c r="BE247" s="18">
        <v>4</v>
      </c>
      <c r="BF247" s="19">
        <v>45639</v>
      </c>
      <c r="BG247" s="20">
        <v>1</v>
      </c>
    </row>
    <row r="248" spans="1:59" s="3" customFormat="1" ht="14.45" customHeight="1" x14ac:dyDescent="0.25">
      <c r="A248" s="49" t="s">
        <v>241</v>
      </c>
      <c r="B248" s="49" t="s">
        <v>251</v>
      </c>
      <c r="C248" s="49" t="s">
        <v>252</v>
      </c>
      <c r="D248" s="49" t="s">
        <v>240</v>
      </c>
      <c r="E248" s="22" t="str">
        <f>_xll.BDP(AX248,"SECURITY NAME")</f>
        <v>SSE PLC</v>
      </c>
      <c r="F248" s="22" t="str">
        <f>_xll.BDP(AX248,"CRNCY")</f>
        <v>GBp</v>
      </c>
      <c r="G248" s="23" t="s">
        <v>343</v>
      </c>
      <c r="H248" s="22" t="str" cm="1">
        <f t="array" ref="H248">IF(OR(_xll.BDP($AX248,"DX202")= "#N/A N/A", _xll.BDP($AX248,"DX202")="#N/A FIELD NOT APPLICABLE"), " ", _xll.BDP($AX248,"DX202"))</f>
        <v>Utilities</v>
      </c>
      <c r="I248" s="24">
        <f>_xll.BDP(AX248,"CRNCY_ADJ_MKT_CAP", "EQY_FUND_CRNCY=USD")/1000</f>
        <v>25.27311788132911</v>
      </c>
      <c r="J248" s="25">
        <f>IFERROR(_xll.BDP(AX248, "DV013")/100,0)</f>
        <v>3.5810415894054683E-2</v>
      </c>
      <c r="K248" s="26" cm="1">
        <f t="array" ref="K248">IF(OR(_xll.BDP($AX248,"RR900")= "#N/A N/A", _xll.BDP($AX248,"RR900")="#N/A FIELD NOT APPLICABLE"), " ", _xll.BDP($AX248,"RR900"))</f>
        <v>9.7156592094671108</v>
      </c>
      <c r="L248" s="26" cm="1">
        <f t="array" ref="L248">IF(OR(_xll.BDP($AX248,"EE010")= "#N/A N/A", _xll.BDP($AX248,"EE010")="#N/A FIELD NOT APPLICABLE"), " ", _xll.BDP($AX248,"EE010"))</f>
        <v>10.714733542319749</v>
      </c>
      <c r="M248" s="26" cm="1">
        <f t="array" ref="M248">IF(OR(_xll.BDP($AX248,"RR903")= "#N/A N/A", _xll.BDP($AX248,"RR903")="#N/A FIELD NOT APPLICABLE"), " ", _xll.BDP($AX248,"RR903"))</f>
        <v>2.0136873996747071</v>
      </c>
      <c r="N248" s="26" cm="1">
        <f t="array" ref="N248">IF(OR(_xll.BDP($AX248,"RR957")= "#N/A N/A", _xll.BDP($AX248,"RR957")="#N/A FIELD NOT APPLICABLE"), " ", _xll.BDP($AX248,"RR957"))</f>
        <v>8.1131456257286114</v>
      </c>
      <c r="O248" s="27">
        <v>3935</v>
      </c>
      <c r="P248" s="28">
        <v>15.924609999999999</v>
      </c>
      <c r="Q248" s="22" cm="1">
        <f t="array" ref="Q248">IF(OR(_xll.BDP($AX248,"PX_last")="#N/A N/A",_xll.BDP($AX248,"PX_Last")="#N/A FIELD NOT APPLICABLE")," ",IF(F248="GBP",(_xll.BDP($AX248,"PX_LAST")/100),(_xll.BDP($AX248,"PX_LAST"))))</f>
        <v>17.09</v>
      </c>
      <c r="R248" s="29">
        <f>IF(F248="USD",AA248,(((_xll.BDP(F248&amp;"USD CURNCY","PX_LAST")))*AA248))</f>
        <v>83762.087045844994</v>
      </c>
      <c r="S248" s="29">
        <f>IF(F248="USD",AB248,(((_xll.BDP(F248&amp;"USD CURNCY","PX_LAST")))*AB248))</f>
        <v>89891.938804999998</v>
      </c>
      <c r="T248" s="12">
        <f>S248-R248</f>
        <v>6129.8517591550044</v>
      </c>
      <c r="U248" s="13">
        <f>T248/R248</f>
        <v>7.3181698013326607E-2</v>
      </c>
      <c r="V248" s="13" cm="1">
        <f t="array" ref="V248">IFERROR(_xll.BDP($G248&amp;" Equity","CHG_PCT_1D")/100,"")</f>
        <v>1.034585E-2</v>
      </c>
      <c r="W248" s="13" cm="1">
        <f t="array" ref="W248">IFERROR(_xll.BDP($G248&amp;" Equity","CHG_PCT_5D")/100,"")</f>
        <v>5.3962380000000004E-2</v>
      </c>
      <c r="X248" s="13" t="e">
        <f>S248/#REF!</f>
        <v>#REF!</v>
      </c>
      <c r="Y248" s="24">
        <f>IFERROR(S248*J248,0)</f>
        <v>3219.067714129963</v>
      </c>
      <c r="Z248" s="24">
        <f>S248</f>
        <v>89891.938804999998</v>
      </c>
      <c r="AA248" s="29">
        <f>P248*O248</f>
        <v>62663.340349999999</v>
      </c>
      <c r="AB248" s="29">
        <f>IFERROR(O248*Q248,0)</f>
        <v>67249.149999999994</v>
      </c>
      <c r="AC248" s="4" t="e" cm="1">
        <f t="array" ref="AC248">VLOOKUP(IF(NOT(_xll.BDP(AX248,$BW$8)="#N/A N/A"),(_xll.BDP(AX248,$BW$8)),"-"), '[1]Country Codes'!$A$2:$B$253,2,0)</f>
        <v>#N/A</v>
      </c>
      <c r="AD248" s="30" t="str" cm="1">
        <f t="array" ref="AD248">IF(OR(_xll.BDP($AX248,"EX028")= "#N/A N/A", _xll.BDP($AX248,"EX028")="#N/A FIELD NOT APPLICABLE"), " ", _xll.BDP($AX248,"EX028"))</f>
        <v>Equity</v>
      </c>
      <c r="AE248" s="31" t="str">
        <f>IF(("AS97"="Equity"), " ", "Single Line Equity")</f>
        <v>Single Line Equity</v>
      </c>
      <c r="AF248" s="26" cm="1">
        <f t="array" ref="AF248">IF(OR(_xll.BDP($AX248,"RR908")= "#N/A N/A", _xll.BDP($AX248,"RR908")="#N/A FIELD NOT APPLICABLE"), " ", _xll.BDP($AX248,"RR908"))</f>
        <v>6.4312134771326699</v>
      </c>
      <c r="AG248" s="26" cm="1">
        <f t="array" ref="AG248">IF(OR(_xll.BDP($AX248,"RR041")= "#N/A N/A", _xll.BDP($AX248,"RR041")="#N/A FIELD NOT APPLICABLE"), " ", _xll.BDP($AX248,"RR041"))</f>
        <v>32.308579352109291</v>
      </c>
      <c r="AH248" s="22">
        <f>_xll.BDP(AX248,"TOT_BUY_REC")</f>
        <v>16</v>
      </c>
      <c r="AI248" s="22">
        <f>_xll.BDP(AX248,"TOT_HOLD_REC")</f>
        <v>1</v>
      </c>
      <c r="AJ248" s="22">
        <f>_xll.BDP(AX248,"TOT_SELL_REC")</f>
        <v>0</v>
      </c>
      <c r="AK248" s="26" cm="1">
        <f t="array" ref="AK248">IF(OR(_xll.BDP($AX248,"EE201")= "#N/A N/A", _xll.BDP($AX248,"EE201")="#N/A FIELD NOT APPLICABLE"), " ", _xll.BDP($AX248,"EE201"))</f>
        <v>4.8235292434692383</v>
      </c>
      <c r="AL248" s="24">
        <f>_xll.BDP(AX248,"BEST_TARGET_PRICE")</f>
        <v>2061.800048828125</v>
      </c>
      <c r="AM248" s="32">
        <f>(AL248/Q248)-1</f>
        <v>119.64365411516238</v>
      </c>
      <c r="AN248" s="32">
        <f>_xll.BDP(AX248,"PR061")/100</f>
        <v>6.7457839999999991E-2</v>
      </c>
      <c r="AO248" s="32">
        <f>_xll.BDP(AX248,"PR064")/100</f>
        <v>8.9576030000000001E-2</v>
      </c>
      <c r="AP248" s="32">
        <f>_xll.BDP(AX248,"CHG_PCT_6M")/100</f>
        <v>-6.3953489999999998E-3</v>
      </c>
      <c r="AQ248" s="25">
        <f>_xll.BDP(AX248,"PR079")/100</f>
        <v>6.5461350000000001E-2</v>
      </c>
      <c r="AR248" s="33">
        <f>_xll.BDP(AX248,"hs001")</f>
        <v>2019</v>
      </c>
      <c r="AS248" s="33">
        <f>_xll.BDP(AX248,"hs002")</f>
        <v>1447.5</v>
      </c>
      <c r="AT248" s="22" t="str" cm="1">
        <f t="array" ref="AT248">IF(OR(_xll.BDP($AX248,"DX202")= "#N/A N/A", _xll.BDP($AX248,"DX202")="#N/A FIELD NOT APPLICABLE"), " ", _xll.BDP($AX248,"DX202"))</f>
        <v>Utilities</v>
      </c>
      <c r="AU248" s="22" t="str" cm="1">
        <f t="array" ref="AU248">IF(OR(_xll.BDP($AX248,"DY997")= "#N/A N/A", _xll.BDP($AX248,"DY997")="#N/A FIELD NOT APPLICABLE"), " ", _xll.BDP($AX248,"DY997"))</f>
        <v>N</v>
      </c>
      <c r="AV248" s="22" t="str" cm="1">
        <f t="array" ref="AV248">IF(OR(_xll.BDP($AX248,"DY784")= "#N/A N/A", _xll.BDP($AX248,"DY784")="#N/A FIELD NOT APPLICABLE"), " ", _xll.BDP($AX248,"DY784"))</f>
        <v>N</v>
      </c>
      <c r="AW248" s="22" t="str">
        <f>IF(OR(AU248="Y",AV248="Y"),"Y","N")</f>
        <v>N</v>
      </c>
      <c r="AX248" s="22" t="str">
        <f>CONCATENATE(G248," ",$AX$2)</f>
        <v>SSE LN Equity</v>
      </c>
      <c r="BC248" s="17" t="str" cm="1">
        <f t="array" ref="BC248">_xll.BDP(AX248,"ID005")</f>
        <v>GB0007908733</v>
      </c>
      <c r="BD248" s="17">
        <v>0.56999999999999995</v>
      </c>
      <c r="BE248" s="18">
        <v>4</v>
      </c>
      <c r="BF248" s="19">
        <v>45639</v>
      </c>
      <c r="BG248" s="20">
        <v>1</v>
      </c>
    </row>
    <row r="249" spans="1:59" s="3" customFormat="1" ht="14.45" customHeight="1" x14ac:dyDescent="0.25">
      <c r="A249" s="49" t="s">
        <v>241</v>
      </c>
      <c r="B249" s="49" t="s">
        <v>253</v>
      </c>
      <c r="C249" s="49" t="s">
        <v>254</v>
      </c>
      <c r="D249" s="49" t="s">
        <v>240</v>
      </c>
      <c r="E249" s="22" t="str">
        <f>_xll.BDP(AX249,"SECURITY NAME")</f>
        <v>SSE PLC</v>
      </c>
      <c r="F249" s="22" t="str">
        <f>_xll.BDP(AX249,"CRNCY")</f>
        <v>GBp</v>
      </c>
      <c r="G249" s="23" t="s">
        <v>343</v>
      </c>
      <c r="H249" s="22" t="str" cm="1">
        <f t="array" ref="H249">IF(OR(_xll.BDP($AX249,"DX202")= "#N/A N/A", _xll.BDP($AX249,"DX202")="#N/A FIELD NOT APPLICABLE"), " ", _xll.BDP($AX249,"DX202"))</f>
        <v>Utilities</v>
      </c>
      <c r="I249" s="24">
        <f>_xll.BDP(AX249,"CRNCY_ADJ_MKT_CAP", "EQY_FUND_CRNCY=USD")/1000</f>
        <v>25.27311788132911</v>
      </c>
      <c r="J249" s="25">
        <f>IFERROR(_xll.BDP(AX249, "DV013")/100,0)</f>
        <v>3.5810415894054683E-2</v>
      </c>
      <c r="K249" s="26" cm="1">
        <f t="array" ref="K249">IF(OR(_xll.BDP($AX249,"RR900")= "#N/A N/A", _xll.BDP($AX249,"RR900")="#N/A FIELD NOT APPLICABLE"), " ", _xll.BDP($AX249,"RR900"))</f>
        <v>9.7156592094671108</v>
      </c>
      <c r="L249" s="26" cm="1">
        <f t="array" ref="L249">IF(OR(_xll.BDP($AX249,"EE010")= "#N/A N/A", _xll.BDP($AX249,"EE010")="#N/A FIELD NOT APPLICABLE"), " ", _xll.BDP($AX249,"EE010"))</f>
        <v>10.714733542319749</v>
      </c>
      <c r="M249" s="26" cm="1">
        <f t="array" ref="M249">IF(OR(_xll.BDP($AX249,"RR903")= "#N/A N/A", _xll.BDP($AX249,"RR903")="#N/A FIELD NOT APPLICABLE"), " ", _xll.BDP($AX249,"RR903"))</f>
        <v>2.0136873996747071</v>
      </c>
      <c r="N249" s="26" cm="1">
        <f t="array" ref="N249">IF(OR(_xll.BDP($AX249,"RR957")= "#N/A N/A", _xll.BDP($AX249,"RR957")="#N/A FIELD NOT APPLICABLE"), " ", _xll.BDP($AX249,"RR957"))</f>
        <v>8.1131456257286114</v>
      </c>
      <c r="O249" s="27">
        <v>1126</v>
      </c>
      <c r="P249" s="28">
        <v>15.924620000000001</v>
      </c>
      <c r="Q249" s="22" cm="1">
        <f t="array" ref="Q249">IF(OR(_xll.BDP($AX249,"PX_last")="#N/A N/A",_xll.BDP($AX249,"PX_Last")="#N/A FIELD NOT APPLICABLE")," ",IF(F249="GBP",(_xll.BDP($AX249,"PX_LAST")/100),(_xll.BDP($AX249,"PX_LAST"))))</f>
        <v>17.09</v>
      </c>
      <c r="R249" s="29">
        <f>IF(F249="USD",AA249,(((_xll.BDP(F249&amp;"USD CURNCY","PX_LAST")))*AA249))</f>
        <v>23968.530937804</v>
      </c>
      <c r="S249" s="29">
        <f>IF(F249="USD",AB249,(((_xll.BDP(F249&amp;"USD CURNCY","PX_LAST")))*AB249))</f>
        <v>25722.572577999999</v>
      </c>
      <c r="T249" s="12">
        <f>S249-R249</f>
        <v>1754.0416401959992</v>
      </c>
      <c r="U249" s="13">
        <f>T249/R249</f>
        <v>7.3181024099790104E-2</v>
      </c>
      <c r="V249" s="13" cm="1">
        <f t="array" ref="V249">IFERROR(_xll.BDP($G249&amp;" Equity","CHG_PCT_1D")/100,"")</f>
        <v>1.034585E-2</v>
      </c>
      <c r="W249" s="13" cm="1">
        <f t="array" ref="W249">IFERROR(_xll.BDP($G249&amp;" Equity","CHG_PCT_5D")/100,"")</f>
        <v>5.3962380000000004E-2</v>
      </c>
      <c r="X249" s="13" t="e">
        <f>S249/#REF!</f>
        <v>#REF!</v>
      </c>
      <c r="Y249" s="24">
        <f>IFERROR(S249*J249,0)</f>
        <v>921.13602188318634</v>
      </c>
      <c r="Z249" s="24">
        <f>S249</f>
        <v>25722.572577999999</v>
      </c>
      <c r="AA249" s="29">
        <f>P249*O249</f>
        <v>17931.12212</v>
      </c>
      <c r="AB249" s="29">
        <f>IFERROR(O249*Q249,0)</f>
        <v>19243.34</v>
      </c>
      <c r="AC249" s="4" t="e" cm="1">
        <f t="array" ref="AC249">VLOOKUP(IF(NOT(_xll.BDP(AX249,$BW$8)="#N/A N/A"),(_xll.BDP(AX249,$BW$8)),"-"), '[1]Country Codes'!$A$2:$B$253,2,0)</f>
        <v>#N/A</v>
      </c>
      <c r="AD249" s="30" t="str" cm="1">
        <f t="array" ref="AD249">IF(OR(_xll.BDP($AX249,"EX028")= "#N/A N/A", _xll.BDP($AX249,"EX028")="#N/A FIELD NOT APPLICABLE"), " ", _xll.BDP($AX249,"EX028"))</f>
        <v>Equity</v>
      </c>
      <c r="AE249" s="31" t="str">
        <f>IF(("AS97"="Equity"), " ", "Single Line Equity")</f>
        <v>Single Line Equity</v>
      </c>
      <c r="AF249" s="26" cm="1">
        <f t="array" ref="AF249">IF(OR(_xll.BDP($AX249,"RR908")= "#N/A N/A", _xll.BDP($AX249,"RR908")="#N/A FIELD NOT APPLICABLE"), " ", _xll.BDP($AX249,"RR908"))</f>
        <v>6.4312134771326699</v>
      </c>
      <c r="AG249" s="26" cm="1">
        <f t="array" ref="AG249">IF(OR(_xll.BDP($AX249,"RR041")= "#N/A N/A", _xll.BDP($AX249,"RR041")="#N/A FIELD NOT APPLICABLE"), " ", _xll.BDP($AX249,"RR041"))</f>
        <v>32.308579352109291</v>
      </c>
      <c r="AH249" s="22">
        <f>_xll.BDP(AX249,"TOT_BUY_REC")</f>
        <v>16</v>
      </c>
      <c r="AI249" s="22">
        <f>_xll.BDP(AX249,"TOT_HOLD_REC")</f>
        <v>1</v>
      </c>
      <c r="AJ249" s="22">
        <f>_xll.BDP(AX249,"TOT_SELL_REC")</f>
        <v>0</v>
      </c>
      <c r="AK249" s="26" cm="1">
        <f t="array" ref="AK249">IF(OR(_xll.BDP($AX249,"EE201")= "#N/A N/A", _xll.BDP($AX249,"EE201")="#N/A FIELD NOT APPLICABLE"), " ", _xll.BDP($AX249,"EE201"))</f>
        <v>4.8235292434692383</v>
      </c>
      <c r="AL249" s="24">
        <f>_xll.BDP(AX249,"BEST_TARGET_PRICE")</f>
        <v>2061.800048828125</v>
      </c>
      <c r="AM249" s="32">
        <f>(AL249/Q249)-1</f>
        <v>119.64365411516238</v>
      </c>
      <c r="AN249" s="32">
        <f>_xll.BDP(AX249,"PR061")/100</f>
        <v>6.7457839999999991E-2</v>
      </c>
      <c r="AO249" s="32">
        <f>_xll.BDP(AX249,"PR064")/100</f>
        <v>8.9576030000000001E-2</v>
      </c>
      <c r="AP249" s="32">
        <f>_xll.BDP(AX249,"CHG_PCT_6M")/100</f>
        <v>-6.3953489999999998E-3</v>
      </c>
      <c r="AQ249" s="25">
        <f>_xll.BDP(AX249,"PR079")/100</f>
        <v>6.5461350000000001E-2</v>
      </c>
      <c r="AR249" s="33">
        <f>_xll.BDP(AX249,"hs001")</f>
        <v>2019</v>
      </c>
      <c r="AS249" s="33">
        <f>_xll.BDP(AX249,"hs002")</f>
        <v>1447.5</v>
      </c>
      <c r="AT249" s="22" t="str" cm="1">
        <f t="array" ref="AT249">IF(OR(_xll.BDP($AX249,"DX202")= "#N/A N/A", _xll.BDP($AX249,"DX202")="#N/A FIELD NOT APPLICABLE"), " ", _xll.BDP($AX249,"DX202"))</f>
        <v>Utilities</v>
      </c>
      <c r="AU249" s="22" t="str" cm="1">
        <f t="array" ref="AU249">IF(OR(_xll.BDP($AX249,"DY997")= "#N/A N/A", _xll.BDP($AX249,"DY997")="#N/A FIELD NOT APPLICABLE"), " ", _xll.BDP($AX249,"DY997"))</f>
        <v>N</v>
      </c>
      <c r="AV249" s="22" t="str" cm="1">
        <f t="array" ref="AV249">IF(OR(_xll.BDP($AX249,"DY784")= "#N/A N/A", _xll.BDP($AX249,"DY784")="#N/A FIELD NOT APPLICABLE"), " ", _xll.BDP($AX249,"DY784"))</f>
        <v>N</v>
      </c>
      <c r="AW249" s="22" t="str">
        <f>IF(OR(AU249="Y",AV249="Y"),"Y","N")</f>
        <v>N</v>
      </c>
      <c r="AX249" s="22" t="str">
        <f>CONCATENATE(G249," ",$AX$2)</f>
        <v>SSE LN Equity</v>
      </c>
      <c r="BC249" s="17" t="str" cm="1">
        <f t="array" ref="BC249">_xll.BDP(AX249,"ID005")</f>
        <v>GB0007908733</v>
      </c>
      <c r="BD249" s="17">
        <v>0.75</v>
      </c>
      <c r="BE249" s="18">
        <v>4</v>
      </c>
      <c r="BF249" s="19">
        <v>45607</v>
      </c>
      <c r="BG249" s="20">
        <v>1</v>
      </c>
    </row>
    <row r="250" spans="1:59" s="3" customFormat="1" ht="14.45" customHeight="1" x14ac:dyDescent="0.25">
      <c r="A250" s="49" t="s">
        <v>242</v>
      </c>
      <c r="B250" s="49" t="s">
        <v>255</v>
      </c>
      <c r="C250" s="49" t="s">
        <v>256</v>
      </c>
      <c r="D250" s="49" t="s">
        <v>248</v>
      </c>
      <c r="E250" s="22" t="str">
        <f>_xll.BDP(AX250,"SECURITY NAME")</f>
        <v>SSE PLC</v>
      </c>
      <c r="F250" s="22" t="str">
        <f>_xll.BDP(AX250,"CRNCY")</f>
        <v>GBp</v>
      </c>
      <c r="G250" s="23" t="s">
        <v>343</v>
      </c>
      <c r="H250" s="22" t="str" cm="1">
        <f t="array" ref="H250">IF(OR(_xll.BDP($AX250,"DX202")= "#N/A N/A", _xll.BDP($AX250,"DX202")="#N/A FIELD NOT APPLICABLE"), " ", _xll.BDP($AX250,"DX202"))</f>
        <v>Utilities</v>
      </c>
      <c r="I250" s="24">
        <f>_xll.BDP(AX250,"CRNCY_ADJ_MKT_CAP", "EQY_FUND_CRNCY=USD")/1000</f>
        <v>25.27311788132911</v>
      </c>
      <c r="J250" s="25">
        <f>IFERROR(_xll.BDP(AX250, "DV013")/100,0)</f>
        <v>3.5810415894054683E-2</v>
      </c>
      <c r="K250" s="26" cm="1">
        <f t="array" ref="K250">IF(OR(_xll.BDP($AX250,"RR900")= "#N/A N/A", _xll.BDP($AX250,"RR900")="#N/A FIELD NOT APPLICABLE"), " ", _xll.BDP($AX250,"RR900"))</f>
        <v>9.7156592094671108</v>
      </c>
      <c r="L250" s="26" cm="1">
        <f t="array" ref="L250">IF(OR(_xll.BDP($AX250,"EE010")= "#N/A N/A", _xll.BDP($AX250,"EE010")="#N/A FIELD NOT APPLICABLE"), " ", _xll.BDP($AX250,"EE010"))</f>
        <v>10.714733542319749</v>
      </c>
      <c r="M250" s="26" cm="1">
        <f t="array" ref="M250">IF(OR(_xll.BDP($AX250,"RR903")= "#N/A N/A", _xll.BDP($AX250,"RR903")="#N/A FIELD NOT APPLICABLE"), " ", _xll.BDP($AX250,"RR903"))</f>
        <v>2.0136873996747071</v>
      </c>
      <c r="N250" s="26" cm="1">
        <f t="array" ref="N250">IF(OR(_xll.BDP($AX250,"RR957")= "#N/A N/A", _xll.BDP($AX250,"RR957")="#N/A FIELD NOT APPLICABLE"), " ", _xll.BDP($AX250,"RR957"))</f>
        <v>8.1131456257286114</v>
      </c>
      <c r="O250" s="27">
        <v>4367</v>
      </c>
      <c r="P250" s="28">
        <v>16.03</v>
      </c>
      <c r="Q250" s="22" cm="1">
        <f t="array" ref="Q250">IF(OR(_xll.BDP($AX250,"PX_last")="#N/A N/A",_xll.BDP($AX250,"PX_Last")="#N/A FIELD NOT APPLICABLE")," ",IF(F250="GBP",(_xll.BDP($AX250,"PX_LAST")/100),(_xll.BDP($AX250,"PX_LAST"))))</f>
        <v>17.09</v>
      </c>
      <c r="R250" s="29">
        <f>IF(F250="USD",AA250,(((_xll.BDP(F250&amp;"USD CURNCY","PX_LAST")))*AA250))</f>
        <v>93573.023467000006</v>
      </c>
      <c r="S250" s="29">
        <f>IF(F250="USD",AB250,(((_xll.BDP(F250&amp;"USD CURNCY","PX_LAST")))*AB250))</f>
        <v>99760.634500999993</v>
      </c>
      <c r="T250" s="12">
        <f>S250-R250</f>
        <v>6187.6110339999868</v>
      </c>
      <c r="U250" s="13">
        <f>T250/R250</f>
        <v>6.6126013724266852E-2</v>
      </c>
      <c r="V250" s="13" cm="1">
        <f t="array" ref="V250">IFERROR(_xll.BDP($G250&amp;" Equity","CHG_PCT_1D")/100,"")</f>
        <v>1.034585E-2</v>
      </c>
      <c r="W250" s="13" cm="1">
        <f t="array" ref="W250">IFERROR(_xll.BDP($G250&amp;" Equity","CHG_PCT_5D")/100,"")</f>
        <v>5.3962380000000004E-2</v>
      </c>
      <c r="X250" s="13" t="e">
        <f>S250/#REF!</f>
        <v>#REF!</v>
      </c>
      <c r="Y250" s="24">
        <f>IFERROR(S250*J250,0)</f>
        <v>3572.4698113355903</v>
      </c>
      <c r="Z250" s="24">
        <f>S250</f>
        <v>99760.634500999993</v>
      </c>
      <c r="AA250" s="29">
        <f>P250*O250</f>
        <v>70003.010000000009</v>
      </c>
      <c r="AB250" s="29">
        <f>IFERROR(O250*Q250,0)</f>
        <v>74632.03</v>
      </c>
      <c r="AC250" s="4" t="e" cm="1">
        <f t="array" ref="AC250">VLOOKUP(IF(NOT(_xll.BDP(AX250,$BW$8)="#N/A N/A"),(_xll.BDP(AX250,$BW$8)),"-"), '[1]Country Codes'!$A$2:$B$253,2,0)</f>
        <v>#N/A</v>
      </c>
      <c r="AD250" s="30" t="str" cm="1">
        <f t="array" ref="AD250">IF(OR(_xll.BDP($AX250,"EX028")= "#N/A N/A", _xll.BDP($AX250,"EX028")="#N/A FIELD NOT APPLICABLE"), " ", _xll.BDP($AX250,"EX028"))</f>
        <v>Equity</v>
      </c>
      <c r="AE250" s="31" t="str">
        <f>IF(("AS97"="Equity"), " ", "Single Line Equity")</f>
        <v>Single Line Equity</v>
      </c>
      <c r="AF250" s="26" cm="1">
        <f t="array" ref="AF250">IF(OR(_xll.BDP($AX250,"RR908")= "#N/A N/A", _xll.BDP($AX250,"RR908")="#N/A FIELD NOT APPLICABLE"), " ", _xll.BDP($AX250,"RR908"))</f>
        <v>6.4312134771326699</v>
      </c>
      <c r="AG250" s="26" cm="1">
        <f t="array" ref="AG250">IF(OR(_xll.BDP($AX250,"RR041")= "#N/A N/A", _xll.BDP($AX250,"RR041")="#N/A FIELD NOT APPLICABLE"), " ", _xll.BDP($AX250,"RR041"))</f>
        <v>32.308579352109291</v>
      </c>
      <c r="AH250" s="22">
        <f>_xll.BDP(AX250,"TOT_BUY_REC")</f>
        <v>16</v>
      </c>
      <c r="AI250" s="22">
        <f>_xll.BDP(AX250,"TOT_HOLD_REC")</f>
        <v>1</v>
      </c>
      <c r="AJ250" s="22">
        <f>_xll.BDP(AX250,"TOT_SELL_REC")</f>
        <v>0</v>
      </c>
      <c r="AK250" s="26" cm="1">
        <f t="array" ref="AK250">IF(OR(_xll.BDP($AX250,"EE201")= "#N/A N/A", _xll.BDP($AX250,"EE201")="#N/A FIELD NOT APPLICABLE"), " ", _xll.BDP($AX250,"EE201"))</f>
        <v>4.8235292434692383</v>
      </c>
      <c r="AL250" s="24">
        <f>_xll.BDP(AX250,"BEST_TARGET_PRICE")</f>
        <v>2061.800048828125</v>
      </c>
      <c r="AM250" s="32">
        <f>(AL250/Q250)-1</f>
        <v>119.64365411516238</v>
      </c>
      <c r="AN250" s="32">
        <f>_xll.BDP(AX250,"PR061")/100</f>
        <v>6.7457839999999991E-2</v>
      </c>
      <c r="AO250" s="32">
        <f>_xll.BDP(AX250,"PR064")/100</f>
        <v>8.9576030000000001E-2</v>
      </c>
      <c r="AP250" s="32">
        <f>_xll.BDP(AX250,"CHG_PCT_6M")/100</f>
        <v>-6.3953489999999998E-3</v>
      </c>
      <c r="AQ250" s="25">
        <f>_xll.BDP(AX250,"PR079")/100</f>
        <v>6.5461350000000001E-2</v>
      </c>
      <c r="AR250" s="33">
        <f>_xll.BDP(AX250,"hs001")</f>
        <v>2019</v>
      </c>
      <c r="AS250" s="33">
        <f>_xll.BDP(AX250,"hs002")</f>
        <v>1447.5</v>
      </c>
      <c r="AT250" s="22" t="str" cm="1">
        <f t="array" ref="AT250">IF(OR(_xll.BDP($AX250,"DX202")= "#N/A N/A", _xll.BDP($AX250,"DX202")="#N/A FIELD NOT APPLICABLE"), " ", _xll.BDP($AX250,"DX202"))</f>
        <v>Utilities</v>
      </c>
      <c r="AU250" s="22" t="str" cm="1">
        <f t="array" ref="AU250">IF(OR(_xll.BDP($AX250,"DY997")= "#N/A N/A", _xll.BDP($AX250,"DY997")="#N/A FIELD NOT APPLICABLE"), " ", _xll.BDP($AX250,"DY997"))</f>
        <v>N</v>
      </c>
      <c r="AV250" s="22" t="str" cm="1">
        <f t="array" ref="AV250">IF(OR(_xll.BDP($AX250,"DY784")= "#N/A N/A", _xll.BDP($AX250,"DY784")="#N/A FIELD NOT APPLICABLE"), " ", _xll.BDP($AX250,"DY784"))</f>
        <v>N</v>
      </c>
      <c r="AW250" s="22" t="str">
        <f>IF(OR(AU250="Y",AV250="Y"),"Y","N")</f>
        <v>N</v>
      </c>
      <c r="AX250" s="22" t="str">
        <f>CONCATENATE(G250," ",$AX$2)</f>
        <v>SSE LN Equity</v>
      </c>
      <c r="BC250" s="17" t="str" cm="1">
        <f t="array" ref="BC250">_xll.BDP(AX250,"ID005")</f>
        <v>GB0007908733</v>
      </c>
      <c r="BD250" s="17">
        <v>0.75</v>
      </c>
      <c r="BE250" s="18">
        <v>4</v>
      </c>
      <c r="BF250" s="19">
        <v>45607</v>
      </c>
      <c r="BG250" s="20">
        <v>1</v>
      </c>
    </row>
    <row r="251" spans="1:59" s="3" customFormat="1" ht="14.45" customHeight="1" x14ac:dyDescent="0.25">
      <c r="A251" s="81" t="s">
        <v>242</v>
      </c>
      <c r="B251" s="81" t="s">
        <v>260</v>
      </c>
      <c r="C251" s="81" t="s">
        <v>261</v>
      </c>
      <c r="D251" s="81" t="s">
        <v>248</v>
      </c>
      <c r="E251" s="40" t="str">
        <f>_xll.BDP(AX251,"SECURITY NAME")</f>
        <v>SSE PLC</v>
      </c>
      <c r="F251" s="40" t="str">
        <f>_xll.BDP(AX251,"CRNCY")</f>
        <v>GBp</v>
      </c>
      <c r="G251" s="73" t="s">
        <v>343</v>
      </c>
      <c r="H251" s="40" t="str" cm="1">
        <f t="array" ref="H251">IF(OR(_xll.BDP($AX251,"DX202")= "#N/A N/A", _xll.BDP($AX251,"DX202")="#N/A FIELD NOT APPLICABLE"), " ", _xll.BDP($AX251,"DX202"))</f>
        <v>Utilities</v>
      </c>
      <c r="I251" s="82">
        <f>_xll.BDP(AX251,"CRNCY_ADJ_MKT_CAP", "EQY_FUND_CRNCY=USD")/1000</f>
        <v>25.27311788132911</v>
      </c>
      <c r="J251" s="83">
        <f>IFERROR(_xll.BDP(AX251, "DV013")/100,0)</f>
        <v>3.5810415894054683E-2</v>
      </c>
      <c r="K251" s="84" cm="1">
        <f t="array" ref="K251">IF(OR(_xll.BDP($AX251,"RR900")= "#N/A N/A", _xll.BDP($AX251,"RR900")="#N/A FIELD NOT APPLICABLE"), " ", _xll.BDP($AX251,"RR900"))</f>
        <v>9.7156592094671108</v>
      </c>
      <c r="L251" s="84" cm="1">
        <f t="array" ref="L251">IF(OR(_xll.BDP($AX251,"EE010")= "#N/A N/A", _xll.BDP($AX251,"EE010")="#N/A FIELD NOT APPLICABLE"), " ", _xll.BDP($AX251,"EE010"))</f>
        <v>10.714733542319749</v>
      </c>
      <c r="M251" s="84" cm="1">
        <f t="array" ref="M251">IF(OR(_xll.BDP($AX251,"RR903")= "#N/A N/A", _xll.BDP($AX251,"RR903")="#N/A FIELD NOT APPLICABLE"), " ", _xll.BDP($AX251,"RR903"))</f>
        <v>2.0136873996747071</v>
      </c>
      <c r="N251" s="84" cm="1">
        <f t="array" ref="N251">IF(OR(_xll.BDP($AX251,"RR957")= "#N/A N/A", _xll.BDP($AX251,"RR957")="#N/A FIELD NOT APPLICABLE"), " ", _xll.BDP($AX251,"RR957"))</f>
        <v>8.1131456257286114</v>
      </c>
      <c r="O251" s="74">
        <v>3214</v>
      </c>
      <c r="P251" s="75">
        <v>16.04</v>
      </c>
      <c r="Q251" s="40" cm="1">
        <f t="array" ref="Q251">IF(OR(_xll.BDP($AX251,"PX_last")="#N/A N/A",_xll.BDP($AX251,"PX_Last")="#N/A FIELD NOT APPLICABLE")," ",IF(F251="GBP",(_xll.BDP($AX251,"PX_LAST")/100),(_xll.BDP($AX251,"PX_LAST"))))</f>
        <v>17.09</v>
      </c>
      <c r="R251" s="85">
        <f>IF(F251="USD",AA251,(((_xll.BDP(F251&amp;"USD CURNCY","PX_LAST")))*AA251))</f>
        <v>68910.306951999999</v>
      </c>
      <c r="S251" s="85">
        <f>IF(F251="USD",AB251,(((_xll.BDP(F251&amp;"USD CURNCY","PX_LAST")))*AB251))</f>
        <v>73421.268442000001</v>
      </c>
      <c r="T251" s="86">
        <f>S251-R251</f>
        <v>4510.9614900000015</v>
      </c>
      <c r="U251" s="87">
        <f>T251/R251</f>
        <v>6.5461346633416476E-2</v>
      </c>
      <c r="V251" s="87" cm="1">
        <f t="array" ref="V251">IFERROR(_xll.BDP($G251&amp;" Equity","CHG_PCT_1D")/100,"")</f>
        <v>1.034585E-2</v>
      </c>
      <c r="W251" s="87" cm="1">
        <f t="array" ref="W251">IFERROR(_xll.BDP($G251&amp;" Equity","CHG_PCT_5D")/100,"")</f>
        <v>5.3962380000000004E-2</v>
      </c>
      <c r="X251" s="87" t="e">
        <f>S251/#REF!</f>
        <v>#REF!</v>
      </c>
      <c r="Y251" s="82">
        <f>IFERROR(S251*J251,0)</f>
        <v>2629.2461583770523</v>
      </c>
      <c r="Z251" s="82">
        <f>S251</f>
        <v>73421.268442000001</v>
      </c>
      <c r="AA251" s="85">
        <f>P251*O251</f>
        <v>51552.56</v>
      </c>
      <c r="AB251" s="85">
        <f>IFERROR(O251*Q251,0)</f>
        <v>54927.26</v>
      </c>
      <c r="AC251" s="88" t="e" cm="1">
        <f t="array" ref="AC251">VLOOKUP(IF(NOT(_xll.BDP(AX251,$BW$8)="#N/A N/A"),(_xll.BDP(AX251,$BW$8)),"-"), '[1]Country Codes'!$A$2:$B$253,2,0)</f>
        <v>#N/A</v>
      </c>
      <c r="AD251" s="89" t="str" cm="1">
        <f t="array" ref="AD251">IF(OR(_xll.BDP($AX251,"EX028")= "#N/A N/A", _xll.BDP($AX251,"EX028")="#N/A FIELD NOT APPLICABLE"), " ", _xll.BDP($AX251,"EX028"))</f>
        <v>Equity</v>
      </c>
      <c r="AE251" s="90" t="str">
        <f>IF(("AS97"="Equity"), " ", "Single Line Equity")</f>
        <v>Single Line Equity</v>
      </c>
      <c r="AF251" s="84" cm="1">
        <f t="array" ref="AF251">IF(OR(_xll.BDP($AX251,"RR908")= "#N/A N/A", _xll.BDP($AX251,"RR908")="#N/A FIELD NOT APPLICABLE"), " ", _xll.BDP($AX251,"RR908"))</f>
        <v>6.4312134771326699</v>
      </c>
      <c r="AG251" s="84" cm="1">
        <f t="array" ref="AG251">IF(OR(_xll.BDP($AX251,"RR041")= "#N/A N/A", _xll.BDP($AX251,"RR041")="#N/A FIELD NOT APPLICABLE"), " ", _xll.BDP($AX251,"RR041"))</f>
        <v>32.308579352109291</v>
      </c>
      <c r="AH251" s="40">
        <f>_xll.BDP(AX251,"TOT_BUY_REC")</f>
        <v>16</v>
      </c>
      <c r="AI251" s="40">
        <f>_xll.BDP(AX251,"TOT_HOLD_REC")</f>
        <v>1</v>
      </c>
      <c r="AJ251" s="40">
        <f>_xll.BDP(AX251,"TOT_SELL_REC")</f>
        <v>0</v>
      </c>
      <c r="AK251" s="84" cm="1">
        <f t="array" ref="AK251">IF(OR(_xll.BDP($AX251,"EE201")= "#N/A N/A", _xll.BDP($AX251,"EE201")="#N/A FIELD NOT APPLICABLE"), " ", _xll.BDP($AX251,"EE201"))</f>
        <v>4.8235292434692383</v>
      </c>
      <c r="AL251" s="82">
        <f>_xll.BDP(AX251,"BEST_TARGET_PRICE")</f>
        <v>2061.800048828125</v>
      </c>
      <c r="AM251" s="91">
        <f>(AL251/Q251)-1</f>
        <v>119.64365411516238</v>
      </c>
      <c r="AN251" s="91">
        <f>_xll.BDP(AX251,"PR061")/100</f>
        <v>6.7457839999999991E-2</v>
      </c>
      <c r="AO251" s="91">
        <f>_xll.BDP(AX251,"PR064")/100</f>
        <v>8.9576030000000001E-2</v>
      </c>
      <c r="AP251" s="91">
        <f>_xll.BDP(AX251,"CHG_PCT_6M")/100</f>
        <v>-6.3953489999999998E-3</v>
      </c>
      <c r="AQ251" s="83">
        <f>_xll.BDP(AX251,"PR079")/100</f>
        <v>6.5461350000000001E-2</v>
      </c>
      <c r="AR251" s="92">
        <f>_xll.BDP(AX251,"hs001")</f>
        <v>2019</v>
      </c>
      <c r="AS251" s="92">
        <f>_xll.BDP(AX251,"hs002")</f>
        <v>1447.5</v>
      </c>
      <c r="AT251" s="40" t="str" cm="1">
        <f t="array" ref="AT251">IF(OR(_xll.BDP($AX251,"DX202")= "#N/A N/A", _xll.BDP($AX251,"DX202")="#N/A FIELD NOT APPLICABLE"), " ", _xll.BDP($AX251,"DX202"))</f>
        <v>Utilities</v>
      </c>
      <c r="AU251" s="40" t="str" cm="1">
        <f t="array" ref="AU251">IF(OR(_xll.BDP($AX251,"DY997")= "#N/A N/A", _xll.BDP($AX251,"DY997")="#N/A FIELD NOT APPLICABLE"), " ", _xll.BDP($AX251,"DY997"))</f>
        <v>N</v>
      </c>
      <c r="AV251" s="40" t="str" cm="1">
        <f t="array" ref="AV251">IF(OR(_xll.BDP($AX251,"DY784")= "#N/A N/A", _xll.BDP($AX251,"DY784")="#N/A FIELD NOT APPLICABLE"), " ", _xll.BDP($AX251,"DY784"))</f>
        <v>N</v>
      </c>
      <c r="AW251" s="40" t="str">
        <f>IF(OR(AU251="Y",AV251="Y"),"Y","N")</f>
        <v>N</v>
      </c>
      <c r="AX251" s="40" t="str">
        <f>CONCATENATE(G251," ",$AX$2)</f>
        <v>SSE LN Equity</v>
      </c>
      <c r="BC251" s="17" t="str" cm="1">
        <f t="array" ref="BC251">_xll.BDP(AX251,"ID005")</f>
        <v>GB0007908733</v>
      </c>
      <c r="BD251" s="17">
        <v>0</v>
      </c>
      <c r="BE251" s="18">
        <v>4</v>
      </c>
      <c r="BF251" s="19">
        <v>45639</v>
      </c>
      <c r="BG251" s="20">
        <v>1</v>
      </c>
    </row>
    <row r="252" spans="1:59" s="3" customFormat="1" ht="14.45" customHeight="1" x14ac:dyDescent="0.25">
      <c r="A252" s="49" t="s">
        <v>241</v>
      </c>
      <c r="B252" s="49" t="s">
        <v>262</v>
      </c>
      <c r="C252" s="49" t="s">
        <v>263</v>
      </c>
      <c r="D252" s="49" t="s">
        <v>240</v>
      </c>
      <c r="E252" s="22" t="str">
        <f>_xll.BDP(AX252,"SECURITY NAME")</f>
        <v>SSE PLC</v>
      </c>
      <c r="F252" s="22" t="str">
        <f>_xll.BDP(AX252,"CRNCY")</f>
        <v>GBp</v>
      </c>
      <c r="G252" s="23" t="s">
        <v>343</v>
      </c>
      <c r="H252" s="22" t="str" cm="1">
        <f t="array" ref="H252">IF(OR(_xll.BDP($AX252,"DX202")= "#N/A N/A", _xll.BDP($AX252,"DX202")="#N/A FIELD NOT APPLICABLE"), " ", _xll.BDP($AX252,"DX202"))</f>
        <v>Utilities</v>
      </c>
      <c r="I252" s="24">
        <f>_xll.BDP(AX252,"CRNCY_ADJ_MKT_CAP", "EQY_FUND_CRNCY=USD")/1000</f>
        <v>25.27311788132911</v>
      </c>
      <c r="J252" s="25">
        <f>IFERROR(_xll.BDP(AX252, "DV013")/100,0)</f>
        <v>3.5810415894054683E-2</v>
      </c>
      <c r="K252" s="26" cm="1">
        <f t="array" ref="K252">IF(OR(_xll.BDP($AX252,"RR900")= "#N/A N/A", _xll.BDP($AX252,"RR900")="#N/A FIELD NOT APPLICABLE"), " ", _xll.BDP($AX252,"RR900"))</f>
        <v>9.7156592094671108</v>
      </c>
      <c r="L252" s="26" cm="1">
        <f t="array" ref="L252">IF(OR(_xll.BDP($AX252,"EE010")= "#N/A N/A", _xll.BDP($AX252,"EE010")="#N/A FIELD NOT APPLICABLE"), " ", _xll.BDP($AX252,"EE010"))</f>
        <v>10.714733542319749</v>
      </c>
      <c r="M252" s="26" cm="1">
        <f t="array" ref="M252">IF(OR(_xll.BDP($AX252,"RR903")= "#N/A N/A", _xll.BDP($AX252,"RR903")="#N/A FIELD NOT APPLICABLE"), " ", _xll.BDP($AX252,"RR903"))</f>
        <v>2.0136873996747071</v>
      </c>
      <c r="N252" s="26" cm="1">
        <f t="array" ref="N252">IF(OR(_xll.BDP($AX252,"RR957")= "#N/A N/A", _xll.BDP($AX252,"RR957")="#N/A FIELD NOT APPLICABLE"), " ", _xll.BDP($AX252,"RR957"))</f>
        <v>8.1131456257286114</v>
      </c>
      <c r="O252" s="27">
        <v>6600</v>
      </c>
      <c r="P252" s="28">
        <v>15.924609999999999</v>
      </c>
      <c r="Q252" s="22" cm="1">
        <f t="array" ref="Q252">IF(OR(_xll.BDP($AX252,"PX_last")="#N/A N/A",_xll.BDP($AX252,"PX_Last")="#N/A FIELD NOT APPLICABLE")," ",IF(F252="GBP",(_xll.BDP($AX252,"PX_LAST")/100),(_xll.BDP($AX252,"PX_LAST"))))</f>
        <v>17.09</v>
      </c>
      <c r="R252" s="29">
        <f>IF(F252="USD",AA252,(((_xll.BDP(F252&amp;"USD CURNCY","PX_LAST")))*AA252))</f>
        <v>140490.41283419999</v>
      </c>
      <c r="S252" s="29">
        <f>IF(F252="USD",AB252,(((_xll.BDP(F252&amp;"USD CURNCY","PX_LAST")))*AB252))</f>
        <v>150771.73980000001</v>
      </c>
      <c r="T252" s="12">
        <f>S252-R252</f>
        <v>10281.326965800021</v>
      </c>
      <c r="U252" s="13">
        <f>T252/R252</f>
        <v>7.318169801332669E-2</v>
      </c>
      <c r="V252" s="13" cm="1">
        <f t="array" ref="V252">IFERROR(_xll.BDP($G252&amp;" Equity","CHG_PCT_1D")/100,"")</f>
        <v>1.034585E-2</v>
      </c>
      <c r="W252" s="13" cm="1">
        <f t="array" ref="W252">IFERROR(_xll.BDP($G252&amp;" Equity","CHG_PCT_5D")/100,"")</f>
        <v>5.3962380000000004E-2</v>
      </c>
      <c r="X252" s="13" t="e">
        <f>S252/#REF!</f>
        <v>#REF!</v>
      </c>
      <c r="Y252" s="24">
        <f>IFERROR(S252*J252,0)</f>
        <v>5399.1987073081973</v>
      </c>
      <c r="Z252" s="24">
        <f>S252</f>
        <v>150771.73980000001</v>
      </c>
      <c r="AA252" s="29">
        <f>P252*O252</f>
        <v>105102.42599999999</v>
      </c>
      <c r="AB252" s="29">
        <f>IFERROR(O252*Q252,0)</f>
        <v>112794</v>
      </c>
      <c r="AC252" s="4" t="e" cm="1">
        <f t="array" ref="AC252">VLOOKUP(IF(NOT(_xll.BDP(AX252,$BW$8)="#N/A N/A"),(_xll.BDP(AX252,$BW$8)),"-"), '[1]Country Codes'!$A$2:$B$253,2,0)</f>
        <v>#N/A</v>
      </c>
      <c r="AD252" s="30" t="str" cm="1">
        <f t="array" ref="AD252">IF(OR(_xll.BDP($AX252,"EX028")= "#N/A N/A", _xll.BDP($AX252,"EX028")="#N/A FIELD NOT APPLICABLE"), " ", _xll.BDP($AX252,"EX028"))</f>
        <v>Equity</v>
      </c>
      <c r="AE252" s="31" t="str">
        <f>IF(("AS97"="Equity"), " ", "Single Line Equity")</f>
        <v>Single Line Equity</v>
      </c>
      <c r="AF252" s="26" cm="1">
        <f t="array" ref="AF252">IF(OR(_xll.BDP($AX252,"RR908")= "#N/A N/A", _xll.BDP($AX252,"RR908")="#N/A FIELD NOT APPLICABLE"), " ", _xll.BDP($AX252,"RR908"))</f>
        <v>6.4312134771326699</v>
      </c>
      <c r="AG252" s="26" cm="1">
        <f t="array" ref="AG252">IF(OR(_xll.BDP($AX252,"RR041")= "#N/A N/A", _xll.BDP($AX252,"RR041")="#N/A FIELD NOT APPLICABLE"), " ", _xll.BDP($AX252,"RR041"))</f>
        <v>32.308579352109291</v>
      </c>
      <c r="AH252" s="22">
        <f>_xll.BDP(AX252,"TOT_BUY_REC")</f>
        <v>16</v>
      </c>
      <c r="AI252" s="22">
        <f>_xll.BDP(AX252,"TOT_HOLD_REC")</f>
        <v>1</v>
      </c>
      <c r="AJ252" s="22">
        <f>_xll.BDP(AX252,"TOT_SELL_REC")</f>
        <v>0</v>
      </c>
      <c r="AK252" s="26" cm="1">
        <f t="array" ref="AK252">IF(OR(_xll.BDP($AX252,"EE201")= "#N/A N/A", _xll.BDP($AX252,"EE201")="#N/A FIELD NOT APPLICABLE"), " ", _xll.BDP($AX252,"EE201"))</f>
        <v>4.8235292434692383</v>
      </c>
      <c r="AL252" s="24">
        <f>_xll.BDP(AX252,"BEST_TARGET_PRICE")</f>
        <v>2061.800048828125</v>
      </c>
      <c r="AM252" s="32">
        <f>(AL252/Q252)-1</f>
        <v>119.64365411516238</v>
      </c>
      <c r="AN252" s="32">
        <f>_xll.BDP(AX252,"PR061")/100</f>
        <v>6.7457839999999991E-2</v>
      </c>
      <c r="AO252" s="32">
        <f>_xll.BDP(AX252,"PR064")/100</f>
        <v>8.9576030000000001E-2</v>
      </c>
      <c r="AP252" s="32">
        <f>_xll.BDP(AX252,"CHG_PCT_6M")/100</f>
        <v>-6.3953489999999998E-3</v>
      </c>
      <c r="AQ252" s="25">
        <f>_xll.BDP(AX252,"PR079")/100</f>
        <v>6.5461350000000001E-2</v>
      </c>
      <c r="AR252" s="33">
        <f>_xll.BDP(AX252,"hs001")</f>
        <v>2019</v>
      </c>
      <c r="AS252" s="33">
        <f>_xll.BDP(AX252,"hs002")</f>
        <v>1447.5</v>
      </c>
      <c r="AT252" s="22" t="str" cm="1">
        <f t="array" ref="AT252">IF(OR(_xll.BDP($AX252,"DX202")= "#N/A N/A", _xll.BDP($AX252,"DX202")="#N/A FIELD NOT APPLICABLE"), " ", _xll.BDP($AX252,"DX202"))</f>
        <v>Utilities</v>
      </c>
      <c r="AU252" s="22" t="str" cm="1">
        <f t="array" ref="AU252">IF(OR(_xll.BDP($AX252,"DY997")= "#N/A N/A", _xll.BDP($AX252,"DY997")="#N/A FIELD NOT APPLICABLE"), " ", _xll.BDP($AX252,"DY997"))</f>
        <v>N</v>
      </c>
      <c r="AV252" s="22" t="str" cm="1">
        <f t="array" ref="AV252">IF(OR(_xll.BDP($AX252,"DY784")= "#N/A N/A", _xll.BDP($AX252,"DY784")="#N/A FIELD NOT APPLICABLE"), " ", _xll.BDP($AX252,"DY784"))</f>
        <v>N</v>
      </c>
      <c r="AW252" s="22" t="str">
        <f>IF(OR(AU252="Y",AV252="Y"),"Y","N")</f>
        <v>N</v>
      </c>
      <c r="AX252" s="22" t="str">
        <f>CONCATENATE(G252," ",$AX$2)</f>
        <v>SSE LN Equity</v>
      </c>
      <c r="BC252" s="17" t="str" cm="1">
        <f t="array" ref="BC252">_xll.BDP(AX252,"ID005")</f>
        <v>GB0007908733</v>
      </c>
      <c r="BD252" s="17">
        <v>0.72</v>
      </c>
      <c r="BE252" s="18">
        <v>4</v>
      </c>
      <c r="BF252" s="19">
        <v>45540</v>
      </c>
      <c r="BG252" s="20">
        <v>1</v>
      </c>
    </row>
    <row r="253" spans="1:59" s="93" customFormat="1" ht="14.45" customHeight="1" x14ac:dyDescent="0.25">
      <c r="A253" s="49" t="s">
        <v>242</v>
      </c>
      <c r="B253" s="49" t="s">
        <v>264</v>
      </c>
      <c r="C253" s="49" t="s">
        <v>265</v>
      </c>
      <c r="D253" s="49" t="s">
        <v>248</v>
      </c>
      <c r="E253" s="22" t="str">
        <f>_xll.BDP(AX253,"SECURITY NAME")</f>
        <v>SSE PLC</v>
      </c>
      <c r="F253" s="22" t="str">
        <f>_xll.BDP(AX253,"CRNCY")</f>
        <v>GBp</v>
      </c>
      <c r="G253" s="23" t="s">
        <v>343</v>
      </c>
      <c r="H253" s="22" t="str" cm="1">
        <f t="array" ref="H253">IF(OR(_xll.BDP($AX253,"DX202")= "#N/A N/A", _xll.BDP($AX253,"DX202")="#N/A FIELD NOT APPLICABLE"), " ", _xll.BDP($AX253,"DX202"))</f>
        <v>Utilities</v>
      </c>
      <c r="I253" s="24">
        <f>_xll.BDP(AX253,"CRNCY_ADJ_MKT_CAP", "EQY_FUND_CRNCY=USD")/1000</f>
        <v>25.27311788132911</v>
      </c>
      <c r="J253" s="25">
        <f>IFERROR(_xll.BDP(AX253, "DV013")/100,0)</f>
        <v>3.5810415894054683E-2</v>
      </c>
      <c r="K253" s="26" cm="1">
        <f t="array" ref="K253">IF(OR(_xll.BDP($AX253,"RR900")= "#N/A N/A", _xll.BDP($AX253,"RR900")="#N/A FIELD NOT APPLICABLE"), " ", _xll.BDP($AX253,"RR900"))</f>
        <v>9.7156592094671108</v>
      </c>
      <c r="L253" s="26" cm="1">
        <f t="array" ref="L253">IF(OR(_xll.BDP($AX253,"EE010")= "#N/A N/A", _xll.BDP($AX253,"EE010")="#N/A FIELD NOT APPLICABLE"), " ", _xll.BDP($AX253,"EE010"))</f>
        <v>10.714733542319749</v>
      </c>
      <c r="M253" s="26" cm="1">
        <f t="array" ref="M253">IF(OR(_xll.BDP($AX253,"RR903")= "#N/A N/A", _xll.BDP($AX253,"RR903")="#N/A FIELD NOT APPLICABLE"), " ", _xll.BDP($AX253,"RR903"))</f>
        <v>2.0136873996747071</v>
      </c>
      <c r="N253" s="26" cm="1">
        <f t="array" ref="N253">IF(OR(_xll.BDP($AX253,"RR957")= "#N/A N/A", _xll.BDP($AX253,"RR957")="#N/A FIELD NOT APPLICABLE"), " ", _xll.BDP($AX253,"RR957"))</f>
        <v>8.1131456257286114</v>
      </c>
      <c r="O253" s="27">
        <v>6158</v>
      </c>
      <c r="P253" s="28">
        <v>16.02</v>
      </c>
      <c r="Q253" s="22" cm="1">
        <f t="array" ref="Q253">IF(OR(_xll.BDP($AX253,"PX_last")="#N/A N/A",_xll.BDP($AX253,"PX_Last")="#N/A FIELD NOT APPLICABLE")," ",IF(F253="GBP",(_xll.BDP($AX253,"PX_LAST")/100),(_xll.BDP($AX253,"PX_LAST"))))</f>
        <v>17.09</v>
      </c>
      <c r="R253" s="29">
        <f>IF(F253="USD",AA253,(((_xll.BDP(F253&amp;"USD CURNCY","PX_LAST")))*AA253))</f>
        <v>131867.00557199999</v>
      </c>
      <c r="S253" s="29">
        <f>IF(F253="USD",AB253,(((_xll.BDP(F253&amp;"USD CURNCY","PX_LAST")))*AB253))</f>
        <v>140674.60207399999</v>
      </c>
      <c r="T253" s="12">
        <f>S253-R253</f>
        <v>8807.5965020000003</v>
      </c>
      <c r="U253" s="13">
        <f>T253/R253</f>
        <v>6.6791510611735341E-2</v>
      </c>
      <c r="V253" s="13" cm="1">
        <f t="array" ref="V253">IFERROR(_xll.BDP($G253&amp;" Equity","CHG_PCT_1D")/100,"")</f>
        <v>1.034585E-2</v>
      </c>
      <c r="W253" s="13" cm="1">
        <f t="array" ref="W253">IFERROR(_xll.BDP($G253&amp;" Equity","CHG_PCT_5D")/100,"")</f>
        <v>5.3962380000000004E-2</v>
      </c>
      <c r="X253" s="13" t="e">
        <f>S253/#REF!</f>
        <v>#REF!</v>
      </c>
      <c r="Y253" s="24">
        <f>IFERROR(S253*J253,0)</f>
        <v>5037.6160060005868</v>
      </c>
      <c r="Z253" s="24">
        <f>S253</f>
        <v>140674.60207399999</v>
      </c>
      <c r="AA253" s="29">
        <f>P253*O253</f>
        <v>98651.16</v>
      </c>
      <c r="AB253" s="29">
        <f>IFERROR(O253*Q253,0)</f>
        <v>105240.22</v>
      </c>
      <c r="AC253" s="4" t="e" cm="1">
        <f t="array" ref="AC253">VLOOKUP(IF(NOT(_xll.BDP(AX253,$BW$8)="#N/A N/A"),(_xll.BDP(AX253,$BW$8)),"-"), '[1]Country Codes'!$A$2:$B$253,2,0)</f>
        <v>#N/A</v>
      </c>
      <c r="AD253" s="30" t="str" cm="1">
        <f t="array" ref="AD253">IF(OR(_xll.BDP($AX253,"EX028")= "#N/A N/A", _xll.BDP($AX253,"EX028")="#N/A FIELD NOT APPLICABLE"), " ", _xll.BDP($AX253,"EX028"))</f>
        <v>Equity</v>
      </c>
      <c r="AE253" s="31" t="str">
        <f>IF(("AS97"="Equity"), " ", "Single Line Equity")</f>
        <v>Single Line Equity</v>
      </c>
      <c r="AF253" s="26" cm="1">
        <f t="array" ref="AF253">IF(OR(_xll.BDP($AX253,"RR908")= "#N/A N/A", _xll.BDP($AX253,"RR908")="#N/A FIELD NOT APPLICABLE"), " ", _xll.BDP($AX253,"RR908"))</f>
        <v>6.4312134771326699</v>
      </c>
      <c r="AG253" s="26" cm="1">
        <f t="array" ref="AG253">IF(OR(_xll.BDP($AX253,"RR041")= "#N/A N/A", _xll.BDP($AX253,"RR041")="#N/A FIELD NOT APPLICABLE"), " ", _xll.BDP($AX253,"RR041"))</f>
        <v>32.308579352109291</v>
      </c>
      <c r="AH253" s="22">
        <f>_xll.BDP(AX253,"TOT_BUY_REC")</f>
        <v>16</v>
      </c>
      <c r="AI253" s="22">
        <f>_xll.BDP(AX253,"TOT_HOLD_REC")</f>
        <v>1</v>
      </c>
      <c r="AJ253" s="22">
        <f>_xll.BDP(AX253,"TOT_SELL_REC")</f>
        <v>0</v>
      </c>
      <c r="AK253" s="26" cm="1">
        <f t="array" ref="AK253">IF(OR(_xll.BDP($AX253,"EE201")= "#N/A N/A", _xll.BDP($AX253,"EE201")="#N/A FIELD NOT APPLICABLE"), " ", _xll.BDP($AX253,"EE201"))</f>
        <v>4.8235292434692383</v>
      </c>
      <c r="AL253" s="24">
        <f>_xll.BDP(AX253,"BEST_TARGET_PRICE")</f>
        <v>2061.800048828125</v>
      </c>
      <c r="AM253" s="32">
        <f>(AL253/Q253)-1</f>
        <v>119.64365411516238</v>
      </c>
      <c r="AN253" s="32">
        <f>_xll.BDP(AX253,"PR061")/100</f>
        <v>6.7457839999999991E-2</v>
      </c>
      <c r="AO253" s="32">
        <f>_xll.BDP(AX253,"PR064")/100</f>
        <v>8.9576030000000001E-2</v>
      </c>
      <c r="AP253" s="32">
        <f>_xll.BDP(AX253,"CHG_PCT_6M")/100</f>
        <v>-6.3953489999999998E-3</v>
      </c>
      <c r="AQ253" s="25">
        <f>_xll.BDP(AX253,"PR079")/100</f>
        <v>6.5461350000000001E-2</v>
      </c>
      <c r="AR253" s="33">
        <f>_xll.BDP(AX253,"hs001")</f>
        <v>2019</v>
      </c>
      <c r="AS253" s="33">
        <f>_xll.BDP(AX253,"hs002")</f>
        <v>1447.5</v>
      </c>
      <c r="AT253" s="22" t="str" cm="1">
        <f t="array" ref="AT253">IF(OR(_xll.BDP($AX253,"DX202")= "#N/A N/A", _xll.BDP($AX253,"DX202")="#N/A FIELD NOT APPLICABLE"), " ", _xll.BDP($AX253,"DX202"))</f>
        <v>Utilities</v>
      </c>
      <c r="AU253" s="22" t="str" cm="1">
        <f t="array" ref="AU253">IF(OR(_xll.BDP($AX253,"DY997")= "#N/A N/A", _xll.BDP($AX253,"DY997")="#N/A FIELD NOT APPLICABLE"), " ", _xll.BDP($AX253,"DY997"))</f>
        <v>N</v>
      </c>
      <c r="AV253" s="22" t="str" cm="1">
        <f t="array" ref="AV253">IF(OR(_xll.BDP($AX253,"DY784")= "#N/A N/A", _xll.BDP($AX253,"DY784")="#N/A FIELD NOT APPLICABLE"), " ", _xll.BDP($AX253,"DY784"))</f>
        <v>N</v>
      </c>
      <c r="AW253" s="22" t="str">
        <f>IF(OR(AU253="Y",AV253="Y"),"Y","N")</f>
        <v>N</v>
      </c>
      <c r="AX253" s="22" t="str">
        <f>CONCATENATE(G253," ",$AX$2)</f>
        <v>SSE LN Equity</v>
      </c>
      <c r="BC253" s="38"/>
      <c r="BD253" s="38"/>
      <c r="BE253" s="94"/>
      <c r="BF253" s="95"/>
      <c r="BG253" s="96"/>
    </row>
    <row r="254" spans="1:59" s="3" customFormat="1" ht="14.45" customHeight="1" x14ac:dyDescent="0.25">
      <c r="A254" s="49" t="s">
        <v>241</v>
      </c>
      <c r="B254" s="49" t="s">
        <v>266</v>
      </c>
      <c r="C254" s="49" t="s">
        <v>267</v>
      </c>
      <c r="D254" s="49" t="s">
        <v>240</v>
      </c>
      <c r="E254" s="22" t="str">
        <f>_xll.BDP(AX254,"SECURITY NAME")</f>
        <v>SSE PLC</v>
      </c>
      <c r="F254" s="22" t="str">
        <f>_xll.BDP(AX254,"CRNCY")</f>
        <v>GBp</v>
      </c>
      <c r="G254" s="23" t="s">
        <v>343</v>
      </c>
      <c r="H254" s="22" t="str" cm="1">
        <f t="array" ref="H254">IF(OR(_xll.BDP($AX254,"DX202")= "#N/A N/A", _xll.BDP($AX254,"DX202")="#N/A FIELD NOT APPLICABLE"), " ", _xll.BDP($AX254,"DX202"))</f>
        <v>Utilities</v>
      </c>
      <c r="I254" s="24">
        <f>_xll.BDP(AX254,"CRNCY_ADJ_MKT_CAP", "EQY_FUND_CRNCY=USD")/1000</f>
        <v>25.27311788132911</v>
      </c>
      <c r="J254" s="25">
        <f>IFERROR(_xll.BDP(AX254, "DV013")/100,0)</f>
        <v>3.5810415894054683E-2</v>
      </c>
      <c r="K254" s="26" cm="1">
        <f t="array" ref="K254">IF(OR(_xll.BDP($AX254,"RR900")= "#N/A N/A", _xll.BDP($AX254,"RR900")="#N/A FIELD NOT APPLICABLE"), " ", _xll.BDP($AX254,"RR900"))</f>
        <v>9.7156592094671108</v>
      </c>
      <c r="L254" s="26" cm="1">
        <f t="array" ref="L254">IF(OR(_xll.BDP($AX254,"EE010")= "#N/A N/A", _xll.BDP($AX254,"EE010")="#N/A FIELD NOT APPLICABLE"), " ", _xll.BDP($AX254,"EE010"))</f>
        <v>10.714733542319749</v>
      </c>
      <c r="M254" s="26" cm="1">
        <f t="array" ref="M254">IF(OR(_xll.BDP($AX254,"RR903")= "#N/A N/A", _xll.BDP($AX254,"RR903")="#N/A FIELD NOT APPLICABLE"), " ", _xll.BDP($AX254,"RR903"))</f>
        <v>2.0136873996747071</v>
      </c>
      <c r="N254" s="26" cm="1">
        <f t="array" ref="N254">IF(OR(_xll.BDP($AX254,"RR957")= "#N/A N/A", _xll.BDP($AX254,"RR957")="#N/A FIELD NOT APPLICABLE"), " ", _xll.BDP($AX254,"RR957"))</f>
        <v>8.1131456257286114</v>
      </c>
      <c r="O254" s="27">
        <v>2967</v>
      </c>
      <c r="P254" s="76">
        <v>15.924609999999999</v>
      </c>
      <c r="Q254" s="22" cm="1">
        <f t="array" ref="Q254">IF(OR(_xll.BDP($AX254,"PX_last")="#N/A N/A",_xll.BDP($AX254,"PX_Last")="#N/A FIELD NOT APPLICABLE")," ",IF(F254="GBP",(_xll.BDP($AX254,"PX_LAST")/100),(_xll.BDP($AX254,"PX_LAST"))))</f>
        <v>17.09</v>
      </c>
      <c r="R254" s="29">
        <f>IF(F254="USD",AA254,(((_xll.BDP(F254&amp;"USD CURNCY","PX_LAST")))*AA254))</f>
        <v>63156.826496828995</v>
      </c>
      <c r="S254" s="29">
        <f>IF(F254="USD",AB254,(((_xll.BDP(F254&amp;"USD CURNCY","PX_LAST")))*AB254))</f>
        <v>67778.750300999993</v>
      </c>
      <c r="T254" s="12">
        <f>S254-R254</f>
        <v>4621.9238041709978</v>
      </c>
      <c r="U254" s="13">
        <f>T254/R254</f>
        <v>7.318169801332651E-2</v>
      </c>
      <c r="V254" s="13" cm="1">
        <f t="array" ref="V254">IFERROR(_xll.BDP($G254&amp;" Equity","CHG_PCT_1D")/100,"")</f>
        <v>1.034585E-2</v>
      </c>
      <c r="W254" s="13" cm="1">
        <f t="array" ref="W254">IFERROR(_xll.BDP($G254&amp;" Equity","CHG_PCT_5D")/100,"")</f>
        <v>5.3962380000000004E-2</v>
      </c>
      <c r="X254" s="13" t="e">
        <f>S254/#REF!</f>
        <v>#REF!</v>
      </c>
      <c r="Y254" s="24">
        <f>IFERROR(S254*J254,0)</f>
        <v>2427.1852370580937</v>
      </c>
      <c r="Z254" s="24">
        <f>S254</f>
        <v>67778.750300999993</v>
      </c>
      <c r="AA254" s="29">
        <f>P254*O254</f>
        <v>47248.317869999999</v>
      </c>
      <c r="AB254" s="29">
        <f>IFERROR(O254*Q254,0)</f>
        <v>50706.03</v>
      </c>
      <c r="AC254" s="4" t="e" cm="1">
        <f t="array" ref="AC254">VLOOKUP(IF(NOT(_xll.BDP(AX254,$BW$8)="#N/A N/A"),(_xll.BDP(AX254,$BW$8)),"-"), '[1]Country Codes'!$A$2:$B$253,2,0)</f>
        <v>#N/A</v>
      </c>
      <c r="AD254" s="30" t="str" cm="1">
        <f t="array" ref="AD254">IF(OR(_xll.BDP($AX254,"EX028")= "#N/A N/A", _xll.BDP($AX254,"EX028")="#N/A FIELD NOT APPLICABLE"), " ", _xll.BDP($AX254,"EX028"))</f>
        <v>Equity</v>
      </c>
      <c r="AE254" s="31" t="str">
        <f>IF(("AS97"="Equity"), " ", "Single Line Equity")</f>
        <v>Single Line Equity</v>
      </c>
      <c r="AF254" s="26" cm="1">
        <f t="array" ref="AF254">IF(OR(_xll.BDP($AX254,"RR908")= "#N/A N/A", _xll.BDP($AX254,"RR908")="#N/A FIELD NOT APPLICABLE"), " ", _xll.BDP($AX254,"RR908"))</f>
        <v>6.4312134771326699</v>
      </c>
      <c r="AG254" s="26" cm="1">
        <f t="array" ref="AG254">IF(OR(_xll.BDP($AX254,"RR041")= "#N/A N/A", _xll.BDP($AX254,"RR041")="#N/A FIELD NOT APPLICABLE"), " ", _xll.BDP($AX254,"RR041"))</f>
        <v>32.308579352109291</v>
      </c>
      <c r="AH254" s="22">
        <f>_xll.BDP(AX254,"TOT_BUY_REC")</f>
        <v>16</v>
      </c>
      <c r="AI254" s="22">
        <f>_xll.BDP(AX254,"TOT_HOLD_REC")</f>
        <v>1</v>
      </c>
      <c r="AJ254" s="22">
        <f>_xll.BDP(AX254,"TOT_SELL_REC")</f>
        <v>0</v>
      </c>
      <c r="AK254" s="26" cm="1">
        <f t="array" ref="AK254">IF(OR(_xll.BDP($AX254,"EE201")= "#N/A N/A", _xll.BDP($AX254,"EE201")="#N/A FIELD NOT APPLICABLE"), " ", _xll.BDP($AX254,"EE201"))</f>
        <v>4.8235292434692383</v>
      </c>
      <c r="AL254" s="24">
        <f>_xll.BDP(AX254,"BEST_TARGET_PRICE")</f>
        <v>2061.800048828125</v>
      </c>
      <c r="AM254" s="32">
        <f>(AL254/Q254)-1</f>
        <v>119.64365411516238</v>
      </c>
      <c r="AN254" s="32">
        <f>_xll.BDP(AX254,"PR061")/100</f>
        <v>6.7457839999999991E-2</v>
      </c>
      <c r="AO254" s="32">
        <f>_xll.BDP(AX254,"PR064")/100</f>
        <v>8.9576030000000001E-2</v>
      </c>
      <c r="AP254" s="32">
        <f>_xll.BDP(AX254,"CHG_PCT_6M")/100</f>
        <v>-6.3953489999999998E-3</v>
      </c>
      <c r="AQ254" s="25">
        <f>_xll.BDP(AX254,"PR079")/100</f>
        <v>6.5461350000000001E-2</v>
      </c>
      <c r="AR254" s="33">
        <f>_xll.BDP(AX254,"hs001")</f>
        <v>2019</v>
      </c>
      <c r="AS254" s="33">
        <f>_xll.BDP(AX254,"hs002")</f>
        <v>1447.5</v>
      </c>
      <c r="AT254" s="22" t="str" cm="1">
        <f t="array" ref="AT254">IF(OR(_xll.BDP($AX254,"DX202")= "#N/A N/A", _xll.BDP($AX254,"DX202")="#N/A FIELD NOT APPLICABLE"), " ", _xll.BDP($AX254,"DX202"))</f>
        <v>Utilities</v>
      </c>
      <c r="AU254" s="22" t="str" cm="1">
        <f t="array" ref="AU254">IF(OR(_xll.BDP($AX254,"DY997")= "#N/A N/A", _xll.BDP($AX254,"DY997")="#N/A FIELD NOT APPLICABLE"), " ", _xll.BDP($AX254,"DY997"))</f>
        <v>N</v>
      </c>
      <c r="AV254" s="22" t="str" cm="1">
        <f t="array" ref="AV254">IF(OR(_xll.BDP($AX254,"DY784")= "#N/A N/A", _xll.BDP($AX254,"DY784")="#N/A FIELD NOT APPLICABLE"), " ", _xll.BDP($AX254,"DY784"))</f>
        <v>N</v>
      </c>
      <c r="AW254" s="22" t="str">
        <f>IF(OR(AU254="Y",AV254="Y"),"Y","N")</f>
        <v>N</v>
      </c>
      <c r="AX254" s="22" t="str">
        <f>CONCATENATE(G254," ",$AX$2)</f>
        <v>SSE LN Equity</v>
      </c>
      <c r="BC254" s="17" t="str" cm="1">
        <f t="array" ref="BC254">_xll.BDP(AX254,"ID005")</f>
        <v>GB0007908733</v>
      </c>
      <c r="BD254" s="17">
        <v>0.75</v>
      </c>
      <c r="BE254" s="18">
        <v>4</v>
      </c>
      <c r="BF254" s="19">
        <v>45540</v>
      </c>
      <c r="BG254" s="20">
        <v>1</v>
      </c>
    </row>
    <row r="255" spans="1:59" s="3" customFormat="1" ht="14.45" customHeight="1" x14ac:dyDescent="0.25">
      <c r="A255" s="49" t="s">
        <v>241</v>
      </c>
      <c r="B255" s="49" t="s">
        <v>270</v>
      </c>
      <c r="C255" s="49" t="s">
        <v>271</v>
      </c>
      <c r="D255" s="49" t="s">
        <v>240</v>
      </c>
      <c r="E255" s="22" t="str">
        <f>_xll.BDP(AX255,"SECURITY NAME")</f>
        <v>SSE PLC</v>
      </c>
      <c r="F255" s="22" t="str">
        <f>_xll.BDP(AX255,"CRNCY")</f>
        <v>GBp</v>
      </c>
      <c r="G255" s="23" t="s">
        <v>343</v>
      </c>
      <c r="H255" s="22" t="str" cm="1">
        <f t="array" ref="H255">IF(OR(_xll.BDP($AX255,"DX202")= "#N/A N/A", _xll.BDP($AX255,"DX202")="#N/A FIELD NOT APPLICABLE"), " ", _xll.BDP($AX255,"DX202"))</f>
        <v>Utilities</v>
      </c>
      <c r="I255" s="24">
        <f>_xll.BDP(AX255,"CRNCY_ADJ_MKT_CAP", "EQY_FUND_CRNCY=USD")/1000</f>
        <v>25.27311788132911</v>
      </c>
      <c r="J255" s="25">
        <f>IFERROR(_xll.BDP(AX255, "DV013")/100,0)</f>
        <v>3.5810415894054683E-2</v>
      </c>
      <c r="K255" s="26" cm="1">
        <f t="array" ref="K255">IF(OR(_xll.BDP($AX255,"RR900")= "#N/A N/A", _xll.BDP($AX255,"RR900")="#N/A FIELD NOT APPLICABLE"), " ", _xll.BDP($AX255,"RR900"))</f>
        <v>9.7156592094671108</v>
      </c>
      <c r="L255" s="26" cm="1">
        <f t="array" ref="L255">IF(OR(_xll.BDP($AX255,"EE010")= "#N/A N/A", _xll.BDP($AX255,"EE010")="#N/A FIELD NOT APPLICABLE"), " ", _xll.BDP($AX255,"EE010"))</f>
        <v>10.714733542319749</v>
      </c>
      <c r="M255" s="26" cm="1">
        <f t="array" ref="M255">IF(OR(_xll.BDP($AX255,"RR903")= "#N/A N/A", _xll.BDP($AX255,"RR903")="#N/A FIELD NOT APPLICABLE"), " ", _xll.BDP($AX255,"RR903"))</f>
        <v>2.0136873996747071</v>
      </c>
      <c r="N255" s="26" cm="1">
        <f t="array" ref="N255">IF(OR(_xll.BDP($AX255,"RR957")= "#N/A N/A", _xll.BDP($AX255,"RR957")="#N/A FIELD NOT APPLICABLE"), " ", _xll.BDP($AX255,"RR957"))</f>
        <v>8.1131456257286114</v>
      </c>
      <c r="O255" s="27">
        <v>4361</v>
      </c>
      <c r="P255" s="28">
        <v>15.924609999999999</v>
      </c>
      <c r="Q255" s="22" cm="1">
        <f t="array" ref="Q255">IF(OR(_xll.BDP($AX255,"PX_last")="#N/A N/A",_xll.BDP($AX255,"PX_Last")="#N/A FIELD NOT APPLICABLE")," ",IF(F255="GBP",(_xll.BDP($AX255,"PX_LAST")/100),(_xll.BDP($AX255,"PX_LAST"))))</f>
        <v>17.09</v>
      </c>
      <c r="R255" s="29">
        <f>IF(F255="USD",AA255,(((_xll.BDP(F255&amp;"USD CURNCY","PX_LAST")))*AA255))</f>
        <v>92830.104601507002</v>
      </c>
      <c r="S255" s="29">
        <f>IF(F255="USD",AB255,(((_xll.BDP(F255&amp;"USD CURNCY","PX_LAST")))*AB255))</f>
        <v>99623.569283000004</v>
      </c>
      <c r="T255" s="12">
        <f>S255-R255</f>
        <v>6793.464681493002</v>
      </c>
      <c r="U255" s="13">
        <f>T255/R255</f>
        <v>7.3181698013326565E-2</v>
      </c>
      <c r="V255" s="13" cm="1">
        <f t="array" ref="V255">IFERROR(_xll.BDP($G255&amp;" Equity","CHG_PCT_1D")/100,"")</f>
        <v>1.034585E-2</v>
      </c>
      <c r="W255" s="13" cm="1">
        <f t="array" ref="W255">IFERROR(_xll.BDP($G255&amp;" Equity","CHG_PCT_5D")/100,"")</f>
        <v>5.3962380000000004E-2</v>
      </c>
      <c r="X255" s="13" t="e">
        <f>S255/#REF!</f>
        <v>#REF!</v>
      </c>
      <c r="Y255" s="24">
        <f>IFERROR(S255*J255,0)</f>
        <v>3567.5614488744013</v>
      </c>
      <c r="Z255" s="24">
        <f>S255</f>
        <v>99623.569283000004</v>
      </c>
      <c r="AA255" s="29">
        <f>P255*O255</f>
        <v>69447.22421</v>
      </c>
      <c r="AB255" s="29">
        <f>IFERROR(O255*Q255,0)</f>
        <v>74529.490000000005</v>
      </c>
      <c r="AC255" s="4" t="e" cm="1">
        <f t="array" ref="AC255">VLOOKUP(IF(NOT(_xll.BDP(AX255,$BW$8)="#N/A N/A"),(_xll.BDP(AX255,$BW$8)),"-"), '[1]Country Codes'!$A$2:$B$253,2,0)</f>
        <v>#N/A</v>
      </c>
      <c r="AD255" s="30" t="str" cm="1">
        <f t="array" ref="AD255">IF(OR(_xll.BDP($AX255,"EX028")= "#N/A N/A", _xll.BDP($AX255,"EX028")="#N/A FIELD NOT APPLICABLE"), " ", _xll.BDP($AX255,"EX028"))</f>
        <v>Equity</v>
      </c>
      <c r="AE255" s="31" t="str">
        <f>IF(("AS97"="Equity"), " ", "Single Line Equity")</f>
        <v>Single Line Equity</v>
      </c>
      <c r="AF255" s="26" cm="1">
        <f t="array" ref="AF255">IF(OR(_xll.BDP($AX255,"RR908")= "#N/A N/A", _xll.BDP($AX255,"RR908")="#N/A FIELD NOT APPLICABLE"), " ", _xll.BDP($AX255,"RR908"))</f>
        <v>6.4312134771326699</v>
      </c>
      <c r="AG255" s="26" cm="1">
        <f t="array" ref="AG255">IF(OR(_xll.BDP($AX255,"RR041")= "#N/A N/A", _xll.BDP($AX255,"RR041")="#N/A FIELD NOT APPLICABLE"), " ", _xll.BDP($AX255,"RR041"))</f>
        <v>32.308579352109291</v>
      </c>
      <c r="AH255" s="22">
        <f>_xll.BDP(AX255,"TOT_BUY_REC")</f>
        <v>16</v>
      </c>
      <c r="AI255" s="22">
        <f>_xll.BDP(AX255,"TOT_HOLD_REC")</f>
        <v>1</v>
      </c>
      <c r="AJ255" s="22">
        <f>_xll.BDP(AX255,"TOT_SELL_REC")</f>
        <v>0</v>
      </c>
      <c r="AK255" s="26" cm="1">
        <f t="array" ref="AK255">IF(OR(_xll.BDP($AX255,"EE201")= "#N/A N/A", _xll.BDP($AX255,"EE201")="#N/A FIELD NOT APPLICABLE"), " ", _xll.BDP($AX255,"EE201"))</f>
        <v>4.8235292434692383</v>
      </c>
      <c r="AL255" s="24">
        <f>_xll.BDP(AX255,"BEST_TARGET_PRICE")</f>
        <v>2061.800048828125</v>
      </c>
      <c r="AM255" s="32">
        <f>(AL255/Q255)-1</f>
        <v>119.64365411516238</v>
      </c>
      <c r="AN255" s="32">
        <f>_xll.BDP(AX255,"PR061")/100</f>
        <v>6.7457839999999991E-2</v>
      </c>
      <c r="AO255" s="32">
        <f>_xll.BDP(AX255,"PR064")/100</f>
        <v>8.9576030000000001E-2</v>
      </c>
      <c r="AP255" s="32">
        <f>_xll.BDP(AX255,"CHG_PCT_6M")/100</f>
        <v>-6.3953489999999998E-3</v>
      </c>
      <c r="AQ255" s="25">
        <f>_xll.BDP(AX255,"PR079")/100</f>
        <v>6.5461350000000001E-2</v>
      </c>
      <c r="AR255" s="33">
        <f>_xll.BDP(AX255,"hs001")</f>
        <v>2019</v>
      </c>
      <c r="AS255" s="33">
        <f>_xll.BDP(AX255,"hs002")</f>
        <v>1447.5</v>
      </c>
      <c r="AT255" s="22" t="str" cm="1">
        <f t="array" ref="AT255">IF(OR(_xll.BDP($AX255,"DX202")= "#N/A N/A", _xll.BDP($AX255,"DX202")="#N/A FIELD NOT APPLICABLE"), " ", _xll.BDP($AX255,"DX202"))</f>
        <v>Utilities</v>
      </c>
      <c r="AU255" s="22" t="str" cm="1">
        <f t="array" ref="AU255">IF(OR(_xll.BDP($AX255,"DY997")= "#N/A N/A", _xll.BDP($AX255,"DY997")="#N/A FIELD NOT APPLICABLE"), " ", _xll.BDP($AX255,"DY997"))</f>
        <v>N</v>
      </c>
      <c r="AV255" s="22" t="str" cm="1">
        <f t="array" ref="AV255">IF(OR(_xll.BDP($AX255,"DY784")= "#N/A N/A", _xll.BDP($AX255,"DY784")="#N/A FIELD NOT APPLICABLE"), " ", _xll.BDP($AX255,"DY784"))</f>
        <v>N</v>
      </c>
      <c r="AW255" s="22" t="str">
        <f>IF(OR(AU255="Y",AV255="Y"),"Y","N")</f>
        <v>N</v>
      </c>
      <c r="AX255" s="22" t="str">
        <f>CONCATENATE(G255," ",$AX$2)</f>
        <v>SSE LN Equity</v>
      </c>
      <c r="BC255" s="17" t="str" cm="1">
        <f t="array" ref="BC255">_xll.BDP(AX255,"ID005")</f>
        <v>GB0007908733</v>
      </c>
      <c r="BD255" s="17">
        <v>0.72</v>
      </c>
      <c r="BE255" s="18">
        <v>4</v>
      </c>
      <c r="BF255" s="19">
        <v>45432</v>
      </c>
      <c r="BG255" s="20">
        <v>1</v>
      </c>
    </row>
    <row r="256" spans="1:59" s="3" customFormat="1" ht="14.45" customHeight="1" x14ac:dyDescent="0.25">
      <c r="A256" s="49" t="s">
        <v>241</v>
      </c>
      <c r="B256" s="49" t="s">
        <v>272</v>
      </c>
      <c r="C256" s="49">
        <v>2620061.0010000002</v>
      </c>
      <c r="D256" s="49" t="s">
        <v>240</v>
      </c>
      <c r="E256" s="22" t="str">
        <f>_xll.BDP(AX256,"SECURITY NAME")</f>
        <v>SSE PLC</v>
      </c>
      <c r="F256" s="22" t="str">
        <f>_xll.BDP(AX256,"CRNCY")</f>
        <v>GBp</v>
      </c>
      <c r="G256" s="23" t="s">
        <v>343</v>
      </c>
      <c r="H256" s="22" t="str" cm="1">
        <f t="array" ref="H256">IF(OR(_xll.BDP($AX256,"DX202")= "#N/A N/A", _xll.BDP($AX256,"DX202")="#N/A FIELD NOT APPLICABLE"), " ", _xll.BDP($AX256,"DX202"))</f>
        <v>Utilities</v>
      </c>
      <c r="I256" s="24">
        <f>_xll.BDP(AX256,"CRNCY_ADJ_MKT_CAP", "EQY_FUND_CRNCY=USD")/1000</f>
        <v>25.27311788132911</v>
      </c>
      <c r="J256" s="25">
        <f>IFERROR(_xll.BDP(AX256, "DV013")/100,0)</f>
        <v>3.5810415894054683E-2</v>
      </c>
      <c r="K256" s="26" cm="1">
        <f t="array" ref="K256">IF(OR(_xll.BDP($AX256,"RR900")= "#N/A N/A", _xll.BDP($AX256,"RR900")="#N/A FIELD NOT APPLICABLE"), " ", _xll.BDP($AX256,"RR900"))</f>
        <v>9.7156592094671108</v>
      </c>
      <c r="L256" s="26" cm="1">
        <f t="array" ref="L256">IF(OR(_xll.BDP($AX256,"EE010")= "#N/A N/A", _xll.BDP($AX256,"EE010")="#N/A FIELD NOT APPLICABLE"), " ", _xll.BDP($AX256,"EE010"))</f>
        <v>10.714733542319749</v>
      </c>
      <c r="M256" s="26" cm="1">
        <f t="array" ref="M256">IF(OR(_xll.BDP($AX256,"RR903")= "#N/A N/A", _xll.BDP($AX256,"RR903")="#N/A FIELD NOT APPLICABLE"), " ", _xll.BDP($AX256,"RR903"))</f>
        <v>2.0136873996747071</v>
      </c>
      <c r="N256" s="26" cm="1">
        <f t="array" ref="N256">IF(OR(_xll.BDP($AX256,"RR957")= "#N/A N/A", _xll.BDP($AX256,"RR957")="#N/A FIELD NOT APPLICABLE"), " ", _xll.BDP($AX256,"RR957"))</f>
        <v>8.1131456257286114</v>
      </c>
      <c r="O256" s="27">
        <v>4050</v>
      </c>
      <c r="P256" s="28">
        <v>15.924609999999999</v>
      </c>
      <c r="Q256" s="22" cm="1">
        <f t="array" ref="Q256">IF(OR(_xll.BDP($AX256,"PX_last")="#N/A N/A",_xll.BDP($AX256,"PX_Last")="#N/A FIELD NOT APPLICABLE")," ",IF(F256="GBP",(_xll.BDP($AX256,"PX_LAST")/100),(_xll.BDP($AX256,"PX_LAST"))))</f>
        <v>17.09</v>
      </c>
      <c r="R256" s="29">
        <f>IF(F256="USD",AA256,(((_xll.BDP(F256&amp;"USD CURNCY","PX_LAST")))*AA256))</f>
        <v>86210.026057349998</v>
      </c>
      <c r="S256" s="29">
        <f>IF(F256="USD",AB256,(((_xll.BDP(F256&amp;"USD CURNCY","PX_LAST")))*AB256))</f>
        <v>92519.022150000004</v>
      </c>
      <c r="T256" s="12">
        <f>S256-R256</f>
        <v>6308.9960926500062</v>
      </c>
      <c r="U256" s="13">
        <f>IFERROR(T256/R256,0)</f>
        <v>7.3181698013326621E-2</v>
      </c>
      <c r="V256" s="13" cm="1">
        <f t="array" ref="V256">IFERROR(_xll.BDP($G256&amp;" Equity","CHG_PCT_1D")/100,"")</f>
        <v>1.034585E-2</v>
      </c>
      <c r="W256" s="13" cm="1">
        <f t="array" ref="W256">IFERROR(_xll.BDP($G256&amp;" Equity","CHG_PCT_5D")/100,"")</f>
        <v>5.3962380000000004E-2</v>
      </c>
      <c r="X256" s="13" t="e">
        <f>S256/#REF!</f>
        <v>#REF!</v>
      </c>
      <c r="Y256" s="24">
        <f>IFERROR(S256*J256,0)</f>
        <v>3313.1446613027574</v>
      </c>
      <c r="Z256" s="24">
        <f>S256</f>
        <v>92519.022150000004</v>
      </c>
      <c r="AA256" s="29">
        <f>P256*O256</f>
        <v>64494.6705</v>
      </c>
      <c r="AB256" s="29">
        <f>IFERROR(O256*Q256,0)</f>
        <v>69214.5</v>
      </c>
      <c r="AC256" s="4" t="e" cm="1">
        <f t="array" ref="AC256">VLOOKUP(IF(NOT(_xll.BDP(AX256,$BW$8)="#N/A N/A"),(_xll.BDP(AX256,$BW$8)),"-"), '[1]Country Codes'!$A$2:$B$253,2,0)</f>
        <v>#N/A</v>
      </c>
      <c r="AD256" s="30" t="str" cm="1">
        <f t="array" ref="AD256">IF(OR(_xll.BDP($AX256,"EX028")= "#N/A N/A", _xll.BDP($AX256,"EX028")="#N/A FIELD NOT APPLICABLE"), " ", _xll.BDP($AX256,"EX028"))</f>
        <v>Equity</v>
      </c>
      <c r="AE256" s="31" t="str">
        <f>IF(("AS97"="Equity"), " ", "Single Line Equity")</f>
        <v>Single Line Equity</v>
      </c>
      <c r="AF256" s="26" cm="1">
        <f t="array" ref="AF256">IF(OR(_xll.BDP($AX256,"RR908")= "#N/A N/A", _xll.BDP($AX256,"RR908")="#N/A FIELD NOT APPLICABLE"), " ", _xll.BDP($AX256,"RR908"))</f>
        <v>6.4312134771326699</v>
      </c>
      <c r="AG256" s="26" cm="1">
        <f t="array" ref="AG256">IF(OR(_xll.BDP($AX256,"RR041")= "#N/A N/A", _xll.BDP($AX256,"RR041")="#N/A FIELD NOT APPLICABLE"), " ", _xll.BDP($AX256,"RR041"))</f>
        <v>32.308579352109291</v>
      </c>
      <c r="AH256" s="22">
        <f>_xll.BDP(AX256,"TOT_BUY_REC")</f>
        <v>16</v>
      </c>
      <c r="AI256" s="22">
        <f>_xll.BDP(AX256,"TOT_HOLD_REC")</f>
        <v>1</v>
      </c>
      <c r="AJ256" s="22">
        <f>_xll.BDP(AX256,"TOT_SELL_REC")</f>
        <v>0</v>
      </c>
      <c r="AK256" s="26" cm="1">
        <f t="array" ref="AK256">IF(OR(_xll.BDP($AX256,"EE201")= "#N/A N/A", _xll.BDP($AX256,"EE201")="#N/A FIELD NOT APPLICABLE"), " ", _xll.BDP($AX256,"EE201"))</f>
        <v>4.8235292434692383</v>
      </c>
      <c r="AL256" s="24">
        <f>_xll.BDP(AX256,"BEST_TARGET_PRICE")</f>
        <v>2061.800048828125</v>
      </c>
      <c r="AM256" s="32">
        <f>(AL256/Q256)-1</f>
        <v>119.64365411516238</v>
      </c>
      <c r="AN256" s="32">
        <f>_xll.BDP(AX256,"PR061")/100</f>
        <v>6.7457839999999991E-2</v>
      </c>
      <c r="AO256" s="32">
        <f>_xll.BDP(AX256,"PR064")/100</f>
        <v>8.9576030000000001E-2</v>
      </c>
      <c r="AP256" s="32">
        <f>_xll.BDP(AX256,"CHG_PCT_6M")/100</f>
        <v>-6.3953489999999998E-3</v>
      </c>
      <c r="AQ256" s="25">
        <f>_xll.BDP(AX256,"PR079")/100</f>
        <v>6.5461350000000001E-2</v>
      </c>
      <c r="AR256" s="33">
        <f>_xll.BDP(AX256,"hs001")</f>
        <v>2019</v>
      </c>
      <c r="AS256" s="33">
        <f>_xll.BDP(AX256,"hs002")</f>
        <v>1447.5</v>
      </c>
      <c r="AT256" s="22" t="str" cm="1">
        <f t="array" ref="AT256">IF(OR(_xll.BDP($AX256,"DX202")= "#N/A N/A", _xll.BDP($AX256,"DX202")="#N/A FIELD NOT APPLICABLE"), " ", _xll.BDP($AX256,"DX202"))</f>
        <v>Utilities</v>
      </c>
      <c r="AU256" s="22" t="str" cm="1">
        <f t="array" ref="AU256">IF(OR(_xll.BDP($AX256,"DY997")= "#N/A N/A", _xll.BDP($AX256,"DY997")="#N/A FIELD NOT APPLICABLE"), " ", _xll.BDP($AX256,"DY997"))</f>
        <v>N</v>
      </c>
      <c r="AV256" s="22" t="str" cm="1">
        <f t="array" ref="AV256">IF(OR(_xll.BDP($AX256,"DY784")= "#N/A N/A", _xll.BDP($AX256,"DY784")="#N/A FIELD NOT APPLICABLE"), " ", _xll.BDP($AX256,"DY784"))</f>
        <v>N</v>
      </c>
      <c r="AW256" s="22" t="str">
        <f>IF(OR(AU256="Y",AV256="Y"),"Y","N")</f>
        <v>N</v>
      </c>
      <c r="AX256" s="22" t="str">
        <f>CONCATENATE(G256," ",$AX$2)</f>
        <v>SSE LN Equity</v>
      </c>
      <c r="BC256" s="17" t="str" cm="1">
        <f t="array" ref="BC256">_xll.BDP(AX256,"ID005")</f>
        <v>GB0007908733</v>
      </c>
      <c r="BD256" s="17">
        <v>0.72</v>
      </c>
      <c r="BE256" s="18">
        <v>4</v>
      </c>
      <c r="BF256" s="19">
        <v>45611</v>
      </c>
      <c r="BG256" s="20">
        <v>1</v>
      </c>
    </row>
    <row r="257" spans="1:59" s="3" customFormat="1" ht="14.45" customHeight="1" x14ac:dyDescent="0.25">
      <c r="A257" s="49" t="s">
        <v>241</v>
      </c>
      <c r="B257" s="49" t="s">
        <v>273</v>
      </c>
      <c r="C257" s="49">
        <v>2620058.003</v>
      </c>
      <c r="D257" s="49" t="s">
        <v>240</v>
      </c>
      <c r="E257" s="22" t="str">
        <f>_xll.BDP(AX257,"SECURITY NAME")</f>
        <v>SSE PLC</v>
      </c>
      <c r="F257" s="22" t="str">
        <f>_xll.BDP(AX257,"CRNCY")</f>
        <v>GBp</v>
      </c>
      <c r="G257" s="23" t="s">
        <v>343</v>
      </c>
      <c r="H257" s="22" t="str" cm="1">
        <f t="array" ref="H257">IF(OR(_xll.BDP($AX257,"DX202")= "#N/A N/A", _xll.BDP($AX257,"DX202")="#N/A FIELD NOT APPLICABLE"), " ", _xll.BDP($AX257,"DX202"))</f>
        <v>Utilities</v>
      </c>
      <c r="I257" s="24"/>
      <c r="J257" s="25">
        <f>IFERROR(_xll.BDP(AX257, "DV013")/100,0)</f>
        <v>3.5810415894054683E-2</v>
      </c>
      <c r="K257" s="26" cm="1">
        <f t="array" ref="K257">IF(OR(_xll.BDP($AX257,"RR900")= "#N/A N/A", _xll.BDP($AX257,"RR900")="#N/A FIELD NOT APPLICABLE"), " ", _xll.BDP($AX257,"RR900"))</f>
        <v>9.7156592094671108</v>
      </c>
      <c r="L257" s="26" cm="1">
        <f t="array" ref="L257">IF(OR(_xll.BDP($AX257,"EE010")= "#N/A N/A", _xll.BDP($AX257,"EE010")="#N/A FIELD NOT APPLICABLE"), " ", _xll.BDP($AX257,"EE010"))</f>
        <v>10.714733542319749</v>
      </c>
      <c r="M257" s="26" cm="1">
        <f t="array" ref="M257">IF(OR(_xll.BDP($AX257,"RR903")= "#N/A N/A", _xll.BDP($AX257,"RR903")="#N/A FIELD NOT APPLICABLE"), " ", _xll.BDP($AX257,"RR903"))</f>
        <v>2.0136873996747071</v>
      </c>
      <c r="N257" s="26" cm="1">
        <f t="array" ref="N257">IF(OR(_xll.BDP($AX257,"RR957")= "#N/A N/A", _xll.BDP($AX257,"RR957")="#N/A FIELD NOT APPLICABLE"), " ", _xll.BDP($AX257,"RR957"))</f>
        <v>8.1131456257286114</v>
      </c>
      <c r="O257" s="27">
        <v>2708</v>
      </c>
      <c r="P257" s="28">
        <v>15.924609999999999</v>
      </c>
      <c r="Q257" s="22" cm="1">
        <f t="array" ref="Q257">IF(OR(_xll.BDP($AX257,"PX_last")="#N/A N/A",_xll.BDP($AX257,"PX_Last")="#N/A FIELD NOT APPLICABLE")," ",IF(F257="GBP",(_xll.BDP($AX257,"PX_LAST")/100),(_xll.BDP($AX257,"PX_LAST"))))</f>
        <v>17.09</v>
      </c>
      <c r="R257" s="29">
        <f>IF(F257="USD",AA257,(((_xll.BDP(F257&amp;"USD CURNCY","PX_LAST")))*AA257))</f>
        <v>57643.642114396003</v>
      </c>
      <c r="S257" s="29">
        <f>IF(F257="USD",AB257,(((_xll.BDP(F257&amp;"USD CURNCY","PX_LAST")))*AB257))</f>
        <v>61862.101724</v>
      </c>
      <c r="T257" s="12">
        <f>S257-R257</f>
        <v>4218.4596096039968</v>
      </c>
      <c r="U257" s="13">
        <f>T257/R257</f>
        <v>7.3181698013326482E-2</v>
      </c>
      <c r="V257" s="13" cm="1">
        <f t="array" ref="V257">IFERROR(_xll.BDP($G257&amp;" Equity","CHG_PCT_1D")/100,"")</f>
        <v>1.034585E-2</v>
      </c>
      <c r="W257" s="13" cm="1">
        <f t="array" ref="W257">IFERROR(_xll.BDP($G257&amp;" Equity","CHG_PCT_5D")/100,"")</f>
        <v>5.3962380000000004E-2</v>
      </c>
      <c r="X257" s="13" t="e">
        <f>S257/#REF!</f>
        <v>#REF!</v>
      </c>
      <c r="Y257" s="24">
        <f>IFERROR(S257*J257,0)</f>
        <v>2215.3075908167571</v>
      </c>
      <c r="Z257" s="24">
        <f>S257</f>
        <v>61862.101724</v>
      </c>
      <c r="AA257" s="29">
        <f>P257*O257</f>
        <v>43123.84388</v>
      </c>
      <c r="AB257" s="29">
        <f>IFERROR(O257*Q257,0)</f>
        <v>46279.72</v>
      </c>
      <c r="AC257" s="4" t="e" cm="1">
        <f t="array" ref="AC257">VLOOKUP(IF(NOT(_xll.BDP(AX257,$BW$8)="#N/A N/A"),(_xll.BDP(AX257,$BW$8)),"-"), '[1]Country Codes'!$A$2:$B$253,2,0)</f>
        <v>#N/A</v>
      </c>
      <c r="AD257" s="30" t="str" cm="1">
        <f t="array" ref="AD257">IF(OR(_xll.BDP($AX257,"EX028")= "#N/A N/A", _xll.BDP($AX257,"EX028")="#N/A FIELD NOT APPLICABLE"), " ", _xll.BDP($AX257,"EX028"))</f>
        <v>Equity</v>
      </c>
      <c r="AE257" s="31" t="str">
        <f>IF(("AS97"="Equity"), " ", "Single Line Equity")</f>
        <v>Single Line Equity</v>
      </c>
      <c r="AF257" s="26" cm="1">
        <f t="array" ref="AF257">IF(OR(_xll.BDP($AX257,"RR908")= "#N/A N/A", _xll.BDP($AX257,"RR908")="#N/A FIELD NOT APPLICABLE"), " ", _xll.BDP($AX257,"RR908"))</f>
        <v>6.4312134771326699</v>
      </c>
      <c r="AG257" s="26" cm="1">
        <f t="array" ref="AG257">IF(OR(_xll.BDP($AX257,"RR041")= "#N/A N/A", _xll.BDP($AX257,"RR041")="#N/A FIELD NOT APPLICABLE"), " ", _xll.BDP($AX257,"RR041"))</f>
        <v>32.308579352109291</v>
      </c>
      <c r="AH257" s="22">
        <f>_xll.BDP(AX257,"TOT_BUY_REC")</f>
        <v>16</v>
      </c>
      <c r="AI257" s="22">
        <f>_xll.BDP(AX257,"TOT_HOLD_REC")</f>
        <v>1</v>
      </c>
      <c r="AJ257" s="22">
        <f>_xll.BDP(AX257,"TOT_SELL_REC")</f>
        <v>0</v>
      </c>
      <c r="AK257" s="26" cm="1">
        <f t="array" ref="AK257">IF(OR(_xll.BDP($AX257,"EE201")= "#N/A N/A", _xll.BDP($AX257,"EE201")="#N/A FIELD NOT APPLICABLE"), " ", _xll.BDP($AX257,"EE201"))</f>
        <v>4.8235292434692383</v>
      </c>
      <c r="AL257" s="24">
        <f>_xll.BDP(AX257,"BEST_TARGET_PRICE")</f>
        <v>2061.800048828125</v>
      </c>
      <c r="AM257" s="32">
        <f>(AL257/Q257)-1</f>
        <v>119.64365411516238</v>
      </c>
      <c r="AN257" s="32">
        <f>_xll.BDP(AX257,"PR061")/100</f>
        <v>6.7457839999999991E-2</v>
      </c>
      <c r="AO257" s="32">
        <f>_xll.BDP(AX257,"PR064")/100</f>
        <v>8.9576030000000001E-2</v>
      </c>
      <c r="AP257" s="32">
        <f>_xll.BDP(AX257,"CHG_PCT_6M")/100</f>
        <v>-6.3953489999999998E-3</v>
      </c>
      <c r="AQ257" s="25">
        <f>_xll.BDP(AX257,"PR079")/100</f>
        <v>6.5461350000000001E-2</v>
      </c>
      <c r="AR257" s="33">
        <f>_xll.BDP(AX257,"hs001")</f>
        <v>2019</v>
      </c>
      <c r="AS257" s="33">
        <f>_xll.BDP(AX257,"hs002")</f>
        <v>1447.5</v>
      </c>
      <c r="AT257" s="22" t="str" cm="1">
        <f t="array" ref="AT257">IF(OR(_xll.BDP($AX257,"DX202")= "#N/A N/A", _xll.BDP($AX257,"DX202")="#N/A FIELD NOT APPLICABLE"), " ", _xll.BDP($AX257,"DX202"))</f>
        <v>Utilities</v>
      </c>
      <c r="AU257" s="22" t="str" cm="1">
        <f t="array" ref="AU257">IF(OR(_xll.BDP($AX257,"DY997")= "#N/A N/A", _xll.BDP($AX257,"DY997")="#N/A FIELD NOT APPLICABLE"), " ", _xll.BDP($AX257,"DY997"))</f>
        <v>N</v>
      </c>
      <c r="AV257" s="22" t="str" cm="1">
        <f t="array" ref="AV257">IF(OR(_xll.BDP($AX257,"DY784")= "#N/A N/A", _xll.BDP($AX257,"DY784")="#N/A FIELD NOT APPLICABLE"), " ", _xll.BDP($AX257,"DY784"))</f>
        <v>N</v>
      </c>
      <c r="AW257" s="22" t="str">
        <f>IF(OR(AU257="Y",AV257="Y"),"Y","N")</f>
        <v>N</v>
      </c>
      <c r="AX257" s="22" t="str">
        <f>CONCATENATE(G257," ",$AX$2)</f>
        <v>SSE LN Equity</v>
      </c>
      <c r="BC257" s="17" t="str" cm="1">
        <f t="array" ref="BC257">_xll.BDP(AX257,"ID005")</f>
        <v>GB0007908733</v>
      </c>
      <c r="BD257" s="17">
        <v>0.72</v>
      </c>
      <c r="BE257" s="18">
        <v>4</v>
      </c>
      <c r="BF257" s="19">
        <v>45611</v>
      </c>
      <c r="BG257" s="20">
        <v>1</v>
      </c>
    </row>
    <row r="258" spans="1:59" s="3" customFormat="1" ht="14.45" customHeight="1" x14ac:dyDescent="0.25">
      <c r="A258" s="49" t="s">
        <v>241</v>
      </c>
      <c r="B258" s="49" t="s">
        <v>276</v>
      </c>
      <c r="C258" s="49" t="s">
        <v>277</v>
      </c>
      <c r="D258" s="49" t="s">
        <v>240</v>
      </c>
      <c r="E258" s="22" t="str">
        <f>_xll.BDP(AX258,"SECURITY NAME")</f>
        <v>SSE PLC</v>
      </c>
      <c r="F258" s="22" t="str">
        <f>_xll.BDP(AX258,"CRNCY")</f>
        <v>GBp</v>
      </c>
      <c r="G258" s="23" t="s">
        <v>343</v>
      </c>
      <c r="H258" s="22" t="str" cm="1">
        <f t="array" ref="H258">IF(OR(_xll.BDP($AX258,"DX202")= "#N/A N/A", _xll.BDP($AX258,"DX202")="#N/A FIELD NOT APPLICABLE"), " ", _xll.BDP($AX258,"DX202"))</f>
        <v>Utilities</v>
      </c>
      <c r="I258" s="24">
        <f>_xll.BDP(AX258,"CRNCY_ADJ_MKT_CAP", "EQY_FUND_CRNCY=USD")/1000</f>
        <v>25.27311788132911</v>
      </c>
      <c r="J258" s="25">
        <f>IFERROR(_xll.BDP(AX258, "DV013")/100,0)</f>
        <v>3.5810415894054683E-2</v>
      </c>
      <c r="K258" s="26" cm="1">
        <f t="array" ref="K258">IF(OR(_xll.BDP($AX258,"RR900")= "#N/A N/A", _xll.BDP($AX258,"RR900")="#N/A FIELD NOT APPLICABLE"), " ", _xll.BDP($AX258,"RR900"))</f>
        <v>9.7156592094671108</v>
      </c>
      <c r="L258" s="26" cm="1">
        <f t="array" ref="L258">IF(OR(_xll.BDP($AX258,"EE010")= "#N/A N/A", _xll.BDP($AX258,"EE010")="#N/A FIELD NOT APPLICABLE"), " ", _xll.BDP($AX258,"EE010"))</f>
        <v>10.714733542319749</v>
      </c>
      <c r="M258" s="26" cm="1">
        <f t="array" ref="M258">IF(OR(_xll.BDP($AX258,"RR903")= "#N/A N/A", _xll.BDP($AX258,"RR903")="#N/A FIELD NOT APPLICABLE"), " ", _xll.BDP($AX258,"RR903"))</f>
        <v>2.0136873996747071</v>
      </c>
      <c r="N258" s="26" cm="1">
        <f t="array" ref="N258">IF(OR(_xll.BDP($AX258,"RR957")= "#N/A N/A", _xll.BDP($AX258,"RR957")="#N/A FIELD NOT APPLICABLE"), " ", _xll.BDP($AX258,"RR957"))</f>
        <v>8.1131456257286114</v>
      </c>
      <c r="O258" s="27">
        <v>6197</v>
      </c>
      <c r="P258" s="28">
        <v>15.924609999999999</v>
      </c>
      <c r="Q258" s="22" cm="1">
        <f t="array" ref="Q258">IF(OR(_xll.BDP($AX258,"PX_last")="#N/A N/A",_xll.BDP($AX258,"PX_Last")="#N/A FIELD NOT APPLICABLE")," ",IF(F258="GBP",(_xll.BDP($AX258,"PX_LAST")/100),(_xll.BDP($AX258,"PX_LAST"))))</f>
        <v>17.09</v>
      </c>
      <c r="R258" s="29">
        <f>IF(F258="USD",AA258,(((_xll.BDP(F258&amp;"USD CURNCY","PX_LAST")))*AA258))</f>
        <v>131911.98308083901</v>
      </c>
      <c r="S258" s="29">
        <f>IF(F258="USD",AB258,(((_xll.BDP(F258&amp;"USD CURNCY","PX_LAST")))*AB258))</f>
        <v>141565.525991</v>
      </c>
      <c r="T258" s="12">
        <f>S258-R258</f>
        <v>9653.5429101609916</v>
      </c>
      <c r="U258" s="13">
        <f>T258/R258</f>
        <v>7.3181698013326468E-2</v>
      </c>
      <c r="V258" s="13" cm="1">
        <f t="array" ref="V258">IFERROR(_xll.BDP($G258&amp;" Equity","CHG_PCT_1D")/100,"")</f>
        <v>1.034585E-2</v>
      </c>
      <c r="W258" s="13" cm="1">
        <f t="array" ref="W258">IFERROR(_xll.BDP($G258&amp;" Equity","CHG_PCT_5D")/100,"")</f>
        <v>5.3962380000000004E-2</v>
      </c>
      <c r="X258" s="13" t="e">
        <f>S258/#REF!</f>
        <v>#REF!</v>
      </c>
      <c r="Y258" s="24">
        <f>IFERROR(S258*J258,0)</f>
        <v>5069.5203619983176</v>
      </c>
      <c r="Z258" s="24">
        <f>S258</f>
        <v>141565.525991</v>
      </c>
      <c r="AA258" s="29">
        <f>P258*O258</f>
        <v>98684.808170000004</v>
      </c>
      <c r="AB258" s="29">
        <f>IFERROR(O258*Q258,0)</f>
        <v>105906.73</v>
      </c>
      <c r="AC258" s="4" t="e" cm="1">
        <f t="array" ref="AC258">VLOOKUP(IF(NOT(_xll.BDP(AX258,$BW$8)="#N/A N/A"),(_xll.BDP(AX258,$BW$8)),"-"), '[1]Country Codes'!$A$2:$B$253,2,0)</f>
        <v>#N/A</v>
      </c>
      <c r="AD258" s="30" t="str" cm="1">
        <f t="array" ref="AD258">IF(OR(_xll.BDP($AX258,"EX028")= "#N/A N/A", _xll.BDP($AX258,"EX028")="#N/A FIELD NOT APPLICABLE"), " ", _xll.BDP($AX258,"EX028"))</f>
        <v>Equity</v>
      </c>
      <c r="AE258" s="31" t="str">
        <f>IF(("AS97"="Equity"), " ", "Single Line Equity")</f>
        <v>Single Line Equity</v>
      </c>
      <c r="AF258" s="26" cm="1">
        <f t="array" ref="AF258">IF(OR(_xll.BDP($AX258,"RR908")= "#N/A N/A", _xll.BDP($AX258,"RR908")="#N/A FIELD NOT APPLICABLE"), " ", _xll.BDP($AX258,"RR908"))</f>
        <v>6.4312134771326699</v>
      </c>
      <c r="AG258" s="26" cm="1">
        <f t="array" ref="AG258">IF(OR(_xll.BDP($AX258,"RR041")= "#N/A N/A", _xll.BDP($AX258,"RR041")="#N/A FIELD NOT APPLICABLE"), " ", _xll.BDP($AX258,"RR041"))</f>
        <v>32.308579352109291</v>
      </c>
      <c r="AH258" s="22">
        <f>_xll.BDP(AX258,"TOT_BUY_REC")</f>
        <v>16</v>
      </c>
      <c r="AI258" s="22">
        <f>_xll.BDP(AX258,"TOT_HOLD_REC")</f>
        <v>1</v>
      </c>
      <c r="AJ258" s="22">
        <f>_xll.BDP(AX258,"TOT_SELL_REC")</f>
        <v>0</v>
      </c>
      <c r="AK258" s="26" cm="1">
        <f t="array" ref="AK258">IF(OR(_xll.BDP($AX258,"EE201")= "#N/A N/A", _xll.BDP($AX258,"EE201")="#N/A FIELD NOT APPLICABLE"), " ", _xll.BDP($AX258,"EE201"))</f>
        <v>4.8235292434692383</v>
      </c>
      <c r="AL258" s="24">
        <f>_xll.BDP(AX258,"BEST_TARGET_PRICE")</f>
        <v>2061.800048828125</v>
      </c>
      <c r="AM258" s="32">
        <f>(AL258/Q258)-1</f>
        <v>119.64365411516238</v>
      </c>
      <c r="AN258" s="32">
        <f>_xll.BDP(AX258,"PR061")/100</f>
        <v>6.7457839999999991E-2</v>
      </c>
      <c r="AO258" s="32">
        <f>_xll.BDP(AX258,"PR064")/100</f>
        <v>8.9576030000000001E-2</v>
      </c>
      <c r="AP258" s="32">
        <f>_xll.BDP(AX258,"CHG_PCT_6M")/100</f>
        <v>-6.3953489999999998E-3</v>
      </c>
      <c r="AQ258" s="25">
        <f>_xll.BDP(AX258,"PR079")/100</f>
        <v>6.5461350000000001E-2</v>
      </c>
      <c r="AR258" s="33">
        <f>_xll.BDP(AX258,"hs001")</f>
        <v>2019</v>
      </c>
      <c r="AS258" s="33">
        <f>_xll.BDP(AX258,"hs002")</f>
        <v>1447.5</v>
      </c>
      <c r="AT258" s="22" t="str" cm="1">
        <f t="array" ref="AT258">IF(OR(_xll.BDP($AX258,"DX202")= "#N/A N/A", _xll.BDP($AX258,"DX202")="#N/A FIELD NOT APPLICABLE"), " ", _xll.BDP($AX258,"DX202"))</f>
        <v>Utilities</v>
      </c>
      <c r="AU258" s="22" t="str" cm="1">
        <f t="array" ref="AU258">IF(OR(_xll.BDP($AX258,"DY997")= "#N/A N/A", _xll.BDP($AX258,"DY997")="#N/A FIELD NOT APPLICABLE"), " ", _xll.BDP($AX258,"DY997"))</f>
        <v>N</v>
      </c>
      <c r="AV258" s="22" t="str" cm="1">
        <f t="array" ref="AV258">IF(OR(_xll.BDP($AX258,"DY784")= "#N/A N/A", _xll.BDP($AX258,"DY784")="#N/A FIELD NOT APPLICABLE"), " ", _xll.BDP($AX258,"DY784"))</f>
        <v>N</v>
      </c>
      <c r="AW258" s="22" t="str">
        <f>IF(OR(AU258="Y",AV258="Y"),"Y","N")</f>
        <v>N</v>
      </c>
      <c r="AX258" s="22" t="str">
        <f>CONCATENATE(G258," ",$AX$2)</f>
        <v>SSE LN Equity</v>
      </c>
      <c r="BC258" s="17" t="str" cm="1">
        <f t="array" ref="BC258">_xll.BDP(AX258,"ID005")</f>
        <v>GB0007908733</v>
      </c>
      <c r="BD258" s="17">
        <v>0.72</v>
      </c>
      <c r="BE258" s="18">
        <v>4</v>
      </c>
      <c r="BF258" s="19">
        <v>45611</v>
      </c>
      <c r="BG258" s="20">
        <v>1</v>
      </c>
    </row>
    <row r="259" spans="1:59" s="3" customFormat="1" ht="14.45" customHeight="1" x14ac:dyDescent="0.25">
      <c r="A259" s="49" t="s">
        <v>242</v>
      </c>
      <c r="B259" s="49" t="s">
        <v>246</v>
      </c>
      <c r="C259" s="49" t="s">
        <v>247</v>
      </c>
      <c r="D259" s="49" t="s">
        <v>248</v>
      </c>
      <c r="E259" s="22" t="str">
        <f>_xll.BDP(AX259,"SECURITY NAME")</f>
        <v>Tencent Holdings Ltd</v>
      </c>
      <c r="F259" s="22" t="str">
        <f>_xll.BDP(AX259,"CRNCY")</f>
        <v>USD</v>
      </c>
      <c r="G259" s="23" t="s">
        <v>144</v>
      </c>
      <c r="H259" s="22" t="str" cm="1">
        <f t="array" ref="H259">IF(OR(_xll.BDP($AX259,"DX202")= "#N/A N/A", _xll.BDP($AX259,"DX202")="#N/A FIELD NOT APPLICABLE"), " ", _xll.BDP($AX259,"DX202"))</f>
        <v>Communication Services</v>
      </c>
      <c r="I259" s="24">
        <f>_xll.BDP(AX259,"CRNCY_ADJ_MKT_CAP", "EQY_FUND_CRNCY=USD")/1000</f>
        <v>598.49532446998001</v>
      </c>
      <c r="J259" s="25">
        <f>IFERROR(_xll.BDP(AX259, "DV013")/100,0)</f>
        <v>8.9219592450931039E-3</v>
      </c>
      <c r="K259" s="26" t="str" cm="1">
        <f t="array" ref="K259">IF(OR(_xll.BDP($AX259,"RR900")= "#N/A N/A", _xll.BDP($AX259,"RR900")="#N/A FIELD NOT APPLICABLE"), " ", _xll.BDP($AX259,"RR900"))</f>
        <v xml:space="preserve"> </v>
      </c>
      <c r="L259" s="26" cm="1">
        <f t="array" ref="L259">IF(OR(_xll.BDP($AX259,"EE010")= "#N/A N/A", _xll.BDP($AX259,"EE010")="#N/A FIELD NOT APPLICABLE"), " ", _xll.BDP($AX259,"EE010"))</f>
        <v>15.94975396758333</v>
      </c>
      <c r="M259" s="26" t="str" cm="1">
        <f t="array" ref="M259">IF(OR(_xll.BDP($AX259,"RR903")= "#N/A N/A", _xll.BDP($AX259,"RR903")="#N/A FIELD NOT APPLICABLE"), " ", _xll.BDP($AX259,"RR903"))</f>
        <v xml:space="preserve"> </v>
      </c>
      <c r="N259" s="26" t="str" cm="1">
        <f t="array" ref="N259">IF(OR(_xll.BDP($AX259,"RR957")= "#N/A N/A", _xll.BDP($AX259,"RR957")="#N/A FIELD NOT APPLICABLE"), " ", _xll.BDP($AX259,"RR957"))</f>
        <v xml:space="preserve"> </v>
      </c>
      <c r="O259" s="27">
        <v>1679</v>
      </c>
      <c r="P259" s="28">
        <v>53.25</v>
      </c>
      <c r="Q259" s="22" cm="1">
        <f t="array" ref="Q259">IF(OR(_xll.BDP($AX259,"PX_last")="#N/A N/A",_xll.BDP($AX259,"PX_Last")="#N/A FIELD NOT APPLICABLE")," ",IF(F259="GBP",(_xll.BDP($AX259,"PX_LAST")/100),(_xll.BDP($AX259,"PX_LAST"))))</f>
        <v>65.03</v>
      </c>
      <c r="R259" s="29">
        <f>IF(F259="USD",AA259,(((_xll.BDP(F259&amp;"USD CURNCY","PX_LAST")))*AA259))</f>
        <v>89406.75</v>
      </c>
      <c r="S259" s="29">
        <f>IF(F259="USD",AB259,(((_xll.BDP(F259&amp;"USD CURNCY","PX_LAST")))*AB259))</f>
        <v>109185.37</v>
      </c>
      <c r="T259" s="12">
        <f>S259-R259</f>
        <v>19778.619999999995</v>
      </c>
      <c r="U259" s="13">
        <f>T259/R259</f>
        <v>0.22122065727699525</v>
      </c>
      <c r="V259" s="13" cm="1">
        <f t="array" ref="V259">IFERROR(_xll.BDP($G259&amp;" Equity","CHG_PCT_1D")/100,"")</f>
        <v>2.1841610000000001E-2</v>
      </c>
      <c r="W259" s="13" cm="1">
        <f t="array" ref="W259">IFERROR(_xll.BDP($G259&amp;" Equity","CHG_PCT_5D")/100,"")</f>
        <v>6.7465529999999996E-2</v>
      </c>
      <c r="X259" s="13" t="e">
        <f>S259/#REF!</f>
        <v>#REF!</v>
      </c>
      <c r="Y259" s="24">
        <f>IFERROR(S259*J259,0)</f>
        <v>974.14742130041122</v>
      </c>
      <c r="Z259" s="24">
        <f>S259</f>
        <v>109185.37</v>
      </c>
      <c r="AA259" s="29">
        <f>P259*O259</f>
        <v>89406.75</v>
      </c>
      <c r="AB259" s="29">
        <f>IFERROR(O259*Q259,0)</f>
        <v>109185.37</v>
      </c>
      <c r="AC259" s="4" t="e" cm="1">
        <f t="array" ref="AC259">VLOOKUP(IF(NOT(_xll.BDP(AX259,$BW$8)="#N/A N/A"),(_xll.BDP(AX259,$BW$8)),"-"), '[1]Country Codes'!$A$2:$B$253,2,0)</f>
        <v>#N/A</v>
      </c>
      <c r="AD259" s="30" t="str" cm="1">
        <f t="array" ref="AD259">IF(OR(_xll.BDP($AX259,"EX028")= "#N/A N/A", _xll.BDP($AX259,"EX028")="#N/A FIELD NOT APPLICABLE"), " ", _xll.BDP($AX259,"EX028"))</f>
        <v>Equity</v>
      </c>
      <c r="AE259" s="31" t="str">
        <f>IF(("AS97"="Equity"), " ", "Single Line Equity")</f>
        <v>Single Line Equity</v>
      </c>
      <c r="AF259" s="26" t="str" cm="1">
        <f t="array" ref="AF259">IF(OR(_xll.BDP($AX259,"RR908")= "#N/A N/A", _xll.BDP($AX259,"RR908")="#N/A FIELD NOT APPLICABLE"), " ", _xll.BDP($AX259,"RR908"))</f>
        <v xml:space="preserve"> </v>
      </c>
      <c r="AG259" s="26" cm="1">
        <f t="array" ref="AG259">IF(OR(_xll.BDP($AX259,"RR041")= "#N/A N/A", _xll.BDP($AX259,"RR041")="#N/A FIELD NOT APPLICABLE"), " ", _xll.BDP($AX259,"RR041"))</f>
        <v>20.107411868084977</v>
      </c>
      <c r="AH259" s="22">
        <f>_xll.BDP(AX259,"TOT_BUY_REC")</f>
        <v>3</v>
      </c>
      <c r="AI259" s="22">
        <f>_xll.BDP(AX259,"TOT_HOLD_REC")</f>
        <v>0</v>
      </c>
      <c r="AJ259" s="22">
        <f>_xll.BDP(AX259,"TOT_SELL_REC")</f>
        <v>0</v>
      </c>
      <c r="AK259" s="26" cm="1">
        <f t="array" ref="AK259">IF(OR(_xll.BDP($AX259,"EE201")= "#N/A N/A", _xll.BDP($AX259,"EE201")="#N/A FIELD NOT APPLICABLE"), " ", _xll.BDP($AX259,"EE201"))</f>
        <v>5</v>
      </c>
      <c r="AL259" s="24">
        <f>_xll.BDP(AX259,"BEST_TARGET_PRICE")</f>
        <v>89.5</v>
      </c>
      <c r="AM259" s="32">
        <f>(AL259/Q259)-1</f>
        <v>0.37628786713824391</v>
      </c>
      <c r="AN259" s="32">
        <f>_xll.BDP(AX259,"PR061")/100</f>
        <v>8.5461530000000008E-2</v>
      </c>
      <c r="AO259" s="32">
        <f>_xll.BDP(AX259,"PR064")/100</f>
        <v>0.2042593</v>
      </c>
      <c r="AP259" s="32">
        <f>_xll.BDP(AX259,"CHG_PCT_6M")/100</f>
        <v>0.2112125</v>
      </c>
      <c r="AQ259" s="25">
        <f>_xll.BDP(AX259,"PR079")/100</f>
        <v>0.2228281</v>
      </c>
      <c r="AR259" s="33">
        <f>_xll.BDP(AX259,"hs001")</f>
        <v>71.819999999999993</v>
      </c>
      <c r="AS259" s="33">
        <f>_xll.BDP(AX259,"hs002")</f>
        <v>44.96</v>
      </c>
      <c r="AT259" s="22" t="str" cm="1">
        <f t="array" ref="AT259">IF(OR(_xll.BDP($AX259,"DX202")= "#N/A N/A", _xll.BDP($AX259,"DX202")="#N/A FIELD NOT APPLICABLE"), " ", _xll.BDP($AX259,"DX202"))</f>
        <v>Communication Services</v>
      </c>
      <c r="AU259" s="22" t="str" cm="1">
        <f t="array" ref="AU259">IF(OR(_xll.BDP($AX259,"DY997")= "#N/A N/A", _xll.BDP($AX259,"DY997")="#N/A FIELD NOT APPLICABLE"), " ", _xll.BDP($AX259,"DY997"))</f>
        <v>N</v>
      </c>
      <c r="AV259" s="22" t="str" cm="1">
        <f t="array" ref="AV259">IF(OR(_xll.BDP($AX259,"DY784")= "#N/A N/A", _xll.BDP($AX259,"DY784")="#N/A FIELD NOT APPLICABLE"), " ", _xll.BDP($AX259,"DY784"))</f>
        <v xml:space="preserve"> </v>
      </c>
      <c r="AW259" s="22" t="str">
        <f>IF(OR(AU259="Y",AV259="Y"),"Y","N")</f>
        <v>N</v>
      </c>
      <c r="AX259" s="22" t="str">
        <f>CONCATENATE(G259," ",$AX$2)</f>
        <v>TCEHY US Equity</v>
      </c>
      <c r="BC259" s="17" t="str" cm="1">
        <f t="array" ref="BC259">_xll.BDP(AX259,"ID005")</f>
        <v>US88032Q1094</v>
      </c>
      <c r="BD259" s="17">
        <v>0.72</v>
      </c>
      <c r="BE259" s="18">
        <v>4</v>
      </c>
      <c r="BF259" s="19">
        <v>45611</v>
      </c>
      <c r="BG259" s="20">
        <v>1</v>
      </c>
    </row>
    <row r="260" spans="1:59" s="3" customFormat="1" ht="14.45" customHeight="1" x14ac:dyDescent="0.25">
      <c r="A260" s="49" t="s">
        <v>242</v>
      </c>
      <c r="B260" s="49" t="s">
        <v>268</v>
      </c>
      <c r="C260" s="49" t="s">
        <v>269</v>
      </c>
      <c r="D260" s="49" t="s">
        <v>248</v>
      </c>
      <c r="E260" s="22" t="str">
        <f>_xll.BDP(AX260,"SECURITY NAME")</f>
        <v>Tencent Holdings Ltd</v>
      </c>
      <c r="F260" s="22" t="str">
        <f>_xll.BDP(AX260,"CRNCY")</f>
        <v>USD</v>
      </c>
      <c r="G260" s="23" t="s">
        <v>144</v>
      </c>
      <c r="H260" s="22" t="str" cm="1">
        <f t="array" ref="H260">IF(OR(_xll.BDP($AX260,"DX202")= "#N/A N/A", _xll.BDP($AX260,"DX202")="#N/A FIELD NOT APPLICABLE"), " ", _xll.BDP($AX260,"DX202"))</f>
        <v>Communication Services</v>
      </c>
      <c r="I260" s="24">
        <f>_xll.BDP(AX260,"CRNCY_ADJ_MKT_CAP", "EQY_FUND_CRNCY=USD")/1000</f>
        <v>598.49532446998001</v>
      </c>
      <c r="J260" s="25">
        <f>IFERROR(_xll.BDP(AX260, "DV013")/100,0)</f>
        <v>8.9219592450931039E-3</v>
      </c>
      <c r="K260" s="26" t="str" cm="1">
        <f t="array" ref="K260">IF(OR(_xll.BDP($AX260,"RR900")= "#N/A N/A", _xll.BDP($AX260,"RR900")="#N/A FIELD NOT APPLICABLE"), " ", _xll.BDP($AX260,"RR900"))</f>
        <v xml:space="preserve"> </v>
      </c>
      <c r="L260" s="26" cm="1">
        <f t="array" ref="L260">IF(OR(_xll.BDP($AX260,"EE010")= "#N/A N/A", _xll.BDP($AX260,"EE010")="#N/A FIELD NOT APPLICABLE"), " ", _xll.BDP($AX260,"EE010"))</f>
        <v>15.94975396758333</v>
      </c>
      <c r="M260" s="26" t="str" cm="1">
        <f t="array" ref="M260">IF(OR(_xll.BDP($AX260,"RR903")= "#N/A N/A", _xll.BDP($AX260,"RR903")="#N/A FIELD NOT APPLICABLE"), " ", _xll.BDP($AX260,"RR903"))</f>
        <v xml:space="preserve"> </v>
      </c>
      <c r="N260" s="26" t="str" cm="1">
        <f t="array" ref="N260">IF(OR(_xll.BDP($AX260,"RR957")= "#N/A N/A", _xll.BDP($AX260,"RR957")="#N/A FIELD NOT APPLICABLE"), " ", _xll.BDP($AX260,"RR957"))</f>
        <v xml:space="preserve"> </v>
      </c>
      <c r="O260" s="27">
        <v>436</v>
      </c>
      <c r="P260" s="28">
        <v>56.13</v>
      </c>
      <c r="Q260" s="22" cm="1">
        <f t="array" ref="Q260">IF(OR(_xll.BDP($AX260,"PX_last")="#N/A N/A",_xll.BDP($AX260,"PX_Last")="#N/A FIELD NOT APPLICABLE")," ",IF(F260="GBP",(_xll.BDP($AX260,"PX_LAST")/100),(_xll.BDP($AX260,"PX_LAST"))))</f>
        <v>65.03</v>
      </c>
      <c r="R260" s="29">
        <f>IF(F260="USD",AA260,(((_xll.BDP(F260&amp;"USD CURNCY","PX_LAST")))*AA260))</f>
        <v>24472.68</v>
      </c>
      <c r="S260" s="29">
        <f>IF(F260="USD",AB260,(((_xll.BDP(F260&amp;"USD CURNCY","PX_LAST")))*AB260))</f>
        <v>28353.08</v>
      </c>
      <c r="T260" s="12">
        <f>S260-R260</f>
        <v>3880.4000000000015</v>
      </c>
      <c r="U260" s="13">
        <f>T260/R260</f>
        <v>0.15856048458934621</v>
      </c>
      <c r="V260" s="13" cm="1">
        <f t="array" ref="V260">IFERROR(_xll.BDP($G260&amp;" Equity","CHG_PCT_1D")/100,"")</f>
        <v>2.1841610000000001E-2</v>
      </c>
      <c r="W260" s="13" cm="1">
        <f t="array" ref="W260">IFERROR(_xll.BDP($G260&amp;" Equity","CHG_PCT_5D")/100,"")</f>
        <v>6.7465529999999996E-2</v>
      </c>
      <c r="X260" s="13" t="e">
        <f>S260/#REF!</f>
        <v>#REF!</v>
      </c>
      <c r="Y260" s="24">
        <f>IFERROR(S260*J260,0)</f>
        <v>252.96502423286441</v>
      </c>
      <c r="Z260" s="24">
        <f>S260</f>
        <v>28353.08</v>
      </c>
      <c r="AA260" s="29">
        <f>P260*O260</f>
        <v>24472.68</v>
      </c>
      <c r="AB260" s="29">
        <f>IFERROR(O260*Q260,0)</f>
        <v>28353.08</v>
      </c>
      <c r="AC260" s="4" t="e" cm="1">
        <f t="array" ref="AC260">VLOOKUP(IF(NOT(_xll.BDP(AX260,$BW$8)="#N/A N/A"),(_xll.BDP(AX260,$BW$8)),"-"), '[1]Country Codes'!$A$2:$B$253,2,0)</f>
        <v>#N/A</v>
      </c>
      <c r="AD260" s="30" t="str" cm="1">
        <f t="array" ref="AD260">IF(OR(_xll.BDP($AX260,"EX028")= "#N/A N/A", _xll.BDP($AX260,"EX028")="#N/A FIELD NOT APPLICABLE"), " ", _xll.BDP($AX260,"EX028"))</f>
        <v>Equity</v>
      </c>
      <c r="AE260" s="31" t="str">
        <f>IF(("AS97"="Equity"), " ", "Single Line Equity")</f>
        <v>Single Line Equity</v>
      </c>
      <c r="AF260" s="26" t="str" cm="1">
        <f t="array" ref="AF260">IF(OR(_xll.BDP($AX260,"RR908")= "#N/A N/A", _xll.BDP($AX260,"RR908")="#N/A FIELD NOT APPLICABLE"), " ", _xll.BDP($AX260,"RR908"))</f>
        <v xml:space="preserve"> </v>
      </c>
      <c r="AG260" s="26" cm="1">
        <f t="array" ref="AG260">IF(OR(_xll.BDP($AX260,"RR041")= "#N/A N/A", _xll.BDP($AX260,"RR041")="#N/A FIELD NOT APPLICABLE"), " ", _xll.BDP($AX260,"RR041"))</f>
        <v>20.107411868084977</v>
      </c>
      <c r="AH260" s="22">
        <f>_xll.BDP(AX260,"TOT_BUY_REC")</f>
        <v>3</v>
      </c>
      <c r="AI260" s="22">
        <f>_xll.BDP(AX260,"TOT_HOLD_REC")</f>
        <v>0</v>
      </c>
      <c r="AJ260" s="22">
        <f>_xll.BDP(AX260,"TOT_SELL_REC")</f>
        <v>0</v>
      </c>
      <c r="AK260" s="26" cm="1">
        <f t="array" ref="AK260">IF(OR(_xll.BDP($AX260,"EE201")= "#N/A N/A", _xll.BDP($AX260,"EE201")="#N/A FIELD NOT APPLICABLE"), " ", _xll.BDP($AX260,"EE201"))</f>
        <v>5</v>
      </c>
      <c r="AL260" s="24">
        <f>_xll.BDP(AX260,"BEST_TARGET_PRICE")</f>
        <v>89.5</v>
      </c>
      <c r="AM260" s="32">
        <f>(AL260/Q260)-1</f>
        <v>0.37628786713824391</v>
      </c>
      <c r="AN260" s="32">
        <f>_xll.BDP(AX260,"PR061")/100</f>
        <v>8.5461530000000008E-2</v>
      </c>
      <c r="AO260" s="32">
        <f>_xll.BDP(AX260,"PR064")/100</f>
        <v>0.2042593</v>
      </c>
      <c r="AP260" s="32">
        <f>_xll.BDP(AX260,"CHG_PCT_6M")/100</f>
        <v>0.2112125</v>
      </c>
      <c r="AQ260" s="25">
        <f>_xll.BDP(AX260,"PR079")/100</f>
        <v>0.2228281</v>
      </c>
      <c r="AR260" s="33">
        <f>_xll.BDP(AX260,"hs001")</f>
        <v>71.819999999999993</v>
      </c>
      <c r="AS260" s="33">
        <f>_xll.BDP(AX260,"hs002")</f>
        <v>44.96</v>
      </c>
      <c r="AT260" s="22" t="str" cm="1">
        <f t="array" ref="AT260">IF(OR(_xll.BDP($AX260,"DX202")= "#N/A N/A", _xll.BDP($AX260,"DX202")="#N/A FIELD NOT APPLICABLE"), " ", _xll.BDP($AX260,"DX202"))</f>
        <v>Communication Services</v>
      </c>
      <c r="AU260" s="22" t="str" cm="1">
        <f t="array" ref="AU260">IF(OR(_xll.BDP($AX260,"DY997")= "#N/A N/A", _xll.BDP($AX260,"DY997")="#N/A FIELD NOT APPLICABLE"), " ", _xll.BDP($AX260,"DY997"))</f>
        <v>N</v>
      </c>
      <c r="AV260" s="22" t="str" cm="1">
        <f t="array" ref="AV260">IF(OR(_xll.BDP($AX260,"DY784")= "#N/A N/A", _xll.BDP($AX260,"DY784")="#N/A FIELD NOT APPLICABLE"), " ", _xll.BDP($AX260,"DY784"))</f>
        <v xml:space="preserve"> </v>
      </c>
      <c r="AW260" s="22" t="str">
        <f>IF(OR(AU260="Y",AV260="Y"),"Y","N")</f>
        <v>N</v>
      </c>
      <c r="AX260" s="22" t="str">
        <f>CONCATENATE(G260," ",$AX$2)</f>
        <v>TCEHY US Equity</v>
      </c>
      <c r="BC260" s="17" t="str" cm="1">
        <f t="array" ref="BC260">_xll.BDP(AX260,"ID005")</f>
        <v>US88032Q1094</v>
      </c>
      <c r="BD260" s="17">
        <v>0.72</v>
      </c>
      <c r="BE260" s="18">
        <v>4</v>
      </c>
      <c r="BF260" s="19">
        <v>45611</v>
      </c>
      <c r="BG260" s="20">
        <v>1</v>
      </c>
    </row>
    <row r="261" spans="1:59" s="3" customFormat="1" ht="14.45" customHeight="1" x14ac:dyDescent="0.25">
      <c r="A261" s="49" t="s">
        <v>242</v>
      </c>
      <c r="B261" s="49" t="s">
        <v>243</v>
      </c>
      <c r="C261" s="49" t="s">
        <v>244</v>
      </c>
      <c r="D261" s="49" t="s">
        <v>245</v>
      </c>
      <c r="E261" s="22" t="str">
        <f>_xll.BDP(AX261,"SECURITY NAME")</f>
        <v>Target Corp</v>
      </c>
      <c r="F261" s="22" t="str">
        <f>_xll.BDP(AX261,"CRNCY")</f>
        <v>USD</v>
      </c>
      <c r="G261" s="23" t="s">
        <v>122</v>
      </c>
      <c r="H261" s="22" t="str" cm="1">
        <f t="array" ref="H261">IF(OR(_xll.BDP($AX261,"DX202")= "#N/A N/A", _xll.BDP($AX261,"DX202")="#N/A FIELD NOT APPLICABLE"), " ", _xll.BDP($AX261,"DX202"))</f>
        <v>Consumer Staples</v>
      </c>
      <c r="I261" s="24">
        <f>_xll.BDP(AX261,"CRNCY_ADJ_MKT_CAP", "EQY_FUND_CRNCY=USD")/1000</f>
        <v>42.718897019579991</v>
      </c>
      <c r="J261" s="25">
        <f>IFERROR(_xll.BDP(AX261, "DV013")/100,0)</f>
        <v>4.7649436493017297E-2</v>
      </c>
      <c r="K261" s="26" cm="1">
        <f t="array" ref="K261">IF(OR(_xll.BDP($AX261,"RR900")= "#N/A N/A", _xll.BDP($AX261,"RR900")="#N/A FIELD NOT APPLICABLE"), " ", _xll.BDP($AX261,"RR900"))</f>
        <v>10.526953025073384</v>
      </c>
      <c r="L261" s="26" cm="1">
        <f t="array" ref="L261">IF(OR(_xll.BDP($AX261,"EE010")= "#N/A N/A", _xll.BDP($AX261,"EE010")="#N/A FIELD NOT APPLICABLE"), " ", _xll.BDP($AX261,"EE010"))</f>
        <v>10.119470455279302</v>
      </c>
      <c r="M261" s="26" cm="1">
        <f t="array" ref="M261">IF(OR(_xll.BDP($AX261,"RR903")= "#N/A N/A", _xll.BDP($AX261,"RR903")="#N/A FIELD NOT APPLICABLE"), " ", _xll.BDP($AX261,"RR903"))</f>
        <v>2.9205241606840207</v>
      </c>
      <c r="N261" s="26" cm="1">
        <f t="array" ref="N261">IF(OR(_xll.BDP($AX261,"RR957")= "#N/A N/A", _xll.BDP($AX261,"RR957")="#N/A FIELD NOT APPLICABLE"), " ", _xll.BDP($AX261,"RR957"))</f>
        <v>6.3045783298353859</v>
      </c>
      <c r="O261" s="27">
        <v>465</v>
      </c>
      <c r="P261" s="28">
        <v>213.81399999999999</v>
      </c>
      <c r="Q261" s="22" cm="1">
        <f t="array" ref="Q261">IF(OR(_xll.BDP($AX261,"PX_last")="#N/A N/A",_xll.BDP($AX261,"PX_Last")="#N/A FIELD NOT APPLICABLE")," ",IF(F261="GBP",(_xll.BDP($AX261,"PX_LAST")/100),(_xll.BDP($AX261,"PX_LAST"))))</f>
        <v>94.02</v>
      </c>
      <c r="R261" s="29">
        <f>IF(F261="USD",AA261,(((_xll.BDP(F261&amp;"USD CURNCY","PX_LAST")))*AA261))</f>
        <v>99423.51</v>
      </c>
      <c r="S261" s="29">
        <f>IF(F261="USD",AB261,(((_xll.BDP(F261&amp;"USD CURNCY","PX_LAST")))*AB261))</f>
        <v>43719.299999999996</v>
      </c>
      <c r="T261" s="12">
        <f>S261-R261</f>
        <v>-55704.21</v>
      </c>
      <c r="U261" s="13">
        <f>T261/R261</f>
        <v>-0.56027201212268607</v>
      </c>
      <c r="V261" s="13" cm="1">
        <f t="array" ref="V261">IFERROR(_xll.BDP($G261&amp;" Equity","CHG_PCT_1D")/100,"")</f>
        <v>0</v>
      </c>
      <c r="W261" s="13" cm="1">
        <f t="array" ref="W261">IFERROR(_xll.BDP($G261&amp;" Equity","CHG_PCT_5D")/100,"")</f>
        <v>-2.9821480000000001E-2</v>
      </c>
      <c r="X261" s="13" t="e">
        <f>S261/#REF!</f>
        <v>#REF!</v>
      </c>
      <c r="Y261" s="24">
        <f>IFERROR(S261*J261,0)</f>
        <v>2083.2000088691707</v>
      </c>
      <c r="Z261" s="24">
        <f>S261</f>
        <v>43719.299999999996</v>
      </c>
      <c r="AA261" s="29">
        <f>P261*O261</f>
        <v>99423.51</v>
      </c>
      <c r="AB261" s="29">
        <f>IFERROR(O261*Q261,0)</f>
        <v>43719.299999999996</v>
      </c>
      <c r="AC261" s="4" t="e" cm="1">
        <f t="array" ref="AC261">VLOOKUP(IF(NOT(_xll.BDP(AX261,$BW$8)="#N/A N/A"),(_xll.BDP(AX261,$BW$8)),"-"), '[1]Country Codes'!$A$2:$B$253,2,0)</f>
        <v>#N/A</v>
      </c>
      <c r="AD261" s="30" t="str" cm="1">
        <f t="array" ref="AD261">IF(OR(_xll.BDP($AX261,"EX028")= "#N/A N/A", _xll.BDP($AX261,"EX028")="#N/A FIELD NOT APPLICABLE"), " ", _xll.BDP($AX261,"EX028"))</f>
        <v>Equity</v>
      </c>
      <c r="AE261" s="31" t="str">
        <f>IF(("AS97"="Equity"), " ", "Single Line Equity")</f>
        <v>Single Line Equity</v>
      </c>
      <c r="AF261" s="26" cm="1">
        <f t="array" ref="AF261">IF(OR(_xll.BDP($AX261,"RR908")= "#N/A N/A", _xll.BDP($AX261,"RR908")="#N/A FIELD NOT APPLICABLE"), " ", _xll.BDP($AX261,"RR908"))</f>
        <v>5.8662534256178924</v>
      </c>
      <c r="AG261" s="26" cm="1">
        <f t="array" ref="AG261">IF(OR(_xll.BDP($AX261,"RR041")= "#N/A N/A", _xll.BDP($AX261,"RR041")="#N/A FIELD NOT APPLICABLE"), " ", _xll.BDP($AX261,"RR041"))</f>
        <v>34.404265263376551</v>
      </c>
      <c r="AH261" s="22">
        <f>_xll.BDP(AX261,"TOT_BUY_REC")</f>
        <v>14</v>
      </c>
      <c r="AI261" s="22">
        <f>_xll.BDP(AX261,"TOT_HOLD_REC")</f>
        <v>25</v>
      </c>
      <c r="AJ261" s="22">
        <f>_xll.BDP(AX261,"TOT_SELL_REC")</f>
        <v>1</v>
      </c>
      <c r="AK261" s="26" cm="1">
        <f t="array" ref="AK261">IF(OR(_xll.BDP($AX261,"EE201")= "#N/A N/A", _xll.BDP($AX261,"EE201")="#N/A FIELD NOT APPLICABLE"), " ", _xll.BDP($AX261,"EE201"))</f>
        <v>3.6500000953674316</v>
      </c>
      <c r="AL261" s="24">
        <f>_xll.BDP(AX261,"BEST_TARGET_PRICE")</f>
        <v>127.05555725097656</v>
      </c>
      <c r="AM261" s="32">
        <f>(AL261/Q261)-1</f>
        <v>0.35136733940625997</v>
      </c>
      <c r="AN261" s="32">
        <f>_xll.BDP(AX261,"PR061")/100</f>
        <v>-1.7760149999999999E-2</v>
      </c>
      <c r="AO261" s="32">
        <f>_xll.BDP(AX261,"PR064")/100</f>
        <v>-0.30190079999999997</v>
      </c>
      <c r="AP261" s="32">
        <f>_xll.BDP(AX261,"CHG_PCT_6M")/100</f>
        <v>-0.36166739999999997</v>
      </c>
      <c r="AQ261" s="25">
        <f>_xll.BDP(AX261,"PR079")/100</f>
        <v>-0.3044829</v>
      </c>
      <c r="AR261" s="33">
        <f>_xll.BDP(AX261,"hs001")</f>
        <v>167.4</v>
      </c>
      <c r="AS261" s="33">
        <f>_xll.BDP(AX261,"hs002")</f>
        <v>87.35</v>
      </c>
      <c r="AT261" s="22" t="str" cm="1">
        <f t="array" ref="AT261">IF(OR(_xll.BDP($AX261,"DX202")= "#N/A N/A", _xll.BDP($AX261,"DX202")="#N/A FIELD NOT APPLICABLE"), " ", _xll.BDP($AX261,"DX202"))</f>
        <v>Consumer Staples</v>
      </c>
      <c r="AU261" s="22" t="str" cm="1">
        <f t="array" ref="AU261">IF(OR(_xll.BDP($AX261,"DY997")= "#N/A N/A", _xll.BDP($AX261,"DY997")="#N/A FIELD NOT APPLICABLE"), " ", _xll.BDP($AX261,"DY997"))</f>
        <v>N</v>
      </c>
      <c r="AV261" s="22" t="str" cm="1">
        <f t="array" ref="AV261">IF(OR(_xll.BDP($AX261,"DY784")= "#N/A N/A", _xll.BDP($AX261,"DY784")="#N/A FIELD NOT APPLICABLE"), " ", _xll.BDP($AX261,"DY784"))</f>
        <v>N</v>
      </c>
      <c r="AW261" s="22" t="str">
        <f>IF(OR(AU261="Y",AV261="Y"),"Y","N")</f>
        <v>N</v>
      </c>
      <c r="AX261" s="22" t="str">
        <f>CONCATENATE(G261," ",$AX$2)</f>
        <v>TGT US Equity</v>
      </c>
      <c r="BC261" s="17" t="str" cm="1">
        <f t="array" ref="BC261">_xll.BDP(AX261,"ID005")</f>
        <v>US87612E1064</v>
      </c>
      <c r="BD261" s="17">
        <v>0.72</v>
      </c>
      <c r="BE261" s="18">
        <v>4</v>
      </c>
      <c r="BF261" s="19">
        <v>45611</v>
      </c>
      <c r="BG261" s="20">
        <v>1</v>
      </c>
    </row>
    <row r="262" spans="1:59" s="3" customFormat="1" ht="14.45" customHeight="1" x14ac:dyDescent="0.25">
      <c r="A262" s="49" t="s">
        <v>241</v>
      </c>
      <c r="B262" s="49" t="s">
        <v>238</v>
      </c>
      <c r="C262" s="49" t="s">
        <v>239</v>
      </c>
      <c r="D262" s="49" t="s">
        <v>240</v>
      </c>
      <c r="E262" s="22" t="str">
        <f>_xll.BDP(AX262,"SECURITY NAME")</f>
        <v>Tesco PLC</v>
      </c>
      <c r="F262" s="22" t="str">
        <f>_xll.BDP(AX262,"CRNCY")</f>
        <v>GBp</v>
      </c>
      <c r="G262" s="23" t="s">
        <v>344</v>
      </c>
      <c r="H262" s="22" t="str" cm="1">
        <f t="array" ref="H262">IF(OR(_xll.BDP($AX262,"DX202")= "#N/A N/A", _xll.BDP($AX262,"DX202")="#N/A FIELD NOT APPLICABLE"), " ", _xll.BDP($AX262,"DX202"))</f>
        <v>Consumer Staples</v>
      </c>
      <c r="I262" s="24">
        <f>_xll.BDP(AX262,"CRNCY_ADJ_MKT_CAP", "EQY_FUND_CRNCY=USD")/1000</f>
        <v>33.883245863671682</v>
      </c>
      <c r="J262" s="25">
        <f>IFERROR(_xll.BDP(AX262, "DV013")/100,0)</f>
        <v>3.6243385738796659E-2</v>
      </c>
      <c r="K262" s="26" cm="1">
        <f t="array" ref="K262">IF(OR(_xll.BDP($AX262,"RR900")= "#N/A N/A", _xll.BDP($AX262,"RR900")="#N/A FIELD NOT APPLICABLE"), " ", _xll.BDP($AX262,"RR900"))</f>
        <v>15.918805668442445</v>
      </c>
      <c r="L262" s="26" cm="1">
        <f t="array" ref="L262">IF(OR(_xll.BDP($AX262,"EE010")= "#N/A N/A", _xll.BDP($AX262,"EE010")="#N/A FIELD NOT APPLICABLE"), " ", _xll.BDP($AX262,"EE010"))</f>
        <v>12.77027027027027</v>
      </c>
      <c r="M262" s="26" cm="1">
        <f t="array" ref="M262">IF(OR(_xll.BDP($AX262,"RR903")= "#N/A N/A", _xll.BDP($AX262,"RR903")="#N/A FIELD NOT APPLICABLE"), " ", _xll.BDP($AX262,"RR903"))</f>
        <v>2.1828614658289047</v>
      </c>
      <c r="N262" s="26" cm="1">
        <f t="array" ref="N262">IF(OR(_xll.BDP($AX262,"RR957")= "#N/A N/A", _xll.BDP($AX262,"RR957")="#N/A FIELD NOT APPLICABLE"), " ", _xll.BDP($AX262,"RR957"))</f>
        <v>7.8870778624877405</v>
      </c>
      <c r="O262" s="27">
        <v>7807</v>
      </c>
      <c r="P262" s="28">
        <v>3.3290000000000002</v>
      </c>
      <c r="Q262" s="22" cm="1">
        <f t="array" ref="Q262">IF(OR(_xll.BDP($AX262,"PX_last")="#N/A N/A",_xll.BDP($AX262,"PX_Last")="#N/A FIELD NOT APPLICABLE")," ",IF(F262="GBP",(_xll.BDP($AX262,"PX_LAST")/100),(_xll.BDP($AX262,"PX_LAST"))))</f>
        <v>3.78</v>
      </c>
      <c r="R262" s="29">
        <f>IF(F262="USD",AA262,(((_xll.BDP(F262&amp;"USD CURNCY","PX_LAST")))*AA262))</f>
        <v>34740.168660100004</v>
      </c>
      <c r="S262" s="29">
        <f>IF(F262="USD",AB262,(((_xll.BDP(F262&amp;"USD CURNCY","PX_LAST")))*AB262))</f>
        <v>39446.631882000001</v>
      </c>
      <c r="T262" s="12">
        <f>S262-R262</f>
        <v>4706.4632218999977</v>
      </c>
      <c r="U262" s="13">
        <f>T262/R262</f>
        <v>0.13547611895464096</v>
      </c>
      <c r="V262" s="13" cm="1">
        <f t="array" ref="V262">IFERROR(_xll.BDP($G262&amp;" Equity","CHG_PCT_1D")/100,"")</f>
        <v>1.886792E-2</v>
      </c>
      <c r="W262" s="13" cm="1">
        <f t="array" ref="W262">IFERROR(_xll.BDP($G262&amp;" Equity","CHG_PCT_5D")/100,"")</f>
        <v>5.7934510000000002E-2</v>
      </c>
      <c r="X262" s="13" t="e">
        <f>S262/#REF!</f>
        <v>#REF!</v>
      </c>
      <c r="Y262" s="24">
        <f>IFERROR(S262*J262,0)</f>
        <v>1429.6794953956405</v>
      </c>
      <c r="Z262" s="24">
        <f>S262</f>
        <v>39446.631882000001</v>
      </c>
      <c r="AA262" s="29">
        <f>P262*O262</f>
        <v>25989.503000000001</v>
      </c>
      <c r="AB262" s="29">
        <f>IFERROR(O262*Q262,0)</f>
        <v>29510.46</v>
      </c>
      <c r="AC262" s="4" t="e" cm="1">
        <f t="array" ref="AC262">VLOOKUP(IF(NOT(_xll.BDP(AX262,$BW$8)="#N/A N/A"),(_xll.BDP(AX262,$BW$8)),"-"), '[1]Country Codes'!$A$2:$B$253,2,0)</f>
        <v>#N/A</v>
      </c>
      <c r="AD262" s="30" t="str" cm="1">
        <f t="array" ref="AD262">IF(OR(_xll.BDP($AX262,"EX028")= "#N/A N/A", _xll.BDP($AX262,"EX028")="#N/A FIELD NOT APPLICABLE"), " ", _xll.BDP($AX262,"EX028"))</f>
        <v>Equity</v>
      </c>
      <c r="AE262" s="31" t="str">
        <f>IF(("AS97"="Equity"), " ", "Single Line Equity")</f>
        <v>Single Line Equity</v>
      </c>
      <c r="AF262" s="26" cm="1">
        <f t="array" ref="AF262">IF(OR(_xll.BDP($AX262,"RR908")= "#N/A N/A", _xll.BDP($AX262,"RR908")="#N/A FIELD NOT APPLICABLE"), " ", _xll.BDP($AX262,"RR908"))</f>
        <v>8.1645344819996204</v>
      </c>
      <c r="AG262" s="26" cm="1">
        <f t="array" ref="AG262">IF(OR(_xll.BDP($AX262,"RR041")= "#N/A N/A", _xll.BDP($AX262,"RR041")="#N/A FIELD NOT APPLICABLE"), " ", _xll.BDP($AX262,"RR041"))</f>
        <v>37.711493957315504</v>
      </c>
      <c r="AH262" s="22">
        <f>_xll.BDP(AX262,"TOT_BUY_REC")</f>
        <v>14</v>
      </c>
      <c r="AI262" s="22">
        <f>_xll.BDP(AX262,"TOT_HOLD_REC")</f>
        <v>3</v>
      </c>
      <c r="AJ262" s="22">
        <f>_xll.BDP(AX262,"TOT_SELL_REC")</f>
        <v>1</v>
      </c>
      <c r="AK262" s="26" cm="1">
        <f t="array" ref="AK262">IF(OR(_xll.BDP($AX262,"EE201")= "#N/A N/A", _xll.BDP($AX262,"EE201")="#N/A FIELD NOT APPLICABLE"), " ", _xll.BDP($AX262,"EE201"))</f>
        <v>4.3888888359069824</v>
      </c>
      <c r="AL262" s="24">
        <f>_xll.BDP(AX262,"BEST_TARGET_PRICE")</f>
        <v>380.33334350585938</v>
      </c>
      <c r="AM262" s="32">
        <f>(AL262/Q262)-1</f>
        <v>99.617286641761751</v>
      </c>
      <c r="AN262" s="32">
        <f>_xll.BDP(AX262,"PR061")/100</f>
        <v>0.11176469999999999</v>
      </c>
      <c r="AO262" s="32">
        <f>_xll.BDP(AX262,"PR064")/100</f>
        <v>-2.3255810000000002E-2</v>
      </c>
      <c r="AP262" s="32">
        <f>_xll.BDP(AX262,"CHG_PCT_6M")/100</f>
        <v>5.793454E-2</v>
      </c>
      <c r="AQ262" s="25">
        <f>_xll.BDP(AX262,"PR079")/100</f>
        <v>2.6337259999999998E-2</v>
      </c>
      <c r="AR262" s="33">
        <f>_xll.BDP(AX262,"hs001")</f>
        <v>398</v>
      </c>
      <c r="AS262" s="33">
        <f>_xll.BDP(AX262,"hs002")</f>
        <v>300.8</v>
      </c>
      <c r="AT262" s="22" t="str" cm="1">
        <f t="array" ref="AT262">IF(OR(_xll.BDP($AX262,"DX202")= "#N/A N/A", _xll.BDP($AX262,"DX202")="#N/A FIELD NOT APPLICABLE"), " ", _xll.BDP($AX262,"DX202"))</f>
        <v>Consumer Staples</v>
      </c>
      <c r="AU262" s="22" t="str" cm="1">
        <f t="array" ref="AU262">IF(OR(_xll.BDP($AX262,"DY997")= "#N/A N/A", _xll.BDP($AX262,"DY997")="#N/A FIELD NOT APPLICABLE"), " ", _xll.BDP($AX262,"DY997"))</f>
        <v>N</v>
      </c>
      <c r="AV262" s="22" t="str" cm="1">
        <f t="array" ref="AV262">IF(OR(_xll.BDP($AX262,"DY784")= "#N/A N/A", _xll.BDP($AX262,"DY784")="#N/A FIELD NOT APPLICABLE"), " ", _xll.BDP($AX262,"DY784"))</f>
        <v>N</v>
      </c>
      <c r="AW262" s="22" t="str">
        <f>IF(OR(AU262="Y",AV262="Y"),"Y","N")</f>
        <v>N</v>
      </c>
      <c r="AX262" s="22" t="str">
        <f>CONCATENATE(G262," ",$AX$2)</f>
        <v>TSCO LN Equity</v>
      </c>
      <c r="BC262" s="17" t="str" cm="1">
        <f t="array" ref="BC262">_xll.BDP(AX262,"ID005")</f>
        <v>GB00BLGZ9862</v>
      </c>
      <c r="BD262" s="17">
        <v>0.72</v>
      </c>
      <c r="BE262" s="18">
        <v>4</v>
      </c>
      <c r="BF262" s="19">
        <v>45611</v>
      </c>
      <c r="BG262" s="20">
        <v>1</v>
      </c>
    </row>
    <row r="263" spans="1:59" s="3" customFormat="1" ht="14.45" customHeight="1" x14ac:dyDescent="0.25">
      <c r="A263" s="49" t="s">
        <v>242</v>
      </c>
      <c r="B263" s="49" t="s">
        <v>243</v>
      </c>
      <c r="C263" s="49" t="s">
        <v>244</v>
      </c>
      <c r="D263" s="49" t="s">
        <v>245</v>
      </c>
      <c r="E263" s="22" t="str">
        <f>_xll.BDP(AX263,"SECURITY NAME")</f>
        <v>Tesco PLC</v>
      </c>
      <c r="F263" s="22" t="str">
        <f>_xll.BDP(AX263,"CRNCY")</f>
        <v>GBp</v>
      </c>
      <c r="G263" s="23" t="s">
        <v>344</v>
      </c>
      <c r="H263" s="22" t="str" cm="1">
        <f t="array" ref="H263">IF(OR(_xll.BDP($AX263,"DX202")= "#N/A N/A", _xll.BDP($AX263,"DX202")="#N/A FIELD NOT APPLICABLE"), " ", _xll.BDP($AX263,"DX202"))</f>
        <v>Consumer Staples</v>
      </c>
      <c r="I263" s="24">
        <f>_xll.BDP(AX263,"CRNCY_ADJ_MKT_CAP", "EQY_FUND_CRNCY=USD")/1000</f>
        <v>33.883245863671682</v>
      </c>
      <c r="J263" s="25">
        <f>IFERROR(_xll.BDP(AX263, "DV013")/100,0)</f>
        <v>3.6243385738796659E-2</v>
      </c>
      <c r="K263" s="26" cm="1">
        <f t="array" ref="K263">IF(OR(_xll.BDP($AX263,"RR900")= "#N/A N/A", _xll.BDP($AX263,"RR900")="#N/A FIELD NOT APPLICABLE"), " ", _xll.BDP($AX263,"RR900"))</f>
        <v>15.918805668442445</v>
      </c>
      <c r="L263" s="26" cm="1">
        <f t="array" ref="L263">IF(OR(_xll.BDP($AX263,"EE010")= "#N/A N/A", _xll.BDP($AX263,"EE010")="#N/A FIELD NOT APPLICABLE"), " ", _xll.BDP($AX263,"EE010"))</f>
        <v>12.77027027027027</v>
      </c>
      <c r="M263" s="26" cm="1">
        <f t="array" ref="M263">IF(OR(_xll.BDP($AX263,"RR903")= "#N/A N/A", _xll.BDP($AX263,"RR903")="#N/A FIELD NOT APPLICABLE"), " ", _xll.BDP($AX263,"RR903"))</f>
        <v>2.1828614658289047</v>
      </c>
      <c r="N263" s="26" cm="1">
        <f t="array" ref="N263">IF(OR(_xll.BDP($AX263,"RR957")= "#N/A N/A", _xll.BDP($AX263,"RR957")="#N/A FIELD NOT APPLICABLE"), " ", _xll.BDP($AX263,"RR957"))</f>
        <v>7.8870778624877405</v>
      </c>
      <c r="O263" s="27">
        <v>22002</v>
      </c>
      <c r="P263" s="28">
        <v>3.33</v>
      </c>
      <c r="Q263" s="22" cm="1">
        <f t="array" ref="Q263">IF(OR(_xll.BDP($AX263,"PX_last")="#N/A N/A",_xll.BDP($AX263,"PX_Last")="#N/A FIELD NOT APPLICABLE")," ",IF(F263="GBP",(_xll.BDP($AX263,"PX_LAST")/100),(_xll.BDP($AX263,"PX_LAST"))))</f>
        <v>3.78</v>
      </c>
      <c r="R263" s="29">
        <f>IF(F263="USD",AA263,(((_xll.BDP(F263&amp;"USD CURNCY","PX_LAST")))*AA263))</f>
        <v>97935.544422000006</v>
      </c>
      <c r="S263" s="29">
        <f>IF(F263="USD",AB263,(((_xll.BDP(F263&amp;"USD CURNCY","PX_LAST")))*AB263))</f>
        <v>111170.077452</v>
      </c>
      <c r="T263" s="12">
        <f>S263-R263</f>
        <v>13234.533029999991</v>
      </c>
      <c r="U263" s="13">
        <f>T263/R263</f>
        <v>0.13513513513513503</v>
      </c>
      <c r="V263" s="13" cm="1">
        <f t="array" ref="V263">IFERROR(_xll.BDP($G263&amp;" Equity","CHG_PCT_1D")/100,"")</f>
        <v>1.886792E-2</v>
      </c>
      <c r="W263" s="13" cm="1">
        <f t="array" ref="W263">IFERROR(_xll.BDP($G263&amp;" Equity","CHG_PCT_5D")/100,"")</f>
        <v>5.7934510000000002E-2</v>
      </c>
      <c r="X263" s="13" t="e">
        <f>S263/#REF!</f>
        <v>#REF!</v>
      </c>
      <c r="Y263" s="24">
        <f>IFERROR(S263*J263,0)</f>
        <v>4029.1799997047369</v>
      </c>
      <c r="Z263" s="24">
        <f>S263</f>
        <v>111170.077452</v>
      </c>
      <c r="AA263" s="29">
        <f>P263*O263</f>
        <v>73266.66</v>
      </c>
      <c r="AB263" s="29">
        <f>IFERROR(O263*Q263,0)</f>
        <v>83167.56</v>
      </c>
      <c r="AC263" s="4" t="e" cm="1">
        <f t="array" ref="AC263">VLOOKUP(IF(NOT(_xll.BDP(AX263,$BW$8)="#N/A N/A"),(_xll.BDP(AX263,$BW$8)),"-"), '[1]Country Codes'!$A$2:$B$253,2,0)</f>
        <v>#N/A</v>
      </c>
      <c r="AD263" s="30" t="str" cm="1">
        <f t="array" ref="AD263">IF(OR(_xll.BDP($AX263,"EX028")= "#N/A N/A", _xll.BDP($AX263,"EX028")="#N/A FIELD NOT APPLICABLE"), " ", _xll.BDP($AX263,"EX028"))</f>
        <v>Equity</v>
      </c>
      <c r="AE263" s="31" t="str">
        <f>IF(("AS97"="Equity"), " ", "Single Line Equity")</f>
        <v>Single Line Equity</v>
      </c>
      <c r="AF263" s="26" cm="1">
        <f t="array" ref="AF263">IF(OR(_xll.BDP($AX263,"RR908")= "#N/A N/A", _xll.BDP($AX263,"RR908")="#N/A FIELD NOT APPLICABLE"), " ", _xll.BDP($AX263,"RR908"))</f>
        <v>8.1645344819996204</v>
      </c>
      <c r="AG263" s="26" cm="1">
        <f t="array" ref="AG263">IF(OR(_xll.BDP($AX263,"RR041")= "#N/A N/A", _xll.BDP($AX263,"RR041")="#N/A FIELD NOT APPLICABLE"), " ", _xll.BDP($AX263,"RR041"))</f>
        <v>37.711493957315504</v>
      </c>
      <c r="AH263" s="22">
        <f>_xll.BDP(AX263,"TOT_BUY_REC")</f>
        <v>14</v>
      </c>
      <c r="AI263" s="22">
        <f>_xll.BDP(AX263,"TOT_HOLD_REC")</f>
        <v>3</v>
      </c>
      <c r="AJ263" s="22">
        <f>_xll.BDP(AX263,"TOT_SELL_REC")</f>
        <v>1</v>
      </c>
      <c r="AK263" s="26" cm="1">
        <f t="array" ref="AK263">IF(OR(_xll.BDP($AX263,"EE201")= "#N/A N/A", _xll.BDP($AX263,"EE201")="#N/A FIELD NOT APPLICABLE"), " ", _xll.BDP($AX263,"EE201"))</f>
        <v>4.3888888359069824</v>
      </c>
      <c r="AL263" s="24">
        <f>_xll.BDP(AX263,"BEST_TARGET_PRICE")</f>
        <v>380.33334350585938</v>
      </c>
      <c r="AM263" s="32">
        <f>(AL263/Q263)-1</f>
        <v>99.617286641761751</v>
      </c>
      <c r="AN263" s="32">
        <f>_xll.BDP(AX263,"PR061")/100</f>
        <v>0.11176469999999999</v>
      </c>
      <c r="AO263" s="32">
        <f>_xll.BDP(AX263,"PR064")/100</f>
        <v>-2.3255810000000002E-2</v>
      </c>
      <c r="AP263" s="32">
        <f>_xll.BDP(AX263,"CHG_PCT_6M")/100</f>
        <v>5.793454E-2</v>
      </c>
      <c r="AQ263" s="25">
        <f>_xll.BDP(AX263,"PR079")/100</f>
        <v>2.6337259999999998E-2</v>
      </c>
      <c r="AR263" s="33">
        <f>_xll.BDP(AX263,"hs001")</f>
        <v>398</v>
      </c>
      <c r="AS263" s="33">
        <f>_xll.BDP(AX263,"hs002")</f>
        <v>300.8</v>
      </c>
      <c r="AT263" s="22" t="str" cm="1">
        <f t="array" ref="AT263">IF(OR(_xll.BDP($AX263,"DX202")= "#N/A N/A", _xll.BDP($AX263,"DX202")="#N/A FIELD NOT APPLICABLE"), " ", _xll.BDP($AX263,"DX202"))</f>
        <v>Consumer Staples</v>
      </c>
      <c r="AU263" s="22" t="str" cm="1">
        <f t="array" ref="AU263">IF(OR(_xll.BDP($AX263,"DY997")= "#N/A N/A", _xll.BDP($AX263,"DY997")="#N/A FIELD NOT APPLICABLE"), " ", _xll.BDP($AX263,"DY997"))</f>
        <v>N</v>
      </c>
      <c r="AV263" s="22" t="str" cm="1">
        <f t="array" ref="AV263">IF(OR(_xll.BDP($AX263,"DY784")= "#N/A N/A", _xll.BDP($AX263,"DY784")="#N/A FIELD NOT APPLICABLE"), " ", _xll.BDP($AX263,"DY784"))</f>
        <v>N</v>
      </c>
      <c r="AW263" s="22" t="str">
        <f>IF(OR(AU263="Y",AV263="Y"),"Y","N")</f>
        <v>N</v>
      </c>
      <c r="AX263" s="22" t="str">
        <f>CONCATENATE(G263," ",$AX$2)</f>
        <v>TSCO LN Equity</v>
      </c>
      <c r="BC263" s="17" t="str" cm="1">
        <f t="array" ref="BC263">_xll.BDP(AX263,"ID005")</f>
        <v>GB00BLGZ9862</v>
      </c>
      <c r="BD263" s="17">
        <v>0.72</v>
      </c>
      <c r="BE263" s="18">
        <v>4</v>
      </c>
      <c r="BF263" s="19">
        <v>45611</v>
      </c>
      <c r="BG263" s="20">
        <v>1</v>
      </c>
    </row>
    <row r="264" spans="1:59" s="3" customFormat="1" ht="14.45" customHeight="1" x14ac:dyDescent="0.25">
      <c r="A264" s="81" t="s">
        <v>242</v>
      </c>
      <c r="B264" s="81" t="s">
        <v>327</v>
      </c>
      <c r="C264" s="81">
        <v>4371511</v>
      </c>
      <c r="D264" s="81" t="s">
        <v>248</v>
      </c>
      <c r="E264" s="40" t="str">
        <f>_xll.BDP(AX264,"SECURITY NAME")</f>
        <v>Tesco PLC</v>
      </c>
      <c r="F264" s="40" t="str">
        <f>_xll.BDP(AX264,"CRNCY")</f>
        <v>GBp</v>
      </c>
      <c r="G264" s="23" t="s">
        <v>344</v>
      </c>
      <c r="H264" s="40" t="str" cm="1">
        <f t="array" ref="H264">IF(OR(_xll.BDP($AX264,"DX202")= "#N/A N/A", _xll.BDP($AX264,"DX202")="#N/A FIELD NOT APPLICABLE"), " ", _xll.BDP($AX264,"DX202"))</f>
        <v>Consumer Staples</v>
      </c>
      <c r="I264" s="82">
        <f>_xll.BDP(AX264,"CRNCY_ADJ_MKT_CAP", "EQY_FUND_CRNCY=USD")/1000</f>
        <v>33.883245863671682</v>
      </c>
      <c r="J264" s="83">
        <f>IFERROR(_xll.BDP(AX264, "DV013")/100,0)</f>
        <v>3.6243385738796659E-2</v>
      </c>
      <c r="K264" s="84" cm="1">
        <f t="array" ref="K264">IF(OR(_xll.BDP($AX264,"RR900")= "#N/A N/A", _xll.BDP($AX264,"RR900")="#N/A FIELD NOT APPLICABLE"), " ", _xll.BDP($AX264,"RR900"))</f>
        <v>15.918805668442445</v>
      </c>
      <c r="L264" s="84" cm="1">
        <f t="array" ref="L264">IF(OR(_xll.BDP($AX264,"EE010")= "#N/A N/A", _xll.BDP($AX264,"EE010")="#N/A FIELD NOT APPLICABLE"), " ", _xll.BDP($AX264,"EE010"))</f>
        <v>12.77027027027027</v>
      </c>
      <c r="M264" s="84" cm="1">
        <f t="array" ref="M264">IF(OR(_xll.BDP($AX264,"RR903")= "#N/A N/A", _xll.BDP($AX264,"RR903")="#N/A FIELD NOT APPLICABLE"), " ", _xll.BDP($AX264,"RR903"))</f>
        <v>2.1828614658289047</v>
      </c>
      <c r="N264" s="84" cm="1">
        <f t="array" ref="N264">IF(OR(_xll.BDP($AX264,"RR957")= "#N/A N/A", _xll.BDP($AX264,"RR957")="#N/A FIELD NOT APPLICABLE"), " ", _xll.BDP($AX264,"RR957"))</f>
        <v>7.8870778624877405</v>
      </c>
      <c r="O264" s="27">
        <v>23314</v>
      </c>
      <c r="P264" s="28">
        <v>3.24</v>
      </c>
      <c r="Q264" s="40" cm="1">
        <f t="array" ref="Q264">IF(OR(_xll.BDP($AX264,"PX_last")="#N/A N/A",_xll.BDP($AX264,"PX_Last")="#N/A FIELD NOT APPLICABLE")," ",IF(F264="GBP",(_xll.BDP($AX264,"PX_LAST")/100),(_xll.BDP($AX264,"PX_LAST"))))</f>
        <v>3.78</v>
      </c>
      <c r="R264" s="85">
        <f>IF(F264="USD",AA264,(((_xll.BDP(F264&amp;"USD CURNCY","PX_LAST")))*AA264))</f>
        <v>100970.789112</v>
      </c>
      <c r="S264" s="85">
        <f>IF(F264="USD",AB264,(((_xll.BDP(F264&amp;"USD CURNCY","PX_LAST")))*AB264))</f>
        <v>117799.253964</v>
      </c>
      <c r="T264" s="86">
        <f>S264-R264</f>
        <v>16828.464852000005</v>
      </c>
      <c r="U264" s="87">
        <f>T264/R264</f>
        <v>0.16666666666666671</v>
      </c>
      <c r="V264" s="87" cm="1">
        <f t="array" ref="V264">IFERROR(_xll.BDP($G264&amp;" Equity","CHG_PCT_1D")/100,"")</f>
        <v>1.886792E-2</v>
      </c>
      <c r="W264" s="87" cm="1">
        <f t="array" ref="W264">IFERROR(_xll.BDP($G264&amp;" Equity","CHG_PCT_5D")/100,"")</f>
        <v>5.7934510000000002E-2</v>
      </c>
      <c r="X264" s="87" t="e">
        <f>S264/#REF!</f>
        <v>#REF!</v>
      </c>
      <c r="Y264" s="82">
        <f>IFERROR(S264*J264,0)</f>
        <v>4269.4438011597231</v>
      </c>
      <c r="Z264" s="82">
        <f>S264</f>
        <v>117799.253964</v>
      </c>
      <c r="AA264" s="85">
        <f>P264*O264</f>
        <v>75537.36</v>
      </c>
      <c r="AB264" s="85">
        <f>IFERROR(O264*Q264,0)</f>
        <v>88126.92</v>
      </c>
      <c r="AC264" s="88" t="e" cm="1">
        <f t="array" ref="AC264">VLOOKUP(IF(NOT(_xll.BDP(AX264,$BW$8)="#N/A N/A"),(_xll.BDP(AX264,$BW$8)),"-"), '[1]Country Codes'!$A$2:$B$253,2,0)</f>
        <v>#N/A</v>
      </c>
      <c r="AD264" s="89" t="str" cm="1">
        <f t="array" ref="AD264">IF(OR(_xll.BDP($AX264,"EX028")= "#N/A N/A", _xll.BDP($AX264,"EX028")="#N/A FIELD NOT APPLICABLE"), " ", _xll.BDP($AX264,"EX028"))</f>
        <v>Equity</v>
      </c>
      <c r="AE264" s="90" t="str">
        <f>IF(("AS97"="Equity"), " ", "Single Line Equity")</f>
        <v>Single Line Equity</v>
      </c>
      <c r="AF264" s="84" cm="1">
        <f t="array" ref="AF264">IF(OR(_xll.BDP($AX264,"RR908")= "#N/A N/A", _xll.BDP($AX264,"RR908")="#N/A FIELD NOT APPLICABLE"), " ", _xll.BDP($AX264,"RR908"))</f>
        <v>8.1645344819996204</v>
      </c>
      <c r="AG264" s="84" cm="1">
        <f t="array" ref="AG264">IF(OR(_xll.BDP($AX264,"RR041")= "#N/A N/A", _xll.BDP($AX264,"RR041")="#N/A FIELD NOT APPLICABLE"), " ", _xll.BDP($AX264,"RR041"))</f>
        <v>37.711493957315504</v>
      </c>
      <c r="AH264" s="40">
        <f>_xll.BDP(AX264,"TOT_BUY_REC")</f>
        <v>14</v>
      </c>
      <c r="AI264" s="40">
        <f>_xll.BDP(AX264,"TOT_HOLD_REC")</f>
        <v>3</v>
      </c>
      <c r="AJ264" s="40">
        <f>_xll.BDP(AX264,"TOT_SELL_REC")</f>
        <v>1</v>
      </c>
      <c r="AK264" s="84" cm="1">
        <f t="array" ref="AK264">IF(OR(_xll.BDP($AX264,"EE201")= "#N/A N/A", _xll.BDP($AX264,"EE201")="#N/A FIELD NOT APPLICABLE"), " ", _xll.BDP($AX264,"EE201"))</f>
        <v>4.3888888359069824</v>
      </c>
      <c r="AL264" s="82">
        <f>_xll.BDP(AX264,"BEST_TARGET_PRICE")</f>
        <v>380.33334350585938</v>
      </c>
      <c r="AM264" s="91">
        <f>(AL264/Q264)-1</f>
        <v>99.617286641761751</v>
      </c>
      <c r="AN264" s="91">
        <f>_xll.BDP(AX264,"PR061")/100</f>
        <v>0.11176469999999999</v>
      </c>
      <c r="AO264" s="91">
        <f>_xll.BDP(AX264,"PR064")/100</f>
        <v>-2.3255810000000002E-2</v>
      </c>
      <c r="AP264" s="91">
        <f>_xll.BDP(AX264,"CHG_PCT_6M")/100</f>
        <v>5.793454E-2</v>
      </c>
      <c r="AQ264" s="83">
        <f>_xll.BDP(AX264,"PR079")/100</f>
        <v>2.6337259999999998E-2</v>
      </c>
      <c r="AR264" s="92">
        <f>_xll.BDP(AX264,"hs001")</f>
        <v>398</v>
      </c>
      <c r="AS264" s="92">
        <f>_xll.BDP(AX264,"hs002")</f>
        <v>300.8</v>
      </c>
      <c r="AT264" s="40" t="str" cm="1">
        <f t="array" ref="AT264">IF(OR(_xll.BDP($AX264,"DX202")= "#N/A N/A", _xll.BDP($AX264,"DX202")="#N/A FIELD NOT APPLICABLE"), " ", _xll.BDP($AX264,"DX202"))</f>
        <v>Consumer Staples</v>
      </c>
      <c r="AU264" s="40" t="str" cm="1">
        <f t="array" ref="AU264">IF(OR(_xll.BDP($AX264,"DY997")= "#N/A N/A", _xll.BDP($AX264,"DY997")="#N/A FIELD NOT APPLICABLE"), " ", _xll.BDP($AX264,"DY997"))</f>
        <v>N</v>
      </c>
      <c r="AV264" s="40" t="str" cm="1">
        <f t="array" ref="AV264">IF(OR(_xll.BDP($AX264,"DY784")= "#N/A N/A", _xll.BDP($AX264,"DY784")="#N/A FIELD NOT APPLICABLE"), " ", _xll.BDP($AX264,"DY784"))</f>
        <v>N</v>
      </c>
      <c r="AW264" s="40" t="str">
        <f>IF(OR(AU264="Y",AV264="Y"),"Y","N")</f>
        <v>N</v>
      </c>
      <c r="AX264" s="40" t="str">
        <f>CONCATENATE(G264," ",$AX$2)</f>
        <v>TSCO LN Equity</v>
      </c>
      <c r="BC264" s="17" t="str" cm="1">
        <f t="array" ref="BC264">_xll.BDP(AX264,"ID005")</f>
        <v>GB00BLGZ9862</v>
      </c>
      <c r="BD264" s="17">
        <v>0.72</v>
      </c>
      <c r="BE264" s="18">
        <v>4</v>
      </c>
      <c r="BF264" s="19">
        <v>45611</v>
      </c>
      <c r="BG264" s="20">
        <v>1</v>
      </c>
    </row>
    <row r="265" spans="1:59" s="3" customFormat="1" ht="14.45" customHeight="1" x14ac:dyDescent="0.25">
      <c r="A265" s="49" t="s">
        <v>241</v>
      </c>
      <c r="B265" s="49" t="s">
        <v>249</v>
      </c>
      <c r="C265" s="49" t="s">
        <v>250</v>
      </c>
      <c r="D265" s="49" t="s">
        <v>240</v>
      </c>
      <c r="E265" s="22" t="str">
        <f>_xll.BDP(AX265,"SECURITY NAME")</f>
        <v>Tesco PLC</v>
      </c>
      <c r="F265" s="22" t="str">
        <f>_xll.BDP(AX265,"CRNCY")</f>
        <v>GBp</v>
      </c>
      <c r="G265" s="23" t="s">
        <v>344</v>
      </c>
      <c r="H265" s="22" t="str" cm="1">
        <f t="array" ref="H265">IF(OR(_xll.BDP($AX265,"DX202")= "#N/A N/A", _xll.BDP($AX265,"DX202")="#N/A FIELD NOT APPLICABLE"), " ", _xll.BDP($AX265,"DX202"))</f>
        <v>Consumer Staples</v>
      </c>
      <c r="I265" s="24">
        <f>_xll.BDP(AX265,"CRNCY_ADJ_MKT_CAP", "EQY_FUND_CRNCY=USD")/1000</f>
        <v>33.883245863671682</v>
      </c>
      <c r="J265" s="25">
        <f>IFERROR(_xll.BDP(AX265, "DV013")/100,0)</f>
        <v>3.6243385738796659E-2</v>
      </c>
      <c r="K265" s="26" cm="1">
        <f t="array" ref="K265">IF(OR(_xll.BDP($AX265,"RR900")= "#N/A N/A", _xll.BDP($AX265,"RR900")="#N/A FIELD NOT APPLICABLE"), " ", _xll.BDP($AX265,"RR900"))</f>
        <v>15.918805668442445</v>
      </c>
      <c r="L265" s="26" cm="1">
        <f t="array" ref="L265">IF(OR(_xll.BDP($AX265,"EE010")= "#N/A N/A", _xll.BDP($AX265,"EE010")="#N/A FIELD NOT APPLICABLE"), " ", _xll.BDP($AX265,"EE010"))</f>
        <v>12.77027027027027</v>
      </c>
      <c r="M265" s="26" cm="1">
        <f t="array" ref="M265">IF(OR(_xll.BDP($AX265,"RR903")= "#N/A N/A", _xll.BDP($AX265,"RR903")="#N/A FIELD NOT APPLICABLE"), " ", _xll.BDP($AX265,"RR903"))</f>
        <v>2.1828614658289047</v>
      </c>
      <c r="N265" s="26" cm="1">
        <f t="array" ref="N265">IF(OR(_xll.BDP($AX265,"RR957")= "#N/A N/A", _xll.BDP($AX265,"RR957")="#N/A FIELD NOT APPLICABLE"), " ", _xll.BDP($AX265,"RR957"))</f>
        <v>7.8870778624877405</v>
      </c>
      <c r="O265" s="27">
        <v>16265</v>
      </c>
      <c r="P265" s="28">
        <v>3.3290000000000002</v>
      </c>
      <c r="Q265" s="22" cm="1">
        <f t="array" ref="Q265">IF(OR(_xll.BDP($AX265,"PX_last")="#N/A N/A",_xll.BDP($AX265,"PX_Last")="#N/A FIELD NOT APPLICABLE")," ",IF(F265="GBP",(_xll.BDP($AX265,"PX_LAST")/100),(_xll.BDP($AX265,"PX_LAST"))))</f>
        <v>3.78</v>
      </c>
      <c r="R265" s="29">
        <f>IF(F265="USD",AA265,(((_xll.BDP(F265&amp;"USD CURNCY","PX_LAST")))*AA265))</f>
        <v>72377.205489500004</v>
      </c>
      <c r="S265" s="29">
        <f>IF(F265="USD",AB265,(((_xll.BDP(F265&amp;"USD CURNCY","PX_LAST")))*AB265))</f>
        <v>82182.58838999999</v>
      </c>
      <c r="T265" s="12">
        <f>S265-R265</f>
        <v>9805.3829004999861</v>
      </c>
      <c r="U265" s="13">
        <f>T265/R265</f>
        <v>0.13547611895464085</v>
      </c>
      <c r="V265" s="13" cm="1">
        <f t="array" ref="V265">IFERROR(_xll.BDP($G265&amp;" Equity","CHG_PCT_1D")/100,"")</f>
        <v>1.886792E-2</v>
      </c>
      <c r="W265" s="13" cm="1">
        <f t="array" ref="W265">IFERROR(_xll.BDP($G265&amp;" Equity","CHG_PCT_5D")/100,"")</f>
        <v>5.7934510000000002E-2</v>
      </c>
      <c r="X265" s="13" t="e">
        <f>S265/#REF!</f>
        <v>#REF!</v>
      </c>
      <c r="Y265" s="24">
        <f>IFERROR(S265*J265,0)</f>
        <v>2978.5752520315214</v>
      </c>
      <c r="Z265" s="24">
        <f>S265</f>
        <v>82182.58838999999</v>
      </c>
      <c r="AA265" s="29">
        <f>P265*O265</f>
        <v>54146.185000000005</v>
      </c>
      <c r="AB265" s="29">
        <f>IFERROR(O265*Q265,0)</f>
        <v>61481.7</v>
      </c>
      <c r="AC265" s="4" t="e" cm="1">
        <f t="array" ref="AC265">VLOOKUP(IF(NOT(_xll.BDP(AX265,$BW$8)="#N/A N/A"),(_xll.BDP(AX265,$BW$8)),"-"), '[1]Country Codes'!$A$2:$B$253,2,0)</f>
        <v>#N/A</v>
      </c>
      <c r="AD265" s="30" t="str" cm="1">
        <f t="array" ref="AD265">IF(OR(_xll.BDP($AX265,"EX028")= "#N/A N/A", _xll.BDP($AX265,"EX028")="#N/A FIELD NOT APPLICABLE"), " ", _xll.BDP($AX265,"EX028"))</f>
        <v>Equity</v>
      </c>
      <c r="AE265" s="31" t="str">
        <f>IF(("AS97"="Equity"), " ", "Single Line Equity")</f>
        <v>Single Line Equity</v>
      </c>
      <c r="AF265" s="26" cm="1">
        <f t="array" ref="AF265">IF(OR(_xll.BDP($AX265,"RR908")= "#N/A N/A", _xll.BDP($AX265,"RR908")="#N/A FIELD NOT APPLICABLE"), " ", _xll.BDP($AX265,"RR908"))</f>
        <v>8.1645344819996204</v>
      </c>
      <c r="AG265" s="26" cm="1">
        <f t="array" ref="AG265">IF(OR(_xll.BDP($AX265,"RR041")= "#N/A N/A", _xll.BDP($AX265,"RR041")="#N/A FIELD NOT APPLICABLE"), " ", _xll.BDP($AX265,"RR041"))</f>
        <v>37.711493957315504</v>
      </c>
      <c r="AH265" s="22">
        <f>_xll.BDP(AX265,"TOT_BUY_REC")</f>
        <v>14</v>
      </c>
      <c r="AI265" s="22">
        <f>_xll.BDP(AX265,"TOT_HOLD_REC")</f>
        <v>3</v>
      </c>
      <c r="AJ265" s="22">
        <f>_xll.BDP(AX265,"TOT_SELL_REC")</f>
        <v>1</v>
      </c>
      <c r="AK265" s="26" cm="1">
        <f t="array" ref="AK265">IF(OR(_xll.BDP($AX265,"EE201")= "#N/A N/A", _xll.BDP($AX265,"EE201")="#N/A FIELD NOT APPLICABLE"), " ", _xll.BDP($AX265,"EE201"))</f>
        <v>4.3888888359069824</v>
      </c>
      <c r="AL265" s="24">
        <f>_xll.BDP(AX265,"BEST_TARGET_PRICE")</f>
        <v>380.33334350585938</v>
      </c>
      <c r="AM265" s="32">
        <f>(AL265/Q265)-1</f>
        <v>99.617286641761751</v>
      </c>
      <c r="AN265" s="32">
        <f>_xll.BDP(AX265,"PR061")/100</f>
        <v>0.11176469999999999</v>
      </c>
      <c r="AO265" s="32">
        <f>_xll.BDP(AX265,"PR064")/100</f>
        <v>-2.3255810000000002E-2</v>
      </c>
      <c r="AP265" s="32">
        <f>_xll.BDP(AX265,"CHG_PCT_6M")/100</f>
        <v>5.793454E-2</v>
      </c>
      <c r="AQ265" s="25">
        <f>_xll.BDP(AX265,"PR079")/100</f>
        <v>2.6337259999999998E-2</v>
      </c>
      <c r="AR265" s="33">
        <f>_xll.BDP(AX265,"hs001")</f>
        <v>398</v>
      </c>
      <c r="AS265" s="33">
        <f>_xll.BDP(AX265,"hs002")</f>
        <v>300.8</v>
      </c>
      <c r="AT265" s="22" t="str" cm="1">
        <f t="array" ref="AT265">IF(OR(_xll.BDP($AX265,"DX202")= "#N/A N/A", _xll.BDP($AX265,"DX202")="#N/A FIELD NOT APPLICABLE"), " ", _xll.BDP($AX265,"DX202"))</f>
        <v>Consumer Staples</v>
      </c>
      <c r="AU265" s="22" t="str" cm="1">
        <f t="array" ref="AU265">IF(OR(_xll.BDP($AX265,"DY997")= "#N/A N/A", _xll.BDP($AX265,"DY997")="#N/A FIELD NOT APPLICABLE"), " ", _xll.BDP($AX265,"DY997"))</f>
        <v>N</v>
      </c>
      <c r="AV265" s="22" t="str" cm="1">
        <f t="array" ref="AV265">IF(OR(_xll.BDP($AX265,"DY784")= "#N/A N/A", _xll.BDP($AX265,"DY784")="#N/A FIELD NOT APPLICABLE"), " ", _xll.BDP($AX265,"DY784"))</f>
        <v>N</v>
      </c>
      <c r="AW265" s="22" t="str">
        <f>IF(OR(AU265="Y",AV265="Y"),"Y","N")</f>
        <v>N</v>
      </c>
      <c r="AX265" s="22" t="str">
        <f>CONCATENATE(G265," ",$AX$2)</f>
        <v>TSCO LN Equity</v>
      </c>
      <c r="BC265" s="17" t="str" cm="1">
        <f t="array" ref="BC265">_xll.BDP(AX265,"ID005")</f>
        <v>GB00BLGZ9862</v>
      </c>
      <c r="BD265" s="17">
        <v>0.75</v>
      </c>
      <c r="BE265" s="18">
        <v>4</v>
      </c>
      <c r="BF265" s="19">
        <v>45540</v>
      </c>
      <c r="BG265" s="20">
        <v>1</v>
      </c>
    </row>
    <row r="266" spans="1:59" s="3" customFormat="1" ht="14.45" customHeight="1" x14ac:dyDescent="0.25">
      <c r="A266" s="49" t="s">
        <v>241</v>
      </c>
      <c r="B266" s="49" t="s">
        <v>251</v>
      </c>
      <c r="C266" s="49" t="s">
        <v>252</v>
      </c>
      <c r="D266" s="49" t="s">
        <v>240</v>
      </c>
      <c r="E266" s="22" t="str">
        <f>_xll.BDP(AX266,"SECURITY NAME")</f>
        <v>Tesco PLC</v>
      </c>
      <c r="F266" s="22" t="str">
        <f>_xll.BDP(AX266,"CRNCY")</f>
        <v>GBp</v>
      </c>
      <c r="G266" s="23" t="s">
        <v>344</v>
      </c>
      <c r="H266" s="22" t="str" cm="1">
        <f t="array" ref="H266">IF(OR(_xll.BDP($AX266,"DX202")= "#N/A N/A", _xll.BDP($AX266,"DX202")="#N/A FIELD NOT APPLICABLE"), " ", _xll.BDP($AX266,"DX202"))</f>
        <v>Consumer Staples</v>
      </c>
      <c r="I266" s="24">
        <f>_xll.BDP(AX266,"CRNCY_ADJ_MKT_CAP", "EQY_FUND_CRNCY=USD")/1000</f>
        <v>33.883245863671682</v>
      </c>
      <c r="J266" s="25">
        <f>IFERROR(_xll.BDP(AX266, "DV013")/100,0)</f>
        <v>3.6243385738796659E-2</v>
      </c>
      <c r="K266" s="26" cm="1">
        <f t="array" ref="K266">IF(OR(_xll.BDP($AX266,"RR900")= "#N/A N/A", _xll.BDP($AX266,"RR900")="#N/A FIELD NOT APPLICABLE"), " ", _xll.BDP($AX266,"RR900"))</f>
        <v>15.918805668442445</v>
      </c>
      <c r="L266" s="26" cm="1">
        <f t="array" ref="L266">IF(OR(_xll.BDP($AX266,"EE010")= "#N/A N/A", _xll.BDP($AX266,"EE010")="#N/A FIELD NOT APPLICABLE"), " ", _xll.BDP($AX266,"EE010"))</f>
        <v>12.77027027027027</v>
      </c>
      <c r="M266" s="26" cm="1">
        <f t="array" ref="M266">IF(OR(_xll.BDP($AX266,"RR903")= "#N/A N/A", _xll.BDP($AX266,"RR903")="#N/A FIELD NOT APPLICABLE"), " ", _xll.BDP($AX266,"RR903"))</f>
        <v>2.1828614658289047</v>
      </c>
      <c r="N266" s="26" cm="1">
        <f t="array" ref="N266">IF(OR(_xll.BDP($AX266,"RR957")= "#N/A N/A", _xll.BDP($AX266,"RR957")="#N/A FIELD NOT APPLICABLE"), " ", _xll.BDP($AX266,"RR957"))</f>
        <v>7.8870778624877405</v>
      </c>
      <c r="O266" s="27">
        <v>18722</v>
      </c>
      <c r="P266" s="28">
        <v>3.3290000000000002</v>
      </c>
      <c r="Q266" s="22" cm="1">
        <f t="array" ref="Q266">IF(OR(_xll.BDP($AX266,"PX_last")="#N/A N/A",_xll.BDP($AX266,"PX_Last")="#N/A FIELD NOT APPLICABLE")," ",IF(F266="GBP",(_xll.BDP($AX266,"PX_LAST")/100),(_xll.BDP($AX266,"PX_LAST"))))</f>
        <v>3.78</v>
      </c>
      <c r="R266" s="29">
        <f>IF(F266="USD",AA266,(((_xll.BDP(F266&amp;"USD CURNCY","PX_LAST")))*AA266))</f>
        <v>83310.546644600006</v>
      </c>
      <c r="S266" s="29">
        <f>IF(F266="USD",AB266,(((_xll.BDP(F266&amp;"USD CURNCY","PX_LAST")))*AB266))</f>
        <v>94597.136171999999</v>
      </c>
      <c r="T266" s="12">
        <f>S266-R266</f>
        <v>11286.589527399992</v>
      </c>
      <c r="U266" s="13">
        <f>T266/R266</f>
        <v>0.13547611895464093</v>
      </c>
      <c r="V266" s="13" cm="1">
        <f t="array" ref="V266">IFERROR(_xll.BDP($G266&amp;" Equity","CHG_PCT_1D")/100,"")</f>
        <v>1.886792E-2</v>
      </c>
      <c r="W266" s="13" cm="1">
        <f t="array" ref="W266">IFERROR(_xll.BDP($G266&amp;" Equity","CHG_PCT_5D")/100,"")</f>
        <v>5.7934510000000002E-2</v>
      </c>
      <c r="X266" s="13" t="e">
        <f>S266/#REF!</f>
        <v>#REF!</v>
      </c>
      <c r="Y266" s="24">
        <f>IFERROR(S266*J266,0)</f>
        <v>3428.5204960672704</v>
      </c>
      <c r="Z266" s="24">
        <f>S266</f>
        <v>94597.136171999999</v>
      </c>
      <c r="AA266" s="29">
        <f>P266*O266</f>
        <v>62325.538</v>
      </c>
      <c r="AB266" s="29">
        <f>IFERROR(O266*Q266,0)</f>
        <v>70769.16</v>
      </c>
      <c r="AC266" s="4" t="e" cm="1">
        <f t="array" ref="AC266">VLOOKUP(IF(NOT(_xll.BDP(AX266,$BW$8)="#N/A N/A"),(_xll.BDP(AX266,$BW$8)),"-"), '[1]Country Codes'!$A$2:$B$253,2,0)</f>
        <v>#N/A</v>
      </c>
      <c r="AD266" s="30" t="str" cm="1">
        <f t="array" ref="AD266">IF(OR(_xll.BDP($AX266,"EX028")= "#N/A N/A", _xll.BDP($AX266,"EX028")="#N/A FIELD NOT APPLICABLE"), " ", _xll.BDP($AX266,"EX028"))</f>
        <v>Equity</v>
      </c>
      <c r="AE266" s="31" t="str">
        <f>IF(("AS97"="Equity"), " ", "Single Line Equity")</f>
        <v>Single Line Equity</v>
      </c>
      <c r="AF266" s="26" cm="1">
        <f t="array" ref="AF266">IF(OR(_xll.BDP($AX266,"RR908")= "#N/A N/A", _xll.BDP($AX266,"RR908")="#N/A FIELD NOT APPLICABLE"), " ", _xll.BDP($AX266,"RR908"))</f>
        <v>8.1645344819996204</v>
      </c>
      <c r="AG266" s="26" cm="1">
        <f t="array" ref="AG266">IF(OR(_xll.BDP($AX266,"RR041")= "#N/A N/A", _xll.BDP($AX266,"RR041")="#N/A FIELD NOT APPLICABLE"), " ", _xll.BDP($AX266,"RR041"))</f>
        <v>37.711493957315504</v>
      </c>
      <c r="AH266" s="22">
        <f>_xll.BDP(AX266,"TOT_BUY_REC")</f>
        <v>14</v>
      </c>
      <c r="AI266" s="22">
        <f>_xll.BDP(AX266,"TOT_HOLD_REC")</f>
        <v>3</v>
      </c>
      <c r="AJ266" s="22">
        <f>_xll.BDP(AX266,"TOT_SELL_REC")</f>
        <v>1</v>
      </c>
      <c r="AK266" s="26" cm="1">
        <f t="array" ref="AK266">IF(OR(_xll.BDP($AX266,"EE201")= "#N/A N/A", _xll.BDP($AX266,"EE201")="#N/A FIELD NOT APPLICABLE"), " ", _xll.BDP($AX266,"EE201"))</f>
        <v>4.3888888359069824</v>
      </c>
      <c r="AL266" s="24">
        <f>_xll.BDP(AX266,"BEST_TARGET_PRICE")</f>
        <v>380.33334350585938</v>
      </c>
      <c r="AM266" s="32">
        <f>(AL266/Q266)-1</f>
        <v>99.617286641761751</v>
      </c>
      <c r="AN266" s="32">
        <f>_xll.BDP(AX266,"PR061")/100</f>
        <v>0.11176469999999999</v>
      </c>
      <c r="AO266" s="32">
        <f>_xll.BDP(AX266,"PR064")/100</f>
        <v>-2.3255810000000002E-2</v>
      </c>
      <c r="AP266" s="32">
        <f>_xll.BDP(AX266,"CHG_PCT_6M")/100</f>
        <v>5.793454E-2</v>
      </c>
      <c r="AQ266" s="25">
        <f>_xll.BDP(AX266,"PR079")/100</f>
        <v>2.6337259999999998E-2</v>
      </c>
      <c r="AR266" s="33">
        <f>_xll.BDP(AX266,"hs001")</f>
        <v>398</v>
      </c>
      <c r="AS266" s="33">
        <f>_xll.BDP(AX266,"hs002")</f>
        <v>300.8</v>
      </c>
      <c r="AT266" s="22" t="str" cm="1">
        <f t="array" ref="AT266">IF(OR(_xll.BDP($AX266,"DX202")= "#N/A N/A", _xll.BDP($AX266,"DX202")="#N/A FIELD NOT APPLICABLE"), " ", _xll.BDP($AX266,"DX202"))</f>
        <v>Consumer Staples</v>
      </c>
      <c r="AU266" s="22" t="str" cm="1">
        <f t="array" ref="AU266">IF(OR(_xll.BDP($AX266,"DY997")= "#N/A N/A", _xll.BDP($AX266,"DY997")="#N/A FIELD NOT APPLICABLE"), " ", _xll.BDP($AX266,"DY997"))</f>
        <v>N</v>
      </c>
      <c r="AV266" s="22" t="str" cm="1">
        <f t="array" ref="AV266">IF(OR(_xll.BDP($AX266,"DY784")= "#N/A N/A", _xll.BDP($AX266,"DY784")="#N/A FIELD NOT APPLICABLE"), " ", _xll.BDP($AX266,"DY784"))</f>
        <v>N</v>
      </c>
      <c r="AW266" s="22" t="str">
        <f>IF(OR(AU266="Y",AV266="Y"),"Y","N")</f>
        <v>N</v>
      </c>
      <c r="AX266" s="22" t="str">
        <f>CONCATENATE(G266," ",$AX$2)</f>
        <v>TSCO LN Equity</v>
      </c>
      <c r="BC266" s="17" t="str" cm="1">
        <f t="array" ref="BC266">_xll.BDP(AX266,"ID005")</f>
        <v>GB00BLGZ9862</v>
      </c>
      <c r="BD266" s="17">
        <v>0.75</v>
      </c>
      <c r="BE266" s="18">
        <v>4</v>
      </c>
      <c r="BF266" s="19">
        <v>45540</v>
      </c>
      <c r="BG266" s="20">
        <v>1</v>
      </c>
    </row>
    <row r="267" spans="1:59" s="3" customFormat="1" ht="14.45" customHeight="1" x14ac:dyDescent="0.25">
      <c r="A267" s="49" t="s">
        <v>241</v>
      </c>
      <c r="B267" s="49" t="s">
        <v>253</v>
      </c>
      <c r="C267" s="49" t="s">
        <v>254</v>
      </c>
      <c r="D267" s="49" t="s">
        <v>240</v>
      </c>
      <c r="E267" s="22" t="str">
        <f>_xll.BDP(AX267,"SECURITY NAME")</f>
        <v>Tesco PLC</v>
      </c>
      <c r="F267" s="22" t="str">
        <f>_xll.BDP(AX267,"CRNCY")</f>
        <v>GBp</v>
      </c>
      <c r="G267" s="23" t="s">
        <v>344</v>
      </c>
      <c r="H267" s="22" t="str" cm="1">
        <f t="array" ref="H267">IF(OR(_xll.BDP($AX267,"DX202")= "#N/A N/A", _xll.BDP($AX267,"DX202")="#N/A FIELD NOT APPLICABLE"), " ", _xll.BDP($AX267,"DX202"))</f>
        <v>Consumer Staples</v>
      </c>
      <c r="I267" s="24">
        <f>_xll.BDP(AX267,"CRNCY_ADJ_MKT_CAP", "EQY_FUND_CRNCY=USD")/1000</f>
        <v>33.883245863671682</v>
      </c>
      <c r="J267" s="25">
        <f>IFERROR(_xll.BDP(AX267, "DV013")/100,0)</f>
        <v>3.6243385738796659E-2</v>
      </c>
      <c r="K267" s="26" cm="1">
        <f t="array" ref="K267">IF(OR(_xll.BDP($AX267,"RR900")= "#N/A N/A", _xll.BDP($AX267,"RR900")="#N/A FIELD NOT APPLICABLE"), " ", _xll.BDP($AX267,"RR900"))</f>
        <v>15.918805668442445</v>
      </c>
      <c r="L267" s="26" cm="1">
        <f t="array" ref="L267">IF(OR(_xll.BDP($AX267,"EE010")= "#N/A N/A", _xll.BDP($AX267,"EE010")="#N/A FIELD NOT APPLICABLE"), " ", _xll.BDP($AX267,"EE010"))</f>
        <v>12.77027027027027</v>
      </c>
      <c r="M267" s="26" cm="1">
        <f t="array" ref="M267">IF(OR(_xll.BDP($AX267,"RR903")= "#N/A N/A", _xll.BDP($AX267,"RR903")="#N/A FIELD NOT APPLICABLE"), " ", _xll.BDP($AX267,"RR903"))</f>
        <v>2.1828614658289047</v>
      </c>
      <c r="N267" s="26" cm="1">
        <f t="array" ref="N267">IF(OR(_xll.BDP($AX267,"RR957")= "#N/A N/A", _xll.BDP($AX267,"RR957")="#N/A FIELD NOT APPLICABLE"), " ", _xll.BDP($AX267,"RR957"))</f>
        <v>7.8870778624877405</v>
      </c>
      <c r="O267" s="27">
        <v>5360</v>
      </c>
      <c r="P267" s="28">
        <v>3.3290000000000002</v>
      </c>
      <c r="Q267" s="22" cm="1">
        <f t="array" ref="Q267">IF(OR(_xll.BDP($AX267,"PX_last")="#N/A N/A",_xll.BDP($AX267,"PX_Last")="#N/A FIELD NOT APPLICABLE")," ",IF(F267="GBP",(_xll.BDP($AX267,"PX_LAST")/100),(_xll.BDP($AX267,"PX_LAST"))))</f>
        <v>3.78</v>
      </c>
      <c r="R267" s="29">
        <f>IF(F267="USD",AA267,(((_xll.BDP(F267&amp;"USD CURNCY","PX_LAST")))*AA267))</f>
        <v>23851.326248000005</v>
      </c>
      <c r="S267" s="29">
        <f>IF(F267="USD",AB267,(((_xll.BDP(F267&amp;"USD CURNCY","PX_LAST")))*AB267))</f>
        <v>27082.611359999999</v>
      </c>
      <c r="T267" s="12">
        <f>S267-R267</f>
        <v>3231.2851119999941</v>
      </c>
      <c r="U267" s="13">
        <f>T267/R267</f>
        <v>0.13547611895464076</v>
      </c>
      <c r="V267" s="13" cm="1">
        <f t="array" ref="V267">IFERROR(_xll.BDP($G267&amp;" Equity","CHG_PCT_1D")/100,"")</f>
        <v>1.886792E-2</v>
      </c>
      <c r="W267" s="13" cm="1">
        <f t="array" ref="W267">IFERROR(_xll.BDP($G267&amp;" Equity","CHG_PCT_5D")/100,"")</f>
        <v>5.7934510000000002E-2</v>
      </c>
      <c r="X267" s="13" t="e">
        <f>S267/#REF!</f>
        <v>#REF!</v>
      </c>
      <c r="Y267" s="24">
        <f>IFERROR(S267*J267,0)</f>
        <v>981.56553033439639</v>
      </c>
      <c r="Z267" s="24">
        <f>S267</f>
        <v>27082.611359999999</v>
      </c>
      <c r="AA267" s="29">
        <f>P267*O267</f>
        <v>17843.440000000002</v>
      </c>
      <c r="AB267" s="29">
        <f>IFERROR(O267*Q267,0)</f>
        <v>20260.8</v>
      </c>
      <c r="AC267" s="4" t="e" cm="1">
        <f t="array" ref="AC267">VLOOKUP(IF(NOT(_xll.BDP(AX267,$BW$8)="#N/A N/A"),(_xll.BDP(AX267,$BW$8)),"-"), '[1]Country Codes'!$A$2:$B$253,2,0)</f>
        <v>#N/A</v>
      </c>
      <c r="AD267" s="30" t="str" cm="1">
        <f t="array" ref="AD267">IF(OR(_xll.BDP($AX267,"EX028")= "#N/A N/A", _xll.BDP($AX267,"EX028")="#N/A FIELD NOT APPLICABLE"), " ", _xll.BDP($AX267,"EX028"))</f>
        <v>Equity</v>
      </c>
      <c r="AE267" s="31" t="str">
        <f>IF(("AS97"="Equity"), " ", "Single Line Equity")</f>
        <v>Single Line Equity</v>
      </c>
      <c r="AF267" s="26" cm="1">
        <f t="array" ref="AF267">IF(OR(_xll.BDP($AX267,"RR908")= "#N/A N/A", _xll.BDP($AX267,"RR908")="#N/A FIELD NOT APPLICABLE"), " ", _xll.BDP($AX267,"RR908"))</f>
        <v>8.1645344819996204</v>
      </c>
      <c r="AG267" s="26" cm="1">
        <f t="array" ref="AG267">IF(OR(_xll.BDP($AX267,"RR041")= "#N/A N/A", _xll.BDP($AX267,"RR041")="#N/A FIELD NOT APPLICABLE"), " ", _xll.BDP($AX267,"RR041"))</f>
        <v>37.711493957315504</v>
      </c>
      <c r="AH267" s="22">
        <f>_xll.BDP(AX267,"TOT_BUY_REC")</f>
        <v>14</v>
      </c>
      <c r="AI267" s="22">
        <f>_xll.BDP(AX267,"TOT_HOLD_REC")</f>
        <v>3</v>
      </c>
      <c r="AJ267" s="22">
        <f>_xll.BDP(AX267,"TOT_SELL_REC")</f>
        <v>1</v>
      </c>
      <c r="AK267" s="26" cm="1">
        <f t="array" ref="AK267">IF(OR(_xll.BDP($AX267,"EE201")= "#N/A N/A", _xll.BDP($AX267,"EE201")="#N/A FIELD NOT APPLICABLE"), " ", _xll.BDP($AX267,"EE201"))</f>
        <v>4.3888888359069824</v>
      </c>
      <c r="AL267" s="24">
        <f>_xll.BDP(AX267,"BEST_TARGET_PRICE")</f>
        <v>380.33334350585938</v>
      </c>
      <c r="AM267" s="32">
        <f>(AL267/Q267)-1</f>
        <v>99.617286641761751</v>
      </c>
      <c r="AN267" s="32">
        <f>_xll.BDP(AX267,"PR061")/100</f>
        <v>0.11176469999999999</v>
      </c>
      <c r="AO267" s="32">
        <f>_xll.BDP(AX267,"PR064")/100</f>
        <v>-2.3255810000000002E-2</v>
      </c>
      <c r="AP267" s="32">
        <f>_xll.BDP(AX267,"CHG_PCT_6M")/100</f>
        <v>5.793454E-2</v>
      </c>
      <c r="AQ267" s="25">
        <f>_xll.BDP(AX267,"PR079")/100</f>
        <v>2.6337259999999998E-2</v>
      </c>
      <c r="AR267" s="33">
        <f>_xll.BDP(AX267,"hs001")</f>
        <v>398</v>
      </c>
      <c r="AS267" s="33">
        <f>_xll.BDP(AX267,"hs002")</f>
        <v>300.8</v>
      </c>
      <c r="AT267" s="22" t="str" cm="1">
        <f t="array" ref="AT267">IF(OR(_xll.BDP($AX267,"DX202")= "#N/A N/A", _xll.BDP($AX267,"DX202")="#N/A FIELD NOT APPLICABLE"), " ", _xll.BDP($AX267,"DX202"))</f>
        <v>Consumer Staples</v>
      </c>
      <c r="AU267" s="22" t="str" cm="1">
        <f t="array" ref="AU267">IF(OR(_xll.BDP($AX267,"DY997")= "#N/A N/A", _xll.BDP($AX267,"DY997")="#N/A FIELD NOT APPLICABLE"), " ", _xll.BDP($AX267,"DY997"))</f>
        <v>N</v>
      </c>
      <c r="AV267" s="22" t="str" cm="1">
        <f t="array" ref="AV267">IF(OR(_xll.BDP($AX267,"DY784")= "#N/A N/A", _xll.BDP($AX267,"DY784")="#N/A FIELD NOT APPLICABLE"), " ", _xll.BDP($AX267,"DY784"))</f>
        <v>N</v>
      </c>
      <c r="AW267" s="22" t="str">
        <f>IF(OR(AU267="Y",AV267="Y"),"Y","N")</f>
        <v>N</v>
      </c>
      <c r="AX267" s="22" t="str">
        <f>CONCATENATE(G267," ",$AX$2)</f>
        <v>TSCO LN Equity</v>
      </c>
      <c r="BC267" s="17" t="str" cm="1">
        <f t="array" ref="BC267">_xll.BDP(AX267,"ID005")</f>
        <v>GB00BLGZ9862</v>
      </c>
      <c r="BD267" s="17">
        <v>0.72</v>
      </c>
      <c r="BE267" s="18">
        <v>4</v>
      </c>
      <c r="BF267" s="19">
        <v>45540</v>
      </c>
      <c r="BG267" s="20">
        <v>1</v>
      </c>
    </row>
    <row r="268" spans="1:59" s="3" customFormat="1" ht="14.45" customHeight="1" x14ac:dyDescent="0.25">
      <c r="A268" s="49" t="s">
        <v>242</v>
      </c>
      <c r="B268" s="49" t="s">
        <v>255</v>
      </c>
      <c r="C268" s="49" t="s">
        <v>256</v>
      </c>
      <c r="D268" s="49" t="s">
        <v>248</v>
      </c>
      <c r="E268" s="22" t="str">
        <f>_xll.BDP(AX268,"SECURITY NAME")</f>
        <v>Tesco PLC</v>
      </c>
      <c r="F268" s="22" t="str">
        <f>_xll.BDP(AX268,"CRNCY")</f>
        <v>GBp</v>
      </c>
      <c r="G268" s="23" t="s">
        <v>344</v>
      </c>
      <c r="H268" s="22" t="str" cm="1">
        <f t="array" ref="H268">IF(OR(_xll.BDP($AX268,"DX202")= "#N/A N/A", _xll.BDP($AX268,"DX202")="#N/A FIELD NOT APPLICABLE"), " ", _xll.BDP($AX268,"DX202"))</f>
        <v>Consumer Staples</v>
      </c>
      <c r="I268" s="24">
        <f>_xll.BDP(AX268,"CRNCY_ADJ_MKT_CAP", "EQY_FUND_CRNCY=USD")/1000</f>
        <v>33.883245863671682</v>
      </c>
      <c r="J268" s="25">
        <f>IFERROR(_xll.BDP(AX268, "DV013")/100,0)</f>
        <v>3.6243385738796659E-2</v>
      </c>
      <c r="K268" s="26" cm="1">
        <f t="array" ref="K268">IF(OR(_xll.BDP($AX268,"RR900")= "#N/A N/A", _xll.BDP($AX268,"RR900")="#N/A FIELD NOT APPLICABLE"), " ", _xll.BDP($AX268,"RR900"))</f>
        <v>15.918805668442445</v>
      </c>
      <c r="L268" s="26" cm="1">
        <f t="array" ref="L268">IF(OR(_xll.BDP($AX268,"EE010")= "#N/A N/A", _xll.BDP($AX268,"EE010")="#N/A FIELD NOT APPLICABLE"), " ", _xll.BDP($AX268,"EE010"))</f>
        <v>12.77027027027027</v>
      </c>
      <c r="M268" s="26" cm="1">
        <f t="array" ref="M268">IF(OR(_xll.BDP($AX268,"RR903")= "#N/A N/A", _xll.BDP($AX268,"RR903")="#N/A FIELD NOT APPLICABLE"), " ", _xll.BDP($AX268,"RR903"))</f>
        <v>2.1828614658289047</v>
      </c>
      <c r="N268" s="26" cm="1">
        <f t="array" ref="N268">IF(OR(_xll.BDP($AX268,"RR957")= "#N/A N/A", _xll.BDP($AX268,"RR957")="#N/A FIELD NOT APPLICABLE"), " ", _xll.BDP($AX268,"RR957"))</f>
        <v>7.8870778624877405</v>
      </c>
      <c r="O268" s="27">
        <v>20779</v>
      </c>
      <c r="P268" s="28">
        <v>3.35</v>
      </c>
      <c r="Q268" s="22" cm="1">
        <f t="array" ref="Q268">IF(OR(_xll.BDP($AX268,"PX_last")="#N/A N/A",_xll.BDP($AX268,"PX_Last")="#N/A FIELD NOT APPLICABLE")," ",IF(F268="GBP",(_xll.BDP($AX268,"PX_LAST")/100),(_xll.BDP($AX268,"PX_LAST"))))</f>
        <v>3.78</v>
      </c>
      <c r="R268" s="29">
        <f>IF(F268="USD",AA268,(((_xll.BDP(F268&amp;"USD CURNCY","PX_LAST")))*AA268))</f>
        <v>93047.219155000013</v>
      </c>
      <c r="S268" s="29">
        <f>IF(F268="USD",AB268,(((_xll.BDP(F268&amp;"USD CURNCY","PX_LAST")))*AB268))</f>
        <v>104990.59355399999</v>
      </c>
      <c r="T268" s="12">
        <f>S268-R268</f>
        <v>11943.374398999978</v>
      </c>
      <c r="U268" s="13">
        <f>T268/R268</f>
        <v>0.12835820895522362</v>
      </c>
      <c r="V268" s="13" cm="1">
        <f t="array" ref="V268">IFERROR(_xll.BDP($G268&amp;" Equity","CHG_PCT_1D")/100,"")</f>
        <v>1.886792E-2</v>
      </c>
      <c r="W268" s="13" cm="1">
        <f t="array" ref="W268">IFERROR(_xll.BDP($G268&amp;" Equity","CHG_PCT_5D")/100,"")</f>
        <v>5.7934510000000002E-2</v>
      </c>
      <c r="X268" s="13" t="e">
        <f>S268/#REF!</f>
        <v>#REF!</v>
      </c>
      <c r="Y268" s="24">
        <f>IFERROR(S268*J268,0)</f>
        <v>3805.2145811228397</v>
      </c>
      <c r="Z268" s="24">
        <f>S268</f>
        <v>104990.59355399999</v>
      </c>
      <c r="AA268" s="29">
        <f>P268*O268</f>
        <v>69609.650000000009</v>
      </c>
      <c r="AB268" s="29">
        <f>IFERROR(O268*Q268,0)</f>
        <v>78544.62</v>
      </c>
      <c r="AC268" s="4" t="e" cm="1">
        <f t="array" ref="AC268">VLOOKUP(IF(NOT(_xll.BDP(AX268,$BW$8)="#N/A N/A"),(_xll.BDP(AX268,$BW$8)),"-"), '[1]Country Codes'!$A$2:$B$253,2,0)</f>
        <v>#N/A</v>
      </c>
      <c r="AD268" s="30" t="str" cm="1">
        <f t="array" ref="AD268">IF(OR(_xll.BDP($AX268,"EX028")= "#N/A N/A", _xll.BDP($AX268,"EX028")="#N/A FIELD NOT APPLICABLE"), " ", _xll.BDP($AX268,"EX028"))</f>
        <v>Equity</v>
      </c>
      <c r="AE268" s="31" t="str">
        <f>IF(("AS97"="Equity"), " ", "Single Line Equity")</f>
        <v>Single Line Equity</v>
      </c>
      <c r="AF268" s="26" cm="1">
        <f t="array" ref="AF268">IF(OR(_xll.BDP($AX268,"RR908")= "#N/A N/A", _xll.BDP($AX268,"RR908")="#N/A FIELD NOT APPLICABLE"), " ", _xll.BDP($AX268,"RR908"))</f>
        <v>8.1645344819996204</v>
      </c>
      <c r="AG268" s="26" cm="1">
        <f t="array" ref="AG268">IF(OR(_xll.BDP($AX268,"RR041")= "#N/A N/A", _xll.BDP($AX268,"RR041")="#N/A FIELD NOT APPLICABLE"), " ", _xll.BDP($AX268,"RR041"))</f>
        <v>37.711493957315504</v>
      </c>
      <c r="AH268" s="22">
        <f>_xll.BDP(AX268,"TOT_BUY_REC")</f>
        <v>14</v>
      </c>
      <c r="AI268" s="22">
        <f>_xll.BDP(AX268,"TOT_HOLD_REC")</f>
        <v>3</v>
      </c>
      <c r="AJ268" s="22">
        <f>_xll.BDP(AX268,"TOT_SELL_REC")</f>
        <v>1</v>
      </c>
      <c r="AK268" s="26" cm="1">
        <f t="array" ref="AK268">IF(OR(_xll.BDP($AX268,"EE201")= "#N/A N/A", _xll.BDP($AX268,"EE201")="#N/A FIELD NOT APPLICABLE"), " ", _xll.BDP($AX268,"EE201"))</f>
        <v>4.3888888359069824</v>
      </c>
      <c r="AL268" s="24">
        <f>_xll.BDP(AX268,"BEST_TARGET_PRICE")</f>
        <v>380.33334350585938</v>
      </c>
      <c r="AM268" s="32">
        <f>(AL268/Q268)-1</f>
        <v>99.617286641761751</v>
      </c>
      <c r="AN268" s="32">
        <f>_xll.BDP(AX268,"PR061")/100</f>
        <v>0.11176469999999999</v>
      </c>
      <c r="AO268" s="32">
        <f>_xll.BDP(AX268,"PR064")/100</f>
        <v>-2.3255810000000002E-2</v>
      </c>
      <c r="AP268" s="32">
        <f>_xll.BDP(AX268,"CHG_PCT_6M")/100</f>
        <v>5.793454E-2</v>
      </c>
      <c r="AQ268" s="25">
        <f>_xll.BDP(AX268,"PR079")/100</f>
        <v>2.6337259999999998E-2</v>
      </c>
      <c r="AR268" s="33">
        <f>_xll.BDP(AX268,"hs001")</f>
        <v>398</v>
      </c>
      <c r="AS268" s="33">
        <f>_xll.BDP(AX268,"hs002")</f>
        <v>300.8</v>
      </c>
      <c r="AT268" s="22" t="str" cm="1">
        <f t="array" ref="AT268">IF(OR(_xll.BDP($AX268,"DX202")= "#N/A N/A", _xll.BDP($AX268,"DX202")="#N/A FIELD NOT APPLICABLE"), " ", _xll.BDP($AX268,"DX202"))</f>
        <v>Consumer Staples</v>
      </c>
      <c r="AU268" s="22" t="str" cm="1">
        <f t="array" ref="AU268">IF(OR(_xll.BDP($AX268,"DY997")= "#N/A N/A", _xll.BDP($AX268,"DY997")="#N/A FIELD NOT APPLICABLE"), " ", _xll.BDP($AX268,"DY997"))</f>
        <v>N</v>
      </c>
      <c r="AV268" s="22" t="str" cm="1">
        <f t="array" ref="AV268">IF(OR(_xll.BDP($AX268,"DY784")= "#N/A N/A", _xll.BDP($AX268,"DY784")="#N/A FIELD NOT APPLICABLE"), " ", _xll.BDP($AX268,"DY784"))</f>
        <v>N</v>
      </c>
      <c r="AW268" s="22" t="str">
        <f>IF(OR(AU268="Y",AV268="Y"),"Y","N")</f>
        <v>N</v>
      </c>
      <c r="AX268" s="22" t="str">
        <f>CONCATENATE(G268," ",$AX$2)</f>
        <v>TSCO LN Equity</v>
      </c>
      <c r="BC268" s="17" t="str" cm="1">
        <f t="array" ref="BC268">_xll.BDP(AX268,"ID005")</f>
        <v>GB00BLGZ9862</v>
      </c>
      <c r="BD268" s="17">
        <v>0.72</v>
      </c>
      <c r="BE268" s="18">
        <v>4</v>
      </c>
      <c r="BF268" s="19">
        <v>45540</v>
      </c>
      <c r="BG268" s="20">
        <v>1</v>
      </c>
    </row>
    <row r="269" spans="1:59" s="3" customFormat="1" ht="14.45" customHeight="1" x14ac:dyDescent="0.25">
      <c r="A269" s="49" t="s">
        <v>242</v>
      </c>
      <c r="B269" s="49" t="s">
        <v>260</v>
      </c>
      <c r="C269" s="49" t="s">
        <v>261</v>
      </c>
      <c r="D269" s="49" t="s">
        <v>248</v>
      </c>
      <c r="E269" s="22" t="str">
        <f>_xll.BDP(AX269,"SECURITY NAME")</f>
        <v>Tesco PLC</v>
      </c>
      <c r="F269" s="22" t="str">
        <f>_xll.BDP(AX269,"CRNCY")</f>
        <v>GBp</v>
      </c>
      <c r="G269" s="73" t="s">
        <v>344</v>
      </c>
      <c r="H269" s="22" t="str" cm="1">
        <f t="array" ref="H269">IF(OR(_xll.BDP($AX269,"DX202")= "#N/A N/A", _xll.BDP($AX269,"DX202")="#N/A FIELD NOT APPLICABLE"), " ", _xll.BDP($AX269,"DX202"))</f>
        <v>Consumer Staples</v>
      </c>
      <c r="I269" s="24">
        <f>_xll.BDP(AX269,"CRNCY_ADJ_MKT_CAP", "EQY_FUND_CRNCY=USD")/1000</f>
        <v>33.883245863671682</v>
      </c>
      <c r="J269" s="25">
        <f>IFERROR(_xll.BDP(AX269, "DV013")/100,0)</f>
        <v>3.6243385738796659E-2</v>
      </c>
      <c r="K269" s="26" cm="1">
        <f t="array" ref="K269">IF(OR(_xll.BDP($AX269,"RR900")= "#N/A N/A", _xll.BDP($AX269,"RR900")="#N/A FIELD NOT APPLICABLE"), " ", _xll.BDP($AX269,"RR900"))</f>
        <v>15.918805668442445</v>
      </c>
      <c r="L269" s="26" cm="1">
        <f t="array" ref="L269">IF(OR(_xll.BDP($AX269,"EE010")= "#N/A N/A", _xll.BDP($AX269,"EE010")="#N/A FIELD NOT APPLICABLE"), " ", _xll.BDP($AX269,"EE010"))</f>
        <v>12.77027027027027</v>
      </c>
      <c r="M269" s="26" cm="1">
        <f t="array" ref="M269">IF(OR(_xll.BDP($AX269,"RR903")= "#N/A N/A", _xll.BDP($AX269,"RR903")="#N/A FIELD NOT APPLICABLE"), " ", _xll.BDP($AX269,"RR903"))</f>
        <v>2.1828614658289047</v>
      </c>
      <c r="N269" s="26" cm="1">
        <f t="array" ref="N269">IF(OR(_xll.BDP($AX269,"RR957")= "#N/A N/A", _xll.BDP($AX269,"RR957")="#N/A FIELD NOT APPLICABLE"), " ", _xll.BDP($AX269,"RR957"))</f>
        <v>7.8870778624877405</v>
      </c>
      <c r="O269" s="74">
        <v>15292</v>
      </c>
      <c r="P269" s="75">
        <v>3.35</v>
      </c>
      <c r="Q269" s="22" cm="1">
        <f t="array" ref="Q269">IF(OR(_xll.BDP($AX269,"PX_last")="#N/A N/A",_xll.BDP($AX269,"PX_Last")="#N/A FIELD NOT APPLICABLE")," ",IF(F269="GBP",(_xll.BDP($AX269,"PX_LAST")/100),(_xll.BDP($AX269,"PX_LAST"))))</f>
        <v>3.78</v>
      </c>
      <c r="R269" s="29">
        <f>IF(F269="USD",AA269,(((_xll.BDP(F269&amp;"USD CURNCY","PX_LAST")))*AA269))</f>
        <v>68476.734940000009</v>
      </c>
      <c r="S269" s="29">
        <f>IF(F269="USD",AB269,(((_xll.BDP(F269&amp;"USD CURNCY","PX_LAST")))*AB269))</f>
        <v>77266.28599199999</v>
      </c>
      <c r="T269" s="12">
        <f>S269-R269</f>
        <v>8789.5510519999807</v>
      </c>
      <c r="U269" s="13">
        <f>T269/R269</f>
        <v>0.12835820895522357</v>
      </c>
      <c r="V269" s="13" cm="1">
        <f t="array" ref="V269">IFERROR(_xll.BDP($G269&amp;" Equity","CHG_PCT_1D")/100,"")</f>
        <v>1.886792E-2</v>
      </c>
      <c r="W269" s="13" cm="1">
        <f t="array" ref="W269">IFERROR(_xll.BDP($G269&amp;" Equity","CHG_PCT_5D")/100,"")</f>
        <v>5.7934510000000002E-2</v>
      </c>
      <c r="X269" s="13" t="e">
        <f>S269/#REF!</f>
        <v>#REF!</v>
      </c>
      <c r="Y269" s="24">
        <f>IFERROR(S269*J269,0)</f>
        <v>2800.3918078122365</v>
      </c>
      <c r="Z269" s="24">
        <f>S269</f>
        <v>77266.28599199999</v>
      </c>
      <c r="AA269" s="29">
        <f>P269*O269</f>
        <v>51228.200000000004</v>
      </c>
      <c r="AB269" s="29">
        <f>IFERROR(O269*Q269,0)</f>
        <v>57803.759999999995</v>
      </c>
      <c r="AC269" s="4" t="e" cm="1">
        <f t="array" ref="AC269">VLOOKUP(IF(NOT(_xll.BDP(AX269,$BW$8)="#N/A N/A"),(_xll.BDP(AX269,$BW$8)),"-"), '[1]Country Codes'!$A$2:$B$253,2,0)</f>
        <v>#N/A</v>
      </c>
      <c r="AD269" s="30" t="str" cm="1">
        <f t="array" ref="AD269">IF(OR(_xll.BDP($AX269,"EX028")= "#N/A N/A", _xll.BDP($AX269,"EX028")="#N/A FIELD NOT APPLICABLE"), " ", _xll.BDP($AX269,"EX028"))</f>
        <v>Equity</v>
      </c>
      <c r="AE269" s="31" t="str">
        <f>IF(("AS97"="Equity"), " ", "Single Line Equity")</f>
        <v>Single Line Equity</v>
      </c>
      <c r="AF269" s="26" cm="1">
        <f t="array" ref="AF269">IF(OR(_xll.BDP($AX269,"RR908")= "#N/A N/A", _xll.BDP($AX269,"RR908")="#N/A FIELD NOT APPLICABLE"), " ", _xll.BDP($AX269,"RR908"))</f>
        <v>8.1645344819996204</v>
      </c>
      <c r="AG269" s="26" cm="1">
        <f t="array" ref="AG269">IF(OR(_xll.BDP($AX269,"RR041")= "#N/A N/A", _xll.BDP($AX269,"RR041")="#N/A FIELD NOT APPLICABLE"), " ", _xll.BDP($AX269,"RR041"))</f>
        <v>37.711493957315504</v>
      </c>
      <c r="AH269" s="22">
        <f>_xll.BDP(AX269,"TOT_BUY_REC")</f>
        <v>14</v>
      </c>
      <c r="AI269" s="22">
        <f>_xll.BDP(AX269,"TOT_HOLD_REC")</f>
        <v>3</v>
      </c>
      <c r="AJ269" s="22">
        <f>_xll.BDP(AX269,"TOT_SELL_REC")</f>
        <v>1</v>
      </c>
      <c r="AK269" s="26" cm="1">
        <f t="array" ref="AK269">IF(OR(_xll.BDP($AX269,"EE201")= "#N/A N/A", _xll.BDP($AX269,"EE201")="#N/A FIELD NOT APPLICABLE"), " ", _xll.BDP($AX269,"EE201"))</f>
        <v>4.3888888359069824</v>
      </c>
      <c r="AL269" s="24">
        <f>_xll.BDP(AX269,"BEST_TARGET_PRICE")</f>
        <v>380.33334350585938</v>
      </c>
      <c r="AM269" s="32">
        <f>(AL269/Q269)-1</f>
        <v>99.617286641761751</v>
      </c>
      <c r="AN269" s="32">
        <f>_xll.BDP(AX269,"PR061")/100</f>
        <v>0.11176469999999999</v>
      </c>
      <c r="AO269" s="32">
        <f>_xll.BDP(AX269,"PR064")/100</f>
        <v>-2.3255810000000002E-2</v>
      </c>
      <c r="AP269" s="32">
        <f>_xll.BDP(AX269,"CHG_PCT_6M")/100</f>
        <v>5.793454E-2</v>
      </c>
      <c r="AQ269" s="25">
        <f>_xll.BDP(AX269,"PR079")/100</f>
        <v>2.6337259999999998E-2</v>
      </c>
      <c r="AR269" s="33">
        <f>_xll.BDP(AX269,"hs001")</f>
        <v>398</v>
      </c>
      <c r="AS269" s="33">
        <f>_xll.BDP(AX269,"hs002")</f>
        <v>300.8</v>
      </c>
      <c r="AT269" s="22" t="str" cm="1">
        <f t="array" ref="AT269">IF(OR(_xll.BDP($AX269,"DX202")= "#N/A N/A", _xll.BDP($AX269,"DX202")="#N/A FIELD NOT APPLICABLE"), " ", _xll.BDP($AX269,"DX202"))</f>
        <v>Consumer Staples</v>
      </c>
      <c r="AU269" s="22" t="str" cm="1">
        <f t="array" ref="AU269">IF(OR(_xll.BDP($AX269,"DY997")= "#N/A N/A", _xll.BDP($AX269,"DY997")="#N/A FIELD NOT APPLICABLE"), " ", _xll.BDP($AX269,"DY997"))</f>
        <v>N</v>
      </c>
      <c r="AV269" s="22" t="str" cm="1">
        <f t="array" ref="AV269">IF(OR(_xll.BDP($AX269,"DY784")= "#N/A N/A", _xll.BDP($AX269,"DY784")="#N/A FIELD NOT APPLICABLE"), " ", _xll.BDP($AX269,"DY784"))</f>
        <v>N</v>
      </c>
      <c r="AW269" s="22" t="str">
        <f>IF(OR(AU269="Y",AV269="Y"),"Y","N")</f>
        <v>N</v>
      </c>
      <c r="AX269" s="22" t="str">
        <f>CONCATENATE(G269," ",$AX$2)</f>
        <v>TSCO LN Equity</v>
      </c>
      <c r="BC269" s="17" t="str" cm="1">
        <f t="array" ref="BC269">_xll.BDP(AX269,"ID005")</f>
        <v>GB00BLGZ9862</v>
      </c>
      <c r="BD269" s="17">
        <v>0.72</v>
      </c>
      <c r="BE269" s="18">
        <v>4</v>
      </c>
      <c r="BF269" s="19">
        <v>45540</v>
      </c>
      <c r="BG269" s="20">
        <v>1</v>
      </c>
    </row>
    <row r="270" spans="1:59" s="3" customFormat="1" ht="14.45" customHeight="1" x14ac:dyDescent="0.25">
      <c r="A270" s="49" t="s">
        <v>242</v>
      </c>
      <c r="B270" s="49" t="s">
        <v>264</v>
      </c>
      <c r="C270" s="49" t="s">
        <v>265</v>
      </c>
      <c r="D270" s="49" t="s">
        <v>248</v>
      </c>
      <c r="E270" s="22" t="str">
        <f>_xll.BDP(AX270,"SECURITY NAME")</f>
        <v>Tesco PLC</v>
      </c>
      <c r="F270" s="22" t="str">
        <f>_xll.BDP(AX270,"CRNCY")</f>
        <v>GBp</v>
      </c>
      <c r="G270" s="23" t="s">
        <v>344</v>
      </c>
      <c r="H270" s="22" t="str" cm="1">
        <f t="array" ref="H270">IF(OR(_xll.BDP($AX270,"DX202")= "#N/A N/A", _xll.BDP($AX270,"DX202")="#N/A FIELD NOT APPLICABLE"), " ", _xll.BDP($AX270,"DX202"))</f>
        <v>Consumer Staples</v>
      </c>
      <c r="I270" s="24">
        <f>_xll.BDP(AX270,"CRNCY_ADJ_MKT_CAP", "EQY_FUND_CRNCY=USD")/1000</f>
        <v>33.883245863671682</v>
      </c>
      <c r="J270" s="25">
        <f>IFERROR(_xll.BDP(AX270, "DV013")/100,0)</f>
        <v>3.6243385738796659E-2</v>
      </c>
      <c r="K270" s="26" cm="1">
        <f t="array" ref="K270">IF(OR(_xll.BDP($AX270,"RR900")= "#N/A N/A", _xll.BDP($AX270,"RR900")="#N/A FIELD NOT APPLICABLE"), " ", _xll.BDP($AX270,"RR900"))</f>
        <v>15.918805668442445</v>
      </c>
      <c r="L270" s="26" cm="1">
        <f t="array" ref="L270">IF(OR(_xll.BDP($AX270,"EE010")= "#N/A N/A", _xll.BDP($AX270,"EE010")="#N/A FIELD NOT APPLICABLE"), " ", _xll.BDP($AX270,"EE010"))</f>
        <v>12.77027027027027</v>
      </c>
      <c r="M270" s="26" cm="1">
        <f t="array" ref="M270">IF(OR(_xll.BDP($AX270,"RR903")= "#N/A N/A", _xll.BDP($AX270,"RR903")="#N/A FIELD NOT APPLICABLE"), " ", _xll.BDP($AX270,"RR903"))</f>
        <v>2.1828614658289047</v>
      </c>
      <c r="N270" s="26" cm="1">
        <f t="array" ref="N270">IF(OR(_xll.BDP($AX270,"RR957")= "#N/A N/A", _xll.BDP($AX270,"RR957")="#N/A FIELD NOT APPLICABLE"), " ", _xll.BDP($AX270,"RR957"))</f>
        <v>7.8870778624877405</v>
      </c>
      <c r="O270" s="27">
        <v>29300</v>
      </c>
      <c r="P270" s="28">
        <v>3.35</v>
      </c>
      <c r="Q270" s="22" cm="1">
        <f t="array" ref="Q270">IF(OR(_xll.BDP($AX270,"PX_last")="#N/A N/A",_xll.BDP($AX270,"PX_Last")="#N/A FIELD NOT APPLICABLE")," ",IF(F270="GBP",(_xll.BDP($AX270,"PX_LAST")/100),(_xll.BDP($AX270,"PX_LAST"))))</f>
        <v>3.78</v>
      </c>
      <c r="R270" s="29">
        <f>IF(F270="USD",AA270,(((_xll.BDP(F270&amp;"USD CURNCY","PX_LAST")))*AA270))</f>
        <v>131203.7885</v>
      </c>
      <c r="S270" s="29">
        <f>IF(F270="USD",AB270,(((_xll.BDP(F270&amp;"USD CURNCY","PX_LAST")))*AB270))</f>
        <v>148044.87179999999</v>
      </c>
      <c r="T270" s="12">
        <f>S270-R270</f>
        <v>16841.083299999998</v>
      </c>
      <c r="U270" s="13">
        <f>T270/R270</f>
        <v>0.12835820895522387</v>
      </c>
      <c r="V270" s="13" cm="1">
        <f t="array" ref="V270">IFERROR(_xll.BDP($G270&amp;" Equity","CHG_PCT_1D")/100,"")</f>
        <v>1.886792E-2</v>
      </c>
      <c r="W270" s="13" cm="1">
        <f t="array" ref="W270">IFERROR(_xll.BDP($G270&amp;" Equity","CHG_PCT_5D")/100,"")</f>
        <v>5.7934510000000002E-2</v>
      </c>
      <c r="X270" s="13" t="e">
        <f>S270/#REF!</f>
        <v>#REF!</v>
      </c>
      <c r="Y270" s="24">
        <f>IFERROR(S270*J270,0)</f>
        <v>5365.6473952980996</v>
      </c>
      <c r="Z270" s="24">
        <f>S270</f>
        <v>148044.87179999999</v>
      </c>
      <c r="AA270" s="29">
        <f>P270*O270</f>
        <v>98155</v>
      </c>
      <c r="AB270" s="29">
        <f>IFERROR(O270*Q270,0)</f>
        <v>110754</v>
      </c>
      <c r="AC270" s="4" t="e" cm="1">
        <f t="array" ref="AC270">VLOOKUP(IF(NOT(_xll.BDP(AX270,$BW$8)="#N/A N/A"),(_xll.BDP(AX270,$BW$8)),"-"), '[1]Country Codes'!$A$2:$B$253,2,0)</f>
        <v>#N/A</v>
      </c>
      <c r="AD270" s="30" t="str" cm="1">
        <f t="array" ref="AD270">IF(OR(_xll.BDP($AX270,"EX028")= "#N/A N/A", _xll.BDP($AX270,"EX028")="#N/A FIELD NOT APPLICABLE"), " ", _xll.BDP($AX270,"EX028"))</f>
        <v>Equity</v>
      </c>
      <c r="AE270" s="31" t="str">
        <f>IF(("AS97"="Equity"), " ", "Single Line Equity")</f>
        <v>Single Line Equity</v>
      </c>
      <c r="AF270" s="26" cm="1">
        <f t="array" ref="AF270">IF(OR(_xll.BDP($AX270,"RR908")= "#N/A N/A", _xll.BDP($AX270,"RR908")="#N/A FIELD NOT APPLICABLE"), " ", _xll.BDP($AX270,"RR908"))</f>
        <v>8.1645344819996204</v>
      </c>
      <c r="AG270" s="26" cm="1">
        <f t="array" ref="AG270">IF(OR(_xll.BDP($AX270,"RR041")= "#N/A N/A", _xll.BDP($AX270,"RR041")="#N/A FIELD NOT APPLICABLE"), " ", _xll.BDP($AX270,"RR041"))</f>
        <v>37.711493957315504</v>
      </c>
      <c r="AH270" s="22">
        <f>_xll.BDP(AX270,"TOT_BUY_REC")</f>
        <v>14</v>
      </c>
      <c r="AI270" s="22">
        <f>_xll.BDP(AX270,"TOT_HOLD_REC")</f>
        <v>3</v>
      </c>
      <c r="AJ270" s="22">
        <f>_xll.BDP(AX270,"TOT_SELL_REC")</f>
        <v>1</v>
      </c>
      <c r="AK270" s="26" cm="1">
        <f t="array" ref="AK270">IF(OR(_xll.BDP($AX270,"EE201")= "#N/A N/A", _xll.BDP($AX270,"EE201")="#N/A FIELD NOT APPLICABLE"), " ", _xll.BDP($AX270,"EE201"))</f>
        <v>4.3888888359069824</v>
      </c>
      <c r="AL270" s="24">
        <f>_xll.BDP(AX270,"BEST_TARGET_PRICE")</f>
        <v>380.33334350585938</v>
      </c>
      <c r="AM270" s="32">
        <f>(AL270/Q270)-1</f>
        <v>99.617286641761751</v>
      </c>
      <c r="AN270" s="32">
        <f>_xll.BDP(AX270,"PR061")/100</f>
        <v>0.11176469999999999</v>
      </c>
      <c r="AO270" s="32">
        <f>_xll.BDP(AX270,"PR064")/100</f>
        <v>-2.3255810000000002E-2</v>
      </c>
      <c r="AP270" s="32">
        <f>_xll.BDP(AX270,"CHG_PCT_6M")/100</f>
        <v>5.793454E-2</v>
      </c>
      <c r="AQ270" s="25">
        <f>_xll.BDP(AX270,"PR079")/100</f>
        <v>2.6337259999999998E-2</v>
      </c>
      <c r="AR270" s="33">
        <f>_xll.BDP(AX270,"hs001")</f>
        <v>398</v>
      </c>
      <c r="AS270" s="33">
        <f>_xll.BDP(AX270,"hs002")</f>
        <v>300.8</v>
      </c>
      <c r="AT270" s="22" t="str" cm="1">
        <f t="array" ref="AT270">IF(OR(_xll.BDP($AX270,"DX202")= "#N/A N/A", _xll.BDP($AX270,"DX202")="#N/A FIELD NOT APPLICABLE"), " ", _xll.BDP($AX270,"DX202"))</f>
        <v>Consumer Staples</v>
      </c>
      <c r="AU270" s="22" t="str" cm="1">
        <f t="array" ref="AU270">IF(OR(_xll.BDP($AX270,"DY997")= "#N/A N/A", _xll.BDP($AX270,"DY997")="#N/A FIELD NOT APPLICABLE"), " ", _xll.BDP($AX270,"DY997"))</f>
        <v>N</v>
      </c>
      <c r="AV270" s="22" t="str" cm="1">
        <f t="array" ref="AV270">IF(OR(_xll.BDP($AX270,"DY784")= "#N/A N/A", _xll.BDP($AX270,"DY784")="#N/A FIELD NOT APPLICABLE"), " ", _xll.BDP($AX270,"DY784"))</f>
        <v>N</v>
      </c>
      <c r="AW270" s="22" t="str">
        <f>IF(OR(AU270="Y",AV270="Y"),"Y","N")</f>
        <v>N</v>
      </c>
      <c r="AX270" s="22" t="str">
        <f>CONCATENATE(G270," ",$AX$2)</f>
        <v>TSCO LN Equity</v>
      </c>
      <c r="BC270" s="17" t="str" cm="1">
        <f t="array" ref="BC270">_xll.BDP(AX270,"ID005")</f>
        <v>GB00BLGZ9862</v>
      </c>
      <c r="BD270" s="17">
        <v>0.75</v>
      </c>
      <c r="BE270" s="18">
        <v>4</v>
      </c>
      <c r="BF270" s="19">
        <v>45540</v>
      </c>
      <c r="BG270" s="20">
        <v>1</v>
      </c>
    </row>
    <row r="271" spans="1:59" s="3" customFormat="1" ht="14.45" customHeight="1" x14ac:dyDescent="0.25">
      <c r="A271" s="49" t="s">
        <v>241</v>
      </c>
      <c r="B271" s="49" t="s">
        <v>266</v>
      </c>
      <c r="C271" s="49" t="s">
        <v>267</v>
      </c>
      <c r="D271" s="49" t="s">
        <v>240</v>
      </c>
      <c r="E271" s="22" t="str">
        <f>_xll.BDP(AX271,"SECURITY NAME")</f>
        <v>Tesco PLC</v>
      </c>
      <c r="F271" s="22" t="str">
        <f>_xll.BDP(AX271,"CRNCY")</f>
        <v>GBp</v>
      </c>
      <c r="G271" s="23" t="s">
        <v>344</v>
      </c>
      <c r="H271" s="22" t="str" cm="1">
        <f t="array" ref="H271">IF(OR(_xll.BDP($AX271,"DX202")= "#N/A N/A", _xll.BDP($AX271,"DX202")="#N/A FIELD NOT APPLICABLE"), " ", _xll.BDP($AX271,"DX202"))</f>
        <v>Consumer Staples</v>
      </c>
      <c r="I271" s="24">
        <f>_xll.BDP(AX271,"CRNCY_ADJ_MKT_CAP", "EQY_FUND_CRNCY=USD")/1000</f>
        <v>33.883245863671682</v>
      </c>
      <c r="J271" s="25">
        <f>IFERROR(_xll.BDP(AX271, "DV013")/100,0)</f>
        <v>3.6243385738796659E-2</v>
      </c>
      <c r="K271" s="26" cm="1">
        <f t="array" ref="K271">IF(OR(_xll.BDP($AX271,"RR900")= "#N/A N/A", _xll.BDP($AX271,"RR900")="#N/A FIELD NOT APPLICABLE"), " ", _xll.BDP($AX271,"RR900"))</f>
        <v>15.918805668442445</v>
      </c>
      <c r="L271" s="26" cm="1">
        <f t="array" ref="L271">IF(OR(_xll.BDP($AX271,"EE010")= "#N/A N/A", _xll.BDP($AX271,"EE010")="#N/A FIELD NOT APPLICABLE"), " ", _xll.BDP($AX271,"EE010"))</f>
        <v>12.77027027027027</v>
      </c>
      <c r="M271" s="26" cm="1">
        <f t="array" ref="M271">IF(OR(_xll.BDP($AX271,"RR903")= "#N/A N/A", _xll.BDP($AX271,"RR903")="#N/A FIELD NOT APPLICABLE"), " ", _xll.BDP($AX271,"RR903"))</f>
        <v>2.1828614658289047</v>
      </c>
      <c r="N271" s="26" cm="1">
        <f t="array" ref="N271">IF(OR(_xll.BDP($AX271,"RR957")= "#N/A N/A", _xll.BDP($AX271,"RR957")="#N/A FIELD NOT APPLICABLE"), " ", _xll.BDP($AX271,"RR957"))</f>
        <v>7.8870778624877405</v>
      </c>
      <c r="O271" s="27">
        <v>14119</v>
      </c>
      <c r="P271" s="76">
        <v>3.3290000000000002</v>
      </c>
      <c r="Q271" s="22" cm="1">
        <f t="array" ref="Q271">IF(OR(_xll.BDP($AX271,"PX_last")="#N/A N/A",_xll.BDP($AX271,"PX_Last")="#N/A FIELD NOT APPLICABLE")," ",IF(F271="GBP",(_xll.BDP($AX271,"PX_LAST")/100),(_xll.BDP($AX271,"PX_LAST"))))</f>
        <v>3.78</v>
      </c>
      <c r="R271" s="29">
        <f>IF(F271="USD",AA271,(((_xll.BDP(F271&amp;"USD CURNCY","PX_LAST")))*AA271))</f>
        <v>62827.775241700008</v>
      </c>
      <c r="S271" s="29">
        <f>IF(F271="USD",AB271,(((_xll.BDP(F271&amp;"USD CURNCY","PX_LAST")))*AB271))</f>
        <v>71339.438393999997</v>
      </c>
      <c r="T271" s="12">
        <f>S271-R271</f>
        <v>8511.6631522999887</v>
      </c>
      <c r="U271" s="13">
        <f>T271/R271</f>
        <v>0.13547611895464085</v>
      </c>
      <c r="V271" s="13" cm="1">
        <f t="array" ref="V271">IFERROR(_xll.BDP($G271&amp;" Equity","CHG_PCT_1D")/100,"")</f>
        <v>1.886792E-2</v>
      </c>
      <c r="W271" s="13" cm="1">
        <f t="array" ref="W271">IFERROR(_xll.BDP($G271&amp;" Equity","CHG_PCT_5D")/100,"")</f>
        <v>5.7934510000000002E-2</v>
      </c>
      <c r="X271" s="13" t="e">
        <f>S271/#REF!</f>
        <v>#REF!</v>
      </c>
      <c r="Y271" s="24">
        <f>IFERROR(S271*J271,0)</f>
        <v>2585.5827841028622</v>
      </c>
      <c r="Z271" s="24">
        <f>S271</f>
        <v>71339.438393999997</v>
      </c>
      <c r="AA271" s="29">
        <f>P271*O271</f>
        <v>47002.151000000005</v>
      </c>
      <c r="AB271" s="29">
        <f>IFERROR(O271*Q271,0)</f>
        <v>53369.82</v>
      </c>
      <c r="AC271" s="4" t="e" cm="1">
        <f t="array" ref="AC271">VLOOKUP(IF(NOT(_xll.BDP(AX271,$BW$8)="#N/A N/A"),(_xll.BDP(AX271,$BW$8)),"-"), '[1]Country Codes'!$A$2:$B$253,2,0)</f>
        <v>#N/A</v>
      </c>
      <c r="AD271" s="30" t="str" cm="1">
        <f t="array" ref="AD271">IF(OR(_xll.BDP($AX271,"EX028")= "#N/A N/A", _xll.BDP($AX271,"EX028")="#N/A FIELD NOT APPLICABLE"), " ", _xll.BDP($AX271,"EX028"))</f>
        <v>Equity</v>
      </c>
      <c r="AE271" s="31" t="str">
        <f>IF(("AS97"="Equity"), " ", "Single Line Equity")</f>
        <v>Single Line Equity</v>
      </c>
      <c r="AF271" s="26" cm="1">
        <f t="array" ref="AF271">IF(OR(_xll.BDP($AX271,"RR908")= "#N/A N/A", _xll.BDP($AX271,"RR908")="#N/A FIELD NOT APPLICABLE"), " ", _xll.BDP($AX271,"RR908"))</f>
        <v>8.1645344819996204</v>
      </c>
      <c r="AG271" s="26" cm="1">
        <f t="array" ref="AG271">IF(OR(_xll.BDP($AX271,"RR041")= "#N/A N/A", _xll.BDP($AX271,"RR041")="#N/A FIELD NOT APPLICABLE"), " ", _xll.BDP($AX271,"RR041"))</f>
        <v>37.711493957315504</v>
      </c>
      <c r="AH271" s="22">
        <f>_xll.BDP(AX271,"TOT_BUY_REC")</f>
        <v>14</v>
      </c>
      <c r="AI271" s="22">
        <f>_xll.BDP(AX271,"TOT_HOLD_REC")</f>
        <v>3</v>
      </c>
      <c r="AJ271" s="22">
        <f>_xll.BDP(AX271,"TOT_SELL_REC")</f>
        <v>1</v>
      </c>
      <c r="AK271" s="26" cm="1">
        <f t="array" ref="AK271">IF(OR(_xll.BDP($AX271,"EE201")= "#N/A N/A", _xll.BDP($AX271,"EE201")="#N/A FIELD NOT APPLICABLE"), " ", _xll.BDP($AX271,"EE201"))</f>
        <v>4.3888888359069824</v>
      </c>
      <c r="AL271" s="24">
        <f>_xll.BDP(AX271,"BEST_TARGET_PRICE")</f>
        <v>380.33334350585938</v>
      </c>
      <c r="AM271" s="32">
        <f>(AL271/Q271)-1</f>
        <v>99.617286641761751</v>
      </c>
      <c r="AN271" s="32">
        <f>_xll.BDP(AX271,"PR061")/100</f>
        <v>0.11176469999999999</v>
      </c>
      <c r="AO271" s="32">
        <f>_xll.BDP(AX271,"PR064")/100</f>
        <v>-2.3255810000000002E-2</v>
      </c>
      <c r="AP271" s="32">
        <f>_xll.BDP(AX271,"CHG_PCT_6M")/100</f>
        <v>5.793454E-2</v>
      </c>
      <c r="AQ271" s="25">
        <f>_xll.BDP(AX271,"PR079")/100</f>
        <v>2.6337259999999998E-2</v>
      </c>
      <c r="AR271" s="33">
        <f>_xll.BDP(AX271,"hs001")</f>
        <v>398</v>
      </c>
      <c r="AS271" s="33">
        <f>_xll.BDP(AX271,"hs002")</f>
        <v>300.8</v>
      </c>
      <c r="AT271" s="22" t="str" cm="1">
        <f t="array" ref="AT271">IF(OR(_xll.BDP($AX271,"DX202")= "#N/A N/A", _xll.BDP($AX271,"DX202")="#N/A FIELD NOT APPLICABLE"), " ", _xll.BDP($AX271,"DX202"))</f>
        <v>Consumer Staples</v>
      </c>
      <c r="AU271" s="22" t="str" cm="1">
        <f t="array" ref="AU271">IF(OR(_xll.BDP($AX271,"DY997")= "#N/A N/A", _xll.BDP($AX271,"DY997")="#N/A FIELD NOT APPLICABLE"), " ", _xll.BDP($AX271,"DY997"))</f>
        <v>N</v>
      </c>
      <c r="AV271" s="22" t="str" cm="1">
        <f t="array" ref="AV271">IF(OR(_xll.BDP($AX271,"DY784")= "#N/A N/A", _xll.BDP($AX271,"DY784")="#N/A FIELD NOT APPLICABLE"), " ", _xll.BDP($AX271,"DY784"))</f>
        <v>N</v>
      </c>
      <c r="AW271" s="22" t="str">
        <f>IF(OR(AU271="Y",AV271="Y"),"Y","N")</f>
        <v>N</v>
      </c>
      <c r="AX271" s="22" t="str">
        <f>CONCATENATE(G271," ",$AX$2)</f>
        <v>TSCO LN Equity</v>
      </c>
      <c r="BC271" s="17" t="str" cm="1">
        <f t="array" ref="BC271">_xll.BDP(AX271,"ID005")</f>
        <v>GB00BLGZ9862</v>
      </c>
      <c r="BD271" s="17">
        <v>0.75</v>
      </c>
      <c r="BE271" s="18">
        <v>4</v>
      </c>
      <c r="BF271" s="19">
        <v>45540</v>
      </c>
      <c r="BG271" s="20">
        <v>1</v>
      </c>
    </row>
    <row r="272" spans="1:59" s="3" customFormat="1" ht="14.45" customHeight="1" x14ac:dyDescent="0.25">
      <c r="A272" s="49" t="s">
        <v>241</v>
      </c>
      <c r="B272" s="49" t="s">
        <v>270</v>
      </c>
      <c r="C272" s="49" t="s">
        <v>271</v>
      </c>
      <c r="D272" s="49" t="s">
        <v>240</v>
      </c>
      <c r="E272" s="22" t="str">
        <f>_xll.BDP(AX272,"SECURITY NAME")</f>
        <v>Tesco PLC</v>
      </c>
      <c r="F272" s="22" t="str">
        <f>_xll.BDP(AX272,"CRNCY")</f>
        <v>GBp</v>
      </c>
      <c r="G272" s="23" t="s">
        <v>344</v>
      </c>
      <c r="H272" s="22" t="str" cm="1">
        <f t="array" ref="H272">IF(OR(_xll.BDP($AX272,"DX202")= "#N/A N/A", _xll.BDP($AX272,"DX202")="#N/A FIELD NOT APPLICABLE"), " ", _xll.BDP($AX272,"DX202"))</f>
        <v>Consumer Staples</v>
      </c>
      <c r="I272" s="24">
        <f>_xll.BDP(AX272,"CRNCY_ADJ_MKT_CAP", "EQY_FUND_CRNCY=USD")/1000</f>
        <v>33.883245863671682</v>
      </c>
      <c r="J272" s="25">
        <f>IFERROR(_xll.BDP(AX272, "DV013")/100,0)</f>
        <v>3.6243385738796659E-2</v>
      </c>
      <c r="K272" s="26" cm="1">
        <f t="array" ref="K272">IF(OR(_xll.BDP($AX272,"RR900")= "#N/A N/A", _xll.BDP($AX272,"RR900")="#N/A FIELD NOT APPLICABLE"), " ", _xll.BDP($AX272,"RR900"))</f>
        <v>15.918805668442445</v>
      </c>
      <c r="L272" s="26" cm="1">
        <f t="array" ref="L272">IF(OR(_xll.BDP($AX272,"EE010")= "#N/A N/A", _xll.BDP($AX272,"EE010")="#N/A FIELD NOT APPLICABLE"), " ", _xll.BDP($AX272,"EE010"))</f>
        <v>12.77027027027027</v>
      </c>
      <c r="M272" s="26" cm="1">
        <f t="array" ref="M272">IF(OR(_xll.BDP($AX272,"RR903")= "#N/A N/A", _xll.BDP($AX272,"RR903")="#N/A FIELD NOT APPLICABLE"), " ", _xll.BDP($AX272,"RR903"))</f>
        <v>2.1828614658289047</v>
      </c>
      <c r="N272" s="26" cm="1">
        <f t="array" ref="N272">IF(OR(_xll.BDP($AX272,"RR957")= "#N/A N/A", _xll.BDP($AX272,"RR957")="#N/A FIELD NOT APPLICABLE"), " ", _xll.BDP($AX272,"RR957"))</f>
        <v>7.8870778624877405</v>
      </c>
      <c r="O272" s="27">
        <v>20750</v>
      </c>
      <c r="P272" s="28">
        <v>3.3290000000000002</v>
      </c>
      <c r="Q272" s="22" cm="1">
        <f t="array" ref="Q272">IF(OR(_xll.BDP($AX272,"PX_last")="#N/A N/A",_xll.BDP($AX272,"PX_Last")="#N/A FIELD NOT APPLICABLE")," ",IF(F272="GBP",(_xll.BDP($AX272,"PX_LAST")/100),(_xll.BDP($AX272,"PX_LAST"))))</f>
        <v>3.78</v>
      </c>
      <c r="R272" s="29">
        <f>IF(F272="USD",AA272,(((_xll.BDP(F272&amp;"USD CURNCY","PX_LAST")))*AA272))</f>
        <v>92334.891724999994</v>
      </c>
      <c r="S272" s="29">
        <f>IF(F272="USD",AB272,(((_xll.BDP(F272&amp;"USD CURNCY","PX_LAST")))*AB272))</f>
        <v>104844.06449999999</v>
      </c>
      <c r="T272" s="12">
        <f>S272-R272</f>
        <v>12509.172774999999</v>
      </c>
      <c r="U272" s="13">
        <f>T272/R272</f>
        <v>0.13547611895464104</v>
      </c>
      <c r="V272" s="13" cm="1">
        <f t="array" ref="V272">IFERROR(_xll.BDP($G272&amp;" Equity","CHG_PCT_1D")/100,"")</f>
        <v>1.886792E-2</v>
      </c>
      <c r="W272" s="13" cm="1">
        <f t="array" ref="W272">IFERROR(_xll.BDP($G272&amp;" Equity","CHG_PCT_5D")/100,"")</f>
        <v>5.7934510000000002E-2</v>
      </c>
      <c r="X272" s="13" t="e">
        <f>S272/#REF!</f>
        <v>#REF!</v>
      </c>
      <c r="Y272" s="24">
        <f>IFERROR(S272*J272,0)</f>
        <v>3799.9038720967769</v>
      </c>
      <c r="Z272" s="24">
        <f>S272</f>
        <v>104844.06449999999</v>
      </c>
      <c r="AA272" s="29">
        <f>P272*O272</f>
        <v>69076.75</v>
      </c>
      <c r="AB272" s="29">
        <f>IFERROR(O272*Q272,0)</f>
        <v>78435</v>
      </c>
      <c r="AC272" s="4" t="e" cm="1">
        <f t="array" ref="AC272">VLOOKUP(IF(NOT(_xll.BDP(AX272,$BW$8)="#N/A N/A"),(_xll.BDP(AX272,$BW$8)),"-"), '[1]Country Codes'!$A$2:$B$253,2,0)</f>
        <v>#N/A</v>
      </c>
      <c r="AD272" s="30" t="str" cm="1">
        <f t="array" ref="AD272">IF(OR(_xll.BDP($AX272,"EX028")= "#N/A N/A", _xll.BDP($AX272,"EX028")="#N/A FIELD NOT APPLICABLE"), " ", _xll.BDP($AX272,"EX028"))</f>
        <v>Equity</v>
      </c>
      <c r="AE272" s="31" t="str">
        <f>IF(("AS97"="Equity"), " ", "Single Line Equity")</f>
        <v>Single Line Equity</v>
      </c>
      <c r="AF272" s="26" cm="1">
        <f t="array" ref="AF272">IF(OR(_xll.BDP($AX272,"RR908")= "#N/A N/A", _xll.BDP($AX272,"RR908")="#N/A FIELD NOT APPLICABLE"), " ", _xll.BDP($AX272,"RR908"))</f>
        <v>8.1645344819996204</v>
      </c>
      <c r="AG272" s="26" cm="1">
        <f t="array" ref="AG272">IF(OR(_xll.BDP($AX272,"RR041")= "#N/A N/A", _xll.BDP($AX272,"RR041")="#N/A FIELD NOT APPLICABLE"), " ", _xll.BDP($AX272,"RR041"))</f>
        <v>37.711493957315504</v>
      </c>
      <c r="AH272" s="22">
        <f>_xll.BDP(AX272,"TOT_BUY_REC")</f>
        <v>14</v>
      </c>
      <c r="AI272" s="22">
        <f>_xll.BDP(AX272,"TOT_HOLD_REC")</f>
        <v>3</v>
      </c>
      <c r="AJ272" s="22">
        <f>_xll.BDP(AX272,"TOT_SELL_REC")</f>
        <v>1</v>
      </c>
      <c r="AK272" s="26" cm="1">
        <f t="array" ref="AK272">IF(OR(_xll.BDP($AX272,"EE201")= "#N/A N/A", _xll.BDP($AX272,"EE201")="#N/A FIELD NOT APPLICABLE"), " ", _xll.BDP($AX272,"EE201"))</f>
        <v>4.3888888359069824</v>
      </c>
      <c r="AL272" s="24">
        <f>_xll.BDP(AX272,"BEST_TARGET_PRICE")</f>
        <v>380.33334350585938</v>
      </c>
      <c r="AM272" s="32">
        <f>(AL272/Q272)-1</f>
        <v>99.617286641761751</v>
      </c>
      <c r="AN272" s="32">
        <f>_xll.BDP(AX272,"PR061")/100</f>
        <v>0.11176469999999999</v>
      </c>
      <c r="AO272" s="32">
        <f>_xll.BDP(AX272,"PR064")/100</f>
        <v>-2.3255810000000002E-2</v>
      </c>
      <c r="AP272" s="32">
        <f>_xll.BDP(AX272,"CHG_PCT_6M")/100</f>
        <v>5.793454E-2</v>
      </c>
      <c r="AQ272" s="25">
        <f>_xll.BDP(AX272,"PR079")/100</f>
        <v>2.6337259999999998E-2</v>
      </c>
      <c r="AR272" s="33">
        <f>_xll.BDP(AX272,"hs001")</f>
        <v>398</v>
      </c>
      <c r="AS272" s="33">
        <f>_xll.BDP(AX272,"hs002")</f>
        <v>300.8</v>
      </c>
      <c r="AT272" s="22" t="str" cm="1">
        <f t="array" ref="AT272">IF(OR(_xll.BDP($AX272,"DX202")= "#N/A N/A", _xll.BDP($AX272,"DX202")="#N/A FIELD NOT APPLICABLE"), " ", _xll.BDP($AX272,"DX202"))</f>
        <v>Consumer Staples</v>
      </c>
      <c r="AU272" s="22" t="str" cm="1">
        <f t="array" ref="AU272">IF(OR(_xll.BDP($AX272,"DY997")= "#N/A N/A", _xll.BDP($AX272,"DY997")="#N/A FIELD NOT APPLICABLE"), " ", _xll.BDP($AX272,"DY997"))</f>
        <v>N</v>
      </c>
      <c r="AV272" s="22" t="str" cm="1">
        <f t="array" ref="AV272">IF(OR(_xll.BDP($AX272,"DY784")= "#N/A N/A", _xll.BDP($AX272,"DY784")="#N/A FIELD NOT APPLICABLE"), " ", _xll.BDP($AX272,"DY784"))</f>
        <v>N</v>
      </c>
      <c r="AW272" s="22" t="str">
        <f>IF(OR(AU272="Y",AV272="Y"),"Y","N")</f>
        <v>N</v>
      </c>
      <c r="AX272" s="22" t="str">
        <f>CONCATENATE(G272," ",$AX$2)</f>
        <v>TSCO LN Equity</v>
      </c>
      <c r="BC272" s="17" t="str" cm="1">
        <f t="array" ref="BC272">_xll.BDP(AX272,"ID005")</f>
        <v>GB00BLGZ9862</v>
      </c>
      <c r="BD272" s="17">
        <v>0.75</v>
      </c>
      <c r="BE272" s="18">
        <v>4</v>
      </c>
      <c r="BF272" s="19">
        <v>45540</v>
      </c>
      <c r="BG272" s="20">
        <v>1</v>
      </c>
    </row>
    <row r="273" spans="1:59" s="3" customFormat="1" ht="14.45" customHeight="1" x14ac:dyDescent="0.25">
      <c r="A273" s="49" t="s">
        <v>241</v>
      </c>
      <c r="B273" s="49" t="s">
        <v>272</v>
      </c>
      <c r="C273" s="49">
        <v>2620061.0010000002</v>
      </c>
      <c r="D273" s="49" t="s">
        <v>240</v>
      </c>
      <c r="E273" s="22" t="str">
        <f>_xll.BDP(AX273,"SECURITY NAME")</f>
        <v>Tesco PLC</v>
      </c>
      <c r="F273" s="22" t="str">
        <f>_xll.BDP(AX273,"CRNCY")</f>
        <v>GBp</v>
      </c>
      <c r="G273" s="23" t="s">
        <v>344</v>
      </c>
      <c r="H273" s="22" t="str" cm="1">
        <f t="array" ref="H273">IF(OR(_xll.BDP($AX273,"DX202")= "#N/A N/A", _xll.BDP($AX273,"DX202")="#N/A FIELD NOT APPLICABLE"), " ", _xll.BDP($AX273,"DX202"))</f>
        <v>Consumer Staples</v>
      </c>
      <c r="I273" s="24">
        <f>_xll.BDP(AX273,"CRNCY_ADJ_MKT_CAP", "EQY_FUND_CRNCY=USD")/1000</f>
        <v>33.883245863671682</v>
      </c>
      <c r="J273" s="25">
        <f>IFERROR(_xll.BDP(AX273, "DV013")/100,0)</f>
        <v>3.6243385738796659E-2</v>
      </c>
      <c r="K273" s="26" cm="1">
        <f t="array" ref="K273">IF(OR(_xll.BDP($AX273,"RR900")= "#N/A N/A", _xll.BDP($AX273,"RR900")="#N/A FIELD NOT APPLICABLE"), " ", _xll.BDP($AX273,"RR900"))</f>
        <v>15.918805668442445</v>
      </c>
      <c r="L273" s="26" cm="1">
        <f t="array" ref="L273">IF(OR(_xll.BDP($AX273,"EE010")= "#N/A N/A", _xll.BDP($AX273,"EE010")="#N/A FIELD NOT APPLICABLE"), " ", _xll.BDP($AX273,"EE010"))</f>
        <v>12.77027027027027</v>
      </c>
      <c r="M273" s="26" cm="1">
        <f t="array" ref="M273">IF(OR(_xll.BDP($AX273,"RR903")= "#N/A N/A", _xll.BDP($AX273,"RR903")="#N/A FIELD NOT APPLICABLE"), " ", _xll.BDP($AX273,"RR903"))</f>
        <v>2.1828614658289047</v>
      </c>
      <c r="N273" s="26" cm="1">
        <f t="array" ref="N273">IF(OR(_xll.BDP($AX273,"RR957")= "#N/A N/A", _xll.BDP($AX273,"RR957")="#N/A FIELD NOT APPLICABLE"), " ", _xll.BDP($AX273,"RR957"))</f>
        <v>7.8870778624877405</v>
      </c>
      <c r="O273" s="27">
        <v>19271</v>
      </c>
      <c r="P273" s="28">
        <v>3.3290000000000002</v>
      </c>
      <c r="Q273" s="22" cm="1">
        <f t="array" ref="Q273">IF(OR(_xll.BDP($AX273,"PX_last")="#N/A N/A",_xll.BDP($AX273,"PX_Last")="#N/A FIELD NOT APPLICABLE")," ",IF(F273="GBP",(_xll.BDP($AX273,"PX_LAST")/100),(_xll.BDP($AX273,"PX_LAST"))))</f>
        <v>3.78</v>
      </c>
      <c r="R273" s="29">
        <f>IF(F273="USD",AA273,(((_xll.BDP(F273&amp;"USD CURNCY","PX_LAST")))*AA273))</f>
        <v>85753.527635300008</v>
      </c>
      <c r="S273" s="29">
        <f>IF(F273="USD",AB273,(((_xll.BDP(F273&amp;"USD CURNCY","PX_LAST")))*AB273))</f>
        <v>97371.082745999985</v>
      </c>
      <c r="T273" s="12">
        <f>S273-R273</f>
        <v>11617.555110699977</v>
      </c>
      <c r="U273" s="13">
        <f>IFERROR(T273/R273,0)</f>
        <v>0.13547611895464076</v>
      </c>
      <c r="V273" s="13" cm="1">
        <f t="array" ref="V273">IFERROR(_xll.BDP($G273&amp;" Equity","CHG_PCT_1D")/100,"")</f>
        <v>1.886792E-2</v>
      </c>
      <c r="W273" s="13" cm="1">
        <f t="array" ref="W273">IFERROR(_xll.BDP($G273&amp;" Equity","CHG_PCT_5D")/100,"")</f>
        <v>5.7934510000000002E-2</v>
      </c>
      <c r="X273" s="13" t="e">
        <f>S273/#REF!</f>
        <v>#REF!</v>
      </c>
      <c r="Y273" s="24">
        <f>IFERROR(S273*J273,0)</f>
        <v>3529.0577117675653</v>
      </c>
      <c r="Z273" s="24">
        <f>S273</f>
        <v>97371.082745999985</v>
      </c>
      <c r="AA273" s="29">
        <f>P273*O273</f>
        <v>64153.159000000007</v>
      </c>
      <c r="AB273" s="29">
        <f>IFERROR(O273*Q273,0)</f>
        <v>72844.37999999999</v>
      </c>
      <c r="AC273" s="4" t="e" cm="1">
        <f t="array" ref="AC273">VLOOKUP(IF(NOT(_xll.BDP(AX273,$BW$8)="#N/A N/A"),(_xll.BDP(AX273,$BW$8)),"-"), '[1]Country Codes'!$A$2:$B$253,2,0)</f>
        <v>#N/A</v>
      </c>
      <c r="AD273" s="30" t="str" cm="1">
        <f t="array" ref="AD273">IF(OR(_xll.BDP($AX273,"EX028")= "#N/A N/A", _xll.BDP($AX273,"EX028")="#N/A FIELD NOT APPLICABLE"), " ", _xll.BDP($AX273,"EX028"))</f>
        <v>Equity</v>
      </c>
      <c r="AE273" s="31" t="str">
        <f>IF(("AS97"="Equity"), " ", "Single Line Equity")</f>
        <v>Single Line Equity</v>
      </c>
      <c r="AF273" s="26" cm="1">
        <f t="array" ref="AF273">IF(OR(_xll.BDP($AX273,"RR908")= "#N/A N/A", _xll.BDP($AX273,"RR908")="#N/A FIELD NOT APPLICABLE"), " ", _xll.BDP($AX273,"RR908"))</f>
        <v>8.1645344819996204</v>
      </c>
      <c r="AG273" s="26" cm="1">
        <f t="array" ref="AG273">IF(OR(_xll.BDP($AX273,"RR041")= "#N/A N/A", _xll.BDP($AX273,"RR041")="#N/A FIELD NOT APPLICABLE"), " ", _xll.BDP($AX273,"RR041"))</f>
        <v>37.711493957315504</v>
      </c>
      <c r="AH273" s="22">
        <f>_xll.BDP(AX273,"TOT_BUY_REC")</f>
        <v>14</v>
      </c>
      <c r="AI273" s="22">
        <f>_xll.BDP(AX273,"TOT_HOLD_REC")</f>
        <v>3</v>
      </c>
      <c r="AJ273" s="22">
        <f>_xll.BDP(AX273,"TOT_SELL_REC")</f>
        <v>1</v>
      </c>
      <c r="AK273" s="26" cm="1">
        <f t="array" ref="AK273">IF(OR(_xll.BDP($AX273,"EE201")= "#N/A N/A", _xll.BDP($AX273,"EE201")="#N/A FIELD NOT APPLICABLE"), " ", _xll.BDP($AX273,"EE201"))</f>
        <v>4.3888888359069824</v>
      </c>
      <c r="AL273" s="24">
        <f>_xll.BDP(AX273,"BEST_TARGET_PRICE")</f>
        <v>380.33334350585938</v>
      </c>
      <c r="AM273" s="32">
        <f>(AL273/Q273)-1</f>
        <v>99.617286641761751</v>
      </c>
      <c r="AN273" s="32">
        <f>_xll.BDP(AX273,"PR061")/100</f>
        <v>0.11176469999999999</v>
      </c>
      <c r="AO273" s="32">
        <f>_xll.BDP(AX273,"PR064")/100</f>
        <v>-2.3255810000000002E-2</v>
      </c>
      <c r="AP273" s="32">
        <f>_xll.BDP(AX273,"CHG_PCT_6M")/100</f>
        <v>5.793454E-2</v>
      </c>
      <c r="AQ273" s="25">
        <f>_xll.BDP(AX273,"PR079")/100</f>
        <v>2.6337259999999998E-2</v>
      </c>
      <c r="AR273" s="33">
        <f>_xll.BDP(AX273,"hs001")</f>
        <v>398</v>
      </c>
      <c r="AS273" s="33">
        <f>_xll.BDP(AX273,"hs002")</f>
        <v>300.8</v>
      </c>
      <c r="AT273" s="22" t="str" cm="1">
        <f t="array" ref="AT273">IF(OR(_xll.BDP($AX273,"DX202")= "#N/A N/A", _xll.BDP($AX273,"DX202")="#N/A FIELD NOT APPLICABLE"), " ", _xll.BDP($AX273,"DX202"))</f>
        <v>Consumer Staples</v>
      </c>
      <c r="AU273" s="22" t="str" cm="1">
        <f t="array" ref="AU273">IF(OR(_xll.BDP($AX273,"DY997")= "#N/A N/A", _xll.BDP($AX273,"DY997")="#N/A FIELD NOT APPLICABLE"), " ", _xll.BDP($AX273,"DY997"))</f>
        <v>N</v>
      </c>
      <c r="AV273" s="22" t="str" cm="1">
        <f t="array" ref="AV273">IF(OR(_xll.BDP($AX273,"DY784")= "#N/A N/A", _xll.BDP($AX273,"DY784")="#N/A FIELD NOT APPLICABLE"), " ", _xll.BDP($AX273,"DY784"))</f>
        <v>N</v>
      </c>
      <c r="AW273" s="22" t="str">
        <f>IF(OR(AU273="Y",AV273="Y"),"Y","N")</f>
        <v>N</v>
      </c>
      <c r="AX273" s="22" t="str">
        <f>CONCATENATE(G273," ",$AX$2)</f>
        <v>TSCO LN Equity</v>
      </c>
      <c r="BC273" s="17" t="str" cm="1">
        <f t="array" ref="BC273">_xll.BDP(AX273,"ID005")</f>
        <v>GB00BLGZ9862</v>
      </c>
      <c r="BD273" s="17">
        <v>0.72</v>
      </c>
      <c r="BE273" s="18">
        <v>4</v>
      </c>
      <c r="BF273" s="19">
        <v>45540</v>
      </c>
      <c r="BG273" s="20">
        <v>1</v>
      </c>
    </row>
    <row r="274" spans="1:59" s="3" customFormat="1" ht="14.45" customHeight="1" x14ac:dyDescent="0.25">
      <c r="A274" s="49" t="s">
        <v>241</v>
      </c>
      <c r="B274" s="49" t="s">
        <v>273</v>
      </c>
      <c r="C274" s="49">
        <v>2620058.003</v>
      </c>
      <c r="D274" s="49" t="s">
        <v>240</v>
      </c>
      <c r="E274" s="22" t="str">
        <f>_xll.BDP(AX274,"SECURITY NAME")</f>
        <v>Tesco PLC</v>
      </c>
      <c r="F274" s="22" t="str">
        <f>_xll.BDP(AX274,"CRNCY")</f>
        <v>GBp</v>
      </c>
      <c r="G274" s="23" t="s">
        <v>344</v>
      </c>
      <c r="H274" s="22" t="str" cm="1">
        <f t="array" ref="H274">IF(OR(_xll.BDP($AX274,"DX202")= "#N/A N/A", _xll.BDP($AX274,"DX202")="#N/A FIELD NOT APPLICABLE"), " ", _xll.BDP($AX274,"DX202"))</f>
        <v>Consumer Staples</v>
      </c>
      <c r="I274" s="24"/>
      <c r="J274" s="25">
        <f>IFERROR(_xll.BDP(AX274, "DV013")/100,0)</f>
        <v>3.6243385738796659E-2</v>
      </c>
      <c r="K274" s="26" cm="1">
        <f t="array" ref="K274">IF(OR(_xll.BDP($AX274,"RR900")= "#N/A N/A", _xll.BDP($AX274,"RR900")="#N/A FIELD NOT APPLICABLE"), " ", _xll.BDP($AX274,"RR900"))</f>
        <v>15.918805668442445</v>
      </c>
      <c r="L274" s="26" cm="1">
        <f t="array" ref="L274">IF(OR(_xll.BDP($AX274,"EE010")= "#N/A N/A", _xll.BDP($AX274,"EE010")="#N/A FIELD NOT APPLICABLE"), " ", _xll.BDP($AX274,"EE010"))</f>
        <v>12.77027027027027</v>
      </c>
      <c r="M274" s="26" cm="1">
        <f t="array" ref="M274">IF(OR(_xll.BDP($AX274,"RR903")= "#N/A N/A", _xll.BDP($AX274,"RR903")="#N/A FIELD NOT APPLICABLE"), " ", _xll.BDP($AX274,"RR903"))</f>
        <v>2.1828614658289047</v>
      </c>
      <c r="N274" s="26" cm="1">
        <f t="array" ref="N274">IF(OR(_xll.BDP($AX274,"RR957")= "#N/A N/A", _xll.BDP($AX274,"RR957")="#N/A FIELD NOT APPLICABLE"), " ", _xll.BDP($AX274,"RR957"))</f>
        <v>7.8870778624877405</v>
      </c>
      <c r="O274" s="27">
        <v>12884</v>
      </c>
      <c r="P274" s="28">
        <v>3.3290000000000002</v>
      </c>
      <c r="Q274" s="22" cm="1">
        <f t="array" ref="Q274">IF(OR(_xll.BDP($AX274,"PX_last")="#N/A N/A",_xll.BDP($AX274,"PX_Last")="#N/A FIELD NOT APPLICABLE")," ",IF(F274="GBP",(_xll.BDP($AX274,"PX_LAST")/100),(_xll.BDP($AX274,"PX_LAST"))))</f>
        <v>3.78</v>
      </c>
      <c r="R274" s="29">
        <f>IF(F274="USD",AA274,(((_xll.BDP(F274&amp;"USD CURNCY","PX_LAST")))*AA274))</f>
        <v>57332.180481200005</v>
      </c>
      <c r="S274" s="29">
        <f>IF(F274="USD",AB274,(((_xll.BDP(F274&amp;"USD CURNCY","PX_LAST")))*AB274))</f>
        <v>65099.321783999992</v>
      </c>
      <c r="T274" s="12">
        <f>S274-R274</f>
        <v>7767.1413027999879</v>
      </c>
      <c r="U274" s="13">
        <f>T274/R274</f>
        <v>0.13547611895464082</v>
      </c>
      <c r="V274" s="13" cm="1">
        <f t="array" ref="V274">IFERROR(_xll.BDP($G274&amp;" Equity","CHG_PCT_1D")/100,"")</f>
        <v>1.886792E-2</v>
      </c>
      <c r="W274" s="13" cm="1">
        <f t="array" ref="W274">IFERROR(_xll.BDP($G274&amp;" Equity","CHG_PCT_5D")/100,"")</f>
        <v>5.7934510000000002E-2</v>
      </c>
      <c r="X274" s="13" t="e">
        <f>S274/#REF!</f>
        <v>#REF!</v>
      </c>
      <c r="Y274" s="24">
        <f>IFERROR(S274*J274,0)</f>
        <v>2359.4198307515599</v>
      </c>
      <c r="Z274" s="24">
        <f>S274</f>
        <v>65099.321783999992</v>
      </c>
      <c r="AA274" s="29">
        <f>P274*O274</f>
        <v>42890.836000000003</v>
      </c>
      <c r="AB274" s="29">
        <f>IFERROR(O274*Q274,0)</f>
        <v>48701.52</v>
      </c>
      <c r="AC274" s="4" t="e" cm="1">
        <f t="array" ref="AC274">VLOOKUP(IF(NOT(_xll.BDP(AX274,$BW$8)="#N/A N/A"),(_xll.BDP(AX274,$BW$8)),"-"), '[1]Country Codes'!$A$2:$B$253,2,0)</f>
        <v>#N/A</v>
      </c>
      <c r="AD274" s="30" t="str" cm="1">
        <f t="array" ref="AD274">IF(OR(_xll.BDP($AX274,"EX028")= "#N/A N/A", _xll.BDP($AX274,"EX028")="#N/A FIELD NOT APPLICABLE"), " ", _xll.BDP($AX274,"EX028"))</f>
        <v>Equity</v>
      </c>
      <c r="AE274" s="31" t="str">
        <f>IF(("AS97"="Equity"), " ", "Single Line Equity")</f>
        <v>Single Line Equity</v>
      </c>
      <c r="AF274" s="26" cm="1">
        <f t="array" ref="AF274">IF(OR(_xll.BDP($AX274,"RR908")= "#N/A N/A", _xll.BDP($AX274,"RR908")="#N/A FIELD NOT APPLICABLE"), " ", _xll.BDP($AX274,"RR908"))</f>
        <v>8.1645344819996204</v>
      </c>
      <c r="AG274" s="26" cm="1">
        <f t="array" ref="AG274">IF(OR(_xll.BDP($AX274,"RR041")= "#N/A N/A", _xll.BDP($AX274,"RR041")="#N/A FIELD NOT APPLICABLE"), " ", _xll.BDP($AX274,"RR041"))</f>
        <v>37.711493957315504</v>
      </c>
      <c r="AH274" s="22">
        <f>_xll.BDP(AX274,"TOT_BUY_REC")</f>
        <v>14</v>
      </c>
      <c r="AI274" s="22">
        <f>_xll.BDP(AX274,"TOT_HOLD_REC")</f>
        <v>3</v>
      </c>
      <c r="AJ274" s="22">
        <f>_xll.BDP(AX274,"TOT_SELL_REC")</f>
        <v>1</v>
      </c>
      <c r="AK274" s="26" cm="1">
        <f t="array" ref="AK274">IF(OR(_xll.BDP($AX274,"EE201")= "#N/A N/A", _xll.BDP($AX274,"EE201")="#N/A FIELD NOT APPLICABLE"), " ", _xll.BDP($AX274,"EE201"))</f>
        <v>4.3888888359069824</v>
      </c>
      <c r="AL274" s="24">
        <f>_xll.BDP(AX274,"BEST_TARGET_PRICE")</f>
        <v>380.33334350585938</v>
      </c>
      <c r="AM274" s="32">
        <f>(AL274/Q274)-1</f>
        <v>99.617286641761751</v>
      </c>
      <c r="AN274" s="32">
        <f>_xll.BDP(AX274,"PR061")/100</f>
        <v>0.11176469999999999</v>
      </c>
      <c r="AO274" s="32">
        <f>_xll.BDP(AX274,"PR064")/100</f>
        <v>-2.3255810000000002E-2</v>
      </c>
      <c r="AP274" s="32">
        <f>_xll.BDP(AX274,"CHG_PCT_6M")/100</f>
        <v>5.793454E-2</v>
      </c>
      <c r="AQ274" s="25">
        <f>_xll.BDP(AX274,"PR079")/100</f>
        <v>2.6337259999999998E-2</v>
      </c>
      <c r="AR274" s="33">
        <f>_xll.BDP(AX274,"hs001")</f>
        <v>398</v>
      </c>
      <c r="AS274" s="33">
        <f>_xll.BDP(AX274,"hs002")</f>
        <v>300.8</v>
      </c>
      <c r="AT274" s="22" t="str" cm="1">
        <f t="array" ref="AT274">IF(OR(_xll.BDP($AX274,"DX202")= "#N/A N/A", _xll.BDP($AX274,"DX202")="#N/A FIELD NOT APPLICABLE"), " ", _xll.BDP($AX274,"DX202"))</f>
        <v>Consumer Staples</v>
      </c>
      <c r="AU274" s="22" t="str" cm="1">
        <f t="array" ref="AU274">IF(OR(_xll.BDP($AX274,"DY997")= "#N/A N/A", _xll.BDP($AX274,"DY997")="#N/A FIELD NOT APPLICABLE"), " ", _xll.BDP($AX274,"DY997"))</f>
        <v>N</v>
      </c>
      <c r="AV274" s="22" t="str" cm="1">
        <f t="array" ref="AV274">IF(OR(_xll.BDP($AX274,"DY784")= "#N/A N/A", _xll.BDP($AX274,"DY784")="#N/A FIELD NOT APPLICABLE"), " ", _xll.BDP($AX274,"DY784"))</f>
        <v>N</v>
      </c>
      <c r="AW274" s="22" t="str">
        <f>IF(OR(AU274="Y",AV274="Y"),"Y","N")</f>
        <v>N</v>
      </c>
      <c r="AX274" s="22" t="str">
        <f>CONCATENATE(G274," ",$AX$2)</f>
        <v>TSCO LN Equity</v>
      </c>
      <c r="BC274" s="17" t="str" cm="1">
        <f t="array" ref="BC274">_xll.BDP(AX274,"ID005")</f>
        <v>GB00BLGZ9862</v>
      </c>
      <c r="BD274" s="17">
        <v>0.55000000000000004</v>
      </c>
      <c r="BE274" s="18">
        <v>4</v>
      </c>
      <c r="BF274" s="19">
        <v>45540</v>
      </c>
      <c r="BG274" s="20"/>
    </row>
    <row r="275" spans="1:59" s="3" customFormat="1" ht="14.45" customHeight="1" x14ac:dyDescent="0.25">
      <c r="A275" s="49" t="s">
        <v>241</v>
      </c>
      <c r="B275" s="49" t="s">
        <v>276</v>
      </c>
      <c r="C275" s="49" t="s">
        <v>277</v>
      </c>
      <c r="D275" s="49" t="s">
        <v>240</v>
      </c>
      <c r="E275" s="22" t="str">
        <f>_xll.BDP(AX275,"SECURITY NAME")</f>
        <v>Tesco PLC</v>
      </c>
      <c r="F275" s="22" t="str">
        <f>_xll.BDP(AX275,"CRNCY")</f>
        <v>GBp</v>
      </c>
      <c r="G275" s="23" t="s">
        <v>344</v>
      </c>
      <c r="H275" s="22" t="str" cm="1">
        <f t="array" ref="H275">IF(OR(_xll.BDP($AX275,"DX202")= "#N/A N/A", _xll.BDP($AX275,"DX202")="#N/A FIELD NOT APPLICABLE"), " ", _xll.BDP($AX275,"DX202"))</f>
        <v>Consumer Staples</v>
      </c>
      <c r="I275" s="24">
        <f>_xll.BDP(AX275,"CRNCY_ADJ_MKT_CAP", "EQY_FUND_CRNCY=USD")/1000</f>
        <v>33.883245863671682</v>
      </c>
      <c r="J275" s="25">
        <f>IFERROR(_xll.BDP(AX275, "DV013")/100,0)</f>
        <v>3.6243385738796659E-2</v>
      </c>
      <c r="K275" s="26" cm="1">
        <f t="array" ref="K275">IF(OR(_xll.BDP($AX275,"RR900")= "#N/A N/A", _xll.BDP($AX275,"RR900")="#N/A FIELD NOT APPLICABLE"), " ", _xll.BDP($AX275,"RR900"))</f>
        <v>15.918805668442445</v>
      </c>
      <c r="L275" s="26" cm="1">
        <f t="array" ref="L275">IF(OR(_xll.BDP($AX275,"EE010")= "#N/A N/A", _xll.BDP($AX275,"EE010")="#N/A FIELD NOT APPLICABLE"), " ", _xll.BDP($AX275,"EE010"))</f>
        <v>12.77027027027027</v>
      </c>
      <c r="M275" s="26" cm="1">
        <f t="array" ref="M275">IF(OR(_xll.BDP($AX275,"RR903")= "#N/A N/A", _xll.BDP($AX275,"RR903")="#N/A FIELD NOT APPLICABLE"), " ", _xll.BDP($AX275,"RR903"))</f>
        <v>2.1828614658289047</v>
      </c>
      <c r="N275" s="26" cm="1">
        <f t="array" ref="N275">IF(OR(_xll.BDP($AX275,"RR957")= "#N/A N/A", _xll.BDP($AX275,"RR957")="#N/A FIELD NOT APPLICABLE"), " ", _xll.BDP($AX275,"RR957"))</f>
        <v>7.8870778624877405</v>
      </c>
      <c r="O275" s="27">
        <v>29485</v>
      </c>
      <c r="P275" s="28">
        <v>3.3290000000000002</v>
      </c>
      <c r="Q275" s="22" cm="1">
        <f t="array" ref="Q275">IF(OR(_xll.BDP($AX275,"PX_last")="#N/A N/A",_xll.BDP($AX275,"PX_Last")="#N/A FIELD NOT APPLICABLE")," ",IF(F275="GBP",(_xll.BDP($AX275,"PX_LAST")/100),(_xll.BDP($AX275,"PX_LAST"))))</f>
        <v>3.78</v>
      </c>
      <c r="R275" s="29">
        <f>IF(F275="USD",AA275,(((_xll.BDP(F275&amp;"USD CURNCY","PX_LAST")))*AA275))</f>
        <v>131204.54373549999</v>
      </c>
      <c r="S275" s="29">
        <f>IF(F275="USD",AB275,(((_xll.BDP(F275&amp;"USD CURNCY","PX_LAST")))*AB275))</f>
        <v>148979.62610999998</v>
      </c>
      <c r="T275" s="12">
        <f>S275-R275</f>
        <v>17775.082374499994</v>
      </c>
      <c r="U275" s="13">
        <f>T275/R275</f>
        <v>0.13547611895464101</v>
      </c>
      <c r="V275" s="13" cm="1">
        <f t="array" ref="V275">IFERROR(_xll.BDP($G275&amp;" Equity","CHG_PCT_1D")/100,"")</f>
        <v>1.886792E-2</v>
      </c>
      <c r="W275" s="13" cm="1">
        <f t="array" ref="W275">IFERROR(_xll.BDP($G275&amp;" Equity","CHG_PCT_5D")/100,"")</f>
        <v>5.7934510000000002E-2</v>
      </c>
      <c r="X275" s="13" t="e">
        <f>S275/#REF!</f>
        <v>#REF!</v>
      </c>
      <c r="Y275" s="24">
        <f>IFERROR(S275*J275,0)</f>
        <v>5399.5260563264319</v>
      </c>
      <c r="Z275" s="24">
        <f>S275</f>
        <v>148979.62610999998</v>
      </c>
      <c r="AA275" s="29">
        <f>P275*O275</f>
        <v>98155.565000000002</v>
      </c>
      <c r="AB275" s="29">
        <f>IFERROR(O275*Q275,0)</f>
        <v>111453.29999999999</v>
      </c>
      <c r="AC275" s="4" t="e" cm="1">
        <f t="array" ref="AC275">VLOOKUP(IF(NOT(_xll.BDP(AX275,$BW$8)="#N/A N/A"),(_xll.BDP(AX275,$BW$8)),"-"), '[1]Country Codes'!$A$2:$B$253,2,0)</f>
        <v>#N/A</v>
      </c>
      <c r="AD275" s="30" t="str" cm="1">
        <f t="array" ref="AD275">IF(OR(_xll.BDP($AX275,"EX028")= "#N/A N/A", _xll.BDP($AX275,"EX028")="#N/A FIELD NOT APPLICABLE"), " ", _xll.BDP($AX275,"EX028"))</f>
        <v>Equity</v>
      </c>
      <c r="AE275" s="31" t="str">
        <f>IF(("AS97"="Equity"), " ", "Single Line Equity")</f>
        <v>Single Line Equity</v>
      </c>
      <c r="AF275" s="26" cm="1">
        <f t="array" ref="AF275">IF(OR(_xll.BDP($AX275,"RR908")= "#N/A N/A", _xll.BDP($AX275,"RR908")="#N/A FIELD NOT APPLICABLE"), " ", _xll.BDP($AX275,"RR908"))</f>
        <v>8.1645344819996204</v>
      </c>
      <c r="AG275" s="26" cm="1">
        <f t="array" ref="AG275">IF(OR(_xll.BDP($AX275,"RR041")= "#N/A N/A", _xll.BDP($AX275,"RR041")="#N/A FIELD NOT APPLICABLE"), " ", _xll.BDP($AX275,"RR041"))</f>
        <v>37.711493957315504</v>
      </c>
      <c r="AH275" s="22">
        <f>_xll.BDP(AX275,"TOT_BUY_REC")</f>
        <v>14</v>
      </c>
      <c r="AI275" s="22">
        <f>_xll.BDP(AX275,"TOT_HOLD_REC")</f>
        <v>3</v>
      </c>
      <c r="AJ275" s="22">
        <f>_xll.BDP(AX275,"TOT_SELL_REC")</f>
        <v>1</v>
      </c>
      <c r="AK275" s="26" cm="1">
        <f t="array" ref="AK275">IF(OR(_xll.BDP($AX275,"EE201")= "#N/A N/A", _xll.BDP($AX275,"EE201")="#N/A FIELD NOT APPLICABLE"), " ", _xll.BDP($AX275,"EE201"))</f>
        <v>4.3888888359069824</v>
      </c>
      <c r="AL275" s="24">
        <f>_xll.BDP(AX275,"BEST_TARGET_PRICE")</f>
        <v>380.33334350585938</v>
      </c>
      <c r="AM275" s="32">
        <f>(AL275/Q275)-1</f>
        <v>99.617286641761751</v>
      </c>
      <c r="AN275" s="32">
        <f>_xll.BDP(AX275,"PR061")/100</f>
        <v>0.11176469999999999</v>
      </c>
      <c r="AO275" s="32">
        <f>_xll.BDP(AX275,"PR064")/100</f>
        <v>-2.3255810000000002E-2</v>
      </c>
      <c r="AP275" s="32">
        <f>_xll.BDP(AX275,"CHG_PCT_6M")/100</f>
        <v>5.793454E-2</v>
      </c>
      <c r="AQ275" s="25">
        <f>_xll.BDP(AX275,"PR079")/100</f>
        <v>2.6337259999999998E-2</v>
      </c>
      <c r="AR275" s="33">
        <f>_xll.BDP(AX275,"hs001")</f>
        <v>398</v>
      </c>
      <c r="AS275" s="33">
        <f>_xll.BDP(AX275,"hs002")</f>
        <v>300.8</v>
      </c>
      <c r="AT275" s="22" t="str" cm="1">
        <f t="array" ref="AT275">IF(OR(_xll.BDP($AX275,"DX202")= "#N/A N/A", _xll.BDP($AX275,"DX202")="#N/A FIELD NOT APPLICABLE"), " ", _xll.BDP($AX275,"DX202"))</f>
        <v>Consumer Staples</v>
      </c>
      <c r="AU275" s="22" t="str" cm="1">
        <f t="array" ref="AU275">IF(OR(_xll.BDP($AX275,"DY997")= "#N/A N/A", _xll.BDP($AX275,"DY997")="#N/A FIELD NOT APPLICABLE"), " ", _xll.BDP($AX275,"DY997"))</f>
        <v>N</v>
      </c>
      <c r="AV275" s="22" t="str" cm="1">
        <f t="array" ref="AV275">IF(OR(_xll.BDP($AX275,"DY784")= "#N/A N/A", _xll.BDP($AX275,"DY784")="#N/A FIELD NOT APPLICABLE"), " ", _xll.BDP($AX275,"DY784"))</f>
        <v>N</v>
      </c>
      <c r="AW275" s="22" t="str">
        <f>IF(OR(AU275="Y",AV275="Y"),"Y","N")</f>
        <v>N</v>
      </c>
      <c r="AX275" s="22" t="str">
        <f>CONCATENATE(G275," ",$AX$2)</f>
        <v>TSCO LN Equity</v>
      </c>
      <c r="BC275" s="17" t="str" cm="1">
        <f t="array" ref="BC275">_xll.BDP(AX275,"ID005")</f>
        <v>GB00BLGZ9862</v>
      </c>
      <c r="BD275" s="17">
        <v>0.55000000000000004</v>
      </c>
      <c r="BE275" s="18">
        <v>4</v>
      </c>
      <c r="BF275" s="19">
        <v>45540</v>
      </c>
      <c r="BG275" s="20"/>
    </row>
    <row r="276" spans="1:59" s="3" customFormat="1" ht="14.45" customHeight="1" x14ac:dyDescent="0.25">
      <c r="A276" s="49" t="s">
        <v>241</v>
      </c>
      <c r="B276" s="49" t="s">
        <v>238</v>
      </c>
      <c r="C276" s="49" t="s">
        <v>239</v>
      </c>
      <c r="D276" s="49" t="s">
        <v>240</v>
      </c>
      <c r="E276" s="22" t="str">
        <f>_xll.BDP(AX276,"SECURITY NAME")</f>
        <v>TotalEnergies SE</v>
      </c>
      <c r="F276" s="22" t="str">
        <f>_xll.BDP(AX276,"CRNCY")</f>
        <v>EUR</v>
      </c>
      <c r="G276" s="23" t="s">
        <v>329</v>
      </c>
      <c r="H276" s="22" t="str" cm="1">
        <f t="array" ref="H276">IF(OR(_xll.BDP($AX276,"DX202")= "#N/A N/A", _xll.BDP($AX276,"DX202")="#N/A FIELD NOT APPLICABLE"), " ", _xll.BDP($AX276,"DX202"))</f>
        <v>Energy</v>
      </c>
      <c r="I276" s="24">
        <f>_xll.BDP(AX276,"CRNCY_ADJ_MKT_CAP", "EQY_FUND_CRNCY=USD")/1000</f>
        <v>131.45252994387337</v>
      </c>
      <c r="J276" s="25">
        <f>IFERROR(_xll.BDP(AX276, "DV013")/100,0)</f>
        <v>6.4238150634347249E-2</v>
      </c>
      <c r="K276" s="26" cm="1">
        <f t="array" ref="K276">IF(OR(_xll.BDP($AX276,"RR900")= "#N/A N/A", _xll.BDP($AX276,"RR900")="#N/A FIELD NOT APPLICABLE"), " ", _xll.BDP($AX276,"RR900"))</f>
        <v>9.7356558104022497</v>
      </c>
      <c r="L276" s="26" cm="1">
        <f t="array" ref="L276">IF(OR(_xll.BDP($AX276,"EE010")= "#N/A N/A", _xll.BDP($AX276,"EE010")="#N/A FIELD NOT APPLICABLE"), " ", _xll.BDP($AX276,"EE010"))</f>
        <v>7.5121377078122711</v>
      </c>
      <c r="M276" s="26" cm="1">
        <f t="array" ref="M276">IF(OR(_xll.BDP($AX276,"RR903")= "#N/A N/A", _xll.BDP($AX276,"RR903")="#N/A FIELD NOT APPLICABLE"), " ", _xll.BDP($AX276,"RR903"))</f>
        <v>1.1045343138620547</v>
      </c>
      <c r="N276" s="26" cm="1">
        <f t="array" ref="N276">IF(OR(_xll.BDP($AX276,"RR957")= "#N/A N/A", _xll.BDP($AX276,"RR957")="#N/A FIELD NOT APPLICABLE"), " ", _xll.BDP($AX276,"RR957"))</f>
        <v>3.8610349326174167</v>
      </c>
      <c r="O276" s="27">
        <v>825</v>
      </c>
      <c r="P276" s="28">
        <v>58.810989999999997</v>
      </c>
      <c r="Q276" s="22" cm="1">
        <f t="array" ref="Q276">IF(OR(_xll.BDP($AX276,"PX_last")="#N/A N/A",_xll.BDP($AX276,"PX_Last")="#N/A FIELD NOT APPLICABLE")," ",IF(F276="GBP",(_xll.BDP($AX276,"PX_LAST")/100),(_xll.BDP($AX276,"PX_LAST"))))</f>
        <v>51.06</v>
      </c>
      <c r="R276" s="29">
        <f>IF(F276="USD",AA276,(((_xll.BDP(F276&amp;"USD CURNCY","PX_LAST")))*AA276))</f>
        <v>55025.473601175006</v>
      </c>
      <c r="S276" s="29">
        <f>IF(F276="USD",AB276,(((_xll.BDP(F276&amp;"USD CURNCY","PX_LAST")))*AB276))</f>
        <v>47773.395450000004</v>
      </c>
      <c r="T276" s="12">
        <f>S276-R276</f>
        <v>-7252.0781511750029</v>
      </c>
      <c r="U276" s="13">
        <f>T276/R276</f>
        <v>-0.13179492472410348</v>
      </c>
      <c r="V276" s="13" cm="1">
        <f t="array" ref="V276">IFERROR(_xll.BDP($G276&amp;" Equity","CHG_PCT_1D")/100,"")</f>
        <v>1.0888930000000002E-2</v>
      </c>
      <c r="W276" s="13" cm="1">
        <f t="array" ref="W276">IFERROR(_xll.BDP($G276&amp;" Equity","CHG_PCT_5D")/100,"")</f>
        <v>-3.5147390000000001E-2</v>
      </c>
      <c r="X276" s="13" t="e">
        <f>S276/#REF!</f>
        <v>#REF!</v>
      </c>
      <c r="Y276" s="24">
        <f>IFERROR(S276*J276,0)</f>
        <v>3068.8745732313396</v>
      </c>
      <c r="Z276" s="24">
        <f>S276</f>
        <v>47773.395450000004</v>
      </c>
      <c r="AA276" s="29">
        <f>P276*O276</f>
        <v>48519.066749999998</v>
      </c>
      <c r="AB276" s="29">
        <f>IFERROR(O276*Q276,0)</f>
        <v>42124.5</v>
      </c>
      <c r="AC276" s="4" t="e" cm="1">
        <f t="array" ref="AC276">VLOOKUP(IF(NOT(_xll.BDP(AX276,$BW$8)="#N/A N/A"),(_xll.BDP(AX276,$BW$8)),"-"), '[1]Country Codes'!$A$2:$B$253,2,0)</f>
        <v>#N/A</v>
      </c>
      <c r="AD276" s="30" t="str" cm="1">
        <f t="array" ref="AD276">IF(OR(_xll.BDP($AX276,"EX028")= "#N/A N/A", _xll.BDP($AX276,"EX028")="#N/A FIELD NOT APPLICABLE"), " ", _xll.BDP($AX276,"EX028"))</f>
        <v>Equity</v>
      </c>
      <c r="AE276" s="31" t="str">
        <f>IF(("AS97"="Equity"), " ", "Single Line Equity")</f>
        <v>Single Line Equity</v>
      </c>
      <c r="AF276" s="26" cm="1">
        <f t="array" ref="AF276">IF(OR(_xll.BDP($AX276,"RR908")= "#N/A N/A", _xll.BDP($AX276,"RR908")="#N/A FIELD NOT APPLICABLE"), " ", _xll.BDP($AX276,"RR908"))</f>
        <v>4.4161332134096982</v>
      </c>
      <c r="AG276" s="26" cm="1">
        <f t="array" ref="AG276">IF(OR(_xll.BDP($AX276,"RR041")= "#N/A N/A", _xll.BDP($AX276,"RR041")="#N/A FIELD NOT APPLICABLE"), " ", _xll.BDP($AX276,"RR041"))</f>
        <v>17.949678969620333</v>
      </c>
      <c r="AH276" s="22">
        <f>_xll.BDP(AX276,"TOT_BUY_REC")</f>
        <v>18</v>
      </c>
      <c r="AI276" s="22">
        <f>_xll.BDP(AX276,"TOT_HOLD_REC")</f>
        <v>8</v>
      </c>
      <c r="AJ276" s="22">
        <f>_xll.BDP(AX276,"TOT_SELL_REC")</f>
        <v>2</v>
      </c>
      <c r="AK276" s="26" cm="1">
        <f t="array" ref="AK276">IF(OR(_xll.BDP($AX276,"EE201")= "#N/A N/A", _xll.BDP($AX276,"EE201")="#N/A FIELD NOT APPLICABLE"), " ", _xll.BDP($AX276,"EE201"))</f>
        <v>4.1071429252624512</v>
      </c>
      <c r="AL276" s="24">
        <f>_xll.BDP(AX276,"BEST_TARGET_PRICE")</f>
        <v>63.761539459228516</v>
      </c>
      <c r="AM276" s="32">
        <f>(AL276/Q276)-1</f>
        <v>0.24875713786189801</v>
      </c>
      <c r="AN276" s="32">
        <f>_xll.BDP(AX276,"PR061")/100</f>
        <v>-3.7874500000000005E-2</v>
      </c>
      <c r="AO276" s="32">
        <f>_xll.BDP(AX276,"PR064")/100</f>
        <v>-0.1288176</v>
      </c>
      <c r="AP276" s="32">
        <f>_xll.BDP(AX276,"CHG_PCT_6M")/100</f>
        <v>-0.11307969999999999</v>
      </c>
      <c r="AQ276" s="25">
        <f>_xll.BDP(AX276,"PR079")/100</f>
        <v>-4.3282720000000004E-2</v>
      </c>
      <c r="AR276" s="33">
        <f>_xll.BDP(AX276,"hs001")</f>
        <v>69.2</v>
      </c>
      <c r="AS276" s="33">
        <f>_xll.BDP(AX276,"hs002")</f>
        <v>47.645000000000003</v>
      </c>
      <c r="AT276" s="22" t="str" cm="1">
        <f t="array" ref="AT276">IF(OR(_xll.BDP($AX276,"DX202")= "#N/A N/A", _xll.BDP($AX276,"DX202")="#N/A FIELD NOT APPLICABLE"), " ", _xll.BDP($AX276,"DX202"))</f>
        <v>Energy</v>
      </c>
      <c r="AU276" s="22" t="str" cm="1">
        <f t="array" ref="AU276">IF(OR(_xll.BDP($AX276,"DY997")= "#N/A N/A", _xll.BDP($AX276,"DY997")="#N/A FIELD NOT APPLICABLE"), " ", _xll.BDP($AX276,"DY997"))</f>
        <v>Y</v>
      </c>
      <c r="AV276" s="22" t="str" cm="1">
        <f t="array" ref="AV276">IF(OR(_xll.BDP($AX276,"DY784")= "#N/A N/A", _xll.BDP($AX276,"DY784")="#N/A FIELD NOT APPLICABLE"), " ", _xll.BDP($AX276,"DY784"))</f>
        <v>N</v>
      </c>
      <c r="AW276" s="22" t="str">
        <f>IF(OR(AU276="Y",AV276="Y"),"Y","N")</f>
        <v>Y</v>
      </c>
      <c r="AX276" s="22" t="str">
        <f>CONCATENATE(G276," ",$AX$2)</f>
        <v>TTE FP Equity</v>
      </c>
      <c r="BC276" s="17" t="str" cm="1">
        <f t="array" ref="BC276">_xll.BDP(AX276,"ID005")</f>
        <v>FR0000120271</v>
      </c>
      <c r="BD276" s="17">
        <v>0.75</v>
      </c>
      <c r="BE276" s="18">
        <v>4</v>
      </c>
      <c r="BF276" s="19">
        <v>45540</v>
      </c>
      <c r="BG276" s="20"/>
    </row>
    <row r="277" spans="1:59" s="3" customFormat="1" ht="14.45" customHeight="1" x14ac:dyDescent="0.25">
      <c r="A277" s="49" t="s">
        <v>242</v>
      </c>
      <c r="B277" s="49" t="s">
        <v>243</v>
      </c>
      <c r="C277" s="49" t="s">
        <v>244</v>
      </c>
      <c r="D277" s="49" t="s">
        <v>245</v>
      </c>
      <c r="E277" s="22" t="str">
        <f>_xll.BDP(AX277,"SECURITY NAME")</f>
        <v>TotalEnergies SE</v>
      </c>
      <c r="F277" s="22" t="str">
        <f>_xll.BDP(AX277,"CRNCY")</f>
        <v>EUR</v>
      </c>
      <c r="G277" s="23" t="s">
        <v>329</v>
      </c>
      <c r="H277" s="22" t="str" cm="1">
        <f t="array" ref="H277">IF(OR(_xll.BDP($AX277,"DX202")= "#N/A N/A", _xll.BDP($AX277,"DX202")="#N/A FIELD NOT APPLICABLE"), " ", _xll.BDP($AX277,"DX202"))</f>
        <v>Energy</v>
      </c>
      <c r="I277" s="24">
        <f>_xll.BDP(AX277,"CRNCY_ADJ_MKT_CAP", "EQY_FUND_CRNCY=USD")/1000</f>
        <v>131.45252994387337</v>
      </c>
      <c r="J277" s="25">
        <f>IFERROR(_xll.BDP(AX277, "DV013")/100,0)</f>
        <v>6.4238150634347249E-2</v>
      </c>
      <c r="K277" s="26" cm="1">
        <f t="array" ref="K277">IF(OR(_xll.BDP($AX277,"RR900")= "#N/A N/A", _xll.BDP($AX277,"RR900")="#N/A FIELD NOT APPLICABLE"), " ", _xll.BDP($AX277,"RR900"))</f>
        <v>9.7356558104022497</v>
      </c>
      <c r="L277" s="26" cm="1">
        <f t="array" ref="L277">IF(OR(_xll.BDP($AX277,"EE010")= "#N/A N/A", _xll.BDP($AX277,"EE010")="#N/A FIELD NOT APPLICABLE"), " ", _xll.BDP($AX277,"EE010"))</f>
        <v>7.5121377078122711</v>
      </c>
      <c r="M277" s="26" cm="1">
        <f t="array" ref="M277">IF(OR(_xll.BDP($AX277,"RR903")= "#N/A N/A", _xll.BDP($AX277,"RR903")="#N/A FIELD NOT APPLICABLE"), " ", _xll.BDP($AX277,"RR903"))</f>
        <v>1.1045343138620547</v>
      </c>
      <c r="N277" s="26" cm="1">
        <f t="array" ref="N277">IF(OR(_xll.BDP($AX277,"RR957")= "#N/A N/A", _xll.BDP($AX277,"RR957")="#N/A FIELD NOT APPLICABLE"), " ", _xll.BDP($AX277,"RR957"))</f>
        <v>3.8610349326174167</v>
      </c>
      <c r="O277" s="27">
        <v>1650</v>
      </c>
      <c r="P277" s="28">
        <v>58.82</v>
      </c>
      <c r="Q277" s="22" cm="1">
        <f t="array" ref="Q277">IF(OR(_xll.BDP($AX277,"PX_last")="#N/A N/A",_xll.BDP($AX277,"PX_Last")="#N/A FIELD NOT APPLICABLE")," ",IF(F277="GBP",(_xll.BDP($AX277,"PX_LAST")/100),(_xll.BDP($AX277,"PX_LAST"))))</f>
        <v>51.06</v>
      </c>
      <c r="R277" s="29">
        <f>IF(F277="USD",AA277,(((_xll.BDP(F277&amp;"USD CURNCY","PX_LAST")))*AA277))</f>
        <v>110067.80730000001</v>
      </c>
      <c r="S277" s="29">
        <f>IF(F277="USD",AB277,(((_xll.BDP(F277&amp;"USD CURNCY","PX_LAST")))*AB277))</f>
        <v>95546.790900000007</v>
      </c>
      <c r="T277" s="12">
        <f>S277-R277</f>
        <v>-14521.016400000008</v>
      </c>
      <c r="U277" s="13">
        <f>T277/R277</f>
        <v>-0.13192791567494055</v>
      </c>
      <c r="V277" s="13" cm="1">
        <f t="array" ref="V277">IFERROR(_xll.BDP($G277&amp;" Equity","CHG_PCT_1D")/100,"")</f>
        <v>1.0888930000000002E-2</v>
      </c>
      <c r="W277" s="13" cm="1">
        <f t="array" ref="W277">IFERROR(_xll.BDP($G277&amp;" Equity","CHG_PCT_5D")/100,"")</f>
        <v>-3.5147390000000001E-2</v>
      </c>
      <c r="X277" s="13" t="e">
        <f>S277/#REF!</f>
        <v>#REF!</v>
      </c>
      <c r="Y277" s="24">
        <f>IFERROR(S277*J277,0)</f>
        <v>6137.7491464626792</v>
      </c>
      <c r="Z277" s="24">
        <f>S277</f>
        <v>95546.790900000007</v>
      </c>
      <c r="AA277" s="29">
        <f>P277*O277</f>
        <v>97053</v>
      </c>
      <c r="AB277" s="29">
        <f>IFERROR(O277*Q277,0)</f>
        <v>84249</v>
      </c>
      <c r="AC277" s="4" t="e" cm="1">
        <f t="array" ref="AC277">VLOOKUP(IF(NOT(_xll.BDP(AX277,$BW$8)="#N/A N/A"),(_xll.BDP(AX277,$BW$8)),"-"), '[1]Country Codes'!$A$2:$B$253,2,0)</f>
        <v>#N/A</v>
      </c>
      <c r="AD277" s="30" t="str" cm="1">
        <f t="array" ref="AD277">IF(OR(_xll.BDP($AX277,"EX028")= "#N/A N/A", _xll.BDP($AX277,"EX028")="#N/A FIELD NOT APPLICABLE"), " ", _xll.BDP($AX277,"EX028"))</f>
        <v>Equity</v>
      </c>
      <c r="AE277" s="31" t="str">
        <f>IF(("AS97"="Equity"), " ", "Single Line Equity")</f>
        <v>Single Line Equity</v>
      </c>
      <c r="AF277" s="26" cm="1">
        <f t="array" ref="AF277">IF(OR(_xll.BDP($AX277,"RR908")= "#N/A N/A", _xll.BDP($AX277,"RR908")="#N/A FIELD NOT APPLICABLE"), " ", _xll.BDP($AX277,"RR908"))</f>
        <v>4.4161332134096982</v>
      </c>
      <c r="AG277" s="26" cm="1">
        <f t="array" ref="AG277">IF(OR(_xll.BDP($AX277,"RR041")= "#N/A N/A", _xll.BDP($AX277,"RR041")="#N/A FIELD NOT APPLICABLE"), " ", _xll.BDP($AX277,"RR041"))</f>
        <v>17.949678969620333</v>
      </c>
      <c r="AH277" s="22">
        <f>_xll.BDP(AX277,"TOT_BUY_REC")</f>
        <v>18</v>
      </c>
      <c r="AI277" s="22">
        <f>_xll.BDP(AX277,"TOT_HOLD_REC")</f>
        <v>8</v>
      </c>
      <c r="AJ277" s="22">
        <f>_xll.BDP(AX277,"TOT_SELL_REC")</f>
        <v>2</v>
      </c>
      <c r="AK277" s="26" cm="1">
        <f t="array" ref="AK277">IF(OR(_xll.BDP($AX277,"EE201")= "#N/A N/A", _xll.BDP($AX277,"EE201")="#N/A FIELD NOT APPLICABLE"), " ", _xll.BDP($AX277,"EE201"))</f>
        <v>4.1071429252624512</v>
      </c>
      <c r="AL277" s="24">
        <f>_xll.BDP(AX277,"BEST_TARGET_PRICE")</f>
        <v>63.761539459228516</v>
      </c>
      <c r="AM277" s="32">
        <f>(AL277/Q277)-1</f>
        <v>0.24875713786189801</v>
      </c>
      <c r="AN277" s="32">
        <f>_xll.BDP(AX277,"PR061")/100</f>
        <v>-3.7874500000000005E-2</v>
      </c>
      <c r="AO277" s="32">
        <f>_xll.BDP(AX277,"PR064")/100</f>
        <v>-0.1288176</v>
      </c>
      <c r="AP277" s="32">
        <f>_xll.BDP(AX277,"CHG_PCT_6M")/100</f>
        <v>-0.11307969999999999</v>
      </c>
      <c r="AQ277" s="25">
        <f>_xll.BDP(AX277,"PR079")/100</f>
        <v>-4.3282720000000004E-2</v>
      </c>
      <c r="AR277" s="33">
        <f>_xll.BDP(AX277,"hs001")</f>
        <v>69.2</v>
      </c>
      <c r="AS277" s="33">
        <f>_xll.BDP(AX277,"hs002")</f>
        <v>47.645000000000003</v>
      </c>
      <c r="AT277" s="22" t="str" cm="1">
        <f t="array" ref="AT277">IF(OR(_xll.BDP($AX277,"DX202")= "#N/A N/A", _xll.BDP($AX277,"DX202")="#N/A FIELD NOT APPLICABLE"), " ", _xll.BDP($AX277,"DX202"))</f>
        <v>Energy</v>
      </c>
      <c r="AU277" s="22" t="str" cm="1">
        <f t="array" ref="AU277">IF(OR(_xll.BDP($AX277,"DY997")= "#N/A N/A", _xll.BDP($AX277,"DY997")="#N/A FIELD NOT APPLICABLE"), " ", _xll.BDP($AX277,"DY997"))</f>
        <v>Y</v>
      </c>
      <c r="AV277" s="22" t="str" cm="1">
        <f t="array" ref="AV277">IF(OR(_xll.BDP($AX277,"DY784")= "#N/A N/A", _xll.BDP($AX277,"DY784")="#N/A FIELD NOT APPLICABLE"), " ", _xll.BDP($AX277,"DY784"))</f>
        <v>N</v>
      </c>
      <c r="AW277" s="22" t="str">
        <f>IF(OR(AU277="Y",AV277="Y"),"Y","N")</f>
        <v>Y</v>
      </c>
      <c r="AX277" s="22" t="str">
        <f>CONCATENATE(G277," ",$AX$2)</f>
        <v>TTE FP Equity</v>
      </c>
      <c r="BC277" s="17" t="str" cm="1">
        <f t="array" ref="BC277">_xll.BDP(AX277,"ID005")</f>
        <v>FR0000120271</v>
      </c>
      <c r="BD277" s="17">
        <v>0.75</v>
      </c>
      <c r="BE277" s="18">
        <v>4</v>
      </c>
      <c r="BF277" s="19">
        <v>45540</v>
      </c>
      <c r="BG277" s="20"/>
    </row>
    <row r="278" spans="1:59" s="3" customFormat="1" ht="14.45" customHeight="1" x14ac:dyDescent="0.25">
      <c r="A278" s="49" t="s">
        <v>242</v>
      </c>
      <c r="B278" s="49" t="s">
        <v>327</v>
      </c>
      <c r="C278" s="49">
        <v>4371511</v>
      </c>
      <c r="D278" s="49" t="s">
        <v>248</v>
      </c>
      <c r="E278" s="22" t="str">
        <f>_xll.BDP(AX278,"SECURITY NAME")</f>
        <v>TotalEnergies SE</v>
      </c>
      <c r="F278" s="22" t="str">
        <f>_xll.BDP(AX278,"CRNCY")</f>
        <v>EUR</v>
      </c>
      <c r="G278" s="23" t="s">
        <v>329</v>
      </c>
      <c r="H278" s="22" t="str" cm="1">
        <f t="array" ref="H278">IF(OR(_xll.BDP($AX278,"DX202")= "#N/A N/A", _xll.BDP($AX278,"DX202")="#N/A FIELD NOT APPLICABLE"), " ", _xll.BDP($AX278,"DX202"))</f>
        <v>Energy</v>
      </c>
      <c r="I278" s="24">
        <f>_xll.BDP(AX278,"CRNCY_ADJ_MKT_CAP", "EQY_FUND_CRNCY=USD")/1000</f>
        <v>131.45252994387337</v>
      </c>
      <c r="J278" s="25">
        <f>IFERROR(_xll.BDP(AX278, "DV013")/100,0)</f>
        <v>6.4238150634347249E-2</v>
      </c>
      <c r="K278" s="26" cm="1">
        <f t="array" ref="K278">IF(OR(_xll.BDP($AX278,"RR900")= "#N/A N/A", _xll.BDP($AX278,"RR900")="#N/A FIELD NOT APPLICABLE"), " ", _xll.BDP($AX278,"RR900"))</f>
        <v>9.7356558104022497</v>
      </c>
      <c r="L278" s="26" cm="1">
        <f t="array" ref="L278">IF(OR(_xll.BDP($AX278,"EE010")= "#N/A N/A", _xll.BDP($AX278,"EE010")="#N/A FIELD NOT APPLICABLE"), " ", _xll.BDP($AX278,"EE010"))</f>
        <v>7.5121377078122711</v>
      </c>
      <c r="M278" s="26" cm="1">
        <f t="array" ref="M278">IF(OR(_xll.BDP($AX278,"RR903")= "#N/A N/A", _xll.BDP($AX278,"RR903")="#N/A FIELD NOT APPLICABLE"), " ", _xll.BDP($AX278,"RR903"))</f>
        <v>1.1045343138620547</v>
      </c>
      <c r="N278" s="26" cm="1">
        <f t="array" ref="N278">IF(OR(_xll.BDP($AX278,"RR957")= "#N/A N/A", _xll.BDP($AX278,"RR957")="#N/A FIELD NOT APPLICABLE"), " ", _xll.BDP($AX278,"RR957"))</f>
        <v>3.8610349326174167</v>
      </c>
      <c r="O278" s="27">
        <v>1650</v>
      </c>
      <c r="P278" s="28">
        <v>59.3</v>
      </c>
      <c r="Q278" s="22" cm="1">
        <f t="array" ref="Q278">IF(OR(_xll.BDP($AX278,"PX_last")="#N/A N/A",_xll.BDP($AX278,"PX_Last")="#N/A FIELD NOT APPLICABLE")," ",IF(F278="GBP",(_xll.BDP($AX278,"PX_LAST")/100),(_xll.BDP($AX278,"PX_LAST"))))</f>
        <v>51.06</v>
      </c>
      <c r="R278" s="29">
        <f>IF(F278="USD",AA278,(((_xll.BDP(F278&amp;"USD CURNCY","PX_LAST")))*AA278))</f>
        <v>110966.0145</v>
      </c>
      <c r="S278" s="29">
        <f>IF(F278="USD",AB278,(((_xll.BDP(F278&amp;"USD CURNCY","PX_LAST")))*AB278))</f>
        <v>95546.790900000007</v>
      </c>
      <c r="T278" s="12">
        <f>S278-R278</f>
        <v>-15419.223599999998</v>
      </c>
      <c r="U278" s="13">
        <f>T278/R278</f>
        <v>-0.13895446880269813</v>
      </c>
      <c r="V278" s="13" cm="1">
        <f t="array" ref="V278">IFERROR(_xll.BDP($G278&amp;" Equity","CHG_PCT_1D")/100,"")</f>
        <v>1.0888930000000002E-2</v>
      </c>
      <c r="W278" s="13" cm="1">
        <f t="array" ref="W278">IFERROR(_xll.BDP($G278&amp;" Equity","CHG_PCT_5D")/100,"")</f>
        <v>-3.5147390000000001E-2</v>
      </c>
      <c r="X278" s="13" t="e">
        <f>S278/#REF!</f>
        <v>#REF!</v>
      </c>
      <c r="Y278" s="24">
        <f>IFERROR(S278*J278,0)</f>
        <v>6137.7491464626792</v>
      </c>
      <c r="Z278" s="24">
        <f>S278</f>
        <v>95546.790900000007</v>
      </c>
      <c r="AA278" s="29">
        <f>P278*O278</f>
        <v>97845</v>
      </c>
      <c r="AB278" s="29">
        <f>IFERROR(O278*Q278,0)</f>
        <v>84249</v>
      </c>
      <c r="AC278" s="4" t="e" cm="1">
        <f t="array" ref="AC278">VLOOKUP(IF(NOT(_xll.BDP(AX278,$BW$8)="#N/A N/A"),(_xll.BDP(AX278,$BW$8)),"-"), '[1]Country Codes'!$A$2:$B$253,2,0)</f>
        <v>#N/A</v>
      </c>
      <c r="AD278" s="30" t="str" cm="1">
        <f t="array" ref="AD278">IF(OR(_xll.BDP($AX278,"EX028")= "#N/A N/A", _xll.BDP($AX278,"EX028")="#N/A FIELD NOT APPLICABLE"), " ", _xll.BDP($AX278,"EX028"))</f>
        <v>Equity</v>
      </c>
      <c r="AE278" s="31" t="str">
        <f>IF(("AS97"="Equity"), " ", "Single Line Equity")</f>
        <v>Single Line Equity</v>
      </c>
      <c r="AF278" s="26" cm="1">
        <f t="array" ref="AF278">IF(OR(_xll.BDP($AX278,"RR908")= "#N/A N/A", _xll.BDP($AX278,"RR908")="#N/A FIELD NOT APPLICABLE"), " ", _xll.BDP($AX278,"RR908"))</f>
        <v>4.4161332134096982</v>
      </c>
      <c r="AG278" s="26" cm="1">
        <f t="array" ref="AG278">IF(OR(_xll.BDP($AX278,"RR041")= "#N/A N/A", _xll.BDP($AX278,"RR041")="#N/A FIELD NOT APPLICABLE"), " ", _xll.BDP($AX278,"RR041"))</f>
        <v>17.949678969620333</v>
      </c>
      <c r="AH278" s="22">
        <f>_xll.BDP(AX278,"TOT_BUY_REC")</f>
        <v>18</v>
      </c>
      <c r="AI278" s="22">
        <f>_xll.BDP(AX278,"TOT_HOLD_REC")</f>
        <v>8</v>
      </c>
      <c r="AJ278" s="22">
        <f>_xll.BDP(AX278,"TOT_SELL_REC")</f>
        <v>2</v>
      </c>
      <c r="AK278" s="26" cm="1">
        <f t="array" ref="AK278">IF(OR(_xll.BDP($AX278,"EE201")= "#N/A N/A", _xll.BDP($AX278,"EE201")="#N/A FIELD NOT APPLICABLE"), " ", _xll.BDP($AX278,"EE201"))</f>
        <v>4.1071429252624512</v>
      </c>
      <c r="AL278" s="24">
        <f>_xll.BDP(AX278,"BEST_TARGET_PRICE")</f>
        <v>63.761539459228516</v>
      </c>
      <c r="AM278" s="32">
        <f>(AL278/Q278)-1</f>
        <v>0.24875713786189801</v>
      </c>
      <c r="AN278" s="32">
        <f>_xll.BDP(AX278,"PR061")/100</f>
        <v>-3.7874500000000005E-2</v>
      </c>
      <c r="AO278" s="32">
        <f>_xll.BDP(AX278,"PR064")/100</f>
        <v>-0.1288176</v>
      </c>
      <c r="AP278" s="32">
        <f>_xll.BDP(AX278,"CHG_PCT_6M")/100</f>
        <v>-0.11307969999999999</v>
      </c>
      <c r="AQ278" s="25">
        <f>_xll.BDP(AX278,"PR079")/100</f>
        <v>-4.3282720000000004E-2</v>
      </c>
      <c r="AR278" s="33">
        <f>_xll.BDP(AX278,"hs001")</f>
        <v>69.2</v>
      </c>
      <c r="AS278" s="33">
        <f>_xll.BDP(AX278,"hs002")</f>
        <v>47.645000000000003</v>
      </c>
      <c r="AT278" s="22" t="str" cm="1">
        <f t="array" ref="AT278">IF(OR(_xll.BDP($AX278,"DX202")= "#N/A N/A", _xll.BDP($AX278,"DX202")="#N/A FIELD NOT APPLICABLE"), " ", _xll.BDP($AX278,"DX202"))</f>
        <v>Energy</v>
      </c>
      <c r="AU278" s="22" t="str" cm="1">
        <f t="array" ref="AU278">IF(OR(_xll.BDP($AX278,"DY997")= "#N/A N/A", _xll.BDP($AX278,"DY997")="#N/A FIELD NOT APPLICABLE"), " ", _xll.BDP($AX278,"DY997"))</f>
        <v>Y</v>
      </c>
      <c r="AV278" s="22" t="str" cm="1">
        <f t="array" ref="AV278">IF(OR(_xll.BDP($AX278,"DY784")= "#N/A N/A", _xll.BDP($AX278,"DY784")="#N/A FIELD NOT APPLICABLE"), " ", _xll.BDP($AX278,"DY784"))</f>
        <v>N</v>
      </c>
      <c r="AW278" s="22" t="str">
        <f>IF(OR(AU278="Y",AV278="Y"),"Y","N")</f>
        <v>Y</v>
      </c>
      <c r="AX278" s="22" t="str">
        <f>CONCATENATE(G278," ",$AX$2)</f>
        <v>TTE FP Equity</v>
      </c>
      <c r="BC278" s="17" t="str" cm="1">
        <f t="array" ref="BC278">_xll.BDP(AX278,"ID005")</f>
        <v>FR0000120271</v>
      </c>
      <c r="BD278" s="17">
        <v>0.75</v>
      </c>
      <c r="BE278" s="18">
        <v>4</v>
      </c>
      <c r="BF278" s="19">
        <v>45540</v>
      </c>
      <c r="BG278" s="20"/>
    </row>
    <row r="279" spans="1:59" s="3" customFormat="1" ht="14.45" customHeight="1" x14ac:dyDescent="0.25">
      <c r="A279" s="49" t="s">
        <v>242</v>
      </c>
      <c r="B279" s="49" t="s">
        <v>246</v>
      </c>
      <c r="C279" s="49" t="s">
        <v>247</v>
      </c>
      <c r="D279" s="49" t="s">
        <v>248</v>
      </c>
      <c r="E279" s="22" t="str">
        <f>_xll.BDP(AX279,"SECURITY NAME")</f>
        <v>TotalEnergies SE</v>
      </c>
      <c r="F279" s="22" t="str">
        <f>_xll.BDP(AX279,"CRNCY")</f>
        <v>EUR</v>
      </c>
      <c r="G279" s="23" t="s">
        <v>329</v>
      </c>
      <c r="H279" s="22" t="str" cm="1">
        <f t="array" ref="H279">IF(OR(_xll.BDP($AX279,"DX202")= "#N/A N/A", _xll.BDP($AX279,"DX202")="#N/A FIELD NOT APPLICABLE"), " ", _xll.BDP($AX279,"DX202"))</f>
        <v>Energy</v>
      </c>
      <c r="I279" s="24">
        <f>_xll.BDP(AX279,"CRNCY_ADJ_MKT_CAP", "EQY_FUND_CRNCY=USD")/1000</f>
        <v>131.45252994387337</v>
      </c>
      <c r="J279" s="25">
        <f>IFERROR(_xll.BDP(AX279, "DV013")/100,0)</f>
        <v>6.4238150634347249E-2</v>
      </c>
      <c r="K279" s="26" cm="1">
        <f t="array" ref="K279">IF(OR(_xll.BDP($AX279,"RR900")= "#N/A N/A", _xll.BDP($AX279,"RR900")="#N/A FIELD NOT APPLICABLE"), " ", _xll.BDP($AX279,"RR900"))</f>
        <v>9.7356558104022497</v>
      </c>
      <c r="L279" s="26" cm="1">
        <f t="array" ref="L279">IF(OR(_xll.BDP($AX279,"EE010")= "#N/A N/A", _xll.BDP($AX279,"EE010")="#N/A FIELD NOT APPLICABLE"), " ", _xll.BDP($AX279,"EE010"))</f>
        <v>7.5121377078122711</v>
      </c>
      <c r="M279" s="26" cm="1">
        <f t="array" ref="M279">IF(OR(_xll.BDP($AX279,"RR903")= "#N/A N/A", _xll.BDP($AX279,"RR903")="#N/A FIELD NOT APPLICABLE"), " ", _xll.BDP($AX279,"RR903"))</f>
        <v>1.1045343138620547</v>
      </c>
      <c r="N279" s="26" cm="1">
        <f t="array" ref="N279">IF(OR(_xll.BDP($AX279,"RR957")= "#N/A N/A", _xll.BDP($AX279,"RR957")="#N/A FIELD NOT APPLICABLE"), " ", _xll.BDP($AX279,"RR957"))</f>
        <v>3.8610349326174167</v>
      </c>
      <c r="O279" s="27">
        <v>1650</v>
      </c>
      <c r="P279" s="28">
        <v>59.3</v>
      </c>
      <c r="Q279" s="22" cm="1">
        <f t="array" ref="Q279">IF(OR(_xll.BDP($AX279,"PX_last")="#N/A N/A",_xll.BDP($AX279,"PX_Last")="#N/A FIELD NOT APPLICABLE")," ",IF(F279="GBP",(_xll.BDP($AX279,"PX_LAST")/100),(_xll.BDP($AX279,"PX_LAST"))))</f>
        <v>51.06</v>
      </c>
      <c r="R279" s="29">
        <f>IF(F279="USD",AA279,(((_xll.BDP(F279&amp;"USD CURNCY","PX_LAST")))*AA279))</f>
        <v>110966.0145</v>
      </c>
      <c r="S279" s="29">
        <f>IF(F279="USD",AB279,(((_xll.BDP(F279&amp;"USD CURNCY","PX_LAST")))*AB279))</f>
        <v>95546.790900000007</v>
      </c>
      <c r="T279" s="12">
        <f>S279-R279</f>
        <v>-15419.223599999998</v>
      </c>
      <c r="U279" s="13">
        <f>T279/R279</f>
        <v>-0.13895446880269813</v>
      </c>
      <c r="V279" s="13" cm="1">
        <f t="array" ref="V279">IFERROR(_xll.BDP($G279&amp;" Equity","CHG_PCT_1D")/100,"")</f>
        <v>1.0888930000000002E-2</v>
      </c>
      <c r="W279" s="13" cm="1">
        <f t="array" ref="W279">IFERROR(_xll.BDP($G279&amp;" Equity","CHG_PCT_5D")/100,"")</f>
        <v>-3.5147390000000001E-2</v>
      </c>
      <c r="X279" s="13" t="e">
        <f>S279/#REF!</f>
        <v>#REF!</v>
      </c>
      <c r="Y279" s="24">
        <f>IFERROR(S279*J279,0)</f>
        <v>6137.7491464626792</v>
      </c>
      <c r="Z279" s="24">
        <f>S279</f>
        <v>95546.790900000007</v>
      </c>
      <c r="AA279" s="29">
        <f>P279*O279</f>
        <v>97845</v>
      </c>
      <c r="AB279" s="29">
        <f>IFERROR(O279*Q279,0)</f>
        <v>84249</v>
      </c>
      <c r="AC279" s="4" t="e" cm="1">
        <f t="array" ref="AC279">VLOOKUP(IF(NOT(_xll.BDP(AX279,$BW$8)="#N/A N/A"),(_xll.BDP(AX279,$BW$8)),"-"), '[1]Country Codes'!$A$2:$B$253,2,0)</f>
        <v>#N/A</v>
      </c>
      <c r="AD279" s="30" t="str" cm="1">
        <f t="array" ref="AD279">IF(OR(_xll.BDP($AX279,"EX028")= "#N/A N/A", _xll.BDP($AX279,"EX028")="#N/A FIELD NOT APPLICABLE"), " ", _xll.BDP($AX279,"EX028"))</f>
        <v>Equity</v>
      </c>
      <c r="AE279" s="31" t="str">
        <f>IF(("AS97"="Equity"), " ", "Single Line Equity")</f>
        <v>Single Line Equity</v>
      </c>
      <c r="AF279" s="26" cm="1">
        <f t="array" ref="AF279">IF(OR(_xll.BDP($AX279,"RR908")= "#N/A N/A", _xll.BDP($AX279,"RR908")="#N/A FIELD NOT APPLICABLE"), " ", _xll.BDP($AX279,"RR908"))</f>
        <v>4.4161332134096982</v>
      </c>
      <c r="AG279" s="26" cm="1">
        <f t="array" ref="AG279">IF(OR(_xll.BDP($AX279,"RR041")= "#N/A N/A", _xll.BDP($AX279,"RR041")="#N/A FIELD NOT APPLICABLE"), " ", _xll.BDP($AX279,"RR041"))</f>
        <v>17.949678969620333</v>
      </c>
      <c r="AH279" s="22">
        <f>_xll.BDP(AX279,"TOT_BUY_REC")</f>
        <v>18</v>
      </c>
      <c r="AI279" s="22">
        <f>_xll.BDP(AX279,"TOT_HOLD_REC")</f>
        <v>8</v>
      </c>
      <c r="AJ279" s="22">
        <f>_xll.BDP(AX279,"TOT_SELL_REC")</f>
        <v>2</v>
      </c>
      <c r="AK279" s="26" cm="1">
        <f t="array" ref="AK279">IF(OR(_xll.BDP($AX279,"EE201")= "#N/A N/A", _xll.BDP($AX279,"EE201")="#N/A FIELD NOT APPLICABLE"), " ", _xll.BDP($AX279,"EE201"))</f>
        <v>4.1071429252624512</v>
      </c>
      <c r="AL279" s="24">
        <f>_xll.BDP(AX279,"BEST_TARGET_PRICE")</f>
        <v>63.761539459228516</v>
      </c>
      <c r="AM279" s="32">
        <f>(AL279/Q279)-1</f>
        <v>0.24875713786189801</v>
      </c>
      <c r="AN279" s="32">
        <f>_xll.BDP(AX279,"PR061")/100</f>
        <v>-3.7874500000000005E-2</v>
      </c>
      <c r="AO279" s="32">
        <f>_xll.BDP(AX279,"PR064")/100</f>
        <v>-0.1288176</v>
      </c>
      <c r="AP279" s="32">
        <f>_xll.BDP(AX279,"CHG_PCT_6M")/100</f>
        <v>-0.11307969999999999</v>
      </c>
      <c r="AQ279" s="25">
        <f>_xll.BDP(AX279,"PR079")/100</f>
        <v>-4.3282720000000004E-2</v>
      </c>
      <c r="AR279" s="33">
        <f>_xll.BDP(AX279,"hs001")</f>
        <v>69.2</v>
      </c>
      <c r="AS279" s="33">
        <f>_xll.BDP(AX279,"hs002")</f>
        <v>47.645000000000003</v>
      </c>
      <c r="AT279" s="22" t="str" cm="1">
        <f t="array" ref="AT279">IF(OR(_xll.BDP($AX279,"DX202")= "#N/A N/A", _xll.BDP($AX279,"DX202")="#N/A FIELD NOT APPLICABLE"), " ", _xll.BDP($AX279,"DX202"))</f>
        <v>Energy</v>
      </c>
      <c r="AU279" s="22" t="str" cm="1">
        <f t="array" ref="AU279">IF(OR(_xll.BDP($AX279,"DY997")= "#N/A N/A", _xll.BDP($AX279,"DY997")="#N/A FIELD NOT APPLICABLE"), " ", _xll.BDP($AX279,"DY997"))</f>
        <v>Y</v>
      </c>
      <c r="AV279" s="22" t="str" cm="1">
        <f t="array" ref="AV279">IF(OR(_xll.BDP($AX279,"DY784")= "#N/A N/A", _xll.BDP($AX279,"DY784")="#N/A FIELD NOT APPLICABLE"), " ", _xll.BDP($AX279,"DY784"))</f>
        <v>N</v>
      </c>
      <c r="AW279" s="22" t="str">
        <f>IF(OR(AU279="Y",AV279="Y"),"Y","N")</f>
        <v>Y</v>
      </c>
      <c r="AX279" s="22" t="str">
        <f>CONCATENATE(G279," ",$AX$2)</f>
        <v>TTE FP Equity</v>
      </c>
      <c r="BC279" s="17" t="str" cm="1">
        <f t="array" ref="BC279">_xll.BDP(AX279,"ID005")</f>
        <v>FR0000120271</v>
      </c>
      <c r="BD279" s="17">
        <v>0.75</v>
      </c>
      <c r="BE279" s="18">
        <v>4</v>
      </c>
      <c r="BF279" s="19">
        <v>45540</v>
      </c>
      <c r="BG279" s="20"/>
    </row>
    <row r="280" spans="1:59" s="3" customFormat="1" ht="14.45" customHeight="1" x14ac:dyDescent="0.25">
      <c r="A280" s="49" t="s">
        <v>241</v>
      </c>
      <c r="B280" s="49" t="s">
        <v>249</v>
      </c>
      <c r="C280" s="49" t="s">
        <v>250</v>
      </c>
      <c r="D280" s="49" t="s">
        <v>240</v>
      </c>
      <c r="E280" s="22" t="str">
        <f>_xll.BDP(AX280,"SECURITY NAME")</f>
        <v>TotalEnergies SE</v>
      </c>
      <c r="F280" s="22" t="str">
        <f>_xll.BDP(AX280,"CRNCY")</f>
        <v>EUR</v>
      </c>
      <c r="G280" s="23" t="s">
        <v>329</v>
      </c>
      <c r="H280" s="22" t="str" cm="1">
        <f t="array" ref="H280">IF(OR(_xll.BDP($AX280,"DX202")= "#N/A N/A", _xll.BDP($AX280,"DX202")="#N/A FIELD NOT APPLICABLE"), " ", _xll.BDP($AX280,"DX202"))</f>
        <v>Energy</v>
      </c>
      <c r="I280" s="24">
        <f>_xll.BDP(AX280,"CRNCY_ADJ_MKT_CAP", "EQY_FUND_CRNCY=USD")/1000</f>
        <v>131.45252994387337</v>
      </c>
      <c r="J280" s="25">
        <f>IFERROR(_xll.BDP(AX280, "DV013")/100,0)</f>
        <v>6.4238150634347249E-2</v>
      </c>
      <c r="K280" s="26" cm="1">
        <f t="array" ref="K280">IF(OR(_xll.BDP($AX280,"RR900")= "#N/A N/A", _xll.BDP($AX280,"RR900")="#N/A FIELD NOT APPLICABLE"), " ", _xll.BDP($AX280,"RR900"))</f>
        <v>9.7356558104022497</v>
      </c>
      <c r="L280" s="26" cm="1">
        <f t="array" ref="L280">IF(OR(_xll.BDP($AX280,"EE010")= "#N/A N/A", _xll.BDP($AX280,"EE010")="#N/A FIELD NOT APPLICABLE"), " ", _xll.BDP($AX280,"EE010"))</f>
        <v>7.5121377078122711</v>
      </c>
      <c r="M280" s="26" cm="1">
        <f t="array" ref="M280">IF(OR(_xll.BDP($AX280,"RR903")= "#N/A N/A", _xll.BDP($AX280,"RR903")="#N/A FIELD NOT APPLICABLE"), " ", _xll.BDP($AX280,"RR903"))</f>
        <v>1.1045343138620547</v>
      </c>
      <c r="N280" s="26" cm="1">
        <f t="array" ref="N280">IF(OR(_xll.BDP($AX280,"RR957")= "#N/A N/A", _xll.BDP($AX280,"RR957")="#N/A FIELD NOT APPLICABLE"), " ", _xll.BDP($AX280,"RR957"))</f>
        <v>3.8610349326174167</v>
      </c>
      <c r="O280" s="27">
        <v>825</v>
      </c>
      <c r="P280" s="28">
        <v>58.810989999999997</v>
      </c>
      <c r="Q280" s="22" cm="1">
        <f t="array" ref="Q280">IF(OR(_xll.BDP($AX280,"PX_last")="#N/A N/A",_xll.BDP($AX280,"PX_Last")="#N/A FIELD NOT APPLICABLE")," ",IF(F280="GBP",(_xll.BDP($AX280,"PX_LAST")/100),(_xll.BDP($AX280,"PX_LAST"))))</f>
        <v>51.06</v>
      </c>
      <c r="R280" s="29">
        <f>IF(F280="USD",AA280,(((_xll.BDP(F280&amp;"USD CURNCY","PX_LAST")))*AA280))</f>
        <v>55025.473601175006</v>
      </c>
      <c r="S280" s="29">
        <f>IF(F280="USD",AB280,(((_xll.BDP(F280&amp;"USD CURNCY","PX_LAST")))*AB280))</f>
        <v>47773.395450000004</v>
      </c>
      <c r="T280" s="12">
        <f>S280-R280</f>
        <v>-7252.0781511750029</v>
      </c>
      <c r="U280" s="13">
        <f>T280/R280</f>
        <v>-0.13179492472410348</v>
      </c>
      <c r="V280" s="13" cm="1">
        <f t="array" ref="V280">IFERROR(_xll.BDP($G280&amp;" Equity","CHG_PCT_1D")/100,"")</f>
        <v>1.0888930000000002E-2</v>
      </c>
      <c r="W280" s="13" cm="1">
        <f t="array" ref="W280">IFERROR(_xll.BDP($G280&amp;" Equity","CHG_PCT_5D")/100,"")</f>
        <v>-3.5147390000000001E-2</v>
      </c>
      <c r="X280" s="13" t="e">
        <f>S280/#REF!</f>
        <v>#REF!</v>
      </c>
      <c r="Y280" s="24">
        <f>IFERROR(S280*J280,0)</f>
        <v>3068.8745732313396</v>
      </c>
      <c r="Z280" s="24">
        <f>S280</f>
        <v>47773.395450000004</v>
      </c>
      <c r="AA280" s="29">
        <f>P280*O280</f>
        <v>48519.066749999998</v>
      </c>
      <c r="AB280" s="29">
        <f>IFERROR(O280*Q280,0)</f>
        <v>42124.5</v>
      </c>
      <c r="AC280" s="4" t="e" cm="1">
        <f t="array" ref="AC280">VLOOKUP(IF(NOT(_xll.BDP(AX280,$BW$8)="#N/A N/A"),(_xll.BDP(AX280,$BW$8)),"-"), '[1]Country Codes'!$A$2:$B$253,2,0)</f>
        <v>#N/A</v>
      </c>
      <c r="AD280" s="30" t="str" cm="1">
        <f t="array" ref="AD280">IF(OR(_xll.BDP($AX280,"EX028")= "#N/A N/A", _xll.BDP($AX280,"EX028")="#N/A FIELD NOT APPLICABLE"), " ", _xll.BDP($AX280,"EX028"))</f>
        <v>Equity</v>
      </c>
      <c r="AE280" s="31" t="str">
        <f>IF(("AS97"="Equity"), " ", "Single Line Equity")</f>
        <v>Single Line Equity</v>
      </c>
      <c r="AF280" s="26" cm="1">
        <f t="array" ref="AF280">IF(OR(_xll.BDP($AX280,"RR908")= "#N/A N/A", _xll.BDP($AX280,"RR908")="#N/A FIELD NOT APPLICABLE"), " ", _xll.BDP($AX280,"RR908"))</f>
        <v>4.4161332134096982</v>
      </c>
      <c r="AG280" s="26" cm="1">
        <f t="array" ref="AG280">IF(OR(_xll.BDP($AX280,"RR041")= "#N/A N/A", _xll.BDP($AX280,"RR041")="#N/A FIELD NOT APPLICABLE"), " ", _xll.BDP($AX280,"RR041"))</f>
        <v>17.949678969620333</v>
      </c>
      <c r="AH280" s="22">
        <f>_xll.BDP(AX280,"TOT_BUY_REC")</f>
        <v>18</v>
      </c>
      <c r="AI280" s="22">
        <f>_xll.BDP(AX280,"TOT_HOLD_REC")</f>
        <v>8</v>
      </c>
      <c r="AJ280" s="22">
        <f>_xll.BDP(AX280,"TOT_SELL_REC")</f>
        <v>2</v>
      </c>
      <c r="AK280" s="26" cm="1">
        <f t="array" ref="AK280">IF(OR(_xll.BDP($AX280,"EE201")= "#N/A N/A", _xll.BDP($AX280,"EE201")="#N/A FIELD NOT APPLICABLE"), " ", _xll.BDP($AX280,"EE201"))</f>
        <v>4.1071429252624512</v>
      </c>
      <c r="AL280" s="24">
        <f>_xll.BDP(AX280,"BEST_TARGET_PRICE")</f>
        <v>63.761539459228516</v>
      </c>
      <c r="AM280" s="32">
        <f>(AL280/Q280)-1</f>
        <v>0.24875713786189801</v>
      </c>
      <c r="AN280" s="32">
        <f>_xll.BDP(AX280,"PR061")/100</f>
        <v>-3.7874500000000005E-2</v>
      </c>
      <c r="AO280" s="32">
        <f>_xll.BDP(AX280,"PR064")/100</f>
        <v>-0.1288176</v>
      </c>
      <c r="AP280" s="32">
        <f>_xll.BDP(AX280,"CHG_PCT_6M")/100</f>
        <v>-0.11307969999999999</v>
      </c>
      <c r="AQ280" s="25">
        <f>_xll.BDP(AX280,"PR079")/100</f>
        <v>-4.3282720000000004E-2</v>
      </c>
      <c r="AR280" s="33">
        <f>_xll.BDP(AX280,"hs001")</f>
        <v>69.2</v>
      </c>
      <c r="AS280" s="33">
        <f>_xll.BDP(AX280,"hs002")</f>
        <v>47.645000000000003</v>
      </c>
      <c r="AT280" s="22" t="str" cm="1">
        <f t="array" ref="AT280">IF(OR(_xll.BDP($AX280,"DX202")= "#N/A N/A", _xll.BDP($AX280,"DX202")="#N/A FIELD NOT APPLICABLE"), " ", _xll.BDP($AX280,"DX202"))</f>
        <v>Energy</v>
      </c>
      <c r="AU280" s="22" t="str" cm="1">
        <f t="array" ref="AU280">IF(OR(_xll.BDP($AX280,"DY997")= "#N/A N/A", _xll.BDP($AX280,"DY997")="#N/A FIELD NOT APPLICABLE"), " ", _xll.BDP($AX280,"DY997"))</f>
        <v>Y</v>
      </c>
      <c r="AV280" s="22" t="str" cm="1">
        <f t="array" ref="AV280">IF(OR(_xll.BDP($AX280,"DY784")= "#N/A N/A", _xll.BDP($AX280,"DY784")="#N/A FIELD NOT APPLICABLE"), " ", _xll.BDP($AX280,"DY784"))</f>
        <v>N</v>
      </c>
      <c r="AW280" s="22" t="str">
        <f>IF(OR(AU280="Y",AV280="Y"),"Y","N")</f>
        <v>Y</v>
      </c>
      <c r="AX280" s="22" t="str">
        <f>CONCATENATE(G280," ",$AX$2)</f>
        <v>TTE FP Equity</v>
      </c>
      <c r="BC280" s="17" t="str" cm="1">
        <f t="array" ref="BC280">_xll.BDP(AX280,"ID005")</f>
        <v>FR0000120271</v>
      </c>
      <c r="BD280" s="17">
        <v>0.7</v>
      </c>
      <c r="BE280" s="18">
        <v>4</v>
      </c>
      <c r="BF280" s="19">
        <v>45561</v>
      </c>
      <c r="BG280" s="20">
        <v>1</v>
      </c>
    </row>
    <row r="281" spans="1:59" s="3" customFormat="1" ht="14.45" customHeight="1" x14ac:dyDescent="0.25">
      <c r="A281" s="81" t="s">
        <v>241</v>
      </c>
      <c r="B281" s="81" t="s">
        <v>251</v>
      </c>
      <c r="C281" s="81" t="s">
        <v>252</v>
      </c>
      <c r="D281" s="81" t="s">
        <v>240</v>
      </c>
      <c r="E281" s="40" t="str">
        <f>_xll.BDP(AX281,"SECURITY NAME")</f>
        <v>TotalEnergies SE</v>
      </c>
      <c r="F281" s="40" t="str">
        <f>_xll.BDP(AX281,"CRNCY")</f>
        <v>EUR</v>
      </c>
      <c r="G281" s="23" t="s">
        <v>329</v>
      </c>
      <c r="H281" s="40" t="str" cm="1">
        <f t="array" ref="H281">IF(OR(_xll.BDP($AX281,"DX202")= "#N/A N/A", _xll.BDP($AX281,"DX202")="#N/A FIELD NOT APPLICABLE"), " ", _xll.BDP($AX281,"DX202"))</f>
        <v>Energy</v>
      </c>
      <c r="I281" s="82">
        <f>_xll.BDP(AX281,"CRNCY_ADJ_MKT_CAP", "EQY_FUND_CRNCY=USD")/1000</f>
        <v>131.45252994387337</v>
      </c>
      <c r="J281" s="83">
        <f>IFERROR(_xll.BDP(AX281, "DV013")/100,0)</f>
        <v>6.4238150634347249E-2</v>
      </c>
      <c r="K281" s="84" cm="1">
        <f t="array" ref="K281">IF(OR(_xll.BDP($AX281,"RR900")= "#N/A N/A", _xll.BDP($AX281,"RR900")="#N/A FIELD NOT APPLICABLE"), " ", _xll.BDP($AX281,"RR900"))</f>
        <v>9.7356558104022497</v>
      </c>
      <c r="L281" s="84" cm="1">
        <f t="array" ref="L281">IF(OR(_xll.BDP($AX281,"EE010")= "#N/A N/A", _xll.BDP($AX281,"EE010")="#N/A FIELD NOT APPLICABLE"), " ", _xll.BDP($AX281,"EE010"))</f>
        <v>7.5121377078122711</v>
      </c>
      <c r="M281" s="84" cm="1">
        <f t="array" ref="M281">IF(OR(_xll.BDP($AX281,"RR903")= "#N/A N/A", _xll.BDP($AX281,"RR903")="#N/A FIELD NOT APPLICABLE"), " ", _xll.BDP($AX281,"RR903"))</f>
        <v>1.1045343138620547</v>
      </c>
      <c r="N281" s="84" cm="1">
        <f t="array" ref="N281">IF(OR(_xll.BDP($AX281,"RR957")= "#N/A N/A", _xll.BDP($AX281,"RR957")="#N/A FIELD NOT APPLICABLE"), " ", _xll.BDP($AX281,"RR957"))</f>
        <v>3.8610349326174167</v>
      </c>
      <c r="O281" s="27">
        <v>825</v>
      </c>
      <c r="P281" s="28">
        <v>58.810989999999997</v>
      </c>
      <c r="Q281" s="40" cm="1">
        <f t="array" ref="Q281">IF(OR(_xll.BDP($AX281,"PX_last")="#N/A N/A",_xll.BDP($AX281,"PX_Last")="#N/A FIELD NOT APPLICABLE")," ",IF(F281="GBP",(_xll.BDP($AX281,"PX_LAST")/100),(_xll.BDP($AX281,"PX_LAST"))))</f>
        <v>51.06</v>
      </c>
      <c r="R281" s="85">
        <f>IF(F281="USD",AA281,(((_xll.BDP(F281&amp;"USD CURNCY","PX_LAST")))*AA281))</f>
        <v>55025.473601175006</v>
      </c>
      <c r="S281" s="85">
        <f>IF(F281="USD",AB281,(((_xll.BDP(F281&amp;"USD CURNCY","PX_LAST")))*AB281))</f>
        <v>47773.395450000004</v>
      </c>
      <c r="T281" s="86">
        <f>S281-R281</f>
        <v>-7252.0781511750029</v>
      </c>
      <c r="U281" s="87">
        <f>T281/R281</f>
        <v>-0.13179492472410348</v>
      </c>
      <c r="V281" s="87" cm="1">
        <f t="array" ref="V281">IFERROR(_xll.BDP($G281&amp;" Equity","CHG_PCT_1D")/100,"")</f>
        <v>1.0888930000000002E-2</v>
      </c>
      <c r="W281" s="87" cm="1">
        <f t="array" ref="W281">IFERROR(_xll.BDP($G281&amp;" Equity","CHG_PCT_5D")/100,"")</f>
        <v>-3.5147390000000001E-2</v>
      </c>
      <c r="X281" s="87" t="e">
        <f>S281/#REF!</f>
        <v>#REF!</v>
      </c>
      <c r="Y281" s="82">
        <f>IFERROR(S281*J281,0)</f>
        <v>3068.8745732313396</v>
      </c>
      <c r="Z281" s="82">
        <f>S281</f>
        <v>47773.395450000004</v>
      </c>
      <c r="AA281" s="85">
        <f>P281*O281</f>
        <v>48519.066749999998</v>
      </c>
      <c r="AB281" s="85">
        <f>IFERROR(O281*Q281,0)</f>
        <v>42124.5</v>
      </c>
      <c r="AC281" s="88" t="e" cm="1">
        <f t="array" ref="AC281">VLOOKUP(IF(NOT(_xll.BDP(AX281,$BW$8)="#N/A N/A"),(_xll.BDP(AX281,$BW$8)),"-"), '[1]Country Codes'!$A$2:$B$253,2,0)</f>
        <v>#N/A</v>
      </c>
      <c r="AD281" s="89" t="str" cm="1">
        <f t="array" ref="AD281">IF(OR(_xll.BDP($AX281,"EX028")= "#N/A N/A", _xll.BDP($AX281,"EX028")="#N/A FIELD NOT APPLICABLE"), " ", _xll.BDP($AX281,"EX028"))</f>
        <v>Equity</v>
      </c>
      <c r="AE281" s="90" t="str">
        <f>IF(("AS97"="Equity"), " ", "Single Line Equity")</f>
        <v>Single Line Equity</v>
      </c>
      <c r="AF281" s="84" cm="1">
        <f t="array" ref="AF281">IF(OR(_xll.BDP($AX281,"RR908")= "#N/A N/A", _xll.BDP($AX281,"RR908")="#N/A FIELD NOT APPLICABLE"), " ", _xll.BDP($AX281,"RR908"))</f>
        <v>4.4161332134096982</v>
      </c>
      <c r="AG281" s="84" cm="1">
        <f t="array" ref="AG281">IF(OR(_xll.BDP($AX281,"RR041")= "#N/A N/A", _xll.BDP($AX281,"RR041")="#N/A FIELD NOT APPLICABLE"), " ", _xll.BDP($AX281,"RR041"))</f>
        <v>17.949678969620333</v>
      </c>
      <c r="AH281" s="40">
        <f>_xll.BDP(AX281,"TOT_BUY_REC")</f>
        <v>18</v>
      </c>
      <c r="AI281" s="40">
        <f>_xll.BDP(AX281,"TOT_HOLD_REC")</f>
        <v>8</v>
      </c>
      <c r="AJ281" s="40">
        <f>_xll.BDP(AX281,"TOT_SELL_REC")</f>
        <v>2</v>
      </c>
      <c r="AK281" s="84" cm="1">
        <f t="array" ref="AK281">IF(OR(_xll.BDP($AX281,"EE201")= "#N/A N/A", _xll.BDP($AX281,"EE201")="#N/A FIELD NOT APPLICABLE"), " ", _xll.BDP($AX281,"EE201"))</f>
        <v>4.1071429252624512</v>
      </c>
      <c r="AL281" s="82">
        <f>_xll.BDP(AX281,"BEST_TARGET_PRICE")</f>
        <v>63.761539459228516</v>
      </c>
      <c r="AM281" s="91">
        <f>(AL281/Q281)-1</f>
        <v>0.24875713786189801</v>
      </c>
      <c r="AN281" s="91">
        <f>_xll.BDP(AX281,"PR061")/100</f>
        <v>-3.7874500000000005E-2</v>
      </c>
      <c r="AO281" s="91">
        <f>_xll.BDP(AX281,"PR064")/100</f>
        <v>-0.1288176</v>
      </c>
      <c r="AP281" s="91">
        <f>_xll.BDP(AX281,"CHG_PCT_6M")/100</f>
        <v>-0.11307969999999999</v>
      </c>
      <c r="AQ281" s="83">
        <f>_xll.BDP(AX281,"PR079")/100</f>
        <v>-4.3282720000000004E-2</v>
      </c>
      <c r="AR281" s="92">
        <f>_xll.BDP(AX281,"hs001")</f>
        <v>69.2</v>
      </c>
      <c r="AS281" s="92">
        <f>_xll.BDP(AX281,"hs002")</f>
        <v>47.645000000000003</v>
      </c>
      <c r="AT281" s="40" t="str" cm="1">
        <f t="array" ref="AT281">IF(OR(_xll.BDP($AX281,"DX202")= "#N/A N/A", _xll.BDP($AX281,"DX202")="#N/A FIELD NOT APPLICABLE"), " ", _xll.BDP($AX281,"DX202"))</f>
        <v>Energy</v>
      </c>
      <c r="AU281" s="40" t="str" cm="1">
        <f t="array" ref="AU281">IF(OR(_xll.BDP($AX281,"DY997")= "#N/A N/A", _xll.BDP($AX281,"DY997")="#N/A FIELD NOT APPLICABLE"), " ", _xll.BDP($AX281,"DY997"))</f>
        <v>Y</v>
      </c>
      <c r="AV281" s="40" t="str" cm="1">
        <f t="array" ref="AV281">IF(OR(_xll.BDP($AX281,"DY784")= "#N/A N/A", _xll.BDP($AX281,"DY784")="#N/A FIELD NOT APPLICABLE"), " ", _xll.BDP($AX281,"DY784"))</f>
        <v>N</v>
      </c>
      <c r="AW281" s="40" t="str">
        <f>IF(OR(AU281="Y",AV281="Y"),"Y","N")</f>
        <v>Y</v>
      </c>
      <c r="AX281" s="40" t="str">
        <f>CONCATENATE(G281," ",$AX$2)</f>
        <v>TTE FP Equity</v>
      </c>
      <c r="BC281" s="17" t="str" cm="1">
        <f t="array" ref="BC281">_xll.BDP(AX281,"ID005")</f>
        <v>FR0000120271</v>
      </c>
      <c r="BD281" s="17">
        <v>0.7</v>
      </c>
      <c r="BE281" s="18">
        <v>4</v>
      </c>
      <c r="BF281" s="19">
        <v>45561</v>
      </c>
      <c r="BG281" s="20">
        <v>1</v>
      </c>
    </row>
    <row r="282" spans="1:59" s="3" customFormat="1" ht="14.45" customHeight="1" x14ac:dyDescent="0.25">
      <c r="A282" s="81" t="s">
        <v>241</v>
      </c>
      <c r="B282" s="81" t="s">
        <v>253</v>
      </c>
      <c r="C282" s="81" t="s">
        <v>254</v>
      </c>
      <c r="D282" s="81" t="s">
        <v>240</v>
      </c>
      <c r="E282" s="40" t="str">
        <f>_xll.BDP(AX282,"SECURITY NAME")</f>
        <v>TotalEnergies SE</v>
      </c>
      <c r="F282" s="40" t="str">
        <f>_xll.BDP(AX282,"CRNCY")</f>
        <v>EUR</v>
      </c>
      <c r="G282" s="23" t="s">
        <v>329</v>
      </c>
      <c r="H282" s="40" t="str" cm="1">
        <f t="array" ref="H282">IF(OR(_xll.BDP($AX282,"DX202")= "#N/A N/A", _xll.BDP($AX282,"DX202")="#N/A FIELD NOT APPLICABLE"), " ", _xll.BDP($AX282,"DX202"))</f>
        <v>Energy</v>
      </c>
      <c r="I282" s="82">
        <f>_xll.BDP(AX282,"CRNCY_ADJ_MKT_CAP", "EQY_FUND_CRNCY=USD")/1000</f>
        <v>131.45252994387337</v>
      </c>
      <c r="J282" s="83">
        <f>IFERROR(_xll.BDP(AX282, "DV013")/100,0)</f>
        <v>6.4238150634347249E-2</v>
      </c>
      <c r="K282" s="84" cm="1">
        <f t="array" ref="K282">IF(OR(_xll.BDP($AX282,"RR900")= "#N/A N/A", _xll.BDP($AX282,"RR900")="#N/A FIELD NOT APPLICABLE"), " ", _xll.BDP($AX282,"RR900"))</f>
        <v>9.7356558104022497</v>
      </c>
      <c r="L282" s="84" cm="1">
        <f t="array" ref="L282">IF(OR(_xll.BDP($AX282,"EE010")= "#N/A N/A", _xll.BDP($AX282,"EE010")="#N/A FIELD NOT APPLICABLE"), " ", _xll.BDP($AX282,"EE010"))</f>
        <v>7.5121377078122711</v>
      </c>
      <c r="M282" s="84" cm="1">
        <f t="array" ref="M282">IF(OR(_xll.BDP($AX282,"RR903")= "#N/A N/A", _xll.BDP($AX282,"RR903")="#N/A FIELD NOT APPLICABLE"), " ", _xll.BDP($AX282,"RR903"))</f>
        <v>1.1045343138620547</v>
      </c>
      <c r="N282" s="84" cm="1">
        <f t="array" ref="N282">IF(OR(_xll.BDP($AX282,"RR957")= "#N/A N/A", _xll.BDP($AX282,"RR957")="#N/A FIELD NOT APPLICABLE"), " ", _xll.BDP($AX282,"RR957"))</f>
        <v>3.8610349326174167</v>
      </c>
      <c r="O282" s="27">
        <v>825</v>
      </c>
      <c r="P282" s="28">
        <v>58.810989999999997</v>
      </c>
      <c r="Q282" s="40" cm="1">
        <f t="array" ref="Q282">IF(OR(_xll.BDP($AX282,"PX_last")="#N/A N/A",_xll.BDP($AX282,"PX_Last")="#N/A FIELD NOT APPLICABLE")," ",IF(F282="GBP",(_xll.BDP($AX282,"PX_LAST")/100),(_xll.BDP($AX282,"PX_LAST"))))</f>
        <v>51.06</v>
      </c>
      <c r="R282" s="85">
        <f>IF(F282="USD",AA282,(((_xll.BDP(F282&amp;"USD CURNCY","PX_LAST")))*AA282))</f>
        <v>55025.473601175006</v>
      </c>
      <c r="S282" s="85">
        <f>IF(F282="USD",AB282,(((_xll.BDP(F282&amp;"USD CURNCY","PX_LAST")))*AB282))</f>
        <v>47773.395450000004</v>
      </c>
      <c r="T282" s="86">
        <f>S282-R282</f>
        <v>-7252.0781511750029</v>
      </c>
      <c r="U282" s="87">
        <f>T282/R282</f>
        <v>-0.13179492472410348</v>
      </c>
      <c r="V282" s="87" cm="1">
        <f t="array" ref="V282">IFERROR(_xll.BDP($G282&amp;" Equity","CHG_PCT_1D")/100,"")</f>
        <v>1.0888930000000002E-2</v>
      </c>
      <c r="W282" s="87" cm="1">
        <f t="array" ref="W282">IFERROR(_xll.BDP($G282&amp;" Equity","CHG_PCT_5D")/100,"")</f>
        <v>-3.5147390000000001E-2</v>
      </c>
      <c r="X282" s="87" t="e">
        <f>S282/#REF!</f>
        <v>#REF!</v>
      </c>
      <c r="Y282" s="82">
        <f>IFERROR(S282*J282,0)</f>
        <v>3068.8745732313396</v>
      </c>
      <c r="Z282" s="82">
        <f>S282</f>
        <v>47773.395450000004</v>
      </c>
      <c r="AA282" s="85">
        <f>P282*O282</f>
        <v>48519.066749999998</v>
      </c>
      <c r="AB282" s="85">
        <f>IFERROR(O282*Q282,0)</f>
        <v>42124.5</v>
      </c>
      <c r="AC282" s="88" t="e" cm="1">
        <f t="array" ref="AC282">VLOOKUP(IF(NOT(_xll.BDP(AX282,$BW$8)="#N/A N/A"),(_xll.BDP(AX282,$BW$8)),"-"), '[1]Country Codes'!$A$2:$B$253,2,0)</f>
        <v>#N/A</v>
      </c>
      <c r="AD282" s="89" t="str" cm="1">
        <f t="array" ref="AD282">IF(OR(_xll.BDP($AX282,"EX028")= "#N/A N/A", _xll.BDP($AX282,"EX028")="#N/A FIELD NOT APPLICABLE"), " ", _xll.BDP($AX282,"EX028"))</f>
        <v>Equity</v>
      </c>
      <c r="AE282" s="90" t="str">
        <f>IF(("AS97"="Equity"), " ", "Single Line Equity")</f>
        <v>Single Line Equity</v>
      </c>
      <c r="AF282" s="84" cm="1">
        <f t="array" ref="AF282">IF(OR(_xll.BDP($AX282,"RR908")= "#N/A N/A", _xll.BDP($AX282,"RR908")="#N/A FIELD NOT APPLICABLE"), " ", _xll.BDP($AX282,"RR908"))</f>
        <v>4.4161332134096982</v>
      </c>
      <c r="AG282" s="84" cm="1">
        <f t="array" ref="AG282">IF(OR(_xll.BDP($AX282,"RR041")= "#N/A N/A", _xll.BDP($AX282,"RR041")="#N/A FIELD NOT APPLICABLE"), " ", _xll.BDP($AX282,"RR041"))</f>
        <v>17.949678969620333</v>
      </c>
      <c r="AH282" s="40">
        <f>_xll.BDP(AX282,"TOT_BUY_REC")</f>
        <v>18</v>
      </c>
      <c r="AI282" s="40">
        <f>_xll.BDP(AX282,"TOT_HOLD_REC")</f>
        <v>8</v>
      </c>
      <c r="AJ282" s="40">
        <f>_xll.BDP(AX282,"TOT_SELL_REC")</f>
        <v>2</v>
      </c>
      <c r="AK282" s="84" cm="1">
        <f t="array" ref="AK282">IF(OR(_xll.BDP($AX282,"EE201")= "#N/A N/A", _xll.BDP($AX282,"EE201")="#N/A FIELD NOT APPLICABLE"), " ", _xll.BDP($AX282,"EE201"))</f>
        <v>4.1071429252624512</v>
      </c>
      <c r="AL282" s="82">
        <f>_xll.BDP(AX282,"BEST_TARGET_PRICE")</f>
        <v>63.761539459228516</v>
      </c>
      <c r="AM282" s="91">
        <f>(AL282/Q282)-1</f>
        <v>0.24875713786189801</v>
      </c>
      <c r="AN282" s="91">
        <f>_xll.BDP(AX282,"PR061")/100</f>
        <v>-3.7874500000000005E-2</v>
      </c>
      <c r="AO282" s="91">
        <f>_xll.BDP(AX282,"PR064")/100</f>
        <v>-0.1288176</v>
      </c>
      <c r="AP282" s="91">
        <f>_xll.BDP(AX282,"CHG_PCT_6M")/100</f>
        <v>-0.11307969999999999</v>
      </c>
      <c r="AQ282" s="83">
        <f>_xll.BDP(AX282,"PR079")/100</f>
        <v>-4.3282720000000004E-2</v>
      </c>
      <c r="AR282" s="92">
        <f>_xll.BDP(AX282,"hs001")</f>
        <v>69.2</v>
      </c>
      <c r="AS282" s="92">
        <f>_xll.BDP(AX282,"hs002")</f>
        <v>47.645000000000003</v>
      </c>
      <c r="AT282" s="40" t="str" cm="1">
        <f t="array" ref="AT282">IF(OR(_xll.BDP($AX282,"DX202")= "#N/A N/A", _xll.BDP($AX282,"DX202")="#N/A FIELD NOT APPLICABLE"), " ", _xll.BDP($AX282,"DX202"))</f>
        <v>Energy</v>
      </c>
      <c r="AU282" s="40" t="str" cm="1">
        <f t="array" ref="AU282">IF(OR(_xll.BDP($AX282,"DY997")= "#N/A N/A", _xll.BDP($AX282,"DY997")="#N/A FIELD NOT APPLICABLE"), " ", _xll.BDP($AX282,"DY997"))</f>
        <v>Y</v>
      </c>
      <c r="AV282" s="40" t="str" cm="1">
        <f t="array" ref="AV282">IF(OR(_xll.BDP($AX282,"DY784")= "#N/A N/A", _xll.BDP($AX282,"DY784")="#N/A FIELD NOT APPLICABLE"), " ", _xll.BDP($AX282,"DY784"))</f>
        <v>N</v>
      </c>
      <c r="AW282" s="40" t="str">
        <f>IF(OR(AU282="Y",AV282="Y"),"Y","N")</f>
        <v>Y</v>
      </c>
      <c r="AX282" s="40" t="str">
        <f>CONCATENATE(G282," ",$AX$2)</f>
        <v>TTE FP Equity</v>
      </c>
      <c r="BC282" s="17" t="str" cm="1">
        <f t="array" ref="BC282">_xll.BDP(AX282,"ID005")</f>
        <v>FR0000120271</v>
      </c>
      <c r="BD282" s="17">
        <v>0.7</v>
      </c>
      <c r="BE282" s="18">
        <v>4</v>
      </c>
      <c r="BF282" s="19">
        <v>45561</v>
      </c>
      <c r="BG282" s="20">
        <v>1</v>
      </c>
    </row>
    <row r="283" spans="1:59" s="3" customFormat="1" ht="14.45" customHeight="1" x14ac:dyDescent="0.25">
      <c r="A283" s="49" t="s">
        <v>241</v>
      </c>
      <c r="B283" s="49" t="s">
        <v>262</v>
      </c>
      <c r="C283" s="49" t="s">
        <v>263</v>
      </c>
      <c r="D283" s="49" t="s">
        <v>240</v>
      </c>
      <c r="E283" s="22" t="str">
        <f>_xll.BDP(AX283,"SECURITY NAME")</f>
        <v>TotalEnergies SE</v>
      </c>
      <c r="F283" s="22" t="str">
        <f>_xll.BDP(AX283,"CRNCY")</f>
        <v>EUR</v>
      </c>
      <c r="G283" s="23" t="s">
        <v>329</v>
      </c>
      <c r="H283" s="22" t="str" cm="1">
        <f t="array" ref="H283">IF(OR(_xll.BDP($AX283,"DX202")= "#N/A N/A", _xll.BDP($AX283,"DX202")="#N/A FIELD NOT APPLICABLE"), " ", _xll.BDP($AX283,"DX202"))</f>
        <v>Energy</v>
      </c>
      <c r="I283" s="24">
        <f>_xll.BDP(AX283,"CRNCY_ADJ_MKT_CAP", "EQY_FUND_CRNCY=USD")/1000</f>
        <v>131.45252994387337</v>
      </c>
      <c r="J283" s="25">
        <f>IFERROR(_xll.BDP(AX283, "DV013")/100,0)</f>
        <v>6.4238150634347249E-2</v>
      </c>
      <c r="K283" s="26" cm="1">
        <f t="array" ref="K283">IF(OR(_xll.BDP($AX283,"RR900")= "#N/A N/A", _xll.BDP($AX283,"RR900")="#N/A FIELD NOT APPLICABLE"), " ", _xll.BDP($AX283,"RR900"))</f>
        <v>9.7356558104022497</v>
      </c>
      <c r="L283" s="26" cm="1">
        <f t="array" ref="L283">IF(OR(_xll.BDP($AX283,"EE010")= "#N/A N/A", _xll.BDP($AX283,"EE010")="#N/A FIELD NOT APPLICABLE"), " ", _xll.BDP($AX283,"EE010"))</f>
        <v>7.5121377078122711</v>
      </c>
      <c r="M283" s="26" cm="1">
        <f t="array" ref="M283">IF(OR(_xll.BDP($AX283,"RR903")= "#N/A N/A", _xll.BDP($AX283,"RR903")="#N/A FIELD NOT APPLICABLE"), " ", _xll.BDP($AX283,"RR903"))</f>
        <v>1.1045343138620547</v>
      </c>
      <c r="N283" s="26" cm="1">
        <f t="array" ref="N283">IF(OR(_xll.BDP($AX283,"RR957")= "#N/A N/A", _xll.BDP($AX283,"RR957")="#N/A FIELD NOT APPLICABLE"), " ", _xll.BDP($AX283,"RR957"))</f>
        <v>3.8610349326174167</v>
      </c>
      <c r="O283" s="27">
        <v>1650</v>
      </c>
      <c r="P283" s="28">
        <v>58.810989999999997</v>
      </c>
      <c r="Q283" s="22" cm="1">
        <f t="array" ref="Q283">IF(OR(_xll.BDP($AX283,"PX_last")="#N/A N/A",_xll.BDP($AX283,"PX_Last")="#N/A FIELD NOT APPLICABLE")," ",IF(F283="GBP",(_xll.BDP($AX283,"PX_LAST")/100),(_xll.BDP($AX283,"PX_LAST"))))</f>
        <v>51.06</v>
      </c>
      <c r="R283" s="29">
        <f>IF(F283="USD",AA283,(((_xll.BDP(F283&amp;"USD CURNCY","PX_LAST")))*AA283))</f>
        <v>110050.94720235001</v>
      </c>
      <c r="S283" s="29">
        <f>IF(F283="USD",AB283,(((_xll.BDP(F283&amp;"USD CURNCY","PX_LAST")))*AB283))</f>
        <v>95546.790900000007</v>
      </c>
      <c r="T283" s="12">
        <f>S283-R283</f>
        <v>-14504.156302350006</v>
      </c>
      <c r="U283" s="13">
        <f>T283/R283</f>
        <v>-0.13179492472410348</v>
      </c>
      <c r="V283" s="13" cm="1">
        <f t="array" ref="V283">IFERROR(_xll.BDP($G283&amp;" Equity","CHG_PCT_1D")/100,"")</f>
        <v>1.0888930000000002E-2</v>
      </c>
      <c r="W283" s="13" cm="1">
        <f t="array" ref="W283">IFERROR(_xll.BDP($G283&amp;" Equity","CHG_PCT_5D")/100,"")</f>
        <v>-3.5147390000000001E-2</v>
      </c>
      <c r="X283" s="13" t="e">
        <f>S283/#REF!</f>
        <v>#REF!</v>
      </c>
      <c r="Y283" s="24">
        <f>IFERROR(S283*J283,0)</f>
        <v>6137.7491464626792</v>
      </c>
      <c r="Z283" s="24">
        <f>S283</f>
        <v>95546.790900000007</v>
      </c>
      <c r="AA283" s="29">
        <f>P283*O283</f>
        <v>97038.133499999996</v>
      </c>
      <c r="AB283" s="29">
        <f>IFERROR(O283*Q283,0)</f>
        <v>84249</v>
      </c>
      <c r="AC283" s="4" t="e" cm="1">
        <f t="array" ref="AC283">VLOOKUP(IF(NOT(_xll.BDP(AX283,$BW$8)="#N/A N/A"),(_xll.BDP(AX283,$BW$8)),"-"), '[1]Country Codes'!$A$2:$B$253,2,0)</f>
        <v>#N/A</v>
      </c>
      <c r="AD283" s="30" t="str" cm="1">
        <f t="array" ref="AD283">IF(OR(_xll.BDP($AX283,"EX028")= "#N/A N/A", _xll.BDP($AX283,"EX028")="#N/A FIELD NOT APPLICABLE"), " ", _xll.BDP($AX283,"EX028"))</f>
        <v>Equity</v>
      </c>
      <c r="AE283" s="31" t="str">
        <f>IF(("AS97"="Equity"), " ", "Single Line Equity")</f>
        <v>Single Line Equity</v>
      </c>
      <c r="AF283" s="26" cm="1">
        <f t="array" ref="AF283">IF(OR(_xll.BDP($AX283,"RR908")= "#N/A N/A", _xll.BDP($AX283,"RR908")="#N/A FIELD NOT APPLICABLE"), " ", _xll.BDP($AX283,"RR908"))</f>
        <v>4.4161332134096982</v>
      </c>
      <c r="AG283" s="26" cm="1">
        <f t="array" ref="AG283">IF(OR(_xll.BDP($AX283,"RR041")= "#N/A N/A", _xll.BDP($AX283,"RR041")="#N/A FIELD NOT APPLICABLE"), " ", _xll.BDP($AX283,"RR041"))</f>
        <v>17.949678969620333</v>
      </c>
      <c r="AH283" s="22">
        <f>_xll.BDP(AX283,"TOT_BUY_REC")</f>
        <v>18</v>
      </c>
      <c r="AI283" s="22">
        <f>_xll.BDP(AX283,"TOT_HOLD_REC")</f>
        <v>8</v>
      </c>
      <c r="AJ283" s="22">
        <f>_xll.BDP(AX283,"TOT_SELL_REC")</f>
        <v>2</v>
      </c>
      <c r="AK283" s="26" cm="1">
        <f t="array" ref="AK283">IF(OR(_xll.BDP($AX283,"EE201")= "#N/A N/A", _xll.BDP($AX283,"EE201")="#N/A FIELD NOT APPLICABLE"), " ", _xll.BDP($AX283,"EE201"))</f>
        <v>4.1071429252624512</v>
      </c>
      <c r="AL283" s="24">
        <f>_xll.BDP(AX283,"BEST_TARGET_PRICE")</f>
        <v>63.761539459228516</v>
      </c>
      <c r="AM283" s="32">
        <f>(AL283/Q283)-1</f>
        <v>0.24875713786189801</v>
      </c>
      <c r="AN283" s="32">
        <f>_xll.BDP(AX283,"PR061")/100</f>
        <v>-3.7874500000000005E-2</v>
      </c>
      <c r="AO283" s="32">
        <f>_xll.BDP(AX283,"PR064")/100</f>
        <v>-0.1288176</v>
      </c>
      <c r="AP283" s="32">
        <f>_xll.BDP(AX283,"CHG_PCT_6M")/100</f>
        <v>-0.11307969999999999</v>
      </c>
      <c r="AQ283" s="25">
        <f>_xll.BDP(AX283,"PR079")/100</f>
        <v>-4.3282720000000004E-2</v>
      </c>
      <c r="AR283" s="33">
        <f>_xll.BDP(AX283,"hs001")</f>
        <v>69.2</v>
      </c>
      <c r="AS283" s="33">
        <f>_xll.BDP(AX283,"hs002")</f>
        <v>47.645000000000003</v>
      </c>
      <c r="AT283" s="22" t="str" cm="1">
        <f t="array" ref="AT283">IF(OR(_xll.BDP($AX283,"DX202")= "#N/A N/A", _xll.BDP($AX283,"DX202")="#N/A FIELD NOT APPLICABLE"), " ", _xll.BDP($AX283,"DX202"))</f>
        <v>Energy</v>
      </c>
      <c r="AU283" s="22" t="str" cm="1">
        <f t="array" ref="AU283">IF(OR(_xll.BDP($AX283,"DY997")= "#N/A N/A", _xll.BDP($AX283,"DY997")="#N/A FIELD NOT APPLICABLE"), " ", _xll.BDP($AX283,"DY997"))</f>
        <v>Y</v>
      </c>
      <c r="AV283" s="22" t="str" cm="1">
        <f t="array" ref="AV283">IF(OR(_xll.BDP($AX283,"DY784")= "#N/A N/A", _xll.BDP($AX283,"DY784")="#N/A FIELD NOT APPLICABLE"), " ", _xll.BDP($AX283,"DY784"))</f>
        <v>N</v>
      </c>
      <c r="AW283" s="22" t="str">
        <f>IF(OR(AU283="Y",AV283="Y"),"Y","N")</f>
        <v>Y</v>
      </c>
      <c r="AX283" s="22" t="str">
        <f>CONCATENATE(G283," ",$AX$2)</f>
        <v>TTE FP Equity</v>
      </c>
      <c r="BC283" s="17" t="str" cm="1">
        <f t="array" ref="BC283">_xll.BDP(AX283,"ID005")</f>
        <v>FR0000120271</v>
      </c>
      <c r="BD283" s="17">
        <v>0.7</v>
      </c>
      <c r="BE283" s="18">
        <v>4</v>
      </c>
      <c r="BF283" s="19">
        <v>45561</v>
      </c>
      <c r="BG283" s="20">
        <v>1</v>
      </c>
    </row>
    <row r="284" spans="1:59" s="3" customFormat="1" ht="14.45" customHeight="1" x14ac:dyDescent="0.25">
      <c r="A284" s="49" t="s">
        <v>241</v>
      </c>
      <c r="B284" s="49" t="s">
        <v>266</v>
      </c>
      <c r="C284" s="49" t="s">
        <v>267</v>
      </c>
      <c r="D284" s="49" t="s">
        <v>240</v>
      </c>
      <c r="E284" s="22" t="str">
        <f>_xll.BDP(AX284,"SECURITY NAME")</f>
        <v>TotalEnergies SE</v>
      </c>
      <c r="F284" s="22" t="str">
        <f>_xll.BDP(AX284,"CRNCY")</f>
        <v>EUR</v>
      </c>
      <c r="G284" s="23" t="s">
        <v>329</v>
      </c>
      <c r="H284" s="22" t="str" cm="1">
        <f t="array" ref="H284">IF(OR(_xll.BDP($AX284,"DX202")= "#N/A N/A", _xll.BDP($AX284,"DX202")="#N/A FIELD NOT APPLICABLE"), " ", _xll.BDP($AX284,"DX202"))</f>
        <v>Energy</v>
      </c>
      <c r="I284" s="24">
        <f>_xll.BDP(AX284,"CRNCY_ADJ_MKT_CAP", "EQY_FUND_CRNCY=USD")/1000</f>
        <v>131.45252994387337</v>
      </c>
      <c r="J284" s="25">
        <f>IFERROR(_xll.BDP(AX284, "DV013")/100,0)</f>
        <v>6.4238150634347249E-2</v>
      </c>
      <c r="K284" s="26" cm="1">
        <f t="array" ref="K284">IF(OR(_xll.BDP($AX284,"RR900")= "#N/A N/A", _xll.BDP($AX284,"RR900")="#N/A FIELD NOT APPLICABLE"), " ", _xll.BDP($AX284,"RR900"))</f>
        <v>9.7356558104022497</v>
      </c>
      <c r="L284" s="26" cm="1">
        <f t="array" ref="L284">IF(OR(_xll.BDP($AX284,"EE010")= "#N/A N/A", _xll.BDP($AX284,"EE010")="#N/A FIELD NOT APPLICABLE"), " ", _xll.BDP($AX284,"EE010"))</f>
        <v>7.5121377078122711</v>
      </c>
      <c r="M284" s="26" cm="1">
        <f t="array" ref="M284">IF(OR(_xll.BDP($AX284,"RR903")= "#N/A N/A", _xll.BDP($AX284,"RR903")="#N/A FIELD NOT APPLICABLE"), " ", _xll.BDP($AX284,"RR903"))</f>
        <v>1.1045343138620547</v>
      </c>
      <c r="N284" s="26" cm="1">
        <f t="array" ref="N284">IF(OR(_xll.BDP($AX284,"RR957")= "#N/A N/A", _xll.BDP($AX284,"RR957")="#N/A FIELD NOT APPLICABLE"), " ", _xll.BDP($AX284,"RR957"))</f>
        <v>3.8610349326174167</v>
      </c>
      <c r="O284" s="27">
        <v>825</v>
      </c>
      <c r="P284" s="76">
        <v>58.810989999999997</v>
      </c>
      <c r="Q284" s="22" cm="1">
        <f t="array" ref="Q284">IF(OR(_xll.BDP($AX284,"PX_last")="#N/A N/A",_xll.BDP($AX284,"PX_Last")="#N/A FIELD NOT APPLICABLE")," ",IF(F284="GBP",(_xll.BDP($AX284,"PX_LAST")/100),(_xll.BDP($AX284,"PX_LAST"))))</f>
        <v>51.06</v>
      </c>
      <c r="R284" s="29">
        <f>IF(F284="USD",AA284,(((_xll.BDP(F284&amp;"USD CURNCY","PX_LAST")))*AA284))</f>
        <v>55025.473601175006</v>
      </c>
      <c r="S284" s="29">
        <f>IF(F284="USD",AB284,(((_xll.BDP(F284&amp;"USD CURNCY","PX_LAST")))*AB284))</f>
        <v>47773.395450000004</v>
      </c>
      <c r="T284" s="12">
        <f>S284-R284</f>
        <v>-7252.0781511750029</v>
      </c>
      <c r="U284" s="13">
        <f>T284/R284</f>
        <v>-0.13179492472410348</v>
      </c>
      <c r="V284" s="13" cm="1">
        <f t="array" ref="V284">IFERROR(_xll.BDP($G284&amp;" Equity","CHG_PCT_1D")/100,"")</f>
        <v>1.0888930000000002E-2</v>
      </c>
      <c r="W284" s="13" cm="1">
        <f t="array" ref="W284">IFERROR(_xll.BDP($G284&amp;" Equity","CHG_PCT_5D")/100,"")</f>
        <v>-3.5147390000000001E-2</v>
      </c>
      <c r="X284" s="13" t="e">
        <f>S284/#REF!</f>
        <v>#REF!</v>
      </c>
      <c r="Y284" s="24">
        <f>IFERROR(S284*J284,0)</f>
        <v>3068.8745732313396</v>
      </c>
      <c r="Z284" s="24">
        <f>S284</f>
        <v>47773.395450000004</v>
      </c>
      <c r="AA284" s="29">
        <f>P284*O284</f>
        <v>48519.066749999998</v>
      </c>
      <c r="AB284" s="29">
        <f>IFERROR(O284*Q284,0)</f>
        <v>42124.5</v>
      </c>
      <c r="AC284" s="4" t="e" cm="1">
        <f t="array" ref="AC284">VLOOKUP(IF(NOT(_xll.BDP(AX284,$BW$8)="#N/A N/A"),(_xll.BDP(AX284,$BW$8)),"-"), '[1]Country Codes'!$A$2:$B$253,2,0)</f>
        <v>#N/A</v>
      </c>
      <c r="AD284" s="30" t="str" cm="1">
        <f t="array" ref="AD284">IF(OR(_xll.BDP($AX284,"EX028")= "#N/A N/A", _xll.BDP($AX284,"EX028")="#N/A FIELD NOT APPLICABLE"), " ", _xll.BDP($AX284,"EX028"))</f>
        <v>Equity</v>
      </c>
      <c r="AE284" s="31" t="str">
        <f>IF(("AS97"="Equity"), " ", "Single Line Equity")</f>
        <v>Single Line Equity</v>
      </c>
      <c r="AF284" s="26" cm="1">
        <f t="array" ref="AF284">IF(OR(_xll.BDP($AX284,"RR908")= "#N/A N/A", _xll.BDP($AX284,"RR908")="#N/A FIELD NOT APPLICABLE"), " ", _xll.BDP($AX284,"RR908"))</f>
        <v>4.4161332134096982</v>
      </c>
      <c r="AG284" s="26" cm="1">
        <f t="array" ref="AG284">IF(OR(_xll.BDP($AX284,"RR041")= "#N/A N/A", _xll.BDP($AX284,"RR041")="#N/A FIELD NOT APPLICABLE"), " ", _xll.BDP($AX284,"RR041"))</f>
        <v>17.949678969620333</v>
      </c>
      <c r="AH284" s="22">
        <f>_xll.BDP(AX284,"TOT_BUY_REC")</f>
        <v>18</v>
      </c>
      <c r="AI284" s="22">
        <f>_xll.BDP(AX284,"TOT_HOLD_REC")</f>
        <v>8</v>
      </c>
      <c r="AJ284" s="22">
        <f>_xll.BDP(AX284,"TOT_SELL_REC")</f>
        <v>2</v>
      </c>
      <c r="AK284" s="26" cm="1">
        <f t="array" ref="AK284">IF(OR(_xll.BDP($AX284,"EE201")= "#N/A N/A", _xll.BDP($AX284,"EE201")="#N/A FIELD NOT APPLICABLE"), " ", _xll.BDP($AX284,"EE201"))</f>
        <v>4.1071429252624512</v>
      </c>
      <c r="AL284" s="24">
        <f>_xll.BDP(AX284,"BEST_TARGET_PRICE")</f>
        <v>63.761539459228516</v>
      </c>
      <c r="AM284" s="32">
        <f>(AL284/Q284)-1</f>
        <v>0.24875713786189801</v>
      </c>
      <c r="AN284" s="32">
        <f>_xll.BDP(AX284,"PR061")/100</f>
        <v>-3.7874500000000005E-2</v>
      </c>
      <c r="AO284" s="32">
        <f>_xll.BDP(AX284,"PR064")/100</f>
        <v>-0.1288176</v>
      </c>
      <c r="AP284" s="32">
        <f>_xll.BDP(AX284,"CHG_PCT_6M")/100</f>
        <v>-0.11307969999999999</v>
      </c>
      <c r="AQ284" s="25">
        <f>_xll.BDP(AX284,"PR079")/100</f>
        <v>-4.3282720000000004E-2</v>
      </c>
      <c r="AR284" s="33">
        <f>_xll.BDP(AX284,"hs001")</f>
        <v>69.2</v>
      </c>
      <c r="AS284" s="33">
        <f>_xll.BDP(AX284,"hs002")</f>
        <v>47.645000000000003</v>
      </c>
      <c r="AT284" s="22" t="str" cm="1">
        <f t="array" ref="AT284">IF(OR(_xll.BDP($AX284,"DX202")= "#N/A N/A", _xll.BDP($AX284,"DX202")="#N/A FIELD NOT APPLICABLE"), " ", _xll.BDP($AX284,"DX202"))</f>
        <v>Energy</v>
      </c>
      <c r="AU284" s="22" t="str" cm="1">
        <f t="array" ref="AU284">IF(OR(_xll.BDP($AX284,"DY997")= "#N/A N/A", _xll.BDP($AX284,"DY997")="#N/A FIELD NOT APPLICABLE"), " ", _xll.BDP($AX284,"DY997"))</f>
        <v>Y</v>
      </c>
      <c r="AV284" s="22" t="str" cm="1">
        <f t="array" ref="AV284">IF(OR(_xll.BDP($AX284,"DY784")= "#N/A N/A", _xll.BDP($AX284,"DY784")="#N/A FIELD NOT APPLICABLE"), " ", _xll.BDP($AX284,"DY784"))</f>
        <v>N</v>
      </c>
      <c r="AW284" s="22" t="str">
        <f>IF(OR(AU284="Y",AV284="Y"),"Y","N")</f>
        <v>Y</v>
      </c>
      <c r="AX284" s="22" t="str">
        <f>CONCATENATE(G284," ",$AX$2)</f>
        <v>TTE FP Equity</v>
      </c>
      <c r="BC284" s="17" t="str" cm="1">
        <f t="array" ref="BC284">_xll.BDP(AX284,"ID005")</f>
        <v>FR0000120271</v>
      </c>
      <c r="BD284" s="17">
        <v>0.7</v>
      </c>
      <c r="BE284" s="18">
        <v>4</v>
      </c>
      <c r="BF284" s="19">
        <v>45561</v>
      </c>
      <c r="BG284" s="20">
        <v>1</v>
      </c>
    </row>
    <row r="285" spans="1:59" s="3" customFormat="1" ht="14.45" customHeight="1" x14ac:dyDescent="0.25">
      <c r="A285" s="49" t="s">
        <v>241</v>
      </c>
      <c r="B285" s="49" t="s">
        <v>270</v>
      </c>
      <c r="C285" s="49" t="s">
        <v>271</v>
      </c>
      <c r="D285" s="49" t="s">
        <v>240</v>
      </c>
      <c r="E285" s="22" t="str">
        <f>_xll.BDP(AX285,"SECURITY NAME")</f>
        <v>TotalEnergies SE</v>
      </c>
      <c r="F285" s="22" t="str">
        <f>_xll.BDP(AX285,"CRNCY")</f>
        <v>EUR</v>
      </c>
      <c r="G285" s="23" t="s">
        <v>329</v>
      </c>
      <c r="H285" s="22" t="str" cm="1">
        <f t="array" ref="H285">IF(OR(_xll.BDP($AX285,"DX202")= "#N/A N/A", _xll.BDP($AX285,"DX202")="#N/A FIELD NOT APPLICABLE"), " ", _xll.BDP($AX285,"DX202"))</f>
        <v>Energy</v>
      </c>
      <c r="I285" s="24">
        <f>_xll.BDP(AX285,"CRNCY_ADJ_MKT_CAP", "EQY_FUND_CRNCY=USD")/1000</f>
        <v>131.45252994387337</v>
      </c>
      <c r="J285" s="25">
        <f>IFERROR(_xll.BDP(AX285, "DV013")/100,0)</f>
        <v>6.4238150634347249E-2</v>
      </c>
      <c r="K285" s="26" cm="1">
        <f t="array" ref="K285">IF(OR(_xll.BDP($AX285,"RR900")= "#N/A N/A", _xll.BDP($AX285,"RR900")="#N/A FIELD NOT APPLICABLE"), " ", _xll.BDP($AX285,"RR900"))</f>
        <v>9.7356558104022497</v>
      </c>
      <c r="L285" s="26" cm="1">
        <f t="array" ref="L285">IF(OR(_xll.BDP($AX285,"EE010")= "#N/A N/A", _xll.BDP($AX285,"EE010")="#N/A FIELD NOT APPLICABLE"), " ", _xll.BDP($AX285,"EE010"))</f>
        <v>7.5121377078122711</v>
      </c>
      <c r="M285" s="26" cm="1">
        <f t="array" ref="M285">IF(OR(_xll.BDP($AX285,"RR903")= "#N/A N/A", _xll.BDP($AX285,"RR903")="#N/A FIELD NOT APPLICABLE"), " ", _xll.BDP($AX285,"RR903"))</f>
        <v>1.1045343138620547</v>
      </c>
      <c r="N285" s="26" cm="1">
        <f t="array" ref="N285">IF(OR(_xll.BDP($AX285,"RR957")= "#N/A N/A", _xll.BDP($AX285,"RR957")="#N/A FIELD NOT APPLICABLE"), " ", _xll.BDP($AX285,"RR957"))</f>
        <v>3.8610349326174167</v>
      </c>
      <c r="O285" s="27">
        <v>825</v>
      </c>
      <c r="P285" s="28">
        <v>58.810989999999997</v>
      </c>
      <c r="Q285" s="22" cm="1">
        <f t="array" ref="Q285">IF(OR(_xll.BDP($AX285,"PX_last")="#N/A N/A",_xll.BDP($AX285,"PX_Last")="#N/A FIELD NOT APPLICABLE")," ",IF(F285="GBP",(_xll.BDP($AX285,"PX_LAST")/100),(_xll.BDP($AX285,"PX_LAST"))))</f>
        <v>51.06</v>
      </c>
      <c r="R285" s="29">
        <f>IF(F285="USD",AA285,(((_xll.BDP(F285&amp;"USD CURNCY","PX_LAST")))*AA285))</f>
        <v>55025.473601175006</v>
      </c>
      <c r="S285" s="29">
        <f>IF(F285="USD",AB285,(((_xll.BDP(F285&amp;"USD CURNCY","PX_LAST")))*AB285))</f>
        <v>47773.395450000004</v>
      </c>
      <c r="T285" s="12">
        <f>S285-R285</f>
        <v>-7252.0781511750029</v>
      </c>
      <c r="U285" s="13">
        <f>T285/R285</f>
        <v>-0.13179492472410348</v>
      </c>
      <c r="V285" s="13" cm="1">
        <f t="array" ref="V285">IFERROR(_xll.BDP($G285&amp;" Equity","CHG_PCT_1D")/100,"")</f>
        <v>1.0888930000000002E-2</v>
      </c>
      <c r="W285" s="13" cm="1">
        <f t="array" ref="W285">IFERROR(_xll.BDP($G285&amp;" Equity","CHG_PCT_5D")/100,"")</f>
        <v>-3.5147390000000001E-2</v>
      </c>
      <c r="X285" s="13" t="e">
        <f>S285/#REF!</f>
        <v>#REF!</v>
      </c>
      <c r="Y285" s="24">
        <f>IFERROR(S285*J285,0)</f>
        <v>3068.8745732313396</v>
      </c>
      <c r="Z285" s="24">
        <f>S285</f>
        <v>47773.395450000004</v>
      </c>
      <c r="AA285" s="29">
        <f>P285*O285</f>
        <v>48519.066749999998</v>
      </c>
      <c r="AB285" s="29">
        <f>IFERROR(O285*Q285,0)</f>
        <v>42124.5</v>
      </c>
      <c r="AC285" s="4" t="e" cm="1">
        <f t="array" ref="AC285">VLOOKUP(IF(NOT(_xll.BDP(AX285,$BW$8)="#N/A N/A"),(_xll.BDP(AX285,$BW$8)),"-"), '[1]Country Codes'!$A$2:$B$253,2,0)</f>
        <v>#N/A</v>
      </c>
      <c r="AD285" s="30" t="str" cm="1">
        <f t="array" ref="AD285">IF(OR(_xll.BDP($AX285,"EX028")= "#N/A N/A", _xll.BDP($AX285,"EX028")="#N/A FIELD NOT APPLICABLE"), " ", _xll.BDP($AX285,"EX028"))</f>
        <v>Equity</v>
      </c>
      <c r="AE285" s="31" t="str">
        <f>IF(("AS97"="Equity"), " ", "Single Line Equity")</f>
        <v>Single Line Equity</v>
      </c>
      <c r="AF285" s="26" cm="1">
        <f t="array" ref="AF285">IF(OR(_xll.BDP($AX285,"RR908")= "#N/A N/A", _xll.BDP($AX285,"RR908")="#N/A FIELD NOT APPLICABLE"), " ", _xll.BDP($AX285,"RR908"))</f>
        <v>4.4161332134096982</v>
      </c>
      <c r="AG285" s="26" cm="1">
        <f t="array" ref="AG285">IF(OR(_xll.BDP($AX285,"RR041")= "#N/A N/A", _xll.BDP($AX285,"RR041")="#N/A FIELD NOT APPLICABLE"), " ", _xll.BDP($AX285,"RR041"))</f>
        <v>17.949678969620333</v>
      </c>
      <c r="AH285" s="22">
        <f>_xll.BDP(AX285,"TOT_BUY_REC")</f>
        <v>18</v>
      </c>
      <c r="AI285" s="22">
        <f>_xll.BDP(AX285,"TOT_HOLD_REC")</f>
        <v>8</v>
      </c>
      <c r="AJ285" s="22">
        <f>_xll.BDP(AX285,"TOT_SELL_REC")</f>
        <v>2</v>
      </c>
      <c r="AK285" s="26" cm="1">
        <f t="array" ref="AK285">IF(OR(_xll.BDP($AX285,"EE201")= "#N/A N/A", _xll.BDP($AX285,"EE201")="#N/A FIELD NOT APPLICABLE"), " ", _xll.BDP($AX285,"EE201"))</f>
        <v>4.1071429252624512</v>
      </c>
      <c r="AL285" s="24">
        <f>_xll.BDP(AX285,"BEST_TARGET_PRICE")</f>
        <v>63.761539459228516</v>
      </c>
      <c r="AM285" s="32">
        <f>(AL285/Q285)-1</f>
        <v>0.24875713786189801</v>
      </c>
      <c r="AN285" s="32">
        <f>_xll.BDP(AX285,"PR061")/100</f>
        <v>-3.7874500000000005E-2</v>
      </c>
      <c r="AO285" s="32">
        <f>_xll.BDP(AX285,"PR064")/100</f>
        <v>-0.1288176</v>
      </c>
      <c r="AP285" s="32">
        <f>_xll.BDP(AX285,"CHG_PCT_6M")/100</f>
        <v>-0.11307969999999999</v>
      </c>
      <c r="AQ285" s="25">
        <f>_xll.BDP(AX285,"PR079")/100</f>
        <v>-4.3282720000000004E-2</v>
      </c>
      <c r="AR285" s="33">
        <f>_xll.BDP(AX285,"hs001")</f>
        <v>69.2</v>
      </c>
      <c r="AS285" s="33">
        <f>_xll.BDP(AX285,"hs002")</f>
        <v>47.645000000000003</v>
      </c>
      <c r="AT285" s="22" t="str" cm="1">
        <f t="array" ref="AT285">IF(OR(_xll.BDP($AX285,"DX202")= "#N/A N/A", _xll.BDP($AX285,"DX202")="#N/A FIELD NOT APPLICABLE"), " ", _xll.BDP($AX285,"DX202"))</f>
        <v>Energy</v>
      </c>
      <c r="AU285" s="22" t="str" cm="1">
        <f t="array" ref="AU285">IF(OR(_xll.BDP($AX285,"DY997")= "#N/A N/A", _xll.BDP($AX285,"DY997")="#N/A FIELD NOT APPLICABLE"), " ", _xll.BDP($AX285,"DY997"))</f>
        <v>Y</v>
      </c>
      <c r="AV285" s="22" t="str" cm="1">
        <f t="array" ref="AV285">IF(OR(_xll.BDP($AX285,"DY784")= "#N/A N/A", _xll.BDP($AX285,"DY784")="#N/A FIELD NOT APPLICABLE"), " ", _xll.BDP($AX285,"DY784"))</f>
        <v>N</v>
      </c>
      <c r="AW285" s="22" t="str">
        <f>IF(OR(AU285="Y",AV285="Y"),"Y","N")</f>
        <v>Y</v>
      </c>
      <c r="AX285" s="22" t="str">
        <f>CONCATENATE(G285," ",$AX$2)</f>
        <v>TTE FP Equity</v>
      </c>
      <c r="BC285" s="17" t="str" cm="1">
        <f t="array" ref="BC285">_xll.BDP(AX285,"ID005")</f>
        <v>FR0000120271</v>
      </c>
      <c r="BD285" s="17">
        <v>0.7</v>
      </c>
      <c r="BE285" s="18">
        <v>4</v>
      </c>
      <c r="BF285" s="19">
        <v>45561</v>
      </c>
      <c r="BG285" s="20">
        <v>1</v>
      </c>
    </row>
    <row r="286" spans="1:59" s="3" customFormat="1" ht="14.45" customHeight="1" x14ac:dyDescent="0.25">
      <c r="A286" s="49" t="s">
        <v>241</v>
      </c>
      <c r="B286" s="49" t="s">
        <v>272</v>
      </c>
      <c r="C286" s="49">
        <v>2620061.0010000002</v>
      </c>
      <c r="D286" s="49" t="s">
        <v>240</v>
      </c>
      <c r="E286" s="22" t="str">
        <f>_xll.BDP(AX286,"SECURITY NAME")</f>
        <v>TotalEnergies SE</v>
      </c>
      <c r="F286" s="22" t="str">
        <f>_xll.BDP(AX286,"CRNCY")</f>
        <v>EUR</v>
      </c>
      <c r="G286" s="23" t="s">
        <v>329</v>
      </c>
      <c r="H286" s="22" t="str" cm="1">
        <f t="array" ref="H286">IF(OR(_xll.BDP($AX286,"DX202")= "#N/A N/A", _xll.BDP($AX286,"DX202")="#N/A FIELD NOT APPLICABLE"), " ", _xll.BDP($AX286,"DX202"))</f>
        <v>Energy</v>
      </c>
      <c r="I286" s="24">
        <f>_xll.BDP(AX286,"CRNCY_ADJ_MKT_CAP", "EQY_FUND_CRNCY=USD")/1000</f>
        <v>131.45252994387337</v>
      </c>
      <c r="J286" s="25">
        <f>IFERROR(_xll.BDP(AX286, "DV013")/100,0)</f>
        <v>6.4238150634347249E-2</v>
      </c>
      <c r="K286" s="26" cm="1">
        <f t="array" ref="K286">IF(OR(_xll.BDP($AX286,"RR900")= "#N/A N/A", _xll.BDP($AX286,"RR900")="#N/A FIELD NOT APPLICABLE"), " ", _xll.BDP($AX286,"RR900"))</f>
        <v>9.7356558104022497</v>
      </c>
      <c r="L286" s="26" cm="1">
        <f t="array" ref="L286">IF(OR(_xll.BDP($AX286,"EE010")= "#N/A N/A", _xll.BDP($AX286,"EE010")="#N/A FIELD NOT APPLICABLE"), " ", _xll.BDP($AX286,"EE010"))</f>
        <v>7.5121377078122711</v>
      </c>
      <c r="M286" s="26" cm="1">
        <f t="array" ref="M286">IF(OR(_xll.BDP($AX286,"RR903")= "#N/A N/A", _xll.BDP($AX286,"RR903")="#N/A FIELD NOT APPLICABLE"), " ", _xll.BDP($AX286,"RR903"))</f>
        <v>1.1045343138620547</v>
      </c>
      <c r="N286" s="26" cm="1">
        <f t="array" ref="N286">IF(OR(_xll.BDP($AX286,"RR957")= "#N/A N/A", _xll.BDP($AX286,"RR957")="#N/A FIELD NOT APPLICABLE"), " ", _xll.BDP($AX286,"RR957"))</f>
        <v>3.8610349326174167</v>
      </c>
      <c r="O286" s="27">
        <v>825</v>
      </c>
      <c r="P286" s="28">
        <v>58.810989999999997</v>
      </c>
      <c r="Q286" s="22" cm="1">
        <f t="array" ref="Q286">IF(OR(_xll.BDP($AX286,"PX_last")="#N/A N/A",_xll.BDP($AX286,"PX_Last")="#N/A FIELD NOT APPLICABLE")," ",IF(F286="GBP",(_xll.BDP($AX286,"PX_LAST")/100),(_xll.BDP($AX286,"PX_LAST"))))</f>
        <v>51.06</v>
      </c>
      <c r="R286" s="29">
        <f>IF(F286="USD",AA286,(((_xll.BDP(F286&amp;"USD CURNCY","PX_LAST")))*AA286))</f>
        <v>55025.473601175006</v>
      </c>
      <c r="S286" s="29">
        <f>IF(F286="USD",AB286,(((_xll.BDP(F286&amp;"USD CURNCY","PX_LAST")))*AB286))</f>
        <v>47773.395450000004</v>
      </c>
      <c r="T286" s="12">
        <f>S286-R286</f>
        <v>-7252.0781511750029</v>
      </c>
      <c r="U286" s="13">
        <f>IFERROR(T286/R286,0)</f>
        <v>-0.13179492472410348</v>
      </c>
      <c r="V286" s="13" cm="1">
        <f t="array" ref="V286">IFERROR(_xll.BDP($G286&amp;" Equity","CHG_PCT_1D")/100,"")</f>
        <v>1.0888930000000002E-2</v>
      </c>
      <c r="W286" s="13" cm="1">
        <f t="array" ref="W286">IFERROR(_xll.BDP($G286&amp;" Equity","CHG_PCT_5D")/100,"")</f>
        <v>-3.5147390000000001E-2</v>
      </c>
      <c r="X286" s="13" t="e">
        <f>S286/#REF!</f>
        <v>#REF!</v>
      </c>
      <c r="Y286" s="24">
        <f>IFERROR(S286*J286,0)</f>
        <v>3068.8745732313396</v>
      </c>
      <c r="Z286" s="24">
        <f>S286</f>
        <v>47773.395450000004</v>
      </c>
      <c r="AA286" s="29">
        <f>P286*O286</f>
        <v>48519.066749999998</v>
      </c>
      <c r="AB286" s="29">
        <f>IFERROR(O286*Q286,0)</f>
        <v>42124.5</v>
      </c>
      <c r="AC286" s="4" t="e" cm="1">
        <f t="array" ref="AC286">VLOOKUP(IF(NOT(_xll.BDP(AX286,$BW$8)="#N/A N/A"),(_xll.BDP(AX286,$BW$8)),"-"), '[1]Country Codes'!$A$2:$B$253,2,0)</f>
        <v>#N/A</v>
      </c>
      <c r="AD286" s="30" t="str" cm="1">
        <f t="array" ref="AD286">IF(OR(_xll.BDP($AX286,"EX028")= "#N/A N/A", _xll.BDP($AX286,"EX028")="#N/A FIELD NOT APPLICABLE"), " ", _xll.BDP($AX286,"EX028"))</f>
        <v>Equity</v>
      </c>
      <c r="AE286" s="31" t="str">
        <f>IF(("AS97"="Equity"), " ", "Single Line Equity")</f>
        <v>Single Line Equity</v>
      </c>
      <c r="AF286" s="26" cm="1">
        <f t="array" ref="AF286">IF(OR(_xll.BDP($AX286,"RR908")= "#N/A N/A", _xll.BDP($AX286,"RR908")="#N/A FIELD NOT APPLICABLE"), " ", _xll.BDP($AX286,"RR908"))</f>
        <v>4.4161332134096982</v>
      </c>
      <c r="AG286" s="26" cm="1">
        <f t="array" ref="AG286">IF(OR(_xll.BDP($AX286,"RR041")= "#N/A N/A", _xll.BDP($AX286,"RR041")="#N/A FIELD NOT APPLICABLE"), " ", _xll.BDP($AX286,"RR041"))</f>
        <v>17.949678969620333</v>
      </c>
      <c r="AH286" s="22">
        <f>_xll.BDP(AX286,"TOT_BUY_REC")</f>
        <v>18</v>
      </c>
      <c r="AI286" s="22">
        <f>_xll.BDP(AX286,"TOT_HOLD_REC")</f>
        <v>8</v>
      </c>
      <c r="AJ286" s="22">
        <f>_xll.BDP(AX286,"TOT_SELL_REC")</f>
        <v>2</v>
      </c>
      <c r="AK286" s="26" cm="1">
        <f t="array" ref="AK286">IF(OR(_xll.BDP($AX286,"EE201")= "#N/A N/A", _xll.BDP($AX286,"EE201")="#N/A FIELD NOT APPLICABLE"), " ", _xll.BDP($AX286,"EE201"))</f>
        <v>4.1071429252624512</v>
      </c>
      <c r="AL286" s="24">
        <f>_xll.BDP(AX286,"BEST_TARGET_PRICE")</f>
        <v>63.761539459228516</v>
      </c>
      <c r="AM286" s="32">
        <f>(AL286/Q286)-1</f>
        <v>0.24875713786189801</v>
      </c>
      <c r="AN286" s="32">
        <f>_xll.BDP(AX286,"PR061")/100</f>
        <v>-3.7874500000000005E-2</v>
      </c>
      <c r="AO286" s="32">
        <f>_xll.BDP(AX286,"PR064")/100</f>
        <v>-0.1288176</v>
      </c>
      <c r="AP286" s="32">
        <f>_xll.BDP(AX286,"CHG_PCT_6M")/100</f>
        <v>-0.11307969999999999</v>
      </c>
      <c r="AQ286" s="25">
        <f>_xll.BDP(AX286,"PR079")/100</f>
        <v>-4.3282720000000004E-2</v>
      </c>
      <c r="AR286" s="33">
        <f>_xll.BDP(AX286,"hs001")</f>
        <v>69.2</v>
      </c>
      <c r="AS286" s="33">
        <f>_xll.BDP(AX286,"hs002")</f>
        <v>47.645000000000003</v>
      </c>
      <c r="AT286" s="22" t="str" cm="1">
        <f t="array" ref="AT286">IF(OR(_xll.BDP($AX286,"DX202")= "#N/A N/A", _xll.BDP($AX286,"DX202")="#N/A FIELD NOT APPLICABLE"), " ", _xll.BDP($AX286,"DX202"))</f>
        <v>Energy</v>
      </c>
      <c r="AU286" s="22" t="str" cm="1">
        <f t="array" ref="AU286">IF(OR(_xll.BDP($AX286,"DY997")= "#N/A N/A", _xll.BDP($AX286,"DY997")="#N/A FIELD NOT APPLICABLE"), " ", _xll.BDP($AX286,"DY997"))</f>
        <v>Y</v>
      </c>
      <c r="AV286" s="22" t="str" cm="1">
        <f t="array" ref="AV286">IF(OR(_xll.BDP($AX286,"DY784")= "#N/A N/A", _xll.BDP($AX286,"DY784")="#N/A FIELD NOT APPLICABLE"), " ", _xll.BDP($AX286,"DY784"))</f>
        <v>N</v>
      </c>
      <c r="AW286" s="22" t="str">
        <f>IF(OR(AU286="Y",AV286="Y"),"Y","N")</f>
        <v>Y</v>
      </c>
      <c r="AX286" s="22" t="str">
        <f>CONCATENATE(G286," ",$AX$2)</f>
        <v>TTE FP Equity</v>
      </c>
      <c r="BC286" s="17" t="str" cm="1">
        <f t="array" ref="BC286">_xll.BDP(AX286,"ID005")</f>
        <v>FR0000120271</v>
      </c>
      <c r="BD286" s="17">
        <v>0</v>
      </c>
      <c r="BE286" s="18">
        <v>4</v>
      </c>
      <c r="BF286" s="19">
        <v>45324</v>
      </c>
      <c r="BG286" s="20">
        <v>1</v>
      </c>
    </row>
    <row r="287" spans="1:59" s="3" customFormat="1" ht="14.45" customHeight="1" x14ac:dyDescent="0.25">
      <c r="A287" s="49" t="s">
        <v>241</v>
      </c>
      <c r="B287" s="49" t="s">
        <v>273</v>
      </c>
      <c r="C287" s="49">
        <v>2620058.003</v>
      </c>
      <c r="D287" s="49" t="s">
        <v>240</v>
      </c>
      <c r="E287" s="22" t="str">
        <f>_xll.BDP(AX287,"SECURITY NAME")</f>
        <v>TotalEnergies SE</v>
      </c>
      <c r="F287" s="22" t="str">
        <f>_xll.BDP(AX287,"CRNCY")</f>
        <v>EUR</v>
      </c>
      <c r="G287" s="23" t="s">
        <v>329</v>
      </c>
      <c r="H287" s="22" t="str" cm="1">
        <f t="array" ref="H287">IF(OR(_xll.BDP($AX287,"DX202")= "#N/A N/A", _xll.BDP($AX287,"DX202")="#N/A FIELD NOT APPLICABLE"), " ", _xll.BDP($AX287,"DX202"))</f>
        <v>Energy</v>
      </c>
      <c r="I287" s="24"/>
      <c r="J287" s="25">
        <f>IFERROR(_xll.BDP(AX287, "DV013")/100,0)</f>
        <v>6.4238150634347249E-2</v>
      </c>
      <c r="K287" s="26" cm="1">
        <f t="array" ref="K287">IF(OR(_xll.BDP($AX287,"RR900")= "#N/A N/A", _xll.BDP($AX287,"RR900")="#N/A FIELD NOT APPLICABLE"), " ", _xll.BDP($AX287,"RR900"))</f>
        <v>9.7356558104022497</v>
      </c>
      <c r="L287" s="26" cm="1">
        <f t="array" ref="L287">IF(OR(_xll.BDP($AX287,"EE010")= "#N/A N/A", _xll.BDP($AX287,"EE010")="#N/A FIELD NOT APPLICABLE"), " ", _xll.BDP($AX287,"EE010"))</f>
        <v>7.5121377078122711</v>
      </c>
      <c r="M287" s="26" cm="1">
        <f t="array" ref="M287">IF(OR(_xll.BDP($AX287,"RR903")= "#N/A N/A", _xll.BDP($AX287,"RR903")="#N/A FIELD NOT APPLICABLE"), " ", _xll.BDP($AX287,"RR903"))</f>
        <v>1.1045343138620547</v>
      </c>
      <c r="N287" s="26" cm="1">
        <f t="array" ref="N287">IF(OR(_xll.BDP($AX287,"RR957")= "#N/A N/A", _xll.BDP($AX287,"RR957")="#N/A FIELD NOT APPLICABLE"), " ", _xll.BDP($AX287,"RR957"))</f>
        <v>3.8610349326174167</v>
      </c>
      <c r="O287" s="27">
        <v>825</v>
      </c>
      <c r="P287" s="28">
        <v>58.810989999999997</v>
      </c>
      <c r="Q287" s="22" cm="1">
        <f t="array" ref="Q287">IF(OR(_xll.BDP($AX287,"PX_last")="#N/A N/A",_xll.BDP($AX287,"PX_Last")="#N/A FIELD NOT APPLICABLE")," ",IF(F287="GBP",(_xll.BDP($AX287,"PX_LAST")/100),(_xll.BDP($AX287,"PX_LAST"))))</f>
        <v>51.06</v>
      </c>
      <c r="R287" s="29">
        <f>IF(F287="USD",AA287,(((_xll.BDP(F287&amp;"USD CURNCY","PX_LAST")))*AA287))</f>
        <v>55025.473601175006</v>
      </c>
      <c r="S287" s="29">
        <f>IF(F287="USD",AB287,(((_xll.BDP(F287&amp;"USD CURNCY","PX_LAST")))*AB287))</f>
        <v>47773.395450000004</v>
      </c>
      <c r="T287" s="12">
        <f>S287-R287</f>
        <v>-7252.0781511750029</v>
      </c>
      <c r="U287" s="13">
        <f>T287/R287</f>
        <v>-0.13179492472410348</v>
      </c>
      <c r="V287" s="13" cm="1">
        <f t="array" ref="V287">IFERROR(_xll.BDP($G287&amp;" Equity","CHG_PCT_1D")/100,"")</f>
        <v>1.0888930000000002E-2</v>
      </c>
      <c r="W287" s="13" cm="1">
        <f t="array" ref="W287">IFERROR(_xll.BDP($G287&amp;" Equity","CHG_PCT_5D")/100,"")</f>
        <v>-3.5147390000000001E-2</v>
      </c>
      <c r="X287" s="13" t="e">
        <f>S287/#REF!</f>
        <v>#REF!</v>
      </c>
      <c r="Y287" s="24">
        <f>IFERROR(S287*J287,0)</f>
        <v>3068.8745732313396</v>
      </c>
      <c r="Z287" s="24">
        <f>S287</f>
        <v>47773.395450000004</v>
      </c>
      <c r="AA287" s="29">
        <f>P287*O287</f>
        <v>48519.066749999998</v>
      </c>
      <c r="AB287" s="29">
        <f>IFERROR(O287*Q287,0)</f>
        <v>42124.5</v>
      </c>
      <c r="AC287" s="4" t="e" cm="1">
        <f t="array" ref="AC287">VLOOKUP(IF(NOT(_xll.BDP(AX287,$BW$8)="#N/A N/A"),(_xll.BDP(AX287,$BW$8)),"-"), '[1]Country Codes'!$A$2:$B$253,2,0)</f>
        <v>#N/A</v>
      </c>
      <c r="AD287" s="30" t="str" cm="1">
        <f t="array" ref="AD287">IF(OR(_xll.BDP($AX287,"EX028")= "#N/A N/A", _xll.BDP($AX287,"EX028")="#N/A FIELD NOT APPLICABLE"), " ", _xll.BDP($AX287,"EX028"))</f>
        <v>Equity</v>
      </c>
      <c r="AE287" s="31" t="str">
        <f>IF(("AS97"="Equity"), " ", "Single Line Equity")</f>
        <v>Single Line Equity</v>
      </c>
      <c r="AF287" s="26" cm="1">
        <f t="array" ref="AF287">IF(OR(_xll.BDP($AX287,"RR908")= "#N/A N/A", _xll.BDP($AX287,"RR908")="#N/A FIELD NOT APPLICABLE"), " ", _xll.BDP($AX287,"RR908"))</f>
        <v>4.4161332134096982</v>
      </c>
      <c r="AG287" s="26" cm="1">
        <f t="array" ref="AG287">IF(OR(_xll.BDP($AX287,"RR041")= "#N/A N/A", _xll.BDP($AX287,"RR041")="#N/A FIELD NOT APPLICABLE"), " ", _xll.BDP($AX287,"RR041"))</f>
        <v>17.949678969620333</v>
      </c>
      <c r="AH287" s="22">
        <f>_xll.BDP(AX287,"TOT_BUY_REC")</f>
        <v>18</v>
      </c>
      <c r="AI287" s="22">
        <f>_xll.BDP(AX287,"TOT_HOLD_REC")</f>
        <v>8</v>
      </c>
      <c r="AJ287" s="22">
        <f>_xll.BDP(AX287,"TOT_SELL_REC")</f>
        <v>2</v>
      </c>
      <c r="AK287" s="26" cm="1">
        <f t="array" ref="AK287">IF(OR(_xll.BDP($AX287,"EE201")= "#N/A N/A", _xll.BDP($AX287,"EE201")="#N/A FIELD NOT APPLICABLE"), " ", _xll.BDP($AX287,"EE201"))</f>
        <v>4.1071429252624512</v>
      </c>
      <c r="AL287" s="24">
        <f>_xll.BDP(AX287,"BEST_TARGET_PRICE")</f>
        <v>63.761539459228516</v>
      </c>
      <c r="AM287" s="32">
        <f>(AL287/Q287)-1</f>
        <v>0.24875713786189801</v>
      </c>
      <c r="AN287" s="32">
        <f>_xll.BDP(AX287,"PR061")/100</f>
        <v>-3.7874500000000005E-2</v>
      </c>
      <c r="AO287" s="32">
        <f>_xll.BDP(AX287,"PR064")/100</f>
        <v>-0.1288176</v>
      </c>
      <c r="AP287" s="32">
        <f>_xll.BDP(AX287,"CHG_PCT_6M")/100</f>
        <v>-0.11307969999999999</v>
      </c>
      <c r="AQ287" s="25">
        <f>_xll.BDP(AX287,"PR079")/100</f>
        <v>-4.3282720000000004E-2</v>
      </c>
      <c r="AR287" s="33">
        <f>_xll.BDP(AX287,"hs001")</f>
        <v>69.2</v>
      </c>
      <c r="AS287" s="33">
        <f>_xll.BDP(AX287,"hs002")</f>
        <v>47.645000000000003</v>
      </c>
      <c r="AT287" s="22" t="str" cm="1">
        <f t="array" ref="AT287">IF(OR(_xll.BDP($AX287,"DX202")= "#N/A N/A", _xll.BDP($AX287,"DX202")="#N/A FIELD NOT APPLICABLE"), " ", _xll.BDP($AX287,"DX202"))</f>
        <v>Energy</v>
      </c>
      <c r="AU287" s="22" t="str" cm="1">
        <f t="array" ref="AU287">IF(OR(_xll.BDP($AX287,"DY997")= "#N/A N/A", _xll.BDP($AX287,"DY997")="#N/A FIELD NOT APPLICABLE"), " ", _xll.BDP($AX287,"DY997"))</f>
        <v>Y</v>
      </c>
      <c r="AV287" s="22" t="str" cm="1">
        <f t="array" ref="AV287">IF(OR(_xll.BDP($AX287,"DY784")= "#N/A N/A", _xll.BDP($AX287,"DY784")="#N/A FIELD NOT APPLICABLE"), " ", _xll.BDP($AX287,"DY784"))</f>
        <v>N</v>
      </c>
      <c r="AW287" s="22" t="str">
        <f>IF(OR(AU287="Y",AV287="Y"),"Y","N")</f>
        <v>Y</v>
      </c>
      <c r="AX287" s="22" t="str">
        <f>CONCATENATE(G287," ",$AX$2)</f>
        <v>TTE FP Equity</v>
      </c>
      <c r="BC287" s="17"/>
      <c r="BD287" s="17"/>
      <c r="BE287" s="18"/>
      <c r="BF287" s="19"/>
      <c r="BG287" s="20"/>
    </row>
    <row r="288" spans="1:59" s="3" customFormat="1" ht="14.45" customHeight="1" x14ac:dyDescent="0.25">
      <c r="A288" s="81" t="s">
        <v>241</v>
      </c>
      <c r="B288" s="81" t="s">
        <v>276</v>
      </c>
      <c r="C288" s="81" t="s">
        <v>277</v>
      </c>
      <c r="D288" s="81" t="s">
        <v>240</v>
      </c>
      <c r="E288" s="40" t="str">
        <f>_xll.BDP(AX288,"SECURITY NAME")</f>
        <v>TotalEnergies SE</v>
      </c>
      <c r="F288" s="40" t="str">
        <f>_xll.BDP(AX288,"CRNCY")</f>
        <v>EUR</v>
      </c>
      <c r="G288" s="23" t="s">
        <v>329</v>
      </c>
      <c r="H288" s="40" t="str" cm="1">
        <f t="array" ref="H288">IF(OR(_xll.BDP($AX288,"DX202")= "#N/A N/A", _xll.BDP($AX288,"DX202")="#N/A FIELD NOT APPLICABLE"), " ", _xll.BDP($AX288,"DX202"))</f>
        <v>Energy</v>
      </c>
      <c r="I288" s="82">
        <f>_xll.BDP(AX288,"CRNCY_ADJ_MKT_CAP", "EQY_FUND_CRNCY=USD")/1000</f>
        <v>131.45252994387337</v>
      </c>
      <c r="J288" s="83">
        <f>IFERROR(_xll.BDP(AX288, "DV013")/100,0)</f>
        <v>6.4238150634347249E-2</v>
      </c>
      <c r="K288" s="84" cm="1">
        <f t="array" ref="K288">IF(OR(_xll.BDP($AX288,"RR900")= "#N/A N/A", _xll.BDP($AX288,"RR900")="#N/A FIELD NOT APPLICABLE"), " ", _xll.BDP($AX288,"RR900"))</f>
        <v>9.7356558104022497</v>
      </c>
      <c r="L288" s="84" cm="1">
        <f t="array" ref="L288">IF(OR(_xll.BDP($AX288,"EE010")= "#N/A N/A", _xll.BDP($AX288,"EE010")="#N/A FIELD NOT APPLICABLE"), " ", _xll.BDP($AX288,"EE010"))</f>
        <v>7.5121377078122711</v>
      </c>
      <c r="M288" s="84" cm="1">
        <f t="array" ref="M288">IF(OR(_xll.BDP($AX288,"RR903")= "#N/A N/A", _xll.BDP($AX288,"RR903")="#N/A FIELD NOT APPLICABLE"), " ", _xll.BDP($AX288,"RR903"))</f>
        <v>1.1045343138620547</v>
      </c>
      <c r="N288" s="84" cm="1">
        <f t="array" ref="N288">IF(OR(_xll.BDP($AX288,"RR957")= "#N/A N/A", _xll.BDP($AX288,"RR957")="#N/A FIELD NOT APPLICABLE"), " ", _xll.BDP($AX288,"RR957"))</f>
        <v>3.8610349326174167</v>
      </c>
      <c r="O288" s="27">
        <v>1650</v>
      </c>
      <c r="P288" s="28">
        <v>58.810989999999997</v>
      </c>
      <c r="Q288" s="40" cm="1">
        <f t="array" ref="Q288">IF(OR(_xll.BDP($AX288,"PX_last")="#N/A N/A",_xll.BDP($AX288,"PX_Last")="#N/A FIELD NOT APPLICABLE")," ",IF(F288="GBP",(_xll.BDP($AX288,"PX_LAST")/100),(_xll.BDP($AX288,"PX_LAST"))))</f>
        <v>51.06</v>
      </c>
      <c r="R288" s="85">
        <f>IF(F288="USD",AA288,(((_xll.BDP(F288&amp;"USD CURNCY","PX_LAST")))*AA288))</f>
        <v>110050.94720235001</v>
      </c>
      <c r="S288" s="85">
        <f>IF(F288="USD",AB288,(((_xll.BDP(F288&amp;"USD CURNCY","PX_LAST")))*AB288))</f>
        <v>95546.790900000007</v>
      </c>
      <c r="T288" s="86">
        <f>S288-R288</f>
        <v>-14504.156302350006</v>
      </c>
      <c r="U288" s="87">
        <f>T288/R288</f>
        <v>-0.13179492472410348</v>
      </c>
      <c r="V288" s="87" cm="1">
        <f t="array" ref="V288">IFERROR(_xll.BDP($G288&amp;" Equity","CHG_PCT_1D")/100,"")</f>
        <v>1.0888930000000002E-2</v>
      </c>
      <c r="W288" s="87" cm="1">
        <f t="array" ref="W288">IFERROR(_xll.BDP($G288&amp;" Equity","CHG_PCT_5D")/100,"")</f>
        <v>-3.5147390000000001E-2</v>
      </c>
      <c r="X288" s="87" t="e">
        <f>S288/#REF!</f>
        <v>#REF!</v>
      </c>
      <c r="Y288" s="82">
        <f>IFERROR(S288*J288,0)</f>
        <v>6137.7491464626792</v>
      </c>
      <c r="Z288" s="82">
        <f>S288</f>
        <v>95546.790900000007</v>
      </c>
      <c r="AA288" s="85">
        <f>P288*O288</f>
        <v>97038.133499999996</v>
      </c>
      <c r="AB288" s="85">
        <f>IFERROR(O288*Q288,0)</f>
        <v>84249</v>
      </c>
      <c r="AC288" s="88" t="e" cm="1">
        <f t="array" ref="AC288">VLOOKUP(IF(NOT(_xll.BDP(AX288,$BW$8)="#N/A N/A"),(_xll.BDP(AX288,$BW$8)),"-"), '[1]Country Codes'!$A$2:$B$253,2,0)</f>
        <v>#N/A</v>
      </c>
      <c r="AD288" s="89" t="str" cm="1">
        <f t="array" ref="AD288">IF(OR(_xll.BDP($AX288,"EX028")= "#N/A N/A", _xll.BDP($AX288,"EX028")="#N/A FIELD NOT APPLICABLE"), " ", _xll.BDP($AX288,"EX028"))</f>
        <v>Equity</v>
      </c>
      <c r="AE288" s="90" t="str">
        <f>IF(("AS97"="Equity"), " ", "Single Line Equity")</f>
        <v>Single Line Equity</v>
      </c>
      <c r="AF288" s="84" cm="1">
        <f t="array" ref="AF288">IF(OR(_xll.BDP($AX288,"RR908")= "#N/A N/A", _xll.BDP($AX288,"RR908")="#N/A FIELD NOT APPLICABLE"), " ", _xll.BDP($AX288,"RR908"))</f>
        <v>4.4161332134096982</v>
      </c>
      <c r="AG288" s="84" cm="1">
        <f t="array" ref="AG288">IF(OR(_xll.BDP($AX288,"RR041")= "#N/A N/A", _xll.BDP($AX288,"RR041")="#N/A FIELD NOT APPLICABLE"), " ", _xll.BDP($AX288,"RR041"))</f>
        <v>17.949678969620333</v>
      </c>
      <c r="AH288" s="40">
        <f>_xll.BDP(AX288,"TOT_BUY_REC")</f>
        <v>18</v>
      </c>
      <c r="AI288" s="40">
        <f>_xll.BDP(AX288,"TOT_HOLD_REC")</f>
        <v>8</v>
      </c>
      <c r="AJ288" s="40">
        <f>_xll.BDP(AX288,"TOT_SELL_REC")</f>
        <v>2</v>
      </c>
      <c r="AK288" s="84" cm="1">
        <f t="array" ref="AK288">IF(OR(_xll.BDP($AX288,"EE201")= "#N/A N/A", _xll.BDP($AX288,"EE201")="#N/A FIELD NOT APPLICABLE"), " ", _xll.BDP($AX288,"EE201"))</f>
        <v>4.1071429252624512</v>
      </c>
      <c r="AL288" s="82">
        <f>_xll.BDP(AX288,"BEST_TARGET_PRICE")</f>
        <v>63.761539459228516</v>
      </c>
      <c r="AM288" s="91">
        <f>(AL288/Q288)-1</f>
        <v>0.24875713786189801</v>
      </c>
      <c r="AN288" s="91">
        <f>_xll.BDP(AX288,"PR061")/100</f>
        <v>-3.7874500000000005E-2</v>
      </c>
      <c r="AO288" s="91">
        <f>_xll.BDP(AX288,"PR064")/100</f>
        <v>-0.1288176</v>
      </c>
      <c r="AP288" s="91">
        <f>_xll.BDP(AX288,"CHG_PCT_6M")/100</f>
        <v>-0.11307969999999999</v>
      </c>
      <c r="AQ288" s="83">
        <f>_xll.BDP(AX288,"PR079")/100</f>
        <v>-4.3282720000000004E-2</v>
      </c>
      <c r="AR288" s="92">
        <f>_xll.BDP(AX288,"hs001")</f>
        <v>69.2</v>
      </c>
      <c r="AS288" s="92">
        <f>_xll.BDP(AX288,"hs002")</f>
        <v>47.645000000000003</v>
      </c>
      <c r="AT288" s="40" t="str" cm="1">
        <f t="array" ref="AT288">IF(OR(_xll.BDP($AX288,"DX202")= "#N/A N/A", _xll.BDP($AX288,"DX202")="#N/A FIELD NOT APPLICABLE"), " ", _xll.BDP($AX288,"DX202"))</f>
        <v>Energy</v>
      </c>
      <c r="AU288" s="40" t="str" cm="1">
        <f t="array" ref="AU288">IF(OR(_xll.BDP($AX288,"DY997")= "#N/A N/A", _xll.BDP($AX288,"DY997")="#N/A FIELD NOT APPLICABLE"), " ", _xll.BDP($AX288,"DY997"))</f>
        <v>Y</v>
      </c>
      <c r="AV288" s="40" t="str" cm="1">
        <f t="array" ref="AV288">IF(OR(_xll.BDP($AX288,"DY784")= "#N/A N/A", _xll.BDP($AX288,"DY784")="#N/A FIELD NOT APPLICABLE"), " ", _xll.BDP($AX288,"DY784"))</f>
        <v>N</v>
      </c>
      <c r="AW288" s="40" t="str">
        <f>IF(OR(AU288="Y",AV288="Y"),"Y","N")</f>
        <v>Y</v>
      </c>
      <c r="AX288" s="40" t="str">
        <f>CONCATENATE(G288," ",$AX$2)</f>
        <v>TTE FP Equity</v>
      </c>
      <c r="BC288" s="17"/>
      <c r="BD288" s="17"/>
      <c r="BE288" s="18"/>
      <c r="BF288" s="19"/>
      <c r="BG288" s="20"/>
    </row>
    <row r="289" spans="1:59" s="93" customFormat="1" ht="14.45" customHeight="1" x14ac:dyDescent="0.25">
      <c r="A289" s="49" t="s">
        <v>241</v>
      </c>
      <c r="B289" s="49" t="s">
        <v>249</v>
      </c>
      <c r="C289" s="49" t="s">
        <v>250</v>
      </c>
      <c r="D289" s="49" t="s">
        <v>240</v>
      </c>
      <c r="E289" s="22" t="str">
        <f>_xll.BDP(AX289,"SECURITY NAME")</f>
        <v>Volkswagen AG</v>
      </c>
      <c r="F289" s="22" t="str">
        <f>_xll.BDP(AX289,"CRNCY")</f>
        <v>EUR</v>
      </c>
      <c r="G289" s="23" t="s">
        <v>153</v>
      </c>
      <c r="H289" s="22" t="str" cm="1">
        <f t="array" ref="H289">IF(OR(_xll.BDP($AX289,"DX202")= "#N/A N/A", _xll.BDP($AX289,"DX202")="#N/A FIELD NOT APPLICABLE"), " ", _xll.BDP($AX289,"DX202"))</f>
        <v>Consumer Discretionary</v>
      </c>
      <c r="I289" s="24">
        <f>_xll.BDP(AX289,"CRNCY_ADJ_MKT_CAP", "EQY_FUND_CRNCY=USD")/1000</f>
        <v>55.308670110187407</v>
      </c>
      <c r="J289" s="25">
        <f>IFERROR(_xll.BDP(AX289, "DV013")/100,0)</f>
        <v>6.616729227543075E-2</v>
      </c>
      <c r="K289" s="26" cm="1">
        <f t="array" ref="K289">IF(OR(_xll.BDP($AX289,"RR900")= "#N/A N/A", _xll.BDP($AX289,"RR900")="#N/A FIELD NOT APPLICABLE"), " ", _xll.BDP($AX289,"RR900"))</f>
        <v>4.8642985117778341</v>
      </c>
      <c r="L289" s="26" cm="1">
        <f t="array" ref="L289">IF(OR(_xll.BDP($AX289,"EE010")= "#N/A N/A", _xll.BDP($AX289,"EE010")="#N/A FIELD NOT APPLICABLE"), " ", _xll.BDP($AX289,"EE010"))</f>
        <v>3.7134909596662031</v>
      </c>
      <c r="M289" s="26" cm="1">
        <f t="array" ref="M289">IF(OR(_xll.BDP($AX289,"RR903")= "#N/A N/A", _xll.BDP($AX289,"RR903")="#N/A FIELD NOT APPLICABLE"), " ", _xll.BDP($AX289,"RR903"))</f>
        <v>0.28056983344634595</v>
      </c>
      <c r="N289" s="26" cm="1">
        <f t="array" ref="N289">IF(OR(_xll.BDP($AX289,"RR957")= "#N/A N/A", _xll.BDP($AX289,"RR957")="#N/A FIELD NOT APPLICABLE"), " ", _xll.BDP($AX289,"RR957"))</f>
        <v>2.2229362743979264</v>
      </c>
      <c r="O289" s="27">
        <v>406</v>
      </c>
      <c r="P289" s="28">
        <v>141.51121000000001</v>
      </c>
      <c r="Q289" s="22" cm="1">
        <f t="array" ref="Q289">IF(OR(_xll.BDP($AX289,"PX_last")="#N/A N/A",_xll.BDP($AX289,"PX_Last")="#N/A FIELD NOT APPLICABLE")," ",IF(F289="GBP",(_xll.BDP($AX289,"PX_LAST")/100),(_xll.BDP($AX289,"PX_LAST"))))</f>
        <v>96.12</v>
      </c>
      <c r="R289" s="29">
        <f>IF(F289="USD",AA289,(((_xll.BDP(F289&amp;"USD CURNCY","PX_LAST")))*AA289))</f>
        <v>65158.072483966003</v>
      </c>
      <c r="S289" s="29">
        <f>IF(F289="USD",AB289,(((_xll.BDP(F289&amp;"USD CURNCY","PX_LAST")))*AB289))</f>
        <v>44257.934952000003</v>
      </c>
      <c r="T289" s="12">
        <f>S289-R289</f>
        <v>-20900.137531966</v>
      </c>
      <c r="U289" s="13">
        <f>T289/R289</f>
        <v>-0.3207605249082387</v>
      </c>
      <c r="V289" s="13" cm="1">
        <f t="array" ref="V289">IFERROR(_xll.BDP($G289&amp;" Equity","CHG_PCT_1D")/100,"")</f>
        <v>-5.5865920000000005E-3</v>
      </c>
      <c r="W289" s="13" cm="1">
        <f t="array" ref="W289">IFERROR(_xll.BDP($G289&amp;" Equity","CHG_PCT_5D")/100,"")</f>
        <v>-2.3369230000000001E-2</v>
      </c>
      <c r="X289" s="13" t="e">
        <f>S289/#REF!</f>
        <v>#REF!</v>
      </c>
      <c r="Y289" s="24">
        <f>IFERROR(S289*J289,0)</f>
        <v>2928.4277174759864</v>
      </c>
      <c r="Z289" s="24">
        <f>S289</f>
        <v>44257.934952000003</v>
      </c>
      <c r="AA289" s="29">
        <f>P289*O289</f>
        <v>57453.55126</v>
      </c>
      <c r="AB289" s="29">
        <f>IFERROR(O289*Q289,0)</f>
        <v>39024.720000000001</v>
      </c>
      <c r="AC289" s="4" t="e" cm="1">
        <f t="array" ref="AC289">VLOOKUP(IF(NOT(_xll.BDP(AX289,$BW$8)="#N/A N/A"),(_xll.BDP(AX289,$BW$8)),"-"), '[1]Country Codes'!$A$2:$B$253,2,0)</f>
        <v>#N/A</v>
      </c>
      <c r="AD289" s="30" t="str" cm="1">
        <f t="array" ref="AD289">IF(OR(_xll.BDP($AX289,"EX028")= "#N/A N/A", _xll.BDP($AX289,"EX028")="#N/A FIELD NOT APPLICABLE"), " ", _xll.BDP($AX289,"EX028"))</f>
        <v>Equity</v>
      </c>
      <c r="AE289" s="31" t="str">
        <f>IF(("AS97"="Equity"), " ", "Single Line Equity")</f>
        <v>Single Line Equity</v>
      </c>
      <c r="AF289" s="26" cm="1">
        <f t="array" ref="AF289">IF(OR(_xll.BDP($AX289,"RR908")= "#N/A N/A", _xll.BDP($AX289,"RR908")="#N/A FIELD NOT APPLICABLE"), " ", _xll.BDP($AX289,"RR908"))</f>
        <v>2.6681711089433833</v>
      </c>
      <c r="AG289" s="26" cm="1">
        <f t="array" ref="AG289">IF(OR(_xll.BDP($AX289,"RR041")= "#N/A N/A", _xll.BDP($AX289,"RR041")="#N/A FIELD NOT APPLICABLE"), " ", _xll.BDP($AX289,"RR041"))</f>
        <v>40.144887463363382</v>
      </c>
      <c r="AH289" s="22">
        <f>_xll.BDP(AX289,"TOT_BUY_REC")</f>
        <v>16</v>
      </c>
      <c r="AI289" s="22">
        <f>_xll.BDP(AX289,"TOT_HOLD_REC")</f>
        <v>8</v>
      </c>
      <c r="AJ289" s="22">
        <f>_xll.BDP(AX289,"TOT_SELL_REC")</f>
        <v>1</v>
      </c>
      <c r="AK289" s="26" cm="1">
        <f t="array" ref="AK289">IF(OR(_xll.BDP($AX289,"EE201")= "#N/A N/A", _xll.BDP($AX289,"EE201")="#N/A FIELD NOT APPLICABLE"), " ", _xll.BDP($AX289,"EE201"))</f>
        <v>4.1999998092651367</v>
      </c>
      <c r="AL289" s="24">
        <f>_xll.BDP(AX289,"BEST_TARGET_PRICE")</f>
        <v>117.09564971923828</v>
      </c>
      <c r="AM289" s="32">
        <f>(AL289/Q289)-1</f>
        <v>0.21822357177734375</v>
      </c>
      <c r="AN289" s="32">
        <f>_xll.BDP(AX289,"PR061")/100</f>
        <v>9.851428999999999E-2</v>
      </c>
      <c r="AO289" s="32">
        <f>_xll.BDP(AX289,"PR064")/100</f>
        <v>2.2940399999999998E-3</v>
      </c>
      <c r="AP289" s="32">
        <f>_xll.BDP(AX289,"CHG_PCT_6M")/100</f>
        <v>0.13994310000000001</v>
      </c>
      <c r="AQ289" s="25">
        <f>_xll.BDP(AX289,"PR079")/100</f>
        <v>7.9514810000000005E-2</v>
      </c>
      <c r="AR289" s="33">
        <f>_xll.BDP(AX289,"hs001")</f>
        <v>123.95</v>
      </c>
      <c r="AS289" s="33">
        <f>_xll.BDP(AX289,"hs002")</f>
        <v>78.86</v>
      </c>
      <c r="AT289" s="22" t="str" cm="1">
        <f t="array" ref="AT289">IF(OR(_xll.BDP($AX289,"DX202")= "#N/A N/A", _xll.BDP($AX289,"DX202")="#N/A FIELD NOT APPLICABLE"), " ", _xll.BDP($AX289,"DX202"))</f>
        <v>Consumer Discretionary</v>
      </c>
      <c r="AU289" s="22" t="str" cm="1">
        <f t="array" ref="AU289">IF(OR(_xll.BDP($AX289,"DY997")= "#N/A N/A", _xll.BDP($AX289,"DY997")="#N/A FIELD NOT APPLICABLE"), " ", _xll.BDP($AX289,"DY997"))</f>
        <v>N</v>
      </c>
      <c r="AV289" s="22" t="str" cm="1">
        <f t="array" ref="AV289">IF(OR(_xll.BDP($AX289,"DY784")= "#N/A N/A", _xll.BDP($AX289,"DY784")="#N/A FIELD NOT APPLICABLE"), " ", _xll.BDP($AX289,"DY784"))</f>
        <v>N</v>
      </c>
      <c r="AW289" s="22" t="str">
        <f>IF(OR(AU289="Y",AV289="Y"),"Y","N")</f>
        <v>N</v>
      </c>
      <c r="AX289" s="22" t="str">
        <f>CONCATENATE(G289," ",$AX$2)</f>
        <v>VOW3 GY Equity</v>
      </c>
      <c r="BC289" s="38" t="str" cm="1">
        <f t="array" ref="BC289">_xll.BDP(AX289,"ID005")</f>
        <v>DE0007664039</v>
      </c>
      <c r="BD289" s="38">
        <v>0.72</v>
      </c>
      <c r="BE289" s="94">
        <v>4</v>
      </c>
      <c r="BF289" s="95">
        <v>44463</v>
      </c>
      <c r="BG289" s="96">
        <v>1</v>
      </c>
    </row>
    <row r="290" spans="1:59" s="93" customFormat="1" ht="14.45" customHeight="1" x14ac:dyDescent="0.25">
      <c r="A290" s="49" t="s">
        <v>241</v>
      </c>
      <c r="B290" s="49" t="s">
        <v>251</v>
      </c>
      <c r="C290" s="49" t="s">
        <v>252</v>
      </c>
      <c r="D290" s="49" t="s">
        <v>240</v>
      </c>
      <c r="E290" s="22" t="str">
        <f>_xll.BDP(AX290,"SECURITY NAME")</f>
        <v>Volkswagen AG</v>
      </c>
      <c r="F290" s="22" t="str">
        <f>_xll.BDP(AX290,"CRNCY")</f>
        <v>EUR</v>
      </c>
      <c r="G290" s="23" t="s">
        <v>153</v>
      </c>
      <c r="H290" s="22" t="str" cm="1">
        <f t="array" ref="H290">IF(OR(_xll.BDP($AX290,"DX202")= "#N/A N/A", _xll.BDP($AX290,"DX202")="#N/A FIELD NOT APPLICABLE"), " ", _xll.BDP($AX290,"DX202"))</f>
        <v>Consumer Discretionary</v>
      </c>
      <c r="I290" s="24">
        <f>_xll.BDP(AX290,"CRNCY_ADJ_MKT_CAP", "EQY_FUND_CRNCY=USD")/1000</f>
        <v>55.308670110187407</v>
      </c>
      <c r="J290" s="25">
        <f>IFERROR(_xll.BDP(AX290, "DV013")/100,0)</f>
        <v>6.616729227543075E-2</v>
      </c>
      <c r="K290" s="26" cm="1">
        <f t="array" ref="K290">IF(OR(_xll.BDP($AX290,"RR900")= "#N/A N/A", _xll.BDP($AX290,"RR900")="#N/A FIELD NOT APPLICABLE"), " ", _xll.BDP($AX290,"RR900"))</f>
        <v>4.8642985117778341</v>
      </c>
      <c r="L290" s="26" cm="1">
        <f t="array" ref="L290">IF(OR(_xll.BDP($AX290,"EE010")= "#N/A N/A", _xll.BDP($AX290,"EE010")="#N/A FIELD NOT APPLICABLE"), " ", _xll.BDP($AX290,"EE010"))</f>
        <v>3.7134909596662031</v>
      </c>
      <c r="M290" s="26" cm="1">
        <f t="array" ref="M290">IF(OR(_xll.BDP($AX290,"RR903")= "#N/A N/A", _xll.BDP($AX290,"RR903")="#N/A FIELD NOT APPLICABLE"), " ", _xll.BDP($AX290,"RR903"))</f>
        <v>0.28056983344634595</v>
      </c>
      <c r="N290" s="26" cm="1">
        <f t="array" ref="N290">IF(OR(_xll.BDP($AX290,"RR957")= "#N/A N/A", _xll.BDP($AX290,"RR957")="#N/A FIELD NOT APPLICABLE"), " ", _xll.BDP($AX290,"RR957"))</f>
        <v>2.2229362743979264</v>
      </c>
      <c r="O290" s="27">
        <v>487</v>
      </c>
      <c r="P290" s="28">
        <v>145.53899999999999</v>
      </c>
      <c r="Q290" s="22" cm="1">
        <f t="array" ref="Q290">IF(OR(_xll.BDP($AX290,"PX_last")="#N/A N/A",_xll.BDP($AX290,"PX_Last")="#N/A FIELD NOT APPLICABLE")," ",IF(F290="GBP",(_xll.BDP($AX290,"PX_LAST")/100),(_xll.BDP($AX290,"PX_LAST"))))</f>
        <v>96.12</v>
      </c>
      <c r="R290" s="29">
        <f>IF(F290="USD",AA290,(((_xll.BDP(F290&amp;"USD CURNCY","PX_LAST")))*AA290))</f>
        <v>80382.164811299997</v>
      </c>
      <c r="S290" s="29">
        <f>IF(F290="USD",AB290,(((_xll.BDP(F290&amp;"USD CURNCY","PX_LAST")))*AB290))</f>
        <v>53087.72000400001</v>
      </c>
      <c r="T290" s="12">
        <f>S290-R290</f>
        <v>-27294.444807299988</v>
      </c>
      <c r="U290" s="13">
        <f>T290/R290</f>
        <v>-0.33955846886401569</v>
      </c>
      <c r="V290" s="13" cm="1">
        <f t="array" ref="V290">IFERROR(_xll.BDP($G290&amp;" Equity","CHG_PCT_1D")/100,"")</f>
        <v>-5.5865920000000005E-3</v>
      </c>
      <c r="W290" s="13" cm="1">
        <f t="array" ref="W290">IFERROR(_xll.BDP($G290&amp;" Equity","CHG_PCT_5D")/100,"")</f>
        <v>-2.3369230000000001E-2</v>
      </c>
      <c r="X290" s="13" t="e">
        <f>S290/#REF!</f>
        <v>#REF!</v>
      </c>
      <c r="Y290" s="24">
        <f>IFERROR(S290*J290,0)</f>
        <v>3512.6706857409004</v>
      </c>
      <c r="Z290" s="24">
        <f>S290</f>
        <v>53087.72000400001</v>
      </c>
      <c r="AA290" s="29">
        <f>P290*O290</f>
        <v>70877.492999999988</v>
      </c>
      <c r="AB290" s="29">
        <f>IFERROR(O290*Q290,0)</f>
        <v>46810.44</v>
      </c>
      <c r="AC290" s="4" t="e" cm="1">
        <f t="array" ref="AC290">VLOOKUP(IF(NOT(_xll.BDP(AX290,$BW$8)="#N/A N/A"),(_xll.BDP(AX290,$BW$8)),"-"), '[1]Country Codes'!$A$2:$B$253,2,0)</f>
        <v>#N/A</v>
      </c>
      <c r="AD290" s="30" t="str" cm="1">
        <f t="array" ref="AD290">IF(OR(_xll.BDP($AX290,"EX028")= "#N/A N/A", _xll.BDP($AX290,"EX028")="#N/A FIELD NOT APPLICABLE"), " ", _xll.BDP($AX290,"EX028"))</f>
        <v>Equity</v>
      </c>
      <c r="AE290" s="31" t="str">
        <f>IF(("AS97"="Equity"), " ", "Single Line Equity")</f>
        <v>Single Line Equity</v>
      </c>
      <c r="AF290" s="26" cm="1">
        <f t="array" ref="AF290">IF(OR(_xll.BDP($AX290,"RR908")= "#N/A N/A", _xll.BDP($AX290,"RR908")="#N/A FIELD NOT APPLICABLE"), " ", _xll.BDP($AX290,"RR908"))</f>
        <v>2.6681711089433833</v>
      </c>
      <c r="AG290" s="26" cm="1">
        <f t="array" ref="AG290">IF(OR(_xll.BDP($AX290,"RR041")= "#N/A N/A", _xll.BDP($AX290,"RR041")="#N/A FIELD NOT APPLICABLE"), " ", _xll.BDP($AX290,"RR041"))</f>
        <v>40.144887463363382</v>
      </c>
      <c r="AH290" s="22">
        <f>_xll.BDP(AX290,"TOT_BUY_REC")</f>
        <v>16</v>
      </c>
      <c r="AI290" s="22">
        <f>_xll.BDP(AX290,"TOT_HOLD_REC")</f>
        <v>8</v>
      </c>
      <c r="AJ290" s="22">
        <f>_xll.BDP(AX290,"TOT_SELL_REC")</f>
        <v>1</v>
      </c>
      <c r="AK290" s="26" cm="1">
        <f t="array" ref="AK290">IF(OR(_xll.BDP($AX290,"EE201")= "#N/A N/A", _xll.BDP($AX290,"EE201")="#N/A FIELD NOT APPLICABLE"), " ", _xll.BDP($AX290,"EE201"))</f>
        <v>4.1999998092651367</v>
      </c>
      <c r="AL290" s="24">
        <f>_xll.BDP(AX290,"BEST_TARGET_PRICE")</f>
        <v>117.09564971923828</v>
      </c>
      <c r="AM290" s="32">
        <f>(AL290/Q290)-1</f>
        <v>0.21822357177734375</v>
      </c>
      <c r="AN290" s="32">
        <f>_xll.BDP(AX290,"PR061")/100</f>
        <v>9.851428999999999E-2</v>
      </c>
      <c r="AO290" s="32">
        <f>_xll.BDP(AX290,"PR064")/100</f>
        <v>2.2940399999999998E-3</v>
      </c>
      <c r="AP290" s="32">
        <f>_xll.BDP(AX290,"CHG_PCT_6M")/100</f>
        <v>0.13994310000000001</v>
      </c>
      <c r="AQ290" s="25">
        <f>_xll.BDP(AX290,"PR079")/100</f>
        <v>7.9514810000000005E-2</v>
      </c>
      <c r="AR290" s="33">
        <f>_xll.BDP(AX290,"hs001")</f>
        <v>123.95</v>
      </c>
      <c r="AS290" s="33">
        <f>_xll.BDP(AX290,"hs002")</f>
        <v>78.86</v>
      </c>
      <c r="AT290" s="22" t="str" cm="1">
        <f t="array" ref="AT290">IF(OR(_xll.BDP($AX290,"DX202")= "#N/A N/A", _xll.BDP($AX290,"DX202")="#N/A FIELD NOT APPLICABLE"), " ", _xll.BDP($AX290,"DX202"))</f>
        <v>Consumer Discretionary</v>
      </c>
      <c r="AU290" s="22" t="str" cm="1">
        <f t="array" ref="AU290">IF(OR(_xll.BDP($AX290,"DY997")= "#N/A N/A", _xll.BDP($AX290,"DY997")="#N/A FIELD NOT APPLICABLE"), " ", _xll.BDP($AX290,"DY997"))</f>
        <v>N</v>
      </c>
      <c r="AV290" s="22" t="str" cm="1">
        <f t="array" ref="AV290">IF(OR(_xll.BDP($AX290,"DY784")= "#N/A N/A", _xll.BDP($AX290,"DY784")="#N/A FIELD NOT APPLICABLE"), " ", _xll.BDP($AX290,"DY784"))</f>
        <v>N</v>
      </c>
      <c r="AW290" s="22" t="str">
        <f>IF(OR(AU290="Y",AV290="Y"),"Y","N")</f>
        <v>N</v>
      </c>
      <c r="AX290" s="22" t="str">
        <f>CONCATENATE(G290," ",$AX$2)</f>
        <v>VOW3 GY Equity</v>
      </c>
      <c r="BC290" s="38" t="str" cm="1">
        <f t="array" ref="BC290">_xll.BDP(AX290,"ID005")</f>
        <v>DE0007664039</v>
      </c>
      <c r="BD290" s="38">
        <v>0.72</v>
      </c>
      <c r="BE290" s="94">
        <v>4</v>
      </c>
      <c r="BF290" s="95">
        <v>44463</v>
      </c>
      <c r="BG290" s="96">
        <v>1</v>
      </c>
    </row>
    <row r="291" spans="1:59" s="3" customFormat="1" ht="14.45" customHeight="1" x14ac:dyDescent="0.25">
      <c r="A291" s="49" t="s">
        <v>242</v>
      </c>
      <c r="B291" s="49" t="s">
        <v>260</v>
      </c>
      <c r="C291" s="49" t="s">
        <v>261</v>
      </c>
      <c r="D291" s="49" t="s">
        <v>248</v>
      </c>
      <c r="E291" s="22" t="str">
        <f>_xll.BDP(AX291,"SECURITY NAME")</f>
        <v>Volkswagen AG</v>
      </c>
      <c r="F291" s="22" t="str">
        <f>_xll.BDP(AX291,"CRNCY")</f>
        <v>EUR</v>
      </c>
      <c r="G291" s="73" t="s">
        <v>153</v>
      </c>
      <c r="H291" s="22" t="str" cm="1">
        <f t="array" ref="H291">IF(OR(_xll.BDP($AX291,"DX202")= "#N/A N/A", _xll.BDP($AX291,"DX202")="#N/A FIELD NOT APPLICABLE"), " ", _xll.BDP($AX291,"DX202"))</f>
        <v>Consumer Discretionary</v>
      </c>
      <c r="I291" s="24">
        <f>_xll.BDP(AX291,"CRNCY_ADJ_MKT_CAP", "EQY_FUND_CRNCY=USD")/1000</f>
        <v>55.308670110187407</v>
      </c>
      <c r="J291" s="25">
        <f>IFERROR(_xll.BDP(AX291, "DV013")/100,0)</f>
        <v>6.616729227543075E-2</v>
      </c>
      <c r="K291" s="26" cm="1">
        <f t="array" ref="K291">IF(OR(_xll.BDP($AX291,"RR900")= "#N/A N/A", _xll.BDP($AX291,"RR900")="#N/A FIELD NOT APPLICABLE"), " ", _xll.BDP($AX291,"RR900"))</f>
        <v>4.8642985117778341</v>
      </c>
      <c r="L291" s="26" cm="1">
        <f t="array" ref="L291">IF(OR(_xll.BDP($AX291,"EE010")= "#N/A N/A", _xll.BDP($AX291,"EE010")="#N/A FIELD NOT APPLICABLE"), " ", _xll.BDP($AX291,"EE010"))</f>
        <v>3.7134909596662031</v>
      </c>
      <c r="M291" s="26" cm="1">
        <f t="array" ref="M291">IF(OR(_xll.BDP($AX291,"RR903")= "#N/A N/A", _xll.BDP($AX291,"RR903")="#N/A FIELD NOT APPLICABLE"), " ", _xll.BDP($AX291,"RR903"))</f>
        <v>0.28056983344634595</v>
      </c>
      <c r="N291" s="26" cm="1">
        <f t="array" ref="N291">IF(OR(_xll.BDP($AX291,"RR957")= "#N/A N/A", _xll.BDP($AX291,"RR957")="#N/A FIELD NOT APPLICABLE"), " ", _xll.BDP($AX291,"RR957"))</f>
        <v>2.2229362743979264</v>
      </c>
      <c r="O291" s="74">
        <v>700</v>
      </c>
      <c r="P291" s="75">
        <v>140.21</v>
      </c>
      <c r="Q291" s="22" cm="1">
        <f t="array" ref="Q291">IF(OR(_xll.BDP($AX291,"PX_last")="#N/A N/A",_xll.BDP($AX291,"PX_Last")="#N/A FIELD NOT APPLICABLE")," ",IF(F291="GBP",(_xll.BDP($AX291,"PX_LAST")/100),(_xll.BDP($AX291,"PX_LAST"))))</f>
        <v>96.12</v>
      </c>
      <c r="R291" s="29">
        <f>IF(F291="USD",AA291,(((_xll.BDP(F291&amp;"USD CURNCY","PX_LAST")))*AA291))</f>
        <v>111308.51270000001</v>
      </c>
      <c r="S291" s="29">
        <f>IF(F291="USD",AB291,(((_xll.BDP(F291&amp;"USD CURNCY","PX_LAST")))*AB291))</f>
        <v>76306.784400000004</v>
      </c>
      <c r="T291" s="12">
        <f>S291-R291</f>
        <v>-35001.728300000002</v>
      </c>
      <c r="U291" s="13">
        <f>T291/R291</f>
        <v>-0.31445688609942229</v>
      </c>
      <c r="V291" s="13" cm="1">
        <f t="array" ref="V291">IFERROR(_xll.BDP($G291&amp;" Equity","CHG_PCT_1D")/100,"")</f>
        <v>-5.5865920000000005E-3</v>
      </c>
      <c r="W291" s="13" cm="1">
        <f t="array" ref="W291">IFERROR(_xll.BDP($G291&amp;" Equity","CHG_PCT_5D")/100,"")</f>
        <v>-2.3369230000000001E-2</v>
      </c>
      <c r="X291" s="13" t="e">
        <f>S291/#REF!</f>
        <v>#REF!</v>
      </c>
      <c r="Y291" s="24">
        <f>IFERROR(S291*J291,0)</f>
        <v>5049.0133059930804</v>
      </c>
      <c r="Z291" s="24">
        <f>S291</f>
        <v>76306.784400000004</v>
      </c>
      <c r="AA291" s="29">
        <f>P291*O291</f>
        <v>98147</v>
      </c>
      <c r="AB291" s="29">
        <f>IFERROR(O291*Q291,0)</f>
        <v>67284</v>
      </c>
      <c r="AC291" s="4" t="e" cm="1">
        <f t="array" ref="AC291">VLOOKUP(IF(NOT(_xll.BDP(AX291,$BW$8)="#N/A N/A"),(_xll.BDP(AX291,$BW$8)),"-"), '[1]Country Codes'!$A$2:$B$253,2,0)</f>
        <v>#N/A</v>
      </c>
      <c r="AD291" s="30" t="str" cm="1">
        <f t="array" ref="AD291">IF(OR(_xll.BDP($AX291,"EX028")= "#N/A N/A", _xll.BDP($AX291,"EX028")="#N/A FIELD NOT APPLICABLE"), " ", _xll.BDP($AX291,"EX028"))</f>
        <v>Equity</v>
      </c>
      <c r="AE291" s="31" t="str">
        <f>IF(("AS97"="Equity"), " ", "Single Line Equity")</f>
        <v>Single Line Equity</v>
      </c>
      <c r="AF291" s="26" cm="1">
        <f t="array" ref="AF291">IF(OR(_xll.BDP($AX291,"RR908")= "#N/A N/A", _xll.BDP($AX291,"RR908")="#N/A FIELD NOT APPLICABLE"), " ", _xll.BDP($AX291,"RR908"))</f>
        <v>2.6681711089433833</v>
      </c>
      <c r="AG291" s="26" cm="1">
        <f t="array" ref="AG291">IF(OR(_xll.BDP($AX291,"RR041")= "#N/A N/A", _xll.BDP($AX291,"RR041")="#N/A FIELD NOT APPLICABLE"), " ", _xll.BDP($AX291,"RR041"))</f>
        <v>40.144887463363382</v>
      </c>
      <c r="AH291" s="22">
        <f>_xll.BDP(AX291,"TOT_BUY_REC")</f>
        <v>16</v>
      </c>
      <c r="AI291" s="22">
        <f>_xll.BDP(AX291,"TOT_HOLD_REC")</f>
        <v>8</v>
      </c>
      <c r="AJ291" s="22">
        <f>_xll.BDP(AX291,"TOT_SELL_REC")</f>
        <v>1</v>
      </c>
      <c r="AK291" s="26" cm="1">
        <f t="array" ref="AK291">IF(OR(_xll.BDP($AX291,"EE201")= "#N/A N/A", _xll.BDP($AX291,"EE201")="#N/A FIELD NOT APPLICABLE"), " ", _xll.BDP($AX291,"EE201"))</f>
        <v>4.1999998092651367</v>
      </c>
      <c r="AL291" s="24">
        <f>_xll.BDP(AX291,"BEST_TARGET_PRICE")</f>
        <v>117.09564971923828</v>
      </c>
      <c r="AM291" s="32">
        <f>(AL291/Q291)-1</f>
        <v>0.21822357177734375</v>
      </c>
      <c r="AN291" s="32">
        <f>_xll.BDP(AX291,"PR061")/100</f>
        <v>9.851428999999999E-2</v>
      </c>
      <c r="AO291" s="32">
        <f>_xll.BDP(AX291,"PR064")/100</f>
        <v>2.2940399999999998E-3</v>
      </c>
      <c r="AP291" s="32">
        <f>_xll.BDP(AX291,"CHG_PCT_6M")/100</f>
        <v>0.13994310000000001</v>
      </c>
      <c r="AQ291" s="25">
        <f>_xll.BDP(AX291,"PR079")/100</f>
        <v>7.9514810000000005E-2</v>
      </c>
      <c r="AR291" s="33">
        <f>_xll.BDP(AX291,"hs001")</f>
        <v>123.95</v>
      </c>
      <c r="AS291" s="33">
        <f>_xll.BDP(AX291,"hs002")</f>
        <v>78.86</v>
      </c>
      <c r="AT291" s="22" t="str" cm="1">
        <f t="array" ref="AT291">IF(OR(_xll.BDP($AX291,"DX202")= "#N/A N/A", _xll.BDP($AX291,"DX202")="#N/A FIELD NOT APPLICABLE"), " ", _xll.BDP($AX291,"DX202"))</f>
        <v>Consumer Discretionary</v>
      </c>
      <c r="AU291" s="22" t="str" cm="1">
        <f t="array" ref="AU291">IF(OR(_xll.BDP($AX291,"DY997")= "#N/A N/A", _xll.BDP($AX291,"DY997")="#N/A FIELD NOT APPLICABLE"), " ", _xll.BDP($AX291,"DY997"))</f>
        <v>N</v>
      </c>
      <c r="AV291" s="22" t="str" cm="1">
        <f t="array" ref="AV291">IF(OR(_xll.BDP($AX291,"DY784")= "#N/A N/A", _xll.BDP($AX291,"DY784")="#N/A FIELD NOT APPLICABLE"), " ", _xll.BDP($AX291,"DY784"))</f>
        <v>N</v>
      </c>
      <c r="AW291" s="22" t="str">
        <f>IF(OR(AU291="Y",AV291="Y"),"Y","N")</f>
        <v>N</v>
      </c>
      <c r="AX291" s="22" t="str">
        <f>CONCATENATE(G291," ",$AX$2)</f>
        <v>VOW3 GY Equity</v>
      </c>
      <c r="BC291" s="17" t="str" cm="1">
        <f t="array" ref="BC291">_xll.BDP(AX291,"ID005")</f>
        <v>DE0007664039</v>
      </c>
      <c r="BD291" s="17">
        <v>0.72</v>
      </c>
      <c r="BE291" s="18">
        <v>4</v>
      </c>
      <c r="BF291" s="19">
        <v>44463</v>
      </c>
      <c r="BG291" s="20">
        <v>1</v>
      </c>
    </row>
    <row r="292" spans="1:59" s="3" customFormat="1" ht="14.45" customHeight="1" x14ac:dyDescent="0.25">
      <c r="A292" s="49" t="s">
        <v>241</v>
      </c>
      <c r="B292" s="49" t="s">
        <v>262</v>
      </c>
      <c r="C292" s="49" t="s">
        <v>263</v>
      </c>
      <c r="D292" s="49" t="s">
        <v>240</v>
      </c>
      <c r="E292" s="22" t="str">
        <f>_xll.BDP(AX292,"SECURITY NAME")</f>
        <v>Volkswagen AG</v>
      </c>
      <c r="F292" s="22" t="str">
        <f>_xll.BDP(AX292,"CRNCY")</f>
        <v>EUR</v>
      </c>
      <c r="G292" s="23" t="s">
        <v>153</v>
      </c>
      <c r="H292" s="22" t="str" cm="1">
        <f t="array" ref="H292">IF(OR(_xll.BDP($AX292,"DX202")= "#N/A N/A", _xll.BDP($AX292,"DX202")="#N/A FIELD NOT APPLICABLE"), " ", _xll.BDP($AX292,"DX202"))</f>
        <v>Consumer Discretionary</v>
      </c>
      <c r="I292" s="24">
        <f>_xll.BDP(AX292,"CRNCY_ADJ_MKT_CAP", "EQY_FUND_CRNCY=USD")/1000</f>
        <v>55.308670110187407</v>
      </c>
      <c r="J292" s="25">
        <f>IFERROR(_xll.BDP(AX292, "DV013")/100,0)</f>
        <v>6.616729227543075E-2</v>
      </c>
      <c r="K292" s="26" cm="1">
        <f t="array" ref="K292">IF(OR(_xll.BDP($AX292,"RR900")= "#N/A N/A", _xll.BDP($AX292,"RR900")="#N/A FIELD NOT APPLICABLE"), " ", _xll.BDP($AX292,"RR900"))</f>
        <v>4.8642985117778341</v>
      </c>
      <c r="L292" s="26" cm="1">
        <f t="array" ref="L292">IF(OR(_xll.BDP($AX292,"EE010")= "#N/A N/A", _xll.BDP($AX292,"EE010")="#N/A FIELD NOT APPLICABLE"), " ", _xll.BDP($AX292,"EE010"))</f>
        <v>3.7134909596662031</v>
      </c>
      <c r="M292" s="26" cm="1">
        <f t="array" ref="M292">IF(OR(_xll.BDP($AX292,"RR903")= "#N/A N/A", _xll.BDP($AX292,"RR903")="#N/A FIELD NOT APPLICABLE"), " ", _xll.BDP($AX292,"RR903"))</f>
        <v>0.28056983344634595</v>
      </c>
      <c r="N292" s="26" cm="1">
        <f t="array" ref="N292">IF(OR(_xll.BDP($AX292,"RR957")= "#N/A N/A", _xll.BDP($AX292,"RR957")="#N/A FIELD NOT APPLICABLE"), " ", _xll.BDP($AX292,"RR957"))</f>
        <v>2.2229362743979264</v>
      </c>
      <c r="O292" s="27">
        <v>2134</v>
      </c>
      <c r="P292" s="28">
        <v>135.0325</v>
      </c>
      <c r="Q292" s="22" cm="1">
        <f t="array" ref="Q292">IF(OR(_xll.BDP($AX292,"PX_last")="#N/A N/A",_xll.BDP($AX292,"PX_Last")="#N/A FIELD NOT APPLICABLE")," ",IF(F292="GBP",(_xll.BDP($AX292,"PX_LAST")/100),(_xll.BDP($AX292,"PX_LAST"))))</f>
        <v>96.12</v>
      </c>
      <c r="R292" s="29">
        <f>IF(F292="USD",AA292,(((_xll.BDP(F292&amp;"USD CURNCY","PX_LAST")))*AA292))</f>
        <v>326801.52450549998</v>
      </c>
      <c r="S292" s="29">
        <f>IF(F292="USD",AB292,(((_xll.BDP(F292&amp;"USD CURNCY","PX_LAST")))*AB292))</f>
        <v>232626.68272800004</v>
      </c>
      <c r="T292" s="12">
        <f>S292-R292</f>
        <v>-94174.84177749994</v>
      </c>
      <c r="U292" s="13">
        <f>T292/R292</f>
        <v>-0.2881713661525927</v>
      </c>
      <c r="V292" s="13" cm="1">
        <f t="array" ref="V292">IFERROR(_xll.BDP($G292&amp;" Equity","CHG_PCT_1D")/100,"")</f>
        <v>-5.5865920000000005E-3</v>
      </c>
      <c r="W292" s="13" cm="1">
        <f t="array" ref="W292">IFERROR(_xll.BDP($G292&amp;" Equity","CHG_PCT_5D")/100,"")</f>
        <v>-2.3369230000000001E-2</v>
      </c>
      <c r="X292" s="13" t="e">
        <f>S292/#REF!</f>
        <v>#REF!</v>
      </c>
      <c r="Y292" s="24">
        <f>IFERROR(S292*J292,0)</f>
        <v>15392.277707127478</v>
      </c>
      <c r="Z292" s="24">
        <f>S292</f>
        <v>232626.68272800004</v>
      </c>
      <c r="AA292" s="29">
        <f>P292*O292</f>
        <v>288159.35499999998</v>
      </c>
      <c r="AB292" s="29">
        <f>IFERROR(O292*Q292,0)</f>
        <v>205120.08000000002</v>
      </c>
      <c r="AC292" s="4" t="e" cm="1">
        <f t="array" ref="AC292">VLOOKUP(IF(NOT(_xll.BDP(AX292,$BW$8)="#N/A N/A"),(_xll.BDP(AX292,$BW$8)),"-"), '[1]Country Codes'!$A$2:$B$253,2,0)</f>
        <v>#N/A</v>
      </c>
      <c r="AD292" s="30" t="str" cm="1">
        <f t="array" ref="AD292">IF(OR(_xll.BDP($AX292,"EX028")= "#N/A N/A", _xll.BDP($AX292,"EX028")="#N/A FIELD NOT APPLICABLE"), " ", _xll.BDP($AX292,"EX028"))</f>
        <v>Equity</v>
      </c>
      <c r="AE292" s="31" t="str">
        <f>IF(("AS97"="Equity"), " ", "Single Line Equity")</f>
        <v>Single Line Equity</v>
      </c>
      <c r="AF292" s="26" cm="1">
        <f t="array" ref="AF292">IF(OR(_xll.BDP($AX292,"RR908")= "#N/A N/A", _xll.BDP($AX292,"RR908")="#N/A FIELD NOT APPLICABLE"), " ", _xll.BDP($AX292,"RR908"))</f>
        <v>2.6681711089433833</v>
      </c>
      <c r="AG292" s="26" cm="1">
        <f t="array" ref="AG292">IF(OR(_xll.BDP($AX292,"RR041")= "#N/A N/A", _xll.BDP($AX292,"RR041")="#N/A FIELD NOT APPLICABLE"), " ", _xll.BDP($AX292,"RR041"))</f>
        <v>40.144887463363382</v>
      </c>
      <c r="AH292" s="22">
        <f>_xll.BDP(AX292,"TOT_BUY_REC")</f>
        <v>16</v>
      </c>
      <c r="AI292" s="22">
        <f>_xll.BDP(AX292,"TOT_HOLD_REC")</f>
        <v>8</v>
      </c>
      <c r="AJ292" s="22">
        <f>_xll.BDP(AX292,"TOT_SELL_REC")</f>
        <v>1</v>
      </c>
      <c r="AK292" s="26" cm="1">
        <f t="array" ref="AK292">IF(OR(_xll.BDP($AX292,"EE201")= "#N/A N/A", _xll.BDP($AX292,"EE201")="#N/A FIELD NOT APPLICABLE"), " ", _xll.BDP($AX292,"EE201"))</f>
        <v>4.1999998092651367</v>
      </c>
      <c r="AL292" s="24">
        <f>_xll.BDP(AX292,"BEST_TARGET_PRICE")</f>
        <v>117.09564971923828</v>
      </c>
      <c r="AM292" s="32">
        <f>(AL292/Q292)-1</f>
        <v>0.21822357177734375</v>
      </c>
      <c r="AN292" s="32">
        <f>_xll.BDP(AX292,"PR061")/100</f>
        <v>9.851428999999999E-2</v>
      </c>
      <c r="AO292" s="32">
        <f>_xll.BDP(AX292,"PR064")/100</f>
        <v>2.2940399999999998E-3</v>
      </c>
      <c r="AP292" s="32">
        <f>_xll.BDP(AX292,"CHG_PCT_6M")/100</f>
        <v>0.13994310000000001</v>
      </c>
      <c r="AQ292" s="25">
        <f>_xll.BDP(AX292,"PR079")/100</f>
        <v>7.9514810000000005E-2</v>
      </c>
      <c r="AR292" s="33">
        <f>_xll.BDP(AX292,"hs001")</f>
        <v>123.95</v>
      </c>
      <c r="AS292" s="33">
        <f>_xll.BDP(AX292,"hs002")</f>
        <v>78.86</v>
      </c>
      <c r="AT292" s="22" t="str" cm="1">
        <f t="array" ref="AT292">IF(OR(_xll.BDP($AX292,"DX202")= "#N/A N/A", _xll.BDP($AX292,"DX202")="#N/A FIELD NOT APPLICABLE"), " ", _xll.BDP($AX292,"DX202"))</f>
        <v>Consumer Discretionary</v>
      </c>
      <c r="AU292" s="22" t="str" cm="1">
        <f t="array" ref="AU292">IF(OR(_xll.BDP($AX292,"DY997")= "#N/A N/A", _xll.BDP($AX292,"DY997")="#N/A FIELD NOT APPLICABLE"), " ", _xll.BDP($AX292,"DY997"))</f>
        <v>N</v>
      </c>
      <c r="AV292" s="22" t="str" cm="1">
        <f t="array" ref="AV292">IF(OR(_xll.BDP($AX292,"DY784")= "#N/A N/A", _xll.BDP($AX292,"DY784")="#N/A FIELD NOT APPLICABLE"), " ", _xll.BDP($AX292,"DY784"))</f>
        <v>N</v>
      </c>
      <c r="AW292" s="22" t="str">
        <f>IF(OR(AU292="Y",AV292="Y"),"Y","N")</f>
        <v>N</v>
      </c>
      <c r="AX292" s="22" t="str">
        <f>CONCATENATE(G292," ",$AX$2)</f>
        <v>VOW3 GY Equity</v>
      </c>
      <c r="BC292" s="17" t="str" cm="1">
        <f t="array" ref="BC292">_xll.BDP(AX292,"ID005")</f>
        <v>DE0007664039</v>
      </c>
      <c r="BD292" s="17">
        <v>0.72</v>
      </c>
      <c r="BE292" s="18">
        <v>4</v>
      </c>
      <c r="BF292" s="19">
        <v>44463</v>
      </c>
      <c r="BG292" s="20">
        <v>1</v>
      </c>
    </row>
    <row r="293" spans="1:59" s="3" customFormat="1" ht="14.45" customHeight="1" x14ac:dyDescent="0.25">
      <c r="A293" s="49" t="s">
        <v>241</v>
      </c>
      <c r="B293" s="49" t="s">
        <v>276</v>
      </c>
      <c r="C293" s="49" t="s">
        <v>277</v>
      </c>
      <c r="D293" s="49" t="s">
        <v>240</v>
      </c>
      <c r="E293" s="22" t="str">
        <f>_xll.BDP(AX293,"SECURITY NAME")</f>
        <v>Volkswagen AG</v>
      </c>
      <c r="F293" s="22" t="str">
        <f>_xll.BDP(AX293,"CRNCY")</f>
        <v>EUR</v>
      </c>
      <c r="G293" s="23" t="s">
        <v>153</v>
      </c>
      <c r="H293" s="22" t="str" cm="1">
        <f t="array" ref="H293">IF(OR(_xll.BDP($AX293,"DX202")= "#N/A N/A", _xll.BDP($AX293,"DX202")="#N/A FIELD NOT APPLICABLE"), " ", _xll.BDP($AX293,"DX202"))</f>
        <v>Consumer Discretionary</v>
      </c>
      <c r="I293" s="24">
        <f>_xll.BDP(AX293,"CRNCY_ADJ_MKT_CAP", "EQY_FUND_CRNCY=USD")/1000</f>
        <v>55.308670110187407</v>
      </c>
      <c r="J293" s="25">
        <f>IFERROR(_xll.BDP(AX293, "DV013")/100,0)</f>
        <v>6.616729227543075E-2</v>
      </c>
      <c r="K293" s="26" cm="1">
        <f t="array" ref="K293">IF(OR(_xll.BDP($AX293,"RR900")= "#N/A N/A", _xll.BDP($AX293,"RR900")="#N/A FIELD NOT APPLICABLE"), " ", _xll.BDP($AX293,"RR900"))</f>
        <v>4.8642985117778341</v>
      </c>
      <c r="L293" s="26" cm="1">
        <f t="array" ref="L293">IF(OR(_xll.BDP($AX293,"EE010")= "#N/A N/A", _xll.BDP($AX293,"EE010")="#N/A FIELD NOT APPLICABLE"), " ", _xll.BDP($AX293,"EE010"))</f>
        <v>3.7134909596662031</v>
      </c>
      <c r="M293" s="26" cm="1">
        <f t="array" ref="M293">IF(OR(_xll.BDP($AX293,"RR903")= "#N/A N/A", _xll.BDP($AX293,"RR903")="#N/A FIELD NOT APPLICABLE"), " ", _xll.BDP($AX293,"RR903"))</f>
        <v>0.28056983344634595</v>
      </c>
      <c r="N293" s="26" cm="1">
        <f t="array" ref="N293">IF(OR(_xll.BDP($AX293,"RR957")= "#N/A N/A", _xll.BDP($AX293,"RR957")="#N/A FIELD NOT APPLICABLE"), " ", _xll.BDP($AX293,"RR957"))</f>
        <v>2.2229362743979264</v>
      </c>
      <c r="O293" s="27">
        <v>1534</v>
      </c>
      <c r="P293" s="28">
        <v>136.17850000000001</v>
      </c>
      <c r="Q293" s="22" cm="1">
        <f t="array" ref="Q293">IF(OR(_xll.BDP($AX293,"PX_last")="#N/A N/A",_xll.BDP($AX293,"PX_Last")="#N/A FIELD NOT APPLICABLE")," ",IF(F293="GBP",(_xll.BDP($AX293,"PX_LAST")/100),(_xll.BDP($AX293,"PX_LAST"))))</f>
        <v>96.12</v>
      </c>
      <c r="R293" s="29">
        <f>IF(F293="USD",AA293,(((_xll.BDP(F293&amp;"USD CURNCY","PX_LAST")))*AA293))</f>
        <v>236911.01652790004</v>
      </c>
      <c r="S293" s="29">
        <f>IF(F293="USD",AB293,(((_xll.BDP(F293&amp;"USD CURNCY","PX_LAST")))*AB293))</f>
        <v>167220.86752800003</v>
      </c>
      <c r="T293" s="12">
        <f>S293-R293</f>
        <v>-69690.148999900004</v>
      </c>
      <c r="U293" s="13">
        <f>T293/R293</f>
        <v>-0.29416170687737048</v>
      </c>
      <c r="V293" s="13" cm="1">
        <f t="array" ref="V293">IFERROR(_xll.BDP($G293&amp;" Equity","CHG_PCT_1D")/100,"")</f>
        <v>-5.5865920000000005E-3</v>
      </c>
      <c r="W293" s="13" cm="1">
        <f t="array" ref="W293">IFERROR(_xll.BDP($G293&amp;" Equity","CHG_PCT_5D")/100,"")</f>
        <v>-2.3369230000000001E-2</v>
      </c>
      <c r="X293" s="13" t="e">
        <f>S293/#REF!</f>
        <v>#REF!</v>
      </c>
      <c r="Y293" s="24">
        <f>IFERROR(S293*J293,0)</f>
        <v>11064.552016276266</v>
      </c>
      <c r="Z293" s="24">
        <f>S293</f>
        <v>167220.86752800003</v>
      </c>
      <c r="AA293" s="29">
        <f>P293*O293</f>
        <v>208897.81900000002</v>
      </c>
      <c r="AB293" s="29">
        <f>IFERROR(O293*Q293,0)</f>
        <v>147448.08000000002</v>
      </c>
      <c r="AC293" s="4" t="e" cm="1">
        <f t="array" ref="AC293">VLOOKUP(IF(NOT(_xll.BDP(AX293,$BW$8)="#N/A N/A"),(_xll.BDP(AX293,$BW$8)),"-"), '[1]Country Codes'!$A$2:$B$253,2,0)</f>
        <v>#N/A</v>
      </c>
      <c r="AD293" s="30" t="str" cm="1">
        <f t="array" ref="AD293">IF(OR(_xll.BDP($AX293,"EX028")= "#N/A N/A", _xll.BDP($AX293,"EX028")="#N/A FIELD NOT APPLICABLE"), " ", _xll.BDP($AX293,"EX028"))</f>
        <v>Equity</v>
      </c>
      <c r="AE293" s="31" t="str">
        <f>IF(("AS97"="Equity"), " ", "Single Line Equity")</f>
        <v>Single Line Equity</v>
      </c>
      <c r="AF293" s="26" cm="1">
        <f t="array" ref="AF293">IF(OR(_xll.BDP($AX293,"RR908")= "#N/A N/A", _xll.BDP($AX293,"RR908")="#N/A FIELD NOT APPLICABLE"), " ", _xll.BDP($AX293,"RR908"))</f>
        <v>2.6681711089433833</v>
      </c>
      <c r="AG293" s="26" cm="1">
        <f t="array" ref="AG293">IF(OR(_xll.BDP($AX293,"RR041")= "#N/A N/A", _xll.BDP($AX293,"RR041")="#N/A FIELD NOT APPLICABLE"), " ", _xll.BDP($AX293,"RR041"))</f>
        <v>40.144887463363382</v>
      </c>
      <c r="AH293" s="22">
        <f>_xll.BDP(AX293,"TOT_BUY_REC")</f>
        <v>16</v>
      </c>
      <c r="AI293" s="22">
        <f>_xll.BDP(AX293,"TOT_HOLD_REC")</f>
        <v>8</v>
      </c>
      <c r="AJ293" s="22">
        <f>_xll.BDP(AX293,"TOT_SELL_REC")</f>
        <v>1</v>
      </c>
      <c r="AK293" s="26" cm="1">
        <f t="array" ref="AK293">IF(OR(_xll.BDP($AX293,"EE201")= "#N/A N/A", _xll.BDP($AX293,"EE201")="#N/A FIELD NOT APPLICABLE"), " ", _xll.BDP($AX293,"EE201"))</f>
        <v>4.1999998092651367</v>
      </c>
      <c r="AL293" s="24">
        <f>_xll.BDP(AX293,"BEST_TARGET_PRICE")</f>
        <v>117.09564971923828</v>
      </c>
      <c r="AM293" s="32">
        <f>(AL293/Q293)-1</f>
        <v>0.21822357177734375</v>
      </c>
      <c r="AN293" s="32">
        <f>_xll.BDP(AX293,"PR061")/100</f>
        <v>9.851428999999999E-2</v>
      </c>
      <c r="AO293" s="32">
        <f>_xll.BDP(AX293,"PR064")/100</f>
        <v>2.2940399999999998E-3</v>
      </c>
      <c r="AP293" s="32">
        <f>_xll.BDP(AX293,"CHG_PCT_6M")/100</f>
        <v>0.13994310000000001</v>
      </c>
      <c r="AQ293" s="25">
        <f>_xll.BDP(AX293,"PR079")/100</f>
        <v>7.9514810000000005E-2</v>
      </c>
      <c r="AR293" s="33">
        <f>_xll.BDP(AX293,"hs001")</f>
        <v>123.95</v>
      </c>
      <c r="AS293" s="33">
        <f>_xll.BDP(AX293,"hs002")</f>
        <v>78.86</v>
      </c>
      <c r="AT293" s="22" t="str" cm="1">
        <f t="array" ref="AT293">IF(OR(_xll.BDP($AX293,"DX202")= "#N/A N/A", _xll.BDP($AX293,"DX202")="#N/A FIELD NOT APPLICABLE"), " ", _xll.BDP($AX293,"DX202"))</f>
        <v>Consumer Discretionary</v>
      </c>
      <c r="AU293" s="22" t="str" cm="1">
        <f t="array" ref="AU293">IF(OR(_xll.BDP($AX293,"DY997")= "#N/A N/A", _xll.BDP($AX293,"DY997")="#N/A FIELD NOT APPLICABLE"), " ", _xll.BDP($AX293,"DY997"))</f>
        <v>N</v>
      </c>
      <c r="AV293" s="22" t="str" cm="1">
        <f t="array" ref="AV293">IF(OR(_xll.BDP($AX293,"DY784")= "#N/A N/A", _xll.BDP($AX293,"DY784")="#N/A FIELD NOT APPLICABLE"), " ", _xll.BDP($AX293,"DY784"))</f>
        <v>N</v>
      </c>
      <c r="AW293" s="22" t="str">
        <f>IF(OR(AU293="Y",AV293="Y"),"Y","N")</f>
        <v>N</v>
      </c>
      <c r="AX293" s="22" t="str">
        <f>CONCATENATE(G293," ",$AX$2)</f>
        <v>VOW3 GY Equity</v>
      </c>
      <c r="BC293" s="17" t="str" cm="1">
        <f t="array" ref="BC293">_xll.BDP(AX293,"ID005")</f>
        <v>DE0007664039</v>
      </c>
      <c r="BD293" s="17">
        <v>0.72</v>
      </c>
      <c r="BE293" s="18">
        <v>4</v>
      </c>
      <c r="BF293" s="19">
        <v>44463</v>
      </c>
      <c r="BG293" s="20">
        <v>1</v>
      </c>
    </row>
    <row r="294" spans="1:59" s="3" customFormat="1" ht="14.45" customHeight="1" x14ac:dyDescent="0.25">
      <c r="A294" s="49" t="s">
        <v>241</v>
      </c>
      <c r="B294" s="49" t="s">
        <v>238</v>
      </c>
      <c r="C294" s="49" t="s">
        <v>239</v>
      </c>
      <c r="D294" s="49" t="s">
        <v>240</v>
      </c>
      <c r="E294" s="22" t="str">
        <f>_xll.BDP(AX294,"SECURITY NAME")</f>
        <v>Zimmer Biomet Holdings Inc</v>
      </c>
      <c r="F294" s="22" t="str">
        <f>_xll.BDP(AX294,"CRNCY")</f>
        <v>USD</v>
      </c>
      <c r="G294" s="23" t="s">
        <v>84</v>
      </c>
      <c r="H294" s="22" t="str" cm="1">
        <f t="array" ref="H294">IF(OR(_xll.BDP($AX294,"DX202")= "#N/A N/A", _xll.BDP($AX294,"DX202")="#N/A FIELD NOT APPLICABLE"), " ", _xll.BDP($AX294,"DX202"))</f>
        <v>Health Care</v>
      </c>
      <c r="I294" s="24">
        <f>_xll.BDP(AX294,"CRNCY_ADJ_MKT_CAP", "EQY_FUND_CRNCY=USD")/1000</f>
        <v>17.943814746329998</v>
      </c>
      <c r="J294" s="25">
        <f>IFERROR(_xll.BDP(AX294, "DV013")/100,0)</f>
        <v>1.0584927267680996E-2</v>
      </c>
      <c r="K294" s="26" cm="1">
        <f t="array" ref="K294">IF(OR(_xll.BDP($AX294,"RR900")= "#N/A N/A", _xll.BDP($AX294,"RR900")="#N/A FIELD NOT APPLICABLE"), " ", _xll.BDP($AX294,"RR900"))</f>
        <v>17.708962575369597</v>
      </c>
      <c r="L294" s="26" cm="1">
        <f t="array" ref="L294">IF(OR(_xll.BDP($AX294,"EE010")= "#N/A N/A", _xll.BDP($AX294,"EE010")="#N/A FIELD NOT APPLICABLE"), " ", _xll.BDP($AX294,"EE010"))</f>
        <v>10.793169106271568</v>
      </c>
      <c r="M294" s="26" cm="1">
        <f t="array" ref="M294">IF(OR(_xll.BDP($AX294,"RR903")= "#N/A N/A", _xll.BDP($AX294,"RR903")="#N/A FIELD NOT APPLICABLE"), " ", _xll.BDP($AX294,"RR903"))</f>
        <v>1.4465905023685177</v>
      </c>
      <c r="N294" s="26" cm="1">
        <f t="array" ref="N294">IF(OR(_xll.BDP($AX294,"RR957")= "#N/A N/A", _xll.BDP($AX294,"RR957")="#N/A FIELD NOT APPLICABLE"), " ", _xll.BDP($AX294,"RR957"))</f>
        <v>10.212380494935889</v>
      </c>
      <c r="O294" s="27">
        <v>450</v>
      </c>
      <c r="P294" s="28">
        <v>109.29482</v>
      </c>
      <c r="Q294" s="22" cm="1">
        <f t="array" ref="Q294">IF(OR(_xll.BDP($AX294,"PX_last")="#N/A N/A",_xll.BDP($AX294,"PX_Last")="#N/A FIELD NOT APPLICABLE")," ",IF(F294="GBP",(_xll.BDP($AX294,"PX_LAST")/100),(_xll.BDP($AX294,"PX_LAST"))))</f>
        <v>90.694999999999993</v>
      </c>
      <c r="R294" s="29">
        <f>IF(F294="USD",AA294,(((_xll.BDP(F294&amp;"USD CURNCY","PX_LAST")))*AA294))</f>
        <v>49182.669000000002</v>
      </c>
      <c r="S294" s="29">
        <f>IF(F294="USD",AB294,(((_xll.BDP(F294&amp;"USD CURNCY","PX_LAST")))*AB294))</f>
        <v>40812.75</v>
      </c>
      <c r="T294" s="12">
        <f>S294-R294</f>
        <v>-8369.9190000000017</v>
      </c>
      <c r="U294" s="13">
        <f>T294/R294</f>
        <v>-0.17018025190946839</v>
      </c>
      <c r="V294" s="13" cm="1">
        <f t="array" ref="V294">IFERROR(_xll.BDP($G294&amp;" Equity","CHG_PCT_1D")/100,"")</f>
        <v>2.376216E-3</v>
      </c>
      <c r="W294" s="13" cm="1">
        <f t="array" ref="W294">IFERROR(_xll.BDP($G294&amp;" Equity","CHG_PCT_5D")/100,"")</f>
        <v>-0.1176671</v>
      </c>
      <c r="X294" s="13" t="e">
        <f>S294/#REF!</f>
        <v>#REF!</v>
      </c>
      <c r="Y294" s="24">
        <f>IFERROR(S294*J294,0)</f>
        <v>431.9999903440476</v>
      </c>
      <c r="Z294" s="24">
        <f>S294</f>
        <v>40812.75</v>
      </c>
      <c r="AA294" s="29">
        <f>P294*O294</f>
        <v>49182.669000000002</v>
      </c>
      <c r="AB294" s="29">
        <f>IFERROR(O294*Q294,0)</f>
        <v>40812.75</v>
      </c>
      <c r="AC294" s="4" t="e" cm="1">
        <f t="array" ref="AC294">VLOOKUP(IF(NOT(_xll.BDP(AX294,$BW$8)="#N/A N/A"),(_xll.BDP(AX294,$BW$8)),"-"), '[1]Country Codes'!$A$2:$B$253,2,0)</f>
        <v>#N/A</v>
      </c>
      <c r="AD294" s="30" t="str" cm="1">
        <f t="array" ref="AD294">IF(OR(_xll.BDP($AX294,"EX028")= "#N/A N/A", _xll.BDP($AX294,"EX028")="#N/A FIELD NOT APPLICABLE"), " ", _xll.BDP($AX294,"EX028"))</f>
        <v>Equity</v>
      </c>
      <c r="AE294" s="31" t="str">
        <f>IF(("AS97"="Equity"), " ", "Single Line Equity")</f>
        <v>Single Line Equity</v>
      </c>
      <c r="AF294" s="26" cm="1">
        <f t="array" ref="AF294">IF(OR(_xll.BDP($AX294,"RR908")= "#N/A N/A", _xll.BDP($AX294,"RR908")="#N/A FIELD NOT APPLICABLE"), " ", _xll.BDP($AX294,"RR908"))</f>
        <v>11.034997723954795</v>
      </c>
      <c r="AG294" s="26" cm="1">
        <f t="array" ref="AG294">IF(OR(_xll.BDP($AX294,"RR041")= "#N/A N/A", _xll.BDP($AX294,"RR041")="#N/A FIELD NOT APPLICABLE"), " ", _xll.BDP($AX294,"RR041"))</f>
        <v>30.17963623428534</v>
      </c>
      <c r="AH294" s="22">
        <f>_xll.BDP(AX294,"TOT_BUY_REC")</f>
        <v>12</v>
      </c>
      <c r="AI294" s="22">
        <f>_xll.BDP(AX294,"TOT_HOLD_REC")</f>
        <v>17</v>
      </c>
      <c r="AJ294" s="22">
        <f>_xll.BDP(AX294,"TOT_SELL_REC")</f>
        <v>2</v>
      </c>
      <c r="AK294" s="26" cm="1">
        <f t="array" ref="AK294">IF(OR(_xll.BDP($AX294,"EE201")= "#N/A N/A", _xll.BDP($AX294,"EE201")="#N/A FIELD NOT APPLICABLE"), " ", _xll.BDP($AX294,"EE201"))</f>
        <v>3.6129031181335449</v>
      </c>
      <c r="AL294" s="24">
        <f>_xll.BDP(AX294,"BEST_TARGET_PRICE")</f>
        <v>110.07142639160156</v>
      </c>
      <c r="AM294" s="32">
        <f>(AL294/Q294)-1</f>
        <v>0.21364382150726691</v>
      </c>
      <c r="AN294" s="32">
        <f>_xll.BDP(AX294,"PR061")/100</f>
        <v>-0.15506800000000001</v>
      </c>
      <c r="AO294" s="32">
        <f>_xll.BDP(AX294,"PR064")/100</f>
        <v>-0.11680790000000001</v>
      </c>
      <c r="AP294" s="32">
        <f>_xll.BDP(AX294,"CHG_PCT_6M")/100</f>
        <v>-0.17677219999999999</v>
      </c>
      <c r="AQ294" s="25">
        <f>_xll.BDP(AX294,"PR079")/100</f>
        <v>-0.14138970000000001</v>
      </c>
      <c r="AR294" s="33">
        <f>_xll.BDP(AX294,"hs001")</f>
        <v>122.25</v>
      </c>
      <c r="AS294" s="33">
        <f>_xll.BDP(AX294,"hs002")</f>
        <v>89.92</v>
      </c>
      <c r="AT294" s="22" t="str" cm="1">
        <f t="array" ref="AT294">IF(OR(_xll.BDP($AX294,"DX202")= "#N/A N/A", _xll.BDP($AX294,"DX202")="#N/A FIELD NOT APPLICABLE"), " ", _xll.BDP($AX294,"DX202"))</f>
        <v>Health Care</v>
      </c>
      <c r="AU294" s="22" t="str" cm="1">
        <f t="array" ref="AU294">IF(OR(_xll.BDP($AX294,"DY997")= "#N/A N/A", _xll.BDP($AX294,"DY997")="#N/A FIELD NOT APPLICABLE"), " ", _xll.BDP($AX294,"DY997"))</f>
        <v>Y</v>
      </c>
      <c r="AV294" s="22" t="str" cm="1">
        <f t="array" ref="AV294">IF(OR(_xll.BDP($AX294,"DY784")= "#N/A N/A", _xll.BDP($AX294,"DY784")="#N/A FIELD NOT APPLICABLE"), " ", _xll.BDP($AX294,"DY784"))</f>
        <v>Y</v>
      </c>
      <c r="AW294" s="22" t="str">
        <f>IF(OR(AU294="Y",AV294="Y"),"Y","N")</f>
        <v>Y</v>
      </c>
      <c r="AX294" s="22" t="str">
        <f>CONCATENATE(G294," ",$AX$2)</f>
        <v>ZBH US Equity</v>
      </c>
      <c r="BC294" s="17" t="str" cm="1">
        <f t="array" ref="BC294">_xll.BDP(AX294,"ID005")</f>
        <v>US98956P1021</v>
      </c>
      <c r="BD294" s="17">
        <v>0.72</v>
      </c>
      <c r="BE294" s="18">
        <v>4</v>
      </c>
      <c r="BF294" s="19">
        <v>44463</v>
      </c>
      <c r="BG294" s="20">
        <v>1</v>
      </c>
    </row>
    <row r="295" spans="1:59" s="3" customFormat="1" ht="14.45" customHeight="1" x14ac:dyDescent="0.25">
      <c r="A295" s="49" t="s">
        <v>242</v>
      </c>
      <c r="B295" s="49" t="s">
        <v>243</v>
      </c>
      <c r="C295" s="49" t="s">
        <v>244</v>
      </c>
      <c r="D295" s="49" t="s">
        <v>245</v>
      </c>
      <c r="E295" s="22" t="str">
        <f>_xll.BDP(AX295,"SECURITY NAME")</f>
        <v>Zimmer Biomet Holdings Inc</v>
      </c>
      <c r="F295" s="22" t="str">
        <f>_xll.BDP(AX295,"CRNCY")</f>
        <v>USD</v>
      </c>
      <c r="G295" s="23" t="s">
        <v>84</v>
      </c>
      <c r="H295" s="22" t="str" cm="1">
        <f t="array" ref="H295">IF(OR(_xll.BDP($AX295,"DX202")= "#N/A N/A", _xll.BDP($AX295,"DX202")="#N/A FIELD NOT APPLICABLE"), " ", _xll.BDP($AX295,"DX202"))</f>
        <v>Health Care</v>
      </c>
      <c r="I295" s="24">
        <f>_xll.BDP(AX295,"CRNCY_ADJ_MKT_CAP", "EQY_FUND_CRNCY=USD")/1000</f>
        <v>17.943814746329998</v>
      </c>
      <c r="J295" s="25">
        <f>IFERROR(_xll.BDP(AX295, "DV013")/100,0)</f>
        <v>1.0584927267680996E-2</v>
      </c>
      <c r="K295" s="26" cm="1">
        <f t="array" ref="K295">IF(OR(_xll.BDP($AX295,"RR900")= "#N/A N/A", _xll.BDP($AX295,"RR900")="#N/A FIELD NOT APPLICABLE"), " ", _xll.BDP($AX295,"RR900"))</f>
        <v>17.708962575369597</v>
      </c>
      <c r="L295" s="26" cm="1">
        <f t="array" ref="L295">IF(OR(_xll.BDP($AX295,"EE010")= "#N/A N/A", _xll.BDP($AX295,"EE010")="#N/A FIELD NOT APPLICABLE"), " ", _xll.BDP($AX295,"EE010"))</f>
        <v>10.793169106271568</v>
      </c>
      <c r="M295" s="26" cm="1">
        <f t="array" ref="M295">IF(OR(_xll.BDP($AX295,"RR903")= "#N/A N/A", _xll.BDP($AX295,"RR903")="#N/A FIELD NOT APPLICABLE"), " ", _xll.BDP($AX295,"RR903"))</f>
        <v>1.4465905023685177</v>
      </c>
      <c r="N295" s="26" cm="1">
        <f t="array" ref="N295">IF(OR(_xll.BDP($AX295,"RR957")= "#N/A N/A", _xll.BDP($AX295,"RR957")="#N/A FIELD NOT APPLICABLE"), " ", _xll.BDP($AX295,"RR957"))</f>
        <v>10.212380494935889</v>
      </c>
      <c r="O295" s="27">
        <v>450</v>
      </c>
      <c r="P295" s="28">
        <v>108.65</v>
      </c>
      <c r="Q295" s="22" cm="1">
        <f t="array" ref="Q295">IF(OR(_xll.BDP($AX295,"PX_last")="#N/A N/A",_xll.BDP($AX295,"PX_Last")="#N/A FIELD NOT APPLICABLE")," ",IF(F295="GBP",(_xll.BDP($AX295,"PX_LAST")/100),(_xll.BDP($AX295,"PX_LAST"))))</f>
        <v>90.694999999999993</v>
      </c>
      <c r="R295" s="29">
        <f>IF(F295="USD",AA295,(((_xll.BDP(F295&amp;"USD CURNCY","PX_LAST")))*AA295))</f>
        <v>48892.5</v>
      </c>
      <c r="S295" s="29">
        <f>IF(F295="USD",AB295,(((_xll.BDP(F295&amp;"USD CURNCY","PX_LAST")))*AB295))</f>
        <v>40812.75</v>
      </c>
      <c r="T295" s="12">
        <f>S295-R295</f>
        <v>-8079.75</v>
      </c>
      <c r="U295" s="13">
        <f>T295/R295</f>
        <v>-0.16525540727105384</v>
      </c>
      <c r="V295" s="13" cm="1">
        <f t="array" ref="V295">IFERROR(_xll.BDP($G295&amp;" Equity","CHG_PCT_1D")/100,"")</f>
        <v>2.376216E-3</v>
      </c>
      <c r="W295" s="13" cm="1">
        <f t="array" ref="W295">IFERROR(_xll.BDP($G295&amp;" Equity","CHG_PCT_5D")/100,"")</f>
        <v>-0.1176671</v>
      </c>
      <c r="X295" s="13" t="e">
        <f>S295/#REF!</f>
        <v>#REF!</v>
      </c>
      <c r="Y295" s="24">
        <f>IFERROR(S295*J295,0)</f>
        <v>431.9999903440476</v>
      </c>
      <c r="Z295" s="24">
        <f>S295</f>
        <v>40812.75</v>
      </c>
      <c r="AA295" s="29">
        <f>P295*O295</f>
        <v>48892.5</v>
      </c>
      <c r="AB295" s="29">
        <f>IFERROR(O295*Q295,0)</f>
        <v>40812.75</v>
      </c>
      <c r="AC295" s="4" t="e" cm="1">
        <f t="array" ref="AC295">VLOOKUP(IF(NOT(_xll.BDP(AX295,$BW$8)="#N/A N/A"),(_xll.BDP(AX295,$BW$8)),"-"), '[1]Country Codes'!$A$2:$B$253,2,0)</f>
        <v>#N/A</v>
      </c>
      <c r="AD295" s="30" t="str" cm="1">
        <f t="array" ref="AD295">IF(OR(_xll.BDP($AX295,"EX028")= "#N/A N/A", _xll.BDP($AX295,"EX028")="#N/A FIELD NOT APPLICABLE"), " ", _xll.BDP($AX295,"EX028"))</f>
        <v>Equity</v>
      </c>
      <c r="AE295" s="31" t="str">
        <f>IF(("AS97"="Equity"), " ", "Single Line Equity")</f>
        <v>Single Line Equity</v>
      </c>
      <c r="AF295" s="26" cm="1">
        <f t="array" ref="AF295">IF(OR(_xll.BDP($AX295,"RR908")= "#N/A N/A", _xll.BDP($AX295,"RR908")="#N/A FIELD NOT APPLICABLE"), " ", _xll.BDP($AX295,"RR908"))</f>
        <v>11.034997723954795</v>
      </c>
      <c r="AG295" s="26" cm="1">
        <f t="array" ref="AG295">IF(OR(_xll.BDP($AX295,"RR041")= "#N/A N/A", _xll.BDP($AX295,"RR041")="#N/A FIELD NOT APPLICABLE"), " ", _xll.BDP($AX295,"RR041"))</f>
        <v>30.17963623428534</v>
      </c>
      <c r="AH295" s="22">
        <f>_xll.BDP(AX295,"TOT_BUY_REC")</f>
        <v>12</v>
      </c>
      <c r="AI295" s="22">
        <f>_xll.BDP(AX295,"TOT_HOLD_REC")</f>
        <v>17</v>
      </c>
      <c r="AJ295" s="22">
        <f>_xll.BDP(AX295,"TOT_SELL_REC")</f>
        <v>2</v>
      </c>
      <c r="AK295" s="26" cm="1">
        <f t="array" ref="AK295">IF(OR(_xll.BDP($AX295,"EE201")= "#N/A N/A", _xll.BDP($AX295,"EE201")="#N/A FIELD NOT APPLICABLE"), " ", _xll.BDP($AX295,"EE201"))</f>
        <v>3.6129031181335449</v>
      </c>
      <c r="AL295" s="24">
        <f>_xll.BDP(AX295,"BEST_TARGET_PRICE")</f>
        <v>110.07142639160156</v>
      </c>
      <c r="AM295" s="32">
        <f>(AL295/Q295)-1</f>
        <v>0.21364382150726691</v>
      </c>
      <c r="AN295" s="32">
        <f>_xll.BDP(AX295,"PR061")/100</f>
        <v>-0.15506800000000001</v>
      </c>
      <c r="AO295" s="32">
        <f>_xll.BDP(AX295,"PR064")/100</f>
        <v>-0.11680790000000001</v>
      </c>
      <c r="AP295" s="32">
        <f>_xll.BDP(AX295,"CHG_PCT_6M")/100</f>
        <v>-0.17677219999999999</v>
      </c>
      <c r="AQ295" s="25">
        <f>_xll.BDP(AX295,"PR079")/100</f>
        <v>-0.14138970000000001</v>
      </c>
      <c r="AR295" s="33">
        <f>_xll.BDP(AX295,"hs001")</f>
        <v>122.25</v>
      </c>
      <c r="AS295" s="33">
        <f>_xll.BDP(AX295,"hs002")</f>
        <v>89.92</v>
      </c>
      <c r="AT295" s="22" t="str" cm="1">
        <f t="array" ref="AT295">IF(OR(_xll.BDP($AX295,"DX202")= "#N/A N/A", _xll.BDP($AX295,"DX202")="#N/A FIELD NOT APPLICABLE"), " ", _xll.BDP($AX295,"DX202"))</f>
        <v>Health Care</v>
      </c>
      <c r="AU295" s="22" t="str" cm="1">
        <f t="array" ref="AU295">IF(OR(_xll.BDP($AX295,"DY997")= "#N/A N/A", _xll.BDP($AX295,"DY997")="#N/A FIELD NOT APPLICABLE"), " ", _xll.BDP($AX295,"DY997"))</f>
        <v>Y</v>
      </c>
      <c r="AV295" s="22" t="str" cm="1">
        <f t="array" ref="AV295">IF(OR(_xll.BDP($AX295,"DY784")= "#N/A N/A", _xll.BDP($AX295,"DY784")="#N/A FIELD NOT APPLICABLE"), " ", _xll.BDP($AX295,"DY784"))</f>
        <v>Y</v>
      </c>
      <c r="AW295" s="22" t="str">
        <f>IF(OR(AU295="Y",AV295="Y"),"Y","N")</f>
        <v>Y</v>
      </c>
      <c r="AX295" s="22" t="str">
        <f>CONCATENATE(G295," ",$AX$2)</f>
        <v>ZBH US Equity</v>
      </c>
      <c r="BC295" s="17" t="str" cm="1">
        <f t="array" ref="BC295">_xll.BDP(AX295,"ID005")</f>
        <v>US98956P1021</v>
      </c>
      <c r="BD295" s="17">
        <v>0.72</v>
      </c>
      <c r="BE295" s="18">
        <v>4</v>
      </c>
      <c r="BF295" s="19">
        <v>44463</v>
      </c>
      <c r="BG295" s="20">
        <v>1</v>
      </c>
    </row>
    <row r="296" spans="1:59" s="3" customFormat="1" ht="14.45" customHeight="1" x14ac:dyDescent="0.25">
      <c r="A296" s="49" t="s">
        <v>241</v>
      </c>
      <c r="B296" s="49" t="s">
        <v>251</v>
      </c>
      <c r="C296" s="49" t="s">
        <v>252</v>
      </c>
      <c r="D296" s="49" t="s">
        <v>240</v>
      </c>
      <c r="E296" s="22" t="str">
        <f>_xll.BDP(AX296,"SECURITY NAME")</f>
        <v>Zimmer Biomet Holdings Inc</v>
      </c>
      <c r="F296" s="22" t="str">
        <f>_xll.BDP(AX296,"CRNCY")</f>
        <v>USD</v>
      </c>
      <c r="G296" s="23" t="s">
        <v>84</v>
      </c>
      <c r="H296" s="22" t="str" cm="1">
        <f t="array" ref="H296">IF(OR(_xll.BDP($AX296,"DX202")= "#N/A N/A", _xll.BDP($AX296,"DX202")="#N/A FIELD NOT APPLICABLE"), " ", _xll.BDP($AX296,"DX202"))</f>
        <v>Health Care</v>
      </c>
      <c r="I296" s="24">
        <f>_xll.BDP(AX296,"CRNCY_ADJ_MKT_CAP", "EQY_FUND_CRNCY=USD")/1000</f>
        <v>17.943814746329998</v>
      </c>
      <c r="J296" s="25">
        <f>IFERROR(_xll.BDP(AX296, "DV013")/100,0)</f>
        <v>1.0584927267680996E-2</v>
      </c>
      <c r="K296" s="26" cm="1">
        <f t="array" ref="K296">IF(OR(_xll.BDP($AX296,"RR900")= "#N/A N/A", _xll.BDP($AX296,"RR900")="#N/A FIELD NOT APPLICABLE"), " ", _xll.BDP($AX296,"RR900"))</f>
        <v>17.708962575369597</v>
      </c>
      <c r="L296" s="26" cm="1">
        <f t="array" ref="L296">IF(OR(_xll.BDP($AX296,"EE010")= "#N/A N/A", _xll.BDP($AX296,"EE010")="#N/A FIELD NOT APPLICABLE"), " ", _xll.BDP($AX296,"EE010"))</f>
        <v>10.793169106271568</v>
      </c>
      <c r="M296" s="26" cm="1">
        <f t="array" ref="M296">IF(OR(_xll.BDP($AX296,"RR903")= "#N/A N/A", _xll.BDP($AX296,"RR903")="#N/A FIELD NOT APPLICABLE"), " ", _xll.BDP($AX296,"RR903"))</f>
        <v>1.4465905023685177</v>
      </c>
      <c r="N296" s="26" cm="1">
        <f t="array" ref="N296">IF(OR(_xll.BDP($AX296,"RR957")= "#N/A N/A", _xll.BDP($AX296,"RR957")="#N/A FIELD NOT APPLICABLE"), " ", _xll.BDP($AX296,"RR957"))</f>
        <v>10.212380494935889</v>
      </c>
      <c r="O296" s="27">
        <v>275</v>
      </c>
      <c r="P296" s="28">
        <v>109.2948</v>
      </c>
      <c r="Q296" s="22" cm="1">
        <f t="array" ref="Q296">IF(OR(_xll.BDP($AX296,"PX_last")="#N/A N/A",_xll.BDP($AX296,"PX_Last")="#N/A FIELD NOT APPLICABLE")," ",IF(F296="GBP",(_xll.BDP($AX296,"PX_LAST")/100),(_xll.BDP($AX296,"PX_LAST"))))</f>
        <v>90.694999999999993</v>
      </c>
      <c r="R296" s="29">
        <f>IF(F296="USD",AA296,(((_xll.BDP(F296&amp;"USD CURNCY","PX_LAST")))*AA296))</f>
        <v>30056.07</v>
      </c>
      <c r="S296" s="29">
        <f>IF(F296="USD",AB296,(((_xll.BDP(F296&amp;"USD CURNCY","PX_LAST")))*AB296))</f>
        <v>24941.124999999996</v>
      </c>
      <c r="T296" s="12">
        <f>S296-R296</f>
        <v>-5114.9450000000033</v>
      </c>
      <c r="U296" s="13">
        <f>T296/R296</f>
        <v>-0.17018010005965528</v>
      </c>
      <c r="V296" s="13" cm="1">
        <f t="array" ref="V296">IFERROR(_xll.BDP($G296&amp;" Equity","CHG_PCT_1D")/100,"")</f>
        <v>2.376216E-3</v>
      </c>
      <c r="W296" s="13" cm="1">
        <f t="array" ref="W296">IFERROR(_xll.BDP($G296&amp;" Equity","CHG_PCT_5D")/100,"")</f>
        <v>-0.1176671</v>
      </c>
      <c r="X296" s="13" t="e">
        <f>S296/#REF!</f>
        <v>#REF!</v>
      </c>
      <c r="Y296" s="24">
        <f>IFERROR(S296*J296,0)</f>
        <v>263.99999409914017</v>
      </c>
      <c r="Z296" s="24">
        <f>S296</f>
        <v>24941.124999999996</v>
      </c>
      <c r="AA296" s="29">
        <f>P296*O296</f>
        <v>30056.07</v>
      </c>
      <c r="AB296" s="29">
        <f>IFERROR(O296*Q296,0)</f>
        <v>24941.124999999996</v>
      </c>
      <c r="AC296" s="4" t="e" cm="1">
        <f t="array" ref="AC296">VLOOKUP(IF(NOT(_xll.BDP(AX296,$BW$8)="#N/A N/A"),(_xll.BDP(AX296,$BW$8)),"-"), '[1]Country Codes'!$A$2:$B$253,2,0)</f>
        <v>#N/A</v>
      </c>
      <c r="AD296" s="30" t="str" cm="1">
        <f t="array" ref="AD296">IF(OR(_xll.BDP($AX296,"EX028")= "#N/A N/A", _xll.BDP($AX296,"EX028")="#N/A FIELD NOT APPLICABLE"), " ", _xll.BDP($AX296,"EX028"))</f>
        <v>Equity</v>
      </c>
      <c r="AE296" s="31" t="str">
        <f>IF(("AS97"="Equity"), " ", "Single Line Equity")</f>
        <v>Single Line Equity</v>
      </c>
      <c r="AF296" s="26" cm="1">
        <f t="array" ref="AF296">IF(OR(_xll.BDP($AX296,"RR908")= "#N/A N/A", _xll.BDP($AX296,"RR908")="#N/A FIELD NOT APPLICABLE"), " ", _xll.BDP($AX296,"RR908"))</f>
        <v>11.034997723954795</v>
      </c>
      <c r="AG296" s="26" cm="1">
        <f t="array" ref="AG296">IF(OR(_xll.BDP($AX296,"RR041")= "#N/A N/A", _xll.BDP($AX296,"RR041")="#N/A FIELD NOT APPLICABLE"), " ", _xll.BDP($AX296,"RR041"))</f>
        <v>30.17963623428534</v>
      </c>
      <c r="AH296" s="22">
        <f>_xll.BDP(AX296,"TOT_BUY_REC")</f>
        <v>12</v>
      </c>
      <c r="AI296" s="22">
        <f>_xll.BDP(AX296,"TOT_HOLD_REC")</f>
        <v>17</v>
      </c>
      <c r="AJ296" s="22">
        <f>_xll.BDP(AX296,"TOT_SELL_REC")</f>
        <v>2</v>
      </c>
      <c r="AK296" s="26" cm="1">
        <f t="array" ref="AK296">IF(OR(_xll.BDP($AX296,"EE201")= "#N/A N/A", _xll.BDP($AX296,"EE201")="#N/A FIELD NOT APPLICABLE"), " ", _xll.BDP($AX296,"EE201"))</f>
        <v>3.6129031181335449</v>
      </c>
      <c r="AL296" s="24">
        <f>_xll.BDP(AX296,"BEST_TARGET_PRICE")</f>
        <v>110.07142639160156</v>
      </c>
      <c r="AM296" s="32">
        <f>(AL296/Q296)-1</f>
        <v>0.21364382150726691</v>
      </c>
      <c r="AN296" s="32">
        <f>_xll.BDP(AX296,"PR061")/100</f>
        <v>-0.15506800000000001</v>
      </c>
      <c r="AO296" s="32">
        <f>_xll.BDP(AX296,"PR064")/100</f>
        <v>-0.11680790000000001</v>
      </c>
      <c r="AP296" s="32">
        <f>_xll.BDP(AX296,"CHG_PCT_6M")/100</f>
        <v>-0.17677219999999999</v>
      </c>
      <c r="AQ296" s="25">
        <f>_xll.BDP(AX296,"PR079")/100</f>
        <v>-0.14138970000000001</v>
      </c>
      <c r="AR296" s="33">
        <f>_xll.BDP(AX296,"hs001")</f>
        <v>122.25</v>
      </c>
      <c r="AS296" s="33">
        <f>_xll.BDP(AX296,"hs002")</f>
        <v>89.92</v>
      </c>
      <c r="AT296" s="22" t="str" cm="1">
        <f t="array" ref="AT296">IF(OR(_xll.BDP($AX296,"DX202")= "#N/A N/A", _xll.BDP($AX296,"DX202")="#N/A FIELD NOT APPLICABLE"), " ", _xll.BDP($AX296,"DX202"))</f>
        <v>Health Care</v>
      </c>
      <c r="AU296" s="22" t="str" cm="1">
        <f t="array" ref="AU296">IF(OR(_xll.BDP($AX296,"DY997")= "#N/A N/A", _xll.BDP($AX296,"DY997")="#N/A FIELD NOT APPLICABLE"), " ", _xll.BDP($AX296,"DY997"))</f>
        <v>Y</v>
      </c>
      <c r="AV296" s="22" t="str" cm="1">
        <f t="array" ref="AV296">IF(OR(_xll.BDP($AX296,"DY784")= "#N/A N/A", _xll.BDP($AX296,"DY784")="#N/A FIELD NOT APPLICABLE"), " ", _xll.BDP($AX296,"DY784"))</f>
        <v>Y</v>
      </c>
      <c r="AW296" s="22" t="str">
        <f>IF(OR(AU296="Y",AV296="Y"),"Y","N")</f>
        <v>Y</v>
      </c>
      <c r="AX296" s="22" t="str">
        <f>CONCATENATE(G296," ",$AX$2)</f>
        <v>ZBH US Equity</v>
      </c>
      <c r="BC296" s="17" t="str" cm="1">
        <f t="array" ref="BC296">_xll.BDP(AX296,"ID005")</f>
        <v>US98956P1021</v>
      </c>
      <c r="BD296" s="17">
        <v>0.72</v>
      </c>
      <c r="BE296" s="18">
        <v>4</v>
      </c>
      <c r="BF296" s="19">
        <v>44463</v>
      </c>
      <c r="BG296" s="20">
        <v>1</v>
      </c>
    </row>
    <row r="297" spans="1:59" s="3" customFormat="1" ht="14.45" customHeight="1" x14ac:dyDescent="0.25">
      <c r="A297" s="49" t="s">
        <v>257</v>
      </c>
      <c r="B297" s="49" t="s">
        <v>258</v>
      </c>
      <c r="C297" s="49" t="s">
        <v>259</v>
      </c>
      <c r="D297" s="49" t="s">
        <v>248</v>
      </c>
      <c r="E297" s="22" t="str">
        <f>_xll.BDP(AX297,"SECURITY NAME")</f>
        <v>Zimmer Biomet Holdings Inc</v>
      </c>
      <c r="F297" s="22" t="str">
        <f>_xll.BDP(AX297,"CRNCY")</f>
        <v>USD</v>
      </c>
      <c r="G297" s="23" t="s">
        <v>84</v>
      </c>
      <c r="H297" s="22" t="str" cm="1">
        <f t="array" ref="H297">IF(OR(_xll.BDP($AX297,"DX202")= "#N/A N/A", _xll.BDP($AX297,"DX202")="#N/A FIELD NOT APPLICABLE"), " ", _xll.BDP($AX297,"DX202"))</f>
        <v>Health Care</v>
      </c>
      <c r="I297" s="24">
        <f>_xll.BDP(AX297,"CRNCY_ADJ_MKT_CAP", "EQY_FUND_CRNCY=USD")/1000</f>
        <v>17.943814746329998</v>
      </c>
      <c r="J297" s="25">
        <f>IFERROR(_xll.BDP(AX297, "DV013")/100,0)</f>
        <v>1.0584927267680996E-2</v>
      </c>
      <c r="K297" s="26" cm="1">
        <f t="array" ref="K297">IF(OR(_xll.BDP($AX297,"RR900")= "#N/A N/A", _xll.BDP($AX297,"RR900")="#N/A FIELD NOT APPLICABLE"), " ", _xll.BDP($AX297,"RR900"))</f>
        <v>17.708962575369597</v>
      </c>
      <c r="L297" s="26" cm="1">
        <f t="array" ref="L297">IF(OR(_xll.BDP($AX297,"EE010")= "#N/A N/A", _xll.BDP($AX297,"EE010")="#N/A FIELD NOT APPLICABLE"), " ", _xll.BDP($AX297,"EE010"))</f>
        <v>10.793169106271568</v>
      </c>
      <c r="M297" s="26" cm="1">
        <f t="array" ref="M297">IF(OR(_xll.BDP($AX297,"RR903")= "#N/A N/A", _xll.BDP($AX297,"RR903")="#N/A FIELD NOT APPLICABLE"), " ", _xll.BDP($AX297,"RR903"))</f>
        <v>1.4465905023685177</v>
      </c>
      <c r="N297" s="26" cm="1">
        <f t="array" ref="N297">IF(OR(_xll.BDP($AX297,"RR957")= "#N/A N/A", _xll.BDP($AX297,"RR957")="#N/A FIELD NOT APPLICABLE"), " ", _xll.BDP($AX297,"RR957"))</f>
        <v>10.212380494935889</v>
      </c>
      <c r="O297" s="27">
        <v>450</v>
      </c>
      <c r="P297" s="28">
        <v>109.64</v>
      </c>
      <c r="Q297" s="22" cm="1">
        <f t="array" ref="Q297">IF(OR(_xll.BDP($AX297,"PX_last")="#N/A N/A",_xll.BDP($AX297,"PX_Last")="#N/A FIELD NOT APPLICABLE")," ",IF(F297="GBP",(_xll.BDP($AX297,"PX_LAST")/100),(_xll.BDP($AX297,"PX_LAST"))))</f>
        <v>90.694999999999993</v>
      </c>
      <c r="R297" s="29">
        <f>IF(F297="USD",AA297,(((_xll.BDP(F297&amp;"USD CURNCY","PX_LAST")))*AA297))</f>
        <v>49338</v>
      </c>
      <c r="S297" s="29">
        <f>IF(F297="USD",AB297,(((_xll.BDP(F297&amp;"USD CURNCY","PX_LAST")))*AB297))</f>
        <v>40812.75</v>
      </c>
      <c r="T297" s="12">
        <f>S297-R297</f>
        <v>-8525.25</v>
      </c>
      <c r="U297" s="13">
        <f>T297/R297</f>
        <v>-0.17279277635899307</v>
      </c>
      <c r="V297" s="13" cm="1">
        <f t="array" ref="V297">IFERROR(_xll.BDP($G297&amp;" Equity","CHG_PCT_1D")/100,"")</f>
        <v>2.376216E-3</v>
      </c>
      <c r="W297" s="13" cm="1">
        <f t="array" ref="W297">IFERROR(_xll.BDP($G297&amp;" Equity","CHG_PCT_5D")/100,"")</f>
        <v>-0.1176671</v>
      </c>
      <c r="X297" s="13" t="e">
        <f>S297/#REF!</f>
        <v>#REF!</v>
      </c>
      <c r="Y297" s="24">
        <f>IFERROR(S297*J297,0)</f>
        <v>431.9999903440476</v>
      </c>
      <c r="Z297" s="24">
        <f>S297</f>
        <v>40812.75</v>
      </c>
      <c r="AA297" s="29">
        <f>P297*O297</f>
        <v>49338</v>
      </c>
      <c r="AB297" s="29">
        <f>IFERROR(O297*Q297,0)</f>
        <v>40812.75</v>
      </c>
      <c r="AC297" s="4" t="e" cm="1">
        <f t="array" ref="AC297">VLOOKUP(IF(NOT(_xll.BDP(AX297,$BW$8)="#N/A N/A"),(_xll.BDP(AX297,$BW$8)),"-"), '[1]Country Codes'!$A$2:$B$253,2,0)</f>
        <v>#N/A</v>
      </c>
      <c r="AD297" s="30" t="str" cm="1">
        <f t="array" ref="AD297">IF(OR(_xll.BDP($AX297,"EX028")= "#N/A N/A", _xll.BDP($AX297,"EX028")="#N/A FIELD NOT APPLICABLE"), " ", _xll.BDP($AX297,"EX028"))</f>
        <v>Equity</v>
      </c>
      <c r="AE297" s="31" t="str">
        <f>IF(("AS97"="Equity"), " ", "Single Line Equity")</f>
        <v>Single Line Equity</v>
      </c>
      <c r="AF297" s="26" cm="1">
        <f t="array" ref="AF297">IF(OR(_xll.BDP($AX297,"RR908")= "#N/A N/A", _xll.BDP($AX297,"RR908")="#N/A FIELD NOT APPLICABLE"), " ", _xll.BDP($AX297,"RR908"))</f>
        <v>11.034997723954795</v>
      </c>
      <c r="AG297" s="26" cm="1">
        <f t="array" ref="AG297">IF(OR(_xll.BDP($AX297,"RR041")= "#N/A N/A", _xll.BDP($AX297,"RR041")="#N/A FIELD NOT APPLICABLE"), " ", _xll.BDP($AX297,"RR041"))</f>
        <v>30.17963623428534</v>
      </c>
      <c r="AH297" s="22">
        <f>_xll.BDP(AX297,"TOT_BUY_REC")</f>
        <v>12</v>
      </c>
      <c r="AI297" s="22">
        <f>_xll.BDP(AX297,"TOT_HOLD_REC")</f>
        <v>17</v>
      </c>
      <c r="AJ297" s="22">
        <f>_xll.BDP(AX297,"TOT_SELL_REC")</f>
        <v>2</v>
      </c>
      <c r="AK297" s="26" cm="1">
        <f t="array" ref="AK297">IF(OR(_xll.BDP($AX297,"EE201")= "#N/A N/A", _xll.BDP($AX297,"EE201")="#N/A FIELD NOT APPLICABLE"), " ", _xll.BDP($AX297,"EE201"))</f>
        <v>3.6129031181335449</v>
      </c>
      <c r="AL297" s="24">
        <f>_xll.BDP(AX297,"BEST_TARGET_PRICE")</f>
        <v>110.07142639160156</v>
      </c>
      <c r="AM297" s="32">
        <f>(AL297/Q297)-1</f>
        <v>0.21364382150726691</v>
      </c>
      <c r="AN297" s="32">
        <f>_xll.BDP(AX297,"PR061")/100</f>
        <v>-0.15506800000000001</v>
      </c>
      <c r="AO297" s="32">
        <f>_xll.BDP(AX297,"PR064")/100</f>
        <v>-0.11680790000000001</v>
      </c>
      <c r="AP297" s="32">
        <f>_xll.BDP(AX297,"CHG_PCT_6M")/100</f>
        <v>-0.17677219999999999</v>
      </c>
      <c r="AQ297" s="25">
        <f>_xll.BDP(AX297,"PR079")/100</f>
        <v>-0.14138970000000001</v>
      </c>
      <c r="AR297" s="33">
        <f>_xll.BDP(AX297,"hs001")</f>
        <v>122.25</v>
      </c>
      <c r="AS297" s="33">
        <f>_xll.BDP(AX297,"hs002")</f>
        <v>89.92</v>
      </c>
      <c r="AT297" s="22" t="str" cm="1">
        <f t="array" ref="AT297">IF(OR(_xll.BDP($AX297,"DX202")= "#N/A N/A", _xll.BDP($AX297,"DX202")="#N/A FIELD NOT APPLICABLE"), " ", _xll.BDP($AX297,"DX202"))</f>
        <v>Health Care</v>
      </c>
      <c r="AU297" s="22" t="str" cm="1">
        <f t="array" ref="AU297">IF(OR(_xll.BDP($AX297,"DY997")= "#N/A N/A", _xll.BDP($AX297,"DY997")="#N/A FIELD NOT APPLICABLE"), " ", _xll.BDP($AX297,"DY997"))</f>
        <v>Y</v>
      </c>
      <c r="AV297" s="22" t="str" cm="1">
        <f t="array" ref="AV297">IF(OR(_xll.BDP($AX297,"DY784")= "#N/A N/A", _xll.BDP($AX297,"DY784")="#N/A FIELD NOT APPLICABLE"), " ", _xll.BDP($AX297,"DY784"))</f>
        <v>Y</v>
      </c>
      <c r="AW297" s="22" t="str">
        <f>IF(OR(AU297="Y",AV297="Y"),"Y","N")</f>
        <v>Y</v>
      </c>
      <c r="AX297" s="22" t="str">
        <f>CONCATENATE(G297," ",$AX$2)</f>
        <v>ZBH US Equity</v>
      </c>
      <c r="BC297" s="17" t="str" cm="1">
        <f t="array" ref="BC297">_xll.BDP(AX297,"ID005")</f>
        <v>US98956P1021</v>
      </c>
      <c r="BD297" s="17">
        <v>0.72</v>
      </c>
      <c r="BE297" s="18">
        <v>4</v>
      </c>
      <c r="BF297" s="19">
        <v>44463</v>
      </c>
      <c r="BG297" s="20">
        <v>1</v>
      </c>
    </row>
    <row r="298" spans="1:59" s="3" customFormat="1" ht="14.45" customHeight="1" x14ac:dyDescent="0.25">
      <c r="A298" s="49" t="s">
        <v>242</v>
      </c>
      <c r="B298" s="49" t="s">
        <v>260</v>
      </c>
      <c r="C298" s="49" t="s">
        <v>261</v>
      </c>
      <c r="D298" s="49" t="s">
        <v>248</v>
      </c>
      <c r="E298" s="22" t="str">
        <f>_xll.BDP(AX298,"SECURITY NAME")</f>
        <v>Zimmer Biomet Holdings Inc</v>
      </c>
      <c r="F298" s="22" t="str">
        <f>_xll.BDP(AX298,"CRNCY")</f>
        <v>USD</v>
      </c>
      <c r="G298" s="73" t="s">
        <v>84</v>
      </c>
      <c r="H298" s="22" t="str" cm="1">
        <f t="array" ref="H298">IF(OR(_xll.BDP($AX298,"DX202")= "#N/A N/A", _xll.BDP($AX298,"DX202")="#N/A FIELD NOT APPLICABLE"), " ", _xll.BDP($AX298,"DX202"))</f>
        <v>Health Care</v>
      </c>
      <c r="I298" s="24">
        <f>_xll.BDP(AX298,"CRNCY_ADJ_MKT_CAP", "EQY_FUND_CRNCY=USD")/1000</f>
        <v>17.943814746329998</v>
      </c>
      <c r="J298" s="25">
        <f>IFERROR(_xll.BDP(AX298, "DV013")/100,0)</f>
        <v>1.0584927267680996E-2</v>
      </c>
      <c r="K298" s="26" cm="1">
        <f t="array" ref="K298">IF(OR(_xll.BDP($AX298,"RR900")= "#N/A N/A", _xll.BDP($AX298,"RR900")="#N/A FIELD NOT APPLICABLE"), " ", _xll.BDP($AX298,"RR900"))</f>
        <v>17.708962575369597</v>
      </c>
      <c r="L298" s="26" cm="1">
        <f t="array" ref="L298">IF(OR(_xll.BDP($AX298,"EE010")= "#N/A N/A", _xll.BDP($AX298,"EE010")="#N/A FIELD NOT APPLICABLE"), " ", _xll.BDP($AX298,"EE010"))</f>
        <v>10.793169106271568</v>
      </c>
      <c r="M298" s="26" cm="1">
        <f t="array" ref="M298">IF(OR(_xll.BDP($AX298,"RR903")= "#N/A N/A", _xll.BDP($AX298,"RR903")="#N/A FIELD NOT APPLICABLE"), " ", _xll.BDP($AX298,"RR903"))</f>
        <v>1.4465905023685177</v>
      </c>
      <c r="N298" s="26" cm="1">
        <f t="array" ref="N298">IF(OR(_xll.BDP($AX298,"RR957")= "#N/A N/A", _xll.BDP($AX298,"RR957")="#N/A FIELD NOT APPLICABLE"), " ", _xll.BDP($AX298,"RR957"))</f>
        <v>10.212380494935889</v>
      </c>
      <c r="O298" s="74">
        <v>450</v>
      </c>
      <c r="P298" s="75">
        <v>109.64</v>
      </c>
      <c r="Q298" s="22" cm="1">
        <f t="array" ref="Q298">IF(OR(_xll.BDP($AX298,"PX_last")="#N/A N/A",_xll.BDP($AX298,"PX_Last")="#N/A FIELD NOT APPLICABLE")," ",IF(F298="GBP",(_xll.BDP($AX298,"PX_LAST")/100),(_xll.BDP($AX298,"PX_LAST"))))</f>
        <v>90.694999999999993</v>
      </c>
      <c r="R298" s="29">
        <f>IF(F298="USD",AA298,(((_xll.BDP(F298&amp;"USD CURNCY","PX_LAST")))*AA298))</f>
        <v>49338</v>
      </c>
      <c r="S298" s="29">
        <f>IF(F298="USD",AB298,(((_xll.BDP(F298&amp;"USD CURNCY","PX_LAST")))*AB298))</f>
        <v>40812.75</v>
      </c>
      <c r="T298" s="12">
        <f>S298-R298</f>
        <v>-8525.25</v>
      </c>
      <c r="U298" s="13">
        <f>T298/R298</f>
        <v>-0.17279277635899307</v>
      </c>
      <c r="V298" s="13" cm="1">
        <f t="array" ref="V298">IFERROR(_xll.BDP($G298&amp;" Equity","CHG_PCT_1D")/100,"")</f>
        <v>2.376216E-3</v>
      </c>
      <c r="W298" s="13" cm="1">
        <f t="array" ref="W298">IFERROR(_xll.BDP($G298&amp;" Equity","CHG_PCT_5D")/100,"")</f>
        <v>-0.1176671</v>
      </c>
      <c r="X298" s="13" t="e">
        <f>S298/#REF!</f>
        <v>#REF!</v>
      </c>
      <c r="Y298" s="24">
        <f>IFERROR(S298*J298,0)</f>
        <v>431.9999903440476</v>
      </c>
      <c r="Z298" s="24">
        <f>S298</f>
        <v>40812.75</v>
      </c>
      <c r="AA298" s="29">
        <f>P298*O298</f>
        <v>49338</v>
      </c>
      <c r="AB298" s="29">
        <f>IFERROR(O298*Q298,0)</f>
        <v>40812.75</v>
      </c>
      <c r="AC298" s="4" t="e" cm="1">
        <f t="array" ref="AC298">VLOOKUP(IF(NOT(_xll.BDP(AX298,$BW$8)="#N/A N/A"),(_xll.BDP(AX298,$BW$8)),"-"), '[1]Country Codes'!$A$2:$B$253,2,0)</f>
        <v>#N/A</v>
      </c>
      <c r="AD298" s="30" t="str" cm="1">
        <f t="array" ref="AD298">IF(OR(_xll.BDP($AX298,"EX028")= "#N/A N/A", _xll.BDP($AX298,"EX028")="#N/A FIELD NOT APPLICABLE"), " ", _xll.BDP($AX298,"EX028"))</f>
        <v>Equity</v>
      </c>
      <c r="AE298" s="31" t="str">
        <f>IF(("AS97"="Equity"), " ", "Single Line Equity")</f>
        <v>Single Line Equity</v>
      </c>
      <c r="AF298" s="26" cm="1">
        <f t="array" ref="AF298">IF(OR(_xll.BDP($AX298,"RR908")= "#N/A N/A", _xll.BDP($AX298,"RR908")="#N/A FIELD NOT APPLICABLE"), " ", _xll.BDP($AX298,"RR908"))</f>
        <v>11.034997723954795</v>
      </c>
      <c r="AG298" s="26" cm="1">
        <f t="array" ref="AG298">IF(OR(_xll.BDP($AX298,"RR041")= "#N/A N/A", _xll.BDP($AX298,"RR041")="#N/A FIELD NOT APPLICABLE"), " ", _xll.BDP($AX298,"RR041"))</f>
        <v>30.17963623428534</v>
      </c>
      <c r="AH298" s="22">
        <f>_xll.BDP(AX298,"TOT_BUY_REC")</f>
        <v>12</v>
      </c>
      <c r="AI298" s="22">
        <f>_xll.BDP(AX298,"TOT_HOLD_REC")</f>
        <v>17</v>
      </c>
      <c r="AJ298" s="22">
        <f>_xll.BDP(AX298,"TOT_SELL_REC")</f>
        <v>2</v>
      </c>
      <c r="AK298" s="26" cm="1">
        <f t="array" ref="AK298">IF(OR(_xll.BDP($AX298,"EE201")= "#N/A N/A", _xll.BDP($AX298,"EE201")="#N/A FIELD NOT APPLICABLE"), " ", _xll.BDP($AX298,"EE201"))</f>
        <v>3.6129031181335449</v>
      </c>
      <c r="AL298" s="24">
        <f>_xll.BDP(AX298,"BEST_TARGET_PRICE")</f>
        <v>110.07142639160156</v>
      </c>
      <c r="AM298" s="32">
        <f>(AL298/Q298)-1</f>
        <v>0.21364382150726691</v>
      </c>
      <c r="AN298" s="32">
        <f>_xll.BDP(AX298,"PR061")/100</f>
        <v>-0.15506800000000001</v>
      </c>
      <c r="AO298" s="32">
        <f>_xll.BDP(AX298,"PR064")/100</f>
        <v>-0.11680790000000001</v>
      </c>
      <c r="AP298" s="32">
        <f>_xll.BDP(AX298,"CHG_PCT_6M")/100</f>
        <v>-0.17677219999999999</v>
      </c>
      <c r="AQ298" s="25">
        <f>_xll.BDP(AX298,"PR079")/100</f>
        <v>-0.14138970000000001</v>
      </c>
      <c r="AR298" s="33">
        <f>_xll.BDP(AX298,"hs001")</f>
        <v>122.25</v>
      </c>
      <c r="AS298" s="33">
        <f>_xll.BDP(AX298,"hs002")</f>
        <v>89.92</v>
      </c>
      <c r="AT298" s="22" t="str" cm="1">
        <f t="array" ref="AT298">IF(OR(_xll.BDP($AX298,"DX202")= "#N/A N/A", _xll.BDP($AX298,"DX202")="#N/A FIELD NOT APPLICABLE"), " ", _xll.BDP($AX298,"DX202"))</f>
        <v>Health Care</v>
      </c>
      <c r="AU298" s="22" t="str" cm="1">
        <f t="array" ref="AU298">IF(OR(_xll.BDP($AX298,"DY997")= "#N/A N/A", _xll.BDP($AX298,"DY997")="#N/A FIELD NOT APPLICABLE"), " ", _xll.BDP($AX298,"DY997"))</f>
        <v>Y</v>
      </c>
      <c r="AV298" s="22" t="str" cm="1">
        <f t="array" ref="AV298">IF(OR(_xll.BDP($AX298,"DY784")= "#N/A N/A", _xll.BDP($AX298,"DY784")="#N/A FIELD NOT APPLICABLE"), " ", _xll.BDP($AX298,"DY784"))</f>
        <v>Y</v>
      </c>
      <c r="AW298" s="22" t="str">
        <f>IF(OR(AU298="Y",AV298="Y"),"Y","N")</f>
        <v>Y</v>
      </c>
      <c r="AX298" s="22" t="str">
        <f>CONCATENATE(G298," ",$AX$2)</f>
        <v>ZBH US Equity</v>
      </c>
      <c r="BC298" s="17" t="str" cm="1">
        <f t="array" ref="BC298">_xll.BDP(AX298,"ID005")</f>
        <v>US98956P1021</v>
      </c>
      <c r="BD298" s="17">
        <v>0.72</v>
      </c>
      <c r="BE298" s="18">
        <v>4</v>
      </c>
      <c r="BF298" s="19">
        <v>44463</v>
      </c>
      <c r="BG298" s="20">
        <v>1</v>
      </c>
    </row>
    <row r="299" spans="1:59" s="3" customFormat="1" ht="14.45" customHeight="1" x14ac:dyDescent="0.25">
      <c r="A299" s="49" t="s">
        <v>241</v>
      </c>
      <c r="B299" s="49" t="s">
        <v>262</v>
      </c>
      <c r="C299" s="49" t="s">
        <v>263</v>
      </c>
      <c r="D299" s="49" t="s">
        <v>240</v>
      </c>
      <c r="E299" s="22" t="str">
        <f>_xll.BDP(AX299,"SECURITY NAME")</f>
        <v>Zimmer Biomet Holdings Inc</v>
      </c>
      <c r="F299" s="22" t="str">
        <f>_xll.BDP(AX299,"CRNCY")</f>
        <v>USD</v>
      </c>
      <c r="G299" s="23" t="s">
        <v>84</v>
      </c>
      <c r="H299" s="22" t="str" cm="1">
        <f t="array" ref="H299">IF(OR(_xll.BDP($AX299,"DX202")= "#N/A N/A", _xll.BDP($AX299,"DX202")="#N/A FIELD NOT APPLICABLE"), " ", _xll.BDP($AX299,"DX202"))</f>
        <v>Health Care</v>
      </c>
      <c r="I299" s="24">
        <f>_xll.BDP(AX299,"CRNCY_ADJ_MKT_CAP", "EQY_FUND_CRNCY=USD")/1000</f>
        <v>17.943814746329998</v>
      </c>
      <c r="J299" s="25">
        <f>IFERROR(_xll.BDP(AX299, "DV013")/100,0)</f>
        <v>1.0584927267680996E-2</v>
      </c>
      <c r="K299" s="26" cm="1">
        <f t="array" ref="K299">IF(OR(_xll.BDP($AX299,"RR900")= "#N/A N/A", _xll.BDP($AX299,"RR900")="#N/A FIELD NOT APPLICABLE"), " ", _xll.BDP($AX299,"RR900"))</f>
        <v>17.708962575369597</v>
      </c>
      <c r="L299" s="26" cm="1">
        <f t="array" ref="L299">IF(OR(_xll.BDP($AX299,"EE010")= "#N/A N/A", _xll.BDP($AX299,"EE010")="#N/A FIELD NOT APPLICABLE"), " ", _xll.BDP($AX299,"EE010"))</f>
        <v>10.793169106271568</v>
      </c>
      <c r="M299" s="26" cm="1">
        <f t="array" ref="M299">IF(OR(_xll.BDP($AX299,"RR903")= "#N/A N/A", _xll.BDP($AX299,"RR903")="#N/A FIELD NOT APPLICABLE"), " ", _xll.BDP($AX299,"RR903"))</f>
        <v>1.4465905023685177</v>
      </c>
      <c r="N299" s="26" cm="1">
        <f t="array" ref="N299">IF(OR(_xll.BDP($AX299,"RR957")= "#N/A N/A", _xll.BDP($AX299,"RR957")="#N/A FIELD NOT APPLICABLE"), " ", _xll.BDP($AX299,"RR957"))</f>
        <v>10.212380494935889</v>
      </c>
      <c r="O299" s="27">
        <v>680</v>
      </c>
      <c r="P299" s="28">
        <v>109.29481</v>
      </c>
      <c r="Q299" s="22" cm="1">
        <f t="array" ref="Q299">IF(OR(_xll.BDP($AX299,"PX_last")="#N/A N/A",_xll.BDP($AX299,"PX_Last")="#N/A FIELD NOT APPLICABLE")," ",IF(F299="GBP",(_xll.BDP($AX299,"PX_LAST")/100),(_xll.BDP($AX299,"PX_LAST"))))</f>
        <v>90.694999999999993</v>
      </c>
      <c r="R299" s="29">
        <f>IF(F299="USD",AA299,(((_xll.BDP(F299&amp;"USD CURNCY","PX_LAST")))*AA299))</f>
        <v>74320.470799999996</v>
      </c>
      <c r="S299" s="29">
        <f>IF(F299="USD",AB299,(((_xll.BDP(F299&amp;"USD CURNCY","PX_LAST")))*AB299))</f>
        <v>61672.6</v>
      </c>
      <c r="T299" s="12">
        <f>S299-R299</f>
        <v>-12647.870799999997</v>
      </c>
      <c r="U299" s="13">
        <f>T299/R299</f>
        <v>-0.17018017598456867</v>
      </c>
      <c r="V299" s="13" cm="1">
        <f t="array" ref="V299">IFERROR(_xll.BDP($G299&amp;" Equity","CHG_PCT_1D")/100,"")</f>
        <v>2.376216E-3</v>
      </c>
      <c r="W299" s="13" cm="1">
        <f t="array" ref="W299">IFERROR(_xll.BDP($G299&amp;" Equity","CHG_PCT_5D")/100,"")</f>
        <v>-0.1176671</v>
      </c>
      <c r="X299" s="13" t="e">
        <f>S299/#REF!</f>
        <v>#REF!</v>
      </c>
      <c r="Y299" s="24">
        <f>IFERROR(S299*J299,0)</f>
        <v>652.79998540878296</v>
      </c>
      <c r="Z299" s="24">
        <f>S299</f>
        <v>61672.6</v>
      </c>
      <c r="AA299" s="29">
        <f>P299*O299</f>
        <v>74320.470799999996</v>
      </c>
      <c r="AB299" s="29">
        <f>IFERROR(O299*Q299,0)</f>
        <v>61672.6</v>
      </c>
      <c r="AC299" s="4" t="e" cm="1">
        <f t="array" ref="AC299">VLOOKUP(IF(NOT(_xll.BDP(AX299,$BW$8)="#N/A N/A"),(_xll.BDP(AX299,$BW$8)),"-"), '[1]Country Codes'!$A$2:$B$253,2,0)</f>
        <v>#N/A</v>
      </c>
      <c r="AD299" s="30" t="str" cm="1">
        <f t="array" ref="AD299">IF(OR(_xll.BDP($AX299,"EX028")= "#N/A N/A", _xll.BDP($AX299,"EX028")="#N/A FIELD NOT APPLICABLE"), " ", _xll.BDP($AX299,"EX028"))</f>
        <v>Equity</v>
      </c>
      <c r="AE299" s="31" t="str">
        <f>IF(("AS97"="Equity"), " ", "Single Line Equity")</f>
        <v>Single Line Equity</v>
      </c>
      <c r="AF299" s="26" cm="1">
        <f t="array" ref="AF299">IF(OR(_xll.BDP($AX299,"RR908")= "#N/A N/A", _xll.BDP($AX299,"RR908")="#N/A FIELD NOT APPLICABLE"), " ", _xll.BDP($AX299,"RR908"))</f>
        <v>11.034997723954795</v>
      </c>
      <c r="AG299" s="26" cm="1">
        <f t="array" ref="AG299">IF(OR(_xll.BDP($AX299,"RR041")= "#N/A N/A", _xll.BDP($AX299,"RR041")="#N/A FIELD NOT APPLICABLE"), " ", _xll.BDP($AX299,"RR041"))</f>
        <v>30.17963623428534</v>
      </c>
      <c r="AH299" s="22">
        <f>_xll.BDP(AX299,"TOT_BUY_REC")</f>
        <v>12</v>
      </c>
      <c r="AI299" s="22">
        <f>_xll.BDP(AX299,"TOT_HOLD_REC")</f>
        <v>17</v>
      </c>
      <c r="AJ299" s="22">
        <f>_xll.BDP(AX299,"TOT_SELL_REC")</f>
        <v>2</v>
      </c>
      <c r="AK299" s="26" cm="1">
        <f t="array" ref="AK299">IF(OR(_xll.BDP($AX299,"EE201")= "#N/A N/A", _xll.BDP($AX299,"EE201")="#N/A FIELD NOT APPLICABLE"), " ", _xll.BDP($AX299,"EE201"))</f>
        <v>3.6129031181335449</v>
      </c>
      <c r="AL299" s="24">
        <f>_xll.BDP(AX299,"BEST_TARGET_PRICE")</f>
        <v>110.07142639160156</v>
      </c>
      <c r="AM299" s="32">
        <f>(AL299/Q299)-1</f>
        <v>0.21364382150726691</v>
      </c>
      <c r="AN299" s="32">
        <f>_xll.BDP(AX299,"PR061")/100</f>
        <v>-0.15506800000000001</v>
      </c>
      <c r="AO299" s="32">
        <f>_xll.BDP(AX299,"PR064")/100</f>
        <v>-0.11680790000000001</v>
      </c>
      <c r="AP299" s="32">
        <f>_xll.BDP(AX299,"CHG_PCT_6M")/100</f>
        <v>-0.17677219999999999</v>
      </c>
      <c r="AQ299" s="25">
        <f>_xll.BDP(AX299,"PR079")/100</f>
        <v>-0.14138970000000001</v>
      </c>
      <c r="AR299" s="33">
        <f>_xll.BDP(AX299,"hs001")</f>
        <v>122.25</v>
      </c>
      <c r="AS299" s="33">
        <f>_xll.BDP(AX299,"hs002")</f>
        <v>89.92</v>
      </c>
      <c r="AT299" s="22" t="str" cm="1">
        <f t="array" ref="AT299">IF(OR(_xll.BDP($AX299,"DX202")= "#N/A N/A", _xll.BDP($AX299,"DX202")="#N/A FIELD NOT APPLICABLE"), " ", _xll.BDP($AX299,"DX202"))</f>
        <v>Health Care</v>
      </c>
      <c r="AU299" s="22" t="str" cm="1">
        <f t="array" ref="AU299">IF(OR(_xll.BDP($AX299,"DY997")= "#N/A N/A", _xll.BDP($AX299,"DY997")="#N/A FIELD NOT APPLICABLE"), " ", _xll.BDP($AX299,"DY997"))</f>
        <v>Y</v>
      </c>
      <c r="AV299" s="22" t="str" cm="1">
        <f t="array" ref="AV299">IF(OR(_xll.BDP($AX299,"DY784")= "#N/A N/A", _xll.BDP($AX299,"DY784")="#N/A FIELD NOT APPLICABLE"), " ", _xll.BDP($AX299,"DY784"))</f>
        <v>Y</v>
      </c>
      <c r="AW299" s="22" t="str">
        <f>IF(OR(AU299="Y",AV299="Y"),"Y","N")</f>
        <v>Y</v>
      </c>
      <c r="AX299" s="22" t="str">
        <f>CONCATENATE(G299," ",$AX$2)</f>
        <v>ZBH US Equity</v>
      </c>
      <c r="BC299" s="17" t="str" cm="1">
        <f t="array" ref="BC299">_xll.BDP(AX299,"ID005")</f>
        <v>US98956P1021</v>
      </c>
      <c r="BD299" s="17">
        <v>0.72</v>
      </c>
      <c r="BE299" s="18">
        <v>4</v>
      </c>
      <c r="BF299" s="19">
        <v>44463</v>
      </c>
      <c r="BG299" s="20">
        <v>1</v>
      </c>
    </row>
    <row r="300" spans="1:59" s="3" customFormat="1" ht="14.45" customHeight="1" x14ac:dyDescent="0.25">
      <c r="A300" s="49" t="s">
        <v>242</v>
      </c>
      <c r="B300" s="49" t="s">
        <v>264</v>
      </c>
      <c r="C300" s="49" t="s">
        <v>265</v>
      </c>
      <c r="D300" s="49" t="s">
        <v>248</v>
      </c>
      <c r="E300" s="22" t="str">
        <f>_xll.BDP(AX300,"SECURITY NAME")</f>
        <v>Zimmer Biomet Holdings Inc</v>
      </c>
      <c r="F300" s="22" t="str">
        <f>_xll.BDP(AX300,"CRNCY")</f>
        <v>USD</v>
      </c>
      <c r="G300" s="23" t="s">
        <v>84</v>
      </c>
      <c r="H300" s="22" t="str" cm="1">
        <f t="array" ref="H300">IF(OR(_xll.BDP($AX300,"DX202")= "#N/A N/A", _xll.BDP($AX300,"DX202")="#N/A FIELD NOT APPLICABLE"), " ", _xll.BDP($AX300,"DX202"))</f>
        <v>Health Care</v>
      </c>
      <c r="I300" s="24">
        <f>_xll.BDP(AX300,"CRNCY_ADJ_MKT_CAP", "EQY_FUND_CRNCY=USD")/1000</f>
        <v>17.943814746329998</v>
      </c>
      <c r="J300" s="25">
        <f>IFERROR(_xll.BDP(AX300, "DV013")/100,0)</f>
        <v>1.0584927267680996E-2</v>
      </c>
      <c r="K300" s="26" cm="1">
        <f t="array" ref="K300">IF(OR(_xll.BDP($AX300,"RR900")= "#N/A N/A", _xll.BDP($AX300,"RR900")="#N/A FIELD NOT APPLICABLE"), " ", _xll.BDP($AX300,"RR900"))</f>
        <v>17.708962575369597</v>
      </c>
      <c r="L300" s="26" cm="1">
        <f t="array" ref="L300">IF(OR(_xll.BDP($AX300,"EE010")= "#N/A N/A", _xll.BDP($AX300,"EE010")="#N/A FIELD NOT APPLICABLE"), " ", _xll.BDP($AX300,"EE010"))</f>
        <v>10.793169106271568</v>
      </c>
      <c r="M300" s="26" cm="1">
        <f t="array" ref="M300">IF(OR(_xll.BDP($AX300,"RR903")= "#N/A N/A", _xll.BDP($AX300,"RR903")="#N/A FIELD NOT APPLICABLE"), " ", _xll.BDP($AX300,"RR903"))</f>
        <v>1.4465905023685177</v>
      </c>
      <c r="N300" s="26" cm="1">
        <f t="array" ref="N300">IF(OR(_xll.BDP($AX300,"RR957")= "#N/A N/A", _xll.BDP($AX300,"RR957")="#N/A FIELD NOT APPLICABLE"), " ", _xll.BDP($AX300,"RR957"))</f>
        <v>10.212380494935889</v>
      </c>
      <c r="O300" s="27">
        <v>910</v>
      </c>
      <c r="P300" s="28">
        <v>109.07</v>
      </c>
      <c r="Q300" s="22" cm="1">
        <f t="array" ref="Q300">IF(OR(_xll.BDP($AX300,"PX_last")="#N/A N/A",_xll.BDP($AX300,"PX_Last")="#N/A FIELD NOT APPLICABLE")," ",IF(F300="GBP",(_xll.BDP($AX300,"PX_LAST")/100),(_xll.BDP($AX300,"PX_LAST"))))</f>
        <v>90.694999999999993</v>
      </c>
      <c r="R300" s="29">
        <f>IF(F300="USD",AA300,(((_xll.BDP(F300&amp;"USD CURNCY","PX_LAST")))*AA300))</f>
        <v>99253.7</v>
      </c>
      <c r="S300" s="29">
        <f>IF(F300="USD",AB300,(((_xll.BDP(F300&amp;"USD CURNCY","PX_LAST")))*AB300))</f>
        <v>82532.45</v>
      </c>
      <c r="T300" s="12">
        <f>S300-R300</f>
        <v>-16721.25</v>
      </c>
      <c r="U300" s="13">
        <f>T300/R300</f>
        <v>-0.16846979004309159</v>
      </c>
      <c r="V300" s="13" cm="1">
        <f t="array" ref="V300">IFERROR(_xll.BDP($G300&amp;" Equity","CHG_PCT_1D")/100,"")</f>
        <v>2.376216E-3</v>
      </c>
      <c r="W300" s="13" cm="1">
        <f t="array" ref="W300">IFERROR(_xll.BDP($G300&amp;" Equity","CHG_PCT_5D")/100,"")</f>
        <v>-0.1176671</v>
      </c>
      <c r="X300" s="13" t="e">
        <f>S300/#REF!</f>
        <v>#REF!</v>
      </c>
      <c r="Y300" s="24">
        <f>IFERROR(S300*J300,0)</f>
        <v>873.59998047351837</v>
      </c>
      <c r="Z300" s="24">
        <f>S300</f>
        <v>82532.45</v>
      </c>
      <c r="AA300" s="29">
        <f>P300*O300</f>
        <v>99253.7</v>
      </c>
      <c r="AB300" s="29">
        <f>IFERROR(O300*Q300,0)</f>
        <v>82532.45</v>
      </c>
      <c r="AC300" s="4" t="e" cm="1">
        <f t="array" ref="AC300">VLOOKUP(IF(NOT(_xll.BDP(AX300,$BW$8)="#N/A N/A"),(_xll.BDP(AX300,$BW$8)),"-"), '[1]Country Codes'!$A$2:$B$253,2,0)</f>
        <v>#N/A</v>
      </c>
      <c r="AD300" s="30" t="str" cm="1">
        <f t="array" ref="AD300">IF(OR(_xll.BDP($AX300,"EX028")= "#N/A N/A", _xll.BDP($AX300,"EX028")="#N/A FIELD NOT APPLICABLE"), " ", _xll.BDP($AX300,"EX028"))</f>
        <v>Equity</v>
      </c>
      <c r="AE300" s="31" t="str">
        <f>IF(("AS97"="Equity"), " ", "Single Line Equity")</f>
        <v>Single Line Equity</v>
      </c>
      <c r="AF300" s="26" cm="1">
        <f t="array" ref="AF300">IF(OR(_xll.BDP($AX300,"RR908")= "#N/A N/A", _xll.BDP($AX300,"RR908")="#N/A FIELD NOT APPLICABLE"), " ", _xll.BDP($AX300,"RR908"))</f>
        <v>11.034997723954795</v>
      </c>
      <c r="AG300" s="26" cm="1">
        <f t="array" ref="AG300">IF(OR(_xll.BDP($AX300,"RR041")= "#N/A N/A", _xll.BDP($AX300,"RR041")="#N/A FIELD NOT APPLICABLE"), " ", _xll.BDP($AX300,"RR041"))</f>
        <v>30.17963623428534</v>
      </c>
      <c r="AH300" s="22">
        <f>_xll.BDP(AX300,"TOT_BUY_REC")</f>
        <v>12</v>
      </c>
      <c r="AI300" s="22">
        <f>_xll.BDP(AX300,"TOT_HOLD_REC")</f>
        <v>17</v>
      </c>
      <c r="AJ300" s="22">
        <f>_xll.BDP(AX300,"TOT_SELL_REC")</f>
        <v>2</v>
      </c>
      <c r="AK300" s="26" cm="1">
        <f t="array" ref="AK300">IF(OR(_xll.BDP($AX300,"EE201")= "#N/A N/A", _xll.BDP($AX300,"EE201")="#N/A FIELD NOT APPLICABLE"), " ", _xll.BDP($AX300,"EE201"))</f>
        <v>3.6129031181335449</v>
      </c>
      <c r="AL300" s="24">
        <f>_xll.BDP(AX300,"BEST_TARGET_PRICE")</f>
        <v>110.07142639160156</v>
      </c>
      <c r="AM300" s="32">
        <f>(AL300/Q300)-1</f>
        <v>0.21364382150726691</v>
      </c>
      <c r="AN300" s="32">
        <f>_xll.BDP(AX300,"PR061")/100</f>
        <v>-0.15506800000000001</v>
      </c>
      <c r="AO300" s="32">
        <f>_xll.BDP(AX300,"PR064")/100</f>
        <v>-0.11680790000000001</v>
      </c>
      <c r="AP300" s="32">
        <f>_xll.BDP(AX300,"CHG_PCT_6M")/100</f>
        <v>-0.17677219999999999</v>
      </c>
      <c r="AQ300" s="25">
        <f>_xll.BDP(AX300,"PR079")/100</f>
        <v>-0.14138970000000001</v>
      </c>
      <c r="AR300" s="33">
        <f>_xll.BDP(AX300,"hs001")</f>
        <v>122.25</v>
      </c>
      <c r="AS300" s="33">
        <f>_xll.BDP(AX300,"hs002")</f>
        <v>89.92</v>
      </c>
      <c r="AT300" s="22" t="str" cm="1">
        <f t="array" ref="AT300">IF(OR(_xll.BDP($AX300,"DX202")= "#N/A N/A", _xll.BDP($AX300,"DX202")="#N/A FIELD NOT APPLICABLE"), " ", _xll.BDP($AX300,"DX202"))</f>
        <v>Health Care</v>
      </c>
      <c r="AU300" s="22" t="str" cm="1">
        <f t="array" ref="AU300">IF(OR(_xll.BDP($AX300,"DY997")= "#N/A N/A", _xll.BDP($AX300,"DY997")="#N/A FIELD NOT APPLICABLE"), " ", _xll.BDP($AX300,"DY997"))</f>
        <v>Y</v>
      </c>
      <c r="AV300" s="22" t="str" cm="1">
        <f t="array" ref="AV300">IF(OR(_xll.BDP($AX300,"DY784")= "#N/A N/A", _xll.BDP($AX300,"DY784")="#N/A FIELD NOT APPLICABLE"), " ", _xll.BDP($AX300,"DY784"))</f>
        <v>Y</v>
      </c>
      <c r="AW300" s="22" t="str">
        <f>IF(OR(AU300="Y",AV300="Y"),"Y","N")</f>
        <v>Y</v>
      </c>
      <c r="AX300" s="22" t="str">
        <f>CONCATENATE(G300," ",$AX$2)</f>
        <v>ZBH US Equity</v>
      </c>
      <c r="BC300" s="17" t="str" cm="1">
        <f t="array" ref="BC300">_xll.BDP(AX300,"ID005")</f>
        <v>US98956P1021</v>
      </c>
      <c r="BD300" s="17">
        <v>0.72</v>
      </c>
      <c r="BE300" s="18">
        <v>4</v>
      </c>
      <c r="BF300" s="19">
        <v>44463</v>
      </c>
      <c r="BG300" s="20">
        <v>1</v>
      </c>
    </row>
    <row r="301" spans="1:59" s="3" customFormat="1" ht="14.45" customHeight="1" x14ac:dyDescent="0.25">
      <c r="A301" s="49" t="s">
        <v>241</v>
      </c>
      <c r="B301" s="49" t="s">
        <v>272</v>
      </c>
      <c r="C301" s="49">
        <v>2620061.0010000002</v>
      </c>
      <c r="D301" s="49" t="s">
        <v>240</v>
      </c>
      <c r="E301" s="22" t="str">
        <f>_xll.BDP(AX301,"SECURITY NAME")</f>
        <v>Zimmer Biomet Holdings Inc</v>
      </c>
      <c r="F301" s="22" t="str">
        <f>_xll.BDP(AX301,"CRNCY")</f>
        <v>USD</v>
      </c>
      <c r="G301" s="23" t="s">
        <v>84</v>
      </c>
      <c r="H301" s="22" t="str" cm="1">
        <f t="array" ref="H301">IF(OR(_xll.BDP($AX301,"DX202")= "#N/A N/A", _xll.BDP($AX301,"DX202")="#N/A FIELD NOT APPLICABLE"), " ", _xll.BDP($AX301,"DX202"))</f>
        <v>Health Care</v>
      </c>
      <c r="I301" s="24">
        <f>_xll.BDP(AX301,"CRNCY_ADJ_MKT_CAP", "EQY_FUND_CRNCY=USD")/1000</f>
        <v>17.943814746329998</v>
      </c>
      <c r="J301" s="25">
        <f>IFERROR(_xll.BDP(AX301, "DV013")/100,0)</f>
        <v>1.0584927267680996E-2</v>
      </c>
      <c r="K301" s="26" cm="1">
        <f t="array" ref="K301">IF(OR(_xll.BDP($AX301,"RR900")= "#N/A N/A", _xll.BDP($AX301,"RR900")="#N/A FIELD NOT APPLICABLE"), " ", _xll.BDP($AX301,"RR900"))</f>
        <v>17.708962575369597</v>
      </c>
      <c r="L301" s="26" cm="1">
        <f t="array" ref="L301">IF(OR(_xll.BDP($AX301,"EE010")= "#N/A N/A", _xll.BDP($AX301,"EE010")="#N/A FIELD NOT APPLICABLE"), " ", _xll.BDP($AX301,"EE010"))</f>
        <v>10.793169106271568</v>
      </c>
      <c r="M301" s="26" cm="1">
        <f t="array" ref="M301">IF(OR(_xll.BDP($AX301,"RR903")= "#N/A N/A", _xll.BDP($AX301,"RR903")="#N/A FIELD NOT APPLICABLE"), " ", _xll.BDP($AX301,"RR903"))</f>
        <v>1.4465905023685177</v>
      </c>
      <c r="N301" s="26" cm="1">
        <f t="array" ref="N301">IF(OR(_xll.BDP($AX301,"RR957")= "#N/A N/A", _xll.BDP($AX301,"RR957")="#N/A FIELD NOT APPLICABLE"), " ", _xll.BDP($AX301,"RR957"))</f>
        <v>10.212380494935889</v>
      </c>
      <c r="O301" s="27">
        <v>910</v>
      </c>
      <c r="P301" s="28">
        <v>109.29481</v>
      </c>
      <c r="Q301" s="22" cm="1">
        <f t="array" ref="Q301">IF(OR(_xll.BDP($AX301,"PX_last")="#N/A N/A",_xll.BDP($AX301,"PX_Last")="#N/A FIELD NOT APPLICABLE")," ",IF(F301="GBP",(_xll.BDP($AX301,"PX_LAST")/100),(_xll.BDP($AX301,"PX_LAST"))))</f>
        <v>90.694999999999993</v>
      </c>
      <c r="R301" s="29">
        <f>IF(F301="USD",AA301,(((_xll.BDP(F301&amp;"USD CURNCY","PX_LAST")))*AA301))</f>
        <v>99458.277099999992</v>
      </c>
      <c r="S301" s="29">
        <f>IF(F301="USD",AB301,(((_xll.BDP(F301&amp;"USD CURNCY","PX_LAST")))*AB301))</f>
        <v>82532.45</v>
      </c>
      <c r="T301" s="12">
        <f>S301-R301</f>
        <v>-16925.827099999995</v>
      </c>
      <c r="U301" s="13">
        <f>IFERROR(T301/R301,0)</f>
        <v>-0.17018017598456867</v>
      </c>
      <c r="V301" s="13" cm="1">
        <f t="array" ref="V301">IFERROR(_xll.BDP($G301&amp;" Equity","CHG_PCT_1D")/100,"")</f>
        <v>2.376216E-3</v>
      </c>
      <c r="W301" s="13" cm="1">
        <f t="array" ref="W301">IFERROR(_xll.BDP($G301&amp;" Equity","CHG_PCT_5D")/100,"")</f>
        <v>-0.1176671</v>
      </c>
      <c r="X301" s="13" t="e">
        <f>S301/#REF!</f>
        <v>#REF!</v>
      </c>
      <c r="Y301" s="24">
        <f>IFERROR(S301*J301,0)</f>
        <v>873.59998047351837</v>
      </c>
      <c r="Z301" s="24">
        <f>S301</f>
        <v>82532.45</v>
      </c>
      <c r="AA301" s="29">
        <f>P301*O301</f>
        <v>99458.277099999992</v>
      </c>
      <c r="AB301" s="29">
        <f>IFERROR(O301*Q301,0)</f>
        <v>82532.45</v>
      </c>
      <c r="AC301" s="4" t="e" cm="1">
        <f t="array" ref="AC301">VLOOKUP(IF(NOT(_xll.BDP(AX301,$BW$8)="#N/A N/A"),(_xll.BDP(AX301,$BW$8)),"-"), '[1]Country Codes'!$A$2:$B$253,2,0)</f>
        <v>#N/A</v>
      </c>
      <c r="AD301" s="30" t="str" cm="1">
        <f t="array" ref="AD301">IF(OR(_xll.BDP($AX301,"EX028")= "#N/A N/A", _xll.BDP($AX301,"EX028")="#N/A FIELD NOT APPLICABLE"), " ", _xll.BDP($AX301,"EX028"))</f>
        <v>Equity</v>
      </c>
      <c r="AE301" s="31" t="str">
        <f>IF(("AS97"="Equity"), " ", "Single Line Equity")</f>
        <v>Single Line Equity</v>
      </c>
      <c r="AF301" s="26" cm="1">
        <f t="array" ref="AF301">IF(OR(_xll.BDP($AX301,"RR908")= "#N/A N/A", _xll.BDP($AX301,"RR908")="#N/A FIELD NOT APPLICABLE"), " ", _xll.BDP($AX301,"RR908"))</f>
        <v>11.034997723954795</v>
      </c>
      <c r="AG301" s="26" cm="1">
        <f t="array" ref="AG301">IF(OR(_xll.BDP($AX301,"RR041")= "#N/A N/A", _xll.BDP($AX301,"RR041")="#N/A FIELD NOT APPLICABLE"), " ", _xll.BDP($AX301,"RR041"))</f>
        <v>30.17963623428534</v>
      </c>
      <c r="AH301" s="22">
        <f>_xll.BDP(AX301,"TOT_BUY_REC")</f>
        <v>12</v>
      </c>
      <c r="AI301" s="22">
        <f>_xll.BDP(AX301,"TOT_HOLD_REC")</f>
        <v>17</v>
      </c>
      <c r="AJ301" s="22">
        <f>_xll.BDP(AX301,"TOT_SELL_REC")</f>
        <v>2</v>
      </c>
      <c r="AK301" s="26" cm="1">
        <f t="array" ref="AK301">IF(OR(_xll.BDP($AX301,"EE201")= "#N/A N/A", _xll.BDP($AX301,"EE201")="#N/A FIELD NOT APPLICABLE"), " ", _xll.BDP($AX301,"EE201"))</f>
        <v>3.6129031181335449</v>
      </c>
      <c r="AL301" s="24">
        <f>_xll.BDP(AX301,"BEST_TARGET_PRICE")</f>
        <v>110.07142639160156</v>
      </c>
      <c r="AM301" s="32">
        <f>(AL301/Q301)-1</f>
        <v>0.21364382150726691</v>
      </c>
      <c r="AN301" s="32">
        <f>_xll.BDP(AX301,"PR061")/100</f>
        <v>-0.15506800000000001</v>
      </c>
      <c r="AO301" s="32">
        <f>_xll.BDP(AX301,"PR064")/100</f>
        <v>-0.11680790000000001</v>
      </c>
      <c r="AP301" s="32">
        <f>_xll.BDP(AX301,"CHG_PCT_6M")/100</f>
        <v>-0.17677219999999999</v>
      </c>
      <c r="AQ301" s="25">
        <f>_xll.BDP(AX301,"PR079")/100</f>
        <v>-0.14138970000000001</v>
      </c>
      <c r="AR301" s="33">
        <f>_xll.BDP(AX301,"hs001")</f>
        <v>122.25</v>
      </c>
      <c r="AS301" s="33">
        <f>_xll.BDP(AX301,"hs002")</f>
        <v>89.92</v>
      </c>
      <c r="AT301" s="22" t="str" cm="1">
        <f t="array" ref="AT301">IF(OR(_xll.BDP($AX301,"DX202")= "#N/A N/A", _xll.BDP($AX301,"DX202")="#N/A FIELD NOT APPLICABLE"), " ", _xll.BDP($AX301,"DX202"))</f>
        <v>Health Care</v>
      </c>
      <c r="AU301" s="22" t="str" cm="1">
        <f t="array" ref="AU301">IF(OR(_xll.BDP($AX301,"DY997")= "#N/A N/A", _xll.BDP($AX301,"DY997")="#N/A FIELD NOT APPLICABLE"), " ", _xll.BDP($AX301,"DY997"))</f>
        <v>Y</v>
      </c>
      <c r="AV301" s="22" t="str" cm="1">
        <f t="array" ref="AV301">IF(OR(_xll.BDP($AX301,"DY784")= "#N/A N/A", _xll.BDP($AX301,"DY784")="#N/A FIELD NOT APPLICABLE"), " ", _xll.BDP($AX301,"DY784"))</f>
        <v>Y</v>
      </c>
      <c r="AW301" s="22" t="str">
        <f>IF(OR(AU301="Y",AV301="Y"),"Y","N")</f>
        <v>Y</v>
      </c>
      <c r="AX301" s="22" t="str">
        <f>CONCATENATE(G301," ",$AX$2)</f>
        <v>ZBH US Equity</v>
      </c>
      <c r="BC301" s="17" t="str" cm="1">
        <f t="array" ref="BC301">_xll.BDP(AX301,"ID005")</f>
        <v>US98956P1021</v>
      </c>
      <c r="BD301" s="17">
        <v>0.72</v>
      </c>
      <c r="BE301" s="18">
        <v>4</v>
      </c>
      <c r="BF301" s="19">
        <v>44463</v>
      </c>
      <c r="BG301" s="20">
        <v>1</v>
      </c>
    </row>
    <row r="302" spans="1:59" s="3" customFormat="1" ht="14.45" customHeight="1" x14ac:dyDescent="0.25">
      <c r="A302" s="49" t="s">
        <v>257</v>
      </c>
      <c r="B302" s="49" t="s">
        <v>274</v>
      </c>
      <c r="C302" s="49">
        <v>1000015111</v>
      </c>
      <c r="D302" s="49" t="s">
        <v>275</v>
      </c>
      <c r="E302" s="22" t="str">
        <f>_xll.BDP(AX302,"SECURITY NAME")</f>
        <v>Zimmer Biomet Holdings Inc</v>
      </c>
      <c r="F302" s="22" t="str">
        <f>_xll.BDP(AX302,"CRNCY")</f>
        <v>USD</v>
      </c>
      <c r="G302" s="23" t="s">
        <v>84</v>
      </c>
      <c r="H302" s="22" t="str" cm="1">
        <f t="array" ref="H302">IF(OR(_xll.BDP($AX302,"DX202")= "#N/A N/A", _xll.BDP($AX302,"DX202")="#N/A FIELD NOT APPLICABLE"), " ", _xll.BDP($AX302,"DX202"))</f>
        <v>Health Care</v>
      </c>
      <c r="I302" s="24">
        <f>_xll.BDP(AX302,"CRNCY_ADJ_MKT_CAP", "EQY_FUND_CRNCY=USD")/1000</f>
        <v>17.943814746329998</v>
      </c>
      <c r="J302" s="25">
        <f>IFERROR(_xll.BDP(AX302, "DV013")/100,0)</f>
        <v>1.0584927267680996E-2</v>
      </c>
      <c r="K302" s="26" cm="1">
        <f t="array" ref="K302">IF(OR(_xll.BDP($AX302,"RR900")= "#N/A N/A", _xll.BDP($AX302,"RR900")="#N/A FIELD NOT APPLICABLE"), " ", _xll.BDP($AX302,"RR900"))</f>
        <v>17.708962575369597</v>
      </c>
      <c r="L302" s="26" cm="1">
        <f t="array" ref="L302">IF(OR(_xll.BDP($AX302,"EE010")= "#N/A N/A", _xll.BDP($AX302,"EE010")="#N/A FIELD NOT APPLICABLE"), " ", _xll.BDP($AX302,"EE010"))</f>
        <v>10.793169106271568</v>
      </c>
      <c r="M302" s="26" cm="1">
        <f t="array" ref="M302">IF(OR(_xll.BDP($AX302,"RR903")= "#N/A N/A", _xll.BDP($AX302,"RR903")="#N/A FIELD NOT APPLICABLE"), " ", _xll.BDP($AX302,"RR903"))</f>
        <v>1.4465905023685177</v>
      </c>
      <c r="N302" s="26" cm="1">
        <f t="array" ref="N302">IF(OR(_xll.BDP($AX302,"RR957")= "#N/A N/A", _xll.BDP($AX302,"RR957")="#N/A FIELD NOT APPLICABLE"), " ", _xll.BDP($AX302,"RR957"))</f>
        <v>10.212380494935889</v>
      </c>
      <c r="O302" s="27">
        <v>285</v>
      </c>
      <c r="P302" s="28">
        <v>108.05</v>
      </c>
      <c r="Q302" s="22" cm="1">
        <f t="array" ref="Q302">IF(OR(_xll.BDP($AX302,"PX_last")="#N/A N/A",_xll.BDP($AX302,"PX_Last")="#N/A FIELD NOT APPLICABLE")," ",IF(F302="GBP",(_xll.BDP($AX302,"PX_LAST")/100),(_xll.BDP($AX302,"PX_LAST"))))</f>
        <v>90.694999999999993</v>
      </c>
      <c r="R302" s="29">
        <f>IF(F302="USD",AA302,(((_xll.BDP(F302&amp;"USD CURNCY","PX_LAST")))*AA302))</f>
        <v>30794.25</v>
      </c>
      <c r="S302" s="29">
        <f>IFERROR(IF(F302="USD",AB302,(((_xll.BDP(F302&amp;"USD CURNCY","PX_LAST")))*AB302)),0)</f>
        <v>25848.074999999997</v>
      </c>
      <c r="T302" s="12">
        <f>S302-R302</f>
        <v>-4946.1750000000029</v>
      </c>
      <c r="U302" s="13">
        <f>T302/R302</f>
        <v>-0.16062008329477104</v>
      </c>
      <c r="V302" s="13" cm="1">
        <f t="array" ref="V302">IFERROR(_xll.BDP($G302&amp;" Equity","CHG_PCT_1D")/100,"")</f>
        <v>2.376216E-3</v>
      </c>
      <c r="W302" s="13" cm="1">
        <f t="array" ref="W302">IFERROR(_xll.BDP($G302&amp;" Equity","CHG_PCT_5D")/100,"")</f>
        <v>-0.1176671</v>
      </c>
      <c r="X302" s="13" t="e">
        <f>S302/#REF!</f>
        <v>#REF!</v>
      </c>
      <c r="Y302" s="24">
        <f>IFERROR(S302*J302,0)</f>
        <v>273.59999388456345</v>
      </c>
      <c r="Z302" s="24">
        <f>S302</f>
        <v>25848.074999999997</v>
      </c>
      <c r="AA302" s="29">
        <f>P302*O302</f>
        <v>30794.25</v>
      </c>
      <c r="AB302" s="29">
        <f>IFERROR(O302*Q302,0)</f>
        <v>25848.074999999997</v>
      </c>
      <c r="AC302" s="4" t="e" cm="1">
        <f t="array" ref="AC302">VLOOKUP(IF(NOT(_xll.BDP(AX302,$BW$8)="#N/A N/A"),(_xll.BDP(AX302,$BW$8)),"-"), '[1]Country Codes'!$A$2:$B$253,2,0)</f>
        <v>#N/A</v>
      </c>
      <c r="AD302" s="30" t="str" cm="1">
        <f t="array" ref="AD302">IF(OR(_xll.BDP($AX302,"EX028")= "#N/A N/A", _xll.BDP($AX302,"EX028")="#N/A FIELD NOT APPLICABLE"), " ", _xll.BDP($AX302,"EX028"))</f>
        <v>Equity</v>
      </c>
      <c r="AE302" s="31" t="str">
        <f>IF(("AS97"="Equity"), " ", "Single Line Equity")</f>
        <v>Single Line Equity</v>
      </c>
      <c r="AF302" s="26" cm="1">
        <f t="array" ref="AF302">IF(OR(_xll.BDP($AX302,"RR908")= "#N/A N/A", _xll.BDP($AX302,"RR908")="#N/A FIELD NOT APPLICABLE"), " ", _xll.BDP($AX302,"RR908"))</f>
        <v>11.034997723954795</v>
      </c>
      <c r="AG302" s="26" cm="1">
        <f t="array" ref="AG302">IF(OR(_xll.BDP($AX302,"RR041")= "#N/A N/A", _xll.BDP($AX302,"RR041")="#N/A FIELD NOT APPLICABLE"), " ", _xll.BDP($AX302,"RR041"))</f>
        <v>30.17963623428534</v>
      </c>
      <c r="AH302" s="22">
        <f>_xll.BDP(AX302,"TOT_BUY_REC")</f>
        <v>12</v>
      </c>
      <c r="AI302" s="22">
        <f>_xll.BDP(AX302,"TOT_HOLD_REC")</f>
        <v>17</v>
      </c>
      <c r="AJ302" s="22">
        <f>_xll.BDP(AX302,"TOT_SELL_REC")</f>
        <v>2</v>
      </c>
      <c r="AK302" s="26" cm="1">
        <f t="array" ref="AK302">IF(OR(_xll.BDP($AX302,"EE201")= "#N/A N/A", _xll.BDP($AX302,"EE201")="#N/A FIELD NOT APPLICABLE"), " ", _xll.BDP($AX302,"EE201"))</f>
        <v>3.6129031181335449</v>
      </c>
      <c r="AL302" s="24">
        <f>_xll.BDP(AX302,"BEST_TARGET_PRICE")</f>
        <v>110.07142639160156</v>
      </c>
      <c r="AM302" s="32">
        <f>(AL302/Q302)-1</f>
        <v>0.21364382150726691</v>
      </c>
      <c r="AN302" s="32">
        <f>_xll.BDP(AX302,"PR061")/100</f>
        <v>-0.15506800000000001</v>
      </c>
      <c r="AO302" s="32">
        <f>_xll.BDP(AX302,"PR064")/100</f>
        <v>-0.11680790000000001</v>
      </c>
      <c r="AP302" s="32">
        <f>_xll.BDP(AX302,"CHG_PCT_6M")/100</f>
        <v>-0.17677219999999999</v>
      </c>
      <c r="AQ302" s="25">
        <f>_xll.BDP(AX302,"PR079")/100</f>
        <v>-0.14138970000000001</v>
      </c>
      <c r="AR302" s="33">
        <f>_xll.BDP(AX302,"hs001")</f>
        <v>122.25</v>
      </c>
      <c r="AS302" s="33">
        <f>_xll.BDP(AX302,"hs002")</f>
        <v>89.92</v>
      </c>
      <c r="AT302" s="22" t="str" cm="1">
        <f t="array" ref="AT302">IF(OR(_xll.BDP($AX302,"DX202")= "#N/A N/A", _xll.BDP($AX302,"DX202")="#N/A FIELD NOT APPLICABLE"), " ", _xll.BDP($AX302,"DX202"))</f>
        <v>Health Care</v>
      </c>
      <c r="AU302" s="22" t="str" cm="1">
        <f t="array" ref="AU302">IF(OR(_xll.BDP($AX302,"DY997")= "#N/A N/A", _xll.BDP($AX302,"DY997")="#N/A FIELD NOT APPLICABLE"), " ", _xll.BDP($AX302,"DY997"))</f>
        <v>Y</v>
      </c>
      <c r="AV302" s="22" t="str" cm="1">
        <f t="array" ref="AV302">IF(OR(_xll.BDP($AX302,"DY784")= "#N/A N/A", _xll.BDP($AX302,"DY784")="#N/A FIELD NOT APPLICABLE"), " ", _xll.BDP($AX302,"DY784"))</f>
        <v>Y</v>
      </c>
      <c r="AW302" s="22" t="str">
        <f>IF(OR(AU302="Y",AV302="Y"),"Y","N")</f>
        <v>Y</v>
      </c>
      <c r="AX302" s="22" t="str">
        <f>CONCATENATE(G302," ",$AX$2)</f>
        <v>ZBH US Equity</v>
      </c>
      <c r="BC302" s="17" t="str" cm="1">
        <f t="array" ref="BC302">_xll.BDP(AX302,"ID005")</f>
        <v>US98956P1021</v>
      </c>
      <c r="BD302" s="17">
        <v>0.72</v>
      </c>
      <c r="BE302" s="18">
        <v>4</v>
      </c>
      <c r="BF302" s="19">
        <v>44463</v>
      </c>
      <c r="BG302" s="20">
        <v>1</v>
      </c>
    </row>
  </sheetData>
  <autoFilter ref="A2:AX303" xr:uid="{5A735713-B114-4455-AF7D-DE884FC0F93C}">
    <sortState xmlns:xlrd2="http://schemas.microsoft.com/office/spreadsheetml/2017/richdata2" ref="A3:AX302">
      <sortCondition ref="G2:G303"/>
    </sortState>
  </autoFilter>
  <conditionalFormatting sqref="U3:U1048576">
    <cfRule type="cellIs" dxfId="19" priority="3" operator="lessThan">
      <formula>-0.07</formula>
    </cfRule>
    <cfRule type="cellIs" dxfId="18" priority="4" operator="greaterThan">
      <formula>0.07</formula>
    </cfRule>
  </conditionalFormatting>
  <conditionalFormatting sqref="V3:V1048576">
    <cfRule type="cellIs" dxfId="17" priority="5" operator="lessThan">
      <formula>-0.05</formula>
    </cfRule>
    <cfRule type="cellIs" dxfId="16" priority="6" operator="greaterThan">
      <formula>0.05</formula>
    </cfRule>
  </conditionalFormatting>
  <conditionalFormatting sqref="W3:W1048576">
    <cfRule type="cellIs" dxfId="15" priority="1" operator="greaterThan">
      <formula>0.1</formula>
    </cfRule>
    <cfRule type="cellIs" dxfId="14" priority="2" operator="lessThan">
      <formula>-0.1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920FD-401C-4577-A208-844F7596D1AF}">
  <dimension ref="A1:BG254"/>
  <sheetViews>
    <sheetView showGridLines="0" workbookViewId="0">
      <pane xSplit="7" ySplit="2" topLeftCell="H116" activePane="bottomRight" state="frozen"/>
      <selection pane="topRight" activeCell="H1" sqref="H1"/>
      <selection pane="bottomLeft" activeCell="A3" sqref="A3"/>
      <selection pane="bottomRight" activeCell="U140" sqref="U140"/>
    </sheetView>
  </sheetViews>
  <sheetFormatPr defaultRowHeight="15" outlineLevelCol="1" x14ac:dyDescent="0.25"/>
  <cols>
    <col min="2" max="2" width="21.5703125" customWidth="1"/>
    <col min="3" max="3" width="17.42578125" customWidth="1"/>
    <col min="4" max="4" width="15.7109375" customWidth="1"/>
    <col min="5" max="5" width="25.85546875" bestFit="1" customWidth="1"/>
    <col min="7" max="7" width="9.7109375" customWidth="1"/>
    <col min="8" max="8" width="9.140625" customWidth="1"/>
    <col min="9" max="9" width="10.140625" customWidth="1"/>
    <col min="10" max="10" width="9.5703125" customWidth="1"/>
    <col min="11" max="14" width="9.140625" customWidth="1"/>
    <col min="24" max="33" width="9.140625" customWidth="1" outlineLevel="1"/>
    <col min="37" max="49" width="9.140625" customWidth="1" outlineLevel="1"/>
    <col min="50" max="50" width="18.28515625" customWidth="1" outlineLevel="1"/>
    <col min="51" max="54" width="9.140625" customWidth="1" outlineLevel="1"/>
    <col min="55" max="55" width="13.42578125" customWidth="1" outlineLevel="1"/>
    <col min="56" max="57" width="9.140625" customWidth="1" outlineLevel="1"/>
    <col min="58" max="58" width="10.140625" customWidth="1" outlineLevel="1"/>
    <col min="59" max="59" width="9.140625" customWidth="1" outlineLevel="1"/>
  </cols>
  <sheetData>
    <row r="1" spans="1:59" ht="27.75" customHeight="1" x14ac:dyDescent="0.25">
      <c r="U1" s="55" t="s">
        <v>303</v>
      </c>
      <c r="V1" s="57" t="s">
        <v>300</v>
      </c>
      <c r="W1" s="55" t="s">
        <v>304</v>
      </c>
    </row>
    <row r="2" spans="1:59" s="3" customFormat="1" ht="30.75" customHeight="1" x14ac:dyDescent="0.25">
      <c r="A2" s="1" t="s">
        <v>0</v>
      </c>
      <c r="B2" s="1" t="s">
        <v>1</v>
      </c>
      <c r="C2" s="1" t="s">
        <v>237</v>
      </c>
      <c r="D2" s="1" t="s">
        <v>313</v>
      </c>
      <c r="E2" s="1" t="s">
        <v>2</v>
      </c>
      <c r="F2" s="1" t="s">
        <v>3</v>
      </c>
      <c r="G2" s="1" t="s">
        <v>46</v>
      </c>
      <c r="H2" s="1" t="s">
        <v>85</v>
      </c>
      <c r="I2" s="1" t="s">
        <v>86</v>
      </c>
      <c r="J2" s="1" t="s">
        <v>21</v>
      </c>
      <c r="K2" s="1" t="s">
        <v>87</v>
      </c>
      <c r="L2" s="2" t="s">
        <v>49</v>
      </c>
      <c r="M2" s="1" t="s">
        <v>88</v>
      </c>
      <c r="N2" s="1" t="s">
        <v>89</v>
      </c>
      <c r="O2" s="1" t="s">
        <v>54</v>
      </c>
      <c r="P2" s="1" t="s">
        <v>13</v>
      </c>
      <c r="Q2" s="2" t="s">
        <v>55</v>
      </c>
      <c r="R2" s="1" t="s">
        <v>15</v>
      </c>
      <c r="S2" s="1" t="s">
        <v>90</v>
      </c>
      <c r="T2" s="1" t="s">
        <v>17</v>
      </c>
      <c r="U2" s="2" t="s">
        <v>57</v>
      </c>
      <c r="V2" s="2" t="s">
        <v>278</v>
      </c>
      <c r="W2" s="2" t="s">
        <v>279</v>
      </c>
      <c r="X2" s="1" t="s">
        <v>19</v>
      </c>
      <c r="Y2" s="1" t="s">
        <v>91</v>
      </c>
      <c r="Z2" s="1" t="s">
        <v>23</v>
      </c>
      <c r="AA2" s="2" t="s">
        <v>24</v>
      </c>
      <c r="AB2" s="2" t="s">
        <v>25</v>
      </c>
      <c r="AC2" s="1" t="s">
        <v>92</v>
      </c>
      <c r="AD2" s="2" t="s">
        <v>93</v>
      </c>
      <c r="AE2" s="1" t="s">
        <v>94</v>
      </c>
      <c r="AF2" s="1" t="s">
        <v>95</v>
      </c>
      <c r="AG2" s="1" t="s">
        <v>96</v>
      </c>
      <c r="AH2" s="1" t="s">
        <v>67</v>
      </c>
      <c r="AI2" s="1" t="s">
        <v>97</v>
      </c>
      <c r="AJ2" s="1" t="s">
        <v>98</v>
      </c>
      <c r="AK2" s="1" t="s">
        <v>99</v>
      </c>
      <c r="AL2" s="1" t="s">
        <v>100</v>
      </c>
      <c r="AM2" s="1" t="s">
        <v>101</v>
      </c>
      <c r="AN2" s="1" t="s">
        <v>102</v>
      </c>
      <c r="AO2" s="1" t="s">
        <v>103</v>
      </c>
      <c r="AP2" s="1" t="s">
        <v>104</v>
      </c>
      <c r="AQ2" s="1" t="s">
        <v>105</v>
      </c>
      <c r="AR2" s="1" t="s">
        <v>106</v>
      </c>
      <c r="AS2" s="1" t="s">
        <v>107</v>
      </c>
      <c r="AT2" s="1" t="s">
        <v>108</v>
      </c>
      <c r="AU2" s="1" t="s">
        <v>74</v>
      </c>
      <c r="AV2" s="1" t="s">
        <v>75</v>
      </c>
      <c r="AW2" s="1" t="s">
        <v>76</v>
      </c>
      <c r="AX2" s="1" t="s">
        <v>46</v>
      </c>
      <c r="BC2" s="1" t="s">
        <v>4</v>
      </c>
      <c r="BD2" s="2" t="s">
        <v>39</v>
      </c>
      <c r="BE2" s="1" t="s">
        <v>40</v>
      </c>
      <c r="BF2" s="1" t="s">
        <v>41</v>
      </c>
      <c r="BG2" s="1" t="s">
        <v>109</v>
      </c>
    </row>
    <row r="3" spans="1:59" s="3" customFormat="1" ht="14.45" customHeight="1" x14ac:dyDescent="0.25">
      <c r="A3" s="49" t="s">
        <v>241</v>
      </c>
      <c r="B3" s="49" t="s">
        <v>238</v>
      </c>
      <c r="C3" s="49" t="s">
        <v>239</v>
      </c>
      <c r="D3" s="49" t="s">
        <v>240</v>
      </c>
      <c r="E3" s="22" t="str">
        <f>_xll.BDP(AX3,"SECURITY NAME")</f>
        <v>ChinaAMC ETF Series - ChinaAMC</v>
      </c>
      <c r="F3" s="22" t="str">
        <f>_xll.BDP(AX3,"CRNCY")</f>
        <v>HKD</v>
      </c>
      <c r="G3" s="23" t="s">
        <v>339</v>
      </c>
      <c r="H3" s="22" t="str" cm="1">
        <f t="array" ref="H3">IF(OR(_xll.BDP($AX3,"FD120")="#N/A N/A",_xll.BDP($AX3,"FD120")="#N/A FIELD NOT APPLICABLE")," ",_xll.BDP($AX3,"FD120"))</f>
        <v>China</v>
      </c>
      <c r="I3" s="22" t="str" cm="1">
        <f t="array" ref="I3">IF(OR(_xll.BDP($AX3,"FD116")="#N/A N/A",_xll.BDP($AX3,"FD116")="#N/A FIELD NOT APPLICABLE")," ",_xll.BDP($AX3,"FD116"))</f>
        <v>Blend</v>
      </c>
      <c r="J3" s="22" t="str" cm="1">
        <f t="array" ref="J3">IF(OR(_xll.BDP($AX3,"FD133")="#N/A N/A",_xll.BDP($AX3,"FD133")="#N/A FIELD NOT APPLICABLE")," ", _xll.BDP($AX3,"FD133"))</f>
        <v xml:space="preserve"> </v>
      </c>
      <c r="K3" s="34">
        <f>_xll.BDP(AX3,"FUND_ASSETS_USD")/1000</f>
        <v>2.4038879999999998</v>
      </c>
      <c r="L3" s="25">
        <f>IFERROR(_xll.BDP(AX3, "DV013")/100,0)</f>
        <v>1.2258812254228389E-2</v>
      </c>
      <c r="M3" s="25" cm="1">
        <f t="array" ref="M3">IF(OR(_xll.BDP($AX3,"PR079")="#N/A N/A",_xll.BDP($AX3,"PR079")="#N/A FIELD NOT APPLICABLE")," ", _xll.BDP($AX3,"PR079")/100)</f>
        <v>-3.3960569999999995E-2</v>
      </c>
      <c r="N3" s="25" cm="1">
        <f t="array" ref="N3">IF(OR(_xll.BDP($AX3,"RT074")="#N/A N/A",_xll.BDP($AX3,"RT074")="#N/A FIELD NOT APPLICABLE")," ", _xll.BDP($AX3,"RT074")/100)</f>
        <v>5.7195130000000004E-2</v>
      </c>
      <c r="O3" s="27">
        <v>8200</v>
      </c>
      <c r="P3" s="28">
        <v>43.691560000000003</v>
      </c>
      <c r="Q3" s="22" cm="1">
        <f t="array" ref="Q3">IF(OR(_xll.BDP($AX3,"PX_last")="#N/A N/A",_xll.BDP($AX3,"PX_Last")="#N/A FIELD NOT APPLICABLE")," ",IF(F3="GBP",(_xll.BDP($AX3,"PX_LAST")/100),(_xll.BDP($AX3,"PX_LAST"))))</f>
        <v>42.1</v>
      </c>
      <c r="R3" s="29">
        <f>IF(F3="USD",AA3,(((_xll.BDP(F3&amp;"USD CURNCY","PX_LAST")))*AA3))</f>
        <v>46191.853212559996</v>
      </c>
      <c r="S3" s="29">
        <f>IF(F3="USD",AB3,(((_xll.BDP(F3&amp;"USD CURNCY","PX_LAST")))*AB3))</f>
        <v>44509.214599999999</v>
      </c>
      <c r="T3" s="12">
        <f t="shared" ref="T3:T34" si="0">S3-R3</f>
        <v>-1682.6386125599965</v>
      </c>
      <c r="U3" s="13">
        <f t="shared" ref="U3:U34" si="1">T3/R3</f>
        <v>-3.6427172662179992E-2</v>
      </c>
      <c r="V3" s="13" cm="1">
        <f t="array" ref="V3">IFERROR(_xll.BDP($G3&amp;" Equity","CHG_PCT_1D")/100,"")</f>
        <v>7.1770330000000002E-3</v>
      </c>
      <c r="W3" s="13" cm="1">
        <f t="array" ref="W3">IFERROR(_xll.BDP($G3&amp;" Equity","CHG_PCT_5D")/100,"")</f>
        <v>7.1770330000000002E-3</v>
      </c>
      <c r="X3" s="13" t="e">
        <f>S3/$H$62</f>
        <v>#VALUE!</v>
      </c>
      <c r="Y3" s="29">
        <f t="shared" ref="Y3:Y34" si="2">IFERROR(S3*L3,0)</f>
        <v>545.63010536456113</v>
      </c>
      <c r="Z3" s="29">
        <f t="shared" ref="Z3:Z34" si="3">S3</f>
        <v>44509.214599999999</v>
      </c>
      <c r="AA3" s="29">
        <f t="shared" ref="AA3:AA34" si="4">P3*O3</f>
        <v>358270.79200000002</v>
      </c>
      <c r="AB3" s="29">
        <f t="shared" ref="AB3:AB34" si="5">IFERROR(O3*Q3,0)</f>
        <v>345220</v>
      </c>
      <c r="AC3" s="25" t="str" cm="1">
        <f t="array" ref="AC3">IF(OR(_xll.BDP($AX3,"EX028")="#N/A N/A",_xll.BDP($AX3,"EX028")="#N/A FIELD NOT APPLICABLE")," ", _xll.BDP($AX3,"EX028"))</f>
        <v>Fund</v>
      </c>
      <c r="AD3" s="35" t="str" cm="1">
        <f t="array" ref="AD3">IF(OR(_xll.BDP($AX3,"FD121")="#N/A N/A",_xll.BDP($AX3,"FD121")="#N/A FIELD NOT APPLICABLE")," ", _xll.BDP($AX3,"FD121"))</f>
        <v>Equity</v>
      </c>
      <c r="AE3" s="25" t="str" cm="1">
        <f t="array" ref="AE3">IF(OR(_xll.BDP($AX3,"FD118")="#N/A N/A",_xll.BDP($AX3,"FD118")="#N/A FIELD NOT APPLICABLE")," ", _xll.BDP($AX3,"FD118"))</f>
        <v>ETF</v>
      </c>
      <c r="AF3" s="22" t="str" cm="1">
        <f t="array" ref="AF3">IF(OR(_xll.BDP($AX3,"FD114")="#N/A N/A",_xll.BDP($AX3,"FD114")="#N/A FIELD NOT APPLICABLE")," ", _xll.BDP($AX3,"FD114"))</f>
        <v xml:space="preserve"> </v>
      </c>
      <c r="AG3" s="22" t="str" cm="1">
        <f t="array" ref="AG3">IF(OR(_xll.BDP($AX3,"FD003")="#N/A N/A",_xll.BDP($AX3,"FD003")="#N/A FIELD NOT APPLICABLE")," ", _xll.BDP($AX3,"FD003"))</f>
        <v>17/07/2012</v>
      </c>
      <c r="AH3" s="32" cm="1">
        <f t="array" ref="AH3">IF(OR(_xll.BDP($AX3,"PR061")="#N/A N/A",_xll.BDP($AX3,"PR061")="#N/A FIELD NOT APPLICABLE")," ", _xll.BDP($AX3,"PR061")/100)</f>
        <v>-1.727358E-2</v>
      </c>
      <c r="AI3" s="25" cm="1">
        <f t="array" ref="AI3">IF(OR(_xll.BDP($AX3,"RT075")="#N/A N/A",_xll.BDP($AX3,"RT075")="#N/A FIELD NOT APPLICABLE")," ", _xll.BDP($AX3,"RT075")/100)</f>
        <v>-3.7045330000000001E-2</v>
      </c>
      <c r="AJ3" s="25" cm="1">
        <f t="array" ref="AJ3">IF(OR(_xll.BDP($AX3,"RT076")="#N/A N/A",_xll.BDP($AX3,"RT076")="#N/A FIELD NOT APPLICABLE")," ", _xll.BDP($AX3,"RT076")/100)</f>
        <v>4.5156090000000003E-3</v>
      </c>
      <c r="AK3" s="25" t="str" cm="1">
        <f t="array" ref="AK3">IF(OR(_xll.BDP($AX3,"FD252")="#N/A N/A",_xll.BDP($AX3,"FD252")="#N/A FIELD NOT APPLICABLE")," ", _xll.BDP($AX3,"FD252")/100)</f>
        <v xml:space="preserve"> </v>
      </c>
      <c r="AL3" s="25" cm="1">
        <f t="array" ref="AL3">IF(OR(_xll.BDP($AX3,"FD015")="#N/A N/A",_xll.BDP($AX3,"FD015")="#N/A FIELD NOT APPLICABLE")," ", _xll.BDP($AX3,"FD015")/100)</f>
        <v>8.3999999999999995E-3</v>
      </c>
      <c r="AM3" s="25" cm="1">
        <f t="array" ref="AM3">IF(OR(_xll.BDP($AX3,"FD138")="#N/A N/A",_xll.BDP($AX3,"FD138")="#N/A FIELD NOT APPLICABLE")," ", _xll.BDP($AX3,"FD138")/100)</f>
        <v>6.9999999999999993E-3</v>
      </c>
      <c r="AN3" s="36" cm="1">
        <f t="array" ref="AN3">IF(OR(_xll.BDP($AX3,"FD009")="#N/A N/A",_xll.BDP($AX3,"FD009")="#N/A FIELD NOT APPLICABLE")," ", _xll.BDP($AX3,"FD009")/100)</f>
        <v>0</v>
      </c>
      <c r="AO3" s="25" cm="1">
        <f t="array" ref="AO3">IF(OR(_xll.BDP($AX3,"RK512")="#N/A N/A",_xll.BDP($AX3,"RK512")="#N/A FIELD NOT APPLICABLE")," ", _xll.BDP($AX3,"RK512")/100)</f>
        <v>2.3225799999999999E-3</v>
      </c>
      <c r="AP3" s="25" cm="1">
        <f t="array" ref="AP3">IF(OR(_xll.BDP($AX3,"RK514")="#N/A N/A",_xll.BDP($AX3,"RK514")="#N/A FIELD NOT APPLICABLE")," ", _xll.BDP($AX3,"RK514")/100)</f>
        <v>3.3112599999999999E-3</v>
      </c>
      <c r="AQ3" s="25" cm="1">
        <f t="array" ref="AQ3">IF(OR(_xll.BDP($AX3,"RK521")="#N/A N/A",_xll.BDP($AX3,"RK521")="#N/A FIELD NOT APPLICABLE")," ", _xll.BDP($AX3,"RK521")/100)</f>
        <v>1.5222199999999998E-2</v>
      </c>
      <c r="AR3" s="25" cm="1">
        <f t="array" ref="AR3">IF(OR(_xll.BDP($AX3,"RK525")="#N/A N/A",_xll.BDP($AX3,"RK525")="#N/A FIELD NOT APPLICABLE")," ", _xll.BDP($AX3,"RK525")/100)</f>
        <v>1.3396099999999999E-2</v>
      </c>
      <c r="AS3" s="25" cm="1">
        <f t="array" ref="AS3">IF(OR(_xll.BDP($AX3,"RK524")="#N/A N/A",_xll.BDP($AX3,"RK524")="#N/A FIELD NOT APPLICABLE")," ", _xll.BDP($AX3,"RK524")/100)</f>
        <v>-3.5144000000000001E-4</v>
      </c>
      <c r="AT3" s="25" t="str" cm="1">
        <f t="array" ref="AT3">IF(OR(_xll.BDP($AX3,"FD183")="#N/A N/A",_xll.BDP($AX3,"FD183")="#N/A FIELD NOT APPLICABLE")," ", _xll.BDP($AX3,"FD183"))</f>
        <v xml:space="preserve"> </v>
      </c>
      <c r="AU3" s="25" t="str" cm="1">
        <f t="array" ref="AU3">IF(OR(_xll.BDP($AX3,"DY997")="#N/A N/A",_xll.BDP($AX3,"DY997")="#N/A FIELD NOT APPLICABLE")," ", _xll.BDP($AX3,"DY997"))</f>
        <v xml:space="preserve"> </v>
      </c>
      <c r="AV3" s="25" t="str" cm="1">
        <f t="array" ref="AV3">IF(OR(_xll.BDP($AX3,"DY784")="#N/A N/A",_xll.BDP($AX3,"DY784")="#N/A FIELD NOT APPLICABLE")," ", _xll.BDP($AX3,"DY784"))</f>
        <v xml:space="preserve"> </v>
      </c>
      <c r="AW3" s="22" t="str">
        <f t="shared" ref="AW3:AW34" si="6">IF(OR(AU3="Y",AV3="Y"),"Y","N")</f>
        <v>N</v>
      </c>
      <c r="AX3" s="22" t="str">
        <f t="shared" ref="AX3:AX34" si="7">CONCATENATE(G3," Equity")</f>
        <v>3188 HK Equity</v>
      </c>
      <c r="BC3" s="17" t="str" cm="1">
        <f t="array" ref="BC3">_xll.BDP(AX3,"ID005")</f>
        <v>HK0000123577</v>
      </c>
      <c r="BD3" s="17">
        <v>0.75</v>
      </c>
      <c r="BE3" s="18">
        <v>5</v>
      </c>
      <c r="BF3" s="37">
        <v>45607</v>
      </c>
      <c r="BG3" s="20">
        <v>1.0000000000107532</v>
      </c>
    </row>
    <row r="4" spans="1:59" s="3" customFormat="1" ht="14.45" customHeight="1" x14ac:dyDescent="0.25">
      <c r="A4" s="49" t="s">
        <v>241</v>
      </c>
      <c r="B4" s="49" t="s">
        <v>249</v>
      </c>
      <c r="C4" s="49" t="s">
        <v>250</v>
      </c>
      <c r="D4" s="49" t="s">
        <v>240</v>
      </c>
      <c r="E4" s="22" t="str">
        <f>_xll.BDP(AX4,"SECURITY NAME")</f>
        <v>ChinaAMC ETF Series - ChinaAMC</v>
      </c>
      <c r="F4" s="22" t="str">
        <f>_xll.BDP(AX4,"CRNCY")</f>
        <v>HKD</v>
      </c>
      <c r="G4" s="23" t="s">
        <v>339</v>
      </c>
      <c r="H4" s="22" t="str" cm="1">
        <f t="array" ref="H4">IF(OR(_xll.BDP($AX4,"FD120")="#N/A N/A",_xll.BDP($AX4,"FD120")="#N/A FIELD NOT APPLICABLE")," ",_xll.BDP($AX4,"FD120"))</f>
        <v>China</v>
      </c>
      <c r="I4" s="22" t="str" cm="1">
        <f t="array" ref="I4">IF(OR(_xll.BDP($AX4,"FD116")="#N/A N/A",_xll.BDP($AX4,"FD116")="#N/A FIELD NOT APPLICABLE")," ",_xll.BDP($AX4,"FD116"))</f>
        <v>Blend</v>
      </c>
      <c r="J4" s="22" t="str" cm="1">
        <f t="array" ref="J4">IF(OR(_xll.BDP($AX4,"FD133")="#N/A N/A",_xll.BDP($AX4,"FD133")="#N/A FIELD NOT APPLICABLE")," ", _xll.BDP($AX4,"FD133"))</f>
        <v xml:space="preserve"> </v>
      </c>
      <c r="K4" s="34">
        <f>_xll.BDP(AX4,"FUND_ASSETS_USD")/1000</f>
        <v>2.4038879999999998</v>
      </c>
      <c r="L4" s="25">
        <f>IFERROR(_xll.BDP(AX4, "DV013")/100,0)</f>
        <v>1.2258812254228389E-2</v>
      </c>
      <c r="M4" s="25" cm="1">
        <f t="array" ref="M4">IF(OR(_xll.BDP($AX4,"PR079")="#N/A N/A",_xll.BDP($AX4,"PR079")="#N/A FIELD NOT APPLICABLE")," ", _xll.BDP($AX4,"PR079")/100)</f>
        <v>-3.3960569999999995E-2</v>
      </c>
      <c r="N4" s="25" cm="1">
        <f t="array" ref="N4">IF(OR(_xll.BDP($AX4,"RT074")="#N/A N/A",_xll.BDP($AX4,"RT074")="#N/A FIELD NOT APPLICABLE")," ", _xll.BDP($AX4,"RT074")/100)</f>
        <v>5.7195130000000004E-2</v>
      </c>
      <c r="O4" s="27">
        <v>17400</v>
      </c>
      <c r="P4" s="28">
        <v>43.691519999999997</v>
      </c>
      <c r="Q4" s="22" cm="1">
        <f t="array" ref="Q4">IF(OR(_xll.BDP($AX4,"PX_last")="#N/A N/A",_xll.BDP($AX4,"PX_Last")="#N/A FIELD NOT APPLICABLE")," ",IF(F4="GBP",(_xll.BDP($AX4,"PX_LAST")),(_xll.BDP($AX4,"PX_LAST"))))</f>
        <v>42.1</v>
      </c>
      <c r="R4" s="29">
        <f>IF(F4="USD",AA4,(((_xll.BDP(F4&amp;"USD CURNCY","PX_LAST")))*AA4))</f>
        <v>98016.769520639995</v>
      </c>
      <c r="S4" s="29">
        <f>IF(F4="USD",AB4,(((_xll.BDP(F4&amp;"USD CURNCY","PX_LAST")))*AB4))</f>
        <v>94446.382199999993</v>
      </c>
      <c r="T4" s="12">
        <f t="shared" si="0"/>
        <v>-3570.3873206400021</v>
      </c>
      <c r="U4" s="13">
        <f t="shared" si="1"/>
        <v>-3.6426290502138657E-2</v>
      </c>
      <c r="V4" s="13" cm="1">
        <f t="array" ref="V4">IFERROR(_xll.BDP($G4&amp;" Equity","CHG_PCT_1D")/100,"")</f>
        <v>7.1770330000000002E-3</v>
      </c>
      <c r="W4" s="13" cm="1">
        <f t="array" ref="W4">IFERROR(_xll.BDP($G4&amp;" Equity","CHG_PCT_5D")/100,"")</f>
        <v>7.1770330000000002E-3</v>
      </c>
      <c r="X4" s="13" t="e">
        <f>S4/$H$62</f>
        <v>#VALUE!</v>
      </c>
      <c r="Y4" s="29">
        <f t="shared" si="2"/>
        <v>1157.8004674808979</v>
      </c>
      <c r="Z4" s="29">
        <f t="shared" si="3"/>
        <v>94446.382199999993</v>
      </c>
      <c r="AA4" s="29">
        <f t="shared" si="4"/>
        <v>760232.44799999997</v>
      </c>
      <c r="AB4" s="29">
        <f t="shared" si="5"/>
        <v>732540</v>
      </c>
      <c r="AC4" s="25" t="str" cm="1">
        <f t="array" ref="AC4">IF(OR(_xll.BDP($AX4,"EX028")="#N/A N/A",_xll.BDP($AX4,"EX028")="#N/A FIELD NOT APPLICABLE")," ", _xll.BDP($AX4,"EX028"))</f>
        <v>Fund</v>
      </c>
      <c r="AD4" s="35" t="str" cm="1">
        <f t="array" ref="AD4">IF(OR(_xll.BDP($AX4,"FD121")="#N/A N/A",_xll.BDP($AX4,"FD121")="#N/A FIELD NOT APPLICABLE")," ", _xll.BDP($AX4,"FD121"))</f>
        <v>Equity</v>
      </c>
      <c r="AE4" s="25" t="str" cm="1">
        <f t="array" ref="AE4">IF(OR(_xll.BDP($AX4,"FD118")="#N/A N/A",_xll.BDP($AX4,"FD118")="#N/A FIELD NOT APPLICABLE")," ", _xll.BDP($AX4,"FD118"))</f>
        <v>ETF</v>
      </c>
      <c r="AF4" s="22" t="str" cm="1">
        <f t="array" ref="AF4">IF(OR(_xll.BDP($AX4,"FD114")="#N/A N/A",_xll.BDP($AX4,"FD114")="#N/A FIELD NOT APPLICABLE")," ", _xll.BDP($AX4,"FD114"))</f>
        <v xml:space="preserve"> </v>
      </c>
      <c r="AG4" s="22" t="str" cm="1">
        <f t="array" ref="AG4">IF(OR(_xll.BDP($AX4,"FD003")="#N/A N/A",_xll.BDP($AX4,"FD003")="#N/A FIELD NOT APPLICABLE")," ", _xll.BDP($AX4,"FD003"))</f>
        <v>17/07/2012</v>
      </c>
      <c r="AH4" s="32" cm="1">
        <f t="array" ref="AH4">IF(OR(_xll.BDP($AX4,"PR061")="#N/A N/A",_xll.BDP($AX4,"PR061")="#N/A FIELD NOT APPLICABLE")," ", _xll.BDP($AX4,"PR061")/100)</f>
        <v>-1.727358E-2</v>
      </c>
      <c r="AI4" s="25" cm="1">
        <f t="array" ref="AI4">IF(OR(_xll.BDP($AX4,"RT075")="#N/A N/A",_xll.BDP($AX4,"RT075")="#N/A FIELD NOT APPLICABLE")," ", _xll.BDP($AX4,"RT075")/100)</f>
        <v>-3.7045330000000001E-2</v>
      </c>
      <c r="AJ4" s="25" cm="1">
        <f t="array" ref="AJ4">IF(OR(_xll.BDP($AX4,"RT076")="#N/A N/A",_xll.BDP($AX4,"RT076")="#N/A FIELD NOT APPLICABLE")," ", _xll.BDP($AX4,"RT076")/100)</f>
        <v>4.5156090000000003E-3</v>
      </c>
      <c r="AK4" s="25" t="str" cm="1">
        <f t="array" ref="AK4">IF(OR(_xll.BDP($AX4,"FD252")="#N/A N/A",_xll.BDP($AX4,"FD252")="#N/A FIELD NOT APPLICABLE")," ", _xll.BDP($AX4,"FD252")/100)</f>
        <v xml:space="preserve"> </v>
      </c>
      <c r="AL4" s="25" cm="1">
        <f t="array" ref="AL4">IF(OR(_xll.BDP($AX4,"FD015")="#N/A N/A",_xll.BDP($AX4,"FD015")="#N/A FIELD NOT APPLICABLE")," ", _xll.BDP($AX4,"FD015")/100)</f>
        <v>8.3999999999999995E-3</v>
      </c>
      <c r="AM4" s="25" cm="1">
        <f t="array" ref="AM4">IF(OR(_xll.BDP($AX4,"FD138")="#N/A N/A",_xll.BDP($AX4,"FD138")="#N/A FIELD NOT APPLICABLE")," ", _xll.BDP($AX4,"FD138")/100)</f>
        <v>6.9999999999999993E-3</v>
      </c>
      <c r="AN4" s="36" cm="1">
        <f t="array" ref="AN4">IF(OR(_xll.BDP($AX4,"FD009")="#N/A N/A",_xll.BDP($AX4,"FD009")="#N/A FIELD NOT APPLICABLE")," ", _xll.BDP($AX4,"FD009")/100)</f>
        <v>0</v>
      </c>
      <c r="AO4" s="25" cm="1">
        <f t="array" ref="AO4">IF(OR(_xll.BDP($AX4,"RK512")="#N/A N/A",_xll.BDP($AX4,"RK512")="#N/A FIELD NOT APPLICABLE")," ", _xll.BDP($AX4,"RK512")/100)</f>
        <v>2.3225799999999999E-3</v>
      </c>
      <c r="AP4" s="25" cm="1">
        <f t="array" ref="AP4">IF(OR(_xll.BDP($AX4,"RK514")="#N/A N/A",_xll.BDP($AX4,"RK514")="#N/A FIELD NOT APPLICABLE")," ", _xll.BDP($AX4,"RK514")/100)</f>
        <v>3.3112599999999999E-3</v>
      </c>
      <c r="AQ4" s="25" cm="1">
        <f t="array" ref="AQ4">IF(OR(_xll.BDP($AX4,"RK521")="#N/A N/A",_xll.BDP($AX4,"RK521")="#N/A FIELD NOT APPLICABLE")," ", _xll.BDP($AX4,"RK521")/100)</f>
        <v>1.5222199999999998E-2</v>
      </c>
      <c r="AR4" s="25" cm="1">
        <f t="array" ref="AR4">IF(OR(_xll.BDP($AX4,"RK525")="#N/A N/A",_xll.BDP($AX4,"RK525")="#N/A FIELD NOT APPLICABLE")," ", _xll.BDP($AX4,"RK525")/100)</f>
        <v>1.3396099999999999E-2</v>
      </c>
      <c r="AS4" s="25" cm="1">
        <f t="array" ref="AS4">IF(OR(_xll.BDP($AX4,"RK524")="#N/A N/A",_xll.BDP($AX4,"RK524")="#N/A FIELD NOT APPLICABLE")," ", _xll.BDP($AX4,"RK524")/100)</f>
        <v>-3.5144000000000001E-4</v>
      </c>
      <c r="AT4" s="25" t="str" cm="1">
        <f t="array" ref="AT4">IF(OR(_xll.BDP($AX4,"FD183")="#N/A N/A",_xll.BDP($AX4,"FD183")="#N/A FIELD NOT APPLICABLE")," ", _xll.BDP($AX4,"FD183"))</f>
        <v xml:space="preserve"> </v>
      </c>
      <c r="AU4" s="25" t="str" cm="1">
        <f t="array" ref="AU4">IF(OR(_xll.BDP($AX4,"DY997")="#N/A N/A",_xll.BDP($AX4,"DY997")="#N/A FIELD NOT APPLICABLE")," ", _xll.BDP($AX4,"DY997"))</f>
        <v xml:space="preserve"> </v>
      </c>
      <c r="AV4" s="25" t="str" cm="1">
        <f t="array" ref="AV4">IF(OR(_xll.BDP($AX4,"DY784")="#N/A N/A",_xll.BDP($AX4,"DY784")="#N/A FIELD NOT APPLICABLE")," ", _xll.BDP($AX4,"DY784"))</f>
        <v xml:space="preserve"> </v>
      </c>
      <c r="AW4" s="22" t="str">
        <f t="shared" si="6"/>
        <v>N</v>
      </c>
      <c r="AX4" s="22" t="str">
        <f t="shared" si="7"/>
        <v>3188 HK Equity</v>
      </c>
      <c r="BC4" s="17" t="str" cm="1">
        <f t="array" ref="BC4">_xll.BDP(AX4,"ID005")</f>
        <v>HK0000123577</v>
      </c>
      <c r="BD4" s="17">
        <v>0.77</v>
      </c>
      <c r="BE4" s="18">
        <v>3</v>
      </c>
      <c r="BF4" s="37">
        <v>45510</v>
      </c>
      <c r="BG4" s="20">
        <v>1.0000000000107532</v>
      </c>
    </row>
    <row r="5" spans="1:59" s="3" customFormat="1" ht="14.45" customHeight="1" x14ac:dyDescent="0.25">
      <c r="A5" s="49" t="s">
        <v>241</v>
      </c>
      <c r="B5" s="49" t="s">
        <v>251</v>
      </c>
      <c r="C5" s="49" t="s">
        <v>252</v>
      </c>
      <c r="D5" s="49" t="s">
        <v>240</v>
      </c>
      <c r="E5" s="22" t="str">
        <f>_xll.BDP(AX5,"SECURITY NAME")</f>
        <v>ChinaAMC ETF Series - ChinaAMC</v>
      </c>
      <c r="F5" s="22" t="str">
        <f>_xll.BDP(AX5,"CRNCY")</f>
        <v>HKD</v>
      </c>
      <c r="G5" s="23" t="s">
        <v>339</v>
      </c>
      <c r="H5" s="22" t="str" cm="1">
        <f t="array" ref="H5">IF(OR(_xll.BDP($AX5,"FD120")="#N/A N/A",_xll.BDP($AX5,"FD120")="#N/A FIELD NOT APPLICABLE")," ",_xll.BDP($AX5,"FD120"))</f>
        <v>China</v>
      </c>
      <c r="I5" s="22" t="str" cm="1">
        <f t="array" ref="I5">IF(OR(_xll.BDP($AX5,"FD116")="#N/A N/A",_xll.BDP($AX5,"FD116")="#N/A FIELD NOT APPLICABLE")," ",_xll.BDP($AX5,"FD116"))</f>
        <v>Blend</v>
      </c>
      <c r="J5" s="22" t="str" cm="1">
        <f t="array" ref="J5">IF(OR(_xll.BDP($AX5,"FD133")="#N/A N/A",_xll.BDP($AX5,"FD133")="#N/A FIELD NOT APPLICABLE")," ", _xll.BDP($AX5,"FD133"))</f>
        <v xml:space="preserve"> </v>
      </c>
      <c r="K5" s="34">
        <f>_xll.BDP(AX5,"FUND_ASSETS_USD")/1000</f>
        <v>2.4038879999999998</v>
      </c>
      <c r="L5" s="25">
        <f>IFERROR(_xll.BDP(AX5, "DV013")/100,0)</f>
        <v>1.2258812254228389E-2</v>
      </c>
      <c r="M5" s="25" cm="1">
        <f t="array" ref="M5">IF(OR(_xll.BDP($AX5,"PR079")="#N/A N/A",_xll.BDP($AX5,"PR079")="#N/A FIELD NOT APPLICABLE")," ", _xll.BDP($AX5,"PR079")/100)</f>
        <v>-3.3960569999999995E-2</v>
      </c>
      <c r="N5" s="25" cm="1">
        <f t="array" ref="N5">IF(OR(_xll.BDP($AX5,"RT074")="#N/A N/A",_xll.BDP($AX5,"RT074")="#N/A FIELD NOT APPLICABLE")," ", _xll.BDP($AX5,"RT074")/100)</f>
        <v>5.7195130000000004E-2</v>
      </c>
      <c r="O5" s="27">
        <v>20000</v>
      </c>
      <c r="P5" s="28">
        <v>43.691519999999997</v>
      </c>
      <c r="Q5" s="22" cm="1">
        <f t="array" ref="Q5">IF(OR(_xll.BDP($AX5,"PX_last")="#N/A N/A",_xll.BDP($AX5,"PX_Last")="#N/A FIELD NOT APPLICABLE")," ",IF(F5="GBP",(_xll.BDP($AX5,"PX_LAST")),(_xll.BDP($AX5,"PX_LAST"))))</f>
        <v>42.1</v>
      </c>
      <c r="R5" s="29">
        <f>IF(F5="USD",AA5,(((_xll.BDP(F5&amp;"USD CURNCY","PX_LAST")))*AA5))</f>
        <v>112662.95347199998</v>
      </c>
      <c r="S5" s="29">
        <f>IF(F5="USD",AB5,(((_xll.BDP(F5&amp;"USD CURNCY","PX_LAST")))*AB5))</f>
        <v>108559.06</v>
      </c>
      <c r="T5" s="12">
        <f t="shared" si="0"/>
        <v>-4103.8934719999816</v>
      </c>
      <c r="U5" s="13">
        <f t="shared" si="1"/>
        <v>-3.642629050213847E-2</v>
      </c>
      <c r="V5" s="13" cm="1">
        <f t="array" ref="V5">IFERROR(_xll.BDP($G5&amp;" Equity","CHG_PCT_1D")/100,"")</f>
        <v>7.1770330000000002E-3</v>
      </c>
      <c r="W5" s="13" cm="1">
        <f t="array" ref="W5">IFERROR(_xll.BDP($G5&amp;" Equity","CHG_PCT_5D")/100,"")</f>
        <v>7.1770330000000002E-3</v>
      </c>
      <c r="X5" s="13" t="e">
        <f>S5/$H$62</f>
        <v>#VALUE!</v>
      </c>
      <c r="Y5" s="29">
        <f t="shared" si="2"/>
        <v>1330.8051350355149</v>
      </c>
      <c r="Z5" s="29">
        <f t="shared" si="3"/>
        <v>108559.06</v>
      </c>
      <c r="AA5" s="29">
        <f t="shared" si="4"/>
        <v>873830.39999999991</v>
      </c>
      <c r="AB5" s="29">
        <f t="shared" si="5"/>
        <v>842000</v>
      </c>
      <c r="AC5" s="25" t="str" cm="1">
        <f t="array" ref="AC5">IF(OR(_xll.BDP($AX5,"EX028")="#N/A N/A",_xll.BDP($AX5,"EX028")="#N/A FIELD NOT APPLICABLE")," ", _xll.BDP($AX5,"EX028"))</f>
        <v>Fund</v>
      </c>
      <c r="AD5" s="35" t="str" cm="1">
        <f t="array" ref="AD5">IF(OR(_xll.BDP($AX5,"FD121")="#N/A N/A",_xll.BDP($AX5,"FD121")="#N/A FIELD NOT APPLICABLE")," ", _xll.BDP($AX5,"FD121"))</f>
        <v>Equity</v>
      </c>
      <c r="AE5" s="25" t="str" cm="1">
        <f t="array" ref="AE5">IF(OR(_xll.BDP($AX5,"FD118")="#N/A N/A",_xll.BDP($AX5,"FD118")="#N/A FIELD NOT APPLICABLE")," ", _xll.BDP($AX5,"FD118"))</f>
        <v>ETF</v>
      </c>
      <c r="AF5" s="22" t="str" cm="1">
        <f t="array" ref="AF5">IF(OR(_xll.BDP($AX5,"FD114")="#N/A N/A",_xll.BDP($AX5,"FD114")="#N/A FIELD NOT APPLICABLE")," ", _xll.BDP($AX5,"FD114"))</f>
        <v xml:space="preserve"> </v>
      </c>
      <c r="AG5" s="22" t="str" cm="1">
        <f t="array" ref="AG5">IF(OR(_xll.BDP($AX5,"FD003")="#N/A N/A",_xll.BDP($AX5,"FD003")="#N/A FIELD NOT APPLICABLE")," ", _xll.BDP($AX5,"FD003"))</f>
        <v>17/07/2012</v>
      </c>
      <c r="AH5" s="32" cm="1">
        <f t="array" ref="AH5">IF(OR(_xll.BDP($AX5,"PR061")="#N/A N/A",_xll.BDP($AX5,"PR061")="#N/A FIELD NOT APPLICABLE")," ", _xll.BDP($AX5,"PR061")/100)</f>
        <v>-1.727358E-2</v>
      </c>
      <c r="AI5" s="25" cm="1">
        <f t="array" ref="AI5">IF(OR(_xll.BDP($AX5,"RT075")="#N/A N/A",_xll.BDP($AX5,"RT075")="#N/A FIELD NOT APPLICABLE")," ", _xll.BDP($AX5,"RT075")/100)</f>
        <v>-3.7045330000000001E-2</v>
      </c>
      <c r="AJ5" s="25" cm="1">
        <f t="array" ref="AJ5">IF(OR(_xll.BDP($AX5,"RT076")="#N/A N/A",_xll.BDP($AX5,"RT076")="#N/A FIELD NOT APPLICABLE")," ", _xll.BDP($AX5,"RT076")/100)</f>
        <v>4.5156090000000003E-3</v>
      </c>
      <c r="AK5" s="25" t="str" cm="1">
        <f t="array" ref="AK5">IF(OR(_xll.BDP($AX5,"FD252")="#N/A N/A",_xll.BDP($AX5,"FD252")="#N/A FIELD NOT APPLICABLE")," ", _xll.BDP($AX5,"FD252")/100)</f>
        <v xml:space="preserve"> </v>
      </c>
      <c r="AL5" s="25" cm="1">
        <f t="array" ref="AL5">IF(OR(_xll.BDP($AX5,"FD015")="#N/A N/A",_xll.BDP($AX5,"FD015")="#N/A FIELD NOT APPLICABLE")," ", _xll.BDP($AX5,"FD015")/100)</f>
        <v>8.3999999999999995E-3</v>
      </c>
      <c r="AM5" s="25" cm="1">
        <f t="array" ref="AM5">IF(OR(_xll.BDP($AX5,"FD138")="#N/A N/A",_xll.BDP($AX5,"FD138")="#N/A FIELD NOT APPLICABLE")," ", _xll.BDP($AX5,"FD138")/100)</f>
        <v>6.9999999999999993E-3</v>
      </c>
      <c r="AN5" s="36" cm="1">
        <f t="array" ref="AN5">IF(OR(_xll.BDP($AX5,"FD009")="#N/A N/A",_xll.BDP($AX5,"FD009")="#N/A FIELD NOT APPLICABLE")," ", _xll.BDP($AX5,"FD009")/100)</f>
        <v>0</v>
      </c>
      <c r="AO5" s="25" cm="1">
        <f t="array" ref="AO5">IF(OR(_xll.BDP($AX5,"RK512")="#N/A N/A",_xll.BDP($AX5,"RK512")="#N/A FIELD NOT APPLICABLE")," ", _xll.BDP($AX5,"RK512")/100)</f>
        <v>2.3225799999999999E-3</v>
      </c>
      <c r="AP5" s="25" cm="1">
        <f t="array" ref="AP5">IF(OR(_xll.BDP($AX5,"RK514")="#N/A N/A",_xll.BDP($AX5,"RK514")="#N/A FIELD NOT APPLICABLE")," ", _xll.BDP($AX5,"RK514")/100)</f>
        <v>3.3112599999999999E-3</v>
      </c>
      <c r="AQ5" s="25" cm="1">
        <f t="array" ref="AQ5">IF(OR(_xll.BDP($AX5,"RK521")="#N/A N/A",_xll.BDP($AX5,"RK521")="#N/A FIELD NOT APPLICABLE")," ", _xll.BDP($AX5,"RK521")/100)</f>
        <v>1.5222199999999998E-2</v>
      </c>
      <c r="AR5" s="25" cm="1">
        <f t="array" ref="AR5">IF(OR(_xll.BDP($AX5,"RK525")="#N/A N/A",_xll.BDP($AX5,"RK525")="#N/A FIELD NOT APPLICABLE")," ", _xll.BDP($AX5,"RK525")/100)</f>
        <v>1.3396099999999999E-2</v>
      </c>
      <c r="AS5" s="25" cm="1">
        <f t="array" ref="AS5">IF(OR(_xll.BDP($AX5,"RK524")="#N/A N/A",_xll.BDP($AX5,"RK524")="#N/A FIELD NOT APPLICABLE")," ", _xll.BDP($AX5,"RK524")/100)</f>
        <v>-3.5144000000000001E-4</v>
      </c>
      <c r="AT5" s="25" t="str" cm="1">
        <f t="array" ref="AT5">IF(OR(_xll.BDP($AX5,"FD183")="#N/A N/A",_xll.BDP($AX5,"FD183")="#N/A FIELD NOT APPLICABLE")," ", _xll.BDP($AX5,"FD183"))</f>
        <v xml:space="preserve"> </v>
      </c>
      <c r="AU5" s="25" t="str" cm="1">
        <f t="array" ref="AU5">IF(OR(_xll.BDP($AX5,"DY997")="#N/A N/A",_xll.BDP($AX5,"DY997")="#N/A FIELD NOT APPLICABLE")," ", _xll.BDP($AX5,"DY997"))</f>
        <v xml:space="preserve"> </v>
      </c>
      <c r="AV5" s="25" t="str" cm="1">
        <f t="array" ref="AV5">IF(OR(_xll.BDP($AX5,"DY784")="#N/A N/A",_xll.BDP($AX5,"DY784")="#N/A FIELD NOT APPLICABLE")," ", _xll.BDP($AX5,"DY784"))</f>
        <v xml:space="preserve"> </v>
      </c>
      <c r="AW5" s="22" t="str">
        <f t="shared" si="6"/>
        <v>N</v>
      </c>
      <c r="AX5" s="22" t="str">
        <f t="shared" si="7"/>
        <v>3188 HK Equity</v>
      </c>
      <c r="BC5" s="17" t="str" cm="1">
        <f t="array" ref="BC5">_xll.BDP(AX5,"ID005")</f>
        <v>HK0000123577</v>
      </c>
      <c r="BD5" s="17">
        <v>0.75</v>
      </c>
      <c r="BE5" s="18">
        <v>5</v>
      </c>
      <c r="BF5" s="37">
        <v>45492</v>
      </c>
      <c r="BG5" s="20">
        <v>1.0000000000107532</v>
      </c>
    </row>
    <row r="6" spans="1:59" s="3" customFormat="1" ht="14.45" customHeight="1" x14ac:dyDescent="0.25">
      <c r="A6" s="49" t="s">
        <v>241</v>
      </c>
      <c r="B6" s="49" t="s">
        <v>253</v>
      </c>
      <c r="C6" s="49" t="s">
        <v>254</v>
      </c>
      <c r="D6" s="49" t="s">
        <v>240</v>
      </c>
      <c r="E6" s="22" t="str">
        <f>_xll.BDP(AX6,"SECURITY NAME")</f>
        <v>ChinaAMC ETF Series - ChinaAMC</v>
      </c>
      <c r="F6" s="22" t="str">
        <f>_xll.BDP(AX6,"CRNCY")</f>
        <v>HKD</v>
      </c>
      <c r="G6" s="23" t="s">
        <v>339</v>
      </c>
      <c r="H6" s="22" t="str" cm="1">
        <f t="array" ref="H6">IF(OR(_xll.BDP($AX6,"FD120")="#N/A N/A",_xll.BDP($AX6,"FD120")="#N/A FIELD NOT APPLICABLE")," ",_xll.BDP($AX6,"FD120"))</f>
        <v>China</v>
      </c>
      <c r="I6" s="22" t="str" cm="1">
        <f t="array" ref="I6">IF(OR(_xll.BDP($AX6,"FD116")="#N/A N/A",_xll.BDP($AX6,"FD116")="#N/A FIELD NOT APPLICABLE")," ",_xll.BDP($AX6,"FD116"))</f>
        <v>Blend</v>
      </c>
      <c r="J6" s="22" t="str" cm="1">
        <f t="array" ref="J6">IF(OR(_xll.BDP($AX6,"FD133")="#N/A N/A",_xll.BDP($AX6,"FD133")="#N/A FIELD NOT APPLICABLE")," ", _xll.BDP($AX6,"FD133"))</f>
        <v xml:space="preserve"> </v>
      </c>
      <c r="K6" s="34">
        <f>_xll.BDP(AX6,"FUND_ASSETS_USD")/1000</f>
        <v>2.4038879999999998</v>
      </c>
      <c r="L6" s="25">
        <f>IFERROR(_xll.BDP(AX6, "DV013")/100,0)</f>
        <v>1.2258812254228389E-2</v>
      </c>
      <c r="M6" s="25" cm="1">
        <f t="array" ref="M6">IF(OR(_xll.BDP($AX6,"PR079")="#N/A N/A",_xll.BDP($AX6,"PR079")="#N/A FIELD NOT APPLICABLE")," ", _xll.BDP($AX6,"PR079")/100)</f>
        <v>-3.3960569999999995E-2</v>
      </c>
      <c r="N6" s="25" cm="1">
        <f t="array" ref="N6">IF(OR(_xll.BDP($AX6,"RT074")="#N/A N/A",_xll.BDP($AX6,"RT074")="#N/A FIELD NOT APPLICABLE")," ", _xll.BDP($AX6,"RT074")/100)</f>
        <v>5.7195130000000004E-2</v>
      </c>
      <c r="O6" s="27">
        <v>5600</v>
      </c>
      <c r="P6" s="28">
        <v>43.691490000000002</v>
      </c>
      <c r="Q6" s="22" cm="1">
        <f t="array" ref="Q6">IF(OR(_xll.BDP($AX6,"PX_last")="#N/A N/A",_xll.BDP($AX6,"PX_Last")="#N/A FIELD NOT APPLICABLE")," ",IF(F6="GBP",(_xll.BDP($AX6,"PX_LAST")),(_xll.BDP($AX6,"PX_LAST"))))</f>
        <v>42.1</v>
      </c>
      <c r="R6" s="29">
        <f>IF(F6="USD",AA6,(((_xll.BDP(F6&amp;"USD CURNCY","PX_LAST")))*AA6))</f>
        <v>31545.605311920001</v>
      </c>
      <c r="S6" s="29">
        <f>IF(F6="USD",AB6,(((_xll.BDP(F6&amp;"USD CURNCY","PX_LAST")))*AB6))</f>
        <v>30396.536799999998</v>
      </c>
      <c r="T6" s="12">
        <f t="shared" si="0"/>
        <v>-1149.0685119200025</v>
      </c>
      <c r="U6" s="13">
        <f t="shared" si="1"/>
        <v>-3.6425628881047625E-2</v>
      </c>
      <c r="V6" s="13" cm="1">
        <f t="array" ref="V6">IFERROR(_xll.BDP($G6&amp;" Equity","CHG_PCT_1D")/100,"")</f>
        <v>7.1770330000000002E-3</v>
      </c>
      <c r="W6" s="13" cm="1">
        <f t="array" ref="W6">IFERROR(_xll.BDP($G6&amp;" Equity","CHG_PCT_5D")/100,"")</f>
        <v>7.1770330000000002E-3</v>
      </c>
      <c r="X6" s="13" t="e">
        <f>S6/#REF!</f>
        <v>#REF!</v>
      </c>
      <c r="Y6" s="29">
        <f t="shared" si="2"/>
        <v>372.62543780994417</v>
      </c>
      <c r="Z6" s="29">
        <f t="shared" si="3"/>
        <v>30396.536799999998</v>
      </c>
      <c r="AA6" s="29">
        <f t="shared" si="4"/>
        <v>244672.34400000001</v>
      </c>
      <c r="AB6" s="29">
        <f t="shared" si="5"/>
        <v>235760</v>
      </c>
      <c r="AC6" s="25" t="str" cm="1">
        <f t="array" ref="AC6">IF(OR(_xll.BDP($AX6,"EX028")="#N/A N/A",_xll.BDP($AX6,"EX028")="#N/A FIELD NOT APPLICABLE")," ", _xll.BDP($AX6,"EX028"))</f>
        <v>Fund</v>
      </c>
      <c r="AD6" s="35" t="str" cm="1">
        <f t="array" ref="AD6">IF(OR(_xll.BDP($AX6,"FD121")="#N/A N/A",_xll.BDP($AX6,"FD121")="#N/A FIELD NOT APPLICABLE")," ", _xll.BDP($AX6,"FD121"))</f>
        <v>Equity</v>
      </c>
      <c r="AE6" s="25" t="str" cm="1">
        <f t="array" ref="AE6">IF(OR(_xll.BDP($AX6,"FD118")="#N/A N/A",_xll.BDP($AX6,"FD118")="#N/A FIELD NOT APPLICABLE")," ", _xll.BDP($AX6,"FD118"))</f>
        <v>ETF</v>
      </c>
      <c r="AF6" s="22" t="str" cm="1">
        <f t="array" ref="AF6">IF(OR(_xll.BDP($AX6,"FD114")="#N/A N/A",_xll.BDP($AX6,"FD114")="#N/A FIELD NOT APPLICABLE")," ", _xll.BDP($AX6,"FD114"))</f>
        <v xml:space="preserve"> </v>
      </c>
      <c r="AG6" s="22" t="str" cm="1">
        <f t="array" ref="AG6">IF(OR(_xll.BDP($AX6,"FD003")="#N/A N/A",_xll.BDP($AX6,"FD003")="#N/A FIELD NOT APPLICABLE")," ", _xll.BDP($AX6,"FD003"))</f>
        <v>17/07/2012</v>
      </c>
      <c r="AH6" s="32" cm="1">
        <f t="array" ref="AH6">IF(OR(_xll.BDP($AX6,"PR061")="#N/A N/A",_xll.BDP($AX6,"PR061")="#N/A FIELD NOT APPLICABLE")," ", _xll.BDP($AX6,"PR061")/100)</f>
        <v>-1.727358E-2</v>
      </c>
      <c r="AI6" s="25" cm="1">
        <f t="array" ref="AI6">IF(OR(_xll.BDP($AX6,"RT075")="#N/A N/A",_xll.BDP($AX6,"RT075")="#N/A FIELD NOT APPLICABLE")," ", _xll.BDP($AX6,"RT075")/100)</f>
        <v>-3.7045330000000001E-2</v>
      </c>
      <c r="AJ6" s="25" cm="1">
        <f t="array" ref="AJ6">IF(OR(_xll.BDP($AX6,"RT076")="#N/A N/A",_xll.BDP($AX6,"RT076")="#N/A FIELD NOT APPLICABLE")," ", _xll.BDP($AX6,"RT076")/100)</f>
        <v>4.5156090000000003E-3</v>
      </c>
      <c r="AK6" s="25" t="str" cm="1">
        <f t="array" ref="AK6">IF(OR(_xll.BDP($AX6,"FD252")="#N/A N/A",_xll.BDP($AX6,"FD252")="#N/A FIELD NOT APPLICABLE")," ", _xll.BDP($AX6,"FD252")/100)</f>
        <v xml:space="preserve"> </v>
      </c>
      <c r="AL6" s="25" cm="1">
        <f t="array" ref="AL6">IF(OR(_xll.BDP($AX6,"FD015")="#N/A N/A",_xll.BDP($AX6,"FD015")="#N/A FIELD NOT APPLICABLE")," ", _xll.BDP($AX6,"FD015")/100)</f>
        <v>8.3999999999999995E-3</v>
      </c>
      <c r="AM6" s="25" cm="1">
        <f t="array" ref="AM6">IF(OR(_xll.BDP($AX6,"FD138")="#N/A N/A",_xll.BDP($AX6,"FD138")="#N/A FIELD NOT APPLICABLE")," ", _xll.BDP($AX6,"FD138")/100)</f>
        <v>6.9999999999999993E-3</v>
      </c>
      <c r="AN6" s="36" cm="1">
        <f t="array" ref="AN6">IF(OR(_xll.BDP($AX6,"FD009")="#N/A N/A",_xll.BDP($AX6,"FD009")="#N/A FIELD NOT APPLICABLE")," ", _xll.BDP($AX6,"FD009")/100)</f>
        <v>0</v>
      </c>
      <c r="AO6" s="25" cm="1">
        <f t="array" ref="AO6">IF(OR(_xll.BDP($AX6,"RK512")="#N/A N/A",_xll.BDP($AX6,"RK512")="#N/A FIELD NOT APPLICABLE")," ", _xll.BDP($AX6,"RK512")/100)</f>
        <v>2.3225799999999999E-3</v>
      </c>
      <c r="AP6" s="25" cm="1">
        <f t="array" ref="AP6">IF(OR(_xll.BDP($AX6,"RK514")="#N/A N/A",_xll.BDP($AX6,"RK514")="#N/A FIELD NOT APPLICABLE")," ", _xll.BDP($AX6,"RK514")/100)</f>
        <v>3.3112599999999999E-3</v>
      </c>
      <c r="AQ6" s="25" cm="1">
        <f t="array" ref="AQ6">IF(OR(_xll.BDP($AX6,"RK521")="#N/A N/A",_xll.BDP($AX6,"RK521")="#N/A FIELD NOT APPLICABLE")," ", _xll.BDP($AX6,"RK521")/100)</f>
        <v>1.5222199999999998E-2</v>
      </c>
      <c r="AR6" s="25" cm="1">
        <f t="array" ref="AR6">IF(OR(_xll.BDP($AX6,"RK525")="#N/A N/A",_xll.BDP($AX6,"RK525")="#N/A FIELD NOT APPLICABLE")," ", _xll.BDP($AX6,"RK525")/100)</f>
        <v>1.3396099999999999E-2</v>
      </c>
      <c r="AS6" s="25" cm="1">
        <f t="array" ref="AS6">IF(OR(_xll.BDP($AX6,"RK524")="#N/A N/A",_xll.BDP($AX6,"RK524")="#N/A FIELD NOT APPLICABLE")," ", _xll.BDP($AX6,"RK524")/100)</f>
        <v>-3.5144000000000001E-4</v>
      </c>
      <c r="AT6" s="25" t="str" cm="1">
        <f t="array" ref="AT6">IF(OR(_xll.BDP($AX6,"FD183")="#N/A N/A",_xll.BDP($AX6,"FD183")="#N/A FIELD NOT APPLICABLE")," ", _xll.BDP($AX6,"FD183"))</f>
        <v xml:space="preserve"> </v>
      </c>
      <c r="AU6" s="25" t="str" cm="1">
        <f t="array" ref="AU6">IF(OR(_xll.BDP($AX6,"DY997")="#N/A N/A",_xll.BDP($AX6,"DY997")="#N/A FIELD NOT APPLICABLE")," ", _xll.BDP($AX6,"DY997"))</f>
        <v xml:space="preserve"> </v>
      </c>
      <c r="AV6" s="25" t="str" cm="1">
        <f t="array" ref="AV6">IF(OR(_xll.BDP($AX6,"DY784")="#N/A N/A",_xll.BDP($AX6,"DY784")="#N/A FIELD NOT APPLICABLE")," ", _xll.BDP($AX6,"DY784"))</f>
        <v xml:space="preserve"> </v>
      </c>
      <c r="AW6" s="22" t="str">
        <f t="shared" si="6"/>
        <v>N</v>
      </c>
      <c r="AX6" s="22" t="str">
        <f t="shared" si="7"/>
        <v>3188 HK Equity</v>
      </c>
      <c r="BC6" s="17" t="str" cm="1">
        <f t="array" ref="BC6">_xll.BDP(AX6,"ID005")</f>
        <v>HK0000123577</v>
      </c>
      <c r="BD6" s="17">
        <v>0.75</v>
      </c>
      <c r="BE6" s="18">
        <v>5</v>
      </c>
      <c r="BF6" s="37">
        <v>45492</v>
      </c>
      <c r="BG6" s="20">
        <v>1.0000000000107532</v>
      </c>
    </row>
    <row r="7" spans="1:59" s="3" customFormat="1" ht="14.45" customHeight="1" x14ac:dyDescent="0.25">
      <c r="A7" s="49" t="s">
        <v>242</v>
      </c>
      <c r="B7" s="49" t="s">
        <v>255</v>
      </c>
      <c r="C7" s="49" t="s">
        <v>256</v>
      </c>
      <c r="D7" s="49" t="s">
        <v>248</v>
      </c>
      <c r="E7" s="22" t="str">
        <f>_xll.BDP(AX7,"SECURITY NAME")</f>
        <v>ChinaAMC ETF Series - ChinaAMC</v>
      </c>
      <c r="F7" s="22" t="str">
        <f>_xll.BDP(AX7,"CRNCY")</f>
        <v>HKD</v>
      </c>
      <c r="G7" s="23" t="s">
        <v>339</v>
      </c>
      <c r="H7" s="22" t="str" cm="1">
        <f t="array" ref="H7">IF(OR(_xll.BDP($AX7,"FD120")="#N/A N/A",_xll.BDP($AX7,"FD120")="#N/A FIELD NOT APPLICABLE")," ",_xll.BDP($AX7,"FD120"))</f>
        <v>China</v>
      </c>
      <c r="I7" s="22" t="str" cm="1">
        <f t="array" ref="I7">IF(OR(_xll.BDP($AX7,"FD116")="#N/A N/A",_xll.BDP($AX7,"FD116")="#N/A FIELD NOT APPLICABLE")," ",_xll.BDP($AX7,"FD116"))</f>
        <v>Blend</v>
      </c>
      <c r="J7" s="22" t="str" cm="1">
        <f t="array" ref="J7">IF(OR(_xll.BDP($AX7,"FD133")="#N/A N/A",_xll.BDP($AX7,"FD133")="#N/A FIELD NOT APPLICABLE")," ", _xll.BDP($AX7,"FD133"))</f>
        <v xml:space="preserve"> </v>
      </c>
      <c r="K7" s="34">
        <f>_xll.BDP(AX7,"FUND_ASSETS_USD")/1000</f>
        <v>2.4038879999999998</v>
      </c>
      <c r="L7" s="25">
        <f>IFERROR(_xll.BDP(AX7, "DV013")/100,0)</f>
        <v>1.2258812254228389E-2</v>
      </c>
      <c r="M7" s="25" cm="1">
        <f t="array" ref="M7">IF(OR(_xll.BDP($AX7,"PR079")="#N/A N/A",_xll.BDP($AX7,"PR079")="#N/A FIELD NOT APPLICABLE")," ", _xll.BDP($AX7,"PR079")/100)</f>
        <v>-3.3960569999999995E-2</v>
      </c>
      <c r="N7" s="25" cm="1">
        <f t="array" ref="N7">IF(OR(_xll.BDP($AX7,"RT074")="#N/A N/A",_xll.BDP($AX7,"RT074")="#N/A FIELD NOT APPLICABLE")," ", _xll.BDP($AX7,"RT074")/100)</f>
        <v>5.7195130000000004E-2</v>
      </c>
      <c r="O7" s="27">
        <v>22600</v>
      </c>
      <c r="P7" s="28">
        <v>43.69</v>
      </c>
      <c r="Q7" s="22" cm="1">
        <f t="array" ref="Q7">IF(OR(_xll.BDP($AX7,"PX_last")="#N/A N/A",_xll.BDP($AX7,"PX_Last")="#N/A FIELD NOT APPLICABLE")," ",IF(F7="GBP",(_xll.BDP($AX7,"PX_LAST")/100),(_xll.BDP($AX7,"PX_LAST"))))</f>
        <v>42.1</v>
      </c>
      <c r="R7" s="29">
        <f>IF(F7="USD",AA7,(((_xll.BDP(F7&amp;"USD CURNCY","PX_LAST")))*AA7))</f>
        <v>127304.70842</v>
      </c>
      <c r="S7" s="29">
        <f>IF(F7="USD",AB7,(((_xll.BDP(F7&amp;"USD CURNCY","PX_LAST")))*AB7))</f>
        <v>122671.73779999999</v>
      </c>
      <c r="T7" s="12">
        <f t="shared" si="0"/>
        <v>-4632.9706200000073</v>
      </c>
      <c r="U7" s="13">
        <f t="shared" si="1"/>
        <v>-3.6392767223621024E-2</v>
      </c>
      <c r="V7" s="13" cm="1">
        <f t="array" ref="V7">IFERROR(_xll.BDP($G7&amp;" Equity","CHG_PCT_1D")/100,"")</f>
        <v>7.1770330000000002E-3</v>
      </c>
      <c r="W7" s="13" cm="1">
        <f t="array" ref="W7">IFERROR(_xll.BDP($G7&amp;" Equity","CHG_PCT_5D")/100,"")</f>
        <v>7.1770330000000002E-3</v>
      </c>
      <c r="X7" s="13" t="e">
        <f>S7/#REF!</f>
        <v>#REF!</v>
      </c>
      <c r="Y7" s="29">
        <f t="shared" si="2"/>
        <v>1503.8098025901318</v>
      </c>
      <c r="Z7" s="29">
        <f t="shared" si="3"/>
        <v>122671.73779999999</v>
      </c>
      <c r="AA7" s="29">
        <f t="shared" si="4"/>
        <v>987394</v>
      </c>
      <c r="AB7" s="29">
        <f t="shared" si="5"/>
        <v>951460</v>
      </c>
      <c r="AC7" s="25" t="str" cm="1">
        <f t="array" ref="AC7">IF(OR(_xll.BDP($AX7,"EX028")="#N/A N/A",_xll.BDP($AX7,"EX028")="#N/A FIELD NOT APPLICABLE")," ", _xll.BDP($AX7,"EX028"))</f>
        <v>Fund</v>
      </c>
      <c r="AD7" s="35" t="str" cm="1">
        <f t="array" ref="AD7">IF(OR(_xll.BDP($AX7,"FD121")="#N/A N/A",_xll.BDP($AX7,"FD121")="#N/A FIELD NOT APPLICABLE")," ", _xll.BDP($AX7,"FD121"))</f>
        <v>Equity</v>
      </c>
      <c r="AE7" s="25" t="str" cm="1">
        <f t="array" ref="AE7">IF(OR(_xll.BDP($AX7,"FD118")="#N/A N/A",_xll.BDP($AX7,"FD118")="#N/A FIELD NOT APPLICABLE")," ", _xll.BDP($AX7,"FD118"))</f>
        <v>ETF</v>
      </c>
      <c r="AF7" s="22" t="str" cm="1">
        <f t="array" ref="AF7">IF(OR(_xll.BDP($AX7,"FD114")="#N/A N/A",_xll.BDP($AX7,"FD114")="#N/A FIELD NOT APPLICABLE")," ", _xll.BDP($AX7,"FD114"))</f>
        <v xml:space="preserve"> </v>
      </c>
      <c r="AG7" s="22" t="str" cm="1">
        <f t="array" ref="AG7">IF(OR(_xll.BDP($AX7,"FD003")="#N/A N/A",_xll.BDP($AX7,"FD003")="#N/A FIELD NOT APPLICABLE")," ", _xll.BDP($AX7,"FD003"))</f>
        <v>17/07/2012</v>
      </c>
      <c r="AH7" s="32" cm="1">
        <f t="array" ref="AH7">IF(OR(_xll.BDP($AX7,"PR061")="#N/A N/A",_xll.BDP($AX7,"PR061")="#N/A FIELD NOT APPLICABLE")," ", _xll.BDP($AX7,"PR061")/100)</f>
        <v>-1.727358E-2</v>
      </c>
      <c r="AI7" s="25" cm="1">
        <f t="array" ref="AI7">IF(OR(_xll.BDP($AX7,"RT075")="#N/A N/A",_xll.BDP($AX7,"RT075")="#N/A FIELD NOT APPLICABLE")," ", _xll.BDP($AX7,"RT075")/100)</f>
        <v>-3.7045330000000001E-2</v>
      </c>
      <c r="AJ7" s="25" cm="1">
        <f t="array" ref="AJ7">IF(OR(_xll.BDP($AX7,"RT076")="#N/A N/A",_xll.BDP($AX7,"RT076")="#N/A FIELD NOT APPLICABLE")," ", _xll.BDP($AX7,"RT076")/100)</f>
        <v>4.5156090000000003E-3</v>
      </c>
      <c r="AK7" s="25" t="str" cm="1">
        <f t="array" ref="AK7">IF(OR(_xll.BDP($AX7,"FD252")="#N/A N/A",_xll.BDP($AX7,"FD252")="#N/A FIELD NOT APPLICABLE")," ", _xll.BDP($AX7,"FD252")/100)</f>
        <v xml:space="preserve"> </v>
      </c>
      <c r="AL7" s="25" cm="1">
        <f t="array" ref="AL7">IF(OR(_xll.BDP($AX7,"FD015")="#N/A N/A",_xll.BDP($AX7,"FD015")="#N/A FIELD NOT APPLICABLE")," ", _xll.BDP($AX7,"FD015")/100)</f>
        <v>8.3999999999999995E-3</v>
      </c>
      <c r="AM7" s="25" cm="1">
        <f t="array" ref="AM7">IF(OR(_xll.BDP($AX7,"FD138")="#N/A N/A",_xll.BDP($AX7,"FD138")="#N/A FIELD NOT APPLICABLE")," ", _xll.BDP($AX7,"FD138")/100)</f>
        <v>6.9999999999999993E-3</v>
      </c>
      <c r="AN7" s="36" cm="1">
        <f t="array" ref="AN7">IF(OR(_xll.BDP($AX7,"FD009")="#N/A N/A",_xll.BDP($AX7,"FD009")="#N/A FIELD NOT APPLICABLE")," ", _xll.BDP($AX7,"FD009")/100)</f>
        <v>0</v>
      </c>
      <c r="AO7" s="25" cm="1">
        <f t="array" ref="AO7">IF(OR(_xll.BDP($AX7,"RK512")="#N/A N/A",_xll.BDP($AX7,"RK512")="#N/A FIELD NOT APPLICABLE")," ", _xll.BDP($AX7,"RK512")/100)</f>
        <v>2.3225799999999999E-3</v>
      </c>
      <c r="AP7" s="25" cm="1">
        <f t="array" ref="AP7">IF(OR(_xll.BDP($AX7,"RK514")="#N/A N/A",_xll.BDP($AX7,"RK514")="#N/A FIELD NOT APPLICABLE")," ", _xll.BDP($AX7,"RK514")/100)</f>
        <v>3.3112599999999999E-3</v>
      </c>
      <c r="AQ7" s="25" cm="1">
        <f t="array" ref="AQ7">IF(OR(_xll.BDP($AX7,"RK521")="#N/A N/A",_xll.BDP($AX7,"RK521")="#N/A FIELD NOT APPLICABLE")," ", _xll.BDP($AX7,"RK521")/100)</f>
        <v>1.5222199999999998E-2</v>
      </c>
      <c r="AR7" s="25" cm="1">
        <f t="array" ref="AR7">IF(OR(_xll.BDP($AX7,"RK525")="#N/A N/A",_xll.BDP($AX7,"RK525")="#N/A FIELD NOT APPLICABLE")," ", _xll.BDP($AX7,"RK525")/100)</f>
        <v>1.3396099999999999E-2</v>
      </c>
      <c r="AS7" s="25" cm="1">
        <f t="array" ref="AS7">IF(OR(_xll.BDP($AX7,"RK524")="#N/A N/A",_xll.BDP($AX7,"RK524")="#N/A FIELD NOT APPLICABLE")," ", _xll.BDP($AX7,"RK524")/100)</f>
        <v>-3.5144000000000001E-4</v>
      </c>
      <c r="AT7" s="25" t="str" cm="1">
        <f t="array" ref="AT7">IF(OR(_xll.BDP($AX7,"FD183")="#N/A N/A",_xll.BDP($AX7,"FD183")="#N/A FIELD NOT APPLICABLE")," ", _xll.BDP($AX7,"FD183"))</f>
        <v xml:space="preserve"> </v>
      </c>
      <c r="AU7" s="25" t="str" cm="1">
        <f t="array" ref="AU7">IF(OR(_xll.BDP($AX7,"DY997")="#N/A N/A",_xll.BDP($AX7,"DY997")="#N/A FIELD NOT APPLICABLE")," ", _xll.BDP($AX7,"DY997"))</f>
        <v xml:space="preserve"> </v>
      </c>
      <c r="AV7" s="25" t="str" cm="1">
        <f t="array" ref="AV7">IF(OR(_xll.BDP($AX7,"DY784")="#N/A N/A",_xll.BDP($AX7,"DY784")="#N/A FIELD NOT APPLICABLE")," ", _xll.BDP($AX7,"DY784"))</f>
        <v xml:space="preserve"> </v>
      </c>
      <c r="AW7" s="22" t="str">
        <f t="shared" si="6"/>
        <v>N</v>
      </c>
      <c r="AX7" s="22" t="str">
        <f t="shared" si="7"/>
        <v>3188 HK Equity</v>
      </c>
      <c r="BC7" s="17" t="str" cm="1">
        <f t="array" ref="BC7">_xll.BDP(AX7,"ID005")</f>
        <v>HK0000123577</v>
      </c>
      <c r="BD7" s="17">
        <v>0.6</v>
      </c>
      <c r="BE7" s="18">
        <v>5</v>
      </c>
      <c r="BF7" s="37"/>
      <c r="BG7" s="20"/>
    </row>
    <row r="8" spans="1:59" s="3" customFormat="1" ht="14.45" customHeight="1" x14ac:dyDescent="0.25">
      <c r="A8" s="49" t="s">
        <v>242</v>
      </c>
      <c r="B8" s="49" t="s">
        <v>260</v>
      </c>
      <c r="C8" s="49" t="s">
        <v>261</v>
      </c>
      <c r="D8" s="49" t="s">
        <v>248</v>
      </c>
      <c r="E8" s="22" t="str">
        <f>_xll.BDP(AX8,"SECURITY NAME")</f>
        <v>ChinaAMC ETF Series - ChinaAMC</v>
      </c>
      <c r="F8" s="22" t="str">
        <f>_xll.BDP(AX8,"CRNCY")</f>
        <v>HKD</v>
      </c>
      <c r="G8" s="73" t="s">
        <v>339</v>
      </c>
      <c r="H8" s="22" t="str" cm="1">
        <f t="array" ref="H8">IF(OR(_xll.BDP($AX8,"FD120")="#N/A N/A",_xll.BDP($AX8,"FD120")="#N/A FIELD NOT APPLICABLE")," ",_xll.BDP($AX8,"FD120"))</f>
        <v>China</v>
      </c>
      <c r="I8" s="22" t="str" cm="1">
        <f t="array" ref="I8">IF(OR(_xll.BDP($AX8,"FD116")="#N/A N/A",_xll.BDP($AX8,"FD116")="#N/A FIELD NOT APPLICABLE")," ",_xll.BDP($AX8,"FD116"))</f>
        <v>Blend</v>
      </c>
      <c r="J8" s="22" t="str" cm="1">
        <f t="array" ref="J8">IF(OR(_xll.BDP($AX8,"FD133")="#N/A N/A",_xll.BDP($AX8,"FD133")="#N/A FIELD NOT APPLICABLE")," ", _xll.BDP($AX8,"FD133"))</f>
        <v xml:space="preserve"> </v>
      </c>
      <c r="K8" s="34">
        <f>_xll.BDP(AX8,"FUND_ASSETS_USD")/1000</f>
        <v>2.4038879999999998</v>
      </c>
      <c r="L8" s="25">
        <f>IFERROR(_xll.BDP(AX8, "DV013")/100,0)</f>
        <v>1.2258812254228389E-2</v>
      </c>
      <c r="M8" s="25" cm="1">
        <f t="array" ref="M8">IF(OR(_xll.BDP($AX8,"PR079")="#N/A N/A",_xll.BDP($AX8,"PR079")="#N/A FIELD NOT APPLICABLE")," ", _xll.BDP($AX8,"PR079")/100)</f>
        <v>-3.3960569999999995E-2</v>
      </c>
      <c r="N8" s="25" cm="1">
        <f t="array" ref="N8">IF(OR(_xll.BDP($AX8,"RT074")="#N/A N/A",_xll.BDP($AX8,"RT074")="#N/A FIELD NOT APPLICABLE")," ", _xll.BDP($AX8,"RT074")/100)</f>
        <v>5.7195130000000004E-2</v>
      </c>
      <c r="O8" s="74">
        <v>16200</v>
      </c>
      <c r="P8" s="75">
        <v>43.547199999999997</v>
      </c>
      <c r="Q8" s="22" cm="1">
        <f t="array" ref="Q8">IF(OR(_xll.BDP($AX8,"PX_last")="#N/A N/A",_xll.BDP($AX8,"PX_Last")="#N/A FIELD NOT APPLICABLE")," ",IF(F8="GBP",(_xll.BDP($AX8,"PX_LAST")/100),(_xll.BDP($AX8,"PX_LAST"))))</f>
        <v>42.1</v>
      </c>
      <c r="R8" s="29">
        <f>IF(F8="USD",AA8,(((_xll.BDP(F8&amp;"USD CURNCY","PX_LAST")))*AA8))</f>
        <v>90955.556035199974</v>
      </c>
      <c r="S8" s="29">
        <f>IF(F8="USD",AB8,(((_xll.BDP(F8&amp;"USD CURNCY","PX_LAST")))*AB8))</f>
        <v>87932.838599999988</v>
      </c>
      <c r="T8" s="12">
        <f t="shared" si="0"/>
        <v>-3022.7174351999856</v>
      </c>
      <c r="U8" s="13">
        <f t="shared" si="1"/>
        <v>-3.3232905904397841E-2</v>
      </c>
      <c r="V8" s="13" cm="1">
        <f t="array" ref="V8">IFERROR(_xll.BDP($G8&amp;" Equity","CHG_PCT_1D")/100,"")</f>
        <v>7.1770330000000002E-3</v>
      </c>
      <c r="W8" s="13" cm="1">
        <f t="array" ref="W8">IFERROR(_xll.BDP($G8&amp;" Equity","CHG_PCT_5D")/100,"")</f>
        <v>7.1770330000000002E-3</v>
      </c>
      <c r="X8" s="13" t="e">
        <f>S8/#REF!</f>
        <v>#REF!</v>
      </c>
      <c r="Y8" s="29">
        <f t="shared" si="2"/>
        <v>1077.952159378767</v>
      </c>
      <c r="Z8" s="29">
        <f t="shared" si="3"/>
        <v>87932.838599999988</v>
      </c>
      <c r="AA8" s="29">
        <f t="shared" si="4"/>
        <v>705464.6399999999</v>
      </c>
      <c r="AB8" s="29">
        <f t="shared" si="5"/>
        <v>682020</v>
      </c>
      <c r="AC8" s="25" t="str" cm="1">
        <f t="array" ref="AC8">IF(OR(_xll.BDP($AX8,"EX028")="#N/A N/A",_xll.BDP($AX8,"EX028")="#N/A FIELD NOT APPLICABLE")," ", _xll.BDP($AX8,"EX028"))</f>
        <v>Fund</v>
      </c>
      <c r="AD8" s="35" t="str" cm="1">
        <f t="array" ref="AD8">IF(OR(_xll.BDP($AX8,"FD121")="#N/A N/A",_xll.BDP($AX8,"FD121")="#N/A FIELD NOT APPLICABLE")," ", _xll.BDP($AX8,"FD121"))</f>
        <v>Equity</v>
      </c>
      <c r="AE8" s="25" t="str" cm="1">
        <f t="array" ref="AE8">IF(OR(_xll.BDP($AX8,"FD118")="#N/A N/A",_xll.BDP($AX8,"FD118")="#N/A FIELD NOT APPLICABLE")," ", _xll.BDP($AX8,"FD118"))</f>
        <v>ETF</v>
      </c>
      <c r="AF8" s="22" t="str" cm="1">
        <f t="array" ref="AF8">IF(OR(_xll.BDP($AX8,"FD114")="#N/A N/A",_xll.BDP($AX8,"FD114")="#N/A FIELD NOT APPLICABLE")," ", _xll.BDP($AX8,"FD114"))</f>
        <v xml:space="preserve"> </v>
      </c>
      <c r="AG8" s="22" t="str" cm="1">
        <f t="array" ref="AG8">IF(OR(_xll.BDP($AX8,"FD003")="#N/A N/A",_xll.BDP($AX8,"FD003")="#N/A FIELD NOT APPLICABLE")," ", _xll.BDP($AX8,"FD003"))</f>
        <v>17/07/2012</v>
      </c>
      <c r="AH8" s="32" cm="1">
        <f t="array" ref="AH8">IF(OR(_xll.BDP($AX8,"PR061")="#N/A N/A",_xll.BDP($AX8,"PR061")="#N/A FIELD NOT APPLICABLE")," ", _xll.BDP($AX8,"PR061")/100)</f>
        <v>-1.727358E-2</v>
      </c>
      <c r="AI8" s="25" cm="1">
        <f t="array" ref="AI8">IF(OR(_xll.BDP($AX8,"RT075")="#N/A N/A",_xll.BDP($AX8,"RT075")="#N/A FIELD NOT APPLICABLE")," ", _xll.BDP($AX8,"RT075")/100)</f>
        <v>-3.7045330000000001E-2</v>
      </c>
      <c r="AJ8" s="25" cm="1">
        <f t="array" ref="AJ8">IF(OR(_xll.BDP($AX8,"RT076")="#N/A N/A",_xll.BDP($AX8,"RT076")="#N/A FIELD NOT APPLICABLE")," ", _xll.BDP($AX8,"RT076")/100)</f>
        <v>4.5156090000000003E-3</v>
      </c>
      <c r="AK8" s="25" t="str" cm="1">
        <f t="array" ref="AK8">IF(OR(_xll.BDP($AX8,"FD252")="#N/A N/A",_xll.BDP($AX8,"FD252")="#N/A FIELD NOT APPLICABLE")," ", _xll.BDP($AX8,"FD252")/100)</f>
        <v xml:space="preserve"> </v>
      </c>
      <c r="AL8" s="25" cm="1">
        <f t="array" ref="AL8">IF(OR(_xll.BDP($AX8,"FD015")="#N/A N/A",_xll.BDP($AX8,"FD015")="#N/A FIELD NOT APPLICABLE")," ", _xll.BDP($AX8,"FD015")/100)</f>
        <v>8.3999999999999995E-3</v>
      </c>
      <c r="AM8" s="25" cm="1">
        <f t="array" ref="AM8">IF(OR(_xll.BDP($AX8,"FD138")="#N/A N/A",_xll.BDP($AX8,"FD138")="#N/A FIELD NOT APPLICABLE")," ", _xll.BDP($AX8,"FD138")/100)</f>
        <v>6.9999999999999993E-3</v>
      </c>
      <c r="AN8" s="36" cm="1">
        <f t="array" ref="AN8">IF(OR(_xll.BDP($AX8,"FD009")="#N/A N/A",_xll.BDP($AX8,"FD009")="#N/A FIELD NOT APPLICABLE")," ", _xll.BDP($AX8,"FD009")/100)</f>
        <v>0</v>
      </c>
      <c r="AO8" s="25" cm="1">
        <f t="array" ref="AO8">IF(OR(_xll.BDP($AX8,"RK512")="#N/A N/A",_xll.BDP($AX8,"RK512")="#N/A FIELD NOT APPLICABLE")," ", _xll.BDP($AX8,"RK512")/100)</f>
        <v>2.3225799999999999E-3</v>
      </c>
      <c r="AP8" s="25" cm="1">
        <f t="array" ref="AP8">IF(OR(_xll.BDP($AX8,"RK514")="#N/A N/A",_xll.BDP($AX8,"RK514")="#N/A FIELD NOT APPLICABLE")," ", _xll.BDP($AX8,"RK514")/100)</f>
        <v>3.3112599999999999E-3</v>
      </c>
      <c r="AQ8" s="25" cm="1">
        <f t="array" ref="AQ8">IF(OR(_xll.BDP($AX8,"RK521")="#N/A N/A",_xll.BDP($AX8,"RK521")="#N/A FIELD NOT APPLICABLE")," ", _xll.BDP($AX8,"RK521")/100)</f>
        <v>1.5222199999999998E-2</v>
      </c>
      <c r="AR8" s="25" cm="1">
        <f t="array" ref="AR8">IF(OR(_xll.BDP($AX8,"RK525")="#N/A N/A",_xll.BDP($AX8,"RK525")="#N/A FIELD NOT APPLICABLE")," ", _xll.BDP($AX8,"RK525")/100)</f>
        <v>1.3396099999999999E-2</v>
      </c>
      <c r="AS8" s="25" cm="1">
        <f t="array" ref="AS8">IF(OR(_xll.BDP($AX8,"RK524")="#N/A N/A",_xll.BDP($AX8,"RK524")="#N/A FIELD NOT APPLICABLE")," ", _xll.BDP($AX8,"RK524")/100)</f>
        <v>-3.5144000000000001E-4</v>
      </c>
      <c r="AT8" s="25" t="str" cm="1">
        <f t="array" ref="AT8">IF(OR(_xll.BDP($AX8,"FD183")="#N/A N/A",_xll.BDP($AX8,"FD183")="#N/A FIELD NOT APPLICABLE")," ", _xll.BDP($AX8,"FD183"))</f>
        <v xml:space="preserve"> </v>
      </c>
      <c r="AU8" s="25" t="str" cm="1">
        <f t="array" ref="AU8">IF(OR(_xll.BDP($AX8,"DY997")="#N/A N/A",_xll.BDP($AX8,"DY997")="#N/A FIELD NOT APPLICABLE")," ", _xll.BDP($AX8,"DY997"))</f>
        <v xml:space="preserve"> </v>
      </c>
      <c r="AV8" s="25" t="str" cm="1">
        <f t="array" ref="AV8">IF(OR(_xll.BDP($AX8,"DY784")="#N/A N/A",_xll.BDP($AX8,"DY784")="#N/A FIELD NOT APPLICABLE")," ", _xll.BDP($AX8,"DY784"))</f>
        <v xml:space="preserve"> </v>
      </c>
      <c r="AW8" s="22" t="str">
        <f t="shared" si="6"/>
        <v>N</v>
      </c>
      <c r="AX8" s="22" t="str">
        <f t="shared" si="7"/>
        <v>3188 HK Equity</v>
      </c>
      <c r="BC8" s="17" t="str">
        <f>_xll.BDP(AX8, "ID_ISIN")</f>
        <v>HK0000123577</v>
      </c>
      <c r="BD8" s="17" t="e">
        <f>VLOOKUP(BC8,'[2]Portefeuille 4379150'!$B$3:$G$42,6,0)</f>
        <v>#N/A</v>
      </c>
      <c r="BE8" s="18">
        <v>5</v>
      </c>
      <c r="BF8" s="37"/>
      <c r="BG8" s="20">
        <v>1.0000000000107532</v>
      </c>
    </row>
    <row r="9" spans="1:59" s="3" customFormat="1" ht="14.45" customHeight="1" x14ac:dyDescent="0.25">
      <c r="A9" s="49" t="s">
        <v>242</v>
      </c>
      <c r="B9" s="49" t="s">
        <v>264</v>
      </c>
      <c r="C9" s="49" t="s">
        <v>265</v>
      </c>
      <c r="D9" s="49" t="s">
        <v>248</v>
      </c>
      <c r="E9" s="22" t="str">
        <f>_xll.BDP(AX9,"SECURITY NAME")</f>
        <v>ChinaAMC ETF Series - ChinaAMC</v>
      </c>
      <c r="F9" s="22" t="str">
        <f>_xll.BDP(AX9,"CRNCY")</f>
        <v>HKD</v>
      </c>
      <c r="G9" s="23" t="s">
        <v>339</v>
      </c>
      <c r="H9" s="22" t="str" cm="1">
        <f t="array" ref="H9">IF(OR(_xll.BDP($AX9,"FD120")="#N/A N/A",_xll.BDP($AX9,"FD120")="#N/A FIELD NOT APPLICABLE")," ",_xll.BDP($AX9,"FD120"))</f>
        <v>China</v>
      </c>
      <c r="I9" s="22" t="str" cm="1">
        <f t="array" ref="I9">IF(OR(_xll.BDP($AX9,"FD116")="#N/A N/A",_xll.BDP($AX9,"FD116")="#N/A FIELD NOT APPLICABLE")," ",_xll.BDP($AX9,"FD116"))</f>
        <v>Blend</v>
      </c>
      <c r="J9" s="22" t="str" cm="1">
        <f t="array" ref="J9">IF(OR(_xll.BDP($AX9,"FD133")="#N/A N/A",_xll.BDP($AX9,"FD133")="#N/A FIELD NOT APPLICABLE")," ", _xll.BDP($AX9,"FD133"))</f>
        <v xml:space="preserve"> </v>
      </c>
      <c r="K9" s="34">
        <f>_xll.BDP(AX9,"FUND_ASSETS_USD")/1000</f>
        <v>2.4038879999999998</v>
      </c>
      <c r="L9" s="25">
        <f>IFERROR(_xll.BDP(AX9, "DV013")/100,0)</f>
        <v>1.2258812254228389E-2</v>
      </c>
      <c r="M9" s="25" cm="1">
        <f t="array" ref="M9">IF(OR(_xll.BDP($AX9,"PR079")="#N/A N/A",_xll.BDP($AX9,"PR079")="#N/A FIELD NOT APPLICABLE")," ", _xll.BDP($AX9,"PR079")/100)</f>
        <v>-3.3960569999999995E-2</v>
      </c>
      <c r="N9" s="25" cm="1">
        <f t="array" ref="N9">IF(OR(_xll.BDP($AX9,"RT074")="#N/A N/A",_xll.BDP($AX9,"RT074")="#N/A FIELD NOT APPLICABLE")," ", _xll.BDP($AX9,"RT074")/100)</f>
        <v>5.7195130000000004E-2</v>
      </c>
      <c r="O9" s="27">
        <v>30800</v>
      </c>
      <c r="P9" s="28">
        <v>43.68</v>
      </c>
      <c r="Q9" s="22" cm="1">
        <f t="array" ref="Q9">IF(OR(_xll.BDP($AX9,"PX_last")="#N/A N/A",_xll.BDP($AX9,"PX_Last")="#N/A FIELD NOT APPLICABLE")," ",IF(F9="GBP",(_xll.BDP($AX9,"PX_LAST")),(_xll.BDP($AX9,"PX_LAST"))))</f>
        <v>42.1</v>
      </c>
      <c r="R9" s="29">
        <f>IF(F9="USD",AA9,(((_xll.BDP(F9&amp;"USD CURNCY","PX_LAST")))*AA9))</f>
        <v>173455.20191999999</v>
      </c>
      <c r="S9" s="29">
        <f>IF(F9="USD",AB9,(((_xll.BDP(F9&amp;"USD CURNCY","PX_LAST")))*AB9))</f>
        <v>167180.95239999998</v>
      </c>
      <c r="T9" s="12">
        <f t="shared" si="0"/>
        <v>-6274.2495200000121</v>
      </c>
      <c r="U9" s="13">
        <f t="shared" si="1"/>
        <v>-3.6172161172161245E-2</v>
      </c>
      <c r="V9" s="13" cm="1">
        <f t="array" ref="V9">IFERROR(_xll.BDP($G9&amp;" Equity","CHG_PCT_1D")/100,"")</f>
        <v>7.1770330000000002E-3</v>
      </c>
      <c r="W9" s="13" cm="1">
        <f t="array" ref="W9">IFERROR(_xll.BDP($G9&amp;" Equity","CHG_PCT_5D")/100,"")</f>
        <v>7.1770330000000002E-3</v>
      </c>
      <c r="X9" s="13" t="e">
        <f>S9/#REF!</f>
        <v>#REF!</v>
      </c>
      <c r="Y9" s="29">
        <f t="shared" si="2"/>
        <v>2049.4399079546929</v>
      </c>
      <c r="Z9" s="29">
        <f t="shared" si="3"/>
        <v>167180.95239999998</v>
      </c>
      <c r="AA9" s="29">
        <f t="shared" si="4"/>
        <v>1345344</v>
      </c>
      <c r="AB9" s="29">
        <f t="shared" si="5"/>
        <v>1296680</v>
      </c>
      <c r="AC9" s="25" t="str" cm="1">
        <f t="array" ref="AC9">IF(OR(_xll.BDP($AX9,"EX028")="#N/A N/A",_xll.BDP($AX9,"EX028")="#N/A FIELD NOT APPLICABLE")," ", _xll.BDP($AX9,"EX028"))</f>
        <v>Fund</v>
      </c>
      <c r="AD9" s="35" t="str" cm="1">
        <f t="array" ref="AD9">IF(OR(_xll.BDP($AX9,"FD121")="#N/A N/A",_xll.BDP($AX9,"FD121")="#N/A FIELD NOT APPLICABLE")," ", _xll.BDP($AX9,"FD121"))</f>
        <v>Equity</v>
      </c>
      <c r="AE9" s="25" t="str" cm="1">
        <f t="array" ref="AE9">IF(OR(_xll.BDP($AX9,"FD118")="#N/A N/A",_xll.BDP($AX9,"FD118")="#N/A FIELD NOT APPLICABLE")," ", _xll.BDP($AX9,"FD118"))</f>
        <v>ETF</v>
      </c>
      <c r="AF9" s="22" t="str" cm="1">
        <f t="array" ref="AF9">IF(OR(_xll.BDP($AX9,"FD114")="#N/A N/A",_xll.BDP($AX9,"FD114")="#N/A FIELD NOT APPLICABLE")," ", _xll.BDP($AX9,"FD114"))</f>
        <v xml:space="preserve"> </v>
      </c>
      <c r="AG9" s="22" t="str" cm="1">
        <f t="array" ref="AG9">IF(OR(_xll.BDP($AX9,"FD003")="#N/A N/A",_xll.BDP($AX9,"FD003")="#N/A FIELD NOT APPLICABLE")," ", _xll.BDP($AX9,"FD003"))</f>
        <v>17/07/2012</v>
      </c>
      <c r="AH9" s="32" cm="1">
        <f t="array" ref="AH9">IF(OR(_xll.BDP($AX9,"PR061")="#N/A N/A",_xll.BDP($AX9,"PR061")="#N/A FIELD NOT APPLICABLE")," ", _xll.BDP($AX9,"PR061")/100)</f>
        <v>-1.727358E-2</v>
      </c>
      <c r="AI9" s="25" cm="1">
        <f t="array" ref="AI9">IF(OR(_xll.BDP($AX9,"RT075")="#N/A N/A",_xll.BDP($AX9,"RT075")="#N/A FIELD NOT APPLICABLE")," ", _xll.BDP($AX9,"RT075")/100)</f>
        <v>-3.7045330000000001E-2</v>
      </c>
      <c r="AJ9" s="25" cm="1">
        <f t="array" ref="AJ9">IF(OR(_xll.BDP($AX9,"RT076")="#N/A N/A",_xll.BDP($AX9,"RT076")="#N/A FIELD NOT APPLICABLE")," ", _xll.BDP($AX9,"RT076")/100)</f>
        <v>4.5156090000000003E-3</v>
      </c>
      <c r="AK9" s="25" t="str" cm="1">
        <f t="array" ref="AK9">IF(OR(_xll.BDP($AX9,"FD252")="#N/A N/A",_xll.BDP($AX9,"FD252")="#N/A FIELD NOT APPLICABLE")," ", _xll.BDP($AX9,"FD252")/100)</f>
        <v xml:space="preserve"> </v>
      </c>
      <c r="AL9" s="25" cm="1">
        <f t="array" ref="AL9">IF(OR(_xll.BDP($AX9,"FD015")="#N/A N/A",_xll.BDP($AX9,"FD015")="#N/A FIELD NOT APPLICABLE")," ", _xll.BDP($AX9,"FD015")/100)</f>
        <v>8.3999999999999995E-3</v>
      </c>
      <c r="AM9" s="25" cm="1">
        <f t="array" ref="AM9">IF(OR(_xll.BDP($AX9,"FD138")="#N/A N/A",_xll.BDP($AX9,"FD138")="#N/A FIELD NOT APPLICABLE")," ", _xll.BDP($AX9,"FD138")/100)</f>
        <v>6.9999999999999993E-3</v>
      </c>
      <c r="AN9" s="36" cm="1">
        <f t="array" ref="AN9">IF(OR(_xll.BDP($AX9,"FD009")="#N/A N/A",_xll.BDP($AX9,"FD009")="#N/A FIELD NOT APPLICABLE")," ", _xll.BDP($AX9,"FD009")/100)</f>
        <v>0</v>
      </c>
      <c r="AO9" s="25" cm="1">
        <f t="array" ref="AO9">IF(OR(_xll.BDP($AX9,"RK512")="#N/A N/A",_xll.BDP($AX9,"RK512")="#N/A FIELD NOT APPLICABLE")," ", _xll.BDP($AX9,"RK512")/100)</f>
        <v>2.3225799999999999E-3</v>
      </c>
      <c r="AP9" s="25" cm="1">
        <f t="array" ref="AP9">IF(OR(_xll.BDP($AX9,"RK514")="#N/A N/A",_xll.BDP($AX9,"RK514")="#N/A FIELD NOT APPLICABLE")," ", _xll.BDP($AX9,"RK514")/100)</f>
        <v>3.3112599999999999E-3</v>
      </c>
      <c r="AQ9" s="25" cm="1">
        <f t="array" ref="AQ9">IF(OR(_xll.BDP($AX9,"RK521")="#N/A N/A",_xll.BDP($AX9,"RK521")="#N/A FIELD NOT APPLICABLE")," ", _xll.BDP($AX9,"RK521")/100)</f>
        <v>1.5222199999999998E-2</v>
      </c>
      <c r="AR9" s="25" cm="1">
        <f t="array" ref="AR9">IF(OR(_xll.BDP($AX9,"RK525")="#N/A N/A",_xll.BDP($AX9,"RK525")="#N/A FIELD NOT APPLICABLE")," ", _xll.BDP($AX9,"RK525")/100)</f>
        <v>1.3396099999999999E-2</v>
      </c>
      <c r="AS9" s="25" cm="1">
        <f t="array" ref="AS9">IF(OR(_xll.BDP($AX9,"RK524")="#N/A N/A",_xll.BDP($AX9,"RK524")="#N/A FIELD NOT APPLICABLE")," ", _xll.BDP($AX9,"RK524")/100)</f>
        <v>-3.5144000000000001E-4</v>
      </c>
      <c r="AT9" s="25" t="str" cm="1">
        <f t="array" ref="AT9">IF(OR(_xll.BDP($AX9,"FD183")="#N/A N/A",_xll.BDP($AX9,"FD183")="#N/A FIELD NOT APPLICABLE")," ", _xll.BDP($AX9,"FD183"))</f>
        <v xml:space="preserve"> </v>
      </c>
      <c r="AU9" s="25" t="str" cm="1">
        <f t="array" ref="AU9">IF(OR(_xll.BDP($AX9,"DY997")="#N/A N/A",_xll.BDP($AX9,"DY997")="#N/A FIELD NOT APPLICABLE")," ", _xll.BDP($AX9,"DY997"))</f>
        <v xml:space="preserve"> </v>
      </c>
      <c r="AV9" s="25" t="str" cm="1">
        <f t="array" ref="AV9">IF(OR(_xll.BDP($AX9,"DY784")="#N/A N/A",_xll.BDP($AX9,"DY784")="#N/A FIELD NOT APPLICABLE")," ", _xll.BDP($AX9,"DY784"))</f>
        <v xml:space="preserve"> </v>
      </c>
      <c r="AW9" s="22" t="str">
        <f t="shared" si="6"/>
        <v>N</v>
      </c>
      <c r="AX9" s="22" t="str">
        <f t="shared" si="7"/>
        <v>3188 HK Equity</v>
      </c>
      <c r="BC9" s="17" t="str" cm="1">
        <f t="array" ref="BC9">_xll.BDP(AX9,"ID005")</f>
        <v>HK0000123577</v>
      </c>
      <c r="BD9" s="17" t="e">
        <f>VLOOKUP(BC9,'[2]Portefeuille 4380430'!$B$3:$G$38,6,0)</f>
        <v>#N/A</v>
      </c>
      <c r="BE9" s="18">
        <v>5</v>
      </c>
      <c r="BF9" s="37"/>
      <c r="BG9" s="20"/>
    </row>
    <row r="10" spans="1:59" s="3" customFormat="1" ht="14.45" customHeight="1" x14ac:dyDescent="0.25">
      <c r="A10" s="49" t="s">
        <v>241</v>
      </c>
      <c r="B10" s="49" t="s">
        <v>266</v>
      </c>
      <c r="C10" s="49" t="s">
        <v>267</v>
      </c>
      <c r="D10" s="49" t="s">
        <v>240</v>
      </c>
      <c r="E10" s="22" t="str">
        <f>_xll.BDP(AX10,"SECURITY NAME")</f>
        <v>ChinaAMC ETF Series - ChinaAMC</v>
      </c>
      <c r="F10" s="22" t="str">
        <f>_xll.BDP(AX10,"CRNCY")</f>
        <v>HKD</v>
      </c>
      <c r="G10" s="23" t="s">
        <v>339</v>
      </c>
      <c r="H10" s="22" t="str" cm="1">
        <f t="array" ref="H10">IF(OR(_xll.BDP($AX10,"FD120")="#N/A N/A",_xll.BDP($AX10,"FD120")="#N/A FIELD NOT APPLICABLE")," ",_xll.BDP($AX10,"FD120"))</f>
        <v>China</v>
      </c>
      <c r="I10" s="22" t="str" cm="1">
        <f t="array" ref="I10">IF(OR(_xll.BDP($AX10,"FD116")="#N/A N/A",_xll.BDP($AX10,"FD116")="#N/A FIELD NOT APPLICABLE")," ",_xll.BDP($AX10,"FD116"))</f>
        <v>Blend</v>
      </c>
      <c r="J10" s="22" t="str" cm="1">
        <f t="array" ref="J10">IF(OR(_xll.BDP($AX10,"FD133")="#N/A N/A",_xll.BDP($AX10,"FD133")="#N/A FIELD NOT APPLICABLE")," ", _xll.BDP($AX10,"FD133"))</f>
        <v xml:space="preserve"> </v>
      </c>
      <c r="K10" s="34">
        <f>_xll.BDP(AX10,"FUND_ASSETS_USD")/1000</f>
        <v>2.4038879999999998</v>
      </c>
      <c r="L10" s="25">
        <f>IFERROR(_xll.BDP(AX10, "DV013")/100,0)</f>
        <v>1.2258812254228389E-2</v>
      </c>
      <c r="M10" s="25" cm="1">
        <f t="array" ref="M10">IF(OR(_xll.BDP($AX10,"PR079")="#N/A N/A",_xll.BDP($AX10,"PR079")="#N/A FIELD NOT APPLICABLE")," ", _xll.BDP($AX10,"PR079")/100)</f>
        <v>-3.3960569999999995E-2</v>
      </c>
      <c r="N10" s="25" cm="1">
        <f t="array" ref="N10">IF(OR(_xll.BDP($AX10,"RT074")="#N/A N/A",_xll.BDP($AX10,"RT074")="#N/A FIELD NOT APPLICABLE")," ", _xll.BDP($AX10,"RT074")/100)</f>
        <v>5.7195130000000004E-2</v>
      </c>
      <c r="O10" s="27">
        <v>15400</v>
      </c>
      <c r="P10" s="28">
        <v>43.69153</v>
      </c>
      <c r="Q10" s="22" cm="1">
        <f t="array" ref="Q10">IF(OR(_xll.BDP($AX10,"PX_last")="#N/A N/A",_xll.BDP($AX10,"PX_Last")="#N/A FIELD NOT APPLICABLE")," ",IF(F10="GBP",(_xll.BDP($AX10,"PX_LAST")),(_xll.BDP($AX10,"PX_LAST"))))</f>
        <v>42.1</v>
      </c>
      <c r="R10" s="29">
        <f>IF(F10="USD",AA10,(((_xll.BDP(F10&amp;"USD CURNCY","PX_LAST")))*AA10))</f>
        <v>86750.494028660003</v>
      </c>
      <c r="S10" s="29">
        <f>IF(F10="USD",AB10,(((_xll.BDP(F10&amp;"USD CURNCY","PX_LAST")))*AB10))</f>
        <v>83590.47619999999</v>
      </c>
      <c r="T10" s="12">
        <f t="shared" si="0"/>
        <v>-3160.017828660013</v>
      </c>
      <c r="U10" s="13">
        <f t="shared" si="1"/>
        <v>-3.6426511042300568E-2</v>
      </c>
      <c r="V10" s="13" cm="1">
        <f t="array" ref="V10">IFERROR(_xll.BDP($G10&amp;" Equity","CHG_PCT_1D")/100,"")</f>
        <v>7.1770330000000002E-3</v>
      </c>
      <c r="W10" s="13" cm="1">
        <f t="array" ref="W10">IFERROR(_xll.BDP($G10&amp;" Equity","CHG_PCT_5D")/100,"")</f>
        <v>7.1770330000000002E-3</v>
      </c>
      <c r="X10" s="13" t="e">
        <f>S10/#REF!</f>
        <v>#REF!</v>
      </c>
      <c r="Y10" s="29">
        <f t="shared" si="2"/>
        <v>1024.7199539773464</v>
      </c>
      <c r="Z10" s="29">
        <f t="shared" si="3"/>
        <v>83590.47619999999</v>
      </c>
      <c r="AA10" s="29">
        <f t="shared" si="4"/>
        <v>672849.56200000003</v>
      </c>
      <c r="AB10" s="29">
        <f t="shared" si="5"/>
        <v>648340</v>
      </c>
      <c r="AC10" s="25" t="str" cm="1">
        <f t="array" ref="AC10">IF(OR(_xll.BDP($AX10,"EX028")="#N/A N/A",_xll.BDP($AX10,"EX028")="#N/A FIELD NOT APPLICABLE")," ", _xll.BDP($AX10,"EX028"))</f>
        <v>Fund</v>
      </c>
      <c r="AD10" s="35" t="str" cm="1">
        <f t="array" ref="AD10">IF(OR(_xll.BDP($AX10,"FD121")="#N/A N/A",_xll.BDP($AX10,"FD121")="#N/A FIELD NOT APPLICABLE")," ", _xll.BDP($AX10,"FD121"))</f>
        <v>Equity</v>
      </c>
      <c r="AE10" s="25" t="str" cm="1">
        <f t="array" ref="AE10">IF(OR(_xll.BDP($AX10,"FD118")="#N/A N/A",_xll.BDP($AX10,"FD118")="#N/A FIELD NOT APPLICABLE")," ", _xll.BDP($AX10,"FD118"))</f>
        <v>ETF</v>
      </c>
      <c r="AF10" s="22" t="str" cm="1">
        <f t="array" ref="AF10">IF(OR(_xll.BDP($AX10,"FD114")="#N/A N/A",_xll.BDP($AX10,"FD114")="#N/A FIELD NOT APPLICABLE")," ", _xll.BDP($AX10,"FD114"))</f>
        <v xml:space="preserve"> </v>
      </c>
      <c r="AG10" s="22" t="str" cm="1">
        <f t="array" ref="AG10">IF(OR(_xll.BDP($AX10,"FD003")="#N/A N/A",_xll.BDP($AX10,"FD003")="#N/A FIELD NOT APPLICABLE")," ", _xll.BDP($AX10,"FD003"))</f>
        <v>17/07/2012</v>
      </c>
      <c r="AH10" s="32" cm="1">
        <f t="array" ref="AH10">IF(OR(_xll.BDP($AX10,"PR061")="#N/A N/A",_xll.BDP($AX10,"PR061")="#N/A FIELD NOT APPLICABLE")," ", _xll.BDP($AX10,"PR061")/100)</f>
        <v>-1.727358E-2</v>
      </c>
      <c r="AI10" s="25" cm="1">
        <f t="array" ref="AI10">IF(OR(_xll.BDP($AX10,"RT075")="#N/A N/A",_xll.BDP($AX10,"RT075")="#N/A FIELD NOT APPLICABLE")," ", _xll.BDP($AX10,"RT075")/100)</f>
        <v>-3.7045330000000001E-2</v>
      </c>
      <c r="AJ10" s="25" cm="1">
        <f t="array" ref="AJ10">IF(OR(_xll.BDP($AX10,"RT076")="#N/A N/A",_xll.BDP($AX10,"RT076")="#N/A FIELD NOT APPLICABLE")," ", _xll.BDP($AX10,"RT076")/100)</f>
        <v>4.5156090000000003E-3</v>
      </c>
      <c r="AK10" s="25" t="str" cm="1">
        <f t="array" ref="AK10">IF(OR(_xll.BDP($AX10,"FD252")="#N/A N/A",_xll.BDP($AX10,"FD252")="#N/A FIELD NOT APPLICABLE")," ", _xll.BDP($AX10,"FD252")/100)</f>
        <v xml:space="preserve"> </v>
      </c>
      <c r="AL10" s="25" cm="1">
        <f t="array" ref="AL10">IF(OR(_xll.BDP($AX10,"FD015")="#N/A N/A",_xll.BDP($AX10,"FD015")="#N/A FIELD NOT APPLICABLE")," ", _xll.BDP($AX10,"FD015")/100)</f>
        <v>8.3999999999999995E-3</v>
      </c>
      <c r="AM10" s="25" cm="1">
        <f t="array" ref="AM10">IF(OR(_xll.BDP($AX10,"FD138")="#N/A N/A",_xll.BDP($AX10,"FD138")="#N/A FIELD NOT APPLICABLE")," ", _xll.BDP($AX10,"FD138")/100)</f>
        <v>6.9999999999999993E-3</v>
      </c>
      <c r="AN10" s="36" cm="1">
        <f t="array" ref="AN10">IF(OR(_xll.BDP($AX10,"FD009")="#N/A N/A",_xll.BDP($AX10,"FD009")="#N/A FIELD NOT APPLICABLE")," ", _xll.BDP($AX10,"FD009")/100)</f>
        <v>0</v>
      </c>
      <c r="AO10" s="25" cm="1">
        <f t="array" ref="AO10">IF(OR(_xll.BDP($AX10,"RK512")="#N/A N/A",_xll.BDP($AX10,"RK512")="#N/A FIELD NOT APPLICABLE")," ", _xll.BDP($AX10,"RK512")/100)</f>
        <v>2.3225799999999999E-3</v>
      </c>
      <c r="AP10" s="25" cm="1">
        <f t="array" ref="AP10">IF(OR(_xll.BDP($AX10,"RK514")="#N/A N/A",_xll.BDP($AX10,"RK514")="#N/A FIELD NOT APPLICABLE")," ", _xll.BDP($AX10,"RK514")/100)</f>
        <v>3.3112599999999999E-3</v>
      </c>
      <c r="AQ10" s="25" cm="1">
        <f t="array" ref="AQ10">IF(OR(_xll.BDP($AX10,"RK521")="#N/A N/A",_xll.BDP($AX10,"RK521")="#N/A FIELD NOT APPLICABLE")," ", _xll.BDP($AX10,"RK521")/100)</f>
        <v>1.5222199999999998E-2</v>
      </c>
      <c r="AR10" s="25" cm="1">
        <f t="array" ref="AR10">IF(OR(_xll.BDP($AX10,"RK525")="#N/A N/A",_xll.BDP($AX10,"RK525")="#N/A FIELD NOT APPLICABLE")," ", _xll.BDP($AX10,"RK525")/100)</f>
        <v>1.3396099999999999E-2</v>
      </c>
      <c r="AS10" s="25" cm="1">
        <f t="array" ref="AS10">IF(OR(_xll.BDP($AX10,"RK524")="#N/A N/A",_xll.BDP($AX10,"RK524")="#N/A FIELD NOT APPLICABLE")," ", _xll.BDP($AX10,"RK524")/100)</f>
        <v>-3.5144000000000001E-4</v>
      </c>
      <c r="AT10" s="25" t="str" cm="1">
        <f t="array" ref="AT10">IF(OR(_xll.BDP($AX10,"FD183")="#N/A N/A",_xll.BDP($AX10,"FD183")="#N/A FIELD NOT APPLICABLE")," ", _xll.BDP($AX10,"FD183"))</f>
        <v xml:space="preserve"> </v>
      </c>
      <c r="AU10" s="25" t="str" cm="1">
        <f t="array" ref="AU10">IF(OR(_xll.BDP($AX10,"DY997")="#N/A N/A",_xll.BDP($AX10,"DY997")="#N/A FIELD NOT APPLICABLE")," ", _xll.BDP($AX10,"DY997"))</f>
        <v xml:space="preserve"> </v>
      </c>
      <c r="AV10" s="25" t="str" cm="1">
        <f t="array" ref="AV10">IF(OR(_xll.BDP($AX10,"DY784")="#N/A N/A",_xll.BDP($AX10,"DY784")="#N/A FIELD NOT APPLICABLE")," ", _xll.BDP($AX10,"DY784"))</f>
        <v xml:space="preserve"> </v>
      </c>
      <c r="AW10" s="22" t="str">
        <f t="shared" si="6"/>
        <v>N</v>
      </c>
      <c r="AX10" s="22" t="str">
        <f t="shared" si="7"/>
        <v>3188 HK Equity</v>
      </c>
      <c r="BC10" s="17" t="str" cm="1">
        <f t="array" ref="BC10">_xll.BDP(AX10,"ID005")</f>
        <v>HK0000123577</v>
      </c>
      <c r="BD10" s="17">
        <v>0.75</v>
      </c>
      <c r="BE10" s="18">
        <v>5</v>
      </c>
      <c r="BF10" s="37">
        <v>45509</v>
      </c>
      <c r="BG10" s="20">
        <v>1.0000000000107532</v>
      </c>
    </row>
    <row r="11" spans="1:59" s="3" customFormat="1" ht="14.45" customHeight="1" x14ac:dyDescent="0.25">
      <c r="A11" s="49" t="s">
        <v>242</v>
      </c>
      <c r="B11" s="49" t="s">
        <v>268</v>
      </c>
      <c r="C11" s="49" t="s">
        <v>269</v>
      </c>
      <c r="D11" s="49" t="s">
        <v>248</v>
      </c>
      <c r="E11" s="22" t="str">
        <f>_xll.BDP(AX11,"SECURITY NAME")</f>
        <v>ChinaAMC ETF Series - ChinaAMC</v>
      </c>
      <c r="F11" s="22" t="str">
        <f>_xll.BDP(AX11,"CRNCY")</f>
        <v>HKD</v>
      </c>
      <c r="G11" s="23" t="s">
        <v>339</v>
      </c>
      <c r="H11" s="22" t="str" cm="1">
        <f t="array" ref="H11">IF(OR(_xll.BDP($AX11,"FD120")="#N/A N/A",_xll.BDP($AX11,"FD120")="#N/A FIELD NOT APPLICABLE")," ",_xll.BDP($AX11,"FD120"))</f>
        <v>China</v>
      </c>
      <c r="I11" s="22" t="str" cm="1">
        <f t="array" ref="I11">IF(OR(_xll.BDP($AX11,"FD116")="#N/A N/A",_xll.BDP($AX11,"FD116")="#N/A FIELD NOT APPLICABLE")," ",_xll.BDP($AX11,"FD116"))</f>
        <v>Blend</v>
      </c>
      <c r="J11" s="22" t="str" cm="1">
        <f t="array" ref="J11">IF(OR(_xll.BDP($AX11,"FD133")="#N/A N/A",_xll.BDP($AX11,"FD133")="#N/A FIELD NOT APPLICABLE")," ", _xll.BDP($AX11,"FD133"))</f>
        <v xml:space="preserve"> </v>
      </c>
      <c r="K11" s="34">
        <f>_xll.BDP(AX11,"FUND_ASSETS_USD")/1000</f>
        <v>2.4038879999999998</v>
      </c>
      <c r="L11" s="25">
        <f>IFERROR(_xll.BDP(AX11, "DV013")/100,0)</f>
        <v>1.2258812254228389E-2</v>
      </c>
      <c r="M11" s="25" cm="1">
        <f t="array" ref="M11">IF(OR(_xll.BDP($AX11,"PR079")="#N/A N/A",_xll.BDP($AX11,"PR079")="#N/A FIELD NOT APPLICABLE")," ", _xll.BDP($AX11,"PR079")/100)</f>
        <v>-3.3960569999999995E-2</v>
      </c>
      <c r="N11" s="25" cm="1">
        <f t="array" ref="N11">IF(OR(_xll.BDP($AX11,"RT074")="#N/A N/A",_xll.BDP($AX11,"RT074")="#N/A FIELD NOT APPLICABLE")," ", _xll.BDP($AX11,"RT074")/100)</f>
        <v>5.7195130000000004E-2</v>
      </c>
      <c r="O11" s="27">
        <v>55800</v>
      </c>
      <c r="P11" s="28">
        <v>43.66</v>
      </c>
      <c r="Q11" s="22" cm="1">
        <f t="array" ref="Q11">IF(OR(_xll.BDP($AX11,"PX_last")="#N/A N/A",_xll.BDP($AX11,"PX_Last")="#N/A FIELD NOT APPLICABLE")," ",IF(F11="GBP",(_xll.BDP($AX11,"PX_LAST")/100),(_xll.BDP($AX11,"PX_LAST"))))</f>
        <v>42.1</v>
      </c>
      <c r="R11" s="29">
        <f>IF(F11="USD",AA11,(((_xll.BDP(F11&amp;"USD CURNCY","PX_LAST")))*AA11))</f>
        <v>314102.87603999994</v>
      </c>
      <c r="S11" s="29">
        <f>IF(F11="USD",AB11,(((_xll.BDP(F11&amp;"USD CURNCY","PX_LAST")))*AB11))</f>
        <v>302879.77739999996</v>
      </c>
      <c r="T11" s="12">
        <f t="shared" si="0"/>
        <v>-11223.098639999982</v>
      </c>
      <c r="U11" s="13">
        <f t="shared" si="1"/>
        <v>-3.5730645900137373E-2</v>
      </c>
      <c r="V11" s="13" cm="1">
        <f t="array" ref="V11">IFERROR(_xll.BDP($G11&amp;" Equity","CHG_PCT_1D")/100,"")</f>
        <v>7.1770330000000002E-3</v>
      </c>
      <c r="W11" s="13" cm="1">
        <f t="array" ref="W11">IFERROR(_xll.BDP($G11&amp;" Equity","CHG_PCT_5D")/100,"")</f>
        <v>7.1770330000000002E-3</v>
      </c>
      <c r="X11" s="13" t="e">
        <f>S11/#REF!</f>
        <v>#REF!</v>
      </c>
      <c r="Y11" s="29">
        <f t="shared" si="2"/>
        <v>3712.9463267490864</v>
      </c>
      <c r="Z11" s="29">
        <f t="shared" si="3"/>
        <v>302879.77739999996</v>
      </c>
      <c r="AA11" s="29">
        <f t="shared" si="4"/>
        <v>2436228</v>
      </c>
      <c r="AB11" s="29">
        <f t="shared" si="5"/>
        <v>2349180</v>
      </c>
      <c r="AC11" s="25" t="str" cm="1">
        <f t="array" ref="AC11">IF(OR(_xll.BDP($AX11,"EX028")="#N/A N/A",_xll.BDP($AX11,"EX028")="#N/A FIELD NOT APPLICABLE")," ", _xll.BDP($AX11,"EX028"))</f>
        <v>Fund</v>
      </c>
      <c r="AD11" s="35" t="str" cm="1">
        <f t="array" ref="AD11">IF(OR(_xll.BDP($AX11,"FD121")="#N/A N/A",_xll.BDP($AX11,"FD121")="#N/A FIELD NOT APPLICABLE")," ", _xll.BDP($AX11,"FD121"))</f>
        <v>Equity</v>
      </c>
      <c r="AE11" s="25" t="str" cm="1">
        <f t="array" ref="AE11">IF(OR(_xll.BDP($AX11,"FD118")="#N/A N/A",_xll.BDP($AX11,"FD118")="#N/A FIELD NOT APPLICABLE")," ", _xll.BDP($AX11,"FD118"))</f>
        <v>ETF</v>
      </c>
      <c r="AF11" s="22" t="str" cm="1">
        <f t="array" ref="AF11">IF(OR(_xll.BDP($AX11,"FD114")="#N/A N/A",_xll.BDP($AX11,"FD114")="#N/A FIELD NOT APPLICABLE")," ", _xll.BDP($AX11,"FD114"))</f>
        <v xml:space="preserve"> </v>
      </c>
      <c r="AG11" s="22" t="str" cm="1">
        <f t="array" ref="AG11">IF(OR(_xll.BDP($AX11,"FD003")="#N/A N/A",_xll.BDP($AX11,"FD003")="#N/A FIELD NOT APPLICABLE")," ", _xll.BDP($AX11,"FD003"))</f>
        <v>17/07/2012</v>
      </c>
      <c r="AH11" s="32" cm="1">
        <f t="array" ref="AH11">IF(OR(_xll.BDP($AX11,"PR061")="#N/A N/A",_xll.BDP($AX11,"PR061")="#N/A FIELD NOT APPLICABLE")," ", _xll.BDP($AX11,"PR061")/100)</f>
        <v>-1.727358E-2</v>
      </c>
      <c r="AI11" s="25" cm="1">
        <f t="array" ref="AI11">IF(OR(_xll.BDP($AX11,"RT075")="#N/A N/A",_xll.BDP($AX11,"RT075")="#N/A FIELD NOT APPLICABLE")," ", _xll.BDP($AX11,"RT075")/100)</f>
        <v>-3.7045330000000001E-2</v>
      </c>
      <c r="AJ11" s="25" cm="1">
        <f t="array" ref="AJ11">IF(OR(_xll.BDP($AX11,"RT076")="#N/A N/A",_xll.BDP($AX11,"RT076")="#N/A FIELD NOT APPLICABLE")," ", _xll.BDP($AX11,"RT076")/100)</f>
        <v>4.5156090000000003E-3</v>
      </c>
      <c r="AK11" s="25" t="str" cm="1">
        <f t="array" ref="AK11">IF(OR(_xll.BDP($AX11,"FD252")="#N/A N/A",_xll.BDP($AX11,"FD252")="#N/A FIELD NOT APPLICABLE")," ", _xll.BDP($AX11,"FD252")/100)</f>
        <v xml:space="preserve"> </v>
      </c>
      <c r="AL11" s="25" cm="1">
        <f t="array" ref="AL11">IF(OR(_xll.BDP($AX11,"FD015")="#N/A N/A",_xll.BDP($AX11,"FD015")="#N/A FIELD NOT APPLICABLE")," ", _xll.BDP($AX11,"FD015")/100)</f>
        <v>8.3999999999999995E-3</v>
      </c>
      <c r="AM11" s="25" cm="1">
        <f t="array" ref="AM11">IF(OR(_xll.BDP($AX11,"FD138")="#N/A N/A",_xll.BDP($AX11,"FD138")="#N/A FIELD NOT APPLICABLE")," ", _xll.BDP($AX11,"FD138")/100)</f>
        <v>6.9999999999999993E-3</v>
      </c>
      <c r="AN11" s="36" cm="1">
        <f t="array" ref="AN11">IF(OR(_xll.BDP($AX11,"FD009")="#N/A N/A",_xll.BDP($AX11,"FD009")="#N/A FIELD NOT APPLICABLE")," ", _xll.BDP($AX11,"FD009")/100)</f>
        <v>0</v>
      </c>
      <c r="AO11" s="25" cm="1">
        <f t="array" ref="AO11">IF(OR(_xll.BDP($AX11,"RK512")="#N/A N/A",_xll.BDP($AX11,"RK512")="#N/A FIELD NOT APPLICABLE")," ", _xll.BDP($AX11,"RK512")/100)</f>
        <v>2.3225799999999999E-3</v>
      </c>
      <c r="AP11" s="25" cm="1">
        <f t="array" ref="AP11">IF(OR(_xll.BDP($AX11,"RK514")="#N/A N/A",_xll.BDP($AX11,"RK514")="#N/A FIELD NOT APPLICABLE")," ", _xll.BDP($AX11,"RK514")/100)</f>
        <v>3.3112599999999999E-3</v>
      </c>
      <c r="AQ11" s="25" cm="1">
        <f t="array" ref="AQ11">IF(OR(_xll.BDP($AX11,"RK521")="#N/A N/A",_xll.BDP($AX11,"RK521")="#N/A FIELD NOT APPLICABLE")," ", _xll.BDP($AX11,"RK521")/100)</f>
        <v>1.5222199999999998E-2</v>
      </c>
      <c r="AR11" s="25" cm="1">
        <f t="array" ref="AR11">IF(OR(_xll.BDP($AX11,"RK525")="#N/A N/A",_xll.BDP($AX11,"RK525")="#N/A FIELD NOT APPLICABLE")," ", _xll.BDP($AX11,"RK525")/100)</f>
        <v>1.3396099999999999E-2</v>
      </c>
      <c r="AS11" s="25" cm="1">
        <f t="array" ref="AS11">IF(OR(_xll.BDP($AX11,"RK524")="#N/A N/A",_xll.BDP($AX11,"RK524")="#N/A FIELD NOT APPLICABLE")," ", _xll.BDP($AX11,"RK524")/100)</f>
        <v>-3.5144000000000001E-4</v>
      </c>
      <c r="AT11" s="25" t="str" cm="1">
        <f t="array" ref="AT11">IF(OR(_xll.BDP($AX11,"FD183")="#N/A N/A",_xll.BDP($AX11,"FD183")="#N/A FIELD NOT APPLICABLE")," ", _xll.BDP($AX11,"FD183"))</f>
        <v xml:space="preserve"> </v>
      </c>
      <c r="AU11" s="25" t="str" cm="1">
        <f t="array" ref="AU11">IF(OR(_xll.BDP($AX11,"DY997")="#N/A N/A",_xll.BDP($AX11,"DY997")="#N/A FIELD NOT APPLICABLE")," ", _xll.BDP($AX11,"DY997"))</f>
        <v xml:space="preserve"> </v>
      </c>
      <c r="AV11" s="25" t="str" cm="1">
        <f t="array" ref="AV11">IF(OR(_xll.BDP($AX11,"DY784")="#N/A N/A",_xll.BDP($AX11,"DY784")="#N/A FIELD NOT APPLICABLE")," ", _xll.BDP($AX11,"DY784"))</f>
        <v xml:space="preserve"> </v>
      </c>
      <c r="AW11" s="22" t="str">
        <f t="shared" si="6"/>
        <v>N</v>
      </c>
      <c r="AX11" s="22" t="str">
        <f t="shared" si="7"/>
        <v>3188 HK Equity</v>
      </c>
      <c r="BC11" s="17" t="str" cm="1">
        <f t="array" ref="BC11">_xll.BDP(AX11,"ID005")</f>
        <v>HK0000123577</v>
      </c>
      <c r="BD11" s="17">
        <v>0.73</v>
      </c>
      <c r="BE11" s="18">
        <v>5</v>
      </c>
      <c r="BF11" s="37"/>
      <c r="BG11" s="20"/>
    </row>
    <row r="12" spans="1:59" s="3" customFormat="1" ht="14.45" customHeight="1" x14ac:dyDescent="0.25">
      <c r="A12" s="49" t="s">
        <v>241</v>
      </c>
      <c r="B12" s="49" t="s">
        <v>270</v>
      </c>
      <c r="C12" s="49" t="s">
        <v>271</v>
      </c>
      <c r="D12" s="49" t="s">
        <v>240</v>
      </c>
      <c r="E12" s="22" t="str">
        <f>_xll.BDP(AX12,"SECURITY NAME")</f>
        <v>ChinaAMC ETF Series - ChinaAMC</v>
      </c>
      <c r="F12" s="22" t="str">
        <f>_xll.BDP(AX12,"CRNCY")</f>
        <v>HKD</v>
      </c>
      <c r="G12" s="23" t="s">
        <v>339</v>
      </c>
      <c r="H12" s="22" t="str" cm="1">
        <f t="array" ref="H12">IF(OR(_xll.BDP($AX12,"FD120")="#N/A N/A",_xll.BDP($AX12,"FD120")="#N/A FIELD NOT APPLICABLE")," ",_xll.BDP($AX12,"FD120"))</f>
        <v>China</v>
      </c>
      <c r="I12" s="22" t="str" cm="1">
        <f t="array" ref="I12">IF(OR(_xll.BDP($AX12,"FD116")="#N/A N/A",_xll.BDP($AX12,"FD116")="#N/A FIELD NOT APPLICABLE")," ",_xll.BDP($AX12,"FD116"))</f>
        <v>Blend</v>
      </c>
      <c r="J12" s="22" t="str" cm="1">
        <f t="array" ref="J12">IF(OR(_xll.BDP($AX12,"FD133")="#N/A N/A",_xll.BDP($AX12,"FD133")="#N/A FIELD NOT APPLICABLE")," ", _xll.BDP($AX12,"FD133"))</f>
        <v xml:space="preserve"> </v>
      </c>
      <c r="K12" s="34">
        <f>_xll.BDP(AX12,"FUND_ASSETS_USD")/1000</f>
        <v>2.4038879999999998</v>
      </c>
      <c r="L12" s="25">
        <f>IFERROR(_xll.BDP(AX12, "DV013")/100,0)</f>
        <v>1.2258812254228389E-2</v>
      </c>
      <c r="M12" s="25" cm="1">
        <f t="array" ref="M12">IF(OR(_xll.BDP($AX12,"PR079")="#N/A N/A",_xll.BDP($AX12,"PR079")="#N/A FIELD NOT APPLICABLE")," ", _xll.BDP($AX12,"PR079")/100)</f>
        <v>-3.3960569999999995E-2</v>
      </c>
      <c r="N12" s="25" cm="1">
        <f t="array" ref="N12">IF(OR(_xll.BDP($AX12,"RT074")="#N/A N/A",_xll.BDP($AX12,"RT074")="#N/A FIELD NOT APPLICABLE")," ", _xll.BDP($AX12,"RT074")/100)</f>
        <v>5.7195130000000004E-2</v>
      </c>
      <c r="O12" s="27">
        <v>22400</v>
      </c>
      <c r="P12" s="28">
        <v>43.691540000000003</v>
      </c>
      <c r="Q12" s="22" cm="1">
        <f t="array" ref="Q12">IF(OR(_xll.BDP($AX12,"PX_last")="#N/A N/A",_xll.BDP($AX12,"PX_Last")="#N/A FIELD NOT APPLICABLE")," ",IF(F12="GBP",(_xll.BDP($AX12,"PX_LAST")),(_xll.BDP($AX12,"PX_LAST"))))</f>
        <v>42.1</v>
      </c>
      <c r="R12" s="29">
        <f>IF(F12="USD",AA12,(((_xll.BDP(F12&amp;"USD CURNCY","PX_LAST")))*AA12))</f>
        <v>126182.56564927999</v>
      </c>
      <c r="S12" s="29">
        <f>IF(F12="USD",AB12,(((_xll.BDP(F12&amp;"USD CURNCY","PX_LAST")))*AB12))</f>
        <v>121586.14719999999</v>
      </c>
      <c r="T12" s="12">
        <f t="shared" si="0"/>
        <v>-4596.4184492799977</v>
      </c>
      <c r="U12" s="13">
        <f t="shared" si="1"/>
        <v>-3.6426731582361239E-2</v>
      </c>
      <c r="V12" s="13" cm="1">
        <f t="array" ref="V12">IFERROR(_xll.BDP($G12&amp;" Equity","CHG_PCT_1D")/100,"")</f>
        <v>7.1770330000000002E-3</v>
      </c>
      <c r="W12" s="13" cm="1">
        <f t="array" ref="W12">IFERROR(_xll.BDP($G12&amp;" Equity","CHG_PCT_5D")/100,"")</f>
        <v>7.1770330000000002E-3</v>
      </c>
      <c r="X12" s="13" t="e">
        <f>S12/#REF!</f>
        <v>#REF!</v>
      </c>
      <c r="Y12" s="29">
        <f t="shared" si="2"/>
        <v>1490.5017512397767</v>
      </c>
      <c r="Z12" s="29">
        <f t="shared" si="3"/>
        <v>121586.14719999999</v>
      </c>
      <c r="AA12" s="29">
        <f t="shared" si="4"/>
        <v>978690.49600000004</v>
      </c>
      <c r="AB12" s="29">
        <f t="shared" si="5"/>
        <v>943040</v>
      </c>
      <c r="AC12" s="25" t="str" cm="1">
        <f t="array" ref="AC12">IF(OR(_xll.BDP($AX12,"EX028")="#N/A N/A",_xll.BDP($AX12,"EX028")="#N/A FIELD NOT APPLICABLE")," ", _xll.BDP($AX12,"EX028"))</f>
        <v>Fund</v>
      </c>
      <c r="AD12" s="35" t="str" cm="1">
        <f t="array" ref="AD12">IF(OR(_xll.BDP($AX12,"FD121")="#N/A N/A",_xll.BDP($AX12,"FD121")="#N/A FIELD NOT APPLICABLE")," ", _xll.BDP($AX12,"FD121"))</f>
        <v>Equity</v>
      </c>
      <c r="AE12" s="25" t="str" cm="1">
        <f t="array" ref="AE12">IF(OR(_xll.BDP($AX12,"FD118")="#N/A N/A",_xll.BDP($AX12,"FD118")="#N/A FIELD NOT APPLICABLE")," ", _xll.BDP($AX12,"FD118"))</f>
        <v>ETF</v>
      </c>
      <c r="AF12" s="22" t="str" cm="1">
        <f t="array" ref="AF12">IF(OR(_xll.BDP($AX12,"FD114")="#N/A N/A",_xll.BDP($AX12,"FD114")="#N/A FIELD NOT APPLICABLE")," ", _xll.BDP($AX12,"FD114"))</f>
        <v xml:space="preserve"> </v>
      </c>
      <c r="AG12" s="22" t="str" cm="1">
        <f t="array" ref="AG12">IF(OR(_xll.BDP($AX12,"FD003")="#N/A N/A",_xll.BDP($AX12,"FD003")="#N/A FIELD NOT APPLICABLE")," ", _xll.BDP($AX12,"FD003"))</f>
        <v>17/07/2012</v>
      </c>
      <c r="AH12" s="32" cm="1">
        <f t="array" ref="AH12">IF(OR(_xll.BDP($AX12,"PR061")="#N/A N/A",_xll.BDP($AX12,"PR061")="#N/A FIELD NOT APPLICABLE")," ", _xll.BDP($AX12,"PR061")/100)</f>
        <v>-1.727358E-2</v>
      </c>
      <c r="AI12" s="25" cm="1">
        <f t="array" ref="AI12">IF(OR(_xll.BDP($AX12,"RT075")="#N/A N/A",_xll.BDP($AX12,"RT075")="#N/A FIELD NOT APPLICABLE")," ", _xll.BDP($AX12,"RT075")/100)</f>
        <v>-3.7045330000000001E-2</v>
      </c>
      <c r="AJ12" s="25" cm="1">
        <f t="array" ref="AJ12">IF(OR(_xll.BDP($AX12,"RT076")="#N/A N/A",_xll.BDP($AX12,"RT076")="#N/A FIELD NOT APPLICABLE")," ", _xll.BDP($AX12,"RT076")/100)</f>
        <v>4.5156090000000003E-3</v>
      </c>
      <c r="AK12" s="25" t="str" cm="1">
        <f t="array" ref="AK12">IF(OR(_xll.BDP($AX12,"FD252")="#N/A N/A",_xll.BDP($AX12,"FD252")="#N/A FIELD NOT APPLICABLE")," ", _xll.BDP($AX12,"FD252")/100)</f>
        <v xml:space="preserve"> </v>
      </c>
      <c r="AL12" s="25" cm="1">
        <f t="array" ref="AL12">IF(OR(_xll.BDP($AX12,"FD015")="#N/A N/A",_xll.BDP($AX12,"FD015")="#N/A FIELD NOT APPLICABLE")," ", _xll.BDP($AX12,"FD015")/100)</f>
        <v>8.3999999999999995E-3</v>
      </c>
      <c r="AM12" s="25" cm="1">
        <f t="array" ref="AM12">IF(OR(_xll.BDP($AX12,"FD138")="#N/A N/A",_xll.BDP($AX12,"FD138")="#N/A FIELD NOT APPLICABLE")," ", _xll.BDP($AX12,"FD138")/100)</f>
        <v>6.9999999999999993E-3</v>
      </c>
      <c r="AN12" s="36" cm="1">
        <f t="array" ref="AN12">IF(OR(_xll.BDP($AX12,"FD009")="#N/A N/A",_xll.BDP($AX12,"FD009")="#N/A FIELD NOT APPLICABLE")," ", _xll.BDP($AX12,"FD009")/100)</f>
        <v>0</v>
      </c>
      <c r="AO12" s="25" cm="1">
        <f t="array" ref="AO12">IF(OR(_xll.BDP($AX12,"RK512")="#N/A N/A",_xll.BDP($AX12,"RK512")="#N/A FIELD NOT APPLICABLE")," ", _xll.BDP($AX12,"RK512")/100)</f>
        <v>2.3225799999999999E-3</v>
      </c>
      <c r="AP12" s="25" cm="1">
        <f t="array" ref="AP12">IF(OR(_xll.BDP($AX12,"RK514")="#N/A N/A",_xll.BDP($AX12,"RK514")="#N/A FIELD NOT APPLICABLE")," ", _xll.BDP($AX12,"RK514")/100)</f>
        <v>3.3112599999999999E-3</v>
      </c>
      <c r="AQ12" s="25" cm="1">
        <f t="array" ref="AQ12">IF(OR(_xll.BDP($AX12,"RK521")="#N/A N/A",_xll.BDP($AX12,"RK521")="#N/A FIELD NOT APPLICABLE")," ", _xll.BDP($AX12,"RK521")/100)</f>
        <v>1.5222199999999998E-2</v>
      </c>
      <c r="AR12" s="25" cm="1">
        <f t="array" ref="AR12">IF(OR(_xll.BDP($AX12,"RK525")="#N/A N/A",_xll.BDP($AX12,"RK525")="#N/A FIELD NOT APPLICABLE")," ", _xll.BDP($AX12,"RK525")/100)</f>
        <v>1.3396099999999999E-2</v>
      </c>
      <c r="AS12" s="25" cm="1">
        <f t="array" ref="AS12">IF(OR(_xll.BDP($AX12,"RK524")="#N/A N/A",_xll.BDP($AX12,"RK524")="#N/A FIELD NOT APPLICABLE")," ", _xll.BDP($AX12,"RK524")/100)</f>
        <v>-3.5144000000000001E-4</v>
      </c>
      <c r="AT12" s="25" t="str" cm="1">
        <f t="array" ref="AT12">IF(OR(_xll.BDP($AX12,"FD183")="#N/A N/A",_xll.BDP($AX12,"FD183")="#N/A FIELD NOT APPLICABLE")," ", _xll.BDP($AX12,"FD183"))</f>
        <v xml:space="preserve"> </v>
      </c>
      <c r="AU12" s="25" t="str" cm="1">
        <f t="array" ref="AU12">IF(OR(_xll.BDP($AX12,"DY997")="#N/A N/A",_xll.BDP($AX12,"DY997")="#N/A FIELD NOT APPLICABLE")," ", _xll.BDP($AX12,"DY997"))</f>
        <v xml:space="preserve"> </v>
      </c>
      <c r="AV12" s="25" t="str" cm="1">
        <f t="array" ref="AV12">IF(OR(_xll.BDP($AX12,"DY784")="#N/A N/A",_xll.BDP($AX12,"DY784")="#N/A FIELD NOT APPLICABLE")," ", _xll.BDP($AX12,"DY784"))</f>
        <v xml:space="preserve"> </v>
      </c>
      <c r="AW12" s="22" t="str">
        <f t="shared" si="6"/>
        <v>N</v>
      </c>
      <c r="AX12" s="22" t="str">
        <f t="shared" si="7"/>
        <v>3188 HK Equity</v>
      </c>
      <c r="BC12" s="17" t="str" cm="1">
        <f t="array" ref="BC12">_xll.BDP(AX12,"ID005")</f>
        <v>HK0000123577</v>
      </c>
      <c r="BD12" s="17">
        <v>0.75</v>
      </c>
      <c r="BE12" s="18">
        <v>5</v>
      </c>
      <c r="BF12" s="37">
        <v>45510</v>
      </c>
      <c r="BG12" s="20">
        <v>1.0000000000107532</v>
      </c>
    </row>
    <row r="13" spans="1:59" s="3" customFormat="1" ht="14.45" customHeight="1" x14ac:dyDescent="0.25">
      <c r="A13" s="49" t="s">
        <v>241</v>
      </c>
      <c r="B13" s="49" t="s">
        <v>272</v>
      </c>
      <c r="C13" s="49">
        <v>2620061.0010000002</v>
      </c>
      <c r="D13" s="49" t="s">
        <v>240</v>
      </c>
      <c r="E13" s="22" t="str">
        <f>_xll.BDP(AX13,"SECURITY NAME")</f>
        <v>ChinaAMC ETF Series - ChinaAMC</v>
      </c>
      <c r="F13" s="22" t="str">
        <f>_xll.BDP(AX13,"CRNCY")</f>
        <v>HKD</v>
      </c>
      <c r="G13" s="23" t="s">
        <v>339</v>
      </c>
      <c r="H13" s="22" t="str" cm="1">
        <f t="array" ref="H13">IF(OR(_xll.BDP($AX13,"FD120")="#N/A N/A",_xll.BDP($AX13,"FD120")="#N/A FIELD NOT APPLICABLE")," ",_xll.BDP($AX13,"FD120"))</f>
        <v>China</v>
      </c>
      <c r="I13" s="22" t="str" cm="1">
        <f t="array" ref="I13">IF(OR(_xll.BDP($AX13,"FD116")="#N/A N/A",_xll.BDP($AX13,"FD116")="#N/A FIELD NOT APPLICABLE")," ",_xll.BDP($AX13,"FD116"))</f>
        <v>Blend</v>
      </c>
      <c r="J13" s="22" t="str" cm="1">
        <f t="array" ref="J13">IF(OR(_xll.BDP($AX13,"FD133")="#N/A N/A",_xll.BDP($AX13,"FD133")="#N/A FIELD NOT APPLICABLE")," ", _xll.BDP($AX13,"FD133"))</f>
        <v xml:space="preserve"> </v>
      </c>
      <c r="K13" s="34">
        <f>_xll.BDP(AX13,"FUND_ASSETS_USD")/1000</f>
        <v>2.4038879999999998</v>
      </c>
      <c r="L13" s="25">
        <f>IFERROR(_xll.BDP(AX13, "DV013")/100,0)</f>
        <v>1.2258812254228389E-2</v>
      </c>
      <c r="M13" s="25" cm="1">
        <f t="array" ref="M13">IF(OR(_xll.BDP($AX13,"PR079")="#N/A N/A",_xll.BDP($AX13,"PR079")="#N/A FIELD NOT APPLICABLE")," ", _xll.BDP($AX13,"PR079")/100)</f>
        <v>-3.3960569999999995E-2</v>
      </c>
      <c r="N13" s="25" cm="1">
        <f t="array" ref="N13">IF(OR(_xll.BDP($AX13,"RT074")="#N/A N/A",_xll.BDP($AX13,"RT074")="#N/A FIELD NOT APPLICABLE")," ", _xll.BDP($AX13,"RT074")/100)</f>
        <v>5.7195130000000004E-2</v>
      </c>
      <c r="O13" s="27">
        <v>20800</v>
      </c>
      <c r="P13" s="28">
        <v>43.691549999999999</v>
      </c>
      <c r="Q13" s="22" cm="1">
        <f t="array" ref="Q13">IF(OR(_xll.BDP($AX13,"PX_last")="#N/A N/A",_xll.BDP($AX13,"PX_Last")="#N/A FIELD NOT APPLICABLE")," ",IF(F13="GBP",(_xll.BDP($AX13,"PX_LAST")),(_xll.BDP($AX13,"PX_LAST"))))</f>
        <v>42.1</v>
      </c>
      <c r="R13" s="29">
        <f>IF(F13="USD",AA13,(((_xll.BDP(F13&amp;"USD CURNCY","PX_LAST")))*AA13))</f>
        <v>117169.55206319998</v>
      </c>
      <c r="S13" s="29">
        <f>IF(F13="USD",AB13,(((_xll.BDP(F13&amp;"USD CURNCY","PX_LAST")))*AB13))</f>
        <v>112901.4224</v>
      </c>
      <c r="T13" s="12">
        <f t="shared" si="0"/>
        <v>-4268.1296631999867</v>
      </c>
      <c r="U13" s="13">
        <f t="shared" si="1"/>
        <v>-3.6426952122321027E-2</v>
      </c>
      <c r="V13" s="13" cm="1">
        <f t="array" ref="V13">IFERROR(_xll.BDP($G13&amp;" Equity","CHG_PCT_1D")/100,"")</f>
        <v>7.1770330000000002E-3</v>
      </c>
      <c r="W13" s="13" cm="1">
        <f t="array" ref="W13">IFERROR(_xll.BDP($G13&amp;" Equity","CHG_PCT_5D")/100,"")</f>
        <v>7.1770330000000002E-3</v>
      </c>
      <c r="X13" s="13" t="e">
        <f>S13/#REF!</f>
        <v>#REF!</v>
      </c>
      <c r="Y13" s="29">
        <f t="shared" si="2"/>
        <v>1384.0373404369354</v>
      </c>
      <c r="Z13" s="29">
        <f t="shared" si="3"/>
        <v>112901.4224</v>
      </c>
      <c r="AA13" s="29">
        <f t="shared" si="4"/>
        <v>908784.24</v>
      </c>
      <c r="AB13" s="29">
        <f t="shared" si="5"/>
        <v>875680</v>
      </c>
      <c r="AC13" s="25" t="str" cm="1">
        <f t="array" ref="AC13">IF(OR(_xll.BDP($AX13,"EX028")="#N/A N/A",_xll.BDP($AX13,"EX028")="#N/A FIELD NOT APPLICABLE")," ", _xll.BDP($AX13,"EX028"))</f>
        <v>Fund</v>
      </c>
      <c r="AD13" s="35" t="str" cm="1">
        <f t="array" ref="AD13">IF(OR(_xll.BDP($AX13,"FD121")="#N/A N/A",_xll.BDP($AX13,"FD121")="#N/A FIELD NOT APPLICABLE")," ", _xll.BDP($AX13,"FD121"))</f>
        <v>Equity</v>
      </c>
      <c r="AE13" s="25" t="str" cm="1">
        <f t="array" ref="AE13">IF(OR(_xll.BDP($AX13,"FD118")="#N/A N/A",_xll.BDP($AX13,"FD118")="#N/A FIELD NOT APPLICABLE")," ", _xll.BDP($AX13,"FD118"))</f>
        <v>ETF</v>
      </c>
      <c r="AF13" s="22" t="str" cm="1">
        <f t="array" ref="AF13">IF(OR(_xll.BDP($AX13,"FD114")="#N/A N/A",_xll.BDP($AX13,"FD114")="#N/A FIELD NOT APPLICABLE")," ", _xll.BDP($AX13,"FD114"))</f>
        <v xml:space="preserve"> </v>
      </c>
      <c r="AG13" s="22" t="str" cm="1">
        <f t="array" ref="AG13">IF(OR(_xll.BDP($AX13,"FD003")="#N/A N/A",_xll.BDP($AX13,"FD003")="#N/A FIELD NOT APPLICABLE")," ", _xll.BDP($AX13,"FD003"))</f>
        <v>17/07/2012</v>
      </c>
      <c r="AH13" s="32" cm="1">
        <f t="array" ref="AH13">IF(OR(_xll.BDP($AX13,"PR061")="#N/A N/A",_xll.BDP($AX13,"PR061")="#N/A FIELD NOT APPLICABLE")," ", _xll.BDP($AX13,"PR061")/100)</f>
        <v>-1.727358E-2</v>
      </c>
      <c r="AI13" s="25" cm="1">
        <f t="array" ref="AI13">IF(OR(_xll.BDP($AX13,"RT075")="#N/A N/A",_xll.BDP($AX13,"RT075")="#N/A FIELD NOT APPLICABLE")," ", _xll.BDP($AX13,"RT075")/100)</f>
        <v>-3.7045330000000001E-2</v>
      </c>
      <c r="AJ13" s="25" cm="1">
        <f t="array" ref="AJ13">IF(OR(_xll.BDP($AX13,"RT076")="#N/A N/A",_xll.BDP($AX13,"RT076")="#N/A FIELD NOT APPLICABLE")," ", _xll.BDP($AX13,"RT076")/100)</f>
        <v>4.5156090000000003E-3</v>
      </c>
      <c r="AK13" s="25" t="str" cm="1">
        <f t="array" ref="AK13">IF(OR(_xll.BDP($AX13,"FD252")="#N/A N/A",_xll.BDP($AX13,"FD252")="#N/A FIELD NOT APPLICABLE")," ", _xll.BDP($AX13,"FD252")/100)</f>
        <v xml:space="preserve"> </v>
      </c>
      <c r="AL13" s="25" cm="1">
        <f t="array" ref="AL13">IF(OR(_xll.BDP($AX13,"FD015")="#N/A N/A",_xll.BDP($AX13,"FD015")="#N/A FIELD NOT APPLICABLE")," ", _xll.BDP($AX13,"FD015")/100)</f>
        <v>8.3999999999999995E-3</v>
      </c>
      <c r="AM13" s="25" cm="1">
        <f t="array" ref="AM13">IF(OR(_xll.BDP($AX13,"FD138")="#N/A N/A",_xll.BDP($AX13,"FD138")="#N/A FIELD NOT APPLICABLE")," ", _xll.BDP($AX13,"FD138")/100)</f>
        <v>6.9999999999999993E-3</v>
      </c>
      <c r="AN13" s="36" cm="1">
        <f t="array" ref="AN13">IF(OR(_xll.BDP($AX13,"FD009")="#N/A N/A",_xll.BDP($AX13,"FD009")="#N/A FIELD NOT APPLICABLE")," ", _xll.BDP($AX13,"FD009")/100)</f>
        <v>0</v>
      </c>
      <c r="AO13" s="25" cm="1">
        <f t="array" ref="AO13">IF(OR(_xll.BDP($AX13,"RK512")="#N/A N/A",_xll.BDP($AX13,"RK512")="#N/A FIELD NOT APPLICABLE")," ", _xll.BDP($AX13,"RK512")/100)</f>
        <v>2.3225799999999999E-3</v>
      </c>
      <c r="AP13" s="25" cm="1">
        <f t="array" ref="AP13">IF(OR(_xll.BDP($AX13,"RK514")="#N/A N/A",_xll.BDP($AX13,"RK514")="#N/A FIELD NOT APPLICABLE")," ", _xll.BDP($AX13,"RK514")/100)</f>
        <v>3.3112599999999999E-3</v>
      </c>
      <c r="AQ13" s="25" cm="1">
        <f t="array" ref="AQ13">IF(OR(_xll.BDP($AX13,"RK521")="#N/A N/A",_xll.BDP($AX13,"RK521")="#N/A FIELD NOT APPLICABLE")," ", _xll.BDP($AX13,"RK521")/100)</f>
        <v>1.5222199999999998E-2</v>
      </c>
      <c r="AR13" s="25" cm="1">
        <f t="array" ref="AR13">IF(OR(_xll.BDP($AX13,"RK525")="#N/A N/A",_xll.BDP($AX13,"RK525")="#N/A FIELD NOT APPLICABLE")," ", _xll.BDP($AX13,"RK525")/100)</f>
        <v>1.3396099999999999E-2</v>
      </c>
      <c r="AS13" s="25" cm="1">
        <f t="array" ref="AS13">IF(OR(_xll.BDP($AX13,"RK524")="#N/A N/A",_xll.BDP($AX13,"RK524")="#N/A FIELD NOT APPLICABLE")," ", _xll.BDP($AX13,"RK524")/100)</f>
        <v>-3.5144000000000001E-4</v>
      </c>
      <c r="AT13" s="25" t="str" cm="1">
        <f t="array" ref="AT13">IF(OR(_xll.BDP($AX13,"FD183")="#N/A N/A",_xll.BDP($AX13,"FD183")="#N/A FIELD NOT APPLICABLE")," ", _xll.BDP($AX13,"FD183"))</f>
        <v xml:space="preserve"> </v>
      </c>
      <c r="AU13" s="25" t="str" cm="1">
        <f t="array" ref="AU13">IF(OR(_xll.BDP($AX13,"DY997")="#N/A N/A",_xll.BDP($AX13,"DY997")="#N/A FIELD NOT APPLICABLE")," ", _xll.BDP($AX13,"DY997"))</f>
        <v xml:space="preserve"> </v>
      </c>
      <c r="AV13" s="25" t="str" cm="1">
        <f t="array" ref="AV13">IF(OR(_xll.BDP($AX13,"DY784")="#N/A N/A",_xll.BDP($AX13,"DY784")="#N/A FIELD NOT APPLICABLE")," ", _xll.BDP($AX13,"DY784"))</f>
        <v xml:space="preserve"> </v>
      </c>
      <c r="AW13" s="22" t="str">
        <f t="shared" si="6"/>
        <v>N</v>
      </c>
      <c r="AX13" s="22" t="str">
        <f t="shared" si="7"/>
        <v>3188 HK Equity</v>
      </c>
      <c r="BC13" s="17" t="str" cm="1">
        <f t="array" ref="BC13">_xll.BDP(AX13,"ID005")</f>
        <v>HK0000123577</v>
      </c>
      <c r="BD13" s="17">
        <v>0.77</v>
      </c>
      <c r="BE13" s="18">
        <v>3</v>
      </c>
      <c r="BF13" s="37">
        <v>45510</v>
      </c>
      <c r="BG13" s="20">
        <v>1.0000000000107532</v>
      </c>
    </row>
    <row r="14" spans="1:59" s="3" customFormat="1" ht="14.45" customHeight="1" x14ac:dyDescent="0.25">
      <c r="A14" s="49" t="s">
        <v>241</v>
      </c>
      <c r="B14" s="49" t="s">
        <v>273</v>
      </c>
      <c r="C14" s="49">
        <v>2620058.003</v>
      </c>
      <c r="D14" s="49" t="s">
        <v>240</v>
      </c>
      <c r="E14" s="22" t="str">
        <f>_xll.BDP(AX14,"SECURITY NAME")</f>
        <v>ChinaAMC ETF Series - ChinaAMC</v>
      </c>
      <c r="F14" s="22" t="str">
        <f>_xll.BDP(AX14,"CRNCY")</f>
        <v>HKD</v>
      </c>
      <c r="G14" s="23" t="s">
        <v>339</v>
      </c>
      <c r="H14" s="22" t="str" cm="1">
        <f t="array" ref="H14">IF(OR(_xll.BDP($AX14,"FD120")="#N/A N/A",_xll.BDP($AX14,"FD120")="#N/A FIELD NOT APPLICABLE")," ",_xll.BDP($AX14,"FD120"))</f>
        <v>China</v>
      </c>
      <c r="I14" s="22" t="str" cm="1">
        <f t="array" ref="I14">IF(OR(_xll.BDP($AX14,"FD116")="#N/A N/A",_xll.BDP($AX14,"FD116")="#N/A FIELD NOT APPLICABLE")," ",_xll.BDP($AX14,"FD116"))</f>
        <v>Blend</v>
      </c>
      <c r="J14" s="22" t="str" cm="1">
        <f t="array" ref="J14">IF(OR(_xll.BDP($AX14,"FD133")="#N/A N/A",_xll.BDP($AX14,"FD133")="#N/A FIELD NOT APPLICABLE")," ", _xll.BDP($AX14,"FD133"))</f>
        <v xml:space="preserve"> </v>
      </c>
      <c r="K14" s="34">
        <f>_xll.BDP(AX14,"FUND_ASSETS_USD")/1000</f>
        <v>2.4038879999999998</v>
      </c>
      <c r="L14" s="25">
        <f>IFERROR(_xll.BDP(AX14, "DV013")/100,0)</f>
        <v>1.2258812254228389E-2</v>
      </c>
      <c r="M14" s="25" cm="1">
        <f t="array" ref="M14">IF(OR(_xll.BDP($AX14,"PR079")="#N/A N/A",_xll.BDP($AX14,"PR079")="#N/A FIELD NOT APPLICABLE")," ", _xll.BDP($AX14,"PR079")/100)</f>
        <v>-3.3960569999999995E-2</v>
      </c>
      <c r="N14" s="25" cm="1">
        <f t="array" ref="N14">IF(OR(_xll.BDP($AX14,"RT074")="#N/A N/A",_xll.BDP($AX14,"RT074")="#N/A FIELD NOT APPLICABLE")," ", _xll.BDP($AX14,"RT074")/100)</f>
        <v>5.7195130000000004E-2</v>
      </c>
      <c r="O14" s="27">
        <v>14000</v>
      </c>
      <c r="P14" s="28">
        <v>43.69153</v>
      </c>
      <c r="Q14" s="22" cm="1">
        <f t="array" ref="Q14">IF(OR(_xll.BDP($AX14,"PX_last")="#N/A N/A",_xll.BDP($AX14,"PX_Last")="#N/A FIELD NOT APPLICABLE")," ",IF(F14="GBP",(_xll.BDP($AX14,"PX_LAST")/100),(_xll.BDP($AX14,"PX_LAST"))))</f>
        <v>42.1</v>
      </c>
      <c r="R14" s="29">
        <f>IF(F14="USD",AA14,(((_xll.BDP(F14&amp;"USD CURNCY","PX_LAST")))*AA14))</f>
        <v>78864.085480599999</v>
      </c>
      <c r="S14" s="29">
        <f>IF(F14="USD",AB14,(((_xll.BDP(F14&amp;"USD CURNCY","PX_LAST")))*AB14))</f>
        <v>75991.34199999999</v>
      </c>
      <c r="T14" s="12">
        <f t="shared" si="0"/>
        <v>-2872.7434806000092</v>
      </c>
      <c r="U14" s="13">
        <f t="shared" si="1"/>
        <v>-3.6426511042300533E-2</v>
      </c>
      <c r="V14" s="13" cm="1">
        <f t="array" ref="V14">IFERROR(_xll.BDP($G14&amp;" Equity","CHG_PCT_1D")/100,"")</f>
        <v>7.1770330000000002E-3</v>
      </c>
      <c r="W14" s="13" cm="1">
        <f t="array" ref="W14">IFERROR(_xll.BDP($G14&amp;" Equity","CHG_PCT_5D")/100,"")</f>
        <v>7.1770330000000002E-3</v>
      </c>
      <c r="X14" s="13" t="e">
        <f>S14/#REF!</f>
        <v>#REF!</v>
      </c>
      <c r="Y14" s="29">
        <f t="shared" si="2"/>
        <v>931.56359452486038</v>
      </c>
      <c r="Z14" s="29">
        <f t="shared" si="3"/>
        <v>75991.34199999999</v>
      </c>
      <c r="AA14" s="29">
        <f t="shared" si="4"/>
        <v>611681.42000000004</v>
      </c>
      <c r="AB14" s="29">
        <f t="shared" si="5"/>
        <v>589400</v>
      </c>
      <c r="AC14" s="25" t="str" cm="1">
        <f t="array" ref="AC14">IF(OR(_xll.BDP($AX14,"EX028")="#N/A N/A",_xll.BDP($AX14,"EX028")="#N/A FIELD NOT APPLICABLE")," ", _xll.BDP($AX14,"EX028"))</f>
        <v>Fund</v>
      </c>
      <c r="AD14" s="35" t="str" cm="1">
        <f t="array" ref="AD14">IF(OR(_xll.BDP($AX14,"FD121")="#N/A N/A",_xll.BDP($AX14,"FD121")="#N/A FIELD NOT APPLICABLE")," ", _xll.BDP($AX14,"FD121"))</f>
        <v>Equity</v>
      </c>
      <c r="AE14" s="25" t="str" cm="1">
        <f t="array" ref="AE14">IF(OR(_xll.BDP($AX14,"FD118")="#N/A N/A",_xll.BDP($AX14,"FD118")="#N/A FIELD NOT APPLICABLE")," ", _xll.BDP($AX14,"FD118"))</f>
        <v>ETF</v>
      </c>
      <c r="AF14" s="22" t="str" cm="1">
        <f t="array" ref="AF14">IF(OR(_xll.BDP($AX14,"FD114")="#N/A N/A",_xll.BDP($AX14,"FD114")="#N/A FIELD NOT APPLICABLE")," ", _xll.BDP($AX14,"FD114"))</f>
        <v xml:space="preserve"> </v>
      </c>
      <c r="AG14" s="22" t="str" cm="1">
        <f t="array" ref="AG14">IF(OR(_xll.BDP($AX14,"FD003")="#N/A N/A",_xll.BDP($AX14,"FD003")="#N/A FIELD NOT APPLICABLE")," ", _xll.BDP($AX14,"FD003"))</f>
        <v>17/07/2012</v>
      </c>
      <c r="AH14" s="32" cm="1">
        <f t="array" ref="AH14">IF(OR(_xll.BDP($AX14,"PR061")="#N/A N/A",_xll.BDP($AX14,"PR061")="#N/A FIELD NOT APPLICABLE")," ", _xll.BDP($AX14,"PR061")/100)</f>
        <v>-1.727358E-2</v>
      </c>
      <c r="AI14" s="25" cm="1">
        <f t="array" ref="AI14">IF(OR(_xll.BDP($AX14,"RT075")="#N/A N/A",_xll.BDP($AX14,"RT075")="#N/A FIELD NOT APPLICABLE")," ", _xll.BDP($AX14,"RT075")/100)</f>
        <v>-3.7045330000000001E-2</v>
      </c>
      <c r="AJ14" s="25" cm="1">
        <f t="array" ref="AJ14">IF(OR(_xll.BDP($AX14,"RT076")="#N/A N/A",_xll.BDP($AX14,"RT076")="#N/A FIELD NOT APPLICABLE")," ", _xll.BDP($AX14,"RT076")/100)</f>
        <v>4.5156090000000003E-3</v>
      </c>
      <c r="AK14" s="25" t="str" cm="1">
        <f t="array" ref="AK14">IF(OR(_xll.BDP($AX14,"FD252")="#N/A N/A",_xll.BDP($AX14,"FD252")="#N/A FIELD NOT APPLICABLE")," ", _xll.BDP($AX14,"FD252")/100)</f>
        <v xml:space="preserve"> </v>
      </c>
      <c r="AL14" s="25" cm="1">
        <f t="array" ref="AL14">IF(OR(_xll.BDP($AX14,"FD015")="#N/A N/A",_xll.BDP($AX14,"FD015")="#N/A FIELD NOT APPLICABLE")," ", _xll.BDP($AX14,"FD015")/100)</f>
        <v>8.3999999999999995E-3</v>
      </c>
      <c r="AM14" s="25" cm="1">
        <f t="array" ref="AM14">IF(OR(_xll.BDP($AX14,"FD138")="#N/A N/A",_xll.BDP($AX14,"FD138")="#N/A FIELD NOT APPLICABLE")," ", _xll.BDP($AX14,"FD138")/100)</f>
        <v>6.9999999999999993E-3</v>
      </c>
      <c r="AN14" s="36" cm="1">
        <f t="array" ref="AN14">IF(OR(_xll.BDP($AX14,"FD009")="#N/A N/A",_xll.BDP($AX14,"FD009")="#N/A FIELD NOT APPLICABLE")," ", _xll.BDP($AX14,"FD009")/100)</f>
        <v>0</v>
      </c>
      <c r="AO14" s="25" cm="1">
        <f t="array" ref="AO14">IF(OR(_xll.BDP($AX14,"RK512")="#N/A N/A",_xll.BDP($AX14,"RK512")="#N/A FIELD NOT APPLICABLE")," ", _xll.BDP($AX14,"RK512")/100)</f>
        <v>2.3225799999999999E-3</v>
      </c>
      <c r="AP14" s="25" cm="1">
        <f t="array" ref="AP14">IF(OR(_xll.BDP($AX14,"RK514")="#N/A N/A",_xll.BDP($AX14,"RK514")="#N/A FIELD NOT APPLICABLE")," ", _xll.BDP($AX14,"RK514")/100)</f>
        <v>3.3112599999999999E-3</v>
      </c>
      <c r="AQ14" s="25" cm="1">
        <f t="array" ref="AQ14">IF(OR(_xll.BDP($AX14,"RK521")="#N/A N/A",_xll.BDP($AX14,"RK521")="#N/A FIELD NOT APPLICABLE")," ", _xll.BDP($AX14,"RK521")/100)</f>
        <v>1.5222199999999998E-2</v>
      </c>
      <c r="AR14" s="25" cm="1">
        <f t="array" ref="AR14">IF(OR(_xll.BDP($AX14,"RK525")="#N/A N/A",_xll.BDP($AX14,"RK525")="#N/A FIELD NOT APPLICABLE")," ", _xll.BDP($AX14,"RK525")/100)</f>
        <v>1.3396099999999999E-2</v>
      </c>
      <c r="AS14" s="25" cm="1">
        <f t="array" ref="AS14">IF(OR(_xll.BDP($AX14,"RK524")="#N/A N/A",_xll.BDP($AX14,"RK524")="#N/A FIELD NOT APPLICABLE")," ", _xll.BDP($AX14,"RK524")/100)</f>
        <v>-3.5144000000000001E-4</v>
      </c>
      <c r="AT14" s="25" t="str" cm="1">
        <f t="array" ref="AT14">IF(OR(_xll.BDP($AX14,"FD183")="#N/A N/A",_xll.BDP($AX14,"FD183")="#N/A FIELD NOT APPLICABLE")," ", _xll.BDP($AX14,"FD183"))</f>
        <v xml:space="preserve"> </v>
      </c>
      <c r="AU14" s="25" t="str" cm="1">
        <f t="array" ref="AU14">IF(OR(_xll.BDP($AX14,"DY997")="#N/A N/A",_xll.BDP($AX14,"DY997")="#N/A FIELD NOT APPLICABLE")," ", _xll.BDP($AX14,"DY997"))</f>
        <v xml:space="preserve"> </v>
      </c>
      <c r="AV14" s="25" t="str" cm="1">
        <f t="array" ref="AV14">IF(OR(_xll.BDP($AX14,"DY784")="#N/A N/A",_xll.BDP($AX14,"DY784")="#N/A FIELD NOT APPLICABLE")," ", _xll.BDP($AX14,"DY784"))</f>
        <v xml:space="preserve"> </v>
      </c>
      <c r="AW14" s="22" t="str">
        <f t="shared" si="6"/>
        <v>N</v>
      </c>
      <c r="AX14" s="22" t="str">
        <f t="shared" si="7"/>
        <v>3188 HK Equity</v>
      </c>
      <c r="BC14" s="17" t="str" cm="1">
        <f t="array" ref="BC14">_xll.BDP(AX14,"ID005")</f>
        <v>HK0000123577</v>
      </c>
      <c r="BD14" s="17">
        <v>0.75</v>
      </c>
      <c r="BE14" s="18">
        <v>5</v>
      </c>
      <c r="BF14" s="37">
        <v>45492</v>
      </c>
      <c r="BG14" s="20">
        <v>1.0000000000107532</v>
      </c>
    </row>
    <row r="15" spans="1:59" s="3" customFormat="1" ht="14.45" customHeight="1" x14ac:dyDescent="0.25">
      <c r="A15" s="49" t="s">
        <v>241</v>
      </c>
      <c r="B15" s="49" t="s">
        <v>276</v>
      </c>
      <c r="C15" s="49" t="s">
        <v>277</v>
      </c>
      <c r="D15" s="49" t="s">
        <v>240</v>
      </c>
      <c r="E15" s="22" t="str">
        <f>_xll.BDP(AX15,"SECURITY NAME")</f>
        <v>ChinaAMC ETF Series - ChinaAMC</v>
      </c>
      <c r="F15" s="22" t="str">
        <f>_xll.BDP(AX15,"CRNCY")</f>
        <v>HKD</v>
      </c>
      <c r="G15" s="23" t="s">
        <v>339</v>
      </c>
      <c r="H15" s="22" t="str" cm="1">
        <f t="array" ref="H15">IF(OR(_xll.BDP($AX15,"FD120")="#N/A N/A",_xll.BDP($AX15,"FD120")="#N/A FIELD NOT APPLICABLE")," ",_xll.BDP($AX15,"FD120"))</f>
        <v>China</v>
      </c>
      <c r="I15" s="22" t="str" cm="1">
        <f t="array" ref="I15">IF(OR(_xll.BDP($AX15,"FD116")="#N/A N/A",_xll.BDP($AX15,"FD116")="#N/A FIELD NOT APPLICABLE")," ",_xll.BDP($AX15,"FD116"))</f>
        <v>Blend</v>
      </c>
      <c r="J15" s="22" t="str" cm="1">
        <f t="array" ref="J15">IF(OR(_xll.BDP($AX15,"FD133")="#N/A N/A",_xll.BDP($AX15,"FD133")="#N/A FIELD NOT APPLICABLE")," ", _xll.BDP($AX15,"FD133"))</f>
        <v xml:space="preserve"> </v>
      </c>
      <c r="K15" s="34">
        <f>_xll.BDP(AX15,"FUND_ASSETS_USD")/1000</f>
        <v>2.4038879999999998</v>
      </c>
      <c r="L15" s="25">
        <f>IFERROR(_xll.BDP(AX15, "DV013")/100,0)</f>
        <v>1.2258812254228389E-2</v>
      </c>
      <c r="M15" s="25" cm="1">
        <f t="array" ref="M15">IF(OR(_xll.BDP($AX15,"PR079")="#N/A N/A",_xll.BDP($AX15,"PR079")="#N/A FIELD NOT APPLICABLE")," ", _xll.BDP($AX15,"PR079")/100)</f>
        <v>-3.3960569999999995E-2</v>
      </c>
      <c r="N15" s="25" cm="1">
        <f t="array" ref="N15">IF(OR(_xll.BDP($AX15,"RT074")="#N/A N/A",_xll.BDP($AX15,"RT074")="#N/A FIELD NOT APPLICABLE")," ", _xll.BDP($AX15,"RT074")/100)</f>
        <v>5.7195130000000004E-2</v>
      </c>
      <c r="O15" s="27">
        <v>31600</v>
      </c>
      <c r="P15" s="28">
        <v>43.69153</v>
      </c>
      <c r="Q15" s="22" cm="1">
        <f t="array" ref="Q15">IF(OR(_xll.BDP($AX15,"PX_last")="#N/A N/A",_xll.BDP($AX15,"PX_Last")="#N/A FIELD NOT APPLICABLE")," ",IF(F15="GBP",(_xll.BDP($AX15,"PX_LAST")),(_xll.BDP($AX15,"PX_LAST"))))</f>
        <v>42.1</v>
      </c>
      <c r="R15" s="29">
        <f>IF(F15="USD",AA15,(((_xll.BDP(F15&amp;"USD CURNCY","PX_LAST")))*AA15))</f>
        <v>178007.50722763999</v>
      </c>
      <c r="S15" s="29">
        <f>IF(F15="USD",AB15,(((_xll.BDP(F15&amp;"USD CURNCY","PX_LAST")))*AB15))</f>
        <v>171523.31479999999</v>
      </c>
      <c r="T15" s="12">
        <f t="shared" si="0"/>
        <v>-6484.192427639995</v>
      </c>
      <c r="U15" s="13">
        <f t="shared" si="1"/>
        <v>-3.6426511042300394E-2</v>
      </c>
      <c r="V15" s="13" cm="1">
        <f t="array" ref="V15">IFERROR(_xll.BDP($G15&amp;" Equity","CHG_PCT_1D")/100,"")</f>
        <v>7.1770330000000002E-3</v>
      </c>
      <c r="W15" s="13" cm="1">
        <f t="array" ref="W15">IFERROR(_xll.BDP($G15&amp;" Equity","CHG_PCT_5D")/100,"")</f>
        <v>7.1770330000000002E-3</v>
      </c>
      <c r="X15" s="13" t="e">
        <f>S15/#REF!</f>
        <v>#REF!</v>
      </c>
      <c r="Y15" s="29">
        <f t="shared" si="2"/>
        <v>2102.6721133561136</v>
      </c>
      <c r="Z15" s="29">
        <f t="shared" si="3"/>
        <v>171523.31479999999</v>
      </c>
      <c r="AA15" s="29">
        <f t="shared" si="4"/>
        <v>1380652.348</v>
      </c>
      <c r="AB15" s="29">
        <f t="shared" si="5"/>
        <v>1330360</v>
      </c>
      <c r="AC15" s="25" t="str" cm="1">
        <f t="array" ref="AC15">IF(OR(_xll.BDP($AX15,"EX028")="#N/A N/A",_xll.BDP($AX15,"EX028")="#N/A FIELD NOT APPLICABLE")," ", _xll.BDP($AX15,"EX028"))</f>
        <v>Fund</v>
      </c>
      <c r="AD15" s="35" t="str" cm="1">
        <f t="array" ref="AD15">IF(OR(_xll.BDP($AX15,"FD121")="#N/A N/A",_xll.BDP($AX15,"FD121")="#N/A FIELD NOT APPLICABLE")," ", _xll.BDP($AX15,"FD121"))</f>
        <v>Equity</v>
      </c>
      <c r="AE15" s="25" t="str" cm="1">
        <f t="array" ref="AE15">IF(OR(_xll.BDP($AX15,"FD118")="#N/A N/A",_xll.BDP($AX15,"FD118")="#N/A FIELD NOT APPLICABLE")," ", _xll.BDP($AX15,"FD118"))</f>
        <v>ETF</v>
      </c>
      <c r="AF15" s="22" t="str" cm="1">
        <f t="array" ref="AF15">IF(OR(_xll.BDP($AX15,"FD114")="#N/A N/A",_xll.BDP($AX15,"FD114")="#N/A FIELD NOT APPLICABLE")," ", _xll.BDP($AX15,"FD114"))</f>
        <v xml:space="preserve"> </v>
      </c>
      <c r="AG15" s="22" t="str" cm="1">
        <f t="array" ref="AG15">IF(OR(_xll.BDP($AX15,"FD003")="#N/A N/A",_xll.BDP($AX15,"FD003")="#N/A FIELD NOT APPLICABLE")," ", _xll.BDP($AX15,"FD003"))</f>
        <v>17/07/2012</v>
      </c>
      <c r="AH15" s="32" cm="1">
        <f t="array" ref="AH15">IF(OR(_xll.BDP($AX15,"PR061")="#N/A N/A",_xll.BDP($AX15,"PR061")="#N/A FIELD NOT APPLICABLE")," ", _xll.BDP($AX15,"PR061")/100)</f>
        <v>-1.727358E-2</v>
      </c>
      <c r="AI15" s="25" cm="1">
        <f t="array" ref="AI15">IF(OR(_xll.BDP($AX15,"RT075")="#N/A N/A",_xll.BDP($AX15,"RT075")="#N/A FIELD NOT APPLICABLE")," ", _xll.BDP($AX15,"RT075")/100)</f>
        <v>-3.7045330000000001E-2</v>
      </c>
      <c r="AJ15" s="25" cm="1">
        <f t="array" ref="AJ15">IF(OR(_xll.BDP($AX15,"RT076")="#N/A N/A",_xll.BDP($AX15,"RT076")="#N/A FIELD NOT APPLICABLE")," ", _xll.BDP($AX15,"RT076")/100)</f>
        <v>4.5156090000000003E-3</v>
      </c>
      <c r="AK15" s="25" t="str" cm="1">
        <f t="array" ref="AK15">IF(OR(_xll.BDP($AX15,"FD252")="#N/A N/A",_xll.BDP($AX15,"FD252")="#N/A FIELD NOT APPLICABLE")," ", _xll.BDP($AX15,"FD252")/100)</f>
        <v xml:space="preserve"> </v>
      </c>
      <c r="AL15" s="25" cm="1">
        <f t="array" ref="AL15">IF(OR(_xll.BDP($AX15,"FD015")="#N/A N/A",_xll.BDP($AX15,"FD015")="#N/A FIELD NOT APPLICABLE")," ", _xll.BDP($AX15,"FD015")/100)</f>
        <v>8.3999999999999995E-3</v>
      </c>
      <c r="AM15" s="25" cm="1">
        <f t="array" ref="AM15">IF(OR(_xll.BDP($AX15,"FD138")="#N/A N/A",_xll.BDP($AX15,"FD138")="#N/A FIELD NOT APPLICABLE")," ", _xll.BDP($AX15,"FD138")/100)</f>
        <v>6.9999999999999993E-3</v>
      </c>
      <c r="AN15" s="36" cm="1">
        <f t="array" ref="AN15">IF(OR(_xll.BDP($AX15,"FD009")="#N/A N/A",_xll.BDP($AX15,"FD009")="#N/A FIELD NOT APPLICABLE")," ", _xll.BDP($AX15,"FD009")/100)</f>
        <v>0</v>
      </c>
      <c r="AO15" s="25" cm="1">
        <f t="array" ref="AO15">IF(OR(_xll.BDP($AX15,"RK512")="#N/A N/A",_xll.BDP($AX15,"RK512")="#N/A FIELD NOT APPLICABLE")," ", _xll.BDP($AX15,"RK512")/100)</f>
        <v>2.3225799999999999E-3</v>
      </c>
      <c r="AP15" s="25" cm="1">
        <f t="array" ref="AP15">IF(OR(_xll.BDP($AX15,"RK514")="#N/A N/A",_xll.BDP($AX15,"RK514")="#N/A FIELD NOT APPLICABLE")," ", _xll.BDP($AX15,"RK514")/100)</f>
        <v>3.3112599999999999E-3</v>
      </c>
      <c r="AQ15" s="25" cm="1">
        <f t="array" ref="AQ15">IF(OR(_xll.BDP($AX15,"RK521")="#N/A N/A",_xll.BDP($AX15,"RK521")="#N/A FIELD NOT APPLICABLE")," ", _xll.BDP($AX15,"RK521")/100)</f>
        <v>1.5222199999999998E-2</v>
      </c>
      <c r="AR15" s="25" cm="1">
        <f t="array" ref="AR15">IF(OR(_xll.BDP($AX15,"RK525")="#N/A N/A",_xll.BDP($AX15,"RK525")="#N/A FIELD NOT APPLICABLE")," ", _xll.BDP($AX15,"RK525")/100)</f>
        <v>1.3396099999999999E-2</v>
      </c>
      <c r="AS15" s="25" cm="1">
        <f t="array" ref="AS15">IF(OR(_xll.BDP($AX15,"RK524")="#N/A N/A",_xll.BDP($AX15,"RK524")="#N/A FIELD NOT APPLICABLE")," ", _xll.BDP($AX15,"RK524")/100)</f>
        <v>-3.5144000000000001E-4</v>
      </c>
      <c r="AT15" s="25" t="str" cm="1">
        <f t="array" ref="AT15">IF(OR(_xll.BDP($AX15,"FD183")="#N/A N/A",_xll.BDP($AX15,"FD183")="#N/A FIELD NOT APPLICABLE")," ", _xll.BDP($AX15,"FD183"))</f>
        <v xml:space="preserve"> </v>
      </c>
      <c r="AU15" s="25" t="str" cm="1">
        <f t="array" ref="AU15">IF(OR(_xll.BDP($AX15,"DY997")="#N/A N/A",_xll.BDP($AX15,"DY997")="#N/A FIELD NOT APPLICABLE")," ", _xll.BDP($AX15,"DY997"))</f>
        <v xml:space="preserve"> </v>
      </c>
      <c r="AV15" s="25" t="str" cm="1">
        <f t="array" ref="AV15">IF(OR(_xll.BDP($AX15,"DY784")="#N/A N/A",_xll.BDP($AX15,"DY784")="#N/A FIELD NOT APPLICABLE")," ", _xll.BDP($AX15,"DY784"))</f>
        <v xml:space="preserve"> </v>
      </c>
      <c r="AW15" s="22" t="str">
        <f t="shared" si="6"/>
        <v>N</v>
      </c>
      <c r="AX15" s="22" t="str">
        <f t="shared" si="7"/>
        <v>3188 HK Equity</v>
      </c>
      <c r="BC15" s="17" t="str" cm="1">
        <f t="array" ref="BC15">_xll.BDP(AX15,"ID005")</f>
        <v>HK0000123577</v>
      </c>
      <c r="BD15" s="17">
        <v>0.75</v>
      </c>
      <c r="BE15" s="18">
        <v>5</v>
      </c>
      <c r="BF15" s="37">
        <v>45492</v>
      </c>
      <c r="BG15" s="20">
        <v>1.0000000000107532</v>
      </c>
    </row>
    <row r="16" spans="1:59" s="3" customFormat="1" ht="14.45" customHeight="1" x14ac:dyDescent="0.25">
      <c r="A16" s="49" t="s">
        <v>241</v>
      </c>
      <c r="B16" s="49" t="s">
        <v>238</v>
      </c>
      <c r="C16" s="49" t="s">
        <v>239</v>
      </c>
      <c r="D16" s="49" t="s">
        <v>240</v>
      </c>
      <c r="E16" s="22" t="str">
        <f>_xll.BDP(AX16,"SECURITY NAME")</f>
        <v>iShares MSCI Brazil ETF</v>
      </c>
      <c r="F16" s="22" t="str">
        <f>_xll.BDP(AX16,"CRNCY")</f>
        <v>USD</v>
      </c>
      <c r="G16" s="23" t="s">
        <v>113</v>
      </c>
      <c r="H16" s="22" t="str" cm="1">
        <f t="array" ref="H16">IF(OR(_xll.BDP($AX16,"FD120")="#N/A N/A",_xll.BDP($AX16,"FD120")="#N/A FIELD NOT APPLICABLE")," ",_xll.BDP($AX16,"FD120"))</f>
        <v>Brazil</v>
      </c>
      <c r="I16" s="22" t="str" cm="1">
        <f t="array" ref="I16">IF(OR(_xll.BDP($AX16,"FD116")="#N/A N/A",_xll.BDP($AX16,"FD116")="#N/A FIELD NOT APPLICABLE")," ",_xll.BDP($AX16,"FD116"))</f>
        <v>Blend</v>
      </c>
      <c r="J16" s="22" t="str" cm="1">
        <f t="array" ref="J16">IF(OR(_xll.BDP($AX16,"FD133")="#N/A N/A",_xll.BDP($AX16,"FD133")="#N/A FIELD NOT APPLICABLE")," ", _xll.BDP($AX16,"FD133"))</f>
        <v xml:space="preserve"> </v>
      </c>
      <c r="K16" s="34">
        <f>_xll.BDP(AX16,"FUND_ASSETS_USD")/1000</f>
        <v>3.7745484216</v>
      </c>
      <c r="L16" s="25">
        <f>IFERROR(_xll.BDP(AX16, "DV013")/100,0)</f>
        <v>8.1187358132968596E-2</v>
      </c>
      <c r="M16" s="25" cm="1">
        <f t="array" ref="M16">IF(OR(_xll.BDP($AX16,"PR079")="#N/A N/A",_xll.BDP($AX16,"PR079")="#N/A FIELD NOT APPLICABLE")," ", _xll.BDP($AX16,"PR079")/100)</f>
        <v>0.19502439999999999</v>
      </c>
      <c r="N16" s="25" cm="1">
        <f t="array" ref="N16">IF(OR(_xll.BDP($AX16,"RT074")="#N/A N/A",_xll.BDP($AX16,"RT074")="#N/A FIELD NOT APPLICABLE")," ", _xll.BDP($AX16,"RT074")/100)</f>
        <v>-6.8229139999999994E-2</v>
      </c>
      <c r="O16" s="27">
        <v>2065</v>
      </c>
      <c r="P16" s="28">
        <v>36.269500000000001</v>
      </c>
      <c r="Q16" s="22" cm="1">
        <f t="array" ref="Q16">IF(OR(_xll.BDP($AX16,"PX_last")="#N/A N/A",_xll.BDP($AX16,"PX_Last")="#N/A FIELD NOT APPLICABLE")," ",IF(F16="GBP",(_xll.BDP($AX16,"PX_LAST")/100),(_xll.BDP($AX16,"PX_LAST"))))</f>
        <v>26.9</v>
      </c>
      <c r="R16" s="29">
        <f>IF(F16="USD",AA16,(((_xll.BDP(F16&amp;"USD CURNCY","PX_LAST")))*AA16))</f>
        <v>74896.517500000002</v>
      </c>
      <c r="S16" s="29">
        <f>IF(F16="USD",AB16,(((_xll.BDP(F16&amp;"USD CURNCY","PX_LAST")))*AB16))</f>
        <v>55548.5</v>
      </c>
      <c r="T16" s="12">
        <f t="shared" si="0"/>
        <v>-19348.017500000002</v>
      </c>
      <c r="U16" s="13">
        <f t="shared" si="1"/>
        <v>-0.25833000179213944</v>
      </c>
      <c r="V16" s="13" cm="1">
        <f t="array" ref="V16">IFERROR(_xll.BDP($G16&amp;" Equity","CHG_PCT_1D")/100,"")</f>
        <v>-4.8094710000000001E-3</v>
      </c>
      <c r="W16" s="13" cm="1">
        <f t="array" ref="W16">IFERROR(_xll.BDP($G16&amp;" Equity","CHG_PCT_5D")/100,"")</f>
        <v>6.359895E-3</v>
      </c>
      <c r="X16" s="13" t="e">
        <f>S16/$H$62</f>
        <v>#VALUE!</v>
      </c>
      <c r="Y16" s="29">
        <f t="shared" si="2"/>
        <v>4509.8359632492056</v>
      </c>
      <c r="Z16" s="29">
        <f t="shared" si="3"/>
        <v>55548.5</v>
      </c>
      <c r="AA16" s="29">
        <f t="shared" si="4"/>
        <v>74896.517500000002</v>
      </c>
      <c r="AB16" s="29">
        <f t="shared" si="5"/>
        <v>55548.5</v>
      </c>
      <c r="AC16" s="25" t="str" cm="1">
        <f t="array" ref="AC16">IF(OR(_xll.BDP($AX16,"EX028")="#N/A N/A",_xll.BDP($AX16,"EX028")="#N/A FIELD NOT APPLICABLE")," ", _xll.BDP($AX16,"EX028"))</f>
        <v>Fund</v>
      </c>
      <c r="AD16" s="35" t="str" cm="1">
        <f t="array" ref="AD16">IF(OR(_xll.BDP($AX16,"FD121")="#N/A N/A",_xll.BDP($AX16,"FD121")="#N/A FIELD NOT APPLICABLE")," ", _xll.BDP($AX16,"FD121"))</f>
        <v>Equity</v>
      </c>
      <c r="AE16" s="25" t="str" cm="1">
        <f t="array" ref="AE16">IF(OR(_xll.BDP($AX16,"FD118")="#N/A N/A",_xll.BDP($AX16,"FD118")="#N/A FIELD NOT APPLICABLE")," ", _xll.BDP($AX16,"FD118"))</f>
        <v>ETF</v>
      </c>
      <c r="AF16" s="22" t="str" cm="1">
        <f t="array" ref="AF16">IF(OR(_xll.BDP($AX16,"FD114")="#N/A N/A",_xll.BDP($AX16,"FD114")="#N/A FIELD NOT APPLICABLE")," ", _xll.BDP($AX16,"FD114"))</f>
        <v xml:space="preserve"> </v>
      </c>
      <c r="AG16" s="22" t="str" cm="1">
        <f t="array" ref="AG16">IF(OR(_xll.BDP($AX16,"FD003")="#N/A N/A",_xll.BDP($AX16,"FD003")="#N/A FIELD NOT APPLICABLE")," ", _xll.BDP($AX16,"FD003"))</f>
        <v>14/07/2000</v>
      </c>
      <c r="AH16" s="32" cm="1">
        <f t="array" ref="AH16">IF(OR(_xll.BDP($AX16,"PR061")="#N/A N/A",_xll.BDP($AX16,"PR061")="#N/A FIELD NOT APPLICABLE")," ", _xll.BDP($AX16,"PR061")/100)</f>
        <v>2.9468079999999997E-2</v>
      </c>
      <c r="AI16" s="25" cm="1">
        <f t="array" ref="AI16">IF(OR(_xll.BDP($AX16,"RT075")="#N/A N/A",_xll.BDP($AX16,"RT075")="#N/A FIELD NOT APPLICABLE")," ", _xll.BDP($AX16,"RT075")/100)</f>
        <v>2.0128070000000001E-2</v>
      </c>
      <c r="AJ16" s="25" cm="1">
        <f t="array" ref="AJ16">IF(OR(_xll.BDP($AX16,"RT076")="#N/A N/A",_xll.BDP($AX16,"RT076")="#N/A FIELD NOT APPLICABLE")," ", _xll.BDP($AX16,"RT076")/100)</f>
        <v>0.10434939999999999</v>
      </c>
      <c r="AK16" s="25" cm="1">
        <f t="array" ref="AK16">IF(OR(_xll.BDP($AX16,"FD252")="#N/A N/A",_xll.BDP($AX16,"FD252")="#N/A FIELD NOT APPLICABLE")," ", _xll.BDP($AX16,"FD252")/100)</f>
        <v>0</v>
      </c>
      <c r="AL16" s="25" cm="1">
        <f t="array" ref="AL16">IF(OR(_xll.BDP($AX16,"FD015")="#N/A N/A",_xll.BDP($AX16,"FD015")="#N/A FIELD NOT APPLICABLE")," ", _xll.BDP($AX16,"FD015")/100)</f>
        <v>5.8999999999999999E-3</v>
      </c>
      <c r="AM16" s="25" cm="1">
        <f t="array" ref="AM16">IF(OR(_xll.BDP($AX16,"FD138")="#N/A N/A",_xll.BDP($AX16,"FD138")="#N/A FIELD NOT APPLICABLE")," ", _xll.BDP($AX16,"FD138")/100)</f>
        <v>5.8999999999999999E-3</v>
      </c>
      <c r="AN16" s="36" cm="1">
        <f t="array" ref="AN16">IF(OR(_xll.BDP($AX16,"FD009")="#N/A N/A",_xll.BDP($AX16,"FD009")="#N/A FIELD NOT APPLICABLE")," ", _xll.BDP($AX16,"FD009")/100)</f>
        <v>0</v>
      </c>
      <c r="AO16" s="25" cm="1">
        <f t="array" ref="AO16">IF(OR(_xll.BDP($AX16,"RK512")="#N/A N/A",_xll.BDP($AX16,"RK512")="#N/A FIELD NOT APPLICABLE")," ", _xll.BDP($AX16,"RK512")/100)</f>
        <v>-4.392440021038055E-3</v>
      </c>
      <c r="AP16" s="25" cm="1">
        <f t="array" ref="AP16">IF(OR(_xll.BDP($AX16,"RK514")="#N/A N/A",_xll.BDP($AX16,"RK514")="#N/A FIELD NOT APPLICABLE")," ", _xll.BDP($AX16,"RK514")/100)</f>
        <v>-4.6389099955558774E-3</v>
      </c>
      <c r="AQ16" s="25" cm="1">
        <f t="array" ref="AQ16">IF(OR(_xll.BDP($AX16,"RK521")="#N/A N/A",_xll.BDP($AX16,"RK521")="#N/A FIELD NOT APPLICABLE")," ", _xll.BDP($AX16,"RK521")/100)</f>
        <v>-5.2297997474670408E-3</v>
      </c>
      <c r="AR16" s="25" cm="1">
        <f t="array" ref="AR16">IF(OR(_xll.BDP($AX16,"RK525")="#N/A N/A",_xll.BDP($AX16,"RK525")="#N/A FIELD NOT APPLICABLE")," ", _xll.BDP($AX16,"RK525")/100)</f>
        <v>1.0247000455856324E-2</v>
      </c>
      <c r="AS16" s="25" cm="1">
        <f t="array" ref="AS16">IF(OR(_xll.BDP($AX16,"RK524")="#N/A N/A",_xll.BDP($AX16,"RK524")="#N/A FIELD NOT APPLICABLE")," ", _xll.BDP($AX16,"RK524")/100)</f>
        <v>-7.7220001257956029E-5</v>
      </c>
      <c r="AT16" s="25" t="str" cm="1">
        <f t="array" ref="AT16">IF(OR(_xll.BDP($AX16,"FD183")="#N/A N/A",_xll.BDP($AX16,"FD183")="#N/A FIELD NOT APPLICABLE")," ", _xll.BDP($AX16,"FD183"))</f>
        <v>USD INC</v>
      </c>
      <c r="AU16" s="25" t="str" cm="1">
        <f t="array" ref="AU16">IF(OR(_xll.BDP($AX16,"DY997")="#N/A N/A",_xll.BDP($AX16,"DY997")="#N/A FIELD NOT APPLICABLE")," ", _xll.BDP($AX16,"DY997"))</f>
        <v xml:space="preserve"> </v>
      </c>
      <c r="AV16" s="25" t="str" cm="1">
        <f t="array" ref="AV16">IF(OR(_xll.BDP($AX16,"DY784")="#N/A N/A",_xll.BDP($AX16,"DY784")="#N/A FIELD NOT APPLICABLE")," ", _xll.BDP($AX16,"DY784"))</f>
        <v xml:space="preserve"> </v>
      </c>
      <c r="AW16" s="22" t="str">
        <f t="shared" si="6"/>
        <v>N</v>
      </c>
      <c r="AX16" s="22" t="str">
        <f t="shared" si="7"/>
        <v>EWZ UN Equity</v>
      </c>
      <c r="BC16" s="17" t="str" cm="1">
        <f t="array" ref="BC16">_xll.BDP(AX16,"ID005")</f>
        <v>US4642864007</v>
      </c>
      <c r="BD16" s="17">
        <v>0.65</v>
      </c>
      <c r="BE16" s="18">
        <v>5</v>
      </c>
      <c r="BF16" s="37">
        <v>44433</v>
      </c>
      <c r="BG16" s="20">
        <v>1.0000000000107532</v>
      </c>
    </row>
    <row r="17" spans="1:59" s="3" customFormat="1" ht="14.45" customHeight="1" x14ac:dyDescent="0.25">
      <c r="A17" s="49" t="s">
        <v>242</v>
      </c>
      <c r="B17" s="49" t="s">
        <v>243</v>
      </c>
      <c r="C17" s="49" t="s">
        <v>244</v>
      </c>
      <c r="D17" s="49" t="s">
        <v>245</v>
      </c>
      <c r="E17" s="22" t="str">
        <f>_xll.BDP(AX17,"SECURITY NAME")</f>
        <v>iShares MSCI Brazil ETF</v>
      </c>
      <c r="F17" s="22" t="str">
        <f>_xll.BDP(AX17,"CRNCY")</f>
        <v>USD</v>
      </c>
      <c r="G17" s="23" t="s">
        <v>127</v>
      </c>
      <c r="H17" s="22" t="str" cm="1">
        <f t="array" ref="H17">IF(OR(_xll.BDP($AX17,"FD120")="#N/A N/A",_xll.BDP($AX17,"FD120")="#N/A FIELD NOT APPLICABLE")," ",_xll.BDP($AX17,"FD120"))</f>
        <v>Brazil</v>
      </c>
      <c r="I17" s="22" t="str" cm="1">
        <f t="array" ref="I17">IF(OR(_xll.BDP($AX17,"FD116")="#N/A N/A",_xll.BDP($AX17,"FD116")="#N/A FIELD NOT APPLICABLE")," ",_xll.BDP($AX17,"FD116"))</f>
        <v>Blend</v>
      </c>
      <c r="J17" s="22" t="str" cm="1">
        <f t="array" ref="J17">IF(OR(_xll.BDP($AX17,"FD133")="#N/A N/A",_xll.BDP($AX17,"FD133")="#N/A FIELD NOT APPLICABLE")," ", _xll.BDP($AX17,"FD133"))</f>
        <v xml:space="preserve"> </v>
      </c>
      <c r="K17" s="34">
        <f>_xll.BDP(AX17,"FUND_ASSETS_USD")/1000</f>
        <v>3.7745484216</v>
      </c>
      <c r="L17" s="25">
        <f>IFERROR(_xll.BDP(AX17, "DV013")/100,0)</f>
        <v>8.1247765393484203E-2</v>
      </c>
      <c r="M17" s="25" cm="1">
        <f t="array" ref="M17">IF(OR(_xll.BDP($AX17,"PR079")="#N/A N/A",_xll.BDP($AX17,"PR079")="#N/A FIELD NOT APPLICABLE")," ", _xll.BDP($AX17,"PR079")/100)</f>
        <v>0.1941359</v>
      </c>
      <c r="N17" s="25" cm="1">
        <f t="array" ref="N17">IF(OR(_xll.BDP($AX17,"RT074")="#N/A N/A",_xll.BDP($AX17,"RT074")="#N/A FIELD NOT APPLICABLE")," ", _xll.BDP($AX17,"RT074")/100)</f>
        <v>-6.819689000000001E-2</v>
      </c>
      <c r="O17" s="27">
        <v>6885</v>
      </c>
      <c r="P17" s="28">
        <v>36.17</v>
      </c>
      <c r="Q17" s="22" cm="1">
        <f t="array" ref="Q17">IF(OR(_xll.BDP($AX17,"PX_last")="#N/A N/A",_xll.BDP($AX17,"PX_Last")="#N/A FIELD NOT APPLICABLE")," ",IF(F17="GBP",(_xll.BDP($AX17,"PX_LAST")/100),(_xll.BDP($AX17,"PX_LAST"))))</f>
        <v>26.88</v>
      </c>
      <c r="R17" s="29">
        <f>IF(F17="USD",AA17,(((_xll.BDP(F17&amp;"USD CURNCY","PX_LAST")))*AA17))</f>
        <v>249030.45</v>
      </c>
      <c r="S17" s="29">
        <f>IF(F17="USD",AB17,(((_xll.BDP(F17&amp;"USD CURNCY","PX_LAST")))*AB17))</f>
        <v>185068.79999999999</v>
      </c>
      <c r="T17" s="12">
        <f t="shared" si="0"/>
        <v>-63961.650000000023</v>
      </c>
      <c r="U17" s="13">
        <f t="shared" si="1"/>
        <v>-0.25684268730992543</v>
      </c>
      <c r="V17" s="13" cm="1">
        <f t="array" ref="V17">IFERROR(_xll.BDP($G17&amp;" Equity","CHG_PCT_1D")/100,"")</f>
        <v>-5.9171600000000003E-3</v>
      </c>
      <c r="W17" s="13" cm="1">
        <f t="array" ref="W17">IFERROR(_xll.BDP($G17&amp;" Equity","CHG_PCT_5D")/100,"")</f>
        <v>5.2356020000000007E-3</v>
      </c>
      <c r="X17" s="13" t="e">
        <f>S17/$H$62</f>
        <v>#VALUE!</v>
      </c>
      <c r="Y17" s="29">
        <f t="shared" si="2"/>
        <v>15036.426444053648</v>
      </c>
      <c r="Z17" s="29">
        <f t="shared" si="3"/>
        <v>185068.79999999999</v>
      </c>
      <c r="AA17" s="29">
        <f t="shared" si="4"/>
        <v>249030.45</v>
      </c>
      <c r="AB17" s="29">
        <f t="shared" si="5"/>
        <v>185068.79999999999</v>
      </c>
      <c r="AC17" s="25" t="str" cm="1">
        <f t="array" ref="AC17">IF(OR(_xll.BDP($AX17,"EX028")="#N/A N/A",_xll.BDP($AX17,"EX028")="#N/A FIELD NOT APPLICABLE")," ", _xll.BDP($AX17,"EX028"))</f>
        <v>Fund</v>
      </c>
      <c r="AD17" s="35" t="str" cm="1">
        <f t="array" ref="AD17">IF(OR(_xll.BDP($AX17,"FD121")="#N/A N/A",_xll.BDP($AX17,"FD121")="#N/A FIELD NOT APPLICABLE")," ", _xll.BDP($AX17,"FD121"))</f>
        <v>Equity</v>
      </c>
      <c r="AE17" s="25" t="str" cm="1">
        <f t="array" ref="AE17">IF(OR(_xll.BDP($AX17,"FD118")="#N/A N/A",_xll.BDP($AX17,"FD118")="#N/A FIELD NOT APPLICABLE")," ", _xll.BDP($AX17,"FD118"))</f>
        <v>ETF</v>
      </c>
      <c r="AF17" s="22" t="str" cm="1">
        <f t="array" ref="AF17">IF(OR(_xll.BDP($AX17,"FD114")="#N/A N/A",_xll.BDP($AX17,"FD114")="#N/A FIELD NOT APPLICABLE")," ", _xll.BDP($AX17,"FD114"))</f>
        <v xml:space="preserve"> </v>
      </c>
      <c r="AG17" s="22" t="str" cm="1">
        <f t="array" ref="AG17">IF(OR(_xll.BDP($AX17,"FD003")="#N/A N/A",_xll.BDP($AX17,"FD003")="#N/A FIELD NOT APPLICABLE")," ", _xll.BDP($AX17,"FD003"))</f>
        <v>14/07/2000</v>
      </c>
      <c r="AH17" s="32" cm="1">
        <f t="array" ref="AH17">IF(OR(_xll.BDP($AX17,"PR061")="#N/A N/A",_xll.BDP($AX17,"PR061")="#N/A FIELD NOT APPLICABLE")," ", _xll.BDP($AX17,"PR061")/100)</f>
        <v>2.8309129999999998E-2</v>
      </c>
      <c r="AI17" s="25" cm="1">
        <f t="array" ref="AI17">IF(OR(_xll.BDP($AX17,"RT075")="#N/A N/A",_xll.BDP($AX17,"RT075")="#N/A FIELD NOT APPLICABLE")," ", _xll.BDP($AX17,"RT075")/100)</f>
        <v>1.962537E-2</v>
      </c>
      <c r="AJ17" s="25" cm="1">
        <f t="array" ref="AJ17">IF(OR(_xll.BDP($AX17,"RT076")="#N/A N/A",_xll.BDP($AX17,"RT076")="#N/A FIELD NOT APPLICABLE")," ", _xll.BDP($AX17,"RT076")/100)</f>
        <v>0.1041513</v>
      </c>
      <c r="AK17" s="25" cm="1">
        <f t="array" ref="AK17">IF(OR(_xll.BDP($AX17,"FD252")="#N/A N/A",_xll.BDP($AX17,"FD252")="#N/A FIELD NOT APPLICABLE")," ", _xll.BDP($AX17,"FD252")/100)</f>
        <v>0</v>
      </c>
      <c r="AL17" s="25" cm="1">
        <f t="array" ref="AL17">IF(OR(_xll.BDP($AX17,"FD015")="#N/A N/A",_xll.BDP($AX17,"FD015")="#N/A FIELD NOT APPLICABLE")," ", _xll.BDP($AX17,"FD015")/100)</f>
        <v>5.8999999999999999E-3</v>
      </c>
      <c r="AM17" s="25" cm="1">
        <f t="array" ref="AM17">IF(OR(_xll.BDP($AX17,"FD138")="#N/A N/A",_xll.BDP($AX17,"FD138")="#N/A FIELD NOT APPLICABLE")," ", _xll.BDP($AX17,"FD138")/100)</f>
        <v>5.8999999999999999E-3</v>
      </c>
      <c r="AN17" s="36" cm="1">
        <f t="array" ref="AN17">IF(OR(_xll.BDP($AX17,"FD009")="#N/A N/A",_xll.BDP($AX17,"FD009")="#N/A FIELD NOT APPLICABLE")," ", _xll.BDP($AX17,"FD009")/100)</f>
        <v>0</v>
      </c>
      <c r="AO17" s="25" cm="1">
        <f t="array" ref="AO17">IF(OR(_xll.BDP($AX17,"RK512")="#N/A N/A",_xll.BDP($AX17,"RK512")="#N/A FIELD NOT APPLICABLE")," ", _xll.BDP($AX17,"RK512")/100)</f>
        <v>-4.392440021038055E-3</v>
      </c>
      <c r="AP17" s="25" cm="1">
        <f t="array" ref="AP17">IF(OR(_xll.BDP($AX17,"RK514")="#N/A N/A",_xll.BDP($AX17,"RK514")="#N/A FIELD NOT APPLICABLE")," ", _xll.BDP($AX17,"RK514")/100)</f>
        <v>-4.6389099955558774E-3</v>
      </c>
      <c r="AQ17" s="25" cm="1">
        <f t="array" ref="AQ17">IF(OR(_xll.BDP($AX17,"RK521")="#N/A N/A",_xll.BDP($AX17,"RK521")="#N/A FIELD NOT APPLICABLE")," ", _xll.BDP($AX17,"RK521")/100)</f>
        <v>-5.2297997474670408E-3</v>
      </c>
      <c r="AR17" s="25" cm="1">
        <f t="array" ref="AR17">IF(OR(_xll.BDP($AX17,"RK525")="#N/A N/A",_xll.BDP($AX17,"RK525")="#N/A FIELD NOT APPLICABLE")," ", _xll.BDP($AX17,"RK525")/100)</f>
        <v>1.0247000455856324E-2</v>
      </c>
      <c r="AS17" s="25" cm="1">
        <f t="array" ref="AS17">IF(OR(_xll.BDP($AX17,"RK524")="#N/A N/A",_xll.BDP($AX17,"RK524")="#N/A FIELD NOT APPLICABLE")," ", _xll.BDP($AX17,"RK524")/100)</f>
        <v>-7.7220001257956029E-5</v>
      </c>
      <c r="AT17" s="25" t="str" cm="1">
        <f t="array" ref="AT17">IF(OR(_xll.BDP($AX17,"FD183")="#N/A N/A",_xll.BDP($AX17,"FD183")="#N/A FIELD NOT APPLICABLE")," ", _xll.BDP($AX17,"FD183"))</f>
        <v>USD INC</v>
      </c>
      <c r="AU17" s="25" t="str" cm="1">
        <f t="array" ref="AU17">IF(OR(_xll.BDP($AX17,"DY997")="#N/A N/A",_xll.BDP($AX17,"DY997")="#N/A FIELD NOT APPLICABLE")," ", _xll.BDP($AX17,"DY997"))</f>
        <v xml:space="preserve"> </v>
      </c>
      <c r="AV17" s="25" t="str" cm="1">
        <f t="array" ref="AV17">IF(OR(_xll.BDP($AX17,"DY784")="#N/A N/A",_xll.BDP($AX17,"DY784")="#N/A FIELD NOT APPLICABLE")," ", _xll.BDP($AX17,"DY784"))</f>
        <v xml:space="preserve"> </v>
      </c>
      <c r="AW17" s="22" t="str">
        <f t="shared" si="6"/>
        <v>N</v>
      </c>
      <c r="AX17" s="22" t="str">
        <f t="shared" si="7"/>
        <v>EWZ US Equity</v>
      </c>
      <c r="BC17" s="17" t="str" cm="1">
        <f t="array" ref="BC17">_xll.BDP(AX17,"ID005")</f>
        <v>US4642864007</v>
      </c>
      <c r="BD17" s="17">
        <v>0.79999991979544627</v>
      </c>
      <c r="BE17" s="18">
        <v>5</v>
      </c>
      <c r="BF17" s="37">
        <v>45610</v>
      </c>
      <c r="BG17" s="20">
        <v>1.0000000000107532</v>
      </c>
    </row>
    <row r="18" spans="1:59" s="3" customFormat="1" ht="14.45" customHeight="1" x14ac:dyDescent="0.25">
      <c r="A18" s="49" t="s">
        <v>242</v>
      </c>
      <c r="B18" s="49" t="s">
        <v>327</v>
      </c>
      <c r="C18" s="49">
        <v>4371511</v>
      </c>
      <c r="D18" s="49" t="s">
        <v>248</v>
      </c>
      <c r="E18" s="22" t="str">
        <f>_xll.BDP(AX18,"SECURITY NAME")</f>
        <v>iShares MSCI Brazil ETF</v>
      </c>
      <c r="F18" s="22" t="str">
        <f>_xll.BDP(AX18,"CRNCY")</f>
        <v>USD</v>
      </c>
      <c r="G18" s="23" t="s">
        <v>127</v>
      </c>
      <c r="H18" s="22" t="str" cm="1">
        <f t="array" ref="H18">IF(OR(_xll.BDP($AX18,"FD120")="#N/A N/A",_xll.BDP($AX18,"FD120")="#N/A FIELD NOT APPLICABLE")," ",_xll.BDP($AX18,"FD120"))</f>
        <v>Brazil</v>
      </c>
      <c r="I18" s="22" t="str" cm="1">
        <f t="array" ref="I18">IF(OR(_xll.BDP($AX18,"FD116")="#N/A N/A",_xll.BDP($AX18,"FD116")="#N/A FIELD NOT APPLICABLE")," ",_xll.BDP($AX18,"FD116"))</f>
        <v>Blend</v>
      </c>
      <c r="J18" s="22" t="str" cm="1">
        <f t="array" ref="J18">IF(OR(_xll.BDP($AX18,"FD133")="#N/A N/A",_xll.BDP($AX18,"FD133")="#N/A FIELD NOT APPLICABLE")," ", _xll.BDP($AX18,"FD133"))</f>
        <v xml:space="preserve"> </v>
      </c>
      <c r="K18" s="34">
        <f>_xll.BDP(AX18,"FUND_ASSETS_USD")/1000</f>
        <v>3.7745484216</v>
      </c>
      <c r="L18" s="25">
        <f>IFERROR(_xll.BDP(AX18, "DV013")/100,0)</f>
        <v>8.1247765393484203E-2</v>
      </c>
      <c r="M18" s="25" cm="1">
        <f t="array" ref="M18">IF(OR(_xll.BDP($AX18,"PR079")="#N/A N/A",_xll.BDP($AX18,"PR079")="#N/A FIELD NOT APPLICABLE")," ", _xll.BDP($AX18,"PR079")/100)</f>
        <v>0.1941359</v>
      </c>
      <c r="N18" s="25" cm="1">
        <f t="array" ref="N18">IF(OR(_xll.BDP($AX18,"RT074")="#N/A N/A",_xll.BDP($AX18,"RT074")="#N/A FIELD NOT APPLICABLE")," ", _xll.BDP($AX18,"RT074")/100)</f>
        <v>-6.819689000000001E-2</v>
      </c>
      <c r="O18" s="27">
        <v>3792</v>
      </c>
      <c r="P18" s="28">
        <v>26.54</v>
      </c>
      <c r="Q18" s="22" cm="1">
        <f t="array" ref="Q18">IF(OR(_xll.BDP($AX18,"PX_last")="#N/A N/A",_xll.BDP($AX18,"PX_Last")="#N/A FIELD NOT APPLICABLE")," ",IF(F18="GBP",(_xll.BDP($AX18,"PX_LAST")),(_xll.BDP($AX18,"PX_LAST"))))</f>
        <v>26.88</v>
      </c>
      <c r="R18" s="29">
        <f>IF(F18="USD",AA18,(((_xll.BDP(F18&amp;"USD CURNCY","PX_LAST")))*AA18))</f>
        <v>100639.67999999999</v>
      </c>
      <c r="S18" s="29">
        <f>IF(F18="USD",AB18,(((_xll.BDP(F18&amp;"USD CURNCY","PX_LAST")))*AB18))</f>
        <v>101928.95999999999</v>
      </c>
      <c r="T18" s="12">
        <f t="shared" si="0"/>
        <v>1289.2799999999988</v>
      </c>
      <c r="U18" s="13">
        <f t="shared" si="1"/>
        <v>1.281085154483797E-2</v>
      </c>
      <c r="V18" s="13" cm="1">
        <f t="array" ref="V18">IFERROR(_xll.BDP($G18&amp;" Equity","CHG_PCT_1D")/100,"")</f>
        <v>-5.9171600000000003E-3</v>
      </c>
      <c r="W18" s="13" cm="1">
        <f t="array" ref="W18">IFERROR(_xll.BDP($G18&amp;" Equity","CHG_PCT_5D")/100,"")</f>
        <v>5.2356020000000007E-3</v>
      </c>
      <c r="X18" s="13" t="e">
        <f>S18/#REF!</f>
        <v>#REF!</v>
      </c>
      <c r="Y18" s="29">
        <f t="shared" si="2"/>
        <v>8281.5002288818341</v>
      </c>
      <c r="Z18" s="29">
        <f t="shared" si="3"/>
        <v>101928.95999999999</v>
      </c>
      <c r="AA18" s="29">
        <f t="shared" si="4"/>
        <v>100639.67999999999</v>
      </c>
      <c r="AB18" s="29">
        <f t="shared" si="5"/>
        <v>101928.95999999999</v>
      </c>
      <c r="AC18" s="25" t="str" cm="1">
        <f t="array" ref="AC18">IF(OR(_xll.BDP($AX18,"EX028")="#N/A N/A",_xll.BDP($AX18,"EX028")="#N/A FIELD NOT APPLICABLE")," ", _xll.BDP($AX18,"EX028"))</f>
        <v>Fund</v>
      </c>
      <c r="AD18" s="35" t="str" cm="1">
        <f t="array" ref="AD18">IF(OR(_xll.BDP($AX18,"FD121")="#N/A N/A",_xll.BDP($AX18,"FD121")="#N/A FIELD NOT APPLICABLE")," ", _xll.BDP($AX18,"FD121"))</f>
        <v>Equity</v>
      </c>
      <c r="AE18" s="25" t="str" cm="1">
        <f t="array" ref="AE18">IF(OR(_xll.BDP($AX18,"FD118")="#N/A N/A",_xll.BDP($AX18,"FD118")="#N/A FIELD NOT APPLICABLE")," ", _xll.BDP($AX18,"FD118"))</f>
        <v>ETF</v>
      </c>
      <c r="AF18" s="22" t="str" cm="1">
        <f t="array" ref="AF18">IF(OR(_xll.BDP($AX18,"FD114")="#N/A N/A",_xll.BDP($AX18,"FD114")="#N/A FIELD NOT APPLICABLE")," ", _xll.BDP($AX18,"FD114"))</f>
        <v xml:space="preserve"> </v>
      </c>
      <c r="AG18" s="22" t="str" cm="1">
        <f t="array" ref="AG18">IF(OR(_xll.BDP($AX18,"FD003")="#N/A N/A",_xll.BDP($AX18,"FD003")="#N/A FIELD NOT APPLICABLE")," ", _xll.BDP($AX18,"FD003"))</f>
        <v>14/07/2000</v>
      </c>
      <c r="AH18" s="32" cm="1">
        <f t="array" ref="AH18">IF(OR(_xll.BDP($AX18,"PR061")="#N/A N/A",_xll.BDP($AX18,"PR061")="#N/A FIELD NOT APPLICABLE")," ", _xll.BDP($AX18,"PR061")/100)</f>
        <v>2.8309129999999998E-2</v>
      </c>
      <c r="AI18" s="25" cm="1">
        <f t="array" ref="AI18">IF(OR(_xll.BDP($AX18,"RT075")="#N/A N/A",_xll.BDP($AX18,"RT075")="#N/A FIELD NOT APPLICABLE")," ", _xll.BDP($AX18,"RT075")/100)</f>
        <v>1.962537E-2</v>
      </c>
      <c r="AJ18" s="25" cm="1">
        <f t="array" ref="AJ18">IF(OR(_xll.BDP($AX18,"RT076")="#N/A N/A",_xll.BDP($AX18,"RT076")="#N/A FIELD NOT APPLICABLE")," ", _xll.BDP($AX18,"RT076")/100)</f>
        <v>0.1041513</v>
      </c>
      <c r="AK18" s="25" cm="1">
        <f t="array" ref="AK18">IF(OR(_xll.BDP($AX18,"FD252")="#N/A N/A",_xll.BDP($AX18,"FD252")="#N/A FIELD NOT APPLICABLE")," ", _xll.BDP($AX18,"FD252")/100)</f>
        <v>0</v>
      </c>
      <c r="AL18" s="25" cm="1">
        <f t="array" ref="AL18">IF(OR(_xll.BDP($AX18,"FD015")="#N/A N/A",_xll.BDP($AX18,"FD015")="#N/A FIELD NOT APPLICABLE")," ", _xll.BDP($AX18,"FD015")/100)</f>
        <v>5.8999999999999999E-3</v>
      </c>
      <c r="AM18" s="25" cm="1">
        <f t="array" ref="AM18">IF(OR(_xll.BDP($AX18,"FD138")="#N/A N/A",_xll.BDP($AX18,"FD138")="#N/A FIELD NOT APPLICABLE")," ", _xll.BDP($AX18,"FD138")/100)</f>
        <v>5.8999999999999999E-3</v>
      </c>
      <c r="AN18" s="36" cm="1">
        <f t="array" ref="AN18">IF(OR(_xll.BDP($AX18,"FD009")="#N/A N/A",_xll.BDP($AX18,"FD009")="#N/A FIELD NOT APPLICABLE")," ", _xll.BDP($AX18,"FD009")/100)</f>
        <v>0</v>
      </c>
      <c r="AO18" s="25" cm="1">
        <f t="array" ref="AO18">IF(OR(_xll.BDP($AX18,"RK512")="#N/A N/A",_xll.BDP($AX18,"RK512")="#N/A FIELD NOT APPLICABLE")," ", _xll.BDP($AX18,"RK512")/100)</f>
        <v>-4.392440021038055E-3</v>
      </c>
      <c r="AP18" s="25" cm="1">
        <f t="array" ref="AP18">IF(OR(_xll.BDP($AX18,"RK514")="#N/A N/A",_xll.BDP($AX18,"RK514")="#N/A FIELD NOT APPLICABLE")," ", _xll.BDP($AX18,"RK514")/100)</f>
        <v>-4.6389099955558774E-3</v>
      </c>
      <c r="AQ18" s="25" cm="1">
        <f t="array" ref="AQ18">IF(OR(_xll.BDP($AX18,"RK521")="#N/A N/A",_xll.BDP($AX18,"RK521")="#N/A FIELD NOT APPLICABLE")," ", _xll.BDP($AX18,"RK521")/100)</f>
        <v>-5.2297997474670408E-3</v>
      </c>
      <c r="AR18" s="25" cm="1">
        <f t="array" ref="AR18">IF(OR(_xll.BDP($AX18,"RK525")="#N/A N/A",_xll.BDP($AX18,"RK525")="#N/A FIELD NOT APPLICABLE")," ", _xll.BDP($AX18,"RK525")/100)</f>
        <v>1.0247000455856324E-2</v>
      </c>
      <c r="AS18" s="25" cm="1">
        <f t="array" ref="AS18">IF(OR(_xll.BDP($AX18,"RK524")="#N/A N/A",_xll.BDP($AX18,"RK524")="#N/A FIELD NOT APPLICABLE")," ", _xll.BDP($AX18,"RK524")/100)</f>
        <v>-7.7220001257956029E-5</v>
      </c>
      <c r="AT18" s="25" t="str" cm="1">
        <f t="array" ref="AT18">IF(OR(_xll.BDP($AX18,"FD183")="#N/A N/A",_xll.BDP($AX18,"FD183")="#N/A FIELD NOT APPLICABLE")," ", _xll.BDP($AX18,"FD183"))</f>
        <v>USD INC</v>
      </c>
      <c r="AU18" s="25" t="str" cm="1">
        <f t="array" ref="AU18">IF(OR(_xll.BDP($AX18,"DY997")="#N/A N/A",_xll.BDP($AX18,"DY997")="#N/A FIELD NOT APPLICABLE")," ", _xll.BDP($AX18,"DY997"))</f>
        <v xml:space="preserve"> </v>
      </c>
      <c r="AV18" s="25" t="str" cm="1">
        <f t="array" ref="AV18">IF(OR(_xll.BDP($AX18,"DY784")="#N/A N/A",_xll.BDP($AX18,"DY784")="#N/A FIELD NOT APPLICABLE")," ", _xll.BDP($AX18,"DY784"))</f>
        <v xml:space="preserve"> </v>
      </c>
      <c r="AW18" s="22" t="str">
        <f t="shared" si="6"/>
        <v>N</v>
      </c>
      <c r="AX18" s="22" t="str">
        <f t="shared" si="7"/>
        <v>EWZ US Equity</v>
      </c>
      <c r="BC18" s="17" t="str" cm="1">
        <f t="array" ref="BC18">_xll.BDP(AX18,"ID005")</f>
        <v>US4642864007</v>
      </c>
      <c r="BD18" s="17">
        <v>0.75</v>
      </c>
      <c r="BE18" s="18">
        <v>5</v>
      </c>
      <c r="BF18" s="37">
        <v>45492</v>
      </c>
      <c r="BG18" s="20">
        <v>1.0000000000107532</v>
      </c>
    </row>
    <row r="19" spans="1:59" s="3" customFormat="1" ht="14.45" customHeight="1" x14ac:dyDescent="0.25">
      <c r="A19" s="49" t="s">
        <v>242</v>
      </c>
      <c r="B19" s="49" t="s">
        <v>246</v>
      </c>
      <c r="C19" s="49" t="s">
        <v>247</v>
      </c>
      <c r="D19" s="49" t="s">
        <v>248</v>
      </c>
      <c r="E19" s="22" t="str">
        <f>_xll.BDP(AX19,"SECURITY NAME")</f>
        <v>iShares MSCI Brazil ETF</v>
      </c>
      <c r="F19" s="22" t="str">
        <f>_xll.BDP(AX19,"CRNCY")</f>
        <v>USD</v>
      </c>
      <c r="G19" s="23" t="s">
        <v>127</v>
      </c>
      <c r="H19" s="22" t="str" cm="1">
        <f t="array" ref="H19">IF(OR(_xll.BDP($AX19,"FD120")="#N/A N/A",_xll.BDP($AX19,"FD120")="#N/A FIELD NOT APPLICABLE")," ",_xll.BDP($AX19,"FD120"))</f>
        <v>Brazil</v>
      </c>
      <c r="I19" s="22" t="str" cm="1">
        <f t="array" ref="I19">IF(OR(_xll.BDP($AX19,"FD116")="#N/A N/A",_xll.BDP($AX19,"FD116")="#N/A FIELD NOT APPLICABLE")," ",_xll.BDP($AX19,"FD116"))</f>
        <v>Blend</v>
      </c>
      <c r="J19" s="22" t="str" cm="1">
        <f t="array" ref="J19">IF(OR(_xll.BDP($AX19,"FD133")="#N/A N/A",_xll.BDP($AX19,"FD133")="#N/A FIELD NOT APPLICABLE")," ", _xll.BDP($AX19,"FD133"))</f>
        <v xml:space="preserve"> </v>
      </c>
      <c r="K19" s="34">
        <f>_xll.BDP(AX19,"FUND_ASSETS_USD")/1000</f>
        <v>3.7745484216</v>
      </c>
      <c r="L19" s="25">
        <f>IFERROR(_xll.BDP(AX19, "DV013")/100,0)</f>
        <v>8.1247765393484203E-2</v>
      </c>
      <c r="M19" s="25" cm="1">
        <f t="array" ref="M19">IF(OR(_xll.BDP($AX19,"PR079")="#N/A N/A",_xll.BDP($AX19,"PR079")="#N/A FIELD NOT APPLICABLE")," ", _xll.BDP($AX19,"PR079")/100)</f>
        <v>0.1941359</v>
      </c>
      <c r="N19" s="25" cm="1">
        <f t="array" ref="N19">IF(OR(_xll.BDP($AX19,"RT074")="#N/A N/A",_xll.BDP($AX19,"RT074")="#N/A FIELD NOT APPLICABLE")," ", _xll.BDP($AX19,"RT074")/100)</f>
        <v>-6.819689000000001E-2</v>
      </c>
      <c r="O19" s="27">
        <v>4646</v>
      </c>
      <c r="P19" s="28">
        <v>32.36</v>
      </c>
      <c r="Q19" s="22" cm="1">
        <f t="array" ref="Q19">IF(OR(_xll.BDP($AX19,"PX_last")="#N/A N/A",_xll.BDP($AX19,"PX_Last")="#N/A FIELD NOT APPLICABLE")," ",IF(F19="GBP",(_xll.BDP($AX19,"PX_LAST")),(_xll.BDP($AX19,"PX_LAST"))))</f>
        <v>26.88</v>
      </c>
      <c r="R19" s="29">
        <f>IF(F19="USD",AA19,(((_xll.BDP(F19&amp;"USD CURNCY","PX_LAST")))*AA19))</f>
        <v>150344.56</v>
      </c>
      <c r="S19" s="29">
        <f>IF(F19="USD",AB19,(((_xll.BDP(F19&amp;"USD CURNCY","PX_LAST")))*AB19))</f>
        <v>124884.48</v>
      </c>
      <c r="T19" s="12">
        <f t="shared" si="0"/>
        <v>-25460.080000000002</v>
      </c>
      <c r="U19" s="13">
        <f t="shared" si="1"/>
        <v>-0.16934487021013597</v>
      </c>
      <c r="V19" s="13" cm="1">
        <f t="array" ref="V19">IFERROR(_xll.BDP($G19&amp;" Equity","CHG_PCT_1D")/100,"")</f>
        <v>-5.9171600000000003E-3</v>
      </c>
      <c r="W19" s="13" cm="1">
        <f t="array" ref="W19">IFERROR(_xll.BDP($G19&amp;" Equity","CHG_PCT_5D")/100,"")</f>
        <v>5.2356020000000007E-3</v>
      </c>
      <c r="X19" s="13" t="e">
        <f>S19/$H$62</f>
        <v>#VALUE!</v>
      </c>
      <c r="Y19" s="29">
        <f t="shared" si="2"/>
        <v>10146.584932327271</v>
      </c>
      <c r="Z19" s="29">
        <f t="shared" si="3"/>
        <v>124884.48</v>
      </c>
      <c r="AA19" s="29">
        <f t="shared" si="4"/>
        <v>150344.56</v>
      </c>
      <c r="AB19" s="29">
        <f t="shared" si="5"/>
        <v>124884.48</v>
      </c>
      <c r="AC19" s="25" t="str" cm="1">
        <f t="array" ref="AC19">IF(OR(_xll.BDP($AX19,"EX028")="#N/A N/A",_xll.BDP($AX19,"EX028")="#N/A FIELD NOT APPLICABLE")," ", _xll.BDP($AX19,"EX028"))</f>
        <v>Fund</v>
      </c>
      <c r="AD19" s="35" t="str" cm="1">
        <f t="array" ref="AD19">IF(OR(_xll.BDP($AX19,"FD121")="#N/A N/A",_xll.BDP($AX19,"FD121")="#N/A FIELD NOT APPLICABLE")," ", _xll.BDP($AX19,"FD121"))</f>
        <v>Equity</v>
      </c>
      <c r="AE19" s="25" t="str" cm="1">
        <f t="array" ref="AE19">IF(OR(_xll.BDP($AX19,"FD118")="#N/A N/A",_xll.BDP($AX19,"FD118")="#N/A FIELD NOT APPLICABLE")," ", _xll.BDP($AX19,"FD118"))</f>
        <v>ETF</v>
      </c>
      <c r="AF19" s="22" t="str" cm="1">
        <f t="array" ref="AF19">IF(OR(_xll.BDP($AX19,"FD114")="#N/A N/A",_xll.BDP($AX19,"FD114")="#N/A FIELD NOT APPLICABLE")," ", _xll.BDP($AX19,"FD114"))</f>
        <v xml:space="preserve"> </v>
      </c>
      <c r="AG19" s="22" t="str" cm="1">
        <f t="array" ref="AG19">IF(OR(_xll.BDP($AX19,"FD003")="#N/A N/A",_xll.BDP($AX19,"FD003")="#N/A FIELD NOT APPLICABLE")," ", _xll.BDP($AX19,"FD003"))</f>
        <v>14/07/2000</v>
      </c>
      <c r="AH19" s="32" cm="1">
        <f t="array" ref="AH19">IF(OR(_xll.BDP($AX19,"PR061")="#N/A N/A",_xll.BDP($AX19,"PR061")="#N/A FIELD NOT APPLICABLE")," ", _xll.BDP($AX19,"PR061")/100)</f>
        <v>2.8309129999999998E-2</v>
      </c>
      <c r="AI19" s="25" cm="1">
        <f t="array" ref="AI19">IF(OR(_xll.BDP($AX19,"RT075")="#N/A N/A",_xll.BDP($AX19,"RT075")="#N/A FIELD NOT APPLICABLE")," ", _xll.BDP($AX19,"RT075")/100)</f>
        <v>1.962537E-2</v>
      </c>
      <c r="AJ19" s="25" cm="1">
        <f t="array" ref="AJ19">IF(OR(_xll.BDP($AX19,"RT076")="#N/A N/A",_xll.BDP($AX19,"RT076")="#N/A FIELD NOT APPLICABLE")," ", _xll.BDP($AX19,"RT076")/100)</f>
        <v>0.1041513</v>
      </c>
      <c r="AK19" s="25" cm="1">
        <f t="array" ref="AK19">IF(OR(_xll.BDP($AX19,"FD252")="#N/A N/A",_xll.BDP($AX19,"FD252")="#N/A FIELD NOT APPLICABLE")," ", _xll.BDP($AX19,"FD252")/100)</f>
        <v>0</v>
      </c>
      <c r="AL19" s="25" cm="1">
        <f t="array" ref="AL19">IF(OR(_xll.BDP($AX19,"FD015")="#N/A N/A",_xll.BDP($AX19,"FD015")="#N/A FIELD NOT APPLICABLE")," ", _xll.BDP($AX19,"FD015")/100)</f>
        <v>5.8999999999999999E-3</v>
      </c>
      <c r="AM19" s="25" cm="1">
        <f t="array" ref="AM19">IF(OR(_xll.BDP($AX19,"FD138")="#N/A N/A",_xll.BDP($AX19,"FD138")="#N/A FIELD NOT APPLICABLE")," ", _xll.BDP($AX19,"FD138")/100)</f>
        <v>5.8999999999999999E-3</v>
      </c>
      <c r="AN19" s="36" cm="1">
        <f t="array" ref="AN19">IF(OR(_xll.BDP($AX19,"FD009")="#N/A N/A",_xll.BDP($AX19,"FD009")="#N/A FIELD NOT APPLICABLE")," ", _xll.BDP($AX19,"FD009")/100)</f>
        <v>0</v>
      </c>
      <c r="AO19" s="25" cm="1">
        <f t="array" ref="AO19">IF(OR(_xll.BDP($AX19,"RK512")="#N/A N/A",_xll.BDP($AX19,"RK512")="#N/A FIELD NOT APPLICABLE")," ", _xll.BDP($AX19,"RK512")/100)</f>
        <v>-4.392440021038055E-3</v>
      </c>
      <c r="AP19" s="25" cm="1">
        <f t="array" ref="AP19">IF(OR(_xll.BDP($AX19,"RK514")="#N/A N/A",_xll.BDP($AX19,"RK514")="#N/A FIELD NOT APPLICABLE")," ", _xll.BDP($AX19,"RK514")/100)</f>
        <v>-4.6389099955558774E-3</v>
      </c>
      <c r="AQ19" s="25" cm="1">
        <f t="array" ref="AQ19">IF(OR(_xll.BDP($AX19,"RK521")="#N/A N/A",_xll.BDP($AX19,"RK521")="#N/A FIELD NOT APPLICABLE")," ", _xll.BDP($AX19,"RK521")/100)</f>
        <v>-5.2297997474670408E-3</v>
      </c>
      <c r="AR19" s="25" cm="1">
        <f t="array" ref="AR19">IF(OR(_xll.BDP($AX19,"RK525")="#N/A N/A",_xll.BDP($AX19,"RK525")="#N/A FIELD NOT APPLICABLE")," ", _xll.BDP($AX19,"RK525")/100)</f>
        <v>1.0247000455856324E-2</v>
      </c>
      <c r="AS19" s="25" cm="1">
        <f t="array" ref="AS19">IF(OR(_xll.BDP($AX19,"RK524")="#N/A N/A",_xll.BDP($AX19,"RK524")="#N/A FIELD NOT APPLICABLE")," ", _xll.BDP($AX19,"RK524")/100)</f>
        <v>-7.7220001257956029E-5</v>
      </c>
      <c r="AT19" s="25" t="str" cm="1">
        <f t="array" ref="AT19">IF(OR(_xll.BDP($AX19,"FD183")="#N/A N/A",_xll.BDP($AX19,"FD183")="#N/A FIELD NOT APPLICABLE")," ", _xll.BDP($AX19,"FD183"))</f>
        <v>USD INC</v>
      </c>
      <c r="AU19" s="25" t="str" cm="1">
        <f t="array" ref="AU19">IF(OR(_xll.BDP($AX19,"DY997")="#N/A N/A",_xll.BDP($AX19,"DY997")="#N/A FIELD NOT APPLICABLE")," ", _xll.BDP($AX19,"DY997"))</f>
        <v xml:space="preserve"> </v>
      </c>
      <c r="AV19" s="25" t="str" cm="1">
        <f t="array" ref="AV19">IF(OR(_xll.BDP($AX19,"DY784")="#N/A N/A",_xll.BDP($AX19,"DY784")="#N/A FIELD NOT APPLICABLE")," ", _xll.BDP($AX19,"DY784"))</f>
        <v xml:space="preserve"> </v>
      </c>
      <c r="AW19" s="22" t="str">
        <f t="shared" si="6"/>
        <v>N</v>
      </c>
      <c r="AX19" s="22" t="str">
        <f t="shared" si="7"/>
        <v>EWZ US Equity</v>
      </c>
      <c r="BC19" s="17" t="str" cm="1">
        <f t="array" ref="BC19">_xll.BDP(AX19,"ID005")</f>
        <v>US4642864007</v>
      </c>
      <c r="BD19" s="17">
        <v>0.7</v>
      </c>
      <c r="BE19" s="18">
        <v>5</v>
      </c>
      <c r="BF19" s="37"/>
      <c r="BG19" s="20"/>
    </row>
    <row r="20" spans="1:59" s="3" customFormat="1" ht="14.45" customHeight="1" x14ac:dyDescent="0.25">
      <c r="A20" s="49" t="s">
        <v>241</v>
      </c>
      <c r="B20" s="49" t="s">
        <v>249</v>
      </c>
      <c r="C20" s="49" t="s">
        <v>250</v>
      </c>
      <c r="D20" s="49" t="s">
        <v>240</v>
      </c>
      <c r="E20" s="22" t="str">
        <f>_xll.BDP(AX20,"SECURITY NAME")</f>
        <v>iShares MSCI Brazil ETF</v>
      </c>
      <c r="F20" s="22" t="str">
        <f>_xll.BDP(AX20,"CRNCY")</f>
        <v>USD</v>
      </c>
      <c r="G20" s="23" t="s">
        <v>127</v>
      </c>
      <c r="H20" s="22" t="str" cm="1">
        <f t="array" ref="H20">IF(OR(_xll.BDP($AX20,"FD120")="#N/A N/A",_xll.BDP($AX20,"FD120")="#N/A FIELD NOT APPLICABLE")," ",_xll.BDP($AX20,"FD120"))</f>
        <v>Brazil</v>
      </c>
      <c r="I20" s="22" t="str" cm="1">
        <f t="array" ref="I20">IF(OR(_xll.BDP($AX20,"FD116")="#N/A N/A",_xll.BDP($AX20,"FD116")="#N/A FIELD NOT APPLICABLE")," ",_xll.BDP($AX20,"FD116"))</f>
        <v>Blend</v>
      </c>
      <c r="J20" s="22" t="str" cm="1">
        <f t="array" ref="J20">IF(OR(_xll.BDP($AX20,"FD133")="#N/A N/A",_xll.BDP($AX20,"FD133")="#N/A FIELD NOT APPLICABLE")," ", _xll.BDP($AX20,"FD133"))</f>
        <v xml:space="preserve"> </v>
      </c>
      <c r="K20" s="34">
        <f>_xll.BDP(AX20,"FUND_ASSETS_USD")/1000</f>
        <v>3.7745484216</v>
      </c>
      <c r="L20" s="25">
        <f>IFERROR(_xll.BDP(AX20, "DV013")/100,0)</f>
        <v>8.1247765393484203E-2</v>
      </c>
      <c r="M20" s="25" cm="1">
        <f t="array" ref="M20">IF(OR(_xll.BDP($AX20,"PR079")="#N/A N/A",_xll.BDP($AX20,"PR079")="#N/A FIELD NOT APPLICABLE")," ", _xll.BDP($AX20,"PR079")/100)</f>
        <v>0.1941359</v>
      </c>
      <c r="N20" s="25" cm="1">
        <f t="array" ref="N20">IF(OR(_xll.BDP($AX20,"RT074")="#N/A N/A",_xll.BDP($AX20,"RT074")="#N/A FIELD NOT APPLICABLE")," ", _xll.BDP($AX20,"RT074")/100)</f>
        <v>-6.819689000000001E-2</v>
      </c>
      <c r="O20" s="27">
        <v>2105</v>
      </c>
      <c r="P20" s="28">
        <v>26.39</v>
      </c>
      <c r="Q20" s="22" cm="1">
        <f t="array" ref="Q20">IF(OR(_xll.BDP($AX20,"PX_last")="#N/A N/A",_xll.BDP($AX20,"PX_Last")="#N/A FIELD NOT APPLICABLE")," ",IF(F20="GBP",(_xll.BDP($AX20,"PX_LAST")/100),(_xll.BDP($AX20,"PX_LAST"))))</f>
        <v>26.88</v>
      </c>
      <c r="R20" s="29">
        <f>IF(F20="USD",AA20,(((_xll.BDP(F20&amp;"USD CURNCY","PX_LAST")))*AA20))</f>
        <v>55550.950000000004</v>
      </c>
      <c r="S20" s="29">
        <f>IF(F20="USD",AB20,(((_xll.BDP(F20&amp;"USD CURNCY","PX_LAST")))*AB20))</f>
        <v>56582.400000000001</v>
      </c>
      <c r="T20" s="12">
        <f t="shared" si="0"/>
        <v>1031.4499999999971</v>
      </c>
      <c r="U20" s="13">
        <f t="shared" si="1"/>
        <v>1.8567639257294377E-2</v>
      </c>
      <c r="V20" s="13" cm="1">
        <f t="array" ref="V20">IFERROR(_xll.BDP($G20&amp;" Equity","CHG_PCT_1D")/100,"")</f>
        <v>-5.9171600000000003E-3</v>
      </c>
      <c r="W20" s="13" cm="1">
        <f t="array" ref="W20">IFERROR(_xll.BDP($G20&amp;" Equity","CHG_PCT_5D")/100,"")</f>
        <v>5.2356020000000007E-3</v>
      </c>
      <c r="X20" s="13" t="e">
        <f>S20/$H$62</f>
        <v>#VALUE!</v>
      </c>
      <c r="Y20" s="29">
        <f t="shared" si="2"/>
        <v>4597.1935606002808</v>
      </c>
      <c r="Z20" s="29">
        <f t="shared" si="3"/>
        <v>56582.400000000001</v>
      </c>
      <c r="AA20" s="29">
        <f t="shared" si="4"/>
        <v>55550.950000000004</v>
      </c>
      <c r="AB20" s="29">
        <f t="shared" si="5"/>
        <v>56582.400000000001</v>
      </c>
      <c r="AC20" s="25" t="str" cm="1">
        <f t="array" ref="AC20">IF(OR(_xll.BDP($AX20,"EX028")="#N/A N/A",_xll.BDP($AX20,"EX028")="#N/A FIELD NOT APPLICABLE")," ", _xll.BDP($AX20,"EX028"))</f>
        <v>Fund</v>
      </c>
      <c r="AD20" s="35" t="str" cm="1">
        <f t="array" ref="AD20">IF(OR(_xll.BDP($AX20,"FD121")="#N/A N/A",_xll.BDP($AX20,"FD121")="#N/A FIELD NOT APPLICABLE")," ", _xll.BDP($AX20,"FD121"))</f>
        <v>Equity</v>
      </c>
      <c r="AE20" s="25" t="str" cm="1">
        <f t="array" ref="AE20">IF(OR(_xll.BDP($AX20,"FD118")="#N/A N/A",_xll.BDP($AX20,"FD118")="#N/A FIELD NOT APPLICABLE")," ", _xll.BDP($AX20,"FD118"))</f>
        <v>ETF</v>
      </c>
      <c r="AF20" s="22" t="str" cm="1">
        <f t="array" ref="AF20">IF(OR(_xll.BDP($AX20,"FD114")="#N/A N/A",_xll.BDP($AX20,"FD114")="#N/A FIELD NOT APPLICABLE")," ", _xll.BDP($AX20,"FD114"))</f>
        <v xml:space="preserve"> </v>
      </c>
      <c r="AG20" s="22" t="str" cm="1">
        <f t="array" ref="AG20">IF(OR(_xll.BDP($AX20,"FD003")="#N/A N/A",_xll.BDP($AX20,"FD003")="#N/A FIELD NOT APPLICABLE")," ", _xll.BDP($AX20,"FD003"))</f>
        <v>14/07/2000</v>
      </c>
      <c r="AH20" s="32" cm="1">
        <f t="array" ref="AH20">IF(OR(_xll.BDP($AX20,"PR061")="#N/A N/A",_xll.BDP($AX20,"PR061")="#N/A FIELD NOT APPLICABLE")," ", _xll.BDP($AX20,"PR061")/100)</f>
        <v>2.8309129999999998E-2</v>
      </c>
      <c r="AI20" s="25" cm="1">
        <f t="array" ref="AI20">IF(OR(_xll.BDP($AX20,"RT075")="#N/A N/A",_xll.BDP($AX20,"RT075")="#N/A FIELD NOT APPLICABLE")," ", _xll.BDP($AX20,"RT075")/100)</f>
        <v>1.962537E-2</v>
      </c>
      <c r="AJ20" s="25" cm="1">
        <f t="array" ref="AJ20">IF(OR(_xll.BDP($AX20,"RT076")="#N/A N/A",_xll.BDP($AX20,"RT076")="#N/A FIELD NOT APPLICABLE")," ", _xll.BDP($AX20,"RT076")/100)</f>
        <v>0.1041513</v>
      </c>
      <c r="AK20" s="25" cm="1">
        <f t="array" ref="AK20">IF(OR(_xll.BDP($AX20,"FD252")="#N/A N/A",_xll.BDP($AX20,"FD252")="#N/A FIELD NOT APPLICABLE")," ", _xll.BDP($AX20,"FD252")/100)</f>
        <v>0</v>
      </c>
      <c r="AL20" s="25" cm="1">
        <f t="array" ref="AL20">IF(OR(_xll.BDP($AX20,"FD015")="#N/A N/A",_xll.BDP($AX20,"FD015")="#N/A FIELD NOT APPLICABLE")," ", _xll.BDP($AX20,"FD015")/100)</f>
        <v>5.8999999999999999E-3</v>
      </c>
      <c r="AM20" s="25" cm="1">
        <f t="array" ref="AM20">IF(OR(_xll.BDP($AX20,"FD138")="#N/A N/A",_xll.BDP($AX20,"FD138")="#N/A FIELD NOT APPLICABLE")," ", _xll.BDP($AX20,"FD138")/100)</f>
        <v>5.8999999999999999E-3</v>
      </c>
      <c r="AN20" s="36" cm="1">
        <f t="array" ref="AN20">IF(OR(_xll.BDP($AX20,"FD009")="#N/A N/A",_xll.BDP($AX20,"FD009")="#N/A FIELD NOT APPLICABLE")," ", _xll.BDP($AX20,"FD009")/100)</f>
        <v>0</v>
      </c>
      <c r="AO20" s="25" cm="1">
        <f t="array" ref="AO20">IF(OR(_xll.BDP($AX20,"RK512")="#N/A N/A",_xll.BDP($AX20,"RK512")="#N/A FIELD NOT APPLICABLE")," ", _xll.BDP($AX20,"RK512")/100)</f>
        <v>-4.392440021038055E-3</v>
      </c>
      <c r="AP20" s="25" cm="1">
        <f t="array" ref="AP20">IF(OR(_xll.BDP($AX20,"RK514")="#N/A N/A",_xll.BDP($AX20,"RK514")="#N/A FIELD NOT APPLICABLE")," ", _xll.BDP($AX20,"RK514")/100)</f>
        <v>-4.6389099955558774E-3</v>
      </c>
      <c r="AQ20" s="25" cm="1">
        <f t="array" ref="AQ20">IF(OR(_xll.BDP($AX20,"RK521")="#N/A N/A",_xll.BDP($AX20,"RK521")="#N/A FIELD NOT APPLICABLE")," ", _xll.BDP($AX20,"RK521")/100)</f>
        <v>-5.2297997474670408E-3</v>
      </c>
      <c r="AR20" s="25" cm="1">
        <f t="array" ref="AR20">IF(OR(_xll.BDP($AX20,"RK525")="#N/A N/A",_xll.BDP($AX20,"RK525")="#N/A FIELD NOT APPLICABLE")," ", _xll.BDP($AX20,"RK525")/100)</f>
        <v>1.0247000455856324E-2</v>
      </c>
      <c r="AS20" s="25" cm="1">
        <f t="array" ref="AS20">IF(OR(_xll.BDP($AX20,"RK524")="#N/A N/A",_xll.BDP($AX20,"RK524")="#N/A FIELD NOT APPLICABLE")," ", _xll.BDP($AX20,"RK524")/100)</f>
        <v>-7.7220001257956029E-5</v>
      </c>
      <c r="AT20" s="25" t="str" cm="1">
        <f t="array" ref="AT20">IF(OR(_xll.BDP($AX20,"FD183")="#N/A N/A",_xll.BDP($AX20,"FD183")="#N/A FIELD NOT APPLICABLE")," ", _xll.BDP($AX20,"FD183"))</f>
        <v>USD INC</v>
      </c>
      <c r="AU20" s="25" t="str" cm="1">
        <f t="array" ref="AU20">IF(OR(_xll.BDP($AX20,"DY997")="#N/A N/A",_xll.BDP($AX20,"DY997")="#N/A FIELD NOT APPLICABLE")," ", _xll.BDP($AX20,"DY997"))</f>
        <v xml:space="preserve"> </v>
      </c>
      <c r="AV20" s="25" t="str" cm="1">
        <f t="array" ref="AV20">IF(OR(_xll.BDP($AX20,"DY784")="#N/A N/A",_xll.BDP($AX20,"DY784")="#N/A FIELD NOT APPLICABLE")," ", _xll.BDP($AX20,"DY784"))</f>
        <v xml:space="preserve"> </v>
      </c>
      <c r="AW20" s="22" t="str">
        <f t="shared" si="6"/>
        <v>N</v>
      </c>
      <c r="AX20" s="22" t="str">
        <f t="shared" si="7"/>
        <v>EWZ US Equity</v>
      </c>
      <c r="BC20" s="17" t="str" cm="1">
        <f t="array" ref="BC20">_xll.BDP(AX20,"ID005")</f>
        <v>US4642864007</v>
      </c>
      <c r="BD20" s="17">
        <v>0.56999999999999995</v>
      </c>
      <c r="BE20" s="18">
        <v>5</v>
      </c>
      <c r="BF20" s="37">
        <v>44301</v>
      </c>
      <c r="BG20" s="20">
        <v>1.0000000000107532</v>
      </c>
    </row>
    <row r="21" spans="1:59" s="3" customFormat="1" ht="14.45" customHeight="1" x14ac:dyDescent="0.25">
      <c r="A21" s="49" t="s">
        <v>241</v>
      </c>
      <c r="B21" s="49" t="s">
        <v>251</v>
      </c>
      <c r="C21" s="49" t="s">
        <v>252</v>
      </c>
      <c r="D21" s="49" t="s">
        <v>240</v>
      </c>
      <c r="E21" s="22" t="str">
        <f>_xll.BDP(AX21,"SECURITY NAME")</f>
        <v>iShares MSCI Brazil ETF</v>
      </c>
      <c r="F21" s="22" t="str">
        <f>_xll.BDP(AX21,"CRNCY")</f>
        <v>USD</v>
      </c>
      <c r="G21" s="23" t="s">
        <v>127</v>
      </c>
      <c r="H21" s="22" t="str" cm="1">
        <f t="array" ref="H21">IF(OR(_xll.BDP($AX21,"FD120")="#N/A N/A",_xll.BDP($AX21,"FD120")="#N/A FIELD NOT APPLICABLE")," ",_xll.BDP($AX21,"FD120"))</f>
        <v>Brazil</v>
      </c>
      <c r="I21" s="22" t="str" cm="1">
        <f t="array" ref="I21">IF(OR(_xll.BDP($AX21,"FD116")="#N/A N/A",_xll.BDP($AX21,"FD116")="#N/A FIELD NOT APPLICABLE")," ",_xll.BDP($AX21,"FD116"))</f>
        <v>Blend</v>
      </c>
      <c r="J21" s="22" t="str" cm="1">
        <f t="array" ref="J21">IF(OR(_xll.BDP($AX21,"FD133")="#N/A N/A",_xll.BDP($AX21,"FD133")="#N/A FIELD NOT APPLICABLE")," ", _xll.BDP($AX21,"FD133"))</f>
        <v xml:space="preserve"> </v>
      </c>
      <c r="K21" s="34">
        <f>_xll.BDP(AX21,"FUND_ASSETS_USD")/1000</f>
        <v>3.7745484216</v>
      </c>
      <c r="L21" s="25">
        <f>IFERROR(_xll.BDP(AX21, "DV013")/100,0)</f>
        <v>8.1247765393484203E-2</v>
      </c>
      <c r="M21" s="25" cm="1">
        <f t="array" ref="M21">IF(OR(_xll.BDP($AX21,"PR079")="#N/A N/A",_xll.BDP($AX21,"PR079")="#N/A FIELD NOT APPLICABLE")," ", _xll.BDP($AX21,"PR079")/100)</f>
        <v>0.1941359</v>
      </c>
      <c r="N21" s="25" cm="1">
        <f t="array" ref="N21">IF(OR(_xll.BDP($AX21,"RT074")="#N/A N/A",_xll.BDP($AX21,"RT074")="#N/A FIELD NOT APPLICABLE")," ", _xll.BDP($AX21,"RT074")/100)</f>
        <v>-6.819689000000001E-2</v>
      </c>
      <c r="O21" s="27">
        <v>2459</v>
      </c>
      <c r="P21" s="28">
        <v>26.39</v>
      </c>
      <c r="Q21" s="22" cm="1">
        <f t="array" ref="Q21">IF(OR(_xll.BDP($AX21,"PX_last")="#N/A N/A",_xll.BDP($AX21,"PX_Last")="#N/A FIELD NOT APPLICABLE")," ",IF(F21="GBP",(_xll.BDP($AX21,"PX_LAST")/100),(_xll.BDP($AX21,"PX_LAST"))))</f>
        <v>26.88</v>
      </c>
      <c r="R21" s="29">
        <f>IF(F21="USD",AA21,(((_xll.BDP(F21&amp;"USD CURNCY","PX_LAST")))*AA21))</f>
        <v>64893.01</v>
      </c>
      <c r="S21" s="29">
        <f>IF(F21="USD",AB21,(((_xll.BDP(F21&amp;"USD CURNCY","PX_LAST")))*AB21))</f>
        <v>66097.919999999998</v>
      </c>
      <c r="T21" s="12">
        <f t="shared" si="0"/>
        <v>1204.9099999999962</v>
      </c>
      <c r="U21" s="13">
        <f t="shared" si="1"/>
        <v>1.856763925729437E-2</v>
      </c>
      <c r="V21" s="13" cm="1">
        <f t="array" ref="V21">IFERROR(_xll.BDP($G21&amp;" Equity","CHG_PCT_1D")/100,"")</f>
        <v>-5.9171600000000003E-3</v>
      </c>
      <c r="W21" s="13" cm="1">
        <f t="array" ref="W21">IFERROR(_xll.BDP($G21&amp;" Equity","CHG_PCT_5D")/100,"")</f>
        <v>5.2356020000000007E-3</v>
      </c>
      <c r="X21" s="13" t="e">
        <f>S21/$H$62</f>
        <v>#VALUE!</v>
      </c>
      <c r="Y21" s="29">
        <f t="shared" si="2"/>
        <v>5370.3082971572876</v>
      </c>
      <c r="Z21" s="29">
        <f t="shared" si="3"/>
        <v>66097.919999999998</v>
      </c>
      <c r="AA21" s="29">
        <f t="shared" si="4"/>
        <v>64893.01</v>
      </c>
      <c r="AB21" s="29">
        <f t="shared" si="5"/>
        <v>66097.919999999998</v>
      </c>
      <c r="AC21" s="25" t="str" cm="1">
        <f t="array" ref="AC21">IF(OR(_xll.BDP($AX21,"EX028")="#N/A N/A",_xll.BDP($AX21,"EX028")="#N/A FIELD NOT APPLICABLE")," ", _xll.BDP($AX21,"EX028"))</f>
        <v>Fund</v>
      </c>
      <c r="AD21" s="35" t="str" cm="1">
        <f t="array" ref="AD21">IF(OR(_xll.BDP($AX21,"FD121")="#N/A N/A",_xll.BDP($AX21,"FD121")="#N/A FIELD NOT APPLICABLE")," ", _xll.BDP($AX21,"FD121"))</f>
        <v>Equity</v>
      </c>
      <c r="AE21" s="25" t="str" cm="1">
        <f t="array" ref="AE21">IF(OR(_xll.BDP($AX21,"FD118")="#N/A N/A",_xll.BDP($AX21,"FD118")="#N/A FIELD NOT APPLICABLE")," ", _xll.BDP($AX21,"FD118"))</f>
        <v>ETF</v>
      </c>
      <c r="AF21" s="22" t="str" cm="1">
        <f t="array" ref="AF21">IF(OR(_xll.BDP($AX21,"FD114")="#N/A N/A",_xll.BDP($AX21,"FD114")="#N/A FIELD NOT APPLICABLE")," ", _xll.BDP($AX21,"FD114"))</f>
        <v xml:space="preserve"> </v>
      </c>
      <c r="AG21" s="22" t="str" cm="1">
        <f t="array" ref="AG21">IF(OR(_xll.BDP($AX21,"FD003")="#N/A N/A",_xll.BDP($AX21,"FD003")="#N/A FIELD NOT APPLICABLE")," ", _xll.BDP($AX21,"FD003"))</f>
        <v>14/07/2000</v>
      </c>
      <c r="AH21" s="32" cm="1">
        <f t="array" ref="AH21">IF(OR(_xll.BDP($AX21,"PR061")="#N/A N/A",_xll.BDP($AX21,"PR061")="#N/A FIELD NOT APPLICABLE")," ", _xll.BDP($AX21,"PR061")/100)</f>
        <v>2.8309129999999998E-2</v>
      </c>
      <c r="AI21" s="25" cm="1">
        <f t="array" ref="AI21">IF(OR(_xll.BDP($AX21,"RT075")="#N/A N/A",_xll.BDP($AX21,"RT075")="#N/A FIELD NOT APPLICABLE")," ", _xll.BDP($AX21,"RT075")/100)</f>
        <v>1.962537E-2</v>
      </c>
      <c r="AJ21" s="25" cm="1">
        <f t="array" ref="AJ21">IF(OR(_xll.BDP($AX21,"RT076")="#N/A N/A",_xll.BDP($AX21,"RT076")="#N/A FIELD NOT APPLICABLE")," ", _xll.BDP($AX21,"RT076")/100)</f>
        <v>0.1041513</v>
      </c>
      <c r="AK21" s="25" cm="1">
        <f t="array" ref="AK21">IF(OR(_xll.BDP($AX21,"FD252")="#N/A N/A",_xll.BDP($AX21,"FD252")="#N/A FIELD NOT APPLICABLE")," ", _xll.BDP($AX21,"FD252")/100)</f>
        <v>0</v>
      </c>
      <c r="AL21" s="25" cm="1">
        <f t="array" ref="AL21">IF(OR(_xll.BDP($AX21,"FD015")="#N/A N/A",_xll.BDP($AX21,"FD015")="#N/A FIELD NOT APPLICABLE")," ", _xll.BDP($AX21,"FD015")/100)</f>
        <v>5.8999999999999999E-3</v>
      </c>
      <c r="AM21" s="25" cm="1">
        <f t="array" ref="AM21">IF(OR(_xll.BDP($AX21,"FD138")="#N/A N/A",_xll.BDP($AX21,"FD138")="#N/A FIELD NOT APPLICABLE")," ", _xll.BDP($AX21,"FD138")/100)</f>
        <v>5.8999999999999999E-3</v>
      </c>
      <c r="AN21" s="36" cm="1">
        <f t="array" ref="AN21">IF(OR(_xll.BDP($AX21,"FD009")="#N/A N/A",_xll.BDP($AX21,"FD009")="#N/A FIELD NOT APPLICABLE")," ", _xll.BDP($AX21,"FD009")/100)</f>
        <v>0</v>
      </c>
      <c r="AO21" s="25" cm="1">
        <f t="array" ref="AO21">IF(OR(_xll.BDP($AX21,"RK512")="#N/A N/A",_xll.BDP($AX21,"RK512")="#N/A FIELD NOT APPLICABLE")," ", _xll.BDP($AX21,"RK512")/100)</f>
        <v>-4.392440021038055E-3</v>
      </c>
      <c r="AP21" s="25" cm="1">
        <f t="array" ref="AP21">IF(OR(_xll.BDP($AX21,"RK514")="#N/A N/A",_xll.BDP($AX21,"RK514")="#N/A FIELD NOT APPLICABLE")," ", _xll.BDP($AX21,"RK514")/100)</f>
        <v>-4.6389099955558774E-3</v>
      </c>
      <c r="AQ21" s="25" cm="1">
        <f t="array" ref="AQ21">IF(OR(_xll.BDP($AX21,"RK521")="#N/A N/A",_xll.BDP($AX21,"RK521")="#N/A FIELD NOT APPLICABLE")," ", _xll.BDP($AX21,"RK521")/100)</f>
        <v>-5.2297997474670408E-3</v>
      </c>
      <c r="AR21" s="25" cm="1">
        <f t="array" ref="AR21">IF(OR(_xll.BDP($AX21,"RK525")="#N/A N/A",_xll.BDP($AX21,"RK525")="#N/A FIELD NOT APPLICABLE")," ", _xll.BDP($AX21,"RK525")/100)</f>
        <v>1.0247000455856324E-2</v>
      </c>
      <c r="AS21" s="25" cm="1">
        <f t="array" ref="AS21">IF(OR(_xll.BDP($AX21,"RK524")="#N/A N/A",_xll.BDP($AX21,"RK524")="#N/A FIELD NOT APPLICABLE")," ", _xll.BDP($AX21,"RK524")/100)</f>
        <v>-7.7220001257956029E-5</v>
      </c>
      <c r="AT21" s="25" t="str" cm="1">
        <f t="array" ref="AT21">IF(OR(_xll.BDP($AX21,"FD183")="#N/A N/A",_xll.BDP($AX21,"FD183")="#N/A FIELD NOT APPLICABLE")," ", _xll.BDP($AX21,"FD183"))</f>
        <v>USD INC</v>
      </c>
      <c r="AU21" s="25" t="str" cm="1">
        <f t="array" ref="AU21">IF(OR(_xll.BDP($AX21,"DY997")="#N/A N/A",_xll.BDP($AX21,"DY997")="#N/A FIELD NOT APPLICABLE")," ", _xll.BDP($AX21,"DY997"))</f>
        <v xml:space="preserve"> </v>
      </c>
      <c r="AV21" s="25" t="str" cm="1">
        <f t="array" ref="AV21">IF(OR(_xll.BDP($AX21,"DY784")="#N/A N/A",_xll.BDP($AX21,"DY784")="#N/A FIELD NOT APPLICABLE")," ", _xll.BDP($AX21,"DY784"))</f>
        <v xml:space="preserve"> </v>
      </c>
      <c r="AW21" s="22" t="str">
        <f t="shared" si="6"/>
        <v>N</v>
      </c>
      <c r="AX21" s="22" t="str">
        <f t="shared" si="7"/>
        <v>EWZ US Equity</v>
      </c>
      <c r="BC21" s="17" t="str" cm="1">
        <f t="array" ref="BC21">_xll.BDP(AX21,"ID005")</f>
        <v>US4642864007</v>
      </c>
      <c r="BD21" s="17">
        <v>0.56999999999999995</v>
      </c>
      <c r="BE21" s="18">
        <v>5</v>
      </c>
      <c r="BF21" s="37">
        <v>44301</v>
      </c>
      <c r="BG21" s="20">
        <v>1.0000000000107532</v>
      </c>
    </row>
    <row r="22" spans="1:59" s="3" customFormat="1" ht="14.45" customHeight="1" x14ac:dyDescent="0.25">
      <c r="A22" s="49" t="s">
        <v>241</v>
      </c>
      <c r="B22" s="49" t="s">
        <v>253</v>
      </c>
      <c r="C22" s="49" t="s">
        <v>254</v>
      </c>
      <c r="D22" s="49" t="s">
        <v>240</v>
      </c>
      <c r="E22" s="22" t="str">
        <f>_xll.BDP(AX22,"SECURITY NAME")</f>
        <v>iShares MSCI Brazil ETF</v>
      </c>
      <c r="F22" s="22" t="str">
        <f>_xll.BDP(AX22,"CRNCY")</f>
        <v>USD</v>
      </c>
      <c r="G22" s="23" t="s">
        <v>127</v>
      </c>
      <c r="H22" s="22" t="str" cm="1">
        <f t="array" ref="H22">IF(OR(_xll.BDP($AX22,"FD120")="#N/A N/A",_xll.BDP($AX22,"FD120")="#N/A FIELD NOT APPLICABLE")," ",_xll.BDP($AX22,"FD120"))</f>
        <v>Brazil</v>
      </c>
      <c r="I22" s="22" t="str" cm="1">
        <f t="array" ref="I22">IF(OR(_xll.BDP($AX22,"FD116")="#N/A N/A",_xll.BDP($AX22,"FD116")="#N/A FIELD NOT APPLICABLE")," ",_xll.BDP($AX22,"FD116"))</f>
        <v>Blend</v>
      </c>
      <c r="J22" s="22" t="str" cm="1">
        <f t="array" ref="J22">IF(OR(_xll.BDP($AX22,"FD133")="#N/A N/A",_xll.BDP($AX22,"FD133")="#N/A FIELD NOT APPLICABLE")," ", _xll.BDP($AX22,"FD133"))</f>
        <v xml:space="preserve"> </v>
      </c>
      <c r="K22" s="34">
        <f>_xll.BDP(AX22,"FUND_ASSETS_USD")/1000</f>
        <v>3.7745484216</v>
      </c>
      <c r="L22" s="25">
        <f>IFERROR(_xll.BDP(AX22, "DV013")/100,0)</f>
        <v>8.1247765393484203E-2</v>
      </c>
      <c r="M22" s="25" cm="1">
        <f t="array" ref="M22">IF(OR(_xll.BDP($AX22,"PR079")="#N/A N/A",_xll.BDP($AX22,"PR079")="#N/A FIELD NOT APPLICABLE")," ", _xll.BDP($AX22,"PR079")/100)</f>
        <v>0.1941359</v>
      </c>
      <c r="N22" s="25" cm="1">
        <f t="array" ref="N22">IF(OR(_xll.BDP($AX22,"RT074")="#N/A N/A",_xll.BDP($AX22,"RT074")="#N/A FIELD NOT APPLICABLE")," ", _xll.BDP($AX22,"RT074")/100)</f>
        <v>-6.819689000000001E-2</v>
      </c>
      <c r="O22" s="27">
        <v>686</v>
      </c>
      <c r="P22" s="28">
        <v>26.39</v>
      </c>
      <c r="Q22" s="22" cm="1">
        <f t="array" ref="Q22">IF(OR(_xll.BDP($AX22,"PX_last")="#N/A N/A",_xll.BDP($AX22,"PX_Last")="#N/A FIELD NOT APPLICABLE")," ",IF(F22="GBP",(_xll.BDP($AX22,"PX_LAST")),(_xll.BDP($AX22,"PX_LAST"))))</f>
        <v>26.88</v>
      </c>
      <c r="R22" s="29">
        <f>IF(F22="USD",AA22,(((_xll.BDP(F22&amp;"USD CURNCY","PX_LAST")))*AA22))</f>
        <v>18103.54</v>
      </c>
      <c r="S22" s="29">
        <f>IF(F22="USD",AB22,(((_xll.BDP(F22&amp;"USD CURNCY","PX_LAST")))*AB22))</f>
        <v>18439.68</v>
      </c>
      <c r="T22" s="12">
        <f t="shared" si="0"/>
        <v>336.13999999999942</v>
      </c>
      <c r="U22" s="13">
        <f t="shared" si="1"/>
        <v>1.8567639257294398E-2</v>
      </c>
      <c r="V22" s="13" cm="1">
        <f t="array" ref="V22">IFERROR(_xll.BDP($G22&amp;" Equity","CHG_PCT_1D")/100,"")</f>
        <v>-5.9171600000000003E-3</v>
      </c>
      <c r="W22" s="13" cm="1">
        <f t="array" ref="W22">IFERROR(_xll.BDP($G22&amp;" Equity","CHG_PCT_5D")/100,"")</f>
        <v>5.2356020000000007E-3</v>
      </c>
      <c r="X22" s="13" t="e">
        <f>S22/#REF!</f>
        <v>#REF!</v>
      </c>
      <c r="Y22" s="29">
        <f t="shared" si="2"/>
        <v>1498.1827945709229</v>
      </c>
      <c r="Z22" s="29">
        <f t="shared" si="3"/>
        <v>18439.68</v>
      </c>
      <c r="AA22" s="29">
        <f t="shared" si="4"/>
        <v>18103.54</v>
      </c>
      <c r="AB22" s="29">
        <f t="shared" si="5"/>
        <v>18439.68</v>
      </c>
      <c r="AC22" s="25" t="str" cm="1">
        <f t="array" ref="AC22">IF(OR(_xll.BDP($AX22,"EX028")="#N/A N/A",_xll.BDP($AX22,"EX028")="#N/A FIELD NOT APPLICABLE")," ", _xll.BDP($AX22,"EX028"))</f>
        <v>Fund</v>
      </c>
      <c r="AD22" s="35" t="str" cm="1">
        <f t="array" ref="AD22">IF(OR(_xll.BDP($AX22,"FD121")="#N/A N/A",_xll.BDP($AX22,"FD121")="#N/A FIELD NOT APPLICABLE")," ", _xll.BDP($AX22,"FD121"))</f>
        <v>Equity</v>
      </c>
      <c r="AE22" s="25" t="str" cm="1">
        <f t="array" ref="AE22">IF(OR(_xll.BDP($AX22,"FD118")="#N/A N/A",_xll.BDP($AX22,"FD118")="#N/A FIELD NOT APPLICABLE")," ", _xll.BDP($AX22,"FD118"))</f>
        <v>ETF</v>
      </c>
      <c r="AF22" s="22" t="str" cm="1">
        <f t="array" ref="AF22">IF(OR(_xll.BDP($AX22,"FD114")="#N/A N/A",_xll.BDP($AX22,"FD114")="#N/A FIELD NOT APPLICABLE")," ", _xll.BDP($AX22,"FD114"))</f>
        <v xml:space="preserve"> </v>
      </c>
      <c r="AG22" s="22" t="str" cm="1">
        <f t="array" ref="AG22">IF(OR(_xll.BDP($AX22,"FD003")="#N/A N/A",_xll.BDP($AX22,"FD003")="#N/A FIELD NOT APPLICABLE")," ", _xll.BDP($AX22,"FD003"))</f>
        <v>14/07/2000</v>
      </c>
      <c r="AH22" s="32" cm="1">
        <f t="array" ref="AH22">IF(OR(_xll.BDP($AX22,"PR061")="#N/A N/A",_xll.BDP($AX22,"PR061")="#N/A FIELD NOT APPLICABLE")," ", _xll.BDP($AX22,"PR061")/100)</f>
        <v>2.8309129999999998E-2</v>
      </c>
      <c r="AI22" s="25" cm="1">
        <f t="array" ref="AI22">IF(OR(_xll.BDP($AX22,"RT075")="#N/A N/A",_xll.BDP($AX22,"RT075")="#N/A FIELD NOT APPLICABLE")," ", _xll.BDP($AX22,"RT075")/100)</f>
        <v>1.962537E-2</v>
      </c>
      <c r="AJ22" s="25" cm="1">
        <f t="array" ref="AJ22">IF(OR(_xll.BDP($AX22,"RT076")="#N/A N/A",_xll.BDP($AX22,"RT076")="#N/A FIELD NOT APPLICABLE")," ", _xll.BDP($AX22,"RT076")/100)</f>
        <v>0.1041513</v>
      </c>
      <c r="AK22" s="25" cm="1">
        <f t="array" ref="AK22">IF(OR(_xll.BDP($AX22,"FD252")="#N/A N/A",_xll.BDP($AX22,"FD252")="#N/A FIELD NOT APPLICABLE")," ", _xll.BDP($AX22,"FD252")/100)</f>
        <v>0</v>
      </c>
      <c r="AL22" s="25" cm="1">
        <f t="array" ref="AL22">IF(OR(_xll.BDP($AX22,"FD015")="#N/A N/A",_xll.BDP($AX22,"FD015")="#N/A FIELD NOT APPLICABLE")," ", _xll.BDP($AX22,"FD015")/100)</f>
        <v>5.8999999999999999E-3</v>
      </c>
      <c r="AM22" s="25" cm="1">
        <f t="array" ref="AM22">IF(OR(_xll.BDP($AX22,"FD138")="#N/A N/A",_xll.BDP($AX22,"FD138")="#N/A FIELD NOT APPLICABLE")," ", _xll.BDP($AX22,"FD138")/100)</f>
        <v>5.8999999999999999E-3</v>
      </c>
      <c r="AN22" s="36" cm="1">
        <f t="array" ref="AN22">IF(OR(_xll.BDP($AX22,"FD009")="#N/A N/A",_xll.BDP($AX22,"FD009")="#N/A FIELD NOT APPLICABLE")," ", _xll.BDP($AX22,"FD009")/100)</f>
        <v>0</v>
      </c>
      <c r="AO22" s="25" cm="1">
        <f t="array" ref="AO22">IF(OR(_xll.BDP($AX22,"RK512")="#N/A N/A",_xll.BDP($AX22,"RK512")="#N/A FIELD NOT APPLICABLE")," ", _xll.BDP($AX22,"RK512")/100)</f>
        <v>-4.392440021038055E-3</v>
      </c>
      <c r="AP22" s="25" cm="1">
        <f t="array" ref="AP22">IF(OR(_xll.BDP($AX22,"RK514")="#N/A N/A",_xll.BDP($AX22,"RK514")="#N/A FIELD NOT APPLICABLE")," ", _xll.BDP($AX22,"RK514")/100)</f>
        <v>-4.6389099955558774E-3</v>
      </c>
      <c r="AQ22" s="25" cm="1">
        <f t="array" ref="AQ22">IF(OR(_xll.BDP($AX22,"RK521")="#N/A N/A",_xll.BDP($AX22,"RK521")="#N/A FIELD NOT APPLICABLE")," ", _xll.BDP($AX22,"RK521")/100)</f>
        <v>-5.2297997474670408E-3</v>
      </c>
      <c r="AR22" s="25" cm="1">
        <f t="array" ref="AR22">IF(OR(_xll.BDP($AX22,"RK525")="#N/A N/A",_xll.BDP($AX22,"RK525")="#N/A FIELD NOT APPLICABLE")," ", _xll.BDP($AX22,"RK525")/100)</f>
        <v>1.0247000455856324E-2</v>
      </c>
      <c r="AS22" s="25" cm="1">
        <f t="array" ref="AS22">IF(OR(_xll.BDP($AX22,"RK524")="#N/A N/A",_xll.BDP($AX22,"RK524")="#N/A FIELD NOT APPLICABLE")," ", _xll.BDP($AX22,"RK524")/100)</f>
        <v>-7.7220001257956029E-5</v>
      </c>
      <c r="AT22" s="25" t="str" cm="1">
        <f t="array" ref="AT22">IF(OR(_xll.BDP($AX22,"FD183")="#N/A N/A",_xll.BDP($AX22,"FD183")="#N/A FIELD NOT APPLICABLE")," ", _xll.BDP($AX22,"FD183"))</f>
        <v>USD INC</v>
      </c>
      <c r="AU22" s="25" t="str" cm="1">
        <f t="array" ref="AU22">IF(OR(_xll.BDP($AX22,"DY997")="#N/A N/A",_xll.BDP($AX22,"DY997")="#N/A FIELD NOT APPLICABLE")," ", _xll.BDP($AX22,"DY997"))</f>
        <v xml:space="preserve"> </v>
      </c>
      <c r="AV22" s="25" t="str" cm="1">
        <f t="array" ref="AV22">IF(OR(_xll.BDP($AX22,"DY784")="#N/A N/A",_xll.BDP($AX22,"DY784")="#N/A FIELD NOT APPLICABLE")," ", _xll.BDP($AX22,"DY784"))</f>
        <v xml:space="preserve"> </v>
      </c>
      <c r="AW22" s="22" t="str">
        <f t="shared" si="6"/>
        <v>N</v>
      </c>
      <c r="AX22" s="22" t="str">
        <f t="shared" si="7"/>
        <v>EWZ US Equity</v>
      </c>
      <c r="BC22" s="17" t="str" cm="1">
        <f t="array" ref="BC22">_xll.BDP(AX22,"ID005")</f>
        <v>US4642864007</v>
      </c>
      <c r="BD22" s="17">
        <v>0.75</v>
      </c>
      <c r="BE22" s="18">
        <v>5</v>
      </c>
      <c r="BF22" s="37">
        <v>45492</v>
      </c>
      <c r="BG22" s="20">
        <v>1.0000000000107532</v>
      </c>
    </row>
    <row r="23" spans="1:59" s="3" customFormat="1" ht="14.45" customHeight="1" x14ac:dyDescent="0.25">
      <c r="A23" s="49" t="s">
        <v>242</v>
      </c>
      <c r="B23" s="49" t="s">
        <v>255</v>
      </c>
      <c r="C23" s="49" t="s">
        <v>256</v>
      </c>
      <c r="D23" s="49" t="s">
        <v>248</v>
      </c>
      <c r="E23" s="22" t="str">
        <f>_xll.BDP(AX23,"SECURITY NAME")</f>
        <v>iShares MSCI Brazil ETF</v>
      </c>
      <c r="F23" s="22" t="str">
        <f>_xll.BDP(AX23,"CRNCY")</f>
        <v>USD</v>
      </c>
      <c r="G23" s="23" t="s">
        <v>127</v>
      </c>
      <c r="H23" s="22" t="str" cm="1">
        <f t="array" ref="H23">IF(OR(_xll.BDP($AX23,"FD120")="#N/A N/A",_xll.BDP($AX23,"FD120")="#N/A FIELD NOT APPLICABLE")," ",_xll.BDP($AX23,"FD120"))</f>
        <v>Brazil</v>
      </c>
      <c r="I23" s="22" t="str" cm="1">
        <f t="array" ref="I23">IF(OR(_xll.BDP($AX23,"FD116")="#N/A N/A",_xll.BDP($AX23,"FD116")="#N/A FIELD NOT APPLICABLE")," ",_xll.BDP($AX23,"FD116"))</f>
        <v>Blend</v>
      </c>
      <c r="J23" s="22" t="str" cm="1">
        <f t="array" ref="J23">IF(OR(_xll.BDP($AX23,"FD133")="#N/A N/A",_xll.BDP($AX23,"FD133")="#N/A FIELD NOT APPLICABLE")," ", _xll.BDP($AX23,"FD133"))</f>
        <v xml:space="preserve"> </v>
      </c>
      <c r="K23" s="34">
        <f>_xll.BDP(AX23,"FUND_ASSETS_USD")/1000</f>
        <v>3.7745484216</v>
      </c>
      <c r="L23" s="25">
        <f>IFERROR(_xll.BDP(AX23, "DV013")/100,0)</f>
        <v>8.1247765393484203E-2</v>
      </c>
      <c r="M23" s="25" cm="1">
        <f t="array" ref="M23">IF(OR(_xll.BDP($AX23,"PR079")="#N/A N/A",_xll.BDP($AX23,"PR079")="#N/A FIELD NOT APPLICABLE")," ", _xll.BDP($AX23,"PR079")/100)</f>
        <v>0.1941359</v>
      </c>
      <c r="N23" s="25" cm="1">
        <f t="array" ref="N23">IF(OR(_xll.BDP($AX23,"RT074")="#N/A N/A",_xll.BDP($AX23,"RT074")="#N/A FIELD NOT APPLICABLE")," ", _xll.BDP($AX23,"RT074")/100)</f>
        <v>-6.819689000000001E-2</v>
      </c>
      <c r="O23" s="27">
        <v>2955</v>
      </c>
      <c r="P23" s="28">
        <v>26.55</v>
      </c>
      <c r="Q23" s="22" cm="1">
        <f t="array" ref="Q23">IF(OR(_xll.BDP($AX23,"PX_last")="#N/A N/A",_xll.BDP($AX23,"PX_Last")="#N/A FIELD NOT APPLICABLE")," ",IF(F23="GBP",(_xll.BDP($AX23,"PX_LAST")),(_xll.BDP($AX23,"PX_LAST"))))</f>
        <v>26.88</v>
      </c>
      <c r="R23" s="29">
        <f>IF(F23="USD",AA23,(((_xll.BDP(F23&amp;"USD CURNCY","PX_LAST")))*AA23))</f>
        <v>78455.25</v>
      </c>
      <c r="S23" s="29">
        <f>IF(F23="USD",AB23,(((_xll.BDP(F23&amp;"USD CURNCY","PX_LAST")))*AB23))</f>
        <v>79430.399999999994</v>
      </c>
      <c r="T23" s="12">
        <f t="shared" si="0"/>
        <v>975.14999999999418</v>
      </c>
      <c r="U23" s="13">
        <f t="shared" si="1"/>
        <v>1.2429378531073372E-2</v>
      </c>
      <c r="V23" s="13" cm="1">
        <f t="array" ref="V23">IFERROR(_xll.BDP($G23&amp;" Equity","CHG_PCT_1D")/100,"")</f>
        <v>-5.9171600000000003E-3</v>
      </c>
      <c r="W23" s="13" cm="1">
        <f t="array" ref="W23">IFERROR(_xll.BDP($G23&amp;" Equity","CHG_PCT_5D")/100,"")</f>
        <v>5.2356020000000007E-3</v>
      </c>
      <c r="X23" s="13" t="e">
        <f>S23/#REF!</f>
        <v>#REF!</v>
      </c>
      <c r="Y23" s="29">
        <f t="shared" si="2"/>
        <v>6453.542504310607</v>
      </c>
      <c r="Z23" s="29">
        <f t="shared" si="3"/>
        <v>79430.399999999994</v>
      </c>
      <c r="AA23" s="29">
        <f t="shared" si="4"/>
        <v>78455.25</v>
      </c>
      <c r="AB23" s="29">
        <f t="shared" si="5"/>
        <v>79430.399999999994</v>
      </c>
      <c r="AC23" s="25" t="str" cm="1">
        <f t="array" ref="AC23">IF(OR(_xll.BDP($AX23,"EX028")="#N/A N/A",_xll.BDP($AX23,"EX028")="#N/A FIELD NOT APPLICABLE")," ", _xll.BDP($AX23,"EX028"))</f>
        <v>Fund</v>
      </c>
      <c r="AD23" s="35" t="str" cm="1">
        <f t="array" ref="AD23">IF(OR(_xll.BDP($AX23,"FD121")="#N/A N/A",_xll.BDP($AX23,"FD121")="#N/A FIELD NOT APPLICABLE")," ", _xll.BDP($AX23,"FD121"))</f>
        <v>Equity</v>
      </c>
      <c r="AE23" s="25" t="str" cm="1">
        <f t="array" ref="AE23">IF(OR(_xll.BDP($AX23,"FD118")="#N/A N/A",_xll.BDP($AX23,"FD118")="#N/A FIELD NOT APPLICABLE")," ", _xll.BDP($AX23,"FD118"))</f>
        <v>ETF</v>
      </c>
      <c r="AF23" s="22" t="str" cm="1">
        <f t="array" ref="AF23">IF(OR(_xll.BDP($AX23,"FD114")="#N/A N/A",_xll.BDP($AX23,"FD114")="#N/A FIELD NOT APPLICABLE")," ", _xll.BDP($AX23,"FD114"))</f>
        <v xml:space="preserve"> </v>
      </c>
      <c r="AG23" s="22" t="str" cm="1">
        <f t="array" ref="AG23">IF(OR(_xll.BDP($AX23,"FD003")="#N/A N/A",_xll.BDP($AX23,"FD003")="#N/A FIELD NOT APPLICABLE")," ", _xll.BDP($AX23,"FD003"))</f>
        <v>14/07/2000</v>
      </c>
      <c r="AH23" s="32" cm="1">
        <f t="array" ref="AH23">IF(OR(_xll.BDP($AX23,"PR061")="#N/A N/A",_xll.BDP($AX23,"PR061")="#N/A FIELD NOT APPLICABLE")," ", _xll.BDP($AX23,"PR061")/100)</f>
        <v>2.8309129999999998E-2</v>
      </c>
      <c r="AI23" s="25" cm="1">
        <f t="array" ref="AI23">IF(OR(_xll.BDP($AX23,"RT075")="#N/A N/A",_xll.BDP($AX23,"RT075")="#N/A FIELD NOT APPLICABLE")," ", _xll.BDP($AX23,"RT075")/100)</f>
        <v>1.962537E-2</v>
      </c>
      <c r="AJ23" s="25" cm="1">
        <f t="array" ref="AJ23">IF(OR(_xll.BDP($AX23,"RT076")="#N/A N/A",_xll.BDP($AX23,"RT076")="#N/A FIELD NOT APPLICABLE")," ", _xll.BDP($AX23,"RT076")/100)</f>
        <v>0.1041513</v>
      </c>
      <c r="AK23" s="25" cm="1">
        <f t="array" ref="AK23">IF(OR(_xll.BDP($AX23,"FD252")="#N/A N/A",_xll.BDP($AX23,"FD252")="#N/A FIELD NOT APPLICABLE")," ", _xll.BDP($AX23,"FD252")/100)</f>
        <v>0</v>
      </c>
      <c r="AL23" s="25" cm="1">
        <f t="array" ref="AL23">IF(OR(_xll.BDP($AX23,"FD015")="#N/A N/A",_xll.BDP($AX23,"FD015")="#N/A FIELD NOT APPLICABLE")," ", _xll.BDP($AX23,"FD015")/100)</f>
        <v>5.8999999999999999E-3</v>
      </c>
      <c r="AM23" s="25" cm="1">
        <f t="array" ref="AM23">IF(OR(_xll.BDP($AX23,"FD138")="#N/A N/A",_xll.BDP($AX23,"FD138")="#N/A FIELD NOT APPLICABLE")," ", _xll.BDP($AX23,"FD138")/100)</f>
        <v>5.8999999999999999E-3</v>
      </c>
      <c r="AN23" s="36" cm="1">
        <f t="array" ref="AN23">IF(OR(_xll.BDP($AX23,"FD009")="#N/A N/A",_xll.BDP($AX23,"FD009")="#N/A FIELD NOT APPLICABLE")," ", _xll.BDP($AX23,"FD009")/100)</f>
        <v>0</v>
      </c>
      <c r="AO23" s="25" cm="1">
        <f t="array" ref="AO23">IF(OR(_xll.BDP($AX23,"RK512")="#N/A N/A",_xll.BDP($AX23,"RK512")="#N/A FIELD NOT APPLICABLE")," ", _xll.BDP($AX23,"RK512")/100)</f>
        <v>-4.392440021038055E-3</v>
      </c>
      <c r="AP23" s="25" cm="1">
        <f t="array" ref="AP23">IF(OR(_xll.BDP($AX23,"RK514")="#N/A N/A",_xll.BDP($AX23,"RK514")="#N/A FIELD NOT APPLICABLE")," ", _xll.BDP($AX23,"RK514")/100)</f>
        <v>-4.6389099955558774E-3</v>
      </c>
      <c r="AQ23" s="25" cm="1">
        <f t="array" ref="AQ23">IF(OR(_xll.BDP($AX23,"RK521")="#N/A N/A",_xll.BDP($AX23,"RK521")="#N/A FIELD NOT APPLICABLE")," ", _xll.BDP($AX23,"RK521")/100)</f>
        <v>-5.2297997474670408E-3</v>
      </c>
      <c r="AR23" s="25" cm="1">
        <f t="array" ref="AR23">IF(OR(_xll.BDP($AX23,"RK525")="#N/A N/A",_xll.BDP($AX23,"RK525")="#N/A FIELD NOT APPLICABLE")," ", _xll.BDP($AX23,"RK525")/100)</f>
        <v>1.0247000455856324E-2</v>
      </c>
      <c r="AS23" s="25" cm="1">
        <f t="array" ref="AS23">IF(OR(_xll.BDP($AX23,"RK524")="#N/A N/A",_xll.BDP($AX23,"RK524")="#N/A FIELD NOT APPLICABLE")," ", _xll.BDP($AX23,"RK524")/100)</f>
        <v>-7.7220001257956029E-5</v>
      </c>
      <c r="AT23" s="25" t="str" cm="1">
        <f t="array" ref="AT23">IF(OR(_xll.BDP($AX23,"FD183")="#N/A N/A",_xll.BDP($AX23,"FD183")="#N/A FIELD NOT APPLICABLE")," ", _xll.BDP($AX23,"FD183"))</f>
        <v>USD INC</v>
      </c>
      <c r="AU23" s="25" t="str" cm="1">
        <f t="array" ref="AU23">IF(OR(_xll.BDP($AX23,"DY997")="#N/A N/A",_xll.BDP($AX23,"DY997")="#N/A FIELD NOT APPLICABLE")," ", _xll.BDP($AX23,"DY997"))</f>
        <v xml:space="preserve"> </v>
      </c>
      <c r="AV23" s="25" t="str" cm="1">
        <f t="array" ref="AV23">IF(OR(_xll.BDP($AX23,"DY784")="#N/A N/A",_xll.BDP($AX23,"DY784")="#N/A FIELD NOT APPLICABLE")," ", _xll.BDP($AX23,"DY784"))</f>
        <v xml:space="preserve"> </v>
      </c>
      <c r="AW23" s="22" t="str">
        <f t="shared" si="6"/>
        <v>N</v>
      </c>
      <c r="AX23" s="22" t="str">
        <f t="shared" si="7"/>
        <v>EWZ US Equity</v>
      </c>
      <c r="BC23" s="17" t="str" cm="1">
        <f t="array" ref="BC23">_xll.BDP(AX23,"ID005")</f>
        <v>US4642864007</v>
      </c>
      <c r="BD23" s="17">
        <v>0.85</v>
      </c>
      <c r="BE23" s="18">
        <v>3</v>
      </c>
      <c r="BF23" s="37">
        <v>45510</v>
      </c>
      <c r="BG23" s="20"/>
    </row>
    <row r="24" spans="1:59" s="3" customFormat="1" ht="14.45" customHeight="1" x14ac:dyDescent="0.25">
      <c r="A24" s="49" t="s">
        <v>242</v>
      </c>
      <c r="B24" s="49" t="s">
        <v>332</v>
      </c>
      <c r="C24" s="72" t="s">
        <v>333</v>
      </c>
      <c r="D24" s="49" t="s">
        <v>248</v>
      </c>
      <c r="E24" s="22" t="str">
        <f>_xll.BDP(AX24,"SECURITY NAME")</f>
        <v>iShares MSCI Brazil ETF</v>
      </c>
      <c r="F24" s="22" t="str">
        <f>_xll.BDP(AX24,"CRNCY")</f>
        <v>USD</v>
      </c>
      <c r="G24" s="23" t="s">
        <v>127</v>
      </c>
      <c r="H24" s="22" t="str" cm="1">
        <f t="array" ref="H24">IF(OR(_xll.BDP($AX24,"FD120")="#N/A N/A",_xll.BDP($AX24,"FD120")="#N/A FIELD NOT APPLICABLE")," ",_xll.BDP($AX24,"FD120"))</f>
        <v>Brazil</v>
      </c>
      <c r="I24" s="22" t="str" cm="1">
        <f t="array" ref="I24">IF(OR(_xll.BDP($AX24,"FD116")="#N/A N/A",_xll.BDP($AX24,"FD116")="#N/A FIELD NOT APPLICABLE")," ",_xll.BDP($AX24,"FD116"))</f>
        <v>Blend</v>
      </c>
      <c r="J24" s="22" t="str" cm="1">
        <f t="array" ref="J24">IF(OR(_xll.BDP($AX24,"FD133")="#N/A N/A",_xll.BDP($AX24,"FD133")="#N/A FIELD NOT APPLICABLE")," ", _xll.BDP($AX24,"FD133"))</f>
        <v xml:space="preserve"> </v>
      </c>
      <c r="K24" s="34">
        <f>_xll.BDP(AX24,"FUND_ASSETS_USD")/1000</f>
        <v>3.7745484216</v>
      </c>
      <c r="L24" s="25">
        <f>IFERROR(_xll.BDP(AX24, "DV013")/100,0)</f>
        <v>8.1247765393484203E-2</v>
      </c>
      <c r="M24" s="25" cm="1">
        <f t="array" ref="M24">IF(OR(_xll.BDP($AX24,"PR079")="#N/A N/A",_xll.BDP($AX24,"PR079")="#N/A FIELD NOT APPLICABLE")," ", _xll.BDP($AX24,"PR079")/100)</f>
        <v>0.1941359</v>
      </c>
      <c r="N24" s="25" cm="1">
        <f t="array" ref="N24">IF(OR(_xll.BDP($AX24,"RT074")="#N/A N/A",_xll.BDP($AX24,"RT074")="#N/A FIELD NOT APPLICABLE")," ", _xll.BDP($AX24,"RT074")/100)</f>
        <v>-6.819689000000001E-2</v>
      </c>
      <c r="O24" s="27">
        <v>2632</v>
      </c>
      <c r="P24" s="28">
        <v>26.14</v>
      </c>
      <c r="Q24" s="22" cm="1">
        <f t="array" ref="Q24">IF(OR(_xll.BDP($AX24,"PX_last")="#N/A N/A",_xll.BDP($AX24,"PX_Last")="#N/A FIELD NOT APPLICABLE")," ",IF(F24="GBP",(_xll.BDP($AX24,"PX_LAST")/100),(_xll.BDP($AX24,"PX_LAST"))))</f>
        <v>26.88</v>
      </c>
      <c r="R24" s="29">
        <f>IF(F24="USD",AA24,(((_xll.BDP(F24&amp;"USD CURNCY","PX_LAST")))*AA24))</f>
        <v>68800.479999999996</v>
      </c>
      <c r="S24" s="29">
        <f>IF(F24="USD",AB24,(((_xll.BDP(F24&amp;"USD CURNCY","PX_LAST")))*AB24))</f>
        <v>70748.160000000003</v>
      </c>
      <c r="T24" s="12">
        <f t="shared" si="0"/>
        <v>1947.6800000000076</v>
      </c>
      <c r="U24" s="13">
        <f t="shared" si="1"/>
        <v>2.8309104820199042E-2</v>
      </c>
      <c r="V24" s="13" cm="1">
        <f t="array" ref="V24">IFERROR(_xll.BDP($G24&amp;" Equity","CHG_PCT_1D")/100,"")</f>
        <v>-5.9171600000000003E-3</v>
      </c>
      <c r="W24" s="13" cm="1">
        <f t="array" ref="W24">IFERROR(_xll.BDP($G24&amp;" Equity","CHG_PCT_5D")/100,"")</f>
        <v>5.2356020000000007E-3</v>
      </c>
      <c r="X24" s="13" t="e">
        <f>S24/$H$62</f>
        <v>#VALUE!</v>
      </c>
      <c r="Y24" s="29">
        <f t="shared" si="2"/>
        <v>5748.1299057006836</v>
      </c>
      <c r="Z24" s="29">
        <f t="shared" si="3"/>
        <v>70748.160000000003</v>
      </c>
      <c r="AA24" s="29">
        <f t="shared" si="4"/>
        <v>68800.479999999996</v>
      </c>
      <c r="AB24" s="29">
        <f t="shared" si="5"/>
        <v>70748.160000000003</v>
      </c>
      <c r="AC24" s="25" t="str" cm="1">
        <f t="array" ref="AC24">IF(OR(_xll.BDP($AX24,"EX028")="#N/A N/A",_xll.BDP($AX24,"EX028")="#N/A FIELD NOT APPLICABLE")," ", _xll.BDP($AX24,"EX028"))</f>
        <v>Fund</v>
      </c>
      <c r="AD24" s="35" t="str" cm="1">
        <f t="array" ref="AD24">IF(OR(_xll.BDP($AX24,"FD121")="#N/A N/A",_xll.BDP($AX24,"FD121")="#N/A FIELD NOT APPLICABLE")," ", _xll.BDP($AX24,"FD121"))</f>
        <v>Equity</v>
      </c>
      <c r="AE24" s="25" t="str" cm="1">
        <f t="array" ref="AE24">IF(OR(_xll.BDP($AX24,"FD118")="#N/A N/A",_xll.BDP($AX24,"FD118")="#N/A FIELD NOT APPLICABLE")," ", _xll.BDP($AX24,"FD118"))</f>
        <v>ETF</v>
      </c>
      <c r="AF24" s="22" t="str" cm="1">
        <f t="array" ref="AF24">IF(OR(_xll.BDP($AX24,"FD114")="#N/A N/A",_xll.BDP($AX24,"FD114")="#N/A FIELD NOT APPLICABLE")," ", _xll.BDP($AX24,"FD114"))</f>
        <v xml:space="preserve"> </v>
      </c>
      <c r="AG24" s="22" t="str" cm="1">
        <f t="array" ref="AG24">IF(OR(_xll.BDP($AX24,"FD003")="#N/A N/A",_xll.BDP($AX24,"FD003")="#N/A FIELD NOT APPLICABLE")," ", _xll.BDP($AX24,"FD003"))</f>
        <v>14/07/2000</v>
      </c>
      <c r="AH24" s="32" cm="1">
        <f t="array" ref="AH24">IF(OR(_xll.BDP($AX24,"PR061")="#N/A N/A",_xll.BDP($AX24,"PR061")="#N/A FIELD NOT APPLICABLE")," ", _xll.BDP($AX24,"PR061")/100)</f>
        <v>2.8309129999999998E-2</v>
      </c>
      <c r="AI24" s="25" cm="1">
        <f t="array" ref="AI24">IF(OR(_xll.BDP($AX24,"RT075")="#N/A N/A",_xll.BDP($AX24,"RT075")="#N/A FIELD NOT APPLICABLE")," ", _xll.BDP($AX24,"RT075")/100)</f>
        <v>1.962537E-2</v>
      </c>
      <c r="AJ24" s="25" cm="1">
        <f t="array" ref="AJ24">IF(OR(_xll.BDP($AX24,"RT076")="#N/A N/A",_xll.BDP($AX24,"RT076")="#N/A FIELD NOT APPLICABLE")," ", _xll.BDP($AX24,"RT076")/100)</f>
        <v>0.1041513</v>
      </c>
      <c r="AK24" s="25" cm="1">
        <f t="array" ref="AK24">IF(OR(_xll.BDP($AX24,"FD252")="#N/A N/A",_xll.BDP($AX24,"FD252")="#N/A FIELD NOT APPLICABLE")," ", _xll.BDP($AX24,"FD252")/100)</f>
        <v>0</v>
      </c>
      <c r="AL24" s="25" cm="1">
        <f t="array" ref="AL24">IF(OR(_xll.BDP($AX24,"FD015")="#N/A N/A",_xll.BDP($AX24,"FD015")="#N/A FIELD NOT APPLICABLE")," ", _xll.BDP($AX24,"FD015")/100)</f>
        <v>5.8999999999999999E-3</v>
      </c>
      <c r="AM24" s="25" cm="1">
        <f t="array" ref="AM24">IF(OR(_xll.BDP($AX24,"FD138")="#N/A N/A",_xll.BDP($AX24,"FD138")="#N/A FIELD NOT APPLICABLE")," ", _xll.BDP($AX24,"FD138")/100)</f>
        <v>5.8999999999999999E-3</v>
      </c>
      <c r="AN24" s="36" cm="1">
        <f t="array" ref="AN24">IF(OR(_xll.BDP($AX24,"FD009")="#N/A N/A",_xll.BDP($AX24,"FD009")="#N/A FIELD NOT APPLICABLE")," ", _xll.BDP($AX24,"FD009")/100)</f>
        <v>0</v>
      </c>
      <c r="AO24" s="25" cm="1">
        <f t="array" ref="AO24">IF(OR(_xll.BDP($AX24,"RK512")="#N/A N/A",_xll.BDP($AX24,"RK512")="#N/A FIELD NOT APPLICABLE")," ", _xll.BDP($AX24,"RK512")/100)</f>
        <v>-4.392440021038055E-3</v>
      </c>
      <c r="AP24" s="25" cm="1">
        <f t="array" ref="AP24">IF(OR(_xll.BDP($AX24,"RK514")="#N/A N/A",_xll.BDP($AX24,"RK514")="#N/A FIELD NOT APPLICABLE")," ", _xll.BDP($AX24,"RK514")/100)</f>
        <v>-4.6389099955558774E-3</v>
      </c>
      <c r="AQ24" s="25" cm="1">
        <f t="array" ref="AQ24">IF(OR(_xll.BDP($AX24,"RK521")="#N/A N/A",_xll.BDP($AX24,"RK521")="#N/A FIELD NOT APPLICABLE")," ", _xll.BDP($AX24,"RK521")/100)</f>
        <v>-5.2297997474670408E-3</v>
      </c>
      <c r="AR24" s="25" cm="1">
        <f t="array" ref="AR24">IF(OR(_xll.BDP($AX24,"RK525")="#N/A N/A",_xll.BDP($AX24,"RK525")="#N/A FIELD NOT APPLICABLE")," ", _xll.BDP($AX24,"RK525")/100)</f>
        <v>1.0247000455856324E-2</v>
      </c>
      <c r="AS24" s="25" cm="1">
        <f t="array" ref="AS24">IF(OR(_xll.BDP($AX24,"RK524")="#N/A N/A",_xll.BDP($AX24,"RK524")="#N/A FIELD NOT APPLICABLE")," ", _xll.BDP($AX24,"RK524")/100)</f>
        <v>-7.7220001257956029E-5</v>
      </c>
      <c r="AT24" s="25" t="str" cm="1">
        <f t="array" ref="AT24">IF(OR(_xll.BDP($AX24,"FD183")="#N/A N/A",_xll.BDP($AX24,"FD183")="#N/A FIELD NOT APPLICABLE")," ", _xll.BDP($AX24,"FD183"))</f>
        <v>USD INC</v>
      </c>
      <c r="AU24" s="25" t="str" cm="1">
        <f t="array" ref="AU24">IF(OR(_xll.BDP($AX24,"DY997")="#N/A N/A",_xll.BDP($AX24,"DY997")="#N/A FIELD NOT APPLICABLE")," ", _xll.BDP($AX24,"DY997"))</f>
        <v xml:space="preserve"> </v>
      </c>
      <c r="AV24" s="25" t="str" cm="1">
        <f t="array" ref="AV24">IF(OR(_xll.BDP($AX24,"DY784")="#N/A N/A",_xll.BDP($AX24,"DY784")="#N/A FIELD NOT APPLICABLE")," ", _xll.BDP($AX24,"DY784"))</f>
        <v xml:space="preserve"> </v>
      </c>
      <c r="AW24" s="22" t="str">
        <f t="shared" si="6"/>
        <v>N</v>
      </c>
      <c r="AX24" s="22" t="str">
        <f t="shared" si="7"/>
        <v>EWZ US Equity</v>
      </c>
      <c r="BC24" s="17" t="str" cm="1">
        <f t="array" ref="BC24">_xll.BDP(AX24,"ID005")</f>
        <v>US4642864007</v>
      </c>
      <c r="BD24" s="17">
        <v>0.73</v>
      </c>
      <c r="BE24" s="18">
        <v>5</v>
      </c>
      <c r="BF24" s="37"/>
      <c r="BG24" s="20"/>
    </row>
    <row r="25" spans="1:59" s="3" customFormat="1" ht="14.45" customHeight="1" x14ac:dyDescent="0.25">
      <c r="A25" s="49" t="s">
        <v>242</v>
      </c>
      <c r="B25" s="49" t="s">
        <v>260</v>
      </c>
      <c r="C25" s="49" t="s">
        <v>261</v>
      </c>
      <c r="D25" s="49" t="s">
        <v>248</v>
      </c>
      <c r="E25" s="22" t="str">
        <f>_xll.BDP(AX25,"SECURITY NAME")</f>
        <v>iShares MSCI Brazil ETF</v>
      </c>
      <c r="F25" s="22" t="str">
        <f>_xll.BDP(AX25,"CRNCY")</f>
        <v>USD</v>
      </c>
      <c r="G25" s="73" t="s">
        <v>127</v>
      </c>
      <c r="H25" s="22" t="str" cm="1">
        <f t="array" ref="H25">IF(OR(_xll.BDP($AX25,"FD120")="#N/A N/A",_xll.BDP($AX25,"FD120")="#N/A FIELD NOT APPLICABLE")," ",_xll.BDP($AX25,"FD120"))</f>
        <v>Brazil</v>
      </c>
      <c r="I25" s="22" t="str" cm="1">
        <f t="array" ref="I25">IF(OR(_xll.BDP($AX25,"FD116")="#N/A N/A",_xll.BDP($AX25,"FD116")="#N/A FIELD NOT APPLICABLE")," ",_xll.BDP($AX25,"FD116"))</f>
        <v>Blend</v>
      </c>
      <c r="J25" s="22" t="str" cm="1">
        <f t="array" ref="J25">IF(OR(_xll.BDP($AX25,"FD133")="#N/A N/A",_xll.BDP($AX25,"FD133")="#N/A FIELD NOT APPLICABLE")," ", _xll.BDP($AX25,"FD133"))</f>
        <v xml:space="preserve"> </v>
      </c>
      <c r="K25" s="34">
        <f>_xll.BDP(AX25,"FUND_ASSETS_USD")/1000</f>
        <v>3.7745484216</v>
      </c>
      <c r="L25" s="25">
        <f>IFERROR(_xll.BDP(AX25, "DV013")/100,0)</f>
        <v>8.1247765393484203E-2</v>
      </c>
      <c r="M25" s="25" cm="1">
        <f t="array" ref="M25">IF(OR(_xll.BDP($AX25,"PR079")="#N/A N/A",_xll.BDP($AX25,"PR079")="#N/A FIELD NOT APPLICABLE")," ", _xll.BDP($AX25,"PR079")/100)</f>
        <v>0.1941359</v>
      </c>
      <c r="N25" s="25" cm="1">
        <f t="array" ref="N25">IF(OR(_xll.BDP($AX25,"RT074")="#N/A N/A",_xll.BDP($AX25,"RT074")="#N/A FIELD NOT APPLICABLE")," ", _xll.BDP($AX25,"RT074")/100)</f>
        <v>-6.819689000000001E-2</v>
      </c>
      <c r="O25" s="74">
        <v>2158</v>
      </c>
      <c r="P25" s="75">
        <v>26.58</v>
      </c>
      <c r="Q25" s="22" cm="1">
        <f t="array" ref="Q25">IF(OR(_xll.BDP($AX25,"PX_last")="#N/A N/A",_xll.BDP($AX25,"PX_Last")="#N/A FIELD NOT APPLICABLE")," ",IF(F25="GBP",(_xll.BDP($AX25,"PX_LAST")),(_xll.BDP($AX25,"PX_LAST"))))</f>
        <v>26.88</v>
      </c>
      <c r="R25" s="29">
        <f>IF(F25="USD",AA25,(((_xll.BDP(F25&amp;"USD CURNCY","PX_LAST")))*AA25))</f>
        <v>57359.64</v>
      </c>
      <c r="S25" s="29">
        <f>IF(F25="USD",AB25,(((_xll.BDP(F25&amp;"USD CURNCY","PX_LAST")))*AB25))</f>
        <v>58007.040000000001</v>
      </c>
      <c r="T25" s="12">
        <f t="shared" si="0"/>
        <v>647.40000000000146</v>
      </c>
      <c r="U25" s="13">
        <f t="shared" si="1"/>
        <v>1.1286681715575645E-2</v>
      </c>
      <c r="V25" s="13" cm="1">
        <f t="array" ref="V25">IFERROR(_xll.BDP($G25&amp;" Equity","CHG_PCT_1D")/100,"")</f>
        <v>-5.9171600000000003E-3</v>
      </c>
      <c r="W25" s="13" cm="1">
        <f t="array" ref="W25">IFERROR(_xll.BDP($G25&amp;" Equity","CHG_PCT_5D")/100,"")</f>
        <v>5.2356020000000007E-3</v>
      </c>
      <c r="X25" s="13" t="e">
        <f>S25/#REF!</f>
        <v>#REF!</v>
      </c>
      <c r="Y25" s="29">
        <f t="shared" si="2"/>
        <v>4712.9423770904541</v>
      </c>
      <c r="Z25" s="29">
        <f t="shared" si="3"/>
        <v>58007.040000000001</v>
      </c>
      <c r="AA25" s="29">
        <f t="shared" si="4"/>
        <v>57359.64</v>
      </c>
      <c r="AB25" s="29">
        <f t="shared" si="5"/>
        <v>58007.040000000001</v>
      </c>
      <c r="AC25" s="25" t="str" cm="1">
        <f t="array" ref="AC25">IF(OR(_xll.BDP($AX25,"EX028")="#N/A N/A",_xll.BDP($AX25,"EX028")="#N/A FIELD NOT APPLICABLE")," ", _xll.BDP($AX25,"EX028"))</f>
        <v>Fund</v>
      </c>
      <c r="AD25" s="35" t="str" cm="1">
        <f t="array" ref="AD25">IF(OR(_xll.BDP($AX25,"FD121")="#N/A N/A",_xll.BDP($AX25,"FD121")="#N/A FIELD NOT APPLICABLE")," ", _xll.BDP($AX25,"FD121"))</f>
        <v>Equity</v>
      </c>
      <c r="AE25" s="25" t="str" cm="1">
        <f t="array" ref="AE25">IF(OR(_xll.BDP($AX25,"FD118")="#N/A N/A",_xll.BDP($AX25,"FD118")="#N/A FIELD NOT APPLICABLE")," ", _xll.BDP($AX25,"FD118"))</f>
        <v>ETF</v>
      </c>
      <c r="AF25" s="22" t="str" cm="1">
        <f t="array" ref="AF25">IF(OR(_xll.BDP($AX25,"FD114")="#N/A N/A",_xll.BDP($AX25,"FD114")="#N/A FIELD NOT APPLICABLE")," ", _xll.BDP($AX25,"FD114"))</f>
        <v xml:space="preserve"> </v>
      </c>
      <c r="AG25" s="22" t="str" cm="1">
        <f t="array" ref="AG25">IF(OR(_xll.BDP($AX25,"FD003")="#N/A N/A",_xll.BDP($AX25,"FD003")="#N/A FIELD NOT APPLICABLE")," ", _xll.BDP($AX25,"FD003"))</f>
        <v>14/07/2000</v>
      </c>
      <c r="AH25" s="32" cm="1">
        <f t="array" ref="AH25">IF(OR(_xll.BDP($AX25,"PR061")="#N/A N/A",_xll.BDP($AX25,"PR061")="#N/A FIELD NOT APPLICABLE")," ", _xll.BDP($AX25,"PR061")/100)</f>
        <v>2.8309129999999998E-2</v>
      </c>
      <c r="AI25" s="25" cm="1">
        <f t="array" ref="AI25">IF(OR(_xll.BDP($AX25,"RT075")="#N/A N/A",_xll.BDP($AX25,"RT075")="#N/A FIELD NOT APPLICABLE")," ", _xll.BDP($AX25,"RT075")/100)</f>
        <v>1.962537E-2</v>
      </c>
      <c r="AJ25" s="25" cm="1">
        <f t="array" ref="AJ25">IF(OR(_xll.BDP($AX25,"RT076")="#N/A N/A",_xll.BDP($AX25,"RT076")="#N/A FIELD NOT APPLICABLE")," ", _xll.BDP($AX25,"RT076")/100)</f>
        <v>0.1041513</v>
      </c>
      <c r="AK25" s="25" cm="1">
        <f t="array" ref="AK25">IF(OR(_xll.BDP($AX25,"FD252")="#N/A N/A",_xll.BDP($AX25,"FD252")="#N/A FIELD NOT APPLICABLE")," ", _xll.BDP($AX25,"FD252")/100)</f>
        <v>0</v>
      </c>
      <c r="AL25" s="25" cm="1">
        <f t="array" ref="AL25">IF(OR(_xll.BDP($AX25,"FD015")="#N/A N/A",_xll.BDP($AX25,"FD015")="#N/A FIELD NOT APPLICABLE")," ", _xll.BDP($AX25,"FD015")/100)</f>
        <v>5.8999999999999999E-3</v>
      </c>
      <c r="AM25" s="25" cm="1">
        <f t="array" ref="AM25">IF(OR(_xll.BDP($AX25,"FD138")="#N/A N/A",_xll.BDP($AX25,"FD138")="#N/A FIELD NOT APPLICABLE")," ", _xll.BDP($AX25,"FD138")/100)</f>
        <v>5.8999999999999999E-3</v>
      </c>
      <c r="AN25" s="36" cm="1">
        <f t="array" ref="AN25">IF(OR(_xll.BDP($AX25,"FD009")="#N/A N/A",_xll.BDP($AX25,"FD009")="#N/A FIELD NOT APPLICABLE")," ", _xll.BDP($AX25,"FD009")/100)</f>
        <v>0</v>
      </c>
      <c r="AO25" s="25" cm="1">
        <f t="array" ref="AO25">IF(OR(_xll.BDP($AX25,"RK512")="#N/A N/A",_xll.BDP($AX25,"RK512")="#N/A FIELD NOT APPLICABLE")," ", _xll.BDP($AX25,"RK512")/100)</f>
        <v>-4.392440021038055E-3</v>
      </c>
      <c r="AP25" s="25" cm="1">
        <f t="array" ref="AP25">IF(OR(_xll.BDP($AX25,"RK514")="#N/A N/A",_xll.BDP($AX25,"RK514")="#N/A FIELD NOT APPLICABLE")," ", _xll.BDP($AX25,"RK514")/100)</f>
        <v>-4.6389099955558774E-3</v>
      </c>
      <c r="AQ25" s="25" cm="1">
        <f t="array" ref="AQ25">IF(OR(_xll.BDP($AX25,"RK521")="#N/A N/A",_xll.BDP($AX25,"RK521")="#N/A FIELD NOT APPLICABLE")," ", _xll.BDP($AX25,"RK521")/100)</f>
        <v>-5.2297997474670408E-3</v>
      </c>
      <c r="AR25" s="25" cm="1">
        <f t="array" ref="AR25">IF(OR(_xll.BDP($AX25,"RK525")="#N/A N/A",_xll.BDP($AX25,"RK525")="#N/A FIELD NOT APPLICABLE")," ", _xll.BDP($AX25,"RK525")/100)</f>
        <v>1.0247000455856324E-2</v>
      </c>
      <c r="AS25" s="25" cm="1">
        <f t="array" ref="AS25">IF(OR(_xll.BDP($AX25,"RK524")="#N/A N/A",_xll.BDP($AX25,"RK524")="#N/A FIELD NOT APPLICABLE")," ", _xll.BDP($AX25,"RK524")/100)</f>
        <v>-7.7220001257956029E-5</v>
      </c>
      <c r="AT25" s="25" t="str" cm="1">
        <f t="array" ref="AT25">IF(OR(_xll.BDP($AX25,"FD183")="#N/A N/A",_xll.BDP($AX25,"FD183")="#N/A FIELD NOT APPLICABLE")," ", _xll.BDP($AX25,"FD183"))</f>
        <v>USD INC</v>
      </c>
      <c r="AU25" s="25" t="str" cm="1">
        <f t="array" ref="AU25">IF(OR(_xll.BDP($AX25,"DY997")="#N/A N/A",_xll.BDP($AX25,"DY997")="#N/A FIELD NOT APPLICABLE")," ", _xll.BDP($AX25,"DY997"))</f>
        <v xml:space="preserve"> </v>
      </c>
      <c r="AV25" s="25" t="str" cm="1">
        <f t="array" ref="AV25">IF(OR(_xll.BDP($AX25,"DY784")="#N/A N/A",_xll.BDP($AX25,"DY784")="#N/A FIELD NOT APPLICABLE")," ", _xll.BDP($AX25,"DY784"))</f>
        <v xml:space="preserve"> </v>
      </c>
      <c r="AW25" s="22" t="str">
        <f t="shared" si="6"/>
        <v>N</v>
      </c>
      <c r="AX25" s="22" t="str">
        <f t="shared" si="7"/>
        <v>EWZ US Equity</v>
      </c>
      <c r="BC25" s="17" t="str">
        <f>_xll.BDP(AX25, "ID_ISIN")</f>
        <v>US4642864007</v>
      </c>
      <c r="BD25" s="17"/>
      <c r="BE25" s="18">
        <v>5</v>
      </c>
      <c r="BF25" s="37"/>
      <c r="BG25" s="20">
        <v>1.0000000000107532</v>
      </c>
    </row>
    <row r="26" spans="1:59" s="3" customFormat="1" ht="14.45" customHeight="1" x14ac:dyDescent="0.25">
      <c r="A26" s="49" t="s">
        <v>241</v>
      </c>
      <c r="B26" s="49" t="s">
        <v>262</v>
      </c>
      <c r="C26" s="49" t="s">
        <v>263</v>
      </c>
      <c r="D26" s="49" t="s">
        <v>240</v>
      </c>
      <c r="E26" s="22" t="str">
        <f>_xll.BDP(AX26,"SECURITY NAME")</f>
        <v>iShares MSCI Brazil ETF</v>
      </c>
      <c r="F26" s="22" t="str">
        <f>_xll.BDP(AX26,"CRNCY")</f>
        <v>USD</v>
      </c>
      <c r="G26" s="23" t="s">
        <v>127</v>
      </c>
      <c r="H26" s="22" t="str" cm="1">
        <f t="array" ref="H26">IF(OR(_xll.BDP($AX26,"FD120")="#N/A N/A",_xll.BDP($AX26,"FD120")="#N/A FIELD NOT APPLICABLE")," ",_xll.BDP($AX26,"FD120"))</f>
        <v>Brazil</v>
      </c>
      <c r="I26" s="22" t="str" cm="1">
        <f t="array" ref="I26">IF(OR(_xll.BDP($AX26,"FD116")="#N/A N/A",_xll.BDP($AX26,"FD116")="#N/A FIELD NOT APPLICABLE")," ",_xll.BDP($AX26,"FD116"))</f>
        <v>Blend</v>
      </c>
      <c r="J26" s="22" t="str" cm="1">
        <f t="array" ref="J26">IF(OR(_xll.BDP($AX26,"FD133")="#N/A N/A",_xll.BDP($AX26,"FD133")="#N/A FIELD NOT APPLICABLE")," ", _xll.BDP($AX26,"FD133"))</f>
        <v xml:space="preserve"> </v>
      </c>
      <c r="K26" s="34">
        <f>_xll.BDP(AX26,"FUND_ASSETS_USD")/1000</f>
        <v>3.7745484216</v>
      </c>
      <c r="L26" s="25">
        <f>IFERROR(_xll.BDP(AX26, "DV013")/100,0)</f>
        <v>8.1247765393484203E-2</v>
      </c>
      <c r="M26" s="25" cm="1">
        <f t="array" ref="M26">IF(OR(_xll.BDP($AX26,"PR079")="#N/A N/A",_xll.BDP($AX26,"PR079")="#N/A FIELD NOT APPLICABLE")," ", _xll.BDP($AX26,"PR079")/100)</f>
        <v>0.1941359</v>
      </c>
      <c r="N26" s="25" cm="1">
        <f t="array" ref="N26">IF(OR(_xll.BDP($AX26,"RT074")="#N/A N/A",_xll.BDP($AX26,"RT074")="#N/A FIELD NOT APPLICABLE")," ", _xll.BDP($AX26,"RT074")/100)</f>
        <v>-6.819689000000001E-2</v>
      </c>
      <c r="O26" s="27">
        <v>4543</v>
      </c>
      <c r="P26" s="28">
        <v>26.39</v>
      </c>
      <c r="Q26" s="22" cm="1">
        <f t="array" ref="Q26">IF(OR(_xll.BDP($AX26,"PX_last")="#N/A N/A",_xll.BDP($AX26,"PX_Last")="#N/A FIELD NOT APPLICABLE")," ",IF(F26="GBP",(_xll.BDP($AX26,"PX_LAST")/100),(_xll.BDP($AX26,"PX_LAST"))))</f>
        <v>26.88</v>
      </c>
      <c r="R26" s="29">
        <f>IF(F26="USD",AA26,(((_xll.BDP(F26&amp;"USD CURNCY","PX_LAST")))*AA26))</f>
        <v>119889.77</v>
      </c>
      <c r="S26" s="29">
        <f>IF(F26="USD",AB26,(((_xll.BDP(F26&amp;"USD CURNCY","PX_LAST")))*AB26))</f>
        <v>122115.84</v>
      </c>
      <c r="T26" s="12">
        <f t="shared" si="0"/>
        <v>2226.0699999999924</v>
      </c>
      <c r="U26" s="13">
        <f t="shared" si="1"/>
        <v>1.8567639257294367E-2</v>
      </c>
      <c r="V26" s="13" cm="1">
        <f t="array" ref="V26">IFERROR(_xll.BDP($G26&amp;" Equity","CHG_PCT_1D")/100,"")</f>
        <v>-5.9171600000000003E-3</v>
      </c>
      <c r="W26" s="13" cm="1">
        <f t="array" ref="W26">IFERROR(_xll.BDP($G26&amp;" Equity","CHG_PCT_5D")/100,"")</f>
        <v>5.2356020000000007E-3</v>
      </c>
      <c r="X26" s="13" t="e">
        <f>S26/#REF!</f>
        <v>#REF!</v>
      </c>
      <c r="Y26" s="29">
        <f t="shared" si="2"/>
        <v>9921.6391191482544</v>
      </c>
      <c r="Z26" s="29">
        <f t="shared" si="3"/>
        <v>122115.84</v>
      </c>
      <c r="AA26" s="29">
        <f t="shared" si="4"/>
        <v>119889.77</v>
      </c>
      <c r="AB26" s="29">
        <f t="shared" si="5"/>
        <v>122115.84</v>
      </c>
      <c r="AC26" s="25" t="str" cm="1">
        <f t="array" ref="AC26">IF(OR(_xll.BDP($AX26,"EX028")="#N/A N/A",_xll.BDP($AX26,"EX028")="#N/A FIELD NOT APPLICABLE")," ", _xll.BDP($AX26,"EX028"))</f>
        <v>Fund</v>
      </c>
      <c r="AD26" s="35" t="str" cm="1">
        <f t="array" ref="AD26">IF(OR(_xll.BDP($AX26,"FD121")="#N/A N/A",_xll.BDP($AX26,"FD121")="#N/A FIELD NOT APPLICABLE")," ", _xll.BDP($AX26,"FD121"))</f>
        <v>Equity</v>
      </c>
      <c r="AE26" s="25" t="str" cm="1">
        <f t="array" ref="AE26">IF(OR(_xll.BDP($AX26,"FD118")="#N/A N/A",_xll.BDP($AX26,"FD118")="#N/A FIELD NOT APPLICABLE")," ", _xll.BDP($AX26,"FD118"))</f>
        <v>ETF</v>
      </c>
      <c r="AF26" s="22" t="str" cm="1">
        <f t="array" ref="AF26">IF(OR(_xll.BDP($AX26,"FD114")="#N/A N/A",_xll.BDP($AX26,"FD114")="#N/A FIELD NOT APPLICABLE")," ", _xll.BDP($AX26,"FD114"))</f>
        <v xml:space="preserve"> </v>
      </c>
      <c r="AG26" s="22" t="str" cm="1">
        <f t="array" ref="AG26">IF(OR(_xll.BDP($AX26,"FD003")="#N/A N/A",_xll.BDP($AX26,"FD003")="#N/A FIELD NOT APPLICABLE")," ", _xll.BDP($AX26,"FD003"))</f>
        <v>14/07/2000</v>
      </c>
      <c r="AH26" s="32" cm="1">
        <f t="array" ref="AH26">IF(OR(_xll.BDP($AX26,"PR061")="#N/A N/A",_xll.BDP($AX26,"PR061")="#N/A FIELD NOT APPLICABLE")," ", _xll.BDP($AX26,"PR061")/100)</f>
        <v>2.8309129999999998E-2</v>
      </c>
      <c r="AI26" s="25" cm="1">
        <f t="array" ref="AI26">IF(OR(_xll.BDP($AX26,"RT075")="#N/A N/A",_xll.BDP($AX26,"RT075")="#N/A FIELD NOT APPLICABLE")," ", _xll.BDP($AX26,"RT075")/100)</f>
        <v>1.962537E-2</v>
      </c>
      <c r="AJ26" s="25" cm="1">
        <f t="array" ref="AJ26">IF(OR(_xll.BDP($AX26,"RT076")="#N/A N/A",_xll.BDP($AX26,"RT076")="#N/A FIELD NOT APPLICABLE")," ", _xll.BDP($AX26,"RT076")/100)</f>
        <v>0.1041513</v>
      </c>
      <c r="AK26" s="25" cm="1">
        <f t="array" ref="AK26">IF(OR(_xll.BDP($AX26,"FD252")="#N/A N/A",_xll.BDP($AX26,"FD252")="#N/A FIELD NOT APPLICABLE")," ", _xll.BDP($AX26,"FD252")/100)</f>
        <v>0</v>
      </c>
      <c r="AL26" s="25" cm="1">
        <f t="array" ref="AL26">IF(OR(_xll.BDP($AX26,"FD015")="#N/A N/A",_xll.BDP($AX26,"FD015")="#N/A FIELD NOT APPLICABLE")," ", _xll.BDP($AX26,"FD015")/100)</f>
        <v>5.8999999999999999E-3</v>
      </c>
      <c r="AM26" s="25" cm="1">
        <f t="array" ref="AM26">IF(OR(_xll.BDP($AX26,"FD138")="#N/A N/A",_xll.BDP($AX26,"FD138")="#N/A FIELD NOT APPLICABLE")," ", _xll.BDP($AX26,"FD138")/100)</f>
        <v>5.8999999999999999E-3</v>
      </c>
      <c r="AN26" s="36" cm="1">
        <f t="array" ref="AN26">IF(OR(_xll.BDP($AX26,"FD009")="#N/A N/A",_xll.BDP($AX26,"FD009")="#N/A FIELD NOT APPLICABLE")," ", _xll.BDP($AX26,"FD009")/100)</f>
        <v>0</v>
      </c>
      <c r="AO26" s="25" cm="1">
        <f t="array" ref="AO26">IF(OR(_xll.BDP($AX26,"RK512")="#N/A N/A",_xll.BDP($AX26,"RK512")="#N/A FIELD NOT APPLICABLE")," ", _xll.BDP($AX26,"RK512")/100)</f>
        <v>-4.392440021038055E-3</v>
      </c>
      <c r="AP26" s="25" cm="1">
        <f t="array" ref="AP26">IF(OR(_xll.BDP($AX26,"RK514")="#N/A N/A",_xll.BDP($AX26,"RK514")="#N/A FIELD NOT APPLICABLE")," ", _xll.BDP($AX26,"RK514")/100)</f>
        <v>-4.6389099955558774E-3</v>
      </c>
      <c r="AQ26" s="25" cm="1">
        <f t="array" ref="AQ26">IF(OR(_xll.BDP($AX26,"RK521")="#N/A N/A",_xll.BDP($AX26,"RK521")="#N/A FIELD NOT APPLICABLE")," ", _xll.BDP($AX26,"RK521")/100)</f>
        <v>-5.2297997474670408E-3</v>
      </c>
      <c r="AR26" s="25" cm="1">
        <f t="array" ref="AR26">IF(OR(_xll.BDP($AX26,"RK525")="#N/A N/A",_xll.BDP($AX26,"RK525")="#N/A FIELD NOT APPLICABLE")," ", _xll.BDP($AX26,"RK525")/100)</f>
        <v>1.0247000455856324E-2</v>
      </c>
      <c r="AS26" s="25" cm="1">
        <f t="array" ref="AS26">IF(OR(_xll.BDP($AX26,"RK524")="#N/A N/A",_xll.BDP($AX26,"RK524")="#N/A FIELD NOT APPLICABLE")," ", _xll.BDP($AX26,"RK524")/100)</f>
        <v>-7.7220001257956029E-5</v>
      </c>
      <c r="AT26" s="25" t="str" cm="1">
        <f t="array" ref="AT26">IF(OR(_xll.BDP($AX26,"FD183")="#N/A N/A",_xll.BDP($AX26,"FD183")="#N/A FIELD NOT APPLICABLE")," ", _xll.BDP($AX26,"FD183"))</f>
        <v>USD INC</v>
      </c>
      <c r="AU26" s="25" t="str" cm="1">
        <f t="array" ref="AU26">IF(OR(_xll.BDP($AX26,"DY997")="#N/A N/A",_xll.BDP($AX26,"DY997")="#N/A FIELD NOT APPLICABLE")," ", _xll.BDP($AX26,"DY997"))</f>
        <v xml:space="preserve"> </v>
      </c>
      <c r="AV26" s="25" t="str" cm="1">
        <f t="array" ref="AV26">IF(OR(_xll.BDP($AX26,"DY784")="#N/A N/A",_xll.BDP($AX26,"DY784")="#N/A FIELD NOT APPLICABLE")," ", _xll.BDP($AX26,"DY784"))</f>
        <v xml:space="preserve"> </v>
      </c>
      <c r="AW26" s="22" t="str">
        <f t="shared" si="6"/>
        <v>N</v>
      </c>
      <c r="AX26" s="22" t="str">
        <f t="shared" si="7"/>
        <v>EWZ US Equity</v>
      </c>
      <c r="BC26" s="17" t="str" cm="1">
        <f t="array" ref="BC26">_xll.BDP(AX26,"ID005")</f>
        <v>US4642864007</v>
      </c>
      <c r="BD26" s="17">
        <v>0.56999999999999995</v>
      </c>
      <c r="BE26" s="18">
        <v>5</v>
      </c>
      <c r="BF26" s="37">
        <v>44385</v>
      </c>
      <c r="BG26" s="20">
        <v>1.0000000000107532</v>
      </c>
    </row>
    <row r="27" spans="1:59" s="3" customFormat="1" ht="14.45" customHeight="1" x14ac:dyDescent="0.25">
      <c r="A27" s="49" t="s">
        <v>242</v>
      </c>
      <c r="B27" s="49" t="s">
        <v>264</v>
      </c>
      <c r="C27" s="49" t="s">
        <v>265</v>
      </c>
      <c r="D27" s="49" t="s">
        <v>248</v>
      </c>
      <c r="E27" s="22" t="str">
        <f>_xll.BDP(AX27,"SECURITY NAME")</f>
        <v>iShares MSCI Brazil ETF</v>
      </c>
      <c r="F27" s="22" t="str">
        <f>_xll.BDP(AX27,"CRNCY")</f>
        <v>USD</v>
      </c>
      <c r="G27" s="23" t="s">
        <v>127</v>
      </c>
      <c r="H27" s="22" t="str" cm="1">
        <f t="array" ref="H27">IF(OR(_xll.BDP($AX27,"FD120")="#N/A N/A",_xll.BDP($AX27,"FD120")="#N/A FIELD NOT APPLICABLE")," ",_xll.BDP($AX27,"FD120"))</f>
        <v>Brazil</v>
      </c>
      <c r="I27" s="22" t="str" cm="1">
        <f t="array" ref="I27">IF(OR(_xll.BDP($AX27,"FD116")="#N/A N/A",_xll.BDP($AX27,"FD116")="#N/A FIELD NOT APPLICABLE")," ",_xll.BDP($AX27,"FD116"))</f>
        <v>Blend</v>
      </c>
      <c r="J27" s="22" t="str" cm="1">
        <f t="array" ref="J27">IF(OR(_xll.BDP($AX27,"FD133")="#N/A N/A",_xll.BDP($AX27,"FD133")="#N/A FIELD NOT APPLICABLE")," ", _xll.BDP($AX27,"FD133"))</f>
        <v xml:space="preserve"> </v>
      </c>
      <c r="K27" s="34">
        <f>_xll.BDP(AX27,"FUND_ASSETS_USD")/1000</f>
        <v>3.7745484216</v>
      </c>
      <c r="L27" s="25">
        <f>IFERROR(_xll.BDP(AX27, "DV013")/100,0)</f>
        <v>8.1247765393484203E-2</v>
      </c>
      <c r="M27" s="25" cm="1">
        <f t="array" ref="M27">IF(OR(_xll.BDP($AX27,"PR079")="#N/A N/A",_xll.BDP($AX27,"PR079")="#N/A FIELD NOT APPLICABLE")," ", _xll.BDP($AX27,"PR079")/100)</f>
        <v>0.1941359</v>
      </c>
      <c r="N27" s="25" cm="1">
        <f t="array" ref="N27">IF(OR(_xll.BDP($AX27,"RT074")="#N/A N/A",_xll.BDP($AX27,"RT074")="#N/A FIELD NOT APPLICABLE")," ", _xll.BDP($AX27,"RT074")/100)</f>
        <v>-6.819689000000001E-2</v>
      </c>
      <c r="O27" s="27">
        <v>3963</v>
      </c>
      <c r="P27" s="28">
        <v>26.54</v>
      </c>
      <c r="Q27" s="22" cm="1">
        <f t="array" ref="Q27">IF(OR(_xll.BDP($AX27,"PX_last")="#N/A N/A",_xll.BDP($AX27,"PX_Last")="#N/A FIELD NOT APPLICABLE")," ",IF(F27="GBP",(_xll.BDP($AX27,"PX_LAST")),(_xll.BDP($AX27,"PX_LAST"))))</f>
        <v>26.88</v>
      </c>
      <c r="R27" s="29">
        <f>IF(F27="USD",AA27,(((_xll.BDP(F27&amp;"USD CURNCY","PX_LAST")))*AA27))</f>
        <v>105178.01999999999</v>
      </c>
      <c r="S27" s="29">
        <f>IF(F27="USD",AB27,(((_xll.BDP(F27&amp;"USD CURNCY","PX_LAST")))*AB27))</f>
        <v>106525.44</v>
      </c>
      <c r="T27" s="12">
        <f t="shared" si="0"/>
        <v>1347.4200000000128</v>
      </c>
      <c r="U27" s="13">
        <f t="shared" si="1"/>
        <v>1.2810851544838103E-2</v>
      </c>
      <c r="V27" s="13" cm="1">
        <f t="array" ref="V27">IFERROR(_xll.BDP($G27&amp;" Equity","CHG_PCT_1D")/100,"")</f>
        <v>-5.9171600000000003E-3</v>
      </c>
      <c r="W27" s="13" cm="1">
        <f t="array" ref="W27">IFERROR(_xll.BDP($G27&amp;" Equity","CHG_PCT_5D")/100,"")</f>
        <v>5.2356020000000007E-3</v>
      </c>
      <c r="X27" s="13" t="e">
        <f>S27/#REF!</f>
        <v>#REF!</v>
      </c>
      <c r="Y27" s="29">
        <f t="shared" si="2"/>
        <v>8654.9539575576782</v>
      </c>
      <c r="Z27" s="29">
        <f t="shared" si="3"/>
        <v>106525.44</v>
      </c>
      <c r="AA27" s="29">
        <f t="shared" si="4"/>
        <v>105178.01999999999</v>
      </c>
      <c r="AB27" s="29">
        <f t="shared" si="5"/>
        <v>106525.44</v>
      </c>
      <c r="AC27" s="25" t="str" cm="1">
        <f t="array" ref="AC27">IF(OR(_xll.BDP($AX27,"EX028")="#N/A N/A",_xll.BDP($AX27,"EX028")="#N/A FIELD NOT APPLICABLE")," ", _xll.BDP($AX27,"EX028"))</f>
        <v>Fund</v>
      </c>
      <c r="AD27" s="35" t="str" cm="1">
        <f t="array" ref="AD27">IF(OR(_xll.BDP($AX27,"FD121")="#N/A N/A",_xll.BDP($AX27,"FD121")="#N/A FIELD NOT APPLICABLE")," ", _xll.BDP($AX27,"FD121"))</f>
        <v>Equity</v>
      </c>
      <c r="AE27" s="25" t="str" cm="1">
        <f t="array" ref="AE27">IF(OR(_xll.BDP($AX27,"FD118")="#N/A N/A",_xll.BDP($AX27,"FD118")="#N/A FIELD NOT APPLICABLE")," ", _xll.BDP($AX27,"FD118"))</f>
        <v>ETF</v>
      </c>
      <c r="AF27" s="22" t="str" cm="1">
        <f t="array" ref="AF27">IF(OR(_xll.BDP($AX27,"FD114")="#N/A N/A",_xll.BDP($AX27,"FD114")="#N/A FIELD NOT APPLICABLE")," ", _xll.BDP($AX27,"FD114"))</f>
        <v xml:space="preserve"> </v>
      </c>
      <c r="AG27" s="22" t="str" cm="1">
        <f t="array" ref="AG27">IF(OR(_xll.BDP($AX27,"FD003")="#N/A N/A",_xll.BDP($AX27,"FD003")="#N/A FIELD NOT APPLICABLE")," ", _xll.BDP($AX27,"FD003"))</f>
        <v>14/07/2000</v>
      </c>
      <c r="AH27" s="32" cm="1">
        <f t="array" ref="AH27">IF(OR(_xll.BDP($AX27,"PR061")="#N/A N/A",_xll.BDP($AX27,"PR061")="#N/A FIELD NOT APPLICABLE")," ", _xll.BDP($AX27,"PR061")/100)</f>
        <v>2.8309129999999998E-2</v>
      </c>
      <c r="AI27" s="25" cm="1">
        <f t="array" ref="AI27">IF(OR(_xll.BDP($AX27,"RT075")="#N/A N/A",_xll.BDP($AX27,"RT075")="#N/A FIELD NOT APPLICABLE")," ", _xll.BDP($AX27,"RT075")/100)</f>
        <v>1.962537E-2</v>
      </c>
      <c r="AJ27" s="25" cm="1">
        <f t="array" ref="AJ27">IF(OR(_xll.BDP($AX27,"RT076")="#N/A N/A",_xll.BDP($AX27,"RT076")="#N/A FIELD NOT APPLICABLE")," ", _xll.BDP($AX27,"RT076")/100)</f>
        <v>0.1041513</v>
      </c>
      <c r="AK27" s="25" cm="1">
        <f t="array" ref="AK27">IF(OR(_xll.BDP($AX27,"FD252")="#N/A N/A",_xll.BDP($AX27,"FD252")="#N/A FIELD NOT APPLICABLE")," ", _xll.BDP($AX27,"FD252")/100)</f>
        <v>0</v>
      </c>
      <c r="AL27" s="25" cm="1">
        <f t="array" ref="AL27">IF(OR(_xll.BDP($AX27,"FD015")="#N/A N/A",_xll.BDP($AX27,"FD015")="#N/A FIELD NOT APPLICABLE")," ", _xll.BDP($AX27,"FD015")/100)</f>
        <v>5.8999999999999999E-3</v>
      </c>
      <c r="AM27" s="25" cm="1">
        <f t="array" ref="AM27">IF(OR(_xll.BDP($AX27,"FD138")="#N/A N/A",_xll.BDP($AX27,"FD138")="#N/A FIELD NOT APPLICABLE")," ", _xll.BDP($AX27,"FD138")/100)</f>
        <v>5.8999999999999999E-3</v>
      </c>
      <c r="AN27" s="36" cm="1">
        <f t="array" ref="AN27">IF(OR(_xll.BDP($AX27,"FD009")="#N/A N/A",_xll.BDP($AX27,"FD009")="#N/A FIELD NOT APPLICABLE")," ", _xll.BDP($AX27,"FD009")/100)</f>
        <v>0</v>
      </c>
      <c r="AO27" s="25" cm="1">
        <f t="array" ref="AO27">IF(OR(_xll.BDP($AX27,"RK512")="#N/A N/A",_xll.BDP($AX27,"RK512")="#N/A FIELD NOT APPLICABLE")," ", _xll.BDP($AX27,"RK512")/100)</f>
        <v>-4.392440021038055E-3</v>
      </c>
      <c r="AP27" s="25" cm="1">
        <f t="array" ref="AP27">IF(OR(_xll.BDP($AX27,"RK514")="#N/A N/A",_xll.BDP($AX27,"RK514")="#N/A FIELD NOT APPLICABLE")," ", _xll.BDP($AX27,"RK514")/100)</f>
        <v>-4.6389099955558774E-3</v>
      </c>
      <c r="AQ27" s="25" cm="1">
        <f t="array" ref="AQ27">IF(OR(_xll.BDP($AX27,"RK521")="#N/A N/A",_xll.BDP($AX27,"RK521")="#N/A FIELD NOT APPLICABLE")," ", _xll.BDP($AX27,"RK521")/100)</f>
        <v>-5.2297997474670408E-3</v>
      </c>
      <c r="AR27" s="25" cm="1">
        <f t="array" ref="AR27">IF(OR(_xll.BDP($AX27,"RK525")="#N/A N/A",_xll.BDP($AX27,"RK525")="#N/A FIELD NOT APPLICABLE")," ", _xll.BDP($AX27,"RK525")/100)</f>
        <v>1.0247000455856324E-2</v>
      </c>
      <c r="AS27" s="25" cm="1">
        <f t="array" ref="AS27">IF(OR(_xll.BDP($AX27,"RK524")="#N/A N/A",_xll.BDP($AX27,"RK524")="#N/A FIELD NOT APPLICABLE")," ", _xll.BDP($AX27,"RK524")/100)</f>
        <v>-7.7220001257956029E-5</v>
      </c>
      <c r="AT27" s="25" t="str" cm="1">
        <f t="array" ref="AT27">IF(OR(_xll.BDP($AX27,"FD183")="#N/A N/A",_xll.BDP($AX27,"FD183")="#N/A FIELD NOT APPLICABLE")," ", _xll.BDP($AX27,"FD183"))</f>
        <v>USD INC</v>
      </c>
      <c r="AU27" s="25" t="str" cm="1">
        <f t="array" ref="AU27">IF(OR(_xll.BDP($AX27,"DY997")="#N/A N/A",_xll.BDP($AX27,"DY997")="#N/A FIELD NOT APPLICABLE")," ", _xll.BDP($AX27,"DY997"))</f>
        <v xml:space="preserve"> </v>
      </c>
      <c r="AV27" s="25" t="str" cm="1">
        <f t="array" ref="AV27">IF(OR(_xll.BDP($AX27,"DY784")="#N/A N/A",_xll.BDP($AX27,"DY784")="#N/A FIELD NOT APPLICABLE")," ", _xll.BDP($AX27,"DY784"))</f>
        <v xml:space="preserve"> </v>
      </c>
      <c r="AW27" s="22" t="str">
        <f t="shared" si="6"/>
        <v>N</v>
      </c>
      <c r="AX27" s="22" t="str">
        <f t="shared" si="7"/>
        <v>EWZ US Equity</v>
      </c>
      <c r="BC27" s="17" t="str" cm="1">
        <f t="array" ref="BC27">_xll.BDP(AX27,"ID005")</f>
        <v>US4642864007</v>
      </c>
      <c r="BD27" s="17" t="e">
        <f>VLOOKUP(BC27,'[2]Portefeuille 4380430'!$B$3:$G$38,6,0)</f>
        <v>#N/A</v>
      </c>
      <c r="BE27" s="18">
        <v>5</v>
      </c>
      <c r="BF27" s="37"/>
      <c r="BG27" s="20"/>
    </row>
    <row r="28" spans="1:59" s="3" customFormat="1" ht="14.45" customHeight="1" x14ac:dyDescent="0.25">
      <c r="A28" s="49" t="s">
        <v>241</v>
      </c>
      <c r="B28" s="49" t="s">
        <v>266</v>
      </c>
      <c r="C28" s="49" t="s">
        <v>267</v>
      </c>
      <c r="D28" s="49" t="s">
        <v>240</v>
      </c>
      <c r="E28" s="22" t="str">
        <f>_xll.BDP(AX28,"SECURITY NAME")</f>
        <v>iShares MSCI Brazil ETF</v>
      </c>
      <c r="F28" s="22" t="str">
        <f>_xll.BDP(AX28,"CRNCY")</f>
        <v>USD</v>
      </c>
      <c r="G28" s="23" t="s">
        <v>127</v>
      </c>
      <c r="H28" s="22" t="str" cm="1">
        <f t="array" ref="H28">IF(OR(_xll.BDP($AX28,"FD120")="#N/A N/A",_xll.BDP($AX28,"FD120")="#N/A FIELD NOT APPLICABLE")," ",_xll.BDP($AX28,"FD120"))</f>
        <v>Brazil</v>
      </c>
      <c r="I28" s="22" t="str" cm="1">
        <f t="array" ref="I28">IF(OR(_xll.BDP($AX28,"FD116")="#N/A N/A",_xll.BDP($AX28,"FD116")="#N/A FIELD NOT APPLICABLE")," ",_xll.BDP($AX28,"FD116"))</f>
        <v>Blend</v>
      </c>
      <c r="J28" s="22" t="str" cm="1">
        <f t="array" ref="J28">IF(OR(_xll.BDP($AX28,"FD133")="#N/A N/A",_xll.BDP($AX28,"FD133")="#N/A FIELD NOT APPLICABLE")," ", _xll.BDP($AX28,"FD133"))</f>
        <v xml:space="preserve"> </v>
      </c>
      <c r="K28" s="34">
        <f>_xll.BDP(AX28,"FUND_ASSETS_USD")/1000</f>
        <v>3.7745484216</v>
      </c>
      <c r="L28" s="25">
        <f>IFERROR(_xll.BDP(AX28, "DV013")/100,0)</f>
        <v>8.1247765393484203E-2</v>
      </c>
      <c r="M28" s="25" cm="1">
        <f t="array" ref="M28">IF(OR(_xll.BDP($AX28,"PR079")="#N/A N/A",_xll.BDP($AX28,"PR079")="#N/A FIELD NOT APPLICABLE")," ", _xll.BDP($AX28,"PR079")/100)</f>
        <v>0.1941359</v>
      </c>
      <c r="N28" s="25" cm="1">
        <f t="array" ref="N28">IF(OR(_xll.BDP($AX28,"RT074")="#N/A N/A",_xll.BDP($AX28,"RT074")="#N/A FIELD NOT APPLICABLE")," ", _xll.BDP($AX28,"RT074")/100)</f>
        <v>-6.819689000000001E-2</v>
      </c>
      <c r="O28" s="27">
        <v>1891</v>
      </c>
      <c r="P28" s="28">
        <v>26.39</v>
      </c>
      <c r="Q28" s="22" cm="1">
        <f t="array" ref="Q28">IF(OR(_xll.BDP($AX28,"PX_last")="#N/A N/A",_xll.BDP($AX28,"PX_Last")="#N/A FIELD NOT APPLICABLE")," ",IF(F28="GBP",(_xll.BDP($AX28,"PX_LAST")),(_xll.BDP($AX28,"PX_LAST"))))</f>
        <v>26.88</v>
      </c>
      <c r="R28" s="29">
        <f>IF(F28="USD",AA28,(((_xll.BDP(F28&amp;"USD CURNCY","PX_LAST")))*AA28))</f>
        <v>49903.49</v>
      </c>
      <c r="S28" s="29">
        <f>IF(F28="USD",AB28,(((_xll.BDP(F28&amp;"USD CURNCY","PX_LAST")))*AB28))</f>
        <v>50830.080000000002</v>
      </c>
      <c r="T28" s="12">
        <f t="shared" si="0"/>
        <v>926.59000000000378</v>
      </c>
      <c r="U28" s="13">
        <f t="shared" si="1"/>
        <v>1.8567639257294506E-2</v>
      </c>
      <c r="V28" s="13" cm="1">
        <f t="array" ref="V28">IFERROR(_xll.BDP($G28&amp;" Equity","CHG_PCT_1D")/100,"")</f>
        <v>-5.9171600000000003E-3</v>
      </c>
      <c r="W28" s="13" cm="1">
        <f t="array" ref="W28">IFERROR(_xll.BDP($G28&amp;" Equity","CHG_PCT_5D")/100,"")</f>
        <v>5.2356020000000007E-3</v>
      </c>
      <c r="X28" s="13" t="e">
        <f>S28/#REF!</f>
        <v>#REF!</v>
      </c>
      <c r="Y28" s="29">
        <f t="shared" si="2"/>
        <v>4129.8304147720337</v>
      </c>
      <c r="Z28" s="29">
        <f t="shared" si="3"/>
        <v>50830.080000000002</v>
      </c>
      <c r="AA28" s="29">
        <f t="shared" si="4"/>
        <v>49903.49</v>
      </c>
      <c r="AB28" s="29">
        <f t="shared" si="5"/>
        <v>50830.080000000002</v>
      </c>
      <c r="AC28" s="25" t="str" cm="1">
        <f t="array" ref="AC28">IF(OR(_xll.BDP($AX28,"EX028")="#N/A N/A",_xll.BDP($AX28,"EX028")="#N/A FIELD NOT APPLICABLE")," ", _xll.BDP($AX28,"EX028"))</f>
        <v>Fund</v>
      </c>
      <c r="AD28" s="35" t="str" cm="1">
        <f t="array" ref="AD28">IF(OR(_xll.BDP($AX28,"FD121")="#N/A N/A",_xll.BDP($AX28,"FD121")="#N/A FIELD NOT APPLICABLE")," ", _xll.BDP($AX28,"FD121"))</f>
        <v>Equity</v>
      </c>
      <c r="AE28" s="25" t="str" cm="1">
        <f t="array" ref="AE28">IF(OR(_xll.BDP($AX28,"FD118")="#N/A N/A",_xll.BDP($AX28,"FD118")="#N/A FIELD NOT APPLICABLE")," ", _xll.BDP($AX28,"FD118"))</f>
        <v>ETF</v>
      </c>
      <c r="AF28" s="22" t="str" cm="1">
        <f t="array" ref="AF28">IF(OR(_xll.BDP($AX28,"FD114")="#N/A N/A",_xll.BDP($AX28,"FD114")="#N/A FIELD NOT APPLICABLE")," ", _xll.BDP($AX28,"FD114"))</f>
        <v xml:space="preserve"> </v>
      </c>
      <c r="AG28" s="22" t="str" cm="1">
        <f t="array" ref="AG28">IF(OR(_xll.BDP($AX28,"FD003")="#N/A N/A",_xll.BDP($AX28,"FD003")="#N/A FIELD NOT APPLICABLE")," ", _xll.BDP($AX28,"FD003"))</f>
        <v>14/07/2000</v>
      </c>
      <c r="AH28" s="32" cm="1">
        <f t="array" ref="AH28">IF(OR(_xll.BDP($AX28,"PR061")="#N/A N/A",_xll.BDP($AX28,"PR061")="#N/A FIELD NOT APPLICABLE")," ", _xll.BDP($AX28,"PR061")/100)</f>
        <v>2.8309129999999998E-2</v>
      </c>
      <c r="AI28" s="25" cm="1">
        <f t="array" ref="AI28">IF(OR(_xll.BDP($AX28,"RT075")="#N/A N/A",_xll.BDP($AX28,"RT075")="#N/A FIELD NOT APPLICABLE")," ", _xll.BDP($AX28,"RT075")/100)</f>
        <v>1.962537E-2</v>
      </c>
      <c r="AJ28" s="25" cm="1">
        <f t="array" ref="AJ28">IF(OR(_xll.BDP($AX28,"RT076")="#N/A N/A",_xll.BDP($AX28,"RT076")="#N/A FIELD NOT APPLICABLE")," ", _xll.BDP($AX28,"RT076")/100)</f>
        <v>0.1041513</v>
      </c>
      <c r="AK28" s="25" cm="1">
        <f t="array" ref="AK28">IF(OR(_xll.BDP($AX28,"FD252")="#N/A N/A",_xll.BDP($AX28,"FD252")="#N/A FIELD NOT APPLICABLE")," ", _xll.BDP($AX28,"FD252")/100)</f>
        <v>0</v>
      </c>
      <c r="AL28" s="25" cm="1">
        <f t="array" ref="AL28">IF(OR(_xll.BDP($AX28,"FD015")="#N/A N/A",_xll.BDP($AX28,"FD015")="#N/A FIELD NOT APPLICABLE")," ", _xll.BDP($AX28,"FD015")/100)</f>
        <v>5.8999999999999999E-3</v>
      </c>
      <c r="AM28" s="25" cm="1">
        <f t="array" ref="AM28">IF(OR(_xll.BDP($AX28,"FD138")="#N/A N/A",_xll.BDP($AX28,"FD138")="#N/A FIELD NOT APPLICABLE")," ", _xll.BDP($AX28,"FD138")/100)</f>
        <v>5.8999999999999999E-3</v>
      </c>
      <c r="AN28" s="36" cm="1">
        <f t="array" ref="AN28">IF(OR(_xll.BDP($AX28,"FD009")="#N/A N/A",_xll.BDP($AX28,"FD009")="#N/A FIELD NOT APPLICABLE")," ", _xll.BDP($AX28,"FD009")/100)</f>
        <v>0</v>
      </c>
      <c r="AO28" s="25" cm="1">
        <f t="array" ref="AO28">IF(OR(_xll.BDP($AX28,"RK512")="#N/A N/A",_xll.BDP($AX28,"RK512")="#N/A FIELD NOT APPLICABLE")," ", _xll.BDP($AX28,"RK512")/100)</f>
        <v>-4.392440021038055E-3</v>
      </c>
      <c r="AP28" s="25" cm="1">
        <f t="array" ref="AP28">IF(OR(_xll.BDP($AX28,"RK514")="#N/A N/A",_xll.BDP($AX28,"RK514")="#N/A FIELD NOT APPLICABLE")," ", _xll.BDP($AX28,"RK514")/100)</f>
        <v>-4.6389099955558774E-3</v>
      </c>
      <c r="AQ28" s="25" cm="1">
        <f t="array" ref="AQ28">IF(OR(_xll.BDP($AX28,"RK521")="#N/A N/A",_xll.BDP($AX28,"RK521")="#N/A FIELD NOT APPLICABLE")," ", _xll.BDP($AX28,"RK521")/100)</f>
        <v>-5.2297997474670408E-3</v>
      </c>
      <c r="AR28" s="25" cm="1">
        <f t="array" ref="AR28">IF(OR(_xll.BDP($AX28,"RK525")="#N/A N/A",_xll.BDP($AX28,"RK525")="#N/A FIELD NOT APPLICABLE")," ", _xll.BDP($AX28,"RK525")/100)</f>
        <v>1.0247000455856324E-2</v>
      </c>
      <c r="AS28" s="25" cm="1">
        <f t="array" ref="AS28">IF(OR(_xll.BDP($AX28,"RK524")="#N/A N/A",_xll.BDP($AX28,"RK524")="#N/A FIELD NOT APPLICABLE")," ", _xll.BDP($AX28,"RK524")/100)</f>
        <v>-7.7220001257956029E-5</v>
      </c>
      <c r="AT28" s="25" t="str" cm="1">
        <f t="array" ref="AT28">IF(OR(_xll.BDP($AX28,"FD183")="#N/A N/A",_xll.BDP($AX28,"FD183")="#N/A FIELD NOT APPLICABLE")," ", _xll.BDP($AX28,"FD183"))</f>
        <v>USD INC</v>
      </c>
      <c r="AU28" s="25" t="str" cm="1">
        <f t="array" ref="AU28">IF(OR(_xll.BDP($AX28,"DY997")="#N/A N/A",_xll.BDP($AX28,"DY997")="#N/A FIELD NOT APPLICABLE")," ", _xll.BDP($AX28,"DY997"))</f>
        <v xml:space="preserve"> </v>
      </c>
      <c r="AV28" s="25" t="str" cm="1">
        <f t="array" ref="AV28">IF(OR(_xll.BDP($AX28,"DY784")="#N/A N/A",_xll.BDP($AX28,"DY784")="#N/A FIELD NOT APPLICABLE")," ", _xll.BDP($AX28,"DY784"))</f>
        <v xml:space="preserve"> </v>
      </c>
      <c r="AW28" s="22" t="str">
        <f t="shared" si="6"/>
        <v>N</v>
      </c>
      <c r="AX28" s="22" t="str">
        <f t="shared" si="7"/>
        <v>EWZ US Equity</v>
      </c>
      <c r="BC28" s="17" t="str" cm="1">
        <f t="array" ref="BC28">_xll.BDP(AX28,"ID005")</f>
        <v>US4642864007</v>
      </c>
      <c r="BD28" s="17">
        <v>0.75</v>
      </c>
      <c r="BE28" s="18">
        <v>5</v>
      </c>
      <c r="BF28" s="37">
        <v>45509</v>
      </c>
      <c r="BG28" s="20">
        <v>1.0000000000107532</v>
      </c>
    </row>
    <row r="29" spans="1:59" s="3" customFormat="1" ht="14.45" customHeight="1" x14ac:dyDescent="0.25">
      <c r="A29" s="49" t="s">
        <v>242</v>
      </c>
      <c r="B29" s="49" t="s">
        <v>268</v>
      </c>
      <c r="C29" s="49" t="s">
        <v>269</v>
      </c>
      <c r="D29" s="49" t="s">
        <v>248</v>
      </c>
      <c r="E29" s="22" t="str">
        <f>_xll.BDP(AX29,"SECURITY NAME")</f>
        <v>iShares MSCI Brazil ETF</v>
      </c>
      <c r="F29" s="22" t="str">
        <f>_xll.BDP(AX29,"CRNCY")</f>
        <v>USD</v>
      </c>
      <c r="G29" s="23" t="s">
        <v>127</v>
      </c>
      <c r="H29" s="22" t="str" cm="1">
        <f t="array" ref="H29">IF(OR(_xll.BDP($AX29,"FD120")="#N/A N/A",_xll.BDP($AX29,"FD120")="#N/A FIELD NOT APPLICABLE")," ",_xll.BDP($AX29,"FD120"))</f>
        <v>Brazil</v>
      </c>
      <c r="I29" s="22" t="str" cm="1">
        <f t="array" ref="I29">IF(OR(_xll.BDP($AX29,"FD116")="#N/A N/A",_xll.BDP($AX29,"FD116")="#N/A FIELD NOT APPLICABLE")," ",_xll.BDP($AX29,"FD116"))</f>
        <v>Blend</v>
      </c>
      <c r="J29" s="22" t="str" cm="1">
        <f t="array" ref="J29">IF(OR(_xll.BDP($AX29,"FD133")="#N/A N/A",_xll.BDP($AX29,"FD133")="#N/A FIELD NOT APPLICABLE")," ", _xll.BDP($AX29,"FD133"))</f>
        <v xml:space="preserve"> </v>
      </c>
      <c r="K29" s="34">
        <f>_xll.BDP(AX29,"FUND_ASSETS_USD")/1000</f>
        <v>3.7745484216</v>
      </c>
      <c r="L29" s="25">
        <f>IFERROR(_xll.BDP(AX29, "DV013")/100,0)</f>
        <v>8.1247765393484203E-2</v>
      </c>
      <c r="M29" s="25" cm="1">
        <f t="array" ref="M29">IF(OR(_xll.BDP($AX29,"PR079")="#N/A N/A",_xll.BDP($AX29,"PR079")="#N/A FIELD NOT APPLICABLE")," ", _xll.BDP($AX29,"PR079")/100)</f>
        <v>0.1941359</v>
      </c>
      <c r="N29" s="25" cm="1">
        <f t="array" ref="N29">IF(OR(_xll.BDP($AX29,"RT074")="#N/A N/A",_xll.BDP($AX29,"RT074")="#N/A FIELD NOT APPLICABLE")," ", _xll.BDP($AX29,"RT074")/100)</f>
        <v>-6.819689000000001E-2</v>
      </c>
      <c r="O29" s="27">
        <v>7438</v>
      </c>
      <c r="P29" s="28">
        <v>30.2</v>
      </c>
      <c r="Q29" s="22" cm="1">
        <f t="array" ref="Q29">IF(OR(_xll.BDP($AX29,"PX_last")="#N/A N/A",_xll.BDP($AX29,"PX_Last")="#N/A FIELD NOT APPLICABLE")," ",IF(F29="GBP",(_xll.BDP($AX29,"PX_LAST")/100),(_xll.BDP($AX29,"PX_LAST"))))</f>
        <v>26.88</v>
      </c>
      <c r="R29" s="29">
        <f>IF(F29="USD",AA29,(((_xll.BDP(F29&amp;"USD CURNCY","PX_LAST")))*AA29))</f>
        <v>224627.6</v>
      </c>
      <c r="S29" s="29">
        <f>IF(F29="USD",AB29,(((_xll.BDP(F29&amp;"USD CURNCY","PX_LAST")))*AB29))</f>
        <v>199933.44</v>
      </c>
      <c r="T29" s="12">
        <f t="shared" si="0"/>
        <v>-24694.160000000003</v>
      </c>
      <c r="U29" s="13">
        <f t="shared" si="1"/>
        <v>-0.1099337748344371</v>
      </c>
      <c r="V29" s="13" cm="1">
        <f t="array" ref="V29">IFERROR(_xll.BDP($G29&amp;" Equity","CHG_PCT_1D")/100,"")</f>
        <v>-5.9171600000000003E-3</v>
      </c>
      <c r="W29" s="13" cm="1">
        <f t="array" ref="W29">IFERROR(_xll.BDP($G29&amp;" Equity","CHG_PCT_5D")/100,"")</f>
        <v>5.2356020000000007E-3</v>
      </c>
      <c r="X29" s="13" t="e">
        <f>S29/#REF!</f>
        <v>#REF!</v>
      </c>
      <c r="Y29" s="29">
        <f t="shared" si="2"/>
        <v>16244.145227432251</v>
      </c>
      <c r="Z29" s="29">
        <f t="shared" si="3"/>
        <v>199933.44</v>
      </c>
      <c r="AA29" s="29">
        <f t="shared" si="4"/>
        <v>224627.6</v>
      </c>
      <c r="AB29" s="29">
        <f t="shared" si="5"/>
        <v>199933.44</v>
      </c>
      <c r="AC29" s="25" t="str" cm="1">
        <f t="array" ref="AC29">IF(OR(_xll.BDP($AX29,"EX028")="#N/A N/A",_xll.BDP($AX29,"EX028")="#N/A FIELD NOT APPLICABLE")," ", _xll.BDP($AX29,"EX028"))</f>
        <v>Fund</v>
      </c>
      <c r="AD29" s="35" t="str" cm="1">
        <f t="array" ref="AD29">IF(OR(_xll.BDP($AX29,"FD121")="#N/A N/A",_xll.BDP($AX29,"FD121")="#N/A FIELD NOT APPLICABLE")," ", _xll.BDP($AX29,"FD121"))</f>
        <v>Equity</v>
      </c>
      <c r="AE29" s="25" t="str" cm="1">
        <f t="array" ref="AE29">IF(OR(_xll.BDP($AX29,"FD118")="#N/A N/A",_xll.BDP($AX29,"FD118")="#N/A FIELD NOT APPLICABLE")," ", _xll.BDP($AX29,"FD118"))</f>
        <v>ETF</v>
      </c>
      <c r="AF29" s="22" t="str" cm="1">
        <f t="array" ref="AF29">IF(OR(_xll.BDP($AX29,"FD114")="#N/A N/A",_xll.BDP($AX29,"FD114")="#N/A FIELD NOT APPLICABLE")," ", _xll.BDP($AX29,"FD114"))</f>
        <v xml:space="preserve"> </v>
      </c>
      <c r="AG29" s="22" t="str" cm="1">
        <f t="array" ref="AG29">IF(OR(_xll.BDP($AX29,"FD003")="#N/A N/A",_xll.BDP($AX29,"FD003")="#N/A FIELD NOT APPLICABLE")," ", _xll.BDP($AX29,"FD003"))</f>
        <v>14/07/2000</v>
      </c>
      <c r="AH29" s="32" cm="1">
        <f t="array" ref="AH29">IF(OR(_xll.BDP($AX29,"PR061")="#N/A N/A",_xll.BDP($AX29,"PR061")="#N/A FIELD NOT APPLICABLE")," ", _xll.BDP($AX29,"PR061")/100)</f>
        <v>2.8309129999999998E-2</v>
      </c>
      <c r="AI29" s="25" cm="1">
        <f t="array" ref="AI29">IF(OR(_xll.BDP($AX29,"RT075")="#N/A N/A",_xll.BDP($AX29,"RT075")="#N/A FIELD NOT APPLICABLE")," ", _xll.BDP($AX29,"RT075")/100)</f>
        <v>1.962537E-2</v>
      </c>
      <c r="AJ29" s="25" cm="1">
        <f t="array" ref="AJ29">IF(OR(_xll.BDP($AX29,"RT076")="#N/A N/A",_xll.BDP($AX29,"RT076")="#N/A FIELD NOT APPLICABLE")," ", _xll.BDP($AX29,"RT076")/100)</f>
        <v>0.1041513</v>
      </c>
      <c r="AK29" s="25" cm="1">
        <f t="array" ref="AK29">IF(OR(_xll.BDP($AX29,"FD252")="#N/A N/A",_xll.BDP($AX29,"FD252")="#N/A FIELD NOT APPLICABLE")," ", _xll.BDP($AX29,"FD252")/100)</f>
        <v>0</v>
      </c>
      <c r="AL29" s="25" cm="1">
        <f t="array" ref="AL29">IF(OR(_xll.BDP($AX29,"FD015")="#N/A N/A",_xll.BDP($AX29,"FD015")="#N/A FIELD NOT APPLICABLE")," ", _xll.BDP($AX29,"FD015")/100)</f>
        <v>5.8999999999999999E-3</v>
      </c>
      <c r="AM29" s="25" cm="1">
        <f t="array" ref="AM29">IF(OR(_xll.BDP($AX29,"FD138")="#N/A N/A",_xll.BDP($AX29,"FD138")="#N/A FIELD NOT APPLICABLE")," ", _xll.BDP($AX29,"FD138")/100)</f>
        <v>5.8999999999999999E-3</v>
      </c>
      <c r="AN29" s="36" cm="1">
        <f t="array" ref="AN29">IF(OR(_xll.BDP($AX29,"FD009")="#N/A N/A",_xll.BDP($AX29,"FD009")="#N/A FIELD NOT APPLICABLE")," ", _xll.BDP($AX29,"FD009")/100)</f>
        <v>0</v>
      </c>
      <c r="AO29" s="25" cm="1">
        <f t="array" ref="AO29">IF(OR(_xll.BDP($AX29,"RK512")="#N/A N/A",_xll.BDP($AX29,"RK512")="#N/A FIELD NOT APPLICABLE")," ", _xll.BDP($AX29,"RK512")/100)</f>
        <v>-4.392440021038055E-3</v>
      </c>
      <c r="AP29" s="25" cm="1">
        <f t="array" ref="AP29">IF(OR(_xll.BDP($AX29,"RK514")="#N/A N/A",_xll.BDP($AX29,"RK514")="#N/A FIELD NOT APPLICABLE")," ", _xll.BDP($AX29,"RK514")/100)</f>
        <v>-4.6389099955558774E-3</v>
      </c>
      <c r="AQ29" s="25" cm="1">
        <f t="array" ref="AQ29">IF(OR(_xll.BDP($AX29,"RK521")="#N/A N/A",_xll.BDP($AX29,"RK521")="#N/A FIELD NOT APPLICABLE")," ", _xll.BDP($AX29,"RK521")/100)</f>
        <v>-5.2297997474670408E-3</v>
      </c>
      <c r="AR29" s="25" cm="1">
        <f t="array" ref="AR29">IF(OR(_xll.BDP($AX29,"RK525")="#N/A N/A",_xll.BDP($AX29,"RK525")="#N/A FIELD NOT APPLICABLE")," ", _xll.BDP($AX29,"RK525")/100)</f>
        <v>1.0247000455856324E-2</v>
      </c>
      <c r="AS29" s="25" cm="1">
        <f t="array" ref="AS29">IF(OR(_xll.BDP($AX29,"RK524")="#N/A N/A",_xll.BDP($AX29,"RK524")="#N/A FIELD NOT APPLICABLE")," ", _xll.BDP($AX29,"RK524")/100)</f>
        <v>-7.7220001257956029E-5</v>
      </c>
      <c r="AT29" s="25" t="str" cm="1">
        <f t="array" ref="AT29">IF(OR(_xll.BDP($AX29,"FD183")="#N/A N/A",_xll.BDP($AX29,"FD183")="#N/A FIELD NOT APPLICABLE")," ", _xll.BDP($AX29,"FD183"))</f>
        <v>USD INC</v>
      </c>
      <c r="AU29" s="25" t="str" cm="1">
        <f t="array" ref="AU29">IF(OR(_xll.BDP($AX29,"DY997")="#N/A N/A",_xll.BDP($AX29,"DY997")="#N/A FIELD NOT APPLICABLE")," ", _xll.BDP($AX29,"DY997"))</f>
        <v xml:space="preserve"> </v>
      </c>
      <c r="AV29" s="25" t="str" cm="1">
        <f t="array" ref="AV29">IF(OR(_xll.BDP($AX29,"DY784")="#N/A N/A",_xll.BDP($AX29,"DY784")="#N/A FIELD NOT APPLICABLE")," ", _xll.BDP($AX29,"DY784"))</f>
        <v xml:space="preserve"> </v>
      </c>
      <c r="AW29" s="22" t="str">
        <f t="shared" si="6"/>
        <v>N</v>
      </c>
      <c r="AX29" s="22" t="str">
        <f t="shared" si="7"/>
        <v>EWZ US Equity</v>
      </c>
      <c r="BC29" s="17" t="str" cm="1">
        <f t="array" ref="BC29">_xll.BDP(AX29,"ID005")</f>
        <v>US4642864007</v>
      </c>
      <c r="BD29" s="17">
        <v>0.6</v>
      </c>
      <c r="BE29" s="18">
        <v>5</v>
      </c>
      <c r="BF29" s="37"/>
      <c r="BG29" s="20"/>
    </row>
    <row r="30" spans="1:59" s="3" customFormat="1" ht="14.45" customHeight="1" x14ac:dyDescent="0.25">
      <c r="A30" s="49" t="s">
        <v>241</v>
      </c>
      <c r="B30" s="49" t="s">
        <v>270</v>
      </c>
      <c r="C30" s="49" t="s">
        <v>271</v>
      </c>
      <c r="D30" s="49" t="s">
        <v>240</v>
      </c>
      <c r="E30" s="22" t="str">
        <f>_xll.BDP(AX30,"SECURITY NAME")</f>
        <v>iShares MSCI Brazil ETF</v>
      </c>
      <c r="F30" s="22" t="str">
        <f>_xll.BDP(AX30,"CRNCY")</f>
        <v>USD</v>
      </c>
      <c r="G30" s="23" t="s">
        <v>127</v>
      </c>
      <c r="H30" s="22" t="str" cm="1">
        <f t="array" ref="H30">IF(OR(_xll.BDP($AX30,"FD120")="#N/A N/A",_xll.BDP($AX30,"FD120")="#N/A FIELD NOT APPLICABLE")," ",_xll.BDP($AX30,"FD120"))</f>
        <v>Brazil</v>
      </c>
      <c r="I30" s="22" t="str" cm="1">
        <f t="array" ref="I30">IF(OR(_xll.BDP($AX30,"FD116")="#N/A N/A",_xll.BDP($AX30,"FD116")="#N/A FIELD NOT APPLICABLE")," ",_xll.BDP($AX30,"FD116"))</f>
        <v>Blend</v>
      </c>
      <c r="J30" s="22" t="str" cm="1">
        <f t="array" ref="J30">IF(OR(_xll.BDP($AX30,"FD133")="#N/A N/A",_xll.BDP($AX30,"FD133")="#N/A FIELD NOT APPLICABLE")," ", _xll.BDP($AX30,"FD133"))</f>
        <v xml:space="preserve"> </v>
      </c>
      <c r="K30" s="34">
        <f>_xll.BDP(AX30,"FUND_ASSETS_USD")/1000</f>
        <v>3.7745484216</v>
      </c>
      <c r="L30" s="25">
        <f>IFERROR(_xll.BDP(AX30, "DV013")/100,0)</f>
        <v>8.1247765393484203E-2</v>
      </c>
      <c r="M30" s="25" cm="1">
        <f t="array" ref="M30">IF(OR(_xll.BDP($AX30,"PR079")="#N/A N/A",_xll.BDP($AX30,"PR079")="#N/A FIELD NOT APPLICABLE")," ", _xll.BDP($AX30,"PR079")/100)</f>
        <v>0.1941359</v>
      </c>
      <c r="N30" s="25" cm="1">
        <f t="array" ref="N30">IF(OR(_xll.BDP($AX30,"RT074")="#N/A N/A",_xll.BDP($AX30,"RT074")="#N/A FIELD NOT APPLICABLE")," ", _xll.BDP($AX30,"RT074")/100)</f>
        <v>-6.819689000000001E-2</v>
      </c>
      <c r="O30" s="27">
        <v>2713</v>
      </c>
      <c r="P30" s="28">
        <v>26.39</v>
      </c>
      <c r="Q30" s="22" cm="1">
        <f t="array" ref="Q30">IF(OR(_xll.BDP($AX30,"PX_last")="#N/A N/A",_xll.BDP($AX30,"PX_Last")="#N/A FIELD NOT APPLICABLE")," ",IF(F30="GBP",(_xll.BDP($AX30,"PX_LAST")),(_xll.BDP($AX30,"PX_LAST"))))</f>
        <v>26.88</v>
      </c>
      <c r="R30" s="29">
        <f>IF(F30="USD",AA30,(((_xll.BDP(F30&amp;"USD CURNCY","PX_LAST")))*AA30))</f>
        <v>71596.070000000007</v>
      </c>
      <c r="S30" s="29">
        <f>IF(F30="USD",AB30,(((_xll.BDP(F30&amp;"USD CURNCY","PX_LAST")))*AB30))</f>
        <v>72925.440000000002</v>
      </c>
      <c r="T30" s="12">
        <f t="shared" si="0"/>
        <v>1329.3699999999953</v>
      </c>
      <c r="U30" s="13">
        <f t="shared" si="1"/>
        <v>1.8567639257294363E-2</v>
      </c>
      <c r="V30" s="13" cm="1">
        <f t="array" ref="V30">IFERROR(_xll.BDP($G30&amp;" Equity","CHG_PCT_1D")/100,"")</f>
        <v>-5.9171600000000003E-3</v>
      </c>
      <c r="W30" s="13" cm="1">
        <f t="array" ref="W30">IFERROR(_xll.BDP($G30&amp;" Equity","CHG_PCT_5D")/100,"")</f>
        <v>5.2356020000000007E-3</v>
      </c>
      <c r="X30" s="13" t="e">
        <f>S30/#REF!</f>
        <v>#REF!</v>
      </c>
      <c r="Y30" s="29">
        <f t="shared" si="2"/>
        <v>5925.0290403366089</v>
      </c>
      <c r="Z30" s="29">
        <f t="shared" si="3"/>
        <v>72925.440000000002</v>
      </c>
      <c r="AA30" s="29">
        <f t="shared" si="4"/>
        <v>71596.070000000007</v>
      </c>
      <c r="AB30" s="29">
        <f t="shared" si="5"/>
        <v>72925.440000000002</v>
      </c>
      <c r="AC30" s="25" t="str" cm="1">
        <f t="array" ref="AC30">IF(OR(_xll.BDP($AX30,"EX028")="#N/A N/A",_xll.BDP($AX30,"EX028")="#N/A FIELD NOT APPLICABLE")," ", _xll.BDP($AX30,"EX028"))</f>
        <v>Fund</v>
      </c>
      <c r="AD30" s="35" t="str" cm="1">
        <f t="array" ref="AD30">IF(OR(_xll.BDP($AX30,"FD121")="#N/A N/A",_xll.BDP($AX30,"FD121")="#N/A FIELD NOT APPLICABLE")," ", _xll.BDP($AX30,"FD121"))</f>
        <v>Equity</v>
      </c>
      <c r="AE30" s="25" t="str" cm="1">
        <f t="array" ref="AE30">IF(OR(_xll.BDP($AX30,"FD118")="#N/A N/A",_xll.BDP($AX30,"FD118")="#N/A FIELD NOT APPLICABLE")," ", _xll.BDP($AX30,"FD118"))</f>
        <v>ETF</v>
      </c>
      <c r="AF30" s="22" t="str" cm="1">
        <f t="array" ref="AF30">IF(OR(_xll.BDP($AX30,"FD114")="#N/A N/A",_xll.BDP($AX30,"FD114")="#N/A FIELD NOT APPLICABLE")," ", _xll.BDP($AX30,"FD114"))</f>
        <v xml:space="preserve"> </v>
      </c>
      <c r="AG30" s="22" t="str" cm="1">
        <f t="array" ref="AG30">IF(OR(_xll.BDP($AX30,"FD003")="#N/A N/A",_xll.BDP($AX30,"FD003")="#N/A FIELD NOT APPLICABLE")," ", _xll.BDP($AX30,"FD003"))</f>
        <v>14/07/2000</v>
      </c>
      <c r="AH30" s="32" cm="1">
        <f t="array" ref="AH30">IF(OR(_xll.BDP($AX30,"PR061")="#N/A N/A",_xll.BDP($AX30,"PR061")="#N/A FIELD NOT APPLICABLE")," ", _xll.BDP($AX30,"PR061")/100)</f>
        <v>2.8309129999999998E-2</v>
      </c>
      <c r="AI30" s="25" cm="1">
        <f t="array" ref="AI30">IF(OR(_xll.BDP($AX30,"RT075")="#N/A N/A",_xll.BDP($AX30,"RT075")="#N/A FIELD NOT APPLICABLE")," ", _xll.BDP($AX30,"RT075")/100)</f>
        <v>1.962537E-2</v>
      </c>
      <c r="AJ30" s="25" cm="1">
        <f t="array" ref="AJ30">IF(OR(_xll.BDP($AX30,"RT076")="#N/A N/A",_xll.BDP($AX30,"RT076")="#N/A FIELD NOT APPLICABLE")," ", _xll.BDP($AX30,"RT076")/100)</f>
        <v>0.1041513</v>
      </c>
      <c r="AK30" s="25" cm="1">
        <f t="array" ref="AK30">IF(OR(_xll.BDP($AX30,"FD252")="#N/A N/A",_xll.BDP($AX30,"FD252")="#N/A FIELD NOT APPLICABLE")," ", _xll.BDP($AX30,"FD252")/100)</f>
        <v>0</v>
      </c>
      <c r="AL30" s="25" cm="1">
        <f t="array" ref="AL30">IF(OR(_xll.BDP($AX30,"FD015")="#N/A N/A",_xll.BDP($AX30,"FD015")="#N/A FIELD NOT APPLICABLE")," ", _xll.BDP($AX30,"FD015")/100)</f>
        <v>5.8999999999999999E-3</v>
      </c>
      <c r="AM30" s="25" cm="1">
        <f t="array" ref="AM30">IF(OR(_xll.BDP($AX30,"FD138")="#N/A N/A",_xll.BDP($AX30,"FD138")="#N/A FIELD NOT APPLICABLE")," ", _xll.BDP($AX30,"FD138")/100)</f>
        <v>5.8999999999999999E-3</v>
      </c>
      <c r="AN30" s="36" cm="1">
        <f t="array" ref="AN30">IF(OR(_xll.BDP($AX30,"FD009")="#N/A N/A",_xll.BDP($AX30,"FD009")="#N/A FIELD NOT APPLICABLE")," ", _xll.BDP($AX30,"FD009")/100)</f>
        <v>0</v>
      </c>
      <c r="AO30" s="25" cm="1">
        <f t="array" ref="AO30">IF(OR(_xll.BDP($AX30,"RK512")="#N/A N/A",_xll.BDP($AX30,"RK512")="#N/A FIELD NOT APPLICABLE")," ", _xll.BDP($AX30,"RK512")/100)</f>
        <v>-4.392440021038055E-3</v>
      </c>
      <c r="AP30" s="25" cm="1">
        <f t="array" ref="AP30">IF(OR(_xll.BDP($AX30,"RK514")="#N/A N/A",_xll.BDP($AX30,"RK514")="#N/A FIELD NOT APPLICABLE")," ", _xll.BDP($AX30,"RK514")/100)</f>
        <v>-4.6389099955558774E-3</v>
      </c>
      <c r="AQ30" s="25" cm="1">
        <f t="array" ref="AQ30">IF(OR(_xll.BDP($AX30,"RK521")="#N/A N/A",_xll.BDP($AX30,"RK521")="#N/A FIELD NOT APPLICABLE")," ", _xll.BDP($AX30,"RK521")/100)</f>
        <v>-5.2297997474670408E-3</v>
      </c>
      <c r="AR30" s="25" cm="1">
        <f t="array" ref="AR30">IF(OR(_xll.BDP($AX30,"RK525")="#N/A N/A",_xll.BDP($AX30,"RK525")="#N/A FIELD NOT APPLICABLE")," ", _xll.BDP($AX30,"RK525")/100)</f>
        <v>1.0247000455856324E-2</v>
      </c>
      <c r="AS30" s="25" cm="1">
        <f t="array" ref="AS30">IF(OR(_xll.BDP($AX30,"RK524")="#N/A N/A",_xll.BDP($AX30,"RK524")="#N/A FIELD NOT APPLICABLE")," ", _xll.BDP($AX30,"RK524")/100)</f>
        <v>-7.7220001257956029E-5</v>
      </c>
      <c r="AT30" s="25" t="str" cm="1">
        <f t="array" ref="AT30">IF(OR(_xll.BDP($AX30,"FD183")="#N/A N/A",_xll.BDP($AX30,"FD183")="#N/A FIELD NOT APPLICABLE")," ", _xll.BDP($AX30,"FD183"))</f>
        <v>USD INC</v>
      </c>
      <c r="AU30" s="25" t="str" cm="1">
        <f t="array" ref="AU30">IF(OR(_xll.BDP($AX30,"DY997")="#N/A N/A",_xll.BDP($AX30,"DY997")="#N/A FIELD NOT APPLICABLE")," ", _xll.BDP($AX30,"DY997"))</f>
        <v xml:space="preserve"> </v>
      </c>
      <c r="AV30" s="25" t="str" cm="1">
        <f t="array" ref="AV30">IF(OR(_xll.BDP($AX30,"DY784")="#N/A N/A",_xll.BDP($AX30,"DY784")="#N/A FIELD NOT APPLICABLE")," ", _xll.BDP($AX30,"DY784"))</f>
        <v xml:space="preserve"> </v>
      </c>
      <c r="AW30" s="22" t="str">
        <f t="shared" si="6"/>
        <v>N</v>
      </c>
      <c r="AX30" s="22" t="str">
        <f t="shared" si="7"/>
        <v>EWZ US Equity</v>
      </c>
      <c r="BC30" s="17" t="str" cm="1">
        <f t="array" ref="BC30">_xll.BDP(AX30,"ID005")</f>
        <v>US4642864007</v>
      </c>
      <c r="BD30" s="17">
        <v>0.75</v>
      </c>
      <c r="BE30" s="18">
        <v>5</v>
      </c>
      <c r="BF30" s="37">
        <v>45510</v>
      </c>
      <c r="BG30" s="20">
        <v>1.0000000000107532</v>
      </c>
    </row>
    <row r="31" spans="1:59" s="3" customFormat="1" ht="14.45" customHeight="1" x14ac:dyDescent="0.25">
      <c r="A31" s="49" t="s">
        <v>241</v>
      </c>
      <c r="B31" s="49" t="s">
        <v>272</v>
      </c>
      <c r="C31" s="49">
        <v>2620061.0010000002</v>
      </c>
      <c r="D31" s="49" t="s">
        <v>240</v>
      </c>
      <c r="E31" s="22" t="str">
        <f>_xll.BDP(AX31,"SECURITY NAME")</f>
        <v>iShares MSCI Brazil ETF</v>
      </c>
      <c r="F31" s="22" t="str">
        <f>_xll.BDP(AX31,"CRNCY")</f>
        <v>USD</v>
      </c>
      <c r="G31" s="23" t="s">
        <v>127</v>
      </c>
      <c r="H31" s="22" t="str" cm="1">
        <f t="array" ref="H31">IF(OR(_xll.BDP($AX31,"FD120")="#N/A N/A",_xll.BDP($AX31,"FD120")="#N/A FIELD NOT APPLICABLE")," ",_xll.BDP($AX31,"FD120"))</f>
        <v>Brazil</v>
      </c>
      <c r="I31" s="22" t="str" cm="1">
        <f t="array" ref="I31">IF(OR(_xll.BDP($AX31,"FD116")="#N/A N/A",_xll.BDP($AX31,"FD116")="#N/A FIELD NOT APPLICABLE")," ",_xll.BDP($AX31,"FD116"))</f>
        <v>Blend</v>
      </c>
      <c r="J31" s="22" t="str" cm="1">
        <f t="array" ref="J31">IF(OR(_xll.BDP($AX31,"FD133")="#N/A N/A",_xll.BDP($AX31,"FD133")="#N/A FIELD NOT APPLICABLE")," ", _xll.BDP($AX31,"FD133"))</f>
        <v xml:space="preserve"> </v>
      </c>
      <c r="K31" s="34">
        <f>_xll.BDP(AX31,"FUND_ASSETS_USD")/1000</f>
        <v>3.7745484216</v>
      </c>
      <c r="L31" s="25">
        <f>IFERROR(_xll.BDP(AX31, "DV013")/100,0)</f>
        <v>8.1247765393484203E-2</v>
      </c>
      <c r="M31" s="25" cm="1">
        <f t="array" ref="M31">IF(OR(_xll.BDP($AX31,"PR079")="#N/A N/A",_xll.BDP($AX31,"PR079")="#N/A FIELD NOT APPLICABLE")," ", _xll.BDP($AX31,"PR079")/100)</f>
        <v>0.1941359</v>
      </c>
      <c r="N31" s="25" cm="1">
        <f t="array" ref="N31">IF(OR(_xll.BDP($AX31,"RT074")="#N/A N/A",_xll.BDP($AX31,"RT074")="#N/A FIELD NOT APPLICABLE")," ", _xll.BDP($AX31,"RT074")/100)</f>
        <v>-6.819689000000001E-2</v>
      </c>
      <c r="O31" s="27">
        <v>2518</v>
      </c>
      <c r="P31" s="28">
        <v>26.39</v>
      </c>
      <c r="Q31" s="22" cm="1">
        <f t="array" ref="Q31">IF(OR(_xll.BDP($AX31,"PX_last")="#N/A N/A",_xll.BDP($AX31,"PX_Last")="#N/A FIELD NOT APPLICABLE")," ",IF(F31="GBP",(_xll.BDP($AX31,"PX_LAST")),(_xll.BDP($AX31,"PX_LAST"))))</f>
        <v>26.88</v>
      </c>
      <c r="R31" s="29">
        <f>IF(F31="USD",AA31,(((_xll.BDP(F31&amp;"USD CURNCY","PX_LAST")))*AA31))</f>
        <v>66450.02</v>
      </c>
      <c r="S31" s="29">
        <f>IF(F31="USD",AB31,(((_xll.BDP(F31&amp;"USD CURNCY","PX_LAST")))*AB31))</f>
        <v>67683.839999999997</v>
      </c>
      <c r="T31" s="12">
        <f t="shared" si="0"/>
        <v>1233.8199999999924</v>
      </c>
      <c r="U31" s="13">
        <f t="shared" si="1"/>
        <v>1.8567639257294315E-2</v>
      </c>
      <c r="V31" s="13" cm="1">
        <f t="array" ref="V31">IFERROR(_xll.BDP($G31&amp;" Equity","CHG_PCT_1D")/100,"")</f>
        <v>-5.9171600000000003E-3</v>
      </c>
      <c r="W31" s="13" cm="1">
        <f t="array" ref="W31">IFERROR(_xll.BDP($G31&amp;" Equity","CHG_PCT_5D")/100,"")</f>
        <v>5.2356020000000007E-3</v>
      </c>
      <c r="X31" s="13" t="e">
        <f>S31/#REF!</f>
        <v>#REF!</v>
      </c>
      <c r="Y31" s="29">
        <f t="shared" si="2"/>
        <v>5499.1607532501212</v>
      </c>
      <c r="Z31" s="29">
        <f t="shared" si="3"/>
        <v>67683.839999999997</v>
      </c>
      <c r="AA31" s="29">
        <f t="shared" si="4"/>
        <v>66450.02</v>
      </c>
      <c r="AB31" s="29">
        <f t="shared" si="5"/>
        <v>67683.839999999997</v>
      </c>
      <c r="AC31" s="25" t="str" cm="1">
        <f t="array" ref="AC31">IF(OR(_xll.BDP($AX31,"EX028")="#N/A N/A",_xll.BDP($AX31,"EX028")="#N/A FIELD NOT APPLICABLE")," ", _xll.BDP($AX31,"EX028"))</f>
        <v>Fund</v>
      </c>
      <c r="AD31" s="35" t="str" cm="1">
        <f t="array" ref="AD31">IF(OR(_xll.BDP($AX31,"FD121")="#N/A N/A",_xll.BDP($AX31,"FD121")="#N/A FIELD NOT APPLICABLE")," ", _xll.BDP($AX31,"FD121"))</f>
        <v>Equity</v>
      </c>
      <c r="AE31" s="25" t="str" cm="1">
        <f t="array" ref="AE31">IF(OR(_xll.BDP($AX31,"FD118")="#N/A N/A",_xll.BDP($AX31,"FD118")="#N/A FIELD NOT APPLICABLE")," ", _xll.BDP($AX31,"FD118"))</f>
        <v>ETF</v>
      </c>
      <c r="AF31" s="22" t="str" cm="1">
        <f t="array" ref="AF31">IF(OR(_xll.BDP($AX31,"FD114")="#N/A N/A",_xll.BDP($AX31,"FD114")="#N/A FIELD NOT APPLICABLE")," ", _xll.BDP($AX31,"FD114"))</f>
        <v xml:space="preserve"> </v>
      </c>
      <c r="AG31" s="22" t="str" cm="1">
        <f t="array" ref="AG31">IF(OR(_xll.BDP($AX31,"FD003")="#N/A N/A",_xll.BDP($AX31,"FD003")="#N/A FIELD NOT APPLICABLE")," ", _xll.BDP($AX31,"FD003"))</f>
        <v>14/07/2000</v>
      </c>
      <c r="AH31" s="32" cm="1">
        <f t="array" ref="AH31">IF(OR(_xll.BDP($AX31,"PR061")="#N/A N/A",_xll.BDP($AX31,"PR061")="#N/A FIELD NOT APPLICABLE")," ", _xll.BDP($AX31,"PR061")/100)</f>
        <v>2.8309129999999998E-2</v>
      </c>
      <c r="AI31" s="25" cm="1">
        <f t="array" ref="AI31">IF(OR(_xll.BDP($AX31,"RT075")="#N/A N/A",_xll.BDP($AX31,"RT075")="#N/A FIELD NOT APPLICABLE")," ", _xll.BDP($AX31,"RT075")/100)</f>
        <v>1.962537E-2</v>
      </c>
      <c r="AJ31" s="25" cm="1">
        <f t="array" ref="AJ31">IF(OR(_xll.BDP($AX31,"RT076")="#N/A N/A",_xll.BDP($AX31,"RT076")="#N/A FIELD NOT APPLICABLE")," ", _xll.BDP($AX31,"RT076")/100)</f>
        <v>0.1041513</v>
      </c>
      <c r="AK31" s="25" cm="1">
        <f t="array" ref="AK31">IF(OR(_xll.BDP($AX31,"FD252")="#N/A N/A",_xll.BDP($AX31,"FD252")="#N/A FIELD NOT APPLICABLE")," ", _xll.BDP($AX31,"FD252")/100)</f>
        <v>0</v>
      </c>
      <c r="AL31" s="25" cm="1">
        <f t="array" ref="AL31">IF(OR(_xll.BDP($AX31,"FD015")="#N/A N/A",_xll.BDP($AX31,"FD015")="#N/A FIELD NOT APPLICABLE")," ", _xll.BDP($AX31,"FD015")/100)</f>
        <v>5.8999999999999999E-3</v>
      </c>
      <c r="AM31" s="25" cm="1">
        <f t="array" ref="AM31">IF(OR(_xll.BDP($AX31,"FD138")="#N/A N/A",_xll.BDP($AX31,"FD138")="#N/A FIELD NOT APPLICABLE")," ", _xll.BDP($AX31,"FD138")/100)</f>
        <v>5.8999999999999999E-3</v>
      </c>
      <c r="AN31" s="36" cm="1">
        <f t="array" ref="AN31">IF(OR(_xll.BDP($AX31,"FD009")="#N/A N/A",_xll.BDP($AX31,"FD009")="#N/A FIELD NOT APPLICABLE")," ", _xll.BDP($AX31,"FD009")/100)</f>
        <v>0</v>
      </c>
      <c r="AO31" s="25" cm="1">
        <f t="array" ref="AO31">IF(OR(_xll.BDP($AX31,"RK512")="#N/A N/A",_xll.BDP($AX31,"RK512")="#N/A FIELD NOT APPLICABLE")," ", _xll.BDP($AX31,"RK512")/100)</f>
        <v>-4.392440021038055E-3</v>
      </c>
      <c r="AP31" s="25" cm="1">
        <f t="array" ref="AP31">IF(OR(_xll.BDP($AX31,"RK514")="#N/A N/A",_xll.BDP($AX31,"RK514")="#N/A FIELD NOT APPLICABLE")," ", _xll.BDP($AX31,"RK514")/100)</f>
        <v>-4.6389099955558774E-3</v>
      </c>
      <c r="AQ31" s="25" cm="1">
        <f t="array" ref="AQ31">IF(OR(_xll.BDP($AX31,"RK521")="#N/A N/A",_xll.BDP($AX31,"RK521")="#N/A FIELD NOT APPLICABLE")," ", _xll.BDP($AX31,"RK521")/100)</f>
        <v>-5.2297997474670408E-3</v>
      </c>
      <c r="AR31" s="25" cm="1">
        <f t="array" ref="AR31">IF(OR(_xll.BDP($AX31,"RK525")="#N/A N/A",_xll.BDP($AX31,"RK525")="#N/A FIELD NOT APPLICABLE")," ", _xll.BDP($AX31,"RK525")/100)</f>
        <v>1.0247000455856324E-2</v>
      </c>
      <c r="AS31" s="25" cm="1">
        <f t="array" ref="AS31">IF(OR(_xll.BDP($AX31,"RK524")="#N/A N/A",_xll.BDP($AX31,"RK524")="#N/A FIELD NOT APPLICABLE")," ", _xll.BDP($AX31,"RK524")/100)</f>
        <v>-7.7220001257956029E-5</v>
      </c>
      <c r="AT31" s="25" t="str" cm="1">
        <f t="array" ref="AT31">IF(OR(_xll.BDP($AX31,"FD183")="#N/A N/A",_xll.BDP($AX31,"FD183")="#N/A FIELD NOT APPLICABLE")," ", _xll.BDP($AX31,"FD183"))</f>
        <v>USD INC</v>
      </c>
      <c r="AU31" s="25" t="str" cm="1">
        <f t="array" ref="AU31">IF(OR(_xll.BDP($AX31,"DY997")="#N/A N/A",_xll.BDP($AX31,"DY997")="#N/A FIELD NOT APPLICABLE")," ", _xll.BDP($AX31,"DY997"))</f>
        <v xml:space="preserve"> </v>
      </c>
      <c r="AV31" s="25" t="str" cm="1">
        <f t="array" ref="AV31">IF(OR(_xll.BDP($AX31,"DY784")="#N/A N/A",_xll.BDP($AX31,"DY784")="#N/A FIELD NOT APPLICABLE")," ", _xll.BDP($AX31,"DY784"))</f>
        <v xml:space="preserve"> </v>
      </c>
      <c r="AW31" s="22" t="str">
        <f t="shared" si="6"/>
        <v>N</v>
      </c>
      <c r="AX31" s="22" t="str">
        <f t="shared" si="7"/>
        <v>EWZ US Equity</v>
      </c>
      <c r="BC31" s="17" t="str" cm="1">
        <f t="array" ref="BC31">_xll.BDP(AX31,"ID005")</f>
        <v>US4642864007</v>
      </c>
      <c r="BD31" s="17">
        <v>0.75</v>
      </c>
      <c r="BE31" s="18">
        <v>3</v>
      </c>
      <c r="BF31" s="37">
        <v>45510</v>
      </c>
      <c r="BG31" s="20">
        <v>1.0000000000107532</v>
      </c>
    </row>
    <row r="32" spans="1:59" s="3" customFormat="1" ht="14.45" customHeight="1" x14ac:dyDescent="0.25">
      <c r="A32" s="49" t="s">
        <v>241</v>
      </c>
      <c r="B32" s="49" t="s">
        <v>273</v>
      </c>
      <c r="C32" s="49">
        <v>2620058.003</v>
      </c>
      <c r="D32" s="49" t="s">
        <v>240</v>
      </c>
      <c r="E32" s="22" t="str">
        <f>_xll.BDP(AX32,"SECURITY NAME")</f>
        <v>iShares MSCI Brazil ETF</v>
      </c>
      <c r="F32" s="22" t="str">
        <f>_xll.BDP(AX32,"CRNCY")</f>
        <v>USD</v>
      </c>
      <c r="G32" s="23" t="s">
        <v>127</v>
      </c>
      <c r="H32" s="22" t="str" cm="1">
        <f t="array" ref="H32">IF(OR(_xll.BDP($AX32,"FD120")="#N/A N/A",_xll.BDP($AX32,"FD120")="#N/A FIELD NOT APPLICABLE")," ",_xll.BDP($AX32,"FD120"))</f>
        <v>Brazil</v>
      </c>
      <c r="I32" s="22" t="str" cm="1">
        <f t="array" ref="I32">IF(OR(_xll.BDP($AX32,"FD116")="#N/A N/A",_xll.BDP($AX32,"FD116")="#N/A FIELD NOT APPLICABLE")," ",_xll.BDP($AX32,"FD116"))</f>
        <v>Blend</v>
      </c>
      <c r="J32" s="22" t="str" cm="1">
        <f t="array" ref="J32">IF(OR(_xll.BDP($AX32,"FD133")="#N/A N/A",_xll.BDP($AX32,"FD133")="#N/A FIELD NOT APPLICABLE")," ", _xll.BDP($AX32,"FD133"))</f>
        <v xml:space="preserve"> </v>
      </c>
      <c r="K32" s="34">
        <f>_xll.BDP(AX32,"FUND_ASSETS_USD")/1000</f>
        <v>3.7745484216</v>
      </c>
      <c r="L32" s="25">
        <f>IFERROR(_xll.BDP(AX32, "DV013")/100,0)</f>
        <v>8.1247765393484203E-2</v>
      </c>
      <c r="M32" s="25" cm="1">
        <f t="array" ref="M32">IF(OR(_xll.BDP($AX32,"PR079")="#N/A N/A",_xll.BDP($AX32,"PR079")="#N/A FIELD NOT APPLICABLE")," ", _xll.BDP($AX32,"PR079")/100)</f>
        <v>0.1941359</v>
      </c>
      <c r="N32" s="25" cm="1">
        <f t="array" ref="N32">IF(OR(_xll.BDP($AX32,"RT074")="#N/A N/A",_xll.BDP($AX32,"RT074")="#N/A FIELD NOT APPLICABLE")," ", _xll.BDP($AX32,"RT074")/100)</f>
        <v>-6.819689000000001E-2</v>
      </c>
      <c r="O32" s="27">
        <v>1679</v>
      </c>
      <c r="P32" s="28">
        <v>26.39</v>
      </c>
      <c r="Q32" s="22" cm="1">
        <f t="array" ref="Q32">IF(OR(_xll.BDP($AX32,"PX_last")="#N/A N/A",_xll.BDP($AX32,"PX_Last")="#N/A FIELD NOT APPLICABLE")," ",IF(F32="GBP",(_xll.BDP($AX32,"PX_LAST")),(_xll.BDP($AX32,"PX_LAST"))))</f>
        <v>26.88</v>
      </c>
      <c r="R32" s="29">
        <f>IF(F32="USD",AA32,(((_xll.BDP(F32&amp;"USD CURNCY","PX_LAST")))*AA32))</f>
        <v>44308.81</v>
      </c>
      <c r="S32" s="29">
        <f>IF(F32="USD",AB32,(((_xll.BDP(F32&amp;"USD CURNCY","PX_LAST")))*AB32))</f>
        <v>45131.519999999997</v>
      </c>
      <c r="T32" s="12">
        <f t="shared" si="0"/>
        <v>822.70999999999913</v>
      </c>
      <c r="U32" s="13">
        <f t="shared" si="1"/>
        <v>1.8567639257294412E-2</v>
      </c>
      <c r="V32" s="13" cm="1">
        <f t="array" ref="V32">IFERROR(_xll.BDP($G32&amp;" Equity","CHG_PCT_1D")/100,"")</f>
        <v>-5.9171600000000003E-3</v>
      </c>
      <c r="W32" s="13" cm="1">
        <f t="array" ref="W32">IFERROR(_xll.BDP($G32&amp;" Equity","CHG_PCT_5D")/100,"")</f>
        <v>5.2356020000000007E-3</v>
      </c>
      <c r="X32" s="13" t="e">
        <f>S32/#REF!</f>
        <v>#REF!</v>
      </c>
      <c r="Y32" s="29">
        <f t="shared" si="2"/>
        <v>3666.8351488113399</v>
      </c>
      <c r="Z32" s="29">
        <f t="shared" si="3"/>
        <v>45131.519999999997</v>
      </c>
      <c r="AA32" s="29">
        <f t="shared" si="4"/>
        <v>44308.81</v>
      </c>
      <c r="AB32" s="29">
        <f t="shared" si="5"/>
        <v>45131.519999999997</v>
      </c>
      <c r="AC32" s="25" t="str" cm="1">
        <f t="array" ref="AC32">IF(OR(_xll.BDP($AX32,"EX028")="#N/A N/A",_xll.BDP($AX32,"EX028")="#N/A FIELD NOT APPLICABLE")," ", _xll.BDP($AX32,"EX028"))</f>
        <v>Fund</v>
      </c>
      <c r="AD32" s="35" t="str" cm="1">
        <f t="array" ref="AD32">IF(OR(_xll.BDP($AX32,"FD121")="#N/A N/A",_xll.BDP($AX32,"FD121")="#N/A FIELD NOT APPLICABLE")," ", _xll.BDP($AX32,"FD121"))</f>
        <v>Equity</v>
      </c>
      <c r="AE32" s="25" t="str" cm="1">
        <f t="array" ref="AE32">IF(OR(_xll.BDP($AX32,"FD118")="#N/A N/A",_xll.BDP($AX32,"FD118")="#N/A FIELD NOT APPLICABLE")," ", _xll.BDP($AX32,"FD118"))</f>
        <v>ETF</v>
      </c>
      <c r="AF32" s="22" t="str" cm="1">
        <f t="array" ref="AF32">IF(OR(_xll.BDP($AX32,"FD114")="#N/A N/A",_xll.BDP($AX32,"FD114")="#N/A FIELD NOT APPLICABLE")," ", _xll.BDP($AX32,"FD114"))</f>
        <v xml:space="preserve"> </v>
      </c>
      <c r="AG32" s="22" t="str" cm="1">
        <f t="array" ref="AG32">IF(OR(_xll.BDP($AX32,"FD003")="#N/A N/A",_xll.BDP($AX32,"FD003")="#N/A FIELD NOT APPLICABLE")," ", _xll.BDP($AX32,"FD003"))</f>
        <v>14/07/2000</v>
      </c>
      <c r="AH32" s="32" cm="1">
        <f t="array" ref="AH32">IF(OR(_xll.BDP($AX32,"PR061")="#N/A N/A",_xll.BDP($AX32,"PR061")="#N/A FIELD NOT APPLICABLE")," ", _xll.BDP($AX32,"PR061")/100)</f>
        <v>2.8309129999999998E-2</v>
      </c>
      <c r="AI32" s="25" cm="1">
        <f t="array" ref="AI32">IF(OR(_xll.BDP($AX32,"RT075")="#N/A N/A",_xll.BDP($AX32,"RT075")="#N/A FIELD NOT APPLICABLE")," ", _xll.BDP($AX32,"RT075")/100)</f>
        <v>1.962537E-2</v>
      </c>
      <c r="AJ32" s="25" cm="1">
        <f t="array" ref="AJ32">IF(OR(_xll.BDP($AX32,"RT076")="#N/A N/A",_xll.BDP($AX32,"RT076")="#N/A FIELD NOT APPLICABLE")," ", _xll.BDP($AX32,"RT076")/100)</f>
        <v>0.1041513</v>
      </c>
      <c r="AK32" s="25" cm="1">
        <f t="array" ref="AK32">IF(OR(_xll.BDP($AX32,"FD252")="#N/A N/A",_xll.BDP($AX32,"FD252")="#N/A FIELD NOT APPLICABLE")," ", _xll.BDP($AX32,"FD252")/100)</f>
        <v>0</v>
      </c>
      <c r="AL32" s="25" cm="1">
        <f t="array" ref="AL32">IF(OR(_xll.BDP($AX32,"FD015")="#N/A N/A",_xll.BDP($AX32,"FD015")="#N/A FIELD NOT APPLICABLE")," ", _xll.BDP($AX32,"FD015")/100)</f>
        <v>5.8999999999999999E-3</v>
      </c>
      <c r="AM32" s="25" cm="1">
        <f t="array" ref="AM32">IF(OR(_xll.BDP($AX32,"FD138")="#N/A N/A",_xll.BDP($AX32,"FD138")="#N/A FIELD NOT APPLICABLE")," ", _xll.BDP($AX32,"FD138")/100)</f>
        <v>5.8999999999999999E-3</v>
      </c>
      <c r="AN32" s="36" cm="1">
        <f t="array" ref="AN32">IF(OR(_xll.BDP($AX32,"FD009")="#N/A N/A",_xll.BDP($AX32,"FD009")="#N/A FIELD NOT APPLICABLE")," ", _xll.BDP($AX32,"FD009")/100)</f>
        <v>0</v>
      </c>
      <c r="AO32" s="25" cm="1">
        <f t="array" ref="AO32">IF(OR(_xll.BDP($AX32,"RK512")="#N/A N/A",_xll.BDP($AX32,"RK512")="#N/A FIELD NOT APPLICABLE")," ", _xll.BDP($AX32,"RK512")/100)</f>
        <v>-4.392440021038055E-3</v>
      </c>
      <c r="AP32" s="25" cm="1">
        <f t="array" ref="AP32">IF(OR(_xll.BDP($AX32,"RK514")="#N/A N/A",_xll.BDP($AX32,"RK514")="#N/A FIELD NOT APPLICABLE")," ", _xll.BDP($AX32,"RK514")/100)</f>
        <v>-4.6389099955558774E-3</v>
      </c>
      <c r="AQ32" s="25" cm="1">
        <f t="array" ref="AQ32">IF(OR(_xll.BDP($AX32,"RK521")="#N/A N/A",_xll.BDP($AX32,"RK521")="#N/A FIELD NOT APPLICABLE")," ", _xll.BDP($AX32,"RK521")/100)</f>
        <v>-5.2297997474670408E-3</v>
      </c>
      <c r="AR32" s="25" cm="1">
        <f t="array" ref="AR32">IF(OR(_xll.BDP($AX32,"RK525")="#N/A N/A",_xll.BDP($AX32,"RK525")="#N/A FIELD NOT APPLICABLE")," ", _xll.BDP($AX32,"RK525")/100)</f>
        <v>1.0247000455856324E-2</v>
      </c>
      <c r="AS32" s="25" cm="1">
        <f t="array" ref="AS32">IF(OR(_xll.BDP($AX32,"RK524")="#N/A N/A",_xll.BDP($AX32,"RK524")="#N/A FIELD NOT APPLICABLE")," ", _xll.BDP($AX32,"RK524")/100)</f>
        <v>-7.7220001257956029E-5</v>
      </c>
      <c r="AT32" s="25" t="str" cm="1">
        <f t="array" ref="AT32">IF(OR(_xll.BDP($AX32,"FD183")="#N/A N/A",_xll.BDP($AX32,"FD183")="#N/A FIELD NOT APPLICABLE")," ", _xll.BDP($AX32,"FD183"))</f>
        <v>USD INC</v>
      </c>
      <c r="AU32" s="25" t="str" cm="1">
        <f t="array" ref="AU32">IF(OR(_xll.BDP($AX32,"DY997")="#N/A N/A",_xll.BDP($AX32,"DY997")="#N/A FIELD NOT APPLICABLE")," ", _xll.BDP($AX32,"DY997"))</f>
        <v xml:space="preserve"> </v>
      </c>
      <c r="AV32" s="25" t="str" cm="1">
        <f t="array" ref="AV32">IF(OR(_xll.BDP($AX32,"DY784")="#N/A N/A",_xll.BDP($AX32,"DY784")="#N/A FIELD NOT APPLICABLE")," ", _xll.BDP($AX32,"DY784"))</f>
        <v xml:space="preserve"> </v>
      </c>
      <c r="AW32" s="22" t="str">
        <f t="shared" si="6"/>
        <v>N</v>
      </c>
      <c r="AX32" s="22" t="str">
        <f t="shared" si="7"/>
        <v>EWZ US Equity</v>
      </c>
      <c r="BC32" s="17" t="str" cm="1">
        <f t="array" ref="BC32">_xll.BDP(AX32,"ID005")</f>
        <v>US4642864007</v>
      </c>
      <c r="BD32" s="17">
        <v>0.75</v>
      </c>
      <c r="BE32" s="18">
        <v>3</v>
      </c>
      <c r="BF32" s="37">
        <v>45510</v>
      </c>
      <c r="BG32" s="20">
        <v>1.0000000000107532</v>
      </c>
    </row>
    <row r="33" spans="1:59" s="3" customFormat="1" ht="14.45" customHeight="1" x14ac:dyDescent="0.25">
      <c r="A33" s="49" t="s">
        <v>257</v>
      </c>
      <c r="B33" s="49" t="s">
        <v>274</v>
      </c>
      <c r="C33" s="49">
        <v>1000015111</v>
      </c>
      <c r="D33" s="49" t="s">
        <v>275</v>
      </c>
      <c r="E33" s="22" t="str">
        <f>_xll.BDP(AX33,"SECURITY NAME")</f>
        <v>iShares MSCI Brazil ETF</v>
      </c>
      <c r="F33" s="22" t="str">
        <f>_xll.BDP(AX33,"CRNCY")</f>
        <v>USD</v>
      </c>
      <c r="G33" s="23" t="s">
        <v>127</v>
      </c>
      <c r="H33" s="22" t="str" cm="1">
        <f t="array" ref="H33">IF(OR(_xll.BDP($AX33,"FD120")="#N/A N/A",_xll.BDP($AX33,"FD120")="#N/A FIELD NOT APPLICABLE")," ",_xll.BDP($AX33,"FD120"))</f>
        <v>Brazil</v>
      </c>
      <c r="I33" s="22" t="str" cm="1">
        <f t="array" ref="I33">IF(OR(_xll.BDP($AX33,"FD116")="#N/A N/A",_xll.BDP($AX33,"FD116")="#N/A FIELD NOT APPLICABLE")," ",_xll.BDP($AX33,"FD116"))</f>
        <v>Blend</v>
      </c>
      <c r="J33" s="22" t="str" cm="1">
        <f t="array" ref="J33">IF(OR(_xll.BDP($AX33,"FD133")="#N/A N/A",_xll.BDP($AX33,"FD133")="#N/A FIELD NOT APPLICABLE")," ", _xll.BDP($AX33,"FD133"))</f>
        <v xml:space="preserve"> </v>
      </c>
      <c r="K33" s="34">
        <f>_xll.BDP(AX33,"FUND_ASSETS_USD")/1000</f>
        <v>3.7745484216</v>
      </c>
      <c r="L33" s="25">
        <f>IFERROR(_xll.BDP(AX33, "DV013")/100,0)</f>
        <v>8.1247765393484203E-2</v>
      </c>
      <c r="M33" s="25" cm="1">
        <f t="array" ref="M33">IF(OR(_xll.BDP($AX33,"PR079")="#N/A N/A",_xll.BDP($AX33,"PR079")="#N/A FIELD NOT APPLICABLE")," ", _xll.BDP($AX33,"PR079")/100)</f>
        <v>0.1941359</v>
      </c>
      <c r="N33" s="25" cm="1">
        <f t="array" ref="N33">IF(OR(_xll.BDP($AX33,"RT074")="#N/A N/A",_xll.BDP($AX33,"RT074")="#N/A FIELD NOT APPLICABLE")," ", _xll.BDP($AX33,"RT074")/100)</f>
        <v>-6.819689000000001E-2</v>
      </c>
      <c r="O33" s="27">
        <v>872</v>
      </c>
      <c r="P33" s="28">
        <v>26.24</v>
      </c>
      <c r="Q33" s="22" cm="1">
        <f t="array" ref="Q33">IF(OR(_xll.BDP($AX33,"PX_last")="#N/A N/A",_xll.BDP($AX33,"PX_Last")="#N/A FIELD NOT APPLICABLE")," ",IF(F33="GBP",(_xll.BDP($AX33,"PX_LAST")/100),(_xll.BDP($AX33,"PX_LAST"))))</f>
        <v>26.88</v>
      </c>
      <c r="R33" s="29">
        <f>IF(F33="USD",AA33,(((_xll.BDP(F33&amp;"USD CURNCY","PX_LAST")))*AA33))</f>
        <v>22881.279999999999</v>
      </c>
      <c r="S33" s="29">
        <f>IF(F33="USD",AB33,(((_xll.BDP(F33&amp;"USD CURNCY","PX_LAST")))*AB33))</f>
        <v>23439.360000000001</v>
      </c>
      <c r="T33" s="12">
        <f t="shared" si="0"/>
        <v>558.08000000000175</v>
      </c>
      <c r="U33" s="13">
        <f t="shared" si="1"/>
        <v>2.4390243902439102E-2</v>
      </c>
      <c r="V33" s="13" cm="1">
        <f t="array" ref="V33">IFERROR(_xll.BDP($G33&amp;" Equity","CHG_PCT_1D")/100,"")</f>
        <v>-5.9171600000000003E-3</v>
      </c>
      <c r="W33" s="13" cm="1">
        <f t="array" ref="W33">IFERROR(_xll.BDP($G33&amp;" Equity","CHG_PCT_5D")/100,"")</f>
        <v>5.2356020000000007E-3</v>
      </c>
      <c r="X33" s="13" t="e">
        <f>S33/#REF!</f>
        <v>#REF!</v>
      </c>
      <c r="Y33" s="29">
        <f t="shared" si="2"/>
        <v>1904.395622253418</v>
      </c>
      <c r="Z33" s="29">
        <f t="shared" si="3"/>
        <v>23439.360000000001</v>
      </c>
      <c r="AA33" s="29">
        <f t="shared" si="4"/>
        <v>22881.279999999999</v>
      </c>
      <c r="AB33" s="29">
        <f t="shared" si="5"/>
        <v>23439.360000000001</v>
      </c>
      <c r="AC33" s="25" t="str" cm="1">
        <f t="array" ref="AC33">IF(OR(_xll.BDP($AX33,"EX028")="#N/A N/A",_xll.BDP($AX33,"EX028")="#N/A FIELD NOT APPLICABLE")," ", _xll.BDP($AX33,"EX028"))</f>
        <v>Fund</v>
      </c>
      <c r="AD33" s="35" t="str" cm="1">
        <f t="array" ref="AD33">IF(OR(_xll.BDP($AX33,"FD121")="#N/A N/A",_xll.BDP($AX33,"FD121")="#N/A FIELD NOT APPLICABLE")," ", _xll.BDP($AX33,"FD121"))</f>
        <v>Equity</v>
      </c>
      <c r="AE33" s="25" t="str" cm="1">
        <f t="array" ref="AE33">IF(OR(_xll.BDP($AX33,"FD118")="#N/A N/A",_xll.BDP($AX33,"FD118")="#N/A FIELD NOT APPLICABLE")," ", _xll.BDP($AX33,"FD118"))</f>
        <v>ETF</v>
      </c>
      <c r="AF33" s="22" t="str" cm="1">
        <f t="array" ref="AF33">IF(OR(_xll.BDP($AX33,"FD114")="#N/A N/A",_xll.BDP($AX33,"FD114")="#N/A FIELD NOT APPLICABLE")," ", _xll.BDP($AX33,"FD114"))</f>
        <v xml:space="preserve"> </v>
      </c>
      <c r="AG33" s="22" t="str" cm="1">
        <f t="array" ref="AG33">IF(OR(_xll.BDP($AX33,"FD003")="#N/A N/A",_xll.BDP($AX33,"FD003")="#N/A FIELD NOT APPLICABLE")," ", _xll.BDP($AX33,"FD003"))</f>
        <v>14/07/2000</v>
      </c>
      <c r="AH33" s="32" cm="1">
        <f t="array" ref="AH33">IF(OR(_xll.BDP($AX33,"PR061")="#N/A N/A",_xll.BDP($AX33,"PR061")="#N/A FIELD NOT APPLICABLE")," ", _xll.BDP($AX33,"PR061")/100)</f>
        <v>2.8309129999999998E-2</v>
      </c>
      <c r="AI33" s="25" cm="1">
        <f t="array" ref="AI33">IF(OR(_xll.BDP($AX33,"RT075")="#N/A N/A",_xll.BDP($AX33,"RT075")="#N/A FIELD NOT APPLICABLE")," ", _xll.BDP($AX33,"RT075")/100)</f>
        <v>1.962537E-2</v>
      </c>
      <c r="AJ33" s="25" cm="1">
        <f t="array" ref="AJ33">IF(OR(_xll.BDP($AX33,"RT076")="#N/A N/A",_xll.BDP($AX33,"RT076")="#N/A FIELD NOT APPLICABLE")," ", _xll.BDP($AX33,"RT076")/100)</f>
        <v>0.1041513</v>
      </c>
      <c r="AK33" s="25" cm="1">
        <f t="array" ref="AK33">IF(OR(_xll.BDP($AX33,"FD252")="#N/A N/A",_xll.BDP($AX33,"FD252")="#N/A FIELD NOT APPLICABLE")," ", _xll.BDP($AX33,"FD252")/100)</f>
        <v>0</v>
      </c>
      <c r="AL33" s="25" cm="1">
        <f t="array" ref="AL33">IF(OR(_xll.BDP($AX33,"FD015")="#N/A N/A",_xll.BDP($AX33,"FD015")="#N/A FIELD NOT APPLICABLE")," ", _xll.BDP($AX33,"FD015")/100)</f>
        <v>5.8999999999999999E-3</v>
      </c>
      <c r="AM33" s="25" cm="1">
        <f t="array" ref="AM33">IF(OR(_xll.BDP($AX33,"FD138")="#N/A N/A",_xll.BDP($AX33,"FD138")="#N/A FIELD NOT APPLICABLE")," ", _xll.BDP($AX33,"FD138")/100)</f>
        <v>5.8999999999999999E-3</v>
      </c>
      <c r="AN33" s="36" cm="1">
        <f t="array" ref="AN33">IF(OR(_xll.BDP($AX33,"FD009")="#N/A N/A",_xll.BDP($AX33,"FD009")="#N/A FIELD NOT APPLICABLE")," ", _xll.BDP($AX33,"FD009")/100)</f>
        <v>0</v>
      </c>
      <c r="AO33" s="25" cm="1">
        <f t="array" ref="AO33">IF(OR(_xll.BDP($AX33,"RK512")="#N/A N/A",_xll.BDP($AX33,"RK512")="#N/A FIELD NOT APPLICABLE")," ", _xll.BDP($AX33,"RK512")/100)</f>
        <v>-4.392440021038055E-3</v>
      </c>
      <c r="AP33" s="25" cm="1">
        <f t="array" ref="AP33">IF(OR(_xll.BDP($AX33,"RK514")="#N/A N/A",_xll.BDP($AX33,"RK514")="#N/A FIELD NOT APPLICABLE")," ", _xll.BDP($AX33,"RK514")/100)</f>
        <v>-4.6389099955558774E-3</v>
      </c>
      <c r="AQ33" s="25" cm="1">
        <f t="array" ref="AQ33">IF(OR(_xll.BDP($AX33,"RK521")="#N/A N/A",_xll.BDP($AX33,"RK521")="#N/A FIELD NOT APPLICABLE")," ", _xll.BDP($AX33,"RK521")/100)</f>
        <v>-5.2297997474670408E-3</v>
      </c>
      <c r="AR33" s="25" cm="1">
        <f t="array" ref="AR33">IF(OR(_xll.BDP($AX33,"RK525")="#N/A N/A",_xll.BDP($AX33,"RK525")="#N/A FIELD NOT APPLICABLE")," ", _xll.BDP($AX33,"RK525")/100)</f>
        <v>1.0247000455856324E-2</v>
      </c>
      <c r="AS33" s="25" cm="1">
        <f t="array" ref="AS33">IF(OR(_xll.BDP($AX33,"RK524")="#N/A N/A",_xll.BDP($AX33,"RK524")="#N/A FIELD NOT APPLICABLE")," ", _xll.BDP($AX33,"RK524")/100)</f>
        <v>-7.7220001257956029E-5</v>
      </c>
      <c r="AT33" s="25" t="str" cm="1">
        <f t="array" ref="AT33">IF(OR(_xll.BDP($AX33,"FD183")="#N/A N/A",_xll.BDP($AX33,"FD183")="#N/A FIELD NOT APPLICABLE")," ", _xll.BDP($AX33,"FD183"))</f>
        <v>USD INC</v>
      </c>
      <c r="AU33" s="25" t="str" cm="1">
        <f t="array" ref="AU33">IF(OR(_xll.BDP($AX33,"DY997")="#N/A N/A",_xll.BDP($AX33,"DY997")="#N/A FIELD NOT APPLICABLE")," ", _xll.BDP($AX33,"DY997"))</f>
        <v xml:space="preserve"> </v>
      </c>
      <c r="AV33" s="25" t="str" cm="1">
        <f t="array" ref="AV33">IF(OR(_xll.BDP($AX33,"DY784")="#N/A N/A",_xll.BDP($AX33,"DY784")="#N/A FIELD NOT APPLICABLE")," ", _xll.BDP($AX33,"DY784"))</f>
        <v xml:space="preserve"> </v>
      </c>
      <c r="AW33" s="22" t="str">
        <f t="shared" si="6"/>
        <v>N</v>
      </c>
      <c r="AX33" s="22" t="str">
        <f t="shared" si="7"/>
        <v>EWZ US Equity</v>
      </c>
      <c r="BC33" s="17" t="str" cm="1">
        <f t="array" ref="BC33">_xll.BDP(AX33,"ID005")</f>
        <v>US4642864007</v>
      </c>
      <c r="BD33" s="17">
        <v>0.65</v>
      </c>
      <c r="BE33" s="18">
        <v>3</v>
      </c>
      <c r="BF33" s="37">
        <v>45337</v>
      </c>
      <c r="BG33" s="20">
        <v>1.0000000000107532</v>
      </c>
    </row>
    <row r="34" spans="1:59" s="3" customFormat="1" ht="14.45" customHeight="1" x14ac:dyDescent="0.25">
      <c r="A34" s="49" t="s">
        <v>241</v>
      </c>
      <c r="B34" s="49" t="s">
        <v>276</v>
      </c>
      <c r="C34" s="49" t="s">
        <v>277</v>
      </c>
      <c r="D34" s="49" t="s">
        <v>240</v>
      </c>
      <c r="E34" s="22" t="str">
        <f>_xll.BDP(AX34,"SECURITY NAME")</f>
        <v>iShares MSCI Brazil ETF</v>
      </c>
      <c r="F34" s="22" t="str">
        <f>_xll.BDP(AX34,"CRNCY")</f>
        <v>USD</v>
      </c>
      <c r="G34" s="23" t="s">
        <v>127</v>
      </c>
      <c r="H34" s="22" t="str" cm="1">
        <f t="array" ref="H34">IF(OR(_xll.BDP($AX34,"FD120")="#N/A N/A",_xll.BDP($AX34,"FD120")="#N/A FIELD NOT APPLICABLE")," ",_xll.BDP($AX34,"FD120"))</f>
        <v>Brazil</v>
      </c>
      <c r="I34" s="22" t="str" cm="1">
        <f t="array" ref="I34">IF(OR(_xll.BDP($AX34,"FD116")="#N/A N/A",_xll.BDP($AX34,"FD116")="#N/A FIELD NOT APPLICABLE")," ",_xll.BDP($AX34,"FD116"))</f>
        <v>Blend</v>
      </c>
      <c r="J34" s="22" t="str" cm="1">
        <f t="array" ref="J34">IF(OR(_xll.BDP($AX34,"FD133")="#N/A N/A",_xll.BDP($AX34,"FD133")="#N/A FIELD NOT APPLICABLE")," ", _xll.BDP($AX34,"FD133"))</f>
        <v xml:space="preserve"> </v>
      </c>
      <c r="K34" s="34">
        <f>_xll.BDP(AX34,"FUND_ASSETS_USD")/1000</f>
        <v>3.7745484216</v>
      </c>
      <c r="L34" s="25">
        <f>IFERROR(_xll.BDP(AX34, "DV013")/100,0)</f>
        <v>8.1247765393484203E-2</v>
      </c>
      <c r="M34" s="25" cm="1">
        <f t="array" ref="M34">IF(OR(_xll.BDP($AX34,"PR079")="#N/A N/A",_xll.BDP($AX34,"PR079")="#N/A FIELD NOT APPLICABLE")," ", _xll.BDP($AX34,"PR079")/100)</f>
        <v>0.1941359</v>
      </c>
      <c r="N34" s="25" cm="1">
        <f t="array" ref="N34">IF(OR(_xll.BDP($AX34,"RT074")="#N/A N/A",_xll.BDP($AX34,"RT074")="#N/A FIELD NOT APPLICABLE")," ", _xll.BDP($AX34,"RT074")/100)</f>
        <v>-6.819689000000001E-2</v>
      </c>
      <c r="O34" s="27">
        <v>3862</v>
      </c>
      <c r="P34" s="28">
        <v>26.39</v>
      </c>
      <c r="Q34" s="22" cm="1">
        <f t="array" ref="Q34">IF(OR(_xll.BDP($AX34,"PX_last")="#N/A N/A",_xll.BDP($AX34,"PX_Last")="#N/A FIELD NOT APPLICABLE")," ",IF(F34="GBP",(_xll.BDP($AX34,"PX_LAST")/100),(_xll.BDP($AX34,"PX_LAST"))))</f>
        <v>26.88</v>
      </c>
      <c r="R34" s="29">
        <f>IF(F34="USD",AA34,(((_xll.BDP(F34&amp;"USD CURNCY","PX_LAST")))*AA34))</f>
        <v>101918.18000000001</v>
      </c>
      <c r="S34" s="29">
        <f>IF(F34="USD",AB34,(((_xll.BDP(F34&amp;"USD CURNCY","PX_LAST")))*AB34))</f>
        <v>103810.56</v>
      </c>
      <c r="T34" s="12">
        <f t="shared" si="0"/>
        <v>1892.3799999999901</v>
      </c>
      <c r="U34" s="13">
        <f t="shared" si="1"/>
        <v>1.8567639257294332E-2</v>
      </c>
      <c r="V34" s="13" cm="1">
        <f t="array" ref="V34">IFERROR(_xll.BDP($G34&amp;" Equity","CHG_PCT_1D")/100,"")</f>
        <v>-5.9171600000000003E-3</v>
      </c>
      <c r="W34" s="13" cm="1">
        <f t="array" ref="W34">IFERROR(_xll.BDP($G34&amp;" Equity","CHG_PCT_5D")/100,"")</f>
        <v>5.2356020000000007E-3</v>
      </c>
      <c r="X34" s="13" t="e">
        <f>S34/#REF!</f>
        <v>#REF!</v>
      </c>
      <c r="Y34" s="29">
        <f t="shared" si="2"/>
        <v>8434.3760242462158</v>
      </c>
      <c r="Z34" s="29">
        <f t="shared" si="3"/>
        <v>103810.56</v>
      </c>
      <c r="AA34" s="29">
        <f t="shared" si="4"/>
        <v>101918.18000000001</v>
      </c>
      <c r="AB34" s="29">
        <f t="shared" si="5"/>
        <v>103810.56</v>
      </c>
      <c r="AC34" s="25" t="str" cm="1">
        <f t="array" ref="AC34">IF(OR(_xll.BDP($AX34,"EX028")="#N/A N/A",_xll.BDP($AX34,"EX028")="#N/A FIELD NOT APPLICABLE")," ", _xll.BDP($AX34,"EX028"))</f>
        <v>Fund</v>
      </c>
      <c r="AD34" s="35" t="str" cm="1">
        <f t="array" ref="AD34">IF(OR(_xll.BDP($AX34,"FD121")="#N/A N/A",_xll.BDP($AX34,"FD121")="#N/A FIELD NOT APPLICABLE")," ", _xll.BDP($AX34,"FD121"))</f>
        <v>Equity</v>
      </c>
      <c r="AE34" s="25" t="str" cm="1">
        <f t="array" ref="AE34">IF(OR(_xll.BDP($AX34,"FD118")="#N/A N/A",_xll.BDP($AX34,"FD118")="#N/A FIELD NOT APPLICABLE")," ", _xll.BDP($AX34,"FD118"))</f>
        <v>ETF</v>
      </c>
      <c r="AF34" s="22" t="str" cm="1">
        <f t="array" ref="AF34">IF(OR(_xll.BDP($AX34,"FD114")="#N/A N/A",_xll.BDP($AX34,"FD114")="#N/A FIELD NOT APPLICABLE")," ", _xll.BDP($AX34,"FD114"))</f>
        <v xml:space="preserve"> </v>
      </c>
      <c r="AG34" s="22" t="str" cm="1">
        <f t="array" ref="AG34">IF(OR(_xll.BDP($AX34,"FD003")="#N/A N/A",_xll.BDP($AX34,"FD003")="#N/A FIELD NOT APPLICABLE")," ", _xll.BDP($AX34,"FD003"))</f>
        <v>14/07/2000</v>
      </c>
      <c r="AH34" s="32" cm="1">
        <f t="array" ref="AH34">IF(OR(_xll.BDP($AX34,"PR061")="#N/A N/A",_xll.BDP($AX34,"PR061")="#N/A FIELD NOT APPLICABLE")," ", _xll.BDP($AX34,"PR061")/100)</f>
        <v>2.8309129999999998E-2</v>
      </c>
      <c r="AI34" s="25" cm="1">
        <f t="array" ref="AI34">IF(OR(_xll.BDP($AX34,"RT075")="#N/A N/A",_xll.BDP($AX34,"RT075")="#N/A FIELD NOT APPLICABLE")," ", _xll.BDP($AX34,"RT075")/100)</f>
        <v>1.962537E-2</v>
      </c>
      <c r="AJ34" s="25" cm="1">
        <f t="array" ref="AJ34">IF(OR(_xll.BDP($AX34,"RT076")="#N/A N/A",_xll.BDP($AX34,"RT076")="#N/A FIELD NOT APPLICABLE")," ", _xll.BDP($AX34,"RT076")/100)</f>
        <v>0.1041513</v>
      </c>
      <c r="AK34" s="25" cm="1">
        <f t="array" ref="AK34">IF(OR(_xll.BDP($AX34,"FD252")="#N/A N/A",_xll.BDP($AX34,"FD252")="#N/A FIELD NOT APPLICABLE")," ", _xll.BDP($AX34,"FD252")/100)</f>
        <v>0</v>
      </c>
      <c r="AL34" s="25" cm="1">
        <f t="array" ref="AL34">IF(OR(_xll.BDP($AX34,"FD015")="#N/A N/A",_xll.BDP($AX34,"FD015")="#N/A FIELD NOT APPLICABLE")," ", _xll.BDP($AX34,"FD015")/100)</f>
        <v>5.8999999999999999E-3</v>
      </c>
      <c r="AM34" s="25" cm="1">
        <f t="array" ref="AM34">IF(OR(_xll.BDP($AX34,"FD138")="#N/A N/A",_xll.BDP($AX34,"FD138")="#N/A FIELD NOT APPLICABLE")," ", _xll.BDP($AX34,"FD138")/100)</f>
        <v>5.8999999999999999E-3</v>
      </c>
      <c r="AN34" s="36" cm="1">
        <f t="array" ref="AN34">IF(OR(_xll.BDP($AX34,"FD009")="#N/A N/A",_xll.BDP($AX34,"FD009")="#N/A FIELD NOT APPLICABLE")," ", _xll.BDP($AX34,"FD009")/100)</f>
        <v>0</v>
      </c>
      <c r="AO34" s="25" cm="1">
        <f t="array" ref="AO34">IF(OR(_xll.BDP($AX34,"RK512")="#N/A N/A",_xll.BDP($AX34,"RK512")="#N/A FIELD NOT APPLICABLE")," ", _xll.BDP($AX34,"RK512")/100)</f>
        <v>-4.392440021038055E-3</v>
      </c>
      <c r="AP34" s="25" cm="1">
        <f t="array" ref="AP34">IF(OR(_xll.BDP($AX34,"RK514")="#N/A N/A",_xll.BDP($AX34,"RK514")="#N/A FIELD NOT APPLICABLE")," ", _xll.BDP($AX34,"RK514")/100)</f>
        <v>-4.6389099955558774E-3</v>
      </c>
      <c r="AQ34" s="25" cm="1">
        <f t="array" ref="AQ34">IF(OR(_xll.BDP($AX34,"RK521")="#N/A N/A",_xll.BDP($AX34,"RK521")="#N/A FIELD NOT APPLICABLE")," ", _xll.BDP($AX34,"RK521")/100)</f>
        <v>-5.2297997474670408E-3</v>
      </c>
      <c r="AR34" s="25" cm="1">
        <f t="array" ref="AR34">IF(OR(_xll.BDP($AX34,"RK525")="#N/A N/A",_xll.BDP($AX34,"RK525")="#N/A FIELD NOT APPLICABLE")," ", _xll.BDP($AX34,"RK525")/100)</f>
        <v>1.0247000455856324E-2</v>
      </c>
      <c r="AS34" s="25" cm="1">
        <f t="array" ref="AS34">IF(OR(_xll.BDP($AX34,"RK524")="#N/A N/A",_xll.BDP($AX34,"RK524")="#N/A FIELD NOT APPLICABLE")," ", _xll.BDP($AX34,"RK524")/100)</f>
        <v>-7.7220001257956029E-5</v>
      </c>
      <c r="AT34" s="25" t="str" cm="1">
        <f t="array" ref="AT34">IF(OR(_xll.BDP($AX34,"FD183")="#N/A N/A",_xll.BDP($AX34,"FD183")="#N/A FIELD NOT APPLICABLE")," ", _xll.BDP($AX34,"FD183"))</f>
        <v>USD INC</v>
      </c>
      <c r="AU34" s="25" t="str" cm="1">
        <f t="array" ref="AU34">IF(OR(_xll.BDP($AX34,"DY997")="#N/A N/A",_xll.BDP($AX34,"DY997")="#N/A FIELD NOT APPLICABLE")," ", _xll.BDP($AX34,"DY997"))</f>
        <v xml:space="preserve"> </v>
      </c>
      <c r="AV34" s="25" t="str" cm="1">
        <f t="array" ref="AV34">IF(OR(_xll.BDP($AX34,"DY784")="#N/A N/A",_xll.BDP($AX34,"DY784")="#N/A FIELD NOT APPLICABLE")," ", _xll.BDP($AX34,"DY784"))</f>
        <v xml:space="preserve"> </v>
      </c>
      <c r="AW34" s="22" t="str">
        <f t="shared" si="6"/>
        <v>N</v>
      </c>
      <c r="AX34" s="22" t="str">
        <f t="shared" si="7"/>
        <v>EWZ US Equity</v>
      </c>
      <c r="BC34" s="17" t="str" cm="1">
        <f t="array" ref="BC34">_xll.BDP(AX34,"ID005")</f>
        <v>US4642864007</v>
      </c>
      <c r="BD34" s="17">
        <v>0.75</v>
      </c>
      <c r="BE34" s="18">
        <v>5</v>
      </c>
      <c r="BF34" s="37">
        <v>45623</v>
      </c>
      <c r="BG34" s="20">
        <v>1.0000000000107532</v>
      </c>
    </row>
    <row r="35" spans="1:59" s="3" customFormat="1" ht="14.45" customHeight="1" x14ac:dyDescent="0.25">
      <c r="A35" s="49" t="s">
        <v>242</v>
      </c>
      <c r="B35" s="49" t="s">
        <v>243</v>
      </c>
      <c r="C35" s="49" t="s">
        <v>244</v>
      </c>
      <c r="D35" s="49" t="s">
        <v>245</v>
      </c>
      <c r="E35" s="22" t="str">
        <f>_xll.BDP(AX35,"SECURITY NAME")</f>
        <v>iShares China Large-Cap ETF</v>
      </c>
      <c r="F35" s="22" t="str">
        <f>_xll.BDP(AX35,"CRNCY")</f>
        <v>USD</v>
      </c>
      <c r="G35" s="23" t="s">
        <v>203</v>
      </c>
      <c r="H35" s="22" t="str" cm="1">
        <f t="array" ref="H35">IF(OR(_xll.BDP($AX35,"FD120")="#N/A N/A",_xll.BDP($AX35,"FD120")="#N/A FIELD NOT APPLICABLE")," ",_xll.BDP($AX35,"FD120"))</f>
        <v>China</v>
      </c>
      <c r="I35" s="22" t="str" cm="1">
        <f t="array" ref="I35">IF(OR(_xll.BDP($AX35,"FD116")="#N/A N/A",_xll.BDP($AX35,"FD116")="#N/A FIELD NOT APPLICABLE")," ",_xll.BDP($AX35,"FD116"))</f>
        <v>Blend</v>
      </c>
      <c r="J35" s="22" t="str" cm="1">
        <f t="array" ref="J35">IF(OR(_xll.BDP($AX35,"FD133")="#N/A N/A",_xll.BDP($AX35,"FD133")="#N/A FIELD NOT APPLICABLE")," ", _xll.BDP($AX35,"FD133"))</f>
        <v xml:space="preserve"> </v>
      </c>
      <c r="K35" s="34">
        <f>_xll.BDP(AX35,"FUND_ASSETS_USD")/1000</f>
        <v>5.7577778153999999</v>
      </c>
      <c r="L35" s="25">
        <f>IFERROR(_xll.BDP(AX35, "DV013")/100,0)</f>
        <v>2.6699912092960174E-2</v>
      </c>
      <c r="M35" s="25" cm="1">
        <f t="array" ref="M35">IF(OR(_xll.BDP($AX35,"PR079")="#N/A N/A",_xll.BDP($AX35,"PR079")="#N/A FIELD NOT APPLICABLE")," ", _xll.BDP($AX35,"PR079")/100)</f>
        <v>0.1100525</v>
      </c>
      <c r="N35" s="25" cm="1">
        <f t="array" ref="N35">IF(OR(_xll.BDP($AX35,"RT074")="#N/A N/A",_xll.BDP($AX35,"RT074")="#N/A FIELD NOT APPLICABLE")," ", _xll.BDP($AX35,"RT074")/100)</f>
        <v>0.33944009999999997</v>
      </c>
      <c r="O35" s="27">
        <v>3169</v>
      </c>
      <c r="P35" s="28">
        <v>32.33</v>
      </c>
      <c r="Q35" s="22" cm="1">
        <f t="array" ref="Q35">IF(OR(_xll.BDP($AX35,"PX_last")="#N/A N/A",_xll.BDP($AX35,"PX_Last")="#N/A FIELD NOT APPLICABLE")," ",IF(F35="GBP",(_xll.BDP($AX35,"PX_LAST")/100),(_xll.BDP($AX35,"PX_LAST"))))</f>
        <v>33.79</v>
      </c>
      <c r="R35" s="29">
        <f>IF(F35="USD",AA35,(((_xll.BDP(F35&amp;"USD CURNCY","PX_LAST")))*AA35))</f>
        <v>102453.76999999999</v>
      </c>
      <c r="S35" s="29">
        <f>IF(F35="USD",AB35,(((_xll.BDP(F35&amp;"USD CURNCY","PX_LAST")))*AB35))</f>
        <v>107080.51</v>
      </c>
      <c r="T35" s="12">
        <f t="shared" ref="T35:T66" si="8">S35-R35</f>
        <v>4626.7400000000052</v>
      </c>
      <c r="U35" s="13">
        <f t="shared" ref="U35:U66" si="9">T35/R35</f>
        <v>4.5159294772657031E-2</v>
      </c>
      <c r="V35" s="13" cm="1">
        <f t="array" ref="V35">IFERROR(_xll.BDP($G35&amp;" Equity","CHG_PCT_1D")/100,"")</f>
        <v>-2.0673359999999999E-3</v>
      </c>
      <c r="W35" s="13" cm="1">
        <f t="array" ref="W35">IFERROR(_xll.BDP($G35&amp;" Equity","CHG_PCT_5D")/100,"")</f>
        <v>-9.3814129999999999E-3</v>
      </c>
      <c r="X35" s="13" t="e">
        <f>S35/$H$62</f>
        <v>#VALUE!</v>
      </c>
      <c r="Y35" s="29">
        <f t="shared" ref="Y35:Y66" si="10">IFERROR(S35*L35,0)</f>
        <v>2859.0402038693428</v>
      </c>
      <c r="Z35" s="29">
        <f t="shared" ref="Z35:Z66" si="11">S35</f>
        <v>107080.51</v>
      </c>
      <c r="AA35" s="29">
        <f t="shared" ref="AA35:AA66" si="12">P35*O35</f>
        <v>102453.76999999999</v>
      </c>
      <c r="AB35" s="29">
        <f t="shared" ref="AB35:AB66" si="13">IFERROR(O35*Q35,0)</f>
        <v>107080.51</v>
      </c>
      <c r="AC35" s="25" t="str" cm="1">
        <f t="array" ref="AC35">IF(OR(_xll.BDP($AX35,"EX028")="#N/A N/A",_xll.BDP($AX35,"EX028")="#N/A FIELD NOT APPLICABLE")," ", _xll.BDP($AX35,"EX028"))</f>
        <v>Fund</v>
      </c>
      <c r="AD35" s="35" t="str" cm="1">
        <f t="array" ref="AD35">IF(OR(_xll.BDP($AX35,"FD121")="#N/A N/A",_xll.BDP($AX35,"FD121")="#N/A FIELD NOT APPLICABLE")," ", _xll.BDP($AX35,"FD121"))</f>
        <v>Equity</v>
      </c>
      <c r="AE35" s="25" t="str" cm="1">
        <f t="array" ref="AE35">IF(OR(_xll.BDP($AX35,"FD118")="#N/A N/A",_xll.BDP($AX35,"FD118")="#N/A FIELD NOT APPLICABLE")," ", _xll.BDP($AX35,"FD118"))</f>
        <v>ETF</v>
      </c>
      <c r="AF35" s="22" t="str" cm="1">
        <f t="array" ref="AF35">IF(OR(_xll.BDP($AX35,"FD114")="#N/A N/A",_xll.BDP($AX35,"FD114")="#N/A FIELD NOT APPLICABLE")," ", _xll.BDP($AX35,"FD114"))</f>
        <v xml:space="preserve"> </v>
      </c>
      <c r="AG35" s="22" t="str" cm="1">
        <f t="array" ref="AG35">IF(OR(_xll.BDP($AX35,"FD003")="#N/A N/A",_xll.BDP($AX35,"FD003")="#N/A FIELD NOT APPLICABLE")," ", _xll.BDP($AX35,"FD003"))</f>
        <v>08/10/2004</v>
      </c>
      <c r="AH35" s="32" cm="1">
        <f t="array" ref="AH35">IF(OR(_xll.BDP($AX35,"PR061")="#N/A N/A",_xll.BDP($AX35,"PR061")="#N/A FIELD NOT APPLICABLE")," ", _xll.BDP($AX35,"PR061")/100)</f>
        <v>-4.9240320000000004E-2</v>
      </c>
      <c r="AI35" s="25" cm="1">
        <f t="array" ref="AI35">IF(OR(_xll.BDP($AX35,"RT075")="#N/A N/A",_xll.BDP($AX35,"RT075")="#N/A FIELD NOT APPLICABLE")," ", _xll.BDP($AX35,"RT075")/100)</f>
        <v>5.562019E-2</v>
      </c>
      <c r="AJ35" s="25" cm="1">
        <f t="array" ref="AJ35">IF(OR(_xll.BDP($AX35,"RT076")="#N/A N/A",_xll.BDP($AX35,"RT076")="#N/A FIELD NOT APPLICABLE")," ", _xll.BDP($AX35,"RT076")/100)</f>
        <v>2.9419849999999998E-3</v>
      </c>
      <c r="AK35" s="25" cm="1">
        <f t="array" ref="AK35">IF(OR(_xll.BDP($AX35,"FD252")="#N/A N/A",_xll.BDP($AX35,"FD252")="#N/A FIELD NOT APPLICABLE")," ", _xll.BDP($AX35,"FD252")/100)</f>
        <v>0</v>
      </c>
      <c r="AL35" s="25" cm="1">
        <f t="array" ref="AL35">IF(OR(_xll.BDP($AX35,"FD015")="#N/A N/A",_xll.BDP($AX35,"FD015")="#N/A FIELD NOT APPLICABLE")," ", _xll.BDP($AX35,"FD015")/100)</f>
        <v>7.4000000000000003E-3</v>
      </c>
      <c r="AM35" s="25" cm="1">
        <f t="array" ref="AM35">IF(OR(_xll.BDP($AX35,"FD138")="#N/A N/A",_xll.BDP($AX35,"FD138")="#N/A FIELD NOT APPLICABLE")," ", _xll.BDP($AX35,"FD138")/100)</f>
        <v>7.4000000000000003E-3</v>
      </c>
      <c r="AN35" s="36" cm="1">
        <f t="array" ref="AN35">IF(OR(_xll.BDP($AX35,"FD009")="#N/A N/A",_xll.BDP($AX35,"FD009")="#N/A FIELD NOT APPLICABLE")," ", _xll.BDP($AX35,"FD009")/100)</f>
        <v>0</v>
      </c>
      <c r="AO35" s="25" cm="1">
        <f t="array" ref="AO35">IF(OR(_xll.BDP($AX35,"RK512")="#N/A N/A",_xll.BDP($AX35,"RK512")="#N/A FIELD NOT APPLICABLE")," ", _xll.BDP($AX35,"RK512")/100)</f>
        <v>1.0980900526046753E-2</v>
      </c>
      <c r="AP35" s="25" cm="1">
        <f t="array" ref="AP35">IF(OR(_xll.BDP($AX35,"RK514")="#N/A N/A",_xll.BDP($AX35,"RK514")="#N/A FIELD NOT APPLICABLE")," ", _xll.BDP($AX35,"RK514")/100)</f>
        <v>1.2595499753952027E-2</v>
      </c>
      <c r="AQ35" s="25" cm="1">
        <f t="array" ref="AQ35">IF(OR(_xll.BDP($AX35,"RK521")="#N/A N/A",_xll.BDP($AX35,"RK521")="#N/A FIELD NOT APPLICABLE")," ", _xll.BDP($AX35,"RK521")/100)</f>
        <v>-4.7423001378774641E-4</v>
      </c>
      <c r="AR35" s="25" cm="1">
        <f t="array" ref="AR35">IF(OR(_xll.BDP($AX35,"RK525")="#N/A N/A",_xll.BDP($AX35,"RK525")="#N/A FIELD NOT APPLICABLE")," ", _xll.BDP($AX35,"RK525")/100)</f>
        <v>9.208210110664368E-3</v>
      </c>
      <c r="AS35" s="25" cm="1">
        <f t="array" ref="AS35">IF(OR(_xll.BDP($AX35,"RK524")="#N/A N/A",_xll.BDP($AX35,"RK524")="#N/A FIELD NOT APPLICABLE")," ", _xll.BDP($AX35,"RK524")/100)</f>
        <v>5.1196999847888944E-4</v>
      </c>
      <c r="AT35" s="25" t="str" cm="1">
        <f t="array" ref="AT35">IF(OR(_xll.BDP($AX35,"FD183")="#N/A N/A",_xll.BDP($AX35,"FD183")="#N/A FIELD NOT APPLICABLE")," ", _xll.BDP($AX35,"FD183"))</f>
        <v>USD INC</v>
      </c>
      <c r="AU35" s="25" t="str" cm="1">
        <f t="array" ref="AU35">IF(OR(_xll.BDP($AX35,"DY997")="#N/A N/A",_xll.BDP($AX35,"DY997")="#N/A FIELD NOT APPLICABLE")," ", _xll.BDP($AX35,"DY997"))</f>
        <v xml:space="preserve"> </v>
      </c>
      <c r="AV35" s="25" t="str" cm="1">
        <f t="array" ref="AV35">IF(OR(_xll.BDP($AX35,"DY784")="#N/A N/A",_xll.BDP($AX35,"DY784")="#N/A FIELD NOT APPLICABLE")," ", _xll.BDP($AX35,"DY784"))</f>
        <v xml:space="preserve"> </v>
      </c>
      <c r="AW35" s="22" t="str">
        <f t="shared" ref="AW35:AW66" si="14">IF(OR(AU35="Y",AV35="Y"),"Y","N")</f>
        <v>N</v>
      </c>
      <c r="AX35" s="22" t="str">
        <f t="shared" ref="AX35:AX66" si="15">CONCATENATE(G35," Equity")</f>
        <v>FXI US Equity</v>
      </c>
      <c r="BC35" s="17" t="str" cm="1">
        <f t="array" ref="BC35">_xll.BDP(AX35,"ID005")</f>
        <v>US4642871846</v>
      </c>
      <c r="BD35" s="17">
        <v>0.79999991979544627</v>
      </c>
      <c r="BE35" s="18">
        <v>5</v>
      </c>
      <c r="BF35" s="37">
        <v>45610</v>
      </c>
      <c r="BG35" s="20">
        <v>1.0000000000107532</v>
      </c>
    </row>
    <row r="36" spans="1:59" s="3" customFormat="1" ht="14.45" customHeight="1" x14ac:dyDescent="0.25">
      <c r="A36" s="49" t="s">
        <v>242</v>
      </c>
      <c r="B36" s="49" t="s">
        <v>246</v>
      </c>
      <c r="C36" s="49" t="s">
        <v>247</v>
      </c>
      <c r="D36" s="49" t="s">
        <v>248</v>
      </c>
      <c r="E36" s="22" t="str">
        <f>_xll.BDP(AX36,"SECURITY NAME")</f>
        <v>iShares China Large-Cap ETF</v>
      </c>
      <c r="F36" s="22" t="str">
        <f>_xll.BDP(AX36,"CRNCY")</f>
        <v>USD</v>
      </c>
      <c r="G36" s="23" t="s">
        <v>203</v>
      </c>
      <c r="H36" s="22" t="str" cm="1">
        <f t="array" ref="H36">IF(OR(_xll.BDP($AX36,"FD120")="#N/A N/A",_xll.BDP($AX36,"FD120")="#N/A FIELD NOT APPLICABLE")," ",_xll.BDP($AX36,"FD120"))</f>
        <v>China</v>
      </c>
      <c r="I36" s="22" t="str" cm="1">
        <f t="array" ref="I36">IF(OR(_xll.BDP($AX36,"FD116")="#N/A N/A",_xll.BDP($AX36,"FD116")="#N/A FIELD NOT APPLICABLE")," ",_xll.BDP($AX36,"FD116"))</f>
        <v>Blend</v>
      </c>
      <c r="J36" s="22" t="str" cm="1">
        <f t="array" ref="J36">IF(OR(_xll.BDP($AX36,"FD133")="#N/A N/A",_xll.BDP($AX36,"FD133")="#N/A FIELD NOT APPLICABLE")," ", _xll.BDP($AX36,"FD133"))</f>
        <v xml:space="preserve"> </v>
      </c>
      <c r="K36" s="34">
        <f>_xll.BDP(AX36,"FUND_ASSETS_USD")/1000</f>
        <v>5.7577778153999999</v>
      </c>
      <c r="L36" s="25">
        <f>IFERROR(_xll.BDP(AX36, "DV013")/100,0)</f>
        <v>2.6699912092960174E-2</v>
      </c>
      <c r="M36" s="25" cm="1">
        <f t="array" ref="M36">IF(OR(_xll.BDP($AX36,"PR079")="#N/A N/A",_xll.BDP($AX36,"PR079")="#N/A FIELD NOT APPLICABLE")," ", _xll.BDP($AX36,"PR079")/100)</f>
        <v>0.1100525</v>
      </c>
      <c r="N36" s="25" cm="1">
        <f t="array" ref="N36">IF(OR(_xll.BDP($AX36,"RT074")="#N/A N/A",_xll.BDP($AX36,"RT074")="#N/A FIELD NOT APPLICABLE")," ", _xll.BDP($AX36,"RT074")/100)</f>
        <v>0.33944009999999997</v>
      </c>
      <c r="O36" s="27">
        <v>3169</v>
      </c>
      <c r="P36" s="28">
        <v>32.450000000000003</v>
      </c>
      <c r="Q36" s="22" cm="1">
        <f t="array" ref="Q36">IF(OR(_xll.BDP($AX36,"PX_last")="#N/A N/A",_xll.BDP($AX36,"PX_Last")="#N/A FIELD NOT APPLICABLE")," ",IF(F36="GBP",(_xll.BDP($AX36,"PX_LAST")),(_xll.BDP($AX36,"PX_LAST"))))</f>
        <v>33.79</v>
      </c>
      <c r="R36" s="29">
        <f>IF(F36="USD",AA36,(((_xll.BDP(F36&amp;"USD CURNCY","PX_LAST")))*AA36))</f>
        <v>102834.05</v>
      </c>
      <c r="S36" s="29">
        <f>IF(F36="USD",AB36,(((_xll.BDP(F36&amp;"USD CURNCY","PX_LAST")))*AB36))</f>
        <v>107080.51</v>
      </c>
      <c r="T36" s="12">
        <f t="shared" si="8"/>
        <v>4246.4599999999919</v>
      </c>
      <c r="U36" s="13">
        <f t="shared" si="9"/>
        <v>4.1294298921417484E-2</v>
      </c>
      <c r="V36" s="13" cm="1">
        <f t="array" ref="V36">IFERROR(_xll.BDP($G36&amp;" Equity","CHG_PCT_1D")/100,"")</f>
        <v>-2.0673359999999999E-3</v>
      </c>
      <c r="W36" s="13" cm="1">
        <f t="array" ref="W36">IFERROR(_xll.BDP($G36&amp;" Equity","CHG_PCT_5D")/100,"")</f>
        <v>-9.3814129999999999E-3</v>
      </c>
      <c r="X36" s="13" t="e">
        <f>S36/$H$62</f>
        <v>#VALUE!</v>
      </c>
      <c r="Y36" s="29">
        <f t="shared" si="10"/>
        <v>2859.0402038693428</v>
      </c>
      <c r="Z36" s="29">
        <f t="shared" si="11"/>
        <v>107080.51</v>
      </c>
      <c r="AA36" s="29">
        <f t="shared" si="12"/>
        <v>102834.05</v>
      </c>
      <c r="AB36" s="29">
        <f t="shared" si="13"/>
        <v>107080.51</v>
      </c>
      <c r="AC36" s="25" t="str" cm="1">
        <f t="array" ref="AC36">IF(OR(_xll.BDP($AX36,"EX028")="#N/A N/A",_xll.BDP($AX36,"EX028")="#N/A FIELD NOT APPLICABLE")," ", _xll.BDP($AX36,"EX028"))</f>
        <v>Fund</v>
      </c>
      <c r="AD36" s="35" t="str" cm="1">
        <f t="array" ref="AD36">IF(OR(_xll.BDP($AX36,"FD121")="#N/A N/A",_xll.BDP($AX36,"FD121")="#N/A FIELD NOT APPLICABLE")," ", _xll.BDP($AX36,"FD121"))</f>
        <v>Equity</v>
      </c>
      <c r="AE36" s="25" t="str" cm="1">
        <f t="array" ref="AE36">IF(OR(_xll.BDP($AX36,"FD118")="#N/A N/A",_xll.BDP($AX36,"FD118")="#N/A FIELD NOT APPLICABLE")," ", _xll.BDP($AX36,"FD118"))</f>
        <v>ETF</v>
      </c>
      <c r="AF36" s="22" t="str" cm="1">
        <f t="array" ref="AF36">IF(OR(_xll.BDP($AX36,"FD114")="#N/A N/A",_xll.BDP($AX36,"FD114")="#N/A FIELD NOT APPLICABLE")," ", _xll.BDP($AX36,"FD114"))</f>
        <v xml:space="preserve"> </v>
      </c>
      <c r="AG36" s="22" t="str" cm="1">
        <f t="array" ref="AG36">IF(OR(_xll.BDP($AX36,"FD003")="#N/A N/A",_xll.BDP($AX36,"FD003")="#N/A FIELD NOT APPLICABLE")," ", _xll.BDP($AX36,"FD003"))</f>
        <v>08/10/2004</v>
      </c>
      <c r="AH36" s="32" cm="1">
        <f t="array" ref="AH36">IF(OR(_xll.BDP($AX36,"PR061")="#N/A N/A",_xll.BDP($AX36,"PR061")="#N/A FIELD NOT APPLICABLE")," ", _xll.BDP($AX36,"PR061")/100)</f>
        <v>-4.9240320000000004E-2</v>
      </c>
      <c r="AI36" s="25" cm="1">
        <f t="array" ref="AI36">IF(OR(_xll.BDP($AX36,"RT075")="#N/A N/A",_xll.BDP($AX36,"RT075")="#N/A FIELD NOT APPLICABLE")," ", _xll.BDP($AX36,"RT075")/100)</f>
        <v>5.562019E-2</v>
      </c>
      <c r="AJ36" s="25" cm="1">
        <f t="array" ref="AJ36">IF(OR(_xll.BDP($AX36,"RT076")="#N/A N/A",_xll.BDP($AX36,"RT076")="#N/A FIELD NOT APPLICABLE")," ", _xll.BDP($AX36,"RT076")/100)</f>
        <v>2.9419849999999998E-3</v>
      </c>
      <c r="AK36" s="25" cm="1">
        <f t="array" ref="AK36">IF(OR(_xll.BDP($AX36,"FD252")="#N/A N/A",_xll.BDP($AX36,"FD252")="#N/A FIELD NOT APPLICABLE")," ", _xll.BDP($AX36,"FD252")/100)</f>
        <v>0</v>
      </c>
      <c r="AL36" s="25" cm="1">
        <f t="array" ref="AL36">IF(OR(_xll.BDP($AX36,"FD015")="#N/A N/A",_xll.BDP($AX36,"FD015")="#N/A FIELD NOT APPLICABLE")," ", _xll.BDP($AX36,"FD015")/100)</f>
        <v>7.4000000000000003E-3</v>
      </c>
      <c r="AM36" s="25" cm="1">
        <f t="array" ref="AM36">IF(OR(_xll.BDP($AX36,"FD138")="#N/A N/A",_xll.BDP($AX36,"FD138")="#N/A FIELD NOT APPLICABLE")," ", _xll.BDP($AX36,"FD138")/100)</f>
        <v>7.4000000000000003E-3</v>
      </c>
      <c r="AN36" s="36" cm="1">
        <f t="array" ref="AN36">IF(OR(_xll.BDP($AX36,"FD009")="#N/A N/A",_xll.BDP($AX36,"FD009")="#N/A FIELD NOT APPLICABLE")," ", _xll.BDP($AX36,"FD009")/100)</f>
        <v>0</v>
      </c>
      <c r="AO36" s="25" cm="1">
        <f t="array" ref="AO36">IF(OR(_xll.BDP($AX36,"RK512")="#N/A N/A",_xll.BDP($AX36,"RK512")="#N/A FIELD NOT APPLICABLE")," ", _xll.BDP($AX36,"RK512")/100)</f>
        <v>1.0980900526046753E-2</v>
      </c>
      <c r="AP36" s="25" cm="1">
        <f t="array" ref="AP36">IF(OR(_xll.BDP($AX36,"RK514")="#N/A N/A",_xll.BDP($AX36,"RK514")="#N/A FIELD NOT APPLICABLE")," ", _xll.BDP($AX36,"RK514")/100)</f>
        <v>1.2595499753952027E-2</v>
      </c>
      <c r="AQ36" s="25" cm="1">
        <f t="array" ref="AQ36">IF(OR(_xll.BDP($AX36,"RK521")="#N/A N/A",_xll.BDP($AX36,"RK521")="#N/A FIELD NOT APPLICABLE")," ", _xll.BDP($AX36,"RK521")/100)</f>
        <v>-4.7423001378774641E-4</v>
      </c>
      <c r="AR36" s="25" cm="1">
        <f t="array" ref="AR36">IF(OR(_xll.BDP($AX36,"RK525")="#N/A N/A",_xll.BDP($AX36,"RK525")="#N/A FIELD NOT APPLICABLE")," ", _xll.BDP($AX36,"RK525")/100)</f>
        <v>9.208210110664368E-3</v>
      </c>
      <c r="AS36" s="25" cm="1">
        <f t="array" ref="AS36">IF(OR(_xll.BDP($AX36,"RK524")="#N/A N/A",_xll.BDP($AX36,"RK524")="#N/A FIELD NOT APPLICABLE")," ", _xll.BDP($AX36,"RK524")/100)</f>
        <v>5.1196999847888944E-4</v>
      </c>
      <c r="AT36" s="25" t="str" cm="1">
        <f t="array" ref="AT36">IF(OR(_xll.BDP($AX36,"FD183")="#N/A N/A",_xll.BDP($AX36,"FD183")="#N/A FIELD NOT APPLICABLE")," ", _xll.BDP($AX36,"FD183"))</f>
        <v>USD INC</v>
      </c>
      <c r="AU36" s="25" t="str" cm="1">
        <f t="array" ref="AU36">IF(OR(_xll.BDP($AX36,"DY997")="#N/A N/A",_xll.BDP($AX36,"DY997")="#N/A FIELD NOT APPLICABLE")," ", _xll.BDP($AX36,"DY997"))</f>
        <v xml:space="preserve"> </v>
      </c>
      <c r="AV36" s="25" t="str" cm="1">
        <f t="array" ref="AV36">IF(OR(_xll.BDP($AX36,"DY784")="#N/A N/A",_xll.BDP($AX36,"DY784")="#N/A FIELD NOT APPLICABLE")," ", _xll.BDP($AX36,"DY784"))</f>
        <v xml:space="preserve"> </v>
      </c>
      <c r="AW36" s="22" t="str">
        <f t="shared" si="14"/>
        <v>N</v>
      </c>
      <c r="AX36" s="22" t="str">
        <f t="shared" si="15"/>
        <v>FXI US Equity</v>
      </c>
      <c r="BC36" s="17" t="str" cm="1">
        <f t="array" ref="BC36">_xll.BDP(AX36,"ID005")</f>
        <v>US4642871846</v>
      </c>
      <c r="BD36" s="17">
        <v>0.7</v>
      </c>
      <c r="BE36" s="18">
        <v>5</v>
      </c>
      <c r="BF36" s="37"/>
      <c r="BG36" s="20"/>
    </row>
    <row r="37" spans="1:59" s="3" customFormat="1" ht="14.45" customHeight="1" x14ac:dyDescent="0.25">
      <c r="A37" s="49" t="s">
        <v>241</v>
      </c>
      <c r="B37" s="49" t="s">
        <v>249</v>
      </c>
      <c r="C37" s="49" t="s">
        <v>250</v>
      </c>
      <c r="D37" s="49" t="s">
        <v>240</v>
      </c>
      <c r="E37" s="22" t="str">
        <f>_xll.BDP(AX37,"SECURITY NAME")</f>
        <v>iShares China Large-Cap ETF</v>
      </c>
      <c r="F37" s="22" t="str">
        <f>_xll.BDP(AX37,"CRNCY")</f>
        <v>USD</v>
      </c>
      <c r="G37" s="23" t="s">
        <v>203</v>
      </c>
      <c r="H37" s="22" t="str" cm="1">
        <f t="array" ref="H37">IF(OR(_xll.BDP($AX37,"FD120")="#N/A N/A",_xll.BDP($AX37,"FD120")="#N/A FIELD NOT APPLICABLE")," ",_xll.BDP($AX37,"FD120"))</f>
        <v>China</v>
      </c>
      <c r="I37" s="22" t="str" cm="1">
        <f t="array" ref="I37">IF(OR(_xll.BDP($AX37,"FD116")="#N/A N/A",_xll.BDP($AX37,"FD116")="#N/A FIELD NOT APPLICABLE")," ",_xll.BDP($AX37,"FD116"))</f>
        <v>Blend</v>
      </c>
      <c r="J37" s="22" t="str" cm="1">
        <f t="array" ref="J37">IF(OR(_xll.BDP($AX37,"FD133")="#N/A N/A",_xll.BDP($AX37,"FD133")="#N/A FIELD NOT APPLICABLE")," ", _xll.BDP($AX37,"FD133"))</f>
        <v xml:space="preserve"> </v>
      </c>
      <c r="K37" s="34">
        <f>_xll.BDP(AX37,"FUND_ASSETS_USD")/1000</f>
        <v>5.7577778153999999</v>
      </c>
      <c r="L37" s="25">
        <f>IFERROR(_xll.BDP(AX37, "DV013")/100,0)</f>
        <v>2.6699912092960174E-2</v>
      </c>
      <c r="M37" s="25" cm="1">
        <f t="array" ref="M37">IF(OR(_xll.BDP($AX37,"PR079")="#N/A N/A",_xll.BDP($AX37,"PR079")="#N/A FIELD NOT APPLICABLE")," ", _xll.BDP($AX37,"PR079")/100)</f>
        <v>0.1100525</v>
      </c>
      <c r="N37" s="25" cm="1">
        <f t="array" ref="N37">IF(OR(_xll.BDP($AX37,"RT074")="#N/A N/A",_xll.BDP($AX37,"RT074")="#N/A FIELD NOT APPLICABLE")," ", _xll.BDP($AX37,"RT074")/100)</f>
        <v>0.33944009999999997</v>
      </c>
      <c r="O37" s="27">
        <v>2218</v>
      </c>
      <c r="P37" s="28">
        <v>32.33</v>
      </c>
      <c r="Q37" s="22" cm="1">
        <f t="array" ref="Q37">IF(OR(_xll.BDP($AX37,"PX_last")="#N/A N/A",_xll.BDP($AX37,"PX_Last")="#N/A FIELD NOT APPLICABLE")," ",IF(F37="GBP",(_xll.BDP($AX37,"PX_LAST")/100),(_xll.BDP($AX37,"PX_LAST"))))</f>
        <v>33.79</v>
      </c>
      <c r="R37" s="29">
        <f>IF(F37="USD",AA37,(((_xll.BDP(F37&amp;"USD CURNCY","PX_LAST")))*AA37))</f>
        <v>71707.94</v>
      </c>
      <c r="S37" s="29">
        <f>IF(F37="USD",AB37,(((_xll.BDP(F37&amp;"USD CURNCY","PX_LAST")))*AB37))</f>
        <v>74946.22</v>
      </c>
      <c r="T37" s="12">
        <f t="shared" si="8"/>
        <v>3238.2799999999988</v>
      </c>
      <c r="U37" s="13">
        <f t="shared" si="9"/>
        <v>4.5159294772656955E-2</v>
      </c>
      <c r="V37" s="13" cm="1">
        <f t="array" ref="V37">IFERROR(_xll.BDP($G37&amp;" Equity","CHG_PCT_1D")/100,"")</f>
        <v>-2.0673359999999999E-3</v>
      </c>
      <c r="W37" s="13" cm="1">
        <f t="array" ref="W37">IFERROR(_xll.BDP($G37&amp;" Equity","CHG_PCT_5D")/100,"")</f>
        <v>-9.3814129999999999E-3</v>
      </c>
      <c r="X37" s="13" t="e">
        <f>S37/$H$62</f>
        <v>#VALUE!</v>
      </c>
      <c r="Y37" s="29">
        <f t="shared" si="10"/>
        <v>2001.0574856996536</v>
      </c>
      <c r="Z37" s="29">
        <f t="shared" si="11"/>
        <v>74946.22</v>
      </c>
      <c r="AA37" s="29">
        <f t="shared" si="12"/>
        <v>71707.94</v>
      </c>
      <c r="AB37" s="29">
        <f t="shared" si="13"/>
        <v>74946.22</v>
      </c>
      <c r="AC37" s="25" t="str" cm="1">
        <f t="array" ref="AC37">IF(OR(_xll.BDP($AX37,"EX028")="#N/A N/A",_xll.BDP($AX37,"EX028")="#N/A FIELD NOT APPLICABLE")," ", _xll.BDP($AX37,"EX028"))</f>
        <v>Fund</v>
      </c>
      <c r="AD37" s="35" t="str" cm="1">
        <f t="array" ref="AD37">IF(OR(_xll.BDP($AX37,"FD121")="#N/A N/A",_xll.BDP($AX37,"FD121")="#N/A FIELD NOT APPLICABLE")," ", _xll.BDP($AX37,"FD121"))</f>
        <v>Equity</v>
      </c>
      <c r="AE37" s="25" t="str" cm="1">
        <f t="array" ref="AE37">IF(OR(_xll.BDP($AX37,"FD118")="#N/A N/A",_xll.BDP($AX37,"FD118")="#N/A FIELD NOT APPLICABLE")," ", _xll.BDP($AX37,"FD118"))</f>
        <v>ETF</v>
      </c>
      <c r="AF37" s="22" t="str" cm="1">
        <f t="array" ref="AF37">IF(OR(_xll.BDP($AX37,"FD114")="#N/A N/A",_xll.BDP($AX37,"FD114")="#N/A FIELD NOT APPLICABLE")," ", _xll.BDP($AX37,"FD114"))</f>
        <v xml:space="preserve"> </v>
      </c>
      <c r="AG37" s="22" t="str" cm="1">
        <f t="array" ref="AG37">IF(OR(_xll.BDP($AX37,"FD003")="#N/A N/A",_xll.BDP($AX37,"FD003")="#N/A FIELD NOT APPLICABLE")," ", _xll.BDP($AX37,"FD003"))</f>
        <v>08/10/2004</v>
      </c>
      <c r="AH37" s="32" cm="1">
        <f t="array" ref="AH37">IF(OR(_xll.BDP($AX37,"PR061")="#N/A N/A",_xll.BDP($AX37,"PR061")="#N/A FIELD NOT APPLICABLE")," ", _xll.BDP($AX37,"PR061")/100)</f>
        <v>-4.9240320000000004E-2</v>
      </c>
      <c r="AI37" s="25" cm="1">
        <f t="array" ref="AI37">IF(OR(_xll.BDP($AX37,"RT075")="#N/A N/A",_xll.BDP($AX37,"RT075")="#N/A FIELD NOT APPLICABLE")," ", _xll.BDP($AX37,"RT075")/100)</f>
        <v>5.562019E-2</v>
      </c>
      <c r="AJ37" s="25" cm="1">
        <f t="array" ref="AJ37">IF(OR(_xll.BDP($AX37,"RT076")="#N/A N/A",_xll.BDP($AX37,"RT076")="#N/A FIELD NOT APPLICABLE")," ", _xll.BDP($AX37,"RT076")/100)</f>
        <v>2.9419849999999998E-3</v>
      </c>
      <c r="AK37" s="25" cm="1">
        <f t="array" ref="AK37">IF(OR(_xll.BDP($AX37,"FD252")="#N/A N/A",_xll.BDP($AX37,"FD252")="#N/A FIELD NOT APPLICABLE")," ", _xll.BDP($AX37,"FD252")/100)</f>
        <v>0</v>
      </c>
      <c r="AL37" s="25" cm="1">
        <f t="array" ref="AL37">IF(OR(_xll.BDP($AX37,"FD015")="#N/A N/A",_xll.BDP($AX37,"FD015")="#N/A FIELD NOT APPLICABLE")," ", _xll.BDP($AX37,"FD015")/100)</f>
        <v>7.4000000000000003E-3</v>
      </c>
      <c r="AM37" s="25" cm="1">
        <f t="array" ref="AM37">IF(OR(_xll.BDP($AX37,"FD138")="#N/A N/A",_xll.BDP($AX37,"FD138")="#N/A FIELD NOT APPLICABLE")," ", _xll.BDP($AX37,"FD138")/100)</f>
        <v>7.4000000000000003E-3</v>
      </c>
      <c r="AN37" s="36" cm="1">
        <f t="array" ref="AN37">IF(OR(_xll.BDP($AX37,"FD009")="#N/A N/A",_xll.BDP($AX37,"FD009")="#N/A FIELD NOT APPLICABLE")," ", _xll.BDP($AX37,"FD009")/100)</f>
        <v>0</v>
      </c>
      <c r="AO37" s="25" cm="1">
        <f t="array" ref="AO37">IF(OR(_xll.BDP($AX37,"RK512")="#N/A N/A",_xll.BDP($AX37,"RK512")="#N/A FIELD NOT APPLICABLE")," ", _xll.BDP($AX37,"RK512")/100)</f>
        <v>1.0980900526046753E-2</v>
      </c>
      <c r="AP37" s="25" cm="1">
        <f t="array" ref="AP37">IF(OR(_xll.BDP($AX37,"RK514")="#N/A N/A",_xll.BDP($AX37,"RK514")="#N/A FIELD NOT APPLICABLE")," ", _xll.BDP($AX37,"RK514")/100)</f>
        <v>1.2595499753952027E-2</v>
      </c>
      <c r="AQ37" s="25" cm="1">
        <f t="array" ref="AQ37">IF(OR(_xll.BDP($AX37,"RK521")="#N/A N/A",_xll.BDP($AX37,"RK521")="#N/A FIELD NOT APPLICABLE")," ", _xll.BDP($AX37,"RK521")/100)</f>
        <v>-4.7423001378774641E-4</v>
      </c>
      <c r="AR37" s="25" cm="1">
        <f t="array" ref="AR37">IF(OR(_xll.BDP($AX37,"RK525")="#N/A N/A",_xll.BDP($AX37,"RK525")="#N/A FIELD NOT APPLICABLE")," ", _xll.BDP($AX37,"RK525")/100)</f>
        <v>9.208210110664368E-3</v>
      </c>
      <c r="AS37" s="25" cm="1">
        <f t="array" ref="AS37">IF(OR(_xll.BDP($AX37,"RK524")="#N/A N/A",_xll.BDP($AX37,"RK524")="#N/A FIELD NOT APPLICABLE")," ", _xll.BDP($AX37,"RK524")/100)</f>
        <v>5.1196999847888944E-4</v>
      </c>
      <c r="AT37" s="25" t="str" cm="1">
        <f t="array" ref="AT37">IF(OR(_xll.BDP($AX37,"FD183")="#N/A N/A",_xll.BDP($AX37,"FD183")="#N/A FIELD NOT APPLICABLE")," ", _xll.BDP($AX37,"FD183"))</f>
        <v>USD INC</v>
      </c>
      <c r="AU37" s="25" t="str" cm="1">
        <f t="array" ref="AU37">IF(OR(_xll.BDP($AX37,"DY997")="#N/A N/A",_xll.BDP($AX37,"DY997")="#N/A FIELD NOT APPLICABLE")," ", _xll.BDP($AX37,"DY997"))</f>
        <v xml:space="preserve"> </v>
      </c>
      <c r="AV37" s="25" t="str" cm="1">
        <f t="array" ref="AV37">IF(OR(_xll.BDP($AX37,"DY784")="#N/A N/A",_xll.BDP($AX37,"DY784")="#N/A FIELD NOT APPLICABLE")," ", _xll.BDP($AX37,"DY784"))</f>
        <v xml:space="preserve"> </v>
      </c>
      <c r="AW37" s="22" t="str">
        <f t="shared" si="14"/>
        <v>N</v>
      </c>
      <c r="AX37" s="22" t="str">
        <f t="shared" si="15"/>
        <v>FXI US Equity</v>
      </c>
      <c r="BC37" s="17" t="str" cm="1">
        <f t="array" ref="BC37">_xll.BDP(AX37,"ID005")</f>
        <v>US4642871846</v>
      </c>
      <c r="BD37" s="17">
        <v>0.56999999999999995</v>
      </c>
      <c r="BE37" s="18">
        <v>5</v>
      </c>
      <c r="BF37" s="37">
        <v>44301</v>
      </c>
      <c r="BG37" s="20">
        <v>1.0000000000107532</v>
      </c>
    </row>
    <row r="38" spans="1:59" s="3" customFormat="1" ht="14.45" customHeight="1" x14ac:dyDescent="0.25">
      <c r="A38" s="49" t="s">
        <v>241</v>
      </c>
      <c r="B38" s="49" t="s">
        <v>251</v>
      </c>
      <c r="C38" s="49" t="s">
        <v>252</v>
      </c>
      <c r="D38" s="49" t="s">
        <v>240</v>
      </c>
      <c r="E38" s="22" t="str">
        <f>_xll.BDP(AX38,"SECURITY NAME")</f>
        <v>iShares China Large-Cap ETF</v>
      </c>
      <c r="F38" s="22" t="str">
        <f>_xll.BDP(AX38,"CRNCY")</f>
        <v>USD</v>
      </c>
      <c r="G38" s="23" t="s">
        <v>203</v>
      </c>
      <c r="H38" s="22" t="str" cm="1">
        <f t="array" ref="H38">IF(OR(_xll.BDP($AX38,"FD120")="#N/A N/A",_xll.BDP($AX38,"FD120")="#N/A FIELD NOT APPLICABLE")," ",_xll.BDP($AX38,"FD120"))</f>
        <v>China</v>
      </c>
      <c r="I38" s="22" t="str" cm="1">
        <f t="array" ref="I38">IF(OR(_xll.BDP($AX38,"FD116")="#N/A N/A",_xll.BDP($AX38,"FD116")="#N/A FIELD NOT APPLICABLE")," ",_xll.BDP($AX38,"FD116"))</f>
        <v>Blend</v>
      </c>
      <c r="J38" s="22" t="str" cm="1">
        <f t="array" ref="J38">IF(OR(_xll.BDP($AX38,"FD133")="#N/A N/A",_xll.BDP($AX38,"FD133")="#N/A FIELD NOT APPLICABLE")," ", _xll.BDP($AX38,"FD133"))</f>
        <v xml:space="preserve"> </v>
      </c>
      <c r="K38" s="34">
        <f>_xll.BDP(AX38,"FUND_ASSETS_USD")/1000</f>
        <v>5.7577778153999999</v>
      </c>
      <c r="L38" s="25">
        <f>IFERROR(_xll.BDP(AX38, "DV013")/100,0)</f>
        <v>2.6699912092960174E-2</v>
      </c>
      <c r="M38" s="25" cm="1">
        <f t="array" ref="M38">IF(OR(_xll.BDP($AX38,"PR079")="#N/A N/A",_xll.BDP($AX38,"PR079")="#N/A FIELD NOT APPLICABLE")," ", _xll.BDP($AX38,"PR079")/100)</f>
        <v>0.1100525</v>
      </c>
      <c r="N38" s="25" cm="1">
        <f t="array" ref="N38">IF(OR(_xll.BDP($AX38,"RT074")="#N/A N/A",_xll.BDP($AX38,"RT074")="#N/A FIELD NOT APPLICABLE")," ", _xll.BDP($AX38,"RT074")/100)</f>
        <v>0.33944009999999997</v>
      </c>
      <c r="O38" s="27">
        <v>2535</v>
      </c>
      <c r="P38" s="28">
        <v>32.33</v>
      </c>
      <c r="Q38" s="22" cm="1">
        <f t="array" ref="Q38">IF(OR(_xll.BDP($AX38,"PX_last")="#N/A N/A",_xll.BDP($AX38,"PX_Last")="#N/A FIELD NOT APPLICABLE")," ",IF(F38="GBP",(_xll.BDP($AX38,"PX_LAST")/100),(_xll.BDP($AX38,"PX_LAST"))))</f>
        <v>33.79</v>
      </c>
      <c r="R38" s="29">
        <f>IF(F38="USD",AA38,(((_xll.BDP(F38&amp;"USD CURNCY","PX_LAST")))*AA38))</f>
        <v>81956.55</v>
      </c>
      <c r="S38" s="29">
        <f>IF(F38="USD",AB38,(((_xll.BDP(F38&amp;"USD CURNCY","PX_LAST")))*AB38))</f>
        <v>85657.65</v>
      </c>
      <c r="T38" s="12">
        <f t="shared" si="8"/>
        <v>3701.0999999999913</v>
      </c>
      <c r="U38" s="13">
        <f t="shared" si="9"/>
        <v>4.5159294772656865E-2</v>
      </c>
      <c r="V38" s="13" cm="1">
        <f t="array" ref="V38">IFERROR(_xll.BDP($G38&amp;" Equity","CHG_PCT_1D")/100,"")</f>
        <v>-2.0673359999999999E-3</v>
      </c>
      <c r="W38" s="13" cm="1">
        <f t="array" ref="W38">IFERROR(_xll.BDP($G38&amp;" Equity","CHG_PCT_5D")/100,"")</f>
        <v>-9.3814129999999999E-3</v>
      </c>
      <c r="X38" s="13" t="e">
        <f>S38/$H$62</f>
        <v>#VALUE!</v>
      </c>
      <c r="Y38" s="29">
        <f t="shared" si="10"/>
        <v>2287.05172508955</v>
      </c>
      <c r="Z38" s="29">
        <f t="shared" si="11"/>
        <v>85657.65</v>
      </c>
      <c r="AA38" s="29">
        <f t="shared" si="12"/>
        <v>81956.55</v>
      </c>
      <c r="AB38" s="29">
        <f t="shared" si="13"/>
        <v>85657.65</v>
      </c>
      <c r="AC38" s="25" t="str" cm="1">
        <f t="array" ref="AC38">IF(OR(_xll.BDP($AX38,"EX028")="#N/A N/A",_xll.BDP($AX38,"EX028")="#N/A FIELD NOT APPLICABLE")," ", _xll.BDP($AX38,"EX028"))</f>
        <v>Fund</v>
      </c>
      <c r="AD38" s="35" t="str" cm="1">
        <f t="array" ref="AD38">IF(OR(_xll.BDP($AX38,"FD121")="#N/A N/A",_xll.BDP($AX38,"FD121")="#N/A FIELD NOT APPLICABLE")," ", _xll.BDP($AX38,"FD121"))</f>
        <v>Equity</v>
      </c>
      <c r="AE38" s="25" t="str" cm="1">
        <f t="array" ref="AE38">IF(OR(_xll.BDP($AX38,"FD118")="#N/A N/A",_xll.BDP($AX38,"FD118")="#N/A FIELD NOT APPLICABLE")," ", _xll.BDP($AX38,"FD118"))</f>
        <v>ETF</v>
      </c>
      <c r="AF38" s="22" t="str" cm="1">
        <f t="array" ref="AF38">IF(OR(_xll.BDP($AX38,"FD114")="#N/A N/A",_xll.BDP($AX38,"FD114")="#N/A FIELD NOT APPLICABLE")," ", _xll.BDP($AX38,"FD114"))</f>
        <v xml:space="preserve"> </v>
      </c>
      <c r="AG38" s="22" t="str" cm="1">
        <f t="array" ref="AG38">IF(OR(_xll.BDP($AX38,"FD003")="#N/A N/A",_xll.BDP($AX38,"FD003")="#N/A FIELD NOT APPLICABLE")," ", _xll.BDP($AX38,"FD003"))</f>
        <v>08/10/2004</v>
      </c>
      <c r="AH38" s="32" cm="1">
        <f t="array" ref="AH38">IF(OR(_xll.BDP($AX38,"PR061")="#N/A N/A",_xll.BDP($AX38,"PR061")="#N/A FIELD NOT APPLICABLE")," ", _xll.BDP($AX38,"PR061")/100)</f>
        <v>-4.9240320000000004E-2</v>
      </c>
      <c r="AI38" s="25" cm="1">
        <f t="array" ref="AI38">IF(OR(_xll.BDP($AX38,"RT075")="#N/A N/A",_xll.BDP($AX38,"RT075")="#N/A FIELD NOT APPLICABLE")," ", _xll.BDP($AX38,"RT075")/100)</f>
        <v>5.562019E-2</v>
      </c>
      <c r="AJ38" s="25" cm="1">
        <f t="array" ref="AJ38">IF(OR(_xll.BDP($AX38,"RT076")="#N/A N/A",_xll.BDP($AX38,"RT076")="#N/A FIELD NOT APPLICABLE")," ", _xll.BDP($AX38,"RT076")/100)</f>
        <v>2.9419849999999998E-3</v>
      </c>
      <c r="AK38" s="25" cm="1">
        <f t="array" ref="AK38">IF(OR(_xll.BDP($AX38,"FD252")="#N/A N/A",_xll.BDP($AX38,"FD252")="#N/A FIELD NOT APPLICABLE")," ", _xll.BDP($AX38,"FD252")/100)</f>
        <v>0</v>
      </c>
      <c r="AL38" s="25" cm="1">
        <f t="array" ref="AL38">IF(OR(_xll.BDP($AX38,"FD015")="#N/A N/A",_xll.BDP($AX38,"FD015")="#N/A FIELD NOT APPLICABLE")," ", _xll.BDP($AX38,"FD015")/100)</f>
        <v>7.4000000000000003E-3</v>
      </c>
      <c r="AM38" s="25" cm="1">
        <f t="array" ref="AM38">IF(OR(_xll.BDP($AX38,"FD138")="#N/A N/A",_xll.BDP($AX38,"FD138")="#N/A FIELD NOT APPLICABLE")," ", _xll.BDP($AX38,"FD138")/100)</f>
        <v>7.4000000000000003E-3</v>
      </c>
      <c r="AN38" s="36" cm="1">
        <f t="array" ref="AN38">IF(OR(_xll.BDP($AX38,"FD009")="#N/A N/A",_xll.BDP($AX38,"FD009")="#N/A FIELD NOT APPLICABLE")," ", _xll.BDP($AX38,"FD009")/100)</f>
        <v>0</v>
      </c>
      <c r="AO38" s="25" cm="1">
        <f t="array" ref="AO38">IF(OR(_xll.BDP($AX38,"RK512")="#N/A N/A",_xll.BDP($AX38,"RK512")="#N/A FIELD NOT APPLICABLE")," ", _xll.BDP($AX38,"RK512")/100)</f>
        <v>1.0980900526046753E-2</v>
      </c>
      <c r="AP38" s="25" cm="1">
        <f t="array" ref="AP38">IF(OR(_xll.BDP($AX38,"RK514")="#N/A N/A",_xll.BDP($AX38,"RK514")="#N/A FIELD NOT APPLICABLE")," ", _xll.BDP($AX38,"RK514")/100)</f>
        <v>1.2595499753952027E-2</v>
      </c>
      <c r="AQ38" s="25" cm="1">
        <f t="array" ref="AQ38">IF(OR(_xll.BDP($AX38,"RK521")="#N/A N/A",_xll.BDP($AX38,"RK521")="#N/A FIELD NOT APPLICABLE")," ", _xll.BDP($AX38,"RK521")/100)</f>
        <v>-4.7423001378774641E-4</v>
      </c>
      <c r="AR38" s="25" cm="1">
        <f t="array" ref="AR38">IF(OR(_xll.BDP($AX38,"RK525")="#N/A N/A",_xll.BDP($AX38,"RK525")="#N/A FIELD NOT APPLICABLE")," ", _xll.BDP($AX38,"RK525")/100)</f>
        <v>9.208210110664368E-3</v>
      </c>
      <c r="AS38" s="25" cm="1">
        <f t="array" ref="AS38">IF(OR(_xll.BDP($AX38,"RK524")="#N/A N/A",_xll.BDP($AX38,"RK524")="#N/A FIELD NOT APPLICABLE")," ", _xll.BDP($AX38,"RK524")/100)</f>
        <v>5.1196999847888944E-4</v>
      </c>
      <c r="AT38" s="25" t="str" cm="1">
        <f t="array" ref="AT38">IF(OR(_xll.BDP($AX38,"FD183")="#N/A N/A",_xll.BDP($AX38,"FD183")="#N/A FIELD NOT APPLICABLE")," ", _xll.BDP($AX38,"FD183"))</f>
        <v>USD INC</v>
      </c>
      <c r="AU38" s="25" t="str" cm="1">
        <f t="array" ref="AU38">IF(OR(_xll.BDP($AX38,"DY997")="#N/A N/A",_xll.BDP($AX38,"DY997")="#N/A FIELD NOT APPLICABLE")," ", _xll.BDP($AX38,"DY997"))</f>
        <v xml:space="preserve"> </v>
      </c>
      <c r="AV38" s="25" t="str" cm="1">
        <f t="array" ref="AV38">IF(OR(_xll.BDP($AX38,"DY784")="#N/A N/A",_xll.BDP($AX38,"DY784")="#N/A FIELD NOT APPLICABLE")," ", _xll.BDP($AX38,"DY784"))</f>
        <v xml:space="preserve"> </v>
      </c>
      <c r="AW38" s="22" t="str">
        <f t="shared" si="14"/>
        <v>N</v>
      </c>
      <c r="AX38" s="22" t="str">
        <f t="shared" si="15"/>
        <v>FXI US Equity</v>
      </c>
      <c r="BC38" s="17" t="str" cm="1">
        <f t="array" ref="BC38">_xll.BDP(AX38,"ID005")</f>
        <v>US4642871846</v>
      </c>
      <c r="BD38" s="17">
        <v>0.56999999999999995</v>
      </c>
      <c r="BE38" s="18">
        <v>5</v>
      </c>
      <c r="BF38" s="37">
        <v>44301</v>
      </c>
      <c r="BG38" s="20">
        <v>1.0000000000107532</v>
      </c>
    </row>
    <row r="39" spans="1:59" s="3" customFormat="1" ht="14.45" customHeight="1" x14ac:dyDescent="0.25">
      <c r="A39" s="49" t="s">
        <v>241</v>
      </c>
      <c r="B39" s="49" t="s">
        <v>253</v>
      </c>
      <c r="C39" s="49" t="s">
        <v>254</v>
      </c>
      <c r="D39" s="49" t="s">
        <v>240</v>
      </c>
      <c r="E39" s="22" t="str">
        <f>_xll.BDP(AX39,"SECURITY NAME")</f>
        <v>iShares China Large-Cap ETF</v>
      </c>
      <c r="F39" s="22" t="str">
        <f>_xll.BDP(AX39,"CRNCY")</f>
        <v>USD</v>
      </c>
      <c r="G39" s="23" t="s">
        <v>203</v>
      </c>
      <c r="H39" s="22" t="str" cm="1">
        <f t="array" ref="H39">IF(OR(_xll.BDP($AX39,"FD120")="#N/A N/A",_xll.BDP($AX39,"FD120")="#N/A FIELD NOT APPLICABLE")," ",_xll.BDP($AX39,"FD120"))</f>
        <v>China</v>
      </c>
      <c r="I39" s="22" t="str" cm="1">
        <f t="array" ref="I39">IF(OR(_xll.BDP($AX39,"FD116")="#N/A N/A",_xll.BDP($AX39,"FD116")="#N/A FIELD NOT APPLICABLE")," ",_xll.BDP($AX39,"FD116"))</f>
        <v>Blend</v>
      </c>
      <c r="J39" s="22" t="str" cm="1">
        <f t="array" ref="J39">IF(OR(_xll.BDP($AX39,"FD133")="#N/A N/A",_xll.BDP($AX39,"FD133")="#N/A FIELD NOT APPLICABLE")," ", _xll.BDP($AX39,"FD133"))</f>
        <v xml:space="preserve"> </v>
      </c>
      <c r="K39" s="34">
        <f>_xll.BDP(AX39,"FUND_ASSETS_USD")/1000</f>
        <v>5.7577778153999999</v>
      </c>
      <c r="L39" s="25">
        <f>IFERROR(_xll.BDP(AX39, "DV013")/100,0)</f>
        <v>2.6699912092960174E-2</v>
      </c>
      <c r="M39" s="25" cm="1">
        <f t="array" ref="M39">IF(OR(_xll.BDP($AX39,"PR079")="#N/A N/A",_xll.BDP($AX39,"PR079")="#N/A FIELD NOT APPLICABLE")," ", _xll.BDP($AX39,"PR079")/100)</f>
        <v>0.1100525</v>
      </c>
      <c r="N39" s="25" cm="1">
        <f t="array" ref="N39">IF(OR(_xll.BDP($AX39,"RT074")="#N/A N/A",_xll.BDP($AX39,"RT074")="#N/A FIELD NOT APPLICABLE")," ", _xll.BDP($AX39,"RT074")/100)</f>
        <v>0.33944009999999997</v>
      </c>
      <c r="O39" s="27">
        <v>792</v>
      </c>
      <c r="P39" s="28">
        <v>32.33</v>
      </c>
      <c r="Q39" s="22" cm="1">
        <f t="array" ref="Q39">IF(OR(_xll.BDP($AX39,"PX_last")="#N/A N/A",_xll.BDP($AX39,"PX_Last")="#N/A FIELD NOT APPLICABLE")," ",IF(F39="GBP",(_xll.BDP($AX39,"PX_LAST")),(_xll.BDP($AX39,"PX_LAST"))))</f>
        <v>33.79</v>
      </c>
      <c r="R39" s="29">
        <f>IF(F39="USD",AA39,(((_xll.BDP(F39&amp;"USD CURNCY","PX_LAST")))*AA39))</f>
        <v>25605.359999999997</v>
      </c>
      <c r="S39" s="29">
        <f>IF(F39="USD",AB39,(((_xll.BDP(F39&amp;"USD CURNCY","PX_LAST")))*AB39))</f>
        <v>26761.68</v>
      </c>
      <c r="T39" s="12">
        <f t="shared" si="8"/>
        <v>1156.3200000000033</v>
      </c>
      <c r="U39" s="13">
        <f t="shared" si="9"/>
        <v>4.5159294772657115E-2</v>
      </c>
      <c r="V39" s="13" cm="1">
        <f t="array" ref="V39">IFERROR(_xll.BDP($G39&amp;" Equity","CHG_PCT_1D")/100,"")</f>
        <v>-2.0673359999999999E-3</v>
      </c>
      <c r="W39" s="13" cm="1">
        <f t="array" ref="W39">IFERROR(_xll.BDP($G39&amp;" Equity","CHG_PCT_5D")/100,"")</f>
        <v>-9.3814129999999999E-3</v>
      </c>
      <c r="X39" s="13" t="e">
        <f>S39/#REF!</f>
        <v>#REF!</v>
      </c>
      <c r="Y39" s="29">
        <f t="shared" si="10"/>
        <v>714.53450345993042</v>
      </c>
      <c r="Z39" s="29">
        <f t="shared" si="11"/>
        <v>26761.68</v>
      </c>
      <c r="AA39" s="29">
        <f t="shared" si="12"/>
        <v>25605.359999999997</v>
      </c>
      <c r="AB39" s="29">
        <f t="shared" si="13"/>
        <v>26761.68</v>
      </c>
      <c r="AC39" s="25" t="str" cm="1">
        <f t="array" ref="AC39">IF(OR(_xll.BDP($AX39,"EX028")="#N/A N/A",_xll.BDP($AX39,"EX028")="#N/A FIELD NOT APPLICABLE")," ", _xll.BDP($AX39,"EX028"))</f>
        <v>Fund</v>
      </c>
      <c r="AD39" s="35" t="str" cm="1">
        <f t="array" ref="AD39">IF(OR(_xll.BDP($AX39,"FD121")="#N/A N/A",_xll.BDP($AX39,"FD121")="#N/A FIELD NOT APPLICABLE")," ", _xll.BDP($AX39,"FD121"))</f>
        <v>Equity</v>
      </c>
      <c r="AE39" s="25" t="str" cm="1">
        <f t="array" ref="AE39">IF(OR(_xll.BDP($AX39,"FD118")="#N/A N/A",_xll.BDP($AX39,"FD118")="#N/A FIELD NOT APPLICABLE")," ", _xll.BDP($AX39,"FD118"))</f>
        <v>ETF</v>
      </c>
      <c r="AF39" s="22" t="str" cm="1">
        <f t="array" ref="AF39">IF(OR(_xll.BDP($AX39,"FD114")="#N/A N/A",_xll.BDP($AX39,"FD114")="#N/A FIELD NOT APPLICABLE")," ", _xll.BDP($AX39,"FD114"))</f>
        <v xml:space="preserve"> </v>
      </c>
      <c r="AG39" s="22" t="str" cm="1">
        <f t="array" ref="AG39">IF(OR(_xll.BDP($AX39,"FD003")="#N/A N/A",_xll.BDP($AX39,"FD003")="#N/A FIELD NOT APPLICABLE")," ", _xll.BDP($AX39,"FD003"))</f>
        <v>08/10/2004</v>
      </c>
      <c r="AH39" s="32" cm="1">
        <f t="array" ref="AH39">IF(OR(_xll.BDP($AX39,"PR061")="#N/A N/A",_xll.BDP($AX39,"PR061")="#N/A FIELD NOT APPLICABLE")," ", _xll.BDP($AX39,"PR061")/100)</f>
        <v>-4.9240320000000004E-2</v>
      </c>
      <c r="AI39" s="25" cm="1">
        <f t="array" ref="AI39">IF(OR(_xll.BDP($AX39,"RT075")="#N/A N/A",_xll.BDP($AX39,"RT075")="#N/A FIELD NOT APPLICABLE")," ", _xll.BDP($AX39,"RT075")/100)</f>
        <v>5.562019E-2</v>
      </c>
      <c r="AJ39" s="25" cm="1">
        <f t="array" ref="AJ39">IF(OR(_xll.BDP($AX39,"RT076")="#N/A N/A",_xll.BDP($AX39,"RT076")="#N/A FIELD NOT APPLICABLE")," ", _xll.BDP($AX39,"RT076")/100)</f>
        <v>2.9419849999999998E-3</v>
      </c>
      <c r="AK39" s="25" cm="1">
        <f t="array" ref="AK39">IF(OR(_xll.BDP($AX39,"FD252")="#N/A N/A",_xll.BDP($AX39,"FD252")="#N/A FIELD NOT APPLICABLE")," ", _xll.BDP($AX39,"FD252")/100)</f>
        <v>0</v>
      </c>
      <c r="AL39" s="25" cm="1">
        <f t="array" ref="AL39">IF(OR(_xll.BDP($AX39,"FD015")="#N/A N/A",_xll.BDP($AX39,"FD015")="#N/A FIELD NOT APPLICABLE")," ", _xll.BDP($AX39,"FD015")/100)</f>
        <v>7.4000000000000003E-3</v>
      </c>
      <c r="AM39" s="25" cm="1">
        <f t="array" ref="AM39">IF(OR(_xll.BDP($AX39,"FD138")="#N/A N/A",_xll.BDP($AX39,"FD138")="#N/A FIELD NOT APPLICABLE")," ", _xll.BDP($AX39,"FD138")/100)</f>
        <v>7.4000000000000003E-3</v>
      </c>
      <c r="AN39" s="36" cm="1">
        <f t="array" ref="AN39">IF(OR(_xll.BDP($AX39,"FD009")="#N/A N/A",_xll.BDP($AX39,"FD009")="#N/A FIELD NOT APPLICABLE")," ", _xll.BDP($AX39,"FD009")/100)</f>
        <v>0</v>
      </c>
      <c r="AO39" s="25" cm="1">
        <f t="array" ref="AO39">IF(OR(_xll.BDP($AX39,"RK512")="#N/A N/A",_xll.BDP($AX39,"RK512")="#N/A FIELD NOT APPLICABLE")," ", _xll.BDP($AX39,"RK512")/100)</f>
        <v>1.0980900526046753E-2</v>
      </c>
      <c r="AP39" s="25" cm="1">
        <f t="array" ref="AP39">IF(OR(_xll.BDP($AX39,"RK514")="#N/A N/A",_xll.BDP($AX39,"RK514")="#N/A FIELD NOT APPLICABLE")," ", _xll.BDP($AX39,"RK514")/100)</f>
        <v>1.2595499753952027E-2</v>
      </c>
      <c r="AQ39" s="25" cm="1">
        <f t="array" ref="AQ39">IF(OR(_xll.BDP($AX39,"RK521")="#N/A N/A",_xll.BDP($AX39,"RK521")="#N/A FIELD NOT APPLICABLE")," ", _xll.BDP($AX39,"RK521")/100)</f>
        <v>-4.7423001378774641E-4</v>
      </c>
      <c r="AR39" s="25" cm="1">
        <f t="array" ref="AR39">IF(OR(_xll.BDP($AX39,"RK525")="#N/A N/A",_xll.BDP($AX39,"RK525")="#N/A FIELD NOT APPLICABLE")," ", _xll.BDP($AX39,"RK525")/100)</f>
        <v>9.208210110664368E-3</v>
      </c>
      <c r="AS39" s="25" cm="1">
        <f t="array" ref="AS39">IF(OR(_xll.BDP($AX39,"RK524")="#N/A N/A",_xll.BDP($AX39,"RK524")="#N/A FIELD NOT APPLICABLE")," ", _xll.BDP($AX39,"RK524")/100)</f>
        <v>5.1196999847888944E-4</v>
      </c>
      <c r="AT39" s="25" t="str" cm="1">
        <f t="array" ref="AT39">IF(OR(_xll.BDP($AX39,"FD183")="#N/A N/A",_xll.BDP($AX39,"FD183")="#N/A FIELD NOT APPLICABLE")," ", _xll.BDP($AX39,"FD183"))</f>
        <v>USD INC</v>
      </c>
      <c r="AU39" s="25" t="str" cm="1">
        <f t="array" ref="AU39">IF(OR(_xll.BDP($AX39,"DY997")="#N/A N/A",_xll.BDP($AX39,"DY997")="#N/A FIELD NOT APPLICABLE")," ", _xll.BDP($AX39,"DY997"))</f>
        <v xml:space="preserve"> </v>
      </c>
      <c r="AV39" s="25" t="str" cm="1">
        <f t="array" ref="AV39">IF(OR(_xll.BDP($AX39,"DY784")="#N/A N/A",_xll.BDP($AX39,"DY784")="#N/A FIELD NOT APPLICABLE")," ", _xll.BDP($AX39,"DY784"))</f>
        <v xml:space="preserve"> </v>
      </c>
      <c r="AW39" s="22" t="str">
        <f t="shared" si="14"/>
        <v>N</v>
      </c>
      <c r="AX39" s="22" t="str">
        <f t="shared" si="15"/>
        <v>FXI US Equity</v>
      </c>
      <c r="BC39" s="17" t="str" cm="1">
        <f t="array" ref="BC39">_xll.BDP(AX39,"ID005")</f>
        <v>US4642871846</v>
      </c>
      <c r="BD39" s="17">
        <v>0.75</v>
      </c>
      <c r="BE39" s="18">
        <v>5</v>
      </c>
      <c r="BF39" s="37">
        <v>45492</v>
      </c>
      <c r="BG39" s="20">
        <v>1.0000000000107532</v>
      </c>
    </row>
    <row r="40" spans="1:59" s="3" customFormat="1" ht="14.45" customHeight="1" x14ac:dyDescent="0.25">
      <c r="A40" s="49" t="s">
        <v>242</v>
      </c>
      <c r="B40" s="49" t="s">
        <v>255</v>
      </c>
      <c r="C40" s="49" t="s">
        <v>256</v>
      </c>
      <c r="D40" s="49" t="s">
        <v>248</v>
      </c>
      <c r="E40" s="22" t="str">
        <f>_xll.BDP(AX40,"SECURITY NAME")</f>
        <v>iShares China Large-Cap ETF</v>
      </c>
      <c r="F40" s="22" t="str">
        <f>_xll.BDP(AX40,"CRNCY")</f>
        <v>USD</v>
      </c>
      <c r="G40" s="23" t="s">
        <v>203</v>
      </c>
      <c r="H40" s="22" t="str" cm="1">
        <f t="array" ref="H40">IF(OR(_xll.BDP($AX40,"FD120")="#N/A N/A",_xll.BDP($AX40,"FD120")="#N/A FIELD NOT APPLICABLE")," ",_xll.BDP($AX40,"FD120"))</f>
        <v>China</v>
      </c>
      <c r="I40" s="22" t="str" cm="1">
        <f t="array" ref="I40">IF(OR(_xll.BDP($AX40,"FD116")="#N/A N/A",_xll.BDP($AX40,"FD116")="#N/A FIELD NOT APPLICABLE")," ",_xll.BDP($AX40,"FD116"))</f>
        <v>Blend</v>
      </c>
      <c r="J40" s="22" t="str" cm="1">
        <f t="array" ref="J40">IF(OR(_xll.BDP($AX40,"FD133")="#N/A N/A",_xll.BDP($AX40,"FD133")="#N/A FIELD NOT APPLICABLE")," ", _xll.BDP($AX40,"FD133"))</f>
        <v xml:space="preserve"> </v>
      </c>
      <c r="K40" s="34">
        <f>_xll.BDP(AX40,"FUND_ASSETS_USD")/1000</f>
        <v>5.7577778153999999</v>
      </c>
      <c r="L40" s="25">
        <f>IFERROR(_xll.BDP(AX40, "DV013")/100,0)</f>
        <v>2.6699912092960174E-2</v>
      </c>
      <c r="M40" s="25" cm="1">
        <f t="array" ref="M40">IF(OR(_xll.BDP($AX40,"PR079")="#N/A N/A",_xll.BDP($AX40,"PR079")="#N/A FIELD NOT APPLICABLE")," ", _xll.BDP($AX40,"PR079")/100)</f>
        <v>0.1100525</v>
      </c>
      <c r="N40" s="25" cm="1">
        <f t="array" ref="N40">IF(OR(_xll.BDP($AX40,"RT074")="#N/A N/A",_xll.BDP($AX40,"RT074")="#N/A FIELD NOT APPLICABLE")," ", _xll.BDP($AX40,"RT074")/100)</f>
        <v>0.33944009999999997</v>
      </c>
      <c r="O40" s="27">
        <v>2693</v>
      </c>
      <c r="P40" s="28">
        <v>32.46</v>
      </c>
      <c r="Q40" s="22" cm="1">
        <f t="array" ref="Q40">IF(OR(_xll.BDP($AX40,"PX_last")="#N/A N/A",_xll.BDP($AX40,"PX_Last")="#N/A FIELD NOT APPLICABLE")," ",IF(F40="GBP",(_xll.BDP($AX40,"PX_LAST")),(_xll.BDP($AX40,"PX_LAST"))))</f>
        <v>33.79</v>
      </c>
      <c r="R40" s="29">
        <f>IF(F40="USD",AA40,(((_xll.BDP(F40&amp;"USD CURNCY","PX_LAST")))*AA40))</f>
        <v>87414.78</v>
      </c>
      <c r="S40" s="29">
        <f>IF(F40="USD",AB40,(((_xll.BDP(F40&amp;"USD CURNCY","PX_LAST")))*AB40))</f>
        <v>90996.47</v>
      </c>
      <c r="T40" s="12">
        <f t="shared" si="8"/>
        <v>3581.6900000000023</v>
      </c>
      <c r="U40" s="13">
        <f t="shared" si="9"/>
        <v>4.097350585335801E-2</v>
      </c>
      <c r="V40" s="13" cm="1">
        <f t="array" ref="V40">IFERROR(_xll.BDP($G40&amp;" Equity","CHG_PCT_1D")/100,"")</f>
        <v>-2.0673359999999999E-3</v>
      </c>
      <c r="W40" s="13" cm="1">
        <f t="array" ref="W40">IFERROR(_xll.BDP($G40&amp;" Equity","CHG_PCT_5D")/100,"")</f>
        <v>-9.3814129999999999E-3</v>
      </c>
      <c r="X40" s="13" t="e">
        <f>S40/#REF!</f>
        <v>#REF!</v>
      </c>
      <c r="Y40" s="29">
        <f t="shared" si="10"/>
        <v>2429.5977497696877</v>
      </c>
      <c r="Z40" s="29">
        <f t="shared" si="11"/>
        <v>90996.47</v>
      </c>
      <c r="AA40" s="29">
        <f t="shared" si="12"/>
        <v>87414.78</v>
      </c>
      <c r="AB40" s="29">
        <f t="shared" si="13"/>
        <v>90996.47</v>
      </c>
      <c r="AC40" s="25" t="str" cm="1">
        <f t="array" ref="AC40">IF(OR(_xll.BDP($AX40,"EX028")="#N/A N/A",_xll.BDP($AX40,"EX028")="#N/A FIELD NOT APPLICABLE")," ", _xll.BDP($AX40,"EX028"))</f>
        <v>Fund</v>
      </c>
      <c r="AD40" s="35" t="str" cm="1">
        <f t="array" ref="AD40">IF(OR(_xll.BDP($AX40,"FD121")="#N/A N/A",_xll.BDP($AX40,"FD121")="#N/A FIELD NOT APPLICABLE")," ", _xll.BDP($AX40,"FD121"))</f>
        <v>Equity</v>
      </c>
      <c r="AE40" s="25" t="str" cm="1">
        <f t="array" ref="AE40">IF(OR(_xll.BDP($AX40,"FD118")="#N/A N/A",_xll.BDP($AX40,"FD118")="#N/A FIELD NOT APPLICABLE")," ", _xll.BDP($AX40,"FD118"))</f>
        <v>ETF</v>
      </c>
      <c r="AF40" s="22" t="str" cm="1">
        <f t="array" ref="AF40">IF(OR(_xll.BDP($AX40,"FD114")="#N/A N/A",_xll.BDP($AX40,"FD114")="#N/A FIELD NOT APPLICABLE")," ", _xll.BDP($AX40,"FD114"))</f>
        <v xml:space="preserve"> </v>
      </c>
      <c r="AG40" s="22" t="str" cm="1">
        <f t="array" ref="AG40">IF(OR(_xll.BDP($AX40,"FD003")="#N/A N/A",_xll.BDP($AX40,"FD003")="#N/A FIELD NOT APPLICABLE")," ", _xll.BDP($AX40,"FD003"))</f>
        <v>08/10/2004</v>
      </c>
      <c r="AH40" s="32" cm="1">
        <f t="array" ref="AH40">IF(OR(_xll.BDP($AX40,"PR061")="#N/A N/A",_xll.BDP($AX40,"PR061")="#N/A FIELD NOT APPLICABLE")," ", _xll.BDP($AX40,"PR061")/100)</f>
        <v>-4.9240320000000004E-2</v>
      </c>
      <c r="AI40" s="25" cm="1">
        <f t="array" ref="AI40">IF(OR(_xll.BDP($AX40,"RT075")="#N/A N/A",_xll.BDP($AX40,"RT075")="#N/A FIELD NOT APPLICABLE")," ", _xll.BDP($AX40,"RT075")/100)</f>
        <v>5.562019E-2</v>
      </c>
      <c r="AJ40" s="25" cm="1">
        <f t="array" ref="AJ40">IF(OR(_xll.BDP($AX40,"RT076")="#N/A N/A",_xll.BDP($AX40,"RT076")="#N/A FIELD NOT APPLICABLE")," ", _xll.BDP($AX40,"RT076")/100)</f>
        <v>2.9419849999999998E-3</v>
      </c>
      <c r="AK40" s="25" cm="1">
        <f t="array" ref="AK40">IF(OR(_xll.BDP($AX40,"FD252")="#N/A N/A",_xll.BDP($AX40,"FD252")="#N/A FIELD NOT APPLICABLE")," ", _xll.BDP($AX40,"FD252")/100)</f>
        <v>0</v>
      </c>
      <c r="AL40" s="25" cm="1">
        <f t="array" ref="AL40">IF(OR(_xll.BDP($AX40,"FD015")="#N/A N/A",_xll.BDP($AX40,"FD015")="#N/A FIELD NOT APPLICABLE")," ", _xll.BDP($AX40,"FD015")/100)</f>
        <v>7.4000000000000003E-3</v>
      </c>
      <c r="AM40" s="25" cm="1">
        <f t="array" ref="AM40">IF(OR(_xll.BDP($AX40,"FD138")="#N/A N/A",_xll.BDP($AX40,"FD138")="#N/A FIELD NOT APPLICABLE")," ", _xll.BDP($AX40,"FD138")/100)</f>
        <v>7.4000000000000003E-3</v>
      </c>
      <c r="AN40" s="36" cm="1">
        <f t="array" ref="AN40">IF(OR(_xll.BDP($AX40,"FD009")="#N/A N/A",_xll.BDP($AX40,"FD009")="#N/A FIELD NOT APPLICABLE")," ", _xll.BDP($AX40,"FD009")/100)</f>
        <v>0</v>
      </c>
      <c r="AO40" s="25" cm="1">
        <f t="array" ref="AO40">IF(OR(_xll.BDP($AX40,"RK512")="#N/A N/A",_xll.BDP($AX40,"RK512")="#N/A FIELD NOT APPLICABLE")," ", _xll.BDP($AX40,"RK512")/100)</f>
        <v>1.0980900526046753E-2</v>
      </c>
      <c r="AP40" s="25" cm="1">
        <f t="array" ref="AP40">IF(OR(_xll.BDP($AX40,"RK514")="#N/A N/A",_xll.BDP($AX40,"RK514")="#N/A FIELD NOT APPLICABLE")," ", _xll.BDP($AX40,"RK514")/100)</f>
        <v>1.2595499753952027E-2</v>
      </c>
      <c r="AQ40" s="25" cm="1">
        <f t="array" ref="AQ40">IF(OR(_xll.BDP($AX40,"RK521")="#N/A N/A",_xll.BDP($AX40,"RK521")="#N/A FIELD NOT APPLICABLE")," ", _xll.BDP($AX40,"RK521")/100)</f>
        <v>-4.7423001378774641E-4</v>
      </c>
      <c r="AR40" s="25" cm="1">
        <f t="array" ref="AR40">IF(OR(_xll.BDP($AX40,"RK525")="#N/A N/A",_xll.BDP($AX40,"RK525")="#N/A FIELD NOT APPLICABLE")," ", _xll.BDP($AX40,"RK525")/100)</f>
        <v>9.208210110664368E-3</v>
      </c>
      <c r="AS40" s="25" cm="1">
        <f t="array" ref="AS40">IF(OR(_xll.BDP($AX40,"RK524")="#N/A N/A",_xll.BDP($AX40,"RK524")="#N/A FIELD NOT APPLICABLE")," ", _xll.BDP($AX40,"RK524")/100)</f>
        <v>5.1196999847888944E-4</v>
      </c>
      <c r="AT40" s="25" t="str" cm="1">
        <f t="array" ref="AT40">IF(OR(_xll.BDP($AX40,"FD183")="#N/A N/A",_xll.BDP($AX40,"FD183")="#N/A FIELD NOT APPLICABLE")," ", _xll.BDP($AX40,"FD183"))</f>
        <v>USD INC</v>
      </c>
      <c r="AU40" s="25" t="str" cm="1">
        <f t="array" ref="AU40">IF(OR(_xll.BDP($AX40,"DY997")="#N/A N/A",_xll.BDP($AX40,"DY997")="#N/A FIELD NOT APPLICABLE")," ", _xll.BDP($AX40,"DY997"))</f>
        <v xml:space="preserve"> </v>
      </c>
      <c r="AV40" s="25" t="str" cm="1">
        <f t="array" ref="AV40">IF(OR(_xll.BDP($AX40,"DY784")="#N/A N/A",_xll.BDP($AX40,"DY784")="#N/A FIELD NOT APPLICABLE")," ", _xll.BDP($AX40,"DY784"))</f>
        <v xml:space="preserve"> </v>
      </c>
      <c r="AW40" s="22" t="str">
        <f t="shared" si="14"/>
        <v>N</v>
      </c>
      <c r="AX40" s="22" t="str">
        <f t="shared" si="15"/>
        <v>FXI US Equity</v>
      </c>
      <c r="BC40" s="17" t="str" cm="1">
        <f t="array" ref="BC40">_xll.BDP(AX40,"ID005")</f>
        <v>US4642871846</v>
      </c>
      <c r="BD40" s="17"/>
      <c r="BE40" s="18"/>
      <c r="BF40" s="37"/>
      <c r="BG40" s="20"/>
    </row>
    <row r="41" spans="1:59" s="3" customFormat="1" ht="14.45" customHeight="1" x14ac:dyDescent="0.25">
      <c r="A41" s="49" t="s">
        <v>242</v>
      </c>
      <c r="B41" s="49" t="s">
        <v>332</v>
      </c>
      <c r="C41" s="72" t="s">
        <v>333</v>
      </c>
      <c r="D41" s="49" t="s">
        <v>248</v>
      </c>
      <c r="E41" s="22" t="str">
        <f>_xll.BDP(AX41,"SECURITY NAME")</f>
        <v>iShares China Large-Cap ETF</v>
      </c>
      <c r="F41" s="22" t="str">
        <f>_xll.BDP(AX41,"CRNCY")</f>
        <v>USD</v>
      </c>
      <c r="G41" s="23" t="s">
        <v>203</v>
      </c>
      <c r="H41" s="22" t="str" cm="1">
        <f t="array" ref="H41">IF(OR(_xll.BDP($AX41,"FD120")="#N/A N/A",_xll.BDP($AX41,"FD120")="#N/A FIELD NOT APPLICABLE")," ",_xll.BDP($AX41,"FD120"))</f>
        <v>China</v>
      </c>
      <c r="I41" s="22" t="str" cm="1">
        <f t="array" ref="I41">IF(OR(_xll.BDP($AX41,"FD116")="#N/A N/A",_xll.BDP($AX41,"FD116")="#N/A FIELD NOT APPLICABLE")," ",_xll.BDP($AX41,"FD116"))</f>
        <v>Blend</v>
      </c>
      <c r="J41" s="22" t="str" cm="1">
        <f t="array" ref="J41">IF(OR(_xll.BDP($AX41,"FD133")="#N/A N/A",_xll.BDP($AX41,"FD133")="#N/A FIELD NOT APPLICABLE")," ", _xll.BDP($AX41,"FD133"))</f>
        <v xml:space="preserve"> </v>
      </c>
      <c r="K41" s="34">
        <f>_xll.BDP(AX41,"FUND_ASSETS_USD")/1000</f>
        <v>5.7577778153999999</v>
      </c>
      <c r="L41" s="25">
        <f>IFERROR(_xll.BDP(AX41, "DV013")/100,0)</f>
        <v>2.6699912092960174E-2</v>
      </c>
      <c r="M41" s="25" cm="1">
        <f t="array" ref="M41">IF(OR(_xll.BDP($AX41,"PR079")="#N/A N/A",_xll.BDP($AX41,"PR079")="#N/A FIELD NOT APPLICABLE")," ", _xll.BDP($AX41,"PR079")/100)</f>
        <v>0.1100525</v>
      </c>
      <c r="N41" s="25" cm="1">
        <f t="array" ref="N41">IF(OR(_xll.BDP($AX41,"RT074")="#N/A N/A",_xll.BDP($AX41,"RT074")="#N/A FIELD NOT APPLICABLE")," ", _xll.BDP($AX41,"RT074")/100)</f>
        <v>0.33944009999999997</v>
      </c>
      <c r="O41" s="27">
        <v>2218</v>
      </c>
      <c r="P41" s="28">
        <v>32.96</v>
      </c>
      <c r="Q41" s="22" cm="1">
        <f t="array" ref="Q41">IF(OR(_xll.BDP($AX41,"PX_last")="#N/A N/A",_xll.BDP($AX41,"PX_Last")="#N/A FIELD NOT APPLICABLE")," ",IF(F41="GBP",(_xll.BDP($AX41,"PX_LAST")/100),(_xll.BDP($AX41,"PX_LAST"))))</f>
        <v>33.79</v>
      </c>
      <c r="R41" s="29">
        <f>IF(F41="USD",AA41,(((_xll.BDP(F41&amp;"USD CURNCY","PX_LAST")))*AA41))</f>
        <v>73105.279999999999</v>
      </c>
      <c r="S41" s="29">
        <f>IF(F41="USD",AB41,(((_xll.BDP(F41&amp;"USD CURNCY","PX_LAST")))*AB41))</f>
        <v>74946.22</v>
      </c>
      <c r="T41" s="12">
        <f t="shared" si="8"/>
        <v>1840.9400000000023</v>
      </c>
      <c r="U41" s="13">
        <f t="shared" si="9"/>
        <v>2.518203883495149E-2</v>
      </c>
      <c r="V41" s="13" cm="1">
        <f t="array" ref="V41">IFERROR(_xll.BDP($G41&amp;" Equity","CHG_PCT_1D")/100,"")</f>
        <v>-2.0673359999999999E-3</v>
      </c>
      <c r="W41" s="13" cm="1">
        <f t="array" ref="W41">IFERROR(_xll.BDP($G41&amp;" Equity","CHG_PCT_5D")/100,"")</f>
        <v>-9.3814129999999999E-3</v>
      </c>
      <c r="X41" s="13" t="e">
        <f>S41/$H$62</f>
        <v>#VALUE!</v>
      </c>
      <c r="Y41" s="29">
        <f t="shared" si="10"/>
        <v>2001.0574856996536</v>
      </c>
      <c r="Z41" s="29">
        <f t="shared" si="11"/>
        <v>74946.22</v>
      </c>
      <c r="AA41" s="29">
        <f t="shared" si="12"/>
        <v>73105.279999999999</v>
      </c>
      <c r="AB41" s="29">
        <f t="shared" si="13"/>
        <v>74946.22</v>
      </c>
      <c r="AC41" s="25" t="str" cm="1">
        <f t="array" ref="AC41">IF(OR(_xll.BDP($AX41,"EX028")="#N/A N/A",_xll.BDP($AX41,"EX028")="#N/A FIELD NOT APPLICABLE")," ", _xll.BDP($AX41,"EX028"))</f>
        <v>Fund</v>
      </c>
      <c r="AD41" s="35" t="str" cm="1">
        <f t="array" ref="AD41">IF(OR(_xll.BDP($AX41,"FD121")="#N/A N/A",_xll.BDP($AX41,"FD121")="#N/A FIELD NOT APPLICABLE")," ", _xll.BDP($AX41,"FD121"))</f>
        <v>Equity</v>
      </c>
      <c r="AE41" s="25" t="str" cm="1">
        <f t="array" ref="AE41">IF(OR(_xll.BDP($AX41,"FD118")="#N/A N/A",_xll.BDP($AX41,"FD118")="#N/A FIELD NOT APPLICABLE")," ", _xll.BDP($AX41,"FD118"))</f>
        <v>ETF</v>
      </c>
      <c r="AF41" s="22" t="str" cm="1">
        <f t="array" ref="AF41">IF(OR(_xll.BDP($AX41,"FD114")="#N/A N/A",_xll.BDP($AX41,"FD114")="#N/A FIELD NOT APPLICABLE")," ", _xll.BDP($AX41,"FD114"))</f>
        <v xml:space="preserve"> </v>
      </c>
      <c r="AG41" s="22" t="str" cm="1">
        <f t="array" ref="AG41">IF(OR(_xll.BDP($AX41,"FD003")="#N/A N/A",_xll.BDP($AX41,"FD003")="#N/A FIELD NOT APPLICABLE")," ", _xll.BDP($AX41,"FD003"))</f>
        <v>08/10/2004</v>
      </c>
      <c r="AH41" s="32" cm="1">
        <f t="array" ref="AH41">IF(OR(_xll.BDP($AX41,"PR061")="#N/A N/A",_xll.BDP($AX41,"PR061")="#N/A FIELD NOT APPLICABLE")," ", _xll.BDP($AX41,"PR061")/100)</f>
        <v>-4.9240320000000004E-2</v>
      </c>
      <c r="AI41" s="25" cm="1">
        <f t="array" ref="AI41">IF(OR(_xll.BDP($AX41,"RT075")="#N/A N/A",_xll.BDP($AX41,"RT075")="#N/A FIELD NOT APPLICABLE")," ", _xll.BDP($AX41,"RT075")/100)</f>
        <v>5.562019E-2</v>
      </c>
      <c r="AJ41" s="25" cm="1">
        <f t="array" ref="AJ41">IF(OR(_xll.BDP($AX41,"RT076")="#N/A N/A",_xll.BDP($AX41,"RT076")="#N/A FIELD NOT APPLICABLE")," ", _xll.BDP($AX41,"RT076")/100)</f>
        <v>2.9419849999999998E-3</v>
      </c>
      <c r="AK41" s="25" cm="1">
        <f t="array" ref="AK41">IF(OR(_xll.BDP($AX41,"FD252")="#N/A N/A",_xll.BDP($AX41,"FD252")="#N/A FIELD NOT APPLICABLE")," ", _xll.BDP($AX41,"FD252")/100)</f>
        <v>0</v>
      </c>
      <c r="AL41" s="25" cm="1">
        <f t="array" ref="AL41">IF(OR(_xll.BDP($AX41,"FD015")="#N/A N/A",_xll.BDP($AX41,"FD015")="#N/A FIELD NOT APPLICABLE")," ", _xll.BDP($AX41,"FD015")/100)</f>
        <v>7.4000000000000003E-3</v>
      </c>
      <c r="AM41" s="25" cm="1">
        <f t="array" ref="AM41">IF(OR(_xll.BDP($AX41,"FD138")="#N/A N/A",_xll.BDP($AX41,"FD138")="#N/A FIELD NOT APPLICABLE")," ", _xll.BDP($AX41,"FD138")/100)</f>
        <v>7.4000000000000003E-3</v>
      </c>
      <c r="AN41" s="36" cm="1">
        <f t="array" ref="AN41">IF(OR(_xll.BDP($AX41,"FD009")="#N/A N/A",_xll.BDP($AX41,"FD009")="#N/A FIELD NOT APPLICABLE")," ", _xll.BDP($AX41,"FD009")/100)</f>
        <v>0</v>
      </c>
      <c r="AO41" s="25" cm="1">
        <f t="array" ref="AO41">IF(OR(_xll.BDP($AX41,"RK512")="#N/A N/A",_xll.BDP($AX41,"RK512")="#N/A FIELD NOT APPLICABLE")," ", _xll.BDP($AX41,"RK512")/100)</f>
        <v>1.0980900526046753E-2</v>
      </c>
      <c r="AP41" s="25" cm="1">
        <f t="array" ref="AP41">IF(OR(_xll.BDP($AX41,"RK514")="#N/A N/A",_xll.BDP($AX41,"RK514")="#N/A FIELD NOT APPLICABLE")," ", _xll.BDP($AX41,"RK514")/100)</f>
        <v>1.2595499753952027E-2</v>
      </c>
      <c r="AQ41" s="25" cm="1">
        <f t="array" ref="AQ41">IF(OR(_xll.BDP($AX41,"RK521")="#N/A N/A",_xll.BDP($AX41,"RK521")="#N/A FIELD NOT APPLICABLE")," ", _xll.BDP($AX41,"RK521")/100)</f>
        <v>-4.7423001378774641E-4</v>
      </c>
      <c r="AR41" s="25" cm="1">
        <f t="array" ref="AR41">IF(OR(_xll.BDP($AX41,"RK525")="#N/A N/A",_xll.BDP($AX41,"RK525")="#N/A FIELD NOT APPLICABLE")," ", _xll.BDP($AX41,"RK525")/100)</f>
        <v>9.208210110664368E-3</v>
      </c>
      <c r="AS41" s="25" cm="1">
        <f t="array" ref="AS41">IF(OR(_xll.BDP($AX41,"RK524")="#N/A N/A",_xll.BDP($AX41,"RK524")="#N/A FIELD NOT APPLICABLE")," ", _xll.BDP($AX41,"RK524")/100)</f>
        <v>5.1196999847888944E-4</v>
      </c>
      <c r="AT41" s="25" t="str" cm="1">
        <f t="array" ref="AT41">IF(OR(_xll.BDP($AX41,"FD183")="#N/A N/A",_xll.BDP($AX41,"FD183")="#N/A FIELD NOT APPLICABLE")," ", _xll.BDP($AX41,"FD183"))</f>
        <v>USD INC</v>
      </c>
      <c r="AU41" s="25" t="str" cm="1">
        <f t="array" ref="AU41">IF(OR(_xll.BDP($AX41,"DY997")="#N/A N/A",_xll.BDP($AX41,"DY997")="#N/A FIELD NOT APPLICABLE")," ", _xll.BDP($AX41,"DY997"))</f>
        <v xml:space="preserve"> </v>
      </c>
      <c r="AV41" s="25" t="str" cm="1">
        <f t="array" ref="AV41">IF(OR(_xll.BDP($AX41,"DY784")="#N/A N/A",_xll.BDP($AX41,"DY784")="#N/A FIELD NOT APPLICABLE")," ", _xll.BDP($AX41,"DY784"))</f>
        <v xml:space="preserve"> </v>
      </c>
      <c r="AW41" s="22" t="str">
        <f t="shared" si="14"/>
        <v>N</v>
      </c>
      <c r="AX41" s="22" t="str">
        <f t="shared" si="15"/>
        <v>FXI US Equity</v>
      </c>
      <c r="BC41" s="17" t="str" cm="1">
        <f t="array" ref="BC41">_xll.BDP(AX41,"ID005")</f>
        <v>US4642871846</v>
      </c>
      <c r="BD41" s="17">
        <v>0.73</v>
      </c>
      <c r="BE41" s="18">
        <v>5</v>
      </c>
      <c r="BF41" s="37"/>
      <c r="BG41" s="20"/>
    </row>
    <row r="42" spans="1:59" s="3" customFormat="1" ht="14.45" customHeight="1" x14ac:dyDescent="0.25">
      <c r="A42" s="49" t="s">
        <v>242</v>
      </c>
      <c r="B42" s="49" t="s">
        <v>260</v>
      </c>
      <c r="C42" s="49" t="s">
        <v>261</v>
      </c>
      <c r="D42" s="49" t="s">
        <v>248</v>
      </c>
      <c r="E42" s="22" t="str">
        <f>_xll.BDP(AX42,"SECURITY NAME")</f>
        <v>iShares China Large-Cap ETF</v>
      </c>
      <c r="F42" s="22" t="str">
        <f>_xll.BDP(AX42,"CRNCY")</f>
        <v>USD</v>
      </c>
      <c r="G42" s="73" t="s">
        <v>203</v>
      </c>
      <c r="H42" s="22" t="str" cm="1">
        <f t="array" ref="H42">IF(OR(_xll.BDP($AX42,"FD120")="#N/A N/A",_xll.BDP($AX42,"FD120")="#N/A FIELD NOT APPLICABLE")," ",_xll.BDP($AX42,"FD120"))</f>
        <v>China</v>
      </c>
      <c r="I42" s="22" t="str" cm="1">
        <f t="array" ref="I42">IF(OR(_xll.BDP($AX42,"FD116")="#N/A N/A",_xll.BDP($AX42,"FD116")="#N/A FIELD NOT APPLICABLE")," ",_xll.BDP($AX42,"FD116"))</f>
        <v>Blend</v>
      </c>
      <c r="J42" s="22" t="str" cm="1">
        <f t="array" ref="J42">IF(OR(_xll.BDP($AX42,"FD133")="#N/A N/A",_xll.BDP($AX42,"FD133")="#N/A FIELD NOT APPLICABLE")," ", _xll.BDP($AX42,"FD133"))</f>
        <v xml:space="preserve"> </v>
      </c>
      <c r="K42" s="34">
        <f>_xll.BDP(AX42,"FUND_ASSETS_USD")/1000</f>
        <v>5.7577778153999999</v>
      </c>
      <c r="L42" s="25">
        <f>IFERROR(_xll.BDP(AX42, "DV013")/100,0)</f>
        <v>2.6699912092960174E-2</v>
      </c>
      <c r="M42" s="25" cm="1">
        <f t="array" ref="M42">IF(OR(_xll.BDP($AX42,"PR079")="#N/A N/A",_xll.BDP($AX42,"PR079")="#N/A FIELD NOT APPLICABLE")," ", _xll.BDP($AX42,"PR079")/100)</f>
        <v>0.1100525</v>
      </c>
      <c r="N42" s="25" cm="1">
        <f t="array" ref="N42">IF(OR(_xll.BDP($AX42,"RT074")="#N/A N/A",_xll.BDP($AX42,"RT074")="#N/A FIELD NOT APPLICABLE")," ", _xll.BDP($AX42,"RT074")/100)</f>
        <v>0.33944009999999997</v>
      </c>
      <c r="O42" s="74">
        <v>3005</v>
      </c>
      <c r="P42" s="75">
        <v>32.1</v>
      </c>
      <c r="Q42" s="22" cm="1">
        <f t="array" ref="Q42">IF(OR(_xll.BDP($AX42,"PX_last")="#N/A N/A",_xll.BDP($AX42,"PX_Last")="#N/A FIELD NOT APPLICABLE")," ",IF(F42="GBP",(_xll.BDP($AX42,"PX_LAST")),(_xll.BDP($AX42,"PX_LAST"))))</f>
        <v>33.79</v>
      </c>
      <c r="R42" s="29">
        <f>IF(F42="USD",AA42,(((_xll.BDP(F42&amp;"USD CURNCY","PX_LAST")))*AA42))</f>
        <v>96460.5</v>
      </c>
      <c r="S42" s="29">
        <f>IF(F42="USD",AB42,(((_xll.BDP(F42&amp;"USD CURNCY","PX_LAST")))*AB42))</f>
        <v>101538.95</v>
      </c>
      <c r="T42" s="12">
        <f t="shared" si="8"/>
        <v>5078.4499999999971</v>
      </c>
      <c r="U42" s="13">
        <f t="shared" si="9"/>
        <v>5.264797507788159E-2</v>
      </c>
      <c r="V42" s="13" cm="1">
        <f t="array" ref="V42">IFERROR(_xll.BDP($G42&amp;" Equity","CHG_PCT_1D")/100,"")</f>
        <v>-2.0673359999999999E-3</v>
      </c>
      <c r="W42" s="13" cm="1">
        <f t="array" ref="W42">IFERROR(_xll.BDP($G42&amp;" Equity","CHG_PCT_5D")/100,"")</f>
        <v>-9.3814129999999999E-3</v>
      </c>
      <c r="X42" s="13" t="e">
        <f>S42/#REF!</f>
        <v>#REF!</v>
      </c>
      <c r="Y42" s="29">
        <f t="shared" si="10"/>
        <v>2711.0810390114784</v>
      </c>
      <c r="Z42" s="29">
        <f t="shared" si="11"/>
        <v>101538.95</v>
      </c>
      <c r="AA42" s="29">
        <f t="shared" si="12"/>
        <v>96460.5</v>
      </c>
      <c r="AB42" s="29">
        <f t="shared" si="13"/>
        <v>101538.95</v>
      </c>
      <c r="AC42" s="25" t="str" cm="1">
        <f t="array" ref="AC42">IF(OR(_xll.BDP($AX42,"EX028")="#N/A N/A",_xll.BDP($AX42,"EX028")="#N/A FIELD NOT APPLICABLE")," ", _xll.BDP($AX42,"EX028"))</f>
        <v>Fund</v>
      </c>
      <c r="AD42" s="35" t="str" cm="1">
        <f t="array" ref="AD42">IF(OR(_xll.BDP($AX42,"FD121")="#N/A N/A",_xll.BDP($AX42,"FD121")="#N/A FIELD NOT APPLICABLE")," ", _xll.BDP($AX42,"FD121"))</f>
        <v>Equity</v>
      </c>
      <c r="AE42" s="25" t="str" cm="1">
        <f t="array" ref="AE42">IF(OR(_xll.BDP($AX42,"FD118")="#N/A N/A",_xll.BDP($AX42,"FD118")="#N/A FIELD NOT APPLICABLE")," ", _xll.BDP($AX42,"FD118"))</f>
        <v>ETF</v>
      </c>
      <c r="AF42" s="22" t="str" cm="1">
        <f t="array" ref="AF42">IF(OR(_xll.BDP($AX42,"FD114")="#N/A N/A",_xll.BDP($AX42,"FD114")="#N/A FIELD NOT APPLICABLE")," ", _xll.BDP($AX42,"FD114"))</f>
        <v xml:space="preserve"> </v>
      </c>
      <c r="AG42" s="22" t="str" cm="1">
        <f t="array" ref="AG42">IF(OR(_xll.BDP($AX42,"FD003")="#N/A N/A",_xll.BDP($AX42,"FD003")="#N/A FIELD NOT APPLICABLE")," ", _xll.BDP($AX42,"FD003"))</f>
        <v>08/10/2004</v>
      </c>
      <c r="AH42" s="32" cm="1">
        <f t="array" ref="AH42">IF(OR(_xll.BDP($AX42,"PR061")="#N/A N/A",_xll.BDP($AX42,"PR061")="#N/A FIELD NOT APPLICABLE")," ", _xll.BDP($AX42,"PR061")/100)</f>
        <v>-4.9240320000000004E-2</v>
      </c>
      <c r="AI42" s="25" cm="1">
        <f t="array" ref="AI42">IF(OR(_xll.BDP($AX42,"RT075")="#N/A N/A",_xll.BDP($AX42,"RT075")="#N/A FIELD NOT APPLICABLE")," ", _xll.BDP($AX42,"RT075")/100)</f>
        <v>5.562019E-2</v>
      </c>
      <c r="AJ42" s="25" cm="1">
        <f t="array" ref="AJ42">IF(OR(_xll.BDP($AX42,"RT076")="#N/A N/A",_xll.BDP($AX42,"RT076")="#N/A FIELD NOT APPLICABLE")," ", _xll.BDP($AX42,"RT076")/100)</f>
        <v>2.9419849999999998E-3</v>
      </c>
      <c r="AK42" s="25" cm="1">
        <f t="array" ref="AK42">IF(OR(_xll.BDP($AX42,"FD252")="#N/A N/A",_xll.BDP($AX42,"FD252")="#N/A FIELD NOT APPLICABLE")," ", _xll.BDP($AX42,"FD252")/100)</f>
        <v>0</v>
      </c>
      <c r="AL42" s="25" cm="1">
        <f t="array" ref="AL42">IF(OR(_xll.BDP($AX42,"FD015")="#N/A N/A",_xll.BDP($AX42,"FD015")="#N/A FIELD NOT APPLICABLE")," ", _xll.BDP($AX42,"FD015")/100)</f>
        <v>7.4000000000000003E-3</v>
      </c>
      <c r="AM42" s="25" cm="1">
        <f t="array" ref="AM42">IF(OR(_xll.BDP($AX42,"FD138")="#N/A N/A",_xll.BDP($AX42,"FD138")="#N/A FIELD NOT APPLICABLE")," ", _xll.BDP($AX42,"FD138")/100)</f>
        <v>7.4000000000000003E-3</v>
      </c>
      <c r="AN42" s="36" cm="1">
        <f t="array" ref="AN42">IF(OR(_xll.BDP($AX42,"FD009")="#N/A N/A",_xll.BDP($AX42,"FD009")="#N/A FIELD NOT APPLICABLE")," ", _xll.BDP($AX42,"FD009")/100)</f>
        <v>0</v>
      </c>
      <c r="AO42" s="25" cm="1">
        <f t="array" ref="AO42">IF(OR(_xll.BDP($AX42,"RK512")="#N/A N/A",_xll.BDP($AX42,"RK512")="#N/A FIELD NOT APPLICABLE")," ", _xll.BDP($AX42,"RK512")/100)</f>
        <v>1.0980900526046753E-2</v>
      </c>
      <c r="AP42" s="25" cm="1">
        <f t="array" ref="AP42">IF(OR(_xll.BDP($AX42,"RK514")="#N/A N/A",_xll.BDP($AX42,"RK514")="#N/A FIELD NOT APPLICABLE")," ", _xll.BDP($AX42,"RK514")/100)</f>
        <v>1.2595499753952027E-2</v>
      </c>
      <c r="AQ42" s="25" cm="1">
        <f t="array" ref="AQ42">IF(OR(_xll.BDP($AX42,"RK521")="#N/A N/A",_xll.BDP($AX42,"RK521")="#N/A FIELD NOT APPLICABLE")," ", _xll.BDP($AX42,"RK521")/100)</f>
        <v>-4.7423001378774641E-4</v>
      </c>
      <c r="AR42" s="25" cm="1">
        <f t="array" ref="AR42">IF(OR(_xll.BDP($AX42,"RK525")="#N/A N/A",_xll.BDP($AX42,"RK525")="#N/A FIELD NOT APPLICABLE")," ", _xll.BDP($AX42,"RK525")/100)</f>
        <v>9.208210110664368E-3</v>
      </c>
      <c r="AS42" s="25" cm="1">
        <f t="array" ref="AS42">IF(OR(_xll.BDP($AX42,"RK524")="#N/A N/A",_xll.BDP($AX42,"RK524")="#N/A FIELD NOT APPLICABLE")," ", _xll.BDP($AX42,"RK524")/100)</f>
        <v>5.1196999847888944E-4</v>
      </c>
      <c r="AT42" s="25" t="str" cm="1">
        <f t="array" ref="AT42">IF(OR(_xll.BDP($AX42,"FD183")="#N/A N/A",_xll.BDP($AX42,"FD183")="#N/A FIELD NOT APPLICABLE")," ", _xll.BDP($AX42,"FD183"))</f>
        <v>USD INC</v>
      </c>
      <c r="AU42" s="25" t="str" cm="1">
        <f t="array" ref="AU42">IF(OR(_xll.BDP($AX42,"DY997")="#N/A N/A",_xll.BDP($AX42,"DY997")="#N/A FIELD NOT APPLICABLE")," ", _xll.BDP($AX42,"DY997"))</f>
        <v xml:space="preserve"> </v>
      </c>
      <c r="AV42" s="25" t="str" cm="1">
        <f t="array" ref="AV42">IF(OR(_xll.BDP($AX42,"DY784")="#N/A N/A",_xll.BDP($AX42,"DY784")="#N/A FIELD NOT APPLICABLE")," ", _xll.BDP($AX42,"DY784"))</f>
        <v xml:space="preserve"> </v>
      </c>
      <c r="AW42" s="22" t="str">
        <f t="shared" si="14"/>
        <v>N</v>
      </c>
      <c r="AX42" s="22" t="str">
        <f t="shared" si="15"/>
        <v>FXI US Equity</v>
      </c>
      <c r="BC42" s="17" t="str">
        <f>_xll.BDP(AX42, "ID_ISIN")</f>
        <v>US4642871846</v>
      </c>
      <c r="BD42" s="17" t="e">
        <f>VLOOKUP(BC42,'[2]Portefeuille 4379150'!$B$3:$G$42,6,0)</f>
        <v>#N/A</v>
      </c>
      <c r="BE42" s="18">
        <v>5</v>
      </c>
      <c r="BF42" s="37"/>
      <c r="BG42" s="20">
        <v>1.0000000000107532</v>
      </c>
    </row>
    <row r="43" spans="1:59" s="3" customFormat="1" ht="14.45" customHeight="1" x14ac:dyDescent="0.25">
      <c r="A43" s="49" t="s">
        <v>241</v>
      </c>
      <c r="B43" s="49" t="s">
        <v>262</v>
      </c>
      <c r="C43" s="49" t="s">
        <v>263</v>
      </c>
      <c r="D43" s="49" t="s">
        <v>240</v>
      </c>
      <c r="E43" s="22" t="str">
        <f>_xll.BDP(AX43,"SECURITY NAME")</f>
        <v>iShares China Large-Cap ETF</v>
      </c>
      <c r="F43" s="22" t="str">
        <f>_xll.BDP(AX43,"CRNCY")</f>
        <v>USD</v>
      </c>
      <c r="G43" s="23" t="s">
        <v>203</v>
      </c>
      <c r="H43" s="22" t="str" cm="1">
        <f t="array" ref="H43">IF(OR(_xll.BDP($AX43,"FD120")="#N/A N/A",_xll.BDP($AX43,"FD120")="#N/A FIELD NOT APPLICABLE")," ",_xll.BDP($AX43,"FD120"))</f>
        <v>China</v>
      </c>
      <c r="I43" s="22" t="str" cm="1">
        <f t="array" ref="I43">IF(OR(_xll.BDP($AX43,"FD116")="#N/A N/A",_xll.BDP($AX43,"FD116")="#N/A FIELD NOT APPLICABLE")," ",_xll.BDP($AX43,"FD116"))</f>
        <v>Blend</v>
      </c>
      <c r="J43" s="22" t="str" cm="1">
        <f t="array" ref="J43">IF(OR(_xll.BDP($AX43,"FD133")="#N/A N/A",_xll.BDP($AX43,"FD133")="#N/A FIELD NOT APPLICABLE")," ", _xll.BDP($AX43,"FD133"))</f>
        <v xml:space="preserve"> </v>
      </c>
      <c r="K43" s="34">
        <f>_xll.BDP(AX43,"FUND_ASSETS_USD")/1000</f>
        <v>5.7577778153999999</v>
      </c>
      <c r="L43" s="25">
        <f>IFERROR(_xll.BDP(AX43, "DV013")/100,0)</f>
        <v>2.6699912092960174E-2</v>
      </c>
      <c r="M43" s="25" cm="1">
        <f t="array" ref="M43">IF(OR(_xll.BDP($AX43,"PR079")="#N/A N/A",_xll.BDP($AX43,"PR079")="#N/A FIELD NOT APPLICABLE")," ", _xll.BDP($AX43,"PR079")/100)</f>
        <v>0.1100525</v>
      </c>
      <c r="N43" s="25" cm="1">
        <f t="array" ref="N43">IF(OR(_xll.BDP($AX43,"RT074")="#N/A N/A",_xll.BDP($AX43,"RT074")="#N/A FIELD NOT APPLICABLE")," ", _xll.BDP($AX43,"RT074")/100)</f>
        <v>0.33944009999999997</v>
      </c>
      <c r="O43" s="27">
        <v>4119</v>
      </c>
      <c r="P43" s="28">
        <v>32.33</v>
      </c>
      <c r="Q43" s="22" cm="1">
        <f t="array" ref="Q43">IF(OR(_xll.BDP($AX43,"PX_last")="#N/A N/A",_xll.BDP($AX43,"PX_Last")="#N/A FIELD NOT APPLICABLE")," ",IF(F43="GBP",(_xll.BDP($AX43,"PX_LAST")),(_xll.BDP($AX43,"PX_LAST"))))</f>
        <v>33.79</v>
      </c>
      <c r="R43" s="29">
        <f>IF(F43="USD",AA43,(((_xll.BDP(F43&amp;"USD CURNCY","PX_LAST")))*AA43))</f>
        <v>133167.26999999999</v>
      </c>
      <c r="S43" s="29">
        <f>IF(F43="USD",AB43,(((_xll.BDP(F43&amp;"USD CURNCY","PX_LAST")))*AB43))</f>
        <v>139181.01</v>
      </c>
      <c r="T43" s="12">
        <f t="shared" si="8"/>
        <v>6013.7400000000198</v>
      </c>
      <c r="U43" s="13">
        <f t="shared" si="9"/>
        <v>4.5159294772657128E-2</v>
      </c>
      <c r="V43" s="13" cm="1">
        <f t="array" ref="V43">IFERROR(_xll.BDP($G43&amp;" Equity","CHG_PCT_1D")/100,"")</f>
        <v>-2.0673359999999999E-3</v>
      </c>
      <c r="W43" s="13" cm="1">
        <f t="array" ref="W43">IFERROR(_xll.BDP($G43&amp;" Equity","CHG_PCT_5D")/100,"")</f>
        <v>-9.3814129999999999E-3</v>
      </c>
      <c r="X43" s="13" t="e">
        <f>S43/#REF!</f>
        <v>#REF!</v>
      </c>
      <c r="Y43" s="29">
        <f t="shared" si="10"/>
        <v>3716.1207320094113</v>
      </c>
      <c r="Z43" s="29">
        <f t="shared" si="11"/>
        <v>139181.01</v>
      </c>
      <c r="AA43" s="29">
        <f t="shared" si="12"/>
        <v>133167.26999999999</v>
      </c>
      <c r="AB43" s="29">
        <f t="shared" si="13"/>
        <v>139181.01</v>
      </c>
      <c r="AC43" s="25" t="str" cm="1">
        <f t="array" ref="AC43">IF(OR(_xll.BDP($AX43,"EX028")="#N/A N/A",_xll.BDP($AX43,"EX028")="#N/A FIELD NOT APPLICABLE")," ", _xll.BDP($AX43,"EX028"))</f>
        <v>Fund</v>
      </c>
      <c r="AD43" s="35" t="str" cm="1">
        <f t="array" ref="AD43">IF(OR(_xll.BDP($AX43,"FD121")="#N/A N/A",_xll.BDP($AX43,"FD121")="#N/A FIELD NOT APPLICABLE")," ", _xll.BDP($AX43,"FD121"))</f>
        <v>Equity</v>
      </c>
      <c r="AE43" s="25" t="str" cm="1">
        <f t="array" ref="AE43">IF(OR(_xll.BDP($AX43,"FD118")="#N/A N/A",_xll.BDP($AX43,"FD118")="#N/A FIELD NOT APPLICABLE")," ", _xll.BDP($AX43,"FD118"))</f>
        <v>ETF</v>
      </c>
      <c r="AF43" s="22" t="str" cm="1">
        <f t="array" ref="AF43">IF(OR(_xll.BDP($AX43,"FD114")="#N/A N/A",_xll.BDP($AX43,"FD114")="#N/A FIELD NOT APPLICABLE")," ", _xll.BDP($AX43,"FD114"))</f>
        <v xml:space="preserve"> </v>
      </c>
      <c r="AG43" s="22" t="str" cm="1">
        <f t="array" ref="AG43">IF(OR(_xll.BDP($AX43,"FD003")="#N/A N/A",_xll.BDP($AX43,"FD003")="#N/A FIELD NOT APPLICABLE")," ", _xll.BDP($AX43,"FD003"))</f>
        <v>08/10/2004</v>
      </c>
      <c r="AH43" s="32" cm="1">
        <f t="array" ref="AH43">IF(OR(_xll.BDP($AX43,"PR061")="#N/A N/A",_xll.BDP($AX43,"PR061")="#N/A FIELD NOT APPLICABLE")," ", _xll.BDP($AX43,"PR061")/100)</f>
        <v>-4.9240320000000004E-2</v>
      </c>
      <c r="AI43" s="25" cm="1">
        <f t="array" ref="AI43">IF(OR(_xll.BDP($AX43,"RT075")="#N/A N/A",_xll.BDP($AX43,"RT075")="#N/A FIELD NOT APPLICABLE")," ", _xll.BDP($AX43,"RT075")/100)</f>
        <v>5.562019E-2</v>
      </c>
      <c r="AJ43" s="25" cm="1">
        <f t="array" ref="AJ43">IF(OR(_xll.BDP($AX43,"RT076")="#N/A N/A",_xll.BDP($AX43,"RT076")="#N/A FIELD NOT APPLICABLE")," ", _xll.BDP($AX43,"RT076")/100)</f>
        <v>2.9419849999999998E-3</v>
      </c>
      <c r="AK43" s="25" cm="1">
        <f t="array" ref="AK43">IF(OR(_xll.BDP($AX43,"FD252")="#N/A N/A",_xll.BDP($AX43,"FD252")="#N/A FIELD NOT APPLICABLE")," ", _xll.BDP($AX43,"FD252")/100)</f>
        <v>0</v>
      </c>
      <c r="AL43" s="25" cm="1">
        <f t="array" ref="AL43">IF(OR(_xll.BDP($AX43,"FD015")="#N/A N/A",_xll.BDP($AX43,"FD015")="#N/A FIELD NOT APPLICABLE")," ", _xll.BDP($AX43,"FD015")/100)</f>
        <v>7.4000000000000003E-3</v>
      </c>
      <c r="AM43" s="25" cm="1">
        <f t="array" ref="AM43">IF(OR(_xll.BDP($AX43,"FD138")="#N/A N/A",_xll.BDP($AX43,"FD138")="#N/A FIELD NOT APPLICABLE")," ", _xll.BDP($AX43,"FD138")/100)</f>
        <v>7.4000000000000003E-3</v>
      </c>
      <c r="AN43" s="36" cm="1">
        <f t="array" ref="AN43">IF(OR(_xll.BDP($AX43,"FD009")="#N/A N/A",_xll.BDP($AX43,"FD009")="#N/A FIELD NOT APPLICABLE")," ", _xll.BDP($AX43,"FD009")/100)</f>
        <v>0</v>
      </c>
      <c r="AO43" s="25" cm="1">
        <f t="array" ref="AO43">IF(OR(_xll.BDP($AX43,"RK512")="#N/A N/A",_xll.BDP($AX43,"RK512")="#N/A FIELD NOT APPLICABLE")," ", _xll.BDP($AX43,"RK512")/100)</f>
        <v>1.0980900526046753E-2</v>
      </c>
      <c r="AP43" s="25" cm="1">
        <f t="array" ref="AP43">IF(OR(_xll.BDP($AX43,"RK514")="#N/A N/A",_xll.BDP($AX43,"RK514")="#N/A FIELD NOT APPLICABLE")," ", _xll.BDP($AX43,"RK514")/100)</f>
        <v>1.2595499753952027E-2</v>
      </c>
      <c r="AQ43" s="25" cm="1">
        <f t="array" ref="AQ43">IF(OR(_xll.BDP($AX43,"RK521")="#N/A N/A",_xll.BDP($AX43,"RK521")="#N/A FIELD NOT APPLICABLE")," ", _xll.BDP($AX43,"RK521")/100)</f>
        <v>-4.7423001378774641E-4</v>
      </c>
      <c r="AR43" s="25" cm="1">
        <f t="array" ref="AR43">IF(OR(_xll.BDP($AX43,"RK525")="#N/A N/A",_xll.BDP($AX43,"RK525")="#N/A FIELD NOT APPLICABLE")," ", _xll.BDP($AX43,"RK525")/100)</f>
        <v>9.208210110664368E-3</v>
      </c>
      <c r="AS43" s="25" cm="1">
        <f t="array" ref="AS43">IF(OR(_xll.BDP($AX43,"RK524")="#N/A N/A",_xll.BDP($AX43,"RK524")="#N/A FIELD NOT APPLICABLE")," ", _xll.BDP($AX43,"RK524")/100)</f>
        <v>5.1196999847888944E-4</v>
      </c>
      <c r="AT43" s="25" t="str" cm="1">
        <f t="array" ref="AT43">IF(OR(_xll.BDP($AX43,"FD183")="#N/A N/A",_xll.BDP($AX43,"FD183")="#N/A FIELD NOT APPLICABLE")," ", _xll.BDP($AX43,"FD183"))</f>
        <v>USD INC</v>
      </c>
      <c r="AU43" s="25" t="str" cm="1">
        <f t="array" ref="AU43">IF(OR(_xll.BDP($AX43,"DY997")="#N/A N/A",_xll.BDP($AX43,"DY997")="#N/A FIELD NOT APPLICABLE")," ", _xll.BDP($AX43,"DY997"))</f>
        <v xml:space="preserve"> </v>
      </c>
      <c r="AV43" s="25" t="str" cm="1">
        <f t="array" ref="AV43">IF(OR(_xll.BDP($AX43,"DY784")="#N/A N/A",_xll.BDP($AX43,"DY784")="#N/A FIELD NOT APPLICABLE")," ", _xll.BDP($AX43,"DY784"))</f>
        <v xml:space="preserve"> </v>
      </c>
      <c r="AW43" s="22" t="str">
        <f t="shared" si="14"/>
        <v>N</v>
      </c>
      <c r="AX43" s="22" t="str">
        <f t="shared" si="15"/>
        <v>FXI US Equity</v>
      </c>
      <c r="BC43" s="17" t="str" cm="1">
        <f t="array" ref="BC43">_xll.BDP(AX43,"ID005")</f>
        <v>US4642871846</v>
      </c>
      <c r="BD43" s="17">
        <v>0.75</v>
      </c>
      <c r="BE43" s="18">
        <v>5</v>
      </c>
      <c r="BF43" s="37">
        <v>45492</v>
      </c>
      <c r="BG43" s="20">
        <v>1.0000000000107532</v>
      </c>
    </row>
    <row r="44" spans="1:59" s="3" customFormat="1" ht="14.45" customHeight="1" x14ac:dyDescent="0.25">
      <c r="A44" s="49" t="s">
        <v>242</v>
      </c>
      <c r="B44" s="49" t="s">
        <v>264</v>
      </c>
      <c r="C44" s="49" t="s">
        <v>265</v>
      </c>
      <c r="D44" s="49" t="s">
        <v>248</v>
      </c>
      <c r="E44" s="22" t="str">
        <f>_xll.BDP(AX44,"SECURITY NAME")</f>
        <v>iShares China Large-Cap ETF</v>
      </c>
      <c r="F44" s="22" t="str">
        <f>_xll.BDP(AX44,"CRNCY")</f>
        <v>USD</v>
      </c>
      <c r="G44" s="23" t="s">
        <v>203</v>
      </c>
      <c r="H44" s="22" t="str" cm="1">
        <f t="array" ref="H44">IF(OR(_xll.BDP($AX44,"FD120")="#N/A N/A",_xll.BDP($AX44,"FD120")="#N/A FIELD NOT APPLICABLE")," ",_xll.BDP($AX44,"FD120"))</f>
        <v>China</v>
      </c>
      <c r="I44" s="22" t="str" cm="1">
        <f t="array" ref="I44">IF(OR(_xll.BDP($AX44,"FD116")="#N/A N/A",_xll.BDP($AX44,"FD116")="#N/A FIELD NOT APPLICABLE")," ",_xll.BDP($AX44,"FD116"))</f>
        <v>Blend</v>
      </c>
      <c r="J44" s="22" t="str" cm="1">
        <f t="array" ref="J44">IF(OR(_xll.BDP($AX44,"FD133")="#N/A N/A",_xll.BDP($AX44,"FD133")="#N/A FIELD NOT APPLICABLE")," ", _xll.BDP($AX44,"FD133"))</f>
        <v xml:space="preserve"> </v>
      </c>
      <c r="K44" s="34">
        <f>_xll.BDP(AX44,"FUND_ASSETS_USD")/1000</f>
        <v>5.7577778153999999</v>
      </c>
      <c r="L44" s="25">
        <f>IFERROR(_xll.BDP(AX44, "DV013")/100,0)</f>
        <v>2.6699912092960174E-2</v>
      </c>
      <c r="M44" s="25" cm="1">
        <f t="array" ref="M44">IF(OR(_xll.BDP($AX44,"PR079")="#N/A N/A",_xll.BDP($AX44,"PR079")="#N/A FIELD NOT APPLICABLE")," ", _xll.BDP($AX44,"PR079")/100)</f>
        <v>0.1100525</v>
      </c>
      <c r="N44" s="25" cm="1">
        <f t="array" ref="N44">IF(OR(_xll.BDP($AX44,"RT074")="#N/A N/A",_xll.BDP($AX44,"RT074")="#N/A FIELD NOT APPLICABLE")," ", _xll.BDP($AX44,"RT074")/100)</f>
        <v>0.33944009999999997</v>
      </c>
      <c r="O44" s="27">
        <v>3802</v>
      </c>
      <c r="P44" s="28">
        <v>32.44</v>
      </c>
      <c r="Q44" s="22" cm="1">
        <f t="array" ref="Q44">IF(OR(_xll.BDP($AX44,"PX_last")="#N/A N/A",_xll.BDP($AX44,"PX_Last")="#N/A FIELD NOT APPLICABLE")," ",IF(F44="GBP",(_xll.BDP($AX44,"PX_LAST")),(_xll.BDP($AX44,"PX_LAST"))))</f>
        <v>33.79</v>
      </c>
      <c r="R44" s="29">
        <f>IF(F44="USD",AA44,(((_xll.BDP(F44&amp;"USD CURNCY","PX_LAST")))*AA44))</f>
        <v>123336.87999999999</v>
      </c>
      <c r="S44" s="29">
        <f>IF(F44="USD",AB44,(((_xll.BDP(F44&amp;"USD CURNCY","PX_LAST")))*AB44))</f>
        <v>128469.58</v>
      </c>
      <c r="T44" s="12">
        <f t="shared" si="8"/>
        <v>5132.7000000000116</v>
      </c>
      <c r="U44" s="13">
        <f t="shared" si="9"/>
        <v>4.161528976572143E-2</v>
      </c>
      <c r="V44" s="13" cm="1">
        <f t="array" ref="V44">IFERROR(_xll.BDP($G44&amp;" Equity","CHG_PCT_1D")/100,"")</f>
        <v>-2.0673359999999999E-3</v>
      </c>
      <c r="W44" s="13" cm="1">
        <f t="array" ref="W44">IFERROR(_xll.BDP($G44&amp;" Equity","CHG_PCT_5D")/100,"")</f>
        <v>-9.3814129999999999E-3</v>
      </c>
      <c r="X44" s="13" t="e">
        <f>S44/#REF!</f>
        <v>#REF!</v>
      </c>
      <c r="Y44" s="29">
        <f t="shared" si="10"/>
        <v>3430.1264926195145</v>
      </c>
      <c r="Z44" s="29">
        <f t="shared" si="11"/>
        <v>128469.58</v>
      </c>
      <c r="AA44" s="29">
        <f t="shared" si="12"/>
        <v>123336.87999999999</v>
      </c>
      <c r="AB44" s="29">
        <f t="shared" si="13"/>
        <v>128469.58</v>
      </c>
      <c r="AC44" s="25" t="str" cm="1">
        <f t="array" ref="AC44">IF(OR(_xll.BDP($AX44,"EX028")="#N/A N/A",_xll.BDP($AX44,"EX028")="#N/A FIELD NOT APPLICABLE")," ", _xll.BDP($AX44,"EX028"))</f>
        <v>Fund</v>
      </c>
      <c r="AD44" s="35" t="str" cm="1">
        <f t="array" ref="AD44">IF(OR(_xll.BDP($AX44,"FD121")="#N/A N/A",_xll.BDP($AX44,"FD121")="#N/A FIELD NOT APPLICABLE")," ", _xll.BDP($AX44,"FD121"))</f>
        <v>Equity</v>
      </c>
      <c r="AE44" s="25" t="str" cm="1">
        <f t="array" ref="AE44">IF(OR(_xll.BDP($AX44,"FD118")="#N/A N/A",_xll.BDP($AX44,"FD118")="#N/A FIELD NOT APPLICABLE")," ", _xll.BDP($AX44,"FD118"))</f>
        <v>ETF</v>
      </c>
      <c r="AF44" s="22" t="str" cm="1">
        <f t="array" ref="AF44">IF(OR(_xll.BDP($AX44,"FD114")="#N/A N/A",_xll.BDP($AX44,"FD114")="#N/A FIELD NOT APPLICABLE")," ", _xll.BDP($AX44,"FD114"))</f>
        <v xml:space="preserve"> </v>
      </c>
      <c r="AG44" s="22" t="str" cm="1">
        <f t="array" ref="AG44">IF(OR(_xll.BDP($AX44,"FD003")="#N/A N/A",_xll.BDP($AX44,"FD003")="#N/A FIELD NOT APPLICABLE")," ", _xll.BDP($AX44,"FD003"))</f>
        <v>08/10/2004</v>
      </c>
      <c r="AH44" s="32" cm="1">
        <f t="array" ref="AH44">IF(OR(_xll.BDP($AX44,"PR061")="#N/A N/A",_xll.BDP($AX44,"PR061")="#N/A FIELD NOT APPLICABLE")," ", _xll.BDP($AX44,"PR061")/100)</f>
        <v>-4.9240320000000004E-2</v>
      </c>
      <c r="AI44" s="25" cm="1">
        <f t="array" ref="AI44">IF(OR(_xll.BDP($AX44,"RT075")="#N/A N/A",_xll.BDP($AX44,"RT075")="#N/A FIELD NOT APPLICABLE")," ", _xll.BDP($AX44,"RT075")/100)</f>
        <v>5.562019E-2</v>
      </c>
      <c r="AJ44" s="25" cm="1">
        <f t="array" ref="AJ44">IF(OR(_xll.BDP($AX44,"RT076")="#N/A N/A",_xll.BDP($AX44,"RT076")="#N/A FIELD NOT APPLICABLE")," ", _xll.BDP($AX44,"RT076")/100)</f>
        <v>2.9419849999999998E-3</v>
      </c>
      <c r="AK44" s="25" cm="1">
        <f t="array" ref="AK44">IF(OR(_xll.BDP($AX44,"FD252")="#N/A N/A",_xll.BDP($AX44,"FD252")="#N/A FIELD NOT APPLICABLE")," ", _xll.BDP($AX44,"FD252")/100)</f>
        <v>0</v>
      </c>
      <c r="AL44" s="25" cm="1">
        <f t="array" ref="AL44">IF(OR(_xll.BDP($AX44,"FD015")="#N/A N/A",_xll.BDP($AX44,"FD015")="#N/A FIELD NOT APPLICABLE")," ", _xll.BDP($AX44,"FD015")/100)</f>
        <v>7.4000000000000003E-3</v>
      </c>
      <c r="AM44" s="25" cm="1">
        <f t="array" ref="AM44">IF(OR(_xll.BDP($AX44,"FD138")="#N/A N/A",_xll.BDP($AX44,"FD138")="#N/A FIELD NOT APPLICABLE")," ", _xll.BDP($AX44,"FD138")/100)</f>
        <v>7.4000000000000003E-3</v>
      </c>
      <c r="AN44" s="36" cm="1">
        <f t="array" ref="AN44">IF(OR(_xll.BDP($AX44,"FD009")="#N/A N/A",_xll.BDP($AX44,"FD009")="#N/A FIELD NOT APPLICABLE")," ", _xll.BDP($AX44,"FD009")/100)</f>
        <v>0</v>
      </c>
      <c r="AO44" s="25" cm="1">
        <f t="array" ref="AO44">IF(OR(_xll.BDP($AX44,"RK512")="#N/A N/A",_xll.BDP($AX44,"RK512")="#N/A FIELD NOT APPLICABLE")," ", _xll.BDP($AX44,"RK512")/100)</f>
        <v>1.0980900526046753E-2</v>
      </c>
      <c r="AP44" s="25" cm="1">
        <f t="array" ref="AP44">IF(OR(_xll.BDP($AX44,"RK514")="#N/A N/A",_xll.BDP($AX44,"RK514")="#N/A FIELD NOT APPLICABLE")," ", _xll.BDP($AX44,"RK514")/100)</f>
        <v>1.2595499753952027E-2</v>
      </c>
      <c r="AQ44" s="25" cm="1">
        <f t="array" ref="AQ44">IF(OR(_xll.BDP($AX44,"RK521")="#N/A N/A",_xll.BDP($AX44,"RK521")="#N/A FIELD NOT APPLICABLE")," ", _xll.BDP($AX44,"RK521")/100)</f>
        <v>-4.7423001378774641E-4</v>
      </c>
      <c r="AR44" s="25" cm="1">
        <f t="array" ref="AR44">IF(OR(_xll.BDP($AX44,"RK525")="#N/A N/A",_xll.BDP($AX44,"RK525")="#N/A FIELD NOT APPLICABLE")," ", _xll.BDP($AX44,"RK525")/100)</f>
        <v>9.208210110664368E-3</v>
      </c>
      <c r="AS44" s="25" cm="1">
        <f t="array" ref="AS44">IF(OR(_xll.BDP($AX44,"RK524")="#N/A N/A",_xll.BDP($AX44,"RK524")="#N/A FIELD NOT APPLICABLE")," ", _xll.BDP($AX44,"RK524")/100)</f>
        <v>5.1196999847888944E-4</v>
      </c>
      <c r="AT44" s="25" t="str" cm="1">
        <f t="array" ref="AT44">IF(OR(_xll.BDP($AX44,"FD183")="#N/A N/A",_xll.BDP($AX44,"FD183")="#N/A FIELD NOT APPLICABLE")," ", _xll.BDP($AX44,"FD183"))</f>
        <v>USD INC</v>
      </c>
      <c r="AU44" s="25" t="str" cm="1">
        <f t="array" ref="AU44">IF(OR(_xll.BDP($AX44,"DY997")="#N/A N/A",_xll.BDP($AX44,"DY997")="#N/A FIELD NOT APPLICABLE")," ", _xll.BDP($AX44,"DY997"))</f>
        <v xml:space="preserve"> </v>
      </c>
      <c r="AV44" s="25" t="str" cm="1">
        <f t="array" ref="AV44">IF(OR(_xll.BDP($AX44,"DY784")="#N/A N/A",_xll.BDP($AX44,"DY784")="#N/A FIELD NOT APPLICABLE")," ", _xll.BDP($AX44,"DY784"))</f>
        <v xml:space="preserve"> </v>
      </c>
      <c r="AW44" s="22" t="str">
        <f t="shared" si="14"/>
        <v>N</v>
      </c>
      <c r="AX44" s="22" t="str">
        <f t="shared" si="15"/>
        <v>FXI US Equity</v>
      </c>
      <c r="BC44" s="17" t="str" cm="1">
        <f t="array" ref="BC44">_xll.BDP(AX44,"ID005")</f>
        <v>US4642871846</v>
      </c>
      <c r="BD44" s="17" t="e">
        <f>VLOOKUP(BC44,'[2]Portefeuille 4380430'!$B$3:$G$38,6,0)</f>
        <v>#N/A</v>
      </c>
      <c r="BE44" s="18">
        <v>5</v>
      </c>
      <c r="BF44" s="37"/>
      <c r="BG44" s="20"/>
    </row>
    <row r="45" spans="1:59" s="3" customFormat="1" ht="14.45" customHeight="1" x14ac:dyDescent="0.25">
      <c r="A45" s="49" t="s">
        <v>241</v>
      </c>
      <c r="B45" s="49" t="s">
        <v>266</v>
      </c>
      <c r="C45" s="49" t="s">
        <v>267</v>
      </c>
      <c r="D45" s="49" t="s">
        <v>240</v>
      </c>
      <c r="E45" s="22" t="str">
        <f>_xll.BDP(AX45,"SECURITY NAME")</f>
        <v>iShares China Large-Cap ETF</v>
      </c>
      <c r="F45" s="22" t="str">
        <f>_xll.BDP(AX45,"CRNCY")</f>
        <v>USD</v>
      </c>
      <c r="G45" s="23" t="s">
        <v>203</v>
      </c>
      <c r="H45" s="22" t="str" cm="1">
        <f t="array" ref="H45">IF(OR(_xll.BDP($AX45,"FD120")="#N/A N/A",_xll.BDP($AX45,"FD120")="#N/A FIELD NOT APPLICABLE")," ",_xll.BDP($AX45,"FD120"))</f>
        <v>China</v>
      </c>
      <c r="I45" s="22" t="str" cm="1">
        <f t="array" ref="I45">IF(OR(_xll.BDP($AX45,"FD116")="#N/A N/A",_xll.BDP($AX45,"FD116")="#N/A FIELD NOT APPLICABLE")," ",_xll.BDP($AX45,"FD116"))</f>
        <v>Blend</v>
      </c>
      <c r="J45" s="22" t="str" cm="1">
        <f t="array" ref="J45">IF(OR(_xll.BDP($AX45,"FD133")="#N/A N/A",_xll.BDP($AX45,"FD133")="#N/A FIELD NOT APPLICABLE")," ", _xll.BDP($AX45,"FD133"))</f>
        <v xml:space="preserve"> </v>
      </c>
      <c r="K45" s="34">
        <f>_xll.BDP(AX45,"FUND_ASSETS_USD")/1000</f>
        <v>5.7577778153999999</v>
      </c>
      <c r="L45" s="25">
        <f>IFERROR(_xll.BDP(AX45, "DV013")/100,0)</f>
        <v>2.6699912092960174E-2</v>
      </c>
      <c r="M45" s="25" cm="1">
        <f t="array" ref="M45">IF(OR(_xll.BDP($AX45,"PR079")="#N/A N/A",_xll.BDP($AX45,"PR079")="#N/A FIELD NOT APPLICABLE")," ", _xll.BDP($AX45,"PR079")/100)</f>
        <v>0.1100525</v>
      </c>
      <c r="N45" s="25" cm="1">
        <f t="array" ref="N45">IF(OR(_xll.BDP($AX45,"RT074")="#N/A N/A",_xll.BDP($AX45,"RT074")="#N/A FIELD NOT APPLICABLE")," ", _xll.BDP($AX45,"RT074")/100)</f>
        <v>0.33944009999999997</v>
      </c>
      <c r="O45" s="27">
        <v>1901</v>
      </c>
      <c r="P45" s="28">
        <v>32.33</v>
      </c>
      <c r="Q45" s="22" cm="1">
        <f t="array" ref="Q45">IF(OR(_xll.BDP($AX45,"PX_last")="#N/A N/A",_xll.BDP($AX45,"PX_Last")="#N/A FIELD NOT APPLICABLE")," ",IF(F45="GBP",(_xll.BDP($AX45,"PX_LAST")),(_xll.BDP($AX45,"PX_LAST"))))</f>
        <v>33.79</v>
      </c>
      <c r="R45" s="29">
        <f>IF(F45="USD",AA45,(((_xll.BDP(F45&amp;"USD CURNCY","PX_LAST")))*AA45))</f>
        <v>61459.329999999994</v>
      </c>
      <c r="S45" s="29">
        <f>IF(F45="USD",AB45,(((_xll.BDP(F45&amp;"USD CURNCY","PX_LAST")))*AB45))</f>
        <v>64234.79</v>
      </c>
      <c r="T45" s="12">
        <f t="shared" si="8"/>
        <v>2775.4600000000064</v>
      </c>
      <c r="U45" s="13">
        <f t="shared" si="9"/>
        <v>4.515929477265708E-2</v>
      </c>
      <c r="V45" s="13" cm="1">
        <f t="array" ref="V45">IFERROR(_xll.BDP($G45&amp;" Equity","CHG_PCT_1D")/100,"")</f>
        <v>-2.0673359999999999E-3</v>
      </c>
      <c r="W45" s="13" cm="1">
        <f t="array" ref="W45">IFERROR(_xll.BDP($G45&amp;" Equity","CHG_PCT_5D")/100,"")</f>
        <v>-9.3814129999999999E-3</v>
      </c>
      <c r="X45" s="13" t="e">
        <f>S45/#REF!</f>
        <v>#REF!</v>
      </c>
      <c r="Y45" s="29">
        <f t="shared" si="10"/>
        <v>1715.0632463097572</v>
      </c>
      <c r="Z45" s="29">
        <f t="shared" si="11"/>
        <v>64234.79</v>
      </c>
      <c r="AA45" s="29">
        <f t="shared" si="12"/>
        <v>61459.329999999994</v>
      </c>
      <c r="AB45" s="29">
        <f t="shared" si="13"/>
        <v>64234.79</v>
      </c>
      <c r="AC45" s="25" t="str" cm="1">
        <f t="array" ref="AC45">IF(OR(_xll.BDP($AX45,"EX028")="#N/A N/A",_xll.BDP($AX45,"EX028")="#N/A FIELD NOT APPLICABLE")," ", _xll.BDP($AX45,"EX028"))</f>
        <v>Fund</v>
      </c>
      <c r="AD45" s="35" t="str" cm="1">
        <f t="array" ref="AD45">IF(OR(_xll.BDP($AX45,"FD121")="#N/A N/A",_xll.BDP($AX45,"FD121")="#N/A FIELD NOT APPLICABLE")," ", _xll.BDP($AX45,"FD121"))</f>
        <v>Equity</v>
      </c>
      <c r="AE45" s="25" t="str" cm="1">
        <f t="array" ref="AE45">IF(OR(_xll.BDP($AX45,"FD118")="#N/A N/A",_xll.BDP($AX45,"FD118")="#N/A FIELD NOT APPLICABLE")," ", _xll.BDP($AX45,"FD118"))</f>
        <v>ETF</v>
      </c>
      <c r="AF45" s="22" t="str" cm="1">
        <f t="array" ref="AF45">IF(OR(_xll.BDP($AX45,"FD114")="#N/A N/A",_xll.BDP($AX45,"FD114")="#N/A FIELD NOT APPLICABLE")," ", _xll.BDP($AX45,"FD114"))</f>
        <v xml:space="preserve"> </v>
      </c>
      <c r="AG45" s="22" t="str" cm="1">
        <f t="array" ref="AG45">IF(OR(_xll.BDP($AX45,"FD003")="#N/A N/A",_xll.BDP($AX45,"FD003")="#N/A FIELD NOT APPLICABLE")," ", _xll.BDP($AX45,"FD003"))</f>
        <v>08/10/2004</v>
      </c>
      <c r="AH45" s="32" cm="1">
        <f t="array" ref="AH45">IF(OR(_xll.BDP($AX45,"PR061")="#N/A N/A",_xll.BDP($AX45,"PR061")="#N/A FIELD NOT APPLICABLE")," ", _xll.BDP($AX45,"PR061")/100)</f>
        <v>-4.9240320000000004E-2</v>
      </c>
      <c r="AI45" s="25" cm="1">
        <f t="array" ref="AI45">IF(OR(_xll.BDP($AX45,"RT075")="#N/A N/A",_xll.BDP($AX45,"RT075")="#N/A FIELD NOT APPLICABLE")," ", _xll.BDP($AX45,"RT075")/100)</f>
        <v>5.562019E-2</v>
      </c>
      <c r="AJ45" s="25" cm="1">
        <f t="array" ref="AJ45">IF(OR(_xll.BDP($AX45,"RT076")="#N/A N/A",_xll.BDP($AX45,"RT076")="#N/A FIELD NOT APPLICABLE")," ", _xll.BDP($AX45,"RT076")/100)</f>
        <v>2.9419849999999998E-3</v>
      </c>
      <c r="AK45" s="25" cm="1">
        <f t="array" ref="AK45">IF(OR(_xll.BDP($AX45,"FD252")="#N/A N/A",_xll.BDP($AX45,"FD252")="#N/A FIELD NOT APPLICABLE")," ", _xll.BDP($AX45,"FD252")/100)</f>
        <v>0</v>
      </c>
      <c r="AL45" s="25" cm="1">
        <f t="array" ref="AL45">IF(OR(_xll.BDP($AX45,"FD015")="#N/A N/A",_xll.BDP($AX45,"FD015")="#N/A FIELD NOT APPLICABLE")," ", _xll.BDP($AX45,"FD015")/100)</f>
        <v>7.4000000000000003E-3</v>
      </c>
      <c r="AM45" s="25" cm="1">
        <f t="array" ref="AM45">IF(OR(_xll.BDP($AX45,"FD138")="#N/A N/A",_xll.BDP($AX45,"FD138")="#N/A FIELD NOT APPLICABLE")," ", _xll.BDP($AX45,"FD138")/100)</f>
        <v>7.4000000000000003E-3</v>
      </c>
      <c r="AN45" s="36" cm="1">
        <f t="array" ref="AN45">IF(OR(_xll.BDP($AX45,"FD009")="#N/A N/A",_xll.BDP($AX45,"FD009")="#N/A FIELD NOT APPLICABLE")," ", _xll.BDP($AX45,"FD009")/100)</f>
        <v>0</v>
      </c>
      <c r="AO45" s="25" cm="1">
        <f t="array" ref="AO45">IF(OR(_xll.BDP($AX45,"RK512")="#N/A N/A",_xll.BDP($AX45,"RK512")="#N/A FIELD NOT APPLICABLE")," ", _xll.BDP($AX45,"RK512")/100)</f>
        <v>1.0980900526046753E-2</v>
      </c>
      <c r="AP45" s="25" cm="1">
        <f t="array" ref="AP45">IF(OR(_xll.BDP($AX45,"RK514")="#N/A N/A",_xll.BDP($AX45,"RK514")="#N/A FIELD NOT APPLICABLE")," ", _xll.BDP($AX45,"RK514")/100)</f>
        <v>1.2595499753952027E-2</v>
      </c>
      <c r="AQ45" s="25" cm="1">
        <f t="array" ref="AQ45">IF(OR(_xll.BDP($AX45,"RK521")="#N/A N/A",_xll.BDP($AX45,"RK521")="#N/A FIELD NOT APPLICABLE")," ", _xll.BDP($AX45,"RK521")/100)</f>
        <v>-4.7423001378774641E-4</v>
      </c>
      <c r="AR45" s="25" cm="1">
        <f t="array" ref="AR45">IF(OR(_xll.BDP($AX45,"RK525")="#N/A N/A",_xll.BDP($AX45,"RK525")="#N/A FIELD NOT APPLICABLE")," ", _xll.BDP($AX45,"RK525")/100)</f>
        <v>9.208210110664368E-3</v>
      </c>
      <c r="AS45" s="25" cm="1">
        <f t="array" ref="AS45">IF(OR(_xll.BDP($AX45,"RK524")="#N/A N/A",_xll.BDP($AX45,"RK524")="#N/A FIELD NOT APPLICABLE")," ", _xll.BDP($AX45,"RK524")/100)</f>
        <v>5.1196999847888944E-4</v>
      </c>
      <c r="AT45" s="25" t="str" cm="1">
        <f t="array" ref="AT45">IF(OR(_xll.BDP($AX45,"FD183")="#N/A N/A",_xll.BDP($AX45,"FD183")="#N/A FIELD NOT APPLICABLE")," ", _xll.BDP($AX45,"FD183"))</f>
        <v>USD INC</v>
      </c>
      <c r="AU45" s="25" t="str" cm="1">
        <f t="array" ref="AU45">IF(OR(_xll.BDP($AX45,"DY997")="#N/A N/A",_xll.BDP($AX45,"DY997")="#N/A FIELD NOT APPLICABLE")," ", _xll.BDP($AX45,"DY997"))</f>
        <v xml:space="preserve"> </v>
      </c>
      <c r="AV45" s="25" t="str" cm="1">
        <f t="array" ref="AV45">IF(OR(_xll.BDP($AX45,"DY784")="#N/A N/A",_xll.BDP($AX45,"DY784")="#N/A FIELD NOT APPLICABLE")," ", _xll.BDP($AX45,"DY784"))</f>
        <v xml:space="preserve"> </v>
      </c>
      <c r="AW45" s="22" t="str">
        <f t="shared" si="14"/>
        <v>N</v>
      </c>
      <c r="AX45" s="22" t="str">
        <f t="shared" si="15"/>
        <v>FXI US Equity</v>
      </c>
      <c r="BC45" s="17" t="str" cm="1">
        <f t="array" ref="BC45">_xll.BDP(AX45,"ID005")</f>
        <v>US4642871846</v>
      </c>
      <c r="BD45" s="17">
        <v>0.75</v>
      </c>
      <c r="BE45" s="18">
        <v>5</v>
      </c>
      <c r="BF45" s="37">
        <v>45509</v>
      </c>
      <c r="BG45" s="20">
        <v>1.0000000000107532</v>
      </c>
    </row>
    <row r="46" spans="1:59" s="3" customFormat="1" ht="14.45" customHeight="1" x14ac:dyDescent="0.25">
      <c r="A46" s="49" t="s">
        <v>242</v>
      </c>
      <c r="B46" s="49" t="s">
        <v>268</v>
      </c>
      <c r="C46" s="49" t="s">
        <v>269</v>
      </c>
      <c r="D46" s="49" t="s">
        <v>248</v>
      </c>
      <c r="E46" s="22" t="str">
        <f>_xll.BDP(AX46,"SECURITY NAME")</f>
        <v>iShares China Large-Cap ETF</v>
      </c>
      <c r="F46" s="22" t="str">
        <f>_xll.BDP(AX46,"CRNCY")</f>
        <v>USD</v>
      </c>
      <c r="G46" s="23" t="s">
        <v>203</v>
      </c>
      <c r="H46" s="22" t="str" cm="1">
        <f t="array" ref="H46">IF(OR(_xll.BDP($AX46,"FD120")="#N/A N/A",_xll.BDP($AX46,"FD120")="#N/A FIELD NOT APPLICABLE")," ",_xll.BDP($AX46,"FD120"))</f>
        <v>China</v>
      </c>
      <c r="I46" s="22" t="str" cm="1">
        <f t="array" ref="I46">IF(OR(_xll.BDP($AX46,"FD116")="#N/A N/A",_xll.BDP($AX46,"FD116")="#N/A FIELD NOT APPLICABLE")," ",_xll.BDP($AX46,"FD116"))</f>
        <v>Blend</v>
      </c>
      <c r="J46" s="22" t="str" cm="1">
        <f t="array" ref="J46">IF(OR(_xll.BDP($AX46,"FD133")="#N/A N/A",_xll.BDP($AX46,"FD133")="#N/A FIELD NOT APPLICABLE")," ", _xll.BDP($AX46,"FD133"))</f>
        <v xml:space="preserve"> </v>
      </c>
      <c r="K46" s="34">
        <f>_xll.BDP(AX46,"FUND_ASSETS_USD")/1000</f>
        <v>5.7577778153999999</v>
      </c>
      <c r="L46" s="25">
        <f>IFERROR(_xll.BDP(AX46, "DV013")/100,0)</f>
        <v>2.6699912092960174E-2</v>
      </c>
      <c r="M46" s="25" cm="1">
        <f t="array" ref="M46">IF(OR(_xll.BDP($AX46,"PR079")="#N/A N/A",_xll.BDP($AX46,"PR079")="#N/A FIELD NOT APPLICABLE")," ", _xll.BDP($AX46,"PR079")/100)</f>
        <v>0.1100525</v>
      </c>
      <c r="N46" s="25" cm="1">
        <f t="array" ref="N46">IF(OR(_xll.BDP($AX46,"RT074")="#N/A N/A",_xll.BDP($AX46,"RT074")="#N/A FIELD NOT APPLICABLE")," ", _xll.BDP($AX46,"RT074")/100)</f>
        <v>0.33944009999999997</v>
      </c>
      <c r="O46" s="27">
        <v>6337</v>
      </c>
      <c r="P46" s="28">
        <v>32.42</v>
      </c>
      <c r="Q46" s="22" cm="1">
        <f t="array" ref="Q46">IF(OR(_xll.BDP($AX46,"PX_last")="#N/A N/A",_xll.BDP($AX46,"PX_Last")="#N/A FIELD NOT APPLICABLE")," ",IF(F46="GBP",(_xll.BDP($AX46,"PX_LAST")/100),(_xll.BDP($AX46,"PX_LAST"))))</f>
        <v>33.79</v>
      </c>
      <c r="R46" s="29">
        <f>IF(F46="USD",AA46,(((_xll.BDP(F46&amp;"USD CURNCY","PX_LAST")))*AA46))</f>
        <v>205445.54</v>
      </c>
      <c r="S46" s="29">
        <f>IF(F46="USD",AB46,(((_xll.BDP(F46&amp;"USD CURNCY","PX_LAST")))*AB46))</f>
        <v>214127.22999999998</v>
      </c>
      <c r="T46" s="12">
        <f t="shared" si="8"/>
        <v>8681.6899999999732</v>
      </c>
      <c r="U46" s="13">
        <f t="shared" si="9"/>
        <v>4.2257865515113992E-2</v>
      </c>
      <c r="V46" s="13" cm="1">
        <f t="array" ref="V46">IFERROR(_xll.BDP($G46&amp;" Equity","CHG_PCT_1D")/100,"")</f>
        <v>-2.0673359999999999E-3</v>
      </c>
      <c r="W46" s="13" cm="1">
        <f t="array" ref="W46">IFERROR(_xll.BDP($G46&amp;" Equity","CHG_PCT_5D")/100,"")</f>
        <v>-9.3814129999999999E-3</v>
      </c>
      <c r="X46" s="13" t="e">
        <f>S46/#REF!</f>
        <v>#REF!</v>
      </c>
      <c r="Y46" s="29">
        <f t="shared" si="10"/>
        <v>5717.1782177090636</v>
      </c>
      <c r="Z46" s="29">
        <f t="shared" si="11"/>
        <v>214127.22999999998</v>
      </c>
      <c r="AA46" s="29">
        <f t="shared" si="12"/>
        <v>205445.54</v>
      </c>
      <c r="AB46" s="29">
        <f t="shared" si="13"/>
        <v>214127.22999999998</v>
      </c>
      <c r="AC46" s="25" t="str" cm="1">
        <f t="array" ref="AC46">IF(OR(_xll.BDP($AX46,"EX028")="#N/A N/A",_xll.BDP($AX46,"EX028")="#N/A FIELD NOT APPLICABLE")," ", _xll.BDP($AX46,"EX028"))</f>
        <v>Fund</v>
      </c>
      <c r="AD46" s="35" t="str" cm="1">
        <f t="array" ref="AD46">IF(OR(_xll.BDP($AX46,"FD121")="#N/A N/A",_xll.BDP($AX46,"FD121")="#N/A FIELD NOT APPLICABLE")," ", _xll.BDP($AX46,"FD121"))</f>
        <v>Equity</v>
      </c>
      <c r="AE46" s="25" t="str" cm="1">
        <f t="array" ref="AE46">IF(OR(_xll.BDP($AX46,"FD118")="#N/A N/A",_xll.BDP($AX46,"FD118")="#N/A FIELD NOT APPLICABLE")," ", _xll.BDP($AX46,"FD118"))</f>
        <v>ETF</v>
      </c>
      <c r="AF46" s="22" t="str" cm="1">
        <f t="array" ref="AF46">IF(OR(_xll.BDP($AX46,"FD114")="#N/A N/A",_xll.BDP($AX46,"FD114")="#N/A FIELD NOT APPLICABLE")," ", _xll.BDP($AX46,"FD114"))</f>
        <v xml:space="preserve"> </v>
      </c>
      <c r="AG46" s="22" t="str" cm="1">
        <f t="array" ref="AG46">IF(OR(_xll.BDP($AX46,"FD003")="#N/A N/A",_xll.BDP($AX46,"FD003")="#N/A FIELD NOT APPLICABLE")," ", _xll.BDP($AX46,"FD003"))</f>
        <v>08/10/2004</v>
      </c>
      <c r="AH46" s="32" cm="1">
        <f t="array" ref="AH46">IF(OR(_xll.BDP($AX46,"PR061")="#N/A N/A",_xll.BDP($AX46,"PR061")="#N/A FIELD NOT APPLICABLE")," ", _xll.BDP($AX46,"PR061")/100)</f>
        <v>-4.9240320000000004E-2</v>
      </c>
      <c r="AI46" s="25" cm="1">
        <f t="array" ref="AI46">IF(OR(_xll.BDP($AX46,"RT075")="#N/A N/A",_xll.BDP($AX46,"RT075")="#N/A FIELD NOT APPLICABLE")," ", _xll.BDP($AX46,"RT075")/100)</f>
        <v>5.562019E-2</v>
      </c>
      <c r="AJ46" s="25" cm="1">
        <f t="array" ref="AJ46">IF(OR(_xll.BDP($AX46,"RT076")="#N/A N/A",_xll.BDP($AX46,"RT076")="#N/A FIELD NOT APPLICABLE")," ", _xll.BDP($AX46,"RT076")/100)</f>
        <v>2.9419849999999998E-3</v>
      </c>
      <c r="AK46" s="25" cm="1">
        <f t="array" ref="AK46">IF(OR(_xll.BDP($AX46,"FD252")="#N/A N/A",_xll.BDP($AX46,"FD252")="#N/A FIELD NOT APPLICABLE")," ", _xll.BDP($AX46,"FD252")/100)</f>
        <v>0</v>
      </c>
      <c r="AL46" s="25" cm="1">
        <f t="array" ref="AL46">IF(OR(_xll.BDP($AX46,"FD015")="#N/A N/A",_xll.BDP($AX46,"FD015")="#N/A FIELD NOT APPLICABLE")," ", _xll.BDP($AX46,"FD015")/100)</f>
        <v>7.4000000000000003E-3</v>
      </c>
      <c r="AM46" s="25" cm="1">
        <f t="array" ref="AM46">IF(OR(_xll.BDP($AX46,"FD138")="#N/A N/A",_xll.BDP($AX46,"FD138")="#N/A FIELD NOT APPLICABLE")," ", _xll.BDP($AX46,"FD138")/100)</f>
        <v>7.4000000000000003E-3</v>
      </c>
      <c r="AN46" s="36" cm="1">
        <f t="array" ref="AN46">IF(OR(_xll.BDP($AX46,"FD009")="#N/A N/A",_xll.BDP($AX46,"FD009")="#N/A FIELD NOT APPLICABLE")," ", _xll.BDP($AX46,"FD009")/100)</f>
        <v>0</v>
      </c>
      <c r="AO46" s="25" cm="1">
        <f t="array" ref="AO46">IF(OR(_xll.BDP($AX46,"RK512")="#N/A N/A",_xll.BDP($AX46,"RK512")="#N/A FIELD NOT APPLICABLE")," ", _xll.BDP($AX46,"RK512")/100)</f>
        <v>1.0980900526046753E-2</v>
      </c>
      <c r="AP46" s="25" cm="1">
        <f t="array" ref="AP46">IF(OR(_xll.BDP($AX46,"RK514")="#N/A N/A",_xll.BDP($AX46,"RK514")="#N/A FIELD NOT APPLICABLE")," ", _xll.BDP($AX46,"RK514")/100)</f>
        <v>1.2595499753952027E-2</v>
      </c>
      <c r="AQ46" s="25" cm="1">
        <f t="array" ref="AQ46">IF(OR(_xll.BDP($AX46,"RK521")="#N/A N/A",_xll.BDP($AX46,"RK521")="#N/A FIELD NOT APPLICABLE")," ", _xll.BDP($AX46,"RK521")/100)</f>
        <v>-4.7423001378774641E-4</v>
      </c>
      <c r="AR46" s="25" cm="1">
        <f t="array" ref="AR46">IF(OR(_xll.BDP($AX46,"RK525")="#N/A N/A",_xll.BDP($AX46,"RK525")="#N/A FIELD NOT APPLICABLE")," ", _xll.BDP($AX46,"RK525")/100)</f>
        <v>9.208210110664368E-3</v>
      </c>
      <c r="AS46" s="25" cm="1">
        <f t="array" ref="AS46">IF(OR(_xll.BDP($AX46,"RK524")="#N/A N/A",_xll.BDP($AX46,"RK524")="#N/A FIELD NOT APPLICABLE")," ", _xll.BDP($AX46,"RK524")/100)</f>
        <v>5.1196999847888944E-4</v>
      </c>
      <c r="AT46" s="25" t="str" cm="1">
        <f t="array" ref="AT46">IF(OR(_xll.BDP($AX46,"FD183")="#N/A N/A",_xll.BDP($AX46,"FD183")="#N/A FIELD NOT APPLICABLE")," ", _xll.BDP($AX46,"FD183"))</f>
        <v>USD INC</v>
      </c>
      <c r="AU46" s="25" t="str" cm="1">
        <f t="array" ref="AU46">IF(OR(_xll.BDP($AX46,"DY997")="#N/A N/A",_xll.BDP($AX46,"DY997")="#N/A FIELD NOT APPLICABLE")," ", _xll.BDP($AX46,"DY997"))</f>
        <v xml:space="preserve"> </v>
      </c>
      <c r="AV46" s="25" t="str" cm="1">
        <f t="array" ref="AV46">IF(OR(_xll.BDP($AX46,"DY784")="#N/A N/A",_xll.BDP($AX46,"DY784")="#N/A FIELD NOT APPLICABLE")," ", _xll.BDP($AX46,"DY784"))</f>
        <v xml:space="preserve"> </v>
      </c>
      <c r="AW46" s="22" t="str">
        <f t="shared" si="14"/>
        <v>N</v>
      </c>
      <c r="AX46" s="22" t="str">
        <f t="shared" si="15"/>
        <v>FXI US Equity</v>
      </c>
      <c r="BC46" s="17" t="str" cm="1">
        <f t="array" ref="BC46">_xll.BDP(AX46,"ID005")</f>
        <v>US4642871846</v>
      </c>
      <c r="BD46" s="17">
        <v>0.65</v>
      </c>
      <c r="BE46" s="18">
        <v>5</v>
      </c>
      <c r="BF46" s="37"/>
      <c r="BG46" s="20"/>
    </row>
    <row r="47" spans="1:59" s="3" customFormat="1" ht="14.45" customHeight="1" x14ac:dyDescent="0.25">
      <c r="A47" s="49" t="s">
        <v>241</v>
      </c>
      <c r="B47" s="49" t="s">
        <v>270</v>
      </c>
      <c r="C47" s="49" t="s">
        <v>271</v>
      </c>
      <c r="D47" s="49" t="s">
        <v>240</v>
      </c>
      <c r="E47" s="22" t="str">
        <f>_xll.BDP(AX47,"SECURITY NAME")</f>
        <v>iShares China Large-Cap ETF</v>
      </c>
      <c r="F47" s="22" t="str">
        <f>_xll.BDP(AX47,"CRNCY")</f>
        <v>USD</v>
      </c>
      <c r="G47" s="23" t="s">
        <v>203</v>
      </c>
      <c r="H47" s="22" t="str" cm="1">
        <f t="array" ref="H47">IF(OR(_xll.BDP($AX47,"FD120")="#N/A N/A",_xll.BDP($AX47,"FD120")="#N/A FIELD NOT APPLICABLE")," ",_xll.BDP($AX47,"FD120"))</f>
        <v>China</v>
      </c>
      <c r="I47" s="22" t="str" cm="1">
        <f t="array" ref="I47">IF(OR(_xll.BDP($AX47,"FD116")="#N/A N/A",_xll.BDP($AX47,"FD116")="#N/A FIELD NOT APPLICABLE")," ",_xll.BDP($AX47,"FD116"))</f>
        <v>Blend</v>
      </c>
      <c r="J47" s="22" t="str" cm="1">
        <f t="array" ref="J47">IF(OR(_xll.BDP($AX47,"FD133")="#N/A N/A",_xll.BDP($AX47,"FD133")="#N/A FIELD NOT APPLICABLE")," ", _xll.BDP($AX47,"FD133"))</f>
        <v xml:space="preserve"> </v>
      </c>
      <c r="K47" s="34">
        <f>_xll.BDP(AX47,"FUND_ASSETS_USD")/1000</f>
        <v>5.7577778153999999</v>
      </c>
      <c r="L47" s="25">
        <f>IFERROR(_xll.BDP(AX47, "DV013")/100,0)</f>
        <v>2.6699912092960174E-2</v>
      </c>
      <c r="M47" s="25" cm="1">
        <f t="array" ref="M47">IF(OR(_xll.BDP($AX47,"PR079")="#N/A N/A",_xll.BDP($AX47,"PR079")="#N/A FIELD NOT APPLICABLE")," ", _xll.BDP($AX47,"PR079")/100)</f>
        <v>0.1100525</v>
      </c>
      <c r="N47" s="25" cm="1">
        <f t="array" ref="N47">IF(OR(_xll.BDP($AX47,"RT074")="#N/A N/A",_xll.BDP($AX47,"RT074")="#N/A FIELD NOT APPLICABLE")," ", _xll.BDP($AX47,"RT074")/100)</f>
        <v>0.33944009999999997</v>
      </c>
      <c r="O47" s="27">
        <v>2693</v>
      </c>
      <c r="P47" s="28">
        <v>32.33</v>
      </c>
      <c r="Q47" s="22" cm="1">
        <f t="array" ref="Q47">IF(OR(_xll.BDP($AX47,"PX_last")="#N/A N/A",_xll.BDP($AX47,"PX_Last")="#N/A FIELD NOT APPLICABLE")," ",IF(F47="GBP",(_xll.BDP($AX47,"PX_LAST")),(_xll.BDP($AX47,"PX_LAST"))))</f>
        <v>33.79</v>
      </c>
      <c r="R47" s="29">
        <f>IF(F47="USD",AA47,(((_xll.BDP(F47&amp;"USD CURNCY","PX_LAST")))*AA47))</f>
        <v>87064.69</v>
      </c>
      <c r="S47" s="29">
        <f>IF(F47="USD",AB47,(((_xll.BDP(F47&amp;"USD CURNCY","PX_LAST")))*AB47))</f>
        <v>90996.47</v>
      </c>
      <c r="T47" s="12">
        <f t="shared" si="8"/>
        <v>3931.7799999999988</v>
      </c>
      <c r="U47" s="13">
        <f t="shared" si="9"/>
        <v>4.5159294772656962E-2</v>
      </c>
      <c r="V47" s="13" cm="1">
        <f t="array" ref="V47">IFERROR(_xll.BDP($G47&amp;" Equity","CHG_PCT_1D")/100,"")</f>
        <v>-2.0673359999999999E-3</v>
      </c>
      <c r="W47" s="13" cm="1">
        <f t="array" ref="W47">IFERROR(_xll.BDP($G47&amp;" Equity","CHG_PCT_5D")/100,"")</f>
        <v>-9.3814129999999999E-3</v>
      </c>
      <c r="X47" s="13" t="e">
        <f>S47/#REF!</f>
        <v>#REF!</v>
      </c>
      <c r="Y47" s="29">
        <f t="shared" si="10"/>
        <v>2429.5977497696877</v>
      </c>
      <c r="Z47" s="29">
        <f t="shared" si="11"/>
        <v>90996.47</v>
      </c>
      <c r="AA47" s="29">
        <f t="shared" si="12"/>
        <v>87064.69</v>
      </c>
      <c r="AB47" s="29">
        <f t="shared" si="13"/>
        <v>90996.47</v>
      </c>
      <c r="AC47" s="25" t="str" cm="1">
        <f t="array" ref="AC47">IF(OR(_xll.BDP($AX47,"EX028")="#N/A N/A",_xll.BDP($AX47,"EX028")="#N/A FIELD NOT APPLICABLE")," ", _xll.BDP($AX47,"EX028"))</f>
        <v>Fund</v>
      </c>
      <c r="AD47" s="35" t="str" cm="1">
        <f t="array" ref="AD47">IF(OR(_xll.BDP($AX47,"FD121")="#N/A N/A",_xll.BDP($AX47,"FD121")="#N/A FIELD NOT APPLICABLE")," ", _xll.BDP($AX47,"FD121"))</f>
        <v>Equity</v>
      </c>
      <c r="AE47" s="25" t="str" cm="1">
        <f t="array" ref="AE47">IF(OR(_xll.BDP($AX47,"FD118")="#N/A N/A",_xll.BDP($AX47,"FD118")="#N/A FIELD NOT APPLICABLE")," ", _xll.BDP($AX47,"FD118"))</f>
        <v>ETF</v>
      </c>
      <c r="AF47" s="22" t="str" cm="1">
        <f t="array" ref="AF47">IF(OR(_xll.BDP($AX47,"FD114")="#N/A N/A",_xll.BDP($AX47,"FD114")="#N/A FIELD NOT APPLICABLE")," ", _xll.BDP($AX47,"FD114"))</f>
        <v xml:space="preserve"> </v>
      </c>
      <c r="AG47" s="22" t="str" cm="1">
        <f t="array" ref="AG47">IF(OR(_xll.BDP($AX47,"FD003")="#N/A N/A",_xll.BDP($AX47,"FD003")="#N/A FIELD NOT APPLICABLE")," ", _xll.BDP($AX47,"FD003"))</f>
        <v>08/10/2004</v>
      </c>
      <c r="AH47" s="32" cm="1">
        <f t="array" ref="AH47">IF(OR(_xll.BDP($AX47,"PR061")="#N/A N/A",_xll.BDP($AX47,"PR061")="#N/A FIELD NOT APPLICABLE")," ", _xll.BDP($AX47,"PR061")/100)</f>
        <v>-4.9240320000000004E-2</v>
      </c>
      <c r="AI47" s="25" cm="1">
        <f t="array" ref="AI47">IF(OR(_xll.BDP($AX47,"RT075")="#N/A N/A",_xll.BDP($AX47,"RT075")="#N/A FIELD NOT APPLICABLE")," ", _xll.BDP($AX47,"RT075")/100)</f>
        <v>5.562019E-2</v>
      </c>
      <c r="AJ47" s="25" cm="1">
        <f t="array" ref="AJ47">IF(OR(_xll.BDP($AX47,"RT076")="#N/A N/A",_xll.BDP($AX47,"RT076")="#N/A FIELD NOT APPLICABLE")," ", _xll.BDP($AX47,"RT076")/100)</f>
        <v>2.9419849999999998E-3</v>
      </c>
      <c r="AK47" s="25" cm="1">
        <f t="array" ref="AK47">IF(OR(_xll.BDP($AX47,"FD252")="#N/A N/A",_xll.BDP($AX47,"FD252")="#N/A FIELD NOT APPLICABLE")," ", _xll.BDP($AX47,"FD252")/100)</f>
        <v>0</v>
      </c>
      <c r="AL47" s="25" cm="1">
        <f t="array" ref="AL47">IF(OR(_xll.BDP($AX47,"FD015")="#N/A N/A",_xll.BDP($AX47,"FD015")="#N/A FIELD NOT APPLICABLE")," ", _xll.BDP($AX47,"FD015")/100)</f>
        <v>7.4000000000000003E-3</v>
      </c>
      <c r="AM47" s="25" cm="1">
        <f t="array" ref="AM47">IF(OR(_xll.BDP($AX47,"FD138")="#N/A N/A",_xll.BDP($AX47,"FD138")="#N/A FIELD NOT APPLICABLE")," ", _xll.BDP($AX47,"FD138")/100)</f>
        <v>7.4000000000000003E-3</v>
      </c>
      <c r="AN47" s="36" cm="1">
        <f t="array" ref="AN47">IF(OR(_xll.BDP($AX47,"FD009")="#N/A N/A",_xll.BDP($AX47,"FD009")="#N/A FIELD NOT APPLICABLE")," ", _xll.BDP($AX47,"FD009")/100)</f>
        <v>0</v>
      </c>
      <c r="AO47" s="25" cm="1">
        <f t="array" ref="AO47">IF(OR(_xll.BDP($AX47,"RK512")="#N/A N/A",_xll.BDP($AX47,"RK512")="#N/A FIELD NOT APPLICABLE")," ", _xll.BDP($AX47,"RK512")/100)</f>
        <v>1.0980900526046753E-2</v>
      </c>
      <c r="AP47" s="25" cm="1">
        <f t="array" ref="AP47">IF(OR(_xll.BDP($AX47,"RK514")="#N/A N/A",_xll.BDP($AX47,"RK514")="#N/A FIELD NOT APPLICABLE")," ", _xll.BDP($AX47,"RK514")/100)</f>
        <v>1.2595499753952027E-2</v>
      </c>
      <c r="AQ47" s="25" cm="1">
        <f t="array" ref="AQ47">IF(OR(_xll.BDP($AX47,"RK521")="#N/A N/A",_xll.BDP($AX47,"RK521")="#N/A FIELD NOT APPLICABLE")," ", _xll.BDP($AX47,"RK521")/100)</f>
        <v>-4.7423001378774641E-4</v>
      </c>
      <c r="AR47" s="25" cm="1">
        <f t="array" ref="AR47">IF(OR(_xll.BDP($AX47,"RK525")="#N/A N/A",_xll.BDP($AX47,"RK525")="#N/A FIELD NOT APPLICABLE")," ", _xll.BDP($AX47,"RK525")/100)</f>
        <v>9.208210110664368E-3</v>
      </c>
      <c r="AS47" s="25" cm="1">
        <f t="array" ref="AS47">IF(OR(_xll.BDP($AX47,"RK524")="#N/A N/A",_xll.BDP($AX47,"RK524")="#N/A FIELD NOT APPLICABLE")," ", _xll.BDP($AX47,"RK524")/100)</f>
        <v>5.1196999847888944E-4</v>
      </c>
      <c r="AT47" s="25" t="str" cm="1">
        <f t="array" ref="AT47">IF(OR(_xll.BDP($AX47,"FD183")="#N/A N/A",_xll.BDP($AX47,"FD183")="#N/A FIELD NOT APPLICABLE")," ", _xll.BDP($AX47,"FD183"))</f>
        <v>USD INC</v>
      </c>
      <c r="AU47" s="25" t="str" cm="1">
        <f t="array" ref="AU47">IF(OR(_xll.BDP($AX47,"DY997")="#N/A N/A",_xll.BDP($AX47,"DY997")="#N/A FIELD NOT APPLICABLE")," ", _xll.BDP($AX47,"DY997"))</f>
        <v xml:space="preserve"> </v>
      </c>
      <c r="AV47" s="25" t="str" cm="1">
        <f t="array" ref="AV47">IF(OR(_xll.BDP($AX47,"DY784")="#N/A N/A",_xll.BDP($AX47,"DY784")="#N/A FIELD NOT APPLICABLE")," ", _xll.BDP($AX47,"DY784"))</f>
        <v xml:space="preserve"> </v>
      </c>
      <c r="AW47" s="22" t="str">
        <f t="shared" si="14"/>
        <v>N</v>
      </c>
      <c r="AX47" s="22" t="str">
        <f t="shared" si="15"/>
        <v>FXI US Equity</v>
      </c>
      <c r="BC47" s="17" t="str" cm="1">
        <f t="array" ref="BC47">_xll.BDP(AX47,"ID005")</f>
        <v>US4642871846</v>
      </c>
      <c r="BD47" s="17">
        <v>0.75</v>
      </c>
      <c r="BE47" s="18">
        <v>5</v>
      </c>
      <c r="BF47" s="37">
        <v>45510</v>
      </c>
      <c r="BG47" s="20">
        <v>1.0000000000107532</v>
      </c>
    </row>
    <row r="48" spans="1:59" s="3" customFormat="1" ht="14.45" customHeight="1" x14ac:dyDescent="0.25">
      <c r="A48" s="49" t="s">
        <v>241</v>
      </c>
      <c r="B48" s="49" t="s">
        <v>273</v>
      </c>
      <c r="C48" s="49">
        <v>2620058.003</v>
      </c>
      <c r="D48" s="49" t="s">
        <v>240</v>
      </c>
      <c r="E48" s="22" t="str">
        <f>_xll.BDP(AX48,"SECURITY NAME")</f>
        <v>iShares China Large-Cap ETF</v>
      </c>
      <c r="F48" s="22" t="str">
        <f>_xll.BDP(AX48,"CRNCY")</f>
        <v>USD</v>
      </c>
      <c r="G48" s="23" t="s">
        <v>203</v>
      </c>
      <c r="H48" s="22" t="str" cm="1">
        <f t="array" ref="H48">IF(OR(_xll.BDP($AX48,"FD120")="#N/A N/A",_xll.BDP($AX48,"FD120")="#N/A FIELD NOT APPLICABLE")," ",_xll.BDP($AX48,"FD120"))</f>
        <v>China</v>
      </c>
      <c r="I48" s="22" t="str" cm="1">
        <f t="array" ref="I48">IF(OR(_xll.BDP($AX48,"FD116")="#N/A N/A",_xll.BDP($AX48,"FD116")="#N/A FIELD NOT APPLICABLE")," ",_xll.BDP($AX48,"FD116"))</f>
        <v>Blend</v>
      </c>
      <c r="J48" s="22" t="str" cm="1">
        <f t="array" ref="J48">IF(OR(_xll.BDP($AX48,"FD133")="#N/A N/A",_xll.BDP($AX48,"FD133")="#N/A FIELD NOT APPLICABLE")," ", _xll.BDP($AX48,"FD133"))</f>
        <v xml:space="preserve"> </v>
      </c>
      <c r="K48" s="34">
        <f>_xll.BDP(AX48,"FUND_ASSETS_USD")/1000</f>
        <v>5.7577778153999999</v>
      </c>
      <c r="L48" s="25">
        <f>IFERROR(_xll.BDP(AX48, "DV013")/100,0)</f>
        <v>2.6699912092960174E-2</v>
      </c>
      <c r="M48" s="25" cm="1">
        <f t="array" ref="M48">IF(OR(_xll.BDP($AX48,"PR079")="#N/A N/A",_xll.BDP($AX48,"PR079")="#N/A FIELD NOT APPLICABLE")," ", _xll.BDP($AX48,"PR079")/100)</f>
        <v>0.1100525</v>
      </c>
      <c r="N48" s="25" cm="1">
        <f t="array" ref="N48">IF(OR(_xll.BDP($AX48,"RT074")="#N/A N/A",_xll.BDP($AX48,"RT074")="#N/A FIELD NOT APPLICABLE")," ", _xll.BDP($AX48,"RT074")/100)</f>
        <v>0.33944009999999997</v>
      </c>
      <c r="O48" s="27">
        <v>1584</v>
      </c>
      <c r="P48" s="28">
        <v>32.33</v>
      </c>
      <c r="Q48" s="22" cm="1">
        <f t="array" ref="Q48">IF(OR(_xll.BDP($AX48,"PX_last")="#N/A N/A",_xll.BDP($AX48,"PX_Last")="#N/A FIELD NOT APPLICABLE")," ",IF(F48="GBP",(_xll.BDP($AX48,"PX_LAST")),(_xll.BDP($AX48,"PX_LAST"))))</f>
        <v>33.79</v>
      </c>
      <c r="R48" s="29">
        <f>IF(F48="USD",AA48,(((_xll.BDP(F48&amp;"USD CURNCY","PX_LAST")))*AA48))</f>
        <v>51210.719999999994</v>
      </c>
      <c r="S48" s="29">
        <f>IF(F48="USD",AB48,(((_xll.BDP(F48&amp;"USD CURNCY","PX_LAST")))*AB48))</f>
        <v>53523.360000000001</v>
      </c>
      <c r="T48" s="12">
        <f t="shared" si="8"/>
        <v>2312.6400000000067</v>
      </c>
      <c r="U48" s="13">
        <f t="shared" si="9"/>
        <v>4.5159294772657115E-2</v>
      </c>
      <c r="V48" s="13" cm="1">
        <f t="array" ref="V48">IFERROR(_xll.BDP($G48&amp;" Equity","CHG_PCT_1D")/100,"")</f>
        <v>-2.0673359999999999E-3</v>
      </c>
      <c r="W48" s="13" cm="1">
        <f t="array" ref="W48">IFERROR(_xll.BDP($G48&amp;" Equity","CHG_PCT_5D")/100,"")</f>
        <v>-9.3814129999999999E-3</v>
      </c>
      <c r="X48" s="13" t="e">
        <f>S48/#REF!</f>
        <v>#REF!</v>
      </c>
      <c r="Y48" s="29">
        <f t="shared" si="10"/>
        <v>1429.0690069198608</v>
      </c>
      <c r="Z48" s="29">
        <f t="shared" si="11"/>
        <v>53523.360000000001</v>
      </c>
      <c r="AA48" s="29">
        <f t="shared" si="12"/>
        <v>51210.719999999994</v>
      </c>
      <c r="AB48" s="29">
        <f t="shared" si="13"/>
        <v>53523.360000000001</v>
      </c>
      <c r="AC48" s="25" t="str" cm="1">
        <f t="array" ref="AC48">IF(OR(_xll.BDP($AX48,"EX028")="#N/A N/A",_xll.BDP($AX48,"EX028")="#N/A FIELD NOT APPLICABLE")," ", _xll.BDP($AX48,"EX028"))</f>
        <v>Fund</v>
      </c>
      <c r="AD48" s="35" t="str" cm="1">
        <f t="array" ref="AD48">IF(OR(_xll.BDP($AX48,"FD121")="#N/A N/A",_xll.BDP($AX48,"FD121")="#N/A FIELD NOT APPLICABLE")," ", _xll.BDP($AX48,"FD121"))</f>
        <v>Equity</v>
      </c>
      <c r="AE48" s="25" t="str" cm="1">
        <f t="array" ref="AE48">IF(OR(_xll.BDP($AX48,"FD118")="#N/A N/A",_xll.BDP($AX48,"FD118")="#N/A FIELD NOT APPLICABLE")," ", _xll.BDP($AX48,"FD118"))</f>
        <v>ETF</v>
      </c>
      <c r="AF48" s="22" t="str" cm="1">
        <f t="array" ref="AF48">IF(OR(_xll.BDP($AX48,"FD114")="#N/A N/A",_xll.BDP($AX48,"FD114")="#N/A FIELD NOT APPLICABLE")," ", _xll.BDP($AX48,"FD114"))</f>
        <v xml:space="preserve"> </v>
      </c>
      <c r="AG48" s="22" t="str" cm="1">
        <f t="array" ref="AG48">IF(OR(_xll.BDP($AX48,"FD003")="#N/A N/A",_xll.BDP($AX48,"FD003")="#N/A FIELD NOT APPLICABLE")," ", _xll.BDP($AX48,"FD003"))</f>
        <v>08/10/2004</v>
      </c>
      <c r="AH48" s="32" cm="1">
        <f t="array" ref="AH48">IF(OR(_xll.BDP($AX48,"PR061")="#N/A N/A",_xll.BDP($AX48,"PR061")="#N/A FIELD NOT APPLICABLE")," ", _xll.BDP($AX48,"PR061")/100)</f>
        <v>-4.9240320000000004E-2</v>
      </c>
      <c r="AI48" s="25" cm="1">
        <f t="array" ref="AI48">IF(OR(_xll.BDP($AX48,"RT075")="#N/A N/A",_xll.BDP($AX48,"RT075")="#N/A FIELD NOT APPLICABLE")," ", _xll.BDP($AX48,"RT075")/100)</f>
        <v>5.562019E-2</v>
      </c>
      <c r="AJ48" s="25" cm="1">
        <f t="array" ref="AJ48">IF(OR(_xll.BDP($AX48,"RT076")="#N/A N/A",_xll.BDP($AX48,"RT076")="#N/A FIELD NOT APPLICABLE")," ", _xll.BDP($AX48,"RT076")/100)</f>
        <v>2.9419849999999998E-3</v>
      </c>
      <c r="AK48" s="25" cm="1">
        <f t="array" ref="AK48">IF(OR(_xll.BDP($AX48,"FD252")="#N/A N/A",_xll.BDP($AX48,"FD252")="#N/A FIELD NOT APPLICABLE")," ", _xll.BDP($AX48,"FD252")/100)</f>
        <v>0</v>
      </c>
      <c r="AL48" s="25" cm="1">
        <f t="array" ref="AL48">IF(OR(_xll.BDP($AX48,"FD015")="#N/A N/A",_xll.BDP($AX48,"FD015")="#N/A FIELD NOT APPLICABLE")," ", _xll.BDP($AX48,"FD015")/100)</f>
        <v>7.4000000000000003E-3</v>
      </c>
      <c r="AM48" s="25" cm="1">
        <f t="array" ref="AM48">IF(OR(_xll.BDP($AX48,"FD138")="#N/A N/A",_xll.BDP($AX48,"FD138")="#N/A FIELD NOT APPLICABLE")," ", _xll.BDP($AX48,"FD138")/100)</f>
        <v>7.4000000000000003E-3</v>
      </c>
      <c r="AN48" s="36" cm="1">
        <f t="array" ref="AN48">IF(OR(_xll.BDP($AX48,"FD009")="#N/A N/A",_xll.BDP($AX48,"FD009")="#N/A FIELD NOT APPLICABLE")," ", _xll.BDP($AX48,"FD009")/100)</f>
        <v>0</v>
      </c>
      <c r="AO48" s="25" cm="1">
        <f t="array" ref="AO48">IF(OR(_xll.BDP($AX48,"RK512")="#N/A N/A",_xll.BDP($AX48,"RK512")="#N/A FIELD NOT APPLICABLE")," ", _xll.BDP($AX48,"RK512")/100)</f>
        <v>1.0980900526046753E-2</v>
      </c>
      <c r="AP48" s="25" cm="1">
        <f t="array" ref="AP48">IF(OR(_xll.BDP($AX48,"RK514")="#N/A N/A",_xll.BDP($AX48,"RK514")="#N/A FIELD NOT APPLICABLE")," ", _xll.BDP($AX48,"RK514")/100)</f>
        <v>1.2595499753952027E-2</v>
      </c>
      <c r="AQ48" s="25" cm="1">
        <f t="array" ref="AQ48">IF(OR(_xll.BDP($AX48,"RK521")="#N/A N/A",_xll.BDP($AX48,"RK521")="#N/A FIELD NOT APPLICABLE")," ", _xll.BDP($AX48,"RK521")/100)</f>
        <v>-4.7423001378774641E-4</v>
      </c>
      <c r="AR48" s="25" cm="1">
        <f t="array" ref="AR48">IF(OR(_xll.BDP($AX48,"RK525")="#N/A N/A",_xll.BDP($AX48,"RK525")="#N/A FIELD NOT APPLICABLE")," ", _xll.BDP($AX48,"RK525")/100)</f>
        <v>9.208210110664368E-3</v>
      </c>
      <c r="AS48" s="25" cm="1">
        <f t="array" ref="AS48">IF(OR(_xll.BDP($AX48,"RK524")="#N/A N/A",_xll.BDP($AX48,"RK524")="#N/A FIELD NOT APPLICABLE")," ", _xll.BDP($AX48,"RK524")/100)</f>
        <v>5.1196999847888944E-4</v>
      </c>
      <c r="AT48" s="25" t="str" cm="1">
        <f t="array" ref="AT48">IF(OR(_xll.BDP($AX48,"FD183")="#N/A N/A",_xll.BDP($AX48,"FD183")="#N/A FIELD NOT APPLICABLE")," ", _xll.BDP($AX48,"FD183"))</f>
        <v>USD INC</v>
      </c>
      <c r="AU48" s="25" t="str" cm="1">
        <f t="array" ref="AU48">IF(OR(_xll.BDP($AX48,"DY997")="#N/A N/A",_xll.BDP($AX48,"DY997")="#N/A FIELD NOT APPLICABLE")," ", _xll.BDP($AX48,"DY997"))</f>
        <v xml:space="preserve"> </v>
      </c>
      <c r="AV48" s="25" t="str" cm="1">
        <f t="array" ref="AV48">IF(OR(_xll.BDP($AX48,"DY784")="#N/A N/A",_xll.BDP($AX48,"DY784")="#N/A FIELD NOT APPLICABLE")," ", _xll.BDP($AX48,"DY784"))</f>
        <v xml:space="preserve"> </v>
      </c>
      <c r="AW48" s="22" t="str">
        <f t="shared" si="14"/>
        <v>N</v>
      </c>
      <c r="AX48" s="22" t="str">
        <f t="shared" si="15"/>
        <v>FXI US Equity</v>
      </c>
      <c r="BC48" s="17" t="str" cm="1">
        <f t="array" ref="BC48">_xll.BDP(AX48,"ID005")</f>
        <v>US4642871846</v>
      </c>
      <c r="BD48" s="17">
        <v>0.75</v>
      </c>
      <c r="BE48" s="18">
        <v>3</v>
      </c>
      <c r="BF48" s="37">
        <v>45510</v>
      </c>
      <c r="BG48" s="20">
        <v>1.0000000000107532</v>
      </c>
    </row>
    <row r="49" spans="1:59" s="3" customFormat="1" ht="14.45" customHeight="1" x14ac:dyDescent="0.25">
      <c r="A49" s="49" t="s">
        <v>257</v>
      </c>
      <c r="B49" s="49" t="s">
        <v>274</v>
      </c>
      <c r="C49" s="49">
        <v>1000015111</v>
      </c>
      <c r="D49" s="49" t="s">
        <v>275</v>
      </c>
      <c r="E49" s="22" t="str">
        <f>_xll.BDP(AX49,"SECURITY NAME")</f>
        <v>iShares China Large-Cap ETF</v>
      </c>
      <c r="F49" s="22" t="str">
        <f>_xll.BDP(AX49,"CRNCY")</f>
        <v>USD</v>
      </c>
      <c r="G49" s="23" t="s">
        <v>203</v>
      </c>
      <c r="H49" s="22" t="str" cm="1">
        <f t="array" ref="H49">IF(OR(_xll.BDP($AX49,"FD120")="#N/A N/A",_xll.BDP($AX49,"FD120")="#N/A FIELD NOT APPLICABLE")," ",_xll.BDP($AX49,"FD120"))</f>
        <v>China</v>
      </c>
      <c r="I49" s="22" t="str" cm="1">
        <f t="array" ref="I49">IF(OR(_xll.BDP($AX49,"FD116")="#N/A N/A",_xll.BDP($AX49,"FD116")="#N/A FIELD NOT APPLICABLE")," ",_xll.BDP($AX49,"FD116"))</f>
        <v>Blend</v>
      </c>
      <c r="J49" s="22" t="str" cm="1">
        <f t="array" ref="J49">IF(OR(_xll.BDP($AX49,"FD133")="#N/A N/A",_xll.BDP($AX49,"FD133")="#N/A FIELD NOT APPLICABLE")," ", _xll.BDP($AX49,"FD133"))</f>
        <v xml:space="preserve"> </v>
      </c>
      <c r="K49" s="34">
        <f>_xll.BDP(AX49,"FUND_ASSETS_USD")/1000</f>
        <v>5.7577778153999999</v>
      </c>
      <c r="L49" s="25">
        <f>IFERROR(_xll.BDP(AX49, "DV013")/100,0)</f>
        <v>2.6699912092960174E-2</v>
      </c>
      <c r="M49" s="25" cm="1">
        <f t="array" ref="M49">IF(OR(_xll.BDP($AX49,"PR079")="#N/A N/A",_xll.BDP($AX49,"PR079")="#N/A FIELD NOT APPLICABLE")," ", _xll.BDP($AX49,"PR079")/100)</f>
        <v>0.1100525</v>
      </c>
      <c r="N49" s="25" cm="1">
        <f t="array" ref="N49">IF(OR(_xll.BDP($AX49,"RT074")="#N/A N/A",_xll.BDP($AX49,"RT074")="#N/A FIELD NOT APPLICABLE")," ", _xll.BDP($AX49,"RT074")/100)</f>
        <v>0.33944009999999997</v>
      </c>
      <c r="O49" s="27">
        <v>1584</v>
      </c>
      <c r="P49" s="28">
        <v>32.35</v>
      </c>
      <c r="Q49" s="22" cm="1">
        <f t="array" ref="Q49">IF(OR(_xll.BDP($AX49,"PX_last")="#N/A N/A",_xll.BDP($AX49,"PX_Last")="#N/A FIELD NOT APPLICABLE")," ",IF(F49="GBP",(_xll.BDP($AX49,"PX_LAST")/100),(_xll.BDP($AX49,"PX_LAST"))))</f>
        <v>33.79</v>
      </c>
      <c r="R49" s="29">
        <f>IF(F49="USD",AA49,(((_xll.BDP(F49&amp;"USD CURNCY","PX_LAST")))*AA49))</f>
        <v>51242.400000000001</v>
      </c>
      <c r="S49" s="29">
        <f>IF(F49="USD",AB49,(((_xll.BDP(F49&amp;"USD CURNCY","PX_LAST")))*AB49))</f>
        <v>53523.360000000001</v>
      </c>
      <c r="T49" s="12">
        <f t="shared" si="8"/>
        <v>2280.9599999999991</v>
      </c>
      <c r="U49" s="13">
        <f t="shared" si="9"/>
        <v>4.4513137557959798E-2</v>
      </c>
      <c r="V49" s="13" cm="1">
        <f t="array" ref="V49">IFERROR(_xll.BDP($G49&amp;" Equity","CHG_PCT_1D")/100,"")</f>
        <v>-2.0673359999999999E-3</v>
      </c>
      <c r="W49" s="13" cm="1">
        <f t="array" ref="W49">IFERROR(_xll.BDP($G49&amp;" Equity","CHG_PCT_5D")/100,"")</f>
        <v>-9.3814129999999999E-3</v>
      </c>
      <c r="X49" s="13" t="e">
        <f>S49/#REF!</f>
        <v>#REF!</v>
      </c>
      <c r="Y49" s="29">
        <f t="shared" si="10"/>
        <v>1429.0690069198608</v>
      </c>
      <c r="Z49" s="29">
        <f t="shared" si="11"/>
        <v>53523.360000000001</v>
      </c>
      <c r="AA49" s="29">
        <f t="shared" si="12"/>
        <v>51242.400000000001</v>
      </c>
      <c r="AB49" s="29">
        <f t="shared" si="13"/>
        <v>53523.360000000001</v>
      </c>
      <c r="AC49" s="25" t="str" cm="1">
        <f t="array" ref="AC49">IF(OR(_xll.BDP($AX49,"EX028")="#N/A N/A",_xll.BDP($AX49,"EX028")="#N/A FIELD NOT APPLICABLE")," ", _xll.BDP($AX49,"EX028"))</f>
        <v>Fund</v>
      </c>
      <c r="AD49" s="35" t="str" cm="1">
        <f t="array" ref="AD49">IF(OR(_xll.BDP($AX49,"FD121")="#N/A N/A",_xll.BDP($AX49,"FD121")="#N/A FIELD NOT APPLICABLE")," ", _xll.BDP($AX49,"FD121"))</f>
        <v>Equity</v>
      </c>
      <c r="AE49" s="25" t="str" cm="1">
        <f t="array" ref="AE49">IF(OR(_xll.BDP($AX49,"FD118")="#N/A N/A",_xll.BDP($AX49,"FD118")="#N/A FIELD NOT APPLICABLE")," ", _xll.BDP($AX49,"FD118"))</f>
        <v>ETF</v>
      </c>
      <c r="AF49" s="22" t="str" cm="1">
        <f t="array" ref="AF49">IF(OR(_xll.BDP($AX49,"FD114")="#N/A N/A",_xll.BDP($AX49,"FD114")="#N/A FIELD NOT APPLICABLE")," ", _xll.BDP($AX49,"FD114"))</f>
        <v xml:space="preserve"> </v>
      </c>
      <c r="AG49" s="22" t="str" cm="1">
        <f t="array" ref="AG49">IF(OR(_xll.BDP($AX49,"FD003")="#N/A N/A",_xll.BDP($AX49,"FD003")="#N/A FIELD NOT APPLICABLE")," ", _xll.BDP($AX49,"FD003"))</f>
        <v>08/10/2004</v>
      </c>
      <c r="AH49" s="32" cm="1">
        <f t="array" ref="AH49">IF(OR(_xll.BDP($AX49,"PR061")="#N/A N/A",_xll.BDP($AX49,"PR061")="#N/A FIELD NOT APPLICABLE")," ", _xll.BDP($AX49,"PR061")/100)</f>
        <v>-4.9240320000000004E-2</v>
      </c>
      <c r="AI49" s="25" cm="1">
        <f t="array" ref="AI49">IF(OR(_xll.BDP($AX49,"RT075")="#N/A N/A",_xll.BDP($AX49,"RT075")="#N/A FIELD NOT APPLICABLE")," ", _xll.BDP($AX49,"RT075")/100)</f>
        <v>5.562019E-2</v>
      </c>
      <c r="AJ49" s="25" cm="1">
        <f t="array" ref="AJ49">IF(OR(_xll.BDP($AX49,"RT076")="#N/A N/A",_xll.BDP($AX49,"RT076")="#N/A FIELD NOT APPLICABLE")," ", _xll.BDP($AX49,"RT076")/100)</f>
        <v>2.9419849999999998E-3</v>
      </c>
      <c r="AK49" s="25" cm="1">
        <f t="array" ref="AK49">IF(OR(_xll.BDP($AX49,"FD252")="#N/A N/A",_xll.BDP($AX49,"FD252")="#N/A FIELD NOT APPLICABLE")," ", _xll.BDP($AX49,"FD252")/100)</f>
        <v>0</v>
      </c>
      <c r="AL49" s="25" cm="1">
        <f t="array" ref="AL49">IF(OR(_xll.BDP($AX49,"FD015")="#N/A N/A",_xll.BDP($AX49,"FD015")="#N/A FIELD NOT APPLICABLE")," ", _xll.BDP($AX49,"FD015")/100)</f>
        <v>7.4000000000000003E-3</v>
      </c>
      <c r="AM49" s="25" cm="1">
        <f t="array" ref="AM49">IF(OR(_xll.BDP($AX49,"FD138")="#N/A N/A",_xll.BDP($AX49,"FD138")="#N/A FIELD NOT APPLICABLE")," ", _xll.BDP($AX49,"FD138")/100)</f>
        <v>7.4000000000000003E-3</v>
      </c>
      <c r="AN49" s="36" cm="1">
        <f t="array" ref="AN49">IF(OR(_xll.BDP($AX49,"FD009")="#N/A N/A",_xll.BDP($AX49,"FD009")="#N/A FIELD NOT APPLICABLE")," ", _xll.BDP($AX49,"FD009")/100)</f>
        <v>0</v>
      </c>
      <c r="AO49" s="25" cm="1">
        <f t="array" ref="AO49">IF(OR(_xll.BDP($AX49,"RK512")="#N/A N/A",_xll.BDP($AX49,"RK512")="#N/A FIELD NOT APPLICABLE")," ", _xll.BDP($AX49,"RK512")/100)</f>
        <v>1.0980900526046753E-2</v>
      </c>
      <c r="AP49" s="25" cm="1">
        <f t="array" ref="AP49">IF(OR(_xll.BDP($AX49,"RK514")="#N/A N/A",_xll.BDP($AX49,"RK514")="#N/A FIELD NOT APPLICABLE")," ", _xll.BDP($AX49,"RK514")/100)</f>
        <v>1.2595499753952027E-2</v>
      </c>
      <c r="AQ49" s="25" cm="1">
        <f t="array" ref="AQ49">IF(OR(_xll.BDP($AX49,"RK521")="#N/A N/A",_xll.BDP($AX49,"RK521")="#N/A FIELD NOT APPLICABLE")," ", _xll.BDP($AX49,"RK521")/100)</f>
        <v>-4.7423001378774641E-4</v>
      </c>
      <c r="AR49" s="25" cm="1">
        <f t="array" ref="AR49">IF(OR(_xll.BDP($AX49,"RK525")="#N/A N/A",_xll.BDP($AX49,"RK525")="#N/A FIELD NOT APPLICABLE")," ", _xll.BDP($AX49,"RK525")/100)</f>
        <v>9.208210110664368E-3</v>
      </c>
      <c r="AS49" s="25" cm="1">
        <f t="array" ref="AS49">IF(OR(_xll.BDP($AX49,"RK524")="#N/A N/A",_xll.BDP($AX49,"RK524")="#N/A FIELD NOT APPLICABLE")," ", _xll.BDP($AX49,"RK524")/100)</f>
        <v>5.1196999847888944E-4</v>
      </c>
      <c r="AT49" s="25" t="str" cm="1">
        <f t="array" ref="AT49">IF(OR(_xll.BDP($AX49,"FD183")="#N/A N/A",_xll.BDP($AX49,"FD183")="#N/A FIELD NOT APPLICABLE")," ", _xll.BDP($AX49,"FD183"))</f>
        <v>USD INC</v>
      </c>
      <c r="AU49" s="25" t="str" cm="1">
        <f t="array" ref="AU49">IF(OR(_xll.BDP($AX49,"DY997")="#N/A N/A",_xll.BDP($AX49,"DY997")="#N/A FIELD NOT APPLICABLE")," ", _xll.BDP($AX49,"DY997"))</f>
        <v xml:space="preserve"> </v>
      </c>
      <c r="AV49" s="25" t="str" cm="1">
        <f t="array" ref="AV49">IF(OR(_xll.BDP($AX49,"DY784")="#N/A N/A",_xll.BDP($AX49,"DY784")="#N/A FIELD NOT APPLICABLE")," ", _xll.BDP($AX49,"DY784"))</f>
        <v xml:space="preserve"> </v>
      </c>
      <c r="AW49" s="22" t="str">
        <f t="shared" si="14"/>
        <v>N</v>
      </c>
      <c r="AX49" s="22" t="str">
        <f t="shared" si="15"/>
        <v>FXI US Equity</v>
      </c>
      <c r="BC49" s="17" t="str" cm="1">
        <f t="array" ref="BC49">_xll.BDP(AX49,"ID005")</f>
        <v>US4642871846</v>
      </c>
      <c r="BD49" s="17">
        <v>0.65</v>
      </c>
      <c r="BE49" s="18">
        <v>3</v>
      </c>
      <c r="BF49" s="37">
        <v>45337</v>
      </c>
      <c r="BG49" s="20">
        <v>1.0000000000107532</v>
      </c>
    </row>
    <row r="50" spans="1:59" s="3" customFormat="1" ht="14.45" customHeight="1" x14ac:dyDescent="0.25">
      <c r="A50" s="49" t="s">
        <v>241</v>
      </c>
      <c r="B50" s="49" t="s">
        <v>276</v>
      </c>
      <c r="C50" s="49" t="s">
        <v>277</v>
      </c>
      <c r="D50" s="49" t="s">
        <v>240</v>
      </c>
      <c r="E50" s="22" t="str">
        <f>_xll.BDP(AX50,"SECURITY NAME")</f>
        <v>iShares China Large-Cap ETF</v>
      </c>
      <c r="F50" s="22" t="str">
        <f>_xll.BDP(AX50,"CRNCY")</f>
        <v>USD</v>
      </c>
      <c r="G50" s="23" t="s">
        <v>203</v>
      </c>
      <c r="H50" s="22" t="str" cm="1">
        <f t="array" ref="H50">IF(OR(_xll.BDP($AX50,"FD120")="#N/A N/A",_xll.BDP($AX50,"FD120")="#N/A FIELD NOT APPLICABLE")," ",_xll.BDP($AX50,"FD120"))</f>
        <v>China</v>
      </c>
      <c r="I50" s="22" t="str" cm="1">
        <f t="array" ref="I50">IF(OR(_xll.BDP($AX50,"FD116")="#N/A N/A",_xll.BDP($AX50,"FD116")="#N/A FIELD NOT APPLICABLE")," ",_xll.BDP($AX50,"FD116"))</f>
        <v>Blend</v>
      </c>
      <c r="J50" s="22" t="str" cm="1">
        <f t="array" ref="J50">IF(OR(_xll.BDP($AX50,"FD133")="#N/A N/A",_xll.BDP($AX50,"FD133")="#N/A FIELD NOT APPLICABLE")," ", _xll.BDP($AX50,"FD133"))</f>
        <v xml:space="preserve"> </v>
      </c>
      <c r="K50" s="34">
        <f>_xll.BDP(AX50,"FUND_ASSETS_USD")/1000</f>
        <v>5.7577778153999999</v>
      </c>
      <c r="L50" s="25">
        <f>IFERROR(_xll.BDP(AX50, "DV013")/100,0)</f>
        <v>2.6699912092960174E-2</v>
      </c>
      <c r="M50" s="25" cm="1">
        <f t="array" ref="M50">IF(OR(_xll.BDP($AX50,"PR079")="#N/A N/A",_xll.BDP($AX50,"PR079")="#N/A FIELD NOT APPLICABLE")," ", _xll.BDP($AX50,"PR079")/100)</f>
        <v>0.1100525</v>
      </c>
      <c r="N50" s="25" cm="1">
        <f t="array" ref="N50">IF(OR(_xll.BDP($AX50,"RT074")="#N/A N/A",_xll.BDP($AX50,"RT074")="#N/A FIELD NOT APPLICABLE")," ", _xll.BDP($AX50,"RT074")/100)</f>
        <v>0.33944009999999997</v>
      </c>
      <c r="O50" s="27">
        <v>3802</v>
      </c>
      <c r="P50" s="28">
        <v>32.33</v>
      </c>
      <c r="Q50" s="22" cm="1">
        <f t="array" ref="Q50">IF(OR(_xll.BDP($AX50,"PX_last")="#N/A N/A",_xll.BDP($AX50,"PX_Last")="#N/A FIELD NOT APPLICABLE")," ",IF(F50="GBP",(_xll.BDP($AX50,"PX_LAST")/100),(_xll.BDP($AX50,"PX_LAST"))))</f>
        <v>33.79</v>
      </c>
      <c r="R50" s="29">
        <f>IF(F50="USD",AA50,(((_xll.BDP(F50&amp;"USD CURNCY","PX_LAST")))*AA50))</f>
        <v>122918.65999999999</v>
      </c>
      <c r="S50" s="29">
        <f>IF(F50="USD",AB50,(((_xll.BDP(F50&amp;"USD CURNCY","PX_LAST")))*AB50))</f>
        <v>128469.58</v>
      </c>
      <c r="T50" s="12">
        <f t="shared" si="8"/>
        <v>5550.9200000000128</v>
      </c>
      <c r="U50" s="13">
        <f t="shared" si="9"/>
        <v>4.515929477265708E-2</v>
      </c>
      <c r="V50" s="13" cm="1">
        <f t="array" ref="V50">IFERROR(_xll.BDP($G50&amp;" Equity","CHG_PCT_1D")/100,"")</f>
        <v>-2.0673359999999999E-3</v>
      </c>
      <c r="W50" s="13" cm="1">
        <f t="array" ref="W50">IFERROR(_xll.BDP($G50&amp;" Equity","CHG_PCT_5D")/100,"")</f>
        <v>-9.3814129999999999E-3</v>
      </c>
      <c r="X50" s="13" t="e">
        <f>S50/#REF!</f>
        <v>#REF!</v>
      </c>
      <c r="Y50" s="29">
        <f t="shared" si="10"/>
        <v>3430.1264926195145</v>
      </c>
      <c r="Z50" s="29">
        <f t="shared" si="11"/>
        <v>128469.58</v>
      </c>
      <c r="AA50" s="29">
        <f t="shared" si="12"/>
        <v>122918.65999999999</v>
      </c>
      <c r="AB50" s="29">
        <f t="shared" si="13"/>
        <v>128469.58</v>
      </c>
      <c r="AC50" s="25" t="str" cm="1">
        <f t="array" ref="AC50">IF(OR(_xll.BDP($AX50,"EX028")="#N/A N/A",_xll.BDP($AX50,"EX028")="#N/A FIELD NOT APPLICABLE")," ", _xll.BDP($AX50,"EX028"))</f>
        <v>Fund</v>
      </c>
      <c r="AD50" s="35" t="str" cm="1">
        <f t="array" ref="AD50">IF(OR(_xll.BDP($AX50,"FD121")="#N/A N/A",_xll.BDP($AX50,"FD121")="#N/A FIELD NOT APPLICABLE")," ", _xll.BDP($AX50,"FD121"))</f>
        <v>Equity</v>
      </c>
      <c r="AE50" s="25" t="str" cm="1">
        <f t="array" ref="AE50">IF(OR(_xll.BDP($AX50,"FD118")="#N/A N/A",_xll.BDP($AX50,"FD118")="#N/A FIELD NOT APPLICABLE")," ", _xll.BDP($AX50,"FD118"))</f>
        <v>ETF</v>
      </c>
      <c r="AF50" s="22" t="str" cm="1">
        <f t="array" ref="AF50">IF(OR(_xll.BDP($AX50,"FD114")="#N/A N/A",_xll.BDP($AX50,"FD114")="#N/A FIELD NOT APPLICABLE")," ", _xll.BDP($AX50,"FD114"))</f>
        <v xml:space="preserve"> </v>
      </c>
      <c r="AG50" s="22" t="str" cm="1">
        <f t="array" ref="AG50">IF(OR(_xll.BDP($AX50,"FD003")="#N/A N/A",_xll.BDP($AX50,"FD003")="#N/A FIELD NOT APPLICABLE")," ", _xll.BDP($AX50,"FD003"))</f>
        <v>08/10/2004</v>
      </c>
      <c r="AH50" s="32" cm="1">
        <f t="array" ref="AH50">IF(OR(_xll.BDP($AX50,"PR061")="#N/A N/A",_xll.BDP($AX50,"PR061")="#N/A FIELD NOT APPLICABLE")," ", _xll.BDP($AX50,"PR061")/100)</f>
        <v>-4.9240320000000004E-2</v>
      </c>
      <c r="AI50" s="25" cm="1">
        <f t="array" ref="AI50">IF(OR(_xll.BDP($AX50,"RT075")="#N/A N/A",_xll.BDP($AX50,"RT075")="#N/A FIELD NOT APPLICABLE")," ", _xll.BDP($AX50,"RT075")/100)</f>
        <v>5.562019E-2</v>
      </c>
      <c r="AJ50" s="25" cm="1">
        <f t="array" ref="AJ50">IF(OR(_xll.BDP($AX50,"RT076")="#N/A N/A",_xll.BDP($AX50,"RT076")="#N/A FIELD NOT APPLICABLE")," ", _xll.BDP($AX50,"RT076")/100)</f>
        <v>2.9419849999999998E-3</v>
      </c>
      <c r="AK50" s="25" cm="1">
        <f t="array" ref="AK50">IF(OR(_xll.BDP($AX50,"FD252")="#N/A N/A",_xll.BDP($AX50,"FD252")="#N/A FIELD NOT APPLICABLE")," ", _xll.BDP($AX50,"FD252")/100)</f>
        <v>0</v>
      </c>
      <c r="AL50" s="25" cm="1">
        <f t="array" ref="AL50">IF(OR(_xll.BDP($AX50,"FD015")="#N/A N/A",_xll.BDP($AX50,"FD015")="#N/A FIELD NOT APPLICABLE")," ", _xll.BDP($AX50,"FD015")/100)</f>
        <v>7.4000000000000003E-3</v>
      </c>
      <c r="AM50" s="25" cm="1">
        <f t="array" ref="AM50">IF(OR(_xll.BDP($AX50,"FD138")="#N/A N/A",_xll.BDP($AX50,"FD138")="#N/A FIELD NOT APPLICABLE")," ", _xll.BDP($AX50,"FD138")/100)</f>
        <v>7.4000000000000003E-3</v>
      </c>
      <c r="AN50" s="36" cm="1">
        <f t="array" ref="AN50">IF(OR(_xll.BDP($AX50,"FD009")="#N/A N/A",_xll.BDP($AX50,"FD009")="#N/A FIELD NOT APPLICABLE")," ", _xll.BDP($AX50,"FD009")/100)</f>
        <v>0</v>
      </c>
      <c r="AO50" s="25" cm="1">
        <f t="array" ref="AO50">IF(OR(_xll.BDP($AX50,"RK512")="#N/A N/A",_xll.BDP($AX50,"RK512")="#N/A FIELD NOT APPLICABLE")," ", _xll.BDP($AX50,"RK512")/100)</f>
        <v>1.0980900526046753E-2</v>
      </c>
      <c r="AP50" s="25" cm="1">
        <f t="array" ref="AP50">IF(OR(_xll.BDP($AX50,"RK514")="#N/A N/A",_xll.BDP($AX50,"RK514")="#N/A FIELD NOT APPLICABLE")," ", _xll.BDP($AX50,"RK514")/100)</f>
        <v>1.2595499753952027E-2</v>
      </c>
      <c r="AQ50" s="25" cm="1">
        <f t="array" ref="AQ50">IF(OR(_xll.BDP($AX50,"RK521")="#N/A N/A",_xll.BDP($AX50,"RK521")="#N/A FIELD NOT APPLICABLE")," ", _xll.BDP($AX50,"RK521")/100)</f>
        <v>-4.7423001378774641E-4</v>
      </c>
      <c r="AR50" s="25" cm="1">
        <f t="array" ref="AR50">IF(OR(_xll.BDP($AX50,"RK525")="#N/A N/A",_xll.BDP($AX50,"RK525")="#N/A FIELD NOT APPLICABLE")," ", _xll.BDP($AX50,"RK525")/100)</f>
        <v>9.208210110664368E-3</v>
      </c>
      <c r="AS50" s="25" cm="1">
        <f t="array" ref="AS50">IF(OR(_xll.BDP($AX50,"RK524")="#N/A N/A",_xll.BDP($AX50,"RK524")="#N/A FIELD NOT APPLICABLE")," ", _xll.BDP($AX50,"RK524")/100)</f>
        <v>5.1196999847888944E-4</v>
      </c>
      <c r="AT50" s="25" t="str" cm="1">
        <f t="array" ref="AT50">IF(OR(_xll.BDP($AX50,"FD183")="#N/A N/A",_xll.BDP($AX50,"FD183")="#N/A FIELD NOT APPLICABLE")," ", _xll.BDP($AX50,"FD183"))</f>
        <v>USD INC</v>
      </c>
      <c r="AU50" s="25" t="str" cm="1">
        <f t="array" ref="AU50">IF(OR(_xll.BDP($AX50,"DY997")="#N/A N/A",_xll.BDP($AX50,"DY997")="#N/A FIELD NOT APPLICABLE")," ", _xll.BDP($AX50,"DY997"))</f>
        <v xml:space="preserve"> </v>
      </c>
      <c r="AV50" s="25" t="str" cm="1">
        <f t="array" ref="AV50">IF(OR(_xll.BDP($AX50,"DY784")="#N/A N/A",_xll.BDP($AX50,"DY784")="#N/A FIELD NOT APPLICABLE")," ", _xll.BDP($AX50,"DY784"))</f>
        <v xml:space="preserve"> </v>
      </c>
      <c r="AW50" s="22" t="str">
        <f t="shared" si="14"/>
        <v>N</v>
      </c>
      <c r="AX50" s="22" t="str">
        <f t="shared" si="15"/>
        <v>FXI US Equity</v>
      </c>
      <c r="BC50" s="17" t="str" cm="1">
        <f t="array" ref="BC50">_xll.BDP(AX50,"ID005")</f>
        <v>US4642871846</v>
      </c>
      <c r="BD50" s="17">
        <v>0.56999999999999995</v>
      </c>
      <c r="BE50" s="18">
        <v>5</v>
      </c>
      <c r="BF50" s="37">
        <v>44301</v>
      </c>
      <c r="BG50" s="20">
        <v>1.0000000000107532</v>
      </c>
    </row>
    <row r="51" spans="1:59" s="3" customFormat="1" ht="14.45" customHeight="1" x14ac:dyDescent="0.25">
      <c r="A51" s="49" t="s">
        <v>241</v>
      </c>
      <c r="B51" s="49" t="s">
        <v>238</v>
      </c>
      <c r="C51" s="49" t="s">
        <v>239</v>
      </c>
      <c r="D51" s="49" t="s">
        <v>240</v>
      </c>
      <c r="E51" s="22" t="str">
        <f>_xll.BDP(AX51,"SECURITY NAME")</f>
        <v>SPDR Bloomberg Barclays 15+ Ye</v>
      </c>
      <c r="F51" s="22" t="str">
        <f>_xll.BDP(AX51,"CRNCY")</f>
        <v>GBP</v>
      </c>
      <c r="G51" s="23" t="s">
        <v>110</v>
      </c>
      <c r="H51" s="22" t="str" cm="1">
        <f t="array" ref="H51">IF(OR(_xll.BDP($AX51,"FD120")="#N/A N/A",_xll.BDP($AX51,"FD120")="#N/A FIELD NOT APPLICABLE")," ",_xll.BDP($AX51,"FD120"))</f>
        <v>U.K.</v>
      </c>
      <c r="I51" s="22" t="str" cm="1">
        <f t="array" ref="I51">IF(OR(_xll.BDP($AX51,"FD116")="#N/A N/A",_xll.BDP($AX51,"FD116")="#N/A FIELD NOT APPLICABLE")," ",_xll.BDP($AX51,"FD116"))</f>
        <v>Government</v>
      </c>
      <c r="J51" s="22" t="str" cm="1">
        <f t="array" ref="J51">IF(OR(_xll.BDP($AX51,"FD133")="#N/A N/A",_xll.BDP($AX51,"FD133")="#N/A FIELD NOT APPLICABLE")," ", _xll.BDP($AX51,"FD133"))</f>
        <v xml:space="preserve"> </v>
      </c>
      <c r="K51" s="34">
        <f>_xll.BDP(AX51,"FUND_ASSETS_USD")/1000</f>
        <v>0.9707688000000001</v>
      </c>
      <c r="L51" s="25">
        <f>IFERROR(_xll.BDP(AX51, "DV013")/100,0)</f>
        <v>4.6519138121156954E-2</v>
      </c>
      <c r="M51" s="25" cm="1">
        <f t="array" ref="M51">IF(OR(_xll.BDP($AX51,"PR079")="#N/A N/A",_xll.BDP($AX51,"PR079")="#N/A FIELD NOT APPLICABLE")," ", _xll.BDP($AX51,"PR079")/100)</f>
        <v>-2.0716950000000001E-2</v>
      </c>
      <c r="N51" s="25" cm="1">
        <f t="array" ref="N51">IF(OR(_xll.BDP($AX51,"RT074")="#N/A N/A",_xll.BDP($AX51,"RT074")="#N/A FIELD NOT APPLICABLE")," ", _xll.BDP($AX51,"RT074")/100)</f>
        <v>-1.4243850000000001E-2</v>
      </c>
      <c r="O51" s="27">
        <v>584</v>
      </c>
      <c r="P51" s="28">
        <v>40.159999999999997</v>
      </c>
      <c r="Q51" s="22" cm="1">
        <f t="array" ref="Q51">IF(OR(_xll.BDP($AX51,"PX_last")="#N/A N/A",_xll.BDP($AX51,"PX_Last")="#N/A FIELD NOT APPLICABLE")," ",IF(F51="GBP",(_xll.BDP($AX51,"PX_LAST")),(_xll.BDP($AX51,"PX_LAST"))))</f>
        <v>35.924999999999997</v>
      </c>
      <c r="R51" s="29">
        <f>IF(F51="USD",AA51,(((_xll.BDP(F51&amp;"USD CURNCY","PX_LAST")))*AA51))</f>
        <v>31218.873983999998</v>
      </c>
      <c r="S51" s="29">
        <f>IF(F51="USD",AB51,(((_xll.BDP(F51&amp;"USD CURNCY","PX_LAST")))*AB51))</f>
        <v>27926.744219999997</v>
      </c>
      <c r="T51" s="12">
        <f t="shared" si="8"/>
        <v>-3292.1297640000012</v>
      </c>
      <c r="U51" s="13">
        <f t="shared" si="9"/>
        <v>-0.10545318725099606</v>
      </c>
      <c r="V51" s="13" cm="1">
        <f t="array" ref="V51">IFERROR(_xll.BDP($G51&amp;" Equity","CHG_PCT_1D")/100,"")</f>
        <v>-7.5966849999999997E-3</v>
      </c>
      <c r="W51" s="13" cm="1">
        <f t="array" ref="W51">IFERROR(_xll.BDP($G51&amp;" Equity","CHG_PCT_5D")/100,"")</f>
        <v>-1.5286269999999999E-3</v>
      </c>
      <c r="X51" s="13" t="e">
        <f>S51/$H$62</f>
        <v>#VALUE!</v>
      </c>
      <c r="Y51" s="29">
        <f t="shared" si="10"/>
        <v>1299.1280716444014</v>
      </c>
      <c r="Z51" s="29">
        <f t="shared" si="11"/>
        <v>27926.744219999997</v>
      </c>
      <c r="AA51" s="29">
        <f t="shared" si="12"/>
        <v>23453.439999999999</v>
      </c>
      <c r="AB51" s="29">
        <f t="shared" si="13"/>
        <v>20980.199999999997</v>
      </c>
      <c r="AC51" s="25" t="str" cm="1">
        <f t="array" ref="AC51">IF(OR(_xll.BDP($AX51,"EX028")="#N/A N/A",_xll.BDP($AX51,"EX028")="#N/A FIELD NOT APPLICABLE")," ", _xll.BDP($AX51,"EX028"))</f>
        <v>Fund</v>
      </c>
      <c r="AD51" s="35" t="str" cm="1">
        <f t="array" ref="AD51">IF(OR(_xll.BDP($AX51,"FD121")="#N/A N/A",_xll.BDP($AX51,"FD121")="#N/A FIELD NOT APPLICABLE")," ", _xll.BDP($AX51,"FD121"))</f>
        <v>Fixed Income</v>
      </c>
      <c r="AE51" s="25" t="str" cm="1">
        <f t="array" ref="AE51">IF(OR(_xll.BDP($AX51,"FD118")="#N/A N/A",_xll.BDP($AX51,"FD118")="#N/A FIELD NOT APPLICABLE")," ", _xll.BDP($AX51,"FD118"))</f>
        <v>ETF</v>
      </c>
      <c r="AF51" s="22" t="str" cm="1">
        <f t="array" ref="AF51">IF(OR(_xll.BDP($AX51,"FD114")="#N/A N/A",_xll.BDP($AX51,"FD114")="#N/A FIELD NOT APPLICABLE")," ", _xll.BDP($AX51,"FD114"))</f>
        <v>Investment Grade BBB or higher</v>
      </c>
      <c r="AG51" s="22" t="str" cm="1">
        <f t="array" ref="AG51">IF(OR(_xll.BDP($AX51,"FD003")="#N/A N/A",_xll.BDP($AX51,"FD003")="#N/A FIELD NOT APPLICABLE")," ", _xll.BDP($AX51,"FD003"))</f>
        <v>17/05/2012</v>
      </c>
      <c r="AH51" s="32" cm="1">
        <f t="array" ref="AH51">IF(OR(_xll.BDP($AX51,"PR061")="#N/A N/A",_xll.BDP($AX51,"PR061")="#N/A FIELD NOT APPLICABLE")," ", _xll.BDP($AX51,"PR061")/100)</f>
        <v>8.4210529999999995E-3</v>
      </c>
      <c r="AI51" s="25" cm="1">
        <f t="array" ref="AI51">IF(OR(_xll.BDP($AX51,"RT075")="#N/A N/A",_xll.BDP($AX51,"RT075")="#N/A FIELD NOT APPLICABLE")," ", _xll.BDP($AX51,"RT075")/100)</f>
        <v>-0.1328365</v>
      </c>
      <c r="AJ51" s="25" cm="1">
        <f t="array" ref="AJ51">IF(OR(_xll.BDP($AX51,"RT076")="#N/A N/A",_xll.BDP($AX51,"RT076")="#N/A FIELD NOT APPLICABLE")," ", _xll.BDP($AX51,"RT076")/100)</f>
        <v>-0.13283810000000001</v>
      </c>
      <c r="AK51" s="25" t="str" cm="1">
        <f t="array" ref="AK51">IF(OR(_xll.BDP($AX51,"FD252")="#N/A N/A",_xll.BDP($AX51,"FD252")="#N/A FIELD NOT APPLICABLE")," ", _xll.BDP($AX51,"FD252")/100)</f>
        <v xml:space="preserve"> </v>
      </c>
      <c r="AL51" s="25" cm="1">
        <f t="array" ref="AL51">IF(OR(_xll.BDP($AX51,"FD015")="#N/A N/A",_xll.BDP($AX51,"FD015")="#N/A FIELD NOT APPLICABLE")," ", _xll.BDP($AX51,"FD015")/100)</f>
        <v>1.5E-3</v>
      </c>
      <c r="AM51" s="25" cm="1">
        <f t="array" ref="AM51">IF(OR(_xll.BDP($AX51,"FD138")="#N/A N/A",_xll.BDP($AX51,"FD138")="#N/A FIELD NOT APPLICABLE")," ", _xll.BDP($AX51,"FD138")/100)</f>
        <v>1.5E-3</v>
      </c>
      <c r="AN51" s="36" cm="1">
        <f t="array" ref="AN51">IF(OR(_xll.BDP($AX51,"FD009")="#N/A N/A",_xll.BDP($AX51,"FD009")="#N/A FIELD NOT APPLICABLE")," ", _xll.BDP($AX51,"FD009")/100)</f>
        <v>0</v>
      </c>
      <c r="AO51" s="25" cm="1">
        <f t="array" ref="AO51">IF(OR(_xll.BDP($AX51,"RK512")="#N/A N/A",_xll.BDP($AX51,"RK512")="#N/A FIELD NOT APPLICABLE")," ", _xll.BDP($AX51,"RK512")/100)</f>
        <v>-4.6805200000000005E-3</v>
      </c>
      <c r="AP51" s="25" cm="1">
        <f t="array" ref="AP51">IF(OR(_xll.BDP($AX51,"RK514")="#N/A N/A",_xll.BDP($AX51,"RK514")="#N/A FIELD NOT APPLICABLE")," ", _xll.BDP($AX51,"RK514")/100)</f>
        <v>-4.6537599999999998E-3</v>
      </c>
      <c r="AQ51" s="25" cm="1">
        <f t="array" ref="AQ51">IF(OR(_xll.BDP($AX51,"RK521")="#N/A N/A",_xll.BDP($AX51,"RK521")="#N/A FIELD NOT APPLICABLE")," ", _xll.BDP($AX51,"RK521")/100)</f>
        <v>-1.68103E-3</v>
      </c>
      <c r="AR51" s="25" cm="1">
        <f t="array" ref="AR51">IF(OR(_xll.BDP($AX51,"RK525")="#N/A N/A",_xll.BDP($AX51,"RK525")="#N/A FIELD NOT APPLICABLE")," ", _xll.BDP($AX51,"RK525")/100)</f>
        <v>9.7709300000000006E-3</v>
      </c>
      <c r="AS51" s="25" cm="1">
        <f t="array" ref="AS51">IF(OR(_xll.BDP($AX51,"RK524")="#N/A N/A",_xll.BDP($AX51,"RK524")="#N/A FIELD NOT APPLICABLE")," ", _xll.BDP($AX51,"RK524")/100)</f>
        <v>-3.5129999999999997E-5</v>
      </c>
      <c r="AT51" s="25" t="str" cm="1">
        <f t="array" ref="AT51">IF(OR(_xll.BDP($AX51,"FD183")="#N/A N/A",_xll.BDP($AX51,"FD183")="#N/A FIELD NOT APPLICABLE")," ", _xll.BDP($AX51,"FD183"))</f>
        <v xml:space="preserve"> </v>
      </c>
      <c r="AU51" s="25" t="str" cm="1">
        <f t="array" ref="AU51">IF(OR(_xll.BDP($AX51,"DY997")="#N/A N/A",_xll.BDP($AX51,"DY997")="#N/A FIELD NOT APPLICABLE")," ", _xll.BDP($AX51,"DY997"))</f>
        <v xml:space="preserve"> </v>
      </c>
      <c r="AV51" s="25" t="str" cm="1">
        <f t="array" ref="AV51">IF(OR(_xll.BDP($AX51,"DY784")="#N/A N/A",_xll.BDP($AX51,"DY784")="#N/A FIELD NOT APPLICABLE")," ", _xll.BDP($AX51,"DY784"))</f>
        <v xml:space="preserve"> </v>
      </c>
      <c r="AW51" s="22" t="str">
        <f t="shared" si="14"/>
        <v>N</v>
      </c>
      <c r="AX51" s="22" t="str">
        <f t="shared" si="15"/>
        <v>GLTL LN Equity</v>
      </c>
      <c r="BC51" s="17" t="str" cm="1">
        <f t="array" ref="BC51">_xll.BDP(AX51,"ID005")</f>
        <v>IE00B6YX5L24</v>
      </c>
      <c r="BD51" s="17">
        <v>0.85</v>
      </c>
      <c r="BE51" s="18">
        <v>3</v>
      </c>
      <c r="BF51" s="37">
        <v>45420</v>
      </c>
      <c r="BG51" s="20">
        <v>1.0000000000107532</v>
      </c>
    </row>
    <row r="52" spans="1:59" s="3" customFormat="1" ht="14.45" customHeight="1" x14ac:dyDescent="0.25">
      <c r="A52" s="49" t="s">
        <v>241</v>
      </c>
      <c r="B52" s="49" t="s">
        <v>249</v>
      </c>
      <c r="C52" s="49" t="s">
        <v>250</v>
      </c>
      <c r="D52" s="49" t="s">
        <v>240</v>
      </c>
      <c r="E52" s="22" t="str">
        <f>_xll.BDP(AX52,"SECURITY NAME")</f>
        <v>SPDR Bloomberg Barclays 15+ Ye</v>
      </c>
      <c r="F52" s="22" t="str">
        <f>_xll.BDP(AX52,"CRNCY")</f>
        <v>GBP</v>
      </c>
      <c r="G52" s="23" t="s">
        <v>110</v>
      </c>
      <c r="H52" s="22" t="str" cm="1">
        <f t="array" ref="H52">IF(OR(_xll.BDP($AX52,"FD120")="#N/A N/A",_xll.BDP($AX52,"FD120")="#N/A FIELD NOT APPLICABLE")," ",_xll.BDP($AX52,"FD120"))</f>
        <v>U.K.</v>
      </c>
      <c r="I52" s="22" t="str" cm="1">
        <f t="array" ref="I52">IF(OR(_xll.BDP($AX52,"FD116")="#N/A N/A",_xll.BDP($AX52,"FD116")="#N/A FIELD NOT APPLICABLE")," ",_xll.BDP($AX52,"FD116"))</f>
        <v>Government</v>
      </c>
      <c r="J52" s="22" t="str" cm="1">
        <f t="array" ref="J52">IF(OR(_xll.BDP($AX52,"FD133")="#N/A N/A",_xll.BDP($AX52,"FD133")="#N/A FIELD NOT APPLICABLE")," ", _xll.BDP($AX52,"FD133"))</f>
        <v xml:space="preserve"> </v>
      </c>
      <c r="K52" s="34">
        <f>_xll.BDP(AX52,"FUND_ASSETS_USD")/1000</f>
        <v>0.9707688000000001</v>
      </c>
      <c r="L52" s="25">
        <f>IFERROR(_xll.BDP(AX52, "DV013")/100,0)</f>
        <v>4.6519138121156954E-2</v>
      </c>
      <c r="M52" s="25" cm="1">
        <f t="array" ref="M52">IF(OR(_xll.BDP($AX52,"PR079")="#N/A N/A",_xll.BDP($AX52,"PR079")="#N/A FIELD NOT APPLICABLE")," ", _xll.BDP($AX52,"PR079")/100)</f>
        <v>-2.0716950000000001E-2</v>
      </c>
      <c r="N52" s="25" cm="1">
        <f t="array" ref="N52">IF(OR(_xll.BDP($AX52,"RT074")="#N/A N/A",_xll.BDP($AX52,"RT074")="#N/A FIELD NOT APPLICABLE")," ", _xll.BDP($AX52,"RT074")/100)</f>
        <v>-1.4243850000000001E-2</v>
      </c>
      <c r="O52" s="27">
        <v>1170</v>
      </c>
      <c r="P52" s="28">
        <v>39.91057</v>
      </c>
      <c r="Q52" s="22" cm="1">
        <f t="array" ref="Q52">IF(OR(_xll.BDP($AX52,"PX_last")="#N/A N/A",_xll.BDP($AX52,"PX_Last")="#N/A FIELD NOT APPLICABLE")," ",IF(F52="GBP",(_xll.BDP($AX52,"PX_LAST")),(_xll.BDP($AX52,"PX_LAST"))))</f>
        <v>35.924999999999997</v>
      </c>
      <c r="R52" s="29">
        <f>IF(F52="USD",AA52,(((_xll.BDP(F52&amp;"USD CURNCY","PX_LAST")))*AA52))</f>
        <v>62156.202880589997</v>
      </c>
      <c r="S52" s="29">
        <f>IF(F52="USD",AB52,(((_xll.BDP(F52&amp;"USD CURNCY","PX_LAST")))*AB52))</f>
        <v>55949.127974999996</v>
      </c>
      <c r="T52" s="12">
        <f t="shared" si="8"/>
        <v>-6207.0749055900014</v>
      </c>
      <c r="U52" s="13">
        <f t="shared" si="9"/>
        <v>-9.9862517623777389E-2</v>
      </c>
      <c r="V52" s="13" cm="1">
        <f t="array" ref="V52">IFERROR(_xll.BDP($G52&amp;" Equity","CHG_PCT_1D")/100,"")</f>
        <v>-7.5966849999999997E-3</v>
      </c>
      <c r="W52" s="13" cm="1">
        <f t="array" ref="W52">IFERROR(_xll.BDP($G52&amp;" Equity","CHG_PCT_5D")/100,"")</f>
        <v>-1.5286269999999999E-3</v>
      </c>
      <c r="X52" s="13" t="e">
        <f>S52/$H$62</f>
        <v>#VALUE!</v>
      </c>
      <c r="Y52" s="29">
        <f t="shared" si="10"/>
        <v>2602.7052120273111</v>
      </c>
      <c r="Z52" s="29">
        <f t="shared" si="11"/>
        <v>55949.127974999996</v>
      </c>
      <c r="AA52" s="29">
        <f t="shared" si="12"/>
        <v>46695.366900000001</v>
      </c>
      <c r="AB52" s="29">
        <f t="shared" si="13"/>
        <v>42032.25</v>
      </c>
      <c r="AC52" s="25" t="str" cm="1">
        <f t="array" ref="AC52">IF(OR(_xll.BDP($AX52,"EX028")="#N/A N/A",_xll.BDP($AX52,"EX028")="#N/A FIELD NOT APPLICABLE")," ", _xll.BDP($AX52,"EX028"))</f>
        <v>Fund</v>
      </c>
      <c r="AD52" s="35" t="str" cm="1">
        <f t="array" ref="AD52">IF(OR(_xll.BDP($AX52,"FD121")="#N/A N/A",_xll.BDP($AX52,"FD121")="#N/A FIELD NOT APPLICABLE")," ", _xll.BDP($AX52,"FD121"))</f>
        <v>Fixed Income</v>
      </c>
      <c r="AE52" s="25" t="str" cm="1">
        <f t="array" ref="AE52">IF(OR(_xll.BDP($AX52,"FD118")="#N/A N/A",_xll.BDP($AX52,"FD118")="#N/A FIELD NOT APPLICABLE")," ", _xll.BDP($AX52,"FD118"))</f>
        <v>ETF</v>
      </c>
      <c r="AF52" s="22" t="str" cm="1">
        <f t="array" ref="AF52">IF(OR(_xll.BDP($AX52,"FD114")="#N/A N/A",_xll.BDP($AX52,"FD114")="#N/A FIELD NOT APPLICABLE")," ", _xll.BDP($AX52,"FD114"))</f>
        <v>Investment Grade BBB or higher</v>
      </c>
      <c r="AG52" s="22" t="str" cm="1">
        <f t="array" ref="AG52">IF(OR(_xll.BDP($AX52,"FD003")="#N/A N/A",_xll.BDP($AX52,"FD003")="#N/A FIELD NOT APPLICABLE")," ", _xll.BDP($AX52,"FD003"))</f>
        <v>17/05/2012</v>
      </c>
      <c r="AH52" s="32" cm="1">
        <f t="array" ref="AH52">IF(OR(_xll.BDP($AX52,"PR061")="#N/A N/A",_xll.BDP($AX52,"PR061")="#N/A FIELD NOT APPLICABLE")," ", _xll.BDP($AX52,"PR061")/100)</f>
        <v>8.4210529999999995E-3</v>
      </c>
      <c r="AI52" s="25" cm="1">
        <f t="array" ref="AI52">IF(OR(_xll.BDP($AX52,"RT075")="#N/A N/A",_xll.BDP($AX52,"RT075")="#N/A FIELD NOT APPLICABLE")," ", _xll.BDP($AX52,"RT075")/100)</f>
        <v>-0.1328365</v>
      </c>
      <c r="AJ52" s="25" cm="1">
        <f t="array" ref="AJ52">IF(OR(_xll.BDP($AX52,"RT076")="#N/A N/A",_xll.BDP($AX52,"RT076")="#N/A FIELD NOT APPLICABLE")," ", _xll.BDP($AX52,"RT076")/100)</f>
        <v>-0.13283810000000001</v>
      </c>
      <c r="AK52" s="25" t="str" cm="1">
        <f t="array" ref="AK52">IF(OR(_xll.BDP($AX52,"FD252")="#N/A N/A",_xll.BDP($AX52,"FD252")="#N/A FIELD NOT APPLICABLE")," ", _xll.BDP($AX52,"FD252")/100)</f>
        <v xml:space="preserve"> </v>
      </c>
      <c r="AL52" s="25" cm="1">
        <f t="array" ref="AL52">IF(OR(_xll.BDP($AX52,"FD015")="#N/A N/A",_xll.BDP($AX52,"FD015")="#N/A FIELD NOT APPLICABLE")," ", _xll.BDP($AX52,"FD015")/100)</f>
        <v>1.5E-3</v>
      </c>
      <c r="AM52" s="25" cm="1">
        <f t="array" ref="AM52">IF(OR(_xll.BDP($AX52,"FD138")="#N/A N/A",_xll.BDP($AX52,"FD138")="#N/A FIELD NOT APPLICABLE")," ", _xll.BDP($AX52,"FD138")/100)</f>
        <v>1.5E-3</v>
      </c>
      <c r="AN52" s="36" cm="1">
        <f t="array" ref="AN52">IF(OR(_xll.BDP($AX52,"FD009")="#N/A N/A",_xll.BDP($AX52,"FD009")="#N/A FIELD NOT APPLICABLE")," ", _xll.BDP($AX52,"FD009")/100)</f>
        <v>0</v>
      </c>
      <c r="AO52" s="25" cm="1">
        <f t="array" ref="AO52">IF(OR(_xll.BDP($AX52,"RK512")="#N/A N/A",_xll.BDP($AX52,"RK512")="#N/A FIELD NOT APPLICABLE")," ", _xll.BDP($AX52,"RK512")/100)</f>
        <v>-4.6805200000000005E-3</v>
      </c>
      <c r="AP52" s="25" cm="1">
        <f t="array" ref="AP52">IF(OR(_xll.BDP($AX52,"RK514")="#N/A N/A",_xll.BDP($AX52,"RK514")="#N/A FIELD NOT APPLICABLE")," ", _xll.BDP($AX52,"RK514")/100)</f>
        <v>-4.6537599999999998E-3</v>
      </c>
      <c r="AQ52" s="25" cm="1">
        <f t="array" ref="AQ52">IF(OR(_xll.BDP($AX52,"RK521")="#N/A N/A",_xll.BDP($AX52,"RK521")="#N/A FIELD NOT APPLICABLE")," ", _xll.BDP($AX52,"RK521")/100)</f>
        <v>-1.68103E-3</v>
      </c>
      <c r="AR52" s="25" cm="1">
        <f t="array" ref="AR52">IF(OR(_xll.BDP($AX52,"RK525")="#N/A N/A",_xll.BDP($AX52,"RK525")="#N/A FIELD NOT APPLICABLE")," ", _xll.BDP($AX52,"RK525")/100)</f>
        <v>9.7709300000000006E-3</v>
      </c>
      <c r="AS52" s="25" cm="1">
        <f t="array" ref="AS52">IF(OR(_xll.BDP($AX52,"RK524")="#N/A N/A",_xll.BDP($AX52,"RK524")="#N/A FIELD NOT APPLICABLE")," ", _xll.BDP($AX52,"RK524")/100)</f>
        <v>-3.5129999999999997E-5</v>
      </c>
      <c r="AT52" s="25" t="str" cm="1">
        <f t="array" ref="AT52">IF(OR(_xll.BDP($AX52,"FD183")="#N/A N/A",_xll.BDP($AX52,"FD183")="#N/A FIELD NOT APPLICABLE")," ", _xll.BDP($AX52,"FD183"))</f>
        <v xml:space="preserve"> </v>
      </c>
      <c r="AU52" s="25" t="str" cm="1">
        <f t="array" ref="AU52">IF(OR(_xll.BDP($AX52,"DY997")="#N/A N/A",_xll.BDP($AX52,"DY997")="#N/A FIELD NOT APPLICABLE")," ", _xll.BDP($AX52,"DY997"))</f>
        <v xml:space="preserve"> </v>
      </c>
      <c r="AV52" s="25" t="str" cm="1">
        <f t="array" ref="AV52">IF(OR(_xll.BDP($AX52,"DY784")="#N/A N/A",_xll.BDP($AX52,"DY784")="#N/A FIELD NOT APPLICABLE")," ", _xll.BDP($AX52,"DY784"))</f>
        <v xml:space="preserve"> </v>
      </c>
      <c r="AW52" s="22" t="str">
        <f t="shared" si="14"/>
        <v>N</v>
      </c>
      <c r="AX52" s="22" t="str">
        <f t="shared" si="15"/>
        <v>GLTL LN Equity</v>
      </c>
      <c r="BC52" s="17" t="str" cm="1">
        <f t="array" ref="BC52">_xll.BDP(AX52,"ID005")</f>
        <v>IE00B6YX5L24</v>
      </c>
      <c r="BD52" s="17">
        <v>0.87</v>
      </c>
      <c r="BE52" s="18">
        <v>3</v>
      </c>
      <c r="BF52" s="37">
        <v>45420</v>
      </c>
      <c r="BG52" s="20">
        <v>1.0000000000107532</v>
      </c>
    </row>
    <row r="53" spans="1:59" s="3" customFormat="1" ht="14.45" customHeight="1" x14ac:dyDescent="0.25">
      <c r="A53" s="49" t="s">
        <v>241</v>
      </c>
      <c r="B53" s="49" t="s">
        <v>251</v>
      </c>
      <c r="C53" s="49" t="s">
        <v>252</v>
      </c>
      <c r="D53" s="49" t="s">
        <v>240</v>
      </c>
      <c r="E53" s="22" t="str">
        <f>_xll.BDP(AX53,"SECURITY NAME")</f>
        <v>SPDR Bloomberg Barclays 15+ Ye</v>
      </c>
      <c r="F53" s="22" t="str">
        <f>_xll.BDP(AX53,"CRNCY")</f>
        <v>GBP</v>
      </c>
      <c r="G53" s="23" t="s">
        <v>110</v>
      </c>
      <c r="H53" s="22" t="str" cm="1">
        <f t="array" ref="H53">IF(OR(_xll.BDP($AX53,"FD120")="#N/A N/A",_xll.BDP($AX53,"FD120")="#N/A FIELD NOT APPLICABLE")," ",_xll.BDP($AX53,"FD120"))</f>
        <v>U.K.</v>
      </c>
      <c r="I53" s="22" t="str" cm="1">
        <f t="array" ref="I53">IF(OR(_xll.BDP($AX53,"FD116")="#N/A N/A",_xll.BDP($AX53,"FD116")="#N/A FIELD NOT APPLICABLE")," ",_xll.BDP($AX53,"FD116"))</f>
        <v>Government</v>
      </c>
      <c r="J53" s="22" t="str" cm="1">
        <f t="array" ref="J53">IF(OR(_xll.BDP($AX53,"FD133")="#N/A N/A",_xll.BDP($AX53,"FD133")="#N/A FIELD NOT APPLICABLE")," ", _xll.BDP($AX53,"FD133"))</f>
        <v xml:space="preserve"> </v>
      </c>
      <c r="K53" s="34">
        <f>_xll.BDP(AX53,"FUND_ASSETS_USD")/1000</f>
        <v>0.9707688000000001</v>
      </c>
      <c r="L53" s="25">
        <f>IFERROR(_xll.BDP(AX53, "DV013")/100,0)</f>
        <v>4.6519138121156954E-2</v>
      </c>
      <c r="M53" s="25" cm="1">
        <f t="array" ref="M53">IF(OR(_xll.BDP($AX53,"PR079")="#N/A N/A",_xll.BDP($AX53,"PR079")="#N/A FIELD NOT APPLICABLE")," ", _xll.BDP($AX53,"PR079")/100)</f>
        <v>-2.0716950000000001E-2</v>
      </c>
      <c r="N53" s="25" cm="1">
        <f t="array" ref="N53">IF(OR(_xll.BDP($AX53,"RT074")="#N/A N/A",_xll.BDP($AX53,"RT074")="#N/A FIELD NOT APPLICABLE")," ", _xll.BDP($AX53,"RT074")/100)</f>
        <v>-1.4243850000000001E-2</v>
      </c>
      <c r="O53" s="27">
        <v>1365</v>
      </c>
      <c r="P53" s="28">
        <v>39.910580000000003</v>
      </c>
      <c r="Q53" s="22" cm="1">
        <f t="array" ref="Q53">IF(OR(_xll.BDP($AX53,"PX_last")="#N/A N/A",_xll.BDP($AX53,"PX_Last")="#N/A FIELD NOT APPLICABLE")," ",IF(F53="GBP",(_xll.BDP($AX53,"PX_LAST")),(_xll.BDP($AX53,"PX_LAST"))))</f>
        <v>35.924999999999997</v>
      </c>
      <c r="R53" s="29">
        <f>IF(F53="USD",AA53,(((_xll.BDP(F53&amp;"USD CURNCY","PX_LAST")))*AA53))</f>
        <v>72515.588196869998</v>
      </c>
      <c r="S53" s="29">
        <f>IF(F53="USD",AB53,(((_xll.BDP(F53&amp;"USD CURNCY","PX_LAST")))*AB53))</f>
        <v>65273.98263749999</v>
      </c>
      <c r="T53" s="12">
        <f t="shared" si="8"/>
        <v>-7241.6055593700075</v>
      </c>
      <c r="U53" s="13">
        <f t="shared" si="9"/>
        <v>-9.9862743162339521E-2</v>
      </c>
      <c r="V53" s="13" cm="1">
        <f t="array" ref="V53">IFERROR(_xll.BDP($G53&amp;" Equity","CHG_PCT_1D")/100,"")</f>
        <v>-7.5966849999999997E-3</v>
      </c>
      <c r="W53" s="13" cm="1">
        <f t="array" ref="W53">IFERROR(_xll.BDP($G53&amp;" Equity","CHG_PCT_5D")/100,"")</f>
        <v>-1.5286269999999999E-3</v>
      </c>
      <c r="X53" s="13" t="e">
        <f>S53/$H$62</f>
        <v>#VALUE!</v>
      </c>
      <c r="Y53" s="29">
        <f t="shared" si="10"/>
        <v>3036.4894140318629</v>
      </c>
      <c r="Z53" s="29">
        <f t="shared" si="11"/>
        <v>65273.98263749999</v>
      </c>
      <c r="AA53" s="29">
        <f t="shared" si="12"/>
        <v>54477.941700000003</v>
      </c>
      <c r="AB53" s="29">
        <f t="shared" si="13"/>
        <v>49037.624999999993</v>
      </c>
      <c r="AC53" s="25" t="str" cm="1">
        <f t="array" ref="AC53">IF(OR(_xll.BDP($AX53,"EX028")="#N/A N/A",_xll.BDP($AX53,"EX028")="#N/A FIELD NOT APPLICABLE")," ", _xll.BDP($AX53,"EX028"))</f>
        <v>Fund</v>
      </c>
      <c r="AD53" s="35" t="str" cm="1">
        <f t="array" ref="AD53">IF(OR(_xll.BDP($AX53,"FD121")="#N/A N/A",_xll.BDP($AX53,"FD121")="#N/A FIELD NOT APPLICABLE")," ", _xll.BDP($AX53,"FD121"))</f>
        <v>Fixed Income</v>
      </c>
      <c r="AE53" s="25" t="str" cm="1">
        <f t="array" ref="AE53">IF(OR(_xll.BDP($AX53,"FD118")="#N/A N/A",_xll.BDP($AX53,"FD118")="#N/A FIELD NOT APPLICABLE")," ", _xll.BDP($AX53,"FD118"))</f>
        <v>ETF</v>
      </c>
      <c r="AF53" s="22" t="str" cm="1">
        <f t="array" ref="AF53">IF(OR(_xll.BDP($AX53,"FD114")="#N/A N/A",_xll.BDP($AX53,"FD114")="#N/A FIELD NOT APPLICABLE")," ", _xll.BDP($AX53,"FD114"))</f>
        <v>Investment Grade BBB or higher</v>
      </c>
      <c r="AG53" s="22" t="str" cm="1">
        <f t="array" ref="AG53">IF(OR(_xll.BDP($AX53,"FD003")="#N/A N/A",_xll.BDP($AX53,"FD003")="#N/A FIELD NOT APPLICABLE")," ", _xll.BDP($AX53,"FD003"))</f>
        <v>17/05/2012</v>
      </c>
      <c r="AH53" s="32" cm="1">
        <f t="array" ref="AH53">IF(OR(_xll.BDP($AX53,"PR061")="#N/A N/A",_xll.BDP($AX53,"PR061")="#N/A FIELD NOT APPLICABLE")," ", _xll.BDP($AX53,"PR061")/100)</f>
        <v>8.4210529999999995E-3</v>
      </c>
      <c r="AI53" s="25" cm="1">
        <f t="array" ref="AI53">IF(OR(_xll.BDP($AX53,"RT075")="#N/A N/A",_xll.BDP($AX53,"RT075")="#N/A FIELD NOT APPLICABLE")," ", _xll.BDP($AX53,"RT075")/100)</f>
        <v>-0.1328365</v>
      </c>
      <c r="AJ53" s="25" cm="1">
        <f t="array" ref="AJ53">IF(OR(_xll.BDP($AX53,"RT076")="#N/A N/A",_xll.BDP($AX53,"RT076")="#N/A FIELD NOT APPLICABLE")," ", _xll.BDP($AX53,"RT076")/100)</f>
        <v>-0.13283810000000001</v>
      </c>
      <c r="AK53" s="25" t="str" cm="1">
        <f t="array" ref="AK53">IF(OR(_xll.BDP($AX53,"FD252")="#N/A N/A",_xll.BDP($AX53,"FD252")="#N/A FIELD NOT APPLICABLE")," ", _xll.BDP($AX53,"FD252")/100)</f>
        <v xml:space="preserve"> </v>
      </c>
      <c r="AL53" s="25" cm="1">
        <f t="array" ref="AL53">IF(OR(_xll.BDP($AX53,"FD015")="#N/A N/A",_xll.BDP($AX53,"FD015")="#N/A FIELD NOT APPLICABLE")," ", _xll.BDP($AX53,"FD015")/100)</f>
        <v>1.5E-3</v>
      </c>
      <c r="AM53" s="25" cm="1">
        <f t="array" ref="AM53">IF(OR(_xll.BDP($AX53,"FD138")="#N/A N/A",_xll.BDP($AX53,"FD138")="#N/A FIELD NOT APPLICABLE")," ", _xll.BDP($AX53,"FD138")/100)</f>
        <v>1.5E-3</v>
      </c>
      <c r="AN53" s="36" cm="1">
        <f t="array" ref="AN53">IF(OR(_xll.BDP($AX53,"FD009")="#N/A N/A",_xll.BDP($AX53,"FD009")="#N/A FIELD NOT APPLICABLE")," ", _xll.BDP($AX53,"FD009")/100)</f>
        <v>0</v>
      </c>
      <c r="AO53" s="25" cm="1">
        <f t="array" ref="AO53">IF(OR(_xll.BDP($AX53,"RK512")="#N/A N/A",_xll.BDP($AX53,"RK512")="#N/A FIELD NOT APPLICABLE")," ", _xll.BDP($AX53,"RK512")/100)</f>
        <v>-4.6805200000000005E-3</v>
      </c>
      <c r="AP53" s="25" cm="1">
        <f t="array" ref="AP53">IF(OR(_xll.BDP($AX53,"RK514")="#N/A N/A",_xll.BDP($AX53,"RK514")="#N/A FIELD NOT APPLICABLE")," ", _xll.BDP($AX53,"RK514")/100)</f>
        <v>-4.6537599999999998E-3</v>
      </c>
      <c r="AQ53" s="25" cm="1">
        <f t="array" ref="AQ53">IF(OR(_xll.BDP($AX53,"RK521")="#N/A N/A",_xll.BDP($AX53,"RK521")="#N/A FIELD NOT APPLICABLE")," ", _xll.BDP($AX53,"RK521")/100)</f>
        <v>-1.68103E-3</v>
      </c>
      <c r="AR53" s="25" cm="1">
        <f t="array" ref="AR53">IF(OR(_xll.BDP($AX53,"RK525")="#N/A N/A",_xll.BDP($AX53,"RK525")="#N/A FIELD NOT APPLICABLE")," ", _xll.BDP($AX53,"RK525")/100)</f>
        <v>9.7709300000000006E-3</v>
      </c>
      <c r="AS53" s="25" cm="1">
        <f t="array" ref="AS53">IF(OR(_xll.BDP($AX53,"RK524")="#N/A N/A",_xll.BDP($AX53,"RK524")="#N/A FIELD NOT APPLICABLE")," ", _xll.BDP($AX53,"RK524")/100)</f>
        <v>-3.5129999999999997E-5</v>
      </c>
      <c r="AT53" s="25" t="str" cm="1">
        <f t="array" ref="AT53">IF(OR(_xll.BDP($AX53,"FD183")="#N/A N/A",_xll.BDP($AX53,"FD183")="#N/A FIELD NOT APPLICABLE")," ", _xll.BDP($AX53,"FD183"))</f>
        <v xml:space="preserve"> </v>
      </c>
      <c r="AU53" s="25" t="str" cm="1">
        <f t="array" ref="AU53">IF(OR(_xll.BDP($AX53,"DY997")="#N/A N/A",_xll.BDP($AX53,"DY997")="#N/A FIELD NOT APPLICABLE")," ", _xll.BDP($AX53,"DY997"))</f>
        <v xml:space="preserve"> </v>
      </c>
      <c r="AV53" s="25" t="str" cm="1">
        <f t="array" ref="AV53">IF(OR(_xll.BDP($AX53,"DY784")="#N/A N/A",_xll.BDP($AX53,"DY784")="#N/A FIELD NOT APPLICABLE")," ", _xll.BDP($AX53,"DY784"))</f>
        <v xml:space="preserve"> </v>
      </c>
      <c r="AW53" s="22" t="str">
        <f t="shared" si="14"/>
        <v>N</v>
      </c>
      <c r="AX53" s="22" t="str">
        <f t="shared" si="15"/>
        <v>GLTL LN Equity</v>
      </c>
      <c r="BC53" s="17" t="str" cm="1">
        <f t="array" ref="BC53">_xll.BDP(AX53,"ID005")</f>
        <v>IE00B6YX5L24</v>
      </c>
      <c r="BD53" s="17">
        <v>0.87</v>
      </c>
      <c r="BE53" s="18">
        <v>3</v>
      </c>
      <c r="BF53" s="37">
        <v>45420</v>
      </c>
      <c r="BG53" s="20">
        <v>1.0000000000107532</v>
      </c>
    </row>
    <row r="54" spans="1:59" s="3" customFormat="1" ht="14.45" customHeight="1" x14ac:dyDescent="0.25">
      <c r="A54" s="49" t="s">
        <v>241</v>
      </c>
      <c r="B54" s="49" t="s">
        <v>253</v>
      </c>
      <c r="C54" s="49" t="s">
        <v>254</v>
      </c>
      <c r="D54" s="49" t="s">
        <v>240</v>
      </c>
      <c r="E54" s="22" t="str">
        <f>_xll.BDP(AX54,"SECURITY NAME")</f>
        <v>SPDR Bloomberg Barclays 15+ Ye</v>
      </c>
      <c r="F54" s="22" t="str">
        <f>_xll.BDP(AX54,"CRNCY")</f>
        <v>GBP</v>
      </c>
      <c r="G54" s="23" t="s">
        <v>110</v>
      </c>
      <c r="H54" s="22" t="str" cm="1">
        <f t="array" ref="H54">IF(OR(_xll.BDP($AX54,"FD120")="#N/A N/A",_xll.BDP($AX54,"FD120")="#N/A FIELD NOT APPLICABLE")," ",_xll.BDP($AX54,"FD120"))</f>
        <v>U.K.</v>
      </c>
      <c r="I54" s="22" t="str" cm="1">
        <f t="array" ref="I54">IF(OR(_xll.BDP($AX54,"FD116")="#N/A N/A",_xll.BDP($AX54,"FD116")="#N/A FIELD NOT APPLICABLE")," ",_xll.BDP($AX54,"FD116"))</f>
        <v>Government</v>
      </c>
      <c r="J54" s="22" t="str" cm="1">
        <f t="array" ref="J54">IF(OR(_xll.BDP($AX54,"FD133")="#N/A N/A",_xll.BDP($AX54,"FD133")="#N/A FIELD NOT APPLICABLE")," ", _xll.BDP($AX54,"FD133"))</f>
        <v xml:space="preserve"> </v>
      </c>
      <c r="K54" s="34">
        <f>_xll.BDP(AX54,"FUND_ASSETS_USD")/1000</f>
        <v>0.9707688000000001</v>
      </c>
      <c r="L54" s="25">
        <f>IFERROR(_xll.BDP(AX54, "DV013")/100,0)</f>
        <v>4.6519138121156954E-2</v>
      </c>
      <c r="M54" s="25" cm="1">
        <f t="array" ref="M54">IF(OR(_xll.BDP($AX54,"PR079")="#N/A N/A",_xll.BDP($AX54,"PR079")="#N/A FIELD NOT APPLICABLE")," ", _xll.BDP($AX54,"PR079")/100)</f>
        <v>-2.0716950000000001E-2</v>
      </c>
      <c r="N54" s="25" cm="1">
        <f t="array" ref="N54">IF(OR(_xll.BDP($AX54,"RT074")="#N/A N/A",_xll.BDP($AX54,"RT074")="#N/A FIELD NOT APPLICABLE")," ", _xll.BDP($AX54,"RT074")/100)</f>
        <v>-1.4243850000000001E-2</v>
      </c>
      <c r="O54" s="27">
        <v>410</v>
      </c>
      <c r="P54" s="28">
        <v>39.910589999999999</v>
      </c>
      <c r="Q54" s="22" cm="1">
        <f t="array" ref="Q54">IF(OR(_xll.BDP($AX54,"PX_last")="#N/A N/A",_xll.BDP($AX54,"PX_Last")="#N/A FIELD NOT APPLICABLE")," ",IF(F54="GBP",(_xll.BDP($AX54,"PX_LAST")),(_xll.BDP($AX54,"PX_LAST"))))</f>
        <v>35.924999999999997</v>
      </c>
      <c r="R54" s="29">
        <f>IF(F54="USD",AA54,(((_xll.BDP(F54&amp;"USD CURNCY","PX_LAST")))*AA54))</f>
        <v>21781.244403089997</v>
      </c>
      <c r="S54" s="29">
        <f>IF(F54="USD",AB54,(((_xll.BDP(F54&amp;"USD CURNCY","PX_LAST")))*AB54))</f>
        <v>19606.104674999995</v>
      </c>
      <c r="T54" s="12">
        <f t="shared" si="8"/>
        <v>-2175.1397280900019</v>
      </c>
      <c r="U54" s="13">
        <f t="shared" si="9"/>
        <v>-9.9862968700788535E-2</v>
      </c>
      <c r="V54" s="13" cm="1">
        <f t="array" ref="V54">IFERROR(_xll.BDP($G54&amp;" Equity","CHG_PCT_1D")/100,"")</f>
        <v>-7.5966849999999997E-3</v>
      </c>
      <c r="W54" s="13" cm="1">
        <f t="array" ref="W54">IFERROR(_xll.BDP($G54&amp;" Equity","CHG_PCT_5D")/100,"")</f>
        <v>-1.5286269999999999E-3</v>
      </c>
      <c r="X54" s="13" t="e">
        <f>S54/#REF!</f>
        <v>#REF!</v>
      </c>
      <c r="Y54" s="29">
        <f t="shared" si="10"/>
        <v>912.05909139418588</v>
      </c>
      <c r="Z54" s="29">
        <f t="shared" si="11"/>
        <v>19606.104674999995</v>
      </c>
      <c r="AA54" s="29">
        <f t="shared" si="12"/>
        <v>16363.341899999999</v>
      </c>
      <c r="AB54" s="29">
        <f t="shared" si="13"/>
        <v>14729.249999999998</v>
      </c>
      <c r="AC54" s="25" t="str" cm="1">
        <f t="array" ref="AC54">IF(OR(_xll.BDP($AX54,"EX028")="#N/A N/A",_xll.BDP($AX54,"EX028")="#N/A FIELD NOT APPLICABLE")," ", _xll.BDP($AX54,"EX028"))</f>
        <v>Fund</v>
      </c>
      <c r="AD54" s="35" t="str" cm="1">
        <f t="array" ref="AD54">IF(OR(_xll.BDP($AX54,"FD121")="#N/A N/A",_xll.BDP($AX54,"FD121")="#N/A FIELD NOT APPLICABLE")," ", _xll.BDP($AX54,"FD121"))</f>
        <v>Fixed Income</v>
      </c>
      <c r="AE54" s="25" t="str" cm="1">
        <f t="array" ref="AE54">IF(OR(_xll.BDP($AX54,"FD118")="#N/A N/A",_xll.BDP($AX54,"FD118")="#N/A FIELD NOT APPLICABLE")," ", _xll.BDP($AX54,"FD118"))</f>
        <v>ETF</v>
      </c>
      <c r="AF54" s="22" t="str" cm="1">
        <f t="array" ref="AF54">IF(OR(_xll.BDP($AX54,"FD114")="#N/A N/A",_xll.BDP($AX54,"FD114")="#N/A FIELD NOT APPLICABLE")," ", _xll.BDP($AX54,"FD114"))</f>
        <v>Investment Grade BBB or higher</v>
      </c>
      <c r="AG54" s="22" t="str" cm="1">
        <f t="array" ref="AG54">IF(OR(_xll.BDP($AX54,"FD003")="#N/A N/A",_xll.BDP($AX54,"FD003")="#N/A FIELD NOT APPLICABLE")," ", _xll.BDP($AX54,"FD003"))</f>
        <v>17/05/2012</v>
      </c>
      <c r="AH54" s="32" cm="1">
        <f t="array" ref="AH54">IF(OR(_xll.BDP($AX54,"PR061")="#N/A N/A",_xll.BDP($AX54,"PR061")="#N/A FIELD NOT APPLICABLE")," ", _xll.BDP($AX54,"PR061")/100)</f>
        <v>8.4210529999999995E-3</v>
      </c>
      <c r="AI54" s="25" cm="1">
        <f t="array" ref="AI54">IF(OR(_xll.BDP($AX54,"RT075")="#N/A N/A",_xll.BDP($AX54,"RT075")="#N/A FIELD NOT APPLICABLE")," ", _xll.BDP($AX54,"RT075")/100)</f>
        <v>-0.1328365</v>
      </c>
      <c r="AJ54" s="25" cm="1">
        <f t="array" ref="AJ54">IF(OR(_xll.BDP($AX54,"RT076")="#N/A N/A",_xll.BDP($AX54,"RT076")="#N/A FIELD NOT APPLICABLE")," ", _xll.BDP($AX54,"RT076")/100)</f>
        <v>-0.13283810000000001</v>
      </c>
      <c r="AK54" s="25" t="str" cm="1">
        <f t="array" ref="AK54">IF(OR(_xll.BDP($AX54,"FD252")="#N/A N/A",_xll.BDP($AX54,"FD252")="#N/A FIELD NOT APPLICABLE")," ", _xll.BDP($AX54,"FD252")/100)</f>
        <v xml:space="preserve"> </v>
      </c>
      <c r="AL54" s="25" cm="1">
        <f t="array" ref="AL54">IF(OR(_xll.BDP($AX54,"FD015")="#N/A N/A",_xll.BDP($AX54,"FD015")="#N/A FIELD NOT APPLICABLE")," ", _xll.BDP($AX54,"FD015")/100)</f>
        <v>1.5E-3</v>
      </c>
      <c r="AM54" s="25" cm="1">
        <f t="array" ref="AM54">IF(OR(_xll.BDP($AX54,"FD138")="#N/A N/A",_xll.BDP($AX54,"FD138")="#N/A FIELD NOT APPLICABLE")," ", _xll.BDP($AX54,"FD138")/100)</f>
        <v>1.5E-3</v>
      </c>
      <c r="AN54" s="36" cm="1">
        <f t="array" ref="AN54">IF(OR(_xll.BDP($AX54,"FD009")="#N/A N/A",_xll.BDP($AX54,"FD009")="#N/A FIELD NOT APPLICABLE")," ", _xll.BDP($AX54,"FD009")/100)</f>
        <v>0</v>
      </c>
      <c r="AO54" s="25" cm="1">
        <f t="array" ref="AO54">IF(OR(_xll.BDP($AX54,"RK512")="#N/A N/A",_xll.BDP($AX54,"RK512")="#N/A FIELD NOT APPLICABLE")," ", _xll.BDP($AX54,"RK512")/100)</f>
        <v>-4.6805200000000005E-3</v>
      </c>
      <c r="AP54" s="25" cm="1">
        <f t="array" ref="AP54">IF(OR(_xll.BDP($AX54,"RK514")="#N/A N/A",_xll.BDP($AX54,"RK514")="#N/A FIELD NOT APPLICABLE")," ", _xll.BDP($AX54,"RK514")/100)</f>
        <v>-4.6537599999999998E-3</v>
      </c>
      <c r="AQ54" s="25" cm="1">
        <f t="array" ref="AQ54">IF(OR(_xll.BDP($AX54,"RK521")="#N/A N/A",_xll.BDP($AX54,"RK521")="#N/A FIELD NOT APPLICABLE")," ", _xll.BDP($AX54,"RK521")/100)</f>
        <v>-1.68103E-3</v>
      </c>
      <c r="AR54" s="25" cm="1">
        <f t="array" ref="AR54">IF(OR(_xll.BDP($AX54,"RK525")="#N/A N/A",_xll.BDP($AX54,"RK525")="#N/A FIELD NOT APPLICABLE")," ", _xll.BDP($AX54,"RK525")/100)</f>
        <v>9.7709300000000006E-3</v>
      </c>
      <c r="AS54" s="25" cm="1">
        <f t="array" ref="AS54">IF(OR(_xll.BDP($AX54,"RK524")="#N/A N/A",_xll.BDP($AX54,"RK524")="#N/A FIELD NOT APPLICABLE")," ", _xll.BDP($AX54,"RK524")/100)</f>
        <v>-3.5129999999999997E-5</v>
      </c>
      <c r="AT54" s="25" t="str" cm="1">
        <f t="array" ref="AT54">IF(OR(_xll.BDP($AX54,"FD183")="#N/A N/A",_xll.BDP($AX54,"FD183")="#N/A FIELD NOT APPLICABLE")," ", _xll.BDP($AX54,"FD183"))</f>
        <v xml:space="preserve"> </v>
      </c>
      <c r="AU54" s="25" t="str" cm="1">
        <f t="array" ref="AU54">IF(OR(_xll.BDP($AX54,"DY997")="#N/A N/A",_xll.BDP($AX54,"DY997")="#N/A FIELD NOT APPLICABLE")," ", _xll.BDP($AX54,"DY997"))</f>
        <v xml:space="preserve"> </v>
      </c>
      <c r="AV54" s="25" t="str" cm="1">
        <f t="array" ref="AV54">IF(OR(_xll.BDP($AX54,"DY784")="#N/A N/A",_xll.BDP($AX54,"DY784")="#N/A FIELD NOT APPLICABLE")," ", _xll.BDP($AX54,"DY784"))</f>
        <v xml:space="preserve"> </v>
      </c>
      <c r="AW54" s="22" t="str">
        <f t="shared" si="14"/>
        <v>N</v>
      </c>
      <c r="AX54" s="22" t="str">
        <f t="shared" si="15"/>
        <v>GLTL LN Equity</v>
      </c>
      <c r="BC54" s="17" t="str" cm="1">
        <f t="array" ref="BC54">_xll.BDP(AX54,"ID005")</f>
        <v>IE00B6YX5L24</v>
      </c>
      <c r="BD54" s="17">
        <v>0.85</v>
      </c>
      <c r="BE54" s="18">
        <v>3</v>
      </c>
      <c r="BF54" s="37">
        <v>45420</v>
      </c>
      <c r="BG54" s="20">
        <v>1.0000000000107532</v>
      </c>
    </row>
    <row r="55" spans="1:59" s="3" customFormat="1" ht="14.45" customHeight="1" x14ac:dyDescent="0.25">
      <c r="A55" s="49" t="s">
        <v>242</v>
      </c>
      <c r="B55" s="49" t="s">
        <v>255</v>
      </c>
      <c r="C55" s="49" t="s">
        <v>256</v>
      </c>
      <c r="D55" s="49" t="s">
        <v>248</v>
      </c>
      <c r="E55" s="22" t="str">
        <f>_xll.BDP(AX55,"SECURITY NAME")</f>
        <v>SPDR Bloomberg Barclays 15+ Ye</v>
      </c>
      <c r="F55" s="22" t="str">
        <f>_xll.BDP(AX55,"CRNCY")</f>
        <v>GBP</v>
      </c>
      <c r="G55" s="23" t="s">
        <v>110</v>
      </c>
      <c r="H55" s="22" t="str" cm="1">
        <f t="array" ref="H55">IF(OR(_xll.BDP($AX55,"FD120")="#N/A N/A",_xll.BDP($AX55,"FD120")="#N/A FIELD NOT APPLICABLE")," ",_xll.BDP($AX55,"FD120"))</f>
        <v>U.K.</v>
      </c>
      <c r="I55" s="22" t="str" cm="1">
        <f t="array" ref="I55">IF(OR(_xll.BDP($AX55,"FD116")="#N/A N/A",_xll.BDP($AX55,"FD116")="#N/A FIELD NOT APPLICABLE")," ",_xll.BDP($AX55,"FD116"))</f>
        <v>Government</v>
      </c>
      <c r="J55" s="22" t="str" cm="1">
        <f t="array" ref="J55">IF(OR(_xll.BDP($AX55,"FD133")="#N/A N/A",_xll.BDP($AX55,"FD133")="#N/A FIELD NOT APPLICABLE")," ", _xll.BDP($AX55,"FD133"))</f>
        <v xml:space="preserve"> </v>
      </c>
      <c r="K55" s="34">
        <f>_xll.BDP(AX55,"FUND_ASSETS_USD")/1000</f>
        <v>0.9707688000000001</v>
      </c>
      <c r="L55" s="25">
        <f>IFERROR(_xll.BDP(AX55, "DV013")/100,0)</f>
        <v>4.6519138121156954E-2</v>
      </c>
      <c r="M55" s="25" cm="1">
        <f t="array" ref="M55">IF(OR(_xll.BDP($AX55,"PR079")="#N/A N/A",_xll.BDP($AX55,"PR079")="#N/A FIELD NOT APPLICABLE")," ", _xll.BDP($AX55,"PR079")/100)</f>
        <v>-2.0716950000000001E-2</v>
      </c>
      <c r="N55" s="25" cm="1">
        <f t="array" ref="N55">IF(OR(_xll.BDP($AX55,"RT074")="#N/A N/A",_xll.BDP($AX55,"RT074")="#N/A FIELD NOT APPLICABLE")," ", _xll.BDP($AX55,"RT074")/100)</f>
        <v>-1.4243850000000001E-2</v>
      </c>
      <c r="O55" s="27">
        <v>3360</v>
      </c>
      <c r="P55" s="28">
        <v>39.35</v>
      </c>
      <c r="Q55" s="22" cm="1">
        <f t="array" ref="Q55">IF(OR(_xll.BDP($AX55,"PX_last")="#N/A N/A",_xll.BDP($AX55,"PX_Last")="#N/A FIELD NOT APPLICABLE")," ",IF(F55="GBP",(_xll.BDP($AX55,"PX_LAST")),(_xll.BDP($AX55,"PX_LAST"))))</f>
        <v>35.924999999999997</v>
      </c>
      <c r="R55" s="29">
        <f>IF(F55="USD",AA55,(((_xll.BDP(F55&amp;"USD CURNCY","PX_LAST")))*AA55))</f>
        <v>175992.7176</v>
      </c>
      <c r="S55" s="29">
        <f>IF(F55="USD",AB55,(((_xll.BDP(F55&amp;"USD CURNCY","PX_LAST")))*AB55))</f>
        <v>160674.41879999998</v>
      </c>
      <c r="T55" s="12">
        <f t="shared" si="8"/>
        <v>-15318.298800000019</v>
      </c>
      <c r="U55" s="13">
        <f t="shared" si="9"/>
        <v>-8.703939008894547E-2</v>
      </c>
      <c r="V55" s="13" cm="1">
        <f t="array" ref="V55">IFERROR(_xll.BDP($G55&amp;" Equity","CHG_PCT_1D")/100,"")</f>
        <v>-7.5966849999999997E-3</v>
      </c>
      <c r="W55" s="13" cm="1">
        <f t="array" ref="W55">IFERROR(_xll.BDP($G55&amp;" Equity","CHG_PCT_5D")/100,"")</f>
        <v>-1.5286269999999999E-3</v>
      </c>
      <c r="X55" s="13" t="e">
        <f>S55/#REF!</f>
        <v>#REF!</v>
      </c>
      <c r="Y55" s="29">
        <f t="shared" si="10"/>
        <v>7474.4354806938172</v>
      </c>
      <c r="Z55" s="29">
        <f t="shared" si="11"/>
        <v>160674.41879999998</v>
      </c>
      <c r="AA55" s="29">
        <f t="shared" si="12"/>
        <v>132216</v>
      </c>
      <c r="AB55" s="29">
        <f t="shared" si="13"/>
        <v>120707.99999999999</v>
      </c>
      <c r="AC55" s="25" t="str" cm="1">
        <f t="array" ref="AC55">IF(OR(_xll.BDP($AX55,"EX028")="#N/A N/A",_xll.BDP($AX55,"EX028")="#N/A FIELD NOT APPLICABLE")," ", _xll.BDP($AX55,"EX028"))</f>
        <v>Fund</v>
      </c>
      <c r="AD55" s="35" t="str" cm="1">
        <f t="array" ref="AD55">IF(OR(_xll.BDP($AX55,"FD121")="#N/A N/A",_xll.BDP($AX55,"FD121")="#N/A FIELD NOT APPLICABLE")," ", _xll.BDP($AX55,"FD121"))</f>
        <v>Fixed Income</v>
      </c>
      <c r="AE55" s="25" t="str" cm="1">
        <f t="array" ref="AE55">IF(OR(_xll.BDP($AX55,"FD118")="#N/A N/A",_xll.BDP($AX55,"FD118")="#N/A FIELD NOT APPLICABLE")," ", _xll.BDP($AX55,"FD118"))</f>
        <v>ETF</v>
      </c>
      <c r="AF55" s="22" t="str" cm="1">
        <f t="array" ref="AF55">IF(OR(_xll.BDP($AX55,"FD114")="#N/A N/A",_xll.BDP($AX55,"FD114")="#N/A FIELD NOT APPLICABLE")," ", _xll.BDP($AX55,"FD114"))</f>
        <v>Investment Grade BBB or higher</v>
      </c>
      <c r="AG55" s="22" t="str" cm="1">
        <f t="array" ref="AG55">IF(OR(_xll.BDP($AX55,"FD003")="#N/A N/A",_xll.BDP($AX55,"FD003")="#N/A FIELD NOT APPLICABLE")," ", _xll.BDP($AX55,"FD003"))</f>
        <v>17/05/2012</v>
      </c>
      <c r="AH55" s="32" cm="1">
        <f t="array" ref="AH55">IF(OR(_xll.BDP($AX55,"PR061")="#N/A N/A",_xll.BDP($AX55,"PR061")="#N/A FIELD NOT APPLICABLE")," ", _xll.BDP($AX55,"PR061")/100)</f>
        <v>8.4210529999999995E-3</v>
      </c>
      <c r="AI55" s="25" cm="1">
        <f t="array" ref="AI55">IF(OR(_xll.BDP($AX55,"RT075")="#N/A N/A",_xll.BDP($AX55,"RT075")="#N/A FIELD NOT APPLICABLE")," ", _xll.BDP($AX55,"RT075")/100)</f>
        <v>-0.1328365</v>
      </c>
      <c r="AJ55" s="25" cm="1">
        <f t="array" ref="AJ55">IF(OR(_xll.BDP($AX55,"RT076")="#N/A N/A",_xll.BDP($AX55,"RT076")="#N/A FIELD NOT APPLICABLE")," ", _xll.BDP($AX55,"RT076")/100)</f>
        <v>-0.13283810000000001</v>
      </c>
      <c r="AK55" s="25" t="str" cm="1">
        <f t="array" ref="AK55">IF(OR(_xll.BDP($AX55,"FD252")="#N/A N/A",_xll.BDP($AX55,"FD252")="#N/A FIELD NOT APPLICABLE")," ", _xll.BDP($AX55,"FD252")/100)</f>
        <v xml:space="preserve"> </v>
      </c>
      <c r="AL55" s="25" cm="1">
        <f t="array" ref="AL55">IF(OR(_xll.BDP($AX55,"FD015")="#N/A N/A",_xll.BDP($AX55,"FD015")="#N/A FIELD NOT APPLICABLE")," ", _xll.BDP($AX55,"FD015")/100)</f>
        <v>1.5E-3</v>
      </c>
      <c r="AM55" s="25" cm="1">
        <f t="array" ref="AM55">IF(OR(_xll.BDP($AX55,"FD138")="#N/A N/A",_xll.BDP($AX55,"FD138")="#N/A FIELD NOT APPLICABLE")," ", _xll.BDP($AX55,"FD138")/100)</f>
        <v>1.5E-3</v>
      </c>
      <c r="AN55" s="36" cm="1">
        <f t="array" ref="AN55">IF(OR(_xll.BDP($AX55,"FD009")="#N/A N/A",_xll.BDP($AX55,"FD009")="#N/A FIELD NOT APPLICABLE")," ", _xll.BDP($AX55,"FD009")/100)</f>
        <v>0</v>
      </c>
      <c r="AO55" s="25" cm="1">
        <f t="array" ref="AO55">IF(OR(_xll.BDP($AX55,"RK512")="#N/A N/A",_xll.BDP($AX55,"RK512")="#N/A FIELD NOT APPLICABLE")," ", _xll.BDP($AX55,"RK512")/100)</f>
        <v>-4.6805200000000005E-3</v>
      </c>
      <c r="AP55" s="25" cm="1">
        <f t="array" ref="AP55">IF(OR(_xll.BDP($AX55,"RK514")="#N/A N/A",_xll.BDP($AX55,"RK514")="#N/A FIELD NOT APPLICABLE")," ", _xll.BDP($AX55,"RK514")/100)</f>
        <v>-4.6537599999999998E-3</v>
      </c>
      <c r="AQ55" s="25" cm="1">
        <f t="array" ref="AQ55">IF(OR(_xll.BDP($AX55,"RK521")="#N/A N/A",_xll.BDP($AX55,"RK521")="#N/A FIELD NOT APPLICABLE")," ", _xll.BDP($AX55,"RK521")/100)</f>
        <v>-1.68103E-3</v>
      </c>
      <c r="AR55" s="25" cm="1">
        <f t="array" ref="AR55">IF(OR(_xll.BDP($AX55,"RK525")="#N/A N/A",_xll.BDP($AX55,"RK525")="#N/A FIELD NOT APPLICABLE")," ", _xll.BDP($AX55,"RK525")/100)</f>
        <v>9.7709300000000006E-3</v>
      </c>
      <c r="AS55" s="25" cm="1">
        <f t="array" ref="AS55">IF(OR(_xll.BDP($AX55,"RK524")="#N/A N/A",_xll.BDP($AX55,"RK524")="#N/A FIELD NOT APPLICABLE")," ", _xll.BDP($AX55,"RK524")/100)</f>
        <v>-3.5129999999999997E-5</v>
      </c>
      <c r="AT55" s="25" t="str" cm="1">
        <f t="array" ref="AT55">IF(OR(_xll.BDP($AX55,"FD183")="#N/A N/A",_xll.BDP($AX55,"FD183")="#N/A FIELD NOT APPLICABLE")," ", _xll.BDP($AX55,"FD183"))</f>
        <v xml:space="preserve"> </v>
      </c>
      <c r="AU55" s="25" t="str" cm="1">
        <f t="array" ref="AU55">IF(OR(_xll.BDP($AX55,"DY997")="#N/A N/A",_xll.BDP($AX55,"DY997")="#N/A FIELD NOT APPLICABLE")," ", _xll.BDP($AX55,"DY997"))</f>
        <v xml:space="preserve"> </v>
      </c>
      <c r="AV55" s="25" t="str" cm="1">
        <f t="array" ref="AV55">IF(OR(_xll.BDP($AX55,"DY784")="#N/A N/A",_xll.BDP($AX55,"DY784")="#N/A FIELD NOT APPLICABLE")," ", _xll.BDP($AX55,"DY784"))</f>
        <v xml:space="preserve"> </v>
      </c>
      <c r="AW55" s="22" t="str">
        <f t="shared" si="14"/>
        <v>N</v>
      </c>
      <c r="AX55" s="22" t="str">
        <f t="shared" si="15"/>
        <v>GLTL LN Equity</v>
      </c>
      <c r="BC55" s="17" t="str" cm="1">
        <f t="array" ref="BC55">_xll.BDP(AX55,"ID005")</f>
        <v>IE00B6YX5L24</v>
      </c>
      <c r="BD55" s="17"/>
      <c r="BE55" s="18"/>
      <c r="BF55" s="37"/>
      <c r="BG55" s="20"/>
    </row>
    <row r="56" spans="1:59" s="3" customFormat="1" ht="14.45" customHeight="1" x14ac:dyDescent="0.25">
      <c r="A56" s="49" t="s">
        <v>242</v>
      </c>
      <c r="B56" s="49" t="s">
        <v>260</v>
      </c>
      <c r="C56" s="49" t="s">
        <v>261</v>
      </c>
      <c r="D56" s="49" t="s">
        <v>248</v>
      </c>
      <c r="E56" s="22" t="str">
        <f>_xll.BDP(AX56,"SECURITY NAME")</f>
        <v>SPDR Bloomberg Barclays 15+ Ye</v>
      </c>
      <c r="F56" s="22" t="str">
        <f>_xll.BDP(AX56,"CRNCY")</f>
        <v>GBP</v>
      </c>
      <c r="G56" s="73" t="s">
        <v>110</v>
      </c>
      <c r="H56" s="22" t="str" cm="1">
        <f t="array" ref="H56">IF(OR(_xll.BDP($AX56,"FD120")="#N/A N/A",_xll.BDP($AX56,"FD120")="#N/A FIELD NOT APPLICABLE")," ",_xll.BDP($AX56,"FD120"))</f>
        <v>U.K.</v>
      </c>
      <c r="I56" s="22" t="str" cm="1">
        <f t="array" ref="I56">IF(OR(_xll.BDP($AX56,"FD116")="#N/A N/A",_xll.BDP($AX56,"FD116")="#N/A FIELD NOT APPLICABLE")," ",_xll.BDP($AX56,"FD116"))</f>
        <v>Government</v>
      </c>
      <c r="J56" s="22" t="str" cm="1">
        <f t="array" ref="J56">IF(OR(_xll.BDP($AX56,"FD133")="#N/A N/A",_xll.BDP($AX56,"FD133")="#N/A FIELD NOT APPLICABLE")," ", _xll.BDP($AX56,"FD133"))</f>
        <v xml:space="preserve"> </v>
      </c>
      <c r="K56" s="34">
        <f>_xll.BDP(AX56,"FUND_ASSETS_USD")/1000</f>
        <v>0.9707688000000001</v>
      </c>
      <c r="L56" s="25">
        <f>IFERROR(_xll.BDP(AX56, "DV013")/100,0)</f>
        <v>4.6519138121156954E-2</v>
      </c>
      <c r="M56" s="25" cm="1">
        <f t="array" ref="M56">IF(OR(_xll.BDP($AX56,"PR079")="#N/A N/A",_xll.BDP($AX56,"PR079")="#N/A FIELD NOT APPLICABLE")," ", _xll.BDP($AX56,"PR079")/100)</f>
        <v>-2.0716950000000001E-2</v>
      </c>
      <c r="N56" s="25" cm="1">
        <f t="array" ref="N56">IF(OR(_xll.BDP($AX56,"RT074")="#N/A N/A",_xll.BDP($AX56,"RT074")="#N/A FIELD NOT APPLICABLE")," ", _xll.BDP($AX56,"RT074")/100)</f>
        <v>-1.4243850000000001E-2</v>
      </c>
      <c r="O56" s="74">
        <v>1242</v>
      </c>
      <c r="P56" s="75">
        <v>39.79</v>
      </c>
      <c r="Q56" s="22" cm="1">
        <f t="array" ref="Q56">IF(OR(_xll.BDP($AX56,"PX_last")="#N/A N/A",_xll.BDP($AX56,"PX_Last")="#N/A FIELD NOT APPLICABLE")," ",IF(F56="GBP",(_xll.BDP($AX56,"PX_LAST")),(_xll.BDP($AX56,"PX_LAST"))))</f>
        <v>35.924999999999997</v>
      </c>
      <c r="R56" s="29">
        <f>IF(F56="USD",AA56,(((_xll.BDP(F56&amp;"USD CURNCY","PX_LAST")))*AA56))</f>
        <v>65781.870498000004</v>
      </c>
      <c r="S56" s="29">
        <f>IF(F56="USD",AB56,(((_xll.BDP(F56&amp;"USD CURNCY","PX_LAST")))*AB56))</f>
        <v>59392.151234999998</v>
      </c>
      <c r="T56" s="12">
        <f t="shared" si="8"/>
        <v>-6389.7192630000063</v>
      </c>
      <c r="U56" s="13">
        <f t="shared" si="9"/>
        <v>-9.7134958532294632E-2</v>
      </c>
      <c r="V56" s="13" cm="1">
        <f t="array" ref="V56">IFERROR(_xll.BDP($G56&amp;" Equity","CHG_PCT_1D")/100,"")</f>
        <v>-7.5966849999999997E-3</v>
      </c>
      <c r="W56" s="13" cm="1">
        <f t="array" ref="W56">IFERROR(_xll.BDP($G56&amp;" Equity","CHG_PCT_5D")/100,"")</f>
        <v>-1.5286269999999999E-3</v>
      </c>
      <c r="X56" s="13" t="e">
        <f>S56/#REF!</f>
        <v>#REF!</v>
      </c>
      <c r="Y56" s="29">
        <f t="shared" si="10"/>
        <v>2762.8716866136074</v>
      </c>
      <c r="Z56" s="29">
        <f t="shared" si="11"/>
        <v>59392.151234999998</v>
      </c>
      <c r="AA56" s="29">
        <f t="shared" si="12"/>
        <v>49419.18</v>
      </c>
      <c r="AB56" s="29">
        <f t="shared" si="13"/>
        <v>44618.85</v>
      </c>
      <c r="AC56" s="25" t="str" cm="1">
        <f t="array" ref="AC56">IF(OR(_xll.BDP($AX56,"EX028")="#N/A N/A",_xll.BDP($AX56,"EX028")="#N/A FIELD NOT APPLICABLE")," ", _xll.BDP($AX56,"EX028"))</f>
        <v>Fund</v>
      </c>
      <c r="AD56" s="35" t="str" cm="1">
        <f t="array" ref="AD56">IF(OR(_xll.BDP($AX56,"FD121")="#N/A N/A",_xll.BDP($AX56,"FD121")="#N/A FIELD NOT APPLICABLE")," ", _xll.BDP($AX56,"FD121"))</f>
        <v>Fixed Income</v>
      </c>
      <c r="AE56" s="25" t="str" cm="1">
        <f t="array" ref="AE56">IF(OR(_xll.BDP($AX56,"FD118")="#N/A N/A",_xll.BDP($AX56,"FD118")="#N/A FIELD NOT APPLICABLE")," ", _xll.BDP($AX56,"FD118"))</f>
        <v>ETF</v>
      </c>
      <c r="AF56" s="22" t="str" cm="1">
        <f t="array" ref="AF56">IF(OR(_xll.BDP($AX56,"FD114")="#N/A N/A",_xll.BDP($AX56,"FD114")="#N/A FIELD NOT APPLICABLE")," ", _xll.BDP($AX56,"FD114"))</f>
        <v>Investment Grade BBB or higher</v>
      </c>
      <c r="AG56" s="22" t="str" cm="1">
        <f t="array" ref="AG56">IF(OR(_xll.BDP($AX56,"FD003")="#N/A N/A",_xll.BDP($AX56,"FD003")="#N/A FIELD NOT APPLICABLE")," ", _xll.BDP($AX56,"FD003"))</f>
        <v>17/05/2012</v>
      </c>
      <c r="AH56" s="32" cm="1">
        <f t="array" ref="AH56">IF(OR(_xll.BDP($AX56,"PR061")="#N/A N/A",_xll.BDP($AX56,"PR061")="#N/A FIELD NOT APPLICABLE")," ", _xll.BDP($AX56,"PR061")/100)</f>
        <v>8.4210529999999995E-3</v>
      </c>
      <c r="AI56" s="25" cm="1">
        <f t="array" ref="AI56">IF(OR(_xll.BDP($AX56,"RT075")="#N/A N/A",_xll.BDP($AX56,"RT075")="#N/A FIELD NOT APPLICABLE")," ", _xll.BDP($AX56,"RT075")/100)</f>
        <v>-0.1328365</v>
      </c>
      <c r="AJ56" s="25" cm="1">
        <f t="array" ref="AJ56">IF(OR(_xll.BDP($AX56,"RT076")="#N/A N/A",_xll.BDP($AX56,"RT076")="#N/A FIELD NOT APPLICABLE")," ", _xll.BDP($AX56,"RT076")/100)</f>
        <v>-0.13283810000000001</v>
      </c>
      <c r="AK56" s="25" t="str" cm="1">
        <f t="array" ref="AK56">IF(OR(_xll.BDP($AX56,"FD252")="#N/A N/A",_xll.BDP($AX56,"FD252")="#N/A FIELD NOT APPLICABLE")," ", _xll.BDP($AX56,"FD252")/100)</f>
        <v xml:space="preserve"> </v>
      </c>
      <c r="AL56" s="25" cm="1">
        <f t="array" ref="AL56">IF(OR(_xll.BDP($AX56,"FD015")="#N/A N/A",_xll.BDP($AX56,"FD015")="#N/A FIELD NOT APPLICABLE")," ", _xll.BDP($AX56,"FD015")/100)</f>
        <v>1.5E-3</v>
      </c>
      <c r="AM56" s="25" cm="1">
        <f t="array" ref="AM56">IF(OR(_xll.BDP($AX56,"FD138")="#N/A N/A",_xll.BDP($AX56,"FD138")="#N/A FIELD NOT APPLICABLE")," ", _xll.BDP($AX56,"FD138")/100)</f>
        <v>1.5E-3</v>
      </c>
      <c r="AN56" s="36" cm="1">
        <f t="array" ref="AN56">IF(OR(_xll.BDP($AX56,"FD009")="#N/A N/A",_xll.BDP($AX56,"FD009")="#N/A FIELD NOT APPLICABLE")," ", _xll.BDP($AX56,"FD009")/100)</f>
        <v>0</v>
      </c>
      <c r="AO56" s="25" cm="1">
        <f t="array" ref="AO56">IF(OR(_xll.BDP($AX56,"RK512")="#N/A N/A",_xll.BDP($AX56,"RK512")="#N/A FIELD NOT APPLICABLE")," ", _xll.BDP($AX56,"RK512")/100)</f>
        <v>-4.6805200000000005E-3</v>
      </c>
      <c r="AP56" s="25" cm="1">
        <f t="array" ref="AP56">IF(OR(_xll.BDP($AX56,"RK514")="#N/A N/A",_xll.BDP($AX56,"RK514")="#N/A FIELD NOT APPLICABLE")," ", _xll.BDP($AX56,"RK514")/100)</f>
        <v>-4.6537599999999998E-3</v>
      </c>
      <c r="AQ56" s="25" cm="1">
        <f t="array" ref="AQ56">IF(OR(_xll.BDP($AX56,"RK521")="#N/A N/A",_xll.BDP($AX56,"RK521")="#N/A FIELD NOT APPLICABLE")," ", _xll.BDP($AX56,"RK521")/100)</f>
        <v>-1.68103E-3</v>
      </c>
      <c r="AR56" s="25" cm="1">
        <f t="array" ref="AR56">IF(OR(_xll.BDP($AX56,"RK525")="#N/A N/A",_xll.BDP($AX56,"RK525")="#N/A FIELD NOT APPLICABLE")," ", _xll.BDP($AX56,"RK525")/100)</f>
        <v>9.7709300000000006E-3</v>
      </c>
      <c r="AS56" s="25" cm="1">
        <f t="array" ref="AS56">IF(OR(_xll.BDP($AX56,"RK524")="#N/A N/A",_xll.BDP($AX56,"RK524")="#N/A FIELD NOT APPLICABLE")," ", _xll.BDP($AX56,"RK524")/100)</f>
        <v>-3.5129999999999997E-5</v>
      </c>
      <c r="AT56" s="25" t="str" cm="1">
        <f t="array" ref="AT56">IF(OR(_xll.BDP($AX56,"FD183")="#N/A N/A",_xll.BDP($AX56,"FD183")="#N/A FIELD NOT APPLICABLE")," ", _xll.BDP($AX56,"FD183"))</f>
        <v xml:space="preserve"> </v>
      </c>
      <c r="AU56" s="25" t="str" cm="1">
        <f t="array" ref="AU56">IF(OR(_xll.BDP($AX56,"DY997")="#N/A N/A",_xll.BDP($AX56,"DY997")="#N/A FIELD NOT APPLICABLE")," ", _xll.BDP($AX56,"DY997"))</f>
        <v xml:space="preserve"> </v>
      </c>
      <c r="AV56" s="25" t="str" cm="1">
        <f t="array" ref="AV56">IF(OR(_xll.BDP($AX56,"DY784")="#N/A N/A",_xll.BDP($AX56,"DY784")="#N/A FIELD NOT APPLICABLE")," ", _xll.BDP($AX56,"DY784"))</f>
        <v xml:space="preserve"> </v>
      </c>
      <c r="AW56" s="22" t="str">
        <f t="shared" si="14"/>
        <v>N</v>
      </c>
      <c r="AX56" s="22" t="str">
        <f t="shared" si="15"/>
        <v>GLTL LN Equity</v>
      </c>
      <c r="BC56" s="17" t="str">
        <f>_xll.BDP(AX56, "ID_ISIN")</f>
        <v>IE00B6YX5L24</v>
      </c>
      <c r="BD56" s="17">
        <f>VLOOKUP(BC56,'[2]Portefeuille 4379150'!$B$3:$G$42,6,0)</f>
        <v>0.85</v>
      </c>
      <c r="BE56" s="18">
        <v>3</v>
      </c>
      <c r="BF56" s="37"/>
      <c r="BG56" s="20">
        <v>1.0000000000107532</v>
      </c>
    </row>
    <row r="57" spans="1:59" s="3" customFormat="1" ht="14.45" customHeight="1" x14ac:dyDescent="0.25">
      <c r="A57" s="49" t="s">
        <v>241</v>
      </c>
      <c r="B57" s="49" t="s">
        <v>262</v>
      </c>
      <c r="C57" s="49" t="s">
        <v>263</v>
      </c>
      <c r="D57" s="49" t="s">
        <v>240</v>
      </c>
      <c r="E57" s="22" t="str">
        <f>_xll.BDP(AX57,"SECURITY NAME")</f>
        <v>SPDR Bloomberg Barclays 15+ Ye</v>
      </c>
      <c r="F57" s="22" t="str">
        <f>_xll.BDP(AX57,"CRNCY")</f>
        <v>GBP</v>
      </c>
      <c r="G57" s="23" t="s">
        <v>110</v>
      </c>
      <c r="H57" s="22" t="str" cm="1">
        <f t="array" ref="H57">IF(OR(_xll.BDP($AX57,"FD120")="#N/A N/A",_xll.BDP($AX57,"FD120")="#N/A FIELD NOT APPLICABLE")," ",_xll.BDP($AX57,"FD120"))</f>
        <v>U.K.</v>
      </c>
      <c r="I57" s="22" t="str" cm="1">
        <f t="array" ref="I57">IF(OR(_xll.BDP($AX57,"FD116")="#N/A N/A",_xll.BDP($AX57,"FD116")="#N/A FIELD NOT APPLICABLE")," ",_xll.BDP($AX57,"FD116"))</f>
        <v>Government</v>
      </c>
      <c r="J57" s="22" t="str" cm="1">
        <f t="array" ref="J57">IF(OR(_xll.BDP($AX57,"FD133")="#N/A N/A",_xll.BDP($AX57,"FD133")="#N/A FIELD NOT APPLICABLE")," ", _xll.BDP($AX57,"FD133"))</f>
        <v xml:space="preserve"> </v>
      </c>
      <c r="K57" s="34">
        <f>_xll.BDP(AX57,"FUND_ASSETS_USD")/1000</f>
        <v>0.9707688000000001</v>
      </c>
      <c r="L57" s="25">
        <f>IFERROR(_xll.BDP(AX57, "DV013")/100,0)</f>
        <v>4.6519138121156954E-2</v>
      </c>
      <c r="M57" s="25" cm="1">
        <f t="array" ref="M57">IF(OR(_xll.BDP($AX57,"PR079")="#N/A N/A",_xll.BDP($AX57,"PR079")="#N/A FIELD NOT APPLICABLE")," ", _xll.BDP($AX57,"PR079")/100)</f>
        <v>-2.0716950000000001E-2</v>
      </c>
      <c r="N57" s="25" cm="1">
        <f t="array" ref="N57">IF(OR(_xll.BDP($AX57,"RT074")="#N/A N/A",_xll.BDP($AX57,"RT074")="#N/A FIELD NOT APPLICABLE")," ", _xll.BDP($AX57,"RT074")/100)</f>
        <v>-1.4243850000000001E-2</v>
      </c>
      <c r="O57" s="27">
        <v>2735</v>
      </c>
      <c r="P57" s="28">
        <v>39.91057</v>
      </c>
      <c r="Q57" s="22" cm="1">
        <f t="array" ref="Q57">IF(OR(_xll.BDP($AX57,"PX_last")="#N/A N/A",_xll.BDP($AX57,"PX_Last")="#N/A FIELD NOT APPLICABLE")," ",IF(F57="GBP",(_xll.BDP($AX57,"PX_LAST")),(_xll.BDP($AX57,"PX_LAST"))))</f>
        <v>35.924999999999997</v>
      </c>
      <c r="R57" s="29">
        <f>IF(F57="USD",AA57,(((_xll.BDP(F57&amp;"USD CURNCY","PX_LAST")))*AA57))</f>
        <v>145296.764853345</v>
      </c>
      <c r="S57" s="29">
        <f>IF(F57="USD",AB57,(((_xll.BDP(F57&amp;"USD CURNCY","PX_LAST")))*AB57))</f>
        <v>130787.06411249998</v>
      </c>
      <c r="T57" s="12">
        <f t="shared" si="8"/>
        <v>-14509.700740845015</v>
      </c>
      <c r="U57" s="13">
        <f t="shared" si="9"/>
        <v>-9.9862517623777472E-2</v>
      </c>
      <c r="V57" s="13" cm="1">
        <f t="array" ref="V57">IFERROR(_xll.BDP($G57&amp;" Equity","CHG_PCT_1D")/100,"")</f>
        <v>-7.5966849999999997E-3</v>
      </c>
      <c r="W57" s="13" cm="1">
        <f t="array" ref="W57">IFERROR(_xll.BDP($G57&amp;" Equity","CHG_PCT_5D")/100,"")</f>
        <v>-1.5286269999999999E-3</v>
      </c>
      <c r="X57" s="13" t="e">
        <f>S57/#REF!</f>
        <v>#REF!</v>
      </c>
      <c r="Y57" s="29">
        <f t="shared" si="10"/>
        <v>6084.1014999099962</v>
      </c>
      <c r="Z57" s="29">
        <f t="shared" si="11"/>
        <v>130787.06411249998</v>
      </c>
      <c r="AA57" s="29">
        <f t="shared" si="12"/>
        <v>109155.40895</v>
      </c>
      <c r="AB57" s="29">
        <f t="shared" si="13"/>
        <v>98254.874999999985</v>
      </c>
      <c r="AC57" s="25" t="str" cm="1">
        <f t="array" ref="AC57">IF(OR(_xll.BDP($AX57,"EX028")="#N/A N/A",_xll.BDP($AX57,"EX028")="#N/A FIELD NOT APPLICABLE")," ", _xll.BDP($AX57,"EX028"))</f>
        <v>Fund</v>
      </c>
      <c r="AD57" s="35" t="str" cm="1">
        <f t="array" ref="AD57">IF(OR(_xll.BDP($AX57,"FD121")="#N/A N/A",_xll.BDP($AX57,"FD121")="#N/A FIELD NOT APPLICABLE")," ", _xll.BDP($AX57,"FD121"))</f>
        <v>Fixed Income</v>
      </c>
      <c r="AE57" s="25" t="str" cm="1">
        <f t="array" ref="AE57">IF(OR(_xll.BDP($AX57,"FD118")="#N/A N/A",_xll.BDP($AX57,"FD118")="#N/A FIELD NOT APPLICABLE")," ", _xll.BDP($AX57,"FD118"))</f>
        <v>ETF</v>
      </c>
      <c r="AF57" s="22" t="str" cm="1">
        <f t="array" ref="AF57">IF(OR(_xll.BDP($AX57,"FD114")="#N/A N/A",_xll.BDP($AX57,"FD114")="#N/A FIELD NOT APPLICABLE")," ", _xll.BDP($AX57,"FD114"))</f>
        <v>Investment Grade BBB or higher</v>
      </c>
      <c r="AG57" s="22" t="str" cm="1">
        <f t="array" ref="AG57">IF(OR(_xll.BDP($AX57,"FD003")="#N/A N/A",_xll.BDP($AX57,"FD003")="#N/A FIELD NOT APPLICABLE")," ", _xll.BDP($AX57,"FD003"))</f>
        <v>17/05/2012</v>
      </c>
      <c r="AH57" s="32" cm="1">
        <f t="array" ref="AH57">IF(OR(_xll.BDP($AX57,"PR061")="#N/A N/A",_xll.BDP($AX57,"PR061")="#N/A FIELD NOT APPLICABLE")," ", _xll.BDP($AX57,"PR061")/100)</f>
        <v>8.4210529999999995E-3</v>
      </c>
      <c r="AI57" s="25" cm="1">
        <f t="array" ref="AI57">IF(OR(_xll.BDP($AX57,"RT075")="#N/A N/A",_xll.BDP($AX57,"RT075")="#N/A FIELD NOT APPLICABLE")," ", _xll.BDP($AX57,"RT075")/100)</f>
        <v>-0.1328365</v>
      </c>
      <c r="AJ57" s="25" cm="1">
        <f t="array" ref="AJ57">IF(OR(_xll.BDP($AX57,"RT076")="#N/A N/A",_xll.BDP($AX57,"RT076")="#N/A FIELD NOT APPLICABLE")," ", _xll.BDP($AX57,"RT076")/100)</f>
        <v>-0.13283810000000001</v>
      </c>
      <c r="AK57" s="25" t="str" cm="1">
        <f t="array" ref="AK57">IF(OR(_xll.BDP($AX57,"FD252")="#N/A N/A",_xll.BDP($AX57,"FD252")="#N/A FIELD NOT APPLICABLE")," ", _xll.BDP($AX57,"FD252")/100)</f>
        <v xml:space="preserve"> </v>
      </c>
      <c r="AL57" s="25" cm="1">
        <f t="array" ref="AL57">IF(OR(_xll.BDP($AX57,"FD015")="#N/A N/A",_xll.BDP($AX57,"FD015")="#N/A FIELD NOT APPLICABLE")," ", _xll.BDP($AX57,"FD015")/100)</f>
        <v>1.5E-3</v>
      </c>
      <c r="AM57" s="25" cm="1">
        <f t="array" ref="AM57">IF(OR(_xll.BDP($AX57,"FD138")="#N/A N/A",_xll.BDP($AX57,"FD138")="#N/A FIELD NOT APPLICABLE")," ", _xll.BDP($AX57,"FD138")/100)</f>
        <v>1.5E-3</v>
      </c>
      <c r="AN57" s="36" cm="1">
        <f t="array" ref="AN57">IF(OR(_xll.BDP($AX57,"FD009")="#N/A N/A",_xll.BDP($AX57,"FD009")="#N/A FIELD NOT APPLICABLE")," ", _xll.BDP($AX57,"FD009")/100)</f>
        <v>0</v>
      </c>
      <c r="AO57" s="25" cm="1">
        <f t="array" ref="AO57">IF(OR(_xll.BDP($AX57,"RK512")="#N/A N/A",_xll.BDP($AX57,"RK512")="#N/A FIELD NOT APPLICABLE")," ", _xll.BDP($AX57,"RK512")/100)</f>
        <v>-4.6805200000000005E-3</v>
      </c>
      <c r="AP57" s="25" cm="1">
        <f t="array" ref="AP57">IF(OR(_xll.BDP($AX57,"RK514")="#N/A N/A",_xll.BDP($AX57,"RK514")="#N/A FIELD NOT APPLICABLE")," ", _xll.BDP($AX57,"RK514")/100)</f>
        <v>-4.6537599999999998E-3</v>
      </c>
      <c r="AQ57" s="25" cm="1">
        <f t="array" ref="AQ57">IF(OR(_xll.BDP($AX57,"RK521")="#N/A N/A",_xll.BDP($AX57,"RK521")="#N/A FIELD NOT APPLICABLE")," ", _xll.BDP($AX57,"RK521")/100)</f>
        <v>-1.68103E-3</v>
      </c>
      <c r="AR57" s="25" cm="1">
        <f t="array" ref="AR57">IF(OR(_xll.BDP($AX57,"RK525")="#N/A N/A",_xll.BDP($AX57,"RK525")="#N/A FIELD NOT APPLICABLE")," ", _xll.BDP($AX57,"RK525")/100)</f>
        <v>9.7709300000000006E-3</v>
      </c>
      <c r="AS57" s="25" cm="1">
        <f t="array" ref="AS57">IF(OR(_xll.BDP($AX57,"RK524")="#N/A N/A",_xll.BDP($AX57,"RK524")="#N/A FIELD NOT APPLICABLE")," ", _xll.BDP($AX57,"RK524")/100)</f>
        <v>-3.5129999999999997E-5</v>
      </c>
      <c r="AT57" s="25" t="str" cm="1">
        <f t="array" ref="AT57">IF(OR(_xll.BDP($AX57,"FD183")="#N/A N/A",_xll.BDP($AX57,"FD183")="#N/A FIELD NOT APPLICABLE")," ", _xll.BDP($AX57,"FD183"))</f>
        <v xml:space="preserve"> </v>
      </c>
      <c r="AU57" s="25" t="str" cm="1">
        <f t="array" ref="AU57">IF(OR(_xll.BDP($AX57,"DY997")="#N/A N/A",_xll.BDP($AX57,"DY997")="#N/A FIELD NOT APPLICABLE")," ", _xll.BDP($AX57,"DY997"))</f>
        <v xml:space="preserve"> </v>
      </c>
      <c r="AV57" s="25" t="str" cm="1">
        <f t="array" ref="AV57">IF(OR(_xll.BDP($AX57,"DY784")="#N/A N/A",_xll.BDP($AX57,"DY784")="#N/A FIELD NOT APPLICABLE")," ", _xll.BDP($AX57,"DY784"))</f>
        <v xml:space="preserve"> </v>
      </c>
      <c r="AW57" s="22" t="str">
        <f t="shared" si="14"/>
        <v>N</v>
      </c>
      <c r="AX57" s="22" t="str">
        <f t="shared" si="15"/>
        <v>GLTL LN Equity</v>
      </c>
      <c r="BC57" s="17" t="str" cm="1">
        <f t="array" ref="BC57">_xll.BDP(AX57,"ID005")</f>
        <v>IE00B6YX5L24</v>
      </c>
      <c r="BD57" s="17">
        <v>0.77</v>
      </c>
      <c r="BE57" s="18">
        <v>3</v>
      </c>
      <c r="BF57" s="37">
        <v>45510</v>
      </c>
      <c r="BG57" s="20">
        <v>1.0000000000107532</v>
      </c>
    </row>
    <row r="58" spans="1:59" s="3" customFormat="1" ht="14.45" customHeight="1" x14ac:dyDescent="0.25">
      <c r="A58" s="49" t="s">
        <v>242</v>
      </c>
      <c r="B58" s="49" t="s">
        <v>264</v>
      </c>
      <c r="C58" s="49" t="s">
        <v>265</v>
      </c>
      <c r="D58" s="49" t="s">
        <v>248</v>
      </c>
      <c r="E58" s="22" t="str">
        <f>_xll.BDP(AX58,"SECURITY NAME")</f>
        <v>SPDR Bloomberg Barclays 15+ Ye</v>
      </c>
      <c r="F58" s="22" t="str">
        <f>_xll.BDP(AX58,"CRNCY")</f>
        <v>GBP</v>
      </c>
      <c r="G58" s="23" t="s">
        <v>110</v>
      </c>
      <c r="H58" s="22" t="str" cm="1">
        <f t="array" ref="H58">IF(OR(_xll.BDP($AX58,"FD120")="#N/A N/A",_xll.BDP($AX58,"FD120")="#N/A FIELD NOT APPLICABLE")," ",_xll.BDP($AX58,"FD120"))</f>
        <v>U.K.</v>
      </c>
      <c r="I58" s="22" t="str" cm="1">
        <f t="array" ref="I58">IF(OR(_xll.BDP($AX58,"FD116")="#N/A N/A",_xll.BDP($AX58,"FD116")="#N/A FIELD NOT APPLICABLE")," ",_xll.BDP($AX58,"FD116"))</f>
        <v>Government</v>
      </c>
      <c r="J58" s="22" t="str" cm="1">
        <f t="array" ref="J58">IF(OR(_xll.BDP($AX58,"FD133")="#N/A N/A",_xll.BDP($AX58,"FD133")="#N/A FIELD NOT APPLICABLE")," ", _xll.BDP($AX58,"FD133"))</f>
        <v xml:space="preserve"> </v>
      </c>
      <c r="K58" s="34">
        <f>_xll.BDP(AX58,"FUND_ASSETS_USD")/1000</f>
        <v>0.9707688000000001</v>
      </c>
      <c r="L58" s="25">
        <f>IFERROR(_xll.BDP(AX58, "DV013")/100,0)</f>
        <v>4.6519138121156954E-2</v>
      </c>
      <c r="M58" s="25" cm="1">
        <f t="array" ref="M58">IF(OR(_xll.BDP($AX58,"PR079")="#N/A N/A",_xll.BDP($AX58,"PR079")="#N/A FIELD NOT APPLICABLE")," ", _xll.BDP($AX58,"PR079")/100)</f>
        <v>-2.0716950000000001E-2</v>
      </c>
      <c r="N58" s="25" cm="1">
        <f t="array" ref="N58">IF(OR(_xll.BDP($AX58,"RT074")="#N/A N/A",_xll.BDP($AX58,"RT074")="#N/A FIELD NOT APPLICABLE")," ", _xll.BDP($AX58,"RT074")/100)</f>
        <v>-1.4243850000000001E-2</v>
      </c>
      <c r="O58" s="27">
        <v>2930</v>
      </c>
      <c r="P58" s="28">
        <v>40.36</v>
      </c>
      <c r="Q58" s="22" cm="1">
        <f t="array" ref="Q58">IF(OR(_xll.BDP($AX58,"PX_last")="#N/A N/A",_xll.BDP($AX58,"PX_Last")="#N/A FIELD NOT APPLICABLE")," ",IF(F58="GBP",(_xll.BDP($AX58,"PX_LAST")),(_xll.BDP($AX58,"PX_LAST"))))</f>
        <v>35.924999999999997</v>
      </c>
      <c r="R58" s="29">
        <f>IF(F58="USD",AA58,(((_xll.BDP(F58&amp;"USD CURNCY","PX_LAST")))*AA58))</f>
        <v>157408.96427999999</v>
      </c>
      <c r="S58" s="29">
        <f>IF(F58="USD",AB58,(((_xll.BDP(F58&amp;"USD CURNCY","PX_LAST")))*AB58))</f>
        <v>140111.91877499997</v>
      </c>
      <c r="T58" s="12">
        <f t="shared" si="8"/>
        <v>-17297.045505000016</v>
      </c>
      <c r="U58" s="13">
        <f t="shared" si="9"/>
        <v>-0.10988602576808733</v>
      </c>
      <c r="V58" s="13" cm="1">
        <f t="array" ref="V58">IFERROR(_xll.BDP($G58&amp;" Equity","CHG_PCT_1D")/100,"")</f>
        <v>-7.5966849999999997E-3</v>
      </c>
      <c r="W58" s="13" cm="1">
        <f t="array" ref="W58">IFERROR(_xll.BDP($G58&amp;" Equity","CHG_PCT_5D")/100,"")</f>
        <v>-1.5286269999999999E-3</v>
      </c>
      <c r="X58" s="13" t="e">
        <f>S58/#REF!</f>
        <v>#REF!</v>
      </c>
      <c r="Y58" s="29">
        <f t="shared" si="10"/>
        <v>6517.885701914548</v>
      </c>
      <c r="Z58" s="29">
        <f t="shared" si="11"/>
        <v>140111.91877499997</v>
      </c>
      <c r="AA58" s="29">
        <f t="shared" si="12"/>
        <v>118254.8</v>
      </c>
      <c r="AB58" s="29">
        <f t="shared" si="13"/>
        <v>105260.24999999999</v>
      </c>
      <c r="AC58" s="25" t="str" cm="1">
        <f t="array" ref="AC58">IF(OR(_xll.BDP($AX58,"EX028")="#N/A N/A",_xll.BDP($AX58,"EX028")="#N/A FIELD NOT APPLICABLE")," ", _xll.BDP($AX58,"EX028"))</f>
        <v>Fund</v>
      </c>
      <c r="AD58" s="35" t="str" cm="1">
        <f t="array" ref="AD58">IF(OR(_xll.BDP($AX58,"FD121")="#N/A N/A",_xll.BDP($AX58,"FD121")="#N/A FIELD NOT APPLICABLE")," ", _xll.BDP($AX58,"FD121"))</f>
        <v>Fixed Income</v>
      </c>
      <c r="AE58" s="25" t="str" cm="1">
        <f t="array" ref="AE58">IF(OR(_xll.BDP($AX58,"FD118")="#N/A N/A",_xll.BDP($AX58,"FD118")="#N/A FIELD NOT APPLICABLE")," ", _xll.BDP($AX58,"FD118"))</f>
        <v>ETF</v>
      </c>
      <c r="AF58" s="22" t="str" cm="1">
        <f t="array" ref="AF58">IF(OR(_xll.BDP($AX58,"FD114")="#N/A N/A",_xll.BDP($AX58,"FD114")="#N/A FIELD NOT APPLICABLE")," ", _xll.BDP($AX58,"FD114"))</f>
        <v>Investment Grade BBB or higher</v>
      </c>
      <c r="AG58" s="22" t="str" cm="1">
        <f t="array" ref="AG58">IF(OR(_xll.BDP($AX58,"FD003")="#N/A N/A",_xll.BDP($AX58,"FD003")="#N/A FIELD NOT APPLICABLE")," ", _xll.BDP($AX58,"FD003"))</f>
        <v>17/05/2012</v>
      </c>
      <c r="AH58" s="32" cm="1">
        <f t="array" ref="AH58">IF(OR(_xll.BDP($AX58,"PR061")="#N/A N/A",_xll.BDP($AX58,"PR061")="#N/A FIELD NOT APPLICABLE")," ", _xll.BDP($AX58,"PR061")/100)</f>
        <v>8.4210529999999995E-3</v>
      </c>
      <c r="AI58" s="25" cm="1">
        <f t="array" ref="AI58">IF(OR(_xll.BDP($AX58,"RT075")="#N/A N/A",_xll.BDP($AX58,"RT075")="#N/A FIELD NOT APPLICABLE")," ", _xll.BDP($AX58,"RT075")/100)</f>
        <v>-0.1328365</v>
      </c>
      <c r="AJ58" s="25" cm="1">
        <f t="array" ref="AJ58">IF(OR(_xll.BDP($AX58,"RT076")="#N/A N/A",_xll.BDP($AX58,"RT076")="#N/A FIELD NOT APPLICABLE")," ", _xll.BDP($AX58,"RT076")/100)</f>
        <v>-0.13283810000000001</v>
      </c>
      <c r="AK58" s="25" t="str" cm="1">
        <f t="array" ref="AK58">IF(OR(_xll.BDP($AX58,"FD252")="#N/A N/A",_xll.BDP($AX58,"FD252")="#N/A FIELD NOT APPLICABLE")," ", _xll.BDP($AX58,"FD252")/100)</f>
        <v xml:space="preserve"> </v>
      </c>
      <c r="AL58" s="25" cm="1">
        <f t="array" ref="AL58">IF(OR(_xll.BDP($AX58,"FD015")="#N/A N/A",_xll.BDP($AX58,"FD015")="#N/A FIELD NOT APPLICABLE")," ", _xll.BDP($AX58,"FD015")/100)</f>
        <v>1.5E-3</v>
      </c>
      <c r="AM58" s="25" cm="1">
        <f t="array" ref="AM58">IF(OR(_xll.BDP($AX58,"FD138")="#N/A N/A",_xll.BDP($AX58,"FD138")="#N/A FIELD NOT APPLICABLE")," ", _xll.BDP($AX58,"FD138")/100)</f>
        <v>1.5E-3</v>
      </c>
      <c r="AN58" s="36" cm="1">
        <f t="array" ref="AN58">IF(OR(_xll.BDP($AX58,"FD009")="#N/A N/A",_xll.BDP($AX58,"FD009")="#N/A FIELD NOT APPLICABLE")," ", _xll.BDP($AX58,"FD009")/100)</f>
        <v>0</v>
      </c>
      <c r="AO58" s="25" cm="1">
        <f t="array" ref="AO58">IF(OR(_xll.BDP($AX58,"RK512")="#N/A N/A",_xll.BDP($AX58,"RK512")="#N/A FIELD NOT APPLICABLE")," ", _xll.BDP($AX58,"RK512")/100)</f>
        <v>-4.6805200000000005E-3</v>
      </c>
      <c r="AP58" s="25" cm="1">
        <f t="array" ref="AP58">IF(OR(_xll.BDP($AX58,"RK514")="#N/A N/A",_xll.BDP($AX58,"RK514")="#N/A FIELD NOT APPLICABLE")," ", _xll.BDP($AX58,"RK514")/100)</f>
        <v>-4.6537599999999998E-3</v>
      </c>
      <c r="AQ58" s="25" cm="1">
        <f t="array" ref="AQ58">IF(OR(_xll.BDP($AX58,"RK521")="#N/A N/A",_xll.BDP($AX58,"RK521")="#N/A FIELD NOT APPLICABLE")," ", _xll.BDP($AX58,"RK521")/100)</f>
        <v>-1.68103E-3</v>
      </c>
      <c r="AR58" s="25" cm="1">
        <f t="array" ref="AR58">IF(OR(_xll.BDP($AX58,"RK525")="#N/A N/A",_xll.BDP($AX58,"RK525")="#N/A FIELD NOT APPLICABLE")," ", _xll.BDP($AX58,"RK525")/100)</f>
        <v>9.7709300000000006E-3</v>
      </c>
      <c r="AS58" s="25" cm="1">
        <f t="array" ref="AS58">IF(OR(_xll.BDP($AX58,"RK524")="#N/A N/A",_xll.BDP($AX58,"RK524")="#N/A FIELD NOT APPLICABLE")," ", _xll.BDP($AX58,"RK524")/100)</f>
        <v>-3.5129999999999997E-5</v>
      </c>
      <c r="AT58" s="25" t="str" cm="1">
        <f t="array" ref="AT58">IF(OR(_xll.BDP($AX58,"FD183")="#N/A N/A",_xll.BDP($AX58,"FD183")="#N/A FIELD NOT APPLICABLE")," ", _xll.BDP($AX58,"FD183"))</f>
        <v xml:space="preserve"> </v>
      </c>
      <c r="AU58" s="25" t="str" cm="1">
        <f t="array" ref="AU58">IF(OR(_xll.BDP($AX58,"DY997")="#N/A N/A",_xll.BDP($AX58,"DY997")="#N/A FIELD NOT APPLICABLE")," ", _xll.BDP($AX58,"DY997"))</f>
        <v xml:space="preserve"> </v>
      </c>
      <c r="AV58" s="25" t="str" cm="1">
        <f t="array" ref="AV58">IF(OR(_xll.BDP($AX58,"DY784")="#N/A N/A",_xll.BDP($AX58,"DY784")="#N/A FIELD NOT APPLICABLE")," ", _xll.BDP($AX58,"DY784"))</f>
        <v xml:space="preserve"> </v>
      </c>
      <c r="AW58" s="22" t="str">
        <f t="shared" si="14"/>
        <v>N</v>
      </c>
      <c r="AX58" s="22" t="str">
        <f t="shared" si="15"/>
        <v>GLTL LN Equity</v>
      </c>
      <c r="BC58" s="17" t="str" cm="1">
        <f t="array" ref="BC58">_xll.BDP(AX58,"ID005")</f>
        <v>IE00B6YX5L24</v>
      </c>
      <c r="BD58" s="17">
        <f>VLOOKUP(BC58,'[2]Portefeuille 4380430'!$B$3:$G$38,6,0)</f>
        <v>0.85</v>
      </c>
      <c r="BE58" s="18">
        <v>3</v>
      </c>
      <c r="BF58" s="37"/>
      <c r="BG58" s="20"/>
    </row>
    <row r="59" spans="1:59" s="3" customFormat="1" ht="14.45" customHeight="1" x14ac:dyDescent="0.25">
      <c r="A59" s="49" t="s">
        <v>241</v>
      </c>
      <c r="B59" s="49" t="s">
        <v>266</v>
      </c>
      <c r="C59" s="49" t="s">
        <v>267</v>
      </c>
      <c r="D59" s="49" t="s">
        <v>240</v>
      </c>
      <c r="E59" s="22" t="str">
        <f>_xll.BDP(AX59,"SECURITY NAME")</f>
        <v>SPDR Bloomberg Barclays 15+ Ye</v>
      </c>
      <c r="F59" s="22" t="str">
        <f>_xll.BDP(AX59,"CRNCY")</f>
        <v>GBP</v>
      </c>
      <c r="G59" s="23" t="s">
        <v>110</v>
      </c>
      <c r="H59" s="22" t="str" cm="1">
        <f t="array" ref="H59">IF(OR(_xll.BDP($AX59,"FD120")="#N/A N/A",_xll.BDP($AX59,"FD120")="#N/A FIELD NOT APPLICABLE")," ",_xll.BDP($AX59,"FD120"))</f>
        <v>U.K.</v>
      </c>
      <c r="I59" s="22" t="str" cm="1">
        <f t="array" ref="I59">IF(OR(_xll.BDP($AX59,"FD116")="#N/A N/A",_xll.BDP($AX59,"FD116")="#N/A FIELD NOT APPLICABLE")," ",_xll.BDP($AX59,"FD116"))</f>
        <v>Government</v>
      </c>
      <c r="J59" s="22" t="str" cm="1">
        <f t="array" ref="J59">IF(OR(_xll.BDP($AX59,"FD133")="#N/A N/A",_xll.BDP($AX59,"FD133")="#N/A FIELD NOT APPLICABLE")," ", _xll.BDP($AX59,"FD133"))</f>
        <v xml:space="preserve"> </v>
      </c>
      <c r="K59" s="34">
        <f>_xll.BDP(AX59,"FUND_ASSETS_USD")/1000</f>
        <v>0.9707688000000001</v>
      </c>
      <c r="L59" s="25">
        <f>IFERROR(_xll.BDP(AX59, "DV013")/100,0)</f>
        <v>4.6519138121156954E-2</v>
      </c>
      <c r="M59" s="25" cm="1">
        <f t="array" ref="M59">IF(OR(_xll.BDP($AX59,"PR079")="#N/A N/A",_xll.BDP($AX59,"PR079")="#N/A FIELD NOT APPLICABLE")," ", _xll.BDP($AX59,"PR079")/100)</f>
        <v>-2.0716950000000001E-2</v>
      </c>
      <c r="N59" s="25" cm="1">
        <f t="array" ref="N59">IF(OR(_xll.BDP($AX59,"RT074")="#N/A N/A",_xll.BDP($AX59,"RT074")="#N/A FIELD NOT APPLICABLE")," ", _xll.BDP($AX59,"RT074")/100)</f>
        <v>-1.4243850000000001E-2</v>
      </c>
      <c r="O59" s="27">
        <v>975</v>
      </c>
      <c r="P59" s="28">
        <v>39.91057</v>
      </c>
      <c r="Q59" s="22" cm="1">
        <f t="array" ref="Q59">IF(OR(_xll.BDP($AX59,"PX_last")="#N/A N/A",_xll.BDP($AX59,"PX_Last")="#N/A FIELD NOT APPLICABLE")," ",IF(F59="GBP",(_xll.BDP($AX59,"PX_LAST")),(_xll.BDP($AX59,"PX_LAST"))))</f>
        <v>35.924999999999997</v>
      </c>
      <c r="R59" s="29">
        <f>IF(F59="USD",AA59,(((_xll.BDP(F59&amp;"USD CURNCY","PX_LAST")))*AA59))</f>
        <v>51796.835733824999</v>
      </c>
      <c r="S59" s="29">
        <f>IF(F59="USD",AB59,(((_xll.BDP(F59&amp;"USD CURNCY","PX_LAST")))*AB59))</f>
        <v>46624.273312500001</v>
      </c>
      <c r="T59" s="12">
        <f t="shared" si="8"/>
        <v>-5172.5624213249976</v>
      </c>
      <c r="U59" s="13">
        <f t="shared" si="9"/>
        <v>-9.9862517623777319E-2</v>
      </c>
      <c r="V59" s="13" cm="1">
        <f t="array" ref="V59">IFERROR(_xll.BDP($G59&amp;" Equity","CHG_PCT_1D")/100,"")</f>
        <v>-7.5966849999999997E-3</v>
      </c>
      <c r="W59" s="13" cm="1">
        <f t="array" ref="W59">IFERROR(_xll.BDP($G59&amp;" Equity","CHG_PCT_5D")/100,"")</f>
        <v>-1.5286269999999999E-3</v>
      </c>
      <c r="X59" s="13" t="e">
        <f>S59/#REF!</f>
        <v>#REF!</v>
      </c>
      <c r="Y59" s="29">
        <f t="shared" si="10"/>
        <v>2168.9210100227597</v>
      </c>
      <c r="Z59" s="29">
        <f t="shared" si="11"/>
        <v>46624.273312500001</v>
      </c>
      <c r="AA59" s="29">
        <f t="shared" si="12"/>
        <v>38912.80575</v>
      </c>
      <c r="AB59" s="29">
        <f t="shared" si="13"/>
        <v>35026.875</v>
      </c>
      <c r="AC59" s="25" t="str" cm="1">
        <f t="array" ref="AC59">IF(OR(_xll.BDP($AX59,"EX028")="#N/A N/A",_xll.BDP($AX59,"EX028")="#N/A FIELD NOT APPLICABLE")," ", _xll.BDP($AX59,"EX028"))</f>
        <v>Fund</v>
      </c>
      <c r="AD59" s="35" t="str" cm="1">
        <f t="array" ref="AD59">IF(OR(_xll.BDP($AX59,"FD121")="#N/A N/A",_xll.BDP($AX59,"FD121")="#N/A FIELD NOT APPLICABLE")," ", _xll.BDP($AX59,"FD121"))</f>
        <v>Fixed Income</v>
      </c>
      <c r="AE59" s="25" t="str" cm="1">
        <f t="array" ref="AE59">IF(OR(_xll.BDP($AX59,"FD118")="#N/A N/A",_xll.BDP($AX59,"FD118")="#N/A FIELD NOT APPLICABLE")," ", _xll.BDP($AX59,"FD118"))</f>
        <v>ETF</v>
      </c>
      <c r="AF59" s="22" t="str" cm="1">
        <f t="array" ref="AF59">IF(OR(_xll.BDP($AX59,"FD114")="#N/A N/A",_xll.BDP($AX59,"FD114")="#N/A FIELD NOT APPLICABLE")," ", _xll.BDP($AX59,"FD114"))</f>
        <v>Investment Grade BBB or higher</v>
      </c>
      <c r="AG59" s="22" t="str" cm="1">
        <f t="array" ref="AG59">IF(OR(_xll.BDP($AX59,"FD003")="#N/A N/A",_xll.BDP($AX59,"FD003")="#N/A FIELD NOT APPLICABLE")," ", _xll.BDP($AX59,"FD003"))</f>
        <v>17/05/2012</v>
      </c>
      <c r="AH59" s="32" cm="1">
        <f t="array" ref="AH59">IF(OR(_xll.BDP($AX59,"PR061")="#N/A N/A",_xll.BDP($AX59,"PR061")="#N/A FIELD NOT APPLICABLE")," ", _xll.BDP($AX59,"PR061")/100)</f>
        <v>8.4210529999999995E-3</v>
      </c>
      <c r="AI59" s="25" cm="1">
        <f t="array" ref="AI59">IF(OR(_xll.BDP($AX59,"RT075")="#N/A N/A",_xll.BDP($AX59,"RT075")="#N/A FIELD NOT APPLICABLE")," ", _xll.BDP($AX59,"RT075")/100)</f>
        <v>-0.1328365</v>
      </c>
      <c r="AJ59" s="25" cm="1">
        <f t="array" ref="AJ59">IF(OR(_xll.BDP($AX59,"RT076")="#N/A N/A",_xll.BDP($AX59,"RT076")="#N/A FIELD NOT APPLICABLE")," ", _xll.BDP($AX59,"RT076")/100)</f>
        <v>-0.13283810000000001</v>
      </c>
      <c r="AK59" s="25" t="str" cm="1">
        <f t="array" ref="AK59">IF(OR(_xll.BDP($AX59,"FD252")="#N/A N/A",_xll.BDP($AX59,"FD252")="#N/A FIELD NOT APPLICABLE")," ", _xll.BDP($AX59,"FD252")/100)</f>
        <v xml:space="preserve"> </v>
      </c>
      <c r="AL59" s="25" cm="1">
        <f t="array" ref="AL59">IF(OR(_xll.BDP($AX59,"FD015")="#N/A N/A",_xll.BDP($AX59,"FD015")="#N/A FIELD NOT APPLICABLE")," ", _xll.BDP($AX59,"FD015")/100)</f>
        <v>1.5E-3</v>
      </c>
      <c r="AM59" s="25" cm="1">
        <f t="array" ref="AM59">IF(OR(_xll.BDP($AX59,"FD138")="#N/A N/A",_xll.BDP($AX59,"FD138")="#N/A FIELD NOT APPLICABLE")," ", _xll.BDP($AX59,"FD138")/100)</f>
        <v>1.5E-3</v>
      </c>
      <c r="AN59" s="36" cm="1">
        <f t="array" ref="AN59">IF(OR(_xll.BDP($AX59,"FD009")="#N/A N/A",_xll.BDP($AX59,"FD009")="#N/A FIELD NOT APPLICABLE")," ", _xll.BDP($AX59,"FD009")/100)</f>
        <v>0</v>
      </c>
      <c r="AO59" s="25" cm="1">
        <f t="array" ref="AO59">IF(OR(_xll.BDP($AX59,"RK512")="#N/A N/A",_xll.BDP($AX59,"RK512")="#N/A FIELD NOT APPLICABLE")," ", _xll.BDP($AX59,"RK512")/100)</f>
        <v>-4.6805200000000005E-3</v>
      </c>
      <c r="AP59" s="25" cm="1">
        <f t="array" ref="AP59">IF(OR(_xll.BDP($AX59,"RK514")="#N/A N/A",_xll.BDP($AX59,"RK514")="#N/A FIELD NOT APPLICABLE")," ", _xll.BDP($AX59,"RK514")/100)</f>
        <v>-4.6537599999999998E-3</v>
      </c>
      <c r="AQ59" s="25" cm="1">
        <f t="array" ref="AQ59">IF(OR(_xll.BDP($AX59,"RK521")="#N/A N/A",_xll.BDP($AX59,"RK521")="#N/A FIELD NOT APPLICABLE")," ", _xll.BDP($AX59,"RK521")/100)</f>
        <v>-1.68103E-3</v>
      </c>
      <c r="AR59" s="25" cm="1">
        <f t="array" ref="AR59">IF(OR(_xll.BDP($AX59,"RK525")="#N/A N/A",_xll.BDP($AX59,"RK525")="#N/A FIELD NOT APPLICABLE")," ", _xll.BDP($AX59,"RK525")/100)</f>
        <v>9.7709300000000006E-3</v>
      </c>
      <c r="AS59" s="25" cm="1">
        <f t="array" ref="AS59">IF(OR(_xll.BDP($AX59,"RK524")="#N/A N/A",_xll.BDP($AX59,"RK524")="#N/A FIELD NOT APPLICABLE")," ", _xll.BDP($AX59,"RK524")/100)</f>
        <v>-3.5129999999999997E-5</v>
      </c>
      <c r="AT59" s="25" t="str" cm="1">
        <f t="array" ref="AT59">IF(OR(_xll.BDP($AX59,"FD183")="#N/A N/A",_xll.BDP($AX59,"FD183")="#N/A FIELD NOT APPLICABLE")," ", _xll.BDP($AX59,"FD183"))</f>
        <v xml:space="preserve"> </v>
      </c>
      <c r="AU59" s="25" t="str" cm="1">
        <f t="array" ref="AU59">IF(OR(_xll.BDP($AX59,"DY997")="#N/A N/A",_xll.BDP($AX59,"DY997")="#N/A FIELD NOT APPLICABLE")," ", _xll.BDP($AX59,"DY997"))</f>
        <v xml:space="preserve"> </v>
      </c>
      <c r="AV59" s="25" t="str" cm="1">
        <f t="array" ref="AV59">IF(OR(_xll.BDP($AX59,"DY784")="#N/A N/A",_xll.BDP($AX59,"DY784")="#N/A FIELD NOT APPLICABLE")," ", _xll.BDP($AX59,"DY784"))</f>
        <v xml:space="preserve"> </v>
      </c>
      <c r="AW59" s="22" t="str">
        <f t="shared" si="14"/>
        <v>N</v>
      </c>
      <c r="AX59" s="22" t="str">
        <f t="shared" si="15"/>
        <v>GLTL LN Equity</v>
      </c>
      <c r="BC59" s="17" t="str" cm="1">
        <f t="array" ref="BC59">_xll.BDP(AX59,"ID005")</f>
        <v>IE00B6YX5L24</v>
      </c>
      <c r="BD59" s="17">
        <v>0.8</v>
      </c>
      <c r="BE59" s="18">
        <v>3</v>
      </c>
      <c r="BF59" s="37">
        <v>45420</v>
      </c>
      <c r="BG59" s="20">
        <v>1.0000000000107532</v>
      </c>
    </row>
    <row r="60" spans="1:59" s="3" customFormat="1" ht="14.45" customHeight="1" x14ac:dyDescent="0.25">
      <c r="A60" s="49" t="s">
        <v>241</v>
      </c>
      <c r="B60" s="49" t="s">
        <v>270</v>
      </c>
      <c r="C60" s="49" t="s">
        <v>271</v>
      </c>
      <c r="D60" s="49" t="s">
        <v>240</v>
      </c>
      <c r="E60" s="22" t="str">
        <f>_xll.BDP(AX60,"SECURITY NAME")</f>
        <v>SPDR Bloomberg Barclays 15+ Ye</v>
      </c>
      <c r="F60" s="22" t="str">
        <f>_xll.BDP(AX60,"CRNCY")</f>
        <v>GBP</v>
      </c>
      <c r="G60" s="23" t="s">
        <v>110</v>
      </c>
      <c r="H60" s="22" t="str" cm="1">
        <f t="array" ref="H60">IF(OR(_xll.BDP($AX60,"FD120")="#N/A N/A",_xll.BDP($AX60,"FD120")="#N/A FIELD NOT APPLICABLE")," ",_xll.BDP($AX60,"FD120"))</f>
        <v>U.K.</v>
      </c>
      <c r="I60" s="22" t="str" cm="1">
        <f t="array" ref="I60">IF(OR(_xll.BDP($AX60,"FD116")="#N/A N/A",_xll.BDP($AX60,"FD116")="#N/A FIELD NOT APPLICABLE")," ",_xll.BDP($AX60,"FD116"))</f>
        <v>Government</v>
      </c>
      <c r="J60" s="22" t="str" cm="1">
        <f t="array" ref="J60">IF(OR(_xll.BDP($AX60,"FD133")="#N/A N/A",_xll.BDP($AX60,"FD133")="#N/A FIELD NOT APPLICABLE")," ", _xll.BDP($AX60,"FD133"))</f>
        <v xml:space="preserve"> </v>
      </c>
      <c r="K60" s="34">
        <f>_xll.BDP(AX60,"FUND_ASSETS_USD")/1000</f>
        <v>0.9707688000000001</v>
      </c>
      <c r="L60" s="25">
        <f>IFERROR(_xll.BDP(AX60, "DV013")/100,0)</f>
        <v>4.6519138121156954E-2</v>
      </c>
      <c r="M60" s="25" cm="1">
        <f t="array" ref="M60">IF(OR(_xll.BDP($AX60,"PR079")="#N/A N/A",_xll.BDP($AX60,"PR079")="#N/A FIELD NOT APPLICABLE")," ", _xll.BDP($AX60,"PR079")/100)</f>
        <v>-2.0716950000000001E-2</v>
      </c>
      <c r="N60" s="25" cm="1">
        <f t="array" ref="N60">IF(OR(_xll.BDP($AX60,"RT074")="#N/A N/A",_xll.BDP($AX60,"RT074")="#N/A FIELD NOT APPLICABLE")," ", _xll.BDP($AX60,"RT074")/100)</f>
        <v>-1.4243850000000001E-2</v>
      </c>
      <c r="O60" s="27">
        <v>1365</v>
      </c>
      <c r="P60" s="28">
        <v>39.910580000000003</v>
      </c>
      <c r="Q60" s="22" cm="1">
        <f t="array" ref="Q60">IF(OR(_xll.BDP($AX60,"PX_last")="#N/A N/A",_xll.BDP($AX60,"PX_Last")="#N/A FIELD NOT APPLICABLE")," ",IF(F60="GBP",(_xll.BDP($AX60,"PX_LAST")),(_xll.BDP($AX60,"PX_LAST"))))</f>
        <v>35.924999999999997</v>
      </c>
      <c r="R60" s="29">
        <f>IF(F60="USD",AA60,(((_xll.BDP(F60&amp;"USD CURNCY","PX_LAST")))*AA60))</f>
        <v>72515.588196869998</v>
      </c>
      <c r="S60" s="29">
        <f>IF(F60="USD",AB60,(((_xll.BDP(F60&amp;"USD CURNCY","PX_LAST")))*AB60))</f>
        <v>65273.98263749999</v>
      </c>
      <c r="T60" s="12">
        <f t="shared" si="8"/>
        <v>-7241.6055593700075</v>
      </c>
      <c r="U60" s="13">
        <f t="shared" si="9"/>
        <v>-9.9862743162339521E-2</v>
      </c>
      <c r="V60" s="13" cm="1">
        <f t="array" ref="V60">IFERROR(_xll.BDP($G60&amp;" Equity","CHG_PCT_1D")/100,"")</f>
        <v>-7.5966849999999997E-3</v>
      </c>
      <c r="W60" s="13" cm="1">
        <f t="array" ref="W60">IFERROR(_xll.BDP($G60&amp;" Equity","CHG_PCT_5D")/100,"")</f>
        <v>-1.5286269999999999E-3</v>
      </c>
      <c r="X60" s="13" t="e">
        <f>S60/#REF!</f>
        <v>#REF!</v>
      </c>
      <c r="Y60" s="29">
        <f t="shared" si="10"/>
        <v>3036.4894140318629</v>
      </c>
      <c r="Z60" s="29">
        <f t="shared" si="11"/>
        <v>65273.98263749999</v>
      </c>
      <c r="AA60" s="29">
        <f t="shared" si="12"/>
        <v>54477.941700000003</v>
      </c>
      <c r="AB60" s="29">
        <f t="shared" si="13"/>
        <v>49037.624999999993</v>
      </c>
      <c r="AC60" s="25" t="str" cm="1">
        <f t="array" ref="AC60">IF(OR(_xll.BDP($AX60,"EX028")="#N/A N/A",_xll.BDP($AX60,"EX028")="#N/A FIELD NOT APPLICABLE")," ", _xll.BDP($AX60,"EX028"))</f>
        <v>Fund</v>
      </c>
      <c r="AD60" s="35" t="str" cm="1">
        <f t="array" ref="AD60">IF(OR(_xll.BDP($AX60,"FD121")="#N/A N/A",_xll.BDP($AX60,"FD121")="#N/A FIELD NOT APPLICABLE")," ", _xll.BDP($AX60,"FD121"))</f>
        <v>Fixed Income</v>
      </c>
      <c r="AE60" s="25" t="str" cm="1">
        <f t="array" ref="AE60">IF(OR(_xll.BDP($AX60,"FD118")="#N/A N/A",_xll.BDP($AX60,"FD118")="#N/A FIELD NOT APPLICABLE")," ", _xll.BDP($AX60,"FD118"))</f>
        <v>ETF</v>
      </c>
      <c r="AF60" s="22" t="str" cm="1">
        <f t="array" ref="AF60">IF(OR(_xll.BDP($AX60,"FD114")="#N/A N/A",_xll.BDP($AX60,"FD114")="#N/A FIELD NOT APPLICABLE")," ", _xll.BDP($AX60,"FD114"))</f>
        <v>Investment Grade BBB or higher</v>
      </c>
      <c r="AG60" s="22" t="str" cm="1">
        <f t="array" ref="AG60">IF(OR(_xll.BDP($AX60,"FD003")="#N/A N/A",_xll.BDP($AX60,"FD003")="#N/A FIELD NOT APPLICABLE")," ", _xll.BDP($AX60,"FD003"))</f>
        <v>17/05/2012</v>
      </c>
      <c r="AH60" s="32" cm="1">
        <f t="array" ref="AH60">IF(OR(_xll.BDP($AX60,"PR061")="#N/A N/A",_xll.BDP($AX60,"PR061")="#N/A FIELD NOT APPLICABLE")," ", _xll.BDP($AX60,"PR061")/100)</f>
        <v>8.4210529999999995E-3</v>
      </c>
      <c r="AI60" s="25" cm="1">
        <f t="array" ref="AI60">IF(OR(_xll.BDP($AX60,"RT075")="#N/A N/A",_xll.BDP($AX60,"RT075")="#N/A FIELD NOT APPLICABLE")," ", _xll.BDP($AX60,"RT075")/100)</f>
        <v>-0.1328365</v>
      </c>
      <c r="AJ60" s="25" cm="1">
        <f t="array" ref="AJ60">IF(OR(_xll.BDP($AX60,"RT076")="#N/A N/A",_xll.BDP($AX60,"RT076")="#N/A FIELD NOT APPLICABLE")," ", _xll.BDP($AX60,"RT076")/100)</f>
        <v>-0.13283810000000001</v>
      </c>
      <c r="AK60" s="25" t="str" cm="1">
        <f t="array" ref="AK60">IF(OR(_xll.BDP($AX60,"FD252")="#N/A N/A",_xll.BDP($AX60,"FD252")="#N/A FIELD NOT APPLICABLE")," ", _xll.BDP($AX60,"FD252")/100)</f>
        <v xml:space="preserve"> </v>
      </c>
      <c r="AL60" s="25" cm="1">
        <f t="array" ref="AL60">IF(OR(_xll.BDP($AX60,"FD015")="#N/A N/A",_xll.BDP($AX60,"FD015")="#N/A FIELD NOT APPLICABLE")," ", _xll.BDP($AX60,"FD015")/100)</f>
        <v>1.5E-3</v>
      </c>
      <c r="AM60" s="25" cm="1">
        <f t="array" ref="AM60">IF(OR(_xll.BDP($AX60,"FD138")="#N/A N/A",_xll.BDP($AX60,"FD138")="#N/A FIELD NOT APPLICABLE")," ", _xll.BDP($AX60,"FD138")/100)</f>
        <v>1.5E-3</v>
      </c>
      <c r="AN60" s="36" cm="1">
        <f t="array" ref="AN60">IF(OR(_xll.BDP($AX60,"FD009")="#N/A N/A",_xll.BDP($AX60,"FD009")="#N/A FIELD NOT APPLICABLE")," ", _xll.BDP($AX60,"FD009")/100)</f>
        <v>0</v>
      </c>
      <c r="AO60" s="25" cm="1">
        <f t="array" ref="AO60">IF(OR(_xll.BDP($AX60,"RK512")="#N/A N/A",_xll.BDP($AX60,"RK512")="#N/A FIELD NOT APPLICABLE")," ", _xll.BDP($AX60,"RK512")/100)</f>
        <v>-4.6805200000000005E-3</v>
      </c>
      <c r="AP60" s="25" cm="1">
        <f t="array" ref="AP60">IF(OR(_xll.BDP($AX60,"RK514")="#N/A N/A",_xll.BDP($AX60,"RK514")="#N/A FIELD NOT APPLICABLE")," ", _xll.BDP($AX60,"RK514")/100)</f>
        <v>-4.6537599999999998E-3</v>
      </c>
      <c r="AQ60" s="25" cm="1">
        <f t="array" ref="AQ60">IF(OR(_xll.BDP($AX60,"RK521")="#N/A N/A",_xll.BDP($AX60,"RK521")="#N/A FIELD NOT APPLICABLE")," ", _xll.BDP($AX60,"RK521")/100)</f>
        <v>-1.68103E-3</v>
      </c>
      <c r="AR60" s="25" cm="1">
        <f t="array" ref="AR60">IF(OR(_xll.BDP($AX60,"RK525")="#N/A N/A",_xll.BDP($AX60,"RK525")="#N/A FIELD NOT APPLICABLE")," ", _xll.BDP($AX60,"RK525")/100)</f>
        <v>9.7709300000000006E-3</v>
      </c>
      <c r="AS60" s="25" cm="1">
        <f t="array" ref="AS60">IF(OR(_xll.BDP($AX60,"RK524")="#N/A N/A",_xll.BDP($AX60,"RK524")="#N/A FIELD NOT APPLICABLE")," ", _xll.BDP($AX60,"RK524")/100)</f>
        <v>-3.5129999999999997E-5</v>
      </c>
      <c r="AT60" s="25" t="str" cm="1">
        <f t="array" ref="AT60">IF(OR(_xll.BDP($AX60,"FD183")="#N/A N/A",_xll.BDP($AX60,"FD183")="#N/A FIELD NOT APPLICABLE")," ", _xll.BDP($AX60,"FD183"))</f>
        <v xml:space="preserve"> </v>
      </c>
      <c r="AU60" s="25" t="str" cm="1">
        <f t="array" ref="AU60">IF(OR(_xll.BDP($AX60,"DY997")="#N/A N/A",_xll.BDP($AX60,"DY997")="#N/A FIELD NOT APPLICABLE")," ", _xll.BDP($AX60,"DY997"))</f>
        <v xml:space="preserve"> </v>
      </c>
      <c r="AV60" s="25" t="str" cm="1">
        <f t="array" ref="AV60">IF(OR(_xll.BDP($AX60,"DY784")="#N/A N/A",_xll.BDP($AX60,"DY784")="#N/A FIELD NOT APPLICABLE")," ", _xll.BDP($AX60,"DY784"))</f>
        <v xml:space="preserve"> </v>
      </c>
      <c r="AW60" s="22" t="str">
        <f t="shared" si="14"/>
        <v>N</v>
      </c>
      <c r="AX60" s="22" t="str">
        <f t="shared" si="15"/>
        <v>GLTL LN Equity</v>
      </c>
      <c r="BC60" s="17" t="str" cm="1">
        <f t="array" ref="BC60">_xll.BDP(AX60,"ID005")</f>
        <v>IE00B6YX5L24</v>
      </c>
      <c r="BD60" s="17">
        <v>0.77</v>
      </c>
      <c r="BE60" s="18">
        <v>3</v>
      </c>
      <c r="BF60" s="37">
        <v>45510</v>
      </c>
      <c r="BG60" s="20">
        <v>1.0000000000107532</v>
      </c>
    </row>
    <row r="61" spans="1:59" s="3" customFormat="1" ht="14.45" customHeight="1" x14ac:dyDescent="0.25">
      <c r="A61" s="49" t="s">
        <v>241</v>
      </c>
      <c r="B61" s="49" t="s">
        <v>272</v>
      </c>
      <c r="C61" s="49">
        <v>2620061.0010000002</v>
      </c>
      <c r="D61" s="49" t="s">
        <v>240</v>
      </c>
      <c r="E61" s="22" t="str">
        <f>_xll.BDP(AX61,"SECURITY NAME")</f>
        <v>SPDR Bloomberg Barclays 15+ Ye</v>
      </c>
      <c r="F61" s="22" t="str">
        <f>_xll.BDP(AX61,"CRNCY")</f>
        <v>GBP</v>
      </c>
      <c r="G61" s="23" t="s">
        <v>110</v>
      </c>
      <c r="H61" s="22" t="str" cm="1">
        <f t="array" ref="H61">IF(OR(_xll.BDP($AX61,"FD120")="#N/A N/A",_xll.BDP($AX61,"FD120")="#N/A FIELD NOT APPLICABLE")," ",_xll.BDP($AX61,"FD120"))</f>
        <v>U.K.</v>
      </c>
      <c r="I61" s="22" t="str" cm="1">
        <f t="array" ref="I61">IF(OR(_xll.BDP($AX61,"FD116")="#N/A N/A",_xll.BDP($AX61,"FD116")="#N/A FIELD NOT APPLICABLE")," ",_xll.BDP($AX61,"FD116"))</f>
        <v>Government</v>
      </c>
      <c r="J61" s="22" t="str" cm="1">
        <f t="array" ref="J61">IF(OR(_xll.BDP($AX61,"FD133")="#N/A N/A",_xll.BDP($AX61,"FD133")="#N/A FIELD NOT APPLICABLE")," ", _xll.BDP($AX61,"FD133"))</f>
        <v xml:space="preserve"> </v>
      </c>
      <c r="K61" s="34">
        <f>_xll.BDP(AX61,"FUND_ASSETS_USD")/1000</f>
        <v>0.9707688000000001</v>
      </c>
      <c r="L61" s="25">
        <f>IFERROR(_xll.BDP(AX61, "DV013")/100,0)</f>
        <v>4.6519138121156954E-2</v>
      </c>
      <c r="M61" s="25" cm="1">
        <f t="array" ref="M61">IF(OR(_xll.BDP($AX61,"PR079")="#N/A N/A",_xll.BDP($AX61,"PR079")="#N/A FIELD NOT APPLICABLE")," ", _xll.BDP($AX61,"PR079")/100)</f>
        <v>-2.0716950000000001E-2</v>
      </c>
      <c r="N61" s="25" cm="1">
        <f t="array" ref="N61">IF(OR(_xll.BDP($AX61,"RT074")="#N/A N/A",_xll.BDP($AX61,"RT074")="#N/A FIELD NOT APPLICABLE")," ", _xll.BDP($AX61,"RT074")/100)</f>
        <v>-1.4243850000000001E-2</v>
      </c>
      <c r="O61" s="27">
        <v>1515</v>
      </c>
      <c r="P61" s="28">
        <v>39.91057</v>
      </c>
      <c r="Q61" s="22" cm="1">
        <f t="array" ref="Q61">IF(OR(_xll.BDP($AX61,"PX_last")="#N/A N/A",_xll.BDP($AX61,"PX_Last")="#N/A FIELD NOT APPLICABLE")," ",IF(F61="GBP",(_xll.BDP($AX61,"PX_LAST")),(_xll.BDP($AX61,"PX_LAST"))))</f>
        <v>35.924999999999997</v>
      </c>
      <c r="R61" s="29">
        <f>IF(F61="USD",AA61,(((_xll.BDP(F61&amp;"USD CURNCY","PX_LAST")))*AA61))</f>
        <v>80484.313986405003</v>
      </c>
      <c r="S61" s="29">
        <f>IF(F61="USD",AB61,(((_xll.BDP(F61&amp;"USD CURNCY","PX_LAST")))*AB61))</f>
        <v>72446.947762499985</v>
      </c>
      <c r="T61" s="12">
        <f t="shared" si="8"/>
        <v>-8037.3662239050173</v>
      </c>
      <c r="U61" s="13">
        <f t="shared" si="9"/>
        <v>-9.9862517623777569E-2</v>
      </c>
      <c r="V61" s="13" cm="1">
        <f t="array" ref="V61">IFERROR(_xll.BDP($G61&amp;" Equity","CHG_PCT_1D")/100,"")</f>
        <v>-7.5966849999999997E-3</v>
      </c>
      <c r="W61" s="13" cm="1">
        <f t="array" ref="W61">IFERROR(_xll.BDP($G61&amp;" Equity","CHG_PCT_5D")/100,"")</f>
        <v>-1.5286269999999999E-3</v>
      </c>
      <c r="X61" s="13" t="e">
        <f>S61/#REF!</f>
        <v>#REF!</v>
      </c>
      <c r="Y61" s="29">
        <f t="shared" si="10"/>
        <v>3370.1695694199798</v>
      </c>
      <c r="Z61" s="29">
        <f t="shared" si="11"/>
        <v>72446.947762499985</v>
      </c>
      <c r="AA61" s="29">
        <f t="shared" si="12"/>
        <v>60464.513550000003</v>
      </c>
      <c r="AB61" s="29">
        <f t="shared" si="13"/>
        <v>54426.374999999993</v>
      </c>
      <c r="AC61" s="25" t="str" cm="1">
        <f t="array" ref="AC61">IF(OR(_xll.BDP($AX61,"EX028")="#N/A N/A",_xll.BDP($AX61,"EX028")="#N/A FIELD NOT APPLICABLE")," ", _xll.BDP($AX61,"EX028"))</f>
        <v>Fund</v>
      </c>
      <c r="AD61" s="35" t="str" cm="1">
        <f t="array" ref="AD61">IF(OR(_xll.BDP($AX61,"FD121")="#N/A N/A",_xll.BDP($AX61,"FD121")="#N/A FIELD NOT APPLICABLE")," ", _xll.BDP($AX61,"FD121"))</f>
        <v>Fixed Income</v>
      </c>
      <c r="AE61" s="25" t="str" cm="1">
        <f t="array" ref="AE61">IF(OR(_xll.BDP($AX61,"FD118")="#N/A N/A",_xll.BDP($AX61,"FD118")="#N/A FIELD NOT APPLICABLE")," ", _xll.BDP($AX61,"FD118"))</f>
        <v>ETF</v>
      </c>
      <c r="AF61" s="22" t="str" cm="1">
        <f t="array" ref="AF61">IF(OR(_xll.BDP($AX61,"FD114")="#N/A N/A",_xll.BDP($AX61,"FD114")="#N/A FIELD NOT APPLICABLE")," ", _xll.BDP($AX61,"FD114"))</f>
        <v>Investment Grade BBB or higher</v>
      </c>
      <c r="AG61" s="22" t="str" cm="1">
        <f t="array" ref="AG61">IF(OR(_xll.BDP($AX61,"FD003")="#N/A N/A",_xll.BDP($AX61,"FD003")="#N/A FIELD NOT APPLICABLE")," ", _xll.BDP($AX61,"FD003"))</f>
        <v>17/05/2012</v>
      </c>
      <c r="AH61" s="32" cm="1">
        <f t="array" ref="AH61">IF(OR(_xll.BDP($AX61,"PR061")="#N/A N/A",_xll.BDP($AX61,"PR061")="#N/A FIELD NOT APPLICABLE")," ", _xll.BDP($AX61,"PR061")/100)</f>
        <v>8.4210529999999995E-3</v>
      </c>
      <c r="AI61" s="25" cm="1">
        <f t="array" ref="AI61">IF(OR(_xll.BDP($AX61,"RT075")="#N/A N/A",_xll.BDP($AX61,"RT075")="#N/A FIELD NOT APPLICABLE")," ", _xll.BDP($AX61,"RT075")/100)</f>
        <v>-0.1328365</v>
      </c>
      <c r="AJ61" s="25" cm="1">
        <f t="array" ref="AJ61">IF(OR(_xll.BDP($AX61,"RT076")="#N/A N/A",_xll.BDP($AX61,"RT076")="#N/A FIELD NOT APPLICABLE")," ", _xll.BDP($AX61,"RT076")/100)</f>
        <v>-0.13283810000000001</v>
      </c>
      <c r="AK61" s="25" t="str" cm="1">
        <f t="array" ref="AK61">IF(OR(_xll.BDP($AX61,"FD252")="#N/A N/A",_xll.BDP($AX61,"FD252")="#N/A FIELD NOT APPLICABLE")," ", _xll.BDP($AX61,"FD252")/100)</f>
        <v xml:space="preserve"> </v>
      </c>
      <c r="AL61" s="25" cm="1">
        <f t="array" ref="AL61">IF(OR(_xll.BDP($AX61,"FD015")="#N/A N/A",_xll.BDP($AX61,"FD015")="#N/A FIELD NOT APPLICABLE")," ", _xll.BDP($AX61,"FD015")/100)</f>
        <v>1.5E-3</v>
      </c>
      <c r="AM61" s="25" cm="1">
        <f t="array" ref="AM61">IF(OR(_xll.BDP($AX61,"FD138")="#N/A N/A",_xll.BDP($AX61,"FD138")="#N/A FIELD NOT APPLICABLE")," ", _xll.BDP($AX61,"FD138")/100)</f>
        <v>1.5E-3</v>
      </c>
      <c r="AN61" s="36" cm="1">
        <f t="array" ref="AN61">IF(OR(_xll.BDP($AX61,"FD009")="#N/A N/A",_xll.BDP($AX61,"FD009")="#N/A FIELD NOT APPLICABLE")," ", _xll.BDP($AX61,"FD009")/100)</f>
        <v>0</v>
      </c>
      <c r="AO61" s="25" cm="1">
        <f t="array" ref="AO61">IF(OR(_xll.BDP($AX61,"RK512")="#N/A N/A",_xll.BDP($AX61,"RK512")="#N/A FIELD NOT APPLICABLE")," ", _xll.BDP($AX61,"RK512")/100)</f>
        <v>-4.6805200000000005E-3</v>
      </c>
      <c r="AP61" s="25" cm="1">
        <f t="array" ref="AP61">IF(OR(_xll.BDP($AX61,"RK514")="#N/A N/A",_xll.BDP($AX61,"RK514")="#N/A FIELD NOT APPLICABLE")," ", _xll.BDP($AX61,"RK514")/100)</f>
        <v>-4.6537599999999998E-3</v>
      </c>
      <c r="AQ61" s="25" cm="1">
        <f t="array" ref="AQ61">IF(OR(_xll.BDP($AX61,"RK521")="#N/A N/A",_xll.BDP($AX61,"RK521")="#N/A FIELD NOT APPLICABLE")," ", _xll.BDP($AX61,"RK521")/100)</f>
        <v>-1.68103E-3</v>
      </c>
      <c r="AR61" s="25" cm="1">
        <f t="array" ref="AR61">IF(OR(_xll.BDP($AX61,"RK525")="#N/A N/A",_xll.BDP($AX61,"RK525")="#N/A FIELD NOT APPLICABLE")," ", _xll.BDP($AX61,"RK525")/100)</f>
        <v>9.7709300000000006E-3</v>
      </c>
      <c r="AS61" s="25" cm="1">
        <f t="array" ref="AS61">IF(OR(_xll.BDP($AX61,"RK524")="#N/A N/A",_xll.BDP($AX61,"RK524")="#N/A FIELD NOT APPLICABLE")," ", _xll.BDP($AX61,"RK524")/100)</f>
        <v>-3.5129999999999997E-5</v>
      </c>
      <c r="AT61" s="25" t="str" cm="1">
        <f t="array" ref="AT61">IF(OR(_xll.BDP($AX61,"FD183")="#N/A N/A",_xll.BDP($AX61,"FD183")="#N/A FIELD NOT APPLICABLE")," ", _xll.BDP($AX61,"FD183"))</f>
        <v xml:space="preserve"> </v>
      </c>
      <c r="AU61" s="25" t="str" cm="1">
        <f t="array" ref="AU61">IF(OR(_xll.BDP($AX61,"DY997")="#N/A N/A",_xll.BDP($AX61,"DY997")="#N/A FIELD NOT APPLICABLE")," ", _xll.BDP($AX61,"DY997"))</f>
        <v xml:space="preserve"> </v>
      </c>
      <c r="AV61" s="25" t="str" cm="1">
        <f t="array" ref="AV61">IF(OR(_xll.BDP($AX61,"DY784")="#N/A N/A",_xll.BDP($AX61,"DY784")="#N/A FIELD NOT APPLICABLE")," ", _xll.BDP($AX61,"DY784"))</f>
        <v xml:space="preserve"> </v>
      </c>
      <c r="AW61" s="22" t="str">
        <f t="shared" si="14"/>
        <v>N</v>
      </c>
      <c r="AX61" s="22" t="str">
        <f t="shared" si="15"/>
        <v>GLTL LN Equity</v>
      </c>
      <c r="BC61" s="17" t="str" cm="1">
        <f t="array" ref="BC61">_xll.BDP(AX61,"ID005")</f>
        <v>IE00B6YX5L24</v>
      </c>
      <c r="BD61" s="17">
        <v>0.75</v>
      </c>
      <c r="BE61" s="18">
        <v>5</v>
      </c>
      <c r="BF61" s="37">
        <v>45492</v>
      </c>
      <c r="BG61" s="20">
        <v>1.0000000000107532</v>
      </c>
    </row>
    <row r="62" spans="1:59" s="3" customFormat="1" ht="14.45" customHeight="1" x14ac:dyDescent="0.25">
      <c r="A62" s="49" t="s">
        <v>241</v>
      </c>
      <c r="B62" s="49" t="s">
        <v>273</v>
      </c>
      <c r="C62" s="49">
        <v>2620058.003</v>
      </c>
      <c r="D62" s="49" t="s">
        <v>240</v>
      </c>
      <c r="E62" s="22" t="str">
        <f>_xll.BDP(AX62,"SECURITY NAME")</f>
        <v>SPDR Bloomberg Barclays 15+ Ye</v>
      </c>
      <c r="F62" s="22" t="str">
        <f>_xll.BDP(AX62,"CRNCY")</f>
        <v>GBP</v>
      </c>
      <c r="G62" s="23" t="s">
        <v>110</v>
      </c>
      <c r="H62" s="22" t="str" cm="1">
        <f t="array" ref="H62">IF(OR(_xll.BDP($AX62,"FD120")="#N/A N/A",_xll.BDP($AX62,"FD120")="#N/A FIELD NOT APPLICABLE")," ",_xll.BDP($AX62,"FD120"))</f>
        <v>U.K.</v>
      </c>
      <c r="I62" s="22" t="str" cm="1">
        <f t="array" ref="I62">IF(OR(_xll.BDP($AX62,"FD116")="#N/A N/A",_xll.BDP($AX62,"FD116")="#N/A FIELD NOT APPLICABLE")," ",_xll.BDP($AX62,"FD116"))</f>
        <v>Government</v>
      </c>
      <c r="J62" s="22" t="str" cm="1">
        <f t="array" ref="J62">IF(OR(_xll.BDP($AX62,"FD133")="#N/A N/A",_xll.BDP($AX62,"FD133")="#N/A FIELD NOT APPLICABLE")," ", _xll.BDP($AX62,"FD133"))</f>
        <v xml:space="preserve"> </v>
      </c>
      <c r="K62" s="34">
        <f>_xll.BDP(AX62,"FUND_ASSETS_USD")/1000</f>
        <v>0.9707688000000001</v>
      </c>
      <c r="L62" s="25">
        <f>IFERROR(_xll.BDP(AX62, "DV013")/100,0)</f>
        <v>4.6519138121156954E-2</v>
      </c>
      <c r="M62" s="25" cm="1">
        <f t="array" ref="M62">IF(OR(_xll.BDP($AX62,"PR079")="#N/A N/A",_xll.BDP($AX62,"PR079")="#N/A FIELD NOT APPLICABLE")," ", _xll.BDP($AX62,"PR079")/100)</f>
        <v>-2.0716950000000001E-2</v>
      </c>
      <c r="N62" s="25" cm="1">
        <f t="array" ref="N62">IF(OR(_xll.BDP($AX62,"RT074")="#N/A N/A",_xll.BDP($AX62,"RT074")="#N/A FIELD NOT APPLICABLE")," ", _xll.BDP($AX62,"RT074")/100)</f>
        <v>-1.4243850000000001E-2</v>
      </c>
      <c r="O62" s="27">
        <v>1025</v>
      </c>
      <c r="P62" s="28">
        <v>39.910580000000003</v>
      </c>
      <c r="Q62" s="22" cm="1">
        <f t="array" ref="Q62">IF(OR(_xll.BDP($AX62,"PX_last")="#N/A N/A",_xll.BDP($AX62,"PX_Last")="#N/A FIELD NOT APPLICABLE")," ",IF(F62="GBP",(_xll.BDP($AX62,"PX_LAST")),(_xll.BDP($AX62,"PX_LAST"))))</f>
        <v>35.924999999999997</v>
      </c>
      <c r="R62" s="29">
        <f>IF(F62="USD",AA62,(((_xll.BDP(F62&amp;"USD CURNCY","PX_LAST")))*AA62))</f>
        <v>54453.097363950008</v>
      </c>
      <c r="S62" s="29">
        <f>IF(F62="USD",AB62,(((_xll.BDP(F62&amp;"USD CURNCY","PX_LAST")))*AB62))</f>
        <v>49015.261687499995</v>
      </c>
      <c r="T62" s="12">
        <f t="shared" si="8"/>
        <v>-5437.8356764500131</v>
      </c>
      <c r="U62" s="13">
        <f t="shared" si="9"/>
        <v>-9.9862743162339632E-2</v>
      </c>
      <c r="V62" s="13" cm="1">
        <f t="array" ref="V62">IFERROR(_xll.BDP($G62&amp;" Equity","CHG_PCT_1D")/100,"")</f>
        <v>-7.5966849999999997E-3</v>
      </c>
      <c r="W62" s="13" cm="1">
        <f t="array" ref="W62">IFERROR(_xll.BDP($G62&amp;" Equity","CHG_PCT_5D")/100,"")</f>
        <v>-1.5286269999999999E-3</v>
      </c>
      <c r="X62" s="13" t="e">
        <f>S62/#REF!</f>
        <v>#REF!</v>
      </c>
      <c r="Y62" s="29">
        <f t="shared" si="10"/>
        <v>2280.147728485465</v>
      </c>
      <c r="Z62" s="29">
        <f t="shared" si="11"/>
        <v>49015.261687499995</v>
      </c>
      <c r="AA62" s="29">
        <f t="shared" si="12"/>
        <v>40908.344500000007</v>
      </c>
      <c r="AB62" s="29">
        <f t="shared" si="13"/>
        <v>36823.125</v>
      </c>
      <c r="AC62" s="25" t="str" cm="1">
        <f t="array" ref="AC62">IF(OR(_xll.BDP($AX62,"EX028")="#N/A N/A",_xll.BDP($AX62,"EX028")="#N/A FIELD NOT APPLICABLE")," ", _xll.BDP($AX62,"EX028"))</f>
        <v>Fund</v>
      </c>
      <c r="AD62" s="35" t="str" cm="1">
        <f t="array" ref="AD62">IF(OR(_xll.BDP($AX62,"FD121")="#N/A N/A",_xll.BDP($AX62,"FD121")="#N/A FIELD NOT APPLICABLE")," ", _xll.BDP($AX62,"FD121"))</f>
        <v>Fixed Income</v>
      </c>
      <c r="AE62" s="25" t="str" cm="1">
        <f t="array" ref="AE62">IF(OR(_xll.BDP($AX62,"FD118")="#N/A N/A",_xll.BDP($AX62,"FD118")="#N/A FIELD NOT APPLICABLE")," ", _xll.BDP($AX62,"FD118"))</f>
        <v>ETF</v>
      </c>
      <c r="AF62" s="22" t="str" cm="1">
        <f t="array" ref="AF62">IF(OR(_xll.BDP($AX62,"FD114")="#N/A N/A",_xll.BDP($AX62,"FD114")="#N/A FIELD NOT APPLICABLE")," ", _xll.BDP($AX62,"FD114"))</f>
        <v>Investment Grade BBB or higher</v>
      </c>
      <c r="AG62" s="22" t="str" cm="1">
        <f t="array" ref="AG62">IF(OR(_xll.BDP($AX62,"FD003")="#N/A N/A",_xll.BDP($AX62,"FD003")="#N/A FIELD NOT APPLICABLE")," ", _xll.BDP($AX62,"FD003"))</f>
        <v>17/05/2012</v>
      </c>
      <c r="AH62" s="32" cm="1">
        <f t="array" ref="AH62">IF(OR(_xll.BDP($AX62,"PR061")="#N/A N/A",_xll.BDP($AX62,"PR061")="#N/A FIELD NOT APPLICABLE")," ", _xll.BDP($AX62,"PR061")/100)</f>
        <v>8.4210529999999995E-3</v>
      </c>
      <c r="AI62" s="25" cm="1">
        <f t="array" ref="AI62">IF(OR(_xll.BDP($AX62,"RT075")="#N/A N/A",_xll.BDP($AX62,"RT075")="#N/A FIELD NOT APPLICABLE")," ", _xll.BDP($AX62,"RT075")/100)</f>
        <v>-0.1328365</v>
      </c>
      <c r="AJ62" s="25" cm="1">
        <f t="array" ref="AJ62">IF(OR(_xll.BDP($AX62,"RT076")="#N/A N/A",_xll.BDP($AX62,"RT076")="#N/A FIELD NOT APPLICABLE")," ", _xll.BDP($AX62,"RT076")/100)</f>
        <v>-0.13283810000000001</v>
      </c>
      <c r="AK62" s="25" t="str" cm="1">
        <f t="array" ref="AK62">IF(OR(_xll.BDP($AX62,"FD252")="#N/A N/A",_xll.BDP($AX62,"FD252")="#N/A FIELD NOT APPLICABLE")," ", _xll.BDP($AX62,"FD252")/100)</f>
        <v xml:space="preserve"> </v>
      </c>
      <c r="AL62" s="25" cm="1">
        <f t="array" ref="AL62">IF(OR(_xll.BDP($AX62,"FD015")="#N/A N/A",_xll.BDP($AX62,"FD015")="#N/A FIELD NOT APPLICABLE")," ", _xll.BDP($AX62,"FD015")/100)</f>
        <v>1.5E-3</v>
      </c>
      <c r="AM62" s="25" cm="1">
        <f t="array" ref="AM62">IF(OR(_xll.BDP($AX62,"FD138")="#N/A N/A",_xll.BDP($AX62,"FD138")="#N/A FIELD NOT APPLICABLE")," ", _xll.BDP($AX62,"FD138")/100)</f>
        <v>1.5E-3</v>
      </c>
      <c r="AN62" s="36" cm="1">
        <f t="array" ref="AN62">IF(OR(_xll.BDP($AX62,"FD009")="#N/A N/A",_xll.BDP($AX62,"FD009")="#N/A FIELD NOT APPLICABLE")," ", _xll.BDP($AX62,"FD009")/100)</f>
        <v>0</v>
      </c>
      <c r="AO62" s="25" cm="1">
        <f t="array" ref="AO62">IF(OR(_xll.BDP($AX62,"RK512")="#N/A N/A",_xll.BDP($AX62,"RK512")="#N/A FIELD NOT APPLICABLE")," ", _xll.BDP($AX62,"RK512")/100)</f>
        <v>-4.6805200000000005E-3</v>
      </c>
      <c r="AP62" s="25" cm="1">
        <f t="array" ref="AP62">IF(OR(_xll.BDP($AX62,"RK514")="#N/A N/A",_xll.BDP($AX62,"RK514")="#N/A FIELD NOT APPLICABLE")," ", _xll.BDP($AX62,"RK514")/100)</f>
        <v>-4.6537599999999998E-3</v>
      </c>
      <c r="AQ62" s="25" cm="1">
        <f t="array" ref="AQ62">IF(OR(_xll.BDP($AX62,"RK521")="#N/A N/A",_xll.BDP($AX62,"RK521")="#N/A FIELD NOT APPLICABLE")," ", _xll.BDP($AX62,"RK521")/100)</f>
        <v>-1.68103E-3</v>
      </c>
      <c r="AR62" s="25" cm="1">
        <f t="array" ref="AR62">IF(OR(_xll.BDP($AX62,"RK525")="#N/A N/A",_xll.BDP($AX62,"RK525")="#N/A FIELD NOT APPLICABLE")," ", _xll.BDP($AX62,"RK525")/100)</f>
        <v>9.7709300000000006E-3</v>
      </c>
      <c r="AS62" s="25" cm="1">
        <f t="array" ref="AS62">IF(OR(_xll.BDP($AX62,"RK524")="#N/A N/A",_xll.BDP($AX62,"RK524")="#N/A FIELD NOT APPLICABLE")," ", _xll.BDP($AX62,"RK524")/100)</f>
        <v>-3.5129999999999997E-5</v>
      </c>
      <c r="AT62" s="25" t="str" cm="1">
        <f t="array" ref="AT62">IF(OR(_xll.BDP($AX62,"FD183")="#N/A N/A",_xll.BDP($AX62,"FD183")="#N/A FIELD NOT APPLICABLE")," ", _xll.BDP($AX62,"FD183"))</f>
        <v xml:space="preserve"> </v>
      </c>
      <c r="AU62" s="25" t="str" cm="1">
        <f t="array" ref="AU62">IF(OR(_xll.BDP($AX62,"DY997")="#N/A N/A",_xll.BDP($AX62,"DY997")="#N/A FIELD NOT APPLICABLE")," ", _xll.BDP($AX62,"DY997"))</f>
        <v xml:space="preserve"> </v>
      </c>
      <c r="AV62" s="25" t="str" cm="1">
        <f t="array" ref="AV62">IF(OR(_xll.BDP($AX62,"DY784")="#N/A N/A",_xll.BDP($AX62,"DY784")="#N/A FIELD NOT APPLICABLE")," ", _xll.BDP($AX62,"DY784"))</f>
        <v xml:space="preserve"> </v>
      </c>
      <c r="AW62" s="22" t="str">
        <f t="shared" si="14"/>
        <v>N</v>
      </c>
      <c r="AX62" s="22" t="str">
        <f t="shared" si="15"/>
        <v>GLTL LN Equity</v>
      </c>
      <c r="BC62" s="17" t="str" cm="1">
        <f t="array" ref="BC62">_xll.BDP(AX62,"ID005")</f>
        <v>IE00B6YX5L24</v>
      </c>
      <c r="BD62" s="17">
        <v>0.75</v>
      </c>
      <c r="BE62" s="18">
        <v>5</v>
      </c>
      <c r="BF62" s="37">
        <v>45492</v>
      </c>
      <c r="BG62" s="20">
        <v>1.0000000000107532</v>
      </c>
    </row>
    <row r="63" spans="1:59" s="3" customFormat="1" ht="14.45" customHeight="1" x14ac:dyDescent="0.25">
      <c r="A63" s="49" t="s">
        <v>241</v>
      </c>
      <c r="B63" s="49" t="s">
        <v>276</v>
      </c>
      <c r="C63" s="49" t="s">
        <v>277</v>
      </c>
      <c r="D63" s="49" t="s">
        <v>240</v>
      </c>
      <c r="E63" s="22" t="str">
        <f>_xll.BDP(AX63,"SECURITY NAME")</f>
        <v>SPDR Bloomberg Barclays 15+ Ye</v>
      </c>
      <c r="F63" s="22" t="str">
        <f>_xll.BDP(AX63,"CRNCY")</f>
        <v>GBP</v>
      </c>
      <c r="G63" s="23" t="s">
        <v>110</v>
      </c>
      <c r="H63" s="22" t="str" cm="1">
        <f t="array" ref="H63">IF(OR(_xll.BDP($AX63,"FD120")="#N/A N/A",_xll.BDP($AX63,"FD120")="#N/A FIELD NOT APPLICABLE")," ",_xll.BDP($AX63,"FD120"))</f>
        <v>U.K.</v>
      </c>
      <c r="I63" s="22" t="str" cm="1">
        <f t="array" ref="I63">IF(OR(_xll.BDP($AX63,"FD116")="#N/A N/A",_xll.BDP($AX63,"FD116")="#N/A FIELD NOT APPLICABLE")," ",_xll.BDP($AX63,"FD116"))</f>
        <v>Government</v>
      </c>
      <c r="J63" s="22" t="str" cm="1">
        <f t="array" ref="J63">IF(OR(_xll.BDP($AX63,"FD133")="#N/A N/A",_xll.BDP($AX63,"FD133")="#N/A FIELD NOT APPLICABLE")," ", _xll.BDP($AX63,"FD133"))</f>
        <v xml:space="preserve"> </v>
      </c>
      <c r="K63" s="34">
        <f>_xll.BDP(AX63,"FUND_ASSETS_USD")/1000</f>
        <v>0.9707688000000001</v>
      </c>
      <c r="L63" s="25">
        <f>IFERROR(_xll.BDP(AX63, "DV013")/100,0)</f>
        <v>4.6519138121156954E-2</v>
      </c>
      <c r="M63" s="25" cm="1">
        <f t="array" ref="M63">IF(OR(_xll.BDP($AX63,"PR079")="#N/A N/A",_xll.BDP($AX63,"PR079")="#N/A FIELD NOT APPLICABLE")," ", _xll.BDP($AX63,"PR079")/100)</f>
        <v>-2.0716950000000001E-2</v>
      </c>
      <c r="N63" s="25" cm="1">
        <f t="array" ref="N63">IF(OR(_xll.BDP($AX63,"RT074")="#N/A N/A",_xll.BDP($AX63,"RT074")="#N/A FIELD NOT APPLICABLE")," ", _xll.BDP($AX63,"RT074")/100)</f>
        <v>-1.4243850000000001E-2</v>
      </c>
      <c r="O63" s="27">
        <v>1950</v>
      </c>
      <c r="P63" s="28">
        <v>39.91057</v>
      </c>
      <c r="Q63" s="22" cm="1">
        <f t="array" ref="Q63">IF(OR(_xll.BDP($AX63,"PX_last")="#N/A N/A",_xll.BDP($AX63,"PX_Last")="#N/A FIELD NOT APPLICABLE")," ",IF(F63="GBP",(_xll.BDP($AX63,"PX_LAST")),(_xll.BDP($AX63,"PX_LAST"))))</f>
        <v>35.924999999999997</v>
      </c>
      <c r="R63" s="29">
        <f>IF(F63="USD",AA63,(((_xll.BDP(F63&amp;"USD CURNCY","PX_LAST")))*AA63))</f>
        <v>103593.67146765</v>
      </c>
      <c r="S63" s="29">
        <f>IF(F63="USD",AB63,(((_xll.BDP(F63&amp;"USD CURNCY","PX_LAST")))*AB63))</f>
        <v>93248.546625000003</v>
      </c>
      <c r="T63" s="12">
        <f t="shared" si="8"/>
        <v>-10345.124842649995</v>
      </c>
      <c r="U63" s="13">
        <f t="shared" si="9"/>
        <v>-9.9862517623777319E-2</v>
      </c>
      <c r="V63" s="13" cm="1">
        <f t="array" ref="V63">IFERROR(_xll.BDP($G63&amp;" Equity","CHG_PCT_1D")/100,"")</f>
        <v>-7.5966849999999997E-3</v>
      </c>
      <c r="W63" s="13" cm="1">
        <f t="array" ref="W63">IFERROR(_xll.BDP($G63&amp;" Equity","CHG_PCT_5D")/100,"")</f>
        <v>-1.5286269999999999E-3</v>
      </c>
      <c r="X63" s="13" t="e">
        <f>S63/#REF!</f>
        <v>#REF!</v>
      </c>
      <c r="Y63" s="29">
        <f t="shared" si="10"/>
        <v>4337.8420200455193</v>
      </c>
      <c r="Z63" s="29">
        <f t="shared" si="11"/>
        <v>93248.546625000003</v>
      </c>
      <c r="AA63" s="29">
        <f t="shared" si="12"/>
        <v>77825.611499999999</v>
      </c>
      <c r="AB63" s="29">
        <f t="shared" si="13"/>
        <v>70053.75</v>
      </c>
      <c r="AC63" s="25" t="str" cm="1">
        <f t="array" ref="AC63">IF(OR(_xll.BDP($AX63,"EX028")="#N/A N/A",_xll.BDP($AX63,"EX028")="#N/A FIELD NOT APPLICABLE")," ", _xll.BDP($AX63,"EX028"))</f>
        <v>Fund</v>
      </c>
      <c r="AD63" s="35" t="str" cm="1">
        <f t="array" ref="AD63">IF(OR(_xll.BDP($AX63,"FD121")="#N/A N/A",_xll.BDP($AX63,"FD121")="#N/A FIELD NOT APPLICABLE")," ", _xll.BDP($AX63,"FD121"))</f>
        <v>Fixed Income</v>
      </c>
      <c r="AE63" s="25" t="str" cm="1">
        <f t="array" ref="AE63">IF(OR(_xll.BDP($AX63,"FD118")="#N/A N/A",_xll.BDP($AX63,"FD118")="#N/A FIELD NOT APPLICABLE")," ", _xll.BDP($AX63,"FD118"))</f>
        <v>ETF</v>
      </c>
      <c r="AF63" s="22" t="str" cm="1">
        <f t="array" ref="AF63">IF(OR(_xll.BDP($AX63,"FD114")="#N/A N/A",_xll.BDP($AX63,"FD114")="#N/A FIELD NOT APPLICABLE")," ", _xll.BDP($AX63,"FD114"))</f>
        <v>Investment Grade BBB or higher</v>
      </c>
      <c r="AG63" s="22" t="str" cm="1">
        <f t="array" ref="AG63">IF(OR(_xll.BDP($AX63,"FD003")="#N/A N/A",_xll.BDP($AX63,"FD003")="#N/A FIELD NOT APPLICABLE")," ", _xll.BDP($AX63,"FD003"))</f>
        <v>17/05/2012</v>
      </c>
      <c r="AH63" s="32" cm="1">
        <f t="array" ref="AH63">IF(OR(_xll.BDP($AX63,"PR061")="#N/A N/A",_xll.BDP($AX63,"PR061")="#N/A FIELD NOT APPLICABLE")," ", _xll.BDP($AX63,"PR061")/100)</f>
        <v>8.4210529999999995E-3</v>
      </c>
      <c r="AI63" s="25" cm="1">
        <f t="array" ref="AI63">IF(OR(_xll.BDP($AX63,"RT075")="#N/A N/A",_xll.BDP($AX63,"RT075")="#N/A FIELD NOT APPLICABLE")," ", _xll.BDP($AX63,"RT075")/100)</f>
        <v>-0.1328365</v>
      </c>
      <c r="AJ63" s="25" cm="1">
        <f t="array" ref="AJ63">IF(OR(_xll.BDP($AX63,"RT076")="#N/A N/A",_xll.BDP($AX63,"RT076")="#N/A FIELD NOT APPLICABLE")," ", _xll.BDP($AX63,"RT076")/100)</f>
        <v>-0.13283810000000001</v>
      </c>
      <c r="AK63" s="25" t="str" cm="1">
        <f t="array" ref="AK63">IF(OR(_xll.BDP($AX63,"FD252")="#N/A N/A",_xll.BDP($AX63,"FD252")="#N/A FIELD NOT APPLICABLE")," ", _xll.BDP($AX63,"FD252")/100)</f>
        <v xml:space="preserve"> </v>
      </c>
      <c r="AL63" s="25" cm="1">
        <f t="array" ref="AL63">IF(OR(_xll.BDP($AX63,"FD015")="#N/A N/A",_xll.BDP($AX63,"FD015")="#N/A FIELD NOT APPLICABLE")," ", _xll.BDP($AX63,"FD015")/100)</f>
        <v>1.5E-3</v>
      </c>
      <c r="AM63" s="25" cm="1">
        <f t="array" ref="AM63">IF(OR(_xll.BDP($AX63,"FD138")="#N/A N/A",_xll.BDP($AX63,"FD138")="#N/A FIELD NOT APPLICABLE")," ", _xll.BDP($AX63,"FD138")/100)</f>
        <v>1.5E-3</v>
      </c>
      <c r="AN63" s="36" cm="1">
        <f t="array" ref="AN63">IF(OR(_xll.BDP($AX63,"FD009")="#N/A N/A",_xll.BDP($AX63,"FD009")="#N/A FIELD NOT APPLICABLE")," ", _xll.BDP($AX63,"FD009")/100)</f>
        <v>0</v>
      </c>
      <c r="AO63" s="25" cm="1">
        <f t="array" ref="AO63">IF(OR(_xll.BDP($AX63,"RK512")="#N/A N/A",_xll.BDP($AX63,"RK512")="#N/A FIELD NOT APPLICABLE")," ", _xll.BDP($AX63,"RK512")/100)</f>
        <v>-4.6805200000000005E-3</v>
      </c>
      <c r="AP63" s="25" cm="1">
        <f t="array" ref="AP63">IF(OR(_xll.BDP($AX63,"RK514")="#N/A N/A",_xll.BDP($AX63,"RK514")="#N/A FIELD NOT APPLICABLE")," ", _xll.BDP($AX63,"RK514")/100)</f>
        <v>-4.6537599999999998E-3</v>
      </c>
      <c r="AQ63" s="25" cm="1">
        <f t="array" ref="AQ63">IF(OR(_xll.BDP($AX63,"RK521")="#N/A N/A",_xll.BDP($AX63,"RK521")="#N/A FIELD NOT APPLICABLE")," ", _xll.BDP($AX63,"RK521")/100)</f>
        <v>-1.68103E-3</v>
      </c>
      <c r="AR63" s="25" cm="1">
        <f t="array" ref="AR63">IF(OR(_xll.BDP($AX63,"RK525")="#N/A N/A",_xll.BDP($AX63,"RK525")="#N/A FIELD NOT APPLICABLE")," ", _xll.BDP($AX63,"RK525")/100)</f>
        <v>9.7709300000000006E-3</v>
      </c>
      <c r="AS63" s="25" cm="1">
        <f t="array" ref="AS63">IF(OR(_xll.BDP($AX63,"RK524")="#N/A N/A",_xll.BDP($AX63,"RK524")="#N/A FIELD NOT APPLICABLE")," ", _xll.BDP($AX63,"RK524")/100)</f>
        <v>-3.5129999999999997E-5</v>
      </c>
      <c r="AT63" s="25" t="str" cm="1">
        <f t="array" ref="AT63">IF(OR(_xll.BDP($AX63,"FD183")="#N/A N/A",_xll.BDP($AX63,"FD183")="#N/A FIELD NOT APPLICABLE")," ", _xll.BDP($AX63,"FD183"))</f>
        <v xml:space="preserve"> </v>
      </c>
      <c r="AU63" s="25" t="str" cm="1">
        <f t="array" ref="AU63">IF(OR(_xll.BDP($AX63,"DY997")="#N/A N/A",_xll.BDP($AX63,"DY997")="#N/A FIELD NOT APPLICABLE")," ", _xll.BDP($AX63,"DY997"))</f>
        <v xml:space="preserve"> </v>
      </c>
      <c r="AV63" s="25" t="str" cm="1">
        <f t="array" ref="AV63">IF(OR(_xll.BDP($AX63,"DY784")="#N/A N/A",_xll.BDP($AX63,"DY784")="#N/A FIELD NOT APPLICABLE")," ", _xll.BDP($AX63,"DY784"))</f>
        <v xml:space="preserve"> </v>
      </c>
      <c r="AW63" s="22" t="str">
        <f t="shared" si="14"/>
        <v>N</v>
      </c>
      <c r="AX63" s="22" t="str">
        <f t="shared" si="15"/>
        <v>GLTL LN Equity</v>
      </c>
      <c r="BC63" s="17" t="str" cm="1">
        <f t="array" ref="BC63">_xll.BDP(AX63,"ID005")</f>
        <v>IE00B6YX5L24</v>
      </c>
      <c r="BD63" s="17">
        <v>0.77</v>
      </c>
      <c r="BE63" s="18">
        <v>3</v>
      </c>
      <c r="BF63" s="37">
        <v>45510</v>
      </c>
      <c r="BG63" s="20">
        <v>1.0000000000107532</v>
      </c>
    </row>
    <row r="64" spans="1:59" s="3" customFormat="1" ht="14.45" customHeight="1" x14ac:dyDescent="0.25">
      <c r="A64" s="49" t="s">
        <v>242</v>
      </c>
      <c r="B64" s="49" t="s">
        <v>260</v>
      </c>
      <c r="C64" s="49" t="s">
        <v>261</v>
      </c>
      <c r="D64" s="49" t="s">
        <v>248</v>
      </c>
      <c r="E64" s="22" t="str">
        <f>_xll.BDP(AX64,"SECURITY NAME")</f>
        <v>iShares Global Clean Energy ET</v>
      </c>
      <c r="F64" s="22" t="str">
        <f>_xll.BDP(AX64,"CRNCY")</f>
        <v>USD</v>
      </c>
      <c r="G64" s="73" t="s">
        <v>204</v>
      </c>
      <c r="H64" s="22" t="str" cm="1">
        <f t="array" ref="H64">IF(OR(_xll.BDP($AX64,"FD120")="#N/A N/A",_xll.BDP($AX64,"FD120")="#N/A FIELD NOT APPLICABLE")," ",_xll.BDP($AX64,"FD120"))</f>
        <v>Global</v>
      </c>
      <c r="I64" s="22" t="str" cm="1">
        <f t="array" ref="I64">IF(OR(_xll.BDP($AX64,"FD116")="#N/A N/A",_xll.BDP($AX64,"FD116")="#N/A FIELD NOT APPLICABLE")," ",_xll.BDP($AX64,"FD116"))</f>
        <v>Blend</v>
      </c>
      <c r="J64" s="22" t="str" cm="1">
        <f t="array" ref="J64">IF(OR(_xll.BDP($AX64,"FD133")="#N/A N/A",_xll.BDP($AX64,"FD133")="#N/A FIELD NOT APPLICABLE")," ", _xll.BDP($AX64,"FD133"))</f>
        <v>Energy</v>
      </c>
      <c r="K64" s="34">
        <f>_xll.BDP(AX64,"FUND_ASSETS_USD")/1000</f>
        <v>1.3126532625</v>
      </c>
      <c r="L64" s="25">
        <f>IFERROR(_xll.BDP(AX64, "DV013")/100,0)</f>
        <v>1.9451277727162819E-2</v>
      </c>
      <c r="M64" s="25" cm="1">
        <f t="array" ref="M64">IF(OR(_xll.BDP($AX64,"PR079")="#N/A N/A",_xll.BDP($AX64,"PR079")="#N/A FIELD NOT APPLICABLE")," ", _xll.BDP($AX64,"PR079")/100)</f>
        <v>3.163444E-2</v>
      </c>
      <c r="N64" s="25" cm="1">
        <f t="array" ref="N64">IF(OR(_xll.BDP($AX64,"RT074")="#N/A N/A",_xll.BDP($AX64,"RT074")="#N/A FIELD NOT APPLICABLE")," ", _xll.BDP($AX64,"RT074")/100)</f>
        <v>-9.9536409999999992E-2</v>
      </c>
      <c r="O64" s="74">
        <v>425</v>
      </c>
      <c r="P64" s="75">
        <v>23.81</v>
      </c>
      <c r="Q64" s="22" cm="1">
        <f t="array" ref="Q64">IF(OR(_xll.BDP($AX64,"PX_last")="#N/A N/A",_xll.BDP($AX64,"PX_Last")="#N/A FIELD NOT APPLICABLE")," ",IF(F64="GBP",(_xll.BDP($AX64,"PX_LAST")),(_xll.BDP($AX64,"PX_LAST"))))</f>
        <v>11.74</v>
      </c>
      <c r="R64" s="29">
        <f>IF(F64="USD",AA64,(((_xll.BDP(F64&amp;"USD CURNCY","PX_LAST")))*AA64))</f>
        <v>10119.25</v>
      </c>
      <c r="S64" s="29">
        <f>IF(F64="USD",AB64,(((_xll.BDP(F64&amp;"USD CURNCY","PX_LAST")))*AB64))</f>
        <v>4989.5</v>
      </c>
      <c r="T64" s="12">
        <f t="shared" si="8"/>
        <v>-5129.75</v>
      </c>
      <c r="U64" s="13">
        <f t="shared" si="9"/>
        <v>-0.50692986140277196</v>
      </c>
      <c r="V64" s="13" cm="1">
        <f t="array" ref="V64">IFERROR(_xll.BDP($G64&amp;" Equity","CHG_PCT_1D")/100,"")</f>
        <v>-2.5488529999999998E-3</v>
      </c>
      <c r="W64" s="13" cm="1">
        <f t="array" ref="W64">IFERROR(_xll.BDP($G64&amp;" Equity","CHG_PCT_5D")/100,"")</f>
        <v>0</v>
      </c>
      <c r="X64" s="13" t="e">
        <f>S64/#REF!</f>
        <v>#REF!</v>
      </c>
      <c r="Y64" s="29">
        <f t="shared" si="10"/>
        <v>97.052150219678879</v>
      </c>
      <c r="Z64" s="29">
        <f t="shared" si="11"/>
        <v>4989.5</v>
      </c>
      <c r="AA64" s="29">
        <f t="shared" si="12"/>
        <v>10119.25</v>
      </c>
      <c r="AB64" s="29">
        <f t="shared" si="13"/>
        <v>4989.5</v>
      </c>
      <c r="AC64" s="25" t="str" cm="1">
        <f t="array" ref="AC64">IF(OR(_xll.BDP($AX64,"EX028")="#N/A N/A",_xll.BDP($AX64,"EX028")="#N/A FIELD NOT APPLICABLE")," ", _xll.BDP($AX64,"EX028"))</f>
        <v>Fund</v>
      </c>
      <c r="AD64" s="35" t="str" cm="1">
        <f t="array" ref="AD64">IF(OR(_xll.BDP($AX64,"FD121")="#N/A N/A",_xll.BDP($AX64,"FD121")="#N/A FIELD NOT APPLICABLE")," ", _xll.BDP($AX64,"FD121"))</f>
        <v>Equity</v>
      </c>
      <c r="AE64" s="25" t="str" cm="1">
        <f t="array" ref="AE64">IF(OR(_xll.BDP($AX64,"FD118")="#N/A N/A",_xll.BDP($AX64,"FD118")="#N/A FIELD NOT APPLICABLE")," ", _xll.BDP($AX64,"FD118"))</f>
        <v>ETF</v>
      </c>
      <c r="AF64" s="22" t="str" cm="1">
        <f t="array" ref="AF64">IF(OR(_xll.BDP($AX64,"FD114")="#N/A N/A",_xll.BDP($AX64,"FD114")="#N/A FIELD NOT APPLICABLE")," ", _xll.BDP($AX64,"FD114"))</f>
        <v xml:space="preserve"> </v>
      </c>
      <c r="AG64" s="22" t="str" cm="1">
        <f t="array" ref="AG64">IF(OR(_xll.BDP($AX64,"FD003")="#N/A N/A",_xll.BDP($AX64,"FD003")="#N/A FIELD NOT APPLICABLE")," ", _xll.BDP($AX64,"FD003"))</f>
        <v>25/06/2008</v>
      </c>
      <c r="AH64" s="32" cm="1">
        <f t="array" ref="AH64">IF(OR(_xll.BDP($AX64,"PR061")="#N/A N/A",_xll.BDP($AX64,"PR061")="#N/A FIELD NOT APPLICABLE")," ", _xll.BDP($AX64,"PR061")/100)</f>
        <v>1.6450199999999998E-2</v>
      </c>
      <c r="AI64" s="25" cm="1">
        <f t="array" ref="AI64">IF(OR(_xll.BDP($AX64,"RT075")="#N/A N/A",_xll.BDP($AX64,"RT075")="#N/A FIELD NOT APPLICABLE")," ", _xll.BDP($AX64,"RT075")/100)</f>
        <v>-0.1341058</v>
      </c>
      <c r="AJ64" s="25" cm="1">
        <f t="array" ref="AJ64">IF(OR(_xll.BDP($AX64,"RT076")="#N/A N/A",_xll.BDP($AX64,"RT076")="#N/A FIELD NOT APPLICABLE")," ", _xll.BDP($AX64,"RT076")/100)</f>
        <v>3.6497460000000002E-2</v>
      </c>
      <c r="AK64" s="25" cm="1">
        <f t="array" ref="AK64">IF(OR(_xll.BDP($AX64,"FD252")="#N/A N/A",_xll.BDP($AX64,"FD252")="#N/A FIELD NOT APPLICABLE")," ", _xll.BDP($AX64,"FD252")/100)</f>
        <v>0</v>
      </c>
      <c r="AL64" s="25" cm="1">
        <f t="array" ref="AL64">IF(OR(_xll.BDP($AX64,"FD015")="#N/A N/A",_xll.BDP($AX64,"FD015")="#N/A FIELD NOT APPLICABLE")," ", _xll.BDP($AX64,"FD015")/100)</f>
        <v>4.0999999999999995E-3</v>
      </c>
      <c r="AM64" s="25" cm="1">
        <f t="array" ref="AM64">IF(OR(_xll.BDP($AX64,"FD138")="#N/A N/A",_xll.BDP($AX64,"FD138")="#N/A FIELD NOT APPLICABLE")," ", _xll.BDP($AX64,"FD138")/100)</f>
        <v>4.0999999999999995E-3</v>
      </c>
      <c r="AN64" s="36" cm="1">
        <f t="array" ref="AN64">IF(OR(_xll.BDP($AX64,"FD009")="#N/A N/A",_xll.BDP($AX64,"FD009")="#N/A FIELD NOT APPLICABLE")," ", _xll.BDP($AX64,"FD009")/100)</f>
        <v>0</v>
      </c>
      <c r="AO64" s="25" cm="1">
        <f t="array" ref="AO64">IF(OR(_xll.BDP($AX64,"RK512")="#N/A N/A",_xll.BDP($AX64,"RK512")="#N/A FIELD NOT APPLICABLE")," ", _xll.BDP($AX64,"RK512")/100)</f>
        <v>-5.9845501184463499E-3</v>
      </c>
      <c r="AP64" s="25" cm="1">
        <f t="array" ref="AP64">IF(OR(_xll.BDP($AX64,"RK514")="#N/A N/A",_xll.BDP($AX64,"RK514")="#N/A FIELD NOT APPLICABLE")," ", _xll.BDP($AX64,"RK514")/100)</f>
        <v>-5.8950197696685793E-3</v>
      </c>
      <c r="AQ64" s="25" cm="1">
        <f t="array" ref="AQ64">IF(OR(_xll.BDP($AX64,"RK521")="#N/A N/A",_xll.BDP($AX64,"RK521")="#N/A FIELD NOT APPLICABLE")," ", _xll.BDP($AX64,"RK521")/100)</f>
        <v>5.2530598640441895E-3</v>
      </c>
      <c r="AR64" s="25" cm="1">
        <f t="array" ref="AR64">IF(OR(_xll.BDP($AX64,"RK525")="#N/A N/A",_xll.BDP($AX64,"RK525")="#N/A FIELD NOT APPLICABLE")," ", _xll.BDP($AX64,"RK525")/100)</f>
        <v>1.0498800277709962E-2</v>
      </c>
      <c r="AS64" s="25" cm="1">
        <f t="array" ref="AS64">IF(OR(_xll.BDP($AX64,"RK524")="#N/A N/A",_xll.BDP($AX64,"RK524")="#N/A FIELD NOT APPLICABLE")," ", _xll.BDP($AX64,"RK524")/100)</f>
        <v>1.7722999677062035E-4</v>
      </c>
      <c r="AT64" s="25" t="str" cm="1">
        <f t="array" ref="AT64">IF(OR(_xll.BDP($AX64,"FD183")="#N/A N/A",_xll.BDP($AX64,"FD183")="#N/A FIELD NOT APPLICABLE")," ", _xll.BDP($AX64,"FD183"))</f>
        <v>USD INC</v>
      </c>
      <c r="AU64" s="25" t="str" cm="1">
        <f t="array" ref="AU64">IF(OR(_xll.BDP($AX64,"DY997")="#N/A N/A",_xll.BDP($AX64,"DY997")="#N/A FIELD NOT APPLICABLE")," ", _xll.BDP($AX64,"DY997"))</f>
        <v xml:space="preserve"> </v>
      </c>
      <c r="AV64" s="25" t="str" cm="1">
        <f t="array" ref="AV64">IF(OR(_xll.BDP($AX64,"DY784")="#N/A N/A",_xll.BDP($AX64,"DY784")="#N/A FIELD NOT APPLICABLE")," ", _xll.BDP($AX64,"DY784"))</f>
        <v xml:space="preserve"> </v>
      </c>
      <c r="AW64" s="22" t="str">
        <f t="shared" si="14"/>
        <v>N</v>
      </c>
      <c r="AX64" s="22" t="str">
        <f t="shared" si="15"/>
        <v>ICLN US Equity</v>
      </c>
      <c r="BC64" s="17" t="str">
        <f>_xll.BDP(AX64, "ID_ISIN")</f>
        <v>US4642882249</v>
      </c>
      <c r="BD64" s="17"/>
      <c r="BE64" s="18">
        <v>5</v>
      </c>
      <c r="BF64" s="37"/>
      <c r="BG64" s="20">
        <v>1.0000000000107532</v>
      </c>
    </row>
    <row r="65" spans="1:59" s="3" customFormat="1" ht="14.45" customHeight="1" x14ac:dyDescent="0.25">
      <c r="A65" s="49" t="s">
        <v>241</v>
      </c>
      <c r="B65" s="49" t="s">
        <v>249</v>
      </c>
      <c r="C65" s="49" t="s">
        <v>250</v>
      </c>
      <c r="D65" s="49" t="s">
        <v>240</v>
      </c>
      <c r="E65" s="22" t="str">
        <f>_xll.BDP(AX65,"SECURITY NAME")</f>
        <v>VanEck Indonesia Index ETF</v>
      </c>
      <c r="F65" s="22" t="str">
        <f>_xll.BDP(AX65,"CRNCY")</f>
        <v>USD</v>
      </c>
      <c r="G65" s="23" t="s">
        <v>348</v>
      </c>
      <c r="H65" s="22" t="str" cm="1">
        <f t="array" ref="H65">IF(OR(_xll.BDP($AX65,"FD120")="#N/A N/A",_xll.BDP($AX65,"FD120")="#N/A FIELD NOT APPLICABLE")," ",_xll.BDP($AX65,"FD120"))</f>
        <v>Indonesia</v>
      </c>
      <c r="I65" s="22" t="str" cm="1">
        <f t="array" ref="I65">IF(OR(_xll.BDP($AX65,"FD116")="#N/A N/A",_xll.BDP($AX65,"FD116")="#N/A FIELD NOT APPLICABLE")," ",_xll.BDP($AX65,"FD116"))</f>
        <v>Blend</v>
      </c>
      <c r="J65" s="22" t="str" cm="1">
        <f t="array" ref="J65">IF(OR(_xll.BDP($AX65,"FD133")="#N/A N/A",_xll.BDP($AX65,"FD133")="#N/A FIELD NOT APPLICABLE")," ", _xll.BDP($AX65,"FD133"))</f>
        <v xml:space="preserve"> </v>
      </c>
      <c r="K65" s="34">
        <f>_xll.BDP(AX65,"FUND_ASSETS_USD")/1000</f>
        <v>2.9583021010000002E-2</v>
      </c>
      <c r="L65" s="25">
        <f>IFERROR(_xll.BDP(AX65, "DV013")/100,0)</f>
        <v>4.3602940790793479E-2</v>
      </c>
      <c r="M65" s="25" cm="1">
        <f t="array" ref="M65">IF(OR(_xll.BDP($AX65,"PR079")="#N/A N/A",_xll.BDP($AX65,"PR079")="#N/A FIELD NOT APPLICABLE")," ", _xll.BDP($AX65,"PR079")/100)</f>
        <v>-9.3333329999999992E-2</v>
      </c>
      <c r="N65" s="25" cm="1">
        <f t="array" ref="N65">IF(OR(_xll.BDP($AX65,"RT074")="#N/A N/A",_xll.BDP($AX65,"RT074")="#N/A FIELD NOT APPLICABLE")," ", _xll.BDP($AX65,"RT074")/100)</f>
        <v>-0.119977</v>
      </c>
      <c r="O65" s="27">
        <v>5302</v>
      </c>
      <c r="P65" s="28">
        <v>12.38</v>
      </c>
      <c r="Q65" s="22" cm="1">
        <f t="array" ref="Q65">IF(OR(_xll.BDP($AX65,"PX_last")="#N/A N/A",_xll.BDP($AX65,"PX_Last")="#N/A FIELD NOT APPLICABLE")," ",IF(F65="GBP",(_xll.BDP($AX65,"PX_LAST")/100),(_xll.BDP($AX65,"PX_LAST"))))</f>
        <v>13.6</v>
      </c>
      <c r="R65" s="29">
        <f>IF(F65="USD",AA65,(((_xll.BDP(F65&amp;"USD CURNCY","PX_LAST")))*AA65))</f>
        <v>65638.760000000009</v>
      </c>
      <c r="S65" s="29">
        <f>IF(F65="USD",AB65,(((_xll.BDP(F65&amp;"USD CURNCY","PX_LAST")))*AB65))</f>
        <v>72107.199999999997</v>
      </c>
      <c r="T65" s="12">
        <f t="shared" si="8"/>
        <v>6468.4399999999878</v>
      </c>
      <c r="U65" s="13">
        <f t="shared" si="9"/>
        <v>9.8546042003230819E-2</v>
      </c>
      <c r="V65" s="13" cm="1">
        <f t="array" ref="V65">IFERROR(_xll.BDP($G65&amp;" Equity","CHG_PCT_1D")/100,"")</f>
        <v>8.8871099999999995E-2</v>
      </c>
      <c r="W65" s="13" cm="1">
        <f t="array" ref="W65">IFERROR(_xll.BDP($G65&amp;" Equity","CHG_PCT_5D")/100,"")</f>
        <v>8.8871099999999995E-2</v>
      </c>
      <c r="X65" s="13" t="e">
        <f>S65/$H$62</f>
        <v>#VALUE!</v>
      </c>
      <c r="Y65" s="29">
        <f t="shared" si="10"/>
        <v>3144.0859721899033</v>
      </c>
      <c r="Z65" s="29">
        <f t="shared" si="11"/>
        <v>72107.199999999997</v>
      </c>
      <c r="AA65" s="29">
        <f t="shared" si="12"/>
        <v>65638.760000000009</v>
      </c>
      <c r="AB65" s="29">
        <f t="shared" si="13"/>
        <v>72107.199999999997</v>
      </c>
      <c r="AC65" s="25" t="str" cm="1">
        <f t="array" ref="AC65">IF(OR(_xll.BDP($AX65,"EX028")="#N/A N/A",_xll.BDP($AX65,"EX028")="#N/A FIELD NOT APPLICABLE")," ", _xll.BDP($AX65,"EX028"))</f>
        <v>Fund</v>
      </c>
      <c r="AD65" s="35" t="str" cm="1">
        <f t="array" ref="AD65">IF(OR(_xll.BDP($AX65,"FD121")="#N/A N/A",_xll.BDP($AX65,"FD121")="#N/A FIELD NOT APPLICABLE")," ", _xll.BDP($AX65,"FD121"))</f>
        <v>Equity</v>
      </c>
      <c r="AE65" s="25" t="str" cm="1">
        <f t="array" ref="AE65">IF(OR(_xll.BDP($AX65,"FD118")="#N/A N/A",_xll.BDP($AX65,"FD118")="#N/A FIELD NOT APPLICABLE")," ", _xll.BDP($AX65,"FD118"))</f>
        <v>ETF</v>
      </c>
      <c r="AF65" s="22" t="str" cm="1">
        <f t="array" ref="AF65">IF(OR(_xll.BDP($AX65,"FD114")="#N/A N/A",_xll.BDP($AX65,"FD114")="#N/A FIELD NOT APPLICABLE")," ", _xll.BDP($AX65,"FD114"))</f>
        <v xml:space="preserve"> </v>
      </c>
      <c r="AG65" s="22" t="str" cm="1">
        <f t="array" ref="AG65">IF(OR(_xll.BDP($AX65,"FD003")="#N/A N/A",_xll.BDP($AX65,"FD003")="#N/A FIELD NOT APPLICABLE")," ", _xll.BDP($AX65,"FD003"))</f>
        <v>20/01/2009</v>
      </c>
      <c r="AH65" s="32" cm="1">
        <f t="array" ref="AH65">IF(OR(_xll.BDP($AX65,"PR061")="#N/A N/A",_xll.BDP($AX65,"PR061")="#N/A FIELD NOT APPLICABLE")," ", _xll.BDP($AX65,"PR061")/100)</f>
        <v>9.3247630000000012E-2</v>
      </c>
      <c r="AI65" s="25" cm="1">
        <f t="array" ref="AI65">IF(OR(_xll.BDP($AX65,"RT075")="#N/A N/A",_xll.BDP($AX65,"RT075")="#N/A FIELD NOT APPLICABLE")," ", _xll.BDP($AX65,"RT075")/100)</f>
        <v>-0.11811379999999999</v>
      </c>
      <c r="AJ65" s="25" cm="1">
        <f t="array" ref="AJ65">IF(OR(_xll.BDP($AX65,"RT076")="#N/A N/A",_xll.BDP($AX65,"RT076")="#N/A FIELD NOT APPLICABLE")," ", _xll.BDP($AX65,"RT076")/100)</f>
        <v>2.4637259999999998E-2</v>
      </c>
      <c r="AK65" s="25" cm="1">
        <f t="array" ref="AK65">IF(OR(_xll.BDP($AX65,"FD252")="#N/A N/A",_xll.BDP($AX65,"FD252")="#N/A FIELD NOT APPLICABLE")," ", _xll.BDP($AX65,"FD252")/100)</f>
        <v>0</v>
      </c>
      <c r="AL65" s="25" cm="1">
        <f t="array" ref="AL65">IF(OR(_xll.BDP($AX65,"FD015")="#N/A N/A",_xll.BDP($AX65,"FD015")="#N/A FIELD NOT APPLICABLE")," ", _xll.BDP($AX65,"FD015")/100)</f>
        <v>5.6999999999999993E-3</v>
      </c>
      <c r="AM65" s="25" cm="1">
        <f t="array" ref="AM65">IF(OR(_xll.BDP($AX65,"FD138")="#N/A N/A",_xll.BDP($AX65,"FD138")="#N/A FIELD NOT APPLICABLE")," ", _xll.BDP($AX65,"FD138")/100)</f>
        <v>5.0000000000000001E-3</v>
      </c>
      <c r="AN65" s="36" cm="1">
        <f t="array" ref="AN65">IF(OR(_xll.BDP($AX65,"FD009")="#N/A N/A",_xll.BDP($AX65,"FD009")="#N/A FIELD NOT APPLICABLE")," ", _xll.BDP($AX65,"FD009")/100)</f>
        <v>0</v>
      </c>
      <c r="AO65" s="25" cm="1">
        <f t="array" ref="AO65">IF(OR(_xll.BDP($AX65,"RK512")="#N/A N/A",_xll.BDP($AX65,"RK512")="#N/A FIELD NOT APPLICABLE")," ", _xll.BDP($AX65,"RK512")/100)</f>
        <v>-5.5416297912597653E-3</v>
      </c>
      <c r="AP65" s="25" cm="1">
        <f t="array" ref="AP65">IF(OR(_xll.BDP($AX65,"RK514")="#N/A N/A",_xll.BDP($AX65,"RK514")="#N/A FIELD NOT APPLICABLE")," ", _xll.BDP($AX65,"RK514")/100)</f>
        <v>-4.9789801239967348E-3</v>
      </c>
      <c r="AQ65" s="25" cm="1">
        <f t="array" ref="AQ65">IF(OR(_xll.BDP($AX65,"RK521")="#N/A N/A",_xll.BDP($AX65,"RK521")="#N/A FIELD NOT APPLICABLE")," ", _xll.BDP($AX65,"RK521")/100)</f>
        <v>-3.8590800762176515E-3</v>
      </c>
      <c r="AR65" s="25" cm="1">
        <f t="array" ref="AR65">IF(OR(_xll.BDP($AX65,"RK525")="#N/A N/A",_xll.BDP($AX65,"RK525")="#N/A FIELD NOT APPLICABLE")," ", _xll.BDP($AX65,"RK525")/100)</f>
        <v>9.4481402635574335E-3</v>
      </c>
      <c r="AS65" s="25" cm="1">
        <f t="array" ref="AS65">IF(OR(_xll.BDP($AX65,"RK524")="#N/A N/A",_xll.BDP($AX65,"RK524")="#N/A FIELD NOT APPLICABLE")," ", _xll.BDP($AX65,"RK524")/100)</f>
        <v>-1.8376000225543975E-4</v>
      </c>
      <c r="AT65" s="25" t="str" cm="1">
        <f t="array" ref="AT65">IF(OR(_xll.BDP($AX65,"FD183")="#N/A N/A",_xll.BDP($AX65,"FD183")="#N/A FIELD NOT APPLICABLE")," ", _xll.BDP($AX65,"FD183"))</f>
        <v>USD INC</v>
      </c>
      <c r="AU65" s="25" t="str" cm="1">
        <f t="array" ref="AU65">IF(OR(_xll.BDP($AX65,"DY997")="#N/A N/A",_xll.BDP($AX65,"DY997")="#N/A FIELD NOT APPLICABLE")," ", _xll.BDP($AX65,"DY997"))</f>
        <v xml:space="preserve"> </v>
      </c>
      <c r="AV65" s="25" t="str" cm="1">
        <f t="array" ref="AV65">IF(OR(_xll.BDP($AX65,"DY784")="#N/A N/A",_xll.BDP($AX65,"DY784")="#N/A FIELD NOT APPLICABLE")," ", _xll.BDP($AX65,"DY784"))</f>
        <v xml:space="preserve"> </v>
      </c>
      <c r="AW65" s="22" t="str">
        <f t="shared" si="14"/>
        <v>N</v>
      </c>
      <c r="AX65" s="22" t="str">
        <f t="shared" si="15"/>
        <v>IDX UN Equity</v>
      </c>
      <c r="BC65" s="17" t="str" cm="1">
        <f t="array" ref="BC65">_xll.BDP(AX65,"ID005")</f>
        <v>US92189F8335</v>
      </c>
      <c r="BD65" s="17">
        <v>0.56999999999999995</v>
      </c>
      <c r="BE65" s="18">
        <v>5</v>
      </c>
      <c r="BF65" s="37">
        <v>44301</v>
      </c>
      <c r="BG65" s="20">
        <v>1.0000000000107532</v>
      </c>
    </row>
    <row r="66" spans="1:59" s="3" customFormat="1" ht="14.45" customHeight="1" x14ac:dyDescent="0.25">
      <c r="A66" s="49" t="s">
        <v>241</v>
      </c>
      <c r="B66" s="49" t="s">
        <v>251</v>
      </c>
      <c r="C66" s="49" t="s">
        <v>252</v>
      </c>
      <c r="D66" s="49" t="s">
        <v>240</v>
      </c>
      <c r="E66" s="22" t="str">
        <f>_xll.BDP(AX66,"SECURITY NAME")</f>
        <v>VanEck Indonesia Index ETF</v>
      </c>
      <c r="F66" s="22" t="str">
        <f>_xll.BDP(AX66,"CRNCY")</f>
        <v>USD</v>
      </c>
      <c r="G66" s="23" t="s">
        <v>348</v>
      </c>
      <c r="H66" s="22" t="str" cm="1">
        <f t="array" ref="H66">IF(OR(_xll.BDP($AX66,"FD120")="#N/A N/A",_xll.BDP($AX66,"FD120")="#N/A FIELD NOT APPLICABLE")," ",_xll.BDP($AX66,"FD120"))</f>
        <v>Indonesia</v>
      </c>
      <c r="I66" s="22" t="str" cm="1">
        <f t="array" ref="I66">IF(OR(_xll.BDP($AX66,"FD116")="#N/A N/A",_xll.BDP($AX66,"FD116")="#N/A FIELD NOT APPLICABLE")," ",_xll.BDP($AX66,"FD116"))</f>
        <v>Blend</v>
      </c>
      <c r="J66" s="22" t="str" cm="1">
        <f t="array" ref="J66">IF(OR(_xll.BDP($AX66,"FD133")="#N/A N/A",_xll.BDP($AX66,"FD133")="#N/A FIELD NOT APPLICABLE")," ", _xll.BDP($AX66,"FD133"))</f>
        <v xml:space="preserve"> </v>
      </c>
      <c r="K66" s="34">
        <f>_xll.BDP(AX66,"FUND_ASSETS_USD")/1000</f>
        <v>2.9583021010000002E-2</v>
      </c>
      <c r="L66" s="25">
        <f>IFERROR(_xll.BDP(AX66, "DV013")/100,0)</f>
        <v>4.3602940790793479E-2</v>
      </c>
      <c r="M66" s="25" cm="1">
        <f t="array" ref="M66">IF(OR(_xll.BDP($AX66,"PR079")="#N/A N/A",_xll.BDP($AX66,"PR079")="#N/A FIELD NOT APPLICABLE")," ", _xll.BDP($AX66,"PR079")/100)</f>
        <v>-9.3333329999999992E-2</v>
      </c>
      <c r="N66" s="25" cm="1">
        <f t="array" ref="N66">IF(OR(_xll.BDP($AX66,"RT074")="#N/A N/A",_xll.BDP($AX66,"RT074")="#N/A FIELD NOT APPLICABLE")," ", _xll.BDP($AX66,"RT074")/100)</f>
        <v>-0.119977</v>
      </c>
      <c r="O66" s="27">
        <v>6117</v>
      </c>
      <c r="P66" s="28">
        <v>12.38</v>
      </c>
      <c r="Q66" s="22" cm="1">
        <f t="array" ref="Q66">IF(OR(_xll.BDP($AX66,"PX_last")="#N/A N/A",_xll.BDP($AX66,"PX_Last")="#N/A FIELD NOT APPLICABLE")," ",IF(F66="GBP",(_xll.BDP($AX66,"PX_LAST")/100),(_xll.BDP($AX66,"PX_LAST"))))</f>
        <v>13.6</v>
      </c>
      <c r="R66" s="29">
        <f>IF(F66="USD",AA66,(((_xll.BDP(F66&amp;"USD CURNCY","PX_LAST")))*AA66))</f>
        <v>75728.460000000006</v>
      </c>
      <c r="S66" s="29">
        <f>IF(F66="USD",AB66,(((_xll.BDP(F66&amp;"USD CURNCY","PX_LAST")))*AB66))</f>
        <v>83191.199999999997</v>
      </c>
      <c r="T66" s="12">
        <f t="shared" si="8"/>
        <v>7462.7399999999907</v>
      </c>
      <c r="U66" s="13">
        <f t="shared" si="9"/>
        <v>9.8546042003230888E-2</v>
      </c>
      <c r="V66" s="13" cm="1">
        <f t="array" ref="V66">IFERROR(_xll.BDP($G66&amp;" Equity","CHG_PCT_1D")/100,"")</f>
        <v>8.8871099999999995E-2</v>
      </c>
      <c r="W66" s="13" cm="1">
        <f t="array" ref="W66">IFERROR(_xll.BDP($G66&amp;" Equity","CHG_PCT_5D")/100,"")</f>
        <v>8.8871099999999995E-2</v>
      </c>
      <c r="X66" s="13" t="e">
        <f>S66/$H$62</f>
        <v>#VALUE!</v>
      </c>
      <c r="Y66" s="29">
        <f t="shared" si="10"/>
        <v>3627.3809679150581</v>
      </c>
      <c r="Z66" s="29">
        <f t="shared" si="11"/>
        <v>83191.199999999997</v>
      </c>
      <c r="AA66" s="29">
        <f t="shared" si="12"/>
        <v>75728.460000000006</v>
      </c>
      <c r="AB66" s="29">
        <f t="shared" si="13"/>
        <v>83191.199999999997</v>
      </c>
      <c r="AC66" s="25" t="str" cm="1">
        <f t="array" ref="AC66">IF(OR(_xll.BDP($AX66,"EX028")="#N/A N/A",_xll.BDP($AX66,"EX028")="#N/A FIELD NOT APPLICABLE")," ", _xll.BDP($AX66,"EX028"))</f>
        <v>Fund</v>
      </c>
      <c r="AD66" s="35" t="str" cm="1">
        <f t="array" ref="AD66">IF(OR(_xll.BDP($AX66,"FD121")="#N/A N/A",_xll.BDP($AX66,"FD121")="#N/A FIELD NOT APPLICABLE")," ", _xll.BDP($AX66,"FD121"))</f>
        <v>Equity</v>
      </c>
      <c r="AE66" s="25" t="str" cm="1">
        <f t="array" ref="AE66">IF(OR(_xll.BDP($AX66,"FD118")="#N/A N/A",_xll.BDP($AX66,"FD118")="#N/A FIELD NOT APPLICABLE")," ", _xll.BDP($AX66,"FD118"))</f>
        <v>ETF</v>
      </c>
      <c r="AF66" s="22" t="str" cm="1">
        <f t="array" ref="AF66">IF(OR(_xll.BDP($AX66,"FD114")="#N/A N/A",_xll.BDP($AX66,"FD114")="#N/A FIELD NOT APPLICABLE")," ", _xll.BDP($AX66,"FD114"))</f>
        <v xml:space="preserve"> </v>
      </c>
      <c r="AG66" s="22" t="str" cm="1">
        <f t="array" ref="AG66">IF(OR(_xll.BDP($AX66,"FD003")="#N/A N/A",_xll.BDP($AX66,"FD003")="#N/A FIELD NOT APPLICABLE")," ", _xll.BDP($AX66,"FD003"))</f>
        <v>20/01/2009</v>
      </c>
      <c r="AH66" s="32" cm="1">
        <f t="array" ref="AH66">IF(OR(_xll.BDP($AX66,"PR061")="#N/A N/A",_xll.BDP($AX66,"PR061")="#N/A FIELD NOT APPLICABLE")," ", _xll.BDP($AX66,"PR061")/100)</f>
        <v>9.3247630000000012E-2</v>
      </c>
      <c r="AI66" s="25" cm="1">
        <f t="array" ref="AI66">IF(OR(_xll.BDP($AX66,"RT075")="#N/A N/A",_xll.BDP($AX66,"RT075")="#N/A FIELD NOT APPLICABLE")," ", _xll.BDP($AX66,"RT075")/100)</f>
        <v>-0.11811379999999999</v>
      </c>
      <c r="AJ66" s="25" cm="1">
        <f t="array" ref="AJ66">IF(OR(_xll.BDP($AX66,"RT076")="#N/A N/A",_xll.BDP($AX66,"RT076")="#N/A FIELD NOT APPLICABLE")," ", _xll.BDP($AX66,"RT076")/100)</f>
        <v>2.4637259999999998E-2</v>
      </c>
      <c r="AK66" s="25" cm="1">
        <f t="array" ref="AK66">IF(OR(_xll.BDP($AX66,"FD252")="#N/A N/A",_xll.BDP($AX66,"FD252")="#N/A FIELD NOT APPLICABLE")," ", _xll.BDP($AX66,"FD252")/100)</f>
        <v>0</v>
      </c>
      <c r="AL66" s="25" cm="1">
        <f t="array" ref="AL66">IF(OR(_xll.BDP($AX66,"FD015")="#N/A N/A",_xll.BDP($AX66,"FD015")="#N/A FIELD NOT APPLICABLE")," ", _xll.BDP($AX66,"FD015")/100)</f>
        <v>5.6999999999999993E-3</v>
      </c>
      <c r="AM66" s="25" cm="1">
        <f t="array" ref="AM66">IF(OR(_xll.BDP($AX66,"FD138")="#N/A N/A",_xll.BDP($AX66,"FD138")="#N/A FIELD NOT APPLICABLE")," ", _xll.BDP($AX66,"FD138")/100)</f>
        <v>5.0000000000000001E-3</v>
      </c>
      <c r="AN66" s="36" cm="1">
        <f t="array" ref="AN66">IF(OR(_xll.BDP($AX66,"FD009")="#N/A N/A",_xll.BDP($AX66,"FD009")="#N/A FIELD NOT APPLICABLE")," ", _xll.BDP($AX66,"FD009")/100)</f>
        <v>0</v>
      </c>
      <c r="AO66" s="25" cm="1">
        <f t="array" ref="AO66">IF(OR(_xll.BDP($AX66,"RK512")="#N/A N/A",_xll.BDP($AX66,"RK512")="#N/A FIELD NOT APPLICABLE")," ", _xll.BDP($AX66,"RK512")/100)</f>
        <v>-5.5416297912597653E-3</v>
      </c>
      <c r="AP66" s="25" cm="1">
        <f t="array" ref="AP66">IF(OR(_xll.BDP($AX66,"RK514")="#N/A N/A",_xll.BDP($AX66,"RK514")="#N/A FIELD NOT APPLICABLE")," ", _xll.BDP($AX66,"RK514")/100)</f>
        <v>-4.9789801239967348E-3</v>
      </c>
      <c r="AQ66" s="25" cm="1">
        <f t="array" ref="AQ66">IF(OR(_xll.BDP($AX66,"RK521")="#N/A N/A",_xll.BDP($AX66,"RK521")="#N/A FIELD NOT APPLICABLE")," ", _xll.BDP($AX66,"RK521")/100)</f>
        <v>-3.8590800762176515E-3</v>
      </c>
      <c r="AR66" s="25" cm="1">
        <f t="array" ref="AR66">IF(OR(_xll.BDP($AX66,"RK525")="#N/A N/A",_xll.BDP($AX66,"RK525")="#N/A FIELD NOT APPLICABLE")," ", _xll.BDP($AX66,"RK525")/100)</f>
        <v>9.4481402635574335E-3</v>
      </c>
      <c r="AS66" s="25" cm="1">
        <f t="array" ref="AS66">IF(OR(_xll.BDP($AX66,"RK524")="#N/A N/A",_xll.BDP($AX66,"RK524")="#N/A FIELD NOT APPLICABLE")," ", _xll.BDP($AX66,"RK524")/100)</f>
        <v>-1.8376000225543975E-4</v>
      </c>
      <c r="AT66" s="25" t="str" cm="1">
        <f t="array" ref="AT66">IF(OR(_xll.BDP($AX66,"FD183")="#N/A N/A",_xll.BDP($AX66,"FD183")="#N/A FIELD NOT APPLICABLE")," ", _xll.BDP($AX66,"FD183"))</f>
        <v>USD INC</v>
      </c>
      <c r="AU66" s="25" t="str" cm="1">
        <f t="array" ref="AU66">IF(OR(_xll.BDP($AX66,"DY997")="#N/A N/A",_xll.BDP($AX66,"DY997")="#N/A FIELD NOT APPLICABLE")," ", _xll.BDP($AX66,"DY997"))</f>
        <v xml:space="preserve"> </v>
      </c>
      <c r="AV66" s="25" t="str" cm="1">
        <f t="array" ref="AV66">IF(OR(_xll.BDP($AX66,"DY784")="#N/A N/A",_xll.BDP($AX66,"DY784")="#N/A FIELD NOT APPLICABLE")," ", _xll.BDP($AX66,"DY784"))</f>
        <v xml:space="preserve"> </v>
      </c>
      <c r="AW66" s="22" t="str">
        <f t="shared" si="14"/>
        <v>N</v>
      </c>
      <c r="AX66" s="22" t="str">
        <f t="shared" si="15"/>
        <v>IDX UN Equity</v>
      </c>
      <c r="BC66" s="17" t="str" cm="1">
        <f t="array" ref="BC66">_xll.BDP(AX66,"ID005")</f>
        <v>US92189F8335</v>
      </c>
      <c r="BD66" s="17">
        <v>0.56999999999999995</v>
      </c>
      <c r="BE66" s="18">
        <v>5</v>
      </c>
      <c r="BF66" s="37">
        <v>44301</v>
      </c>
      <c r="BG66" s="20">
        <v>1.0000000000107532</v>
      </c>
    </row>
    <row r="67" spans="1:59" s="3" customFormat="1" ht="14.45" customHeight="1" x14ac:dyDescent="0.25">
      <c r="A67" s="49" t="s">
        <v>241</v>
      </c>
      <c r="B67" s="49" t="s">
        <v>253</v>
      </c>
      <c r="C67" s="49" t="s">
        <v>254</v>
      </c>
      <c r="D67" s="49" t="s">
        <v>240</v>
      </c>
      <c r="E67" s="22" t="str">
        <f>_xll.BDP(AX67,"SECURITY NAME")</f>
        <v>VanEck Indonesia Index ETF</v>
      </c>
      <c r="F67" s="22" t="str">
        <f>_xll.BDP(AX67,"CRNCY")</f>
        <v>USD</v>
      </c>
      <c r="G67" s="23" t="s">
        <v>348</v>
      </c>
      <c r="H67" s="22" t="str" cm="1">
        <f t="array" ref="H67">IF(OR(_xll.BDP($AX67,"FD120")="#N/A N/A",_xll.BDP($AX67,"FD120")="#N/A FIELD NOT APPLICABLE")," ",_xll.BDP($AX67,"FD120"))</f>
        <v>Indonesia</v>
      </c>
      <c r="I67" s="22" t="str" cm="1">
        <f t="array" ref="I67">IF(OR(_xll.BDP($AX67,"FD116")="#N/A N/A",_xll.BDP($AX67,"FD116")="#N/A FIELD NOT APPLICABLE")," ",_xll.BDP($AX67,"FD116"))</f>
        <v>Blend</v>
      </c>
      <c r="J67" s="22" t="str" cm="1">
        <f t="array" ref="J67">IF(OR(_xll.BDP($AX67,"FD133")="#N/A N/A",_xll.BDP($AX67,"FD133")="#N/A FIELD NOT APPLICABLE")," ", _xll.BDP($AX67,"FD133"))</f>
        <v xml:space="preserve"> </v>
      </c>
      <c r="K67" s="34">
        <f>_xll.BDP(AX67,"FUND_ASSETS_USD")/1000</f>
        <v>2.9583021010000002E-2</v>
      </c>
      <c r="L67" s="25">
        <f>IFERROR(_xll.BDP(AX67, "DV013")/100,0)</f>
        <v>4.3602940790793479E-2</v>
      </c>
      <c r="M67" s="25" cm="1">
        <f t="array" ref="M67">IF(OR(_xll.BDP($AX67,"PR079")="#N/A N/A",_xll.BDP($AX67,"PR079")="#N/A FIELD NOT APPLICABLE")," ", _xll.BDP($AX67,"PR079")/100)</f>
        <v>-9.3333329999999992E-2</v>
      </c>
      <c r="N67" s="25" cm="1">
        <f t="array" ref="N67">IF(OR(_xll.BDP($AX67,"RT074")="#N/A N/A",_xll.BDP($AX67,"RT074")="#N/A FIELD NOT APPLICABLE")," ", _xll.BDP($AX67,"RT074")/100)</f>
        <v>-0.119977</v>
      </c>
      <c r="O67" s="27">
        <v>1682</v>
      </c>
      <c r="P67" s="28">
        <v>12.38</v>
      </c>
      <c r="Q67" s="22" cm="1">
        <f t="array" ref="Q67">IF(OR(_xll.BDP($AX67,"PX_last")="#N/A N/A",_xll.BDP($AX67,"PX_Last")="#N/A FIELD NOT APPLICABLE")," ",IF(F67="GBP",(_xll.BDP($AX67,"PX_LAST")),(_xll.BDP($AX67,"PX_LAST"))))</f>
        <v>13.6</v>
      </c>
      <c r="R67" s="29">
        <f>IF(F67="USD",AA67,(((_xll.BDP(F67&amp;"USD CURNCY","PX_LAST")))*AA67))</f>
        <v>20823.16</v>
      </c>
      <c r="S67" s="29">
        <f>IF(F67="USD",AB67,(((_xll.BDP(F67&amp;"USD CURNCY","PX_LAST")))*AB67))</f>
        <v>22875.200000000001</v>
      </c>
      <c r="T67" s="12">
        <f t="shared" ref="T67:T98" si="16">S67-R67</f>
        <v>2052.0400000000009</v>
      </c>
      <c r="U67" s="13">
        <f t="shared" ref="U67:U98" si="17">T67/R67</f>
        <v>9.8546042003231055E-2</v>
      </c>
      <c r="V67" s="13" cm="1">
        <f t="array" ref="V67">IFERROR(_xll.BDP($G67&amp;" Equity","CHG_PCT_1D")/100,"")</f>
        <v>8.8871099999999995E-2</v>
      </c>
      <c r="W67" s="13" cm="1">
        <f t="array" ref="W67">IFERROR(_xll.BDP($G67&amp;" Equity","CHG_PCT_5D")/100,"")</f>
        <v>8.8871099999999995E-2</v>
      </c>
      <c r="X67" s="13" t="e">
        <f>S67/#REF!</f>
        <v>#REF!</v>
      </c>
      <c r="Y67" s="29">
        <f t="shared" ref="Y67:Y98" si="18">IFERROR(S67*L67,0)</f>
        <v>997.42599117755901</v>
      </c>
      <c r="Z67" s="29">
        <f t="shared" ref="Z67:Z98" si="19">S67</f>
        <v>22875.200000000001</v>
      </c>
      <c r="AA67" s="29">
        <f t="shared" ref="AA67:AA98" si="20">P67*O67</f>
        <v>20823.16</v>
      </c>
      <c r="AB67" s="29">
        <f t="shared" ref="AB67:AB98" si="21">IFERROR(O67*Q67,0)</f>
        <v>22875.200000000001</v>
      </c>
      <c r="AC67" s="25" t="str" cm="1">
        <f t="array" ref="AC67">IF(OR(_xll.BDP($AX67,"EX028")="#N/A N/A",_xll.BDP($AX67,"EX028")="#N/A FIELD NOT APPLICABLE")," ", _xll.BDP($AX67,"EX028"))</f>
        <v>Fund</v>
      </c>
      <c r="AD67" s="35" t="str" cm="1">
        <f t="array" ref="AD67">IF(OR(_xll.BDP($AX67,"FD121")="#N/A N/A",_xll.BDP($AX67,"FD121")="#N/A FIELD NOT APPLICABLE")," ", _xll.BDP($AX67,"FD121"))</f>
        <v>Equity</v>
      </c>
      <c r="AE67" s="25" t="str" cm="1">
        <f t="array" ref="AE67">IF(OR(_xll.BDP($AX67,"FD118")="#N/A N/A",_xll.BDP($AX67,"FD118")="#N/A FIELD NOT APPLICABLE")," ", _xll.BDP($AX67,"FD118"))</f>
        <v>ETF</v>
      </c>
      <c r="AF67" s="22" t="str" cm="1">
        <f t="array" ref="AF67">IF(OR(_xll.BDP($AX67,"FD114")="#N/A N/A",_xll.BDP($AX67,"FD114")="#N/A FIELD NOT APPLICABLE")," ", _xll.BDP($AX67,"FD114"))</f>
        <v xml:space="preserve"> </v>
      </c>
      <c r="AG67" s="22" t="str" cm="1">
        <f t="array" ref="AG67">IF(OR(_xll.BDP($AX67,"FD003")="#N/A N/A",_xll.BDP($AX67,"FD003")="#N/A FIELD NOT APPLICABLE")," ", _xll.BDP($AX67,"FD003"))</f>
        <v>20/01/2009</v>
      </c>
      <c r="AH67" s="32" cm="1">
        <f t="array" ref="AH67">IF(OR(_xll.BDP($AX67,"PR061")="#N/A N/A",_xll.BDP($AX67,"PR061")="#N/A FIELD NOT APPLICABLE")," ", _xll.BDP($AX67,"PR061")/100)</f>
        <v>9.3247630000000012E-2</v>
      </c>
      <c r="AI67" s="25" cm="1">
        <f t="array" ref="AI67">IF(OR(_xll.BDP($AX67,"RT075")="#N/A N/A",_xll.BDP($AX67,"RT075")="#N/A FIELD NOT APPLICABLE")," ", _xll.BDP($AX67,"RT075")/100)</f>
        <v>-0.11811379999999999</v>
      </c>
      <c r="AJ67" s="25" cm="1">
        <f t="array" ref="AJ67">IF(OR(_xll.BDP($AX67,"RT076")="#N/A N/A",_xll.BDP($AX67,"RT076")="#N/A FIELD NOT APPLICABLE")," ", _xll.BDP($AX67,"RT076")/100)</f>
        <v>2.4637259999999998E-2</v>
      </c>
      <c r="AK67" s="25" cm="1">
        <f t="array" ref="AK67">IF(OR(_xll.BDP($AX67,"FD252")="#N/A N/A",_xll.BDP($AX67,"FD252")="#N/A FIELD NOT APPLICABLE")," ", _xll.BDP($AX67,"FD252")/100)</f>
        <v>0</v>
      </c>
      <c r="AL67" s="25" cm="1">
        <f t="array" ref="AL67">IF(OR(_xll.BDP($AX67,"FD015")="#N/A N/A",_xll.BDP($AX67,"FD015")="#N/A FIELD NOT APPLICABLE")," ", _xll.BDP($AX67,"FD015")/100)</f>
        <v>5.6999999999999993E-3</v>
      </c>
      <c r="AM67" s="25" cm="1">
        <f t="array" ref="AM67">IF(OR(_xll.BDP($AX67,"FD138")="#N/A N/A",_xll.BDP($AX67,"FD138")="#N/A FIELD NOT APPLICABLE")," ", _xll.BDP($AX67,"FD138")/100)</f>
        <v>5.0000000000000001E-3</v>
      </c>
      <c r="AN67" s="36" cm="1">
        <f t="array" ref="AN67">IF(OR(_xll.BDP($AX67,"FD009")="#N/A N/A",_xll.BDP($AX67,"FD009")="#N/A FIELD NOT APPLICABLE")," ", _xll.BDP($AX67,"FD009")/100)</f>
        <v>0</v>
      </c>
      <c r="AO67" s="25" cm="1">
        <f t="array" ref="AO67">IF(OR(_xll.BDP($AX67,"RK512")="#N/A N/A",_xll.BDP($AX67,"RK512")="#N/A FIELD NOT APPLICABLE")," ", _xll.BDP($AX67,"RK512")/100)</f>
        <v>-5.5416297912597653E-3</v>
      </c>
      <c r="AP67" s="25" cm="1">
        <f t="array" ref="AP67">IF(OR(_xll.BDP($AX67,"RK514")="#N/A N/A",_xll.BDP($AX67,"RK514")="#N/A FIELD NOT APPLICABLE")," ", _xll.BDP($AX67,"RK514")/100)</f>
        <v>-4.9789801239967348E-3</v>
      </c>
      <c r="AQ67" s="25" cm="1">
        <f t="array" ref="AQ67">IF(OR(_xll.BDP($AX67,"RK521")="#N/A N/A",_xll.BDP($AX67,"RK521")="#N/A FIELD NOT APPLICABLE")," ", _xll.BDP($AX67,"RK521")/100)</f>
        <v>-3.8590800762176515E-3</v>
      </c>
      <c r="AR67" s="25" cm="1">
        <f t="array" ref="AR67">IF(OR(_xll.BDP($AX67,"RK525")="#N/A N/A",_xll.BDP($AX67,"RK525")="#N/A FIELD NOT APPLICABLE")," ", _xll.BDP($AX67,"RK525")/100)</f>
        <v>9.4481402635574335E-3</v>
      </c>
      <c r="AS67" s="25" cm="1">
        <f t="array" ref="AS67">IF(OR(_xll.BDP($AX67,"RK524")="#N/A N/A",_xll.BDP($AX67,"RK524")="#N/A FIELD NOT APPLICABLE")," ", _xll.BDP($AX67,"RK524")/100)</f>
        <v>-1.8376000225543975E-4</v>
      </c>
      <c r="AT67" s="25" t="str" cm="1">
        <f t="array" ref="AT67">IF(OR(_xll.BDP($AX67,"FD183")="#N/A N/A",_xll.BDP($AX67,"FD183")="#N/A FIELD NOT APPLICABLE")," ", _xll.BDP($AX67,"FD183"))</f>
        <v>USD INC</v>
      </c>
      <c r="AU67" s="25" t="str" cm="1">
        <f t="array" ref="AU67">IF(OR(_xll.BDP($AX67,"DY997")="#N/A N/A",_xll.BDP($AX67,"DY997")="#N/A FIELD NOT APPLICABLE")," ", _xll.BDP($AX67,"DY997"))</f>
        <v xml:space="preserve"> </v>
      </c>
      <c r="AV67" s="25" t="str" cm="1">
        <f t="array" ref="AV67">IF(OR(_xll.BDP($AX67,"DY784")="#N/A N/A",_xll.BDP($AX67,"DY784")="#N/A FIELD NOT APPLICABLE")," ", _xll.BDP($AX67,"DY784"))</f>
        <v xml:space="preserve"> </v>
      </c>
      <c r="AW67" s="22" t="str">
        <f t="shared" ref="AW67:AW98" si="22">IF(OR(AU67="Y",AV67="Y"),"Y","N")</f>
        <v>N</v>
      </c>
      <c r="AX67" s="22" t="str">
        <f t="shared" ref="AX67:AX98" si="23">CONCATENATE(G67," Equity")</f>
        <v>IDX UN Equity</v>
      </c>
      <c r="BC67" s="17" t="str" cm="1">
        <f t="array" ref="BC67">_xll.BDP(AX67,"ID005")</f>
        <v>US92189F8335</v>
      </c>
      <c r="BD67" s="17">
        <v>0.75</v>
      </c>
      <c r="BE67" s="18">
        <v>5</v>
      </c>
      <c r="BF67" s="37">
        <v>45492</v>
      </c>
      <c r="BG67" s="20">
        <v>1.0000000000107532</v>
      </c>
    </row>
    <row r="68" spans="1:59" s="3" customFormat="1" ht="14.45" customHeight="1" x14ac:dyDescent="0.25">
      <c r="A68" s="49" t="s">
        <v>241</v>
      </c>
      <c r="B68" s="49" t="s">
        <v>266</v>
      </c>
      <c r="C68" s="49" t="s">
        <v>267</v>
      </c>
      <c r="D68" s="49" t="s">
        <v>240</v>
      </c>
      <c r="E68" s="22" t="str">
        <f>_xll.BDP(AX68,"SECURITY NAME")</f>
        <v>VanEck Indonesia Index ETF</v>
      </c>
      <c r="F68" s="22" t="str">
        <f>_xll.BDP(AX68,"CRNCY")</f>
        <v>USD</v>
      </c>
      <c r="G68" s="23" t="s">
        <v>348</v>
      </c>
      <c r="H68" s="22" t="str" cm="1">
        <f t="array" ref="H68">IF(OR(_xll.BDP($AX68,"FD120")="#N/A N/A",_xll.BDP($AX68,"FD120")="#N/A FIELD NOT APPLICABLE")," ",_xll.BDP($AX68,"FD120"))</f>
        <v>Indonesia</v>
      </c>
      <c r="I68" s="22" t="str" cm="1">
        <f t="array" ref="I68">IF(OR(_xll.BDP($AX68,"FD116")="#N/A N/A",_xll.BDP($AX68,"FD116")="#N/A FIELD NOT APPLICABLE")," ",_xll.BDP($AX68,"FD116"))</f>
        <v>Blend</v>
      </c>
      <c r="J68" s="22" t="str" cm="1">
        <f t="array" ref="J68">IF(OR(_xll.BDP($AX68,"FD133")="#N/A N/A",_xll.BDP($AX68,"FD133")="#N/A FIELD NOT APPLICABLE")," ", _xll.BDP($AX68,"FD133"))</f>
        <v xml:space="preserve"> </v>
      </c>
      <c r="K68" s="34">
        <f>_xll.BDP(AX68,"FUND_ASSETS_USD")/1000</f>
        <v>2.9583021010000002E-2</v>
      </c>
      <c r="L68" s="25">
        <f>IFERROR(_xll.BDP(AX68, "DV013")/100,0)</f>
        <v>4.3602940790793479E-2</v>
      </c>
      <c r="M68" s="25" cm="1">
        <f t="array" ref="M68">IF(OR(_xll.BDP($AX68,"PR079")="#N/A N/A",_xll.BDP($AX68,"PR079")="#N/A FIELD NOT APPLICABLE")," ", _xll.BDP($AX68,"PR079")/100)</f>
        <v>-9.3333329999999992E-2</v>
      </c>
      <c r="N68" s="25" cm="1">
        <f t="array" ref="N68">IF(OR(_xll.BDP($AX68,"RT074")="#N/A N/A",_xll.BDP($AX68,"RT074")="#N/A FIELD NOT APPLICABLE")," ", _xll.BDP($AX68,"RT074")/100)</f>
        <v>-0.119977</v>
      </c>
      <c r="O68" s="27">
        <v>4599</v>
      </c>
      <c r="P68" s="28">
        <v>12.38</v>
      </c>
      <c r="Q68" s="22" cm="1">
        <f t="array" ref="Q68">IF(OR(_xll.BDP($AX68,"PX_last")="#N/A N/A",_xll.BDP($AX68,"PX_Last")="#N/A FIELD NOT APPLICABLE")," ",IF(F68="GBP",(_xll.BDP($AX68,"PX_LAST")),(_xll.BDP($AX68,"PX_LAST"))))</f>
        <v>13.6</v>
      </c>
      <c r="R68" s="29">
        <f>IF(F68="USD",AA68,(((_xll.BDP(F68&amp;"USD CURNCY","PX_LAST")))*AA68))</f>
        <v>56935.62</v>
      </c>
      <c r="S68" s="29">
        <f>IF(F68="USD",AB68,(((_xll.BDP(F68&amp;"USD CURNCY","PX_LAST")))*AB68))</f>
        <v>62546.400000000001</v>
      </c>
      <c r="T68" s="12">
        <f t="shared" si="16"/>
        <v>5610.7799999999988</v>
      </c>
      <c r="U68" s="13">
        <f t="shared" si="17"/>
        <v>9.8546042003230999E-2</v>
      </c>
      <c r="V68" s="13" cm="1">
        <f t="array" ref="V68">IFERROR(_xll.BDP($G68&amp;" Equity","CHG_PCT_1D")/100,"")</f>
        <v>8.8871099999999995E-2</v>
      </c>
      <c r="W68" s="13" cm="1">
        <f t="array" ref="W68">IFERROR(_xll.BDP($G68&amp;" Equity","CHG_PCT_5D")/100,"")</f>
        <v>8.8871099999999995E-2</v>
      </c>
      <c r="X68" s="13" t="e">
        <f>S68/#REF!</f>
        <v>#REF!</v>
      </c>
      <c r="Y68" s="29">
        <f t="shared" si="18"/>
        <v>2727.2069758772855</v>
      </c>
      <c r="Z68" s="29">
        <f t="shared" si="19"/>
        <v>62546.400000000001</v>
      </c>
      <c r="AA68" s="29">
        <f t="shared" si="20"/>
        <v>56935.62</v>
      </c>
      <c r="AB68" s="29">
        <f t="shared" si="21"/>
        <v>62546.400000000001</v>
      </c>
      <c r="AC68" s="25" t="str" cm="1">
        <f t="array" ref="AC68">IF(OR(_xll.BDP($AX68,"EX028")="#N/A N/A",_xll.BDP($AX68,"EX028")="#N/A FIELD NOT APPLICABLE")," ", _xll.BDP($AX68,"EX028"))</f>
        <v>Fund</v>
      </c>
      <c r="AD68" s="35" t="str" cm="1">
        <f t="array" ref="AD68">IF(OR(_xll.BDP($AX68,"FD121")="#N/A N/A",_xll.BDP($AX68,"FD121")="#N/A FIELD NOT APPLICABLE")," ", _xll.BDP($AX68,"FD121"))</f>
        <v>Equity</v>
      </c>
      <c r="AE68" s="25" t="str" cm="1">
        <f t="array" ref="AE68">IF(OR(_xll.BDP($AX68,"FD118")="#N/A N/A",_xll.BDP($AX68,"FD118")="#N/A FIELD NOT APPLICABLE")," ", _xll.BDP($AX68,"FD118"))</f>
        <v>ETF</v>
      </c>
      <c r="AF68" s="22" t="str" cm="1">
        <f t="array" ref="AF68">IF(OR(_xll.BDP($AX68,"FD114")="#N/A N/A",_xll.BDP($AX68,"FD114")="#N/A FIELD NOT APPLICABLE")," ", _xll.BDP($AX68,"FD114"))</f>
        <v xml:space="preserve"> </v>
      </c>
      <c r="AG68" s="22" t="str" cm="1">
        <f t="array" ref="AG68">IF(OR(_xll.BDP($AX68,"FD003")="#N/A N/A",_xll.BDP($AX68,"FD003")="#N/A FIELD NOT APPLICABLE")," ", _xll.BDP($AX68,"FD003"))</f>
        <v>20/01/2009</v>
      </c>
      <c r="AH68" s="32" cm="1">
        <f t="array" ref="AH68">IF(OR(_xll.BDP($AX68,"PR061")="#N/A N/A",_xll.BDP($AX68,"PR061")="#N/A FIELD NOT APPLICABLE")," ", _xll.BDP($AX68,"PR061")/100)</f>
        <v>9.3247630000000012E-2</v>
      </c>
      <c r="AI68" s="25" cm="1">
        <f t="array" ref="AI68">IF(OR(_xll.BDP($AX68,"RT075")="#N/A N/A",_xll.BDP($AX68,"RT075")="#N/A FIELD NOT APPLICABLE")," ", _xll.BDP($AX68,"RT075")/100)</f>
        <v>-0.11811379999999999</v>
      </c>
      <c r="AJ68" s="25" cm="1">
        <f t="array" ref="AJ68">IF(OR(_xll.BDP($AX68,"RT076")="#N/A N/A",_xll.BDP($AX68,"RT076")="#N/A FIELD NOT APPLICABLE")," ", _xll.BDP($AX68,"RT076")/100)</f>
        <v>2.4637259999999998E-2</v>
      </c>
      <c r="AK68" s="25" cm="1">
        <f t="array" ref="AK68">IF(OR(_xll.BDP($AX68,"FD252")="#N/A N/A",_xll.BDP($AX68,"FD252")="#N/A FIELD NOT APPLICABLE")," ", _xll.BDP($AX68,"FD252")/100)</f>
        <v>0</v>
      </c>
      <c r="AL68" s="25" cm="1">
        <f t="array" ref="AL68">IF(OR(_xll.BDP($AX68,"FD015")="#N/A N/A",_xll.BDP($AX68,"FD015")="#N/A FIELD NOT APPLICABLE")," ", _xll.BDP($AX68,"FD015")/100)</f>
        <v>5.6999999999999993E-3</v>
      </c>
      <c r="AM68" s="25" cm="1">
        <f t="array" ref="AM68">IF(OR(_xll.BDP($AX68,"FD138")="#N/A N/A",_xll.BDP($AX68,"FD138")="#N/A FIELD NOT APPLICABLE")," ", _xll.BDP($AX68,"FD138")/100)</f>
        <v>5.0000000000000001E-3</v>
      </c>
      <c r="AN68" s="36" cm="1">
        <f t="array" ref="AN68">IF(OR(_xll.BDP($AX68,"FD009")="#N/A N/A",_xll.BDP($AX68,"FD009")="#N/A FIELD NOT APPLICABLE")," ", _xll.BDP($AX68,"FD009")/100)</f>
        <v>0</v>
      </c>
      <c r="AO68" s="25" cm="1">
        <f t="array" ref="AO68">IF(OR(_xll.BDP($AX68,"RK512")="#N/A N/A",_xll.BDP($AX68,"RK512")="#N/A FIELD NOT APPLICABLE")," ", _xll.BDP($AX68,"RK512")/100)</f>
        <v>-5.5416297912597653E-3</v>
      </c>
      <c r="AP68" s="25" cm="1">
        <f t="array" ref="AP68">IF(OR(_xll.BDP($AX68,"RK514")="#N/A N/A",_xll.BDP($AX68,"RK514")="#N/A FIELD NOT APPLICABLE")," ", _xll.BDP($AX68,"RK514")/100)</f>
        <v>-4.9789801239967348E-3</v>
      </c>
      <c r="AQ68" s="25" cm="1">
        <f t="array" ref="AQ68">IF(OR(_xll.BDP($AX68,"RK521")="#N/A N/A",_xll.BDP($AX68,"RK521")="#N/A FIELD NOT APPLICABLE")," ", _xll.BDP($AX68,"RK521")/100)</f>
        <v>-3.8590800762176515E-3</v>
      </c>
      <c r="AR68" s="25" cm="1">
        <f t="array" ref="AR68">IF(OR(_xll.BDP($AX68,"RK525")="#N/A N/A",_xll.BDP($AX68,"RK525")="#N/A FIELD NOT APPLICABLE")," ", _xll.BDP($AX68,"RK525")/100)</f>
        <v>9.4481402635574335E-3</v>
      </c>
      <c r="AS68" s="25" cm="1">
        <f t="array" ref="AS68">IF(OR(_xll.BDP($AX68,"RK524")="#N/A N/A",_xll.BDP($AX68,"RK524")="#N/A FIELD NOT APPLICABLE")," ", _xll.BDP($AX68,"RK524")/100)</f>
        <v>-1.8376000225543975E-4</v>
      </c>
      <c r="AT68" s="25" t="str" cm="1">
        <f t="array" ref="AT68">IF(OR(_xll.BDP($AX68,"FD183")="#N/A N/A",_xll.BDP($AX68,"FD183")="#N/A FIELD NOT APPLICABLE")," ", _xll.BDP($AX68,"FD183"))</f>
        <v>USD INC</v>
      </c>
      <c r="AU68" s="25" t="str" cm="1">
        <f t="array" ref="AU68">IF(OR(_xll.BDP($AX68,"DY997")="#N/A N/A",_xll.BDP($AX68,"DY997")="#N/A FIELD NOT APPLICABLE")," ", _xll.BDP($AX68,"DY997"))</f>
        <v xml:space="preserve"> </v>
      </c>
      <c r="AV68" s="25" t="str" cm="1">
        <f t="array" ref="AV68">IF(OR(_xll.BDP($AX68,"DY784")="#N/A N/A",_xll.BDP($AX68,"DY784")="#N/A FIELD NOT APPLICABLE")," ", _xll.BDP($AX68,"DY784"))</f>
        <v xml:space="preserve"> </v>
      </c>
      <c r="AW68" s="22" t="str">
        <f t="shared" si="22"/>
        <v>N</v>
      </c>
      <c r="AX68" s="22" t="str">
        <f t="shared" si="23"/>
        <v>IDX UN Equity</v>
      </c>
      <c r="BC68" s="17" t="str" cm="1">
        <f t="array" ref="BC68">_xll.BDP(AX68,"ID005")</f>
        <v>US92189F8335</v>
      </c>
      <c r="BD68" s="17">
        <v>0.75</v>
      </c>
      <c r="BE68" s="18">
        <v>5</v>
      </c>
      <c r="BF68" s="37">
        <v>45509</v>
      </c>
      <c r="BG68" s="20">
        <v>1.0000000000107532</v>
      </c>
    </row>
    <row r="69" spans="1:59" s="3" customFormat="1" ht="14.45" customHeight="1" x14ac:dyDescent="0.25">
      <c r="A69" s="49" t="s">
        <v>241</v>
      </c>
      <c r="B69" s="49" t="s">
        <v>270</v>
      </c>
      <c r="C69" s="49" t="s">
        <v>271</v>
      </c>
      <c r="D69" s="49" t="s">
        <v>240</v>
      </c>
      <c r="E69" s="22" t="str">
        <f>_xll.BDP(AX69,"SECURITY NAME")</f>
        <v>VanEck Indonesia Index ETF</v>
      </c>
      <c r="F69" s="22" t="str">
        <f>_xll.BDP(AX69,"CRNCY")</f>
        <v>USD</v>
      </c>
      <c r="G69" s="23" t="s">
        <v>348</v>
      </c>
      <c r="H69" s="22" t="str" cm="1">
        <f t="array" ref="H69">IF(OR(_xll.BDP($AX69,"FD120")="#N/A N/A",_xll.BDP($AX69,"FD120")="#N/A FIELD NOT APPLICABLE")," ",_xll.BDP($AX69,"FD120"))</f>
        <v>Indonesia</v>
      </c>
      <c r="I69" s="22" t="str" cm="1">
        <f t="array" ref="I69">IF(OR(_xll.BDP($AX69,"FD116")="#N/A N/A",_xll.BDP($AX69,"FD116")="#N/A FIELD NOT APPLICABLE")," ",_xll.BDP($AX69,"FD116"))</f>
        <v>Blend</v>
      </c>
      <c r="J69" s="22" t="str" cm="1">
        <f t="array" ref="J69">IF(OR(_xll.BDP($AX69,"FD133")="#N/A N/A",_xll.BDP($AX69,"FD133")="#N/A FIELD NOT APPLICABLE")," ", _xll.BDP($AX69,"FD133"))</f>
        <v xml:space="preserve"> </v>
      </c>
      <c r="K69" s="34">
        <f>_xll.BDP(AX69,"FUND_ASSETS_USD")/1000</f>
        <v>2.9583021010000002E-2</v>
      </c>
      <c r="L69" s="25">
        <f>IFERROR(_xll.BDP(AX69, "DV013")/100,0)</f>
        <v>4.3602940790793479E-2</v>
      </c>
      <c r="M69" s="25" cm="1">
        <f t="array" ref="M69">IF(OR(_xll.BDP($AX69,"PR079")="#N/A N/A",_xll.BDP($AX69,"PR079")="#N/A FIELD NOT APPLICABLE")," ", _xll.BDP($AX69,"PR079")/100)</f>
        <v>-9.3333329999999992E-2</v>
      </c>
      <c r="N69" s="25" cm="1">
        <f t="array" ref="N69">IF(OR(_xll.BDP($AX69,"RT074")="#N/A N/A",_xll.BDP($AX69,"RT074")="#N/A FIELD NOT APPLICABLE")," ", _xll.BDP($AX69,"RT074")/100)</f>
        <v>-0.119977</v>
      </c>
      <c r="O69" s="27">
        <v>6757</v>
      </c>
      <c r="P69" s="28">
        <v>12.38</v>
      </c>
      <c r="Q69" s="22" cm="1">
        <f t="array" ref="Q69">IF(OR(_xll.BDP($AX69,"PX_last")="#N/A N/A",_xll.BDP($AX69,"PX_Last")="#N/A FIELD NOT APPLICABLE")," ",IF(F69="GBP",(_xll.BDP($AX69,"PX_LAST")),(_xll.BDP($AX69,"PX_LAST"))))</f>
        <v>13.6</v>
      </c>
      <c r="R69" s="29">
        <f>IF(F69="USD",AA69,(((_xll.BDP(F69&amp;"USD CURNCY","PX_LAST")))*AA69))</f>
        <v>83651.66</v>
      </c>
      <c r="S69" s="29">
        <f>IF(F69="USD",AB69,(((_xll.BDP(F69&amp;"USD CURNCY","PX_LAST")))*AB69))</f>
        <v>91895.2</v>
      </c>
      <c r="T69" s="12">
        <f t="shared" si="16"/>
        <v>8243.5399999999936</v>
      </c>
      <c r="U69" s="13">
        <f t="shared" si="17"/>
        <v>9.8546042003230944E-2</v>
      </c>
      <c r="V69" s="13" cm="1">
        <f t="array" ref="V69">IFERROR(_xll.BDP($G69&amp;" Equity","CHG_PCT_1D")/100,"")</f>
        <v>8.8871099999999995E-2</v>
      </c>
      <c r="W69" s="13" cm="1">
        <f t="array" ref="W69">IFERROR(_xll.BDP($G69&amp;" Equity","CHG_PCT_5D")/100,"")</f>
        <v>8.8871099999999995E-2</v>
      </c>
      <c r="X69" s="13" t="e">
        <f>S69/#REF!</f>
        <v>#REF!</v>
      </c>
      <c r="Y69" s="29">
        <f t="shared" si="18"/>
        <v>4006.900964558125</v>
      </c>
      <c r="Z69" s="29">
        <f t="shared" si="19"/>
        <v>91895.2</v>
      </c>
      <c r="AA69" s="29">
        <f t="shared" si="20"/>
        <v>83651.66</v>
      </c>
      <c r="AB69" s="29">
        <f t="shared" si="21"/>
        <v>91895.2</v>
      </c>
      <c r="AC69" s="25" t="str" cm="1">
        <f t="array" ref="AC69">IF(OR(_xll.BDP($AX69,"EX028")="#N/A N/A",_xll.BDP($AX69,"EX028")="#N/A FIELD NOT APPLICABLE")," ", _xll.BDP($AX69,"EX028"))</f>
        <v>Fund</v>
      </c>
      <c r="AD69" s="35" t="str" cm="1">
        <f t="array" ref="AD69">IF(OR(_xll.BDP($AX69,"FD121")="#N/A N/A",_xll.BDP($AX69,"FD121")="#N/A FIELD NOT APPLICABLE")," ", _xll.BDP($AX69,"FD121"))</f>
        <v>Equity</v>
      </c>
      <c r="AE69" s="25" t="str" cm="1">
        <f t="array" ref="AE69">IF(OR(_xll.BDP($AX69,"FD118")="#N/A N/A",_xll.BDP($AX69,"FD118")="#N/A FIELD NOT APPLICABLE")," ", _xll.BDP($AX69,"FD118"))</f>
        <v>ETF</v>
      </c>
      <c r="AF69" s="22" t="str" cm="1">
        <f t="array" ref="AF69">IF(OR(_xll.BDP($AX69,"FD114")="#N/A N/A",_xll.BDP($AX69,"FD114")="#N/A FIELD NOT APPLICABLE")," ", _xll.BDP($AX69,"FD114"))</f>
        <v xml:space="preserve"> </v>
      </c>
      <c r="AG69" s="22" t="str" cm="1">
        <f t="array" ref="AG69">IF(OR(_xll.BDP($AX69,"FD003")="#N/A N/A",_xll.BDP($AX69,"FD003")="#N/A FIELD NOT APPLICABLE")," ", _xll.BDP($AX69,"FD003"))</f>
        <v>20/01/2009</v>
      </c>
      <c r="AH69" s="32" cm="1">
        <f t="array" ref="AH69">IF(OR(_xll.BDP($AX69,"PR061")="#N/A N/A",_xll.BDP($AX69,"PR061")="#N/A FIELD NOT APPLICABLE")," ", _xll.BDP($AX69,"PR061")/100)</f>
        <v>9.3247630000000012E-2</v>
      </c>
      <c r="AI69" s="25" cm="1">
        <f t="array" ref="AI69">IF(OR(_xll.BDP($AX69,"RT075")="#N/A N/A",_xll.BDP($AX69,"RT075")="#N/A FIELD NOT APPLICABLE")," ", _xll.BDP($AX69,"RT075")/100)</f>
        <v>-0.11811379999999999</v>
      </c>
      <c r="AJ69" s="25" cm="1">
        <f t="array" ref="AJ69">IF(OR(_xll.BDP($AX69,"RT076")="#N/A N/A",_xll.BDP($AX69,"RT076")="#N/A FIELD NOT APPLICABLE")," ", _xll.BDP($AX69,"RT076")/100)</f>
        <v>2.4637259999999998E-2</v>
      </c>
      <c r="AK69" s="25" cm="1">
        <f t="array" ref="AK69">IF(OR(_xll.BDP($AX69,"FD252")="#N/A N/A",_xll.BDP($AX69,"FD252")="#N/A FIELD NOT APPLICABLE")," ", _xll.BDP($AX69,"FD252")/100)</f>
        <v>0</v>
      </c>
      <c r="AL69" s="25" cm="1">
        <f t="array" ref="AL69">IF(OR(_xll.BDP($AX69,"FD015")="#N/A N/A",_xll.BDP($AX69,"FD015")="#N/A FIELD NOT APPLICABLE")," ", _xll.BDP($AX69,"FD015")/100)</f>
        <v>5.6999999999999993E-3</v>
      </c>
      <c r="AM69" s="25" cm="1">
        <f t="array" ref="AM69">IF(OR(_xll.BDP($AX69,"FD138")="#N/A N/A",_xll.BDP($AX69,"FD138")="#N/A FIELD NOT APPLICABLE")," ", _xll.BDP($AX69,"FD138")/100)</f>
        <v>5.0000000000000001E-3</v>
      </c>
      <c r="AN69" s="36" cm="1">
        <f t="array" ref="AN69">IF(OR(_xll.BDP($AX69,"FD009")="#N/A N/A",_xll.BDP($AX69,"FD009")="#N/A FIELD NOT APPLICABLE")," ", _xll.BDP($AX69,"FD009")/100)</f>
        <v>0</v>
      </c>
      <c r="AO69" s="25" cm="1">
        <f t="array" ref="AO69">IF(OR(_xll.BDP($AX69,"RK512")="#N/A N/A",_xll.BDP($AX69,"RK512")="#N/A FIELD NOT APPLICABLE")," ", _xll.BDP($AX69,"RK512")/100)</f>
        <v>-5.5416297912597653E-3</v>
      </c>
      <c r="AP69" s="25" cm="1">
        <f t="array" ref="AP69">IF(OR(_xll.BDP($AX69,"RK514")="#N/A N/A",_xll.BDP($AX69,"RK514")="#N/A FIELD NOT APPLICABLE")," ", _xll.BDP($AX69,"RK514")/100)</f>
        <v>-4.9789801239967348E-3</v>
      </c>
      <c r="AQ69" s="25" cm="1">
        <f t="array" ref="AQ69">IF(OR(_xll.BDP($AX69,"RK521")="#N/A N/A",_xll.BDP($AX69,"RK521")="#N/A FIELD NOT APPLICABLE")," ", _xll.BDP($AX69,"RK521")/100)</f>
        <v>-3.8590800762176515E-3</v>
      </c>
      <c r="AR69" s="25" cm="1">
        <f t="array" ref="AR69">IF(OR(_xll.BDP($AX69,"RK525")="#N/A N/A",_xll.BDP($AX69,"RK525")="#N/A FIELD NOT APPLICABLE")," ", _xll.BDP($AX69,"RK525")/100)</f>
        <v>9.4481402635574335E-3</v>
      </c>
      <c r="AS69" s="25" cm="1">
        <f t="array" ref="AS69">IF(OR(_xll.BDP($AX69,"RK524")="#N/A N/A",_xll.BDP($AX69,"RK524")="#N/A FIELD NOT APPLICABLE")," ", _xll.BDP($AX69,"RK524")/100)</f>
        <v>-1.8376000225543975E-4</v>
      </c>
      <c r="AT69" s="25" t="str" cm="1">
        <f t="array" ref="AT69">IF(OR(_xll.BDP($AX69,"FD183")="#N/A N/A",_xll.BDP($AX69,"FD183")="#N/A FIELD NOT APPLICABLE")," ", _xll.BDP($AX69,"FD183"))</f>
        <v>USD INC</v>
      </c>
      <c r="AU69" s="25" t="str" cm="1">
        <f t="array" ref="AU69">IF(OR(_xll.BDP($AX69,"DY997")="#N/A N/A",_xll.BDP($AX69,"DY997")="#N/A FIELD NOT APPLICABLE")," ", _xll.BDP($AX69,"DY997"))</f>
        <v xml:space="preserve"> </v>
      </c>
      <c r="AV69" s="25" t="str" cm="1">
        <f t="array" ref="AV69">IF(OR(_xll.BDP($AX69,"DY784")="#N/A N/A",_xll.BDP($AX69,"DY784")="#N/A FIELD NOT APPLICABLE")," ", _xll.BDP($AX69,"DY784"))</f>
        <v xml:space="preserve"> </v>
      </c>
      <c r="AW69" s="22" t="str">
        <f t="shared" si="22"/>
        <v>N</v>
      </c>
      <c r="AX69" s="22" t="str">
        <f t="shared" si="23"/>
        <v>IDX UN Equity</v>
      </c>
      <c r="BC69" s="17" t="str" cm="1">
        <f t="array" ref="BC69">_xll.BDP(AX69,"ID005")</f>
        <v>US92189F8335</v>
      </c>
      <c r="BD69" s="17">
        <v>0.75</v>
      </c>
      <c r="BE69" s="18">
        <v>5</v>
      </c>
      <c r="BF69" s="37">
        <v>45510</v>
      </c>
      <c r="BG69" s="20">
        <v>1.0000000000107532</v>
      </c>
    </row>
    <row r="70" spans="1:59" s="3" customFormat="1" ht="14.45" customHeight="1" x14ac:dyDescent="0.25">
      <c r="A70" s="49" t="s">
        <v>241</v>
      </c>
      <c r="B70" s="49" t="s">
        <v>272</v>
      </c>
      <c r="C70" s="49">
        <v>2620061.0010000002</v>
      </c>
      <c r="D70" s="49" t="s">
        <v>240</v>
      </c>
      <c r="E70" s="22" t="str">
        <f>_xll.BDP(AX70,"SECURITY NAME")</f>
        <v>VanEck Indonesia Index ETF</v>
      </c>
      <c r="F70" s="22" t="str">
        <f>_xll.BDP(AX70,"CRNCY")</f>
        <v>USD</v>
      </c>
      <c r="G70" s="23" t="s">
        <v>348</v>
      </c>
      <c r="H70" s="22" t="str" cm="1">
        <f t="array" ref="H70">IF(OR(_xll.BDP($AX70,"FD120")="#N/A N/A",_xll.BDP($AX70,"FD120")="#N/A FIELD NOT APPLICABLE")," ",_xll.BDP($AX70,"FD120"))</f>
        <v>Indonesia</v>
      </c>
      <c r="I70" s="22" t="str" cm="1">
        <f t="array" ref="I70">IF(OR(_xll.BDP($AX70,"FD116")="#N/A N/A",_xll.BDP($AX70,"FD116")="#N/A FIELD NOT APPLICABLE")," ",_xll.BDP($AX70,"FD116"))</f>
        <v>Blend</v>
      </c>
      <c r="J70" s="22" t="str" cm="1">
        <f t="array" ref="J70">IF(OR(_xll.BDP($AX70,"FD133")="#N/A N/A",_xll.BDP($AX70,"FD133")="#N/A FIELD NOT APPLICABLE")," ", _xll.BDP($AX70,"FD133"))</f>
        <v xml:space="preserve"> </v>
      </c>
      <c r="K70" s="34">
        <f>_xll.BDP(AX70,"FUND_ASSETS_USD")/1000</f>
        <v>2.9583021010000002E-2</v>
      </c>
      <c r="L70" s="25">
        <f>IFERROR(_xll.BDP(AX70, "DV013")/100,0)</f>
        <v>4.3602940790793479E-2</v>
      </c>
      <c r="M70" s="25" cm="1">
        <f t="array" ref="M70">IF(OR(_xll.BDP($AX70,"PR079")="#N/A N/A",_xll.BDP($AX70,"PR079")="#N/A FIELD NOT APPLICABLE")," ", _xll.BDP($AX70,"PR079")/100)</f>
        <v>-9.3333329999999992E-2</v>
      </c>
      <c r="N70" s="25" cm="1">
        <f t="array" ref="N70">IF(OR(_xll.BDP($AX70,"RT074")="#N/A N/A",_xll.BDP($AX70,"RT074")="#N/A FIELD NOT APPLICABLE")," ", _xll.BDP($AX70,"RT074")/100)</f>
        <v>-0.119977</v>
      </c>
      <c r="O70" s="27">
        <v>6276</v>
      </c>
      <c r="P70" s="28">
        <v>12.38</v>
      </c>
      <c r="Q70" s="22" cm="1">
        <f t="array" ref="Q70">IF(OR(_xll.BDP($AX70,"PX_last")="#N/A N/A",_xll.BDP($AX70,"PX_Last")="#N/A FIELD NOT APPLICABLE")," ",IF(F70="GBP",(_xll.BDP($AX70,"PX_LAST")),(_xll.BDP($AX70,"PX_LAST"))))</f>
        <v>13.6</v>
      </c>
      <c r="R70" s="29">
        <f>IF(F70="USD",AA70,(((_xll.BDP(F70&amp;"USD CURNCY","PX_LAST")))*AA70))</f>
        <v>77696.88</v>
      </c>
      <c r="S70" s="29">
        <f>IF(F70="USD",AB70,(((_xll.BDP(F70&amp;"USD CURNCY","PX_LAST")))*AB70))</f>
        <v>85353.599999999991</v>
      </c>
      <c r="T70" s="12">
        <f t="shared" si="16"/>
        <v>7656.7199999999866</v>
      </c>
      <c r="U70" s="13">
        <f t="shared" si="17"/>
        <v>9.8546042003230833E-2</v>
      </c>
      <c r="V70" s="13" cm="1">
        <f t="array" ref="V70">IFERROR(_xll.BDP($G70&amp;" Equity","CHG_PCT_1D")/100,"")</f>
        <v>8.8871099999999995E-2</v>
      </c>
      <c r="W70" s="13" cm="1">
        <f t="array" ref="W70">IFERROR(_xll.BDP($G70&amp;" Equity","CHG_PCT_5D")/100,"")</f>
        <v>8.8871099999999995E-2</v>
      </c>
      <c r="X70" s="13" t="e">
        <f>S70/#REF!</f>
        <v>#REF!</v>
      </c>
      <c r="Y70" s="29">
        <f t="shared" si="18"/>
        <v>3721.6679670810699</v>
      </c>
      <c r="Z70" s="29">
        <f t="shared" si="19"/>
        <v>85353.599999999991</v>
      </c>
      <c r="AA70" s="29">
        <f t="shared" si="20"/>
        <v>77696.88</v>
      </c>
      <c r="AB70" s="29">
        <f t="shared" si="21"/>
        <v>85353.599999999991</v>
      </c>
      <c r="AC70" s="25" t="str" cm="1">
        <f t="array" ref="AC70">IF(OR(_xll.BDP($AX70,"EX028")="#N/A N/A",_xll.BDP($AX70,"EX028")="#N/A FIELD NOT APPLICABLE")," ", _xll.BDP($AX70,"EX028"))</f>
        <v>Fund</v>
      </c>
      <c r="AD70" s="35" t="str" cm="1">
        <f t="array" ref="AD70">IF(OR(_xll.BDP($AX70,"FD121")="#N/A N/A",_xll.BDP($AX70,"FD121")="#N/A FIELD NOT APPLICABLE")," ", _xll.BDP($AX70,"FD121"))</f>
        <v>Equity</v>
      </c>
      <c r="AE70" s="25" t="str" cm="1">
        <f t="array" ref="AE70">IF(OR(_xll.BDP($AX70,"FD118")="#N/A N/A",_xll.BDP($AX70,"FD118")="#N/A FIELD NOT APPLICABLE")," ", _xll.BDP($AX70,"FD118"))</f>
        <v>ETF</v>
      </c>
      <c r="AF70" s="22" t="str" cm="1">
        <f t="array" ref="AF70">IF(OR(_xll.BDP($AX70,"FD114")="#N/A N/A",_xll.BDP($AX70,"FD114")="#N/A FIELD NOT APPLICABLE")," ", _xll.BDP($AX70,"FD114"))</f>
        <v xml:space="preserve"> </v>
      </c>
      <c r="AG70" s="22" t="str" cm="1">
        <f t="array" ref="AG70">IF(OR(_xll.BDP($AX70,"FD003")="#N/A N/A",_xll.BDP($AX70,"FD003")="#N/A FIELD NOT APPLICABLE")," ", _xll.BDP($AX70,"FD003"))</f>
        <v>20/01/2009</v>
      </c>
      <c r="AH70" s="32" cm="1">
        <f t="array" ref="AH70">IF(OR(_xll.BDP($AX70,"PR061")="#N/A N/A",_xll.BDP($AX70,"PR061")="#N/A FIELD NOT APPLICABLE")," ", _xll.BDP($AX70,"PR061")/100)</f>
        <v>9.3247630000000012E-2</v>
      </c>
      <c r="AI70" s="25" cm="1">
        <f t="array" ref="AI70">IF(OR(_xll.BDP($AX70,"RT075")="#N/A N/A",_xll.BDP($AX70,"RT075")="#N/A FIELD NOT APPLICABLE")," ", _xll.BDP($AX70,"RT075")/100)</f>
        <v>-0.11811379999999999</v>
      </c>
      <c r="AJ70" s="25" cm="1">
        <f t="array" ref="AJ70">IF(OR(_xll.BDP($AX70,"RT076")="#N/A N/A",_xll.BDP($AX70,"RT076")="#N/A FIELD NOT APPLICABLE")," ", _xll.BDP($AX70,"RT076")/100)</f>
        <v>2.4637259999999998E-2</v>
      </c>
      <c r="AK70" s="25" cm="1">
        <f t="array" ref="AK70">IF(OR(_xll.BDP($AX70,"FD252")="#N/A N/A",_xll.BDP($AX70,"FD252")="#N/A FIELD NOT APPLICABLE")," ", _xll.BDP($AX70,"FD252")/100)</f>
        <v>0</v>
      </c>
      <c r="AL70" s="25" cm="1">
        <f t="array" ref="AL70">IF(OR(_xll.BDP($AX70,"FD015")="#N/A N/A",_xll.BDP($AX70,"FD015")="#N/A FIELD NOT APPLICABLE")," ", _xll.BDP($AX70,"FD015")/100)</f>
        <v>5.6999999999999993E-3</v>
      </c>
      <c r="AM70" s="25" cm="1">
        <f t="array" ref="AM70">IF(OR(_xll.BDP($AX70,"FD138")="#N/A N/A",_xll.BDP($AX70,"FD138")="#N/A FIELD NOT APPLICABLE")," ", _xll.BDP($AX70,"FD138")/100)</f>
        <v>5.0000000000000001E-3</v>
      </c>
      <c r="AN70" s="36" cm="1">
        <f t="array" ref="AN70">IF(OR(_xll.BDP($AX70,"FD009")="#N/A N/A",_xll.BDP($AX70,"FD009")="#N/A FIELD NOT APPLICABLE")," ", _xll.BDP($AX70,"FD009")/100)</f>
        <v>0</v>
      </c>
      <c r="AO70" s="25" cm="1">
        <f t="array" ref="AO70">IF(OR(_xll.BDP($AX70,"RK512")="#N/A N/A",_xll.BDP($AX70,"RK512")="#N/A FIELD NOT APPLICABLE")," ", _xll.BDP($AX70,"RK512")/100)</f>
        <v>-5.5416297912597653E-3</v>
      </c>
      <c r="AP70" s="25" cm="1">
        <f t="array" ref="AP70">IF(OR(_xll.BDP($AX70,"RK514")="#N/A N/A",_xll.BDP($AX70,"RK514")="#N/A FIELD NOT APPLICABLE")," ", _xll.BDP($AX70,"RK514")/100)</f>
        <v>-4.9789801239967348E-3</v>
      </c>
      <c r="AQ70" s="25" cm="1">
        <f t="array" ref="AQ70">IF(OR(_xll.BDP($AX70,"RK521")="#N/A N/A",_xll.BDP($AX70,"RK521")="#N/A FIELD NOT APPLICABLE")," ", _xll.BDP($AX70,"RK521")/100)</f>
        <v>-3.8590800762176515E-3</v>
      </c>
      <c r="AR70" s="25" cm="1">
        <f t="array" ref="AR70">IF(OR(_xll.BDP($AX70,"RK525")="#N/A N/A",_xll.BDP($AX70,"RK525")="#N/A FIELD NOT APPLICABLE")," ", _xll.BDP($AX70,"RK525")/100)</f>
        <v>9.4481402635574335E-3</v>
      </c>
      <c r="AS70" s="25" cm="1">
        <f t="array" ref="AS70">IF(OR(_xll.BDP($AX70,"RK524")="#N/A N/A",_xll.BDP($AX70,"RK524")="#N/A FIELD NOT APPLICABLE")," ", _xll.BDP($AX70,"RK524")/100)</f>
        <v>-1.8376000225543975E-4</v>
      </c>
      <c r="AT70" s="25" t="str" cm="1">
        <f t="array" ref="AT70">IF(OR(_xll.BDP($AX70,"FD183")="#N/A N/A",_xll.BDP($AX70,"FD183")="#N/A FIELD NOT APPLICABLE")," ", _xll.BDP($AX70,"FD183"))</f>
        <v>USD INC</v>
      </c>
      <c r="AU70" s="25" t="str" cm="1">
        <f t="array" ref="AU70">IF(OR(_xll.BDP($AX70,"DY997")="#N/A N/A",_xll.BDP($AX70,"DY997")="#N/A FIELD NOT APPLICABLE")," ", _xll.BDP($AX70,"DY997"))</f>
        <v xml:space="preserve"> </v>
      </c>
      <c r="AV70" s="25" t="str" cm="1">
        <f t="array" ref="AV70">IF(OR(_xll.BDP($AX70,"DY784")="#N/A N/A",_xll.BDP($AX70,"DY784")="#N/A FIELD NOT APPLICABLE")," ", _xll.BDP($AX70,"DY784"))</f>
        <v xml:space="preserve"> </v>
      </c>
      <c r="AW70" s="22" t="str">
        <f t="shared" si="22"/>
        <v>N</v>
      </c>
      <c r="AX70" s="22" t="str">
        <f t="shared" si="23"/>
        <v>IDX UN Equity</v>
      </c>
      <c r="BC70" s="17" t="str" cm="1">
        <f t="array" ref="BC70">_xll.BDP(AX70,"ID005")</f>
        <v>US92189F8335</v>
      </c>
      <c r="BD70" s="17">
        <v>0.75</v>
      </c>
      <c r="BE70" s="18">
        <v>3</v>
      </c>
      <c r="BF70" s="37">
        <v>45510</v>
      </c>
      <c r="BG70" s="20">
        <v>1.0000000000107532</v>
      </c>
    </row>
    <row r="71" spans="1:59" s="3" customFormat="1" ht="14.45" customHeight="1" x14ac:dyDescent="0.25">
      <c r="A71" s="49" t="s">
        <v>241</v>
      </c>
      <c r="B71" s="49" t="s">
        <v>273</v>
      </c>
      <c r="C71" s="49">
        <v>2620058.003</v>
      </c>
      <c r="D71" s="49" t="s">
        <v>240</v>
      </c>
      <c r="E71" s="22" t="str">
        <f>_xll.BDP(AX71,"SECURITY NAME")</f>
        <v>VanEck Indonesia Index ETF</v>
      </c>
      <c r="F71" s="22" t="str">
        <f>_xll.BDP(AX71,"CRNCY")</f>
        <v>USD</v>
      </c>
      <c r="G71" s="23" t="s">
        <v>348</v>
      </c>
      <c r="H71" s="22" t="str" cm="1">
        <f t="array" ref="H71">IF(OR(_xll.BDP($AX71,"FD120")="#N/A N/A",_xll.BDP($AX71,"FD120")="#N/A FIELD NOT APPLICABLE")," ",_xll.BDP($AX71,"FD120"))</f>
        <v>Indonesia</v>
      </c>
      <c r="I71" s="22" t="str" cm="1">
        <f t="array" ref="I71">IF(OR(_xll.BDP($AX71,"FD116")="#N/A N/A",_xll.BDP($AX71,"FD116")="#N/A FIELD NOT APPLICABLE")," ",_xll.BDP($AX71,"FD116"))</f>
        <v>Blend</v>
      </c>
      <c r="J71" s="22" t="str" cm="1">
        <f t="array" ref="J71">IF(OR(_xll.BDP($AX71,"FD133")="#N/A N/A",_xll.BDP($AX71,"FD133")="#N/A FIELD NOT APPLICABLE")," ", _xll.BDP($AX71,"FD133"))</f>
        <v xml:space="preserve"> </v>
      </c>
      <c r="K71" s="34">
        <f>_xll.BDP(AX71,"FUND_ASSETS_USD")/1000</f>
        <v>2.9583021010000002E-2</v>
      </c>
      <c r="L71" s="25">
        <f>IFERROR(_xll.BDP(AX71, "DV013")/100,0)</f>
        <v>4.3602940790793479E-2</v>
      </c>
      <c r="M71" s="25" cm="1">
        <f t="array" ref="M71">IF(OR(_xll.BDP($AX71,"PR079")="#N/A N/A",_xll.BDP($AX71,"PR079")="#N/A FIELD NOT APPLICABLE")," ", _xll.BDP($AX71,"PR079")/100)</f>
        <v>-9.3333329999999992E-2</v>
      </c>
      <c r="N71" s="25" cm="1">
        <f t="array" ref="N71">IF(OR(_xll.BDP($AX71,"RT074")="#N/A N/A",_xll.BDP($AX71,"RT074")="#N/A FIELD NOT APPLICABLE")," ", _xll.BDP($AX71,"RT074")/100)</f>
        <v>-0.119977</v>
      </c>
      <c r="O71" s="27">
        <v>4204</v>
      </c>
      <c r="P71" s="28">
        <v>12.38</v>
      </c>
      <c r="Q71" s="22" cm="1">
        <f t="array" ref="Q71">IF(OR(_xll.BDP($AX71,"PX_last")="#N/A N/A",_xll.BDP($AX71,"PX_Last")="#N/A FIELD NOT APPLICABLE")," ",IF(F71="GBP",(_xll.BDP($AX71,"PX_LAST")),(_xll.BDP($AX71,"PX_LAST"))))</f>
        <v>13.6</v>
      </c>
      <c r="R71" s="29">
        <f>IF(F71="USD",AA71,(((_xll.BDP(F71&amp;"USD CURNCY","PX_LAST")))*AA71))</f>
        <v>52045.520000000004</v>
      </c>
      <c r="S71" s="29">
        <f>IF(F71="USD",AB71,(((_xll.BDP(F71&amp;"USD CURNCY","PX_LAST")))*AB71))</f>
        <v>57174.400000000001</v>
      </c>
      <c r="T71" s="12">
        <f t="shared" si="16"/>
        <v>5128.8799999999974</v>
      </c>
      <c r="U71" s="13">
        <f t="shared" si="17"/>
        <v>9.8546042003230958E-2</v>
      </c>
      <c r="V71" s="13" cm="1">
        <f t="array" ref="V71">IFERROR(_xll.BDP($G71&amp;" Equity","CHG_PCT_1D")/100,"")</f>
        <v>8.8871099999999995E-2</v>
      </c>
      <c r="W71" s="13" cm="1">
        <f t="array" ref="W71">IFERROR(_xll.BDP($G71&amp;" Equity","CHG_PCT_5D")/100,"")</f>
        <v>8.8871099999999995E-2</v>
      </c>
      <c r="X71" s="13" t="e">
        <f>S71/#REF!</f>
        <v>#REF!</v>
      </c>
      <c r="Y71" s="29">
        <f t="shared" si="18"/>
        <v>2492.9719779491429</v>
      </c>
      <c r="Z71" s="29">
        <f t="shared" si="19"/>
        <v>57174.400000000001</v>
      </c>
      <c r="AA71" s="29">
        <f t="shared" si="20"/>
        <v>52045.520000000004</v>
      </c>
      <c r="AB71" s="29">
        <f t="shared" si="21"/>
        <v>57174.400000000001</v>
      </c>
      <c r="AC71" s="25" t="str" cm="1">
        <f t="array" ref="AC71">IF(OR(_xll.BDP($AX71,"EX028")="#N/A N/A",_xll.BDP($AX71,"EX028")="#N/A FIELD NOT APPLICABLE")," ", _xll.BDP($AX71,"EX028"))</f>
        <v>Fund</v>
      </c>
      <c r="AD71" s="35" t="str" cm="1">
        <f t="array" ref="AD71">IF(OR(_xll.BDP($AX71,"FD121")="#N/A N/A",_xll.BDP($AX71,"FD121")="#N/A FIELD NOT APPLICABLE")," ", _xll.BDP($AX71,"FD121"))</f>
        <v>Equity</v>
      </c>
      <c r="AE71" s="25" t="str" cm="1">
        <f t="array" ref="AE71">IF(OR(_xll.BDP($AX71,"FD118")="#N/A N/A",_xll.BDP($AX71,"FD118")="#N/A FIELD NOT APPLICABLE")," ", _xll.BDP($AX71,"FD118"))</f>
        <v>ETF</v>
      </c>
      <c r="AF71" s="22" t="str" cm="1">
        <f t="array" ref="AF71">IF(OR(_xll.BDP($AX71,"FD114")="#N/A N/A",_xll.BDP($AX71,"FD114")="#N/A FIELD NOT APPLICABLE")," ", _xll.BDP($AX71,"FD114"))</f>
        <v xml:space="preserve"> </v>
      </c>
      <c r="AG71" s="22" t="str" cm="1">
        <f t="array" ref="AG71">IF(OR(_xll.BDP($AX71,"FD003")="#N/A N/A",_xll.BDP($AX71,"FD003")="#N/A FIELD NOT APPLICABLE")," ", _xll.BDP($AX71,"FD003"))</f>
        <v>20/01/2009</v>
      </c>
      <c r="AH71" s="32" cm="1">
        <f t="array" ref="AH71">IF(OR(_xll.BDP($AX71,"PR061")="#N/A N/A",_xll.BDP($AX71,"PR061")="#N/A FIELD NOT APPLICABLE")," ", _xll.BDP($AX71,"PR061")/100)</f>
        <v>9.3247630000000012E-2</v>
      </c>
      <c r="AI71" s="25" cm="1">
        <f t="array" ref="AI71">IF(OR(_xll.BDP($AX71,"RT075")="#N/A N/A",_xll.BDP($AX71,"RT075")="#N/A FIELD NOT APPLICABLE")," ", _xll.BDP($AX71,"RT075")/100)</f>
        <v>-0.11811379999999999</v>
      </c>
      <c r="AJ71" s="25" cm="1">
        <f t="array" ref="AJ71">IF(OR(_xll.BDP($AX71,"RT076")="#N/A N/A",_xll.BDP($AX71,"RT076")="#N/A FIELD NOT APPLICABLE")," ", _xll.BDP($AX71,"RT076")/100)</f>
        <v>2.4637259999999998E-2</v>
      </c>
      <c r="AK71" s="25" cm="1">
        <f t="array" ref="AK71">IF(OR(_xll.BDP($AX71,"FD252")="#N/A N/A",_xll.BDP($AX71,"FD252")="#N/A FIELD NOT APPLICABLE")," ", _xll.BDP($AX71,"FD252")/100)</f>
        <v>0</v>
      </c>
      <c r="AL71" s="25" cm="1">
        <f t="array" ref="AL71">IF(OR(_xll.BDP($AX71,"FD015")="#N/A N/A",_xll.BDP($AX71,"FD015")="#N/A FIELD NOT APPLICABLE")," ", _xll.BDP($AX71,"FD015")/100)</f>
        <v>5.6999999999999993E-3</v>
      </c>
      <c r="AM71" s="25" cm="1">
        <f t="array" ref="AM71">IF(OR(_xll.BDP($AX71,"FD138")="#N/A N/A",_xll.BDP($AX71,"FD138")="#N/A FIELD NOT APPLICABLE")," ", _xll.BDP($AX71,"FD138")/100)</f>
        <v>5.0000000000000001E-3</v>
      </c>
      <c r="AN71" s="36" cm="1">
        <f t="array" ref="AN71">IF(OR(_xll.BDP($AX71,"FD009")="#N/A N/A",_xll.BDP($AX71,"FD009")="#N/A FIELD NOT APPLICABLE")," ", _xll.BDP($AX71,"FD009")/100)</f>
        <v>0</v>
      </c>
      <c r="AO71" s="25" cm="1">
        <f t="array" ref="AO71">IF(OR(_xll.BDP($AX71,"RK512")="#N/A N/A",_xll.BDP($AX71,"RK512")="#N/A FIELD NOT APPLICABLE")," ", _xll.BDP($AX71,"RK512")/100)</f>
        <v>-5.5416297912597653E-3</v>
      </c>
      <c r="AP71" s="25" cm="1">
        <f t="array" ref="AP71">IF(OR(_xll.BDP($AX71,"RK514")="#N/A N/A",_xll.BDP($AX71,"RK514")="#N/A FIELD NOT APPLICABLE")," ", _xll.BDP($AX71,"RK514")/100)</f>
        <v>-4.9789801239967348E-3</v>
      </c>
      <c r="AQ71" s="25" cm="1">
        <f t="array" ref="AQ71">IF(OR(_xll.BDP($AX71,"RK521")="#N/A N/A",_xll.BDP($AX71,"RK521")="#N/A FIELD NOT APPLICABLE")," ", _xll.BDP($AX71,"RK521")/100)</f>
        <v>-3.8590800762176515E-3</v>
      </c>
      <c r="AR71" s="25" cm="1">
        <f t="array" ref="AR71">IF(OR(_xll.BDP($AX71,"RK525")="#N/A N/A",_xll.BDP($AX71,"RK525")="#N/A FIELD NOT APPLICABLE")," ", _xll.BDP($AX71,"RK525")/100)</f>
        <v>9.4481402635574335E-3</v>
      </c>
      <c r="AS71" s="25" cm="1">
        <f t="array" ref="AS71">IF(OR(_xll.BDP($AX71,"RK524")="#N/A N/A",_xll.BDP($AX71,"RK524")="#N/A FIELD NOT APPLICABLE")," ", _xll.BDP($AX71,"RK524")/100)</f>
        <v>-1.8376000225543975E-4</v>
      </c>
      <c r="AT71" s="25" t="str" cm="1">
        <f t="array" ref="AT71">IF(OR(_xll.BDP($AX71,"FD183")="#N/A N/A",_xll.BDP($AX71,"FD183")="#N/A FIELD NOT APPLICABLE")," ", _xll.BDP($AX71,"FD183"))</f>
        <v>USD INC</v>
      </c>
      <c r="AU71" s="25" t="str" cm="1">
        <f t="array" ref="AU71">IF(OR(_xll.BDP($AX71,"DY997")="#N/A N/A",_xll.BDP($AX71,"DY997")="#N/A FIELD NOT APPLICABLE")," ", _xll.BDP($AX71,"DY997"))</f>
        <v xml:space="preserve"> </v>
      </c>
      <c r="AV71" s="25" t="str" cm="1">
        <f t="array" ref="AV71">IF(OR(_xll.BDP($AX71,"DY784")="#N/A N/A",_xll.BDP($AX71,"DY784")="#N/A FIELD NOT APPLICABLE")," ", _xll.BDP($AX71,"DY784"))</f>
        <v xml:space="preserve"> </v>
      </c>
      <c r="AW71" s="22" t="str">
        <f t="shared" si="22"/>
        <v>N</v>
      </c>
      <c r="AX71" s="22" t="str">
        <f t="shared" si="23"/>
        <v>IDX UN Equity</v>
      </c>
      <c r="BC71" s="17" t="str" cm="1">
        <f t="array" ref="BC71">_xll.BDP(AX71,"ID005")</f>
        <v>US92189F8335</v>
      </c>
      <c r="BD71" s="17">
        <v>0.75</v>
      </c>
      <c r="BE71" s="18">
        <v>3</v>
      </c>
      <c r="BF71" s="37">
        <v>45510</v>
      </c>
      <c r="BG71" s="20">
        <v>1.0000000000107532</v>
      </c>
    </row>
    <row r="72" spans="1:59" s="3" customFormat="1" ht="14.45" customHeight="1" x14ac:dyDescent="0.25">
      <c r="A72" s="49" t="s">
        <v>241</v>
      </c>
      <c r="B72" s="49" t="s">
        <v>276</v>
      </c>
      <c r="C72" s="49" t="s">
        <v>277</v>
      </c>
      <c r="D72" s="49" t="s">
        <v>240</v>
      </c>
      <c r="E72" s="22" t="str">
        <f>_xll.BDP(AX72,"SECURITY NAME")</f>
        <v>VanEck Indonesia Index ETF</v>
      </c>
      <c r="F72" s="22" t="str">
        <f>_xll.BDP(AX72,"CRNCY")</f>
        <v>USD</v>
      </c>
      <c r="G72" s="23" t="s">
        <v>348</v>
      </c>
      <c r="H72" s="22" t="str" cm="1">
        <f t="array" ref="H72">IF(OR(_xll.BDP($AX72,"FD120")="#N/A N/A",_xll.BDP($AX72,"FD120")="#N/A FIELD NOT APPLICABLE")," ",_xll.BDP($AX72,"FD120"))</f>
        <v>Indonesia</v>
      </c>
      <c r="I72" s="22" t="str" cm="1">
        <f t="array" ref="I72">IF(OR(_xll.BDP($AX72,"FD116")="#N/A N/A",_xll.BDP($AX72,"FD116")="#N/A FIELD NOT APPLICABLE")," ",_xll.BDP($AX72,"FD116"))</f>
        <v>Blend</v>
      </c>
      <c r="J72" s="22" t="str" cm="1">
        <f t="array" ref="J72">IF(OR(_xll.BDP($AX72,"FD133")="#N/A N/A",_xll.BDP($AX72,"FD133")="#N/A FIELD NOT APPLICABLE")," ", _xll.BDP($AX72,"FD133"))</f>
        <v xml:space="preserve"> </v>
      </c>
      <c r="K72" s="34">
        <f>_xll.BDP(AX72,"FUND_ASSETS_USD")/1000</f>
        <v>2.9583021010000002E-2</v>
      </c>
      <c r="L72" s="25">
        <f>IFERROR(_xll.BDP(AX72, "DV013")/100,0)</f>
        <v>4.3602940790793479E-2</v>
      </c>
      <c r="M72" s="25" cm="1">
        <f t="array" ref="M72">IF(OR(_xll.BDP($AX72,"PR079")="#N/A N/A",_xll.BDP($AX72,"PR079")="#N/A FIELD NOT APPLICABLE")," ", _xll.BDP($AX72,"PR079")/100)</f>
        <v>-9.3333329999999992E-2</v>
      </c>
      <c r="N72" s="25" cm="1">
        <f t="array" ref="N72">IF(OR(_xll.BDP($AX72,"RT074")="#N/A N/A",_xll.BDP($AX72,"RT074")="#N/A FIELD NOT APPLICABLE")," ", _xll.BDP($AX72,"RT074")/100)</f>
        <v>-0.119977</v>
      </c>
      <c r="O72" s="27">
        <v>9661</v>
      </c>
      <c r="P72" s="28">
        <v>12.38</v>
      </c>
      <c r="Q72" s="22" cm="1">
        <f t="array" ref="Q72">IF(OR(_xll.BDP($AX72,"PX_last")="#N/A N/A",_xll.BDP($AX72,"PX_Last")="#N/A FIELD NOT APPLICABLE")," ",IF(F72="GBP",(_xll.BDP($AX72,"PX_LAST")),(_xll.BDP($AX72,"PX_LAST"))))</f>
        <v>13.6</v>
      </c>
      <c r="R72" s="29">
        <f>IF(F72="USD",AA72,(((_xll.BDP(F72&amp;"USD CURNCY","PX_LAST")))*AA72))</f>
        <v>119603.18000000001</v>
      </c>
      <c r="S72" s="29">
        <f>IF(F72="USD",AB72,(((_xll.BDP(F72&amp;"USD CURNCY","PX_LAST")))*AB72))</f>
        <v>131389.6</v>
      </c>
      <c r="T72" s="12">
        <f t="shared" si="16"/>
        <v>11786.419999999998</v>
      </c>
      <c r="U72" s="13">
        <f t="shared" si="17"/>
        <v>9.8546042003230999E-2</v>
      </c>
      <c r="V72" s="13" cm="1">
        <f t="array" ref="V72">IFERROR(_xll.BDP($G72&amp;" Equity","CHG_PCT_1D")/100,"")</f>
        <v>8.8871099999999995E-2</v>
      </c>
      <c r="W72" s="13" cm="1">
        <f t="array" ref="W72">IFERROR(_xll.BDP($G72&amp;" Equity","CHG_PCT_5D")/100,"")</f>
        <v>8.8871099999999995E-2</v>
      </c>
      <c r="X72" s="13" t="e">
        <f>S72/#REF!</f>
        <v>#REF!</v>
      </c>
      <c r="Y72" s="29">
        <f t="shared" si="18"/>
        <v>5728.9729493260393</v>
      </c>
      <c r="Z72" s="29">
        <f t="shared" si="19"/>
        <v>131389.6</v>
      </c>
      <c r="AA72" s="29">
        <f t="shared" si="20"/>
        <v>119603.18000000001</v>
      </c>
      <c r="AB72" s="29">
        <f t="shared" si="21"/>
        <v>131389.6</v>
      </c>
      <c r="AC72" s="25" t="str" cm="1">
        <f t="array" ref="AC72">IF(OR(_xll.BDP($AX72,"EX028")="#N/A N/A",_xll.BDP($AX72,"EX028")="#N/A FIELD NOT APPLICABLE")," ", _xll.BDP($AX72,"EX028"))</f>
        <v>Fund</v>
      </c>
      <c r="AD72" s="35" t="str" cm="1">
        <f t="array" ref="AD72">IF(OR(_xll.BDP($AX72,"FD121")="#N/A N/A",_xll.BDP($AX72,"FD121")="#N/A FIELD NOT APPLICABLE")," ", _xll.BDP($AX72,"FD121"))</f>
        <v>Equity</v>
      </c>
      <c r="AE72" s="25" t="str" cm="1">
        <f t="array" ref="AE72">IF(OR(_xll.BDP($AX72,"FD118")="#N/A N/A",_xll.BDP($AX72,"FD118")="#N/A FIELD NOT APPLICABLE")," ", _xll.BDP($AX72,"FD118"))</f>
        <v>ETF</v>
      </c>
      <c r="AF72" s="22" t="str" cm="1">
        <f t="array" ref="AF72">IF(OR(_xll.BDP($AX72,"FD114")="#N/A N/A",_xll.BDP($AX72,"FD114")="#N/A FIELD NOT APPLICABLE")," ", _xll.BDP($AX72,"FD114"))</f>
        <v xml:space="preserve"> </v>
      </c>
      <c r="AG72" s="22" t="str" cm="1">
        <f t="array" ref="AG72">IF(OR(_xll.BDP($AX72,"FD003")="#N/A N/A",_xll.BDP($AX72,"FD003")="#N/A FIELD NOT APPLICABLE")," ", _xll.BDP($AX72,"FD003"))</f>
        <v>20/01/2009</v>
      </c>
      <c r="AH72" s="32" cm="1">
        <f t="array" ref="AH72">IF(OR(_xll.BDP($AX72,"PR061")="#N/A N/A",_xll.BDP($AX72,"PR061")="#N/A FIELD NOT APPLICABLE")," ", _xll.BDP($AX72,"PR061")/100)</f>
        <v>9.3247630000000012E-2</v>
      </c>
      <c r="AI72" s="25" cm="1">
        <f t="array" ref="AI72">IF(OR(_xll.BDP($AX72,"RT075")="#N/A N/A",_xll.BDP($AX72,"RT075")="#N/A FIELD NOT APPLICABLE")," ", _xll.BDP($AX72,"RT075")/100)</f>
        <v>-0.11811379999999999</v>
      </c>
      <c r="AJ72" s="25" cm="1">
        <f t="array" ref="AJ72">IF(OR(_xll.BDP($AX72,"RT076")="#N/A N/A",_xll.BDP($AX72,"RT076")="#N/A FIELD NOT APPLICABLE")," ", _xll.BDP($AX72,"RT076")/100)</f>
        <v>2.4637259999999998E-2</v>
      </c>
      <c r="AK72" s="25" cm="1">
        <f t="array" ref="AK72">IF(OR(_xll.BDP($AX72,"FD252")="#N/A N/A",_xll.BDP($AX72,"FD252")="#N/A FIELD NOT APPLICABLE")," ", _xll.BDP($AX72,"FD252")/100)</f>
        <v>0</v>
      </c>
      <c r="AL72" s="25" cm="1">
        <f t="array" ref="AL72">IF(OR(_xll.BDP($AX72,"FD015")="#N/A N/A",_xll.BDP($AX72,"FD015")="#N/A FIELD NOT APPLICABLE")," ", _xll.BDP($AX72,"FD015")/100)</f>
        <v>5.6999999999999993E-3</v>
      </c>
      <c r="AM72" s="25" cm="1">
        <f t="array" ref="AM72">IF(OR(_xll.BDP($AX72,"FD138")="#N/A N/A",_xll.BDP($AX72,"FD138")="#N/A FIELD NOT APPLICABLE")," ", _xll.BDP($AX72,"FD138")/100)</f>
        <v>5.0000000000000001E-3</v>
      </c>
      <c r="AN72" s="36" cm="1">
        <f t="array" ref="AN72">IF(OR(_xll.BDP($AX72,"FD009")="#N/A N/A",_xll.BDP($AX72,"FD009")="#N/A FIELD NOT APPLICABLE")," ", _xll.BDP($AX72,"FD009")/100)</f>
        <v>0</v>
      </c>
      <c r="AO72" s="25" cm="1">
        <f t="array" ref="AO72">IF(OR(_xll.BDP($AX72,"RK512")="#N/A N/A",_xll.BDP($AX72,"RK512")="#N/A FIELD NOT APPLICABLE")," ", _xll.BDP($AX72,"RK512")/100)</f>
        <v>-5.5416297912597653E-3</v>
      </c>
      <c r="AP72" s="25" cm="1">
        <f t="array" ref="AP72">IF(OR(_xll.BDP($AX72,"RK514")="#N/A N/A",_xll.BDP($AX72,"RK514")="#N/A FIELD NOT APPLICABLE")," ", _xll.BDP($AX72,"RK514")/100)</f>
        <v>-4.9789801239967348E-3</v>
      </c>
      <c r="AQ72" s="25" cm="1">
        <f t="array" ref="AQ72">IF(OR(_xll.BDP($AX72,"RK521")="#N/A N/A",_xll.BDP($AX72,"RK521")="#N/A FIELD NOT APPLICABLE")," ", _xll.BDP($AX72,"RK521")/100)</f>
        <v>-3.8590800762176515E-3</v>
      </c>
      <c r="AR72" s="25" cm="1">
        <f t="array" ref="AR72">IF(OR(_xll.BDP($AX72,"RK525")="#N/A N/A",_xll.BDP($AX72,"RK525")="#N/A FIELD NOT APPLICABLE")," ", _xll.BDP($AX72,"RK525")/100)</f>
        <v>9.4481402635574335E-3</v>
      </c>
      <c r="AS72" s="25" cm="1">
        <f t="array" ref="AS72">IF(OR(_xll.BDP($AX72,"RK524")="#N/A N/A",_xll.BDP($AX72,"RK524")="#N/A FIELD NOT APPLICABLE")," ", _xll.BDP($AX72,"RK524")/100)</f>
        <v>-1.8376000225543975E-4</v>
      </c>
      <c r="AT72" s="25" t="str" cm="1">
        <f t="array" ref="AT72">IF(OR(_xll.BDP($AX72,"FD183")="#N/A N/A",_xll.BDP($AX72,"FD183")="#N/A FIELD NOT APPLICABLE")," ", _xll.BDP($AX72,"FD183"))</f>
        <v>USD INC</v>
      </c>
      <c r="AU72" s="25" t="str" cm="1">
        <f t="array" ref="AU72">IF(OR(_xll.BDP($AX72,"DY997")="#N/A N/A",_xll.BDP($AX72,"DY997")="#N/A FIELD NOT APPLICABLE")," ", _xll.BDP($AX72,"DY997"))</f>
        <v xml:space="preserve"> </v>
      </c>
      <c r="AV72" s="25" t="str" cm="1">
        <f t="array" ref="AV72">IF(OR(_xll.BDP($AX72,"DY784")="#N/A N/A",_xll.BDP($AX72,"DY784")="#N/A FIELD NOT APPLICABLE")," ", _xll.BDP($AX72,"DY784"))</f>
        <v xml:space="preserve"> </v>
      </c>
      <c r="AW72" s="22" t="str">
        <f t="shared" si="22"/>
        <v>N</v>
      </c>
      <c r="AX72" s="22" t="str">
        <f t="shared" si="23"/>
        <v>IDX UN Equity</v>
      </c>
      <c r="BC72" s="17" t="str" cm="1">
        <f t="array" ref="BC72">_xll.BDP(AX72,"ID005")</f>
        <v>US92189F8335</v>
      </c>
      <c r="BD72" s="17">
        <v>0.75</v>
      </c>
      <c r="BE72" s="18">
        <v>5</v>
      </c>
      <c r="BF72" s="37">
        <v>45492</v>
      </c>
      <c r="BG72" s="20">
        <v>1.0000000000107532</v>
      </c>
    </row>
    <row r="73" spans="1:59" s="3" customFormat="1" ht="14.45" customHeight="1" x14ac:dyDescent="0.25">
      <c r="A73" s="49" t="s">
        <v>241</v>
      </c>
      <c r="B73" s="49" t="s">
        <v>238</v>
      </c>
      <c r="C73" s="49" t="s">
        <v>239</v>
      </c>
      <c r="D73" s="49" t="s">
        <v>240</v>
      </c>
      <c r="E73" s="22" t="str">
        <f>_xll.BDP(AX73,"SECURITY NAME")</f>
        <v>VanEck Indonesia Index ETF</v>
      </c>
      <c r="F73" s="22" t="str">
        <f>_xll.BDP(AX73,"CRNCY")</f>
        <v>USD</v>
      </c>
      <c r="G73" s="23" t="s">
        <v>345</v>
      </c>
      <c r="H73" s="22" t="str" cm="1">
        <f t="array" ref="H73">IF(OR(_xll.BDP($AX73,"FD120")="#N/A N/A",_xll.BDP($AX73,"FD120")="#N/A FIELD NOT APPLICABLE")," ",_xll.BDP($AX73,"FD120"))</f>
        <v>Indonesia</v>
      </c>
      <c r="I73" s="22" t="str" cm="1">
        <f t="array" ref="I73">IF(OR(_xll.BDP($AX73,"FD116")="#N/A N/A",_xll.BDP($AX73,"FD116")="#N/A FIELD NOT APPLICABLE")," ",_xll.BDP($AX73,"FD116"))</f>
        <v>Blend</v>
      </c>
      <c r="J73" s="22" t="str" cm="1">
        <f t="array" ref="J73">IF(OR(_xll.BDP($AX73,"FD133")="#N/A N/A",_xll.BDP($AX73,"FD133")="#N/A FIELD NOT APPLICABLE")," ", _xll.BDP($AX73,"FD133"))</f>
        <v xml:space="preserve"> </v>
      </c>
      <c r="K73" s="34">
        <f>_xll.BDP(AX73,"FUND_ASSETS_USD")/1000</f>
        <v>2.9583021010000002E-2</v>
      </c>
      <c r="L73" s="25">
        <f>IFERROR(_xll.BDP(AX73, "DV013")/100,0)</f>
        <v>4.3925925537391948E-2</v>
      </c>
      <c r="M73" s="25" cm="1">
        <f t="array" ref="M73">IF(OR(_xll.BDP($AX73,"PR079")="#N/A N/A",_xll.BDP($AX73,"PR079")="#N/A FIELD NOT APPLICABLE")," ", _xll.BDP($AX73,"PR079")/100)</f>
        <v>-8.7837849999999995E-2</v>
      </c>
      <c r="N73" s="25" cm="1">
        <f t="array" ref="N73">IF(OR(_xll.BDP($AX73,"RT074")="#N/A N/A",_xll.BDP($AX73,"RT074")="#N/A FIELD NOT APPLICABLE")," ", _xll.BDP($AX73,"RT074")/100)</f>
        <v>-0.1265049</v>
      </c>
      <c r="O73" s="27">
        <v>2520</v>
      </c>
      <c r="P73" s="28">
        <v>12.38</v>
      </c>
      <c r="Q73" s="22" cm="1">
        <f t="array" ref="Q73">IF(OR(_xll.BDP($AX73,"PX_last")="#N/A N/A",_xll.BDP($AX73,"PX_Last")="#N/A FIELD NOT APPLICABLE")," ",IF(F73="GBP",(_xll.BDP($AX73,"PX_LAST")/100),(_xll.BDP($AX73,"PX_LAST"))))</f>
        <v>13.5</v>
      </c>
      <c r="R73" s="29">
        <f>IF(F73="USD",AA73,(((_xll.BDP(F73&amp;"USD CURNCY","PX_LAST")))*AA73))</f>
        <v>31197.600000000002</v>
      </c>
      <c r="S73" s="29">
        <f>IF(F73="USD",AB73,(((_xll.BDP(F73&amp;"USD CURNCY","PX_LAST")))*AB73))</f>
        <v>34020</v>
      </c>
      <c r="T73" s="12">
        <f t="shared" si="16"/>
        <v>2822.3999999999978</v>
      </c>
      <c r="U73" s="13">
        <f t="shared" si="17"/>
        <v>9.0468497576736598E-2</v>
      </c>
      <c r="V73" s="13" cm="1">
        <f t="array" ref="V73">IFERROR(_xll.BDP($G73&amp;" Equity","CHG_PCT_1D")/100,"")</f>
        <v>7.462687E-3</v>
      </c>
      <c r="W73" s="13" cm="1">
        <f t="array" ref="W73">IFERROR(_xll.BDP($G73&amp;" Equity","CHG_PCT_5D")/100,"")</f>
        <v>3.2110090000000001E-2</v>
      </c>
      <c r="X73" s="13" t="e">
        <f>S73/$H$62</f>
        <v>#VALUE!</v>
      </c>
      <c r="Y73" s="29">
        <f t="shared" si="18"/>
        <v>1494.359986782074</v>
      </c>
      <c r="Z73" s="29">
        <f t="shared" si="19"/>
        <v>34020</v>
      </c>
      <c r="AA73" s="29">
        <f t="shared" si="20"/>
        <v>31197.600000000002</v>
      </c>
      <c r="AB73" s="29">
        <f t="shared" si="21"/>
        <v>34020</v>
      </c>
      <c r="AC73" s="25" t="str" cm="1">
        <f t="array" ref="AC73">IF(OR(_xll.BDP($AX73,"EX028")="#N/A N/A",_xll.BDP($AX73,"EX028")="#N/A FIELD NOT APPLICABLE")," ", _xll.BDP($AX73,"EX028"))</f>
        <v>Fund</v>
      </c>
      <c r="AD73" s="35" t="str" cm="1">
        <f t="array" ref="AD73">IF(OR(_xll.BDP($AX73,"FD121")="#N/A N/A",_xll.BDP($AX73,"FD121")="#N/A FIELD NOT APPLICABLE")," ", _xll.BDP($AX73,"FD121"))</f>
        <v>Equity</v>
      </c>
      <c r="AE73" s="25" t="str" cm="1">
        <f t="array" ref="AE73">IF(OR(_xll.BDP($AX73,"FD118")="#N/A N/A",_xll.BDP($AX73,"FD118")="#N/A FIELD NOT APPLICABLE")," ", _xll.BDP($AX73,"FD118"))</f>
        <v>ETF</v>
      </c>
      <c r="AF73" s="22" t="str" cm="1">
        <f t="array" ref="AF73">IF(OR(_xll.BDP($AX73,"FD114")="#N/A N/A",_xll.BDP($AX73,"FD114")="#N/A FIELD NOT APPLICABLE")," ", _xll.BDP($AX73,"FD114"))</f>
        <v xml:space="preserve"> </v>
      </c>
      <c r="AG73" s="22" t="str" cm="1">
        <f t="array" ref="AG73">IF(OR(_xll.BDP($AX73,"FD003")="#N/A N/A",_xll.BDP($AX73,"FD003")="#N/A FIELD NOT APPLICABLE")," ", _xll.BDP($AX73,"FD003"))</f>
        <v>20/01/2009</v>
      </c>
      <c r="AH73" s="32" cm="1">
        <f t="array" ref="AH73">IF(OR(_xll.BDP($AX73,"PR061")="#N/A N/A",_xll.BDP($AX73,"PR061")="#N/A FIELD NOT APPLICABLE")," ", _xll.BDP($AX73,"PR061")/100)</f>
        <v>8.2598210000000005E-2</v>
      </c>
      <c r="AI73" s="25" cm="1">
        <f t="array" ref="AI73">IF(OR(_xll.BDP($AX73,"RT075")="#N/A N/A",_xll.BDP($AX73,"RT075")="#N/A FIELD NOT APPLICABLE")," ", _xll.BDP($AX73,"RT075")/100)</f>
        <v>-0.11937379999999999</v>
      </c>
      <c r="AJ73" s="25" cm="1">
        <f t="array" ref="AJ73">IF(OR(_xll.BDP($AX73,"RT076")="#N/A N/A",_xll.BDP($AX73,"RT076")="#N/A FIELD NOT APPLICABLE")," ", _xll.BDP($AX73,"RT076")/100)</f>
        <v>2.354784E-2</v>
      </c>
      <c r="AK73" s="25" cm="1">
        <f t="array" ref="AK73">IF(OR(_xll.BDP($AX73,"FD252")="#N/A N/A",_xll.BDP($AX73,"FD252")="#N/A FIELD NOT APPLICABLE")," ", _xll.BDP($AX73,"FD252")/100)</f>
        <v>0</v>
      </c>
      <c r="AL73" s="25" cm="1">
        <f t="array" ref="AL73">IF(OR(_xll.BDP($AX73,"FD015")="#N/A N/A",_xll.BDP($AX73,"FD015")="#N/A FIELD NOT APPLICABLE")," ", _xll.BDP($AX73,"FD015")/100)</f>
        <v>5.6999999999999993E-3</v>
      </c>
      <c r="AM73" s="25" cm="1">
        <f t="array" ref="AM73">IF(OR(_xll.BDP($AX73,"FD138")="#N/A N/A",_xll.BDP($AX73,"FD138")="#N/A FIELD NOT APPLICABLE")," ", _xll.BDP($AX73,"FD138")/100)</f>
        <v>5.0000000000000001E-3</v>
      </c>
      <c r="AN73" s="36" cm="1">
        <f t="array" ref="AN73">IF(OR(_xll.BDP($AX73,"FD009")="#N/A N/A",_xll.BDP($AX73,"FD009")="#N/A FIELD NOT APPLICABLE")," ", _xll.BDP($AX73,"FD009")/100)</f>
        <v>0</v>
      </c>
      <c r="AO73" s="25" cm="1">
        <f t="array" ref="AO73">IF(OR(_xll.BDP($AX73,"RK512")="#N/A N/A",_xll.BDP($AX73,"RK512")="#N/A FIELD NOT APPLICABLE")," ", _xll.BDP($AX73,"RK512")/100)</f>
        <v>-5.5416297912597653E-3</v>
      </c>
      <c r="AP73" s="25" cm="1">
        <f t="array" ref="AP73">IF(OR(_xll.BDP($AX73,"RK514")="#N/A N/A",_xll.BDP($AX73,"RK514")="#N/A FIELD NOT APPLICABLE")," ", _xll.BDP($AX73,"RK514")/100)</f>
        <v>-4.9789801239967348E-3</v>
      </c>
      <c r="AQ73" s="25" cm="1">
        <f t="array" ref="AQ73">IF(OR(_xll.BDP($AX73,"RK521")="#N/A N/A",_xll.BDP($AX73,"RK521")="#N/A FIELD NOT APPLICABLE")," ", _xll.BDP($AX73,"RK521")/100)</f>
        <v>-3.8590800762176515E-3</v>
      </c>
      <c r="AR73" s="25" cm="1">
        <f t="array" ref="AR73">IF(OR(_xll.BDP($AX73,"RK525")="#N/A N/A",_xll.BDP($AX73,"RK525")="#N/A FIELD NOT APPLICABLE")," ", _xll.BDP($AX73,"RK525")/100)</f>
        <v>9.4481402635574335E-3</v>
      </c>
      <c r="AS73" s="25" cm="1">
        <f t="array" ref="AS73">IF(OR(_xll.BDP($AX73,"RK524")="#N/A N/A",_xll.BDP($AX73,"RK524")="#N/A FIELD NOT APPLICABLE")," ", _xll.BDP($AX73,"RK524")/100)</f>
        <v>-1.8376000225543975E-4</v>
      </c>
      <c r="AT73" s="25" t="str" cm="1">
        <f t="array" ref="AT73">IF(OR(_xll.BDP($AX73,"FD183")="#N/A N/A",_xll.BDP($AX73,"FD183")="#N/A FIELD NOT APPLICABLE")," ", _xll.BDP($AX73,"FD183"))</f>
        <v>USD INC</v>
      </c>
      <c r="AU73" s="25" t="str" cm="1">
        <f t="array" ref="AU73">IF(OR(_xll.BDP($AX73,"DY997")="#N/A N/A",_xll.BDP($AX73,"DY997")="#N/A FIELD NOT APPLICABLE")," ", _xll.BDP($AX73,"DY997"))</f>
        <v xml:space="preserve"> </v>
      </c>
      <c r="AV73" s="25" t="str" cm="1">
        <f t="array" ref="AV73">IF(OR(_xll.BDP($AX73,"DY784")="#N/A N/A",_xll.BDP($AX73,"DY784")="#N/A FIELD NOT APPLICABLE")," ", _xll.BDP($AX73,"DY784"))</f>
        <v xml:space="preserve"> </v>
      </c>
      <c r="AW73" s="22" t="str">
        <f t="shared" si="22"/>
        <v>N</v>
      </c>
      <c r="AX73" s="22" t="str">
        <f t="shared" si="23"/>
        <v>IDX US Equity</v>
      </c>
      <c r="BC73" s="17" t="str" cm="1">
        <f t="array" ref="BC73">_xll.BDP(AX73,"ID005")</f>
        <v>US92189F8335</v>
      </c>
      <c r="BD73" s="17">
        <v>0.65</v>
      </c>
      <c r="BE73" s="18">
        <v>5</v>
      </c>
      <c r="BF73" s="37">
        <v>44433</v>
      </c>
      <c r="BG73" s="20">
        <v>1.0000000000107532</v>
      </c>
    </row>
    <row r="74" spans="1:59" s="3" customFormat="1" ht="14.45" customHeight="1" x14ac:dyDescent="0.25">
      <c r="A74" s="49" t="s">
        <v>242</v>
      </c>
      <c r="B74" s="49" t="s">
        <v>243</v>
      </c>
      <c r="C74" s="49" t="s">
        <v>244</v>
      </c>
      <c r="D74" s="49" t="s">
        <v>245</v>
      </c>
      <c r="E74" s="22" t="str">
        <f>_xll.BDP(AX74,"SECURITY NAME")</f>
        <v>VanEck Indonesia Index ETF</v>
      </c>
      <c r="F74" s="22" t="str">
        <f>_xll.BDP(AX74,"CRNCY")</f>
        <v>USD</v>
      </c>
      <c r="G74" s="23" t="s">
        <v>345</v>
      </c>
      <c r="H74" s="22" t="str" cm="1">
        <f t="array" ref="H74">IF(OR(_xll.BDP($AX74,"FD120")="#N/A N/A",_xll.BDP($AX74,"FD120")="#N/A FIELD NOT APPLICABLE")," ",_xll.BDP($AX74,"FD120"))</f>
        <v>Indonesia</v>
      </c>
      <c r="I74" s="22" t="str" cm="1">
        <f t="array" ref="I74">IF(OR(_xll.BDP($AX74,"FD116")="#N/A N/A",_xll.BDP($AX74,"FD116")="#N/A FIELD NOT APPLICABLE")," ",_xll.BDP($AX74,"FD116"))</f>
        <v>Blend</v>
      </c>
      <c r="J74" s="22" t="str" cm="1">
        <f t="array" ref="J74">IF(OR(_xll.BDP($AX74,"FD133")="#N/A N/A",_xll.BDP($AX74,"FD133")="#N/A FIELD NOT APPLICABLE")," ", _xll.BDP($AX74,"FD133"))</f>
        <v xml:space="preserve"> </v>
      </c>
      <c r="K74" s="34">
        <f>_xll.BDP(AX74,"FUND_ASSETS_USD")/1000</f>
        <v>2.9583021010000002E-2</v>
      </c>
      <c r="L74" s="25">
        <f>IFERROR(_xll.BDP(AX74, "DV013")/100,0)</f>
        <v>4.3925925537391948E-2</v>
      </c>
      <c r="M74" s="25" cm="1">
        <f t="array" ref="M74">IF(OR(_xll.BDP($AX74,"PR079")="#N/A N/A",_xll.BDP($AX74,"PR079")="#N/A FIELD NOT APPLICABLE")," ", _xll.BDP($AX74,"PR079")/100)</f>
        <v>-8.7837849999999995E-2</v>
      </c>
      <c r="N74" s="25" cm="1">
        <f t="array" ref="N74">IF(OR(_xll.BDP($AX74,"RT074")="#N/A N/A",_xll.BDP($AX74,"RT074")="#N/A FIELD NOT APPLICABLE")," ", _xll.BDP($AX74,"RT074")/100)</f>
        <v>-0.1265049</v>
      </c>
      <c r="O74" s="27">
        <v>7287</v>
      </c>
      <c r="P74" s="28">
        <v>12.38</v>
      </c>
      <c r="Q74" s="22" cm="1">
        <f t="array" ref="Q74">IF(OR(_xll.BDP($AX74,"PX_last")="#N/A N/A",_xll.BDP($AX74,"PX_Last")="#N/A FIELD NOT APPLICABLE")," ",IF(F74="GBP",(_xll.BDP($AX74,"PX_LAST")/100),(_xll.BDP($AX74,"PX_LAST"))))</f>
        <v>13.5</v>
      </c>
      <c r="R74" s="29">
        <f>IF(F74="USD",AA74,(((_xll.BDP(F74&amp;"USD CURNCY","PX_LAST")))*AA74))</f>
        <v>90213.060000000012</v>
      </c>
      <c r="S74" s="29">
        <f>IF(F74="USD",AB74,(((_xll.BDP(F74&amp;"USD CURNCY","PX_LAST")))*AB74))</f>
        <v>98374.5</v>
      </c>
      <c r="T74" s="12">
        <f t="shared" si="16"/>
        <v>8161.4399999999878</v>
      </c>
      <c r="U74" s="13">
        <f t="shared" si="17"/>
        <v>9.0468497576736528E-2</v>
      </c>
      <c r="V74" s="13" cm="1">
        <f t="array" ref="V74">IFERROR(_xll.BDP($G74&amp;" Equity","CHG_PCT_1D")/100,"")</f>
        <v>7.462687E-3</v>
      </c>
      <c r="W74" s="13" cm="1">
        <f t="array" ref="W74">IFERROR(_xll.BDP($G74&amp;" Equity","CHG_PCT_5D")/100,"")</f>
        <v>3.2110090000000001E-2</v>
      </c>
      <c r="X74" s="13" t="e">
        <f>S74/$H$62</f>
        <v>#VALUE!</v>
      </c>
      <c r="Y74" s="29">
        <f t="shared" si="18"/>
        <v>4321.1909617781639</v>
      </c>
      <c r="Z74" s="29">
        <f t="shared" si="19"/>
        <v>98374.5</v>
      </c>
      <c r="AA74" s="29">
        <f t="shared" si="20"/>
        <v>90213.060000000012</v>
      </c>
      <c r="AB74" s="29">
        <f t="shared" si="21"/>
        <v>98374.5</v>
      </c>
      <c r="AC74" s="25" t="str" cm="1">
        <f t="array" ref="AC74">IF(OR(_xll.BDP($AX74,"EX028")="#N/A N/A",_xll.BDP($AX74,"EX028")="#N/A FIELD NOT APPLICABLE")," ", _xll.BDP($AX74,"EX028"))</f>
        <v>Fund</v>
      </c>
      <c r="AD74" s="35" t="str" cm="1">
        <f t="array" ref="AD74">IF(OR(_xll.BDP($AX74,"FD121")="#N/A N/A",_xll.BDP($AX74,"FD121")="#N/A FIELD NOT APPLICABLE")," ", _xll.BDP($AX74,"FD121"))</f>
        <v>Equity</v>
      </c>
      <c r="AE74" s="25" t="str" cm="1">
        <f t="array" ref="AE74">IF(OR(_xll.BDP($AX74,"FD118")="#N/A N/A",_xll.BDP($AX74,"FD118")="#N/A FIELD NOT APPLICABLE")," ", _xll.BDP($AX74,"FD118"))</f>
        <v>ETF</v>
      </c>
      <c r="AF74" s="22" t="str" cm="1">
        <f t="array" ref="AF74">IF(OR(_xll.BDP($AX74,"FD114")="#N/A N/A",_xll.BDP($AX74,"FD114")="#N/A FIELD NOT APPLICABLE")," ", _xll.BDP($AX74,"FD114"))</f>
        <v xml:space="preserve"> </v>
      </c>
      <c r="AG74" s="22" t="str" cm="1">
        <f t="array" ref="AG74">IF(OR(_xll.BDP($AX74,"FD003")="#N/A N/A",_xll.BDP($AX74,"FD003")="#N/A FIELD NOT APPLICABLE")," ", _xll.BDP($AX74,"FD003"))</f>
        <v>20/01/2009</v>
      </c>
      <c r="AH74" s="32" cm="1">
        <f t="array" ref="AH74">IF(OR(_xll.BDP($AX74,"PR061")="#N/A N/A",_xll.BDP($AX74,"PR061")="#N/A FIELD NOT APPLICABLE")," ", _xll.BDP($AX74,"PR061")/100)</f>
        <v>8.2598210000000005E-2</v>
      </c>
      <c r="AI74" s="25" cm="1">
        <f t="array" ref="AI74">IF(OR(_xll.BDP($AX74,"RT075")="#N/A N/A",_xll.BDP($AX74,"RT075")="#N/A FIELD NOT APPLICABLE")," ", _xll.BDP($AX74,"RT075")/100)</f>
        <v>-0.11937379999999999</v>
      </c>
      <c r="AJ74" s="25" cm="1">
        <f t="array" ref="AJ74">IF(OR(_xll.BDP($AX74,"RT076")="#N/A N/A",_xll.BDP($AX74,"RT076")="#N/A FIELD NOT APPLICABLE")," ", _xll.BDP($AX74,"RT076")/100)</f>
        <v>2.354784E-2</v>
      </c>
      <c r="AK74" s="25" cm="1">
        <f t="array" ref="AK74">IF(OR(_xll.BDP($AX74,"FD252")="#N/A N/A",_xll.BDP($AX74,"FD252")="#N/A FIELD NOT APPLICABLE")," ", _xll.BDP($AX74,"FD252")/100)</f>
        <v>0</v>
      </c>
      <c r="AL74" s="25" cm="1">
        <f t="array" ref="AL74">IF(OR(_xll.BDP($AX74,"FD015")="#N/A N/A",_xll.BDP($AX74,"FD015")="#N/A FIELD NOT APPLICABLE")," ", _xll.BDP($AX74,"FD015")/100)</f>
        <v>5.6999999999999993E-3</v>
      </c>
      <c r="AM74" s="25" cm="1">
        <f t="array" ref="AM74">IF(OR(_xll.BDP($AX74,"FD138")="#N/A N/A",_xll.BDP($AX74,"FD138")="#N/A FIELD NOT APPLICABLE")," ", _xll.BDP($AX74,"FD138")/100)</f>
        <v>5.0000000000000001E-3</v>
      </c>
      <c r="AN74" s="36" cm="1">
        <f t="array" ref="AN74">IF(OR(_xll.BDP($AX74,"FD009")="#N/A N/A",_xll.BDP($AX74,"FD009")="#N/A FIELD NOT APPLICABLE")," ", _xll.BDP($AX74,"FD009")/100)</f>
        <v>0</v>
      </c>
      <c r="AO74" s="25" cm="1">
        <f t="array" ref="AO74">IF(OR(_xll.BDP($AX74,"RK512")="#N/A N/A",_xll.BDP($AX74,"RK512")="#N/A FIELD NOT APPLICABLE")," ", _xll.BDP($AX74,"RK512")/100)</f>
        <v>-5.5416297912597653E-3</v>
      </c>
      <c r="AP74" s="25" cm="1">
        <f t="array" ref="AP74">IF(OR(_xll.BDP($AX74,"RK514")="#N/A N/A",_xll.BDP($AX74,"RK514")="#N/A FIELD NOT APPLICABLE")," ", _xll.BDP($AX74,"RK514")/100)</f>
        <v>-4.9789801239967348E-3</v>
      </c>
      <c r="AQ74" s="25" cm="1">
        <f t="array" ref="AQ74">IF(OR(_xll.BDP($AX74,"RK521")="#N/A N/A",_xll.BDP($AX74,"RK521")="#N/A FIELD NOT APPLICABLE")," ", _xll.BDP($AX74,"RK521")/100)</f>
        <v>-3.8590800762176515E-3</v>
      </c>
      <c r="AR74" s="25" cm="1">
        <f t="array" ref="AR74">IF(OR(_xll.BDP($AX74,"RK525")="#N/A N/A",_xll.BDP($AX74,"RK525")="#N/A FIELD NOT APPLICABLE")," ", _xll.BDP($AX74,"RK525")/100)</f>
        <v>9.4481402635574335E-3</v>
      </c>
      <c r="AS74" s="25" cm="1">
        <f t="array" ref="AS74">IF(OR(_xll.BDP($AX74,"RK524")="#N/A N/A",_xll.BDP($AX74,"RK524")="#N/A FIELD NOT APPLICABLE")," ", _xll.BDP($AX74,"RK524")/100)</f>
        <v>-1.8376000225543975E-4</v>
      </c>
      <c r="AT74" s="25" t="str" cm="1">
        <f t="array" ref="AT74">IF(OR(_xll.BDP($AX74,"FD183")="#N/A N/A",_xll.BDP($AX74,"FD183")="#N/A FIELD NOT APPLICABLE")," ", _xll.BDP($AX74,"FD183"))</f>
        <v>USD INC</v>
      </c>
      <c r="AU74" s="25" t="str" cm="1">
        <f t="array" ref="AU74">IF(OR(_xll.BDP($AX74,"DY997")="#N/A N/A",_xll.BDP($AX74,"DY997")="#N/A FIELD NOT APPLICABLE")," ", _xll.BDP($AX74,"DY997"))</f>
        <v xml:space="preserve"> </v>
      </c>
      <c r="AV74" s="25" t="str" cm="1">
        <f t="array" ref="AV74">IF(OR(_xll.BDP($AX74,"DY784")="#N/A N/A",_xll.BDP($AX74,"DY784")="#N/A FIELD NOT APPLICABLE")," ", _xll.BDP($AX74,"DY784"))</f>
        <v xml:space="preserve"> </v>
      </c>
      <c r="AW74" s="22" t="str">
        <f t="shared" si="22"/>
        <v>N</v>
      </c>
      <c r="AX74" s="22" t="str">
        <f t="shared" si="23"/>
        <v>IDX US Equity</v>
      </c>
      <c r="BC74" s="17" t="str" cm="1">
        <f t="array" ref="BC74">_xll.BDP(AX74,"ID005")</f>
        <v>US92189F8335</v>
      </c>
      <c r="BD74" s="17">
        <v>0.79999991979544627</v>
      </c>
      <c r="BE74" s="18">
        <v>5</v>
      </c>
      <c r="BF74" s="37">
        <v>45492</v>
      </c>
      <c r="BG74" s="20">
        <v>1.0000000000107532</v>
      </c>
    </row>
    <row r="75" spans="1:59" s="3" customFormat="1" ht="14.45" customHeight="1" x14ac:dyDescent="0.25">
      <c r="A75" s="49" t="s">
        <v>242</v>
      </c>
      <c r="B75" s="49" t="s">
        <v>327</v>
      </c>
      <c r="C75" s="49">
        <v>4371511</v>
      </c>
      <c r="D75" s="49" t="s">
        <v>248</v>
      </c>
      <c r="E75" s="22" t="str">
        <f>_xll.BDP(AX75,"SECURITY NAME")</f>
        <v>VanEck Indonesia Index ETF</v>
      </c>
      <c r="F75" s="22" t="str">
        <f>_xll.BDP(AX75,"CRNCY")</f>
        <v>USD</v>
      </c>
      <c r="G75" s="23" t="s">
        <v>345</v>
      </c>
      <c r="H75" s="22" t="str" cm="1">
        <f t="array" ref="H75">IF(OR(_xll.BDP($AX75,"FD120")="#N/A N/A",_xll.BDP($AX75,"FD120")="#N/A FIELD NOT APPLICABLE")," ",_xll.BDP($AX75,"FD120"))</f>
        <v>Indonesia</v>
      </c>
      <c r="I75" s="22" t="str" cm="1">
        <f t="array" ref="I75">IF(OR(_xll.BDP($AX75,"FD116")="#N/A N/A",_xll.BDP($AX75,"FD116")="#N/A FIELD NOT APPLICABLE")," ",_xll.BDP($AX75,"FD116"))</f>
        <v>Blend</v>
      </c>
      <c r="J75" s="22" t="str" cm="1">
        <f t="array" ref="J75">IF(OR(_xll.BDP($AX75,"FD133")="#N/A N/A",_xll.BDP($AX75,"FD133")="#N/A FIELD NOT APPLICABLE")," ", _xll.BDP($AX75,"FD133"))</f>
        <v xml:space="preserve"> </v>
      </c>
      <c r="K75" s="34">
        <f>_xll.BDP(AX75,"FUND_ASSETS_USD")/1000</f>
        <v>2.9583021010000002E-2</v>
      </c>
      <c r="L75" s="25">
        <f>IFERROR(_xll.BDP(AX75, "DV013")/100,0)</f>
        <v>4.3925925537391948E-2</v>
      </c>
      <c r="M75" s="25" cm="1">
        <f t="array" ref="M75">IF(OR(_xll.BDP($AX75,"PR079")="#N/A N/A",_xll.BDP($AX75,"PR079")="#N/A FIELD NOT APPLICABLE")," ", _xll.BDP($AX75,"PR079")/100)</f>
        <v>-8.7837849999999995E-2</v>
      </c>
      <c r="N75" s="25" cm="1">
        <f t="array" ref="N75">IF(OR(_xll.BDP($AX75,"RT074")="#N/A N/A",_xll.BDP($AX75,"RT074")="#N/A FIELD NOT APPLICABLE")," ", _xll.BDP($AX75,"RT074")/100)</f>
        <v>-0.1265049</v>
      </c>
      <c r="O75" s="27">
        <v>5731</v>
      </c>
      <c r="P75" s="28">
        <v>12.43</v>
      </c>
      <c r="Q75" s="22" cm="1">
        <f t="array" ref="Q75">IF(OR(_xll.BDP($AX75,"PX_last")="#N/A N/A",_xll.BDP($AX75,"PX_Last")="#N/A FIELD NOT APPLICABLE")," ",IF(F75="GBP",(_xll.BDP($AX75,"PX_LAST")),(_xll.BDP($AX75,"PX_LAST"))))</f>
        <v>13.5</v>
      </c>
      <c r="R75" s="29">
        <f>IF(F75="USD",AA75,(((_xll.BDP(F75&amp;"USD CURNCY","PX_LAST")))*AA75))</f>
        <v>71236.33</v>
      </c>
      <c r="S75" s="29">
        <f>IF(F75="USD",AB75,(((_xll.BDP(F75&amp;"USD CURNCY","PX_LAST")))*AB75))</f>
        <v>77368.5</v>
      </c>
      <c r="T75" s="12">
        <f t="shared" si="16"/>
        <v>6132.1699999999983</v>
      </c>
      <c r="U75" s="13">
        <f t="shared" si="17"/>
        <v>8.6082059533386934E-2</v>
      </c>
      <c r="V75" s="13" cm="1">
        <f t="array" ref="V75">IFERROR(_xll.BDP($G75&amp;" Equity","CHG_PCT_1D")/100,"")</f>
        <v>7.462687E-3</v>
      </c>
      <c r="W75" s="13" cm="1">
        <f t="array" ref="W75">IFERROR(_xll.BDP($G75&amp;" Equity","CHG_PCT_5D")/100,"")</f>
        <v>3.2110090000000001E-2</v>
      </c>
      <c r="X75" s="13" t="e">
        <f>S75/#REF!</f>
        <v>#REF!</v>
      </c>
      <c r="Y75" s="29">
        <f t="shared" si="18"/>
        <v>3398.4829699397087</v>
      </c>
      <c r="Z75" s="29">
        <f t="shared" si="19"/>
        <v>77368.5</v>
      </c>
      <c r="AA75" s="29">
        <f t="shared" si="20"/>
        <v>71236.33</v>
      </c>
      <c r="AB75" s="29">
        <f t="shared" si="21"/>
        <v>77368.5</v>
      </c>
      <c r="AC75" s="25" t="str" cm="1">
        <f t="array" ref="AC75">IF(OR(_xll.BDP($AX75,"EX028")="#N/A N/A",_xll.BDP($AX75,"EX028")="#N/A FIELD NOT APPLICABLE")," ", _xll.BDP($AX75,"EX028"))</f>
        <v>Fund</v>
      </c>
      <c r="AD75" s="35" t="str" cm="1">
        <f t="array" ref="AD75">IF(OR(_xll.BDP($AX75,"FD121")="#N/A N/A",_xll.BDP($AX75,"FD121")="#N/A FIELD NOT APPLICABLE")," ", _xll.BDP($AX75,"FD121"))</f>
        <v>Equity</v>
      </c>
      <c r="AE75" s="25" t="str" cm="1">
        <f t="array" ref="AE75">IF(OR(_xll.BDP($AX75,"FD118")="#N/A N/A",_xll.BDP($AX75,"FD118")="#N/A FIELD NOT APPLICABLE")," ", _xll.BDP($AX75,"FD118"))</f>
        <v>ETF</v>
      </c>
      <c r="AF75" s="22" t="str" cm="1">
        <f t="array" ref="AF75">IF(OR(_xll.BDP($AX75,"FD114")="#N/A N/A",_xll.BDP($AX75,"FD114")="#N/A FIELD NOT APPLICABLE")," ", _xll.BDP($AX75,"FD114"))</f>
        <v xml:space="preserve"> </v>
      </c>
      <c r="AG75" s="22" t="str" cm="1">
        <f t="array" ref="AG75">IF(OR(_xll.BDP($AX75,"FD003")="#N/A N/A",_xll.BDP($AX75,"FD003")="#N/A FIELD NOT APPLICABLE")," ", _xll.BDP($AX75,"FD003"))</f>
        <v>20/01/2009</v>
      </c>
      <c r="AH75" s="32" cm="1">
        <f t="array" ref="AH75">IF(OR(_xll.BDP($AX75,"PR061")="#N/A N/A",_xll.BDP($AX75,"PR061")="#N/A FIELD NOT APPLICABLE")," ", _xll.BDP($AX75,"PR061")/100)</f>
        <v>8.2598210000000005E-2</v>
      </c>
      <c r="AI75" s="25" cm="1">
        <f t="array" ref="AI75">IF(OR(_xll.BDP($AX75,"RT075")="#N/A N/A",_xll.BDP($AX75,"RT075")="#N/A FIELD NOT APPLICABLE")," ", _xll.BDP($AX75,"RT075")/100)</f>
        <v>-0.11937379999999999</v>
      </c>
      <c r="AJ75" s="25" cm="1">
        <f t="array" ref="AJ75">IF(OR(_xll.BDP($AX75,"RT076")="#N/A N/A",_xll.BDP($AX75,"RT076")="#N/A FIELD NOT APPLICABLE")," ", _xll.BDP($AX75,"RT076")/100)</f>
        <v>2.354784E-2</v>
      </c>
      <c r="AK75" s="25" cm="1">
        <f t="array" ref="AK75">IF(OR(_xll.BDP($AX75,"FD252")="#N/A N/A",_xll.BDP($AX75,"FD252")="#N/A FIELD NOT APPLICABLE")," ", _xll.BDP($AX75,"FD252")/100)</f>
        <v>0</v>
      </c>
      <c r="AL75" s="25" cm="1">
        <f t="array" ref="AL75">IF(OR(_xll.BDP($AX75,"FD015")="#N/A N/A",_xll.BDP($AX75,"FD015")="#N/A FIELD NOT APPLICABLE")," ", _xll.BDP($AX75,"FD015")/100)</f>
        <v>5.6999999999999993E-3</v>
      </c>
      <c r="AM75" s="25" cm="1">
        <f t="array" ref="AM75">IF(OR(_xll.BDP($AX75,"FD138")="#N/A N/A",_xll.BDP($AX75,"FD138")="#N/A FIELD NOT APPLICABLE")," ", _xll.BDP($AX75,"FD138")/100)</f>
        <v>5.0000000000000001E-3</v>
      </c>
      <c r="AN75" s="36" cm="1">
        <f t="array" ref="AN75">IF(OR(_xll.BDP($AX75,"FD009")="#N/A N/A",_xll.BDP($AX75,"FD009")="#N/A FIELD NOT APPLICABLE")," ", _xll.BDP($AX75,"FD009")/100)</f>
        <v>0</v>
      </c>
      <c r="AO75" s="25" cm="1">
        <f t="array" ref="AO75">IF(OR(_xll.BDP($AX75,"RK512")="#N/A N/A",_xll.BDP($AX75,"RK512")="#N/A FIELD NOT APPLICABLE")," ", _xll.BDP($AX75,"RK512")/100)</f>
        <v>-5.5416297912597653E-3</v>
      </c>
      <c r="AP75" s="25" cm="1">
        <f t="array" ref="AP75">IF(OR(_xll.BDP($AX75,"RK514")="#N/A N/A",_xll.BDP($AX75,"RK514")="#N/A FIELD NOT APPLICABLE")," ", _xll.BDP($AX75,"RK514")/100)</f>
        <v>-4.9789801239967348E-3</v>
      </c>
      <c r="AQ75" s="25" cm="1">
        <f t="array" ref="AQ75">IF(OR(_xll.BDP($AX75,"RK521")="#N/A N/A",_xll.BDP($AX75,"RK521")="#N/A FIELD NOT APPLICABLE")," ", _xll.BDP($AX75,"RK521")/100)</f>
        <v>-3.8590800762176515E-3</v>
      </c>
      <c r="AR75" s="25" cm="1">
        <f t="array" ref="AR75">IF(OR(_xll.BDP($AX75,"RK525")="#N/A N/A",_xll.BDP($AX75,"RK525")="#N/A FIELD NOT APPLICABLE")," ", _xll.BDP($AX75,"RK525")/100)</f>
        <v>9.4481402635574335E-3</v>
      </c>
      <c r="AS75" s="25" cm="1">
        <f t="array" ref="AS75">IF(OR(_xll.BDP($AX75,"RK524")="#N/A N/A",_xll.BDP($AX75,"RK524")="#N/A FIELD NOT APPLICABLE")," ", _xll.BDP($AX75,"RK524")/100)</f>
        <v>-1.8376000225543975E-4</v>
      </c>
      <c r="AT75" s="25" t="str" cm="1">
        <f t="array" ref="AT75">IF(OR(_xll.BDP($AX75,"FD183")="#N/A N/A",_xll.BDP($AX75,"FD183")="#N/A FIELD NOT APPLICABLE")," ", _xll.BDP($AX75,"FD183"))</f>
        <v>USD INC</v>
      </c>
      <c r="AU75" s="25" t="str" cm="1">
        <f t="array" ref="AU75">IF(OR(_xll.BDP($AX75,"DY997")="#N/A N/A",_xll.BDP($AX75,"DY997")="#N/A FIELD NOT APPLICABLE")," ", _xll.BDP($AX75,"DY997"))</f>
        <v xml:space="preserve"> </v>
      </c>
      <c r="AV75" s="25" t="str" cm="1">
        <f t="array" ref="AV75">IF(OR(_xll.BDP($AX75,"DY784")="#N/A N/A",_xll.BDP($AX75,"DY784")="#N/A FIELD NOT APPLICABLE")," ", _xll.BDP($AX75,"DY784"))</f>
        <v xml:space="preserve"> </v>
      </c>
      <c r="AW75" s="22" t="str">
        <f t="shared" si="22"/>
        <v>N</v>
      </c>
      <c r="AX75" s="22" t="str">
        <f t="shared" si="23"/>
        <v>IDX US Equity</v>
      </c>
      <c r="BC75" s="17" t="str" cm="1">
        <f t="array" ref="BC75">_xll.BDP(AX75,"ID005")</f>
        <v>US92189F8335</v>
      </c>
      <c r="BD75" s="17">
        <v>0.75</v>
      </c>
      <c r="BE75" s="18">
        <v>5</v>
      </c>
      <c r="BF75" s="37">
        <v>45492</v>
      </c>
      <c r="BG75" s="20">
        <v>1.0000000000107532</v>
      </c>
    </row>
    <row r="76" spans="1:59" s="3" customFormat="1" ht="14.45" customHeight="1" x14ac:dyDescent="0.25">
      <c r="A76" s="49" t="s">
        <v>242</v>
      </c>
      <c r="B76" s="49" t="s">
        <v>260</v>
      </c>
      <c r="C76" s="49" t="s">
        <v>261</v>
      </c>
      <c r="D76" s="49" t="s">
        <v>248</v>
      </c>
      <c r="E76" s="22" t="str">
        <f>_xll.BDP(AX76,"SECURITY NAME")</f>
        <v>VanEck Indonesia Index ETF</v>
      </c>
      <c r="F76" s="22" t="str">
        <f>_xll.BDP(AX76,"CRNCY")</f>
        <v>USD</v>
      </c>
      <c r="G76" s="73" t="s">
        <v>345</v>
      </c>
      <c r="H76" s="22" t="str" cm="1">
        <f t="array" ref="H76">IF(OR(_xll.BDP($AX76,"FD120")="#N/A N/A",_xll.BDP($AX76,"FD120")="#N/A FIELD NOT APPLICABLE")," ",_xll.BDP($AX76,"FD120"))</f>
        <v>Indonesia</v>
      </c>
      <c r="I76" s="22" t="str" cm="1">
        <f t="array" ref="I76">IF(OR(_xll.BDP($AX76,"FD116")="#N/A N/A",_xll.BDP($AX76,"FD116")="#N/A FIELD NOT APPLICABLE")," ",_xll.BDP($AX76,"FD116"))</f>
        <v>Blend</v>
      </c>
      <c r="J76" s="22" t="str" cm="1">
        <f t="array" ref="J76">IF(OR(_xll.BDP($AX76,"FD133")="#N/A N/A",_xll.BDP($AX76,"FD133")="#N/A FIELD NOT APPLICABLE")," ", _xll.BDP($AX76,"FD133"))</f>
        <v xml:space="preserve"> </v>
      </c>
      <c r="K76" s="34">
        <f>_xll.BDP(AX76,"FUND_ASSETS_USD")/1000</f>
        <v>2.9583021010000002E-2</v>
      </c>
      <c r="L76" s="25">
        <f>IFERROR(_xll.BDP(AX76, "DV013")/100,0)</f>
        <v>4.3925925537391948E-2</v>
      </c>
      <c r="M76" s="25" cm="1">
        <f t="array" ref="M76">IF(OR(_xll.BDP($AX76,"PR079")="#N/A N/A",_xll.BDP($AX76,"PR079")="#N/A FIELD NOT APPLICABLE")," ", _xll.BDP($AX76,"PR079")/100)</f>
        <v>-8.7837849999999995E-2</v>
      </c>
      <c r="N76" s="25" cm="1">
        <f t="array" ref="N76">IF(OR(_xll.BDP($AX76,"RT074")="#N/A N/A",_xll.BDP($AX76,"RT074")="#N/A FIELD NOT APPLICABLE")," ", _xll.BDP($AX76,"RT074")/100)</f>
        <v>-0.1265049</v>
      </c>
      <c r="O76" s="74">
        <v>5053</v>
      </c>
      <c r="P76" s="75">
        <v>12.43</v>
      </c>
      <c r="Q76" s="22" cm="1">
        <f t="array" ref="Q76">IF(OR(_xll.BDP($AX76,"PX_last")="#N/A N/A",_xll.BDP($AX76,"PX_Last")="#N/A FIELD NOT APPLICABLE")," ",IF(F76="GBP",(_xll.BDP($AX76,"PX_LAST")/100),(_xll.BDP($AX76,"PX_LAST"))))</f>
        <v>13.5</v>
      </c>
      <c r="R76" s="29">
        <f>IF(F76="USD",AA76,(((_xll.BDP(F76&amp;"USD CURNCY","PX_LAST")))*AA76))</f>
        <v>62808.79</v>
      </c>
      <c r="S76" s="29">
        <f>IF(F76="USD",AB76,(((_xll.BDP(F76&amp;"USD CURNCY","PX_LAST")))*AB76))</f>
        <v>68215.5</v>
      </c>
      <c r="T76" s="12">
        <f t="shared" si="16"/>
        <v>5406.7099999999991</v>
      </c>
      <c r="U76" s="13">
        <f t="shared" si="17"/>
        <v>8.6082059533386948E-2</v>
      </c>
      <c r="V76" s="13" cm="1">
        <f t="array" ref="V76">IFERROR(_xll.BDP($G76&amp;" Equity","CHG_PCT_1D")/100,"")</f>
        <v>7.462687E-3</v>
      </c>
      <c r="W76" s="13" cm="1">
        <f t="array" ref="W76">IFERROR(_xll.BDP($G76&amp;" Equity","CHG_PCT_5D")/100,"")</f>
        <v>3.2110090000000001E-2</v>
      </c>
      <c r="X76" s="13" t="e">
        <f>S76/#REF!</f>
        <v>#REF!</v>
      </c>
      <c r="Y76" s="29">
        <f t="shared" si="18"/>
        <v>2996.4289734959602</v>
      </c>
      <c r="Z76" s="29">
        <f t="shared" si="19"/>
        <v>68215.5</v>
      </c>
      <c r="AA76" s="29">
        <f t="shared" si="20"/>
        <v>62808.79</v>
      </c>
      <c r="AB76" s="29">
        <f t="shared" si="21"/>
        <v>68215.5</v>
      </c>
      <c r="AC76" s="25" t="str" cm="1">
        <f t="array" ref="AC76">IF(OR(_xll.BDP($AX76,"EX028")="#N/A N/A",_xll.BDP($AX76,"EX028")="#N/A FIELD NOT APPLICABLE")," ", _xll.BDP($AX76,"EX028"))</f>
        <v>Fund</v>
      </c>
      <c r="AD76" s="35" t="str" cm="1">
        <f t="array" ref="AD76">IF(OR(_xll.BDP($AX76,"FD121")="#N/A N/A",_xll.BDP($AX76,"FD121")="#N/A FIELD NOT APPLICABLE")," ", _xll.BDP($AX76,"FD121"))</f>
        <v>Equity</v>
      </c>
      <c r="AE76" s="25" t="str" cm="1">
        <f t="array" ref="AE76">IF(OR(_xll.BDP($AX76,"FD118")="#N/A N/A",_xll.BDP($AX76,"FD118")="#N/A FIELD NOT APPLICABLE")," ", _xll.BDP($AX76,"FD118"))</f>
        <v>ETF</v>
      </c>
      <c r="AF76" s="22" t="str" cm="1">
        <f t="array" ref="AF76">IF(OR(_xll.BDP($AX76,"FD114")="#N/A N/A",_xll.BDP($AX76,"FD114")="#N/A FIELD NOT APPLICABLE")," ", _xll.BDP($AX76,"FD114"))</f>
        <v xml:space="preserve"> </v>
      </c>
      <c r="AG76" s="22" t="str" cm="1">
        <f t="array" ref="AG76">IF(OR(_xll.BDP($AX76,"FD003")="#N/A N/A",_xll.BDP($AX76,"FD003")="#N/A FIELD NOT APPLICABLE")," ", _xll.BDP($AX76,"FD003"))</f>
        <v>20/01/2009</v>
      </c>
      <c r="AH76" s="32" cm="1">
        <f t="array" ref="AH76">IF(OR(_xll.BDP($AX76,"PR061")="#N/A N/A",_xll.BDP($AX76,"PR061")="#N/A FIELD NOT APPLICABLE")," ", _xll.BDP($AX76,"PR061")/100)</f>
        <v>8.2598210000000005E-2</v>
      </c>
      <c r="AI76" s="25" cm="1">
        <f t="array" ref="AI76">IF(OR(_xll.BDP($AX76,"RT075")="#N/A N/A",_xll.BDP($AX76,"RT075")="#N/A FIELD NOT APPLICABLE")," ", _xll.BDP($AX76,"RT075")/100)</f>
        <v>-0.11937379999999999</v>
      </c>
      <c r="AJ76" s="25" cm="1">
        <f t="array" ref="AJ76">IF(OR(_xll.BDP($AX76,"RT076")="#N/A N/A",_xll.BDP($AX76,"RT076")="#N/A FIELD NOT APPLICABLE")," ", _xll.BDP($AX76,"RT076")/100)</f>
        <v>2.354784E-2</v>
      </c>
      <c r="AK76" s="25" cm="1">
        <f t="array" ref="AK76">IF(OR(_xll.BDP($AX76,"FD252")="#N/A N/A",_xll.BDP($AX76,"FD252")="#N/A FIELD NOT APPLICABLE")," ", _xll.BDP($AX76,"FD252")/100)</f>
        <v>0</v>
      </c>
      <c r="AL76" s="25" cm="1">
        <f t="array" ref="AL76">IF(OR(_xll.BDP($AX76,"FD015")="#N/A N/A",_xll.BDP($AX76,"FD015")="#N/A FIELD NOT APPLICABLE")," ", _xll.BDP($AX76,"FD015")/100)</f>
        <v>5.6999999999999993E-3</v>
      </c>
      <c r="AM76" s="25" cm="1">
        <f t="array" ref="AM76">IF(OR(_xll.BDP($AX76,"FD138")="#N/A N/A",_xll.BDP($AX76,"FD138")="#N/A FIELD NOT APPLICABLE")," ", _xll.BDP($AX76,"FD138")/100)</f>
        <v>5.0000000000000001E-3</v>
      </c>
      <c r="AN76" s="36" cm="1">
        <f t="array" ref="AN76">IF(OR(_xll.BDP($AX76,"FD009")="#N/A N/A",_xll.BDP($AX76,"FD009")="#N/A FIELD NOT APPLICABLE")," ", _xll.BDP($AX76,"FD009")/100)</f>
        <v>0</v>
      </c>
      <c r="AO76" s="25" cm="1">
        <f t="array" ref="AO76">IF(OR(_xll.BDP($AX76,"RK512")="#N/A N/A",_xll.BDP($AX76,"RK512")="#N/A FIELD NOT APPLICABLE")," ", _xll.BDP($AX76,"RK512")/100)</f>
        <v>-5.5416297912597653E-3</v>
      </c>
      <c r="AP76" s="25" cm="1">
        <f t="array" ref="AP76">IF(OR(_xll.BDP($AX76,"RK514")="#N/A N/A",_xll.BDP($AX76,"RK514")="#N/A FIELD NOT APPLICABLE")," ", _xll.BDP($AX76,"RK514")/100)</f>
        <v>-4.9789801239967348E-3</v>
      </c>
      <c r="AQ76" s="25" cm="1">
        <f t="array" ref="AQ76">IF(OR(_xll.BDP($AX76,"RK521")="#N/A N/A",_xll.BDP($AX76,"RK521")="#N/A FIELD NOT APPLICABLE")," ", _xll.BDP($AX76,"RK521")/100)</f>
        <v>-3.8590800762176515E-3</v>
      </c>
      <c r="AR76" s="25" cm="1">
        <f t="array" ref="AR76">IF(OR(_xll.BDP($AX76,"RK525")="#N/A N/A",_xll.BDP($AX76,"RK525")="#N/A FIELD NOT APPLICABLE")," ", _xll.BDP($AX76,"RK525")/100)</f>
        <v>9.4481402635574335E-3</v>
      </c>
      <c r="AS76" s="25" cm="1">
        <f t="array" ref="AS76">IF(OR(_xll.BDP($AX76,"RK524")="#N/A N/A",_xll.BDP($AX76,"RK524")="#N/A FIELD NOT APPLICABLE")," ", _xll.BDP($AX76,"RK524")/100)</f>
        <v>-1.8376000225543975E-4</v>
      </c>
      <c r="AT76" s="25" t="str" cm="1">
        <f t="array" ref="AT76">IF(OR(_xll.BDP($AX76,"FD183")="#N/A N/A",_xll.BDP($AX76,"FD183")="#N/A FIELD NOT APPLICABLE")," ", _xll.BDP($AX76,"FD183"))</f>
        <v>USD INC</v>
      </c>
      <c r="AU76" s="25" t="str" cm="1">
        <f t="array" ref="AU76">IF(OR(_xll.BDP($AX76,"DY997")="#N/A N/A",_xll.BDP($AX76,"DY997")="#N/A FIELD NOT APPLICABLE")," ", _xll.BDP($AX76,"DY997"))</f>
        <v xml:space="preserve"> </v>
      </c>
      <c r="AV76" s="25" t="str" cm="1">
        <f t="array" ref="AV76">IF(OR(_xll.BDP($AX76,"DY784")="#N/A N/A",_xll.BDP($AX76,"DY784")="#N/A FIELD NOT APPLICABLE")," ", _xll.BDP($AX76,"DY784"))</f>
        <v xml:space="preserve"> </v>
      </c>
      <c r="AW76" s="22" t="str">
        <f t="shared" si="22"/>
        <v>N</v>
      </c>
      <c r="AX76" s="22" t="str">
        <f t="shared" si="23"/>
        <v>IDX US Equity</v>
      </c>
      <c r="BC76" s="17" t="str">
        <f>_xll.BDP(AX76, "ID_ISIN")</f>
        <v>US92189F8335</v>
      </c>
      <c r="BD76" s="17" t="e">
        <f>VLOOKUP(BC76,'[2]Portefeuille 4379150'!$B$3:$G$42,6,0)</f>
        <v>#N/A</v>
      </c>
      <c r="BE76" s="18">
        <v>5</v>
      </c>
      <c r="BF76" s="37"/>
      <c r="BG76" s="20">
        <v>1.0000000000107532</v>
      </c>
    </row>
    <row r="77" spans="1:59" s="3" customFormat="1" ht="14.45" customHeight="1" x14ac:dyDescent="0.25">
      <c r="A77" s="49" t="s">
        <v>242</v>
      </c>
      <c r="B77" s="49" t="s">
        <v>264</v>
      </c>
      <c r="C77" s="49" t="s">
        <v>265</v>
      </c>
      <c r="D77" s="49" t="s">
        <v>248</v>
      </c>
      <c r="E77" s="22" t="str">
        <f>_xll.BDP(AX77,"SECURITY NAME")</f>
        <v>VanEck Indonesia Index ETF</v>
      </c>
      <c r="F77" s="22" t="str">
        <f>_xll.BDP(AX77,"CRNCY")</f>
        <v>USD</v>
      </c>
      <c r="G77" s="23" t="s">
        <v>345</v>
      </c>
      <c r="H77" s="22" t="str" cm="1">
        <f t="array" ref="H77">IF(OR(_xll.BDP($AX77,"FD120")="#N/A N/A",_xll.BDP($AX77,"FD120")="#N/A FIELD NOT APPLICABLE")," ",_xll.BDP($AX77,"FD120"))</f>
        <v>Indonesia</v>
      </c>
      <c r="I77" s="22" t="str" cm="1">
        <f t="array" ref="I77">IF(OR(_xll.BDP($AX77,"FD116")="#N/A N/A",_xll.BDP($AX77,"FD116")="#N/A FIELD NOT APPLICABLE")," ",_xll.BDP($AX77,"FD116"))</f>
        <v>Blend</v>
      </c>
      <c r="J77" s="22" t="str" cm="1">
        <f t="array" ref="J77">IF(OR(_xll.BDP($AX77,"FD133")="#N/A N/A",_xll.BDP($AX77,"FD133")="#N/A FIELD NOT APPLICABLE")," ", _xll.BDP($AX77,"FD133"))</f>
        <v xml:space="preserve"> </v>
      </c>
      <c r="K77" s="34">
        <f>_xll.BDP(AX77,"FUND_ASSETS_USD")/1000</f>
        <v>2.9583021010000002E-2</v>
      </c>
      <c r="L77" s="25">
        <f>IFERROR(_xll.BDP(AX77, "DV013")/100,0)</f>
        <v>4.3925925537391948E-2</v>
      </c>
      <c r="M77" s="25" cm="1">
        <f t="array" ref="M77">IF(OR(_xll.BDP($AX77,"PR079")="#N/A N/A",_xll.BDP($AX77,"PR079")="#N/A FIELD NOT APPLICABLE")," ", _xll.BDP($AX77,"PR079")/100)</f>
        <v>-8.7837849999999995E-2</v>
      </c>
      <c r="N77" s="25" cm="1">
        <f t="array" ref="N77">IF(OR(_xll.BDP($AX77,"RT074")="#N/A N/A",_xll.BDP($AX77,"RT074")="#N/A FIELD NOT APPLICABLE")," ", _xll.BDP($AX77,"RT074")/100)</f>
        <v>-0.1265049</v>
      </c>
      <c r="O77" s="27">
        <v>9392</v>
      </c>
      <c r="P77" s="28">
        <v>12.42</v>
      </c>
      <c r="Q77" s="22" cm="1">
        <f t="array" ref="Q77">IF(OR(_xll.BDP($AX77,"PX_last")="#N/A N/A",_xll.BDP($AX77,"PX_Last")="#N/A FIELD NOT APPLICABLE")," ",IF(F77="GBP",(_xll.BDP($AX77,"PX_LAST")/100),(_xll.BDP($AX77,"PX_LAST"))))</f>
        <v>13.5</v>
      </c>
      <c r="R77" s="29">
        <f>IF(F77="USD",AA77,(((_xll.BDP(F77&amp;"USD CURNCY","PX_LAST")))*AA77))</f>
        <v>116648.64</v>
      </c>
      <c r="S77" s="29">
        <f>IF(F77="USD",AB77,(((_xll.BDP(F77&amp;"USD CURNCY","PX_LAST")))*AB77))</f>
        <v>126792</v>
      </c>
      <c r="T77" s="12">
        <f t="shared" si="16"/>
        <v>10143.36</v>
      </c>
      <c r="U77" s="13">
        <f t="shared" si="17"/>
        <v>8.6956521739130446E-2</v>
      </c>
      <c r="V77" s="13" cm="1">
        <f t="array" ref="V77">IFERROR(_xll.BDP($G77&amp;" Equity","CHG_PCT_1D")/100,"")</f>
        <v>7.462687E-3</v>
      </c>
      <c r="W77" s="13" cm="1">
        <f t="array" ref="W77">IFERROR(_xll.BDP($G77&amp;" Equity","CHG_PCT_5D")/100,"")</f>
        <v>3.2110090000000001E-2</v>
      </c>
      <c r="X77" s="13" t="e">
        <f>S77/#REF!</f>
        <v>#REF!</v>
      </c>
      <c r="Y77" s="29">
        <f t="shared" si="18"/>
        <v>5569.4559507369995</v>
      </c>
      <c r="Z77" s="29">
        <f t="shared" si="19"/>
        <v>126792</v>
      </c>
      <c r="AA77" s="29">
        <f t="shared" si="20"/>
        <v>116648.64</v>
      </c>
      <c r="AB77" s="29">
        <f t="shared" si="21"/>
        <v>126792</v>
      </c>
      <c r="AC77" s="25" t="str" cm="1">
        <f t="array" ref="AC77">IF(OR(_xll.BDP($AX77,"EX028")="#N/A N/A",_xll.BDP($AX77,"EX028")="#N/A FIELD NOT APPLICABLE")," ", _xll.BDP($AX77,"EX028"))</f>
        <v>Fund</v>
      </c>
      <c r="AD77" s="35" t="str" cm="1">
        <f t="array" ref="AD77">IF(OR(_xll.BDP($AX77,"FD121")="#N/A N/A",_xll.BDP($AX77,"FD121")="#N/A FIELD NOT APPLICABLE")," ", _xll.BDP($AX77,"FD121"))</f>
        <v>Equity</v>
      </c>
      <c r="AE77" s="25" t="str" cm="1">
        <f t="array" ref="AE77">IF(OR(_xll.BDP($AX77,"FD118")="#N/A N/A",_xll.BDP($AX77,"FD118")="#N/A FIELD NOT APPLICABLE")," ", _xll.BDP($AX77,"FD118"))</f>
        <v>ETF</v>
      </c>
      <c r="AF77" s="22" t="str" cm="1">
        <f t="array" ref="AF77">IF(OR(_xll.BDP($AX77,"FD114")="#N/A N/A",_xll.BDP($AX77,"FD114")="#N/A FIELD NOT APPLICABLE")," ", _xll.BDP($AX77,"FD114"))</f>
        <v xml:space="preserve"> </v>
      </c>
      <c r="AG77" s="22" t="str" cm="1">
        <f t="array" ref="AG77">IF(OR(_xll.BDP($AX77,"FD003")="#N/A N/A",_xll.BDP($AX77,"FD003")="#N/A FIELD NOT APPLICABLE")," ", _xll.BDP($AX77,"FD003"))</f>
        <v>20/01/2009</v>
      </c>
      <c r="AH77" s="32" cm="1">
        <f t="array" ref="AH77">IF(OR(_xll.BDP($AX77,"PR061")="#N/A N/A",_xll.BDP($AX77,"PR061")="#N/A FIELD NOT APPLICABLE")," ", _xll.BDP($AX77,"PR061")/100)</f>
        <v>8.2598210000000005E-2</v>
      </c>
      <c r="AI77" s="25" cm="1">
        <f t="array" ref="AI77">IF(OR(_xll.BDP($AX77,"RT075")="#N/A N/A",_xll.BDP($AX77,"RT075")="#N/A FIELD NOT APPLICABLE")," ", _xll.BDP($AX77,"RT075")/100)</f>
        <v>-0.11937379999999999</v>
      </c>
      <c r="AJ77" s="25" cm="1">
        <f t="array" ref="AJ77">IF(OR(_xll.BDP($AX77,"RT076")="#N/A N/A",_xll.BDP($AX77,"RT076")="#N/A FIELD NOT APPLICABLE")," ", _xll.BDP($AX77,"RT076")/100)</f>
        <v>2.354784E-2</v>
      </c>
      <c r="AK77" s="25" cm="1">
        <f t="array" ref="AK77">IF(OR(_xll.BDP($AX77,"FD252")="#N/A N/A",_xll.BDP($AX77,"FD252")="#N/A FIELD NOT APPLICABLE")," ", _xll.BDP($AX77,"FD252")/100)</f>
        <v>0</v>
      </c>
      <c r="AL77" s="25" cm="1">
        <f t="array" ref="AL77">IF(OR(_xll.BDP($AX77,"FD015")="#N/A N/A",_xll.BDP($AX77,"FD015")="#N/A FIELD NOT APPLICABLE")," ", _xll.BDP($AX77,"FD015")/100)</f>
        <v>5.6999999999999993E-3</v>
      </c>
      <c r="AM77" s="25" cm="1">
        <f t="array" ref="AM77">IF(OR(_xll.BDP($AX77,"FD138")="#N/A N/A",_xll.BDP($AX77,"FD138")="#N/A FIELD NOT APPLICABLE")," ", _xll.BDP($AX77,"FD138")/100)</f>
        <v>5.0000000000000001E-3</v>
      </c>
      <c r="AN77" s="36" cm="1">
        <f t="array" ref="AN77">IF(OR(_xll.BDP($AX77,"FD009")="#N/A N/A",_xll.BDP($AX77,"FD009")="#N/A FIELD NOT APPLICABLE")," ", _xll.BDP($AX77,"FD009")/100)</f>
        <v>0</v>
      </c>
      <c r="AO77" s="25" cm="1">
        <f t="array" ref="AO77">IF(OR(_xll.BDP($AX77,"RK512")="#N/A N/A",_xll.BDP($AX77,"RK512")="#N/A FIELD NOT APPLICABLE")," ", _xll.BDP($AX77,"RK512")/100)</f>
        <v>-5.5416297912597653E-3</v>
      </c>
      <c r="AP77" s="25" cm="1">
        <f t="array" ref="AP77">IF(OR(_xll.BDP($AX77,"RK514")="#N/A N/A",_xll.BDP($AX77,"RK514")="#N/A FIELD NOT APPLICABLE")," ", _xll.BDP($AX77,"RK514")/100)</f>
        <v>-4.9789801239967348E-3</v>
      </c>
      <c r="AQ77" s="25" cm="1">
        <f t="array" ref="AQ77">IF(OR(_xll.BDP($AX77,"RK521")="#N/A N/A",_xll.BDP($AX77,"RK521")="#N/A FIELD NOT APPLICABLE")," ", _xll.BDP($AX77,"RK521")/100)</f>
        <v>-3.8590800762176515E-3</v>
      </c>
      <c r="AR77" s="25" cm="1">
        <f t="array" ref="AR77">IF(OR(_xll.BDP($AX77,"RK525")="#N/A N/A",_xll.BDP($AX77,"RK525")="#N/A FIELD NOT APPLICABLE")," ", _xll.BDP($AX77,"RK525")/100)</f>
        <v>9.4481402635574335E-3</v>
      </c>
      <c r="AS77" s="25" cm="1">
        <f t="array" ref="AS77">IF(OR(_xll.BDP($AX77,"RK524")="#N/A N/A",_xll.BDP($AX77,"RK524")="#N/A FIELD NOT APPLICABLE")," ", _xll.BDP($AX77,"RK524")/100)</f>
        <v>-1.8376000225543975E-4</v>
      </c>
      <c r="AT77" s="25" t="str" cm="1">
        <f t="array" ref="AT77">IF(OR(_xll.BDP($AX77,"FD183")="#N/A N/A",_xll.BDP($AX77,"FD183")="#N/A FIELD NOT APPLICABLE")," ", _xll.BDP($AX77,"FD183"))</f>
        <v>USD INC</v>
      </c>
      <c r="AU77" s="25" t="str" cm="1">
        <f t="array" ref="AU77">IF(OR(_xll.BDP($AX77,"DY997")="#N/A N/A",_xll.BDP($AX77,"DY997")="#N/A FIELD NOT APPLICABLE")," ", _xll.BDP($AX77,"DY997"))</f>
        <v xml:space="preserve"> </v>
      </c>
      <c r="AV77" s="25" t="str" cm="1">
        <f t="array" ref="AV77">IF(OR(_xll.BDP($AX77,"DY784")="#N/A N/A",_xll.BDP($AX77,"DY784")="#N/A FIELD NOT APPLICABLE")," ", _xll.BDP($AX77,"DY784"))</f>
        <v xml:space="preserve"> </v>
      </c>
      <c r="AW77" s="22" t="str">
        <f t="shared" si="22"/>
        <v>N</v>
      </c>
      <c r="AX77" s="22" t="str">
        <f t="shared" si="23"/>
        <v>IDX US Equity</v>
      </c>
      <c r="BC77" s="17" t="str" cm="1">
        <f t="array" ref="BC77">_xll.BDP(AX77,"ID005")</f>
        <v>US92189F8335</v>
      </c>
      <c r="BD77" s="17" t="e">
        <f>VLOOKUP(BC77,'[2]Portefeuille 4380430'!$B$3:$G$38,6,0)</f>
        <v>#N/A</v>
      </c>
      <c r="BE77" s="18">
        <v>5</v>
      </c>
      <c r="BF77" s="37"/>
      <c r="BG77" s="20"/>
    </row>
    <row r="78" spans="1:59" s="3" customFormat="1" ht="14.45" customHeight="1" x14ac:dyDescent="0.25">
      <c r="A78" s="49" t="s">
        <v>242</v>
      </c>
      <c r="B78" s="49" t="s">
        <v>268</v>
      </c>
      <c r="C78" s="49" t="s">
        <v>269</v>
      </c>
      <c r="D78" s="49" t="s">
        <v>248</v>
      </c>
      <c r="E78" s="22" t="str">
        <f>_xll.BDP(AX78,"SECURITY NAME")</f>
        <v>VanEck Indonesia Index ETF</v>
      </c>
      <c r="F78" s="22" t="str">
        <f>_xll.BDP(AX78,"CRNCY")</f>
        <v>USD</v>
      </c>
      <c r="G78" s="23" t="s">
        <v>345</v>
      </c>
      <c r="H78" s="22" t="str" cm="1">
        <f t="array" ref="H78">IF(OR(_xll.BDP($AX78,"FD120")="#N/A N/A",_xll.BDP($AX78,"FD120")="#N/A FIELD NOT APPLICABLE")," ",_xll.BDP($AX78,"FD120"))</f>
        <v>Indonesia</v>
      </c>
      <c r="I78" s="22" t="str" cm="1">
        <f t="array" ref="I78">IF(OR(_xll.BDP($AX78,"FD116")="#N/A N/A",_xll.BDP($AX78,"FD116")="#N/A FIELD NOT APPLICABLE")," ",_xll.BDP($AX78,"FD116"))</f>
        <v>Blend</v>
      </c>
      <c r="J78" s="22" t="str" cm="1">
        <f t="array" ref="J78">IF(OR(_xll.BDP($AX78,"FD133")="#N/A N/A",_xll.BDP($AX78,"FD133")="#N/A FIELD NOT APPLICABLE")," ", _xll.BDP($AX78,"FD133"))</f>
        <v xml:space="preserve"> </v>
      </c>
      <c r="K78" s="34">
        <f>_xll.BDP(AX78,"FUND_ASSETS_USD")/1000</f>
        <v>2.9583021010000002E-2</v>
      </c>
      <c r="L78" s="25">
        <f>IFERROR(_xll.BDP(AX78, "DV013")/100,0)</f>
        <v>4.3925925537391948E-2</v>
      </c>
      <c r="M78" s="25" cm="1">
        <f t="array" ref="M78">IF(OR(_xll.BDP($AX78,"PR079")="#N/A N/A",_xll.BDP($AX78,"PR079")="#N/A FIELD NOT APPLICABLE")," ", _xll.BDP($AX78,"PR079")/100)</f>
        <v>-8.7837849999999995E-2</v>
      </c>
      <c r="N78" s="25" cm="1">
        <f t="array" ref="N78">IF(OR(_xll.BDP($AX78,"RT074")="#N/A N/A",_xll.BDP($AX78,"RT074")="#N/A FIELD NOT APPLICABLE")," ", _xll.BDP($AX78,"RT074")/100)</f>
        <v>-0.1265049</v>
      </c>
      <c r="O78" s="27">
        <v>16933</v>
      </c>
      <c r="P78" s="28">
        <v>12.41</v>
      </c>
      <c r="Q78" s="22" cm="1">
        <f t="array" ref="Q78">IF(OR(_xll.BDP($AX78,"PX_last")="#N/A N/A",_xll.BDP($AX78,"PX_Last")="#N/A FIELD NOT APPLICABLE")," ",IF(F78="GBP",(_xll.BDP($AX78,"PX_LAST")/100),(_xll.BDP($AX78,"PX_LAST"))))</f>
        <v>13.5</v>
      </c>
      <c r="R78" s="29">
        <f>IF(F78="USD",AA78,(((_xll.BDP(F78&amp;"USD CURNCY","PX_LAST")))*AA78))</f>
        <v>210138.53</v>
      </c>
      <c r="S78" s="29">
        <f>IF(F78="USD",AB78,(((_xll.BDP(F78&amp;"USD CURNCY","PX_LAST")))*AB78))</f>
        <v>228595.5</v>
      </c>
      <c r="T78" s="12">
        <f t="shared" si="16"/>
        <v>18456.97</v>
      </c>
      <c r="U78" s="13">
        <f t="shared" si="17"/>
        <v>8.7832393231265113E-2</v>
      </c>
      <c r="V78" s="13" cm="1">
        <f t="array" ref="V78">IFERROR(_xll.BDP($G78&amp;" Equity","CHG_PCT_1D")/100,"")</f>
        <v>7.462687E-3</v>
      </c>
      <c r="W78" s="13" cm="1">
        <f t="array" ref="W78">IFERROR(_xll.BDP($G78&amp;" Equity","CHG_PCT_5D")/100,"")</f>
        <v>3.2110090000000001E-2</v>
      </c>
      <c r="X78" s="13" t="e">
        <f>S78/#REF!</f>
        <v>#REF!</v>
      </c>
      <c r="Y78" s="29">
        <f t="shared" si="18"/>
        <v>10041.26891118288</v>
      </c>
      <c r="Z78" s="29">
        <f t="shared" si="19"/>
        <v>228595.5</v>
      </c>
      <c r="AA78" s="29">
        <f t="shared" si="20"/>
        <v>210138.53</v>
      </c>
      <c r="AB78" s="29">
        <f t="shared" si="21"/>
        <v>228595.5</v>
      </c>
      <c r="AC78" s="25" t="str" cm="1">
        <f t="array" ref="AC78">IF(OR(_xll.BDP($AX78,"EX028")="#N/A N/A",_xll.BDP($AX78,"EX028")="#N/A FIELD NOT APPLICABLE")," ", _xll.BDP($AX78,"EX028"))</f>
        <v>Fund</v>
      </c>
      <c r="AD78" s="35" t="str" cm="1">
        <f t="array" ref="AD78">IF(OR(_xll.BDP($AX78,"FD121")="#N/A N/A",_xll.BDP($AX78,"FD121")="#N/A FIELD NOT APPLICABLE")," ", _xll.BDP($AX78,"FD121"))</f>
        <v>Equity</v>
      </c>
      <c r="AE78" s="25" t="str" cm="1">
        <f t="array" ref="AE78">IF(OR(_xll.BDP($AX78,"FD118")="#N/A N/A",_xll.BDP($AX78,"FD118")="#N/A FIELD NOT APPLICABLE")," ", _xll.BDP($AX78,"FD118"))</f>
        <v>ETF</v>
      </c>
      <c r="AF78" s="22" t="str" cm="1">
        <f t="array" ref="AF78">IF(OR(_xll.BDP($AX78,"FD114")="#N/A N/A",_xll.BDP($AX78,"FD114")="#N/A FIELD NOT APPLICABLE")," ", _xll.BDP($AX78,"FD114"))</f>
        <v xml:space="preserve"> </v>
      </c>
      <c r="AG78" s="22" t="str" cm="1">
        <f t="array" ref="AG78">IF(OR(_xll.BDP($AX78,"FD003")="#N/A N/A",_xll.BDP($AX78,"FD003")="#N/A FIELD NOT APPLICABLE")," ", _xll.BDP($AX78,"FD003"))</f>
        <v>20/01/2009</v>
      </c>
      <c r="AH78" s="32" cm="1">
        <f t="array" ref="AH78">IF(OR(_xll.BDP($AX78,"PR061")="#N/A N/A",_xll.BDP($AX78,"PR061")="#N/A FIELD NOT APPLICABLE")," ", _xll.BDP($AX78,"PR061")/100)</f>
        <v>8.2598210000000005E-2</v>
      </c>
      <c r="AI78" s="25" cm="1">
        <f t="array" ref="AI78">IF(OR(_xll.BDP($AX78,"RT075")="#N/A N/A",_xll.BDP($AX78,"RT075")="#N/A FIELD NOT APPLICABLE")," ", _xll.BDP($AX78,"RT075")/100)</f>
        <v>-0.11937379999999999</v>
      </c>
      <c r="AJ78" s="25" cm="1">
        <f t="array" ref="AJ78">IF(OR(_xll.BDP($AX78,"RT076")="#N/A N/A",_xll.BDP($AX78,"RT076")="#N/A FIELD NOT APPLICABLE")," ", _xll.BDP($AX78,"RT076")/100)</f>
        <v>2.354784E-2</v>
      </c>
      <c r="AK78" s="25" cm="1">
        <f t="array" ref="AK78">IF(OR(_xll.BDP($AX78,"FD252")="#N/A N/A",_xll.BDP($AX78,"FD252")="#N/A FIELD NOT APPLICABLE")," ", _xll.BDP($AX78,"FD252")/100)</f>
        <v>0</v>
      </c>
      <c r="AL78" s="25" cm="1">
        <f t="array" ref="AL78">IF(OR(_xll.BDP($AX78,"FD015")="#N/A N/A",_xll.BDP($AX78,"FD015")="#N/A FIELD NOT APPLICABLE")," ", _xll.BDP($AX78,"FD015")/100)</f>
        <v>5.6999999999999993E-3</v>
      </c>
      <c r="AM78" s="25" cm="1">
        <f t="array" ref="AM78">IF(OR(_xll.BDP($AX78,"FD138")="#N/A N/A",_xll.BDP($AX78,"FD138")="#N/A FIELD NOT APPLICABLE")," ", _xll.BDP($AX78,"FD138")/100)</f>
        <v>5.0000000000000001E-3</v>
      </c>
      <c r="AN78" s="36" cm="1">
        <f t="array" ref="AN78">IF(OR(_xll.BDP($AX78,"FD009")="#N/A N/A",_xll.BDP($AX78,"FD009")="#N/A FIELD NOT APPLICABLE")," ", _xll.BDP($AX78,"FD009")/100)</f>
        <v>0</v>
      </c>
      <c r="AO78" s="25" cm="1">
        <f t="array" ref="AO78">IF(OR(_xll.BDP($AX78,"RK512")="#N/A N/A",_xll.BDP($AX78,"RK512")="#N/A FIELD NOT APPLICABLE")," ", _xll.BDP($AX78,"RK512")/100)</f>
        <v>-5.5416297912597653E-3</v>
      </c>
      <c r="AP78" s="25" cm="1">
        <f t="array" ref="AP78">IF(OR(_xll.BDP($AX78,"RK514")="#N/A N/A",_xll.BDP($AX78,"RK514")="#N/A FIELD NOT APPLICABLE")," ", _xll.BDP($AX78,"RK514")/100)</f>
        <v>-4.9789801239967348E-3</v>
      </c>
      <c r="AQ78" s="25" cm="1">
        <f t="array" ref="AQ78">IF(OR(_xll.BDP($AX78,"RK521")="#N/A N/A",_xll.BDP($AX78,"RK521")="#N/A FIELD NOT APPLICABLE")," ", _xll.BDP($AX78,"RK521")/100)</f>
        <v>-3.8590800762176515E-3</v>
      </c>
      <c r="AR78" s="25" cm="1">
        <f t="array" ref="AR78">IF(OR(_xll.BDP($AX78,"RK525")="#N/A N/A",_xll.BDP($AX78,"RK525")="#N/A FIELD NOT APPLICABLE")," ", _xll.BDP($AX78,"RK525")/100)</f>
        <v>9.4481402635574335E-3</v>
      </c>
      <c r="AS78" s="25" cm="1">
        <f t="array" ref="AS78">IF(OR(_xll.BDP($AX78,"RK524")="#N/A N/A",_xll.BDP($AX78,"RK524")="#N/A FIELD NOT APPLICABLE")," ", _xll.BDP($AX78,"RK524")/100)</f>
        <v>-1.8376000225543975E-4</v>
      </c>
      <c r="AT78" s="25" t="str" cm="1">
        <f t="array" ref="AT78">IF(OR(_xll.BDP($AX78,"FD183")="#N/A N/A",_xll.BDP($AX78,"FD183")="#N/A FIELD NOT APPLICABLE")," ", _xll.BDP($AX78,"FD183"))</f>
        <v>USD INC</v>
      </c>
      <c r="AU78" s="25" t="str" cm="1">
        <f t="array" ref="AU78">IF(OR(_xll.BDP($AX78,"DY997")="#N/A N/A",_xll.BDP($AX78,"DY997")="#N/A FIELD NOT APPLICABLE")," ", _xll.BDP($AX78,"DY997"))</f>
        <v xml:space="preserve"> </v>
      </c>
      <c r="AV78" s="25" t="str" cm="1">
        <f t="array" ref="AV78">IF(OR(_xll.BDP($AX78,"DY784")="#N/A N/A",_xll.BDP($AX78,"DY784")="#N/A FIELD NOT APPLICABLE")," ", _xll.BDP($AX78,"DY784"))</f>
        <v xml:space="preserve"> </v>
      </c>
      <c r="AW78" s="22" t="str">
        <f t="shared" si="22"/>
        <v>N</v>
      </c>
      <c r="AX78" s="22" t="str">
        <f t="shared" si="23"/>
        <v>IDX US Equity</v>
      </c>
      <c r="BC78" s="17" t="str" cm="1">
        <f t="array" ref="BC78">_xll.BDP(AX78,"ID005")</f>
        <v>US92189F8335</v>
      </c>
      <c r="BD78" s="17">
        <v>0.7</v>
      </c>
      <c r="BE78" s="18">
        <v>5</v>
      </c>
      <c r="BF78" s="37"/>
      <c r="BG78" s="20"/>
    </row>
    <row r="79" spans="1:59" s="3" customFormat="1" ht="14.45" customHeight="1" x14ac:dyDescent="0.25">
      <c r="A79" s="49" t="s">
        <v>241</v>
      </c>
      <c r="B79" s="49" t="s">
        <v>238</v>
      </c>
      <c r="C79" s="49" t="s">
        <v>239</v>
      </c>
      <c r="D79" s="49" t="s">
        <v>240</v>
      </c>
      <c r="E79" s="22" t="str">
        <f>_xll.BDP(AX79,"SECURITY NAME")</f>
        <v>SPDR S&amp;P Regional Banking ETF</v>
      </c>
      <c r="F79" s="22" t="str">
        <f>_xll.BDP(AX79,"CRNCY")</f>
        <v>USD</v>
      </c>
      <c r="G79" s="23" t="s">
        <v>340</v>
      </c>
      <c r="H79" s="22" t="str" cm="1">
        <f t="array" ref="H79">IF(OR(_xll.BDP($AX79,"FD120")="#N/A N/A",_xll.BDP($AX79,"FD120")="#N/A FIELD NOT APPLICABLE")," ",_xll.BDP($AX79,"FD120"))</f>
        <v>U.S.</v>
      </c>
      <c r="I79" s="22" t="str" cm="1">
        <f t="array" ref="I79">IF(OR(_xll.BDP($AX79,"FD116")="#N/A N/A",_xll.BDP($AX79,"FD116")="#N/A FIELD NOT APPLICABLE")," ",_xll.BDP($AX79,"FD116"))</f>
        <v>Blend</v>
      </c>
      <c r="J79" s="22" t="str" cm="1">
        <f t="array" ref="J79">IF(OR(_xll.BDP($AX79,"FD133")="#N/A N/A",_xll.BDP($AX79,"FD133")="#N/A FIELD NOT APPLICABLE")," ", _xll.BDP($AX79,"FD133"))</f>
        <v>Financial</v>
      </c>
      <c r="K79" s="34">
        <f>_xll.BDP(AX79,"FUND_ASSETS_USD")/1000</f>
        <v>3.0820189653700001</v>
      </c>
      <c r="L79" s="25">
        <f>IFERROR(_xll.BDP(AX79, "DV013")/100,0)</f>
        <v>2.7638004006055251E-2</v>
      </c>
      <c r="M79" s="25" cm="1">
        <f t="array" ref="M79">IF(OR(_xll.BDP($AX79,"PR079")="#N/A N/A",_xll.BDP($AX79,"PR079")="#N/A FIELD NOT APPLICABLE")," ", _xll.BDP($AX79,"PR079")/100)</f>
        <v>-9.3123419999999998E-2</v>
      </c>
      <c r="N79" s="25" cm="1">
        <f t="array" ref="N79">IF(OR(_xll.BDP($AX79,"RT074")="#N/A N/A",_xll.BDP($AX79,"RT074")="#N/A FIELD NOT APPLICABLE")," ", _xll.BDP($AX79,"RT074")/100)</f>
        <v>0.16714500000000002</v>
      </c>
      <c r="O79" s="27">
        <v>808</v>
      </c>
      <c r="P79" s="28">
        <v>56.77</v>
      </c>
      <c r="Q79" s="22" cm="1">
        <f t="array" ref="Q79">IF(OR(_xll.BDP($AX79,"PX_last")="#N/A N/A",_xll.BDP($AX79,"PX_Last")="#N/A FIELD NOT APPLICABLE")," ",IF(F79="GBP",(_xll.BDP($AX79,"PX_LAST")/100),(_xll.BDP($AX79,"PX_LAST"))))</f>
        <v>54.73</v>
      </c>
      <c r="R79" s="29">
        <f>IF(F79="USD",AA79,(((_xll.BDP(F79&amp;"USD CURNCY","PX_LAST")))*AA79))</f>
        <v>45870.16</v>
      </c>
      <c r="S79" s="29">
        <f>IF(F79="USD",AB79,(((_xll.BDP(F79&amp;"USD CURNCY","PX_LAST")))*AB79))</f>
        <v>44221.84</v>
      </c>
      <c r="T79" s="12">
        <f t="shared" si="16"/>
        <v>-1648.320000000007</v>
      </c>
      <c r="U79" s="13">
        <f t="shared" si="17"/>
        <v>-3.5934472432623016E-2</v>
      </c>
      <c r="V79" s="13" cm="1">
        <f t="array" ref="V79">IFERROR(_xll.BDP($G79&amp;" Equity","CHG_PCT_1D")/100,"")</f>
        <v>1.1084430000000001E-2</v>
      </c>
      <c r="W79" s="13" cm="1">
        <f t="array" ref="W79">IFERROR(_xll.BDP($G79&amp;" Equity","CHG_PCT_5D")/100,"")</f>
        <v>5.1423319999999995E-3</v>
      </c>
      <c r="X79" s="13" t="e">
        <f>S79/$H$62</f>
        <v>#VALUE!</v>
      </c>
      <c r="Y79" s="29">
        <f t="shared" si="18"/>
        <v>1222.2033910751343</v>
      </c>
      <c r="Z79" s="29">
        <f t="shared" si="19"/>
        <v>44221.84</v>
      </c>
      <c r="AA79" s="29">
        <f t="shared" si="20"/>
        <v>45870.16</v>
      </c>
      <c r="AB79" s="29">
        <f t="shared" si="21"/>
        <v>44221.84</v>
      </c>
      <c r="AC79" s="25" t="str" cm="1">
        <f t="array" ref="AC79">IF(OR(_xll.BDP($AX79,"EX028")="#N/A N/A",_xll.BDP($AX79,"EX028")="#N/A FIELD NOT APPLICABLE")," ", _xll.BDP($AX79,"EX028"))</f>
        <v>Fund</v>
      </c>
      <c r="AD79" s="35" t="str" cm="1">
        <f t="array" ref="AD79">IF(OR(_xll.BDP($AX79,"FD121")="#N/A N/A",_xll.BDP($AX79,"FD121")="#N/A FIELD NOT APPLICABLE")," ", _xll.BDP($AX79,"FD121"))</f>
        <v>Equity</v>
      </c>
      <c r="AE79" s="25" t="str" cm="1">
        <f t="array" ref="AE79">IF(OR(_xll.BDP($AX79,"FD118")="#N/A N/A",_xll.BDP($AX79,"FD118")="#N/A FIELD NOT APPLICABLE")," ", _xll.BDP($AX79,"FD118"))</f>
        <v>ETF</v>
      </c>
      <c r="AF79" s="22" t="str" cm="1">
        <f t="array" ref="AF79">IF(OR(_xll.BDP($AX79,"FD114")="#N/A N/A",_xll.BDP($AX79,"FD114")="#N/A FIELD NOT APPLICABLE")," ", _xll.BDP($AX79,"FD114"))</f>
        <v xml:space="preserve"> </v>
      </c>
      <c r="AG79" s="22" t="str" cm="1">
        <f t="array" ref="AG79">IF(OR(_xll.BDP($AX79,"FD003")="#N/A N/A",_xll.BDP($AX79,"FD003")="#N/A FIELD NOT APPLICABLE")," ", _xll.BDP($AX79,"FD003"))</f>
        <v>22/06/2006</v>
      </c>
      <c r="AH79" s="32" cm="1">
        <f t="array" ref="AH79">IF(OR(_xll.BDP($AX79,"PR061")="#N/A N/A",_xll.BDP($AX79,"PR061")="#N/A FIELD NOT APPLICABLE")," ", _xll.BDP($AX79,"PR061")/100)</f>
        <v>-4.3516269999999996E-2</v>
      </c>
      <c r="AI79" s="25" cm="1">
        <f t="array" ref="AI79">IF(OR(_xll.BDP($AX79,"RT075")="#N/A N/A",_xll.BDP($AX79,"RT075")="#N/A FIELD NOT APPLICABLE")," ", _xll.BDP($AX79,"RT075")/100)</f>
        <v>-1.0666310000000002E-2</v>
      </c>
      <c r="AJ79" s="25" cm="1">
        <f t="array" ref="AJ79">IF(OR(_xll.BDP($AX79,"RT076")="#N/A N/A",_xll.BDP($AX79,"RT076")="#N/A FIELD NOT APPLICABLE")," ", _xll.BDP($AX79,"RT076")/100)</f>
        <v>0.1167729</v>
      </c>
      <c r="AK79" s="25" cm="1">
        <f t="array" ref="AK79">IF(OR(_xll.BDP($AX79,"FD252")="#N/A N/A",_xll.BDP($AX79,"FD252")="#N/A FIELD NOT APPLICABLE")," ", _xll.BDP($AX79,"FD252")/100)</f>
        <v>0</v>
      </c>
      <c r="AL79" s="25" cm="1">
        <f t="array" ref="AL79">IF(OR(_xll.BDP($AX79,"FD015")="#N/A N/A",_xll.BDP($AX79,"FD015")="#N/A FIELD NOT APPLICABLE")," ", _xll.BDP($AX79,"FD015")/100)</f>
        <v>3.4999999999999996E-3</v>
      </c>
      <c r="AM79" s="25" cm="1">
        <f t="array" ref="AM79">IF(OR(_xll.BDP($AX79,"FD138")="#N/A N/A",_xll.BDP($AX79,"FD138")="#N/A FIELD NOT APPLICABLE")," ", _xll.BDP($AX79,"FD138")/100)</f>
        <v>3.4999999999999996E-3</v>
      </c>
      <c r="AN79" s="36" cm="1">
        <f t="array" ref="AN79">IF(OR(_xll.BDP($AX79,"FD009")="#N/A N/A",_xll.BDP($AX79,"FD009")="#N/A FIELD NOT APPLICABLE")," ", _xll.BDP($AX79,"FD009")/100)</f>
        <v>0</v>
      </c>
      <c r="AO79" s="25" cm="1">
        <f t="array" ref="AO79">IF(OR(_xll.BDP($AX79,"RK512")="#N/A N/A",_xll.BDP($AX79,"RK512")="#N/A FIELD NOT APPLICABLE")," ", _xll.BDP($AX79,"RK512")/100)</f>
        <v>5.1252001523971556E-3</v>
      </c>
      <c r="AP79" s="25" cm="1">
        <f t="array" ref="AP79">IF(OR(_xll.BDP($AX79,"RK514")="#N/A N/A",_xll.BDP($AX79,"RK514")="#N/A FIELD NOT APPLICABLE")," ", _xll.BDP($AX79,"RK514")/100)</f>
        <v>4.9456900358200075E-3</v>
      </c>
      <c r="AQ79" s="25" cm="1">
        <f t="array" ref="AQ79">IF(OR(_xll.BDP($AX79,"RK521")="#N/A N/A",_xll.BDP($AX79,"RK521")="#N/A FIELD NOT APPLICABLE")," ", _xll.BDP($AX79,"RK521")/100)</f>
        <v>-4.5939099788665774E-3</v>
      </c>
      <c r="AR79" s="25" cm="1">
        <f t="array" ref="AR79">IF(OR(_xll.BDP($AX79,"RK525")="#N/A N/A",_xll.BDP($AX79,"RK525")="#N/A FIELD NOT APPLICABLE")," ", _xll.BDP($AX79,"RK525")/100)</f>
        <v>1.0008100271224975E-2</v>
      </c>
      <c r="AS79" s="25" cm="1">
        <f t="array" ref="AS79">IF(OR(_xll.BDP($AX79,"RK524")="#N/A N/A",_xll.BDP($AX79,"RK524")="#N/A FIELD NOT APPLICABLE")," ", _xll.BDP($AX79,"RK524")/100)</f>
        <v>-9.158000349998474E-5</v>
      </c>
      <c r="AT79" s="25" t="str" cm="1">
        <f t="array" ref="AT79">IF(OR(_xll.BDP($AX79,"FD183")="#N/A N/A",_xll.BDP($AX79,"FD183")="#N/A FIELD NOT APPLICABLE")," ", _xll.BDP($AX79,"FD183"))</f>
        <v>USD INC</v>
      </c>
      <c r="AU79" s="25" t="str" cm="1">
        <f t="array" ref="AU79">IF(OR(_xll.BDP($AX79,"DY997")="#N/A N/A",_xll.BDP($AX79,"DY997")="#N/A FIELD NOT APPLICABLE")," ", _xll.BDP($AX79,"DY997"))</f>
        <v xml:space="preserve"> </v>
      </c>
      <c r="AV79" s="25" t="str" cm="1">
        <f t="array" ref="AV79">IF(OR(_xll.BDP($AX79,"DY784")="#N/A N/A",_xll.BDP($AX79,"DY784")="#N/A FIELD NOT APPLICABLE")," ", _xll.BDP($AX79,"DY784"))</f>
        <v xml:space="preserve"> </v>
      </c>
      <c r="AW79" s="22" t="str">
        <f t="shared" si="22"/>
        <v>N</v>
      </c>
      <c r="AX79" s="22" t="str">
        <f t="shared" si="23"/>
        <v>KRE US Equity</v>
      </c>
      <c r="BC79" s="17" t="str" cm="1">
        <f t="array" ref="BC79">_xll.BDP(AX79,"ID005")</f>
        <v>US78464A6982</v>
      </c>
      <c r="BD79" s="17">
        <v>0.65</v>
      </c>
      <c r="BE79" s="18">
        <v>5</v>
      </c>
      <c r="BF79" s="37">
        <v>44433</v>
      </c>
      <c r="BG79" s="20">
        <v>1.0000000000107532</v>
      </c>
    </row>
    <row r="80" spans="1:59" s="3" customFormat="1" ht="14.45" customHeight="1" x14ac:dyDescent="0.25">
      <c r="A80" s="49" t="s">
        <v>242</v>
      </c>
      <c r="B80" s="49" t="s">
        <v>243</v>
      </c>
      <c r="C80" s="49" t="s">
        <v>244</v>
      </c>
      <c r="D80" s="49" t="s">
        <v>245</v>
      </c>
      <c r="E80" s="22" t="str">
        <f>_xll.BDP(AX80,"SECURITY NAME")</f>
        <v>SPDR S&amp;P Regional Banking ETF</v>
      </c>
      <c r="F80" s="22" t="str">
        <f>_xll.BDP(AX80,"CRNCY")</f>
        <v>USD</v>
      </c>
      <c r="G80" s="23" t="s">
        <v>340</v>
      </c>
      <c r="H80" s="22" t="str" cm="1">
        <f t="array" ref="H80">IF(OR(_xll.BDP($AX80,"FD120")="#N/A N/A",_xll.BDP($AX80,"FD120")="#N/A FIELD NOT APPLICABLE")," ",_xll.BDP($AX80,"FD120"))</f>
        <v>U.S.</v>
      </c>
      <c r="I80" s="22" t="str" cm="1">
        <f t="array" ref="I80">IF(OR(_xll.BDP($AX80,"FD116")="#N/A N/A",_xll.BDP($AX80,"FD116")="#N/A FIELD NOT APPLICABLE")," ",_xll.BDP($AX80,"FD116"))</f>
        <v>Blend</v>
      </c>
      <c r="J80" s="22" t="str" cm="1">
        <f t="array" ref="J80">IF(OR(_xll.BDP($AX80,"FD133")="#N/A N/A",_xll.BDP($AX80,"FD133")="#N/A FIELD NOT APPLICABLE")," ", _xll.BDP($AX80,"FD133"))</f>
        <v>Financial</v>
      </c>
      <c r="K80" s="34">
        <f>_xll.BDP(AX80,"FUND_ASSETS_USD")/1000</f>
        <v>3.0820189653700001</v>
      </c>
      <c r="L80" s="25">
        <f>IFERROR(_xll.BDP(AX80, "DV013")/100,0)</f>
        <v>2.7638004006055251E-2</v>
      </c>
      <c r="M80" s="25" cm="1">
        <f t="array" ref="M80">IF(OR(_xll.BDP($AX80,"PR079")="#N/A N/A",_xll.BDP($AX80,"PR079")="#N/A FIELD NOT APPLICABLE")," ", _xll.BDP($AX80,"PR079")/100)</f>
        <v>-9.3123419999999998E-2</v>
      </c>
      <c r="N80" s="25" cm="1">
        <f t="array" ref="N80">IF(OR(_xll.BDP($AX80,"RT074")="#N/A N/A",_xll.BDP($AX80,"RT074")="#N/A FIELD NOT APPLICABLE")," ", _xll.BDP($AX80,"RT074")/100)</f>
        <v>0.16714500000000002</v>
      </c>
      <c r="O80" s="27">
        <v>2333</v>
      </c>
      <c r="P80" s="28">
        <v>56.77</v>
      </c>
      <c r="Q80" s="22" cm="1">
        <f t="array" ref="Q80">IF(OR(_xll.BDP($AX80,"PX_last")="#N/A N/A",_xll.BDP($AX80,"PX_Last")="#N/A FIELD NOT APPLICABLE")," ",IF(F80="GBP",(_xll.BDP($AX80,"PX_LAST")/100),(_xll.BDP($AX80,"PX_LAST"))))</f>
        <v>54.73</v>
      </c>
      <c r="R80" s="29">
        <f>IF(F80="USD",AA80,(((_xll.BDP(F80&amp;"USD CURNCY","PX_LAST")))*AA80))</f>
        <v>132444.41</v>
      </c>
      <c r="S80" s="29">
        <f>IF(F80="USD",AB80,(((_xll.BDP(F80&amp;"USD CURNCY","PX_LAST")))*AB80))</f>
        <v>127685.09</v>
      </c>
      <c r="T80" s="12">
        <f t="shared" si="16"/>
        <v>-4759.320000000007</v>
      </c>
      <c r="U80" s="13">
        <f t="shared" si="17"/>
        <v>-3.5934472432622919E-2</v>
      </c>
      <c r="V80" s="13" cm="1">
        <f t="array" ref="V80">IFERROR(_xll.BDP($G80&amp;" Equity","CHG_PCT_1D")/100,"")</f>
        <v>1.1084430000000001E-2</v>
      </c>
      <c r="W80" s="13" cm="1">
        <f t="array" ref="W80">IFERROR(_xll.BDP($G80&amp;" Equity","CHG_PCT_5D")/100,"")</f>
        <v>5.1423319999999995E-3</v>
      </c>
      <c r="X80" s="13" t="e">
        <f>S80/$H$62</f>
        <v>#VALUE!</v>
      </c>
      <c r="Y80" s="29">
        <f t="shared" si="18"/>
        <v>3528.9610289335251</v>
      </c>
      <c r="Z80" s="29">
        <f t="shared" si="19"/>
        <v>127685.09</v>
      </c>
      <c r="AA80" s="29">
        <f t="shared" si="20"/>
        <v>132444.41</v>
      </c>
      <c r="AB80" s="29">
        <f t="shared" si="21"/>
        <v>127685.09</v>
      </c>
      <c r="AC80" s="25" t="str" cm="1">
        <f t="array" ref="AC80">IF(OR(_xll.BDP($AX80,"EX028")="#N/A N/A",_xll.BDP($AX80,"EX028")="#N/A FIELD NOT APPLICABLE")," ", _xll.BDP($AX80,"EX028"))</f>
        <v>Fund</v>
      </c>
      <c r="AD80" s="35" t="str" cm="1">
        <f t="array" ref="AD80">IF(OR(_xll.BDP($AX80,"FD121")="#N/A N/A",_xll.BDP($AX80,"FD121")="#N/A FIELD NOT APPLICABLE")," ", _xll.BDP($AX80,"FD121"))</f>
        <v>Equity</v>
      </c>
      <c r="AE80" s="25" t="str" cm="1">
        <f t="array" ref="AE80">IF(OR(_xll.BDP($AX80,"FD118")="#N/A N/A",_xll.BDP($AX80,"FD118")="#N/A FIELD NOT APPLICABLE")," ", _xll.BDP($AX80,"FD118"))</f>
        <v>ETF</v>
      </c>
      <c r="AF80" s="22" t="str" cm="1">
        <f t="array" ref="AF80">IF(OR(_xll.BDP($AX80,"FD114")="#N/A N/A",_xll.BDP($AX80,"FD114")="#N/A FIELD NOT APPLICABLE")," ", _xll.BDP($AX80,"FD114"))</f>
        <v xml:space="preserve"> </v>
      </c>
      <c r="AG80" s="22" t="str" cm="1">
        <f t="array" ref="AG80">IF(OR(_xll.BDP($AX80,"FD003")="#N/A N/A",_xll.BDP($AX80,"FD003")="#N/A FIELD NOT APPLICABLE")," ", _xll.BDP($AX80,"FD003"))</f>
        <v>22/06/2006</v>
      </c>
      <c r="AH80" s="32" cm="1">
        <f t="array" ref="AH80">IF(OR(_xll.BDP($AX80,"PR061")="#N/A N/A",_xll.BDP($AX80,"PR061")="#N/A FIELD NOT APPLICABLE")," ", _xll.BDP($AX80,"PR061")/100)</f>
        <v>-4.3516269999999996E-2</v>
      </c>
      <c r="AI80" s="25" cm="1">
        <f t="array" ref="AI80">IF(OR(_xll.BDP($AX80,"RT075")="#N/A N/A",_xll.BDP($AX80,"RT075")="#N/A FIELD NOT APPLICABLE")," ", _xll.BDP($AX80,"RT075")/100)</f>
        <v>-1.0666310000000002E-2</v>
      </c>
      <c r="AJ80" s="25" cm="1">
        <f t="array" ref="AJ80">IF(OR(_xll.BDP($AX80,"RT076")="#N/A N/A",_xll.BDP($AX80,"RT076")="#N/A FIELD NOT APPLICABLE")," ", _xll.BDP($AX80,"RT076")/100)</f>
        <v>0.1167729</v>
      </c>
      <c r="AK80" s="25" cm="1">
        <f t="array" ref="AK80">IF(OR(_xll.BDP($AX80,"FD252")="#N/A N/A",_xll.BDP($AX80,"FD252")="#N/A FIELD NOT APPLICABLE")," ", _xll.BDP($AX80,"FD252")/100)</f>
        <v>0</v>
      </c>
      <c r="AL80" s="25" cm="1">
        <f t="array" ref="AL80">IF(OR(_xll.BDP($AX80,"FD015")="#N/A N/A",_xll.BDP($AX80,"FD015")="#N/A FIELD NOT APPLICABLE")," ", _xll.BDP($AX80,"FD015")/100)</f>
        <v>3.4999999999999996E-3</v>
      </c>
      <c r="AM80" s="25" cm="1">
        <f t="array" ref="AM80">IF(OR(_xll.BDP($AX80,"FD138")="#N/A N/A",_xll.BDP($AX80,"FD138")="#N/A FIELD NOT APPLICABLE")," ", _xll.BDP($AX80,"FD138")/100)</f>
        <v>3.4999999999999996E-3</v>
      </c>
      <c r="AN80" s="36" cm="1">
        <f t="array" ref="AN80">IF(OR(_xll.BDP($AX80,"FD009")="#N/A N/A",_xll.BDP($AX80,"FD009")="#N/A FIELD NOT APPLICABLE")," ", _xll.BDP($AX80,"FD009")/100)</f>
        <v>0</v>
      </c>
      <c r="AO80" s="25" cm="1">
        <f t="array" ref="AO80">IF(OR(_xll.BDP($AX80,"RK512")="#N/A N/A",_xll.BDP($AX80,"RK512")="#N/A FIELD NOT APPLICABLE")," ", _xll.BDP($AX80,"RK512")/100)</f>
        <v>5.1252001523971556E-3</v>
      </c>
      <c r="AP80" s="25" cm="1">
        <f t="array" ref="AP80">IF(OR(_xll.BDP($AX80,"RK514")="#N/A N/A",_xll.BDP($AX80,"RK514")="#N/A FIELD NOT APPLICABLE")," ", _xll.BDP($AX80,"RK514")/100)</f>
        <v>4.9456900358200075E-3</v>
      </c>
      <c r="AQ80" s="25" cm="1">
        <f t="array" ref="AQ80">IF(OR(_xll.BDP($AX80,"RK521")="#N/A N/A",_xll.BDP($AX80,"RK521")="#N/A FIELD NOT APPLICABLE")," ", _xll.BDP($AX80,"RK521")/100)</f>
        <v>-4.5939099788665774E-3</v>
      </c>
      <c r="AR80" s="25" cm="1">
        <f t="array" ref="AR80">IF(OR(_xll.BDP($AX80,"RK525")="#N/A N/A",_xll.BDP($AX80,"RK525")="#N/A FIELD NOT APPLICABLE")," ", _xll.BDP($AX80,"RK525")/100)</f>
        <v>1.0008100271224975E-2</v>
      </c>
      <c r="AS80" s="25" cm="1">
        <f t="array" ref="AS80">IF(OR(_xll.BDP($AX80,"RK524")="#N/A N/A",_xll.BDP($AX80,"RK524")="#N/A FIELD NOT APPLICABLE")," ", _xll.BDP($AX80,"RK524")/100)</f>
        <v>-9.158000349998474E-5</v>
      </c>
      <c r="AT80" s="25" t="str" cm="1">
        <f t="array" ref="AT80">IF(OR(_xll.BDP($AX80,"FD183")="#N/A N/A",_xll.BDP($AX80,"FD183")="#N/A FIELD NOT APPLICABLE")," ", _xll.BDP($AX80,"FD183"))</f>
        <v>USD INC</v>
      </c>
      <c r="AU80" s="25" t="str" cm="1">
        <f t="array" ref="AU80">IF(OR(_xll.BDP($AX80,"DY997")="#N/A N/A",_xll.BDP($AX80,"DY997")="#N/A FIELD NOT APPLICABLE")," ", _xll.BDP($AX80,"DY997"))</f>
        <v xml:space="preserve"> </v>
      </c>
      <c r="AV80" s="25" t="str" cm="1">
        <f t="array" ref="AV80">IF(OR(_xll.BDP($AX80,"DY784")="#N/A N/A",_xll.BDP($AX80,"DY784")="#N/A FIELD NOT APPLICABLE")," ", _xll.BDP($AX80,"DY784"))</f>
        <v xml:space="preserve"> </v>
      </c>
      <c r="AW80" s="22" t="str">
        <f t="shared" si="22"/>
        <v>N</v>
      </c>
      <c r="AX80" s="22" t="str">
        <f t="shared" si="23"/>
        <v>KRE US Equity</v>
      </c>
      <c r="BC80" s="17" t="str" cm="1">
        <f t="array" ref="BC80">_xll.BDP(AX80,"ID005")</f>
        <v>US78464A6982</v>
      </c>
      <c r="BD80" s="17">
        <v>0.75</v>
      </c>
      <c r="BE80" s="18">
        <v>5</v>
      </c>
      <c r="BF80" s="37"/>
      <c r="BG80" s="20">
        <v>1.0000000000107532</v>
      </c>
    </row>
    <row r="81" spans="1:59" s="3" customFormat="1" ht="14.45" customHeight="1" x14ac:dyDescent="0.25">
      <c r="A81" s="49" t="s">
        <v>242</v>
      </c>
      <c r="B81" s="49" t="s">
        <v>246</v>
      </c>
      <c r="C81" s="49" t="s">
        <v>247</v>
      </c>
      <c r="D81" s="49" t="s">
        <v>248</v>
      </c>
      <c r="E81" s="22" t="str">
        <f>_xll.BDP(AX81,"SECURITY NAME")</f>
        <v>SPDR S&amp;P Regional Banking ETF</v>
      </c>
      <c r="F81" s="22" t="str">
        <f>_xll.BDP(AX81,"CRNCY")</f>
        <v>USD</v>
      </c>
      <c r="G81" s="23" t="s">
        <v>340</v>
      </c>
      <c r="H81" s="22" t="str" cm="1">
        <f t="array" ref="H81">IF(OR(_xll.BDP($AX81,"FD120")="#N/A N/A",_xll.BDP($AX81,"FD120")="#N/A FIELD NOT APPLICABLE")," ",_xll.BDP($AX81,"FD120"))</f>
        <v>U.S.</v>
      </c>
      <c r="I81" s="22" t="str" cm="1">
        <f t="array" ref="I81">IF(OR(_xll.BDP($AX81,"FD116")="#N/A N/A",_xll.BDP($AX81,"FD116")="#N/A FIELD NOT APPLICABLE")," ",_xll.BDP($AX81,"FD116"))</f>
        <v>Blend</v>
      </c>
      <c r="J81" s="22" t="str" cm="1">
        <f t="array" ref="J81">IF(OR(_xll.BDP($AX81,"FD133")="#N/A N/A",_xll.BDP($AX81,"FD133")="#N/A FIELD NOT APPLICABLE")," ", _xll.BDP($AX81,"FD133"))</f>
        <v>Financial</v>
      </c>
      <c r="K81" s="34">
        <f>_xll.BDP(AX81,"FUND_ASSETS_USD")/1000</f>
        <v>3.0820189653700001</v>
      </c>
      <c r="L81" s="25">
        <f>IFERROR(_xll.BDP(AX81, "DV013")/100,0)</f>
        <v>2.7638004006055251E-2</v>
      </c>
      <c r="M81" s="25" cm="1">
        <f t="array" ref="M81">IF(OR(_xll.BDP($AX81,"PR079")="#N/A N/A",_xll.BDP($AX81,"PR079")="#N/A FIELD NOT APPLICABLE")," ", _xll.BDP($AX81,"PR079")/100)</f>
        <v>-9.3123419999999998E-2</v>
      </c>
      <c r="N81" s="25" cm="1">
        <f t="array" ref="N81">IF(OR(_xll.BDP($AX81,"RT074")="#N/A N/A",_xll.BDP($AX81,"RT074")="#N/A FIELD NOT APPLICABLE")," ", _xll.BDP($AX81,"RT074")/100)</f>
        <v>0.16714500000000002</v>
      </c>
      <c r="O81" s="27">
        <v>3394</v>
      </c>
      <c r="P81" s="28">
        <v>56.95</v>
      </c>
      <c r="Q81" s="22" cm="1">
        <f t="array" ref="Q81">IF(OR(_xll.BDP($AX81,"PX_last")="#N/A N/A",_xll.BDP($AX81,"PX_Last")="#N/A FIELD NOT APPLICABLE")," ",IF(F81="GBP",(_xll.BDP($AX81,"PX_LAST")/100),(_xll.BDP($AX81,"PX_LAST"))))</f>
        <v>54.73</v>
      </c>
      <c r="R81" s="29">
        <f>IF(F81="USD",AA81,(((_xll.BDP(F81&amp;"USD CURNCY","PX_LAST")))*AA81))</f>
        <v>193288.30000000002</v>
      </c>
      <c r="S81" s="29">
        <f>IF(F81="USD",AB81,(((_xll.BDP(F81&amp;"USD CURNCY","PX_LAST")))*AB81))</f>
        <v>185753.62</v>
      </c>
      <c r="T81" s="12">
        <f t="shared" si="16"/>
        <v>-7534.6800000000221</v>
      </c>
      <c r="U81" s="13">
        <f t="shared" si="17"/>
        <v>-3.8981562774363585E-2</v>
      </c>
      <c r="V81" s="13" cm="1">
        <f t="array" ref="V81">IFERROR(_xll.BDP($G81&amp;" Equity","CHG_PCT_1D")/100,"")</f>
        <v>1.1084430000000001E-2</v>
      </c>
      <c r="W81" s="13" cm="1">
        <f t="array" ref="W81">IFERROR(_xll.BDP($G81&amp;" Equity","CHG_PCT_5D")/100,"")</f>
        <v>5.1423319999999995E-3</v>
      </c>
      <c r="X81" s="13" t="e">
        <f>S81/$H$62</f>
        <v>#VALUE!</v>
      </c>
      <c r="Y81" s="29">
        <f t="shared" si="18"/>
        <v>5133.8592936992645</v>
      </c>
      <c r="Z81" s="29">
        <f t="shared" si="19"/>
        <v>185753.62</v>
      </c>
      <c r="AA81" s="29">
        <f t="shared" si="20"/>
        <v>193288.30000000002</v>
      </c>
      <c r="AB81" s="29">
        <f t="shared" si="21"/>
        <v>185753.62</v>
      </c>
      <c r="AC81" s="25" t="str" cm="1">
        <f t="array" ref="AC81">IF(OR(_xll.BDP($AX81,"EX028")="#N/A N/A",_xll.BDP($AX81,"EX028")="#N/A FIELD NOT APPLICABLE")," ", _xll.BDP($AX81,"EX028"))</f>
        <v>Fund</v>
      </c>
      <c r="AD81" s="35" t="str" cm="1">
        <f t="array" ref="AD81">IF(OR(_xll.BDP($AX81,"FD121")="#N/A N/A",_xll.BDP($AX81,"FD121")="#N/A FIELD NOT APPLICABLE")," ", _xll.BDP($AX81,"FD121"))</f>
        <v>Equity</v>
      </c>
      <c r="AE81" s="25" t="str" cm="1">
        <f t="array" ref="AE81">IF(OR(_xll.BDP($AX81,"FD118")="#N/A N/A",_xll.BDP($AX81,"FD118")="#N/A FIELD NOT APPLICABLE")," ", _xll.BDP($AX81,"FD118"))</f>
        <v>ETF</v>
      </c>
      <c r="AF81" s="22" t="str" cm="1">
        <f t="array" ref="AF81">IF(OR(_xll.BDP($AX81,"FD114")="#N/A N/A",_xll.BDP($AX81,"FD114")="#N/A FIELD NOT APPLICABLE")," ", _xll.BDP($AX81,"FD114"))</f>
        <v xml:space="preserve"> </v>
      </c>
      <c r="AG81" s="22" t="str" cm="1">
        <f t="array" ref="AG81">IF(OR(_xll.BDP($AX81,"FD003")="#N/A N/A",_xll.BDP($AX81,"FD003")="#N/A FIELD NOT APPLICABLE")," ", _xll.BDP($AX81,"FD003"))</f>
        <v>22/06/2006</v>
      </c>
      <c r="AH81" s="32" cm="1">
        <f t="array" ref="AH81">IF(OR(_xll.BDP($AX81,"PR061")="#N/A N/A",_xll.BDP($AX81,"PR061")="#N/A FIELD NOT APPLICABLE")," ", _xll.BDP($AX81,"PR061")/100)</f>
        <v>-4.3516269999999996E-2</v>
      </c>
      <c r="AI81" s="25" cm="1">
        <f t="array" ref="AI81">IF(OR(_xll.BDP($AX81,"RT075")="#N/A N/A",_xll.BDP($AX81,"RT075")="#N/A FIELD NOT APPLICABLE")," ", _xll.BDP($AX81,"RT075")/100)</f>
        <v>-1.0666310000000002E-2</v>
      </c>
      <c r="AJ81" s="25" cm="1">
        <f t="array" ref="AJ81">IF(OR(_xll.BDP($AX81,"RT076")="#N/A N/A",_xll.BDP($AX81,"RT076")="#N/A FIELD NOT APPLICABLE")," ", _xll.BDP($AX81,"RT076")/100)</f>
        <v>0.1167729</v>
      </c>
      <c r="AK81" s="25" cm="1">
        <f t="array" ref="AK81">IF(OR(_xll.BDP($AX81,"FD252")="#N/A N/A",_xll.BDP($AX81,"FD252")="#N/A FIELD NOT APPLICABLE")," ", _xll.BDP($AX81,"FD252")/100)</f>
        <v>0</v>
      </c>
      <c r="AL81" s="25" cm="1">
        <f t="array" ref="AL81">IF(OR(_xll.BDP($AX81,"FD015")="#N/A N/A",_xll.BDP($AX81,"FD015")="#N/A FIELD NOT APPLICABLE")," ", _xll.BDP($AX81,"FD015")/100)</f>
        <v>3.4999999999999996E-3</v>
      </c>
      <c r="AM81" s="25" cm="1">
        <f t="array" ref="AM81">IF(OR(_xll.BDP($AX81,"FD138")="#N/A N/A",_xll.BDP($AX81,"FD138")="#N/A FIELD NOT APPLICABLE")," ", _xll.BDP($AX81,"FD138")/100)</f>
        <v>3.4999999999999996E-3</v>
      </c>
      <c r="AN81" s="36" cm="1">
        <f t="array" ref="AN81">IF(OR(_xll.BDP($AX81,"FD009")="#N/A N/A",_xll.BDP($AX81,"FD009")="#N/A FIELD NOT APPLICABLE")," ", _xll.BDP($AX81,"FD009")/100)</f>
        <v>0</v>
      </c>
      <c r="AO81" s="25" cm="1">
        <f t="array" ref="AO81">IF(OR(_xll.BDP($AX81,"RK512")="#N/A N/A",_xll.BDP($AX81,"RK512")="#N/A FIELD NOT APPLICABLE")," ", _xll.BDP($AX81,"RK512")/100)</f>
        <v>5.1252001523971556E-3</v>
      </c>
      <c r="AP81" s="25" cm="1">
        <f t="array" ref="AP81">IF(OR(_xll.BDP($AX81,"RK514")="#N/A N/A",_xll.BDP($AX81,"RK514")="#N/A FIELD NOT APPLICABLE")," ", _xll.BDP($AX81,"RK514")/100)</f>
        <v>4.9456900358200075E-3</v>
      </c>
      <c r="AQ81" s="25" cm="1">
        <f t="array" ref="AQ81">IF(OR(_xll.BDP($AX81,"RK521")="#N/A N/A",_xll.BDP($AX81,"RK521")="#N/A FIELD NOT APPLICABLE")," ", _xll.BDP($AX81,"RK521")/100)</f>
        <v>-4.5939099788665774E-3</v>
      </c>
      <c r="AR81" s="25" cm="1">
        <f t="array" ref="AR81">IF(OR(_xll.BDP($AX81,"RK525")="#N/A N/A",_xll.BDP($AX81,"RK525")="#N/A FIELD NOT APPLICABLE")," ", _xll.BDP($AX81,"RK525")/100)</f>
        <v>1.0008100271224975E-2</v>
      </c>
      <c r="AS81" s="25" cm="1">
        <f t="array" ref="AS81">IF(OR(_xll.BDP($AX81,"RK524")="#N/A N/A",_xll.BDP($AX81,"RK524")="#N/A FIELD NOT APPLICABLE")," ", _xll.BDP($AX81,"RK524")/100)</f>
        <v>-9.158000349998474E-5</v>
      </c>
      <c r="AT81" s="25" t="str" cm="1">
        <f t="array" ref="AT81">IF(OR(_xll.BDP($AX81,"FD183")="#N/A N/A",_xll.BDP($AX81,"FD183")="#N/A FIELD NOT APPLICABLE")," ", _xll.BDP($AX81,"FD183"))</f>
        <v>USD INC</v>
      </c>
      <c r="AU81" s="25" t="str" cm="1">
        <f t="array" ref="AU81">IF(OR(_xll.BDP($AX81,"DY997")="#N/A N/A",_xll.BDP($AX81,"DY997")="#N/A FIELD NOT APPLICABLE")," ", _xll.BDP($AX81,"DY997"))</f>
        <v xml:space="preserve"> </v>
      </c>
      <c r="AV81" s="25" t="str" cm="1">
        <f t="array" ref="AV81">IF(OR(_xll.BDP($AX81,"DY784")="#N/A N/A",_xll.BDP($AX81,"DY784")="#N/A FIELD NOT APPLICABLE")," ", _xll.BDP($AX81,"DY784"))</f>
        <v xml:space="preserve"> </v>
      </c>
      <c r="AW81" s="22" t="str">
        <f t="shared" si="22"/>
        <v>N</v>
      </c>
      <c r="AX81" s="22" t="str">
        <f t="shared" si="23"/>
        <v>KRE US Equity</v>
      </c>
      <c r="BC81" s="17" t="str" cm="1">
        <f t="array" ref="BC81">_xll.BDP(AX81,"ID005")</f>
        <v>US78464A6982</v>
      </c>
      <c r="BD81" s="17">
        <v>0</v>
      </c>
      <c r="BE81" s="18">
        <v>5</v>
      </c>
      <c r="BF81" s="37"/>
      <c r="BG81" s="20"/>
    </row>
    <row r="82" spans="1:59" s="3" customFormat="1" ht="14.45" customHeight="1" x14ac:dyDescent="0.25">
      <c r="A82" s="49" t="s">
        <v>241</v>
      </c>
      <c r="B82" s="49" t="s">
        <v>249</v>
      </c>
      <c r="C82" s="49" t="s">
        <v>250</v>
      </c>
      <c r="D82" s="49" t="s">
        <v>240</v>
      </c>
      <c r="E82" s="22" t="str">
        <f>_xll.BDP(AX82,"SECURITY NAME")</f>
        <v>SPDR S&amp;P Regional Banking ETF</v>
      </c>
      <c r="F82" s="22" t="str">
        <f>_xll.BDP(AX82,"CRNCY")</f>
        <v>USD</v>
      </c>
      <c r="G82" s="23" t="s">
        <v>340</v>
      </c>
      <c r="H82" s="22" t="str" cm="1">
        <f t="array" ref="H82">IF(OR(_xll.BDP($AX82,"FD120")="#N/A N/A",_xll.BDP($AX82,"FD120")="#N/A FIELD NOT APPLICABLE")," ",_xll.BDP($AX82,"FD120"))</f>
        <v>U.S.</v>
      </c>
      <c r="I82" s="22" t="str" cm="1">
        <f t="array" ref="I82">IF(OR(_xll.BDP($AX82,"FD116")="#N/A N/A",_xll.BDP($AX82,"FD116")="#N/A FIELD NOT APPLICABLE")," ",_xll.BDP($AX82,"FD116"))</f>
        <v>Blend</v>
      </c>
      <c r="J82" s="22" t="str" cm="1">
        <f t="array" ref="J82">IF(OR(_xll.BDP($AX82,"FD133")="#N/A N/A",_xll.BDP($AX82,"FD133")="#N/A FIELD NOT APPLICABLE")," ", _xll.BDP($AX82,"FD133"))</f>
        <v>Financial</v>
      </c>
      <c r="K82" s="34">
        <f>_xll.BDP(AX82,"FUND_ASSETS_USD")/1000</f>
        <v>3.0820189653700001</v>
      </c>
      <c r="L82" s="25">
        <f>IFERROR(_xll.BDP(AX82, "DV013")/100,0)</f>
        <v>2.7638004006055251E-2</v>
      </c>
      <c r="M82" s="25" cm="1">
        <f t="array" ref="M82">IF(OR(_xll.BDP($AX82,"PR079")="#N/A N/A",_xll.BDP($AX82,"PR079")="#N/A FIELD NOT APPLICABLE")," ", _xll.BDP($AX82,"PR079")/100)</f>
        <v>-9.3123419999999998E-2</v>
      </c>
      <c r="N82" s="25" cm="1">
        <f t="array" ref="N82">IF(OR(_xll.BDP($AX82,"RT074")="#N/A N/A",_xll.BDP($AX82,"RT074")="#N/A FIELD NOT APPLICABLE")," ", _xll.BDP($AX82,"RT074")/100)</f>
        <v>0.16714500000000002</v>
      </c>
      <c r="O82" s="27">
        <v>1704</v>
      </c>
      <c r="P82" s="28">
        <v>56.77</v>
      </c>
      <c r="Q82" s="22" cm="1">
        <f t="array" ref="Q82">IF(OR(_xll.BDP($AX82,"PX_last")="#N/A N/A",_xll.BDP($AX82,"PX_Last")="#N/A FIELD NOT APPLICABLE")," ",IF(F82="GBP",(_xll.BDP($AX82,"PX_LAST")/100),(_xll.BDP($AX82,"PX_LAST"))))</f>
        <v>54.73</v>
      </c>
      <c r="R82" s="29">
        <f>IF(F82="USD",AA82,(((_xll.BDP(F82&amp;"USD CURNCY","PX_LAST")))*AA82))</f>
        <v>96736.08</v>
      </c>
      <c r="S82" s="29">
        <f>IF(F82="USD",AB82,(((_xll.BDP(F82&amp;"USD CURNCY","PX_LAST")))*AB82))</f>
        <v>93259.92</v>
      </c>
      <c r="T82" s="12">
        <f t="shared" si="16"/>
        <v>-3476.1600000000035</v>
      </c>
      <c r="U82" s="13">
        <f t="shared" si="17"/>
        <v>-3.5934472432622898E-2</v>
      </c>
      <c r="V82" s="13" cm="1">
        <f t="array" ref="V82">IFERROR(_xll.BDP($G82&amp;" Equity","CHG_PCT_1D")/100,"")</f>
        <v>1.1084430000000001E-2</v>
      </c>
      <c r="W82" s="13" cm="1">
        <f t="array" ref="W82">IFERROR(_xll.BDP($G82&amp;" Equity","CHG_PCT_5D")/100,"")</f>
        <v>5.1423319999999995E-3</v>
      </c>
      <c r="X82" s="13" t="e">
        <f>S82/$H$62</f>
        <v>#VALUE!</v>
      </c>
      <c r="Y82" s="29">
        <f t="shared" si="18"/>
        <v>2577.5180425643921</v>
      </c>
      <c r="Z82" s="29">
        <f t="shared" si="19"/>
        <v>93259.92</v>
      </c>
      <c r="AA82" s="29">
        <f t="shared" si="20"/>
        <v>96736.08</v>
      </c>
      <c r="AB82" s="29">
        <f t="shared" si="21"/>
        <v>93259.92</v>
      </c>
      <c r="AC82" s="25" t="str" cm="1">
        <f t="array" ref="AC82">IF(OR(_xll.BDP($AX82,"EX028")="#N/A N/A",_xll.BDP($AX82,"EX028")="#N/A FIELD NOT APPLICABLE")," ", _xll.BDP($AX82,"EX028"))</f>
        <v>Fund</v>
      </c>
      <c r="AD82" s="35" t="str" cm="1">
        <f t="array" ref="AD82">IF(OR(_xll.BDP($AX82,"FD121")="#N/A N/A",_xll.BDP($AX82,"FD121")="#N/A FIELD NOT APPLICABLE")," ", _xll.BDP($AX82,"FD121"))</f>
        <v>Equity</v>
      </c>
      <c r="AE82" s="25" t="str" cm="1">
        <f t="array" ref="AE82">IF(OR(_xll.BDP($AX82,"FD118")="#N/A N/A",_xll.BDP($AX82,"FD118")="#N/A FIELD NOT APPLICABLE")," ", _xll.BDP($AX82,"FD118"))</f>
        <v>ETF</v>
      </c>
      <c r="AF82" s="22" t="str" cm="1">
        <f t="array" ref="AF82">IF(OR(_xll.BDP($AX82,"FD114")="#N/A N/A",_xll.BDP($AX82,"FD114")="#N/A FIELD NOT APPLICABLE")," ", _xll.BDP($AX82,"FD114"))</f>
        <v xml:space="preserve"> </v>
      </c>
      <c r="AG82" s="22" t="str" cm="1">
        <f t="array" ref="AG82">IF(OR(_xll.BDP($AX82,"FD003")="#N/A N/A",_xll.BDP($AX82,"FD003")="#N/A FIELD NOT APPLICABLE")," ", _xll.BDP($AX82,"FD003"))</f>
        <v>22/06/2006</v>
      </c>
      <c r="AH82" s="32" cm="1">
        <f t="array" ref="AH82">IF(OR(_xll.BDP($AX82,"PR061")="#N/A N/A",_xll.BDP($AX82,"PR061")="#N/A FIELD NOT APPLICABLE")," ", _xll.BDP($AX82,"PR061")/100)</f>
        <v>-4.3516269999999996E-2</v>
      </c>
      <c r="AI82" s="25" cm="1">
        <f t="array" ref="AI82">IF(OR(_xll.BDP($AX82,"RT075")="#N/A N/A",_xll.BDP($AX82,"RT075")="#N/A FIELD NOT APPLICABLE")," ", _xll.BDP($AX82,"RT075")/100)</f>
        <v>-1.0666310000000002E-2</v>
      </c>
      <c r="AJ82" s="25" cm="1">
        <f t="array" ref="AJ82">IF(OR(_xll.BDP($AX82,"RT076")="#N/A N/A",_xll.BDP($AX82,"RT076")="#N/A FIELD NOT APPLICABLE")," ", _xll.BDP($AX82,"RT076")/100)</f>
        <v>0.1167729</v>
      </c>
      <c r="AK82" s="25" cm="1">
        <f t="array" ref="AK82">IF(OR(_xll.BDP($AX82,"FD252")="#N/A N/A",_xll.BDP($AX82,"FD252")="#N/A FIELD NOT APPLICABLE")," ", _xll.BDP($AX82,"FD252")/100)</f>
        <v>0</v>
      </c>
      <c r="AL82" s="25" cm="1">
        <f t="array" ref="AL82">IF(OR(_xll.BDP($AX82,"FD015")="#N/A N/A",_xll.BDP($AX82,"FD015")="#N/A FIELD NOT APPLICABLE")," ", _xll.BDP($AX82,"FD015")/100)</f>
        <v>3.4999999999999996E-3</v>
      </c>
      <c r="AM82" s="25" cm="1">
        <f t="array" ref="AM82">IF(OR(_xll.BDP($AX82,"FD138")="#N/A N/A",_xll.BDP($AX82,"FD138")="#N/A FIELD NOT APPLICABLE")," ", _xll.BDP($AX82,"FD138")/100)</f>
        <v>3.4999999999999996E-3</v>
      </c>
      <c r="AN82" s="36" cm="1">
        <f t="array" ref="AN82">IF(OR(_xll.BDP($AX82,"FD009")="#N/A N/A",_xll.BDP($AX82,"FD009")="#N/A FIELD NOT APPLICABLE")," ", _xll.BDP($AX82,"FD009")/100)</f>
        <v>0</v>
      </c>
      <c r="AO82" s="25" cm="1">
        <f t="array" ref="AO82">IF(OR(_xll.BDP($AX82,"RK512")="#N/A N/A",_xll.BDP($AX82,"RK512")="#N/A FIELD NOT APPLICABLE")," ", _xll.BDP($AX82,"RK512")/100)</f>
        <v>5.1252001523971556E-3</v>
      </c>
      <c r="AP82" s="25" cm="1">
        <f t="array" ref="AP82">IF(OR(_xll.BDP($AX82,"RK514")="#N/A N/A",_xll.BDP($AX82,"RK514")="#N/A FIELD NOT APPLICABLE")," ", _xll.BDP($AX82,"RK514")/100)</f>
        <v>4.9456900358200075E-3</v>
      </c>
      <c r="AQ82" s="25" cm="1">
        <f t="array" ref="AQ82">IF(OR(_xll.BDP($AX82,"RK521")="#N/A N/A",_xll.BDP($AX82,"RK521")="#N/A FIELD NOT APPLICABLE")," ", _xll.BDP($AX82,"RK521")/100)</f>
        <v>-4.5939099788665774E-3</v>
      </c>
      <c r="AR82" s="25" cm="1">
        <f t="array" ref="AR82">IF(OR(_xll.BDP($AX82,"RK525")="#N/A N/A",_xll.BDP($AX82,"RK525")="#N/A FIELD NOT APPLICABLE")," ", _xll.BDP($AX82,"RK525")/100)</f>
        <v>1.0008100271224975E-2</v>
      </c>
      <c r="AS82" s="25" cm="1">
        <f t="array" ref="AS82">IF(OR(_xll.BDP($AX82,"RK524")="#N/A N/A",_xll.BDP($AX82,"RK524")="#N/A FIELD NOT APPLICABLE")," ", _xll.BDP($AX82,"RK524")/100)</f>
        <v>-9.158000349998474E-5</v>
      </c>
      <c r="AT82" s="25" t="str" cm="1">
        <f t="array" ref="AT82">IF(OR(_xll.BDP($AX82,"FD183")="#N/A N/A",_xll.BDP($AX82,"FD183")="#N/A FIELD NOT APPLICABLE")," ", _xll.BDP($AX82,"FD183"))</f>
        <v>USD INC</v>
      </c>
      <c r="AU82" s="25" t="str" cm="1">
        <f t="array" ref="AU82">IF(OR(_xll.BDP($AX82,"DY997")="#N/A N/A",_xll.BDP($AX82,"DY997")="#N/A FIELD NOT APPLICABLE")," ", _xll.BDP($AX82,"DY997"))</f>
        <v xml:space="preserve"> </v>
      </c>
      <c r="AV82" s="25" t="str" cm="1">
        <f t="array" ref="AV82">IF(OR(_xll.BDP($AX82,"DY784")="#N/A N/A",_xll.BDP($AX82,"DY784")="#N/A FIELD NOT APPLICABLE")," ", _xll.BDP($AX82,"DY784"))</f>
        <v xml:space="preserve"> </v>
      </c>
      <c r="AW82" s="22" t="str">
        <f t="shared" si="22"/>
        <v>N</v>
      </c>
      <c r="AX82" s="22" t="str">
        <f t="shared" si="23"/>
        <v>KRE US Equity</v>
      </c>
      <c r="BC82" s="17" t="str" cm="1">
        <f t="array" ref="BC82">_xll.BDP(AX82,"ID005")</f>
        <v>US78464A6982</v>
      </c>
      <c r="BD82" s="17">
        <v>0.56999999999999995</v>
      </c>
      <c r="BE82" s="18">
        <v>5</v>
      </c>
      <c r="BF82" s="37">
        <v>44301</v>
      </c>
      <c r="BG82" s="20">
        <v>1.0000000000107532</v>
      </c>
    </row>
    <row r="83" spans="1:59" s="3" customFormat="1" ht="14.45" customHeight="1" x14ac:dyDescent="0.25">
      <c r="A83" s="49" t="s">
        <v>241</v>
      </c>
      <c r="B83" s="49" t="s">
        <v>251</v>
      </c>
      <c r="C83" s="49" t="s">
        <v>252</v>
      </c>
      <c r="D83" s="49" t="s">
        <v>240</v>
      </c>
      <c r="E83" s="22" t="str">
        <f>_xll.BDP(AX83,"SECURITY NAME")</f>
        <v>SPDR S&amp;P Regional Banking ETF</v>
      </c>
      <c r="F83" s="22" t="str">
        <f>_xll.BDP(AX83,"CRNCY")</f>
        <v>USD</v>
      </c>
      <c r="G83" s="23" t="s">
        <v>340</v>
      </c>
      <c r="H83" s="22" t="str" cm="1">
        <f t="array" ref="H83">IF(OR(_xll.BDP($AX83,"FD120")="#N/A N/A",_xll.BDP($AX83,"FD120")="#N/A FIELD NOT APPLICABLE")," ",_xll.BDP($AX83,"FD120"))</f>
        <v>U.S.</v>
      </c>
      <c r="I83" s="22" t="str" cm="1">
        <f t="array" ref="I83">IF(OR(_xll.BDP($AX83,"FD116")="#N/A N/A",_xll.BDP($AX83,"FD116")="#N/A FIELD NOT APPLICABLE")," ",_xll.BDP($AX83,"FD116"))</f>
        <v>Blend</v>
      </c>
      <c r="J83" s="22" t="str" cm="1">
        <f t="array" ref="J83">IF(OR(_xll.BDP($AX83,"FD133")="#N/A N/A",_xll.BDP($AX83,"FD133")="#N/A FIELD NOT APPLICABLE")," ", _xll.BDP($AX83,"FD133"))</f>
        <v>Financial</v>
      </c>
      <c r="K83" s="34">
        <f>_xll.BDP(AX83,"FUND_ASSETS_USD")/1000</f>
        <v>3.0820189653700001</v>
      </c>
      <c r="L83" s="25">
        <f>IFERROR(_xll.BDP(AX83, "DV013")/100,0)</f>
        <v>2.7638004006055251E-2</v>
      </c>
      <c r="M83" s="25" cm="1">
        <f t="array" ref="M83">IF(OR(_xll.BDP($AX83,"PR079")="#N/A N/A",_xll.BDP($AX83,"PR079")="#N/A FIELD NOT APPLICABLE")," ", _xll.BDP($AX83,"PR079")/100)</f>
        <v>-9.3123419999999998E-2</v>
      </c>
      <c r="N83" s="25" cm="1">
        <f t="array" ref="N83">IF(OR(_xll.BDP($AX83,"RT074")="#N/A N/A",_xll.BDP($AX83,"RT074")="#N/A FIELD NOT APPLICABLE")," ", _xll.BDP($AX83,"RT074")/100)</f>
        <v>0.16714500000000002</v>
      </c>
      <c r="O83" s="27">
        <v>1968</v>
      </c>
      <c r="P83" s="28">
        <v>56.77</v>
      </c>
      <c r="Q83" s="22" cm="1">
        <f t="array" ref="Q83">IF(OR(_xll.BDP($AX83,"PX_last")="#N/A N/A",_xll.BDP($AX83,"PX_Last")="#N/A FIELD NOT APPLICABLE")," ",IF(F83="GBP",(_xll.BDP($AX83,"PX_LAST")/100),(_xll.BDP($AX83,"PX_LAST"))))</f>
        <v>54.73</v>
      </c>
      <c r="R83" s="29">
        <f>IF(F83="USD",AA83,(((_xll.BDP(F83&amp;"USD CURNCY","PX_LAST")))*AA83))</f>
        <v>111723.36</v>
      </c>
      <c r="S83" s="29">
        <f>IF(F83="USD",AB83,(((_xll.BDP(F83&amp;"USD CURNCY","PX_LAST")))*AB83))</f>
        <v>107708.64</v>
      </c>
      <c r="T83" s="12">
        <f t="shared" si="16"/>
        <v>-4014.7200000000012</v>
      </c>
      <c r="U83" s="13">
        <f t="shared" si="17"/>
        <v>-3.5934472432622877E-2</v>
      </c>
      <c r="V83" s="13" cm="1">
        <f t="array" ref="V83">IFERROR(_xll.BDP($G83&amp;" Equity","CHG_PCT_1D")/100,"")</f>
        <v>1.1084430000000001E-2</v>
      </c>
      <c r="W83" s="13" cm="1">
        <f t="array" ref="W83">IFERROR(_xll.BDP($G83&amp;" Equity","CHG_PCT_5D")/100,"")</f>
        <v>5.1423319999999995E-3</v>
      </c>
      <c r="X83" s="13" t="e">
        <f>S83/$H$62</f>
        <v>#VALUE!</v>
      </c>
      <c r="Y83" s="29">
        <f t="shared" si="18"/>
        <v>2976.8518238067627</v>
      </c>
      <c r="Z83" s="29">
        <f t="shared" si="19"/>
        <v>107708.64</v>
      </c>
      <c r="AA83" s="29">
        <f t="shared" si="20"/>
        <v>111723.36</v>
      </c>
      <c r="AB83" s="29">
        <f t="shared" si="21"/>
        <v>107708.64</v>
      </c>
      <c r="AC83" s="25" t="str" cm="1">
        <f t="array" ref="AC83">IF(OR(_xll.BDP($AX83,"EX028")="#N/A N/A",_xll.BDP($AX83,"EX028")="#N/A FIELD NOT APPLICABLE")," ", _xll.BDP($AX83,"EX028"))</f>
        <v>Fund</v>
      </c>
      <c r="AD83" s="35" t="str" cm="1">
        <f t="array" ref="AD83">IF(OR(_xll.BDP($AX83,"FD121")="#N/A N/A",_xll.BDP($AX83,"FD121")="#N/A FIELD NOT APPLICABLE")," ", _xll.BDP($AX83,"FD121"))</f>
        <v>Equity</v>
      </c>
      <c r="AE83" s="25" t="str" cm="1">
        <f t="array" ref="AE83">IF(OR(_xll.BDP($AX83,"FD118")="#N/A N/A",_xll.BDP($AX83,"FD118")="#N/A FIELD NOT APPLICABLE")," ", _xll.BDP($AX83,"FD118"))</f>
        <v>ETF</v>
      </c>
      <c r="AF83" s="22" t="str" cm="1">
        <f t="array" ref="AF83">IF(OR(_xll.BDP($AX83,"FD114")="#N/A N/A",_xll.BDP($AX83,"FD114")="#N/A FIELD NOT APPLICABLE")," ", _xll.BDP($AX83,"FD114"))</f>
        <v xml:space="preserve"> </v>
      </c>
      <c r="AG83" s="22" t="str" cm="1">
        <f t="array" ref="AG83">IF(OR(_xll.BDP($AX83,"FD003")="#N/A N/A",_xll.BDP($AX83,"FD003")="#N/A FIELD NOT APPLICABLE")," ", _xll.BDP($AX83,"FD003"))</f>
        <v>22/06/2006</v>
      </c>
      <c r="AH83" s="32" cm="1">
        <f t="array" ref="AH83">IF(OR(_xll.BDP($AX83,"PR061")="#N/A N/A",_xll.BDP($AX83,"PR061")="#N/A FIELD NOT APPLICABLE")," ", _xll.BDP($AX83,"PR061")/100)</f>
        <v>-4.3516269999999996E-2</v>
      </c>
      <c r="AI83" s="25" cm="1">
        <f t="array" ref="AI83">IF(OR(_xll.BDP($AX83,"RT075")="#N/A N/A",_xll.BDP($AX83,"RT075")="#N/A FIELD NOT APPLICABLE")," ", _xll.BDP($AX83,"RT075")/100)</f>
        <v>-1.0666310000000002E-2</v>
      </c>
      <c r="AJ83" s="25" cm="1">
        <f t="array" ref="AJ83">IF(OR(_xll.BDP($AX83,"RT076")="#N/A N/A",_xll.BDP($AX83,"RT076")="#N/A FIELD NOT APPLICABLE")," ", _xll.BDP($AX83,"RT076")/100)</f>
        <v>0.1167729</v>
      </c>
      <c r="AK83" s="25" cm="1">
        <f t="array" ref="AK83">IF(OR(_xll.BDP($AX83,"FD252")="#N/A N/A",_xll.BDP($AX83,"FD252")="#N/A FIELD NOT APPLICABLE")," ", _xll.BDP($AX83,"FD252")/100)</f>
        <v>0</v>
      </c>
      <c r="AL83" s="25" cm="1">
        <f t="array" ref="AL83">IF(OR(_xll.BDP($AX83,"FD015")="#N/A N/A",_xll.BDP($AX83,"FD015")="#N/A FIELD NOT APPLICABLE")," ", _xll.BDP($AX83,"FD015")/100)</f>
        <v>3.4999999999999996E-3</v>
      </c>
      <c r="AM83" s="25" cm="1">
        <f t="array" ref="AM83">IF(OR(_xll.BDP($AX83,"FD138")="#N/A N/A",_xll.BDP($AX83,"FD138")="#N/A FIELD NOT APPLICABLE")," ", _xll.BDP($AX83,"FD138")/100)</f>
        <v>3.4999999999999996E-3</v>
      </c>
      <c r="AN83" s="36" cm="1">
        <f t="array" ref="AN83">IF(OR(_xll.BDP($AX83,"FD009")="#N/A N/A",_xll.BDP($AX83,"FD009")="#N/A FIELD NOT APPLICABLE")," ", _xll.BDP($AX83,"FD009")/100)</f>
        <v>0</v>
      </c>
      <c r="AO83" s="25" cm="1">
        <f t="array" ref="AO83">IF(OR(_xll.BDP($AX83,"RK512")="#N/A N/A",_xll.BDP($AX83,"RK512")="#N/A FIELD NOT APPLICABLE")," ", _xll.BDP($AX83,"RK512")/100)</f>
        <v>5.1252001523971556E-3</v>
      </c>
      <c r="AP83" s="25" cm="1">
        <f t="array" ref="AP83">IF(OR(_xll.BDP($AX83,"RK514")="#N/A N/A",_xll.BDP($AX83,"RK514")="#N/A FIELD NOT APPLICABLE")," ", _xll.BDP($AX83,"RK514")/100)</f>
        <v>4.9456900358200075E-3</v>
      </c>
      <c r="AQ83" s="25" cm="1">
        <f t="array" ref="AQ83">IF(OR(_xll.BDP($AX83,"RK521")="#N/A N/A",_xll.BDP($AX83,"RK521")="#N/A FIELD NOT APPLICABLE")," ", _xll.BDP($AX83,"RK521")/100)</f>
        <v>-4.5939099788665774E-3</v>
      </c>
      <c r="AR83" s="25" cm="1">
        <f t="array" ref="AR83">IF(OR(_xll.BDP($AX83,"RK525")="#N/A N/A",_xll.BDP($AX83,"RK525")="#N/A FIELD NOT APPLICABLE")," ", _xll.BDP($AX83,"RK525")/100)</f>
        <v>1.0008100271224975E-2</v>
      </c>
      <c r="AS83" s="25" cm="1">
        <f t="array" ref="AS83">IF(OR(_xll.BDP($AX83,"RK524")="#N/A N/A",_xll.BDP($AX83,"RK524")="#N/A FIELD NOT APPLICABLE")," ", _xll.BDP($AX83,"RK524")/100)</f>
        <v>-9.158000349998474E-5</v>
      </c>
      <c r="AT83" s="25" t="str" cm="1">
        <f t="array" ref="AT83">IF(OR(_xll.BDP($AX83,"FD183")="#N/A N/A",_xll.BDP($AX83,"FD183")="#N/A FIELD NOT APPLICABLE")," ", _xll.BDP($AX83,"FD183"))</f>
        <v>USD INC</v>
      </c>
      <c r="AU83" s="25" t="str" cm="1">
        <f t="array" ref="AU83">IF(OR(_xll.BDP($AX83,"DY997")="#N/A N/A",_xll.BDP($AX83,"DY997")="#N/A FIELD NOT APPLICABLE")," ", _xll.BDP($AX83,"DY997"))</f>
        <v xml:space="preserve"> </v>
      </c>
      <c r="AV83" s="25" t="str" cm="1">
        <f t="array" ref="AV83">IF(OR(_xll.BDP($AX83,"DY784")="#N/A N/A",_xll.BDP($AX83,"DY784")="#N/A FIELD NOT APPLICABLE")," ", _xll.BDP($AX83,"DY784"))</f>
        <v xml:space="preserve"> </v>
      </c>
      <c r="AW83" s="22" t="str">
        <f t="shared" si="22"/>
        <v>N</v>
      </c>
      <c r="AX83" s="22" t="str">
        <f t="shared" si="23"/>
        <v>KRE US Equity</v>
      </c>
      <c r="BC83" s="17" t="str" cm="1">
        <f t="array" ref="BC83">_xll.BDP(AX83,"ID005")</f>
        <v>US78464A6982</v>
      </c>
      <c r="BD83" s="17">
        <v>0.56999999999999995</v>
      </c>
      <c r="BE83" s="18">
        <v>5</v>
      </c>
      <c r="BF83" s="37">
        <v>44301</v>
      </c>
      <c r="BG83" s="20">
        <v>1.0000000000107532</v>
      </c>
    </row>
    <row r="84" spans="1:59" s="3" customFormat="1" ht="14.45" customHeight="1" x14ac:dyDescent="0.25">
      <c r="A84" s="49" t="s">
        <v>241</v>
      </c>
      <c r="B84" s="49" t="s">
        <v>253</v>
      </c>
      <c r="C84" s="49" t="s">
        <v>254</v>
      </c>
      <c r="D84" s="49" t="s">
        <v>240</v>
      </c>
      <c r="E84" s="22" t="str">
        <f>_xll.BDP(AX84,"SECURITY NAME")</f>
        <v>SPDR S&amp;P Regional Banking ETF</v>
      </c>
      <c r="F84" s="22" t="str">
        <f>_xll.BDP(AX84,"CRNCY")</f>
        <v>USD</v>
      </c>
      <c r="G84" s="23" t="s">
        <v>340</v>
      </c>
      <c r="H84" s="22" t="str" cm="1">
        <f t="array" ref="H84">IF(OR(_xll.BDP($AX84,"FD120")="#N/A N/A",_xll.BDP($AX84,"FD120")="#N/A FIELD NOT APPLICABLE")," ",_xll.BDP($AX84,"FD120"))</f>
        <v>U.S.</v>
      </c>
      <c r="I84" s="22" t="str" cm="1">
        <f t="array" ref="I84">IF(OR(_xll.BDP($AX84,"FD116")="#N/A N/A",_xll.BDP($AX84,"FD116")="#N/A FIELD NOT APPLICABLE")," ",_xll.BDP($AX84,"FD116"))</f>
        <v>Blend</v>
      </c>
      <c r="J84" s="22" t="str" cm="1">
        <f t="array" ref="J84">IF(OR(_xll.BDP($AX84,"FD133")="#N/A N/A",_xll.BDP($AX84,"FD133")="#N/A FIELD NOT APPLICABLE")," ", _xll.BDP($AX84,"FD133"))</f>
        <v>Financial</v>
      </c>
      <c r="K84" s="34">
        <f>_xll.BDP(AX84,"FUND_ASSETS_USD")/1000</f>
        <v>3.0820189653700001</v>
      </c>
      <c r="L84" s="25">
        <f>IFERROR(_xll.BDP(AX84, "DV013")/100,0)</f>
        <v>2.7638004006055251E-2</v>
      </c>
      <c r="M84" s="25" cm="1">
        <f t="array" ref="M84">IF(OR(_xll.BDP($AX84,"PR079")="#N/A N/A",_xll.BDP($AX84,"PR079")="#N/A FIELD NOT APPLICABLE")," ", _xll.BDP($AX84,"PR079")/100)</f>
        <v>-9.3123419999999998E-2</v>
      </c>
      <c r="N84" s="25" cm="1">
        <f t="array" ref="N84">IF(OR(_xll.BDP($AX84,"RT074")="#N/A N/A",_xll.BDP($AX84,"RT074")="#N/A FIELD NOT APPLICABLE")," ", _xll.BDP($AX84,"RT074")/100)</f>
        <v>0.16714500000000002</v>
      </c>
      <c r="O84" s="27">
        <v>541</v>
      </c>
      <c r="P84" s="28">
        <v>56.77</v>
      </c>
      <c r="Q84" s="22" cm="1">
        <f t="array" ref="Q84">IF(OR(_xll.BDP($AX84,"PX_last")="#N/A N/A",_xll.BDP($AX84,"PX_Last")="#N/A FIELD NOT APPLICABLE")," ",IF(F84="GBP",(_xll.BDP($AX84,"PX_LAST")),(_xll.BDP($AX84,"PX_LAST"))))</f>
        <v>54.73</v>
      </c>
      <c r="R84" s="29">
        <f>IF(F84="USD",AA84,(((_xll.BDP(F84&amp;"USD CURNCY","PX_LAST")))*AA84))</f>
        <v>30712.570000000003</v>
      </c>
      <c r="S84" s="29">
        <f>IF(F84="USD",AB84,(((_xll.BDP(F84&amp;"USD CURNCY","PX_LAST")))*AB84))</f>
        <v>29608.929999999997</v>
      </c>
      <c r="T84" s="12">
        <f t="shared" si="16"/>
        <v>-1103.6400000000067</v>
      </c>
      <c r="U84" s="13">
        <f t="shared" si="17"/>
        <v>-3.5934472432623078E-2</v>
      </c>
      <c r="V84" s="13" cm="1">
        <f t="array" ref="V84">IFERROR(_xll.BDP($G84&amp;" Equity","CHG_PCT_1D")/100,"")</f>
        <v>1.1084430000000001E-2</v>
      </c>
      <c r="W84" s="13" cm="1">
        <f t="array" ref="W84">IFERROR(_xll.BDP($G84&amp;" Equity","CHG_PCT_5D")/100,"")</f>
        <v>5.1423319999999995E-3</v>
      </c>
      <c r="X84" s="13" t="e">
        <f>S84/#REF!</f>
        <v>#REF!</v>
      </c>
      <c r="Y84" s="29">
        <f t="shared" si="18"/>
        <v>818.33172595500946</v>
      </c>
      <c r="Z84" s="29">
        <f t="shared" si="19"/>
        <v>29608.929999999997</v>
      </c>
      <c r="AA84" s="29">
        <f t="shared" si="20"/>
        <v>30712.570000000003</v>
      </c>
      <c r="AB84" s="29">
        <f t="shared" si="21"/>
        <v>29608.929999999997</v>
      </c>
      <c r="AC84" s="25" t="str" cm="1">
        <f t="array" ref="AC84">IF(OR(_xll.BDP($AX84,"EX028")="#N/A N/A",_xll.BDP($AX84,"EX028")="#N/A FIELD NOT APPLICABLE")," ", _xll.BDP($AX84,"EX028"))</f>
        <v>Fund</v>
      </c>
      <c r="AD84" s="35" t="str" cm="1">
        <f t="array" ref="AD84">IF(OR(_xll.BDP($AX84,"FD121")="#N/A N/A",_xll.BDP($AX84,"FD121")="#N/A FIELD NOT APPLICABLE")," ", _xll.BDP($AX84,"FD121"))</f>
        <v>Equity</v>
      </c>
      <c r="AE84" s="25" t="str" cm="1">
        <f t="array" ref="AE84">IF(OR(_xll.BDP($AX84,"FD118")="#N/A N/A",_xll.BDP($AX84,"FD118")="#N/A FIELD NOT APPLICABLE")," ", _xll.BDP($AX84,"FD118"))</f>
        <v>ETF</v>
      </c>
      <c r="AF84" s="22" t="str" cm="1">
        <f t="array" ref="AF84">IF(OR(_xll.BDP($AX84,"FD114")="#N/A N/A",_xll.BDP($AX84,"FD114")="#N/A FIELD NOT APPLICABLE")," ", _xll.BDP($AX84,"FD114"))</f>
        <v xml:space="preserve"> </v>
      </c>
      <c r="AG84" s="22" t="str" cm="1">
        <f t="array" ref="AG84">IF(OR(_xll.BDP($AX84,"FD003")="#N/A N/A",_xll.BDP($AX84,"FD003")="#N/A FIELD NOT APPLICABLE")," ", _xll.BDP($AX84,"FD003"))</f>
        <v>22/06/2006</v>
      </c>
      <c r="AH84" s="32" cm="1">
        <f t="array" ref="AH84">IF(OR(_xll.BDP($AX84,"PR061")="#N/A N/A",_xll.BDP($AX84,"PR061")="#N/A FIELD NOT APPLICABLE")," ", _xll.BDP($AX84,"PR061")/100)</f>
        <v>-4.3516269999999996E-2</v>
      </c>
      <c r="AI84" s="25" cm="1">
        <f t="array" ref="AI84">IF(OR(_xll.BDP($AX84,"RT075")="#N/A N/A",_xll.BDP($AX84,"RT075")="#N/A FIELD NOT APPLICABLE")," ", _xll.BDP($AX84,"RT075")/100)</f>
        <v>-1.0666310000000002E-2</v>
      </c>
      <c r="AJ84" s="25" cm="1">
        <f t="array" ref="AJ84">IF(OR(_xll.BDP($AX84,"RT076")="#N/A N/A",_xll.BDP($AX84,"RT076")="#N/A FIELD NOT APPLICABLE")," ", _xll.BDP($AX84,"RT076")/100)</f>
        <v>0.1167729</v>
      </c>
      <c r="AK84" s="25" cm="1">
        <f t="array" ref="AK84">IF(OR(_xll.BDP($AX84,"FD252")="#N/A N/A",_xll.BDP($AX84,"FD252")="#N/A FIELD NOT APPLICABLE")," ", _xll.BDP($AX84,"FD252")/100)</f>
        <v>0</v>
      </c>
      <c r="AL84" s="25" cm="1">
        <f t="array" ref="AL84">IF(OR(_xll.BDP($AX84,"FD015")="#N/A N/A",_xll.BDP($AX84,"FD015")="#N/A FIELD NOT APPLICABLE")," ", _xll.BDP($AX84,"FD015")/100)</f>
        <v>3.4999999999999996E-3</v>
      </c>
      <c r="AM84" s="25" cm="1">
        <f t="array" ref="AM84">IF(OR(_xll.BDP($AX84,"FD138")="#N/A N/A",_xll.BDP($AX84,"FD138")="#N/A FIELD NOT APPLICABLE")," ", _xll.BDP($AX84,"FD138")/100)</f>
        <v>3.4999999999999996E-3</v>
      </c>
      <c r="AN84" s="36" cm="1">
        <f t="array" ref="AN84">IF(OR(_xll.BDP($AX84,"FD009")="#N/A N/A",_xll.BDP($AX84,"FD009")="#N/A FIELD NOT APPLICABLE")," ", _xll.BDP($AX84,"FD009")/100)</f>
        <v>0</v>
      </c>
      <c r="AO84" s="25" cm="1">
        <f t="array" ref="AO84">IF(OR(_xll.BDP($AX84,"RK512")="#N/A N/A",_xll.BDP($AX84,"RK512")="#N/A FIELD NOT APPLICABLE")," ", _xll.BDP($AX84,"RK512")/100)</f>
        <v>5.1252001523971556E-3</v>
      </c>
      <c r="AP84" s="25" cm="1">
        <f t="array" ref="AP84">IF(OR(_xll.BDP($AX84,"RK514")="#N/A N/A",_xll.BDP($AX84,"RK514")="#N/A FIELD NOT APPLICABLE")," ", _xll.BDP($AX84,"RK514")/100)</f>
        <v>4.9456900358200075E-3</v>
      </c>
      <c r="AQ84" s="25" cm="1">
        <f t="array" ref="AQ84">IF(OR(_xll.BDP($AX84,"RK521")="#N/A N/A",_xll.BDP($AX84,"RK521")="#N/A FIELD NOT APPLICABLE")," ", _xll.BDP($AX84,"RK521")/100)</f>
        <v>-4.5939099788665774E-3</v>
      </c>
      <c r="AR84" s="25" cm="1">
        <f t="array" ref="AR84">IF(OR(_xll.BDP($AX84,"RK525")="#N/A N/A",_xll.BDP($AX84,"RK525")="#N/A FIELD NOT APPLICABLE")," ", _xll.BDP($AX84,"RK525")/100)</f>
        <v>1.0008100271224975E-2</v>
      </c>
      <c r="AS84" s="25" cm="1">
        <f t="array" ref="AS84">IF(OR(_xll.BDP($AX84,"RK524")="#N/A N/A",_xll.BDP($AX84,"RK524")="#N/A FIELD NOT APPLICABLE")," ", _xll.BDP($AX84,"RK524")/100)</f>
        <v>-9.158000349998474E-5</v>
      </c>
      <c r="AT84" s="25" t="str" cm="1">
        <f t="array" ref="AT84">IF(OR(_xll.BDP($AX84,"FD183")="#N/A N/A",_xll.BDP($AX84,"FD183")="#N/A FIELD NOT APPLICABLE")," ", _xll.BDP($AX84,"FD183"))</f>
        <v>USD INC</v>
      </c>
      <c r="AU84" s="25" t="str" cm="1">
        <f t="array" ref="AU84">IF(OR(_xll.BDP($AX84,"DY997")="#N/A N/A",_xll.BDP($AX84,"DY997")="#N/A FIELD NOT APPLICABLE")," ", _xll.BDP($AX84,"DY997"))</f>
        <v xml:space="preserve"> </v>
      </c>
      <c r="AV84" s="25" t="str" cm="1">
        <f t="array" ref="AV84">IF(OR(_xll.BDP($AX84,"DY784")="#N/A N/A",_xll.BDP($AX84,"DY784")="#N/A FIELD NOT APPLICABLE")," ", _xll.BDP($AX84,"DY784"))</f>
        <v xml:space="preserve"> </v>
      </c>
      <c r="AW84" s="22" t="str">
        <f t="shared" si="22"/>
        <v>N</v>
      </c>
      <c r="AX84" s="22" t="str">
        <f t="shared" si="23"/>
        <v>KRE US Equity</v>
      </c>
      <c r="BC84" s="17" t="str" cm="1">
        <f t="array" ref="BC84">_xll.BDP(AX84,"ID005")</f>
        <v>US78464A6982</v>
      </c>
      <c r="BD84" s="17">
        <v>0.75</v>
      </c>
      <c r="BE84" s="18">
        <v>5</v>
      </c>
      <c r="BF84" s="37">
        <v>45492</v>
      </c>
      <c r="BG84" s="20">
        <v>1.0000000000107532</v>
      </c>
    </row>
    <row r="85" spans="1:59" s="3" customFormat="1" ht="14.45" customHeight="1" x14ac:dyDescent="0.25">
      <c r="A85" s="49" t="s">
        <v>242</v>
      </c>
      <c r="B85" s="49" t="s">
        <v>255</v>
      </c>
      <c r="C85" s="49" t="s">
        <v>256</v>
      </c>
      <c r="D85" s="49" t="s">
        <v>248</v>
      </c>
      <c r="E85" s="22" t="str">
        <f>_xll.BDP(AX85,"SECURITY NAME")</f>
        <v>SPDR S&amp;P Regional Banking ETF</v>
      </c>
      <c r="F85" s="22" t="str">
        <f>_xll.BDP(AX85,"CRNCY")</f>
        <v>USD</v>
      </c>
      <c r="G85" s="23" t="s">
        <v>340</v>
      </c>
      <c r="H85" s="22" t="str" cm="1">
        <f t="array" ref="H85">IF(OR(_xll.BDP($AX85,"FD120")="#N/A N/A",_xll.BDP($AX85,"FD120")="#N/A FIELD NOT APPLICABLE")," ",_xll.BDP($AX85,"FD120"))</f>
        <v>U.S.</v>
      </c>
      <c r="I85" s="22" t="str" cm="1">
        <f t="array" ref="I85">IF(OR(_xll.BDP($AX85,"FD116")="#N/A N/A",_xll.BDP($AX85,"FD116")="#N/A FIELD NOT APPLICABLE")," ",_xll.BDP($AX85,"FD116"))</f>
        <v>Blend</v>
      </c>
      <c r="J85" s="22" t="str" cm="1">
        <f t="array" ref="J85">IF(OR(_xll.BDP($AX85,"FD133")="#N/A N/A",_xll.BDP($AX85,"FD133")="#N/A FIELD NOT APPLICABLE")," ", _xll.BDP($AX85,"FD133"))</f>
        <v>Financial</v>
      </c>
      <c r="K85" s="34">
        <f>_xll.BDP(AX85,"FUND_ASSETS_USD")/1000</f>
        <v>3.0820189653700001</v>
      </c>
      <c r="L85" s="25">
        <f>IFERROR(_xll.BDP(AX85, "DV013")/100,0)</f>
        <v>2.7638004006055251E-2</v>
      </c>
      <c r="M85" s="25" cm="1">
        <f t="array" ref="M85">IF(OR(_xll.BDP($AX85,"PR079")="#N/A N/A",_xll.BDP($AX85,"PR079")="#N/A FIELD NOT APPLICABLE")," ", _xll.BDP($AX85,"PR079")/100)</f>
        <v>-9.3123419999999998E-2</v>
      </c>
      <c r="N85" s="25" cm="1">
        <f t="array" ref="N85">IF(OR(_xll.BDP($AX85,"RT074")="#N/A N/A",_xll.BDP($AX85,"RT074")="#N/A FIELD NOT APPLICABLE")," ", _xll.BDP($AX85,"RT074")/100)</f>
        <v>0.16714500000000002</v>
      </c>
      <c r="O85" s="27">
        <v>2192</v>
      </c>
      <c r="P85" s="28">
        <v>56.98</v>
      </c>
      <c r="Q85" s="22" cm="1">
        <f t="array" ref="Q85">IF(OR(_xll.BDP($AX85,"PX_last")="#N/A N/A",_xll.BDP($AX85,"PX_Last")="#N/A FIELD NOT APPLICABLE")," ",IF(F85="GBP",(_xll.BDP($AX85,"PX_LAST")),(_xll.BDP($AX85,"PX_LAST"))))</f>
        <v>54.73</v>
      </c>
      <c r="R85" s="29">
        <f>IF(F85="USD",AA85,(((_xll.BDP(F85&amp;"USD CURNCY","PX_LAST")))*AA85))</f>
        <v>124900.15999999999</v>
      </c>
      <c r="S85" s="29">
        <f>IF(F85="USD",AB85,(((_xll.BDP(F85&amp;"USD CURNCY","PX_LAST")))*AB85))</f>
        <v>119968.15999999999</v>
      </c>
      <c r="T85" s="12">
        <f t="shared" si="16"/>
        <v>-4932</v>
      </c>
      <c r="U85" s="13">
        <f t="shared" si="17"/>
        <v>-3.948753948753949E-2</v>
      </c>
      <c r="V85" s="13" cm="1">
        <f t="array" ref="V85">IFERROR(_xll.BDP($G85&amp;" Equity","CHG_PCT_1D")/100,"")</f>
        <v>1.1084430000000001E-2</v>
      </c>
      <c r="W85" s="13" cm="1">
        <f t="array" ref="W85">IFERROR(_xll.BDP($G85&amp;" Equity","CHG_PCT_5D")/100,"")</f>
        <v>5.1423319999999995E-3</v>
      </c>
      <c r="X85" s="13" t="e">
        <f>S85/#REF!</f>
        <v>#REF!</v>
      </c>
      <c r="Y85" s="29">
        <f t="shared" si="18"/>
        <v>3315.6804866790771</v>
      </c>
      <c r="Z85" s="29">
        <f t="shared" si="19"/>
        <v>119968.15999999999</v>
      </c>
      <c r="AA85" s="29">
        <f t="shared" si="20"/>
        <v>124900.15999999999</v>
      </c>
      <c r="AB85" s="29">
        <f t="shared" si="21"/>
        <v>119968.15999999999</v>
      </c>
      <c r="AC85" s="25" t="str" cm="1">
        <f t="array" ref="AC85">IF(OR(_xll.BDP($AX85,"EX028")="#N/A N/A",_xll.BDP($AX85,"EX028")="#N/A FIELD NOT APPLICABLE")," ", _xll.BDP($AX85,"EX028"))</f>
        <v>Fund</v>
      </c>
      <c r="AD85" s="35" t="str" cm="1">
        <f t="array" ref="AD85">IF(OR(_xll.BDP($AX85,"FD121")="#N/A N/A",_xll.BDP($AX85,"FD121")="#N/A FIELD NOT APPLICABLE")," ", _xll.BDP($AX85,"FD121"))</f>
        <v>Equity</v>
      </c>
      <c r="AE85" s="25" t="str" cm="1">
        <f t="array" ref="AE85">IF(OR(_xll.BDP($AX85,"FD118")="#N/A N/A",_xll.BDP($AX85,"FD118")="#N/A FIELD NOT APPLICABLE")," ", _xll.BDP($AX85,"FD118"))</f>
        <v>ETF</v>
      </c>
      <c r="AF85" s="22" t="str" cm="1">
        <f t="array" ref="AF85">IF(OR(_xll.BDP($AX85,"FD114")="#N/A N/A",_xll.BDP($AX85,"FD114")="#N/A FIELD NOT APPLICABLE")," ", _xll.BDP($AX85,"FD114"))</f>
        <v xml:space="preserve"> </v>
      </c>
      <c r="AG85" s="22" t="str" cm="1">
        <f t="array" ref="AG85">IF(OR(_xll.BDP($AX85,"FD003")="#N/A N/A",_xll.BDP($AX85,"FD003")="#N/A FIELD NOT APPLICABLE")," ", _xll.BDP($AX85,"FD003"))</f>
        <v>22/06/2006</v>
      </c>
      <c r="AH85" s="32" cm="1">
        <f t="array" ref="AH85">IF(OR(_xll.BDP($AX85,"PR061")="#N/A N/A",_xll.BDP($AX85,"PR061")="#N/A FIELD NOT APPLICABLE")," ", _xll.BDP($AX85,"PR061")/100)</f>
        <v>-4.3516269999999996E-2</v>
      </c>
      <c r="AI85" s="25" cm="1">
        <f t="array" ref="AI85">IF(OR(_xll.BDP($AX85,"RT075")="#N/A N/A",_xll.BDP($AX85,"RT075")="#N/A FIELD NOT APPLICABLE")," ", _xll.BDP($AX85,"RT075")/100)</f>
        <v>-1.0666310000000002E-2</v>
      </c>
      <c r="AJ85" s="25" cm="1">
        <f t="array" ref="AJ85">IF(OR(_xll.BDP($AX85,"RT076")="#N/A N/A",_xll.BDP($AX85,"RT076")="#N/A FIELD NOT APPLICABLE")," ", _xll.BDP($AX85,"RT076")/100)</f>
        <v>0.1167729</v>
      </c>
      <c r="AK85" s="25" cm="1">
        <f t="array" ref="AK85">IF(OR(_xll.BDP($AX85,"FD252")="#N/A N/A",_xll.BDP($AX85,"FD252")="#N/A FIELD NOT APPLICABLE")," ", _xll.BDP($AX85,"FD252")/100)</f>
        <v>0</v>
      </c>
      <c r="AL85" s="25" cm="1">
        <f t="array" ref="AL85">IF(OR(_xll.BDP($AX85,"FD015")="#N/A N/A",_xll.BDP($AX85,"FD015")="#N/A FIELD NOT APPLICABLE")," ", _xll.BDP($AX85,"FD015")/100)</f>
        <v>3.4999999999999996E-3</v>
      </c>
      <c r="AM85" s="25" cm="1">
        <f t="array" ref="AM85">IF(OR(_xll.BDP($AX85,"FD138")="#N/A N/A",_xll.BDP($AX85,"FD138")="#N/A FIELD NOT APPLICABLE")," ", _xll.BDP($AX85,"FD138")/100)</f>
        <v>3.4999999999999996E-3</v>
      </c>
      <c r="AN85" s="36" cm="1">
        <f t="array" ref="AN85">IF(OR(_xll.BDP($AX85,"FD009")="#N/A N/A",_xll.BDP($AX85,"FD009")="#N/A FIELD NOT APPLICABLE")," ", _xll.BDP($AX85,"FD009")/100)</f>
        <v>0</v>
      </c>
      <c r="AO85" s="25" cm="1">
        <f t="array" ref="AO85">IF(OR(_xll.BDP($AX85,"RK512")="#N/A N/A",_xll.BDP($AX85,"RK512")="#N/A FIELD NOT APPLICABLE")," ", _xll.BDP($AX85,"RK512")/100)</f>
        <v>5.1252001523971556E-3</v>
      </c>
      <c r="AP85" s="25" cm="1">
        <f t="array" ref="AP85">IF(OR(_xll.BDP($AX85,"RK514")="#N/A N/A",_xll.BDP($AX85,"RK514")="#N/A FIELD NOT APPLICABLE")," ", _xll.BDP($AX85,"RK514")/100)</f>
        <v>4.9456900358200075E-3</v>
      </c>
      <c r="AQ85" s="25" cm="1">
        <f t="array" ref="AQ85">IF(OR(_xll.BDP($AX85,"RK521")="#N/A N/A",_xll.BDP($AX85,"RK521")="#N/A FIELD NOT APPLICABLE")," ", _xll.BDP($AX85,"RK521")/100)</f>
        <v>-4.5939099788665774E-3</v>
      </c>
      <c r="AR85" s="25" cm="1">
        <f t="array" ref="AR85">IF(OR(_xll.BDP($AX85,"RK525")="#N/A N/A",_xll.BDP($AX85,"RK525")="#N/A FIELD NOT APPLICABLE")," ", _xll.BDP($AX85,"RK525")/100)</f>
        <v>1.0008100271224975E-2</v>
      </c>
      <c r="AS85" s="25" cm="1">
        <f t="array" ref="AS85">IF(OR(_xll.BDP($AX85,"RK524")="#N/A N/A",_xll.BDP($AX85,"RK524")="#N/A FIELD NOT APPLICABLE")," ", _xll.BDP($AX85,"RK524")/100)</f>
        <v>-9.158000349998474E-5</v>
      </c>
      <c r="AT85" s="25" t="str" cm="1">
        <f t="array" ref="AT85">IF(OR(_xll.BDP($AX85,"FD183")="#N/A N/A",_xll.BDP($AX85,"FD183")="#N/A FIELD NOT APPLICABLE")," ", _xll.BDP($AX85,"FD183"))</f>
        <v>USD INC</v>
      </c>
      <c r="AU85" s="25" t="str" cm="1">
        <f t="array" ref="AU85">IF(OR(_xll.BDP($AX85,"DY997")="#N/A N/A",_xll.BDP($AX85,"DY997")="#N/A FIELD NOT APPLICABLE")," ", _xll.BDP($AX85,"DY997"))</f>
        <v xml:space="preserve"> </v>
      </c>
      <c r="AV85" s="25" t="str" cm="1">
        <f t="array" ref="AV85">IF(OR(_xll.BDP($AX85,"DY784")="#N/A N/A",_xll.BDP($AX85,"DY784")="#N/A FIELD NOT APPLICABLE")," ", _xll.BDP($AX85,"DY784"))</f>
        <v xml:space="preserve"> </v>
      </c>
      <c r="AW85" s="22" t="str">
        <f t="shared" si="22"/>
        <v>N</v>
      </c>
      <c r="AX85" s="22" t="str">
        <f t="shared" si="23"/>
        <v>KRE US Equity</v>
      </c>
      <c r="BC85" s="17" t="str" cm="1">
        <f t="array" ref="BC85">_xll.BDP(AX85,"ID005")</f>
        <v>US78464A6982</v>
      </c>
      <c r="BD85" s="17">
        <v>0.85</v>
      </c>
      <c r="BE85" s="18">
        <v>3</v>
      </c>
      <c r="BF85" s="37">
        <v>45510</v>
      </c>
      <c r="BG85" s="20"/>
    </row>
    <row r="86" spans="1:59" s="3" customFormat="1" ht="14.45" customHeight="1" x14ac:dyDescent="0.25">
      <c r="A86" s="49" t="s">
        <v>242</v>
      </c>
      <c r="B86" s="49" t="s">
        <v>332</v>
      </c>
      <c r="C86" s="72" t="s">
        <v>333</v>
      </c>
      <c r="D86" s="49" t="s">
        <v>248</v>
      </c>
      <c r="E86" s="22" t="str">
        <f>_xll.BDP(AX86,"SECURITY NAME")</f>
        <v>SPDR S&amp;P Regional Banking ETF</v>
      </c>
      <c r="F86" s="22" t="str">
        <f>_xll.BDP(AX86,"CRNCY")</f>
        <v>USD</v>
      </c>
      <c r="G86" s="23" t="s">
        <v>340</v>
      </c>
      <c r="H86" s="22" t="str" cm="1">
        <f t="array" ref="H86">IF(OR(_xll.BDP($AX86,"FD120")="#N/A N/A",_xll.BDP($AX86,"FD120")="#N/A FIELD NOT APPLICABLE")," ",_xll.BDP($AX86,"FD120"))</f>
        <v>U.S.</v>
      </c>
      <c r="I86" s="22" t="str" cm="1">
        <f t="array" ref="I86">IF(OR(_xll.BDP($AX86,"FD116")="#N/A N/A",_xll.BDP($AX86,"FD116")="#N/A FIELD NOT APPLICABLE")," ",_xll.BDP($AX86,"FD116"))</f>
        <v>Blend</v>
      </c>
      <c r="J86" s="22" t="str" cm="1">
        <f t="array" ref="J86">IF(OR(_xll.BDP($AX86,"FD133")="#N/A N/A",_xll.BDP($AX86,"FD133")="#N/A FIELD NOT APPLICABLE")," ", _xll.BDP($AX86,"FD133"))</f>
        <v>Financial</v>
      </c>
      <c r="K86" s="34">
        <f>_xll.BDP(AX86,"FUND_ASSETS_USD")/1000</f>
        <v>3.0820189653700001</v>
      </c>
      <c r="L86" s="25">
        <f>IFERROR(_xll.BDP(AX86, "DV013")/100,0)</f>
        <v>2.7638004006055251E-2</v>
      </c>
      <c r="M86" s="25" cm="1">
        <f t="array" ref="M86">IF(OR(_xll.BDP($AX86,"PR079")="#N/A N/A",_xll.BDP($AX86,"PR079")="#N/A FIELD NOT APPLICABLE")," ", _xll.BDP($AX86,"PR079")/100)</f>
        <v>-9.3123419999999998E-2</v>
      </c>
      <c r="N86" s="25" cm="1">
        <f t="array" ref="N86">IF(OR(_xll.BDP($AX86,"RT074")="#N/A N/A",_xll.BDP($AX86,"RT074")="#N/A FIELD NOT APPLICABLE")," ", _xll.BDP($AX86,"RT074")/100)</f>
        <v>0.16714500000000002</v>
      </c>
      <c r="O86" s="27">
        <v>1876</v>
      </c>
      <c r="P86" s="28">
        <v>57.87</v>
      </c>
      <c r="Q86" s="22" cm="1">
        <f t="array" ref="Q86">IF(OR(_xll.BDP($AX86,"PX_last")="#N/A N/A",_xll.BDP($AX86,"PX_Last")="#N/A FIELD NOT APPLICABLE")," ",IF(F86="GBP",(_xll.BDP($AX86,"PX_LAST")/100),(_xll.BDP($AX86,"PX_LAST"))))</f>
        <v>54.73</v>
      </c>
      <c r="R86" s="29">
        <f>IF(F86="USD",AA86,(((_xll.BDP(F86&amp;"USD CURNCY","PX_LAST")))*AA86))</f>
        <v>108564.12</v>
      </c>
      <c r="S86" s="29">
        <f>IF(F86="USD",AB86,(((_xll.BDP(F86&amp;"USD CURNCY","PX_LAST")))*AB86))</f>
        <v>102673.48</v>
      </c>
      <c r="T86" s="12">
        <f t="shared" si="16"/>
        <v>-5890.6399999999994</v>
      </c>
      <c r="U86" s="13">
        <f t="shared" si="17"/>
        <v>-5.4259547261102471E-2</v>
      </c>
      <c r="V86" s="13" cm="1">
        <f t="array" ref="V86">IFERROR(_xll.BDP($G86&amp;" Equity","CHG_PCT_1D")/100,"")</f>
        <v>1.1084430000000001E-2</v>
      </c>
      <c r="W86" s="13" cm="1">
        <f t="array" ref="W86">IFERROR(_xll.BDP($G86&amp;" Equity","CHG_PCT_5D")/100,"")</f>
        <v>5.1423319999999995E-3</v>
      </c>
      <c r="X86" s="13" t="e">
        <f>S86/$H$62</f>
        <v>#VALUE!</v>
      </c>
      <c r="Y86" s="29">
        <f t="shared" si="18"/>
        <v>2837.6900515556335</v>
      </c>
      <c r="Z86" s="29">
        <f t="shared" si="19"/>
        <v>102673.48</v>
      </c>
      <c r="AA86" s="29">
        <f t="shared" si="20"/>
        <v>108564.12</v>
      </c>
      <c r="AB86" s="29">
        <f t="shared" si="21"/>
        <v>102673.48</v>
      </c>
      <c r="AC86" s="25" t="str" cm="1">
        <f t="array" ref="AC86">IF(OR(_xll.BDP($AX86,"EX028")="#N/A N/A",_xll.BDP($AX86,"EX028")="#N/A FIELD NOT APPLICABLE")," ", _xll.BDP($AX86,"EX028"))</f>
        <v>Fund</v>
      </c>
      <c r="AD86" s="35" t="str" cm="1">
        <f t="array" ref="AD86">IF(OR(_xll.BDP($AX86,"FD121")="#N/A N/A",_xll.BDP($AX86,"FD121")="#N/A FIELD NOT APPLICABLE")," ", _xll.BDP($AX86,"FD121"))</f>
        <v>Equity</v>
      </c>
      <c r="AE86" s="25" t="str" cm="1">
        <f t="array" ref="AE86">IF(OR(_xll.BDP($AX86,"FD118")="#N/A N/A",_xll.BDP($AX86,"FD118")="#N/A FIELD NOT APPLICABLE")," ", _xll.BDP($AX86,"FD118"))</f>
        <v>ETF</v>
      </c>
      <c r="AF86" s="22" t="str" cm="1">
        <f t="array" ref="AF86">IF(OR(_xll.BDP($AX86,"FD114")="#N/A N/A",_xll.BDP($AX86,"FD114")="#N/A FIELD NOT APPLICABLE")," ", _xll.BDP($AX86,"FD114"))</f>
        <v xml:space="preserve"> </v>
      </c>
      <c r="AG86" s="22" t="str" cm="1">
        <f t="array" ref="AG86">IF(OR(_xll.BDP($AX86,"FD003")="#N/A N/A",_xll.BDP($AX86,"FD003")="#N/A FIELD NOT APPLICABLE")," ", _xll.BDP($AX86,"FD003"))</f>
        <v>22/06/2006</v>
      </c>
      <c r="AH86" s="32" cm="1">
        <f t="array" ref="AH86">IF(OR(_xll.BDP($AX86,"PR061")="#N/A N/A",_xll.BDP($AX86,"PR061")="#N/A FIELD NOT APPLICABLE")," ", _xll.BDP($AX86,"PR061")/100)</f>
        <v>-4.3516269999999996E-2</v>
      </c>
      <c r="AI86" s="25" cm="1">
        <f t="array" ref="AI86">IF(OR(_xll.BDP($AX86,"RT075")="#N/A N/A",_xll.BDP($AX86,"RT075")="#N/A FIELD NOT APPLICABLE")," ", _xll.BDP($AX86,"RT075")/100)</f>
        <v>-1.0666310000000002E-2</v>
      </c>
      <c r="AJ86" s="25" cm="1">
        <f t="array" ref="AJ86">IF(OR(_xll.BDP($AX86,"RT076")="#N/A N/A",_xll.BDP($AX86,"RT076")="#N/A FIELD NOT APPLICABLE")," ", _xll.BDP($AX86,"RT076")/100)</f>
        <v>0.1167729</v>
      </c>
      <c r="AK86" s="25" cm="1">
        <f t="array" ref="AK86">IF(OR(_xll.BDP($AX86,"FD252")="#N/A N/A",_xll.BDP($AX86,"FD252")="#N/A FIELD NOT APPLICABLE")," ", _xll.BDP($AX86,"FD252")/100)</f>
        <v>0</v>
      </c>
      <c r="AL86" s="25" cm="1">
        <f t="array" ref="AL86">IF(OR(_xll.BDP($AX86,"FD015")="#N/A N/A",_xll.BDP($AX86,"FD015")="#N/A FIELD NOT APPLICABLE")," ", _xll.BDP($AX86,"FD015")/100)</f>
        <v>3.4999999999999996E-3</v>
      </c>
      <c r="AM86" s="25" cm="1">
        <f t="array" ref="AM86">IF(OR(_xll.BDP($AX86,"FD138")="#N/A N/A",_xll.BDP($AX86,"FD138")="#N/A FIELD NOT APPLICABLE")," ", _xll.BDP($AX86,"FD138")/100)</f>
        <v>3.4999999999999996E-3</v>
      </c>
      <c r="AN86" s="36" cm="1">
        <f t="array" ref="AN86">IF(OR(_xll.BDP($AX86,"FD009")="#N/A N/A",_xll.BDP($AX86,"FD009")="#N/A FIELD NOT APPLICABLE")," ", _xll.BDP($AX86,"FD009")/100)</f>
        <v>0</v>
      </c>
      <c r="AO86" s="25" cm="1">
        <f t="array" ref="AO86">IF(OR(_xll.BDP($AX86,"RK512")="#N/A N/A",_xll.BDP($AX86,"RK512")="#N/A FIELD NOT APPLICABLE")," ", _xll.BDP($AX86,"RK512")/100)</f>
        <v>5.1252001523971556E-3</v>
      </c>
      <c r="AP86" s="25" cm="1">
        <f t="array" ref="AP86">IF(OR(_xll.BDP($AX86,"RK514")="#N/A N/A",_xll.BDP($AX86,"RK514")="#N/A FIELD NOT APPLICABLE")," ", _xll.BDP($AX86,"RK514")/100)</f>
        <v>4.9456900358200075E-3</v>
      </c>
      <c r="AQ86" s="25" cm="1">
        <f t="array" ref="AQ86">IF(OR(_xll.BDP($AX86,"RK521")="#N/A N/A",_xll.BDP($AX86,"RK521")="#N/A FIELD NOT APPLICABLE")," ", _xll.BDP($AX86,"RK521")/100)</f>
        <v>-4.5939099788665774E-3</v>
      </c>
      <c r="AR86" s="25" cm="1">
        <f t="array" ref="AR86">IF(OR(_xll.BDP($AX86,"RK525")="#N/A N/A",_xll.BDP($AX86,"RK525")="#N/A FIELD NOT APPLICABLE")," ", _xll.BDP($AX86,"RK525")/100)</f>
        <v>1.0008100271224975E-2</v>
      </c>
      <c r="AS86" s="25" cm="1">
        <f t="array" ref="AS86">IF(OR(_xll.BDP($AX86,"RK524")="#N/A N/A",_xll.BDP($AX86,"RK524")="#N/A FIELD NOT APPLICABLE")," ", _xll.BDP($AX86,"RK524")/100)</f>
        <v>-9.158000349998474E-5</v>
      </c>
      <c r="AT86" s="25" t="str" cm="1">
        <f t="array" ref="AT86">IF(OR(_xll.BDP($AX86,"FD183")="#N/A N/A",_xll.BDP($AX86,"FD183")="#N/A FIELD NOT APPLICABLE")," ", _xll.BDP($AX86,"FD183"))</f>
        <v>USD INC</v>
      </c>
      <c r="AU86" s="25" t="str" cm="1">
        <f t="array" ref="AU86">IF(OR(_xll.BDP($AX86,"DY997")="#N/A N/A",_xll.BDP($AX86,"DY997")="#N/A FIELD NOT APPLICABLE")," ", _xll.BDP($AX86,"DY997"))</f>
        <v xml:space="preserve"> </v>
      </c>
      <c r="AV86" s="25" t="str" cm="1">
        <f t="array" ref="AV86">IF(OR(_xll.BDP($AX86,"DY784")="#N/A N/A",_xll.BDP($AX86,"DY784")="#N/A FIELD NOT APPLICABLE")," ", _xll.BDP($AX86,"DY784"))</f>
        <v xml:space="preserve"> </v>
      </c>
      <c r="AW86" s="22" t="str">
        <f t="shared" si="22"/>
        <v>N</v>
      </c>
      <c r="AX86" s="22" t="str">
        <f t="shared" si="23"/>
        <v>KRE US Equity</v>
      </c>
      <c r="BC86" s="17" t="str" cm="1">
        <f t="array" ref="BC86">_xll.BDP(AX86,"ID005")</f>
        <v>US78464A6982</v>
      </c>
      <c r="BD86" s="17">
        <v>0.73</v>
      </c>
      <c r="BE86" s="18">
        <v>5</v>
      </c>
      <c r="BF86" s="37"/>
      <c r="BG86" s="20"/>
    </row>
    <row r="87" spans="1:59" s="3" customFormat="1" ht="14.45" customHeight="1" x14ac:dyDescent="0.25">
      <c r="A87" s="49" t="s">
        <v>242</v>
      </c>
      <c r="B87" s="49" t="s">
        <v>260</v>
      </c>
      <c r="C87" s="49" t="s">
        <v>261</v>
      </c>
      <c r="D87" s="49" t="s">
        <v>248</v>
      </c>
      <c r="E87" s="22" t="str">
        <f>_xll.BDP(AX87,"SECURITY NAME")</f>
        <v>SPDR S&amp;P Regional Banking ETF</v>
      </c>
      <c r="F87" s="22" t="str">
        <f>_xll.BDP(AX87,"CRNCY")</f>
        <v>USD</v>
      </c>
      <c r="G87" s="73" t="s">
        <v>340</v>
      </c>
      <c r="H87" s="22" t="str" cm="1">
        <f t="array" ref="H87">IF(OR(_xll.BDP($AX87,"FD120")="#N/A N/A",_xll.BDP($AX87,"FD120")="#N/A FIELD NOT APPLICABLE")," ",_xll.BDP($AX87,"FD120"))</f>
        <v>U.S.</v>
      </c>
      <c r="I87" s="22" t="str" cm="1">
        <f t="array" ref="I87">IF(OR(_xll.BDP($AX87,"FD116")="#N/A N/A",_xll.BDP($AX87,"FD116")="#N/A FIELD NOT APPLICABLE")," ",_xll.BDP($AX87,"FD116"))</f>
        <v>Blend</v>
      </c>
      <c r="J87" s="22" t="str" cm="1">
        <f t="array" ref="J87">IF(OR(_xll.BDP($AX87,"FD133")="#N/A N/A",_xll.BDP($AX87,"FD133")="#N/A FIELD NOT APPLICABLE")," ", _xll.BDP($AX87,"FD133"))</f>
        <v>Financial</v>
      </c>
      <c r="K87" s="34">
        <f>_xll.BDP(AX87,"FUND_ASSETS_USD")/1000</f>
        <v>3.0820189653700001</v>
      </c>
      <c r="L87" s="25">
        <f>IFERROR(_xll.BDP(AX87, "DV013")/100,0)</f>
        <v>2.7638004006055251E-2</v>
      </c>
      <c r="M87" s="25" cm="1">
        <f t="array" ref="M87">IF(OR(_xll.BDP($AX87,"PR079")="#N/A N/A",_xll.BDP($AX87,"PR079")="#N/A FIELD NOT APPLICABLE")," ", _xll.BDP($AX87,"PR079")/100)</f>
        <v>-9.3123419999999998E-2</v>
      </c>
      <c r="N87" s="25" cm="1">
        <f t="array" ref="N87">IF(OR(_xll.BDP($AX87,"RT074")="#N/A N/A",_xll.BDP($AX87,"RT074")="#N/A FIELD NOT APPLICABLE")," ", _xll.BDP($AX87,"RT074")/100)</f>
        <v>0.16714500000000002</v>
      </c>
      <c r="O87" s="74">
        <v>1628</v>
      </c>
      <c r="P87" s="75">
        <v>57.01</v>
      </c>
      <c r="Q87" s="22" cm="1">
        <f t="array" ref="Q87">IF(OR(_xll.BDP($AX87,"PX_last")="#N/A N/A",_xll.BDP($AX87,"PX_Last")="#N/A FIELD NOT APPLICABLE")," ",IF(F87="GBP",(_xll.BDP($AX87,"PX_LAST")),(_xll.BDP($AX87,"PX_LAST"))))</f>
        <v>54.73</v>
      </c>
      <c r="R87" s="29">
        <f>IF(F87="USD",AA87,(((_xll.BDP(F87&amp;"USD CURNCY","PX_LAST")))*AA87))</f>
        <v>92812.28</v>
      </c>
      <c r="S87" s="29">
        <f>IF(F87="USD",AB87,(((_xll.BDP(F87&amp;"USD CURNCY","PX_LAST")))*AB87))</f>
        <v>89100.439999999988</v>
      </c>
      <c r="T87" s="12">
        <f t="shared" si="16"/>
        <v>-3711.8400000000111</v>
      </c>
      <c r="U87" s="13">
        <f t="shared" si="17"/>
        <v>-3.9992983687072561E-2</v>
      </c>
      <c r="V87" s="13" cm="1">
        <f t="array" ref="V87">IFERROR(_xll.BDP($G87&amp;" Equity","CHG_PCT_1D")/100,"")</f>
        <v>1.1084430000000001E-2</v>
      </c>
      <c r="W87" s="13" cm="1">
        <f t="array" ref="W87">IFERROR(_xll.BDP($G87&amp;" Equity","CHG_PCT_5D")/100,"")</f>
        <v>5.1423319999999995E-3</v>
      </c>
      <c r="X87" s="13" t="e">
        <f>S87/#REF!</f>
        <v>#REF!</v>
      </c>
      <c r="Y87" s="29">
        <f t="shared" si="18"/>
        <v>2462.5583176612849</v>
      </c>
      <c r="Z87" s="29">
        <f t="shared" si="19"/>
        <v>89100.439999999988</v>
      </c>
      <c r="AA87" s="29">
        <f t="shared" si="20"/>
        <v>92812.28</v>
      </c>
      <c r="AB87" s="29">
        <f t="shared" si="21"/>
        <v>89100.439999999988</v>
      </c>
      <c r="AC87" s="25" t="str" cm="1">
        <f t="array" ref="AC87">IF(OR(_xll.BDP($AX87,"EX028")="#N/A N/A",_xll.BDP($AX87,"EX028")="#N/A FIELD NOT APPLICABLE")," ", _xll.BDP($AX87,"EX028"))</f>
        <v>Fund</v>
      </c>
      <c r="AD87" s="35" t="str" cm="1">
        <f t="array" ref="AD87">IF(OR(_xll.BDP($AX87,"FD121")="#N/A N/A",_xll.BDP($AX87,"FD121")="#N/A FIELD NOT APPLICABLE")," ", _xll.BDP($AX87,"FD121"))</f>
        <v>Equity</v>
      </c>
      <c r="AE87" s="25" t="str" cm="1">
        <f t="array" ref="AE87">IF(OR(_xll.BDP($AX87,"FD118")="#N/A N/A",_xll.BDP($AX87,"FD118")="#N/A FIELD NOT APPLICABLE")," ", _xll.BDP($AX87,"FD118"))</f>
        <v>ETF</v>
      </c>
      <c r="AF87" s="22" t="str" cm="1">
        <f t="array" ref="AF87">IF(OR(_xll.BDP($AX87,"FD114")="#N/A N/A",_xll.BDP($AX87,"FD114")="#N/A FIELD NOT APPLICABLE")," ", _xll.BDP($AX87,"FD114"))</f>
        <v xml:space="preserve"> </v>
      </c>
      <c r="AG87" s="22" t="str" cm="1">
        <f t="array" ref="AG87">IF(OR(_xll.BDP($AX87,"FD003")="#N/A N/A",_xll.BDP($AX87,"FD003")="#N/A FIELD NOT APPLICABLE")," ", _xll.BDP($AX87,"FD003"))</f>
        <v>22/06/2006</v>
      </c>
      <c r="AH87" s="32" cm="1">
        <f t="array" ref="AH87">IF(OR(_xll.BDP($AX87,"PR061")="#N/A N/A",_xll.BDP($AX87,"PR061")="#N/A FIELD NOT APPLICABLE")," ", _xll.BDP($AX87,"PR061")/100)</f>
        <v>-4.3516269999999996E-2</v>
      </c>
      <c r="AI87" s="25" cm="1">
        <f t="array" ref="AI87">IF(OR(_xll.BDP($AX87,"RT075")="#N/A N/A",_xll.BDP($AX87,"RT075")="#N/A FIELD NOT APPLICABLE")," ", _xll.BDP($AX87,"RT075")/100)</f>
        <v>-1.0666310000000002E-2</v>
      </c>
      <c r="AJ87" s="25" cm="1">
        <f t="array" ref="AJ87">IF(OR(_xll.BDP($AX87,"RT076")="#N/A N/A",_xll.BDP($AX87,"RT076")="#N/A FIELD NOT APPLICABLE")," ", _xll.BDP($AX87,"RT076")/100)</f>
        <v>0.1167729</v>
      </c>
      <c r="AK87" s="25" cm="1">
        <f t="array" ref="AK87">IF(OR(_xll.BDP($AX87,"FD252")="#N/A N/A",_xll.BDP($AX87,"FD252")="#N/A FIELD NOT APPLICABLE")," ", _xll.BDP($AX87,"FD252")/100)</f>
        <v>0</v>
      </c>
      <c r="AL87" s="25" cm="1">
        <f t="array" ref="AL87">IF(OR(_xll.BDP($AX87,"FD015")="#N/A N/A",_xll.BDP($AX87,"FD015")="#N/A FIELD NOT APPLICABLE")," ", _xll.BDP($AX87,"FD015")/100)</f>
        <v>3.4999999999999996E-3</v>
      </c>
      <c r="AM87" s="25" cm="1">
        <f t="array" ref="AM87">IF(OR(_xll.BDP($AX87,"FD138")="#N/A N/A",_xll.BDP($AX87,"FD138")="#N/A FIELD NOT APPLICABLE")," ", _xll.BDP($AX87,"FD138")/100)</f>
        <v>3.4999999999999996E-3</v>
      </c>
      <c r="AN87" s="36" cm="1">
        <f t="array" ref="AN87">IF(OR(_xll.BDP($AX87,"FD009")="#N/A N/A",_xll.BDP($AX87,"FD009")="#N/A FIELD NOT APPLICABLE")," ", _xll.BDP($AX87,"FD009")/100)</f>
        <v>0</v>
      </c>
      <c r="AO87" s="25" cm="1">
        <f t="array" ref="AO87">IF(OR(_xll.BDP($AX87,"RK512")="#N/A N/A",_xll.BDP($AX87,"RK512")="#N/A FIELD NOT APPLICABLE")," ", _xll.BDP($AX87,"RK512")/100)</f>
        <v>5.1252001523971556E-3</v>
      </c>
      <c r="AP87" s="25" cm="1">
        <f t="array" ref="AP87">IF(OR(_xll.BDP($AX87,"RK514")="#N/A N/A",_xll.BDP($AX87,"RK514")="#N/A FIELD NOT APPLICABLE")," ", _xll.BDP($AX87,"RK514")/100)</f>
        <v>4.9456900358200075E-3</v>
      </c>
      <c r="AQ87" s="25" cm="1">
        <f t="array" ref="AQ87">IF(OR(_xll.BDP($AX87,"RK521")="#N/A N/A",_xll.BDP($AX87,"RK521")="#N/A FIELD NOT APPLICABLE")," ", _xll.BDP($AX87,"RK521")/100)</f>
        <v>-4.5939099788665774E-3</v>
      </c>
      <c r="AR87" s="25" cm="1">
        <f t="array" ref="AR87">IF(OR(_xll.BDP($AX87,"RK525")="#N/A N/A",_xll.BDP($AX87,"RK525")="#N/A FIELD NOT APPLICABLE")," ", _xll.BDP($AX87,"RK525")/100)</f>
        <v>1.0008100271224975E-2</v>
      </c>
      <c r="AS87" s="25" cm="1">
        <f t="array" ref="AS87">IF(OR(_xll.BDP($AX87,"RK524")="#N/A N/A",_xll.BDP($AX87,"RK524")="#N/A FIELD NOT APPLICABLE")," ", _xll.BDP($AX87,"RK524")/100)</f>
        <v>-9.158000349998474E-5</v>
      </c>
      <c r="AT87" s="25" t="str" cm="1">
        <f t="array" ref="AT87">IF(OR(_xll.BDP($AX87,"FD183")="#N/A N/A",_xll.BDP($AX87,"FD183")="#N/A FIELD NOT APPLICABLE")," ", _xll.BDP($AX87,"FD183"))</f>
        <v>USD INC</v>
      </c>
      <c r="AU87" s="25" t="str" cm="1">
        <f t="array" ref="AU87">IF(OR(_xll.BDP($AX87,"DY997")="#N/A N/A",_xll.BDP($AX87,"DY997")="#N/A FIELD NOT APPLICABLE")," ", _xll.BDP($AX87,"DY997"))</f>
        <v xml:space="preserve"> </v>
      </c>
      <c r="AV87" s="25" t="str" cm="1">
        <f t="array" ref="AV87">IF(OR(_xll.BDP($AX87,"DY784")="#N/A N/A",_xll.BDP($AX87,"DY784")="#N/A FIELD NOT APPLICABLE")," ", _xll.BDP($AX87,"DY784"))</f>
        <v xml:space="preserve"> </v>
      </c>
      <c r="AW87" s="22" t="str">
        <f t="shared" si="22"/>
        <v>N</v>
      </c>
      <c r="AX87" s="22" t="str">
        <f t="shared" si="23"/>
        <v>KRE US Equity</v>
      </c>
      <c r="BC87" s="17" t="str">
        <f>_xll.BDP(AX87, "ID_ISIN")</f>
        <v>US78464A6982</v>
      </c>
      <c r="BD87" s="17"/>
      <c r="BE87" s="18">
        <v>5</v>
      </c>
      <c r="BF87" s="37"/>
      <c r="BG87" s="20">
        <v>1.0000000000107532</v>
      </c>
    </row>
    <row r="88" spans="1:59" s="3" customFormat="1" ht="14.45" customHeight="1" x14ac:dyDescent="0.25">
      <c r="A88" s="49" t="s">
        <v>242</v>
      </c>
      <c r="B88" s="49" t="s">
        <v>264</v>
      </c>
      <c r="C88" s="49" t="s">
        <v>265</v>
      </c>
      <c r="D88" s="49" t="s">
        <v>248</v>
      </c>
      <c r="E88" s="22" t="str">
        <f>_xll.BDP(AX88,"SECURITY NAME")</f>
        <v>SPDR S&amp;P Regional Banking ETF</v>
      </c>
      <c r="F88" s="22" t="str">
        <f>_xll.BDP(AX88,"CRNCY")</f>
        <v>USD</v>
      </c>
      <c r="G88" s="23" t="s">
        <v>340</v>
      </c>
      <c r="H88" s="22" t="str" cm="1">
        <f t="array" ref="H88">IF(OR(_xll.BDP($AX88,"FD120")="#N/A N/A",_xll.BDP($AX88,"FD120")="#N/A FIELD NOT APPLICABLE")," ",_xll.BDP($AX88,"FD120"))</f>
        <v>U.S.</v>
      </c>
      <c r="I88" s="22" t="str" cm="1">
        <f t="array" ref="I88">IF(OR(_xll.BDP($AX88,"FD116")="#N/A N/A",_xll.BDP($AX88,"FD116")="#N/A FIELD NOT APPLICABLE")," ",_xll.BDP($AX88,"FD116"))</f>
        <v>Blend</v>
      </c>
      <c r="J88" s="22" t="str" cm="1">
        <f t="array" ref="J88">IF(OR(_xll.BDP($AX88,"FD133")="#N/A N/A",_xll.BDP($AX88,"FD133")="#N/A FIELD NOT APPLICABLE")," ", _xll.BDP($AX88,"FD133"))</f>
        <v>Financial</v>
      </c>
      <c r="K88" s="34">
        <f>_xll.BDP(AX88,"FUND_ASSETS_USD")/1000</f>
        <v>3.0820189653700001</v>
      </c>
      <c r="L88" s="25">
        <f>IFERROR(_xll.BDP(AX88, "DV013")/100,0)</f>
        <v>2.7638004006055251E-2</v>
      </c>
      <c r="M88" s="25" cm="1">
        <f t="array" ref="M88">IF(OR(_xll.BDP($AX88,"PR079")="#N/A N/A",_xll.BDP($AX88,"PR079")="#N/A FIELD NOT APPLICABLE")," ", _xll.BDP($AX88,"PR079")/100)</f>
        <v>-9.3123419999999998E-2</v>
      </c>
      <c r="N88" s="25" cm="1">
        <f t="array" ref="N88">IF(OR(_xll.BDP($AX88,"RT074")="#N/A N/A",_xll.BDP($AX88,"RT074")="#N/A FIELD NOT APPLICABLE")," ", _xll.BDP($AX88,"RT074")/100)</f>
        <v>0.16714500000000002</v>
      </c>
      <c r="O88" s="27">
        <v>3019</v>
      </c>
      <c r="P88" s="28">
        <v>56.96</v>
      </c>
      <c r="Q88" s="22" cm="1">
        <f t="array" ref="Q88">IF(OR(_xll.BDP($AX88,"PX_last")="#N/A N/A",_xll.BDP($AX88,"PX_Last")="#N/A FIELD NOT APPLICABLE")," ",IF(F88="GBP",(_xll.BDP($AX88,"PX_LAST")),(_xll.BDP($AX88,"PX_LAST"))))</f>
        <v>54.73</v>
      </c>
      <c r="R88" s="29">
        <f>IF(F88="USD",AA88,(((_xll.BDP(F88&amp;"USD CURNCY","PX_LAST")))*AA88))</f>
        <v>171962.23999999999</v>
      </c>
      <c r="S88" s="29">
        <f>IF(F88="USD",AB88,(((_xll.BDP(F88&amp;"USD CURNCY","PX_LAST")))*AB88))</f>
        <v>165229.87</v>
      </c>
      <c r="T88" s="12">
        <f t="shared" si="16"/>
        <v>-6732.3699999999953</v>
      </c>
      <c r="U88" s="13">
        <f t="shared" si="17"/>
        <v>-3.9150280898876379E-2</v>
      </c>
      <c r="V88" s="13" cm="1">
        <f t="array" ref="V88">IFERROR(_xll.BDP($G88&amp;" Equity","CHG_PCT_1D")/100,"")</f>
        <v>1.1084430000000001E-2</v>
      </c>
      <c r="W88" s="13" cm="1">
        <f t="array" ref="W88">IFERROR(_xll.BDP($G88&amp;" Equity","CHG_PCT_5D")/100,"")</f>
        <v>5.1423319999999995E-3</v>
      </c>
      <c r="X88" s="13" t="e">
        <f>S88/#REF!</f>
        <v>#REF!</v>
      </c>
      <c r="Y88" s="29">
        <f t="shared" si="18"/>
        <v>4566.6238089799881</v>
      </c>
      <c r="Z88" s="29">
        <f t="shared" si="19"/>
        <v>165229.87</v>
      </c>
      <c r="AA88" s="29">
        <f t="shared" si="20"/>
        <v>171962.23999999999</v>
      </c>
      <c r="AB88" s="29">
        <f t="shared" si="21"/>
        <v>165229.87</v>
      </c>
      <c r="AC88" s="25" t="str" cm="1">
        <f t="array" ref="AC88">IF(OR(_xll.BDP($AX88,"EX028")="#N/A N/A",_xll.BDP($AX88,"EX028")="#N/A FIELD NOT APPLICABLE")," ", _xll.BDP($AX88,"EX028"))</f>
        <v>Fund</v>
      </c>
      <c r="AD88" s="35" t="str" cm="1">
        <f t="array" ref="AD88">IF(OR(_xll.BDP($AX88,"FD121")="#N/A N/A",_xll.BDP($AX88,"FD121")="#N/A FIELD NOT APPLICABLE")," ", _xll.BDP($AX88,"FD121"))</f>
        <v>Equity</v>
      </c>
      <c r="AE88" s="25" t="str" cm="1">
        <f t="array" ref="AE88">IF(OR(_xll.BDP($AX88,"FD118")="#N/A N/A",_xll.BDP($AX88,"FD118")="#N/A FIELD NOT APPLICABLE")," ", _xll.BDP($AX88,"FD118"))</f>
        <v>ETF</v>
      </c>
      <c r="AF88" s="22" t="str" cm="1">
        <f t="array" ref="AF88">IF(OR(_xll.BDP($AX88,"FD114")="#N/A N/A",_xll.BDP($AX88,"FD114")="#N/A FIELD NOT APPLICABLE")," ", _xll.BDP($AX88,"FD114"))</f>
        <v xml:space="preserve"> </v>
      </c>
      <c r="AG88" s="22" t="str" cm="1">
        <f t="array" ref="AG88">IF(OR(_xll.BDP($AX88,"FD003")="#N/A N/A",_xll.BDP($AX88,"FD003")="#N/A FIELD NOT APPLICABLE")," ", _xll.BDP($AX88,"FD003"))</f>
        <v>22/06/2006</v>
      </c>
      <c r="AH88" s="32" cm="1">
        <f t="array" ref="AH88">IF(OR(_xll.BDP($AX88,"PR061")="#N/A N/A",_xll.BDP($AX88,"PR061")="#N/A FIELD NOT APPLICABLE")," ", _xll.BDP($AX88,"PR061")/100)</f>
        <v>-4.3516269999999996E-2</v>
      </c>
      <c r="AI88" s="25" cm="1">
        <f t="array" ref="AI88">IF(OR(_xll.BDP($AX88,"RT075")="#N/A N/A",_xll.BDP($AX88,"RT075")="#N/A FIELD NOT APPLICABLE")," ", _xll.BDP($AX88,"RT075")/100)</f>
        <v>-1.0666310000000002E-2</v>
      </c>
      <c r="AJ88" s="25" cm="1">
        <f t="array" ref="AJ88">IF(OR(_xll.BDP($AX88,"RT076")="#N/A N/A",_xll.BDP($AX88,"RT076")="#N/A FIELD NOT APPLICABLE")," ", _xll.BDP($AX88,"RT076")/100)</f>
        <v>0.1167729</v>
      </c>
      <c r="AK88" s="25" cm="1">
        <f t="array" ref="AK88">IF(OR(_xll.BDP($AX88,"FD252")="#N/A N/A",_xll.BDP($AX88,"FD252")="#N/A FIELD NOT APPLICABLE")," ", _xll.BDP($AX88,"FD252")/100)</f>
        <v>0</v>
      </c>
      <c r="AL88" s="25" cm="1">
        <f t="array" ref="AL88">IF(OR(_xll.BDP($AX88,"FD015")="#N/A N/A",_xll.BDP($AX88,"FD015")="#N/A FIELD NOT APPLICABLE")," ", _xll.BDP($AX88,"FD015")/100)</f>
        <v>3.4999999999999996E-3</v>
      </c>
      <c r="AM88" s="25" cm="1">
        <f t="array" ref="AM88">IF(OR(_xll.BDP($AX88,"FD138")="#N/A N/A",_xll.BDP($AX88,"FD138")="#N/A FIELD NOT APPLICABLE")," ", _xll.BDP($AX88,"FD138")/100)</f>
        <v>3.4999999999999996E-3</v>
      </c>
      <c r="AN88" s="36" cm="1">
        <f t="array" ref="AN88">IF(OR(_xll.BDP($AX88,"FD009")="#N/A N/A",_xll.BDP($AX88,"FD009")="#N/A FIELD NOT APPLICABLE")," ", _xll.BDP($AX88,"FD009")/100)</f>
        <v>0</v>
      </c>
      <c r="AO88" s="25" cm="1">
        <f t="array" ref="AO88">IF(OR(_xll.BDP($AX88,"RK512")="#N/A N/A",_xll.BDP($AX88,"RK512")="#N/A FIELD NOT APPLICABLE")," ", _xll.BDP($AX88,"RK512")/100)</f>
        <v>5.1252001523971556E-3</v>
      </c>
      <c r="AP88" s="25" cm="1">
        <f t="array" ref="AP88">IF(OR(_xll.BDP($AX88,"RK514")="#N/A N/A",_xll.BDP($AX88,"RK514")="#N/A FIELD NOT APPLICABLE")," ", _xll.BDP($AX88,"RK514")/100)</f>
        <v>4.9456900358200075E-3</v>
      </c>
      <c r="AQ88" s="25" cm="1">
        <f t="array" ref="AQ88">IF(OR(_xll.BDP($AX88,"RK521")="#N/A N/A",_xll.BDP($AX88,"RK521")="#N/A FIELD NOT APPLICABLE")," ", _xll.BDP($AX88,"RK521")/100)</f>
        <v>-4.5939099788665774E-3</v>
      </c>
      <c r="AR88" s="25" cm="1">
        <f t="array" ref="AR88">IF(OR(_xll.BDP($AX88,"RK525")="#N/A N/A",_xll.BDP($AX88,"RK525")="#N/A FIELD NOT APPLICABLE")," ", _xll.BDP($AX88,"RK525")/100)</f>
        <v>1.0008100271224975E-2</v>
      </c>
      <c r="AS88" s="25" cm="1">
        <f t="array" ref="AS88">IF(OR(_xll.BDP($AX88,"RK524")="#N/A N/A",_xll.BDP($AX88,"RK524")="#N/A FIELD NOT APPLICABLE")," ", _xll.BDP($AX88,"RK524")/100)</f>
        <v>-9.158000349998474E-5</v>
      </c>
      <c r="AT88" s="25" t="str" cm="1">
        <f t="array" ref="AT88">IF(OR(_xll.BDP($AX88,"FD183")="#N/A N/A",_xll.BDP($AX88,"FD183")="#N/A FIELD NOT APPLICABLE")," ", _xll.BDP($AX88,"FD183"))</f>
        <v>USD INC</v>
      </c>
      <c r="AU88" s="25" t="str" cm="1">
        <f t="array" ref="AU88">IF(OR(_xll.BDP($AX88,"DY997")="#N/A N/A",_xll.BDP($AX88,"DY997")="#N/A FIELD NOT APPLICABLE")," ", _xll.BDP($AX88,"DY997"))</f>
        <v xml:space="preserve"> </v>
      </c>
      <c r="AV88" s="25" t="str" cm="1">
        <f t="array" ref="AV88">IF(OR(_xll.BDP($AX88,"DY784")="#N/A N/A",_xll.BDP($AX88,"DY784")="#N/A FIELD NOT APPLICABLE")," ", _xll.BDP($AX88,"DY784"))</f>
        <v xml:space="preserve"> </v>
      </c>
      <c r="AW88" s="22" t="str">
        <f t="shared" si="22"/>
        <v>N</v>
      </c>
      <c r="AX88" s="22" t="str">
        <f t="shared" si="23"/>
        <v>KRE US Equity</v>
      </c>
      <c r="BC88" s="17" t="str" cm="1">
        <f t="array" ref="BC88">_xll.BDP(AX88,"ID005")</f>
        <v>US78464A6982</v>
      </c>
      <c r="BD88" s="17" t="e">
        <f>VLOOKUP(BC88,'[2]Portefeuille 4380430'!$B$3:$G$38,6,0)</f>
        <v>#N/A</v>
      </c>
      <c r="BE88" s="18">
        <v>5</v>
      </c>
      <c r="BF88" s="37"/>
      <c r="BG88" s="20"/>
    </row>
    <row r="89" spans="1:59" s="3" customFormat="1" ht="14.45" customHeight="1" x14ac:dyDescent="0.25">
      <c r="A89" s="49" t="s">
        <v>241</v>
      </c>
      <c r="B89" s="49" t="s">
        <v>266</v>
      </c>
      <c r="C89" s="49" t="s">
        <v>267</v>
      </c>
      <c r="D89" s="49" t="s">
        <v>240</v>
      </c>
      <c r="E89" s="22" t="str">
        <f>_xll.BDP(AX89,"SECURITY NAME")</f>
        <v>SPDR S&amp;P Regional Banking ETF</v>
      </c>
      <c r="F89" s="22" t="str">
        <f>_xll.BDP(AX89,"CRNCY")</f>
        <v>USD</v>
      </c>
      <c r="G89" s="23" t="s">
        <v>340</v>
      </c>
      <c r="H89" s="22" t="str" cm="1">
        <f t="array" ref="H89">IF(OR(_xll.BDP($AX89,"FD120")="#N/A N/A",_xll.BDP($AX89,"FD120")="#N/A FIELD NOT APPLICABLE")," ",_xll.BDP($AX89,"FD120"))</f>
        <v>U.S.</v>
      </c>
      <c r="I89" s="22" t="str" cm="1">
        <f t="array" ref="I89">IF(OR(_xll.BDP($AX89,"FD116")="#N/A N/A",_xll.BDP($AX89,"FD116")="#N/A FIELD NOT APPLICABLE")," ",_xll.BDP($AX89,"FD116"))</f>
        <v>Blend</v>
      </c>
      <c r="J89" s="22" t="str" cm="1">
        <f t="array" ref="J89">IF(OR(_xll.BDP($AX89,"FD133")="#N/A N/A",_xll.BDP($AX89,"FD133")="#N/A FIELD NOT APPLICABLE")," ", _xll.BDP($AX89,"FD133"))</f>
        <v>Financial</v>
      </c>
      <c r="K89" s="34">
        <f>_xll.BDP(AX89,"FUND_ASSETS_USD")/1000</f>
        <v>3.0820189653700001</v>
      </c>
      <c r="L89" s="25">
        <f>IFERROR(_xll.BDP(AX89, "DV013")/100,0)</f>
        <v>2.7638004006055251E-2</v>
      </c>
      <c r="M89" s="25" cm="1">
        <f t="array" ref="M89">IF(OR(_xll.BDP($AX89,"PR079")="#N/A N/A",_xll.BDP($AX89,"PR079")="#N/A FIELD NOT APPLICABLE")," ", _xll.BDP($AX89,"PR079")/100)</f>
        <v>-9.3123419999999998E-2</v>
      </c>
      <c r="N89" s="25" cm="1">
        <f t="array" ref="N89">IF(OR(_xll.BDP($AX89,"RT074")="#N/A N/A",_xll.BDP($AX89,"RT074")="#N/A FIELD NOT APPLICABLE")," ", _xll.BDP($AX89,"RT074")/100)</f>
        <v>0.16714500000000002</v>
      </c>
      <c r="O89" s="27">
        <v>1481</v>
      </c>
      <c r="P89" s="28">
        <v>56.77</v>
      </c>
      <c r="Q89" s="22" cm="1">
        <f t="array" ref="Q89">IF(OR(_xll.BDP($AX89,"PX_last")="#N/A N/A",_xll.BDP($AX89,"PX_Last")="#N/A FIELD NOT APPLICABLE")," ",IF(F89="GBP",(_xll.BDP($AX89,"PX_LAST")),(_xll.BDP($AX89,"PX_LAST"))))</f>
        <v>54.73</v>
      </c>
      <c r="R89" s="29">
        <f>IF(F89="USD",AA89,(((_xll.BDP(F89&amp;"USD CURNCY","PX_LAST")))*AA89))</f>
        <v>84076.37000000001</v>
      </c>
      <c r="S89" s="29">
        <f>IF(F89="USD",AB89,(((_xll.BDP(F89&amp;"USD CURNCY","PX_LAST")))*AB89))</f>
        <v>81055.12999999999</v>
      </c>
      <c r="T89" s="12">
        <f t="shared" si="16"/>
        <v>-3021.2400000000198</v>
      </c>
      <c r="U89" s="13">
        <f t="shared" si="17"/>
        <v>-3.5934472432623092E-2</v>
      </c>
      <c r="V89" s="13" cm="1">
        <f t="array" ref="V89">IFERROR(_xll.BDP($G89&amp;" Equity","CHG_PCT_1D")/100,"")</f>
        <v>1.1084430000000001E-2</v>
      </c>
      <c r="W89" s="13" cm="1">
        <f t="array" ref="W89">IFERROR(_xll.BDP($G89&amp;" Equity","CHG_PCT_5D")/100,"")</f>
        <v>5.1423319999999995E-3</v>
      </c>
      <c r="X89" s="13" t="e">
        <f>S89/#REF!</f>
        <v>#REF!</v>
      </c>
      <c r="Y89" s="29">
        <f t="shared" si="18"/>
        <v>2240.202007651329</v>
      </c>
      <c r="Z89" s="29">
        <f t="shared" si="19"/>
        <v>81055.12999999999</v>
      </c>
      <c r="AA89" s="29">
        <f t="shared" si="20"/>
        <v>84076.37000000001</v>
      </c>
      <c r="AB89" s="29">
        <f t="shared" si="21"/>
        <v>81055.12999999999</v>
      </c>
      <c r="AC89" s="25" t="str" cm="1">
        <f t="array" ref="AC89">IF(OR(_xll.BDP($AX89,"EX028")="#N/A N/A",_xll.BDP($AX89,"EX028")="#N/A FIELD NOT APPLICABLE")," ", _xll.BDP($AX89,"EX028"))</f>
        <v>Fund</v>
      </c>
      <c r="AD89" s="35" t="str" cm="1">
        <f t="array" ref="AD89">IF(OR(_xll.BDP($AX89,"FD121")="#N/A N/A",_xll.BDP($AX89,"FD121")="#N/A FIELD NOT APPLICABLE")," ", _xll.BDP($AX89,"FD121"))</f>
        <v>Equity</v>
      </c>
      <c r="AE89" s="25" t="str" cm="1">
        <f t="array" ref="AE89">IF(OR(_xll.BDP($AX89,"FD118")="#N/A N/A",_xll.BDP($AX89,"FD118")="#N/A FIELD NOT APPLICABLE")," ", _xll.BDP($AX89,"FD118"))</f>
        <v>ETF</v>
      </c>
      <c r="AF89" s="22" t="str" cm="1">
        <f t="array" ref="AF89">IF(OR(_xll.BDP($AX89,"FD114")="#N/A N/A",_xll.BDP($AX89,"FD114")="#N/A FIELD NOT APPLICABLE")," ", _xll.BDP($AX89,"FD114"))</f>
        <v xml:space="preserve"> </v>
      </c>
      <c r="AG89" s="22" t="str" cm="1">
        <f t="array" ref="AG89">IF(OR(_xll.BDP($AX89,"FD003")="#N/A N/A",_xll.BDP($AX89,"FD003")="#N/A FIELD NOT APPLICABLE")," ", _xll.BDP($AX89,"FD003"))</f>
        <v>22/06/2006</v>
      </c>
      <c r="AH89" s="32" cm="1">
        <f t="array" ref="AH89">IF(OR(_xll.BDP($AX89,"PR061")="#N/A N/A",_xll.BDP($AX89,"PR061")="#N/A FIELD NOT APPLICABLE")," ", _xll.BDP($AX89,"PR061")/100)</f>
        <v>-4.3516269999999996E-2</v>
      </c>
      <c r="AI89" s="25" cm="1">
        <f t="array" ref="AI89">IF(OR(_xll.BDP($AX89,"RT075")="#N/A N/A",_xll.BDP($AX89,"RT075")="#N/A FIELD NOT APPLICABLE")," ", _xll.BDP($AX89,"RT075")/100)</f>
        <v>-1.0666310000000002E-2</v>
      </c>
      <c r="AJ89" s="25" cm="1">
        <f t="array" ref="AJ89">IF(OR(_xll.BDP($AX89,"RT076")="#N/A N/A",_xll.BDP($AX89,"RT076")="#N/A FIELD NOT APPLICABLE")," ", _xll.BDP($AX89,"RT076")/100)</f>
        <v>0.1167729</v>
      </c>
      <c r="AK89" s="25" cm="1">
        <f t="array" ref="AK89">IF(OR(_xll.BDP($AX89,"FD252")="#N/A N/A",_xll.BDP($AX89,"FD252")="#N/A FIELD NOT APPLICABLE")," ", _xll.BDP($AX89,"FD252")/100)</f>
        <v>0</v>
      </c>
      <c r="AL89" s="25" cm="1">
        <f t="array" ref="AL89">IF(OR(_xll.BDP($AX89,"FD015")="#N/A N/A",_xll.BDP($AX89,"FD015")="#N/A FIELD NOT APPLICABLE")," ", _xll.BDP($AX89,"FD015")/100)</f>
        <v>3.4999999999999996E-3</v>
      </c>
      <c r="AM89" s="25" cm="1">
        <f t="array" ref="AM89">IF(OR(_xll.BDP($AX89,"FD138")="#N/A N/A",_xll.BDP($AX89,"FD138")="#N/A FIELD NOT APPLICABLE")," ", _xll.BDP($AX89,"FD138")/100)</f>
        <v>3.4999999999999996E-3</v>
      </c>
      <c r="AN89" s="36" cm="1">
        <f t="array" ref="AN89">IF(OR(_xll.BDP($AX89,"FD009")="#N/A N/A",_xll.BDP($AX89,"FD009")="#N/A FIELD NOT APPLICABLE")," ", _xll.BDP($AX89,"FD009")/100)</f>
        <v>0</v>
      </c>
      <c r="AO89" s="25" cm="1">
        <f t="array" ref="AO89">IF(OR(_xll.BDP($AX89,"RK512")="#N/A N/A",_xll.BDP($AX89,"RK512")="#N/A FIELD NOT APPLICABLE")," ", _xll.BDP($AX89,"RK512")/100)</f>
        <v>5.1252001523971556E-3</v>
      </c>
      <c r="AP89" s="25" cm="1">
        <f t="array" ref="AP89">IF(OR(_xll.BDP($AX89,"RK514")="#N/A N/A",_xll.BDP($AX89,"RK514")="#N/A FIELD NOT APPLICABLE")," ", _xll.BDP($AX89,"RK514")/100)</f>
        <v>4.9456900358200075E-3</v>
      </c>
      <c r="AQ89" s="25" cm="1">
        <f t="array" ref="AQ89">IF(OR(_xll.BDP($AX89,"RK521")="#N/A N/A",_xll.BDP($AX89,"RK521")="#N/A FIELD NOT APPLICABLE")," ", _xll.BDP($AX89,"RK521")/100)</f>
        <v>-4.5939099788665774E-3</v>
      </c>
      <c r="AR89" s="25" cm="1">
        <f t="array" ref="AR89">IF(OR(_xll.BDP($AX89,"RK525")="#N/A N/A",_xll.BDP($AX89,"RK525")="#N/A FIELD NOT APPLICABLE")," ", _xll.BDP($AX89,"RK525")/100)</f>
        <v>1.0008100271224975E-2</v>
      </c>
      <c r="AS89" s="25" cm="1">
        <f t="array" ref="AS89">IF(OR(_xll.BDP($AX89,"RK524")="#N/A N/A",_xll.BDP($AX89,"RK524")="#N/A FIELD NOT APPLICABLE")," ", _xll.BDP($AX89,"RK524")/100)</f>
        <v>-9.158000349998474E-5</v>
      </c>
      <c r="AT89" s="25" t="str" cm="1">
        <f t="array" ref="AT89">IF(OR(_xll.BDP($AX89,"FD183")="#N/A N/A",_xll.BDP($AX89,"FD183")="#N/A FIELD NOT APPLICABLE")," ", _xll.BDP($AX89,"FD183"))</f>
        <v>USD INC</v>
      </c>
      <c r="AU89" s="25" t="str" cm="1">
        <f t="array" ref="AU89">IF(OR(_xll.BDP($AX89,"DY997")="#N/A N/A",_xll.BDP($AX89,"DY997")="#N/A FIELD NOT APPLICABLE")," ", _xll.BDP($AX89,"DY997"))</f>
        <v xml:space="preserve"> </v>
      </c>
      <c r="AV89" s="25" t="str" cm="1">
        <f t="array" ref="AV89">IF(OR(_xll.BDP($AX89,"DY784")="#N/A N/A",_xll.BDP($AX89,"DY784")="#N/A FIELD NOT APPLICABLE")," ", _xll.BDP($AX89,"DY784"))</f>
        <v xml:space="preserve"> </v>
      </c>
      <c r="AW89" s="22" t="str">
        <f t="shared" si="22"/>
        <v>N</v>
      </c>
      <c r="AX89" s="22" t="str">
        <f t="shared" si="23"/>
        <v>KRE US Equity</v>
      </c>
      <c r="BC89" s="17" t="str" cm="1">
        <f t="array" ref="BC89">_xll.BDP(AX89,"ID005")</f>
        <v>US78464A6982</v>
      </c>
      <c r="BD89" s="17">
        <v>0.75</v>
      </c>
      <c r="BE89" s="18">
        <v>5</v>
      </c>
      <c r="BF89" s="37">
        <v>45509</v>
      </c>
      <c r="BG89" s="20">
        <v>1.0000000000107532</v>
      </c>
    </row>
    <row r="90" spans="1:59" s="3" customFormat="1" ht="14.45" customHeight="1" x14ac:dyDescent="0.25">
      <c r="A90" s="49" t="s">
        <v>242</v>
      </c>
      <c r="B90" s="49" t="s">
        <v>268</v>
      </c>
      <c r="C90" s="49" t="s">
        <v>269</v>
      </c>
      <c r="D90" s="49" t="s">
        <v>248</v>
      </c>
      <c r="E90" s="22" t="str">
        <f>_xll.BDP(AX90,"SECURITY NAME")</f>
        <v>SPDR S&amp;P Regional Banking ETF</v>
      </c>
      <c r="F90" s="22" t="str">
        <f>_xll.BDP(AX90,"CRNCY")</f>
        <v>USD</v>
      </c>
      <c r="G90" s="23" t="s">
        <v>340</v>
      </c>
      <c r="H90" s="22" t="str" cm="1">
        <f t="array" ref="H90">IF(OR(_xll.BDP($AX90,"FD120")="#N/A N/A",_xll.BDP($AX90,"FD120")="#N/A FIELD NOT APPLICABLE")," ",_xll.BDP($AX90,"FD120"))</f>
        <v>U.S.</v>
      </c>
      <c r="I90" s="22" t="str" cm="1">
        <f t="array" ref="I90">IF(OR(_xll.BDP($AX90,"FD116")="#N/A N/A",_xll.BDP($AX90,"FD116")="#N/A FIELD NOT APPLICABLE")," ",_xll.BDP($AX90,"FD116"))</f>
        <v>Blend</v>
      </c>
      <c r="J90" s="22" t="str" cm="1">
        <f t="array" ref="J90">IF(OR(_xll.BDP($AX90,"FD133")="#N/A N/A",_xll.BDP($AX90,"FD133")="#N/A FIELD NOT APPLICABLE")," ", _xll.BDP($AX90,"FD133"))</f>
        <v>Financial</v>
      </c>
      <c r="K90" s="34">
        <f>_xll.BDP(AX90,"FUND_ASSETS_USD")/1000</f>
        <v>3.0820189653700001</v>
      </c>
      <c r="L90" s="25">
        <f>IFERROR(_xll.BDP(AX90, "DV013")/100,0)</f>
        <v>2.7638004006055251E-2</v>
      </c>
      <c r="M90" s="25" cm="1">
        <f t="array" ref="M90">IF(OR(_xll.BDP($AX90,"PR079")="#N/A N/A",_xll.BDP($AX90,"PR079")="#N/A FIELD NOT APPLICABLE")," ", _xll.BDP($AX90,"PR079")/100)</f>
        <v>-9.3123419999999998E-2</v>
      </c>
      <c r="N90" s="25" cm="1">
        <f t="array" ref="N90">IF(OR(_xll.BDP($AX90,"RT074")="#N/A N/A",_xll.BDP($AX90,"RT074")="#N/A FIELD NOT APPLICABLE")," ", _xll.BDP($AX90,"RT074")/100)</f>
        <v>0.16714500000000002</v>
      </c>
      <c r="O90" s="27">
        <v>5455</v>
      </c>
      <c r="P90" s="28">
        <v>56.93</v>
      </c>
      <c r="Q90" s="22" cm="1">
        <f t="array" ref="Q90">IF(OR(_xll.BDP($AX90,"PX_last")="#N/A N/A",_xll.BDP($AX90,"PX_Last")="#N/A FIELD NOT APPLICABLE")," ",IF(F90="GBP",(_xll.BDP($AX90,"PX_LAST")/100),(_xll.BDP($AX90,"PX_LAST"))))</f>
        <v>54.73</v>
      </c>
      <c r="R90" s="29">
        <f>IF(F90="USD",AA90,(((_xll.BDP(F90&amp;"USD CURNCY","PX_LAST")))*AA90))</f>
        <v>310553.15000000002</v>
      </c>
      <c r="S90" s="29">
        <f>IF(F90="USD",AB90,(((_xll.BDP(F90&amp;"USD CURNCY","PX_LAST")))*AB90))</f>
        <v>298552.14999999997</v>
      </c>
      <c r="T90" s="12">
        <f t="shared" si="16"/>
        <v>-12001.000000000058</v>
      </c>
      <c r="U90" s="13">
        <f t="shared" si="17"/>
        <v>-3.8643948708940987E-2</v>
      </c>
      <c r="V90" s="13" cm="1">
        <f t="array" ref="V90">IFERROR(_xll.BDP($G90&amp;" Equity","CHG_PCT_1D")/100,"")</f>
        <v>1.1084430000000001E-2</v>
      </c>
      <c r="W90" s="13" cm="1">
        <f t="array" ref="W90">IFERROR(_xll.BDP($G90&amp;" Equity","CHG_PCT_5D")/100,"")</f>
        <v>5.1423319999999995E-3</v>
      </c>
      <c r="X90" s="13" t="e">
        <f>S90/#REF!</f>
        <v>#REF!</v>
      </c>
      <c r="Y90" s="29">
        <f t="shared" si="18"/>
        <v>8251.3855177164078</v>
      </c>
      <c r="Z90" s="29">
        <f t="shared" si="19"/>
        <v>298552.14999999997</v>
      </c>
      <c r="AA90" s="29">
        <f t="shared" si="20"/>
        <v>310553.15000000002</v>
      </c>
      <c r="AB90" s="29">
        <f t="shared" si="21"/>
        <v>298552.14999999997</v>
      </c>
      <c r="AC90" s="25" t="str" cm="1">
        <f t="array" ref="AC90">IF(OR(_xll.BDP($AX90,"EX028")="#N/A N/A",_xll.BDP($AX90,"EX028")="#N/A FIELD NOT APPLICABLE")," ", _xll.BDP($AX90,"EX028"))</f>
        <v>Fund</v>
      </c>
      <c r="AD90" s="35" t="str" cm="1">
        <f t="array" ref="AD90">IF(OR(_xll.BDP($AX90,"FD121")="#N/A N/A",_xll.BDP($AX90,"FD121")="#N/A FIELD NOT APPLICABLE")," ", _xll.BDP($AX90,"FD121"))</f>
        <v>Equity</v>
      </c>
      <c r="AE90" s="25" t="str" cm="1">
        <f t="array" ref="AE90">IF(OR(_xll.BDP($AX90,"FD118")="#N/A N/A",_xll.BDP($AX90,"FD118")="#N/A FIELD NOT APPLICABLE")," ", _xll.BDP($AX90,"FD118"))</f>
        <v>ETF</v>
      </c>
      <c r="AF90" s="22" t="str" cm="1">
        <f t="array" ref="AF90">IF(OR(_xll.BDP($AX90,"FD114")="#N/A N/A",_xll.BDP($AX90,"FD114")="#N/A FIELD NOT APPLICABLE")," ", _xll.BDP($AX90,"FD114"))</f>
        <v xml:space="preserve"> </v>
      </c>
      <c r="AG90" s="22" t="str" cm="1">
        <f t="array" ref="AG90">IF(OR(_xll.BDP($AX90,"FD003")="#N/A N/A",_xll.BDP($AX90,"FD003")="#N/A FIELD NOT APPLICABLE")," ", _xll.BDP($AX90,"FD003"))</f>
        <v>22/06/2006</v>
      </c>
      <c r="AH90" s="32" cm="1">
        <f t="array" ref="AH90">IF(OR(_xll.BDP($AX90,"PR061")="#N/A N/A",_xll.BDP($AX90,"PR061")="#N/A FIELD NOT APPLICABLE")," ", _xll.BDP($AX90,"PR061")/100)</f>
        <v>-4.3516269999999996E-2</v>
      </c>
      <c r="AI90" s="25" cm="1">
        <f t="array" ref="AI90">IF(OR(_xll.BDP($AX90,"RT075")="#N/A N/A",_xll.BDP($AX90,"RT075")="#N/A FIELD NOT APPLICABLE")," ", _xll.BDP($AX90,"RT075")/100)</f>
        <v>-1.0666310000000002E-2</v>
      </c>
      <c r="AJ90" s="25" cm="1">
        <f t="array" ref="AJ90">IF(OR(_xll.BDP($AX90,"RT076")="#N/A N/A",_xll.BDP($AX90,"RT076")="#N/A FIELD NOT APPLICABLE")," ", _xll.BDP($AX90,"RT076")/100)</f>
        <v>0.1167729</v>
      </c>
      <c r="AK90" s="25" cm="1">
        <f t="array" ref="AK90">IF(OR(_xll.BDP($AX90,"FD252")="#N/A N/A",_xll.BDP($AX90,"FD252")="#N/A FIELD NOT APPLICABLE")," ", _xll.BDP($AX90,"FD252")/100)</f>
        <v>0</v>
      </c>
      <c r="AL90" s="25" cm="1">
        <f t="array" ref="AL90">IF(OR(_xll.BDP($AX90,"FD015")="#N/A N/A",_xll.BDP($AX90,"FD015")="#N/A FIELD NOT APPLICABLE")," ", _xll.BDP($AX90,"FD015")/100)</f>
        <v>3.4999999999999996E-3</v>
      </c>
      <c r="AM90" s="25" cm="1">
        <f t="array" ref="AM90">IF(OR(_xll.BDP($AX90,"FD138")="#N/A N/A",_xll.BDP($AX90,"FD138")="#N/A FIELD NOT APPLICABLE")," ", _xll.BDP($AX90,"FD138")/100)</f>
        <v>3.4999999999999996E-3</v>
      </c>
      <c r="AN90" s="36" cm="1">
        <f t="array" ref="AN90">IF(OR(_xll.BDP($AX90,"FD009")="#N/A N/A",_xll.BDP($AX90,"FD009")="#N/A FIELD NOT APPLICABLE")," ", _xll.BDP($AX90,"FD009")/100)</f>
        <v>0</v>
      </c>
      <c r="AO90" s="25" cm="1">
        <f t="array" ref="AO90">IF(OR(_xll.BDP($AX90,"RK512")="#N/A N/A",_xll.BDP($AX90,"RK512")="#N/A FIELD NOT APPLICABLE")," ", _xll.BDP($AX90,"RK512")/100)</f>
        <v>5.1252001523971556E-3</v>
      </c>
      <c r="AP90" s="25" cm="1">
        <f t="array" ref="AP90">IF(OR(_xll.BDP($AX90,"RK514")="#N/A N/A",_xll.BDP($AX90,"RK514")="#N/A FIELD NOT APPLICABLE")," ", _xll.BDP($AX90,"RK514")/100)</f>
        <v>4.9456900358200075E-3</v>
      </c>
      <c r="AQ90" s="25" cm="1">
        <f t="array" ref="AQ90">IF(OR(_xll.BDP($AX90,"RK521")="#N/A N/A",_xll.BDP($AX90,"RK521")="#N/A FIELD NOT APPLICABLE")," ", _xll.BDP($AX90,"RK521")/100)</f>
        <v>-4.5939099788665774E-3</v>
      </c>
      <c r="AR90" s="25" cm="1">
        <f t="array" ref="AR90">IF(OR(_xll.BDP($AX90,"RK525")="#N/A N/A",_xll.BDP($AX90,"RK525")="#N/A FIELD NOT APPLICABLE")," ", _xll.BDP($AX90,"RK525")/100)</f>
        <v>1.0008100271224975E-2</v>
      </c>
      <c r="AS90" s="25" cm="1">
        <f t="array" ref="AS90">IF(OR(_xll.BDP($AX90,"RK524")="#N/A N/A",_xll.BDP($AX90,"RK524")="#N/A FIELD NOT APPLICABLE")," ", _xll.BDP($AX90,"RK524")/100)</f>
        <v>-9.158000349998474E-5</v>
      </c>
      <c r="AT90" s="25" t="str" cm="1">
        <f t="array" ref="AT90">IF(OR(_xll.BDP($AX90,"FD183")="#N/A N/A",_xll.BDP($AX90,"FD183")="#N/A FIELD NOT APPLICABLE")," ", _xll.BDP($AX90,"FD183"))</f>
        <v>USD INC</v>
      </c>
      <c r="AU90" s="25" t="str" cm="1">
        <f t="array" ref="AU90">IF(OR(_xll.BDP($AX90,"DY997")="#N/A N/A",_xll.BDP($AX90,"DY997")="#N/A FIELD NOT APPLICABLE")," ", _xll.BDP($AX90,"DY997"))</f>
        <v xml:space="preserve"> </v>
      </c>
      <c r="AV90" s="25" t="str" cm="1">
        <f t="array" ref="AV90">IF(OR(_xll.BDP($AX90,"DY784")="#N/A N/A",_xll.BDP($AX90,"DY784")="#N/A FIELD NOT APPLICABLE")," ", _xll.BDP($AX90,"DY784"))</f>
        <v xml:space="preserve"> </v>
      </c>
      <c r="AW90" s="22" t="str">
        <f t="shared" si="22"/>
        <v>N</v>
      </c>
      <c r="AX90" s="22" t="str">
        <f t="shared" si="23"/>
        <v>KRE US Equity</v>
      </c>
      <c r="BC90" s="17" t="str" cm="1">
        <f t="array" ref="BC90">_xll.BDP(AX90,"ID005")</f>
        <v>US78464A6982</v>
      </c>
      <c r="BD90" s="17">
        <v>0.73</v>
      </c>
      <c r="BE90" s="18">
        <v>5</v>
      </c>
      <c r="BF90" s="37"/>
      <c r="BG90" s="20"/>
    </row>
    <row r="91" spans="1:59" s="3" customFormat="1" ht="14.45" customHeight="1" x14ac:dyDescent="0.25">
      <c r="A91" s="49" t="s">
        <v>241</v>
      </c>
      <c r="B91" s="49" t="s">
        <v>270</v>
      </c>
      <c r="C91" s="49" t="s">
        <v>271</v>
      </c>
      <c r="D91" s="49" t="s">
        <v>240</v>
      </c>
      <c r="E91" s="22" t="str">
        <f>_xll.BDP(AX91,"SECURITY NAME")</f>
        <v>SPDR S&amp;P Regional Banking ETF</v>
      </c>
      <c r="F91" s="22" t="str">
        <f>_xll.BDP(AX91,"CRNCY")</f>
        <v>USD</v>
      </c>
      <c r="G91" s="23" t="s">
        <v>340</v>
      </c>
      <c r="H91" s="22" t="str" cm="1">
        <f t="array" ref="H91">IF(OR(_xll.BDP($AX91,"FD120")="#N/A N/A",_xll.BDP($AX91,"FD120")="#N/A FIELD NOT APPLICABLE")," ",_xll.BDP($AX91,"FD120"))</f>
        <v>U.S.</v>
      </c>
      <c r="I91" s="22" t="str" cm="1">
        <f t="array" ref="I91">IF(OR(_xll.BDP($AX91,"FD116")="#N/A N/A",_xll.BDP($AX91,"FD116")="#N/A FIELD NOT APPLICABLE")," ",_xll.BDP($AX91,"FD116"))</f>
        <v>Blend</v>
      </c>
      <c r="J91" s="22" t="str" cm="1">
        <f t="array" ref="J91">IF(OR(_xll.BDP($AX91,"FD133")="#N/A N/A",_xll.BDP($AX91,"FD133")="#N/A FIELD NOT APPLICABLE")," ", _xll.BDP($AX91,"FD133"))</f>
        <v>Financial</v>
      </c>
      <c r="K91" s="34">
        <f>_xll.BDP(AX91,"FUND_ASSETS_USD")/1000</f>
        <v>3.0820189653700001</v>
      </c>
      <c r="L91" s="25">
        <f>IFERROR(_xll.BDP(AX91, "DV013")/100,0)</f>
        <v>2.7638004006055251E-2</v>
      </c>
      <c r="M91" s="25" cm="1">
        <f t="array" ref="M91">IF(OR(_xll.BDP($AX91,"PR079")="#N/A N/A",_xll.BDP($AX91,"PR079")="#N/A FIELD NOT APPLICABLE")," ", _xll.BDP($AX91,"PR079")/100)</f>
        <v>-9.3123419999999998E-2</v>
      </c>
      <c r="N91" s="25" cm="1">
        <f t="array" ref="N91">IF(OR(_xll.BDP($AX91,"RT074")="#N/A N/A",_xll.BDP($AX91,"RT074")="#N/A FIELD NOT APPLICABLE")," ", _xll.BDP($AX91,"RT074")/100)</f>
        <v>0.16714500000000002</v>
      </c>
      <c r="O91" s="27">
        <v>2172</v>
      </c>
      <c r="P91" s="28">
        <v>56.77</v>
      </c>
      <c r="Q91" s="22" cm="1">
        <f t="array" ref="Q91">IF(OR(_xll.BDP($AX91,"PX_last")="#N/A N/A",_xll.BDP($AX91,"PX_Last")="#N/A FIELD NOT APPLICABLE")," ",IF(F91="GBP",(_xll.BDP($AX91,"PX_LAST")),(_xll.BDP($AX91,"PX_LAST"))))</f>
        <v>54.73</v>
      </c>
      <c r="R91" s="29">
        <f>IF(F91="USD",AA91,(((_xll.BDP(F91&amp;"USD CURNCY","PX_LAST")))*AA91))</f>
        <v>123304.44</v>
      </c>
      <c r="S91" s="29">
        <f>IF(F91="USD",AB91,(((_xll.BDP(F91&amp;"USD CURNCY","PX_LAST")))*AB91))</f>
        <v>118873.56</v>
      </c>
      <c r="T91" s="12">
        <f t="shared" si="16"/>
        <v>-4430.8800000000047</v>
      </c>
      <c r="U91" s="13">
        <f t="shared" si="17"/>
        <v>-3.5934472432622898E-2</v>
      </c>
      <c r="V91" s="13" cm="1">
        <f t="array" ref="V91">IFERROR(_xll.BDP($G91&amp;" Equity","CHG_PCT_1D")/100,"")</f>
        <v>1.1084430000000001E-2</v>
      </c>
      <c r="W91" s="13" cm="1">
        <f t="array" ref="W91">IFERROR(_xll.BDP($G91&amp;" Equity","CHG_PCT_5D")/100,"")</f>
        <v>5.1423319999999995E-3</v>
      </c>
      <c r="X91" s="13" t="e">
        <f>S91/#REF!</f>
        <v>#REF!</v>
      </c>
      <c r="Y91" s="29">
        <f t="shared" si="18"/>
        <v>3285.4279274940491</v>
      </c>
      <c r="Z91" s="29">
        <f t="shared" si="19"/>
        <v>118873.56</v>
      </c>
      <c r="AA91" s="29">
        <f t="shared" si="20"/>
        <v>123304.44</v>
      </c>
      <c r="AB91" s="29">
        <f t="shared" si="21"/>
        <v>118873.56</v>
      </c>
      <c r="AC91" s="25" t="str" cm="1">
        <f t="array" ref="AC91">IF(OR(_xll.BDP($AX91,"EX028")="#N/A N/A",_xll.BDP($AX91,"EX028")="#N/A FIELD NOT APPLICABLE")," ", _xll.BDP($AX91,"EX028"))</f>
        <v>Fund</v>
      </c>
      <c r="AD91" s="35" t="str" cm="1">
        <f t="array" ref="AD91">IF(OR(_xll.BDP($AX91,"FD121")="#N/A N/A",_xll.BDP($AX91,"FD121")="#N/A FIELD NOT APPLICABLE")," ", _xll.BDP($AX91,"FD121"))</f>
        <v>Equity</v>
      </c>
      <c r="AE91" s="25" t="str" cm="1">
        <f t="array" ref="AE91">IF(OR(_xll.BDP($AX91,"FD118")="#N/A N/A",_xll.BDP($AX91,"FD118")="#N/A FIELD NOT APPLICABLE")," ", _xll.BDP($AX91,"FD118"))</f>
        <v>ETF</v>
      </c>
      <c r="AF91" s="22" t="str" cm="1">
        <f t="array" ref="AF91">IF(OR(_xll.BDP($AX91,"FD114")="#N/A N/A",_xll.BDP($AX91,"FD114")="#N/A FIELD NOT APPLICABLE")," ", _xll.BDP($AX91,"FD114"))</f>
        <v xml:space="preserve"> </v>
      </c>
      <c r="AG91" s="22" t="str" cm="1">
        <f t="array" ref="AG91">IF(OR(_xll.BDP($AX91,"FD003")="#N/A N/A",_xll.BDP($AX91,"FD003")="#N/A FIELD NOT APPLICABLE")," ", _xll.BDP($AX91,"FD003"))</f>
        <v>22/06/2006</v>
      </c>
      <c r="AH91" s="32" cm="1">
        <f t="array" ref="AH91">IF(OR(_xll.BDP($AX91,"PR061")="#N/A N/A",_xll.BDP($AX91,"PR061")="#N/A FIELD NOT APPLICABLE")," ", _xll.BDP($AX91,"PR061")/100)</f>
        <v>-4.3516269999999996E-2</v>
      </c>
      <c r="AI91" s="25" cm="1">
        <f t="array" ref="AI91">IF(OR(_xll.BDP($AX91,"RT075")="#N/A N/A",_xll.BDP($AX91,"RT075")="#N/A FIELD NOT APPLICABLE")," ", _xll.BDP($AX91,"RT075")/100)</f>
        <v>-1.0666310000000002E-2</v>
      </c>
      <c r="AJ91" s="25" cm="1">
        <f t="array" ref="AJ91">IF(OR(_xll.BDP($AX91,"RT076")="#N/A N/A",_xll.BDP($AX91,"RT076")="#N/A FIELD NOT APPLICABLE")," ", _xll.BDP($AX91,"RT076")/100)</f>
        <v>0.1167729</v>
      </c>
      <c r="AK91" s="25" cm="1">
        <f t="array" ref="AK91">IF(OR(_xll.BDP($AX91,"FD252")="#N/A N/A",_xll.BDP($AX91,"FD252")="#N/A FIELD NOT APPLICABLE")," ", _xll.BDP($AX91,"FD252")/100)</f>
        <v>0</v>
      </c>
      <c r="AL91" s="25" cm="1">
        <f t="array" ref="AL91">IF(OR(_xll.BDP($AX91,"FD015")="#N/A N/A",_xll.BDP($AX91,"FD015")="#N/A FIELD NOT APPLICABLE")," ", _xll.BDP($AX91,"FD015")/100)</f>
        <v>3.4999999999999996E-3</v>
      </c>
      <c r="AM91" s="25" cm="1">
        <f t="array" ref="AM91">IF(OR(_xll.BDP($AX91,"FD138")="#N/A N/A",_xll.BDP($AX91,"FD138")="#N/A FIELD NOT APPLICABLE")," ", _xll.BDP($AX91,"FD138")/100)</f>
        <v>3.4999999999999996E-3</v>
      </c>
      <c r="AN91" s="36" cm="1">
        <f t="array" ref="AN91">IF(OR(_xll.BDP($AX91,"FD009")="#N/A N/A",_xll.BDP($AX91,"FD009")="#N/A FIELD NOT APPLICABLE")," ", _xll.BDP($AX91,"FD009")/100)</f>
        <v>0</v>
      </c>
      <c r="AO91" s="25" cm="1">
        <f t="array" ref="AO91">IF(OR(_xll.BDP($AX91,"RK512")="#N/A N/A",_xll.BDP($AX91,"RK512")="#N/A FIELD NOT APPLICABLE")," ", _xll.BDP($AX91,"RK512")/100)</f>
        <v>5.1252001523971556E-3</v>
      </c>
      <c r="AP91" s="25" cm="1">
        <f t="array" ref="AP91">IF(OR(_xll.BDP($AX91,"RK514")="#N/A N/A",_xll.BDP($AX91,"RK514")="#N/A FIELD NOT APPLICABLE")," ", _xll.BDP($AX91,"RK514")/100)</f>
        <v>4.9456900358200075E-3</v>
      </c>
      <c r="AQ91" s="25" cm="1">
        <f t="array" ref="AQ91">IF(OR(_xll.BDP($AX91,"RK521")="#N/A N/A",_xll.BDP($AX91,"RK521")="#N/A FIELD NOT APPLICABLE")," ", _xll.BDP($AX91,"RK521")/100)</f>
        <v>-4.5939099788665774E-3</v>
      </c>
      <c r="AR91" s="25" cm="1">
        <f t="array" ref="AR91">IF(OR(_xll.BDP($AX91,"RK525")="#N/A N/A",_xll.BDP($AX91,"RK525")="#N/A FIELD NOT APPLICABLE")," ", _xll.BDP($AX91,"RK525")/100)</f>
        <v>1.0008100271224975E-2</v>
      </c>
      <c r="AS91" s="25" cm="1">
        <f t="array" ref="AS91">IF(OR(_xll.BDP($AX91,"RK524")="#N/A N/A",_xll.BDP($AX91,"RK524")="#N/A FIELD NOT APPLICABLE")," ", _xll.BDP($AX91,"RK524")/100)</f>
        <v>-9.158000349998474E-5</v>
      </c>
      <c r="AT91" s="25" t="str" cm="1">
        <f t="array" ref="AT91">IF(OR(_xll.BDP($AX91,"FD183")="#N/A N/A",_xll.BDP($AX91,"FD183")="#N/A FIELD NOT APPLICABLE")," ", _xll.BDP($AX91,"FD183"))</f>
        <v>USD INC</v>
      </c>
      <c r="AU91" s="25" t="str" cm="1">
        <f t="array" ref="AU91">IF(OR(_xll.BDP($AX91,"DY997")="#N/A N/A",_xll.BDP($AX91,"DY997")="#N/A FIELD NOT APPLICABLE")," ", _xll.BDP($AX91,"DY997"))</f>
        <v xml:space="preserve"> </v>
      </c>
      <c r="AV91" s="25" t="str" cm="1">
        <f t="array" ref="AV91">IF(OR(_xll.BDP($AX91,"DY784")="#N/A N/A",_xll.BDP($AX91,"DY784")="#N/A FIELD NOT APPLICABLE")," ", _xll.BDP($AX91,"DY784"))</f>
        <v xml:space="preserve"> </v>
      </c>
      <c r="AW91" s="22" t="str">
        <f t="shared" si="22"/>
        <v>N</v>
      </c>
      <c r="AX91" s="22" t="str">
        <f t="shared" si="23"/>
        <v>KRE US Equity</v>
      </c>
      <c r="BC91" s="17" t="str" cm="1">
        <f t="array" ref="BC91">_xll.BDP(AX91,"ID005")</f>
        <v>US78464A6982</v>
      </c>
      <c r="BD91" s="17">
        <v>0.75</v>
      </c>
      <c r="BE91" s="18">
        <v>5</v>
      </c>
      <c r="BF91" s="37">
        <v>45510</v>
      </c>
      <c r="BG91" s="20">
        <v>1.0000000000107532</v>
      </c>
    </row>
    <row r="92" spans="1:59" s="3" customFormat="1" ht="14.45" customHeight="1" x14ac:dyDescent="0.25">
      <c r="A92" s="49" t="s">
        <v>241</v>
      </c>
      <c r="B92" s="49" t="s">
        <v>272</v>
      </c>
      <c r="C92" s="49">
        <v>2620061.0010000002</v>
      </c>
      <c r="D92" s="49" t="s">
        <v>240</v>
      </c>
      <c r="E92" s="22" t="str">
        <f>_xll.BDP(AX92,"SECURITY NAME")</f>
        <v>SPDR S&amp;P Regional Banking ETF</v>
      </c>
      <c r="F92" s="22" t="str">
        <f>_xll.BDP(AX92,"CRNCY")</f>
        <v>USD</v>
      </c>
      <c r="G92" s="23" t="s">
        <v>340</v>
      </c>
      <c r="H92" s="22" t="str" cm="1">
        <f t="array" ref="H92">IF(OR(_xll.BDP($AX92,"FD120")="#N/A N/A",_xll.BDP($AX92,"FD120")="#N/A FIELD NOT APPLICABLE")," ",_xll.BDP($AX92,"FD120"))</f>
        <v>U.S.</v>
      </c>
      <c r="I92" s="22" t="str" cm="1">
        <f t="array" ref="I92">IF(OR(_xll.BDP($AX92,"FD116")="#N/A N/A",_xll.BDP($AX92,"FD116")="#N/A FIELD NOT APPLICABLE")," ",_xll.BDP($AX92,"FD116"))</f>
        <v>Blend</v>
      </c>
      <c r="J92" s="22" t="str" cm="1">
        <f t="array" ref="J92">IF(OR(_xll.BDP($AX92,"FD133")="#N/A N/A",_xll.BDP($AX92,"FD133")="#N/A FIELD NOT APPLICABLE")," ", _xll.BDP($AX92,"FD133"))</f>
        <v>Financial</v>
      </c>
      <c r="K92" s="34">
        <f>_xll.BDP(AX92,"FUND_ASSETS_USD")/1000</f>
        <v>3.0820189653700001</v>
      </c>
      <c r="L92" s="25">
        <f>IFERROR(_xll.BDP(AX92, "DV013")/100,0)</f>
        <v>2.7638004006055251E-2</v>
      </c>
      <c r="M92" s="25" cm="1">
        <f t="array" ref="M92">IF(OR(_xll.BDP($AX92,"PR079")="#N/A N/A",_xll.BDP($AX92,"PR079")="#N/A FIELD NOT APPLICABLE")," ", _xll.BDP($AX92,"PR079")/100)</f>
        <v>-9.3123419999999998E-2</v>
      </c>
      <c r="N92" s="25" cm="1">
        <f t="array" ref="N92">IF(OR(_xll.BDP($AX92,"RT074")="#N/A N/A",_xll.BDP($AX92,"RT074")="#N/A FIELD NOT APPLICABLE")," ", _xll.BDP($AX92,"RT074")/100)</f>
        <v>0.16714500000000002</v>
      </c>
      <c r="O92" s="27">
        <v>2019</v>
      </c>
      <c r="P92" s="28">
        <v>56.77</v>
      </c>
      <c r="Q92" s="22" cm="1">
        <f t="array" ref="Q92">IF(OR(_xll.BDP($AX92,"PX_last")="#N/A N/A",_xll.BDP($AX92,"PX_Last")="#N/A FIELD NOT APPLICABLE")," ",IF(F92="GBP",(_xll.BDP($AX92,"PX_LAST")),(_xll.BDP($AX92,"PX_LAST"))))</f>
        <v>54.73</v>
      </c>
      <c r="R92" s="29">
        <f>IF(F92="USD",AA92,(((_xll.BDP(F92&amp;"USD CURNCY","PX_LAST")))*AA92))</f>
        <v>114618.63</v>
      </c>
      <c r="S92" s="29">
        <f>IF(F92="USD",AB92,(((_xll.BDP(F92&amp;"USD CURNCY","PX_LAST")))*AB92))</f>
        <v>110499.87</v>
      </c>
      <c r="T92" s="12">
        <f t="shared" si="16"/>
        <v>-4118.7600000000093</v>
      </c>
      <c r="U92" s="13">
        <f t="shared" si="17"/>
        <v>-3.5934472432622946E-2</v>
      </c>
      <c r="V92" s="13" cm="1">
        <f t="array" ref="V92">IFERROR(_xll.BDP($G92&amp;" Equity","CHG_PCT_1D")/100,"")</f>
        <v>1.1084430000000001E-2</v>
      </c>
      <c r="W92" s="13" cm="1">
        <f t="array" ref="W92">IFERROR(_xll.BDP($G92&amp;" Equity","CHG_PCT_5D")/100,"")</f>
        <v>5.1423319999999995E-3</v>
      </c>
      <c r="X92" s="13" t="e">
        <f>S92/#REF!</f>
        <v>#REF!</v>
      </c>
      <c r="Y92" s="29">
        <f t="shared" si="18"/>
        <v>3053.9958497285843</v>
      </c>
      <c r="Z92" s="29">
        <f t="shared" si="19"/>
        <v>110499.87</v>
      </c>
      <c r="AA92" s="29">
        <f t="shared" si="20"/>
        <v>114618.63</v>
      </c>
      <c r="AB92" s="29">
        <f t="shared" si="21"/>
        <v>110499.87</v>
      </c>
      <c r="AC92" s="25" t="str" cm="1">
        <f t="array" ref="AC92">IF(OR(_xll.BDP($AX92,"EX028")="#N/A N/A",_xll.BDP($AX92,"EX028")="#N/A FIELD NOT APPLICABLE")," ", _xll.BDP($AX92,"EX028"))</f>
        <v>Fund</v>
      </c>
      <c r="AD92" s="35" t="str" cm="1">
        <f t="array" ref="AD92">IF(OR(_xll.BDP($AX92,"FD121")="#N/A N/A",_xll.BDP($AX92,"FD121")="#N/A FIELD NOT APPLICABLE")," ", _xll.BDP($AX92,"FD121"))</f>
        <v>Equity</v>
      </c>
      <c r="AE92" s="25" t="str" cm="1">
        <f t="array" ref="AE92">IF(OR(_xll.BDP($AX92,"FD118")="#N/A N/A",_xll.BDP($AX92,"FD118")="#N/A FIELD NOT APPLICABLE")," ", _xll.BDP($AX92,"FD118"))</f>
        <v>ETF</v>
      </c>
      <c r="AF92" s="22" t="str" cm="1">
        <f t="array" ref="AF92">IF(OR(_xll.BDP($AX92,"FD114")="#N/A N/A",_xll.BDP($AX92,"FD114")="#N/A FIELD NOT APPLICABLE")," ", _xll.BDP($AX92,"FD114"))</f>
        <v xml:space="preserve"> </v>
      </c>
      <c r="AG92" s="22" t="str" cm="1">
        <f t="array" ref="AG92">IF(OR(_xll.BDP($AX92,"FD003")="#N/A N/A",_xll.BDP($AX92,"FD003")="#N/A FIELD NOT APPLICABLE")," ", _xll.BDP($AX92,"FD003"))</f>
        <v>22/06/2006</v>
      </c>
      <c r="AH92" s="32" cm="1">
        <f t="array" ref="AH92">IF(OR(_xll.BDP($AX92,"PR061")="#N/A N/A",_xll.BDP($AX92,"PR061")="#N/A FIELD NOT APPLICABLE")," ", _xll.BDP($AX92,"PR061")/100)</f>
        <v>-4.3516269999999996E-2</v>
      </c>
      <c r="AI92" s="25" cm="1">
        <f t="array" ref="AI92">IF(OR(_xll.BDP($AX92,"RT075")="#N/A N/A",_xll.BDP($AX92,"RT075")="#N/A FIELD NOT APPLICABLE")," ", _xll.BDP($AX92,"RT075")/100)</f>
        <v>-1.0666310000000002E-2</v>
      </c>
      <c r="AJ92" s="25" cm="1">
        <f t="array" ref="AJ92">IF(OR(_xll.BDP($AX92,"RT076")="#N/A N/A",_xll.BDP($AX92,"RT076")="#N/A FIELD NOT APPLICABLE")," ", _xll.BDP($AX92,"RT076")/100)</f>
        <v>0.1167729</v>
      </c>
      <c r="AK92" s="25" cm="1">
        <f t="array" ref="AK92">IF(OR(_xll.BDP($AX92,"FD252")="#N/A N/A",_xll.BDP($AX92,"FD252")="#N/A FIELD NOT APPLICABLE")," ", _xll.BDP($AX92,"FD252")/100)</f>
        <v>0</v>
      </c>
      <c r="AL92" s="25" cm="1">
        <f t="array" ref="AL92">IF(OR(_xll.BDP($AX92,"FD015")="#N/A N/A",_xll.BDP($AX92,"FD015")="#N/A FIELD NOT APPLICABLE")," ", _xll.BDP($AX92,"FD015")/100)</f>
        <v>3.4999999999999996E-3</v>
      </c>
      <c r="AM92" s="25" cm="1">
        <f t="array" ref="AM92">IF(OR(_xll.BDP($AX92,"FD138")="#N/A N/A",_xll.BDP($AX92,"FD138")="#N/A FIELD NOT APPLICABLE")," ", _xll.BDP($AX92,"FD138")/100)</f>
        <v>3.4999999999999996E-3</v>
      </c>
      <c r="AN92" s="36" cm="1">
        <f t="array" ref="AN92">IF(OR(_xll.BDP($AX92,"FD009")="#N/A N/A",_xll.BDP($AX92,"FD009")="#N/A FIELD NOT APPLICABLE")," ", _xll.BDP($AX92,"FD009")/100)</f>
        <v>0</v>
      </c>
      <c r="AO92" s="25" cm="1">
        <f t="array" ref="AO92">IF(OR(_xll.BDP($AX92,"RK512")="#N/A N/A",_xll.BDP($AX92,"RK512")="#N/A FIELD NOT APPLICABLE")," ", _xll.BDP($AX92,"RK512")/100)</f>
        <v>5.1252001523971556E-3</v>
      </c>
      <c r="AP92" s="25" cm="1">
        <f t="array" ref="AP92">IF(OR(_xll.BDP($AX92,"RK514")="#N/A N/A",_xll.BDP($AX92,"RK514")="#N/A FIELD NOT APPLICABLE")," ", _xll.BDP($AX92,"RK514")/100)</f>
        <v>4.9456900358200075E-3</v>
      </c>
      <c r="AQ92" s="25" cm="1">
        <f t="array" ref="AQ92">IF(OR(_xll.BDP($AX92,"RK521")="#N/A N/A",_xll.BDP($AX92,"RK521")="#N/A FIELD NOT APPLICABLE")," ", _xll.BDP($AX92,"RK521")/100)</f>
        <v>-4.5939099788665774E-3</v>
      </c>
      <c r="AR92" s="25" cm="1">
        <f t="array" ref="AR92">IF(OR(_xll.BDP($AX92,"RK525")="#N/A N/A",_xll.BDP($AX92,"RK525")="#N/A FIELD NOT APPLICABLE")," ", _xll.BDP($AX92,"RK525")/100)</f>
        <v>1.0008100271224975E-2</v>
      </c>
      <c r="AS92" s="25" cm="1">
        <f t="array" ref="AS92">IF(OR(_xll.BDP($AX92,"RK524")="#N/A N/A",_xll.BDP($AX92,"RK524")="#N/A FIELD NOT APPLICABLE")," ", _xll.BDP($AX92,"RK524")/100)</f>
        <v>-9.158000349998474E-5</v>
      </c>
      <c r="AT92" s="25" t="str" cm="1">
        <f t="array" ref="AT92">IF(OR(_xll.BDP($AX92,"FD183")="#N/A N/A",_xll.BDP($AX92,"FD183")="#N/A FIELD NOT APPLICABLE")," ", _xll.BDP($AX92,"FD183"))</f>
        <v>USD INC</v>
      </c>
      <c r="AU92" s="25" t="str" cm="1">
        <f t="array" ref="AU92">IF(OR(_xll.BDP($AX92,"DY997")="#N/A N/A",_xll.BDP($AX92,"DY997")="#N/A FIELD NOT APPLICABLE")," ", _xll.BDP($AX92,"DY997"))</f>
        <v xml:space="preserve"> </v>
      </c>
      <c r="AV92" s="25" t="str" cm="1">
        <f t="array" ref="AV92">IF(OR(_xll.BDP($AX92,"DY784")="#N/A N/A",_xll.BDP($AX92,"DY784")="#N/A FIELD NOT APPLICABLE")," ", _xll.BDP($AX92,"DY784"))</f>
        <v xml:space="preserve"> </v>
      </c>
      <c r="AW92" s="22" t="str">
        <f t="shared" si="22"/>
        <v>N</v>
      </c>
      <c r="AX92" s="22" t="str">
        <f t="shared" si="23"/>
        <v>KRE US Equity</v>
      </c>
      <c r="BC92" s="17" t="str" cm="1">
        <f t="array" ref="BC92">_xll.BDP(AX92,"ID005")</f>
        <v>US78464A6982</v>
      </c>
      <c r="BD92" s="17">
        <v>0.75</v>
      </c>
      <c r="BE92" s="18">
        <v>3</v>
      </c>
      <c r="BF92" s="37">
        <v>45510</v>
      </c>
      <c r="BG92" s="20">
        <v>1.0000000000107532</v>
      </c>
    </row>
    <row r="93" spans="1:59" s="3" customFormat="1" ht="14.45" customHeight="1" x14ac:dyDescent="0.25">
      <c r="A93" s="49" t="s">
        <v>241</v>
      </c>
      <c r="B93" s="49" t="s">
        <v>273</v>
      </c>
      <c r="C93" s="49">
        <v>2620058.003</v>
      </c>
      <c r="D93" s="49" t="s">
        <v>240</v>
      </c>
      <c r="E93" s="22" t="str">
        <f>_xll.BDP(AX93,"SECURITY NAME")</f>
        <v>SPDR S&amp;P Regional Banking ETF</v>
      </c>
      <c r="F93" s="22" t="str">
        <f>_xll.BDP(AX93,"CRNCY")</f>
        <v>USD</v>
      </c>
      <c r="G93" s="23" t="s">
        <v>340</v>
      </c>
      <c r="H93" s="22" t="str" cm="1">
        <f t="array" ref="H93">IF(OR(_xll.BDP($AX93,"FD120")="#N/A N/A",_xll.BDP($AX93,"FD120")="#N/A FIELD NOT APPLICABLE")," ",_xll.BDP($AX93,"FD120"))</f>
        <v>U.S.</v>
      </c>
      <c r="I93" s="22" t="str" cm="1">
        <f t="array" ref="I93">IF(OR(_xll.BDP($AX93,"FD116")="#N/A N/A",_xll.BDP($AX93,"FD116")="#N/A FIELD NOT APPLICABLE")," ",_xll.BDP($AX93,"FD116"))</f>
        <v>Blend</v>
      </c>
      <c r="J93" s="22" t="str" cm="1">
        <f t="array" ref="J93">IF(OR(_xll.BDP($AX93,"FD133")="#N/A N/A",_xll.BDP($AX93,"FD133")="#N/A FIELD NOT APPLICABLE")," ", _xll.BDP($AX93,"FD133"))</f>
        <v>Financial</v>
      </c>
      <c r="K93" s="34">
        <f>_xll.BDP(AX93,"FUND_ASSETS_USD")/1000</f>
        <v>3.0820189653700001</v>
      </c>
      <c r="L93" s="25">
        <f>IFERROR(_xll.BDP(AX93, "DV013")/100,0)</f>
        <v>2.7638004006055251E-2</v>
      </c>
      <c r="M93" s="25" cm="1">
        <f t="array" ref="M93">IF(OR(_xll.BDP($AX93,"PR079")="#N/A N/A",_xll.BDP($AX93,"PR079")="#N/A FIELD NOT APPLICABLE")," ", _xll.BDP($AX93,"PR079")/100)</f>
        <v>-9.3123419999999998E-2</v>
      </c>
      <c r="N93" s="25" cm="1">
        <f t="array" ref="N93">IF(OR(_xll.BDP($AX93,"RT074")="#N/A N/A",_xll.BDP($AX93,"RT074")="#N/A FIELD NOT APPLICABLE")," ", _xll.BDP($AX93,"RT074")/100)</f>
        <v>0.16714500000000002</v>
      </c>
      <c r="O93" s="27">
        <v>1355</v>
      </c>
      <c r="P93" s="28">
        <v>56.77</v>
      </c>
      <c r="Q93" s="22" cm="1">
        <f t="array" ref="Q93">IF(OR(_xll.BDP($AX93,"PX_last")="#N/A N/A",_xll.BDP($AX93,"PX_Last")="#N/A FIELD NOT APPLICABLE")," ",IF(F93="GBP",(_xll.BDP($AX93,"PX_LAST")),(_xll.BDP($AX93,"PX_LAST"))))</f>
        <v>54.73</v>
      </c>
      <c r="R93" s="29">
        <f>IF(F93="USD",AA93,(((_xll.BDP(F93&amp;"USD CURNCY","PX_LAST")))*AA93))</f>
        <v>76923.350000000006</v>
      </c>
      <c r="S93" s="29">
        <f>IF(F93="USD",AB93,(((_xll.BDP(F93&amp;"USD CURNCY","PX_LAST")))*AB93))</f>
        <v>74159.149999999994</v>
      </c>
      <c r="T93" s="12">
        <f t="shared" si="16"/>
        <v>-2764.2000000000116</v>
      </c>
      <c r="U93" s="13">
        <f t="shared" si="17"/>
        <v>-3.5934472432623016E-2</v>
      </c>
      <c r="V93" s="13" cm="1">
        <f t="array" ref="V93">IFERROR(_xll.BDP($G93&amp;" Equity","CHG_PCT_1D")/100,"")</f>
        <v>1.1084430000000001E-2</v>
      </c>
      <c r="W93" s="13" cm="1">
        <f t="array" ref="W93">IFERROR(_xll.BDP($G93&amp;" Equity","CHG_PCT_5D")/100,"")</f>
        <v>5.1423319999999995E-3</v>
      </c>
      <c r="X93" s="13" t="e">
        <f>S93/#REF!</f>
        <v>#REF!</v>
      </c>
      <c r="Y93" s="29">
        <f t="shared" si="18"/>
        <v>2049.6108847856522</v>
      </c>
      <c r="Z93" s="29">
        <f t="shared" si="19"/>
        <v>74159.149999999994</v>
      </c>
      <c r="AA93" s="29">
        <f t="shared" si="20"/>
        <v>76923.350000000006</v>
      </c>
      <c r="AB93" s="29">
        <f t="shared" si="21"/>
        <v>74159.149999999994</v>
      </c>
      <c r="AC93" s="25" t="str" cm="1">
        <f t="array" ref="AC93">IF(OR(_xll.BDP($AX93,"EX028")="#N/A N/A",_xll.BDP($AX93,"EX028")="#N/A FIELD NOT APPLICABLE")," ", _xll.BDP($AX93,"EX028"))</f>
        <v>Fund</v>
      </c>
      <c r="AD93" s="35" t="str" cm="1">
        <f t="array" ref="AD93">IF(OR(_xll.BDP($AX93,"FD121")="#N/A N/A",_xll.BDP($AX93,"FD121")="#N/A FIELD NOT APPLICABLE")," ", _xll.BDP($AX93,"FD121"))</f>
        <v>Equity</v>
      </c>
      <c r="AE93" s="25" t="str" cm="1">
        <f t="array" ref="AE93">IF(OR(_xll.BDP($AX93,"FD118")="#N/A N/A",_xll.BDP($AX93,"FD118")="#N/A FIELD NOT APPLICABLE")," ", _xll.BDP($AX93,"FD118"))</f>
        <v>ETF</v>
      </c>
      <c r="AF93" s="22" t="str" cm="1">
        <f t="array" ref="AF93">IF(OR(_xll.BDP($AX93,"FD114")="#N/A N/A",_xll.BDP($AX93,"FD114")="#N/A FIELD NOT APPLICABLE")," ", _xll.BDP($AX93,"FD114"))</f>
        <v xml:space="preserve"> </v>
      </c>
      <c r="AG93" s="22" t="str" cm="1">
        <f t="array" ref="AG93">IF(OR(_xll.BDP($AX93,"FD003")="#N/A N/A",_xll.BDP($AX93,"FD003")="#N/A FIELD NOT APPLICABLE")," ", _xll.BDP($AX93,"FD003"))</f>
        <v>22/06/2006</v>
      </c>
      <c r="AH93" s="32" cm="1">
        <f t="array" ref="AH93">IF(OR(_xll.BDP($AX93,"PR061")="#N/A N/A",_xll.BDP($AX93,"PR061")="#N/A FIELD NOT APPLICABLE")," ", _xll.BDP($AX93,"PR061")/100)</f>
        <v>-4.3516269999999996E-2</v>
      </c>
      <c r="AI93" s="25" cm="1">
        <f t="array" ref="AI93">IF(OR(_xll.BDP($AX93,"RT075")="#N/A N/A",_xll.BDP($AX93,"RT075")="#N/A FIELD NOT APPLICABLE")," ", _xll.BDP($AX93,"RT075")/100)</f>
        <v>-1.0666310000000002E-2</v>
      </c>
      <c r="AJ93" s="25" cm="1">
        <f t="array" ref="AJ93">IF(OR(_xll.BDP($AX93,"RT076")="#N/A N/A",_xll.BDP($AX93,"RT076")="#N/A FIELD NOT APPLICABLE")," ", _xll.BDP($AX93,"RT076")/100)</f>
        <v>0.1167729</v>
      </c>
      <c r="AK93" s="25" cm="1">
        <f t="array" ref="AK93">IF(OR(_xll.BDP($AX93,"FD252")="#N/A N/A",_xll.BDP($AX93,"FD252")="#N/A FIELD NOT APPLICABLE")," ", _xll.BDP($AX93,"FD252")/100)</f>
        <v>0</v>
      </c>
      <c r="AL93" s="25" cm="1">
        <f t="array" ref="AL93">IF(OR(_xll.BDP($AX93,"FD015")="#N/A N/A",_xll.BDP($AX93,"FD015")="#N/A FIELD NOT APPLICABLE")," ", _xll.BDP($AX93,"FD015")/100)</f>
        <v>3.4999999999999996E-3</v>
      </c>
      <c r="AM93" s="25" cm="1">
        <f t="array" ref="AM93">IF(OR(_xll.BDP($AX93,"FD138")="#N/A N/A",_xll.BDP($AX93,"FD138")="#N/A FIELD NOT APPLICABLE")," ", _xll.BDP($AX93,"FD138")/100)</f>
        <v>3.4999999999999996E-3</v>
      </c>
      <c r="AN93" s="36" cm="1">
        <f t="array" ref="AN93">IF(OR(_xll.BDP($AX93,"FD009")="#N/A N/A",_xll.BDP($AX93,"FD009")="#N/A FIELD NOT APPLICABLE")," ", _xll.BDP($AX93,"FD009")/100)</f>
        <v>0</v>
      </c>
      <c r="AO93" s="25" cm="1">
        <f t="array" ref="AO93">IF(OR(_xll.BDP($AX93,"RK512")="#N/A N/A",_xll.BDP($AX93,"RK512")="#N/A FIELD NOT APPLICABLE")," ", _xll.BDP($AX93,"RK512")/100)</f>
        <v>5.1252001523971556E-3</v>
      </c>
      <c r="AP93" s="25" cm="1">
        <f t="array" ref="AP93">IF(OR(_xll.BDP($AX93,"RK514")="#N/A N/A",_xll.BDP($AX93,"RK514")="#N/A FIELD NOT APPLICABLE")," ", _xll.BDP($AX93,"RK514")/100)</f>
        <v>4.9456900358200075E-3</v>
      </c>
      <c r="AQ93" s="25" cm="1">
        <f t="array" ref="AQ93">IF(OR(_xll.BDP($AX93,"RK521")="#N/A N/A",_xll.BDP($AX93,"RK521")="#N/A FIELD NOT APPLICABLE")," ", _xll.BDP($AX93,"RK521")/100)</f>
        <v>-4.5939099788665774E-3</v>
      </c>
      <c r="AR93" s="25" cm="1">
        <f t="array" ref="AR93">IF(OR(_xll.BDP($AX93,"RK525")="#N/A N/A",_xll.BDP($AX93,"RK525")="#N/A FIELD NOT APPLICABLE")," ", _xll.BDP($AX93,"RK525")/100)</f>
        <v>1.0008100271224975E-2</v>
      </c>
      <c r="AS93" s="25" cm="1">
        <f t="array" ref="AS93">IF(OR(_xll.BDP($AX93,"RK524")="#N/A N/A",_xll.BDP($AX93,"RK524")="#N/A FIELD NOT APPLICABLE")," ", _xll.BDP($AX93,"RK524")/100)</f>
        <v>-9.158000349998474E-5</v>
      </c>
      <c r="AT93" s="25" t="str" cm="1">
        <f t="array" ref="AT93">IF(OR(_xll.BDP($AX93,"FD183")="#N/A N/A",_xll.BDP($AX93,"FD183")="#N/A FIELD NOT APPLICABLE")," ", _xll.BDP($AX93,"FD183"))</f>
        <v>USD INC</v>
      </c>
      <c r="AU93" s="25" t="str" cm="1">
        <f t="array" ref="AU93">IF(OR(_xll.BDP($AX93,"DY997")="#N/A N/A",_xll.BDP($AX93,"DY997")="#N/A FIELD NOT APPLICABLE")," ", _xll.BDP($AX93,"DY997"))</f>
        <v xml:space="preserve"> </v>
      </c>
      <c r="AV93" s="25" t="str" cm="1">
        <f t="array" ref="AV93">IF(OR(_xll.BDP($AX93,"DY784")="#N/A N/A",_xll.BDP($AX93,"DY784")="#N/A FIELD NOT APPLICABLE")," ", _xll.BDP($AX93,"DY784"))</f>
        <v xml:space="preserve"> </v>
      </c>
      <c r="AW93" s="22" t="str">
        <f t="shared" si="22"/>
        <v>N</v>
      </c>
      <c r="AX93" s="22" t="str">
        <f t="shared" si="23"/>
        <v>KRE US Equity</v>
      </c>
      <c r="BC93" s="17" t="str" cm="1">
        <f t="array" ref="BC93">_xll.BDP(AX93,"ID005")</f>
        <v>US78464A6982</v>
      </c>
      <c r="BD93" s="17">
        <v>0.75</v>
      </c>
      <c r="BE93" s="18">
        <v>3</v>
      </c>
      <c r="BF93" s="37">
        <v>45510</v>
      </c>
      <c r="BG93" s="20">
        <v>1.0000000000107532</v>
      </c>
    </row>
    <row r="94" spans="1:59" s="3" customFormat="1" ht="14.45" customHeight="1" x14ac:dyDescent="0.25">
      <c r="A94" s="49" t="s">
        <v>241</v>
      </c>
      <c r="B94" s="49" t="s">
        <v>276</v>
      </c>
      <c r="C94" s="49" t="s">
        <v>277</v>
      </c>
      <c r="D94" s="49" t="s">
        <v>240</v>
      </c>
      <c r="E94" s="22" t="str">
        <f>_xll.BDP(AX94,"SECURITY NAME")</f>
        <v>SPDR S&amp;P Regional Banking ETF</v>
      </c>
      <c r="F94" s="22" t="str">
        <f>_xll.BDP(AX94,"CRNCY")</f>
        <v>USD</v>
      </c>
      <c r="G94" s="23" t="s">
        <v>340</v>
      </c>
      <c r="H94" s="22" t="str" cm="1">
        <f t="array" ref="H94">IF(OR(_xll.BDP($AX94,"FD120")="#N/A N/A",_xll.BDP($AX94,"FD120")="#N/A FIELD NOT APPLICABLE")," ",_xll.BDP($AX94,"FD120"))</f>
        <v>U.S.</v>
      </c>
      <c r="I94" s="22" t="str" cm="1">
        <f t="array" ref="I94">IF(OR(_xll.BDP($AX94,"FD116")="#N/A N/A",_xll.BDP($AX94,"FD116")="#N/A FIELD NOT APPLICABLE")," ",_xll.BDP($AX94,"FD116"))</f>
        <v>Blend</v>
      </c>
      <c r="J94" s="22" t="str" cm="1">
        <f t="array" ref="J94">IF(OR(_xll.BDP($AX94,"FD133")="#N/A N/A",_xll.BDP($AX94,"FD133")="#N/A FIELD NOT APPLICABLE")," ", _xll.BDP($AX94,"FD133"))</f>
        <v>Financial</v>
      </c>
      <c r="K94" s="34">
        <f>_xll.BDP(AX94,"FUND_ASSETS_USD")/1000</f>
        <v>3.0820189653700001</v>
      </c>
      <c r="L94" s="25">
        <f>IFERROR(_xll.BDP(AX94, "DV013")/100,0)</f>
        <v>2.7638004006055251E-2</v>
      </c>
      <c r="M94" s="25" cm="1">
        <f t="array" ref="M94">IF(OR(_xll.BDP($AX94,"PR079")="#N/A N/A",_xll.BDP($AX94,"PR079")="#N/A FIELD NOT APPLICABLE")," ", _xll.BDP($AX94,"PR079")/100)</f>
        <v>-9.3123419999999998E-2</v>
      </c>
      <c r="N94" s="25" cm="1">
        <f t="array" ref="N94">IF(OR(_xll.BDP($AX94,"RT074")="#N/A N/A",_xll.BDP($AX94,"RT074")="#N/A FIELD NOT APPLICABLE")," ", _xll.BDP($AX94,"RT074")/100)</f>
        <v>0.16714500000000002</v>
      </c>
      <c r="O94" s="27">
        <v>3107</v>
      </c>
      <c r="P94" s="28">
        <v>56.77</v>
      </c>
      <c r="Q94" s="22" cm="1">
        <f t="array" ref="Q94">IF(OR(_xll.BDP($AX94,"PX_last")="#N/A N/A",_xll.BDP($AX94,"PX_Last")="#N/A FIELD NOT APPLICABLE")," ",IF(F94="GBP",(_xll.BDP($AX94,"PX_LAST")),(_xll.BDP($AX94,"PX_LAST"))))</f>
        <v>54.73</v>
      </c>
      <c r="R94" s="29">
        <f>IF(F94="USD",AA94,(((_xll.BDP(F94&amp;"USD CURNCY","PX_LAST")))*AA94))</f>
        <v>176384.39</v>
      </c>
      <c r="S94" s="29">
        <f>IF(F94="USD",AB94,(((_xll.BDP(F94&amp;"USD CURNCY","PX_LAST")))*AB94))</f>
        <v>170046.11</v>
      </c>
      <c r="T94" s="12">
        <f t="shared" si="16"/>
        <v>-6338.2800000000279</v>
      </c>
      <c r="U94" s="13">
        <f t="shared" si="17"/>
        <v>-3.5934472432623023E-2</v>
      </c>
      <c r="V94" s="13" cm="1">
        <f t="array" ref="V94">IFERROR(_xll.BDP($G94&amp;" Equity","CHG_PCT_1D")/100,"")</f>
        <v>1.1084430000000001E-2</v>
      </c>
      <c r="W94" s="13" cm="1">
        <f t="array" ref="W94">IFERROR(_xll.BDP($G94&amp;" Equity","CHG_PCT_5D")/100,"")</f>
        <v>5.1423319999999995E-3</v>
      </c>
      <c r="X94" s="13" t="e">
        <f>S94/#REF!</f>
        <v>#REF!</v>
      </c>
      <c r="Y94" s="29">
        <f t="shared" si="18"/>
        <v>4699.7350693941116</v>
      </c>
      <c r="Z94" s="29">
        <f t="shared" si="19"/>
        <v>170046.11</v>
      </c>
      <c r="AA94" s="29">
        <f t="shared" si="20"/>
        <v>176384.39</v>
      </c>
      <c r="AB94" s="29">
        <f t="shared" si="21"/>
        <v>170046.11</v>
      </c>
      <c r="AC94" s="25" t="str" cm="1">
        <f t="array" ref="AC94">IF(OR(_xll.BDP($AX94,"EX028")="#N/A N/A",_xll.BDP($AX94,"EX028")="#N/A FIELD NOT APPLICABLE")," ", _xll.BDP($AX94,"EX028"))</f>
        <v>Fund</v>
      </c>
      <c r="AD94" s="35" t="str" cm="1">
        <f t="array" ref="AD94">IF(OR(_xll.BDP($AX94,"FD121")="#N/A N/A",_xll.BDP($AX94,"FD121")="#N/A FIELD NOT APPLICABLE")," ", _xll.BDP($AX94,"FD121"))</f>
        <v>Equity</v>
      </c>
      <c r="AE94" s="25" t="str" cm="1">
        <f t="array" ref="AE94">IF(OR(_xll.BDP($AX94,"FD118")="#N/A N/A",_xll.BDP($AX94,"FD118")="#N/A FIELD NOT APPLICABLE")," ", _xll.BDP($AX94,"FD118"))</f>
        <v>ETF</v>
      </c>
      <c r="AF94" s="22" t="str" cm="1">
        <f t="array" ref="AF94">IF(OR(_xll.BDP($AX94,"FD114")="#N/A N/A",_xll.BDP($AX94,"FD114")="#N/A FIELD NOT APPLICABLE")," ", _xll.BDP($AX94,"FD114"))</f>
        <v xml:space="preserve"> </v>
      </c>
      <c r="AG94" s="22" t="str" cm="1">
        <f t="array" ref="AG94">IF(OR(_xll.BDP($AX94,"FD003")="#N/A N/A",_xll.BDP($AX94,"FD003")="#N/A FIELD NOT APPLICABLE")," ", _xll.BDP($AX94,"FD003"))</f>
        <v>22/06/2006</v>
      </c>
      <c r="AH94" s="32" cm="1">
        <f t="array" ref="AH94">IF(OR(_xll.BDP($AX94,"PR061")="#N/A N/A",_xll.BDP($AX94,"PR061")="#N/A FIELD NOT APPLICABLE")," ", _xll.BDP($AX94,"PR061")/100)</f>
        <v>-4.3516269999999996E-2</v>
      </c>
      <c r="AI94" s="25" cm="1">
        <f t="array" ref="AI94">IF(OR(_xll.BDP($AX94,"RT075")="#N/A N/A",_xll.BDP($AX94,"RT075")="#N/A FIELD NOT APPLICABLE")," ", _xll.BDP($AX94,"RT075")/100)</f>
        <v>-1.0666310000000002E-2</v>
      </c>
      <c r="AJ94" s="25" cm="1">
        <f t="array" ref="AJ94">IF(OR(_xll.BDP($AX94,"RT076")="#N/A N/A",_xll.BDP($AX94,"RT076")="#N/A FIELD NOT APPLICABLE")," ", _xll.BDP($AX94,"RT076")/100)</f>
        <v>0.1167729</v>
      </c>
      <c r="AK94" s="25" cm="1">
        <f t="array" ref="AK94">IF(OR(_xll.BDP($AX94,"FD252")="#N/A N/A",_xll.BDP($AX94,"FD252")="#N/A FIELD NOT APPLICABLE")," ", _xll.BDP($AX94,"FD252")/100)</f>
        <v>0</v>
      </c>
      <c r="AL94" s="25" cm="1">
        <f t="array" ref="AL94">IF(OR(_xll.BDP($AX94,"FD015")="#N/A N/A",_xll.BDP($AX94,"FD015")="#N/A FIELD NOT APPLICABLE")," ", _xll.BDP($AX94,"FD015")/100)</f>
        <v>3.4999999999999996E-3</v>
      </c>
      <c r="AM94" s="25" cm="1">
        <f t="array" ref="AM94">IF(OR(_xll.BDP($AX94,"FD138")="#N/A N/A",_xll.BDP($AX94,"FD138")="#N/A FIELD NOT APPLICABLE")," ", _xll.BDP($AX94,"FD138")/100)</f>
        <v>3.4999999999999996E-3</v>
      </c>
      <c r="AN94" s="36" cm="1">
        <f t="array" ref="AN94">IF(OR(_xll.BDP($AX94,"FD009")="#N/A N/A",_xll.BDP($AX94,"FD009")="#N/A FIELD NOT APPLICABLE")," ", _xll.BDP($AX94,"FD009")/100)</f>
        <v>0</v>
      </c>
      <c r="AO94" s="25" cm="1">
        <f t="array" ref="AO94">IF(OR(_xll.BDP($AX94,"RK512")="#N/A N/A",_xll.BDP($AX94,"RK512")="#N/A FIELD NOT APPLICABLE")," ", _xll.BDP($AX94,"RK512")/100)</f>
        <v>5.1252001523971556E-3</v>
      </c>
      <c r="AP94" s="25" cm="1">
        <f t="array" ref="AP94">IF(OR(_xll.BDP($AX94,"RK514")="#N/A N/A",_xll.BDP($AX94,"RK514")="#N/A FIELD NOT APPLICABLE")," ", _xll.BDP($AX94,"RK514")/100)</f>
        <v>4.9456900358200075E-3</v>
      </c>
      <c r="AQ94" s="25" cm="1">
        <f t="array" ref="AQ94">IF(OR(_xll.BDP($AX94,"RK521")="#N/A N/A",_xll.BDP($AX94,"RK521")="#N/A FIELD NOT APPLICABLE")," ", _xll.BDP($AX94,"RK521")/100)</f>
        <v>-4.5939099788665774E-3</v>
      </c>
      <c r="AR94" s="25" cm="1">
        <f t="array" ref="AR94">IF(OR(_xll.BDP($AX94,"RK525")="#N/A N/A",_xll.BDP($AX94,"RK525")="#N/A FIELD NOT APPLICABLE")," ", _xll.BDP($AX94,"RK525")/100)</f>
        <v>1.0008100271224975E-2</v>
      </c>
      <c r="AS94" s="25" cm="1">
        <f t="array" ref="AS94">IF(OR(_xll.BDP($AX94,"RK524")="#N/A N/A",_xll.BDP($AX94,"RK524")="#N/A FIELD NOT APPLICABLE")," ", _xll.BDP($AX94,"RK524")/100)</f>
        <v>-9.158000349998474E-5</v>
      </c>
      <c r="AT94" s="25" t="str" cm="1">
        <f t="array" ref="AT94">IF(OR(_xll.BDP($AX94,"FD183")="#N/A N/A",_xll.BDP($AX94,"FD183")="#N/A FIELD NOT APPLICABLE")," ", _xll.BDP($AX94,"FD183"))</f>
        <v>USD INC</v>
      </c>
      <c r="AU94" s="25" t="str" cm="1">
        <f t="array" ref="AU94">IF(OR(_xll.BDP($AX94,"DY997")="#N/A N/A",_xll.BDP($AX94,"DY997")="#N/A FIELD NOT APPLICABLE")," ", _xll.BDP($AX94,"DY997"))</f>
        <v xml:space="preserve"> </v>
      </c>
      <c r="AV94" s="25" t="str" cm="1">
        <f t="array" ref="AV94">IF(OR(_xll.BDP($AX94,"DY784")="#N/A N/A",_xll.BDP($AX94,"DY784")="#N/A FIELD NOT APPLICABLE")," ", _xll.BDP($AX94,"DY784"))</f>
        <v xml:space="preserve"> </v>
      </c>
      <c r="AW94" s="22" t="str">
        <f t="shared" si="22"/>
        <v>N</v>
      </c>
      <c r="AX94" s="22" t="str">
        <f t="shared" si="23"/>
        <v>KRE US Equity</v>
      </c>
      <c r="BC94" s="17" t="str" cm="1">
        <f t="array" ref="BC94">_xll.BDP(AX94,"ID005")</f>
        <v>US78464A6982</v>
      </c>
      <c r="BD94" s="17">
        <v>0.75</v>
      </c>
      <c r="BE94" s="18">
        <v>5</v>
      </c>
      <c r="BF94" s="37">
        <v>45492</v>
      </c>
      <c r="BG94" s="20">
        <v>1.0000000000107532</v>
      </c>
    </row>
    <row r="95" spans="1:59" s="3" customFormat="1" ht="14.45" customHeight="1" x14ac:dyDescent="0.25">
      <c r="A95" s="49" t="s">
        <v>241</v>
      </c>
      <c r="B95" s="49" t="s">
        <v>238</v>
      </c>
      <c r="C95" s="49" t="s">
        <v>239</v>
      </c>
      <c r="D95" s="49" t="s">
        <v>240</v>
      </c>
      <c r="E95" s="22" t="str">
        <f>_xll.BDP(AX95,"SECURITY NAME")</f>
        <v>KraneShares CSI China Internet</v>
      </c>
      <c r="F95" s="22" t="str">
        <f>_xll.BDP(AX95,"CRNCY")</f>
        <v>USD</v>
      </c>
      <c r="G95" s="23" t="s">
        <v>114</v>
      </c>
      <c r="H95" s="22" t="str" cm="1">
        <f t="array" ref="H95">IF(OR(_xll.BDP($AX95,"FD120")="#N/A N/A",_xll.BDP($AX95,"FD120")="#N/A FIELD NOT APPLICABLE")," ",_xll.BDP($AX95,"FD120"))</f>
        <v>China</v>
      </c>
      <c r="I95" s="22" t="str" cm="1">
        <f t="array" ref="I95">IF(OR(_xll.BDP($AX95,"FD116")="#N/A N/A",_xll.BDP($AX95,"FD116")="#N/A FIELD NOT APPLICABLE")," ",_xll.BDP($AX95,"FD116"))</f>
        <v>Blend</v>
      </c>
      <c r="J95" s="22" t="str" cm="1">
        <f t="array" ref="J95">IF(OR(_xll.BDP($AX95,"FD133")="#N/A N/A",_xll.BDP($AX95,"FD133")="#N/A FIELD NOT APPLICABLE")," ", _xll.BDP($AX95,"FD133"))</f>
        <v>Technology</v>
      </c>
      <c r="K95" s="34">
        <f>_xll.BDP(AX95,"FUND_ASSETS_USD")/1000</f>
        <v>6.0034330481200007</v>
      </c>
      <c r="L95" s="25">
        <f>IFERROR(_xll.BDP(AX95, "DV013")/100,0)</f>
        <v>3.1885052750837119E-2</v>
      </c>
      <c r="M95" s="25" cm="1">
        <f t="array" ref="M95">IF(OR(_xll.BDP($AX95,"PR079")="#N/A N/A",_xll.BDP($AX95,"PR079")="#N/A FIELD NOT APPLICABLE")," ", _xll.BDP($AX95,"PR079")/100)</f>
        <v>9.9726330000000002E-2</v>
      </c>
      <c r="N95" s="25" cm="1">
        <f t="array" ref="N95">IF(OR(_xll.BDP($AX95,"RT074")="#N/A N/A",_xll.BDP($AX95,"RT074")="#N/A FIELD NOT APPLICABLE")," ", _xll.BDP($AX95,"RT074")/100)</f>
        <v>0.18750139999999998</v>
      </c>
      <c r="O95" s="27">
        <v>1520</v>
      </c>
      <c r="P95" s="28">
        <v>49.28</v>
      </c>
      <c r="Q95" s="22" cm="1">
        <f t="array" ref="Q95">IF(OR(_xll.BDP($AX95,"PX_last")="#N/A N/A",_xll.BDP($AX95,"PX_Last")="#N/A FIELD NOT APPLICABLE")," ",IF(F95="GBP",(_xll.BDP($AX95,"PX_LAST")/100),(_xll.BDP($AX95,"PX_LAST"))))</f>
        <v>32.145000000000003</v>
      </c>
      <c r="R95" s="29">
        <f>IF(F95="USD",AA95,(((_xll.BDP(F95&amp;"USD CURNCY","PX_LAST")))*AA95))</f>
        <v>74905.600000000006</v>
      </c>
      <c r="S95" s="29">
        <f>IF(F95="USD",AB95,(((_xll.BDP(F95&amp;"USD CURNCY","PX_LAST")))*AB95))</f>
        <v>48860.4</v>
      </c>
      <c r="T95" s="12">
        <f t="shared" si="16"/>
        <v>-26045.200000000004</v>
      </c>
      <c r="U95" s="13">
        <f t="shared" si="17"/>
        <v>-0.34770698051948057</v>
      </c>
      <c r="V95" s="13" cm="1">
        <f t="array" ref="V95">IFERROR(_xll.BDP($G95&amp;" Equity","CHG_PCT_1D")/100,"")</f>
        <v>7.7833130000000005E-4</v>
      </c>
      <c r="W95" s="13" cm="1">
        <f t="array" ref="W95">IFERROR(_xll.BDP($G95&amp;" Equity","CHG_PCT_5D")/100,"")</f>
        <v>2.4949320000000001E-3</v>
      </c>
      <c r="X95" s="13" t="e">
        <f>S95/$H$62</f>
        <v>#VALUE!</v>
      </c>
      <c r="Y95" s="29">
        <f t="shared" si="18"/>
        <v>1557.916431427002</v>
      </c>
      <c r="Z95" s="29">
        <f t="shared" si="19"/>
        <v>48860.4</v>
      </c>
      <c r="AA95" s="29">
        <f t="shared" si="20"/>
        <v>74905.600000000006</v>
      </c>
      <c r="AB95" s="29">
        <f t="shared" si="21"/>
        <v>48860.4</v>
      </c>
      <c r="AC95" s="25" t="str" cm="1">
        <f t="array" ref="AC95">IF(OR(_xll.BDP($AX95,"EX028")="#N/A N/A",_xll.BDP($AX95,"EX028")="#N/A FIELD NOT APPLICABLE")," ", _xll.BDP($AX95,"EX028"))</f>
        <v>Fund</v>
      </c>
      <c r="AD95" s="35" t="str" cm="1">
        <f t="array" ref="AD95">IF(OR(_xll.BDP($AX95,"FD121")="#N/A N/A",_xll.BDP($AX95,"FD121")="#N/A FIELD NOT APPLICABLE")," ", _xll.BDP($AX95,"FD121"))</f>
        <v>Equity</v>
      </c>
      <c r="AE95" s="25" t="str" cm="1">
        <f t="array" ref="AE95">IF(OR(_xll.BDP($AX95,"FD118")="#N/A N/A",_xll.BDP($AX95,"FD118")="#N/A FIELD NOT APPLICABLE")," ", _xll.BDP($AX95,"FD118"))</f>
        <v>ETF</v>
      </c>
      <c r="AF95" s="22" t="str" cm="1">
        <f t="array" ref="AF95">IF(OR(_xll.BDP($AX95,"FD114")="#N/A N/A",_xll.BDP($AX95,"FD114")="#N/A FIELD NOT APPLICABLE")," ", _xll.BDP($AX95,"FD114"))</f>
        <v xml:space="preserve"> </v>
      </c>
      <c r="AG95" s="22" t="str" cm="1">
        <f t="array" ref="AG95">IF(OR(_xll.BDP($AX95,"FD003")="#N/A N/A",_xll.BDP($AX95,"FD003")="#N/A FIELD NOT APPLICABLE")," ", _xll.BDP($AX95,"FD003"))</f>
        <v>31/07/2013</v>
      </c>
      <c r="AH95" s="32" cm="1">
        <f t="array" ref="AH95">IF(OR(_xll.BDP($AX95,"PR061")="#N/A N/A",_xll.BDP($AX95,"PR061")="#N/A FIELD NOT APPLICABLE")," ", _xll.BDP($AX95,"PR061")/100)</f>
        <v>-7.9862639999999999E-2</v>
      </c>
      <c r="AI95" s="25" cm="1">
        <f t="array" ref="AI95">IF(OR(_xll.BDP($AX95,"RT075")="#N/A N/A",_xll.BDP($AX95,"RT075")="#N/A FIELD NOT APPLICABLE")," ", _xll.BDP($AX95,"RT075")/100)</f>
        <v>6.1133069999999998E-2</v>
      </c>
      <c r="AJ95" s="25" cm="1">
        <f t="array" ref="AJ95">IF(OR(_xll.BDP($AX95,"RT076")="#N/A N/A",_xll.BDP($AX95,"RT076")="#N/A FIELD NOT APPLICABLE")," ", _xll.BDP($AX95,"RT076")/100)</f>
        <v>-4.4270839999999999E-2</v>
      </c>
      <c r="AK95" s="25" cm="1">
        <f t="array" ref="AK95">IF(OR(_xll.BDP($AX95,"FD252")="#N/A N/A",_xll.BDP($AX95,"FD252")="#N/A FIELD NOT APPLICABLE")," ", _xll.BDP($AX95,"FD252")/100)</f>
        <v>0</v>
      </c>
      <c r="AL95" s="25" cm="1">
        <f t="array" ref="AL95">IF(OR(_xll.BDP($AX95,"FD015")="#N/A N/A",_xll.BDP($AX95,"FD015")="#N/A FIELD NOT APPLICABLE")," ", _xll.BDP($AX95,"FD015")/100)</f>
        <v>6.9999999999999993E-3</v>
      </c>
      <c r="AM95" s="25" cm="1">
        <f t="array" ref="AM95">IF(OR(_xll.BDP($AX95,"FD138")="#N/A N/A",_xll.BDP($AX95,"FD138")="#N/A FIELD NOT APPLICABLE")," ", _xll.BDP($AX95,"FD138")/100)</f>
        <v>6.8000000000000005E-3</v>
      </c>
      <c r="AN95" s="36" cm="1">
        <f t="array" ref="AN95">IF(OR(_xll.BDP($AX95,"FD009")="#N/A N/A",_xll.BDP($AX95,"FD009")="#N/A FIELD NOT APPLICABLE")," ", _xll.BDP($AX95,"FD009")/100)</f>
        <v>0</v>
      </c>
      <c r="AO95" s="25" cm="1">
        <f t="array" ref="AO95">IF(OR(_xll.BDP($AX95,"RK512")="#N/A N/A",_xll.BDP($AX95,"RK512")="#N/A FIELD NOT APPLICABLE")," ", _xll.BDP($AX95,"RK512")/100)</f>
        <v>4.7488099336624144E-3</v>
      </c>
      <c r="AP95" s="25" cm="1">
        <f t="array" ref="AP95">IF(OR(_xll.BDP($AX95,"RK514")="#N/A N/A",_xll.BDP($AX95,"RK514")="#N/A FIELD NOT APPLICABLE")," ", _xll.BDP($AX95,"RK514")/100)</f>
        <v>6.2772798538208007E-3</v>
      </c>
      <c r="AQ95" s="25" cm="1">
        <f t="array" ref="AQ95">IF(OR(_xll.BDP($AX95,"RK521")="#N/A N/A",_xll.BDP($AX95,"RK521")="#N/A FIELD NOT APPLICABLE")," ", _xll.BDP($AX95,"RK521")/100)</f>
        <v>1.4107999801635742E-2</v>
      </c>
      <c r="AR95" s="25" cm="1">
        <f t="array" ref="AR95">IF(OR(_xll.BDP($AX95,"RK525")="#N/A N/A",_xll.BDP($AX95,"RK525")="#N/A FIELD NOT APPLICABLE")," ", _xll.BDP($AX95,"RK525")/100)</f>
        <v>9.8214697837829597E-3</v>
      </c>
      <c r="AS95" s="25" cm="1">
        <f t="array" ref="AS95">IF(OR(_xll.BDP($AX95,"RK524")="#N/A N/A",_xll.BDP($AX95,"RK524")="#N/A FIELD NOT APPLICABLE")," ", _xll.BDP($AX95,"RK524")/100)</f>
        <v>3.436100110411644E-4</v>
      </c>
      <c r="AT95" s="25" t="str" cm="1">
        <f t="array" ref="AT95">IF(OR(_xll.BDP($AX95,"FD183")="#N/A N/A",_xll.BDP($AX95,"FD183")="#N/A FIELD NOT APPLICABLE")," ", _xll.BDP($AX95,"FD183"))</f>
        <v>USD INC</v>
      </c>
      <c r="AU95" s="25" t="str" cm="1">
        <f t="array" ref="AU95">IF(OR(_xll.BDP($AX95,"DY997")="#N/A N/A",_xll.BDP($AX95,"DY997")="#N/A FIELD NOT APPLICABLE")," ", _xll.BDP($AX95,"DY997"))</f>
        <v xml:space="preserve"> </v>
      </c>
      <c r="AV95" s="25" t="str" cm="1">
        <f t="array" ref="AV95">IF(OR(_xll.BDP($AX95,"DY784")="#N/A N/A",_xll.BDP($AX95,"DY784")="#N/A FIELD NOT APPLICABLE")," ", _xll.BDP($AX95,"DY784"))</f>
        <v xml:space="preserve"> </v>
      </c>
      <c r="AW95" s="22" t="str">
        <f t="shared" si="22"/>
        <v>N</v>
      </c>
      <c r="AX95" s="22" t="str">
        <f t="shared" si="23"/>
        <v>KWEB UN Equity</v>
      </c>
      <c r="BC95" s="17" t="str" cm="1">
        <f t="array" ref="BC95">_xll.BDP(AX95,"ID005")</f>
        <v>US5007673065</v>
      </c>
      <c r="BD95" s="17">
        <v>0.65</v>
      </c>
      <c r="BE95" s="18">
        <v>5</v>
      </c>
      <c r="BF95" s="37">
        <v>44433</v>
      </c>
      <c r="BG95" s="20">
        <v>1.0000000000107532</v>
      </c>
    </row>
    <row r="96" spans="1:59" s="3" customFormat="1" ht="14.45" customHeight="1" x14ac:dyDescent="0.25">
      <c r="A96" s="49" t="s">
        <v>241</v>
      </c>
      <c r="B96" s="49" t="s">
        <v>249</v>
      </c>
      <c r="C96" s="49" t="s">
        <v>250</v>
      </c>
      <c r="D96" s="49" t="s">
        <v>240</v>
      </c>
      <c r="E96" s="22" t="str">
        <f>_xll.BDP(AX96,"SECURITY NAME")</f>
        <v>KraneShares CSI China Internet</v>
      </c>
      <c r="F96" s="22" t="str">
        <f>_xll.BDP(AX96,"CRNCY")</f>
        <v>USD</v>
      </c>
      <c r="G96" s="23" t="s">
        <v>114</v>
      </c>
      <c r="H96" s="22" t="str" cm="1">
        <f t="array" ref="H96">IF(OR(_xll.BDP($AX96,"FD120")="#N/A N/A",_xll.BDP($AX96,"FD120")="#N/A FIELD NOT APPLICABLE")," ",_xll.BDP($AX96,"FD120"))</f>
        <v>China</v>
      </c>
      <c r="I96" s="22" t="str" cm="1">
        <f t="array" ref="I96">IF(OR(_xll.BDP($AX96,"FD116")="#N/A N/A",_xll.BDP($AX96,"FD116")="#N/A FIELD NOT APPLICABLE")," ",_xll.BDP($AX96,"FD116"))</f>
        <v>Blend</v>
      </c>
      <c r="J96" s="22" t="str" cm="1">
        <f t="array" ref="J96">IF(OR(_xll.BDP($AX96,"FD133")="#N/A N/A",_xll.BDP($AX96,"FD133")="#N/A FIELD NOT APPLICABLE")," ", _xll.BDP($AX96,"FD133"))</f>
        <v>Technology</v>
      </c>
      <c r="K96" s="34">
        <f>_xll.BDP(AX96,"FUND_ASSETS_USD")/1000</f>
        <v>6.0034330481200007</v>
      </c>
      <c r="L96" s="25">
        <f>IFERROR(_xll.BDP(AX96, "DV013")/100,0)</f>
        <v>3.1885052750837119E-2</v>
      </c>
      <c r="M96" s="25" cm="1">
        <f t="array" ref="M96">IF(OR(_xll.BDP($AX96,"PR079")="#N/A N/A",_xll.BDP($AX96,"PR079")="#N/A FIELD NOT APPLICABLE")," ", _xll.BDP($AX96,"PR079")/100)</f>
        <v>9.9726330000000002E-2</v>
      </c>
      <c r="N96" s="25" cm="1">
        <f t="array" ref="N96">IF(OR(_xll.BDP($AX96,"RT074")="#N/A N/A",_xll.BDP($AX96,"RT074")="#N/A FIELD NOT APPLICABLE")," ", _xll.BDP($AX96,"RT074")/100)</f>
        <v>0.18750139999999998</v>
      </c>
      <c r="O96" s="27">
        <v>810</v>
      </c>
      <c r="P96" s="28">
        <v>66.943399999999997</v>
      </c>
      <c r="Q96" s="22" cm="1">
        <f t="array" ref="Q96">IF(OR(_xll.BDP($AX96,"PX_last")="#N/A N/A",_xll.BDP($AX96,"PX_Last")="#N/A FIELD NOT APPLICABLE")," ",IF(F96="GBP",(_xll.BDP($AX96,"PX_LAST")/100),(_xll.BDP($AX96,"PX_LAST"))))</f>
        <v>32.145000000000003</v>
      </c>
      <c r="R96" s="29">
        <f>IF(F96="USD",AA96,(((_xll.BDP(F96&amp;"USD CURNCY","PX_LAST")))*AA96))</f>
        <v>54224.153999999995</v>
      </c>
      <c r="S96" s="29">
        <f>IF(F96="USD",AB96,(((_xll.BDP(F96&amp;"USD CURNCY","PX_LAST")))*AB96))</f>
        <v>26037.45</v>
      </c>
      <c r="T96" s="12">
        <f t="shared" si="16"/>
        <v>-28186.703999999994</v>
      </c>
      <c r="U96" s="13">
        <f t="shared" si="17"/>
        <v>-0.51981823450855491</v>
      </c>
      <c r="V96" s="13" cm="1">
        <f t="array" ref="V96">IFERROR(_xll.BDP($G96&amp;" Equity","CHG_PCT_1D")/100,"")</f>
        <v>7.7833130000000005E-4</v>
      </c>
      <c r="W96" s="13" cm="1">
        <f t="array" ref="W96">IFERROR(_xll.BDP($G96&amp;" Equity","CHG_PCT_5D")/100,"")</f>
        <v>2.4949320000000001E-3</v>
      </c>
      <c r="X96" s="13" t="e">
        <f>S96/$H$62</f>
        <v>#VALUE!</v>
      </c>
      <c r="Y96" s="29">
        <f t="shared" si="18"/>
        <v>830.20546674728394</v>
      </c>
      <c r="Z96" s="29">
        <f t="shared" si="19"/>
        <v>26037.45</v>
      </c>
      <c r="AA96" s="29">
        <f t="shared" si="20"/>
        <v>54224.153999999995</v>
      </c>
      <c r="AB96" s="29">
        <f t="shared" si="21"/>
        <v>26037.45</v>
      </c>
      <c r="AC96" s="25" t="str" cm="1">
        <f t="array" ref="AC96">IF(OR(_xll.BDP($AX96,"EX028")="#N/A N/A",_xll.BDP($AX96,"EX028")="#N/A FIELD NOT APPLICABLE")," ", _xll.BDP($AX96,"EX028"))</f>
        <v>Fund</v>
      </c>
      <c r="AD96" s="35" t="str" cm="1">
        <f t="array" ref="AD96">IF(OR(_xll.BDP($AX96,"FD121")="#N/A N/A",_xll.BDP($AX96,"FD121")="#N/A FIELD NOT APPLICABLE")," ", _xll.BDP($AX96,"FD121"))</f>
        <v>Equity</v>
      </c>
      <c r="AE96" s="25" t="str" cm="1">
        <f t="array" ref="AE96">IF(OR(_xll.BDP($AX96,"FD118")="#N/A N/A",_xll.BDP($AX96,"FD118")="#N/A FIELD NOT APPLICABLE")," ", _xll.BDP($AX96,"FD118"))</f>
        <v>ETF</v>
      </c>
      <c r="AF96" s="22" t="str" cm="1">
        <f t="array" ref="AF96">IF(OR(_xll.BDP($AX96,"FD114")="#N/A N/A",_xll.BDP($AX96,"FD114")="#N/A FIELD NOT APPLICABLE")," ", _xll.BDP($AX96,"FD114"))</f>
        <v xml:space="preserve"> </v>
      </c>
      <c r="AG96" s="22" t="str" cm="1">
        <f t="array" ref="AG96">IF(OR(_xll.BDP($AX96,"FD003")="#N/A N/A",_xll.BDP($AX96,"FD003")="#N/A FIELD NOT APPLICABLE")," ", _xll.BDP($AX96,"FD003"))</f>
        <v>31/07/2013</v>
      </c>
      <c r="AH96" s="32" cm="1">
        <f t="array" ref="AH96">IF(OR(_xll.BDP($AX96,"PR061")="#N/A N/A",_xll.BDP($AX96,"PR061")="#N/A FIELD NOT APPLICABLE")," ", _xll.BDP($AX96,"PR061")/100)</f>
        <v>-7.9862639999999999E-2</v>
      </c>
      <c r="AI96" s="25" cm="1">
        <f t="array" ref="AI96">IF(OR(_xll.BDP($AX96,"RT075")="#N/A N/A",_xll.BDP($AX96,"RT075")="#N/A FIELD NOT APPLICABLE")," ", _xll.BDP($AX96,"RT075")/100)</f>
        <v>6.1133069999999998E-2</v>
      </c>
      <c r="AJ96" s="25" cm="1">
        <f t="array" ref="AJ96">IF(OR(_xll.BDP($AX96,"RT076")="#N/A N/A",_xll.BDP($AX96,"RT076")="#N/A FIELD NOT APPLICABLE")," ", _xll.BDP($AX96,"RT076")/100)</f>
        <v>-4.4270839999999999E-2</v>
      </c>
      <c r="AK96" s="25" cm="1">
        <f t="array" ref="AK96">IF(OR(_xll.BDP($AX96,"FD252")="#N/A N/A",_xll.BDP($AX96,"FD252")="#N/A FIELD NOT APPLICABLE")," ", _xll.BDP($AX96,"FD252")/100)</f>
        <v>0</v>
      </c>
      <c r="AL96" s="25" cm="1">
        <f t="array" ref="AL96">IF(OR(_xll.BDP($AX96,"FD015")="#N/A N/A",_xll.BDP($AX96,"FD015")="#N/A FIELD NOT APPLICABLE")," ", _xll.BDP($AX96,"FD015")/100)</f>
        <v>6.9999999999999993E-3</v>
      </c>
      <c r="AM96" s="25" cm="1">
        <f t="array" ref="AM96">IF(OR(_xll.BDP($AX96,"FD138")="#N/A N/A",_xll.BDP($AX96,"FD138")="#N/A FIELD NOT APPLICABLE")," ", _xll.BDP($AX96,"FD138")/100)</f>
        <v>6.8000000000000005E-3</v>
      </c>
      <c r="AN96" s="36" cm="1">
        <f t="array" ref="AN96">IF(OR(_xll.BDP($AX96,"FD009")="#N/A N/A",_xll.BDP($AX96,"FD009")="#N/A FIELD NOT APPLICABLE")," ", _xll.BDP($AX96,"FD009")/100)</f>
        <v>0</v>
      </c>
      <c r="AO96" s="25" cm="1">
        <f t="array" ref="AO96">IF(OR(_xll.BDP($AX96,"RK512")="#N/A N/A",_xll.BDP($AX96,"RK512")="#N/A FIELD NOT APPLICABLE")," ", _xll.BDP($AX96,"RK512")/100)</f>
        <v>4.7488099336624144E-3</v>
      </c>
      <c r="AP96" s="25" cm="1">
        <f t="array" ref="AP96">IF(OR(_xll.BDP($AX96,"RK514")="#N/A N/A",_xll.BDP($AX96,"RK514")="#N/A FIELD NOT APPLICABLE")," ", _xll.BDP($AX96,"RK514")/100)</f>
        <v>6.2772798538208007E-3</v>
      </c>
      <c r="AQ96" s="25" cm="1">
        <f t="array" ref="AQ96">IF(OR(_xll.BDP($AX96,"RK521")="#N/A N/A",_xll.BDP($AX96,"RK521")="#N/A FIELD NOT APPLICABLE")," ", _xll.BDP($AX96,"RK521")/100)</f>
        <v>1.4107999801635742E-2</v>
      </c>
      <c r="AR96" s="25" cm="1">
        <f t="array" ref="AR96">IF(OR(_xll.BDP($AX96,"RK525")="#N/A N/A",_xll.BDP($AX96,"RK525")="#N/A FIELD NOT APPLICABLE")," ", _xll.BDP($AX96,"RK525")/100)</f>
        <v>9.8214697837829597E-3</v>
      </c>
      <c r="AS96" s="25" cm="1">
        <f t="array" ref="AS96">IF(OR(_xll.BDP($AX96,"RK524")="#N/A N/A",_xll.BDP($AX96,"RK524")="#N/A FIELD NOT APPLICABLE")," ", _xll.BDP($AX96,"RK524")/100)</f>
        <v>3.436100110411644E-4</v>
      </c>
      <c r="AT96" s="25" t="str" cm="1">
        <f t="array" ref="AT96">IF(OR(_xll.BDP($AX96,"FD183")="#N/A N/A",_xll.BDP($AX96,"FD183")="#N/A FIELD NOT APPLICABLE")," ", _xll.BDP($AX96,"FD183"))</f>
        <v>USD INC</v>
      </c>
      <c r="AU96" s="25" t="str" cm="1">
        <f t="array" ref="AU96">IF(OR(_xll.BDP($AX96,"DY997")="#N/A N/A",_xll.BDP($AX96,"DY997")="#N/A FIELD NOT APPLICABLE")," ", _xll.BDP($AX96,"DY997"))</f>
        <v xml:space="preserve"> </v>
      </c>
      <c r="AV96" s="25" t="str" cm="1">
        <f t="array" ref="AV96">IF(OR(_xll.BDP($AX96,"DY784")="#N/A N/A",_xll.BDP($AX96,"DY784")="#N/A FIELD NOT APPLICABLE")," ", _xll.BDP($AX96,"DY784"))</f>
        <v xml:space="preserve"> </v>
      </c>
      <c r="AW96" s="22" t="str">
        <f t="shared" si="22"/>
        <v>N</v>
      </c>
      <c r="AX96" s="22" t="str">
        <f t="shared" si="23"/>
        <v>KWEB UN Equity</v>
      </c>
      <c r="BC96" s="17" t="str" cm="1">
        <f t="array" ref="BC96">_xll.BDP(AX96,"ID005")</f>
        <v>US5007673065</v>
      </c>
      <c r="BD96" s="17">
        <v>0.56999999999999995</v>
      </c>
      <c r="BE96" s="18">
        <v>5</v>
      </c>
      <c r="BF96" s="37">
        <v>44301</v>
      </c>
      <c r="BG96" s="20">
        <v>1.0000000000107532</v>
      </c>
    </row>
    <row r="97" spans="1:59" s="3" customFormat="1" ht="14.45" customHeight="1" x14ac:dyDescent="0.25">
      <c r="A97" s="49" t="s">
        <v>241</v>
      </c>
      <c r="B97" s="49" t="s">
        <v>251</v>
      </c>
      <c r="C97" s="49" t="s">
        <v>252</v>
      </c>
      <c r="D97" s="49" t="s">
        <v>240</v>
      </c>
      <c r="E97" s="22" t="str">
        <f>_xll.BDP(AX97,"SECURITY NAME")</f>
        <v>KraneShares CSI China Internet</v>
      </c>
      <c r="F97" s="22" t="str">
        <f>_xll.BDP(AX97,"CRNCY")</f>
        <v>USD</v>
      </c>
      <c r="G97" s="23" t="s">
        <v>163</v>
      </c>
      <c r="H97" s="22" t="str" cm="1">
        <f t="array" ref="H97">IF(OR(_xll.BDP($AX97,"FD120")="#N/A N/A",_xll.BDP($AX97,"FD120")="#N/A FIELD NOT APPLICABLE")," ",_xll.BDP($AX97,"FD120"))</f>
        <v>China</v>
      </c>
      <c r="I97" s="22" t="str" cm="1">
        <f t="array" ref="I97">IF(OR(_xll.BDP($AX97,"FD116")="#N/A N/A",_xll.BDP($AX97,"FD116")="#N/A FIELD NOT APPLICABLE")," ",_xll.BDP($AX97,"FD116"))</f>
        <v>Blend</v>
      </c>
      <c r="J97" s="22" t="str" cm="1">
        <f t="array" ref="J97">IF(OR(_xll.BDP($AX97,"FD133")="#N/A N/A",_xll.BDP($AX97,"FD133")="#N/A FIELD NOT APPLICABLE")," ", _xll.BDP($AX97,"FD133"))</f>
        <v>Technology</v>
      </c>
      <c r="K97" s="34">
        <f>_xll.BDP(AX97,"FUND_ASSETS_USD")/1000</f>
        <v>6.0034330481200007</v>
      </c>
      <c r="L97" s="25">
        <f>IFERROR(_xll.BDP(AX97, "DV013")/100,0)</f>
        <v>3.1885052750837119E-2</v>
      </c>
      <c r="M97" s="25" cm="1">
        <f t="array" ref="M97">IF(OR(_xll.BDP($AX97,"PR079")="#N/A N/A",_xll.BDP($AX97,"PR079")="#N/A FIELD NOT APPLICABLE")," ", _xll.BDP($AX97,"PR079")/100)</f>
        <v>9.9726330000000002E-2</v>
      </c>
      <c r="N97" s="25" cm="1">
        <f t="array" ref="N97">IF(OR(_xll.BDP($AX97,"RT074")="#N/A N/A",_xll.BDP($AX97,"RT074")="#N/A FIELD NOT APPLICABLE")," ", _xll.BDP($AX97,"RT074")/100)</f>
        <v>0.18750139999999998</v>
      </c>
      <c r="O97" s="27">
        <v>1685</v>
      </c>
      <c r="P97" s="28">
        <v>58.865000000000002</v>
      </c>
      <c r="Q97" s="22" cm="1">
        <f t="array" ref="Q97">IF(OR(_xll.BDP($AX97,"PX_last")="#N/A N/A",_xll.BDP($AX97,"PX_Last")="#N/A FIELD NOT APPLICABLE")," ",IF(F97="GBP",(_xll.BDP($AX97,"PX_LAST")/100),(_xll.BDP($AX97,"PX_LAST"))))</f>
        <v>32.145000000000003</v>
      </c>
      <c r="R97" s="29">
        <f>IF(F97="USD",AA97,(((_xll.BDP(F97&amp;"USD CURNCY","PX_LAST")))*AA97))</f>
        <v>99187.525000000009</v>
      </c>
      <c r="S97" s="29">
        <f>IF(F97="USD",AB97,(((_xll.BDP(F97&amp;"USD CURNCY","PX_LAST")))*AB97))</f>
        <v>54164.325000000004</v>
      </c>
      <c r="T97" s="12">
        <f t="shared" si="16"/>
        <v>-45023.200000000004</v>
      </c>
      <c r="U97" s="13">
        <f t="shared" si="17"/>
        <v>-0.45391998640958126</v>
      </c>
      <c r="V97" s="13" cm="1">
        <f t="array" ref="V97">IFERROR(_xll.BDP($G97&amp;" Equity","CHG_PCT_1D")/100,"")</f>
        <v>7.7833130000000005E-4</v>
      </c>
      <c r="W97" s="13" cm="1">
        <f t="array" ref="W97">IFERROR(_xll.BDP($G97&amp;" Equity","CHG_PCT_5D")/100,"")</f>
        <v>2.4949320000000001E-3</v>
      </c>
      <c r="X97" s="13" t="e">
        <f>S97/$H$62</f>
        <v>#VALUE!</v>
      </c>
      <c r="Y97" s="29">
        <f t="shared" si="18"/>
        <v>1727.0323598384859</v>
      </c>
      <c r="Z97" s="29">
        <f t="shared" si="19"/>
        <v>54164.325000000004</v>
      </c>
      <c r="AA97" s="29">
        <f t="shared" si="20"/>
        <v>99187.525000000009</v>
      </c>
      <c r="AB97" s="29">
        <f t="shared" si="21"/>
        <v>54164.325000000004</v>
      </c>
      <c r="AC97" s="25" t="str" cm="1">
        <f t="array" ref="AC97">IF(OR(_xll.BDP($AX97,"EX028")="#N/A N/A",_xll.BDP($AX97,"EX028")="#N/A FIELD NOT APPLICABLE")," ", _xll.BDP($AX97,"EX028"))</f>
        <v>Fund</v>
      </c>
      <c r="AD97" s="35" t="str" cm="1">
        <f t="array" ref="AD97">IF(OR(_xll.BDP($AX97,"FD121")="#N/A N/A",_xll.BDP($AX97,"FD121")="#N/A FIELD NOT APPLICABLE")," ", _xll.BDP($AX97,"FD121"))</f>
        <v>Equity</v>
      </c>
      <c r="AE97" s="25" t="str" cm="1">
        <f t="array" ref="AE97">IF(OR(_xll.BDP($AX97,"FD118")="#N/A N/A",_xll.BDP($AX97,"FD118")="#N/A FIELD NOT APPLICABLE")," ", _xll.BDP($AX97,"FD118"))</f>
        <v>ETF</v>
      </c>
      <c r="AF97" s="22" t="str" cm="1">
        <f t="array" ref="AF97">IF(OR(_xll.BDP($AX97,"FD114")="#N/A N/A",_xll.BDP($AX97,"FD114")="#N/A FIELD NOT APPLICABLE")," ", _xll.BDP($AX97,"FD114"))</f>
        <v xml:space="preserve"> </v>
      </c>
      <c r="AG97" s="22" t="str" cm="1">
        <f t="array" ref="AG97">IF(OR(_xll.BDP($AX97,"FD003")="#N/A N/A",_xll.BDP($AX97,"FD003")="#N/A FIELD NOT APPLICABLE")," ", _xll.BDP($AX97,"FD003"))</f>
        <v>31/07/2013</v>
      </c>
      <c r="AH97" s="32" cm="1">
        <f t="array" ref="AH97">IF(OR(_xll.BDP($AX97,"PR061")="#N/A N/A",_xll.BDP($AX97,"PR061")="#N/A FIELD NOT APPLICABLE")," ", _xll.BDP($AX97,"PR061")/100)</f>
        <v>-7.9862639999999999E-2</v>
      </c>
      <c r="AI97" s="25" cm="1">
        <f t="array" ref="AI97">IF(OR(_xll.BDP($AX97,"RT075")="#N/A N/A",_xll.BDP($AX97,"RT075")="#N/A FIELD NOT APPLICABLE")," ", _xll.BDP($AX97,"RT075")/100)</f>
        <v>6.1133069999999998E-2</v>
      </c>
      <c r="AJ97" s="25" cm="1">
        <f t="array" ref="AJ97">IF(OR(_xll.BDP($AX97,"RT076")="#N/A N/A",_xll.BDP($AX97,"RT076")="#N/A FIELD NOT APPLICABLE")," ", _xll.BDP($AX97,"RT076")/100)</f>
        <v>-4.4270839999999999E-2</v>
      </c>
      <c r="AK97" s="25" cm="1">
        <f t="array" ref="AK97">IF(OR(_xll.BDP($AX97,"FD252")="#N/A N/A",_xll.BDP($AX97,"FD252")="#N/A FIELD NOT APPLICABLE")," ", _xll.BDP($AX97,"FD252")/100)</f>
        <v>0</v>
      </c>
      <c r="AL97" s="25" cm="1">
        <f t="array" ref="AL97">IF(OR(_xll.BDP($AX97,"FD015")="#N/A N/A",_xll.BDP($AX97,"FD015")="#N/A FIELD NOT APPLICABLE")," ", _xll.BDP($AX97,"FD015")/100)</f>
        <v>6.9999999999999993E-3</v>
      </c>
      <c r="AM97" s="25" cm="1">
        <f t="array" ref="AM97">IF(OR(_xll.BDP($AX97,"FD138")="#N/A N/A",_xll.BDP($AX97,"FD138")="#N/A FIELD NOT APPLICABLE")," ", _xll.BDP($AX97,"FD138")/100)</f>
        <v>6.8000000000000005E-3</v>
      </c>
      <c r="AN97" s="36" cm="1">
        <f t="array" ref="AN97">IF(OR(_xll.BDP($AX97,"FD009")="#N/A N/A",_xll.BDP($AX97,"FD009")="#N/A FIELD NOT APPLICABLE")," ", _xll.BDP($AX97,"FD009")/100)</f>
        <v>0</v>
      </c>
      <c r="AO97" s="25" cm="1">
        <f t="array" ref="AO97">IF(OR(_xll.BDP($AX97,"RK512")="#N/A N/A",_xll.BDP($AX97,"RK512")="#N/A FIELD NOT APPLICABLE")," ", _xll.BDP($AX97,"RK512")/100)</f>
        <v>4.7488099336624144E-3</v>
      </c>
      <c r="AP97" s="25" cm="1">
        <f t="array" ref="AP97">IF(OR(_xll.BDP($AX97,"RK514")="#N/A N/A",_xll.BDP($AX97,"RK514")="#N/A FIELD NOT APPLICABLE")," ", _xll.BDP($AX97,"RK514")/100)</f>
        <v>6.2772798538208007E-3</v>
      </c>
      <c r="AQ97" s="25" cm="1">
        <f t="array" ref="AQ97">IF(OR(_xll.BDP($AX97,"RK521")="#N/A N/A",_xll.BDP($AX97,"RK521")="#N/A FIELD NOT APPLICABLE")," ", _xll.BDP($AX97,"RK521")/100)</f>
        <v>1.4107999801635742E-2</v>
      </c>
      <c r="AR97" s="25" cm="1">
        <f t="array" ref="AR97">IF(OR(_xll.BDP($AX97,"RK525")="#N/A N/A",_xll.BDP($AX97,"RK525")="#N/A FIELD NOT APPLICABLE")," ", _xll.BDP($AX97,"RK525")/100)</f>
        <v>9.8214697837829597E-3</v>
      </c>
      <c r="AS97" s="25" cm="1">
        <f t="array" ref="AS97">IF(OR(_xll.BDP($AX97,"RK524")="#N/A N/A",_xll.BDP($AX97,"RK524")="#N/A FIELD NOT APPLICABLE")," ", _xll.BDP($AX97,"RK524")/100)</f>
        <v>3.436100110411644E-4</v>
      </c>
      <c r="AT97" s="25" t="str" cm="1">
        <f t="array" ref="AT97">IF(OR(_xll.BDP($AX97,"FD183")="#N/A N/A",_xll.BDP($AX97,"FD183")="#N/A FIELD NOT APPLICABLE")," ", _xll.BDP($AX97,"FD183"))</f>
        <v>USD INC</v>
      </c>
      <c r="AU97" s="25" t="str" cm="1">
        <f t="array" ref="AU97">IF(OR(_xll.BDP($AX97,"DY997")="#N/A N/A",_xll.BDP($AX97,"DY997")="#N/A FIELD NOT APPLICABLE")," ", _xll.BDP($AX97,"DY997"))</f>
        <v xml:space="preserve"> </v>
      </c>
      <c r="AV97" s="25" t="str" cm="1">
        <f t="array" ref="AV97">IF(OR(_xll.BDP($AX97,"DY784")="#N/A N/A",_xll.BDP($AX97,"DY784")="#N/A FIELD NOT APPLICABLE")," ", _xll.BDP($AX97,"DY784"))</f>
        <v xml:space="preserve"> </v>
      </c>
      <c r="AW97" s="22" t="str">
        <f t="shared" si="22"/>
        <v>N</v>
      </c>
      <c r="AX97" s="22" t="str">
        <f t="shared" si="23"/>
        <v>KWEB UN  Equity</v>
      </c>
      <c r="BC97" s="17" t="str" cm="1">
        <f t="array" ref="BC97">_xll.BDP(AX97,"ID005")</f>
        <v>US5007673065</v>
      </c>
      <c r="BD97" s="17">
        <v>0.56999999999999995</v>
      </c>
      <c r="BE97" s="18">
        <v>5</v>
      </c>
      <c r="BF97" s="37">
        <v>44301</v>
      </c>
      <c r="BG97" s="20">
        <v>1.0000000000107532</v>
      </c>
    </row>
    <row r="98" spans="1:59" s="3" customFormat="1" ht="14.45" customHeight="1" x14ac:dyDescent="0.25">
      <c r="A98" s="49" t="s">
        <v>241</v>
      </c>
      <c r="B98" s="49" t="s">
        <v>262</v>
      </c>
      <c r="C98" s="49" t="s">
        <v>263</v>
      </c>
      <c r="D98" s="49" t="s">
        <v>240</v>
      </c>
      <c r="E98" s="22" t="str">
        <f>_xll.BDP(AX98,"SECURITY NAME")</f>
        <v>KraneShares CSI China Internet</v>
      </c>
      <c r="F98" s="22" t="str">
        <f>_xll.BDP(AX98,"CRNCY")</f>
        <v>USD</v>
      </c>
      <c r="G98" s="23" t="s">
        <v>163</v>
      </c>
      <c r="H98" s="22" t="str" cm="1">
        <f t="array" ref="H98">IF(OR(_xll.BDP($AX98,"FD120")="#N/A N/A",_xll.BDP($AX98,"FD120")="#N/A FIELD NOT APPLICABLE")," ",_xll.BDP($AX98,"FD120"))</f>
        <v>China</v>
      </c>
      <c r="I98" s="22" t="str" cm="1">
        <f t="array" ref="I98">IF(OR(_xll.BDP($AX98,"FD116")="#N/A N/A",_xll.BDP($AX98,"FD116")="#N/A FIELD NOT APPLICABLE")," ",_xll.BDP($AX98,"FD116"))</f>
        <v>Blend</v>
      </c>
      <c r="J98" s="22" t="str" cm="1">
        <f t="array" ref="J98">IF(OR(_xll.BDP($AX98,"FD133")="#N/A N/A",_xll.BDP($AX98,"FD133")="#N/A FIELD NOT APPLICABLE")," ", _xll.BDP($AX98,"FD133"))</f>
        <v>Technology</v>
      </c>
      <c r="K98" s="34">
        <f>_xll.BDP(AX98,"FUND_ASSETS_USD")/1000</f>
        <v>6.0034330481200007</v>
      </c>
      <c r="L98" s="25">
        <f>IFERROR(_xll.BDP(AX98, "DV013")/100,0)</f>
        <v>3.1885052750837119E-2</v>
      </c>
      <c r="M98" s="25" cm="1">
        <f t="array" ref="M98">IF(OR(_xll.BDP($AX98,"PR079")="#N/A N/A",_xll.BDP($AX98,"PR079")="#N/A FIELD NOT APPLICABLE")," ", _xll.BDP($AX98,"PR079")/100)</f>
        <v>9.9726330000000002E-2</v>
      </c>
      <c r="N98" s="25" cm="1">
        <f t="array" ref="N98">IF(OR(_xll.BDP($AX98,"RT074")="#N/A N/A",_xll.BDP($AX98,"RT074")="#N/A FIELD NOT APPLICABLE")," ", _xll.BDP($AX98,"RT074")/100)</f>
        <v>0.18750139999999998</v>
      </c>
      <c r="O98" s="27">
        <v>5430</v>
      </c>
      <c r="P98" s="28">
        <v>55.1554</v>
      </c>
      <c r="Q98" s="22" cm="1">
        <f t="array" ref="Q98">IF(OR(_xll.BDP($AX98,"PX_last")="#N/A N/A",_xll.BDP($AX98,"PX_Last")="#N/A FIELD NOT APPLICABLE")," ",IF(F98="GBP",(_xll.BDP($AX98,"PX_LAST")/100),(_xll.BDP($AX98,"PX_LAST"))))</f>
        <v>32.145000000000003</v>
      </c>
      <c r="R98" s="29">
        <f>IF(F98="USD",AA98,(((_xll.BDP(F98&amp;"USD CURNCY","PX_LAST")))*AA98))</f>
        <v>299493.82199999999</v>
      </c>
      <c r="S98" s="29">
        <f>IF(F98="USD",AB98,(((_xll.BDP(F98&amp;"USD CURNCY","PX_LAST")))*AB98))</f>
        <v>174547.35</v>
      </c>
      <c r="T98" s="12">
        <f t="shared" si="16"/>
        <v>-124946.47199999998</v>
      </c>
      <c r="U98" s="13">
        <f t="shared" si="17"/>
        <v>-0.41719215162975876</v>
      </c>
      <c r="V98" s="13" cm="1">
        <f t="array" ref="V98">IFERROR(_xll.BDP($G98&amp;" Equity","CHG_PCT_1D")/100,"")</f>
        <v>7.7833130000000005E-4</v>
      </c>
      <c r="W98" s="13" cm="1">
        <f t="array" ref="W98">IFERROR(_xll.BDP($G98&amp;" Equity","CHG_PCT_5D")/100,"")</f>
        <v>2.4949320000000001E-3</v>
      </c>
      <c r="X98" s="13" t="e">
        <f>S98/#REF!</f>
        <v>#REF!</v>
      </c>
      <c r="Y98" s="29">
        <f t="shared" si="18"/>
        <v>5565.4514622688293</v>
      </c>
      <c r="Z98" s="29">
        <f t="shared" si="19"/>
        <v>174547.35</v>
      </c>
      <c r="AA98" s="29">
        <f t="shared" si="20"/>
        <v>299493.82199999999</v>
      </c>
      <c r="AB98" s="29">
        <f t="shared" si="21"/>
        <v>174547.35</v>
      </c>
      <c r="AC98" s="25" t="str" cm="1">
        <f t="array" ref="AC98">IF(OR(_xll.BDP($AX98,"EX028")="#N/A N/A",_xll.BDP($AX98,"EX028")="#N/A FIELD NOT APPLICABLE")," ", _xll.BDP($AX98,"EX028"))</f>
        <v>Fund</v>
      </c>
      <c r="AD98" s="35" t="str" cm="1">
        <f t="array" ref="AD98">IF(OR(_xll.BDP($AX98,"FD121")="#N/A N/A",_xll.BDP($AX98,"FD121")="#N/A FIELD NOT APPLICABLE")," ", _xll.BDP($AX98,"FD121"))</f>
        <v>Equity</v>
      </c>
      <c r="AE98" s="25" t="str" cm="1">
        <f t="array" ref="AE98">IF(OR(_xll.BDP($AX98,"FD118")="#N/A N/A",_xll.BDP($AX98,"FD118")="#N/A FIELD NOT APPLICABLE")," ", _xll.BDP($AX98,"FD118"))</f>
        <v>ETF</v>
      </c>
      <c r="AF98" s="22" t="str" cm="1">
        <f t="array" ref="AF98">IF(OR(_xll.BDP($AX98,"FD114")="#N/A N/A",_xll.BDP($AX98,"FD114")="#N/A FIELD NOT APPLICABLE")," ", _xll.BDP($AX98,"FD114"))</f>
        <v xml:space="preserve"> </v>
      </c>
      <c r="AG98" s="22" t="str" cm="1">
        <f t="array" ref="AG98">IF(OR(_xll.BDP($AX98,"FD003")="#N/A N/A",_xll.BDP($AX98,"FD003")="#N/A FIELD NOT APPLICABLE")," ", _xll.BDP($AX98,"FD003"))</f>
        <v>31/07/2013</v>
      </c>
      <c r="AH98" s="32" cm="1">
        <f t="array" ref="AH98">IF(OR(_xll.BDP($AX98,"PR061")="#N/A N/A",_xll.BDP($AX98,"PR061")="#N/A FIELD NOT APPLICABLE")," ", _xll.BDP($AX98,"PR061")/100)</f>
        <v>-7.9862639999999999E-2</v>
      </c>
      <c r="AI98" s="25" cm="1">
        <f t="array" ref="AI98">IF(OR(_xll.BDP($AX98,"RT075")="#N/A N/A",_xll.BDP($AX98,"RT075")="#N/A FIELD NOT APPLICABLE")," ", _xll.BDP($AX98,"RT075")/100)</f>
        <v>6.1133069999999998E-2</v>
      </c>
      <c r="AJ98" s="25" cm="1">
        <f t="array" ref="AJ98">IF(OR(_xll.BDP($AX98,"RT076")="#N/A N/A",_xll.BDP($AX98,"RT076")="#N/A FIELD NOT APPLICABLE")," ", _xll.BDP($AX98,"RT076")/100)</f>
        <v>-4.4270839999999999E-2</v>
      </c>
      <c r="AK98" s="25" cm="1">
        <f t="array" ref="AK98">IF(OR(_xll.BDP($AX98,"FD252")="#N/A N/A",_xll.BDP($AX98,"FD252")="#N/A FIELD NOT APPLICABLE")," ", _xll.BDP($AX98,"FD252")/100)</f>
        <v>0</v>
      </c>
      <c r="AL98" s="25" cm="1">
        <f t="array" ref="AL98">IF(OR(_xll.BDP($AX98,"FD015")="#N/A N/A",_xll.BDP($AX98,"FD015")="#N/A FIELD NOT APPLICABLE")," ", _xll.BDP($AX98,"FD015")/100)</f>
        <v>6.9999999999999993E-3</v>
      </c>
      <c r="AM98" s="25" cm="1">
        <f t="array" ref="AM98">IF(OR(_xll.BDP($AX98,"FD138")="#N/A N/A",_xll.BDP($AX98,"FD138")="#N/A FIELD NOT APPLICABLE")," ", _xll.BDP($AX98,"FD138")/100)</f>
        <v>6.8000000000000005E-3</v>
      </c>
      <c r="AN98" s="36" cm="1">
        <f t="array" ref="AN98">IF(OR(_xll.BDP($AX98,"FD009")="#N/A N/A",_xll.BDP($AX98,"FD009")="#N/A FIELD NOT APPLICABLE")," ", _xll.BDP($AX98,"FD009")/100)</f>
        <v>0</v>
      </c>
      <c r="AO98" s="25" cm="1">
        <f t="array" ref="AO98">IF(OR(_xll.BDP($AX98,"RK512")="#N/A N/A",_xll.BDP($AX98,"RK512")="#N/A FIELD NOT APPLICABLE")," ", _xll.BDP($AX98,"RK512")/100)</f>
        <v>4.7488099336624144E-3</v>
      </c>
      <c r="AP98" s="25" cm="1">
        <f t="array" ref="AP98">IF(OR(_xll.BDP($AX98,"RK514")="#N/A N/A",_xll.BDP($AX98,"RK514")="#N/A FIELD NOT APPLICABLE")," ", _xll.BDP($AX98,"RK514")/100)</f>
        <v>6.2772798538208007E-3</v>
      </c>
      <c r="AQ98" s="25" cm="1">
        <f t="array" ref="AQ98">IF(OR(_xll.BDP($AX98,"RK521")="#N/A N/A",_xll.BDP($AX98,"RK521")="#N/A FIELD NOT APPLICABLE")," ", _xll.BDP($AX98,"RK521")/100)</f>
        <v>1.4107999801635742E-2</v>
      </c>
      <c r="AR98" s="25" cm="1">
        <f t="array" ref="AR98">IF(OR(_xll.BDP($AX98,"RK525")="#N/A N/A",_xll.BDP($AX98,"RK525")="#N/A FIELD NOT APPLICABLE")," ", _xll.BDP($AX98,"RK525")/100)</f>
        <v>9.8214697837829597E-3</v>
      </c>
      <c r="AS98" s="25" cm="1">
        <f t="array" ref="AS98">IF(OR(_xll.BDP($AX98,"RK524")="#N/A N/A",_xll.BDP($AX98,"RK524")="#N/A FIELD NOT APPLICABLE")," ", _xll.BDP($AX98,"RK524")/100)</f>
        <v>3.436100110411644E-4</v>
      </c>
      <c r="AT98" s="25" t="str" cm="1">
        <f t="array" ref="AT98">IF(OR(_xll.BDP($AX98,"FD183")="#N/A N/A",_xll.BDP($AX98,"FD183")="#N/A FIELD NOT APPLICABLE")," ", _xll.BDP($AX98,"FD183"))</f>
        <v>USD INC</v>
      </c>
      <c r="AU98" s="25" t="str" cm="1">
        <f t="array" ref="AU98">IF(OR(_xll.BDP($AX98,"DY997")="#N/A N/A",_xll.BDP($AX98,"DY997")="#N/A FIELD NOT APPLICABLE")," ", _xll.BDP($AX98,"DY997"))</f>
        <v xml:space="preserve"> </v>
      </c>
      <c r="AV98" s="25" t="str" cm="1">
        <f t="array" ref="AV98">IF(OR(_xll.BDP($AX98,"DY784")="#N/A N/A",_xll.BDP($AX98,"DY784")="#N/A FIELD NOT APPLICABLE")," ", _xll.BDP($AX98,"DY784"))</f>
        <v xml:space="preserve"> </v>
      </c>
      <c r="AW98" s="22" t="str">
        <f t="shared" si="22"/>
        <v>N</v>
      </c>
      <c r="AX98" s="22" t="str">
        <f t="shared" si="23"/>
        <v>KWEB UN  Equity</v>
      </c>
      <c r="BC98" s="17" t="str" cm="1">
        <f t="array" ref="BC98">_xll.BDP(AX98,"ID005")</f>
        <v>US5007673065</v>
      </c>
      <c r="BD98" s="17">
        <v>0.56999999999999995</v>
      </c>
      <c r="BE98" s="18">
        <v>5</v>
      </c>
      <c r="BF98" s="37">
        <v>44385</v>
      </c>
      <c r="BG98" s="20">
        <v>1.0000000000107532</v>
      </c>
    </row>
    <row r="99" spans="1:59" s="3" customFormat="1" ht="14.45" customHeight="1" x14ac:dyDescent="0.25">
      <c r="A99" s="49" t="s">
        <v>241</v>
      </c>
      <c r="B99" s="49" t="s">
        <v>276</v>
      </c>
      <c r="C99" s="49" t="s">
        <v>277</v>
      </c>
      <c r="D99" s="49" t="s">
        <v>240</v>
      </c>
      <c r="E99" s="22" t="str">
        <f>_xll.BDP(AX99,"SECURITY NAME")</f>
        <v>KraneShares CSI China Internet</v>
      </c>
      <c r="F99" s="22" t="str">
        <f>_xll.BDP(AX99,"CRNCY")</f>
        <v>USD</v>
      </c>
      <c r="G99" s="23" t="s">
        <v>163</v>
      </c>
      <c r="H99" s="22" t="str" cm="1">
        <f t="array" ref="H99">IF(OR(_xll.BDP($AX99,"FD120")="#N/A N/A",_xll.BDP($AX99,"FD120")="#N/A FIELD NOT APPLICABLE")," ",_xll.BDP($AX99,"FD120"))</f>
        <v>China</v>
      </c>
      <c r="I99" s="22" t="str" cm="1">
        <f t="array" ref="I99">IF(OR(_xll.BDP($AX99,"FD116")="#N/A N/A",_xll.BDP($AX99,"FD116")="#N/A FIELD NOT APPLICABLE")," ",_xll.BDP($AX99,"FD116"))</f>
        <v>Blend</v>
      </c>
      <c r="J99" s="22" t="str" cm="1">
        <f t="array" ref="J99">IF(OR(_xll.BDP($AX99,"FD133")="#N/A N/A",_xll.BDP($AX99,"FD133")="#N/A FIELD NOT APPLICABLE")," ", _xll.BDP($AX99,"FD133"))</f>
        <v>Technology</v>
      </c>
      <c r="K99" s="34">
        <f>_xll.BDP(AX99,"FUND_ASSETS_USD")/1000</f>
        <v>6.0034330481200007</v>
      </c>
      <c r="L99" s="25">
        <f>IFERROR(_xll.BDP(AX99, "DV013")/100,0)</f>
        <v>3.1885052750837119E-2</v>
      </c>
      <c r="M99" s="25" cm="1">
        <f t="array" ref="M99">IF(OR(_xll.BDP($AX99,"PR079")="#N/A N/A",_xll.BDP($AX99,"PR079")="#N/A FIELD NOT APPLICABLE")," ", _xll.BDP($AX99,"PR079")/100)</f>
        <v>9.9726330000000002E-2</v>
      </c>
      <c r="N99" s="25" cm="1">
        <f t="array" ref="N99">IF(OR(_xll.BDP($AX99,"RT074")="#N/A N/A",_xll.BDP($AX99,"RT074")="#N/A FIELD NOT APPLICABLE")," ", _xll.BDP($AX99,"RT074")/100)</f>
        <v>0.18750139999999998</v>
      </c>
      <c r="O99" s="27">
        <v>3420</v>
      </c>
      <c r="P99" s="28">
        <v>43.805599999999998</v>
      </c>
      <c r="Q99" s="22" cm="1">
        <f t="array" ref="Q99">IF(OR(_xll.BDP($AX99,"PX_last")="#N/A N/A",_xll.BDP($AX99,"PX_Last")="#N/A FIELD NOT APPLICABLE")," ",IF(F99="GBP",(_xll.BDP($AX99,"PX_LAST")),(_xll.BDP($AX99,"PX_LAST"))))</f>
        <v>32.145000000000003</v>
      </c>
      <c r="R99" s="29">
        <f>IF(F99="USD",AA99,(((_xll.BDP(F99&amp;"USD CURNCY","PX_LAST")))*AA99))</f>
        <v>149815.152</v>
      </c>
      <c r="S99" s="29">
        <f>IF(F99="USD",AB99,(((_xll.BDP(F99&amp;"USD CURNCY","PX_LAST")))*AB99))</f>
        <v>109935.90000000001</v>
      </c>
      <c r="T99" s="12">
        <f t="shared" ref="T99:T130" si="24">S99-R99</f>
        <v>-39879.251999999993</v>
      </c>
      <c r="U99" s="13">
        <f t="shared" ref="U99:U130" si="25">T99/R99</f>
        <v>-0.26618971090454185</v>
      </c>
      <c r="V99" s="13" cm="1">
        <f t="array" ref="V99">IFERROR(_xll.BDP($G99&amp;" Equity","CHG_PCT_1D")/100,"")</f>
        <v>7.7833130000000005E-4</v>
      </c>
      <c r="W99" s="13" cm="1">
        <f t="array" ref="W99">IFERROR(_xll.BDP($G99&amp;" Equity","CHG_PCT_5D")/100,"")</f>
        <v>2.4949320000000001E-3</v>
      </c>
      <c r="X99" s="13" t="e">
        <f>S99/#REF!</f>
        <v>#REF!</v>
      </c>
      <c r="Y99" s="29">
        <f t="shared" ref="Y99:Y130" si="26">IFERROR(S99*L99,0)</f>
        <v>3505.3119707107548</v>
      </c>
      <c r="Z99" s="29">
        <f t="shared" ref="Z99:Z130" si="27">S99</f>
        <v>109935.90000000001</v>
      </c>
      <c r="AA99" s="29">
        <f t="shared" ref="AA99:AA130" si="28">P99*O99</f>
        <v>149815.152</v>
      </c>
      <c r="AB99" s="29">
        <f t="shared" ref="AB99:AB130" si="29">IFERROR(O99*Q99,0)</f>
        <v>109935.90000000001</v>
      </c>
      <c r="AC99" s="25" t="str" cm="1">
        <f t="array" ref="AC99">IF(OR(_xll.BDP($AX99,"EX028")="#N/A N/A",_xll.BDP($AX99,"EX028")="#N/A FIELD NOT APPLICABLE")," ", _xll.BDP($AX99,"EX028"))</f>
        <v>Fund</v>
      </c>
      <c r="AD99" s="35" t="str" cm="1">
        <f t="array" ref="AD99">IF(OR(_xll.BDP($AX99,"FD121")="#N/A N/A",_xll.BDP($AX99,"FD121")="#N/A FIELD NOT APPLICABLE")," ", _xll.BDP($AX99,"FD121"))</f>
        <v>Equity</v>
      </c>
      <c r="AE99" s="25" t="str" cm="1">
        <f t="array" ref="AE99">IF(OR(_xll.BDP($AX99,"FD118")="#N/A N/A",_xll.BDP($AX99,"FD118")="#N/A FIELD NOT APPLICABLE")," ", _xll.BDP($AX99,"FD118"))</f>
        <v>ETF</v>
      </c>
      <c r="AF99" s="22" t="str" cm="1">
        <f t="array" ref="AF99">IF(OR(_xll.BDP($AX99,"FD114")="#N/A N/A",_xll.BDP($AX99,"FD114")="#N/A FIELD NOT APPLICABLE")," ", _xll.BDP($AX99,"FD114"))</f>
        <v xml:space="preserve"> </v>
      </c>
      <c r="AG99" s="22" t="str" cm="1">
        <f t="array" ref="AG99">IF(OR(_xll.BDP($AX99,"FD003")="#N/A N/A",_xll.BDP($AX99,"FD003")="#N/A FIELD NOT APPLICABLE")," ", _xll.BDP($AX99,"FD003"))</f>
        <v>31/07/2013</v>
      </c>
      <c r="AH99" s="32" cm="1">
        <f t="array" ref="AH99">IF(OR(_xll.BDP($AX99,"PR061")="#N/A N/A",_xll.BDP($AX99,"PR061")="#N/A FIELD NOT APPLICABLE")," ", _xll.BDP($AX99,"PR061")/100)</f>
        <v>-7.9862639999999999E-2</v>
      </c>
      <c r="AI99" s="25" cm="1">
        <f t="array" ref="AI99">IF(OR(_xll.BDP($AX99,"RT075")="#N/A N/A",_xll.BDP($AX99,"RT075")="#N/A FIELD NOT APPLICABLE")," ", _xll.BDP($AX99,"RT075")/100)</f>
        <v>6.1133069999999998E-2</v>
      </c>
      <c r="AJ99" s="25" cm="1">
        <f t="array" ref="AJ99">IF(OR(_xll.BDP($AX99,"RT076")="#N/A N/A",_xll.BDP($AX99,"RT076")="#N/A FIELD NOT APPLICABLE")," ", _xll.BDP($AX99,"RT076")/100)</f>
        <v>-4.4270839999999999E-2</v>
      </c>
      <c r="AK99" s="25" cm="1">
        <f t="array" ref="AK99">IF(OR(_xll.BDP($AX99,"FD252")="#N/A N/A",_xll.BDP($AX99,"FD252")="#N/A FIELD NOT APPLICABLE")," ", _xll.BDP($AX99,"FD252")/100)</f>
        <v>0</v>
      </c>
      <c r="AL99" s="25" cm="1">
        <f t="array" ref="AL99">IF(OR(_xll.BDP($AX99,"FD015")="#N/A N/A",_xll.BDP($AX99,"FD015")="#N/A FIELD NOT APPLICABLE")," ", _xll.BDP($AX99,"FD015")/100)</f>
        <v>6.9999999999999993E-3</v>
      </c>
      <c r="AM99" s="25" cm="1">
        <f t="array" ref="AM99">IF(OR(_xll.BDP($AX99,"FD138")="#N/A N/A",_xll.BDP($AX99,"FD138")="#N/A FIELD NOT APPLICABLE")," ", _xll.BDP($AX99,"FD138")/100)</f>
        <v>6.8000000000000005E-3</v>
      </c>
      <c r="AN99" s="36" cm="1">
        <f t="array" ref="AN99">IF(OR(_xll.BDP($AX99,"FD009")="#N/A N/A",_xll.BDP($AX99,"FD009")="#N/A FIELD NOT APPLICABLE")," ", _xll.BDP($AX99,"FD009")/100)</f>
        <v>0</v>
      </c>
      <c r="AO99" s="25" cm="1">
        <f t="array" ref="AO99">IF(OR(_xll.BDP($AX99,"RK512")="#N/A N/A",_xll.BDP($AX99,"RK512")="#N/A FIELD NOT APPLICABLE")," ", _xll.BDP($AX99,"RK512")/100)</f>
        <v>4.7488099336624144E-3</v>
      </c>
      <c r="AP99" s="25" cm="1">
        <f t="array" ref="AP99">IF(OR(_xll.BDP($AX99,"RK514")="#N/A N/A",_xll.BDP($AX99,"RK514")="#N/A FIELD NOT APPLICABLE")," ", _xll.BDP($AX99,"RK514")/100)</f>
        <v>6.2772798538208007E-3</v>
      </c>
      <c r="AQ99" s="25" cm="1">
        <f t="array" ref="AQ99">IF(OR(_xll.BDP($AX99,"RK521")="#N/A N/A",_xll.BDP($AX99,"RK521")="#N/A FIELD NOT APPLICABLE")," ", _xll.BDP($AX99,"RK521")/100)</f>
        <v>1.4107999801635742E-2</v>
      </c>
      <c r="AR99" s="25" cm="1">
        <f t="array" ref="AR99">IF(OR(_xll.BDP($AX99,"RK525")="#N/A N/A",_xll.BDP($AX99,"RK525")="#N/A FIELD NOT APPLICABLE")," ", _xll.BDP($AX99,"RK525")/100)</f>
        <v>9.8214697837829597E-3</v>
      </c>
      <c r="AS99" s="25" cm="1">
        <f t="array" ref="AS99">IF(OR(_xll.BDP($AX99,"RK524")="#N/A N/A",_xll.BDP($AX99,"RK524")="#N/A FIELD NOT APPLICABLE")," ", _xll.BDP($AX99,"RK524")/100)</f>
        <v>3.436100110411644E-4</v>
      </c>
      <c r="AT99" s="25" t="str" cm="1">
        <f t="array" ref="AT99">IF(OR(_xll.BDP($AX99,"FD183")="#N/A N/A",_xll.BDP($AX99,"FD183")="#N/A FIELD NOT APPLICABLE")," ", _xll.BDP($AX99,"FD183"))</f>
        <v>USD INC</v>
      </c>
      <c r="AU99" s="25" t="str" cm="1">
        <f t="array" ref="AU99">IF(OR(_xll.BDP($AX99,"DY997")="#N/A N/A",_xll.BDP($AX99,"DY997")="#N/A FIELD NOT APPLICABLE")," ", _xll.BDP($AX99,"DY997"))</f>
        <v xml:space="preserve"> </v>
      </c>
      <c r="AV99" s="25" t="str" cm="1">
        <f t="array" ref="AV99">IF(OR(_xll.BDP($AX99,"DY784")="#N/A N/A",_xll.BDP($AX99,"DY784")="#N/A FIELD NOT APPLICABLE")," ", _xll.BDP($AX99,"DY784"))</f>
        <v xml:space="preserve"> </v>
      </c>
      <c r="AW99" s="22" t="str">
        <f t="shared" ref="AW99:AW130" si="30">IF(OR(AU99="Y",AV99="Y"),"Y","N")</f>
        <v>N</v>
      </c>
      <c r="AX99" s="22" t="str">
        <f t="shared" ref="AX99:AX130" si="31">CONCATENATE(G99," Equity")</f>
        <v>KWEB UN  Equity</v>
      </c>
      <c r="BC99" s="17" t="str" cm="1">
        <f t="array" ref="BC99">_xll.BDP(AX99,"ID005")</f>
        <v>US5007673065</v>
      </c>
      <c r="BD99" s="17">
        <v>0.75</v>
      </c>
      <c r="BE99" s="18">
        <v>5</v>
      </c>
      <c r="BF99" s="37">
        <v>45492</v>
      </c>
      <c r="BG99" s="20">
        <v>1.0000000000107532</v>
      </c>
    </row>
    <row r="100" spans="1:59" s="3" customFormat="1" ht="14.45" customHeight="1" x14ac:dyDescent="0.25">
      <c r="A100" s="49" t="s">
        <v>242</v>
      </c>
      <c r="B100" s="49" t="s">
        <v>243</v>
      </c>
      <c r="C100" s="49" t="s">
        <v>244</v>
      </c>
      <c r="D100" s="49" t="s">
        <v>245</v>
      </c>
      <c r="E100" s="22" t="str">
        <f>_xll.BDP(AX100,"SECURITY NAME")</f>
        <v>KraneShares CSI China Internet</v>
      </c>
      <c r="F100" s="22" t="str">
        <f>_xll.BDP(AX100,"CRNCY")</f>
        <v>USD</v>
      </c>
      <c r="G100" s="23" t="s">
        <v>125</v>
      </c>
      <c r="H100" s="22" t="str" cm="1">
        <f t="array" ref="H100">IF(OR(_xll.BDP($AX100,"FD120")="#N/A N/A",_xll.BDP($AX100,"FD120")="#N/A FIELD NOT APPLICABLE")," ",_xll.BDP($AX100,"FD120"))</f>
        <v>China</v>
      </c>
      <c r="I100" s="22" t="str" cm="1">
        <f t="array" ref="I100">IF(OR(_xll.BDP($AX100,"FD116")="#N/A N/A",_xll.BDP($AX100,"FD116")="#N/A FIELD NOT APPLICABLE")," ",_xll.BDP($AX100,"FD116"))</f>
        <v>Blend</v>
      </c>
      <c r="J100" s="22" t="str" cm="1">
        <f t="array" ref="J100">IF(OR(_xll.BDP($AX100,"FD133")="#N/A N/A",_xll.BDP($AX100,"FD133")="#N/A FIELD NOT APPLICABLE")," ", _xll.BDP($AX100,"FD133"))</f>
        <v>Technology</v>
      </c>
      <c r="K100" s="34">
        <f>_xll.BDP(AX100,"FUND_ASSETS_USD")/1000</f>
        <v>6.0043501708200004</v>
      </c>
      <c r="L100" s="25">
        <f>IFERROR(_xll.BDP(AX100, "DV013")/100,0)</f>
        <v>3.1929751422917728E-2</v>
      </c>
      <c r="M100" s="25" cm="1">
        <f t="array" ref="M100">IF(OR(_xll.BDP($AX100,"PR079")="#N/A N/A",_xll.BDP($AX100,"PR079")="#N/A FIELD NOT APPLICABLE")," ", _xll.BDP($AX100,"PR079")/100)</f>
        <v>9.7811229999999985E-2</v>
      </c>
      <c r="N100" s="25" cm="1">
        <f t="array" ref="N100">IF(OR(_xll.BDP($AX100,"RT074")="#N/A N/A",_xll.BDP($AX100,"RT074")="#N/A FIELD NOT APPLICABLE")," ", _xll.BDP($AX100,"RT074")/100)</f>
        <v>0.19051929999999997</v>
      </c>
      <c r="O100" s="27">
        <v>6775</v>
      </c>
      <c r="P100" s="28">
        <v>51.72</v>
      </c>
      <c r="Q100" s="22" cm="1">
        <f t="array" ref="Q100">IF(OR(_xll.BDP($AX100,"PX_last")="#N/A N/A",_xll.BDP($AX100,"PX_Last")="#N/A FIELD NOT APPLICABLE")," ",IF(F100="GBP",(_xll.BDP($AX100,"PX_LAST")/100),(_xll.BDP($AX100,"PX_LAST"))))</f>
        <v>32.1</v>
      </c>
      <c r="R100" s="29">
        <f>IF(F100="USD",AA100,(((_xll.BDP(F100&amp;"USD CURNCY","PX_LAST")))*AA100))</f>
        <v>350403</v>
      </c>
      <c r="S100" s="29">
        <f>IF(F100="USD",AB100,(((_xll.BDP(F100&amp;"USD CURNCY","PX_LAST")))*AB100))</f>
        <v>217477.5</v>
      </c>
      <c r="T100" s="12">
        <f t="shared" si="24"/>
        <v>-132925.5</v>
      </c>
      <c r="U100" s="13">
        <f t="shared" si="25"/>
        <v>-0.37935034802784223</v>
      </c>
      <c r="V100" s="13" cm="1">
        <f t="array" ref="V100">IFERROR(_xll.BDP($G100&amp;" Equity","CHG_PCT_1D")/100,"")</f>
        <v>1.2461060000000001E-3</v>
      </c>
      <c r="W100" s="13" cm="1">
        <f t="array" ref="W100">IFERROR(_xll.BDP($G100&amp;" Equity","CHG_PCT_5D")/100,"")</f>
        <v>2.1827249999999999E-3</v>
      </c>
      <c r="X100" s="13" t="e">
        <f>S100/$H$62</f>
        <v>#VALUE!</v>
      </c>
      <c r="Y100" s="29">
        <f t="shared" si="26"/>
        <v>6944.00251507759</v>
      </c>
      <c r="Z100" s="29">
        <f t="shared" si="27"/>
        <v>217477.5</v>
      </c>
      <c r="AA100" s="29">
        <f t="shared" si="28"/>
        <v>350403</v>
      </c>
      <c r="AB100" s="29">
        <f t="shared" si="29"/>
        <v>217477.5</v>
      </c>
      <c r="AC100" s="25" t="str" cm="1">
        <f t="array" ref="AC100">IF(OR(_xll.BDP($AX100,"EX028")="#N/A N/A",_xll.BDP($AX100,"EX028")="#N/A FIELD NOT APPLICABLE")," ", _xll.BDP($AX100,"EX028"))</f>
        <v>Fund</v>
      </c>
      <c r="AD100" s="35" t="str" cm="1">
        <f t="array" ref="AD100">IF(OR(_xll.BDP($AX100,"FD121")="#N/A N/A",_xll.BDP($AX100,"FD121")="#N/A FIELD NOT APPLICABLE")," ", _xll.BDP($AX100,"FD121"))</f>
        <v>Equity</v>
      </c>
      <c r="AE100" s="25" t="str" cm="1">
        <f t="array" ref="AE100">IF(OR(_xll.BDP($AX100,"FD118")="#N/A N/A",_xll.BDP($AX100,"FD118")="#N/A FIELD NOT APPLICABLE")," ", _xll.BDP($AX100,"FD118"))</f>
        <v>ETF</v>
      </c>
      <c r="AF100" s="22" t="str" cm="1">
        <f t="array" ref="AF100">IF(OR(_xll.BDP($AX100,"FD114")="#N/A N/A",_xll.BDP($AX100,"FD114")="#N/A FIELD NOT APPLICABLE")," ", _xll.BDP($AX100,"FD114"))</f>
        <v xml:space="preserve"> </v>
      </c>
      <c r="AG100" s="22" t="str" cm="1">
        <f t="array" ref="AG100">IF(OR(_xll.BDP($AX100,"FD003")="#N/A N/A",_xll.BDP($AX100,"FD003")="#N/A FIELD NOT APPLICABLE")," ", _xll.BDP($AX100,"FD003"))</f>
        <v>31/07/2013</v>
      </c>
      <c r="AH100" s="32" cm="1">
        <f t="array" ref="AH100">IF(OR(_xll.BDP($AX100,"PR061")="#N/A N/A",_xll.BDP($AX100,"PR061")="#N/A FIELD NOT APPLICABLE")," ", _xll.BDP($AX100,"PR061")/100)</f>
        <v>-8.3380940000000001E-2</v>
      </c>
      <c r="AI100" s="25" cm="1">
        <f t="array" ref="AI100">IF(OR(_xll.BDP($AX100,"RT075")="#N/A N/A",_xll.BDP($AX100,"RT075")="#N/A FIELD NOT APPLICABLE")," ", _xll.BDP($AX100,"RT075")/100)</f>
        <v>6.0822830000000001E-2</v>
      </c>
      <c r="AJ100" s="25" cm="1">
        <f t="array" ref="AJ100">IF(OR(_xll.BDP($AX100,"RT076")="#N/A N/A",_xll.BDP($AX100,"RT076")="#N/A FIELD NOT APPLICABLE")," ", _xll.BDP($AX100,"RT076")/100)</f>
        <v>-5.500273E-2</v>
      </c>
      <c r="AK100" s="25" cm="1">
        <f t="array" ref="AK100">IF(OR(_xll.BDP($AX100,"FD252")="#N/A N/A",_xll.BDP($AX100,"FD252")="#N/A FIELD NOT APPLICABLE")," ", _xll.BDP($AX100,"FD252")/100)</f>
        <v>0</v>
      </c>
      <c r="AL100" s="25" cm="1">
        <f t="array" ref="AL100">IF(OR(_xll.BDP($AX100,"FD015")="#N/A N/A",_xll.BDP($AX100,"FD015")="#N/A FIELD NOT APPLICABLE")," ", _xll.BDP($AX100,"FD015")/100)</f>
        <v>6.9999999999999993E-3</v>
      </c>
      <c r="AM100" s="25" cm="1">
        <f t="array" ref="AM100">IF(OR(_xll.BDP($AX100,"FD138")="#N/A N/A",_xll.BDP($AX100,"FD138")="#N/A FIELD NOT APPLICABLE")," ", _xll.BDP($AX100,"FD138")/100)</f>
        <v>6.8000000000000005E-3</v>
      </c>
      <c r="AN100" s="36" cm="1">
        <f t="array" ref="AN100">IF(OR(_xll.BDP($AX100,"FD009")="#N/A N/A",_xll.BDP($AX100,"FD009")="#N/A FIELD NOT APPLICABLE")," ", _xll.BDP($AX100,"FD009")/100)</f>
        <v>0</v>
      </c>
      <c r="AO100" s="25" cm="1">
        <f t="array" ref="AO100">IF(OR(_xll.BDP($AX100,"RK512")="#N/A N/A",_xll.BDP($AX100,"RK512")="#N/A FIELD NOT APPLICABLE")," ", _xll.BDP($AX100,"RK512")/100)</f>
        <v>4.7488099336624144E-3</v>
      </c>
      <c r="AP100" s="25" cm="1">
        <f t="array" ref="AP100">IF(OR(_xll.BDP($AX100,"RK514")="#N/A N/A",_xll.BDP($AX100,"RK514")="#N/A FIELD NOT APPLICABLE")," ", _xll.BDP($AX100,"RK514")/100)</f>
        <v>6.2772798538208007E-3</v>
      </c>
      <c r="AQ100" s="25" cm="1">
        <f t="array" ref="AQ100">IF(OR(_xll.BDP($AX100,"RK521")="#N/A N/A",_xll.BDP($AX100,"RK521")="#N/A FIELD NOT APPLICABLE")," ", _xll.BDP($AX100,"RK521")/100)</f>
        <v>1.4107999801635742E-2</v>
      </c>
      <c r="AR100" s="25" cm="1">
        <f t="array" ref="AR100">IF(OR(_xll.BDP($AX100,"RK525")="#N/A N/A",_xll.BDP($AX100,"RK525")="#N/A FIELD NOT APPLICABLE")," ", _xll.BDP($AX100,"RK525")/100)</f>
        <v>9.8214697837829597E-3</v>
      </c>
      <c r="AS100" s="25" cm="1">
        <f t="array" ref="AS100">IF(OR(_xll.BDP($AX100,"RK524")="#N/A N/A",_xll.BDP($AX100,"RK524")="#N/A FIELD NOT APPLICABLE")," ", _xll.BDP($AX100,"RK524")/100)</f>
        <v>3.436100110411644E-4</v>
      </c>
      <c r="AT100" s="25" t="str" cm="1">
        <f t="array" ref="AT100">IF(OR(_xll.BDP($AX100,"FD183")="#N/A N/A",_xll.BDP($AX100,"FD183")="#N/A FIELD NOT APPLICABLE")," ", _xll.BDP($AX100,"FD183"))</f>
        <v>USD INC</v>
      </c>
      <c r="AU100" s="25" t="str" cm="1">
        <f t="array" ref="AU100">IF(OR(_xll.BDP($AX100,"DY997")="#N/A N/A",_xll.BDP($AX100,"DY997")="#N/A FIELD NOT APPLICABLE")," ", _xll.BDP($AX100,"DY997"))</f>
        <v xml:space="preserve"> </v>
      </c>
      <c r="AV100" s="25" t="str" cm="1">
        <f t="array" ref="AV100">IF(OR(_xll.BDP($AX100,"DY784")="#N/A N/A",_xll.BDP($AX100,"DY784")="#N/A FIELD NOT APPLICABLE")," ", _xll.BDP($AX100,"DY784"))</f>
        <v xml:space="preserve"> </v>
      </c>
      <c r="AW100" s="22" t="str">
        <f t="shared" si="30"/>
        <v>N</v>
      </c>
      <c r="AX100" s="22" t="str">
        <f t="shared" si="31"/>
        <v>KWEB US Equity</v>
      </c>
      <c r="BC100" s="17" t="str" cm="1">
        <f t="array" ref="BC100">_xll.BDP(AX100,"ID005")</f>
        <v>US5007673065</v>
      </c>
      <c r="BD100" s="17">
        <v>0.79999991979544627</v>
      </c>
      <c r="BE100" s="18">
        <v>5</v>
      </c>
      <c r="BF100" s="37">
        <v>45610</v>
      </c>
      <c r="BG100" s="20">
        <v>1.0000000000107532</v>
      </c>
    </row>
    <row r="101" spans="1:59" s="3" customFormat="1" ht="14.45" customHeight="1" x14ac:dyDescent="0.25">
      <c r="A101" s="49" t="s">
        <v>242</v>
      </c>
      <c r="B101" s="49" t="s">
        <v>255</v>
      </c>
      <c r="C101" s="49" t="s">
        <v>256</v>
      </c>
      <c r="D101" s="49" t="s">
        <v>248</v>
      </c>
      <c r="E101" s="22" t="str">
        <f>_xll.BDP(AX101,"SECURITY NAME")</f>
        <v>KraneShares CSI China Internet</v>
      </c>
      <c r="F101" s="22" t="str">
        <f>_xll.BDP(AX101,"CRNCY")</f>
        <v>USD</v>
      </c>
      <c r="G101" s="23" t="s">
        <v>125</v>
      </c>
      <c r="H101" s="22" t="str" cm="1">
        <f t="array" ref="H101">IF(OR(_xll.BDP($AX101,"FD120")="#N/A N/A",_xll.BDP($AX101,"FD120")="#N/A FIELD NOT APPLICABLE")," ",_xll.BDP($AX101,"FD120"))</f>
        <v>China</v>
      </c>
      <c r="I101" s="22" t="str" cm="1">
        <f t="array" ref="I101">IF(OR(_xll.BDP($AX101,"FD116")="#N/A N/A",_xll.BDP($AX101,"FD116")="#N/A FIELD NOT APPLICABLE")," ",_xll.BDP($AX101,"FD116"))</f>
        <v>Blend</v>
      </c>
      <c r="J101" s="22" t="str" cm="1">
        <f t="array" ref="J101">IF(OR(_xll.BDP($AX101,"FD133")="#N/A N/A",_xll.BDP($AX101,"FD133")="#N/A FIELD NOT APPLICABLE")," ", _xll.BDP($AX101,"FD133"))</f>
        <v>Technology</v>
      </c>
      <c r="K101" s="34">
        <f>_xll.BDP(AX101,"FUND_ASSETS_USD")/1000</f>
        <v>6.0043501708200004</v>
      </c>
      <c r="L101" s="25">
        <f>IFERROR(_xll.BDP(AX101, "DV013")/100,0)</f>
        <v>3.1929751422917728E-2</v>
      </c>
      <c r="M101" s="25" cm="1">
        <f t="array" ref="M101">IF(OR(_xll.BDP($AX101,"PR079")="#N/A N/A",_xll.BDP($AX101,"PR079")="#N/A FIELD NOT APPLICABLE")," ", _xll.BDP($AX101,"PR079")/100)</f>
        <v>9.7811229999999985E-2</v>
      </c>
      <c r="N101" s="25" cm="1">
        <f t="array" ref="N101">IF(OR(_xll.BDP($AX101,"RT074")="#N/A N/A",_xll.BDP($AX101,"RT074")="#N/A FIELD NOT APPLICABLE")," ", _xll.BDP($AX101,"RT074")/100)</f>
        <v>0.19051929999999997</v>
      </c>
      <c r="O101" s="27">
        <v>4070</v>
      </c>
      <c r="P101" s="28">
        <v>46.93</v>
      </c>
      <c r="Q101" s="22" cm="1">
        <f t="array" ref="Q101">IF(OR(_xll.BDP($AX101,"PX_last")="#N/A N/A",_xll.BDP($AX101,"PX_Last")="#N/A FIELD NOT APPLICABLE")," ",IF(F101="GBP",(_xll.BDP($AX101,"PX_LAST")),(_xll.BDP($AX101,"PX_LAST"))))</f>
        <v>32.1</v>
      </c>
      <c r="R101" s="29">
        <f>IF(F101="USD",AA101,(((_xll.BDP(F101&amp;"USD CURNCY","PX_LAST")))*AA101))</f>
        <v>191005.1</v>
      </c>
      <c r="S101" s="29">
        <f>IF(F101="USD",AB101,(((_xll.BDP(F101&amp;"USD CURNCY","PX_LAST")))*AB101))</f>
        <v>130647</v>
      </c>
      <c r="T101" s="12">
        <f t="shared" si="24"/>
        <v>-60358.100000000006</v>
      </c>
      <c r="U101" s="13">
        <f t="shared" si="25"/>
        <v>-0.31600255699978691</v>
      </c>
      <c r="V101" s="13" cm="1">
        <f t="array" ref="V101">IFERROR(_xll.BDP($G101&amp;" Equity","CHG_PCT_1D")/100,"")</f>
        <v>1.2461060000000001E-3</v>
      </c>
      <c r="W101" s="13" cm="1">
        <f t="array" ref="W101">IFERROR(_xll.BDP($G101&amp;" Equity","CHG_PCT_5D")/100,"")</f>
        <v>2.1827249999999999E-3</v>
      </c>
      <c r="X101" s="13" t="e">
        <f>S101/#REF!</f>
        <v>#REF!</v>
      </c>
      <c r="Y101" s="29">
        <f t="shared" si="26"/>
        <v>4171.526234149932</v>
      </c>
      <c r="Z101" s="29">
        <f t="shared" si="27"/>
        <v>130647</v>
      </c>
      <c r="AA101" s="29">
        <f t="shared" si="28"/>
        <v>191005.1</v>
      </c>
      <c r="AB101" s="29">
        <f t="shared" si="29"/>
        <v>130647</v>
      </c>
      <c r="AC101" s="25" t="str" cm="1">
        <f t="array" ref="AC101">IF(OR(_xll.BDP($AX101,"EX028")="#N/A N/A",_xll.BDP($AX101,"EX028")="#N/A FIELD NOT APPLICABLE")," ", _xll.BDP($AX101,"EX028"))</f>
        <v>Fund</v>
      </c>
      <c r="AD101" s="35" t="str" cm="1">
        <f t="array" ref="AD101">IF(OR(_xll.BDP($AX101,"FD121")="#N/A N/A",_xll.BDP($AX101,"FD121")="#N/A FIELD NOT APPLICABLE")," ", _xll.BDP($AX101,"FD121"))</f>
        <v>Equity</v>
      </c>
      <c r="AE101" s="25" t="str" cm="1">
        <f t="array" ref="AE101">IF(OR(_xll.BDP($AX101,"FD118")="#N/A N/A",_xll.BDP($AX101,"FD118")="#N/A FIELD NOT APPLICABLE")," ", _xll.BDP($AX101,"FD118"))</f>
        <v>ETF</v>
      </c>
      <c r="AF101" s="22" t="str" cm="1">
        <f t="array" ref="AF101">IF(OR(_xll.BDP($AX101,"FD114")="#N/A N/A",_xll.BDP($AX101,"FD114")="#N/A FIELD NOT APPLICABLE")," ", _xll.BDP($AX101,"FD114"))</f>
        <v xml:space="preserve"> </v>
      </c>
      <c r="AG101" s="22" t="str" cm="1">
        <f t="array" ref="AG101">IF(OR(_xll.BDP($AX101,"FD003")="#N/A N/A",_xll.BDP($AX101,"FD003")="#N/A FIELD NOT APPLICABLE")," ", _xll.BDP($AX101,"FD003"))</f>
        <v>31/07/2013</v>
      </c>
      <c r="AH101" s="32" cm="1">
        <f t="array" ref="AH101">IF(OR(_xll.BDP($AX101,"PR061")="#N/A N/A",_xll.BDP($AX101,"PR061")="#N/A FIELD NOT APPLICABLE")," ", _xll.BDP($AX101,"PR061")/100)</f>
        <v>-8.3380940000000001E-2</v>
      </c>
      <c r="AI101" s="25" cm="1">
        <f t="array" ref="AI101">IF(OR(_xll.BDP($AX101,"RT075")="#N/A N/A",_xll.BDP($AX101,"RT075")="#N/A FIELD NOT APPLICABLE")," ", _xll.BDP($AX101,"RT075")/100)</f>
        <v>6.0822830000000001E-2</v>
      </c>
      <c r="AJ101" s="25" cm="1">
        <f t="array" ref="AJ101">IF(OR(_xll.BDP($AX101,"RT076")="#N/A N/A",_xll.BDP($AX101,"RT076")="#N/A FIELD NOT APPLICABLE")," ", _xll.BDP($AX101,"RT076")/100)</f>
        <v>-5.500273E-2</v>
      </c>
      <c r="AK101" s="25" cm="1">
        <f t="array" ref="AK101">IF(OR(_xll.BDP($AX101,"FD252")="#N/A N/A",_xll.BDP($AX101,"FD252")="#N/A FIELD NOT APPLICABLE")," ", _xll.BDP($AX101,"FD252")/100)</f>
        <v>0</v>
      </c>
      <c r="AL101" s="25" cm="1">
        <f t="array" ref="AL101">IF(OR(_xll.BDP($AX101,"FD015")="#N/A N/A",_xll.BDP($AX101,"FD015")="#N/A FIELD NOT APPLICABLE")," ", _xll.BDP($AX101,"FD015")/100)</f>
        <v>6.9999999999999993E-3</v>
      </c>
      <c r="AM101" s="25" cm="1">
        <f t="array" ref="AM101">IF(OR(_xll.BDP($AX101,"FD138")="#N/A N/A",_xll.BDP($AX101,"FD138")="#N/A FIELD NOT APPLICABLE")," ", _xll.BDP($AX101,"FD138")/100)</f>
        <v>6.8000000000000005E-3</v>
      </c>
      <c r="AN101" s="36" cm="1">
        <f t="array" ref="AN101">IF(OR(_xll.BDP($AX101,"FD009")="#N/A N/A",_xll.BDP($AX101,"FD009")="#N/A FIELD NOT APPLICABLE")," ", _xll.BDP($AX101,"FD009")/100)</f>
        <v>0</v>
      </c>
      <c r="AO101" s="25" cm="1">
        <f t="array" ref="AO101">IF(OR(_xll.BDP($AX101,"RK512")="#N/A N/A",_xll.BDP($AX101,"RK512")="#N/A FIELD NOT APPLICABLE")," ", _xll.BDP($AX101,"RK512")/100)</f>
        <v>4.7488099336624144E-3</v>
      </c>
      <c r="AP101" s="25" cm="1">
        <f t="array" ref="AP101">IF(OR(_xll.BDP($AX101,"RK514")="#N/A N/A",_xll.BDP($AX101,"RK514")="#N/A FIELD NOT APPLICABLE")," ", _xll.BDP($AX101,"RK514")/100)</f>
        <v>6.2772798538208007E-3</v>
      </c>
      <c r="AQ101" s="25" cm="1">
        <f t="array" ref="AQ101">IF(OR(_xll.BDP($AX101,"RK521")="#N/A N/A",_xll.BDP($AX101,"RK521")="#N/A FIELD NOT APPLICABLE")," ", _xll.BDP($AX101,"RK521")/100)</f>
        <v>1.4107999801635742E-2</v>
      </c>
      <c r="AR101" s="25" cm="1">
        <f t="array" ref="AR101">IF(OR(_xll.BDP($AX101,"RK525")="#N/A N/A",_xll.BDP($AX101,"RK525")="#N/A FIELD NOT APPLICABLE")," ", _xll.BDP($AX101,"RK525")/100)</f>
        <v>9.8214697837829597E-3</v>
      </c>
      <c r="AS101" s="25" cm="1">
        <f t="array" ref="AS101">IF(OR(_xll.BDP($AX101,"RK524")="#N/A N/A",_xll.BDP($AX101,"RK524")="#N/A FIELD NOT APPLICABLE")," ", _xll.BDP($AX101,"RK524")/100)</f>
        <v>3.436100110411644E-4</v>
      </c>
      <c r="AT101" s="25" t="str" cm="1">
        <f t="array" ref="AT101">IF(OR(_xll.BDP($AX101,"FD183")="#N/A N/A",_xll.BDP($AX101,"FD183")="#N/A FIELD NOT APPLICABLE")," ", _xll.BDP($AX101,"FD183"))</f>
        <v>USD INC</v>
      </c>
      <c r="AU101" s="25" t="str" cm="1">
        <f t="array" ref="AU101">IF(OR(_xll.BDP($AX101,"DY997")="#N/A N/A",_xll.BDP($AX101,"DY997")="#N/A FIELD NOT APPLICABLE")," ", _xll.BDP($AX101,"DY997"))</f>
        <v xml:space="preserve"> </v>
      </c>
      <c r="AV101" s="25" t="str" cm="1">
        <f t="array" ref="AV101">IF(OR(_xll.BDP($AX101,"DY784")="#N/A N/A",_xll.BDP($AX101,"DY784")="#N/A FIELD NOT APPLICABLE")," ", _xll.BDP($AX101,"DY784"))</f>
        <v xml:space="preserve"> </v>
      </c>
      <c r="AW101" s="22" t="str">
        <f t="shared" si="30"/>
        <v>N</v>
      </c>
      <c r="AX101" s="22" t="str">
        <f t="shared" si="31"/>
        <v>KWEB US Equity</v>
      </c>
      <c r="BC101" s="17" t="str" cm="1">
        <f t="array" ref="BC101">_xll.BDP(AX101,"ID005")</f>
        <v>US5007673065</v>
      </c>
      <c r="BD101" s="17">
        <v>0.85</v>
      </c>
      <c r="BE101" s="18">
        <v>3</v>
      </c>
      <c r="BF101" s="37">
        <v>45510</v>
      </c>
      <c r="BG101" s="20"/>
    </row>
    <row r="102" spans="1:59" s="3" customFormat="1" ht="14.45" customHeight="1" x14ac:dyDescent="0.25">
      <c r="A102" s="49" t="s">
        <v>242</v>
      </c>
      <c r="B102" s="49" t="s">
        <v>268</v>
      </c>
      <c r="C102" s="49" t="s">
        <v>269</v>
      </c>
      <c r="D102" s="49" t="s">
        <v>248</v>
      </c>
      <c r="E102" s="22" t="str">
        <f>_xll.BDP(AX102,"SECURITY NAME")</f>
        <v>KraneShares CSI China Internet</v>
      </c>
      <c r="F102" s="22" t="str">
        <f>_xll.BDP(AX102,"CRNCY")</f>
        <v>USD</v>
      </c>
      <c r="G102" s="23" t="s">
        <v>125</v>
      </c>
      <c r="H102" s="22" t="str" cm="1">
        <f t="array" ref="H102">IF(OR(_xll.BDP($AX102,"FD120")="#N/A N/A",_xll.BDP($AX102,"FD120")="#N/A FIELD NOT APPLICABLE")," ",_xll.BDP($AX102,"FD120"))</f>
        <v>China</v>
      </c>
      <c r="I102" s="22" t="str" cm="1">
        <f t="array" ref="I102">IF(OR(_xll.BDP($AX102,"FD116")="#N/A N/A",_xll.BDP($AX102,"FD116")="#N/A FIELD NOT APPLICABLE")," ",_xll.BDP($AX102,"FD116"))</f>
        <v>Blend</v>
      </c>
      <c r="J102" s="22" t="str" cm="1">
        <f t="array" ref="J102">IF(OR(_xll.BDP($AX102,"FD133")="#N/A N/A",_xll.BDP($AX102,"FD133")="#N/A FIELD NOT APPLICABLE")," ", _xll.BDP($AX102,"FD133"))</f>
        <v>Technology</v>
      </c>
      <c r="K102" s="34">
        <f>_xll.BDP(AX102,"FUND_ASSETS_USD")/1000</f>
        <v>6.0043501708200004</v>
      </c>
      <c r="L102" s="25">
        <f>IFERROR(_xll.BDP(AX102, "DV013")/100,0)</f>
        <v>3.1929751422917728E-2</v>
      </c>
      <c r="M102" s="25" cm="1">
        <f t="array" ref="M102">IF(OR(_xll.BDP($AX102,"PR079")="#N/A N/A",_xll.BDP($AX102,"PR079")="#N/A FIELD NOT APPLICABLE")," ", _xll.BDP($AX102,"PR079")/100)</f>
        <v>9.7811229999999985E-2</v>
      </c>
      <c r="N102" s="25" cm="1">
        <f t="array" ref="N102">IF(OR(_xll.BDP($AX102,"RT074")="#N/A N/A",_xll.BDP($AX102,"RT074")="#N/A FIELD NOT APPLICABLE")," ", _xll.BDP($AX102,"RT074")/100)</f>
        <v>0.19051929999999997</v>
      </c>
      <c r="O102" s="27">
        <v>3565</v>
      </c>
      <c r="P102" s="28">
        <v>37.450000000000003</v>
      </c>
      <c r="Q102" s="22" cm="1">
        <f t="array" ref="Q102">IF(OR(_xll.BDP($AX102,"PX_last")="#N/A N/A",_xll.BDP($AX102,"PX_Last")="#N/A FIELD NOT APPLICABLE")," ",IF(F102="GBP",(_xll.BDP($AX102,"PX_LAST")/100),(_xll.BDP($AX102,"PX_LAST"))))</f>
        <v>32.1</v>
      </c>
      <c r="R102" s="29">
        <f>IF(F102="USD",AA102,(((_xll.BDP(F102&amp;"USD CURNCY","PX_LAST")))*AA102))</f>
        <v>133509.25</v>
      </c>
      <c r="S102" s="29">
        <f>IF(F102="USD",AB102,(((_xll.BDP(F102&amp;"USD CURNCY","PX_LAST")))*AB102))</f>
        <v>114436.5</v>
      </c>
      <c r="T102" s="12">
        <f t="shared" si="24"/>
        <v>-19072.75</v>
      </c>
      <c r="U102" s="13">
        <f t="shared" si="25"/>
        <v>-0.14285714285714285</v>
      </c>
      <c r="V102" s="13" cm="1">
        <f t="array" ref="V102">IFERROR(_xll.BDP($G102&amp;" Equity","CHG_PCT_1D")/100,"")</f>
        <v>1.2461060000000001E-3</v>
      </c>
      <c r="W102" s="13" cm="1">
        <f t="array" ref="W102">IFERROR(_xll.BDP($G102&amp;" Equity","CHG_PCT_5D")/100,"")</f>
        <v>2.1827249999999999E-3</v>
      </c>
      <c r="X102" s="13" t="e">
        <f>S102/#REF!</f>
        <v>#REF!</v>
      </c>
      <c r="Y102" s="29">
        <f t="shared" si="26"/>
        <v>3653.9289987087245</v>
      </c>
      <c r="Z102" s="29">
        <f t="shared" si="27"/>
        <v>114436.5</v>
      </c>
      <c r="AA102" s="29">
        <f t="shared" si="28"/>
        <v>133509.25</v>
      </c>
      <c r="AB102" s="29">
        <f t="shared" si="29"/>
        <v>114436.5</v>
      </c>
      <c r="AC102" s="25" t="str" cm="1">
        <f t="array" ref="AC102">IF(OR(_xll.BDP($AX102,"EX028")="#N/A N/A",_xll.BDP($AX102,"EX028")="#N/A FIELD NOT APPLICABLE")," ", _xll.BDP($AX102,"EX028"))</f>
        <v>Fund</v>
      </c>
      <c r="AD102" s="35" t="str" cm="1">
        <f t="array" ref="AD102">IF(OR(_xll.BDP($AX102,"FD121")="#N/A N/A",_xll.BDP($AX102,"FD121")="#N/A FIELD NOT APPLICABLE")," ", _xll.BDP($AX102,"FD121"))</f>
        <v>Equity</v>
      </c>
      <c r="AE102" s="25" t="str" cm="1">
        <f t="array" ref="AE102">IF(OR(_xll.BDP($AX102,"FD118")="#N/A N/A",_xll.BDP($AX102,"FD118")="#N/A FIELD NOT APPLICABLE")," ", _xll.BDP($AX102,"FD118"))</f>
        <v>ETF</v>
      </c>
      <c r="AF102" s="22" t="str" cm="1">
        <f t="array" ref="AF102">IF(OR(_xll.BDP($AX102,"FD114")="#N/A N/A",_xll.BDP($AX102,"FD114")="#N/A FIELD NOT APPLICABLE")," ", _xll.BDP($AX102,"FD114"))</f>
        <v xml:space="preserve"> </v>
      </c>
      <c r="AG102" s="22" t="str" cm="1">
        <f t="array" ref="AG102">IF(OR(_xll.BDP($AX102,"FD003")="#N/A N/A",_xll.BDP($AX102,"FD003")="#N/A FIELD NOT APPLICABLE")," ", _xll.BDP($AX102,"FD003"))</f>
        <v>31/07/2013</v>
      </c>
      <c r="AH102" s="32" cm="1">
        <f t="array" ref="AH102">IF(OR(_xll.BDP($AX102,"PR061")="#N/A N/A",_xll.BDP($AX102,"PR061")="#N/A FIELD NOT APPLICABLE")," ", _xll.BDP($AX102,"PR061")/100)</f>
        <v>-8.3380940000000001E-2</v>
      </c>
      <c r="AI102" s="25" cm="1">
        <f t="array" ref="AI102">IF(OR(_xll.BDP($AX102,"RT075")="#N/A N/A",_xll.BDP($AX102,"RT075")="#N/A FIELD NOT APPLICABLE")," ", _xll.BDP($AX102,"RT075")/100)</f>
        <v>6.0822830000000001E-2</v>
      </c>
      <c r="AJ102" s="25" cm="1">
        <f t="array" ref="AJ102">IF(OR(_xll.BDP($AX102,"RT076")="#N/A N/A",_xll.BDP($AX102,"RT076")="#N/A FIELD NOT APPLICABLE")," ", _xll.BDP($AX102,"RT076")/100)</f>
        <v>-5.500273E-2</v>
      </c>
      <c r="AK102" s="25" cm="1">
        <f t="array" ref="AK102">IF(OR(_xll.BDP($AX102,"FD252")="#N/A N/A",_xll.BDP($AX102,"FD252")="#N/A FIELD NOT APPLICABLE")," ", _xll.BDP($AX102,"FD252")/100)</f>
        <v>0</v>
      </c>
      <c r="AL102" s="25" cm="1">
        <f t="array" ref="AL102">IF(OR(_xll.BDP($AX102,"FD015")="#N/A N/A",_xll.BDP($AX102,"FD015")="#N/A FIELD NOT APPLICABLE")," ", _xll.BDP($AX102,"FD015")/100)</f>
        <v>6.9999999999999993E-3</v>
      </c>
      <c r="AM102" s="25" cm="1">
        <f t="array" ref="AM102">IF(OR(_xll.BDP($AX102,"FD138")="#N/A N/A",_xll.BDP($AX102,"FD138")="#N/A FIELD NOT APPLICABLE")," ", _xll.BDP($AX102,"FD138")/100)</f>
        <v>6.8000000000000005E-3</v>
      </c>
      <c r="AN102" s="36" cm="1">
        <f t="array" ref="AN102">IF(OR(_xll.BDP($AX102,"FD009")="#N/A N/A",_xll.BDP($AX102,"FD009")="#N/A FIELD NOT APPLICABLE")," ", _xll.BDP($AX102,"FD009")/100)</f>
        <v>0</v>
      </c>
      <c r="AO102" s="25" cm="1">
        <f t="array" ref="AO102">IF(OR(_xll.BDP($AX102,"RK512")="#N/A N/A",_xll.BDP($AX102,"RK512")="#N/A FIELD NOT APPLICABLE")," ", _xll.BDP($AX102,"RK512")/100)</f>
        <v>4.7488099336624144E-3</v>
      </c>
      <c r="AP102" s="25" cm="1">
        <f t="array" ref="AP102">IF(OR(_xll.BDP($AX102,"RK514")="#N/A N/A",_xll.BDP($AX102,"RK514")="#N/A FIELD NOT APPLICABLE")," ", _xll.BDP($AX102,"RK514")/100)</f>
        <v>6.2772798538208007E-3</v>
      </c>
      <c r="AQ102" s="25" cm="1">
        <f t="array" ref="AQ102">IF(OR(_xll.BDP($AX102,"RK521")="#N/A N/A",_xll.BDP($AX102,"RK521")="#N/A FIELD NOT APPLICABLE")," ", _xll.BDP($AX102,"RK521")/100)</f>
        <v>1.4107999801635742E-2</v>
      </c>
      <c r="AR102" s="25" cm="1">
        <f t="array" ref="AR102">IF(OR(_xll.BDP($AX102,"RK525")="#N/A N/A",_xll.BDP($AX102,"RK525")="#N/A FIELD NOT APPLICABLE")," ", _xll.BDP($AX102,"RK525")/100)</f>
        <v>9.8214697837829597E-3</v>
      </c>
      <c r="AS102" s="25" cm="1">
        <f t="array" ref="AS102">IF(OR(_xll.BDP($AX102,"RK524")="#N/A N/A",_xll.BDP($AX102,"RK524")="#N/A FIELD NOT APPLICABLE")," ", _xll.BDP($AX102,"RK524")/100)</f>
        <v>3.436100110411644E-4</v>
      </c>
      <c r="AT102" s="25" t="str" cm="1">
        <f t="array" ref="AT102">IF(OR(_xll.BDP($AX102,"FD183")="#N/A N/A",_xll.BDP($AX102,"FD183")="#N/A FIELD NOT APPLICABLE")," ", _xll.BDP($AX102,"FD183"))</f>
        <v>USD INC</v>
      </c>
      <c r="AU102" s="25" t="str" cm="1">
        <f t="array" ref="AU102">IF(OR(_xll.BDP($AX102,"DY997")="#N/A N/A",_xll.BDP($AX102,"DY997")="#N/A FIELD NOT APPLICABLE")," ", _xll.BDP($AX102,"DY997"))</f>
        <v xml:space="preserve"> </v>
      </c>
      <c r="AV102" s="25" t="str" cm="1">
        <f t="array" ref="AV102">IF(OR(_xll.BDP($AX102,"DY784")="#N/A N/A",_xll.BDP($AX102,"DY784")="#N/A FIELD NOT APPLICABLE")," ", _xll.BDP($AX102,"DY784"))</f>
        <v xml:space="preserve"> </v>
      </c>
      <c r="AW102" s="22" t="str">
        <f t="shared" si="30"/>
        <v>N</v>
      </c>
      <c r="AX102" s="22" t="str">
        <f t="shared" si="31"/>
        <v>KWEB US Equity</v>
      </c>
      <c r="BC102" s="17" t="str" cm="1">
        <f t="array" ref="BC102">_xll.BDP(AX102,"ID005")</f>
        <v>US5007673065</v>
      </c>
      <c r="BD102" s="17">
        <v>0</v>
      </c>
      <c r="BE102" s="18">
        <v>5</v>
      </c>
      <c r="BF102" s="37"/>
      <c r="BG102" s="20"/>
    </row>
    <row r="103" spans="1:59" s="3" customFormat="1" ht="14.45" customHeight="1" x14ac:dyDescent="0.25">
      <c r="A103" s="49" t="s">
        <v>242</v>
      </c>
      <c r="B103" s="49" t="s">
        <v>255</v>
      </c>
      <c r="C103" s="49" t="s">
        <v>256</v>
      </c>
      <c r="D103" s="49" t="s">
        <v>248</v>
      </c>
      <c r="E103" s="22" t="str">
        <f>_xll.BDP(AX103,"SECURITY NAME")</f>
        <v>abrdn SICAV I - Frontier Marke</v>
      </c>
      <c r="F103" s="22" t="str">
        <f>_xll.BDP(AX103,"CRNCY")</f>
        <v>USD</v>
      </c>
      <c r="G103" s="23" t="s">
        <v>325</v>
      </c>
      <c r="H103" s="22" t="str" cm="1">
        <f t="array" ref="H103">IF(OR(_xll.BDP($AX103,"FD120")="#N/A N/A",_xll.BDP($AX103,"FD120")="#N/A FIELD NOT APPLICABLE")," ",_xll.BDP($AX103,"FD120"))</f>
        <v>Global</v>
      </c>
      <c r="I103" s="22" t="str" cm="1">
        <f t="array" ref="I103">IF(OR(_xll.BDP($AX103,"FD116")="#N/A N/A",_xll.BDP($AX103,"FD116")="#N/A FIELD NOT APPLICABLE")," ",_xll.BDP($AX103,"FD116"))</f>
        <v>Aggregate</v>
      </c>
      <c r="J103" s="22" t="str" cm="1">
        <f t="array" ref="J103">IF(OR(_xll.BDP($AX103,"FD133")="#N/A N/A",_xll.BDP($AX103,"FD133")="#N/A FIELD NOT APPLICABLE")," ", _xll.BDP($AX103,"FD133"))</f>
        <v xml:space="preserve"> </v>
      </c>
      <c r="K103" s="34">
        <f>_xll.BDP(AX103,"FUND_ASSETS_USD")/1000</f>
        <v>0.50939920000000005</v>
      </c>
      <c r="L103" s="25">
        <f>IFERROR(_xll.BDP(AX103, "DV013")/100,0)</f>
        <v>9.0549139126540154E-2</v>
      </c>
      <c r="M103" s="25" cm="1">
        <f t="array" ref="M103">IF(OR(_xll.BDP($AX103,"PR079")="#N/A N/A",_xll.BDP($AX103,"PR079")="#N/A FIELD NOT APPLICABLE")," ", _xll.BDP($AX103,"PR079")/100)</f>
        <v>-2.4259840000000001E-2</v>
      </c>
      <c r="N103" s="25" cm="1">
        <f t="array" ref="N103">IF(OR(_xll.BDP($AX103,"RT074")="#N/A N/A",_xll.BDP($AX103,"RT074")="#N/A FIELD NOT APPLICABLE")," ", _xll.BDP($AX103,"RT074")/100)</f>
        <v>7.1059910000000004E-2</v>
      </c>
      <c r="O103" s="27">
        <v>19626.7</v>
      </c>
      <c r="P103" s="28">
        <v>10.210000000000001</v>
      </c>
      <c r="Q103" s="22" cm="1">
        <f t="array" ref="Q103">IF(OR(_xll.BDP($AX103,"PX_last")="#N/A N/A",_xll.BDP($AX103,"PX_Last")="#N/A FIELD NOT APPLICABLE")," ",IF(F103="GBP",(_xll.BDP($AX103,"PX_LAST")/100),(_xll.BDP($AX103,"PX_LAST"))))</f>
        <v>8.1728000000000005</v>
      </c>
      <c r="R103" s="29">
        <f>IF(F103="USD",AA103,(((_xll.BDP(F103&amp;"USD CURNCY","PX_LAST")))*AA103))</f>
        <v>200388.60700000002</v>
      </c>
      <c r="S103" s="29">
        <f>IF(F103="USD",AB103,(((_xll.BDP(F103&amp;"USD CURNCY","PX_LAST")))*AB103))</f>
        <v>160405.09376000002</v>
      </c>
      <c r="T103" s="12">
        <f t="shared" si="24"/>
        <v>-39983.51324</v>
      </c>
      <c r="U103" s="13">
        <f t="shared" si="25"/>
        <v>-0.19952987267384914</v>
      </c>
      <c r="V103" s="13" cm="1">
        <f t="array" ref="V103">IFERROR(_xll.BDP($G103&amp;" Equity","CHG_PCT_1D")/100,"")</f>
        <v>-4.276368E-3</v>
      </c>
      <c r="W103" s="13" cm="1">
        <f t="array" ref="W103">IFERROR(_xll.BDP($G103&amp;" Equity","CHG_PCT_5D")/100,"")</f>
        <v>8.0820939999999997E-4</v>
      </c>
      <c r="X103" s="13" t="e">
        <f>S103/#REF!</f>
        <v>#REF!</v>
      </c>
      <c r="Y103" s="29">
        <f t="shared" si="26"/>
        <v>14524.54315147996</v>
      </c>
      <c r="Z103" s="29">
        <f t="shared" si="27"/>
        <v>160405.09376000002</v>
      </c>
      <c r="AA103" s="29">
        <f t="shared" si="28"/>
        <v>200388.60700000002</v>
      </c>
      <c r="AB103" s="29">
        <f t="shared" si="29"/>
        <v>160405.09376000002</v>
      </c>
      <c r="AC103" s="25" t="str" cm="1">
        <f t="array" ref="AC103">IF(OR(_xll.BDP($AX103,"EX028")="#N/A N/A",_xll.BDP($AX103,"EX028")="#N/A FIELD NOT APPLICABLE")," ", _xll.BDP($AX103,"EX028"))</f>
        <v>Fund</v>
      </c>
      <c r="AD103" s="35" t="str" cm="1">
        <f t="array" ref="AD103">IF(OR(_xll.BDP($AX103,"FD121")="#N/A N/A",_xll.BDP($AX103,"FD121")="#N/A FIELD NOT APPLICABLE")," ", _xll.BDP($AX103,"FD121"))</f>
        <v>Fixed Income</v>
      </c>
      <c r="AE103" s="25" t="str" cm="1">
        <f t="array" ref="AE103">IF(OR(_xll.BDP($AX103,"FD118")="#N/A N/A",_xll.BDP($AX103,"FD118")="#N/A FIELD NOT APPLICABLE")," ", _xll.BDP($AX103,"FD118"))</f>
        <v>SICAV</v>
      </c>
      <c r="AF103" s="22" t="str" cm="1">
        <f t="array" ref="AF103">IF(OR(_xll.BDP($AX103,"FD114")="#N/A N/A",_xll.BDP($AX103,"FD114")="#N/A FIELD NOT APPLICABLE")," ", _xll.BDP($AX103,"FD114"))</f>
        <v xml:space="preserve"> </v>
      </c>
      <c r="AG103" s="22" t="str" cm="1">
        <f t="array" ref="AG103">IF(OR(_xll.BDP($AX103,"FD003")="#N/A N/A",_xll.BDP($AX103,"FD003")="#N/A FIELD NOT APPLICABLE")," ", _xll.BDP($AX103,"FD003"))</f>
        <v>25/09/2013</v>
      </c>
      <c r="AH103" s="32" cm="1">
        <f t="array" ref="AH103">IF(OR(_xll.BDP($AX103,"PR061")="#N/A N/A",_xll.BDP($AX103,"PR061")="#N/A FIELD NOT APPLICABLE")," ", _xll.BDP($AX103,"PR061")/100)</f>
        <v>-2.639851E-2</v>
      </c>
      <c r="AI103" s="25" cm="1">
        <f t="array" ref="AI103">IF(OR(_xll.BDP($AX103,"RT075")="#N/A N/A",_xll.BDP($AX103,"RT075")="#N/A FIELD NOT APPLICABLE")," ", _xll.BDP($AX103,"RT075")/100)</f>
        <v>7.9503870000000004E-2</v>
      </c>
      <c r="AJ103" s="25" cm="1">
        <f t="array" ref="AJ103">IF(OR(_xll.BDP($AX103,"RT076")="#N/A N/A",_xll.BDP($AX103,"RT076")="#N/A FIELD NOT APPLICABLE")," ", _xll.BDP($AX103,"RT076")/100)</f>
        <v>7.4616280000000007E-2</v>
      </c>
      <c r="AK103" s="25" cm="1">
        <f t="array" ref="AK103">IF(OR(_xll.BDP($AX103,"FD252")="#N/A N/A",_xll.BDP($AX103,"FD252")="#N/A FIELD NOT APPLICABLE")," ", _xll.BDP($AX103,"FD252")/100)</f>
        <v>0.05</v>
      </c>
      <c r="AL103" s="25" cm="1">
        <f t="array" ref="AL103">IF(OR(_xll.BDP($AX103,"FD015")="#N/A N/A",_xll.BDP($AX103,"FD015")="#N/A FIELD NOT APPLICABLE")," ", _xll.BDP($AX103,"FD015")/100)</f>
        <v>1.66E-2</v>
      </c>
      <c r="AM103" s="25" cm="1">
        <f t="array" ref="AM103">IF(OR(_xll.BDP($AX103,"FD138")="#N/A N/A",_xll.BDP($AX103,"FD138")="#N/A FIELD NOT APPLICABLE")," ", _xll.BDP($AX103,"FD138")/100)</f>
        <v>1.4999999999999999E-2</v>
      </c>
      <c r="AN103" s="36" cm="1">
        <f t="array" ref="AN103">IF(OR(_xll.BDP($AX103,"FD009")="#N/A N/A",_xll.BDP($AX103,"FD009")="#N/A FIELD NOT APPLICABLE")," ", _xll.BDP($AX103,"FD009")/100)</f>
        <v>5</v>
      </c>
      <c r="AO103" s="25" cm="1">
        <f t="array" ref="AO103">IF(OR(_xll.BDP($AX103,"RK512")="#N/A N/A",_xll.BDP($AX103,"RK512")="#N/A FIELD NOT APPLICABLE")," ", _xll.BDP($AX103,"RK512")/100)</f>
        <v>5.4682100000000003E-3</v>
      </c>
      <c r="AP103" s="25" cm="1">
        <f t="array" ref="AP103">IF(OR(_xll.BDP($AX103,"RK514")="#N/A N/A",_xll.BDP($AX103,"RK514")="#N/A FIELD NOT APPLICABLE")," ", _xll.BDP($AX103,"RK514")/100)</f>
        <v>4.7595099999999998E-3</v>
      </c>
      <c r="AQ103" s="25" t="str" cm="1">
        <f t="array" ref="AQ103">IF(OR(_xll.BDP($AX103,"RK521")="#N/A N/A",_xll.BDP($AX103,"RK521")="#N/A FIELD NOT APPLICABLE")," ", _xll.BDP($AX103,"RK521")/100)</f>
        <v xml:space="preserve"> </v>
      </c>
      <c r="AR103" s="25" t="str" cm="1">
        <f t="array" ref="AR103">IF(OR(_xll.BDP($AX103,"RK525")="#N/A N/A",_xll.BDP($AX103,"RK525")="#N/A FIELD NOT APPLICABLE")," ", _xll.BDP($AX103,"RK525")/100)</f>
        <v xml:space="preserve"> </v>
      </c>
      <c r="AS103" s="25" t="str" cm="1">
        <f t="array" ref="AS103">IF(OR(_xll.BDP($AX103,"RK524")="#N/A N/A",_xll.BDP($AX103,"RK524")="#N/A FIELD NOT APPLICABLE")," ", _xll.BDP($AX103,"RK524")/100)</f>
        <v xml:space="preserve"> </v>
      </c>
      <c r="AT103" s="25" t="str" cm="1">
        <f t="array" ref="AT103">IF(OR(_xll.BDP($AX103,"FD183")="#N/A N/A",_xll.BDP($AX103,"FD183")="#N/A FIELD NOT APPLICABLE")," ", _xll.BDP($AX103,"FD183"))</f>
        <v>A MINC USD INC</v>
      </c>
      <c r="AU103" s="25" t="str" cm="1">
        <f t="array" ref="AU103">IF(OR(_xll.BDP($AX103,"DY997")="#N/A N/A",_xll.BDP($AX103,"DY997")="#N/A FIELD NOT APPLICABLE")," ", _xll.BDP($AX103,"DY997"))</f>
        <v xml:space="preserve"> </v>
      </c>
      <c r="AV103" s="25" t="str" cm="1">
        <f t="array" ref="AV103">IF(OR(_xll.BDP($AX103,"DY784")="#N/A N/A",_xll.BDP($AX103,"DY784")="#N/A FIELD NOT APPLICABLE")," ", _xll.BDP($AX103,"DY784"))</f>
        <v xml:space="preserve"> </v>
      </c>
      <c r="AW103" s="22" t="str">
        <f t="shared" si="30"/>
        <v>N</v>
      </c>
      <c r="AX103" s="22" t="str">
        <f t="shared" si="31"/>
        <v>LU0963865083 Equity</v>
      </c>
      <c r="BC103" s="17" t="str" cm="1">
        <f t="array" ref="BC103">_xll.BDP(AX103,"ID005")</f>
        <v>LU0963865083</v>
      </c>
      <c r="BD103" s="17"/>
      <c r="BE103" s="18"/>
      <c r="BF103" s="37"/>
      <c r="BG103" s="20"/>
    </row>
    <row r="104" spans="1:59" s="3" customFormat="1" ht="14.45" customHeight="1" x14ac:dyDescent="0.25">
      <c r="A104" s="49" t="s">
        <v>241</v>
      </c>
      <c r="B104" s="49" t="s">
        <v>238</v>
      </c>
      <c r="C104" s="49" t="s">
        <v>239</v>
      </c>
      <c r="D104" s="49" t="s">
        <v>240</v>
      </c>
      <c r="E104" s="22" t="str">
        <f>_xll.BDP(AX104,"SECURITY NAME")</f>
        <v>VanEck Oil Services ETF</v>
      </c>
      <c r="F104" s="22" t="str">
        <f>_xll.BDP(AX104,"CRNCY")</f>
        <v>USD</v>
      </c>
      <c r="G104" s="23" t="s">
        <v>112</v>
      </c>
      <c r="H104" s="22" t="str" cm="1">
        <f t="array" ref="H104">IF(OR(_xll.BDP($AX104,"FD120")="#N/A N/A",_xll.BDP($AX104,"FD120")="#N/A FIELD NOT APPLICABLE")," ",_xll.BDP($AX104,"FD120"))</f>
        <v>U.S.</v>
      </c>
      <c r="I104" s="22" t="str" cm="1">
        <f t="array" ref="I104">IF(OR(_xll.BDP($AX104,"FD116")="#N/A N/A",_xll.BDP($AX104,"FD116")="#N/A FIELD NOT APPLICABLE")," ",_xll.BDP($AX104,"FD116"))</f>
        <v>Blend</v>
      </c>
      <c r="J104" s="22" t="str" cm="1">
        <f t="array" ref="J104">IF(OR(_xll.BDP($AX104,"FD133")="#N/A N/A",_xll.BDP($AX104,"FD133")="#N/A FIELD NOT APPLICABLE")," ", _xll.BDP($AX104,"FD133"))</f>
        <v>Energy</v>
      </c>
      <c r="K104" s="34">
        <f>_xll.BDP(AX104,"FUND_ASSETS_USD")/1000</f>
        <v>0.85956135897999997</v>
      </c>
      <c r="L104" s="25">
        <f>IFERROR(_xll.BDP(AX104, "DV013")/100,0)</f>
        <v>2.5325450209867956E-2</v>
      </c>
      <c r="M104" s="25" cm="1">
        <f t="array" ref="M104">IF(OR(_xll.BDP($AX104,"PR079")="#N/A N/A",_xll.BDP($AX104,"PR079")="#N/A FIELD NOT APPLICABLE")," ", _xll.BDP($AX104,"PR079")/100)</f>
        <v>-0.20812600000000001</v>
      </c>
      <c r="N104" s="25" cm="1">
        <f t="array" ref="N104">IF(OR(_xll.BDP($AX104,"RT074")="#N/A N/A",_xll.BDP($AX104,"RT074")="#N/A FIELD NOT APPLICABLE")," ", _xll.BDP($AX104,"RT074")/100)</f>
        <v>-0.28911960000000003</v>
      </c>
      <c r="O104" s="27">
        <v>134</v>
      </c>
      <c r="P104" s="28">
        <v>300.29298999999997</v>
      </c>
      <c r="Q104" s="22" cm="1">
        <f t="array" ref="Q104">IF(OR(_xll.BDP($AX104,"PX_last")="#N/A N/A",_xll.BDP($AX104,"PX_Last")="#N/A FIELD NOT APPLICABLE")," ",IF(F104="GBP",(_xll.BDP($AX104,"PX_LAST")/100),(_xll.BDP($AX104,"PX_LAST"))))</f>
        <v>214.78</v>
      </c>
      <c r="R104" s="29">
        <f>IF(F104="USD",AA104,(((_xll.BDP(F104&amp;"USD CURNCY","PX_LAST")))*AA104))</f>
        <v>40239.26066</v>
      </c>
      <c r="S104" s="29">
        <f>IF(F104="USD",AB104,(((_xll.BDP(F104&amp;"USD CURNCY","PX_LAST")))*AB104))</f>
        <v>28780.52</v>
      </c>
      <c r="T104" s="12">
        <f t="shared" si="24"/>
        <v>-11458.740659999999</v>
      </c>
      <c r="U104" s="13">
        <f t="shared" si="25"/>
        <v>-0.28476518882442109</v>
      </c>
      <c r="V104" s="13" cm="1">
        <f t="array" ref="V104">IFERROR(_xll.BDP($G104&amp;" Equity","CHG_PCT_1D")/100,"")</f>
        <v>2.7360570000000001E-2</v>
      </c>
      <c r="W104" s="13" cm="1">
        <f t="array" ref="W104">IFERROR(_xll.BDP($G104&amp;" Equity","CHG_PCT_5D")/100,"")</f>
        <v>-5.417921E-3</v>
      </c>
      <c r="X104" s="13" t="e">
        <f>S104/$H$62</f>
        <v>#VALUE!</v>
      </c>
      <c r="Y104" s="29">
        <f t="shared" si="26"/>
        <v>728.87962627410889</v>
      </c>
      <c r="Z104" s="29">
        <f t="shared" si="27"/>
        <v>28780.52</v>
      </c>
      <c r="AA104" s="29">
        <f t="shared" si="28"/>
        <v>40239.26066</v>
      </c>
      <c r="AB104" s="29">
        <f t="shared" si="29"/>
        <v>28780.52</v>
      </c>
      <c r="AC104" s="25" t="str" cm="1">
        <f t="array" ref="AC104">IF(OR(_xll.BDP($AX104,"EX028")="#N/A N/A",_xll.BDP($AX104,"EX028")="#N/A FIELD NOT APPLICABLE")," ", _xll.BDP($AX104,"EX028"))</f>
        <v>Fund</v>
      </c>
      <c r="AD104" s="35" t="str" cm="1">
        <f t="array" ref="AD104">IF(OR(_xll.BDP($AX104,"FD121")="#N/A N/A",_xll.BDP($AX104,"FD121")="#N/A FIELD NOT APPLICABLE")," ", _xll.BDP($AX104,"FD121"))</f>
        <v>Equity</v>
      </c>
      <c r="AE104" s="25" t="str" cm="1">
        <f t="array" ref="AE104">IF(OR(_xll.BDP($AX104,"FD118")="#N/A N/A",_xll.BDP($AX104,"FD118")="#N/A FIELD NOT APPLICABLE")," ", _xll.BDP($AX104,"FD118"))</f>
        <v>ETF</v>
      </c>
      <c r="AF104" s="22" t="str" cm="1">
        <f t="array" ref="AF104">IF(OR(_xll.BDP($AX104,"FD114")="#N/A N/A",_xll.BDP($AX104,"FD114")="#N/A FIELD NOT APPLICABLE")," ", _xll.BDP($AX104,"FD114"))</f>
        <v xml:space="preserve"> </v>
      </c>
      <c r="AG104" s="22" t="str" cm="1">
        <f t="array" ref="AG104">IF(OR(_xll.BDP($AX104,"FD003")="#N/A N/A",_xll.BDP($AX104,"FD003")="#N/A FIELD NOT APPLICABLE")," ", _xll.BDP($AX104,"FD003"))</f>
        <v>21/12/2011</v>
      </c>
      <c r="AH104" s="32" cm="1">
        <f t="array" ref="AH104">IF(OR(_xll.BDP($AX104,"PR061")="#N/A N/A",_xll.BDP($AX104,"PR061")="#N/A FIELD NOT APPLICABLE")," ", _xll.BDP($AX104,"PR061")/100)</f>
        <v>-0.19352659999999999</v>
      </c>
      <c r="AI104" s="25" cm="1">
        <f t="array" ref="AI104">IF(OR(_xll.BDP($AX104,"RT075")="#N/A N/A",_xll.BDP($AX104,"RT075")="#N/A FIELD NOT APPLICABLE")," ", _xll.BDP($AX104,"RT075")/100)</f>
        <v>-5.212058E-2</v>
      </c>
      <c r="AJ104" s="25" cm="1">
        <f t="array" ref="AJ104">IF(OR(_xll.BDP($AX104,"RT076")="#N/A N/A",_xll.BDP($AX104,"RT076")="#N/A FIELD NOT APPLICABLE")," ", _xll.BDP($AX104,"RT076")/100)</f>
        <v>0.1785359</v>
      </c>
      <c r="AK104" s="25" cm="1">
        <f t="array" ref="AK104">IF(OR(_xll.BDP($AX104,"FD252")="#N/A N/A",_xll.BDP($AX104,"FD252")="#N/A FIELD NOT APPLICABLE")," ", _xll.BDP($AX104,"FD252")/100)</f>
        <v>0</v>
      </c>
      <c r="AL104" s="25" cm="1">
        <f t="array" ref="AL104">IF(OR(_xll.BDP($AX104,"FD015")="#N/A N/A",_xll.BDP($AX104,"FD015")="#N/A FIELD NOT APPLICABLE")," ", _xll.BDP($AX104,"FD015")/100)</f>
        <v>3.4999999999999996E-3</v>
      </c>
      <c r="AM104" s="25" cm="1">
        <f t="array" ref="AM104">IF(OR(_xll.BDP($AX104,"FD138")="#N/A N/A",_xll.BDP($AX104,"FD138")="#N/A FIELD NOT APPLICABLE")," ", _xll.BDP($AX104,"FD138")/100)</f>
        <v>3.4999999999999996E-3</v>
      </c>
      <c r="AN104" s="36" t="str" cm="1">
        <f t="array" ref="AN104">IF(OR(_xll.BDP($AX104,"FD009")="#N/A N/A",_xll.BDP($AX104,"FD009")="#N/A FIELD NOT APPLICABLE")," ", _xll.BDP($AX104,"FD009")/100)</f>
        <v xml:space="preserve"> </v>
      </c>
      <c r="AO104" s="25" cm="1">
        <f t="array" ref="AO104">IF(OR(_xll.BDP($AX104,"RK512")="#N/A N/A",_xll.BDP($AX104,"RK512")="#N/A FIELD NOT APPLICABLE")," ", _xll.BDP($AX104,"RK512")/100)</f>
        <v>-9.2466098070144651E-3</v>
      </c>
      <c r="AP104" s="25" cm="1">
        <f t="array" ref="AP104">IF(OR(_xll.BDP($AX104,"RK514")="#N/A N/A",_xll.BDP($AX104,"RK514")="#N/A FIELD NOT APPLICABLE")," ", _xll.BDP($AX104,"RK514")/100)</f>
        <v>-8.4194999933242792E-3</v>
      </c>
      <c r="AQ104" s="25" cm="1">
        <f t="array" ref="AQ104">IF(OR(_xll.BDP($AX104,"RK521")="#N/A N/A",_xll.BDP($AX104,"RK521")="#N/A FIELD NOT APPLICABLE")," ", _xll.BDP($AX104,"RK521")/100)</f>
        <v>7.9860001802444457E-4</v>
      </c>
      <c r="AR104" s="25" cm="1">
        <f t="array" ref="AR104">IF(OR(_xll.BDP($AX104,"RK525")="#N/A N/A",_xll.BDP($AX104,"RK525")="#N/A FIELD NOT APPLICABLE")," ", _xll.BDP($AX104,"RK525")/100)</f>
        <v>9.9870097637176514E-3</v>
      </c>
      <c r="AS104" s="25" cm="1">
        <f t="array" ref="AS104">IF(OR(_xll.BDP($AX104,"RK524")="#N/A N/A",_xll.BDP($AX104,"RK524")="#N/A FIELD NOT APPLICABLE")," ", _xll.BDP($AX104,"RK524")/100)</f>
        <v>7.2299997555091975E-6</v>
      </c>
      <c r="AT104" s="25" t="str" cm="1">
        <f t="array" ref="AT104">IF(OR(_xll.BDP($AX104,"FD183")="#N/A N/A",_xll.BDP($AX104,"FD183")="#N/A FIELD NOT APPLICABLE")," ", _xll.BDP($AX104,"FD183"))</f>
        <v>USD INC</v>
      </c>
      <c r="AU104" s="25" t="str" cm="1">
        <f t="array" ref="AU104">IF(OR(_xll.BDP($AX104,"DY997")="#N/A N/A",_xll.BDP($AX104,"DY997")="#N/A FIELD NOT APPLICABLE")," ", _xll.BDP($AX104,"DY997"))</f>
        <v xml:space="preserve"> </v>
      </c>
      <c r="AV104" s="25" t="str" cm="1">
        <f t="array" ref="AV104">IF(OR(_xll.BDP($AX104,"DY784")="#N/A N/A",_xll.BDP($AX104,"DY784")="#N/A FIELD NOT APPLICABLE")," ", _xll.BDP($AX104,"DY784"))</f>
        <v xml:space="preserve"> </v>
      </c>
      <c r="AW104" s="22" t="str">
        <f t="shared" si="30"/>
        <v>N</v>
      </c>
      <c r="AX104" s="22" t="str">
        <f t="shared" si="31"/>
        <v>OIH US Equity</v>
      </c>
      <c r="BC104" s="17" t="str" cm="1">
        <f t="array" ref="BC104">_xll.BDP(AX104,"ID005")</f>
        <v>US92189H6071</v>
      </c>
      <c r="BD104" s="17">
        <v>0.55000000000000004</v>
      </c>
      <c r="BE104" s="18">
        <v>5</v>
      </c>
      <c r="BF104" s="37">
        <v>44433</v>
      </c>
      <c r="BG104" s="20">
        <v>1.0000000000107532</v>
      </c>
    </row>
    <row r="105" spans="1:59" s="3" customFormat="1" ht="14.45" customHeight="1" x14ac:dyDescent="0.25">
      <c r="A105" s="49" t="s">
        <v>242</v>
      </c>
      <c r="B105" s="49" t="s">
        <v>243</v>
      </c>
      <c r="C105" s="49" t="s">
        <v>244</v>
      </c>
      <c r="D105" s="49" t="s">
        <v>245</v>
      </c>
      <c r="E105" s="22" t="str">
        <f>_xll.BDP(AX105,"SECURITY NAME")</f>
        <v>VanEck Oil Services ETF</v>
      </c>
      <c r="F105" s="22" t="str">
        <f>_xll.BDP(AX105,"CRNCY")</f>
        <v>USD</v>
      </c>
      <c r="G105" s="23" t="s">
        <v>112</v>
      </c>
      <c r="H105" s="22" t="str" cm="1">
        <f t="array" ref="H105">IF(OR(_xll.BDP($AX105,"FD120")="#N/A N/A",_xll.BDP($AX105,"FD120")="#N/A FIELD NOT APPLICABLE")," ",_xll.BDP($AX105,"FD120"))</f>
        <v>U.S.</v>
      </c>
      <c r="I105" s="22" t="str" cm="1">
        <f t="array" ref="I105">IF(OR(_xll.BDP($AX105,"FD116")="#N/A N/A",_xll.BDP($AX105,"FD116")="#N/A FIELD NOT APPLICABLE")," ",_xll.BDP($AX105,"FD116"))</f>
        <v>Blend</v>
      </c>
      <c r="J105" s="22" t="str" cm="1">
        <f t="array" ref="J105">IF(OR(_xll.BDP($AX105,"FD133")="#N/A N/A",_xll.BDP($AX105,"FD133")="#N/A FIELD NOT APPLICABLE")," ", _xll.BDP($AX105,"FD133"))</f>
        <v>Energy</v>
      </c>
      <c r="K105" s="34">
        <f>_xll.BDP(AX105,"FUND_ASSETS_USD")/1000</f>
        <v>0.85956135897999997</v>
      </c>
      <c r="L105" s="25">
        <f>IFERROR(_xll.BDP(AX105, "DV013")/100,0)</f>
        <v>2.5325450209867956E-2</v>
      </c>
      <c r="M105" s="25" cm="1">
        <f t="array" ref="M105">IF(OR(_xll.BDP($AX105,"PR079")="#N/A N/A",_xll.BDP($AX105,"PR079")="#N/A FIELD NOT APPLICABLE")," ", _xll.BDP($AX105,"PR079")/100)</f>
        <v>-0.20812600000000001</v>
      </c>
      <c r="N105" s="25" cm="1">
        <f t="array" ref="N105">IF(OR(_xll.BDP($AX105,"RT074")="#N/A N/A",_xll.BDP($AX105,"RT074")="#N/A FIELD NOT APPLICABLE")," ", _xll.BDP($AX105,"RT074")/100)</f>
        <v>-0.28911960000000003</v>
      </c>
      <c r="O105" s="27">
        <f>168+177</f>
        <v>345</v>
      </c>
      <c r="P105" s="28">
        <v>290.59643478260864</v>
      </c>
      <c r="Q105" s="22" cm="1">
        <f t="array" ref="Q105">IF(OR(_xll.BDP($AX105,"PX_last")="#N/A N/A",_xll.BDP($AX105,"PX_Last")="#N/A FIELD NOT APPLICABLE")," ",IF(F105="GBP",(_xll.BDP($AX105,"PX_LAST")/100),(_xll.BDP($AX105,"PX_LAST"))))</f>
        <v>214.78</v>
      </c>
      <c r="R105" s="29">
        <f>IF(F105="USD",AA105,(((_xll.BDP(F105&amp;"USD CURNCY","PX_LAST")))*AA105))</f>
        <v>100255.76999999997</v>
      </c>
      <c r="S105" s="29">
        <f>IF(F105="USD",AB105,(((_xll.BDP(F105&amp;"USD CURNCY","PX_LAST")))*AB105))</f>
        <v>74099.100000000006</v>
      </c>
      <c r="T105" s="12">
        <f t="shared" si="24"/>
        <v>-26156.669999999969</v>
      </c>
      <c r="U105" s="13">
        <f t="shared" si="25"/>
        <v>-0.26089939761073078</v>
      </c>
      <c r="V105" s="13" cm="1">
        <f t="array" ref="V105">IFERROR(_xll.BDP($G105&amp;" Equity","CHG_PCT_1D")/100,"")</f>
        <v>2.7360570000000001E-2</v>
      </c>
      <c r="W105" s="13" cm="1">
        <f t="array" ref="W105">IFERROR(_xll.BDP($G105&amp;" Equity","CHG_PCT_5D")/100,"")</f>
        <v>-5.417921E-3</v>
      </c>
      <c r="X105" s="13" t="e">
        <f>S105/$H$62</f>
        <v>#VALUE!</v>
      </c>
      <c r="Y105" s="29">
        <f t="shared" si="26"/>
        <v>1876.5930676460268</v>
      </c>
      <c r="Z105" s="29">
        <f t="shared" si="27"/>
        <v>74099.100000000006</v>
      </c>
      <c r="AA105" s="29">
        <f t="shared" si="28"/>
        <v>100255.76999999997</v>
      </c>
      <c r="AB105" s="29">
        <f t="shared" si="29"/>
        <v>74099.100000000006</v>
      </c>
      <c r="AC105" s="25" t="str" cm="1">
        <f t="array" ref="AC105">IF(OR(_xll.BDP($AX105,"EX028")="#N/A N/A",_xll.BDP($AX105,"EX028")="#N/A FIELD NOT APPLICABLE")," ", _xll.BDP($AX105,"EX028"))</f>
        <v>Fund</v>
      </c>
      <c r="AD105" s="35" t="str" cm="1">
        <f t="array" ref="AD105">IF(OR(_xll.BDP($AX105,"FD121")="#N/A N/A",_xll.BDP($AX105,"FD121")="#N/A FIELD NOT APPLICABLE")," ", _xll.BDP($AX105,"FD121"))</f>
        <v>Equity</v>
      </c>
      <c r="AE105" s="25" t="str" cm="1">
        <f t="array" ref="AE105">IF(OR(_xll.BDP($AX105,"FD118")="#N/A N/A",_xll.BDP($AX105,"FD118")="#N/A FIELD NOT APPLICABLE")," ", _xll.BDP($AX105,"FD118"))</f>
        <v>ETF</v>
      </c>
      <c r="AF105" s="22" t="str" cm="1">
        <f t="array" ref="AF105">IF(OR(_xll.BDP($AX105,"FD114")="#N/A N/A",_xll.BDP($AX105,"FD114")="#N/A FIELD NOT APPLICABLE")," ", _xll.BDP($AX105,"FD114"))</f>
        <v xml:space="preserve"> </v>
      </c>
      <c r="AG105" s="22" t="str" cm="1">
        <f t="array" ref="AG105">IF(OR(_xll.BDP($AX105,"FD003")="#N/A N/A",_xll.BDP($AX105,"FD003")="#N/A FIELD NOT APPLICABLE")," ", _xll.BDP($AX105,"FD003"))</f>
        <v>21/12/2011</v>
      </c>
      <c r="AH105" s="32" cm="1">
        <f t="array" ref="AH105">IF(OR(_xll.BDP($AX105,"PR061")="#N/A N/A",_xll.BDP($AX105,"PR061")="#N/A FIELD NOT APPLICABLE")," ", _xll.BDP($AX105,"PR061")/100)</f>
        <v>-0.19352659999999999</v>
      </c>
      <c r="AI105" s="25" cm="1">
        <f t="array" ref="AI105">IF(OR(_xll.BDP($AX105,"RT075")="#N/A N/A",_xll.BDP($AX105,"RT075")="#N/A FIELD NOT APPLICABLE")," ", _xll.BDP($AX105,"RT075")/100)</f>
        <v>-5.212058E-2</v>
      </c>
      <c r="AJ105" s="25" cm="1">
        <f t="array" ref="AJ105">IF(OR(_xll.BDP($AX105,"RT076")="#N/A N/A",_xll.BDP($AX105,"RT076")="#N/A FIELD NOT APPLICABLE")," ", _xll.BDP($AX105,"RT076")/100)</f>
        <v>0.1785359</v>
      </c>
      <c r="AK105" s="25" cm="1">
        <f t="array" ref="AK105">IF(OR(_xll.BDP($AX105,"FD252")="#N/A N/A",_xll.BDP($AX105,"FD252")="#N/A FIELD NOT APPLICABLE")," ", _xll.BDP($AX105,"FD252")/100)</f>
        <v>0</v>
      </c>
      <c r="AL105" s="25" cm="1">
        <f t="array" ref="AL105">IF(OR(_xll.BDP($AX105,"FD015")="#N/A N/A",_xll.BDP($AX105,"FD015")="#N/A FIELD NOT APPLICABLE")," ", _xll.BDP($AX105,"FD015")/100)</f>
        <v>3.4999999999999996E-3</v>
      </c>
      <c r="AM105" s="25" cm="1">
        <f t="array" ref="AM105">IF(OR(_xll.BDP($AX105,"FD138")="#N/A N/A",_xll.BDP($AX105,"FD138")="#N/A FIELD NOT APPLICABLE")," ", _xll.BDP($AX105,"FD138")/100)</f>
        <v>3.4999999999999996E-3</v>
      </c>
      <c r="AN105" s="36" t="str" cm="1">
        <f t="array" ref="AN105">IF(OR(_xll.BDP($AX105,"FD009")="#N/A N/A",_xll.BDP($AX105,"FD009")="#N/A FIELD NOT APPLICABLE")," ", _xll.BDP($AX105,"FD009")/100)</f>
        <v xml:space="preserve"> </v>
      </c>
      <c r="AO105" s="25" cm="1">
        <f t="array" ref="AO105">IF(OR(_xll.BDP($AX105,"RK512")="#N/A N/A",_xll.BDP($AX105,"RK512")="#N/A FIELD NOT APPLICABLE")," ", _xll.BDP($AX105,"RK512")/100)</f>
        <v>-9.2466098070144651E-3</v>
      </c>
      <c r="AP105" s="25" cm="1">
        <f t="array" ref="AP105">IF(OR(_xll.BDP($AX105,"RK514")="#N/A N/A",_xll.BDP($AX105,"RK514")="#N/A FIELD NOT APPLICABLE")," ", _xll.BDP($AX105,"RK514")/100)</f>
        <v>-8.4194999933242792E-3</v>
      </c>
      <c r="AQ105" s="25" cm="1">
        <f t="array" ref="AQ105">IF(OR(_xll.BDP($AX105,"RK521")="#N/A N/A",_xll.BDP($AX105,"RK521")="#N/A FIELD NOT APPLICABLE")," ", _xll.BDP($AX105,"RK521")/100)</f>
        <v>7.9860001802444457E-4</v>
      </c>
      <c r="AR105" s="25" cm="1">
        <f t="array" ref="AR105">IF(OR(_xll.BDP($AX105,"RK525")="#N/A N/A",_xll.BDP($AX105,"RK525")="#N/A FIELD NOT APPLICABLE")," ", _xll.BDP($AX105,"RK525")/100)</f>
        <v>9.9870097637176514E-3</v>
      </c>
      <c r="AS105" s="25" cm="1">
        <f t="array" ref="AS105">IF(OR(_xll.BDP($AX105,"RK524")="#N/A N/A",_xll.BDP($AX105,"RK524")="#N/A FIELD NOT APPLICABLE")," ", _xll.BDP($AX105,"RK524")/100)</f>
        <v>7.2299997555091975E-6</v>
      </c>
      <c r="AT105" s="25" t="str" cm="1">
        <f t="array" ref="AT105">IF(OR(_xll.BDP($AX105,"FD183")="#N/A N/A",_xll.BDP($AX105,"FD183")="#N/A FIELD NOT APPLICABLE")," ", _xll.BDP($AX105,"FD183"))</f>
        <v>USD INC</v>
      </c>
      <c r="AU105" s="25" t="str" cm="1">
        <f t="array" ref="AU105">IF(OR(_xll.BDP($AX105,"DY997")="#N/A N/A",_xll.BDP($AX105,"DY997")="#N/A FIELD NOT APPLICABLE")," ", _xll.BDP($AX105,"DY997"))</f>
        <v xml:space="preserve"> </v>
      </c>
      <c r="AV105" s="25" t="str" cm="1">
        <f t="array" ref="AV105">IF(OR(_xll.BDP($AX105,"DY784")="#N/A N/A",_xll.BDP($AX105,"DY784")="#N/A FIELD NOT APPLICABLE")," ", _xll.BDP($AX105,"DY784"))</f>
        <v xml:space="preserve"> </v>
      </c>
      <c r="AW105" s="22" t="str">
        <f t="shared" si="30"/>
        <v>N</v>
      </c>
      <c r="AX105" s="22" t="str">
        <f t="shared" si="31"/>
        <v>OIH US Equity</v>
      </c>
      <c r="BC105" s="17" t="str" cm="1">
        <f t="array" ref="BC105">_xll.BDP(AX105,"ID005")</f>
        <v>US92189H6071</v>
      </c>
      <c r="BD105" s="17">
        <v>0.79999991979544627</v>
      </c>
      <c r="BE105" s="18">
        <v>5</v>
      </c>
      <c r="BF105" s="37">
        <v>45610</v>
      </c>
      <c r="BG105" s="20">
        <v>1.0000000000107532</v>
      </c>
    </row>
    <row r="106" spans="1:59" s="3" customFormat="1" ht="14.45" customHeight="1" x14ac:dyDescent="0.25">
      <c r="A106" s="49" t="s">
        <v>242</v>
      </c>
      <c r="B106" s="49" t="s">
        <v>332</v>
      </c>
      <c r="C106" s="72" t="s">
        <v>333</v>
      </c>
      <c r="D106" s="49" t="s">
        <v>248</v>
      </c>
      <c r="E106" s="22" t="str">
        <f>_xll.BDP(AX106,"SECURITY NAME")</f>
        <v>VanEck Oil Services ETF</v>
      </c>
      <c r="F106" s="22" t="str">
        <f>_xll.BDP(AX106,"CRNCY")</f>
        <v>USD</v>
      </c>
      <c r="G106" s="23" t="s">
        <v>112</v>
      </c>
      <c r="H106" s="22" t="str" cm="1">
        <f t="array" ref="H106">IF(OR(_xll.BDP($AX106,"FD120")="#N/A N/A",_xll.BDP($AX106,"FD120")="#N/A FIELD NOT APPLICABLE")," ",_xll.BDP($AX106,"FD120"))</f>
        <v>U.S.</v>
      </c>
      <c r="I106" s="22" t="str" cm="1">
        <f t="array" ref="I106">IF(OR(_xll.BDP($AX106,"FD116")="#N/A N/A",_xll.BDP($AX106,"FD116")="#N/A FIELD NOT APPLICABLE")," ",_xll.BDP($AX106,"FD116"))</f>
        <v>Blend</v>
      </c>
      <c r="J106" s="22" t="str" cm="1">
        <f t="array" ref="J106">IF(OR(_xll.BDP($AX106,"FD133")="#N/A N/A",_xll.BDP($AX106,"FD133")="#N/A FIELD NOT APPLICABLE")," ", _xll.BDP($AX106,"FD133"))</f>
        <v>Energy</v>
      </c>
      <c r="K106" s="34">
        <f>_xll.BDP(AX106,"FUND_ASSETS_USD")/1000</f>
        <v>0.85956135897999997</v>
      </c>
      <c r="L106" s="25">
        <f>IFERROR(_xll.BDP(AX106, "DV013")/100,0)</f>
        <v>2.5325450209867956E-2</v>
      </c>
      <c r="M106" s="25" cm="1">
        <f t="array" ref="M106">IF(OR(_xll.BDP($AX106,"PR079")="#N/A N/A",_xll.BDP($AX106,"PR079")="#N/A FIELD NOT APPLICABLE")," ", _xll.BDP($AX106,"PR079")/100)</f>
        <v>-0.20812600000000001</v>
      </c>
      <c r="N106" s="25" cm="1">
        <f t="array" ref="N106">IF(OR(_xll.BDP($AX106,"RT074")="#N/A N/A",_xll.BDP($AX106,"RT074")="#N/A FIELD NOT APPLICABLE")," ", _xll.BDP($AX106,"RT074")/100)</f>
        <v>-0.28911960000000003</v>
      </c>
      <c r="O106" s="27">
        <v>329</v>
      </c>
      <c r="P106" s="28">
        <v>301.91000000000003</v>
      </c>
      <c r="Q106" s="22" cm="1">
        <f t="array" ref="Q106">IF(OR(_xll.BDP($AX106,"PX_last")="#N/A N/A",_xll.BDP($AX106,"PX_Last")="#N/A FIELD NOT APPLICABLE")," ",IF(F106="GBP",(_xll.BDP($AX106,"PX_LAST")/100),(_xll.BDP($AX106,"PX_LAST"))))</f>
        <v>214.78</v>
      </c>
      <c r="R106" s="29">
        <f>IF(F106="USD",AA106,(((_xll.BDP(F106&amp;"USD CURNCY","PX_LAST")))*AA106))</f>
        <v>99328.390000000014</v>
      </c>
      <c r="S106" s="29">
        <f>IF(F106="USD",AB106,(((_xll.BDP(F106&amp;"USD CURNCY","PX_LAST")))*AB106))</f>
        <v>70662.62</v>
      </c>
      <c r="T106" s="12">
        <f t="shared" si="24"/>
        <v>-28665.770000000019</v>
      </c>
      <c r="U106" s="13">
        <f t="shared" si="25"/>
        <v>-0.28859593918717513</v>
      </c>
      <c r="V106" s="13" cm="1">
        <f t="array" ref="V106">IFERROR(_xll.BDP($G106&amp;" Equity","CHG_PCT_1D")/100,"")</f>
        <v>2.7360570000000001E-2</v>
      </c>
      <c r="W106" s="13" cm="1">
        <f t="array" ref="W106">IFERROR(_xll.BDP($G106&amp;" Equity","CHG_PCT_5D")/100,"")</f>
        <v>-5.417921E-3</v>
      </c>
      <c r="X106" s="13" t="e">
        <f>S106/$H$62</f>
        <v>#VALUE!</v>
      </c>
      <c r="Y106" s="29">
        <f t="shared" si="26"/>
        <v>1789.5626645088196</v>
      </c>
      <c r="Z106" s="29">
        <f t="shared" si="27"/>
        <v>70662.62</v>
      </c>
      <c r="AA106" s="29">
        <f t="shared" si="28"/>
        <v>99328.390000000014</v>
      </c>
      <c r="AB106" s="29">
        <f t="shared" si="29"/>
        <v>70662.62</v>
      </c>
      <c r="AC106" s="25" t="str" cm="1">
        <f t="array" ref="AC106">IF(OR(_xll.BDP($AX106,"EX028")="#N/A N/A",_xll.BDP($AX106,"EX028")="#N/A FIELD NOT APPLICABLE")," ", _xll.BDP($AX106,"EX028"))</f>
        <v>Fund</v>
      </c>
      <c r="AD106" s="35" t="str" cm="1">
        <f t="array" ref="AD106">IF(OR(_xll.BDP($AX106,"FD121")="#N/A N/A",_xll.BDP($AX106,"FD121")="#N/A FIELD NOT APPLICABLE")," ", _xll.BDP($AX106,"FD121"))</f>
        <v>Equity</v>
      </c>
      <c r="AE106" s="25" t="str" cm="1">
        <f t="array" ref="AE106">IF(OR(_xll.BDP($AX106,"FD118")="#N/A N/A",_xll.BDP($AX106,"FD118")="#N/A FIELD NOT APPLICABLE")," ", _xll.BDP($AX106,"FD118"))</f>
        <v>ETF</v>
      </c>
      <c r="AF106" s="22" t="str" cm="1">
        <f t="array" ref="AF106">IF(OR(_xll.BDP($AX106,"FD114")="#N/A N/A",_xll.BDP($AX106,"FD114")="#N/A FIELD NOT APPLICABLE")," ", _xll.BDP($AX106,"FD114"))</f>
        <v xml:space="preserve"> </v>
      </c>
      <c r="AG106" s="22" t="str" cm="1">
        <f t="array" ref="AG106">IF(OR(_xll.BDP($AX106,"FD003")="#N/A N/A",_xll.BDP($AX106,"FD003")="#N/A FIELD NOT APPLICABLE")," ", _xll.BDP($AX106,"FD003"))</f>
        <v>21/12/2011</v>
      </c>
      <c r="AH106" s="32" cm="1">
        <f t="array" ref="AH106">IF(OR(_xll.BDP($AX106,"PR061")="#N/A N/A",_xll.BDP($AX106,"PR061")="#N/A FIELD NOT APPLICABLE")," ", _xll.BDP($AX106,"PR061")/100)</f>
        <v>-0.19352659999999999</v>
      </c>
      <c r="AI106" s="25" cm="1">
        <f t="array" ref="AI106">IF(OR(_xll.BDP($AX106,"RT075")="#N/A N/A",_xll.BDP($AX106,"RT075")="#N/A FIELD NOT APPLICABLE")," ", _xll.BDP($AX106,"RT075")/100)</f>
        <v>-5.212058E-2</v>
      </c>
      <c r="AJ106" s="25" cm="1">
        <f t="array" ref="AJ106">IF(OR(_xll.BDP($AX106,"RT076")="#N/A N/A",_xll.BDP($AX106,"RT076")="#N/A FIELD NOT APPLICABLE")," ", _xll.BDP($AX106,"RT076")/100)</f>
        <v>0.1785359</v>
      </c>
      <c r="AK106" s="25" cm="1">
        <f t="array" ref="AK106">IF(OR(_xll.BDP($AX106,"FD252")="#N/A N/A",_xll.BDP($AX106,"FD252")="#N/A FIELD NOT APPLICABLE")," ", _xll.BDP($AX106,"FD252")/100)</f>
        <v>0</v>
      </c>
      <c r="AL106" s="25" cm="1">
        <f t="array" ref="AL106">IF(OR(_xll.BDP($AX106,"FD015")="#N/A N/A",_xll.BDP($AX106,"FD015")="#N/A FIELD NOT APPLICABLE")," ", _xll.BDP($AX106,"FD015")/100)</f>
        <v>3.4999999999999996E-3</v>
      </c>
      <c r="AM106" s="25" cm="1">
        <f t="array" ref="AM106">IF(OR(_xll.BDP($AX106,"FD138")="#N/A N/A",_xll.BDP($AX106,"FD138")="#N/A FIELD NOT APPLICABLE")," ", _xll.BDP($AX106,"FD138")/100)</f>
        <v>3.4999999999999996E-3</v>
      </c>
      <c r="AN106" s="36" t="str" cm="1">
        <f t="array" ref="AN106">IF(OR(_xll.BDP($AX106,"FD009")="#N/A N/A",_xll.BDP($AX106,"FD009")="#N/A FIELD NOT APPLICABLE")," ", _xll.BDP($AX106,"FD009")/100)</f>
        <v xml:space="preserve"> </v>
      </c>
      <c r="AO106" s="25" cm="1">
        <f t="array" ref="AO106">IF(OR(_xll.BDP($AX106,"RK512")="#N/A N/A",_xll.BDP($AX106,"RK512")="#N/A FIELD NOT APPLICABLE")," ", _xll.BDP($AX106,"RK512")/100)</f>
        <v>-9.2466098070144651E-3</v>
      </c>
      <c r="AP106" s="25" cm="1">
        <f t="array" ref="AP106">IF(OR(_xll.BDP($AX106,"RK514")="#N/A N/A",_xll.BDP($AX106,"RK514")="#N/A FIELD NOT APPLICABLE")," ", _xll.BDP($AX106,"RK514")/100)</f>
        <v>-8.4194999933242792E-3</v>
      </c>
      <c r="AQ106" s="25" cm="1">
        <f t="array" ref="AQ106">IF(OR(_xll.BDP($AX106,"RK521")="#N/A N/A",_xll.BDP($AX106,"RK521")="#N/A FIELD NOT APPLICABLE")," ", _xll.BDP($AX106,"RK521")/100)</f>
        <v>7.9860001802444457E-4</v>
      </c>
      <c r="AR106" s="25" cm="1">
        <f t="array" ref="AR106">IF(OR(_xll.BDP($AX106,"RK525")="#N/A N/A",_xll.BDP($AX106,"RK525")="#N/A FIELD NOT APPLICABLE")," ", _xll.BDP($AX106,"RK525")/100)</f>
        <v>9.9870097637176514E-3</v>
      </c>
      <c r="AS106" s="25" cm="1">
        <f t="array" ref="AS106">IF(OR(_xll.BDP($AX106,"RK524")="#N/A N/A",_xll.BDP($AX106,"RK524")="#N/A FIELD NOT APPLICABLE")," ", _xll.BDP($AX106,"RK524")/100)</f>
        <v>7.2299997555091975E-6</v>
      </c>
      <c r="AT106" s="25" t="str" cm="1">
        <f t="array" ref="AT106">IF(OR(_xll.BDP($AX106,"FD183")="#N/A N/A",_xll.BDP($AX106,"FD183")="#N/A FIELD NOT APPLICABLE")," ", _xll.BDP($AX106,"FD183"))</f>
        <v>USD INC</v>
      </c>
      <c r="AU106" s="25" t="str" cm="1">
        <f t="array" ref="AU106">IF(OR(_xll.BDP($AX106,"DY997")="#N/A N/A",_xll.BDP($AX106,"DY997")="#N/A FIELD NOT APPLICABLE")," ", _xll.BDP($AX106,"DY997"))</f>
        <v xml:space="preserve"> </v>
      </c>
      <c r="AV106" s="25" t="str" cm="1">
        <f t="array" ref="AV106">IF(OR(_xll.BDP($AX106,"DY784")="#N/A N/A",_xll.BDP($AX106,"DY784")="#N/A FIELD NOT APPLICABLE")," ", _xll.BDP($AX106,"DY784"))</f>
        <v xml:space="preserve"> </v>
      </c>
      <c r="AW106" s="22" t="str">
        <f t="shared" si="30"/>
        <v>N</v>
      </c>
      <c r="AX106" s="22" t="str">
        <f t="shared" si="31"/>
        <v>OIH US Equity</v>
      </c>
      <c r="BC106" s="17" t="str" cm="1">
        <f t="array" ref="BC106">_xll.BDP(AX106,"ID005")</f>
        <v>US92189H6071</v>
      </c>
      <c r="BD106" s="17">
        <v>0.73</v>
      </c>
      <c r="BE106" s="18">
        <v>5</v>
      </c>
      <c r="BF106" s="37"/>
      <c r="BG106" s="20"/>
    </row>
    <row r="107" spans="1:59" s="3" customFormat="1" ht="14.45" customHeight="1" x14ac:dyDescent="0.25">
      <c r="A107" s="49" t="s">
        <v>242</v>
      </c>
      <c r="B107" s="49" t="s">
        <v>268</v>
      </c>
      <c r="C107" s="49" t="s">
        <v>269</v>
      </c>
      <c r="D107" s="49" t="s">
        <v>248</v>
      </c>
      <c r="E107" s="22" t="str">
        <f>_xll.BDP(AX107,"SECURITY NAME")</f>
        <v>VanEck Oil Services ETF</v>
      </c>
      <c r="F107" s="22" t="str">
        <f>_xll.BDP(AX107,"CRNCY")</f>
        <v>USD</v>
      </c>
      <c r="G107" s="23" t="s">
        <v>112</v>
      </c>
      <c r="H107" s="22" t="str" cm="1">
        <f t="array" ref="H107">IF(OR(_xll.BDP($AX107,"FD120")="#N/A N/A",_xll.BDP($AX107,"FD120")="#N/A FIELD NOT APPLICABLE")," ",_xll.BDP($AX107,"FD120"))</f>
        <v>U.S.</v>
      </c>
      <c r="I107" s="22" t="str" cm="1">
        <f t="array" ref="I107">IF(OR(_xll.BDP($AX107,"FD116")="#N/A N/A",_xll.BDP($AX107,"FD116")="#N/A FIELD NOT APPLICABLE")," ",_xll.BDP($AX107,"FD116"))</f>
        <v>Blend</v>
      </c>
      <c r="J107" s="22" t="str" cm="1">
        <f t="array" ref="J107">IF(OR(_xll.BDP($AX107,"FD133")="#N/A N/A",_xll.BDP($AX107,"FD133")="#N/A FIELD NOT APPLICABLE")," ", _xll.BDP($AX107,"FD133"))</f>
        <v>Energy</v>
      </c>
      <c r="K107" s="34">
        <f>_xll.BDP(AX107,"FUND_ASSETS_USD")/1000</f>
        <v>0.85956135897999997</v>
      </c>
      <c r="L107" s="25">
        <f>IFERROR(_xll.BDP(AX107, "DV013")/100,0)</f>
        <v>2.5325450209867956E-2</v>
      </c>
      <c r="M107" s="25" cm="1">
        <f t="array" ref="M107">IF(OR(_xll.BDP($AX107,"PR079")="#N/A N/A",_xll.BDP($AX107,"PR079")="#N/A FIELD NOT APPLICABLE")," ", _xll.BDP($AX107,"PR079")/100)</f>
        <v>-0.20812600000000001</v>
      </c>
      <c r="N107" s="25" cm="1">
        <f t="array" ref="N107">IF(OR(_xll.BDP($AX107,"RT074")="#N/A N/A",_xll.BDP($AX107,"RT074")="#N/A FIELD NOT APPLICABLE")," ", _xll.BDP($AX107,"RT074")/100)</f>
        <v>-0.28911960000000003</v>
      </c>
      <c r="O107" s="27">
        <v>168</v>
      </c>
      <c r="P107" s="28">
        <v>302.73</v>
      </c>
      <c r="Q107" s="22" cm="1">
        <f t="array" ref="Q107">IF(OR(_xll.BDP($AX107,"PX_last")="#N/A N/A",_xll.BDP($AX107,"PX_Last")="#N/A FIELD NOT APPLICABLE")," ",IF(F107="GBP",(_xll.BDP($AX107,"PX_LAST")/100),(_xll.BDP($AX107,"PX_LAST"))))</f>
        <v>214.78</v>
      </c>
      <c r="R107" s="29">
        <f>IF(F107="USD",AA107,(((_xll.BDP(F107&amp;"USD CURNCY","PX_LAST")))*AA107))</f>
        <v>50858.64</v>
      </c>
      <c r="S107" s="29">
        <f>IF(F107="USD",AB107,(((_xll.BDP(F107&amp;"USD CURNCY","PX_LAST")))*AB107))</f>
        <v>36083.040000000001</v>
      </c>
      <c r="T107" s="12">
        <f t="shared" si="24"/>
        <v>-14775.599999999999</v>
      </c>
      <c r="U107" s="13">
        <f t="shared" si="25"/>
        <v>-0.2905229082020282</v>
      </c>
      <c r="V107" s="13" cm="1">
        <f t="array" ref="V107">IFERROR(_xll.BDP($G107&amp;" Equity","CHG_PCT_1D")/100,"")</f>
        <v>2.7360570000000001E-2</v>
      </c>
      <c r="W107" s="13" cm="1">
        <f t="array" ref="W107">IFERROR(_xll.BDP($G107&amp;" Equity","CHG_PCT_5D")/100,"")</f>
        <v>-5.417921E-3</v>
      </c>
      <c r="X107" s="13" t="e">
        <f>S107/#REF!</f>
        <v>#REF!</v>
      </c>
      <c r="Y107" s="29">
        <f t="shared" si="26"/>
        <v>913.81923294067383</v>
      </c>
      <c r="Z107" s="29">
        <f t="shared" si="27"/>
        <v>36083.040000000001</v>
      </c>
      <c r="AA107" s="29">
        <f t="shared" si="28"/>
        <v>50858.64</v>
      </c>
      <c r="AB107" s="29">
        <f t="shared" si="29"/>
        <v>36083.040000000001</v>
      </c>
      <c r="AC107" s="25" t="str" cm="1">
        <f t="array" ref="AC107">IF(OR(_xll.BDP($AX107,"EX028")="#N/A N/A",_xll.BDP($AX107,"EX028")="#N/A FIELD NOT APPLICABLE")," ", _xll.BDP($AX107,"EX028"))</f>
        <v>Fund</v>
      </c>
      <c r="AD107" s="35" t="str" cm="1">
        <f t="array" ref="AD107">IF(OR(_xll.BDP($AX107,"FD121")="#N/A N/A",_xll.BDP($AX107,"FD121")="#N/A FIELD NOT APPLICABLE")," ", _xll.BDP($AX107,"FD121"))</f>
        <v>Equity</v>
      </c>
      <c r="AE107" s="25" t="str" cm="1">
        <f t="array" ref="AE107">IF(OR(_xll.BDP($AX107,"FD118")="#N/A N/A",_xll.BDP($AX107,"FD118")="#N/A FIELD NOT APPLICABLE")," ", _xll.BDP($AX107,"FD118"))</f>
        <v>ETF</v>
      </c>
      <c r="AF107" s="22" t="str" cm="1">
        <f t="array" ref="AF107">IF(OR(_xll.BDP($AX107,"FD114")="#N/A N/A",_xll.BDP($AX107,"FD114")="#N/A FIELD NOT APPLICABLE")," ", _xll.BDP($AX107,"FD114"))</f>
        <v xml:space="preserve"> </v>
      </c>
      <c r="AG107" s="22" t="str" cm="1">
        <f t="array" ref="AG107">IF(OR(_xll.BDP($AX107,"FD003")="#N/A N/A",_xll.BDP($AX107,"FD003")="#N/A FIELD NOT APPLICABLE")," ", _xll.BDP($AX107,"FD003"))</f>
        <v>21/12/2011</v>
      </c>
      <c r="AH107" s="32" cm="1">
        <f t="array" ref="AH107">IF(OR(_xll.BDP($AX107,"PR061")="#N/A N/A",_xll.BDP($AX107,"PR061")="#N/A FIELD NOT APPLICABLE")," ", _xll.BDP($AX107,"PR061")/100)</f>
        <v>-0.19352659999999999</v>
      </c>
      <c r="AI107" s="25" cm="1">
        <f t="array" ref="AI107">IF(OR(_xll.BDP($AX107,"RT075")="#N/A N/A",_xll.BDP($AX107,"RT075")="#N/A FIELD NOT APPLICABLE")," ", _xll.BDP($AX107,"RT075")/100)</f>
        <v>-5.212058E-2</v>
      </c>
      <c r="AJ107" s="25" cm="1">
        <f t="array" ref="AJ107">IF(OR(_xll.BDP($AX107,"RT076")="#N/A N/A",_xll.BDP($AX107,"RT076")="#N/A FIELD NOT APPLICABLE")," ", _xll.BDP($AX107,"RT076")/100)</f>
        <v>0.1785359</v>
      </c>
      <c r="AK107" s="25" cm="1">
        <f t="array" ref="AK107">IF(OR(_xll.BDP($AX107,"FD252")="#N/A N/A",_xll.BDP($AX107,"FD252")="#N/A FIELD NOT APPLICABLE")," ", _xll.BDP($AX107,"FD252")/100)</f>
        <v>0</v>
      </c>
      <c r="AL107" s="25" cm="1">
        <f t="array" ref="AL107">IF(OR(_xll.BDP($AX107,"FD015")="#N/A N/A",_xll.BDP($AX107,"FD015")="#N/A FIELD NOT APPLICABLE")," ", _xll.BDP($AX107,"FD015")/100)</f>
        <v>3.4999999999999996E-3</v>
      </c>
      <c r="AM107" s="25" cm="1">
        <f t="array" ref="AM107">IF(OR(_xll.BDP($AX107,"FD138")="#N/A N/A",_xll.BDP($AX107,"FD138")="#N/A FIELD NOT APPLICABLE")," ", _xll.BDP($AX107,"FD138")/100)</f>
        <v>3.4999999999999996E-3</v>
      </c>
      <c r="AN107" s="36" t="str" cm="1">
        <f t="array" ref="AN107">IF(OR(_xll.BDP($AX107,"FD009")="#N/A N/A",_xll.BDP($AX107,"FD009")="#N/A FIELD NOT APPLICABLE")," ", _xll.BDP($AX107,"FD009")/100)</f>
        <v xml:space="preserve"> </v>
      </c>
      <c r="AO107" s="25" cm="1">
        <f t="array" ref="AO107">IF(OR(_xll.BDP($AX107,"RK512")="#N/A N/A",_xll.BDP($AX107,"RK512")="#N/A FIELD NOT APPLICABLE")," ", _xll.BDP($AX107,"RK512")/100)</f>
        <v>-9.2466098070144651E-3</v>
      </c>
      <c r="AP107" s="25" cm="1">
        <f t="array" ref="AP107">IF(OR(_xll.BDP($AX107,"RK514")="#N/A N/A",_xll.BDP($AX107,"RK514")="#N/A FIELD NOT APPLICABLE")," ", _xll.BDP($AX107,"RK514")/100)</f>
        <v>-8.4194999933242792E-3</v>
      </c>
      <c r="AQ107" s="25" cm="1">
        <f t="array" ref="AQ107">IF(OR(_xll.BDP($AX107,"RK521")="#N/A N/A",_xll.BDP($AX107,"RK521")="#N/A FIELD NOT APPLICABLE")," ", _xll.BDP($AX107,"RK521")/100)</f>
        <v>7.9860001802444457E-4</v>
      </c>
      <c r="AR107" s="25" cm="1">
        <f t="array" ref="AR107">IF(OR(_xll.BDP($AX107,"RK525")="#N/A N/A",_xll.BDP($AX107,"RK525")="#N/A FIELD NOT APPLICABLE")," ", _xll.BDP($AX107,"RK525")/100)</f>
        <v>9.9870097637176514E-3</v>
      </c>
      <c r="AS107" s="25" cm="1">
        <f t="array" ref="AS107">IF(OR(_xll.BDP($AX107,"RK524")="#N/A N/A",_xll.BDP($AX107,"RK524")="#N/A FIELD NOT APPLICABLE")," ", _xll.BDP($AX107,"RK524")/100)</f>
        <v>7.2299997555091975E-6</v>
      </c>
      <c r="AT107" s="25" t="str" cm="1">
        <f t="array" ref="AT107">IF(OR(_xll.BDP($AX107,"FD183")="#N/A N/A",_xll.BDP($AX107,"FD183")="#N/A FIELD NOT APPLICABLE")," ", _xll.BDP($AX107,"FD183"))</f>
        <v>USD INC</v>
      </c>
      <c r="AU107" s="25" t="str" cm="1">
        <f t="array" ref="AU107">IF(OR(_xll.BDP($AX107,"DY997")="#N/A N/A",_xll.BDP($AX107,"DY997")="#N/A FIELD NOT APPLICABLE")," ", _xll.BDP($AX107,"DY997"))</f>
        <v xml:space="preserve"> </v>
      </c>
      <c r="AV107" s="25" t="str" cm="1">
        <f t="array" ref="AV107">IF(OR(_xll.BDP($AX107,"DY784")="#N/A N/A",_xll.BDP($AX107,"DY784")="#N/A FIELD NOT APPLICABLE")," ", _xll.BDP($AX107,"DY784"))</f>
        <v xml:space="preserve"> </v>
      </c>
      <c r="AW107" s="22" t="str">
        <f t="shared" si="30"/>
        <v>N</v>
      </c>
      <c r="AX107" s="22" t="str">
        <f t="shared" si="31"/>
        <v>OIH US Equity</v>
      </c>
      <c r="BC107" s="17" t="str" cm="1">
        <f t="array" ref="BC107">_xll.BDP(AX107,"ID005")</f>
        <v>US92189H6071</v>
      </c>
      <c r="BD107" s="17">
        <v>0.73</v>
      </c>
      <c r="BE107" s="18">
        <v>5</v>
      </c>
      <c r="BF107" s="37"/>
      <c r="BG107" s="20"/>
    </row>
    <row r="108" spans="1:59" s="3" customFormat="1" ht="14.45" customHeight="1" x14ac:dyDescent="0.25">
      <c r="A108" s="49" t="s">
        <v>241</v>
      </c>
      <c r="B108" s="49" t="s">
        <v>270</v>
      </c>
      <c r="C108" s="49" t="s">
        <v>271</v>
      </c>
      <c r="D108" s="49" t="s">
        <v>240</v>
      </c>
      <c r="E108" s="22" t="str">
        <f>_xll.BDP(AX108,"SECURITY NAME")</f>
        <v>VanEck Oil Services ETF</v>
      </c>
      <c r="F108" s="22" t="str">
        <f>_xll.BDP(AX108,"CRNCY")</f>
        <v>USD</v>
      </c>
      <c r="G108" s="23" t="s">
        <v>112</v>
      </c>
      <c r="H108" s="22" t="str" cm="1">
        <f t="array" ref="H108">IF(OR(_xll.BDP($AX108,"FD120")="#N/A N/A",_xll.BDP($AX108,"FD120")="#N/A FIELD NOT APPLICABLE")," ",_xll.BDP($AX108,"FD120"))</f>
        <v>U.S.</v>
      </c>
      <c r="I108" s="22" t="str" cm="1">
        <f t="array" ref="I108">IF(OR(_xll.BDP($AX108,"FD116")="#N/A N/A",_xll.BDP($AX108,"FD116")="#N/A FIELD NOT APPLICABLE")," ",_xll.BDP($AX108,"FD116"))</f>
        <v>Blend</v>
      </c>
      <c r="J108" s="22" t="str" cm="1">
        <f t="array" ref="J108">IF(OR(_xll.BDP($AX108,"FD133")="#N/A N/A",_xll.BDP($AX108,"FD133")="#N/A FIELD NOT APPLICABLE")," ", _xll.BDP($AX108,"FD133"))</f>
        <v>Energy</v>
      </c>
      <c r="K108" s="34">
        <f>_xll.BDP(AX108,"FUND_ASSETS_USD")/1000</f>
        <v>0.85956135897999997</v>
      </c>
      <c r="L108" s="25">
        <f>IFERROR(_xll.BDP(AX108, "DV013")/100,0)</f>
        <v>2.5325450209867956E-2</v>
      </c>
      <c r="M108" s="25" cm="1">
        <f t="array" ref="M108">IF(OR(_xll.BDP($AX108,"PR079")="#N/A N/A",_xll.BDP($AX108,"PR079")="#N/A FIELD NOT APPLICABLE")," ", _xll.BDP($AX108,"PR079")/100)</f>
        <v>-0.20812600000000001</v>
      </c>
      <c r="N108" s="25" cm="1">
        <f t="array" ref="N108">IF(OR(_xll.BDP($AX108,"RT074")="#N/A N/A",_xll.BDP($AX108,"RT074")="#N/A FIELD NOT APPLICABLE")," ", _xll.BDP($AX108,"RT074")/100)</f>
        <v>-0.28911960000000003</v>
      </c>
      <c r="O108" s="27">
        <v>197</v>
      </c>
      <c r="P108" s="28">
        <v>301.31832000000003</v>
      </c>
      <c r="Q108" s="22" cm="1">
        <f t="array" ref="Q108">IF(OR(_xll.BDP($AX108,"PX_last")="#N/A N/A",_xll.BDP($AX108,"PX_Last")="#N/A FIELD NOT APPLICABLE")," ",IF(F108="GBP",(_xll.BDP($AX108,"PX_LAST")),(_xll.BDP($AX108,"PX_LAST"))))</f>
        <v>214.78</v>
      </c>
      <c r="R108" s="29">
        <f>IF(F108="USD",AA108,(((_xll.BDP(F108&amp;"USD CURNCY","PX_LAST")))*AA108))</f>
        <v>59359.709040000009</v>
      </c>
      <c r="S108" s="29">
        <f>IF(F108="USD",AB108,(((_xll.BDP(F108&amp;"USD CURNCY","PX_LAST")))*AB108))</f>
        <v>42311.66</v>
      </c>
      <c r="T108" s="12">
        <f t="shared" si="24"/>
        <v>-17048.049040000005</v>
      </c>
      <c r="U108" s="13">
        <f t="shared" si="25"/>
        <v>-0.28719899938377463</v>
      </c>
      <c r="V108" s="13" cm="1">
        <f t="array" ref="V108">IFERROR(_xll.BDP($G108&amp;" Equity","CHG_PCT_1D")/100,"")</f>
        <v>2.7360570000000001E-2</v>
      </c>
      <c r="W108" s="13" cm="1">
        <f t="array" ref="W108">IFERROR(_xll.BDP($G108&amp;" Equity","CHG_PCT_5D")/100,"")</f>
        <v>-5.417921E-3</v>
      </c>
      <c r="X108" s="13" t="e">
        <f>S108/#REF!</f>
        <v>#REF!</v>
      </c>
      <c r="Y108" s="29">
        <f t="shared" si="26"/>
        <v>1071.5618386268616</v>
      </c>
      <c r="Z108" s="29">
        <f t="shared" si="27"/>
        <v>42311.66</v>
      </c>
      <c r="AA108" s="29">
        <f t="shared" si="28"/>
        <v>59359.709040000009</v>
      </c>
      <c r="AB108" s="29">
        <f t="shared" si="29"/>
        <v>42311.66</v>
      </c>
      <c r="AC108" s="25" t="str" cm="1">
        <f t="array" ref="AC108">IF(OR(_xll.BDP($AX108,"EX028")="#N/A N/A",_xll.BDP($AX108,"EX028")="#N/A FIELD NOT APPLICABLE")," ", _xll.BDP($AX108,"EX028"))</f>
        <v>Fund</v>
      </c>
      <c r="AD108" s="35" t="str" cm="1">
        <f t="array" ref="AD108">IF(OR(_xll.BDP($AX108,"FD121")="#N/A N/A",_xll.BDP($AX108,"FD121")="#N/A FIELD NOT APPLICABLE")," ", _xll.BDP($AX108,"FD121"))</f>
        <v>Equity</v>
      </c>
      <c r="AE108" s="25" t="str" cm="1">
        <f t="array" ref="AE108">IF(OR(_xll.BDP($AX108,"FD118")="#N/A N/A",_xll.BDP($AX108,"FD118")="#N/A FIELD NOT APPLICABLE")," ", _xll.BDP($AX108,"FD118"))</f>
        <v>ETF</v>
      </c>
      <c r="AF108" s="22" t="str" cm="1">
        <f t="array" ref="AF108">IF(OR(_xll.BDP($AX108,"FD114")="#N/A N/A",_xll.BDP($AX108,"FD114")="#N/A FIELD NOT APPLICABLE")," ", _xll.BDP($AX108,"FD114"))</f>
        <v xml:space="preserve"> </v>
      </c>
      <c r="AG108" s="22" t="str" cm="1">
        <f t="array" ref="AG108">IF(OR(_xll.BDP($AX108,"FD003")="#N/A N/A",_xll.BDP($AX108,"FD003")="#N/A FIELD NOT APPLICABLE")," ", _xll.BDP($AX108,"FD003"))</f>
        <v>21/12/2011</v>
      </c>
      <c r="AH108" s="32" cm="1">
        <f t="array" ref="AH108">IF(OR(_xll.BDP($AX108,"PR061")="#N/A N/A",_xll.BDP($AX108,"PR061")="#N/A FIELD NOT APPLICABLE")," ", _xll.BDP($AX108,"PR061")/100)</f>
        <v>-0.19352659999999999</v>
      </c>
      <c r="AI108" s="25" cm="1">
        <f t="array" ref="AI108">IF(OR(_xll.BDP($AX108,"RT075")="#N/A N/A",_xll.BDP($AX108,"RT075")="#N/A FIELD NOT APPLICABLE")," ", _xll.BDP($AX108,"RT075")/100)</f>
        <v>-5.212058E-2</v>
      </c>
      <c r="AJ108" s="25" cm="1">
        <f t="array" ref="AJ108">IF(OR(_xll.BDP($AX108,"RT076")="#N/A N/A",_xll.BDP($AX108,"RT076")="#N/A FIELD NOT APPLICABLE")," ", _xll.BDP($AX108,"RT076")/100)</f>
        <v>0.1785359</v>
      </c>
      <c r="AK108" s="25" cm="1">
        <f t="array" ref="AK108">IF(OR(_xll.BDP($AX108,"FD252")="#N/A N/A",_xll.BDP($AX108,"FD252")="#N/A FIELD NOT APPLICABLE")," ", _xll.BDP($AX108,"FD252")/100)</f>
        <v>0</v>
      </c>
      <c r="AL108" s="25" cm="1">
        <f t="array" ref="AL108">IF(OR(_xll.BDP($AX108,"FD015")="#N/A N/A",_xll.BDP($AX108,"FD015")="#N/A FIELD NOT APPLICABLE")," ", _xll.BDP($AX108,"FD015")/100)</f>
        <v>3.4999999999999996E-3</v>
      </c>
      <c r="AM108" s="25" cm="1">
        <f t="array" ref="AM108">IF(OR(_xll.BDP($AX108,"FD138")="#N/A N/A",_xll.BDP($AX108,"FD138")="#N/A FIELD NOT APPLICABLE")," ", _xll.BDP($AX108,"FD138")/100)</f>
        <v>3.4999999999999996E-3</v>
      </c>
      <c r="AN108" s="36" t="str" cm="1">
        <f t="array" ref="AN108">IF(OR(_xll.BDP($AX108,"FD009")="#N/A N/A",_xll.BDP($AX108,"FD009")="#N/A FIELD NOT APPLICABLE")," ", _xll.BDP($AX108,"FD009")/100)</f>
        <v xml:space="preserve"> </v>
      </c>
      <c r="AO108" s="25" cm="1">
        <f t="array" ref="AO108">IF(OR(_xll.BDP($AX108,"RK512")="#N/A N/A",_xll.BDP($AX108,"RK512")="#N/A FIELD NOT APPLICABLE")," ", _xll.BDP($AX108,"RK512")/100)</f>
        <v>-9.2466098070144651E-3</v>
      </c>
      <c r="AP108" s="25" cm="1">
        <f t="array" ref="AP108">IF(OR(_xll.BDP($AX108,"RK514")="#N/A N/A",_xll.BDP($AX108,"RK514")="#N/A FIELD NOT APPLICABLE")," ", _xll.BDP($AX108,"RK514")/100)</f>
        <v>-8.4194999933242792E-3</v>
      </c>
      <c r="AQ108" s="25" cm="1">
        <f t="array" ref="AQ108">IF(OR(_xll.BDP($AX108,"RK521")="#N/A N/A",_xll.BDP($AX108,"RK521")="#N/A FIELD NOT APPLICABLE")," ", _xll.BDP($AX108,"RK521")/100)</f>
        <v>7.9860001802444457E-4</v>
      </c>
      <c r="AR108" s="25" cm="1">
        <f t="array" ref="AR108">IF(OR(_xll.BDP($AX108,"RK525")="#N/A N/A",_xll.BDP($AX108,"RK525")="#N/A FIELD NOT APPLICABLE")," ", _xll.BDP($AX108,"RK525")/100)</f>
        <v>9.9870097637176514E-3</v>
      </c>
      <c r="AS108" s="25" cm="1">
        <f t="array" ref="AS108">IF(OR(_xll.BDP($AX108,"RK524")="#N/A N/A",_xll.BDP($AX108,"RK524")="#N/A FIELD NOT APPLICABLE")," ", _xll.BDP($AX108,"RK524")/100)</f>
        <v>7.2299997555091975E-6</v>
      </c>
      <c r="AT108" s="25" t="str" cm="1">
        <f t="array" ref="AT108">IF(OR(_xll.BDP($AX108,"FD183")="#N/A N/A",_xll.BDP($AX108,"FD183")="#N/A FIELD NOT APPLICABLE")," ", _xll.BDP($AX108,"FD183"))</f>
        <v>USD INC</v>
      </c>
      <c r="AU108" s="25" t="str" cm="1">
        <f t="array" ref="AU108">IF(OR(_xll.BDP($AX108,"DY997")="#N/A N/A",_xll.BDP($AX108,"DY997")="#N/A FIELD NOT APPLICABLE")," ", _xll.BDP($AX108,"DY997"))</f>
        <v xml:space="preserve"> </v>
      </c>
      <c r="AV108" s="25" t="str" cm="1">
        <f t="array" ref="AV108">IF(OR(_xll.BDP($AX108,"DY784")="#N/A N/A",_xll.BDP($AX108,"DY784")="#N/A FIELD NOT APPLICABLE")," ", _xll.BDP($AX108,"DY784"))</f>
        <v xml:space="preserve"> </v>
      </c>
      <c r="AW108" s="22" t="str">
        <f t="shared" si="30"/>
        <v>N</v>
      </c>
      <c r="AX108" s="22" t="str">
        <f t="shared" si="31"/>
        <v>OIH US Equity</v>
      </c>
      <c r="BC108" s="17" t="str" cm="1">
        <f t="array" ref="BC108">_xll.BDP(AX108,"ID005")</f>
        <v>US92189H6071</v>
      </c>
      <c r="BD108" s="17">
        <v>0.75</v>
      </c>
      <c r="BE108" s="18">
        <v>5</v>
      </c>
      <c r="BF108" s="37">
        <v>45510</v>
      </c>
      <c r="BG108" s="20">
        <v>1.0000000000107532</v>
      </c>
    </row>
    <row r="109" spans="1:59" s="3" customFormat="1" ht="14.45" customHeight="1" x14ac:dyDescent="0.25">
      <c r="A109" s="49" t="s">
        <v>241</v>
      </c>
      <c r="B109" s="49" t="s">
        <v>272</v>
      </c>
      <c r="C109" s="49">
        <v>2620061.0010000002</v>
      </c>
      <c r="D109" s="49" t="s">
        <v>240</v>
      </c>
      <c r="E109" s="22" t="str">
        <f>_xll.BDP(AX109,"SECURITY NAME")</f>
        <v>VanEck Oil Services ETF</v>
      </c>
      <c r="F109" s="22" t="str">
        <f>_xll.BDP(AX109,"CRNCY")</f>
        <v>USD</v>
      </c>
      <c r="G109" s="23" t="s">
        <v>112</v>
      </c>
      <c r="H109" s="22" t="str" cm="1">
        <f t="array" ref="H109">IF(OR(_xll.BDP($AX109,"FD120")="#N/A N/A",_xll.BDP($AX109,"FD120")="#N/A FIELD NOT APPLICABLE")," ",_xll.BDP($AX109,"FD120"))</f>
        <v>U.S.</v>
      </c>
      <c r="I109" s="22" t="str" cm="1">
        <f t="array" ref="I109">IF(OR(_xll.BDP($AX109,"FD116")="#N/A N/A",_xll.BDP($AX109,"FD116")="#N/A FIELD NOT APPLICABLE")," ",_xll.BDP($AX109,"FD116"))</f>
        <v>Blend</v>
      </c>
      <c r="J109" s="22" t="str" cm="1">
        <f t="array" ref="J109">IF(OR(_xll.BDP($AX109,"FD133")="#N/A N/A",_xll.BDP($AX109,"FD133")="#N/A FIELD NOT APPLICABLE")," ", _xll.BDP($AX109,"FD133"))</f>
        <v>Energy</v>
      </c>
      <c r="K109" s="34">
        <f>_xll.BDP(AX109,"FUND_ASSETS_USD")/1000</f>
        <v>0.85956135897999997</v>
      </c>
      <c r="L109" s="25">
        <f>IFERROR(_xll.BDP(AX109, "DV013")/100,0)</f>
        <v>2.5325450209867956E-2</v>
      </c>
      <c r="M109" s="25" cm="1">
        <f t="array" ref="M109">IF(OR(_xll.BDP($AX109,"PR079")="#N/A N/A",_xll.BDP($AX109,"PR079")="#N/A FIELD NOT APPLICABLE")," ", _xll.BDP($AX109,"PR079")/100)</f>
        <v>-0.20812600000000001</v>
      </c>
      <c r="N109" s="25" cm="1">
        <f t="array" ref="N109">IF(OR(_xll.BDP($AX109,"RT074")="#N/A N/A",_xll.BDP($AX109,"RT074")="#N/A FIELD NOT APPLICABLE")," ", _xll.BDP($AX109,"RT074")/100)</f>
        <v>-0.28911960000000003</v>
      </c>
      <c r="O109" s="27">
        <v>329</v>
      </c>
      <c r="P109" s="28">
        <v>301.15859999999998</v>
      </c>
      <c r="Q109" s="22" cm="1">
        <f t="array" ref="Q109">IF(OR(_xll.BDP($AX109,"PX_last")="#N/A N/A",_xll.BDP($AX109,"PX_Last")="#N/A FIELD NOT APPLICABLE")," ",IF(F109="GBP",(_xll.BDP($AX109,"PX_LAST")),(_xll.BDP($AX109,"PX_LAST"))))</f>
        <v>214.78</v>
      </c>
      <c r="R109" s="29">
        <f>IF(F109="USD",AA109,(((_xll.BDP(F109&amp;"USD CURNCY","PX_LAST")))*AA109))</f>
        <v>99081.179399999994</v>
      </c>
      <c r="S109" s="29">
        <f>IF(F109="USD",AB109,(((_xll.BDP(F109&amp;"USD CURNCY","PX_LAST")))*AB109))</f>
        <v>70662.62</v>
      </c>
      <c r="T109" s="12">
        <f t="shared" si="24"/>
        <v>-28418.559399999998</v>
      </c>
      <c r="U109" s="13">
        <f t="shared" si="25"/>
        <v>-0.28682096410329971</v>
      </c>
      <c r="V109" s="13" cm="1">
        <f t="array" ref="V109">IFERROR(_xll.BDP($G109&amp;" Equity","CHG_PCT_1D")/100,"")</f>
        <v>2.7360570000000001E-2</v>
      </c>
      <c r="W109" s="13" cm="1">
        <f t="array" ref="W109">IFERROR(_xll.BDP($G109&amp;" Equity","CHG_PCT_5D")/100,"")</f>
        <v>-5.417921E-3</v>
      </c>
      <c r="X109" s="13" t="e">
        <f>S109/#REF!</f>
        <v>#REF!</v>
      </c>
      <c r="Y109" s="29">
        <f t="shared" si="26"/>
        <v>1789.5626645088196</v>
      </c>
      <c r="Z109" s="29">
        <f t="shared" si="27"/>
        <v>70662.62</v>
      </c>
      <c r="AA109" s="29">
        <f t="shared" si="28"/>
        <v>99081.179399999994</v>
      </c>
      <c r="AB109" s="29">
        <f t="shared" si="29"/>
        <v>70662.62</v>
      </c>
      <c r="AC109" s="25" t="str" cm="1">
        <f t="array" ref="AC109">IF(OR(_xll.BDP($AX109,"EX028")="#N/A N/A",_xll.BDP($AX109,"EX028")="#N/A FIELD NOT APPLICABLE")," ", _xll.BDP($AX109,"EX028"))</f>
        <v>Fund</v>
      </c>
      <c r="AD109" s="35" t="str" cm="1">
        <f t="array" ref="AD109">IF(OR(_xll.BDP($AX109,"FD121")="#N/A N/A",_xll.BDP($AX109,"FD121")="#N/A FIELD NOT APPLICABLE")," ", _xll.BDP($AX109,"FD121"))</f>
        <v>Equity</v>
      </c>
      <c r="AE109" s="25" t="str" cm="1">
        <f t="array" ref="AE109">IF(OR(_xll.BDP($AX109,"FD118")="#N/A N/A",_xll.BDP($AX109,"FD118")="#N/A FIELD NOT APPLICABLE")," ", _xll.BDP($AX109,"FD118"))</f>
        <v>ETF</v>
      </c>
      <c r="AF109" s="22" t="str" cm="1">
        <f t="array" ref="AF109">IF(OR(_xll.BDP($AX109,"FD114")="#N/A N/A",_xll.BDP($AX109,"FD114")="#N/A FIELD NOT APPLICABLE")," ", _xll.BDP($AX109,"FD114"))</f>
        <v xml:space="preserve"> </v>
      </c>
      <c r="AG109" s="22" t="str" cm="1">
        <f t="array" ref="AG109">IF(OR(_xll.BDP($AX109,"FD003")="#N/A N/A",_xll.BDP($AX109,"FD003")="#N/A FIELD NOT APPLICABLE")," ", _xll.BDP($AX109,"FD003"))</f>
        <v>21/12/2011</v>
      </c>
      <c r="AH109" s="32" cm="1">
        <f t="array" ref="AH109">IF(OR(_xll.BDP($AX109,"PR061")="#N/A N/A",_xll.BDP($AX109,"PR061")="#N/A FIELD NOT APPLICABLE")," ", _xll.BDP($AX109,"PR061")/100)</f>
        <v>-0.19352659999999999</v>
      </c>
      <c r="AI109" s="25" cm="1">
        <f t="array" ref="AI109">IF(OR(_xll.BDP($AX109,"RT075")="#N/A N/A",_xll.BDP($AX109,"RT075")="#N/A FIELD NOT APPLICABLE")," ", _xll.BDP($AX109,"RT075")/100)</f>
        <v>-5.212058E-2</v>
      </c>
      <c r="AJ109" s="25" cm="1">
        <f t="array" ref="AJ109">IF(OR(_xll.BDP($AX109,"RT076")="#N/A N/A",_xll.BDP($AX109,"RT076")="#N/A FIELD NOT APPLICABLE")," ", _xll.BDP($AX109,"RT076")/100)</f>
        <v>0.1785359</v>
      </c>
      <c r="AK109" s="25" cm="1">
        <f t="array" ref="AK109">IF(OR(_xll.BDP($AX109,"FD252")="#N/A N/A",_xll.BDP($AX109,"FD252")="#N/A FIELD NOT APPLICABLE")," ", _xll.BDP($AX109,"FD252")/100)</f>
        <v>0</v>
      </c>
      <c r="AL109" s="25" cm="1">
        <f t="array" ref="AL109">IF(OR(_xll.BDP($AX109,"FD015")="#N/A N/A",_xll.BDP($AX109,"FD015")="#N/A FIELD NOT APPLICABLE")," ", _xll.BDP($AX109,"FD015")/100)</f>
        <v>3.4999999999999996E-3</v>
      </c>
      <c r="AM109" s="25" cm="1">
        <f t="array" ref="AM109">IF(OR(_xll.BDP($AX109,"FD138")="#N/A N/A",_xll.BDP($AX109,"FD138")="#N/A FIELD NOT APPLICABLE")," ", _xll.BDP($AX109,"FD138")/100)</f>
        <v>3.4999999999999996E-3</v>
      </c>
      <c r="AN109" s="36" t="str" cm="1">
        <f t="array" ref="AN109">IF(OR(_xll.BDP($AX109,"FD009")="#N/A N/A",_xll.BDP($AX109,"FD009")="#N/A FIELD NOT APPLICABLE")," ", _xll.BDP($AX109,"FD009")/100)</f>
        <v xml:space="preserve"> </v>
      </c>
      <c r="AO109" s="25" cm="1">
        <f t="array" ref="AO109">IF(OR(_xll.BDP($AX109,"RK512")="#N/A N/A",_xll.BDP($AX109,"RK512")="#N/A FIELD NOT APPLICABLE")," ", _xll.BDP($AX109,"RK512")/100)</f>
        <v>-9.2466098070144651E-3</v>
      </c>
      <c r="AP109" s="25" cm="1">
        <f t="array" ref="AP109">IF(OR(_xll.BDP($AX109,"RK514")="#N/A N/A",_xll.BDP($AX109,"RK514")="#N/A FIELD NOT APPLICABLE")," ", _xll.BDP($AX109,"RK514")/100)</f>
        <v>-8.4194999933242792E-3</v>
      </c>
      <c r="AQ109" s="25" cm="1">
        <f t="array" ref="AQ109">IF(OR(_xll.BDP($AX109,"RK521")="#N/A N/A",_xll.BDP($AX109,"RK521")="#N/A FIELD NOT APPLICABLE")," ", _xll.BDP($AX109,"RK521")/100)</f>
        <v>7.9860001802444457E-4</v>
      </c>
      <c r="AR109" s="25" cm="1">
        <f t="array" ref="AR109">IF(OR(_xll.BDP($AX109,"RK525")="#N/A N/A",_xll.BDP($AX109,"RK525")="#N/A FIELD NOT APPLICABLE")," ", _xll.BDP($AX109,"RK525")/100)</f>
        <v>9.9870097637176514E-3</v>
      </c>
      <c r="AS109" s="25" cm="1">
        <f t="array" ref="AS109">IF(OR(_xll.BDP($AX109,"RK524")="#N/A N/A",_xll.BDP($AX109,"RK524")="#N/A FIELD NOT APPLICABLE")," ", _xll.BDP($AX109,"RK524")/100)</f>
        <v>7.2299997555091975E-6</v>
      </c>
      <c r="AT109" s="25" t="str" cm="1">
        <f t="array" ref="AT109">IF(OR(_xll.BDP($AX109,"FD183")="#N/A N/A",_xll.BDP($AX109,"FD183")="#N/A FIELD NOT APPLICABLE")," ", _xll.BDP($AX109,"FD183"))</f>
        <v>USD INC</v>
      </c>
      <c r="AU109" s="25" t="str" cm="1">
        <f t="array" ref="AU109">IF(OR(_xll.BDP($AX109,"DY997")="#N/A N/A",_xll.BDP($AX109,"DY997")="#N/A FIELD NOT APPLICABLE")," ", _xll.BDP($AX109,"DY997"))</f>
        <v xml:space="preserve"> </v>
      </c>
      <c r="AV109" s="25" t="str" cm="1">
        <f t="array" ref="AV109">IF(OR(_xll.BDP($AX109,"DY784")="#N/A N/A",_xll.BDP($AX109,"DY784")="#N/A FIELD NOT APPLICABLE")," ", _xll.BDP($AX109,"DY784"))</f>
        <v xml:space="preserve"> </v>
      </c>
      <c r="AW109" s="22" t="str">
        <f t="shared" si="30"/>
        <v>N</v>
      </c>
      <c r="AX109" s="22" t="str">
        <f t="shared" si="31"/>
        <v>OIH US Equity</v>
      </c>
      <c r="BC109" s="17" t="str" cm="1">
        <f t="array" ref="BC109">_xll.BDP(AX109,"ID005")</f>
        <v>US92189H6071</v>
      </c>
      <c r="BD109" s="17">
        <v>0.75</v>
      </c>
      <c r="BE109" s="18">
        <v>3</v>
      </c>
      <c r="BF109" s="37">
        <v>45510</v>
      </c>
      <c r="BG109" s="20">
        <v>1.0000000000107532</v>
      </c>
    </row>
    <row r="110" spans="1:59" s="3" customFormat="1" ht="14.45" customHeight="1" x14ac:dyDescent="0.25">
      <c r="A110" s="49" t="s">
        <v>241</v>
      </c>
      <c r="B110" s="49" t="s">
        <v>273</v>
      </c>
      <c r="C110" s="49">
        <v>2620058.003</v>
      </c>
      <c r="D110" s="49" t="s">
        <v>240</v>
      </c>
      <c r="E110" s="22" t="str">
        <f>_xll.BDP(AX110,"SECURITY NAME")</f>
        <v>VanEck Oil Services ETF</v>
      </c>
      <c r="F110" s="22" t="str">
        <f>_xll.BDP(AX110,"CRNCY")</f>
        <v>USD</v>
      </c>
      <c r="G110" s="23" t="s">
        <v>112</v>
      </c>
      <c r="H110" s="22" t="str" cm="1">
        <f t="array" ref="H110">IF(OR(_xll.BDP($AX110,"FD120")="#N/A N/A",_xll.BDP($AX110,"FD120")="#N/A FIELD NOT APPLICABLE")," ",_xll.BDP($AX110,"FD120"))</f>
        <v>U.S.</v>
      </c>
      <c r="I110" s="22" t="str" cm="1">
        <f t="array" ref="I110">IF(OR(_xll.BDP($AX110,"FD116")="#N/A N/A",_xll.BDP($AX110,"FD116")="#N/A FIELD NOT APPLICABLE")," ",_xll.BDP($AX110,"FD116"))</f>
        <v>Blend</v>
      </c>
      <c r="J110" s="22" t="str" cm="1">
        <f t="array" ref="J110">IF(OR(_xll.BDP($AX110,"FD133")="#N/A N/A",_xll.BDP($AX110,"FD133")="#N/A FIELD NOT APPLICABLE")," ", _xll.BDP($AX110,"FD133"))</f>
        <v>Energy</v>
      </c>
      <c r="K110" s="34">
        <f>_xll.BDP(AX110,"FUND_ASSETS_USD")/1000</f>
        <v>0.85956135897999997</v>
      </c>
      <c r="L110" s="25">
        <f>IFERROR(_xll.BDP(AX110, "DV013")/100,0)</f>
        <v>2.5325450209867956E-2</v>
      </c>
      <c r="M110" s="25" cm="1">
        <f t="array" ref="M110">IF(OR(_xll.BDP($AX110,"PR079")="#N/A N/A",_xll.BDP($AX110,"PR079")="#N/A FIELD NOT APPLICABLE")," ", _xll.BDP($AX110,"PR079")/100)</f>
        <v>-0.20812600000000001</v>
      </c>
      <c r="N110" s="25" cm="1">
        <f t="array" ref="N110">IF(OR(_xll.BDP($AX110,"RT074")="#N/A N/A",_xll.BDP($AX110,"RT074")="#N/A FIELD NOT APPLICABLE")," ", _xll.BDP($AX110,"RT074")/100)</f>
        <v>-0.28911960000000003</v>
      </c>
      <c r="O110" s="27">
        <v>246</v>
      </c>
      <c r="P110" s="28">
        <v>301.95560999999998</v>
      </c>
      <c r="Q110" s="22" cm="1">
        <f t="array" ref="Q110">IF(OR(_xll.BDP($AX110,"PX_last")="#N/A N/A",_xll.BDP($AX110,"PX_Last")="#N/A FIELD NOT APPLICABLE")," ",IF(F110="GBP",(_xll.BDP($AX110,"PX_LAST")),(_xll.BDP($AX110,"PX_LAST"))))</f>
        <v>214.78</v>
      </c>
      <c r="R110" s="29">
        <f>IF(F110="USD",AA110,(((_xll.BDP(F110&amp;"USD CURNCY","PX_LAST")))*AA110))</f>
        <v>74281.080059999993</v>
      </c>
      <c r="S110" s="29">
        <f>IF(F110="USD",AB110,(((_xll.BDP(F110&amp;"USD CURNCY","PX_LAST")))*AB110))</f>
        <v>52835.88</v>
      </c>
      <c r="T110" s="12">
        <f t="shared" si="24"/>
        <v>-21445.200059999996</v>
      </c>
      <c r="U110" s="13">
        <f t="shared" si="25"/>
        <v>-0.2887033958402031</v>
      </c>
      <c r="V110" s="13" cm="1">
        <f t="array" ref="V110">IFERROR(_xll.BDP($G110&amp;" Equity","CHG_PCT_1D")/100,"")</f>
        <v>2.7360570000000001E-2</v>
      </c>
      <c r="W110" s="13" cm="1">
        <f t="array" ref="W110">IFERROR(_xll.BDP($G110&amp;" Equity","CHG_PCT_5D")/100,"")</f>
        <v>-5.417921E-3</v>
      </c>
      <c r="X110" s="13" t="e">
        <f>S110/#REF!</f>
        <v>#REF!</v>
      </c>
      <c r="Y110" s="29">
        <f t="shared" si="26"/>
        <v>1338.0924482345581</v>
      </c>
      <c r="Z110" s="29">
        <f t="shared" si="27"/>
        <v>52835.88</v>
      </c>
      <c r="AA110" s="29">
        <f t="shared" si="28"/>
        <v>74281.080059999993</v>
      </c>
      <c r="AB110" s="29">
        <f t="shared" si="29"/>
        <v>52835.88</v>
      </c>
      <c r="AC110" s="25" t="str" cm="1">
        <f t="array" ref="AC110">IF(OR(_xll.BDP($AX110,"EX028")="#N/A N/A",_xll.BDP($AX110,"EX028")="#N/A FIELD NOT APPLICABLE")," ", _xll.BDP($AX110,"EX028"))</f>
        <v>Fund</v>
      </c>
      <c r="AD110" s="35" t="str" cm="1">
        <f t="array" ref="AD110">IF(OR(_xll.BDP($AX110,"FD121")="#N/A N/A",_xll.BDP($AX110,"FD121")="#N/A FIELD NOT APPLICABLE")," ", _xll.BDP($AX110,"FD121"))</f>
        <v>Equity</v>
      </c>
      <c r="AE110" s="25" t="str" cm="1">
        <f t="array" ref="AE110">IF(OR(_xll.BDP($AX110,"FD118")="#N/A N/A",_xll.BDP($AX110,"FD118")="#N/A FIELD NOT APPLICABLE")," ", _xll.BDP($AX110,"FD118"))</f>
        <v>ETF</v>
      </c>
      <c r="AF110" s="22" t="str" cm="1">
        <f t="array" ref="AF110">IF(OR(_xll.BDP($AX110,"FD114")="#N/A N/A",_xll.BDP($AX110,"FD114")="#N/A FIELD NOT APPLICABLE")," ", _xll.BDP($AX110,"FD114"))</f>
        <v xml:space="preserve"> </v>
      </c>
      <c r="AG110" s="22" t="str" cm="1">
        <f t="array" ref="AG110">IF(OR(_xll.BDP($AX110,"FD003")="#N/A N/A",_xll.BDP($AX110,"FD003")="#N/A FIELD NOT APPLICABLE")," ", _xll.BDP($AX110,"FD003"))</f>
        <v>21/12/2011</v>
      </c>
      <c r="AH110" s="32" cm="1">
        <f t="array" ref="AH110">IF(OR(_xll.BDP($AX110,"PR061")="#N/A N/A",_xll.BDP($AX110,"PR061")="#N/A FIELD NOT APPLICABLE")," ", _xll.BDP($AX110,"PR061")/100)</f>
        <v>-0.19352659999999999</v>
      </c>
      <c r="AI110" s="25" cm="1">
        <f t="array" ref="AI110">IF(OR(_xll.BDP($AX110,"RT075")="#N/A N/A",_xll.BDP($AX110,"RT075")="#N/A FIELD NOT APPLICABLE")," ", _xll.BDP($AX110,"RT075")/100)</f>
        <v>-5.212058E-2</v>
      </c>
      <c r="AJ110" s="25" cm="1">
        <f t="array" ref="AJ110">IF(OR(_xll.BDP($AX110,"RT076")="#N/A N/A",_xll.BDP($AX110,"RT076")="#N/A FIELD NOT APPLICABLE")," ", _xll.BDP($AX110,"RT076")/100)</f>
        <v>0.1785359</v>
      </c>
      <c r="AK110" s="25" cm="1">
        <f t="array" ref="AK110">IF(OR(_xll.BDP($AX110,"FD252")="#N/A N/A",_xll.BDP($AX110,"FD252")="#N/A FIELD NOT APPLICABLE")," ", _xll.BDP($AX110,"FD252")/100)</f>
        <v>0</v>
      </c>
      <c r="AL110" s="25" cm="1">
        <f t="array" ref="AL110">IF(OR(_xll.BDP($AX110,"FD015")="#N/A N/A",_xll.BDP($AX110,"FD015")="#N/A FIELD NOT APPLICABLE")," ", _xll.BDP($AX110,"FD015")/100)</f>
        <v>3.4999999999999996E-3</v>
      </c>
      <c r="AM110" s="25" cm="1">
        <f t="array" ref="AM110">IF(OR(_xll.BDP($AX110,"FD138")="#N/A N/A",_xll.BDP($AX110,"FD138")="#N/A FIELD NOT APPLICABLE")," ", _xll.BDP($AX110,"FD138")/100)</f>
        <v>3.4999999999999996E-3</v>
      </c>
      <c r="AN110" s="36" t="str" cm="1">
        <f t="array" ref="AN110">IF(OR(_xll.BDP($AX110,"FD009")="#N/A N/A",_xll.BDP($AX110,"FD009")="#N/A FIELD NOT APPLICABLE")," ", _xll.BDP($AX110,"FD009")/100)</f>
        <v xml:space="preserve"> </v>
      </c>
      <c r="AO110" s="25" cm="1">
        <f t="array" ref="AO110">IF(OR(_xll.BDP($AX110,"RK512")="#N/A N/A",_xll.BDP($AX110,"RK512")="#N/A FIELD NOT APPLICABLE")," ", _xll.BDP($AX110,"RK512")/100)</f>
        <v>-9.2466098070144651E-3</v>
      </c>
      <c r="AP110" s="25" cm="1">
        <f t="array" ref="AP110">IF(OR(_xll.BDP($AX110,"RK514")="#N/A N/A",_xll.BDP($AX110,"RK514")="#N/A FIELD NOT APPLICABLE")," ", _xll.BDP($AX110,"RK514")/100)</f>
        <v>-8.4194999933242792E-3</v>
      </c>
      <c r="AQ110" s="25" cm="1">
        <f t="array" ref="AQ110">IF(OR(_xll.BDP($AX110,"RK521")="#N/A N/A",_xll.BDP($AX110,"RK521")="#N/A FIELD NOT APPLICABLE")," ", _xll.BDP($AX110,"RK521")/100)</f>
        <v>7.9860001802444457E-4</v>
      </c>
      <c r="AR110" s="25" cm="1">
        <f t="array" ref="AR110">IF(OR(_xll.BDP($AX110,"RK525")="#N/A N/A",_xll.BDP($AX110,"RK525")="#N/A FIELD NOT APPLICABLE")," ", _xll.BDP($AX110,"RK525")/100)</f>
        <v>9.9870097637176514E-3</v>
      </c>
      <c r="AS110" s="25" cm="1">
        <f t="array" ref="AS110">IF(OR(_xll.BDP($AX110,"RK524")="#N/A N/A",_xll.BDP($AX110,"RK524")="#N/A FIELD NOT APPLICABLE")," ", _xll.BDP($AX110,"RK524")/100)</f>
        <v>7.2299997555091975E-6</v>
      </c>
      <c r="AT110" s="25" t="str" cm="1">
        <f t="array" ref="AT110">IF(OR(_xll.BDP($AX110,"FD183")="#N/A N/A",_xll.BDP($AX110,"FD183")="#N/A FIELD NOT APPLICABLE")," ", _xll.BDP($AX110,"FD183"))</f>
        <v>USD INC</v>
      </c>
      <c r="AU110" s="25" t="str" cm="1">
        <f t="array" ref="AU110">IF(OR(_xll.BDP($AX110,"DY997")="#N/A N/A",_xll.BDP($AX110,"DY997")="#N/A FIELD NOT APPLICABLE")," ", _xll.BDP($AX110,"DY997"))</f>
        <v xml:space="preserve"> </v>
      </c>
      <c r="AV110" s="25" t="str" cm="1">
        <f t="array" ref="AV110">IF(OR(_xll.BDP($AX110,"DY784")="#N/A N/A",_xll.BDP($AX110,"DY784")="#N/A FIELD NOT APPLICABLE")," ", _xll.BDP($AX110,"DY784"))</f>
        <v xml:space="preserve"> </v>
      </c>
      <c r="AW110" s="22" t="str">
        <f t="shared" si="30"/>
        <v>N</v>
      </c>
      <c r="AX110" s="22" t="str">
        <f t="shared" si="31"/>
        <v>OIH US Equity</v>
      </c>
      <c r="BC110" s="17" t="str" cm="1">
        <f t="array" ref="BC110">_xll.BDP(AX110,"ID005")</f>
        <v>US92189H6071</v>
      </c>
      <c r="BD110" s="17">
        <v>0.75</v>
      </c>
      <c r="BE110" s="18">
        <v>3</v>
      </c>
      <c r="BF110" s="37">
        <v>45510</v>
      </c>
      <c r="BG110" s="20">
        <v>1.0000000000107532</v>
      </c>
    </row>
    <row r="111" spans="1:59" s="3" customFormat="1" ht="14.45" customHeight="1" x14ac:dyDescent="0.25">
      <c r="A111" s="49" t="s">
        <v>241</v>
      </c>
      <c r="B111" s="49" t="s">
        <v>276</v>
      </c>
      <c r="C111" s="49" t="s">
        <v>277</v>
      </c>
      <c r="D111" s="49" t="s">
        <v>240</v>
      </c>
      <c r="E111" s="22" t="str">
        <f>_xll.BDP(AX111,"SECURITY NAME")</f>
        <v>VanEck Oil Services ETF</v>
      </c>
      <c r="F111" s="22" t="str">
        <f>_xll.BDP(AX111,"CRNCY")</f>
        <v>USD</v>
      </c>
      <c r="G111" s="23" t="s">
        <v>112</v>
      </c>
      <c r="H111" s="22" t="str" cm="1">
        <f t="array" ref="H111">IF(OR(_xll.BDP($AX111,"FD120")="#N/A N/A",_xll.BDP($AX111,"FD120")="#N/A FIELD NOT APPLICABLE")," ",_xll.BDP($AX111,"FD120"))</f>
        <v>U.S.</v>
      </c>
      <c r="I111" s="22" t="str" cm="1">
        <f t="array" ref="I111">IF(OR(_xll.BDP($AX111,"FD116")="#N/A N/A",_xll.BDP($AX111,"FD116")="#N/A FIELD NOT APPLICABLE")," ",_xll.BDP($AX111,"FD116"))</f>
        <v>Blend</v>
      </c>
      <c r="J111" s="22" t="str" cm="1">
        <f t="array" ref="J111">IF(OR(_xll.BDP($AX111,"FD133")="#N/A N/A",_xll.BDP($AX111,"FD133")="#N/A FIELD NOT APPLICABLE")," ", _xll.BDP($AX111,"FD133"))</f>
        <v>Energy</v>
      </c>
      <c r="K111" s="34">
        <f>_xll.BDP(AX111,"FUND_ASSETS_USD")/1000</f>
        <v>0.85956135897999997</v>
      </c>
      <c r="L111" s="25">
        <f>IFERROR(_xll.BDP(AX111, "DV013")/100,0)</f>
        <v>2.5325450209867956E-2</v>
      </c>
      <c r="M111" s="25" cm="1">
        <f t="array" ref="M111">IF(OR(_xll.BDP($AX111,"PR079")="#N/A N/A",_xll.BDP($AX111,"PR079")="#N/A FIELD NOT APPLICABLE")," ", _xll.BDP($AX111,"PR079")/100)</f>
        <v>-0.20812600000000001</v>
      </c>
      <c r="N111" s="25" cm="1">
        <f t="array" ref="N111">IF(OR(_xll.BDP($AX111,"RT074")="#N/A N/A",_xll.BDP($AX111,"RT074")="#N/A FIELD NOT APPLICABLE")," ", _xll.BDP($AX111,"RT074")/100)</f>
        <v>-0.28911960000000003</v>
      </c>
      <c r="O111" s="27">
        <v>197</v>
      </c>
      <c r="P111" s="28">
        <v>302.08015</v>
      </c>
      <c r="Q111" s="22" cm="1">
        <f t="array" ref="Q111">IF(OR(_xll.BDP($AX111,"PX_last")="#N/A N/A",_xll.BDP($AX111,"PX_Last")="#N/A FIELD NOT APPLICABLE")," ",IF(F111="GBP",(_xll.BDP($AX111,"PX_LAST")),(_xll.BDP($AX111,"PX_LAST"))))</f>
        <v>214.78</v>
      </c>
      <c r="R111" s="29">
        <f>IF(F111="USD",AA111,(((_xll.BDP(F111&amp;"USD CURNCY","PX_LAST")))*AA111))</f>
        <v>59509.789550000001</v>
      </c>
      <c r="S111" s="29">
        <f>IF(F111="USD",AB111,(((_xll.BDP(F111&amp;"USD CURNCY","PX_LAST")))*AB111))</f>
        <v>42311.66</v>
      </c>
      <c r="T111" s="12">
        <f t="shared" si="24"/>
        <v>-17198.129549999998</v>
      </c>
      <c r="U111" s="13">
        <f t="shared" si="25"/>
        <v>-0.28899664542671866</v>
      </c>
      <c r="V111" s="13" cm="1">
        <f t="array" ref="V111">IFERROR(_xll.BDP($G111&amp;" Equity","CHG_PCT_1D")/100,"")</f>
        <v>2.7360570000000001E-2</v>
      </c>
      <c r="W111" s="13" cm="1">
        <f t="array" ref="W111">IFERROR(_xll.BDP($G111&amp;" Equity","CHG_PCT_5D")/100,"")</f>
        <v>-5.417921E-3</v>
      </c>
      <c r="X111" s="13" t="e">
        <f>S111/#REF!</f>
        <v>#REF!</v>
      </c>
      <c r="Y111" s="29">
        <f t="shared" si="26"/>
        <v>1071.5618386268616</v>
      </c>
      <c r="Z111" s="29">
        <f t="shared" si="27"/>
        <v>42311.66</v>
      </c>
      <c r="AA111" s="29">
        <f t="shared" si="28"/>
        <v>59509.789550000001</v>
      </c>
      <c r="AB111" s="29">
        <f t="shared" si="29"/>
        <v>42311.66</v>
      </c>
      <c r="AC111" s="25" t="str" cm="1">
        <f t="array" ref="AC111">IF(OR(_xll.BDP($AX111,"EX028")="#N/A N/A",_xll.BDP($AX111,"EX028")="#N/A FIELD NOT APPLICABLE")," ", _xll.BDP($AX111,"EX028"))</f>
        <v>Fund</v>
      </c>
      <c r="AD111" s="35" t="str" cm="1">
        <f t="array" ref="AD111">IF(OR(_xll.BDP($AX111,"FD121")="#N/A N/A",_xll.BDP($AX111,"FD121")="#N/A FIELD NOT APPLICABLE")," ", _xll.BDP($AX111,"FD121"))</f>
        <v>Equity</v>
      </c>
      <c r="AE111" s="25" t="str" cm="1">
        <f t="array" ref="AE111">IF(OR(_xll.BDP($AX111,"FD118")="#N/A N/A",_xll.BDP($AX111,"FD118")="#N/A FIELD NOT APPLICABLE")," ", _xll.BDP($AX111,"FD118"))</f>
        <v>ETF</v>
      </c>
      <c r="AF111" s="22" t="str" cm="1">
        <f t="array" ref="AF111">IF(OR(_xll.BDP($AX111,"FD114")="#N/A N/A",_xll.BDP($AX111,"FD114")="#N/A FIELD NOT APPLICABLE")," ", _xll.BDP($AX111,"FD114"))</f>
        <v xml:space="preserve"> </v>
      </c>
      <c r="AG111" s="22" t="str" cm="1">
        <f t="array" ref="AG111">IF(OR(_xll.BDP($AX111,"FD003")="#N/A N/A",_xll.BDP($AX111,"FD003")="#N/A FIELD NOT APPLICABLE")," ", _xll.BDP($AX111,"FD003"))</f>
        <v>21/12/2011</v>
      </c>
      <c r="AH111" s="32" cm="1">
        <f t="array" ref="AH111">IF(OR(_xll.BDP($AX111,"PR061")="#N/A N/A",_xll.BDP($AX111,"PR061")="#N/A FIELD NOT APPLICABLE")," ", _xll.BDP($AX111,"PR061")/100)</f>
        <v>-0.19352659999999999</v>
      </c>
      <c r="AI111" s="25" cm="1">
        <f t="array" ref="AI111">IF(OR(_xll.BDP($AX111,"RT075")="#N/A N/A",_xll.BDP($AX111,"RT075")="#N/A FIELD NOT APPLICABLE")," ", _xll.BDP($AX111,"RT075")/100)</f>
        <v>-5.212058E-2</v>
      </c>
      <c r="AJ111" s="25" cm="1">
        <f t="array" ref="AJ111">IF(OR(_xll.BDP($AX111,"RT076")="#N/A N/A",_xll.BDP($AX111,"RT076")="#N/A FIELD NOT APPLICABLE")," ", _xll.BDP($AX111,"RT076")/100)</f>
        <v>0.1785359</v>
      </c>
      <c r="AK111" s="25" cm="1">
        <f t="array" ref="AK111">IF(OR(_xll.BDP($AX111,"FD252")="#N/A N/A",_xll.BDP($AX111,"FD252")="#N/A FIELD NOT APPLICABLE")," ", _xll.BDP($AX111,"FD252")/100)</f>
        <v>0</v>
      </c>
      <c r="AL111" s="25" cm="1">
        <f t="array" ref="AL111">IF(OR(_xll.BDP($AX111,"FD015")="#N/A N/A",_xll.BDP($AX111,"FD015")="#N/A FIELD NOT APPLICABLE")," ", _xll.BDP($AX111,"FD015")/100)</f>
        <v>3.4999999999999996E-3</v>
      </c>
      <c r="AM111" s="25" cm="1">
        <f t="array" ref="AM111">IF(OR(_xll.BDP($AX111,"FD138")="#N/A N/A",_xll.BDP($AX111,"FD138")="#N/A FIELD NOT APPLICABLE")," ", _xll.BDP($AX111,"FD138")/100)</f>
        <v>3.4999999999999996E-3</v>
      </c>
      <c r="AN111" s="36" t="str" cm="1">
        <f t="array" ref="AN111">IF(OR(_xll.BDP($AX111,"FD009")="#N/A N/A",_xll.BDP($AX111,"FD009")="#N/A FIELD NOT APPLICABLE")," ", _xll.BDP($AX111,"FD009")/100)</f>
        <v xml:space="preserve"> </v>
      </c>
      <c r="AO111" s="25" cm="1">
        <f t="array" ref="AO111">IF(OR(_xll.BDP($AX111,"RK512")="#N/A N/A",_xll.BDP($AX111,"RK512")="#N/A FIELD NOT APPLICABLE")," ", _xll.BDP($AX111,"RK512")/100)</f>
        <v>-9.2466098070144651E-3</v>
      </c>
      <c r="AP111" s="25" cm="1">
        <f t="array" ref="AP111">IF(OR(_xll.BDP($AX111,"RK514")="#N/A N/A",_xll.BDP($AX111,"RK514")="#N/A FIELD NOT APPLICABLE")," ", _xll.BDP($AX111,"RK514")/100)</f>
        <v>-8.4194999933242792E-3</v>
      </c>
      <c r="AQ111" s="25" cm="1">
        <f t="array" ref="AQ111">IF(OR(_xll.BDP($AX111,"RK521")="#N/A N/A",_xll.BDP($AX111,"RK521")="#N/A FIELD NOT APPLICABLE")," ", _xll.BDP($AX111,"RK521")/100)</f>
        <v>7.9860001802444457E-4</v>
      </c>
      <c r="AR111" s="25" cm="1">
        <f t="array" ref="AR111">IF(OR(_xll.BDP($AX111,"RK525")="#N/A N/A",_xll.BDP($AX111,"RK525")="#N/A FIELD NOT APPLICABLE")," ", _xll.BDP($AX111,"RK525")/100)</f>
        <v>9.9870097637176514E-3</v>
      </c>
      <c r="AS111" s="25" cm="1">
        <f t="array" ref="AS111">IF(OR(_xll.BDP($AX111,"RK524")="#N/A N/A",_xll.BDP($AX111,"RK524")="#N/A FIELD NOT APPLICABLE")," ", _xll.BDP($AX111,"RK524")/100)</f>
        <v>7.2299997555091975E-6</v>
      </c>
      <c r="AT111" s="25" t="str" cm="1">
        <f t="array" ref="AT111">IF(OR(_xll.BDP($AX111,"FD183")="#N/A N/A",_xll.BDP($AX111,"FD183")="#N/A FIELD NOT APPLICABLE")," ", _xll.BDP($AX111,"FD183"))</f>
        <v>USD INC</v>
      </c>
      <c r="AU111" s="25" t="str" cm="1">
        <f t="array" ref="AU111">IF(OR(_xll.BDP($AX111,"DY997")="#N/A N/A",_xll.BDP($AX111,"DY997")="#N/A FIELD NOT APPLICABLE")," ", _xll.BDP($AX111,"DY997"))</f>
        <v xml:space="preserve"> </v>
      </c>
      <c r="AV111" s="25" t="str" cm="1">
        <f t="array" ref="AV111">IF(OR(_xll.BDP($AX111,"DY784")="#N/A N/A",_xll.BDP($AX111,"DY784")="#N/A FIELD NOT APPLICABLE")," ", _xll.BDP($AX111,"DY784"))</f>
        <v xml:space="preserve"> </v>
      </c>
      <c r="AW111" s="22" t="str">
        <f t="shared" si="30"/>
        <v>N</v>
      </c>
      <c r="AX111" s="22" t="str">
        <f t="shared" si="31"/>
        <v>OIH US Equity</v>
      </c>
      <c r="BC111" s="17" t="str" cm="1">
        <f t="array" ref="BC111">_xll.BDP(AX111,"ID005")</f>
        <v>US92189H6071</v>
      </c>
      <c r="BD111" s="17">
        <v>0.75</v>
      </c>
      <c r="BE111" s="18">
        <v>5</v>
      </c>
      <c r="BF111" s="37">
        <v>45492</v>
      </c>
      <c r="BG111" s="20">
        <v>1.0000000000107532</v>
      </c>
    </row>
    <row r="112" spans="1:59" s="3" customFormat="1" ht="14.45" customHeight="1" x14ac:dyDescent="0.25">
      <c r="A112" s="49" t="s">
        <v>242</v>
      </c>
      <c r="B112" s="49" t="s">
        <v>243</v>
      </c>
      <c r="C112" s="49" t="s">
        <v>244</v>
      </c>
      <c r="D112" s="49" t="s">
        <v>245</v>
      </c>
      <c r="E112" s="22" t="str">
        <f>_xll.BDP(AX112,"SECURITY NAME")</f>
        <v>SP Funds S&amp;P Global Reit Shari</v>
      </c>
      <c r="F112" s="22" t="str">
        <f>_xll.BDP(AX112,"CRNCY")</f>
        <v>USD</v>
      </c>
      <c r="G112" s="23" t="s">
        <v>124</v>
      </c>
      <c r="H112" s="22" t="str" cm="1">
        <f t="array" ref="H112">IF(OR(_xll.BDP($AX112,"FD120")="#N/A N/A",_xll.BDP($AX112,"FD120")="#N/A FIELD NOT APPLICABLE")," ",_xll.BDP($AX112,"FD120"))</f>
        <v>Global</v>
      </c>
      <c r="I112" s="22" t="str" cm="1">
        <f t="array" ref="I112">IF(OR(_xll.BDP($AX112,"FD116")="#N/A N/A",_xll.BDP($AX112,"FD116")="#N/A FIELD NOT APPLICABLE")," ",_xll.BDP($AX112,"FD116"))</f>
        <v>Blend</v>
      </c>
      <c r="J112" s="22" t="str" cm="1">
        <f t="array" ref="J112">IF(OR(_xll.BDP($AX112,"FD133")="#N/A N/A",_xll.BDP($AX112,"FD133")="#N/A FIELD NOT APPLICABLE")," ", _xll.BDP($AX112,"FD133"))</f>
        <v>Real Estate</v>
      </c>
      <c r="K112" s="34">
        <f>_xll.BDP(AX112,"FUND_ASSETS_USD")/1000</f>
        <v>0.14714053759999998</v>
      </c>
      <c r="L112" s="25">
        <f>IFERROR(_xll.BDP(AX112, "DV013")/100,0)</f>
        <v>4.2271294428347039E-2</v>
      </c>
      <c r="M112" s="25" cm="1">
        <f t="array" ref="M112">IF(OR(_xll.BDP($AX112,"PR079")="#N/A N/A",_xll.BDP($AX112,"PR079")="#N/A FIELD NOT APPLICABLE")," ", _xll.BDP($AX112,"PR079")/100)</f>
        <v>-3.8908579999999998E-2</v>
      </c>
      <c r="N112" s="25" cm="1">
        <f t="array" ref="N112">IF(OR(_xll.BDP($AX112,"RT074")="#N/A N/A",_xll.BDP($AX112,"RT074")="#N/A FIELD NOT APPLICABLE")," ", _xll.BDP($AX112,"RT074")/100)</f>
        <v>8.5789249999999997E-2</v>
      </c>
      <c r="O112" s="27">
        <v>4649</v>
      </c>
      <c r="P112" s="28">
        <v>21.4</v>
      </c>
      <c r="Q112" s="22" cm="1">
        <f t="array" ref="Q112">IF(OR(_xll.BDP($AX112,"PX_last")="#N/A N/A",_xll.BDP($AX112,"PX_Last")="#N/A FIELD NOT APPLICABLE")," ",IF(F112="GBP",(_xll.BDP($AX112,"PX_LAST")/100),(_xll.BDP($AX112,"PX_LAST"))))</f>
        <v>19.02</v>
      </c>
      <c r="R112" s="29">
        <f>IF(F112="USD",AA112,(((_xll.BDP(F112&amp;"USD CURNCY","PX_LAST")))*AA112))</f>
        <v>99488.599999999991</v>
      </c>
      <c r="S112" s="29">
        <f>IF(F112="USD",AB112,(((_xll.BDP(F112&amp;"USD CURNCY","PX_LAST")))*AB112))</f>
        <v>88423.98</v>
      </c>
      <c r="T112" s="12">
        <f t="shared" si="24"/>
        <v>-11064.619999999995</v>
      </c>
      <c r="U112" s="13">
        <f t="shared" si="25"/>
        <v>-0.111214953271028</v>
      </c>
      <c r="V112" s="13" cm="1">
        <f t="array" ref="V112">IFERROR(_xll.BDP($G112&amp;" Equity","CHG_PCT_1D")/100,"")</f>
        <v>4.7543580000000002E-3</v>
      </c>
      <c r="W112" s="13" cm="1">
        <f t="array" ref="W112">IFERROR(_xll.BDP($G112&amp;" Equity","CHG_PCT_5D")/100,"")</f>
        <v>1.92926E-2</v>
      </c>
      <c r="X112" s="13" t="e">
        <f>S112/$H$62</f>
        <v>#VALUE!</v>
      </c>
      <c r="Y112" s="29">
        <f t="shared" si="26"/>
        <v>3737.7960931062698</v>
      </c>
      <c r="Z112" s="29">
        <f t="shared" si="27"/>
        <v>88423.98</v>
      </c>
      <c r="AA112" s="29">
        <f t="shared" si="28"/>
        <v>99488.599999999991</v>
      </c>
      <c r="AB112" s="29">
        <f t="shared" si="29"/>
        <v>88423.98</v>
      </c>
      <c r="AC112" s="25" t="str" cm="1">
        <f t="array" ref="AC112">IF(OR(_xll.BDP($AX112,"EX028")="#N/A N/A",_xll.BDP($AX112,"EX028")="#N/A FIELD NOT APPLICABLE")," ", _xll.BDP($AX112,"EX028"))</f>
        <v>Fund</v>
      </c>
      <c r="AD112" s="35" t="str" cm="1">
        <f t="array" ref="AD112">IF(OR(_xll.BDP($AX112,"FD121")="#N/A N/A",_xll.BDP($AX112,"FD121")="#N/A FIELD NOT APPLICABLE")," ", _xll.BDP($AX112,"FD121"))</f>
        <v>Equity</v>
      </c>
      <c r="AE112" s="25" t="str" cm="1">
        <f t="array" ref="AE112">IF(OR(_xll.BDP($AX112,"FD118")="#N/A N/A",_xll.BDP($AX112,"FD118")="#N/A FIELD NOT APPLICABLE")," ", _xll.BDP($AX112,"FD118"))</f>
        <v>ETF</v>
      </c>
      <c r="AF112" s="22" t="str" cm="1">
        <f t="array" ref="AF112">IF(OR(_xll.BDP($AX112,"FD114")="#N/A N/A",_xll.BDP($AX112,"FD114")="#N/A FIELD NOT APPLICABLE")," ", _xll.BDP($AX112,"FD114"))</f>
        <v xml:space="preserve"> </v>
      </c>
      <c r="AG112" s="22" t="str" cm="1">
        <f t="array" ref="AG112">IF(OR(_xll.BDP($AX112,"FD003")="#N/A N/A",_xll.BDP($AX112,"FD003")="#N/A FIELD NOT APPLICABLE")," ", _xll.BDP($AX112,"FD003"))</f>
        <v>30/12/2020</v>
      </c>
      <c r="AH112" s="32" cm="1">
        <f t="array" ref="AH112">IF(OR(_xll.BDP($AX112,"PR061")="#N/A N/A",_xll.BDP($AX112,"PR061")="#N/A FIELD NOT APPLICABLE")," ", _xll.BDP($AX112,"PR061")/100)</f>
        <v>-3.7936290000000004E-2</v>
      </c>
      <c r="AI112" s="25" cm="1">
        <f t="array" ref="AI112">IF(OR(_xll.BDP($AX112,"RT075")="#N/A N/A",_xll.BDP($AX112,"RT075")="#N/A FIELD NOT APPLICABLE")," ", _xll.BDP($AX112,"RT075")/100)</f>
        <v>-5.0274939999999997E-2</v>
      </c>
      <c r="AJ112" s="25" t="str" cm="1">
        <f t="array" ref="AJ112">IF(OR(_xll.BDP($AX112,"RT076")="#N/A N/A",_xll.BDP($AX112,"RT076")="#N/A FIELD NOT APPLICABLE")," ", _xll.BDP($AX112,"RT076")/100)</f>
        <v xml:space="preserve"> </v>
      </c>
      <c r="AK112" s="25" cm="1">
        <f t="array" ref="AK112">IF(OR(_xll.BDP($AX112,"FD252")="#N/A N/A",_xll.BDP($AX112,"FD252")="#N/A FIELD NOT APPLICABLE")," ", _xll.BDP($AX112,"FD252")/100)</f>
        <v>0</v>
      </c>
      <c r="AL112" s="25" cm="1">
        <f t="array" ref="AL112">IF(OR(_xll.BDP($AX112,"FD015")="#N/A N/A",_xll.BDP($AX112,"FD015")="#N/A FIELD NOT APPLICABLE")," ", _xll.BDP($AX112,"FD015")/100)</f>
        <v>5.0000000000000001E-3</v>
      </c>
      <c r="AM112" s="25" cm="1">
        <f t="array" ref="AM112">IF(OR(_xll.BDP($AX112,"FD138")="#N/A N/A",_xll.BDP($AX112,"FD138")="#N/A FIELD NOT APPLICABLE")," ", _xll.BDP($AX112,"FD138")/100)</f>
        <v>5.0000000000000001E-3</v>
      </c>
      <c r="AN112" s="36" t="str" cm="1">
        <f t="array" ref="AN112">IF(OR(_xll.BDP($AX112,"FD009")="#N/A N/A",_xll.BDP($AX112,"FD009")="#N/A FIELD NOT APPLICABLE")," ", _xll.BDP($AX112,"FD009")/100)</f>
        <v xml:space="preserve"> </v>
      </c>
      <c r="AO112" s="25" cm="1">
        <f t="array" ref="AO112">IF(OR(_xll.BDP($AX112,"RK512")="#N/A N/A",_xll.BDP($AX112,"RK512")="#N/A FIELD NOT APPLICABLE")," ", _xll.BDP($AX112,"RK512")/100)</f>
        <v>1.3969700038433076E-3</v>
      </c>
      <c r="AP112" s="25" cm="1">
        <f t="array" ref="AP112">IF(OR(_xll.BDP($AX112,"RK514")="#N/A N/A",_xll.BDP($AX112,"RK514")="#N/A FIELD NOT APPLICABLE")," ", _xll.BDP($AX112,"RK514")/100)</f>
        <v>1.2736299633979797E-3</v>
      </c>
      <c r="AQ112" s="25" cm="1">
        <f t="array" ref="AQ112">IF(OR(_xll.BDP($AX112,"RK521")="#N/A N/A",_xll.BDP($AX112,"RK521")="#N/A FIELD NOT APPLICABLE")," ", _xll.BDP($AX112,"RK521")/100)</f>
        <v>6.6989099979400633E-3</v>
      </c>
      <c r="AR112" s="25" cm="1">
        <f t="array" ref="AR112">IF(OR(_xll.BDP($AX112,"RK525")="#N/A N/A",_xll.BDP($AX112,"RK525")="#N/A FIELD NOT APPLICABLE")," ", _xll.BDP($AX112,"RK525")/100)</f>
        <v>1.0047399997711181E-2</v>
      </c>
      <c r="AS112" s="25" cm="1">
        <f t="array" ref="AS112">IF(OR(_xll.BDP($AX112,"RK524")="#N/A N/A",_xll.BDP($AX112,"RK524")="#N/A FIELD NOT APPLICABLE")," ", _xll.BDP($AX112,"RK524")/100)</f>
        <v>1.2280000373721123E-4</v>
      </c>
      <c r="AT112" s="25" t="str" cm="1">
        <f t="array" ref="AT112">IF(OR(_xll.BDP($AX112,"FD183")="#N/A N/A",_xll.BDP($AX112,"FD183")="#N/A FIELD NOT APPLICABLE")," ", _xll.BDP($AX112,"FD183"))</f>
        <v>USD INC</v>
      </c>
      <c r="AU112" s="25" t="str" cm="1">
        <f t="array" ref="AU112">IF(OR(_xll.BDP($AX112,"DY997")="#N/A N/A",_xll.BDP($AX112,"DY997")="#N/A FIELD NOT APPLICABLE")," ", _xll.BDP($AX112,"DY997"))</f>
        <v xml:space="preserve"> </v>
      </c>
      <c r="AV112" s="25" t="str" cm="1">
        <f t="array" ref="AV112">IF(OR(_xll.BDP($AX112,"DY784")="#N/A N/A",_xll.BDP($AX112,"DY784")="#N/A FIELD NOT APPLICABLE")," ", _xll.BDP($AX112,"DY784"))</f>
        <v xml:space="preserve"> </v>
      </c>
      <c r="AW112" s="22" t="str">
        <f t="shared" si="30"/>
        <v>N</v>
      </c>
      <c r="AX112" s="22" t="str">
        <f t="shared" si="31"/>
        <v>SPRE US Equity</v>
      </c>
      <c r="BC112" s="17" t="str" cm="1">
        <f t="array" ref="BC112">_xll.BDP(AX112,"ID005")</f>
        <v>US8863647694</v>
      </c>
      <c r="BD112" s="17">
        <v>0.79999991979544627</v>
      </c>
      <c r="BE112" s="18">
        <v>5</v>
      </c>
      <c r="BF112" s="37"/>
      <c r="BG112" s="20">
        <v>1.0000000000107532</v>
      </c>
    </row>
    <row r="113" spans="1:59" s="3" customFormat="1" ht="14.45" customHeight="1" x14ac:dyDescent="0.25">
      <c r="A113" s="49" t="s">
        <v>242</v>
      </c>
      <c r="B113" s="49" t="s">
        <v>246</v>
      </c>
      <c r="C113" s="49" t="s">
        <v>247</v>
      </c>
      <c r="D113" s="49" t="s">
        <v>248</v>
      </c>
      <c r="E113" s="22" t="str">
        <f>_xll.BDP(AX113,"SECURITY NAME")</f>
        <v>SP Funds S&amp;P Global Reit Shari</v>
      </c>
      <c r="F113" s="22" t="str">
        <f>_xll.BDP(AX113,"CRNCY")</f>
        <v>USD</v>
      </c>
      <c r="G113" s="23" t="s">
        <v>124</v>
      </c>
      <c r="H113" s="22" t="str" cm="1">
        <f t="array" ref="H113">IF(OR(_xll.BDP($AX113,"FD120")="#N/A N/A",_xll.BDP($AX113,"FD120")="#N/A FIELD NOT APPLICABLE")," ",_xll.BDP($AX113,"FD120"))</f>
        <v>Global</v>
      </c>
      <c r="I113" s="22" t="str" cm="1">
        <f t="array" ref="I113">IF(OR(_xll.BDP($AX113,"FD116")="#N/A N/A",_xll.BDP($AX113,"FD116")="#N/A FIELD NOT APPLICABLE")," ",_xll.BDP($AX113,"FD116"))</f>
        <v>Blend</v>
      </c>
      <c r="J113" s="22" t="str" cm="1">
        <f t="array" ref="J113">IF(OR(_xll.BDP($AX113,"FD133")="#N/A N/A",_xll.BDP($AX113,"FD133")="#N/A FIELD NOT APPLICABLE")," ", _xll.BDP($AX113,"FD133"))</f>
        <v>Real Estate</v>
      </c>
      <c r="K113" s="34">
        <f>_xll.BDP(AX113,"FUND_ASSETS_USD")/1000</f>
        <v>0.14714053759999998</v>
      </c>
      <c r="L113" s="25">
        <f>IFERROR(_xll.BDP(AX113, "DV013")/100,0)</f>
        <v>4.2271294428347039E-2</v>
      </c>
      <c r="M113" s="25" cm="1">
        <f t="array" ref="M113">IF(OR(_xll.BDP($AX113,"PR079")="#N/A N/A",_xll.BDP($AX113,"PR079")="#N/A FIELD NOT APPLICABLE")," ", _xll.BDP($AX113,"PR079")/100)</f>
        <v>-3.8908579999999998E-2</v>
      </c>
      <c r="N113" s="25" cm="1">
        <f t="array" ref="N113">IF(OR(_xll.BDP($AX113,"RT074")="#N/A N/A",_xll.BDP($AX113,"RT074")="#N/A FIELD NOT APPLICABLE")," ", _xll.BDP($AX113,"RT074")/100)</f>
        <v>8.5789249999999997E-2</v>
      </c>
      <c r="O113" s="27">
        <v>4649</v>
      </c>
      <c r="P113" s="28">
        <v>21.41</v>
      </c>
      <c r="Q113" s="22" cm="1">
        <f t="array" ref="Q113">IF(OR(_xll.BDP($AX113,"PX_last")="#N/A N/A",_xll.BDP($AX113,"PX_Last")="#N/A FIELD NOT APPLICABLE")," ",IF(F113="GBP",(_xll.BDP($AX113,"PX_LAST")),(_xll.BDP($AX113,"PX_LAST"))))</f>
        <v>19.02</v>
      </c>
      <c r="R113" s="29">
        <f>IF(F113="USD",AA113,(((_xll.BDP(F113&amp;"USD CURNCY","PX_LAST")))*AA113))</f>
        <v>99535.09</v>
      </c>
      <c r="S113" s="29">
        <f>IF(F113="USD",AB113,(((_xll.BDP(F113&amp;"USD CURNCY","PX_LAST")))*AB113))</f>
        <v>88423.98</v>
      </c>
      <c r="T113" s="12">
        <f t="shared" si="24"/>
        <v>-11111.11</v>
      </c>
      <c r="U113" s="13">
        <f t="shared" si="25"/>
        <v>-0.11163007940214854</v>
      </c>
      <c r="V113" s="13" cm="1">
        <f t="array" ref="V113">IFERROR(_xll.BDP($G113&amp;" Equity","CHG_PCT_1D")/100,"")</f>
        <v>4.7543580000000002E-3</v>
      </c>
      <c r="W113" s="13" cm="1">
        <f t="array" ref="W113">IFERROR(_xll.BDP($G113&amp;" Equity","CHG_PCT_5D")/100,"")</f>
        <v>1.92926E-2</v>
      </c>
      <c r="X113" s="13" t="e">
        <f>S113/$H$62</f>
        <v>#VALUE!</v>
      </c>
      <c r="Y113" s="29">
        <f t="shared" si="26"/>
        <v>3737.7960931062698</v>
      </c>
      <c r="Z113" s="29">
        <f t="shared" si="27"/>
        <v>88423.98</v>
      </c>
      <c r="AA113" s="29">
        <f t="shared" si="28"/>
        <v>99535.09</v>
      </c>
      <c r="AB113" s="29">
        <f t="shared" si="29"/>
        <v>88423.98</v>
      </c>
      <c r="AC113" s="25" t="str" cm="1">
        <f t="array" ref="AC113">IF(OR(_xll.BDP($AX113,"EX028")="#N/A N/A",_xll.BDP($AX113,"EX028")="#N/A FIELD NOT APPLICABLE")," ", _xll.BDP($AX113,"EX028"))</f>
        <v>Fund</v>
      </c>
      <c r="AD113" s="35" t="str" cm="1">
        <f t="array" ref="AD113">IF(OR(_xll.BDP($AX113,"FD121")="#N/A N/A",_xll.BDP($AX113,"FD121")="#N/A FIELD NOT APPLICABLE")," ", _xll.BDP($AX113,"FD121"))</f>
        <v>Equity</v>
      </c>
      <c r="AE113" s="25" t="str" cm="1">
        <f t="array" ref="AE113">IF(OR(_xll.BDP($AX113,"FD118")="#N/A N/A",_xll.BDP($AX113,"FD118")="#N/A FIELD NOT APPLICABLE")," ", _xll.BDP($AX113,"FD118"))</f>
        <v>ETF</v>
      </c>
      <c r="AF113" s="22" t="str" cm="1">
        <f t="array" ref="AF113">IF(OR(_xll.BDP($AX113,"FD114")="#N/A N/A",_xll.BDP($AX113,"FD114")="#N/A FIELD NOT APPLICABLE")," ", _xll.BDP($AX113,"FD114"))</f>
        <v xml:space="preserve"> </v>
      </c>
      <c r="AG113" s="22" t="str" cm="1">
        <f t="array" ref="AG113">IF(OR(_xll.BDP($AX113,"FD003")="#N/A N/A",_xll.BDP($AX113,"FD003")="#N/A FIELD NOT APPLICABLE")," ", _xll.BDP($AX113,"FD003"))</f>
        <v>30/12/2020</v>
      </c>
      <c r="AH113" s="32" cm="1">
        <f t="array" ref="AH113">IF(OR(_xll.BDP($AX113,"PR061")="#N/A N/A",_xll.BDP($AX113,"PR061")="#N/A FIELD NOT APPLICABLE")," ", _xll.BDP($AX113,"PR061")/100)</f>
        <v>-3.7936290000000004E-2</v>
      </c>
      <c r="AI113" s="25" cm="1">
        <f t="array" ref="AI113">IF(OR(_xll.BDP($AX113,"RT075")="#N/A N/A",_xll.BDP($AX113,"RT075")="#N/A FIELD NOT APPLICABLE")," ", _xll.BDP($AX113,"RT075")/100)</f>
        <v>-5.0274939999999997E-2</v>
      </c>
      <c r="AJ113" s="25" t="str" cm="1">
        <f t="array" ref="AJ113">IF(OR(_xll.BDP($AX113,"RT076")="#N/A N/A",_xll.BDP($AX113,"RT076")="#N/A FIELD NOT APPLICABLE")," ", _xll.BDP($AX113,"RT076")/100)</f>
        <v xml:space="preserve"> </v>
      </c>
      <c r="AK113" s="25" cm="1">
        <f t="array" ref="AK113">IF(OR(_xll.BDP($AX113,"FD252")="#N/A N/A",_xll.BDP($AX113,"FD252")="#N/A FIELD NOT APPLICABLE")," ", _xll.BDP($AX113,"FD252")/100)</f>
        <v>0</v>
      </c>
      <c r="AL113" s="25" cm="1">
        <f t="array" ref="AL113">IF(OR(_xll.BDP($AX113,"FD015")="#N/A N/A",_xll.BDP($AX113,"FD015")="#N/A FIELD NOT APPLICABLE")," ", _xll.BDP($AX113,"FD015")/100)</f>
        <v>5.0000000000000001E-3</v>
      </c>
      <c r="AM113" s="25" cm="1">
        <f t="array" ref="AM113">IF(OR(_xll.BDP($AX113,"FD138")="#N/A N/A",_xll.BDP($AX113,"FD138")="#N/A FIELD NOT APPLICABLE")," ", _xll.BDP($AX113,"FD138")/100)</f>
        <v>5.0000000000000001E-3</v>
      </c>
      <c r="AN113" s="36" t="str" cm="1">
        <f t="array" ref="AN113">IF(OR(_xll.BDP($AX113,"FD009")="#N/A N/A",_xll.BDP($AX113,"FD009")="#N/A FIELD NOT APPLICABLE")," ", _xll.BDP($AX113,"FD009")/100)</f>
        <v xml:space="preserve"> </v>
      </c>
      <c r="AO113" s="25" cm="1">
        <f t="array" ref="AO113">IF(OR(_xll.BDP($AX113,"RK512")="#N/A N/A",_xll.BDP($AX113,"RK512")="#N/A FIELD NOT APPLICABLE")," ", _xll.BDP($AX113,"RK512")/100)</f>
        <v>1.3969700038433076E-3</v>
      </c>
      <c r="AP113" s="25" cm="1">
        <f t="array" ref="AP113">IF(OR(_xll.BDP($AX113,"RK514")="#N/A N/A",_xll.BDP($AX113,"RK514")="#N/A FIELD NOT APPLICABLE")," ", _xll.BDP($AX113,"RK514")/100)</f>
        <v>1.2736299633979797E-3</v>
      </c>
      <c r="AQ113" s="25" cm="1">
        <f t="array" ref="AQ113">IF(OR(_xll.BDP($AX113,"RK521")="#N/A N/A",_xll.BDP($AX113,"RK521")="#N/A FIELD NOT APPLICABLE")," ", _xll.BDP($AX113,"RK521")/100)</f>
        <v>6.6989099979400633E-3</v>
      </c>
      <c r="AR113" s="25" cm="1">
        <f t="array" ref="AR113">IF(OR(_xll.BDP($AX113,"RK525")="#N/A N/A",_xll.BDP($AX113,"RK525")="#N/A FIELD NOT APPLICABLE")," ", _xll.BDP($AX113,"RK525")/100)</f>
        <v>1.0047399997711181E-2</v>
      </c>
      <c r="AS113" s="25" cm="1">
        <f t="array" ref="AS113">IF(OR(_xll.BDP($AX113,"RK524")="#N/A N/A",_xll.BDP($AX113,"RK524")="#N/A FIELD NOT APPLICABLE")," ", _xll.BDP($AX113,"RK524")/100)</f>
        <v>1.2280000373721123E-4</v>
      </c>
      <c r="AT113" s="25" t="str" cm="1">
        <f t="array" ref="AT113">IF(OR(_xll.BDP($AX113,"FD183")="#N/A N/A",_xll.BDP($AX113,"FD183")="#N/A FIELD NOT APPLICABLE")," ", _xll.BDP($AX113,"FD183"))</f>
        <v>USD INC</v>
      </c>
      <c r="AU113" s="25" t="str" cm="1">
        <f t="array" ref="AU113">IF(OR(_xll.BDP($AX113,"DY997")="#N/A N/A",_xll.BDP($AX113,"DY997")="#N/A FIELD NOT APPLICABLE")," ", _xll.BDP($AX113,"DY997"))</f>
        <v xml:space="preserve"> </v>
      </c>
      <c r="AV113" s="25" t="str" cm="1">
        <f t="array" ref="AV113">IF(OR(_xll.BDP($AX113,"DY784")="#N/A N/A",_xll.BDP($AX113,"DY784")="#N/A FIELD NOT APPLICABLE")," ", _xll.BDP($AX113,"DY784"))</f>
        <v xml:space="preserve"> </v>
      </c>
      <c r="AW113" s="22" t="str">
        <f t="shared" si="30"/>
        <v>N</v>
      </c>
      <c r="AX113" s="22" t="str">
        <f t="shared" si="31"/>
        <v>SPRE US Equity</v>
      </c>
      <c r="BC113" s="17" t="str" cm="1">
        <f t="array" ref="BC113">_xll.BDP(AX113,"ID005")</f>
        <v>US8863647694</v>
      </c>
      <c r="BD113" s="17">
        <v>0.7</v>
      </c>
      <c r="BE113" s="18">
        <v>5</v>
      </c>
      <c r="BF113" s="37"/>
      <c r="BG113" s="20"/>
    </row>
    <row r="114" spans="1:59" s="3" customFormat="1" ht="14.45" customHeight="1" x14ac:dyDescent="0.25">
      <c r="A114" s="49" t="s">
        <v>242</v>
      </c>
      <c r="B114" s="49" t="s">
        <v>268</v>
      </c>
      <c r="C114" s="49" t="s">
        <v>269</v>
      </c>
      <c r="D114" s="49" t="s">
        <v>248</v>
      </c>
      <c r="E114" s="22" t="str">
        <f>_xll.BDP(AX114,"SECURITY NAME")</f>
        <v>SP Funds S&amp;P Global Reit Shari</v>
      </c>
      <c r="F114" s="22" t="str">
        <f>_xll.BDP(AX114,"CRNCY")</f>
        <v>USD</v>
      </c>
      <c r="G114" s="141" t="s">
        <v>124</v>
      </c>
      <c r="H114" s="22" t="str" cm="1">
        <f t="array" ref="H114">IF(OR(_xll.BDP($AX114,"FD120")="#N/A N/A",_xll.BDP($AX114,"FD120")="#N/A FIELD NOT APPLICABLE")," ",_xll.BDP($AX114,"FD120"))</f>
        <v>Global</v>
      </c>
      <c r="I114" s="22" t="str" cm="1">
        <f t="array" ref="I114">IF(OR(_xll.BDP($AX114,"FD116")="#N/A N/A",_xll.BDP($AX114,"FD116")="#N/A FIELD NOT APPLICABLE")," ",_xll.BDP($AX114,"FD116"))</f>
        <v>Blend</v>
      </c>
      <c r="J114" s="22" t="str" cm="1">
        <f t="array" ref="J114">IF(OR(_xll.BDP($AX114,"FD133")="#N/A N/A",_xll.BDP($AX114,"FD133")="#N/A FIELD NOT APPLICABLE")," ", _xll.BDP($AX114,"FD133"))</f>
        <v>Real Estate</v>
      </c>
      <c r="K114" s="34">
        <f>_xll.BDP(AX114,"FUND_ASSETS_USD")/1000</f>
        <v>0.14714053759999998</v>
      </c>
      <c r="L114" s="25">
        <f>IFERROR(_xll.BDP(AX114, "DV013")/100,0)</f>
        <v>4.2271294428347039E-2</v>
      </c>
      <c r="M114" s="25" cm="1">
        <f t="array" ref="M114">IF(OR(_xll.BDP($AX114,"PR079")="#N/A N/A",_xll.BDP($AX114,"PR079")="#N/A FIELD NOT APPLICABLE")," ", _xll.BDP($AX114,"PR079")/100)</f>
        <v>-3.8908579999999998E-2</v>
      </c>
      <c r="N114" s="25" cm="1">
        <f t="array" ref="N114">IF(OR(_xll.BDP($AX114,"RT074")="#N/A N/A",_xll.BDP($AX114,"RT074")="#N/A FIELD NOT APPLICABLE")," ", _xll.BDP($AX114,"RT074")/100)</f>
        <v>8.5789249999999997E-2</v>
      </c>
      <c r="O114" s="27">
        <v>9298</v>
      </c>
      <c r="P114" s="28">
        <v>21.46</v>
      </c>
      <c r="Q114" s="22" cm="1">
        <f t="array" ref="Q114">IF(OR(_xll.BDP($AX114,"PX_last")="#N/A N/A",_xll.BDP($AX114,"PX_Last")="#N/A FIELD NOT APPLICABLE")," ",IF(F114="GBP",(_xll.BDP($AX114,"PX_LAST")/100),(_xll.BDP($AX114,"PX_LAST"))))</f>
        <v>19.02</v>
      </c>
      <c r="R114" s="29">
        <f>IF(F114="USD",AA114,(((_xll.BDP(F114&amp;"USD CURNCY","PX_LAST")))*AA114))</f>
        <v>199535.08000000002</v>
      </c>
      <c r="S114" s="29">
        <f>IF(F114="USD",AB114,(((_xll.BDP(F114&amp;"USD CURNCY","PX_LAST")))*AB114))</f>
        <v>176847.96</v>
      </c>
      <c r="T114" s="12">
        <f t="shared" si="24"/>
        <v>-22687.120000000024</v>
      </c>
      <c r="U114" s="13">
        <f t="shared" si="25"/>
        <v>-0.11369990680335519</v>
      </c>
      <c r="V114" s="13" cm="1">
        <f t="array" ref="V114">IFERROR(_xll.BDP($G114&amp;" Equity","CHG_PCT_1D")/100,"")</f>
        <v>4.7543580000000002E-3</v>
      </c>
      <c r="W114" s="13" cm="1">
        <f t="array" ref="W114">IFERROR(_xll.BDP($G114&amp;" Equity","CHG_PCT_5D")/100,"")</f>
        <v>1.92926E-2</v>
      </c>
      <c r="X114" s="13" t="e">
        <f>S114/#REF!</f>
        <v>#REF!</v>
      </c>
      <c r="Y114" s="29">
        <f t="shared" si="26"/>
        <v>7475.5921862125397</v>
      </c>
      <c r="Z114" s="29">
        <f t="shared" si="27"/>
        <v>176847.96</v>
      </c>
      <c r="AA114" s="29">
        <f t="shared" si="28"/>
        <v>199535.08000000002</v>
      </c>
      <c r="AB114" s="29">
        <f t="shared" si="29"/>
        <v>176847.96</v>
      </c>
      <c r="AC114" s="25" t="str" cm="1">
        <f t="array" ref="AC114">IF(OR(_xll.BDP($AX114,"EX028")="#N/A N/A",_xll.BDP($AX114,"EX028")="#N/A FIELD NOT APPLICABLE")," ", _xll.BDP($AX114,"EX028"))</f>
        <v>Fund</v>
      </c>
      <c r="AD114" s="35" t="str" cm="1">
        <f t="array" ref="AD114">IF(OR(_xll.BDP($AX114,"FD121")="#N/A N/A",_xll.BDP($AX114,"FD121")="#N/A FIELD NOT APPLICABLE")," ", _xll.BDP($AX114,"FD121"))</f>
        <v>Equity</v>
      </c>
      <c r="AE114" s="25" t="str" cm="1">
        <f t="array" ref="AE114">IF(OR(_xll.BDP($AX114,"FD118")="#N/A N/A",_xll.BDP($AX114,"FD118")="#N/A FIELD NOT APPLICABLE")," ", _xll.BDP($AX114,"FD118"))</f>
        <v>ETF</v>
      </c>
      <c r="AF114" s="22" t="str" cm="1">
        <f t="array" ref="AF114">IF(OR(_xll.BDP($AX114,"FD114")="#N/A N/A",_xll.BDP($AX114,"FD114")="#N/A FIELD NOT APPLICABLE")," ", _xll.BDP($AX114,"FD114"))</f>
        <v xml:space="preserve"> </v>
      </c>
      <c r="AG114" s="22" t="str" cm="1">
        <f t="array" ref="AG114">IF(OR(_xll.BDP($AX114,"FD003")="#N/A N/A",_xll.BDP($AX114,"FD003")="#N/A FIELD NOT APPLICABLE")," ", _xll.BDP($AX114,"FD003"))</f>
        <v>30/12/2020</v>
      </c>
      <c r="AH114" s="32" cm="1">
        <f t="array" ref="AH114">IF(OR(_xll.BDP($AX114,"PR061")="#N/A N/A",_xll.BDP($AX114,"PR061")="#N/A FIELD NOT APPLICABLE")," ", _xll.BDP($AX114,"PR061")/100)</f>
        <v>-3.7936290000000004E-2</v>
      </c>
      <c r="AI114" s="25" cm="1">
        <f t="array" ref="AI114">IF(OR(_xll.BDP($AX114,"RT075")="#N/A N/A",_xll.BDP($AX114,"RT075")="#N/A FIELD NOT APPLICABLE")," ", _xll.BDP($AX114,"RT075")/100)</f>
        <v>-5.0274939999999997E-2</v>
      </c>
      <c r="AJ114" s="25" t="str" cm="1">
        <f t="array" ref="AJ114">IF(OR(_xll.BDP($AX114,"RT076")="#N/A N/A",_xll.BDP($AX114,"RT076")="#N/A FIELD NOT APPLICABLE")," ", _xll.BDP($AX114,"RT076")/100)</f>
        <v xml:space="preserve"> </v>
      </c>
      <c r="AK114" s="25" cm="1">
        <f t="array" ref="AK114">IF(OR(_xll.BDP($AX114,"FD252")="#N/A N/A",_xll.BDP($AX114,"FD252")="#N/A FIELD NOT APPLICABLE")," ", _xll.BDP($AX114,"FD252")/100)</f>
        <v>0</v>
      </c>
      <c r="AL114" s="25" cm="1">
        <f t="array" ref="AL114">IF(OR(_xll.BDP($AX114,"FD015")="#N/A N/A",_xll.BDP($AX114,"FD015")="#N/A FIELD NOT APPLICABLE")," ", _xll.BDP($AX114,"FD015")/100)</f>
        <v>5.0000000000000001E-3</v>
      </c>
      <c r="AM114" s="25" cm="1">
        <f t="array" ref="AM114">IF(OR(_xll.BDP($AX114,"FD138")="#N/A N/A",_xll.BDP($AX114,"FD138")="#N/A FIELD NOT APPLICABLE")," ", _xll.BDP($AX114,"FD138")/100)</f>
        <v>5.0000000000000001E-3</v>
      </c>
      <c r="AN114" s="36" t="str" cm="1">
        <f t="array" ref="AN114">IF(OR(_xll.BDP($AX114,"FD009")="#N/A N/A",_xll.BDP($AX114,"FD009")="#N/A FIELD NOT APPLICABLE")," ", _xll.BDP($AX114,"FD009")/100)</f>
        <v xml:space="preserve"> </v>
      </c>
      <c r="AO114" s="25" cm="1">
        <f t="array" ref="AO114">IF(OR(_xll.BDP($AX114,"RK512")="#N/A N/A",_xll.BDP($AX114,"RK512")="#N/A FIELD NOT APPLICABLE")," ", _xll.BDP($AX114,"RK512")/100)</f>
        <v>1.3969700038433076E-3</v>
      </c>
      <c r="AP114" s="25" cm="1">
        <f t="array" ref="AP114">IF(OR(_xll.BDP($AX114,"RK514")="#N/A N/A",_xll.BDP($AX114,"RK514")="#N/A FIELD NOT APPLICABLE")," ", _xll.BDP($AX114,"RK514")/100)</f>
        <v>1.2736299633979797E-3</v>
      </c>
      <c r="AQ114" s="25" cm="1">
        <f t="array" ref="AQ114">IF(OR(_xll.BDP($AX114,"RK521")="#N/A N/A",_xll.BDP($AX114,"RK521")="#N/A FIELD NOT APPLICABLE")," ", _xll.BDP($AX114,"RK521")/100)</f>
        <v>6.6989099979400633E-3</v>
      </c>
      <c r="AR114" s="25" cm="1">
        <f t="array" ref="AR114">IF(OR(_xll.BDP($AX114,"RK525")="#N/A N/A",_xll.BDP($AX114,"RK525")="#N/A FIELD NOT APPLICABLE")," ", _xll.BDP($AX114,"RK525")/100)</f>
        <v>1.0047399997711181E-2</v>
      </c>
      <c r="AS114" s="25" cm="1">
        <f t="array" ref="AS114">IF(OR(_xll.BDP($AX114,"RK524")="#N/A N/A",_xll.BDP($AX114,"RK524")="#N/A FIELD NOT APPLICABLE")," ", _xll.BDP($AX114,"RK524")/100)</f>
        <v>1.2280000373721123E-4</v>
      </c>
      <c r="AT114" s="25" t="str" cm="1">
        <f t="array" ref="AT114">IF(OR(_xll.BDP($AX114,"FD183")="#N/A N/A",_xll.BDP($AX114,"FD183")="#N/A FIELD NOT APPLICABLE")," ", _xll.BDP($AX114,"FD183"))</f>
        <v>USD INC</v>
      </c>
      <c r="AU114" s="25" t="str" cm="1">
        <f t="array" ref="AU114">IF(OR(_xll.BDP($AX114,"DY997")="#N/A N/A",_xll.BDP($AX114,"DY997")="#N/A FIELD NOT APPLICABLE")," ", _xll.BDP($AX114,"DY997"))</f>
        <v xml:space="preserve"> </v>
      </c>
      <c r="AV114" s="25" t="str" cm="1">
        <f t="array" ref="AV114">IF(OR(_xll.BDP($AX114,"DY784")="#N/A N/A",_xll.BDP($AX114,"DY784")="#N/A FIELD NOT APPLICABLE")," ", _xll.BDP($AX114,"DY784"))</f>
        <v xml:space="preserve"> </v>
      </c>
      <c r="AW114" s="22" t="str">
        <f t="shared" si="30"/>
        <v>N</v>
      </c>
      <c r="AX114" s="22" t="str">
        <f t="shared" si="31"/>
        <v>SPRE US Equity</v>
      </c>
      <c r="BC114" s="17" t="str" cm="1">
        <f t="array" ref="BC114">_xll.BDP(AX114,"ID005")</f>
        <v>US8863647694</v>
      </c>
      <c r="BD114" s="17">
        <v>0.73</v>
      </c>
      <c r="BE114" s="18">
        <v>5</v>
      </c>
      <c r="BF114" s="37"/>
      <c r="BG114" s="20"/>
    </row>
    <row r="115" spans="1:59" s="3" customFormat="1" ht="14.45" customHeight="1" x14ac:dyDescent="0.25">
      <c r="A115" s="49" t="s">
        <v>242</v>
      </c>
      <c r="B115" s="49" t="s">
        <v>327</v>
      </c>
      <c r="C115" s="49">
        <v>4371511</v>
      </c>
      <c r="D115" s="49" t="s">
        <v>248</v>
      </c>
      <c r="E115" s="22" t="str">
        <f>_xll.BDP(AX115,"SECURITY NAME")</f>
        <v>iShares MSCI Thailand ETF</v>
      </c>
      <c r="F115" s="22" t="str">
        <f>_xll.BDP(AX115,"CRNCY")</f>
        <v>USD</v>
      </c>
      <c r="G115" s="23" t="s">
        <v>347</v>
      </c>
      <c r="H115" s="22" t="str" cm="1">
        <f t="array" ref="H115">IF(OR(_xll.BDP($AX115,"FD120")="#N/A N/A",_xll.BDP($AX115,"FD120")="#N/A FIELD NOT APPLICABLE")," ",_xll.BDP($AX115,"FD120"))</f>
        <v>Thailand</v>
      </c>
      <c r="I115" s="22" t="str" cm="1">
        <f t="array" ref="I115">IF(OR(_xll.BDP($AX115,"FD116")="#N/A N/A",_xll.BDP($AX115,"FD116")="#N/A FIELD NOT APPLICABLE")," ",_xll.BDP($AX115,"FD116"))</f>
        <v>Blend</v>
      </c>
      <c r="J115" s="22" t="str" cm="1">
        <f t="array" ref="J115">IF(OR(_xll.BDP($AX115,"FD133")="#N/A N/A",_xll.BDP($AX115,"FD133")="#N/A FIELD NOT APPLICABLE")," ", _xll.BDP($AX115,"FD133"))</f>
        <v xml:space="preserve"> </v>
      </c>
      <c r="K115" s="34">
        <f>_xll.BDP(AX115,"FUND_ASSETS_USD")/1000</f>
        <v>0.19216634500000002</v>
      </c>
      <c r="L115" s="25">
        <f>IFERROR(_xll.BDP(AX115, "DV013")/100,0)</f>
        <v>2.8057937503319436E-2</v>
      </c>
      <c r="M115" s="25" cm="1">
        <f t="array" ref="M115">IF(OR(_xll.BDP($AX115,"PR079")="#N/A N/A",_xll.BDP($AX115,"PR079")="#N/A FIELD NOT APPLICABLE")," ", _xll.BDP($AX115,"PR079")/100)</f>
        <v>-9.6459279999999994E-2</v>
      </c>
      <c r="N115" s="25" cm="1">
        <f t="array" ref="N115">IF(OR(_xll.BDP($AX115,"RT074")="#N/A N/A",_xll.BDP($AX115,"RT074")="#N/A FIELD NOT APPLICABLE")," ", _xll.BDP($AX115,"RT074")/100)</f>
        <v>-2.0441299999999999E-2</v>
      </c>
      <c r="O115" s="27">
        <v>1870</v>
      </c>
      <c r="P115" s="28">
        <v>53.49</v>
      </c>
      <c r="Q115" s="22" cm="1">
        <f t="array" ref="Q115">IF(OR(_xll.BDP($AX115,"PX_last")="#N/A N/A",_xll.BDP($AX115,"PX_Last")="#N/A FIELD NOT APPLICABLE")," ",IF(F115="GBP",(_xll.BDP($AX115,"PX_LAST")),(_xll.BDP($AX115,"PX_LAST"))))</f>
        <v>54.61</v>
      </c>
      <c r="R115" s="29">
        <f>IF(F115="USD",AA115,(((_xll.BDP(F115&amp;"USD CURNCY","PX_LAST")))*AA115))</f>
        <v>100026.3</v>
      </c>
      <c r="S115" s="29">
        <f>IF(F115="USD",AB115,(((_xll.BDP(F115&amp;"USD CURNCY","PX_LAST")))*AB115))</f>
        <v>102120.7</v>
      </c>
      <c r="T115" s="12">
        <f t="shared" si="24"/>
        <v>2094.3999999999942</v>
      </c>
      <c r="U115" s="13">
        <f t="shared" si="25"/>
        <v>2.0938493176294575E-2</v>
      </c>
      <c r="V115" s="13" cm="1">
        <f t="array" ref="V115">IFERROR(_xll.BDP($G115&amp;" Equity","CHG_PCT_1D")/100,"")</f>
        <v>-3.8307190000000002E-3</v>
      </c>
      <c r="W115" s="13" cm="1">
        <f t="array" ref="W115">IFERROR(_xll.BDP($G115&amp;" Equity","CHG_PCT_5D")/100,"")</f>
        <v>3.4084450000000002E-2</v>
      </c>
      <c r="X115" s="13" t="e">
        <f>S115/#REF!</f>
        <v>#REF!</v>
      </c>
      <c r="Y115" s="29">
        <f t="shared" si="26"/>
        <v>2865.2962183952332</v>
      </c>
      <c r="Z115" s="29">
        <f t="shared" si="27"/>
        <v>102120.7</v>
      </c>
      <c r="AA115" s="29">
        <f t="shared" si="28"/>
        <v>100026.3</v>
      </c>
      <c r="AB115" s="29">
        <f t="shared" si="29"/>
        <v>102120.7</v>
      </c>
      <c r="AC115" s="25" t="str" cm="1">
        <f t="array" ref="AC115">IF(OR(_xll.BDP($AX115,"EX028")="#N/A N/A",_xll.BDP($AX115,"EX028")="#N/A FIELD NOT APPLICABLE")," ", _xll.BDP($AX115,"EX028"))</f>
        <v>Fund</v>
      </c>
      <c r="AD115" s="35" t="str" cm="1">
        <f t="array" ref="AD115">IF(OR(_xll.BDP($AX115,"FD121")="#N/A N/A",_xll.BDP($AX115,"FD121")="#N/A FIELD NOT APPLICABLE")," ", _xll.BDP($AX115,"FD121"))</f>
        <v>Equity</v>
      </c>
      <c r="AE115" s="25" t="str" cm="1">
        <f t="array" ref="AE115">IF(OR(_xll.BDP($AX115,"FD118")="#N/A N/A",_xll.BDP($AX115,"FD118")="#N/A FIELD NOT APPLICABLE")," ", _xll.BDP($AX115,"FD118"))</f>
        <v>ETF</v>
      </c>
      <c r="AF115" s="22" t="str" cm="1">
        <f t="array" ref="AF115">IF(OR(_xll.BDP($AX115,"FD114")="#N/A N/A",_xll.BDP($AX115,"FD114")="#N/A FIELD NOT APPLICABLE")," ", _xll.BDP($AX115,"FD114"))</f>
        <v xml:space="preserve"> </v>
      </c>
      <c r="AG115" s="22" t="str" cm="1">
        <f t="array" ref="AG115">IF(OR(_xll.BDP($AX115,"FD003")="#N/A N/A",_xll.BDP($AX115,"FD003")="#N/A FIELD NOT APPLICABLE")," ", _xll.BDP($AX115,"FD003"))</f>
        <v>28/03/2008</v>
      </c>
      <c r="AH115" s="32" cm="1">
        <f t="array" ref="AH115">IF(OR(_xll.BDP($AX115,"PR061")="#N/A N/A",_xll.BDP($AX115,"PR061")="#N/A FIELD NOT APPLICABLE")," ", _xll.BDP($AX115,"PR061")/100)</f>
        <v>4.1976729999999997E-2</v>
      </c>
      <c r="AI115" s="25" cm="1">
        <f t="array" ref="AI115">IF(OR(_xll.BDP($AX115,"RT075")="#N/A N/A",_xll.BDP($AX115,"RT075")="#N/A FIELD NOT APPLICABLE")," ", _xll.BDP($AX115,"RT075")/100)</f>
        <v>-7.1782069999999989E-2</v>
      </c>
      <c r="AJ115" s="25" cm="1">
        <f t="array" ref="AJ115">IF(OR(_xll.BDP($AX115,"RT076")="#N/A N/A",_xll.BDP($AX115,"RT076")="#N/A FIELD NOT APPLICABLE")," ", _xll.BDP($AX115,"RT076")/100)</f>
        <v>-6.7772219999999992E-4</v>
      </c>
      <c r="AK115" s="25" cm="1">
        <f t="array" ref="AK115">IF(OR(_xll.BDP($AX115,"FD252")="#N/A N/A",_xll.BDP($AX115,"FD252")="#N/A FIELD NOT APPLICABLE")," ", _xll.BDP($AX115,"FD252")/100)</f>
        <v>0</v>
      </c>
      <c r="AL115" s="25" cm="1">
        <f t="array" ref="AL115">IF(OR(_xll.BDP($AX115,"FD015")="#N/A N/A",_xll.BDP($AX115,"FD015")="#N/A FIELD NOT APPLICABLE")," ", _xll.BDP($AX115,"FD015")/100)</f>
        <v>5.8999999999999999E-3</v>
      </c>
      <c r="AM115" s="25" cm="1">
        <f t="array" ref="AM115">IF(OR(_xll.BDP($AX115,"FD138")="#N/A N/A",_xll.BDP($AX115,"FD138")="#N/A FIELD NOT APPLICABLE")," ", _xll.BDP($AX115,"FD138")/100)</f>
        <v>5.8999999999999999E-3</v>
      </c>
      <c r="AN115" s="36" cm="1">
        <f t="array" ref="AN115">IF(OR(_xll.BDP($AX115,"FD009")="#N/A N/A",_xll.BDP($AX115,"FD009")="#N/A FIELD NOT APPLICABLE")," ", _xll.BDP($AX115,"FD009")/100)</f>
        <v>0</v>
      </c>
      <c r="AO115" s="25" cm="1">
        <f t="array" ref="AO115">IF(OR(_xll.BDP($AX115,"RK512")="#N/A N/A",_xll.BDP($AX115,"RK512")="#N/A FIELD NOT APPLICABLE")," ", _xll.BDP($AX115,"RK512")/100)</f>
        <v>-3.3510199189186098E-3</v>
      </c>
      <c r="AP115" s="25" cm="1">
        <f t="array" ref="AP115">IF(OR(_xll.BDP($AX115,"RK514")="#N/A N/A",_xll.BDP($AX115,"RK514")="#N/A FIELD NOT APPLICABLE")," ", _xll.BDP($AX115,"RK514")/100)</f>
        <v>-3.5207700729370118E-3</v>
      </c>
      <c r="AQ115" s="25" cm="1">
        <f t="array" ref="AQ115">IF(OR(_xll.BDP($AX115,"RK521")="#N/A N/A",_xll.BDP($AX115,"RK521")="#N/A FIELD NOT APPLICABLE")," ", _xll.BDP($AX115,"RK521")/100)</f>
        <v>1.0603100061416626E-2</v>
      </c>
      <c r="AR115" s="25" cm="1">
        <f t="array" ref="AR115">IF(OR(_xll.BDP($AX115,"RK525")="#N/A N/A",_xll.BDP($AX115,"RK525")="#N/A FIELD NOT APPLICABLE")," ", _xll.BDP($AX115,"RK525")/100)</f>
        <v>1.0313099622726441E-2</v>
      </c>
      <c r="AS115" s="25" cm="1">
        <f t="array" ref="AS115">IF(OR(_xll.BDP($AX115,"RK524")="#N/A N/A",_xll.BDP($AX115,"RK524")="#N/A FIELD NOT APPLICABLE")," ", _xll.BDP($AX115,"RK524")/100)</f>
        <v>2.2533999755978585E-4</v>
      </c>
      <c r="AT115" s="25" t="str" cm="1">
        <f t="array" ref="AT115">IF(OR(_xll.BDP($AX115,"FD183")="#N/A N/A",_xll.BDP($AX115,"FD183")="#N/A FIELD NOT APPLICABLE")," ", _xll.BDP($AX115,"FD183"))</f>
        <v>USD INC</v>
      </c>
      <c r="AU115" s="25" t="str" cm="1">
        <f t="array" ref="AU115">IF(OR(_xll.BDP($AX115,"DY997")="#N/A N/A",_xll.BDP($AX115,"DY997")="#N/A FIELD NOT APPLICABLE")," ", _xll.BDP($AX115,"DY997"))</f>
        <v xml:space="preserve"> </v>
      </c>
      <c r="AV115" s="25" t="str" cm="1">
        <f t="array" ref="AV115">IF(OR(_xll.BDP($AX115,"DY784")="#N/A N/A",_xll.BDP($AX115,"DY784")="#N/A FIELD NOT APPLICABLE")," ", _xll.BDP($AX115,"DY784"))</f>
        <v xml:space="preserve"> </v>
      </c>
      <c r="AW115" s="22" t="str">
        <f t="shared" si="30"/>
        <v>N</v>
      </c>
      <c r="AX115" s="22" t="str">
        <f t="shared" si="31"/>
        <v>THD US Equity</v>
      </c>
      <c r="BC115" s="17" t="str" cm="1">
        <f t="array" ref="BC115">_xll.BDP(AX115,"ID005")</f>
        <v>US4642866242</v>
      </c>
      <c r="BD115" s="17">
        <v>0.75</v>
      </c>
      <c r="BE115" s="18">
        <v>5</v>
      </c>
      <c r="BF115" s="37">
        <v>45492</v>
      </c>
      <c r="BG115" s="20">
        <v>1.0000000000107532</v>
      </c>
    </row>
    <row r="116" spans="1:59" s="3" customFormat="1" ht="14.45" customHeight="1" x14ac:dyDescent="0.25">
      <c r="A116" s="49" t="s">
        <v>242</v>
      </c>
      <c r="B116" s="49" t="s">
        <v>260</v>
      </c>
      <c r="C116" s="49" t="s">
        <v>261</v>
      </c>
      <c r="D116" s="49" t="s">
        <v>248</v>
      </c>
      <c r="E116" s="22" t="str">
        <f>_xll.BDP(AX116,"SECURITY NAME")</f>
        <v>SPDR S&amp;P UK Dividend Aristocra</v>
      </c>
      <c r="F116" s="22" t="str">
        <f>_xll.BDP(AX116,"CRNCY")</f>
        <v>GBP</v>
      </c>
      <c r="G116" s="73" t="s">
        <v>202</v>
      </c>
      <c r="H116" s="22" t="str" cm="1">
        <f t="array" ref="H116">IF(OR(_xll.BDP($AX116,"FD120")="#N/A N/A",_xll.BDP($AX116,"FD120")="#N/A FIELD NOT APPLICABLE")," ",_xll.BDP($AX116,"FD120"))</f>
        <v>U.K.</v>
      </c>
      <c r="I116" s="22" t="str" cm="1">
        <f t="array" ref="I116">IF(OR(_xll.BDP($AX116,"FD116")="#N/A N/A",_xll.BDP($AX116,"FD116")="#N/A FIELD NOT APPLICABLE")," ",_xll.BDP($AX116,"FD116"))</f>
        <v>Value</v>
      </c>
      <c r="J116" s="22" t="str" cm="1">
        <f t="array" ref="J116">IF(OR(_xll.BDP($AX116,"FD133")="#N/A N/A",_xll.BDP($AX116,"FD133")="#N/A FIELD NOT APPLICABLE")," ", _xll.BDP($AX116,"FD133"))</f>
        <v xml:space="preserve"> </v>
      </c>
      <c r="K116" s="34">
        <f>_xll.BDP(AX116,"FUND_ASSETS_USD")/1000</f>
        <v>0.1163849</v>
      </c>
      <c r="L116" s="25">
        <f>IFERROR(_xll.BDP(AX116, "DV013")/100,0)</f>
        <v>2.1695964474725386E-2</v>
      </c>
      <c r="M116" s="25" cm="1">
        <f t="array" ref="M116">IF(OR(_xll.BDP($AX116,"PR079")="#N/A N/A",_xll.BDP($AX116,"PR079")="#N/A FIELD NOT APPLICABLE")," ", _xll.BDP($AX116,"PR079")/100)</f>
        <v>2.2443669999999999E-2</v>
      </c>
      <c r="N116" s="25" cm="1">
        <f t="array" ref="N116">IF(OR(_xll.BDP($AX116,"RT074")="#N/A N/A",_xll.BDP($AX116,"RT074")="#N/A FIELD NOT APPLICABLE")," ", _xll.BDP($AX116,"RT074")/100)</f>
        <v>0.13420769999999999</v>
      </c>
      <c r="O116" s="74">
        <v>6065</v>
      </c>
      <c r="P116" s="75">
        <v>10.46</v>
      </c>
      <c r="Q116" s="22" cm="1">
        <f t="array" ref="Q116">IF(OR(_xll.BDP($AX116,"PX_last")="#N/A N/A",_xll.BDP($AX116,"PX_Last")="#N/A FIELD NOT APPLICABLE")," ",IF(F116="GBP",(_xll.BDP($AX116,"PX_LAST")),(_xll.BDP($AX116,"PX_LAST"))))</f>
        <v>10.978999999999999</v>
      </c>
      <c r="R116" s="29">
        <f>IF(F116="USD",AA116,(((_xll.BDP(F116&amp;"USD CURNCY","PX_LAST")))*AA116))</f>
        <v>84444.850890000002</v>
      </c>
      <c r="S116" s="29">
        <f>IF(F116="USD",AB116,(((_xll.BDP(F116&amp;"USD CURNCY","PX_LAST")))*AB116))</f>
        <v>88634.800948499993</v>
      </c>
      <c r="T116" s="12">
        <f t="shared" si="24"/>
        <v>4189.9500584999914</v>
      </c>
      <c r="U116" s="13">
        <f t="shared" si="25"/>
        <v>4.9617590822179633E-2</v>
      </c>
      <c r="V116" s="13" cm="1">
        <f t="array" ref="V116">IFERROR(_xll.BDP($G116&amp;" Equity","CHG_PCT_1D")/100,"")</f>
        <v>8.9138029999999997E-3</v>
      </c>
      <c r="W116" s="13" cm="1">
        <f t="array" ref="W116">IFERROR(_xll.BDP($G116&amp;" Equity","CHG_PCT_5D")/100,"")</f>
        <v>2.0542850000000001E-2</v>
      </c>
      <c r="X116" s="13" t="e">
        <f>S116/#REF!</f>
        <v>#REF!</v>
      </c>
      <c r="Y116" s="29">
        <f t="shared" si="26"/>
        <v>1923.0174926030118</v>
      </c>
      <c r="Z116" s="29">
        <f t="shared" si="27"/>
        <v>88634.800948499993</v>
      </c>
      <c r="AA116" s="29">
        <f t="shared" si="28"/>
        <v>63439.900000000009</v>
      </c>
      <c r="AB116" s="29">
        <f t="shared" si="29"/>
        <v>66587.634999999995</v>
      </c>
      <c r="AC116" s="25" t="str" cm="1">
        <f t="array" ref="AC116">IF(OR(_xll.BDP($AX116,"EX028")="#N/A N/A",_xll.BDP($AX116,"EX028")="#N/A FIELD NOT APPLICABLE")," ", _xll.BDP($AX116,"EX028"))</f>
        <v>Fund</v>
      </c>
      <c r="AD116" s="35" t="str" cm="1">
        <f t="array" ref="AD116">IF(OR(_xll.BDP($AX116,"FD121")="#N/A N/A",_xll.BDP($AX116,"FD121")="#N/A FIELD NOT APPLICABLE")," ", _xll.BDP($AX116,"FD121"))</f>
        <v>Equity</v>
      </c>
      <c r="AE116" s="25" t="str" cm="1">
        <f t="array" ref="AE116">IF(OR(_xll.BDP($AX116,"FD118")="#N/A N/A",_xll.BDP($AX116,"FD118")="#N/A FIELD NOT APPLICABLE")," ", _xll.BDP($AX116,"FD118"))</f>
        <v>ETF</v>
      </c>
      <c r="AF116" s="22" t="str" cm="1">
        <f t="array" ref="AF116">IF(OR(_xll.BDP($AX116,"FD114")="#N/A N/A",_xll.BDP($AX116,"FD114")="#N/A FIELD NOT APPLICABLE")," ", _xll.BDP($AX116,"FD114"))</f>
        <v xml:space="preserve"> </v>
      </c>
      <c r="AG116" s="22" t="str" cm="1">
        <f t="array" ref="AG116">IF(OR(_xll.BDP($AX116,"FD003")="#N/A N/A",_xll.BDP($AX116,"FD003")="#N/A FIELD NOT APPLICABLE")," ", _xll.BDP($AX116,"FD003"))</f>
        <v>28/02/2012</v>
      </c>
      <c r="AH116" s="32" cm="1">
        <f t="array" ref="AH116">IF(OR(_xll.BDP($AX116,"PR061")="#N/A N/A",_xll.BDP($AX116,"PR061")="#N/A FIELD NOT APPLICABLE")," ", _xll.BDP($AX116,"PR061")/100)</f>
        <v>1.8365630000000001E-2</v>
      </c>
      <c r="AI116" s="25" cm="1">
        <f t="array" ref="AI116">IF(OR(_xll.BDP($AX116,"RT075")="#N/A N/A",_xll.BDP($AX116,"RT075")="#N/A FIELD NOT APPLICABLE")," ", _xll.BDP($AX116,"RT075")/100)</f>
        <v>4.0507549999999996E-2</v>
      </c>
      <c r="AJ116" s="25" cm="1">
        <f t="array" ref="AJ116">IF(OR(_xll.BDP($AX116,"RT076")="#N/A N/A",_xll.BDP($AX116,"RT076")="#N/A FIELD NOT APPLICABLE")," ", _xll.BDP($AX116,"RT076")/100)</f>
        <v>6.5363299999999999E-2</v>
      </c>
      <c r="AK116" s="25" t="str" cm="1">
        <f t="array" ref="AK116">IF(OR(_xll.BDP($AX116,"FD252")="#N/A N/A",_xll.BDP($AX116,"FD252")="#N/A FIELD NOT APPLICABLE")," ", _xll.BDP($AX116,"FD252")/100)</f>
        <v xml:space="preserve"> </v>
      </c>
      <c r="AL116" s="25" cm="1">
        <f t="array" ref="AL116">IF(OR(_xll.BDP($AX116,"FD015")="#N/A N/A",_xll.BDP($AX116,"FD015")="#N/A FIELD NOT APPLICABLE")," ", _xll.BDP($AX116,"FD015")/100)</f>
        <v>3.0000000000000001E-3</v>
      </c>
      <c r="AM116" s="25" cm="1">
        <f t="array" ref="AM116">IF(OR(_xll.BDP($AX116,"FD138")="#N/A N/A",_xll.BDP($AX116,"FD138")="#N/A FIELD NOT APPLICABLE")," ", _xll.BDP($AX116,"FD138")/100)</f>
        <v>3.0000000000000001E-3</v>
      </c>
      <c r="AN116" s="36" cm="1">
        <f t="array" ref="AN116">IF(OR(_xll.BDP($AX116,"FD009")="#N/A N/A",_xll.BDP($AX116,"FD009")="#N/A FIELD NOT APPLICABLE")," ", _xll.BDP($AX116,"FD009")/100)</f>
        <v>0</v>
      </c>
      <c r="AO116" s="25" cm="1">
        <f t="array" ref="AO116">IF(OR(_xll.BDP($AX116,"RK512")="#N/A N/A",_xll.BDP($AX116,"RK512")="#N/A FIELD NOT APPLICABLE")," ", _xll.BDP($AX116,"RK512")/100)</f>
        <v>5.4138200000000006E-3</v>
      </c>
      <c r="AP116" s="25" cm="1">
        <f t="array" ref="AP116">IF(OR(_xll.BDP($AX116,"RK514")="#N/A N/A",_xll.BDP($AX116,"RK514")="#N/A FIELD NOT APPLICABLE")," ", _xll.BDP($AX116,"RK514")/100)</f>
        <v>5.26027E-3</v>
      </c>
      <c r="AQ116" s="25" cm="1">
        <f t="array" ref="AQ116">IF(OR(_xll.BDP($AX116,"RK521")="#N/A N/A",_xll.BDP($AX116,"RK521")="#N/A FIELD NOT APPLICABLE")," ", _xll.BDP($AX116,"RK521")/100)</f>
        <v>-5.2241300000000004E-3</v>
      </c>
      <c r="AR116" s="25" cm="1">
        <f t="array" ref="AR116">IF(OR(_xll.BDP($AX116,"RK525")="#N/A N/A",_xll.BDP($AX116,"RK525")="#N/A FIELD NOT APPLICABLE")," ", _xll.BDP($AX116,"RK525")/100)</f>
        <v>1.0109300000000002E-2</v>
      </c>
      <c r="AS116" s="25" cm="1">
        <f t="array" ref="AS116">IF(OR(_xll.BDP($AX116,"RK524")="#N/A N/A",_xll.BDP($AX116,"RK524")="#N/A FIELD NOT APPLICABLE")," ", _xll.BDP($AX116,"RK524")/100)</f>
        <v>-1.2685999999999999E-4</v>
      </c>
      <c r="AT116" s="25" t="str" cm="1">
        <f t="array" ref="AT116">IF(OR(_xll.BDP($AX116,"FD183")="#N/A N/A",_xll.BDP($AX116,"FD183")="#N/A FIELD NOT APPLICABLE")," ", _xll.BDP($AX116,"FD183"))</f>
        <v xml:space="preserve"> </v>
      </c>
      <c r="AU116" s="25" t="str" cm="1">
        <f t="array" ref="AU116">IF(OR(_xll.BDP($AX116,"DY997")="#N/A N/A",_xll.BDP($AX116,"DY997")="#N/A FIELD NOT APPLICABLE")," ", _xll.BDP($AX116,"DY997"))</f>
        <v xml:space="preserve"> </v>
      </c>
      <c r="AV116" s="25" t="str" cm="1">
        <f t="array" ref="AV116">IF(OR(_xll.BDP($AX116,"DY784")="#N/A N/A",_xll.BDP($AX116,"DY784")="#N/A FIELD NOT APPLICABLE")," ", _xll.BDP($AX116,"DY784"))</f>
        <v xml:space="preserve"> </v>
      </c>
      <c r="AW116" s="22" t="str">
        <f t="shared" si="30"/>
        <v>N</v>
      </c>
      <c r="AX116" s="22" t="str">
        <f t="shared" si="31"/>
        <v>UKDV LN Equity</v>
      </c>
      <c r="BC116" s="17" t="str">
        <f>_xll.BDP(AX116, "ID_ISIN")</f>
        <v>IE00B6S2Z822</v>
      </c>
      <c r="BD116" s="17">
        <f>VLOOKUP(BC116,'[2]Portefeuille 4379150'!$B$3:$G$42,6,0)</f>
        <v>0.75</v>
      </c>
      <c r="BE116" s="18">
        <v>5</v>
      </c>
      <c r="BF116" s="37"/>
      <c r="BG116" s="20">
        <v>1.0000000000107532</v>
      </c>
    </row>
    <row r="117" spans="1:59" s="3" customFormat="1" ht="14.45" customHeight="1" x14ac:dyDescent="0.25">
      <c r="A117" s="49" t="s">
        <v>242</v>
      </c>
      <c r="B117" s="49" t="s">
        <v>264</v>
      </c>
      <c r="C117" s="49" t="s">
        <v>265</v>
      </c>
      <c r="D117" s="49" t="s">
        <v>248</v>
      </c>
      <c r="E117" s="22" t="str">
        <f>_xll.BDP(AX117,"SECURITY NAME")</f>
        <v>SPDR S&amp;P UK Dividend Aristocra</v>
      </c>
      <c r="F117" s="22" t="str">
        <f>_xll.BDP(AX117,"CRNCY")</f>
        <v>GBP</v>
      </c>
      <c r="G117" s="23" t="s">
        <v>202</v>
      </c>
      <c r="H117" s="22" t="str" cm="1">
        <f t="array" ref="H117">IF(OR(_xll.BDP($AX117,"FD120")="#N/A N/A",_xll.BDP($AX117,"FD120")="#N/A FIELD NOT APPLICABLE")," ",_xll.BDP($AX117,"FD120"))</f>
        <v>U.K.</v>
      </c>
      <c r="I117" s="22" t="str" cm="1">
        <f t="array" ref="I117">IF(OR(_xll.BDP($AX117,"FD116")="#N/A N/A",_xll.BDP($AX117,"FD116")="#N/A FIELD NOT APPLICABLE")," ",_xll.BDP($AX117,"FD116"))</f>
        <v>Value</v>
      </c>
      <c r="J117" s="22" t="str" cm="1">
        <f t="array" ref="J117">IF(OR(_xll.BDP($AX117,"FD133")="#N/A N/A",_xll.BDP($AX117,"FD133")="#N/A FIELD NOT APPLICABLE")," ", _xll.BDP($AX117,"FD133"))</f>
        <v xml:space="preserve"> </v>
      </c>
      <c r="K117" s="34">
        <f>_xll.BDP(AX117,"FUND_ASSETS_USD")/1000</f>
        <v>0.1163849</v>
      </c>
      <c r="L117" s="25">
        <f>IFERROR(_xll.BDP(AX117, "DV013")/100,0)</f>
        <v>2.1695964474725386E-2</v>
      </c>
      <c r="M117" s="25" cm="1">
        <f t="array" ref="M117">IF(OR(_xll.BDP($AX117,"PR079")="#N/A N/A",_xll.BDP($AX117,"PR079")="#N/A FIELD NOT APPLICABLE")," ", _xll.BDP($AX117,"PR079")/100)</f>
        <v>2.2443669999999999E-2</v>
      </c>
      <c r="N117" s="25" cm="1">
        <f t="array" ref="N117">IF(OR(_xll.BDP($AX117,"RT074")="#N/A N/A",_xll.BDP($AX117,"RT074")="#N/A FIELD NOT APPLICABLE")," ", _xll.BDP($AX117,"RT074")/100)</f>
        <v>0.13420769999999999</v>
      </c>
      <c r="O117" s="27">
        <v>3790</v>
      </c>
      <c r="P117" s="28">
        <v>10.47</v>
      </c>
      <c r="Q117" s="22" cm="1">
        <f t="array" ref="Q117">IF(OR(_xll.BDP($AX117,"PX_last")="#N/A N/A",_xll.BDP($AX117,"PX_Last")="#N/A FIELD NOT APPLICABLE")," ",IF(F117="GBP",(_xll.BDP($AX117,"PX_LAST")),(_xll.BDP($AX117,"PX_LAST"))))</f>
        <v>10.978999999999999</v>
      </c>
      <c r="R117" s="29">
        <f>IF(F117="USD",AA117,(((_xll.BDP(F117&amp;"USD CURNCY","PX_LAST")))*AA117))</f>
        <v>52819.778429999998</v>
      </c>
      <c r="S117" s="29">
        <f>IF(F117="USD",AB117,(((_xll.BDP(F117&amp;"USD CURNCY","PX_LAST")))*AB117))</f>
        <v>55387.616750999994</v>
      </c>
      <c r="T117" s="12">
        <f t="shared" si="24"/>
        <v>2567.8383209999956</v>
      </c>
      <c r="U117" s="13">
        <f t="shared" si="25"/>
        <v>4.8615090735434491E-2</v>
      </c>
      <c r="V117" s="13" cm="1">
        <f t="array" ref="V117">IFERROR(_xll.BDP($G117&amp;" Equity","CHG_PCT_1D")/100,"")</f>
        <v>8.9138029999999997E-3</v>
      </c>
      <c r="W117" s="13" cm="1">
        <f t="array" ref="W117">IFERROR(_xll.BDP($G117&amp;" Equity","CHG_PCT_5D")/100,"")</f>
        <v>2.0542850000000001E-2</v>
      </c>
      <c r="X117" s="13" t="e">
        <f>S117/#REF!</f>
        <v>#REF!</v>
      </c>
      <c r="Y117" s="29">
        <f t="shared" si="26"/>
        <v>1201.6877653694005</v>
      </c>
      <c r="Z117" s="29">
        <f t="shared" si="27"/>
        <v>55387.616750999994</v>
      </c>
      <c r="AA117" s="29">
        <f t="shared" si="28"/>
        <v>39681.300000000003</v>
      </c>
      <c r="AB117" s="29">
        <f t="shared" si="29"/>
        <v>41610.409999999996</v>
      </c>
      <c r="AC117" s="25" t="str" cm="1">
        <f t="array" ref="AC117">IF(OR(_xll.BDP($AX117,"EX028")="#N/A N/A",_xll.BDP($AX117,"EX028")="#N/A FIELD NOT APPLICABLE")," ", _xll.BDP($AX117,"EX028"))</f>
        <v>Fund</v>
      </c>
      <c r="AD117" s="35" t="str" cm="1">
        <f t="array" ref="AD117">IF(OR(_xll.BDP($AX117,"FD121")="#N/A N/A",_xll.BDP($AX117,"FD121")="#N/A FIELD NOT APPLICABLE")," ", _xll.BDP($AX117,"FD121"))</f>
        <v>Equity</v>
      </c>
      <c r="AE117" s="25" t="str" cm="1">
        <f t="array" ref="AE117">IF(OR(_xll.BDP($AX117,"FD118")="#N/A N/A",_xll.BDP($AX117,"FD118")="#N/A FIELD NOT APPLICABLE")," ", _xll.BDP($AX117,"FD118"))</f>
        <v>ETF</v>
      </c>
      <c r="AF117" s="22" t="str" cm="1">
        <f t="array" ref="AF117">IF(OR(_xll.BDP($AX117,"FD114")="#N/A N/A",_xll.BDP($AX117,"FD114")="#N/A FIELD NOT APPLICABLE")," ", _xll.BDP($AX117,"FD114"))</f>
        <v xml:space="preserve"> </v>
      </c>
      <c r="AG117" s="22" t="str" cm="1">
        <f t="array" ref="AG117">IF(OR(_xll.BDP($AX117,"FD003")="#N/A N/A",_xll.BDP($AX117,"FD003")="#N/A FIELD NOT APPLICABLE")," ", _xll.BDP($AX117,"FD003"))</f>
        <v>28/02/2012</v>
      </c>
      <c r="AH117" s="32" cm="1">
        <f t="array" ref="AH117">IF(OR(_xll.BDP($AX117,"PR061")="#N/A N/A",_xll.BDP($AX117,"PR061")="#N/A FIELD NOT APPLICABLE")," ", _xll.BDP($AX117,"PR061")/100)</f>
        <v>1.8365630000000001E-2</v>
      </c>
      <c r="AI117" s="25" cm="1">
        <f t="array" ref="AI117">IF(OR(_xll.BDP($AX117,"RT075")="#N/A N/A",_xll.BDP($AX117,"RT075")="#N/A FIELD NOT APPLICABLE")," ", _xll.BDP($AX117,"RT075")/100)</f>
        <v>4.0507549999999996E-2</v>
      </c>
      <c r="AJ117" s="25" cm="1">
        <f t="array" ref="AJ117">IF(OR(_xll.BDP($AX117,"RT076")="#N/A N/A",_xll.BDP($AX117,"RT076")="#N/A FIELD NOT APPLICABLE")," ", _xll.BDP($AX117,"RT076")/100)</f>
        <v>6.5363299999999999E-2</v>
      </c>
      <c r="AK117" s="25" t="str" cm="1">
        <f t="array" ref="AK117">IF(OR(_xll.BDP($AX117,"FD252")="#N/A N/A",_xll.BDP($AX117,"FD252")="#N/A FIELD NOT APPLICABLE")," ", _xll.BDP($AX117,"FD252")/100)</f>
        <v xml:space="preserve"> </v>
      </c>
      <c r="AL117" s="25" cm="1">
        <f t="array" ref="AL117">IF(OR(_xll.BDP($AX117,"FD015")="#N/A N/A",_xll.BDP($AX117,"FD015")="#N/A FIELD NOT APPLICABLE")," ", _xll.BDP($AX117,"FD015")/100)</f>
        <v>3.0000000000000001E-3</v>
      </c>
      <c r="AM117" s="25" cm="1">
        <f t="array" ref="AM117">IF(OR(_xll.BDP($AX117,"FD138")="#N/A N/A",_xll.BDP($AX117,"FD138")="#N/A FIELD NOT APPLICABLE")," ", _xll.BDP($AX117,"FD138")/100)</f>
        <v>3.0000000000000001E-3</v>
      </c>
      <c r="AN117" s="36" cm="1">
        <f t="array" ref="AN117">IF(OR(_xll.BDP($AX117,"FD009")="#N/A N/A",_xll.BDP($AX117,"FD009")="#N/A FIELD NOT APPLICABLE")," ", _xll.BDP($AX117,"FD009")/100)</f>
        <v>0</v>
      </c>
      <c r="AO117" s="25" cm="1">
        <f t="array" ref="AO117">IF(OR(_xll.BDP($AX117,"RK512")="#N/A N/A",_xll.BDP($AX117,"RK512")="#N/A FIELD NOT APPLICABLE")," ", _xll.BDP($AX117,"RK512")/100)</f>
        <v>5.4138200000000006E-3</v>
      </c>
      <c r="AP117" s="25" cm="1">
        <f t="array" ref="AP117">IF(OR(_xll.BDP($AX117,"RK514")="#N/A N/A",_xll.BDP($AX117,"RK514")="#N/A FIELD NOT APPLICABLE")," ", _xll.BDP($AX117,"RK514")/100)</f>
        <v>5.26027E-3</v>
      </c>
      <c r="AQ117" s="25" cm="1">
        <f t="array" ref="AQ117">IF(OR(_xll.BDP($AX117,"RK521")="#N/A N/A",_xll.BDP($AX117,"RK521")="#N/A FIELD NOT APPLICABLE")," ", _xll.BDP($AX117,"RK521")/100)</f>
        <v>-5.2241300000000004E-3</v>
      </c>
      <c r="AR117" s="25" cm="1">
        <f t="array" ref="AR117">IF(OR(_xll.BDP($AX117,"RK525")="#N/A N/A",_xll.BDP($AX117,"RK525")="#N/A FIELD NOT APPLICABLE")," ", _xll.BDP($AX117,"RK525")/100)</f>
        <v>1.0109300000000002E-2</v>
      </c>
      <c r="AS117" s="25" cm="1">
        <f t="array" ref="AS117">IF(OR(_xll.BDP($AX117,"RK524")="#N/A N/A",_xll.BDP($AX117,"RK524")="#N/A FIELD NOT APPLICABLE")," ", _xll.BDP($AX117,"RK524")/100)</f>
        <v>-1.2685999999999999E-4</v>
      </c>
      <c r="AT117" s="25" t="str" cm="1">
        <f t="array" ref="AT117">IF(OR(_xll.BDP($AX117,"FD183")="#N/A N/A",_xll.BDP($AX117,"FD183")="#N/A FIELD NOT APPLICABLE")," ", _xll.BDP($AX117,"FD183"))</f>
        <v xml:space="preserve"> </v>
      </c>
      <c r="AU117" s="25" t="str" cm="1">
        <f t="array" ref="AU117">IF(OR(_xll.BDP($AX117,"DY997")="#N/A N/A",_xll.BDP($AX117,"DY997")="#N/A FIELD NOT APPLICABLE")," ", _xll.BDP($AX117,"DY997"))</f>
        <v xml:space="preserve"> </v>
      </c>
      <c r="AV117" s="25" t="str" cm="1">
        <f t="array" ref="AV117">IF(OR(_xll.BDP($AX117,"DY784")="#N/A N/A",_xll.BDP($AX117,"DY784")="#N/A FIELD NOT APPLICABLE")," ", _xll.BDP($AX117,"DY784"))</f>
        <v xml:space="preserve"> </v>
      </c>
      <c r="AW117" s="22" t="str">
        <f t="shared" si="30"/>
        <v>N</v>
      </c>
      <c r="AX117" s="22" t="str">
        <f t="shared" si="31"/>
        <v>UKDV LN Equity</v>
      </c>
      <c r="BC117" s="17" t="str" cm="1">
        <f t="array" ref="BC117">_xll.BDP(AX117,"ID005")</f>
        <v>IE00B6S2Z822</v>
      </c>
      <c r="BD117" s="17">
        <f>VLOOKUP(BC117,'[2]Portefeuille 4380430'!$B$3:$G$38,6,0)</f>
        <v>0.75</v>
      </c>
      <c r="BE117" s="18">
        <v>3</v>
      </c>
      <c r="BF117" s="37"/>
      <c r="BG117" s="20"/>
    </row>
    <row r="118" spans="1:59" s="3" customFormat="1" ht="14.45" customHeight="1" x14ac:dyDescent="0.25">
      <c r="A118" s="49" t="s">
        <v>241</v>
      </c>
      <c r="B118" s="49" t="s">
        <v>266</v>
      </c>
      <c r="C118" s="49" t="s">
        <v>267</v>
      </c>
      <c r="D118" s="49" t="s">
        <v>240</v>
      </c>
      <c r="E118" s="22" t="str">
        <f>_xll.BDP(AX118,"SECURITY NAME")</f>
        <v>SPDR S&amp;P UK Dividend Aristocra</v>
      </c>
      <c r="F118" s="22" t="str">
        <f>_xll.BDP(AX118,"CRNCY")</f>
        <v>GBP</v>
      </c>
      <c r="G118" s="23" t="s">
        <v>202</v>
      </c>
      <c r="H118" s="22" t="str" cm="1">
        <f t="array" ref="H118">IF(OR(_xll.BDP($AX118,"FD120")="#N/A N/A",_xll.BDP($AX118,"FD120")="#N/A FIELD NOT APPLICABLE")," ",_xll.BDP($AX118,"FD120"))</f>
        <v>U.K.</v>
      </c>
      <c r="I118" s="22" t="str" cm="1">
        <f t="array" ref="I118">IF(OR(_xll.BDP($AX118,"FD116")="#N/A N/A",_xll.BDP($AX118,"FD116")="#N/A FIELD NOT APPLICABLE")," ",_xll.BDP($AX118,"FD116"))</f>
        <v>Value</v>
      </c>
      <c r="J118" s="22" t="str" cm="1">
        <f t="array" ref="J118">IF(OR(_xll.BDP($AX118,"FD133")="#N/A N/A",_xll.BDP($AX118,"FD133")="#N/A FIELD NOT APPLICABLE")," ", _xll.BDP($AX118,"FD133"))</f>
        <v xml:space="preserve"> </v>
      </c>
      <c r="K118" s="34">
        <f>_xll.BDP(AX118,"FUND_ASSETS_USD")/1000</f>
        <v>0.1163849</v>
      </c>
      <c r="L118" s="25">
        <f>IFERROR(_xll.BDP(AX118, "DV013")/100,0)</f>
        <v>2.1695964474725386E-2</v>
      </c>
      <c r="M118" s="25" cm="1">
        <f t="array" ref="M118">IF(OR(_xll.BDP($AX118,"PR079")="#N/A N/A",_xll.BDP($AX118,"PR079")="#N/A FIELD NOT APPLICABLE")," ", _xll.BDP($AX118,"PR079")/100)</f>
        <v>2.2443669999999999E-2</v>
      </c>
      <c r="N118" s="25" cm="1">
        <f t="array" ref="N118">IF(OR(_xll.BDP($AX118,"RT074")="#N/A N/A",_xll.BDP($AX118,"RT074")="#N/A FIELD NOT APPLICABLE")," ", _xll.BDP($AX118,"RT074")/100)</f>
        <v>0.13420769999999999</v>
      </c>
      <c r="O118" s="27">
        <v>3790</v>
      </c>
      <c r="P118" s="28">
        <v>10.4817</v>
      </c>
      <c r="Q118" s="22" cm="1">
        <f t="array" ref="Q118">IF(OR(_xll.BDP($AX118,"PX_last")="#N/A N/A",_xll.BDP($AX118,"PX_Last")="#N/A FIELD NOT APPLICABLE")," ",IF(F118="GBP",(_xll.BDP($AX118,"PX_LAST")),(_xll.BDP($AX118,"PX_LAST"))))</f>
        <v>10.978999999999999</v>
      </c>
      <c r="R118" s="29">
        <f>IF(F118="USD",AA118,(((_xll.BDP(F118&amp;"USD CURNCY","PX_LAST")))*AA118))</f>
        <v>52878.803397300006</v>
      </c>
      <c r="S118" s="29">
        <f>IF(F118="USD",AB118,(((_xll.BDP(F118&amp;"USD CURNCY","PX_LAST")))*AB118))</f>
        <v>55387.616750999994</v>
      </c>
      <c r="T118" s="12">
        <f t="shared" si="24"/>
        <v>2508.8133536999885</v>
      </c>
      <c r="U118" s="13">
        <f t="shared" si="25"/>
        <v>4.7444593911292791E-2</v>
      </c>
      <c r="V118" s="13" cm="1">
        <f t="array" ref="V118">IFERROR(_xll.BDP($G118&amp;" Equity","CHG_PCT_1D")/100,"")</f>
        <v>8.9138029999999997E-3</v>
      </c>
      <c r="W118" s="13" cm="1">
        <f t="array" ref="W118">IFERROR(_xll.BDP($G118&amp;" Equity","CHG_PCT_5D")/100,"")</f>
        <v>2.0542850000000001E-2</v>
      </c>
      <c r="X118" s="13" t="e">
        <f>S118/#REF!</f>
        <v>#REF!</v>
      </c>
      <c r="Y118" s="29">
        <f t="shared" si="26"/>
        <v>1201.6877653694005</v>
      </c>
      <c r="Z118" s="29">
        <f t="shared" si="27"/>
        <v>55387.616750999994</v>
      </c>
      <c r="AA118" s="29">
        <f t="shared" si="28"/>
        <v>39725.643000000004</v>
      </c>
      <c r="AB118" s="29">
        <f t="shared" si="29"/>
        <v>41610.409999999996</v>
      </c>
      <c r="AC118" s="25" t="str" cm="1">
        <f t="array" ref="AC118">IF(OR(_xll.BDP($AX118,"EX028")="#N/A N/A",_xll.BDP($AX118,"EX028")="#N/A FIELD NOT APPLICABLE")," ", _xll.BDP($AX118,"EX028"))</f>
        <v>Fund</v>
      </c>
      <c r="AD118" s="35" t="str" cm="1">
        <f t="array" ref="AD118">IF(OR(_xll.BDP($AX118,"FD121")="#N/A N/A",_xll.BDP($AX118,"FD121")="#N/A FIELD NOT APPLICABLE")," ", _xll.BDP($AX118,"FD121"))</f>
        <v>Equity</v>
      </c>
      <c r="AE118" s="25" t="str" cm="1">
        <f t="array" ref="AE118">IF(OR(_xll.BDP($AX118,"FD118")="#N/A N/A",_xll.BDP($AX118,"FD118")="#N/A FIELD NOT APPLICABLE")," ", _xll.BDP($AX118,"FD118"))</f>
        <v>ETF</v>
      </c>
      <c r="AF118" s="22" t="str" cm="1">
        <f t="array" ref="AF118">IF(OR(_xll.BDP($AX118,"FD114")="#N/A N/A",_xll.BDP($AX118,"FD114")="#N/A FIELD NOT APPLICABLE")," ", _xll.BDP($AX118,"FD114"))</f>
        <v xml:space="preserve"> </v>
      </c>
      <c r="AG118" s="22" t="str" cm="1">
        <f t="array" ref="AG118">IF(OR(_xll.BDP($AX118,"FD003")="#N/A N/A",_xll.BDP($AX118,"FD003")="#N/A FIELD NOT APPLICABLE")," ", _xll.BDP($AX118,"FD003"))</f>
        <v>28/02/2012</v>
      </c>
      <c r="AH118" s="32" cm="1">
        <f t="array" ref="AH118">IF(OR(_xll.BDP($AX118,"PR061")="#N/A N/A",_xll.BDP($AX118,"PR061")="#N/A FIELD NOT APPLICABLE")," ", _xll.BDP($AX118,"PR061")/100)</f>
        <v>1.8365630000000001E-2</v>
      </c>
      <c r="AI118" s="25" cm="1">
        <f t="array" ref="AI118">IF(OR(_xll.BDP($AX118,"RT075")="#N/A N/A",_xll.BDP($AX118,"RT075")="#N/A FIELD NOT APPLICABLE")," ", _xll.BDP($AX118,"RT075")/100)</f>
        <v>4.0507549999999996E-2</v>
      </c>
      <c r="AJ118" s="25" cm="1">
        <f t="array" ref="AJ118">IF(OR(_xll.BDP($AX118,"RT076")="#N/A N/A",_xll.BDP($AX118,"RT076")="#N/A FIELD NOT APPLICABLE")," ", _xll.BDP($AX118,"RT076")/100)</f>
        <v>6.5363299999999999E-2</v>
      </c>
      <c r="AK118" s="25" t="str" cm="1">
        <f t="array" ref="AK118">IF(OR(_xll.BDP($AX118,"FD252")="#N/A N/A",_xll.BDP($AX118,"FD252")="#N/A FIELD NOT APPLICABLE")," ", _xll.BDP($AX118,"FD252")/100)</f>
        <v xml:space="preserve"> </v>
      </c>
      <c r="AL118" s="25" cm="1">
        <f t="array" ref="AL118">IF(OR(_xll.BDP($AX118,"FD015")="#N/A N/A",_xll.BDP($AX118,"FD015")="#N/A FIELD NOT APPLICABLE")," ", _xll.BDP($AX118,"FD015")/100)</f>
        <v>3.0000000000000001E-3</v>
      </c>
      <c r="AM118" s="25" cm="1">
        <f t="array" ref="AM118">IF(OR(_xll.BDP($AX118,"FD138")="#N/A N/A",_xll.BDP($AX118,"FD138")="#N/A FIELD NOT APPLICABLE")," ", _xll.BDP($AX118,"FD138")/100)</f>
        <v>3.0000000000000001E-3</v>
      </c>
      <c r="AN118" s="36" cm="1">
        <f t="array" ref="AN118">IF(OR(_xll.BDP($AX118,"FD009")="#N/A N/A",_xll.BDP($AX118,"FD009")="#N/A FIELD NOT APPLICABLE")," ", _xll.BDP($AX118,"FD009")/100)</f>
        <v>0</v>
      </c>
      <c r="AO118" s="25" cm="1">
        <f t="array" ref="AO118">IF(OR(_xll.BDP($AX118,"RK512")="#N/A N/A",_xll.BDP($AX118,"RK512")="#N/A FIELD NOT APPLICABLE")," ", _xll.BDP($AX118,"RK512")/100)</f>
        <v>5.4138200000000006E-3</v>
      </c>
      <c r="AP118" s="25" cm="1">
        <f t="array" ref="AP118">IF(OR(_xll.BDP($AX118,"RK514")="#N/A N/A",_xll.BDP($AX118,"RK514")="#N/A FIELD NOT APPLICABLE")," ", _xll.BDP($AX118,"RK514")/100)</f>
        <v>5.26027E-3</v>
      </c>
      <c r="AQ118" s="25" cm="1">
        <f t="array" ref="AQ118">IF(OR(_xll.BDP($AX118,"RK521")="#N/A N/A",_xll.BDP($AX118,"RK521")="#N/A FIELD NOT APPLICABLE")," ", _xll.BDP($AX118,"RK521")/100)</f>
        <v>-5.2241300000000004E-3</v>
      </c>
      <c r="AR118" s="25" cm="1">
        <f t="array" ref="AR118">IF(OR(_xll.BDP($AX118,"RK525")="#N/A N/A",_xll.BDP($AX118,"RK525")="#N/A FIELD NOT APPLICABLE")," ", _xll.BDP($AX118,"RK525")/100)</f>
        <v>1.0109300000000002E-2</v>
      </c>
      <c r="AS118" s="25" cm="1">
        <f t="array" ref="AS118">IF(OR(_xll.BDP($AX118,"RK524")="#N/A N/A",_xll.BDP($AX118,"RK524")="#N/A FIELD NOT APPLICABLE")," ", _xll.BDP($AX118,"RK524")/100)</f>
        <v>-1.2685999999999999E-4</v>
      </c>
      <c r="AT118" s="25" t="str" cm="1">
        <f t="array" ref="AT118">IF(OR(_xll.BDP($AX118,"FD183")="#N/A N/A",_xll.BDP($AX118,"FD183")="#N/A FIELD NOT APPLICABLE")," ", _xll.BDP($AX118,"FD183"))</f>
        <v xml:space="preserve"> </v>
      </c>
      <c r="AU118" s="25" t="str" cm="1">
        <f t="array" ref="AU118">IF(OR(_xll.BDP($AX118,"DY997")="#N/A N/A",_xll.BDP($AX118,"DY997")="#N/A FIELD NOT APPLICABLE")," ", _xll.BDP($AX118,"DY997"))</f>
        <v xml:space="preserve"> </v>
      </c>
      <c r="AV118" s="25" t="str" cm="1">
        <f t="array" ref="AV118">IF(OR(_xll.BDP($AX118,"DY784")="#N/A N/A",_xll.BDP($AX118,"DY784")="#N/A FIELD NOT APPLICABLE")," ", _xll.BDP($AX118,"DY784"))</f>
        <v xml:space="preserve"> </v>
      </c>
      <c r="AW118" s="22" t="str">
        <f t="shared" si="30"/>
        <v>N</v>
      </c>
      <c r="AX118" s="22" t="str">
        <f t="shared" si="31"/>
        <v>UKDV LN Equity</v>
      </c>
      <c r="BC118" s="17" t="str" cm="1">
        <f t="array" ref="BC118">_xll.BDP(AX118,"ID005")</f>
        <v>IE00B6S2Z822</v>
      </c>
      <c r="BD118" s="17">
        <v>0.7</v>
      </c>
      <c r="BE118" s="18">
        <v>5</v>
      </c>
      <c r="BF118" s="37">
        <v>45434</v>
      </c>
      <c r="BG118" s="20">
        <v>1.0000000000107532</v>
      </c>
    </row>
    <row r="119" spans="1:59" s="3" customFormat="1" ht="14.45" customHeight="1" x14ac:dyDescent="0.25">
      <c r="A119" s="49" t="s">
        <v>241</v>
      </c>
      <c r="B119" s="49" t="s">
        <v>270</v>
      </c>
      <c r="C119" s="49" t="s">
        <v>271</v>
      </c>
      <c r="D119" s="49" t="s">
        <v>240</v>
      </c>
      <c r="E119" s="22" t="str">
        <f>_xll.BDP(AX119,"SECURITY NAME")</f>
        <v>SPDR S&amp;P UK Dividend Aristocra</v>
      </c>
      <c r="F119" s="22" t="str">
        <f>_xll.BDP(AX119,"CRNCY")</f>
        <v>GBP</v>
      </c>
      <c r="G119" s="23" t="s">
        <v>202</v>
      </c>
      <c r="H119" s="22" t="str" cm="1">
        <f t="array" ref="H119">IF(OR(_xll.BDP($AX119,"FD120")="#N/A N/A",_xll.BDP($AX119,"FD120")="#N/A FIELD NOT APPLICABLE")," ",_xll.BDP($AX119,"FD120"))</f>
        <v>U.K.</v>
      </c>
      <c r="I119" s="22" t="str" cm="1">
        <f t="array" ref="I119">IF(OR(_xll.BDP($AX119,"FD116")="#N/A N/A",_xll.BDP($AX119,"FD116")="#N/A FIELD NOT APPLICABLE")," ",_xll.BDP($AX119,"FD116"))</f>
        <v>Value</v>
      </c>
      <c r="J119" s="22" t="str" cm="1">
        <f t="array" ref="J119">IF(OR(_xll.BDP($AX119,"FD133")="#N/A N/A",_xll.BDP($AX119,"FD133")="#N/A FIELD NOT APPLICABLE")," ", _xll.BDP($AX119,"FD133"))</f>
        <v xml:space="preserve"> </v>
      </c>
      <c r="K119" s="34">
        <f>_xll.BDP(AX119,"FUND_ASSETS_USD")/1000</f>
        <v>0.1163849</v>
      </c>
      <c r="L119" s="25">
        <f>IFERROR(_xll.BDP(AX119, "DV013")/100,0)</f>
        <v>2.1695964474725386E-2</v>
      </c>
      <c r="M119" s="25" cm="1">
        <f t="array" ref="M119">IF(OR(_xll.BDP($AX119,"PR079")="#N/A N/A",_xll.BDP($AX119,"PR079")="#N/A FIELD NOT APPLICABLE")," ", _xll.BDP($AX119,"PR079")/100)</f>
        <v>2.2443669999999999E-2</v>
      </c>
      <c r="N119" s="25" cm="1">
        <f t="array" ref="N119">IF(OR(_xll.BDP($AX119,"RT074")="#N/A N/A",_xll.BDP($AX119,"RT074")="#N/A FIELD NOT APPLICABLE")," ", _xll.BDP($AX119,"RT074")/100)</f>
        <v>0.13420769999999999</v>
      </c>
      <c r="O119" s="27">
        <v>3790</v>
      </c>
      <c r="P119" s="28">
        <v>10.4817</v>
      </c>
      <c r="Q119" s="22" cm="1">
        <f t="array" ref="Q119">IF(OR(_xll.BDP($AX119,"PX_last")="#N/A N/A",_xll.BDP($AX119,"PX_Last")="#N/A FIELD NOT APPLICABLE")," ",IF(F119="GBP",(_xll.BDP($AX119,"PX_LAST")),(_xll.BDP($AX119,"PX_LAST"))))</f>
        <v>10.978999999999999</v>
      </c>
      <c r="R119" s="29">
        <f>IF(F119="USD",AA119,(((_xll.BDP(F119&amp;"USD CURNCY","PX_LAST")))*AA119))</f>
        <v>52878.803397300006</v>
      </c>
      <c r="S119" s="29">
        <f>IF(F119="USD",AB119,(((_xll.BDP(F119&amp;"USD CURNCY","PX_LAST")))*AB119))</f>
        <v>55387.616750999994</v>
      </c>
      <c r="T119" s="12">
        <f t="shared" si="24"/>
        <v>2508.8133536999885</v>
      </c>
      <c r="U119" s="13">
        <f t="shared" si="25"/>
        <v>4.7444593911292791E-2</v>
      </c>
      <c r="V119" s="13" cm="1">
        <f t="array" ref="V119">IFERROR(_xll.BDP($G119&amp;" Equity","CHG_PCT_1D")/100,"")</f>
        <v>8.9138029999999997E-3</v>
      </c>
      <c r="W119" s="13" cm="1">
        <f t="array" ref="W119">IFERROR(_xll.BDP($G119&amp;" Equity","CHG_PCT_5D")/100,"")</f>
        <v>2.0542850000000001E-2</v>
      </c>
      <c r="X119" s="13" t="e">
        <f>S119/#REF!</f>
        <v>#REF!</v>
      </c>
      <c r="Y119" s="29">
        <f t="shared" si="26"/>
        <v>1201.6877653694005</v>
      </c>
      <c r="Z119" s="29">
        <f t="shared" si="27"/>
        <v>55387.616750999994</v>
      </c>
      <c r="AA119" s="29">
        <f t="shared" si="28"/>
        <v>39725.643000000004</v>
      </c>
      <c r="AB119" s="29">
        <f t="shared" si="29"/>
        <v>41610.409999999996</v>
      </c>
      <c r="AC119" s="25" t="str" cm="1">
        <f t="array" ref="AC119">IF(OR(_xll.BDP($AX119,"EX028")="#N/A N/A",_xll.BDP($AX119,"EX028")="#N/A FIELD NOT APPLICABLE")," ", _xll.BDP($AX119,"EX028"))</f>
        <v>Fund</v>
      </c>
      <c r="AD119" s="35" t="str" cm="1">
        <f t="array" ref="AD119">IF(OR(_xll.BDP($AX119,"FD121")="#N/A N/A",_xll.BDP($AX119,"FD121")="#N/A FIELD NOT APPLICABLE")," ", _xll.BDP($AX119,"FD121"))</f>
        <v>Equity</v>
      </c>
      <c r="AE119" s="25" t="str" cm="1">
        <f t="array" ref="AE119">IF(OR(_xll.BDP($AX119,"FD118")="#N/A N/A",_xll.BDP($AX119,"FD118")="#N/A FIELD NOT APPLICABLE")," ", _xll.BDP($AX119,"FD118"))</f>
        <v>ETF</v>
      </c>
      <c r="AF119" s="22" t="str" cm="1">
        <f t="array" ref="AF119">IF(OR(_xll.BDP($AX119,"FD114")="#N/A N/A",_xll.BDP($AX119,"FD114")="#N/A FIELD NOT APPLICABLE")," ", _xll.BDP($AX119,"FD114"))</f>
        <v xml:space="preserve"> </v>
      </c>
      <c r="AG119" s="22" t="str" cm="1">
        <f t="array" ref="AG119">IF(OR(_xll.BDP($AX119,"FD003")="#N/A N/A",_xll.BDP($AX119,"FD003")="#N/A FIELD NOT APPLICABLE")," ", _xll.BDP($AX119,"FD003"))</f>
        <v>28/02/2012</v>
      </c>
      <c r="AH119" s="32" cm="1">
        <f t="array" ref="AH119">IF(OR(_xll.BDP($AX119,"PR061")="#N/A N/A",_xll.BDP($AX119,"PR061")="#N/A FIELD NOT APPLICABLE")," ", _xll.BDP($AX119,"PR061")/100)</f>
        <v>1.8365630000000001E-2</v>
      </c>
      <c r="AI119" s="25" cm="1">
        <f t="array" ref="AI119">IF(OR(_xll.BDP($AX119,"RT075")="#N/A N/A",_xll.BDP($AX119,"RT075")="#N/A FIELD NOT APPLICABLE")," ", _xll.BDP($AX119,"RT075")/100)</f>
        <v>4.0507549999999996E-2</v>
      </c>
      <c r="AJ119" s="25" cm="1">
        <f t="array" ref="AJ119">IF(OR(_xll.BDP($AX119,"RT076")="#N/A N/A",_xll.BDP($AX119,"RT076")="#N/A FIELD NOT APPLICABLE")," ", _xll.BDP($AX119,"RT076")/100)</f>
        <v>6.5363299999999999E-2</v>
      </c>
      <c r="AK119" s="25" t="str" cm="1">
        <f t="array" ref="AK119">IF(OR(_xll.BDP($AX119,"FD252")="#N/A N/A",_xll.BDP($AX119,"FD252")="#N/A FIELD NOT APPLICABLE")," ", _xll.BDP($AX119,"FD252")/100)</f>
        <v xml:space="preserve"> </v>
      </c>
      <c r="AL119" s="25" cm="1">
        <f t="array" ref="AL119">IF(OR(_xll.BDP($AX119,"FD015")="#N/A N/A",_xll.BDP($AX119,"FD015")="#N/A FIELD NOT APPLICABLE")," ", _xll.BDP($AX119,"FD015")/100)</f>
        <v>3.0000000000000001E-3</v>
      </c>
      <c r="AM119" s="25" cm="1">
        <f t="array" ref="AM119">IF(OR(_xll.BDP($AX119,"FD138")="#N/A N/A",_xll.BDP($AX119,"FD138")="#N/A FIELD NOT APPLICABLE")," ", _xll.BDP($AX119,"FD138")/100)</f>
        <v>3.0000000000000001E-3</v>
      </c>
      <c r="AN119" s="36" cm="1">
        <f t="array" ref="AN119">IF(OR(_xll.BDP($AX119,"FD009")="#N/A N/A",_xll.BDP($AX119,"FD009")="#N/A FIELD NOT APPLICABLE")," ", _xll.BDP($AX119,"FD009")/100)</f>
        <v>0</v>
      </c>
      <c r="AO119" s="25" cm="1">
        <f t="array" ref="AO119">IF(OR(_xll.BDP($AX119,"RK512")="#N/A N/A",_xll.BDP($AX119,"RK512")="#N/A FIELD NOT APPLICABLE")," ", _xll.BDP($AX119,"RK512")/100)</f>
        <v>5.4138200000000006E-3</v>
      </c>
      <c r="AP119" s="25" cm="1">
        <f t="array" ref="AP119">IF(OR(_xll.BDP($AX119,"RK514")="#N/A N/A",_xll.BDP($AX119,"RK514")="#N/A FIELD NOT APPLICABLE")," ", _xll.BDP($AX119,"RK514")/100)</f>
        <v>5.26027E-3</v>
      </c>
      <c r="AQ119" s="25" cm="1">
        <f t="array" ref="AQ119">IF(OR(_xll.BDP($AX119,"RK521")="#N/A N/A",_xll.BDP($AX119,"RK521")="#N/A FIELD NOT APPLICABLE")," ", _xll.BDP($AX119,"RK521")/100)</f>
        <v>-5.2241300000000004E-3</v>
      </c>
      <c r="AR119" s="25" cm="1">
        <f t="array" ref="AR119">IF(OR(_xll.BDP($AX119,"RK525")="#N/A N/A",_xll.BDP($AX119,"RK525")="#N/A FIELD NOT APPLICABLE")," ", _xll.BDP($AX119,"RK525")/100)</f>
        <v>1.0109300000000002E-2</v>
      </c>
      <c r="AS119" s="25" cm="1">
        <f t="array" ref="AS119">IF(OR(_xll.BDP($AX119,"RK524")="#N/A N/A",_xll.BDP($AX119,"RK524")="#N/A FIELD NOT APPLICABLE")," ", _xll.BDP($AX119,"RK524")/100)</f>
        <v>-1.2685999999999999E-4</v>
      </c>
      <c r="AT119" s="25" t="str" cm="1">
        <f t="array" ref="AT119">IF(OR(_xll.BDP($AX119,"FD183")="#N/A N/A",_xll.BDP($AX119,"FD183")="#N/A FIELD NOT APPLICABLE")," ", _xll.BDP($AX119,"FD183"))</f>
        <v xml:space="preserve"> </v>
      </c>
      <c r="AU119" s="25" t="str" cm="1">
        <f t="array" ref="AU119">IF(OR(_xll.BDP($AX119,"DY997")="#N/A N/A",_xll.BDP($AX119,"DY997")="#N/A FIELD NOT APPLICABLE")," ", _xll.BDP($AX119,"DY997"))</f>
        <v xml:space="preserve"> </v>
      </c>
      <c r="AV119" s="25" t="str" cm="1">
        <f t="array" ref="AV119">IF(OR(_xll.BDP($AX119,"DY784")="#N/A N/A",_xll.BDP($AX119,"DY784")="#N/A FIELD NOT APPLICABLE")," ", _xll.BDP($AX119,"DY784"))</f>
        <v xml:space="preserve"> </v>
      </c>
      <c r="AW119" s="22" t="str">
        <f t="shared" si="30"/>
        <v>N</v>
      </c>
      <c r="AX119" s="22" t="str">
        <f t="shared" si="31"/>
        <v>UKDV LN Equity</v>
      </c>
      <c r="BC119" s="17" t="str" cm="1">
        <f t="array" ref="BC119">_xll.BDP(AX119,"ID005")</f>
        <v>IE00B6S2Z822</v>
      </c>
      <c r="BD119" s="17">
        <v>0.75</v>
      </c>
      <c r="BE119" s="18">
        <v>5</v>
      </c>
      <c r="BF119" s="37">
        <v>45510</v>
      </c>
      <c r="BG119" s="20">
        <v>1.0000000000107532</v>
      </c>
    </row>
    <row r="120" spans="1:59" s="3" customFormat="1" ht="14.45" customHeight="1" x14ac:dyDescent="0.25">
      <c r="A120" s="49" t="s">
        <v>241</v>
      </c>
      <c r="B120" s="49" t="s">
        <v>238</v>
      </c>
      <c r="C120" s="49" t="s">
        <v>239</v>
      </c>
      <c r="D120" s="49" t="s">
        <v>240</v>
      </c>
      <c r="E120" s="22" t="str">
        <f>_xll.BDP(AX120,"SECURITY NAME")</f>
        <v>Vanguard FTSE 250 UCITS ETF</v>
      </c>
      <c r="F120" s="22" t="str">
        <f>_xll.BDP(AX120,"CRNCY")</f>
        <v>GBP</v>
      </c>
      <c r="G120" s="23" t="s">
        <v>111</v>
      </c>
      <c r="H120" s="22" t="str" cm="1">
        <f t="array" ref="H120">IF(OR(_xll.BDP($AX120,"FD120")="#N/A N/A",_xll.BDP($AX120,"FD120")="#N/A FIELD NOT APPLICABLE")," ",_xll.BDP($AX120,"FD120"))</f>
        <v>U.K.</v>
      </c>
      <c r="I120" s="22" t="str" cm="1">
        <f t="array" ref="I120">IF(OR(_xll.BDP($AX120,"FD116")="#N/A N/A",_xll.BDP($AX120,"FD116")="#N/A FIELD NOT APPLICABLE")," ",_xll.BDP($AX120,"FD116"))</f>
        <v>Blend</v>
      </c>
      <c r="J120" s="22" t="str" cm="1">
        <f t="array" ref="J120">IF(OR(_xll.BDP($AX120,"FD133")="#N/A N/A",_xll.BDP($AX120,"FD133")="#N/A FIELD NOT APPLICABLE")," ", _xll.BDP($AX120,"FD133"))</f>
        <v xml:space="preserve"> </v>
      </c>
      <c r="K120" s="34">
        <f>_xll.BDP(AX120,"FUND_ASSETS_USD")/1000</f>
        <v>2.8763130000000001</v>
      </c>
      <c r="L120" s="25">
        <f>IFERROR(_xll.BDP(AX120, "DV013")/100,0)</f>
        <v>2.3683938414939331E-2</v>
      </c>
      <c r="M120" s="25" cm="1">
        <f t="array" ref="M120">IF(OR(_xll.BDP($AX120,"PR079")="#N/A N/A",_xll.BDP($AX120,"PR079")="#N/A FIELD NOT APPLICABLE")," ", _xll.BDP($AX120,"PR079")/100)</f>
        <v>-2.1391230000000001E-2</v>
      </c>
      <c r="N120" s="25" cm="1">
        <f t="array" ref="N120">IF(OR(_xll.BDP($AX120,"RT074")="#N/A N/A",_xll.BDP($AX120,"RT074")="#N/A FIELD NOT APPLICABLE")," ", _xll.BDP($AX120,"RT074")/100)</f>
        <v>3.3115150000000003E-2</v>
      </c>
      <c r="O120" s="27">
        <v>1536</v>
      </c>
      <c r="P120" s="28">
        <v>32.51</v>
      </c>
      <c r="Q120" s="22" cm="1">
        <f t="array" ref="Q120">IF(OR(_xll.BDP($AX120,"PX_last")="#N/A N/A",_xll.BDP($AX120,"PX_Last")="#N/A FIELD NOT APPLICABLE")," ",IF(F120="GBP",(_xll.BDP($AX120,"PX_LAST")),(_xll.BDP($AX120,"PX_LAST"))))</f>
        <v>30.88</v>
      </c>
      <c r="R120" s="29">
        <f>IF(F120="USD",AA120,(((_xll.BDP(F120&amp;"USD CURNCY","PX_LAST")))*AA120))</f>
        <v>66468.957695999998</v>
      </c>
      <c r="S120" s="29">
        <f>IF(F120="USD",AB120,(((_xll.BDP(F120&amp;"USD CURNCY","PX_LAST")))*AB120))</f>
        <v>63136.309247999998</v>
      </c>
      <c r="T120" s="12">
        <f t="shared" si="24"/>
        <v>-3332.6484479999999</v>
      </c>
      <c r="U120" s="13">
        <f t="shared" si="25"/>
        <v>-5.0138418948015996E-2</v>
      </c>
      <c r="V120" s="13" cm="1">
        <f t="array" ref="V120">IFERROR(_xll.BDP($G120&amp;" Equity","CHG_PCT_1D")/100,"")</f>
        <v>5.8631920000000006E-3</v>
      </c>
      <c r="W120" s="13" cm="1">
        <f t="array" ref="W120">IFERROR(_xll.BDP($G120&amp;" Equity","CHG_PCT_5D")/100,"")</f>
        <v>2.5743230000000002E-2</v>
      </c>
      <c r="X120" s="13" t="e">
        <f>S120/$H$62</f>
        <v>#VALUE!</v>
      </c>
      <c r="Y120" s="29">
        <f t="shared" si="26"/>
        <v>1495.3164599761965</v>
      </c>
      <c r="Z120" s="29">
        <f t="shared" si="27"/>
        <v>63136.309247999998</v>
      </c>
      <c r="AA120" s="29">
        <f t="shared" si="28"/>
        <v>49935.360000000001</v>
      </c>
      <c r="AB120" s="29">
        <f t="shared" si="29"/>
        <v>47431.68</v>
      </c>
      <c r="AC120" s="25" t="str" cm="1">
        <f t="array" ref="AC120">IF(OR(_xll.BDP($AX120,"EX028")="#N/A N/A",_xll.BDP($AX120,"EX028")="#N/A FIELD NOT APPLICABLE")," ", _xll.BDP($AX120,"EX028"))</f>
        <v>Fund</v>
      </c>
      <c r="AD120" s="35" t="str" cm="1">
        <f t="array" ref="AD120">IF(OR(_xll.BDP($AX120,"FD121")="#N/A N/A",_xll.BDP($AX120,"FD121")="#N/A FIELD NOT APPLICABLE")," ", _xll.BDP($AX120,"FD121"))</f>
        <v>Equity</v>
      </c>
      <c r="AE120" s="25" t="str" cm="1">
        <f t="array" ref="AE120">IF(OR(_xll.BDP($AX120,"FD118")="#N/A N/A",_xll.BDP($AX120,"FD118")="#N/A FIELD NOT APPLICABLE")," ", _xll.BDP($AX120,"FD118"))</f>
        <v>ETF</v>
      </c>
      <c r="AF120" s="22" t="str" cm="1">
        <f t="array" ref="AF120">IF(OR(_xll.BDP($AX120,"FD114")="#N/A N/A",_xll.BDP($AX120,"FD114")="#N/A FIELD NOT APPLICABLE")," ", _xll.BDP($AX120,"FD114"))</f>
        <v xml:space="preserve"> </v>
      </c>
      <c r="AG120" s="22" t="str" cm="1">
        <f t="array" ref="AG120">IF(OR(_xll.BDP($AX120,"FD003")="#N/A N/A",_xll.BDP($AX120,"FD003")="#N/A FIELD NOT APPLICABLE")," ", _xll.BDP($AX120,"FD003"))</f>
        <v>30/09/2014</v>
      </c>
      <c r="AH120" s="32" cm="1">
        <f t="array" ref="AH120">IF(OR(_xll.BDP($AX120,"PR061")="#N/A N/A",_xll.BDP($AX120,"PR061")="#N/A FIELD NOT APPLICABLE")," ", _xll.BDP($AX120,"PR061")/100)</f>
        <v>2.9333330000000001E-2</v>
      </c>
      <c r="AI120" s="25" cm="1">
        <f t="array" ref="AI120">IF(OR(_xll.BDP($AX120,"RT075")="#N/A N/A",_xll.BDP($AX120,"RT075")="#N/A FIELD NOT APPLICABLE")," ", _xll.BDP($AX120,"RT075")/100)</f>
        <v>2.035228E-2</v>
      </c>
      <c r="AJ120" s="25" cm="1">
        <f t="array" ref="AJ120">IF(OR(_xll.BDP($AX120,"RT076")="#N/A N/A",_xll.BDP($AX120,"RT076")="#N/A FIELD NOT APPLICABLE")," ", _xll.BDP($AX120,"RT076")/100)</f>
        <v>7.240408000000001E-2</v>
      </c>
      <c r="AK120" s="25" cm="1">
        <f t="array" ref="AK120">IF(OR(_xll.BDP($AX120,"FD252")="#N/A N/A",_xll.BDP($AX120,"FD252")="#N/A FIELD NOT APPLICABLE")," ", _xll.BDP($AX120,"FD252")/100)</f>
        <v>0.02</v>
      </c>
      <c r="AL120" s="25" cm="1">
        <f t="array" ref="AL120">IF(OR(_xll.BDP($AX120,"FD015")="#N/A N/A",_xll.BDP($AX120,"FD015")="#N/A FIELD NOT APPLICABLE")," ", _xll.BDP($AX120,"FD015")/100)</f>
        <v>1E-3</v>
      </c>
      <c r="AM120" s="25" cm="1">
        <f t="array" ref="AM120">IF(OR(_xll.BDP($AX120,"FD138")="#N/A N/A",_xll.BDP($AX120,"FD138")="#N/A FIELD NOT APPLICABLE")," ", _xll.BDP($AX120,"FD138")/100)</f>
        <v>1E-3</v>
      </c>
      <c r="AN120" s="36" t="str" cm="1">
        <f t="array" ref="AN120">IF(OR(_xll.BDP($AX120,"FD009")="#N/A N/A",_xll.BDP($AX120,"FD009")="#N/A FIELD NOT APPLICABLE")," ", _xll.BDP($AX120,"FD009")/100)</f>
        <v xml:space="preserve"> </v>
      </c>
      <c r="AO120" s="25" cm="1">
        <f t="array" ref="AO120">IF(OR(_xll.BDP($AX120,"RK512")="#N/A N/A",_xll.BDP($AX120,"RK512")="#N/A FIELD NOT APPLICABLE")," ", _xll.BDP($AX120,"RK512")/100)</f>
        <v>-1.57175E-3</v>
      </c>
      <c r="AP120" s="25" cm="1">
        <f t="array" ref="AP120">IF(OR(_xll.BDP($AX120,"RK514")="#N/A N/A",_xll.BDP($AX120,"RK514")="#N/A FIELD NOT APPLICABLE")," ", _xll.BDP($AX120,"RK514")/100)</f>
        <v>-1.5015300000000001E-3</v>
      </c>
      <c r="AQ120" s="25" cm="1">
        <f t="array" ref="AQ120">IF(OR(_xll.BDP($AX120,"RK521")="#N/A N/A",_xll.BDP($AX120,"RK521")="#N/A FIELD NOT APPLICABLE")," ", _xll.BDP($AX120,"RK521")/100)</f>
        <v>-1.6736400000000001E-3</v>
      </c>
      <c r="AR120" s="25" cm="1">
        <f t="array" ref="AR120">IF(OR(_xll.BDP($AX120,"RK525")="#N/A N/A",_xll.BDP($AX120,"RK525")="#N/A FIELD NOT APPLICABLE")," ", _xll.BDP($AX120,"RK525")/100)</f>
        <v>1.0064200000000001E-2</v>
      </c>
      <c r="AS120" s="25" cm="1">
        <f t="array" ref="AS120">IF(OR(_xll.BDP($AX120,"RK524")="#N/A N/A",_xll.BDP($AX120,"RK524")="#N/A FIELD NOT APPLICABLE")," ", _xll.BDP($AX120,"RK524")/100)</f>
        <v>-3.6069999999999999E-5</v>
      </c>
      <c r="AT120" s="25" t="str" cm="1">
        <f t="array" ref="AT120">IF(OR(_xll.BDP($AX120,"FD183")="#N/A N/A",_xll.BDP($AX120,"FD183")="#N/A FIELD NOT APPLICABLE")," ", _xll.BDP($AX120,"FD183"))</f>
        <v>GBP INC</v>
      </c>
      <c r="AU120" s="25" t="str" cm="1">
        <f t="array" ref="AU120">IF(OR(_xll.BDP($AX120,"DY997")="#N/A N/A",_xll.BDP($AX120,"DY997")="#N/A FIELD NOT APPLICABLE")," ", _xll.BDP($AX120,"DY997"))</f>
        <v xml:space="preserve"> </v>
      </c>
      <c r="AV120" s="25" t="str" cm="1">
        <f t="array" ref="AV120">IF(OR(_xll.BDP($AX120,"DY784")="#N/A N/A",_xll.BDP($AX120,"DY784")="#N/A FIELD NOT APPLICABLE")," ", _xll.BDP($AX120,"DY784"))</f>
        <v xml:space="preserve"> </v>
      </c>
      <c r="AW120" s="22" t="str">
        <f t="shared" si="30"/>
        <v>N</v>
      </c>
      <c r="AX120" s="22" t="str">
        <f t="shared" si="31"/>
        <v>VMID LN Equity</v>
      </c>
      <c r="BC120" s="17" t="str" cm="1">
        <f t="array" ref="BC120">_xll.BDP(AX120,"ID005")</f>
        <v>IE00BKX55Q28</v>
      </c>
      <c r="BD120" s="17">
        <v>0.75</v>
      </c>
      <c r="BE120" s="18">
        <v>5</v>
      </c>
      <c r="BF120" s="37">
        <v>44168</v>
      </c>
      <c r="BG120" s="20">
        <v>1.0000000000107532</v>
      </c>
    </row>
    <row r="121" spans="1:59" s="3" customFormat="1" ht="14.45" customHeight="1" x14ac:dyDescent="0.25">
      <c r="A121" s="49" t="s">
        <v>242</v>
      </c>
      <c r="B121" s="49" t="s">
        <v>246</v>
      </c>
      <c r="C121" s="49" t="s">
        <v>247</v>
      </c>
      <c r="D121" s="49" t="s">
        <v>248</v>
      </c>
      <c r="E121" s="22" t="str">
        <f>_xll.BDP(AX121,"SECURITY NAME")</f>
        <v>Vanguard FTSE 250 UCITS ETF</v>
      </c>
      <c r="F121" s="22" t="str">
        <f>_xll.BDP(AX121,"CRNCY")</f>
        <v>GBP</v>
      </c>
      <c r="G121" s="23" t="s">
        <v>111</v>
      </c>
      <c r="H121" s="22" t="str" cm="1">
        <f t="array" ref="H121">IF(OR(_xll.BDP($AX121,"FD120")="#N/A N/A",_xll.BDP($AX121,"FD120")="#N/A FIELD NOT APPLICABLE")," ",_xll.BDP($AX121,"FD120"))</f>
        <v>U.K.</v>
      </c>
      <c r="I121" s="22" t="str" cm="1">
        <f t="array" ref="I121">IF(OR(_xll.BDP($AX121,"FD116")="#N/A N/A",_xll.BDP($AX121,"FD116")="#N/A FIELD NOT APPLICABLE")," ",_xll.BDP($AX121,"FD116"))</f>
        <v>Blend</v>
      </c>
      <c r="J121" s="22" t="str" cm="1">
        <f t="array" ref="J121">IF(OR(_xll.BDP($AX121,"FD133")="#N/A N/A",_xll.BDP($AX121,"FD133")="#N/A FIELD NOT APPLICABLE")," ", _xll.BDP($AX121,"FD133"))</f>
        <v xml:space="preserve"> </v>
      </c>
      <c r="K121" s="34">
        <f>_xll.BDP(AX121,"FUND_ASSETS_USD")/1000</f>
        <v>2.8763130000000001</v>
      </c>
      <c r="L121" s="25">
        <f>IFERROR(_xll.BDP(AX121, "DV013")/100,0)</f>
        <v>2.3683938414939331E-2</v>
      </c>
      <c r="M121" s="25" cm="1">
        <f t="array" ref="M121">IF(OR(_xll.BDP($AX121,"PR079")="#N/A N/A",_xll.BDP($AX121,"PR079")="#N/A FIELD NOT APPLICABLE")," ", _xll.BDP($AX121,"PR079")/100)</f>
        <v>-2.1391230000000001E-2</v>
      </c>
      <c r="N121" s="25" cm="1">
        <f t="array" ref="N121">IF(OR(_xll.BDP($AX121,"RT074")="#N/A N/A",_xll.BDP($AX121,"RT074")="#N/A FIELD NOT APPLICABLE")," ", _xll.BDP($AX121,"RT074")/100)</f>
        <v>3.3115150000000003E-2</v>
      </c>
      <c r="O121" s="27">
        <v>1220</v>
      </c>
      <c r="P121" s="28">
        <v>31.43</v>
      </c>
      <c r="Q121" s="22" cm="1">
        <f t="array" ref="Q121">IF(OR(_xll.BDP($AX121,"PX_last")="#N/A N/A",_xll.BDP($AX121,"PX_Last")="#N/A FIELD NOT APPLICABLE")," ",IF(F121="GBP",(_xll.BDP($AX121,"PX_LAST")),(_xll.BDP($AX121,"PX_LAST"))))</f>
        <v>30.88</v>
      </c>
      <c r="R121" s="29">
        <f>IF(F121="USD",AA121,(((_xll.BDP(F121&amp;"USD CURNCY","PX_LAST")))*AA121))</f>
        <v>51040.497059999994</v>
      </c>
      <c r="S121" s="29">
        <f>IF(F121="USD",AB121,(((_xll.BDP(F121&amp;"USD CURNCY","PX_LAST")))*AB121))</f>
        <v>50147.328959999999</v>
      </c>
      <c r="T121" s="12">
        <f t="shared" si="24"/>
        <v>-893.16809999999532</v>
      </c>
      <c r="U121" s="13">
        <f t="shared" si="25"/>
        <v>-1.7499204581609838E-2</v>
      </c>
      <c r="V121" s="13" cm="1">
        <f t="array" ref="V121">IFERROR(_xll.BDP($G121&amp;" Equity","CHG_PCT_1D")/100,"")</f>
        <v>5.8631920000000006E-3</v>
      </c>
      <c r="W121" s="13" cm="1">
        <f t="array" ref="W121">IFERROR(_xll.BDP($G121&amp;" Equity","CHG_PCT_5D")/100,"")</f>
        <v>2.5743230000000002E-2</v>
      </c>
      <c r="X121" s="13" t="e">
        <f>S121/$H$62</f>
        <v>#VALUE!</v>
      </c>
      <c r="Y121" s="29">
        <f t="shared" si="26"/>
        <v>1187.6862507623437</v>
      </c>
      <c r="Z121" s="29">
        <f t="shared" si="27"/>
        <v>50147.328959999999</v>
      </c>
      <c r="AA121" s="29">
        <f t="shared" si="28"/>
        <v>38344.6</v>
      </c>
      <c r="AB121" s="29">
        <f t="shared" si="29"/>
        <v>37673.599999999999</v>
      </c>
      <c r="AC121" s="25" t="str" cm="1">
        <f t="array" ref="AC121">IF(OR(_xll.BDP($AX121,"EX028")="#N/A N/A",_xll.BDP($AX121,"EX028")="#N/A FIELD NOT APPLICABLE")," ", _xll.BDP($AX121,"EX028"))</f>
        <v>Fund</v>
      </c>
      <c r="AD121" s="35" t="str" cm="1">
        <f t="array" ref="AD121">IF(OR(_xll.BDP($AX121,"FD121")="#N/A N/A",_xll.BDP($AX121,"FD121")="#N/A FIELD NOT APPLICABLE")," ", _xll.BDP($AX121,"FD121"))</f>
        <v>Equity</v>
      </c>
      <c r="AE121" s="25" t="str" cm="1">
        <f t="array" ref="AE121">IF(OR(_xll.BDP($AX121,"FD118")="#N/A N/A",_xll.BDP($AX121,"FD118")="#N/A FIELD NOT APPLICABLE")," ", _xll.BDP($AX121,"FD118"))</f>
        <v>ETF</v>
      </c>
      <c r="AF121" s="22" t="str" cm="1">
        <f t="array" ref="AF121">IF(OR(_xll.BDP($AX121,"FD114")="#N/A N/A",_xll.BDP($AX121,"FD114")="#N/A FIELD NOT APPLICABLE")," ", _xll.BDP($AX121,"FD114"))</f>
        <v xml:space="preserve"> </v>
      </c>
      <c r="AG121" s="22" t="str" cm="1">
        <f t="array" ref="AG121">IF(OR(_xll.BDP($AX121,"FD003")="#N/A N/A",_xll.BDP($AX121,"FD003")="#N/A FIELD NOT APPLICABLE")," ", _xll.BDP($AX121,"FD003"))</f>
        <v>30/09/2014</v>
      </c>
      <c r="AH121" s="32" cm="1">
        <f t="array" ref="AH121">IF(OR(_xll.BDP($AX121,"PR061")="#N/A N/A",_xll.BDP($AX121,"PR061")="#N/A FIELD NOT APPLICABLE")," ", _xll.BDP($AX121,"PR061")/100)</f>
        <v>2.9333330000000001E-2</v>
      </c>
      <c r="AI121" s="25" cm="1">
        <f t="array" ref="AI121">IF(OR(_xll.BDP($AX121,"RT075")="#N/A N/A",_xll.BDP($AX121,"RT075")="#N/A FIELD NOT APPLICABLE")," ", _xll.BDP($AX121,"RT075")/100)</f>
        <v>2.035228E-2</v>
      </c>
      <c r="AJ121" s="25" cm="1">
        <f t="array" ref="AJ121">IF(OR(_xll.BDP($AX121,"RT076")="#N/A N/A",_xll.BDP($AX121,"RT076")="#N/A FIELD NOT APPLICABLE")," ", _xll.BDP($AX121,"RT076")/100)</f>
        <v>7.240408000000001E-2</v>
      </c>
      <c r="AK121" s="25" cm="1">
        <f t="array" ref="AK121">IF(OR(_xll.BDP($AX121,"FD252")="#N/A N/A",_xll.BDP($AX121,"FD252")="#N/A FIELD NOT APPLICABLE")," ", _xll.BDP($AX121,"FD252")/100)</f>
        <v>0.02</v>
      </c>
      <c r="AL121" s="25" cm="1">
        <f t="array" ref="AL121">IF(OR(_xll.BDP($AX121,"FD015")="#N/A N/A",_xll.BDP($AX121,"FD015")="#N/A FIELD NOT APPLICABLE")," ", _xll.BDP($AX121,"FD015")/100)</f>
        <v>1E-3</v>
      </c>
      <c r="AM121" s="25" cm="1">
        <f t="array" ref="AM121">IF(OR(_xll.BDP($AX121,"FD138")="#N/A N/A",_xll.BDP($AX121,"FD138")="#N/A FIELD NOT APPLICABLE")," ", _xll.BDP($AX121,"FD138")/100)</f>
        <v>1E-3</v>
      </c>
      <c r="AN121" s="36" t="str" cm="1">
        <f t="array" ref="AN121">IF(OR(_xll.BDP($AX121,"FD009")="#N/A N/A",_xll.BDP($AX121,"FD009")="#N/A FIELD NOT APPLICABLE")," ", _xll.BDP($AX121,"FD009")/100)</f>
        <v xml:space="preserve"> </v>
      </c>
      <c r="AO121" s="25" cm="1">
        <f t="array" ref="AO121">IF(OR(_xll.BDP($AX121,"RK512")="#N/A N/A",_xll.BDP($AX121,"RK512")="#N/A FIELD NOT APPLICABLE")," ", _xll.BDP($AX121,"RK512")/100)</f>
        <v>-1.57175E-3</v>
      </c>
      <c r="AP121" s="25" cm="1">
        <f t="array" ref="AP121">IF(OR(_xll.BDP($AX121,"RK514")="#N/A N/A",_xll.BDP($AX121,"RK514")="#N/A FIELD NOT APPLICABLE")," ", _xll.BDP($AX121,"RK514")/100)</f>
        <v>-1.5015300000000001E-3</v>
      </c>
      <c r="AQ121" s="25" cm="1">
        <f t="array" ref="AQ121">IF(OR(_xll.BDP($AX121,"RK521")="#N/A N/A",_xll.BDP($AX121,"RK521")="#N/A FIELD NOT APPLICABLE")," ", _xll.BDP($AX121,"RK521")/100)</f>
        <v>-1.6736400000000001E-3</v>
      </c>
      <c r="AR121" s="25" cm="1">
        <f t="array" ref="AR121">IF(OR(_xll.BDP($AX121,"RK525")="#N/A N/A",_xll.BDP($AX121,"RK525")="#N/A FIELD NOT APPLICABLE")," ", _xll.BDP($AX121,"RK525")/100)</f>
        <v>1.0064200000000001E-2</v>
      </c>
      <c r="AS121" s="25" cm="1">
        <f t="array" ref="AS121">IF(OR(_xll.BDP($AX121,"RK524")="#N/A N/A",_xll.BDP($AX121,"RK524")="#N/A FIELD NOT APPLICABLE")," ", _xll.BDP($AX121,"RK524")/100)</f>
        <v>-3.6069999999999999E-5</v>
      </c>
      <c r="AT121" s="25" t="str" cm="1">
        <f t="array" ref="AT121">IF(OR(_xll.BDP($AX121,"FD183")="#N/A N/A",_xll.BDP($AX121,"FD183")="#N/A FIELD NOT APPLICABLE")," ", _xll.BDP($AX121,"FD183"))</f>
        <v>GBP INC</v>
      </c>
      <c r="AU121" s="25" t="str" cm="1">
        <f t="array" ref="AU121">IF(OR(_xll.BDP($AX121,"DY997")="#N/A N/A",_xll.BDP($AX121,"DY997")="#N/A FIELD NOT APPLICABLE")," ", _xll.BDP($AX121,"DY997"))</f>
        <v xml:space="preserve"> </v>
      </c>
      <c r="AV121" s="25" t="str" cm="1">
        <f t="array" ref="AV121">IF(OR(_xll.BDP($AX121,"DY784")="#N/A N/A",_xll.BDP($AX121,"DY784")="#N/A FIELD NOT APPLICABLE")," ", _xll.BDP($AX121,"DY784"))</f>
        <v xml:space="preserve"> </v>
      </c>
      <c r="AW121" s="22" t="str">
        <f t="shared" si="30"/>
        <v>N</v>
      </c>
      <c r="AX121" s="22" t="str">
        <f t="shared" si="31"/>
        <v>VMID LN Equity</v>
      </c>
      <c r="BC121" s="17" t="str" cm="1">
        <f t="array" ref="BC121">_xll.BDP(AX121,"ID005")</f>
        <v>IE00BKX55Q28</v>
      </c>
      <c r="BD121" s="17">
        <v>0.65</v>
      </c>
      <c r="BE121" s="18">
        <v>5</v>
      </c>
      <c r="BF121" s="37"/>
      <c r="BG121" s="20"/>
    </row>
    <row r="122" spans="1:59" s="3" customFormat="1" ht="14.45" customHeight="1" x14ac:dyDescent="0.25">
      <c r="A122" s="49" t="s">
        <v>241</v>
      </c>
      <c r="B122" s="49" t="s">
        <v>251</v>
      </c>
      <c r="C122" s="49" t="s">
        <v>252</v>
      </c>
      <c r="D122" s="49" t="s">
        <v>240</v>
      </c>
      <c r="E122" s="22" t="str">
        <f>_xll.BDP(AX122,"SECURITY NAME")</f>
        <v>Vanguard FTSE 250 UCITS ETF</v>
      </c>
      <c r="F122" s="22" t="str">
        <f>_xll.BDP(AX122,"CRNCY")</f>
        <v>GBP</v>
      </c>
      <c r="G122" s="23" t="s">
        <v>111</v>
      </c>
      <c r="H122" s="22" t="str" cm="1">
        <f t="array" ref="H122">IF(OR(_xll.BDP($AX122,"FD120")="#N/A N/A",_xll.BDP($AX122,"FD120")="#N/A FIELD NOT APPLICABLE")," ",_xll.BDP($AX122,"FD120"))</f>
        <v>U.K.</v>
      </c>
      <c r="I122" s="22" t="str" cm="1">
        <f t="array" ref="I122">IF(OR(_xll.BDP($AX122,"FD116")="#N/A N/A",_xll.BDP($AX122,"FD116")="#N/A FIELD NOT APPLICABLE")," ",_xll.BDP($AX122,"FD116"))</f>
        <v>Blend</v>
      </c>
      <c r="J122" s="22" t="str" cm="1">
        <f t="array" ref="J122">IF(OR(_xll.BDP($AX122,"FD133")="#N/A N/A",_xll.BDP($AX122,"FD133")="#N/A FIELD NOT APPLICABLE")," ", _xll.BDP($AX122,"FD133"))</f>
        <v xml:space="preserve"> </v>
      </c>
      <c r="K122" s="34">
        <f>_xll.BDP(AX122,"FUND_ASSETS_USD")/1000</f>
        <v>2.8763130000000001</v>
      </c>
      <c r="L122" s="25">
        <f>IFERROR(_xll.BDP(AX122, "DV013")/100,0)</f>
        <v>2.3683938414939331E-2</v>
      </c>
      <c r="M122" s="25" cm="1">
        <f t="array" ref="M122">IF(OR(_xll.BDP($AX122,"PR079")="#N/A N/A",_xll.BDP($AX122,"PR079")="#N/A FIELD NOT APPLICABLE")," ", _xll.BDP($AX122,"PR079")/100)</f>
        <v>-2.1391230000000001E-2</v>
      </c>
      <c r="N122" s="25" cm="1">
        <f t="array" ref="N122">IF(OR(_xll.BDP($AX122,"RT074")="#N/A N/A",_xll.BDP($AX122,"RT074")="#N/A FIELD NOT APPLICABLE")," ", _xll.BDP($AX122,"RT074")/100)</f>
        <v>3.3115150000000003E-2</v>
      </c>
      <c r="O122" s="27">
        <v>1536</v>
      </c>
      <c r="P122" s="28">
        <v>32.515000000000001</v>
      </c>
      <c r="Q122" s="22" cm="1">
        <f t="array" ref="Q122">IF(OR(_xll.BDP($AX122,"PX_last")="#N/A N/A",_xll.BDP($AX122,"PX_Last")="#N/A FIELD NOT APPLICABLE")," ",IF(F122="GBP",(_xll.BDP($AX122,"PX_LAST")),(_xll.BDP($AX122,"PX_LAST"))))</f>
        <v>30.88</v>
      </c>
      <c r="R122" s="29">
        <f>IF(F122="USD",AA122,(((_xll.BDP(F122&amp;"USD CURNCY","PX_LAST")))*AA122))</f>
        <v>66479.180544000003</v>
      </c>
      <c r="S122" s="29">
        <f>IF(F122="USD",AB122,(((_xll.BDP(F122&amp;"USD CURNCY","PX_LAST")))*AB122))</f>
        <v>63136.309247999998</v>
      </c>
      <c r="T122" s="12">
        <f t="shared" si="24"/>
        <v>-3342.8712960000048</v>
      </c>
      <c r="U122" s="13">
        <f t="shared" si="25"/>
        <v>-5.0284484084268867E-2</v>
      </c>
      <c r="V122" s="13" cm="1">
        <f t="array" ref="V122">IFERROR(_xll.BDP($G122&amp;" Equity","CHG_PCT_1D")/100,"")</f>
        <v>5.8631920000000006E-3</v>
      </c>
      <c r="W122" s="13" cm="1">
        <f t="array" ref="W122">IFERROR(_xll.BDP($G122&amp;" Equity","CHG_PCT_5D")/100,"")</f>
        <v>2.5743230000000002E-2</v>
      </c>
      <c r="X122" s="13" t="e">
        <f>S122/$H$62</f>
        <v>#VALUE!</v>
      </c>
      <c r="Y122" s="29">
        <f t="shared" si="26"/>
        <v>1495.3164599761965</v>
      </c>
      <c r="Z122" s="29">
        <f t="shared" si="27"/>
        <v>63136.309247999998</v>
      </c>
      <c r="AA122" s="29">
        <f t="shared" si="28"/>
        <v>49943.040000000001</v>
      </c>
      <c r="AB122" s="29">
        <f t="shared" si="29"/>
        <v>47431.68</v>
      </c>
      <c r="AC122" s="25" t="str" cm="1">
        <f t="array" ref="AC122">IF(OR(_xll.BDP($AX122,"EX028")="#N/A N/A",_xll.BDP($AX122,"EX028")="#N/A FIELD NOT APPLICABLE")," ", _xll.BDP($AX122,"EX028"))</f>
        <v>Fund</v>
      </c>
      <c r="AD122" s="35" t="str" cm="1">
        <f t="array" ref="AD122">IF(OR(_xll.BDP($AX122,"FD121")="#N/A N/A",_xll.BDP($AX122,"FD121")="#N/A FIELD NOT APPLICABLE")," ", _xll.BDP($AX122,"FD121"))</f>
        <v>Equity</v>
      </c>
      <c r="AE122" s="25" t="str" cm="1">
        <f t="array" ref="AE122">IF(OR(_xll.BDP($AX122,"FD118")="#N/A N/A",_xll.BDP($AX122,"FD118")="#N/A FIELD NOT APPLICABLE")," ", _xll.BDP($AX122,"FD118"))</f>
        <v>ETF</v>
      </c>
      <c r="AF122" s="22" t="str" cm="1">
        <f t="array" ref="AF122">IF(OR(_xll.BDP($AX122,"FD114")="#N/A N/A",_xll.BDP($AX122,"FD114")="#N/A FIELD NOT APPLICABLE")," ", _xll.BDP($AX122,"FD114"))</f>
        <v xml:space="preserve"> </v>
      </c>
      <c r="AG122" s="22" t="str" cm="1">
        <f t="array" ref="AG122">IF(OR(_xll.BDP($AX122,"FD003")="#N/A N/A",_xll.BDP($AX122,"FD003")="#N/A FIELD NOT APPLICABLE")," ", _xll.BDP($AX122,"FD003"))</f>
        <v>30/09/2014</v>
      </c>
      <c r="AH122" s="32" cm="1">
        <f t="array" ref="AH122">IF(OR(_xll.BDP($AX122,"PR061")="#N/A N/A",_xll.BDP($AX122,"PR061")="#N/A FIELD NOT APPLICABLE")," ", _xll.BDP($AX122,"PR061")/100)</f>
        <v>2.9333330000000001E-2</v>
      </c>
      <c r="AI122" s="25" cm="1">
        <f t="array" ref="AI122">IF(OR(_xll.BDP($AX122,"RT075")="#N/A N/A",_xll.BDP($AX122,"RT075")="#N/A FIELD NOT APPLICABLE")," ", _xll.BDP($AX122,"RT075")/100)</f>
        <v>2.035228E-2</v>
      </c>
      <c r="AJ122" s="25" cm="1">
        <f t="array" ref="AJ122">IF(OR(_xll.BDP($AX122,"RT076")="#N/A N/A",_xll.BDP($AX122,"RT076")="#N/A FIELD NOT APPLICABLE")," ", _xll.BDP($AX122,"RT076")/100)</f>
        <v>7.240408000000001E-2</v>
      </c>
      <c r="AK122" s="25" cm="1">
        <f t="array" ref="AK122">IF(OR(_xll.BDP($AX122,"FD252")="#N/A N/A",_xll.BDP($AX122,"FD252")="#N/A FIELD NOT APPLICABLE")," ", _xll.BDP($AX122,"FD252")/100)</f>
        <v>0.02</v>
      </c>
      <c r="AL122" s="25" cm="1">
        <f t="array" ref="AL122">IF(OR(_xll.BDP($AX122,"FD015")="#N/A N/A",_xll.BDP($AX122,"FD015")="#N/A FIELD NOT APPLICABLE")," ", _xll.BDP($AX122,"FD015")/100)</f>
        <v>1E-3</v>
      </c>
      <c r="AM122" s="25" cm="1">
        <f t="array" ref="AM122">IF(OR(_xll.BDP($AX122,"FD138")="#N/A N/A",_xll.BDP($AX122,"FD138")="#N/A FIELD NOT APPLICABLE")," ", _xll.BDP($AX122,"FD138")/100)</f>
        <v>1E-3</v>
      </c>
      <c r="AN122" s="36" t="str" cm="1">
        <f t="array" ref="AN122">IF(OR(_xll.BDP($AX122,"FD009")="#N/A N/A",_xll.BDP($AX122,"FD009")="#N/A FIELD NOT APPLICABLE")," ", _xll.BDP($AX122,"FD009")/100)</f>
        <v xml:space="preserve"> </v>
      </c>
      <c r="AO122" s="25" cm="1">
        <f t="array" ref="AO122">IF(OR(_xll.BDP($AX122,"RK512")="#N/A N/A",_xll.BDP($AX122,"RK512")="#N/A FIELD NOT APPLICABLE")," ", _xll.BDP($AX122,"RK512")/100)</f>
        <v>-1.57175E-3</v>
      </c>
      <c r="AP122" s="25" cm="1">
        <f t="array" ref="AP122">IF(OR(_xll.BDP($AX122,"RK514")="#N/A N/A",_xll.BDP($AX122,"RK514")="#N/A FIELD NOT APPLICABLE")," ", _xll.BDP($AX122,"RK514")/100)</f>
        <v>-1.5015300000000001E-3</v>
      </c>
      <c r="AQ122" s="25" cm="1">
        <f t="array" ref="AQ122">IF(OR(_xll.BDP($AX122,"RK521")="#N/A N/A",_xll.BDP($AX122,"RK521")="#N/A FIELD NOT APPLICABLE")," ", _xll.BDP($AX122,"RK521")/100)</f>
        <v>-1.6736400000000001E-3</v>
      </c>
      <c r="AR122" s="25" cm="1">
        <f t="array" ref="AR122">IF(OR(_xll.BDP($AX122,"RK525")="#N/A N/A",_xll.BDP($AX122,"RK525")="#N/A FIELD NOT APPLICABLE")," ", _xll.BDP($AX122,"RK525")/100)</f>
        <v>1.0064200000000001E-2</v>
      </c>
      <c r="AS122" s="25" cm="1">
        <f t="array" ref="AS122">IF(OR(_xll.BDP($AX122,"RK524")="#N/A N/A",_xll.BDP($AX122,"RK524")="#N/A FIELD NOT APPLICABLE")," ", _xll.BDP($AX122,"RK524")/100)</f>
        <v>-3.6069999999999999E-5</v>
      </c>
      <c r="AT122" s="25" t="str" cm="1">
        <f t="array" ref="AT122">IF(OR(_xll.BDP($AX122,"FD183")="#N/A N/A",_xll.BDP($AX122,"FD183")="#N/A FIELD NOT APPLICABLE")," ", _xll.BDP($AX122,"FD183"))</f>
        <v>GBP INC</v>
      </c>
      <c r="AU122" s="25" t="str" cm="1">
        <f t="array" ref="AU122">IF(OR(_xll.BDP($AX122,"DY997")="#N/A N/A",_xll.BDP($AX122,"DY997")="#N/A FIELD NOT APPLICABLE")," ", _xll.BDP($AX122,"DY997"))</f>
        <v xml:space="preserve"> </v>
      </c>
      <c r="AV122" s="25" t="str" cm="1">
        <f t="array" ref="AV122">IF(OR(_xll.BDP($AX122,"DY784")="#N/A N/A",_xll.BDP($AX122,"DY784")="#N/A FIELD NOT APPLICABLE")," ", _xll.BDP($AX122,"DY784"))</f>
        <v xml:space="preserve"> </v>
      </c>
      <c r="AW122" s="22" t="str">
        <f t="shared" si="30"/>
        <v>N</v>
      </c>
      <c r="AX122" s="22" t="str">
        <f t="shared" si="31"/>
        <v>VMID LN Equity</v>
      </c>
      <c r="BC122" s="17" t="str" cm="1">
        <f t="array" ref="BC122">_xll.BDP(AX122,"ID005")</f>
        <v>IE00BKX55Q28</v>
      </c>
      <c r="BD122" s="17">
        <v>0.77</v>
      </c>
      <c r="BE122" s="18">
        <v>3</v>
      </c>
      <c r="BF122" s="37">
        <v>45510</v>
      </c>
      <c r="BG122" s="20">
        <v>1.0000000000107532</v>
      </c>
    </row>
    <row r="123" spans="1:59" s="3" customFormat="1" ht="14.45" customHeight="1" x14ac:dyDescent="0.25">
      <c r="A123" s="49" t="s">
        <v>241</v>
      </c>
      <c r="B123" s="49" t="s">
        <v>253</v>
      </c>
      <c r="C123" s="49" t="s">
        <v>254</v>
      </c>
      <c r="D123" s="49" t="s">
        <v>240</v>
      </c>
      <c r="E123" s="22" t="str">
        <f>_xll.BDP(AX123,"SECURITY NAME")</f>
        <v>Vanguard FTSE 250 UCITS ETF</v>
      </c>
      <c r="F123" s="22" t="str">
        <f>_xll.BDP(AX123,"CRNCY")</f>
        <v>GBP</v>
      </c>
      <c r="G123" s="23" t="s">
        <v>111</v>
      </c>
      <c r="H123" s="22" t="str" cm="1">
        <f t="array" ref="H123">IF(OR(_xll.BDP($AX123,"FD120")="#N/A N/A",_xll.BDP($AX123,"FD120")="#N/A FIELD NOT APPLICABLE")," ",_xll.BDP($AX123,"FD120"))</f>
        <v>U.K.</v>
      </c>
      <c r="I123" s="22" t="str" cm="1">
        <f t="array" ref="I123">IF(OR(_xll.BDP($AX123,"FD116")="#N/A N/A",_xll.BDP($AX123,"FD116")="#N/A FIELD NOT APPLICABLE")," ",_xll.BDP($AX123,"FD116"))</f>
        <v>Blend</v>
      </c>
      <c r="J123" s="22" t="str" cm="1">
        <f t="array" ref="J123">IF(OR(_xll.BDP($AX123,"FD133")="#N/A N/A",_xll.BDP($AX123,"FD133")="#N/A FIELD NOT APPLICABLE")," ", _xll.BDP($AX123,"FD133"))</f>
        <v xml:space="preserve"> </v>
      </c>
      <c r="K123" s="34">
        <f>_xll.BDP(AX123,"FUND_ASSETS_USD")/1000</f>
        <v>2.8763130000000001</v>
      </c>
      <c r="L123" s="25">
        <f>IFERROR(_xll.BDP(AX123, "DV013")/100,0)</f>
        <v>2.3683938414939331E-2</v>
      </c>
      <c r="M123" s="25" cm="1">
        <f t="array" ref="M123">IF(OR(_xll.BDP($AX123,"PR079")="#N/A N/A",_xll.BDP($AX123,"PR079")="#N/A FIELD NOT APPLICABLE")," ", _xll.BDP($AX123,"PR079")/100)</f>
        <v>-2.1391230000000001E-2</v>
      </c>
      <c r="N123" s="25" cm="1">
        <f t="array" ref="N123">IF(OR(_xll.BDP($AX123,"RT074")="#N/A N/A",_xll.BDP($AX123,"RT074")="#N/A FIELD NOT APPLICABLE")," ", _xll.BDP($AX123,"RT074")/100)</f>
        <v>3.3115150000000003E-2</v>
      </c>
      <c r="O123" s="27">
        <v>1382</v>
      </c>
      <c r="P123" s="28">
        <v>32.515000000000001</v>
      </c>
      <c r="Q123" s="22" cm="1">
        <f t="array" ref="Q123">IF(OR(_xll.BDP($AX123,"PX_last")="#N/A N/A",_xll.BDP($AX123,"PX_Last")="#N/A FIELD NOT APPLICABLE")," ",IF(F123="GBP",(_xll.BDP($AX123,"PX_LAST")),(_xll.BDP($AX123,"PX_LAST"))))</f>
        <v>30.88</v>
      </c>
      <c r="R123" s="29">
        <f>IF(F123="USD",AA123,(((_xll.BDP(F123&amp;"USD CURNCY","PX_LAST")))*AA123))</f>
        <v>59813.950203</v>
      </c>
      <c r="S123" s="29">
        <f>IF(F123="USD",AB123,(((_xll.BDP(F123&amp;"USD CURNCY","PX_LAST")))*AB123))</f>
        <v>56806.236575999996</v>
      </c>
      <c r="T123" s="12">
        <f t="shared" si="24"/>
        <v>-3007.7136270000046</v>
      </c>
      <c r="U123" s="13">
        <f t="shared" si="25"/>
        <v>-5.0284484084268874E-2</v>
      </c>
      <c r="V123" s="13" cm="1">
        <f t="array" ref="V123">IFERROR(_xll.BDP($G123&amp;" Equity","CHG_PCT_1D")/100,"")</f>
        <v>5.8631920000000006E-3</v>
      </c>
      <c r="W123" s="13" cm="1">
        <f t="array" ref="W123">IFERROR(_xll.BDP($G123&amp;" Equity","CHG_PCT_5D")/100,"")</f>
        <v>2.5743230000000002E-2</v>
      </c>
      <c r="X123" s="13" t="e">
        <f>S123/#REF!</f>
        <v>#REF!</v>
      </c>
      <c r="Y123" s="29">
        <f t="shared" si="26"/>
        <v>1345.395408650458</v>
      </c>
      <c r="Z123" s="29">
        <f t="shared" si="27"/>
        <v>56806.236575999996</v>
      </c>
      <c r="AA123" s="29">
        <f t="shared" si="28"/>
        <v>44935.73</v>
      </c>
      <c r="AB123" s="29">
        <f t="shared" si="29"/>
        <v>42676.159999999996</v>
      </c>
      <c r="AC123" s="25" t="str" cm="1">
        <f t="array" ref="AC123">IF(OR(_xll.BDP($AX123,"EX028")="#N/A N/A",_xll.BDP($AX123,"EX028")="#N/A FIELD NOT APPLICABLE")," ", _xll.BDP($AX123,"EX028"))</f>
        <v>Fund</v>
      </c>
      <c r="AD123" s="35" t="str" cm="1">
        <f t="array" ref="AD123">IF(OR(_xll.BDP($AX123,"FD121")="#N/A N/A",_xll.BDP($AX123,"FD121")="#N/A FIELD NOT APPLICABLE")," ", _xll.BDP($AX123,"FD121"))</f>
        <v>Equity</v>
      </c>
      <c r="AE123" s="25" t="str" cm="1">
        <f t="array" ref="AE123">IF(OR(_xll.BDP($AX123,"FD118")="#N/A N/A",_xll.BDP($AX123,"FD118")="#N/A FIELD NOT APPLICABLE")," ", _xll.BDP($AX123,"FD118"))</f>
        <v>ETF</v>
      </c>
      <c r="AF123" s="22" t="str" cm="1">
        <f t="array" ref="AF123">IF(OR(_xll.BDP($AX123,"FD114")="#N/A N/A",_xll.BDP($AX123,"FD114")="#N/A FIELD NOT APPLICABLE")," ", _xll.BDP($AX123,"FD114"))</f>
        <v xml:space="preserve"> </v>
      </c>
      <c r="AG123" s="22" t="str" cm="1">
        <f t="array" ref="AG123">IF(OR(_xll.BDP($AX123,"FD003")="#N/A N/A",_xll.BDP($AX123,"FD003")="#N/A FIELD NOT APPLICABLE")," ", _xll.BDP($AX123,"FD003"))</f>
        <v>30/09/2014</v>
      </c>
      <c r="AH123" s="32" cm="1">
        <f t="array" ref="AH123">IF(OR(_xll.BDP($AX123,"PR061")="#N/A N/A",_xll.BDP($AX123,"PR061")="#N/A FIELD NOT APPLICABLE")," ", _xll.BDP($AX123,"PR061")/100)</f>
        <v>2.9333330000000001E-2</v>
      </c>
      <c r="AI123" s="25" cm="1">
        <f t="array" ref="AI123">IF(OR(_xll.BDP($AX123,"RT075")="#N/A N/A",_xll.BDP($AX123,"RT075")="#N/A FIELD NOT APPLICABLE")," ", _xll.BDP($AX123,"RT075")/100)</f>
        <v>2.035228E-2</v>
      </c>
      <c r="AJ123" s="25" cm="1">
        <f t="array" ref="AJ123">IF(OR(_xll.BDP($AX123,"RT076")="#N/A N/A",_xll.BDP($AX123,"RT076")="#N/A FIELD NOT APPLICABLE")," ", _xll.BDP($AX123,"RT076")/100)</f>
        <v>7.240408000000001E-2</v>
      </c>
      <c r="AK123" s="25" cm="1">
        <f t="array" ref="AK123">IF(OR(_xll.BDP($AX123,"FD252")="#N/A N/A",_xll.BDP($AX123,"FD252")="#N/A FIELD NOT APPLICABLE")," ", _xll.BDP($AX123,"FD252")/100)</f>
        <v>0.02</v>
      </c>
      <c r="AL123" s="25" cm="1">
        <f t="array" ref="AL123">IF(OR(_xll.BDP($AX123,"FD015")="#N/A N/A",_xll.BDP($AX123,"FD015")="#N/A FIELD NOT APPLICABLE")," ", _xll.BDP($AX123,"FD015")/100)</f>
        <v>1E-3</v>
      </c>
      <c r="AM123" s="25" cm="1">
        <f t="array" ref="AM123">IF(OR(_xll.BDP($AX123,"FD138")="#N/A N/A",_xll.BDP($AX123,"FD138")="#N/A FIELD NOT APPLICABLE")," ", _xll.BDP($AX123,"FD138")/100)</f>
        <v>1E-3</v>
      </c>
      <c r="AN123" s="36" t="str" cm="1">
        <f t="array" ref="AN123">IF(OR(_xll.BDP($AX123,"FD009")="#N/A N/A",_xll.BDP($AX123,"FD009")="#N/A FIELD NOT APPLICABLE")," ", _xll.BDP($AX123,"FD009")/100)</f>
        <v xml:space="preserve"> </v>
      </c>
      <c r="AO123" s="25" cm="1">
        <f t="array" ref="AO123">IF(OR(_xll.BDP($AX123,"RK512")="#N/A N/A",_xll.BDP($AX123,"RK512")="#N/A FIELD NOT APPLICABLE")," ", _xll.BDP($AX123,"RK512")/100)</f>
        <v>-1.57175E-3</v>
      </c>
      <c r="AP123" s="25" cm="1">
        <f t="array" ref="AP123">IF(OR(_xll.BDP($AX123,"RK514")="#N/A N/A",_xll.BDP($AX123,"RK514")="#N/A FIELD NOT APPLICABLE")," ", _xll.BDP($AX123,"RK514")/100)</f>
        <v>-1.5015300000000001E-3</v>
      </c>
      <c r="AQ123" s="25" cm="1">
        <f t="array" ref="AQ123">IF(OR(_xll.BDP($AX123,"RK521")="#N/A N/A",_xll.BDP($AX123,"RK521")="#N/A FIELD NOT APPLICABLE")," ", _xll.BDP($AX123,"RK521")/100)</f>
        <v>-1.6736400000000001E-3</v>
      </c>
      <c r="AR123" s="25" cm="1">
        <f t="array" ref="AR123">IF(OR(_xll.BDP($AX123,"RK525")="#N/A N/A",_xll.BDP($AX123,"RK525")="#N/A FIELD NOT APPLICABLE")," ", _xll.BDP($AX123,"RK525")/100)</f>
        <v>1.0064200000000001E-2</v>
      </c>
      <c r="AS123" s="25" cm="1">
        <f t="array" ref="AS123">IF(OR(_xll.BDP($AX123,"RK524")="#N/A N/A",_xll.BDP($AX123,"RK524")="#N/A FIELD NOT APPLICABLE")," ", _xll.BDP($AX123,"RK524")/100)</f>
        <v>-3.6069999999999999E-5</v>
      </c>
      <c r="AT123" s="25" t="str" cm="1">
        <f t="array" ref="AT123">IF(OR(_xll.BDP($AX123,"FD183")="#N/A N/A",_xll.BDP($AX123,"FD183")="#N/A FIELD NOT APPLICABLE")," ", _xll.BDP($AX123,"FD183"))</f>
        <v>GBP INC</v>
      </c>
      <c r="AU123" s="25" t="str" cm="1">
        <f t="array" ref="AU123">IF(OR(_xll.BDP($AX123,"DY997")="#N/A N/A",_xll.BDP($AX123,"DY997")="#N/A FIELD NOT APPLICABLE")," ", _xll.BDP($AX123,"DY997"))</f>
        <v xml:space="preserve"> </v>
      </c>
      <c r="AV123" s="25" t="str" cm="1">
        <f t="array" ref="AV123">IF(OR(_xll.BDP($AX123,"DY784")="#N/A N/A",_xll.BDP($AX123,"DY784")="#N/A FIELD NOT APPLICABLE")," ", _xll.BDP($AX123,"DY784"))</f>
        <v xml:space="preserve"> </v>
      </c>
      <c r="AW123" s="22" t="str">
        <f t="shared" si="30"/>
        <v>N</v>
      </c>
      <c r="AX123" s="22" t="str">
        <f t="shared" si="31"/>
        <v>VMID LN Equity</v>
      </c>
      <c r="BC123" s="17" t="str" cm="1">
        <f t="array" ref="BC123">_xll.BDP(AX123,"ID005")</f>
        <v>IE00BKX55Q28</v>
      </c>
      <c r="BD123" s="17">
        <v>0.75</v>
      </c>
      <c r="BE123" s="18">
        <v>3</v>
      </c>
      <c r="BF123" s="37">
        <v>45509</v>
      </c>
      <c r="BG123" s="20">
        <v>1.0000000000107532</v>
      </c>
    </row>
    <row r="124" spans="1:59" s="3" customFormat="1" ht="14.45" customHeight="1" x14ac:dyDescent="0.25">
      <c r="A124" s="49" t="s">
        <v>242</v>
      </c>
      <c r="B124" s="49" t="s">
        <v>260</v>
      </c>
      <c r="C124" s="49" t="s">
        <v>261</v>
      </c>
      <c r="D124" s="49" t="s">
        <v>248</v>
      </c>
      <c r="E124" s="22" t="str">
        <f>_xll.BDP(AX124,"SECURITY NAME")</f>
        <v>Vanguard FTSE 250 UCITS ETF</v>
      </c>
      <c r="F124" s="22" t="str">
        <f>_xll.BDP(AX124,"CRNCY")</f>
        <v>GBP</v>
      </c>
      <c r="G124" s="73" t="s">
        <v>111</v>
      </c>
      <c r="H124" s="22" t="str" cm="1">
        <f t="array" ref="H124">IF(OR(_xll.BDP($AX124,"FD120")="#N/A N/A",_xll.BDP($AX124,"FD120")="#N/A FIELD NOT APPLICABLE")," ",_xll.BDP($AX124,"FD120"))</f>
        <v>U.K.</v>
      </c>
      <c r="I124" s="22" t="str" cm="1">
        <f t="array" ref="I124">IF(OR(_xll.BDP($AX124,"FD116")="#N/A N/A",_xll.BDP($AX124,"FD116")="#N/A FIELD NOT APPLICABLE")," ",_xll.BDP($AX124,"FD116"))</f>
        <v>Blend</v>
      </c>
      <c r="J124" s="22" t="str" cm="1">
        <f t="array" ref="J124">IF(OR(_xll.BDP($AX124,"FD133")="#N/A N/A",_xll.BDP($AX124,"FD133")="#N/A FIELD NOT APPLICABLE")," ", _xll.BDP($AX124,"FD133"))</f>
        <v xml:space="preserve"> </v>
      </c>
      <c r="K124" s="34">
        <f>_xll.BDP(AX124,"FUND_ASSETS_USD")/1000</f>
        <v>2.8763130000000001</v>
      </c>
      <c r="L124" s="25">
        <f>IFERROR(_xll.BDP(AX124, "DV013")/100,0)</f>
        <v>2.3683938414939331E-2</v>
      </c>
      <c r="M124" s="25" cm="1">
        <f t="array" ref="M124">IF(OR(_xll.BDP($AX124,"PR079")="#N/A N/A",_xll.BDP($AX124,"PR079")="#N/A FIELD NOT APPLICABLE")," ", _xll.BDP($AX124,"PR079")/100)</f>
        <v>-2.1391230000000001E-2</v>
      </c>
      <c r="N124" s="25" cm="1">
        <f t="array" ref="N124">IF(OR(_xll.BDP($AX124,"RT074")="#N/A N/A",_xll.BDP($AX124,"RT074")="#N/A FIELD NOT APPLICABLE")," ", _xll.BDP($AX124,"RT074")/100)</f>
        <v>3.3115150000000003E-2</v>
      </c>
      <c r="O124" s="74">
        <v>1536</v>
      </c>
      <c r="P124" s="75">
        <v>32.64</v>
      </c>
      <c r="Q124" s="22" cm="1">
        <f t="array" ref="Q124">IF(OR(_xll.BDP($AX124,"PX_last")="#N/A N/A",_xll.BDP($AX124,"PX_Last")="#N/A FIELD NOT APPLICABLE")," ",IF(F124="GBP",(_xll.BDP($AX124,"PX_LAST")),(_xll.BDP($AX124,"PX_LAST"))))</f>
        <v>30.88</v>
      </c>
      <c r="R124" s="29">
        <f>IF(F124="USD",AA124,(((_xll.BDP(F124&amp;"USD CURNCY","PX_LAST")))*AA124))</f>
        <v>66734.751743999994</v>
      </c>
      <c r="S124" s="29">
        <f>IF(F124="USD",AB124,(((_xll.BDP(F124&amp;"USD CURNCY","PX_LAST")))*AB124))</f>
        <v>63136.309247999998</v>
      </c>
      <c r="T124" s="12">
        <f t="shared" si="24"/>
        <v>-3598.442495999996</v>
      </c>
      <c r="U124" s="13">
        <f t="shared" si="25"/>
        <v>-5.3921568627450928E-2</v>
      </c>
      <c r="V124" s="13" cm="1">
        <f t="array" ref="V124">IFERROR(_xll.BDP($G124&amp;" Equity","CHG_PCT_1D")/100,"")</f>
        <v>5.8631920000000006E-3</v>
      </c>
      <c r="W124" s="13" cm="1">
        <f t="array" ref="W124">IFERROR(_xll.BDP($G124&amp;" Equity","CHG_PCT_5D")/100,"")</f>
        <v>2.5743230000000002E-2</v>
      </c>
      <c r="X124" s="13" t="e">
        <f>S124/#REF!</f>
        <v>#REF!</v>
      </c>
      <c r="Y124" s="29">
        <f t="shared" si="26"/>
        <v>1495.3164599761965</v>
      </c>
      <c r="Z124" s="29">
        <f t="shared" si="27"/>
        <v>63136.309247999998</v>
      </c>
      <c r="AA124" s="29">
        <f t="shared" si="28"/>
        <v>50135.040000000001</v>
      </c>
      <c r="AB124" s="29">
        <f t="shared" si="29"/>
        <v>47431.68</v>
      </c>
      <c r="AC124" s="25" t="str" cm="1">
        <f t="array" ref="AC124">IF(OR(_xll.BDP($AX124,"EX028")="#N/A N/A",_xll.BDP($AX124,"EX028")="#N/A FIELD NOT APPLICABLE")," ", _xll.BDP($AX124,"EX028"))</f>
        <v>Fund</v>
      </c>
      <c r="AD124" s="35" t="str" cm="1">
        <f t="array" ref="AD124">IF(OR(_xll.BDP($AX124,"FD121")="#N/A N/A",_xll.BDP($AX124,"FD121")="#N/A FIELD NOT APPLICABLE")," ", _xll.BDP($AX124,"FD121"))</f>
        <v>Equity</v>
      </c>
      <c r="AE124" s="25" t="str" cm="1">
        <f t="array" ref="AE124">IF(OR(_xll.BDP($AX124,"FD118")="#N/A N/A",_xll.BDP($AX124,"FD118")="#N/A FIELD NOT APPLICABLE")," ", _xll.BDP($AX124,"FD118"))</f>
        <v>ETF</v>
      </c>
      <c r="AF124" s="22" t="str" cm="1">
        <f t="array" ref="AF124">IF(OR(_xll.BDP($AX124,"FD114")="#N/A N/A",_xll.BDP($AX124,"FD114")="#N/A FIELD NOT APPLICABLE")," ", _xll.BDP($AX124,"FD114"))</f>
        <v xml:space="preserve"> </v>
      </c>
      <c r="AG124" s="22" t="str" cm="1">
        <f t="array" ref="AG124">IF(OR(_xll.BDP($AX124,"FD003")="#N/A N/A",_xll.BDP($AX124,"FD003")="#N/A FIELD NOT APPLICABLE")," ", _xll.BDP($AX124,"FD003"))</f>
        <v>30/09/2014</v>
      </c>
      <c r="AH124" s="32" cm="1">
        <f t="array" ref="AH124">IF(OR(_xll.BDP($AX124,"PR061")="#N/A N/A",_xll.BDP($AX124,"PR061")="#N/A FIELD NOT APPLICABLE")," ", _xll.BDP($AX124,"PR061")/100)</f>
        <v>2.9333330000000001E-2</v>
      </c>
      <c r="AI124" s="25" cm="1">
        <f t="array" ref="AI124">IF(OR(_xll.BDP($AX124,"RT075")="#N/A N/A",_xll.BDP($AX124,"RT075")="#N/A FIELD NOT APPLICABLE")," ", _xll.BDP($AX124,"RT075")/100)</f>
        <v>2.035228E-2</v>
      </c>
      <c r="AJ124" s="25" cm="1">
        <f t="array" ref="AJ124">IF(OR(_xll.BDP($AX124,"RT076")="#N/A N/A",_xll.BDP($AX124,"RT076")="#N/A FIELD NOT APPLICABLE")," ", _xll.BDP($AX124,"RT076")/100)</f>
        <v>7.240408000000001E-2</v>
      </c>
      <c r="AK124" s="25" cm="1">
        <f t="array" ref="AK124">IF(OR(_xll.BDP($AX124,"FD252")="#N/A N/A",_xll.BDP($AX124,"FD252")="#N/A FIELD NOT APPLICABLE")," ", _xll.BDP($AX124,"FD252")/100)</f>
        <v>0.02</v>
      </c>
      <c r="AL124" s="25" cm="1">
        <f t="array" ref="AL124">IF(OR(_xll.BDP($AX124,"FD015")="#N/A N/A",_xll.BDP($AX124,"FD015")="#N/A FIELD NOT APPLICABLE")," ", _xll.BDP($AX124,"FD015")/100)</f>
        <v>1E-3</v>
      </c>
      <c r="AM124" s="25" cm="1">
        <f t="array" ref="AM124">IF(OR(_xll.BDP($AX124,"FD138")="#N/A N/A",_xll.BDP($AX124,"FD138")="#N/A FIELD NOT APPLICABLE")," ", _xll.BDP($AX124,"FD138")/100)</f>
        <v>1E-3</v>
      </c>
      <c r="AN124" s="36" t="str" cm="1">
        <f t="array" ref="AN124">IF(OR(_xll.BDP($AX124,"FD009")="#N/A N/A",_xll.BDP($AX124,"FD009")="#N/A FIELD NOT APPLICABLE")," ", _xll.BDP($AX124,"FD009")/100)</f>
        <v xml:space="preserve"> </v>
      </c>
      <c r="AO124" s="25" cm="1">
        <f t="array" ref="AO124">IF(OR(_xll.BDP($AX124,"RK512")="#N/A N/A",_xll.BDP($AX124,"RK512")="#N/A FIELD NOT APPLICABLE")," ", _xll.BDP($AX124,"RK512")/100)</f>
        <v>-1.57175E-3</v>
      </c>
      <c r="AP124" s="25" cm="1">
        <f t="array" ref="AP124">IF(OR(_xll.BDP($AX124,"RK514")="#N/A N/A",_xll.BDP($AX124,"RK514")="#N/A FIELD NOT APPLICABLE")," ", _xll.BDP($AX124,"RK514")/100)</f>
        <v>-1.5015300000000001E-3</v>
      </c>
      <c r="AQ124" s="25" cm="1">
        <f t="array" ref="AQ124">IF(OR(_xll.BDP($AX124,"RK521")="#N/A N/A",_xll.BDP($AX124,"RK521")="#N/A FIELD NOT APPLICABLE")," ", _xll.BDP($AX124,"RK521")/100)</f>
        <v>-1.6736400000000001E-3</v>
      </c>
      <c r="AR124" s="25" cm="1">
        <f t="array" ref="AR124">IF(OR(_xll.BDP($AX124,"RK525")="#N/A N/A",_xll.BDP($AX124,"RK525")="#N/A FIELD NOT APPLICABLE")," ", _xll.BDP($AX124,"RK525")/100)</f>
        <v>1.0064200000000001E-2</v>
      </c>
      <c r="AS124" s="25" cm="1">
        <f t="array" ref="AS124">IF(OR(_xll.BDP($AX124,"RK524")="#N/A N/A",_xll.BDP($AX124,"RK524")="#N/A FIELD NOT APPLICABLE")," ", _xll.BDP($AX124,"RK524")/100)</f>
        <v>-3.6069999999999999E-5</v>
      </c>
      <c r="AT124" s="25" t="str" cm="1">
        <f t="array" ref="AT124">IF(OR(_xll.BDP($AX124,"FD183")="#N/A N/A",_xll.BDP($AX124,"FD183")="#N/A FIELD NOT APPLICABLE")," ", _xll.BDP($AX124,"FD183"))</f>
        <v>GBP INC</v>
      </c>
      <c r="AU124" s="25" t="str" cm="1">
        <f t="array" ref="AU124">IF(OR(_xll.BDP($AX124,"DY997")="#N/A N/A",_xll.BDP($AX124,"DY997")="#N/A FIELD NOT APPLICABLE")," ", _xll.BDP($AX124,"DY997"))</f>
        <v xml:space="preserve"> </v>
      </c>
      <c r="AV124" s="25" t="str" cm="1">
        <f t="array" ref="AV124">IF(OR(_xll.BDP($AX124,"DY784")="#N/A N/A",_xll.BDP($AX124,"DY784")="#N/A FIELD NOT APPLICABLE")," ", _xll.BDP($AX124,"DY784"))</f>
        <v xml:space="preserve"> </v>
      </c>
      <c r="AW124" s="22" t="str">
        <f t="shared" si="30"/>
        <v>N</v>
      </c>
      <c r="AX124" s="22" t="str">
        <f t="shared" si="31"/>
        <v>VMID LN Equity</v>
      </c>
      <c r="BC124" s="17" t="str">
        <f>_xll.BDP(AX124, "ID_ISIN")</f>
        <v>IE00BKX55Q28</v>
      </c>
      <c r="BD124" s="17">
        <f>VLOOKUP(BC124,'[2]Portefeuille 4379150'!$B$3:$G$42,6,0)</f>
        <v>0.7</v>
      </c>
      <c r="BE124" s="18">
        <v>5</v>
      </c>
      <c r="BF124" s="37"/>
      <c r="BG124" s="20">
        <v>1.0000000000107532</v>
      </c>
    </row>
    <row r="125" spans="1:59" s="3" customFormat="1" ht="14.45" customHeight="1" x14ac:dyDescent="0.25">
      <c r="A125" s="49" t="s">
        <v>241</v>
      </c>
      <c r="B125" s="49" t="s">
        <v>262</v>
      </c>
      <c r="C125" s="49" t="s">
        <v>263</v>
      </c>
      <c r="D125" s="49" t="s">
        <v>240</v>
      </c>
      <c r="E125" s="22" t="str">
        <f>_xll.BDP(AX125,"SECURITY NAME")</f>
        <v>Vanguard FTSE 250 UCITS ETF</v>
      </c>
      <c r="F125" s="22" t="str">
        <f>_xll.BDP(AX125,"CRNCY")</f>
        <v>GBP</v>
      </c>
      <c r="G125" s="23" t="s">
        <v>111</v>
      </c>
      <c r="H125" s="22" t="str" cm="1">
        <f t="array" ref="H125">IF(OR(_xll.BDP($AX125,"FD120")="#N/A N/A",_xll.BDP($AX125,"FD120")="#N/A FIELD NOT APPLICABLE")," ",_xll.BDP($AX125,"FD120"))</f>
        <v>U.K.</v>
      </c>
      <c r="I125" s="22" t="str" cm="1">
        <f t="array" ref="I125">IF(OR(_xll.BDP($AX125,"FD116")="#N/A N/A",_xll.BDP($AX125,"FD116")="#N/A FIELD NOT APPLICABLE")," ",_xll.BDP($AX125,"FD116"))</f>
        <v>Blend</v>
      </c>
      <c r="J125" s="22" t="str" cm="1">
        <f t="array" ref="J125">IF(OR(_xll.BDP($AX125,"FD133")="#N/A N/A",_xll.BDP($AX125,"FD133")="#N/A FIELD NOT APPLICABLE")," ", _xll.BDP($AX125,"FD133"))</f>
        <v xml:space="preserve"> </v>
      </c>
      <c r="K125" s="34">
        <f>_xll.BDP(AX125,"FUND_ASSETS_USD")/1000</f>
        <v>2.8763130000000001</v>
      </c>
      <c r="L125" s="25">
        <f>IFERROR(_xll.BDP(AX125, "DV013")/100,0)</f>
        <v>2.3683938414939331E-2</v>
      </c>
      <c r="M125" s="25" cm="1">
        <f t="array" ref="M125">IF(OR(_xll.BDP($AX125,"PR079")="#N/A N/A",_xll.BDP($AX125,"PR079")="#N/A FIELD NOT APPLICABLE")," ", _xll.BDP($AX125,"PR079")/100)</f>
        <v>-2.1391230000000001E-2</v>
      </c>
      <c r="N125" s="25" cm="1">
        <f t="array" ref="N125">IF(OR(_xll.BDP($AX125,"RT074")="#N/A N/A",_xll.BDP($AX125,"RT074")="#N/A FIELD NOT APPLICABLE")," ", _xll.BDP($AX125,"RT074")/100)</f>
        <v>3.3115150000000003E-2</v>
      </c>
      <c r="O125" s="27">
        <v>3072</v>
      </c>
      <c r="P125" s="28">
        <v>32.515700000000002</v>
      </c>
      <c r="Q125" s="22" cm="1">
        <f t="array" ref="Q125">IF(OR(_xll.BDP($AX125,"PX_last")="#N/A N/A",_xll.BDP($AX125,"PX_Last")="#N/A FIELD NOT APPLICABLE")," ",IF(F125="GBP",(_xll.BDP($AX125,"PX_LAST")),(_xll.BDP($AX125,"PX_LAST"))))</f>
        <v>30.88</v>
      </c>
      <c r="R125" s="29">
        <f>IF(F125="USD",AA125,(((_xll.BDP(F125&amp;"USD CURNCY","PX_LAST")))*AA125))</f>
        <v>132961.22348543999</v>
      </c>
      <c r="S125" s="29">
        <f>IF(F125="USD",AB125,(((_xll.BDP(F125&amp;"USD CURNCY","PX_LAST")))*AB125))</f>
        <v>126272.618496</v>
      </c>
      <c r="T125" s="12">
        <f t="shared" si="24"/>
        <v>-6688.6049894399912</v>
      </c>
      <c r="U125" s="13">
        <f t="shared" si="25"/>
        <v>-5.0304929618614949E-2</v>
      </c>
      <c r="V125" s="13" cm="1">
        <f t="array" ref="V125">IFERROR(_xll.BDP($G125&amp;" Equity","CHG_PCT_1D")/100,"")</f>
        <v>5.8631920000000006E-3</v>
      </c>
      <c r="W125" s="13" cm="1">
        <f t="array" ref="W125">IFERROR(_xll.BDP($G125&amp;" Equity","CHG_PCT_5D")/100,"")</f>
        <v>2.5743230000000002E-2</v>
      </c>
      <c r="X125" s="13" t="e">
        <f>S125/#REF!</f>
        <v>#REF!</v>
      </c>
      <c r="Y125" s="29">
        <f t="shared" si="26"/>
        <v>2990.632919952393</v>
      </c>
      <c r="Z125" s="29">
        <f t="shared" si="27"/>
        <v>126272.618496</v>
      </c>
      <c r="AA125" s="29">
        <f t="shared" si="28"/>
        <v>99888.2304</v>
      </c>
      <c r="AB125" s="29">
        <f t="shared" si="29"/>
        <v>94863.360000000001</v>
      </c>
      <c r="AC125" s="25" t="str" cm="1">
        <f t="array" ref="AC125">IF(OR(_xll.BDP($AX125,"EX028")="#N/A N/A",_xll.BDP($AX125,"EX028")="#N/A FIELD NOT APPLICABLE")," ", _xll.BDP($AX125,"EX028"))</f>
        <v>Fund</v>
      </c>
      <c r="AD125" s="35" t="str" cm="1">
        <f t="array" ref="AD125">IF(OR(_xll.BDP($AX125,"FD121")="#N/A N/A",_xll.BDP($AX125,"FD121")="#N/A FIELD NOT APPLICABLE")," ", _xll.BDP($AX125,"FD121"))</f>
        <v>Equity</v>
      </c>
      <c r="AE125" s="25" t="str" cm="1">
        <f t="array" ref="AE125">IF(OR(_xll.BDP($AX125,"FD118")="#N/A N/A",_xll.BDP($AX125,"FD118")="#N/A FIELD NOT APPLICABLE")," ", _xll.BDP($AX125,"FD118"))</f>
        <v>ETF</v>
      </c>
      <c r="AF125" s="22" t="str" cm="1">
        <f t="array" ref="AF125">IF(OR(_xll.BDP($AX125,"FD114")="#N/A N/A",_xll.BDP($AX125,"FD114")="#N/A FIELD NOT APPLICABLE")," ", _xll.BDP($AX125,"FD114"))</f>
        <v xml:space="preserve"> </v>
      </c>
      <c r="AG125" s="22" t="str" cm="1">
        <f t="array" ref="AG125">IF(OR(_xll.BDP($AX125,"FD003")="#N/A N/A",_xll.BDP($AX125,"FD003")="#N/A FIELD NOT APPLICABLE")," ", _xll.BDP($AX125,"FD003"))</f>
        <v>30/09/2014</v>
      </c>
      <c r="AH125" s="32" cm="1">
        <f t="array" ref="AH125">IF(OR(_xll.BDP($AX125,"PR061")="#N/A N/A",_xll.BDP($AX125,"PR061")="#N/A FIELD NOT APPLICABLE")," ", _xll.BDP($AX125,"PR061")/100)</f>
        <v>2.9333330000000001E-2</v>
      </c>
      <c r="AI125" s="25" cm="1">
        <f t="array" ref="AI125">IF(OR(_xll.BDP($AX125,"RT075")="#N/A N/A",_xll.BDP($AX125,"RT075")="#N/A FIELD NOT APPLICABLE")," ", _xll.BDP($AX125,"RT075")/100)</f>
        <v>2.035228E-2</v>
      </c>
      <c r="AJ125" s="25" cm="1">
        <f t="array" ref="AJ125">IF(OR(_xll.BDP($AX125,"RT076")="#N/A N/A",_xll.BDP($AX125,"RT076")="#N/A FIELD NOT APPLICABLE")," ", _xll.BDP($AX125,"RT076")/100)</f>
        <v>7.240408000000001E-2</v>
      </c>
      <c r="AK125" s="25" cm="1">
        <f t="array" ref="AK125">IF(OR(_xll.BDP($AX125,"FD252")="#N/A N/A",_xll.BDP($AX125,"FD252")="#N/A FIELD NOT APPLICABLE")," ", _xll.BDP($AX125,"FD252")/100)</f>
        <v>0.02</v>
      </c>
      <c r="AL125" s="25" cm="1">
        <f t="array" ref="AL125">IF(OR(_xll.BDP($AX125,"FD015")="#N/A N/A",_xll.BDP($AX125,"FD015")="#N/A FIELD NOT APPLICABLE")," ", _xll.BDP($AX125,"FD015")/100)</f>
        <v>1E-3</v>
      </c>
      <c r="AM125" s="25" cm="1">
        <f t="array" ref="AM125">IF(OR(_xll.BDP($AX125,"FD138")="#N/A N/A",_xll.BDP($AX125,"FD138")="#N/A FIELD NOT APPLICABLE")," ", _xll.BDP($AX125,"FD138")/100)</f>
        <v>1E-3</v>
      </c>
      <c r="AN125" s="36" t="str" cm="1">
        <f t="array" ref="AN125">IF(OR(_xll.BDP($AX125,"FD009")="#N/A N/A",_xll.BDP($AX125,"FD009")="#N/A FIELD NOT APPLICABLE")," ", _xll.BDP($AX125,"FD009")/100)</f>
        <v xml:space="preserve"> </v>
      </c>
      <c r="AO125" s="25" cm="1">
        <f t="array" ref="AO125">IF(OR(_xll.BDP($AX125,"RK512")="#N/A N/A",_xll.BDP($AX125,"RK512")="#N/A FIELD NOT APPLICABLE")," ", _xll.BDP($AX125,"RK512")/100)</f>
        <v>-1.57175E-3</v>
      </c>
      <c r="AP125" s="25" cm="1">
        <f t="array" ref="AP125">IF(OR(_xll.BDP($AX125,"RK514")="#N/A N/A",_xll.BDP($AX125,"RK514")="#N/A FIELD NOT APPLICABLE")," ", _xll.BDP($AX125,"RK514")/100)</f>
        <v>-1.5015300000000001E-3</v>
      </c>
      <c r="AQ125" s="25" cm="1">
        <f t="array" ref="AQ125">IF(OR(_xll.BDP($AX125,"RK521")="#N/A N/A",_xll.BDP($AX125,"RK521")="#N/A FIELD NOT APPLICABLE")," ", _xll.BDP($AX125,"RK521")/100)</f>
        <v>-1.6736400000000001E-3</v>
      </c>
      <c r="AR125" s="25" cm="1">
        <f t="array" ref="AR125">IF(OR(_xll.BDP($AX125,"RK525")="#N/A N/A",_xll.BDP($AX125,"RK525")="#N/A FIELD NOT APPLICABLE")," ", _xll.BDP($AX125,"RK525")/100)</f>
        <v>1.0064200000000001E-2</v>
      </c>
      <c r="AS125" s="25" cm="1">
        <f t="array" ref="AS125">IF(OR(_xll.BDP($AX125,"RK524")="#N/A N/A",_xll.BDP($AX125,"RK524")="#N/A FIELD NOT APPLICABLE")," ", _xll.BDP($AX125,"RK524")/100)</f>
        <v>-3.6069999999999999E-5</v>
      </c>
      <c r="AT125" s="25" t="str" cm="1">
        <f t="array" ref="AT125">IF(OR(_xll.BDP($AX125,"FD183")="#N/A N/A",_xll.BDP($AX125,"FD183")="#N/A FIELD NOT APPLICABLE")," ", _xll.BDP($AX125,"FD183"))</f>
        <v>GBP INC</v>
      </c>
      <c r="AU125" s="25" t="str" cm="1">
        <f t="array" ref="AU125">IF(OR(_xll.BDP($AX125,"DY997")="#N/A N/A",_xll.BDP($AX125,"DY997")="#N/A FIELD NOT APPLICABLE")," ", _xll.BDP($AX125,"DY997"))</f>
        <v xml:space="preserve"> </v>
      </c>
      <c r="AV125" s="25" t="str" cm="1">
        <f t="array" ref="AV125">IF(OR(_xll.BDP($AX125,"DY784")="#N/A N/A",_xll.BDP($AX125,"DY784")="#N/A FIELD NOT APPLICABLE")," ", _xll.BDP($AX125,"DY784"))</f>
        <v xml:space="preserve"> </v>
      </c>
      <c r="AW125" s="22" t="str">
        <f t="shared" si="30"/>
        <v>N</v>
      </c>
      <c r="AX125" s="22" t="str">
        <f t="shared" si="31"/>
        <v>VMID LN Equity</v>
      </c>
      <c r="BC125" s="17" t="str" cm="1">
        <f t="array" ref="BC125">_xll.BDP(AX125,"ID005")</f>
        <v>IE00BKX55Q28</v>
      </c>
      <c r="BD125" s="17">
        <v>0.75</v>
      </c>
      <c r="BE125" s="18">
        <v>5</v>
      </c>
      <c r="BF125" s="37">
        <v>45492</v>
      </c>
      <c r="BG125" s="20">
        <v>1.0000000000107532</v>
      </c>
    </row>
    <row r="126" spans="1:59" s="3" customFormat="1" ht="14.45" customHeight="1" x14ac:dyDescent="0.25">
      <c r="A126" s="49" t="s">
        <v>242</v>
      </c>
      <c r="B126" s="49" t="s">
        <v>264</v>
      </c>
      <c r="C126" s="49" t="s">
        <v>265</v>
      </c>
      <c r="D126" s="49" t="s">
        <v>248</v>
      </c>
      <c r="E126" s="22" t="str">
        <f>_xll.BDP(AX126,"SECURITY NAME")</f>
        <v>Vanguard FTSE 250 UCITS ETF</v>
      </c>
      <c r="F126" s="22" t="str">
        <f>_xll.BDP(AX126,"CRNCY")</f>
        <v>GBP</v>
      </c>
      <c r="G126" s="23" t="s">
        <v>111</v>
      </c>
      <c r="H126" s="22" t="str" cm="1">
        <f t="array" ref="H126">IF(OR(_xll.BDP($AX126,"FD120")="#N/A N/A",_xll.BDP($AX126,"FD120")="#N/A FIELD NOT APPLICABLE")," ",_xll.BDP($AX126,"FD120"))</f>
        <v>U.K.</v>
      </c>
      <c r="I126" s="22" t="str" cm="1">
        <f t="array" ref="I126">IF(OR(_xll.BDP($AX126,"FD116")="#N/A N/A",_xll.BDP($AX126,"FD116")="#N/A FIELD NOT APPLICABLE")," ",_xll.BDP($AX126,"FD116"))</f>
        <v>Blend</v>
      </c>
      <c r="J126" s="22" t="str" cm="1">
        <f t="array" ref="J126">IF(OR(_xll.BDP($AX126,"FD133")="#N/A N/A",_xll.BDP($AX126,"FD133")="#N/A FIELD NOT APPLICABLE")," ", _xll.BDP($AX126,"FD133"))</f>
        <v xml:space="preserve"> </v>
      </c>
      <c r="K126" s="34">
        <f>_xll.BDP(AX126,"FUND_ASSETS_USD")/1000</f>
        <v>2.8763130000000001</v>
      </c>
      <c r="L126" s="25">
        <f>IFERROR(_xll.BDP(AX126, "DV013")/100,0)</f>
        <v>2.3683938414939331E-2</v>
      </c>
      <c r="M126" s="25" cm="1">
        <f t="array" ref="M126">IF(OR(_xll.BDP($AX126,"PR079")="#N/A N/A",_xll.BDP($AX126,"PR079")="#N/A FIELD NOT APPLICABLE")," ", _xll.BDP($AX126,"PR079")/100)</f>
        <v>-2.1391230000000001E-2</v>
      </c>
      <c r="N126" s="25" cm="1">
        <f t="array" ref="N126">IF(OR(_xll.BDP($AX126,"RT074")="#N/A N/A",_xll.BDP($AX126,"RT074")="#N/A FIELD NOT APPLICABLE")," ", _xll.BDP($AX126,"RT074")/100)</f>
        <v>3.3115150000000003E-2</v>
      </c>
      <c r="O126" s="27">
        <v>1220</v>
      </c>
      <c r="P126" s="28">
        <v>31.43</v>
      </c>
      <c r="Q126" s="22" cm="1">
        <f t="array" ref="Q126">IF(OR(_xll.BDP($AX126,"PX_last")="#N/A N/A",_xll.BDP($AX126,"PX_Last")="#N/A FIELD NOT APPLICABLE")," ",IF(F126="GBP",(_xll.BDP($AX126,"PX_LAST")),(_xll.BDP($AX126,"PX_LAST"))))</f>
        <v>30.88</v>
      </c>
      <c r="R126" s="29">
        <f>IF(F126="USD",AA126,(((_xll.BDP(F126&amp;"USD CURNCY","PX_LAST")))*AA126))</f>
        <v>51040.497059999994</v>
      </c>
      <c r="S126" s="29">
        <f>IF(F126="USD",AB126,(((_xll.BDP(F126&amp;"USD CURNCY","PX_LAST")))*AB126))</f>
        <v>50147.328959999999</v>
      </c>
      <c r="T126" s="12">
        <f t="shared" si="24"/>
        <v>-893.16809999999532</v>
      </c>
      <c r="U126" s="13">
        <f t="shared" si="25"/>
        <v>-1.7499204581609838E-2</v>
      </c>
      <c r="V126" s="13" cm="1">
        <f t="array" ref="V126">IFERROR(_xll.BDP($G126&amp;" Equity","CHG_PCT_1D")/100,"")</f>
        <v>5.8631920000000006E-3</v>
      </c>
      <c r="W126" s="13" cm="1">
        <f t="array" ref="W126">IFERROR(_xll.BDP($G126&amp;" Equity","CHG_PCT_5D")/100,"")</f>
        <v>2.5743230000000002E-2</v>
      </c>
      <c r="X126" s="13" t="e">
        <f>S126/#REF!</f>
        <v>#REF!</v>
      </c>
      <c r="Y126" s="29">
        <f t="shared" si="26"/>
        <v>1187.6862507623437</v>
      </c>
      <c r="Z126" s="29">
        <f t="shared" si="27"/>
        <v>50147.328959999999</v>
      </c>
      <c r="AA126" s="29">
        <f t="shared" si="28"/>
        <v>38344.6</v>
      </c>
      <c r="AB126" s="29">
        <f t="shared" si="29"/>
        <v>37673.599999999999</v>
      </c>
      <c r="AC126" s="25" t="str" cm="1">
        <f t="array" ref="AC126">IF(OR(_xll.BDP($AX126,"EX028")="#N/A N/A",_xll.BDP($AX126,"EX028")="#N/A FIELD NOT APPLICABLE")," ", _xll.BDP($AX126,"EX028"))</f>
        <v>Fund</v>
      </c>
      <c r="AD126" s="35" t="str" cm="1">
        <f t="array" ref="AD126">IF(OR(_xll.BDP($AX126,"FD121")="#N/A N/A",_xll.BDP($AX126,"FD121")="#N/A FIELD NOT APPLICABLE")," ", _xll.BDP($AX126,"FD121"))</f>
        <v>Equity</v>
      </c>
      <c r="AE126" s="25" t="str" cm="1">
        <f t="array" ref="AE126">IF(OR(_xll.BDP($AX126,"FD118")="#N/A N/A",_xll.BDP($AX126,"FD118")="#N/A FIELD NOT APPLICABLE")," ", _xll.BDP($AX126,"FD118"))</f>
        <v>ETF</v>
      </c>
      <c r="AF126" s="22" t="str" cm="1">
        <f t="array" ref="AF126">IF(OR(_xll.BDP($AX126,"FD114")="#N/A N/A",_xll.BDP($AX126,"FD114")="#N/A FIELD NOT APPLICABLE")," ", _xll.BDP($AX126,"FD114"))</f>
        <v xml:space="preserve"> </v>
      </c>
      <c r="AG126" s="22" t="str" cm="1">
        <f t="array" ref="AG126">IF(OR(_xll.BDP($AX126,"FD003")="#N/A N/A",_xll.BDP($AX126,"FD003")="#N/A FIELD NOT APPLICABLE")," ", _xll.BDP($AX126,"FD003"))</f>
        <v>30/09/2014</v>
      </c>
      <c r="AH126" s="32" cm="1">
        <f t="array" ref="AH126">IF(OR(_xll.BDP($AX126,"PR061")="#N/A N/A",_xll.BDP($AX126,"PR061")="#N/A FIELD NOT APPLICABLE")," ", _xll.BDP($AX126,"PR061")/100)</f>
        <v>2.9333330000000001E-2</v>
      </c>
      <c r="AI126" s="25" cm="1">
        <f t="array" ref="AI126">IF(OR(_xll.BDP($AX126,"RT075")="#N/A N/A",_xll.BDP($AX126,"RT075")="#N/A FIELD NOT APPLICABLE")," ", _xll.BDP($AX126,"RT075")/100)</f>
        <v>2.035228E-2</v>
      </c>
      <c r="AJ126" s="25" cm="1">
        <f t="array" ref="AJ126">IF(OR(_xll.BDP($AX126,"RT076")="#N/A N/A",_xll.BDP($AX126,"RT076")="#N/A FIELD NOT APPLICABLE")," ", _xll.BDP($AX126,"RT076")/100)</f>
        <v>7.240408000000001E-2</v>
      </c>
      <c r="AK126" s="25" cm="1">
        <f t="array" ref="AK126">IF(OR(_xll.BDP($AX126,"FD252")="#N/A N/A",_xll.BDP($AX126,"FD252")="#N/A FIELD NOT APPLICABLE")," ", _xll.BDP($AX126,"FD252")/100)</f>
        <v>0.02</v>
      </c>
      <c r="AL126" s="25" cm="1">
        <f t="array" ref="AL126">IF(OR(_xll.BDP($AX126,"FD015")="#N/A N/A",_xll.BDP($AX126,"FD015")="#N/A FIELD NOT APPLICABLE")," ", _xll.BDP($AX126,"FD015")/100)</f>
        <v>1E-3</v>
      </c>
      <c r="AM126" s="25" cm="1">
        <f t="array" ref="AM126">IF(OR(_xll.BDP($AX126,"FD138")="#N/A N/A",_xll.BDP($AX126,"FD138")="#N/A FIELD NOT APPLICABLE")," ", _xll.BDP($AX126,"FD138")/100)</f>
        <v>1E-3</v>
      </c>
      <c r="AN126" s="36" t="str" cm="1">
        <f t="array" ref="AN126">IF(OR(_xll.BDP($AX126,"FD009")="#N/A N/A",_xll.BDP($AX126,"FD009")="#N/A FIELD NOT APPLICABLE")," ", _xll.BDP($AX126,"FD009")/100)</f>
        <v xml:space="preserve"> </v>
      </c>
      <c r="AO126" s="25" cm="1">
        <f t="array" ref="AO126">IF(OR(_xll.BDP($AX126,"RK512")="#N/A N/A",_xll.BDP($AX126,"RK512")="#N/A FIELD NOT APPLICABLE")," ", _xll.BDP($AX126,"RK512")/100)</f>
        <v>-1.57175E-3</v>
      </c>
      <c r="AP126" s="25" cm="1">
        <f t="array" ref="AP126">IF(OR(_xll.BDP($AX126,"RK514")="#N/A N/A",_xll.BDP($AX126,"RK514")="#N/A FIELD NOT APPLICABLE")," ", _xll.BDP($AX126,"RK514")/100)</f>
        <v>-1.5015300000000001E-3</v>
      </c>
      <c r="AQ126" s="25" cm="1">
        <f t="array" ref="AQ126">IF(OR(_xll.BDP($AX126,"RK521")="#N/A N/A",_xll.BDP($AX126,"RK521")="#N/A FIELD NOT APPLICABLE")," ", _xll.BDP($AX126,"RK521")/100)</f>
        <v>-1.6736400000000001E-3</v>
      </c>
      <c r="AR126" s="25" cm="1">
        <f t="array" ref="AR126">IF(OR(_xll.BDP($AX126,"RK525")="#N/A N/A",_xll.BDP($AX126,"RK525")="#N/A FIELD NOT APPLICABLE")," ", _xll.BDP($AX126,"RK525")/100)</f>
        <v>1.0064200000000001E-2</v>
      </c>
      <c r="AS126" s="25" cm="1">
        <f t="array" ref="AS126">IF(OR(_xll.BDP($AX126,"RK524")="#N/A N/A",_xll.BDP($AX126,"RK524")="#N/A FIELD NOT APPLICABLE")," ", _xll.BDP($AX126,"RK524")/100)</f>
        <v>-3.6069999999999999E-5</v>
      </c>
      <c r="AT126" s="25" t="str" cm="1">
        <f t="array" ref="AT126">IF(OR(_xll.BDP($AX126,"FD183")="#N/A N/A",_xll.BDP($AX126,"FD183")="#N/A FIELD NOT APPLICABLE")," ", _xll.BDP($AX126,"FD183"))</f>
        <v>GBP INC</v>
      </c>
      <c r="AU126" s="25" t="str" cm="1">
        <f t="array" ref="AU126">IF(OR(_xll.BDP($AX126,"DY997")="#N/A N/A",_xll.BDP($AX126,"DY997")="#N/A FIELD NOT APPLICABLE")," ", _xll.BDP($AX126,"DY997"))</f>
        <v xml:space="preserve"> </v>
      </c>
      <c r="AV126" s="25" t="str" cm="1">
        <f t="array" ref="AV126">IF(OR(_xll.BDP($AX126,"DY784")="#N/A N/A",_xll.BDP($AX126,"DY784")="#N/A FIELD NOT APPLICABLE")," ", _xll.BDP($AX126,"DY784"))</f>
        <v xml:space="preserve"> </v>
      </c>
      <c r="AW126" s="22" t="str">
        <f t="shared" si="30"/>
        <v>N</v>
      </c>
      <c r="AX126" s="22" t="str">
        <f t="shared" si="31"/>
        <v>VMID LN Equity</v>
      </c>
      <c r="BC126" s="17" t="str" cm="1">
        <f t="array" ref="BC126">_xll.BDP(AX126,"ID005")</f>
        <v>IE00BKX55Q28</v>
      </c>
      <c r="BD126" s="17">
        <f>VLOOKUP(BC126,'[2]Portefeuille 4380430'!$B$3:$G$38,6,0)</f>
        <v>0.7</v>
      </c>
      <c r="BE126" s="18">
        <v>5</v>
      </c>
      <c r="BF126" s="37"/>
      <c r="BG126" s="20"/>
    </row>
    <row r="127" spans="1:59" s="3" customFormat="1" ht="14.45" customHeight="1" x14ac:dyDescent="0.25">
      <c r="A127" s="49" t="s">
        <v>241</v>
      </c>
      <c r="B127" s="49" t="s">
        <v>266</v>
      </c>
      <c r="C127" s="49" t="s">
        <v>267</v>
      </c>
      <c r="D127" s="49" t="s">
        <v>240</v>
      </c>
      <c r="E127" s="22" t="str">
        <f>_xll.BDP(AX127,"SECURITY NAME")</f>
        <v>Vanguard FTSE 250 UCITS ETF</v>
      </c>
      <c r="F127" s="22" t="str">
        <f>_xll.BDP(AX127,"CRNCY")</f>
        <v>GBP</v>
      </c>
      <c r="G127" s="23" t="s">
        <v>111</v>
      </c>
      <c r="H127" s="22" t="str" cm="1">
        <f t="array" ref="H127">IF(OR(_xll.BDP($AX127,"FD120")="#N/A N/A",_xll.BDP($AX127,"FD120")="#N/A FIELD NOT APPLICABLE")," ",_xll.BDP($AX127,"FD120"))</f>
        <v>U.K.</v>
      </c>
      <c r="I127" s="22" t="str" cm="1">
        <f t="array" ref="I127">IF(OR(_xll.BDP($AX127,"FD116")="#N/A N/A",_xll.BDP($AX127,"FD116")="#N/A FIELD NOT APPLICABLE")," ",_xll.BDP($AX127,"FD116"))</f>
        <v>Blend</v>
      </c>
      <c r="J127" s="22" t="str" cm="1">
        <f t="array" ref="J127">IF(OR(_xll.BDP($AX127,"FD133")="#N/A N/A",_xll.BDP($AX127,"FD133")="#N/A FIELD NOT APPLICABLE")," ", _xll.BDP($AX127,"FD133"))</f>
        <v xml:space="preserve"> </v>
      </c>
      <c r="K127" s="34">
        <f>_xll.BDP(AX127,"FUND_ASSETS_USD")/1000</f>
        <v>2.8763130000000001</v>
      </c>
      <c r="L127" s="25">
        <f>IFERROR(_xll.BDP(AX127, "DV013")/100,0)</f>
        <v>2.3683938414939331E-2</v>
      </c>
      <c r="M127" s="25" cm="1">
        <f t="array" ref="M127">IF(OR(_xll.BDP($AX127,"PR079")="#N/A N/A",_xll.BDP($AX127,"PR079")="#N/A FIELD NOT APPLICABLE")," ", _xll.BDP($AX127,"PR079")/100)</f>
        <v>-2.1391230000000001E-2</v>
      </c>
      <c r="N127" s="25" cm="1">
        <f t="array" ref="N127">IF(OR(_xll.BDP($AX127,"RT074")="#N/A N/A",_xll.BDP($AX127,"RT074")="#N/A FIELD NOT APPLICABLE")," ", _xll.BDP($AX127,"RT074")/100)</f>
        <v>3.3115150000000003E-2</v>
      </c>
      <c r="O127" s="27">
        <v>1220</v>
      </c>
      <c r="P127" s="28">
        <v>31.47</v>
      </c>
      <c r="Q127" s="22" cm="1">
        <f t="array" ref="Q127">IF(OR(_xll.BDP($AX127,"PX_last")="#N/A N/A",_xll.BDP($AX127,"PX_Last")="#N/A FIELD NOT APPLICABLE")," ",IF(F127="GBP",(_xll.BDP($AX127,"PX_LAST")),(_xll.BDP($AX127,"PX_LAST"))))</f>
        <v>30.88</v>
      </c>
      <c r="R127" s="29">
        <f>IF(F127="USD",AA127,(((_xll.BDP(F127&amp;"USD CURNCY","PX_LAST")))*AA127))</f>
        <v>51105.454740000001</v>
      </c>
      <c r="S127" s="29">
        <f>IF(F127="USD",AB127,(((_xll.BDP(F127&amp;"USD CURNCY","PX_LAST")))*AB127))</f>
        <v>50147.328959999999</v>
      </c>
      <c r="T127" s="12">
        <f t="shared" si="24"/>
        <v>-958.12578000000212</v>
      </c>
      <c r="U127" s="13">
        <f t="shared" si="25"/>
        <v>-1.8748013981569792E-2</v>
      </c>
      <c r="V127" s="13" cm="1">
        <f t="array" ref="V127">IFERROR(_xll.BDP($G127&amp;" Equity","CHG_PCT_1D")/100,"")</f>
        <v>5.8631920000000006E-3</v>
      </c>
      <c r="W127" s="13" cm="1">
        <f t="array" ref="W127">IFERROR(_xll.BDP($G127&amp;" Equity","CHG_PCT_5D")/100,"")</f>
        <v>2.5743230000000002E-2</v>
      </c>
      <c r="X127" s="13" t="e">
        <f>S127/#REF!</f>
        <v>#REF!</v>
      </c>
      <c r="Y127" s="29">
        <f t="shared" si="26"/>
        <v>1187.6862507623437</v>
      </c>
      <c r="Z127" s="29">
        <f t="shared" si="27"/>
        <v>50147.328959999999</v>
      </c>
      <c r="AA127" s="29">
        <f t="shared" si="28"/>
        <v>38393.4</v>
      </c>
      <c r="AB127" s="29">
        <f t="shared" si="29"/>
        <v>37673.599999999999</v>
      </c>
      <c r="AC127" s="25" t="str" cm="1">
        <f t="array" ref="AC127">IF(OR(_xll.BDP($AX127,"EX028")="#N/A N/A",_xll.BDP($AX127,"EX028")="#N/A FIELD NOT APPLICABLE")," ", _xll.BDP($AX127,"EX028"))</f>
        <v>Fund</v>
      </c>
      <c r="AD127" s="35" t="str" cm="1">
        <f t="array" ref="AD127">IF(OR(_xll.BDP($AX127,"FD121")="#N/A N/A",_xll.BDP($AX127,"FD121")="#N/A FIELD NOT APPLICABLE")," ", _xll.BDP($AX127,"FD121"))</f>
        <v>Equity</v>
      </c>
      <c r="AE127" s="25" t="str" cm="1">
        <f t="array" ref="AE127">IF(OR(_xll.BDP($AX127,"FD118")="#N/A N/A",_xll.BDP($AX127,"FD118")="#N/A FIELD NOT APPLICABLE")," ", _xll.BDP($AX127,"FD118"))</f>
        <v>ETF</v>
      </c>
      <c r="AF127" s="22" t="str" cm="1">
        <f t="array" ref="AF127">IF(OR(_xll.BDP($AX127,"FD114")="#N/A N/A",_xll.BDP($AX127,"FD114")="#N/A FIELD NOT APPLICABLE")," ", _xll.BDP($AX127,"FD114"))</f>
        <v xml:space="preserve"> </v>
      </c>
      <c r="AG127" s="22" t="str" cm="1">
        <f t="array" ref="AG127">IF(OR(_xll.BDP($AX127,"FD003")="#N/A N/A",_xll.BDP($AX127,"FD003")="#N/A FIELD NOT APPLICABLE")," ", _xll.BDP($AX127,"FD003"))</f>
        <v>30/09/2014</v>
      </c>
      <c r="AH127" s="32" cm="1">
        <f t="array" ref="AH127">IF(OR(_xll.BDP($AX127,"PR061")="#N/A N/A",_xll.BDP($AX127,"PR061")="#N/A FIELD NOT APPLICABLE")," ", _xll.BDP($AX127,"PR061")/100)</f>
        <v>2.9333330000000001E-2</v>
      </c>
      <c r="AI127" s="25" cm="1">
        <f t="array" ref="AI127">IF(OR(_xll.BDP($AX127,"RT075")="#N/A N/A",_xll.BDP($AX127,"RT075")="#N/A FIELD NOT APPLICABLE")," ", _xll.BDP($AX127,"RT075")/100)</f>
        <v>2.035228E-2</v>
      </c>
      <c r="AJ127" s="25" cm="1">
        <f t="array" ref="AJ127">IF(OR(_xll.BDP($AX127,"RT076")="#N/A N/A",_xll.BDP($AX127,"RT076")="#N/A FIELD NOT APPLICABLE")," ", _xll.BDP($AX127,"RT076")/100)</f>
        <v>7.240408000000001E-2</v>
      </c>
      <c r="AK127" s="25" cm="1">
        <f t="array" ref="AK127">IF(OR(_xll.BDP($AX127,"FD252")="#N/A N/A",_xll.BDP($AX127,"FD252")="#N/A FIELD NOT APPLICABLE")," ", _xll.BDP($AX127,"FD252")/100)</f>
        <v>0.02</v>
      </c>
      <c r="AL127" s="25" cm="1">
        <f t="array" ref="AL127">IF(OR(_xll.BDP($AX127,"FD015")="#N/A N/A",_xll.BDP($AX127,"FD015")="#N/A FIELD NOT APPLICABLE")," ", _xll.BDP($AX127,"FD015")/100)</f>
        <v>1E-3</v>
      </c>
      <c r="AM127" s="25" cm="1">
        <f t="array" ref="AM127">IF(OR(_xll.BDP($AX127,"FD138")="#N/A N/A",_xll.BDP($AX127,"FD138")="#N/A FIELD NOT APPLICABLE")," ", _xll.BDP($AX127,"FD138")/100)</f>
        <v>1E-3</v>
      </c>
      <c r="AN127" s="36" t="str" cm="1">
        <f t="array" ref="AN127">IF(OR(_xll.BDP($AX127,"FD009")="#N/A N/A",_xll.BDP($AX127,"FD009")="#N/A FIELD NOT APPLICABLE")," ", _xll.BDP($AX127,"FD009")/100)</f>
        <v xml:space="preserve"> </v>
      </c>
      <c r="AO127" s="25" cm="1">
        <f t="array" ref="AO127">IF(OR(_xll.BDP($AX127,"RK512")="#N/A N/A",_xll.BDP($AX127,"RK512")="#N/A FIELD NOT APPLICABLE")," ", _xll.BDP($AX127,"RK512")/100)</f>
        <v>-1.57175E-3</v>
      </c>
      <c r="AP127" s="25" cm="1">
        <f t="array" ref="AP127">IF(OR(_xll.BDP($AX127,"RK514")="#N/A N/A",_xll.BDP($AX127,"RK514")="#N/A FIELD NOT APPLICABLE")," ", _xll.BDP($AX127,"RK514")/100)</f>
        <v>-1.5015300000000001E-3</v>
      </c>
      <c r="AQ127" s="25" cm="1">
        <f t="array" ref="AQ127">IF(OR(_xll.BDP($AX127,"RK521")="#N/A N/A",_xll.BDP($AX127,"RK521")="#N/A FIELD NOT APPLICABLE")," ", _xll.BDP($AX127,"RK521")/100)</f>
        <v>-1.6736400000000001E-3</v>
      </c>
      <c r="AR127" s="25" cm="1">
        <f t="array" ref="AR127">IF(OR(_xll.BDP($AX127,"RK525")="#N/A N/A",_xll.BDP($AX127,"RK525")="#N/A FIELD NOT APPLICABLE")," ", _xll.BDP($AX127,"RK525")/100)</f>
        <v>1.0064200000000001E-2</v>
      </c>
      <c r="AS127" s="25" cm="1">
        <f t="array" ref="AS127">IF(OR(_xll.BDP($AX127,"RK524")="#N/A N/A",_xll.BDP($AX127,"RK524")="#N/A FIELD NOT APPLICABLE")," ", _xll.BDP($AX127,"RK524")/100)</f>
        <v>-3.6069999999999999E-5</v>
      </c>
      <c r="AT127" s="25" t="str" cm="1">
        <f t="array" ref="AT127">IF(OR(_xll.BDP($AX127,"FD183")="#N/A N/A",_xll.BDP($AX127,"FD183")="#N/A FIELD NOT APPLICABLE")," ", _xll.BDP($AX127,"FD183"))</f>
        <v>GBP INC</v>
      </c>
      <c r="AU127" s="25" t="str" cm="1">
        <f t="array" ref="AU127">IF(OR(_xll.BDP($AX127,"DY997")="#N/A N/A",_xll.BDP($AX127,"DY997")="#N/A FIELD NOT APPLICABLE")," ", _xll.BDP($AX127,"DY997"))</f>
        <v xml:space="preserve"> </v>
      </c>
      <c r="AV127" s="25" t="str" cm="1">
        <f t="array" ref="AV127">IF(OR(_xll.BDP($AX127,"DY784")="#N/A N/A",_xll.BDP($AX127,"DY784")="#N/A FIELD NOT APPLICABLE")," ", _xll.BDP($AX127,"DY784"))</f>
        <v xml:space="preserve"> </v>
      </c>
      <c r="AW127" s="22" t="str">
        <f t="shared" si="30"/>
        <v>N</v>
      </c>
      <c r="AX127" s="22" t="str">
        <f t="shared" si="31"/>
        <v>VMID LN Equity</v>
      </c>
      <c r="BC127" s="17" t="str" cm="1">
        <f t="array" ref="BC127">_xll.BDP(AX127,"ID005")</f>
        <v>IE00BKX55Q28</v>
      </c>
      <c r="BD127" s="17">
        <v>0.7</v>
      </c>
      <c r="BE127" s="18">
        <v>5</v>
      </c>
      <c r="BF127" s="37">
        <v>45434</v>
      </c>
      <c r="BG127" s="20">
        <v>1.0000000000107532</v>
      </c>
    </row>
    <row r="128" spans="1:59" s="3" customFormat="1" ht="14.45" customHeight="1" x14ac:dyDescent="0.25">
      <c r="A128" s="49" t="s">
        <v>241</v>
      </c>
      <c r="B128" s="49" t="s">
        <v>270</v>
      </c>
      <c r="C128" s="49" t="s">
        <v>271</v>
      </c>
      <c r="D128" s="49" t="s">
        <v>240</v>
      </c>
      <c r="E128" s="22" t="str">
        <f>_xll.BDP(AX128,"SECURITY NAME")</f>
        <v>Vanguard FTSE 250 UCITS ETF</v>
      </c>
      <c r="F128" s="22" t="str">
        <f>_xll.BDP(AX128,"CRNCY")</f>
        <v>GBP</v>
      </c>
      <c r="G128" s="23" t="s">
        <v>111</v>
      </c>
      <c r="H128" s="22" t="str" cm="1">
        <f t="array" ref="H128">IF(OR(_xll.BDP($AX128,"FD120")="#N/A N/A",_xll.BDP($AX128,"FD120")="#N/A FIELD NOT APPLICABLE")," ",_xll.BDP($AX128,"FD120"))</f>
        <v>U.K.</v>
      </c>
      <c r="I128" s="22" t="str" cm="1">
        <f t="array" ref="I128">IF(OR(_xll.BDP($AX128,"FD116")="#N/A N/A",_xll.BDP($AX128,"FD116")="#N/A FIELD NOT APPLICABLE")," ",_xll.BDP($AX128,"FD116"))</f>
        <v>Blend</v>
      </c>
      <c r="J128" s="22" t="str" cm="1">
        <f t="array" ref="J128">IF(OR(_xll.BDP($AX128,"FD133")="#N/A N/A",_xll.BDP($AX128,"FD133")="#N/A FIELD NOT APPLICABLE")," ", _xll.BDP($AX128,"FD133"))</f>
        <v xml:space="preserve"> </v>
      </c>
      <c r="K128" s="34">
        <f>_xll.BDP(AX128,"FUND_ASSETS_USD")/1000</f>
        <v>2.8763130000000001</v>
      </c>
      <c r="L128" s="25">
        <f>IFERROR(_xll.BDP(AX128, "DV013")/100,0)</f>
        <v>2.3683938414939331E-2</v>
      </c>
      <c r="M128" s="25" cm="1">
        <f t="array" ref="M128">IF(OR(_xll.BDP($AX128,"PR079")="#N/A N/A",_xll.BDP($AX128,"PR079")="#N/A FIELD NOT APPLICABLE")," ", _xll.BDP($AX128,"PR079")/100)</f>
        <v>-2.1391230000000001E-2</v>
      </c>
      <c r="N128" s="25" cm="1">
        <f t="array" ref="N128">IF(OR(_xll.BDP($AX128,"RT074")="#N/A N/A",_xll.BDP($AX128,"RT074")="#N/A FIELD NOT APPLICABLE")," ", _xll.BDP($AX128,"RT074")/100)</f>
        <v>3.3115150000000003E-2</v>
      </c>
      <c r="O128" s="27">
        <v>1220</v>
      </c>
      <c r="P128" s="28">
        <v>31.47</v>
      </c>
      <c r="Q128" s="22" cm="1">
        <f t="array" ref="Q128">IF(OR(_xll.BDP($AX128,"PX_last")="#N/A N/A",_xll.BDP($AX128,"PX_Last")="#N/A FIELD NOT APPLICABLE")," ",IF(F128="GBP",(_xll.BDP($AX128,"PX_LAST")),(_xll.BDP($AX128,"PX_LAST"))))</f>
        <v>30.88</v>
      </c>
      <c r="R128" s="29">
        <f>IF(F128="USD",AA128,(((_xll.BDP(F128&amp;"USD CURNCY","PX_LAST")))*AA128))</f>
        <v>51105.454740000001</v>
      </c>
      <c r="S128" s="29">
        <f>IF(F128="USD",AB128,(((_xll.BDP(F128&amp;"USD CURNCY","PX_LAST")))*AB128))</f>
        <v>50147.328959999999</v>
      </c>
      <c r="T128" s="12">
        <f t="shared" si="24"/>
        <v>-958.12578000000212</v>
      </c>
      <c r="U128" s="13">
        <f t="shared" si="25"/>
        <v>-1.8748013981569792E-2</v>
      </c>
      <c r="V128" s="13" cm="1">
        <f t="array" ref="V128">IFERROR(_xll.BDP($G128&amp;" Equity","CHG_PCT_1D")/100,"")</f>
        <v>5.8631920000000006E-3</v>
      </c>
      <c r="W128" s="13" cm="1">
        <f t="array" ref="W128">IFERROR(_xll.BDP($G128&amp;" Equity","CHG_PCT_5D")/100,"")</f>
        <v>2.5743230000000002E-2</v>
      </c>
      <c r="X128" s="13" t="e">
        <f>S128/#REF!</f>
        <v>#REF!</v>
      </c>
      <c r="Y128" s="29">
        <f t="shared" si="26"/>
        <v>1187.6862507623437</v>
      </c>
      <c r="Z128" s="29">
        <f t="shared" si="27"/>
        <v>50147.328959999999</v>
      </c>
      <c r="AA128" s="29">
        <f t="shared" si="28"/>
        <v>38393.4</v>
      </c>
      <c r="AB128" s="29">
        <f t="shared" si="29"/>
        <v>37673.599999999999</v>
      </c>
      <c r="AC128" s="25" t="str" cm="1">
        <f t="array" ref="AC128">IF(OR(_xll.BDP($AX128,"EX028")="#N/A N/A",_xll.BDP($AX128,"EX028")="#N/A FIELD NOT APPLICABLE")," ", _xll.BDP($AX128,"EX028"))</f>
        <v>Fund</v>
      </c>
      <c r="AD128" s="35" t="str" cm="1">
        <f t="array" ref="AD128">IF(OR(_xll.BDP($AX128,"FD121")="#N/A N/A",_xll.BDP($AX128,"FD121")="#N/A FIELD NOT APPLICABLE")," ", _xll.BDP($AX128,"FD121"))</f>
        <v>Equity</v>
      </c>
      <c r="AE128" s="25" t="str" cm="1">
        <f t="array" ref="AE128">IF(OR(_xll.BDP($AX128,"FD118")="#N/A N/A",_xll.BDP($AX128,"FD118")="#N/A FIELD NOT APPLICABLE")," ", _xll.BDP($AX128,"FD118"))</f>
        <v>ETF</v>
      </c>
      <c r="AF128" s="22" t="str" cm="1">
        <f t="array" ref="AF128">IF(OR(_xll.BDP($AX128,"FD114")="#N/A N/A",_xll.BDP($AX128,"FD114")="#N/A FIELD NOT APPLICABLE")," ", _xll.BDP($AX128,"FD114"))</f>
        <v xml:space="preserve"> </v>
      </c>
      <c r="AG128" s="22" t="str" cm="1">
        <f t="array" ref="AG128">IF(OR(_xll.BDP($AX128,"FD003")="#N/A N/A",_xll.BDP($AX128,"FD003")="#N/A FIELD NOT APPLICABLE")," ", _xll.BDP($AX128,"FD003"))</f>
        <v>30/09/2014</v>
      </c>
      <c r="AH128" s="32" cm="1">
        <f t="array" ref="AH128">IF(OR(_xll.BDP($AX128,"PR061")="#N/A N/A",_xll.BDP($AX128,"PR061")="#N/A FIELD NOT APPLICABLE")," ", _xll.BDP($AX128,"PR061")/100)</f>
        <v>2.9333330000000001E-2</v>
      </c>
      <c r="AI128" s="25" cm="1">
        <f t="array" ref="AI128">IF(OR(_xll.BDP($AX128,"RT075")="#N/A N/A",_xll.BDP($AX128,"RT075")="#N/A FIELD NOT APPLICABLE")," ", _xll.BDP($AX128,"RT075")/100)</f>
        <v>2.035228E-2</v>
      </c>
      <c r="AJ128" s="25" cm="1">
        <f t="array" ref="AJ128">IF(OR(_xll.BDP($AX128,"RT076")="#N/A N/A",_xll.BDP($AX128,"RT076")="#N/A FIELD NOT APPLICABLE")," ", _xll.BDP($AX128,"RT076")/100)</f>
        <v>7.240408000000001E-2</v>
      </c>
      <c r="AK128" s="25" cm="1">
        <f t="array" ref="AK128">IF(OR(_xll.BDP($AX128,"FD252")="#N/A N/A",_xll.BDP($AX128,"FD252")="#N/A FIELD NOT APPLICABLE")," ", _xll.BDP($AX128,"FD252")/100)</f>
        <v>0.02</v>
      </c>
      <c r="AL128" s="25" cm="1">
        <f t="array" ref="AL128">IF(OR(_xll.BDP($AX128,"FD015")="#N/A N/A",_xll.BDP($AX128,"FD015")="#N/A FIELD NOT APPLICABLE")," ", _xll.BDP($AX128,"FD015")/100)</f>
        <v>1E-3</v>
      </c>
      <c r="AM128" s="25" cm="1">
        <f t="array" ref="AM128">IF(OR(_xll.BDP($AX128,"FD138")="#N/A N/A",_xll.BDP($AX128,"FD138")="#N/A FIELD NOT APPLICABLE")," ", _xll.BDP($AX128,"FD138")/100)</f>
        <v>1E-3</v>
      </c>
      <c r="AN128" s="36" t="str" cm="1">
        <f t="array" ref="AN128">IF(OR(_xll.BDP($AX128,"FD009")="#N/A N/A",_xll.BDP($AX128,"FD009")="#N/A FIELD NOT APPLICABLE")," ", _xll.BDP($AX128,"FD009")/100)</f>
        <v xml:space="preserve"> </v>
      </c>
      <c r="AO128" s="25" cm="1">
        <f t="array" ref="AO128">IF(OR(_xll.BDP($AX128,"RK512")="#N/A N/A",_xll.BDP($AX128,"RK512")="#N/A FIELD NOT APPLICABLE")," ", _xll.BDP($AX128,"RK512")/100)</f>
        <v>-1.57175E-3</v>
      </c>
      <c r="AP128" s="25" cm="1">
        <f t="array" ref="AP128">IF(OR(_xll.BDP($AX128,"RK514")="#N/A N/A",_xll.BDP($AX128,"RK514")="#N/A FIELD NOT APPLICABLE")," ", _xll.BDP($AX128,"RK514")/100)</f>
        <v>-1.5015300000000001E-3</v>
      </c>
      <c r="AQ128" s="25" cm="1">
        <f t="array" ref="AQ128">IF(OR(_xll.BDP($AX128,"RK521")="#N/A N/A",_xll.BDP($AX128,"RK521")="#N/A FIELD NOT APPLICABLE")," ", _xll.BDP($AX128,"RK521")/100)</f>
        <v>-1.6736400000000001E-3</v>
      </c>
      <c r="AR128" s="25" cm="1">
        <f t="array" ref="AR128">IF(OR(_xll.BDP($AX128,"RK525")="#N/A N/A",_xll.BDP($AX128,"RK525")="#N/A FIELD NOT APPLICABLE")," ", _xll.BDP($AX128,"RK525")/100)</f>
        <v>1.0064200000000001E-2</v>
      </c>
      <c r="AS128" s="25" cm="1">
        <f t="array" ref="AS128">IF(OR(_xll.BDP($AX128,"RK524")="#N/A N/A",_xll.BDP($AX128,"RK524")="#N/A FIELD NOT APPLICABLE")," ", _xll.BDP($AX128,"RK524")/100)</f>
        <v>-3.6069999999999999E-5</v>
      </c>
      <c r="AT128" s="25" t="str" cm="1">
        <f t="array" ref="AT128">IF(OR(_xll.BDP($AX128,"FD183")="#N/A N/A",_xll.BDP($AX128,"FD183")="#N/A FIELD NOT APPLICABLE")," ", _xll.BDP($AX128,"FD183"))</f>
        <v>GBP INC</v>
      </c>
      <c r="AU128" s="25" t="str" cm="1">
        <f t="array" ref="AU128">IF(OR(_xll.BDP($AX128,"DY997")="#N/A N/A",_xll.BDP($AX128,"DY997")="#N/A FIELD NOT APPLICABLE")," ", _xll.BDP($AX128,"DY997"))</f>
        <v xml:space="preserve"> </v>
      </c>
      <c r="AV128" s="25" t="str" cm="1">
        <f t="array" ref="AV128">IF(OR(_xll.BDP($AX128,"DY784")="#N/A N/A",_xll.BDP($AX128,"DY784")="#N/A FIELD NOT APPLICABLE")," ", _xll.BDP($AX128,"DY784"))</f>
        <v xml:space="preserve"> </v>
      </c>
      <c r="AW128" s="22" t="str">
        <f t="shared" si="30"/>
        <v>N</v>
      </c>
      <c r="AX128" s="22" t="str">
        <f t="shared" si="31"/>
        <v>VMID LN Equity</v>
      </c>
      <c r="BC128" s="17" t="str" cm="1">
        <f t="array" ref="BC128">_xll.BDP(AX128,"ID005")</f>
        <v>IE00BKX55Q28</v>
      </c>
      <c r="BD128" s="17">
        <v>0.75</v>
      </c>
      <c r="BE128" s="18">
        <v>5</v>
      </c>
      <c r="BF128" s="37">
        <v>45510</v>
      </c>
      <c r="BG128" s="20">
        <v>1.0000000000107532</v>
      </c>
    </row>
    <row r="129" spans="1:59" s="3" customFormat="1" ht="14.45" customHeight="1" x14ac:dyDescent="0.25">
      <c r="A129" s="49" t="s">
        <v>241</v>
      </c>
      <c r="B129" s="49" t="s">
        <v>276</v>
      </c>
      <c r="C129" s="49" t="s">
        <v>277</v>
      </c>
      <c r="D129" s="49" t="s">
        <v>240</v>
      </c>
      <c r="E129" s="22" t="str">
        <f>_xll.BDP(AX129,"SECURITY NAME")</f>
        <v>Vanguard FTSE 250 UCITS ETF</v>
      </c>
      <c r="F129" s="22" t="str">
        <f>_xll.BDP(AX129,"CRNCY")</f>
        <v>GBP</v>
      </c>
      <c r="G129" s="23" t="s">
        <v>111</v>
      </c>
      <c r="H129" s="22" t="str" cm="1">
        <f t="array" ref="H129">IF(OR(_xll.BDP($AX129,"FD120")="#N/A N/A",_xll.BDP($AX129,"FD120")="#N/A FIELD NOT APPLICABLE")," ",_xll.BDP($AX129,"FD120"))</f>
        <v>U.K.</v>
      </c>
      <c r="I129" s="22" t="str" cm="1">
        <f t="array" ref="I129">IF(OR(_xll.BDP($AX129,"FD116")="#N/A N/A",_xll.BDP($AX129,"FD116")="#N/A FIELD NOT APPLICABLE")," ",_xll.BDP($AX129,"FD116"))</f>
        <v>Blend</v>
      </c>
      <c r="J129" s="22" t="str" cm="1">
        <f t="array" ref="J129">IF(OR(_xll.BDP($AX129,"FD133")="#N/A N/A",_xll.BDP($AX129,"FD133")="#N/A FIELD NOT APPLICABLE")," ", _xll.BDP($AX129,"FD133"))</f>
        <v xml:space="preserve"> </v>
      </c>
      <c r="K129" s="34">
        <f>_xll.BDP(AX129,"FUND_ASSETS_USD")/1000</f>
        <v>2.8763130000000001</v>
      </c>
      <c r="L129" s="25">
        <f>IFERROR(_xll.BDP(AX129, "DV013")/100,0)</f>
        <v>2.3683938414939331E-2</v>
      </c>
      <c r="M129" s="25" cm="1">
        <f t="array" ref="M129">IF(OR(_xll.BDP($AX129,"PR079")="#N/A N/A",_xll.BDP($AX129,"PR079")="#N/A FIELD NOT APPLICABLE")," ", _xll.BDP($AX129,"PR079")/100)</f>
        <v>-2.1391230000000001E-2</v>
      </c>
      <c r="N129" s="25" cm="1">
        <f t="array" ref="N129">IF(OR(_xll.BDP($AX129,"RT074")="#N/A N/A",_xll.BDP($AX129,"RT074")="#N/A FIELD NOT APPLICABLE")," ", _xll.BDP($AX129,"RT074")/100)</f>
        <v>3.3115150000000003E-2</v>
      </c>
      <c r="O129" s="27">
        <v>3072</v>
      </c>
      <c r="P129" s="28">
        <v>32.51</v>
      </c>
      <c r="Q129" s="22" cm="1">
        <f t="array" ref="Q129">IF(OR(_xll.BDP($AX129,"PX_last")="#N/A N/A",_xll.BDP($AX129,"PX_Last")="#N/A FIELD NOT APPLICABLE")," ",IF(F129="GBP",(_xll.BDP($AX129,"PX_LAST")),(_xll.BDP($AX129,"PX_LAST"))))</f>
        <v>30.88</v>
      </c>
      <c r="R129" s="29">
        <f>IF(F129="USD",AA129,(((_xll.BDP(F129&amp;"USD CURNCY","PX_LAST")))*AA129))</f>
        <v>132937.915392</v>
      </c>
      <c r="S129" s="29">
        <f>IF(F129="USD",AB129,(((_xll.BDP(F129&amp;"USD CURNCY","PX_LAST")))*AB129))</f>
        <v>126272.618496</v>
      </c>
      <c r="T129" s="12">
        <f t="shared" si="24"/>
        <v>-6665.2968959999998</v>
      </c>
      <c r="U129" s="13">
        <f t="shared" si="25"/>
        <v>-5.0138418948015996E-2</v>
      </c>
      <c r="V129" s="13" cm="1">
        <f t="array" ref="V129">IFERROR(_xll.BDP($G129&amp;" Equity","CHG_PCT_1D")/100,"")</f>
        <v>5.8631920000000006E-3</v>
      </c>
      <c r="W129" s="13" cm="1">
        <f t="array" ref="W129">IFERROR(_xll.BDP($G129&amp;" Equity","CHG_PCT_5D")/100,"")</f>
        <v>2.5743230000000002E-2</v>
      </c>
      <c r="X129" s="13" t="e">
        <f>S129/#REF!</f>
        <v>#REF!</v>
      </c>
      <c r="Y129" s="29">
        <f t="shared" si="26"/>
        <v>2990.632919952393</v>
      </c>
      <c r="Z129" s="29">
        <f t="shared" si="27"/>
        <v>126272.618496</v>
      </c>
      <c r="AA129" s="29">
        <f t="shared" si="28"/>
        <v>99870.720000000001</v>
      </c>
      <c r="AB129" s="29">
        <f t="shared" si="29"/>
        <v>94863.360000000001</v>
      </c>
      <c r="AC129" s="25" t="str" cm="1">
        <f t="array" ref="AC129">IF(OR(_xll.BDP($AX129,"EX028")="#N/A N/A",_xll.BDP($AX129,"EX028")="#N/A FIELD NOT APPLICABLE")," ", _xll.BDP($AX129,"EX028"))</f>
        <v>Fund</v>
      </c>
      <c r="AD129" s="35" t="str" cm="1">
        <f t="array" ref="AD129">IF(OR(_xll.BDP($AX129,"FD121")="#N/A N/A",_xll.BDP($AX129,"FD121")="#N/A FIELD NOT APPLICABLE")," ", _xll.BDP($AX129,"FD121"))</f>
        <v>Equity</v>
      </c>
      <c r="AE129" s="25" t="str" cm="1">
        <f t="array" ref="AE129">IF(OR(_xll.BDP($AX129,"FD118")="#N/A N/A",_xll.BDP($AX129,"FD118")="#N/A FIELD NOT APPLICABLE")," ", _xll.BDP($AX129,"FD118"))</f>
        <v>ETF</v>
      </c>
      <c r="AF129" s="22" t="str" cm="1">
        <f t="array" ref="AF129">IF(OR(_xll.BDP($AX129,"FD114")="#N/A N/A",_xll.BDP($AX129,"FD114")="#N/A FIELD NOT APPLICABLE")," ", _xll.BDP($AX129,"FD114"))</f>
        <v xml:space="preserve"> </v>
      </c>
      <c r="AG129" s="22" t="str" cm="1">
        <f t="array" ref="AG129">IF(OR(_xll.BDP($AX129,"FD003")="#N/A N/A",_xll.BDP($AX129,"FD003")="#N/A FIELD NOT APPLICABLE")," ", _xll.BDP($AX129,"FD003"))</f>
        <v>30/09/2014</v>
      </c>
      <c r="AH129" s="32" cm="1">
        <f t="array" ref="AH129">IF(OR(_xll.BDP($AX129,"PR061")="#N/A N/A",_xll.BDP($AX129,"PR061")="#N/A FIELD NOT APPLICABLE")," ", _xll.BDP($AX129,"PR061")/100)</f>
        <v>2.9333330000000001E-2</v>
      </c>
      <c r="AI129" s="25" cm="1">
        <f t="array" ref="AI129">IF(OR(_xll.BDP($AX129,"RT075")="#N/A N/A",_xll.BDP($AX129,"RT075")="#N/A FIELD NOT APPLICABLE")," ", _xll.BDP($AX129,"RT075")/100)</f>
        <v>2.035228E-2</v>
      </c>
      <c r="AJ129" s="25" cm="1">
        <f t="array" ref="AJ129">IF(OR(_xll.BDP($AX129,"RT076")="#N/A N/A",_xll.BDP($AX129,"RT076")="#N/A FIELD NOT APPLICABLE")," ", _xll.BDP($AX129,"RT076")/100)</f>
        <v>7.240408000000001E-2</v>
      </c>
      <c r="AK129" s="25" cm="1">
        <f t="array" ref="AK129">IF(OR(_xll.BDP($AX129,"FD252")="#N/A N/A",_xll.BDP($AX129,"FD252")="#N/A FIELD NOT APPLICABLE")," ", _xll.BDP($AX129,"FD252")/100)</f>
        <v>0.02</v>
      </c>
      <c r="AL129" s="25" cm="1">
        <f t="array" ref="AL129">IF(OR(_xll.BDP($AX129,"FD015")="#N/A N/A",_xll.BDP($AX129,"FD015")="#N/A FIELD NOT APPLICABLE")," ", _xll.BDP($AX129,"FD015")/100)</f>
        <v>1E-3</v>
      </c>
      <c r="AM129" s="25" cm="1">
        <f t="array" ref="AM129">IF(OR(_xll.BDP($AX129,"FD138")="#N/A N/A",_xll.BDP($AX129,"FD138")="#N/A FIELD NOT APPLICABLE")," ", _xll.BDP($AX129,"FD138")/100)</f>
        <v>1E-3</v>
      </c>
      <c r="AN129" s="36" t="str" cm="1">
        <f t="array" ref="AN129">IF(OR(_xll.BDP($AX129,"FD009")="#N/A N/A",_xll.BDP($AX129,"FD009")="#N/A FIELD NOT APPLICABLE")," ", _xll.BDP($AX129,"FD009")/100)</f>
        <v xml:space="preserve"> </v>
      </c>
      <c r="AO129" s="25" cm="1">
        <f t="array" ref="AO129">IF(OR(_xll.BDP($AX129,"RK512")="#N/A N/A",_xll.BDP($AX129,"RK512")="#N/A FIELD NOT APPLICABLE")," ", _xll.BDP($AX129,"RK512")/100)</f>
        <v>-1.57175E-3</v>
      </c>
      <c r="AP129" s="25" cm="1">
        <f t="array" ref="AP129">IF(OR(_xll.BDP($AX129,"RK514")="#N/A N/A",_xll.BDP($AX129,"RK514")="#N/A FIELD NOT APPLICABLE")," ", _xll.BDP($AX129,"RK514")/100)</f>
        <v>-1.5015300000000001E-3</v>
      </c>
      <c r="AQ129" s="25" cm="1">
        <f t="array" ref="AQ129">IF(OR(_xll.BDP($AX129,"RK521")="#N/A N/A",_xll.BDP($AX129,"RK521")="#N/A FIELD NOT APPLICABLE")," ", _xll.BDP($AX129,"RK521")/100)</f>
        <v>-1.6736400000000001E-3</v>
      </c>
      <c r="AR129" s="25" cm="1">
        <f t="array" ref="AR129">IF(OR(_xll.BDP($AX129,"RK525")="#N/A N/A",_xll.BDP($AX129,"RK525")="#N/A FIELD NOT APPLICABLE")," ", _xll.BDP($AX129,"RK525")/100)</f>
        <v>1.0064200000000001E-2</v>
      </c>
      <c r="AS129" s="25" cm="1">
        <f t="array" ref="AS129">IF(OR(_xll.BDP($AX129,"RK524")="#N/A N/A",_xll.BDP($AX129,"RK524")="#N/A FIELD NOT APPLICABLE")," ", _xll.BDP($AX129,"RK524")/100)</f>
        <v>-3.6069999999999999E-5</v>
      </c>
      <c r="AT129" s="25" t="str" cm="1">
        <f t="array" ref="AT129">IF(OR(_xll.BDP($AX129,"FD183")="#N/A N/A",_xll.BDP($AX129,"FD183")="#N/A FIELD NOT APPLICABLE")," ", _xll.BDP($AX129,"FD183"))</f>
        <v>GBP INC</v>
      </c>
      <c r="AU129" s="25" t="str" cm="1">
        <f t="array" ref="AU129">IF(OR(_xll.BDP($AX129,"DY997")="#N/A N/A",_xll.BDP($AX129,"DY997")="#N/A FIELD NOT APPLICABLE")," ", _xll.BDP($AX129,"DY997"))</f>
        <v xml:space="preserve"> </v>
      </c>
      <c r="AV129" s="25" t="str" cm="1">
        <f t="array" ref="AV129">IF(OR(_xll.BDP($AX129,"DY784")="#N/A N/A",_xll.BDP($AX129,"DY784")="#N/A FIELD NOT APPLICABLE")," ", _xll.BDP($AX129,"DY784"))</f>
        <v xml:space="preserve"> </v>
      </c>
      <c r="AW129" s="22" t="str">
        <f t="shared" si="30"/>
        <v>N</v>
      </c>
      <c r="AX129" s="22" t="str">
        <f t="shared" si="31"/>
        <v>VMID LN Equity</v>
      </c>
      <c r="BC129" s="17" t="str" cm="1">
        <f t="array" ref="BC129">_xll.BDP(AX129,"ID005")</f>
        <v>IE00BKX55Q28</v>
      </c>
      <c r="BD129" s="17">
        <v>0.75</v>
      </c>
      <c r="BE129" s="18">
        <v>5</v>
      </c>
      <c r="BF129" s="37">
        <v>45492</v>
      </c>
      <c r="BG129" s="20">
        <v>1.0000000000107532</v>
      </c>
    </row>
    <row r="130" spans="1:59" s="3" customFormat="1" ht="14.45" customHeight="1" x14ac:dyDescent="0.25">
      <c r="A130" s="49" t="s">
        <v>242</v>
      </c>
      <c r="B130" s="49" t="s">
        <v>243</v>
      </c>
      <c r="C130" s="49" t="s">
        <v>244</v>
      </c>
      <c r="D130" s="49" t="s">
        <v>245</v>
      </c>
      <c r="E130" s="22" t="str">
        <f>_xll.BDP(AX130,"SECURITY NAME")</f>
        <v>Vanguard Global ex-U.S. Real E</v>
      </c>
      <c r="F130" s="22" t="str">
        <f>_xll.BDP(AX130,"CRNCY")</f>
        <v>USD</v>
      </c>
      <c r="G130" s="23" t="s">
        <v>126</v>
      </c>
      <c r="H130" s="22" t="str" cm="1">
        <f t="array" ref="H130">IF(OR(_xll.BDP($AX130,"FD120")="#N/A N/A",_xll.BDP($AX130,"FD120")="#N/A FIELD NOT APPLICABLE")," ",_xll.BDP($AX130,"FD120"))</f>
        <v>International</v>
      </c>
      <c r="I130" s="22" t="str" cm="1">
        <f t="array" ref="I130">IF(OR(_xll.BDP($AX130,"FD116")="#N/A N/A",_xll.BDP($AX130,"FD116")="#N/A FIELD NOT APPLICABLE")," ",_xll.BDP($AX130,"FD116"))</f>
        <v>Blend</v>
      </c>
      <c r="J130" s="22" t="str" cm="1">
        <f t="array" ref="J130">IF(OR(_xll.BDP($AX130,"FD133")="#N/A N/A",_xll.BDP($AX130,"FD133")="#N/A FIELD NOT APPLICABLE")," ", _xll.BDP($AX130,"FD133"))</f>
        <v>Real Estate</v>
      </c>
      <c r="K130" s="34">
        <f>_xll.BDP(AX130,"FUND_ASSETS_USD")/1000</f>
        <v>3.2757616777600003</v>
      </c>
      <c r="L130" s="25">
        <f>IFERROR(_xll.BDP(AX130, "DV013")/100,0)</f>
        <v>4.7539609231797758E-2</v>
      </c>
      <c r="M130" s="25" cm="1">
        <f t="array" ref="M130">IF(OR(_xll.BDP($AX130,"PR079")="#N/A N/A",_xll.BDP($AX130,"PR079")="#N/A FIELD NOT APPLICABLE")," ", _xll.BDP($AX130,"PR079")/100)</f>
        <v>8.4934239999999994E-2</v>
      </c>
      <c r="N130" s="25" cm="1">
        <f t="array" ref="N130">IF(OR(_xll.BDP($AX130,"RT074")="#N/A N/A",_xll.BDP($AX130,"RT074")="#N/A FIELD NOT APPLICABLE")," ", _xll.BDP($AX130,"RT074")/100)</f>
        <v>0.10886269999999999</v>
      </c>
      <c r="O130" s="27">
        <v>1639</v>
      </c>
      <c r="P130" s="28">
        <v>42.48</v>
      </c>
      <c r="Q130" s="22" cm="1">
        <f t="array" ref="Q130">IF(OR(_xll.BDP($AX130,"PX_last")="#N/A N/A",_xll.BDP($AX130,"PX_Last")="#N/A FIELD NOT APPLICABLE")," ",IF(F130="GBP",(_xll.BDP($AX130,"PX_LAST")/100),(_xll.BDP($AX130,"PX_LAST"))))</f>
        <v>42.92</v>
      </c>
      <c r="R130" s="29">
        <f>IF(F130="USD",AA130,(((_xll.BDP(F130&amp;"USD CURNCY","PX_LAST")))*AA130))</f>
        <v>69624.72</v>
      </c>
      <c r="S130" s="29">
        <f>IF(F130="USD",AB130,(((_xll.BDP(F130&amp;"USD CURNCY","PX_LAST")))*AB130))</f>
        <v>70345.88</v>
      </c>
      <c r="T130" s="12">
        <f t="shared" si="24"/>
        <v>721.16000000000349</v>
      </c>
      <c r="U130" s="13">
        <f t="shared" si="25"/>
        <v>1.0357815442561256E-2</v>
      </c>
      <c r="V130" s="13" cm="1">
        <f t="array" ref="V130">IFERROR(_xll.BDP($G130&amp;" Equity","CHG_PCT_1D")/100,"")</f>
        <v>4.6620050000000001E-4</v>
      </c>
      <c r="W130" s="13" cm="1">
        <f t="array" ref="W130">IFERROR(_xll.BDP($G130&amp;" Equity","CHG_PCT_5D")/100,"")</f>
        <v>6.0947019999999996E-3</v>
      </c>
      <c r="X130" s="13" t="e">
        <f>S130/$H$62</f>
        <v>#VALUE!</v>
      </c>
      <c r="Y130" s="29">
        <f t="shared" si="26"/>
        <v>3344.2156462669377</v>
      </c>
      <c r="Z130" s="29">
        <f t="shared" si="27"/>
        <v>70345.88</v>
      </c>
      <c r="AA130" s="29">
        <f t="shared" si="28"/>
        <v>69624.72</v>
      </c>
      <c r="AB130" s="29">
        <f t="shared" si="29"/>
        <v>70345.88</v>
      </c>
      <c r="AC130" s="25" t="str" cm="1">
        <f t="array" ref="AC130">IF(OR(_xll.BDP($AX130,"EX028")="#N/A N/A",_xll.BDP($AX130,"EX028")="#N/A FIELD NOT APPLICABLE")," ", _xll.BDP($AX130,"EX028"))</f>
        <v>Fund</v>
      </c>
      <c r="AD130" s="35" t="str" cm="1">
        <f t="array" ref="AD130">IF(OR(_xll.BDP($AX130,"FD121")="#N/A N/A",_xll.BDP($AX130,"FD121")="#N/A FIELD NOT APPLICABLE")," ", _xll.BDP($AX130,"FD121"))</f>
        <v>Equity</v>
      </c>
      <c r="AE130" s="25" t="str" cm="1">
        <f t="array" ref="AE130">IF(OR(_xll.BDP($AX130,"FD118")="#N/A N/A",_xll.BDP($AX130,"FD118")="#N/A FIELD NOT APPLICABLE")," ", _xll.BDP($AX130,"FD118"))</f>
        <v>ETF</v>
      </c>
      <c r="AF130" s="22" t="str" cm="1">
        <f t="array" ref="AF130">IF(OR(_xll.BDP($AX130,"FD114")="#N/A N/A",_xll.BDP($AX130,"FD114")="#N/A FIELD NOT APPLICABLE")," ", _xll.BDP($AX130,"FD114"))</f>
        <v xml:space="preserve"> </v>
      </c>
      <c r="AG130" s="22" t="str" cm="1">
        <f t="array" ref="AG130">IF(OR(_xll.BDP($AX130,"FD003")="#N/A N/A",_xll.BDP($AX130,"FD003")="#N/A FIELD NOT APPLICABLE")," ", _xll.BDP($AX130,"FD003"))</f>
        <v>01/11/2010</v>
      </c>
      <c r="AH130" s="32" cm="1">
        <f t="array" ref="AH130">IF(OR(_xll.BDP($AX130,"PR061")="#N/A N/A",_xll.BDP($AX130,"PR061")="#N/A FIELD NOT APPLICABLE")," ", _xll.BDP($AX130,"PR061")/100)</f>
        <v>5.1702979999999996E-2</v>
      </c>
      <c r="AI130" s="25" cm="1">
        <f t="array" ref="AI130">IF(OR(_xll.BDP($AX130,"RT075")="#N/A N/A",_xll.BDP($AX130,"RT075")="#N/A FIELD NOT APPLICABLE")," ", _xll.BDP($AX130,"RT075")/100)</f>
        <v>-1.031529E-2</v>
      </c>
      <c r="AJ130" s="25" cm="1">
        <f t="array" ref="AJ130">IF(OR(_xll.BDP($AX130,"RT076")="#N/A N/A",_xll.BDP($AX130,"RT076")="#N/A FIELD NOT APPLICABLE")," ", _xll.BDP($AX130,"RT076")/100)</f>
        <v>3.148915E-2</v>
      </c>
      <c r="AK130" s="25" cm="1">
        <f t="array" ref="AK130">IF(OR(_xll.BDP($AX130,"FD252")="#N/A N/A",_xll.BDP($AX130,"FD252")="#N/A FIELD NOT APPLICABLE")," ", _xll.BDP($AX130,"FD252")/100)</f>
        <v>0</v>
      </c>
      <c r="AL130" s="25" cm="1">
        <f t="array" ref="AL130">IF(OR(_xll.BDP($AX130,"FD015")="#N/A N/A",_xll.BDP($AX130,"FD015")="#N/A FIELD NOT APPLICABLE")," ", _xll.BDP($AX130,"FD015")/100)</f>
        <v>1.1999999999999999E-3</v>
      </c>
      <c r="AM130" s="25" cm="1">
        <f t="array" ref="AM130">IF(OR(_xll.BDP($AX130,"FD138")="#N/A N/A",_xll.BDP($AX130,"FD138")="#N/A FIELD NOT APPLICABLE")," ", _xll.BDP($AX130,"FD138")/100)</f>
        <v>8.9999999999999998E-4</v>
      </c>
      <c r="AN130" s="36" cm="1">
        <f t="array" ref="AN130">IF(OR(_xll.BDP($AX130,"FD009")="#N/A N/A",_xll.BDP($AX130,"FD009")="#N/A FIELD NOT APPLICABLE")," ", _xll.BDP($AX130,"FD009")/100)</f>
        <v>0</v>
      </c>
      <c r="AO130" s="25" cm="1">
        <f t="array" ref="AO130">IF(OR(_xll.BDP($AX130,"RK512")="#N/A N/A",_xll.BDP($AX130,"RK512")="#N/A FIELD NOT APPLICABLE")," ", _xll.BDP($AX130,"RK512")/100)</f>
        <v>4.364460110664368E-3</v>
      </c>
      <c r="AP130" s="25" cm="1">
        <f t="array" ref="AP130">IF(OR(_xll.BDP($AX130,"RK514")="#N/A N/A",_xll.BDP($AX130,"RK514")="#N/A FIELD NOT APPLICABLE")," ", _xll.BDP($AX130,"RK514")/100)</f>
        <v>4.6496900916099546E-3</v>
      </c>
      <c r="AQ130" s="25" cm="1">
        <f t="array" ref="AQ130">IF(OR(_xll.BDP($AX130,"RK521")="#N/A N/A",_xll.BDP($AX130,"RK521")="#N/A FIELD NOT APPLICABLE")," ", _xll.BDP($AX130,"RK521")/100)</f>
        <v>6.5189498662948609E-3</v>
      </c>
      <c r="AR130" s="25" cm="1">
        <f t="array" ref="AR130">IF(OR(_xll.BDP($AX130,"RK525")="#N/A N/A",_xll.BDP($AX130,"RK525")="#N/A FIELD NOT APPLICABLE")," ", _xll.BDP($AX130,"RK525")/100)</f>
        <v>9.6240901947021486E-3</v>
      </c>
      <c r="AS130" s="25" cm="1">
        <f t="array" ref="AS130">IF(OR(_xll.BDP($AX130,"RK524")="#N/A N/A",_xll.BDP($AX130,"RK524")="#N/A FIELD NOT APPLICABLE")," ", _xll.BDP($AX130,"RK524")/100)</f>
        <v>1.9533000886440277E-4</v>
      </c>
      <c r="AT130" s="25" t="str" cm="1">
        <f t="array" ref="AT130">IF(OR(_xll.BDP($AX130,"FD183")="#N/A N/A",_xll.BDP($AX130,"FD183")="#N/A FIELD NOT APPLICABLE")," ", _xll.BDP($AX130,"FD183"))</f>
        <v>USD INC</v>
      </c>
      <c r="AU130" s="25" t="str" cm="1">
        <f t="array" ref="AU130">IF(OR(_xll.BDP($AX130,"DY997")="#N/A N/A",_xll.BDP($AX130,"DY997")="#N/A FIELD NOT APPLICABLE")," ", _xll.BDP($AX130,"DY997"))</f>
        <v xml:space="preserve"> </v>
      </c>
      <c r="AV130" s="25" t="str" cm="1">
        <f t="array" ref="AV130">IF(OR(_xll.BDP($AX130,"DY784")="#N/A N/A",_xll.BDP($AX130,"DY784")="#N/A FIELD NOT APPLICABLE")," ", _xll.BDP($AX130,"DY784"))</f>
        <v xml:space="preserve"> </v>
      </c>
      <c r="AW130" s="22" t="str">
        <f t="shared" si="30"/>
        <v>N</v>
      </c>
      <c r="AX130" s="22" t="str">
        <f t="shared" si="31"/>
        <v>VNQI US Equity</v>
      </c>
      <c r="BC130" s="17" t="str" cm="1">
        <f t="array" ref="BC130">_xll.BDP(AX130,"ID005")</f>
        <v>US9220426764</v>
      </c>
      <c r="BD130" s="17">
        <v>0.7500000132472896</v>
      </c>
      <c r="BE130" s="18">
        <v>5</v>
      </c>
      <c r="BF130" s="37">
        <v>44418</v>
      </c>
      <c r="BG130" s="20">
        <v>1.0000000000107532</v>
      </c>
    </row>
    <row r="131" spans="1:59" s="3" customFormat="1" ht="14.45" customHeight="1" x14ac:dyDescent="0.25">
      <c r="A131" s="49" t="s">
        <v>241</v>
      </c>
      <c r="B131" s="49" t="s">
        <v>249</v>
      </c>
      <c r="C131" s="49" t="s">
        <v>250</v>
      </c>
      <c r="D131" s="49" t="s">
        <v>240</v>
      </c>
      <c r="E131" s="22" t="str">
        <f>_xll.BDP(AX131,"SECURITY NAME")</f>
        <v>Vanguard Global ex-U.S. Real E</v>
      </c>
      <c r="F131" s="22" t="str">
        <f>_xll.BDP(AX131,"CRNCY")</f>
        <v>USD</v>
      </c>
      <c r="G131" s="23" t="s">
        <v>126</v>
      </c>
      <c r="H131" s="22" t="str" cm="1">
        <f t="array" ref="H131">IF(OR(_xll.BDP($AX131,"FD120")="#N/A N/A",_xll.BDP($AX131,"FD120")="#N/A FIELD NOT APPLICABLE")," ",_xll.BDP($AX131,"FD120"))</f>
        <v>International</v>
      </c>
      <c r="I131" s="22" t="str" cm="1">
        <f t="array" ref="I131">IF(OR(_xll.BDP($AX131,"FD116")="#N/A N/A",_xll.BDP($AX131,"FD116")="#N/A FIELD NOT APPLICABLE")," ",_xll.BDP($AX131,"FD116"))</f>
        <v>Blend</v>
      </c>
      <c r="J131" s="22" t="str" cm="1">
        <f t="array" ref="J131">IF(OR(_xll.BDP($AX131,"FD133")="#N/A N/A",_xll.BDP($AX131,"FD133")="#N/A FIELD NOT APPLICABLE")," ", _xll.BDP($AX131,"FD133"))</f>
        <v>Real Estate</v>
      </c>
      <c r="K131" s="34">
        <f>_xll.BDP(AX131,"FUND_ASSETS_USD")/1000</f>
        <v>3.2757616777600003</v>
      </c>
      <c r="L131" s="25">
        <f>IFERROR(_xll.BDP(AX131, "DV013")/100,0)</f>
        <v>4.7539609231797758E-2</v>
      </c>
      <c r="M131" s="25" cm="1">
        <f t="array" ref="M131">IF(OR(_xll.BDP($AX131,"PR079")="#N/A N/A",_xll.BDP($AX131,"PR079")="#N/A FIELD NOT APPLICABLE")," ", _xll.BDP($AX131,"PR079")/100)</f>
        <v>8.4934239999999994E-2</v>
      </c>
      <c r="N131" s="25" cm="1">
        <f t="array" ref="N131">IF(OR(_xll.BDP($AX131,"RT074")="#N/A N/A",_xll.BDP($AX131,"RT074")="#N/A FIELD NOT APPLICABLE")," ", _xll.BDP($AX131,"RT074")/100)</f>
        <v>0.10886269999999999</v>
      </c>
      <c r="O131" s="27">
        <v>1170</v>
      </c>
      <c r="P131" s="28">
        <v>42.527859999999997</v>
      </c>
      <c r="Q131" s="22" cm="1">
        <f t="array" ref="Q131">IF(OR(_xll.BDP($AX131,"PX_last")="#N/A N/A",_xll.BDP($AX131,"PX_Last")="#N/A FIELD NOT APPLICABLE")," ",IF(F131="GBP",(_xll.BDP($AX131,"PX_LAST")/100),(_xll.BDP($AX131,"PX_LAST"))))</f>
        <v>42.92</v>
      </c>
      <c r="R131" s="29">
        <f>IF(F131="USD",AA131,(((_xll.BDP(F131&amp;"USD CURNCY","PX_LAST")))*AA131))</f>
        <v>49757.5962</v>
      </c>
      <c r="S131" s="29">
        <f>IF(F131="USD",AB131,(((_xll.BDP(F131&amp;"USD CURNCY","PX_LAST")))*AB131))</f>
        <v>50216.4</v>
      </c>
      <c r="T131" s="12">
        <f t="shared" ref="T131:T141" si="32">S131-R131</f>
        <v>458.8038000000015</v>
      </c>
      <c r="U131" s="13">
        <f t="shared" ref="U131:U141" si="33">T131/R131</f>
        <v>9.2207790375532957E-3</v>
      </c>
      <c r="V131" s="13" cm="1">
        <f t="array" ref="V131">IFERROR(_xll.BDP($G131&amp;" Equity","CHG_PCT_1D")/100,"")</f>
        <v>4.6620050000000001E-4</v>
      </c>
      <c r="W131" s="13" cm="1">
        <f t="array" ref="W131">IFERROR(_xll.BDP($G131&amp;" Equity","CHG_PCT_5D")/100,"")</f>
        <v>6.0947019999999996E-3</v>
      </c>
      <c r="X131" s="13" t="e">
        <f>S131/$H$62</f>
        <v>#VALUE!</v>
      </c>
      <c r="Y131" s="29">
        <f t="shared" ref="Y131:Y141" si="34">IFERROR(S131*L131,0)</f>
        <v>2387.2680330276489</v>
      </c>
      <c r="Z131" s="29">
        <f t="shared" ref="Z131:Z141" si="35">S131</f>
        <v>50216.4</v>
      </c>
      <c r="AA131" s="29">
        <f t="shared" ref="AA131:AA141" si="36">P131*O131</f>
        <v>49757.5962</v>
      </c>
      <c r="AB131" s="29">
        <f t="shared" ref="AB131:AB141" si="37">IFERROR(O131*Q131,0)</f>
        <v>50216.4</v>
      </c>
      <c r="AC131" s="25" t="str" cm="1">
        <f t="array" ref="AC131">IF(OR(_xll.BDP($AX131,"EX028")="#N/A N/A",_xll.BDP($AX131,"EX028")="#N/A FIELD NOT APPLICABLE")," ", _xll.BDP($AX131,"EX028"))</f>
        <v>Fund</v>
      </c>
      <c r="AD131" s="35" t="str" cm="1">
        <f t="array" ref="AD131">IF(OR(_xll.BDP($AX131,"FD121")="#N/A N/A",_xll.BDP($AX131,"FD121")="#N/A FIELD NOT APPLICABLE")," ", _xll.BDP($AX131,"FD121"))</f>
        <v>Equity</v>
      </c>
      <c r="AE131" s="25" t="str" cm="1">
        <f t="array" ref="AE131">IF(OR(_xll.BDP($AX131,"FD118")="#N/A N/A",_xll.BDP($AX131,"FD118")="#N/A FIELD NOT APPLICABLE")," ", _xll.BDP($AX131,"FD118"))</f>
        <v>ETF</v>
      </c>
      <c r="AF131" s="22" t="str" cm="1">
        <f t="array" ref="AF131">IF(OR(_xll.BDP($AX131,"FD114")="#N/A N/A",_xll.BDP($AX131,"FD114")="#N/A FIELD NOT APPLICABLE")," ", _xll.BDP($AX131,"FD114"))</f>
        <v xml:space="preserve"> </v>
      </c>
      <c r="AG131" s="22" t="str" cm="1">
        <f t="array" ref="AG131">IF(OR(_xll.BDP($AX131,"FD003")="#N/A N/A",_xll.BDP($AX131,"FD003")="#N/A FIELD NOT APPLICABLE")," ", _xll.BDP($AX131,"FD003"))</f>
        <v>01/11/2010</v>
      </c>
      <c r="AH131" s="32" cm="1">
        <f t="array" ref="AH131">IF(OR(_xll.BDP($AX131,"PR061")="#N/A N/A",_xll.BDP($AX131,"PR061")="#N/A FIELD NOT APPLICABLE")," ", _xll.BDP($AX131,"PR061")/100)</f>
        <v>5.1702979999999996E-2</v>
      </c>
      <c r="AI131" s="25" cm="1">
        <f t="array" ref="AI131">IF(OR(_xll.BDP($AX131,"RT075")="#N/A N/A",_xll.BDP($AX131,"RT075")="#N/A FIELD NOT APPLICABLE")," ", _xll.BDP($AX131,"RT075")/100)</f>
        <v>-1.031529E-2</v>
      </c>
      <c r="AJ131" s="25" cm="1">
        <f t="array" ref="AJ131">IF(OR(_xll.BDP($AX131,"RT076")="#N/A N/A",_xll.BDP($AX131,"RT076")="#N/A FIELD NOT APPLICABLE")," ", _xll.BDP($AX131,"RT076")/100)</f>
        <v>3.148915E-2</v>
      </c>
      <c r="AK131" s="25" cm="1">
        <f t="array" ref="AK131">IF(OR(_xll.BDP($AX131,"FD252")="#N/A N/A",_xll.BDP($AX131,"FD252")="#N/A FIELD NOT APPLICABLE")," ", _xll.BDP($AX131,"FD252")/100)</f>
        <v>0</v>
      </c>
      <c r="AL131" s="25" cm="1">
        <f t="array" ref="AL131">IF(OR(_xll.BDP($AX131,"FD015")="#N/A N/A",_xll.BDP($AX131,"FD015")="#N/A FIELD NOT APPLICABLE")," ", _xll.BDP($AX131,"FD015")/100)</f>
        <v>1.1999999999999999E-3</v>
      </c>
      <c r="AM131" s="25" cm="1">
        <f t="array" ref="AM131">IF(OR(_xll.BDP($AX131,"FD138")="#N/A N/A",_xll.BDP($AX131,"FD138")="#N/A FIELD NOT APPLICABLE")," ", _xll.BDP($AX131,"FD138")/100)</f>
        <v>8.9999999999999998E-4</v>
      </c>
      <c r="AN131" s="36" cm="1">
        <f t="array" ref="AN131">IF(OR(_xll.BDP($AX131,"FD009")="#N/A N/A",_xll.BDP($AX131,"FD009")="#N/A FIELD NOT APPLICABLE")," ", _xll.BDP($AX131,"FD009")/100)</f>
        <v>0</v>
      </c>
      <c r="AO131" s="25" cm="1">
        <f t="array" ref="AO131">IF(OR(_xll.BDP($AX131,"RK512")="#N/A N/A",_xll.BDP($AX131,"RK512")="#N/A FIELD NOT APPLICABLE")," ", _xll.BDP($AX131,"RK512")/100)</f>
        <v>4.364460110664368E-3</v>
      </c>
      <c r="AP131" s="25" cm="1">
        <f t="array" ref="AP131">IF(OR(_xll.BDP($AX131,"RK514")="#N/A N/A",_xll.BDP($AX131,"RK514")="#N/A FIELD NOT APPLICABLE")," ", _xll.BDP($AX131,"RK514")/100)</f>
        <v>4.6496900916099546E-3</v>
      </c>
      <c r="AQ131" s="25" cm="1">
        <f t="array" ref="AQ131">IF(OR(_xll.BDP($AX131,"RK521")="#N/A N/A",_xll.BDP($AX131,"RK521")="#N/A FIELD NOT APPLICABLE")," ", _xll.BDP($AX131,"RK521")/100)</f>
        <v>6.5189498662948609E-3</v>
      </c>
      <c r="AR131" s="25" cm="1">
        <f t="array" ref="AR131">IF(OR(_xll.BDP($AX131,"RK525")="#N/A N/A",_xll.BDP($AX131,"RK525")="#N/A FIELD NOT APPLICABLE")," ", _xll.BDP($AX131,"RK525")/100)</f>
        <v>9.6240901947021486E-3</v>
      </c>
      <c r="AS131" s="25" cm="1">
        <f t="array" ref="AS131">IF(OR(_xll.BDP($AX131,"RK524")="#N/A N/A",_xll.BDP($AX131,"RK524")="#N/A FIELD NOT APPLICABLE")," ", _xll.BDP($AX131,"RK524")/100)</f>
        <v>1.9533000886440277E-4</v>
      </c>
      <c r="AT131" s="25" t="str" cm="1">
        <f t="array" ref="AT131">IF(OR(_xll.BDP($AX131,"FD183")="#N/A N/A",_xll.BDP($AX131,"FD183")="#N/A FIELD NOT APPLICABLE")," ", _xll.BDP($AX131,"FD183"))</f>
        <v>USD INC</v>
      </c>
      <c r="AU131" s="25" t="str" cm="1">
        <f t="array" ref="AU131">IF(OR(_xll.BDP($AX131,"DY997")="#N/A N/A",_xll.BDP($AX131,"DY997")="#N/A FIELD NOT APPLICABLE")," ", _xll.BDP($AX131,"DY997"))</f>
        <v xml:space="preserve"> </v>
      </c>
      <c r="AV131" s="25" t="str" cm="1">
        <f t="array" ref="AV131">IF(OR(_xll.BDP($AX131,"DY784")="#N/A N/A",_xll.BDP($AX131,"DY784")="#N/A FIELD NOT APPLICABLE")," ", _xll.BDP($AX131,"DY784"))</f>
        <v xml:space="preserve"> </v>
      </c>
      <c r="AW131" s="22" t="str">
        <f t="shared" ref="AW131:AW141" si="38">IF(OR(AU131="Y",AV131="Y"),"Y","N")</f>
        <v>N</v>
      </c>
      <c r="AX131" s="22" t="str">
        <f t="shared" ref="AX131:AX141" si="39">CONCATENATE(G131," Equity")</f>
        <v>VNQI US Equity</v>
      </c>
      <c r="BC131" s="17" t="str" cm="1">
        <f t="array" ref="BC131">_xll.BDP(AX131,"ID005")</f>
        <v>US9220426764</v>
      </c>
      <c r="BD131" s="17">
        <v>0.75</v>
      </c>
      <c r="BE131" s="18">
        <v>5</v>
      </c>
      <c r="BF131" s="37">
        <v>45492</v>
      </c>
      <c r="BG131" s="20">
        <v>1.0000000000107532</v>
      </c>
    </row>
    <row r="132" spans="1:59" s="3" customFormat="1" ht="14.45" customHeight="1" x14ac:dyDescent="0.25">
      <c r="A132" s="49" t="s">
        <v>241</v>
      </c>
      <c r="B132" s="49" t="s">
        <v>251</v>
      </c>
      <c r="C132" s="49" t="s">
        <v>252</v>
      </c>
      <c r="D132" s="49" t="s">
        <v>240</v>
      </c>
      <c r="E132" s="22" t="str">
        <f>_xll.BDP(AX132,"SECURITY NAME")</f>
        <v>Vanguard Global ex-U.S. Real E</v>
      </c>
      <c r="F132" s="22" t="str">
        <f>_xll.BDP(AX132,"CRNCY")</f>
        <v>USD</v>
      </c>
      <c r="G132" s="23" t="s">
        <v>126</v>
      </c>
      <c r="H132" s="22" t="str" cm="1">
        <f t="array" ref="H132">IF(OR(_xll.BDP($AX132,"FD120")="#N/A N/A",_xll.BDP($AX132,"FD120")="#N/A FIELD NOT APPLICABLE")," ",_xll.BDP($AX132,"FD120"))</f>
        <v>International</v>
      </c>
      <c r="I132" s="22" t="str" cm="1">
        <f t="array" ref="I132">IF(OR(_xll.BDP($AX132,"FD116")="#N/A N/A",_xll.BDP($AX132,"FD116")="#N/A FIELD NOT APPLICABLE")," ",_xll.BDP($AX132,"FD116"))</f>
        <v>Blend</v>
      </c>
      <c r="J132" s="22" t="str" cm="1">
        <f t="array" ref="J132">IF(OR(_xll.BDP($AX132,"FD133")="#N/A N/A",_xll.BDP($AX132,"FD133")="#N/A FIELD NOT APPLICABLE")," ", _xll.BDP($AX132,"FD133"))</f>
        <v>Real Estate</v>
      </c>
      <c r="K132" s="34">
        <f>_xll.BDP(AX132,"FUND_ASSETS_USD")/1000</f>
        <v>3.2757616777600003</v>
      </c>
      <c r="L132" s="25">
        <f>IFERROR(_xll.BDP(AX132, "DV013")/100,0)</f>
        <v>4.7539609231797758E-2</v>
      </c>
      <c r="M132" s="25" cm="1">
        <f t="array" ref="M132">IF(OR(_xll.BDP($AX132,"PR079")="#N/A N/A",_xll.BDP($AX132,"PR079")="#N/A FIELD NOT APPLICABLE")," ", _xll.BDP($AX132,"PR079")/100)</f>
        <v>8.4934239999999994E-2</v>
      </c>
      <c r="N132" s="25" cm="1">
        <f t="array" ref="N132">IF(OR(_xll.BDP($AX132,"RT074")="#N/A N/A",_xll.BDP($AX132,"RT074")="#N/A FIELD NOT APPLICABLE")," ", _xll.BDP($AX132,"RT074")/100)</f>
        <v>0.10886269999999999</v>
      </c>
      <c r="O132" s="27">
        <v>1170</v>
      </c>
      <c r="P132" s="28">
        <v>42.513469999999998</v>
      </c>
      <c r="Q132" s="22" cm="1">
        <f t="array" ref="Q132">IF(OR(_xll.BDP($AX132,"PX_last")="#N/A N/A",_xll.BDP($AX132,"PX_Last")="#N/A FIELD NOT APPLICABLE")," ",IF(F132="GBP",(_xll.BDP($AX132,"PX_LAST")/100),(_xll.BDP($AX132,"PX_LAST"))))</f>
        <v>42.92</v>
      </c>
      <c r="R132" s="29">
        <f>IF(F132="USD",AA132,(((_xll.BDP(F132&amp;"USD CURNCY","PX_LAST")))*AA132))</f>
        <v>49740.759899999997</v>
      </c>
      <c r="S132" s="29">
        <f>IF(F132="USD",AB132,(((_xll.BDP(F132&amp;"USD CURNCY","PX_LAST")))*AB132))</f>
        <v>50216.4</v>
      </c>
      <c r="T132" s="12">
        <f t="shared" si="32"/>
        <v>475.64010000000417</v>
      </c>
      <c r="U132" s="13">
        <f t="shared" si="33"/>
        <v>9.5623810524053578E-3</v>
      </c>
      <c r="V132" s="13" cm="1">
        <f t="array" ref="V132">IFERROR(_xll.BDP($G132&amp;" Equity","CHG_PCT_1D")/100,"")</f>
        <v>4.6620050000000001E-4</v>
      </c>
      <c r="W132" s="13" cm="1">
        <f t="array" ref="W132">IFERROR(_xll.BDP($G132&amp;" Equity","CHG_PCT_5D")/100,"")</f>
        <v>6.0947019999999996E-3</v>
      </c>
      <c r="X132" s="13" t="e">
        <f>S132/$H$62</f>
        <v>#VALUE!</v>
      </c>
      <c r="Y132" s="29">
        <f t="shared" si="34"/>
        <v>2387.2680330276489</v>
      </c>
      <c r="Z132" s="29">
        <f t="shared" si="35"/>
        <v>50216.4</v>
      </c>
      <c r="AA132" s="29">
        <f t="shared" si="36"/>
        <v>49740.759899999997</v>
      </c>
      <c r="AB132" s="29">
        <f t="shared" si="37"/>
        <v>50216.4</v>
      </c>
      <c r="AC132" s="25" t="str" cm="1">
        <f t="array" ref="AC132">IF(OR(_xll.BDP($AX132,"EX028")="#N/A N/A",_xll.BDP($AX132,"EX028")="#N/A FIELD NOT APPLICABLE")," ", _xll.BDP($AX132,"EX028"))</f>
        <v>Fund</v>
      </c>
      <c r="AD132" s="35" t="str" cm="1">
        <f t="array" ref="AD132">IF(OR(_xll.BDP($AX132,"FD121")="#N/A N/A",_xll.BDP($AX132,"FD121")="#N/A FIELD NOT APPLICABLE")," ", _xll.BDP($AX132,"FD121"))</f>
        <v>Equity</v>
      </c>
      <c r="AE132" s="25" t="str" cm="1">
        <f t="array" ref="AE132">IF(OR(_xll.BDP($AX132,"FD118")="#N/A N/A",_xll.BDP($AX132,"FD118")="#N/A FIELD NOT APPLICABLE")," ", _xll.BDP($AX132,"FD118"))</f>
        <v>ETF</v>
      </c>
      <c r="AF132" s="22" t="str" cm="1">
        <f t="array" ref="AF132">IF(OR(_xll.BDP($AX132,"FD114")="#N/A N/A",_xll.BDP($AX132,"FD114")="#N/A FIELD NOT APPLICABLE")," ", _xll.BDP($AX132,"FD114"))</f>
        <v xml:space="preserve"> </v>
      </c>
      <c r="AG132" s="22" t="str" cm="1">
        <f t="array" ref="AG132">IF(OR(_xll.BDP($AX132,"FD003")="#N/A N/A",_xll.BDP($AX132,"FD003")="#N/A FIELD NOT APPLICABLE")," ", _xll.BDP($AX132,"FD003"))</f>
        <v>01/11/2010</v>
      </c>
      <c r="AH132" s="32" cm="1">
        <f t="array" ref="AH132">IF(OR(_xll.BDP($AX132,"PR061")="#N/A N/A",_xll.BDP($AX132,"PR061")="#N/A FIELD NOT APPLICABLE")," ", _xll.BDP($AX132,"PR061")/100)</f>
        <v>5.1702979999999996E-2</v>
      </c>
      <c r="AI132" s="25" cm="1">
        <f t="array" ref="AI132">IF(OR(_xll.BDP($AX132,"RT075")="#N/A N/A",_xll.BDP($AX132,"RT075")="#N/A FIELD NOT APPLICABLE")," ", _xll.BDP($AX132,"RT075")/100)</f>
        <v>-1.031529E-2</v>
      </c>
      <c r="AJ132" s="25" cm="1">
        <f t="array" ref="AJ132">IF(OR(_xll.BDP($AX132,"RT076")="#N/A N/A",_xll.BDP($AX132,"RT076")="#N/A FIELD NOT APPLICABLE")," ", _xll.BDP($AX132,"RT076")/100)</f>
        <v>3.148915E-2</v>
      </c>
      <c r="AK132" s="25" cm="1">
        <f t="array" ref="AK132">IF(OR(_xll.BDP($AX132,"FD252")="#N/A N/A",_xll.BDP($AX132,"FD252")="#N/A FIELD NOT APPLICABLE")," ", _xll.BDP($AX132,"FD252")/100)</f>
        <v>0</v>
      </c>
      <c r="AL132" s="25" cm="1">
        <f t="array" ref="AL132">IF(OR(_xll.BDP($AX132,"FD015")="#N/A N/A",_xll.BDP($AX132,"FD015")="#N/A FIELD NOT APPLICABLE")," ", _xll.BDP($AX132,"FD015")/100)</f>
        <v>1.1999999999999999E-3</v>
      </c>
      <c r="AM132" s="25" cm="1">
        <f t="array" ref="AM132">IF(OR(_xll.BDP($AX132,"FD138")="#N/A N/A",_xll.BDP($AX132,"FD138")="#N/A FIELD NOT APPLICABLE")," ", _xll.BDP($AX132,"FD138")/100)</f>
        <v>8.9999999999999998E-4</v>
      </c>
      <c r="AN132" s="36" cm="1">
        <f t="array" ref="AN132">IF(OR(_xll.BDP($AX132,"FD009")="#N/A N/A",_xll.BDP($AX132,"FD009")="#N/A FIELD NOT APPLICABLE")," ", _xll.BDP($AX132,"FD009")/100)</f>
        <v>0</v>
      </c>
      <c r="AO132" s="25" cm="1">
        <f t="array" ref="AO132">IF(OR(_xll.BDP($AX132,"RK512")="#N/A N/A",_xll.BDP($AX132,"RK512")="#N/A FIELD NOT APPLICABLE")," ", _xll.BDP($AX132,"RK512")/100)</f>
        <v>4.364460110664368E-3</v>
      </c>
      <c r="AP132" s="25" cm="1">
        <f t="array" ref="AP132">IF(OR(_xll.BDP($AX132,"RK514")="#N/A N/A",_xll.BDP($AX132,"RK514")="#N/A FIELD NOT APPLICABLE")," ", _xll.BDP($AX132,"RK514")/100)</f>
        <v>4.6496900916099546E-3</v>
      </c>
      <c r="AQ132" s="25" cm="1">
        <f t="array" ref="AQ132">IF(OR(_xll.BDP($AX132,"RK521")="#N/A N/A",_xll.BDP($AX132,"RK521")="#N/A FIELD NOT APPLICABLE")," ", _xll.BDP($AX132,"RK521")/100)</f>
        <v>6.5189498662948609E-3</v>
      </c>
      <c r="AR132" s="25" cm="1">
        <f t="array" ref="AR132">IF(OR(_xll.BDP($AX132,"RK525")="#N/A N/A",_xll.BDP($AX132,"RK525")="#N/A FIELD NOT APPLICABLE")," ", _xll.BDP($AX132,"RK525")/100)</f>
        <v>9.6240901947021486E-3</v>
      </c>
      <c r="AS132" s="25" cm="1">
        <f t="array" ref="AS132">IF(OR(_xll.BDP($AX132,"RK524")="#N/A N/A",_xll.BDP($AX132,"RK524")="#N/A FIELD NOT APPLICABLE")," ", _xll.BDP($AX132,"RK524")/100)</f>
        <v>1.9533000886440277E-4</v>
      </c>
      <c r="AT132" s="25" t="str" cm="1">
        <f t="array" ref="AT132">IF(OR(_xll.BDP($AX132,"FD183")="#N/A N/A",_xll.BDP($AX132,"FD183")="#N/A FIELD NOT APPLICABLE")," ", _xll.BDP($AX132,"FD183"))</f>
        <v>USD INC</v>
      </c>
      <c r="AU132" s="25" t="str" cm="1">
        <f t="array" ref="AU132">IF(OR(_xll.BDP($AX132,"DY997")="#N/A N/A",_xll.BDP($AX132,"DY997")="#N/A FIELD NOT APPLICABLE")," ", _xll.BDP($AX132,"DY997"))</f>
        <v xml:space="preserve"> </v>
      </c>
      <c r="AV132" s="25" t="str" cm="1">
        <f t="array" ref="AV132">IF(OR(_xll.BDP($AX132,"DY784")="#N/A N/A",_xll.BDP($AX132,"DY784")="#N/A FIELD NOT APPLICABLE")," ", _xll.BDP($AX132,"DY784"))</f>
        <v xml:space="preserve"> </v>
      </c>
      <c r="AW132" s="22" t="str">
        <f t="shared" si="38"/>
        <v>N</v>
      </c>
      <c r="AX132" s="22" t="str">
        <f t="shared" si="39"/>
        <v>VNQI US Equity</v>
      </c>
      <c r="BC132" s="17" t="str" cm="1">
        <f t="array" ref="BC132">_xll.BDP(AX132,"ID005")</f>
        <v>US9220426764</v>
      </c>
      <c r="BD132" s="17">
        <v>0.75</v>
      </c>
      <c r="BE132" s="18">
        <v>5</v>
      </c>
      <c r="BF132" s="37">
        <v>45492</v>
      </c>
      <c r="BG132" s="20">
        <v>1.0000000000107532</v>
      </c>
    </row>
    <row r="133" spans="1:59" s="3" customFormat="1" ht="14.45" customHeight="1" x14ac:dyDescent="0.25">
      <c r="A133" s="49" t="s">
        <v>241</v>
      </c>
      <c r="B133" s="49" t="s">
        <v>253</v>
      </c>
      <c r="C133" s="49" t="s">
        <v>254</v>
      </c>
      <c r="D133" s="49" t="s">
        <v>240</v>
      </c>
      <c r="E133" s="22" t="str">
        <f>_xll.BDP(AX133,"SECURITY NAME")</f>
        <v>Vanguard Global ex-U.S. Real E</v>
      </c>
      <c r="F133" s="22" t="str">
        <f>_xll.BDP(AX133,"CRNCY")</f>
        <v>USD</v>
      </c>
      <c r="G133" s="23" t="s">
        <v>126</v>
      </c>
      <c r="H133" s="22" t="str" cm="1">
        <f t="array" ref="H133">IF(OR(_xll.BDP($AX133,"FD120")="#N/A N/A",_xll.BDP($AX133,"FD120")="#N/A FIELD NOT APPLICABLE")," ",_xll.BDP($AX133,"FD120"))</f>
        <v>International</v>
      </c>
      <c r="I133" s="22" t="str" cm="1">
        <f t="array" ref="I133">IF(OR(_xll.BDP($AX133,"FD116")="#N/A N/A",_xll.BDP($AX133,"FD116")="#N/A FIELD NOT APPLICABLE")," ",_xll.BDP($AX133,"FD116"))</f>
        <v>Blend</v>
      </c>
      <c r="J133" s="22" t="str" cm="1">
        <f t="array" ref="J133">IF(OR(_xll.BDP($AX133,"FD133")="#N/A N/A",_xll.BDP($AX133,"FD133")="#N/A FIELD NOT APPLICABLE")," ", _xll.BDP($AX133,"FD133"))</f>
        <v>Real Estate</v>
      </c>
      <c r="K133" s="34">
        <f>_xll.BDP(AX133,"FUND_ASSETS_USD")/1000</f>
        <v>3.2757616777600003</v>
      </c>
      <c r="L133" s="25">
        <f>IFERROR(_xll.BDP(AX133, "DV013")/100,0)</f>
        <v>4.7539609231797758E-2</v>
      </c>
      <c r="M133" s="25" cm="1">
        <f t="array" ref="M133">IF(OR(_xll.BDP($AX133,"PR079")="#N/A N/A",_xll.BDP($AX133,"PR079")="#N/A FIELD NOT APPLICABLE")," ", _xll.BDP($AX133,"PR079")/100)</f>
        <v>8.4934239999999994E-2</v>
      </c>
      <c r="N133" s="25" cm="1">
        <f t="array" ref="N133">IF(OR(_xll.BDP($AX133,"RT074")="#N/A N/A",_xll.BDP($AX133,"RT074")="#N/A FIELD NOT APPLICABLE")," ", _xll.BDP($AX133,"RT074")/100)</f>
        <v>0.10886269999999999</v>
      </c>
      <c r="O133" s="27">
        <v>936</v>
      </c>
      <c r="P133" s="28">
        <v>42.519120000000001</v>
      </c>
      <c r="Q133" s="22" cm="1">
        <f t="array" ref="Q133">IF(OR(_xll.BDP($AX133,"PX_last")="#N/A N/A",_xll.BDP($AX133,"PX_Last")="#N/A FIELD NOT APPLICABLE")," ",IF(F133="GBP",(_xll.BDP($AX133,"PX_LAST")),(_xll.BDP($AX133,"PX_LAST"))))</f>
        <v>42.92</v>
      </c>
      <c r="R133" s="29">
        <f>IF(F133="USD",AA133,(((_xll.BDP(F133&amp;"USD CURNCY","PX_LAST")))*AA133))</f>
        <v>39797.89632</v>
      </c>
      <c r="S133" s="29">
        <f>IF(F133="USD",AB133,(((_xll.BDP(F133&amp;"USD CURNCY","PX_LAST")))*AB133))</f>
        <v>40173.120000000003</v>
      </c>
      <c r="T133" s="12">
        <f t="shared" si="32"/>
        <v>375.22368000000279</v>
      </c>
      <c r="U133" s="13">
        <f t="shared" si="33"/>
        <v>9.4282289943912988E-3</v>
      </c>
      <c r="V133" s="13" cm="1">
        <f t="array" ref="V133">IFERROR(_xll.BDP($G133&amp;" Equity","CHG_PCT_1D")/100,"")</f>
        <v>4.6620050000000001E-4</v>
      </c>
      <c r="W133" s="13" cm="1">
        <f t="array" ref="W133">IFERROR(_xll.BDP($G133&amp;" Equity","CHG_PCT_5D")/100,"")</f>
        <v>6.0947019999999996E-3</v>
      </c>
      <c r="X133" s="13" t="e">
        <f>S133/#REF!</f>
        <v>#REF!</v>
      </c>
      <c r="Y133" s="29">
        <f t="shared" si="34"/>
        <v>1909.8144264221194</v>
      </c>
      <c r="Z133" s="29">
        <f t="shared" si="35"/>
        <v>40173.120000000003</v>
      </c>
      <c r="AA133" s="29">
        <f t="shared" si="36"/>
        <v>39797.89632</v>
      </c>
      <c r="AB133" s="29">
        <f t="shared" si="37"/>
        <v>40173.120000000003</v>
      </c>
      <c r="AC133" s="25" t="str" cm="1">
        <f t="array" ref="AC133">IF(OR(_xll.BDP($AX133,"EX028")="#N/A N/A",_xll.BDP($AX133,"EX028")="#N/A FIELD NOT APPLICABLE")," ", _xll.BDP($AX133,"EX028"))</f>
        <v>Fund</v>
      </c>
      <c r="AD133" s="35" t="str" cm="1">
        <f t="array" ref="AD133">IF(OR(_xll.BDP($AX133,"FD121")="#N/A N/A",_xll.BDP($AX133,"FD121")="#N/A FIELD NOT APPLICABLE")," ", _xll.BDP($AX133,"FD121"))</f>
        <v>Equity</v>
      </c>
      <c r="AE133" s="25" t="str" cm="1">
        <f t="array" ref="AE133">IF(OR(_xll.BDP($AX133,"FD118")="#N/A N/A",_xll.BDP($AX133,"FD118")="#N/A FIELD NOT APPLICABLE")," ", _xll.BDP($AX133,"FD118"))</f>
        <v>ETF</v>
      </c>
      <c r="AF133" s="22" t="str" cm="1">
        <f t="array" ref="AF133">IF(OR(_xll.BDP($AX133,"FD114")="#N/A N/A",_xll.BDP($AX133,"FD114")="#N/A FIELD NOT APPLICABLE")," ", _xll.BDP($AX133,"FD114"))</f>
        <v xml:space="preserve"> </v>
      </c>
      <c r="AG133" s="22" t="str" cm="1">
        <f t="array" ref="AG133">IF(OR(_xll.BDP($AX133,"FD003")="#N/A N/A",_xll.BDP($AX133,"FD003")="#N/A FIELD NOT APPLICABLE")," ", _xll.BDP($AX133,"FD003"))</f>
        <v>01/11/2010</v>
      </c>
      <c r="AH133" s="32" cm="1">
        <f t="array" ref="AH133">IF(OR(_xll.BDP($AX133,"PR061")="#N/A N/A",_xll.BDP($AX133,"PR061")="#N/A FIELD NOT APPLICABLE")," ", _xll.BDP($AX133,"PR061")/100)</f>
        <v>5.1702979999999996E-2</v>
      </c>
      <c r="AI133" s="25" cm="1">
        <f t="array" ref="AI133">IF(OR(_xll.BDP($AX133,"RT075")="#N/A N/A",_xll.BDP($AX133,"RT075")="#N/A FIELD NOT APPLICABLE")," ", _xll.BDP($AX133,"RT075")/100)</f>
        <v>-1.031529E-2</v>
      </c>
      <c r="AJ133" s="25" cm="1">
        <f t="array" ref="AJ133">IF(OR(_xll.BDP($AX133,"RT076")="#N/A N/A",_xll.BDP($AX133,"RT076")="#N/A FIELD NOT APPLICABLE")," ", _xll.BDP($AX133,"RT076")/100)</f>
        <v>3.148915E-2</v>
      </c>
      <c r="AK133" s="25" cm="1">
        <f t="array" ref="AK133">IF(OR(_xll.BDP($AX133,"FD252")="#N/A N/A",_xll.BDP($AX133,"FD252")="#N/A FIELD NOT APPLICABLE")," ", _xll.BDP($AX133,"FD252")/100)</f>
        <v>0</v>
      </c>
      <c r="AL133" s="25" cm="1">
        <f t="array" ref="AL133">IF(OR(_xll.BDP($AX133,"FD015")="#N/A N/A",_xll.BDP($AX133,"FD015")="#N/A FIELD NOT APPLICABLE")," ", _xll.BDP($AX133,"FD015")/100)</f>
        <v>1.1999999999999999E-3</v>
      </c>
      <c r="AM133" s="25" cm="1">
        <f t="array" ref="AM133">IF(OR(_xll.BDP($AX133,"FD138")="#N/A N/A",_xll.BDP($AX133,"FD138")="#N/A FIELD NOT APPLICABLE")," ", _xll.BDP($AX133,"FD138")/100)</f>
        <v>8.9999999999999998E-4</v>
      </c>
      <c r="AN133" s="36" cm="1">
        <f t="array" ref="AN133">IF(OR(_xll.BDP($AX133,"FD009")="#N/A N/A",_xll.BDP($AX133,"FD009")="#N/A FIELD NOT APPLICABLE")," ", _xll.BDP($AX133,"FD009")/100)</f>
        <v>0</v>
      </c>
      <c r="AO133" s="25" cm="1">
        <f t="array" ref="AO133">IF(OR(_xll.BDP($AX133,"RK512")="#N/A N/A",_xll.BDP($AX133,"RK512")="#N/A FIELD NOT APPLICABLE")," ", _xll.BDP($AX133,"RK512")/100)</f>
        <v>4.364460110664368E-3</v>
      </c>
      <c r="AP133" s="25" cm="1">
        <f t="array" ref="AP133">IF(OR(_xll.BDP($AX133,"RK514")="#N/A N/A",_xll.BDP($AX133,"RK514")="#N/A FIELD NOT APPLICABLE")," ", _xll.BDP($AX133,"RK514")/100)</f>
        <v>4.6496900916099546E-3</v>
      </c>
      <c r="AQ133" s="25" cm="1">
        <f t="array" ref="AQ133">IF(OR(_xll.BDP($AX133,"RK521")="#N/A N/A",_xll.BDP($AX133,"RK521")="#N/A FIELD NOT APPLICABLE")," ", _xll.BDP($AX133,"RK521")/100)</f>
        <v>6.5189498662948609E-3</v>
      </c>
      <c r="AR133" s="25" cm="1">
        <f t="array" ref="AR133">IF(OR(_xll.BDP($AX133,"RK525")="#N/A N/A",_xll.BDP($AX133,"RK525")="#N/A FIELD NOT APPLICABLE")," ", _xll.BDP($AX133,"RK525")/100)</f>
        <v>9.6240901947021486E-3</v>
      </c>
      <c r="AS133" s="25" cm="1">
        <f t="array" ref="AS133">IF(OR(_xll.BDP($AX133,"RK524")="#N/A N/A",_xll.BDP($AX133,"RK524")="#N/A FIELD NOT APPLICABLE")," ", _xll.BDP($AX133,"RK524")/100)</f>
        <v>1.9533000886440277E-4</v>
      </c>
      <c r="AT133" s="25" t="str" cm="1">
        <f t="array" ref="AT133">IF(OR(_xll.BDP($AX133,"FD183")="#N/A N/A",_xll.BDP($AX133,"FD183")="#N/A FIELD NOT APPLICABLE")," ", _xll.BDP($AX133,"FD183"))</f>
        <v>USD INC</v>
      </c>
      <c r="AU133" s="25" t="str" cm="1">
        <f t="array" ref="AU133">IF(OR(_xll.BDP($AX133,"DY997")="#N/A N/A",_xll.BDP($AX133,"DY997")="#N/A FIELD NOT APPLICABLE")," ", _xll.BDP($AX133,"DY997"))</f>
        <v xml:space="preserve"> </v>
      </c>
      <c r="AV133" s="25" t="str" cm="1">
        <f t="array" ref="AV133">IF(OR(_xll.BDP($AX133,"DY784")="#N/A N/A",_xll.BDP($AX133,"DY784")="#N/A FIELD NOT APPLICABLE")," ", _xll.BDP($AX133,"DY784"))</f>
        <v xml:space="preserve"> </v>
      </c>
      <c r="AW133" s="22" t="str">
        <f t="shared" si="38"/>
        <v>N</v>
      </c>
      <c r="AX133" s="22" t="str">
        <f t="shared" si="39"/>
        <v>VNQI US Equity</v>
      </c>
      <c r="BC133" s="17" t="str" cm="1">
        <f t="array" ref="BC133">_xll.BDP(AX133,"ID005")</f>
        <v>US9220426764</v>
      </c>
      <c r="BD133" s="17">
        <v>0.75</v>
      </c>
      <c r="BE133" s="18">
        <v>5</v>
      </c>
      <c r="BF133" s="37">
        <v>45492</v>
      </c>
      <c r="BG133" s="20">
        <v>1.0000000000107532</v>
      </c>
    </row>
    <row r="134" spans="1:59" s="3" customFormat="1" ht="14.45" customHeight="1" x14ac:dyDescent="0.25">
      <c r="A134" s="49" t="s">
        <v>257</v>
      </c>
      <c r="B134" s="49" t="s">
        <v>258</v>
      </c>
      <c r="C134" s="49" t="s">
        <v>259</v>
      </c>
      <c r="D134" s="49" t="s">
        <v>248</v>
      </c>
      <c r="E134" s="22" t="str">
        <f>_xll.BDP(AX134,"SECURITY NAME")</f>
        <v>Vanguard Global ex-U.S. Real E</v>
      </c>
      <c r="F134" s="22" t="str">
        <f>_xll.BDP(AX134,"CRNCY")</f>
        <v>USD</v>
      </c>
      <c r="G134" s="23" t="s">
        <v>126</v>
      </c>
      <c r="H134" s="22" t="str" cm="1">
        <f t="array" ref="H134">IF(OR(_xll.BDP($AX134,"FD120")="#N/A N/A",_xll.BDP($AX134,"FD120")="#N/A FIELD NOT APPLICABLE")," ",_xll.BDP($AX134,"FD120"))</f>
        <v>International</v>
      </c>
      <c r="I134" s="22" t="str" cm="1">
        <f t="array" ref="I134">IF(OR(_xll.BDP($AX134,"FD116")="#N/A N/A",_xll.BDP($AX134,"FD116")="#N/A FIELD NOT APPLICABLE")," ",_xll.BDP($AX134,"FD116"))</f>
        <v>Blend</v>
      </c>
      <c r="J134" s="22" t="str" cm="1">
        <f t="array" ref="J134">IF(OR(_xll.BDP($AX134,"FD133")="#N/A N/A",_xll.BDP($AX134,"FD133")="#N/A FIELD NOT APPLICABLE")," ", _xll.BDP($AX134,"FD133"))</f>
        <v>Real Estate</v>
      </c>
      <c r="K134" s="34">
        <f>_xll.BDP(AX134,"FUND_ASSETS_USD")/1000</f>
        <v>3.2757616777600003</v>
      </c>
      <c r="L134" s="25">
        <f>IFERROR(_xll.BDP(AX134, "DV013")/100,0)</f>
        <v>4.7539609231797758E-2</v>
      </c>
      <c r="M134" s="25" cm="1">
        <f t="array" ref="M134">IF(OR(_xll.BDP($AX134,"PR079")="#N/A N/A",_xll.BDP($AX134,"PR079")="#N/A FIELD NOT APPLICABLE")," ", _xll.BDP($AX134,"PR079")/100)</f>
        <v>8.4934239999999994E-2</v>
      </c>
      <c r="N134" s="25" cm="1">
        <f t="array" ref="N134">IF(OR(_xll.BDP($AX134,"RT074")="#N/A N/A",_xll.BDP($AX134,"RT074")="#N/A FIELD NOT APPLICABLE")," ", _xll.BDP($AX134,"RT074")/100)</f>
        <v>0.10886269999999999</v>
      </c>
      <c r="O134" s="27">
        <v>468</v>
      </c>
      <c r="P134" s="28">
        <v>42.94</v>
      </c>
      <c r="Q134" s="22" cm="1">
        <f t="array" ref="Q134">IF(OR(_xll.BDP($AX134,"PX_last")="#N/A N/A",_xll.BDP($AX134,"PX_Last")="#N/A FIELD NOT APPLICABLE")," ",IF(F134="GBP",(_xll.BDP($AX134,"PX_LAST")/100),(_xll.BDP($AX134,"PX_LAST"))))</f>
        <v>42.92</v>
      </c>
      <c r="R134" s="29">
        <f>IF(F134="USD",AA134,(((_xll.BDP(F134&amp;"USD CURNCY","PX_LAST")))*AA134))</f>
        <v>20095.919999999998</v>
      </c>
      <c r="S134" s="29">
        <f>IF(F134="USD",AB134,(((_xll.BDP(F134&amp;"USD CURNCY","PX_LAST")))*AB134))</f>
        <v>20086.560000000001</v>
      </c>
      <c r="T134" s="12">
        <f t="shared" si="32"/>
        <v>-9.3599999999969441</v>
      </c>
      <c r="U134" s="13">
        <f t="shared" si="33"/>
        <v>-4.6576618537478974E-4</v>
      </c>
      <c r="V134" s="13" cm="1">
        <f t="array" ref="V134">IFERROR(_xll.BDP($G134&amp;" Equity","CHG_PCT_1D")/100,"")</f>
        <v>4.6620050000000001E-4</v>
      </c>
      <c r="W134" s="13" cm="1">
        <f t="array" ref="W134">IFERROR(_xll.BDP($G134&amp;" Equity","CHG_PCT_5D")/100,"")</f>
        <v>6.0947019999999996E-3</v>
      </c>
      <c r="X134" s="13" t="e">
        <f>S134/#REF!</f>
        <v>#REF!</v>
      </c>
      <c r="Y134" s="29">
        <f t="shared" si="34"/>
        <v>954.90721321105968</v>
      </c>
      <c r="Z134" s="29">
        <f t="shared" si="35"/>
        <v>20086.560000000001</v>
      </c>
      <c r="AA134" s="29">
        <f t="shared" si="36"/>
        <v>20095.919999999998</v>
      </c>
      <c r="AB134" s="29">
        <f t="shared" si="37"/>
        <v>20086.560000000001</v>
      </c>
      <c r="AC134" s="25" t="str" cm="1">
        <f t="array" ref="AC134">IF(OR(_xll.BDP($AX134,"EX028")="#N/A N/A",_xll.BDP($AX134,"EX028")="#N/A FIELD NOT APPLICABLE")," ", _xll.BDP($AX134,"EX028"))</f>
        <v>Fund</v>
      </c>
      <c r="AD134" s="35" t="str" cm="1">
        <f t="array" ref="AD134">IF(OR(_xll.BDP($AX134,"FD121")="#N/A N/A",_xll.BDP($AX134,"FD121")="#N/A FIELD NOT APPLICABLE")," ", _xll.BDP($AX134,"FD121"))</f>
        <v>Equity</v>
      </c>
      <c r="AE134" s="25" t="str" cm="1">
        <f t="array" ref="AE134">IF(OR(_xll.BDP($AX134,"FD118")="#N/A N/A",_xll.BDP($AX134,"FD118")="#N/A FIELD NOT APPLICABLE")," ", _xll.BDP($AX134,"FD118"))</f>
        <v>ETF</v>
      </c>
      <c r="AF134" s="22" t="str" cm="1">
        <f t="array" ref="AF134">IF(OR(_xll.BDP($AX134,"FD114")="#N/A N/A",_xll.BDP($AX134,"FD114")="#N/A FIELD NOT APPLICABLE")," ", _xll.BDP($AX134,"FD114"))</f>
        <v xml:space="preserve"> </v>
      </c>
      <c r="AG134" s="22" t="str" cm="1">
        <f t="array" ref="AG134">IF(OR(_xll.BDP($AX134,"FD003")="#N/A N/A",_xll.BDP($AX134,"FD003")="#N/A FIELD NOT APPLICABLE")," ", _xll.BDP($AX134,"FD003"))</f>
        <v>01/11/2010</v>
      </c>
      <c r="AH134" s="32" cm="1">
        <f t="array" ref="AH134">IF(OR(_xll.BDP($AX134,"PR061")="#N/A N/A",_xll.BDP($AX134,"PR061")="#N/A FIELD NOT APPLICABLE")," ", _xll.BDP($AX134,"PR061")/100)</f>
        <v>5.1702979999999996E-2</v>
      </c>
      <c r="AI134" s="25" cm="1">
        <f t="array" ref="AI134">IF(OR(_xll.BDP($AX134,"RT075")="#N/A N/A",_xll.BDP($AX134,"RT075")="#N/A FIELD NOT APPLICABLE")," ", _xll.BDP($AX134,"RT075")/100)</f>
        <v>-1.031529E-2</v>
      </c>
      <c r="AJ134" s="25" cm="1">
        <f t="array" ref="AJ134">IF(OR(_xll.BDP($AX134,"RT076")="#N/A N/A",_xll.BDP($AX134,"RT076")="#N/A FIELD NOT APPLICABLE")," ", _xll.BDP($AX134,"RT076")/100)</f>
        <v>3.148915E-2</v>
      </c>
      <c r="AK134" s="25" cm="1">
        <f t="array" ref="AK134">IF(OR(_xll.BDP($AX134,"FD252")="#N/A N/A",_xll.BDP($AX134,"FD252")="#N/A FIELD NOT APPLICABLE")," ", _xll.BDP($AX134,"FD252")/100)</f>
        <v>0</v>
      </c>
      <c r="AL134" s="25" cm="1">
        <f t="array" ref="AL134">IF(OR(_xll.BDP($AX134,"FD015")="#N/A N/A",_xll.BDP($AX134,"FD015")="#N/A FIELD NOT APPLICABLE")," ", _xll.BDP($AX134,"FD015")/100)</f>
        <v>1.1999999999999999E-3</v>
      </c>
      <c r="AM134" s="25" cm="1">
        <f t="array" ref="AM134">IF(OR(_xll.BDP($AX134,"FD138")="#N/A N/A",_xll.BDP($AX134,"FD138")="#N/A FIELD NOT APPLICABLE")," ", _xll.BDP($AX134,"FD138")/100)</f>
        <v>8.9999999999999998E-4</v>
      </c>
      <c r="AN134" s="36" cm="1">
        <f t="array" ref="AN134">IF(OR(_xll.BDP($AX134,"FD009")="#N/A N/A",_xll.BDP($AX134,"FD009")="#N/A FIELD NOT APPLICABLE")," ", _xll.BDP($AX134,"FD009")/100)</f>
        <v>0</v>
      </c>
      <c r="AO134" s="25" cm="1">
        <f t="array" ref="AO134">IF(OR(_xll.BDP($AX134,"RK512")="#N/A N/A",_xll.BDP($AX134,"RK512")="#N/A FIELD NOT APPLICABLE")," ", _xll.BDP($AX134,"RK512")/100)</f>
        <v>4.364460110664368E-3</v>
      </c>
      <c r="AP134" s="25" cm="1">
        <f t="array" ref="AP134">IF(OR(_xll.BDP($AX134,"RK514")="#N/A N/A",_xll.BDP($AX134,"RK514")="#N/A FIELD NOT APPLICABLE")," ", _xll.BDP($AX134,"RK514")/100)</f>
        <v>4.6496900916099546E-3</v>
      </c>
      <c r="AQ134" s="25" cm="1">
        <f t="array" ref="AQ134">IF(OR(_xll.BDP($AX134,"RK521")="#N/A N/A",_xll.BDP($AX134,"RK521")="#N/A FIELD NOT APPLICABLE")," ", _xll.BDP($AX134,"RK521")/100)</f>
        <v>6.5189498662948609E-3</v>
      </c>
      <c r="AR134" s="25" cm="1">
        <f t="array" ref="AR134">IF(OR(_xll.BDP($AX134,"RK525")="#N/A N/A",_xll.BDP($AX134,"RK525")="#N/A FIELD NOT APPLICABLE")," ", _xll.BDP($AX134,"RK525")/100)</f>
        <v>9.6240901947021486E-3</v>
      </c>
      <c r="AS134" s="25" cm="1">
        <f t="array" ref="AS134">IF(OR(_xll.BDP($AX134,"RK524")="#N/A N/A",_xll.BDP($AX134,"RK524")="#N/A FIELD NOT APPLICABLE")," ", _xll.BDP($AX134,"RK524")/100)</f>
        <v>1.9533000886440277E-4</v>
      </c>
      <c r="AT134" s="25" t="str" cm="1">
        <f t="array" ref="AT134">IF(OR(_xll.BDP($AX134,"FD183")="#N/A N/A",_xll.BDP($AX134,"FD183")="#N/A FIELD NOT APPLICABLE")," ", _xll.BDP($AX134,"FD183"))</f>
        <v>USD INC</v>
      </c>
      <c r="AU134" s="25" t="str" cm="1">
        <f t="array" ref="AU134">IF(OR(_xll.BDP($AX134,"DY997")="#N/A N/A",_xll.BDP($AX134,"DY997")="#N/A FIELD NOT APPLICABLE")," ", _xll.BDP($AX134,"DY997"))</f>
        <v xml:space="preserve"> </v>
      </c>
      <c r="AV134" s="25" t="str" cm="1">
        <f t="array" ref="AV134">IF(OR(_xll.BDP($AX134,"DY784")="#N/A N/A",_xll.BDP($AX134,"DY784")="#N/A FIELD NOT APPLICABLE")," ", _xll.BDP($AX134,"DY784"))</f>
        <v xml:space="preserve"> </v>
      </c>
      <c r="AW134" s="22" t="str">
        <f t="shared" si="38"/>
        <v>N</v>
      </c>
      <c r="AX134" s="22" t="str">
        <f t="shared" si="39"/>
        <v>VNQI US Equity</v>
      </c>
      <c r="BC134" s="17" t="str" cm="1">
        <f t="array" ref="BC134">_xll.BDP(AX134,"ID005")</f>
        <v>US9220426764</v>
      </c>
      <c r="BD134" s="17">
        <v>0.7</v>
      </c>
      <c r="BE134" s="18">
        <v>5</v>
      </c>
      <c r="BF134" s="37">
        <v>45492</v>
      </c>
      <c r="BG134" s="20"/>
    </row>
    <row r="135" spans="1:59" s="3" customFormat="1" ht="14.45" customHeight="1" x14ac:dyDescent="0.25">
      <c r="A135" s="49" t="s">
        <v>241</v>
      </c>
      <c r="B135" s="49" t="s">
        <v>262</v>
      </c>
      <c r="C135" s="49" t="s">
        <v>263</v>
      </c>
      <c r="D135" s="49" t="s">
        <v>240</v>
      </c>
      <c r="E135" s="22" t="str">
        <f>_xll.BDP(AX135,"SECURITY NAME")</f>
        <v>Vanguard Global ex-U.S. Real E</v>
      </c>
      <c r="F135" s="22" t="str">
        <f>_xll.BDP(AX135,"CRNCY")</f>
        <v>USD</v>
      </c>
      <c r="G135" s="23" t="s">
        <v>126</v>
      </c>
      <c r="H135" s="22" t="str" cm="1">
        <f t="array" ref="H135">IF(OR(_xll.BDP($AX135,"FD120")="#N/A N/A",_xll.BDP($AX135,"FD120")="#N/A FIELD NOT APPLICABLE")," ",_xll.BDP($AX135,"FD120"))</f>
        <v>International</v>
      </c>
      <c r="I135" s="22" t="str" cm="1">
        <f t="array" ref="I135">IF(OR(_xll.BDP($AX135,"FD116")="#N/A N/A",_xll.BDP($AX135,"FD116")="#N/A FIELD NOT APPLICABLE")," ",_xll.BDP($AX135,"FD116"))</f>
        <v>Blend</v>
      </c>
      <c r="J135" s="22" t="str" cm="1">
        <f t="array" ref="J135">IF(OR(_xll.BDP($AX135,"FD133")="#N/A N/A",_xll.BDP($AX135,"FD133")="#N/A FIELD NOT APPLICABLE")," ", _xll.BDP($AX135,"FD133"))</f>
        <v>Real Estate</v>
      </c>
      <c r="K135" s="34">
        <f>_xll.BDP(AX135,"FUND_ASSETS_USD")/1000</f>
        <v>3.2757616777600003</v>
      </c>
      <c r="L135" s="25">
        <f>IFERROR(_xll.BDP(AX135, "DV013")/100,0)</f>
        <v>4.7539609231797758E-2</v>
      </c>
      <c r="M135" s="25" cm="1">
        <f t="array" ref="M135">IF(OR(_xll.BDP($AX135,"PR079")="#N/A N/A",_xll.BDP($AX135,"PR079")="#N/A FIELD NOT APPLICABLE")," ", _xll.BDP($AX135,"PR079")/100)</f>
        <v>8.4934239999999994E-2</v>
      </c>
      <c r="N135" s="25" cm="1">
        <f t="array" ref="N135">IF(OR(_xll.BDP($AX135,"RT074")="#N/A N/A",_xll.BDP($AX135,"RT074")="#N/A FIELD NOT APPLICABLE")," ", _xll.BDP($AX135,"RT074")/100)</f>
        <v>0.10886269999999999</v>
      </c>
      <c r="O135" s="27">
        <v>2341</v>
      </c>
      <c r="P135" s="28">
        <v>42.52628</v>
      </c>
      <c r="Q135" s="22" cm="1">
        <f t="array" ref="Q135">IF(OR(_xll.BDP($AX135,"PX_last")="#N/A N/A",_xll.BDP($AX135,"PX_Last")="#N/A FIELD NOT APPLICABLE")," ",IF(F135="GBP",(_xll.BDP($AX135,"PX_LAST")/100),(_xll.BDP($AX135,"PX_LAST"))))</f>
        <v>42.92</v>
      </c>
      <c r="R135" s="29">
        <f>IF(F135="USD",AA135,(((_xll.BDP(F135&amp;"USD CURNCY","PX_LAST")))*AA135))</f>
        <v>99554.021479999996</v>
      </c>
      <c r="S135" s="29">
        <f>IF(F135="USD",AB135,(((_xll.BDP(F135&amp;"USD CURNCY","PX_LAST")))*AB135))</f>
        <v>100475.72</v>
      </c>
      <c r="T135" s="12">
        <f t="shared" si="32"/>
        <v>921.69852000000537</v>
      </c>
      <c r="U135" s="13">
        <f t="shared" si="33"/>
        <v>9.2582751183504022E-3</v>
      </c>
      <c r="V135" s="13" cm="1">
        <f t="array" ref="V135">IFERROR(_xll.BDP($G135&amp;" Equity","CHG_PCT_1D")/100,"")</f>
        <v>4.6620050000000001E-4</v>
      </c>
      <c r="W135" s="13" cm="1">
        <f t="array" ref="W135">IFERROR(_xll.BDP($G135&amp;" Equity","CHG_PCT_5D")/100,"")</f>
        <v>6.0947019999999996E-3</v>
      </c>
      <c r="X135" s="13" t="e">
        <f>S135/#REF!</f>
        <v>#REF!</v>
      </c>
      <c r="Y135" s="29">
        <f t="shared" si="34"/>
        <v>4776.5764660835266</v>
      </c>
      <c r="Z135" s="29">
        <f t="shared" si="35"/>
        <v>100475.72</v>
      </c>
      <c r="AA135" s="29">
        <f t="shared" si="36"/>
        <v>99554.021479999996</v>
      </c>
      <c r="AB135" s="29">
        <f t="shared" si="37"/>
        <v>100475.72</v>
      </c>
      <c r="AC135" s="25" t="str" cm="1">
        <f t="array" ref="AC135">IF(OR(_xll.BDP($AX135,"EX028")="#N/A N/A",_xll.BDP($AX135,"EX028")="#N/A FIELD NOT APPLICABLE")," ", _xll.BDP($AX135,"EX028"))</f>
        <v>Fund</v>
      </c>
      <c r="AD135" s="35" t="str" cm="1">
        <f t="array" ref="AD135">IF(OR(_xll.BDP($AX135,"FD121")="#N/A N/A",_xll.BDP($AX135,"FD121")="#N/A FIELD NOT APPLICABLE")," ", _xll.BDP($AX135,"FD121"))</f>
        <v>Equity</v>
      </c>
      <c r="AE135" s="25" t="str" cm="1">
        <f t="array" ref="AE135">IF(OR(_xll.BDP($AX135,"FD118")="#N/A N/A",_xll.BDP($AX135,"FD118")="#N/A FIELD NOT APPLICABLE")," ", _xll.BDP($AX135,"FD118"))</f>
        <v>ETF</v>
      </c>
      <c r="AF135" s="22" t="str" cm="1">
        <f t="array" ref="AF135">IF(OR(_xll.BDP($AX135,"FD114")="#N/A N/A",_xll.BDP($AX135,"FD114")="#N/A FIELD NOT APPLICABLE")," ", _xll.BDP($AX135,"FD114"))</f>
        <v xml:space="preserve"> </v>
      </c>
      <c r="AG135" s="22" t="str" cm="1">
        <f t="array" ref="AG135">IF(OR(_xll.BDP($AX135,"FD003")="#N/A N/A",_xll.BDP($AX135,"FD003")="#N/A FIELD NOT APPLICABLE")," ", _xll.BDP($AX135,"FD003"))</f>
        <v>01/11/2010</v>
      </c>
      <c r="AH135" s="32" cm="1">
        <f t="array" ref="AH135">IF(OR(_xll.BDP($AX135,"PR061")="#N/A N/A",_xll.BDP($AX135,"PR061")="#N/A FIELD NOT APPLICABLE")," ", _xll.BDP($AX135,"PR061")/100)</f>
        <v>5.1702979999999996E-2</v>
      </c>
      <c r="AI135" s="25" cm="1">
        <f t="array" ref="AI135">IF(OR(_xll.BDP($AX135,"RT075")="#N/A N/A",_xll.BDP($AX135,"RT075")="#N/A FIELD NOT APPLICABLE")," ", _xll.BDP($AX135,"RT075")/100)</f>
        <v>-1.031529E-2</v>
      </c>
      <c r="AJ135" s="25" cm="1">
        <f t="array" ref="AJ135">IF(OR(_xll.BDP($AX135,"RT076")="#N/A N/A",_xll.BDP($AX135,"RT076")="#N/A FIELD NOT APPLICABLE")," ", _xll.BDP($AX135,"RT076")/100)</f>
        <v>3.148915E-2</v>
      </c>
      <c r="AK135" s="25" cm="1">
        <f t="array" ref="AK135">IF(OR(_xll.BDP($AX135,"FD252")="#N/A N/A",_xll.BDP($AX135,"FD252")="#N/A FIELD NOT APPLICABLE")," ", _xll.BDP($AX135,"FD252")/100)</f>
        <v>0</v>
      </c>
      <c r="AL135" s="25" cm="1">
        <f t="array" ref="AL135">IF(OR(_xll.BDP($AX135,"FD015")="#N/A N/A",_xll.BDP($AX135,"FD015")="#N/A FIELD NOT APPLICABLE")," ", _xll.BDP($AX135,"FD015")/100)</f>
        <v>1.1999999999999999E-3</v>
      </c>
      <c r="AM135" s="25" cm="1">
        <f t="array" ref="AM135">IF(OR(_xll.BDP($AX135,"FD138")="#N/A N/A",_xll.BDP($AX135,"FD138")="#N/A FIELD NOT APPLICABLE")," ", _xll.BDP($AX135,"FD138")/100)</f>
        <v>8.9999999999999998E-4</v>
      </c>
      <c r="AN135" s="36" cm="1">
        <f t="array" ref="AN135">IF(OR(_xll.BDP($AX135,"FD009")="#N/A N/A",_xll.BDP($AX135,"FD009")="#N/A FIELD NOT APPLICABLE")," ", _xll.BDP($AX135,"FD009")/100)</f>
        <v>0</v>
      </c>
      <c r="AO135" s="25" cm="1">
        <f t="array" ref="AO135">IF(OR(_xll.BDP($AX135,"RK512")="#N/A N/A",_xll.BDP($AX135,"RK512")="#N/A FIELD NOT APPLICABLE")," ", _xll.BDP($AX135,"RK512")/100)</f>
        <v>4.364460110664368E-3</v>
      </c>
      <c r="AP135" s="25" cm="1">
        <f t="array" ref="AP135">IF(OR(_xll.BDP($AX135,"RK514")="#N/A N/A",_xll.BDP($AX135,"RK514")="#N/A FIELD NOT APPLICABLE")," ", _xll.BDP($AX135,"RK514")/100)</f>
        <v>4.6496900916099546E-3</v>
      </c>
      <c r="AQ135" s="25" cm="1">
        <f t="array" ref="AQ135">IF(OR(_xll.BDP($AX135,"RK521")="#N/A N/A",_xll.BDP($AX135,"RK521")="#N/A FIELD NOT APPLICABLE")," ", _xll.BDP($AX135,"RK521")/100)</f>
        <v>6.5189498662948609E-3</v>
      </c>
      <c r="AR135" s="25" cm="1">
        <f t="array" ref="AR135">IF(OR(_xll.BDP($AX135,"RK525")="#N/A N/A",_xll.BDP($AX135,"RK525")="#N/A FIELD NOT APPLICABLE")," ", _xll.BDP($AX135,"RK525")/100)</f>
        <v>9.6240901947021486E-3</v>
      </c>
      <c r="AS135" s="25" cm="1">
        <f t="array" ref="AS135">IF(OR(_xll.BDP($AX135,"RK524")="#N/A N/A",_xll.BDP($AX135,"RK524")="#N/A FIELD NOT APPLICABLE")," ", _xll.BDP($AX135,"RK524")/100)</f>
        <v>1.9533000886440277E-4</v>
      </c>
      <c r="AT135" s="25" t="str" cm="1">
        <f t="array" ref="AT135">IF(OR(_xll.BDP($AX135,"FD183")="#N/A N/A",_xll.BDP($AX135,"FD183")="#N/A FIELD NOT APPLICABLE")," ", _xll.BDP($AX135,"FD183"))</f>
        <v>USD INC</v>
      </c>
      <c r="AU135" s="25" t="str" cm="1">
        <f t="array" ref="AU135">IF(OR(_xll.BDP($AX135,"DY997")="#N/A N/A",_xll.BDP($AX135,"DY997")="#N/A FIELD NOT APPLICABLE")," ", _xll.BDP($AX135,"DY997"))</f>
        <v xml:space="preserve"> </v>
      </c>
      <c r="AV135" s="25" t="str" cm="1">
        <f t="array" ref="AV135">IF(OR(_xll.BDP($AX135,"DY784")="#N/A N/A",_xll.BDP($AX135,"DY784")="#N/A FIELD NOT APPLICABLE")," ", _xll.BDP($AX135,"DY784"))</f>
        <v xml:space="preserve"> </v>
      </c>
      <c r="AW135" s="22" t="str">
        <f t="shared" si="38"/>
        <v>N</v>
      </c>
      <c r="AX135" s="22" t="str">
        <f t="shared" si="39"/>
        <v>VNQI US Equity</v>
      </c>
      <c r="BC135" s="17" t="str" cm="1">
        <f t="array" ref="BC135">_xll.BDP(AX135,"ID005")</f>
        <v>US9220426764</v>
      </c>
      <c r="BD135" s="17">
        <v>0.75</v>
      </c>
      <c r="BE135" s="18">
        <v>5</v>
      </c>
      <c r="BF135" s="37">
        <v>45492</v>
      </c>
      <c r="BG135" s="20">
        <v>1.0000000000107532</v>
      </c>
    </row>
    <row r="136" spans="1:59" s="3" customFormat="1" ht="14.45" customHeight="1" x14ac:dyDescent="0.25">
      <c r="A136" s="49" t="s">
        <v>242</v>
      </c>
      <c r="B136" s="49" t="s">
        <v>264</v>
      </c>
      <c r="C136" s="49" t="s">
        <v>265</v>
      </c>
      <c r="D136" s="49" t="s">
        <v>248</v>
      </c>
      <c r="E136" s="22" t="str">
        <f>_xll.BDP(AX136,"SECURITY NAME")</f>
        <v>Vanguard Global ex-U.S. Real E</v>
      </c>
      <c r="F136" s="22" t="str">
        <f>_xll.BDP(AX136,"CRNCY")</f>
        <v>USD</v>
      </c>
      <c r="G136" s="23" t="s">
        <v>126</v>
      </c>
      <c r="H136" s="22" t="str" cm="1">
        <f t="array" ref="H136">IF(OR(_xll.BDP($AX136,"FD120")="#N/A N/A",_xll.BDP($AX136,"FD120")="#N/A FIELD NOT APPLICABLE")," ",_xll.BDP($AX136,"FD120"))</f>
        <v>International</v>
      </c>
      <c r="I136" s="22" t="str" cm="1">
        <f t="array" ref="I136">IF(OR(_xll.BDP($AX136,"FD116")="#N/A N/A",_xll.BDP($AX136,"FD116")="#N/A FIELD NOT APPLICABLE")," ",_xll.BDP($AX136,"FD116"))</f>
        <v>Blend</v>
      </c>
      <c r="J136" s="22" t="str" cm="1">
        <f t="array" ref="J136">IF(OR(_xll.BDP($AX136,"FD133")="#N/A N/A",_xll.BDP($AX136,"FD133")="#N/A FIELD NOT APPLICABLE")," ", _xll.BDP($AX136,"FD133"))</f>
        <v>Real Estate</v>
      </c>
      <c r="K136" s="34">
        <f>_xll.BDP(AX136,"FUND_ASSETS_USD")/1000</f>
        <v>3.2757616777600003</v>
      </c>
      <c r="L136" s="25">
        <f>IFERROR(_xll.BDP(AX136, "DV013")/100,0)</f>
        <v>4.7539609231797758E-2</v>
      </c>
      <c r="M136" s="25" cm="1">
        <f t="array" ref="M136">IF(OR(_xll.BDP($AX136,"PR079")="#N/A N/A",_xll.BDP($AX136,"PR079")="#N/A FIELD NOT APPLICABLE")," ", _xll.BDP($AX136,"PR079")/100)</f>
        <v>8.4934239999999994E-2</v>
      </c>
      <c r="N136" s="25" cm="1">
        <f t="array" ref="N136">IF(OR(_xll.BDP($AX136,"RT074")="#N/A N/A",_xll.BDP($AX136,"RT074")="#N/A FIELD NOT APPLICABLE")," ", _xll.BDP($AX136,"RT074")/100)</f>
        <v>0.10886269999999999</v>
      </c>
      <c r="O136" s="27">
        <v>1170</v>
      </c>
      <c r="P136" s="28">
        <v>42.74</v>
      </c>
      <c r="Q136" s="22" cm="1">
        <f t="array" ref="Q136">IF(OR(_xll.BDP($AX136,"PX_last")="#N/A N/A",_xll.BDP($AX136,"PX_Last")="#N/A FIELD NOT APPLICABLE")," ",IF(F136="GBP",(_xll.BDP($AX136,"PX_LAST")),(_xll.BDP($AX136,"PX_LAST"))))</f>
        <v>42.92</v>
      </c>
      <c r="R136" s="29">
        <f>IF(F136="USD",AA136,(((_xll.BDP(F136&amp;"USD CURNCY","PX_LAST")))*AA136))</f>
        <v>50005.8</v>
      </c>
      <c r="S136" s="29">
        <f>IF(F136="USD",AB136,(((_xll.BDP(F136&amp;"USD CURNCY","PX_LAST")))*AB136))</f>
        <v>50216.4</v>
      </c>
      <c r="T136" s="12">
        <f t="shared" si="32"/>
        <v>210.59999999999854</v>
      </c>
      <c r="U136" s="13">
        <f t="shared" si="33"/>
        <v>4.2115114646700692E-3</v>
      </c>
      <c r="V136" s="13" cm="1">
        <f t="array" ref="V136">IFERROR(_xll.BDP($G136&amp;" Equity","CHG_PCT_1D")/100,"")</f>
        <v>4.6620050000000001E-4</v>
      </c>
      <c r="W136" s="13" cm="1">
        <f t="array" ref="W136">IFERROR(_xll.BDP($G136&amp;" Equity","CHG_PCT_5D")/100,"")</f>
        <v>6.0947019999999996E-3</v>
      </c>
      <c r="X136" s="13" t="e">
        <f>S136/#REF!</f>
        <v>#REF!</v>
      </c>
      <c r="Y136" s="29">
        <f t="shared" si="34"/>
        <v>2387.2680330276489</v>
      </c>
      <c r="Z136" s="29">
        <f t="shared" si="35"/>
        <v>50216.4</v>
      </c>
      <c r="AA136" s="29">
        <f t="shared" si="36"/>
        <v>50005.8</v>
      </c>
      <c r="AB136" s="29">
        <f t="shared" si="37"/>
        <v>50216.4</v>
      </c>
      <c r="AC136" s="25" t="str" cm="1">
        <f t="array" ref="AC136">IF(OR(_xll.BDP($AX136,"EX028")="#N/A N/A",_xll.BDP($AX136,"EX028")="#N/A FIELD NOT APPLICABLE")," ", _xll.BDP($AX136,"EX028"))</f>
        <v>Fund</v>
      </c>
      <c r="AD136" s="35" t="str" cm="1">
        <f t="array" ref="AD136">IF(OR(_xll.BDP($AX136,"FD121")="#N/A N/A",_xll.BDP($AX136,"FD121")="#N/A FIELD NOT APPLICABLE")," ", _xll.BDP($AX136,"FD121"))</f>
        <v>Equity</v>
      </c>
      <c r="AE136" s="25" t="str" cm="1">
        <f t="array" ref="AE136">IF(OR(_xll.BDP($AX136,"FD118")="#N/A N/A",_xll.BDP($AX136,"FD118")="#N/A FIELD NOT APPLICABLE")," ", _xll.BDP($AX136,"FD118"))</f>
        <v>ETF</v>
      </c>
      <c r="AF136" s="22" t="str" cm="1">
        <f t="array" ref="AF136">IF(OR(_xll.BDP($AX136,"FD114")="#N/A N/A",_xll.BDP($AX136,"FD114")="#N/A FIELD NOT APPLICABLE")," ", _xll.BDP($AX136,"FD114"))</f>
        <v xml:space="preserve"> </v>
      </c>
      <c r="AG136" s="22" t="str" cm="1">
        <f t="array" ref="AG136">IF(OR(_xll.BDP($AX136,"FD003")="#N/A N/A",_xll.BDP($AX136,"FD003")="#N/A FIELD NOT APPLICABLE")," ", _xll.BDP($AX136,"FD003"))</f>
        <v>01/11/2010</v>
      </c>
      <c r="AH136" s="32" cm="1">
        <f t="array" ref="AH136">IF(OR(_xll.BDP($AX136,"PR061")="#N/A N/A",_xll.BDP($AX136,"PR061")="#N/A FIELD NOT APPLICABLE")," ", _xll.BDP($AX136,"PR061")/100)</f>
        <v>5.1702979999999996E-2</v>
      </c>
      <c r="AI136" s="25" cm="1">
        <f t="array" ref="AI136">IF(OR(_xll.BDP($AX136,"RT075")="#N/A N/A",_xll.BDP($AX136,"RT075")="#N/A FIELD NOT APPLICABLE")," ", _xll.BDP($AX136,"RT075")/100)</f>
        <v>-1.031529E-2</v>
      </c>
      <c r="AJ136" s="25" cm="1">
        <f t="array" ref="AJ136">IF(OR(_xll.BDP($AX136,"RT076")="#N/A N/A",_xll.BDP($AX136,"RT076")="#N/A FIELD NOT APPLICABLE")," ", _xll.BDP($AX136,"RT076")/100)</f>
        <v>3.148915E-2</v>
      </c>
      <c r="AK136" s="25" cm="1">
        <f t="array" ref="AK136">IF(OR(_xll.BDP($AX136,"FD252")="#N/A N/A",_xll.BDP($AX136,"FD252")="#N/A FIELD NOT APPLICABLE")," ", _xll.BDP($AX136,"FD252")/100)</f>
        <v>0</v>
      </c>
      <c r="AL136" s="25" cm="1">
        <f t="array" ref="AL136">IF(OR(_xll.BDP($AX136,"FD015")="#N/A N/A",_xll.BDP($AX136,"FD015")="#N/A FIELD NOT APPLICABLE")," ", _xll.BDP($AX136,"FD015")/100)</f>
        <v>1.1999999999999999E-3</v>
      </c>
      <c r="AM136" s="25" cm="1">
        <f t="array" ref="AM136">IF(OR(_xll.BDP($AX136,"FD138")="#N/A N/A",_xll.BDP($AX136,"FD138")="#N/A FIELD NOT APPLICABLE")," ", _xll.BDP($AX136,"FD138")/100)</f>
        <v>8.9999999999999998E-4</v>
      </c>
      <c r="AN136" s="36" cm="1">
        <f t="array" ref="AN136">IF(OR(_xll.BDP($AX136,"FD009")="#N/A N/A",_xll.BDP($AX136,"FD009")="#N/A FIELD NOT APPLICABLE")," ", _xll.BDP($AX136,"FD009")/100)</f>
        <v>0</v>
      </c>
      <c r="AO136" s="25" cm="1">
        <f t="array" ref="AO136">IF(OR(_xll.BDP($AX136,"RK512")="#N/A N/A",_xll.BDP($AX136,"RK512")="#N/A FIELD NOT APPLICABLE")," ", _xll.BDP($AX136,"RK512")/100)</f>
        <v>4.364460110664368E-3</v>
      </c>
      <c r="AP136" s="25" cm="1">
        <f t="array" ref="AP136">IF(OR(_xll.BDP($AX136,"RK514")="#N/A N/A",_xll.BDP($AX136,"RK514")="#N/A FIELD NOT APPLICABLE")," ", _xll.BDP($AX136,"RK514")/100)</f>
        <v>4.6496900916099546E-3</v>
      </c>
      <c r="AQ136" s="25" cm="1">
        <f t="array" ref="AQ136">IF(OR(_xll.BDP($AX136,"RK521")="#N/A N/A",_xll.BDP($AX136,"RK521")="#N/A FIELD NOT APPLICABLE")," ", _xll.BDP($AX136,"RK521")/100)</f>
        <v>6.5189498662948609E-3</v>
      </c>
      <c r="AR136" s="25" cm="1">
        <f t="array" ref="AR136">IF(OR(_xll.BDP($AX136,"RK525")="#N/A N/A",_xll.BDP($AX136,"RK525")="#N/A FIELD NOT APPLICABLE")," ", _xll.BDP($AX136,"RK525")/100)</f>
        <v>9.6240901947021486E-3</v>
      </c>
      <c r="AS136" s="25" cm="1">
        <f t="array" ref="AS136">IF(OR(_xll.BDP($AX136,"RK524")="#N/A N/A",_xll.BDP($AX136,"RK524")="#N/A FIELD NOT APPLICABLE")," ", _xll.BDP($AX136,"RK524")/100)</f>
        <v>1.9533000886440277E-4</v>
      </c>
      <c r="AT136" s="25" t="str" cm="1">
        <f t="array" ref="AT136">IF(OR(_xll.BDP($AX136,"FD183")="#N/A N/A",_xll.BDP($AX136,"FD183")="#N/A FIELD NOT APPLICABLE")," ", _xll.BDP($AX136,"FD183"))</f>
        <v>USD INC</v>
      </c>
      <c r="AU136" s="25" t="str" cm="1">
        <f t="array" ref="AU136">IF(OR(_xll.BDP($AX136,"DY997")="#N/A N/A",_xll.BDP($AX136,"DY997")="#N/A FIELD NOT APPLICABLE")," ", _xll.BDP($AX136,"DY997"))</f>
        <v xml:space="preserve"> </v>
      </c>
      <c r="AV136" s="25" t="str" cm="1">
        <f t="array" ref="AV136">IF(OR(_xll.BDP($AX136,"DY784")="#N/A N/A",_xll.BDP($AX136,"DY784")="#N/A FIELD NOT APPLICABLE")," ", _xll.BDP($AX136,"DY784"))</f>
        <v xml:space="preserve"> </v>
      </c>
      <c r="AW136" s="22" t="str">
        <f t="shared" si="38"/>
        <v>N</v>
      </c>
      <c r="AX136" s="22" t="str">
        <f t="shared" si="39"/>
        <v>VNQI US Equity</v>
      </c>
      <c r="BC136" s="17" t="str" cm="1">
        <f t="array" ref="BC136">_xll.BDP(AX136,"ID005")</f>
        <v>US9220426764</v>
      </c>
      <c r="BD136" s="17">
        <f>VLOOKUP(BC136,'[2]Portefeuille 4380430'!$B$3:$G$38,6,0)</f>
        <v>0.7</v>
      </c>
      <c r="BE136" s="18">
        <v>5</v>
      </c>
      <c r="BF136" s="37"/>
      <c r="BG136" s="20"/>
    </row>
    <row r="137" spans="1:59" s="3" customFormat="1" ht="14.45" customHeight="1" x14ac:dyDescent="0.25">
      <c r="A137" s="49" t="s">
        <v>241</v>
      </c>
      <c r="B137" s="49" t="s">
        <v>266</v>
      </c>
      <c r="C137" s="49" t="s">
        <v>267</v>
      </c>
      <c r="D137" s="49" t="s">
        <v>240</v>
      </c>
      <c r="E137" s="22" t="str">
        <f>_xll.BDP(AX137,"SECURITY NAME")</f>
        <v>Vanguard Global ex-U.S. Real E</v>
      </c>
      <c r="F137" s="22" t="str">
        <f>_xll.BDP(AX137,"CRNCY")</f>
        <v>USD</v>
      </c>
      <c r="G137" s="23" t="s">
        <v>126</v>
      </c>
      <c r="H137" s="22" t="str" cm="1">
        <f t="array" ref="H137">IF(OR(_xll.BDP($AX137,"FD120")="#N/A N/A",_xll.BDP($AX137,"FD120")="#N/A FIELD NOT APPLICABLE")," ",_xll.BDP($AX137,"FD120"))</f>
        <v>International</v>
      </c>
      <c r="I137" s="22" t="str" cm="1">
        <f t="array" ref="I137">IF(OR(_xll.BDP($AX137,"FD116")="#N/A N/A",_xll.BDP($AX137,"FD116")="#N/A FIELD NOT APPLICABLE")," ",_xll.BDP($AX137,"FD116"))</f>
        <v>Blend</v>
      </c>
      <c r="J137" s="22" t="str" cm="1">
        <f t="array" ref="J137">IF(OR(_xll.BDP($AX137,"FD133")="#N/A N/A",_xll.BDP($AX137,"FD133")="#N/A FIELD NOT APPLICABLE")," ", _xll.BDP($AX137,"FD133"))</f>
        <v>Real Estate</v>
      </c>
      <c r="K137" s="34">
        <f>_xll.BDP(AX137,"FUND_ASSETS_USD")/1000</f>
        <v>3.2757616777600003</v>
      </c>
      <c r="L137" s="25">
        <f>IFERROR(_xll.BDP(AX137, "DV013")/100,0)</f>
        <v>4.7539609231797758E-2</v>
      </c>
      <c r="M137" s="25" cm="1">
        <f t="array" ref="M137">IF(OR(_xll.BDP($AX137,"PR079")="#N/A N/A",_xll.BDP($AX137,"PR079")="#N/A FIELD NOT APPLICABLE")," ", _xll.BDP($AX137,"PR079")/100)</f>
        <v>8.4934239999999994E-2</v>
      </c>
      <c r="N137" s="25" cm="1">
        <f t="array" ref="N137">IF(OR(_xll.BDP($AX137,"RT074")="#N/A N/A",_xll.BDP($AX137,"RT074")="#N/A FIELD NOT APPLICABLE")," ", _xll.BDP($AX137,"RT074")/100)</f>
        <v>0.10886269999999999</v>
      </c>
      <c r="O137" s="27">
        <v>925</v>
      </c>
      <c r="P137" s="28">
        <v>43.129689999999997</v>
      </c>
      <c r="Q137" s="22" cm="1">
        <f t="array" ref="Q137">IF(OR(_xll.BDP($AX137,"PX_last")="#N/A N/A",_xll.BDP($AX137,"PX_Last")="#N/A FIELD NOT APPLICABLE")," ",IF(F137="GBP",(_xll.BDP($AX137,"PX_LAST")),(_xll.BDP($AX137,"PX_LAST"))))</f>
        <v>42.92</v>
      </c>
      <c r="R137" s="29">
        <f>IF(F137="USD",AA137,(((_xll.BDP(F137&amp;"USD CURNCY","PX_LAST")))*AA137))</f>
        <v>39894.963249999993</v>
      </c>
      <c r="S137" s="29">
        <f>IF(F137="USD",AB137,(((_xll.BDP(F137&amp;"USD CURNCY","PX_LAST")))*AB137))</f>
        <v>39701</v>
      </c>
      <c r="T137" s="12">
        <f t="shared" si="32"/>
        <v>-193.96324999999342</v>
      </c>
      <c r="U137" s="13">
        <f t="shared" si="33"/>
        <v>-4.8618480680012524E-3</v>
      </c>
      <c r="V137" s="13" cm="1">
        <f t="array" ref="V137">IFERROR(_xll.BDP($G137&amp;" Equity","CHG_PCT_1D")/100,"")</f>
        <v>4.6620050000000001E-4</v>
      </c>
      <c r="W137" s="13" cm="1">
        <f t="array" ref="W137">IFERROR(_xll.BDP($G137&amp;" Equity","CHG_PCT_5D")/100,"")</f>
        <v>6.0947019999999996E-3</v>
      </c>
      <c r="X137" s="13" t="e">
        <f>S137/#REF!</f>
        <v>#REF!</v>
      </c>
      <c r="Y137" s="29">
        <f t="shared" si="34"/>
        <v>1887.3700261116028</v>
      </c>
      <c r="Z137" s="29">
        <f t="shared" si="35"/>
        <v>39701</v>
      </c>
      <c r="AA137" s="29">
        <f t="shared" si="36"/>
        <v>39894.963249999993</v>
      </c>
      <c r="AB137" s="29">
        <f t="shared" si="37"/>
        <v>39701</v>
      </c>
      <c r="AC137" s="25" t="str" cm="1">
        <f t="array" ref="AC137">IF(OR(_xll.BDP($AX137,"EX028")="#N/A N/A",_xll.BDP($AX137,"EX028")="#N/A FIELD NOT APPLICABLE")," ", _xll.BDP($AX137,"EX028"))</f>
        <v>Fund</v>
      </c>
      <c r="AD137" s="35" t="str" cm="1">
        <f t="array" ref="AD137">IF(OR(_xll.BDP($AX137,"FD121")="#N/A N/A",_xll.BDP($AX137,"FD121")="#N/A FIELD NOT APPLICABLE")," ", _xll.BDP($AX137,"FD121"))</f>
        <v>Equity</v>
      </c>
      <c r="AE137" s="25" t="str" cm="1">
        <f t="array" ref="AE137">IF(OR(_xll.BDP($AX137,"FD118")="#N/A N/A",_xll.BDP($AX137,"FD118")="#N/A FIELD NOT APPLICABLE")," ", _xll.BDP($AX137,"FD118"))</f>
        <v>ETF</v>
      </c>
      <c r="AF137" s="22" t="str" cm="1">
        <f t="array" ref="AF137">IF(OR(_xll.BDP($AX137,"FD114")="#N/A N/A",_xll.BDP($AX137,"FD114")="#N/A FIELD NOT APPLICABLE")," ", _xll.BDP($AX137,"FD114"))</f>
        <v xml:space="preserve"> </v>
      </c>
      <c r="AG137" s="22" t="str" cm="1">
        <f t="array" ref="AG137">IF(OR(_xll.BDP($AX137,"FD003")="#N/A N/A",_xll.BDP($AX137,"FD003")="#N/A FIELD NOT APPLICABLE")," ", _xll.BDP($AX137,"FD003"))</f>
        <v>01/11/2010</v>
      </c>
      <c r="AH137" s="32" cm="1">
        <f t="array" ref="AH137">IF(OR(_xll.BDP($AX137,"PR061")="#N/A N/A",_xll.BDP($AX137,"PR061")="#N/A FIELD NOT APPLICABLE")," ", _xll.BDP($AX137,"PR061")/100)</f>
        <v>5.1702979999999996E-2</v>
      </c>
      <c r="AI137" s="25" cm="1">
        <f t="array" ref="AI137">IF(OR(_xll.BDP($AX137,"RT075")="#N/A N/A",_xll.BDP($AX137,"RT075")="#N/A FIELD NOT APPLICABLE")," ", _xll.BDP($AX137,"RT075")/100)</f>
        <v>-1.031529E-2</v>
      </c>
      <c r="AJ137" s="25" cm="1">
        <f t="array" ref="AJ137">IF(OR(_xll.BDP($AX137,"RT076")="#N/A N/A",_xll.BDP($AX137,"RT076")="#N/A FIELD NOT APPLICABLE")," ", _xll.BDP($AX137,"RT076")/100)</f>
        <v>3.148915E-2</v>
      </c>
      <c r="AK137" s="25" cm="1">
        <f t="array" ref="AK137">IF(OR(_xll.BDP($AX137,"FD252")="#N/A N/A",_xll.BDP($AX137,"FD252")="#N/A FIELD NOT APPLICABLE")," ", _xll.BDP($AX137,"FD252")/100)</f>
        <v>0</v>
      </c>
      <c r="AL137" s="25" cm="1">
        <f t="array" ref="AL137">IF(OR(_xll.BDP($AX137,"FD015")="#N/A N/A",_xll.BDP($AX137,"FD015")="#N/A FIELD NOT APPLICABLE")," ", _xll.BDP($AX137,"FD015")/100)</f>
        <v>1.1999999999999999E-3</v>
      </c>
      <c r="AM137" s="25" cm="1">
        <f t="array" ref="AM137">IF(OR(_xll.BDP($AX137,"FD138")="#N/A N/A",_xll.BDP($AX137,"FD138")="#N/A FIELD NOT APPLICABLE")," ", _xll.BDP($AX137,"FD138")/100)</f>
        <v>8.9999999999999998E-4</v>
      </c>
      <c r="AN137" s="36" cm="1">
        <f t="array" ref="AN137">IF(OR(_xll.BDP($AX137,"FD009")="#N/A N/A",_xll.BDP($AX137,"FD009")="#N/A FIELD NOT APPLICABLE")," ", _xll.BDP($AX137,"FD009")/100)</f>
        <v>0</v>
      </c>
      <c r="AO137" s="25" cm="1">
        <f t="array" ref="AO137">IF(OR(_xll.BDP($AX137,"RK512")="#N/A N/A",_xll.BDP($AX137,"RK512")="#N/A FIELD NOT APPLICABLE")," ", _xll.BDP($AX137,"RK512")/100)</f>
        <v>4.364460110664368E-3</v>
      </c>
      <c r="AP137" s="25" cm="1">
        <f t="array" ref="AP137">IF(OR(_xll.BDP($AX137,"RK514")="#N/A N/A",_xll.BDP($AX137,"RK514")="#N/A FIELD NOT APPLICABLE")," ", _xll.BDP($AX137,"RK514")/100)</f>
        <v>4.6496900916099546E-3</v>
      </c>
      <c r="AQ137" s="25" cm="1">
        <f t="array" ref="AQ137">IF(OR(_xll.BDP($AX137,"RK521")="#N/A N/A",_xll.BDP($AX137,"RK521")="#N/A FIELD NOT APPLICABLE")," ", _xll.BDP($AX137,"RK521")/100)</f>
        <v>6.5189498662948609E-3</v>
      </c>
      <c r="AR137" s="25" cm="1">
        <f t="array" ref="AR137">IF(OR(_xll.BDP($AX137,"RK525")="#N/A N/A",_xll.BDP($AX137,"RK525")="#N/A FIELD NOT APPLICABLE")," ", _xll.BDP($AX137,"RK525")/100)</f>
        <v>9.6240901947021486E-3</v>
      </c>
      <c r="AS137" s="25" cm="1">
        <f t="array" ref="AS137">IF(OR(_xll.BDP($AX137,"RK524")="#N/A N/A",_xll.BDP($AX137,"RK524")="#N/A FIELD NOT APPLICABLE")," ", _xll.BDP($AX137,"RK524")/100)</f>
        <v>1.9533000886440277E-4</v>
      </c>
      <c r="AT137" s="25" t="str" cm="1">
        <f t="array" ref="AT137">IF(OR(_xll.BDP($AX137,"FD183")="#N/A N/A",_xll.BDP($AX137,"FD183")="#N/A FIELD NOT APPLICABLE")," ", _xll.BDP($AX137,"FD183"))</f>
        <v>USD INC</v>
      </c>
      <c r="AU137" s="25" t="str" cm="1">
        <f t="array" ref="AU137">IF(OR(_xll.BDP($AX137,"DY997")="#N/A N/A",_xll.BDP($AX137,"DY997")="#N/A FIELD NOT APPLICABLE")," ", _xll.BDP($AX137,"DY997"))</f>
        <v xml:space="preserve"> </v>
      </c>
      <c r="AV137" s="25" t="str" cm="1">
        <f t="array" ref="AV137">IF(OR(_xll.BDP($AX137,"DY784")="#N/A N/A",_xll.BDP($AX137,"DY784")="#N/A FIELD NOT APPLICABLE")," ", _xll.BDP($AX137,"DY784"))</f>
        <v xml:space="preserve"> </v>
      </c>
      <c r="AW137" s="22" t="str">
        <f t="shared" si="38"/>
        <v>N</v>
      </c>
      <c r="AX137" s="22" t="str">
        <f t="shared" si="39"/>
        <v>VNQI US Equity</v>
      </c>
      <c r="BC137" s="17" t="str" cm="1">
        <f t="array" ref="BC137">_xll.BDP(AX137,"ID005")</f>
        <v>US9220426764</v>
      </c>
      <c r="BD137" s="17">
        <v>0.75</v>
      </c>
      <c r="BE137" s="18">
        <v>5</v>
      </c>
      <c r="BF137" s="37">
        <v>45509</v>
      </c>
      <c r="BG137" s="20">
        <v>1.0000000000107532</v>
      </c>
    </row>
    <row r="138" spans="1:59" s="3" customFormat="1" ht="14.45" customHeight="1" x14ac:dyDescent="0.25">
      <c r="A138" s="49" t="s">
        <v>242</v>
      </c>
      <c r="B138" s="49" t="s">
        <v>268</v>
      </c>
      <c r="C138" s="49" t="s">
        <v>269</v>
      </c>
      <c r="D138" s="49" t="s">
        <v>248</v>
      </c>
      <c r="E138" s="22" t="str">
        <f>_xll.BDP(AX138,"SECURITY NAME")</f>
        <v>Vanguard Global ex-U.S. Real E</v>
      </c>
      <c r="F138" s="22" t="str">
        <f>_xll.BDP(AX138,"CRNCY")</f>
        <v>USD</v>
      </c>
      <c r="G138" s="23" t="s">
        <v>126</v>
      </c>
      <c r="H138" s="22" t="str" cm="1">
        <f t="array" ref="H138">IF(OR(_xll.BDP($AX138,"FD120")="#N/A N/A",_xll.BDP($AX138,"FD120")="#N/A FIELD NOT APPLICABLE")," ",_xll.BDP($AX138,"FD120"))</f>
        <v>International</v>
      </c>
      <c r="I138" s="22" t="str" cm="1">
        <f t="array" ref="I138">IF(OR(_xll.BDP($AX138,"FD116")="#N/A N/A",_xll.BDP($AX138,"FD116")="#N/A FIELD NOT APPLICABLE")," ",_xll.BDP($AX138,"FD116"))</f>
        <v>Blend</v>
      </c>
      <c r="J138" s="22" t="str" cm="1">
        <f t="array" ref="J138">IF(OR(_xll.BDP($AX138,"FD133")="#N/A N/A",_xll.BDP($AX138,"FD133")="#N/A FIELD NOT APPLICABLE")," ", _xll.BDP($AX138,"FD133"))</f>
        <v>Real Estate</v>
      </c>
      <c r="K138" s="34">
        <f>_xll.BDP(AX138,"FUND_ASSETS_USD")/1000</f>
        <v>3.2757616777600003</v>
      </c>
      <c r="L138" s="25">
        <f>IFERROR(_xll.BDP(AX138, "DV013")/100,0)</f>
        <v>4.7539609231797758E-2</v>
      </c>
      <c r="M138" s="25" cm="1">
        <f t="array" ref="M138">IF(OR(_xll.BDP($AX138,"PR079")="#N/A N/A",_xll.BDP($AX138,"PR079")="#N/A FIELD NOT APPLICABLE")," ", _xll.BDP($AX138,"PR079")/100)</f>
        <v>8.4934239999999994E-2</v>
      </c>
      <c r="N138" s="25" cm="1">
        <f t="array" ref="N138">IF(OR(_xll.BDP($AX138,"RT074")="#N/A N/A",_xll.BDP($AX138,"RT074")="#N/A FIELD NOT APPLICABLE")," ", _xll.BDP($AX138,"RT074")/100)</f>
        <v>0.10886269999999999</v>
      </c>
      <c r="O138" s="27">
        <v>1170</v>
      </c>
      <c r="P138" s="28">
        <v>42.72</v>
      </c>
      <c r="Q138" s="22" cm="1">
        <f t="array" ref="Q138">IF(OR(_xll.BDP($AX138,"PX_last")="#N/A N/A",_xll.BDP($AX138,"PX_Last")="#N/A FIELD NOT APPLICABLE")," ",IF(F138="GBP",(_xll.BDP($AX138,"PX_LAST")/100),(_xll.BDP($AX138,"PX_LAST"))))</f>
        <v>42.92</v>
      </c>
      <c r="R138" s="29">
        <f>IF(F138="USD",AA138,(((_xll.BDP(F138&amp;"USD CURNCY","PX_LAST")))*AA138))</f>
        <v>49982.400000000001</v>
      </c>
      <c r="S138" s="29">
        <f>IF(F138="USD",AB138,(((_xll.BDP(F138&amp;"USD CURNCY","PX_LAST")))*AB138))</f>
        <v>50216.4</v>
      </c>
      <c r="T138" s="12">
        <f t="shared" si="32"/>
        <v>234</v>
      </c>
      <c r="U138" s="13">
        <f t="shared" si="33"/>
        <v>4.6816479400749065E-3</v>
      </c>
      <c r="V138" s="13" cm="1">
        <f t="array" ref="V138">IFERROR(_xll.BDP($G138&amp;" Equity","CHG_PCT_1D")/100,"")</f>
        <v>4.6620050000000001E-4</v>
      </c>
      <c r="W138" s="13" cm="1">
        <f t="array" ref="W138">IFERROR(_xll.BDP($G138&amp;" Equity","CHG_PCT_5D")/100,"")</f>
        <v>6.0947019999999996E-3</v>
      </c>
      <c r="X138" s="13" t="e">
        <f>S138/#REF!</f>
        <v>#REF!</v>
      </c>
      <c r="Y138" s="29">
        <f t="shared" si="34"/>
        <v>2387.2680330276489</v>
      </c>
      <c r="Z138" s="29">
        <f t="shared" si="35"/>
        <v>50216.4</v>
      </c>
      <c r="AA138" s="29">
        <f t="shared" si="36"/>
        <v>49982.400000000001</v>
      </c>
      <c r="AB138" s="29">
        <f t="shared" si="37"/>
        <v>50216.4</v>
      </c>
      <c r="AC138" s="25" t="str" cm="1">
        <f t="array" ref="AC138">IF(OR(_xll.BDP($AX138,"EX028")="#N/A N/A",_xll.BDP($AX138,"EX028")="#N/A FIELD NOT APPLICABLE")," ", _xll.BDP($AX138,"EX028"))</f>
        <v>Fund</v>
      </c>
      <c r="AD138" s="35" t="str" cm="1">
        <f t="array" ref="AD138">IF(OR(_xll.BDP($AX138,"FD121")="#N/A N/A",_xll.BDP($AX138,"FD121")="#N/A FIELD NOT APPLICABLE")," ", _xll.BDP($AX138,"FD121"))</f>
        <v>Equity</v>
      </c>
      <c r="AE138" s="25" t="str" cm="1">
        <f t="array" ref="AE138">IF(OR(_xll.BDP($AX138,"FD118")="#N/A N/A",_xll.BDP($AX138,"FD118")="#N/A FIELD NOT APPLICABLE")," ", _xll.BDP($AX138,"FD118"))</f>
        <v>ETF</v>
      </c>
      <c r="AF138" s="22" t="str" cm="1">
        <f t="array" ref="AF138">IF(OR(_xll.BDP($AX138,"FD114")="#N/A N/A",_xll.BDP($AX138,"FD114")="#N/A FIELD NOT APPLICABLE")," ", _xll.BDP($AX138,"FD114"))</f>
        <v xml:space="preserve"> </v>
      </c>
      <c r="AG138" s="22" t="str" cm="1">
        <f t="array" ref="AG138">IF(OR(_xll.BDP($AX138,"FD003")="#N/A N/A",_xll.BDP($AX138,"FD003")="#N/A FIELD NOT APPLICABLE")," ", _xll.BDP($AX138,"FD003"))</f>
        <v>01/11/2010</v>
      </c>
      <c r="AH138" s="32" cm="1">
        <f t="array" ref="AH138">IF(OR(_xll.BDP($AX138,"PR061")="#N/A N/A",_xll.BDP($AX138,"PR061")="#N/A FIELD NOT APPLICABLE")," ", _xll.BDP($AX138,"PR061")/100)</f>
        <v>5.1702979999999996E-2</v>
      </c>
      <c r="AI138" s="25" cm="1">
        <f t="array" ref="AI138">IF(OR(_xll.BDP($AX138,"RT075")="#N/A N/A",_xll.BDP($AX138,"RT075")="#N/A FIELD NOT APPLICABLE")," ", _xll.BDP($AX138,"RT075")/100)</f>
        <v>-1.031529E-2</v>
      </c>
      <c r="AJ138" s="25" cm="1">
        <f t="array" ref="AJ138">IF(OR(_xll.BDP($AX138,"RT076")="#N/A N/A",_xll.BDP($AX138,"RT076")="#N/A FIELD NOT APPLICABLE")," ", _xll.BDP($AX138,"RT076")/100)</f>
        <v>3.148915E-2</v>
      </c>
      <c r="AK138" s="25" cm="1">
        <f t="array" ref="AK138">IF(OR(_xll.BDP($AX138,"FD252")="#N/A N/A",_xll.BDP($AX138,"FD252")="#N/A FIELD NOT APPLICABLE")," ", _xll.BDP($AX138,"FD252")/100)</f>
        <v>0</v>
      </c>
      <c r="AL138" s="25" cm="1">
        <f t="array" ref="AL138">IF(OR(_xll.BDP($AX138,"FD015")="#N/A N/A",_xll.BDP($AX138,"FD015")="#N/A FIELD NOT APPLICABLE")," ", _xll.BDP($AX138,"FD015")/100)</f>
        <v>1.1999999999999999E-3</v>
      </c>
      <c r="AM138" s="25" cm="1">
        <f t="array" ref="AM138">IF(OR(_xll.BDP($AX138,"FD138")="#N/A N/A",_xll.BDP($AX138,"FD138")="#N/A FIELD NOT APPLICABLE")," ", _xll.BDP($AX138,"FD138")/100)</f>
        <v>8.9999999999999998E-4</v>
      </c>
      <c r="AN138" s="36" cm="1">
        <f t="array" ref="AN138">IF(OR(_xll.BDP($AX138,"FD009")="#N/A N/A",_xll.BDP($AX138,"FD009")="#N/A FIELD NOT APPLICABLE")," ", _xll.BDP($AX138,"FD009")/100)</f>
        <v>0</v>
      </c>
      <c r="AO138" s="25" cm="1">
        <f t="array" ref="AO138">IF(OR(_xll.BDP($AX138,"RK512")="#N/A N/A",_xll.BDP($AX138,"RK512")="#N/A FIELD NOT APPLICABLE")," ", _xll.BDP($AX138,"RK512")/100)</f>
        <v>4.364460110664368E-3</v>
      </c>
      <c r="AP138" s="25" cm="1">
        <f t="array" ref="AP138">IF(OR(_xll.BDP($AX138,"RK514")="#N/A N/A",_xll.BDP($AX138,"RK514")="#N/A FIELD NOT APPLICABLE")," ", _xll.BDP($AX138,"RK514")/100)</f>
        <v>4.6496900916099546E-3</v>
      </c>
      <c r="AQ138" s="25" cm="1">
        <f t="array" ref="AQ138">IF(OR(_xll.BDP($AX138,"RK521")="#N/A N/A",_xll.BDP($AX138,"RK521")="#N/A FIELD NOT APPLICABLE")," ", _xll.BDP($AX138,"RK521")/100)</f>
        <v>6.5189498662948609E-3</v>
      </c>
      <c r="AR138" s="25" cm="1">
        <f t="array" ref="AR138">IF(OR(_xll.BDP($AX138,"RK525")="#N/A N/A",_xll.BDP($AX138,"RK525")="#N/A FIELD NOT APPLICABLE")," ", _xll.BDP($AX138,"RK525")/100)</f>
        <v>9.6240901947021486E-3</v>
      </c>
      <c r="AS138" s="25" cm="1">
        <f t="array" ref="AS138">IF(OR(_xll.BDP($AX138,"RK524")="#N/A N/A",_xll.BDP($AX138,"RK524")="#N/A FIELD NOT APPLICABLE")," ", _xll.BDP($AX138,"RK524")/100)</f>
        <v>1.9533000886440277E-4</v>
      </c>
      <c r="AT138" s="25" t="str" cm="1">
        <f t="array" ref="AT138">IF(OR(_xll.BDP($AX138,"FD183")="#N/A N/A",_xll.BDP($AX138,"FD183")="#N/A FIELD NOT APPLICABLE")," ", _xll.BDP($AX138,"FD183"))</f>
        <v>USD INC</v>
      </c>
      <c r="AU138" s="25" t="str" cm="1">
        <f t="array" ref="AU138">IF(OR(_xll.BDP($AX138,"DY997")="#N/A N/A",_xll.BDP($AX138,"DY997")="#N/A FIELD NOT APPLICABLE")," ", _xll.BDP($AX138,"DY997"))</f>
        <v xml:space="preserve"> </v>
      </c>
      <c r="AV138" s="25" t="str" cm="1">
        <f t="array" ref="AV138">IF(OR(_xll.BDP($AX138,"DY784")="#N/A N/A",_xll.BDP($AX138,"DY784")="#N/A FIELD NOT APPLICABLE")," ", _xll.BDP($AX138,"DY784"))</f>
        <v xml:space="preserve"> </v>
      </c>
      <c r="AW138" s="22" t="str">
        <f t="shared" si="38"/>
        <v>N</v>
      </c>
      <c r="AX138" s="22" t="str">
        <f t="shared" si="39"/>
        <v>VNQI US Equity</v>
      </c>
      <c r="BC138" s="17" t="str" cm="1">
        <f t="array" ref="BC138">_xll.BDP(AX138,"ID005")</f>
        <v>US9220426764</v>
      </c>
      <c r="BD138" s="17">
        <v>0.73</v>
      </c>
      <c r="BE138" s="18">
        <v>5</v>
      </c>
      <c r="BF138" s="37"/>
      <c r="BG138" s="20"/>
    </row>
    <row r="139" spans="1:59" s="3" customFormat="1" ht="14.45" customHeight="1" x14ac:dyDescent="0.25">
      <c r="A139" s="49" t="s">
        <v>241</v>
      </c>
      <c r="B139" s="49" t="s">
        <v>272</v>
      </c>
      <c r="C139" s="49">
        <v>2620061.0010000002</v>
      </c>
      <c r="D139" s="49" t="s">
        <v>240</v>
      </c>
      <c r="E139" s="22" t="str">
        <f>_xll.BDP(AX139,"SECURITY NAME")</f>
        <v>Vanguard Global ex-U.S. Real E</v>
      </c>
      <c r="F139" s="22" t="str">
        <f>_xll.BDP(AX139,"CRNCY")</f>
        <v>USD</v>
      </c>
      <c r="G139" s="23" t="s">
        <v>126</v>
      </c>
      <c r="H139" s="22" t="str" cm="1">
        <f t="array" ref="H139">IF(OR(_xll.BDP($AX139,"FD120")="#N/A N/A",_xll.BDP($AX139,"FD120")="#N/A FIELD NOT APPLICABLE")," ",_xll.BDP($AX139,"FD120"))</f>
        <v>International</v>
      </c>
      <c r="I139" s="22" t="str" cm="1">
        <f t="array" ref="I139">IF(OR(_xll.BDP($AX139,"FD116")="#N/A N/A",_xll.BDP($AX139,"FD116")="#N/A FIELD NOT APPLICABLE")," ",_xll.BDP($AX139,"FD116"))</f>
        <v>Blend</v>
      </c>
      <c r="J139" s="22" t="str" cm="1">
        <f t="array" ref="J139">IF(OR(_xll.BDP($AX139,"FD133")="#N/A N/A",_xll.BDP($AX139,"FD133")="#N/A FIELD NOT APPLICABLE")," ", _xll.BDP($AX139,"FD133"))</f>
        <v>Real Estate</v>
      </c>
      <c r="K139" s="34">
        <f>_xll.BDP(AX139,"FUND_ASSETS_USD")/1000</f>
        <v>3.2757616777600003</v>
      </c>
      <c r="L139" s="25">
        <f>IFERROR(_xll.BDP(AX139, "DV013")/100,0)</f>
        <v>4.7539609231797758E-2</v>
      </c>
      <c r="M139" s="25" cm="1">
        <f t="array" ref="M139">IF(OR(_xll.BDP($AX139,"PR079")="#N/A N/A",_xll.BDP($AX139,"PR079")="#N/A FIELD NOT APPLICABLE")," ", _xll.BDP($AX139,"PR079")/100)</f>
        <v>8.4934239999999994E-2</v>
      </c>
      <c r="N139" s="25" cm="1">
        <f t="array" ref="N139">IF(OR(_xll.BDP($AX139,"RT074")="#N/A N/A",_xll.BDP($AX139,"RT074")="#N/A FIELD NOT APPLICABLE")," ", _xll.BDP($AX139,"RT074")/100)</f>
        <v>0.10886269999999999</v>
      </c>
      <c r="O139" s="27">
        <v>702</v>
      </c>
      <c r="P139" s="28">
        <v>42.475729999999999</v>
      </c>
      <c r="Q139" s="22" cm="1">
        <f t="array" ref="Q139">IF(OR(_xll.BDP($AX139,"PX_last")="#N/A N/A",_xll.BDP($AX139,"PX_Last")="#N/A FIELD NOT APPLICABLE")," ",IF(F139="GBP",(_xll.BDP($AX139,"PX_LAST")),(_xll.BDP($AX139,"PX_LAST"))))</f>
        <v>42.92</v>
      </c>
      <c r="R139" s="29">
        <f>IF(F139="USD",AA139,(((_xll.BDP(F139&amp;"USD CURNCY","PX_LAST")))*AA139))</f>
        <v>29817.962459999999</v>
      </c>
      <c r="S139" s="29">
        <f>IF(F139="USD",AB139,(((_xll.BDP(F139&amp;"USD CURNCY","PX_LAST")))*AB139))</f>
        <v>30129.84</v>
      </c>
      <c r="T139" s="12">
        <f t="shared" si="32"/>
        <v>311.87754000000132</v>
      </c>
      <c r="U139" s="13">
        <f t="shared" si="33"/>
        <v>1.0459384688621053E-2</v>
      </c>
      <c r="V139" s="13" cm="1">
        <f t="array" ref="V139">IFERROR(_xll.BDP($G139&amp;" Equity","CHG_PCT_1D")/100,"")</f>
        <v>4.6620050000000001E-4</v>
      </c>
      <c r="W139" s="13" cm="1">
        <f t="array" ref="W139">IFERROR(_xll.BDP($G139&amp;" Equity","CHG_PCT_5D")/100,"")</f>
        <v>6.0947019999999996E-3</v>
      </c>
      <c r="X139" s="13" t="e">
        <f>S139/#REF!</f>
        <v>#REF!</v>
      </c>
      <c r="Y139" s="29">
        <f t="shared" si="34"/>
        <v>1432.3608198165894</v>
      </c>
      <c r="Z139" s="29">
        <f t="shared" si="35"/>
        <v>30129.84</v>
      </c>
      <c r="AA139" s="29">
        <f t="shared" si="36"/>
        <v>29817.962459999999</v>
      </c>
      <c r="AB139" s="29">
        <f t="shared" si="37"/>
        <v>30129.84</v>
      </c>
      <c r="AC139" s="25" t="str" cm="1">
        <f t="array" ref="AC139">IF(OR(_xll.BDP($AX139,"EX028")="#N/A N/A",_xll.BDP($AX139,"EX028")="#N/A FIELD NOT APPLICABLE")," ", _xll.BDP($AX139,"EX028"))</f>
        <v>Fund</v>
      </c>
      <c r="AD139" s="35" t="str" cm="1">
        <f t="array" ref="AD139">IF(OR(_xll.BDP($AX139,"FD121")="#N/A N/A",_xll.BDP($AX139,"FD121")="#N/A FIELD NOT APPLICABLE")," ", _xll.BDP($AX139,"FD121"))</f>
        <v>Equity</v>
      </c>
      <c r="AE139" s="25" t="str" cm="1">
        <f t="array" ref="AE139">IF(OR(_xll.BDP($AX139,"FD118")="#N/A N/A",_xll.BDP($AX139,"FD118")="#N/A FIELD NOT APPLICABLE")," ", _xll.BDP($AX139,"FD118"))</f>
        <v>ETF</v>
      </c>
      <c r="AF139" s="22" t="str" cm="1">
        <f t="array" ref="AF139">IF(OR(_xll.BDP($AX139,"FD114")="#N/A N/A",_xll.BDP($AX139,"FD114")="#N/A FIELD NOT APPLICABLE")," ", _xll.BDP($AX139,"FD114"))</f>
        <v xml:space="preserve"> </v>
      </c>
      <c r="AG139" s="22" t="str" cm="1">
        <f t="array" ref="AG139">IF(OR(_xll.BDP($AX139,"FD003")="#N/A N/A",_xll.BDP($AX139,"FD003")="#N/A FIELD NOT APPLICABLE")," ", _xll.BDP($AX139,"FD003"))</f>
        <v>01/11/2010</v>
      </c>
      <c r="AH139" s="32" cm="1">
        <f t="array" ref="AH139">IF(OR(_xll.BDP($AX139,"PR061")="#N/A N/A",_xll.BDP($AX139,"PR061")="#N/A FIELD NOT APPLICABLE")," ", _xll.BDP($AX139,"PR061")/100)</f>
        <v>5.1702979999999996E-2</v>
      </c>
      <c r="AI139" s="25" cm="1">
        <f t="array" ref="AI139">IF(OR(_xll.BDP($AX139,"RT075")="#N/A N/A",_xll.BDP($AX139,"RT075")="#N/A FIELD NOT APPLICABLE")," ", _xll.BDP($AX139,"RT075")/100)</f>
        <v>-1.031529E-2</v>
      </c>
      <c r="AJ139" s="25" cm="1">
        <f t="array" ref="AJ139">IF(OR(_xll.BDP($AX139,"RT076")="#N/A N/A",_xll.BDP($AX139,"RT076")="#N/A FIELD NOT APPLICABLE")," ", _xll.BDP($AX139,"RT076")/100)</f>
        <v>3.148915E-2</v>
      </c>
      <c r="AK139" s="25" cm="1">
        <f t="array" ref="AK139">IF(OR(_xll.BDP($AX139,"FD252")="#N/A N/A",_xll.BDP($AX139,"FD252")="#N/A FIELD NOT APPLICABLE")," ", _xll.BDP($AX139,"FD252")/100)</f>
        <v>0</v>
      </c>
      <c r="AL139" s="25" cm="1">
        <f t="array" ref="AL139">IF(OR(_xll.BDP($AX139,"FD015")="#N/A N/A",_xll.BDP($AX139,"FD015")="#N/A FIELD NOT APPLICABLE")," ", _xll.BDP($AX139,"FD015")/100)</f>
        <v>1.1999999999999999E-3</v>
      </c>
      <c r="AM139" s="25" cm="1">
        <f t="array" ref="AM139">IF(OR(_xll.BDP($AX139,"FD138")="#N/A N/A",_xll.BDP($AX139,"FD138")="#N/A FIELD NOT APPLICABLE")," ", _xll.BDP($AX139,"FD138")/100)</f>
        <v>8.9999999999999998E-4</v>
      </c>
      <c r="AN139" s="36" cm="1">
        <f t="array" ref="AN139">IF(OR(_xll.BDP($AX139,"FD009")="#N/A N/A",_xll.BDP($AX139,"FD009")="#N/A FIELD NOT APPLICABLE")," ", _xll.BDP($AX139,"FD009")/100)</f>
        <v>0</v>
      </c>
      <c r="AO139" s="25" cm="1">
        <f t="array" ref="AO139">IF(OR(_xll.BDP($AX139,"RK512")="#N/A N/A",_xll.BDP($AX139,"RK512")="#N/A FIELD NOT APPLICABLE")," ", _xll.BDP($AX139,"RK512")/100)</f>
        <v>4.364460110664368E-3</v>
      </c>
      <c r="AP139" s="25" cm="1">
        <f t="array" ref="AP139">IF(OR(_xll.BDP($AX139,"RK514")="#N/A N/A",_xll.BDP($AX139,"RK514")="#N/A FIELD NOT APPLICABLE")," ", _xll.BDP($AX139,"RK514")/100)</f>
        <v>4.6496900916099546E-3</v>
      </c>
      <c r="AQ139" s="25" cm="1">
        <f t="array" ref="AQ139">IF(OR(_xll.BDP($AX139,"RK521")="#N/A N/A",_xll.BDP($AX139,"RK521")="#N/A FIELD NOT APPLICABLE")," ", _xll.BDP($AX139,"RK521")/100)</f>
        <v>6.5189498662948609E-3</v>
      </c>
      <c r="AR139" s="25" cm="1">
        <f t="array" ref="AR139">IF(OR(_xll.BDP($AX139,"RK525")="#N/A N/A",_xll.BDP($AX139,"RK525")="#N/A FIELD NOT APPLICABLE")," ", _xll.BDP($AX139,"RK525")/100)</f>
        <v>9.6240901947021486E-3</v>
      </c>
      <c r="AS139" s="25" cm="1">
        <f t="array" ref="AS139">IF(OR(_xll.BDP($AX139,"RK524")="#N/A N/A",_xll.BDP($AX139,"RK524")="#N/A FIELD NOT APPLICABLE")," ", _xll.BDP($AX139,"RK524")/100)</f>
        <v>1.9533000886440277E-4</v>
      </c>
      <c r="AT139" s="25" t="str" cm="1">
        <f t="array" ref="AT139">IF(OR(_xll.BDP($AX139,"FD183")="#N/A N/A",_xll.BDP($AX139,"FD183")="#N/A FIELD NOT APPLICABLE")," ", _xll.BDP($AX139,"FD183"))</f>
        <v>USD INC</v>
      </c>
      <c r="AU139" s="25" t="str" cm="1">
        <f t="array" ref="AU139">IF(OR(_xll.BDP($AX139,"DY997")="#N/A N/A",_xll.BDP($AX139,"DY997")="#N/A FIELD NOT APPLICABLE")," ", _xll.BDP($AX139,"DY997"))</f>
        <v xml:space="preserve"> </v>
      </c>
      <c r="AV139" s="25" t="str" cm="1">
        <f t="array" ref="AV139">IF(OR(_xll.BDP($AX139,"DY784")="#N/A N/A",_xll.BDP($AX139,"DY784")="#N/A FIELD NOT APPLICABLE")," ", _xll.BDP($AX139,"DY784"))</f>
        <v xml:space="preserve"> </v>
      </c>
      <c r="AW139" s="22" t="str">
        <f t="shared" si="38"/>
        <v>N</v>
      </c>
      <c r="AX139" s="22" t="str">
        <f t="shared" si="39"/>
        <v>VNQI US Equity</v>
      </c>
      <c r="BC139" s="17" t="str" cm="1">
        <f t="array" ref="BC139">_xll.BDP(AX139,"ID005")</f>
        <v>US9220426764</v>
      </c>
      <c r="BD139" s="17">
        <v>0.75</v>
      </c>
      <c r="BE139" s="18">
        <v>5</v>
      </c>
      <c r="BF139" s="37">
        <v>45492</v>
      </c>
      <c r="BG139" s="20">
        <v>1.0000000000107532</v>
      </c>
    </row>
    <row r="140" spans="1:59" s="3" customFormat="1" ht="14.45" customHeight="1" x14ac:dyDescent="0.25">
      <c r="A140" s="49" t="s">
        <v>241</v>
      </c>
      <c r="B140" s="49" t="s">
        <v>273</v>
      </c>
      <c r="C140" s="49">
        <v>2620058.003</v>
      </c>
      <c r="D140" s="49" t="s">
        <v>240</v>
      </c>
      <c r="E140" s="22" t="str">
        <f>_xll.BDP(AX140,"SECURITY NAME")</f>
        <v>Vanguard Global ex-U.S. Real E</v>
      </c>
      <c r="F140" s="22" t="str">
        <f>_xll.BDP(AX140,"CRNCY")</f>
        <v>USD</v>
      </c>
      <c r="G140" s="23" t="s">
        <v>126</v>
      </c>
      <c r="H140" s="22" t="str" cm="1">
        <f t="array" ref="H140">IF(OR(_xll.BDP($AX140,"FD120")="#N/A N/A",_xll.BDP($AX140,"FD120")="#N/A FIELD NOT APPLICABLE")," ",_xll.BDP($AX140,"FD120"))</f>
        <v>International</v>
      </c>
      <c r="I140" s="22" t="str" cm="1">
        <f t="array" ref="I140">IF(OR(_xll.BDP($AX140,"FD116")="#N/A N/A",_xll.BDP($AX140,"FD116")="#N/A FIELD NOT APPLICABLE")," ",_xll.BDP($AX140,"FD116"))</f>
        <v>Blend</v>
      </c>
      <c r="J140" s="22" t="str" cm="1">
        <f t="array" ref="J140">IF(OR(_xll.BDP($AX140,"FD133")="#N/A N/A",_xll.BDP($AX140,"FD133")="#N/A FIELD NOT APPLICABLE")," ", _xll.BDP($AX140,"FD133"))</f>
        <v>Real Estate</v>
      </c>
      <c r="K140" s="34">
        <f>_xll.BDP(AX140,"FUND_ASSETS_USD")/1000</f>
        <v>3.2757616777600003</v>
      </c>
      <c r="L140" s="25">
        <f>IFERROR(_xll.BDP(AX140, "DV013")/100,0)</f>
        <v>4.7539609231797758E-2</v>
      </c>
      <c r="M140" s="25" cm="1">
        <f t="array" ref="M140">IF(OR(_xll.BDP($AX140,"PR079")="#N/A N/A",_xll.BDP($AX140,"PR079")="#N/A FIELD NOT APPLICABLE")," ", _xll.BDP($AX140,"PR079")/100)</f>
        <v>8.4934239999999994E-2</v>
      </c>
      <c r="N140" s="25" cm="1">
        <f t="array" ref="N140">IF(OR(_xll.BDP($AX140,"RT074")="#N/A N/A",_xll.BDP($AX140,"RT074")="#N/A FIELD NOT APPLICABLE")," ", _xll.BDP($AX140,"RT074")/100)</f>
        <v>0.10886269999999999</v>
      </c>
      <c r="O140" s="27">
        <v>702</v>
      </c>
      <c r="P140" s="28">
        <v>42.475729999999999</v>
      </c>
      <c r="Q140" s="22" cm="1">
        <f t="array" ref="Q140">IF(OR(_xll.BDP($AX140,"PX_last")="#N/A N/A",_xll.BDP($AX140,"PX_Last")="#N/A FIELD NOT APPLICABLE")," ",IF(F140="GBP",(_xll.BDP($AX140,"PX_LAST")),(_xll.BDP($AX140,"PX_LAST"))))</f>
        <v>42.92</v>
      </c>
      <c r="R140" s="29">
        <f>IF(F140="USD",AA140,(((_xll.BDP(F140&amp;"USD CURNCY","PX_LAST")))*AA140))</f>
        <v>29817.962459999999</v>
      </c>
      <c r="S140" s="29">
        <f>IF(F140="USD",AB140,(((_xll.BDP(F140&amp;"USD CURNCY","PX_LAST")))*AB140))</f>
        <v>30129.84</v>
      </c>
      <c r="T140" s="12">
        <f t="shared" si="32"/>
        <v>311.87754000000132</v>
      </c>
      <c r="U140" s="13">
        <f t="shared" si="33"/>
        <v>1.0459384688621053E-2</v>
      </c>
      <c r="V140" s="13" cm="1">
        <f t="array" ref="V140">IFERROR(_xll.BDP($G140&amp;" Equity","CHG_PCT_1D")/100,"")</f>
        <v>4.6620050000000001E-4</v>
      </c>
      <c r="W140" s="13" cm="1">
        <f t="array" ref="W140">IFERROR(_xll.BDP($G140&amp;" Equity","CHG_PCT_5D")/100,"")</f>
        <v>6.0947019999999996E-3</v>
      </c>
      <c r="X140" s="13" t="e">
        <f>S140/#REF!</f>
        <v>#REF!</v>
      </c>
      <c r="Y140" s="29">
        <f t="shared" si="34"/>
        <v>1432.3608198165894</v>
      </c>
      <c r="Z140" s="29">
        <f t="shared" si="35"/>
        <v>30129.84</v>
      </c>
      <c r="AA140" s="29">
        <f t="shared" si="36"/>
        <v>29817.962459999999</v>
      </c>
      <c r="AB140" s="29">
        <f t="shared" si="37"/>
        <v>30129.84</v>
      </c>
      <c r="AC140" s="25" t="str" cm="1">
        <f t="array" ref="AC140">IF(OR(_xll.BDP($AX140,"EX028")="#N/A N/A",_xll.BDP($AX140,"EX028")="#N/A FIELD NOT APPLICABLE")," ", _xll.BDP($AX140,"EX028"))</f>
        <v>Fund</v>
      </c>
      <c r="AD140" s="35" t="str" cm="1">
        <f t="array" ref="AD140">IF(OR(_xll.BDP($AX140,"FD121")="#N/A N/A",_xll.BDP($AX140,"FD121")="#N/A FIELD NOT APPLICABLE")," ", _xll.BDP($AX140,"FD121"))</f>
        <v>Equity</v>
      </c>
      <c r="AE140" s="25" t="str" cm="1">
        <f t="array" ref="AE140">IF(OR(_xll.BDP($AX140,"FD118")="#N/A N/A",_xll.BDP($AX140,"FD118")="#N/A FIELD NOT APPLICABLE")," ", _xll.BDP($AX140,"FD118"))</f>
        <v>ETF</v>
      </c>
      <c r="AF140" s="22" t="str" cm="1">
        <f t="array" ref="AF140">IF(OR(_xll.BDP($AX140,"FD114")="#N/A N/A",_xll.BDP($AX140,"FD114")="#N/A FIELD NOT APPLICABLE")," ", _xll.BDP($AX140,"FD114"))</f>
        <v xml:space="preserve"> </v>
      </c>
      <c r="AG140" s="22" t="str" cm="1">
        <f t="array" ref="AG140">IF(OR(_xll.BDP($AX140,"FD003")="#N/A N/A",_xll.BDP($AX140,"FD003")="#N/A FIELD NOT APPLICABLE")," ", _xll.BDP($AX140,"FD003"))</f>
        <v>01/11/2010</v>
      </c>
      <c r="AH140" s="32" cm="1">
        <f t="array" ref="AH140">IF(OR(_xll.BDP($AX140,"PR061")="#N/A N/A",_xll.BDP($AX140,"PR061")="#N/A FIELD NOT APPLICABLE")," ", _xll.BDP($AX140,"PR061")/100)</f>
        <v>5.1702979999999996E-2</v>
      </c>
      <c r="AI140" s="25" cm="1">
        <f t="array" ref="AI140">IF(OR(_xll.BDP($AX140,"RT075")="#N/A N/A",_xll.BDP($AX140,"RT075")="#N/A FIELD NOT APPLICABLE")," ", _xll.BDP($AX140,"RT075")/100)</f>
        <v>-1.031529E-2</v>
      </c>
      <c r="AJ140" s="25" cm="1">
        <f t="array" ref="AJ140">IF(OR(_xll.BDP($AX140,"RT076")="#N/A N/A",_xll.BDP($AX140,"RT076")="#N/A FIELD NOT APPLICABLE")," ", _xll.BDP($AX140,"RT076")/100)</f>
        <v>3.148915E-2</v>
      </c>
      <c r="AK140" s="25" cm="1">
        <f t="array" ref="AK140">IF(OR(_xll.BDP($AX140,"FD252")="#N/A N/A",_xll.BDP($AX140,"FD252")="#N/A FIELD NOT APPLICABLE")," ", _xll.BDP($AX140,"FD252")/100)</f>
        <v>0</v>
      </c>
      <c r="AL140" s="25" cm="1">
        <f t="array" ref="AL140">IF(OR(_xll.BDP($AX140,"FD015")="#N/A N/A",_xll.BDP($AX140,"FD015")="#N/A FIELD NOT APPLICABLE")," ", _xll.BDP($AX140,"FD015")/100)</f>
        <v>1.1999999999999999E-3</v>
      </c>
      <c r="AM140" s="25" cm="1">
        <f t="array" ref="AM140">IF(OR(_xll.BDP($AX140,"FD138")="#N/A N/A",_xll.BDP($AX140,"FD138")="#N/A FIELD NOT APPLICABLE")," ", _xll.BDP($AX140,"FD138")/100)</f>
        <v>8.9999999999999998E-4</v>
      </c>
      <c r="AN140" s="36" cm="1">
        <f t="array" ref="AN140">IF(OR(_xll.BDP($AX140,"FD009")="#N/A N/A",_xll.BDP($AX140,"FD009")="#N/A FIELD NOT APPLICABLE")," ", _xll.BDP($AX140,"FD009")/100)</f>
        <v>0</v>
      </c>
      <c r="AO140" s="25" cm="1">
        <f t="array" ref="AO140">IF(OR(_xll.BDP($AX140,"RK512")="#N/A N/A",_xll.BDP($AX140,"RK512")="#N/A FIELD NOT APPLICABLE")," ", _xll.BDP($AX140,"RK512")/100)</f>
        <v>4.364460110664368E-3</v>
      </c>
      <c r="AP140" s="25" cm="1">
        <f t="array" ref="AP140">IF(OR(_xll.BDP($AX140,"RK514")="#N/A N/A",_xll.BDP($AX140,"RK514")="#N/A FIELD NOT APPLICABLE")," ", _xll.BDP($AX140,"RK514")/100)</f>
        <v>4.6496900916099546E-3</v>
      </c>
      <c r="AQ140" s="25" cm="1">
        <f t="array" ref="AQ140">IF(OR(_xll.BDP($AX140,"RK521")="#N/A N/A",_xll.BDP($AX140,"RK521")="#N/A FIELD NOT APPLICABLE")," ", _xll.BDP($AX140,"RK521")/100)</f>
        <v>6.5189498662948609E-3</v>
      </c>
      <c r="AR140" s="25" cm="1">
        <f t="array" ref="AR140">IF(OR(_xll.BDP($AX140,"RK525")="#N/A N/A",_xll.BDP($AX140,"RK525")="#N/A FIELD NOT APPLICABLE")," ", _xll.BDP($AX140,"RK525")/100)</f>
        <v>9.6240901947021486E-3</v>
      </c>
      <c r="AS140" s="25" cm="1">
        <f t="array" ref="AS140">IF(OR(_xll.BDP($AX140,"RK524")="#N/A N/A",_xll.BDP($AX140,"RK524")="#N/A FIELD NOT APPLICABLE")," ", _xll.BDP($AX140,"RK524")/100)</f>
        <v>1.9533000886440277E-4</v>
      </c>
      <c r="AT140" s="25" t="str" cm="1">
        <f t="array" ref="AT140">IF(OR(_xll.BDP($AX140,"FD183")="#N/A N/A",_xll.BDP($AX140,"FD183")="#N/A FIELD NOT APPLICABLE")," ", _xll.BDP($AX140,"FD183"))</f>
        <v>USD INC</v>
      </c>
      <c r="AU140" s="25" t="str" cm="1">
        <f t="array" ref="AU140">IF(OR(_xll.BDP($AX140,"DY997")="#N/A N/A",_xll.BDP($AX140,"DY997")="#N/A FIELD NOT APPLICABLE")," ", _xll.BDP($AX140,"DY997"))</f>
        <v xml:space="preserve"> </v>
      </c>
      <c r="AV140" s="25" t="str" cm="1">
        <f t="array" ref="AV140">IF(OR(_xll.BDP($AX140,"DY784")="#N/A N/A",_xll.BDP($AX140,"DY784")="#N/A FIELD NOT APPLICABLE")," ", _xll.BDP($AX140,"DY784"))</f>
        <v xml:space="preserve"> </v>
      </c>
      <c r="AW140" s="22" t="str">
        <f t="shared" si="38"/>
        <v>N</v>
      </c>
      <c r="AX140" s="22" t="str">
        <f t="shared" si="39"/>
        <v>VNQI US Equity</v>
      </c>
      <c r="BC140" s="17" t="str" cm="1">
        <f t="array" ref="BC140">_xll.BDP(AX140,"ID005")</f>
        <v>US9220426764</v>
      </c>
      <c r="BD140" s="17">
        <v>0.75</v>
      </c>
      <c r="BE140" s="18">
        <v>3</v>
      </c>
      <c r="BF140" s="37">
        <v>45510</v>
      </c>
      <c r="BG140" s="20">
        <v>1.0000000000107532</v>
      </c>
    </row>
    <row r="141" spans="1:59" s="3" customFormat="1" ht="14.45" customHeight="1" x14ac:dyDescent="0.25">
      <c r="A141" s="49" t="s">
        <v>241</v>
      </c>
      <c r="B141" s="49" t="s">
        <v>276</v>
      </c>
      <c r="C141" s="49" t="s">
        <v>277</v>
      </c>
      <c r="D141" s="49" t="s">
        <v>240</v>
      </c>
      <c r="E141" s="22" t="str">
        <f>_xll.BDP(AX141,"SECURITY NAME")</f>
        <v>Vanguard Global ex-U.S. Real E</v>
      </c>
      <c r="F141" s="22" t="str">
        <f>_xll.BDP(AX141,"CRNCY")</f>
        <v>USD</v>
      </c>
      <c r="G141" s="23" t="s">
        <v>126</v>
      </c>
      <c r="H141" s="22" t="str" cm="1">
        <f t="array" ref="H141">IF(OR(_xll.BDP($AX141,"FD120")="#N/A N/A",_xll.BDP($AX141,"FD120")="#N/A FIELD NOT APPLICABLE")," ",_xll.BDP($AX141,"FD120"))</f>
        <v>International</v>
      </c>
      <c r="I141" s="22" t="str" cm="1">
        <f t="array" ref="I141">IF(OR(_xll.BDP($AX141,"FD116")="#N/A N/A",_xll.BDP($AX141,"FD116")="#N/A FIELD NOT APPLICABLE")," ",_xll.BDP($AX141,"FD116"))</f>
        <v>Blend</v>
      </c>
      <c r="J141" s="22" t="str" cm="1">
        <f t="array" ref="J141">IF(OR(_xll.BDP($AX141,"FD133")="#N/A N/A",_xll.BDP($AX141,"FD133")="#N/A FIELD NOT APPLICABLE")," ", _xll.BDP($AX141,"FD133"))</f>
        <v>Real Estate</v>
      </c>
      <c r="K141" s="34">
        <f>_xll.BDP(AX141,"FUND_ASSETS_USD")/1000</f>
        <v>3.2757616777600003</v>
      </c>
      <c r="L141" s="25">
        <f>IFERROR(_xll.BDP(AX141, "DV013")/100,0)</f>
        <v>4.7539609231797758E-2</v>
      </c>
      <c r="M141" s="25" cm="1">
        <f t="array" ref="M141">IF(OR(_xll.BDP($AX141,"PR079")="#N/A N/A",_xll.BDP($AX141,"PR079")="#N/A FIELD NOT APPLICABLE")," ", _xll.BDP($AX141,"PR079")/100)</f>
        <v>8.4934239999999994E-2</v>
      </c>
      <c r="N141" s="25" cm="1">
        <f t="array" ref="N141">IF(OR(_xll.BDP($AX141,"RT074")="#N/A N/A",_xll.BDP($AX141,"RT074")="#N/A FIELD NOT APPLICABLE")," ", _xll.BDP($AX141,"RT074")/100)</f>
        <v>0.10886269999999999</v>
      </c>
      <c r="O141" s="27">
        <v>2341</v>
      </c>
      <c r="P141" s="28">
        <v>42.505969999999998</v>
      </c>
      <c r="Q141" s="22" cm="1">
        <f t="array" ref="Q141">IF(OR(_xll.BDP($AX141,"PX_last")="#N/A N/A",_xll.BDP($AX141,"PX_Last")="#N/A FIELD NOT APPLICABLE")," ",IF(F141="GBP",(_xll.BDP($AX141,"PX_LAST")),(_xll.BDP($AX141,"PX_LAST"))))</f>
        <v>42.92</v>
      </c>
      <c r="R141" s="29">
        <f>IF(F141="USD",AA141,(((_xll.BDP(F141&amp;"USD CURNCY","PX_LAST")))*AA141))</f>
        <v>99506.47576999999</v>
      </c>
      <c r="S141" s="29">
        <f>IF(F141="USD",AB141,(((_xll.BDP(F141&amp;"USD CURNCY","PX_LAST")))*AB141))</f>
        <v>100475.72</v>
      </c>
      <c r="T141" s="12">
        <f t="shared" si="32"/>
        <v>969.24423000001116</v>
      </c>
      <c r="U141" s="13">
        <f t="shared" si="33"/>
        <v>9.7405140971963417E-3</v>
      </c>
      <c r="V141" s="13" cm="1">
        <f t="array" ref="V141">IFERROR(_xll.BDP($G141&amp;" Equity","CHG_PCT_1D")/100,"")</f>
        <v>4.6620050000000001E-4</v>
      </c>
      <c r="W141" s="13" cm="1">
        <f t="array" ref="W141">IFERROR(_xll.BDP($G141&amp;" Equity","CHG_PCT_5D")/100,"")</f>
        <v>6.0947019999999996E-3</v>
      </c>
      <c r="X141" s="13" t="e">
        <f>S141/#REF!</f>
        <v>#REF!</v>
      </c>
      <c r="Y141" s="29">
        <f t="shared" si="34"/>
        <v>4776.5764660835266</v>
      </c>
      <c r="Z141" s="29">
        <f t="shared" si="35"/>
        <v>100475.72</v>
      </c>
      <c r="AA141" s="29">
        <f t="shared" si="36"/>
        <v>99506.47576999999</v>
      </c>
      <c r="AB141" s="29">
        <f t="shared" si="37"/>
        <v>100475.72</v>
      </c>
      <c r="AC141" s="25" t="str" cm="1">
        <f t="array" ref="AC141">IF(OR(_xll.BDP($AX141,"EX028")="#N/A N/A",_xll.BDP($AX141,"EX028")="#N/A FIELD NOT APPLICABLE")," ", _xll.BDP($AX141,"EX028"))</f>
        <v>Fund</v>
      </c>
      <c r="AD141" s="35" t="str" cm="1">
        <f t="array" ref="AD141">IF(OR(_xll.BDP($AX141,"FD121")="#N/A N/A",_xll.BDP($AX141,"FD121")="#N/A FIELD NOT APPLICABLE")," ", _xll.BDP($AX141,"FD121"))</f>
        <v>Equity</v>
      </c>
      <c r="AE141" s="25" t="str" cm="1">
        <f t="array" ref="AE141">IF(OR(_xll.BDP($AX141,"FD118")="#N/A N/A",_xll.BDP($AX141,"FD118")="#N/A FIELD NOT APPLICABLE")," ", _xll.BDP($AX141,"FD118"))</f>
        <v>ETF</v>
      </c>
      <c r="AF141" s="22" t="str" cm="1">
        <f t="array" ref="AF141">IF(OR(_xll.BDP($AX141,"FD114")="#N/A N/A",_xll.BDP($AX141,"FD114")="#N/A FIELD NOT APPLICABLE")," ", _xll.BDP($AX141,"FD114"))</f>
        <v xml:space="preserve"> </v>
      </c>
      <c r="AG141" s="22" t="str" cm="1">
        <f t="array" ref="AG141">IF(OR(_xll.BDP($AX141,"FD003")="#N/A N/A",_xll.BDP($AX141,"FD003")="#N/A FIELD NOT APPLICABLE")," ", _xll.BDP($AX141,"FD003"))</f>
        <v>01/11/2010</v>
      </c>
      <c r="AH141" s="32" cm="1">
        <f t="array" ref="AH141">IF(OR(_xll.BDP($AX141,"PR061")="#N/A N/A",_xll.BDP($AX141,"PR061")="#N/A FIELD NOT APPLICABLE")," ", _xll.BDP($AX141,"PR061")/100)</f>
        <v>5.1702979999999996E-2</v>
      </c>
      <c r="AI141" s="25" cm="1">
        <f t="array" ref="AI141">IF(OR(_xll.BDP($AX141,"RT075")="#N/A N/A",_xll.BDP($AX141,"RT075")="#N/A FIELD NOT APPLICABLE")," ", _xll.BDP($AX141,"RT075")/100)</f>
        <v>-1.031529E-2</v>
      </c>
      <c r="AJ141" s="25" cm="1">
        <f t="array" ref="AJ141">IF(OR(_xll.BDP($AX141,"RT076")="#N/A N/A",_xll.BDP($AX141,"RT076")="#N/A FIELD NOT APPLICABLE")," ", _xll.BDP($AX141,"RT076")/100)</f>
        <v>3.148915E-2</v>
      </c>
      <c r="AK141" s="25" cm="1">
        <f t="array" ref="AK141">IF(OR(_xll.BDP($AX141,"FD252")="#N/A N/A",_xll.BDP($AX141,"FD252")="#N/A FIELD NOT APPLICABLE")," ", _xll.BDP($AX141,"FD252")/100)</f>
        <v>0</v>
      </c>
      <c r="AL141" s="25" cm="1">
        <f t="array" ref="AL141">IF(OR(_xll.BDP($AX141,"FD015")="#N/A N/A",_xll.BDP($AX141,"FD015")="#N/A FIELD NOT APPLICABLE")," ", _xll.BDP($AX141,"FD015")/100)</f>
        <v>1.1999999999999999E-3</v>
      </c>
      <c r="AM141" s="25" cm="1">
        <f t="array" ref="AM141">IF(OR(_xll.BDP($AX141,"FD138")="#N/A N/A",_xll.BDP($AX141,"FD138")="#N/A FIELD NOT APPLICABLE")," ", _xll.BDP($AX141,"FD138")/100)</f>
        <v>8.9999999999999998E-4</v>
      </c>
      <c r="AN141" s="36" cm="1">
        <f t="array" ref="AN141">IF(OR(_xll.BDP($AX141,"FD009")="#N/A N/A",_xll.BDP($AX141,"FD009")="#N/A FIELD NOT APPLICABLE")," ", _xll.BDP($AX141,"FD009")/100)</f>
        <v>0</v>
      </c>
      <c r="AO141" s="25" cm="1">
        <f t="array" ref="AO141">IF(OR(_xll.BDP($AX141,"RK512")="#N/A N/A",_xll.BDP($AX141,"RK512")="#N/A FIELD NOT APPLICABLE")," ", _xll.BDP($AX141,"RK512")/100)</f>
        <v>4.364460110664368E-3</v>
      </c>
      <c r="AP141" s="25" cm="1">
        <f t="array" ref="AP141">IF(OR(_xll.BDP($AX141,"RK514")="#N/A N/A",_xll.BDP($AX141,"RK514")="#N/A FIELD NOT APPLICABLE")," ", _xll.BDP($AX141,"RK514")/100)</f>
        <v>4.6496900916099546E-3</v>
      </c>
      <c r="AQ141" s="25" cm="1">
        <f t="array" ref="AQ141">IF(OR(_xll.BDP($AX141,"RK521")="#N/A N/A",_xll.BDP($AX141,"RK521")="#N/A FIELD NOT APPLICABLE")," ", _xll.BDP($AX141,"RK521")/100)</f>
        <v>6.5189498662948609E-3</v>
      </c>
      <c r="AR141" s="25" cm="1">
        <f t="array" ref="AR141">IF(OR(_xll.BDP($AX141,"RK525")="#N/A N/A",_xll.BDP($AX141,"RK525")="#N/A FIELD NOT APPLICABLE")," ", _xll.BDP($AX141,"RK525")/100)</f>
        <v>9.6240901947021486E-3</v>
      </c>
      <c r="AS141" s="25" cm="1">
        <f t="array" ref="AS141">IF(OR(_xll.BDP($AX141,"RK524")="#N/A N/A",_xll.BDP($AX141,"RK524")="#N/A FIELD NOT APPLICABLE")," ", _xll.BDP($AX141,"RK524")/100)</f>
        <v>1.9533000886440277E-4</v>
      </c>
      <c r="AT141" s="25" t="str" cm="1">
        <f t="array" ref="AT141">IF(OR(_xll.BDP($AX141,"FD183")="#N/A N/A",_xll.BDP($AX141,"FD183")="#N/A FIELD NOT APPLICABLE")," ", _xll.BDP($AX141,"FD183"))</f>
        <v>USD INC</v>
      </c>
      <c r="AU141" s="25" t="str" cm="1">
        <f t="array" ref="AU141">IF(OR(_xll.BDP($AX141,"DY997")="#N/A N/A",_xll.BDP($AX141,"DY997")="#N/A FIELD NOT APPLICABLE")," ", _xll.BDP($AX141,"DY997"))</f>
        <v xml:space="preserve"> </v>
      </c>
      <c r="AV141" s="25" t="str" cm="1">
        <f t="array" ref="AV141">IF(OR(_xll.BDP($AX141,"DY784")="#N/A N/A",_xll.BDP($AX141,"DY784")="#N/A FIELD NOT APPLICABLE")," ", _xll.BDP($AX141,"DY784"))</f>
        <v xml:space="preserve"> </v>
      </c>
      <c r="AW141" s="22" t="str">
        <f t="shared" si="38"/>
        <v>N</v>
      </c>
      <c r="AX141" s="22" t="str">
        <f t="shared" si="39"/>
        <v>VNQI US Equity</v>
      </c>
      <c r="BC141" s="17" t="str" cm="1">
        <f t="array" ref="BC141">_xll.BDP(AX141,"ID005")</f>
        <v>US9220426764</v>
      </c>
      <c r="BD141" s="17">
        <v>0.75</v>
      </c>
      <c r="BE141" s="18">
        <v>5</v>
      </c>
      <c r="BF141" s="37">
        <v>45492</v>
      </c>
      <c r="BG141" s="20">
        <v>1.0000000000107532</v>
      </c>
    </row>
    <row r="142" spans="1:59" x14ac:dyDescent="0.25">
      <c r="V142" s="63"/>
      <c r="W142" s="63"/>
    </row>
    <row r="143" spans="1:59" x14ac:dyDescent="0.25">
      <c r="V143" s="63"/>
      <c r="W143" s="63"/>
    </row>
    <row r="144" spans="1:59" x14ac:dyDescent="0.25">
      <c r="V144" s="63"/>
      <c r="W144" s="63"/>
    </row>
    <row r="145" spans="22:23" x14ac:dyDescent="0.25">
      <c r="V145" s="63"/>
      <c r="W145" s="63"/>
    </row>
    <row r="146" spans="22:23" x14ac:dyDescent="0.25">
      <c r="V146" s="63"/>
      <c r="W146" s="63"/>
    </row>
    <row r="147" spans="22:23" x14ac:dyDescent="0.25">
      <c r="V147" s="63"/>
      <c r="W147" s="63"/>
    </row>
    <row r="148" spans="22:23" x14ac:dyDescent="0.25">
      <c r="V148" s="63"/>
      <c r="W148" s="63"/>
    </row>
    <row r="149" spans="22:23" x14ac:dyDescent="0.25">
      <c r="V149" s="63"/>
      <c r="W149" s="63"/>
    </row>
    <row r="150" spans="22:23" x14ac:dyDescent="0.25">
      <c r="V150" s="63"/>
      <c r="W150" s="63"/>
    </row>
    <row r="151" spans="22:23" x14ac:dyDescent="0.25">
      <c r="V151" s="63"/>
      <c r="W151" s="63"/>
    </row>
    <row r="152" spans="22:23" x14ac:dyDescent="0.25">
      <c r="V152" s="63"/>
      <c r="W152" s="63"/>
    </row>
    <row r="153" spans="22:23" x14ac:dyDescent="0.25">
      <c r="V153" s="63"/>
      <c r="W153" s="63"/>
    </row>
    <row r="154" spans="22:23" x14ac:dyDescent="0.25">
      <c r="V154" s="63"/>
      <c r="W154" s="63"/>
    </row>
    <row r="155" spans="22:23" x14ac:dyDescent="0.25">
      <c r="V155" s="63"/>
      <c r="W155" s="63"/>
    </row>
    <row r="156" spans="22:23" x14ac:dyDescent="0.25">
      <c r="V156" s="63"/>
      <c r="W156" s="63"/>
    </row>
    <row r="157" spans="22:23" x14ac:dyDescent="0.25">
      <c r="V157" s="63"/>
      <c r="W157" s="63"/>
    </row>
    <row r="158" spans="22:23" x14ac:dyDescent="0.25">
      <c r="V158" s="63"/>
      <c r="W158" s="63"/>
    </row>
    <row r="159" spans="22:23" x14ac:dyDescent="0.25">
      <c r="V159" s="63"/>
      <c r="W159" s="63"/>
    </row>
    <row r="160" spans="22:23" x14ac:dyDescent="0.25">
      <c r="V160" s="63"/>
      <c r="W160" s="63"/>
    </row>
    <row r="161" spans="22:23" x14ac:dyDescent="0.25">
      <c r="V161" s="63"/>
      <c r="W161" s="63"/>
    </row>
    <row r="162" spans="22:23" x14ac:dyDescent="0.25">
      <c r="V162" s="63"/>
      <c r="W162" s="63"/>
    </row>
    <row r="163" spans="22:23" x14ac:dyDescent="0.25">
      <c r="V163" s="63"/>
      <c r="W163" s="63"/>
    </row>
    <row r="164" spans="22:23" x14ac:dyDescent="0.25">
      <c r="V164" s="63"/>
      <c r="W164" s="63"/>
    </row>
    <row r="165" spans="22:23" x14ac:dyDescent="0.25">
      <c r="V165" s="63"/>
      <c r="W165" s="63"/>
    </row>
    <row r="166" spans="22:23" x14ac:dyDescent="0.25">
      <c r="V166" s="63"/>
      <c r="W166" s="63"/>
    </row>
    <row r="167" spans="22:23" x14ac:dyDescent="0.25">
      <c r="V167" s="63"/>
      <c r="W167" s="63"/>
    </row>
    <row r="168" spans="22:23" x14ac:dyDescent="0.25">
      <c r="V168" s="63"/>
      <c r="W168" s="63"/>
    </row>
    <row r="169" spans="22:23" x14ac:dyDescent="0.25">
      <c r="V169" s="63"/>
      <c r="W169" s="63"/>
    </row>
    <row r="170" spans="22:23" x14ac:dyDescent="0.25">
      <c r="V170" s="63"/>
      <c r="W170" s="63"/>
    </row>
    <row r="171" spans="22:23" x14ac:dyDescent="0.25">
      <c r="V171" s="63"/>
      <c r="W171" s="63"/>
    </row>
    <row r="172" spans="22:23" x14ac:dyDescent="0.25">
      <c r="V172" s="63"/>
      <c r="W172" s="63"/>
    </row>
    <row r="173" spans="22:23" x14ac:dyDescent="0.25">
      <c r="V173" s="63"/>
      <c r="W173" s="63"/>
    </row>
    <row r="174" spans="22:23" x14ac:dyDescent="0.25">
      <c r="V174" s="63"/>
      <c r="W174" s="63"/>
    </row>
    <row r="175" spans="22:23" x14ac:dyDescent="0.25">
      <c r="V175" s="63"/>
      <c r="W175" s="63"/>
    </row>
    <row r="176" spans="22:23" x14ac:dyDescent="0.25">
      <c r="V176" s="63"/>
      <c r="W176" s="63"/>
    </row>
    <row r="177" spans="22:23" x14ac:dyDescent="0.25">
      <c r="V177" s="63"/>
      <c r="W177" s="63"/>
    </row>
    <row r="178" spans="22:23" x14ac:dyDescent="0.25">
      <c r="V178" s="63"/>
      <c r="W178" s="63"/>
    </row>
    <row r="179" spans="22:23" x14ac:dyDescent="0.25">
      <c r="V179" s="63"/>
      <c r="W179" s="63"/>
    </row>
    <row r="180" spans="22:23" x14ac:dyDescent="0.25">
      <c r="V180" s="63"/>
      <c r="W180" s="63"/>
    </row>
    <row r="181" spans="22:23" x14ac:dyDescent="0.25">
      <c r="V181" s="63"/>
      <c r="W181" s="63"/>
    </row>
    <row r="182" spans="22:23" x14ac:dyDescent="0.25">
      <c r="V182" s="63"/>
      <c r="W182" s="63"/>
    </row>
    <row r="183" spans="22:23" x14ac:dyDescent="0.25">
      <c r="V183" s="63"/>
      <c r="W183" s="63"/>
    </row>
    <row r="184" spans="22:23" x14ac:dyDescent="0.25">
      <c r="V184" s="63"/>
      <c r="W184" s="63"/>
    </row>
    <row r="185" spans="22:23" x14ac:dyDescent="0.25">
      <c r="V185" s="63"/>
      <c r="W185" s="63"/>
    </row>
    <row r="186" spans="22:23" x14ac:dyDescent="0.25">
      <c r="V186" s="63"/>
      <c r="W186" s="63"/>
    </row>
    <row r="187" spans="22:23" x14ac:dyDescent="0.25">
      <c r="V187" s="63"/>
      <c r="W187" s="63"/>
    </row>
    <row r="188" spans="22:23" x14ac:dyDescent="0.25">
      <c r="V188" s="63"/>
      <c r="W188" s="63"/>
    </row>
    <row r="189" spans="22:23" x14ac:dyDescent="0.25">
      <c r="V189" s="63"/>
      <c r="W189" s="63"/>
    </row>
    <row r="190" spans="22:23" x14ac:dyDescent="0.25">
      <c r="V190" s="63"/>
      <c r="W190" s="63"/>
    </row>
    <row r="191" spans="22:23" x14ac:dyDescent="0.25">
      <c r="V191" s="63"/>
      <c r="W191" s="63"/>
    </row>
    <row r="192" spans="22:23" x14ac:dyDescent="0.25">
      <c r="V192" s="63"/>
      <c r="W192" s="63"/>
    </row>
    <row r="193" spans="22:23" x14ac:dyDescent="0.25">
      <c r="V193" s="63"/>
      <c r="W193" s="63"/>
    </row>
    <row r="194" spans="22:23" x14ac:dyDescent="0.25">
      <c r="V194" s="63"/>
      <c r="W194" s="63"/>
    </row>
    <row r="195" spans="22:23" x14ac:dyDescent="0.25">
      <c r="V195" s="63"/>
      <c r="W195" s="63"/>
    </row>
    <row r="196" spans="22:23" x14ac:dyDescent="0.25">
      <c r="V196" s="63"/>
      <c r="W196" s="63"/>
    </row>
    <row r="197" spans="22:23" x14ac:dyDescent="0.25">
      <c r="V197" s="63"/>
      <c r="W197" s="63"/>
    </row>
    <row r="198" spans="22:23" x14ac:dyDescent="0.25">
      <c r="V198" s="63"/>
      <c r="W198" s="63"/>
    </row>
    <row r="199" spans="22:23" x14ac:dyDescent="0.25">
      <c r="V199" s="63"/>
      <c r="W199" s="63"/>
    </row>
    <row r="200" spans="22:23" x14ac:dyDescent="0.25">
      <c r="V200" s="63"/>
      <c r="W200" s="63"/>
    </row>
    <row r="201" spans="22:23" x14ac:dyDescent="0.25">
      <c r="V201" s="63"/>
      <c r="W201" s="63"/>
    </row>
    <row r="202" spans="22:23" x14ac:dyDescent="0.25">
      <c r="V202" s="63"/>
      <c r="W202" s="63"/>
    </row>
    <row r="203" spans="22:23" x14ac:dyDescent="0.25">
      <c r="V203" s="63"/>
      <c r="W203" s="63"/>
    </row>
    <row r="204" spans="22:23" x14ac:dyDescent="0.25">
      <c r="V204" s="63"/>
      <c r="W204" s="63"/>
    </row>
    <row r="205" spans="22:23" x14ac:dyDescent="0.25">
      <c r="V205" s="63"/>
      <c r="W205" s="63"/>
    </row>
    <row r="206" spans="22:23" x14ac:dyDescent="0.25">
      <c r="V206" s="63"/>
      <c r="W206" s="63"/>
    </row>
    <row r="207" spans="22:23" x14ac:dyDescent="0.25">
      <c r="V207" s="63"/>
      <c r="W207" s="63"/>
    </row>
    <row r="208" spans="22:23" x14ac:dyDescent="0.25">
      <c r="V208" s="63"/>
      <c r="W208" s="63"/>
    </row>
    <row r="209" spans="22:23" x14ac:dyDescent="0.25">
      <c r="V209" s="63"/>
      <c r="W209" s="63"/>
    </row>
    <row r="210" spans="22:23" x14ac:dyDescent="0.25">
      <c r="V210" s="63"/>
      <c r="W210" s="63"/>
    </row>
    <row r="211" spans="22:23" x14ac:dyDescent="0.25">
      <c r="V211" s="63"/>
      <c r="W211" s="63"/>
    </row>
    <row r="212" spans="22:23" x14ac:dyDescent="0.25">
      <c r="V212" s="63"/>
      <c r="W212" s="63"/>
    </row>
    <row r="213" spans="22:23" x14ac:dyDescent="0.25">
      <c r="V213" s="63"/>
      <c r="W213" s="63"/>
    </row>
    <row r="214" spans="22:23" x14ac:dyDescent="0.25">
      <c r="V214" s="63"/>
      <c r="W214" s="63"/>
    </row>
    <row r="215" spans="22:23" x14ac:dyDescent="0.25">
      <c r="V215" s="63"/>
      <c r="W215" s="63"/>
    </row>
    <row r="216" spans="22:23" x14ac:dyDescent="0.25">
      <c r="V216" s="63"/>
      <c r="W216" s="63"/>
    </row>
    <row r="217" spans="22:23" x14ac:dyDescent="0.25">
      <c r="V217" s="63"/>
      <c r="W217" s="63"/>
    </row>
    <row r="218" spans="22:23" x14ac:dyDescent="0.25">
      <c r="V218" s="63"/>
      <c r="W218" s="63"/>
    </row>
    <row r="219" spans="22:23" x14ac:dyDescent="0.25">
      <c r="V219" s="63"/>
      <c r="W219" s="63"/>
    </row>
    <row r="220" spans="22:23" x14ac:dyDescent="0.25">
      <c r="V220" s="63"/>
      <c r="W220" s="63"/>
    </row>
    <row r="221" spans="22:23" x14ac:dyDescent="0.25">
      <c r="V221" s="63"/>
      <c r="W221" s="63"/>
    </row>
    <row r="222" spans="22:23" x14ac:dyDescent="0.25">
      <c r="V222" s="63"/>
      <c r="W222" s="63"/>
    </row>
    <row r="223" spans="22:23" x14ac:dyDescent="0.25">
      <c r="V223" s="63"/>
      <c r="W223" s="63"/>
    </row>
    <row r="224" spans="22:23" x14ac:dyDescent="0.25">
      <c r="V224" s="63"/>
      <c r="W224" s="63"/>
    </row>
    <row r="225" spans="22:23" x14ac:dyDescent="0.25">
      <c r="V225" s="63"/>
      <c r="W225" s="63"/>
    </row>
    <row r="226" spans="22:23" x14ac:dyDescent="0.25">
      <c r="V226" s="63"/>
      <c r="W226" s="63"/>
    </row>
    <row r="227" spans="22:23" x14ac:dyDescent="0.25">
      <c r="V227" s="63"/>
      <c r="W227" s="63"/>
    </row>
    <row r="228" spans="22:23" x14ac:dyDescent="0.25">
      <c r="V228" s="63"/>
      <c r="W228" s="63"/>
    </row>
    <row r="229" spans="22:23" x14ac:dyDescent="0.25">
      <c r="V229" s="63"/>
      <c r="W229" s="63"/>
    </row>
    <row r="230" spans="22:23" x14ac:dyDescent="0.25">
      <c r="V230" s="63"/>
      <c r="W230" s="63"/>
    </row>
    <row r="231" spans="22:23" x14ac:dyDescent="0.25">
      <c r="V231" s="63"/>
      <c r="W231" s="63"/>
    </row>
    <row r="232" spans="22:23" x14ac:dyDescent="0.25">
      <c r="V232" s="63"/>
      <c r="W232" s="63"/>
    </row>
    <row r="233" spans="22:23" x14ac:dyDescent="0.25">
      <c r="V233" s="63"/>
      <c r="W233" s="63"/>
    </row>
    <row r="234" spans="22:23" x14ac:dyDescent="0.25">
      <c r="V234" s="63"/>
      <c r="W234" s="63"/>
    </row>
    <row r="235" spans="22:23" x14ac:dyDescent="0.25">
      <c r="V235" s="63"/>
      <c r="W235" s="63"/>
    </row>
    <row r="236" spans="22:23" x14ac:dyDescent="0.25">
      <c r="V236" s="63"/>
      <c r="W236" s="63"/>
    </row>
    <row r="237" spans="22:23" x14ac:dyDescent="0.25">
      <c r="V237" s="63"/>
      <c r="W237" s="63"/>
    </row>
    <row r="238" spans="22:23" x14ac:dyDescent="0.25">
      <c r="V238" s="63"/>
      <c r="W238" s="63"/>
    </row>
    <row r="239" spans="22:23" x14ac:dyDescent="0.25">
      <c r="V239" s="63"/>
      <c r="W239" s="63"/>
    </row>
    <row r="240" spans="22:23" x14ac:dyDescent="0.25">
      <c r="V240" s="63"/>
      <c r="W240" s="63"/>
    </row>
    <row r="241" spans="22:23" x14ac:dyDescent="0.25">
      <c r="V241" s="63"/>
      <c r="W241" s="63"/>
    </row>
    <row r="242" spans="22:23" x14ac:dyDescent="0.25">
      <c r="V242" s="63"/>
      <c r="W242" s="63"/>
    </row>
    <row r="243" spans="22:23" x14ac:dyDescent="0.25">
      <c r="V243" s="63"/>
      <c r="W243" s="63"/>
    </row>
    <row r="244" spans="22:23" x14ac:dyDescent="0.25">
      <c r="V244" s="63"/>
      <c r="W244" s="63"/>
    </row>
    <row r="245" spans="22:23" x14ac:dyDescent="0.25">
      <c r="V245" s="63"/>
      <c r="W245" s="63"/>
    </row>
    <row r="246" spans="22:23" x14ac:dyDescent="0.25">
      <c r="V246" s="63"/>
      <c r="W246" s="63"/>
    </row>
    <row r="247" spans="22:23" x14ac:dyDescent="0.25">
      <c r="V247" s="63"/>
      <c r="W247" s="63"/>
    </row>
    <row r="248" spans="22:23" x14ac:dyDescent="0.25">
      <c r="V248" s="63"/>
      <c r="W248" s="63"/>
    </row>
    <row r="249" spans="22:23" x14ac:dyDescent="0.25">
      <c r="V249" s="63"/>
      <c r="W249" s="63"/>
    </row>
    <row r="250" spans="22:23" x14ac:dyDescent="0.25">
      <c r="V250" s="63"/>
      <c r="W250" s="63"/>
    </row>
    <row r="251" spans="22:23" x14ac:dyDescent="0.25">
      <c r="V251" s="63"/>
      <c r="W251" s="63"/>
    </row>
    <row r="252" spans="22:23" x14ac:dyDescent="0.25">
      <c r="V252" s="63"/>
      <c r="W252" s="63"/>
    </row>
    <row r="253" spans="22:23" x14ac:dyDescent="0.25">
      <c r="V253" s="63"/>
      <c r="W253" s="63"/>
    </row>
    <row r="254" spans="22:23" x14ac:dyDescent="0.25">
      <c r="V254" s="63"/>
      <c r="W254" s="63"/>
    </row>
  </sheetData>
  <autoFilter ref="A2:BH141" xr:uid="{159920FD-401C-4577-A208-844F7596D1AF}"/>
  <conditionalFormatting sqref="U3:U1048576">
    <cfRule type="cellIs" dxfId="13" priority="5" operator="lessThan">
      <formula>-0.07</formula>
    </cfRule>
    <cfRule type="cellIs" dxfId="12" priority="6" operator="greaterThan">
      <formula>0.07</formula>
    </cfRule>
  </conditionalFormatting>
  <conditionalFormatting sqref="V3:V1048576">
    <cfRule type="cellIs" dxfId="11" priority="3" operator="lessThan">
      <formula>-0.05</formula>
    </cfRule>
    <cfRule type="cellIs" dxfId="10" priority="4" operator="greaterThan">
      <formula>0.05</formula>
    </cfRule>
  </conditionalFormatting>
  <conditionalFormatting sqref="W3:W1048576">
    <cfRule type="cellIs" dxfId="9" priority="1" operator="greaterThan">
      <formula>0.1</formula>
    </cfRule>
    <cfRule type="cellIs" dxfId="8" priority="2" operator="lessThan">
      <formula>-0.1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01443-3FCC-4225-A38A-EE540C4A8D1E}">
  <dimension ref="A1:BL190"/>
  <sheetViews>
    <sheetView showGridLines="0" zoomScaleNormal="100" workbookViewId="0">
      <selection activeCell="C10" sqref="C10"/>
    </sheetView>
  </sheetViews>
  <sheetFormatPr defaultRowHeight="15" x14ac:dyDescent="0.25"/>
  <cols>
    <col min="2" max="2" width="39.140625" customWidth="1"/>
    <col min="3" max="3" width="17.42578125" customWidth="1"/>
    <col min="4" max="4" width="15.7109375" customWidth="1"/>
    <col min="22" max="61" width="9.140625" hidden="1" customWidth="1"/>
    <col min="62" max="62" width="10.140625" hidden="1" customWidth="1"/>
    <col min="63" max="64" width="9.140625" hidden="1" customWidth="1"/>
    <col min="65" max="65" width="0" hidden="1" customWidth="1"/>
  </cols>
  <sheetData>
    <row r="1" spans="1:63" ht="27.75" customHeight="1" x14ac:dyDescent="0.25">
      <c r="O1" s="55" t="s">
        <v>303</v>
      </c>
      <c r="P1" s="57" t="s">
        <v>300</v>
      </c>
      <c r="Q1" s="55" t="s">
        <v>304</v>
      </c>
      <c r="R1" s="61"/>
      <c r="S1" s="61"/>
      <c r="T1" s="61"/>
      <c r="U1" s="61"/>
    </row>
    <row r="2" spans="1:63" s="3" customFormat="1" ht="30.75" customHeight="1" x14ac:dyDescent="0.25">
      <c r="A2" s="1" t="s">
        <v>0</v>
      </c>
      <c r="B2" s="1" t="s">
        <v>1</v>
      </c>
      <c r="C2" s="1" t="s">
        <v>237</v>
      </c>
      <c r="D2" s="1" t="s">
        <v>313</v>
      </c>
      <c r="E2" s="1" t="s">
        <v>2</v>
      </c>
      <c r="F2" s="1" t="s">
        <v>3</v>
      </c>
      <c r="G2" s="1" t="s">
        <v>46</v>
      </c>
      <c r="H2" s="1" t="s">
        <v>54</v>
      </c>
      <c r="I2" s="1" t="s">
        <v>13</v>
      </c>
      <c r="J2" s="2" t="s">
        <v>55</v>
      </c>
      <c r="K2" s="1" t="s">
        <v>15</v>
      </c>
      <c r="L2" s="1" t="s">
        <v>90</v>
      </c>
      <c r="M2" s="1" t="s">
        <v>17</v>
      </c>
      <c r="N2" s="1" t="s">
        <v>19</v>
      </c>
      <c r="O2" s="2" t="s">
        <v>155</v>
      </c>
      <c r="P2" s="2" t="s">
        <v>278</v>
      </c>
      <c r="Q2" s="2" t="s">
        <v>279</v>
      </c>
      <c r="R2" s="1" t="s">
        <v>67</v>
      </c>
      <c r="S2" s="2" t="s">
        <v>68</v>
      </c>
      <c r="T2" s="1" t="s">
        <v>69</v>
      </c>
      <c r="U2" s="1" t="s">
        <v>70</v>
      </c>
      <c r="V2" s="2" t="s">
        <v>49</v>
      </c>
      <c r="W2" s="1" t="s">
        <v>23</v>
      </c>
      <c r="X2" s="1" t="s">
        <v>25</v>
      </c>
      <c r="Y2" s="41"/>
      <c r="AJ2" s="41"/>
      <c r="AO2" s="41"/>
      <c r="BG2"/>
      <c r="BH2" s="1" t="s">
        <v>39</v>
      </c>
      <c r="BI2" s="1" t="s">
        <v>40</v>
      </c>
      <c r="BJ2" s="1" t="s">
        <v>41</v>
      </c>
      <c r="BK2" s="2" t="s">
        <v>156</v>
      </c>
    </row>
    <row r="3" spans="1:63" x14ac:dyDescent="0.25">
      <c r="P3" s="62"/>
      <c r="Q3" s="62"/>
    </row>
    <row r="4" spans="1:63" x14ac:dyDescent="0.25">
      <c r="P4" s="63"/>
      <c r="Q4" s="63"/>
    </row>
    <row r="5" spans="1:63" x14ac:dyDescent="0.25">
      <c r="P5" s="63"/>
      <c r="Q5" s="63"/>
    </row>
    <row r="6" spans="1:63" x14ac:dyDescent="0.25">
      <c r="P6" s="63"/>
      <c r="Q6" s="63"/>
    </row>
    <row r="7" spans="1:63" x14ac:dyDescent="0.25">
      <c r="P7" s="63"/>
      <c r="Q7" s="63"/>
    </row>
    <row r="8" spans="1:63" x14ac:dyDescent="0.25">
      <c r="P8" s="63"/>
      <c r="Q8" s="63"/>
    </row>
    <row r="9" spans="1:63" x14ac:dyDescent="0.25">
      <c r="P9" s="63"/>
      <c r="Q9" s="63"/>
    </row>
    <row r="10" spans="1:63" x14ac:dyDescent="0.25">
      <c r="P10" s="63"/>
      <c r="Q10" s="63"/>
    </row>
    <row r="11" spans="1:63" x14ac:dyDescent="0.25">
      <c r="P11" s="63"/>
      <c r="Q11" s="63"/>
    </row>
    <row r="12" spans="1:63" x14ac:dyDescent="0.25">
      <c r="P12" s="63"/>
      <c r="Q12" s="63"/>
    </row>
    <row r="13" spans="1:63" x14ac:dyDescent="0.25">
      <c r="P13" s="63"/>
      <c r="Q13" s="63"/>
    </row>
    <row r="14" spans="1:63" x14ac:dyDescent="0.25">
      <c r="P14" s="63"/>
      <c r="Q14" s="63"/>
    </row>
    <row r="15" spans="1:63" x14ac:dyDescent="0.25">
      <c r="P15" s="63"/>
      <c r="Q15" s="63"/>
    </row>
    <row r="16" spans="1:63" x14ac:dyDescent="0.25">
      <c r="P16" s="63"/>
      <c r="Q16" s="63"/>
    </row>
    <row r="17" spans="16:17" x14ac:dyDescent="0.25">
      <c r="P17" s="63"/>
      <c r="Q17" s="63"/>
    </row>
    <row r="18" spans="16:17" x14ac:dyDescent="0.25">
      <c r="P18" s="63"/>
      <c r="Q18" s="63"/>
    </row>
    <row r="19" spans="16:17" x14ac:dyDescent="0.25">
      <c r="P19" s="63"/>
      <c r="Q19" s="63"/>
    </row>
    <row r="20" spans="16:17" x14ac:dyDescent="0.25">
      <c r="P20" s="63"/>
      <c r="Q20" s="63"/>
    </row>
    <row r="21" spans="16:17" x14ac:dyDescent="0.25">
      <c r="P21" s="63"/>
      <c r="Q21" s="63"/>
    </row>
    <row r="22" spans="16:17" x14ac:dyDescent="0.25">
      <c r="P22" s="63"/>
      <c r="Q22" s="63"/>
    </row>
    <row r="23" spans="16:17" x14ac:dyDescent="0.25">
      <c r="P23" s="63"/>
      <c r="Q23" s="63"/>
    </row>
    <row r="24" spans="16:17" x14ac:dyDescent="0.25">
      <c r="P24" s="63"/>
      <c r="Q24" s="63"/>
    </row>
    <row r="25" spans="16:17" x14ac:dyDescent="0.25">
      <c r="P25" s="63"/>
      <c r="Q25" s="63"/>
    </row>
    <row r="26" spans="16:17" x14ac:dyDescent="0.25">
      <c r="P26" s="63"/>
      <c r="Q26" s="63"/>
    </row>
    <row r="27" spans="16:17" x14ac:dyDescent="0.25">
      <c r="P27" s="63"/>
      <c r="Q27" s="63"/>
    </row>
    <row r="28" spans="16:17" x14ac:dyDescent="0.25">
      <c r="P28" s="63"/>
      <c r="Q28" s="63"/>
    </row>
    <row r="29" spans="16:17" x14ac:dyDescent="0.25">
      <c r="P29" s="63"/>
      <c r="Q29" s="63"/>
    </row>
    <row r="30" spans="16:17" x14ac:dyDescent="0.25">
      <c r="P30" s="63"/>
      <c r="Q30" s="63"/>
    </row>
    <row r="31" spans="16:17" x14ac:dyDescent="0.25">
      <c r="P31" s="63"/>
      <c r="Q31" s="63"/>
    </row>
    <row r="32" spans="16:17" x14ac:dyDescent="0.25">
      <c r="P32" s="63"/>
      <c r="Q32" s="63"/>
    </row>
    <row r="33" spans="16:17" x14ac:dyDescent="0.25">
      <c r="P33" s="63"/>
      <c r="Q33" s="63"/>
    </row>
    <row r="34" spans="16:17" x14ac:dyDescent="0.25">
      <c r="P34" s="63"/>
      <c r="Q34" s="63"/>
    </row>
    <row r="35" spans="16:17" x14ac:dyDescent="0.25">
      <c r="P35" s="63"/>
      <c r="Q35" s="63"/>
    </row>
    <row r="36" spans="16:17" x14ac:dyDescent="0.25">
      <c r="P36" s="63"/>
      <c r="Q36" s="63"/>
    </row>
    <row r="37" spans="16:17" x14ac:dyDescent="0.25">
      <c r="P37" s="63"/>
      <c r="Q37" s="63"/>
    </row>
    <row r="38" spans="16:17" x14ac:dyDescent="0.25">
      <c r="P38" s="63"/>
      <c r="Q38" s="63"/>
    </row>
    <row r="39" spans="16:17" x14ac:dyDescent="0.25">
      <c r="P39" s="63"/>
      <c r="Q39" s="63"/>
    </row>
    <row r="40" spans="16:17" x14ac:dyDescent="0.25">
      <c r="P40" s="63"/>
      <c r="Q40" s="63"/>
    </row>
    <row r="41" spans="16:17" x14ac:dyDescent="0.25">
      <c r="P41" s="63"/>
      <c r="Q41" s="63"/>
    </row>
    <row r="42" spans="16:17" x14ac:dyDescent="0.25">
      <c r="P42" s="63"/>
      <c r="Q42" s="63"/>
    </row>
    <row r="43" spans="16:17" x14ac:dyDescent="0.25">
      <c r="P43" s="63"/>
      <c r="Q43" s="63"/>
    </row>
    <row r="44" spans="16:17" x14ac:dyDescent="0.25">
      <c r="P44" s="63"/>
      <c r="Q44" s="63"/>
    </row>
    <row r="45" spans="16:17" x14ac:dyDescent="0.25">
      <c r="P45" s="63"/>
      <c r="Q45" s="63"/>
    </row>
    <row r="46" spans="16:17" x14ac:dyDescent="0.25">
      <c r="P46" s="63"/>
      <c r="Q46" s="63"/>
    </row>
    <row r="47" spans="16:17" x14ac:dyDescent="0.25">
      <c r="P47" s="63"/>
      <c r="Q47" s="63"/>
    </row>
    <row r="48" spans="16:17" x14ac:dyDescent="0.25">
      <c r="P48" s="63"/>
      <c r="Q48" s="63"/>
    </row>
    <row r="49" spans="16:17" x14ac:dyDescent="0.25">
      <c r="P49" s="63"/>
      <c r="Q49" s="63"/>
    </row>
    <row r="50" spans="16:17" x14ac:dyDescent="0.25">
      <c r="P50" s="63"/>
      <c r="Q50" s="63"/>
    </row>
    <row r="51" spans="16:17" x14ac:dyDescent="0.25">
      <c r="P51" s="63"/>
      <c r="Q51" s="63"/>
    </row>
    <row r="52" spans="16:17" x14ac:dyDescent="0.25">
      <c r="P52" s="63"/>
      <c r="Q52" s="63"/>
    </row>
    <row r="53" spans="16:17" x14ac:dyDescent="0.25">
      <c r="P53" s="63"/>
      <c r="Q53" s="63"/>
    </row>
    <row r="54" spans="16:17" x14ac:dyDescent="0.25">
      <c r="P54" s="63"/>
      <c r="Q54" s="63"/>
    </row>
    <row r="55" spans="16:17" x14ac:dyDescent="0.25">
      <c r="P55" s="63"/>
      <c r="Q55" s="63"/>
    </row>
    <row r="56" spans="16:17" x14ac:dyDescent="0.25">
      <c r="P56" s="63"/>
      <c r="Q56" s="63"/>
    </row>
    <row r="57" spans="16:17" x14ac:dyDescent="0.25">
      <c r="P57" s="63"/>
      <c r="Q57" s="63"/>
    </row>
    <row r="58" spans="16:17" x14ac:dyDescent="0.25">
      <c r="P58" s="63"/>
      <c r="Q58" s="63"/>
    </row>
    <row r="59" spans="16:17" x14ac:dyDescent="0.25">
      <c r="P59" s="63"/>
      <c r="Q59" s="63"/>
    </row>
    <row r="60" spans="16:17" x14ac:dyDescent="0.25">
      <c r="P60" s="63"/>
      <c r="Q60" s="63"/>
    </row>
    <row r="61" spans="16:17" x14ac:dyDescent="0.25">
      <c r="P61" s="63"/>
      <c r="Q61" s="63"/>
    </row>
    <row r="62" spans="16:17" x14ac:dyDescent="0.25">
      <c r="P62" s="63"/>
      <c r="Q62" s="63"/>
    </row>
    <row r="63" spans="16:17" x14ac:dyDescent="0.25">
      <c r="P63" s="63"/>
      <c r="Q63" s="63"/>
    </row>
    <row r="64" spans="16:17" x14ac:dyDescent="0.25">
      <c r="P64" s="63"/>
      <c r="Q64" s="63"/>
    </row>
    <row r="65" spans="16:17" x14ac:dyDescent="0.25">
      <c r="P65" s="63"/>
      <c r="Q65" s="63"/>
    </row>
    <row r="66" spans="16:17" x14ac:dyDescent="0.25">
      <c r="P66" s="63"/>
      <c r="Q66" s="63"/>
    </row>
    <row r="67" spans="16:17" x14ac:dyDescent="0.25">
      <c r="P67" s="63"/>
      <c r="Q67" s="63"/>
    </row>
    <row r="68" spans="16:17" x14ac:dyDescent="0.25">
      <c r="P68" s="63"/>
      <c r="Q68" s="63"/>
    </row>
    <row r="69" spans="16:17" x14ac:dyDescent="0.25">
      <c r="P69" s="63"/>
      <c r="Q69" s="63"/>
    </row>
    <row r="70" spans="16:17" x14ac:dyDescent="0.25">
      <c r="P70" s="63"/>
      <c r="Q70" s="63"/>
    </row>
    <row r="71" spans="16:17" x14ac:dyDescent="0.25">
      <c r="P71" s="63"/>
      <c r="Q71" s="63"/>
    </row>
    <row r="72" spans="16:17" x14ac:dyDescent="0.25">
      <c r="P72" s="63"/>
      <c r="Q72" s="63"/>
    </row>
    <row r="73" spans="16:17" x14ac:dyDescent="0.25">
      <c r="P73" s="63"/>
      <c r="Q73" s="63"/>
    </row>
    <row r="74" spans="16:17" x14ac:dyDescent="0.25">
      <c r="P74" s="63"/>
      <c r="Q74" s="63"/>
    </row>
    <row r="75" spans="16:17" x14ac:dyDescent="0.25">
      <c r="P75" s="63"/>
      <c r="Q75" s="63"/>
    </row>
    <row r="76" spans="16:17" x14ac:dyDescent="0.25">
      <c r="P76" s="63"/>
      <c r="Q76" s="63"/>
    </row>
    <row r="77" spans="16:17" x14ac:dyDescent="0.25">
      <c r="P77" s="63"/>
      <c r="Q77" s="63"/>
    </row>
    <row r="78" spans="16:17" x14ac:dyDescent="0.25">
      <c r="P78" s="63"/>
      <c r="Q78" s="63"/>
    </row>
    <row r="79" spans="16:17" x14ac:dyDescent="0.25">
      <c r="P79" s="63"/>
      <c r="Q79" s="63"/>
    </row>
    <row r="80" spans="16:17" x14ac:dyDescent="0.25">
      <c r="P80" s="63"/>
      <c r="Q80" s="63"/>
    </row>
    <row r="81" spans="16:17" x14ac:dyDescent="0.25">
      <c r="P81" s="63"/>
      <c r="Q81" s="63"/>
    </row>
    <row r="82" spans="16:17" x14ac:dyDescent="0.25">
      <c r="P82" s="63"/>
      <c r="Q82" s="63"/>
    </row>
    <row r="83" spans="16:17" x14ac:dyDescent="0.25">
      <c r="P83" s="63"/>
      <c r="Q83" s="63"/>
    </row>
    <row r="84" spans="16:17" x14ac:dyDescent="0.25">
      <c r="P84" s="63"/>
      <c r="Q84" s="63"/>
    </row>
    <row r="85" spans="16:17" x14ac:dyDescent="0.25">
      <c r="P85" s="63"/>
      <c r="Q85" s="63"/>
    </row>
    <row r="86" spans="16:17" x14ac:dyDescent="0.25">
      <c r="P86" s="63"/>
      <c r="Q86" s="63"/>
    </row>
    <row r="87" spans="16:17" x14ac:dyDescent="0.25">
      <c r="P87" s="63"/>
      <c r="Q87" s="63"/>
    </row>
    <row r="88" spans="16:17" x14ac:dyDescent="0.25">
      <c r="P88" s="63"/>
      <c r="Q88" s="63"/>
    </row>
    <row r="89" spans="16:17" x14ac:dyDescent="0.25">
      <c r="P89" s="63"/>
      <c r="Q89" s="63"/>
    </row>
    <row r="90" spans="16:17" x14ac:dyDescent="0.25">
      <c r="P90" s="63"/>
      <c r="Q90" s="63"/>
    </row>
    <row r="91" spans="16:17" x14ac:dyDescent="0.25">
      <c r="P91" s="63"/>
      <c r="Q91" s="63"/>
    </row>
    <row r="92" spans="16:17" x14ac:dyDescent="0.25">
      <c r="P92" s="63"/>
      <c r="Q92" s="63"/>
    </row>
    <row r="93" spans="16:17" x14ac:dyDescent="0.25">
      <c r="P93" s="63"/>
      <c r="Q93" s="63"/>
    </row>
    <row r="94" spans="16:17" x14ac:dyDescent="0.25">
      <c r="P94" s="63"/>
      <c r="Q94" s="63"/>
    </row>
    <row r="95" spans="16:17" x14ac:dyDescent="0.25">
      <c r="P95" s="63"/>
      <c r="Q95" s="63"/>
    </row>
    <row r="96" spans="16:17" x14ac:dyDescent="0.25">
      <c r="P96" s="63"/>
      <c r="Q96" s="63"/>
    </row>
    <row r="97" spans="16:17" x14ac:dyDescent="0.25">
      <c r="P97" s="63"/>
      <c r="Q97" s="63"/>
    </row>
    <row r="98" spans="16:17" x14ac:dyDescent="0.25">
      <c r="P98" s="63"/>
      <c r="Q98" s="63"/>
    </row>
    <row r="99" spans="16:17" x14ac:dyDescent="0.25">
      <c r="P99" s="63"/>
      <c r="Q99" s="63"/>
    </row>
    <row r="100" spans="16:17" x14ac:dyDescent="0.25">
      <c r="P100" s="63"/>
      <c r="Q100" s="63"/>
    </row>
    <row r="101" spans="16:17" x14ac:dyDescent="0.25">
      <c r="P101" s="63"/>
      <c r="Q101" s="63"/>
    </row>
    <row r="102" spans="16:17" x14ac:dyDescent="0.25">
      <c r="P102" s="63"/>
      <c r="Q102" s="63"/>
    </row>
    <row r="103" spans="16:17" x14ac:dyDescent="0.25">
      <c r="P103" s="63"/>
      <c r="Q103" s="63"/>
    </row>
    <row r="104" spans="16:17" x14ac:dyDescent="0.25">
      <c r="P104" s="63"/>
      <c r="Q104" s="63"/>
    </row>
    <row r="105" spans="16:17" x14ac:dyDescent="0.25">
      <c r="P105" s="63"/>
      <c r="Q105" s="63"/>
    </row>
    <row r="106" spans="16:17" x14ac:dyDescent="0.25">
      <c r="P106" s="63"/>
      <c r="Q106" s="63"/>
    </row>
    <row r="107" spans="16:17" x14ac:dyDescent="0.25">
      <c r="P107" s="63"/>
      <c r="Q107" s="63"/>
    </row>
    <row r="108" spans="16:17" x14ac:dyDescent="0.25">
      <c r="P108" s="63"/>
      <c r="Q108" s="63"/>
    </row>
    <row r="109" spans="16:17" x14ac:dyDescent="0.25">
      <c r="P109" s="63"/>
      <c r="Q109" s="63"/>
    </row>
    <row r="110" spans="16:17" x14ac:dyDescent="0.25">
      <c r="P110" s="63"/>
      <c r="Q110" s="63"/>
    </row>
    <row r="111" spans="16:17" x14ac:dyDescent="0.25">
      <c r="P111" s="63"/>
      <c r="Q111" s="63"/>
    </row>
    <row r="112" spans="16:17" x14ac:dyDescent="0.25">
      <c r="P112" s="63"/>
      <c r="Q112" s="63"/>
    </row>
    <row r="113" spans="16:17" x14ac:dyDescent="0.25">
      <c r="P113" s="63"/>
      <c r="Q113" s="63"/>
    </row>
    <row r="114" spans="16:17" x14ac:dyDescent="0.25">
      <c r="P114" s="63"/>
      <c r="Q114" s="63"/>
    </row>
    <row r="115" spans="16:17" x14ac:dyDescent="0.25">
      <c r="P115" s="63"/>
      <c r="Q115" s="63"/>
    </row>
    <row r="116" spans="16:17" x14ac:dyDescent="0.25">
      <c r="P116" s="63"/>
      <c r="Q116" s="63"/>
    </row>
    <row r="117" spans="16:17" x14ac:dyDescent="0.25">
      <c r="P117" s="63"/>
      <c r="Q117" s="63"/>
    </row>
    <row r="118" spans="16:17" x14ac:dyDescent="0.25">
      <c r="P118" s="63"/>
      <c r="Q118" s="63"/>
    </row>
    <row r="119" spans="16:17" x14ac:dyDescent="0.25">
      <c r="P119" s="63"/>
      <c r="Q119" s="63"/>
    </row>
    <row r="120" spans="16:17" x14ac:dyDescent="0.25">
      <c r="P120" s="63"/>
      <c r="Q120" s="63"/>
    </row>
    <row r="121" spans="16:17" x14ac:dyDescent="0.25">
      <c r="P121" s="63"/>
      <c r="Q121" s="63"/>
    </row>
    <row r="122" spans="16:17" x14ac:dyDescent="0.25">
      <c r="P122" s="63"/>
      <c r="Q122" s="63"/>
    </row>
    <row r="123" spans="16:17" x14ac:dyDescent="0.25">
      <c r="P123" s="63"/>
      <c r="Q123" s="63"/>
    </row>
    <row r="124" spans="16:17" x14ac:dyDescent="0.25">
      <c r="P124" s="63"/>
      <c r="Q124" s="63"/>
    </row>
    <row r="125" spans="16:17" x14ac:dyDescent="0.25">
      <c r="P125" s="63"/>
      <c r="Q125" s="63"/>
    </row>
    <row r="126" spans="16:17" x14ac:dyDescent="0.25">
      <c r="P126" s="63"/>
      <c r="Q126" s="63"/>
    </row>
    <row r="127" spans="16:17" x14ac:dyDescent="0.25">
      <c r="P127" s="63"/>
      <c r="Q127" s="63"/>
    </row>
    <row r="128" spans="16:17" x14ac:dyDescent="0.25">
      <c r="P128" s="63"/>
      <c r="Q128" s="63"/>
    </row>
    <row r="129" spans="16:17" x14ac:dyDescent="0.25">
      <c r="P129" s="63"/>
      <c r="Q129" s="63"/>
    </row>
    <row r="130" spans="16:17" x14ac:dyDescent="0.25">
      <c r="P130" s="63"/>
      <c r="Q130" s="63"/>
    </row>
    <row r="131" spans="16:17" x14ac:dyDescent="0.25">
      <c r="P131" s="63"/>
      <c r="Q131" s="63"/>
    </row>
    <row r="132" spans="16:17" x14ac:dyDescent="0.25">
      <c r="P132" s="63"/>
      <c r="Q132" s="63"/>
    </row>
    <row r="133" spans="16:17" x14ac:dyDescent="0.25">
      <c r="P133" s="63"/>
      <c r="Q133" s="63"/>
    </row>
    <row r="134" spans="16:17" x14ac:dyDescent="0.25">
      <c r="P134" s="63"/>
      <c r="Q134" s="63"/>
    </row>
    <row r="135" spans="16:17" x14ac:dyDescent="0.25">
      <c r="P135" s="63"/>
      <c r="Q135" s="63"/>
    </row>
    <row r="136" spans="16:17" x14ac:dyDescent="0.25">
      <c r="P136" s="63"/>
      <c r="Q136" s="63"/>
    </row>
    <row r="137" spans="16:17" x14ac:dyDescent="0.25">
      <c r="P137" s="63"/>
      <c r="Q137" s="63"/>
    </row>
    <row r="138" spans="16:17" x14ac:dyDescent="0.25">
      <c r="P138" s="63"/>
      <c r="Q138" s="63"/>
    </row>
    <row r="139" spans="16:17" x14ac:dyDescent="0.25">
      <c r="P139" s="63"/>
      <c r="Q139" s="63"/>
    </row>
    <row r="140" spans="16:17" x14ac:dyDescent="0.25">
      <c r="P140" s="63"/>
      <c r="Q140" s="63"/>
    </row>
    <row r="141" spans="16:17" x14ac:dyDescent="0.25">
      <c r="P141" s="63"/>
      <c r="Q141" s="63"/>
    </row>
    <row r="142" spans="16:17" x14ac:dyDescent="0.25">
      <c r="P142" s="63"/>
      <c r="Q142" s="63"/>
    </row>
    <row r="143" spans="16:17" x14ac:dyDescent="0.25">
      <c r="P143" s="63"/>
      <c r="Q143" s="63"/>
    </row>
    <row r="144" spans="16:17" x14ac:dyDescent="0.25">
      <c r="P144" s="63"/>
      <c r="Q144" s="63"/>
    </row>
    <row r="145" spans="16:17" x14ac:dyDescent="0.25">
      <c r="P145" s="63"/>
      <c r="Q145" s="63"/>
    </row>
    <row r="146" spans="16:17" x14ac:dyDescent="0.25">
      <c r="P146" s="63"/>
      <c r="Q146" s="63"/>
    </row>
    <row r="147" spans="16:17" x14ac:dyDescent="0.25">
      <c r="P147" s="63"/>
      <c r="Q147" s="63"/>
    </row>
    <row r="148" spans="16:17" x14ac:dyDescent="0.25">
      <c r="P148" s="63"/>
      <c r="Q148" s="63"/>
    </row>
    <row r="149" spans="16:17" x14ac:dyDescent="0.25">
      <c r="P149" s="63"/>
      <c r="Q149" s="63"/>
    </row>
    <row r="150" spans="16:17" x14ac:dyDescent="0.25">
      <c r="P150" s="63"/>
      <c r="Q150" s="63"/>
    </row>
    <row r="151" spans="16:17" x14ac:dyDescent="0.25">
      <c r="P151" s="63"/>
      <c r="Q151" s="63"/>
    </row>
    <row r="152" spans="16:17" x14ac:dyDescent="0.25">
      <c r="P152" s="63"/>
      <c r="Q152" s="63"/>
    </row>
    <row r="153" spans="16:17" x14ac:dyDescent="0.25">
      <c r="P153" s="63"/>
      <c r="Q153" s="63"/>
    </row>
    <row r="154" spans="16:17" x14ac:dyDescent="0.25">
      <c r="P154" s="63"/>
      <c r="Q154" s="63"/>
    </row>
    <row r="155" spans="16:17" x14ac:dyDescent="0.25">
      <c r="P155" s="63"/>
      <c r="Q155" s="63"/>
    </row>
    <row r="156" spans="16:17" x14ac:dyDescent="0.25">
      <c r="P156" s="63"/>
      <c r="Q156" s="63"/>
    </row>
    <row r="157" spans="16:17" x14ac:dyDescent="0.25">
      <c r="P157" s="63"/>
      <c r="Q157" s="63"/>
    </row>
    <row r="158" spans="16:17" x14ac:dyDescent="0.25">
      <c r="P158" s="63"/>
      <c r="Q158" s="63"/>
    </row>
    <row r="159" spans="16:17" x14ac:dyDescent="0.25">
      <c r="P159" s="63"/>
      <c r="Q159" s="63"/>
    </row>
    <row r="160" spans="16:17" x14ac:dyDescent="0.25">
      <c r="P160" s="63"/>
      <c r="Q160" s="63"/>
    </row>
    <row r="161" spans="16:17" x14ac:dyDescent="0.25">
      <c r="P161" s="63"/>
      <c r="Q161" s="63"/>
    </row>
    <row r="162" spans="16:17" x14ac:dyDescent="0.25">
      <c r="P162" s="63"/>
      <c r="Q162" s="63"/>
    </row>
    <row r="163" spans="16:17" x14ac:dyDescent="0.25">
      <c r="P163" s="63"/>
      <c r="Q163" s="63"/>
    </row>
    <row r="164" spans="16:17" x14ac:dyDescent="0.25">
      <c r="P164" s="63"/>
      <c r="Q164" s="63"/>
    </row>
    <row r="165" spans="16:17" x14ac:dyDescent="0.25">
      <c r="P165" s="63"/>
      <c r="Q165" s="63"/>
    </row>
    <row r="166" spans="16:17" x14ac:dyDescent="0.25">
      <c r="P166" s="63"/>
      <c r="Q166" s="63"/>
    </row>
    <row r="167" spans="16:17" x14ac:dyDescent="0.25">
      <c r="P167" s="63"/>
      <c r="Q167" s="63"/>
    </row>
    <row r="168" spans="16:17" x14ac:dyDescent="0.25">
      <c r="P168" s="63"/>
      <c r="Q168" s="63"/>
    </row>
    <row r="169" spans="16:17" x14ac:dyDescent="0.25">
      <c r="P169" s="63"/>
      <c r="Q169" s="63"/>
    </row>
    <row r="170" spans="16:17" x14ac:dyDescent="0.25">
      <c r="P170" s="63"/>
      <c r="Q170" s="63"/>
    </row>
    <row r="171" spans="16:17" x14ac:dyDescent="0.25">
      <c r="P171" s="63"/>
      <c r="Q171" s="63"/>
    </row>
    <row r="172" spans="16:17" x14ac:dyDescent="0.25">
      <c r="P172" s="63"/>
      <c r="Q172" s="63"/>
    </row>
    <row r="173" spans="16:17" x14ac:dyDescent="0.25">
      <c r="P173" s="63"/>
      <c r="Q173" s="63"/>
    </row>
    <row r="174" spans="16:17" x14ac:dyDescent="0.25">
      <c r="P174" s="63"/>
      <c r="Q174" s="63"/>
    </row>
    <row r="175" spans="16:17" x14ac:dyDescent="0.25">
      <c r="P175" s="63"/>
      <c r="Q175" s="63"/>
    </row>
    <row r="176" spans="16:17" x14ac:dyDescent="0.25">
      <c r="P176" s="63"/>
      <c r="Q176" s="63"/>
    </row>
    <row r="177" spans="16:17" x14ac:dyDescent="0.25">
      <c r="P177" s="63"/>
      <c r="Q177" s="63"/>
    </row>
    <row r="178" spans="16:17" x14ac:dyDescent="0.25">
      <c r="P178" s="63"/>
      <c r="Q178" s="63"/>
    </row>
    <row r="179" spans="16:17" x14ac:dyDescent="0.25">
      <c r="P179" s="63"/>
      <c r="Q179" s="63"/>
    </row>
    <row r="180" spans="16:17" x14ac:dyDescent="0.25">
      <c r="P180" s="63"/>
      <c r="Q180" s="63"/>
    </row>
    <row r="181" spans="16:17" x14ac:dyDescent="0.25">
      <c r="P181" s="63"/>
      <c r="Q181" s="63"/>
    </row>
    <row r="182" spans="16:17" x14ac:dyDescent="0.25">
      <c r="P182" s="63"/>
      <c r="Q182" s="63"/>
    </row>
    <row r="183" spans="16:17" x14ac:dyDescent="0.25">
      <c r="P183" s="63"/>
      <c r="Q183" s="63"/>
    </row>
    <row r="184" spans="16:17" x14ac:dyDescent="0.25">
      <c r="P184" s="63"/>
      <c r="Q184" s="63"/>
    </row>
    <row r="185" spans="16:17" x14ac:dyDescent="0.25">
      <c r="P185" s="63"/>
      <c r="Q185" s="63"/>
    </row>
    <row r="186" spans="16:17" x14ac:dyDescent="0.25">
      <c r="P186" s="63"/>
      <c r="Q186" s="63"/>
    </row>
    <row r="187" spans="16:17" x14ac:dyDescent="0.25">
      <c r="P187" s="63"/>
      <c r="Q187" s="63"/>
    </row>
    <row r="188" spans="16:17" x14ac:dyDescent="0.25">
      <c r="P188" s="63"/>
      <c r="Q188" s="63"/>
    </row>
    <row r="189" spans="16:17" x14ac:dyDescent="0.25">
      <c r="P189" s="63"/>
      <c r="Q189" s="63"/>
    </row>
    <row r="190" spans="16:17" x14ac:dyDescent="0.25">
      <c r="P190" s="63"/>
      <c r="Q190" s="63"/>
    </row>
  </sheetData>
  <autoFilter ref="A2:BL2" xr:uid="{A0F01443-3FCC-4225-A38A-EE540C4A8D1E}">
    <sortState xmlns:xlrd2="http://schemas.microsoft.com/office/spreadsheetml/2017/richdata2" ref="A3:BL8">
      <sortCondition ref="B2"/>
    </sortState>
  </autoFilter>
  <conditionalFormatting sqref="O3:O1048576">
    <cfRule type="cellIs" dxfId="7" priority="9" operator="lessThan">
      <formula>-0.07</formula>
    </cfRule>
    <cfRule type="cellIs" dxfId="6" priority="10" operator="greaterThan">
      <formula>0.07</formula>
    </cfRule>
  </conditionalFormatting>
  <conditionalFormatting sqref="P3:P1048576">
    <cfRule type="cellIs" dxfId="5" priority="3" operator="lessThan">
      <formula>-0.05</formula>
    </cfRule>
    <cfRule type="cellIs" dxfId="4" priority="4" operator="greaterThan">
      <formula>0.05</formula>
    </cfRule>
  </conditionalFormatting>
  <conditionalFormatting sqref="Q3:Q1048576">
    <cfRule type="cellIs" dxfId="3" priority="1" operator="greaterThan">
      <formula>0.1</formula>
    </cfRule>
    <cfRule type="cellIs" dxfId="2" priority="2" operator="lessThan">
      <formula>-0.1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7AD33-7A5F-4FEA-BFDB-847452410A30}">
  <dimension ref="A1:BF8"/>
  <sheetViews>
    <sheetView showGridLines="0" workbookViewId="0">
      <selection activeCell="N12" sqref="N12"/>
    </sheetView>
  </sheetViews>
  <sheetFormatPr defaultRowHeight="15" x14ac:dyDescent="0.25"/>
  <cols>
    <col min="1" max="1" width="6.42578125" customWidth="1"/>
    <col min="2" max="2" width="17.85546875" customWidth="1"/>
    <col min="3" max="3" width="13.28515625" customWidth="1"/>
    <col min="4" max="4" width="12.85546875" customWidth="1"/>
    <col min="5" max="5" width="49" customWidth="1"/>
    <col min="7" max="7" width="13.140625" bestFit="1" customWidth="1"/>
    <col min="9" max="9" width="10.140625" bestFit="1" customWidth="1"/>
    <col min="10" max="10" width="10.42578125" bestFit="1" customWidth="1"/>
    <col min="13" max="13" width="16.28515625" bestFit="1" customWidth="1"/>
    <col min="22" max="24" width="9.140625" hidden="1" customWidth="1"/>
    <col min="25" max="25" width="16.140625" hidden="1" customWidth="1"/>
    <col min="26" max="32" width="9.140625" hidden="1" customWidth="1"/>
    <col min="33" max="33" width="16.28515625" hidden="1" customWidth="1"/>
    <col min="34" max="58" width="9.140625" hidden="1" customWidth="1"/>
    <col min="59" max="59" width="0" hidden="1" customWidth="1"/>
  </cols>
  <sheetData>
    <row r="1" spans="1:57" ht="27" x14ac:dyDescent="0.25">
      <c r="U1" s="55" t="s">
        <v>303</v>
      </c>
    </row>
    <row r="2" spans="1:57" s="3" customFormat="1" ht="30.75" customHeight="1" x14ac:dyDescent="0.25">
      <c r="A2" s="1" t="s">
        <v>0</v>
      </c>
      <c r="B2" s="1" t="s">
        <v>1</v>
      </c>
      <c r="C2" s="1" t="s">
        <v>237</v>
      </c>
      <c r="D2" s="1" t="s">
        <v>313</v>
      </c>
      <c r="E2" s="1" t="s">
        <v>2</v>
      </c>
      <c r="F2" s="1" t="s">
        <v>3</v>
      </c>
      <c r="G2" s="1" t="s">
        <v>4</v>
      </c>
      <c r="H2" s="1" t="s">
        <v>164</v>
      </c>
      <c r="I2" s="1" t="s">
        <v>41</v>
      </c>
      <c r="J2" s="1" t="s">
        <v>165</v>
      </c>
      <c r="K2" s="1" t="s">
        <v>166</v>
      </c>
      <c r="L2" s="1" t="s">
        <v>167</v>
      </c>
      <c r="M2" s="1" t="s">
        <v>28</v>
      </c>
      <c r="N2" s="2" t="s">
        <v>29</v>
      </c>
      <c r="O2" s="1" t="s">
        <v>23</v>
      </c>
      <c r="P2" s="1" t="s">
        <v>13</v>
      </c>
      <c r="Q2" s="1" t="s">
        <v>14</v>
      </c>
      <c r="R2" s="1" t="s">
        <v>15</v>
      </c>
      <c r="S2" s="1" t="s">
        <v>90</v>
      </c>
      <c r="T2" s="2" t="s">
        <v>17</v>
      </c>
      <c r="U2" s="1" t="s">
        <v>18</v>
      </c>
      <c r="V2" s="1" t="s">
        <v>19</v>
      </c>
      <c r="W2" s="1" t="s">
        <v>24</v>
      </c>
      <c r="X2" s="2" t="s">
        <v>25</v>
      </c>
      <c r="Y2" s="2" t="s">
        <v>168</v>
      </c>
      <c r="Z2" s="2" t="s">
        <v>169</v>
      </c>
      <c r="AA2" s="2" t="s">
        <v>170</v>
      </c>
      <c r="AB2" s="2" t="s">
        <v>171</v>
      </c>
      <c r="AC2" s="2" t="s">
        <v>172</v>
      </c>
      <c r="AD2" s="2" t="s">
        <v>173</v>
      </c>
      <c r="AH2" s="3" t="s">
        <v>174</v>
      </c>
      <c r="AI2" s="3" t="s">
        <v>310</v>
      </c>
      <c r="AJ2" s="47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BA2" s="1" t="s">
        <v>4</v>
      </c>
      <c r="BB2" s="2" t="s">
        <v>39</v>
      </c>
      <c r="BC2" s="1" t="s">
        <v>40</v>
      </c>
      <c r="BD2" s="1" t="s">
        <v>41</v>
      </c>
      <c r="BE2" s="1" t="s">
        <v>109</v>
      </c>
    </row>
    <row r="3" spans="1:57" s="3" customFormat="1" ht="14.45" customHeight="1" x14ac:dyDescent="0.25">
      <c r="A3" s="49" t="s">
        <v>241</v>
      </c>
      <c r="B3" s="49" t="s">
        <v>251</v>
      </c>
      <c r="C3" s="49" t="s">
        <v>252</v>
      </c>
      <c r="D3" s="49" t="s">
        <v>240</v>
      </c>
      <c r="E3" s="23" t="s">
        <v>175</v>
      </c>
      <c r="F3" s="23" t="s">
        <v>176</v>
      </c>
      <c r="G3" s="23" t="s">
        <v>177</v>
      </c>
      <c r="H3" s="23" t="s">
        <v>178</v>
      </c>
      <c r="I3" s="37">
        <v>43962</v>
      </c>
      <c r="J3" s="79">
        <v>45848</v>
      </c>
      <c r="K3" s="27">
        <v>125000</v>
      </c>
      <c r="L3" s="48" t="e">
        <f>(AH3/100)+4.16%</f>
        <v>#VALUE!</v>
      </c>
      <c r="M3" s="42" t="s">
        <v>179</v>
      </c>
      <c r="N3" s="44" t="s">
        <v>180</v>
      </c>
      <c r="O3" s="29">
        <f>IF(F3="USD",K3,(((_xll.BDP(F3&amp;"USD CURNCY","PX_LAST")))*K3))</f>
        <v>125000</v>
      </c>
      <c r="P3" s="45">
        <v>100</v>
      </c>
      <c r="Q3" s="45">
        <v>98.85</v>
      </c>
      <c r="R3" s="46">
        <f>IF(F3="USD",W3,(((_xll.BDP(F3&amp;"USD CURNCY","PX_LAST")))*W3))</f>
        <v>125000</v>
      </c>
      <c r="S3" s="46">
        <f>IF(F3="USD",X3,(((_xll.BDP(F3&amp;"USD CURNCY","PX_LAST")))*X3))</f>
        <v>123562.5</v>
      </c>
      <c r="T3" s="12">
        <f t="shared" ref="T3:T8" si="0">S3-R3</f>
        <v>-1437.5</v>
      </c>
      <c r="U3" s="13">
        <f t="shared" ref="U3:U8" si="1">IFERROR(T3/R3,0)</f>
        <v>-1.15E-2</v>
      </c>
      <c r="V3" s="13">
        <f t="shared" ref="V3:V8" si="2">IFERROR(S3/$H$43,0)</f>
        <v>0</v>
      </c>
      <c r="W3" s="29">
        <f t="shared" ref="W3:W8" si="3">K3*P3/100</f>
        <v>125000</v>
      </c>
      <c r="X3" s="29">
        <f t="shared" ref="X3:X8" si="4">Q3*K3/100</f>
        <v>123562.5</v>
      </c>
      <c r="Y3" s="25" t="str" cm="1">
        <f t="array" ref="Y3">IF(OR(_xll.BDP($G3,"DS827")="#N/A N/A",_xll.BDP($G3,"DS827")="#N/A FIELD NOT APPLICABLE")," ", _xll.BDP($G3,"DS827"))</f>
        <v>#N/A Connection</v>
      </c>
      <c r="Z3" s="42"/>
      <c r="AA3" s="42"/>
      <c r="AB3" s="42"/>
      <c r="AC3" s="42"/>
      <c r="AD3" s="42"/>
      <c r="AG3" s="64" t="s">
        <v>181</v>
      </c>
      <c r="AH3" s="3" t="str" cm="1">
        <f t="array" ref="AH3">_xll.BDP(AG3,$AH$2)</f>
        <v>#N/A Connection</v>
      </c>
      <c r="AI3" s="64" t="s">
        <v>311</v>
      </c>
      <c r="BA3" s="39" t="str">
        <f t="shared" ref="BA3:BA8" si="5">G3</f>
        <v>XS2175846398</v>
      </c>
      <c r="BB3" s="44">
        <v>0</v>
      </c>
      <c r="BC3" s="23">
        <v>5</v>
      </c>
      <c r="BD3" s="37">
        <v>43962</v>
      </c>
      <c r="BE3" s="20">
        <v>1.0000000000107532</v>
      </c>
    </row>
    <row r="4" spans="1:57" s="3" customFormat="1" ht="14.45" customHeight="1" x14ac:dyDescent="0.25">
      <c r="A4" s="49" t="s">
        <v>241</v>
      </c>
      <c r="B4" s="49" t="str">
        <f>B3</f>
        <v>Dorabelle Limited STD</v>
      </c>
      <c r="C4" s="49" t="str">
        <f>C3</f>
        <v>2620512.011</v>
      </c>
      <c r="D4" s="49" t="str">
        <f>D3</f>
        <v>LGT Geneva</v>
      </c>
      <c r="E4" s="23" t="s">
        <v>182</v>
      </c>
      <c r="F4" s="23" t="s">
        <v>176</v>
      </c>
      <c r="G4" s="23" t="s">
        <v>183</v>
      </c>
      <c r="H4" s="23" t="s">
        <v>178</v>
      </c>
      <c r="I4" s="37">
        <v>43962</v>
      </c>
      <c r="J4" s="79">
        <v>45848</v>
      </c>
      <c r="K4" s="27">
        <v>125000</v>
      </c>
      <c r="L4" s="48" t="e">
        <f>(AH4/100)+3.65%</f>
        <v>#VALUE!</v>
      </c>
      <c r="M4" s="42" t="s">
        <v>179</v>
      </c>
      <c r="N4" s="44" t="s">
        <v>180</v>
      </c>
      <c r="O4" s="29">
        <f>IF(F4="USD",K4,(((_xll.BDP(F4&amp;"USD CURNCY","PX_LAST")))*K4))</f>
        <v>125000</v>
      </c>
      <c r="P4" s="45">
        <v>100</v>
      </c>
      <c r="Q4" s="45">
        <v>98.69</v>
      </c>
      <c r="R4" s="46">
        <f>IF(F4="USD",W4,(((_xll.BDP(F4&amp;"USD CURNCY","PX_LAST")))*W4))</f>
        <v>125000</v>
      </c>
      <c r="S4" s="46">
        <f>IF(F4="USD",X4,(((_xll.BDP(F4&amp;"USD CURNCY","PX_LAST")))*X4))</f>
        <v>123362.5</v>
      </c>
      <c r="T4" s="12">
        <f t="shared" si="0"/>
        <v>-1637.5</v>
      </c>
      <c r="U4" s="13">
        <f t="shared" si="1"/>
        <v>-1.3100000000000001E-2</v>
      </c>
      <c r="V4" s="13">
        <f t="shared" si="2"/>
        <v>0</v>
      </c>
      <c r="W4" s="29">
        <f t="shared" si="3"/>
        <v>125000</v>
      </c>
      <c r="X4" s="29">
        <f t="shared" si="4"/>
        <v>123362.5</v>
      </c>
      <c r="Y4" s="25" t="str" cm="1">
        <f t="array" ref="Y4">IF(OR(_xll.BDP($G4,"DS827")="#N/A N/A",_xll.BDP($G4,"DS827")="#N/A FIELD NOT APPLICABLE")," ", _xll.BDP($G4,"DS827"))</f>
        <v>#N/A Connection</v>
      </c>
      <c r="Z4" s="42"/>
      <c r="AA4" s="42"/>
      <c r="AB4" s="42"/>
      <c r="AC4" s="42"/>
      <c r="AD4" s="42"/>
      <c r="AG4" s="64" t="s">
        <v>181</v>
      </c>
      <c r="AH4" s="3" t="str" cm="1">
        <f t="array" ref="AH4">_xll.BDP(AG4,$AH$2)</f>
        <v>#N/A Connection</v>
      </c>
      <c r="AI4" s="64" t="s">
        <v>311</v>
      </c>
      <c r="BA4" s="39" t="str">
        <f t="shared" si="5"/>
        <v>XS2175846638</v>
      </c>
      <c r="BB4" s="44">
        <v>0</v>
      </c>
      <c r="BC4" s="23">
        <v>5</v>
      </c>
      <c r="BD4" s="37">
        <v>43962</v>
      </c>
      <c r="BE4" s="20">
        <v>1.0000000000107532</v>
      </c>
    </row>
    <row r="5" spans="1:57" s="3" customFormat="1" ht="14.45" customHeight="1" x14ac:dyDescent="0.25">
      <c r="A5" s="49" t="s">
        <v>241</v>
      </c>
      <c r="B5" s="49" t="s">
        <v>262</v>
      </c>
      <c r="C5" s="49" t="s">
        <v>263</v>
      </c>
      <c r="D5" s="49" t="s">
        <v>240</v>
      </c>
      <c r="E5" s="23" t="s">
        <v>208</v>
      </c>
      <c r="F5" s="23" t="s">
        <v>176</v>
      </c>
      <c r="G5" s="23" t="s">
        <v>177</v>
      </c>
      <c r="H5" s="23" t="s">
        <v>178</v>
      </c>
      <c r="I5" s="37">
        <v>44315</v>
      </c>
      <c r="J5" s="79">
        <v>45848</v>
      </c>
      <c r="K5" s="27">
        <v>125000</v>
      </c>
      <c r="L5" s="48" t="e">
        <f>(AH5/100)+4.16%</f>
        <v>#VALUE!</v>
      </c>
      <c r="M5" s="42" t="s">
        <v>179</v>
      </c>
      <c r="N5" s="44" t="s">
        <v>180</v>
      </c>
      <c r="O5" s="29">
        <f>IF(F5="USD",K5,(((_xll.BDP(F5&amp;"USD CURNCY","PX_LAST")))*K5))</f>
        <v>125000</v>
      </c>
      <c r="P5" s="45">
        <v>100</v>
      </c>
      <c r="Q5" s="45">
        <v>98.85</v>
      </c>
      <c r="R5" s="46">
        <f>IF(F5="USD",W5,(((_xll.BDP(F5&amp;"USD CURNCY","PX_LAST")))*W5))</f>
        <v>125000</v>
      </c>
      <c r="S5" s="46">
        <f>IF(F5="USD",X5,(((_xll.BDP(F5&amp;"USD CURNCY","PX_LAST")))*X5))</f>
        <v>123562.5</v>
      </c>
      <c r="T5" s="12">
        <f t="shared" si="0"/>
        <v>-1437.5</v>
      </c>
      <c r="U5" s="13">
        <f t="shared" si="1"/>
        <v>-1.15E-2</v>
      </c>
      <c r="V5" s="13">
        <f t="shared" si="2"/>
        <v>0</v>
      </c>
      <c r="W5" s="29">
        <f t="shared" si="3"/>
        <v>125000</v>
      </c>
      <c r="X5" s="29">
        <f t="shared" si="4"/>
        <v>123562.5</v>
      </c>
      <c r="Y5" s="25" t="str" cm="1">
        <f t="array" ref="Y5">IF(OR(_xll.BDP($G5,"DS827")="#N/A N/A",_xll.BDP($G5,"DS827")="#N/A FIELD NOT APPLICABLE")," ", _xll.BDP($G5,"DS827"))</f>
        <v>#N/A Connection</v>
      </c>
      <c r="Z5" s="42"/>
      <c r="AA5" s="42"/>
      <c r="AB5" s="42"/>
      <c r="AC5" s="42"/>
      <c r="AD5" s="42"/>
      <c r="AG5" s="64" t="s">
        <v>181</v>
      </c>
      <c r="AH5" s="3" t="str" cm="1">
        <f t="array" ref="AH5">_xll.BDP(AG5,$AH$2)</f>
        <v>#N/A Connection</v>
      </c>
      <c r="AI5" s="64" t="s">
        <v>311</v>
      </c>
      <c r="BA5" s="39" t="str">
        <f t="shared" si="5"/>
        <v>XS2175846398</v>
      </c>
      <c r="BB5" s="38">
        <v>0</v>
      </c>
      <c r="BC5" s="40">
        <v>5</v>
      </c>
      <c r="BD5" s="37">
        <v>44315</v>
      </c>
      <c r="BE5" s="20">
        <v>1.0000000000107532</v>
      </c>
    </row>
    <row r="6" spans="1:57" s="3" customFormat="1" ht="14.45" customHeight="1" x14ac:dyDescent="0.25">
      <c r="A6" s="49" t="s">
        <v>241</v>
      </c>
      <c r="B6" s="49" t="str">
        <f>B5</f>
        <v>Konesi Limited</v>
      </c>
      <c r="C6" s="49" t="str">
        <f>C5</f>
        <v>2029866.007</v>
      </c>
      <c r="D6" s="49" t="str">
        <f>D5</f>
        <v>LGT Geneva</v>
      </c>
      <c r="E6" s="23" t="s">
        <v>209</v>
      </c>
      <c r="F6" s="23" t="s">
        <v>176</v>
      </c>
      <c r="G6" s="23" t="s">
        <v>183</v>
      </c>
      <c r="H6" s="23" t="s">
        <v>178</v>
      </c>
      <c r="I6" s="37">
        <v>44315</v>
      </c>
      <c r="J6" s="79">
        <v>45848</v>
      </c>
      <c r="K6" s="27">
        <v>125000</v>
      </c>
      <c r="L6" s="48" t="e">
        <f>(AH6/100)+3.65%</f>
        <v>#VALUE!</v>
      </c>
      <c r="M6" s="42" t="s">
        <v>179</v>
      </c>
      <c r="N6" s="44" t="s">
        <v>180</v>
      </c>
      <c r="O6" s="29">
        <f>IF(F6="USD",K6,(((_xll.BDP(F6&amp;"USD CURNCY","PX_LAST")))*K6))</f>
        <v>125000</v>
      </c>
      <c r="P6" s="45">
        <v>100</v>
      </c>
      <c r="Q6" s="45">
        <v>98.69</v>
      </c>
      <c r="R6" s="46">
        <f>IF(F6="USD",W6,(((_xll.BDP(F6&amp;"USD CURNCY","PX_LAST")))*W6))</f>
        <v>125000</v>
      </c>
      <c r="S6" s="46">
        <f>IF(F6="USD",X6,(((_xll.BDP(F6&amp;"USD CURNCY","PX_LAST")))*X6))</f>
        <v>123362.5</v>
      </c>
      <c r="T6" s="12">
        <f t="shared" si="0"/>
        <v>-1637.5</v>
      </c>
      <c r="U6" s="13">
        <f t="shared" si="1"/>
        <v>-1.3100000000000001E-2</v>
      </c>
      <c r="V6" s="13">
        <f t="shared" si="2"/>
        <v>0</v>
      </c>
      <c r="W6" s="29">
        <f t="shared" si="3"/>
        <v>125000</v>
      </c>
      <c r="X6" s="29">
        <f t="shared" si="4"/>
        <v>123362.5</v>
      </c>
      <c r="Y6" s="25" t="str" cm="1">
        <f t="array" ref="Y6">IF(OR(_xll.BDP($G6,"DS827")="#N/A N/A",_xll.BDP($G6,"DS827")="#N/A FIELD NOT APPLICABLE")," ", _xll.BDP($G6,"DS827"))</f>
        <v>#N/A Connection</v>
      </c>
      <c r="Z6" s="42"/>
      <c r="AA6" s="42"/>
      <c r="AB6" s="42"/>
      <c r="AC6" s="42"/>
      <c r="AD6" s="42"/>
      <c r="AG6" s="64" t="s">
        <v>181</v>
      </c>
      <c r="AH6" s="3" t="str" cm="1">
        <f t="array" ref="AH6">_xll.BDP(AG6,$AH$2)</f>
        <v>#N/A Connection</v>
      </c>
      <c r="AI6" s="64" t="s">
        <v>311</v>
      </c>
      <c r="BA6" s="39" t="str">
        <f t="shared" si="5"/>
        <v>XS2175846638</v>
      </c>
      <c r="BB6" s="38">
        <v>0</v>
      </c>
      <c r="BC6" s="40">
        <v>5</v>
      </c>
      <c r="BD6" s="37">
        <v>44315</v>
      </c>
      <c r="BE6" s="20">
        <v>1.0000000000107532</v>
      </c>
    </row>
    <row r="7" spans="1:57" s="3" customFormat="1" ht="14.45" customHeight="1" x14ac:dyDescent="0.25">
      <c r="A7" s="49" t="s">
        <v>257</v>
      </c>
      <c r="B7" s="49" t="s">
        <v>276</v>
      </c>
      <c r="C7" s="49" t="s">
        <v>277</v>
      </c>
      <c r="D7" s="49" t="s">
        <v>240</v>
      </c>
      <c r="E7" s="23" t="s">
        <v>235</v>
      </c>
      <c r="F7" s="23" t="s">
        <v>176</v>
      </c>
      <c r="G7" s="23" t="s">
        <v>177</v>
      </c>
      <c r="H7" s="23" t="s">
        <v>178</v>
      </c>
      <c r="I7" s="37">
        <v>43962</v>
      </c>
      <c r="J7" s="79">
        <v>45848</v>
      </c>
      <c r="K7" s="27">
        <v>125000</v>
      </c>
      <c r="L7" s="48" t="e">
        <f>(AH7/100)+4.16%</f>
        <v>#VALUE!</v>
      </c>
      <c r="M7" s="42" t="s">
        <v>179</v>
      </c>
      <c r="N7" s="44" t="s">
        <v>180</v>
      </c>
      <c r="O7" s="29">
        <f>IF(F7="USD",K7,(((_xll.BDP(F7&amp;"USD CURNCY","PX_LAST")))*K7))</f>
        <v>125000</v>
      </c>
      <c r="P7" s="45">
        <v>100</v>
      </c>
      <c r="Q7" s="45">
        <v>98.85</v>
      </c>
      <c r="R7" s="46">
        <f>IF(F7="USD",W7,(((_xll.BDP(F7&amp;"USD CURNCY","PX_LAST")))*W7))</f>
        <v>125000</v>
      </c>
      <c r="S7" s="46">
        <f>IF(F7="USD",X7,(((_xll.BDP(F7&amp;"USD CURNCY","PX_LAST")))*X7))</f>
        <v>123562.5</v>
      </c>
      <c r="T7" s="12">
        <f t="shared" si="0"/>
        <v>-1437.5</v>
      </c>
      <c r="U7" s="13">
        <f t="shared" si="1"/>
        <v>-1.15E-2</v>
      </c>
      <c r="V7" s="13">
        <f t="shared" si="2"/>
        <v>0</v>
      </c>
      <c r="W7" s="29">
        <f t="shared" si="3"/>
        <v>125000</v>
      </c>
      <c r="X7" s="29">
        <f t="shared" si="4"/>
        <v>123562.5</v>
      </c>
      <c r="Y7" s="25" t="str" cm="1">
        <f t="array" ref="Y7">IF(OR(_xll.BDP($G7,"DS827")="#N/A N/A",_xll.BDP($G7,"DS827")="#N/A FIELD NOT APPLICABLE")," ", _xll.BDP($G7,"DS827"))</f>
        <v>#N/A Connection</v>
      </c>
      <c r="Z7" s="42"/>
      <c r="AA7" s="42"/>
      <c r="AB7" s="42"/>
      <c r="AC7" s="42"/>
      <c r="AD7" s="42"/>
      <c r="AG7" s="64" t="s">
        <v>181</v>
      </c>
      <c r="AH7" s="3" t="str" cm="1">
        <f t="array" ref="AH7">_xll.BDP(AG7,$AH$2)</f>
        <v>#N/A Connection</v>
      </c>
      <c r="AI7" s="64" t="s">
        <v>311</v>
      </c>
      <c r="BA7" s="39" t="str">
        <f t="shared" si="5"/>
        <v>XS2175846398</v>
      </c>
      <c r="BB7" s="17">
        <v>0</v>
      </c>
      <c r="BC7" s="40">
        <v>5</v>
      </c>
      <c r="BD7" s="37">
        <v>43962</v>
      </c>
      <c r="BE7" s="20">
        <v>1.0000000000107532</v>
      </c>
    </row>
    <row r="8" spans="1:57" s="3" customFormat="1" ht="14.45" customHeight="1" x14ac:dyDescent="0.25">
      <c r="A8" s="49" t="s">
        <v>257</v>
      </c>
      <c r="B8" s="49" t="str">
        <f>B7</f>
        <v>Samitar Limited</v>
      </c>
      <c r="C8" s="49" t="str">
        <f>C7</f>
        <v>2620509.02</v>
      </c>
      <c r="D8" s="49" t="str">
        <f>D7</f>
        <v>LGT Geneva</v>
      </c>
      <c r="E8" s="23" t="s">
        <v>236</v>
      </c>
      <c r="F8" s="23" t="s">
        <v>176</v>
      </c>
      <c r="G8" s="23" t="s">
        <v>183</v>
      </c>
      <c r="H8" s="23" t="s">
        <v>178</v>
      </c>
      <c r="I8" s="37">
        <v>43962</v>
      </c>
      <c r="J8" s="79">
        <v>45848</v>
      </c>
      <c r="K8" s="27">
        <v>125000</v>
      </c>
      <c r="L8" s="48" t="e">
        <f>(AH8/100)+3.65%</f>
        <v>#VALUE!</v>
      </c>
      <c r="M8" s="42" t="s">
        <v>179</v>
      </c>
      <c r="N8" s="44" t="s">
        <v>180</v>
      </c>
      <c r="O8" s="29">
        <f>IF(F8="USD",K8,(((_xll.BDP(F8&amp;"USD CURNCY","PX_LAST")))*K8))</f>
        <v>125000</v>
      </c>
      <c r="P8" s="45">
        <v>100</v>
      </c>
      <c r="Q8" s="45">
        <v>98.69</v>
      </c>
      <c r="R8" s="46">
        <f>IF(F8="USD",W8,(((_xll.BDP(F8&amp;"USD CURNCY","PX_LAST")))*W8))</f>
        <v>125000</v>
      </c>
      <c r="S8" s="46">
        <f>IF(F8="USD",X8,(((_xll.BDP(F8&amp;"USD CURNCY","PX_LAST")))*X8))</f>
        <v>123362.5</v>
      </c>
      <c r="T8" s="12">
        <f t="shared" si="0"/>
        <v>-1637.5</v>
      </c>
      <c r="U8" s="13">
        <f t="shared" si="1"/>
        <v>-1.3100000000000001E-2</v>
      </c>
      <c r="V8" s="13">
        <f t="shared" si="2"/>
        <v>0</v>
      </c>
      <c r="W8" s="29">
        <f t="shared" si="3"/>
        <v>125000</v>
      </c>
      <c r="X8" s="29">
        <f t="shared" si="4"/>
        <v>123362.5</v>
      </c>
      <c r="Y8" s="25" t="str" cm="1">
        <f t="array" ref="Y8">IF(OR(_xll.BDP($G8,"DS827")="#N/A N/A",_xll.BDP($G8,"DS827")="#N/A FIELD NOT APPLICABLE")," ", _xll.BDP($G8,"DS827"))</f>
        <v>#N/A Connection</v>
      </c>
      <c r="Z8" s="42"/>
      <c r="AA8" s="42"/>
      <c r="AB8" s="42"/>
      <c r="AC8" s="42"/>
      <c r="AD8" s="42"/>
      <c r="AG8" s="64" t="s">
        <v>181</v>
      </c>
      <c r="AH8" s="3" t="str" cm="1">
        <f t="array" ref="AH8">_xll.BDP(AG8,$AH$2)</f>
        <v>#N/A Connection</v>
      </c>
      <c r="AI8" s="64" t="s">
        <v>311</v>
      </c>
      <c r="BA8" s="39" t="str">
        <f t="shared" si="5"/>
        <v>XS2175846638</v>
      </c>
      <c r="BB8" s="17">
        <v>0</v>
      </c>
      <c r="BC8" s="40">
        <v>5</v>
      </c>
      <c r="BD8" s="37">
        <v>43962</v>
      </c>
      <c r="BE8" s="20">
        <v>1.0000000000107532</v>
      </c>
    </row>
  </sheetData>
  <autoFilter ref="A2:BF2" xr:uid="{D747AD33-7A5F-4FEA-BFDB-847452410A30}">
    <sortState xmlns:xlrd2="http://schemas.microsoft.com/office/spreadsheetml/2017/richdata2" ref="A3:BF8">
      <sortCondition ref="B2"/>
    </sortState>
  </autoFilter>
  <conditionalFormatting sqref="U3:U1048576">
    <cfRule type="cellIs" dxfId="1" priority="1" operator="lessThan">
      <formula>-0.07</formula>
    </cfRule>
    <cfRule type="cellIs" dxfId="0" priority="2" operator="greaterThan">
      <formula>0.07</formula>
    </cfRule>
  </conditionalFormatting>
  <dataValidations count="1">
    <dataValidation type="list" allowBlank="1" showInputMessage="1" showErrorMessage="1" sqref="N3:N8" xr:uid="{C00F8013-387C-453D-A5E4-E3ED1CAC6220}">
      <formula1>$AQ$6:$AQ$9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80A6E-8ACC-4A60-AC75-77FCF721B7D6}">
  <dimension ref="A1:I48"/>
  <sheetViews>
    <sheetView showGridLines="0" workbookViewId="0">
      <selection activeCell="G7" sqref="G7"/>
    </sheetView>
  </sheetViews>
  <sheetFormatPr defaultRowHeight="15" x14ac:dyDescent="0.25"/>
  <cols>
    <col min="1" max="1" width="3.85546875" bestFit="1" customWidth="1"/>
    <col min="2" max="2" width="39.140625" bestFit="1" customWidth="1"/>
    <col min="3" max="3" width="14.28515625" bestFit="1" customWidth="1"/>
    <col min="4" max="4" width="10.85546875" bestFit="1" customWidth="1"/>
    <col min="5" max="9" width="20.85546875" customWidth="1"/>
  </cols>
  <sheetData>
    <row r="1" spans="1:9" ht="24.75" customHeight="1" x14ac:dyDescent="0.25">
      <c r="A1" s="1" t="s">
        <v>0</v>
      </c>
      <c r="B1" s="1" t="s">
        <v>1</v>
      </c>
      <c r="C1" s="1" t="s">
        <v>237</v>
      </c>
      <c r="D1" s="1" t="s">
        <v>313</v>
      </c>
      <c r="E1" s="127" t="s">
        <v>349</v>
      </c>
      <c r="F1" s="127" t="s">
        <v>350</v>
      </c>
      <c r="G1" s="127" t="s">
        <v>351</v>
      </c>
      <c r="H1" s="127" t="s">
        <v>352</v>
      </c>
      <c r="I1" s="127" t="s">
        <v>357</v>
      </c>
    </row>
    <row r="2" spans="1:9" x14ac:dyDescent="0.25">
      <c r="A2" s="49" t="s">
        <v>241</v>
      </c>
      <c r="B2" s="49" t="s">
        <v>238</v>
      </c>
      <c r="C2" s="49" t="s">
        <v>239</v>
      </c>
      <c r="D2" s="49" t="s">
        <v>240</v>
      </c>
      <c r="E2" s="4" t="s">
        <v>176</v>
      </c>
      <c r="F2" s="128">
        <v>385000</v>
      </c>
      <c r="G2" s="129">
        <f>F2</f>
        <v>385000</v>
      </c>
      <c r="H2" s="130">
        <v>5.45E-2</v>
      </c>
      <c r="I2" s="129">
        <f>H2*F2</f>
        <v>20982.5</v>
      </c>
    </row>
    <row r="3" spans="1:9" x14ac:dyDescent="0.25">
      <c r="A3" s="49" t="s">
        <v>241</v>
      </c>
      <c r="B3" s="49" t="s">
        <v>238</v>
      </c>
      <c r="C3" s="49" t="s">
        <v>239</v>
      </c>
      <c r="D3" s="49" t="s">
        <v>240</v>
      </c>
      <c r="E3" s="4" t="s">
        <v>353</v>
      </c>
      <c r="F3" s="128">
        <v>360000</v>
      </c>
      <c r="G3" s="129">
        <f>IF(E3="USD",F3,(((_xll.BDP(E3&amp;"USD CURNCY","PX_LAST")))*F3))</f>
        <v>46414.799999999996</v>
      </c>
      <c r="H3" s="130">
        <v>4.7E-2</v>
      </c>
      <c r="I3" s="129">
        <f>IF(E3="USD",F3*H3,(((_xll.BDP(E3&amp;"USD CURNCY","PX_LAST")))*F3*H3))</f>
        <v>2181.4955999999997</v>
      </c>
    </row>
    <row r="4" spans="1:9" x14ac:dyDescent="0.25">
      <c r="A4" s="49" t="s">
        <v>242</v>
      </c>
      <c r="B4" s="49" t="s">
        <v>243</v>
      </c>
      <c r="C4" s="49" t="s">
        <v>244</v>
      </c>
      <c r="D4" s="49" t="s">
        <v>245</v>
      </c>
      <c r="E4" s="4" t="s">
        <v>176</v>
      </c>
      <c r="F4" s="128">
        <v>519074.77</v>
      </c>
      <c r="G4" s="129">
        <f>F4</f>
        <v>519074.77</v>
      </c>
      <c r="H4" s="130">
        <v>5.4899999999999997E-2</v>
      </c>
      <c r="I4" s="129">
        <f>H4*F4</f>
        <v>28497.204872999999</v>
      </c>
    </row>
    <row r="5" spans="1:9" x14ac:dyDescent="0.25">
      <c r="A5" s="49" t="s">
        <v>242</v>
      </c>
      <c r="B5" s="49" t="s">
        <v>327</v>
      </c>
      <c r="C5" s="49">
        <v>4371511</v>
      </c>
      <c r="D5" s="49" t="s">
        <v>248</v>
      </c>
      <c r="E5" s="4" t="s">
        <v>354</v>
      </c>
      <c r="F5" s="128">
        <v>126000</v>
      </c>
      <c r="G5" s="129">
        <f>IF(E5="USD",F5,(((_xll.BDP(E5&amp;"USD CURNCY","PX_LAST")))*F5))</f>
        <v>168436.8</v>
      </c>
      <c r="H5" s="130">
        <v>5.3749999999999999E-2</v>
      </c>
      <c r="I5" s="129">
        <f>IF(E5="USD",F5*H5,(((_xll.BDP(E5&amp;"USD CURNCY","PX_LAST")))*F5*H5))</f>
        <v>9053.4779999999992</v>
      </c>
    </row>
    <row r="6" spans="1:9" x14ac:dyDescent="0.25">
      <c r="A6" s="49" t="s">
        <v>242</v>
      </c>
      <c r="B6" s="49" t="s">
        <v>246</v>
      </c>
      <c r="C6" s="49" t="s">
        <v>247</v>
      </c>
      <c r="D6" s="49" t="s">
        <v>248</v>
      </c>
      <c r="E6" s="4" t="s">
        <v>176</v>
      </c>
      <c r="F6" s="128">
        <v>1798401</v>
      </c>
      <c r="G6" s="129">
        <f>F6</f>
        <v>1798401</v>
      </c>
      <c r="H6" s="130">
        <v>5.8700000000000002E-2</v>
      </c>
      <c r="I6" s="129">
        <f>H6*F6</f>
        <v>105566.13870000001</v>
      </c>
    </row>
    <row r="7" spans="1:9" x14ac:dyDescent="0.25">
      <c r="A7" s="49" t="s">
        <v>242</v>
      </c>
      <c r="B7" s="49" t="s">
        <v>246</v>
      </c>
      <c r="C7" s="49" t="s">
        <v>247</v>
      </c>
      <c r="D7" s="49" t="s">
        <v>248</v>
      </c>
      <c r="E7" s="4" t="s">
        <v>355</v>
      </c>
      <c r="F7" s="128">
        <v>137940</v>
      </c>
      <c r="G7" s="129">
        <f>IF(E7="USD",F7,(((_xll.BDP(E7&amp;"USD CURNCY","PX_LAST")))*F7))</f>
        <v>167003.95800000001</v>
      </c>
      <c r="H7" s="130">
        <v>1.4999999999999999E-2</v>
      </c>
      <c r="I7" s="129">
        <f>IF(E7="USD",F7*H7,(((_xll.BDP(E7&amp;"USD CURNCY","PX_LAST")))*F7*H7))</f>
        <v>2505.0593699999999</v>
      </c>
    </row>
    <row r="8" spans="1:9" x14ac:dyDescent="0.25">
      <c r="A8" s="49" t="s">
        <v>241</v>
      </c>
      <c r="B8" s="49" t="s">
        <v>249</v>
      </c>
      <c r="C8" s="49" t="s">
        <v>250</v>
      </c>
      <c r="D8" s="49" t="s">
        <v>240</v>
      </c>
      <c r="E8" s="4" t="s">
        <v>176</v>
      </c>
      <c r="F8" s="128">
        <f>656000+100000</f>
        <v>756000</v>
      </c>
      <c r="G8" s="129">
        <f>F8</f>
        <v>756000</v>
      </c>
      <c r="H8" s="131">
        <v>5.45E-2</v>
      </c>
      <c r="I8" s="129">
        <f>H8*F8</f>
        <v>41202</v>
      </c>
    </row>
    <row r="9" spans="1:9" x14ac:dyDescent="0.25">
      <c r="A9" s="49" t="s">
        <v>241</v>
      </c>
      <c r="B9" s="49" t="s">
        <v>249</v>
      </c>
      <c r="C9" s="49" t="s">
        <v>250</v>
      </c>
      <c r="D9" s="49" t="s">
        <v>240</v>
      </c>
      <c r="E9" s="4" t="s">
        <v>354</v>
      </c>
      <c r="F9" s="128">
        <v>100000</v>
      </c>
      <c r="G9" s="129">
        <f>IF(E9="USD",F9,(((_xll.BDP(E9&amp;"USD CURNCY","PX_LAST")))*F9))</f>
        <v>133680</v>
      </c>
      <c r="H9" s="130">
        <v>5.6000000000000001E-2</v>
      </c>
      <c r="I9" s="129">
        <f>IF(E9="USD",F9*H9,(((_xll.BDP(E9&amp;"USD CURNCY","PX_LAST")))*F9*H9))</f>
        <v>7486.08</v>
      </c>
    </row>
    <row r="10" spans="1:9" x14ac:dyDescent="0.25">
      <c r="A10" s="49" t="s">
        <v>241</v>
      </c>
      <c r="B10" s="49" t="s">
        <v>249</v>
      </c>
      <c r="C10" s="49" t="s">
        <v>250</v>
      </c>
      <c r="D10" s="49" t="s">
        <v>240</v>
      </c>
      <c r="E10" s="4" t="s">
        <v>355</v>
      </c>
      <c r="F10" s="128">
        <v>103000</v>
      </c>
      <c r="G10" s="129">
        <f>IF(E10="USD",F10,(((_xll.BDP(E10&amp;"USD CURNCY","PX_LAST")))*F10))</f>
        <v>124702.1</v>
      </c>
      <c r="H10" s="130">
        <v>1.3299999999999999E-2</v>
      </c>
      <c r="I10" s="129">
        <f>IF(E10="USD",F10*H10,(((_xll.BDP(E10&amp;"USD CURNCY","PX_LAST")))*F10*H10))</f>
        <v>1658.53793</v>
      </c>
    </row>
    <row r="11" spans="1:9" x14ac:dyDescent="0.25">
      <c r="A11" s="49" t="s">
        <v>241</v>
      </c>
      <c r="B11" s="49" t="s">
        <v>249</v>
      </c>
      <c r="C11" s="49" t="s">
        <v>250</v>
      </c>
      <c r="D11" s="49" t="s">
        <v>240</v>
      </c>
      <c r="E11" s="4" t="s">
        <v>353</v>
      </c>
      <c r="F11" s="128">
        <v>764000</v>
      </c>
      <c r="G11" s="129">
        <f>IF(E11="USD",F11,(((_xll.BDP(E11&amp;"USD CURNCY","PX_LAST")))*F11))</f>
        <v>98502.51999999999</v>
      </c>
      <c r="H11" s="130">
        <v>4.6100000000000002E-2</v>
      </c>
      <c r="I11" s="129">
        <f>IF(E11="USD",F11*H11,(((_xll.BDP(E11&amp;"USD CURNCY","PX_LAST")))*F11*H11))</f>
        <v>4540.9661719999995</v>
      </c>
    </row>
    <row r="12" spans="1:9" x14ac:dyDescent="0.25">
      <c r="A12" s="49" t="s">
        <v>241</v>
      </c>
      <c r="B12" s="49" t="s">
        <v>312</v>
      </c>
      <c r="C12" s="49" t="s">
        <v>252</v>
      </c>
      <c r="D12" s="49" t="s">
        <v>240</v>
      </c>
      <c r="E12" s="4" t="s">
        <v>176</v>
      </c>
      <c r="F12" s="128">
        <f>889000+100000</f>
        <v>989000</v>
      </c>
      <c r="G12" s="129">
        <f>F12</f>
        <v>989000</v>
      </c>
      <c r="H12" s="130">
        <v>5.45E-2</v>
      </c>
      <c r="I12" s="129">
        <f>H12*F12</f>
        <v>53900.5</v>
      </c>
    </row>
    <row r="13" spans="1:9" x14ac:dyDescent="0.25">
      <c r="A13" s="49" t="s">
        <v>241</v>
      </c>
      <c r="B13" s="49" t="s">
        <v>312</v>
      </c>
      <c r="C13" s="49" t="s">
        <v>252</v>
      </c>
      <c r="D13" s="49" t="s">
        <v>240</v>
      </c>
      <c r="E13" s="4" t="s">
        <v>354</v>
      </c>
      <c r="F13" s="128">
        <v>100000</v>
      </c>
      <c r="G13" s="129">
        <f>IF(E13="USD",F13,(((_xll.BDP(E13&amp;"USD CURNCY","PX_LAST")))*F13))</f>
        <v>133680</v>
      </c>
      <c r="H13" s="130">
        <v>5.6000000000000001E-2</v>
      </c>
      <c r="I13" s="129">
        <f>IF(E13="USD",F13*H13,(((_xll.BDP(E13&amp;"USD CURNCY","PX_LAST")))*F13*H13))</f>
        <v>7486.08</v>
      </c>
    </row>
    <row r="14" spans="1:9" x14ac:dyDescent="0.25">
      <c r="A14" s="49" t="s">
        <v>241</v>
      </c>
      <c r="B14" s="49" t="s">
        <v>312</v>
      </c>
      <c r="C14" s="49" t="s">
        <v>252</v>
      </c>
      <c r="D14" s="49" t="s">
        <v>240</v>
      </c>
      <c r="E14" s="4" t="s">
        <v>353</v>
      </c>
      <c r="F14" s="128">
        <v>878000</v>
      </c>
      <c r="G14" s="129">
        <f>IF(E14="USD",F14,(((_xll.BDP(E14&amp;"USD CURNCY","PX_LAST")))*F14))</f>
        <v>113200.54</v>
      </c>
      <c r="H14" s="130">
        <v>4.7E-2</v>
      </c>
      <c r="I14" s="129">
        <f>IF(E14="USD",F14*H14,(((_xll.BDP(E14&amp;"USD CURNCY","PX_LAST")))*F14*H14))</f>
        <v>5320.4253799999997</v>
      </c>
    </row>
    <row r="15" spans="1:9" x14ac:dyDescent="0.25">
      <c r="A15" s="49" t="s">
        <v>241</v>
      </c>
      <c r="B15" s="49" t="s">
        <v>312</v>
      </c>
      <c r="C15" s="49" t="s">
        <v>252</v>
      </c>
      <c r="D15" s="49" t="s">
        <v>240</v>
      </c>
      <c r="E15" s="4" t="s">
        <v>355</v>
      </c>
      <c r="F15" s="128">
        <v>103000</v>
      </c>
      <c r="G15" s="129">
        <f>IF(E15="USD",F15,(((_xll.BDP(E15&amp;"USD CURNCY","PX_LAST")))*F15))</f>
        <v>124702.1</v>
      </c>
      <c r="H15" s="130">
        <v>1.3299999999999999E-2</v>
      </c>
      <c r="I15" s="129">
        <f>IF(E15="USD",F15*H15,(((_xll.BDP(E15&amp;"USD CURNCY","PX_LAST")))*F15*H15))</f>
        <v>1658.53793</v>
      </c>
    </row>
    <row r="16" spans="1:9" x14ac:dyDescent="0.25">
      <c r="A16" s="49" t="s">
        <v>241</v>
      </c>
      <c r="B16" s="49" t="s">
        <v>253</v>
      </c>
      <c r="C16" s="49" t="s">
        <v>254</v>
      </c>
      <c r="D16" s="49" t="s">
        <v>240</v>
      </c>
      <c r="E16" s="4" t="s">
        <v>176</v>
      </c>
      <c r="F16" s="128">
        <v>186000</v>
      </c>
      <c r="G16" s="129">
        <f>F16</f>
        <v>186000</v>
      </c>
      <c r="H16" s="130">
        <v>5.45E-2</v>
      </c>
      <c r="I16" s="129">
        <f>H16*F16</f>
        <v>10137</v>
      </c>
    </row>
    <row r="17" spans="1:9" x14ac:dyDescent="0.25">
      <c r="A17" s="49" t="s">
        <v>241</v>
      </c>
      <c r="B17" s="49" t="s">
        <v>253</v>
      </c>
      <c r="C17" s="49" t="s">
        <v>254</v>
      </c>
      <c r="D17" s="49" t="s">
        <v>240</v>
      </c>
      <c r="E17" s="4" t="s">
        <v>353</v>
      </c>
      <c r="F17" s="128">
        <v>246000</v>
      </c>
      <c r="G17" s="129">
        <f>IF(E17="USD",F17,(((_xll.BDP(E17&amp;"USD CURNCY","PX_LAST")))*F17))</f>
        <v>31716.78</v>
      </c>
      <c r="H17" s="130">
        <v>4.7E-2</v>
      </c>
      <c r="I17" s="129">
        <f>IF(E17="USD",F17*H17,(((_xll.BDP(E17&amp;"USD CURNCY","PX_LAST")))*F17*H17))</f>
        <v>1490.68866</v>
      </c>
    </row>
    <row r="18" spans="1:9" x14ac:dyDescent="0.25">
      <c r="A18" s="49" t="s">
        <v>242</v>
      </c>
      <c r="B18" s="49" t="s">
        <v>255</v>
      </c>
      <c r="C18" s="49" t="s">
        <v>256</v>
      </c>
      <c r="D18" s="49" t="s">
        <v>248</v>
      </c>
      <c r="E18" s="4" t="s">
        <v>176</v>
      </c>
      <c r="F18" s="128">
        <v>1431000</v>
      </c>
      <c r="G18" s="129">
        <f>F18</f>
        <v>1431000</v>
      </c>
      <c r="H18" s="130">
        <v>5.5199999999999999E-2</v>
      </c>
      <c r="I18" s="129">
        <f>H18*F18</f>
        <v>78991.199999999997</v>
      </c>
    </row>
    <row r="19" spans="1:9" x14ac:dyDescent="0.25">
      <c r="A19" s="49" t="s">
        <v>242</v>
      </c>
      <c r="B19" s="49" t="s">
        <v>255</v>
      </c>
      <c r="C19" s="49" t="s">
        <v>256</v>
      </c>
      <c r="D19" s="49" t="s">
        <v>248</v>
      </c>
      <c r="E19" s="4" t="s">
        <v>354</v>
      </c>
      <c r="F19" s="128">
        <v>18000</v>
      </c>
      <c r="G19" s="129">
        <f>IF(E19="USD",F19,(((_xll.BDP(E19&amp;"USD CURNCY","PX_LAST")))*F19))</f>
        <v>24062.400000000001</v>
      </c>
      <c r="H19" s="130"/>
      <c r="I19" s="129">
        <f>IF(E19="USD",F19*H19,(((_xll.BDP(E19&amp;"USD CURNCY","PX_LAST")))*F19*H19))</f>
        <v>0</v>
      </c>
    </row>
    <row r="20" spans="1:9" x14ac:dyDescent="0.25">
      <c r="A20" s="49" t="s">
        <v>242</v>
      </c>
      <c r="B20" s="49" t="s">
        <v>255</v>
      </c>
      <c r="C20" s="49" t="s">
        <v>256</v>
      </c>
      <c r="D20" s="49" t="s">
        <v>248</v>
      </c>
      <c r="E20" s="4" t="s">
        <v>353</v>
      </c>
      <c r="F20" s="128">
        <v>990000</v>
      </c>
      <c r="G20" s="129">
        <f>IF(E20="USD",F20,(((_xll.BDP(E20&amp;"USD CURNCY","PX_LAST")))*F20))</f>
        <v>127640.69999999998</v>
      </c>
      <c r="H20" s="130">
        <v>4.9000000000000002E-2</v>
      </c>
      <c r="I20" s="129">
        <f>IF(E20="USD",F20*H20,(((_xll.BDP(E20&amp;"USD CURNCY","PX_LAST")))*F20*H20))</f>
        <v>6254.394299999999</v>
      </c>
    </row>
    <row r="21" spans="1:9" x14ac:dyDescent="0.25">
      <c r="A21" s="49" t="s">
        <v>242</v>
      </c>
      <c r="B21" s="49" t="s">
        <v>332</v>
      </c>
      <c r="C21" s="49" t="s">
        <v>334</v>
      </c>
      <c r="D21" s="49" t="s">
        <v>248</v>
      </c>
      <c r="E21" s="4" t="s">
        <v>176</v>
      </c>
      <c r="F21" s="128">
        <v>65000</v>
      </c>
      <c r="G21" s="129">
        <f>F21</f>
        <v>65000</v>
      </c>
      <c r="H21" s="130">
        <v>5.7299999999999997E-2</v>
      </c>
      <c r="I21" s="129">
        <f>H21*F21</f>
        <v>3724.5</v>
      </c>
    </row>
    <row r="22" spans="1:9" x14ac:dyDescent="0.25">
      <c r="A22" s="49" t="s">
        <v>242</v>
      </c>
      <c r="B22" s="49" t="s">
        <v>332</v>
      </c>
      <c r="C22" s="49" t="s">
        <v>334</v>
      </c>
      <c r="D22" s="49" t="s">
        <v>248</v>
      </c>
      <c r="E22" s="4" t="s">
        <v>355</v>
      </c>
      <c r="F22" s="128">
        <v>35000</v>
      </c>
      <c r="G22" s="129">
        <f>IF(E22="USD",F22,(((_xll.BDP(E22&amp;"USD CURNCY","PX_LAST")))*F22))</f>
        <v>42374.500000000007</v>
      </c>
      <c r="H22" s="130">
        <v>1.4500000000000001E-2</v>
      </c>
      <c r="I22" s="129">
        <f>IF(E22="USD",F22*H22,(((_xll.BDP(E22&amp;"USD CURNCY","PX_LAST")))*F22*H22))</f>
        <v>614.43025000000011</v>
      </c>
    </row>
    <row r="23" spans="1:9" x14ac:dyDescent="0.25">
      <c r="A23" s="49" t="s">
        <v>257</v>
      </c>
      <c r="B23" s="49" t="s">
        <v>258</v>
      </c>
      <c r="C23" s="49" t="s">
        <v>259</v>
      </c>
      <c r="D23" s="49" t="s">
        <v>248</v>
      </c>
      <c r="E23" s="4" t="s">
        <v>176</v>
      </c>
      <c r="F23" s="128">
        <v>215000</v>
      </c>
      <c r="G23" s="129">
        <f>F23</f>
        <v>215000</v>
      </c>
      <c r="H23" s="130">
        <v>5.5100000000000003E-2</v>
      </c>
      <c r="I23" s="129">
        <f>H23*F23</f>
        <v>11846.5</v>
      </c>
    </row>
    <row r="24" spans="1:9" x14ac:dyDescent="0.25">
      <c r="A24" s="49" t="s">
        <v>242</v>
      </c>
      <c r="B24" s="49" t="s">
        <v>260</v>
      </c>
      <c r="C24" s="49" t="s">
        <v>261</v>
      </c>
      <c r="D24" s="49" t="s">
        <v>248</v>
      </c>
      <c r="E24" s="132" t="s">
        <v>176</v>
      </c>
      <c r="F24" s="133">
        <v>292000</v>
      </c>
      <c r="G24" s="134">
        <f>F24</f>
        <v>292000</v>
      </c>
      <c r="H24" s="135">
        <v>5.5199999999999999E-2</v>
      </c>
      <c r="I24" s="134">
        <f>H24*F24</f>
        <v>16118.4</v>
      </c>
    </row>
    <row r="25" spans="1:9" x14ac:dyDescent="0.25">
      <c r="A25" s="49" t="s">
        <v>242</v>
      </c>
      <c r="B25" s="49" t="s">
        <v>260</v>
      </c>
      <c r="C25" s="49" t="s">
        <v>261</v>
      </c>
      <c r="D25" s="49" t="s">
        <v>248</v>
      </c>
      <c r="E25" s="132" t="s">
        <v>354</v>
      </c>
      <c r="F25" s="133">
        <v>33500</v>
      </c>
      <c r="G25" s="134">
        <f>IF(E25="USD",F25,(((_xll.BDP(E25&amp;"USD CURNCY","PX_LAST")))*F25))</f>
        <v>44782.8</v>
      </c>
      <c r="H25" s="135">
        <v>4.9000000000000002E-2</v>
      </c>
      <c r="I25" s="134">
        <f>IF(E25="USD",F25*H25,(((_xll.BDP(E25&amp;"USD CURNCY","PX_LAST")))*F25*H25))</f>
        <v>2194.3572000000004</v>
      </c>
    </row>
    <row r="26" spans="1:9" x14ac:dyDescent="0.25">
      <c r="A26" s="49" t="s">
        <v>242</v>
      </c>
      <c r="B26" s="49" t="s">
        <v>260</v>
      </c>
      <c r="C26" s="49" t="s">
        <v>261</v>
      </c>
      <c r="D26" s="49" t="s">
        <v>248</v>
      </c>
      <c r="E26" s="132" t="s">
        <v>353</v>
      </c>
      <c r="F26" s="133">
        <v>711000</v>
      </c>
      <c r="G26" s="134">
        <f>IF(E26="USD",F26,(((_xll.BDP(E26&amp;"USD CURNCY","PX_LAST")))*F26))</f>
        <v>91669.23</v>
      </c>
      <c r="H26" s="135"/>
      <c r="I26" s="134">
        <f>IF(E26="USD",F26*H26,(((_xll.BDP(E26&amp;"USD CURNCY","PX_LAST")))*F26*H26))</f>
        <v>0</v>
      </c>
    </row>
    <row r="27" spans="1:9" x14ac:dyDescent="0.25">
      <c r="A27" s="49" t="s">
        <v>241</v>
      </c>
      <c r="B27" s="49" t="s">
        <v>262</v>
      </c>
      <c r="C27" s="49" t="s">
        <v>263</v>
      </c>
      <c r="D27" s="49" t="s">
        <v>240</v>
      </c>
      <c r="E27" s="4" t="s">
        <v>176</v>
      </c>
      <c r="F27" s="128">
        <v>948000</v>
      </c>
      <c r="G27" s="129">
        <f>F27</f>
        <v>948000</v>
      </c>
      <c r="H27" s="131">
        <v>5.45E-2</v>
      </c>
      <c r="I27" s="129">
        <f>H27*F27</f>
        <v>51666</v>
      </c>
    </row>
    <row r="28" spans="1:9" x14ac:dyDescent="0.25">
      <c r="A28" s="49" t="s">
        <v>242</v>
      </c>
      <c r="B28" s="49" t="s">
        <v>264</v>
      </c>
      <c r="C28" s="49" t="s">
        <v>265</v>
      </c>
      <c r="D28" s="49" t="s">
        <v>248</v>
      </c>
      <c r="E28" s="4" t="s">
        <v>355</v>
      </c>
      <c r="F28" s="128">
        <v>5000</v>
      </c>
      <c r="G28" s="129">
        <f>F28</f>
        <v>5000</v>
      </c>
      <c r="H28" s="131">
        <v>1.4500000000000001E-2</v>
      </c>
      <c r="I28" s="129">
        <f>H28*F28</f>
        <v>72.5</v>
      </c>
    </row>
    <row r="29" spans="1:9" x14ac:dyDescent="0.25">
      <c r="A29" s="49" t="s">
        <v>242</v>
      </c>
      <c r="B29" s="49" t="s">
        <v>264</v>
      </c>
      <c r="C29" s="49" t="s">
        <v>265</v>
      </c>
      <c r="D29" s="49" t="s">
        <v>248</v>
      </c>
      <c r="E29" s="4" t="s">
        <v>354</v>
      </c>
      <c r="F29" s="128">
        <v>195500</v>
      </c>
      <c r="G29" s="129">
        <f>IF(E29="USD",F29,(((_xll.BDP(E29&amp;"USD CURNCY","PX_LAST")))*F29))</f>
        <v>261344.4</v>
      </c>
      <c r="H29" s="131">
        <v>3.9300000000000002E-2</v>
      </c>
      <c r="I29" s="129">
        <f>IF(E29="USD",F29*H29,(((_xll.BDP(E29&amp;"USD CURNCY","PX_LAST")))*F29*H29))</f>
        <v>10270.834919999999</v>
      </c>
    </row>
    <row r="30" spans="1:9" x14ac:dyDescent="0.25">
      <c r="A30" s="49" t="s">
        <v>242</v>
      </c>
      <c r="B30" s="49" t="s">
        <v>264</v>
      </c>
      <c r="C30" s="49" t="s">
        <v>265</v>
      </c>
      <c r="D30" s="49" t="s">
        <v>248</v>
      </c>
      <c r="E30" s="4" t="s">
        <v>356</v>
      </c>
      <c r="F30" s="128">
        <v>77000</v>
      </c>
      <c r="G30" s="129" t="e">
        <f>IF(E30="USD",F30,(((_xll.BDP(E30&amp;"USD CURNCY","PX_LAST")))*F30))</f>
        <v>#VALUE!</v>
      </c>
      <c r="H30" s="130"/>
      <c r="I30" s="129" t="e">
        <f>IF(E30="USD",F30*H30,(((_xll.BDP(E30&amp;"USD CURNCY","PX_LAST")))*F30*H30))</f>
        <v>#VALUE!</v>
      </c>
    </row>
    <row r="31" spans="1:9" x14ac:dyDescent="0.25">
      <c r="A31" s="49" t="s">
        <v>242</v>
      </c>
      <c r="B31" s="49" t="s">
        <v>264</v>
      </c>
      <c r="C31" s="49" t="s">
        <v>265</v>
      </c>
      <c r="D31" s="49" t="s">
        <v>248</v>
      </c>
      <c r="E31" s="4" t="s">
        <v>176</v>
      </c>
      <c r="F31" s="128">
        <v>780000</v>
      </c>
      <c r="G31" s="129">
        <f>IF(E31="USD",F31,(((_xll.BDP(E31&amp;"USD CURNCY","PX_LAST")))*F31))</f>
        <v>780000</v>
      </c>
      <c r="H31" s="130">
        <v>5.5199999999999999E-2</v>
      </c>
      <c r="I31" s="129">
        <f>IF(E31="USD",F31*H31,(((_xll.BDP(E31&amp;"USD CURNCY","PX_LAST")))*F31*H31))</f>
        <v>43056</v>
      </c>
    </row>
    <row r="32" spans="1:9" x14ac:dyDescent="0.25">
      <c r="A32" s="49" t="s">
        <v>242</v>
      </c>
      <c r="B32" s="49" t="s">
        <v>264</v>
      </c>
      <c r="C32" s="49" t="s">
        <v>265</v>
      </c>
      <c r="D32" s="49" t="s">
        <v>248</v>
      </c>
      <c r="E32" s="4" t="s">
        <v>353</v>
      </c>
      <c r="F32" s="128">
        <v>1350000</v>
      </c>
      <c r="G32" s="129">
        <f>IF(E32="USD",F32,(((_xll.BDP(E32&amp;"USD CURNCY","PX_LAST")))*F32))</f>
        <v>174055.49999999997</v>
      </c>
      <c r="H32" s="130">
        <v>5.0599999999999999E-2</v>
      </c>
      <c r="I32" s="129">
        <f>IF(E32="USD",F32*H32,(((_xll.BDP(E32&amp;"USD CURNCY","PX_LAST")))*F32*H32))</f>
        <v>8807.2082999999984</v>
      </c>
    </row>
    <row r="33" spans="1:9" x14ac:dyDescent="0.25">
      <c r="A33" s="49" t="s">
        <v>241</v>
      </c>
      <c r="B33" s="49" t="s">
        <v>266</v>
      </c>
      <c r="C33" s="49" t="s">
        <v>267</v>
      </c>
      <c r="D33" s="49" t="s">
        <v>240</v>
      </c>
      <c r="E33" s="4" t="s">
        <v>176</v>
      </c>
      <c r="F33" s="128">
        <f>689000+100000</f>
        <v>789000</v>
      </c>
      <c r="G33" s="129">
        <f>F33</f>
        <v>789000</v>
      </c>
      <c r="H33" s="130">
        <v>5.4600000000000003E-2</v>
      </c>
      <c r="I33" s="129">
        <f>H33*F33</f>
        <v>43079.4</v>
      </c>
    </row>
    <row r="34" spans="1:9" x14ac:dyDescent="0.25">
      <c r="A34" s="49" t="s">
        <v>241</v>
      </c>
      <c r="B34" s="49" t="s">
        <v>266</v>
      </c>
      <c r="C34" s="49" t="s">
        <v>267</v>
      </c>
      <c r="D34" s="49" t="s">
        <v>240</v>
      </c>
      <c r="E34" s="4" t="s">
        <v>354</v>
      </c>
      <c r="F34" s="128">
        <v>100000</v>
      </c>
      <c r="G34" s="129">
        <f>IF(E34="USD",F34,(((_xll.BDP(E34&amp;"USD CURNCY","PX_LAST")))*F34))</f>
        <v>133680</v>
      </c>
      <c r="H34" s="130">
        <v>5.6000000000000001E-2</v>
      </c>
      <c r="I34" s="129">
        <f>IF(E34="USD",F34*H34,(((_xll.BDP(E34&amp;"USD CURNCY","PX_LAST")))*F34*H34))</f>
        <v>7486.08</v>
      </c>
    </row>
    <row r="35" spans="1:9" x14ac:dyDescent="0.25">
      <c r="A35" s="49" t="s">
        <v>242</v>
      </c>
      <c r="B35" s="49" t="s">
        <v>268</v>
      </c>
      <c r="C35" s="49" t="s">
        <v>269</v>
      </c>
      <c r="D35" s="49" t="s">
        <v>248</v>
      </c>
      <c r="E35" s="4" t="s">
        <v>176</v>
      </c>
      <c r="F35" s="128">
        <v>1706762</v>
      </c>
      <c r="G35" s="129">
        <f>IF(E35="USD",F35,(((_xll.BDP(E35&amp;"USD CURNCY","PX_LAST")))*F35))</f>
        <v>1706762</v>
      </c>
      <c r="H35" s="130">
        <v>6.2E-2</v>
      </c>
      <c r="I35" s="129">
        <f>IF(E35="USD",F35*H35,(((_xll.BDP(E35&amp;"USD CURNCY","PX_LAST")))*F35*H35))</f>
        <v>105819.24400000001</v>
      </c>
    </row>
    <row r="36" spans="1:9" x14ac:dyDescent="0.25">
      <c r="A36" s="49" t="s">
        <v>242</v>
      </c>
      <c r="B36" s="49" t="s">
        <v>268</v>
      </c>
      <c r="C36" s="49" t="s">
        <v>269</v>
      </c>
      <c r="D36" s="49" t="s">
        <v>248</v>
      </c>
      <c r="E36" s="4" t="s">
        <v>355</v>
      </c>
      <c r="F36" s="128">
        <v>195072</v>
      </c>
      <c r="G36" s="129">
        <f>IF(E36="USD",F36,(((_xll.BDP(E36&amp;"USD CURNCY","PX_LAST")))*F36))</f>
        <v>236173.67040000003</v>
      </c>
      <c r="H36" s="130">
        <v>2.1999999999999999E-2</v>
      </c>
      <c r="I36" s="129">
        <f>IF(E36="USD",F36*H36,(((_xll.BDP(E36&amp;"USD CURNCY","PX_LAST")))*F36*H36))</f>
        <v>5195.8207488000007</v>
      </c>
    </row>
    <row r="37" spans="1:9" x14ac:dyDescent="0.25">
      <c r="A37" s="49" t="s">
        <v>241</v>
      </c>
      <c r="B37" s="49" t="s">
        <v>270</v>
      </c>
      <c r="C37" s="49" t="s">
        <v>271</v>
      </c>
      <c r="D37" s="49" t="s">
        <v>240</v>
      </c>
      <c r="E37" s="4" t="s">
        <v>176</v>
      </c>
      <c r="F37" s="128">
        <f>830000+100000</f>
        <v>930000</v>
      </c>
      <c r="G37" s="129">
        <f>F37</f>
        <v>930000</v>
      </c>
      <c r="H37" s="130">
        <v>5.45E-2</v>
      </c>
      <c r="I37" s="129">
        <f>H37*F37</f>
        <v>50685</v>
      </c>
    </row>
    <row r="38" spans="1:9" x14ac:dyDescent="0.25">
      <c r="A38" s="49" t="s">
        <v>241</v>
      </c>
      <c r="B38" s="49" t="s">
        <v>270</v>
      </c>
      <c r="C38" s="49" t="s">
        <v>271</v>
      </c>
      <c r="D38" s="49" t="s">
        <v>240</v>
      </c>
      <c r="E38" s="4" t="s">
        <v>354</v>
      </c>
      <c r="F38" s="128">
        <v>100000</v>
      </c>
      <c r="G38" s="129">
        <f>IF(E38="USD",F38,(((_xll.BDP(E38&amp;"USD CURNCY","PX_LAST")))*F38))</f>
        <v>133680</v>
      </c>
      <c r="H38" s="130">
        <v>5.6000000000000001E-2</v>
      </c>
      <c r="I38" s="129">
        <f>IF(E38="USD",F38*H38,(((_xll.BDP(E38&amp;"USD CURNCY","PX_LAST")))*F38*H38))</f>
        <v>7486.08</v>
      </c>
    </row>
    <row r="39" spans="1:9" x14ac:dyDescent="0.25">
      <c r="A39" s="49" t="s">
        <v>241</v>
      </c>
      <c r="B39" s="49" t="s">
        <v>270</v>
      </c>
      <c r="C39" s="49" t="s">
        <v>271</v>
      </c>
      <c r="D39" s="49" t="s">
        <v>240</v>
      </c>
      <c r="E39" s="4" t="s">
        <v>353</v>
      </c>
      <c r="F39" s="128">
        <v>984000</v>
      </c>
      <c r="G39" s="129">
        <f>IF(E39="USD",F39,(((_xll.BDP(E39&amp;"USD CURNCY","PX_LAST")))*F39))</f>
        <v>126867.12</v>
      </c>
      <c r="H39" s="130">
        <v>4.7E-2</v>
      </c>
      <c r="I39" s="129">
        <f>IF(E39="USD",F39*H39,(((_xll.BDP(E39&amp;"USD CURNCY","PX_LAST")))*F39*H39))</f>
        <v>5962.7546400000001</v>
      </c>
    </row>
    <row r="40" spans="1:9" x14ac:dyDescent="0.25">
      <c r="A40" s="49" t="s">
        <v>241</v>
      </c>
      <c r="B40" s="49" t="s">
        <v>272</v>
      </c>
      <c r="C40" s="49">
        <v>2620061.0010000002</v>
      </c>
      <c r="D40" s="49" t="s">
        <v>240</v>
      </c>
      <c r="E40" s="4" t="s">
        <v>176</v>
      </c>
      <c r="F40" s="136">
        <f>797000+100000</f>
        <v>897000</v>
      </c>
      <c r="G40" s="129">
        <f>F40</f>
        <v>897000</v>
      </c>
      <c r="H40" s="130">
        <v>5.7099999999999998E-2</v>
      </c>
      <c r="I40" s="129">
        <f>H40*F40</f>
        <v>51218.7</v>
      </c>
    </row>
    <row r="41" spans="1:9" x14ac:dyDescent="0.25">
      <c r="A41" s="49" t="s">
        <v>241</v>
      </c>
      <c r="B41" s="49" t="s">
        <v>272</v>
      </c>
      <c r="C41" s="49">
        <v>2620061.0010000002</v>
      </c>
      <c r="D41" s="49" t="s">
        <v>240</v>
      </c>
      <c r="E41" s="4" t="s">
        <v>354</v>
      </c>
      <c r="F41" s="128">
        <v>100000</v>
      </c>
      <c r="G41" s="129">
        <f>IF(E41="USD",F41,(((_xll.BDP(E41&amp;"USD CURNCY","PX_LAST")))*F41))</f>
        <v>133680</v>
      </c>
      <c r="H41" s="130">
        <v>5.8500000000000003E-2</v>
      </c>
      <c r="I41" s="129">
        <f>IF(E41="USD",F41*H41,(((_xll.BDP(E41&amp;"USD CURNCY","PX_LAST")))*F41*H41))</f>
        <v>7820.2800000000007</v>
      </c>
    </row>
    <row r="42" spans="1:9" x14ac:dyDescent="0.25">
      <c r="A42" s="49" t="s">
        <v>241</v>
      </c>
      <c r="B42" s="49" t="s">
        <v>272</v>
      </c>
      <c r="C42" s="49">
        <v>2620061.0010000002</v>
      </c>
      <c r="D42" s="49" t="s">
        <v>240</v>
      </c>
      <c r="E42" s="4" t="s">
        <v>353</v>
      </c>
      <c r="F42" s="128">
        <v>913000</v>
      </c>
      <c r="G42" s="129">
        <f>IF(E42="USD",F42,(((_xll.BDP(E42&amp;"USD CURNCY","PX_LAST")))*F42))</f>
        <v>117713.09</v>
      </c>
      <c r="H42" s="130">
        <v>4.9500000000000002E-2</v>
      </c>
      <c r="I42" s="129">
        <f>IF(E42="USD",F42*H42,(((_xll.BDP(E42&amp;"USD CURNCY","PX_LAST")))*F42*H42))</f>
        <v>5826.797955</v>
      </c>
    </row>
    <row r="43" spans="1:9" x14ac:dyDescent="0.25">
      <c r="A43" s="49" t="s">
        <v>241</v>
      </c>
      <c r="B43" s="49" t="s">
        <v>273</v>
      </c>
      <c r="C43" s="49">
        <v>2620058.003</v>
      </c>
      <c r="D43" s="49" t="s">
        <v>240</v>
      </c>
      <c r="E43" s="4" t="s">
        <v>176</v>
      </c>
      <c r="F43" s="137">
        <f>558000+100000</f>
        <v>658000</v>
      </c>
      <c r="G43" s="129">
        <f>F43</f>
        <v>658000</v>
      </c>
      <c r="H43" s="131">
        <v>5.7099999999999998E-2</v>
      </c>
      <c r="I43" s="129">
        <f>H43*F43</f>
        <v>37571.799999999996</v>
      </c>
    </row>
    <row r="44" spans="1:9" x14ac:dyDescent="0.25">
      <c r="A44" s="49" t="s">
        <v>241</v>
      </c>
      <c r="B44" s="49" t="s">
        <v>273</v>
      </c>
      <c r="C44" s="49">
        <v>2620058.003</v>
      </c>
      <c r="D44" s="49" t="s">
        <v>240</v>
      </c>
      <c r="E44" s="4" t="s">
        <v>353</v>
      </c>
      <c r="F44" s="128">
        <v>615000</v>
      </c>
      <c r="G44" s="129">
        <f>IF(E44="USD",F44,(((_xll.BDP(E44&amp;"USD CURNCY","PX_LAST")))*F44))</f>
        <v>79291.95</v>
      </c>
      <c r="H44" s="130">
        <v>4.9500000000000002E-2</v>
      </c>
      <c r="I44" s="129">
        <f>IF(E44="USD",F44*H44,(((_xll.BDP(E44&amp;"USD CURNCY","PX_LAST")))*F44*H44))</f>
        <v>3924.9515249999999</v>
      </c>
    </row>
    <row r="45" spans="1:9" x14ac:dyDescent="0.25">
      <c r="A45" s="49" t="s">
        <v>257</v>
      </c>
      <c r="B45" s="49" t="s">
        <v>274</v>
      </c>
      <c r="C45" s="49">
        <v>1000015111</v>
      </c>
      <c r="D45" s="49" t="s">
        <v>275</v>
      </c>
      <c r="E45" s="4"/>
      <c r="F45" s="128"/>
      <c r="G45" s="129"/>
      <c r="H45" s="130"/>
      <c r="I45" s="129"/>
    </row>
    <row r="46" spans="1:9" x14ac:dyDescent="0.25">
      <c r="A46" s="49" t="s">
        <v>241</v>
      </c>
      <c r="B46" s="49" t="s">
        <v>276</v>
      </c>
      <c r="C46" s="49" t="s">
        <v>277</v>
      </c>
      <c r="D46" s="49" t="s">
        <v>240</v>
      </c>
      <c r="E46" s="4" t="s">
        <v>176</v>
      </c>
      <c r="F46" s="137">
        <f>1170000+117000</f>
        <v>1287000</v>
      </c>
      <c r="G46" s="138">
        <f>F46</f>
        <v>1287000</v>
      </c>
      <c r="H46" s="131">
        <v>5.45E-2</v>
      </c>
      <c r="I46" s="129">
        <f>H46*F46</f>
        <v>70141.5</v>
      </c>
    </row>
    <row r="47" spans="1:9" x14ac:dyDescent="0.25">
      <c r="A47" s="49" t="s">
        <v>241</v>
      </c>
      <c r="B47" s="49" t="s">
        <v>276</v>
      </c>
      <c r="C47" s="49" t="s">
        <v>277</v>
      </c>
      <c r="D47" s="49" t="s">
        <v>240</v>
      </c>
      <c r="E47" s="4" t="s">
        <v>353</v>
      </c>
      <c r="F47" s="128">
        <v>1387000</v>
      </c>
      <c r="G47" s="129">
        <f>IF(E47="USD",F47,(((_xll.BDP(E47&amp;"USD CURNCY","PX_LAST")))*F47))</f>
        <v>178825.90999999997</v>
      </c>
      <c r="H47" s="130">
        <v>4.7E-2</v>
      </c>
      <c r="I47" s="129">
        <f>IF(E47="USD",F47*H47,(((_xll.BDP(E47&amp;"USD CURNCY","PX_LAST")))*F47*H47))</f>
        <v>8404.8177699999997</v>
      </c>
    </row>
    <row r="48" spans="1:9" x14ac:dyDescent="0.25">
      <c r="A48" s="49" t="s">
        <v>241</v>
      </c>
      <c r="B48" s="49" t="s">
        <v>276</v>
      </c>
      <c r="C48" s="49" t="s">
        <v>277</v>
      </c>
      <c r="D48" s="49" t="s">
        <v>240</v>
      </c>
      <c r="E48" s="4" t="s">
        <v>355</v>
      </c>
      <c r="F48" s="128">
        <v>128000</v>
      </c>
      <c r="G48" s="129">
        <f>IF(E48="USD",F48,(((_xll.BDP(E48&amp;"USD CURNCY","PX_LAST")))*F48))</f>
        <v>154969.60000000001</v>
      </c>
      <c r="H48" s="130">
        <v>1.3299999999999999E-2</v>
      </c>
      <c r="I48" s="129">
        <f>IF(E48="USD",F48*H48,(((_xll.BDP(E48&amp;"USD CURNCY","PX_LAST")))*F48*H48))</f>
        <v>2061.0956799999999</v>
      </c>
    </row>
  </sheetData>
  <autoFilter ref="A1:I48" xr:uid="{12380A6E-8ACC-4A60-AC75-77FCF721B7D6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54F9B-7142-4DBA-87F1-64C9A1E67E0D}">
  <dimension ref="A1:J21"/>
  <sheetViews>
    <sheetView showGridLines="0" workbookViewId="0">
      <selection activeCell="G32" sqref="G32"/>
    </sheetView>
  </sheetViews>
  <sheetFormatPr defaultRowHeight="15" x14ac:dyDescent="0.25"/>
  <cols>
    <col min="1" max="1" width="3.85546875" bestFit="1" customWidth="1"/>
    <col min="2" max="2" width="39.140625" bestFit="1" customWidth="1"/>
    <col min="3" max="3" width="14.28515625" bestFit="1" customWidth="1"/>
    <col min="4" max="4" width="10.85546875" bestFit="1" customWidth="1"/>
    <col min="5" max="5" width="19.85546875" customWidth="1"/>
    <col min="6" max="6" width="24" customWidth="1"/>
    <col min="7" max="7" width="22" customWidth="1"/>
    <col min="8" max="8" width="25.140625" customWidth="1"/>
    <col min="9" max="9" width="20.85546875" customWidth="1"/>
    <col min="10" max="10" width="17.85546875" customWidth="1"/>
  </cols>
  <sheetData>
    <row r="1" spans="1:10" ht="29.25" customHeight="1" x14ac:dyDescent="0.25">
      <c r="A1" s="1" t="s">
        <v>0</v>
      </c>
      <c r="B1" s="1" t="s">
        <v>1</v>
      </c>
      <c r="C1" s="1" t="s">
        <v>237</v>
      </c>
      <c r="D1" s="1" t="s">
        <v>313</v>
      </c>
      <c r="E1" s="127" t="s">
        <v>358</v>
      </c>
      <c r="F1" s="127" t="s">
        <v>359</v>
      </c>
      <c r="G1" s="127" t="s">
        <v>360</v>
      </c>
      <c r="H1" s="127" t="s">
        <v>361</v>
      </c>
      <c r="I1" s="127" t="s">
        <v>365</v>
      </c>
      <c r="J1" s="127" t="s">
        <v>366</v>
      </c>
    </row>
    <row r="2" spans="1:10" x14ac:dyDescent="0.25">
      <c r="A2" s="49" t="s">
        <v>241</v>
      </c>
      <c r="B2" s="49" t="s">
        <v>238</v>
      </c>
      <c r="C2" s="49" t="s">
        <v>239</v>
      </c>
      <c r="D2" s="49" t="s">
        <v>240</v>
      </c>
      <c r="E2" s="139">
        <f>Loans!G2</f>
        <v>385000</v>
      </c>
      <c r="F2" s="139">
        <f>Loans!G3</f>
        <v>46414.799999999996</v>
      </c>
      <c r="G2" s="139">
        <f>SUM(E2:F2)</f>
        <v>431414.8</v>
      </c>
      <c r="H2" s="139" cm="1">
        <f t="array" ref="H2">40%*G2*_xll.BDP("USDCHF Curncy","px_last")</f>
        <v>142297.857632</v>
      </c>
      <c r="I2" s="140">
        <v>0.42783993377741975</v>
      </c>
      <c r="J2" s="139">
        <v>1528404.4257531408</v>
      </c>
    </row>
    <row r="3" spans="1:10" x14ac:dyDescent="0.25">
      <c r="A3" s="49" t="s">
        <v>242</v>
      </c>
      <c r="B3" s="49" t="s">
        <v>243</v>
      </c>
      <c r="C3" s="49" t="s">
        <v>244</v>
      </c>
      <c r="D3" s="49" t="s">
        <v>245</v>
      </c>
      <c r="E3" s="139">
        <f>Loans!G4</f>
        <v>519074.77</v>
      </c>
      <c r="F3" s="139"/>
      <c r="G3" s="139">
        <f t="shared" ref="G3:G20" si="0">SUM(E3:F3)</f>
        <v>519074.77</v>
      </c>
      <c r="H3" s="139" t="e" cm="1">
        <f t="array" ref="H3">40%*G3*_xll.BDP("USDCHF Curncy","px_last")</f>
        <v>#VALUE!</v>
      </c>
      <c r="I3" s="140">
        <v>0.62431291937778743</v>
      </c>
      <c r="J3" s="139">
        <v>4280071.4523312468</v>
      </c>
    </row>
    <row r="4" spans="1:10" x14ac:dyDescent="0.25">
      <c r="A4" s="49" t="s">
        <v>242</v>
      </c>
      <c r="B4" s="49" t="s">
        <v>327</v>
      </c>
      <c r="C4" s="49">
        <v>4371511</v>
      </c>
      <c r="D4" s="49" t="s">
        <v>248</v>
      </c>
      <c r="E4" s="139"/>
      <c r="F4" s="139"/>
      <c r="G4" s="139">
        <f t="shared" si="0"/>
        <v>0</v>
      </c>
      <c r="H4" s="139" t="e" cm="1">
        <f t="array" ref="H4">40%*G4*_xll.BDP("USDCHF Curncy","px_last")</f>
        <v>#VALUE!</v>
      </c>
      <c r="I4" s="140">
        <v>0.57025560323214053</v>
      </c>
      <c r="J4" s="139">
        <v>3007246.6509998892</v>
      </c>
    </row>
    <row r="5" spans="1:10" x14ac:dyDescent="0.25">
      <c r="A5" s="49" t="s">
        <v>242</v>
      </c>
      <c r="B5" s="49" t="s">
        <v>246</v>
      </c>
      <c r="C5" s="49" t="s">
        <v>247</v>
      </c>
      <c r="D5" s="49" t="s">
        <v>248</v>
      </c>
      <c r="E5" s="139">
        <f>Loans!G6</f>
        <v>1798401</v>
      </c>
      <c r="F5" s="139"/>
      <c r="G5" s="139">
        <f t="shared" si="0"/>
        <v>1798401</v>
      </c>
      <c r="H5" s="139" t="e" cm="1">
        <f t="array" ref="H5">40%*G5*_xll.BDP("USDCHF Curncy","px_last")</f>
        <v>#VALUE!</v>
      </c>
      <c r="I5" s="140">
        <v>0.2889781334287328</v>
      </c>
      <c r="J5" s="139">
        <v>5647347.6821178645</v>
      </c>
    </row>
    <row r="6" spans="1:10" x14ac:dyDescent="0.25">
      <c r="A6" s="49" t="s">
        <v>241</v>
      </c>
      <c r="B6" s="49" t="s">
        <v>249</v>
      </c>
      <c r="C6" s="49" t="s">
        <v>250</v>
      </c>
      <c r="D6" s="49" t="s">
        <v>240</v>
      </c>
      <c r="E6" s="139">
        <f>Loans!G8</f>
        <v>756000</v>
      </c>
      <c r="F6" s="139">
        <f>Loans!G11</f>
        <v>98502.51999999999</v>
      </c>
      <c r="G6" s="139">
        <f t="shared" si="0"/>
        <v>854502.52</v>
      </c>
      <c r="H6" s="139" cm="1">
        <f t="array" ref="H6">40%*G6*_xll.BDP("USDCHF Curncy","px_last")</f>
        <v>281849.11119680002</v>
      </c>
      <c r="I6" s="140">
        <v>0.38022373440709412</v>
      </c>
      <c r="J6" s="139">
        <v>3484694.4627832277</v>
      </c>
    </row>
    <row r="7" spans="1:10" x14ac:dyDescent="0.25">
      <c r="A7" s="49" t="s">
        <v>241</v>
      </c>
      <c r="B7" s="49" t="s">
        <v>312</v>
      </c>
      <c r="C7" s="49" t="s">
        <v>252</v>
      </c>
      <c r="D7" s="49" t="s">
        <v>240</v>
      </c>
      <c r="E7" s="139">
        <f>Loans!G12</f>
        <v>989000</v>
      </c>
      <c r="F7" s="139">
        <f>Loans!G14</f>
        <v>113200.54</v>
      </c>
      <c r="G7" s="139">
        <f t="shared" si="0"/>
        <v>1102200.54</v>
      </c>
      <c r="H7" s="139" cm="1">
        <f t="array" ref="H7">40%*G7*_xll.BDP("USDCHF Curncy","px_last")</f>
        <v>363549.82611359999</v>
      </c>
      <c r="I7" s="140">
        <v>0.32807668185145089</v>
      </c>
      <c r="J7" s="139">
        <v>3988503.7766677481</v>
      </c>
    </row>
    <row r="8" spans="1:10" x14ac:dyDescent="0.25">
      <c r="A8" s="49" t="s">
        <v>241</v>
      </c>
      <c r="B8" s="49" t="s">
        <v>253</v>
      </c>
      <c r="C8" s="72" t="s">
        <v>362</v>
      </c>
      <c r="D8" s="49" t="s">
        <v>240</v>
      </c>
      <c r="E8" s="139">
        <f>Loans!G16</f>
        <v>186000</v>
      </c>
      <c r="F8" s="139">
        <f>Loans!G17</f>
        <v>31716.78</v>
      </c>
      <c r="G8" s="139">
        <f t="shared" si="0"/>
        <v>217716.78</v>
      </c>
      <c r="H8" s="139" cm="1">
        <f t="array" ref="H8">40%*G8*_xll.BDP("USDCHF Curncy","px_last")</f>
        <v>71811.702715199994</v>
      </c>
      <c r="I8" s="140">
        <v>0.5453497307375601</v>
      </c>
      <c r="J8" s="139">
        <v>1051562.0941647666</v>
      </c>
    </row>
    <row r="9" spans="1:10" x14ac:dyDescent="0.25">
      <c r="A9" s="49" t="s">
        <v>242</v>
      </c>
      <c r="B9" s="49" t="s">
        <v>255</v>
      </c>
      <c r="C9" s="49" t="s">
        <v>256</v>
      </c>
      <c r="D9" s="49" t="s">
        <v>248</v>
      </c>
      <c r="E9" s="139">
        <f>Loans!G18</f>
        <v>1431000</v>
      </c>
      <c r="F9" s="139">
        <f>Loans!G20</f>
        <v>127640.69999999998</v>
      </c>
      <c r="G9" s="139">
        <f t="shared" si="0"/>
        <v>1558640.7</v>
      </c>
      <c r="H9" s="139" cm="1">
        <f t="array" ref="H9">40%*G9*_xll.BDP("USDCHF Curncy","px_last")</f>
        <v>514102.048488</v>
      </c>
      <c r="I9" s="140">
        <v>0.34616826451643351</v>
      </c>
      <c r="J9" s="139">
        <v>4211940.0350801973</v>
      </c>
    </row>
    <row r="10" spans="1:10" x14ac:dyDescent="0.25">
      <c r="A10" s="49" t="s">
        <v>242</v>
      </c>
      <c r="B10" s="49" t="s">
        <v>332</v>
      </c>
      <c r="C10" s="72" t="s">
        <v>333</v>
      </c>
      <c r="D10" s="49" t="s">
        <v>248</v>
      </c>
      <c r="E10" s="139">
        <f>Loans!G21</f>
        <v>65000</v>
      </c>
      <c r="F10" s="139"/>
      <c r="G10" s="139">
        <f t="shared" si="0"/>
        <v>65000</v>
      </c>
      <c r="H10" s="139" t="e" cm="1">
        <f t="array" ref="H10">40%*G10*_xll.BDP("USDCHF Curncy","px_last")</f>
        <v>#VALUE!</v>
      </c>
      <c r="I10" s="140">
        <v>0.6806915107518744</v>
      </c>
      <c r="J10" s="139">
        <v>3355532.1328766043</v>
      </c>
    </row>
    <row r="11" spans="1:10" x14ac:dyDescent="0.25">
      <c r="A11" s="49" t="s">
        <v>257</v>
      </c>
      <c r="B11" s="49" t="s">
        <v>258</v>
      </c>
      <c r="C11" s="49" t="s">
        <v>259</v>
      </c>
      <c r="D11" s="49" t="s">
        <v>248</v>
      </c>
      <c r="E11" s="139">
        <f>Loans!G23</f>
        <v>215000</v>
      </c>
      <c r="F11" s="139"/>
      <c r="G11" s="139">
        <f t="shared" si="0"/>
        <v>215000</v>
      </c>
      <c r="H11" s="139" t="e" cm="1">
        <f t="array" ref="H11">40%*G11*_xll.BDP("USDCHF Curncy","px_last")</f>
        <v>#VALUE!</v>
      </c>
      <c r="I11" s="140">
        <v>0.24192439900386203</v>
      </c>
      <c r="J11" s="139">
        <v>1318585.2381599999</v>
      </c>
    </row>
    <row r="12" spans="1:10" x14ac:dyDescent="0.25">
      <c r="A12" s="49" t="s">
        <v>242</v>
      </c>
      <c r="B12" s="49" t="s">
        <v>260</v>
      </c>
      <c r="C12" s="49" t="s">
        <v>261</v>
      </c>
      <c r="D12" s="49" t="s">
        <v>248</v>
      </c>
      <c r="E12" s="139">
        <f>Loans!G24</f>
        <v>292000</v>
      </c>
      <c r="F12" s="139">
        <f>Loans!G26</f>
        <v>91669.23</v>
      </c>
      <c r="G12" s="139">
        <f t="shared" si="0"/>
        <v>383669.23</v>
      </c>
      <c r="H12" s="139" cm="1">
        <f t="array" ref="H12">40%*G12*_xll.BDP("USDCHF Curncy","px_last")</f>
        <v>126549.45882320001</v>
      </c>
      <c r="I12" s="140">
        <v>0.48537785055644334</v>
      </c>
      <c r="J12" s="139">
        <v>3117415.9666984668</v>
      </c>
    </row>
    <row r="13" spans="1:10" x14ac:dyDescent="0.25">
      <c r="A13" s="49" t="s">
        <v>241</v>
      </c>
      <c r="B13" s="49" t="s">
        <v>262</v>
      </c>
      <c r="C13" s="49" t="s">
        <v>263</v>
      </c>
      <c r="D13" s="49" t="s">
        <v>240</v>
      </c>
      <c r="E13" s="139">
        <f>Loans!G27</f>
        <v>948000</v>
      </c>
      <c r="F13" s="139"/>
      <c r="G13" s="139">
        <f t="shared" si="0"/>
        <v>948000</v>
      </c>
      <c r="H13" s="139" t="e" cm="1">
        <f t="array" ref="H13">40%*G13*_xll.BDP("USDCHF Curncy","px_last")</f>
        <v>#VALUE!</v>
      </c>
      <c r="I13" s="140">
        <v>0.55216219691264512</v>
      </c>
      <c r="J13" s="139">
        <v>6438712.9068096122</v>
      </c>
    </row>
    <row r="14" spans="1:10" x14ac:dyDescent="0.25">
      <c r="A14" s="49" t="s">
        <v>242</v>
      </c>
      <c r="B14" s="49" t="s">
        <v>264</v>
      </c>
      <c r="C14" s="49" t="s">
        <v>265</v>
      </c>
      <c r="D14" s="49" t="s">
        <v>248</v>
      </c>
      <c r="E14" s="139">
        <f>Loans!G31</f>
        <v>780000</v>
      </c>
      <c r="F14" s="139">
        <f>Loans!G32</f>
        <v>174055.49999999997</v>
      </c>
      <c r="G14" s="139">
        <f t="shared" si="0"/>
        <v>954055.5</v>
      </c>
      <c r="H14" s="139" cm="1">
        <f t="array" ref="H14">40%*G14*_xll.BDP("USDCHF Curncy","px_last")</f>
        <v>314685.66612000001</v>
      </c>
      <c r="I14" s="140">
        <v>0.41789011045080771</v>
      </c>
      <c r="J14" s="139">
        <v>6091005.0015364885</v>
      </c>
    </row>
    <row r="15" spans="1:10" x14ac:dyDescent="0.25">
      <c r="A15" s="49" t="s">
        <v>241</v>
      </c>
      <c r="B15" s="49" t="s">
        <v>266</v>
      </c>
      <c r="C15" s="49" t="s">
        <v>267</v>
      </c>
      <c r="D15" s="49" t="s">
        <v>240</v>
      </c>
      <c r="E15" s="139">
        <f>Loans!G33</f>
        <v>789000</v>
      </c>
      <c r="F15" s="139"/>
      <c r="G15" s="139">
        <f t="shared" si="0"/>
        <v>789000</v>
      </c>
      <c r="H15" s="139" t="e" cm="1">
        <f t="array" ref="H15">40%*G15*_xll.BDP("USDCHF Curncy","px_last")</f>
        <v>#VALUE!</v>
      </c>
      <c r="I15" s="140">
        <v>0.3889229249306177</v>
      </c>
      <c r="J15" s="139">
        <v>3026578.4763169973</v>
      </c>
    </row>
    <row r="16" spans="1:10" x14ac:dyDescent="0.25">
      <c r="A16" s="49" t="s">
        <v>242</v>
      </c>
      <c r="B16" s="49" t="s">
        <v>268</v>
      </c>
      <c r="C16" s="49" t="s">
        <v>269</v>
      </c>
      <c r="D16" s="49" t="s">
        <v>248</v>
      </c>
      <c r="E16" s="139">
        <f>Loans!G35</f>
        <v>1706762</v>
      </c>
      <c r="F16" s="139"/>
      <c r="G16" s="139">
        <f t="shared" si="0"/>
        <v>1706762</v>
      </c>
      <c r="H16" s="139" t="e" cm="1">
        <f t="array" ref="H16">40%*G16*_xll.BDP("USDCHF Curncy","px_last")</f>
        <v>#VALUE!</v>
      </c>
      <c r="I16" s="140">
        <v>0.48875339304836651</v>
      </c>
      <c r="J16" s="139">
        <v>10688389.81636011</v>
      </c>
    </row>
    <row r="17" spans="1:10" x14ac:dyDescent="0.25">
      <c r="A17" s="49" t="s">
        <v>241</v>
      </c>
      <c r="B17" s="49" t="s">
        <v>270</v>
      </c>
      <c r="C17" s="49" t="s">
        <v>271</v>
      </c>
      <c r="D17" s="49" t="s">
        <v>240</v>
      </c>
      <c r="E17" s="139">
        <f>Loans!G37</f>
        <v>930000</v>
      </c>
      <c r="F17" s="139">
        <f>Loans!G39</f>
        <v>126867.12</v>
      </c>
      <c r="G17" s="139">
        <f t="shared" si="0"/>
        <v>1056867.1200000001</v>
      </c>
      <c r="H17" s="139" cm="1">
        <f t="array" ref="H17">40%*G17*_xll.BDP("USDCHF Curncy","px_last")</f>
        <v>348597.05086080002</v>
      </c>
      <c r="I17" s="140">
        <v>0.45262729656142425</v>
      </c>
      <c r="J17" s="139">
        <v>4384882.7418861929</v>
      </c>
    </row>
    <row r="18" spans="1:10" x14ac:dyDescent="0.25">
      <c r="A18" s="49" t="s">
        <v>241</v>
      </c>
      <c r="B18" s="49" t="s">
        <v>272</v>
      </c>
      <c r="C18" s="49">
        <v>2620061.0010000002</v>
      </c>
      <c r="D18" s="49" t="s">
        <v>240</v>
      </c>
      <c r="E18" s="139">
        <f>Loans!G40</f>
        <v>897000</v>
      </c>
      <c r="F18" s="139">
        <f>Loans!G42</f>
        <v>117713.09</v>
      </c>
      <c r="G18" s="139">
        <f t="shared" si="0"/>
        <v>1014713.09</v>
      </c>
      <c r="H18" s="139" cm="1">
        <f t="array" ref="H18">40%*G18*_xll.BDP("USDCHF Curncy","px_last")</f>
        <v>334692.96560560004</v>
      </c>
      <c r="I18" s="140">
        <v>0.21944485731953595</v>
      </c>
      <c r="J18" s="139">
        <v>4061952.2533813673</v>
      </c>
    </row>
    <row r="19" spans="1:10" x14ac:dyDescent="0.25">
      <c r="A19" s="49" t="s">
        <v>241</v>
      </c>
      <c r="B19" s="49" t="s">
        <v>273</v>
      </c>
      <c r="C19" s="72" t="s">
        <v>364</v>
      </c>
      <c r="D19" s="49" t="s">
        <v>240</v>
      </c>
      <c r="E19" s="139">
        <f>Loans!G43</f>
        <v>658000</v>
      </c>
      <c r="F19" s="139">
        <f>Loans!G44</f>
        <v>79291.95</v>
      </c>
      <c r="G19" s="139">
        <f t="shared" si="0"/>
        <v>737291.95</v>
      </c>
      <c r="H19" s="139" cm="1">
        <f t="array" ref="H19">40%*G19*_xll.BDP("USDCHF Curncy","px_last")</f>
        <v>243188.37678799997</v>
      </c>
      <c r="I19" s="140">
        <v>0.44818153931303961</v>
      </c>
      <c r="J19" s="139">
        <v>2626312.1361827301</v>
      </c>
    </row>
    <row r="20" spans="1:10" x14ac:dyDescent="0.25">
      <c r="A20" s="49" t="s">
        <v>257</v>
      </c>
      <c r="B20" s="49" t="s">
        <v>274</v>
      </c>
      <c r="C20" s="49">
        <v>1000015111</v>
      </c>
      <c r="D20" s="49" t="s">
        <v>275</v>
      </c>
      <c r="E20" s="139"/>
      <c r="F20" s="139"/>
      <c r="G20" s="139">
        <f t="shared" si="0"/>
        <v>0</v>
      </c>
      <c r="H20" s="139" t="e" cm="1">
        <f t="array" ref="H20">40%*G20*_xll.BDP("USDCHF Curncy","px_last")</f>
        <v>#VALUE!</v>
      </c>
      <c r="I20" s="140">
        <v>0.63635268126002908</v>
      </c>
      <c r="J20" s="139">
        <v>1108311.4411111111</v>
      </c>
    </row>
    <row r="21" spans="1:10" x14ac:dyDescent="0.25">
      <c r="A21" s="49" t="s">
        <v>241</v>
      </c>
      <c r="B21" s="49" t="s">
        <v>276</v>
      </c>
      <c r="C21" s="72" t="s">
        <v>363</v>
      </c>
      <c r="D21" s="49" t="s">
        <v>240</v>
      </c>
      <c r="E21" s="139">
        <f>Loans!G46</f>
        <v>1287000</v>
      </c>
      <c r="F21" s="139">
        <f>Loans!G48</f>
        <v>154969.60000000001</v>
      </c>
      <c r="G21" s="139">
        <f>Loans!G47</f>
        <v>178825.90999999997</v>
      </c>
      <c r="H21" s="139" cm="1">
        <f t="array" ref="H21">40%*G21*_xll.BDP("USDCHF Curncy","px_last")</f>
        <v>58983.938154399992</v>
      </c>
      <c r="I21" s="140">
        <v>0.39210988352721515</v>
      </c>
      <c r="J21" s="139">
        <v>6071961.6411598446</v>
      </c>
    </row>
  </sheetData>
  <autoFilter ref="A1:J1" xr:uid="{CF154F9B-7142-4DBA-87F1-64C9A1E67E0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Cash</vt:lpstr>
      <vt:lpstr>Bonds</vt:lpstr>
      <vt:lpstr>Equities</vt:lpstr>
      <vt:lpstr>MF and ETFs</vt:lpstr>
      <vt:lpstr>Commodities</vt:lpstr>
      <vt:lpstr>Structured Products</vt:lpstr>
      <vt:lpstr>Loans</vt:lpstr>
      <vt:lpstr>Loans (USD and HKD)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Neerab Saha</dc:creator>
  <cp:lastModifiedBy>FCL</cp:lastModifiedBy>
  <dcterms:created xsi:type="dcterms:W3CDTF">2025-01-20T07:44:31Z</dcterms:created>
  <dcterms:modified xsi:type="dcterms:W3CDTF">2025-05-06T15:12:26Z</dcterms:modified>
</cp:coreProperties>
</file>